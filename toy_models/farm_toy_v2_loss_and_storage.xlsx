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  <sheet name="Crop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4" fontId="4" fillId="0" borderId="0" pivotButton="0" quotePrefix="0" xfId="0"/>
    <xf numFmtId="3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0" fillId="5" borderId="1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6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1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v2: LOSS + STORAGE</t>
        </is>
      </c>
    </row>
    <row r="2">
      <c r="A2" t="inlineStr"/>
    </row>
    <row r="3">
      <c r="A3" s="2" t="inlineStr">
        <is>
          <t>WHAT CHANGED FROM v1, AND WHY</t>
        </is>
      </c>
    </row>
    <row r="4">
      <c r="A4" t="inlineStr">
        <is>
          <t>You asked whether 85% sell-through means the other 15% is not sellable, or that it could not</t>
        </is>
      </c>
    </row>
    <row r="5">
      <c r="A5" t="inlineStr">
        <is>
          <t>be sold — and if the latter, whether it should count against storage. It should, and v1 got</t>
        </is>
      </c>
    </row>
    <row r="6">
      <c r="A6" t="inlineStr">
        <is>
          <t>it wrong. So did the app; it is filed as G1 / DECISIONS E1.</t>
        </is>
      </c>
    </row>
    <row r="7">
      <c r="A7" t="inlineStr"/>
    </row>
    <row r="8">
      <c r="A8" t="inlineStr">
        <is>
          <t>One number was doing two incompatible jobs. It is now two numbers, applied on opposite sides</t>
        </is>
      </c>
    </row>
    <row r="9">
      <c r="A9" t="inlineStr">
        <is>
          <t>of the store:</t>
        </is>
      </c>
    </row>
    <row r="10">
      <c r="A10" t="inlineStr"/>
    </row>
    <row r="11">
      <c r="A11" s="3" t="inlineStr">
        <is>
          <t xml:space="preserve">   PACK-OUT       gross harvest -&gt; marketable product.</t>
        </is>
      </c>
    </row>
    <row r="12">
      <c r="A12" t="inlineStr">
        <is>
          <t xml:space="preserve">                  Culls, off-grade, damage. Sorted out at harvest. NEVER ENTERS THE COOLER.</t>
        </is>
      </c>
    </row>
    <row r="13">
      <c r="A13" t="inlineStr"/>
    </row>
    <row r="14">
      <c r="A14" s="3" t="inlineStr">
        <is>
          <t xml:space="preserve">   SELL-THROUGH   marketable product OFFERED -&gt; actually sold.</t>
        </is>
      </c>
    </row>
    <row r="15">
      <c r="A15" t="inlineStr">
        <is>
          <t xml:space="preserve">                  Returns, unsold at market, rejected loads. This product WAS cooled, WAS</t>
        </is>
      </c>
    </row>
    <row r="16">
      <c r="A16" t="inlineStr">
        <is>
          <t xml:space="preserve">                  stored and WAS shipped. It just did not come back.</t>
        </is>
      </c>
    </row>
    <row r="17">
      <c r="A17" t="inlineStr"/>
    </row>
    <row r="18">
      <c r="A18" t="inlineStr">
        <is>
          <t>You said the split is highly variable, and that is exactly why they cannot be one number. A</t>
        </is>
      </c>
    </row>
    <row r="19">
      <c r="A19" t="inlineStr">
        <is>
          <t>farm that leaves 15% in the field and a farm that brings 15% home from market have identical</t>
        </is>
      </c>
    </row>
    <row r="20">
      <c r="A20" t="inlineStr">
        <is>
          <t>revenue and identical growing costs — and need different sized coolers.</t>
        </is>
      </c>
    </row>
    <row r="21">
      <c r="A21" t="inlineStr"/>
    </row>
    <row r="22">
      <c r="A22" s="2" t="inlineStr">
        <is>
          <t>THE DEMONSTRATION — it is built into this sheet, not a second file</t>
        </is>
      </c>
    </row>
    <row r="23">
      <c r="A23" t="inlineStr">
        <is>
          <t>Ships as Pack-out 1.00 / Sell-through 0.85: ALL loss is downstream.</t>
        </is>
      </c>
    </row>
    <row r="24">
      <c r="A24" s="3" t="inlineStr">
        <is>
          <t xml:space="preserve">     Peak COLD 78.4 m3      Peak AMBIENT 71.7 m3</t>
        </is>
      </c>
    </row>
    <row r="25">
      <c r="A25" t="inlineStr"/>
    </row>
    <row r="26">
      <c r="A26" t="inlineStr">
        <is>
          <t>Now set Pack-out to 0.85 and Sell-through to 1.00 (C16:C18 and D16:D18). That is v1, and</t>
        </is>
      </c>
    </row>
    <row r="27">
      <c r="A27" t="inlineStr">
        <is>
          <t>it is also what the app does today: all loss in the field.</t>
        </is>
      </c>
    </row>
    <row r="28">
      <c r="A28" s="3" t="inlineStr">
        <is>
          <t xml:space="preserve">     Peak COLD 66.6 m3      Peak AMBIENT 61.0 m3</t>
        </is>
      </c>
    </row>
    <row r="29">
      <c r="A29" t="inlineStr"/>
    </row>
    <row r="30">
      <c r="A30" s="3" t="inlineStr">
        <is>
          <t>Same loss. Same pounds sold. Same money. THE COOLER REQUIREMENT DIFFERS BY 17.6%.</t>
        </is>
      </c>
    </row>
    <row r="31">
      <c r="A31" t="inlineStr"/>
    </row>
    <row r="32">
      <c r="A32" t="inlineStr">
        <is>
          <t>On the real 80-acre farm that difference takes the barn from 90.5% full to 106.5% — from</t>
        </is>
      </c>
    </row>
    <row r="33">
      <c r="A33" t="inlineStr">
        <is>
          <t>comfortable to physically impossible. That is why this was worth stopping for.</t>
        </is>
      </c>
    </row>
    <row r="34">
      <c r="A34" t="inlineStr"/>
    </row>
    <row r="35">
      <c r="A35" s="2" t="inlineStr">
        <is>
          <t>HOW THE FLOW READS NOW</t>
        </is>
      </c>
    </row>
    <row r="36">
      <c r="A36" t="inlineStr">
        <is>
          <t>Each crop block runs top to bottom in the order the product actually moves:</t>
        </is>
      </c>
    </row>
    <row r="37">
      <c r="A37" t="inlineStr"/>
    </row>
    <row r="38">
      <c r="A38" t="inlineStr">
        <is>
          <t xml:space="preserve">     Harvested (gross)              everything that comes off the field</t>
        </is>
      </c>
    </row>
    <row r="39">
      <c r="A39" t="inlineStr">
        <is>
          <t xml:space="preserve">       field cull                   removed here, never cooled            &lt;- PACK-OUT</t>
        </is>
      </c>
    </row>
    <row r="40">
      <c r="A40" t="inlineStr">
        <is>
          <t xml:space="preserve">     Packed out -&gt; INTO the store   what the cooler must hold</t>
        </is>
      </c>
    </row>
    <row r="41">
      <c r="A41" t="inlineStr">
        <is>
          <t xml:space="preserve">     Stock carried in / shrink      what was already there, and what it lost</t>
        </is>
      </c>
    </row>
    <row r="42">
      <c r="A42" t="inlineStr">
        <is>
          <t xml:space="preserve">     In store this week</t>
        </is>
      </c>
    </row>
    <row r="43">
      <c r="A43" t="inlineStr">
        <is>
          <t xml:space="preserve">     Shipped out of store           = what you sell, divided by sell-through</t>
        </is>
      </c>
    </row>
    <row r="44">
      <c r="A44" t="inlineStr">
        <is>
          <t xml:space="preserve">     Sold                           the pounds that became cash          &lt;- SELL-THROUGH</t>
        </is>
      </c>
    </row>
    <row r="45">
      <c r="A45" t="inlineStr">
        <is>
          <t xml:space="preserve">       market loss                  cooled, shipped, unsold, gone</t>
        </is>
      </c>
    </row>
    <row r="46">
      <c r="A46" t="inlineStr">
        <is>
          <t xml:space="preserve">     Stock carried out</t>
        </is>
      </c>
    </row>
    <row r="47">
      <c r="A47" t="inlineStr">
        <is>
          <t xml:space="preserve">     ROOM OCCUPANCY                 carried in + everything packed out</t>
        </is>
      </c>
    </row>
    <row r="48">
      <c r="A48" t="inlineStr"/>
    </row>
    <row r="49">
      <c r="A49" t="inlineStr">
        <is>
          <t>Read the two loss lines against each other: FIELD CULL is above the store and costs you no</t>
        </is>
      </c>
    </row>
    <row r="50">
      <c r="A50" t="inlineStr">
        <is>
          <t>cooler space; MARKET LOSS is below it and costs you all of it.</t>
        </is>
      </c>
    </row>
    <row r="51">
      <c r="A51" t="inlineStr"/>
    </row>
    <row r="52">
      <c r="A52" s="2" t="inlineStr">
        <is>
          <t>WHY 'SHIPPED' IS BIGGER THAN 'SOLD'</t>
        </is>
      </c>
    </row>
    <row r="53">
      <c r="A53" t="inlineStr">
        <is>
          <t>Because to sell 850 lb at 85% sell-through you have to send 1,000. The store gives up the</t>
        </is>
      </c>
    </row>
    <row r="54">
      <c r="A54" t="inlineStr">
        <is>
          <t>full 1,000; only 850 turns into money. That division is the whole mechanism, and it is why</t>
        </is>
      </c>
    </row>
    <row r="55">
      <c r="A55" t="inlineStr">
        <is>
          <t>sell-through cannot be modelled as a simple price discount — you pay to grow, cool and store</t>
        </is>
      </c>
    </row>
    <row r="56">
      <c r="A56" t="inlineStr">
        <is>
          <t>every pound, and get paid for 85% of them.</t>
        </is>
      </c>
    </row>
    <row r="57">
      <c r="A57" t="inlineStr"/>
    </row>
    <row r="58">
      <c r="A58" s="2" t="inlineStr">
        <is>
          <t>HOW TO USE IT</t>
        </is>
      </c>
    </row>
    <row r="59">
      <c r="A59" t="inlineStr">
        <is>
          <t>1. Every YELLOW cell is an input. Nothing else should be typed in.</t>
        </is>
      </c>
    </row>
    <row r="60">
      <c r="A60" t="inlineStr">
        <is>
          <t>2. Start with the acres in B6:B10. Change one. Watch the whole sheet move.</t>
        </is>
      </c>
    </row>
    <row r="61">
      <c r="A61" t="inlineStr">
        <is>
          <t>3. Watch the 'room left' rows under LAND, COLD STORE and AMBIENT STORE. Red = over the limit</t>
        </is>
      </c>
    </row>
    <row r="62">
      <c r="A62" t="inlineStr">
        <is>
          <t xml:space="preserve">   in that week, which the app treats as an infeasible plan, not a warning.</t>
        </is>
      </c>
    </row>
    <row r="63">
      <c r="A63" t="inlineStr"/>
    </row>
    <row r="64">
      <c r="A64" s="2" t="inlineStr">
        <is>
          <t>HOW THE SHEET IS LAID OUT</t>
        </is>
      </c>
    </row>
    <row r="65">
      <c r="A65" t="inlineStr">
        <is>
          <t>Sections 1-3 are inputs. Section 4 is the year, week 1 to 52, left to right.</t>
        </is>
      </c>
    </row>
    <row r="66">
      <c r="A66" t="inlineStr">
        <is>
          <t>Only columns A and B are frozen, so scrolling up and down is free. Every band repeats its own</t>
        </is>
      </c>
    </row>
    <row r="67">
      <c r="A67" t="inlineStr">
        <is>
          <t>week-number strip so you never lose your place going right.</t>
        </is>
      </c>
    </row>
    <row r="68">
      <c r="A68" t="inlineStr"/>
    </row>
    <row r="69">
      <c r="A69" t="inlineStr">
        <is>
          <t>EVERY CONSTRAINT IS THREE ROWS — the same shape you wrote in the original Group 5 model</t>
        </is>
      </c>
    </row>
    <row r="70">
      <c r="A70" t="inlineStr">
        <is>
          <t>('Available Land' / '&lt;=' / '1', Model sheet rows 16-18):</t>
        </is>
      </c>
    </row>
    <row r="71">
      <c r="A71" t="inlineStr">
        <is>
          <t xml:space="preserve">        LAND in the ground     18.0  18.0  18.0   ...   &lt;- what the plan uses</t>
        </is>
      </c>
    </row>
    <row r="72">
      <c r="A72" t="inlineStr">
        <is>
          <t xml:space="preserve">                                 &lt;=    &lt;=    &lt;=</t>
        </is>
      </c>
    </row>
    <row r="73">
      <c r="A73" t="inlineStr">
        <is>
          <t xml:space="preserve">          limit                80.0  80.0  80.0   ...   &lt;- what you have</t>
        </is>
      </c>
    </row>
    <row r="74">
      <c r="A74" t="inlineStr">
        <is>
          <t xml:space="preserve">          room left            62.0  62.0  62.0   ...</t>
        </is>
      </c>
    </row>
    <row r="75">
      <c r="A75" t="inlineStr">
        <is>
          <t>Read downwards, it IS the inequality. Three of them: LAND, COLD STORE, AMBIENT STORE.</t>
        </is>
      </c>
    </row>
    <row r="76">
      <c r="A76" t="inlineStr"/>
    </row>
    <row r="77">
      <c r="A77" s="2" t="inlineStr">
        <is>
          <t>CHECK IT WORKED — the numbers you should see on opening</t>
        </is>
      </c>
    </row>
    <row r="78">
      <c r="A78" t="inlineStr">
        <is>
          <t>Every planting 6 acres, Pack-out 1.00, Sell-through 0.85, shrink 0, sell rate 1,000,000:</t>
        </is>
      </c>
    </row>
    <row r="79">
      <c r="A79" s="3" t="inlineStr">
        <is>
          <t xml:space="preserve">     Peak LAND in the ground  18.0 acres in weeks 12-17   (you have 80)</t>
        </is>
      </c>
    </row>
    <row r="80">
      <c r="A80" s="3" t="inlineStr">
        <is>
          <t xml:space="preserve">     Peak COLD store          78.4 m3  in week 41         (cooler holds 275)</t>
        </is>
      </c>
    </row>
    <row r="81">
      <c r="A81" s="3" t="inlineStr">
        <is>
          <t xml:space="preserve">     Peak AMBIENT store       71.7 m3  in week 30         (barn holds 150)</t>
        </is>
      </c>
    </row>
    <row r="82">
      <c r="A82" s="3" t="inlineStr">
        <is>
          <t xml:space="preserve">     Stock carried out        0 lb in every week, all three crops</t>
        </is>
      </c>
    </row>
    <row r="83">
      <c r="A83" t="inlineStr">
        <is>
          <t xml:space="preserve">     Spinach  gross 60,000 lb -&gt; sold 51,000 -&gt; market loss 9,000</t>
        </is>
      </c>
    </row>
    <row r="84">
      <c r="A84" t="inlineStr">
        <is>
          <t xml:space="preserve">     Kale     gross 96,000 lb -&gt; sold 81,600 -&gt; market loss 14,400</t>
        </is>
      </c>
    </row>
    <row r="85">
      <c r="A85" t="inlineStr">
        <is>
          <t xml:space="preserve">     Garlic   gross 60,000 lb -&gt; sold 51,000 -&gt; market loss 9,000</t>
        </is>
      </c>
    </row>
    <row r="86">
      <c r="A86" t="inlineStr">
        <is>
          <t>If those do not match, tell me — do not work around it.</t>
        </is>
      </c>
    </row>
    <row r="87">
      <c r="A87" t="inlineStr"/>
    </row>
    <row r="88">
      <c r="A88" t="inlineStr">
        <is>
          <t>Note the pair in bold: closing stock is ZERO all year and the cooler is still 78.4 m3 full.</t>
        </is>
      </c>
    </row>
    <row r="89">
      <c r="A89" t="inlineStr">
        <is>
          <t>A cooler is sized by what passes THROUGH it, not by what sleeps in it. Field heat has to come</t>
        </is>
      </c>
    </row>
    <row r="90">
      <c r="A90" t="inlineStr">
        <is>
          <t>off spinach within the hour whether it ships Tuesday or Friday. The app measured end-of-week</t>
        </is>
      </c>
    </row>
    <row r="91">
      <c r="A91" t="inlineStr">
        <is>
          <t>stock for months, so a farm that sold everything the week it picked was reported as needing</t>
        </is>
      </c>
    </row>
    <row r="92">
      <c r="A92" t="inlineStr">
        <is>
          <t>no cooler at all.</t>
        </is>
      </c>
    </row>
    <row r="93">
      <c r="A93" t="inlineStr"/>
    </row>
    <row r="94">
      <c r="A94" s="2" t="inlineStr">
        <is>
          <t>THREE THINGS TO TRY</t>
        </is>
      </c>
    </row>
    <row r="95">
      <c r="A95" t="inlineStr"/>
    </row>
    <row r="96">
      <c r="A96" s="3" t="inlineStr">
        <is>
          <t>EXPERIMENT 1 — where the loss happens.  Set Pack-out to 0.85 and Sell-through to 1.00.</t>
        </is>
      </c>
    </row>
    <row r="97">
      <c r="A97" t="inlineStr">
        <is>
          <t xml:space="preserve">   Expect: peak COLD 66.6 m3, peak AMBIENT 61.0 m3, market loss 0, field cull 9,000 lb for</t>
        </is>
      </c>
    </row>
    <row r="98">
      <c r="A98" t="inlineStr">
        <is>
          <t xml:space="preserve">   Spinach. Sold is UNCHANGED at 51,000 lb. Same money, 17.6% less cooler.</t>
        </is>
      </c>
    </row>
    <row r="99">
      <c r="A99" t="inlineStr"/>
    </row>
    <row r="100">
      <c r="A100" s="3" t="inlineStr">
        <is>
          <t>EXPERIMENT 2 — overflow the stores.  Put pack-out back to 1.00, set all five acre cells</t>
        </is>
      </c>
    </row>
    <row r="101">
      <c r="A101" s="3" t="inlineStr">
        <is>
          <t xml:space="preserve">   (B6:B10) to 25.</t>
        </is>
      </c>
    </row>
    <row r="102">
      <c r="A102" t="inlineStr">
        <is>
          <t xml:space="preserve">   Expect: peak COLD 326.6 m3 (red, over 275) and peak AMBIENT 298.8 m3 (red, over 150).</t>
        </is>
      </c>
    </row>
    <row r="103">
      <c r="A103" t="inlineStr">
        <is>
          <t xml:space="preserve">   At v1's numbers the cooler survived this; it does not any more. The cooler now breaks at</t>
        </is>
      </c>
    </row>
    <row r="104">
      <c r="A104" t="inlineStr">
        <is>
          <t xml:space="preserve">   about 21.0 acres per planting instead of 24.8.</t>
        </is>
      </c>
    </row>
    <row r="105">
      <c r="A105" t="inlineStr"/>
    </row>
    <row r="106">
      <c r="A106" s="3" t="inlineStr">
        <is>
          <t>EXPERIMENT 3 — hold stock, and watch what does NOT happen.  Acres back to 6.</t>
        </is>
      </c>
    </row>
    <row r="107">
      <c r="A107" s="3" t="inlineStr">
        <is>
          <t xml:space="preserve">   Set Garlic's 'Sell rate lb/wk' (I18) to 2000.</t>
        </is>
      </c>
    </row>
    <row r="108">
      <c r="A108" t="inlineStr">
        <is>
          <t xml:space="preserve">   Expect: Garlic sells less, carries stock into next year, and trips the shelf-life warning.</t>
        </is>
      </c>
    </row>
    <row r="109">
      <c r="A109" s="3" t="inlineStr">
        <is>
          <t xml:space="preserve">   BUT peak AMBIENT is still 71.7 m3 in week 30 — exactly as before. Holding stock for months</t>
        </is>
      </c>
    </row>
    <row r="110">
      <c r="A110" t="inlineStr">
        <is>
          <t xml:space="preserve">   did not add one cubic metre, because the peak is set by the week the harvest lands.</t>
        </is>
      </c>
    </row>
    <row r="111">
      <c r="A111" t="inlineStr">
        <is>
          <t xml:space="preserve">   Then set Garlic's 'Shrink %/wk' (H18) to 2% and watch the leftovers disappear —</t>
        </is>
      </c>
    </row>
    <row r="112">
      <c r="A112" t="inlineStr">
        <is>
          <t xml:space="preserve">   shrink is what stops a long shelf life being free money.</t>
        </is>
      </c>
    </row>
    <row r="113">
      <c r="A113" t="inlineStr"/>
    </row>
    <row r="114">
      <c r="A114" s="2" t="inlineStr">
        <is>
          <t>WHAT THIS VERSION STILL DOES NOT CARRY</t>
        </is>
      </c>
    </row>
    <row r="115">
      <c r="A115" t="inlineStr">
        <is>
          <t xml:space="preserve">  - No demand caps. 'Sell rate lb/wk' is a stand-in for the buyer. The real model has</t>
        </is>
      </c>
    </row>
    <row r="116">
      <c r="A116" t="inlineStr">
        <is>
          <t xml:space="preserve">    per-channel weekly AND annual caps — that is the next layer.</t>
        </is>
      </c>
    </row>
    <row r="117">
      <c r="A117" t="inlineStr">
        <is>
          <t xml:space="preserve">  - No prices, costs, revenue or profit. This layer is physical only.</t>
        </is>
      </c>
    </row>
    <row r="118">
      <c r="A118" t="inlineStr">
        <is>
          <t xml:space="preserve">  - No cash, no labour, no water, no diversity, no planting/harvest throughput limits.</t>
        </is>
      </c>
    </row>
    <row r="119">
      <c r="A119" t="inlineStr">
        <is>
          <t xml:space="preserve">  - Shelf life is a WARNING, not enforced, and ignores the decay weighting the real</t>
        </is>
      </c>
    </row>
    <row r="120">
      <c r="A120" t="inlineStr">
        <is>
          <t xml:space="preserve">    constraint applies.</t>
        </is>
      </c>
    </row>
    <row r="121">
      <c r="A121" t="inlineStr">
        <is>
          <t xml:space="preserve">  - The real model DECIDES the acres. Here you type them.</t>
        </is>
      </c>
    </row>
    <row r="122">
      <c r="A122" t="inlineStr">
        <is>
          <t xml:space="preserve">  - The app itself does NOT yet do what this sheet does. G1/E1 is a proposal awaiting your</t>
        </is>
      </c>
    </row>
    <row r="123">
      <c r="A123" t="inlineStr">
        <is>
          <t xml:space="preserve">    decision; today the app still applies one fraction at harvest.</t>
        </is>
      </c>
    </row>
    <row r="124">
      <c r="A124" t="inlineStr"/>
    </row>
    <row r="125">
      <c r="A125" s="2" t="inlineStr">
        <is>
          <t>WHY 'Shipped' AND 'Sold' USE MIN() — AND WHY THAT IS A FINDING</t>
        </is>
      </c>
    </row>
    <row r="126">
      <c r="A126" t="inlineStr">
        <is>
          <t>MIN() is not linear, so a linear solver cannot use it. That is exactly why the real model has</t>
        </is>
      </c>
    </row>
    <row r="127">
      <c r="A127" t="inlineStr">
        <is>
          <t>no 'sold' formula: it makes pounds sold a DECISION VARIABLE and bounds it with a constraint</t>
        </is>
      </c>
    </row>
    <row r="128">
      <c r="A128" t="inlineStr">
        <is>
          <t>instead. When the spreadsheet cannot express something, that is usually telling you something</t>
        </is>
      </c>
    </row>
    <row r="129">
      <c r="A129" t="inlineStr">
        <is>
          <t>true about the solver.</t>
        </is>
      </c>
    </row>
    <row r="130">
      <c r="A130" t="inlineStr"/>
    </row>
    <row r="131">
      <c r="A131" s="2" t="inlineStr">
        <is>
          <t>!! THE SCALE WARNING — READ BEFORE CONCLUDING ANYTHING</t>
        </is>
      </c>
    </row>
    <row r="132">
      <c r="A132" t="inlineStr">
        <is>
          <t>Small models are TIGHT; large ones are LOOSE. This toy has 3 crops and 5 plantings; the real</t>
        </is>
      </c>
    </row>
    <row r="133">
      <c r="A133" t="inlineStr">
        <is>
          <t>farm has 7 crops and 220 acre-plantings. Which constraints BIND changes with scale, and this</t>
        </is>
      </c>
    </row>
    <row r="134">
      <c r="A134" t="inlineStr">
        <is>
          <t>sheet will get that wrong. It teaches MECHANISM. The app's capacity_series tells you which</t>
        </is>
      </c>
    </row>
    <row r="135">
      <c r="A135" t="inlineStr">
        <is>
          <t>constraint is actually binding on your farm. Nothing concluded here becomes a plan item</t>
        </is>
      </c>
    </row>
    <row r="136">
      <c r="A136" t="inlineStr">
        <is>
          <t>without re-measuring against the real farm.</t>
        </is>
      </c>
    </row>
    <row r="137">
      <c r="A137" t="inlineStr"/>
    </row>
    <row r="138">
      <c r="A138" s="2" t="inlineStr">
        <is>
          <t>HAS THIS SHEET BEEN CHECKED?</t>
        </is>
      </c>
    </row>
    <row r="139">
      <c r="A139" t="inlineStr">
        <is>
          <t>Yes. Every crop constant and planting date is READ FROM THE APP by the generator — nothing is</t>
        </is>
      </c>
    </row>
    <row r="140">
      <c r="A140" t="inlineStr">
        <is>
          <t>retyped. The whole workbook is CALCULATED by a formula engine and compared cell by cell</t>
        </is>
      </c>
    </row>
    <row r="141">
      <c r="A141" t="inlineStr">
        <is>
          <t>against a separate model of the same arithmetic, under two configurations. Every yellow input</t>
        </is>
      </c>
    </row>
    <row r="142">
      <c r="A142" t="inlineStr">
        <is>
          <t>is changed and the sheet re-calculated to prove it reaches the numbers at the bottom. And no</t>
        </is>
      </c>
    </row>
    <row r="143">
      <c r="A143" t="inlineStr">
        <is>
          <t>number on the Model sheet is frozen except the week strips and the week-1 zero.</t>
        </is>
      </c>
    </row>
    <row r="144">
      <c r="A144" t="inlineStr"/>
    </row>
    <row r="145">
      <c r="A145" t="inlineStr">
        <is>
          <t xml:space="preserve">  Run it yourself:   .venv/bin/python toy_models/verify_toy_v2.py</t>
        </is>
      </c>
    </row>
    <row r="146">
      <c r="A146" t="inlineStr"/>
    </row>
    <row r="147">
      <c r="A147" t="inlineStr">
        <is>
          <t>You found the frozen column in v1 within a minute of opening it. That is why these checks</t>
        </is>
      </c>
    </row>
    <row r="148">
      <c r="A148" t="inlineStr">
        <is>
          <t>exist, and why they now run on every rebuild.</t>
        </is>
      </c>
    </row>
    <row r="149">
      <c r="A149" t="inlineStr"/>
    </row>
    <row r="150">
      <c r="A150" s="2" t="inlineStr">
        <is>
          <t>WHERE THE NUMBERS COME FROM</t>
        </is>
      </c>
    </row>
    <row r="151">
      <c r="A151" t="inlineStr">
        <is>
          <t>Crop constants from tests/golden/default_farm_payload.json; planting calendar from the app's</t>
        </is>
      </c>
    </row>
    <row r="152">
      <c r="A152" t="inlineStr">
        <is>
          <t>own succession generator. See the 'Crop data' sheet. Regenerate after any crop-data change:</t>
        </is>
      </c>
    </row>
    <row r="153">
      <c r="A153" t="inlineStr">
        <is>
          <t xml:space="preserve">     python3 toy_models/build_toy_v2.py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5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0" customWidth="1" min="1" max="1"/>
    <col width="13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  <col width="8.5" customWidth="1" min="47" max="47"/>
    <col width="8.5" customWidth="1" min="48" max="48"/>
    <col width="8.5" customWidth="1" min="49" max="49"/>
    <col width="8.5" customWidth="1" min="50" max="50"/>
    <col width="8.5" customWidth="1" min="51" max="51"/>
    <col width="8.5" customWidth="1" min="52" max="52"/>
    <col width="8.5" customWidth="1" min="53" max="53"/>
    <col width="8.5" customWidth="1" min="54" max="54"/>
  </cols>
  <sheetData>
    <row r="1">
      <c r="A1" s="1" t="inlineStr">
        <is>
          <t>FARM TOY MODEL — v1: the spine + storage</t>
        </is>
      </c>
    </row>
    <row r="2">
      <c r="A2" s="4" t="inlineStr">
        <is>
          <t>Type in the YELLOW cells only. Everything else is a formula. Read the 'READ ME' sheet first.</t>
        </is>
      </c>
    </row>
    <row r="4">
      <c r="A4" s="2" t="inlineStr">
        <is>
          <t>1 — WHAT YOU PLANT   (acres)</t>
        </is>
      </c>
    </row>
    <row r="5">
      <c r="A5" s="5" t="inlineStr">
        <is>
          <t>Succession</t>
        </is>
      </c>
      <c r="B5" s="5" t="inlineStr">
        <is>
          <t>Acres</t>
        </is>
      </c>
      <c r="C5" s="5" t="inlineStr">
        <is>
          <t>Crop</t>
        </is>
      </c>
      <c r="D5" s="5" t="inlineStr">
        <is>
          <t>Harvest weeks</t>
        </is>
      </c>
      <c r="E5" s="5" t="inlineStr">
        <is>
          <t>gross lb/harvest wk per acre</t>
        </is>
      </c>
    </row>
    <row r="6">
      <c r="A6" s="6" t="inlineStr">
        <is>
          <t>Spinach W10</t>
        </is>
      </c>
      <c r="B6" s="7" t="n">
        <v>6</v>
      </c>
      <c r="C6" s="6" t="inlineStr">
        <is>
          <t>Spinach</t>
        </is>
      </c>
      <c r="D6" s="8" t="inlineStr">
        <is>
          <t>W16, W17</t>
        </is>
      </c>
      <c r="E6" s="9">
        <f>$B$16/2</f>
        <v/>
      </c>
    </row>
    <row r="7">
      <c r="A7" s="6" t="inlineStr">
        <is>
          <t>Spinach W34</t>
        </is>
      </c>
      <c r="B7" s="7" t="n">
        <v>6</v>
      </c>
      <c r="C7" s="6" t="inlineStr">
        <is>
          <t>Spinach</t>
        </is>
      </c>
      <c r="D7" s="8" t="inlineStr">
        <is>
          <t>W40, W41</t>
        </is>
      </c>
      <c r="E7" s="9">
        <f>$B$16/2</f>
        <v/>
      </c>
    </row>
    <row r="8">
      <c r="A8" s="6" t="inlineStr">
        <is>
          <t>Kale W12</t>
        </is>
      </c>
      <c r="B8" s="7" t="n">
        <v>6</v>
      </c>
      <c r="C8" s="6" t="inlineStr">
        <is>
          <t>Kale</t>
        </is>
      </c>
      <c r="D8" s="8" t="inlineStr">
        <is>
          <t>W21, W22, W23, W24</t>
        </is>
      </c>
      <c r="E8" s="9">
        <f>$B$17/4</f>
        <v/>
      </c>
    </row>
    <row r="9">
      <c r="A9" s="6" t="inlineStr">
        <is>
          <t>Kale W32</t>
        </is>
      </c>
      <c r="B9" s="7" t="n">
        <v>6</v>
      </c>
      <c r="C9" s="6" t="inlineStr">
        <is>
          <t>Kale</t>
        </is>
      </c>
      <c r="D9" s="8" t="inlineStr">
        <is>
          <t>W41, W42, W43, W44</t>
        </is>
      </c>
      <c r="E9" s="9">
        <f>$B$17/4</f>
        <v/>
      </c>
    </row>
    <row r="10">
      <c r="A10" s="6" t="inlineStr">
        <is>
          <t>Garlic W47</t>
        </is>
      </c>
      <c r="B10" s="7" t="n">
        <v>6</v>
      </c>
      <c r="C10" s="6" t="inlineStr">
        <is>
          <t>Garlic</t>
        </is>
      </c>
      <c r="D10" s="8" t="inlineStr">
        <is>
          <t>W30</t>
        </is>
      </c>
      <c r="E10" s="9">
        <f>$B$18/1</f>
        <v/>
      </c>
    </row>
    <row r="11">
      <c r="A11" s="3" t="inlineStr">
        <is>
          <t>Total acres planted</t>
        </is>
      </c>
      <c r="B11" s="10">
        <f>SUM(B6:B10)</f>
        <v/>
      </c>
      <c r="C11" s="4" t="inlineStr">
        <is>
          <t>sum of the five above — but they overlap in time, so this is NOT peak land use</t>
        </is>
      </c>
    </row>
    <row r="12">
      <c r="A12" s="3" t="inlineStr">
        <is>
          <t>Land you have</t>
        </is>
      </c>
      <c r="B12" s="7" t="n">
        <v>80</v>
      </c>
      <c r="C12" s="4" t="inlineStr">
        <is>
          <t>acres — the limit the 'LAND in the ground' rows below are measured against</t>
        </is>
      </c>
    </row>
    <row r="14">
      <c r="A14" s="2" t="inlineStr">
        <is>
          <t>2 — HOW EACH CROP BEHAVES</t>
        </is>
      </c>
    </row>
    <row r="15">
      <c r="A15" s="5" t="inlineStr">
        <is>
          <t>Crop</t>
        </is>
      </c>
      <c r="B15" s="5" t="inlineStr">
        <is>
          <t>Yield lb/acre</t>
        </is>
      </c>
      <c r="C15" s="5" t="inlineStr">
        <is>
          <t>Pack-out</t>
        </is>
      </c>
      <c r="D15" s="5" t="inlineStr">
        <is>
          <t>Sell-through</t>
        </is>
      </c>
      <c r="E15" s="5" t="inlineStr">
        <is>
          <t>m3 per lb</t>
        </is>
      </c>
      <c r="F15" s="5" t="inlineStr">
        <is>
          <t>Store</t>
        </is>
      </c>
      <c r="G15" s="5" t="inlineStr">
        <is>
          <t>Shelf life wk</t>
        </is>
      </c>
      <c r="H15" s="5" t="inlineStr">
        <is>
          <t>Shrink %/wk</t>
        </is>
      </c>
      <c r="I15" s="5" t="inlineStr">
        <is>
          <t>Sell rate lb/wk</t>
        </is>
      </c>
    </row>
    <row r="16">
      <c r="A16" s="6" t="inlineStr">
        <is>
          <t>Spinach</t>
        </is>
      </c>
      <c r="B16" s="11" t="n">
        <v>5000</v>
      </c>
      <c r="C16" s="12" t="n">
        <v>1</v>
      </c>
      <c r="D16" s="12" t="n">
        <v>0.85</v>
      </c>
      <c r="E16" s="13" t="n">
        <v>0.002197967741935484</v>
      </c>
      <c r="F16" s="14" t="inlineStr">
        <is>
          <t>Cold</t>
        </is>
      </c>
      <c r="G16" s="15" t="n">
        <v>2</v>
      </c>
      <c r="H16" s="16" t="n">
        <v>0</v>
      </c>
      <c r="I16" s="11" t="n">
        <v>1000000</v>
      </c>
    </row>
    <row r="17">
      <c r="A17" s="6" t="inlineStr">
        <is>
          <t>Kale</t>
        </is>
      </c>
      <c r="B17" s="11" t="n">
        <v>8000</v>
      </c>
      <c r="C17" s="12" t="n">
        <v>1</v>
      </c>
      <c r="D17" s="12" t="n">
        <v>0.85</v>
      </c>
      <c r="E17" s="13" t="n">
        <v>0.003785388888888889</v>
      </c>
      <c r="F17" s="14" t="inlineStr">
        <is>
          <t>Cold</t>
        </is>
      </c>
      <c r="G17" s="15" t="n">
        <v>2</v>
      </c>
      <c r="H17" s="16" t="n">
        <v>0</v>
      </c>
      <c r="I17" s="11" t="n">
        <v>1000000</v>
      </c>
    </row>
    <row r="18">
      <c r="A18" s="6" t="inlineStr">
        <is>
          <t>Garlic</t>
        </is>
      </c>
      <c r="B18" s="11" t="n">
        <v>10000</v>
      </c>
      <c r="C18" s="12" t="n">
        <v>1</v>
      </c>
      <c r="D18" s="12" t="n">
        <v>0.85</v>
      </c>
      <c r="E18" s="13" t="n">
        <v>0.001195385964912281</v>
      </c>
      <c r="F18" s="17" t="inlineStr">
        <is>
          <t>Ambient</t>
        </is>
      </c>
      <c r="G18" s="15" t="n">
        <v>16</v>
      </c>
      <c r="H18" s="16" t="n">
        <v>0</v>
      </c>
      <c r="I18" s="11" t="n">
        <v>1000000</v>
      </c>
    </row>
    <row r="19">
      <c r="A19" s="4" t="inlineStr">
        <is>
          <t>Shrink is weight lost in store each week. Sell rate stands in for the buyer (layer 2 makes it real).</t>
        </is>
      </c>
    </row>
    <row r="21">
      <c r="A21" s="2" t="inlineStr">
        <is>
          <t>3 — WHAT YOU CAN STORE</t>
        </is>
      </c>
    </row>
    <row r="22">
      <c r="A22" s="6" t="inlineStr">
        <is>
          <t>Cold store (cooler) capacity</t>
        </is>
      </c>
      <c r="B22" s="11" t="n">
        <v>275</v>
      </c>
      <c r="C22" s="4" t="inlineStr">
        <is>
          <t>m3   — Spinach, Kale</t>
        </is>
      </c>
    </row>
    <row r="23">
      <c r="A23" s="6" t="inlineStr">
        <is>
          <t>Ambient store (barn) capacity</t>
        </is>
      </c>
      <c r="B23" s="11" t="n">
        <v>150</v>
      </c>
      <c r="C23" s="4" t="inlineStr">
        <is>
          <t>m3   — Garlic (cured; the cooler would damage it)</t>
        </is>
      </c>
    </row>
    <row r="25">
      <c r="A25" s="2" t="inlineStr">
        <is>
          <t>4 — THE YEAR, WEEK BY WEEK</t>
        </is>
      </c>
    </row>
    <row r="26">
      <c r="A26" s="18" t="inlineStr">
        <is>
          <t>Week</t>
        </is>
      </c>
      <c r="B26" s="19" t="inlineStr"/>
      <c r="C26" s="20" t="n">
        <v>1</v>
      </c>
      <c r="D26" s="20" t="n">
        <v>2</v>
      </c>
      <c r="E26" s="20" t="n">
        <v>3</v>
      </c>
      <c r="F26" s="20" t="n">
        <v>4</v>
      </c>
      <c r="G26" s="20" t="n">
        <v>5</v>
      </c>
      <c r="H26" s="20" t="n">
        <v>6</v>
      </c>
      <c r="I26" s="20" t="n">
        <v>7</v>
      </c>
      <c r="J26" s="20" t="n">
        <v>8</v>
      </c>
      <c r="K26" s="20" t="n">
        <v>9</v>
      </c>
      <c r="L26" s="20" t="n">
        <v>10</v>
      </c>
      <c r="M26" s="20" t="n">
        <v>11</v>
      </c>
      <c r="N26" s="20" t="n">
        <v>12</v>
      </c>
      <c r="O26" s="20" t="n">
        <v>13</v>
      </c>
      <c r="P26" s="20" t="n">
        <v>14</v>
      </c>
      <c r="Q26" s="20" t="n">
        <v>15</v>
      </c>
      <c r="R26" s="20" t="n">
        <v>16</v>
      </c>
      <c r="S26" s="20" t="n">
        <v>17</v>
      </c>
      <c r="T26" s="20" t="n">
        <v>18</v>
      </c>
      <c r="U26" s="20" t="n">
        <v>19</v>
      </c>
      <c r="V26" s="20" t="n">
        <v>20</v>
      </c>
      <c r="W26" s="20" t="n">
        <v>21</v>
      </c>
      <c r="X26" s="20" t="n">
        <v>22</v>
      </c>
      <c r="Y26" s="20" t="n">
        <v>23</v>
      </c>
      <c r="Z26" s="20" t="n">
        <v>24</v>
      </c>
      <c r="AA26" s="20" t="n">
        <v>25</v>
      </c>
      <c r="AB26" s="20" t="n">
        <v>26</v>
      </c>
      <c r="AC26" s="20" t="n">
        <v>27</v>
      </c>
      <c r="AD26" s="20" t="n">
        <v>28</v>
      </c>
      <c r="AE26" s="20" t="n">
        <v>29</v>
      </c>
      <c r="AF26" s="20" t="n">
        <v>30</v>
      </c>
      <c r="AG26" s="20" t="n">
        <v>31</v>
      </c>
      <c r="AH26" s="20" t="n">
        <v>32</v>
      </c>
      <c r="AI26" s="20" t="n">
        <v>33</v>
      </c>
      <c r="AJ26" s="20" t="n">
        <v>34</v>
      </c>
      <c r="AK26" s="20" t="n">
        <v>35</v>
      </c>
      <c r="AL26" s="20" t="n">
        <v>36</v>
      </c>
      <c r="AM26" s="20" t="n">
        <v>37</v>
      </c>
      <c r="AN26" s="20" t="n">
        <v>38</v>
      </c>
      <c r="AO26" s="20" t="n">
        <v>39</v>
      </c>
      <c r="AP26" s="20" t="n">
        <v>40</v>
      </c>
      <c r="AQ26" s="20" t="n">
        <v>41</v>
      </c>
      <c r="AR26" s="20" t="n">
        <v>42</v>
      </c>
      <c r="AS26" s="20" t="n">
        <v>43</v>
      </c>
      <c r="AT26" s="20" t="n">
        <v>44</v>
      </c>
      <c r="AU26" s="20" t="n">
        <v>45</v>
      </c>
      <c r="AV26" s="20" t="n">
        <v>46</v>
      </c>
      <c r="AW26" s="20" t="n">
        <v>47</v>
      </c>
      <c r="AX26" s="20" t="n">
        <v>48</v>
      </c>
      <c r="AY26" s="20" t="n">
        <v>49</v>
      </c>
      <c r="AZ26" s="20" t="n">
        <v>50</v>
      </c>
      <c r="BA26" s="20" t="n">
        <v>51</v>
      </c>
      <c r="BB26" s="20" t="n">
        <v>52</v>
      </c>
    </row>
    <row r="27">
      <c r="A27" s="3" t="inlineStr">
        <is>
          <t>PLANTING CALENDAR</t>
        </is>
      </c>
    </row>
    <row r="28">
      <c r="A28" s="21" t="inlineStr">
        <is>
          <t>Spinach W10</t>
        </is>
      </c>
      <c r="B28" s="4" t="inlineStr">
        <is>
          <t>P/G/H</t>
        </is>
      </c>
      <c r="L28" s="22" t="inlineStr">
        <is>
          <t>P</t>
        </is>
      </c>
      <c r="M28" s="22" t="inlineStr">
        <is>
          <t>G</t>
        </is>
      </c>
      <c r="N28" s="22" t="inlineStr">
        <is>
          <t>G</t>
        </is>
      </c>
      <c r="O28" s="22" t="inlineStr">
        <is>
          <t>G</t>
        </is>
      </c>
      <c r="P28" s="22" t="inlineStr">
        <is>
          <t>G</t>
        </is>
      </c>
      <c r="Q28" s="22" t="inlineStr">
        <is>
          <t>G</t>
        </is>
      </c>
      <c r="R28" s="22" t="inlineStr">
        <is>
          <t>H</t>
        </is>
      </c>
      <c r="S28" s="22" t="inlineStr">
        <is>
          <t>H</t>
        </is>
      </c>
    </row>
    <row r="29">
      <c r="A29" s="21" t="inlineStr">
        <is>
          <t xml:space="preserve">   lbs harvested (GROSS)</t>
        </is>
      </c>
      <c r="B29" s="4" t="inlineStr">
        <is>
          <t>lb</t>
        </is>
      </c>
      <c r="C29" s="23">
        <f>IF(C28="H",$B$6*$B$16/2,0)</f>
        <v/>
      </c>
      <c r="D29" s="23">
        <f>IF(D28="H",$B$6*$B$16/2,0)</f>
        <v/>
      </c>
      <c r="E29" s="23">
        <f>IF(E28="H",$B$6*$B$16/2,0)</f>
        <v/>
      </c>
      <c r="F29" s="23">
        <f>IF(F28="H",$B$6*$B$16/2,0)</f>
        <v/>
      </c>
      <c r="G29" s="23">
        <f>IF(G28="H",$B$6*$B$16/2,0)</f>
        <v/>
      </c>
      <c r="H29" s="23">
        <f>IF(H28="H",$B$6*$B$16/2,0)</f>
        <v/>
      </c>
      <c r="I29" s="23">
        <f>IF(I28="H",$B$6*$B$16/2,0)</f>
        <v/>
      </c>
      <c r="J29" s="23">
        <f>IF(J28="H",$B$6*$B$16/2,0)</f>
        <v/>
      </c>
      <c r="K29" s="23">
        <f>IF(K28="H",$B$6*$B$16/2,0)</f>
        <v/>
      </c>
      <c r="L29" s="23">
        <f>IF(L28="H",$B$6*$B$16/2,0)</f>
        <v/>
      </c>
      <c r="M29" s="23">
        <f>IF(M28="H",$B$6*$B$16/2,0)</f>
        <v/>
      </c>
      <c r="N29" s="23">
        <f>IF(N28="H",$B$6*$B$16/2,0)</f>
        <v/>
      </c>
      <c r="O29" s="23">
        <f>IF(O28="H",$B$6*$B$16/2,0)</f>
        <v/>
      </c>
      <c r="P29" s="23">
        <f>IF(P28="H",$B$6*$B$16/2,0)</f>
        <v/>
      </c>
      <c r="Q29" s="23">
        <f>IF(Q28="H",$B$6*$B$16/2,0)</f>
        <v/>
      </c>
      <c r="R29" s="23">
        <f>IF(R28="H",$B$6*$B$16/2,0)</f>
        <v/>
      </c>
      <c r="S29" s="23">
        <f>IF(S28="H",$B$6*$B$16/2,0)</f>
        <v/>
      </c>
      <c r="T29" s="23">
        <f>IF(T28="H",$B$6*$B$16/2,0)</f>
        <v/>
      </c>
      <c r="U29" s="23">
        <f>IF(U28="H",$B$6*$B$16/2,0)</f>
        <v/>
      </c>
      <c r="V29" s="23">
        <f>IF(V28="H",$B$6*$B$16/2,0)</f>
        <v/>
      </c>
      <c r="W29" s="23">
        <f>IF(W28="H",$B$6*$B$16/2,0)</f>
        <v/>
      </c>
      <c r="X29" s="23">
        <f>IF(X28="H",$B$6*$B$16/2,0)</f>
        <v/>
      </c>
      <c r="Y29" s="23">
        <f>IF(Y28="H",$B$6*$B$16/2,0)</f>
        <v/>
      </c>
      <c r="Z29" s="23">
        <f>IF(Z28="H",$B$6*$B$16/2,0)</f>
        <v/>
      </c>
      <c r="AA29" s="23">
        <f>IF(AA28="H",$B$6*$B$16/2,0)</f>
        <v/>
      </c>
      <c r="AB29" s="23">
        <f>IF(AB28="H",$B$6*$B$16/2,0)</f>
        <v/>
      </c>
      <c r="AC29" s="23">
        <f>IF(AC28="H",$B$6*$B$16/2,0)</f>
        <v/>
      </c>
      <c r="AD29" s="23">
        <f>IF(AD28="H",$B$6*$B$16/2,0)</f>
        <v/>
      </c>
      <c r="AE29" s="23">
        <f>IF(AE28="H",$B$6*$B$16/2,0)</f>
        <v/>
      </c>
      <c r="AF29" s="23">
        <f>IF(AF28="H",$B$6*$B$16/2,0)</f>
        <v/>
      </c>
      <c r="AG29" s="23">
        <f>IF(AG28="H",$B$6*$B$16/2,0)</f>
        <v/>
      </c>
      <c r="AH29" s="23">
        <f>IF(AH28="H",$B$6*$B$16/2,0)</f>
        <v/>
      </c>
      <c r="AI29" s="23">
        <f>IF(AI28="H",$B$6*$B$16/2,0)</f>
        <v/>
      </c>
      <c r="AJ29" s="23">
        <f>IF(AJ28="H",$B$6*$B$16/2,0)</f>
        <v/>
      </c>
      <c r="AK29" s="23">
        <f>IF(AK28="H",$B$6*$B$16/2,0)</f>
        <v/>
      </c>
      <c r="AL29" s="23">
        <f>IF(AL28="H",$B$6*$B$16/2,0)</f>
        <v/>
      </c>
      <c r="AM29" s="23">
        <f>IF(AM28="H",$B$6*$B$16/2,0)</f>
        <v/>
      </c>
      <c r="AN29" s="23">
        <f>IF(AN28="H",$B$6*$B$16/2,0)</f>
        <v/>
      </c>
      <c r="AO29" s="23">
        <f>IF(AO28="H",$B$6*$B$16/2,0)</f>
        <v/>
      </c>
      <c r="AP29" s="23">
        <f>IF(AP28="H",$B$6*$B$16/2,0)</f>
        <v/>
      </c>
      <c r="AQ29" s="23">
        <f>IF(AQ28="H",$B$6*$B$16/2,0)</f>
        <v/>
      </c>
      <c r="AR29" s="23">
        <f>IF(AR28="H",$B$6*$B$16/2,0)</f>
        <v/>
      </c>
      <c r="AS29" s="23">
        <f>IF(AS28="H",$B$6*$B$16/2,0)</f>
        <v/>
      </c>
      <c r="AT29" s="23">
        <f>IF(AT28="H",$B$6*$B$16/2,0)</f>
        <v/>
      </c>
      <c r="AU29" s="23">
        <f>IF(AU28="H",$B$6*$B$16/2,0)</f>
        <v/>
      </c>
      <c r="AV29" s="23">
        <f>IF(AV28="H",$B$6*$B$16/2,0)</f>
        <v/>
      </c>
      <c r="AW29" s="23">
        <f>IF(AW28="H",$B$6*$B$16/2,0)</f>
        <v/>
      </c>
      <c r="AX29" s="23">
        <f>IF(AX28="H",$B$6*$B$16/2,0)</f>
        <v/>
      </c>
      <c r="AY29" s="23">
        <f>IF(AY28="H",$B$6*$B$16/2,0)</f>
        <v/>
      </c>
      <c r="AZ29" s="23">
        <f>IF(AZ28="H",$B$6*$B$16/2,0)</f>
        <v/>
      </c>
      <c r="BA29" s="23">
        <f>IF(BA28="H",$B$6*$B$16/2,0)</f>
        <v/>
      </c>
      <c r="BB29" s="23">
        <f>IF(BB28="H",$B$6*$B$16/2,0)</f>
        <v/>
      </c>
    </row>
    <row r="30">
      <c r="A30" s="21" t="inlineStr">
        <is>
          <t>Spinach W34</t>
        </is>
      </c>
      <c r="B30" s="4" t="inlineStr">
        <is>
          <t>P/G/H</t>
        </is>
      </c>
      <c r="AJ30" s="22" t="inlineStr">
        <is>
          <t>P</t>
        </is>
      </c>
      <c r="AK30" s="22" t="inlineStr">
        <is>
          <t>G</t>
        </is>
      </c>
      <c r="AL30" s="22" t="inlineStr">
        <is>
          <t>G</t>
        </is>
      </c>
      <c r="AM30" s="22" t="inlineStr">
        <is>
          <t>G</t>
        </is>
      </c>
      <c r="AN30" s="22" t="inlineStr">
        <is>
          <t>G</t>
        </is>
      </c>
      <c r="AO30" s="22" t="inlineStr">
        <is>
          <t>G</t>
        </is>
      </c>
      <c r="AP30" s="22" t="inlineStr">
        <is>
          <t>H</t>
        </is>
      </c>
      <c r="AQ30" s="22" t="inlineStr">
        <is>
          <t>H</t>
        </is>
      </c>
    </row>
    <row r="31">
      <c r="A31" s="21" t="inlineStr">
        <is>
          <t xml:space="preserve">   lbs harvested (GROSS)</t>
        </is>
      </c>
      <c r="B31" s="4" t="inlineStr">
        <is>
          <t>lb</t>
        </is>
      </c>
      <c r="C31" s="23">
        <f>IF(C30="H",$B$7*$B$16/2,0)</f>
        <v/>
      </c>
      <c r="D31" s="23">
        <f>IF(D30="H",$B$7*$B$16/2,0)</f>
        <v/>
      </c>
      <c r="E31" s="23">
        <f>IF(E30="H",$B$7*$B$16/2,0)</f>
        <v/>
      </c>
      <c r="F31" s="23">
        <f>IF(F30="H",$B$7*$B$16/2,0)</f>
        <v/>
      </c>
      <c r="G31" s="23">
        <f>IF(G30="H",$B$7*$B$16/2,0)</f>
        <v/>
      </c>
      <c r="H31" s="23">
        <f>IF(H30="H",$B$7*$B$16/2,0)</f>
        <v/>
      </c>
      <c r="I31" s="23">
        <f>IF(I30="H",$B$7*$B$16/2,0)</f>
        <v/>
      </c>
      <c r="J31" s="23">
        <f>IF(J30="H",$B$7*$B$16/2,0)</f>
        <v/>
      </c>
      <c r="K31" s="23">
        <f>IF(K30="H",$B$7*$B$16/2,0)</f>
        <v/>
      </c>
      <c r="L31" s="23">
        <f>IF(L30="H",$B$7*$B$16/2,0)</f>
        <v/>
      </c>
      <c r="M31" s="23">
        <f>IF(M30="H",$B$7*$B$16/2,0)</f>
        <v/>
      </c>
      <c r="N31" s="23">
        <f>IF(N30="H",$B$7*$B$16/2,0)</f>
        <v/>
      </c>
      <c r="O31" s="23">
        <f>IF(O30="H",$B$7*$B$16/2,0)</f>
        <v/>
      </c>
      <c r="P31" s="23">
        <f>IF(P30="H",$B$7*$B$16/2,0)</f>
        <v/>
      </c>
      <c r="Q31" s="23">
        <f>IF(Q30="H",$B$7*$B$16/2,0)</f>
        <v/>
      </c>
      <c r="R31" s="23">
        <f>IF(R30="H",$B$7*$B$16/2,0)</f>
        <v/>
      </c>
      <c r="S31" s="23">
        <f>IF(S30="H",$B$7*$B$16/2,0)</f>
        <v/>
      </c>
      <c r="T31" s="23">
        <f>IF(T30="H",$B$7*$B$16/2,0)</f>
        <v/>
      </c>
      <c r="U31" s="23">
        <f>IF(U30="H",$B$7*$B$16/2,0)</f>
        <v/>
      </c>
      <c r="V31" s="23">
        <f>IF(V30="H",$B$7*$B$16/2,0)</f>
        <v/>
      </c>
      <c r="W31" s="23">
        <f>IF(W30="H",$B$7*$B$16/2,0)</f>
        <v/>
      </c>
      <c r="X31" s="23">
        <f>IF(X30="H",$B$7*$B$16/2,0)</f>
        <v/>
      </c>
      <c r="Y31" s="23">
        <f>IF(Y30="H",$B$7*$B$16/2,0)</f>
        <v/>
      </c>
      <c r="Z31" s="23">
        <f>IF(Z30="H",$B$7*$B$16/2,0)</f>
        <v/>
      </c>
      <c r="AA31" s="23">
        <f>IF(AA30="H",$B$7*$B$16/2,0)</f>
        <v/>
      </c>
      <c r="AB31" s="23">
        <f>IF(AB30="H",$B$7*$B$16/2,0)</f>
        <v/>
      </c>
      <c r="AC31" s="23">
        <f>IF(AC30="H",$B$7*$B$16/2,0)</f>
        <v/>
      </c>
      <c r="AD31" s="23">
        <f>IF(AD30="H",$B$7*$B$16/2,0)</f>
        <v/>
      </c>
      <c r="AE31" s="23">
        <f>IF(AE30="H",$B$7*$B$16/2,0)</f>
        <v/>
      </c>
      <c r="AF31" s="23">
        <f>IF(AF30="H",$B$7*$B$16/2,0)</f>
        <v/>
      </c>
      <c r="AG31" s="23">
        <f>IF(AG30="H",$B$7*$B$16/2,0)</f>
        <v/>
      </c>
      <c r="AH31" s="23">
        <f>IF(AH30="H",$B$7*$B$16/2,0)</f>
        <v/>
      </c>
      <c r="AI31" s="23">
        <f>IF(AI30="H",$B$7*$B$16/2,0)</f>
        <v/>
      </c>
      <c r="AJ31" s="23">
        <f>IF(AJ30="H",$B$7*$B$16/2,0)</f>
        <v/>
      </c>
      <c r="AK31" s="23">
        <f>IF(AK30="H",$B$7*$B$16/2,0)</f>
        <v/>
      </c>
      <c r="AL31" s="23">
        <f>IF(AL30="H",$B$7*$B$16/2,0)</f>
        <v/>
      </c>
      <c r="AM31" s="23">
        <f>IF(AM30="H",$B$7*$B$16/2,0)</f>
        <v/>
      </c>
      <c r="AN31" s="23">
        <f>IF(AN30="H",$B$7*$B$16/2,0)</f>
        <v/>
      </c>
      <c r="AO31" s="23">
        <f>IF(AO30="H",$B$7*$B$16/2,0)</f>
        <v/>
      </c>
      <c r="AP31" s="23">
        <f>IF(AP30="H",$B$7*$B$16/2,0)</f>
        <v/>
      </c>
      <c r="AQ31" s="23">
        <f>IF(AQ30="H",$B$7*$B$16/2,0)</f>
        <v/>
      </c>
      <c r="AR31" s="23">
        <f>IF(AR30="H",$B$7*$B$16/2,0)</f>
        <v/>
      </c>
      <c r="AS31" s="23">
        <f>IF(AS30="H",$B$7*$B$16/2,0)</f>
        <v/>
      </c>
      <c r="AT31" s="23">
        <f>IF(AT30="H",$B$7*$B$16/2,0)</f>
        <v/>
      </c>
      <c r="AU31" s="23">
        <f>IF(AU30="H",$B$7*$B$16/2,0)</f>
        <v/>
      </c>
      <c r="AV31" s="23">
        <f>IF(AV30="H",$B$7*$B$16/2,0)</f>
        <v/>
      </c>
      <c r="AW31" s="23">
        <f>IF(AW30="H",$B$7*$B$16/2,0)</f>
        <v/>
      </c>
      <c r="AX31" s="23">
        <f>IF(AX30="H",$B$7*$B$16/2,0)</f>
        <v/>
      </c>
      <c r="AY31" s="23">
        <f>IF(AY30="H",$B$7*$B$16/2,0)</f>
        <v/>
      </c>
      <c r="AZ31" s="23">
        <f>IF(AZ30="H",$B$7*$B$16/2,0)</f>
        <v/>
      </c>
      <c r="BA31" s="23">
        <f>IF(BA30="H",$B$7*$B$16/2,0)</f>
        <v/>
      </c>
      <c r="BB31" s="23">
        <f>IF(BB30="H",$B$7*$B$16/2,0)</f>
        <v/>
      </c>
    </row>
    <row r="32">
      <c r="A32" s="21" t="inlineStr">
        <is>
          <t>Kale W12</t>
        </is>
      </c>
      <c r="B32" s="4" t="inlineStr">
        <is>
          <t>P/G/H</t>
        </is>
      </c>
      <c r="N32" s="22" t="inlineStr">
        <is>
          <t>P</t>
        </is>
      </c>
      <c r="O32" s="22" t="inlineStr">
        <is>
          <t>G</t>
        </is>
      </c>
      <c r="P32" s="22" t="inlineStr">
        <is>
          <t>G</t>
        </is>
      </c>
      <c r="Q32" s="22" t="inlineStr">
        <is>
          <t>G</t>
        </is>
      </c>
      <c r="R32" s="22" t="inlineStr">
        <is>
          <t>G</t>
        </is>
      </c>
      <c r="S32" s="22" t="inlineStr">
        <is>
          <t>G</t>
        </is>
      </c>
      <c r="T32" s="22" t="inlineStr">
        <is>
          <t>G</t>
        </is>
      </c>
      <c r="U32" s="22" t="inlineStr">
        <is>
          <t>G</t>
        </is>
      </c>
      <c r="V32" s="22" t="inlineStr">
        <is>
          <t>G</t>
        </is>
      </c>
      <c r="W32" s="22" t="inlineStr">
        <is>
          <t>H</t>
        </is>
      </c>
      <c r="X32" s="22" t="inlineStr">
        <is>
          <t>H</t>
        </is>
      </c>
      <c r="Y32" s="22" t="inlineStr">
        <is>
          <t>H</t>
        </is>
      </c>
      <c r="Z32" s="22" t="inlineStr">
        <is>
          <t>H</t>
        </is>
      </c>
    </row>
    <row r="33">
      <c r="A33" s="21" t="inlineStr">
        <is>
          <t xml:space="preserve">   lbs harvested (GROSS)</t>
        </is>
      </c>
      <c r="B33" s="4" t="inlineStr">
        <is>
          <t>lb</t>
        </is>
      </c>
      <c r="C33" s="23">
        <f>IF(C32="H",$B$8*$B$17/4,0)</f>
        <v/>
      </c>
      <c r="D33" s="23">
        <f>IF(D32="H",$B$8*$B$17/4,0)</f>
        <v/>
      </c>
      <c r="E33" s="23">
        <f>IF(E32="H",$B$8*$B$17/4,0)</f>
        <v/>
      </c>
      <c r="F33" s="23">
        <f>IF(F32="H",$B$8*$B$17/4,0)</f>
        <v/>
      </c>
      <c r="G33" s="23">
        <f>IF(G32="H",$B$8*$B$17/4,0)</f>
        <v/>
      </c>
      <c r="H33" s="23">
        <f>IF(H32="H",$B$8*$B$17/4,0)</f>
        <v/>
      </c>
      <c r="I33" s="23">
        <f>IF(I32="H",$B$8*$B$17/4,0)</f>
        <v/>
      </c>
      <c r="J33" s="23">
        <f>IF(J32="H",$B$8*$B$17/4,0)</f>
        <v/>
      </c>
      <c r="K33" s="23">
        <f>IF(K32="H",$B$8*$B$17/4,0)</f>
        <v/>
      </c>
      <c r="L33" s="23">
        <f>IF(L32="H",$B$8*$B$17/4,0)</f>
        <v/>
      </c>
      <c r="M33" s="23">
        <f>IF(M32="H",$B$8*$B$17/4,0)</f>
        <v/>
      </c>
      <c r="N33" s="23">
        <f>IF(N32="H",$B$8*$B$17/4,0)</f>
        <v/>
      </c>
      <c r="O33" s="23">
        <f>IF(O32="H",$B$8*$B$17/4,0)</f>
        <v/>
      </c>
      <c r="P33" s="23">
        <f>IF(P32="H",$B$8*$B$17/4,0)</f>
        <v/>
      </c>
      <c r="Q33" s="23">
        <f>IF(Q32="H",$B$8*$B$17/4,0)</f>
        <v/>
      </c>
      <c r="R33" s="23">
        <f>IF(R32="H",$B$8*$B$17/4,0)</f>
        <v/>
      </c>
      <c r="S33" s="23">
        <f>IF(S32="H",$B$8*$B$17/4,0)</f>
        <v/>
      </c>
      <c r="T33" s="23">
        <f>IF(T32="H",$B$8*$B$17/4,0)</f>
        <v/>
      </c>
      <c r="U33" s="23">
        <f>IF(U32="H",$B$8*$B$17/4,0)</f>
        <v/>
      </c>
      <c r="V33" s="23">
        <f>IF(V32="H",$B$8*$B$17/4,0)</f>
        <v/>
      </c>
      <c r="W33" s="23">
        <f>IF(W32="H",$B$8*$B$17/4,0)</f>
        <v/>
      </c>
      <c r="X33" s="23">
        <f>IF(X32="H",$B$8*$B$17/4,0)</f>
        <v/>
      </c>
      <c r="Y33" s="23">
        <f>IF(Y32="H",$B$8*$B$17/4,0)</f>
        <v/>
      </c>
      <c r="Z33" s="23">
        <f>IF(Z32="H",$B$8*$B$17/4,0)</f>
        <v/>
      </c>
      <c r="AA33" s="23">
        <f>IF(AA32="H",$B$8*$B$17/4,0)</f>
        <v/>
      </c>
      <c r="AB33" s="23">
        <f>IF(AB32="H",$B$8*$B$17/4,0)</f>
        <v/>
      </c>
      <c r="AC33" s="23">
        <f>IF(AC32="H",$B$8*$B$17/4,0)</f>
        <v/>
      </c>
      <c r="AD33" s="23">
        <f>IF(AD32="H",$B$8*$B$17/4,0)</f>
        <v/>
      </c>
      <c r="AE33" s="23">
        <f>IF(AE32="H",$B$8*$B$17/4,0)</f>
        <v/>
      </c>
      <c r="AF33" s="23">
        <f>IF(AF32="H",$B$8*$B$17/4,0)</f>
        <v/>
      </c>
      <c r="AG33" s="23">
        <f>IF(AG32="H",$B$8*$B$17/4,0)</f>
        <v/>
      </c>
      <c r="AH33" s="23">
        <f>IF(AH32="H",$B$8*$B$17/4,0)</f>
        <v/>
      </c>
      <c r="AI33" s="23">
        <f>IF(AI32="H",$B$8*$B$17/4,0)</f>
        <v/>
      </c>
      <c r="AJ33" s="23">
        <f>IF(AJ32="H",$B$8*$B$17/4,0)</f>
        <v/>
      </c>
      <c r="AK33" s="23">
        <f>IF(AK32="H",$B$8*$B$17/4,0)</f>
        <v/>
      </c>
      <c r="AL33" s="23">
        <f>IF(AL32="H",$B$8*$B$17/4,0)</f>
        <v/>
      </c>
      <c r="AM33" s="23">
        <f>IF(AM32="H",$B$8*$B$17/4,0)</f>
        <v/>
      </c>
      <c r="AN33" s="23">
        <f>IF(AN32="H",$B$8*$B$17/4,0)</f>
        <v/>
      </c>
      <c r="AO33" s="23">
        <f>IF(AO32="H",$B$8*$B$17/4,0)</f>
        <v/>
      </c>
      <c r="AP33" s="23">
        <f>IF(AP32="H",$B$8*$B$17/4,0)</f>
        <v/>
      </c>
      <c r="AQ33" s="23">
        <f>IF(AQ32="H",$B$8*$B$17/4,0)</f>
        <v/>
      </c>
      <c r="AR33" s="23">
        <f>IF(AR32="H",$B$8*$B$17/4,0)</f>
        <v/>
      </c>
      <c r="AS33" s="23">
        <f>IF(AS32="H",$B$8*$B$17/4,0)</f>
        <v/>
      </c>
      <c r="AT33" s="23">
        <f>IF(AT32="H",$B$8*$B$17/4,0)</f>
        <v/>
      </c>
      <c r="AU33" s="23">
        <f>IF(AU32="H",$B$8*$B$17/4,0)</f>
        <v/>
      </c>
      <c r="AV33" s="23">
        <f>IF(AV32="H",$B$8*$B$17/4,0)</f>
        <v/>
      </c>
      <c r="AW33" s="23">
        <f>IF(AW32="H",$B$8*$B$17/4,0)</f>
        <v/>
      </c>
      <c r="AX33" s="23">
        <f>IF(AX32="H",$B$8*$B$17/4,0)</f>
        <v/>
      </c>
      <c r="AY33" s="23">
        <f>IF(AY32="H",$B$8*$B$17/4,0)</f>
        <v/>
      </c>
      <c r="AZ33" s="23">
        <f>IF(AZ32="H",$B$8*$B$17/4,0)</f>
        <v/>
      </c>
      <c r="BA33" s="23">
        <f>IF(BA32="H",$B$8*$B$17/4,0)</f>
        <v/>
      </c>
      <c r="BB33" s="23">
        <f>IF(BB32="H",$B$8*$B$17/4,0)</f>
        <v/>
      </c>
    </row>
    <row r="34">
      <c r="A34" s="21" t="inlineStr">
        <is>
          <t>Kale W32</t>
        </is>
      </c>
      <c r="B34" s="4" t="inlineStr">
        <is>
          <t>P/G/H</t>
        </is>
      </c>
      <c r="AH34" s="22" t="inlineStr">
        <is>
          <t>P</t>
        </is>
      </c>
      <c r="AI34" s="22" t="inlineStr">
        <is>
          <t>G</t>
        </is>
      </c>
      <c r="AJ34" s="22" t="inlineStr">
        <is>
          <t>G</t>
        </is>
      </c>
      <c r="AK34" s="22" t="inlineStr">
        <is>
          <t>G</t>
        </is>
      </c>
      <c r="AL34" s="22" t="inlineStr">
        <is>
          <t>G</t>
        </is>
      </c>
      <c r="AM34" s="22" t="inlineStr">
        <is>
          <t>G</t>
        </is>
      </c>
      <c r="AN34" s="22" t="inlineStr">
        <is>
          <t>G</t>
        </is>
      </c>
      <c r="AO34" s="22" t="inlineStr">
        <is>
          <t>G</t>
        </is>
      </c>
      <c r="AP34" s="22" t="inlineStr">
        <is>
          <t>G</t>
        </is>
      </c>
      <c r="AQ34" s="22" t="inlineStr">
        <is>
          <t>H</t>
        </is>
      </c>
      <c r="AR34" s="22" t="inlineStr">
        <is>
          <t>H</t>
        </is>
      </c>
      <c r="AS34" s="22" t="inlineStr">
        <is>
          <t>H</t>
        </is>
      </c>
      <c r="AT34" s="22" t="inlineStr">
        <is>
          <t>H</t>
        </is>
      </c>
    </row>
    <row r="35">
      <c r="A35" s="21" t="inlineStr">
        <is>
          <t xml:space="preserve">   lbs harvested (GROSS)</t>
        </is>
      </c>
      <c r="B35" s="4" t="inlineStr">
        <is>
          <t>lb</t>
        </is>
      </c>
      <c r="C35" s="23">
        <f>IF(C34="H",$B$9*$B$17/4,0)</f>
        <v/>
      </c>
      <c r="D35" s="23">
        <f>IF(D34="H",$B$9*$B$17/4,0)</f>
        <v/>
      </c>
      <c r="E35" s="23">
        <f>IF(E34="H",$B$9*$B$17/4,0)</f>
        <v/>
      </c>
      <c r="F35" s="23">
        <f>IF(F34="H",$B$9*$B$17/4,0)</f>
        <v/>
      </c>
      <c r="G35" s="23">
        <f>IF(G34="H",$B$9*$B$17/4,0)</f>
        <v/>
      </c>
      <c r="H35" s="23">
        <f>IF(H34="H",$B$9*$B$17/4,0)</f>
        <v/>
      </c>
      <c r="I35" s="23">
        <f>IF(I34="H",$B$9*$B$17/4,0)</f>
        <v/>
      </c>
      <c r="J35" s="23">
        <f>IF(J34="H",$B$9*$B$17/4,0)</f>
        <v/>
      </c>
      <c r="K35" s="23">
        <f>IF(K34="H",$B$9*$B$17/4,0)</f>
        <v/>
      </c>
      <c r="L35" s="23">
        <f>IF(L34="H",$B$9*$B$17/4,0)</f>
        <v/>
      </c>
      <c r="M35" s="23">
        <f>IF(M34="H",$B$9*$B$17/4,0)</f>
        <v/>
      </c>
      <c r="N35" s="23">
        <f>IF(N34="H",$B$9*$B$17/4,0)</f>
        <v/>
      </c>
      <c r="O35" s="23">
        <f>IF(O34="H",$B$9*$B$17/4,0)</f>
        <v/>
      </c>
      <c r="P35" s="23">
        <f>IF(P34="H",$B$9*$B$17/4,0)</f>
        <v/>
      </c>
      <c r="Q35" s="23">
        <f>IF(Q34="H",$B$9*$B$17/4,0)</f>
        <v/>
      </c>
      <c r="R35" s="23">
        <f>IF(R34="H",$B$9*$B$17/4,0)</f>
        <v/>
      </c>
      <c r="S35" s="23">
        <f>IF(S34="H",$B$9*$B$17/4,0)</f>
        <v/>
      </c>
      <c r="T35" s="23">
        <f>IF(T34="H",$B$9*$B$17/4,0)</f>
        <v/>
      </c>
      <c r="U35" s="23">
        <f>IF(U34="H",$B$9*$B$17/4,0)</f>
        <v/>
      </c>
      <c r="V35" s="23">
        <f>IF(V34="H",$B$9*$B$17/4,0)</f>
        <v/>
      </c>
      <c r="W35" s="23">
        <f>IF(W34="H",$B$9*$B$17/4,0)</f>
        <v/>
      </c>
      <c r="X35" s="23">
        <f>IF(X34="H",$B$9*$B$17/4,0)</f>
        <v/>
      </c>
      <c r="Y35" s="23">
        <f>IF(Y34="H",$B$9*$B$17/4,0)</f>
        <v/>
      </c>
      <c r="Z35" s="23">
        <f>IF(Z34="H",$B$9*$B$17/4,0)</f>
        <v/>
      </c>
      <c r="AA35" s="23">
        <f>IF(AA34="H",$B$9*$B$17/4,0)</f>
        <v/>
      </c>
      <c r="AB35" s="23">
        <f>IF(AB34="H",$B$9*$B$17/4,0)</f>
        <v/>
      </c>
      <c r="AC35" s="23">
        <f>IF(AC34="H",$B$9*$B$17/4,0)</f>
        <v/>
      </c>
      <c r="AD35" s="23">
        <f>IF(AD34="H",$B$9*$B$17/4,0)</f>
        <v/>
      </c>
      <c r="AE35" s="23">
        <f>IF(AE34="H",$B$9*$B$17/4,0)</f>
        <v/>
      </c>
      <c r="AF35" s="23">
        <f>IF(AF34="H",$B$9*$B$17/4,0)</f>
        <v/>
      </c>
      <c r="AG35" s="23">
        <f>IF(AG34="H",$B$9*$B$17/4,0)</f>
        <v/>
      </c>
      <c r="AH35" s="23">
        <f>IF(AH34="H",$B$9*$B$17/4,0)</f>
        <v/>
      </c>
      <c r="AI35" s="23">
        <f>IF(AI34="H",$B$9*$B$17/4,0)</f>
        <v/>
      </c>
      <c r="AJ35" s="23">
        <f>IF(AJ34="H",$B$9*$B$17/4,0)</f>
        <v/>
      </c>
      <c r="AK35" s="23">
        <f>IF(AK34="H",$B$9*$B$17/4,0)</f>
        <v/>
      </c>
      <c r="AL35" s="23">
        <f>IF(AL34="H",$B$9*$B$17/4,0)</f>
        <v/>
      </c>
      <c r="AM35" s="23">
        <f>IF(AM34="H",$B$9*$B$17/4,0)</f>
        <v/>
      </c>
      <c r="AN35" s="23">
        <f>IF(AN34="H",$B$9*$B$17/4,0)</f>
        <v/>
      </c>
      <c r="AO35" s="23">
        <f>IF(AO34="H",$B$9*$B$17/4,0)</f>
        <v/>
      </c>
      <c r="AP35" s="23">
        <f>IF(AP34="H",$B$9*$B$17/4,0)</f>
        <v/>
      </c>
      <c r="AQ35" s="23">
        <f>IF(AQ34="H",$B$9*$B$17/4,0)</f>
        <v/>
      </c>
      <c r="AR35" s="23">
        <f>IF(AR34="H",$B$9*$B$17/4,0)</f>
        <v/>
      </c>
      <c r="AS35" s="23">
        <f>IF(AS34="H",$B$9*$B$17/4,0)</f>
        <v/>
      </c>
      <c r="AT35" s="23">
        <f>IF(AT34="H",$B$9*$B$17/4,0)</f>
        <v/>
      </c>
      <c r="AU35" s="23">
        <f>IF(AU34="H",$B$9*$B$17/4,0)</f>
        <v/>
      </c>
      <c r="AV35" s="23">
        <f>IF(AV34="H",$B$9*$B$17/4,0)</f>
        <v/>
      </c>
      <c r="AW35" s="23">
        <f>IF(AW34="H",$B$9*$B$17/4,0)</f>
        <v/>
      </c>
      <c r="AX35" s="23">
        <f>IF(AX34="H",$B$9*$B$17/4,0)</f>
        <v/>
      </c>
      <c r="AY35" s="23">
        <f>IF(AY34="H",$B$9*$B$17/4,0)</f>
        <v/>
      </c>
      <c r="AZ35" s="23">
        <f>IF(AZ34="H",$B$9*$B$17/4,0)</f>
        <v/>
      </c>
      <c r="BA35" s="23">
        <f>IF(BA34="H",$B$9*$B$17/4,0)</f>
        <v/>
      </c>
      <c r="BB35" s="23">
        <f>IF(BB34="H",$B$9*$B$17/4,0)</f>
        <v/>
      </c>
    </row>
    <row r="36">
      <c r="A36" s="21" t="inlineStr">
        <is>
          <t>Garlic W47</t>
        </is>
      </c>
      <c r="B36" s="4" t="inlineStr">
        <is>
          <t>P/G/H</t>
        </is>
      </c>
      <c r="C36" s="22" t="inlineStr">
        <is>
          <t>G</t>
        </is>
      </c>
      <c r="D36" s="22" t="inlineStr">
        <is>
          <t>G</t>
        </is>
      </c>
      <c r="E36" s="22" t="inlineStr">
        <is>
          <t>G</t>
        </is>
      </c>
      <c r="F36" s="22" t="inlineStr">
        <is>
          <t>G</t>
        </is>
      </c>
      <c r="G36" s="22" t="inlineStr">
        <is>
          <t>G</t>
        </is>
      </c>
      <c r="H36" s="22" t="inlineStr">
        <is>
          <t>G</t>
        </is>
      </c>
      <c r="I36" s="22" t="inlineStr">
        <is>
          <t>G</t>
        </is>
      </c>
      <c r="J36" s="22" t="inlineStr">
        <is>
          <t>G</t>
        </is>
      </c>
      <c r="K36" s="22" t="inlineStr">
        <is>
          <t>G</t>
        </is>
      </c>
      <c r="L36" s="22" t="inlineStr">
        <is>
          <t>G</t>
        </is>
      </c>
      <c r="M36" s="22" t="inlineStr">
        <is>
          <t>G</t>
        </is>
      </c>
      <c r="N36" s="22" t="inlineStr">
        <is>
          <t>G</t>
        </is>
      </c>
      <c r="O36" s="22" t="inlineStr">
        <is>
          <t>G</t>
        </is>
      </c>
      <c r="P36" s="22" t="inlineStr">
        <is>
          <t>G</t>
        </is>
      </c>
      <c r="Q36" s="22" t="inlineStr">
        <is>
          <t>G</t>
        </is>
      </c>
      <c r="R36" s="22" t="inlineStr">
        <is>
          <t>G</t>
        </is>
      </c>
      <c r="S36" s="22" t="inlineStr">
        <is>
          <t>G</t>
        </is>
      </c>
      <c r="T36" s="22" t="inlineStr">
        <is>
          <t>G</t>
        </is>
      </c>
      <c r="U36" s="22" t="inlineStr">
        <is>
          <t>G</t>
        </is>
      </c>
      <c r="V36" s="22" t="inlineStr">
        <is>
          <t>G</t>
        </is>
      </c>
      <c r="W36" s="22" t="inlineStr">
        <is>
          <t>G</t>
        </is>
      </c>
      <c r="X36" s="22" t="inlineStr">
        <is>
          <t>G</t>
        </is>
      </c>
      <c r="Y36" s="22" t="inlineStr">
        <is>
          <t>G</t>
        </is>
      </c>
      <c r="Z36" s="22" t="inlineStr">
        <is>
          <t>G</t>
        </is>
      </c>
      <c r="AA36" s="22" t="inlineStr">
        <is>
          <t>G</t>
        </is>
      </c>
      <c r="AB36" s="22" t="inlineStr">
        <is>
          <t>G</t>
        </is>
      </c>
      <c r="AC36" s="22" t="inlineStr">
        <is>
          <t>G</t>
        </is>
      </c>
      <c r="AD36" s="22" t="inlineStr">
        <is>
          <t>G</t>
        </is>
      </c>
      <c r="AE36" s="22" t="inlineStr">
        <is>
          <t>G</t>
        </is>
      </c>
      <c r="AF36" s="22" t="inlineStr">
        <is>
          <t>H</t>
        </is>
      </c>
      <c r="AW36" s="22" t="inlineStr">
        <is>
          <t>P</t>
        </is>
      </c>
      <c r="AX36" s="22" t="inlineStr">
        <is>
          <t>P</t>
        </is>
      </c>
      <c r="AY36" s="22" t="inlineStr">
        <is>
          <t>P</t>
        </is>
      </c>
      <c r="AZ36" s="22" t="inlineStr">
        <is>
          <t>G</t>
        </is>
      </c>
      <c r="BA36" s="22" t="inlineStr">
        <is>
          <t>G</t>
        </is>
      </c>
      <c r="BB36" s="22" t="inlineStr">
        <is>
          <t>G</t>
        </is>
      </c>
    </row>
    <row r="37">
      <c r="A37" s="21" t="inlineStr">
        <is>
          <t xml:space="preserve">   lbs harvested (GROSS)</t>
        </is>
      </c>
      <c r="B37" s="4" t="inlineStr">
        <is>
          <t>lb</t>
        </is>
      </c>
      <c r="C37" s="23">
        <f>IF(C36="H",$B$10*$B$18/1,0)</f>
        <v/>
      </c>
      <c r="D37" s="23">
        <f>IF(D36="H",$B$10*$B$18/1,0)</f>
        <v/>
      </c>
      <c r="E37" s="23">
        <f>IF(E36="H",$B$10*$B$18/1,0)</f>
        <v/>
      </c>
      <c r="F37" s="23">
        <f>IF(F36="H",$B$10*$B$18/1,0)</f>
        <v/>
      </c>
      <c r="G37" s="23">
        <f>IF(G36="H",$B$10*$B$18/1,0)</f>
        <v/>
      </c>
      <c r="H37" s="23">
        <f>IF(H36="H",$B$10*$B$18/1,0)</f>
        <v/>
      </c>
      <c r="I37" s="23">
        <f>IF(I36="H",$B$10*$B$18/1,0)</f>
        <v/>
      </c>
      <c r="J37" s="23">
        <f>IF(J36="H",$B$10*$B$18/1,0)</f>
        <v/>
      </c>
      <c r="K37" s="23">
        <f>IF(K36="H",$B$10*$B$18/1,0)</f>
        <v/>
      </c>
      <c r="L37" s="23">
        <f>IF(L36="H",$B$10*$B$18/1,0)</f>
        <v/>
      </c>
      <c r="M37" s="23">
        <f>IF(M36="H",$B$10*$B$18/1,0)</f>
        <v/>
      </c>
      <c r="N37" s="23">
        <f>IF(N36="H",$B$10*$B$18/1,0)</f>
        <v/>
      </c>
      <c r="O37" s="23">
        <f>IF(O36="H",$B$10*$B$18/1,0)</f>
        <v/>
      </c>
      <c r="P37" s="23">
        <f>IF(P36="H",$B$10*$B$18/1,0)</f>
        <v/>
      </c>
      <c r="Q37" s="23">
        <f>IF(Q36="H",$B$10*$B$18/1,0)</f>
        <v/>
      </c>
      <c r="R37" s="23">
        <f>IF(R36="H",$B$10*$B$18/1,0)</f>
        <v/>
      </c>
      <c r="S37" s="23">
        <f>IF(S36="H",$B$10*$B$18/1,0)</f>
        <v/>
      </c>
      <c r="T37" s="23">
        <f>IF(T36="H",$B$10*$B$18/1,0)</f>
        <v/>
      </c>
      <c r="U37" s="23">
        <f>IF(U36="H",$B$10*$B$18/1,0)</f>
        <v/>
      </c>
      <c r="V37" s="23">
        <f>IF(V36="H",$B$10*$B$18/1,0)</f>
        <v/>
      </c>
      <c r="W37" s="23">
        <f>IF(W36="H",$B$10*$B$18/1,0)</f>
        <v/>
      </c>
      <c r="X37" s="23">
        <f>IF(X36="H",$B$10*$B$18/1,0)</f>
        <v/>
      </c>
      <c r="Y37" s="23">
        <f>IF(Y36="H",$B$10*$B$18/1,0)</f>
        <v/>
      </c>
      <c r="Z37" s="23">
        <f>IF(Z36="H",$B$10*$B$18/1,0)</f>
        <v/>
      </c>
      <c r="AA37" s="23">
        <f>IF(AA36="H",$B$10*$B$18/1,0)</f>
        <v/>
      </c>
      <c r="AB37" s="23">
        <f>IF(AB36="H",$B$10*$B$18/1,0)</f>
        <v/>
      </c>
      <c r="AC37" s="23">
        <f>IF(AC36="H",$B$10*$B$18/1,0)</f>
        <v/>
      </c>
      <c r="AD37" s="23">
        <f>IF(AD36="H",$B$10*$B$18/1,0)</f>
        <v/>
      </c>
      <c r="AE37" s="23">
        <f>IF(AE36="H",$B$10*$B$18/1,0)</f>
        <v/>
      </c>
      <c r="AF37" s="23">
        <f>IF(AF36="H",$B$10*$B$18/1,0)</f>
        <v/>
      </c>
      <c r="AG37" s="23">
        <f>IF(AG36="H",$B$10*$B$18/1,0)</f>
        <v/>
      </c>
      <c r="AH37" s="23">
        <f>IF(AH36="H",$B$10*$B$18/1,0)</f>
        <v/>
      </c>
      <c r="AI37" s="23">
        <f>IF(AI36="H",$B$10*$B$18/1,0)</f>
        <v/>
      </c>
      <c r="AJ37" s="23">
        <f>IF(AJ36="H",$B$10*$B$18/1,0)</f>
        <v/>
      </c>
      <c r="AK37" s="23">
        <f>IF(AK36="H",$B$10*$B$18/1,0)</f>
        <v/>
      </c>
      <c r="AL37" s="23">
        <f>IF(AL36="H",$B$10*$B$18/1,0)</f>
        <v/>
      </c>
      <c r="AM37" s="23">
        <f>IF(AM36="H",$B$10*$B$18/1,0)</f>
        <v/>
      </c>
      <c r="AN37" s="23">
        <f>IF(AN36="H",$B$10*$B$18/1,0)</f>
        <v/>
      </c>
      <c r="AO37" s="23">
        <f>IF(AO36="H",$B$10*$B$18/1,0)</f>
        <v/>
      </c>
      <c r="AP37" s="23">
        <f>IF(AP36="H",$B$10*$B$18/1,0)</f>
        <v/>
      </c>
      <c r="AQ37" s="23">
        <f>IF(AQ36="H",$B$10*$B$18/1,0)</f>
        <v/>
      </c>
      <c r="AR37" s="23">
        <f>IF(AR36="H",$B$10*$B$18/1,0)</f>
        <v/>
      </c>
      <c r="AS37" s="23">
        <f>IF(AS36="H",$B$10*$B$18/1,0)</f>
        <v/>
      </c>
      <c r="AT37" s="23">
        <f>IF(AT36="H",$B$10*$B$18/1,0)</f>
        <v/>
      </c>
      <c r="AU37" s="23">
        <f>IF(AU36="H",$B$10*$B$18/1,0)</f>
        <v/>
      </c>
      <c r="AV37" s="23">
        <f>IF(AV36="H",$B$10*$B$18/1,0)</f>
        <v/>
      </c>
      <c r="AW37" s="23">
        <f>IF(AW36="H",$B$10*$B$18/1,0)</f>
        <v/>
      </c>
      <c r="AX37" s="23">
        <f>IF(AX36="H",$B$10*$B$18/1,0)</f>
        <v/>
      </c>
      <c r="AY37" s="23">
        <f>IF(AY36="H",$B$10*$B$18/1,0)</f>
        <v/>
      </c>
      <c r="AZ37" s="23">
        <f>IF(AZ36="H",$B$10*$B$18/1,0)</f>
        <v/>
      </c>
      <c r="BA37" s="23">
        <f>IF(BA36="H",$B$10*$B$18/1,0)</f>
        <v/>
      </c>
      <c r="BB37" s="23">
        <f>IF(BB36="H",$B$10*$B$18/1,0)</f>
        <v/>
      </c>
    </row>
    <row r="38">
      <c r="A38" s="4" t="inlineStr">
        <is>
          <t>P = planting   G = growing   H = harvesting.  GROSS pounds — everything that comes off the field.</t>
        </is>
      </c>
    </row>
    <row r="40">
      <c r="A40" s="18" t="inlineStr">
        <is>
          <t>Week</t>
        </is>
      </c>
      <c r="B40" s="19" t="inlineStr">
        <is>
          <t>acres</t>
        </is>
      </c>
      <c r="C40" s="20" t="n">
        <v>1</v>
      </c>
      <c r="D40" s="20" t="n">
        <v>2</v>
      </c>
      <c r="E40" s="20" t="n">
        <v>3</v>
      </c>
      <c r="F40" s="20" t="n">
        <v>4</v>
      </c>
      <c r="G40" s="20" t="n">
        <v>5</v>
      </c>
      <c r="H40" s="20" t="n">
        <v>6</v>
      </c>
      <c r="I40" s="20" t="n">
        <v>7</v>
      </c>
      <c r="J40" s="20" t="n">
        <v>8</v>
      </c>
      <c r="K40" s="20" t="n">
        <v>9</v>
      </c>
      <c r="L40" s="20" t="n">
        <v>10</v>
      </c>
      <c r="M40" s="20" t="n">
        <v>11</v>
      </c>
      <c r="N40" s="20" t="n">
        <v>12</v>
      </c>
      <c r="O40" s="20" t="n">
        <v>13</v>
      </c>
      <c r="P40" s="20" t="n">
        <v>14</v>
      </c>
      <c r="Q40" s="20" t="n">
        <v>15</v>
      </c>
      <c r="R40" s="20" t="n">
        <v>16</v>
      </c>
      <c r="S40" s="20" t="n">
        <v>17</v>
      </c>
      <c r="T40" s="20" t="n">
        <v>18</v>
      </c>
      <c r="U40" s="20" t="n">
        <v>19</v>
      </c>
      <c r="V40" s="20" t="n">
        <v>20</v>
      </c>
      <c r="W40" s="20" t="n">
        <v>21</v>
      </c>
      <c r="X40" s="20" t="n">
        <v>22</v>
      </c>
      <c r="Y40" s="20" t="n">
        <v>23</v>
      </c>
      <c r="Z40" s="20" t="n">
        <v>24</v>
      </c>
      <c r="AA40" s="20" t="n">
        <v>25</v>
      </c>
      <c r="AB40" s="20" t="n">
        <v>26</v>
      </c>
      <c r="AC40" s="20" t="n">
        <v>27</v>
      </c>
      <c r="AD40" s="20" t="n">
        <v>28</v>
      </c>
      <c r="AE40" s="20" t="n">
        <v>29</v>
      </c>
      <c r="AF40" s="20" t="n">
        <v>30</v>
      </c>
      <c r="AG40" s="20" t="n">
        <v>31</v>
      </c>
      <c r="AH40" s="20" t="n">
        <v>32</v>
      </c>
      <c r="AI40" s="20" t="n">
        <v>33</v>
      </c>
      <c r="AJ40" s="20" t="n">
        <v>34</v>
      </c>
      <c r="AK40" s="20" t="n">
        <v>35</v>
      </c>
      <c r="AL40" s="20" t="n">
        <v>36</v>
      </c>
      <c r="AM40" s="20" t="n">
        <v>37</v>
      </c>
      <c r="AN40" s="20" t="n">
        <v>38</v>
      </c>
      <c r="AO40" s="20" t="n">
        <v>39</v>
      </c>
      <c r="AP40" s="20" t="n">
        <v>40</v>
      </c>
      <c r="AQ40" s="20" t="n">
        <v>41</v>
      </c>
      <c r="AR40" s="20" t="n">
        <v>42</v>
      </c>
      <c r="AS40" s="20" t="n">
        <v>43</v>
      </c>
      <c r="AT40" s="20" t="n">
        <v>44</v>
      </c>
      <c r="AU40" s="20" t="n">
        <v>45</v>
      </c>
      <c r="AV40" s="20" t="n">
        <v>46</v>
      </c>
      <c r="AW40" s="20" t="n">
        <v>47</v>
      </c>
      <c r="AX40" s="20" t="n">
        <v>48</v>
      </c>
      <c r="AY40" s="20" t="n">
        <v>49</v>
      </c>
      <c r="AZ40" s="20" t="n">
        <v>50</v>
      </c>
      <c r="BA40" s="20" t="n">
        <v>51</v>
      </c>
      <c r="BB40" s="20" t="n">
        <v>52</v>
      </c>
    </row>
    <row r="41">
      <c r="A41" s="3" t="inlineStr">
        <is>
          <t>LAND in the ground</t>
        </is>
      </c>
      <c r="B41" s="4" t="inlineStr">
        <is>
          <t>used</t>
        </is>
      </c>
      <c r="C41" s="24">
        <f>IF(C28&lt;&gt;"",$B$6,0)+IF(C30&lt;&gt;"",$B$7,0)+IF(C32&lt;&gt;"",$B$8,0)+IF(C34&lt;&gt;"",$B$9,0)+IF(C36&lt;&gt;"",$B$10,0)</f>
        <v/>
      </c>
      <c r="D41" s="24">
        <f>IF(D28&lt;&gt;"",$B$6,0)+IF(D30&lt;&gt;"",$B$7,0)+IF(D32&lt;&gt;"",$B$8,0)+IF(D34&lt;&gt;"",$B$9,0)+IF(D36&lt;&gt;"",$B$10,0)</f>
        <v/>
      </c>
      <c r="E41" s="24">
        <f>IF(E28&lt;&gt;"",$B$6,0)+IF(E30&lt;&gt;"",$B$7,0)+IF(E32&lt;&gt;"",$B$8,0)+IF(E34&lt;&gt;"",$B$9,0)+IF(E36&lt;&gt;"",$B$10,0)</f>
        <v/>
      </c>
      <c r="F41" s="24">
        <f>IF(F28&lt;&gt;"",$B$6,0)+IF(F30&lt;&gt;"",$B$7,0)+IF(F32&lt;&gt;"",$B$8,0)+IF(F34&lt;&gt;"",$B$9,0)+IF(F36&lt;&gt;"",$B$10,0)</f>
        <v/>
      </c>
      <c r="G41" s="24">
        <f>IF(G28&lt;&gt;"",$B$6,0)+IF(G30&lt;&gt;"",$B$7,0)+IF(G32&lt;&gt;"",$B$8,0)+IF(G34&lt;&gt;"",$B$9,0)+IF(G36&lt;&gt;"",$B$10,0)</f>
        <v/>
      </c>
      <c r="H41" s="24">
        <f>IF(H28&lt;&gt;"",$B$6,0)+IF(H30&lt;&gt;"",$B$7,0)+IF(H32&lt;&gt;"",$B$8,0)+IF(H34&lt;&gt;"",$B$9,0)+IF(H36&lt;&gt;"",$B$10,0)</f>
        <v/>
      </c>
      <c r="I41" s="24">
        <f>IF(I28&lt;&gt;"",$B$6,0)+IF(I30&lt;&gt;"",$B$7,0)+IF(I32&lt;&gt;"",$B$8,0)+IF(I34&lt;&gt;"",$B$9,0)+IF(I36&lt;&gt;"",$B$10,0)</f>
        <v/>
      </c>
      <c r="J41" s="24">
        <f>IF(J28&lt;&gt;"",$B$6,0)+IF(J30&lt;&gt;"",$B$7,0)+IF(J32&lt;&gt;"",$B$8,0)+IF(J34&lt;&gt;"",$B$9,0)+IF(J36&lt;&gt;"",$B$10,0)</f>
        <v/>
      </c>
      <c r="K41" s="24">
        <f>IF(K28&lt;&gt;"",$B$6,0)+IF(K30&lt;&gt;"",$B$7,0)+IF(K32&lt;&gt;"",$B$8,0)+IF(K34&lt;&gt;"",$B$9,0)+IF(K36&lt;&gt;"",$B$10,0)</f>
        <v/>
      </c>
      <c r="L41" s="24">
        <f>IF(L28&lt;&gt;"",$B$6,0)+IF(L30&lt;&gt;"",$B$7,0)+IF(L32&lt;&gt;"",$B$8,0)+IF(L34&lt;&gt;"",$B$9,0)+IF(L36&lt;&gt;"",$B$10,0)</f>
        <v/>
      </c>
      <c r="M41" s="24">
        <f>IF(M28&lt;&gt;"",$B$6,0)+IF(M30&lt;&gt;"",$B$7,0)+IF(M32&lt;&gt;"",$B$8,0)+IF(M34&lt;&gt;"",$B$9,0)+IF(M36&lt;&gt;"",$B$10,0)</f>
        <v/>
      </c>
      <c r="N41" s="24">
        <f>IF(N28&lt;&gt;"",$B$6,0)+IF(N30&lt;&gt;"",$B$7,0)+IF(N32&lt;&gt;"",$B$8,0)+IF(N34&lt;&gt;"",$B$9,0)+IF(N36&lt;&gt;"",$B$10,0)</f>
        <v/>
      </c>
      <c r="O41" s="24">
        <f>IF(O28&lt;&gt;"",$B$6,0)+IF(O30&lt;&gt;"",$B$7,0)+IF(O32&lt;&gt;"",$B$8,0)+IF(O34&lt;&gt;"",$B$9,0)+IF(O36&lt;&gt;"",$B$10,0)</f>
        <v/>
      </c>
      <c r="P41" s="24">
        <f>IF(P28&lt;&gt;"",$B$6,0)+IF(P30&lt;&gt;"",$B$7,0)+IF(P32&lt;&gt;"",$B$8,0)+IF(P34&lt;&gt;"",$B$9,0)+IF(P36&lt;&gt;"",$B$10,0)</f>
        <v/>
      </c>
      <c r="Q41" s="24">
        <f>IF(Q28&lt;&gt;"",$B$6,0)+IF(Q30&lt;&gt;"",$B$7,0)+IF(Q32&lt;&gt;"",$B$8,0)+IF(Q34&lt;&gt;"",$B$9,0)+IF(Q36&lt;&gt;"",$B$10,0)</f>
        <v/>
      </c>
      <c r="R41" s="24">
        <f>IF(R28&lt;&gt;"",$B$6,0)+IF(R30&lt;&gt;"",$B$7,0)+IF(R32&lt;&gt;"",$B$8,0)+IF(R34&lt;&gt;"",$B$9,0)+IF(R36&lt;&gt;"",$B$10,0)</f>
        <v/>
      </c>
      <c r="S41" s="24">
        <f>IF(S28&lt;&gt;"",$B$6,0)+IF(S30&lt;&gt;"",$B$7,0)+IF(S32&lt;&gt;"",$B$8,0)+IF(S34&lt;&gt;"",$B$9,0)+IF(S36&lt;&gt;"",$B$10,0)</f>
        <v/>
      </c>
      <c r="T41" s="24">
        <f>IF(T28&lt;&gt;"",$B$6,0)+IF(T30&lt;&gt;"",$B$7,0)+IF(T32&lt;&gt;"",$B$8,0)+IF(T34&lt;&gt;"",$B$9,0)+IF(T36&lt;&gt;"",$B$10,0)</f>
        <v/>
      </c>
      <c r="U41" s="24">
        <f>IF(U28&lt;&gt;"",$B$6,0)+IF(U30&lt;&gt;"",$B$7,0)+IF(U32&lt;&gt;"",$B$8,0)+IF(U34&lt;&gt;"",$B$9,0)+IF(U36&lt;&gt;"",$B$10,0)</f>
        <v/>
      </c>
      <c r="V41" s="24">
        <f>IF(V28&lt;&gt;"",$B$6,0)+IF(V30&lt;&gt;"",$B$7,0)+IF(V32&lt;&gt;"",$B$8,0)+IF(V34&lt;&gt;"",$B$9,0)+IF(V36&lt;&gt;"",$B$10,0)</f>
        <v/>
      </c>
      <c r="W41" s="24">
        <f>IF(W28&lt;&gt;"",$B$6,0)+IF(W30&lt;&gt;"",$B$7,0)+IF(W32&lt;&gt;"",$B$8,0)+IF(W34&lt;&gt;"",$B$9,0)+IF(W36&lt;&gt;"",$B$10,0)</f>
        <v/>
      </c>
      <c r="X41" s="24">
        <f>IF(X28&lt;&gt;"",$B$6,0)+IF(X30&lt;&gt;"",$B$7,0)+IF(X32&lt;&gt;"",$B$8,0)+IF(X34&lt;&gt;"",$B$9,0)+IF(X36&lt;&gt;"",$B$10,0)</f>
        <v/>
      </c>
      <c r="Y41" s="24">
        <f>IF(Y28&lt;&gt;"",$B$6,0)+IF(Y30&lt;&gt;"",$B$7,0)+IF(Y32&lt;&gt;"",$B$8,0)+IF(Y34&lt;&gt;"",$B$9,0)+IF(Y36&lt;&gt;"",$B$10,0)</f>
        <v/>
      </c>
      <c r="Z41" s="24">
        <f>IF(Z28&lt;&gt;"",$B$6,0)+IF(Z30&lt;&gt;"",$B$7,0)+IF(Z32&lt;&gt;"",$B$8,0)+IF(Z34&lt;&gt;"",$B$9,0)+IF(Z36&lt;&gt;"",$B$10,0)</f>
        <v/>
      </c>
      <c r="AA41" s="24">
        <f>IF(AA28&lt;&gt;"",$B$6,0)+IF(AA30&lt;&gt;"",$B$7,0)+IF(AA32&lt;&gt;"",$B$8,0)+IF(AA34&lt;&gt;"",$B$9,0)+IF(AA36&lt;&gt;"",$B$10,0)</f>
        <v/>
      </c>
      <c r="AB41" s="24">
        <f>IF(AB28&lt;&gt;"",$B$6,0)+IF(AB30&lt;&gt;"",$B$7,0)+IF(AB32&lt;&gt;"",$B$8,0)+IF(AB34&lt;&gt;"",$B$9,0)+IF(AB36&lt;&gt;"",$B$10,0)</f>
        <v/>
      </c>
      <c r="AC41" s="24">
        <f>IF(AC28&lt;&gt;"",$B$6,0)+IF(AC30&lt;&gt;"",$B$7,0)+IF(AC32&lt;&gt;"",$B$8,0)+IF(AC34&lt;&gt;"",$B$9,0)+IF(AC36&lt;&gt;"",$B$10,0)</f>
        <v/>
      </c>
      <c r="AD41" s="24">
        <f>IF(AD28&lt;&gt;"",$B$6,0)+IF(AD30&lt;&gt;"",$B$7,0)+IF(AD32&lt;&gt;"",$B$8,0)+IF(AD34&lt;&gt;"",$B$9,0)+IF(AD36&lt;&gt;"",$B$10,0)</f>
        <v/>
      </c>
      <c r="AE41" s="24">
        <f>IF(AE28&lt;&gt;"",$B$6,0)+IF(AE30&lt;&gt;"",$B$7,0)+IF(AE32&lt;&gt;"",$B$8,0)+IF(AE34&lt;&gt;"",$B$9,0)+IF(AE36&lt;&gt;"",$B$10,0)</f>
        <v/>
      </c>
      <c r="AF41" s="24">
        <f>IF(AF28&lt;&gt;"",$B$6,0)+IF(AF30&lt;&gt;"",$B$7,0)+IF(AF32&lt;&gt;"",$B$8,0)+IF(AF34&lt;&gt;"",$B$9,0)+IF(AF36&lt;&gt;"",$B$10,0)</f>
        <v/>
      </c>
      <c r="AG41" s="24">
        <f>IF(AG28&lt;&gt;"",$B$6,0)+IF(AG30&lt;&gt;"",$B$7,0)+IF(AG32&lt;&gt;"",$B$8,0)+IF(AG34&lt;&gt;"",$B$9,0)+IF(AG36&lt;&gt;"",$B$10,0)</f>
        <v/>
      </c>
      <c r="AH41" s="24">
        <f>IF(AH28&lt;&gt;"",$B$6,0)+IF(AH30&lt;&gt;"",$B$7,0)+IF(AH32&lt;&gt;"",$B$8,0)+IF(AH34&lt;&gt;"",$B$9,0)+IF(AH36&lt;&gt;"",$B$10,0)</f>
        <v/>
      </c>
      <c r="AI41" s="24">
        <f>IF(AI28&lt;&gt;"",$B$6,0)+IF(AI30&lt;&gt;"",$B$7,0)+IF(AI32&lt;&gt;"",$B$8,0)+IF(AI34&lt;&gt;"",$B$9,0)+IF(AI36&lt;&gt;"",$B$10,0)</f>
        <v/>
      </c>
      <c r="AJ41" s="24">
        <f>IF(AJ28&lt;&gt;"",$B$6,0)+IF(AJ30&lt;&gt;"",$B$7,0)+IF(AJ32&lt;&gt;"",$B$8,0)+IF(AJ34&lt;&gt;"",$B$9,0)+IF(AJ36&lt;&gt;"",$B$10,0)</f>
        <v/>
      </c>
      <c r="AK41" s="24">
        <f>IF(AK28&lt;&gt;"",$B$6,0)+IF(AK30&lt;&gt;"",$B$7,0)+IF(AK32&lt;&gt;"",$B$8,0)+IF(AK34&lt;&gt;"",$B$9,0)+IF(AK36&lt;&gt;"",$B$10,0)</f>
        <v/>
      </c>
      <c r="AL41" s="24">
        <f>IF(AL28&lt;&gt;"",$B$6,0)+IF(AL30&lt;&gt;"",$B$7,0)+IF(AL32&lt;&gt;"",$B$8,0)+IF(AL34&lt;&gt;"",$B$9,0)+IF(AL36&lt;&gt;"",$B$10,0)</f>
        <v/>
      </c>
      <c r="AM41" s="24">
        <f>IF(AM28&lt;&gt;"",$B$6,0)+IF(AM30&lt;&gt;"",$B$7,0)+IF(AM32&lt;&gt;"",$B$8,0)+IF(AM34&lt;&gt;"",$B$9,0)+IF(AM36&lt;&gt;"",$B$10,0)</f>
        <v/>
      </c>
      <c r="AN41" s="24">
        <f>IF(AN28&lt;&gt;"",$B$6,0)+IF(AN30&lt;&gt;"",$B$7,0)+IF(AN32&lt;&gt;"",$B$8,0)+IF(AN34&lt;&gt;"",$B$9,0)+IF(AN36&lt;&gt;"",$B$10,0)</f>
        <v/>
      </c>
      <c r="AO41" s="24">
        <f>IF(AO28&lt;&gt;"",$B$6,0)+IF(AO30&lt;&gt;"",$B$7,0)+IF(AO32&lt;&gt;"",$B$8,0)+IF(AO34&lt;&gt;"",$B$9,0)+IF(AO36&lt;&gt;"",$B$10,0)</f>
        <v/>
      </c>
      <c r="AP41" s="24">
        <f>IF(AP28&lt;&gt;"",$B$6,0)+IF(AP30&lt;&gt;"",$B$7,0)+IF(AP32&lt;&gt;"",$B$8,0)+IF(AP34&lt;&gt;"",$B$9,0)+IF(AP36&lt;&gt;"",$B$10,0)</f>
        <v/>
      </c>
      <c r="AQ41" s="24">
        <f>IF(AQ28&lt;&gt;"",$B$6,0)+IF(AQ30&lt;&gt;"",$B$7,0)+IF(AQ32&lt;&gt;"",$B$8,0)+IF(AQ34&lt;&gt;"",$B$9,0)+IF(AQ36&lt;&gt;"",$B$10,0)</f>
        <v/>
      </c>
      <c r="AR41" s="24">
        <f>IF(AR28&lt;&gt;"",$B$6,0)+IF(AR30&lt;&gt;"",$B$7,0)+IF(AR32&lt;&gt;"",$B$8,0)+IF(AR34&lt;&gt;"",$B$9,0)+IF(AR36&lt;&gt;"",$B$10,0)</f>
        <v/>
      </c>
      <c r="AS41" s="24">
        <f>IF(AS28&lt;&gt;"",$B$6,0)+IF(AS30&lt;&gt;"",$B$7,0)+IF(AS32&lt;&gt;"",$B$8,0)+IF(AS34&lt;&gt;"",$B$9,0)+IF(AS36&lt;&gt;"",$B$10,0)</f>
        <v/>
      </c>
      <c r="AT41" s="24">
        <f>IF(AT28&lt;&gt;"",$B$6,0)+IF(AT30&lt;&gt;"",$B$7,0)+IF(AT32&lt;&gt;"",$B$8,0)+IF(AT34&lt;&gt;"",$B$9,0)+IF(AT36&lt;&gt;"",$B$10,0)</f>
        <v/>
      </c>
      <c r="AU41" s="24">
        <f>IF(AU28&lt;&gt;"",$B$6,0)+IF(AU30&lt;&gt;"",$B$7,0)+IF(AU32&lt;&gt;"",$B$8,0)+IF(AU34&lt;&gt;"",$B$9,0)+IF(AU36&lt;&gt;"",$B$10,0)</f>
        <v/>
      </c>
      <c r="AV41" s="24">
        <f>IF(AV28&lt;&gt;"",$B$6,0)+IF(AV30&lt;&gt;"",$B$7,0)+IF(AV32&lt;&gt;"",$B$8,0)+IF(AV34&lt;&gt;"",$B$9,0)+IF(AV36&lt;&gt;"",$B$10,0)</f>
        <v/>
      </c>
      <c r="AW41" s="24">
        <f>IF(AW28&lt;&gt;"",$B$6,0)+IF(AW30&lt;&gt;"",$B$7,0)+IF(AW32&lt;&gt;"",$B$8,0)+IF(AW34&lt;&gt;"",$B$9,0)+IF(AW36&lt;&gt;"",$B$10,0)</f>
        <v/>
      </c>
      <c r="AX41" s="24">
        <f>IF(AX28&lt;&gt;"",$B$6,0)+IF(AX30&lt;&gt;"",$B$7,0)+IF(AX32&lt;&gt;"",$B$8,0)+IF(AX34&lt;&gt;"",$B$9,0)+IF(AX36&lt;&gt;"",$B$10,0)</f>
        <v/>
      </c>
      <c r="AY41" s="24">
        <f>IF(AY28&lt;&gt;"",$B$6,0)+IF(AY30&lt;&gt;"",$B$7,0)+IF(AY32&lt;&gt;"",$B$8,0)+IF(AY34&lt;&gt;"",$B$9,0)+IF(AY36&lt;&gt;"",$B$10,0)</f>
        <v/>
      </c>
      <c r="AZ41" s="24">
        <f>IF(AZ28&lt;&gt;"",$B$6,0)+IF(AZ30&lt;&gt;"",$B$7,0)+IF(AZ32&lt;&gt;"",$B$8,0)+IF(AZ34&lt;&gt;"",$B$9,0)+IF(AZ36&lt;&gt;"",$B$10,0)</f>
        <v/>
      </c>
      <c r="BA41" s="24">
        <f>IF(BA28&lt;&gt;"",$B$6,0)+IF(BA30&lt;&gt;"",$B$7,0)+IF(BA32&lt;&gt;"",$B$8,0)+IF(BA34&lt;&gt;"",$B$9,0)+IF(BA36&lt;&gt;"",$B$10,0)</f>
        <v/>
      </c>
      <c r="BB41" s="24">
        <f>IF(BB28&lt;&gt;"",$B$6,0)+IF(BB30&lt;&gt;"",$B$7,0)+IF(BB32&lt;&gt;"",$B$8,0)+IF(BB34&lt;&gt;"",$B$9,0)+IF(BB36&lt;&gt;"",$B$10,0)</f>
        <v/>
      </c>
    </row>
    <row r="42">
      <c r="A42" s="3" t="inlineStr"/>
      <c r="B42" s="4" t="inlineStr"/>
      <c r="C42" s="25" t="inlineStr">
        <is>
          <t>&lt;=</t>
        </is>
      </c>
      <c r="D42" s="25" t="inlineStr">
        <is>
          <t>&lt;=</t>
        </is>
      </c>
      <c r="E42" s="25" t="inlineStr">
        <is>
          <t>&lt;=</t>
        </is>
      </c>
      <c r="F42" s="25" t="inlineStr">
        <is>
          <t>&lt;=</t>
        </is>
      </c>
      <c r="G42" s="25" t="inlineStr">
        <is>
          <t>&lt;=</t>
        </is>
      </c>
      <c r="H42" s="25" t="inlineStr">
        <is>
          <t>&lt;=</t>
        </is>
      </c>
      <c r="I42" s="25" t="inlineStr">
        <is>
          <t>&lt;=</t>
        </is>
      </c>
      <c r="J42" s="25" t="inlineStr">
        <is>
          <t>&lt;=</t>
        </is>
      </c>
      <c r="K42" s="25" t="inlineStr">
        <is>
          <t>&lt;=</t>
        </is>
      </c>
      <c r="L42" s="25" t="inlineStr">
        <is>
          <t>&lt;=</t>
        </is>
      </c>
      <c r="M42" s="25" t="inlineStr">
        <is>
          <t>&lt;=</t>
        </is>
      </c>
      <c r="N42" s="25" t="inlineStr">
        <is>
          <t>&lt;=</t>
        </is>
      </c>
      <c r="O42" s="25" t="inlineStr">
        <is>
          <t>&lt;=</t>
        </is>
      </c>
      <c r="P42" s="25" t="inlineStr">
        <is>
          <t>&lt;=</t>
        </is>
      </c>
      <c r="Q42" s="25" t="inlineStr">
        <is>
          <t>&lt;=</t>
        </is>
      </c>
      <c r="R42" s="25" t="inlineStr">
        <is>
          <t>&lt;=</t>
        </is>
      </c>
      <c r="S42" s="25" t="inlineStr">
        <is>
          <t>&lt;=</t>
        </is>
      </c>
      <c r="T42" s="25" t="inlineStr">
        <is>
          <t>&lt;=</t>
        </is>
      </c>
      <c r="U42" s="25" t="inlineStr">
        <is>
          <t>&lt;=</t>
        </is>
      </c>
      <c r="V42" s="25" t="inlineStr">
        <is>
          <t>&lt;=</t>
        </is>
      </c>
      <c r="W42" s="25" t="inlineStr">
        <is>
          <t>&lt;=</t>
        </is>
      </c>
      <c r="X42" s="25" t="inlineStr">
        <is>
          <t>&lt;=</t>
        </is>
      </c>
      <c r="Y42" s="25" t="inlineStr">
        <is>
          <t>&lt;=</t>
        </is>
      </c>
      <c r="Z42" s="25" t="inlineStr">
        <is>
          <t>&lt;=</t>
        </is>
      </c>
      <c r="AA42" s="25" t="inlineStr">
        <is>
          <t>&lt;=</t>
        </is>
      </c>
      <c r="AB42" s="25" t="inlineStr">
        <is>
          <t>&lt;=</t>
        </is>
      </c>
      <c r="AC42" s="25" t="inlineStr">
        <is>
          <t>&lt;=</t>
        </is>
      </c>
      <c r="AD42" s="25" t="inlineStr">
        <is>
          <t>&lt;=</t>
        </is>
      </c>
      <c r="AE42" s="25" t="inlineStr">
        <is>
          <t>&lt;=</t>
        </is>
      </c>
      <c r="AF42" s="25" t="inlineStr">
        <is>
          <t>&lt;=</t>
        </is>
      </c>
      <c r="AG42" s="25" t="inlineStr">
        <is>
          <t>&lt;=</t>
        </is>
      </c>
      <c r="AH42" s="25" t="inlineStr">
        <is>
          <t>&lt;=</t>
        </is>
      </c>
      <c r="AI42" s="25" t="inlineStr">
        <is>
          <t>&lt;=</t>
        </is>
      </c>
      <c r="AJ42" s="25" t="inlineStr">
        <is>
          <t>&lt;=</t>
        </is>
      </c>
      <c r="AK42" s="25" t="inlineStr">
        <is>
          <t>&lt;=</t>
        </is>
      </c>
      <c r="AL42" s="25" t="inlineStr">
        <is>
          <t>&lt;=</t>
        </is>
      </c>
      <c r="AM42" s="25" t="inlineStr">
        <is>
          <t>&lt;=</t>
        </is>
      </c>
      <c r="AN42" s="25" t="inlineStr">
        <is>
          <t>&lt;=</t>
        </is>
      </c>
      <c r="AO42" s="25" t="inlineStr">
        <is>
          <t>&lt;=</t>
        </is>
      </c>
      <c r="AP42" s="25" t="inlineStr">
        <is>
          <t>&lt;=</t>
        </is>
      </c>
      <c r="AQ42" s="25" t="inlineStr">
        <is>
          <t>&lt;=</t>
        </is>
      </c>
      <c r="AR42" s="25" t="inlineStr">
        <is>
          <t>&lt;=</t>
        </is>
      </c>
      <c r="AS42" s="25" t="inlineStr">
        <is>
          <t>&lt;=</t>
        </is>
      </c>
      <c r="AT42" s="25" t="inlineStr">
        <is>
          <t>&lt;=</t>
        </is>
      </c>
      <c r="AU42" s="25" t="inlineStr">
        <is>
          <t>&lt;=</t>
        </is>
      </c>
      <c r="AV42" s="25" t="inlineStr">
        <is>
          <t>&lt;=</t>
        </is>
      </c>
      <c r="AW42" s="25" t="inlineStr">
        <is>
          <t>&lt;=</t>
        </is>
      </c>
      <c r="AX42" s="25" t="inlineStr">
        <is>
          <t>&lt;=</t>
        </is>
      </c>
      <c r="AY42" s="25" t="inlineStr">
        <is>
          <t>&lt;=</t>
        </is>
      </c>
      <c r="AZ42" s="25" t="inlineStr">
        <is>
          <t>&lt;=</t>
        </is>
      </c>
      <c r="BA42" s="25" t="inlineStr">
        <is>
          <t>&lt;=</t>
        </is>
      </c>
      <c r="BB42" s="25" t="inlineStr">
        <is>
          <t>&lt;=</t>
        </is>
      </c>
    </row>
    <row r="43">
      <c r="A43" s="3" t="inlineStr">
        <is>
          <t xml:space="preserve">  limit</t>
        </is>
      </c>
      <c r="B43" s="4" t="inlineStr">
        <is>
          <t>cap</t>
        </is>
      </c>
      <c r="C43" s="24">
        <f>$B$12</f>
        <v/>
      </c>
      <c r="D43" s="24">
        <f>$B$12</f>
        <v/>
      </c>
      <c r="E43" s="24">
        <f>$B$12</f>
        <v/>
      </c>
      <c r="F43" s="24">
        <f>$B$12</f>
        <v/>
      </c>
      <c r="G43" s="24">
        <f>$B$12</f>
        <v/>
      </c>
      <c r="H43" s="24">
        <f>$B$12</f>
        <v/>
      </c>
      <c r="I43" s="24">
        <f>$B$12</f>
        <v/>
      </c>
      <c r="J43" s="24">
        <f>$B$12</f>
        <v/>
      </c>
      <c r="K43" s="24">
        <f>$B$12</f>
        <v/>
      </c>
      <c r="L43" s="24">
        <f>$B$12</f>
        <v/>
      </c>
      <c r="M43" s="24">
        <f>$B$12</f>
        <v/>
      </c>
      <c r="N43" s="24">
        <f>$B$12</f>
        <v/>
      </c>
      <c r="O43" s="24">
        <f>$B$12</f>
        <v/>
      </c>
      <c r="P43" s="24">
        <f>$B$12</f>
        <v/>
      </c>
      <c r="Q43" s="24">
        <f>$B$12</f>
        <v/>
      </c>
      <c r="R43" s="24">
        <f>$B$12</f>
        <v/>
      </c>
      <c r="S43" s="24">
        <f>$B$12</f>
        <v/>
      </c>
      <c r="T43" s="24">
        <f>$B$12</f>
        <v/>
      </c>
      <c r="U43" s="24">
        <f>$B$12</f>
        <v/>
      </c>
      <c r="V43" s="24">
        <f>$B$12</f>
        <v/>
      </c>
      <c r="W43" s="24">
        <f>$B$12</f>
        <v/>
      </c>
      <c r="X43" s="24">
        <f>$B$12</f>
        <v/>
      </c>
      <c r="Y43" s="24">
        <f>$B$12</f>
        <v/>
      </c>
      <c r="Z43" s="24">
        <f>$B$12</f>
        <v/>
      </c>
      <c r="AA43" s="24">
        <f>$B$12</f>
        <v/>
      </c>
      <c r="AB43" s="24">
        <f>$B$12</f>
        <v/>
      </c>
      <c r="AC43" s="24">
        <f>$B$12</f>
        <v/>
      </c>
      <c r="AD43" s="24">
        <f>$B$12</f>
        <v/>
      </c>
      <c r="AE43" s="24">
        <f>$B$12</f>
        <v/>
      </c>
      <c r="AF43" s="24">
        <f>$B$12</f>
        <v/>
      </c>
      <c r="AG43" s="24">
        <f>$B$12</f>
        <v/>
      </c>
      <c r="AH43" s="24">
        <f>$B$12</f>
        <v/>
      </c>
      <c r="AI43" s="24">
        <f>$B$12</f>
        <v/>
      </c>
      <c r="AJ43" s="24">
        <f>$B$12</f>
        <v/>
      </c>
      <c r="AK43" s="24">
        <f>$B$12</f>
        <v/>
      </c>
      <c r="AL43" s="24">
        <f>$B$12</f>
        <v/>
      </c>
      <c r="AM43" s="24">
        <f>$B$12</f>
        <v/>
      </c>
      <c r="AN43" s="24">
        <f>$B$12</f>
        <v/>
      </c>
      <c r="AO43" s="24">
        <f>$B$12</f>
        <v/>
      </c>
      <c r="AP43" s="24">
        <f>$B$12</f>
        <v/>
      </c>
      <c r="AQ43" s="24">
        <f>$B$12</f>
        <v/>
      </c>
      <c r="AR43" s="24">
        <f>$B$12</f>
        <v/>
      </c>
      <c r="AS43" s="24">
        <f>$B$12</f>
        <v/>
      </c>
      <c r="AT43" s="24">
        <f>$B$12</f>
        <v/>
      </c>
      <c r="AU43" s="24">
        <f>$B$12</f>
        <v/>
      </c>
      <c r="AV43" s="24">
        <f>$B$12</f>
        <v/>
      </c>
      <c r="AW43" s="24">
        <f>$B$12</f>
        <v/>
      </c>
      <c r="AX43" s="24">
        <f>$B$12</f>
        <v/>
      </c>
      <c r="AY43" s="24">
        <f>$B$12</f>
        <v/>
      </c>
      <c r="AZ43" s="24">
        <f>$B$12</f>
        <v/>
      </c>
      <c r="BA43" s="24">
        <f>$B$12</f>
        <v/>
      </c>
      <c r="BB43" s="24">
        <f>$B$12</f>
        <v/>
      </c>
    </row>
    <row r="44">
      <c r="A44" s="21" t="inlineStr">
        <is>
          <t xml:space="preserve">  room left</t>
        </is>
      </c>
      <c r="B44" s="4" t="inlineStr"/>
      <c r="C44" s="24">
        <f>$B$12-C41</f>
        <v/>
      </c>
      <c r="D44" s="24">
        <f>$B$12-D41</f>
        <v/>
      </c>
      <c r="E44" s="24">
        <f>$B$12-E41</f>
        <v/>
      </c>
      <c r="F44" s="24">
        <f>$B$12-F41</f>
        <v/>
      </c>
      <c r="G44" s="24">
        <f>$B$12-G41</f>
        <v/>
      </c>
      <c r="H44" s="24">
        <f>$B$12-H41</f>
        <v/>
      </c>
      <c r="I44" s="24">
        <f>$B$12-I41</f>
        <v/>
      </c>
      <c r="J44" s="24">
        <f>$B$12-J41</f>
        <v/>
      </c>
      <c r="K44" s="24">
        <f>$B$12-K41</f>
        <v/>
      </c>
      <c r="L44" s="24">
        <f>$B$12-L41</f>
        <v/>
      </c>
      <c r="M44" s="24">
        <f>$B$12-M41</f>
        <v/>
      </c>
      <c r="N44" s="24">
        <f>$B$12-N41</f>
        <v/>
      </c>
      <c r="O44" s="24">
        <f>$B$12-O41</f>
        <v/>
      </c>
      <c r="P44" s="24">
        <f>$B$12-P41</f>
        <v/>
      </c>
      <c r="Q44" s="24">
        <f>$B$12-Q41</f>
        <v/>
      </c>
      <c r="R44" s="24">
        <f>$B$12-R41</f>
        <v/>
      </c>
      <c r="S44" s="24">
        <f>$B$12-S41</f>
        <v/>
      </c>
      <c r="T44" s="24">
        <f>$B$12-T41</f>
        <v/>
      </c>
      <c r="U44" s="24">
        <f>$B$12-U41</f>
        <v/>
      </c>
      <c r="V44" s="24">
        <f>$B$12-V41</f>
        <v/>
      </c>
      <c r="W44" s="24">
        <f>$B$12-W41</f>
        <v/>
      </c>
      <c r="X44" s="24">
        <f>$B$12-X41</f>
        <v/>
      </c>
      <c r="Y44" s="24">
        <f>$B$12-Y41</f>
        <v/>
      </c>
      <c r="Z44" s="24">
        <f>$B$12-Z41</f>
        <v/>
      </c>
      <c r="AA44" s="24">
        <f>$B$12-AA41</f>
        <v/>
      </c>
      <c r="AB44" s="24">
        <f>$B$12-AB41</f>
        <v/>
      </c>
      <c r="AC44" s="24">
        <f>$B$12-AC41</f>
        <v/>
      </c>
      <c r="AD44" s="24">
        <f>$B$12-AD41</f>
        <v/>
      </c>
      <c r="AE44" s="24">
        <f>$B$12-AE41</f>
        <v/>
      </c>
      <c r="AF44" s="24">
        <f>$B$12-AF41</f>
        <v/>
      </c>
      <c r="AG44" s="24">
        <f>$B$12-AG41</f>
        <v/>
      </c>
      <c r="AH44" s="24">
        <f>$B$12-AH41</f>
        <v/>
      </c>
      <c r="AI44" s="24">
        <f>$B$12-AI41</f>
        <v/>
      </c>
      <c r="AJ44" s="24">
        <f>$B$12-AJ41</f>
        <v/>
      </c>
      <c r="AK44" s="24">
        <f>$B$12-AK41</f>
        <v/>
      </c>
      <c r="AL44" s="24">
        <f>$B$12-AL41</f>
        <v/>
      </c>
      <c r="AM44" s="24">
        <f>$B$12-AM41</f>
        <v/>
      </c>
      <c r="AN44" s="24">
        <f>$B$12-AN41</f>
        <v/>
      </c>
      <c r="AO44" s="24">
        <f>$B$12-AO41</f>
        <v/>
      </c>
      <c r="AP44" s="24">
        <f>$B$12-AP41</f>
        <v/>
      </c>
      <c r="AQ44" s="24">
        <f>$B$12-AQ41</f>
        <v/>
      </c>
      <c r="AR44" s="24">
        <f>$B$12-AR41</f>
        <v/>
      </c>
      <c r="AS44" s="24">
        <f>$B$12-AS41</f>
        <v/>
      </c>
      <c r="AT44" s="24">
        <f>$B$12-AT41</f>
        <v/>
      </c>
      <c r="AU44" s="24">
        <f>$B$12-AU41</f>
        <v/>
      </c>
      <c r="AV44" s="24">
        <f>$B$12-AV41</f>
        <v/>
      </c>
      <c r="AW44" s="24">
        <f>$B$12-AW41</f>
        <v/>
      </c>
      <c r="AX44" s="24">
        <f>$B$12-AX41</f>
        <v/>
      </c>
      <c r="AY44" s="24">
        <f>$B$12-AY41</f>
        <v/>
      </c>
      <c r="AZ44" s="24">
        <f>$B$12-AZ41</f>
        <v/>
      </c>
      <c r="BA44" s="24">
        <f>$B$12-BA41</f>
        <v/>
      </c>
      <c r="BB44" s="24">
        <f>$B$12-BB41</f>
        <v/>
      </c>
    </row>
    <row r="45">
      <c r="A45" s="4" t="inlineStr">
        <is>
          <t xml:space="preserve">   Acres standing in the ground that week. A succession occupies its ground from planting to its LAST harvest week — which is why the five acre figures above can sum past your land and still be legal, as long as no single WEEK does.</t>
        </is>
      </c>
    </row>
    <row r="47">
      <c r="A47" s="2" t="inlineStr">
        <is>
          <t>SPINACH  —  cold store</t>
        </is>
      </c>
      <c r="B47" s="26" t="inlineStr"/>
    </row>
    <row r="48">
      <c r="A48" s="18" t="inlineStr">
        <is>
          <t>Week</t>
        </is>
      </c>
      <c r="B48" s="19" t="inlineStr"/>
      <c r="C48" s="20" t="n">
        <v>1</v>
      </c>
      <c r="D48" s="20" t="n">
        <v>2</v>
      </c>
      <c r="E48" s="20" t="n">
        <v>3</v>
      </c>
      <c r="F48" s="20" t="n">
        <v>4</v>
      </c>
      <c r="G48" s="20" t="n">
        <v>5</v>
      </c>
      <c r="H48" s="20" t="n">
        <v>6</v>
      </c>
      <c r="I48" s="20" t="n">
        <v>7</v>
      </c>
      <c r="J48" s="20" t="n">
        <v>8</v>
      </c>
      <c r="K48" s="20" t="n">
        <v>9</v>
      </c>
      <c r="L48" s="20" t="n">
        <v>10</v>
      </c>
      <c r="M48" s="20" t="n">
        <v>11</v>
      </c>
      <c r="N48" s="20" t="n">
        <v>12</v>
      </c>
      <c r="O48" s="20" t="n">
        <v>13</v>
      </c>
      <c r="P48" s="20" t="n">
        <v>14</v>
      </c>
      <c r="Q48" s="20" t="n">
        <v>15</v>
      </c>
      <c r="R48" s="20" t="n">
        <v>16</v>
      </c>
      <c r="S48" s="20" t="n">
        <v>17</v>
      </c>
      <c r="T48" s="20" t="n">
        <v>18</v>
      </c>
      <c r="U48" s="20" t="n">
        <v>19</v>
      </c>
      <c r="V48" s="20" t="n">
        <v>20</v>
      </c>
      <c r="W48" s="20" t="n">
        <v>21</v>
      </c>
      <c r="X48" s="20" t="n">
        <v>22</v>
      </c>
      <c r="Y48" s="20" t="n">
        <v>23</v>
      </c>
      <c r="Z48" s="20" t="n">
        <v>24</v>
      </c>
      <c r="AA48" s="20" t="n">
        <v>25</v>
      </c>
      <c r="AB48" s="20" t="n">
        <v>26</v>
      </c>
      <c r="AC48" s="20" t="n">
        <v>27</v>
      </c>
      <c r="AD48" s="20" t="n">
        <v>28</v>
      </c>
      <c r="AE48" s="20" t="n">
        <v>29</v>
      </c>
      <c r="AF48" s="20" t="n">
        <v>30</v>
      </c>
      <c r="AG48" s="20" t="n">
        <v>31</v>
      </c>
      <c r="AH48" s="20" t="n">
        <v>32</v>
      </c>
      <c r="AI48" s="20" t="n">
        <v>33</v>
      </c>
      <c r="AJ48" s="20" t="n">
        <v>34</v>
      </c>
      <c r="AK48" s="20" t="n">
        <v>35</v>
      </c>
      <c r="AL48" s="20" t="n">
        <v>36</v>
      </c>
      <c r="AM48" s="20" t="n">
        <v>37</v>
      </c>
      <c r="AN48" s="20" t="n">
        <v>38</v>
      </c>
      <c r="AO48" s="20" t="n">
        <v>39</v>
      </c>
      <c r="AP48" s="20" t="n">
        <v>40</v>
      </c>
      <c r="AQ48" s="20" t="n">
        <v>41</v>
      </c>
      <c r="AR48" s="20" t="n">
        <v>42</v>
      </c>
      <c r="AS48" s="20" t="n">
        <v>43</v>
      </c>
      <c r="AT48" s="20" t="n">
        <v>44</v>
      </c>
      <c r="AU48" s="20" t="n">
        <v>45</v>
      </c>
      <c r="AV48" s="20" t="n">
        <v>46</v>
      </c>
      <c r="AW48" s="20" t="n">
        <v>47</v>
      </c>
      <c r="AX48" s="20" t="n">
        <v>48</v>
      </c>
      <c r="AY48" s="20" t="n">
        <v>49</v>
      </c>
      <c r="AZ48" s="20" t="n">
        <v>50</v>
      </c>
      <c r="BA48" s="20" t="n">
        <v>51</v>
      </c>
      <c r="BB48" s="20" t="n">
        <v>52</v>
      </c>
    </row>
    <row r="49">
      <c r="A49" s="21" t="inlineStr">
        <is>
          <t>Harvested (gross)</t>
        </is>
      </c>
      <c r="B49" s="4" t="inlineStr">
        <is>
          <t>lb</t>
        </is>
      </c>
      <c r="C49" s="23">
        <f>C29+C31</f>
        <v/>
      </c>
      <c r="D49" s="23">
        <f>D29+D31</f>
        <v/>
      </c>
      <c r="E49" s="23">
        <f>E29+E31</f>
        <v/>
      </c>
      <c r="F49" s="23">
        <f>F29+F31</f>
        <v/>
      </c>
      <c r="G49" s="23">
        <f>G29+G31</f>
        <v/>
      </c>
      <c r="H49" s="23">
        <f>H29+H31</f>
        <v/>
      </c>
      <c r="I49" s="23">
        <f>I29+I31</f>
        <v/>
      </c>
      <c r="J49" s="23">
        <f>J29+J31</f>
        <v/>
      </c>
      <c r="K49" s="23">
        <f>K29+K31</f>
        <v/>
      </c>
      <c r="L49" s="23">
        <f>L29+L31</f>
        <v/>
      </c>
      <c r="M49" s="23">
        <f>M29+M31</f>
        <v/>
      </c>
      <c r="N49" s="23">
        <f>N29+N31</f>
        <v/>
      </c>
      <c r="O49" s="23">
        <f>O29+O31</f>
        <v/>
      </c>
      <c r="P49" s="23">
        <f>P29+P31</f>
        <v/>
      </c>
      <c r="Q49" s="23">
        <f>Q29+Q31</f>
        <v/>
      </c>
      <c r="R49" s="23">
        <f>R29+R31</f>
        <v/>
      </c>
      <c r="S49" s="23">
        <f>S29+S31</f>
        <v/>
      </c>
      <c r="T49" s="23">
        <f>T29+T31</f>
        <v/>
      </c>
      <c r="U49" s="23">
        <f>U29+U31</f>
        <v/>
      </c>
      <c r="V49" s="23">
        <f>V29+V31</f>
        <v/>
      </c>
      <c r="W49" s="23">
        <f>W29+W31</f>
        <v/>
      </c>
      <c r="X49" s="23">
        <f>X29+X31</f>
        <v/>
      </c>
      <c r="Y49" s="23">
        <f>Y29+Y31</f>
        <v/>
      </c>
      <c r="Z49" s="23">
        <f>Z29+Z31</f>
        <v/>
      </c>
      <c r="AA49" s="23">
        <f>AA29+AA31</f>
        <v/>
      </c>
      <c r="AB49" s="23">
        <f>AB29+AB31</f>
        <v/>
      </c>
      <c r="AC49" s="23">
        <f>AC29+AC31</f>
        <v/>
      </c>
      <c r="AD49" s="23">
        <f>AD29+AD31</f>
        <v/>
      </c>
      <c r="AE49" s="23">
        <f>AE29+AE31</f>
        <v/>
      </c>
      <c r="AF49" s="23">
        <f>AF29+AF31</f>
        <v/>
      </c>
      <c r="AG49" s="23">
        <f>AG29+AG31</f>
        <v/>
      </c>
      <c r="AH49" s="23">
        <f>AH29+AH31</f>
        <v/>
      </c>
      <c r="AI49" s="23">
        <f>AI29+AI31</f>
        <v/>
      </c>
      <c r="AJ49" s="23">
        <f>AJ29+AJ31</f>
        <v/>
      </c>
      <c r="AK49" s="23">
        <f>AK29+AK31</f>
        <v/>
      </c>
      <c r="AL49" s="23">
        <f>AL29+AL31</f>
        <v/>
      </c>
      <c r="AM49" s="23">
        <f>AM29+AM31</f>
        <v/>
      </c>
      <c r="AN49" s="23">
        <f>AN29+AN31</f>
        <v/>
      </c>
      <c r="AO49" s="23">
        <f>AO29+AO31</f>
        <v/>
      </c>
      <c r="AP49" s="23">
        <f>AP29+AP31</f>
        <v/>
      </c>
      <c r="AQ49" s="23">
        <f>AQ29+AQ31</f>
        <v/>
      </c>
      <c r="AR49" s="23">
        <f>AR29+AR31</f>
        <v/>
      </c>
      <c r="AS49" s="23">
        <f>AS29+AS31</f>
        <v/>
      </c>
      <c r="AT49" s="23">
        <f>AT29+AT31</f>
        <v/>
      </c>
      <c r="AU49" s="23">
        <f>AU29+AU31</f>
        <v/>
      </c>
      <c r="AV49" s="23">
        <f>AV29+AV31</f>
        <v/>
      </c>
      <c r="AW49" s="23">
        <f>AW29+AW31</f>
        <v/>
      </c>
      <c r="AX49" s="23">
        <f>AX29+AX31</f>
        <v/>
      </c>
      <c r="AY49" s="23">
        <f>AY29+AY31</f>
        <v/>
      </c>
      <c r="AZ49" s="23">
        <f>AZ29+AZ31</f>
        <v/>
      </c>
      <c r="BA49" s="23">
        <f>BA29+BA31</f>
        <v/>
      </c>
      <c r="BB49" s="23">
        <f>BB29+BB31</f>
        <v/>
      </c>
    </row>
    <row r="50">
      <c r="A50" s="21" t="inlineStr">
        <is>
          <t xml:space="preserve">   field cull (never cooled)</t>
        </is>
      </c>
      <c r="B50" s="4" t="inlineStr">
        <is>
          <t>lb</t>
        </is>
      </c>
      <c r="C50" s="23">
        <f>C49*(1-$C$16)</f>
        <v/>
      </c>
      <c r="D50" s="23">
        <f>D49*(1-$C$16)</f>
        <v/>
      </c>
      <c r="E50" s="23">
        <f>E49*(1-$C$16)</f>
        <v/>
      </c>
      <c r="F50" s="23">
        <f>F49*(1-$C$16)</f>
        <v/>
      </c>
      <c r="G50" s="23">
        <f>G49*(1-$C$16)</f>
        <v/>
      </c>
      <c r="H50" s="23">
        <f>H49*(1-$C$16)</f>
        <v/>
      </c>
      <c r="I50" s="23">
        <f>I49*(1-$C$16)</f>
        <v/>
      </c>
      <c r="J50" s="23">
        <f>J49*(1-$C$16)</f>
        <v/>
      </c>
      <c r="K50" s="23">
        <f>K49*(1-$C$16)</f>
        <v/>
      </c>
      <c r="L50" s="23">
        <f>L49*(1-$C$16)</f>
        <v/>
      </c>
      <c r="M50" s="23">
        <f>M49*(1-$C$16)</f>
        <v/>
      </c>
      <c r="N50" s="23">
        <f>N49*(1-$C$16)</f>
        <v/>
      </c>
      <c r="O50" s="23">
        <f>O49*(1-$C$16)</f>
        <v/>
      </c>
      <c r="P50" s="23">
        <f>P49*(1-$C$16)</f>
        <v/>
      </c>
      <c r="Q50" s="23">
        <f>Q49*(1-$C$16)</f>
        <v/>
      </c>
      <c r="R50" s="23">
        <f>R49*(1-$C$16)</f>
        <v/>
      </c>
      <c r="S50" s="23">
        <f>S49*(1-$C$16)</f>
        <v/>
      </c>
      <c r="T50" s="23">
        <f>T49*(1-$C$16)</f>
        <v/>
      </c>
      <c r="U50" s="23">
        <f>U49*(1-$C$16)</f>
        <v/>
      </c>
      <c r="V50" s="23">
        <f>V49*(1-$C$16)</f>
        <v/>
      </c>
      <c r="W50" s="23">
        <f>W49*(1-$C$16)</f>
        <v/>
      </c>
      <c r="X50" s="23">
        <f>X49*(1-$C$16)</f>
        <v/>
      </c>
      <c r="Y50" s="23">
        <f>Y49*(1-$C$16)</f>
        <v/>
      </c>
      <c r="Z50" s="23">
        <f>Z49*(1-$C$16)</f>
        <v/>
      </c>
      <c r="AA50" s="23">
        <f>AA49*(1-$C$16)</f>
        <v/>
      </c>
      <c r="AB50" s="23">
        <f>AB49*(1-$C$16)</f>
        <v/>
      </c>
      <c r="AC50" s="23">
        <f>AC49*(1-$C$16)</f>
        <v/>
      </c>
      <c r="AD50" s="23">
        <f>AD49*(1-$C$16)</f>
        <v/>
      </c>
      <c r="AE50" s="23">
        <f>AE49*(1-$C$16)</f>
        <v/>
      </c>
      <c r="AF50" s="23">
        <f>AF49*(1-$C$16)</f>
        <v/>
      </c>
      <c r="AG50" s="23">
        <f>AG49*(1-$C$16)</f>
        <v/>
      </c>
      <c r="AH50" s="23">
        <f>AH49*(1-$C$16)</f>
        <v/>
      </c>
      <c r="AI50" s="23">
        <f>AI49*(1-$C$16)</f>
        <v/>
      </c>
      <c r="AJ50" s="23">
        <f>AJ49*(1-$C$16)</f>
        <v/>
      </c>
      <c r="AK50" s="23">
        <f>AK49*(1-$C$16)</f>
        <v/>
      </c>
      <c r="AL50" s="23">
        <f>AL49*(1-$C$16)</f>
        <v/>
      </c>
      <c r="AM50" s="23">
        <f>AM49*(1-$C$16)</f>
        <v/>
      </c>
      <c r="AN50" s="23">
        <f>AN49*(1-$C$16)</f>
        <v/>
      </c>
      <c r="AO50" s="23">
        <f>AO49*(1-$C$16)</f>
        <v/>
      </c>
      <c r="AP50" s="23">
        <f>AP49*(1-$C$16)</f>
        <v/>
      </c>
      <c r="AQ50" s="23">
        <f>AQ49*(1-$C$16)</f>
        <v/>
      </c>
      <c r="AR50" s="23">
        <f>AR49*(1-$C$16)</f>
        <v/>
      </c>
      <c r="AS50" s="23">
        <f>AS49*(1-$C$16)</f>
        <v/>
      </c>
      <c r="AT50" s="23">
        <f>AT49*(1-$C$16)</f>
        <v/>
      </c>
      <c r="AU50" s="23">
        <f>AU49*(1-$C$16)</f>
        <v/>
      </c>
      <c r="AV50" s="23">
        <f>AV49*(1-$C$16)</f>
        <v/>
      </c>
      <c r="AW50" s="23">
        <f>AW49*(1-$C$16)</f>
        <v/>
      </c>
      <c r="AX50" s="23">
        <f>AX49*(1-$C$16)</f>
        <v/>
      </c>
      <c r="AY50" s="23">
        <f>AY49*(1-$C$16)</f>
        <v/>
      </c>
      <c r="AZ50" s="23">
        <f>AZ49*(1-$C$16)</f>
        <v/>
      </c>
      <c r="BA50" s="23">
        <f>BA49*(1-$C$16)</f>
        <v/>
      </c>
      <c r="BB50" s="23">
        <f>BB49*(1-$C$16)</f>
        <v/>
      </c>
    </row>
    <row r="51">
      <c r="A51" s="3" t="inlineStr">
        <is>
          <t>Packed out -&gt; INTO the store</t>
        </is>
      </c>
      <c r="B51" s="4" t="inlineStr">
        <is>
          <t>lb</t>
        </is>
      </c>
      <c r="C51" s="23">
        <f>C49*$C$16</f>
        <v/>
      </c>
      <c r="D51" s="23">
        <f>D49*$C$16</f>
        <v/>
      </c>
      <c r="E51" s="23">
        <f>E49*$C$16</f>
        <v/>
      </c>
      <c r="F51" s="23">
        <f>F49*$C$16</f>
        <v/>
      </c>
      <c r="G51" s="23">
        <f>G49*$C$16</f>
        <v/>
      </c>
      <c r="H51" s="23">
        <f>H49*$C$16</f>
        <v/>
      </c>
      <c r="I51" s="23">
        <f>I49*$C$16</f>
        <v/>
      </c>
      <c r="J51" s="23">
        <f>J49*$C$16</f>
        <v/>
      </c>
      <c r="K51" s="23">
        <f>K49*$C$16</f>
        <v/>
      </c>
      <c r="L51" s="23">
        <f>L49*$C$16</f>
        <v/>
      </c>
      <c r="M51" s="23">
        <f>M49*$C$16</f>
        <v/>
      </c>
      <c r="N51" s="23">
        <f>N49*$C$16</f>
        <v/>
      </c>
      <c r="O51" s="23">
        <f>O49*$C$16</f>
        <v/>
      </c>
      <c r="P51" s="23">
        <f>P49*$C$16</f>
        <v/>
      </c>
      <c r="Q51" s="23">
        <f>Q49*$C$16</f>
        <v/>
      </c>
      <c r="R51" s="23">
        <f>R49*$C$16</f>
        <v/>
      </c>
      <c r="S51" s="23">
        <f>S49*$C$16</f>
        <v/>
      </c>
      <c r="T51" s="23">
        <f>T49*$C$16</f>
        <v/>
      </c>
      <c r="U51" s="23">
        <f>U49*$C$16</f>
        <v/>
      </c>
      <c r="V51" s="23">
        <f>V49*$C$16</f>
        <v/>
      </c>
      <c r="W51" s="23">
        <f>W49*$C$16</f>
        <v/>
      </c>
      <c r="X51" s="23">
        <f>X49*$C$16</f>
        <v/>
      </c>
      <c r="Y51" s="23">
        <f>Y49*$C$16</f>
        <v/>
      </c>
      <c r="Z51" s="23">
        <f>Z49*$C$16</f>
        <v/>
      </c>
      <c r="AA51" s="23">
        <f>AA49*$C$16</f>
        <v/>
      </c>
      <c r="AB51" s="23">
        <f>AB49*$C$16</f>
        <v/>
      </c>
      <c r="AC51" s="23">
        <f>AC49*$C$16</f>
        <v/>
      </c>
      <c r="AD51" s="23">
        <f>AD49*$C$16</f>
        <v/>
      </c>
      <c r="AE51" s="23">
        <f>AE49*$C$16</f>
        <v/>
      </c>
      <c r="AF51" s="23">
        <f>AF49*$C$16</f>
        <v/>
      </c>
      <c r="AG51" s="23">
        <f>AG49*$C$16</f>
        <v/>
      </c>
      <c r="AH51" s="23">
        <f>AH49*$C$16</f>
        <v/>
      </c>
      <c r="AI51" s="23">
        <f>AI49*$C$16</f>
        <v/>
      </c>
      <c r="AJ51" s="23">
        <f>AJ49*$C$16</f>
        <v/>
      </c>
      <c r="AK51" s="23">
        <f>AK49*$C$16</f>
        <v/>
      </c>
      <c r="AL51" s="23">
        <f>AL49*$C$16</f>
        <v/>
      </c>
      <c r="AM51" s="23">
        <f>AM49*$C$16</f>
        <v/>
      </c>
      <c r="AN51" s="23">
        <f>AN49*$C$16</f>
        <v/>
      </c>
      <c r="AO51" s="23">
        <f>AO49*$C$16</f>
        <v/>
      </c>
      <c r="AP51" s="23">
        <f>AP49*$C$16</f>
        <v/>
      </c>
      <c r="AQ51" s="23">
        <f>AQ49*$C$16</f>
        <v/>
      </c>
      <c r="AR51" s="23">
        <f>AR49*$C$16</f>
        <v/>
      </c>
      <c r="AS51" s="23">
        <f>AS49*$C$16</f>
        <v/>
      </c>
      <c r="AT51" s="23">
        <f>AT49*$C$16</f>
        <v/>
      </c>
      <c r="AU51" s="23">
        <f>AU49*$C$16</f>
        <v/>
      </c>
      <c r="AV51" s="23">
        <f>AV49*$C$16</f>
        <v/>
      </c>
      <c r="AW51" s="23">
        <f>AW49*$C$16</f>
        <v/>
      </c>
      <c r="AX51" s="23">
        <f>AX49*$C$16</f>
        <v/>
      </c>
      <c r="AY51" s="23">
        <f>AY49*$C$16</f>
        <v/>
      </c>
      <c r="AZ51" s="23">
        <f>AZ49*$C$16</f>
        <v/>
      </c>
      <c r="BA51" s="23">
        <f>BA49*$C$16</f>
        <v/>
      </c>
      <c r="BB51" s="23">
        <f>BB49*$C$16</f>
        <v/>
      </c>
    </row>
    <row r="52">
      <c r="A52" s="21" t="inlineStr">
        <is>
          <t>Stock carried in</t>
        </is>
      </c>
      <c r="B52" s="4" t="inlineStr">
        <is>
          <t>lb</t>
        </is>
      </c>
      <c r="C52" s="23" t="n">
        <v>0</v>
      </c>
      <c r="D52" s="23">
        <f>C58</f>
        <v/>
      </c>
      <c r="E52" s="23">
        <f>D58</f>
        <v/>
      </c>
      <c r="F52" s="23">
        <f>E58</f>
        <v/>
      </c>
      <c r="G52" s="23">
        <f>F58</f>
        <v/>
      </c>
      <c r="H52" s="23">
        <f>G58</f>
        <v/>
      </c>
      <c r="I52" s="23">
        <f>H58</f>
        <v/>
      </c>
      <c r="J52" s="23">
        <f>I58</f>
        <v/>
      </c>
      <c r="K52" s="23">
        <f>J58</f>
        <v/>
      </c>
      <c r="L52" s="23">
        <f>K58</f>
        <v/>
      </c>
      <c r="M52" s="23">
        <f>L58</f>
        <v/>
      </c>
      <c r="N52" s="23">
        <f>M58</f>
        <v/>
      </c>
      <c r="O52" s="23">
        <f>N58</f>
        <v/>
      </c>
      <c r="P52" s="23">
        <f>O58</f>
        <v/>
      </c>
      <c r="Q52" s="23">
        <f>P58</f>
        <v/>
      </c>
      <c r="R52" s="23">
        <f>Q58</f>
        <v/>
      </c>
      <c r="S52" s="23">
        <f>R58</f>
        <v/>
      </c>
      <c r="T52" s="23">
        <f>S58</f>
        <v/>
      </c>
      <c r="U52" s="23">
        <f>T58</f>
        <v/>
      </c>
      <c r="V52" s="23">
        <f>U58</f>
        <v/>
      </c>
      <c r="W52" s="23">
        <f>V58</f>
        <v/>
      </c>
      <c r="X52" s="23">
        <f>W58</f>
        <v/>
      </c>
      <c r="Y52" s="23">
        <f>X58</f>
        <v/>
      </c>
      <c r="Z52" s="23">
        <f>Y58</f>
        <v/>
      </c>
      <c r="AA52" s="23">
        <f>Z58</f>
        <v/>
      </c>
      <c r="AB52" s="23">
        <f>AA58</f>
        <v/>
      </c>
      <c r="AC52" s="23">
        <f>AB58</f>
        <v/>
      </c>
      <c r="AD52" s="23">
        <f>AC58</f>
        <v/>
      </c>
      <c r="AE52" s="23">
        <f>AD58</f>
        <v/>
      </c>
      <c r="AF52" s="23">
        <f>AE58</f>
        <v/>
      </c>
      <c r="AG52" s="23">
        <f>AF58</f>
        <v/>
      </c>
      <c r="AH52" s="23">
        <f>AG58</f>
        <v/>
      </c>
      <c r="AI52" s="23">
        <f>AH58</f>
        <v/>
      </c>
      <c r="AJ52" s="23">
        <f>AI58</f>
        <v/>
      </c>
      <c r="AK52" s="23">
        <f>AJ58</f>
        <v/>
      </c>
      <c r="AL52" s="23">
        <f>AK58</f>
        <v/>
      </c>
      <c r="AM52" s="23">
        <f>AL58</f>
        <v/>
      </c>
      <c r="AN52" s="23">
        <f>AM58</f>
        <v/>
      </c>
      <c r="AO52" s="23">
        <f>AN58</f>
        <v/>
      </c>
      <c r="AP52" s="23">
        <f>AO58</f>
        <v/>
      </c>
      <c r="AQ52" s="23">
        <f>AP58</f>
        <v/>
      </c>
      <c r="AR52" s="23">
        <f>AQ58</f>
        <v/>
      </c>
      <c r="AS52" s="23">
        <f>AR58</f>
        <v/>
      </c>
      <c r="AT52" s="23">
        <f>AS58</f>
        <v/>
      </c>
      <c r="AU52" s="23">
        <f>AT58</f>
        <v/>
      </c>
      <c r="AV52" s="23">
        <f>AU58</f>
        <v/>
      </c>
      <c r="AW52" s="23">
        <f>AV58</f>
        <v/>
      </c>
      <c r="AX52" s="23">
        <f>AW58</f>
        <v/>
      </c>
      <c r="AY52" s="23">
        <f>AX58</f>
        <v/>
      </c>
      <c r="AZ52" s="23">
        <f>AY58</f>
        <v/>
      </c>
      <c r="BA52" s="23">
        <f>AZ58</f>
        <v/>
      </c>
      <c r="BB52" s="23">
        <f>BA58</f>
        <v/>
      </c>
    </row>
    <row r="53">
      <c r="A53" s="21" t="inlineStr">
        <is>
          <t xml:space="preserve">   lost to shrink</t>
        </is>
      </c>
      <c r="B53" s="4" t="inlineStr">
        <is>
          <t>lb</t>
        </is>
      </c>
      <c r="C53" s="23">
        <f>C52*$H$16</f>
        <v/>
      </c>
      <c r="D53" s="23">
        <f>D52*$H$16</f>
        <v/>
      </c>
      <c r="E53" s="23">
        <f>E52*$H$16</f>
        <v/>
      </c>
      <c r="F53" s="23">
        <f>F52*$H$16</f>
        <v/>
      </c>
      <c r="G53" s="23">
        <f>G52*$H$16</f>
        <v/>
      </c>
      <c r="H53" s="23">
        <f>H52*$H$16</f>
        <v/>
      </c>
      <c r="I53" s="23">
        <f>I52*$H$16</f>
        <v/>
      </c>
      <c r="J53" s="23">
        <f>J52*$H$16</f>
        <v/>
      </c>
      <c r="K53" s="23">
        <f>K52*$H$16</f>
        <v/>
      </c>
      <c r="L53" s="23">
        <f>L52*$H$16</f>
        <v/>
      </c>
      <c r="M53" s="23">
        <f>M52*$H$16</f>
        <v/>
      </c>
      <c r="N53" s="23">
        <f>N52*$H$16</f>
        <v/>
      </c>
      <c r="O53" s="23">
        <f>O52*$H$16</f>
        <v/>
      </c>
      <c r="P53" s="23">
        <f>P52*$H$16</f>
        <v/>
      </c>
      <c r="Q53" s="23">
        <f>Q52*$H$16</f>
        <v/>
      </c>
      <c r="R53" s="23">
        <f>R52*$H$16</f>
        <v/>
      </c>
      <c r="S53" s="23">
        <f>S52*$H$16</f>
        <v/>
      </c>
      <c r="T53" s="23">
        <f>T52*$H$16</f>
        <v/>
      </c>
      <c r="U53" s="23">
        <f>U52*$H$16</f>
        <v/>
      </c>
      <c r="V53" s="23">
        <f>V52*$H$16</f>
        <v/>
      </c>
      <c r="W53" s="23">
        <f>W52*$H$16</f>
        <v/>
      </c>
      <c r="X53" s="23">
        <f>X52*$H$16</f>
        <v/>
      </c>
      <c r="Y53" s="23">
        <f>Y52*$H$16</f>
        <v/>
      </c>
      <c r="Z53" s="23">
        <f>Z52*$H$16</f>
        <v/>
      </c>
      <c r="AA53" s="23">
        <f>AA52*$H$16</f>
        <v/>
      </c>
      <c r="AB53" s="23">
        <f>AB52*$H$16</f>
        <v/>
      </c>
      <c r="AC53" s="23">
        <f>AC52*$H$16</f>
        <v/>
      </c>
      <c r="AD53" s="23">
        <f>AD52*$H$16</f>
        <v/>
      </c>
      <c r="AE53" s="23">
        <f>AE52*$H$16</f>
        <v/>
      </c>
      <c r="AF53" s="23">
        <f>AF52*$H$16</f>
        <v/>
      </c>
      <c r="AG53" s="23">
        <f>AG52*$H$16</f>
        <v/>
      </c>
      <c r="AH53" s="23">
        <f>AH52*$H$16</f>
        <v/>
      </c>
      <c r="AI53" s="23">
        <f>AI52*$H$16</f>
        <v/>
      </c>
      <c r="AJ53" s="23">
        <f>AJ52*$H$16</f>
        <v/>
      </c>
      <c r="AK53" s="23">
        <f>AK52*$H$16</f>
        <v/>
      </c>
      <c r="AL53" s="23">
        <f>AL52*$H$16</f>
        <v/>
      </c>
      <c r="AM53" s="23">
        <f>AM52*$H$16</f>
        <v/>
      </c>
      <c r="AN53" s="23">
        <f>AN52*$H$16</f>
        <v/>
      </c>
      <c r="AO53" s="23">
        <f>AO52*$H$16</f>
        <v/>
      </c>
      <c r="AP53" s="23">
        <f>AP52*$H$16</f>
        <v/>
      </c>
      <c r="AQ53" s="23">
        <f>AQ52*$H$16</f>
        <v/>
      </c>
      <c r="AR53" s="23">
        <f>AR52*$H$16</f>
        <v/>
      </c>
      <c r="AS53" s="23">
        <f>AS52*$H$16</f>
        <v/>
      </c>
      <c r="AT53" s="23">
        <f>AT52*$H$16</f>
        <v/>
      </c>
      <c r="AU53" s="23">
        <f>AU52*$H$16</f>
        <v/>
      </c>
      <c r="AV53" s="23">
        <f>AV52*$H$16</f>
        <v/>
      </c>
      <c r="AW53" s="23">
        <f>AW52*$H$16</f>
        <v/>
      </c>
      <c r="AX53" s="23">
        <f>AX52*$H$16</f>
        <v/>
      </c>
      <c r="AY53" s="23">
        <f>AY52*$H$16</f>
        <v/>
      </c>
      <c r="AZ53" s="23">
        <f>AZ52*$H$16</f>
        <v/>
      </c>
      <c r="BA53" s="23">
        <f>BA52*$H$16</f>
        <v/>
      </c>
      <c r="BB53" s="23">
        <f>BB52*$H$16</f>
        <v/>
      </c>
    </row>
    <row r="54">
      <c r="A54" s="21" t="inlineStr">
        <is>
          <t>In store this week</t>
        </is>
      </c>
      <c r="B54" s="4" t="inlineStr">
        <is>
          <t>lb</t>
        </is>
      </c>
      <c r="C54" s="23">
        <f>C52-C53+C51</f>
        <v/>
      </c>
      <c r="D54" s="23">
        <f>D52-D53+D51</f>
        <v/>
      </c>
      <c r="E54" s="23">
        <f>E52-E53+E51</f>
        <v/>
      </c>
      <c r="F54" s="23">
        <f>F52-F53+F51</f>
        <v/>
      </c>
      <c r="G54" s="23">
        <f>G52-G53+G51</f>
        <v/>
      </c>
      <c r="H54" s="23">
        <f>H52-H53+H51</f>
        <v/>
      </c>
      <c r="I54" s="23">
        <f>I52-I53+I51</f>
        <v/>
      </c>
      <c r="J54" s="23">
        <f>J52-J53+J51</f>
        <v/>
      </c>
      <c r="K54" s="23">
        <f>K52-K53+K51</f>
        <v/>
      </c>
      <c r="L54" s="23">
        <f>L52-L53+L51</f>
        <v/>
      </c>
      <c r="M54" s="23">
        <f>M52-M53+M51</f>
        <v/>
      </c>
      <c r="N54" s="23">
        <f>N52-N53+N51</f>
        <v/>
      </c>
      <c r="O54" s="23">
        <f>O52-O53+O51</f>
        <v/>
      </c>
      <c r="P54" s="23">
        <f>P52-P53+P51</f>
        <v/>
      </c>
      <c r="Q54" s="23">
        <f>Q52-Q53+Q51</f>
        <v/>
      </c>
      <c r="R54" s="23">
        <f>R52-R53+R51</f>
        <v/>
      </c>
      <c r="S54" s="23">
        <f>S52-S53+S51</f>
        <v/>
      </c>
      <c r="T54" s="23">
        <f>T52-T53+T51</f>
        <v/>
      </c>
      <c r="U54" s="23">
        <f>U52-U53+U51</f>
        <v/>
      </c>
      <c r="V54" s="23">
        <f>V52-V53+V51</f>
        <v/>
      </c>
      <c r="W54" s="23">
        <f>W52-W53+W51</f>
        <v/>
      </c>
      <c r="X54" s="23">
        <f>X52-X53+X51</f>
        <v/>
      </c>
      <c r="Y54" s="23">
        <f>Y52-Y53+Y51</f>
        <v/>
      </c>
      <c r="Z54" s="23">
        <f>Z52-Z53+Z51</f>
        <v/>
      </c>
      <c r="AA54" s="23">
        <f>AA52-AA53+AA51</f>
        <v/>
      </c>
      <c r="AB54" s="23">
        <f>AB52-AB53+AB51</f>
        <v/>
      </c>
      <c r="AC54" s="23">
        <f>AC52-AC53+AC51</f>
        <v/>
      </c>
      <c r="AD54" s="23">
        <f>AD52-AD53+AD51</f>
        <v/>
      </c>
      <c r="AE54" s="23">
        <f>AE52-AE53+AE51</f>
        <v/>
      </c>
      <c r="AF54" s="23">
        <f>AF52-AF53+AF51</f>
        <v/>
      </c>
      <c r="AG54" s="23">
        <f>AG52-AG53+AG51</f>
        <v/>
      </c>
      <c r="AH54" s="23">
        <f>AH52-AH53+AH51</f>
        <v/>
      </c>
      <c r="AI54" s="23">
        <f>AI52-AI53+AI51</f>
        <v/>
      </c>
      <c r="AJ54" s="23">
        <f>AJ52-AJ53+AJ51</f>
        <v/>
      </c>
      <c r="AK54" s="23">
        <f>AK52-AK53+AK51</f>
        <v/>
      </c>
      <c r="AL54" s="23">
        <f>AL52-AL53+AL51</f>
        <v/>
      </c>
      <c r="AM54" s="23">
        <f>AM52-AM53+AM51</f>
        <v/>
      </c>
      <c r="AN54" s="23">
        <f>AN52-AN53+AN51</f>
        <v/>
      </c>
      <c r="AO54" s="23">
        <f>AO52-AO53+AO51</f>
        <v/>
      </c>
      <c r="AP54" s="23">
        <f>AP52-AP53+AP51</f>
        <v/>
      </c>
      <c r="AQ54" s="23">
        <f>AQ52-AQ53+AQ51</f>
        <v/>
      </c>
      <c r="AR54" s="23">
        <f>AR52-AR53+AR51</f>
        <v/>
      </c>
      <c r="AS54" s="23">
        <f>AS52-AS53+AS51</f>
        <v/>
      </c>
      <c r="AT54" s="23">
        <f>AT52-AT53+AT51</f>
        <v/>
      </c>
      <c r="AU54" s="23">
        <f>AU52-AU53+AU51</f>
        <v/>
      </c>
      <c r="AV54" s="23">
        <f>AV52-AV53+AV51</f>
        <v/>
      </c>
      <c r="AW54" s="23">
        <f>AW52-AW53+AW51</f>
        <v/>
      </c>
      <c r="AX54" s="23">
        <f>AX52-AX53+AX51</f>
        <v/>
      </c>
      <c r="AY54" s="23">
        <f>AY52-AY53+AY51</f>
        <v/>
      </c>
      <c r="AZ54" s="23">
        <f>AZ52-AZ53+AZ51</f>
        <v/>
      </c>
      <c r="BA54" s="23">
        <f>BA52-BA53+BA51</f>
        <v/>
      </c>
      <c r="BB54" s="23">
        <f>BB52-BB53+BB51</f>
        <v/>
      </c>
    </row>
    <row r="55">
      <c r="A55" s="21" t="inlineStr">
        <is>
          <t>Shipped out of store</t>
        </is>
      </c>
      <c r="B55" s="4" t="inlineStr">
        <is>
          <t>lb</t>
        </is>
      </c>
      <c r="C55" s="23">
        <f>MIN(C54,$I$16/$D$16)</f>
        <v/>
      </c>
      <c r="D55" s="23">
        <f>MIN(D54,$I$16/$D$16)</f>
        <v/>
      </c>
      <c r="E55" s="23">
        <f>MIN(E54,$I$16/$D$16)</f>
        <v/>
      </c>
      <c r="F55" s="23">
        <f>MIN(F54,$I$16/$D$16)</f>
        <v/>
      </c>
      <c r="G55" s="23">
        <f>MIN(G54,$I$16/$D$16)</f>
        <v/>
      </c>
      <c r="H55" s="23">
        <f>MIN(H54,$I$16/$D$16)</f>
        <v/>
      </c>
      <c r="I55" s="23">
        <f>MIN(I54,$I$16/$D$16)</f>
        <v/>
      </c>
      <c r="J55" s="23">
        <f>MIN(J54,$I$16/$D$16)</f>
        <v/>
      </c>
      <c r="K55" s="23">
        <f>MIN(K54,$I$16/$D$16)</f>
        <v/>
      </c>
      <c r="L55" s="23">
        <f>MIN(L54,$I$16/$D$16)</f>
        <v/>
      </c>
      <c r="M55" s="23">
        <f>MIN(M54,$I$16/$D$16)</f>
        <v/>
      </c>
      <c r="N55" s="23">
        <f>MIN(N54,$I$16/$D$16)</f>
        <v/>
      </c>
      <c r="O55" s="23">
        <f>MIN(O54,$I$16/$D$16)</f>
        <v/>
      </c>
      <c r="P55" s="23">
        <f>MIN(P54,$I$16/$D$16)</f>
        <v/>
      </c>
      <c r="Q55" s="23">
        <f>MIN(Q54,$I$16/$D$16)</f>
        <v/>
      </c>
      <c r="R55" s="23">
        <f>MIN(R54,$I$16/$D$16)</f>
        <v/>
      </c>
      <c r="S55" s="23">
        <f>MIN(S54,$I$16/$D$16)</f>
        <v/>
      </c>
      <c r="T55" s="23">
        <f>MIN(T54,$I$16/$D$16)</f>
        <v/>
      </c>
      <c r="U55" s="23">
        <f>MIN(U54,$I$16/$D$16)</f>
        <v/>
      </c>
      <c r="V55" s="23">
        <f>MIN(V54,$I$16/$D$16)</f>
        <v/>
      </c>
      <c r="W55" s="23">
        <f>MIN(W54,$I$16/$D$16)</f>
        <v/>
      </c>
      <c r="X55" s="23">
        <f>MIN(X54,$I$16/$D$16)</f>
        <v/>
      </c>
      <c r="Y55" s="23">
        <f>MIN(Y54,$I$16/$D$16)</f>
        <v/>
      </c>
      <c r="Z55" s="23">
        <f>MIN(Z54,$I$16/$D$16)</f>
        <v/>
      </c>
      <c r="AA55" s="23">
        <f>MIN(AA54,$I$16/$D$16)</f>
        <v/>
      </c>
      <c r="AB55" s="23">
        <f>MIN(AB54,$I$16/$D$16)</f>
        <v/>
      </c>
      <c r="AC55" s="23">
        <f>MIN(AC54,$I$16/$D$16)</f>
        <v/>
      </c>
      <c r="AD55" s="23">
        <f>MIN(AD54,$I$16/$D$16)</f>
        <v/>
      </c>
      <c r="AE55" s="23">
        <f>MIN(AE54,$I$16/$D$16)</f>
        <v/>
      </c>
      <c r="AF55" s="23">
        <f>MIN(AF54,$I$16/$D$16)</f>
        <v/>
      </c>
      <c r="AG55" s="23">
        <f>MIN(AG54,$I$16/$D$16)</f>
        <v/>
      </c>
      <c r="AH55" s="23">
        <f>MIN(AH54,$I$16/$D$16)</f>
        <v/>
      </c>
      <c r="AI55" s="23">
        <f>MIN(AI54,$I$16/$D$16)</f>
        <v/>
      </c>
      <c r="AJ55" s="23">
        <f>MIN(AJ54,$I$16/$D$16)</f>
        <v/>
      </c>
      <c r="AK55" s="23">
        <f>MIN(AK54,$I$16/$D$16)</f>
        <v/>
      </c>
      <c r="AL55" s="23">
        <f>MIN(AL54,$I$16/$D$16)</f>
        <v/>
      </c>
      <c r="AM55" s="23">
        <f>MIN(AM54,$I$16/$D$16)</f>
        <v/>
      </c>
      <c r="AN55" s="23">
        <f>MIN(AN54,$I$16/$D$16)</f>
        <v/>
      </c>
      <c r="AO55" s="23">
        <f>MIN(AO54,$I$16/$D$16)</f>
        <v/>
      </c>
      <c r="AP55" s="23">
        <f>MIN(AP54,$I$16/$D$16)</f>
        <v/>
      </c>
      <c r="AQ55" s="23">
        <f>MIN(AQ54,$I$16/$D$16)</f>
        <v/>
      </c>
      <c r="AR55" s="23">
        <f>MIN(AR54,$I$16/$D$16)</f>
        <v/>
      </c>
      <c r="AS55" s="23">
        <f>MIN(AS54,$I$16/$D$16)</f>
        <v/>
      </c>
      <c r="AT55" s="23">
        <f>MIN(AT54,$I$16/$D$16)</f>
        <v/>
      </c>
      <c r="AU55" s="23">
        <f>MIN(AU54,$I$16/$D$16)</f>
        <v/>
      </c>
      <c r="AV55" s="23">
        <f>MIN(AV54,$I$16/$D$16)</f>
        <v/>
      </c>
      <c r="AW55" s="23">
        <f>MIN(AW54,$I$16/$D$16)</f>
        <v/>
      </c>
      <c r="AX55" s="23">
        <f>MIN(AX54,$I$16/$D$16)</f>
        <v/>
      </c>
      <c r="AY55" s="23">
        <f>MIN(AY54,$I$16/$D$16)</f>
        <v/>
      </c>
      <c r="AZ55" s="23">
        <f>MIN(AZ54,$I$16/$D$16)</f>
        <v/>
      </c>
      <c r="BA55" s="23">
        <f>MIN(BA54,$I$16/$D$16)</f>
        <v/>
      </c>
      <c r="BB55" s="23">
        <f>MIN(BB54,$I$16/$D$16)</f>
        <v/>
      </c>
    </row>
    <row r="56">
      <c r="A56" s="3" t="inlineStr">
        <is>
          <t>Sold</t>
        </is>
      </c>
      <c r="B56" s="4" t="inlineStr">
        <is>
          <t>lb</t>
        </is>
      </c>
      <c r="C56" s="23">
        <f>C55*$D$16</f>
        <v/>
      </c>
      <c r="D56" s="23">
        <f>D55*$D$16</f>
        <v/>
      </c>
      <c r="E56" s="23">
        <f>E55*$D$16</f>
        <v/>
      </c>
      <c r="F56" s="23">
        <f>F55*$D$16</f>
        <v/>
      </c>
      <c r="G56" s="23">
        <f>G55*$D$16</f>
        <v/>
      </c>
      <c r="H56" s="23">
        <f>H55*$D$16</f>
        <v/>
      </c>
      <c r="I56" s="23">
        <f>I55*$D$16</f>
        <v/>
      </c>
      <c r="J56" s="23">
        <f>J55*$D$16</f>
        <v/>
      </c>
      <c r="K56" s="23">
        <f>K55*$D$16</f>
        <v/>
      </c>
      <c r="L56" s="23">
        <f>L55*$D$16</f>
        <v/>
      </c>
      <c r="M56" s="23">
        <f>M55*$D$16</f>
        <v/>
      </c>
      <c r="N56" s="23">
        <f>N55*$D$16</f>
        <v/>
      </c>
      <c r="O56" s="23">
        <f>O55*$D$16</f>
        <v/>
      </c>
      <c r="P56" s="23">
        <f>P55*$D$16</f>
        <v/>
      </c>
      <c r="Q56" s="23">
        <f>Q55*$D$16</f>
        <v/>
      </c>
      <c r="R56" s="23">
        <f>R55*$D$16</f>
        <v/>
      </c>
      <c r="S56" s="23">
        <f>S55*$D$16</f>
        <v/>
      </c>
      <c r="T56" s="23">
        <f>T55*$D$16</f>
        <v/>
      </c>
      <c r="U56" s="23">
        <f>U55*$D$16</f>
        <v/>
      </c>
      <c r="V56" s="23">
        <f>V55*$D$16</f>
        <v/>
      </c>
      <c r="W56" s="23">
        <f>W55*$D$16</f>
        <v/>
      </c>
      <c r="X56" s="23">
        <f>X55*$D$16</f>
        <v/>
      </c>
      <c r="Y56" s="23">
        <f>Y55*$D$16</f>
        <v/>
      </c>
      <c r="Z56" s="23">
        <f>Z55*$D$16</f>
        <v/>
      </c>
      <c r="AA56" s="23">
        <f>AA55*$D$16</f>
        <v/>
      </c>
      <c r="AB56" s="23">
        <f>AB55*$D$16</f>
        <v/>
      </c>
      <c r="AC56" s="23">
        <f>AC55*$D$16</f>
        <v/>
      </c>
      <c r="AD56" s="23">
        <f>AD55*$D$16</f>
        <v/>
      </c>
      <c r="AE56" s="23">
        <f>AE55*$D$16</f>
        <v/>
      </c>
      <c r="AF56" s="23">
        <f>AF55*$D$16</f>
        <v/>
      </c>
      <c r="AG56" s="23">
        <f>AG55*$D$16</f>
        <v/>
      </c>
      <c r="AH56" s="23">
        <f>AH55*$D$16</f>
        <v/>
      </c>
      <c r="AI56" s="23">
        <f>AI55*$D$16</f>
        <v/>
      </c>
      <c r="AJ56" s="23">
        <f>AJ55*$D$16</f>
        <v/>
      </c>
      <c r="AK56" s="23">
        <f>AK55*$D$16</f>
        <v/>
      </c>
      <c r="AL56" s="23">
        <f>AL55*$D$16</f>
        <v/>
      </c>
      <c r="AM56" s="23">
        <f>AM55*$D$16</f>
        <v/>
      </c>
      <c r="AN56" s="23">
        <f>AN55*$D$16</f>
        <v/>
      </c>
      <c r="AO56" s="23">
        <f>AO55*$D$16</f>
        <v/>
      </c>
      <c r="AP56" s="23">
        <f>AP55*$D$16</f>
        <v/>
      </c>
      <c r="AQ56" s="23">
        <f>AQ55*$D$16</f>
        <v/>
      </c>
      <c r="AR56" s="23">
        <f>AR55*$D$16</f>
        <v/>
      </c>
      <c r="AS56" s="23">
        <f>AS55*$D$16</f>
        <v/>
      </c>
      <c r="AT56" s="23">
        <f>AT55*$D$16</f>
        <v/>
      </c>
      <c r="AU56" s="23">
        <f>AU55*$D$16</f>
        <v/>
      </c>
      <c r="AV56" s="23">
        <f>AV55*$D$16</f>
        <v/>
      </c>
      <c r="AW56" s="23">
        <f>AW55*$D$16</f>
        <v/>
      </c>
      <c r="AX56" s="23">
        <f>AX55*$D$16</f>
        <v/>
      </c>
      <c r="AY56" s="23">
        <f>AY55*$D$16</f>
        <v/>
      </c>
      <c r="AZ56" s="23">
        <f>AZ55*$D$16</f>
        <v/>
      </c>
      <c r="BA56" s="23">
        <f>BA55*$D$16</f>
        <v/>
      </c>
      <c r="BB56" s="23">
        <f>BB55*$D$16</f>
        <v/>
      </c>
    </row>
    <row r="57">
      <c r="A57" s="21" t="inlineStr">
        <is>
          <t xml:space="preserve">   market loss (did not come back)</t>
        </is>
      </c>
      <c r="B57" s="4" t="inlineStr">
        <is>
          <t>lb</t>
        </is>
      </c>
      <c r="C57" s="23">
        <f>C55-C56</f>
        <v/>
      </c>
      <c r="D57" s="23">
        <f>D55-D56</f>
        <v/>
      </c>
      <c r="E57" s="23">
        <f>E55-E56</f>
        <v/>
      </c>
      <c r="F57" s="23">
        <f>F55-F56</f>
        <v/>
      </c>
      <c r="G57" s="23">
        <f>G55-G56</f>
        <v/>
      </c>
      <c r="H57" s="23">
        <f>H55-H56</f>
        <v/>
      </c>
      <c r="I57" s="23">
        <f>I55-I56</f>
        <v/>
      </c>
      <c r="J57" s="23">
        <f>J55-J56</f>
        <v/>
      </c>
      <c r="K57" s="23">
        <f>K55-K56</f>
        <v/>
      </c>
      <c r="L57" s="23">
        <f>L55-L56</f>
        <v/>
      </c>
      <c r="M57" s="23">
        <f>M55-M56</f>
        <v/>
      </c>
      <c r="N57" s="23">
        <f>N55-N56</f>
        <v/>
      </c>
      <c r="O57" s="23">
        <f>O55-O56</f>
        <v/>
      </c>
      <c r="P57" s="23">
        <f>P55-P56</f>
        <v/>
      </c>
      <c r="Q57" s="23">
        <f>Q55-Q56</f>
        <v/>
      </c>
      <c r="R57" s="23">
        <f>R55-R56</f>
        <v/>
      </c>
      <c r="S57" s="23">
        <f>S55-S56</f>
        <v/>
      </c>
      <c r="T57" s="23">
        <f>T55-T56</f>
        <v/>
      </c>
      <c r="U57" s="23">
        <f>U55-U56</f>
        <v/>
      </c>
      <c r="V57" s="23">
        <f>V55-V56</f>
        <v/>
      </c>
      <c r="W57" s="23">
        <f>W55-W56</f>
        <v/>
      </c>
      <c r="X57" s="23">
        <f>X55-X56</f>
        <v/>
      </c>
      <c r="Y57" s="23">
        <f>Y55-Y56</f>
        <v/>
      </c>
      <c r="Z57" s="23">
        <f>Z55-Z56</f>
        <v/>
      </c>
      <c r="AA57" s="23">
        <f>AA55-AA56</f>
        <v/>
      </c>
      <c r="AB57" s="23">
        <f>AB55-AB56</f>
        <v/>
      </c>
      <c r="AC57" s="23">
        <f>AC55-AC56</f>
        <v/>
      </c>
      <c r="AD57" s="23">
        <f>AD55-AD56</f>
        <v/>
      </c>
      <c r="AE57" s="23">
        <f>AE55-AE56</f>
        <v/>
      </c>
      <c r="AF57" s="23">
        <f>AF55-AF56</f>
        <v/>
      </c>
      <c r="AG57" s="23">
        <f>AG55-AG56</f>
        <v/>
      </c>
      <c r="AH57" s="23">
        <f>AH55-AH56</f>
        <v/>
      </c>
      <c r="AI57" s="23">
        <f>AI55-AI56</f>
        <v/>
      </c>
      <c r="AJ57" s="23">
        <f>AJ55-AJ56</f>
        <v/>
      </c>
      <c r="AK57" s="23">
        <f>AK55-AK56</f>
        <v/>
      </c>
      <c r="AL57" s="23">
        <f>AL55-AL56</f>
        <v/>
      </c>
      <c r="AM57" s="23">
        <f>AM55-AM56</f>
        <v/>
      </c>
      <c r="AN57" s="23">
        <f>AN55-AN56</f>
        <v/>
      </c>
      <c r="AO57" s="23">
        <f>AO55-AO56</f>
        <v/>
      </c>
      <c r="AP57" s="23">
        <f>AP55-AP56</f>
        <v/>
      </c>
      <c r="AQ57" s="23">
        <f>AQ55-AQ56</f>
        <v/>
      </c>
      <c r="AR57" s="23">
        <f>AR55-AR56</f>
        <v/>
      </c>
      <c r="AS57" s="23">
        <f>AS55-AS56</f>
        <v/>
      </c>
      <c r="AT57" s="23">
        <f>AT55-AT56</f>
        <v/>
      </c>
      <c r="AU57" s="23">
        <f>AU55-AU56</f>
        <v/>
      </c>
      <c r="AV57" s="23">
        <f>AV55-AV56</f>
        <v/>
      </c>
      <c r="AW57" s="23">
        <f>AW55-AW56</f>
        <v/>
      </c>
      <c r="AX57" s="23">
        <f>AX55-AX56</f>
        <v/>
      </c>
      <c r="AY57" s="23">
        <f>AY55-AY56</f>
        <v/>
      </c>
      <c r="AZ57" s="23">
        <f>AZ55-AZ56</f>
        <v/>
      </c>
      <c r="BA57" s="23">
        <f>BA55-BA56</f>
        <v/>
      </c>
      <c r="BB57" s="23">
        <f>BB55-BB56</f>
        <v/>
      </c>
    </row>
    <row r="58">
      <c r="A58" s="3" t="inlineStr">
        <is>
          <t>Stock carried out</t>
        </is>
      </c>
      <c r="B58" s="4" t="inlineStr">
        <is>
          <t>lb</t>
        </is>
      </c>
      <c r="C58" s="23">
        <f>C54-C55</f>
        <v/>
      </c>
      <c r="D58" s="23">
        <f>D54-D55</f>
        <v/>
      </c>
      <c r="E58" s="23">
        <f>E54-E55</f>
        <v/>
      </c>
      <c r="F58" s="23">
        <f>F54-F55</f>
        <v/>
      </c>
      <c r="G58" s="23">
        <f>G54-G55</f>
        <v/>
      </c>
      <c r="H58" s="23">
        <f>H54-H55</f>
        <v/>
      </c>
      <c r="I58" s="23">
        <f>I54-I55</f>
        <v/>
      </c>
      <c r="J58" s="23">
        <f>J54-J55</f>
        <v/>
      </c>
      <c r="K58" s="23">
        <f>K54-K55</f>
        <v/>
      </c>
      <c r="L58" s="23">
        <f>L54-L55</f>
        <v/>
      </c>
      <c r="M58" s="23">
        <f>M54-M55</f>
        <v/>
      </c>
      <c r="N58" s="23">
        <f>N54-N55</f>
        <v/>
      </c>
      <c r="O58" s="23">
        <f>O54-O55</f>
        <v/>
      </c>
      <c r="P58" s="23">
        <f>P54-P55</f>
        <v/>
      </c>
      <c r="Q58" s="23">
        <f>Q54-Q55</f>
        <v/>
      </c>
      <c r="R58" s="23">
        <f>R54-R55</f>
        <v/>
      </c>
      <c r="S58" s="23">
        <f>S54-S55</f>
        <v/>
      </c>
      <c r="T58" s="23">
        <f>T54-T55</f>
        <v/>
      </c>
      <c r="U58" s="23">
        <f>U54-U55</f>
        <v/>
      </c>
      <c r="V58" s="23">
        <f>V54-V55</f>
        <v/>
      </c>
      <c r="W58" s="23">
        <f>W54-W55</f>
        <v/>
      </c>
      <c r="X58" s="23">
        <f>X54-X55</f>
        <v/>
      </c>
      <c r="Y58" s="23">
        <f>Y54-Y55</f>
        <v/>
      </c>
      <c r="Z58" s="23">
        <f>Z54-Z55</f>
        <v/>
      </c>
      <c r="AA58" s="23">
        <f>AA54-AA55</f>
        <v/>
      </c>
      <c r="AB58" s="23">
        <f>AB54-AB55</f>
        <v/>
      </c>
      <c r="AC58" s="23">
        <f>AC54-AC55</f>
        <v/>
      </c>
      <c r="AD58" s="23">
        <f>AD54-AD55</f>
        <v/>
      </c>
      <c r="AE58" s="23">
        <f>AE54-AE55</f>
        <v/>
      </c>
      <c r="AF58" s="23">
        <f>AF54-AF55</f>
        <v/>
      </c>
      <c r="AG58" s="23">
        <f>AG54-AG55</f>
        <v/>
      </c>
      <c r="AH58" s="23">
        <f>AH54-AH55</f>
        <v/>
      </c>
      <c r="AI58" s="23">
        <f>AI54-AI55</f>
        <v/>
      </c>
      <c r="AJ58" s="23">
        <f>AJ54-AJ55</f>
        <v/>
      </c>
      <c r="AK58" s="23">
        <f>AK54-AK55</f>
        <v/>
      </c>
      <c r="AL58" s="23">
        <f>AL54-AL55</f>
        <v/>
      </c>
      <c r="AM58" s="23">
        <f>AM54-AM55</f>
        <v/>
      </c>
      <c r="AN58" s="23">
        <f>AN54-AN55</f>
        <v/>
      </c>
      <c r="AO58" s="23">
        <f>AO54-AO55</f>
        <v/>
      </c>
      <c r="AP58" s="23">
        <f>AP54-AP55</f>
        <v/>
      </c>
      <c r="AQ58" s="23">
        <f>AQ54-AQ55</f>
        <v/>
      </c>
      <c r="AR58" s="23">
        <f>AR54-AR55</f>
        <v/>
      </c>
      <c r="AS58" s="23">
        <f>AS54-AS55</f>
        <v/>
      </c>
      <c r="AT58" s="23">
        <f>AT54-AT55</f>
        <v/>
      </c>
      <c r="AU58" s="23">
        <f>AU54-AU55</f>
        <v/>
      </c>
      <c r="AV58" s="23">
        <f>AV54-AV55</f>
        <v/>
      </c>
      <c r="AW58" s="23">
        <f>AW54-AW55</f>
        <v/>
      </c>
      <c r="AX58" s="23">
        <f>AX54-AX55</f>
        <v/>
      </c>
      <c r="AY58" s="23">
        <f>AY54-AY55</f>
        <v/>
      </c>
      <c r="AZ58" s="23">
        <f>AZ54-AZ55</f>
        <v/>
      </c>
      <c r="BA58" s="23">
        <f>BA54-BA55</f>
        <v/>
      </c>
      <c r="BB58" s="23">
        <f>BB54-BB55</f>
        <v/>
      </c>
    </row>
    <row r="59">
      <c r="A59" s="3" t="inlineStr">
        <is>
          <t>ROOM OCCUPANCY</t>
        </is>
      </c>
      <c r="B59" s="4" t="inlineStr">
        <is>
          <t>m3</t>
        </is>
      </c>
      <c r="C59" s="27">
        <f>(C52+C51)*$E$16</f>
        <v/>
      </c>
      <c r="D59" s="27">
        <f>(D52+D51)*$E$16</f>
        <v/>
      </c>
      <c r="E59" s="27">
        <f>(E52+E51)*$E$16</f>
        <v/>
      </c>
      <c r="F59" s="27">
        <f>(F52+F51)*$E$16</f>
        <v/>
      </c>
      <c r="G59" s="27">
        <f>(G52+G51)*$E$16</f>
        <v/>
      </c>
      <c r="H59" s="27">
        <f>(H52+H51)*$E$16</f>
        <v/>
      </c>
      <c r="I59" s="27">
        <f>(I52+I51)*$E$16</f>
        <v/>
      </c>
      <c r="J59" s="27">
        <f>(J52+J51)*$E$16</f>
        <v/>
      </c>
      <c r="K59" s="27">
        <f>(K52+K51)*$E$16</f>
        <v/>
      </c>
      <c r="L59" s="27">
        <f>(L52+L51)*$E$16</f>
        <v/>
      </c>
      <c r="M59" s="27">
        <f>(M52+M51)*$E$16</f>
        <v/>
      </c>
      <c r="N59" s="27">
        <f>(N52+N51)*$E$16</f>
        <v/>
      </c>
      <c r="O59" s="27">
        <f>(O52+O51)*$E$16</f>
        <v/>
      </c>
      <c r="P59" s="27">
        <f>(P52+P51)*$E$16</f>
        <v/>
      </c>
      <c r="Q59" s="27">
        <f>(Q52+Q51)*$E$16</f>
        <v/>
      </c>
      <c r="R59" s="27">
        <f>(R52+R51)*$E$16</f>
        <v/>
      </c>
      <c r="S59" s="27">
        <f>(S52+S51)*$E$16</f>
        <v/>
      </c>
      <c r="T59" s="27">
        <f>(T52+T51)*$E$16</f>
        <v/>
      </c>
      <c r="U59" s="27">
        <f>(U52+U51)*$E$16</f>
        <v/>
      </c>
      <c r="V59" s="27">
        <f>(V52+V51)*$E$16</f>
        <v/>
      </c>
      <c r="W59" s="27">
        <f>(W52+W51)*$E$16</f>
        <v/>
      </c>
      <c r="X59" s="27">
        <f>(X52+X51)*$E$16</f>
        <v/>
      </c>
      <c r="Y59" s="27">
        <f>(Y52+Y51)*$E$16</f>
        <v/>
      </c>
      <c r="Z59" s="27">
        <f>(Z52+Z51)*$E$16</f>
        <v/>
      </c>
      <c r="AA59" s="27">
        <f>(AA52+AA51)*$E$16</f>
        <v/>
      </c>
      <c r="AB59" s="27">
        <f>(AB52+AB51)*$E$16</f>
        <v/>
      </c>
      <c r="AC59" s="27">
        <f>(AC52+AC51)*$E$16</f>
        <v/>
      </c>
      <c r="AD59" s="27">
        <f>(AD52+AD51)*$E$16</f>
        <v/>
      </c>
      <c r="AE59" s="27">
        <f>(AE52+AE51)*$E$16</f>
        <v/>
      </c>
      <c r="AF59" s="27">
        <f>(AF52+AF51)*$E$16</f>
        <v/>
      </c>
      <c r="AG59" s="27">
        <f>(AG52+AG51)*$E$16</f>
        <v/>
      </c>
      <c r="AH59" s="27">
        <f>(AH52+AH51)*$E$16</f>
        <v/>
      </c>
      <c r="AI59" s="27">
        <f>(AI52+AI51)*$E$16</f>
        <v/>
      </c>
      <c r="AJ59" s="27">
        <f>(AJ52+AJ51)*$E$16</f>
        <v/>
      </c>
      <c r="AK59" s="27">
        <f>(AK52+AK51)*$E$16</f>
        <v/>
      </c>
      <c r="AL59" s="27">
        <f>(AL52+AL51)*$E$16</f>
        <v/>
      </c>
      <c r="AM59" s="27">
        <f>(AM52+AM51)*$E$16</f>
        <v/>
      </c>
      <c r="AN59" s="27">
        <f>(AN52+AN51)*$E$16</f>
        <v/>
      </c>
      <c r="AO59" s="27">
        <f>(AO52+AO51)*$E$16</f>
        <v/>
      </c>
      <c r="AP59" s="27">
        <f>(AP52+AP51)*$E$16</f>
        <v/>
      </c>
      <c r="AQ59" s="27">
        <f>(AQ52+AQ51)*$E$16</f>
        <v/>
      </c>
      <c r="AR59" s="27">
        <f>(AR52+AR51)*$E$16</f>
        <v/>
      </c>
      <c r="AS59" s="27">
        <f>(AS52+AS51)*$E$16</f>
        <v/>
      </c>
      <c r="AT59" s="27">
        <f>(AT52+AT51)*$E$16</f>
        <v/>
      </c>
      <c r="AU59" s="27">
        <f>(AU52+AU51)*$E$16</f>
        <v/>
      </c>
      <c r="AV59" s="27">
        <f>(AV52+AV51)*$E$16</f>
        <v/>
      </c>
      <c r="AW59" s="27">
        <f>(AW52+AW51)*$E$16</f>
        <v/>
      </c>
      <c r="AX59" s="27">
        <f>(AX52+AX51)*$E$16</f>
        <v/>
      </c>
      <c r="AY59" s="27">
        <f>(AY52+AY51)*$E$16</f>
        <v/>
      </c>
      <c r="AZ59" s="27">
        <f>(AZ52+AZ51)*$E$16</f>
        <v/>
      </c>
      <c r="BA59" s="27">
        <f>(BA52+BA51)*$E$16</f>
        <v/>
      </c>
      <c r="BB59" s="27">
        <f>(BB52+BB51)*$E$16</f>
        <v/>
      </c>
    </row>
    <row r="60">
      <c r="A60" s="4" t="inlineStr">
        <is>
          <t xml:space="preserve">   = carried in + everything PACKED OUT this week, before any of it ships.</t>
        </is>
      </c>
    </row>
    <row r="61">
      <c r="A61" s="4" t="inlineStr">
        <is>
          <t xml:space="preserve">   Market loss is already counted here — it was in the room before it left.</t>
        </is>
      </c>
    </row>
    <row r="62">
      <c r="A62" s="21" t="inlineStr">
        <is>
          <t>Over shelf life?</t>
        </is>
      </c>
      <c r="B62" s="4" t="inlineStr">
        <is>
          <t>lb</t>
        </is>
      </c>
      <c r="C62" s="23">
        <f>MAX(0,C58-SUMIFS($C$51:$BB$51,$C$26:$BB$26,"&gt;="&amp;C$26-$G$16+2,$C$26:$BB$26,"&lt;="&amp;C$26))</f>
        <v/>
      </c>
      <c r="D62" s="23">
        <f>MAX(0,D58-SUMIFS($C$51:$BB$51,$C$26:$BB$26,"&gt;="&amp;D$26-$G$16+2,$C$26:$BB$26,"&lt;="&amp;D$26))</f>
        <v/>
      </c>
      <c r="E62" s="23">
        <f>MAX(0,E58-SUMIFS($C$51:$BB$51,$C$26:$BB$26,"&gt;="&amp;E$26-$G$16+2,$C$26:$BB$26,"&lt;="&amp;E$26))</f>
        <v/>
      </c>
      <c r="F62" s="23">
        <f>MAX(0,F58-SUMIFS($C$51:$BB$51,$C$26:$BB$26,"&gt;="&amp;F$26-$G$16+2,$C$26:$BB$26,"&lt;="&amp;F$26))</f>
        <v/>
      </c>
      <c r="G62" s="23">
        <f>MAX(0,G58-SUMIFS($C$51:$BB$51,$C$26:$BB$26,"&gt;="&amp;G$26-$G$16+2,$C$26:$BB$26,"&lt;="&amp;G$26))</f>
        <v/>
      </c>
      <c r="H62" s="23">
        <f>MAX(0,H58-SUMIFS($C$51:$BB$51,$C$26:$BB$26,"&gt;="&amp;H$26-$G$16+2,$C$26:$BB$26,"&lt;="&amp;H$26))</f>
        <v/>
      </c>
      <c r="I62" s="23">
        <f>MAX(0,I58-SUMIFS($C$51:$BB$51,$C$26:$BB$26,"&gt;="&amp;I$26-$G$16+2,$C$26:$BB$26,"&lt;="&amp;I$26))</f>
        <v/>
      </c>
      <c r="J62" s="23">
        <f>MAX(0,J58-SUMIFS($C$51:$BB$51,$C$26:$BB$26,"&gt;="&amp;J$26-$G$16+2,$C$26:$BB$26,"&lt;="&amp;J$26))</f>
        <v/>
      </c>
      <c r="K62" s="23">
        <f>MAX(0,K58-SUMIFS($C$51:$BB$51,$C$26:$BB$26,"&gt;="&amp;K$26-$G$16+2,$C$26:$BB$26,"&lt;="&amp;K$26))</f>
        <v/>
      </c>
      <c r="L62" s="23">
        <f>MAX(0,L58-SUMIFS($C$51:$BB$51,$C$26:$BB$26,"&gt;="&amp;L$26-$G$16+2,$C$26:$BB$26,"&lt;="&amp;L$26))</f>
        <v/>
      </c>
      <c r="M62" s="23">
        <f>MAX(0,M58-SUMIFS($C$51:$BB$51,$C$26:$BB$26,"&gt;="&amp;M$26-$G$16+2,$C$26:$BB$26,"&lt;="&amp;M$26))</f>
        <v/>
      </c>
      <c r="N62" s="23">
        <f>MAX(0,N58-SUMIFS($C$51:$BB$51,$C$26:$BB$26,"&gt;="&amp;N$26-$G$16+2,$C$26:$BB$26,"&lt;="&amp;N$26))</f>
        <v/>
      </c>
      <c r="O62" s="23">
        <f>MAX(0,O58-SUMIFS($C$51:$BB$51,$C$26:$BB$26,"&gt;="&amp;O$26-$G$16+2,$C$26:$BB$26,"&lt;="&amp;O$26))</f>
        <v/>
      </c>
      <c r="P62" s="23">
        <f>MAX(0,P58-SUMIFS($C$51:$BB$51,$C$26:$BB$26,"&gt;="&amp;P$26-$G$16+2,$C$26:$BB$26,"&lt;="&amp;P$26))</f>
        <v/>
      </c>
      <c r="Q62" s="23">
        <f>MAX(0,Q58-SUMIFS($C$51:$BB$51,$C$26:$BB$26,"&gt;="&amp;Q$26-$G$16+2,$C$26:$BB$26,"&lt;="&amp;Q$26))</f>
        <v/>
      </c>
      <c r="R62" s="23">
        <f>MAX(0,R58-SUMIFS($C$51:$BB$51,$C$26:$BB$26,"&gt;="&amp;R$26-$G$16+2,$C$26:$BB$26,"&lt;="&amp;R$26))</f>
        <v/>
      </c>
      <c r="S62" s="23">
        <f>MAX(0,S58-SUMIFS($C$51:$BB$51,$C$26:$BB$26,"&gt;="&amp;S$26-$G$16+2,$C$26:$BB$26,"&lt;="&amp;S$26))</f>
        <v/>
      </c>
      <c r="T62" s="23">
        <f>MAX(0,T58-SUMIFS($C$51:$BB$51,$C$26:$BB$26,"&gt;="&amp;T$26-$G$16+2,$C$26:$BB$26,"&lt;="&amp;T$26))</f>
        <v/>
      </c>
      <c r="U62" s="23">
        <f>MAX(0,U58-SUMIFS($C$51:$BB$51,$C$26:$BB$26,"&gt;="&amp;U$26-$G$16+2,$C$26:$BB$26,"&lt;="&amp;U$26))</f>
        <v/>
      </c>
      <c r="V62" s="23">
        <f>MAX(0,V58-SUMIFS($C$51:$BB$51,$C$26:$BB$26,"&gt;="&amp;V$26-$G$16+2,$C$26:$BB$26,"&lt;="&amp;V$26))</f>
        <v/>
      </c>
      <c r="W62" s="23">
        <f>MAX(0,W58-SUMIFS($C$51:$BB$51,$C$26:$BB$26,"&gt;="&amp;W$26-$G$16+2,$C$26:$BB$26,"&lt;="&amp;W$26))</f>
        <v/>
      </c>
      <c r="X62" s="23">
        <f>MAX(0,X58-SUMIFS($C$51:$BB$51,$C$26:$BB$26,"&gt;="&amp;X$26-$G$16+2,$C$26:$BB$26,"&lt;="&amp;X$26))</f>
        <v/>
      </c>
      <c r="Y62" s="23">
        <f>MAX(0,Y58-SUMIFS($C$51:$BB$51,$C$26:$BB$26,"&gt;="&amp;Y$26-$G$16+2,$C$26:$BB$26,"&lt;="&amp;Y$26))</f>
        <v/>
      </c>
      <c r="Z62" s="23">
        <f>MAX(0,Z58-SUMIFS($C$51:$BB$51,$C$26:$BB$26,"&gt;="&amp;Z$26-$G$16+2,$C$26:$BB$26,"&lt;="&amp;Z$26))</f>
        <v/>
      </c>
      <c r="AA62" s="23">
        <f>MAX(0,AA58-SUMIFS($C$51:$BB$51,$C$26:$BB$26,"&gt;="&amp;AA$26-$G$16+2,$C$26:$BB$26,"&lt;="&amp;AA$26))</f>
        <v/>
      </c>
      <c r="AB62" s="23">
        <f>MAX(0,AB58-SUMIFS($C$51:$BB$51,$C$26:$BB$26,"&gt;="&amp;AB$26-$G$16+2,$C$26:$BB$26,"&lt;="&amp;AB$26))</f>
        <v/>
      </c>
      <c r="AC62" s="23">
        <f>MAX(0,AC58-SUMIFS($C$51:$BB$51,$C$26:$BB$26,"&gt;="&amp;AC$26-$G$16+2,$C$26:$BB$26,"&lt;="&amp;AC$26))</f>
        <v/>
      </c>
      <c r="AD62" s="23">
        <f>MAX(0,AD58-SUMIFS($C$51:$BB$51,$C$26:$BB$26,"&gt;="&amp;AD$26-$G$16+2,$C$26:$BB$26,"&lt;="&amp;AD$26))</f>
        <v/>
      </c>
      <c r="AE62" s="23">
        <f>MAX(0,AE58-SUMIFS($C$51:$BB$51,$C$26:$BB$26,"&gt;="&amp;AE$26-$G$16+2,$C$26:$BB$26,"&lt;="&amp;AE$26))</f>
        <v/>
      </c>
      <c r="AF62" s="23">
        <f>MAX(0,AF58-SUMIFS($C$51:$BB$51,$C$26:$BB$26,"&gt;="&amp;AF$26-$G$16+2,$C$26:$BB$26,"&lt;="&amp;AF$26))</f>
        <v/>
      </c>
      <c r="AG62" s="23">
        <f>MAX(0,AG58-SUMIFS($C$51:$BB$51,$C$26:$BB$26,"&gt;="&amp;AG$26-$G$16+2,$C$26:$BB$26,"&lt;="&amp;AG$26))</f>
        <v/>
      </c>
      <c r="AH62" s="23">
        <f>MAX(0,AH58-SUMIFS($C$51:$BB$51,$C$26:$BB$26,"&gt;="&amp;AH$26-$G$16+2,$C$26:$BB$26,"&lt;="&amp;AH$26))</f>
        <v/>
      </c>
      <c r="AI62" s="23">
        <f>MAX(0,AI58-SUMIFS($C$51:$BB$51,$C$26:$BB$26,"&gt;="&amp;AI$26-$G$16+2,$C$26:$BB$26,"&lt;="&amp;AI$26))</f>
        <v/>
      </c>
      <c r="AJ62" s="23">
        <f>MAX(0,AJ58-SUMIFS($C$51:$BB$51,$C$26:$BB$26,"&gt;="&amp;AJ$26-$G$16+2,$C$26:$BB$26,"&lt;="&amp;AJ$26))</f>
        <v/>
      </c>
      <c r="AK62" s="23">
        <f>MAX(0,AK58-SUMIFS($C$51:$BB$51,$C$26:$BB$26,"&gt;="&amp;AK$26-$G$16+2,$C$26:$BB$26,"&lt;="&amp;AK$26))</f>
        <v/>
      </c>
      <c r="AL62" s="23">
        <f>MAX(0,AL58-SUMIFS($C$51:$BB$51,$C$26:$BB$26,"&gt;="&amp;AL$26-$G$16+2,$C$26:$BB$26,"&lt;="&amp;AL$26))</f>
        <v/>
      </c>
      <c r="AM62" s="23">
        <f>MAX(0,AM58-SUMIFS($C$51:$BB$51,$C$26:$BB$26,"&gt;="&amp;AM$26-$G$16+2,$C$26:$BB$26,"&lt;="&amp;AM$26))</f>
        <v/>
      </c>
      <c r="AN62" s="23">
        <f>MAX(0,AN58-SUMIFS($C$51:$BB$51,$C$26:$BB$26,"&gt;="&amp;AN$26-$G$16+2,$C$26:$BB$26,"&lt;="&amp;AN$26))</f>
        <v/>
      </c>
      <c r="AO62" s="23">
        <f>MAX(0,AO58-SUMIFS($C$51:$BB$51,$C$26:$BB$26,"&gt;="&amp;AO$26-$G$16+2,$C$26:$BB$26,"&lt;="&amp;AO$26))</f>
        <v/>
      </c>
      <c r="AP62" s="23">
        <f>MAX(0,AP58-SUMIFS($C$51:$BB$51,$C$26:$BB$26,"&gt;="&amp;AP$26-$G$16+2,$C$26:$BB$26,"&lt;="&amp;AP$26))</f>
        <v/>
      </c>
      <c r="AQ62" s="23">
        <f>MAX(0,AQ58-SUMIFS($C$51:$BB$51,$C$26:$BB$26,"&gt;="&amp;AQ$26-$G$16+2,$C$26:$BB$26,"&lt;="&amp;AQ$26))</f>
        <v/>
      </c>
      <c r="AR62" s="23">
        <f>MAX(0,AR58-SUMIFS($C$51:$BB$51,$C$26:$BB$26,"&gt;="&amp;AR$26-$G$16+2,$C$26:$BB$26,"&lt;="&amp;AR$26))</f>
        <v/>
      </c>
      <c r="AS62" s="23">
        <f>MAX(0,AS58-SUMIFS($C$51:$BB$51,$C$26:$BB$26,"&gt;="&amp;AS$26-$G$16+2,$C$26:$BB$26,"&lt;="&amp;AS$26))</f>
        <v/>
      </c>
      <c r="AT62" s="23">
        <f>MAX(0,AT58-SUMIFS($C$51:$BB$51,$C$26:$BB$26,"&gt;="&amp;AT$26-$G$16+2,$C$26:$BB$26,"&lt;="&amp;AT$26))</f>
        <v/>
      </c>
      <c r="AU62" s="23">
        <f>MAX(0,AU58-SUMIFS($C$51:$BB$51,$C$26:$BB$26,"&gt;="&amp;AU$26-$G$16+2,$C$26:$BB$26,"&lt;="&amp;AU$26))</f>
        <v/>
      </c>
      <c r="AV62" s="23">
        <f>MAX(0,AV58-SUMIFS($C$51:$BB$51,$C$26:$BB$26,"&gt;="&amp;AV$26-$G$16+2,$C$26:$BB$26,"&lt;="&amp;AV$26))</f>
        <v/>
      </c>
      <c r="AW62" s="23">
        <f>MAX(0,AW58-SUMIFS($C$51:$BB$51,$C$26:$BB$26,"&gt;="&amp;AW$26-$G$16+2,$C$26:$BB$26,"&lt;="&amp;AW$26))</f>
        <v/>
      </c>
      <c r="AX62" s="23">
        <f>MAX(0,AX58-SUMIFS($C$51:$BB$51,$C$26:$BB$26,"&gt;="&amp;AX$26-$G$16+2,$C$26:$BB$26,"&lt;="&amp;AX$26))</f>
        <v/>
      </c>
      <c r="AY62" s="23">
        <f>MAX(0,AY58-SUMIFS($C$51:$BB$51,$C$26:$BB$26,"&gt;="&amp;AY$26-$G$16+2,$C$26:$BB$26,"&lt;="&amp;AY$26))</f>
        <v/>
      </c>
      <c r="AZ62" s="23">
        <f>MAX(0,AZ58-SUMIFS($C$51:$BB$51,$C$26:$BB$26,"&gt;="&amp;AZ$26-$G$16+2,$C$26:$BB$26,"&lt;="&amp;AZ$26))</f>
        <v/>
      </c>
      <c r="BA62" s="23">
        <f>MAX(0,BA58-SUMIFS($C$51:$BB$51,$C$26:$BB$26,"&gt;="&amp;BA$26-$G$16+2,$C$26:$BB$26,"&lt;="&amp;BA$26))</f>
        <v/>
      </c>
      <c r="BB62" s="23">
        <f>MAX(0,BB58-SUMIFS($C$51:$BB$51,$C$26:$BB$26,"&gt;="&amp;BB$26-$G$16+2,$C$26:$BB$26,"&lt;="&amp;BB$26))</f>
        <v/>
      </c>
    </row>
    <row r="63">
      <c r="A63" s="4" t="inlineStr">
        <is>
          <t xml:space="preserve">   stock older than its shelf life — a WARNING here, a hard constraint in the app</t>
        </is>
      </c>
    </row>
    <row r="65">
      <c r="A65" s="2" t="inlineStr">
        <is>
          <t>KALE  —  cold store</t>
        </is>
      </c>
      <c r="B65" s="26" t="inlineStr"/>
    </row>
    <row r="66">
      <c r="A66" s="18" t="inlineStr">
        <is>
          <t>Week</t>
        </is>
      </c>
      <c r="B66" s="19" t="inlineStr"/>
      <c r="C66" s="20" t="n">
        <v>1</v>
      </c>
      <c r="D66" s="20" t="n">
        <v>2</v>
      </c>
      <c r="E66" s="20" t="n">
        <v>3</v>
      </c>
      <c r="F66" s="20" t="n">
        <v>4</v>
      </c>
      <c r="G66" s="20" t="n">
        <v>5</v>
      </c>
      <c r="H66" s="20" t="n">
        <v>6</v>
      </c>
      <c r="I66" s="20" t="n">
        <v>7</v>
      </c>
      <c r="J66" s="20" t="n">
        <v>8</v>
      </c>
      <c r="K66" s="20" t="n">
        <v>9</v>
      </c>
      <c r="L66" s="20" t="n">
        <v>10</v>
      </c>
      <c r="M66" s="20" t="n">
        <v>11</v>
      </c>
      <c r="N66" s="20" t="n">
        <v>12</v>
      </c>
      <c r="O66" s="20" t="n">
        <v>13</v>
      </c>
      <c r="P66" s="20" t="n">
        <v>14</v>
      </c>
      <c r="Q66" s="20" t="n">
        <v>15</v>
      </c>
      <c r="R66" s="20" t="n">
        <v>16</v>
      </c>
      <c r="S66" s="20" t="n">
        <v>17</v>
      </c>
      <c r="T66" s="20" t="n">
        <v>18</v>
      </c>
      <c r="U66" s="20" t="n">
        <v>19</v>
      </c>
      <c r="V66" s="20" t="n">
        <v>20</v>
      </c>
      <c r="W66" s="20" t="n">
        <v>21</v>
      </c>
      <c r="X66" s="20" t="n">
        <v>22</v>
      </c>
      <c r="Y66" s="20" t="n">
        <v>23</v>
      </c>
      <c r="Z66" s="20" t="n">
        <v>24</v>
      </c>
      <c r="AA66" s="20" t="n">
        <v>25</v>
      </c>
      <c r="AB66" s="20" t="n">
        <v>26</v>
      </c>
      <c r="AC66" s="20" t="n">
        <v>27</v>
      </c>
      <c r="AD66" s="20" t="n">
        <v>28</v>
      </c>
      <c r="AE66" s="20" t="n">
        <v>29</v>
      </c>
      <c r="AF66" s="20" t="n">
        <v>30</v>
      </c>
      <c r="AG66" s="20" t="n">
        <v>31</v>
      </c>
      <c r="AH66" s="20" t="n">
        <v>32</v>
      </c>
      <c r="AI66" s="20" t="n">
        <v>33</v>
      </c>
      <c r="AJ66" s="20" t="n">
        <v>34</v>
      </c>
      <c r="AK66" s="20" t="n">
        <v>35</v>
      </c>
      <c r="AL66" s="20" t="n">
        <v>36</v>
      </c>
      <c r="AM66" s="20" t="n">
        <v>37</v>
      </c>
      <c r="AN66" s="20" t="n">
        <v>38</v>
      </c>
      <c r="AO66" s="20" t="n">
        <v>39</v>
      </c>
      <c r="AP66" s="20" t="n">
        <v>40</v>
      </c>
      <c r="AQ66" s="20" t="n">
        <v>41</v>
      </c>
      <c r="AR66" s="20" t="n">
        <v>42</v>
      </c>
      <c r="AS66" s="20" t="n">
        <v>43</v>
      </c>
      <c r="AT66" s="20" t="n">
        <v>44</v>
      </c>
      <c r="AU66" s="20" t="n">
        <v>45</v>
      </c>
      <c r="AV66" s="20" t="n">
        <v>46</v>
      </c>
      <c r="AW66" s="20" t="n">
        <v>47</v>
      </c>
      <c r="AX66" s="20" t="n">
        <v>48</v>
      </c>
      <c r="AY66" s="20" t="n">
        <v>49</v>
      </c>
      <c r="AZ66" s="20" t="n">
        <v>50</v>
      </c>
      <c r="BA66" s="20" t="n">
        <v>51</v>
      </c>
      <c r="BB66" s="20" t="n">
        <v>52</v>
      </c>
    </row>
    <row r="67">
      <c r="A67" s="21" t="inlineStr">
        <is>
          <t>Harvested (gross)</t>
        </is>
      </c>
      <c r="B67" s="4" t="inlineStr">
        <is>
          <t>lb</t>
        </is>
      </c>
      <c r="C67" s="23">
        <f>C33+C35</f>
        <v/>
      </c>
      <c r="D67" s="23">
        <f>D33+D35</f>
        <v/>
      </c>
      <c r="E67" s="23">
        <f>E33+E35</f>
        <v/>
      </c>
      <c r="F67" s="23">
        <f>F33+F35</f>
        <v/>
      </c>
      <c r="G67" s="23">
        <f>G33+G35</f>
        <v/>
      </c>
      <c r="H67" s="23">
        <f>H33+H35</f>
        <v/>
      </c>
      <c r="I67" s="23">
        <f>I33+I35</f>
        <v/>
      </c>
      <c r="J67" s="23">
        <f>J33+J35</f>
        <v/>
      </c>
      <c r="K67" s="23">
        <f>K33+K35</f>
        <v/>
      </c>
      <c r="L67" s="23">
        <f>L33+L35</f>
        <v/>
      </c>
      <c r="M67" s="23">
        <f>M33+M35</f>
        <v/>
      </c>
      <c r="N67" s="23">
        <f>N33+N35</f>
        <v/>
      </c>
      <c r="O67" s="23">
        <f>O33+O35</f>
        <v/>
      </c>
      <c r="P67" s="23">
        <f>P33+P35</f>
        <v/>
      </c>
      <c r="Q67" s="23">
        <f>Q33+Q35</f>
        <v/>
      </c>
      <c r="R67" s="23">
        <f>R33+R35</f>
        <v/>
      </c>
      <c r="S67" s="23">
        <f>S33+S35</f>
        <v/>
      </c>
      <c r="T67" s="23">
        <f>T33+T35</f>
        <v/>
      </c>
      <c r="U67" s="23">
        <f>U33+U35</f>
        <v/>
      </c>
      <c r="V67" s="23">
        <f>V33+V35</f>
        <v/>
      </c>
      <c r="W67" s="23">
        <f>W33+W35</f>
        <v/>
      </c>
      <c r="X67" s="23">
        <f>X33+X35</f>
        <v/>
      </c>
      <c r="Y67" s="23">
        <f>Y33+Y35</f>
        <v/>
      </c>
      <c r="Z67" s="23">
        <f>Z33+Z35</f>
        <v/>
      </c>
      <c r="AA67" s="23">
        <f>AA33+AA35</f>
        <v/>
      </c>
      <c r="AB67" s="23">
        <f>AB33+AB35</f>
        <v/>
      </c>
      <c r="AC67" s="23">
        <f>AC33+AC35</f>
        <v/>
      </c>
      <c r="AD67" s="23">
        <f>AD33+AD35</f>
        <v/>
      </c>
      <c r="AE67" s="23">
        <f>AE33+AE35</f>
        <v/>
      </c>
      <c r="AF67" s="23">
        <f>AF33+AF35</f>
        <v/>
      </c>
      <c r="AG67" s="23">
        <f>AG33+AG35</f>
        <v/>
      </c>
      <c r="AH67" s="23">
        <f>AH33+AH35</f>
        <v/>
      </c>
      <c r="AI67" s="23">
        <f>AI33+AI35</f>
        <v/>
      </c>
      <c r="AJ67" s="23">
        <f>AJ33+AJ35</f>
        <v/>
      </c>
      <c r="AK67" s="23">
        <f>AK33+AK35</f>
        <v/>
      </c>
      <c r="AL67" s="23">
        <f>AL33+AL35</f>
        <v/>
      </c>
      <c r="AM67" s="23">
        <f>AM33+AM35</f>
        <v/>
      </c>
      <c r="AN67" s="23">
        <f>AN33+AN35</f>
        <v/>
      </c>
      <c r="AO67" s="23">
        <f>AO33+AO35</f>
        <v/>
      </c>
      <c r="AP67" s="23">
        <f>AP33+AP35</f>
        <v/>
      </c>
      <c r="AQ67" s="23">
        <f>AQ33+AQ35</f>
        <v/>
      </c>
      <c r="AR67" s="23">
        <f>AR33+AR35</f>
        <v/>
      </c>
      <c r="AS67" s="23">
        <f>AS33+AS35</f>
        <v/>
      </c>
      <c r="AT67" s="23">
        <f>AT33+AT35</f>
        <v/>
      </c>
      <c r="AU67" s="23">
        <f>AU33+AU35</f>
        <v/>
      </c>
      <c r="AV67" s="23">
        <f>AV33+AV35</f>
        <v/>
      </c>
      <c r="AW67" s="23">
        <f>AW33+AW35</f>
        <v/>
      </c>
      <c r="AX67" s="23">
        <f>AX33+AX35</f>
        <v/>
      </c>
      <c r="AY67" s="23">
        <f>AY33+AY35</f>
        <v/>
      </c>
      <c r="AZ67" s="23">
        <f>AZ33+AZ35</f>
        <v/>
      </c>
      <c r="BA67" s="23">
        <f>BA33+BA35</f>
        <v/>
      </c>
      <c r="BB67" s="23">
        <f>BB33+BB35</f>
        <v/>
      </c>
    </row>
    <row r="68">
      <c r="A68" s="21" t="inlineStr">
        <is>
          <t xml:space="preserve">   field cull (never cooled)</t>
        </is>
      </c>
      <c r="B68" s="4" t="inlineStr">
        <is>
          <t>lb</t>
        </is>
      </c>
      <c r="C68" s="23">
        <f>C67*(1-$C$17)</f>
        <v/>
      </c>
      <c r="D68" s="23">
        <f>D67*(1-$C$17)</f>
        <v/>
      </c>
      <c r="E68" s="23">
        <f>E67*(1-$C$17)</f>
        <v/>
      </c>
      <c r="F68" s="23">
        <f>F67*(1-$C$17)</f>
        <v/>
      </c>
      <c r="G68" s="23">
        <f>G67*(1-$C$17)</f>
        <v/>
      </c>
      <c r="H68" s="23">
        <f>H67*(1-$C$17)</f>
        <v/>
      </c>
      <c r="I68" s="23">
        <f>I67*(1-$C$17)</f>
        <v/>
      </c>
      <c r="J68" s="23">
        <f>J67*(1-$C$17)</f>
        <v/>
      </c>
      <c r="K68" s="23">
        <f>K67*(1-$C$17)</f>
        <v/>
      </c>
      <c r="L68" s="23">
        <f>L67*(1-$C$17)</f>
        <v/>
      </c>
      <c r="M68" s="23">
        <f>M67*(1-$C$17)</f>
        <v/>
      </c>
      <c r="N68" s="23">
        <f>N67*(1-$C$17)</f>
        <v/>
      </c>
      <c r="O68" s="23">
        <f>O67*(1-$C$17)</f>
        <v/>
      </c>
      <c r="P68" s="23">
        <f>P67*(1-$C$17)</f>
        <v/>
      </c>
      <c r="Q68" s="23">
        <f>Q67*(1-$C$17)</f>
        <v/>
      </c>
      <c r="R68" s="23">
        <f>R67*(1-$C$17)</f>
        <v/>
      </c>
      <c r="S68" s="23">
        <f>S67*(1-$C$17)</f>
        <v/>
      </c>
      <c r="T68" s="23">
        <f>T67*(1-$C$17)</f>
        <v/>
      </c>
      <c r="U68" s="23">
        <f>U67*(1-$C$17)</f>
        <v/>
      </c>
      <c r="V68" s="23">
        <f>V67*(1-$C$17)</f>
        <v/>
      </c>
      <c r="W68" s="23">
        <f>W67*(1-$C$17)</f>
        <v/>
      </c>
      <c r="X68" s="23">
        <f>X67*(1-$C$17)</f>
        <v/>
      </c>
      <c r="Y68" s="23">
        <f>Y67*(1-$C$17)</f>
        <v/>
      </c>
      <c r="Z68" s="23">
        <f>Z67*(1-$C$17)</f>
        <v/>
      </c>
      <c r="AA68" s="23">
        <f>AA67*(1-$C$17)</f>
        <v/>
      </c>
      <c r="AB68" s="23">
        <f>AB67*(1-$C$17)</f>
        <v/>
      </c>
      <c r="AC68" s="23">
        <f>AC67*(1-$C$17)</f>
        <v/>
      </c>
      <c r="AD68" s="23">
        <f>AD67*(1-$C$17)</f>
        <v/>
      </c>
      <c r="AE68" s="23">
        <f>AE67*(1-$C$17)</f>
        <v/>
      </c>
      <c r="AF68" s="23">
        <f>AF67*(1-$C$17)</f>
        <v/>
      </c>
      <c r="AG68" s="23">
        <f>AG67*(1-$C$17)</f>
        <v/>
      </c>
      <c r="AH68" s="23">
        <f>AH67*(1-$C$17)</f>
        <v/>
      </c>
      <c r="AI68" s="23">
        <f>AI67*(1-$C$17)</f>
        <v/>
      </c>
      <c r="AJ68" s="23">
        <f>AJ67*(1-$C$17)</f>
        <v/>
      </c>
      <c r="AK68" s="23">
        <f>AK67*(1-$C$17)</f>
        <v/>
      </c>
      <c r="AL68" s="23">
        <f>AL67*(1-$C$17)</f>
        <v/>
      </c>
      <c r="AM68" s="23">
        <f>AM67*(1-$C$17)</f>
        <v/>
      </c>
      <c r="AN68" s="23">
        <f>AN67*(1-$C$17)</f>
        <v/>
      </c>
      <c r="AO68" s="23">
        <f>AO67*(1-$C$17)</f>
        <v/>
      </c>
      <c r="AP68" s="23">
        <f>AP67*(1-$C$17)</f>
        <v/>
      </c>
      <c r="AQ68" s="23">
        <f>AQ67*(1-$C$17)</f>
        <v/>
      </c>
      <c r="AR68" s="23">
        <f>AR67*(1-$C$17)</f>
        <v/>
      </c>
      <c r="AS68" s="23">
        <f>AS67*(1-$C$17)</f>
        <v/>
      </c>
      <c r="AT68" s="23">
        <f>AT67*(1-$C$17)</f>
        <v/>
      </c>
      <c r="AU68" s="23">
        <f>AU67*(1-$C$17)</f>
        <v/>
      </c>
      <c r="AV68" s="23">
        <f>AV67*(1-$C$17)</f>
        <v/>
      </c>
      <c r="AW68" s="23">
        <f>AW67*(1-$C$17)</f>
        <v/>
      </c>
      <c r="AX68" s="23">
        <f>AX67*(1-$C$17)</f>
        <v/>
      </c>
      <c r="AY68" s="23">
        <f>AY67*(1-$C$17)</f>
        <v/>
      </c>
      <c r="AZ68" s="23">
        <f>AZ67*(1-$C$17)</f>
        <v/>
      </c>
      <c r="BA68" s="23">
        <f>BA67*(1-$C$17)</f>
        <v/>
      </c>
      <c r="BB68" s="23">
        <f>BB67*(1-$C$17)</f>
        <v/>
      </c>
    </row>
    <row r="69">
      <c r="A69" s="3" t="inlineStr">
        <is>
          <t>Packed out -&gt; INTO the store</t>
        </is>
      </c>
      <c r="B69" s="4" t="inlineStr">
        <is>
          <t>lb</t>
        </is>
      </c>
      <c r="C69" s="23">
        <f>C67*$C$17</f>
        <v/>
      </c>
      <c r="D69" s="23">
        <f>D67*$C$17</f>
        <v/>
      </c>
      <c r="E69" s="23">
        <f>E67*$C$17</f>
        <v/>
      </c>
      <c r="F69" s="23">
        <f>F67*$C$17</f>
        <v/>
      </c>
      <c r="G69" s="23">
        <f>G67*$C$17</f>
        <v/>
      </c>
      <c r="H69" s="23">
        <f>H67*$C$17</f>
        <v/>
      </c>
      <c r="I69" s="23">
        <f>I67*$C$17</f>
        <v/>
      </c>
      <c r="J69" s="23">
        <f>J67*$C$17</f>
        <v/>
      </c>
      <c r="K69" s="23">
        <f>K67*$C$17</f>
        <v/>
      </c>
      <c r="L69" s="23">
        <f>L67*$C$17</f>
        <v/>
      </c>
      <c r="M69" s="23">
        <f>M67*$C$17</f>
        <v/>
      </c>
      <c r="N69" s="23">
        <f>N67*$C$17</f>
        <v/>
      </c>
      <c r="O69" s="23">
        <f>O67*$C$17</f>
        <v/>
      </c>
      <c r="P69" s="23">
        <f>P67*$C$17</f>
        <v/>
      </c>
      <c r="Q69" s="23">
        <f>Q67*$C$17</f>
        <v/>
      </c>
      <c r="R69" s="23">
        <f>R67*$C$17</f>
        <v/>
      </c>
      <c r="S69" s="23">
        <f>S67*$C$17</f>
        <v/>
      </c>
      <c r="T69" s="23">
        <f>T67*$C$17</f>
        <v/>
      </c>
      <c r="U69" s="23">
        <f>U67*$C$17</f>
        <v/>
      </c>
      <c r="V69" s="23">
        <f>V67*$C$17</f>
        <v/>
      </c>
      <c r="W69" s="23">
        <f>W67*$C$17</f>
        <v/>
      </c>
      <c r="X69" s="23">
        <f>X67*$C$17</f>
        <v/>
      </c>
      <c r="Y69" s="23">
        <f>Y67*$C$17</f>
        <v/>
      </c>
      <c r="Z69" s="23">
        <f>Z67*$C$17</f>
        <v/>
      </c>
      <c r="AA69" s="23">
        <f>AA67*$C$17</f>
        <v/>
      </c>
      <c r="AB69" s="23">
        <f>AB67*$C$17</f>
        <v/>
      </c>
      <c r="AC69" s="23">
        <f>AC67*$C$17</f>
        <v/>
      </c>
      <c r="AD69" s="23">
        <f>AD67*$C$17</f>
        <v/>
      </c>
      <c r="AE69" s="23">
        <f>AE67*$C$17</f>
        <v/>
      </c>
      <c r="AF69" s="23">
        <f>AF67*$C$17</f>
        <v/>
      </c>
      <c r="AG69" s="23">
        <f>AG67*$C$17</f>
        <v/>
      </c>
      <c r="AH69" s="23">
        <f>AH67*$C$17</f>
        <v/>
      </c>
      <c r="AI69" s="23">
        <f>AI67*$C$17</f>
        <v/>
      </c>
      <c r="AJ69" s="23">
        <f>AJ67*$C$17</f>
        <v/>
      </c>
      <c r="AK69" s="23">
        <f>AK67*$C$17</f>
        <v/>
      </c>
      <c r="AL69" s="23">
        <f>AL67*$C$17</f>
        <v/>
      </c>
      <c r="AM69" s="23">
        <f>AM67*$C$17</f>
        <v/>
      </c>
      <c r="AN69" s="23">
        <f>AN67*$C$17</f>
        <v/>
      </c>
      <c r="AO69" s="23">
        <f>AO67*$C$17</f>
        <v/>
      </c>
      <c r="AP69" s="23">
        <f>AP67*$C$17</f>
        <v/>
      </c>
      <c r="AQ69" s="23">
        <f>AQ67*$C$17</f>
        <v/>
      </c>
      <c r="AR69" s="23">
        <f>AR67*$C$17</f>
        <v/>
      </c>
      <c r="AS69" s="23">
        <f>AS67*$C$17</f>
        <v/>
      </c>
      <c r="AT69" s="23">
        <f>AT67*$C$17</f>
        <v/>
      </c>
      <c r="AU69" s="23">
        <f>AU67*$C$17</f>
        <v/>
      </c>
      <c r="AV69" s="23">
        <f>AV67*$C$17</f>
        <v/>
      </c>
      <c r="AW69" s="23">
        <f>AW67*$C$17</f>
        <v/>
      </c>
      <c r="AX69" s="23">
        <f>AX67*$C$17</f>
        <v/>
      </c>
      <c r="AY69" s="23">
        <f>AY67*$C$17</f>
        <v/>
      </c>
      <c r="AZ69" s="23">
        <f>AZ67*$C$17</f>
        <v/>
      </c>
      <c r="BA69" s="23">
        <f>BA67*$C$17</f>
        <v/>
      </c>
      <c r="BB69" s="23">
        <f>BB67*$C$17</f>
        <v/>
      </c>
    </row>
    <row r="70">
      <c r="A70" s="21" t="inlineStr">
        <is>
          <t>Stock carried in</t>
        </is>
      </c>
      <c r="B70" s="4" t="inlineStr">
        <is>
          <t>lb</t>
        </is>
      </c>
      <c r="C70" s="23" t="n">
        <v>0</v>
      </c>
      <c r="D70" s="23">
        <f>C76</f>
        <v/>
      </c>
      <c r="E70" s="23">
        <f>D76</f>
        <v/>
      </c>
      <c r="F70" s="23">
        <f>E76</f>
        <v/>
      </c>
      <c r="G70" s="23">
        <f>F76</f>
        <v/>
      </c>
      <c r="H70" s="23">
        <f>G76</f>
        <v/>
      </c>
      <c r="I70" s="23">
        <f>H76</f>
        <v/>
      </c>
      <c r="J70" s="23">
        <f>I76</f>
        <v/>
      </c>
      <c r="K70" s="23">
        <f>J76</f>
        <v/>
      </c>
      <c r="L70" s="23">
        <f>K76</f>
        <v/>
      </c>
      <c r="M70" s="23">
        <f>L76</f>
        <v/>
      </c>
      <c r="N70" s="23">
        <f>M76</f>
        <v/>
      </c>
      <c r="O70" s="23">
        <f>N76</f>
        <v/>
      </c>
      <c r="P70" s="23">
        <f>O76</f>
        <v/>
      </c>
      <c r="Q70" s="23">
        <f>P76</f>
        <v/>
      </c>
      <c r="R70" s="23">
        <f>Q76</f>
        <v/>
      </c>
      <c r="S70" s="23">
        <f>R76</f>
        <v/>
      </c>
      <c r="T70" s="23">
        <f>S76</f>
        <v/>
      </c>
      <c r="U70" s="23">
        <f>T76</f>
        <v/>
      </c>
      <c r="V70" s="23">
        <f>U76</f>
        <v/>
      </c>
      <c r="W70" s="23">
        <f>V76</f>
        <v/>
      </c>
      <c r="X70" s="23">
        <f>W76</f>
        <v/>
      </c>
      <c r="Y70" s="23">
        <f>X76</f>
        <v/>
      </c>
      <c r="Z70" s="23">
        <f>Y76</f>
        <v/>
      </c>
      <c r="AA70" s="23">
        <f>Z76</f>
        <v/>
      </c>
      <c r="AB70" s="23">
        <f>AA76</f>
        <v/>
      </c>
      <c r="AC70" s="23">
        <f>AB76</f>
        <v/>
      </c>
      <c r="AD70" s="23">
        <f>AC76</f>
        <v/>
      </c>
      <c r="AE70" s="23">
        <f>AD76</f>
        <v/>
      </c>
      <c r="AF70" s="23">
        <f>AE76</f>
        <v/>
      </c>
      <c r="AG70" s="23">
        <f>AF76</f>
        <v/>
      </c>
      <c r="AH70" s="23">
        <f>AG76</f>
        <v/>
      </c>
      <c r="AI70" s="23">
        <f>AH76</f>
        <v/>
      </c>
      <c r="AJ70" s="23">
        <f>AI76</f>
        <v/>
      </c>
      <c r="AK70" s="23">
        <f>AJ76</f>
        <v/>
      </c>
      <c r="AL70" s="23">
        <f>AK76</f>
        <v/>
      </c>
      <c r="AM70" s="23">
        <f>AL76</f>
        <v/>
      </c>
      <c r="AN70" s="23">
        <f>AM76</f>
        <v/>
      </c>
      <c r="AO70" s="23">
        <f>AN76</f>
        <v/>
      </c>
      <c r="AP70" s="23">
        <f>AO76</f>
        <v/>
      </c>
      <c r="AQ70" s="23">
        <f>AP76</f>
        <v/>
      </c>
      <c r="AR70" s="23">
        <f>AQ76</f>
        <v/>
      </c>
      <c r="AS70" s="23">
        <f>AR76</f>
        <v/>
      </c>
      <c r="AT70" s="23">
        <f>AS76</f>
        <v/>
      </c>
      <c r="AU70" s="23">
        <f>AT76</f>
        <v/>
      </c>
      <c r="AV70" s="23">
        <f>AU76</f>
        <v/>
      </c>
      <c r="AW70" s="23">
        <f>AV76</f>
        <v/>
      </c>
      <c r="AX70" s="23">
        <f>AW76</f>
        <v/>
      </c>
      <c r="AY70" s="23">
        <f>AX76</f>
        <v/>
      </c>
      <c r="AZ70" s="23">
        <f>AY76</f>
        <v/>
      </c>
      <c r="BA70" s="23">
        <f>AZ76</f>
        <v/>
      </c>
      <c r="BB70" s="23">
        <f>BA76</f>
        <v/>
      </c>
    </row>
    <row r="71">
      <c r="A71" s="21" t="inlineStr">
        <is>
          <t xml:space="preserve">   lost to shrink</t>
        </is>
      </c>
      <c r="B71" s="4" t="inlineStr">
        <is>
          <t>lb</t>
        </is>
      </c>
      <c r="C71" s="23">
        <f>C70*$H$17</f>
        <v/>
      </c>
      <c r="D71" s="23">
        <f>D70*$H$17</f>
        <v/>
      </c>
      <c r="E71" s="23">
        <f>E70*$H$17</f>
        <v/>
      </c>
      <c r="F71" s="23">
        <f>F70*$H$17</f>
        <v/>
      </c>
      <c r="G71" s="23">
        <f>G70*$H$17</f>
        <v/>
      </c>
      <c r="H71" s="23">
        <f>H70*$H$17</f>
        <v/>
      </c>
      <c r="I71" s="23">
        <f>I70*$H$17</f>
        <v/>
      </c>
      <c r="J71" s="23">
        <f>J70*$H$17</f>
        <v/>
      </c>
      <c r="K71" s="23">
        <f>K70*$H$17</f>
        <v/>
      </c>
      <c r="L71" s="23">
        <f>L70*$H$17</f>
        <v/>
      </c>
      <c r="M71" s="23">
        <f>M70*$H$17</f>
        <v/>
      </c>
      <c r="N71" s="23">
        <f>N70*$H$17</f>
        <v/>
      </c>
      <c r="O71" s="23">
        <f>O70*$H$17</f>
        <v/>
      </c>
      <c r="P71" s="23">
        <f>P70*$H$17</f>
        <v/>
      </c>
      <c r="Q71" s="23">
        <f>Q70*$H$17</f>
        <v/>
      </c>
      <c r="R71" s="23">
        <f>R70*$H$17</f>
        <v/>
      </c>
      <c r="S71" s="23">
        <f>S70*$H$17</f>
        <v/>
      </c>
      <c r="T71" s="23">
        <f>T70*$H$17</f>
        <v/>
      </c>
      <c r="U71" s="23">
        <f>U70*$H$17</f>
        <v/>
      </c>
      <c r="V71" s="23">
        <f>V70*$H$17</f>
        <v/>
      </c>
      <c r="W71" s="23">
        <f>W70*$H$17</f>
        <v/>
      </c>
      <c r="X71" s="23">
        <f>X70*$H$17</f>
        <v/>
      </c>
      <c r="Y71" s="23">
        <f>Y70*$H$17</f>
        <v/>
      </c>
      <c r="Z71" s="23">
        <f>Z70*$H$17</f>
        <v/>
      </c>
      <c r="AA71" s="23">
        <f>AA70*$H$17</f>
        <v/>
      </c>
      <c r="AB71" s="23">
        <f>AB70*$H$17</f>
        <v/>
      </c>
      <c r="AC71" s="23">
        <f>AC70*$H$17</f>
        <v/>
      </c>
      <c r="AD71" s="23">
        <f>AD70*$H$17</f>
        <v/>
      </c>
      <c r="AE71" s="23">
        <f>AE70*$H$17</f>
        <v/>
      </c>
      <c r="AF71" s="23">
        <f>AF70*$H$17</f>
        <v/>
      </c>
      <c r="AG71" s="23">
        <f>AG70*$H$17</f>
        <v/>
      </c>
      <c r="AH71" s="23">
        <f>AH70*$H$17</f>
        <v/>
      </c>
      <c r="AI71" s="23">
        <f>AI70*$H$17</f>
        <v/>
      </c>
      <c r="AJ71" s="23">
        <f>AJ70*$H$17</f>
        <v/>
      </c>
      <c r="AK71" s="23">
        <f>AK70*$H$17</f>
        <v/>
      </c>
      <c r="AL71" s="23">
        <f>AL70*$H$17</f>
        <v/>
      </c>
      <c r="AM71" s="23">
        <f>AM70*$H$17</f>
        <v/>
      </c>
      <c r="AN71" s="23">
        <f>AN70*$H$17</f>
        <v/>
      </c>
      <c r="AO71" s="23">
        <f>AO70*$H$17</f>
        <v/>
      </c>
      <c r="AP71" s="23">
        <f>AP70*$H$17</f>
        <v/>
      </c>
      <c r="AQ71" s="23">
        <f>AQ70*$H$17</f>
        <v/>
      </c>
      <c r="AR71" s="23">
        <f>AR70*$H$17</f>
        <v/>
      </c>
      <c r="AS71" s="23">
        <f>AS70*$H$17</f>
        <v/>
      </c>
      <c r="AT71" s="23">
        <f>AT70*$H$17</f>
        <v/>
      </c>
      <c r="AU71" s="23">
        <f>AU70*$H$17</f>
        <v/>
      </c>
      <c r="AV71" s="23">
        <f>AV70*$H$17</f>
        <v/>
      </c>
      <c r="AW71" s="23">
        <f>AW70*$H$17</f>
        <v/>
      </c>
      <c r="AX71" s="23">
        <f>AX70*$H$17</f>
        <v/>
      </c>
      <c r="AY71" s="23">
        <f>AY70*$H$17</f>
        <v/>
      </c>
      <c r="AZ71" s="23">
        <f>AZ70*$H$17</f>
        <v/>
      </c>
      <c r="BA71" s="23">
        <f>BA70*$H$17</f>
        <v/>
      </c>
      <c r="BB71" s="23">
        <f>BB70*$H$17</f>
        <v/>
      </c>
    </row>
    <row r="72">
      <c r="A72" s="21" t="inlineStr">
        <is>
          <t>In store this week</t>
        </is>
      </c>
      <c r="B72" s="4" t="inlineStr">
        <is>
          <t>lb</t>
        </is>
      </c>
      <c r="C72" s="23">
        <f>C70-C71+C69</f>
        <v/>
      </c>
      <c r="D72" s="23">
        <f>D70-D71+D69</f>
        <v/>
      </c>
      <c r="E72" s="23">
        <f>E70-E71+E69</f>
        <v/>
      </c>
      <c r="F72" s="23">
        <f>F70-F71+F69</f>
        <v/>
      </c>
      <c r="G72" s="23">
        <f>G70-G71+G69</f>
        <v/>
      </c>
      <c r="H72" s="23">
        <f>H70-H71+H69</f>
        <v/>
      </c>
      <c r="I72" s="23">
        <f>I70-I71+I69</f>
        <v/>
      </c>
      <c r="J72" s="23">
        <f>J70-J71+J69</f>
        <v/>
      </c>
      <c r="K72" s="23">
        <f>K70-K71+K69</f>
        <v/>
      </c>
      <c r="L72" s="23">
        <f>L70-L71+L69</f>
        <v/>
      </c>
      <c r="M72" s="23">
        <f>M70-M71+M69</f>
        <v/>
      </c>
      <c r="N72" s="23">
        <f>N70-N71+N69</f>
        <v/>
      </c>
      <c r="O72" s="23">
        <f>O70-O71+O69</f>
        <v/>
      </c>
      <c r="P72" s="23">
        <f>P70-P71+P69</f>
        <v/>
      </c>
      <c r="Q72" s="23">
        <f>Q70-Q71+Q69</f>
        <v/>
      </c>
      <c r="R72" s="23">
        <f>R70-R71+R69</f>
        <v/>
      </c>
      <c r="S72" s="23">
        <f>S70-S71+S69</f>
        <v/>
      </c>
      <c r="T72" s="23">
        <f>T70-T71+T69</f>
        <v/>
      </c>
      <c r="U72" s="23">
        <f>U70-U71+U69</f>
        <v/>
      </c>
      <c r="V72" s="23">
        <f>V70-V71+V69</f>
        <v/>
      </c>
      <c r="W72" s="23">
        <f>W70-W71+W69</f>
        <v/>
      </c>
      <c r="X72" s="23">
        <f>X70-X71+X69</f>
        <v/>
      </c>
      <c r="Y72" s="23">
        <f>Y70-Y71+Y69</f>
        <v/>
      </c>
      <c r="Z72" s="23">
        <f>Z70-Z71+Z69</f>
        <v/>
      </c>
      <c r="AA72" s="23">
        <f>AA70-AA71+AA69</f>
        <v/>
      </c>
      <c r="AB72" s="23">
        <f>AB70-AB71+AB69</f>
        <v/>
      </c>
      <c r="AC72" s="23">
        <f>AC70-AC71+AC69</f>
        <v/>
      </c>
      <c r="AD72" s="23">
        <f>AD70-AD71+AD69</f>
        <v/>
      </c>
      <c r="AE72" s="23">
        <f>AE70-AE71+AE69</f>
        <v/>
      </c>
      <c r="AF72" s="23">
        <f>AF70-AF71+AF69</f>
        <v/>
      </c>
      <c r="AG72" s="23">
        <f>AG70-AG71+AG69</f>
        <v/>
      </c>
      <c r="AH72" s="23">
        <f>AH70-AH71+AH69</f>
        <v/>
      </c>
      <c r="AI72" s="23">
        <f>AI70-AI71+AI69</f>
        <v/>
      </c>
      <c r="AJ72" s="23">
        <f>AJ70-AJ71+AJ69</f>
        <v/>
      </c>
      <c r="AK72" s="23">
        <f>AK70-AK71+AK69</f>
        <v/>
      </c>
      <c r="AL72" s="23">
        <f>AL70-AL71+AL69</f>
        <v/>
      </c>
      <c r="AM72" s="23">
        <f>AM70-AM71+AM69</f>
        <v/>
      </c>
      <c r="AN72" s="23">
        <f>AN70-AN71+AN69</f>
        <v/>
      </c>
      <c r="AO72" s="23">
        <f>AO70-AO71+AO69</f>
        <v/>
      </c>
      <c r="AP72" s="23">
        <f>AP70-AP71+AP69</f>
        <v/>
      </c>
      <c r="AQ72" s="23">
        <f>AQ70-AQ71+AQ69</f>
        <v/>
      </c>
      <c r="AR72" s="23">
        <f>AR70-AR71+AR69</f>
        <v/>
      </c>
      <c r="AS72" s="23">
        <f>AS70-AS71+AS69</f>
        <v/>
      </c>
      <c r="AT72" s="23">
        <f>AT70-AT71+AT69</f>
        <v/>
      </c>
      <c r="AU72" s="23">
        <f>AU70-AU71+AU69</f>
        <v/>
      </c>
      <c r="AV72" s="23">
        <f>AV70-AV71+AV69</f>
        <v/>
      </c>
      <c r="AW72" s="23">
        <f>AW70-AW71+AW69</f>
        <v/>
      </c>
      <c r="AX72" s="23">
        <f>AX70-AX71+AX69</f>
        <v/>
      </c>
      <c r="AY72" s="23">
        <f>AY70-AY71+AY69</f>
        <v/>
      </c>
      <c r="AZ72" s="23">
        <f>AZ70-AZ71+AZ69</f>
        <v/>
      </c>
      <c r="BA72" s="23">
        <f>BA70-BA71+BA69</f>
        <v/>
      </c>
      <c r="BB72" s="23">
        <f>BB70-BB71+BB69</f>
        <v/>
      </c>
    </row>
    <row r="73">
      <c r="A73" s="21" t="inlineStr">
        <is>
          <t>Shipped out of store</t>
        </is>
      </c>
      <c r="B73" s="4" t="inlineStr">
        <is>
          <t>lb</t>
        </is>
      </c>
      <c r="C73" s="23">
        <f>MIN(C72,$I$17/$D$17)</f>
        <v/>
      </c>
      <c r="D73" s="23">
        <f>MIN(D72,$I$17/$D$17)</f>
        <v/>
      </c>
      <c r="E73" s="23">
        <f>MIN(E72,$I$17/$D$17)</f>
        <v/>
      </c>
      <c r="F73" s="23">
        <f>MIN(F72,$I$17/$D$17)</f>
        <v/>
      </c>
      <c r="G73" s="23">
        <f>MIN(G72,$I$17/$D$17)</f>
        <v/>
      </c>
      <c r="H73" s="23">
        <f>MIN(H72,$I$17/$D$17)</f>
        <v/>
      </c>
      <c r="I73" s="23">
        <f>MIN(I72,$I$17/$D$17)</f>
        <v/>
      </c>
      <c r="J73" s="23">
        <f>MIN(J72,$I$17/$D$17)</f>
        <v/>
      </c>
      <c r="K73" s="23">
        <f>MIN(K72,$I$17/$D$17)</f>
        <v/>
      </c>
      <c r="L73" s="23">
        <f>MIN(L72,$I$17/$D$17)</f>
        <v/>
      </c>
      <c r="M73" s="23">
        <f>MIN(M72,$I$17/$D$17)</f>
        <v/>
      </c>
      <c r="N73" s="23">
        <f>MIN(N72,$I$17/$D$17)</f>
        <v/>
      </c>
      <c r="O73" s="23">
        <f>MIN(O72,$I$17/$D$17)</f>
        <v/>
      </c>
      <c r="P73" s="23">
        <f>MIN(P72,$I$17/$D$17)</f>
        <v/>
      </c>
      <c r="Q73" s="23">
        <f>MIN(Q72,$I$17/$D$17)</f>
        <v/>
      </c>
      <c r="R73" s="23">
        <f>MIN(R72,$I$17/$D$17)</f>
        <v/>
      </c>
      <c r="S73" s="23">
        <f>MIN(S72,$I$17/$D$17)</f>
        <v/>
      </c>
      <c r="T73" s="23">
        <f>MIN(T72,$I$17/$D$17)</f>
        <v/>
      </c>
      <c r="U73" s="23">
        <f>MIN(U72,$I$17/$D$17)</f>
        <v/>
      </c>
      <c r="V73" s="23">
        <f>MIN(V72,$I$17/$D$17)</f>
        <v/>
      </c>
      <c r="W73" s="23">
        <f>MIN(W72,$I$17/$D$17)</f>
        <v/>
      </c>
      <c r="X73" s="23">
        <f>MIN(X72,$I$17/$D$17)</f>
        <v/>
      </c>
      <c r="Y73" s="23">
        <f>MIN(Y72,$I$17/$D$17)</f>
        <v/>
      </c>
      <c r="Z73" s="23">
        <f>MIN(Z72,$I$17/$D$17)</f>
        <v/>
      </c>
      <c r="AA73" s="23">
        <f>MIN(AA72,$I$17/$D$17)</f>
        <v/>
      </c>
      <c r="AB73" s="23">
        <f>MIN(AB72,$I$17/$D$17)</f>
        <v/>
      </c>
      <c r="AC73" s="23">
        <f>MIN(AC72,$I$17/$D$17)</f>
        <v/>
      </c>
      <c r="AD73" s="23">
        <f>MIN(AD72,$I$17/$D$17)</f>
        <v/>
      </c>
      <c r="AE73" s="23">
        <f>MIN(AE72,$I$17/$D$17)</f>
        <v/>
      </c>
      <c r="AF73" s="23">
        <f>MIN(AF72,$I$17/$D$17)</f>
        <v/>
      </c>
      <c r="AG73" s="23">
        <f>MIN(AG72,$I$17/$D$17)</f>
        <v/>
      </c>
      <c r="AH73" s="23">
        <f>MIN(AH72,$I$17/$D$17)</f>
        <v/>
      </c>
      <c r="AI73" s="23">
        <f>MIN(AI72,$I$17/$D$17)</f>
        <v/>
      </c>
      <c r="AJ73" s="23">
        <f>MIN(AJ72,$I$17/$D$17)</f>
        <v/>
      </c>
      <c r="AK73" s="23">
        <f>MIN(AK72,$I$17/$D$17)</f>
        <v/>
      </c>
      <c r="AL73" s="23">
        <f>MIN(AL72,$I$17/$D$17)</f>
        <v/>
      </c>
      <c r="AM73" s="23">
        <f>MIN(AM72,$I$17/$D$17)</f>
        <v/>
      </c>
      <c r="AN73" s="23">
        <f>MIN(AN72,$I$17/$D$17)</f>
        <v/>
      </c>
      <c r="AO73" s="23">
        <f>MIN(AO72,$I$17/$D$17)</f>
        <v/>
      </c>
      <c r="AP73" s="23">
        <f>MIN(AP72,$I$17/$D$17)</f>
        <v/>
      </c>
      <c r="AQ73" s="23">
        <f>MIN(AQ72,$I$17/$D$17)</f>
        <v/>
      </c>
      <c r="AR73" s="23">
        <f>MIN(AR72,$I$17/$D$17)</f>
        <v/>
      </c>
      <c r="AS73" s="23">
        <f>MIN(AS72,$I$17/$D$17)</f>
        <v/>
      </c>
      <c r="AT73" s="23">
        <f>MIN(AT72,$I$17/$D$17)</f>
        <v/>
      </c>
      <c r="AU73" s="23">
        <f>MIN(AU72,$I$17/$D$17)</f>
        <v/>
      </c>
      <c r="AV73" s="23">
        <f>MIN(AV72,$I$17/$D$17)</f>
        <v/>
      </c>
      <c r="AW73" s="23">
        <f>MIN(AW72,$I$17/$D$17)</f>
        <v/>
      </c>
      <c r="AX73" s="23">
        <f>MIN(AX72,$I$17/$D$17)</f>
        <v/>
      </c>
      <c r="AY73" s="23">
        <f>MIN(AY72,$I$17/$D$17)</f>
        <v/>
      </c>
      <c r="AZ73" s="23">
        <f>MIN(AZ72,$I$17/$D$17)</f>
        <v/>
      </c>
      <c r="BA73" s="23">
        <f>MIN(BA72,$I$17/$D$17)</f>
        <v/>
      </c>
      <c r="BB73" s="23">
        <f>MIN(BB72,$I$17/$D$17)</f>
        <v/>
      </c>
    </row>
    <row r="74">
      <c r="A74" s="3" t="inlineStr">
        <is>
          <t>Sold</t>
        </is>
      </c>
      <c r="B74" s="4" t="inlineStr">
        <is>
          <t>lb</t>
        </is>
      </c>
      <c r="C74" s="23">
        <f>C73*$D$17</f>
        <v/>
      </c>
      <c r="D74" s="23">
        <f>D73*$D$17</f>
        <v/>
      </c>
      <c r="E74" s="23">
        <f>E73*$D$17</f>
        <v/>
      </c>
      <c r="F74" s="23">
        <f>F73*$D$17</f>
        <v/>
      </c>
      <c r="G74" s="23">
        <f>G73*$D$17</f>
        <v/>
      </c>
      <c r="H74" s="23">
        <f>H73*$D$17</f>
        <v/>
      </c>
      <c r="I74" s="23">
        <f>I73*$D$17</f>
        <v/>
      </c>
      <c r="J74" s="23">
        <f>J73*$D$17</f>
        <v/>
      </c>
      <c r="K74" s="23">
        <f>K73*$D$17</f>
        <v/>
      </c>
      <c r="L74" s="23">
        <f>L73*$D$17</f>
        <v/>
      </c>
      <c r="M74" s="23">
        <f>M73*$D$17</f>
        <v/>
      </c>
      <c r="N74" s="23">
        <f>N73*$D$17</f>
        <v/>
      </c>
      <c r="O74" s="23">
        <f>O73*$D$17</f>
        <v/>
      </c>
      <c r="P74" s="23">
        <f>P73*$D$17</f>
        <v/>
      </c>
      <c r="Q74" s="23">
        <f>Q73*$D$17</f>
        <v/>
      </c>
      <c r="R74" s="23">
        <f>R73*$D$17</f>
        <v/>
      </c>
      <c r="S74" s="23">
        <f>S73*$D$17</f>
        <v/>
      </c>
      <c r="T74" s="23">
        <f>T73*$D$17</f>
        <v/>
      </c>
      <c r="U74" s="23">
        <f>U73*$D$17</f>
        <v/>
      </c>
      <c r="V74" s="23">
        <f>V73*$D$17</f>
        <v/>
      </c>
      <c r="W74" s="23">
        <f>W73*$D$17</f>
        <v/>
      </c>
      <c r="X74" s="23">
        <f>X73*$D$17</f>
        <v/>
      </c>
      <c r="Y74" s="23">
        <f>Y73*$D$17</f>
        <v/>
      </c>
      <c r="Z74" s="23">
        <f>Z73*$D$17</f>
        <v/>
      </c>
      <c r="AA74" s="23">
        <f>AA73*$D$17</f>
        <v/>
      </c>
      <c r="AB74" s="23">
        <f>AB73*$D$17</f>
        <v/>
      </c>
      <c r="AC74" s="23">
        <f>AC73*$D$17</f>
        <v/>
      </c>
      <c r="AD74" s="23">
        <f>AD73*$D$17</f>
        <v/>
      </c>
      <c r="AE74" s="23">
        <f>AE73*$D$17</f>
        <v/>
      </c>
      <c r="AF74" s="23">
        <f>AF73*$D$17</f>
        <v/>
      </c>
      <c r="AG74" s="23">
        <f>AG73*$D$17</f>
        <v/>
      </c>
      <c r="AH74" s="23">
        <f>AH73*$D$17</f>
        <v/>
      </c>
      <c r="AI74" s="23">
        <f>AI73*$D$17</f>
        <v/>
      </c>
      <c r="AJ74" s="23">
        <f>AJ73*$D$17</f>
        <v/>
      </c>
      <c r="AK74" s="23">
        <f>AK73*$D$17</f>
        <v/>
      </c>
      <c r="AL74" s="23">
        <f>AL73*$D$17</f>
        <v/>
      </c>
      <c r="AM74" s="23">
        <f>AM73*$D$17</f>
        <v/>
      </c>
      <c r="AN74" s="23">
        <f>AN73*$D$17</f>
        <v/>
      </c>
      <c r="AO74" s="23">
        <f>AO73*$D$17</f>
        <v/>
      </c>
      <c r="AP74" s="23">
        <f>AP73*$D$17</f>
        <v/>
      </c>
      <c r="AQ74" s="23">
        <f>AQ73*$D$17</f>
        <v/>
      </c>
      <c r="AR74" s="23">
        <f>AR73*$D$17</f>
        <v/>
      </c>
      <c r="AS74" s="23">
        <f>AS73*$D$17</f>
        <v/>
      </c>
      <c r="AT74" s="23">
        <f>AT73*$D$17</f>
        <v/>
      </c>
      <c r="AU74" s="23">
        <f>AU73*$D$17</f>
        <v/>
      </c>
      <c r="AV74" s="23">
        <f>AV73*$D$17</f>
        <v/>
      </c>
      <c r="AW74" s="23">
        <f>AW73*$D$17</f>
        <v/>
      </c>
      <c r="AX74" s="23">
        <f>AX73*$D$17</f>
        <v/>
      </c>
      <c r="AY74" s="23">
        <f>AY73*$D$17</f>
        <v/>
      </c>
      <c r="AZ74" s="23">
        <f>AZ73*$D$17</f>
        <v/>
      </c>
      <c r="BA74" s="23">
        <f>BA73*$D$17</f>
        <v/>
      </c>
      <c r="BB74" s="23">
        <f>BB73*$D$17</f>
        <v/>
      </c>
    </row>
    <row r="75">
      <c r="A75" s="21" t="inlineStr">
        <is>
          <t xml:space="preserve">   market loss (did not come back)</t>
        </is>
      </c>
      <c r="B75" s="4" t="inlineStr">
        <is>
          <t>lb</t>
        </is>
      </c>
      <c r="C75" s="23">
        <f>C73-C74</f>
        <v/>
      </c>
      <c r="D75" s="23">
        <f>D73-D74</f>
        <v/>
      </c>
      <c r="E75" s="23">
        <f>E73-E74</f>
        <v/>
      </c>
      <c r="F75" s="23">
        <f>F73-F74</f>
        <v/>
      </c>
      <c r="G75" s="23">
        <f>G73-G74</f>
        <v/>
      </c>
      <c r="H75" s="23">
        <f>H73-H74</f>
        <v/>
      </c>
      <c r="I75" s="23">
        <f>I73-I74</f>
        <v/>
      </c>
      <c r="J75" s="23">
        <f>J73-J74</f>
        <v/>
      </c>
      <c r="K75" s="23">
        <f>K73-K74</f>
        <v/>
      </c>
      <c r="L75" s="23">
        <f>L73-L74</f>
        <v/>
      </c>
      <c r="M75" s="23">
        <f>M73-M74</f>
        <v/>
      </c>
      <c r="N75" s="23">
        <f>N73-N74</f>
        <v/>
      </c>
      <c r="O75" s="23">
        <f>O73-O74</f>
        <v/>
      </c>
      <c r="P75" s="23">
        <f>P73-P74</f>
        <v/>
      </c>
      <c r="Q75" s="23">
        <f>Q73-Q74</f>
        <v/>
      </c>
      <c r="R75" s="23">
        <f>R73-R74</f>
        <v/>
      </c>
      <c r="S75" s="23">
        <f>S73-S74</f>
        <v/>
      </c>
      <c r="T75" s="23">
        <f>T73-T74</f>
        <v/>
      </c>
      <c r="U75" s="23">
        <f>U73-U74</f>
        <v/>
      </c>
      <c r="V75" s="23">
        <f>V73-V74</f>
        <v/>
      </c>
      <c r="W75" s="23">
        <f>W73-W74</f>
        <v/>
      </c>
      <c r="X75" s="23">
        <f>X73-X74</f>
        <v/>
      </c>
      <c r="Y75" s="23">
        <f>Y73-Y74</f>
        <v/>
      </c>
      <c r="Z75" s="23">
        <f>Z73-Z74</f>
        <v/>
      </c>
      <c r="AA75" s="23">
        <f>AA73-AA74</f>
        <v/>
      </c>
      <c r="AB75" s="23">
        <f>AB73-AB74</f>
        <v/>
      </c>
      <c r="AC75" s="23">
        <f>AC73-AC74</f>
        <v/>
      </c>
      <c r="AD75" s="23">
        <f>AD73-AD74</f>
        <v/>
      </c>
      <c r="AE75" s="23">
        <f>AE73-AE74</f>
        <v/>
      </c>
      <c r="AF75" s="23">
        <f>AF73-AF74</f>
        <v/>
      </c>
      <c r="AG75" s="23">
        <f>AG73-AG74</f>
        <v/>
      </c>
      <c r="AH75" s="23">
        <f>AH73-AH74</f>
        <v/>
      </c>
      <c r="AI75" s="23">
        <f>AI73-AI74</f>
        <v/>
      </c>
      <c r="AJ75" s="23">
        <f>AJ73-AJ74</f>
        <v/>
      </c>
      <c r="AK75" s="23">
        <f>AK73-AK74</f>
        <v/>
      </c>
      <c r="AL75" s="23">
        <f>AL73-AL74</f>
        <v/>
      </c>
      <c r="AM75" s="23">
        <f>AM73-AM74</f>
        <v/>
      </c>
      <c r="AN75" s="23">
        <f>AN73-AN74</f>
        <v/>
      </c>
      <c r="AO75" s="23">
        <f>AO73-AO74</f>
        <v/>
      </c>
      <c r="AP75" s="23">
        <f>AP73-AP74</f>
        <v/>
      </c>
      <c r="AQ75" s="23">
        <f>AQ73-AQ74</f>
        <v/>
      </c>
      <c r="AR75" s="23">
        <f>AR73-AR74</f>
        <v/>
      </c>
      <c r="AS75" s="23">
        <f>AS73-AS74</f>
        <v/>
      </c>
      <c r="AT75" s="23">
        <f>AT73-AT74</f>
        <v/>
      </c>
      <c r="AU75" s="23">
        <f>AU73-AU74</f>
        <v/>
      </c>
      <c r="AV75" s="23">
        <f>AV73-AV74</f>
        <v/>
      </c>
      <c r="AW75" s="23">
        <f>AW73-AW74</f>
        <v/>
      </c>
      <c r="AX75" s="23">
        <f>AX73-AX74</f>
        <v/>
      </c>
      <c r="AY75" s="23">
        <f>AY73-AY74</f>
        <v/>
      </c>
      <c r="AZ75" s="23">
        <f>AZ73-AZ74</f>
        <v/>
      </c>
      <c r="BA75" s="23">
        <f>BA73-BA74</f>
        <v/>
      </c>
      <c r="BB75" s="23">
        <f>BB73-BB74</f>
        <v/>
      </c>
    </row>
    <row r="76">
      <c r="A76" s="3" t="inlineStr">
        <is>
          <t>Stock carried out</t>
        </is>
      </c>
      <c r="B76" s="4" t="inlineStr">
        <is>
          <t>lb</t>
        </is>
      </c>
      <c r="C76" s="23">
        <f>C72-C73</f>
        <v/>
      </c>
      <c r="D76" s="23">
        <f>D72-D73</f>
        <v/>
      </c>
      <c r="E76" s="23">
        <f>E72-E73</f>
        <v/>
      </c>
      <c r="F76" s="23">
        <f>F72-F73</f>
        <v/>
      </c>
      <c r="G76" s="23">
        <f>G72-G73</f>
        <v/>
      </c>
      <c r="H76" s="23">
        <f>H72-H73</f>
        <v/>
      </c>
      <c r="I76" s="23">
        <f>I72-I73</f>
        <v/>
      </c>
      <c r="J76" s="23">
        <f>J72-J73</f>
        <v/>
      </c>
      <c r="K76" s="23">
        <f>K72-K73</f>
        <v/>
      </c>
      <c r="L76" s="23">
        <f>L72-L73</f>
        <v/>
      </c>
      <c r="M76" s="23">
        <f>M72-M73</f>
        <v/>
      </c>
      <c r="N76" s="23">
        <f>N72-N73</f>
        <v/>
      </c>
      <c r="O76" s="23">
        <f>O72-O73</f>
        <v/>
      </c>
      <c r="P76" s="23">
        <f>P72-P73</f>
        <v/>
      </c>
      <c r="Q76" s="23">
        <f>Q72-Q73</f>
        <v/>
      </c>
      <c r="R76" s="23">
        <f>R72-R73</f>
        <v/>
      </c>
      <c r="S76" s="23">
        <f>S72-S73</f>
        <v/>
      </c>
      <c r="T76" s="23">
        <f>T72-T73</f>
        <v/>
      </c>
      <c r="U76" s="23">
        <f>U72-U73</f>
        <v/>
      </c>
      <c r="V76" s="23">
        <f>V72-V73</f>
        <v/>
      </c>
      <c r="W76" s="23">
        <f>W72-W73</f>
        <v/>
      </c>
      <c r="X76" s="23">
        <f>X72-X73</f>
        <v/>
      </c>
      <c r="Y76" s="23">
        <f>Y72-Y73</f>
        <v/>
      </c>
      <c r="Z76" s="23">
        <f>Z72-Z73</f>
        <v/>
      </c>
      <c r="AA76" s="23">
        <f>AA72-AA73</f>
        <v/>
      </c>
      <c r="AB76" s="23">
        <f>AB72-AB73</f>
        <v/>
      </c>
      <c r="AC76" s="23">
        <f>AC72-AC73</f>
        <v/>
      </c>
      <c r="AD76" s="23">
        <f>AD72-AD73</f>
        <v/>
      </c>
      <c r="AE76" s="23">
        <f>AE72-AE73</f>
        <v/>
      </c>
      <c r="AF76" s="23">
        <f>AF72-AF73</f>
        <v/>
      </c>
      <c r="AG76" s="23">
        <f>AG72-AG73</f>
        <v/>
      </c>
      <c r="AH76" s="23">
        <f>AH72-AH73</f>
        <v/>
      </c>
      <c r="AI76" s="23">
        <f>AI72-AI73</f>
        <v/>
      </c>
      <c r="AJ76" s="23">
        <f>AJ72-AJ73</f>
        <v/>
      </c>
      <c r="AK76" s="23">
        <f>AK72-AK73</f>
        <v/>
      </c>
      <c r="AL76" s="23">
        <f>AL72-AL73</f>
        <v/>
      </c>
      <c r="AM76" s="23">
        <f>AM72-AM73</f>
        <v/>
      </c>
      <c r="AN76" s="23">
        <f>AN72-AN73</f>
        <v/>
      </c>
      <c r="AO76" s="23">
        <f>AO72-AO73</f>
        <v/>
      </c>
      <c r="AP76" s="23">
        <f>AP72-AP73</f>
        <v/>
      </c>
      <c r="AQ76" s="23">
        <f>AQ72-AQ73</f>
        <v/>
      </c>
      <c r="AR76" s="23">
        <f>AR72-AR73</f>
        <v/>
      </c>
      <c r="AS76" s="23">
        <f>AS72-AS73</f>
        <v/>
      </c>
      <c r="AT76" s="23">
        <f>AT72-AT73</f>
        <v/>
      </c>
      <c r="AU76" s="23">
        <f>AU72-AU73</f>
        <v/>
      </c>
      <c r="AV76" s="23">
        <f>AV72-AV73</f>
        <v/>
      </c>
      <c r="AW76" s="23">
        <f>AW72-AW73</f>
        <v/>
      </c>
      <c r="AX76" s="23">
        <f>AX72-AX73</f>
        <v/>
      </c>
      <c r="AY76" s="23">
        <f>AY72-AY73</f>
        <v/>
      </c>
      <c r="AZ76" s="23">
        <f>AZ72-AZ73</f>
        <v/>
      </c>
      <c r="BA76" s="23">
        <f>BA72-BA73</f>
        <v/>
      </c>
      <c r="BB76" s="23">
        <f>BB72-BB73</f>
        <v/>
      </c>
    </row>
    <row r="77">
      <c r="A77" s="3" t="inlineStr">
        <is>
          <t>ROOM OCCUPANCY</t>
        </is>
      </c>
      <c r="B77" s="4" t="inlineStr">
        <is>
          <t>m3</t>
        </is>
      </c>
      <c r="C77" s="27">
        <f>(C70+C69)*$E$17</f>
        <v/>
      </c>
      <c r="D77" s="27">
        <f>(D70+D69)*$E$17</f>
        <v/>
      </c>
      <c r="E77" s="27">
        <f>(E70+E69)*$E$17</f>
        <v/>
      </c>
      <c r="F77" s="27">
        <f>(F70+F69)*$E$17</f>
        <v/>
      </c>
      <c r="G77" s="27">
        <f>(G70+G69)*$E$17</f>
        <v/>
      </c>
      <c r="H77" s="27">
        <f>(H70+H69)*$E$17</f>
        <v/>
      </c>
      <c r="I77" s="27">
        <f>(I70+I69)*$E$17</f>
        <v/>
      </c>
      <c r="J77" s="27">
        <f>(J70+J69)*$E$17</f>
        <v/>
      </c>
      <c r="K77" s="27">
        <f>(K70+K69)*$E$17</f>
        <v/>
      </c>
      <c r="L77" s="27">
        <f>(L70+L69)*$E$17</f>
        <v/>
      </c>
      <c r="M77" s="27">
        <f>(M70+M69)*$E$17</f>
        <v/>
      </c>
      <c r="N77" s="27">
        <f>(N70+N69)*$E$17</f>
        <v/>
      </c>
      <c r="O77" s="27">
        <f>(O70+O69)*$E$17</f>
        <v/>
      </c>
      <c r="P77" s="27">
        <f>(P70+P69)*$E$17</f>
        <v/>
      </c>
      <c r="Q77" s="27">
        <f>(Q70+Q69)*$E$17</f>
        <v/>
      </c>
      <c r="R77" s="27">
        <f>(R70+R69)*$E$17</f>
        <v/>
      </c>
      <c r="S77" s="27">
        <f>(S70+S69)*$E$17</f>
        <v/>
      </c>
      <c r="T77" s="27">
        <f>(T70+T69)*$E$17</f>
        <v/>
      </c>
      <c r="U77" s="27">
        <f>(U70+U69)*$E$17</f>
        <v/>
      </c>
      <c r="V77" s="27">
        <f>(V70+V69)*$E$17</f>
        <v/>
      </c>
      <c r="W77" s="27">
        <f>(W70+W69)*$E$17</f>
        <v/>
      </c>
      <c r="X77" s="27">
        <f>(X70+X69)*$E$17</f>
        <v/>
      </c>
      <c r="Y77" s="27">
        <f>(Y70+Y69)*$E$17</f>
        <v/>
      </c>
      <c r="Z77" s="27">
        <f>(Z70+Z69)*$E$17</f>
        <v/>
      </c>
      <c r="AA77" s="27">
        <f>(AA70+AA69)*$E$17</f>
        <v/>
      </c>
      <c r="AB77" s="27">
        <f>(AB70+AB69)*$E$17</f>
        <v/>
      </c>
      <c r="AC77" s="27">
        <f>(AC70+AC69)*$E$17</f>
        <v/>
      </c>
      <c r="AD77" s="27">
        <f>(AD70+AD69)*$E$17</f>
        <v/>
      </c>
      <c r="AE77" s="27">
        <f>(AE70+AE69)*$E$17</f>
        <v/>
      </c>
      <c r="AF77" s="27">
        <f>(AF70+AF69)*$E$17</f>
        <v/>
      </c>
      <c r="AG77" s="27">
        <f>(AG70+AG69)*$E$17</f>
        <v/>
      </c>
      <c r="AH77" s="27">
        <f>(AH70+AH69)*$E$17</f>
        <v/>
      </c>
      <c r="AI77" s="27">
        <f>(AI70+AI69)*$E$17</f>
        <v/>
      </c>
      <c r="AJ77" s="27">
        <f>(AJ70+AJ69)*$E$17</f>
        <v/>
      </c>
      <c r="AK77" s="27">
        <f>(AK70+AK69)*$E$17</f>
        <v/>
      </c>
      <c r="AL77" s="27">
        <f>(AL70+AL69)*$E$17</f>
        <v/>
      </c>
      <c r="AM77" s="27">
        <f>(AM70+AM69)*$E$17</f>
        <v/>
      </c>
      <c r="AN77" s="27">
        <f>(AN70+AN69)*$E$17</f>
        <v/>
      </c>
      <c r="AO77" s="27">
        <f>(AO70+AO69)*$E$17</f>
        <v/>
      </c>
      <c r="AP77" s="27">
        <f>(AP70+AP69)*$E$17</f>
        <v/>
      </c>
      <c r="AQ77" s="27">
        <f>(AQ70+AQ69)*$E$17</f>
        <v/>
      </c>
      <c r="AR77" s="27">
        <f>(AR70+AR69)*$E$17</f>
        <v/>
      </c>
      <c r="AS77" s="27">
        <f>(AS70+AS69)*$E$17</f>
        <v/>
      </c>
      <c r="AT77" s="27">
        <f>(AT70+AT69)*$E$17</f>
        <v/>
      </c>
      <c r="AU77" s="27">
        <f>(AU70+AU69)*$E$17</f>
        <v/>
      </c>
      <c r="AV77" s="27">
        <f>(AV70+AV69)*$E$17</f>
        <v/>
      </c>
      <c r="AW77" s="27">
        <f>(AW70+AW69)*$E$17</f>
        <v/>
      </c>
      <c r="AX77" s="27">
        <f>(AX70+AX69)*$E$17</f>
        <v/>
      </c>
      <c r="AY77" s="27">
        <f>(AY70+AY69)*$E$17</f>
        <v/>
      </c>
      <c r="AZ77" s="27">
        <f>(AZ70+AZ69)*$E$17</f>
        <v/>
      </c>
      <c r="BA77" s="27">
        <f>(BA70+BA69)*$E$17</f>
        <v/>
      </c>
      <c r="BB77" s="27">
        <f>(BB70+BB69)*$E$17</f>
        <v/>
      </c>
    </row>
    <row r="78">
      <c r="A78" s="4" t="inlineStr">
        <is>
          <t xml:space="preserve">   = carried in + everything PACKED OUT this week, before any of it ships.</t>
        </is>
      </c>
    </row>
    <row r="79">
      <c r="A79" s="4" t="inlineStr">
        <is>
          <t xml:space="preserve">   Market loss is already counted here — it was in the room before it left.</t>
        </is>
      </c>
    </row>
    <row r="80">
      <c r="A80" s="21" t="inlineStr">
        <is>
          <t>Over shelf life?</t>
        </is>
      </c>
      <c r="B80" s="4" t="inlineStr">
        <is>
          <t>lb</t>
        </is>
      </c>
      <c r="C80" s="23">
        <f>MAX(0,C76-SUMIFS($C$69:$BB$69,$C$26:$BB$26,"&gt;="&amp;C$26-$G$17+2,$C$26:$BB$26,"&lt;="&amp;C$26))</f>
        <v/>
      </c>
      <c r="D80" s="23">
        <f>MAX(0,D76-SUMIFS($C$69:$BB$69,$C$26:$BB$26,"&gt;="&amp;D$26-$G$17+2,$C$26:$BB$26,"&lt;="&amp;D$26))</f>
        <v/>
      </c>
      <c r="E80" s="23">
        <f>MAX(0,E76-SUMIFS($C$69:$BB$69,$C$26:$BB$26,"&gt;="&amp;E$26-$G$17+2,$C$26:$BB$26,"&lt;="&amp;E$26))</f>
        <v/>
      </c>
      <c r="F80" s="23">
        <f>MAX(0,F76-SUMIFS($C$69:$BB$69,$C$26:$BB$26,"&gt;="&amp;F$26-$G$17+2,$C$26:$BB$26,"&lt;="&amp;F$26))</f>
        <v/>
      </c>
      <c r="G80" s="23">
        <f>MAX(0,G76-SUMIFS($C$69:$BB$69,$C$26:$BB$26,"&gt;="&amp;G$26-$G$17+2,$C$26:$BB$26,"&lt;="&amp;G$26))</f>
        <v/>
      </c>
      <c r="H80" s="23">
        <f>MAX(0,H76-SUMIFS($C$69:$BB$69,$C$26:$BB$26,"&gt;="&amp;H$26-$G$17+2,$C$26:$BB$26,"&lt;="&amp;H$26))</f>
        <v/>
      </c>
      <c r="I80" s="23">
        <f>MAX(0,I76-SUMIFS($C$69:$BB$69,$C$26:$BB$26,"&gt;="&amp;I$26-$G$17+2,$C$26:$BB$26,"&lt;="&amp;I$26))</f>
        <v/>
      </c>
      <c r="J80" s="23">
        <f>MAX(0,J76-SUMIFS($C$69:$BB$69,$C$26:$BB$26,"&gt;="&amp;J$26-$G$17+2,$C$26:$BB$26,"&lt;="&amp;J$26))</f>
        <v/>
      </c>
      <c r="K80" s="23">
        <f>MAX(0,K76-SUMIFS($C$69:$BB$69,$C$26:$BB$26,"&gt;="&amp;K$26-$G$17+2,$C$26:$BB$26,"&lt;="&amp;K$26))</f>
        <v/>
      </c>
      <c r="L80" s="23">
        <f>MAX(0,L76-SUMIFS($C$69:$BB$69,$C$26:$BB$26,"&gt;="&amp;L$26-$G$17+2,$C$26:$BB$26,"&lt;="&amp;L$26))</f>
        <v/>
      </c>
      <c r="M80" s="23">
        <f>MAX(0,M76-SUMIFS($C$69:$BB$69,$C$26:$BB$26,"&gt;="&amp;M$26-$G$17+2,$C$26:$BB$26,"&lt;="&amp;M$26))</f>
        <v/>
      </c>
      <c r="N80" s="23">
        <f>MAX(0,N76-SUMIFS($C$69:$BB$69,$C$26:$BB$26,"&gt;="&amp;N$26-$G$17+2,$C$26:$BB$26,"&lt;="&amp;N$26))</f>
        <v/>
      </c>
      <c r="O80" s="23">
        <f>MAX(0,O76-SUMIFS($C$69:$BB$69,$C$26:$BB$26,"&gt;="&amp;O$26-$G$17+2,$C$26:$BB$26,"&lt;="&amp;O$26))</f>
        <v/>
      </c>
      <c r="P80" s="23">
        <f>MAX(0,P76-SUMIFS($C$69:$BB$69,$C$26:$BB$26,"&gt;="&amp;P$26-$G$17+2,$C$26:$BB$26,"&lt;="&amp;P$26))</f>
        <v/>
      </c>
      <c r="Q80" s="23">
        <f>MAX(0,Q76-SUMIFS($C$69:$BB$69,$C$26:$BB$26,"&gt;="&amp;Q$26-$G$17+2,$C$26:$BB$26,"&lt;="&amp;Q$26))</f>
        <v/>
      </c>
      <c r="R80" s="23">
        <f>MAX(0,R76-SUMIFS($C$69:$BB$69,$C$26:$BB$26,"&gt;="&amp;R$26-$G$17+2,$C$26:$BB$26,"&lt;="&amp;R$26))</f>
        <v/>
      </c>
      <c r="S80" s="23">
        <f>MAX(0,S76-SUMIFS($C$69:$BB$69,$C$26:$BB$26,"&gt;="&amp;S$26-$G$17+2,$C$26:$BB$26,"&lt;="&amp;S$26))</f>
        <v/>
      </c>
      <c r="T80" s="23">
        <f>MAX(0,T76-SUMIFS($C$69:$BB$69,$C$26:$BB$26,"&gt;="&amp;T$26-$G$17+2,$C$26:$BB$26,"&lt;="&amp;T$26))</f>
        <v/>
      </c>
      <c r="U80" s="23">
        <f>MAX(0,U76-SUMIFS($C$69:$BB$69,$C$26:$BB$26,"&gt;="&amp;U$26-$G$17+2,$C$26:$BB$26,"&lt;="&amp;U$26))</f>
        <v/>
      </c>
      <c r="V80" s="23">
        <f>MAX(0,V76-SUMIFS($C$69:$BB$69,$C$26:$BB$26,"&gt;="&amp;V$26-$G$17+2,$C$26:$BB$26,"&lt;="&amp;V$26))</f>
        <v/>
      </c>
      <c r="W80" s="23">
        <f>MAX(0,W76-SUMIFS($C$69:$BB$69,$C$26:$BB$26,"&gt;="&amp;W$26-$G$17+2,$C$26:$BB$26,"&lt;="&amp;W$26))</f>
        <v/>
      </c>
      <c r="X80" s="23">
        <f>MAX(0,X76-SUMIFS($C$69:$BB$69,$C$26:$BB$26,"&gt;="&amp;X$26-$G$17+2,$C$26:$BB$26,"&lt;="&amp;X$26))</f>
        <v/>
      </c>
      <c r="Y80" s="23">
        <f>MAX(0,Y76-SUMIFS($C$69:$BB$69,$C$26:$BB$26,"&gt;="&amp;Y$26-$G$17+2,$C$26:$BB$26,"&lt;="&amp;Y$26))</f>
        <v/>
      </c>
      <c r="Z80" s="23">
        <f>MAX(0,Z76-SUMIFS($C$69:$BB$69,$C$26:$BB$26,"&gt;="&amp;Z$26-$G$17+2,$C$26:$BB$26,"&lt;="&amp;Z$26))</f>
        <v/>
      </c>
      <c r="AA80" s="23">
        <f>MAX(0,AA76-SUMIFS($C$69:$BB$69,$C$26:$BB$26,"&gt;="&amp;AA$26-$G$17+2,$C$26:$BB$26,"&lt;="&amp;AA$26))</f>
        <v/>
      </c>
      <c r="AB80" s="23">
        <f>MAX(0,AB76-SUMIFS($C$69:$BB$69,$C$26:$BB$26,"&gt;="&amp;AB$26-$G$17+2,$C$26:$BB$26,"&lt;="&amp;AB$26))</f>
        <v/>
      </c>
      <c r="AC80" s="23">
        <f>MAX(0,AC76-SUMIFS($C$69:$BB$69,$C$26:$BB$26,"&gt;="&amp;AC$26-$G$17+2,$C$26:$BB$26,"&lt;="&amp;AC$26))</f>
        <v/>
      </c>
      <c r="AD80" s="23">
        <f>MAX(0,AD76-SUMIFS($C$69:$BB$69,$C$26:$BB$26,"&gt;="&amp;AD$26-$G$17+2,$C$26:$BB$26,"&lt;="&amp;AD$26))</f>
        <v/>
      </c>
      <c r="AE80" s="23">
        <f>MAX(0,AE76-SUMIFS($C$69:$BB$69,$C$26:$BB$26,"&gt;="&amp;AE$26-$G$17+2,$C$26:$BB$26,"&lt;="&amp;AE$26))</f>
        <v/>
      </c>
      <c r="AF80" s="23">
        <f>MAX(0,AF76-SUMIFS($C$69:$BB$69,$C$26:$BB$26,"&gt;="&amp;AF$26-$G$17+2,$C$26:$BB$26,"&lt;="&amp;AF$26))</f>
        <v/>
      </c>
      <c r="AG80" s="23">
        <f>MAX(0,AG76-SUMIFS($C$69:$BB$69,$C$26:$BB$26,"&gt;="&amp;AG$26-$G$17+2,$C$26:$BB$26,"&lt;="&amp;AG$26))</f>
        <v/>
      </c>
      <c r="AH80" s="23">
        <f>MAX(0,AH76-SUMIFS($C$69:$BB$69,$C$26:$BB$26,"&gt;="&amp;AH$26-$G$17+2,$C$26:$BB$26,"&lt;="&amp;AH$26))</f>
        <v/>
      </c>
      <c r="AI80" s="23">
        <f>MAX(0,AI76-SUMIFS($C$69:$BB$69,$C$26:$BB$26,"&gt;="&amp;AI$26-$G$17+2,$C$26:$BB$26,"&lt;="&amp;AI$26))</f>
        <v/>
      </c>
      <c r="AJ80" s="23">
        <f>MAX(0,AJ76-SUMIFS($C$69:$BB$69,$C$26:$BB$26,"&gt;="&amp;AJ$26-$G$17+2,$C$26:$BB$26,"&lt;="&amp;AJ$26))</f>
        <v/>
      </c>
      <c r="AK80" s="23">
        <f>MAX(0,AK76-SUMIFS($C$69:$BB$69,$C$26:$BB$26,"&gt;="&amp;AK$26-$G$17+2,$C$26:$BB$26,"&lt;="&amp;AK$26))</f>
        <v/>
      </c>
      <c r="AL80" s="23">
        <f>MAX(0,AL76-SUMIFS($C$69:$BB$69,$C$26:$BB$26,"&gt;="&amp;AL$26-$G$17+2,$C$26:$BB$26,"&lt;="&amp;AL$26))</f>
        <v/>
      </c>
      <c r="AM80" s="23">
        <f>MAX(0,AM76-SUMIFS($C$69:$BB$69,$C$26:$BB$26,"&gt;="&amp;AM$26-$G$17+2,$C$26:$BB$26,"&lt;="&amp;AM$26))</f>
        <v/>
      </c>
      <c r="AN80" s="23">
        <f>MAX(0,AN76-SUMIFS($C$69:$BB$69,$C$26:$BB$26,"&gt;="&amp;AN$26-$G$17+2,$C$26:$BB$26,"&lt;="&amp;AN$26))</f>
        <v/>
      </c>
      <c r="AO80" s="23">
        <f>MAX(0,AO76-SUMIFS($C$69:$BB$69,$C$26:$BB$26,"&gt;="&amp;AO$26-$G$17+2,$C$26:$BB$26,"&lt;="&amp;AO$26))</f>
        <v/>
      </c>
      <c r="AP80" s="23">
        <f>MAX(0,AP76-SUMIFS($C$69:$BB$69,$C$26:$BB$26,"&gt;="&amp;AP$26-$G$17+2,$C$26:$BB$26,"&lt;="&amp;AP$26))</f>
        <v/>
      </c>
      <c r="AQ80" s="23">
        <f>MAX(0,AQ76-SUMIFS($C$69:$BB$69,$C$26:$BB$26,"&gt;="&amp;AQ$26-$G$17+2,$C$26:$BB$26,"&lt;="&amp;AQ$26))</f>
        <v/>
      </c>
      <c r="AR80" s="23">
        <f>MAX(0,AR76-SUMIFS($C$69:$BB$69,$C$26:$BB$26,"&gt;="&amp;AR$26-$G$17+2,$C$26:$BB$26,"&lt;="&amp;AR$26))</f>
        <v/>
      </c>
      <c r="AS80" s="23">
        <f>MAX(0,AS76-SUMIFS($C$69:$BB$69,$C$26:$BB$26,"&gt;="&amp;AS$26-$G$17+2,$C$26:$BB$26,"&lt;="&amp;AS$26))</f>
        <v/>
      </c>
      <c r="AT80" s="23">
        <f>MAX(0,AT76-SUMIFS($C$69:$BB$69,$C$26:$BB$26,"&gt;="&amp;AT$26-$G$17+2,$C$26:$BB$26,"&lt;="&amp;AT$26))</f>
        <v/>
      </c>
      <c r="AU80" s="23">
        <f>MAX(0,AU76-SUMIFS($C$69:$BB$69,$C$26:$BB$26,"&gt;="&amp;AU$26-$G$17+2,$C$26:$BB$26,"&lt;="&amp;AU$26))</f>
        <v/>
      </c>
      <c r="AV80" s="23">
        <f>MAX(0,AV76-SUMIFS($C$69:$BB$69,$C$26:$BB$26,"&gt;="&amp;AV$26-$G$17+2,$C$26:$BB$26,"&lt;="&amp;AV$26))</f>
        <v/>
      </c>
      <c r="AW80" s="23">
        <f>MAX(0,AW76-SUMIFS($C$69:$BB$69,$C$26:$BB$26,"&gt;="&amp;AW$26-$G$17+2,$C$26:$BB$26,"&lt;="&amp;AW$26))</f>
        <v/>
      </c>
      <c r="AX80" s="23">
        <f>MAX(0,AX76-SUMIFS($C$69:$BB$69,$C$26:$BB$26,"&gt;="&amp;AX$26-$G$17+2,$C$26:$BB$26,"&lt;="&amp;AX$26))</f>
        <v/>
      </c>
      <c r="AY80" s="23">
        <f>MAX(0,AY76-SUMIFS($C$69:$BB$69,$C$26:$BB$26,"&gt;="&amp;AY$26-$G$17+2,$C$26:$BB$26,"&lt;="&amp;AY$26))</f>
        <v/>
      </c>
      <c r="AZ80" s="23">
        <f>MAX(0,AZ76-SUMIFS($C$69:$BB$69,$C$26:$BB$26,"&gt;="&amp;AZ$26-$G$17+2,$C$26:$BB$26,"&lt;="&amp;AZ$26))</f>
        <v/>
      </c>
      <c r="BA80" s="23">
        <f>MAX(0,BA76-SUMIFS($C$69:$BB$69,$C$26:$BB$26,"&gt;="&amp;BA$26-$G$17+2,$C$26:$BB$26,"&lt;="&amp;BA$26))</f>
        <v/>
      </c>
      <c r="BB80" s="23">
        <f>MAX(0,BB76-SUMIFS($C$69:$BB$69,$C$26:$BB$26,"&gt;="&amp;BB$26-$G$17+2,$C$26:$BB$26,"&lt;="&amp;BB$26))</f>
        <v/>
      </c>
    </row>
    <row r="81">
      <c r="A81" s="4" t="inlineStr">
        <is>
          <t xml:space="preserve">   stock older than its shelf life — a WARNING here, a hard constraint in the app</t>
        </is>
      </c>
    </row>
    <row r="83">
      <c r="A83" s="2" t="inlineStr">
        <is>
          <t>GARLIC  —  ambient store</t>
        </is>
      </c>
      <c r="B83" s="28" t="inlineStr"/>
    </row>
    <row r="84">
      <c r="A84" s="18" t="inlineStr">
        <is>
          <t>Week</t>
        </is>
      </c>
      <c r="B84" s="19" t="inlineStr"/>
      <c r="C84" s="20" t="n">
        <v>1</v>
      </c>
      <c r="D84" s="20" t="n">
        <v>2</v>
      </c>
      <c r="E84" s="20" t="n">
        <v>3</v>
      </c>
      <c r="F84" s="20" t="n">
        <v>4</v>
      </c>
      <c r="G84" s="20" t="n">
        <v>5</v>
      </c>
      <c r="H84" s="20" t="n">
        <v>6</v>
      </c>
      <c r="I84" s="20" t="n">
        <v>7</v>
      </c>
      <c r="J84" s="20" t="n">
        <v>8</v>
      </c>
      <c r="K84" s="20" t="n">
        <v>9</v>
      </c>
      <c r="L84" s="20" t="n">
        <v>10</v>
      </c>
      <c r="M84" s="20" t="n">
        <v>11</v>
      </c>
      <c r="N84" s="20" t="n">
        <v>12</v>
      </c>
      <c r="O84" s="20" t="n">
        <v>13</v>
      </c>
      <c r="P84" s="20" t="n">
        <v>14</v>
      </c>
      <c r="Q84" s="20" t="n">
        <v>15</v>
      </c>
      <c r="R84" s="20" t="n">
        <v>16</v>
      </c>
      <c r="S84" s="20" t="n">
        <v>17</v>
      </c>
      <c r="T84" s="20" t="n">
        <v>18</v>
      </c>
      <c r="U84" s="20" t="n">
        <v>19</v>
      </c>
      <c r="V84" s="20" t="n">
        <v>20</v>
      </c>
      <c r="W84" s="20" t="n">
        <v>21</v>
      </c>
      <c r="X84" s="20" t="n">
        <v>22</v>
      </c>
      <c r="Y84" s="20" t="n">
        <v>23</v>
      </c>
      <c r="Z84" s="20" t="n">
        <v>24</v>
      </c>
      <c r="AA84" s="20" t="n">
        <v>25</v>
      </c>
      <c r="AB84" s="20" t="n">
        <v>26</v>
      </c>
      <c r="AC84" s="20" t="n">
        <v>27</v>
      </c>
      <c r="AD84" s="20" t="n">
        <v>28</v>
      </c>
      <c r="AE84" s="20" t="n">
        <v>29</v>
      </c>
      <c r="AF84" s="20" t="n">
        <v>30</v>
      </c>
      <c r="AG84" s="20" t="n">
        <v>31</v>
      </c>
      <c r="AH84" s="20" t="n">
        <v>32</v>
      </c>
      <c r="AI84" s="20" t="n">
        <v>33</v>
      </c>
      <c r="AJ84" s="20" t="n">
        <v>34</v>
      </c>
      <c r="AK84" s="20" t="n">
        <v>35</v>
      </c>
      <c r="AL84" s="20" t="n">
        <v>36</v>
      </c>
      <c r="AM84" s="20" t="n">
        <v>37</v>
      </c>
      <c r="AN84" s="20" t="n">
        <v>38</v>
      </c>
      <c r="AO84" s="20" t="n">
        <v>39</v>
      </c>
      <c r="AP84" s="20" t="n">
        <v>40</v>
      </c>
      <c r="AQ84" s="20" t="n">
        <v>41</v>
      </c>
      <c r="AR84" s="20" t="n">
        <v>42</v>
      </c>
      <c r="AS84" s="20" t="n">
        <v>43</v>
      </c>
      <c r="AT84" s="20" t="n">
        <v>44</v>
      </c>
      <c r="AU84" s="20" t="n">
        <v>45</v>
      </c>
      <c r="AV84" s="20" t="n">
        <v>46</v>
      </c>
      <c r="AW84" s="20" t="n">
        <v>47</v>
      </c>
      <c r="AX84" s="20" t="n">
        <v>48</v>
      </c>
      <c r="AY84" s="20" t="n">
        <v>49</v>
      </c>
      <c r="AZ84" s="20" t="n">
        <v>50</v>
      </c>
      <c r="BA84" s="20" t="n">
        <v>51</v>
      </c>
      <c r="BB84" s="20" t="n">
        <v>52</v>
      </c>
    </row>
    <row r="85">
      <c r="A85" s="21" t="inlineStr">
        <is>
          <t>Harvested (gross)</t>
        </is>
      </c>
      <c r="B85" s="4" t="inlineStr">
        <is>
          <t>lb</t>
        </is>
      </c>
      <c r="C85" s="23">
        <f>C37</f>
        <v/>
      </c>
      <c r="D85" s="23">
        <f>D37</f>
        <v/>
      </c>
      <c r="E85" s="23">
        <f>E37</f>
        <v/>
      </c>
      <c r="F85" s="23">
        <f>F37</f>
        <v/>
      </c>
      <c r="G85" s="23">
        <f>G37</f>
        <v/>
      </c>
      <c r="H85" s="23">
        <f>H37</f>
        <v/>
      </c>
      <c r="I85" s="23">
        <f>I37</f>
        <v/>
      </c>
      <c r="J85" s="23">
        <f>J37</f>
        <v/>
      </c>
      <c r="K85" s="23">
        <f>K37</f>
        <v/>
      </c>
      <c r="L85" s="23">
        <f>L37</f>
        <v/>
      </c>
      <c r="M85" s="23">
        <f>M37</f>
        <v/>
      </c>
      <c r="N85" s="23">
        <f>N37</f>
        <v/>
      </c>
      <c r="O85" s="23">
        <f>O37</f>
        <v/>
      </c>
      <c r="P85" s="23">
        <f>P37</f>
        <v/>
      </c>
      <c r="Q85" s="23">
        <f>Q37</f>
        <v/>
      </c>
      <c r="R85" s="23">
        <f>R37</f>
        <v/>
      </c>
      <c r="S85" s="23">
        <f>S37</f>
        <v/>
      </c>
      <c r="T85" s="23">
        <f>T37</f>
        <v/>
      </c>
      <c r="U85" s="23">
        <f>U37</f>
        <v/>
      </c>
      <c r="V85" s="23">
        <f>V37</f>
        <v/>
      </c>
      <c r="W85" s="23">
        <f>W37</f>
        <v/>
      </c>
      <c r="X85" s="23">
        <f>X37</f>
        <v/>
      </c>
      <c r="Y85" s="23">
        <f>Y37</f>
        <v/>
      </c>
      <c r="Z85" s="23">
        <f>Z37</f>
        <v/>
      </c>
      <c r="AA85" s="23">
        <f>AA37</f>
        <v/>
      </c>
      <c r="AB85" s="23">
        <f>AB37</f>
        <v/>
      </c>
      <c r="AC85" s="23">
        <f>AC37</f>
        <v/>
      </c>
      <c r="AD85" s="23">
        <f>AD37</f>
        <v/>
      </c>
      <c r="AE85" s="23">
        <f>AE37</f>
        <v/>
      </c>
      <c r="AF85" s="23">
        <f>AF37</f>
        <v/>
      </c>
      <c r="AG85" s="23">
        <f>AG37</f>
        <v/>
      </c>
      <c r="AH85" s="23">
        <f>AH37</f>
        <v/>
      </c>
      <c r="AI85" s="23">
        <f>AI37</f>
        <v/>
      </c>
      <c r="AJ85" s="23">
        <f>AJ37</f>
        <v/>
      </c>
      <c r="AK85" s="23">
        <f>AK37</f>
        <v/>
      </c>
      <c r="AL85" s="23">
        <f>AL37</f>
        <v/>
      </c>
      <c r="AM85" s="23">
        <f>AM37</f>
        <v/>
      </c>
      <c r="AN85" s="23">
        <f>AN37</f>
        <v/>
      </c>
      <c r="AO85" s="23">
        <f>AO37</f>
        <v/>
      </c>
      <c r="AP85" s="23">
        <f>AP37</f>
        <v/>
      </c>
      <c r="AQ85" s="23">
        <f>AQ37</f>
        <v/>
      </c>
      <c r="AR85" s="23">
        <f>AR37</f>
        <v/>
      </c>
      <c r="AS85" s="23">
        <f>AS37</f>
        <v/>
      </c>
      <c r="AT85" s="23">
        <f>AT37</f>
        <v/>
      </c>
      <c r="AU85" s="23">
        <f>AU37</f>
        <v/>
      </c>
      <c r="AV85" s="23">
        <f>AV37</f>
        <v/>
      </c>
      <c r="AW85" s="23">
        <f>AW37</f>
        <v/>
      </c>
      <c r="AX85" s="23">
        <f>AX37</f>
        <v/>
      </c>
      <c r="AY85" s="23">
        <f>AY37</f>
        <v/>
      </c>
      <c r="AZ85" s="23">
        <f>AZ37</f>
        <v/>
      </c>
      <c r="BA85" s="23">
        <f>BA37</f>
        <v/>
      </c>
      <c r="BB85" s="23">
        <f>BB37</f>
        <v/>
      </c>
    </row>
    <row r="86">
      <c r="A86" s="21" t="inlineStr">
        <is>
          <t xml:space="preserve">   field cull (never cooled)</t>
        </is>
      </c>
      <c r="B86" s="4" t="inlineStr">
        <is>
          <t>lb</t>
        </is>
      </c>
      <c r="C86" s="23">
        <f>C85*(1-$C$18)</f>
        <v/>
      </c>
      <c r="D86" s="23">
        <f>D85*(1-$C$18)</f>
        <v/>
      </c>
      <c r="E86" s="23">
        <f>E85*(1-$C$18)</f>
        <v/>
      </c>
      <c r="F86" s="23">
        <f>F85*(1-$C$18)</f>
        <v/>
      </c>
      <c r="G86" s="23">
        <f>G85*(1-$C$18)</f>
        <v/>
      </c>
      <c r="H86" s="23">
        <f>H85*(1-$C$18)</f>
        <v/>
      </c>
      <c r="I86" s="23">
        <f>I85*(1-$C$18)</f>
        <v/>
      </c>
      <c r="J86" s="23">
        <f>J85*(1-$C$18)</f>
        <v/>
      </c>
      <c r="K86" s="23">
        <f>K85*(1-$C$18)</f>
        <v/>
      </c>
      <c r="L86" s="23">
        <f>L85*(1-$C$18)</f>
        <v/>
      </c>
      <c r="M86" s="23">
        <f>M85*(1-$C$18)</f>
        <v/>
      </c>
      <c r="N86" s="23">
        <f>N85*(1-$C$18)</f>
        <v/>
      </c>
      <c r="O86" s="23">
        <f>O85*(1-$C$18)</f>
        <v/>
      </c>
      <c r="P86" s="23">
        <f>P85*(1-$C$18)</f>
        <v/>
      </c>
      <c r="Q86" s="23">
        <f>Q85*(1-$C$18)</f>
        <v/>
      </c>
      <c r="R86" s="23">
        <f>R85*(1-$C$18)</f>
        <v/>
      </c>
      <c r="S86" s="23">
        <f>S85*(1-$C$18)</f>
        <v/>
      </c>
      <c r="T86" s="23">
        <f>T85*(1-$C$18)</f>
        <v/>
      </c>
      <c r="U86" s="23">
        <f>U85*(1-$C$18)</f>
        <v/>
      </c>
      <c r="V86" s="23">
        <f>V85*(1-$C$18)</f>
        <v/>
      </c>
      <c r="W86" s="23">
        <f>W85*(1-$C$18)</f>
        <v/>
      </c>
      <c r="X86" s="23">
        <f>X85*(1-$C$18)</f>
        <v/>
      </c>
      <c r="Y86" s="23">
        <f>Y85*(1-$C$18)</f>
        <v/>
      </c>
      <c r="Z86" s="23">
        <f>Z85*(1-$C$18)</f>
        <v/>
      </c>
      <c r="AA86" s="23">
        <f>AA85*(1-$C$18)</f>
        <v/>
      </c>
      <c r="AB86" s="23">
        <f>AB85*(1-$C$18)</f>
        <v/>
      </c>
      <c r="AC86" s="23">
        <f>AC85*(1-$C$18)</f>
        <v/>
      </c>
      <c r="AD86" s="23">
        <f>AD85*(1-$C$18)</f>
        <v/>
      </c>
      <c r="AE86" s="23">
        <f>AE85*(1-$C$18)</f>
        <v/>
      </c>
      <c r="AF86" s="23">
        <f>AF85*(1-$C$18)</f>
        <v/>
      </c>
      <c r="AG86" s="23">
        <f>AG85*(1-$C$18)</f>
        <v/>
      </c>
      <c r="AH86" s="23">
        <f>AH85*(1-$C$18)</f>
        <v/>
      </c>
      <c r="AI86" s="23">
        <f>AI85*(1-$C$18)</f>
        <v/>
      </c>
      <c r="AJ86" s="23">
        <f>AJ85*(1-$C$18)</f>
        <v/>
      </c>
      <c r="AK86" s="23">
        <f>AK85*(1-$C$18)</f>
        <v/>
      </c>
      <c r="AL86" s="23">
        <f>AL85*(1-$C$18)</f>
        <v/>
      </c>
      <c r="AM86" s="23">
        <f>AM85*(1-$C$18)</f>
        <v/>
      </c>
      <c r="AN86" s="23">
        <f>AN85*(1-$C$18)</f>
        <v/>
      </c>
      <c r="AO86" s="23">
        <f>AO85*(1-$C$18)</f>
        <v/>
      </c>
      <c r="AP86" s="23">
        <f>AP85*(1-$C$18)</f>
        <v/>
      </c>
      <c r="AQ86" s="23">
        <f>AQ85*(1-$C$18)</f>
        <v/>
      </c>
      <c r="AR86" s="23">
        <f>AR85*(1-$C$18)</f>
        <v/>
      </c>
      <c r="AS86" s="23">
        <f>AS85*(1-$C$18)</f>
        <v/>
      </c>
      <c r="AT86" s="23">
        <f>AT85*(1-$C$18)</f>
        <v/>
      </c>
      <c r="AU86" s="23">
        <f>AU85*(1-$C$18)</f>
        <v/>
      </c>
      <c r="AV86" s="23">
        <f>AV85*(1-$C$18)</f>
        <v/>
      </c>
      <c r="AW86" s="23">
        <f>AW85*(1-$C$18)</f>
        <v/>
      </c>
      <c r="AX86" s="23">
        <f>AX85*(1-$C$18)</f>
        <v/>
      </c>
      <c r="AY86" s="23">
        <f>AY85*(1-$C$18)</f>
        <v/>
      </c>
      <c r="AZ86" s="23">
        <f>AZ85*(1-$C$18)</f>
        <v/>
      </c>
      <c r="BA86" s="23">
        <f>BA85*(1-$C$18)</f>
        <v/>
      </c>
      <c r="BB86" s="23">
        <f>BB85*(1-$C$18)</f>
        <v/>
      </c>
    </row>
    <row r="87">
      <c r="A87" s="3" t="inlineStr">
        <is>
          <t>Packed out -&gt; INTO the store</t>
        </is>
      </c>
      <c r="B87" s="4" t="inlineStr">
        <is>
          <t>lb</t>
        </is>
      </c>
      <c r="C87" s="23">
        <f>C85*$C$18</f>
        <v/>
      </c>
      <c r="D87" s="23">
        <f>D85*$C$18</f>
        <v/>
      </c>
      <c r="E87" s="23">
        <f>E85*$C$18</f>
        <v/>
      </c>
      <c r="F87" s="23">
        <f>F85*$C$18</f>
        <v/>
      </c>
      <c r="G87" s="23">
        <f>G85*$C$18</f>
        <v/>
      </c>
      <c r="H87" s="23">
        <f>H85*$C$18</f>
        <v/>
      </c>
      <c r="I87" s="23">
        <f>I85*$C$18</f>
        <v/>
      </c>
      <c r="J87" s="23">
        <f>J85*$C$18</f>
        <v/>
      </c>
      <c r="K87" s="23">
        <f>K85*$C$18</f>
        <v/>
      </c>
      <c r="L87" s="23">
        <f>L85*$C$18</f>
        <v/>
      </c>
      <c r="M87" s="23">
        <f>M85*$C$18</f>
        <v/>
      </c>
      <c r="N87" s="23">
        <f>N85*$C$18</f>
        <v/>
      </c>
      <c r="O87" s="23">
        <f>O85*$C$18</f>
        <v/>
      </c>
      <c r="P87" s="23">
        <f>P85*$C$18</f>
        <v/>
      </c>
      <c r="Q87" s="23">
        <f>Q85*$C$18</f>
        <v/>
      </c>
      <c r="R87" s="23">
        <f>R85*$C$18</f>
        <v/>
      </c>
      <c r="S87" s="23">
        <f>S85*$C$18</f>
        <v/>
      </c>
      <c r="T87" s="23">
        <f>T85*$C$18</f>
        <v/>
      </c>
      <c r="U87" s="23">
        <f>U85*$C$18</f>
        <v/>
      </c>
      <c r="V87" s="23">
        <f>V85*$C$18</f>
        <v/>
      </c>
      <c r="W87" s="23">
        <f>W85*$C$18</f>
        <v/>
      </c>
      <c r="X87" s="23">
        <f>X85*$C$18</f>
        <v/>
      </c>
      <c r="Y87" s="23">
        <f>Y85*$C$18</f>
        <v/>
      </c>
      <c r="Z87" s="23">
        <f>Z85*$C$18</f>
        <v/>
      </c>
      <c r="AA87" s="23">
        <f>AA85*$C$18</f>
        <v/>
      </c>
      <c r="AB87" s="23">
        <f>AB85*$C$18</f>
        <v/>
      </c>
      <c r="AC87" s="23">
        <f>AC85*$C$18</f>
        <v/>
      </c>
      <c r="AD87" s="23">
        <f>AD85*$C$18</f>
        <v/>
      </c>
      <c r="AE87" s="23">
        <f>AE85*$C$18</f>
        <v/>
      </c>
      <c r="AF87" s="23">
        <f>AF85*$C$18</f>
        <v/>
      </c>
      <c r="AG87" s="23">
        <f>AG85*$C$18</f>
        <v/>
      </c>
      <c r="AH87" s="23">
        <f>AH85*$C$18</f>
        <v/>
      </c>
      <c r="AI87" s="23">
        <f>AI85*$C$18</f>
        <v/>
      </c>
      <c r="AJ87" s="23">
        <f>AJ85*$C$18</f>
        <v/>
      </c>
      <c r="AK87" s="23">
        <f>AK85*$C$18</f>
        <v/>
      </c>
      <c r="AL87" s="23">
        <f>AL85*$C$18</f>
        <v/>
      </c>
      <c r="AM87" s="23">
        <f>AM85*$C$18</f>
        <v/>
      </c>
      <c r="AN87" s="23">
        <f>AN85*$C$18</f>
        <v/>
      </c>
      <c r="AO87" s="23">
        <f>AO85*$C$18</f>
        <v/>
      </c>
      <c r="AP87" s="23">
        <f>AP85*$C$18</f>
        <v/>
      </c>
      <c r="AQ87" s="23">
        <f>AQ85*$C$18</f>
        <v/>
      </c>
      <c r="AR87" s="23">
        <f>AR85*$C$18</f>
        <v/>
      </c>
      <c r="AS87" s="23">
        <f>AS85*$C$18</f>
        <v/>
      </c>
      <c r="AT87" s="23">
        <f>AT85*$C$18</f>
        <v/>
      </c>
      <c r="AU87" s="23">
        <f>AU85*$C$18</f>
        <v/>
      </c>
      <c r="AV87" s="23">
        <f>AV85*$C$18</f>
        <v/>
      </c>
      <c r="AW87" s="23">
        <f>AW85*$C$18</f>
        <v/>
      </c>
      <c r="AX87" s="23">
        <f>AX85*$C$18</f>
        <v/>
      </c>
      <c r="AY87" s="23">
        <f>AY85*$C$18</f>
        <v/>
      </c>
      <c r="AZ87" s="23">
        <f>AZ85*$C$18</f>
        <v/>
      </c>
      <c r="BA87" s="23">
        <f>BA85*$C$18</f>
        <v/>
      </c>
      <c r="BB87" s="23">
        <f>BB85*$C$18</f>
        <v/>
      </c>
    </row>
    <row r="88">
      <c r="A88" s="21" t="inlineStr">
        <is>
          <t>Stock carried in</t>
        </is>
      </c>
      <c r="B88" s="4" t="inlineStr">
        <is>
          <t>lb</t>
        </is>
      </c>
      <c r="C88" s="23" t="n">
        <v>0</v>
      </c>
      <c r="D88" s="23">
        <f>C94</f>
        <v/>
      </c>
      <c r="E88" s="23">
        <f>D94</f>
        <v/>
      </c>
      <c r="F88" s="23">
        <f>E94</f>
        <v/>
      </c>
      <c r="G88" s="23">
        <f>F94</f>
        <v/>
      </c>
      <c r="H88" s="23">
        <f>G94</f>
        <v/>
      </c>
      <c r="I88" s="23">
        <f>H94</f>
        <v/>
      </c>
      <c r="J88" s="23">
        <f>I94</f>
        <v/>
      </c>
      <c r="K88" s="23">
        <f>J94</f>
        <v/>
      </c>
      <c r="L88" s="23">
        <f>K94</f>
        <v/>
      </c>
      <c r="M88" s="23">
        <f>L94</f>
        <v/>
      </c>
      <c r="N88" s="23">
        <f>M94</f>
        <v/>
      </c>
      <c r="O88" s="23">
        <f>N94</f>
        <v/>
      </c>
      <c r="P88" s="23">
        <f>O94</f>
        <v/>
      </c>
      <c r="Q88" s="23">
        <f>P94</f>
        <v/>
      </c>
      <c r="R88" s="23">
        <f>Q94</f>
        <v/>
      </c>
      <c r="S88" s="23">
        <f>R94</f>
        <v/>
      </c>
      <c r="T88" s="23">
        <f>S94</f>
        <v/>
      </c>
      <c r="U88" s="23">
        <f>T94</f>
        <v/>
      </c>
      <c r="V88" s="23">
        <f>U94</f>
        <v/>
      </c>
      <c r="W88" s="23">
        <f>V94</f>
        <v/>
      </c>
      <c r="X88" s="23">
        <f>W94</f>
        <v/>
      </c>
      <c r="Y88" s="23">
        <f>X94</f>
        <v/>
      </c>
      <c r="Z88" s="23">
        <f>Y94</f>
        <v/>
      </c>
      <c r="AA88" s="23">
        <f>Z94</f>
        <v/>
      </c>
      <c r="AB88" s="23">
        <f>AA94</f>
        <v/>
      </c>
      <c r="AC88" s="23">
        <f>AB94</f>
        <v/>
      </c>
      <c r="AD88" s="23">
        <f>AC94</f>
        <v/>
      </c>
      <c r="AE88" s="23">
        <f>AD94</f>
        <v/>
      </c>
      <c r="AF88" s="23">
        <f>AE94</f>
        <v/>
      </c>
      <c r="AG88" s="23">
        <f>AF94</f>
        <v/>
      </c>
      <c r="AH88" s="23">
        <f>AG94</f>
        <v/>
      </c>
      <c r="AI88" s="23">
        <f>AH94</f>
        <v/>
      </c>
      <c r="AJ88" s="23">
        <f>AI94</f>
        <v/>
      </c>
      <c r="AK88" s="23">
        <f>AJ94</f>
        <v/>
      </c>
      <c r="AL88" s="23">
        <f>AK94</f>
        <v/>
      </c>
      <c r="AM88" s="23">
        <f>AL94</f>
        <v/>
      </c>
      <c r="AN88" s="23">
        <f>AM94</f>
        <v/>
      </c>
      <c r="AO88" s="23">
        <f>AN94</f>
        <v/>
      </c>
      <c r="AP88" s="23">
        <f>AO94</f>
        <v/>
      </c>
      <c r="AQ88" s="23">
        <f>AP94</f>
        <v/>
      </c>
      <c r="AR88" s="23">
        <f>AQ94</f>
        <v/>
      </c>
      <c r="AS88" s="23">
        <f>AR94</f>
        <v/>
      </c>
      <c r="AT88" s="23">
        <f>AS94</f>
        <v/>
      </c>
      <c r="AU88" s="23">
        <f>AT94</f>
        <v/>
      </c>
      <c r="AV88" s="23">
        <f>AU94</f>
        <v/>
      </c>
      <c r="AW88" s="23">
        <f>AV94</f>
        <v/>
      </c>
      <c r="AX88" s="23">
        <f>AW94</f>
        <v/>
      </c>
      <c r="AY88" s="23">
        <f>AX94</f>
        <v/>
      </c>
      <c r="AZ88" s="23">
        <f>AY94</f>
        <v/>
      </c>
      <c r="BA88" s="23">
        <f>AZ94</f>
        <v/>
      </c>
      <c r="BB88" s="23">
        <f>BA94</f>
        <v/>
      </c>
    </row>
    <row r="89">
      <c r="A89" s="21" t="inlineStr">
        <is>
          <t xml:space="preserve">   lost to shrink</t>
        </is>
      </c>
      <c r="B89" s="4" t="inlineStr">
        <is>
          <t>lb</t>
        </is>
      </c>
      <c r="C89" s="23">
        <f>C88*$H$18</f>
        <v/>
      </c>
      <c r="D89" s="23">
        <f>D88*$H$18</f>
        <v/>
      </c>
      <c r="E89" s="23">
        <f>E88*$H$18</f>
        <v/>
      </c>
      <c r="F89" s="23">
        <f>F88*$H$18</f>
        <v/>
      </c>
      <c r="G89" s="23">
        <f>G88*$H$18</f>
        <v/>
      </c>
      <c r="H89" s="23">
        <f>H88*$H$18</f>
        <v/>
      </c>
      <c r="I89" s="23">
        <f>I88*$H$18</f>
        <v/>
      </c>
      <c r="J89" s="23">
        <f>J88*$H$18</f>
        <v/>
      </c>
      <c r="K89" s="23">
        <f>K88*$H$18</f>
        <v/>
      </c>
      <c r="L89" s="23">
        <f>L88*$H$18</f>
        <v/>
      </c>
      <c r="M89" s="23">
        <f>M88*$H$18</f>
        <v/>
      </c>
      <c r="N89" s="23">
        <f>N88*$H$18</f>
        <v/>
      </c>
      <c r="O89" s="23">
        <f>O88*$H$18</f>
        <v/>
      </c>
      <c r="P89" s="23">
        <f>P88*$H$18</f>
        <v/>
      </c>
      <c r="Q89" s="23">
        <f>Q88*$H$18</f>
        <v/>
      </c>
      <c r="R89" s="23">
        <f>R88*$H$18</f>
        <v/>
      </c>
      <c r="S89" s="23">
        <f>S88*$H$18</f>
        <v/>
      </c>
      <c r="T89" s="23">
        <f>T88*$H$18</f>
        <v/>
      </c>
      <c r="U89" s="23">
        <f>U88*$H$18</f>
        <v/>
      </c>
      <c r="V89" s="23">
        <f>V88*$H$18</f>
        <v/>
      </c>
      <c r="W89" s="23">
        <f>W88*$H$18</f>
        <v/>
      </c>
      <c r="X89" s="23">
        <f>X88*$H$18</f>
        <v/>
      </c>
      <c r="Y89" s="23">
        <f>Y88*$H$18</f>
        <v/>
      </c>
      <c r="Z89" s="23">
        <f>Z88*$H$18</f>
        <v/>
      </c>
      <c r="AA89" s="23">
        <f>AA88*$H$18</f>
        <v/>
      </c>
      <c r="AB89" s="23">
        <f>AB88*$H$18</f>
        <v/>
      </c>
      <c r="AC89" s="23">
        <f>AC88*$H$18</f>
        <v/>
      </c>
      <c r="AD89" s="23">
        <f>AD88*$H$18</f>
        <v/>
      </c>
      <c r="AE89" s="23">
        <f>AE88*$H$18</f>
        <v/>
      </c>
      <c r="AF89" s="23">
        <f>AF88*$H$18</f>
        <v/>
      </c>
      <c r="AG89" s="23">
        <f>AG88*$H$18</f>
        <v/>
      </c>
      <c r="AH89" s="23">
        <f>AH88*$H$18</f>
        <v/>
      </c>
      <c r="AI89" s="23">
        <f>AI88*$H$18</f>
        <v/>
      </c>
      <c r="AJ89" s="23">
        <f>AJ88*$H$18</f>
        <v/>
      </c>
      <c r="AK89" s="23">
        <f>AK88*$H$18</f>
        <v/>
      </c>
      <c r="AL89" s="23">
        <f>AL88*$H$18</f>
        <v/>
      </c>
      <c r="AM89" s="23">
        <f>AM88*$H$18</f>
        <v/>
      </c>
      <c r="AN89" s="23">
        <f>AN88*$H$18</f>
        <v/>
      </c>
      <c r="AO89" s="23">
        <f>AO88*$H$18</f>
        <v/>
      </c>
      <c r="AP89" s="23">
        <f>AP88*$H$18</f>
        <v/>
      </c>
      <c r="AQ89" s="23">
        <f>AQ88*$H$18</f>
        <v/>
      </c>
      <c r="AR89" s="23">
        <f>AR88*$H$18</f>
        <v/>
      </c>
      <c r="AS89" s="23">
        <f>AS88*$H$18</f>
        <v/>
      </c>
      <c r="AT89" s="23">
        <f>AT88*$H$18</f>
        <v/>
      </c>
      <c r="AU89" s="23">
        <f>AU88*$H$18</f>
        <v/>
      </c>
      <c r="AV89" s="23">
        <f>AV88*$H$18</f>
        <v/>
      </c>
      <c r="AW89" s="23">
        <f>AW88*$H$18</f>
        <v/>
      </c>
      <c r="AX89" s="23">
        <f>AX88*$H$18</f>
        <v/>
      </c>
      <c r="AY89" s="23">
        <f>AY88*$H$18</f>
        <v/>
      </c>
      <c r="AZ89" s="23">
        <f>AZ88*$H$18</f>
        <v/>
      </c>
      <c r="BA89" s="23">
        <f>BA88*$H$18</f>
        <v/>
      </c>
      <c r="BB89" s="23">
        <f>BB88*$H$18</f>
        <v/>
      </c>
    </row>
    <row r="90">
      <c r="A90" s="21" t="inlineStr">
        <is>
          <t>In store this week</t>
        </is>
      </c>
      <c r="B90" s="4" t="inlineStr">
        <is>
          <t>lb</t>
        </is>
      </c>
      <c r="C90" s="23">
        <f>C88-C89+C87</f>
        <v/>
      </c>
      <c r="D90" s="23">
        <f>D88-D89+D87</f>
        <v/>
      </c>
      <c r="E90" s="23">
        <f>E88-E89+E87</f>
        <v/>
      </c>
      <c r="F90" s="23">
        <f>F88-F89+F87</f>
        <v/>
      </c>
      <c r="G90" s="23">
        <f>G88-G89+G87</f>
        <v/>
      </c>
      <c r="H90" s="23">
        <f>H88-H89+H87</f>
        <v/>
      </c>
      <c r="I90" s="23">
        <f>I88-I89+I87</f>
        <v/>
      </c>
      <c r="J90" s="23">
        <f>J88-J89+J87</f>
        <v/>
      </c>
      <c r="K90" s="23">
        <f>K88-K89+K87</f>
        <v/>
      </c>
      <c r="L90" s="23">
        <f>L88-L89+L87</f>
        <v/>
      </c>
      <c r="M90" s="23">
        <f>M88-M89+M87</f>
        <v/>
      </c>
      <c r="N90" s="23">
        <f>N88-N89+N87</f>
        <v/>
      </c>
      <c r="O90" s="23">
        <f>O88-O89+O87</f>
        <v/>
      </c>
      <c r="P90" s="23">
        <f>P88-P89+P87</f>
        <v/>
      </c>
      <c r="Q90" s="23">
        <f>Q88-Q89+Q87</f>
        <v/>
      </c>
      <c r="R90" s="23">
        <f>R88-R89+R87</f>
        <v/>
      </c>
      <c r="S90" s="23">
        <f>S88-S89+S87</f>
        <v/>
      </c>
      <c r="T90" s="23">
        <f>T88-T89+T87</f>
        <v/>
      </c>
      <c r="U90" s="23">
        <f>U88-U89+U87</f>
        <v/>
      </c>
      <c r="V90" s="23">
        <f>V88-V89+V87</f>
        <v/>
      </c>
      <c r="W90" s="23">
        <f>W88-W89+W87</f>
        <v/>
      </c>
      <c r="X90" s="23">
        <f>X88-X89+X87</f>
        <v/>
      </c>
      <c r="Y90" s="23">
        <f>Y88-Y89+Y87</f>
        <v/>
      </c>
      <c r="Z90" s="23">
        <f>Z88-Z89+Z87</f>
        <v/>
      </c>
      <c r="AA90" s="23">
        <f>AA88-AA89+AA87</f>
        <v/>
      </c>
      <c r="AB90" s="23">
        <f>AB88-AB89+AB87</f>
        <v/>
      </c>
      <c r="AC90" s="23">
        <f>AC88-AC89+AC87</f>
        <v/>
      </c>
      <c r="AD90" s="23">
        <f>AD88-AD89+AD87</f>
        <v/>
      </c>
      <c r="AE90" s="23">
        <f>AE88-AE89+AE87</f>
        <v/>
      </c>
      <c r="AF90" s="23">
        <f>AF88-AF89+AF87</f>
        <v/>
      </c>
      <c r="AG90" s="23">
        <f>AG88-AG89+AG87</f>
        <v/>
      </c>
      <c r="AH90" s="23">
        <f>AH88-AH89+AH87</f>
        <v/>
      </c>
      <c r="AI90" s="23">
        <f>AI88-AI89+AI87</f>
        <v/>
      </c>
      <c r="AJ90" s="23">
        <f>AJ88-AJ89+AJ87</f>
        <v/>
      </c>
      <c r="AK90" s="23">
        <f>AK88-AK89+AK87</f>
        <v/>
      </c>
      <c r="AL90" s="23">
        <f>AL88-AL89+AL87</f>
        <v/>
      </c>
      <c r="AM90" s="23">
        <f>AM88-AM89+AM87</f>
        <v/>
      </c>
      <c r="AN90" s="23">
        <f>AN88-AN89+AN87</f>
        <v/>
      </c>
      <c r="AO90" s="23">
        <f>AO88-AO89+AO87</f>
        <v/>
      </c>
      <c r="AP90" s="23">
        <f>AP88-AP89+AP87</f>
        <v/>
      </c>
      <c r="AQ90" s="23">
        <f>AQ88-AQ89+AQ87</f>
        <v/>
      </c>
      <c r="AR90" s="23">
        <f>AR88-AR89+AR87</f>
        <v/>
      </c>
      <c r="AS90" s="23">
        <f>AS88-AS89+AS87</f>
        <v/>
      </c>
      <c r="AT90" s="23">
        <f>AT88-AT89+AT87</f>
        <v/>
      </c>
      <c r="AU90" s="23">
        <f>AU88-AU89+AU87</f>
        <v/>
      </c>
      <c r="AV90" s="23">
        <f>AV88-AV89+AV87</f>
        <v/>
      </c>
      <c r="AW90" s="23">
        <f>AW88-AW89+AW87</f>
        <v/>
      </c>
      <c r="AX90" s="23">
        <f>AX88-AX89+AX87</f>
        <v/>
      </c>
      <c r="AY90" s="23">
        <f>AY88-AY89+AY87</f>
        <v/>
      </c>
      <c r="AZ90" s="23">
        <f>AZ88-AZ89+AZ87</f>
        <v/>
      </c>
      <c r="BA90" s="23">
        <f>BA88-BA89+BA87</f>
        <v/>
      </c>
      <c r="BB90" s="23">
        <f>BB88-BB89+BB87</f>
        <v/>
      </c>
    </row>
    <row r="91">
      <c r="A91" s="21" t="inlineStr">
        <is>
          <t>Shipped out of store</t>
        </is>
      </c>
      <c r="B91" s="4" t="inlineStr">
        <is>
          <t>lb</t>
        </is>
      </c>
      <c r="C91" s="23">
        <f>MIN(C90,$I$18/$D$18)</f>
        <v/>
      </c>
      <c r="D91" s="23">
        <f>MIN(D90,$I$18/$D$18)</f>
        <v/>
      </c>
      <c r="E91" s="23">
        <f>MIN(E90,$I$18/$D$18)</f>
        <v/>
      </c>
      <c r="F91" s="23">
        <f>MIN(F90,$I$18/$D$18)</f>
        <v/>
      </c>
      <c r="G91" s="23">
        <f>MIN(G90,$I$18/$D$18)</f>
        <v/>
      </c>
      <c r="H91" s="23">
        <f>MIN(H90,$I$18/$D$18)</f>
        <v/>
      </c>
      <c r="I91" s="23">
        <f>MIN(I90,$I$18/$D$18)</f>
        <v/>
      </c>
      <c r="J91" s="23">
        <f>MIN(J90,$I$18/$D$18)</f>
        <v/>
      </c>
      <c r="K91" s="23">
        <f>MIN(K90,$I$18/$D$18)</f>
        <v/>
      </c>
      <c r="L91" s="23">
        <f>MIN(L90,$I$18/$D$18)</f>
        <v/>
      </c>
      <c r="M91" s="23">
        <f>MIN(M90,$I$18/$D$18)</f>
        <v/>
      </c>
      <c r="N91" s="23">
        <f>MIN(N90,$I$18/$D$18)</f>
        <v/>
      </c>
      <c r="O91" s="23">
        <f>MIN(O90,$I$18/$D$18)</f>
        <v/>
      </c>
      <c r="P91" s="23">
        <f>MIN(P90,$I$18/$D$18)</f>
        <v/>
      </c>
      <c r="Q91" s="23">
        <f>MIN(Q90,$I$18/$D$18)</f>
        <v/>
      </c>
      <c r="R91" s="23">
        <f>MIN(R90,$I$18/$D$18)</f>
        <v/>
      </c>
      <c r="S91" s="23">
        <f>MIN(S90,$I$18/$D$18)</f>
        <v/>
      </c>
      <c r="T91" s="23">
        <f>MIN(T90,$I$18/$D$18)</f>
        <v/>
      </c>
      <c r="U91" s="23">
        <f>MIN(U90,$I$18/$D$18)</f>
        <v/>
      </c>
      <c r="V91" s="23">
        <f>MIN(V90,$I$18/$D$18)</f>
        <v/>
      </c>
      <c r="W91" s="23">
        <f>MIN(W90,$I$18/$D$18)</f>
        <v/>
      </c>
      <c r="X91" s="23">
        <f>MIN(X90,$I$18/$D$18)</f>
        <v/>
      </c>
      <c r="Y91" s="23">
        <f>MIN(Y90,$I$18/$D$18)</f>
        <v/>
      </c>
      <c r="Z91" s="23">
        <f>MIN(Z90,$I$18/$D$18)</f>
        <v/>
      </c>
      <c r="AA91" s="23">
        <f>MIN(AA90,$I$18/$D$18)</f>
        <v/>
      </c>
      <c r="AB91" s="23">
        <f>MIN(AB90,$I$18/$D$18)</f>
        <v/>
      </c>
      <c r="AC91" s="23">
        <f>MIN(AC90,$I$18/$D$18)</f>
        <v/>
      </c>
      <c r="AD91" s="23">
        <f>MIN(AD90,$I$18/$D$18)</f>
        <v/>
      </c>
      <c r="AE91" s="23">
        <f>MIN(AE90,$I$18/$D$18)</f>
        <v/>
      </c>
      <c r="AF91" s="23">
        <f>MIN(AF90,$I$18/$D$18)</f>
        <v/>
      </c>
      <c r="AG91" s="23">
        <f>MIN(AG90,$I$18/$D$18)</f>
        <v/>
      </c>
      <c r="AH91" s="23">
        <f>MIN(AH90,$I$18/$D$18)</f>
        <v/>
      </c>
      <c r="AI91" s="23">
        <f>MIN(AI90,$I$18/$D$18)</f>
        <v/>
      </c>
      <c r="AJ91" s="23">
        <f>MIN(AJ90,$I$18/$D$18)</f>
        <v/>
      </c>
      <c r="AK91" s="23">
        <f>MIN(AK90,$I$18/$D$18)</f>
        <v/>
      </c>
      <c r="AL91" s="23">
        <f>MIN(AL90,$I$18/$D$18)</f>
        <v/>
      </c>
      <c r="AM91" s="23">
        <f>MIN(AM90,$I$18/$D$18)</f>
        <v/>
      </c>
      <c r="AN91" s="23">
        <f>MIN(AN90,$I$18/$D$18)</f>
        <v/>
      </c>
      <c r="AO91" s="23">
        <f>MIN(AO90,$I$18/$D$18)</f>
        <v/>
      </c>
      <c r="AP91" s="23">
        <f>MIN(AP90,$I$18/$D$18)</f>
        <v/>
      </c>
      <c r="AQ91" s="23">
        <f>MIN(AQ90,$I$18/$D$18)</f>
        <v/>
      </c>
      <c r="AR91" s="23">
        <f>MIN(AR90,$I$18/$D$18)</f>
        <v/>
      </c>
      <c r="AS91" s="23">
        <f>MIN(AS90,$I$18/$D$18)</f>
        <v/>
      </c>
      <c r="AT91" s="23">
        <f>MIN(AT90,$I$18/$D$18)</f>
        <v/>
      </c>
      <c r="AU91" s="23">
        <f>MIN(AU90,$I$18/$D$18)</f>
        <v/>
      </c>
      <c r="AV91" s="23">
        <f>MIN(AV90,$I$18/$D$18)</f>
        <v/>
      </c>
      <c r="AW91" s="23">
        <f>MIN(AW90,$I$18/$D$18)</f>
        <v/>
      </c>
      <c r="AX91" s="23">
        <f>MIN(AX90,$I$18/$D$18)</f>
        <v/>
      </c>
      <c r="AY91" s="23">
        <f>MIN(AY90,$I$18/$D$18)</f>
        <v/>
      </c>
      <c r="AZ91" s="23">
        <f>MIN(AZ90,$I$18/$D$18)</f>
        <v/>
      </c>
      <c r="BA91" s="23">
        <f>MIN(BA90,$I$18/$D$18)</f>
        <v/>
      </c>
      <c r="BB91" s="23">
        <f>MIN(BB90,$I$18/$D$18)</f>
        <v/>
      </c>
    </row>
    <row r="92">
      <c r="A92" s="3" t="inlineStr">
        <is>
          <t>Sold</t>
        </is>
      </c>
      <c r="B92" s="4" t="inlineStr">
        <is>
          <t>lb</t>
        </is>
      </c>
      <c r="C92" s="23">
        <f>C91*$D$18</f>
        <v/>
      </c>
      <c r="D92" s="23">
        <f>D91*$D$18</f>
        <v/>
      </c>
      <c r="E92" s="23">
        <f>E91*$D$18</f>
        <v/>
      </c>
      <c r="F92" s="23">
        <f>F91*$D$18</f>
        <v/>
      </c>
      <c r="G92" s="23">
        <f>G91*$D$18</f>
        <v/>
      </c>
      <c r="H92" s="23">
        <f>H91*$D$18</f>
        <v/>
      </c>
      <c r="I92" s="23">
        <f>I91*$D$18</f>
        <v/>
      </c>
      <c r="J92" s="23">
        <f>J91*$D$18</f>
        <v/>
      </c>
      <c r="K92" s="23">
        <f>K91*$D$18</f>
        <v/>
      </c>
      <c r="L92" s="23">
        <f>L91*$D$18</f>
        <v/>
      </c>
      <c r="M92" s="23">
        <f>M91*$D$18</f>
        <v/>
      </c>
      <c r="N92" s="23">
        <f>N91*$D$18</f>
        <v/>
      </c>
      <c r="O92" s="23">
        <f>O91*$D$18</f>
        <v/>
      </c>
      <c r="P92" s="23">
        <f>P91*$D$18</f>
        <v/>
      </c>
      <c r="Q92" s="23">
        <f>Q91*$D$18</f>
        <v/>
      </c>
      <c r="R92" s="23">
        <f>R91*$D$18</f>
        <v/>
      </c>
      <c r="S92" s="23">
        <f>S91*$D$18</f>
        <v/>
      </c>
      <c r="T92" s="23">
        <f>T91*$D$18</f>
        <v/>
      </c>
      <c r="U92" s="23">
        <f>U91*$D$18</f>
        <v/>
      </c>
      <c r="V92" s="23">
        <f>V91*$D$18</f>
        <v/>
      </c>
      <c r="W92" s="23">
        <f>W91*$D$18</f>
        <v/>
      </c>
      <c r="X92" s="23">
        <f>X91*$D$18</f>
        <v/>
      </c>
      <c r="Y92" s="23">
        <f>Y91*$D$18</f>
        <v/>
      </c>
      <c r="Z92" s="23">
        <f>Z91*$D$18</f>
        <v/>
      </c>
      <c r="AA92" s="23">
        <f>AA91*$D$18</f>
        <v/>
      </c>
      <c r="AB92" s="23">
        <f>AB91*$D$18</f>
        <v/>
      </c>
      <c r="AC92" s="23">
        <f>AC91*$D$18</f>
        <v/>
      </c>
      <c r="AD92" s="23">
        <f>AD91*$D$18</f>
        <v/>
      </c>
      <c r="AE92" s="23">
        <f>AE91*$D$18</f>
        <v/>
      </c>
      <c r="AF92" s="23">
        <f>AF91*$D$18</f>
        <v/>
      </c>
      <c r="AG92" s="23">
        <f>AG91*$D$18</f>
        <v/>
      </c>
      <c r="AH92" s="23">
        <f>AH91*$D$18</f>
        <v/>
      </c>
      <c r="AI92" s="23">
        <f>AI91*$D$18</f>
        <v/>
      </c>
      <c r="AJ92" s="23">
        <f>AJ91*$D$18</f>
        <v/>
      </c>
      <c r="AK92" s="23">
        <f>AK91*$D$18</f>
        <v/>
      </c>
      <c r="AL92" s="23">
        <f>AL91*$D$18</f>
        <v/>
      </c>
      <c r="AM92" s="23">
        <f>AM91*$D$18</f>
        <v/>
      </c>
      <c r="AN92" s="23">
        <f>AN91*$D$18</f>
        <v/>
      </c>
      <c r="AO92" s="23">
        <f>AO91*$D$18</f>
        <v/>
      </c>
      <c r="AP92" s="23">
        <f>AP91*$D$18</f>
        <v/>
      </c>
      <c r="AQ92" s="23">
        <f>AQ91*$D$18</f>
        <v/>
      </c>
      <c r="AR92" s="23">
        <f>AR91*$D$18</f>
        <v/>
      </c>
      <c r="AS92" s="23">
        <f>AS91*$D$18</f>
        <v/>
      </c>
      <c r="AT92" s="23">
        <f>AT91*$D$18</f>
        <v/>
      </c>
      <c r="AU92" s="23">
        <f>AU91*$D$18</f>
        <v/>
      </c>
      <c r="AV92" s="23">
        <f>AV91*$D$18</f>
        <v/>
      </c>
      <c r="AW92" s="23">
        <f>AW91*$D$18</f>
        <v/>
      </c>
      <c r="AX92" s="23">
        <f>AX91*$D$18</f>
        <v/>
      </c>
      <c r="AY92" s="23">
        <f>AY91*$D$18</f>
        <v/>
      </c>
      <c r="AZ92" s="23">
        <f>AZ91*$D$18</f>
        <v/>
      </c>
      <c r="BA92" s="23">
        <f>BA91*$D$18</f>
        <v/>
      </c>
      <c r="BB92" s="23">
        <f>BB91*$D$18</f>
        <v/>
      </c>
    </row>
    <row r="93">
      <c r="A93" s="21" t="inlineStr">
        <is>
          <t xml:space="preserve">   market loss (did not come back)</t>
        </is>
      </c>
      <c r="B93" s="4" t="inlineStr">
        <is>
          <t>lb</t>
        </is>
      </c>
      <c r="C93" s="23">
        <f>C91-C92</f>
        <v/>
      </c>
      <c r="D93" s="23">
        <f>D91-D92</f>
        <v/>
      </c>
      <c r="E93" s="23">
        <f>E91-E92</f>
        <v/>
      </c>
      <c r="F93" s="23">
        <f>F91-F92</f>
        <v/>
      </c>
      <c r="G93" s="23">
        <f>G91-G92</f>
        <v/>
      </c>
      <c r="H93" s="23">
        <f>H91-H92</f>
        <v/>
      </c>
      <c r="I93" s="23">
        <f>I91-I92</f>
        <v/>
      </c>
      <c r="J93" s="23">
        <f>J91-J92</f>
        <v/>
      </c>
      <c r="K93" s="23">
        <f>K91-K92</f>
        <v/>
      </c>
      <c r="L93" s="23">
        <f>L91-L92</f>
        <v/>
      </c>
      <c r="M93" s="23">
        <f>M91-M92</f>
        <v/>
      </c>
      <c r="N93" s="23">
        <f>N91-N92</f>
        <v/>
      </c>
      <c r="O93" s="23">
        <f>O91-O92</f>
        <v/>
      </c>
      <c r="P93" s="23">
        <f>P91-P92</f>
        <v/>
      </c>
      <c r="Q93" s="23">
        <f>Q91-Q92</f>
        <v/>
      </c>
      <c r="R93" s="23">
        <f>R91-R92</f>
        <v/>
      </c>
      <c r="S93" s="23">
        <f>S91-S92</f>
        <v/>
      </c>
      <c r="T93" s="23">
        <f>T91-T92</f>
        <v/>
      </c>
      <c r="U93" s="23">
        <f>U91-U92</f>
        <v/>
      </c>
      <c r="V93" s="23">
        <f>V91-V92</f>
        <v/>
      </c>
      <c r="W93" s="23">
        <f>W91-W92</f>
        <v/>
      </c>
      <c r="X93" s="23">
        <f>X91-X92</f>
        <v/>
      </c>
      <c r="Y93" s="23">
        <f>Y91-Y92</f>
        <v/>
      </c>
      <c r="Z93" s="23">
        <f>Z91-Z92</f>
        <v/>
      </c>
      <c r="AA93" s="23">
        <f>AA91-AA92</f>
        <v/>
      </c>
      <c r="AB93" s="23">
        <f>AB91-AB92</f>
        <v/>
      </c>
      <c r="AC93" s="23">
        <f>AC91-AC92</f>
        <v/>
      </c>
      <c r="AD93" s="23">
        <f>AD91-AD92</f>
        <v/>
      </c>
      <c r="AE93" s="23">
        <f>AE91-AE92</f>
        <v/>
      </c>
      <c r="AF93" s="23">
        <f>AF91-AF92</f>
        <v/>
      </c>
      <c r="AG93" s="23">
        <f>AG91-AG92</f>
        <v/>
      </c>
      <c r="AH93" s="23">
        <f>AH91-AH92</f>
        <v/>
      </c>
      <c r="AI93" s="23">
        <f>AI91-AI92</f>
        <v/>
      </c>
      <c r="AJ93" s="23">
        <f>AJ91-AJ92</f>
        <v/>
      </c>
      <c r="AK93" s="23">
        <f>AK91-AK92</f>
        <v/>
      </c>
      <c r="AL93" s="23">
        <f>AL91-AL92</f>
        <v/>
      </c>
      <c r="AM93" s="23">
        <f>AM91-AM92</f>
        <v/>
      </c>
      <c r="AN93" s="23">
        <f>AN91-AN92</f>
        <v/>
      </c>
      <c r="AO93" s="23">
        <f>AO91-AO92</f>
        <v/>
      </c>
      <c r="AP93" s="23">
        <f>AP91-AP92</f>
        <v/>
      </c>
      <c r="AQ93" s="23">
        <f>AQ91-AQ92</f>
        <v/>
      </c>
      <c r="AR93" s="23">
        <f>AR91-AR92</f>
        <v/>
      </c>
      <c r="AS93" s="23">
        <f>AS91-AS92</f>
        <v/>
      </c>
      <c r="AT93" s="23">
        <f>AT91-AT92</f>
        <v/>
      </c>
      <c r="AU93" s="23">
        <f>AU91-AU92</f>
        <v/>
      </c>
      <c r="AV93" s="23">
        <f>AV91-AV92</f>
        <v/>
      </c>
      <c r="AW93" s="23">
        <f>AW91-AW92</f>
        <v/>
      </c>
      <c r="AX93" s="23">
        <f>AX91-AX92</f>
        <v/>
      </c>
      <c r="AY93" s="23">
        <f>AY91-AY92</f>
        <v/>
      </c>
      <c r="AZ93" s="23">
        <f>AZ91-AZ92</f>
        <v/>
      </c>
      <c r="BA93" s="23">
        <f>BA91-BA92</f>
        <v/>
      </c>
      <c r="BB93" s="23">
        <f>BB91-BB92</f>
        <v/>
      </c>
    </row>
    <row r="94">
      <c r="A94" s="3" t="inlineStr">
        <is>
          <t>Stock carried out</t>
        </is>
      </c>
      <c r="B94" s="4" t="inlineStr">
        <is>
          <t>lb</t>
        </is>
      </c>
      <c r="C94" s="23">
        <f>C90-C91</f>
        <v/>
      </c>
      <c r="D94" s="23">
        <f>D90-D91</f>
        <v/>
      </c>
      <c r="E94" s="23">
        <f>E90-E91</f>
        <v/>
      </c>
      <c r="F94" s="23">
        <f>F90-F91</f>
        <v/>
      </c>
      <c r="G94" s="23">
        <f>G90-G91</f>
        <v/>
      </c>
      <c r="H94" s="23">
        <f>H90-H91</f>
        <v/>
      </c>
      <c r="I94" s="23">
        <f>I90-I91</f>
        <v/>
      </c>
      <c r="J94" s="23">
        <f>J90-J91</f>
        <v/>
      </c>
      <c r="K94" s="23">
        <f>K90-K91</f>
        <v/>
      </c>
      <c r="L94" s="23">
        <f>L90-L91</f>
        <v/>
      </c>
      <c r="M94" s="23">
        <f>M90-M91</f>
        <v/>
      </c>
      <c r="N94" s="23">
        <f>N90-N91</f>
        <v/>
      </c>
      <c r="O94" s="23">
        <f>O90-O91</f>
        <v/>
      </c>
      <c r="P94" s="23">
        <f>P90-P91</f>
        <v/>
      </c>
      <c r="Q94" s="23">
        <f>Q90-Q91</f>
        <v/>
      </c>
      <c r="R94" s="23">
        <f>R90-R91</f>
        <v/>
      </c>
      <c r="S94" s="23">
        <f>S90-S91</f>
        <v/>
      </c>
      <c r="T94" s="23">
        <f>T90-T91</f>
        <v/>
      </c>
      <c r="U94" s="23">
        <f>U90-U91</f>
        <v/>
      </c>
      <c r="V94" s="23">
        <f>V90-V91</f>
        <v/>
      </c>
      <c r="W94" s="23">
        <f>W90-W91</f>
        <v/>
      </c>
      <c r="X94" s="23">
        <f>X90-X91</f>
        <v/>
      </c>
      <c r="Y94" s="23">
        <f>Y90-Y91</f>
        <v/>
      </c>
      <c r="Z94" s="23">
        <f>Z90-Z91</f>
        <v/>
      </c>
      <c r="AA94" s="23">
        <f>AA90-AA91</f>
        <v/>
      </c>
      <c r="AB94" s="23">
        <f>AB90-AB91</f>
        <v/>
      </c>
      <c r="AC94" s="23">
        <f>AC90-AC91</f>
        <v/>
      </c>
      <c r="AD94" s="23">
        <f>AD90-AD91</f>
        <v/>
      </c>
      <c r="AE94" s="23">
        <f>AE90-AE91</f>
        <v/>
      </c>
      <c r="AF94" s="23">
        <f>AF90-AF91</f>
        <v/>
      </c>
      <c r="AG94" s="23">
        <f>AG90-AG91</f>
        <v/>
      </c>
      <c r="AH94" s="23">
        <f>AH90-AH91</f>
        <v/>
      </c>
      <c r="AI94" s="23">
        <f>AI90-AI91</f>
        <v/>
      </c>
      <c r="AJ94" s="23">
        <f>AJ90-AJ91</f>
        <v/>
      </c>
      <c r="AK94" s="23">
        <f>AK90-AK91</f>
        <v/>
      </c>
      <c r="AL94" s="23">
        <f>AL90-AL91</f>
        <v/>
      </c>
      <c r="AM94" s="23">
        <f>AM90-AM91</f>
        <v/>
      </c>
      <c r="AN94" s="23">
        <f>AN90-AN91</f>
        <v/>
      </c>
      <c r="AO94" s="23">
        <f>AO90-AO91</f>
        <v/>
      </c>
      <c r="AP94" s="23">
        <f>AP90-AP91</f>
        <v/>
      </c>
      <c r="AQ94" s="23">
        <f>AQ90-AQ91</f>
        <v/>
      </c>
      <c r="AR94" s="23">
        <f>AR90-AR91</f>
        <v/>
      </c>
      <c r="AS94" s="23">
        <f>AS90-AS91</f>
        <v/>
      </c>
      <c r="AT94" s="23">
        <f>AT90-AT91</f>
        <v/>
      </c>
      <c r="AU94" s="23">
        <f>AU90-AU91</f>
        <v/>
      </c>
      <c r="AV94" s="23">
        <f>AV90-AV91</f>
        <v/>
      </c>
      <c r="AW94" s="23">
        <f>AW90-AW91</f>
        <v/>
      </c>
      <c r="AX94" s="23">
        <f>AX90-AX91</f>
        <v/>
      </c>
      <c r="AY94" s="23">
        <f>AY90-AY91</f>
        <v/>
      </c>
      <c r="AZ94" s="23">
        <f>AZ90-AZ91</f>
        <v/>
      </c>
      <c r="BA94" s="23">
        <f>BA90-BA91</f>
        <v/>
      </c>
      <c r="BB94" s="23">
        <f>BB90-BB91</f>
        <v/>
      </c>
    </row>
    <row r="95">
      <c r="A95" s="3" t="inlineStr">
        <is>
          <t>ROOM OCCUPANCY</t>
        </is>
      </c>
      <c r="B95" s="4" t="inlineStr">
        <is>
          <t>m3</t>
        </is>
      </c>
      <c r="C95" s="29">
        <f>(C88+C87)*$E$18</f>
        <v/>
      </c>
      <c r="D95" s="29">
        <f>(D88+D87)*$E$18</f>
        <v/>
      </c>
      <c r="E95" s="29">
        <f>(E88+E87)*$E$18</f>
        <v/>
      </c>
      <c r="F95" s="29">
        <f>(F88+F87)*$E$18</f>
        <v/>
      </c>
      <c r="G95" s="29">
        <f>(G88+G87)*$E$18</f>
        <v/>
      </c>
      <c r="H95" s="29">
        <f>(H88+H87)*$E$18</f>
        <v/>
      </c>
      <c r="I95" s="29">
        <f>(I88+I87)*$E$18</f>
        <v/>
      </c>
      <c r="J95" s="29">
        <f>(J88+J87)*$E$18</f>
        <v/>
      </c>
      <c r="K95" s="29">
        <f>(K88+K87)*$E$18</f>
        <v/>
      </c>
      <c r="L95" s="29">
        <f>(L88+L87)*$E$18</f>
        <v/>
      </c>
      <c r="M95" s="29">
        <f>(M88+M87)*$E$18</f>
        <v/>
      </c>
      <c r="N95" s="29">
        <f>(N88+N87)*$E$18</f>
        <v/>
      </c>
      <c r="O95" s="29">
        <f>(O88+O87)*$E$18</f>
        <v/>
      </c>
      <c r="P95" s="29">
        <f>(P88+P87)*$E$18</f>
        <v/>
      </c>
      <c r="Q95" s="29">
        <f>(Q88+Q87)*$E$18</f>
        <v/>
      </c>
      <c r="R95" s="29">
        <f>(R88+R87)*$E$18</f>
        <v/>
      </c>
      <c r="S95" s="29">
        <f>(S88+S87)*$E$18</f>
        <v/>
      </c>
      <c r="T95" s="29">
        <f>(T88+T87)*$E$18</f>
        <v/>
      </c>
      <c r="U95" s="29">
        <f>(U88+U87)*$E$18</f>
        <v/>
      </c>
      <c r="V95" s="29">
        <f>(V88+V87)*$E$18</f>
        <v/>
      </c>
      <c r="W95" s="29">
        <f>(W88+W87)*$E$18</f>
        <v/>
      </c>
      <c r="X95" s="29">
        <f>(X88+X87)*$E$18</f>
        <v/>
      </c>
      <c r="Y95" s="29">
        <f>(Y88+Y87)*$E$18</f>
        <v/>
      </c>
      <c r="Z95" s="29">
        <f>(Z88+Z87)*$E$18</f>
        <v/>
      </c>
      <c r="AA95" s="29">
        <f>(AA88+AA87)*$E$18</f>
        <v/>
      </c>
      <c r="AB95" s="29">
        <f>(AB88+AB87)*$E$18</f>
        <v/>
      </c>
      <c r="AC95" s="29">
        <f>(AC88+AC87)*$E$18</f>
        <v/>
      </c>
      <c r="AD95" s="29">
        <f>(AD88+AD87)*$E$18</f>
        <v/>
      </c>
      <c r="AE95" s="29">
        <f>(AE88+AE87)*$E$18</f>
        <v/>
      </c>
      <c r="AF95" s="29">
        <f>(AF88+AF87)*$E$18</f>
        <v/>
      </c>
      <c r="AG95" s="29">
        <f>(AG88+AG87)*$E$18</f>
        <v/>
      </c>
      <c r="AH95" s="29">
        <f>(AH88+AH87)*$E$18</f>
        <v/>
      </c>
      <c r="AI95" s="29">
        <f>(AI88+AI87)*$E$18</f>
        <v/>
      </c>
      <c r="AJ95" s="29">
        <f>(AJ88+AJ87)*$E$18</f>
        <v/>
      </c>
      <c r="AK95" s="29">
        <f>(AK88+AK87)*$E$18</f>
        <v/>
      </c>
      <c r="AL95" s="29">
        <f>(AL88+AL87)*$E$18</f>
        <v/>
      </c>
      <c r="AM95" s="29">
        <f>(AM88+AM87)*$E$18</f>
        <v/>
      </c>
      <c r="AN95" s="29">
        <f>(AN88+AN87)*$E$18</f>
        <v/>
      </c>
      <c r="AO95" s="29">
        <f>(AO88+AO87)*$E$18</f>
        <v/>
      </c>
      <c r="AP95" s="29">
        <f>(AP88+AP87)*$E$18</f>
        <v/>
      </c>
      <c r="AQ95" s="29">
        <f>(AQ88+AQ87)*$E$18</f>
        <v/>
      </c>
      <c r="AR95" s="29">
        <f>(AR88+AR87)*$E$18</f>
        <v/>
      </c>
      <c r="AS95" s="29">
        <f>(AS88+AS87)*$E$18</f>
        <v/>
      </c>
      <c r="AT95" s="29">
        <f>(AT88+AT87)*$E$18</f>
        <v/>
      </c>
      <c r="AU95" s="29">
        <f>(AU88+AU87)*$E$18</f>
        <v/>
      </c>
      <c r="AV95" s="29">
        <f>(AV88+AV87)*$E$18</f>
        <v/>
      </c>
      <c r="AW95" s="29">
        <f>(AW88+AW87)*$E$18</f>
        <v/>
      </c>
      <c r="AX95" s="29">
        <f>(AX88+AX87)*$E$18</f>
        <v/>
      </c>
      <c r="AY95" s="29">
        <f>(AY88+AY87)*$E$18</f>
        <v/>
      </c>
      <c r="AZ95" s="29">
        <f>(AZ88+AZ87)*$E$18</f>
        <v/>
      </c>
      <c r="BA95" s="29">
        <f>(BA88+BA87)*$E$18</f>
        <v/>
      </c>
      <c r="BB95" s="29">
        <f>(BB88+BB87)*$E$18</f>
        <v/>
      </c>
    </row>
    <row r="96">
      <c r="A96" s="4" t="inlineStr">
        <is>
          <t xml:space="preserve">   = carried in + everything PACKED OUT this week, before any of it ships.</t>
        </is>
      </c>
    </row>
    <row r="97">
      <c r="A97" s="4" t="inlineStr">
        <is>
          <t xml:space="preserve">   Market loss is already counted here — it was in the room before it left.</t>
        </is>
      </c>
    </row>
    <row r="98">
      <c r="A98" s="21" t="inlineStr">
        <is>
          <t>Over shelf life?</t>
        </is>
      </c>
      <c r="B98" s="4" t="inlineStr">
        <is>
          <t>lb</t>
        </is>
      </c>
      <c r="C98" s="23">
        <f>MAX(0,C94-SUMIFS($C$87:$BB$87,$C$26:$BB$26,"&gt;="&amp;C$26-$G$18+2,$C$26:$BB$26,"&lt;="&amp;C$26))</f>
        <v/>
      </c>
      <c r="D98" s="23">
        <f>MAX(0,D94-SUMIFS($C$87:$BB$87,$C$26:$BB$26,"&gt;="&amp;D$26-$G$18+2,$C$26:$BB$26,"&lt;="&amp;D$26))</f>
        <v/>
      </c>
      <c r="E98" s="23">
        <f>MAX(0,E94-SUMIFS($C$87:$BB$87,$C$26:$BB$26,"&gt;="&amp;E$26-$G$18+2,$C$26:$BB$26,"&lt;="&amp;E$26))</f>
        <v/>
      </c>
      <c r="F98" s="23">
        <f>MAX(0,F94-SUMIFS($C$87:$BB$87,$C$26:$BB$26,"&gt;="&amp;F$26-$G$18+2,$C$26:$BB$26,"&lt;="&amp;F$26))</f>
        <v/>
      </c>
      <c r="G98" s="23">
        <f>MAX(0,G94-SUMIFS($C$87:$BB$87,$C$26:$BB$26,"&gt;="&amp;G$26-$G$18+2,$C$26:$BB$26,"&lt;="&amp;G$26))</f>
        <v/>
      </c>
      <c r="H98" s="23">
        <f>MAX(0,H94-SUMIFS($C$87:$BB$87,$C$26:$BB$26,"&gt;="&amp;H$26-$G$18+2,$C$26:$BB$26,"&lt;="&amp;H$26))</f>
        <v/>
      </c>
      <c r="I98" s="23">
        <f>MAX(0,I94-SUMIFS($C$87:$BB$87,$C$26:$BB$26,"&gt;="&amp;I$26-$G$18+2,$C$26:$BB$26,"&lt;="&amp;I$26))</f>
        <v/>
      </c>
      <c r="J98" s="23">
        <f>MAX(0,J94-SUMIFS($C$87:$BB$87,$C$26:$BB$26,"&gt;="&amp;J$26-$G$18+2,$C$26:$BB$26,"&lt;="&amp;J$26))</f>
        <v/>
      </c>
      <c r="K98" s="23">
        <f>MAX(0,K94-SUMIFS($C$87:$BB$87,$C$26:$BB$26,"&gt;="&amp;K$26-$G$18+2,$C$26:$BB$26,"&lt;="&amp;K$26))</f>
        <v/>
      </c>
      <c r="L98" s="23">
        <f>MAX(0,L94-SUMIFS($C$87:$BB$87,$C$26:$BB$26,"&gt;="&amp;L$26-$G$18+2,$C$26:$BB$26,"&lt;="&amp;L$26))</f>
        <v/>
      </c>
      <c r="M98" s="23">
        <f>MAX(0,M94-SUMIFS($C$87:$BB$87,$C$26:$BB$26,"&gt;="&amp;M$26-$G$18+2,$C$26:$BB$26,"&lt;="&amp;M$26))</f>
        <v/>
      </c>
      <c r="N98" s="23">
        <f>MAX(0,N94-SUMIFS($C$87:$BB$87,$C$26:$BB$26,"&gt;="&amp;N$26-$G$18+2,$C$26:$BB$26,"&lt;="&amp;N$26))</f>
        <v/>
      </c>
      <c r="O98" s="23">
        <f>MAX(0,O94-SUMIFS($C$87:$BB$87,$C$26:$BB$26,"&gt;="&amp;O$26-$G$18+2,$C$26:$BB$26,"&lt;="&amp;O$26))</f>
        <v/>
      </c>
      <c r="P98" s="23">
        <f>MAX(0,P94-SUMIFS($C$87:$BB$87,$C$26:$BB$26,"&gt;="&amp;P$26-$G$18+2,$C$26:$BB$26,"&lt;="&amp;P$26))</f>
        <v/>
      </c>
      <c r="Q98" s="23">
        <f>MAX(0,Q94-SUMIFS($C$87:$BB$87,$C$26:$BB$26,"&gt;="&amp;Q$26-$G$18+2,$C$26:$BB$26,"&lt;="&amp;Q$26))</f>
        <v/>
      </c>
      <c r="R98" s="23">
        <f>MAX(0,R94-SUMIFS($C$87:$BB$87,$C$26:$BB$26,"&gt;="&amp;R$26-$G$18+2,$C$26:$BB$26,"&lt;="&amp;R$26))</f>
        <v/>
      </c>
      <c r="S98" s="23">
        <f>MAX(0,S94-SUMIFS($C$87:$BB$87,$C$26:$BB$26,"&gt;="&amp;S$26-$G$18+2,$C$26:$BB$26,"&lt;="&amp;S$26))</f>
        <v/>
      </c>
      <c r="T98" s="23">
        <f>MAX(0,T94-SUMIFS($C$87:$BB$87,$C$26:$BB$26,"&gt;="&amp;T$26-$G$18+2,$C$26:$BB$26,"&lt;="&amp;T$26))</f>
        <v/>
      </c>
      <c r="U98" s="23">
        <f>MAX(0,U94-SUMIFS($C$87:$BB$87,$C$26:$BB$26,"&gt;="&amp;U$26-$G$18+2,$C$26:$BB$26,"&lt;="&amp;U$26))</f>
        <v/>
      </c>
      <c r="V98" s="23">
        <f>MAX(0,V94-SUMIFS($C$87:$BB$87,$C$26:$BB$26,"&gt;="&amp;V$26-$G$18+2,$C$26:$BB$26,"&lt;="&amp;V$26))</f>
        <v/>
      </c>
      <c r="W98" s="23">
        <f>MAX(0,W94-SUMIFS($C$87:$BB$87,$C$26:$BB$26,"&gt;="&amp;W$26-$G$18+2,$C$26:$BB$26,"&lt;="&amp;W$26))</f>
        <v/>
      </c>
      <c r="X98" s="23">
        <f>MAX(0,X94-SUMIFS($C$87:$BB$87,$C$26:$BB$26,"&gt;="&amp;X$26-$G$18+2,$C$26:$BB$26,"&lt;="&amp;X$26))</f>
        <v/>
      </c>
      <c r="Y98" s="23">
        <f>MAX(0,Y94-SUMIFS($C$87:$BB$87,$C$26:$BB$26,"&gt;="&amp;Y$26-$G$18+2,$C$26:$BB$26,"&lt;="&amp;Y$26))</f>
        <v/>
      </c>
      <c r="Z98" s="23">
        <f>MAX(0,Z94-SUMIFS($C$87:$BB$87,$C$26:$BB$26,"&gt;="&amp;Z$26-$G$18+2,$C$26:$BB$26,"&lt;="&amp;Z$26))</f>
        <v/>
      </c>
      <c r="AA98" s="23">
        <f>MAX(0,AA94-SUMIFS($C$87:$BB$87,$C$26:$BB$26,"&gt;="&amp;AA$26-$G$18+2,$C$26:$BB$26,"&lt;="&amp;AA$26))</f>
        <v/>
      </c>
      <c r="AB98" s="23">
        <f>MAX(0,AB94-SUMIFS($C$87:$BB$87,$C$26:$BB$26,"&gt;="&amp;AB$26-$G$18+2,$C$26:$BB$26,"&lt;="&amp;AB$26))</f>
        <v/>
      </c>
      <c r="AC98" s="23">
        <f>MAX(0,AC94-SUMIFS($C$87:$BB$87,$C$26:$BB$26,"&gt;="&amp;AC$26-$G$18+2,$C$26:$BB$26,"&lt;="&amp;AC$26))</f>
        <v/>
      </c>
      <c r="AD98" s="23">
        <f>MAX(0,AD94-SUMIFS($C$87:$BB$87,$C$26:$BB$26,"&gt;="&amp;AD$26-$G$18+2,$C$26:$BB$26,"&lt;="&amp;AD$26))</f>
        <v/>
      </c>
      <c r="AE98" s="23">
        <f>MAX(0,AE94-SUMIFS($C$87:$BB$87,$C$26:$BB$26,"&gt;="&amp;AE$26-$G$18+2,$C$26:$BB$26,"&lt;="&amp;AE$26))</f>
        <v/>
      </c>
      <c r="AF98" s="23">
        <f>MAX(0,AF94-SUMIFS($C$87:$BB$87,$C$26:$BB$26,"&gt;="&amp;AF$26-$G$18+2,$C$26:$BB$26,"&lt;="&amp;AF$26))</f>
        <v/>
      </c>
      <c r="AG98" s="23">
        <f>MAX(0,AG94-SUMIFS($C$87:$BB$87,$C$26:$BB$26,"&gt;="&amp;AG$26-$G$18+2,$C$26:$BB$26,"&lt;="&amp;AG$26))</f>
        <v/>
      </c>
      <c r="AH98" s="23">
        <f>MAX(0,AH94-SUMIFS($C$87:$BB$87,$C$26:$BB$26,"&gt;="&amp;AH$26-$G$18+2,$C$26:$BB$26,"&lt;="&amp;AH$26))</f>
        <v/>
      </c>
      <c r="AI98" s="23">
        <f>MAX(0,AI94-SUMIFS($C$87:$BB$87,$C$26:$BB$26,"&gt;="&amp;AI$26-$G$18+2,$C$26:$BB$26,"&lt;="&amp;AI$26))</f>
        <v/>
      </c>
      <c r="AJ98" s="23">
        <f>MAX(0,AJ94-SUMIFS($C$87:$BB$87,$C$26:$BB$26,"&gt;="&amp;AJ$26-$G$18+2,$C$26:$BB$26,"&lt;="&amp;AJ$26))</f>
        <v/>
      </c>
      <c r="AK98" s="23">
        <f>MAX(0,AK94-SUMIFS($C$87:$BB$87,$C$26:$BB$26,"&gt;="&amp;AK$26-$G$18+2,$C$26:$BB$26,"&lt;="&amp;AK$26))</f>
        <v/>
      </c>
      <c r="AL98" s="23">
        <f>MAX(0,AL94-SUMIFS($C$87:$BB$87,$C$26:$BB$26,"&gt;="&amp;AL$26-$G$18+2,$C$26:$BB$26,"&lt;="&amp;AL$26))</f>
        <v/>
      </c>
      <c r="AM98" s="23">
        <f>MAX(0,AM94-SUMIFS($C$87:$BB$87,$C$26:$BB$26,"&gt;="&amp;AM$26-$G$18+2,$C$26:$BB$26,"&lt;="&amp;AM$26))</f>
        <v/>
      </c>
      <c r="AN98" s="23">
        <f>MAX(0,AN94-SUMIFS($C$87:$BB$87,$C$26:$BB$26,"&gt;="&amp;AN$26-$G$18+2,$C$26:$BB$26,"&lt;="&amp;AN$26))</f>
        <v/>
      </c>
      <c r="AO98" s="23">
        <f>MAX(0,AO94-SUMIFS($C$87:$BB$87,$C$26:$BB$26,"&gt;="&amp;AO$26-$G$18+2,$C$26:$BB$26,"&lt;="&amp;AO$26))</f>
        <v/>
      </c>
      <c r="AP98" s="23">
        <f>MAX(0,AP94-SUMIFS($C$87:$BB$87,$C$26:$BB$26,"&gt;="&amp;AP$26-$G$18+2,$C$26:$BB$26,"&lt;="&amp;AP$26))</f>
        <v/>
      </c>
      <c r="AQ98" s="23">
        <f>MAX(0,AQ94-SUMIFS($C$87:$BB$87,$C$26:$BB$26,"&gt;="&amp;AQ$26-$G$18+2,$C$26:$BB$26,"&lt;="&amp;AQ$26))</f>
        <v/>
      </c>
      <c r="AR98" s="23">
        <f>MAX(0,AR94-SUMIFS($C$87:$BB$87,$C$26:$BB$26,"&gt;="&amp;AR$26-$G$18+2,$C$26:$BB$26,"&lt;="&amp;AR$26))</f>
        <v/>
      </c>
      <c r="AS98" s="23">
        <f>MAX(0,AS94-SUMIFS($C$87:$BB$87,$C$26:$BB$26,"&gt;="&amp;AS$26-$G$18+2,$C$26:$BB$26,"&lt;="&amp;AS$26))</f>
        <v/>
      </c>
      <c r="AT98" s="23">
        <f>MAX(0,AT94-SUMIFS($C$87:$BB$87,$C$26:$BB$26,"&gt;="&amp;AT$26-$G$18+2,$C$26:$BB$26,"&lt;="&amp;AT$26))</f>
        <v/>
      </c>
      <c r="AU98" s="23">
        <f>MAX(0,AU94-SUMIFS($C$87:$BB$87,$C$26:$BB$26,"&gt;="&amp;AU$26-$G$18+2,$C$26:$BB$26,"&lt;="&amp;AU$26))</f>
        <v/>
      </c>
      <c r="AV98" s="23">
        <f>MAX(0,AV94-SUMIFS($C$87:$BB$87,$C$26:$BB$26,"&gt;="&amp;AV$26-$G$18+2,$C$26:$BB$26,"&lt;="&amp;AV$26))</f>
        <v/>
      </c>
      <c r="AW98" s="23">
        <f>MAX(0,AW94-SUMIFS($C$87:$BB$87,$C$26:$BB$26,"&gt;="&amp;AW$26-$G$18+2,$C$26:$BB$26,"&lt;="&amp;AW$26))</f>
        <v/>
      </c>
      <c r="AX98" s="23">
        <f>MAX(0,AX94-SUMIFS($C$87:$BB$87,$C$26:$BB$26,"&gt;="&amp;AX$26-$G$18+2,$C$26:$BB$26,"&lt;="&amp;AX$26))</f>
        <v/>
      </c>
      <c r="AY98" s="23">
        <f>MAX(0,AY94-SUMIFS($C$87:$BB$87,$C$26:$BB$26,"&gt;="&amp;AY$26-$G$18+2,$C$26:$BB$26,"&lt;="&amp;AY$26))</f>
        <v/>
      </c>
      <c r="AZ98" s="23">
        <f>MAX(0,AZ94-SUMIFS($C$87:$BB$87,$C$26:$BB$26,"&gt;="&amp;AZ$26-$G$18+2,$C$26:$BB$26,"&lt;="&amp;AZ$26))</f>
        <v/>
      </c>
      <c r="BA98" s="23">
        <f>MAX(0,BA94-SUMIFS($C$87:$BB$87,$C$26:$BB$26,"&gt;="&amp;BA$26-$G$18+2,$C$26:$BB$26,"&lt;="&amp;BA$26))</f>
        <v/>
      </c>
      <c r="BB98" s="23">
        <f>MAX(0,BB94-SUMIFS($C$87:$BB$87,$C$26:$BB$26,"&gt;="&amp;BB$26-$G$18+2,$C$26:$BB$26,"&lt;="&amp;BB$26))</f>
        <v/>
      </c>
    </row>
    <row r="99">
      <c r="A99" s="4" t="inlineStr">
        <is>
          <t xml:space="preserve">   stock older than its shelf life — a WARNING here, a hard constraint in the app</t>
        </is>
      </c>
    </row>
    <row r="101">
      <c r="A101" s="2" t="inlineStr">
        <is>
          <t>5 — THE TWO STORES</t>
        </is>
      </c>
    </row>
    <row r="102">
      <c r="A102" s="4" t="inlineStr">
        <is>
          <t>Same three-row shape as LAND above, and as 'Available Land / &lt;= / 1' in the original Group 5 model. Read each block downwards: it IS the inequality.</t>
        </is>
      </c>
    </row>
    <row r="103">
      <c r="A103" s="18" t="inlineStr">
        <is>
          <t>Week</t>
        </is>
      </c>
      <c r="B103" s="19" t="inlineStr">
        <is>
          <t>m3</t>
        </is>
      </c>
      <c r="C103" s="20" t="n">
        <v>1</v>
      </c>
      <c r="D103" s="20" t="n">
        <v>2</v>
      </c>
      <c r="E103" s="20" t="n">
        <v>3</v>
      </c>
      <c r="F103" s="20" t="n">
        <v>4</v>
      </c>
      <c r="G103" s="20" t="n">
        <v>5</v>
      </c>
      <c r="H103" s="20" t="n">
        <v>6</v>
      </c>
      <c r="I103" s="20" t="n">
        <v>7</v>
      </c>
      <c r="J103" s="20" t="n">
        <v>8</v>
      </c>
      <c r="K103" s="20" t="n">
        <v>9</v>
      </c>
      <c r="L103" s="20" t="n">
        <v>10</v>
      </c>
      <c r="M103" s="20" t="n">
        <v>11</v>
      </c>
      <c r="N103" s="20" t="n">
        <v>12</v>
      </c>
      <c r="O103" s="20" t="n">
        <v>13</v>
      </c>
      <c r="P103" s="20" t="n">
        <v>14</v>
      </c>
      <c r="Q103" s="20" t="n">
        <v>15</v>
      </c>
      <c r="R103" s="20" t="n">
        <v>16</v>
      </c>
      <c r="S103" s="20" t="n">
        <v>17</v>
      </c>
      <c r="T103" s="20" t="n">
        <v>18</v>
      </c>
      <c r="U103" s="20" t="n">
        <v>19</v>
      </c>
      <c r="V103" s="20" t="n">
        <v>20</v>
      </c>
      <c r="W103" s="20" t="n">
        <v>21</v>
      </c>
      <c r="X103" s="20" t="n">
        <v>22</v>
      </c>
      <c r="Y103" s="20" t="n">
        <v>23</v>
      </c>
      <c r="Z103" s="20" t="n">
        <v>24</v>
      </c>
      <c r="AA103" s="20" t="n">
        <v>25</v>
      </c>
      <c r="AB103" s="20" t="n">
        <v>26</v>
      </c>
      <c r="AC103" s="20" t="n">
        <v>27</v>
      </c>
      <c r="AD103" s="20" t="n">
        <v>28</v>
      </c>
      <c r="AE103" s="20" t="n">
        <v>29</v>
      </c>
      <c r="AF103" s="20" t="n">
        <v>30</v>
      </c>
      <c r="AG103" s="20" t="n">
        <v>31</v>
      </c>
      <c r="AH103" s="20" t="n">
        <v>32</v>
      </c>
      <c r="AI103" s="20" t="n">
        <v>33</v>
      </c>
      <c r="AJ103" s="20" t="n">
        <v>34</v>
      </c>
      <c r="AK103" s="20" t="n">
        <v>35</v>
      </c>
      <c r="AL103" s="20" t="n">
        <v>36</v>
      </c>
      <c r="AM103" s="20" t="n">
        <v>37</v>
      </c>
      <c r="AN103" s="20" t="n">
        <v>38</v>
      </c>
      <c r="AO103" s="20" t="n">
        <v>39</v>
      </c>
      <c r="AP103" s="20" t="n">
        <v>40</v>
      </c>
      <c r="AQ103" s="20" t="n">
        <v>41</v>
      </c>
      <c r="AR103" s="20" t="n">
        <v>42</v>
      </c>
      <c r="AS103" s="20" t="n">
        <v>43</v>
      </c>
      <c r="AT103" s="20" t="n">
        <v>44</v>
      </c>
      <c r="AU103" s="20" t="n">
        <v>45</v>
      </c>
      <c r="AV103" s="20" t="n">
        <v>46</v>
      </c>
      <c r="AW103" s="20" t="n">
        <v>47</v>
      </c>
      <c r="AX103" s="20" t="n">
        <v>48</v>
      </c>
      <c r="AY103" s="20" t="n">
        <v>49</v>
      </c>
      <c r="AZ103" s="20" t="n">
        <v>50</v>
      </c>
      <c r="BA103" s="20" t="n">
        <v>51</v>
      </c>
      <c r="BB103" s="20" t="n">
        <v>52</v>
      </c>
    </row>
    <row r="104">
      <c r="A104" s="30" t="inlineStr">
        <is>
          <t>COLD STORE</t>
        </is>
      </c>
      <c r="B104" s="4" t="inlineStr">
        <is>
          <t>used</t>
        </is>
      </c>
      <c r="C104" s="27">
        <f>C59+C77</f>
        <v/>
      </c>
      <c r="D104" s="27">
        <f>D59+D77</f>
        <v/>
      </c>
      <c r="E104" s="27">
        <f>E59+E77</f>
        <v/>
      </c>
      <c r="F104" s="27">
        <f>F59+F77</f>
        <v/>
      </c>
      <c r="G104" s="27">
        <f>G59+G77</f>
        <v/>
      </c>
      <c r="H104" s="27">
        <f>H59+H77</f>
        <v/>
      </c>
      <c r="I104" s="27">
        <f>I59+I77</f>
        <v/>
      </c>
      <c r="J104" s="27">
        <f>J59+J77</f>
        <v/>
      </c>
      <c r="K104" s="27">
        <f>K59+K77</f>
        <v/>
      </c>
      <c r="L104" s="27">
        <f>L59+L77</f>
        <v/>
      </c>
      <c r="M104" s="27">
        <f>M59+M77</f>
        <v/>
      </c>
      <c r="N104" s="27">
        <f>N59+N77</f>
        <v/>
      </c>
      <c r="O104" s="27">
        <f>O59+O77</f>
        <v/>
      </c>
      <c r="P104" s="27">
        <f>P59+P77</f>
        <v/>
      </c>
      <c r="Q104" s="27">
        <f>Q59+Q77</f>
        <v/>
      </c>
      <c r="R104" s="27">
        <f>R59+R77</f>
        <v/>
      </c>
      <c r="S104" s="27">
        <f>S59+S77</f>
        <v/>
      </c>
      <c r="T104" s="27">
        <f>T59+T77</f>
        <v/>
      </c>
      <c r="U104" s="27">
        <f>U59+U77</f>
        <v/>
      </c>
      <c r="V104" s="27">
        <f>V59+V77</f>
        <v/>
      </c>
      <c r="W104" s="27">
        <f>W59+W77</f>
        <v/>
      </c>
      <c r="X104" s="27">
        <f>X59+X77</f>
        <v/>
      </c>
      <c r="Y104" s="27">
        <f>Y59+Y77</f>
        <v/>
      </c>
      <c r="Z104" s="27">
        <f>Z59+Z77</f>
        <v/>
      </c>
      <c r="AA104" s="27">
        <f>AA59+AA77</f>
        <v/>
      </c>
      <c r="AB104" s="27">
        <f>AB59+AB77</f>
        <v/>
      </c>
      <c r="AC104" s="27">
        <f>AC59+AC77</f>
        <v/>
      </c>
      <c r="AD104" s="27">
        <f>AD59+AD77</f>
        <v/>
      </c>
      <c r="AE104" s="27">
        <f>AE59+AE77</f>
        <v/>
      </c>
      <c r="AF104" s="27">
        <f>AF59+AF77</f>
        <v/>
      </c>
      <c r="AG104" s="27">
        <f>AG59+AG77</f>
        <v/>
      </c>
      <c r="AH104" s="27">
        <f>AH59+AH77</f>
        <v/>
      </c>
      <c r="AI104" s="27">
        <f>AI59+AI77</f>
        <v/>
      </c>
      <c r="AJ104" s="27">
        <f>AJ59+AJ77</f>
        <v/>
      </c>
      <c r="AK104" s="27">
        <f>AK59+AK77</f>
        <v/>
      </c>
      <c r="AL104" s="27">
        <f>AL59+AL77</f>
        <v/>
      </c>
      <c r="AM104" s="27">
        <f>AM59+AM77</f>
        <v/>
      </c>
      <c r="AN104" s="27">
        <f>AN59+AN77</f>
        <v/>
      </c>
      <c r="AO104" s="27">
        <f>AO59+AO77</f>
        <v/>
      </c>
      <c r="AP104" s="27">
        <f>AP59+AP77</f>
        <v/>
      </c>
      <c r="AQ104" s="27">
        <f>AQ59+AQ77</f>
        <v/>
      </c>
      <c r="AR104" s="27">
        <f>AR59+AR77</f>
        <v/>
      </c>
      <c r="AS104" s="27">
        <f>AS59+AS77</f>
        <v/>
      </c>
      <c r="AT104" s="27">
        <f>AT59+AT77</f>
        <v/>
      </c>
      <c r="AU104" s="27">
        <f>AU59+AU77</f>
        <v/>
      </c>
      <c r="AV104" s="27">
        <f>AV59+AV77</f>
        <v/>
      </c>
      <c r="AW104" s="27">
        <f>AW59+AW77</f>
        <v/>
      </c>
      <c r="AX104" s="27">
        <f>AX59+AX77</f>
        <v/>
      </c>
      <c r="AY104" s="27">
        <f>AY59+AY77</f>
        <v/>
      </c>
      <c r="AZ104" s="27">
        <f>AZ59+AZ77</f>
        <v/>
      </c>
      <c r="BA104" s="27">
        <f>BA59+BA77</f>
        <v/>
      </c>
      <c r="BB104" s="27">
        <f>BB59+BB77</f>
        <v/>
      </c>
    </row>
    <row r="105">
      <c r="A105" s="3" t="inlineStr"/>
      <c r="B105" s="4" t="inlineStr"/>
      <c r="C105" s="25" t="inlineStr">
        <is>
          <t>&lt;=</t>
        </is>
      </c>
      <c r="D105" s="25" t="inlineStr">
        <is>
          <t>&lt;=</t>
        </is>
      </c>
      <c r="E105" s="25" t="inlineStr">
        <is>
          <t>&lt;=</t>
        </is>
      </c>
      <c r="F105" s="25" t="inlineStr">
        <is>
          <t>&lt;=</t>
        </is>
      </c>
      <c r="G105" s="25" t="inlineStr">
        <is>
          <t>&lt;=</t>
        </is>
      </c>
      <c r="H105" s="25" t="inlineStr">
        <is>
          <t>&lt;=</t>
        </is>
      </c>
      <c r="I105" s="25" t="inlineStr">
        <is>
          <t>&lt;=</t>
        </is>
      </c>
      <c r="J105" s="25" t="inlineStr">
        <is>
          <t>&lt;=</t>
        </is>
      </c>
      <c r="K105" s="25" t="inlineStr">
        <is>
          <t>&lt;=</t>
        </is>
      </c>
      <c r="L105" s="25" t="inlineStr">
        <is>
          <t>&lt;=</t>
        </is>
      </c>
      <c r="M105" s="25" t="inlineStr">
        <is>
          <t>&lt;=</t>
        </is>
      </c>
      <c r="N105" s="25" t="inlineStr">
        <is>
          <t>&lt;=</t>
        </is>
      </c>
      <c r="O105" s="25" t="inlineStr">
        <is>
          <t>&lt;=</t>
        </is>
      </c>
      <c r="P105" s="25" t="inlineStr">
        <is>
          <t>&lt;=</t>
        </is>
      </c>
      <c r="Q105" s="25" t="inlineStr">
        <is>
          <t>&lt;=</t>
        </is>
      </c>
      <c r="R105" s="25" t="inlineStr">
        <is>
          <t>&lt;=</t>
        </is>
      </c>
      <c r="S105" s="25" t="inlineStr">
        <is>
          <t>&lt;=</t>
        </is>
      </c>
      <c r="T105" s="25" t="inlineStr">
        <is>
          <t>&lt;=</t>
        </is>
      </c>
      <c r="U105" s="25" t="inlineStr">
        <is>
          <t>&lt;=</t>
        </is>
      </c>
      <c r="V105" s="25" t="inlineStr">
        <is>
          <t>&lt;=</t>
        </is>
      </c>
      <c r="W105" s="25" t="inlineStr">
        <is>
          <t>&lt;=</t>
        </is>
      </c>
      <c r="X105" s="25" t="inlineStr">
        <is>
          <t>&lt;=</t>
        </is>
      </c>
      <c r="Y105" s="25" t="inlineStr">
        <is>
          <t>&lt;=</t>
        </is>
      </c>
      <c r="Z105" s="25" t="inlineStr">
        <is>
          <t>&lt;=</t>
        </is>
      </c>
      <c r="AA105" s="25" t="inlineStr">
        <is>
          <t>&lt;=</t>
        </is>
      </c>
      <c r="AB105" s="25" t="inlineStr">
        <is>
          <t>&lt;=</t>
        </is>
      </c>
      <c r="AC105" s="25" t="inlineStr">
        <is>
          <t>&lt;=</t>
        </is>
      </c>
      <c r="AD105" s="25" t="inlineStr">
        <is>
          <t>&lt;=</t>
        </is>
      </c>
      <c r="AE105" s="25" t="inlineStr">
        <is>
          <t>&lt;=</t>
        </is>
      </c>
      <c r="AF105" s="25" t="inlineStr">
        <is>
          <t>&lt;=</t>
        </is>
      </c>
      <c r="AG105" s="25" t="inlineStr">
        <is>
          <t>&lt;=</t>
        </is>
      </c>
      <c r="AH105" s="25" t="inlineStr">
        <is>
          <t>&lt;=</t>
        </is>
      </c>
      <c r="AI105" s="25" t="inlineStr">
        <is>
          <t>&lt;=</t>
        </is>
      </c>
      <c r="AJ105" s="25" t="inlineStr">
        <is>
          <t>&lt;=</t>
        </is>
      </c>
      <c r="AK105" s="25" t="inlineStr">
        <is>
          <t>&lt;=</t>
        </is>
      </c>
      <c r="AL105" s="25" t="inlineStr">
        <is>
          <t>&lt;=</t>
        </is>
      </c>
      <c r="AM105" s="25" t="inlineStr">
        <is>
          <t>&lt;=</t>
        </is>
      </c>
      <c r="AN105" s="25" t="inlineStr">
        <is>
          <t>&lt;=</t>
        </is>
      </c>
      <c r="AO105" s="25" t="inlineStr">
        <is>
          <t>&lt;=</t>
        </is>
      </c>
      <c r="AP105" s="25" t="inlineStr">
        <is>
          <t>&lt;=</t>
        </is>
      </c>
      <c r="AQ105" s="25" t="inlineStr">
        <is>
          <t>&lt;=</t>
        </is>
      </c>
      <c r="AR105" s="25" t="inlineStr">
        <is>
          <t>&lt;=</t>
        </is>
      </c>
      <c r="AS105" s="25" t="inlineStr">
        <is>
          <t>&lt;=</t>
        </is>
      </c>
      <c r="AT105" s="25" t="inlineStr">
        <is>
          <t>&lt;=</t>
        </is>
      </c>
      <c r="AU105" s="25" t="inlineStr">
        <is>
          <t>&lt;=</t>
        </is>
      </c>
      <c r="AV105" s="25" t="inlineStr">
        <is>
          <t>&lt;=</t>
        </is>
      </c>
      <c r="AW105" s="25" t="inlineStr">
        <is>
          <t>&lt;=</t>
        </is>
      </c>
      <c r="AX105" s="25" t="inlineStr">
        <is>
          <t>&lt;=</t>
        </is>
      </c>
      <c r="AY105" s="25" t="inlineStr">
        <is>
          <t>&lt;=</t>
        </is>
      </c>
      <c r="AZ105" s="25" t="inlineStr">
        <is>
          <t>&lt;=</t>
        </is>
      </c>
      <c r="BA105" s="25" t="inlineStr">
        <is>
          <t>&lt;=</t>
        </is>
      </c>
      <c r="BB105" s="25" t="inlineStr">
        <is>
          <t>&lt;=</t>
        </is>
      </c>
    </row>
    <row r="106">
      <c r="A106" s="3" t="inlineStr">
        <is>
          <t xml:space="preserve">  limit</t>
        </is>
      </c>
      <c r="B106" s="4" t="inlineStr">
        <is>
          <t>cap</t>
        </is>
      </c>
      <c r="C106" s="24">
        <f>$B$22</f>
        <v/>
      </c>
      <c r="D106" s="24">
        <f>$B$22</f>
        <v/>
      </c>
      <c r="E106" s="24">
        <f>$B$22</f>
        <v/>
      </c>
      <c r="F106" s="24">
        <f>$B$22</f>
        <v/>
      </c>
      <c r="G106" s="24">
        <f>$B$22</f>
        <v/>
      </c>
      <c r="H106" s="24">
        <f>$B$22</f>
        <v/>
      </c>
      <c r="I106" s="24">
        <f>$B$22</f>
        <v/>
      </c>
      <c r="J106" s="24">
        <f>$B$22</f>
        <v/>
      </c>
      <c r="K106" s="24">
        <f>$B$22</f>
        <v/>
      </c>
      <c r="L106" s="24">
        <f>$B$22</f>
        <v/>
      </c>
      <c r="M106" s="24">
        <f>$B$22</f>
        <v/>
      </c>
      <c r="N106" s="24">
        <f>$B$22</f>
        <v/>
      </c>
      <c r="O106" s="24">
        <f>$B$22</f>
        <v/>
      </c>
      <c r="P106" s="24">
        <f>$B$22</f>
        <v/>
      </c>
      <c r="Q106" s="24">
        <f>$B$22</f>
        <v/>
      </c>
      <c r="R106" s="24">
        <f>$B$22</f>
        <v/>
      </c>
      <c r="S106" s="24">
        <f>$B$22</f>
        <v/>
      </c>
      <c r="T106" s="24">
        <f>$B$22</f>
        <v/>
      </c>
      <c r="U106" s="24">
        <f>$B$22</f>
        <v/>
      </c>
      <c r="V106" s="24">
        <f>$B$22</f>
        <v/>
      </c>
      <c r="W106" s="24">
        <f>$B$22</f>
        <v/>
      </c>
      <c r="X106" s="24">
        <f>$B$22</f>
        <v/>
      </c>
      <c r="Y106" s="24">
        <f>$B$22</f>
        <v/>
      </c>
      <c r="Z106" s="24">
        <f>$B$22</f>
        <v/>
      </c>
      <c r="AA106" s="24">
        <f>$B$22</f>
        <v/>
      </c>
      <c r="AB106" s="24">
        <f>$B$22</f>
        <v/>
      </c>
      <c r="AC106" s="24">
        <f>$B$22</f>
        <v/>
      </c>
      <c r="AD106" s="24">
        <f>$B$22</f>
        <v/>
      </c>
      <c r="AE106" s="24">
        <f>$B$22</f>
        <v/>
      </c>
      <c r="AF106" s="24">
        <f>$B$22</f>
        <v/>
      </c>
      <c r="AG106" s="24">
        <f>$B$22</f>
        <v/>
      </c>
      <c r="AH106" s="24">
        <f>$B$22</f>
        <v/>
      </c>
      <c r="AI106" s="24">
        <f>$B$22</f>
        <v/>
      </c>
      <c r="AJ106" s="24">
        <f>$B$22</f>
        <v/>
      </c>
      <c r="AK106" s="24">
        <f>$B$22</f>
        <v/>
      </c>
      <c r="AL106" s="24">
        <f>$B$22</f>
        <v/>
      </c>
      <c r="AM106" s="24">
        <f>$B$22</f>
        <v/>
      </c>
      <c r="AN106" s="24">
        <f>$B$22</f>
        <v/>
      </c>
      <c r="AO106" s="24">
        <f>$B$22</f>
        <v/>
      </c>
      <c r="AP106" s="24">
        <f>$B$22</f>
        <v/>
      </c>
      <c r="AQ106" s="24">
        <f>$B$22</f>
        <v/>
      </c>
      <c r="AR106" s="24">
        <f>$B$22</f>
        <v/>
      </c>
      <c r="AS106" s="24">
        <f>$B$22</f>
        <v/>
      </c>
      <c r="AT106" s="24">
        <f>$B$22</f>
        <v/>
      </c>
      <c r="AU106" s="24">
        <f>$B$22</f>
        <v/>
      </c>
      <c r="AV106" s="24">
        <f>$B$22</f>
        <v/>
      </c>
      <c r="AW106" s="24">
        <f>$B$22</f>
        <v/>
      </c>
      <c r="AX106" s="24">
        <f>$B$22</f>
        <v/>
      </c>
      <c r="AY106" s="24">
        <f>$B$22</f>
        <v/>
      </c>
      <c r="AZ106" s="24">
        <f>$B$22</f>
        <v/>
      </c>
      <c r="BA106" s="24">
        <f>$B$22</f>
        <v/>
      </c>
      <c r="BB106" s="24">
        <f>$B$22</f>
        <v/>
      </c>
    </row>
    <row r="107">
      <c r="A107" s="21" t="inlineStr">
        <is>
          <t xml:space="preserve">  room left</t>
        </is>
      </c>
      <c r="B107" s="4" t="inlineStr"/>
      <c r="C107" s="24">
        <f>$B$22-C104</f>
        <v/>
      </c>
      <c r="D107" s="24">
        <f>$B$22-D104</f>
        <v/>
      </c>
      <c r="E107" s="24">
        <f>$B$22-E104</f>
        <v/>
      </c>
      <c r="F107" s="24">
        <f>$B$22-F104</f>
        <v/>
      </c>
      <c r="G107" s="24">
        <f>$B$22-G104</f>
        <v/>
      </c>
      <c r="H107" s="24">
        <f>$B$22-H104</f>
        <v/>
      </c>
      <c r="I107" s="24">
        <f>$B$22-I104</f>
        <v/>
      </c>
      <c r="J107" s="24">
        <f>$B$22-J104</f>
        <v/>
      </c>
      <c r="K107" s="24">
        <f>$B$22-K104</f>
        <v/>
      </c>
      <c r="L107" s="24">
        <f>$B$22-L104</f>
        <v/>
      </c>
      <c r="M107" s="24">
        <f>$B$22-M104</f>
        <v/>
      </c>
      <c r="N107" s="24">
        <f>$B$22-N104</f>
        <v/>
      </c>
      <c r="O107" s="24">
        <f>$B$22-O104</f>
        <v/>
      </c>
      <c r="P107" s="24">
        <f>$B$22-P104</f>
        <v/>
      </c>
      <c r="Q107" s="24">
        <f>$B$22-Q104</f>
        <v/>
      </c>
      <c r="R107" s="24">
        <f>$B$22-R104</f>
        <v/>
      </c>
      <c r="S107" s="24">
        <f>$B$22-S104</f>
        <v/>
      </c>
      <c r="T107" s="24">
        <f>$B$22-T104</f>
        <v/>
      </c>
      <c r="U107" s="24">
        <f>$B$22-U104</f>
        <v/>
      </c>
      <c r="V107" s="24">
        <f>$B$22-V104</f>
        <v/>
      </c>
      <c r="W107" s="24">
        <f>$B$22-W104</f>
        <v/>
      </c>
      <c r="X107" s="24">
        <f>$B$22-X104</f>
        <v/>
      </c>
      <c r="Y107" s="24">
        <f>$B$22-Y104</f>
        <v/>
      </c>
      <c r="Z107" s="24">
        <f>$B$22-Z104</f>
        <v/>
      </c>
      <c r="AA107" s="24">
        <f>$B$22-AA104</f>
        <v/>
      </c>
      <c r="AB107" s="24">
        <f>$B$22-AB104</f>
        <v/>
      </c>
      <c r="AC107" s="24">
        <f>$B$22-AC104</f>
        <v/>
      </c>
      <c r="AD107" s="24">
        <f>$B$22-AD104</f>
        <v/>
      </c>
      <c r="AE107" s="24">
        <f>$B$22-AE104</f>
        <v/>
      </c>
      <c r="AF107" s="24">
        <f>$B$22-AF104</f>
        <v/>
      </c>
      <c r="AG107" s="24">
        <f>$B$22-AG104</f>
        <v/>
      </c>
      <c r="AH107" s="24">
        <f>$B$22-AH104</f>
        <v/>
      </c>
      <c r="AI107" s="24">
        <f>$B$22-AI104</f>
        <v/>
      </c>
      <c r="AJ107" s="24">
        <f>$B$22-AJ104</f>
        <v/>
      </c>
      <c r="AK107" s="24">
        <f>$B$22-AK104</f>
        <v/>
      </c>
      <c r="AL107" s="24">
        <f>$B$22-AL104</f>
        <v/>
      </c>
      <c r="AM107" s="24">
        <f>$B$22-AM104</f>
        <v/>
      </c>
      <c r="AN107" s="24">
        <f>$B$22-AN104</f>
        <v/>
      </c>
      <c r="AO107" s="24">
        <f>$B$22-AO104</f>
        <v/>
      </c>
      <c r="AP107" s="24">
        <f>$B$22-AP104</f>
        <v/>
      </c>
      <c r="AQ107" s="24">
        <f>$B$22-AQ104</f>
        <v/>
      </c>
      <c r="AR107" s="24">
        <f>$B$22-AR104</f>
        <v/>
      </c>
      <c r="AS107" s="24">
        <f>$B$22-AS104</f>
        <v/>
      </c>
      <c r="AT107" s="24">
        <f>$B$22-AT104</f>
        <v/>
      </c>
      <c r="AU107" s="24">
        <f>$B$22-AU104</f>
        <v/>
      </c>
      <c r="AV107" s="24">
        <f>$B$22-AV104</f>
        <v/>
      </c>
      <c r="AW107" s="24">
        <f>$B$22-AW104</f>
        <v/>
      </c>
      <c r="AX107" s="24">
        <f>$B$22-AX104</f>
        <v/>
      </c>
      <c r="AY107" s="24">
        <f>$B$22-AY104</f>
        <v/>
      </c>
      <c r="AZ107" s="24">
        <f>$B$22-AZ104</f>
        <v/>
      </c>
      <c r="BA107" s="24">
        <f>$B$22-BA104</f>
        <v/>
      </c>
      <c r="BB107" s="24">
        <f>$B$22-BB104</f>
        <v/>
      </c>
    </row>
    <row r="108">
      <c r="A108" s="4" t="inlineStr">
        <is>
          <t xml:space="preserve">   Holds Spinach, Kale. A RED cell is not a warning — the app refuses the plan.</t>
        </is>
      </c>
    </row>
    <row r="110">
      <c r="A110" s="18" t="inlineStr">
        <is>
          <t>Week</t>
        </is>
      </c>
      <c r="B110" s="19" t="inlineStr">
        <is>
          <t>m3</t>
        </is>
      </c>
      <c r="C110" s="20" t="n">
        <v>1</v>
      </c>
      <c r="D110" s="20" t="n">
        <v>2</v>
      </c>
      <c r="E110" s="20" t="n">
        <v>3</v>
      </c>
      <c r="F110" s="20" t="n">
        <v>4</v>
      </c>
      <c r="G110" s="20" t="n">
        <v>5</v>
      </c>
      <c r="H110" s="20" t="n">
        <v>6</v>
      </c>
      <c r="I110" s="20" t="n">
        <v>7</v>
      </c>
      <c r="J110" s="20" t="n">
        <v>8</v>
      </c>
      <c r="K110" s="20" t="n">
        <v>9</v>
      </c>
      <c r="L110" s="20" t="n">
        <v>10</v>
      </c>
      <c r="M110" s="20" t="n">
        <v>11</v>
      </c>
      <c r="N110" s="20" t="n">
        <v>12</v>
      </c>
      <c r="O110" s="20" t="n">
        <v>13</v>
      </c>
      <c r="P110" s="20" t="n">
        <v>14</v>
      </c>
      <c r="Q110" s="20" t="n">
        <v>15</v>
      </c>
      <c r="R110" s="20" t="n">
        <v>16</v>
      </c>
      <c r="S110" s="20" t="n">
        <v>17</v>
      </c>
      <c r="T110" s="20" t="n">
        <v>18</v>
      </c>
      <c r="U110" s="20" t="n">
        <v>19</v>
      </c>
      <c r="V110" s="20" t="n">
        <v>20</v>
      </c>
      <c r="W110" s="20" t="n">
        <v>21</v>
      </c>
      <c r="X110" s="20" t="n">
        <v>22</v>
      </c>
      <c r="Y110" s="20" t="n">
        <v>23</v>
      </c>
      <c r="Z110" s="20" t="n">
        <v>24</v>
      </c>
      <c r="AA110" s="20" t="n">
        <v>25</v>
      </c>
      <c r="AB110" s="20" t="n">
        <v>26</v>
      </c>
      <c r="AC110" s="20" t="n">
        <v>27</v>
      </c>
      <c r="AD110" s="20" t="n">
        <v>28</v>
      </c>
      <c r="AE110" s="20" t="n">
        <v>29</v>
      </c>
      <c r="AF110" s="20" t="n">
        <v>30</v>
      </c>
      <c r="AG110" s="20" t="n">
        <v>31</v>
      </c>
      <c r="AH110" s="20" t="n">
        <v>32</v>
      </c>
      <c r="AI110" s="20" t="n">
        <v>33</v>
      </c>
      <c r="AJ110" s="20" t="n">
        <v>34</v>
      </c>
      <c r="AK110" s="20" t="n">
        <v>35</v>
      </c>
      <c r="AL110" s="20" t="n">
        <v>36</v>
      </c>
      <c r="AM110" s="20" t="n">
        <v>37</v>
      </c>
      <c r="AN110" s="20" t="n">
        <v>38</v>
      </c>
      <c r="AO110" s="20" t="n">
        <v>39</v>
      </c>
      <c r="AP110" s="20" t="n">
        <v>40</v>
      </c>
      <c r="AQ110" s="20" t="n">
        <v>41</v>
      </c>
      <c r="AR110" s="20" t="n">
        <v>42</v>
      </c>
      <c r="AS110" s="20" t="n">
        <v>43</v>
      </c>
      <c r="AT110" s="20" t="n">
        <v>44</v>
      </c>
      <c r="AU110" s="20" t="n">
        <v>45</v>
      </c>
      <c r="AV110" s="20" t="n">
        <v>46</v>
      </c>
      <c r="AW110" s="20" t="n">
        <v>47</v>
      </c>
      <c r="AX110" s="20" t="n">
        <v>48</v>
      </c>
      <c r="AY110" s="20" t="n">
        <v>49</v>
      </c>
      <c r="AZ110" s="20" t="n">
        <v>50</v>
      </c>
      <c r="BA110" s="20" t="n">
        <v>51</v>
      </c>
      <c r="BB110" s="20" t="n">
        <v>52</v>
      </c>
    </row>
    <row r="111">
      <c r="A111" s="31" t="inlineStr">
        <is>
          <t>AMBIENT STORE</t>
        </is>
      </c>
      <c r="B111" s="4" t="inlineStr">
        <is>
          <t>used</t>
        </is>
      </c>
      <c r="C111" s="29">
        <f>C95</f>
        <v/>
      </c>
      <c r="D111" s="29">
        <f>D95</f>
        <v/>
      </c>
      <c r="E111" s="29">
        <f>E95</f>
        <v/>
      </c>
      <c r="F111" s="29">
        <f>F95</f>
        <v/>
      </c>
      <c r="G111" s="29">
        <f>G95</f>
        <v/>
      </c>
      <c r="H111" s="29">
        <f>H95</f>
        <v/>
      </c>
      <c r="I111" s="29">
        <f>I95</f>
        <v/>
      </c>
      <c r="J111" s="29">
        <f>J95</f>
        <v/>
      </c>
      <c r="K111" s="29">
        <f>K95</f>
        <v/>
      </c>
      <c r="L111" s="29">
        <f>L95</f>
        <v/>
      </c>
      <c r="M111" s="29">
        <f>M95</f>
        <v/>
      </c>
      <c r="N111" s="29">
        <f>N95</f>
        <v/>
      </c>
      <c r="O111" s="29">
        <f>O95</f>
        <v/>
      </c>
      <c r="P111" s="29">
        <f>P95</f>
        <v/>
      </c>
      <c r="Q111" s="29">
        <f>Q95</f>
        <v/>
      </c>
      <c r="R111" s="29">
        <f>R95</f>
        <v/>
      </c>
      <c r="S111" s="29">
        <f>S95</f>
        <v/>
      </c>
      <c r="T111" s="29">
        <f>T95</f>
        <v/>
      </c>
      <c r="U111" s="29">
        <f>U95</f>
        <v/>
      </c>
      <c r="V111" s="29">
        <f>V95</f>
        <v/>
      </c>
      <c r="W111" s="29">
        <f>W95</f>
        <v/>
      </c>
      <c r="X111" s="29">
        <f>X95</f>
        <v/>
      </c>
      <c r="Y111" s="29">
        <f>Y95</f>
        <v/>
      </c>
      <c r="Z111" s="29">
        <f>Z95</f>
        <v/>
      </c>
      <c r="AA111" s="29">
        <f>AA95</f>
        <v/>
      </c>
      <c r="AB111" s="29">
        <f>AB95</f>
        <v/>
      </c>
      <c r="AC111" s="29">
        <f>AC95</f>
        <v/>
      </c>
      <c r="AD111" s="29">
        <f>AD95</f>
        <v/>
      </c>
      <c r="AE111" s="29">
        <f>AE95</f>
        <v/>
      </c>
      <c r="AF111" s="29">
        <f>AF95</f>
        <v/>
      </c>
      <c r="AG111" s="29">
        <f>AG95</f>
        <v/>
      </c>
      <c r="AH111" s="29">
        <f>AH95</f>
        <v/>
      </c>
      <c r="AI111" s="29">
        <f>AI95</f>
        <v/>
      </c>
      <c r="AJ111" s="29">
        <f>AJ95</f>
        <v/>
      </c>
      <c r="AK111" s="29">
        <f>AK95</f>
        <v/>
      </c>
      <c r="AL111" s="29">
        <f>AL95</f>
        <v/>
      </c>
      <c r="AM111" s="29">
        <f>AM95</f>
        <v/>
      </c>
      <c r="AN111" s="29">
        <f>AN95</f>
        <v/>
      </c>
      <c r="AO111" s="29">
        <f>AO95</f>
        <v/>
      </c>
      <c r="AP111" s="29">
        <f>AP95</f>
        <v/>
      </c>
      <c r="AQ111" s="29">
        <f>AQ95</f>
        <v/>
      </c>
      <c r="AR111" s="29">
        <f>AR95</f>
        <v/>
      </c>
      <c r="AS111" s="29">
        <f>AS95</f>
        <v/>
      </c>
      <c r="AT111" s="29">
        <f>AT95</f>
        <v/>
      </c>
      <c r="AU111" s="29">
        <f>AU95</f>
        <v/>
      </c>
      <c r="AV111" s="29">
        <f>AV95</f>
        <v/>
      </c>
      <c r="AW111" s="29">
        <f>AW95</f>
        <v/>
      </c>
      <c r="AX111" s="29">
        <f>AX95</f>
        <v/>
      </c>
      <c r="AY111" s="29">
        <f>AY95</f>
        <v/>
      </c>
      <c r="AZ111" s="29">
        <f>AZ95</f>
        <v/>
      </c>
      <c r="BA111" s="29">
        <f>BA95</f>
        <v/>
      </c>
      <c r="BB111" s="29">
        <f>BB95</f>
        <v/>
      </c>
    </row>
    <row r="112">
      <c r="A112" s="3" t="inlineStr"/>
      <c r="B112" s="4" t="inlineStr"/>
      <c r="C112" s="25" t="inlineStr">
        <is>
          <t>&lt;=</t>
        </is>
      </c>
      <c r="D112" s="25" t="inlineStr">
        <is>
          <t>&lt;=</t>
        </is>
      </c>
      <c r="E112" s="25" t="inlineStr">
        <is>
          <t>&lt;=</t>
        </is>
      </c>
      <c r="F112" s="25" t="inlineStr">
        <is>
          <t>&lt;=</t>
        </is>
      </c>
      <c r="G112" s="25" t="inlineStr">
        <is>
          <t>&lt;=</t>
        </is>
      </c>
      <c r="H112" s="25" t="inlineStr">
        <is>
          <t>&lt;=</t>
        </is>
      </c>
      <c r="I112" s="25" t="inlineStr">
        <is>
          <t>&lt;=</t>
        </is>
      </c>
      <c r="J112" s="25" t="inlineStr">
        <is>
          <t>&lt;=</t>
        </is>
      </c>
      <c r="K112" s="25" t="inlineStr">
        <is>
          <t>&lt;=</t>
        </is>
      </c>
      <c r="L112" s="25" t="inlineStr">
        <is>
          <t>&lt;=</t>
        </is>
      </c>
      <c r="M112" s="25" t="inlineStr">
        <is>
          <t>&lt;=</t>
        </is>
      </c>
      <c r="N112" s="25" t="inlineStr">
        <is>
          <t>&lt;=</t>
        </is>
      </c>
      <c r="O112" s="25" t="inlineStr">
        <is>
          <t>&lt;=</t>
        </is>
      </c>
      <c r="P112" s="25" t="inlineStr">
        <is>
          <t>&lt;=</t>
        </is>
      </c>
      <c r="Q112" s="25" t="inlineStr">
        <is>
          <t>&lt;=</t>
        </is>
      </c>
      <c r="R112" s="25" t="inlineStr">
        <is>
          <t>&lt;=</t>
        </is>
      </c>
      <c r="S112" s="25" t="inlineStr">
        <is>
          <t>&lt;=</t>
        </is>
      </c>
      <c r="T112" s="25" t="inlineStr">
        <is>
          <t>&lt;=</t>
        </is>
      </c>
      <c r="U112" s="25" t="inlineStr">
        <is>
          <t>&lt;=</t>
        </is>
      </c>
      <c r="V112" s="25" t="inlineStr">
        <is>
          <t>&lt;=</t>
        </is>
      </c>
      <c r="W112" s="25" t="inlineStr">
        <is>
          <t>&lt;=</t>
        </is>
      </c>
      <c r="X112" s="25" t="inlineStr">
        <is>
          <t>&lt;=</t>
        </is>
      </c>
      <c r="Y112" s="25" t="inlineStr">
        <is>
          <t>&lt;=</t>
        </is>
      </c>
      <c r="Z112" s="25" t="inlineStr">
        <is>
          <t>&lt;=</t>
        </is>
      </c>
      <c r="AA112" s="25" t="inlineStr">
        <is>
          <t>&lt;=</t>
        </is>
      </c>
      <c r="AB112" s="25" t="inlineStr">
        <is>
          <t>&lt;=</t>
        </is>
      </c>
      <c r="AC112" s="25" t="inlineStr">
        <is>
          <t>&lt;=</t>
        </is>
      </c>
      <c r="AD112" s="25" t="inlineStr">
        <is>
          <t>&lt;=</t>
        </is>
      </c>
      <c r="AE112" s="25" t="inlineStr">
        <is>
          <t>&lt;=</t>
        </is>
      </c>
      <c r="AF112" s="25" t="inlineStr">
        <is>
          <t>&lt;=</t>
        </is>
      </c>
      <c r="AG112" s="25" t="inlineStr">
        <is>
          <t>&lt;=</t>
        </is>
      </c>
      <c r="AH112" s="25" t="inlineStr">
        <is>
          <t>&lt;=</t>
        </is>
      </c>
      <c r="AI112" s="25" t="inlineStr">
        <is>
          <t>&lt;=</t>
        </is>
      </c>
      <c r="AJ112" s="25" t="inlineStr">
        <is>
          <t>&lt;=</t>
        </is>
      </c>
      <c r="AK112" s="25" t="inlineStr">
        <is>
          <t>&lt;=</t>
        </is>
      </c>
      <c r="AL112" s="25" t="inlineStr">
        <is>
          <t>&lt;=</t>
        </is>
      </c>
      <c r="AM112" s="25" t="inlineStr">
        <is>
          <t>&lt;=</t>
        </is>
      </c>
      <c r="AN112" s="25" t="inlineStr">
        <is>
          <t>&lt;=</t>
        </is>
      </c>
      <c r="AO112" s="25" t="inlineStr">
        <is>
          <t>&lt;=</t>
        </is>
      </c>
      <c r="AP112" s="25" t="inlineStr">
        <is>
          <t>&lt;=</t>
        </is>
      </c>
      <c r="AQ112" s="25" t="inlineStr">
        <is>
          <t>&lt;=</t>
        </is>
      </c>
      <c r="AR112" s="25" t="inlineStr">
        <is>
          <t>&lt;=</t>
        </is>
      </c>
      <c r="AS112" s="25" t="inlineStr">
        <is>
          <t>&lt;=</t>
        </is>
      </c>
      <c r="AT112" s="25" t="inlineStr">
        <is>
          <t>&lt;=</t>
        </is>
      </c>
      <c r="AU112" s="25" t="inlineStr">
        <is>
          <t>&lt;=</t>
        </is>
      </c>
      <c r="AV112" s="25" t="inlineStr">
        <is>
          <t>&lt;=</t>
        </is>
      </c>
      <c r="AW112" s="25" t="inlineStr">
        <is>
          <t>&lt;=</t>
        </is>
      </c>
      <c r="AX112" s="25" t="inlineStr">
        <is>
          <t>&lt;=</t>
        </is>
      </c>
      <c r="AY112" s="25" t="inlineStr">
        <is>
          <t>&lt;=</t>
        </is>
      </c>
      <c r="AZ112" s="25" t="inlineStr">
        <is>
          <t>&lt;=</t>
        </is>
      </c>
      <c r="BA112" s="25" t="inlineStr">
        <is>
          <t>&lt;=</t>
        </is>
      </c>
      <c r="BB112" s="25" t="inlineStr">
        <is>
          <t>&lt;=</t>
        </is>
      </c>
    </row>
    <row r="113">
      <c r="A113" s="3" t="inlineStr">
        <is>
          <t xml:space="preserve">  limit</t>
        </is>
      </c>
      <c r="B113" s="4" t="inlineStr">
        <is>
          <t>cap</t>
        </is>
      </c>
      <c r="C113" s="24">
        <f>$B$23</f>
        <v/>
      </c>
      <c r="D113" s="24">
        <f>$B$23</f>
        <v/>
      </c>
      <c r="E113" s="24">
        <f>$B$23</f>
        <v/>
      </c>
      <c r="F113" s="24">
        <f>$B$23</f>
        <v/>
      </c>
      <c r="G113" s="24">
        <f>$B$23</f>
        <v/>
      </c>
      <c r="H113" s="24">
        <f>$B$23</f>
        <v/>
      </c>
      <c r="I113" s="24">
        <f>$B$23</f>
        <v/>
      </c>
      <c r="J113" s="24">
        <f>$B$23</f>
        <v/>
      </c>
      <c r="K113" s="24">
        <f>$B$23</f>
        <v/>
      </c>
      <c r="L113" s="24">
        <f>$B$23</f>
        <v/>
      </c>
      <c r="M113" s="24">
        <f>$B$23</f>
        <v/>
      </c>
      <c r="N113" s="24">
        <f>$B$23</f>
        <v/>
      </c>
      <c r="O113" s="24">
        <f>$B$23</f>
        <v/>
      </c>
      <c r="P113" s="24">
        <f>$B$23</f>
        <v/>
      </c>
      <c r="Q113" s="24">
        <f>$B$23</f>
        <v/>
      </c>
      <c r="R113" s="24">
        <f>$B$23</f>
        <v/>
      </c>
      <c r="S113" s="24">
        <f>$B$23</f>
        <v/>
      </c>
      <c r="T113" s="24">
        <f>$B$23</f>
        <v/>
      </c>
      <c r="U113" s="24">
        <f>$B$23</f>
        <v/>
      </c>
      <c r="V113" s="24">
        <f>$B$23</f>
        <v/>
      </c>
      <c r="W113" s="24">
        <f>$B$23</f>
        <v/>
      </c>
      <c r="X113" s="24">
        <f>$B$23</f>
        <v/>
      </c>
      <c r="Y113" s="24">
        <f>$B$23</f>
        <v/>
      </c>
      <c r="Z113" s="24">
        <f>$B$23</f>
        <v/>
      </c>
      <c r="AA113" s="24">
        <f>$B$23</f>
        <v/>
      </c>
      <c r="AB113" s="24">
        <f>$B$23</f>
        <v/>
      </c>
      <c r="AC113" s="24">
        <f>$B$23</f>
        <v/>
      </c>
      <c r="AD113" s="24">
        <f>$B$23</f>
        <v/>
      </c>
      <c r="AE113" s="24">
        <f>$B$23</f>
        <v/>
      </c>
      <c r="AF113" s="24">
        <f>$B$23</f>
        <v/>
      </c>
      <c r="AG113" s="24">
        <f>$B$23</f>
        <v/>
      </c>
      <c r="AH113" s="24">
        <f>$B$23</f>
        <v/>
      </c>
      <c r="AI113" s="24">
        <f>$B$23</f>
        <v/>
      </c>
      <c r="AJ113" s="24">
        <f>$B$23</f>
        <v/>
      </c>
      <c r="AK113" s="24">
        <f>$B$23</f>
        <v/>
      </c>
      <c r="AL113" s="24">
        <f>$B$23</f>
        <v/>
      </c>
      <c r="AM113" s="24">
        <f>$B$23</f>
        <v/>
      </c>
      <c r="AN113" s="24">
        <f>$B$23</f>
        <v/>
      </c>
      <c r="AO113" s="24">
        <f>$B$23</f>
        <v/>
      </c>
      <c r="AP113" s="24">
        <f>$B$23</f>
        <v/>
      </c>
      <c r="AQ113" s="24">
        <f>$B$23</f>
        <v/>
      </c>
      <c r="AR113" s="24">
        <f>$B$23</f>
        <v/>
      </c>
      <c r="AS113" s="24">
        <f>$B$23</f>
        <v/>
      </c>
      <c r="AT113" s="24">
        <f>$B$23</f>
        <v/>
      </c>
      <c r="AU113" s="24">
        <f>$B$23</f>
        <v/>
      </c>
      <c r="AV113" s="24">
        <f>$B$23</f>
        <v/>
      </c>
      <c r="AW113" s="24">
        <f>$B$23</f>
        <v/>
      </c>
      <c r="AX113" s="24">
        <f>$B$23</f>
        <v/>
      </c>
      <c r="AY113" s="24">
        <f>$B$23</f>
        <v/>
      </c>
      <c r="AZ113" s="24">
        <f>$B$23</f>
        <v/>
      </c>
      <c r="BA113" s="24">
        <f>$B$23</f>
        <v/>
      </c>
      <c r="BB113" s="24">
        <f>$B$23</f>
        <v/>
      </c>
    </row>
    <row r="114">
      <c r="A114" s="21" t="inlineStr">
        <is>
          <t xml:space="preserve">  room left</t>
        </is>
      </c>
      <c r="B114" s="4" t="inlineStr"/>
      <c r="C114" s="24">
        <f>$B$23-C111</f>
        <v/>
      </c>
      <c r="D114" s="24">
        <f>$B$23-D111</f>
        <v/>
      </c>
      <c r="E114" s="24">
        <f>$B$23-E111</f>
        <v/>
      </c>
      <c r="F114" s="24">
        <f>$B$23-F111</f>
        <v/>
      </c>
      <c r="G114" s="24">
        <f>$B$23-G111</f>
        <v/>
      </c>
      <c r="H114" s="24">
        <f>$B$23-H111</f>
        <v/>
      </c>
      <c r="I114" s="24">
        <f>$B$23-I111</f>
        <v/>
      </c>
      <c r="J114" s="24">
        <f>$B$23-J111</f>
        <v/>
      </c>
      <c r="K114" s="24">
        <f>$B$23-K111</f>
        <v/>
      </c>
      <c r="L114" s="24">
        <f>$B$23-L111</f>
        <v/>
      </c>
      <c r="M114" s="24">
        <f>$B$23-M111</f>
        <v/>
      </c>
      <c r="N114" s="24">
        <f>$B$23-N111</f>
        <v/>
      </c>
      <c r="O114" s="24">
        <f>$B$23-O111</f>
        <v/>
      </c>
      <c r="P114" s="24">
        <f>$B$23-P111</f>
        <v/>
      </c>
      <c r="Q114" s="24">
        <f>$B$23-Q111</f>
        <v/>
      </c>
      <c r="R114" s="24">
        <f>$B$23-R111</f>
        <v/>
      </c>
      <c r="S114" s="24">
        <f>$B$23-S111</f>
        <v/>
      </c>
      <c r="T114" s="24">
        <f>$B$23-T111</f>
        <v/>
      </c>
      <c r="U114" s="24">
        <f>$B$23-U111</f>
        <v/>
      </c>
      <c r="V114" s="24">
        <f>$B$23-V111</f>
        <v/>
      </c>
      <c r="W114" s="24">
        <f>$B$23-W111</f>
        <v/>
      </c>
      <c r="X114" s="24">
        <f>$B$23-X111</f>
        <v/>
      </c>
      <c r="Y114" s="24">
        <f>$B$23-Y111</f>
        <v/>
      </c>
      <c r="Z114" s="24">
        <f>$B$23-Z111</f>
        <v/>
      </c>
      <c r="AA114" s="24">
        <f>$B$23-AA111</f>
        <v/>
      </c>
      <c r="AB114" s="24">
        <f>$B$23-AB111</f>
        <v/>
      </c>
      <c r="AC114" s="24">
        <f>$B$23-AC111</f>
        <v/>
      </c>
      <c r="AD114" s="24">
        <f>$B$23-AD111</f>
        <v/>
      </c>
      <c r="AE114" s="24">
        <f>$B$23-AE111</f>
        <v/>
      </c>
      <c r="AF114" s="24">
        <f>$B$23-AF111</f>
        <v/>
      </c>
      <c r="AG114" s="24">
        <f>$B$23-AG111</f>
        <v/>
      </c>
      <c r="AH114" s="24">
        <f>$B$23-AH111</f>
        <v/>
      </c>
      <c r="AI114" s="24">
        <f>$B$23-AI111</f>
        <v/>
      </c>
      <c r="AJ114" s="24">
        <f>$B$23-AJ111</f>
        <v/>
      </c>
      <c r="AK114" s="24">
        <f>$B$23-AK111</f>
        <v/>
      </c>
      <c r="AL114" s="24">
        <f>$B$23-AL111</f>
        <v/>
      </c>
      <c r="AM114" s="24">
        <f>$B$23-AM111</f>
        <v/>
      </c>
      <c r="AN114" s="24">
        <f>$B$23-AN111</f>
        <v/>
      </c>
      <c r="AO114" s="24">
        <f>$B$23-AO111</f>
        <v/>
      </c>
      <c r="AP114" s="24">
        <f>$B$23-AP111</f>
        <v/>
      </c>
      <c r="AQ114" s="24">
        <f>$B$23-AQ111</f>
        <v/>
      </c>
      <c r="AR114" s="24">
        <f>$B$23-AR111</f>
        <v/>
      </c>
      <c r="AS114" s="24">
        <f>$B$23-AS111</f>
        <v/>
      </c>
      <c r="AT114" s="24">
        <f>$B$23-AT111</f>
        <v/>
      </c>
      <c r="AU114" s="24">
        <f>$B$23-AU111</f>
        <v/>
      </c>
      <c r="AV114" s="24">
        <f>$B$23-AV111</f>
        <v/>
      </c>
      <c r="AW114" s="24">
        <f>$B$23-AW111</f>
        <v/>
      </c>
      <c r="AX114" s="24">
        <f>$B$23-AX111</f>
        <v/>
      </c>
      <c r="AY114" s="24">
        <f>$B$23-AY111</f>
        <v/>
      </c>
      <c r="AZ114" s="24">
        <f>$B$23-AZ111</f>
        <v/>
      </c>
      <c r="BA114" s="24">
        <f>$B$23-BA111</f>
        <v/>
      </c>
      <c r="BB114" s="24">
        <f>$B$23-BB111</f>
        <v/>
      </c>
    </row>
    <row r="115">
      <c r="A115" s="4" t="inlineStr">
        <is>
          <t xml:space="preserve">   Holds Garlic. A RED cell is not a warning — the app refuses the plan.</t>
        </is>
      </c>
    </row>
    <row r="117">
      <c r="A117" s="2" t="inlineStr">
        <is>
          <t>6 — WHAT THIS PLAN DOES</t>
        </is>
      </c>
    </row>
    <row r="118">
      <c r="A118" s="3" t="inlineStr">
        <is>
          <t>Peak COLD store used</t>
        </is>
      </c>
      <c r="B118" s="10">
        <f>MAX(C104:BB104)</f>
        <v/>
      </c>
      <c r="C118" s="4" t="inlineStr">
        <is>
          <t>m3   against a 275 m3 cooler</t>
        </is>
      </c>
    </row>
    <row r="119">
      <c r="A119" s="3" t="inlineStr">
        <is>
          <t>Weeks the cooler overflows</t>
        </is>
      </c>
      <c r="B119" s="32">
        <f>COUNTIF(C107:BB107,"&lt;0")</f>
        <v/>
      </c>
      <c r="C119" s="4" t="inlineStr">
        <is>
          <t>weeks out of 52</t>
        </is>
      </c>
    </row>
    <row r="120">
      <c r="A120" s="3" t="inlineStr">
        <is>
          <t>Peak AMBIENT store used</t>
        </is>
      </c>
      <c r="B120" s="10">
        <f>MAX(C111:BB111)</f>
        <v/>
      </c>
      <c r="C120" s="4" t="inlineStr">
        <is>
          <t>m3   against a 150 m3 barn</t>
        </is>
      </c>
    </row>
    <row r="121">
      <c r="A121" s="3" t="inlineStr">
        <is>
          <t>Weeks the barn overflows</t>
        </is>
      </c>
      <c r="B121" s="32">
        <f>COUNTIF(C114:BB114,"&lt;0")</f>
        <v/>
      </c>
      <c r="C121" s="4" t="inlineStr">
        <is>
          <t>weeks out of 52</t>
        </is>
      </c>
    </row>
    <row r="123">
      <c r="A123" t="inlineStr">
        <is>
          <t>Spinach — harvested (gross)</t>
        </is>
      </c>
      <c r="B123" s="23">
        <f>SUM(C49:BB49)</f>
        <v/>
      </c>
      <c r="C123" s="4" t="inlineStr">
        <is>
          <t>lb off the field</t>
        </is>
      </c>
    </row>
    <row r="124">
      <c r="A124" t="inlineStr">
        <is>
          <t>Spinach — field cull</t>
        </is>
      </c>
      <c r="B124" s="23">
        <f>SUM(C50:BB50)</f>
        <v/>
      </c>
      <c r="C124" s="4" t="inlineStr">
        <is>
          <t>lb  — never entered the store</t>
        </is>
      </c>
    </row>
    <row r="125">
      <c r="A125" t="inlineStr">
        <is>
          <t>Spinach — packed out</t>
        </is>
      </c>
      <c r="B125" s="23">
        <f>SUM(C51:BB51)</f>
        <v/>
      </c>
      <c r="C125" s="4" t="inlineStr">
        <is>
          <t>lb  — this is what the cooler has to hold</t>
        </is>
      </c>
    </row>
    <row r="126">
      <c r="A126" t="inlineStr">
        <is>
          <t>Spinach — shipped</t>
        </is>
      </c>
      <c r="B126" s="23">
        <f>SUM(C55:BB55)</f>
        <v/>
      </c>
      <c r="C126" s="4" t="inlineStr">
        <is>
          <t>lb out of store</t>
        </is>
      </c>
    </row>
    <row r="127">
      <c r="A127" s="3" t="inlineStr">
        <is>
          <t>Spinach — SOLD</t>
        </is>
      </c>
      <c r="B127" s="33">
        <f>SUM(C56:BB56)</f>
        <v/>
      </c>
      <c r="C127" s="4" t="inlineStr">
        <is>
          <t>lb</t>
        </is>
      </c>
    </row>
    <row r="128">
      <c r="A128" t="inlineStr">
        <is>
          <t>Spinach — market loss</t>
        </is>
      </c>
      <c r="B128" s="23">
        <f>SUM(C57:BB57)</f>
        <v/>
      </c>
      <c r="C128" s="4" t="inlineStr">
        <is>
          <t>lb  — was cooled and shipped, did not sell, does not come back</t>
        </is>
      </c>
    </row>
    <row r="129">
      <c r="A129" t="inlineStr">
        <is>
          <t>Spinach — lost to shrink</t>
        </is>
      </c>
      <c r="B129" s="23">
        <f>SUM(C53:BB53)</f>
        <v/>
      </c>
      <c r="C129" s="4" t="inlineStr">
        <is>
          <t>lb in store</t>
        </is>
      </c>
    </row>
    <row r="130">
      <c r="A130" t="inlineStr">
        <is>
          <t>Spinach — left at year end</t>
        </is>
      </c>
      <c r="B130" s="23">
        <f>BB58</f>
        <v/>
      </c>
      <c r="C130" s="4" t="inlineStr">
        <is>
          <t>lb  (the app anchors stock at zero on 1 Jan, so this is stranded)</t>
        </is>
      </c>
    </row>
    <row r="131">
      <c r="A131" t="inlineStr">
        <is>
          <t>Spinach — over shelf life at worst</t>
        </is>
      </c>
      <c r="B131" s="23">
        <f>MAX(C62:BB62)</f>
        <v/>
      </c>
      <c r="C131" s="4" t="inlineStr">
        <is>
          <t>lb  (WARNING only in this sheet)</t>
        </is>
      </c>
    </row>
    <row r="133">
      <c r="A133" t="inlineStr">
        <is>
          <t>Kale — harvested (gross)</t>
        </is>
      </c>
      <c r="B133" s="23">
        <f>SUM(C67:BB67)</f>
        <v/>
      </c>
      <c r="C133" s="4" t="inlineStr">
        <is>
          <t>lb off the field</t>
        </is>
      </c>
    </row>
    <row r="134">
      <c r="A134" t="inlineStr">
        <is>
          <t>Kale — field cull</t>
        </is>
      </c>
      <c r="B134" s="23">
        <f>SUM(C68:BB68)</f>
        <v/>
      </c>
      <c r="C134" s="4" t="inlineStr">
        <is>
          <t>lb  — never entered the store</t>
        </is>
      </c>
    </row>
    <row r="135">
      <c r="A135" t="inlineStr">
        <is>
          <t>Kale — packed out</t>
        </is>
      </c>
      <c r="B135" s="23">
        <f>SUM(C69:BB69)</f>
        <v/>
      </c>
      <c r="C135" s="4" t="inlineStr">
        <is>
          <t>lb  — this is what the cooler has to hold</t>
        </is>
      </c>
    </row>
    <row r="136">
      <c r="A136" t="inlineStr">
        <is>
          <t>Kale — shipped</t>
        </is>
      </c>
      <c r="B136" s="23">
        <f>SUM(C73:BB73)</f>
        <v/>
      </c>
      <c r="C136" s="4" t="inlineStr">
        <is>
          <t>lb out of store</t>
        </is>
      </c>
    </row>
    <row r="137">
      <c r="A137" s="3" t="inlineStr">
        <is>
          <t>Kale — SOLD</t>
        </is>
      </c>
      <c r="B137" s="33">
        <f>SUM(C74:BB74)</f>
        <v/>
      </c>
      <c r="C137" s="4" t="inlineStr">
        <is>
          <t>lb</t>
        </is>
      </c>
    </row>
    <row r="138">
      <c r="A138" t="inlineStr">
        <is>
          <t>Kale — market loss</t>
        </is>
      </c>
      <c r="B138" s="23">
        <f>SUM(C75:BB75)</f>
        <v/>
      </c>
      <c r="C138" s="4" t="inlineStr">
        <is>
          <t>lb  — was cooled and shipped, did not sell, does not come back</t>
        </is>
      </c>
    </row>
    <row r="139">
      <c r="A139" t="inlineStr">
        <is>
          <t>Kale — lost to shrink</t>
        </is>
      </c>
      <c r="B139" s="23">
        <f>SUM(C71:BB71)</f>
        <v/>
      </c>
      <c r="C139" s="4" t="inlineStr">
        <is>
          <t>lb in store</t>
        </is>
      </c>
    </row>
    <row r="140">
      <c r="A140" t="inlineStr">
        <is>
          <t>Kale — left at year end</t>
        </is>
      </c>
      <c r="B140" s="23">
        <f>BB76</f>
        <v/>
      </c>
      <c r="C140" s="4" t="inlineStr">
        <is>
          <t>lb  (the app anchors stock at zero on 1 Jan, so this is stranded)</t>
        </is>
      </c>
    </row>
    <row r="141">
      <c r="A141" t="inlineStr">
        <is>
          <t>Kale — over shelf life at worst</t>
        </is>
      </c>
      <c r="B141" s="23">
        <f>MAX(C80:BB80)</f>
        <v/>
      </c>
      <c r="C141" s="4" t="inlineStr">
        <is>
          <t>lb  (WARNING only in this sheet)</t>
        </is>
      </c>
    </row>
    <row r="143">
      <c r="A143" t="inlineStr">
        <is>
          <t>Garlic — harvested (gross)</t>
        </is>
      </c>
      <c r="B143" s="23">
        <f>SUM(C85:BB85)</f>
        <v/>
      </c>
      <c r="C143" s="4" t="inlineStr">
        <is>
          <t>lb off the field</t>
        </is>
      </c>
    </row>
    <row r="144">
      <c r="A144" t="inlineStr">
        <is>
          <t>Garlic — field cull</t>
        </is>
      </c>
      <c r="B144" s="23">
        <f>SUM(C86:BB86)</f>
        <v/>
      </c>
      <c r="C144" s="4" t="inlineStr">
        <is>
          <t>lb  — never entered the store</t>
        </is>
      </c>
    </row>
    <row r="145">
      <c r="A145" t="inlineStr">
        <is>
          <t>Garlic — packed out</t>
        </is>
      </c>
      <c r="B145" s="23">
        <f>SUM(C87:BB87)</f>
        <v/>
      </c>
      <c r="C145" s="4" t="inlineStr">
        <is>
          <t>lb  — this is what the cooler has to hold</t>
        </is>
      </c>
    </row>
    <row r="146">
      <c r="A146" t="inlineStr">
        <is>
          <t>Garlic — shipped</t>
        </is>
      </c>
      <c r="B146" s="23">
        <f>SUM(C91:BB91)</f>
        <v/>
      </c>
      <c r="C146" s="4" t="inlineStr">
        <is>
          <t>lb out of store</t>
        </is>
      </c>
    </row>
    <row r="147">
      <c r="A147" s="3" t="inlineStr">
        <is>
          <t>Garlic — SOLD</t>
        </is>
      </c>
      <c r="B147" s="33">
        <f>SUM(C92:BB92)</f>
        <v/>
      </c>
      <c r="C147" s="4" t="inlineStr">
        <is>
          <t>lb</t>
        </is>
      </c>
    </row>
    <row r="148">
      <c r="A148" t="inlineStr">
        <is>
          <t>Garlic — market loss</t>
        </is>
      </c>
      <c r="B148" s="23">
        <f>SUM(C93:BB93)</f>
        <v/>
      </c>
      <c r="C148" s="4" t="inlineStr">
        <is>
          <t>lb  — was cooled and shipped, did not sell, does not come back</t>
        </is>
      </c>
    </row>
    <row r="149">
      <c r="A149" t="inlineStr">
        <is>
          <t>Garlic — lost to shrink</t>
        </is>
      </c>
      <c r="B149" s="23">
        <f>SUM(C89:BB89)</f>
        <v/>
      </c>
      <c r="C149" s="4" t="inlineStr">
        <is>
          <t>lb in store</t>
        </is>
      </c>
    </row>
    <row r="150">
      <c r="A150" t="inlineStr">
        <is>
          <t>Garlic — left at year end</t>
        </is>
      </c>
      <c r="B150" s="23">
        <f>BB94</f>
        <v/>
      </c>
      <c r="C150" s="4" t="inlineStr">
        <is>
          <t>lb  (the app anchors stock at zero on 1 Jan, so this is stranded)</t>
        </is>
      </c>
    </row>
    <row r="151">
      <c r="A151" t="inlineStr">
        <is>
          <t>Garlic — over shelf life at worst</t>
        </is>
      </c>
      <c r="B151" s="23">
        <f>MAX(C98:BB98)</f>
        <v/>
      </c>
      <c r="C151" s="4" t="inlineStr">
        <is>
          <t>lb  (WARNING only in this sheet)</t>
        </is>
      </c>
    </row>
  </sheetData>
  <conditionalFormatting sqref="C44:BB44">
    <cfRule type="cellIs" priority="1" operator="lessThan" dxfId="0">
      <formula>0</formula>
    </cfRule>
  </conditionalFormatting>
  <conditionalFormatting sqref="C41:BB41">
    <cfRule type="cellIs" priority="2" operator="greaterThan" dxfId="0">
      <formula>$B$12</formula>
    </cfRule>
  </conditionalFormatting>
  <conditionalFormatting sqref="C107:BB107">
    <cfRule type="cellIs" priority="3" operator="lessThan" dxfId="0">
      <formula>0</formula>
    </cfRule>
  </conditionalFormatting>
  <conditionalFormatting sqref="C104:BB104">
    <cfRule type="cellIs" priority="4" operator="greaterThan" dxfId="0">
      <formula>$B$22</formula>
    </cfRule>
  </conditionalFormatting>
  <conditionalFormatting sqref="C114:BB114">
    <cfRule type="cellIs" priority="5" operator="lessThan" dxfId="0">
      <formula>0</formula>
    </cfRule>
  </conditionalFormatting>
  <conditionalFormatting sqref="C111:BB111">
    <cfRule type="cellIs" priority="6" operator="greaterThan" dxfId="0">
      <formula>$B$23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Crop constants — READ FROM THE APP, not retyped</t>
        </is>
      </c>
    </row>
    <row r="2">
      <c r="A2" s="4" t="inlineStr">
        <is>
          <t>Source: tests/golden/default_farm_payload.json (the payload the browser sends) and farm_v2.utils.calendar.generate_successions (the app's own calendar).</t>
        </is>
      </c>
    </row>
    <row r="3">
      <c r="A3" s="4" t="inlineStr">
        <is>
          <t>Regenerate with:  python3 toy_models/build_toy_v2.py</t>
        </is>
      </c>
    </row>
    <row r="5">
      <c r="A5" s="18" t="inlineStr">
        <is>
          <t>Field</t>
        </is>
      </c>
      <c r="B5" s="18" t="inlineStr">
        <is>
          <t>Spinach</t>
        </is>
      </c>
      <c r="C5" s="18" t="inlineStr">
        <is>
          <t>Kale</t>
        </is>
      </c>
      <c r="D5" s="18" t="inlineStr">
        <is>
          <t>Garlic</t>
        </is>
      </c>
      <c r="E5" s="18" t="inlineStr">
        <is>
          <t>What it means</t>
        </is>
      </c>
    </row>
    <row r="6">
      <c r="A6" s="3" t="inlineStr">
        <is>
          <t>yield_per_acre</t>
        </is>
      </c>
      <c r="B6" t="n">
        <v>5000</v>
      </c>
      <c r="C6" t="n">
        <v>8000</v>
      </c>
      <c r="D6" t="n">
        <v>10000</v>
      </c>
      <c r="E6" s="21" t="inlineStr">
        <is>
          <t>lb of crop per acre, before sell-through</t>
        </is>
      </c>
    </row>
    <row r="7">
      <c r="A7" s="3" t="inlineStr">
        <is>
          <t>crop_size_m3_per_lb</t>
        </is>
      </c>
      <c r="B7" t="n">
        <v>0.002197967741935484</v>
      </c>
      <c r="C7" t="n">
        <v>0.003785388888888889</v>
      </c>
      <c r="D7" t="n">
        <v>0.001195385964912281</v>
      </c>
      <c r="E7" s="21" t="inlineStr">
        <is>
          <t>how much store space one pound takes</t>
        </is>
      </c>
    </row>
    <row r="8">
      <c r="A8" s="3" t="inlineStr">
        <is>
          <t>cold_storage</t>
        </is>
      </c>
      <c r="B8" t="b">
        <v>1</v>
      </c>
      <c r="C8" t="b">
        <v>1</v>
      </c>
      <c r="D8" t="b">
        <v>0</v>
      </c>
      <c r="E8" s="21" t="inlineStr">
        <is>
          <t>TRUE = cooler, FALSE = ambient barn</t>
        </is>
      </c>
    </row>
    <row r="9">
      <c r="A9" s="3" t="inlineStr">
        <is>
          <t>shelf_life_weeks</t>
        </is>
      </c>
      <c r="B9" t="n">
        <v>2</v>
      </c>
      <c r="C9" t="n">
        <v>2</v>
      </c>
      <c r="D9" t="n">
        <v>16</v>
      </c>
      <c r="E9" s="21" t="inlineStr">
        <is>
          <t>weeks it can be SOLD IN, counting its harvest week</t>
        </is>
      </c>
    </row>
    <row r="10">
      <c r="A10" s="3" t="inlineStr">
        <is>
          <t>days_to_maturity</t>
        </is>
      </c>
      <c r="B10" t="n">
        <v>42</v>
      </c>
      <c r="C10" t="n">
        <v>60</v>
      </c>
      <c r="D10" t="n">
        <v>240</v>
      </c>
      <c r="E10" s="21" t="inlineStr">
        <is>
          <t>plant to FIRST harvest (not total field time)</t>
        </is>
      </c>
    </row>
    <row r="11">
      <c r="A11" s="3" t="inlineStr">
        <is>
          <t>planting_weeks</t>
        </is>
      </c>
      <c r="B11" t="n">
        <v>1</v>
      </c>
      <c r="C11" t="n">
        <v>1</v>
      </c>
      <c r="D11" t="n">
        <v>3</v>
      </c>
      <c r="E11" s="21" t="inlineStr">
        <is>
          <t>how long the planting phase lasts</t>
        </is>
      </c>
    </row>
    <row r="12">
      <c r="A12" s="3" t="inlineStr">
        <is>
          <t>harvest_weeks</t>
        </is>
      </c>
      <c r="B12" t="n">
        <v>2</v>
      </c>
      <c r="C12" t="n">
        <v>4</v>
      </c>
      <c r="D12" t="n">
        <v>1</v>
      </c>
      <c r="E12" s="21" t="inlineStr">
        <is>
          <t>how many weeks it is picked over</t>
        </is>
      </c>
    </row>
    <row r="13">
      <c r="A13" s="3" t="inlineStr">
        <is>
          <t>overwinters</t>
        </is>
      </c>
      <c r="B13" t="b">
        <v>0</v>
      </c>
      <c r="C13" t="b">
        <v>0</v>
      </c>
      <c r="D13" t="b">
        <v>1</v>
      </c>
      <c r="E13" s="21" t="inlineStr">
        <is>
          <t>may its cycle run past week 52</t>
        </is>
      </c>
    </row>
    <row r="14">
      <c r="A14" s="3" t="inlineStr">
        <is>
          <t>seasons</t>
        </is>
      </c>
      <c r="B14" t="inlineStr">
        <is>
          <t>02-01-&gt;06-15; 08-01-&gt;11-15</t>
        </is>
      </c>
      <c r="C14" t="inlineStr">
        <is>
          <t>02-01-&gt;06-01; 07-15-&gt;12-01</t>
        </is>
      </c>
      <c r="D14" t="inlineStr">
        <is>
          <t>11-15-&gt;12-01</t>
        </is>
      </c>
      <c r="E14" s="21" t="inlineStr">
        <is>
          <t>the PLANTING window(s) — any start week inside is legal</t>
        </is>
      </c>
    </row>
    <row r="16">
      <c r="A16" s="2" t="inlineStr">
        <is>
          <t>Farm-level</t>
        </is>
      </c>
    </row>
    <row r="17">
      <c r="A17" s="3" t="inlineStr">
        <is>
          <t>total_land</t>
        </is>
      </c>
      <c r="B17" t="n">
        <v>80</v>
      </c>
      <c r="E17" s="21" t="inlineStr">
        <is>
          <t>acres of ground</t>
        </is>
      </c>
    </row>
    <row r="18">
      <c r="A18" s="3" t="inlineStr">
        <is>
          <t>sell_through_fraction</t>
        </is>
      </c>
      <c r="B18" t="n">
        <v>0.85</v>
      </c>
      <c r="E18" s="21" t="inlineStr">
        <is>
          <t>share of harvest that becomes sellable product</t>
        </is>
      </c>
    </row>
    <row r="19">
      <c r="A19" s="3" t="inlineStr">
        <is>
          <t>harvest_storage_cap</t>
        </is>
      </c>
      <c r="B19" t="n">
        <v>275</v>
      </c>
      <c r="E19" s="21" t="inlineStr">
        <is>
          <t>m3 of refrigerated space</t>
        </is>
      </c>
    </row>
    <row r="20">
      <c r="A20" s="3" t="inlineStr">
        <is>
          <t>ambient_storage_cap</t>
        </is>
      </c>
      <c r="B20" t="n">
        <v>150</v>
      </c>
      <c r="E20" s="21" t="inlineStr">
        <is>
          <t>m3 of barn space</t>
        </is>
      </c>
    </row>
    <row r="23">
      <c r="A23" s="2" t="inlineStr">
        <is>
          <t>The 5 plantings on the Model sheet</t>
        </is>
      </c>
    </row>
    <row r="24">
      <c r="A24" s="4" t="inlineStr">
        <is>
          <t>chosen from the 68 the app's generator offers for these three crops</t>
        </is>
      </c>
    </row>
    <row r="25">
      <c r="A25" s="18" t="inlineStr">
        <is>
          <t>Succession</t>
        </is>
      </c>
      <c r="B25" s="18" t="inlineStr">
        <is>
          <t>Crop</t>
        </is>
      </c>
      <c r="C25" s="18" t="inlineStr">
        <is>
          <t>In the ground</t>
        </is>
      </c>
      <c r="D25" s="18" t="inlineStr">
        <is>
          <t>Harvest weeks</t>
        </is>
      </c>
    </row>
    <row r="26">
      <c r="A26" t="inlineStr">
        <is>
          <t>Spinach W10</t>
        </is>
      </c>
      <c r="B26" t="inlineStr">
        <is>
          <t>Spinach</t>
        </is>
      </c>
      <c r="C26" t="inlineStr">
        <is>
          <t>W10 to W17 (8 wk)</t>
        </is>
      </c>
      <c r="D26" t="inlineStr">
        <is>
          <t>W16, W17</t>
        </is>
      </c>
    </row>
    <row r="27">
      <c r="A27" t="inlineStr">
        <is>
          <t>Spinach W34</t>
        </is>
      </c>
      <c r="B27" t="inlineStr">
        <is>
          <t>Spinach</t>
        </is>
      </c>
      <c r="C27" t="inlineStr">
        <is>
          <t>W34 to W41 (8 wk)</t>
        </is>
      </c>
      <c r="D27" t="inlineStr">
        <is>
          <t>W40, W41</t>
        </is>
      </c>
    </row>
    <row r="28">
      <c r="A28" t="inlineStr">
        <is>
          <t>Kale W12</t>
        </is>
      </c>
      <c r="B28" t="inlineStr">
        <is>
          <t>Kale</t>
        </is>
      </c>
      <c r="C28" t="inlineStr">
        <is>
          <t>W12 to W24 (13 wk)</t>
        </is>
      </c>
      <c r="D28" t="inlineStr">
        <is>
          <t>W21, W22, W23, W24</t>
        </is>
      </c>
    </row>
    <row r="29">
      <c r="A29" t="inlineStr">
        <is>
          <t>Kale W32</t>
        </is>
      </c>
      <c r="B29" t="inlineStr">
        <is>
          <t>Kale</t>
        </is>
      </c>
      <c r="C29" t="inlineStr">
        <is>
          <t>W32 to W44 (13 wk)</t>
        </is>
      </c>
      <c r="D29" t="inlineStr">
        <is>
          <t>W41, W42, W43, W44</t>
        </is>
      </c>
    </row>
    <row r="30">
      <c r="A30" t="inlineStr">
        <is>
          <t>Garlic W47</t>
        </is>
      </c>
      <c r="B30" t="inlineStr">
        <is>
          <t>Garlic</t>
        </is>
      </c>
      <c r="C30" t="inlineStr">
        <is>
          <t>W47 to W30 (36 wk)</t>
        </is>
      </c>
      <c r="D30" t="inlineStr">
        <is>
          <t>W30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2026-08-29T08:49:14Z</dcterms:created>
  <dcterms:modified xsi:type="dcterms:W3CDTF">2026-08-29T08:49:14Z</dcterms:modified>
</cp:coreProperties>
</file>