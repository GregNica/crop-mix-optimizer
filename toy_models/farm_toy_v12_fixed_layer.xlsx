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000000"/>
    <numFmt numFmtId="166" formatCode="0.0%"/>
    <numFmt numFmtId="167" formatCode="$#,##0"/>
    <numFmt numFmtId="168" formatCode="$0.00"/>
    <numFmt numFmtId="169" formatCode="$0.0000"/>
  </numFmts>
  <fonts count="7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</font>
    <font>
      <b val="1"/>
      <color rgb="00404040"/>
      <sz val="9"/>
    </font>
    <font>
      <b val="1"/>
      <color rgb="00404040"/>
      <sz val="12"/>
    </font>
    <font>
      <sz val="9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7F7F7"/>
      </patternFill>
    </fill>
    <fill>
      <patternFill patternType="solid">
        <fgColor rgb="00EFEFE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164" fontId="0" fillId="2" borderId="1" pivotButton="0" quotePrefix="0" xfId="0"/>
    <xf numFmtId="3" fontId="0" fillId="2" borderId="1" pivotButton="0" quotePrefix="0" xfId="0"/>
    <xf numFmtId="164" fontId="0" fillId="0" borderId="1" pivotButton="0" quotePrefix="0" xfId="0"/>
    <xf numFmtId="0" fontId="3" fillId="6" borderId="1" pivotButton="0" quotePrefix="0" xfId="0"/>
    <xf numFmtId="0" fontId="0" fillId="0" borderId="1" pivotButton="0" quotePrefix="0" xfId="0"/>
    <xf numFmtId="2" fontId="0" fillId="2" borderId="1" pivotButton="0" quotePrefix="0" xfId="0"/>
    <xf numFmtId="165" fontId="0" fillId="2" borderId="1" pivotButton="0" quotePrefix="0" xfId="0"/>
    <xf numFmtId="0" fontId="0" fillId="7" borderId="1" pivotButton="0" quotePrefix="0" xfId="0"/>
    <xf numFmtId="0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1" fontId="0" fillId="0" borderId="1" pivotButton="0" quotePrefix="0" xfId="0"/>
    <xf numFmtId="168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8" borderId="1" pivotButton="0" quotePrefix="0" xfId="0"/>
    <xf numFmtId="167" fontId="0" fillId="0" borderId="1" pivotButton="0" quotePrefix="0" xfId="0"/>
    <xf numFmtId="168" fontId="0" fillId="0" borderId="1" pivotButton="0" quotePrefix="0" xfId="0"/>
    <xf numFmtId="1" fontId="0" fillId="2" borderId="1" pivotButton="0" quotePrefix="0" xfId="0"/>
    <xf numFmtId="1" fontId="0" fillId="3" borderId="1" pivotButton="0" quotePrefix="0" xfId="0"/>
    <xf numFmtId="1" fontId="0" fillId="4" borderId="1" pivotButton="0" quotePrefix="0" xfId="0"/>
    <xf numFmtId="9" fontId="0" fillId="2" borderId="1" pivotButton="0" quotePrefix="0" xfId="0"/>
    <xf numFmtId="169" fontId="0" fillId="2" borderId="1" pivotButton="0" quotePrefix="0" xfId="0"/>
    <xf numFmtId="0" fontId="3" fillId="3" borderId="0" pivotButton="0" quotePrefix="0" xfId="0"/>
    <xf numFmtId="0" fontId="6" fillId="0" borderId="0" pivotButton="0" quotePrefix="0" xfId="0"/>
    <xf numFmtId="169" fontId="0" fillId="0" borderId="1" pivotButton="0" quotePrefix="0" xfId="0"/>
    <xf numFmtId="169" fontId="0" fillId="4" borderId="1" pivotButton="0" quotePrefix="0" xfId="0"/>
    <xf numFmtId="0" fontId="3" fillId="6" borderId="0" pivotButton="0" quotePrefix="0" xfId="0"/>
    <xf numFmtId="0" fontId="2" fillId="6" borderId="0" pivotButton="0" quotePrefix="0" xfId="0"/>
    <xf numFmtId="0" fontId="3" fillId="6" borderId="0" applyAlignment="1" pivotButton="0" quotePrefix="0" xfId="0">
      <alignment horizontal="center"/>
    </xf>
    <xf numFmtId="3" fontId="0" fillId="3" borderId="0" pivotButton="0" quotePrefix="0" xfId="0"/>
    <xf numFmtId="3" fontId="0" fillId="0" borderId="0" pivotButton="0" quotePrefix="0" xfId="0"/>
    <xf numFmtId="0" fontId="3" fillId="4" borderId="0" pivotButton="0" quotePrefix="0" xfId="0"/>
    <xf numFmtId="3" fontId="0" fillId="4" borderId="0" pivotButton="0" quotePrefix="0" xfId="0"/>
    <xf numFmtId="0" fontId="6" fillId="4" borderId="0" pivotButton="0" quotePrefix="0" xfId="0"/>
    <xf numFmtId="0" fontId="6" fillId="6" borderId="0" pivotButton="0" quotePrefix="0" xfId="0"/>
    <xf numFmtId="2" fontId="0" fillId="3" borderId="0" pivotButton="0" quotePrefix="0" xfId="0"/>
    <xf numFmtId="1" fontId="0" fillId="3" borderId="0" pivotButton="0" quotePrefix="0" xfId="0"/>
    <xf numFmtId="0" fontId="6" fillId="9" borderId="0" applyAlignment="1" pivotButton="0" quotePrefix="0" xfId="0">
      <alignment horizontal="center"/>
    </xf>
    <xf numFmtId="164" fontId="6" fillId="0" borderId="0" pivotButton="0" quotePrefix="0" xfId="0"/>
    <xf numFmtId="1" fontId="6" fillId="0" borderId="0" pivotButton="0" quotePrefix="0" xfId="0"/>
    <xf numFmtId="1" fontId="0" fillId="0" borderId="0" pivotButton="0" quotePrefix="0" xfId="0"/>
    <xf numFmtId="164" fontId="0" fillId="4" borderId="0" pivotButton="0" quotePrefix="0" xfId="0"/>
    <xf numFmtId="0" fontId="3" fillId="0" borderId="0" applyAlignment="1" pivotButton="0" quotePrefix="0" xfId="0">
      <alignment horizontal="center"/>
    </xf>
    <xf numFmtId="0" fontId="0" fillId="7" borderId="0" pivotButton="0" quotePrefix="0" xfId="0"/>
    <xf numFmtId="0" fontId="3" fillId="7" borderId="0" pivotButton="0" quotePrefix="0" xfId="0"/>
    <xf numFmtId="3" fontId="0" fillId="7" borderId="0" pivotButton="0" quotePrefix="0" xfId="0"/>
    <xf numFmtId="0" fontId="3" fillId="8" borderId="0" pivotButton="0" quotePrefix="0" xfId="0"/>
    <xf numFmtId="3" fontId="0" fillId="8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  <xf numFmtId="167" fontId="3" fillId="0" borderId="0" pivotButton="0" quotePrefix="0" xfId="0"/>
    <xf numFmtId="0" fontId="3" fillId="5" borderId="0" pivotButton="0" quotePrefix="0" xfId="0"/>
    <xf numFmtId="167" fontId="3" fillId="5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v12: THE FIXED LAYER</t>
        </is>
      </c>
    </row>
    <row r="2">
      <c r="A2" s="2" t="inlineStr">
        <is>
          <t>BUILT 2026-10-24 23:41   (from source at commit 239918a)</t>
        </is>
      </c>
    </row>
    <row r="3">
      <c r="A3" s="2" t="inlineStr">
        <is>
          <t>If that timestamp is older than the change you are looking for, you have a stale copy —</t>
        </is>
      </c>
    </row>
    <row r="4">
      <c r="A4" s="2" t="inlineStr">
        <is>
          <t>close the file and re-open it from WSL rather than from a recent-files list.</t>
        </is>
      </c>
    </row>
    <row r="5">
      <c r="A5" t="inlineStr"/>
    </row>
    <row r="6">
      <c r="A6" s="3" t="inlineStr">
        <is>
          <t>WHAT v12 ADDS — the things you have already decided, owe, or physically have</t>
        </is>
      </c>
    </row>
    <row r="7">
      <c r="A7" t="inlineStr">
        <is>
          <t>Your first page of January: 'what do you know you need to plant? That absorbs the big blocks,</t>
        </is>
      </c>
    </row>
    <row r="8">
      <c r="A8" t="inlineStr">
        <is>
          <t>and then the rest gets filled in with extras.' Until now the model optimised every acre from</t>
        </is>
      </c>
    </row>
    <row r="9">
      <c r="A9" t="inlineStr">
        <is>
          <t>zero. v12 is the 'absorb the big blocks' half, prototyped here before the app (PLAN FX.0).</t>
        </is>
      </c>
    </row>
    <row r="10">
      <c r="A10" t="inlineStr"/>
    </row>
    <row r="11">
      <c r="A11" s="4" t="inlineStr">
        <is>
          <t xml:space="preserve">     profit $480,439      revenue $2,152,639      margin 22.3%</t>
        </is>
      </c>
    </row>
    <row r="12">
      <c r="A12" s="4" t="inlineStr">
        <is>
          <t xml:space="preserve">     38 of 139 plantings used, plus the committed perennial</t>
        </is>
      </c>
    </row>
    <row r="13">
      <c r="A13" t="inlineStr"/>
    </row>
    <row r="14">
      <c r="A14" s="3" t="inlineStr">
        <is>
          <t>WHAT EACH PIECE COSTS — with it vs without it, measured on the objective</t>
        </is>
      </c>
    </row>
    <row r="15">
      <c r="A15" t="inlineStr">
        <is>
          <t xml:space="preserve">     the two contracts             $6,521   (Kale/Wholesale 3,000 lb short (weeks 36-37); Spinach/Wholesale 8,000 lb short (weeks 33-36))</t>
        </is>
      </c>
    </row>
    <row r="16">
      <c r="A16" t="inlineStr">
        <is>
          <t xml:space="preserve">     the standing floors           $4,780</t>
        </is>
      </c>
    </row>
    <row r="17">
      <c r="A17" t="inlineStr">
        <is>
          <t xml:space="preserve">     the annual floor              $3,761</t>
        </is>
      </c>
    </row>
    <row r="18">
      <c r="A18" t="inlineStr">
        <is>
          <t xml:space="preserve">     the perennial (3 ac)          $15,308   (its upkeep + depreciation: $5,113)</t>
        </is>
      </c>
    </row>
    <row r="19">
      <c r="A19" s="4" t="inlineStr">
        <is>
          <t xml:space="preserve">     ALL of the above              $28,393</t>
        </is>
      </c>
    </row>
    <row r="20">
      <c r="A20" t="inlineStr">
        <is>
          <t xml:space="preserve">     the 2-acre tunnel zone        $27,909   (what the tunnel EARNS, against 2 acres of field)</t>
        </is>
      </c>
    </row>
    <row r="21">
      <c r="A21" t="inlineStr">
        <is>
          <t xml:space="preserve">   ⚠️ Measured on the OBJECTIVE, not profit. Profit includes interest, which is worked out</t>
        </is>
      </c>
    </row>
    <row r="22">
      <c r="A22" t="inlineStr">
        <is>
          <t xml:space="preserve">   AFTER the solve from the cash curve — and two plans worth the same can borrow differently.</t>
        </is>
      </c>
    </row>
    <row r="23">
      <c r="A23" t="inlineStr">
        <is>
          <t xml:space="preserve">   Removing a floor that did not bind once 'raised' profit $45 with the objective unchanged to</t>
        </is>
      </c>
    </row>
    <row r="24">
      <c r="A24" t="inlineStr">
        <is>
          <t xml:space="preserve">   the cent. A with/without on profit would have called that $45 the floor's cost.</t>
        </is>
      </c>
    </row>
    <row r="25">
      <c r="A25" t="inlineStr"/>
    </row>
    <row r="26">
      <c r="A26" s="4" t="inlineStr">
        <is>
          <t>1. ZONES — named land pools, no map.</t>
        </is>
      </c>
    </row>
    <row r="27">
      <c r="A27" t="inlineStr">
        <is>
          <t xml:space="preserve">   Section 1b. 'Open field' is whatever the other zones leave of 'Land you have'. Section 2</t>
        </is>
      </c>
    </row>
    <row r="28">
      <c r="A28" t="inlineStr">
        <is>
          <t xml:space="preserve">   says which crop may stand in which zone (Y/N), and a planting is now a (week, zone) pair:</t>
        </is>
      </c>
    </row>
    <row r="29">
      <c r="A29" t="inlineStr">
        <is>
          <t xml:space="preserve">   Kale is allowed in both, so each Kale week appears twice — 'F' and 'T'. Land is one</t>
        </is>
      </c>
    </row>
    <row r="30">
      <c r="A30" t="inlineStr">
        <is>
          <t xml:space="preserve">   constraint block PER ZONE. A tunnel acre is not a field acre; that is why zones exist.</t>
        </is>
      </c>
    </row>
    <row r="31">
      <c r="A31" t="inlineStr"/>
    </row>
    <row r="32">
      <c r="A32" s="4" t="inlineStr">
        <is>
          <t>2. A VARIANT IS A SEPARATE NAME THAT SELLS AS ITS BASE.</t>
        </is>
      </c>
    </row>
    <row r="33">
      <c r="A33" t="inlineStr">
        <is>
          <t xml:space="preserve">   'Tunnel Spinach' is Spinach with a longer planting window and a tunnel-sized minimum. Its</t>
        </is>
      </c>
    </row>
    <row r="34">
      <c r="A34" t="inlineStr">
        <is>
          <t xml:space="preserve">   own name, its own windows, its own costs — and NO market of its own. Section 5c measures</t>
        </is>
      </c>
    </row>
    <row r="35">
      <c r="A35" t="inlineStr">
        <is>
          <t xml:space="preserve">   every name that sells as Spinach against ONE Spinach ceiling.</t>
        </is>
      </c>
    </row>
    <row r="36">
      <c r="A36" t="inlineStr">
        <is>
          <t xml:space="preserve">   ⚠️ THE TRAP, measured: key the caps by NAME instead (what the app does today) and the two</t>
        </is>
      </c>
    </row>
    <row r="37">
      <c r="A37" t="inlineStr">
        <is>
          <t xml:space="preserve">   spinaches sell 11,000 lb a week into a 6,000 lb Farmers Market, and the plan 'earns'</t>
        </is>
      </c>
    </row>
    <row r="38">
      <c r="A38" t="inlineStr">
        <is>
          <t xml:space="preserve">   $32,318 that does not exist. Same family as the duplicate-name defect (W1).</t>
        </is>
      </c>
    </row>
    <row r="39">
      <c r="A39" t="inlineStr"/>
    </row>
    <row r="40">
      <c r="A40" s="4" t="inlineStr">
        <is>
          <t>3. A PERENNIAL IS COMMITTED GROUND, NOT A PLANTING.</t>
        </is>
      </c>
    </row>
    <row r="41">
      <c r="A41" t="inlineStr">
        <is>
          <t xml:space="preserve">   Asparagus, 3 acres, in the ground all 52 weeks. Its acres are an INPUT (yellow) on its</t>
        </is>
      </c>
    </row>
    <row r="42">
      <c r="A42" t="inlineStr">
        <is>
          <t xml:space="preserve">   calendar row, outside the solver's changing cells. It never goes through the planting</t>
        </is>
      </c>
    </row>
    <row r="43">
      <c r="A43" t="inlineStr">
        <is>
          <t xml:space="preserve">   calendar — which refuses any cycle over 52 weeks — so it is written straight in.</t>
        </is>
      </c>
    </row>
    <row r="44">
      <c r="A44" t="inlineStr">
        <is>
          <t xml:space="preserve">   Establishment is CAPITAL: depreciated over its bearing life, never charged as this year's</t>
        </is>
      </c>
    </row>
    <row r="45">
      <c r="A45" t="inlineStr">
        <is>
          <t xml:space="preserve">   seed (the locked OWN -&gt; depreciate rule). Upkeep is this year's cost. Section 2b.</t>
        </is>
      </c>
    </row>
    <row r="46">
      <c r="A46" t="inlineStr"/>
    </row>
    <row r="47">
      <c r="A47" s="4" t="inlineStr">
        <is>
          <t>4. MUST-PLANT FLOORS — UNCONDITIONAL, IN TWO FORMS. Section 5a.</t>
        </is>
      </c>
    </row>
    <row r="48">
      <c r="A48" t="inlineStr">
        <is>
          <t xml:space="preserve">   'Min acres if planted' is NOT this: it is conditional on PLANT?, so the solver escapes it</t>
        </is>
      </c>
    </row>
    <row r="49">
      <c r="A49" t="inlineStr">
        <is>
          <t xml:space="preserve">   by not planting. A must-plant floor has no binary in it.</t>
        </is>
      </c>
    </row>
    <row r="50">
      <c r="A50" t="inlineStr">
        <is>
          <t xml:space="preserve">     STANDING  acres in the ground in EVERY week of a window.</t>
        </is>
      </c>
    </row>
    <row r="51">
      <c r="A51" t="inlineStr">
        <is>
          <t xml:space="preserve">     ANNUAL    acres planted, summed over the year's plantings.</t>
        </is>
      </c>
    </row>
    <row r="52">
      <c r="A52" t="inlineStr">
        <is>
          <t xml:space="preserve">   They are different promises and the toy settles that question. Same 30 acres of kale:</t>
        </is>
      </c>
    </row>
    <row r="53">
      <c r="A53" t="inlineStr">
        <is>
          <t xml:space="preserve">     ANNUAL 30 ac costs $0   — the plan already plants more than that</t>
        </is>
      </c>
    </row>
    <row r="54">
      <c r="A54" s="4" t="inlineStr">
        <is>
          <t xml:space="preserve">     STANDING 30 ac in weeks 10-20 costs $49,240</t>
        </is>
      </c>
    </row>
    <row r="55">
      <c r="A55" t="inlineStr">
        <is>
          <t xml:space="preserve">   So: both, named differently. The overwintering carry-in (garlic in the ground on 1 Jan, the</t>
        </is>
      </c>
    </row>
    <row r="56">
      <c r="A56" t="inlineStr">
        <is>
          <t xml:space="preserve">   app's C15) is simply a STANDING floor with a one-week window at week 1 — the same row.</t>
        </is>
      </c>
    </row>
    <row r="57">
      <c r="A57" t="inlineStr">
        <is>
          <t xml:space="preserve">   ⚠️ A floor is HARD. Garlic's ceiling here is about 18.6 acres, and it is set by TWO limits</t>
        </is>
      </c>
    </row>
    <row r="58">
      <c r="A58" t="inlineStr">
        <is>
          <t xml:space="preserve">   at once: the 108-hour winter crew in the planting weeks AND the 150 m3 barn at harvest.</t>
        </is>
      </c>
    </row>
    <row r="59">
      <c r="A59" t="inlineStr">
        <is>
          <t xml:space="preserve">   Relaxing either alone does not help. An app that refuses an impossible floor must say</t>
        </is>
      </c>
    </row>
    <row r="60">
      <c r="A60" t="inlineStr">
        <is>
          <t xml:space="preserve">   which limits it hit — 'check your land' would be wrong here.</t>
        </is>
      </c>
    </row>
    <row r="61">
      <c r="A61" t="inlineStr"/>
    </row>
    <row r="62">
      <c r="A62" s="4" t="inlineStr">
        <is>
          <t>5. CONTRACTS — A FLOOR WITH A PRICED SHORTFALL. Section 5d.</t>
        </is>
      </c>
    </row>
    <row r="63">
      <c r="A63" t="inlineStr">
        <is>
          <t xml:space="preserve">   delivered + SHORTFALL &gt;= owed, per week, keyed by IDENTITY (the buyer contracted for</t>
        </is>
      </c>
    </row>
    <row r="64">
      <c r="A64" t="inlineStr">
        <is>
          <t xml:space="preserve">   spinach, not for a bed). The shortfall is a decision with a penalty per lb, so an</t>
        </is>
      </c>
    </row>
    <row r="65">
      <c r="A65" t="inlineStr">
        <is>
          <t xml:space="preserve">   unmeetable contract is a REPORTED number, never 'no feasible plan'.</t>
        </is>
      </c>
    </row>
    <row r="66">
      <c r="A66" t="inlineStr">
        <is>
          <t xml:space="preserve">   Both shortfalls look alike on the sheet and they are not. Raise both penalties from $0.50</t>
        </is>
      </c>
    </row>
    <row r="67">
      <c r="A67" t="inlineStr">
        <is>
          <t xml:space="preserve">   to $5.00 a pound and measure:</t>
        </is>
      </c>
    </row>
    <row r="68">
      <c r="A68" t="inlineStr">
        <is>
          <t xml:space="preserve">     Kale     3,000 lb short -&gt; 3,000 lb   a FACT — no price delivers weeks 36-37</t>
        </is>
      </c>
    </row>
    <row r="69">
      <c r="A69" t="inlineStr">
        <is>
          <t xml:space="preserve">     Spinach  8,000 lb short -&gt; 4,000 lb   a CHOICE — at $5 the plan grows for weeks 33, 34</t>
        </is>
      </c>
    </row>
    <row r="70">
      <c r="A70" t="inlineStr">
        <is>
          <t xml:space="preserve">   (both verdicts are re-solved, not reasoned — the first one I reasoned came out backwards)</t>
        </is>
      </c>
    </row>
    <row r="71">
      <c r="A71" t="inlineStr">
        <is>
          <t xml:space="preserve">   Where the plan shorts at $0.50 and not at $5, shorting was cheaper than growing. Only the penalty tells a choice from</t>
        </is>
      </c>
    </row>
    <row r="72">
      <c r="A72" t="inlineStr">
        <is>
          <t xml:space="preserve">   a fact — which is why it has to be the grower's number, and why the app should report</t>
        </is>
      </c>
    </row>
    <row r="73">
      <c r="A73" t="inlineStr">
        <is>
          <t xml:space="preserve">   WHICH kind each shortfall is.</t>
        </is>
      </c>
    </row>
    <row r="74">
      <c r="A74" t="inlineStr"/>
    </row>
    <row r="75">
      <c r="A75" s="3" t="inlineStr">
        <is>
          <t>THE QUESTIONS THIS LEAVES FOR THE APP SPEC</t>
        </is>
      </c>
    </row>
    <row r="76">
      <c r="A76" t="inlineStr">
        <is>
          <t xml:space="preserve">  - Carry-in vs this year's planting. In a cyclic year, garlic planted in November IS the</t>
        </is>
      </c>
    </row>
    <row r="77">
      <c r="A77" t="inlineStr">
        <is>
          <t xml:space="preserve">    garlic standing on 1 January, so 'already in the ground' and 'will plant this autumn' are</t>
        </is>
      </c>
    </row>
    <row r="78">
      <c r="A78" t="inlineStr">
        <is>
          <t xml:space="preserve">    the same acres. A real grower can plant a different amount this autumn. Separating them</t>
        </is>
      </c>
    </row>
    <row r="79">
      <c r="A79" t="inlineStr">
        <is>
          <t xml:space="preserve">    means a calendar year with a carry-in block, not a steady-state year.</t>
        </is>
      </c>
    </row>
    <row r="80">
      <c r="A80" t="inlineStr">
        <is>
          <t xml:space="preserve">  - The penalty's default. A number nobody sourced decides whether a contract is honoured.</t>
        </is>
      </c>
    </row>
    <row r="81">
      <c r="A81" t="inlineStr">
        <is>
          <t xml:space="preserve">  - Zone costs. A tunnel costs money to own; this toy charges nothing for it.</t>
        </is>
      </c>
    </row>
    <row r="82">
      <c r="A82" t="inlineStr"/>
    </row>
    <row r="83">
      <c r="A83" s="3" t="inlineStr">
        <is>
          <t>WHAT v11 CHANGED — labour is now ONE mechanism: the roster</t>
        </is>
      </c>
    </row>
    <row r="84">
      <c r="A84" t="inlineStr">
        <is>
          <t>v10 invented a separate 'proposed hire' block with its own window, wage, hours and field% —</t>
        </is>
      </c>
    </row>
    <row r="85">
      <c r="A85" t="inlineStr">
        <is>
          <t>eight inputs to re-describe something the roster already described. That was the same error</t>
        </is>
      </c>
    </row>
    <row r="86">
      <c r="A86" t="inlineStr">
        <is>
          <t>v9 made with spot hire, one version later. It is gone.</t>
        </is>
      </c>
    </row>
    <row r="87">
      <c r="A87" t="inlineStr"/>
    </row>
    <row r="88">
      <c r="A88" s="4" t="inlineStr">
        <is>
          <t xml:space="preserve">     overtime Equipment Operator 71 h / Seasonal Field Crew 71 h      extra heads: none</t>
        </is>
      </c>
    </row>
    <row r="89">
      <c r="A89" s="4" t="inlineStr">
        <is>
          <t xml:space="preserve">     piece rate $44,100 for 223,926 lb, relieving 1,994 harvest hours</t>
        </is>
      </c>
    </row>
    <row r="90">
      <c r="A90" t="inlineStr"/>
    </row>
    <row r="91">
      <c r="A91" s="4" t="inlineStr">
        <is>
          <t>1. HIRING IS 'MORE OF A ROLE YOU ALREADY LISTED'.</t>
        </is>
      </c>
    </row>
    <row r="92">
      <c r="A92" t="inlineStr">
        <is>
          <t xml:space="preserve">   Three columns on the crew table: Hire more? / Max more / EXTRA HIRED. Extra heads inherit</t>
        </is>
      </c>
    </row>
    <row r="93">
      <c r="A93" t="inlineStr">
        <is>
          <t xml:space="preserve">   that row's wage, hours, field% AND window — nothing new is entered anywhere. The answer</t>
        </is>
      </c>
    </row>
    <row r="94">
      <c r="A94" t="inlineStr">
        <is>
          <t xml:space="preserve">   is a roster edit: 'change this Count from 8 to 11'.</t>
        </is>
      </c>
    </row>
    <row r="95">
      <c r="A95" t="inlineStr">
        <is>
          <t xml:space="preserve">   Different weeks, or a different wage? Add a NEW ROW with the same title. A different</t>
        </is>
      </c>
    </row>
    <row r="96">
      <c r="A96" t="inlineStr">
        <is>
          <t xml:space="preserve">   window is a different job offer, not a variation on this one.</t>
        </is>
      </c>
    </row>
    <row r="97">
      <c r="A97" t="inlineStr">
        <is>
          <t xml:space="preserve">   No committed staff of a role but curious? Count 0, Hire more Y, set the weeks.</t>
        </is>
      </c>
    </row>
    <row r="98">
      <c r="A98" t="inlineStr">
        <is>
          <t xml:space="preserve">   ⚠️ The answer is often ZERO, and that is the finding: a head added to a 27-week crew is</t>
        </is>
      </c>
    </row>
    <row r="99">
      <c r="A99" t="inlineStr">
        <is>
          <t xml:space="preserve">   27 weeks of wages to buy hours you need in a handful of them.</t>
        </is>
      </c>
    </row>
    <row r="100">
      <c r="A100" t="inlineStr"/>
    </row>
    <row r="101">
      <c r="A101" s="4" t="inlineStr">
        <is>
          <t>2. OVERTIME IS PER ROLE. THERE IS NO BLENDED RATE ANYWHERE.</t>
        </is>
      </c>
    </row>
    <row r="102">
      <c r="A102" t="inlineStr">
        <is>
          <t xml:space="preserve">   Equipment Operator $48.75 / Seasonal Field Crew $37.50 / Harvest Crew $35.62</t>
        </is>
      </c>
    </row>
    <row r="103">
      <c r="A103" t="inlineStr">
        <is>
          <t xml:space="preserve">   Once the solver can also hire extra heads, a blended rate depends on a decision variable</t>
        </is>
      </c>
    </row>
    <row r="104">
      <c r="A104" t="inlineStr">
        <is>
          <t xml:space="preserve">   and 'hours x blend' stops being linear. Per role the rate is that role's own wage x load</t>
        </is>
      </c>
    </row>
    <row r="105">
      <c r="A105" t="inlineStr">
        <is>
          <t xml:space="preserve">   x multiplier — a constant, because the wage is an input. So the model stays an LP AND it</t>
        </is>
      </c>
    </row>
    <row r="106">
      <c r="A106" t="inlineStr">
        <is>
          <t xml:space="preserve">   gets better: with one blend an overtime hour costs the same whoever works it, so the plan</t>
        </is>
      </c>
    </row>
    <row r="107">
      <c r="A107" t="inlineStr">
        <is>
          <t xml:space="preserve">   could not prefer the cheap one, or tell you WHO to ask to stay late.</t>
        </is>
      </c>
    </row>
    <row r="108">
      <c r="A108" t="inlineStr"/>
    </row>
    <row r="109">
      <c r="A109" s="4" t="inlineStr">
        <is>
          <t>3. A PIECE-RATE HARVEST CREW, PAID PER POUND.</t>
        </is>
      </c>
    </row>
    <row r="110">
      <c r="A110" t="inlineStr">
        <is>
          <t xml:space="preserve">   Everything else here is COMMITTED labour — owed whether the crops need it or not. This is</t>
        </is>
      </c>
    </row>
    <row r="111">
      <c r="A111" t="inlineStr">
        <is>
          <t xml:space="preserve">   the opposite: you pay for what they pick and nothing when there is nothing to pick, which</t>
        </is>
      </c>
    </row>
    <row r="112">
      <c r="A112" t="inlineStr">
        <is>
          <t xml:space="preserve">   is why it lands in COGS and not the wage bill.</t>
        </is>
      </c>
    </row>
    <row r="113">
      <c r="A113" t="inlineStr">
        <is>
          <t xml:space="preserve">   You set the weeks, the crew's HOURS per week, and a rate PER CROP. The solver picks</t>
        </is>
      </c>
    </row>
    <row r="114">
      <c r="A114" t="inlineStr">
        <is>
          <t xml:space="preserve">   which crops, how much, and when.</t>
        </is>
      </c>
    </row>
    <row r="115">
      <c r="A115" t="inlineStr">
        <is>
          <t xml:space="preserve">   ⚠️ CAPACITY IS HOURS, NOT POUNDS, and the grower found why. A crew picks pounds at a rate</t>
        </is>
      </c>
    </row>
    <row r="116">
      <c r="A116" t="inlineStr">
        <is>
          <t xml:space="preserve">   that differs 3.6x by crop, so one pound number is a crew that resizes with the crop:</t>
        </is>
      </c>
    </row>
    <row r="117">
      <c r="A117" t="inlineStr">
        <is>
          <t xml:space="preserve">   20,000 lb/wk is 200 hours of spinach, 150 of garlic, 55 of kale. It distorted the answer</t>
        </is>
      </c>
    </row>
    <row r="118">
      <c r="A118" t="inlineStr">
        <is>
          <t xml:space="preserve">   too — a pound cap rewards hours-per-pound, so it picked spinach over the cheaper garlic</t>
        </is>
      </c>
    </row>
    <row r="119">
      <c r="A119" t="inlineStr">
        <is>
          <t xml:space="preserve">   relief ($18.74/hr against $20.71). Moving it to hours triples the garlic picked.</t>
        </is>
      </c>
    </row>
    <row r="120">
      <c r="A120" t="inlineStr"/>
    </row>
    <row r="121">
      <c r="A121" t="inlineStr">
        <is>
          <t xml:space="preserve">   ⚠️ RATES DIFFER BY CROP, AND THE LAW IS WHY. A piece-rate worker must still earn the</t>
        </is>
      </c>
    </row>
    <row r="122">
      <c r="A122" t="inlineStr">
        <is>
          <t xml:space="preserve">   minimum wage for the hours worked; if the rate falls short the employer makes up the</t>
        </is>
      </c>
    </row>
    <row r="123">
      <c r="A123" t="inlineStr">
        <is>
          <t xml:space="preserve">   difference (FLSA — the AEWR under H-2A). Converted to $/lb that floor depends entirely on</t>
        </is>
      </c>
    </row>
    <row r="124">
      <c r="A124" t="inlineStr">
        <is>
          <t xml:space="preserve">   how fast the crop picks: spinach $0.161/lb against kale $0.044/lb, a 3.6x spread from</t>
        </is>
      </c>
    </row>
    <row r="125">
      <c r="A125" t="inlineStr">
        <is>
          <t xml:space="preserve">   picking difficulty alone. A rate entered BELOW its floor is inoperative — you pay the</t>
        </is>
      </c>
    </row>
    <row r="126">
      <c r="A126" t="inlineStr">
        <is>
          <t xml:space="preserve">   floor — and the 'which binds' column says so. Garlic's shipped rate is below its floor on</t>
        </is>
      </c>
    </row>
    <row r="127">
      <c r="A127" t="inlineStr">
        <is>
          <t xml:space="preserve">   purpose, so you can see it happen.</t>
        </is>
      </c>
    </row>
    <row r="128">
      <c r="A128" t="inlineStr"/>
    </row>
    <row r="129">
      <c r="A129" t="inlineStr">
        <is>
          <t xml:space="preserve">   ⚠️ THE PIECE-RATE CREW CHANGES THE HOURS YOU NEED, NOT THE WAGES YOU OWE. The committed</t>
        </is>
      </c>
    </row>
    <row r="130">
      <c r="A130" t="inlineStr">
        <is>
          <t xml:space="preserve">   crew is paid either way. Pounds picked convert to harvest hours relieved at each crop's</t>
        </is>
      </c>
    </row>
    <row r="131">
      <c r="A131" t="inlineStr">
        <is>
          <t xml:space="preserve">   own yield / harvest-hours — and the relief is capped by the harvest hours actually</t>
        </is>
      </c>
    </row>
    <row r="132">
      <c r="A132" t="inlineStr">
        <is>
          <t xml:space="preserve">   needed, or pickers would be relieving the planting.</t>
        </is>
      </c>
    </row>
    <row r="133">
      <c r="A133" t="inlineStr"/>
    </row>
    <row r="134">
      <c r="A134" t="inlineStr">
        <is>
          <t xml:space="preserve">   Enter the rate as $ PER BUSHEL. The sheet converts with the crop's own m3-per-lb — the</t>
        </is>
      </c>
    </row>
    <row r="135">
      <c r="A135" t="inlineStr">
        <is>
          <t xml:space="preserve">   same number the storage rows use. ⚠️ That conversion is also a CHECK: 'lb per bushel' is</t>
        </is>
      </c>
    </row>
    <row r="136">
      <c r="A136" t="inlineStr">
        <is>
          <t xml:space="preserve">   something you can weigh, where m3-per-lb is not. A bushel of kale is about 18 lb in the</t>
        </is>
      </c>
    </row>
    <row r="137">
      <c r="A137" t="inlineStr">
        <is>
          <t xml:space="preserve">   trade; if this sheet says 9, the volume figure is wrong and the cooler is mis-sized too.</t>
        </is>
      </c>
    </row>
    <row r="138">
      <c r="A138" t="inlineStr">
        <is>
          <t xml:space="preserve">   See backlog L6.</t>
        </is>
      </c>
    </row>
    <row r="139">
      <c r="A139" t="inlineStr"/>
    </row>
    <row r="140">
      <c r="A140" s="3" t="inlineStr">
        <is>
          <t>WHAT v7 ADDED — labour, which is TWO things at once</t>
        </is>
      </c>
    </row>
    <row r="141">
      <c r="A141" t="inlineStr"/>
    </row>
    <row r="142">
      <c r="A142" s="4" t="inlineStr">
        <is>
          <t>1. A COMMITTED COST. Every listed worker is paid for their stated hours whether or not the</t>
        </is>
      </c>
    </row>
    <row r="143">
      <c r="A143" t="inlineStr">
        <is>
          <t xml:space="preserve">   crops need them. So there is NO per-acre labour charge anywhere on this sheet — the</t>
        </is>
      </c>
    </row>
    <row r="144">
      <c r="A144" t="inlineStr">
        <is>
          <t xml:space="preserve">   marginal crop hour is FREE, and it is rationed by capacity instead of priced. That is the</t>
        </is>
      </c>
    </row>
    <row r="145">
      <c r="A145" t="inlineStr">
        <is>
          <t xml:space="preserve">   app's W12, and it is the single largest correction the real model has ever made.</t>
        </is>
      </c>
    </row>
    <row r="146">
      <c r="A146" t="inlineStr"/>
    </row>
    <row r="147">
      <c r="A147" s="4" t="inlineStr">
        <is>
          <t>2. A CAPACITY LIMIT. Crop hours in a week cannot exceed what the crew can give. The app's</t>
        </is>
      </c>
    </row>
    <row r="148">
      <c r="A148" t="inlineStr">
        <is>
          <t xml:space="preserve">   C2 — and on this farm it is the constraint that binds hardest, in 22 of 52 weeks.</t>
        </is>
      </c>
    </row>
    <row r="149">
      <c r="A149" t="inlineStr"/>
    </row>
    <row r="150">
      <c r="A150" s="3" t="inlineStr">
        <is>
          <t>AND THE WAGE BILL HAS A SHAPE</t>
        </is>
      </c>
    </row>
    <row r="151">
      <c r="A151" s="4" t="inlineStr">
        <is>
          <t xml:space="preserve">     winter $4,884/wk        peak $24,484/wk        $855,150 for the year</t>
        </is>
      </c>
    </row>
    <row r="152">
      <c r="A152" s="4" t="inlineStr">
        <is>
          <t xml:space="preserve">     crew capacity 108 hrs/wk in winter, 908 at peak</t>
        </is>
      </c>
    </row>
    <row r="153">
      <c r="A153" t="inlineStr">
        <is>
          <t>Flattening that to an annual average understated the app's own cash floor by $115,615, which</t>
        </is>
      </c>
    </row>
    <row r="154">
      <c r="A154" t="inlineStr">
        <is>
          <t>is why it is modelled week by week here rather than as one number.</t>
        </is>
      </c>
    </row>
    <row r="155">
      <c r="A155" t="inlineStr"/>
    </row>
    <row r="156">
      <c r="A156" s="3" t="inlineStr">
        <is>
          <t>WHAT IT DOES TO THE ANSWER</t>
        </is>
      </c>
    </row>
    <row r="157">
      <c r="A157" s="4" t="inlineStr">
        <is>
          <t xml:space="preserve">     profit $1,654,922 -&gt; $480,439        net margin 22.3%</t>
        </is>
      </c>
    </row>
    <row r="158">
      <c r="A158" t="inlineStr">
        <is>
          <t>Revenue falls too — $2,152,639 against v6's $2,558,846 — and that is the important half. Labour</t>
        </is>
      </c>
    </row>
    <row r="159">
      <c r="A159" t="inlineStr">
        <is>
          <t>does not merely TAX the plan, it RESHAPES it: the crew cannot pick everything the ground</t>
        </is>
      </c>
    </row>
    <row r="160">
      <c r="A160" t="inlineStr">
        <is>
          <t>could grow, so acres the land would happily carry are simply not worth planting.</t>
        </is>
      </c>
    </row>
    <row r="161">
      <c r="A161" t="inlineStr"/>
    </row>
    <row r="162">
      <c r="A162" t="inlineStr">
        <is>
          <t>Net margin 22.3% is finally in the same postcode as a real diversified-veg farm (5-15%),</t>
        </is>
      </c>
    </row>
    <row r="163">
      <c r="A163" t="inlineStr">
        <is>
          <t>having read 64.7% in v6. Labour was most of the gap.</t>
        </is>
      </c>
    </row>
    <row r="164">
      <c r="A164" t="inlineStr"/>
    </row>
    <row r="165">
      <c r="A165" s="3" t="inlineStr">
        <is>
          <t>!! THE FINDING WORTH TAKING AWAY</t>
        </is>
      </c>
    </row>
    <row r="166">
      <c r="A166" t="inlineStr">
        <is>
          <t>Committed wages create a MINIMUM CASH REQUIREMENT that no plan can avoid. This farm owes</t>
        </is>
      </c>
    </row>
    <row r="167">
      <c r="A167" t="inlineStr">
        <is>
          <t>$4,884 a week from January with nothing to sell until spring — $56,676 goes out before a</t>
        </is>
      </c>
    </row>
    <row r="168">
      <c r="A168" t="inlineStr">
        <is>
          <t>dollar comes in. Measured: below roughly $80,000-$100,000 of opening cash plus credit, there</t>
        </is>
      </c>
    </row>
    <row r="169">
      <c r="A169" t="inlineStr">
        <is>
          <t>is NO feasible plan at all. Not a worse plan — none.</t>
        </is>
      </c>
    </row>
    <row r="170">
      <c r="A170" t="inlineStr"/>
    </row>
    <row r="171">
      <c r="A171" t="inlineStr">
        <is>
          <t>And above that threshold profit is IDENTICAL at every cash level. So cash does not shape the</t>
        </is>
      </c>
    </row>
    <row r="172">
      <c r="A172" t="inlineStr">
        <is>
          <t>plan here; it decides whether you may have one. Those are different questions and a single</t>
        </is>
      </c>
    </row>
    <row r="173">
      <c r="A173" t="inlineStr">
        <is>
          <t>profit figure hides which one you are asking.</t>
        </is>
      </c>
    </row>
    <row r="174">
      <c r="A174" t="inlineStr"/>
    </row>
    <row r="175">
      <c r="A175" s="3" t="inlineStr">
        <is>
          <t>INTEREST IS REPORTED, NOT OPTIMISED OVER</t>
        </is>
      </c>
    </row>
    <row r="176">
      <c r="A176" t="inlineStr">
        <is>
          <t>Peak borrowing $49,541, interest $413 — APR on the AVERAGE amount the credit line</t>
        </is>
      </c>
    </row>
    <row r="177">
      <c r="A177" t="inlineStr">
        <is>
          <t>carries, which is the app's own post-solve formula.</t>
        </is>
      </c>
    </row>
    <row r="178">
      <c r="A178" t="inlineStr"/>
    </row>
    <row r="179">
      <c r="A179" t="inlineStr">
        <is>
          <t>It sits OUTSIDE the objective deliberately, because that is what the app does: the plan is</t>
        </is>
      </c>
    </row>
    <row r="180">
      <c r="A180" t="inlineStr">
        <is>
          <t>chosen first and the borrowing it implies is priced afterwards. The consequence is worth</t>
        </is>
      </c>
    </row>
    <row r="181">
      <c r="A181" t="inlineStr">
        <is>
          <t>knowing — the solver has no reason to shift sales earlier to borrow less, so interest is a</t>
        </is>
      </c>
    </row>
    <row r="182">
      <c r="A182" t="inlineStr">
        <is>
          <t>REPORT here rather than a lever. On this farm it is trivial ($413); on a farm that</t>
        </is>
      </c>
    </row>
    <row r="183">
      <c r="A183" t="inlineStr">
        <is>
          <t>borrows through a long winter it would not be.</t>
        </is>
      </c>
    </row>
    <row r="184">
      <c r="A184" t="inlineStr"/>
    </row>
    <row r="185">
      <c r="A185" s="3" t="inlineStr">
        <is>
          <t>INTEREST IS REPORTED, NOT OPTIMISED OVER</t>
        </is>
      </c>
    </row>
    <row r="186">
      <c r="A186" t="inlineStr">
        <is>
          <t>Peak borrowing $49,541, interest $413 — small here, and the reason is worth knowing.</t>
        </is>
      </c>
    </row>
    <row r="187">
      <c r="A187" t="inlineStr">
        <is>
          <t>The plan is chosen FIRST and the borrowing it implies is priced afterwards, so the solver has</t>
        </is>
      </c>
    </row>
    <row r="188">
      <c r="A188" t="inlineStr">
        <is>
          <t>no reason to shift sales earlier to borrow less. That is the app's own simplification and the</t>
        </is>
      </c>
    </row>
    <row r="189">
      <c r="A189" t="inlineStr">
        <is>
          <t>toy inherits it deliberately rather than diverging: a toy that models cash better than the</t>
        </is>
      </c>
    </row>
    <row r="190">
      <c r="A190" t="inlineStr">
        <is>
          <t>thing it is checking cannot check it.</t>
        </is>
      </c>
    </row>
    <row r="191">
      <c r="A191" t="inlineStr"/>
    </row>
    <row r="192">
      <c r="A192" s="3" t="inlineStr">
        <is>
          <t>WHAT v6 ADDED — real costs, and the cash floor</t>
        </is>
      </c>
    </row>
    <row r="193">
      <c r="A193" t="inlineStr">
        <is>
          <t>These are one job, not two. A cash curve is meaningless without costs to spend, and v5's</t>
        </is>
      </c>
    </row>
    <row r="194">
      <c r="A194" t="inlineStr">
        <is>
          <t>profit was absurd precisely because seed was the only cost it charged.</t>
        </is>
      </c>
    </row>
    <row r="195">
      <c r="A195" t="inlineStr"/>
    </row>
    <row r="196">
      <c r="A196" t="inlineStr">
        <is>
          <t xml:space="preserve">  TIMED variable costs   seed in the PLANTING week; fertiliser and fuel every week in the</t>
        </is>
      </c>
    </row>
    <row r="197">
      <c r="A197" t="inlineStr">
        <is>
          <t xml:space="preserve">                         ground at that phase's rate; packaging per lb in the week of SALE.</t>
        </is>
      </c>
    </row>
    <row r="198">
      <c r="A198" t="inlineStr">
        <is>
          <t xml:space="preserve">                         Timing is the whole point — a cash floor cannot be honest if the</t>
        </is>
      </c>
    </row>
    <row r="199">
      <c r="A199" t="inlineStr">
        <is>
          <t xml:space="preserve">                         costs land in the wrong week.</t>
        </is>
      </c>
    </row>
    <row r="200">
      <c r="A200" t="inlineStr">
        <is>
          <t xml:space="preserve">  FIXED costs            cooler and barn depreciation, irrigation, machinery, equipment</t>
        </is>
      </c>
    </row>
    <row r="201">
      <c r="A201" t="inlineStr">
        <is>
          <t xml:space="preserve">                         store: $1,414 a week, owed whether or not you plant anything.</t>
        </is>
      </c>
    </row>
    <row r="202">
      <c r="A202" t="inlineStr">
        <is>
          <t xml:space="preserve">  OVERHEAD               a share of revenue, exactly as the app internalises it.</t>
        </is>
      </c>
    </row>
    <row r="203">
      <c r="A203" t="inlineStr">
        <is>
          <t xml:space="preserve">  CASH FLOOR             cumulative cash may go negative — that is the credit line being</t>
        </is>
      </c>
    </row>
    <row r="204">
      <c r="A204" t="inlineStr">
        <is>
          <t xml:space="preserve">                         drawn — but never below -(opening cash + credit line). The app's C13.</t>
        </is>
      </c>
    </row>
    <row r="205">
      <c r="A205" t="inlineStr"/>
    </row>
    <row r="206">
      <c r="A206" s="4" t="inlineStr">
        <is>
          <t>Profit falls $2,384,231 -&gt; $480,439 once those are charged.</t>
        </is>
      </c>
    </row>
    <row r="207">
      <c r="A207" t="inlineStr"/>
    </row>
    <row r="208">
      <c r="A208" s="3" t="inlineStr">
        <is>
          <t>!! AND IT IS STILL ABSURD: net margin 22.3%, against 5-15% for real diversified veg.</t>
        </is>
      </c>
    </row>
    <row r="209">
      <c r="A209" t="inlineStr">
        <is>
          <t>Because LABOUR IS NOT HERE. On the real farm wages are about 90% of fixed cost — the app's</t>
        </is>
      </c>
    </row>
    <row r="210">
      <c r="A210" t="inlineStr">
        <is>
          <t>own demo pays $855,150 a year against the $73,514 of fixed cost this sheet charges. So:</t>
        </is>
      </c>
    </row>
    <row r="211">
      <c r="A211" t="inlineStr"/>
    </row>
    <row r="212">
      <c r="A212" s="4" t="inlineStr">
        <is>
          <t xml:space="preserve">     THE CASH FLOOR BARELY BINDS, AND YOU SHOULD NOT TRUST THIS CURVE YET.</t>
        </is>
      </c>
    </row>
    <row r="213">
      <c r="A213" t="inlineStr"/>
    </row>
    <row r="214">
      <c r="A214" t="inlineStr">
        <is>
          <t>Measured: at 50,000 opening and a 250,000 credit line the floor never touches. It only bites</t>
        </is>
      </c>
    </row>
    <row r="215">
      <c r="A215" t="inlineStr">
        <is>
          <t>at about 10,000 + 10,000. The mechanism is real and checked; the farm it is checking is not</t>
        </is>
      </c>
    </row>
    <row r="216">
      <c r="A216" t="inlineStr">
        <is>
          <t>yet paying anybody. Labour is v7, and it is what makes cash mean something.</t>
        </is>
      </c>
    </row>
    <row r="217">
      <c r="A217" t="inlineStr"/>
    </row>
    <row r="218">
      <c r="A218" s="3" t="inlineStr">
        <is>
          <t>WHAT v5 ADDED — both of these you spotted missing from v4</t>
        </is>
      </c>
    </row>
    <row r="219">
      <c r="A219" t="inlineStr"/>
    </row>
    <row r="220">
      <c r="A220" s="4" t="inlineStr">
        <is>
          <t>1. IT CHOOSES WHEN TO PLANT.</t>
        </is>
      </c>
    </row>
    <row r="221">
      <c r="A221" t="inlineStr">
        <is>
          <t xml:space="preserve">   All 140 plantings the app's calendar generator offers are on the sheet, one row per legal</t>
        </is>
      </c>
    </row>
    <row r="222">
      <c r="A222" t="inlineStr">
        <is>
          <t xml:space="preserve">   start week. The solver puts acres on some and zero on others — and zero acres IS the</t>
        </is>
      </c>
    </row>
    <row r="223">
      <c r="A223" t="inlineStr">
        <is>
          <t xml:space="preserve">   decision not to plant that week. v4 offered five that I picked by hand.</t>
        </is>
      </c>
    </row>
    <row r="224">
      <c r="A224" t="inlineStr"/>
    </row>
    <row r="225">
      <c r="A225" s="4" t="inlineStr">
        <is>
          <t>2. IT CHOOSES WHETHER TO PLANT AT ALL.</t>
        </is>
      </c>
    </row>
    <row r="226">
      <c r="A226" t="inlineStr">
        <is>
          <t xml:space="preserve">   The BLUE column is a binary per planting, tied to the acres by two constraints that are</t>
        </is>
      </c>
    </row>
    <row r="227">
      <c r="A227" t="inlineStr">
        <is>
          <t xml:space="preserve">   the app's own C9 and C10:</t>
        </is>
      </c>
    </row>
    <row r="228">
      <c r="A228" t="inlineStr">
        <is>
          <t xml:space="preserve">        acres &lt;= 'max if planted'   you cannot plant acres without deciding to plant</t>
        </is>
      </c>
    </row>
    <row r="229">
      <c r="A229" t="inlineStr">
        <is>
          <t xml:space="preserve">        acres &gt;= 'min if planted'   if you plant at all, you plant a real block</t>
        </is>
      </c>
    </row>
    <row r="230">
      <c r="A230" t="inlineStr">
        <is>
          <t xml:space="preserve">   That is what stops it planting a third of an acre, and it makes this a MILP — which is</t>
        </is>
      </c>
    </row>
    <row r="231">
      <c r="A231" t="inlineStr">
        <is>
          <t xml:space="preserve">   what farm_v2/solver.py is. Its `integrality` array marks the very same y block.</t>
        </is>
      </c>
    </row>
    <row r="232">
      <c r="A232" t="inlineStr"/>
    </row>
    <row r="233">
      <c r="A233" s="3" t="inlineStr">
        <is>
          <t>WHAT THE TWO CHANGES ARE WORTH — measured, and they pull OPPOSITE ways</t>
        </is>
      </c>
    </row>
    <row r="234">
      <c r="A234" t="inlineStr">
        <is>
          <t xml:space="preserve">     v4, five hand-picked plantings          $1,094,831</t>
        </is>
      </c>
    </row>
    <row r="235">
      <c r="A235" t="inlineStr">
        <is>
          <t xml:space="preserve">     v5 without the minimum-acreage rule     $483,366   (47 plantings)</t>
        </is>
      </c>
    </row>
    <row r="236">
      <c r="A236" s="4" t="inlineStr">
        <is>
          <t xml:space="preserve">     v5 as it ships                          $480,439   (38 plantings)</t>
        </is>
      </c>
    </row>
    <row r="237">
      <c r="A237" t="inlineStr"/>
    </row>
    <row r="238">
      <c r="A238" t="inlineStr">
        <is>
          <t>Letting it choose the weeks more than doubles profit. Then the minimum-acreage rule takes</t>
        </is>
      </c>
    </row>
    <row r="239">
      <c r="A239" t="inlineStr">
        <is>
          <t>$2,927 back and drops the plan from 47 plantings to 38, because the</t>
        </is>
      </c>
    </row>
    <row r="240">
      <c r="A240" t="inlineStr">
        <is>
          <t>slivers are gone.</t>
        </is>
      </c>
    </row>
    <row r="241">
      <c r="A241" t="inlineStr"/>
    </row>
    <row r="242">
      <c r="A242" t="inlineStr">
        <is>
          <t>Neither number means anything alone. A fixed calendar UNDERSTATES; a missing minimum</t>
        </is>
      </c>
    </row>
    <row r="243">
      <c r="A243" t="inlineStr">
        <is>
          <t>acreage OVERSTATES. That is why the real model has both, and it is the reason it is a MILP</t>
        </is>
      </c>
    </row>
    <row r="244">
      <c r="A244" t="inlineStr">
        <is>
          <t>rather than a plain LP.</t>
        </is>
      </c>
    </row>
    <row r="245">
      <c r="A245" t="inlineStr"/>
    </row>
    <row r="246">
      <c r="A246" s="3" t="inlineStr">
        <is>
          <t>WHY IT PLANTS SO MANY — this is the finding worth keeping</t>
        </is>
      </c>
    </row>
    <row r="247">
      <c r="A247" t="inlineStr">
        <is>
          <t>38 plantings out of 139, staggered across the season rather than a few big</t>
        </is>
      </c>
    </row>
    <row r="248">
      <c r="A248" t="inlineStr">
        <is>
          <t>blocks. That is SUCCESSION PLANTING, and now you can see why it pays: spreading the harvest</t>
        </is>
      </c>
    </row>
    <row r="249">
      <c r="A249" t="inlineStr">
        <is>
          <t>is what lets you serve a WEEKLY demand cap continuously. Plant it all at once and one huge</t>
        </is>
      </c>
    </row>
    <row r="250">
      <c r="A250" t="inlineStr">
        <is>
          <t>harvest slams into the ceiling, the cooler fills, and the surplus is wasted or dumped cheap.</t>
        </is>
      </c>
    </row>
    <row r="251">
      <c r="A251" t="inlineStr"/>
    </row>
    <row r="252">
      <c r="A252" t="inlineStr">
        <is>
          <t>A model with a fixed planting calendar cannot express the thing the practice exists for.</t>
        </is>
      </c>
    </row>
    <row r="253">
      <c r="A253" t="inlineStr"/>
    </row>
    <row r="254">
      <c r="A254" s="3" t="inlineStr">
        <is>
          <t>!! IT NEEDS LIBREOFFICE, AND THIS ONE IS A REAL MILP</t>
        </is>
      </c>
    </row>
    <row r="255">
      <c r="A255" t="inlineStr">
        <is>
          <t>1,219 decision cells: 139 acres + 139 binaries + 520 offered + 156 overtime (3 roles x 52) + 4 extra heads + 157 piece-rate + 104 contract shortfall. The engine MUST be</t>
        </is>
      </c>
    </row>
    <row r="256">
      <c r="A256" t="inlineStr">
        <is>
          <t>CoinMP — it does branch and bound over the integers. Expect it to take appreciably longer</t>
        </is>
      </c>
    </row>
    <row r="257">
      <c r="A257" t="inlineStr">
        <is>
          <t>than v4; integers are what make an optimizer work for its living.</t>
        </is>
      </c>
    </row>
    <row r="258">
      <c r="A258" t="inlineStr"/>
    </row>
    <row r="259">
      <c r="A259" s="3" t="inlineStr">
        <is>
          <t>WHERE THINGS ARE</t>
        </is>
      </c>
    </row>
    <row r="260">
      <c r="A260" t="inlineStr">
        <is>
          <t xml:space="preserve">  YELLOW   you type: the farm, the crop table, the crop x channel table.</t>
        </is>
      </c>
    </row>
    <row r="261">
      <c r="A261" t="inlineStr">
        <is>
          <t xml:space="preserve">  GREEN    the solver writes: the ACRES column (C91:C229), every OFFERED row, the contract SHORTFALL rows, and</t>
        </is>
      </c>
    </row>
    <row r="262">
      <c r="A262" t="inlineStr">
        <is>
          <t xml:space="preserve">           the PROFIT cell (B550).</t>
        </is>
      </c>
    </row>
    <row r="263">
      <c r="A263" t="inlineStr">
        <is>
          <t xml:space="preserve">  BLUE     the solver writes: the PLANT? binaries (D91:D229).</t>
        </is>
      </c>
    </row>
    <row r="264">
      <c r="A264" t="inlineStr">
        <is>
          <t xml:space="preserve">  Everything else is a formula. Columns A-D stay put when you scroll right.</t>
        </is>
      </c>
    </row>
    <row r="265">
      <c r="A265" t="inlineStr"/>
    </row>
    <row r="266">
      <c r="A266" s="3" t="inlineStr">
        <is>
          <t>HOW TO RUN IT</t>
        </is>
      </c>
    </row>
    <row r="267">
      <c r="A267" t="inlineStr">
        <is>
          <t>SOLVER SETUP, at the foot of the Model sheet, lists every entry with exact ranges. In short:</t>
        </is>
      </c>
    </row>
    <row r="268">
      <c r="A268" t="inlineStr">
        <is>
          <t xml:space="preserve">   Tools &gt; Solver, target the PROFIT cell, set to MAXIMUM</t>
        </is>
      </c>
    </row>
    <row r="269">
      <c r="A269" t="inlineStr">
        <is>
          <t xml:space="preserve">   Changing cells: C91:C229 and D91:D229 together, plus EVERY OFFERED row, the labour</t>
        </is>
      </c>
    </row>
    <row r="270">
      <c r="A270" t="inlineStr">
        <is>
          <t xml:space="preserve">   rows and the contract SHORTFALL rows — leave the shortfalls out and an unmeetable contract</t>
        </is>
      </c>
    </row>
    <row r="271">
      <c r="A271" t="inlineStr">
        <is>
          <t xml:space="preserve">   becomes a hard floor, so the solver reports NO solution</t>
        </is>
      </c>
    </row>
    <row r="272">
      <c r="A272" t="inlineStr">
        <is>
          <t xml:space="preserve">   Add the constraint  D91:D229 = Binary   — without it the binaries are just numbers</t>
        </is>
      </c>
    </row>
    <row r="273">
      <c r="A273" t="inlineStr">
        <is>
          <t xml:space="preserve">   and the minimum-acreage rule silently stops working</t>
        </is>
      </c>
    </row>
    <row r="274">
      <c r="A274" t="inlineStr">
        <is>
          <t xml:space="preserve">   Options: engine = LibreOffice CoinMP Linear Solver; tick non-negative</t>
        </is>
      </c>
    </row>
    <row r="275">
      <c r="A275" t="inlineStr"/>
    </row>
    <row r="276">
      <c r="A276" s="3" t="inlineStr">
        <is>
          <t>WHAT IT SHOULD FIND</t>
        </is>
      </c>
    </row>
    <row r="277">
      <c r="A277" s="4" t="inlineStr">
        <is>
          <t xml:space="preserve">     PROFIT   $480,439       net margin 22.3%</t>
        </is>
      </c>
    </row>
    <row r="278">
      <c r="A278" t="inlineStr">
        <is>
          <t xml:space="preserve">       revenue      $2,152,639</t>
        </is>
      </c>
    </row>
    <row r="279">
      <c r="A279" t="inlineStr">
        <is>
          <t xml:space="preserve">       growing      $171,977      seed at planting + fertiliser and fuel in the ground</t>
        </is>
      </c>
    </row>
    <row r="280">
      <c r="A280" t="inlineStr">
        <is>
          <t xml:space="preserve">       packaging    $165,924      per lb sold, in the week of sale</t>
        </is>
      </c>
    </row>
    <row r="281">
      <c r="A281" t="inlineStr">
        <is>
          <t xml:space="preserve">       fixed        $73,514      $1,414 a week, owed whether or not you plant</t>
        </is>
      </c>
    </row>
    <row r="282">
      <c r="A282" t="inlineStr">
        <is>
          <t xml:space="preserve">       overhead     $344,422      a share of revenue</t>
        </is>
      </c>
    </row>
    <row r="283">
      <c r="A283" t="inlineStr">
        <is>
          <t xml:space="preserve">       wages        $855,150      committed — owed whether the crops need the hours or not</t>
        </is>
      </c>
    </row>
    <row r="284">
      <c r="A284" t="inlineStr">
        <is>
          <t xml:space="preserve">       interest     $413          APR on what the credit line actually carries</t>
        </is>
      </c>
    </row>
    <row r="285">
      <c r="A285" t="inlineStr">
        <is>
          <t xml:space="preserve">       overtime     $6,087       141 hours, capped by row 8 week by week</t>
        </is>
      </c>
    </row>
    <row r="286">
      <c r="A286" t="inlineStr">
        <is>
          <t xml:space="preserve">       extra heads  $0      none</t>
        </is>
      </c>
    </row>
    <row r="287">
      <c r="A287" t="inlineStr">
        <is>
          <t xml:space="preserve">       piece rate   $44,100</t>
        </is>
      </c>
    </row>
    <row r="288">
      <c r="A288" t="inlineStr">
        <is>
          <t xml:space="preserve">       perennial    $5,113      upkeep + depreciation</t>
        </is>
      </c>
    </row>
    <row r="289">
      <c r="A289" t="inlineStr">
        <is>
          <t xml:space="preserve">       shortfall    $5,500      the contract penalty</t>
        </is>
      </c>
    </row>
    <row r="290">
      <c r="A290" t="inlineStr">
        <is>
          <t xml:space="preserve">     peak borrowing $49,541 — the deepest the line is ever drawn</t>
        </is>
      </c>
    </row>
    <row r="291">
      <c r="A291" t="inlineStr">
        <is>
          <t xml:space="preserve">       interest     $413          on $49,541 of peak borrowing — reported, not optimised over</t>
        </is>
      </c>
    </row>
    <row r="292">
      <c r="A292" s="4" t="inlineStr">
        <is>
          <t xml:space="preserve">     38 of 139 plantings used</t>
        </is>
      </c>
    </row>
    <row r="293">
      <c r="A293" t="inlineStr"/>
    </row>
    <row r="294">
      <c r="A294" t="inlineStr">
        <is>
          <t>Computed by solving the same MILP with scipy.milp — the same HiGHS solver your app runs. A</t>
        </is>
      </c>
    </row>
    <row r="295">
      <c r="A295" t="inlineStr">
        <is>
          <t>few dollars apart is tolerances. Materially different means one of the two models is not the</t>
        </is>
      </c>
    </row>
    <row r="296">
      <c r="A296" t="inlineStr">
        <is>
          <t>model we think it is.</t>
        </is>
      </c>
    </row>
    <row r="297">
      <c r="A297" t="inlineStr"/>
    </row>
    <row r="298">
      <c r="A298" s="3" t="inlineStr">
        <is>
          <t>WHAT SELL-THROUGH IS, AND WHY IT SHIPS AT 1.00</t>
        </is>
      </c>
    </row>
    <row r="299">
      <c r="A299" t="inlineStr">
        <is>
          <t>Every 'Sell-through' in section 3 is 1.00, matching the app since 30 Aug. The 85% it used to</t>
        </is>
      </c>
    </row>
    <row r="300">
      <c r="A300" t="inlineStr">
        <is>
          <t>carry had no source, and it was being charged on channels where a purchase order exists and</t>
        </is>
      </c>
    </row>
    <row r="301">
      <c r="A301" t="inlineStr">
        <is>
          <t>nothing goes unsold. So the market-loss and returned-to-store rows all read ZERO right now.</t>
        </is>
      </c>
    </row>
    <row r="302">
      <c r="A302" t="inlineStr">
        <is>
          <t>That is correct, not broken.</t>
        </is>
      </c>
    </row>
    <row r="303">
      <c r="A303" t="inlineStr"/>
    </row>
    <row r="304">
      <c r="A304" t="inlineStr">
        <is>
          <t>The narrow definition it now carries:</t>
        </is>
      </c>
    </row>
    <row r="305">
      <c r="A305" t="inlineStr"/>
    </row>
    <row r="306">
      <c r="A306" s="4" t="inlineStr">
        <is>
          <t xml:space="preserve">     Of what you TAKE TO MARKET, the share that converts to cash — display attrition at a</t>
        </is>
      </c>
    </row>
    <row r="307">
      <c r="A307" s="4" t="inlineStr">
        <is>
          <t xml:space="preserve">     stall, samples, transit damage, a rejected load.</t>
        </is>
      </c>
    </row>
    <row r="308">
      <c r="A308" t="inlineStr"/>
    </row>
    <row r="309">
      <c r="A309" t="inlineStr">
        <is>
          <t>NOT grade-out at harvest (that is pack-out, above the store). NOT spoilage in the store (that</t>
        </is>
      </c>
    </row>
    <row r="310">
      <c r="A310" t="inlineStr">
        <is>
          <t>is shrink). And NOT demand uncertainty — which is the one worth understanding, because it is</t>
        </is>
      </c>
    </row>
    <row r="311">
      <c r="A311" t="inlineStr">
        <is>
          <t>why the old wording could not be right:</t>
        </is>
      </c>
    </row>
    <row r="312">
      <c r="A312" t="inlineStr"/>
    </row>
    <row r="313">
      <c r="A313" t="inlineStr">
        <is>
          <t xml:space="preserve">     The demand ceiling is HARD. At a 6,000 lb cap and 0.85, selling 6,000 means bringing</t>
        </is>
      </c>
    </row>
    <row r="314">
      <c r="A314" t="inlineStr">
        <is>
          <t xml:space="preserve">     7,059 and losing 1,059 — every week, including the best Saturday of the year, because</t>
        </is>
      </c>
    </row>
    <row r="315">
      <c r="A315" t="inlineStr">
        <is>
          <t xml:space="preserve">     the model will never let you sell 6,001. That is the whole downside of bringing extra</t>
        </is>
      </c>
    </row>
    <row r="316">
      <c r="A316" t="inlineStr">
        <is>
          <t xml:space="preserve">     with none of the upside. It is not a model of uncertainty; it is a one-sided penalty.</t>
        </is>
      </c>
    </row>
    <row r="317">
      <c r="A317" t="inlineStr"/>
    </row>
    <row r="318">
      <c r="A318" t="inlineStr">
        <is>
          <t>So what it CAN mean is a display requirement: a picked-over stall sells less than a full one,</t>
        </is>
      </c>
    </row>
    <row r="319">
      <c r="A319" t="inlineStr">
        <is>
          <t>so moving 6,000 lb needs more than 6,000 lb on the table. Deterministic, and an input</t>
        </is>
      </c>
    </row>
    <row r="320">
      <c r="A320" t="inlineStr">
        <is>
          <t>requirement like seed. Real demand variance is a different problem (newsvendor) needing</t>
        </is>
      </c>
    </row>
    <row r="321">
      <c r="A321" t="inlineStr">
        <is>
          <t>machinery neither this sheet nor the app has yet.</t>
        </is>
      </c>
    </row>
    <row r="322">
      <c r="A322" t="inlineStr"/>
    </row>
    <row r="323">
      <c r="A323" s="3" t="inlineStr">
        <is>
          <t>THREE THINGS TO TRY</t>
        </is>
      </c>
    </row>
    <row r="324">
      <c r="A324" t="inlineStr"/>
    </row>
    <row r="325">
      <c r="A325" s="4" t="inlineStr">
        <is>
          <t>EXPERIMENT 1 — switch sell-through on, and watch the crop decide what happens.</t>
        </is>
      </c>
    </row>
    <row r="326">
      <c r="A326" s="4" t="inlineStr">
        <is>
          <t xml:space="preserve">   In section 3 set Spinach / Farmers Market sell-through to 0.85, and Garlic / Farmers Market to 0.85 too.</t>
        </is>
      </c>
    </row>
    <row r="327">
      <c r="A327" s="4" t="inlineStr">
        <is>
          <t xml:space="preserve">   Re-solve.</t>
        </is>
      </c>
    </row>
    <row r="328">
      <c r="A328" t="inlineStr">
        <is>
          <t xml:space="preserve">   Both now offer more than they sell. But look at the two 'market loss' rows: Spinach's is</t>
        </is>
      </c>
    </row>
    <row r="329">
      <c r="A329" t="inlineStr">
        <is>
          <t xml:space="preserve">   positive and Garlic's is ZERO, because garlic's 'Returns to store' is 1.00 — unsold garlic</t>
        </is>
      </c>
    </row>
    <row r="330">
      <c r="A330" t="inlineStr">
        <is>
          <t xml:space="preserve">   comes home and sells later, so the loss is a DELAY, not a loss.</t>
        </is>
      </c>
    </row>
    <row r="331">
      <c r="A331" t="inlineStr">
        <is>
          <t xml:space="preserve">   That is the grower's ruling in two cells: the same sell-through means different things on</t>
        </is>
      </c>
    </row>
    <row r="332">
      <c r="A332" t="inlineStr">
        <is>
          <t xml:space="preserve">   different crops, which is why it belongs on the crop x channel row and not on either one</t>
        </is>
      </c>
    </row>
    <row r="333">
      <c r="A333" t="inlineStr">
        <is>
          <t xml:space="preserve">   alone. Now set Garlic's 'Returns to store' to 0.00 and re-solve: the delay becomes a loss</t>
        </is>
      </c>
    </row>
    <row r="334">
      <c r="A334" t="inlineStr">
        <is>
          <t xml:space="preserve">   and the plan changes.</t>
        </is>
      </c>
    </row>
    <row r="335">
      <c r="A335" t="inlineStr"/>
    </row>
    <row r="336">
      <c r="A336" s="4" t="inlineStr">
        <is>
          <t>EXPERIMENT 2 — raise the contract penalties.  In 5d set both to $5.00, re-solve.</t>
        </is>
      </c>
    </row>
    <row r="337">
      <c r="A337" t="inlineStr">
        <is>
          <t xml:space="preserve">     Kale     3,000 lb short -&gt; 3,000 lb   a FACT — no price delivers weeks 36-37</t>
        </is>
      </c>
    </row>
    <row r="338">
      <c r="A338" t="inlineStr">
        <is>
          <t xml:space="preserve">     Spinach  8,000 lb short -&gt; 4,000 lb   a CHOICE — at $5 the plan grows for weeks 33, 34</t>
        </is>
      </c>
    </row>
    <row r="339">
      <c r="A339" t="inlineStr">
        <is>
          <t xml:space="preserve">   One shortfall that moves is a choice; one that does not is a fact — only the penalty tells them apart.</t>
        </is>
      </c>
    </row>
    <row r="340">
      <c r="A340" t="inlineStr"/>
    </row>
    <row r="341">
      <c r="A341" s="4" t="inlineStr">
        <is>
          <t>EXPERIMENT 2b — tighten the overtime allowance.  Set it to 1.00 and re-solve.</t>
        </is>
      </c>
    </row>
    <row r="342">
      <c r="A342" t="inlineStr">
        <is>
          <t xml:space="preserve">   Row 8 goes to zero everywhere and overtime disappears — 1.00 means 'no hours beyond</t>
        </is>
      </c>
    </row>
    <row r="343">
      <c r="A343" t="inlineStr">
        <is>
          <t xml:space="preserve">   normal'. Then try 2.00: the cap doubles in every week, but it doubles PROPORTIONALLY, so</t>
        </is>
      </c>
    </row>
    <row r="344">
      <c r="A344" t="inlineStr">
        <is>
          <t xml:space="preserve">   winter still gets almost none. That is what a typed hours cap could never do.</t>
        </is>
      </c>
    </row>
    <row r="345">
      <c r="A345" t="inlineStr"/>
    </row>
    <row r="346">
      <c r="A346" s="4" t="inlineStr">
        <is>
          <t>EXPERIMENT 3 — sack the harvest crew.  Set the Harvest Crew count to 0 and re-solve.</t>
        </is>
      </c>
    </row>
    <row r="347">
      <c r="A347" t="inlineStr">
        <is>
          <t xml:space="preserve">   You save their whole wage bill. Watch what happens to profit anyway: with fewer hours in</t>
        </is>
      </c>
    </row>
    <row r="348">
      <c r="A348" t="inlineStr">
        <is>
          <t xml:space="preserve">   weeks 14-40 the crops that need picking most cannot be picked, and revenue falls further</t>
        </is>
      </c>
    </row>
    <row r="349">
      <c r="A349" t="inlineStr">
        <is>
          <t xml:space="preserve">   than the wages saved. Then try the opposite — double their count — and watch profit rise</t>
        </is>
      </c>
    </row>
    <row r="350">
      <c r="A350" t="inlineStr">
        <is>
          <t xml:space="preserve">   even though payroll rose too. That is the trade a per-acre labour charge cannot express,</t>
        </is>
      </c>
    </row>
    <row r="351">
      <c r="A351" t="inlineStr">
        <is>
          <t xml:space="preserve">   and it is why the app rations hours with a constraint rather than pricing them.</t>
        </is>
      </c>
    </row>
    <row r="352">
      <c r="A352" t="inlineStr"/>
    </row>
    <row r="353">
      <c r="A353" s="4" t="inlineStr">
        <is>
          <t>EXPERIMENT 4 — squeeze the cash.  Set the credit line to 10,000 and opening cash to 10,000,</t>
        </is>
      </c>
    </row>
    <row r="354">
      <c r="A354" s="4" t="inlineStr">
        <is>
          <t xml:space="preserve">   then re-solve.</t>
        </is>
      </c>
    </row>
    <row r="355">
      <c r="A355" t="inlineStr">
        <is>
          <t xml:space="preserve">   Below about $100,000 combined there is no feasible plan at all — see above. Just above</t>
        </is>
      </c>
    </row>
    <row r="356">
      <c r="A356" t="inlineStr">
        <is>
          <t xml:space="preserve">   it, watch WHICH plantings the floor drops: not the least profitable ones, but</t>
        </is>
      </c>
    </row>
    <row r="357">
      <c r="A357" t="inlineStr">
        <is>
          <t xml:space="preserve">   the ones whose costs land earliest relative to their revenue. Garlic goes in around week</t>
        </is>
      </c>
    </row>
    <row r="358">
      <c r="A358" t="inlineStr">
        <is>
          <t xml:space="preserve">   47 and is not sold until week 30 of the following year — nine months of money out before</t>
        </is>
      </c>
    </row>
    <row r="359">
      <c r="A359" t="inlineStr">
        <is>
          <t xml:space="preserve">   a dollar comes back. Cash does not rank crops by margin; it ranks them by TIMING, which no</t>
        </is>
      </c>
    </row>
    <row r="360">
      <c r="A360" t="inlineStr">
        <is>
          <t xml:space="preserve">   column on this sheet shows you.</t>
        </is>
      </c>
    </row>
    <row r="361">
      <c r="A361" t="inlineStr"/>
    </row>
    <row r="362">
      <c r="A362" s="4" t="inlineStr">
        <is>
          <t>EXPERIMENT 5 — drop the minimum acreage.  Set every 'Min acres if planted' in the crop</t>
        </is>
      </c>
    </row>
    <row r="363">
      <c r="A363" s="4" t="inlineStr">
        <is>
          <t xml:space="preserve">   table to 0 and re-solve.</t>
        </is>
      </c>
    </row>
    <row r="364">
      <c r="A364" t="inlineStr">
        <is>
          <t xml:space="preserve">   Expect $483,366 and 47 plantings. The extra profit is real but the plan is</t>
        </is>
      </c>
    </row>
    <row r="365">
      <c r="A365" t="inlineStr">
        <is>
          <t xml:space="preserve">   not: it plants fractions of an acre no one would drive a tractor out for. This is what</t>
        </is>
      </c>
    </row>
    <row r="366">
      <c r="A366" t="inlineStr">
        <is>
          <t xml:space="preserve">   the binaries are FOR, and it is why the app carries them.</t>
        </is>
      </c>
    </row>
    <row r="367">
      <c r="A367" t="inlineStr"/>
    </row>
    <row r="368">
      <c r="A368" s="4" t="inlineStr">
        <is>
          <t>EXPERIMENT 6 — take away the cooler.  Set the cold store to 40 m3 and re-solve.</t>
        </is>
      </c>
    </row>
    <row r="369">
      <c r="A369" t="inlineStr">
        <is>
          <t xml:space="preserve">   Watch WHICH WEEKS it abandons, not just which crop. With a full calendar it can retreat</t>
        </is>
      </c>
    </row>
    <row r="370">
      <c r="A370" t="inlineStr">
        <is>
          <t xml:space="preserve">   to a planting pattern that keeps the cooler under its ceiling — an answer v4 could not</t>
        </is>
      </c>
    </row>
    <row r="371">
      <c r="A371" t="inlineStr">
        <is>
          <t xml:space="preserve">   even represent.</t>
        </is>
      </c>
    </row>
    <row r="372">
      <c r="A372" t="inlineStr"/>
    </row>
    <row r="373">
      <c r="A373" s="3" t="inlineStr">
        <is>
          <t>WHAT v5 STILL DOES NOT CARRY</t>
        </is>
      </c>
    </row>
    <row r="374">
      <c r="A374" t="inlineStr">
        <is>
          <t xml:space="preserve">  - Costs are seed/transplant per acre ONLY: no labour, water, packaging, storage, overhead.</t>
        </is>
      </c>
    </row>
    <row r="375">
      <c r="A375" t="inlineStr">
        <is>
          <t xml:space="preserve">    Profit is therefore far too high. The cash layer is next.</t>
        </is>
      </c>
    </row>
    <row r="376">
      <c r="A376" t="inlineStr">
        <is>
          <t xml:space="preserve">  - No cash-flow constraint, so it can spend money it does not have.</t>
        </is>
      </c>
    </row>
    <row r="377">
      <c r="A377" t="inlineStr">
        <is>
          <t xml:space="preserve">  - Shelf life IS enforced now (a real constraint since you found it dead). Shrink is wired</t>
        </is>
      </c>
    </row>
    <row r="378">
      <c r="A378" t="inlineStr">
        <is>
          <t xml:space="preserve">    too, but defaults to 0%, so it stays invisible until you set it.</t>
        </is>
      </c>
    </row>
    <row r="379">
      <c r="A379" t="inlineStr">
        <is>
          <t xml:space="preserve">  - No water, labour, diversity or throughput limits.</t>
        </is>
      </c>
    </row>
    <row r="380">
      <c r="A380" t="inlineStr">
        <is>
          <t xml:space="preserve">  - Three crops, not seven.</t>
        </is>
      </c>
    </row>
    <row r="381">
      <c r="A381" t="inlineStr"/>
    </row>
    <row r="382">
      <c r="A382" s="3" t="inlineStr">
        <is>
          <t>!! THE SCALE WARNING</t>
        </is>
      </c>
    </row>
    <row r="383">
      <c r="A383" t="inlineStr">
        <is>
          <t>An optimizer's answer is far more scale-sensitive than a calculator's: which constraint binds,</t>
        </is>
      </c>
    </row>
    <row r="384">
      <c r="A384" t="inlineStr">
        <is>
          <t>and therefore which crop and which WEEK wins, can invert between 3 crops and 7. This teaches</t>
        </is>
      </c>
    </row>
    <row r="385">
      <c r="A385" t="inlineStr">
        <is>
          <t>the machinery. It is not advice about your farm.</t>
        </is>
      </c>
    </row>
    <row r="386">
      <c r="A386" t="inlineStr"/>
    </row>
    <row r="387">
      <c r="A387" s="3" t="inlineStr">
        <is>
          <t>HAS THIS SHEET BEEN CHECKED?</t>
        </is>
      </c>
    </row>
    <row r="388">
      <c r="A388" t="inlineStr">
        <is>
          <t>Yes. Crop data, the calendar and the demand caps are read from the app. The formulas are</t>
        </is>
      </c>
    </row>
    <row r="389">
      <c r="A389" t="inlineStr">
        <is>
          <t>calculated by an engine and compared cell by cell against an independent model under three</t>
        </is>
      </c>
    </row>
    <row r="390">
      <c r="A390" t="inlineStr">
        <is>
          <t>configurations. Every input is perturbed to prove it propagates. No number is frozen. And the</t>
        </is>
      </c>
    </row>
    <row r="391">
      <c r="A391" t="inlineStr">
        <is>
          <t>same MILP is solved with scipy.milp, its answer written into the decision cells, and the</t>
        </is>
      </c>
    </row>
    <row r="392">
      <c r="A392" t="inlineStr">
        <is>
          <t>sheet's own PROFIT cell must reproduce the optimum exactly.</t>
        </is>
      </c>
    </row>
    <row r="393">
      <c r="A393" t="inlineStr">
        <is>
          <t xml:space="preserve">     Run it yourself:   .venv/bin/python toy_models/verify_toy_v12.py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05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6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>
      <c r="A1" s="1" t="inlineStr">
        <is>
          <t>FARM TOY MODEL — v12: the fixed layer (zones, variants, perennial, floors, contracts)</t>
        </is>
      </c>
      <c r="D1" s="2" t="inlineStr">
        <is>
          <t>BUILT 2026-10-24 23:41   (from source at 239918a)</t>
        </is>
      </c>
    </row>
    <row r="2">
      <c r="A2" s="4" t="inlineStr">
        <is>
          <t>KEY:</t>
        </is>
      </c>
      <c r="B2" s="5" t="inlineStr">
        <is>
          <t>INPUT — you type here</t>
        </is>
      </c>
      <c r="F2" s="6" t="inlineStr">
        <is>
          <t>DECISION — the solver writes here</t>
        </is>
      </c>
      <c r="J2" s="7" t="inlineStr">
        <is>
          <t>CONSTRAINT — a limit and its room left</t>
        </is>
      </c>
      <c r="N2" s="8" t="inlineStr">
        <is>
          <t>OBJECTIVE — the cell being maximised</t>
        </is>
      </c>
    </row>
    <row r="3">
      <c r="A3" s="2" t="inlineStr">
        <is>
          <t>Everything else is grey. Read the 'READ ME' sheet first.</t>
        </is>
      </c>
    </row>
    <row r="5">
      <c r="A5" s="3" t="inlineStr">
        <is>
          <t>1 — THE FARM</t>
        </is>
      </c>
    </row>
    <row r="6">
      <c r="A6" s="4" t="inlineStr">
        <is>
          <t>Land you have</t>
        </is>
      </c>
      <c r="B6" s="9" t="n">
        <v>80</v>
      </c>
      <c r="C6" s="2" t="inlineStr">
        <is>
          <t>acres</t>
        </is>
      </c>
    </row>
    <row r="7">
      <c r="A7" s="4" t="inlineStr">
        <is>
          <t>Cold store (cooler)</t>
        </is>
      </c>
      <c r="B7" s="10" t="n">
        <v>275</v>
      </c>
      <c r="C7" s="2" t="inlineStr">
        <is>
          <t>m3 — Spinach, Kale</t>
        </is>
      </c>
    </row>
    <row r="8">
      <c r="A8" s="4" t="inlineStr">
        <is>
          <t>Ambient store (barn)</t>
        </is>
      </c>
      <c r="B8" s="10" t="n">
        <v>150</v>
      </c>
      <c r="C8" s="2" t="inlineStr">
        <is>
          <t>m3 — Garlic</t>
        </is>
      </c>
    </row>
    <row r="10">
      <c r="A10" s="3" t="inlineStr">
        <is>
          <t>1b — ZONES  (named land pools — no map)</t>
        </is>
      </c>
    </row>
    <row r="11">
      <c r="A11" s="4" t="inlineStr">
        <is>
          <t>Open field</t>
        </is>
      </c>
      <c r="B11" s="11">
        <f>$B$6-$B$12</f>
        <v/>
      </c>
      <c r="C11" s="2" t="inlineStr">
        <is>
          <t>acres — what the other zones leave of 'Land you have'</t>
        </is>
      </c>
    </row>
    <row r="12">
      <c r="A12" s="4" t="inlineStr">
        <is>
          <t>High tunnel</t>
        </is>
      </c>
      <c r="B12" s="9" t="n">
        <v>2</v>
      </c>
      <c r="C12" s="2" t="inlineStr">
        <is>
          <t>acres</t>
        </is>
      </c>
    </row>
    <row r="13">
      <c r="A13" s="2" t="inlineStr">
        <is>
          <t xml:space="preserve">   Which crops may stand in which zone is the 'Open field?' / 'High tunnel?' columns of section 2. A yellow Y can be set to N (its plantings get max acres 0); a grey N has no plantings to switch on — allowing it means new calendar rows.</t>
        </is>
      </c>
    </row>
    <row r="15">
      <c r="A15" s="3" t="inlineStr">
        <is>
          <t>2 — HOW EACH CROP BEHAVES</t>
        </is>
      </c>
    </row>
    <row r="16">
      <c r="A16" s="12" t="inlineStr">
        <is>
          <t>Crop</t>
        </is>
      </c>
      <c r="B16" s="12" t="inlineStr">
        <is>
          <t>Yield lb/acre</t>
        </is>
      </c>
      <c r="C16" s="12" t="inlineStr">
        <is>
          <t>Pack-out</t>
        </is>
      </c>
      <c r="D16" s="12" t="inlineStr">
        <is>
          <t>m3 per lb</t>
        </is>
      </c>
      <c r="E16" s="12" t="inlineStr">
        <is>
          <t>Store</t>
        </is>
      </c>
      <c r="F16" s="12" t="inlineStr">
        <is>
          <t>Shelf life wk</t>
        </is>
      </c>
      <c r="G16" s="12" t="inlineStr">
        <is>
          <t>Shrink %/wk</t>
        </is>
      </c>
      <c r="H16" s="12" t="inlineStr">
        <is>
          <t>Seed $/acre</t>
        </is>
      </c>
      <c r="I16" s="12" t="inlineStr">
        <is>
          <t>Min acres if planted</t>
        </is>
      </c>
      <c r="J16" s="12" t="inlineStr">
        <is>
          <t>Harvest weeks</t>
        </is>
      </c>
      <c r="K16" s="12" t="inlineStr">
        <is>
          <t>$/ac plant wk</t>
        </is>
      </c>
      <c r="L16" s="12" t="inlineStr">
        <is>
          <t>$/ac grow wk</t>
        </is>
      </c>
      <c r="M16" s="12" t="inlineStr">
        <is>
          <t>$/ac harvest wk</t>
        </is>
      </c>
      <c r="N16" s="12" t="inlineStr">
        <is>
          <t>hrs/ac plant</t>
        </is>
      </c>
      <c r="O16" s="12" t="inlineStr">
        <is>
          <t>hrs/ac grow</t>
        </is>
      </c>
      <c r="P16" s="12" t="inlineStr">
        <is>
          <t>hrs/ac harvest</t>
        </is>
      </c>
      <c r="Q16" s="12" t="inlineStr">
        <is>
          <t>Sells as</t>
        </is>
      </c>
      <c r="R16" s="12" t="inlineStr">
        <is>
          <t>Open field?</t>
        </is>
      </c>
      <c r="S16" s="12" t="inlineStr">
        <is>
          <t>High tunnel?</t>
        </is>
      </c>
    </row>
    <row r="17">
      <c r="A17" s="13" t="inlineStr">
        <is>
          <t>Spinach</t>
        </is>
      </c>
      <c r="B17" s="10" t="n">
        <v>5000</v>
      </c>
      <c r="C17" s="14" t="n">
        <v>1</v>
      </c>
      <c r="D17" s="15" t="n">
        <v>0.002197967741935484</v>
      </c>
      <c r="E17" s="16" t="inlineStr">
        <is>
          <t>Cold</t>
        </is>
      </c>
      <c r="F17" s="17" t="n">
        <v>2</v>
      </c>
      <c r="G17" s="18" t="n">
        <v>0</v>
      </c>
      <c r="H17" s="19" t="n">
        <v>280</v>
      </c>
      <c r="I17" s="9" t="n">
        <v>2</v>
      </c>
      <c r="J17" s="20">
        <f>COUNTIF($E$91:$BD$91,"H")</f>
        <v/>
      </c>
      <c r="K17" s="21" t="n">
        <v>33.895</v>
      </c>
      <c r="L17" s="21" t="n">
        <v>13.32</v>
      </c>
      <c r="M17" s="21" t="n">
        <v>11.285</v>
      </c>
      <c r="N17" s="9" t="n">
        <v>2</v>
      </c>
      <c r="O17" s="9" t="n">
        <v>4</v>
      </c>
      <c r="P17" s="9" t="n">
        <v>50</v>
      </c>
      <c r="Q17" s="13" t="inlineStr">
        <is>
          <t>Spinach</t>
        </is>
      </c>
      <c r="R17" s="22" t="inlineStr">
        <is>
          <t>Y</t>
        </is>
      </c>
      <c r="S17" s="23" t="inlineStr">
        <is>
          <t>N</t>
        </is>
      </c>
    </row>
    <row r="18">
      <c r="A18" s="13" t="inlineStr">
        <is>
          <t>Kale</t>
        </is>
      </c>
      <c r="B18" s="10" t="n">
        <v>8000</v>
      </c>
      <c r="C18" s="14" t="n">
        <v>1</v>
      </c>
      <c r="D18" s="15" t="n">
        <v>0.003785388888888889</v>
      </c>
      <c r="E18" s="16" t="inlineStr">
        <is>
          <t>Cold</t>
        </is>
      </c>
      <c r="F18" s="17" t="n">
        <v>2</v>
      </c>
      <c r="G18" s="18" t="n">
        <v>0</v>
      </c>
      <c r="H18" s="19" t="n">
        <v>1089</v>
      </c>
      <c r="I18" s="9" t="n">
        <v>2</v>
      </c>
      <c r="J18" s="20">
        <f>COUNTIF($E$126:$BD$126,"H")</f>
        <v/>
      </c>
      <c r="K18" s="21" t="n">
        <v>46.64</v>
      </c>
      <c r="L18" s="21" t="n">
        <v>11.469</v>
      </c>
      <c r="M18" s="21" t="n">
        <v>10.08</v>
      </c>
      <c r="N18" s="9" t="n">
        <v>3</v>
      </c>
      <c r="O18" s="9" t="n">
        <v>2.5</v>
      </c>
      <c r="P18" s="9" t="n">
        <v>22</v>
      </c>
      <c r="Q18" s="13" t="inlineStr">
        <is>
          <t>Kale</t>
        </is>
      </c>
      <c r="R18" s="22" t="inlineStr">
        <is>
          <t>Y</t>
        </is>
      </c>
      <c r="S18" s="22" t="inlineStr">
        <is>
          <t>Y</t>
        </is>
      </c>
    </row>
    <row r="19">
      <c r="A19" s="13" t="inlineStr">
        <is>
          <t>Garlic</t>
        </is>
      </c>
      <c r="B19" s="10" t="n">
        <v>10000</v>
      </c>
      <c r="C19" s="14" t="n">
        <v>1</v>
      </c>
      <c r="D19" s="15" t="n">
        <v>0.001195385964912281</v>
      </c>
      <c r="E19" s="24" t="inlineStr">
        <is>
          <t>Ambient</t>
        </is>
      </c>
      <c r="F19" s="17" t="n">
        <v>16</v>
      </c>
      <c r="G19" s="18" t="n">
        <v>0</v>
      </c>
      <c r="H19" s="19" t="n">
        <v>2500</v>
      </c>
      <c r="I19" s="9" t="n">
        <v>2</v>
      </c>
      <c r="J19" s="20">
        <f>COUNTIF($E$186:$BD$186,"H")</f>
        <v/>
      </c>
      <c r="K19" s="21" t="n">
        <v>19.4194</v>
      </c>
      <c r="L19" s="21" t="n">
        <v>4.1688</v>
      </c>
      <c r="M19" s="21" t="n">
        <v>19.75</v>
      </c>
      <c r="N19" s="9" t="n">
        <v>6.7</v>
      </c>
      <c r="O19" s="9" t="n">
        <v>0.3</v>
      </c>
      <c r="P19" s="9" t="n">
        <v>75</v>
      </c>
      <c r="Q19" s="13" t="inlineStr">
        <is>
          <t>Garlic</t>
        </is>
      </c>
      <c r="R19" s="22" t="inlineStr">
        <is>
          <t>Y</t>
        </is>
      </c>
      <c r="S19" s="23" t="inlineStr">
        <is>
          <t>N</t>
        </is>
      </c>
    </row>
    <row r="20">
      <c r="A20" s="13" t="inlineStr">
        <is>
          <t>Tunnel Spinach</t>
        </is>
      </c>
      <c r="B20" s="10" t="n">
        <v>5000</v>
      </c>
      <c r="C20" s="14" t="n">
        <v>1</v>
      </c>
      <c r="D20" s="15" t="n">
        <v>0.002197967741935484</v>
      </c>
      <c r="E20" s="16" t="inlineStr">
        <is>
          <t>Cold</t>
        </is>
      </c>
      <c r="F20" s="17" t="n">
        <v>2</v>
      </c>
      <c r="G20" s="18" t="n">
        <v>0</v>
      </c>
      <c r="H20" s="19" t="n">
        <v>280</v>
      </c>
      <c r="I20" s="9" t="n">
        <v>0.25</v>
      </c>
      <c r="J20" s="20">
        <f>COUNTIF($E$189:$BD$189,"H")</f>
        <v/>
      </c>
      <c r="K20" s="21" t="n">
        <v>33.895</v>
      </c>
      <c r="L20" s="21" t="n">
        <v>13.32</v>
      </c>
      <c r="M20" s="21" t="n">
        <v>11.285</v>
      </c>
      <c r="N20" s="9" t="n">
        <v>2</v>
      </c>
      <c r="O20" s="9" t="n">
        <v>4</v>
      </c>
      <c r="P20" s="9" t="n">
        <v>50</v>
      </c>
      <c r="Q20" s="13" t="inlineStr">
        <is>
          <t>Spinach</t>
        </is>
      </c>
      <c r="R20" s="23" t="inlineStr">
        <is>
          <t>N</t>
        </is>
      </c>
      <c r="S20" s="22" t="inlineStr">
        <is>
          <t>Y</t>
        </is>
      </c>
    </row>
    <row r="21">
      <c r="A21" s="13" t="inlineStr">
        <is>
          <t>Asparagus</t>
        </is>
      </c>
      <c r="B21" s="10" t="n">
        <v>1750</v>
      </c>
      <c r="C21" s="14" t="n">
        <v>1</v>
      </c>
      <c r="D21" s="15" t="n">
        <v>0.0012</v>
      </c>
      <c r="E21" s="16" t="inlineStr">
        <is>
          <t>Cold</t>
        </is>
      </c>
      <c r="F21" s="17" t="n">
        <v>2</v>
      </c>
      <c r="G21" s="18" t="n">
        <v>0</v>
      </c>
      <c r="H21" s="25">
        <f>0</f>
        <v/>
      </c>
      <c r="I21" s="11">
        <f>0</f>
        <v/>
      </c>
      <c r="J21" s="20">
        <f>COUNTIF($E$230:$BD$230,"H")</f>
        <v/>
      </c>
      <c r="K21" s="26">
        <f>0</f>
        <v/>
      </c>
      <c r="L21" s="26">
        <f>$B$30</f>
        <v/>
      </c>
      <c r="M21" s="26">
        <f>$B$30</f>
        <v/>
      </c>
      <c r="N21" s="9" t="n">
        <v>0</v>
      </c>
      <c r="O21" s="9" t="n">
        <v>0.5</v>
      </c>
      <c r="P21" s="9" t="n">
        <v>5.5</v>
      </c>
      <c r="Q21" s="13" t="inlineStr">
        <is>
          <t>Asparagus</t>
        </is>
      </c>
      <c r="R21" s="23" t="inlineStr">
        <is>
          <t>Y</t>
        </is>
      </c>
      <c r="S21" s="23" t="inlineStr">
        <is>
          <t>N</t>
        </is>
      </c>
    </row>
    <row r="22">
      <c r="A22" s="2" t="inlineStr">
        <is>
          <t>'Min acres if planted' is what the plant/don't-plant switch enforces — see section 4.</t>
        </is>
      </c>
    </row>
    <row r="23">
      <c r="A23" s="2" t="inlineStr">
        <is>
          <t>⚠️ Tunnel Spinach is a separate NAME with its own windows, and it SELLS AS Spinach: it shares Spinach's market (section 5) instead of getting a second one.</t>
        </is>
      </c>
    </row>
    <row r="25">
      <c r="A25" s="3" t="inlineStr">
        <is>
          <t>2b — COMMITTED GROUND: Asparagus (a perennial, in the ground all 52 weeks)</t>
        </is>
      </c>
    </row>
    <row r="26">
      <c r="A26" s="2" t="inlineStr">
        <is>
          <t xml:space="preserve">   Its acres are an INPUT on its calendar row (section 4) — not a decision. It never goes through the planting calendar, which refuses any cycle over 52 weeks.</t>
        </is>
      </c>
    </row>
    <row r="27">
      <c r="A27" s="4" t="inlineStr">
        <is>
          <t>Establishment $/acre</t>
        </is>
      </c>
      <c r="B27" s="19" t="n">
        <v>4082</v>
      </c>
      <c r="C27" s="2" t="inlineStr">
        <is>
          <t>what it cost to put in — CAPITAL, so depreciated, never charged as this year's seed (MSU Ext. E3315)</t>
        </is>
      </c>
    </row>
    <row r="28">
      <c r="A28" s="4" t="inlineStr">
        <is>
          <t>Bearing life, years</t>
        </is>
      </c>
      <c r="B28" s="27" t="n">
        <v>10</v>
      </c>
      <c r="C28" s="2" t="inlineStr">
        <is>
          <t>WSU EB1779 amortises establishment over 10 bearing years</t>
        </is>
      </c>
    </row>
    <row r="29">
      <c r="A29" s="4" t="inlineStr">
        <is>
          <t>Upkeep $/acre/yr</t>
        </is>
      </c>
      <c r="B29" s="19" t="n">
        <v>1296</v>
      </c>
      <c r="C29" s="2" t="inlineStr">
        <is>
          <t>this year's cost of keeping it (Univ. Kentucky 2016 full-harvest year)</t>
        </is>
      </c>
    </row>
    <row r="30">
      <c r="A30" s="4" t="inlineStr">
        <is>
          <t xml:space="preserve">  -&gt; $/acre per week</t>
        </is>
      </c>
      <c r="B30" s="26">
        <f>($B$29+$B$27/$B$28)/52</f>
        <v/>
      </c>
      <c r="C30" s="2" t="inlineStr">
        <is>
          <t>upkeep + depreciation, flat across the year like the farm's other fixed costs</t>
        </is>
      </c>
    </row>
    <row r="31">
      <c r="A31" s="2" t="inlineStr">
        <is>
          <t xml:space="preserve">   ⚠️ TOY PLACEHOLDERS where no source was found: the harvest weeks (18-25), the FM price and caps, the labour hours, the pack volume and shelf life. FX.6 sources them.</t>
        </is>
      </c>
    </row>
    <row r="33">
      <c r="A33" s="3" t="inlineStr">
        <is>
          <t>3 — WHO BUYS IT   (one row per crop x channel — the grower's ruling)</t>
        </is>
      </c>
    </row>
    <row r="34">
      <c r="A34" s="12" t="inlineStr">
        <is>
          <t>Crop</t>
        </is>
      </c>
      <c r="B34" s="12" t="inlineStr">
        <is>
          <t>Channel</t>
        </is>
      </c>
      <c r="C34" s="12" t="inlineStr">
        <is>
          <t>Cap type</t>
        </is>
      </c>
      <c r="D34" s="12" t="inlineStr">
        <is>
          <t>Cap lb</t>
        </is>
      </c>
      <c r="E34" s="12" t="inlineStr">
        <is>
          <t>From wk</t>
        </is>
      </c>
      <c r="F34" s="12" t="inlineStr">
        <is>
          <t>To wk</t>
        </is>
      </c>
      <c r="G34" s="12" t="inlineStr">
        <is>
          <t>Sell-through</t>
        </is>
      </c>
      <c r="H34" s="12" t="inlineStr">
        <is>
          <t>Returns to store</t>
        </is>
      </c>
      <c r="I34" s="12" t="inlineStr">
        <is>
          <t>Price $/lb</t>
        </is>
      </c>
      <c r="J34" s="12" t="inlineStr">
        <is>
          <t>Packaging $/lb</t>
        </is>
      </c>
    </row>
    <row r="35">
      <c r="A35" s="13" t="inlineStr">
        <is>
          <t>Spinach</t>
        </is>
      </c>
      <c r="B35" s="16" t="inlineStr">
        <is>
          <t>Farmers Market</t>
        </is>
      </c>
      <c r="C35" s="17" t="inlineStr">
        <is>
          <t>Weekly</t>
        </is>
      </c>
      <c r="D35" s="10" t="n">
        <v>6000</v>
      </c>
      <c r="E35" s="17" t="n">
        <v>10</v>
      </c>
      <c r="F35" s="17" t="n">
        <v>48</v>
      </c>
      <c r="G35" s="14" t="n">
        <v>1</v>
      </c>
      <c r="H35" s="14" t="n">
        <v>0</v>
      </c>
      <c r="I35" s="21" t="n">
        <v>2.75</v>
      </c>
      <c r="J35" s="21" t="n">
        <v>0.18</v>
      </c>
    </row>
    <row r="36">
      <c r="A36" s="13" t="inlineStr">
        <is>
          <t>Spinach</t>
        </is>
      </c>
      <c r="B36" s="24" t="inlineStr">
        <is>
          <t>Wholesale</t>
        </is>
      </c>
      <c r="C36" s="17" t="inlineStr">
        <is>
          <t>Weekly</t>
        </is>
      </c>
      <c r="D36" s="10" t="n">
        <v>25000</v>
      </c>
      <c r="E36" s="17" t="n">
        <v>1</v>
      </c>
      <c r="F36" s="17" t="n">
        <v>52</v>
      </c>
      <c r="G36" s="14" t="n">
        <v>1</v>
      </c>
      <c r="H36" s="14" t="n">
        <v>0</v>
      </c>
      <c r="I36" s="21" t="n">
        <v>1</v>
      </c>
      <c r="J36" s="21" t="n">
        <v>0.09</v>
      </c>
    </row>
    <row r="37">
      <c r="A37" s="13" t="inlineStr">
        <is>
          <t>Kale</t>
        </is>
      </c>
      <c r="B37" s="16" t="inlineStr">
        <is>
          <t>Farmers Market</t>
        </is>
      </c>
      <c r="C37" s="17" t="inlineStr">
        <is>
          <t>Weekly</t>
        </is>
      </c>
      <c r="D37" s="10" t="n">
        <v>3500</v>
      </c>
      <c r="E37" s="17" t="n">
        <v>10</v>
      </c>
      <c r="F37" s="17" t="n">
        <v>50</v>
      </c>
      <c r="G37" s="14" t="n">
        <v>1</v>
      </c>
      <c r="H37" s="14" t="n">
        <v>0</v>
      </c>
      <c r="I37" s="21" t="n">
        <v>2</v>
      </c>
      <c r="J37" s="21" t="n">
        <v>0.14</v>
      </c>
    </row>
    <row r="38">
      <c r="A38" s="13" t="inlineStr">
        <is>
          <t>Kale</t>
        </is>
      </c>
      <c r="B38" s="24" t="inlineStr">
        <is>
          <t>Wholesale</t>
        </is>
      </c>
      <c r="C38" s="17" t="inlineStr">
        <is>
          <t>Annual</t>
        </is>
      </c>
      <c r="D38" s="10" t="n">
        <v>500000</v>
      </c>
      <c r="E38" s="17" t="n">
        <v>1</v>
      </c>
      <c r="F38" s="17" t="n">
        <v>52</v>
      </c>
      <c r="G38" s="14" t="n">
        <v>1</v>
      </c>
      <c r="H38" s="14" t="n">
        <v>0</v>
      </c>
      <c r="I38" s="21" t="n">
        <v>0.7</v>
      </c>
      <c r="J38" s="21" t="n">
        <v>0.07000000000000001</v>
      </c>
    </row>
    <row r="39">
      <c r="A39" s="13" t="inlineStr">
        <is>
          <t>Garlic</t>
        </is>
      </c>
      <c r="B39" s="16" t="inlineStr">
        <is>
          <t>Farmers Market</t>
        </is>
      </c>
      <c r="C39" s="17" t="inlineStr">
        <is>
          <t>Weekly</t>
        </is>
      </c>
      <c r="D39" s="10" t="n">
        <v>2000</v>
      </c>
      <c r="E39" s="17" t="n">
        <v>22</v>
      </c>
      <c r="F39" s="17" t="n">
        <v>35</v>
      </c>
      <c r="G39" s="14" t="n">
        <v>1</v>
      </c>
      <c r="H39" s="14" t="n">
        <v>1</v>
      </c>
      <c r="I39" s="21" t="n">
        <v>6</v>
      </c>
      <c r="J39" s="21" t="n">
        <v>0.4</v>
      </c>
    </row>
    <row r="40">
      <c r="A40" s="13" t="inlineStr">
        <is>
          <t>Garlic</t>
        </is>
      </c>
      <c r="B40" s="24" t="inlineStr">
        <is>
          <t>Wholesale</t>
        </is>
      </c>
      <c r="C40" s="17" t="inlineStr">
        <is>
          <t>Weekly</t>
        </is>
      </c>
      <c r="D40" s="10" t="n">
        <v>30000</v>
      </c>
      <c r="E40" s="17" t="n">
        <v>1</v>
      </c>
      <c r="F40" s="17" t="n">
        <v>52</v>
      </c>
      <c r="G40" s="14" t="n">
        <v>1</v>
      </c>
      <c r="H40" s="14" t="n">
        <v>0</v>
      </c>
      <c r="I40" s="21" t="n">
        <v>2.75</v>
      </c>
      <c r="J40" s="21" t="n">
        <v>0.2</v>
      </c>
    </row>
    <row r="41">
      <c r="A41" s="13" t="inlineStr">
        <is>
          <t>Tunnel Spinach</t>
        </is>
      </c>
      <c r="B41" s="16" t="inlineStr">
        <is>
          <t>Farmers Market</t>
        </is>
      </c>
      <c r="C41" s="13" t="inlineStr">
        <is>
          <t>as Spinach</t>
        </is>
      </c>
      <c r="G41" s="14" t="n">
        <v>1</v>
      </c>
      <c r="H41" s="14" t="n">
        <v>0</v>
      </c>
      <c r="I41" s="21" t="n">
        <v>2.75</v>
      </c>
      <c r="J41" s="21" t="n">
        <v>0.18</v>
      </c>
    </row>
    <row r="42">
      <c r="A42" s="13" t="inlineStr">
        <is>
          <t>Tunnel Spinach</t>
        </is>
      </c>
      <c r="B42" s="24" t="inlineStr">
        <is>
          <t>Wholesale</t>
        </is>
      </c>
      <c r="C42" s="13" t="inlineStr">
        <is>
          <t>as Spinach</t>
        </is>
      </c>
      <c r="G42" s="14" t="n">
        <v>1</v>
      </c>
      <c r="H42" s="14" t="n">
        <v>0</v>
      </c>
      <c r="I42" s="21" t="n">
        <v>1</v>
      </c>
      <c r="J42" s="21" t="n">
        <v>0.09</v>
      </c>
    </row>
    <row r="43">
      <c r="A43" s="13" t="inlineStr">
        <is>
          <t>Asparagus</t>
        </is>
      </c>
      <c r="B43" s="16" t="inlineStr">
        <is>
          <t>Farmers Market</t>
        </is>
      </c>
      <c r="C43" s="17" t="inlineStr">
        <is>
          <t>Weekly</t>
        </is>
      </c>
      <c r="D43" s="10" t="n">
        <v>300</v>
      </c>
      <c r="E43" s="17" t="n">
        <v>18</v>
      </c>
      <c r="F43" s="17" t="n">
        <v>25</v>
      </c>
      <c r="G43" s="14" t="n">
        <v>1</v>
      </c>
      <c r="H43" s="14" t="n">
        <v>0</v>
      </c>
      <c r="I43" s="21" t="n">
        <v>4</v>
      </c>
      <c r="J43" s="21" t="n">
        <v>0.3</v>
      </c>
    </row>
    <row r="44">
      <c r="A44" s="13" t="inlineStr">
        <is>
          <t>Asparagus</t>
        </is>
      </c>
      <c r="B44" s="24" t="inlineStr">
        <is>
          <t>Wholesale</t>
        </is>
      </c>
      <c r="C44" s="17" t="inlineStr">
        <is>
          <t>Weekly</t>
        </is>
      </c>
      <c r="D44" s="10" t="n">
        <v>1500</v>
      </c>
      <c r="E44" s="17" t="n">
        <v>1</v>
      </c>
      <c r="F44" s="17" t="n">
        <v>52</v>
      </c>
      <c r="G44" s="14" t="n">
        <v>1</v>
      </c>
      <c r="H44" s="14" t="n">
        <v>0</v>
      </c>
      <c r="I44" s="21" t="n">
        <v>1.75</v>
      </c>
      <c r="J44" s="21" t="n">
        <v>0.15</v>
      </c>
    </row>
    <row r="46">
      <c r="A46" s="3" t="inlineStr">
        <is>
          <t>3b — THE CREW</t>
        </is>
      </c>
    </row>
    <row r="47">
      <c r="A47" s="12" t="inlineStr">
        <is>
          <t>Position</t>
        </is>
      </c>
      <c r="B47" s="12" t="inlineStr">
        <is>
          <t>Count</t>
        </is>
      </c>
      <c r="C47" s="12" t="inlineStr">
        <is>
          <t>Type</t>
        </is>
      </c>
      <c r="D47" s="12" t="inlineStr">
        <is>
          <t>Wage</t>
        </is>
      </c>
      <c r="E47" s="12" t="inlineStr">
        <is>
          <t>Hours/wk</t>
        </is>
      </c>
      <c r="F47" s="12" t="inlineStr">
        <is>
          <t>Field time %</t>
        </is>
      </c>
      <c r="G47" s="12" t="inlineStr">
        <is>
          <t>From wk</t>
        </is>
      </c>
      <c r="H47" s="12" t="inlineStr">
        <is>
          <t>To wk</t>
        </is>
      </c>
      <c r="I47" s="12" t="inlineStr">
        <is>
          <t>Hire more?</t>
        </is>
      </c>
      <c r="J47" s="12" t="inlineStr">
        <is>
          <t>Max more</t>
        </is>
      </c>
      <c r="K47" s="12" t="inlineStr">
        <is>
          <t>EXTRA HIRED</t>
        </is>
      </c>
      <c r="L47" s="12" t="inlineStr">
        <is>
          <t>Room left</t>
        </is>
      </c>
    </row>
    <row r="48">
      <c r="A48" s="13" t="inlineStr">
        <is>
          <t>Farm Manager</t>
        </is>
      </c>
      <c r="B48" s="27" t="n">
        <v>1</v>
      </c>
      <c r="C48" s="13" t="inlineStr">
        <is>
          <t>salary</t>
        </is>
      </c>
      <c r="D48" s="19" t="n">
        <v>95000</v>
      </c>
      <c r="E48" s="27" t="n">
        <v>45</v>
      </c>
      <c r="F48" s="27" t="n">
        <v>80</v>
      </c>
      <c r="G48" s="27" t="n">
        <v>1</v>
      </c>
      <c r="H48" s="27" t="n">
        <v>52</v>
      </c>
      <c r="I48" s="17" t="inlineStr">
        <is>
          <t>N</t>
        </is>
      </c>
      <c r="J48" s="27" t="n">
        <v>0</v>
      </c>
      <c r="K48" s="28" t="n">
        <v>0</v>
      </c>
      <c r="L48" s="29">
        <f>IF($I$48="Y",$J$48-$K$48,0)</f>
        <v/>
      </c>
    </row>
    <row r="49">
      <c r="A49" s="13" t="inlineStr">
        <is>
          <t>Equipment Operator</t>
        </is>
      </c>
      <c r="B49" s="27" t="n">
        <v>2</v>
      </c>
      <c r="C49" s="13" t="inlineStr">
        <is>
          <t>hourly</t>
        </is>
      </c>
      <c r="D49" s="19" t="n">
        <v>26</v>
      </c>
      <c r="E49" s="27" t="n">
        <v>40</v>
      </c>
      <c r="F49" s="27" t="n">
        <v>90</v>
      </c>
      <c r="G49" s="27" t="n">
        <v>1</v>
      </c>
      <c r="H49" s="27" t="n">
        <v>52</v>
      </c>
      <c r="I49" s="17" t="inlineStr">
        <is>
          <t>N</t>
        </is>
      </c>
      <c r="J49" s="27" t="n">
        <v>0</v>
      </c>
      <c r="K49" s="28" t="n">
        <v>0</v>
      </c>
      <c r="L49" s="29">
        <f>IF($I$49="Y",$J$49-$K$49,0)</f>
        <v/>
      </c>
    </row>
    <row r="50">
      <c r="A50" s="13" t="inlineStr">
        <is>
          <t>Seasonal Field Crew</t>
        </is>
      </c>
      <c r="B50" s="27" t="n">
        <v>12</v>
      </c>
      <c r="C50" s="13" t="inlineStr">
        <is>
          <t>seasonal</t>
        </is>
      </c>
      <c r="D50" s="19" t="n">
        <v>20</v>
      </c>
      <c r="E50" s="27" t="n">
        <v>40</v>
      </c>
      <c r="F50" s="27" t="n">
        <v>100</v>
      </c>
      <c r="G50" s="27" t="n">
        <v>10</v>
      </c>
      <c r="H50" s="27" t="n">
        <v>42</v>
      </c>
      <c r="I50" s="17" t="inlineStr">
        <is>
          <t>Y</t>
        </is>
      </c>
      <c r="J50" s="27" t="n">
        <v>10</v>
      </c>
      <c r="K50" s="28" t="n">
        <v>0</v>
      </c>
      <c r="L50" s="29">
        <f>IF($I$50="Y",$J$50-$K$50,0)</f>
        <v/>
      </c>
    </row>
    <row r="51">
      <c r="A51" s="13" t="inlineStr">
        <is>
          <t>Harvest Crew</t>
        </is>
      </c>
      <c r="B51" s="27" t="n">
        <v>8</v>
      </c>
      <c r="C51" s="13" t="inlineStr">
        <is>
          <t>seasonal</t>
        </is>
      </c>
      <c r="D51" s="19" t="n">
        <v>19</v>
      </c>
      <c r="E51" s="27" t="n">
        <v>40</v>
      </c>
      <c r="F51" s="27" t="n">
        <v>100</v>
      </c>
      <c r="G51" s="27" t="n">
        <v>14</v>
      </c>
      <c r="H51" s="27" t="n">
        <v>40</v>
      </c>
      <c r="I51" s="17" t="inlineStr">
        <is>
          <t>Y</t>
        </is>
      </c>
      <c r="J51" s="27" t="n">
        <v>10</v>
      </c>
      <c r="K51" s="28" t="n">
        <v>0</v>
      </c>
      <c r="L51" s="29">
        <f>IF($I$51="Y",$J$51-$K$51,0)</f>
        <v/>
      </c>
    </row>
    <row r="52">
      <c r="A52" s="2" t="inlineStr">
        <is>
          <t xml:space="preserve">   EXTRA HIRED is the solver's answer, in whole people: "change this row's Count from 8 to 11". It is committed for the ROLE'S window — a head you add to a 27-week crew is 27 weeks of wages, which is why the answer is often zero.</t>
        </is>
      </c>
    </row>
    <row r="53">
      <c r="A53" s="2" t="inlineStr">
        <is>
          <t xml:space="preserve">   ⚠️ If the weeks you could hire for DIFFER from this row's window, add a NEW row with the same title and its own weeks. A different window is a different job offer, not a variation on this one.</t>
        </is>
      </c>
    </row>
    <row r="54">
      <c r="A54" s="2" t="inlineStr">
        <is>
          <t xml:space="preserve">   No committed staff of a role, but curious? Put Count 0, Hire more Y, and set the weeks. That asks "should I have this crew at all?"</t>
        </is>
      </c>
    </row>
    <row r="55">
      <c r="A55" s="4" t="inlineStr">
        <is>
          <t>Payroll load %</t>
        </is>
      </c>
      <c r="B55" s="30" t="n">
        <v>0.25</v>
      </c>
      <c r="C55" s="2" t="inlineStr">
        <is>
          <t>employer taxes, workers' comp, benefits — applied to EVERY wage, salaried included</t>
        </is>
      </c>
    </row>
    <row r="56">
      <c r="A56" s="4" t="inlineStr">
        <is>
          <t>Overtime multiplier</t>
        </is>
      </c>
      <c r="B56" s="14" t="n">
        <v>1.5</v>
      </c>
      <c r="C56" s="2" t="inlineStr">
        <is>
          <t>your own crew staying late, on top of their blended hourly rate</t>
        </is>
      </c>
    </row>
    <row r="57">
      <c r="A57" s="4" t="inlineStr">
        <is>
          <t>Overtime ALLOWANCE</t>
        </is>
      </c>
      <c r="B57" s="14" t="n">
        <v>1.25</v>
      </c>
      <c r="C57" s="2" t="inlineStr">
        <is>
          <t>1.25 = 'I will let people work 125% of normal hours'. ⚠️ v9 REPLACED a typed hours cap with this. The cap is now DERIVED per week — see the Overtime cap row.</t>
        </is>
      </c>
    </row>
    <row r="58">
      <c r="A58" s="2" t="inlineStr">
        <is>
          <t xml:space="preserve">   v8 typed a flat 200 hrs/week here. On the app's own farm that let 15 of 52 weeks buy MORE overtime than the whole crew's regular hours (185% in winter), and the app's solver took it: 191 overtime hours against 299 crew hours in one week.</t>
        </is>
      </c>
    </row>
    <row r="59">
      <c r="A59" s="2" t="inlineStr">
        <is>
          <t xml:space="preserve">   No flat number can express the rule, because the crew swings 108 to 908 hrs/wk across the year. That is why it is an allowance and not an amount.</t>
        </is>
      </c>
    </row>
    <row r="61">
      <c r="A61" s="4" t="inlineStr">
        <is>
          <t>New-hire productivity %</t>
        </is>
      </c>
      <c r="B61" s="27" t="n">
        <v>70</v>
      </c>
      <c r="C61" s="2" t="inlineStr">
        <is>
          <t>a new hand is not as fast as the crew already doing the job — it multiplies their HOURS, not their wage</t>
        </is>
      </c>
    </row>
    <row r="62">
      <c r="A62" s="4" t="inlineStr">
        <is>
          <t>Cost per new head</t>
        </is>
      </c>
      <c r="B62" s="19" t="n">
        <v>800</v>
      </c>
      <c r="C62" s="2" t="inlineStr">
        <is>
          <t>recruitment, onboarding, transport — per PERSON, once</t>
        </is>
      </c>
    </row>
    <row r="64">
      <c r="A64" s="3" t="inlineStr">
        <is>
          <t>3c — PIECE-RATE HARVEST CREW  (paid per pound, not per hour)</t>
        </is>
      </c>
    </row>
    <row r="65">
      <c r="A65" s="2" t="inlineStr">
        <is>
          <t xml:space="preserve">   Everything else on this sheet is COMMITTED labour — owed whether the crops need it or not. This is the opposite: you pay for what they pick and nothing when there is nothing to pick, which is why it lands in COGS and not the wage bill.</t>
        </is>
      </c>
    </row>
    <row r="66">
      <c r="B66" s="12" t="inlineStr">
        <is>
          <t>From wk</t>
        </is>
      </c>
      <c r="C66" s="12" t="inlineStr">
        <is>
          <t>To wk</t>
        </is>
      </c>
      <c r="D66" s="12" t="inlineStr">
        <is>
          <t>Crew hrs/week</t>
        </is>
      </c>
      <c r="E66" s="12" t="inlineStr">
        <is>
          <t>Var cost $/lb</t>
        </is>
      </c>
      <c r="F66" s="12" t="inlineStr">
        <is>
          <t>Fixed cost $</t>
        </is>
      </c>
      <c r="G66" s="12" t="inlineStr">
        <is>
          <t>Pre-committed?</t>
        </is>
      </c>
    </row>
    <row r="67">
      <c r="A67" s="4" t="inlineStr">
        <is>
          <t>Piece-rate crew</t>
        </is>
      </c>
      <c r="B67" s="27" t="n">
        <v>1</v>
      </c>
      <c r="C67" s="27" t="n">
        <v>52</v>
      </c>
      <c r="D67" s="10" t="n">
        <v>200</v>
      </c>
      <c r="E67" s="31" t="n">
        <v>0.02</v>
      </c>
      <c r="F67" s="19" t="n">
        <v>2500</v>
      </c>
      <c r="G67" s="17" t="inlineStr">
        <is>
          <t>N</t>
        </is>
      </c>
    </row>
    <row r="68">
      <c r="A68" s="32" t="inlineStr">
        <is>
          <t>ENGAGED?</t>
        </is>
      </c>
      <c r="B68" s="28" t="n">
        <v>0</v>
      </c>
      <c r="C68" s="2" t="inlineStr">
        <is>
          <t>&lt;-- SOLVER (0 or 1). The fixed cost is charged only if they are engaged — or always, if Pre-committed is Y.</t>
        </is>
      </c>
    </row>
    <row r="69">
      <c r="A69" s="4" t="inlineStr">
        <is>
          <t>Minimum wage floor $/hr</t>
        </is>
      </c>
      <c r="B69" s="21" t="n">
        <v>16.07</v>
      </c>
      <c r="C69" s="2" t="inlineStr">
        <is>
          <t>AEWR Skill II, 2026. A piece-rate worker must still earn this for the hours worked; if the rate falls short the employer makes up the difference (FLSA).</t>
        </is>
      </c>
    </row>
    <row r="71">
      <c r="B71" s="12" t="inlineStr">
        <is>
          <t>$ per bushel</t>
        </is>
      </c>
      <c r="C71" s="12" t="inlineStr">
        <is>
          <t>lb per bushel</t>
        </is>
      </c>
      <c r="D71" s="12" t="inlineStr">
        <is>
          <t>-&gt; $/lb</t>
        </is>
      </c>
      <c r="E71" s="12" t="inlineStr">
        <is>
          <t>floor $/lb</t>
        </is>
      </c>
      <c r="F71" s="12" t="inlineStr">
        <is>
          <t>EFFECTIVE $/lb</t>
        </is>
      </c>
      <c r="G71" s="12" t="inlineStr">
        <is>
          <t>which binds</t>
        </is>
      </c>
    </row>
    <row r="72">
      <c r="A72" s="33" t="inlineStr">
        <is>
          <t xml:space="preserve">   Spinach</t>
        </is>
      </c>
      <c r="B72" s="21" t="n">
        <v>3</v>
      </c>
      <c r="C72" s="11">
        <f>0.035237425919999996/$D$17</f>
        <v/>
      </c>
      <c r="D72" s="34">
        <f>B72/C72</f>
        <v/>
      </c>
      <c r="E72" s="34">
        <f>$B$69/($B$17/$P$17)</f>
        <v/>
      </c>
      <c r="F72" s="35">
        <f>MAX(D72,E72)+$E$67</f>
        <v/>
      </c>
      <c r="G72" s="13">
        <f>IF(E72&gt;D72,"FLOOR","rate")</f>
        <v/>
      </c>
    </row>
    <row r="73">
      <c r="A73" s="33" t="inlineStr">
        <is>
          <t xml:space="preserve">   Kale</t>
        </is>
      </c>
      <c r="B73" s="21" t="n">
        <v>1</v>
      </c>
      <c r="C73" s="11">
        <f>0.035237425919999996/$D$18</f>
        <v/>
      </c>
      <c r="D73" s="34">
        <f>B73/C73</f>
        <v/>
      </c>
      <c r="E73" s="34">
        <f>$B$69/($B$18/$P$18)</f>
        <v/>
      </c>
      <c r="F73" s="35">
        <f>MAX(D73,E73)+$E$67</f>
        <v/>
      </c>
      <c r="G73" s="13">
        <f>IF(E73&gt;D73,"FLOOR","rate")</f>
        <v/>
      </c>
    </row>
    <row r="74">
      <c r="A74" s="33" t="inlineStr">
        <is>
          <t xml:space="preserve">   Garlic</t>
        </is>
      </c>
      <c r="B74" s="21" t="n">
        <v>2</v>
      </c>
      <c r="C74" s="11">
        <f>0.035237425919999996/$D$19</f>
        <v/>
      </c>
      <c r="D74" s="34">
        <f>B74/C74</f>
        <v/>
      </c>
      <c r="E74" s="34">
        <f>$B$69/($B$19/$P$19)</f>
        <v/>
      </c>
      <c r="F74" s="35">
        <f>MAX(D74,E74)+$E$67</f>
        <v/>
      </c>
      <c r="G74" s="13">
        <f>IF(E74&gt;D74,"FLOOR","rate")</f>
        <v/>
      </c>
    </row>
    <row r="75">
      <c r="A75" s="2" t="inlineStr">
        <is>
          <t xml:space="preserve">   A rate entered BELOW its floor is inoperative — you pay the floor. That is not a modelling choice, it is FLSA: the make-up pay is real money.</t>
        </is>
      </c>
    </row>
    <row r="76">
      <c r="A76" s="2" t="inlineStr">
        <is>
          <t xml:space="preserve">   ⚠️ 'lb per bushel' comes from the crop's own volume figure. Check it against what you can lift: a bushel of kale is about 18 lb in the trade. See backlog L6.</t>
        </is>
      </c>
    </row>
    <row r="78">
      <c r="A78" s="36" t="inlineStr">
        <is>
          <t>Week</t>
        </is>
      </c>
      <c r="B78" s="37" t="inlineStr">
        <is>
          <t>lb</t>
        </is>
      </c>
      <c r="E78" s="38" t="n">
        <v>1</v>
      </c>
      <c r="F78" s="38" t="n">
        <v>2</v>
      </c>
      <c r="G78" s="38" t="n">
        <v>3</v>
      </c>
      <c r="H78" s="38" t="n">
        <v>4</v>
      </c>
      <c r="I78" s="38" t="n">
        <v>5</v>
      </c>
      <c r="J78" s="38" t="n">
        <v>6</v>
      </c>
      <c r="K78" s="38" t="n">
        <v>7</v>
      </c>
      <c r="L78" s="38" t="n">
        <v>8</v>
      </c>
      <c r="M78" s="38" t="n">
        <v>9</v>
      </c>
      <c r="N78" s="38" t="n">
        <v>10</v>
      </c>
      <c r="O78" s="38" t="n">
        <v>11</v>
      </c>
      <c r="P78" s="38" t="n">
        <v>12</v>
      </c>
      <c r="Q78" s="38" t="n">
        <v>13</v>
      </c>
      <c r="R78" s="38" t="n">
        <v>14</v>
      </c>
      <c r="S78" s="38" t="n">
        <v>15</v>
      </c>
      <c r="T78" s="38" t="n">
        <v>16</v>
      </c>
      <c r="U78" s="38" t="n">
        <v>17</v>
      </c>
      <c r="V78" s="38" t="n">
        <v>18</v>
      </c>
      <c r="W78" s="38" t="n">
        <v>19</v>
      </c>
      <c r="X78" s="38" t="n">
        <v>20</v>
      </c>
      <c r="Y78" s="38" t="n">
        <v>21</v>
      </c>
      <c r="Z78" s="38" t="n">
        <v>22</v>
      </c>
      <c r="AA78" s="38" t="n">
        <v>23</v>
      </c>
      <c r="AB78" s="38" t="n">
        <v>24</v>
      </c>
      <c r="AC78" s="38" t="n">
        <v>25</v>
      </c>
      <c r="AD78" s="38" t="n">
        <v>26</v>
      </c>
      <c r="AE78" s="38" t="n">
        <v>27</v>
      </c>
      <c r="AF78" s="38" t="n">
        <v>28</v>
      </c>
      <c r="AG78" s="38" t="n">
        <v>29</v>
      </c>
      <c r="AH78" s="38" t="n">
        <v>30</v>
      </c>
      <c r="AI78" s="38" t="n">
        <v>31</v>
      </c>
      <c r="AJ78" s="38" t="n">
        <v>32</v>
      </c>
      <c r="AK78" s="38" t="n">
        <v>33</v>
      </c>
      <c r="AL78" s="38" t="n">
        <v>34</v>
      </c>
      <c r="AM78" s="38" t="n">
        <v>35</v>
      </c>
      <c r="AN78" s="38" t="n">
        <v>36</v>
      </c>
      <c r="AO78" s="38" t="n">
        <v>37</v>
      </c>
      <c r="AP78" s="38" t="n">
        <v>38</v>
      </c>
      <c r="AQ78" s="38" t="n">
        <v>39</v>
      </c>
      <c r="AR78" s="38" t="n">
        <v>40</v>
      </c>
      <c r="AS78" s="38" t="n">
        <v>41</v>
      </c>
      <c r="AT78" s="38" t="n">
        <v>42</v>
      </c>
      <c r="AU78" s="38" t="n">
        <v>43</v>
      </c>
      <c r="AV78" s="38" t="n">
        <v>44</v>
      </c>
      <c r="AW78" s="38" t="n">
        <v>45</v>
      </c>
      <c r="AX78" s="38" t="n">
        <v>46</v>
      </c>
      <c r="AY78" s="38" t="n">
        <v>47</v>
      </c>
      <c r="AZ78" s="38" t="n">
        <v>48</v>
      </c>
      <c r="BA78" s="38" t="n">
        <v>49</v>
      </c>
      <c r="BB78" s="38" t="n">
        <v>50</v>
      </c>
      <c r="BC78" s="38" t="n">
        <v>51</v>
      </c>
      <c r="BD78" s="38" t="n">
        <v>52</v>
      </c>
    </row>
    <row r="79">
      <c r="A79" s="32" t="inlineStr">
        <is>
          <t xml:space="preserve">   Spinach — picked by piece-rate crew</t>
        </is>
      </c>
      <c r="B79" s="2" t="inlineStr">
        <is>
          <t>lb &lt;-- SOLVER</t>
        </is>
      </c>
      <c r="E79" s="39" t="n">
        <v>0</v>
      </c>
      <c r="F79" s="39" t="n">
        <v>0</v>
      </c>
      <c r="G79" s="39" t="n">
        <v>0</v>
      </c>
      <c r="H79" s="39" t="n">
        <v>0</v>
      </c>
      <c r="I79" s="39" t="n">
        <v>0</v>
      </c>
      <c r="J79" s="39" t="n">
        <v>0</v>
      </c>
      <c r="K79" s="39" t="n">
        <v>0</v>
      </c>
      <c r="L79" s="39" t="n">
        <v>0</v>
      </c>
      <c r="M79" s="39" t="n">
        <v>0</v>
      </c>
      <c r="N79" s="39" t="n">
        <v>0</v>
      </c>
      <c r="O79" s="39" t="n">
        <v>0</v>
      </c>
      <c r="P79" s="39" t="n">
        <v>0</v>
      </c>
      <c r="Q79" s="39" t="n">
        <v>0</v>
      </c>
      <c r="R79" s="39" t="n">
        <v>0</v>
      </c>
      <c r="S79" s="39" t="n">
        <v>0</v>
      </c>
      <c r="T79" s="39" t="n">
        <v>0</v>
      </c>
      <c r="U79" s="39" t="n">
        <v>0</v>
      </c>
      <c r="V79" s="39" t="n">
        <v>0</v>
      </c>
      <c r="W79" s="39" t="n">
        <v>0</v>
      </c>
      <c r="X79" s="39" t="n">
        <v>0</v>
      </c>
      <c r="Y79" s="39" t="n">
        <v>0</v>
      </c>
      <c r="Z79" s="39" t="n">
        <v>0</v>
      </c>
      <c r="AA79" s="39" t="n">
        <v>0</v>
      </c>
      <c r="AB79" s="39" t="n">
        <v>0</v>
      </c>
      <c r="AC79" s="39" t="n">
        <v>0</v>
      </c>
      <c r="AD79" s="39" t="n">
        <v>0</v>
      </c>
      <c r="AE79" s="39" t="n">
        <v>0</v>
      </c>
      <c r="AF79" s="39" t="n">
        <v>0</v>
      </c>
      <c r="AG79" s="39" t="n">
        <v>0</v>
      </c>
      <c r="AH79" s="39" t="n">
        <v>0</v>
      </c>
      <c r="AI79" s="39" t="n">
        <v>0</v>
      </c>
      <c r="AJ79" s="39" t="n">
        <v>0</v>
      </c>
      <c r="AK79" s="39" t="n">
        <v>0</v>
      </c>
      <c r="AL79" s="39" t="n">
        <v>0</v>
      </c>
      <c r="AM79" s="39" t="n">
        <v>0</v>
      </c>
      <c r="AN79" s="39" t="n">
        <v>0</v>
      </c>
      <c r="AO79" s="39" t="n">
        <v>0</v>
      </c>
      <c r="AP79" s="39" t="n">
        <v>0</v>
      </c>
      <c r="AQ79" s="39" t="n">
        <v>0</v>
      </c>
      <c r="AR79" s="39" t="n">
        <v>0</v>
      </c>
      <c r="AS79" s="39" t="n">
        <v>0</v>
      </c>
      <c r="AT79" s="39" t="n">
        <v>0</v>
      </c>
      <c r="AU79" s="39" t="n">
        <v>0</v>
      </c>
      <c r="AV79" s="39" t="n">
        <v>0</v>
      </c>
      <c r="AW79" s="39" t="n">
        <v>0</v>
      </c>
      <c r="AX79" s="39" t="n">
        <v>0</v>
      </c>
      <c r="AY79" s="39" t="n">
        <v>0</v>
      </c>
      <c r="AZ79" s="39" t="n">
        <v>0</v>
      </c>
      <c r="BA79" s="39" t="n">
        <v>0</v>
      </c>
      <c r="BB79" s="39" t="n">
        <v>0</v>
      </c>
      <c r="BC79" s="39" t="n">
        <v>0</v>
      </c>
      <c r="BD79" s="39" t="n">
        <v>0</v>
      </c>
    </row>
    <row r="80">
      <c r="A80" s="32" t="inlineStr">
        <is>
          <t xml:space="preserve">   Kale — picked by piece-rate crew</t>
        </is>
      </c>
      <c r="B80" s="2" t="inlineStr">
        <is>
          <t>lb &lt;-- SOLVER</t>
        </is>
      </c>
      <c r="E80" s="39" t="n">
        <v>0</v>
      </c>
      <c r="F80" s="39" t="n">
        <v>0</v>
      </c>
      <c r="G80" s="39" t="n">
        <v>0</v>
      </c>
      <c r="H80" s="39" t="n">
        <v>0</v>
      </c>
      <c r="I80" s="39" t="n">
        <v>0</v>
      </c>
      <c r="J80" s="39" t="n">
        <v>0</v>
      </c>
      <c r="K80" s="39" t="n">
        <v>0</v>
      </c>
      <c r="L80" s="39" t="n">
        <v>0</v>
      </c>
      <c r="M80" s="39" t="n">
        <v>0</v>
      </c>
      <c r="N80" s="39" t="n">
        <v>0</v>
      </c>
      <c r="O80" s="39" t="n">
        <v>0</v>
      </c>
      <c r="P80" s="39" t="n">
        <v>0</v>
      </c>
      <c r="Q80" s="39" t="n">
        <v>0</v>
      </c>
      <c r="R80" s="39" t="n">
        <v>0</v>
      </c>
      <c r="S80" s="39" t="n">
        <v>0</v>
      </c>
      <c r="T80" s="39" t="n">
        <v>0</v>
      </c>
      <c r="U80" s="39" t="n">
        <v>0</v>
      </c>
      <c r="V80" s="39" t="n">
        <v>0</v>
      </c>
      <c r="W80" s="39" t="n">
        <v>0</v>
      </c>
      <c r="X80" s="39" t="n">
        <v>0</v>
      </c>
      <c r="Y80" s="39" t="n">
        <v>0</v>
      </c>
      <c r="Z80" s="39" t="n">
        <v>0</v>
      </c>
      <c r="AA80" s="39" t="n">
        <v>0</v>
      </c>
      <c r="AB80" s="39" t="n">
        <v>0</v>
      </c>
      <c r="AC80" s="39" t="n">
        <v>0</v>
      </c>
      <c r="AD80" s="39" t="n">
        <v>0</v>
      </c>
      <c r="AE80" s="39" t="n">
        <v>0</v>
      </c>
      <c r="AF80" s="39" t="n">
        <v>0</v>
      </c>
      <c r="AG80" s="39" t="n">
        <v>0</v>
      </c>
      <c r="AH80" s="39" t="n">
        <v>0</v>
      </c>
      <c r="AI80" s="39" t="n">
        <v>0</v>
      </c>
      <c r="AJ80" s="39" t="n">
        <v>0</v>
      </c>
      <c r="AK80" s="39" t="n">
        <v>0</v>
      </c>
      <c r="AL80" s="39" t="n">
        <v>0</v>
      </c>
      <c r="AM80" s="39" t="n">
        <v>0</v>
      </c>
      <c r="AN80" s="39" t="n">
        <v>0</v>
      </c>
      <c r="AO80" s="39" t="n">
        <v>0</v>
      </c>
      <c r="AP80" s="39" t="n">
        <v>0</v>
      </c>
      <c r="AQ80" s="39" t="n">
        <v>0</v>
      </c>
      <c r="AR80" s="39" t="n">
        <v>0</v>
      </c>
      <c r="AS80" s="39" t="n">
        <v>0</v>
      </c>
      <c r="AT80" s="39" t="n">
        <v>0</v>
      </c>
      <c r="AU80" s="39" t="n">
        <v>0</v>
      </c>
      <c r="AV80" s="39" t="n">
        <v>0</v>
      </c>
      <c r="AW80" s="39" t="n">
        <v>0</v>
      </c>
      <c r="AX80" s="39" t="n">
        <v>0</v>
      </c>
      <c r="AY80" s="39" t="n">
        <v>0</v>
      </c>
      <c r="AZ80" s="39" t="n">
        <v>0</v>
      </c>
      <c r="BA80" s="39" t="n">
        <v>0</v>
      </c>
      <c r="BB80" s="39" t="n">
        <v>0</v>
      </c>
      <c r="BC80" s="39" t="n">
        <v>0</v>
      </c>
      <c r="BD80" s="39" t="n">
        <v>0</v>
      </c>
    </row>
    <row r="81">
      <c r="A81" s="32" t="inlineStr">
        <is>
          <t xml:space="preserve">   Garlic — picked by piece-rate crew</t>
        </is>
      </c>
      <c r="B81" s="2" t="inlineStr">
        <is>
          <t>lb &lt;-- SOLVER</t>
        </is>
      </c>
      <c r="E81" s="39" t="n">
        <v>0</v>
      </c>
      <c r="F81" s="39" t="n">
        <v>0</v>
      </c>
      <c r="G81" s="39" t="n">
        <v>0</v>
      </c>
      <c r="H81" s="39" t="n">
        <v>0</v>
      </c>
      <c r="I81" s="39" t="n">
        <v>0</v>
      </c>
      <c r="J81" s="39" t="n">
        <v>0</v>
      </c>
      <c r="K81" s="39" t="n">
        <v>0</v>
      </c>
      <c r="L81" s="39" t="n">
        <v>0</v>
      </c>
      <c r="M81" s="39" t="n">
        <v>0</v>
      </c>
      <c r="N81" s="39" t="n">
        <v>0</v>
      </c>
      <c r="O81" s="39" t="n">
        <v>0</v>
      </c>
      <c r="P81" s="39" t="n">
        <v>0</v>
      </c>
      <c r="Q81" s="39" t="n">
        <v>0</v>
      </c>
      <c r="R81" s="39" t="n">
        <v>0</v>
      </c>
      <c r="S81" s="39" t="n">
        <v>0</v>
      </c>
      <c r="T81" s="39" t="n">
        <v>0</v>
      </c>
      <c r="U81" s="39" t="n">
        <v>0</v>
      </c>
      <c r="V81" s="39" t="n">
        <v>0</v>
      </c>
      <c r="W81" s="39" t="n">
        <v>0</v>
      </c>
      <c r="X81" s="39" t="n">
        <v>0</v>
      </c>
      <c r="Y81" s="39" t="n">
        <v>0</v>
      </c>
      <c r="Z81" s="39" t="n">
        <v>0</v>
      </c>
      <c r="AA81" s="39" t="n">
        <v>0</v>
      </c>
      <c r="AB81" s="39" t="n">
        <v>0</v>
      </c>
      <c r="AC81" s="39" t="n">
        <v>0</v>
      </c>
      <c r="AD81" s="39" t="n">
        <v>0</v>
      </c>
      <c r="AE81" s="39" t="n">
        <v>0</v>
      </c>
      <c r="AF81" s="39" t="n">
        <v>0</v>
      </c>
      <c r="AG81" s="39" t="n">
        <v>0</v>
      </c>
      <c r="AH81" s="39" t="n">
        <v>0</v>
      </c>
      <c r="AI81" s="39" t="n">
        <v>0</v>
      </c>
      <c r="AJ81" s="39" t="n">
        <v>0</v>
      </c>
      <c r="AK81" s="39" t="n">
        <v>0</v>
      </c>
      <c r="AL81" s="39" t="n">
        <v>0</v>
      </c>
      <c r="AM81" s="39" t="n">
        <v>0</v>
      </c>
      <c r="AN81" s="39" t="n">
        <v>0</v>
      </c>
      <c r="AO81" s="39" t="n">
        <v>0</v>
      </c>
      <c r="AP81" s="39" t="n">
        <v>0</v>
      </c>
      <c r="AQ81" s="39" t="n">
        <v>0</v>
      </c>
      <c r="AR81" s="39" t="n">
        <v>0</v>
      </c>
      <c r="AS81" s="39" t="n">
        <v>0</v>
      </c>
      <c r="AT81" s="39" t="n">
        <v>0</v>
      </c>
      <c r="AU81" s="39" t="n">
        <v>0</v>
      </c>
      <c r="AV81" s="39" t="n">
        <v>0</v>
      </c>
      <c r="AW81" s="39" t="n">
        <v>0</v>
      </c>
      <c r="AX81" s="39" t="n">
        <v>0</v>
      </c>
      <c r="AY81" s="39" t="n">
        <v>0</v>
      </c>
      <c r="AZ81" s="39" t="n">
        <v>0</v>
      </c>
      <c r="BA81" s="39" t="n">
        <v>0</v>
      </c>
      <c r="BB81" s="39" t="n">
        <v>0</v>
      </c>
      <c r="BC81" s="39" t="n">
        <v>0</v>
      </c>
      <c r="BD81" s="39" t="n">
        <v>0</v>
      </c>
    </row>
    <row r="82">
      <c r="A82" s="33" t="inlineStr">
        <is>
          <t>Piece-rate lb this week</t>
        </is>
      </c>
      <c r="B82" s="2" t="inlineStr">
        <is>
          <t>lb</t>
        </is>
      </c>
      <c r="E82" s="40">
        <f>E79+E80+E81</f>
        <v/>
      </c>
      <c r="F82" s="40">
        <f>F79+F80+F81</f>
        <v/>
      </c>
      <c r="G82" s="40">
        <f>G79+G80+G81</f>
        <v/>
      </c>
      <c r="H82" s="40">
        <f>H79+H80+H81</f>
        <v/>
      </c>
      <c r="I82" s="40">
        <f>I79+I80+I81</f>
        <v/>
      </c>
      <c r="J82" s="40">
        <f>J79+J80+J81</f>
        <v/>
      </c>
      <c r="K82" s="40">
        <f>K79+K80+K81</f>
        <v/>
      </c>
      <c r="L82" s="40">
        <f>L79+L80+L81</f>
        <v/>
      </c>
      <c r="M82" s="40">
        <f>M79+M80+M81</f>
        <v/>
      </c>
      <c r="N82" s="40">
        <f>N79+N80+N81</f>
        <v/>
      </c>
      <c r="O82" s="40">
        <f>O79+O80+O81</f>
        <v/>
      </c>
      <c r="P82" s="40">
        <f>P79+P80+P81</f>
        <v/>
      </c>
      <c r="Q82" s="40">
        <f>Q79+Q80+Q81</f>
        <v/>
      </c>
      <c r="R82" s="40">
        <f>R79+R80+R81</f>
        <v/>
      </c>
      <c r="S82" s="40">
        <f>S79+S80+S81</f>
        <v/>
      </c>
      <c r="T82" s="40">
        <f>T79+T80+T81</f>
        <v/>
      </c>
      <c r="U82" s="40">
        <f>U79+U80+U81</f>
        <v/>
      </c>
      <c r="V82" s="40">
        <f>V79+V80+V81</f>
        <v/>
      </c>
      <c r="W82" s="40">
        <f>W79+W80+W81</f>
        <v/>
      </c>
      <c r="X82" s="40">
        <f>X79+X80+X81</f>
        <v/>
      </c>
      <c r="Y82" s="40">
        <f>Y79+Y80+Y81</f>
        <v/>
      </c>
      <c r="Z82" s="40">
        <f>Z79+Z80+Z81</f>
        <v/>
      </c>
      <c r="AA82" s="40">
        <f>AA79+AA80+AA81</f>
        <v/>
      </c>
      <c r="AB82" s="40">
        <f>AB79+AB80+AB81</f>
        <v/>
      </c>
      <c r="AC82" s="40">
        <f>AC79+AC80+AC81</f>
        <v/>
      </c>
      <c r="AD82" s="40">
        <f>AD79+AD80+AD81</f>
        <v/>
      </c>
      <c r="AE82" s="40">
        <f>AE79+AE80+AE81</f>
        <v/>
      </c>
      <c r="AF82" s="40">
        <f>AF79+AF80+AF81</f>
        <v/>
      </c>
      <c r="AG82" s="40">
        <f>AG79+AG80+AG81</f>
        <v/>
      </c>
      <c r="AH82" s="40">
        <f>AH79+AH80+AH81</f>
        <v/>
      </c>
      <c r="AI82" s="40">
        <f>AI79+AI80+AI81</f>
        <v/>
      </c>
      <c r="AJ82" s="40">
        <f>AJ79+AJ80+AJ81</f>
        <v/>
      </c>
      <c r="AK82" s="40">
        <f>AK79+AK80+AK81</f>
        <v/>
      </c>
      <c r="AL82" s="40">
        <f>AL79+AL80+AL81</f>
        <v/>
      </c>
      <c r="AM82" s="40">
        <f>AM79+AM80+AM81</f>
        <v/>
      </c>
      <c r="AN82" s="40">
        <f>AN79+AN80+AN81</f>
        <v/>
      </c>
      <c r="AO82" s="40">
        <f>AO79+AO80+AO81</f>
        <v/>
      </c>
      <c r="AP82" s="40">
        <f>AP79+AP80+AP81</f>
        <v/>
      </c>
      <c r="AQ82" s="40">
        <f>AQ79+AQ80+AQ81</f>
        <v/>
      </c>
      <c r="AR82" s="40">
        <f>AR79+AR80+AR81</f>
        <v/>
      </c>
      <c r="AS82" s="40">
        <f>AS79+AS80+AS81</f>
        <v/>
      </c>
      <c r="AT82" s="40">
        <f>AT79+AT80+AT81</f>
        <v/>
      </c>
      <c r="AU82" s="40">
        <f>AU79+AU80+AU81</f>
        <v/>
      </c>
      <c r="AV82" s="40">
        <f>AV79+AV80+AV81</f>
        <v/>
      </c>
      <c r="AW82" s="40">
        <f>AW79+AW80+AW81</f>
        <v/>
      </c>
      <c r="AX82" s="40">
        <f>AX79+AX80+AX81</f>
        <v/>
      </c>
      <c r="AY82" s="40">
        <f>AY79+AY80+AY81</f>
        <v/>
      </c>
      <c r="AZ82" s="40">
        <f>AZ79+AZ80+AZ81</f>
        <v/>
      </c>
      <c r="BA82" s="40">
        <f>BA79+BA80+BA81</f>
        <v/>
      </c>
      <c r="BB82" s="40">
        <f>BB79+BB80+BB81</f>
        <v/>
      </c>
      <c r="BC82" s="40">
        <f>BC79+BC80+BC81</f>
        <v/>
      </c>
      <c r="BD82" s="40">
        <f>BD79+BD80+BD81</f>
        <v/>
      </c>
    </row>
    <row r="83">
      <c r="A83" s="41" t="inlineStr">
        <is>
          <t xml:space="preserve">  picking hours used</t>
        </is>
      </c>
      <c r="B83" s="2" t="inlineStr">
        <is>
          <t>hrs</t>
        </is>
      </c>
      <c r="E83" s="42">
        <f>E79/($B$17/$P$17)+E80/($B$18/$P$18)+E81/($B$19/$P$19)</f>
        <v/>
      </c>
      <c r="F83" s="42">
        <f>F79/($B$17/$P$17)+F80/($B$18/$P$18)+F81/($B$19/$P$19)</f>
        <v/>
      </c>
      <c r="G83" s="42">
        <f>G79/($B$17/$P$17)+G80/($B$18/$P$18)+G81/($B$19/$P$19)</f>
        <v/>
      </c>
      <c r="H83" s="42">
        <f>H79/($B$17/$P$17)+H80/($B$18/$P$18)+H81/($B$19/$P$19)</f>
        <v/>
      </c>
      <c r="I83" s="42">
        <f>I79/($B$17/$P$17)+I80/($B$18/$P$18)+I81/($B$19/$P$19)</f>
        <v/>
      </c>
      <c r="J83" s="42">
        <f>J79/($B$17/$P$17)+J80/($B$18/$P$18)+J81/($B$19/$P$19)</f>
        <v/>
      </c>
      <c r="K83" s="42">
        <f>K79/($B$17/$P$17)+K80/($B$18/$P$18)+K81/($B$19/$P$19)</f>
        <v/>
      </c>
      <c r="L83" s="42">
        <f>L79/($B$17/$P$17)+L80/($B$18/$P$18)+L81/($B$19/$P$19)</f>
        <v/>
      </c>
      <c r="M83" s="42">
        <f>M79/($B$17/$P$17)+M80/($B$18/$P$18)+M81/($B$19/$P$19)</f>
        <v/>
      </c>
      <c r="N83" s="42">
        <f>N79/($B$17/$P$17)+N80/($B$18/$P$18)+N81/($B$19/$P$19)</f>
        <v/>
      </c>
      <c r="O83" s="42">
        <f>O79/($B$17/$P$17)+O80/($B$18/$P$18)+O81/($B$19/$P$19)</f>
        <v/>
      </c>
      <c r="P83" s="42">
        <f>P79/($B$17/$P$17)+P80/($B$18/$P$18)+P81/($B$19/$P$19)</f>
        <v/>
      </c>
      <c r="Q83" s="42">
        <f>Q79/($B$17/$P$17)+Q80/($B$18/$P$18)+Q81/($B$19/$P$19)</f>
        <v/>
      </c>
      <c r="R83" s="42">
        <f>R79/($B$17/$P$17)+R80/($B$18/$P$18)+R81/($B$19/$P$19)</f>
        <v/>
      </c>
      <c r="S83" s="42">
        <f>S79/($B$17/$P$17)+S80/($B$18/$P$18)+S81/($B$19/$P$19)</f>
        <v/>
      </c>
      <c r="T83" s="42">
        <f>T79/($B$17/$P$17)+T80/($B$18/$P$18)+T81/($B$19/$P$19)</f>
        <v/>
      </c>
      <c r="U83" s="42">
        <f>U79/($B$17/$P$17)+U80/($B$18/$P$18)+U81/($B$19/$P$19)</f>
        <v/>
      </c>
      <c r="V83" s="42">
        <f>V79/($B$17/$P$17)+V80/($B$18/$P$18)+V81/($B$19/$P$19)</f>
        <v/>
      </c>
      <c r="W83" s="42">
        <f>W79/($B$17/$P$17)+W80/($B$18/$P$18)+W81/($B$19/$P$19)</f>
        <v/>
      </c>
      <c r="X83" s="42">
        <f>X79/($B$17/$P$17)+X80/($B$18/$P$18)+X81/($B$19/$P$19)</f>
        <v/>
      </c>
      <c r="Y83" s="42">
        <f>Y79/($B$17/$P$17)+Y80/($B$18/$P$18)+Y81/($B$19/$P$19)</f>
        <v/>
      </c>
      <c r="Z83" s="42">
        <f>Z79/($B$17/$P$17)+Z80/($B$18/$P$18)+Z81/($B$19/$P$19)</f>
        <v/>
      </c>
      <c r="AA83" s="42">
        <f>AA79/($B$17/$P$17)+AA80/($B$18/$P$18)+AA81/($B$19/$P$19)</f>
        <v/>
      </c>
      <c r="AB83" s="42">
        <f>AB79/($B$17/$P$17)+AB80/($B$18/$P$18)+AB81/($B$19/$P$19)</f>
        <v/>
      </c>
      <c r="AC83" s="42">
        <f>AC79/($B$17/$P$17)+AC80/($B$18/$P$18)+AC81/($B$19/$P$19)</f>
        <v/>
      </c>
      <c r="AD83" s="42">
        <f>AD79/($B$17/$P$17)+AD80/($B$18/$P$18)+AD81/($B$19/$P$19)</f>
        <v/>
      </c>
      <c r="AE83" s="42">
        <f>AE79/($B$17/$P$17)+AE80/($B$18/$P$18)+AE81/($B$19/$P$19)</f>
        <v/>
      </c>
      <c r="AF83" s="42">
        <f>AF79/($B$17/$P$17)+AF80/($B$18/$P$18)+AF81/($B$19/$P$19)</f>
        <v/>
      </c>
      <c r="AG83" s="42">
        <f>AG79/($B$17/$P$17)+AG80/($B$18/$P$18)+AG81/($B$19/$P$19)</f>
        <v/>
      </c>
      <c r="AH83" s="42">
        <f>AH79/($B$17/$P$17)+AH80/($B$18/$P$18)+AH81/($B$19/$P$19)</f>
        <v/>
      </c>
      <c r="AI83" s="42">
        <f>AI79/($B$17/$P$17)+AI80/($B$18/$P$18)+AI81/($B$19/$P$19)</f>
        <v/>
      </c>
      <c r="AJ83" s="42">
        <f>AJ79/($B$17/$P$17)+AJ80/($B$18/$P$18)+AJ81/($B$19/$P$19)</f>
        <v/>
      </c>
      <c r="AK83" s="42">
        <f>AK79/($B$17/$P$17)+AK80/($B$18/$P$18)+AK81/($B$19/$P$19)</f>
        <v/>
      </c>
      <c r="AL83" s="42">
        <f>AL79/($B$17/$P$17)+AL80/($B$18/$P$18)+AL81/($B$19/$P$19)</f>
        <v/>
      </c>
      <c r="AM83" s="42">
        <f>AM79/($B$17/$P$17)+AM80/($B$18/$P$18)+AM81/($B$19/$P$19)</f>
        <v/>
      </c>
      <c r="AN83" s="42">
        <f>AN79/($B$17/$P$17)+AN80/($B$18/$P$18)+AN81/($B$19/$P$19)</f>
        <v/>
      </c>
      <c r="AO83" s="42">
        <f>AO79/($B$17/$P$17)+AO80/($B$18/$P$18)+AO81/($B$19/$P$19)</f>
        <v/>
      </c>
      <c r="AP83" s="42">
        <f>AP79/($B$17/$P$17)+AP80/($B$18/$P$18)+AP81/($B$19/$P$19)</f>
        <v/>
      </c>
      <c r="AQ83" s="42">
        <f>AQ79/($B$17/$P$17)+AQ80/($B$18/$P$18)+AQ81/($B$19/$P$19)</f>
        <v/>
      </c>
      <c r="AR83" s="42">
        <f>AR79/($B$17/$P$17)+AR80/($B$18/$P$18)+AR81/($B$19/$P$19)</f>
        <v/>
      </c>
      <c r="AS83" s="42">
        <f>AS79/($B$17/$P$17)+AS80/($B$18/$P$18)+AS81/($B$19/$P$19)</f>
        <v/>
      </c>
      <c r="AT83" s="42">
        <f>AT79/($B$17/$P$17)+AT80/($B$18/$P$18)+AT81/($B$19/$P$19)</f>
        <v/>
      </c>
      <c r="AU83" s="42">
        <f>AU79/($B$17/$P$17)+AU80/($B$18/$P$18)+AU81/($B$19/$P$19)</f>
        <v/>
      </c>
      <c r="AV83" s="42">
        <f>AV79/($B$17/$P$17)+AV80/($B$18/$P$18)+AV81/($B$19/$P$19)</f>
        <v/>
      </c>
      <c r="AW83" s="42">
        <f>AW79/($B$17/$P$17)+AW80/($B$18/$P$18)+AW81/($B$19/$P$19)</f>
        <v/>
      </c>
      <c r="AX83" s="42">
        <f>AX79/($B$17/$P$17)+AX80/($B$18/$P$18)+AX81/($B$19/$P$19)</f>
        <v/>
      </c>
      <c r="AY83" s="42">
        <f>AY79/($B$17/$P$17)+AY80/($B$18/$P$18)+AY81/($B$19/$P$19)</f>
        <v/>
      </c>
      <c r="AZ83" s="42">
        <f>AZ79/($B$17/$P$17)+AZ80/($B$18/$P$18)+AZ81/($B$19/$P$19)</f>
        <v/>
      </c>
      <c r="BA83" s="42">
        <f>BA79/($B$17/$P$17)+BA80/($B$18/$P$18)+BA81/($B$19/$P$19)</f>
        <v/>
      </c>
      <c r="BB83" s="42">
        <f>BB79/($B$17/$P$17)+BB80/($B$18/$P$18)+BB81/($B$19/$P$19)</f>
        <v/>
      </c>
      <c r="BC83" s="42">
        <f>BC79/($B$17/$P$17)+BC80/($B$18/$P$18)+BC81/($B$19/$P$19)</f>
        <v/>
      </c>
      <c r="BD83" s="42">
        <f>BD79/($B$17/$P$17)+BD80/($B$18/$P$18)+BD81/($B$19/$P$19)</f>
        <v/>
      </c>
    </row>
    <row r="84">
      <c r="A84" s="41" t="inlineStr">
        <is>
          <t xml:space="preserve">  their weekly capacity</t>
        </is>
      </c>
      <c r="B84" s="2" t="inlineStr">
        <is>
          <t>hrs</t>
        </is>
      </c>
      <c r="E84" s="42">
        <f>IF(AND(1&gt;=$B$67,1&lt;=$C$67),$B$68*$D$67,0)</f>
        <v/>
      </c>
      <c r="F84" s="42">
        <f>IF(AND(2&gt;=$B$67,2&lt;=$C$67),$B$68*$D$67,0)</f>
        <v/>
      </c>
      <c r="G84" s="42">
        <f>IF(AND(3&gt;=$B$67,3&lt;=$C$67),$B$68*$D$67,0)</f>
        <v/>
      </c>
      <c r="H84" s="42">
        <f>IF(AND(4&gt;=$B$67,4&lt;=$C$67),$B$68*$D$67,0)</f>
        <v/>
      </c>
      <c r="I84" s="42">
        <f>IF(AND(5&gt;=$B$67,5&lt;=$C$67),$B$68*$D$67,0)</f>
        <v/>
      </c>
      <c r="J84" s="42">
        <f>IF(AND(6&gt;=$B$67,6&lt;=$C$67),$B$68*$D$67,0)</f>
        <v/>
      </c>
      <c r="K84" s="42">
        <f>IF(AND(7&gt;=$B$67,7&lt;=$C$67),$B$68*$D$67,0)</f>
        <v/>
      </c>
      <c r="L84" s="42">
        <f>IF(AND(8&gt;=$B$67,8&lt;=$C$67),$B$68*$D$67,0)</f>
        <v/>
      </c>
      <c r="M84" s="42">
        <f>IF(AND(9&gt;=$B$67,9&lt;=$C$67),$B$68*$D$67,0)</f>
        <v/>
      </c>
      <c r="N84" s="42">
        <f>IF(AND(10&gt;=$B$67,10&lt;=$C$67),$B$68*$D$67,0)</f>
        <v/>
      </c>
      <c r="O84" s="42">
        <f>IF(AND(11&gt;=$B$67,11&lt;=$C$67),$B$68*$D$67,0)</f>
        <v/>
      </c>
      <c r="P84" s="42">
        <f>IF(AND(12&gt;=$B$67,12&lt;=$C$67),$B$68*$D$67,0)</f>
        <v/>
      </c>
      <c r="Q84" s="42">
        <f>IF(AND(13&gt;=$B$67,13&lt;=$C$67),$B$68*$D$67,0)</f>
        <v/>
      </c>
      <c r="R84" s="42">
        <f>IF(AND(14&gt;=$B$67,14&lt;=$C$67),$B$68*$D$67,0)</f>
        <v/>
      </c>
      <c r="S84" s="42">
        <f>IF(AND(15&gt;=$B$67,15&lt;=$C$67),$B$68*$D$67,0)</f>
        <v/>
      </c>
      <c r="T84" s="42">
        <f>IF(AND(16&gt;=$B$67,16&lt;=$C$67),$B$68*$D$67,0)</f>
        <v/>
      </c>
      <c r="U84" s="42">
        <f>IF(AND(17&gt;=$B$67,17&lt;=$C$67),$B$68*$D$67,0)</f>
        <v/>
      </c>
      <c r="V84" s="42">
        <f>IF(AND(18&gt;=$B$67,18&lt;=$C$67),$B$68*$D$67,0)</f>
        <v/>
      </c>
      <c r="W84" s="42">
        <f>IF(AND(19&gt;=$B$67,19&lt;=$C$67),$B$68*$D$67,0)</f>
        <v/>
      </c>
      <c r="X84" s="42">
        <f>IF(AND(20&gt;=$B$67,20&lt;=$C$67),$B$68*$D$67,0)</f>
        <v/>
      </c>
      <c r="Y84" s="42">
        <f>IF(AND(21&gt;=$B$67,21&lt;=$C$67),$B$68*$D$67,0)</f>
        <v/>
      </c>
      <c r="Z84" s="42">
        <f>IF(AND(22&gt;=$B$67,22&lt;=$C$67),$B$68*$D$67,0)</f>
        <v/>
      </c>
      <c r="AA84" s="42">
        <f>IF(AND(23&gt;=$B$67,23&lt;=$C$67),$B$68*$D$67,0)</f>
        <v/>
      </c>
      <c r="AB84" s="42">
        <f>IF(AND(24&gt;=$B$67,24&lt;=$C$67),$B$68*$D$67,0)</f>
        <v/>
      </c>
      <c r="AC84" s="42">
        <f>IF(AND(25&gt;=$B$67,25&lt;=$C$67),$B$68*$D$67,0)</f>
        <v/>
      </c>
      <c r="AD84" s="42">
        <f>IF(AND(26&gt;=$B$67,26&lt;=$C$67),$B$68*$D$67,0)</f>
        <v/>
      </c>
      <c r="AE84" s="42">
        <f>IF(AND(27&gt;=$B$67,27&lt;=$C$67),$B$68*$D$67,0)</f>
        <v/>
      </c>
      <c r="AF84" s="42">
        <f>IF(AND(28&gt;=$B$67,28&lt;=$C$67),$B$68*$D$67,0)</f>
        <v/>
      </c>
      <c r="AG84" s="42">
        <f>IF(AND(29&gt;=$B$67,29&lt;=$C$67),$B$68*$D$67,0)</f>
        <v/>
      </c>
      <c r="AH84" s="42">
        <f>IF(AND(30&gt;=$B$67,30&lt;=$C$67),$B$68*$D$67,0)</f>
        <v/>
      </c>
      <c r="AI84" s="42">
        <f>IF(AND(31&gt;=$B$67,31&lt;=$C$67),$B$68*$D$67,0)</f>
        <v/>
      </c>
      <c r="AJ84" s="42">
        <f>IF(AND(32&gt;=$B$67,32&lt;=$C$67),$B$68*$D$67,0)</f>
        <v/>
      </c>
      <c r="AK84" s="42">
        <f>IF(AND(33&gt;=$B$67,33&lt;=$C$67),$B$68*$D$67,0)</f>
        <v/>
      </c>
      <c r="AL84" s="42">
        <f>IF(AND(34&gt;=$B$67,34&lt;=$C$67),$B$68*$D$67,0)</f>
        <v/>
      </c>
      <c r="AM84" s="42">
        <f>IF(AND(35&gt;=$B$67,35&lt;=$C$67),$B$68*$D$67,0)</f>
        <v/>
      </c>
      <c r="AN84" s="42">
        <f>IF(AND(36&gt;=$B$67,36&lt;=$C$67),$B$68*$D$67,0)</f>
        <v/>
      </c>
      <c r="AO84" s="42">
        <f>IF(AND(37&gt;=$B$67,37&lt;=$C$67),$B$68*$D$67,0)</f>
        <v/>
      </c>
      <c r="AP84" s="42">
        <f>IF(AND(38&gt;=$B$67,38&lt;=$C$67),$B$68*$D$67,0)</f>
        <v/>
      </c>
      <c r="AQ84" s="42">
        <f>IF(AND(39&gt;=$B$67,39&lt;=$C$67),$B$68*$D$67,0)</f>
        <v/>
      </c>
      <c r="AR84" s="42">
        <f>IF(AND(40&gt;=$B$67,40&lt;=$C$67),$B$68*$D$67,0)</f>
        <v/>
      </c>
      <c r="AS84" s="42">
        <f>IF(AND(41&gt;=$B$67,41&lt;=$C$67),$B$68*$D$67,0)</f>
        <v/>
      </c>
      <c r="AT84" s="42">
        <f>IF(AND(42&gt;=$B$67,42&lt;=$C$67),$B$68*$D$67,0)</f>
        <v/>
      </c>
      <c r="AU84" s="42">
        <f>IF(AND(43&gt;=$B$67,43&lt;=$C$67),$B$68*$D$67,0)</f>
        <v/>
      </c>
      <c r="AV84" s="42">
        <f>IF(AND(44&gt;=$B$67,44&lt;=$C$67),$B$68*$D$67,0)</f>
        <v/>
      </c>
      <c r="AW84" s="42">
        <f>IF(AND(45&gt;=$B$67,45&lt;=$C$67),$B$68*$D$67,0)</f>
        <v/>
      </c>
      <c r="AX84" s="42">
        <f>IF(AND(46&gt;=$B$67,46&lt;=$C$67),$B$68*$D$67,0)</f>
        <v/>
      </c>
      <c r="AY84" s="42">
        <f>IF(AND(47&gt;=$B$67,47&lt;=$C$67),$B$68*$D$67,0)</f>
        <v/>
      </c>
      <c r="AZ84" s="42">
        <f>IF(AND(48&gt;=$B$67,48&lt;=$C$67),$B$68*$D$67,0)</f>
        <v/>
      </c>
      <c r="BA84" s="42">
        <f>IF(AND(49&gt;=$B$67,49&lt;=$C$67),$B$68*$D$67,0)</f>
        <v/>
      </c>
      <c r="BB84" s="42">
        <f>IF(AND(50&gt;=$B$67,50&lt;=$C$67),$B$68*$D$67,0)</f>
        <v/>
      </c>
      <c r="BC84" s="42">
        <f>IF(AND(51&gt;=$B$67,51&lt;=$C$67),$B$68*$D$67,0)</f>
        <v/>
      </c>
      <c r="BD84" s="42">
        <f>IF(AND(52&gt;=$B$67,52&lt;=$C$67),$B$68*$D$67,0)</f>
        <v/>
      </c>
    </row>
    <row r="85">
      <c r="A85" s="43" t="inlineStr">
        <is>
          <t xml:space="preserve">  room left</t>
        </is>
      </c>
      <c r="B85" s="2" t="inlineStr">
        <is>
          <t>hrs</t>
        </is>
      </c>
      <c r="E85" s="42">
        <f>E84-E83</f>
        <v/>
      </c>
      <c r="F85" s="42">
        <f>F84-F83</f>
        <v/>
      </c>
      <c r="G85" s="42">
        <f>G84-G83</f>
        <v/>
      </c>
      <c r="H85" s="42">
        <f>H84-H83</f>
        <v/>
      </c>
      <c r="I85" s="42">
        <f>I84-I83</f>
        <v/>
      </c>
      <c r="J85" s="42">
        <f>J84-J83</f>
        <v/>
      </c>
      <c r="K85" s="42">
        <f>K84-K83</f>
        <v/>
      </c>
      <c r="L85" s="42">
        <f>L84-L83</f>
        <v/>
      </c>
      <c r="M85" s="42">
        <f>M84-M83</f>
        <v/>
      </c>
      <c r="N85" s="42">
        <f>N84-N83</f>
        <v/>
      </c>
      <c r="O85" s="42">
        <f>O84-O83</f>
        <v/>
      </c>
      <c r="P85" s="42">
        <f>P84-P83</f>
        <v/>
      </c>
      <c r="Q85" s="42">
        <f>Q84-Q83</f>
        <v/>
      </c>
      <c r="R85" s="42">
        <f>R84-R83</f>
        <v/>
      </c>
      <c r="S85" s="42">
        <f>S84-S83</f>
        <v/>
      </c>
      <c r="T85" s="42">
        <f>T84-T83</f>
        <v/>
      </c>
      <c r="U85" s="42">
        <f>U84-U83</f>
        <v/>
      </c>
      <c r="V85" s="42">
        <f>V84-V83</f>
        <v/>
      </c>
      <c r="W85" s="42">
        <f>W84-W83</f>
        <v/>
      </c>
      <c r="X85" s="42">
        <f>X84-X83</f>
        <v/>
      </c>
      <c r="Y85" s="42">
        <f>Y84-Y83</f>
        <v/>
      </c>
      <c r="Z85" s="42">
        <f>Z84-Z83</f>
        <v/>
      </c>
      <c r="AA85" s="42">
        <f>AA84-AA83</f>
        <v/>
      </c>
      <c r="AB85" s="42">
        <f>AB84-AB83</f>
        <v/>
      </c>
      <c r="AC85" s="42">
        <f>AC84-AC83</f>
        <v/>
      </c>
      <c r="AD85" s="42">
        <f>AD84-AD83</f>
        <v/>
      </c>
      <c r="AE85" s="42">
        <f>AE84-AE83</f>
        <v/>
      </c>
      <c r="AF85" s="42">
        <f>AF84-AF83</f>
        <v/>
      </c>
      <c r="AG85" s="42">
        <f>AG84-AG83</f>
        <v/>
      </c>
      <c r="AH85" s="42">
        <f>AH84-AH83</f>
        <v/>
      </c>
      <c r="AI85" s="42">
        <f>AI84-AI83</f>
        <v/>
      </c>
      <c r="AJ85" s="42">
        <f>AJ84-AJ83</f>
        <v/>
      </c>
      <c r="AK85" s="42">
        <f>AK84-AK83</f>
        <v/>
      </c>
      <c r="AL85" s="42">
        <f>AL84-AL83</f>
        <v/>
      </c>
      <c r="AM85" s="42">
        <f>AM84-AM83</f>
        <v/>
      </c>
      <c r="AN85" s="42">
        <f>AN84-AN83</f>
        <v/>
      </c>
      <c r="AO85" s="42">
        <f>AO84-AO83</f>
        <v/>
      </c>
      <c r="AP85" s="42">
        <f>AP84-AP83</f>
        <v/>
      </c>
      <c r="AQ85" s="42">
        <f>AQ84-AQ83</f>
        <v/>
      </c>
      <c r="AR85" s="42">
        <f>AR84-AR83</f>
        <v/>
      </c>
      <c r="AS85" s="42">
        <f>AS84-AS83</f>
        <v/>
      </c>
      <c r="AT85" s="42">
        <f>AT84-AT83</f>
        <v/>
      </c>
      <c r="AU85" s="42">
        <f>AU84-AU83</f>
        <v/>
      </c>
      <c r="AV85" s="42">
        <f>AV84-AV83</f>
        <v/>
      </c>
      <c r="AW85" s="42">
        <f>AW84-AW83</f>
        <v/>
      </c>
      <c r="AX85" s="42">
        <f>AX84-AX83</f>
        <v/>
      </c>
      <c r="AY85" s="42">
        <f>AY84-AY83</f>
        <v/>
      </c>
      <c r="AZ85" s="42">
        <f>AZ84-AZ83</f>
        <v/>
      </c>
      <c r="BA85" s="42">
        <f>BA84-BA83</f>
        <v/>
      </c>
      <c r="BB85" s="42">
        <f>BB84-BB83</f>
        <v/>
      </c>
      <c r="BC85" s="42">
        <f>BC84-BC83</f>
        <v/>
      </c>
      <c r="BD85" s="42">
        <f>BD84-BD83</f>
        <v/>
      </c>
    </row>
    <row r="86">
      <c r="A86" s="2" t="inlineStr">
        <is>
          <t xml:space="preserve">   Zero outside their weeks, and zero unless ENGAGED — that link is what makes the fixed cost conditional. Capacity is HOURS: 200 is five pickers at forty hours, and it buys whatever pounds that many hours picks of whichever crop they are on.</t>
        </is>
      </c>
    </row>
    <row r="88">
      <c r="A88" s="3" t="inlineStr">
        <is>
          <t>4 — THE PLANTING CALENDAR   (140 possible plantings — the solver picks)</t>
        </is>
      </c>
    </row>
    <row r="89">
      <c r="A89" s="2" t="inlineStr">
        <is>
          <t>One row per legal start week, exactly what the app's generator offers. ACRES and PLANT? are both decisions.</t>
        </is>
      </c>
    </row>
    <row r="90">
      <c r="A90" s="36" t="inlineStr">
        <is>
          <t>Succession</t>
        </is>
      </c>
      <c r="B90" s="36" t="inlineStr">
        <is>
          <t>Crop</t>
        </is>
      </c>
      <c r="C90" s="32" t="inlineStr">
        <is>
          <t>ACRES</t>
        </is>
      </c>
      <c r="D90" s="32" t="inlineStr">
        <is>
          <t>PLANT?</t>
        </is>
      </c>
      <c r="E90" s="38" t="n">
        <v>1</v>
      </c>
      <c r="F90" s="38" t="n">
        <v>2</v>
      </c>
      <c r="G90" s="38" t="n">
        <v>3</v>
      </c>
      <c r="H90" s="38" t="n">
        <v>4</v>
      </c>
      <c r="I90" s="38" t="n">
        <v>5</v>
      </c>
      <c r="J90" s="38" t="n">
        <v>6</v>
      </c>
      <c r="K90" s="38" t="n">
        <v>7</v>
      </c>
      <c r="L90" s="38" t="n">
        <v>8</v>
      </c>
      <c r="M90" s="38" t="n">
        <v>9</v>
      </c>
      <c r="N90" s="38" t="n">
        <v>10</v>
      </c>
      <c r="O90" s="38" t="n">
        <v>11</v>
      </c>
      <c r="P90" s="38" t="n">
        <v>12</v>
      </c>
      <c r="Q90" s="38" t="n">
        <v>13</v>
      </c>
      <c r="R90" s="38" t="n">
        <v>14</v>
      </c>
      <c r="S90" s="38" t="n">
        <v>15</v>
      </c>
      <c r="T90" s="38" t="n">
        <v>16</v>
      </c>
      <c r="U90" s="38" t="n">
        <v>17</v>
      </c>
      <c r="V90" s="38" t="n">
        <v>18</v>
      </c>
      <c r="W90" s="38" t="n">
        <v>19</v>
      </c>
      <c r="X90" s="38" t="n">
        <v>20</v>
      </c>
      <c r="Y90" s="38" t="n">
        <v>21</v>
      </c>
      <c r="Z90" s="38" t="n">
        <v>22</v>
      </c>
      <c r="AA90" s="38" t="n">
        <v>23</v>
      </c>
      <c r="AB90" s="38" t="n">
        <v>24</v>
      </c>
      <c r="AC90" s="38" t="n">
        <v>25</v>
      </c>
      <c r="AD90" s="38" t="n">
        <v>26</v>
      </c>
      <c r="AE90" s="38" t="n">
        <v>27</v>
      </c>
      <c r="AF90" s="38" t="n">
        <v>28</v>
      </c>
      <c r="AG90" s="38" t="n">
        <v>29</v>
      </c>
      <c r="AH90" s="38" t="n">
        <v>30</v>
      </c>
      <c r="AI90" s="38" t="n">
        <v>31</v>
      </c>
      <c r="AJ90" s="38" t="n">
        <v>32</v>
      </c>
      <c r="AK90" s="38" t="n">
        <v>33</v>
      </c>
      <c r="AL90" s="38" t="n">
        <v>34</v>
      </c>
      <c r="AM90" s="38" t="n">
        <v>35</v>
      </c>
      <c r="AN90" s="38" t="n">
        <v>36</v>
      </c>
      <c r="AO90" s="38" t="n">
        <v>37</v>
      </c>
      <c r="AP90" s="38" t="n">
        <v>38</v>
      </c>
      <c r="AQ90" s="38" t="n">
        <v>39</v>
      </c>
      <c r="AR90" s="38" t="n">
        <v>40</v>
      </c>
      <c r="AS90" s="38" t="n">
        <v>41</v>
      </c>
      <c r="AT90" s="38" t="n">
        <v>42</v>
      </c>
      <c r="AU90" s="38" t="n">
        <v>43</v>
      </c>
      <c r="AV90" s="38" t="n">
        <v>44</v>
      </c>
      <c r="AW90" s="38" t="n">
        <v>45</v>
      </c>
      <c r="AX90" s="38" t="n">
        <v>46</v>
      </c>
      <c r="AY90" s="38" t="n">
        <v>47</v>
      </c>
      <c r="AZ90" s="38" t="n">
        <v>48</v>
      </c>
      <c r="BA90" s="38" t="n">
        <v>49</v>
      </c>
      <c r="BB90" s="38" t="n">
        <v>50</v>
      </c>
      <c r="BC90" s="38" t="n">
        <v>51</v>
      </c>
      <c r="BD90" s="38" t="n">
        <v>52</v>
      </c>
      <c r="BE90" s="44" t="inlineStr">
        <is>
          <t>max if planted</t>
        </is>
      </c>
      <c r="BF90" s="44" t="inlineStr">
        <is>
          <t>min if planted</t>
        </is>
      </c>
      <c r="BG90" s="44" t="inlineStr">
        <is>
          <t>starts wk</t>
        </is>
      </c>
      <c r="BH90" s="44" t="inlineStr">
        <is>
          <t>zone</t>
        </is>
      </c>
      <c r="BI90" s="44" t="inlineStr">
        <is>
          <t>sells as</t>
        </is>
      </c>
    </row>
    <row r="91">
      <c r="A91" s="33" t="inlineStr">
        <is>
          <t>Spinach W05</t>
        </is>
      </c>
      <c r="B91" s="33" t="inlineStr">
        <is>
          <t>Spinach</t>
        </is>
      </c>
      <c r="C91" s="45" t="n">
        <v>0</v>
      </c>
      <c r="D91" s="46" t="n">
        <v>0</v>
      </c>
      <c r="I91" s="47" t="inlineStr">
        <is>
          <t>P</t>
        </is>
      </c>
      <c r="J91" s="47" t="inlineStr">
        <is>
          <t>G</t>
        </is>
      </c>
      <c r="K91" s="47" t="inlineStr">
        <is>
          <t>G</t>
        </is>
      </c>
      <c r="L91" s="47" t="inlineStr">
        <is>
          <t>G</t>
        </is>
      </c>
      <c r="M91" s="47" t="inlineStr">
        <is>
          <t>G</t>
        </is>
      </c>
      <c r="N91" s="47" t="inlineStr">
        <is>
          <t>G</t>
        </is>
      </c>
      <c r="O91" s="47" t="inlineStr">
        <is>
          <t>H</t>
        </is>
      </c>
      <c r="P91" s="47" t="inlineStr">
        <is>
          <t>H</t>
        </is>
      </c>
      <c r="BE91" s="48">
        <f>D91*$B$6*IF($R$17="Y",1,0)</f>
        <v/>
      </c>
      <c r="BF91" s="48">
        <f>D91*$I$17</f>
        <v/>
      </c>
      <c r="BG91" s="49">
        <f>MATCH("P",$E91:$BD91,0)</f>
        <v/>
      </c>
      <c r="BH91" s="33" t="inlineStr">
        <is>
          <t>Open field</t>
        </is>
      </c>
      <c r="BI91" s="33">
        <f>$Q$17</f>
        <v/>
      </c>
    </row>
    <row r="92">
      <c r="A92" s="33" t="inlineStr">
        <is>
          <t>Spinach W06</t>
        </is>
      </c>
      <c r="B92" s="33" t="inlineStr">
        <is>
          <t>Spinach</t>
        </is>
      </c>
      <c r="C92" s="45" t="n">
        <v>0</v>
      </c>
      <c r="D92" s="46" t="n">
        <v>0</v>
      </c>
      <c r="J92" s="47" t="inlineStr">
        <is>
          <t>P</t>
        </is>
      </c>
      <c r="K92" s="47" t="inlineStr">
        <is>
          <t>G</t>
        </is>
      </c>
      <c r="L92" s="47" t="inlineStr">
        <is>
          <t>G</t>
        </is>
      </c>
      <c r="M92" s="47" t="inlineStr">
        <is>
          <t>G</t>
        </is>
      </c>
      <c r="N92" s="47" t="inlineStr">
        <is>
          <t>G</t>
        </is>
      </c>
      <c r="O92" s="47" t="inlineStr">
        <is>
          <t>G</t>
        </is>
      </c>
      <c r="P92" s="47" t="inlineStr">
        <is>
          <t>H</t>
        </is>
      </c>
      <c r="Q92" s="47" t="inlineStr">
        <is>
          <t>H</t>
        </is>
      </c>
      <c r="BE92" s="48">
        <f>D92*$B$6*IF($R$17="Y",1,0)</f>
        <v/>
      </c>
      <c r="BF92" s="48">
        <f>D92*$I$17</f>
        <v/>
      </c>
      <c r="BG92" s="49">
        <f>MATCH("P",$E92:$BD92,0)</f>
        <v/>
      </c>
      <c r="BH92" s="33" t="inlineStr">
        <is>
          <t>Open field</t>
        </is>
      </c>
      <c r="BI92" s="33">
        <f>$Q$17</f>
        <v/>
      </c>
    </row>
    <row r="93">
      <c r="A93" s="33" t="inlineStr">
        <is>
          <t>Spinach W07</t>
        </is>
      </c>
      <c r="B93" s="33" t="inlineStr">
        <is>
          <t>Spinach</t>
        </is>
      </c>
      <c r="C93" s="45" t="n">
        <v>0</v>
      </c>
      <c r="D93" s="46" t="n">
        <v>0</v>
      </c>
      <c r="K93" s="47" t="inlineStr">
        <is>
          <t>P</t>
        </is>
      </c>
      <c r="L93" s="47" t="inlineStr">
        <is>
          <t>G</t>
        </is>
      </c>
      <c r="M93" s="47" t="inlineStr">
        <is>
          <t>G</t>
        </is>
      </c>
      <c r="N93" s="47" t="inlineStr">
        <is>
          <t>G</t>
        </is>
      </c>
      <c r="O93" s="47" t="inlineStr">
        <is>
          <t>G</t>
        </is>
      </c>
      <c r="P93" s="47" t="inlineStr">
        <is>
          <t>G</t>
        </is>
      </c>
      <c r="Q93" s="47" t="inlineStr">
        <is>
          <t>H</t>
        </is>
      </c>
      <c r="R93" s="47" t="inlineStr">
        <is>
          <t>H</t>
        </is>
      </c>
      <c r="BE93" s="48">
        <f>D93*$B$6*IF($R$17="Y",1,0)</f>
        <v/>
      </c>
      <c r="BF93" s="48">
        <f>D93*$I$17</f>
        <v/>
      </c>
      <c r="BG93" s="49">
        <f>MATCH("P",$E93:$BD93,0)</f>
        <v/>
      </c>
      <c r="BH93" s="33" t="inlineStr">
        <is>
          <t>Open field</t>
        </is>
      </c>
      <c r="BI93" s="33">
        <f>$Q$17</f>
        <v/>
      </c>
    </row>
    <row r="94">
      <c r="A94" s="33" t="inlineStr">
        <is>
          <t>Spinach W08</t>
        </is>
      </c>
      <c r="B94" s="33" t="inlineStr">
        <is>
          <t>Spinach</t>
        </is>
      </c>
      <c r="C94" s="45" t="n">
        <v>0</v>
      </c>
      <c r="D94" s="46" t="n">
        <v>0</v>
      </c>
      <c r="L94" s="47" t="inlineStr">
        <is>
          <t>P</t>
        </is>
      </c>
      <c r="M94" s="47" t="inlineStr">
        <is>
          <t>G</t>
        </is>
      </c>
      <c r="N94" s="47" t="inlineStr">
        <is>
          <t>G</t>
        </is>
      </c>
      <c r="O94" s="47" t="inlineStr">
        <is>
          <t>G</t>
        </is>
      </c>
      <c r="P94" s="47" t="inlineStr">
        <is>
          <t>G</t>
        </is>
      </c>
      <c r="Q94" s="47" t="inlineStr">
        <is>
          <t>G</t>
        </is>
      </c>
      <c r="R94" s="47" t="inlineStr">
        <is>
          <t>H</t>
        </is>
      </c>
      <c r="S94" s="47" t="inlineStr">
        <is>
          <t>H</t>
        </is>
      </c>
      <c r="BE94" s="48">
        <f>D94*$B$6*IF($R$17="Y",1,0)</f>
        <v/>
      </c>
      <c r="BF94" s="48">
        <f>D94*$I$17</f>
        <v/>
      </c>
      <c r="BG94" s="49">
        <f>MATCH("P",$E94:$BD94,0)</f>
        <v/>
      </c>
      <c r="BH94" s="33" t="inlineStr">
        <is>
          <t>Open field</t>
        </is>
      </c>
      <c r="BI94" s="33">
        <f>$Q$17</f>
        <v/>
      </c>
    </row>
    <row r="95">
      <c r="A95" s="33" t="inlineStr">
        <is>
          <t>Spinach W09</t>
        </is>
      </c>
      <c r="B95" s="33" t="inlineStr">
        <is>
          <t>Spinach</t>
        </is>
      </c>
      <c r="C95" s="45" t="n">
        <v>0</v>
      </c>
      <c r="D95" s="46" t="n">
        <v>0</v>
      </c>
      <c r="M95" s="47" t="inlineStr">
        <is>
          <t>P</t>
        </is>
      </c>
      <c r="N95" s="47" t="inlineStr">
        <is>
          <t>G</t>
        </is>
      </c>
      <c r="O95" s="47" t="inlineStr">
        <is>
          <t>G</t>
        </is>
      </c>
      <c r="P95" s="47" t="inlineStr">
        <is>
          <t>G</t>
        </is>
      </c>
      <c r="Q95" s="47" t="inlineStr">
        <is>
          <t>G</t>
        </is>
      </c>
      <c r="R95" s="47" t="inlineStr">
        <is>
          <t>G</t>
        </is>
      </c>
      <c r="S95" s="47" t="inlineStr">
        <is>
          <t>H</t>
        </is>
      </c>
      <c r="T95" s="47" t="inlineStr">
        <is>
          <t>H</t>
        </is>
      </c>
      <c r="BE95" s="48">
        <f>D95*$B$6*IF($R$17="Y",1,0)</f>
        <v/>
      </c>
      <c r="BF95" s="48">
        <f>D95*$I$17</f>
        <v/>
      </c>
      <c r="BG95" s="49">
        <f>MATCH("P",$E95:$BD95,0)</f>
        <v/>
      </c>
      <c r="BH95" s="33" t="inlineStr">
        <is>
          <t>Open field</t>
        </is>
      </c>
      <c r="BI95" s="33">
        <f>$Q$17</f>
        <v/>
      </c>
    </row>
    <row r="96">
      <c r="A96" s="33" t="inlineStr">
        <is>
          <t>Spinach W10</t>
        </is>
      </c>
      <c r="B96" s="33" t="inlineStr">
        <is>
          <t>Spinach</t>
        </is>
      </c>
      <c r="C96" s="45" t="n">
        <v>0</v>
      </c>
      <c r="D96" s="46" t="n">
        <v>0</v>
      </c>
      <c r="N96" s="47" t="inlineStr">
        <is>
          <t>P</t>
        </is>
      </c>
      <c r="O96" s="47" t="inlineStr">
        <is>
          <t>G</t>
        </is>
      </c>
      <c r="P96" s="47" t="inlineStr">
        <is>
          <t>G</t>
        </is>
      </c>
      <c r="Q96" s="47" t="inlineStr">
        <is>
          <t>G</t>
        </is>
      </c>
      <c r="R96" s="47" t="inlineStr">
        <is>
          <t>G</t>
        </is>
      </c>
      <c r="S96" s="47" t="inlineStr">
        <is>
          <t>G</t>
        </is>
      </c>
      <c r="T96" s="47" t="inlineStr">
        <is>
          <t>H</t>
        </is>
      </c>
      <c r="U96" s="47" t="inlineStr">
        <is>
          <t>H</t>
        </is>
      </c>
      <c r="BE96" s="48">
        <f>D96*$B$6*IF($R$17="Y",1,0)</f>
        <v/>
      </c>
      <c r="BF96" s="48">
        <f>D96*$I$17</f>
        <v/>
      </c>
      <c r="BG96" s="49">
        <f>MATCH("P",$E96:$BD96,0)</f>
        <v/>
      </c>
      <c r="BH96" s="33" t="inlineStr">
        <is>
          <t>Open field</t>
        </is>
      </c>
      <c r="BI96" s="33">
        <f>$Q$17</f>
        <v/>
      </c>
    </row>
    <row r="97">
      <c r="A97" s="33" t="inlineStr">
        <is>
          <t>Spinach W11</t>
        </is>
      </c>
      <c r="B97" s="33" t="inlineStr">
        <is>
          <t>Spinach</t>
        </is>
      </c>
      <c r="C97" s="45" t="n">
        <v>0</v>
      </c>
      <c r="D97" s="46" t="n">
        <v>0</v>
      </c>
      <c r="O97" s="47" t="inlineStr">
        <is>
          <t>P</t>
        </is>
      </c>
      <c r="P97" s="47" t="inlineStr">
        <is>
          <t>G</t>
        </is>
      </c>
      <c r="Q97" s="47" t="inlineStr">
        <is>
          <t>G</t>
        </is>
      </c>
      <c r="R97" s="47" t="inlineStr">
        <is>
          <t>G</t>
        </is>
      </c>
      <c r="S97" s="47" t="inlineStr">
        <is>
          <t>G</t>
        </is>
      </c>
      <c r="T97" s="47" t="inlineStr">
        <is>
          <t>G</t>
        </is>
      </c>
      <c r="U97" s="47" t="inlineStr">
        <is>
          <t>H</t>
        </is>
      </c>
      <c r="V97" s="47" t="inlineStr">
        <is>
          <t>H</t>
        </is>
      </c>
      <c r="BE97" s="48">
        <f>D97*$B$6*IF($R$17="Y",1,0)</f>
        <v/>
      </c>
      <c r="BF97" s="48">
        <f>D97*$I$17</f>
        <v/>
      </c>
      <c r="BG97" s="49">
        <f>MATCH("P",$E97:$BD97,0)</f>
        <v/>
      </c>
      <c r="BH97" s="33" t="inlineStr">
        <is>
          <t>Open field</t>
        </is>
      </c>
      <c r="BI97" s="33">
        <f>$Q$17</f>
        <v/>
      </c>
    </row>
    <row r="98">
      <c r="A98" s="33" t="inlineStr">
        <is>
          <t>Spinach W12</t>
        </is>
      </c>
      <c r="B98" s="33" t="inlineStr">
        <is>
          <t>Spinach</t>
        </is>
      </c>
      <c r="C98" s="45" t="n">
        <v>0</v>
      </c>
      <c r="D98" s="46" t="n">
        <v>0</v>
      </c>
      <c r="P98" s="47" t="inlineStr">
        <is>
          <t>P</t>
        </is>
      </c>
      <c r="Q98" s="47" t="inlineStr">
        <is>
          <t>G</t>
        </is>
      </c>
      <c r="R98" s="47" t="inlineStr">
        <is>
          <t>G</t>
        </is>
      </c>
      <c r="S98" s="47" t="inlineStr">
        <is>
          <t>G</t>
        </is>
      </c>
      <c r="T98" s="47" t="inlineStr">
        <is>
          <t>G</t>
        </is>
      </c>
      <c r="U98" s="47" t="inlineStr">
        <is>
          <t>G</t>
        </is>
      </c>
      <c r="V98" s="47" t="inlineStr">
        <is>
          <t>H</t>
        </is>
      </c>
      <c r="W98" s="47" t="inlineStr">
        <is>
          <t>H</t>
        </is>
      </c>
      <c r="BE98" s="48">
        <f>D98*$B$6*IF($R$17="Y",1,0)</f>
        <v/>
      </c>
      <c r="BF98" s="48">
        <f>D98*$I$17</f>
        <v/>
      </c>
      <c r="BG98" s="49">
        <f>MATCH("P",$E98:$BD98,0)</f>
        <v/>
      </c>
      <c r="BH98" s="33" t="inlineStr">
        <is>
          <t>Open field</t>
        </is>
      </c>
      <c r="BI98" s="33">
        <f>$Q$17</f>
        <v/>
      </c>
    </row>
    <row r="99">
      <c r="A99" s="33" t="inlineStr">
        <is>
          <t>Spinach W13</t>
        </is>
      </c>
      <c r="B99" s="33" t="inlineStr">
        <is>
          <t>Spinach</t>
        </is>
      </c>
      <c r="C99" s="45" t="n">
        <v>0</v>
      </c>
      <c r="D99" s="46" t="n">
        <v>0</v>
      </c>
      <c r="Q99" s="47" t="inlineStr">
        <is>
          <t>P</t>
        </is>
      </c>
      <c r="R99" s="47" t="inlineStr">
        <is>
          <t>G</t>
        </is>
      </c>
      <c r="S99" s="47" t="inlineStr">
        <is>
          <t>G</t>
        </is>
      </c>
      <c r="T99" s="47" t="inlineStr">
        <is>
          <t>G</t>
        </is>
      </c>
      <c r="U99" s="47" t="inlineStr">
        <is>
          <t>G</t>
        </is>
      </c>
      <c r="V99" s="47" t="inlineStr">
        <is>
          <t>G</t>
        </is>
      </c>
      <c r="W99" s="47" t="inlineStr">
        <is>
          <t>H</t>
        </is>
      </c>
      <c r="X99" s="47" t="inlineStr">
        <is>
          <t>H</t>
        </is>
      </c>
      <c r="BE99" s="48">
        <f>D99*$B$6*IF($R$17="Y",1,0)</f>
        <v/>
      </c>
      <c r="BF99" s="48">
        <f>D99*$I$17</f>
        <v/>
      </c>
      <c r="BG99" s="49">
        <f>MATCH("P",$E99:$BD99,0)</f>
        <v/>
      </c>
      <c r="BH99" s="33" t="inlineStr">
        <is>
          <t>Open field</t>
        </is>
      </c>
      <c r="BI99" s="33">
        <f>$Q$17</f>
        <v/>
      </c>
    </row>
    <row r="100">
      <c r="A100" s="33" t="inlineStr">
        <is>
          <t>Spinach W14</t>
        </is>
      </c>
      <c r="B100" s="33" t="inlineStr">
        <is>
          <t>Spinach</t>
        </is>
      </c>
      <c r="C100" s="45" t="n">
        <v>0</v>
      </c>
      <c r="D100" s="46" t="n">
        <v>0</v>
      </c>
      <c r="R100" s="47" t="inlineStr">
        <is>
          <t>P</t>
        </is>
      </c>
      <c r="S100" s="47" t="inlineStr">
        <is>
          <t>G</t>
        </is>
      </c>
      <c r="T100" s="47" t="inlineStr">
        <is>
          <t>G</t>
        </is>
      </c>
      <c r="U100" s="47" t="inlineStr">
        <is>
          <t>G</t>
        </is>
      </c>
      <c r="V100" s="47" t="inlineStr">
        <is>
          <t>G</t>
        </is>
      </c>
      <c r="W100" s="47" t="inlineStr">
        <is>
          <t>G</t>
        </is>
      </c>
      <c r="X100" s="47" t="inlineStr">
        <is>
          <t>H</t>
        </is>
      </c>
      <c r="Y100" s="47" t="inlineStr">
        <is>
          <t>H</t>
        </is>
      </c>
      <c r="BE100" s="48">
        <f>D100*$B$6*IF($R$17="Y",1,0)</f>
        <v/>
      </c>
      <c r="BF100" s="48">
        <f>D100*$I$17</f>
        <v/>
      </c>
      <c r="BG100" s="49">
        <f>MATCH("P",$E100:$BD100,0)</f>
        <v/>
      </c>
      <c r="BH100" s="33" t="inlineStr">
        <is>
          <t>Open field</t>
        </is>
      </c>
      <c r="BI100" s="33">
        <f>$Q$17</f>
        <v/>
      </c>
    </row>
    <row r="101">
      <c r="A101" s="33" t="inlineStr">
        <is>
          <t>Spinach W15</t>
        </is>
      </c>
      <c r="B101" s="33" t="inlineStr">
        <is>
          <t>Spinach</t>
        </is>
      </c>
      <c r="C101" s="45" t="n">
        <v>0</v>
      </c>
      <c r="D101" s="46" t="n">
        <v>0</v>
      </c>
      <c r="S101" s="47" t="inlineStr">
        <is>
          <t>P</t>
        </is>
      </c>
      <c r="T101" s="47" t="inlineStr">
        <is>
          <t>G</t>
        </is>
      </c>
      <c r="U101" s="47" t="inlineStr">
        <is>
          <t>G</t>
        </is>
      </c>
      <c r="V101" s="47" t="inlineStr">
        <is>
          <t>G</t>
        </is>
      </c>
      <c r="W101" s="47" t="inlineStr">
        <is>
          <t>G</t>
        </is>
      </c>
      <c r="X101" s="47" t="inlineStr">
        <is>
          <t>G</t>
        </is>
      </c>
      <c r="Y101" s="47" t="inlineStr">
        <is>
          <t>H</t>
        </is>
      </c>
      <c r="Z101" s="47" t="inlineStr">
        <is>
          <t>H</t>
        </is>
      </c>
      <c r="BE101" s="48">
        <f>D101*$B$6*IF($R$17="Y",1,0)</f>
        <v/>
      </c>
      <c r="BF101" s="48">
        <f>D101*$I$17</f>
        <v/>
      </c>
      <c r="BG101" s="49">
        <f>MATCH("P",$E101:$BD101,0)</f>
        <v/>
      </c>
      <c r="BH101" s="33" t="inlineStr">
        <is>
          <t>Open field</t>
        </is>
      </c>
      <c r="BI101" s="33">
        <f>$Q$17</f>
        <v/>
      </c>
    </row>
    <row r="102">
      <c r="A102" s="33" t="inlineStr">
        <is>
          <t>Spinach W16</t>
        </is>
      </c>
      <c r="B102" s="33" t="inlineStr">
        <is>
          <t>Spinach</t>
        </is>
      </c>
      <c r="C102" s="45" t="n">
        <v>0</v>
      </c>
      <c r="D102" s="46" t="n">
        <v>0</v>
      </c>
      <c r="T102" s="47" t="inlineStr">
        <is>
          <t>P</t>
        </is>
      </c>
      <c r="U102" s="47" t="inlineStr">
        <is>
          <t>G</t>
        </is>
      </c>
      <c r="V102" s="47" t="inlineStr">
        <is>
          <t>G</t>
        </is>
      </c>
      <c r="W102" s="47" t="inlineStr">
        <is>
          <t>G</t>
        </is>
      </c>
      <c r="X102" s="47" t="inlineStr">
        <is>
          <t>G</t>
        </is>
      </c>
      <c r="Y102" s="47" t="inlineStr">
        <is>
          <t>G</t>
        </is>
      </c>
      <c r="Z102" s="47" t="inlineStr">
        <is>
          <t>H</t>
        </is>
      </c>
      <c r="AA102" s="47" t="inlineStr">
        <is>
          <t>H</t>
        </is>
      </c>
      <c r="BE102" s="48">
        <f>D102*$B$6*IF($R$17="Y",1,0)</f>
        <v/>
      </c>
      <c r="BF102" s="48">
        <f>D102*$I$17</f>
        <v/>
      </c>
      <c r="BG102" s="49">
        <f>MATCH("P",$E102:$BD102,0)</f>
        <v/>
      </c>
      <c r="BH102" s="33" t="inlineStr">
        <is>
          <t>Open field</t>
        </is>
      </c>
      <c r="BI102" s="33">
        <f>$Q$17</f>
        <v/>
      </c>
    </row>
    <row r="103">
      <c r="A103" s="33" t="inlineStr">
        <is>
          <t>Spinach W17</t>
        </is>
      </c>
      <c r="B103" s="33" t="inlineStr">
        <is>
          <t>Spinach</t>
        </is>
      </c>
      <c r="C103" s="45" t="n">
        <v>0</v>
      </c>
      <c r="D103" s="46" t="n">
        <v>0</v>
      </c>
      <c r="U103" s="47" t="inlineStr">
        <is>
          <t>P</t>
        </is>
      </c>
      <c r="V103" s="47" t="inlineStr">
        <is>
          <t>G</t>
        </is>
      </c>
      <c r="W103" s="47" t="inlineStr">
        <is>
          <t>G</t>
        </is>
      </c>
      <c r="X103" s="47" t="inlineStr">
        <is>
          <t>G</t>
        </is>
      </c>
      <c r="Y103" s="47" t="inlineStr">
        <is>
          <t>G</t>
        </is>
      </c>
      <c r="Z103" s="47" t="inlineStr">
        <is>
          <t>G</t>
        </is>
      </c>
      <c r="AA103" s="47" t="inlineStr">
        <is>
          <t>H</t>
        </is>
      </c>
      <c r="AB103" s="47" t="inlineStr">
        <is>
          <t>H</t>
        </is>
      </c>
      <c r="BE103" s="48">
        <f>D103*$B$6*IF($R$17="Y",1,0)</f>
        <v/>
      </c>
      <c r="BF103" s="48">
        <f>D103*$I$17</f>
        <v/>
      </c>
      <c r="BG103" s="49">
        <f>MATCH("P",$E103:$BD103,0)</f>
        <v/>
      </c>
      <c r="BH103" s="33" t="inlineStr">
        <is>
          <t>Open field</t>
        </is>
      </c>
      <c r="BI103" s="33">
        <f>$Q$17</f>
        <v/>
      </c>
    </row>
    <row r="104">
      <c r="A104" s="33" t="inlineStr">
        <is>
          <t>Spinach W18</t>
        </is>
      </c>
      <c r="B104" s="33" t="inlineStr">
        <is>
          <t>Spinach</t>
        </is>
      </c>
      <c r="C104" s="45" t="n">
        <v>0</v>
      </c>
      <c r="D104" s="46" t="n">
        <v>0</v>
      </c>
      <c r="V104" s="47" t="inlineStr">
        <is>
          <t>P</t>
        </is>
      </c>
      <c r="W104" s="47" t="inlineStr">
        <is>
          <t>G</t>
        </is>
      </c>
      <c r="X104" s="47" t="inlineStr">
        <is>
          <t>G</t>
        </is>
      </c>
      <c r="Y104" s="47" t="inlineStr">
        <is>
          <t>G</t>
        </is>
      </c>
      <c r="Z104" s="47" t="inlineStr">
        <is>
          <t>G</t>
        </is>
      </c>
      <c r="AA104" s="47" t="inlineStr">
        <is>
          <t>G</t>
        </is>
      </c>
      <c r="AB104" s="47" t="inlineStr">
        <is>
          <t>H</t>
        </is>
      </c>
      <c r="AC104" s="47" t="inlineStr">
        <is>
          <t>H</t>
        </is>
      </c>
      <c r="BE104" s="48">
        <f>D104*$B$6*IF($R$17="Y",1,0)</f>
        <v/>
      </c>
      <c r="BF104" s="48">
        <f>D104*$I$17</f>
        <v/>
      </c>
      <c r="BG104" s="49">
        <f>MATCH("P",$E104:$BD104,0)</f>
        <v/>
      </c>
      <c r="BH104" s="33" t="inlineStr">
        <is>
          <t>Open field</t>
        </is>
      </c>
      <c r="BI104" s="33">
        <f>$Q$17</f>
        <v/>
      </c>
    </row>
    <row r="105">
      <c r="A105" s="33" t="inlineStr">
        <is>
          <t>Spinach W19</t>
        </is>
      </c>
      <c r="B105" s="33" t="inlineStr">
        <is>
          <t>Spinach</t>
        </is>
      </c>
      <c r="C105" s="45" t="n">
        <v>0</v>
      </c>
      <c r="D105" s="46" t="n">
        <v>0</v>
      </c>
      <c r="W105" s="47" t="inlineStr">
        <is>
          <t>P</t>
        </is>
      </c>
      <c r="X105" s="47" t="inlineStr">
        <is>
          <t>G</t>
        </is>
      </c>
      <c r="Y105" s="47" t="inlineStr">
        <is>
          <t>G</t>
        </is>
      </c>
      <c r="Z105" s="47" t="inlineStr">
        <is>
          <t>G</t>
        </is>
      </c>
      <c r="AA105" s="47" t="inlineStr">
        <is>
          <t>G</t>
        </is>
      </c>
      <c r="AB105" s="47" t="inlineStr">
        <is>
          <t>G</t>
        </is>
      </c>
      <c r="AC105" s="47" t="inlineStr">
        <is>
          <t>H</t>
        </is>
      </c>
      <c r="AD105" s="47" t="inlineStr">
        <is>
          <t>H</t>
        </is>
      </c>
      <c r="BE105" s="48">
        <f>D105*$B$6*IF($R$17="Y",1,0)</f>
        <v/>
      </c>
      <c r="BF105" s="48">
        <f>D105*$I$17</f>
        <v/>
      </c>
      <c r="BG105" s="49">
        <f>MATCH("P",$E105:$BD105,0)</f>
        <v/>
      </c>
      <c r="BH105" s="33" t="inlineStr">
        <is>
          <t>Open field</t>
        </is>
      </c>
      <c r="BI105" s="33">
        <f>$Q$17</f>
        <v/>
      </c>
    </row>
    <row r="106">
      <c r="A106" s="33" t="inlineStr">
        <is>
          <t>Spinach W20</t>
        </is>
      </c>
      <c r="B106" s="33" t="inlineStr">
        <is>
          <t>Spinach</t>
        </is>
      </c>
      <c r="C106" s="45" t="n">
        <v>0</v>
      </c>
      <c r="D106" s="46" t="n">
        <v>0</v>
      </c>
      <c r="X106" s="47" t="inlineStr">
        <is>
          <t>P</t>
        </is>
      </c>
      <c r="Y106" s="47" t="inlineStr">
        <is>
          <t>G</t>
        </is>
      </c>
      <c r="Z106" s="47" t="inlineStr">
        <is>
          <t>G</t>
        </is>
      </c>
      <c r="AA106" s="47" t="inlineStr">
        <is>
          <t>G</t>
        </is>
      </c>
      <c r="AB106" s="47" t="inlineStr">
        <is>
          <t>G</t>
        </is>
      </c>
      <c r="AC106" s="47" t="inlineStr">
        <is>
          <t>G</t>
        </is>
      </c>
      <c r="AD106" s="47" t="inlineStr">
        <is>
          <t>H</t>
        </is>
      </c>
      <c r="AE106" s="47" t="inlineStr">
        <is>
          <t>H</t>
        </is>
      </c>
      <c r="BE106" s="48">
        <f>D106*$B$6*IF($R$17="Y",1,0)</f>
        <v/>
      </c>
      <c r="BF106" s="48">
        <f>D106*$I$17</f>
        <v/>
      </c>
      <c r="BG106" s="49">
        <f>MATCH("P",$E106:$BD106,0)</f>
        <v/>
      </c>
      <c r="BH106" s="33" t="inlineStr">
        <is>
          <t>Open field</t>
        </is>
      </c>
      <c r="BI106" s="33">
        <f>$Q$17</f>
        <v/>
      </c>
    </row>
    <row r="107">
      <c r="A107" s="33" t="inlineStr">
        <is>
          <t>Spinach W21</t>
        </is>
      </c>
      <c r="B107" s="33" t="inlineStr">
        <is>
          <t>Spinach</t>
        </is>
      </c>
      <c r="C107" s="45" t="n">
        <v>0</v>
      </c>
      <c r="D107" s="46" t="n">
        <v>0</v>
      </c>
      <c r="Y107" s="47" t="inlineStr">
        <is>
          <t>P</t>
        </is>
      </c>
      <c r="Z107" s="47" t="inlineStr">
        <is>
          <t>G</t>
        </is>
      </c>
      <c r="AA107" s="47" t="inlineStr">
        <is>
          <t>G</t>
        </is>
      </c>
      <c r="AB107" s="47" t="inlineStr">
        <is>
          <t>G</t>
        </is>
      </c>
      <c r="AC107" s="47" t="inlineStr">
        <is>
          <t>G</t>
        </is>
      </c>
      <c r="AD107" s="47" t="inlineStr">
        <is>
          <t>G</t>
        </is>
      </c>
      <c r="AE107" s="47" t="inlineStr">
        <is>
          <t>H</t>
        </is>
      </c>
      <c r="AF107" s="47" t="inlineStr">
        <is>
          <t>H</t>
        </is>
      </c>
      <c r="BE107" s="48">
        <f>D107*$B$6*IF($R$17="Y",1,0)</f>
        <v/>
      </c>
      <c r="BF107" s="48">
        <f>D107*$I$17</f>
        <v/>
      </c>
      <c r="BG107" s="49">
        <f>MATCH("P",$E107:$BD107,0)</f>
        <v/>
      </c>
      <c r="BH107" s="33" t="inlineStr">
        <is>
          <t>Open field</t>
        </is>
      </c>
      <c r="BI107" s="33">
        <f>$Q$17</f>
        <v/>
      </c>
    </row>
    <row r="108">
      <c r="A108" s="33" t="inlineStr">
        <is>
          <t>Spinach W22</t>
        </is>
      </c>
      <c r="B108" s="33" t="inlineStr">
        <is>
          <t>Spinach</t>
        </is>
      </c>
      <c r="C108" s="45" t="n">
        <v>0</v>
      </c>
      <c r="D108" s="46" t="n">
        <v>0</v>
      </c>
      <c r="Z108" s="47" t="inlineStr">
        <is>
          <t>P</t>
        </is>
      </c>
      <c r="AA108" s="47" t="inlineStr">
        <is>
          <t>G</t>
        </is>
      </c>
      <c r="AB108" s="47" t="inlineStr">
        <is>
          <t>G</t>
        </is>
      </c>
      <c r="AC108" s="47" t="inlineStr">
        <is>
          <t>G</t>
        </is>
      </c>
      <c r="AD108" s="47" t="inlineStr">
        <is>
          <t>G</t>
        </is>
      </c>
      <c r="AE108" s="47" t="inlineStr">
        <is>
          <t>G</t>
        </is>
      </c>
      <c r="AF108" s="47" t="inlineStr">
        <is>
          <t>H</t>
        </is>
      </c>
      <c r="AG108" s="47" t="inlineStr">
        <is>
          <t>H</t>
        </is>
      </c>
      <c r="BE108" s="48">
        <f>D108*$B$6*IF($R$17="Y",1,0)</f>
        <v/>
      </c>
      <c r="BF108" s="48">
        <f>D108*$I$17</f>
        <v/>
      </c>
      <c r="BG108" s="49">
        <f>MATCH("P",$E108:$BD108,0)</f>
        <v/>
      </c>
      <c r="BH108" s="33" t="inlineStr">
        <is>
          <t>Open field</t>
        </is>
      </c>
      <c r="BI108" s="33">
        <f>$Q$17</f>
        <v/>
      </c>
    </row>
    <row r="109">
      <c r="A109" s="33" t="inlineStr">
        <is>
          <t>Spinach W23</t>
        </is>
      </c>
      <c r="B109" s="33" t="inlineStr">
        <is>
          <t>Spinach</t>
        </is>
      </c>
      <c r="C109" s="45" t="n">
        <v>0</v>
      </c>
      <c r="D109" s="46" t="n">
        <v>0</v>
      </c>
      <c r="AA109" s="47" t="inlineStr">
        <is>
          <t>P</t>
        </is>
      </c>
      <c r="AB109" s="47" t="inlineStr">
        <is>
          <t>G</t>
        </is>
      </c>
      <c r="AC109" s="47" t="inlineStr">
        <is>
          <t>G</t>
        </is>
      </c>
      <c r="AD109" s="47" t="inlineStr">
        <is>
          <t>G</t>
        </is>
      </c>
      <c r="AE109" s="47" t="inlineStr">
        <is>
          <t>G</t>
        </is>
      </c>
      <c r="AF109" s="47" t="inlineStr">
        <is>
          <t>G</t>
        </is>
      </c>
      <c r="AG109" s="47" t="inlineStr">
        <is>
          <t>H</t>
        </is>
      </c>
      <c r="AH109" s="47" t="inlineStr">
        <is>
          <t>H</t>
        </is>
      </c>
      <c r="BE109" s="48">
        <f>D109*$B$6*IF($R$17="Y",1,0)</f>
        <v/>
      </c>
      <c r="BF109" s="48">
        <f>D109*$I$17</f>
        <v/>
      </c>
      <c r="BG109" s="49">
        <f>MATCH("P",$E109:$BD109,0)</f>
        <v/>
      </c>
      <c r="BH109" s="33" t="inlineStr">
        <is>
          <t>Open field</t>
        </is>
      </c>
      <c r="BI109" s="33">
        <f>$Q$17</f>
        <v/>
      </c>
    </row>
    <row r="110">
      <c r="A110" s="33" t="inlineStr">
        <is>
          <t>Spinach W24</t>
        </is>
      </c>
      <c r="B110" s="33" t="inlineStr">
        <is>
          <t>Spinach</t>
        </is>
      </c>
      <c r="C110" s="45" t="n">
        <v>0</v>
      </c>
      <c r="D110" s="46" t="n">
        <v>0</v>
      </c>
      <c r="AB110" s="47" t="inlineStr">
        <is>
          <t>P</t>
        </is>
      </c>
      <c r="AC110" s="47" t="inlineStr">
        <is>
          <t>G</t>
        </is>
      </c>
      <c r="AD110" s="47" t="inlineStr">
        <is>
          <t>G</t>
        </is>
      </c>
      <c r="AE110" s="47" t="inlineStr">
        <is>
          <t>G</t>
        </is>
      </c>
      <c r="AF110" s="47" t="inlineStr">
        <is>
          <t>G</t>
        </is>
      </c>
      <c r="AG110" s="47" t="inlineStr">
        <is>
          <t>G</t>
        </is>
      </c>
      <c r="AH110" s="47" t="inlineStr">
        <is>
          <t>H</t>
        </is>
      </c>
      <c r="AI110" s="47" t="inlineStr">
        <is>
          <t>H</t>
        </is>
      </c>
      <c r="BE110" s="48">
        <f>D110*$B$6*IF($R$17="Y",1,0)</f>
        <v/>
      </c>
      <c r="BF110" s="48">
        <f>D110*$I$17</f>
        <v/>
      </c>
      <c r="BG110" s="49">
        <f>MATCH("P",$E110:$BD110,0)</f>
        <v/>
      </c>
      <c r="BH110" s="33" t="inlineStr">
        <is>
          <t>Open field</t>
        </is>
      </c>
      <c r="BI110" s="33">
        <f>$Q$17</f>
        <v/>
      </c>
    </row>
    <row r="111">
      <c r="A111" s="33" t="inlineStr">
        <is>
          <t>Spinach W31</t>
        </is>
      </c>
      <c r="B111" s="33" t="inlineStr">
        <is>
          <t>Spinach</t>
        </is>
      </c>
      <c r="C111" s="45" t="n">
        <v>0</v>
      </c>
      <c r="D111" s="46" t="n">
        <v>0</v>
      </c>
      <c r="AI111" s="47" t="inlineStr">
        <is>
          <t>P</t>
        </is>
      </c>
      <c r="AJ111" s="47" t="inlineStr">
        <is>
          <t>G</t>
        </is>
      </c>
      <c r="AK111" s="47" t="inlineStr">
        <is>
          <t>G</t>
        </is>
      </c>
      <c r="AL111" s="47" t="inlineStr">
        <is>
          <t>G</t>
        </is>
      </c>
      <c r="AM111" s="47" t="inlineStr">
        <is>
          <t>G</t>
        </is>
      </c>
      <c r="AN111" s="47" t="inlineStr">
        <is>
          <t>G</t>
        </is>
      </c>
      <c r="AO111" s="47" t="inlineStr">
        <is>
          <t>H</t>
        </is>
      </c>
      <c r="AP111" s="47" t="inlineStr">
        <is>
          <t>H</t>
        </is>
      </c>
      <c r="BE111" s="48">
        <f>D111*$B$6*IF($R$17="Y",1,0)</f>
        <v/>
      </c>
      <c r="BF111" s="48">
        <f>D111*$I$17</f>
        <v/>
      </c>
      <c r="BG111" s="49">
        <f>MATCH("P",$E111:$BD111,0)</f>
        <v/>
      </c>
      <c r="BH111" s="33" t="inlineStr">
        <is>
          <t>Open field</t>
        </is>
      </c>
      <c r="BI111" s="33">
        <f>$Q$17</f>
        <v/>
      </c>
    </row>
    <row r="112">
      <c r="A112" s="33" t="inlineStr">
        <is>
          <t>Spinach W32</t>
        </is>
      </c>
      <c r="B112" s="33" t="inlineStr">
        <is>
          <t>Spinach</t>
        </is>
      </c>
      <c r="C112" s="45" t="n">
        <v>0</v>
      </c>
      <c r="D112" s="46" t="n">
        <v>0</v>
      </c>
      <c r="AJ112" s="47" t="inlineStr">
        <is>
          <t>P</t>
        </is>
      </c>
      <c r="AK112" s="47" t="inlineStr">
        <is>
          <t>G</t>
        </is>
      </c>
      <c r="AL112" s="47" t="inlineStr">
        <is>
          <t>G</t>
        </is>
      </c>
      <c r="AM112" s="47" t="inlineStr">
        <is>
          <t>G</t>
        </is>
      </c>
      <c r="AN112" s="47" t="inlineStr">
        <is>
          <t>G</t>
        </is>
      </c>
      <c r="AO112" s="47" t="inlineStr">
        <is>
          <t>G</t>
        </is>
      </c>
      <c r="AP112" s="47" t="inlineStr">
        <is>
          <t>H</t>
        </is>
      </c>
      <c r="AQ112" s="47" t="inlineStr">
        <is>
          <t>H</t>
        </is>
      </c>
      <c r="BE112" s="48">
        <f>D112*$B$6*IF($R$17="Y",1,0)</f>
        <v/>
      </c>
      <c r="BF112" s="48">
        <f>D112*$I$17</f>
        <v/>
      </c>
      <c r="BG112" s="49">
        <f>MATCH("P",$E112:$BD112,0)</f>
        <v/>
      </c>
      <c r="BH112" s="33" t="inlineStr">
        <is>
          <t>Open field</t>
        </is>
      </c>
      <c r="BI112" s="33">
        <f>$Q$17</f>
        <v/>
      </c>
    </row>
    <row r="113">
      <c r="A113" s="33" t="inlineStr">
        <is>
          <t>Spinach W33</t>
        </is>
      </c>
      <c r="B113" s="33" t="inlineStr">
        <is>
          <t>Spinach</t>
        </is>
      </c>
      <c r="C113" s="45" t="n">
        <v>0</v>
      </c>
      <c r="D113" s="46" t="n">
        <v>0</v>
      </c>
      <c r="AK113" s="47" t="inlineStr">
        <is>
          <t>P</t>
        </is>
      </c>
      <c r="AL113" s="47" t="inlineStr">
        <is>
          <t>G</t>
        </is>
      </c>
      <c r="AM113" s="47" t="inlineStr">
        <is>
          <t>G</t>
        </is>
      </c>
      <c r="AN113" s="47" t="inlineStr">
        <is>
          <t>G</t>
        </is>
      </c>
      <c r="AO113" s="47" t="inlineStr">
        <is>
          <t>G</t>
        </is>
      </c>
      <c r="AP113" s="47" t="inlineStr">
        <is>
          <t>G</t>
        </is>
      </c>
      <c r="AQ113" s="47" t="inlineStr">
        <is>
          <t>H</t>
        </is>
      </c>
      <c r="AR113" s="47" t="inlineStr">
        <is>
          <t>H</t>
        </is>
      </c>
      <c r="BE113" s="48">
        <f>D113*$B$6*IF($R$17="Y",1,0)</f>
        <v/>
      </c>
      <c r="BF113" s="48">
        <f>D113*$I$17</f>
        <v/>
      </c>
      <c r="BG113" s="49">
        <f>MATCH("P",$E113:$BD113,0)</f>
        <v/>
      </c>
      <c r="BH113" s="33" t="inlineStr">
        <is>
          <t>Open field</t>
        </is>
      </c>
      <c r="BI113" s="33">
        <f>$Q$17</f>
        <v/>
      </c>
    </row>
    <row r="114">
      <c r="A114" s="33" t="inlineStr">
        <is>
          <t>Spinach W34</t>
        </is>
      </c>
      <c r="B114" s="33" t="inlineStr">
        <is>
          <t>Spinach</t>
        </is>
      </c>
      <c r="C114" s="45" t="n">
        <v>0</v>
      </c>
      <c r="D114" s="46" t="n">
        <v>0</v>
      </c>
      <c r="AL114" s="47" t="inlineStr">
        <is>
          <t>P</t>
        </is>
      </c>
      <c r="AM114" s="47" t="inlineStr">
        <is>
          <t>G</t>
        </is>
      </c>
      <c r="AN114" s="47" t="inlineStr">
        <is>
          <t>G</t>
        </is>
      </c>
      <c r="AO114" s="47" t="inlineStr">
        <is>
          <t>G</t>
        </is>
      </c>
      <c r="AP114" s="47" t="inlineStr">
        <is>
          <t>G</t>
        </is>
      </c>
      <c r="AQ114" s="47" t="inlineStr">
        <is>
          <t>G</t>
        </is>
      </c>
      <c r="AR114" s="47" t="inlineStr">
        <is>
          <t>H</t>
        </is>
      </c>
      <c r="AS114" s="47" t="inlineStr">
        <is>
          <t>H</t>
        </is>
      </c>
      <c r="BE114" s="48">
        <f>D114*$B$6*IF($R$17="Y",1,0)</f>
        <v/>
      </c>
      <c r="BF114" s="48">
        <f>D114*$I$17</f>
        <v/>
      </c>
      <c r="BG114" s="49">
        <f>MATCH("P",$E114:$BD114,0)</f>
        <v/>
      </c>
      <c r="BH114" s="33" t="inlineStr">
        <is>
          <t>Open field</t>
        </is>
      </c>
      <c r="BI114" s="33">
        <f>$Q$17</f>
        <v/>
      </c>
    </row>
    <row r="115">
      <c r="A115" s="33" t="inlineStr">
        <is>
          <t>Spinach W35</t>
        </is>
      </c>
      <c r="B115" s="33" t="inlineStr">
        <is>
          <t>Spinach</t>
        </is>
      </c>
      <c r="C115" s="45" t="n">
        <v>0</v>
      </c>
      <c r="D115" s="46" t="n">
        <v>0</v>
      </c>
      <c r="AM115" s="47" t="inlineStr">
        <is>
          <t>P</t>
        </is>
      </c>
      <c r="AN115" s="47" t="inlineStr">
        <is>
          <t>G</t>
        </is>
      </c>
      <c r="AO115" s="47" t="inlineStr">
        <is>
          <t>G</t>
        </is>
      </c>
      <c r="AP115" s="47" t="inlineStr">
        <is>
          <t>G</t>
        </is>
      </c>
      <c r="AQ115" s="47" t="inlineStr">
        <is>
          <t>G</t>
        </is>
      </c>
      <c r="AR115" s="47" t="inlineStr">
        <is>
          <t>G</t>
        </is>
      </c>
      <c r="AS115" s="47" t="inlineStr">
        <is>
          <t>H</t>
        </is>
      </c>
      <c r="AT115" s="47" t="inlineStr">
        <is>
          <t>H</t>
        </is>
      </c>
      <c r="BE115" s="48">
        <f>D115*$B$6*IF($R$17="Y",1,0)</f>
        <v/>
      </c>
      <c r="BF115" s="48">
        <f>D115*$I$17</f>
        <v/>
      </c>
      <c r="BG115" s="49">
        <f>MATCH("P",$E115:$BD115,0)</f>
        <v/>
      </c>
      <c r="BH115" s="33" t="inlineStr">
        <is>
          <t>Open field</t>
        </is>
      </c>
      <c r="BI115" s="33">
        <f>$Q$17</f>
        <v/>
      </c>
    </row>
    <row r="116">
      <c r="A116" s="33" t="inlineStr">
        <is>
          <t>Spinach W36</t>
        </is>
      </c>
      <c r="B116" s="33" t="inlineStr">
        <is>
          <t>Spinach</t>
        </is>
      </c>
      <c r="C116" s="45" t="n">
        <v>0</v>
      </c>
      <c r="D116" s="46" t="n">
        <v>0</v>
      </c>
      <c r="AN116" s="47" t="inlineStr">
        <is>
          <t>P</t>
        </is>
      </c>
      <c r="AO116" s="47" t="inlineStr">
        <is>
          <t>G</t>
        </is>
      </c>
      <c r="AP116" s="47" t="inlineStr">
        <is>
          <t>G</t>
        </is>
      </c>
      <c r="AQ116" s="47" t="inlineStr">
        <is>
          <t>G</t>
        </is>
      </c>
      <c r="AR116" s="47" t="inlineStr">
        <is>
          <t>G</t>
        </is>
      </c>
      <c r="AS116" s="47" t="inlineStr">
        <is>
          <t>G</t>
        </is>
      </c>
      <c r="AT116" s="47" t="inlineStr">
        <is>
          <t>H</t>
        </is>
      </c>
      <c r="AU116" s="47" t="inlineStr">
        <is>
          <t>H</t>
        </is>
      </c>
      <c r="BE116" s="48">
        <f>D116*$B$6*IF($R$17="Y",1,0)</f>
        <v/>
      </c>
      <c r="BF116" s="48">
        <f>D116*$I$17</f>
        <v/>
      </c>
      <c r="BG116" s="49">
        <f>MATCH("P",$E116:$BD116,0)</f>
        <v/>
      </c>
      <c r="BH116" s="33" t="inlineStr">
        <is>
          <t>Open field</t>
        </is>
      </c>
      <c r="BI116" s="33">
        <f>$Q$17</f>
        <v/>
      </c>
    </row>
    <row r="117">
      <c r="A117" s="33" t="inlineStr">
        <is>
          <t>Spinach W37</t>
        </is>
      </c>
      <c r="B117" s="33" t="inlineStr">
        <is>
          <t>Spinach</t>
        </is>
      </c>
      <c r="C117" s="45" t="n">
        <v>0</v>
      </c>
      <c r="D117" s="46" t="n">
        <v>0</v>
      </c>
      <c r="AO117" s="47" t="inlineStr">
        <is>
          <t>P</t>
        </is>
      </c>
      <c r="AP117" s="47" t="inlineStr">
        <is>
          <t>G</t>
        </is>
      </c>
      <c r="AQ117" s="47" t="inlineStr">
        <is>
          <t>G</t>
        </is>
      </c>
      <c r="AR117" s="47" t="inlineStr">
        <is>
          <t>G</t>
        </is>
      </c>
      <c r="AS117" s="47" t="inlineStr">
        <is>
          <t>G</t>
        </is>
      </c>
      <c r="AT117" s="47" t="inlineStr">
        <is>
          <t>G</t>
        </is>
      </c>
      <c r="AU117" s="47" t="inlineStr">
        <is>
          <t>H</t>
        </is>
      </c>
      <c r="AV117" s="47" t="inlineStr">
        <is>
          <t>H</t>
        </is>
      </c>
      <c r="BE117" s="48">
        <f>D117*$B$6*IF($R$17="Y",1,0)</f>
        <v/>
      </c>
      <c r="BF117" s="48">
        <f>D117*$I$17</f>
        <v/>
      </c>
      <c r="BG117" s="49">
        <f>MATCH("P",$E117:$BD117,0)</f>
        <v/>
      </c>
      <c r="BH117" s="33" t="inlineStr">
        <is>
          <t>Open field</t>
        </is>
      </c>
      <c r="BI117" s="33">
        <f>$Q$17</f>
        <v/>
      </c>
    </row>
    <row r="118">
      <c r="A118" s="33" t="inlineStr">
        <is>
          <t>Spinach W38</t>
        </is>
      </c>
      <c r="B118" s="33" t="inlineStr">
        <is>
          <t>Spinach</t>
        </is>
      </c>
      <c r="C118" s="45" t="n">
        <v>0</v>
      </c>
      <c r="D118" s="46" t="n">
        <v>0</v>
      </c>
      <c r="AP118" s="47" t="inlineStr">
        <is>
          <t>P</t>
        </is>
      </c>
      <c r="AQ118" s="47" t="inlineStr">
        <is>
          <t>G</t>
        </is>
      </c>
      <c r="AR118" s="47" t="inlineStr">
        <is>
          <t>G</t>
        </is>
      </c>
      <c r="AS118" s="47" t="inlineStr">
        <is>
          <t>G</t>
        </is>
      </c>
      <c r="AT118" s="47" t="inlineStr">
        <is>
          <t>G</t>
        </is>
      </c>
      <c r="AU118" s="47" t="inlineStr">
        <is>
          <t>G</t>
        </is>
      </c>
      <c r="AV118" s="47" t="inlineStr">
        <is>
          <t>H</t>
        </is>
      </c>
      <c r="AW118" s="47" t="inlineStr">
        <is>
          <t>H</t>
        </is>
      </c>
      <c r="BE118" s="48">
        <f>D118*$B$6*IF($R$17="Y",1,0)</f>
        <v/>
      </c>
      <c r="BF118" s="48">
        <f>D118*$I$17</f>
        <v/>
      </c>
      <c r="BG118" s="49">
        <f>MATCH("P",$E118:$BD118,0)</f>
        <v/>
      </c>
      <c r="BH118" s="33" t="inlineStr">
        <is>
          <t>Open field</t>
        </is>
      </c>
      <c r="BI118" s="33">
        <f>$Q$17</f>
        <v/>
      </c>
    </row>
    <row r="119">
      <c r="A119" s="33" t="inlineStr">
        <is>
          <t>Spinach W39</t>
        </is>
      </c>
      <c r="B119" s="33" t="inlineStr">
        <is>
          <t>Spinach</t>
        </is>
      </c>
      <c r="C119" s="45" t="n">
        <v>0</v>
      </c>
      <c r="D119" s="46" t="n">
        <v>0</v>
      </c>
      <c r="AQ119" s="47" t="inlineStr">
        <is>
          <t>P</t>
        </is>
      </c>
      <c r="AR119" s="47" t="inlineStr">
        <is>
          <t>G</t>
        </is>
      </c>
      <c r="AS119" s="47" t="inlineStr">
        <is>
          <t>G</t>
        </is>
      </c>
      <c r="AT119" s="47" t="inlineStr">
        <is>
          <t>G</t>
        </is>
      </c>
      <c r="AU119" s="47" t="inlineStr">
        <is>
          <t>G</t>
        </is>
      </c>
      <c r="AV119" s="47" t="inlineStr">
        <is>
          <t>G</t>
        </is>
      </c>
      <c r="AW119" s="47" t="inlineStr">
        <is>
          <t>H</t>
        </is>
      </c>
      <c r="AX119" s="47" t="inlineStr">
        <is>
          <t>H</t>
        </is>
      </c>
      <c r="BE119" s="48">
        <f>D119*$B$6*IF($R$17="Y",1,0)</f>
        <v/>
      </c>
      <c r="BF119" s="48">
        <f>D119*$I$17</f>
        <v/>
      </c>
      <c r="BG119" s="49">
        <f>MATCH("P",$E119:$BD119,0)</f>
        <v/>
      </c>
      <c r="BH119" s="33" t="inlineStr">
        <is>
          <t>Open field</t>
        </is>
      </c>
      <c r="BI119" s="33">
        <f>$Q$17</f>
        <v/>
      </c>
    </row>
    <row r="120">
      <c r="A120" s="33" t="inlineStr">
        <is>
          <t>Spinach W40</t>
        </is>
      </c>
      <c r="B120" s="33" t="inlineStr">
        <is>
          <t>Spinach</t>
        </is>
      </c>
      <c r="C120" s="45" t="n">
        <v>0</v>
      </c>
      <c r="D120" s="46" t="n">
        <v>0</v>
      </c>
      <c r="AR120" s="47" t="inlineStr">
        <is>
          <t>P</t>
        </is>
      </c>
      <c r="AS120" s="47" t="inlineStr">
        <is>
          <t>G</t>
        </is>
      </c>
      <c r="AT120" s="47" t="inlineStr">
        <is>
          <t>G</t>
        </is>
      </c>
      <c r="AU120" s="47" t="inlineStr">
        <is>
          <t>G</t>
        </is>
      </c>
      <c r="AV120" s="47" t="inlineStr">
        <is>
          <t>G</t>
        </is>
      </c>
      <c r="AW120" s="47" t="inlineStr">
        <is>
          <t>G</t>
        </is>
      </c>
      <c r="AX120" s="47" t="inlineStr">
        <is>
          <t>H</t>
        </is>
      </c>
      <c r="AY120" s="47" t="inlineStr">
        <is>
          <t>H</t>
        </is>
      </c>
      <c r="BE120" s="48">
        <f>D120*$B$6*IF($R$17="Y",1,0)</f>
        <v/>
      </c>
      <c r="BF120" s="48">
        <f>D120*$I$17</f>
        <v/>
      </c>
      <c r="BG120" s="49">
        <f>MATCH("P",$E120:$BD120,0)</f>
        <v/>
      </c>
      <c r="BH120" s="33" t="inlineStr">
        <is>
          <t>Open field</t>
        </is>
      </c>
      <c r="BI120" s="33">
        <f>$Q$17</f>
        <v/>
      </c>
    </row>
    <row r="121">
      <c r="A121" s="33" t="inlineStr">
        <is>
          <t>Spinach W41</t>
        </is>
      </c>
      <c r="B121" s="33" t="inlineStr">
        <is>
          <t>Spinach</t>
        </is>
      </c>
      <c r="C121" s="45" t="n">
        <v>0</v>
      </c>
      <c r="D121" s="46" t="n">
        <v>0</v>
      </c>
      <c r="AS121" s="47" t="inlineStr">
        <is>
          <t>P</t>
        </is>
      </c>
      <c r="AT121" s="47" t="inlineStr">
        <is>
          <t>G</t>
        </is>
      </c>
      <c r="AU121" s="47" t="inlineStr">
        <is>
          <t>G</t>
        </is>
      </c>
      <c r="AV121" s="47" t="inlineStr">
        <is>
          <t>G</t>
        </is>
      </c>
      <c r="AW121" s="47" t="inlineStr">
        <is>
          <t>G</t>
        </is>
      </c>
      <c r="AX121" s="47" t="inlineStr">
        <is>
          <t>G</t>
        </is>
      </c>
      <c r="AY121" s="47" t="inlineStr">
        <is>
          <t>H</t>
        </is>
      </c>
      <c r="AZ121" s="47" t="inlineStr">
        <is>
          <t>H</t>
        </is>
      </c>
      <c r="BE121" s="48">
        <f>D121*$B$6*IF($R$17="Y",1,0)</f>
        <v/>
      </c>
      <c r="BF121" s="48">
        <f>D121*$I$17</f>
        <v/>
      </c>
      <c r="BG121" s="49">
        <f>MATCH("P",$E121:$BD121,0)</f>
        <v/>
      </c>
      <c r="BH121" s="33" t="inlineStr">
        <is>
          <t>Open field</t>
        </is>
      </c>
      <c r="BI121" s="33">
        <f>$Q$17</f>
        <v/>
      </c>
    </row>
    <row r="122">
      <c r="A122" s="33" t="inlineStr">
        <is>
          <t>Spinach W42</t>
        </is>
      </c>
      <c r="B122" s="33" t="inlineStr">
        <is>
          <t>Spinach</t>
        </is>
      </c>
      <c r="C122" s="45" t="n">
        <v>0</v>
      </c>
      <c r="D122" s="46" t="n">
        <v>0</v>
      </c>
      <c r="AT122" s="47" t="inlineStr">
        <is>
          <t>P</t>
        </is>
      </c>
      <c r="AU122" s="47" t="inlineStr">
        <is>
          <t>G</t>
        </is>
      </c>
      <c r="AV122" s="47" t="inlineStr">
        <is>
          <t>G</t>
        </is>
      </c>
      <c r="AW122" s="47" t="inlineStr">
        <is>
          <t>G</t>
        </is>
      </c>
      <c r="AX122" s="47" t="inlineStr">
        <is>
          <t>G</t>
        </is>
      </c>
      <c r="AY122" s="47" t="inlineStr">
        <is>
          <t>G</t>
        </is>
      </c>
      <c r="AZ122" s="47" t="inlineStr">
        <is>
          <t>H</t>
        </is>
      </c>
      <c r="BA122" s="47" t="inlineStr">
        <is>
          <t>H</t>
        </is>
      </c>
      <c r="BE122" s="48">
        <f>D122*$B$6*IF($R$17="Y",1,0)</f>
        <v/>
      </c>
      <c r="BF122" s="48">
        <f>D122*$I$17</f>
        <v/>
      </c>
      <c r="BG122" s="49">
        <f>MATCH("P",$E122:$BD122,0)</f>
        <v/>
      </c>
      <c r="BH122" s="33" t="inlineStr">
        <is>
          <t>Open field</t>
        </is>
      </c>
      <c r="BI122" s="33">
        <f>$Q$17</f>
        <v/>
      </c>
    </row>
    <row r="123">
      <c r="A123" s="33" t="inlineStr">
        <is>
          <t>Spinach W43</t>
        </is>
      </c>
      <c r="B123" s="33" t="inlineStr">
        <is>
          <t>Spinach</t>
        </is>
      </c>
      <c r="C123" s="45" t="n">
        <v>0</v>
      </c>
      <c r="D123" s="46" t="n">
        <v>0</v>
      </c>
      <c r="AU123" s="47" t="inlineStr">
        <is>
          <t>P</t>
        </is>
      </c>
      <c r="AV123" s="47" t="inlineStr">
        <is>
          <t>G</t>
        </is>
      </c>
      <c r="AW123" s="47" t="inlineStr">
        <is>
          <t>G</t>
        </is>
      </c>
      <c r="AX123" s="47" t="inlineStr">
        <is>
          <t>G</t>
        </is>
      </c>
      <c r="AY123" s="47" t="inlineStr">
        <is>
          <t>G</t>
        </is>
      </c>
      <c r="AZ123" s="47" t="inlineStr">
        <is>
          <t>G</t>
        </is>
      </c>
      <c r="BA123" s="47" t="inlineStr">
        <is>
          <t>H</t>
        </is>
      </c>
      <c r="BB123" s="47" t="inlineStr">
        <is>
          <t>H</t>
        </is>
      </c>
      <c r="BE123" s="48">
        <f>D123*$B$6*IF($R$17="Y",1,0)</f>
        <v/>
      </c>
      <c r="BF123" s="48">
        <f>D123*$I$17</f>
        <v/>
      </c>
      <c r="BG123" s="49">
        <f>MATCH("P",$E123:$BD123,0)</f>
        <v/>
      </c>
      <c r="BH123" s="33" t="inlineStr">
        <is>
          <t>Open field</t>
        </is>
      </c>
      <c r="BI123" s="33">
        <f>$Q$17</f>
        <v/>
      </c>
    </row>
    <row r="124">
      <c r="A124" s="33" t="inlineStr">
        <is>
          <t>Spinach W44</t>
        </is>
      </c>
      <c r="B124" s="33" t="inlineStr">
        <is>
          <t>Spinach</t>
        </is>
      </c>
      <c r="C124" s="45" t="n">
        <v>0</v>
      </c>
      <c r="D124" s="46" t="n">
        <v>0</v>
      </c>
      <c r="AV124" s="47" t="inlineStr">
        <is>
          <t>P</t>
        </is>
      </c>
      <c r="AW124" s="47" t="inlineStr">
        <is>
          <t>G</t>
        </is>
      </c>
      <c r="AX124" s="47" t="inlineStr">
        <is>
          <t>G</t>
        </is>
      </c>
      <c r="AY124" s="47" t="inlineStr">
        <is>
          <t>G</t>
        </is>
      </c>
      <c r="AZ124" s="47" t="inlineStr">
        <is>
          <t>G</t>
        </is>
      </c>
      <c r="BA124" s="47" t="inlineStr">
        <is>
          <t>G</t>
        </is>
      </c>
      <c r="BB124" s="47" t="inlineStr">
        <is>
          <t>H</t>
        </is>
      </c>
      <c r="BC124" s="47" t="inlineStr">
        <is>
          <t>H</t>
        </is>
      </c>
      <c r="BE124" s="48">
        <f>D124*$B$6*IF($R$17="Y",1,0)</f>
        <v/>
      </c>
      <c r="BF124" s="48">
        <f>D124*$I$17</f>
        <v/>
      </c>
      <c r="BG124" s="49">
        <f>MATCH("P",$E124:$BD124,0)</f>
        <v/>
      </c>
      <c r="BH124" s="33" t="inlineStr">
        <is>
          <t>Open field</t>
        </is>
      </c>
      <c r="BI124" s="33">
        <f>$Q$17</f>
        <v/>
      </c>
    </row>
    <row r="125">
      <c r="A125" s="33" t="inlineStr">
        <is>
          <t>Spinach W45</t>
        </is>
      </c>
      <c r="B125" s="33" t="inlineStr">
        <is>
          <t>Spinach</t>
        </is>
      </c>
      <c r="C125" s="45" t="n">
        <v>0</v>
      </c>
      <c r="D125" s="46" t="n">
        <v>0</v>
      </c>
      <c r="AW125" s="47" t="inlineStr">
        <is>
          <t>P</t>
        </is>
      </c>
      <c r="AX125" s="47" t="inlineStr">
        <is>
          <t>G</t>
        </is>
      </c>
      <c r="AY125" s="47" t="inlineStr">
        <is>
          <t>G</t>
        </is>
      </c>
      <c r="AZ125" s="47" t="inlineStr">
        <is>
          <t>G</t>
        </is>
      </c>
      <c r="BA125" s="47" t="inlineStr">
        <is>
          <t>G</t>
        </is>
      </c>
      <c r="BB125" s="47" t="inlineStr">
        <is>
          <t>G</t>
        </is>
      </c>
      <c r="BC125" s="47" t="inlineStr">
        <is>
          <t>H</t>
        </is>
      </c>
      <c r="BD125" s="47" t="inlineStr">
        <is>
          <t>H</t>
        </is>
      </c>
      <c r="BE125" s="48">
        <f>D125*$B$6*IF($R$17="Y",1,0)</f>
        <v/>
      </c>
      <c r="BF125" s="48">
        <f>D125*$I$17</f>
        <v/>
      </c>
      <c r="BG125" s="49">
        <f>MATCH("P",$E125:$BD125,0)</f>
        <v/>
      </c>
      <c r="BH125" s="33" t="inlineStr">
        <is>
          <t>Open field</t>
        </is>
      </c>
      <c r="BI125" s="33">
        <f>$Q$17</f>
        <v/>
      </c>
    </row>
    <row r="126">
      <c r="A126" s="33" t="inlineStr">
        <is>
          <t>Kale W05 F</t>
        </is>
      </c>
      <c r="B126" s="33" t="inlineStr">
        <is>
          <t>Kale</t>
        </is>
      </c>
      <c r="C126" s="45" t="n">
        <v>0</v>
      </c>
      <c r="D126" s="46" t="n">
        <v>0</v>
      </c>
      <c r="I126" s="47" t="inlineStr">
        <is>
          <t>P</t>
        </is>
      </c>
      <c r="J126" s="47" t="inlineStr">
        <is>
          <t>G</t>
        </is>
      </c>
      <c r="K126" s="47" t="inlineStr">
        <is>
          <t>G</t>
        </is>
      </c>
      <c r="L126" s="47" t="inlineStr">
        <is>
          <t>G</t>
        </is>
      </c>
      <c r="M126" s="47" t="inlineStr">
        <is>
          <t>G</t>
        </is>
      </c>
      <c r="N126" s="47" t="inlineStr">
        <is>
          <t>G</t>
        </is>
      </c>
      <c r="O126" s="47" t="inlineStr">
        <is>
          <t>G</t>
        </is>
      </c>
      <c r="P126" s="47" t="inlineStr">
        <is>
          <t>G</t>
        </is>
      </c>
      <c r="Q126" s="47" t="inlineStr">
        <is>
          <t>G</t>
        </is>
      </c>
      <c r="R126" s="47" t="inlineStr">
        <is>
          <t>H</t>
        </is>
      </c>
      <c r="S126" s="47" t="inlineStr">
        <is>
          <t>H</t>
        </is>
      </c>
      <c r="T126" s="47" t="inlineStr">
        <is>
          <t>H</t>
        </is>
      </c>
      <c r="U126" s="47" t="inlineStr">
        <is>
          <t>H</t>
        </is>
      </c>
      <c r="BE126" s="48">
        <f>D126*$B$6*IF($R$18="Y",1,0)</f>
        <v/>
      </c>
      <c r="BF126" s="48">
        <f>D126*$I$18</f>
        <v/>
      </c>
      <c r="BG126" s="49">
        <f>MATCH("P",$E126:$BD126,0)</f>
        <v/>
      </c>
      <c r="BH126" s="33" t="inlineStr">
        <is>
          <t>Open field</t>
        </is>
      </c>
      <c r="BI126" s="33">
        <f>$Q$18</f>
        <v/>
      </c>
    </row>
    <row r="127">
      <c r="A127" s="33" t="inlineStr">
        <is>
          <t>Kale W05 T</t>
        </is>
      </c>
      <c r="B127" s="33" t="inlineStr">
        <is>
          <t>Kale</t>
        </is>
      </c>
      <c r="C127" s="45" t="n">
        <v>0</v>
      </c>
      <c r="D127" s="46" t="n">
        <v>0</v>
      </c>
      <c r="I127" s="47" t="inlineStr">
        <is>
          <t>P</t>
        </is>
      </c>
      <c r="J127" s="47" t="inlineStr">
        <is>
          <t>G</t>
        </is>
      </c>
      <c r="K127" s="47" t="inlineStr">
        <is>
          <t>G</t>
        </is>
      </c>
      <c r="L127" s="47" t="inlineStr">
        <is>
          <t>G</t>
        </is>
      </c>
      <c r="M127" s="47" t="inlineStr">
        <is>
          <t>G</t>
        </is>
      </c>
      <c r="N127" s="47" t="inlineStr">
        <is>
          <t>G</t>
        </is>
      </c>
      <c r="O127" s="47" t="inlineStr">
        <is>
          <t>G</t>
        </is>
      </c>
      <c r="P127" s="47" t="inlineStr">
        <is>
          <t>G</t>
        </is>
      </c>
      <c r="Q127" s="47" t="inlineStr">
        <is>
          <t>G</t>
        </is>
      </c>
      <c r="R127" s="47" t="inlineStr">
        <is>
          <t>H</t>
        </is>
      </c>
      <c r="S127" s="47" t="inlineStr">
        <is>
          <t>H</t>
        </is>
      </c>
      <c r="T127" s="47" t="inlineStr">
        <is>
          <t>H</t>
        </is>
      </c>
      <c r="U127" s="47" t="inlineStr">
        <is>
          <t>H</t>
        </is>
      </c>
      <c r="BE127" s="48">
        <f>D127*$B$6*IF($S$18="Y",1,0)</f>
        <v/>
      </c>
      <c r="BF127" s="48">
        <f>D127*$I$18</f>
        <v/>
      </c>
      <c r="BG127" s="49">
        <f>MATCH("P",$E127:$BD127,0)</f>
        <v/>
      </c>
      <c r="BH127" s="33" t="inlineStr">
        <is>
          <t>High tunnel</t>
        </is>
      </c>
      <c r="BI127" s="33">
        <f>$Q$18</f>
        <v/>
      </c>
    </row>
    <row r="128">
      <c r="A128" s="33" t="inlineStr">
        <is>
          <t>Kale W06 F</t>
        </is>
      </c>
      <c r="B128" s="33" t="inlineStr">
        <is>
          <t>Kale</t>
        </is>
      </c>
      <c r="C128" s="45" t="n">
        <v>0</v>
      </c>
      <c r="D128" s="46" t="n">
        <v>0</v>
      </c>
      <c r="J128" s="47" t="inlineStr">
        <is>
          <t>P</t>
        </is>
      </c>
      <c r="K128" s="47" t="inlineStr">
        <is>
          <t>G</t>
        </is>
      </c>
      <c r="L128" s="47" t="inlineStr">
        <is>
          <t>G</t>
        </is>
      </c>
      <c r="M128" s="47" t="inlineStr">
        <is>
          <t>G</t>
        </is>
      </c>
      <c r="N128" s="47" t="inlineStr">
        <is>
          <t>G</t>
        </is>
      </c>
      <c r="O128" s="47" t="inlineStr">
        <is>
          <t>G</t>
        </is>
      </c>
      <c r="P128" s="47" t="inlineStr">
        <is>
          <t>G</t>
        </is>
      </c>
      <c r="Q128" s="47" t="inlineStr">
        <is>
          <t>G</t>
        </is>
      </c>
      <c r="R128" s="47" t="inlineStr">
        <is>
          <t>G</t>
        </is>
      </c>
      <c r="S128" s="47" t="inlineStr">
        <is>
          <t>H</t>
        </is>
      </c>
      <c r="T128" s="47" t="inlineStr">
        <is>
          <t>H</t>
        </is>
      </c>
      <c r="U128" s="47" t="inlineStr">
        <is>
          <t>H</t>
        </is>
      </c>
      <c r="V128" s="47" t="inlineStr">
        <is>
          <t>H</t>
        </is>
      </c>
      <c r="BE128" s="48">
        <f>D128*$B$6*IF($R$18="Y",1,0)</f>
        <v/>
      </c>
      <c r="BF128" s="48">
        <f>D128*$I$18</f>
        <v/>
      </c>
      <c r="BG128" s="49">
        <f>MATCH("P",$E128:$BD128,0)</f>
        <v/>
      </c>
      <c r="BH128" s="33" t="inlineStr">
        <is>
          <t>Open field</t>
        </is>
      </c>
      <c r="BI128" s="33">
        <f>$Q$18</f>
        <v/>
      </c>
    </row>
    <row r="129">
      <c r="A129" s="33" t="inlineStr">
        <is>
          <t>Kale W06 T</t>
        </is>
      </c>
      <c r="B129" s="33" t="inlineStr">
        <is>
          <t>Kale</t>
        </is>
      </c>
      <c r="C129" s="45" t="n">
        <v>0</v>
      </c>
      <c r="D129" s="46" t="n">
        <v>0</v>
      </c>
      <c r="J129" s="47" t="inlineStr">
        <is>
          <t>P</t>
        </is>
      </c>
      <c r="K129" s="47" t="inlineStr">
        <is>
          <t>G</t>
        </is>
      </c>
      <c r="L129" s="47" t="inlineStr">
        <is>
          <t>G</t>
        </is>
      </c>
      <c r="M129" s="47" t="inlineStr">
        <is>
          <t>G</t>
        </is>
      </c>
      <c r="N129" s="47" t="inlineStr">
        <is>
          <t>G</t>
        </is>
      </c>
      <c r="O129" s="47" t="inlineStr">
        <is>
          <t>G</t>
        </is>
      </c>
      <c r="P129" s="47" t="inlineStr">
        <is>
          <t>G</t>
        </is>
      </c>
      <c r="Q129" s="47" t="inlineStr">
        <is>
          <t>G</t>
        </is>
      </c>
      <c r="R129" s="47" t="inlineStr">
        <is>
          <t>G</t>
        </is>
      </c>
      <c r="S129" s="47" t="inlineStr">
        <is>
          <t>H</t>
        </is>
      </c>
      <c r="T129" s="47" t="inlineStr">
        <is>
          <t>H</t>
        </is>
      </c>
      <c r="U129" s="47" t="inlineStr">
        <is>
          <t>H</t>
        </is>
      </c>
      <c r="V129" s="47" t="inlineStr">
        <is>
          <t>H</t>
        </is>
      </c>
      <c r="BE129" s="48">
        <f>D129*$B$6*IF($S$18="Y",1,0)</f>
        <v/>
      </c>
      <c r="BF129" s="48">
        <f>D129*$I$18</f>
        <v/>
      </c>
      <c r="BG129" s="49">
        <f>MATCH("P",$E129:$BD129,0)</f>
        <v/>
      </c>
      <c r="BH129" s="33" t="inlineStr">
        <is>
          <t>High tunnel</t>
        </is>
      </c>
      <c r="BI129" s="33">
        <f>$Q$18</f>
        <v/>
      </c>
    </row>
    <row r="130">
      <c r="A130" s="33" t="inlineStr">
        <is>
          <t>Kale W07 F</t>
        </is>
      </c>
      <c r="B130" s="33" t="inlineStr">
        <is>
          <t>Kale</t>
        </is>
      </c>
      <c r="C130" s="45" t="n">
        <v>0</v>
      </c>
      <c r="D130" s="46" t="n">
        <v>0</v>
      </c>
      <c r="K130" s="47" t="inlineStr">
        <is>
          <t>P</t>
        </is>
      </c>
      <c r="L130" s="47" t="inlineStr">
        <is>
          <t>G</t>
        </is>
      </c>
      <c r="M130" s="47" t="inlineStr">
        <is>
          <t>G</t>
        </is>
      </c>
      <c r="N130" s="47" t="inlineStr">
        <is>
          <t>G</t>
        </is>
      </c>
      <c r="O130" s="47" t="inlineStr">
        <is>
          <t>G</t>
        </is>
      </c>
      <c r="P130" s="47" t="inlineStr">
        <is>
          <t>G</t>
        </is>
      </c>
      <c r="Q130" s="47" t="inlineStr">
        <is>
          <t>G</t>
        </is>
      </c>
      <c r="R130" s="47" t="inlineStr">
        <is>
          <t>G</t>
        </is>
      </c>
      <c r="S130" s="47" t="inlineStr">
        <is>
          <t>G</t>
        </is>
      </c>
      <c r="T130" s="47" t="inlineStr">
        <is>
          <t>H</t>
        </is>
      </c>
      <c r="U130" s="47" t="inlineStr">
        <is>
          <t>H</t>
        </is>
      </c>
      <c r="V130" s="47" t="inlineStr">
        <is>
          <t>H</t>
        </is>
      </c>
      <c r="W130" s="47" t="inlineStr">
        <is>
          <t>H</t>
        </is>
      </c>
      <c r="BE130" s="48">
        <f>D130*$B$6*IF($R$18="Y",1,0)</f>
        <v/>
      </c>
      <c r="BF130" s="48">
        <f>D130*$I$18</f>
        <v/>
      </c>
      <c r="BG130" s="49">
        <f>MATCH("P",$E130:$BD130,0)</f>
        <v/>
      </c>
      <c r="BH130" s="33" t="inlineStr">
        <is>
          <t>Open field</t>
        </is>
      </c>
      <c r="BI130" s="33">
        <f>$Q$18</f>
        <v/>
      </c>
    </row>
    <row r="131">
      <c r="A131" s="33" t="inlineStr">
        <is>
          <t>Kale W07 T</t>
        </is>
      </c>
      <c r="B131" s="33" t="inlineStr">
        <is>
          <t>Kale</t>
        </is>
      </c>
      <c r="C131" s="45" t="n">
        <v>0</v>
      </c>
      <c r="D131" s="46" t="n">
        <v>0</v>
      </c>
      <c r="K131" s="47" t="inlineStr">
        <is>
          <t>P</t>
        </is>
      </c>
      <c r="L131" s="47" t="inlineStr">
        <is>
          <t>G</t>
        </is>
      </c>
      <c r="M131" s="47" t="inlineStr">
        <is>
          <t>G</t>
        </is>
      </c>
      <c r="N131" s="47" t="inlineStr">
        <is>
          <t>G</t>
        </is>
      </c>
      <c r="O131" s="47" t="inlineStr">
        <is>
          <t>G</t>
        </is>
      </c>
      <c r="P131" s="47" t="inlineStr">
        <is>
          <t>G</t>
        </is>
      </c>
      <c r="Q131" s="47" t="inlineStr">
        <is>
          <t>G</t>
        </is>
      </c>
      <c r="R131" s="47" t="inlineStr">
        <is>
          <t>G</t>
        </is>
      </c>
      <c r="S131" s="47" t="inlineStr">
        <is>
          <t>G</t>
        </is>
      </c>
      <c r="T131" s="47" t="inlineStr">
        <is>
          <t>H</t>
        </is>
      </c>
      <c r="U131" s="47" t="inlineStr">
        <is>
          <t>H</t>
        </is>
      </c>
      <c r="V131" s="47" t="inlineStr">
        <is>
          <t>H</t>
        </is>
      </c>
      <c r="W131" s="47" t="inlineStr">
        <is>
          <t>H</t>
        </is>
      </c>
      <c r="BE131" s="48">
        <f>D131*$B$6*IF($S$18="Y",1,0)</f>
        <v/>
      </c>
      <c r="BF131" s="48">
        <f>D131*$I$18</f>
        <v/>
      </c>
      <c r="BG131" s="49">
        <f>MATCH("P",$E131:$BD131,0)</f>
        <v/>
      </c>
      <c r="BH131" s="33" t="inlineStr">
        <is>
          <t>High tunnel</t>
        </is>
      </c>
      <c r="BI131" s="33">
        <f>$Q$18</f>
        <v/>
      </c>
    </row>
    <row r="132">
      <c r="A132" s="33" t="inlineStr">
        <is>
          <t>Kale W08 F</t>
        </is>
      </c>
      <c r="B132" s="33" t="inlineStr">
        <is>
          <t>Kale</t>
        </is>
      </c>
      <c r="C132" s="45" t="n">
        <v>0</v>
      </c>
      <c r="D132" s="46" t="n">
        <v>0</v>
      </c>
      <c r="L132" s="47" t="inlineStr">
        <is>
          <t>P</t>
        </is>
      </c>
      <c r="M132" s="47" t="inlineStr">
        <is>
          <t>G</t>
        </is>
      </c>
      <c r="N132" s="47" t="inlineStr">
        <is>
          <t>G</t>
        </is>
      </c>
      <c r="O132" s="47" t="inlineStr">
        <is>
          <t>G</t>
        </is>
      </c>
      <c r="P132" s="47" t="inlineStr">
        <is>
          <t>G</t>
        </is>
      </c>
      <c r="Q132" s="47" t="inlineStr">
        <is>
          <t>G</t>
        </is>
      </c>
      <c r="R132" s="47" t="inlineStr">
        <is>
          <t>G</t>
        </is>
      </c>
      <c r="S132" s="47" t="inlineStr">
        <is>
          <t>G</t>
        </is>
      </c>
      <c r="T132" s="47" t="inlineStr">
        <is>
          <t>G</t>
        </is>
      </c>
      <c r="U132" s="47" t="inlineStr">
        <is>
          <t>H</t>
        </is>
      </c>
      <c r="V132" s="47" t="inlineStr">
        <is>
          <t>H</t>
        </is>
      </c>
      <c r="W132" s="47" t="inlineStr">
        <is>
          <t>H</t>
        </is>
      </c>
      <c r="X132" s="47" t="inlineStr">
        <is>
          <t>H</t>
        </is>
      </c>
      <c r="BE132" s="48">
        <f>D132*$B$6*IF($R$18="Y",1,0)</f>
        <v/>
      </c>
      <c r="BF132" s="48">
        <f>D132*$I$18</f>
        <v/>
      </c>
      <c r="BG132" s="49">
        <f>MATCH("P",$E132:$BD132,0)</f>
        <v/>
      </c>
      <c r="BH132" s="33" t="inlineStr">
        <is>
          <t>Open field</t>
        </is>
      </c>
      <c r="BI132" s="33">
        <f>$Q$18</f>
        <v/>
      </c>
    </row>
    <row r="133">
      <c r="A133" s="33" t="inlineStr">
        <is>
          <t>Kale W08 T</t>
        </is>
      </c>
      <c r="B133" s="33" t="inlineStr">
        <is>
          <t>Kale</t>
        </is>
      </c>
      <c r="C133" s="45" t="n">
        <v>0</v>
      </c>
      <c r="D133" s="46" t="n">
        <v>0</v>
      </c>
      <c r="L133" s="47" t="inlineStr">
        <is>
          <t>P</t>
        </is>
      </c>
      <c r="M133" s="47" t="inlineStr">
        <is>
          <t>G</t>
        </is>
      </c>
      <c r="N133" s="47" t="inlineStr">
        <is>
          <t>G</t>
        </is>
      </c>
      <c r="O133" s="47" t="inlineStr">
        <is>
          <t>G</t>
        </is>
      </c>
      <c r="P133" s="47" t="inlineStr">
        <is>
          <t>G</t>
        </is>
      </c>
      <c r="Q133" s="47" t="inlineStr">
        <is>
          <t>G</t>
        </is>
      </c>
      <c r="R133" s="47" t="inlineStr">
        <is>
          <t>G</t>
        </is>
      </c>
      <c r="S133" s="47" t="inlineStr">
        <is>
          <t>G</t>
        </is>
      </c>
      <c r="T133" s="47" t="inlineStr">
        <is>
          <t>G</t>
        </is>
      </c>
      <c r="U133" s="47" t="inlineStr">
        <is>
          <t>H</t>
        </is>
      </c>
      <c r="V133" s="47" t="inlineStr">
        <is>
          <t>H</t>
        </is>
      </c>
      <c r="W133" s="47" t="inlineStr">
        <is>
          <t>H</t>
        </is>
      </c>
      <c r="X133" s="47" t="inlineStr">
        <is>
          <t>H</t>
        </is>
      </c>
      <c r="BE133" s="48">
        <f>D133*$B$6*IF($S$18="Y",1,0)</f>
        <v/>
      </c>
      <c r="BF133" s="48">
        <f>D133*$I$18</f>
        <v/>
      </c>
      <c r="BG133" s="49">
        <f>MATCH("P",$E133:$BD133,0)</f>
        <v/>
      </c>
      <c r="BH133" s="33" t="inlineStr">
        <is>
          <t>High tunnel</t>
        </is>
      </c>
      <c r="BI133" s="33">
        <f>$Q$18</f>
        <v/>
      </c>
    </row>
    <row r="134">
      <c r="A134" s="33" t="inlineStr">
        <is>
          <t>Kale W09 F</t>
        </is>
      </c>
      <c r="B134" s="33" t="inlineStr">
        <is>
          <t>Kale</t>
        </is>
      </c>
      <c r="C134" s="45" t="n">
        <v>0</v>
      </c>
      <c r="D134" s="46" t="n">
        <v>0</v>
      </c>
      <c r="M134" s="47" t="inlineStr">
        <is>
          <t>P</t>
        </is>
      </c>
      <c r="N134" s="47" t="inlineStr">
        <is>
          <t>G</t>
        </is>
      </c>
      <c r="O134" s="47" t="inlineStr">
        <is>
          <t>G</t>
        </is>
      </c>
      <c r="P134" s="47" t="inlineStr">
        <is>
          <t>G</t>
        </is>
      </c>
      <c r="Q134" s="47" t="inlineStr">
        <is>
          <t>G</t>
        </is>
      </c>
      <c r="R134" s="47" t="inlineStr">
        <is>
          <t>G</t>
        </is>
      </c>
      <c r="S134" s="47" t="inlineStr">
        <is>
          <t>G</t>
        </is>
      </c>
      <c r="T134" s="47" t="inlineStr">
        <is>
          <t>G</t>
        </is>
      </c>
      <c r="U134" s="47" t="inlineStr">
        <is>
          <t>G</t>
        </is>
      </c>
      <c r="V134" s="47" t="inlineStr">
        <is>
          <t>H</t>
        </is>
      </c>
      <c r="W134" s="47" t="inlineStr">
        <is>
          <t>H</t>
        </is>
      </c>
      <c r="X134" s="47" t="inlineStr">
        <is>
          <t>H</t>
        </is>
      </c>
      <c r="Y134" s="47" t="inlineStr">
        <is>
          <t>H</t>
        </is>
      </c>
      <c r="BE134" s="48">
        <f>D134*$B$6*IF($R$18="Y",1,0)</f>
        <v/>
      </c>
      <c r="BF134" s="48">
        <f>D134*$I$18</f>
        <v/>
      </c>
      <c r="BG134" s="49">
        <f>MATCH("P",$E134:$BD134,0)</f>
        <v/>
      </c>
      <c r="BH134" s="33" t="inlineStr">
        <is>
          <t>Open field</t>
        </is>
      </c>
      <c r="BI134" s="33">
        <f>$Q$18</f>
        <v/>
      </c>
    </row>
    <row r="135">
      <c r="A135" s="33" t="inlineStr">
        <is>
          <t>Kale W09 T</t>
        </is>
      </c>
      <c r="B135" s="33" t="inlineStr">
        <is>
          <t>Kale</t>
        </is>
      </c>
      <c r="C135" s="45" t="n">
        <v>0</v>
      </c>
      <c r="D135" s="46" t="n">
        <v>0</v>
      </c>
      <c r="M135" s="47" t="inlineStr">
        <is>
          <t>P</t>
        </is>
      </c>
      <c r="N135" s="47" t="inlineStr">
        <is>
          <t>G</t>
        </is>
      </c>
      <c r="O135" s="47" t="inlineStr">
        <is>
          <t>G</t>
        </is>
      </c>
      <c r="P135" s="47" t="inlineStr">
        <is>
          <t>G</t>
        </is>
      </c>
      <c r="Q135" s="47" t="inlineStr">
        <is>
          <t>G</t>
        </is>
      </c>
      <c r="R135" s="47" t="inlineStr">
        <is>
          <t>G</t>
        </is>
      </c>
      <c r="S135" s="47" t="inlineStr">
        <is>
          <t>G</t>
        </is>
      </c>
      <c r="T135" s="47" t="inlineStr">
        <is>
          <t>G</t>
        </is>
      </c>
      <c r="U135" s="47" t="inlineStr">
        <is>
          <t>G</t>
        </is>
      </c>
      <c r="V135" s="47" t="inlineStr">
        <is>
          <t>H</t>
        </is>
      </c>
      <c r="W135" s="47" t="inlineStr">
        <is>
          <t>H</t>
        </is>
      </c>
      <c r="X135" s="47" t="inlineStr">
        <is>
          <t>H</t>
        </is>
      </c>
      <c r="Y135" s="47" t="inlineStr">
        <is>
          <t>H</t>
        </is>
      </c>
      <c r="BE135" s="48">
        <f>D135*$B$6*IF($S$18="Y",1,0)</f>
        <v/>
      </c>
      <c r="BF135" s="48">
        <f>D135*$I$18</f>
        <v/>
      </c>
      <c r="BG135" s="49">
        <f>MATCH("P",$E135:$BD135,0)</f>
        <v/>
      </c>
      <c r="BH135" s="33" t="inlineStr">
        <is>
          <t>High tunnel</t>
        </is>
      </c>
      <c r="BI135" s="33">
        <f>$Q$18</f>
        <v/>
      </c>
    </row>
    <row r="136">
      <c r="A136" s="33" t="inlineStr">
        <is>
          <t>Kale W10 F</t>
        </is>
      </c>
      <c r="B136" s="33" t="inlineStr">
        <is>
          <t>Kale</t>
        </is>
      </c>
      <c r="C136" s="45" t="n">
        <v>0</v>
      </c>
      <c r="D136" s="46" t="n">
        <v>0</v>
      </c>
      <c r="N136" s="47" t="inlineStr">
        <is>
          <t>P</t>
        </is>
      </c>
      <c r="O136" s="47" t="inlineStr">
        <is>
          <t>G</t>
        </is>
      </c>
      <c r="P136" s="47" t="inlineStr">
        <is>
          <t>G</t>
        </is>
      </c>
      <c r="Q136" s="47" t="inlineStr">
        <is>
          <t>G</t>
        </is>
      </c>
      <c r="R136" s="47" t="inlineStr">
        <is>
          <t>G</t>
        </is>
      </c>
      <c r="S136" s="47" t="inlineStr">
        <is>
          <t>G</t>
        </is>
      </c>
      <c r="T136" s="47" t="inlineStr">
        <is>
          <t>G</t>
        </is>
      </c>
      <c r="U136" s="47" t="inlineStr">
        <is>
          <t>G</t>
        </is>
      </c>
      <c r="V136" s="47" t="inlineStr">
        <is>
          <t>G</t>
        </is>
      </c>
      <c r="W136" s="47" t="inlineStr">
        <is>
          <t>H</t>
        </is>
      </c>
      <c r="X136" s="47" t="inlineStr">
        <is>
          <t>H</t>
        </is>
      </c>
      <c r="Y136" s="47" t="inlineStr">
        <is>
          <t>H</t>
        </is>
      </c>
      <c r="Z136" s="47" t="inlineStr">
        <is>
          <t>H</t>
        </is>
      </c>
      <c r="BE136" s="48">
        <f>D136*$B$6*IF($R$18="Y",1,0)</f>
        <v/>
      </c>
      <c r="BF136" s="48">
        <f>D136*$I$18</f>
        <v/>
      </c>
      <c r="BG136" s="49">
        <f>MATCH("P",$E136:$BD136,0)</f>
        <v/>
      </c>
      <c r="BH136" s="33" t="inlineStr">
        <is>
          <t>Open field</t>
        </is>
      </c>
      <c r="BI136" s="33">
        <f>$Q$18</f>
        <v/>
      </c>
    </row>
    <row r="137">
      <c r="A137" s="33" t="inlineStr">
        <is>
          <t>Kale W10 T</t>
        </is>
      </c>
      <c r="B137" s="33" t="inlineStr">
        <is>
          <t>Kale</t>
        </is>
      </c>
      <c r="C137" s="45" t="n">
        <v>0</v>
      </c>
      <c r="D137" s="46" t="n">
        <v>0</v>
      </c>
      <c r="N137" s="47" t="inlineStr">
        <is>
          <t>P</t>
        </is>
      </c>
      <c r="O137" s="47" t="inlineStr">
        <is>
          <t>G</t>
        </is>
      </c>
      <c r="P137" s="47" t="inlineStr">
        <is>
          <t>G</t>
        </is>
      </c>
      <c r="Q137" s="47" t="inlineStr">
        <is>
          <t>G</t>
        </is>
      </c>
      <c r="R137" s="47" t="inlineStr">
        <is>
          <t>G</t>
        </is>
      </c>
      <c r="S137" s="47" t="inlineStr">
        <is>
          <t>G</t>
        </is>
      </c>
      <c r="T137" s="47" t="inlineStr">
        <is>
          <t>G</t>
        </is>
      </c>
      <c r="U137" s="47" t="inlineStr">
        <is>
          <t>G</t>
        </is>
      </c>
      <c r="V137" s="47" t="inlineStr">
        <is>
          <t>G</t>
        </is>
      </c>
      <c r="W137" s="47" t="inlineStr">
        <is>
          <t>H</t>
        </is>
      </c>
      <c r="X137" s="47" t="inlineStr">
        <is>
          <t>H</t>
        </is>
      </c>
      <c r="Y137" s="47" t="inlineStr">
        <is>
          <t>H</t>
        </is>
      </c>
      <c r="Z137" s="47" t="inlineStr">
        <is>
          <t>H</t>
        </is>
      </c>
      <c r="BE137" s="48">
        <f>D137*$B$6*IF($S$18="Y",1,0)</f>
        <v/>
      </c>
      <c r="BF137" s="48">
        <f>D137*$I$18</f>
        <v/>
      </c>
      <c r="BG137" s="49">
        <f>MATCH("P",$E137:$BD137,0)</f>
        <v/>
      </c>
      <c r="BH137" s="33" t="inlineStr">
        <is>
          <t>High tunnel</t>
        </is>
      </c>
      <c r="BI137" s="33">
        <f>$Q$18</f>
        <v/>
      </c>
    </row>
    <row r="138">
      <c r="A138" s="33" t="inlineStr">
        <is>
          <t>Kale W11 F</t>
        </is>
      </c>
      <c r="B138" s="33" t="inlineStr">
        <is>
          <t>Kale</t>
        </is>
      </c>
      <c r="C138" s="45" t="n">
        <v>0</v>
      </c>
      <c r="D138" s="46" t="n">
        <v>0</v>
      </c>
      <c r="O138" s="47" t="inlineStr">
        <is>
          <t>P</t>
        </is>
      </c>
      <c r="P138" s="47" t="inlineStr">
        <is>
          <t>G</t>
        </is>
      </c>
      <c r="Q138" s="47" t="inlineStr">
        <is>
          <t>G</t>
        </is>
      </c>
      <c r="R138" s="47" t="inlineStr">
        <is>
          <t>G</t>
        </is>
      </c>
      <c r="S138" s="47" t="inlineStr">
        <is>
          <t>G</t>
        </is>
      </c>
      <c r="T138" s="47" t="inlineStr">
        <is>
          <t>G</t>
        </is>
      </c>
      <c r="U138" s="47" t="inlineStr">
        <is>
          <t>G</t>
        </is>
      </c>
      <c r="V138" s="47" t="inlineStr">
        <is>
          <t>G</t>
        </is>
      </c>
      <c r="W138" s="47" t="inlineStr">
        <is>
          <t>G</t>
        </is>
      </c>
      <c r="X138" s="47" t="inlineStr">
        <is>
          <t>H</t>
        </is>
      </c>
      <c r="Y138" s="47" t="inlineStr">
        <is>
          <t>H</t>
        </is>
      </c>
      <c r="Z138" s="47" t="inlineStr">
        <is>
          <t>H</t>
        </is>
      </c>
      <c r="AA138" s="47" t="inlineStr">
        <is>
          <t>H</t>
        </is>
      </c>
      <c r="BE138" s="48">
        <f>D138*$B$6*IF($R$18="Y",1,0)</f>
        <v/>
      </c>
      <c r="BF138" s="48">
        <f>D138*$I$18</f>
        <v/>
      </c>
      <c r="BG138" s="49">
        <f>MATCH("P",$E138:$BD138,0)</f>
        <v/>
      </c>
      <c r="BH138" s="33" t="inlineStr">
        <is>
          <t>Open field</t>
        </is>
      </c>
      <c r="BI138" s="33">
        <f>$Q$18</f>
        <v/>
      </c>
    </row>
    <row r="139">
      <c r="A139" s="33" t="inlineStr">
        <is>
          <t>Kale W11 T</t>
        </is>
      </c>
      <c r="B139" s="33" t="inlineStr">
        <is>
          <t>Kale</t>
        </is>
      </c>
      <c r="C139" s="45" t="n">
        <v>0</v>
      </c>
      <c r="D139" s="46" t="n">
        <v>0</v>
      </c>
      <c r="O139" s="47" t="inlineStr">
        <is>
          <t>P</t>
        </is>
      </c>
      <c r="P139" s="47" t="inlineStr">
        <is>
          <t>G</t>
        </is>
      </c>
      <c r="Q139" s="47" t="inlineStr">
        <is>
          <t>G</t>
        </is>
      </c>
      <c r="R139" s="47" t="inlineStr">
        <is>
          <t>G</t>
        </is>
      </c>
      <c r="S139" s="47" t="inlineStr">
        <is>
          <t>G</t>
        </is>
      </c>
      <c r="T139" s="47" t="inlineStr">
        <is>
          <t>G</t>
        </is>
      </c>
      <c r="U139" s="47" t="inlineStr">
        <is>
          <t>G</t>
        </is>
      </c>
      <c r="V139" s="47" t="inlineStr">
        <is>
          <t>G</t>
        </is>
      </c>
      <c r="W139" s="47" t="inlineStr">
        <is>
          <t>G</t>
        </is>
      </c>
      <c r="X139" s="47" t="inlineStr">
        <is>
          <t>H</t>
        </is>
      </c>
      <c r="Y139" s="47" t="inlineStr">
        <is>
          <t>H</t>
        </is>
      </c>
      <c r="Z139" s="47" t="inlineStr">
        <is>
          <t>H</t>
        </is>
      </c>
      <c r="AA139" s="47" t="inlineStr">
        <is>
          <t>H</t>
        </is>
      </c>
      <c r="BE139" s="48">
        <f>D139*$B$6*IF($S$18="Y",1,0)</f>
        <v/>
      </c>
      <c r="BF139" s="48">
        <f>D139*$I$18</f>
        <v/>
      </c>
      <c r="BG139" s="49">
        <f>MATCH("P",$E139:$BD139,0)</f>
        <v/>
      </c>
      <c r="BH139" s="33" t="inlineStr">
        <is>
          <t>High tunnel</t>
        </is>
      </c>
      <c r="BI139" s="33">
        <f>$Q$18</f>
        <v/>
      </c>
    </row>
    <row r="140">
      <c r="A140" s="33" t="inlineStr">
        <is>
          <t>Kale W12 F</t>
        </is>
      </c>
      <c r="B140" s="33" t="inlineStr">
        <is>
          <t>Kale</t>
        </is>
      </c>
      <c r="C140" s="45" t="n">
        <v>0</v>
      </c>
      <c r="D140" s="46" t="n">
        <v>0</v>
      </c>
      <c r="P140" s="47" t="inlineStr">
        <is>
          <t>P</t>
        </is>
      </c>
      <c r="Q140" s="47" t="inlineStr">
        <is>
          <t>G</t>
        </is>
      </c>
      <c r="R140" s="47" t="inlineStr">
        <is>
          <t>G</t>
        </is>
      </c>
      <c r="S140" s="47" t="inlineStr">
        <is>
          <t>G</t>
        </is>
      </c>
      <c r="T140" s="47" t="inlineStr">
        <is>
          <t>G</t>
        </is>
      </c>
      <c r="U140" s="47" t="inlineStr">
        <is>
          <t>G</t>
        </is>
      </c>
      <c r="V140" s="47" t="inlineStr">
        <is>
          <t>G</t>
        </is>
      </c>
      <c r="W140" s="47" t="inlineStr">
        <is>
          <t>G</t>
        </is>
      </c>
      <c r="X140" s="47" t="inlineStr">
        <is>
          <t>G</t>
        </is>
      </c>
      <c r="Y140" s="47" t="inlineStr">
        <is>
          <t>H</t>
        </is>
      </c>
      <c r="Z140" s="47" t="inlineStr">
        <is>
          <t>H</t>
        </is>
      </c>
      <c r="AA140" s="47" t="inlineStr">
        <is>
          <t>H</t>
        </is>
      </c>
      <c r="AB140" s="47" t="inlineStr">
        <is>
          <t>H</t>
        </is>
      </c>
      <c r="BE140" s="48">
        <f>D140*$B$6*IF($R$18="Y",1,0)</f>
        <v/>
      </c>
      <c r="BF140" s="48">
        <f>D140*$I$18</f>
        <v/>
      </c>
      <c r="BG140" s="49">
        <f>MATCH("P",$E140:$BD140,0)</f>
        <v/>
      </c>
      <c r="BH140" s="33" t="inlineStr">
        <is>
          <t>Open field</t>
        </is>
      </c>
      <c r="BI140" s="33">
        <f>$Q$18</f>
        <v/>
      </c>
    </row>
    <row r="141">
      <c r="A141" s="33" t="inlineStr">
        <is>
          <t>Kale W12 T</t>
        </is>
      </c>
      <c r="B141" s="33" t="inlineStr">
        <is>
          <t>Kale</t>
        </is>
      </c>
      <c r="C141" s="45" t="n">
        <v>0</v>
      </c>
      <c r="D141" s="46" t="n">
        <v>0</v>
      </c>
      <c r="P141" s="47" t="inlineStr">
        <is>
          <t>P</t>
        </is>
      </c>
      <c r="Q141" s="47" t="inlineStr">
        <is>
          <t>G</t>
        </is>
      </c>
      <c r="R141" s="47" t="inlineStr">
        <is>
          <t>G</t>
        </is>
      </c>
      <c r="S141" s="47" t="inlineStr">
        <is>
          <t>G</t>
        </is>
      </c>
      <c r="T141" s="47" t="inlineStr">
        <is>
          <t>G</t>
        </is>
      </c>
      <c r="U141" s="47" t="inlineStr">
        <is>
          <t>G</t>
        </is>
      </c>
      <c r="V141" s="47" t="inlineStr">
        <is>
          <t>G</t>
        </is>
      </c>
      <c r="W141" s="47" t="inlineStr">
        <is>
          <t>G</t>
        </is>
      </c>
      <c r="X141" s="47" t="inlineStr">
        <is>
          <t>G</t>
        </is>
      </c>
      <c r="Y141" s="47" t="inlineStr">
        <is>
          <t>H</t>
        </is>
      </c>
      <c r="Z141" s="47" t="inlineStr">
        <is>
          <t>H</t>
        </is>
      </c>
      <c r="AA141" s="47" t="inlineStr">
        <is>
          <t>H</t>
        </is>
      </c>
      <c r="AB141" s="47" t="inlineStr">
        <is>
          <t>H</t>
        </is>
      </c>
      <c r="BE141" s="48">
        <f>D141*$B$6*IF($S$18="Y",1,0)</f>
        <v/>
      </c>
      <c r="BF141" s="48">
        <f>D141*$I$18</f>
        <v/>
      </c>
      <c r="BG141" s="49">
        <f>MATCH("P",$E141:$BD141,0)</f>
        <v/>
      </c>
      <c r="BH141" s="33" t="inlineStr">
        <is>
          <t>High tunnel</t>
        </is>
      </c>
      <c r="BI141" s="33">
        <f>$Q$18</f>
        <v/>
      </c>
    </row>
    <row r="142">
      <c r="A142" s="33" t="inlineStr">
        <is>
          <t>Kale W13 F</t>
        </is>
      </c>
      <c r="B142" s="33" t="inlineStr">
        <is>
          <t>Kale</t>
        </is>
      </c>
      <c r="C142" s="45" t="n">
        <v>0</v>
      </c>
      <c r="D142" s="46" t="n">
        <v>0</v>
      </c>
      <c r="Q142" s="47" t="inlineStr">
        <is>
          <t>P</t>
        </is>
      </c>
      <c r="R142" s="47" t="inlineStr">
        <is>
          <t>G</t>
        </is>
      </c>
      <c r="S142" s="47" t="inlineStr">
        <is>
          <t>G</t>
        </is>
      </c>
      <c r="T142" s="47" t="inlineStr">
        <is>
          <t>G</t>
        </is>
      </c>
      <c r="U142" s="47" t="inlineStr">
        <is>
          <t>G</t>
        </is>
      </c>
      <c r="V142" s="47" t="inlineStr">
        <is>
          <t>G</t>
        </is>
      </c>
      <c r="W142" s="47" t="inlineStr">
        <is>
          <t>G</t>
        </is>
      </c>
      <c r="X142" s="47" t="inlineStr">
        <is>
          <t>G</t>
        </is>
      </c>
      <c r="Y142" s="47" t="inlineStr">
        <is>
          <t>G</t>
        </is>
      </c>
      <c r="Z142" s="47" t="inlineStr">
        <is>
          <t>H</t>
        </is>
      </c>
      <c r="AA142" s="47" t="inlineStr">
        <is>
          <t>H</t>
        </is>
      </c>
      <c r="AB142" s="47" t="inlineStr">
        <is>
          <t>H</t>
        </is>
      </c>
      <c r="AC142" s="47" t="inlineStr">
        <is>
          <t>H</t>
        </is>
      </c>
      <c r="BE142" s="48">
        <f>D142*$B$6*IF($R$18="Y",1,0)</f>
        <v/>
      </c>
      <c r="BF142" s="48">
        <f>D142*$I$18</f>
        <v/>
      </c>
      <c r="BG142" s="49">
        <f>MATCH("P",$E142:$BD142,0)</f>
        <v/>
      </c>
      <c r="BH142" s="33" t="inlineStr">
        <is>
          <t>Open field</t>
        </is>
      </c>
      <c r="BI142" s="33">
        <f>$Q$18</f>
        <v/>
      </c>
    </row>
    <row r="143">
      <c r="A143" s="33" t="inlineStr">
        <is>
          <t>Kale W13 T</t>
        </is>
      </c>
      <c r="B143" s="33" t="inlineStr">
        <is>
          <t>Kale</t>
        </is>
      </c>
      <c r="C143" s="45" t="n">
        <v>0</v>
      </c>
      <c r="D143" s="46" t="n">
        <v>0</v>
      </c>
      <c r="Q143" s="47" t="inlineStr">
        <is>
          <t>P</t>
        </is>
      </c>
      <c r="R143" s="47" t="inlineStr">
        <is>
          <t>G</t>
        </is>
      </c>
      <c r="S143" s="47" t="inlineStr">
        <is>
          <t>G</t>
        </is>
      </c>
      <c r="T143" s="47" t="inlineStr">
        <is>
          <t>G</t>
        </is>
      </c>
      <c r="U143" s="47" t="inlineStr">
        <is>
          <t>G</t>
        </is>
      </c>
      <c r="V143" s="47" t="inlineStr">
        <is>
          <t>G</t>
        </is>
      </c>
      <c r="W143" s="47" t="inlineStr">
        <is>
          <t>G</t>
        </is>
      </c>
      <c r="X143" s="47" t="inlineStr">
        <is>
          <t>G</t>
        </is>
      </c>
      <c r="Y143" s="47" t="inlineStr">
        <is>
          <t>G</t>
        </is>
      </c>
      <c r="Z143" s="47" t="inlineStr">
        <is>
          <t>H</t>
        </is>
      </c>
      <c r="AA143" s="47" t="inlineStr">
        <is>
          <t>H</t>
        </is>
      </c>
      <c r="AB143" s="47" t="inlineStr">
        <is>
          <t>H</t>
        </is>
      </c>
      <c r="AC143" s="47" t="inlineStr">
        <is>
          <t>H</t>
        </is>
      </c>
      <c r="BE143" s="48">
        <f>D143*$B$6*IF($S$18="Y",1,0)</f>
        <v/>
      </c>
      <c r="BF143" s="48">
        <f>D143*$I$18</f>
        <v/>
      </c>
      <c r="BG143" s="49">
        <f>MATCH("P",$E143:$BD143,0)</f>
        <v/>
      </c>
      <c r="BH143" s="33" t="inlineStr">
        <is>
          <t>High tunnel</t>
        </is>
      </c>
      <c r="BI143" s="33">
        <f>$Q$18</f>
        <v/>
      </c>
    </row>
    <row r="144">
      <c r="A144" s="33" t="inlineStr">
        <is>
          <t>Kale W14 F</t>
        </is>
      </c>
      <c r="B144" s="33" t="inlineStr">
        <is>
          <t>Kale</t>
        </is>
      </c>
      <c r="C144" s="45" t="n">
        <v>0</v>
      </c>
      <c r="D144" s="46" t="n">
        <v>0</v>
      </c>
      <c r="R144" s="47" t="inlineStr">
        <is>
          <t>P</t>
        </is>
      </c>
      <c r="S144" s="47" t="inlineStr">
        <is>
          <t>G</t>
        </is>
      </c>
      <c r="T144" s="47" t="inlineStr">
        <is>
          <t>G</t>
        </is>
      </c>
      <c r="U144" s="47" t="inlineStr">
        <is>
          <t>G</t>
        </is>
      </c>
      <c r="V144" s="47" t="inlineStr">
        <is>
          <t>G</t>
        </is>
      </c>
      <c r="W144" s="47" t="inlineStr">
        <is>
          <t>G</t>
        </is>
      </c>
      <c r="X144" s="47" t="inlineStr">
        <is>
          <t>G</t>
        </is>
      </c>
      <c r="Y144" s="47" t="inlineStr">
        <is>
          <t>G</t>
        </is>
      </c>
      <c r="Z144" s="47" t="inlineStr">
        <is>
          <t>G</t>
        </is>
      </c>
      <c r="AA144" s="47" t="inlineStr">
        <is>
          <t>H</t>
        </is>
      </c>
      <c r="AB144" s="47" t="inlineStr">
        <is>
          <t>H</t>
        </is>
      </c>
      <c r="AC144" s="47" t="inlineStr">
        <is>
          <t>H</t>
        </is>
      </c>
      <c r="AD144" s="47" t="inlineStr">
        <is>
          <t>H</t>
        </is>
      </c>
      <c r="BE144" s="48">
        <f>D144*$B$6*IF($R$18="Y",1,0)</f>
        <v/>
      </c>
      <c r="BF144" s="48">
        <f>D144*$I$18</f>
        <v/>
      </c>
      <c r="BG144" s="49">
        <f>MATCH("P",$E144:$BD144,0)</f>
        <v/>
      </c>
      <c r="BH144" s="33" t="inlineStr">
        <is>
          <t>Open field</t>
        </is>
      </c>
      <c r="BI144" s="33">
        <f>$Q$18</f>
        <v/>
      </c>
    </row>
    <row r="145">
      <c r="A145" s="33" t="inlineStr">
        <is>
          <t>Kale W14 T</t>
        </is>
      </c>
      <c r="B145" s="33" t="inlineStr">
        <is>
          <t>Kale</t>
        </is>
      </c>
      <c r="C145" s="45" t="n">
        <v>0</v>
      </c>
      <c r="D145" s="46" t="n">
        <v>0</v>
      </c>
      <c r="R145" s="47" t="inlineStr">
        <is>
          <t>P</t>
        </is>
      </c>
      <c r="S145" s="47" t="inlineStr">
        <is>
          <t>G</t>
        </is>
      </c>
      <c r="T145" s="47" t="inlineStr">
        <is>
          <t>G</t>
        </is>
      </c>
      <c r="U145" s="47" t="inlineStr">
        <is>
          <t>G</t>
        </is>
      </c>
      <c r="V145" s="47" t="inlineStr">
        <is>
          <t>G</t>
        </is>
      </c>
      <c r="W145" s="47" t="inlineStr">
        <is>
          <t>G</t>
        </is>
      </c>
      <c r="X145" s="47" t="inlineStr">
        <is>
          <t>G</t>
        </is>
      </c>
      <c r="Y145" s="47" t="inlineStr">
        <is>
          <t>G</t>
        </is>
      </c>
      <c r="Z145" s="47" t="inlineStr">
        <is>
          <t>G</t>
        </is>
      </c>
      <c r="AA145" s="47" t="inlineStr">
        <is>
          <t>H</t>
        </is>
      </c>
      <c r="AB145" s="47" t="inlineStr">
        <is>
          <t>H</t>
        </is>
      </c>
      <c r="AC145" s="47" t="inlineStr">
        <is>
          <t>H</t>
        </is>
      </c>
      <c r="AD145" s="47" t="inlineStr">
        <is>
          <t>H</t>
        </is>
      </c>
      <c r="BE145" s="48">
        <f>D145*$B$6*IF($S$18="Y",1,0)</f>
        <v/>
      </c>
      <c r="BF145" s="48">
        <f>D145*$I$18</f>
        <v/>
      </c>
      <c r="BG145" s="49">
        <f>MATCH("P",$E145:$BD145,0)</f>
        <v/>
      </c>
      <c r="BH145" s="33" t="inlineStr">
        <is>
          <t>High tunnel</t>
        </is>
      </c>
      <c r="BI145" s="33">
        <f>$Q$18</f>
        <v/>
      </c>
    </row>
    <row r="146">
      <c r="A146" s="33" t="inlineStr">
        <is>
          <t>Kale W15 F</t>
        </is>
      </c>
      <c r="B146" s="33" t="inlineStr">
        <is>
          <t>Kale</t>
        </is>
      </c>
      <c r="C146" s="45" t="n">
        <v>0</v>
      </c>
      <c r="D146" s="46" t="n">
        <v>0</v>
      </c>
      <c r="S146" s="47" t="inlineStr">
        <is>
          <t>P</t>
        </is>
      </c>
      <c r="T146" s="47" t="inlineStr">
        <is>
          <t>G</t>
        </is>
      </c>
      <c r="U146" s="47" t="inlineStr">
        <is>
          <t>G</t>
        </is>
      </c>
      <c r="V146" s="47" t="inlineStr">
        <is>
          <t>G</t>
        </is>
      </c>
      <c r="W146" s="47" t="inlineStr">
        <is>
          <t>G</t>
        </is>
      </c>
      <c r="X146" s="47" t="inlineStr">
        <is>
          <t>G</t>
        </is>
      </c>
      <c r="Y146" s="47" t="inlineStr">
        <is>
          <t>G</t>
        </is>
      </c>
      <c r="Z146" s="47" t="inlineStr">
        <is>
          <t>G</t>
        </is>
      </c>
      <c r="AA146" s="47" t="inlineStr">
        <is>
          <t>G</t>
        </is>
      </c>
      <c r="AB146" s="47" t="inlineStr">
        <is>
          <t>H</t>
        </is>
      </c>
      <c r="AC146" s="47" t="inlineStr">
        <is>
          <t>H</t>
        </is>
      </c>
      <c r="AD146" s="47" t="inlineStr">
        <is>
          <t>H</t>
        </is>
      </c>
      <c r="AE146" s="47" t="inlineStr">
        <is>
          <t>H</t>
        </is>
      </c>
      <c r="BE146" s="48">
        <f>D146*$B$6*IF($R$18="Y",1,0)</f>
        <v/>
      </c>
      <c r="BF146" s="48">
        <f>D146*$I$18</f>
        <v/>
      </c>
      <c r="BG146" s="49">
        <f>MATCH("P",$E146:$BD146,0)</f>
        <v/>
      </c>
      <c r="BH146" s="33" t="inlineStr">
        <is>
          <t>Open field</t>
        </is>
      </c>
      <c r="BI146" s="33">
        <f>$Q$18</f>
        <v/>
      </c>
    </row>
    <row r="147">
      <c r="A147" s="33" t="inlineStr">
        <is>
          <t>Kale W15 T</t>
        </is>
      </c>
      <c r="B147" s="33" t="inlineStr">
        <is>
          <t>Kale</t>
        </is>
      </c>
      <c r="C147" s="45" t="n">
        <v>0</v>
      </c>
      <c r="D147" s="46" t="n">
        <v>0</v>
      </c>
      <c r="S147" s="47" t="inlineStr">
        <is>
          <t>P</t>
        </is>
      </c>
      <c r="T147" s="47" t="inlineStr">
        <is>
          <t>G</t>
        </is>
      </c>
      <c r="U147" s="47" t="inlineStr">
        <is>
          <t>G</t>
        </is>
      </c>
      <c r="V147" s="47" t="inlineStr">
        <is>
          <t>G</t>
        </is>
      </c>
      <c r="W147" s="47" t="inlineStr">
        <is>
          <t>G</t>
        </is>
      </c>
      <c r="X147" s="47" t="inlineStr">
        <is>
          <t>G</t>
        </is>
      </c>
      <c r="Y147" s="47" t="inlineStr">
        <is>
          <t>G</t>
        </is>
      </c>
      <c r="Z147" s="47" t="inlineStr">
        <is>
          <t>G</t>
        </is>
      </c>
      <c r="AA147" s="47" t="inlineStr">
        <is>
          <t>G</t>
        </is>
      </c>
      <c r="AB147" s="47" t="inlineStr">
        <is>
          <t>H</t>
        </is>
      </c>
      <c r="AC147" s="47" t="inlineStr">
        <is>
          <t>H</t>
        </is>
      </c>
      <c r="AD147" s="47" t="inlineStr">
        <is>
          <t>H</t>
        </is>
      </c>
      <c r="AE147" s="47" t="inlineStr">
        <is>
          <t>H</t>
        </is>
      </c>
      <c r="BE147" s="48">
        <f>D147*$B$6*IF($S$18="Y",1,0)</f>
        <v/>
      </c>
      <c r="BF147" s="48">
        <f>D147*$I$18</f>
        <v/>
      </c>
      <c r="BG147" s="49">
        <f>MATCH("P",$E147:$BD147,0)</f>
        <v/>
      </c>
      <c r="BH147" s="33" t="inlineStr">
        <is>
          <t>High tunnel</t>
        </is>
      </c>
      <c r="BI147" s="33">
        <f>$Q$18</f>
        <v/>
      </c>
    </row>
    <row r="148">
      <c r="A148" s="33" t="inlineStr">
        <is>
          <t>Kale W16 F</t>
        </is>
      </c>
      <c r="B148" s="33" t="inlineStr">
        <is>
          <t>Kale</t>
        </is>
      </c>
      <c r="C148" s="45" t="n">
        <v>0</v>
      </c>
      <c r="D148" s="46" t="n">
        <v>0</v>
      </c>
      <c r="T148" s="47" t="inlineStr">
        <is>
          <t>P</t>
        </is>
      </c>
      <c r="U148" s="47" t="inlineStr">
        <is>
          <t>G</t>
        </is>
      </c>
      <c r="V148" s="47" t="inlineStr">
        <is>
          <t>G</t>
        </is>
      </c>
      <c r="W148" s="47" t="inlineStr">
        <is>
          <t>G</t>
        </is>
      </c>
      <c r="X148" s="47" t="inlineStr">
        <is>
          <t>G</t>
        </is>
      </c>
      <c r="Y148" s="47" t="inlineStr">
        <is>
          <t>G</t>
        </is>
      </c>
      <c r="Z148" s="47" t="inlineStr">
        <is>
          <t>G</t>
        </is>
      </c>
      <c r="AA148" s="47" t="inlineStr">
        <is>
          <t>G</t>
        </is>
      </c>
      <c r="AB148" s="47" t="inlineStr">
        <is>
          <t>G</t>
        </is>
      </c>
      <c r="AC148" s="47" t="inlineStr">
        <is>
          <t>H</t>
        </is>
      </c>
      <c r="AD148" s="47" t="inlineStr">
        <is>
          <t>H</t>
        </is>
      </c>
      <c r="AE148" s="47" t="inlineStr">
        <is>
          <t>H</t>
        </is>
      </c>
      <c r="AF148" s="47" t="inlineStr">
        <is>
          <t>H</t>
        </is>
      </c>
      <c r="BE148" s="48">
        <f>D148*$B$6*IF($R$18="Y",1,0)</f>
        <v/>
      </c>
      <c r="BF148" s="48">
        <f>D148*$I$18</f>
        <v/>
      </c>
      <c r="BG148" s="49">
        <f>MATCH("P",$E148:$BD148,0)</f>
        <v/>
      </c>
      <c r="BH148" s="33" t="inlineStr">
        <is>
          <t>Open field</t>
        </is>
      </c>
      <c r="BI148" s="33">
        <f>$Q$18</f>
        <v/>
      </c>
    </row>
    <row r="149">
      <c r="A149" s="33" t="inlineStr">
        <is>
          <t>Kale W16 T</t>
        </is>
      </c>
      <c r="B149" s="33" t="inlineStr">
        <is>
          <t>Kale</t>
        </is>
      </c>
      <c r="C149" s="45" t="n">
        <v>0</v>
      </c>
      <c r="D149" s="46" t="n">
        <v>0</v>
      </c>
      <c r="T149" s="47" t="inlineStr">
        <is>
          <t>P</t>
        </is>
      </c>
      <c r="U149" s="47" t="inlineStr">
        <is>
          <t>G</t>
        </is>
      </c>
      <c r="V149" s="47" t="inlineStr">
        <is>
          <t>G</t>
        </is>
      </c>
      <c r="W149" s="47" t="inlineStr">
        <is>
          <t>G</t>
        </is>
      </c>
      <c r="X149" s="47" t="inlineStr">
        <is>
          <t>G</t>
        </is>
      </c>
      <c r="Y149" s="47" t="inlineStr">
        <is>
          <t>G</t>
        </is>
      </c>
      <c r="Z149" s="47" t="inlineStr">
        <is>
          <t>G</t>
        </is>
      </c>
      <c r="AA149" s="47" t="inlineStr">
        <is>
          <t>G</t>
        </is>
      </c>
      <c r="AB149" s="47" t="inlineStr">
        <is>
          <t>G</t>
        </is>
      </c>
      <c r="AC149" s="47" t="inlineStr">
        <is>
          <t>H</t>
        </is>
      </c>
      <c r="AD149" s="47" t="inlineStr">
        <is>
          <t>H</t>
        </is>
      </c>
      <c r="AE149" s="47" t="inlineStr">
        <is>
          <t>H</t>
        </is>
      </c>
      <c r="AF149" s="47" t="inlineStr">
        <is>
          <t>H</t>
        </is>
      </c>
      <c r="BE149" s="48">
        <f>D149*$B$6*IF($S$18="Y",1,0)</f>
        <v/>
      </c>
      <c r="BF149" s="48">
        <f>D149*$I$18</f>
        <v/>
      </c>
      <c r="BG149" s="49">
        <f>MATCH("P",$E149:$BD149,0)</f>
        <v/>
      </c>
      <c r="BH149" s="33" t="inlineStr">
        <is>
          <t>High tunnel</t>
        </is>
      </c>
      <c r="BI149" s="33">
        <f>$Q$18</f>
        <v/>
      </c>
    </row>
    <row r="150">
      <c r="A150" s="33" t="inlineStr">
        <is>
          <t>Kale W17 F</t>
        </is>
      </c>
      <c r="B150" s="33" t="inlineStr">
        <is>
          <t>Kale</t>
        </is>
      </c>
      <c r="C150" s="45" t="n">
        <v>0</v>
      </c>
      <c r="D150" s="46" t="n">
        <v>0</v>
      </c>
      <c r="U150" s="47" t="inlineStr">
        <is>
          <t>P</t>
        </is>
      </c>
      <c r="V150" s="47" t="inlineStr">
        <is>
          <t>G</t>
        </is>
      </c>
      <c r="W150" s="47" t="inlineStr">
        <is>
          <t>G</t>
        </is>
      </c>
      <c r="X150" s="47" t="inlineStr">
        <is>
          <t>G</t>
        </is>
      </c>
      <c r="Y150" s="47" t="inlineStr">
        <is>
          <t>G</t>
        </is>
      </c>
      <c r="Z150" s="47" t="inlineStr">
        <is>
          <t>G</t>
        </is>
      </c>
      <c r="AA150" s="47" t="inlineStr">
        <is>
          <t>G</t>
        </is>
      </c>
      <c r="AB150" s="47" t="inlineStr">
        <is>
          <t>G</t>
        </is>
      </c>
      <c r="AC150" s="47" t="inlineStr">
        <is>
          <t>G</t>
        </is>
      </c>
      <c r="AD150" s="47" t="inlineStr">
        <is>
          <t>H</t>
        </is>
      </c>
      <c r="AE150" s="47" t="inlineStr">
        <is>
          <t>H</t>
        </is>
      </c>
      <c r="AF150" s="47" t="inlineStr">
        <is>
          <t>H</t>
        </is>
      </c>
      <c r="AG150" s="47" t="inlineStr">
        <is>
          <t>H</t>
        </is>
      </c>
      <c r="BE150" s="48">
        <f>D150*$B$6*IF($R$18="Y",1,0)</f>
        <v/>
      </c>
      <c r="BF150" s="48">
        <f>D150*$I$18</f>
        <v/>
      </c>
      <c r="BG150" s="49">
        <f>MATCH("P",$E150:$BD150,0)</f>
        <v/>
      </c>
      <c r="BH150" s="33" t="inlineStr">
        <is>
          <t>Open field</t>
        </is>
      </c>
      <c r="BI150" s="33">
        <f>$Q$18</f>
        <v/>
      </c>
    </row>
    <row r="151">
      <c r="A151" s="33" t="inlineStr">
        <is>
          <t>Kale W17 T</t>
        </is>
      </c>
      <c r="B151" s="33" t="inlineStr">
        <is>
          <t>Kale</t>
        </is>
      </c>
      <c r="C151" s="45" t="n">
        <v>0</v>
      </c>
      <c r="D151" s="46" t="n">
        <v>0</v>
      </c>
      <c r="U151" s="47" t="inlineStr">
        <is>
          <t>P</t>
        </is>
      </c>
      <c r="V151" s="47" t="inlineStr">
        <is>
          <t>G</t>
        </is>
      </c>
      <c r="W151" s="47" t="inlineStr">
        <is>
          <t>G</t>
        </is>
      </c>
      <c r="X151" s="47" t="inlineStr">
        <is>
          <t>G</t>
        </is>
      </c>
      <c r="Y151" s="47" t="inlineStr">
        <is>
          <t>G</t>
        </is>
      </c>
      <c r="Z151" s="47" t="inlineStr">
        <is>
          <t>G</t>
        </is>
      </c>
      <c r="AA151" s="47" t="inlineStr">
        <is>
          <t>G</t>
        </is>
      </c>
      <c r="AB151" s="47" t="inlineStr">
        <is>
          <t>G</t>
        </is>
      </c>
      <c r="AC151" s="47" t="inlineStr">
        <is>
          <t>G</t>
        </is>
      </c>
      <c r="AD151" s="47" t="inlineStr">
        <is>
          <t>H</t>
        </is>
      </c>
      <c r="AE151" s="47" t="inlineStr">
        <is>
          <t>H</t>
        </is>
      </c>
      <c r="AF151" s="47" t="inlineStr">
        <is>
          <t>H</t>
        </is>
      </c>
      <c r="AG151" s="47" t="inlineStr">
        <is>
          <t>H</t>
        </is>
      </c>
      <c r="BE151" s="48">
        <f>D151*$B$6*IF($S$18="Y",1,0)</f>
        <v/>
      </c>
      <c r="BF151" s="48">
        <f>D151*$I$18</f>
        <v/>
      </c>
      <c r="BG151" s="49">
        <f>MATCH("P",$E151:$BD151,0)</f>
        <v/>
      </c>
      <c r="BH151" s="33" t="inlineStr">
        <is>
          <t>High tunnel</t>
        </is>
      </c>
      <c r="BI151" s="33">
        <f>$Q$18</f>
        <v/>
      </c>
    </row>
    <row r="152">
      <c r="A152" s="33" t="inlineStr">
        <is>
          <t>Kale W18 F</t>
        </is>
      </c>
      <c r="B152" s="33" t="inlineStr">
        <is>
          <t>Kale</t>
        </is>
      </c>
      <c r="C152" s="45" t="n">
        <v>0</v>
      </c>
      <c r="D152" s="46" t="n">
        <v>0</v>
      </c>
      <c r="V152" s="47" t="inlineStr">
        <is>
          <t>P</t>
        </is>
      </c>
      <c r="W152" s="47" t="inlineStr">
        <is>
          <t>G</t>
        </is>
      </c>
      <c r="X152" s="47" t="inlineStr">
        <is>
          <t>G</t>
        </is>
      </c>
      <c r="Y152" s="47" t="inlineStr">
        <is>
          <t>G</t>
        </is>
      </c>
      <c r="Z152" s="47" t="inlineStr">
        <is>
          <t>G</t>
        </is>
      </c>
      <c r="AA152" s="47" t="inlineStr">
        <is>
          <t>G</t>
        </is>
      </c>
      <c r="AB152" s="47" t="inlineStr">
        <is>
          <t>G</t>
        </is>
      </c>
      <c r="AC152" s="47" t="inlineStr">
        <is>
          <t>G</t>
        </is>
      </c>
      <c r="AD152" s="47" t="inlineStr">
        <is>
          <t>G</t>
        </is>
      </c>
      <c r="AE152" s="47" t="inlineStr">
        <is>
          <t>H</t>
        </is>
      </c>
      <c r="AF152" s="47" t="inlineStr">
        <is>
          <t>H</t>
        </is>
      </c>
      <c r="AG152" s="47" t="inlineStr">
        <is>
          <t>H</t>
        </is>
      </c>
      <c r="AH152" s="47" t="inlineStr">
        <is>
          <t>H</t>
        </is>
      </c>
      <c r="BE152" s="48">
        <f>D152*$B$6*IF($R$18="Y",1,0)</f>
        <v/>
      </c>
      <c r="BF152" s="48">
        <f>D152*$I$18</f>
        <v/>
      </c>
      <c r="BG152" s="49">
        <f>MATCH("P",$E152:$BD152,0)</f>
        <v/>
      </c>
      <c r="BH152" s="33" t="inlineStr">
        <is>
          <t>Open field</t>
        </is>
      </c>
      <c r="BI152" s="33">
        <f>$Q$18</f>
        <v/>
      </c>
    </row>
    <row r="153">
      <c r="A153" s="33" t="inlineStr">
        <is>
          <t>Kale W18 T</t>
        </is>
      </c>
      <c r="B153" s="33" t="inlineStr">
        <is>
          <t>Kale</t>
        </is>
      </c>
      <c r="C153" s="45" t="n">
        <v>0</v>
      </c>
      <c r="D153" s="46" t="n">
        <v>0</v>
      </c>
      <c r="V153" s="47" t="inlineStr">
        <is>
          <t>P</t>
        </is>
      </c>
      <c r="W153" s="47" t="inlineStr">
        <is>
          <t>G</t>
        </is>
      </c>
      <c r="X153" s="47" t="inlineStr">
        <is>
          <t>G</t>
        </is>
      </c>
      <c r="Y153" s="47" t="inlineStr">
        <is>
          <t>G</t>
        </is>
      </c>
      <c r="Z153" s="47" t="inlineStr">
        <is>
          <t>G</t>
        </is>
      </c>
      <c r="AA153" s="47" t="inlineStr">
        <is>
          <t>G</t>
        </is>
      </c>
      <c r="AB153" s="47" t="inlineStr">
        <is>
          <t>G</t>
        </is>
      </c>
      <c r="AC153" s="47" t="inlineStr">
        <is>
          <t>G</t>
        </is>
      </c>
      <c r="AD153" s="47" t="inlineStr">
        <is>
          <t>G</t>
        </is>
      </c>
      <c r="AE153" s="47" t="inlineStr">
        <is>
          <t>H</t>
        </is>
      </c>
      <c r="AF153" s="47" t="inlineStr">
        <is>
          <t>H</t>
        </is>
      </c>
      <c r="AG153" s="47" t="inlineStr">
        <is>
          <t>H</t>
        </is>
      </c>
      <c r="AH153" s="47" t="inlineStr">
        <is>
          <t>H</t>
        </is>
      </c>
      <c r="BE153" s="48">
        <f>D153*$B$6*IF($S$18="Y",1,0)</f>
        <v/>
      </c>
      <c r="BF153" s="48">
        <f>D153*$I$18</f>
        <v/>
      </c>
      <c r="BG153" s="49">
        <f>MATCH("P",$E153:$BD153,0)</f>
        <v/>
      </c>
      <c r="BH153" s="33" t="inlineStr">
        <is>
          <t>High tunnel</t>
        </is>
      </c>
      <c r="BI153" s="33">
        <f>$Q$18</f>
        <v/>
      </c>
    </row>
    <row r="154">
      <c r="A154" s="33" t="inlineStr">
        <is>
          <t>Kale W19 F</t>
        </is>
      </c>
      <c r="B154" s="33" t="inlineStr">
        <is>
          <t>Kale</t>
        </is>
      </c>
      <c r="C154" s="45" t="n">
        <v>0</v>
      </c>
      <c r="D154" s="46" t="n">
        <v>0</v>
      </c>
      <c r="W154" s="47" t="inlineStr">
        <is>
          <t>P</t>
        </is>
      </c>
      <c r="X154" s="47" t="inlineStr">
        <is>
          <t>G</t>
        </is>
      </c>
      <c r="Y154" s="47" t="inlineStr">
        <is>
          <t>G</t>
        </is>
      </c>
      <c r="Z154" s="47" t="inlineStr">
        <is>
          <t>G</t>
        </is>
      </c>
      <c r="AA154" s="47" t="inlineStr">
        <is>
          <t>G</t>
        </is>
      </c>
      <c r="AB154" s="47" t="inlineStr">
        <is>
          <t>G</t>
        </is>
      </c>
      <c r="AC154" s="47" t="inlineStr">
        <is>
          <t>G</t>
        </is>
      </c>
      <c r="AD154" s="47" t="inlineStr">
        <is>
          <t>G</t>
        </is>
      </c>
      <c r="AE154" s="47" t="inlineStr">
        <is>
          <t>G</t>
        </is>
      </c>
      <c r="AF154" s="47" t="inlineStr">
        <is>
          <t>H</t>
        </is>
      </c>
      <c r="AG154" s="47" t="inlineStr">
        <is>
          <t>H</t>
        </is>
      </c>
      <c r="AH154" s="47" t="inlineStr">
        <is>
          <t>H</t>
        </is>
      </c>
      <c r="AI154" s="47" t="inlineStr">
        <is>
          <t>H</t>
        </is>
      </c>
      <c r="BE154" s="48">
        <f>D154*$B$6*IF($R$18="Y",1,0)</f>
        <v/>
      </c>
      <c r="BF154" s="48">
        <f>D154*$I$18</f>
        <v/>
      </c>
      <c r="BG154" s="49">
        <f>MATCH("P",$E154:$BD154,0)</f>
        <v/>
      </c>
      <c r="BH154" s="33" t="inlineStr">
        <is>
          <t>Open field</t>
        </is>
      </c>
      <c r="BI154" s="33">
        <f>$Q$18</f>
        <v/>
      </c>
    </row>
    <row r="155">
      <c r="A155" s="33" t="inlineStr">
        <is>
          <t>Kale W19 T</t>
        </is>
      </c>
      <c r="B155" s="33" t="inlineStr">
        <is>
          <t>Kale</t>
        </is>
      </c>
      <c r="C155" s="45" t="n">
        <v>0</v>
      </c>
      <c r="D155" s="46" t="n">
        <v>0</v>
      </c>
      <c r="W155" s="47" t="inlineStr">
        <is>
          <t>P</t>
        </is>
      </c>
      <c r="X155" s="47" t="inlineStr">
        <is>
          <t>G</t>
        </is>
      </c>
      <c r="Y155" s="47" t="inlineStr">
        <is>
          <t>G</t>
        </is>
      </c>
      <c r="Z155" s="47" t="inlineStr">
        <is>
          <t>G</t>
        </is>
      </c>
      <c r="AA155" s="47" t="inlineStr">
        <is>
          <t>G</t>
        </is>
      </c>
      <c r="AB155" s="47" t="inlineStr">
        <is>
          <t>G</t>
        </is>
      </c>
      <c r="AC155" s="47" t="inlineStr">
        <is>
          <t>G</t>
        </is>
      </c>
      <c r="AD155" s="47" t="inlineStr">
        <is>
          <t>G</t>
        </is>
      </c>
      <c r="AE155" s="47" t="inlineStr">
        <is>
          <t>G</t>
        </is>
      </c>
      <c r="AF155" s="47" t="inlineStr">
        <is>
          <t>H</t>
        </is>
      </c>
      <c r="AG155" s="47" t="inlineStr">
        <is>
          <t>H</t>
        </is>
      </c>
      <c r="AH155" s="47" t="inlineStr">
        <is>
          <t>H</t>
        </is>
      </c>
      <c r="AI155" s="47" t="inlineStr">
        <is>
          <t>H</t>
        </is>
      </c>
      <c r="BE155" s="48">
        <f>D155*$B$6*IF($S$18="Y",1,0)</f>
        <v/>
      </c>
      <c r="BF155" s="48">
        <f>D155*$I$18</f>
        <v/>
      </c>
      <c r="BG155" s="49">
        <f>MATCH("P",$E155:$BD155,0)</f>
        <v/>
      </c>
      <c r="BH155" s="33" t="inlineStr">
        <is>
          <t>High tunnel</t>
        </is>
      </c>
      <c r="BI155" s="33">
        <f>$Q$18</f>
        <v/>
      </c>
    </row>
    <row r="156">
      <c r="A156" s="33" t="inlineStr">
        <is>
          <t>Kale W20 F</t>
        </is>
      </c>
      <c r="B156" s="33" t="inlineStr">
        <is>
          <t>Kale</t>
        </is>
      </c>
      <c r="C156" s="45" t="n">
        <v>0</v>
      </c>
      <c r="D156" s="46" t="n">
        <v>0</v>
      </c>
      <c r="X156" s="47" t="inlineStr">
        <is>
          <t>P</t>
        </is>
      </c>
      <c r="Y156" s="47" t="inlineStr">
        <is>
          <t>G</t>
        </is>
      </c>
      <c r="Z156" s="47" t="inlineStr">
        <is>
          <t>G</t>
        </is>
      </c>
      <c r="AA156" s="47" t="inlineStr">
        <is>
          <t>G</t>
        </is>
      </c>
      <c r="AB156" s="47" t="inlineStr">
        <is>
          <t>G</t>
        </is>
      </c>
      <c r="AC156" s="47" t="inlineStr">
        <is>
          <t>G</t>
        </is>
      </c>
      <c r="AD156" s="47" t="inlineStr">
        <is>
          <t>G</t>
        </is>
      </c>
      <c r="AE156" s="47" t="inlineStr">
        <is>
          <t>G</t>
        </is>
      </c>
      <c r="AF156" s="47" t="inlineStr">
        <is>
          <t>G</t>
        </is>
      </c>
      <c r="AG156" s="47" t="inlineStr">
        <is>
          <t>H</t>
        </is>
      </c>
      <c r="AH156" s="47" t="inlineStr">
        <is>
          <t>H</t>
        </is>
      </c>
      <c r="AI156" s="47" t="inlineStr">
        <is>
          <t>H</t>
        </is>
      </c>
      <c r="AJ156" s="47" t="inlineStr">
        <is>
          <t>H</t>
        </is>
      </c>
      <c r="BE156" s="48">
        <f>D156*$B$6*IF($R$18="Y",1,0)</f>
        <v/>
      </c>
      <c r="BF156" s="48">
        <f>D156*$I$18</f>
        <v/>
      </c>
      <c r="BG156" s="49">
        <f>MATCH("P",$E156:$BD156,0)</f>
        <v/>
      </c>
      <c r="BH156" s="33" t="inlineStr">
        <is>
          <t>Open field</t>
        </is>
      </c>
      <c r="BI156" s="33">
        <f>$Q$18</f>
        <v/>
      </c>
    </row>
    <row r="157">
      <c r="A157" s="33" t="inlineStr">
        <is>
          <t>Kale W20 T</t>
        </is>
      </c>
      <c r="B157" s="33" t="inlineStr">
        <is>
          <t>Kale</t>
        </is>
      </c>
      <c r="C157" s="45" t="n">
        <v>0</v>
      </c>
      <c r="D157" s="46" t="n">
        <v>0</v>
      </c>
      <c r="X157" s="47" t="inlineStr">
        <is>
          <t>P</t>
        </is>
      </c>
      <c r="Y157" s="47" t="inlineStr">
        <is>
          <t>G</t>
        </is>
      </c>
      <c r="Z157" s="47" t="inlineStr">
        <is>
          <t>G</t>
        </is>
      </c>
      <c r="AA157" s="47" t="inlineStr">
        <is>
          <t>G</t>
        </is>
      </c>
      <c r="AB157" s="47" t="inlineStr">
        <is>
          <t>G</t>
        </is>
      </c>
      <c r="AC157" s="47" t="inlineStr">
        <is>
          <t>G</t>
        </is>
      </c>
      <c r="AD157" s="47" t="inlineStr">
        <is>
          <t>G</t>
        </is>
      </c>
      <c r="AE157" s="47" t="inlineStr">
        <is>
          <t>G</t>
        </is>
      </c>
      <c r="AF157" s="47" t="inlineStr">
        <is>
          <t>G</t>
        </is>
      </c>
      <c r="AG157" s="47" t="inlineStr">
        <is>
          <t>H</t>
        </is>
      </c>
      <c r="AH157" s="47" t="inlineStr">
        <is>
          <t>H</t>
        </is>
      </c>
      <c r="AI157" s="47" t="inlineStr">
        <is>
          <t>H</t>
        </is>
      </c>
      <c r="AJ157" s="47" t="inlineStr">
        <is>
          <t>H</t>
        </is>
      </c>
      <c r="BE157" s="48">
        <f>D157*$B$6*IF($S$18="Y",1,0)</f>
        <v/>
      </c>
      <c r="BF157" s="48">
        <f>D157*$I$18</f>
        <v/>
      </c>
      <c r="BG157" s="49">
        <f>MATCH("P",$E157:$BD157,0)</f>
        <v/>
      </c>
      <c r="BH157" s="33" t="inlineStr">
        <is>
          <t>High tunnel</t>
        </is>
      </c>
      <c r="BI157" s="33">
        <f>$Q$18</f>
        <v/>
      </c>
    </row>
    <row r="158">
      <c r="A158" s="33" t="inlineStr">
        <is>
          <t>Kale W21 F</t>
        </is>
      </c>
      <c r="B158" s="33" t="inlineStr">
        <is>
          <t>Kale</t>
        </is>
      </c>
      <c r="C158" s="45" t="n">
        <v>0</v>
      </c>
      <c r="D158" s="46" t="n">
        <v>0</v>
      </c>
      <c r="Y158" s="47" t="inlineStr">
        <is>
          <t>P</t>
        </is>
      </c>
      <c r="Z158" s="47" t="inlineStr">
        <is>
          <t>G</t>
        </is>
      </c>
      <c r="AA158" s="47" t="inlineStr">
        <is>
          <t>G</t>
        </is>
      </c>
      <c r="AB158" s="47" t="inlineStr">
        <is>
          <t>G</t>
        </is>
      </c>
      <c r="AC158" s="47" t="inlineStr">
        <is>
          <t>G</t>
        </is>
      </c>
      <c r="AD158" s="47" t="inlineStr">
        <is>
          <t>G</t>
        </is>
      </c>
      <c r="AE158" s="47" t="inlineStr">
        <is>
          <t>G</t>
        </is>
      </c>
      <c r="AF158" s="47" t="inlineStr">
        <is>
          <t>G</t>
        </is>
      </c>
      <c r="AG158" s="47" t="inlineStr">
        <is>
          <t>G</t>
        </is>
      </c>
      <c r="AH158" s="47" t="inlineStr">
        <is>
          <t>H</t>
        </is>
      </c>
      <c r="AI158" s="47" t="inlineStr">
        <is>
          <t>H</t>
        </is>
      </c>
      <c r="AJ158" s="47" t="inlineStr">
        <is>
          <t>H</t>
        </is>
      </c>
      <c r="AK158" s="47" t="inlineStr">
        <is>
          <t>H</t>
        </is>
      </c>
      <c r="BE158" s="48">
        <f>D158*$B$6*IF($R$18="Y",1,0)</f>
        <v/>
      </c>
      <c r="BF158" s="48">
        <f>D158*$I$18</f>
        <v/>
      </c>
      <c r="BG158" s="49">
        <f>MATCH("P",$E158:$BD158,0)</f>
        <v/>
      </c>
      <c r="BH158" s="33" t="inlineStr">
        <is>
          <t>Open field</t>
        </is>
      </c>
      <c r="BI158" s="33">
        <f>$Q$18</f>
        <v/>
      </c>
    </row>
    <row r="159">
      <c r="A159" s="33" t="inlineStr">
        <is>
          <t>Kale W21 T</t>
        </is>
      </c>
      <c r="B159" s="33" t="inlineStr">
        <is>
          <t>Kale</t>
        </is>
      </c>
      <c r="C159" s="45" t="n">
        <v>0</v>
      </c>
      <c r="D159" s="46" t="n">
        <v>0</v>
      </c>
      <c r="Y159" s="47" t="inlineStr">
        <is>
          <t>P</t>
        </is>
      </c>
      <c r="Z159" s="47" t="inlineStr">
        <is>
          <t>G</t>
        </is>
      </c>
      <c r="AA159" s="47" t="inlineStr">
        <is>
          <t>G</t>
        </is>
      </c>
      <c r="AB159" s="47" t="inlineStr">
        <is>
          <t>G</t>
        </is>
      </c>
      <c r="AC159" s="47" t="inlineStr">
        <is>
          <t>G</t>
        </is>
      </c>
      <c r="AD159" s="47" t="inlineStr">
        <is>
          <t>G</t>
        </is>
      </c>
      <c r="AE159" s="47" t="inlineStr">
        <is>
          <t>G</t>
        </is>
      </c>
      <c r="AF159" s="47" t="inlineStr">
        <is>
          <t>G</t>
        </is>
      </c>
      <c r="AG159" s="47" t="inlineStr">
        <is>
          <t>G</t>
        </is>
      </c>
      <c r="AH159" s="47" t="inlineStr">
        <is>
          <t>H</t>
        </is>
      </c>
      <c r="AI159" s="47" t="inlineStr">
        <is>
          <t>H</t>
        </is>
      </c>
      <c r="AJ159" s="47" t="inlineStr">
        <is>
          <t>H</t>
        </is>
      </c>
      <c r="AK159" s="47" t="inlineStr">
        <is>
          <t>H</t>
        </is>
      </c>
      <c r="BE159" s="48">
        <f>D159*$B$6*IF($S$18="Y",1,0)</f>
        <v/>
      </c>
      <c r="BF159" s="48">
        <f>D159*$I$18</f>
        <v/>
      </c>
      <c r="BG159" s="49">
        <f>MATCH("P",$E159:$BD159,0)</f>
        <v/>
      </c>
      <c r="BH159" s="33" t="inlineStr">
        <is>
          <t>High tunnel</t>
        </is>
      </c>
      <c r="BI159" s="33">
        <f>$Q$18</f>
        <v/>
      </c>
    </row>
    <row r="160">
      <c r="A160" s="33" t="inlineStr">
        <is>
          <t>Kale W22 F</t>
        </is>
      </c>
      <c r="B160" s="33" t="inlineStr">
        <is>
          <t>Kale</t>
        </is>
      </c>
      <c r="C160" s="45" t="n">
        <v>0</v>
      </c>
      <c r="D160" s="46" t="n">
        <v>0</v>
      </c>
      <c r="Z160" s="47" t="inlineStr">
        <is>
          <t>P</t>
        </is>
      </c>
      <c r="AA160" s="47" t="inlineStr">
        <is>
          <t>G</t>
        </is>
      </c>
      <c r="AB160" s="47" t="inlineStr">
        <is>
          <t>G</t>
        </is>
      </c>
      <c r="AC160" s="47" t="inlineStr">
        <is>
          <t>G</t>
        </is>
      </c>
      <c r="AD160" s="47" t="inlineStr">
        <is>
          <t>G</t>
        </is>
      </c>
      <c r="AE160" s="47" t="inlineStr">
        <is>
          <t>G</t>
        </is>
      </c>
      <c r="AF160" s="47" t="inlineStr">
        <is>
          <t>G</t>
        </is>
      </c>
      <c r="AG160" s="47" t="inlineStr">
        <is>
          <t>G</t>
        </is>
      </c>
      <c r="AH160" s="47" t="inlineStr">
        <is>
          <t>G</t>
        </is>
      </c>
      <c r="AI160" s="47" t="inlineStr">
        <is>
          <t>H</t>
        </is>
      </c>
      <c r="AJ160" s="47" t="inlineStr">
        <is>
          <t>H</t>
        </is>
      </c>
      <c r="AK160" s="47" t="inlineStr">
        <is>
          <t>H</t>
        </is>
      </c>
      <c r="AL160" s="47" t="inlineStr">
        <is>
          <t>H</t>
        </is>
      </c>
      <c r="BE160" s="48">
        <f>D160*$B$6*IF($R$18="Y",1,0)</f>
        <v/>
      </c>
      <c r="BF160" s="48">
        <f>D160*$I$18</f>
        <v/>
      </c>
      <c r="BG160" s="49">
        <f>MATCH("P",$E160:$BD160,0)</f>
        <v/>
      </c>
      <c r="BH160" s="33" t="inlineStr">
        <is>
          <t>Open field</t>
        </is>
      </c>
      <c r="BI160" s="33">
        <f>$Q$18</f>
        <v/>
      </c>
    </row>
    <row r="161">
      <c r="A161" s="33" t="inlineStr">
        <is>
          <t>Kale W22 T</t>
        </is>
      </c>
      <c r="B161" s="33" t="inlineStr">
        <is>
          <t>Kale</t>
        </is>
      </c>
      <c r="C161" s="45" t="n">
        <v>0</v>
      </c>
      <c r="D161" s="46" t="n">
        <v>0</v>
      </c>
      <c r="Z161" s="47" t="inlineStr">
        <is>
          <t>P</t>
        </is>
      </c>
      <c r="AA161" s="47" t="inlineStr">
        <is>
          <t>G</t>
        </is>
      </c>
      <c r="AB161" s="47" t="inlineStr">
        <is>
          <t>G</t>
        </is>
      </c>
      <c r="AC161" s="47" t="inlineStr">
        <is>
          <t>G</t>
        </is>
      </c>
      <c r="AD161" s="47" t="inlineStr">
        <is>
          <t>G</t>
        </is>
      </c>
      <c r="AE161" s="47" t="inlineStr">
        <is>
          <t>G</t>
        </is>
      </c>
      <c r="AF161" s="47" t="inlineStr">
        <is>
          <t>G</t>
        </is>
      </c>
      <c r="AG161" s="47" t="inlineStr">
        <is>
          <t>G</t>
        </is>
      </c>
      <c r="AH161" s="47" t="inlineStr">
        <is>
          <t>G</t>
        </is>
      </c>
      <c r="AI161" s="47" t="inlineStr">
        <is>
          <t>H</t>
        </is>
      </c>
      <c r="AJ161" s="47" t="inlineStr">
        <is>
          <t>H</t>
        </is>
      </c>
      <c r="AK161" s="47" t="inlineStr">
        <is>
          <t>H</t>
        </is>
      </c>
      <c r="AL161" s="47" t="inlineStr">
        <is>
          <t>H</t>
        </is>
      </c>
      <c r="BE161" s="48">
        <f>D161*$B$6*IF($S$18="Y",1,0)</f>
        <v/>
      </c>
      <c r="BF161" s="48">
        <f>D161*$I$18</f>
        <v/>
      </c>
      <c r="BG161" s="49">
        <f>MATCH("P",$E161:$BD161,0)</f>
        <v/>
      </c>
      <c r="BH161" s="33" t="inlineStr">
        <is>
          <t>High tunnel</t>
        </is>
      </c>
      <c r="BI161" s="33">
        <f>$Q$18</f>
        <v/>
      </c>
    </row>
    <row r="162">
      <c r="A162" s="33" t="inlineStr">
        <is>
          <t>Kale W29 F</t>
        </is>
      </c>
      <c r="B162" s="33" t="inlineStr">
        <is>
          <t>Kale</t>
        </is>
      </c>
      <c r="C162" s="45" t="n">
        <v>0</v>
      </c>
      <c r="D162" s="46" t="n">
        <v>0</v>
      </c>
      <c r="AG162" s="47" t="inlineStr">
        <is>
          <t>P</t>
        </is>
      </c>
      <c r="AH162" s="47" t="inlineStr">
        <is>
          <t>G</t>
        </is>
      </c>
      <c r="AI162" s="47" t="inlineStr">
        <is>
          <t>G</t>
        </is>
      </c>
      <c r="AJ162" s="47" t="inlineStr">
        <is>
          <t>G</t>
        </is>
      </c>
      <c r="AK162" s="47" t="inlineStr">
        <is>
          <t>G</t>
        </is>
      </c>
      <c r="AL162" s="47" t="inlineStr">
        <is>
          <t>G</t>
        </is>
      </c>
      <c r="AM162" s="47" t="inlineStr">
        <is>
          <t>G</t>
        </is>
      </c>
      <c r="AN162" s="47" t="inlineStr">
        <is>
          <t>G</t>
        </is>
      </c>
      <c r="AO162" s="47" t="inlineStr">
        <is>
          <t>G</t>
        </is>
      </c>
      <c r="AP162" s="47" t="inlineStr">
        <is>
          <t>H</t>
        </is>
      </c>
      <c r="AQ162" s="47" t="inlineStr">
        <is>
          <t>H</t>
        </is>
      </c>
      <c r="AR162" s="47" t="inlineStr">
        <is>
          <t>H</t>
        </is>
      </c>
      <c r="AS162" s="47" t="inlineStr">
        <is>
          <t>H</t>
        </is>
      </c>
      <c r="BE162" s="48">
        <f>D162*$B$6*IF($R$18="Y",1,0)</f>
        <v/>
      </c>
      <c r="BF162" s="48">
        <f>D162*$I$18</f>
        <v/>
      </c>
      <c r="BG162" s="49">
        <f>MATCH("P",$E162:$BD162,0)</f>
        <v/>
      </c>
      <c r="BH162" s="33" t="inlineStr">
        <is>
          <t>Open field</t>
        </is>
      </c>
      <c r="BI162" s="33">
        <f>$Q$18</f>
        <v/>
      </c>
    </row>
    <row r="163">
      <c r="A163" s="33" t="inlineStr">
        <is>
          <t>Kale W29 T</t>
        </is>
      </c>
      <c r="B163" s="33" t="inlineStr">
        <is>
          <t>Kale</t>
        </is>
      </c>
      <c r="C163" s="45" t="n">
        <v>0</v>
      </c>
      <c r="D163" s="46" t="n">
        <v>0</v>
      </c>
      <c r="AG163" s="47" t="inlineStr">
        <is>
          <t>P</t>
        </is>
      </c>
      <c r="AH163" s="47" t="inlineStr">
        <is>
          <t>G</t>
        </is>
      </c>
      <c r="AI163" s="47" t="inlineStr">
        <is>
          <t>G</t>
        </is>
      </c>
      <c r="AJ163" s="47" t="inlineStr">
        <is>
          <t>G</t>
        </is>
      </c>
      <c r="AK163" s="47" t="inlineStr">
        <is>
          <t>G</t>
        </is>
      </c>
      <c r="AL163" s="47" t="inlineStr">
        <is>
          <t>G</t>
        </is>
      </c>
      <c r="AM163" s="47" t="inlineStr">
        <is>
          <t>G</t>
        </is>
      </c>
      <c r="AN163" s="47" t="inlineStr">
        <is>
          <t>G</t>
        </is>
      </c>
      <c r="AO163" s="47" t="inlineStr">
        <is>
          <t>G</t>
        </is>
      </c>
      <c r="AP163" s="47" t="inlineStr">
        <is>
          <t>H</t>
        </is>
      </c>
      <c r="AQ163" s="47" t="inlineStr">
        <is>
          <t>H</t>
        </is>
      </c>
      <c r="AR163" s="47" t="inlineStr">
        <is>
          <t>H</t>
        </is>
      </c>
      <c r="AS163" s="47" t="inlineStr">
        <is>
          <t>H</t>
        </is>
      </c>
      <c r="BE163" s="48">
        <f>D163*$B$6*IF($S$18="Y",1,0)</f>
        <v/>
      </c>
      <c r="BF163" s="48">
        <f>D163*$I$18</f>
        <v/>
      </c>
      <c r="BG163" s="49">
        <f>MATCH("P",$E163:$BD163,0)</f>
        <v/>
      </c>
      <c r="BH163" s="33" t="inlineStr">
        <is>
          <t>High tunnel</t>
        </is>
      </c>
      <c r="BI163" s="33">
        <f>$Q$18</f>
        <v/>
      </c>
    </row>
    <row r="164">
      <c r="A164" s="33" t="inlineStr">
        <is>
          <t>Kale W30 F</t>
        </is>
      </c>
      <c r="B164" s="33" t="inlineStr">
        <is>
          <t>Kale</t>
        </is>
      </c>
      <c r="C164" s="45" t="n">
        <v>0</v>
      </c>
      <c r="D164" s="46" t="n">
        <v>0</v>
      </c>
      <c r="AH164" s="47" t="inlineStr">
        <is>
          <t>P</t>
        </is>
      </c>
      <c r="AI164" s="47" t="inlineStr">
        <is>
          <t>G</t>
        </is>
      </c>
      <c r="AJ164" s="47" t="inlineStr">
        <is>
          <t>G</t>
        </is>
      </c>
      <c r="AK164" s="47" t="inlineStr">
        <is>
          <t>G</t>
        </is>
      </c>
      <c r="AL164" s="47" t="inlineStr">
        <is>
          <t>G</t>
        </is>
      </c>
      <c r="AM164" s="47" t="inlineStr">
        <is>
          <t>G</t>
        </is>
      </c>
      <c r="AN164" s="47" t="inlineStr">
        <is>
          <t>G</t>
        </is>
      </c>
      <c r="AO164" s="47" t="inlineStr">
        <is>
          <t>G</t>
        </is>
      </c>
      <c r="AP164" s="47" t="inlineStr">
        <is>
          <t>G</t>
        </is>
      </c>
      <c r="AQ164" s="47" t="inlineStr">
        <is>
          <t>H</t>
        </is>
      </c>
      <c r="AR164" s="47" t="inlineStr">
        <is>
          <t>H</t>
        </is>
      </c>
      <c r="AS164" s="47" t="inlineStr">
        <is>
          <t>H</t>
        </is>
      </c>
      <c r="AT164" s="47" t="inlineStr">
        <is>
          <t>H</t>
        </is>
      </c>
      <c r="BE164" s="48">
        <f>D164*$B$6*IF($R$18="Y",1,0)</f>
        <v/>
      </c>
      <c r="BF164" s="48">
        <f>D164*$I$18</f>
        <v/>
      </c>
      <c r="BG164" s="49">
        <f>MATCH("P",$E164:$BD164,0)</f>
        <v/>
      </c>
      <c r="BH164" s="33" t="inlineStr">
        <is>
          <t>Open field</t>
        </is>
      </c>
      <c r="BI164" s="33">
        <f>$Q$18</f>
        <v/>
      </c>
    </row>
    <row r="165">
      <c r="A165" s="33" t="inlineStr">
        <is>
          <t>Kale W30 T</t>
        </is>
      </c>
      <c r="B165" s="33" t="inlineStr">
        <is>
          <t>Kale</t>
        </is>
      </c>
      <c r="C165" s="45" t="n">
        <v>0</v>
      </c>
      <c r="D165" s="46" t="n">
        <v>0</v>
      </c>
      <c r="AH165" s="47" t="inlineStr">
        <is>
          <t>P</t>
        </is>
      </c>
      <c r="AI165" s="47" t="inlineStr">
        <is>
          <t>G</t>
        </is>
      </c>
      <c r="AJ165" s="47" t="inlineStr">
        <is>
          <t>G</t>
        </is>
      </c>
      <c r="AK165" s="47" t="inlineStr">
        <is>
          <t>G</t>
        </is>
      </c>
      <c r="AL165" s="47" t="inlineStr">
        <is>
          <t>G</t>
        </is>
      </c>
      <c r="AM165" s="47" t="inlineStr">
        <is>
          <t>G</t>
        </is>
      </c>
      <c r="AN165" s="47" t="inlineStr">
        <is>
          <t>G</t>
        </is>
      </c>
      <c r="AO165" s="47" t="inlineStr">
        <is>
          <t>G</t>
        </is>
      </c>
      <c r="AP165" s="47" t="inlineStr">
        <is>
          <t>G</t>
        </is>
      </c>
      <c r="AQ165" s="47" t="inlineStr">
        <is>
          <t>H</t>
        </is>
      </c>
      <c r="AR165" s="47" t="inlineStr">
        <is>
          <t>H</t>
        </is>
      </c>
      <c r="AS165" s="47" t="inlineStr">
        <is>
          <t>H</t>
        </is>
      </c>
      <c r="AT165" s="47" t="inlineStr">
        <is>
          <t>H</t>
        </is>
      </c>
      <c r="BE165" s="48">
        <f>D165*$B$6*IF($S$18="Y",1,0)</f>
        <v/>
      </c>
      <c r="BF165" s="48">
        <f>D165*$I$18</f>
        <v/>
      </c>
      <c r="BG165" s="49">
        <f>MATCH("P",$E165:$BD165,0)</f>
        <v/>
      </c>
      <c r="BH165" s="33" t="inlineStr">
        <is>
          <t>High tunnel</t>
        </is>
      </c>
      <c r="BI165" s="33">
        <f>$Q$18</f>
        <v/>
      </c>
    </row>
    <row r="166">
      <c r="A166" s="33" t="inlineStr">
        <is>
          <t>Kale W31 F</t>
        </is>
      </c>
      <c r="B166" s="33" t="inlineStr">
        <is>
          <t>Kale</t>
        </is>
      </c>
      <c r="C166" s="45" t="n">
        <v>0</v>
      </c>
      <c r="D166" s="46" t="n">
        <v>0</v>
      </c>
      <c r="AI166" s="47" t="inlineStr">
        <is>
          <t>P</t>
        </is>
      </c>
      <c r="AJ166" s="47" t="inlineStr">
        <is>
          <t>G</t>
        </is>
      </c>
      <c r="AK166" s="47" t="inlineStr">
        <is>
          <t>G</t>
        </is>
      </c>
      <c r="AL166" s="47" t="inlineStr">
        <is>
          <t>G</t>
        </is>
      </c>
      <c r="AM166" s="47" t="inlineStr">
        <is>
          <t>G</t>
        </is>
      </c>
      <c r="AN166" s="47" t="inlineStr">
        <is>
          <t>G</t>
        </is>
      </c>
      <c r="AO166" s="47" t="inlineStr">
        <is>
          <t>G</t>
        </is>
      </c>
      <c r="AP166" s="47" t="inlineStr">
        <is>
          <t>G</t>
        </is>
      </c>
      <c r="AQ166" s="47" t="inlineStr">
        <is>
          <t>G</t>
        </is>
      </c>
      <c r="AR166" s="47" t="inlineStr">
        <is>
          <t>H</t>
        </is>
      </c>
      <c r="AS166" s="47" t="inlineStr">
        <is>
          <t>H</t>
        </is>
      </c>
      <c r="AT166" s="47" t="inlineStr">
        <is>
          <t>H</t>
        </is>
      </c>
      <c r="AU166" s="47" t="inlineStr">
        <is>
          <t>H</t>
        </is>
      </c>
      <c r="BE166" s="48">
        <f>D166*$B$6*IF($R$18="Y",1,0)</f>
        <v/>
      </c>
      <c r="BF166" s="48">
        <f>D166*$I$18</f>
        <v/>
      </c>
      <c r="BG166" s="49">
        <f>MATCH("P",$E166:$BD166,0)</f>
        <v/>
      </c>
      <c r="BH166" s="33" t="inlineStr">
        <is>
          <t>Open field</t>
        </is>
      </c>
      <c r="BI166" s="33">
        <f>$Q$18</f>
        <v/>
      </c>
    </row>
    <row r="167">
      <c r="A167" s="33" t="inlineStr">
        <is>
          <t>Kale W31 T</t>
        </is>
      </c>
      <c r="B167" s="33" t="inlineStr">
        <is>
          <t>Kale</t>
        </is>
      </c>
      <c r="C167" s="45" t="n">
        <v>0</v>
      </c>
      <c r="D167" s="46" t="n">
        <v>0</v>
      </c>
      <c r="AI167" s="47" t="inlineStr">
        <is>
          <t>P</t>
        </is>
      </c>
      <c r="AJ167" s="47" t="inlineStr">
        <is>
          <t>G</t>
        </is>
      </c>
      <c r="AK167" s="47" t="inlineStr">
        <is>
          <t>G</t>
        </is>
      </c>
      <c r="AL167" s="47" t="inlineStr">
        <is>
          <t>G</t>
        </is>
      </c>
      <c r="AM167" s="47" t="inlineStr">
        <is>
          <t>G</t>
        </is>
      </c>
      <c r="AN167" s="47" t="inlineStr">
        <is>
          <t>G</t>
        </is>
      </c>
      <c r="AO167" s="47" t="inlineStr">
        <is>
          <t>G</t>
        </is>
      </c>
      <c r="AP167" s="47" t="inlineStr">
        <is>
          <t>G</t>
        </is>
      </c>
      <c r="AQ167" s="47" t="inlineStr">
        <is>
          <t>G</t>
        </is>
      </c>
      <c r="AR167" s="47" t="inlineStr">
        <is>
          <t>H</t>
        </is>
      </c>
      <c r="AS167" s="47" t="inlineStr">
        <is>
          <t>H</t>
        </is>
      </c>
      <c r="AT167" s="47" t="inlineStr">
        <is>
          <t>H</t>
        </is>
      </c>
      <c r="AU167" s="47" t="inlineStr">
        <is>
          <t>H</t>
        </is>
      </c>
      <c r="BE167" s="48">
        <f>D167*$B$6*IF($S$18="Y",1,0)</f>
        <v/>
      </c>
      <c r="BF167" s="48">
        <f>D167*$I$18</f>
        <v/>
      </c>
      <c r="BG167" s="49">
        <f>MATCH("P",$E167:$BD167,0)</f>
        <v/>
      </c>
      <c r="BH167" s="33" t="inlineStr">
        <is>
          <t>High tunnel</t>
        </is>
      </c>
      <c r="BI167" s="33">
        <f>$Q$18</f>
        <v/>
      </c>
    </row>
    <row r="168">
      <c r="A168" s="33" t="inlineStr">
        <is>
          <t>Kale W32 F</t>
        </is>
      </c>
      <c r="B168" s="33" t="inlineStr">
        <is>
          <t>Kale</t>
        </is>
      </c>
      <c r="C168" s="45" t="n">
        <v>0</v>
      </c>
      <c r="D168" s="46" t="n">
        <v>0</v>
      </c>
      <c r="AJ168" s="47" t="inlineStr">
        <is>
          <t>P</t>
        </is>
      </c>
      <c r="AK168" s="47" t="inlineStr">
        <is>
          <t>G</t>
        </is>
      </c>
      <c r="AL168" s="47" t="inlineStr">
        <is>
          <t>G</t>
        </is>
      </c>
      <c r="AM168" s="47" t="inlineStr">
        <is>
          <t>G</t>
        </is>
      </c>
      <c r="AN168" s="47" t="inlineStr">
        <is>
          <t>G</t>
        </is>
      </c>
      <c r="AO168" s="47" t="inlineStr">
        <is>
          <t>G</t>
        </is>
      </c>
      <c r="AP168" s="47" t="inlineStr">
        <is>
          <t>G</t>
        </is>
      </c>
      <c r="AQ168" s="47" t="inlineStr">
        <is>
          <t>G</t>
        </is>
      </c>
      <c r="AR168" s="47" t="inlineStr">
        <is>
          <t>G</t>
        </is>
      </c>
      <c r="AS168" s="47" t="inlineStr">
        <is>
          <t>H</t>
        </is>
      </c>
      <c r="AT168" s="47" t="inlineStr">
        <is>
          <t>H</t>
        </is>
      </c>
      <c r="AU168" s="47" t="inlineStr">
        <is>
          <t>H</t>
        </is>
      </c>
      <c r="AV168" s="47" t="inlineStr">
        <is>
          <t>H</t>
        </is>
      </c>
      <c r="BE168" s="48">
        <f>D168*$B$6*IF($R$18="Y",1,0)</f>
        <v/>
      </c>
      <c r="BF168" s="48">
        <f>D168*$I$18</f>
        <v/>
      </c>
      <c r="BG168" s="49">
        <f>MATCH("P",$E168:$BD168,0)</f>
        <v/>
      </c>
      <c r="BH168" s="33" t="inlineStr">
        <is>
          <t>Open field</t>
        </is>
      </c>
      <c r="BI168" s="33">
        <f>$Q$18</f>
        <v/>
      </c>
    </row>
    <row r="169">
      <c r="A169" s="33" t="inlineStr">
        <is>
          <t>Kale W32 T</t>
        </is>
      </c>
      <c r="B169" s="33" t="inlineStr">
        <is>
          <t>Kale</t>
        </is>
      </c>
      <c r="C169" s="45" t="n">
        <v>0</v>
      </c>
      <c r="D169" s="46" t="n">
        <v>0</v>
      </c>
      <c r="AJ169" s="47" t="inlineStr">
        <is>
          <t>P</t>
        </is>
      </c>
      <c r="AK169" s="47" t="inlineStr">
        <is>
          <t>G</t>
        </is>
      </c>
      <c r="AL169" s="47" t="inlineStr">
        <is>
          <t>G</t>
        </is>
      </c>
      <c r="AM169" s="47" t="inlineStr">
        <is>
          <t>G</t>
        </is>
      </c>
      <c r="AN169" s="47" t="inlineStr">
        <is>
          <t>G</t>
        </is>
      </c>
      <c r="AO169" s="47" t="inlineStr">
        <is>
          <t>G</t>
        </is>
      </c>
      <c r="AP169" s="47" t="inlineStr">
        <is>
          <t>G</t>
        </is>
      </c>
      <c r="AQ169" s="47" t="inlineStr">
        <is>
          <t>G</t>
        </is>
      </c>
      <c r="AR169" s="47" t="inlineStr">
        <is>
          <t>G</t>
        </is>
      </c>
      <c r="AS169" s="47" t="inlineStr">
        <is>
          <t>H</t>
        </is>
      </c>
      <c r="AT169" s="47" t="inlineStr">
        <is>
          <t>H</t>
        </is>
      </c>
      <c r="AU169" s="47" t="inlineStr">
        <is>
          <t>H</t>
        </is>
      </c>
      <c r="AV169" s="47" t="inlineStr">
        <is>
          <t>H</t>
        </is>
      </c>
      <c r="BE169" s="48">
        <f>D169*$B$6*IF($S$18="Y",1,0)</f>
        <v/>
      </c>
      <c r="BF169" s="48">
        <f>D169*$I$18</f>
        <v/>
      </c>
      <c r="BG169" s="49">
        <f>MATCH("P",$E169:$BD169,0)</f>
        <v/>
      </c>
      <c r="BH169" s="33" t="inlineStr">
        <is>
          <t>High tunnel</t>
        </is>
      </c>
      <c r="BI169" s="33">
        <f>$Q$18</f>
        <v/>
      </c>
    </row>
    <row r="170">
      <c r="A170" s="33" t="inlineStr">
        <is>
          <t>Kale W33 F</t>
        </is>
      </c>
      <c r="B170" s="33" t="inlineStr">
        <is>
          <t>Kale</t>
        </is>
      </c>
      <c r="C170" s="45" t="n">
        <v>0</v>
      </c>
      <c r="D170" s="46" t="n">
        <v>0</v>
      </c>
      <c r="AK170" s="47" t="inlineStr">
        <is>
          <t>P</t>
        </is>
      </c>
      <c r="AL170" s="47" t="inlineStr">
        <is>
          <t>G</t>
        </is>
      </c>
      <c r="AM170" s="47" t="inlineStr">
        <is>
          <t>G</t>
        </is>
      </c>
      <c r="AN170" s="47" t="inlineStr">
        <is>
          <t>G</t>
        </is>
      </c>
      <c r="AO170" s="47" t="inlineStr">
        <is>
          <t>G</t>
        </is>
      </c>
      <c r="AP170" s="47" t="inlineStr">
        <is>
          <t>G</t>
        </is>
      </c>
      <c r="AQ170" s="47" t="inlineStr">
        <is>
          <t>G</t>
        </is>
      </c>
      <c r="AR170" s="47" t="inlineStr">
        <is>
          <t>G</t>
        </is>
      </c>
      <c r="AS170" s="47" t="inlineStr">
        <is>
          <t>G</t>
        </is>
      </c>
      <c r="AT170" s="47" t="inlineStr">
        <is>
          <t>H</t>
        </is>
      </c>
      <c r="AU170" s="47" t="inlineStr">
        <is>
          <t>H</t>
        </is>
      </c>
      <c r="AV170" s="47" t="inlineStr">
        <is>
          <t>H</t>
        </is>
      </c>
      <c r="AW170" s="47" t="inlineStr">
        <is>
          <t>H</t>
        </is>
      </c>
      <c r="BE170" s="48">
        <f>D170*$B$6*IF($R$18="Y",1,0)</f>
        <v/>
      </c>
      <c r="BF170" s="48">
        <f>D170*$I$18</f>
        <v/>
      </c>
      <c r="BG170" s="49">
        <f>MATCH("P",$E170:$BD170,0)</f>
        <v/>
      </c>
      <c r="BH170" s="33" t="inlineStr">
        <is>
          <t>Open field</t>
        </is>
      </c>
      <c r="BI170" s="33">
        <f>$Q$18</f>
        <v/>
      </c>
    </row>
    <row r="171">
      <c r="A171" s="33" t="inlineStr">
        <is>
          <t>Kale W33 T</t>
        </is>
      </c>
      <c r="B171" s="33" t="inlineStr">
        <is>
          <t>Kale</t>
        </is>
      </c>
      <c r="C171" s="45" t="n">
        <v>0</v>
      </c>
      <c r="D171" s="46" t="n">
        <v>0</v>
      </c>
      <c r="AK171" s="47" t="inlineStr">
        <is>
          <t>P</t>
        </is>
      </c>
      <c r="AL171" s="47" t="inlineStr">
        <is>
          <t>G</t>
        </is>
      </c>
      <c r="AM171" s="47" t="inlineStr">
        <is>
          <t>G</t>
        </is>
      </c>
      <c r="AN171" s="47" t="inlineStr">
        <is>
          <t>G</t>
        </is>
      </c>
      <c r="AO171" s="47" t="inlineStr">
        <is>
          <t>G</t>
        </is>
      </c>
      <c r="AP171" s="47" t="inlineStr">
        <is>
          <t>G</t>
        </is>
      </c>
      <c r="AQ171" s="47" t="inlineStr">
        <is>
          <t>G</t>
        </is>
      </c>
      <c r="AR171" s="47" t="inlineStr">
        <is>
          <t>G</t>
        </is>
      </c>
      <c r="AS171" s="47" t="inlineStr">
        <is>
          <t>G</t>
        </is>
      </c>
      <c r="AT171" s="47" t="inlineStr">
        <is>
          <t>H</t>
        </is>
      </c>
      <c r="AU171" s="47" t="inlineStr">
        <is>
          <t>H</t>
        </is>
      </c>
      <c r="AV171" s="47" t="inlineStr">
        <is>
          <t>H</t>
        </is>
      </c>
      <c r="AW171" s="47" t="inlineStr">
        <is>
          <t>H</t>
        </is>
      </c>
      <c r="BE171" s="48">
        <f>D171*$B$6*IF($S$18="Y",1,0)</f>
        <v/>
      </c>
      <c r="BF171" s="48">
        <f>D171*$I$18</f>
        <v/>
      </c>
      <c r="BG171" s="49">
        <f>MATCH("P",$E171:$BD171,0)</f>
        <v/>
      </c>
      <c r="BH171" s="33" t="inlineStr">
        <is>
          <t>High tunnel</t>
        </is>
      </c>
      <c r="BI171" s="33">
        <f>$Q$18</f>
        <v/>
      </c>
    </row>
    <row r="172">
      <c r="A172" s="33" t="inlineStr">
        <is>
          <t>Kale W34 F</t>
        </is>
      </c>
      <c r="B172" s="33" t="inlineStr">
        <is>
          <t>Kale</t>
        </is>
      </c>
      <c r="C172" s="45" t="n">
        <v>0</v>
      </c>
      <c r="D172" s="46" t="n">
        <v>0</v>
      </c>
      <c r="AL172" s="47" t="inlineStr">
        <is>
          <t>P</t>
        </is>
      </c>
      <c r="AM172" s="47" t="inlineStr">
        <is>
          <t>G</t>
        </is>
      </c>
      <c r="AN172" s="47" t="inlineStr">
        <is>
          <t>G</t>
        </is>
      </c>
      <c r="AO172" s="47" t="inlineStr">
        <is>
          <t>G</t>
        </is>
      </c>
      <c r="AP172" s="47" t="inlineStr">
        <is>
          <t>G</t>
        </is>
      </c>
      <c r="AQ172" s="47" t="inlineStr">
        <is>
          <t>G</t>
        </is>
      </c>
      <c r="AR172" s="47" t="inlineStr">
        <is>
          <t>G</t>
        </is>
      </c>
      <c r="AS172" s="47" t="inlineStr">
        <is>
          <t>G</t>
        </is>
      </c>
      <c r="AT172" s="47" t="inlineStr">
        <is>
          <t>G</t>
        </is>
      </c>
      <c r="AU172" s="47" t="inlineStr">
        <is>
          <t>H</t>
        </is>
      </c>
      <c r="AV172" s="47" t="inlineStr">
        <is>
          <t>H</t>
        </is>
      </c>
      <c r="AW172" s="47" t="inlineStr">
        <is>
          <t>H</t>
        </is>
      </c>
      <c r="AX172" s="47" t="inlineStr">
        <is>
          <t>H</t>
        </is>
      </c>
      <c r="BE172" s="48">
        <f>D172*$B$6*IF($R$18="Y",1,0)</f>
        <v/>
      </c>
      <c r="BF172" s="48">
        <f>D172*$I$18</f>
        <v/>
      </c>
      <c r="BG172" s="49">
        <f>MATCH("P",$E172:$BD172,0)</f>
        <v/>
      </c>
      <c r="BH172" s="33" t="inlineStr">
        <is>
          <t>Open field</t>
        </is>
      </c>
      <c r="BI172" s="33">
        <f>$Q$18</f>
        <v/>
      </c>
    </row>
    <row r="173">
      <c r="A173" s="33" t="inlineStr">
        <is>
          <t>Kale W34 T</t>
        </is>
      </c>
      <c r="B173" s="33" t="inlineStr">
        <is>
          <t>Kale</t>
        </is>
      </c>
      <c r="C173" s="45" t="n">
        <v>0</v>
      </c>
      <c r="D173" s="46" t="n">
        <v>0</v>
      </c>
      <c r="AL173" s="47" t="inlineStr">
        <is>
          <t>P</t>
        </is>
      </c>
      <c r="AM173" s="47" t="inlineStr">
        <is>
          <t>G</t>
        </is>
      </c>
      <c r="AN173" s="47" t="inlineStr">
        <is>
          <t>G</t>
        </is>
      </c>
      <c r="AO173" s="47" t="inlineStr">
        <is>
          <t>G</t>
        </is>
      </c>
      <c r="AP173" s="47" t="inlineStr">
        <is>
          <t>G</t>
        </is>
      </c>
      <c r="AQ173" s="47" t="inlineStr">
        <is>
          <t>G</t>
        </is>
      </c>
      <c r="AR173" s="47" t="inlineStr">
        <is>
          <t>G</t>
        </is>
      </c>
      <c r="AS173" s="47" t="inlineStr">
        <is>
          <t>G</t>
        </is>
      </c>
      <c r="AT173" s="47" t="inlineStr">
        <is>
          <t>G</t>
        </is>
      </c>
      <c r="AU173" s="47" t="inlineStr">
        <is>
          <t>H</t>
        </is>
      </c>
      <c r="AV173" s="47" t="inlineStr">
        <is>
          <t>H</t>
        </is>
      </c>
      <c r="AW173" s="47" t="inlineStr">
        <is>
          <t>H</t>
        </is>
      </c>
      <c r="AX173" s="47" t="inlineStr">
        <is>
          <t>H</t>
        </is>
      </c>
      <c r="BE173" s="48">
        <f>D173*$B$6*IF($S$18="Y",1,0)</f>
        <v/>
      </c>
      <c r="BF173" s="48">
        <f>D173*$I$18</f>
        <v/>
      </c>
      <c r="BG173" s="49">
        <f>MATCH("P",$E173:$BD173,0)</f>
        <v/>
      </c>
      <c r="BH173" s="33" t="inlineStr">
        <is>
          <t>High tunnel</t>
        </is>
      </c>
      <c r="BI173" s="33">
        <f>$Q$18</f>
        <v/>
      </c>
    </row>
    <row r="174">
      <c r="A174" s="33" t="inlineStr">
        <is>
          <t>Kale W35 F</t>
        </is>
      </c>
      <c r="B174" s="33" t="inlineStr">
        <is>
          <t>Kale</t>
        </is>
      </c>
      <c r="C174" s="45" t="n">
        <v>0</v>
      </c>
      <c r="D174" s="46" t="n">
        <v>0</v>
      </c>
      <c r="AM174" s="47" t="inlineStr">
        <is>
          <t>P</t>
        </is>
      </c>
      <c r="AN174" s="47" t="inlineStr">
        <is>
          <t>G</t>
        </is>
      </c>
      <c r="AO174" s="47" t="inlineStr">
        <is>
          <t>G</t>
        </is>
      </c>
      <c r="AP174" s="47" t="inlineStr">
        <is>
          <t>G</t>
        </is>
      </c>
      <c r="AQ174" s="47" t="inlineStr">
        <is>
          <t>G</t>
        </is>
      </c>
      <c r="AR174" s="47" t="inlineStr">
        <is>
          <t>G</t>
        </is>
      </c>
      <c r="AS174" s="47" t="inlineStr">
        <is>
          <t>G</t>
        </is>
      </c>
      <c r="AT174" s="47" t="inlineStr">
        <is>
          <t>G</t>
        </is>
      </c>
      <c r="AU174" s="47" t="inlineStr">
        <is>
          <t>G</t>
        </is>
      </c>
      <c r="AV174" s="47" t="inlineStr">
        <is>
          <t>H</t>
        </is>
      </c>
      <c r="AW174" s="47" t="inlineStr">
        <is>
          <t>H</t>
        </is>
      </c>
      <c r="AX174" s="47" t="inlineStr">
        <is>
          <t>H</t>
        </is>
      </c>
      <c r="AY174" s="47" t="inlineStr">
        <is>
          <t>H</t>
        </is>
      </c>
      <c r="BE174" s="48">
        <f>D174*$B$6*IF($R$18="Y",1,0)</f>
        <v/>
      </c>
      <c r="BF174" s="48">
        <f>D174*$I$18</f>
        <v/>
      </c>
      <c r="BG174" s="49">
        <f>MATCH("P",$E174:$BD174,0)</f>
        <v/>
      </c>
      <c r="BH174" s="33" t="inlineStr">
        <is>
          <t>Open field</t>
        </is>
      </c>
      <c r="BI174" s="33">
        <f>$Q$18</f>
        <v/>
      </c>
    </row>
    <row r="175">
      <c r="A175" s="33" t="inlineStr">
        <is>
          <t>Kale W35 T</t>
        </is>
      </c>
      <c r="B175" s="33" t="inlineStr">
        <is>
          <t>Kale</t>
        </is>
      </c>
      <c r="C175" s="45" t="n">
        <v>0</v>
      </c>
      <c r="D175" s="46" t="n">
        <v>0</v>
      </c>
      <c r="AM175" s="47" t="inlineStr">
        <is>
          <t>P</t>
        </is>
      </c>
      <c r="AN175" s="47" t="inlineStr">
        <is>
          <t>G</t>
        </is>
      </c>
      <c r="AO175" s="47" t="inlineStr">
        <is>
          <t>G</t>
        </is>
      </c>
      <c r="AP175" s="47" t="inlineStr">
        <is>
          <t>G</t>
        </is>
      </c>
      <c r="AQ175" s="47" t="inlineStr">
        <is>
          <t>G</t>
        </is>
      </c>
      <c r="AR175" s="47" t="inlineStr">
        <is>
          <t>G</t>
        </is>
      </c>
      <c r="AS175" s="47" t="inlineStr">
        <is>
          <t>G</t>
        </is>
      </c>
      <c r="AT175" s="47" t="inlineStr">
        <is>
          <t>G</t>
        </is>
      </c>
      <c r="AU175" s="47" t="inlineStr">
        <is>
          <t>G</t>
        </is>
      </c>
      <c r="AV175" s="47" t="inlineStr">
        <is>
          <t>H</t>
        </is>
      </c>
      <c r="AW175" s="47" t="inlineStr">
        <is>
          <t>H</t>
        </is>
      </c>
      <c r="AX175" s="47" t="inlineStr">
        <is>
          <t>H</t>
        </is>
      </c>
      <c r="AY175" s="47" t="inlineStr">
        <is>
          <t>H</t>
        </is>
      </c>
      <c r="BE175" s="48">
        <f>D175*$B$6*IF($S$18="Y",1,0)</f>
        <v/>
      </c>
      <c r="BF175" s="48">
        <f>D175*$I$18</f>
        <v/>
      </c>
      <c r="BG175" s="49">
        <f>MATCH("P",$E175:$BD175,0)</f>
        <v/>
      </c>
      <c r="BH175" s="33" t="inlineStr">
        <is>
          <t>High tunnel</t>
        </is>
      </c>
      <c r="BI175" s="33">
        <f>$Q$18</f>
        <v/>
      </c>
    </row>
    <row r="176">
      <c r="A176" s="33" t="inlineStr">
        <is>
          <t>Kale W36 F</t>
        </is>
      </c>
      <c r="B176" s="33" t="inlineStr">
        <is>
          <t>Kale</t>
        </is>
      </c>
      <c r="C176" s="45" t="n">
        <v>0</v>
      </c>
      <c r="D176" s="46" t="n">
        <v>0</v>
      </c>
      <c r="AN176" s="47" t="inlineStr">
        <is>
          <t>P</t>
        </is>
      </c>
      <c r="AO176" s="47" t="inlineStr">
        <is>
          <t>G</t>
        </is>
      </c>
      <c r="AP176" s="47" t="inlineStr">
        <is>
          <t>G</t>
        </is>
      </c>
      <c r="AQ176" s="47" t="inlineStr">
        <is>
          <t>G</t>
        </is>
      </c>
      <c r="AR176" s="47" t="inlineStr">
        <is>
          <t>G</t>
        </is>
      </c>
      <c r="AS176" s="47" t="inlineStr">
        <is>
          <t>G</t>
        </is>
      </c>
      <c r="AT176" s="47" t="inlineStr">
        <is>
          <t>G</t>
        </is>
      </c>
      <c r="AU176" s="47" t="inlineStr">
        <is>
          <t>G</t>
        </is>
      </c>
      <c r="AV176" s="47" t="inlineStr">
        <is>
          <t>G</t>
        </is>
      </c>
      <c r="AW176" s="47" t="inlineStr">
        <is>
          <t>H</t>
        </is>
      </c>
      <c r="AX176" s="47" t="inlineStr">
        <is>
          <t>H</t>
        </is>
      </c>
      <c r="AY176" s="47" t="inlineStr">
        <is>
          <t>H</t>
        </is>
      </c>
      <c r="AZ176" s="47" t="inlineStr">
        <is>
          <t>H</t>
        </is>
      </c>
      <c r="BE176" s="48">
        <f>D176*$B$6*IF($R$18="Y",1,0)</f>
        <v/>
      </c>
      <c r="BF176" s="48">
        <f>D176*$I$18</f>
        <v/>
      </c>
      <c r="BG176" s="49">
        <f>MATCH("P",$E176:$BD176,0)</f>
        <v/>
      </c>
      <c r="BH176" s="33" t="inlineStr">
        <is>
          <t>Open field</t>
        </is>
      </c>
      <c r="BI176" s="33">
        <f>$Q$18</f>
        <v/>
      </c>
    </row>
    <row r="177">
      <c r="A177" s="33" t="inlineStr">
        <is>
          <t>Kale W36 T</t>
        </is>
      </c>
      <c r="B177" s="33" t="inlineStr">
        <is>
          <t>Kale</t>
        </is>
      </c>
      <c r="C177" s="45" t="n">
        <v>0</v>
      </c>
      <c r="D177" s="46" t="n">
        <v>0</v>
      </c>
      <c r="AN177" s="47" t="inlineStr">
        <is>
          <t>P</t>
        </is>
      </c>
      <c r="AO177" s="47" t="inlineStr">
        <is>
          <t>G</t>
        </is>
      </c>
      <c r="AP177" s="47" t="inlineStr">
        <is>
          <t>G</t>
        </is>
      </c>
      <c r="AQ177" s="47" t="inlineStr">
        <is>
          <t>G</t>
        </is>
      </c>
      <c r="AR177" s="47" t="inlineStr">
        <is>
          <t>G</t>
        </is>
      </c>
      <c r="AS177" s="47" t="inlineStr">
        <is>
          <t>G</t>
        </is>
      </c>
      <c r="AT177" s="47" t="inlineStr">
        <is>
          <t>G</t>
        </is>
      </c>
      <c r="AU177" s="47" t="inlineStr">
        <is>
          <t>G</t>
        </is>
      </c>
      <c r="AV177" s="47" t="inlineStr">
        <is>
          <t>G</t>
        </is>
      </c>
      <c r="AW177" s="47" t="inlineStr">
        <is>
          <t>H</t>
        </is>
      </c>
      <c r="AX177" s="47" t="inlineStr">
        <is>
          <t>H</t>
        </is>
      </c>
      <c r="AY177" s="47" t="inlineStr">
        <is>
          <t>H</t>
        </is>
      </c>
      <c r="AZ177" s="47" t="inlineStr">
        <is>
          <t>H</t>
        </is>
      </c>
      <c r="BE177" s="48">
        <f>D177*$B$6*IF($S$18="Y",1,0)</f>
        <v/>
      </c>
      <c r="BF177" s="48">
        <f>D177*$I$18</f>
        <v/>
      </c>
      <c r="BG177" s="49">
        <f>MATCH("P",$E177:$BD177,0)</f>
        <v/>
      </c>
      <c r="BH177" s="33" t="inlineStr">
        <is>
          <t>High tunnel</t>
        </is>
      </c>
      <c r="BI177" s="33">
        <f>$Q$18</f>
        <v/>
      </c>
    </row>
    <row r="178">
      <c r="A178" s="33" t="inlineStr">
        <is>
          <t>Kale W37 F</t>
        </is>
      </c>
      <c r="B178" s="33" t="inlineStr">
        <is>
          <t>Kale</t>
        </is>
      </c>
      <c r="C178" s="45" t="n">
        <v>0</v>
      </c>
      <c r="D178" s="46" t="n">
        <v>0</v>
      </c>
      <c r="AO178" s="47" t="inlineStr">
        <is>
          <t>P</t>
        </is>
      </c>
      <c r="AP178" s="47" t="inlineStr">
        <is>
          <t>G</t>
        </is>
      </c>
      <c r="AQ178" s="47" t="inlineStr">
        <is>
          <t>G</t>
        </is>
      </c>
      <c r="AR178" s="47" t="inlineStr">
        <is>
          <t>G</t>
        </is>
      </c>
      <c r="AS178" s="47" t="inlineStr">
        <is>
          <t>G</t>
        </is>
      </c>
      <c r="AT178" s="47" t="inlineStr">
        <is>
          <t>G</t>
        </is>
      </c>
      <c r="AU178" s="47" t="inlineStr">
        <is>
          <t>G</t>
        </is>
      </c>
      <c r="AV178" s="47" t="inlineStr">
        <is>
          <t>G</t>
        </is>
      </c>
      <c r="AW178" s="47" t="inlineStr">
        <is>
          <t>G</t>
        </is>
      </c>
      <c r="AX178" s="47" t="inlineStr">
        <is>
          <t>H</t>
        </is>
      </c>
      <c r="AY178" s="47" t="inlineStr">
        <is>
          <t>H</t>
        </is>
      </c>
      <c r="AZ178" s="47" t="inlineStr">
        <is>
          <t>H</t>
        </is>
      </c>
      <c r="BA178" s="47" t="inlineStr">
        <is>
          <t>H</t>
        </is>
      </c>
      <c r="BE178" s="48">
        <f>D178*$B$6*IF($R$18="Y",1,0)</f>
        <v/>
      </c>
      <c r="BF178" s="48">
        <f>D178*$I$18</f>
        <v/>
      </c>
      <c r="BG178" s="49">
        <f>MATCH("P",$E178:$BD178,0)</f>
        <v/>
      </c>
      <c r="BH178" s="33" t="inlineStr">
        <is>
          <t>Open field</t>
        </is>
      </c>
      <c r="BI178" s="33">
        <f>$Q$18</f>
        <v/>
      </c>
    </row>
    <row r="179">
      <c r="A179" s="33" t="inlineStr">
        <is>
          <t>Kale W37 T</t>
        </is>
      </c>
      <c r="B179" s="33" t="inlineStr">
        <is>
          <t>Kale</t>
        </is>
      </c>
      <c r="C179" s="45" t="n">
        <v>0</v>
      </c>
      <c r="D179" s="46" t="n">
        <v>0</v>
      </c>
      <c r="AO179" s="47" t="inlineStr">
        <is>
          <t>P</t>
        </is>
      </c>
      <c r="AP179" s="47" t="inlineStr">
        <is>
          <t>G</t>
        </is>
      </c>
      <c r="AQ179" s="47" t="inlineStr">
        <is>
          <t>G</t>
        </is>
      </c>
      <c r="AR179" s="47" t="inlineStr">
        <is>
          <t>G</t>
        </is>
      </c>
      <c r="AS179" s="47" t="inlineStr">
        <is>
          <t>G</t>
        </is>
      </c>
      <c r="AT179" s="47" t="inlineStr">
        <is>
          <t>G</t>
        </is>
      </c>
      <c r="AU179" s="47" t="inlineStr">
        <is>
          <t>G</t>
        </is>
      </c>
      <c r="AV179" s="47" t="inlineStr">
        <is>
          <t>G</t>
        </is>
      </c>
      <c r="AW179" s="47" t="inlineStr">
        <is>
          <t>G</t>
        </is>
      </c>
      <c r="AX179" s="47" t="inlineStr">
        <is>
          <t>H</t>
        </is>
      </c>
      <c r="AY179" s="47" t="inlineStr">
        <is>
          <t>H</t>
        </is>
      </c>
      <c r="AZ179" s="47" t="inlineStr">
        <is>
          <t>H</t>
        </is>
      </c>
      <c r="BA179" s="47" t="inlineStr">
        <is>
          <t>H</t>
        </is>
      </c>
      <c r="BE179" s="48">
        <f>D179*$B$6*IF($S$18="Y",1,0)</f>
        <v/>
      </c>
      <c r="BF179" s="48">
        <f>D179*$I$18</f>
        <v/>
      </c>
      <c r="BG179" s="49">
        <f>MATCH("P",$E179:$BD179,0)</f>
        <v/>
      </c>
      <c r="BH179" s="33" t="inlineStr">
        <is>
          <t>High tunnel</t>
        </is>
      </c>
      <c r="BI179" s="33">
        <f>$Q$18</f>
        <v/>
      </c>
    </row>
    <row r="180">
      <c r="A180" s="33" t="inlineStr">
        <is>
          <t>Kale W38 F</t>
        </is>
      </c>
      <c r="B180" s="33" t="inlineStr">
        <is>
          <t>Kale</t>
        </is>
      </c>
      <c r="C180" s="45" t="n">
        <v>0</v>
      </c>
      <c r="D180" s="46" t="n">
        <v>0</v>
      </c>
      <c r="AP180" s="47" t="inlineStr">
        <is>
          <t>P</t>
        </is>
      </c>
      <c r="AQ180" s="47" t="inlineStr">
        <is>
          <t>G</t>
        </is>
      </c>
      <c r="AR180" s="47" t="inlineStr">
        <is>
          <t>G</t>
        </is>
      </c>
      <c r="AS180" s="47" t="inlineStr">
        <is>
          <t>G</t>
        </is>
      </c>
      <c r="AT180" s="47" t="inlineStr">
        <is>
          <t>G</t>
        </is>
      </c>
      <c r="AU180" s="47" t="inlineStr">
        <is>
          <t>G</t>
        </is>
      </c>
      <c r="AV180" s="47" t="inlineStr">
        <is>
          <t>G</t>
        </is>
      </c>
      <c r="AW180" s="47" t="inlineStr">
        <is>
          <t>G</t>
        </is>
      </c>
      <c r="AX180" s="47" t="inlineStr">
        <is>
          <t>G</t>
        </is>
      </c>
      <c r="AY180" s="47" t="inlineStr">
        <is>
          <t>H</t>
        </is>
      </c>
      <c r="AZ180" s="47" t="inlineStr">
        <is>
          <t>H</t>
        </is>
      </c>
      <c r="BA180" s="47" t="inlineStr">
        <is>
          <t>H</t>
        </is>
      </c>
      <c r="BB180" s="47" t="inlineStr">
        <is>
          <t>H</t>
        </is>
      </c>
      <c r="BE180" s="48">
        <f>D180*$B$6*IF($R$18="Y",1,0)</f>
        <v/>
      </c>
      <c r="BF180" s="48">
        <f>D180*$I$18</f>
        <v/>
      </c>
      <c r="BG180" s="49">
        <f>MATCH("P",$E180:$BD180,0)</f>
        <v/>
      </c>
      <c r="BH180" s="33" t="inlineStr">
        <is>
          <t>Open field</t>
        </is>
      </c>
      <c r="BI180" s="33">
        <f>$Q$18</f>
        <v/>
      </c>
    </row>
    <row r="181">
      <c r="A181" s="33" t="inlineStr">
        <is>
          <t>Kale W38 T</t>
        </is>
      </c>
      <c r="B181" s="33" t="inlineStr">
        <is>
          <t>Kale</t>
        </is>
      </c>
      <c r="C181" s="45" t="n">
        <v>0</v>
      </c>
      <c r="D181" s="46" t="n">
        <v>0</v>
      </c>
      <c r="AP181" s="47" t="inlineStr">
        <is>
          <t>P</t>
        </is>
      </c>
      <c r="AQ181" s="47" t="inlineStr">
        <is>
          <t>G</t>
        </is>
      </c>
      <c r="AR181" s="47" t="inlineStr">
        <is>
          <t>G</t>
        </is>
      </c>
      <c r="AS181" s="47" t="inlineStr">
        <is>
          <t>G</t>
        </is>
      </c>
      <c r="AT181" s="47" t="inlineStr">
        <is>
          <t>G</t>
        </is>
      </c>
      <c r="AU181" s="47" t="inlineStr">
        <is>
          <t>G</t>
        </is>
      </c>
      <c r="AV181" s="47" t="inlineStr">
        <is>
          <t>G</t>
        </is>
      </c>
      <c r="AW181" s="47" t="inlineStr">
        <is>
          <t>G</t>
        </is>
      </c>
      <c r="AX181" s="47" t="inlineStr">
        <is>
          <t>G</t>
        </is>
      </c>
      <c r="AY181" s="47" t="inlineStr">
        <is>
          <t>H</t>
        </is>
      </c>
      <c r="AZ181" s="47" t="inlineStr">
        <is>
          <t>H</t>
        </is>
      </c>
      <c r="BA181" s="47" t="inlineStr">
        <is>
          <t>H</t>
        </is>
      </c>
      <c r="BB181" s="47" t="inlineStr">
        <is>
          <t>H</t>
        </is>
      </c>
      <c r="BE181" s="48">
        <f>D181*$B$6*IF($S$18="Y",1,0)</f>
        <v/>
      </c>
      <c r="BF181" s="48">
        <f>D181*$I$18</f>
        <v/>
      </c>
      <c r="BG181" s="49">
        <f>MATCH("P",$E181:$BD181,0)</f>
        <v/>
      </c>
      <c r="BH181" s="33" t="inlineStr">
        <is>
          <t>High tunnel</t>
        </is>
      </c>
      <c r="BI181" s="33">
        <f>$Q$18</f>
        <v/>
      </c>
    </row>
    <row r="182">
      <c r="A182" s="33" t="inlineStr">
        <is>
          <t>Kale W39 F</t>
        </is>
      </c>
      <c r="B182" s="33" t="inlineStr">
        <is>
          <t>Kale</t>
        </is>
      </c>
      <c r="C182" s="45" t="n">
        <v>0</v>
      </c>
      <c r="D182" s="46" t="n">
        <v>0</v>
      </c>
      <c r="AQ182" s="47" t="inlineStr">
        <is>
          <t>P</t>
        </is>
      </c>
      <c r="AR182" s="47" t="inlineStr">
        <is>
          <t>G</t>
        </is>
      </c>
      <c r="AS182" s="47" t="inlineStr">
        <is>
          <t>G</t>
        </is>
      </c>
      <c r="AT182" s="47" t="inlineStr">
        <is>
          <t>G</t>
        </is>
      </c>
      <c r="AU182" s="47" t="inlineStr">
        <is>
          <t>G</t>
        </is>
      </c>
      <c r="AV182" s="47" t="inlineStr">
        <is>
          <t>G</t>
        </is>
      </c>
      <c r="AW182" s="47" t="inlineStr">
        <is>
          <t>G</t>
        </is>
      </c>
      <c r="AX182" s="47" t="inlineStr">
        <is>
          <t>G</t>
        </is>
      </c>
      <c r="AY182" s="47" t="inlineStr">
        <is>
          <t>G</t>
        </is>
      </c>
      <c r="AZ182" s="47" t="inlineStr">
        <is>
          <t>H</t>
        </is>
      </c>
      <c r="BA182" s="47" t="inlineStr">
        <is>
          <t>H</t>
        </is>
      </c>
      <c r="BB182" s="47" t="inlineStr">
        <is>
          <t>H</t>
        </is>
      </c>
      <c r="BC182" s="47" t="inlineStr">
        <is>
          <t>H</t>
        </is>
      </c>
      <c r="BE182" s="48">
        <f>D182*$B$6*IF($R$18="Y",1,0)</f>
        <v/>
      </c>
      <c r="BF182" s="48">
        <f>D182*$I$18</f>
        <v/>
      </c>
      <c r="BG182" s="49">
        <f>MATCH("P",$E182:$BD182,0)</f>
        <v/>
      </c>
      <c r="BH182" s="33" t="inlineStr">
        <is>
          <t>Open field</t>
        </is>
      </c>
      <c r="BI182" s="33">
        <f>$Q$18</f>
        <v/>
      </c>
    </row>
    <row r="183">
      <c r="A183" s="33" t="inlineStr">
        <is>
          <t>Kale W39 T</t>
        </is>
      </c>
      <c r="B183" s="33" t="inlineStr">
        <is>
          <t>Kale</t>
        </is>
      </c>
      <c r="C183" s="45" t="n">
        <v>0</v>
      </c>
      <c r="D183" s="46" t="n">
        <v>0</v>
      </c>
      <c r="AQ183" s="47" t="inlineStr">
        <is>
          <t>P</t>
        </is>
      </c>
      <c r="AR183" s="47" t="inlineStr">
        <is>
          <t>G</t>
        </is>
      </c>
      <c r="AS183" s="47" t="inlineStr">
        <is>
          <t>G</t>
        </is>
      </c>
      <c r="AT183" s="47" t="inlineStr">
        <is>
          <t>G</t>
        </is>
      </c>
      <c r="AU183" s="47" t="inlineStr">
        <is>
          <t>G</t>
        </is>
      </c>
      <c r="AV183" s="47" t="inlineStr">
        <is>
          <t>G</t>
        </is>
      </c>
      <c r="AW183" s="47" t="inlineStr">
        <is>
          <t>G</t>
        </is>
      </c>
      <c r="AX183" s="47" t="inlineStr">
        <is>
          <t>G</t>
        </is>
      </c>
      <c r="AY183" s="47" t="inlineStr">
        <is>
          <t>G</t>
        </is>
      </c>
      <c r="AZ183" s="47" t="inlineStr">
        <is>
          <t>H</t>
        </is>
      </c>
      <c r="BA183" s="47" t="inlineStr">
        <is>
          <t>H</t>
        </is>
      </c>
      <c r="BB183" s="47" t="inlineStr">
        <is>
          <t>H</t>
        </is>
      </c>
      <c r="BC183" s="47" t="inlineStr">
        <is>
          <t>H</t>
        </is>
      </c>
      <c r="BE183" s="48">
        <f>D183*$B$6*IF($S$18="Y",1,0)</f>
        <v/>
      </c>
      <c r="BF183" s="48">
        <f>D183*$I$18</f>
        <v/>
      </c>
      <c r="BG183" s="49">
        <f>MATCH("P",$E183:$BD183,0)</f>
        <v/>
      </c>
      <c r="BH183" s="33" t="inlineStr">
        <is>
          <t>High tunnel</t>
        </is>
      </c>
      <c r="BI183" s="33">
        <f>$Q$18</f>
        <v/>
      </c>
    </row>
    <row r="184">
      <c r="A184" s="33" t="inlineStr">
        <is>
          <t>Kale W40 F</t>
        </is>
      </c>
      <c r="B184" s="33" t="inlineStr">
        <is>
          <t>Kale</t>
        </is>
      </c>
      <c r="C184" s="45" t="n">
        <v>0</v>
      </c>
      <c r="D184" s="46" t="n">
        <v>0</v>
      </c>
      <c r="AR184" s="47" t="inlineStr">
        <is>
          <t>P</t>
        </is>
      </c>
      <c r="AS184" s="47" t="inlineStr">
        <is>
          <t>G</t>
        </is>
      </c>
      <c r="AT184" s="47" t="inlineStr">
        <is>
          <t>G</t>
        </is>
      </c>
      <c r="AU184" s="47" t="inlineStr">
        <is>
          <t>G</t>
        </is>
      </c>
      <c r="AV184" s="47" t="inlineStr">
        <is>
          <t>G</t>
        </is>
      </c>
      <c r="AW184" s="47" t="inlineStr">
        <is>
          <t>G</t>
        </is>
      </c>
      <c r="AX184" s="47" t="inlineStr">
        <is>
          <t>G</t>
        </is>
      </c>
      <c r="AY184" s="47" t="inlineStr">
        <is>
          <t>G</t>
        </is>
      </c>
      <c r="AZ184" s="47" t="inlineStr">
        <is>
          <t>G</t>
        </is>
      </c>
      <c r="BA184" s="47" t="inlineStr">
        <is>
          <t>H</t>
        </is>
      </c>
      <c r="BB184" s="47" t="inlineStr">
        <is>
          <t>H</t>
        </is>
      </c>
      <c r="BC184" s="47" t="inlineStr">
        <is>
          <t>H</t>
        </is>
      </c>
      <c r="BD184" s="47" t="inlineStr">
        <is>
          <t>H</t>
        </is>
      </c>
      <c r="BE184" s="48">
        <f>D184*$B$6*IF($R$18="Y",1,0)</f>
        <v/>
      </c>
      <c r="BF184" s="48">
        <f>D184*$I$18</f>
        <v/>
      </c>
      <c r="BG184" s="49">
        <f>MATCH("P",$E184:$BD184,0)</f>
        <v/>
      </c>
      <c r="BH184" s="33" t="inlineStr">
        <is>
          <t>Open field</t>
        </is>
      </c>
      <c r="BI184" s="33">
        <f>$Q$18</f>
        <v/>
      </c>
    </row>
    <row r="185">
      <c r="A185" s="33" t="inlineStr">
        <is>
          <t>Kale W40 T</t>
        </is>
      </c>
      <c r="B185" s="33" t="inlineStr">
        <is>
          <t>Kale</t>
        </is>
      </c>
      <c r="C185" s="45" t="n">
        <v>0</v>
      </c>
      <c r="D185" s="46" t="n">
        <v>0</v>
      </c>
      <c r="AR185" s="47" t="inlineStr">
        <is>
          <t>P</t>
        </is>
      </c>
      <c r="AS185" s="47" t="inlineStr">
        <is>
          <t>G</t>
        </is>
      </c>
      <c r="AT185" s="47" t="inlineStr">
        <is>
          <t>G</t>
        </is>
      </c>
      <c r="AU185" s="47" t="inlineStr">
        <is>
          <t>G</t>
        </is>
      </c>
      <c r="AV185" s="47" t="inlineStr">
        <is>
          <t>G</t>
        </is>
      </c>
      <c r="AW185" s="47" t="inlineStr">
        <is>
          <t>G</t>
        </is>
      </c>
      <c r="AX185" s="47" t="inlineStr">
        <is>
          <t>G</t>
        </is>
      </c>
      <c r="AY185" s="47" t="inlineStr">
        <is>
          <t>G</t>
        </is>
      </c>
      <c r="AZ185" s="47" t="inlineStr">
        <is>
          <t>G</t>
        </is>
      </c>
      <c r="BA185" s="47" t="inlineStr">
        <is>
          <t>H</t>
        </is>
      </c>
      <c r="BB185" s="47" t="inlineStr">
        <is>
          <t>H</t>
        </is>
      </c>
      <c r="BC185" s="47" t="inlineStr">
        <is>
          <t>H</t>
        </is>
      </c>
      <c r="BD185" s="47" t="inlineStr">
        <is>
          <t>H</t>
        </is>
      </c>
      <c r="BE185" s="48">
        <f>D185*$B$6*IF($S$18="Y",1,0)</f>
        <v/>
      </c>
      <c r="BF185" s="48">
        <f>D185*$I$18</f>
        <v/>
      </c>
      <c r="BG185" s="49">
        <f>MATCH("P",$E185:$BD185,0)</f>
        <v/>
      </c>
      <c r="BH185" s="33" t="inlineStr">
        <is>
          <t>High tunnel</t>
        </is>
      </c>
      <c r="BI185" s="33">
        <f>$Q$18</f>
        <v/>
      </c>
    </row>
    <row r="186">
      <c r="A186" s="33" t="inlineStr">
        <is>
          <t>Garlic W46</t>
        </is>
      </c>
      <c r="B186" s="33" t="inlineStr">
        <is>
          <t>Garlic</t>
        </is>
      </c>
      <c r="C186" s="45" t="n">
        <v>0</v>
      </c>
      <c r="D186" s="46" t="n">
        <v>0</v>
      </c>
      <c r="E186" s="47" t="inlineStr">
        <is>
          <t>G</t>
        </is>
      </c>
      <c r="F186" s="47" t="inlineStr">
        <is>
          <t>G</t>
        </is>
      </c>
      <c r="G186" s="47" t="inlineStr">
        <is>
          <t>G</t>
        </is>
      </c>
      <c r="H186" s="47" t="inlineStr">
        <is>
          <t>G</t>
        </is>
      </c>
      <c r="I186" s="47" t="inlineStr">
        <is>
          <t>G</t>
        </is>
      </c>
      <c r="J186" s="47" t="inlineStr">
        <is>
          <t>G</t>
        </is>
      </c>
      <c r="K186" s="47" t="inlineStr">
        <is>
          <t>G</t>
        </is>
      </c>
      <c r="L186" s="47" t="inlineStr">
        <is>
          <t>G</t>
        </is>
      </c>
      <c r="M186" s="47" t="inlineStr">
        <is>
          <t>G</t>
        </is>
      </c>
      <c r="N186" s="47" t="inlineStr">
        <is>
          <t>G</t>
        </is>
      </c>
      <c r="O186" s="47" t="inlineStr">
        <is>
          <t>G</t>
        </is>
      </c>
      <c r="P186" s="47" t="inlineStr">
        <is>
          <t>G</t>
        </is>
      </c>
      <c r="Q186" s="47" t="inlineStr">
        <is>
          <t>G</t>
        </is>
      </c>
      <c r="R186" s="47" t="inlineStr">
        <is>
          <t>G</t>
        </is>
      </c>
      <c r="S186" s="47" t="inlineStr">
        <is>
          <t>G</t>
        </is>
      </c>
      <c r="T186" s="47" t="inlineStr">
        <is>
          <t>G</t>
        </is>
      </c>
      <c r="U186" s="47" t="inlineStr">
        <is>
          <t>G</t>
        </is>
      </c>
      <c r="V186" s="47" t="inlineStr">
        <is>
          <t>G</t>
        </is>
      </c>
      <c r="W186" s="47" t="inlineStr">
        <is>
          <t>G</t>
        </is>
      </c>
      <c r="X186" s="47" t="inlineStr">
        <is>
          <t>G</t>
        </is>
      </c>
      <c r="Y186" s="47" t="inlineStr">
        <is>
          <t>G</t>
        </is>
      </c>
      <c r="Z186" s="47" t="inlineStr">
        <is>
          <t>G</t>
        </is>
      </c>
      <c r="AA186" s="47" t="inlineStr">
        <is>
          <t>G</t>
        </is>
      </c>
      <c r="AB186" s="47" t="inlineStr">
        <is>
          <t>G</t>
        </is>
      </c>
      <c r="AC186" s="47" t="inlineStr">
        <is>
          <t>G</t>
        </is>
      </c>
      <c r="AD186" s="47" t="inlineStr">
        <is>
          <t>G</t>
        </is>
      </c>
      <c r="AE186" s="47" t="inlineStr">
        <is>
          <t>G</t>
        </is>
      </c>
      <c r="AF186" s="47" t="inlineStr">
        <is>
          <t>G</t>
        </is>
      </c>
      <c r="AG186" s="47" t="inlineStr">
        <is>
          <t>H</t>
        </is>
      </c>
      <c r="AX186" s="47" t="inlineStr">
        <is>
          <t>P</t>
        </is>
      </c>
      <c r="AY186" s="47" t="inlineStr">
        <is>
          <t>P</t>
        </is>
      </c>
      <c r="AZ186" s="47" t="inlineStr">
        <is>
          <t>P</t>
        </is>
      </c>
      <c r="BA186" s="47" t="inlineStr">
        <is>
          <t>G</t>
        </is>
      </c>
      <c r="BB186" s="47" t="inlineStr">
        <is>
          <t>G</t>
        </is>
      </c>
      <c r="BC186" s="47" t="inlineStr">
        <is>
          <t>G</t>
        </is>
      </c>
      <c r="BD186" s="47" t="inlineStr">
        <is>
          <t>G</t>
        </is>
      </c>
      <c r="BE186" s="48">
        <f>D186*$B$6*IF($R$19="Y",1,0)</f>
        <v/>
      </c>
      <c r="BF186" s="48">
        <f>D186*$I$19</f>
        <v/>
      </c>
      <c r="BG186" s="49">
        <f>MATCH("P",$E186:$BD186,0)</f>
        <v/>
      </c>
      <c r="BH186" s="33" t="inlineStr">
        <is>
          <t>Open field</t>
        </is>
      </c>
      <c r="BI186" s="33">
        <f>$Q$19</f>
        <v/>
      </c>
    </row>
    <row r="187">
      <c r="A187" s="33" t="inlineStr">
        <is>
          <t>Garlic W47</t>
        </is>
      </c>
      <c r="B187" s="33" t="inlineStr">
        <is>
          <t>Garlic</t>
        </is>
      </c>
      <c r="C187" s="45" t="n">
        <v>0</v>
      </c>
      <c r="D187" s="46" t="n">
        <v>0</v>
      </c>
      <c r="E187" s="47" t="inlineStr">
        <is>
          <t>G</t>
        </is>
      </c>
      <c r="F187" s="47" t="inlineStr">
        <is>
          <t>G</t>
        </is>
      </c>
      <c r="G187" s="47" t="inlineStr">
        <is>
          <t>G</t>
        </is>
      </c>
      <c r="H187" s="47" t="inlineStr">
        <is>
          <t>G</t>
        </is>
      </c>
      <c r="I187" s="47" t="inlineStr">
        <is>
          <t>G</t>
        </is>
      </c>
      <c r="J187" s="47" t="inlineStr">
        <is>
          <t>G</t>
        </is>
      </c>
      <c r="K187" s="47" t="inlineStr">
        <is>
          <t>G</t>
        </is>
      </c>
      <c r="L187" s="47" t="inlineStr">
        <is>
          <t>G</t>
        </is>
      </c>
      <c r="M187" s="47" t="inlineStr">
        <is>
          <t>G</t>
        </is>
      </c>
      <c r="N187" s="47" t="inlineStr">
        <is>
          <t>G</t>
        </is>
      </c>
      <c r="O187" s="47" t="inlineStr">
        <is>
          <t>G</t>
        </is>
      </c>
      <c r="P187" s="47" t="inlineStr">
        <is>
          <t>G</t>
        </is>
      </c>
      <c r="Q187" s="47" t="inlineStr">
        <is>
          <t>G</t>
        </is>
      </c>
      <c r="R187" s="47" t="inlineStr">
        <is>
          <t>G</t>
        </is>
      </c>
      <c r="S187" s="47" t="inlineStr">
        <is>
          <t>G</t>
        </is>
      </c>
      <c r="T187" s="47" t="inlineStr">
        <is>
          <t>G</t>
        </is>
      </c>
      <c r="U187" s="47" t="inlineStr">
        <is>
          <t>G</t>
        </is>
      </c>
      <c r="V187" s="47" t="inlineStr">
        <is>
          <t>G</t>
        </is>
      </c>
      <c r="W187" s="47" t="inlineStr">
        <is>
          <t>G</t>
        </is>
      </c>
      <c r="X187" s="47" t="inlineStr">
        <is>
          <t>G</t>
        </is>
      </c>
      <c r="Y187" s="47" t="inlineStr">
        <is>
          <t>G</t>
        </is>
      </c>
      <c r="Z187" s="47" t="inlineStr">
        <is>
          <t>G</t>
        </is>
      </c>
      <c r="AA187" s="47" t="inlineStr">
        <is>
          <t>G</t>
        </is>
      </c>
      <c r="AB187" s="47" t="inlineStr">
        <is>
          <t>G</t>
        </is>
      </c>
      <c r="AC187" s="47" t="inlineStr">
        <is>
          <t>G</t>
        </is>
      </c>
      <c r="AD187" s="47" t="inlineStr">
        <is>
          <t>G</t>
        </is>
      </c>
      <c r="AE187" s="47" t="inlineStr">
        <is>
          <t>G</t>
        </is>
      </c>
      <c r="AF187" s="47" t="inlineStr">
        <is>
          <t>G</t>
        </is>
      </c>
      <c r="AG187" s="47" t="inlineStr">
        <is>
          <t>G</t>
        </is>
      </c>
      <c r="AH187" s="47" t="inlineStr">
        <is>
          <t>H</t>
        </is>
      </c>
      <c r="AY187" s="47" t="inlineStr">
        <is>
          <t>P</t>
        </is>
      </c>
      <c r="AZ187" s="47" t="inlineStr">
        <is>
          <t>P</t>
        </is>
      </c>
      <c r="BA187" s="47" t="inlineStr">
        <is>
          <t>P</t>
        </is>
      </c>
      <c r="BB187" s="47" t="inlineStr">
        <is>
          <t>G</t>
        </is>
      </c>
      <c r="BC187" s="47" t="inlineStr">
        <is>
          <t>G</t>
        </is>
      </c>
      <c r="BD187" s="47" t="inlineStr">
        <is>
          <t>G</t>
        </is>
      </c>
      <c r="BE187" s="48">
        <f>D187*$B$6*IF($R$19="Y",1,0)</f>
        <v/>
      </c>
      <c r="BF187" s="48">
        <f>D187*$I$19</f>
        <v/>
      </c>
      <c r="BG187" s="49">
        <f>MATCH("P",$E187:$BD187,0)</f>
        <v/>
      </c>
      <c r="BH187" s="33" t="inlineStr">
        <is>
          <t>Open field</t>
        </is>
      </c>
      <c r="BI187" s="33">
        <f>$Q$19</f>
        <v/>
      </c>
    </row>
    <row r="188">
      <c r="A188" s="33" t="inlineStr">
        <is>
          <t>Garlic W48</t>
        </is>
      </c>
      <c r="B188" s="33" t="inlineStr">
        <is>
          <t>Garlic</t>
        </is>
      </c>
      <c r="C188" s="45" t="n">
        <v>0</v>
      </c>
      <c r="D188" s="46" t="n">
        <v>0</v>
      </c>
      <c r="E188" s="47" t="inlineStr">
        <is>
          <t>G</t>
        </is>
      </c>
      <c r="F188" s="47" t="inlineStr">
        <is>
          <t>G</t>
        </is>
      </c>
      <c r="G188" s="47" t="inlineStr">
        <is>
          <t>G</t>
        </is>
      </c>
      <c r="H188" s="47" t="inlineStr">
        <is>
          <t>G</t>
        </is>
      </c>
      <c r="I188" s="47" t="inlineStr">
        <is>
          <t>G</t>
        </is>
      </c>
      <c r="J188" s="47" t="inlineStr">
        <is>
          <t>G</t>
        </is>
      </c>
      <c r="K188" s="47" t="inlineStr">
        <is>
          <t>G</t>
        </is>
      </c>
      <c r="L188" s="47" t="inlineStr">
        <is>
          <t>G</t>
        </is>
      </c>
      <c r="M188" s="47" t="inlineStr">
        <is>
          <t>G</t>
        </is>
      </c>
      <c r="N188" s="47" t="inlineStr">
        <is>
          <t>G</t>
        </is>
      </c>
      <c r="O188" s="47" t="inlineStr">
        <is>
          <t>G</t>
        </is>
      </c>
      <c r="P188" s="47" t="inlineStr">
        <is>
          <t>G</t>
        </is>
      </c>
      <c r="Q188" s="47" t="inlineStr">
        <is>
          <t>G</t>
        </is>
      </c>
      <c r="R188" s="47" t="inlineStr">
        <is>
          <t>G</t>
        </is>
      </c>
      <c r="S188" s="47" t="inlineStr">
        <is>
          <t>G</t>
        </is>
      </c>
      <c r="T188" s="47" t="inlineStr">
        <is>
          <t>G</t>
        </is>
      </c>
      <c r="U188" s="47" t="inlineStr">
        <is>
          <t>G</t>
        </is>
      </c>
      <c r="V188" s="47" t="inlineStr">
        <is>
          <t>G</t>
        </is>
      </c>
      <c r="W188" s="47" t="inlineStr">
        <is>
          <t>G</t>
        </is>
      </c>
      <c r="X188" s="47" t="inlineStr">
        <is>
          <t>G</t>
        </is>
      </c>
      <c r="Y188" s="47" t="inlineStr">
        <is>
          <t>G</t>
        </is>
      </c>
      <c r="Z188" s="47" t="inlineStr">
        <is>
          <t>G</t>
        </is>
      </c>
      <c r="AA188" s="47" t="inlineStr">
        <is>
          <t>G</t>
        </is>
      </c>
      <c r="AB188" s="47" t="inlineStr">
        <is>
          <t>G</t>
        </is>
      </c>
      <c r="AC188" s="47" t="inlineStr">
        <is>
          <t>G</t>
        </is>
      </c>
      <c r="AD188" s="47" t="inlineStr">
        <is>
          <t>G</t>
        </is>
      </c>
      <c r="AE188" s="47" t="inlineStr">
        <is>
          <t>G</t>
        </is>
      </c>
      <c r="AF188" s="47" t="inlineStr">
        <is>
          <t>G</t>
        </is>
      </c>
      <c r="AG188" s="47" t="inlineStr">
        <is>
          <t>G</t>
        </is>
      </c>
      <c r="AH188" s="47" t="inlineStr">
        <is>
          <t>G</t>
        </is>
      </c>
      <c r="AI188" s="47" t="inlineStr">
        <is>
          <t>H</t>
        </is>
      </c>
      <c r="AZ188" s="47" t="inlineStr">
        <is>
          <t>P</t>
        </is>
      </c>
      <c r="BA188" s="47" t="inlineStr">
        <is>
          <t>P</t>
        </is>
      </c>
      <c r="BB188" s="47" t="inlineStr">
        <is>
          <t>P</t>
        </is>
      </c>
      <c r="BC188" s="47" t="inlineStr">
        <is>
          <t>G</t>
        </is>
      </c>
      <c r="BD188" s="47" t="inlineStr">
        <is>
          <t>G</t>
        </is>
      </c>
      <c r="BE188" s="48">
        <f>D188*$B$6*IF($R$19="Y",1,0)</f>
        <v/>
      </c>
      <c r="BF188" s="48">
        <f>D188*$I$19</f>
        <v/>
      </c>
      <c r="BG188" s="49">
        <f>MATCH("P",$E188:$BD188,0)</f>
        <v/>
      </c>
      <c r="BH188" s="33" t="inlineStr">
        <is>
          <t>Open field</t>
        </is>
      </c>
      <c r="BI188" s="33">
        <f>$Q$19</f>
        <v/>
      </c>
    </row>
    <row r="189">
      <c r="A189" s="33" t="inlineStr">
        <is>
          <t>Tunnel Spinach W01</t>
        </is>
      </c>
      <c r="B189" s="33" t="inlineStr">
        <is>
          <t>Tunnel Spinach</t>
        </is>
      </c>
      <c r="C189" s="45" t="n">
        <v>0</v>
      </c>
      <c r="D189" s="46" t="n">
        <v>0</v>
      </c>
      <c r="E189" s="47" t="inlineStr">
        <is>
          <t>P</t>
        </is>
      </c>
      <c r="F189" s="47" t="inlineStr">
        <is>
          <t>G</t>
        </is>
      </c>
      <c r="G189" s="47" t="inlineStr">
        <is>
          <t>G</t>
        </is>
      </c>
      <c r="H189" s="47" t="inlineStr">
        <is>
          <t>G</t>
        </is>
      </c>
      <c r="I189" s="47" t="inlineStr">
        <is>
          <t>G</t>
        </is>
      </c>
      <c r="J189" s="47" t="inlineStr">
        <is>
          <t>G</t>
        </is>
      </c>
      <c r="K189" s="47" t="inlineStr">
        <is>
          <t>H</t>
        </is>
      </c>
      <c r="L189" s="47" t="inlineStr">
        <is>
          <t>H</t>
        </is>
      </c>
      <c r="BE189" s="48">
        <f>D189*$B$6*IF($S$20="Y",1,0)</f>
        <v/>
      </c>
      <c r="BF189" s="48">
        <f>D189*$I$20</f>
        <v/>
      </c>
      <c r="BG189" s="49">
        <f>MATCH("P",$E189:$BD189,0)</f>
        <v/>
      </c>
      <c r="BH189" s="33" t="inlineStr">
        <is>
          <t>High tunnel</t>
        </is>
      </c>
      <c r="BI189" s="33">
        <f>$Q$20</f>
        <v/>
      </c>
    </row>
    <row r="190">
      <c r="A190" s="33" t="inlineStr">
        <is>
          <t>Tunnel Spinach W02</t>
        </is>
      </c>
      <c r="B190" s="33" t="inlineStr">
        <is>
          <t>Tunnel Spinach</t>
        </is>
      </c>
      <c r="C190" s="45" t="n">
        <v>0</v>
      </c>
      <c r="D190" s="46" t="n">
        <v>0</v>
      </c>
      <c r="F190" s="47" t="inlineStr">
        <is>
          <t>P</t>
        </is>
      </c>
      <c r="G190" s="47" t="inlineStr">
        <is>
          <t>G</t>
        </is>
      </c>
      <c r="H190" s="47" t="inlineStr">
        <is>
          <t>G</t>
        </is>
      </c>
      <c r="I190" s="47" t="inlineStr">
        <is>
          <t>G</t>
        </is>
      </c>
      <c r="J190" s="47" t="inlineStr">
        <is>
          <t>G</t>
        </is>
      </c>
      <c r="K190" s="47" t="inlineStr">
        <is>
          <t>G</t>
        </is>
      </c>
      <c r="L190" s="47" t="inlineStr">
        <is>
          <t>H</t>
        </is>
      </c>
      <c r="M190" s="47" t="inlineStr">
        <is>
          <t>H</t>
        </is>
      </c>
      <c r="BE190" s="48">
        <f>D190*$B$6*IF($S$20="Y",1,0)</f>
        <v/>
      </c>
      <c r="BF190" s="48">
        <f>D190*$I$20</f>
        <v/>
      </c>
      <c r="BG190" s="49">
        <f>MATCH("P",$E190:$BD190,0)</f>
        <v/>
      </c>
      <c r="BH190" s="33" t="inlineStr">
        <is>
          <t>High tunnel</t>
        </is>
      </c>
      <c r="BI190" s="33">
        <f>$Q$20</f>
        <v/>
      </c>
    </row>
    <row r="191">
      <c r="A191" s="33" t="inlineStr">
        <is>
          <t>Tunnel Spinach W03</t>
        </is>
      </c>
      <c r="B191" s="33" t="inlineStr">
        <is>
          <t>Tunnel Spinach</t>
        </is>
      </c>
      <c r="C191" s="45" t="n">
        <v>0</v>
      </c>
      <c r="D191" s="46" t="n">
        <v>0</v>
      </c>
      <c r="G191" s="47" t="inlineStr">
        <is>
          <t>P</t>
        </is>
      </c>
      <c r="H191" s="47" t="inlineStr">
        <is>
          <t>G</t>
        </is>
      </c>
      <c r="I191" s="47" t="inlineStr">
        <is>
          <t>G</t>
        </is>
      </c>
      <c r="J191" s="47" t="inlineStr">
        <is>
          <t>G</t>
        </is>
      </c>
      <c r="K191" s="47" t="inlineStr">
        <is>
          <t>G</t>
        </is>
      </c>
      <c r="L191" s="47" t="inlineStr">
        <is>
          <t>G</t>
        </is>
      </c>
      <c r="M191" s="47" t="inlineStr">
        <is>
          <t>H</t>
        </is>
      </c>
      <c r="N191" s="47" t="inlineStr">
        <is>
          <t>H</t>
        </is>
      </c>
      <c r="BE191" s="48">
        <f>D191*$B$6*IF($S$20="Y",1,0)</f>
        <v/>
      </c>
      <c r="BF191" s="48">
        <f>D191*$I$20</f>
        <v/>
      </c>
      <c r="BG191" s="49">
        <f>MATCH("P",$E191:$BD191,0)</f>
        <v/>
      </c>
      <c r="BH191" s="33" t="inlineStr">
        <is>
          <t>High tunnel</t>
        </is>
      </c>
      <c r="BI191" s="33">
        <f>$Q$20</f>
        <v/>
      </c>
    </row>
    <row r="192">
      <c r="A192" s="33" t="inlineStr">
        <is>
          <t>Tunnel Spinach W04</t>
        </is>
      </c>
      <c r="B192" s="33" t="inlineStr">
        <is>
          <t>Tunnel Spinach</t>
        </is>
      </c>
      <c r="C192" s="45" t="n">
        <v>0</v>
      </c>
      <c r="D192" s="46" t="n">
        <v>0</v>
      </c>
      <c r="H192" s="47" t="inlineStr">
        <is>
          <t>P</t>
        </is>
      </c>
      <c r="I192" s="47" t="inlineStr">
        <is>
          <t>G</t>
        </is>
      </c>
      <c r="J192" s="47" t="inlineStr">
        <is>
          <t>G</t>
        </is>
      </c>
      <c r="K192" s="47" t="inlineStr">
        <is>
          <t>G</t>
        </is>
      </c>
      <c r="L192" s="47" t="inlineStr">
        <is>
          <t>G</t>
        </is>
      </c>
      <c r="M192" s="47" t="inlineStr">
        <is>
          <t>G</t>
        </is>
      </c>
      <c r="N192" s="47" t="inlineStr">
        <is>
          <t>H</t>
        </is>
      </c>
      <c r="O192" s="47" t="inlineStr">
        <is>
          <t>H</t>
        </is>
      </c>
      <c r="BE192" s="48">
        <f>D192*$B$6*IF($S$20="Y",1,0)</f>
        <v/>
      </c>
      <c r="BF192" s="48">
        <f>D192*$I$20</f>
        <v/>
      </c>
      <c r="BG192" s="49">
        <f>MATCH("P",$E192:$BD192,0)</f>
        <v/>
      </c>
      <c r="BH192" s="33" t="inlineStr">
        <is>
          <t>High tunnel</t>
        </is>
      </c>
      <c r="BI192" s="33">
        <f>$Q$20</f>
        <v/>
      </c>
    </row>
    <row r="193">
      <c r="A193" s="33" t="inlineStr">
        <is>
          <t>Tunnel Spinach W05</t>
        </is>
      </c>
      <c r="B193" s="33" t="inlineStr">
        <is>
          <t>Tunnel Spinach</t>
        </is>
      </c>
      <c r="C193" s="45" t="n">
        <v>0</v>
      </c>
      <c r="D193" s="46" t="n">
        <v>0</v>
      </c>
      <c r="I193" s="47" t="inlineStr">
        <is>
          <t>P</t>
        </is>
      </c>
      <c r="J193" s="47" t="inlineStr">
        <is>
          <t>G</t>
        </is>
      </c>
      <c r="K193" s="47" t="inlineStr">
        <is>
          <t>G</t>
        </is>
      </c>
      <c r="L193" s="47" t="inlineStr">
        <is>
          <t>G</t>
        </is>
      </c>
      <c r="M193" s="47" t="inlineStr">
        <is>
          <t>G</t>
        </is>
      </c>
      <c r="N193" s="47" t="inlineStr">
        <is>
          <t>G</t>
        </is>
      </c>
      <c r="O193" s="47" t="inlineStr">
        <is>
          <t>H</t>
        </is>
      </c>
      <c r="P193" s="47" t="inlineStr">
        <is>
          <t>H</t>
        </is>
      </c>
      <c r="BE193" s="48">
        <f>D193*$B$6*IF($S$20="Y",1,0)</f>
        <v/>
      </c>
      <c r="BF193" s="48">
        <f>D193*$I$20</f>
        <v/>
      </c>
      <c r="BG193" s="49">
        <f>MATCH("P",$E193:$BD193,0)</f>
        <v/>
      </c>
      <c r="BH193" s="33" t="inlineStr">
        <is>
          <t>High tunnel</t>
        </is>
      </c>
      <c r="BI193" s="33">
        <f>$Q$20</f>
        <v/>
      </c>
    </row>
    <row r="194">
      <c r="A194" s="33" t="inlineStr">
        <is>
          <t>Tunnel Spinach W06</t>
        </is>
      </c>
      <c r="B194" s="33" t="inlineStr">
        <is>
          <t>Tunnel Spinach</t>
        </is>
      </c>
      <c r="C194" s="45" t="n">
        <v>0</v>
      </c>
      <c r="D194" s="46" t="n">
        <v>0</v>
      </c>
      <c r="J194" s="47" t="inlineStr">
        <is>
          <t>P</t>
        </is>
      </c>
      <c r="K194" s="47" t="inlineStr">
        <is>
          <t>G</t>
        </is>
      </c>
      <c r="L194" s="47" t="inlineStr">
        <is>
          <t>G</t>
        </is>
      </c>
      <c r="M194" s="47" t="inlineStr">
        <is>
          <t>G</t>
        </is>
      </c>
      <c r="N194" s="47" t="inlineStr">
        <is>
          <t>G</t>
        </is>
      </c>
      <c r="O194" s="47" t="inlineStr">
        <is>
          <t>G</t>
        </is>
      </c>
      <c r="P194" s="47" t="inlineStr">
        <is>
          <t>H</t>
        </is>
      </c>
      <c r="Q194" s="47" t="inlineStr">
        <is>
          <t>H</t>
        </is>
      </c>
      <c r="BE194" s="48">
        <f>D194*$B$6*IF($S$20="Y",1,0)</f>
        <v/>
      </c>
      <c r="BF194" s="48">
        <f>D194*$I$20</f>
        <v/>
      </c>
      <c r="BG194" s="49">
        <f>MATCH("P",$E194:$BD194,0)</f>
        <v/>
      </c>
      <c r="BH194" s="33" t="inlineStr">
        <is>
          <t>High tunnel</t>
        </is>
      </c>
      <c r="BI194" s="33">
        <f>$Q$20</f>
        <v/>
      </c>
    </row>
    <row r="195">
      <c r="A195" s="33" t="inlineStr">
        <is>
          <t>Tunnel Spinach W07</t>
        </is>
      </c>
      <c r="B195" s="33" t="inlineStr">
        <is>
          <t>Tunnel Spinach</t>
        </is>
      </c>
      <c r="C195" s="45" t="n">
        <v>0</v>
      </c>
      <c r="D195" s="46" t="n">
        <v>0</v>
      </c>
      <c r="K195" s="47" t="inlineStr">
        <is>
          <t>P</t>
        </is>
      </c>
      <c r="L195" s="47" t="inlineStr">
        <is>
          <t>G</t>
        </is>
      </c>
      <c r="M195" s="47" t="inlineStr">
        <is>
          <t>G</t>
        </is>
      </c>
      <c r="N195" s="47" t="inlineStr">
        <is>
          <t>G</t>
        </is>
      </c>
      <c r="O195" s="47" t="inlineStr">
        <is>
          <t>G</t>
        </is>
      </c>
      <c r="P195" s="47" t="inlineStr">
        <is>
          <t>G</t>
        </is>
      </c>
      <c r="Q195" s="47" t="inlineStr">
        <is>
          <t>H</t>
        </is>
      </c>
      <c r="R195" s="47" t="inlineStr">
        <is>
          <t>H</t>
        </is>
      </c>
      <c r="BE195" s="48">
        <f>D195*$B$6*IF($S$20="Y",1,0)</f>
        <v/>
      </c>
      <c r="BF195" s="48">
        <f>D195*$I$20</f>
        <v/>
      </c>
      <c r="BG195" s="49">
        <f>MATCH("P",$E195:$BD195,0)</f>
        <v/>
      </c>
      <c r="BH195" s="33" t="inlineStr">
        <is>
          <t>High tunnel</t>
        </is>
      </c>
      <c r="BI195" s="33">
        <f>$Q$20</f>
        <v/>
      </c>
    </row>
    <row r="196">
      <c r="A196" s="33" t="inlineStr">
        <is>
          <t>Tunnel Spinach W08</t>
        </is>
      </c>
      <c r="B196" s="33" t="inlineStr">
        <is>
          <t>Tunnel Spinach</t>
        </is>
      </c>
      <c r="C196" s="45" t="n">
        <v>0</v>
      </c>
      <c r="D196" s="46" t="n">
        <v>0</v>
      </c>
      <c r="L196" s="47" t="inlineStr">
        <is>
          <t>P</t>
        </is>
      </c>
      <c r="M196" s="47" t="inlineStr">
        <is>
          <t>G</t>
        </is>
      </c>
      <c r="N196" s="47" t="inlineStr">
        <is>
          <t>G</t>
        </is>
      </c>
      <c r="O196" s="47" t="inlineStr">
        <is>
          <t>G</t>
        </is>
      </c>
      <c r="P196" s="47" t="inlineStr">
        <is>
          <t>G</t>
        </is>
      </c>
      <c r="Q196" s="47" t="inlineStr">
        <is>
          <t>G</t>
        </is>
      </c>
      <c r="R196" s="47" t="inlineStr">
        <is>
          <t>H</t>
        </is>
      </c>
      <c r="S196" s="47" t="inlineStr">
        <is>
          <t>H</t>
        </is>
      </c>
      <c r="BE196" s="48">
        <f>D196*$B$6*IF($S$20="Y",1,0)</f>
        <v/>
      </c>
      <c r="BF196" s="48">
        <f>D196*$I$20</f>
        <v/>
      </c>
      <c r="BG196" s="49">
        <f>MATCH("P",$E196:$BD196,0)</f>
        <v/>
      </c>
      <c r="BH196" s="33" t="inlineStr">
        <is>
          <t>High tunnel</t>
        </is>
      </c>
      <c r="BI196" s="33">
        <f>$Q$20</f>
        <v/>
      </c>
    </row>
    <row r="197">
      <c r="A197" s="33" t="inlineStr">
        <is>
          <t>Tunnel Spinach W09</t>
        </is>
      </c>
      <c r="B197" s="33" t="inlineStr">
        <is>
          <t>Tunnel Spinach</t>
        </is>
      </c>
      <c r="C197" s="45" t="n">
        <v>0</v>
      </c>
      <c r="D197" s="46" t="n">
        <v>0</v>
      </c>
      <c r="M197" s="47" t="inlineStr">
        <is>
          <t>P</t>
        </is>
      </c>
      <c r="N197" s="47" t="inlineStr">
        <is>
          <t>G</t>
        </is>
      </c>
      <c r="O197" s="47" t="inlineStr">
        <is>
          <t>G</t>
        </is>
      </c>
      <c r="P197" s="47" t="inlineStr">
        <is>
          <t>G</t>
        </is>
      </c>
      <c r="Q197" s="47" t="inlineStr">
        <is>
          <t>G</t>
        </is>
      </c>
      <c r="R197" s="47" t="inlineStr">
        <is>
          <t>G</t>
        </is>
      </c>
      <c r="S197" s="47" t="inlineStr">
        <is>
          <t>H</t>
        </is>
      </c>
      <c r="T197" s="47" t="inlineStr">
        <is>
          <t>H</t>
        </is>
      </c>
      <c r="BE197" s="48">
        <f>D197*$B$6*IF($S$20="Y",1,0)</f>
        <v/>
      </c>
      <c r="BF197" s="48">
        <f>D197*$I$20</f>
        <v/>
      </c>
      <c r="BG197" s="49">
        <f>MATCH("P",$E197:$BD197,0)</f>
        <v/>
      </c>
      <c r="BH197" s="33" t="inlineStr">
        <is>
          <t>High tunnel</t>
        </is>
      </c>
      <c r="BI197" s="33">
        <f>$Q$20</f>
        <v/>
      </c>
    </row>
    <row r="198">
      <c r="A198" s="33" t="inlineStr">
        <is>
          <t>Tunnel Spinach W10</t>
        </is>
      </c>
      <c r="B198" s="33" t="inlineStr">
        <is>
          <t>Tunnel Spinach</t>
        </is>
      </c>
      <c r="C198" s="45" t="n">
        <v>0</v>
      </c>
      <c r="D198" s="46" t="n">
        <v>0</v>
      </c>
      <c r="N198" s="47" t="inlineStr">
        <is>
          <t>P</t>
        </is>
      </c>
      <c r="O198" s="47" t="inlineStr">
        <is>
          <t>G</t>
        </is>
      </c>
      <c r="P198" s="47" t="inlineStr">
        <is>
          <t>G</t>
        </is>
      </c>
      <c r="Q198" s="47" t="inlineStr">
        <is>
          <t>G</t>
        </is>
      </c>
      <c r="R198" s="47" t="inlineStr">
        <is>
          <t>G</t>
        </is>
      </c>
      <c r="S198" s="47" t="inlineStr">
        <is>
          <t>G</t>
        </is>
      </c>
      <c r="T198" s="47" t="inlineStr">
        <is>
          <t>H</t>
        </is>
      </c>
      <c r="U198" s="47" t="inlineStr">
        <is>
          <t>H</t>
        </is>
      </c>
      <c r="BE198" s="48">
        <f>D198*$B$6*IF($S$20="Y",1,0)</f>
        <v/>
      </c>
      <c r="BF198" s="48">
        <f>D198*$I$20</f>
        <v/>
      </c>
      <c r="BG198" s="49">
        <f>MATCH("P",$E198:$BD198,0)</f>
        <v/>
      </c>
      <c r="BH198" s="33" t="inlineStr">
        <is>
          <t>High tunnel</t>
        </is>
      </c>
      <c r="BI198" s="33">
        <f>$Q$20</f>
        <v/>
      </c>
    </row>
    <row r="199">
      <c r="A199" s="33" t="inlineStr">
        <is>
          <t>Tunnel Spinach W11</t>
        </is>
      </c>
      <c r="B199" s="33" t="inlineStr">
        <is>
          <t>Tunnel Spinach</t>
        </is>
      </c>
      <c r="C199" s="45" t="n">
        <v>0</v>
      </c>
      <c r="D199" s="46" t="n">
        <v>0</v>
      </c>
      <c r="O199" s="47" t="inlineStr">
        <is>
          <t>P</t>
        </is>
      </c>
      <c r="P199" s="47" t="inlineStr">
        <is>
          <t>G</t>
        </is>
      </c>
      <c r="Q199" s="47" t="inlineStr">
        <is>
          <t>G</t>
        </is>
      </c>
      <c r="R199" s="47" t="inlineStr">
        <is>
          <t>G</t>
        </is>
      </c>
      <c r="S199" s="47" t="inlineStr">
        <is>
          <t>G</t>
        </is>
      </c>
      <c r="T199" s="47" t="inlineStr">
        <is>
          <t>G</t>
        </is>
      </c>
      <c r="U199" s="47" t="inlineStr">
        <is>
          <t>H</t>
        </is>
      </c>
      <c r="V199" s="47" t="inlineStr">
        <is>
          <t>H</t>
        </is>
      </c>
      <c r="BE199" s="48">
        <f>D199*$B$6*IF($S$20="Y",1,0)</f>
        <v/>
      </c>
      <c r="BF199" s="48">
        <f>D199*$I$20</f>
        <v/>
      </c>
      <c r="BG199" s="49">
        <f>MATCH("P",$E199:$BD199,0)</f>
        <v/>
      </c>
      <c r="BH199" s="33" t="inlineStr">
        <is>
          <t>High tunnel</t>
        </is>
      </c>
      <c r="BI199" s="33">
        <f>$Q$20</f>
        <v/>
      </c>
    </row>
    <row r="200">
      <c r="A200" s="33" t="inlineStr">
        <is>
          <t>Tunnel Spinach W12</t>
        </is>
      </c>
      <c r="B200" s="33" t="inlineStr">
        <is>
          <t>Tunnel Spinach</t>
        </is>
      </c>
      <c r="C200" s="45" t="n">
        <v>0</v>
      </c>
      <c r="D200" s="46" t="n">
        <v>0</v>
      </c>
      <c r="P200" s="47" t="inlineStr">
        <is>
          <t>P</t>
        </is>
      </c>
      <c r="Q200" s="47" t="inlineStr">
        <is>
          <t>G</t>
        </is>
      </c>
      <c r="R200" s="47" t="inlineStr">
        <is>
          <t>G</t>
        </is>
      </c>
      <c r="S200" s="47" t="inlineStr">
        <is>
          <t>G</t>
        </is>
      </c>
      <c r="T200" s="47" t="inlineStr">
        <is>
          <t>G</t>
        </is>
      </c>
      <c r="U200" s="47" t="inlineStr">
        <is>
          <t>G</t>
        </is>
      </c>
      <c r="V200" s="47" t="inlineStr">
        <is>
          <t>H</t>
        </is>
      </c>
      <c r="W200" s="47" t="inlineStr">
        <is>
          <t>H</t>
        </is>
      </c>
      <c r="BE200" s="48">
        <f>D200*$B$6*IF($S$20="Y",1,0)</f>
        <v/>
      </c>
      <c r="BF200" s="48">
        <f>D200*$I$20</f>
        <v/>
      </c>
      <c r="BG200" s="49">
        <f>MATCH("P",$E200:$BD200,0)</f>
        <v/>
      </c>
      <c r="BH200" s="33" t="inlineStr">
        <is>
          <t>High tunnel</t>
        </is>
      </c>
      <c r="BI200" s="33">
        <f>$Q$20</f>
        <v/>
      </c>
    </row>
    <row r="201">
      <c r="A201" s="33" t="inlineStr">
        <is>
          <t>Tunnel Spinach W13</t>
        </is>
      </c>
      <c r="B201" s="33" t="inlineStr">
        <is>
          <t>Tunnel Spinach</t>
        </is>
      </c>
      <c r="C201" s="45" t="n">
        <v>0</v>
      </c>
      <c r="D201" s="46" t="n">
        <v>0</v>
      </c>
      <c r="Q201" s="47" t="inlineStr">
        <is>
          <t>P</t>
        </is>
      </c>
      <c r="R201" s="47" t="inlineStr">
        <is>
          <t>G</t>
        </is>
      </c>
      <c r="S201" s="47" t="inlineStr">
        <is>
          <t>G</t>
        </is>
      </c>
      <c r="T201" s="47" t="inlineStr">
        <is>
          <t>G</t>
        </is>
      </c>
      <c r="U201" s="47" t="inlineStr">
        <is>
          <t>G</t>
        </is>
      </c>
      <c r="V201" s="47" t="inlineStr">
        <is>
          <t>G</t>
        </is>
      </c>
      <c r="W201" s="47" t="inlineStr">
        <is>
          <t>H</t>
        </is>
      </c>
      <c r="X201" s="47" t="inlineStr">
        <is>
          <t>H</t>
        </is>
      </c>
      <c r="BE201" s="48">
        <f>D201*$B$6*IF($S$20="Y",1,0)</f>
        <v/>
      </c>
      <c r="BF201" s="48">
        <f>D201*$I$20</f>
        <v/>
      </c>
      <c r="BG201" s="49">
        <f>MATCH("P",$E201:$BD201,0)</f>
        <v/>
      </c>
      <c r="BH201" s="33" t="inlineStr">
        <is>
          <t>High tunnel</t>
        </is>
      </c>
      <c r="BI201" s="33">
        <f>$Q$20</f>
        <v/>
      </c>
    </row>
    <row r="202">
      <c r="A202" s="33" t="inlineStr">
        <is>
          <t>Tunnel Spinach W14</t>
        </is>
      </c>
      <c r="B202" s="33" t="inlineStr">
        <is>
          <t>Tunnel Spinach</t>
        </is>
      </c>
      <c r="C202" s="45" t="n">
        <v>0</v>
      </c>
      <c r="D202" s="46" t="n">
        <v>0</v>
      </c>
      <c r="R202" s="47" t="inlineStr">
        <is>
          <t>P</t>
        </is>
      </c>
      <c r="S202" s="47" t="inlineStr">
        <is>
          <t>G</t>
        </is>
      </c>
      <c r="T202" s="47" t="inlineStr">
        <is>
          <t>G</t>
        </is>
      </c>
      <c r="U202" s="47" t="inlineStr">
        <is>
          <t>G</t>
        </is>
      </c>
      <c r="V202" s="47" t="inlineStr">
        <is>
          <t>G</t>
        </is>
      </c>
      <c r="W202" s="47" t="inlineStr">
        <is>
          <t>G</t>
        </is>
      </c>
      <c r="X202" s="47" t="inlineStr">
        <is>
          <t>H</t>
        </is>
      </c>
      <c r="Y202" s="47" t="inlineStr">
        <is>
          <t>H</t>
        </is>
      </c>
      <c r="BE202" s="48">
        <f>D202*$B$6*IF($S$20="Y",1,0)</f>
        <v/>
      </c>
      <c r="BF202" s="48">
        <f>D202*$I$20</f>
        <v/>
      </c>
      <c r="BG202" s="49">
        <f>MATCH("P",$E202:$BD202,0)</f>
        <v/>
      </c>
      <c r="BH202" s="33" t="inlineStr">
        <is>
          <t>High tunnel</t>
        </is>
      </c>
      <c r="BI202" s="33">
        <f>$Q$20</f>
        <v/>
      </c>
    </row>
    <row r="203">
      <c r="A203" s="33" t="inlineStr">
        <is>
          <t>Tunnel Spinach W15</t>
        </is>
      </c>
      <c r="B203" s="33" t="inlineStr">
        <is>
          <t>Tunnel Spinach</t>
        </is>
      </c>
      <c r="C203" s="45" t="n">
        <v>0</v>
      </c>
      <c r="D203" s="46" t="n">
        <v>0</v>
      </c>
      <c r="S203" s="47" t="inlineStr">
        <is>
          <t>P</t>
        </is>
      </c>
      <c r="T203" s="47" t="inlineStr">
        <is>
          <t>G</t>
        </is>
      </c>
      <c r="U203" s="47" t="inlineStr">
        <is>
          <t>G</t>
        </is>
      </c>
      <c r="V203" s="47" t="inlineStr">
        <is>
          <t>G</t>
        </is>
      </c>
      <c r="W203" s="47" t="inlineStr">
        <is>
          <t>G</t>
        </is>
      </c>
      <c r="X203" s="47" t="inlineStr">
        <is>
          <t>G</t>
        </is>
      </c>
      <c r="Y203" s="47" t="inlineStr">
        <is>
          <t>H</t>
        </is>
      </c>
      <c r="Z203" s="47" t="inlineStr">
        <is>
          <t>H</t>
        </is>
      </c>
      <c r="BE203" s="48">
        <f>D203*$B$6*IF($S$20="Y",1,0)</f>
        <v/>
      </c>
      <c r="BF203" s="48">
        <f>D203*$I$20</f>
        <v/>
      </c>
      <c r="BG203" s="49">
        <f>MATCH("P",$E203:$BD203,0)</f>
        <v/>
      </c>
      <c r="BH203" s="33" t="inlineStr">
        <is>
          <t>High tunnel</t>
        </is>
      </c>
      <c r="BI203" s="33">
        <f>$Q$20</f>
        <v/>
      </c>
    </row>
    <row r="204">
      <c r="A204" s="33" t="inlineStr">
        <is>
          <t>Tunnel Spinach W16</t>
        </is>
      </c>
      <c r="B204" s="33" t="inlineStr">
        <is>
          <t>Tunnel Spinach</t>
        </is>
      </c>
      <c r="C204" s="45" t="n">
        <v>0</v>
      </c>
      <c r="D204" s="46" t="n">
        <v>0</v>
      </c>
      <c r="T204" s="47" t="inlineStr">
        <is>
          <t>P</t>
        </is>
      </c>
      <c r="U204" s="47" t="inlineStr">
        <is>
          <t>G</t>
        </is>
      </c>
      <c r="V204" s="47" t="inlineStr">
        <is>
          <t>G</t>
        </is>
      </c>
      <c r="W204" s="47" t="inlineStr">
        <is>
          <t>G</t>
        </is>
      </c>
      <c r="X204" s="47" t="inlineStr">
        <is>
          <t>G</t>
        </is>
      </c>
      <c r="Y204" s="47" t="inlineStr">
        <is>
          <t>G</t>
        </is>
      </c>
      <c r="Z204" s="47" t="inlineStr">
        <is>
          <t>H</t>
        </is>
      </c>
      <c r="AA204" s="47" t="inlineStr">
        <is>
          <t>H</t>
        </is>
      </c>
      <c r="BE204" s="48">
        <f>D204*$B$6*IF($S$20="Y",1,0)</f>
        <v/>
      </c>
      <c r="BF204" s="48">
        <f>D204*$I$20</f>
        <v/>
      </c>
      <c r="BG204" s="49">
        <f>MATCH("P",$E204:$BD204,0)</f>
        <v/>
      </c>
      <c r="BH204" s="33" t="inlineStr">
        <is>
          <t>High tunnel</t>
        </is>
      </c>
      <c r="BI204" s="33">
        <f>$Q$20</f>
        <v/>
      </c>
    </row>
    <row r="205">
      <c r="A205" s="33" t="inlineStr">
        <is>
          <t>Tunnel Spinach W17</t>
        </is>
      </c>
      <c r="B205" s="33" t="inlineStr">
        <is>
          <t>Tunnel Spinach</t>
        </is>
      </c>
      <c r="C205" s="45" t="n">
        <v>0</v>
      </c>
      <c r="D205" s="46" t="n">
        <v>0</v>
      </c>
      <c r="U205" s="47" t="inlineStr">
        <is>
          <t>P</t>
        </is>
      </c>
      <c r="V205" s="47" t="inlineStr">
        <is>
          <t>G</t>
        </is>
      </c>
      <c r="W205" s="47" t="inlineStr">
        <is>
          <t>G</t>
        </is>
      </c>
      <c r="X205" s="47" t="inlineStr">
        <is>
          <t>G</t>
        </is>
      </c>
      <c r="Y205" s="47" t="inlineStr">
        <is>
          <t>G</t>
        </is>
      </c>
      <c r="Z205" s="47" t="inlineStr">
        <is>
          <t>G</t>
        </is>
      </c>
      <c r="AA205" s="47" t="inlineStr">
        <is>
          <t>H</t>
        </is>
      </c>
      <c r="AB205" s="47" t="inlineStr">
        <is>
          <t>H</t>
        </is>
      </c>
      <c r="BE205" s="48">
        <f>D205*$B$6*IF($S$20="Y",1,0)</f>
        <v/>
      </c>
      <c r="BF205" s="48">
        <f>D205*$I$20</f>
        <v/>
      </c>
      <c r="BG205" s="49">
        <f>MATCH("P",$E205:$BD205,0)</f>
        <v/>
      </c>
      <c r="BH205" s="33" t="inlineStr">
        <is>
          <t>High tunnel</t>
        </is>
      </c>
      <c r="BI205" s="33">
        <f>$Q$20</f>
        <v/>
      </c>
    </row>
    <row r="206">
      <c r="A206" s="33" t="inlineStr">
        <is>
          <t>Tunnel Spinach W18</t>
        </is>
      </c>
      <c r="B206" s="33" t="inlineStr">
        <is>
          <t>Tunnel Spinach</t>
        </is>
      </c>
      <c r="C206" s="45" t="n">
        <v>0</v>
      </c>
      <c r="D206" s="46" t="n">
        <v>0</v>
      </c>
      <c r="V206" s="47" t="inlineStr">
        <is>
          <t>P</t>
        </is>
      </c>
      <c r="W206" s="47" t="inlineStr">
        <is>
          <t>G</t>
        </is>
      </c>
      <c r="X206" s="47" t="inlineStr">
        <is>
          <t>G</t>
        </is>
      </c>
      <c r="Y206" s="47" t="inlineStr">
        <is>
          <t>G</t>
        </is>
      </c>
      <c r="Z206" s="47" t="inlineStr">
        <is>
          <t>G</t>
        </is>
      </c>
      <c r="AA206" s="47" t="inlineStr">
        <is>
          <t>G</t>
        </is>
      </c>
      <c r="AB206" s="47" t="inlineStr">
        <is>
          <t>H</t>
        </is>
      </c>
      <c r="AC206" s="47" t="inlineStr">
        <is>
          <t>H</t>
        </is>
      </c>
      <c r="BE206" s="48">
        <f>D206*$B$6*IF($S$20="Y",1,0)</f>
        <v/>
      </c>
      <c r="BF206" s="48">
        <f>D206*$I$20</f>
        <v/>
      </c>
      <c r="BG206" s="49">
        <f>MATCH("P",$E206:$BD206,0)</f>
        <v/>
      </c>
      <c r="BH206" s="33" t="inlineStr">
        <is>
          <t>High tunnel</t>
        </is>
      </c>
      <c r="BI206" s="33">
        <f>$Q$20</f>
        <v/>
      </c>
    </row>
    <row r="207">
      <c r="A207" s="33" t="inlineStr">
        <is>
          <t>Tunnel Spinach W19</t>
        </is>
      </c>
      <c r="B207" s="33" t="inlineStr">
        <is>
          <t>Tunnel Spinach</t>
        </is>
      </c>
      <c r="C207" s="45" t="n">
        <v>0</v>
      </c>
      <c r="D207" s="46" t="n">
        <v>0</v>
      </c>
      <c r="W207" s="47" t="inlineStr">
        <is>
          <t>P</t>
        </is>
      </c>
      <c r="X207" s="47" t="inlineStr">
        <is>
          <t>G</t>
        </is>
      </c>
      <c r="Y207" s="47" t="inlineStr">
        <is>
          <t>G</t>
        </is>
      </c>
      <c r="Z207" s="47" t="inlineStr">
        <is>
          <t>G</t>
        </is>
      </c>
      <c r="AA207" s="47" t="inlineStr">
        <is>
          <t>G</t>
        </is>
      </c>
      <c r="AB207" s="47" t="inlineStr">
        <is>
          <t>G</t>
        </is>
      </c>
      <c r="AC207" s="47" t="inlineStr">
        <is>
          <t>H</t>
        </is>
      </c>
      <c r="AD207" s="47" t="inlineStr">
        <is>
          <t>H</t>
        </is>
      </c>
      <c r="BE207" s="48">
        <f>D207*$B$6*IF($S$20="Y",1,0)</f>
        <v/>
      </c>
      <c r="BF207" s="48">
        <f>D207*$I$20</f>
        <v/>
      </c>
      <c r="BG207" s="49">
        <f>MATCH("P",$E207:$BD207,0)</f>
        <v/>
      </c>
      <c r="BH207" s="33" t="inlineStr">
        <is>
          <t>High tunnel</t>
        </is>
      </c>
      <c r="BI207" s="33">
        <f>$Q$20</f>
        <v/>
      </c>
    </row>
    <row r="208">
      <c r="A208" s="33" t="inlineStr">
        <is>
          <t>Tunnel Spinach W20</t>
        </is>
      </c>
      <c r="B208" s="33" t="inlineStr">
        <is>
          <t>Tunnel Spinach</t>
        </is>
      </c>
      <c r="C208" s="45" t="n">
        <v>0</v>
      </c>
      <c r="D208" s="46" t="n">
        <v>0</v>
      </c>
      <c r="X208" s="47" t="inlineStr">
        <is>
          <t>P</t>
        </is>
      </c>
      <c r="Y208" s="47" t="inlineStr">
        <is>
          <t>G</t>
        </is>
      </c>
      <c r="Z208" s="47" t="inlineStr">
        <is>
          <t>G</t>
        </is>
      </c>
      <c r="AA208" s="47" t="inlineStr">
        <is>
          <t>G</t>
        </is>
      </c>
      <c r="AB208" s="47" t="inlineStr">
        <is>
          <t>G</t>
        </is>
      </c>
      <c r="AC208" s="47" t="inlineStr">
        <is>
          <t>G</t>
        </is>
      </c>
      <c r="AD208" s="47" t="inlineStr">
        <is>
          <t>H</t>
        </is>
      </c>
      <c r="AE208" s="47" t="inlineStr">
        <is>
          <t>H</t>
        </is>
      </c>
      <c r="BE208" s="48">
        <f>D208*$B$6*IF($S$20="Y",1,0)</f>
        <v/>
      </c>
      <c r="BF208" s="48">
        <f>D208*$I$20</f>
        <v/>
      </c>
      <c r="BG208" s="49">
        <f>MATCH("P",$E208:$BD208,0)</f>
        <v/>
      </c>
      <c r="BH208" s="33" t="inlineStr">
        <is>
          <t>High tunnel</t>
        </is>
      </c>
      <c r="BI208" s="33">
        <f>$Q$20</f>
        <v/>
      </c>
    </row>
    <row r="209">
      <c r="A209" s="33" t="inlineStr">
        <is>
          <t>Tunnel Spinach W21</t>
        </is>
      </c>
      <c r="B209" s="33" t="inlineStr">
        <is>
          <t>Tunnel Spinach</t>
        </is>
      </c>
      <c r="C209" s="45" t="n">
        <v>0</v>
      </c>
      <c r="D209" s="46" t="n">
        <v>0</v>
      </c>
      <c r="Y209" s="47" t="inlineStr">
        <is>
          <t>P</t>
        </is>
      </c>
      <c r="Z209" s="47" t="inlineStr">
        <is>
          <t>G</t>
        </is>
      </c>
      <c r="AA209" s="47" t="inlineStr">
        <is>
          <t>G</t>
        </is>
      </c>
      <c r="AB209" s="47" t="inlineStr">
        <is>
          <t>G</t>
        </is>
      </c>
      <c r="AC209" s="47" t="inlineStr">
        <is>
          <t>G</t>
        </is>
      </c>
      <c r="AD209" s="47" t="inlineStr">
        <is>
          <t>G</t>
        </is>
      </c>
      <c r="AE209" s="47" t="inlineStr">
        <is>
          <t>H</t>
        </is>
      </c>
      <c r="AF209" s="47" t="inlineStr">
        <is>
          <t>H</t>
        </is>
      </c>
      <c r="BE209" s="48">
        <f>D209*$B$6*IF($S$20="Y",1,0)</f>
        <v/>
      </c>
      <c r="BF209" s="48">
        <f>D209*$I$20</f>
        <v/>
      </c>
      <c r="BG209" s="49">
        <f>MATCH("P",$E209:$BD209,0)</f>
        <v/>
      </c>
      <c r="BH209" s="33" t="inlineStr">
        <is>
          <t>High tunnel</t>
        </is>
      </c>
      <c r="BI209" s="33">
        <f>$Q$20</f>
        <v/>
      </c>
    </row>
    <row r="210">
      <c r="A210" s="33" t="inlineStr">
        <is>
          <t>Tunnel Spinach W22</t>
        </is>
      </c>
      <c r="B210" s="33" t="inlineStr">
        <is>
          <t>Tunnel Spinach</t>
        </is>
      </c>
      <c r="C210" s="45" t="n">
        <v>0</v>
      </c>
      <c r="D210" s="46" t="n">
        <v>0</v>
      </c>
      <c r="Z210" s="47" t="inlineStr">
        <is>
          <t>P</t>
        </is>
      </c>
      <c r="AA210" s="47" t="inlineStr">
        <is>
          <t>G</t>
        </is>
      </c>
      <c r="AB210" s="47" t="inlineStr">
        <is>
          <t>G</t>
        </is>
      </c>
      <c r="AC210" s="47" t="inlineStr">
        <is>
          <t>G</t>
        </is>
      </c>
      <c r="AD210" s="47" t="inlineStr">
        <is>
          <t>G</t>
        </is>
      </c>
      <c r="AE210" s="47" t="inlineStr">
        <is>
          <t>G</t>
        </is>
      </c>
      <c r="AF210" s="47" t="inlineStr">
        <is>
          <t>H</t>
        </is>
      </c>
      <c r="AG210" s="47" t="inlineStr">
        <is>
          <t>H</t>
        </is>
      </c>
      <c r="BE210" s="48">
        <f>D210*$B$6*IF($S$20="Y",1,0)</f>
        <v/>
      </c>
      <c r="BF210" s="48">
        <f>D210*$I$20</f>
        <v/>
      </c>
      <c r="BG210" s="49">
        <f>MATCH("P",$E210:$BD210,0)</f>
        <v/>
      </c>
      <c r="BH210" s="33" t="inlineStr">
        <is>
          <t>High tunnel</t>
        </is>
      </c>
      <c r="BI210" s="33">
        <f>$Q$20</f>
        <v/>
      </c>
    </row>
    <row r="211">
      <c r="A211" s="33" t="inlineStr">
        <is>
          <t>Tunnel Spinach W23</t>
        </is>
      </c>
      <c r="B211" s="33" t="inlineStr">
        <is>
          <t>Tunnel Spinach</t>
        </is>
      </c>
      <c r="C211" s="45" t="n">
        <v>0</v>
      </c>
      <c r="D211" s="46" t="n">
        <v>0</v>
      </c>
      <c r="AA211" s="47" t="inlineStr">
        <is>
          <t>P</t>
        </is>
      </c>
      <c r="AB211" s="47" t="inlineStr">
        <is>
          <t>G</t>
        </is>
      </c>
      <c r="AC211" s="47" t="inlineStr">
        <is>
          <t>G</t>
        </is>
      </c>
      <c r="AD211" s="47" t="inlineStr">
        <is>
          <t>G</t>
        </is>
      </c>
      <c r="AE211" s="47" t="inlineStr">
        <is>
          <t>G</t>
        </is>
      </c>
      <c r="AF211" s="47" t="inlineStr">
        <is>
          <t>G</t>
        </is>
      </c>
      <c r="AG211" s="47" t="inlineStr">
        <is>
          <t>H</t>
        </is>
      </c>
      <c r="AH211" s="47" t="inlineStr">
        <is>
          <t>H</t>
        </is>
      </c>
      <c r="BE211" s="48">
        <f>D211*$B$6*IF($S$20="Y",1,0)</f>
        <v/>
      </c>
      <c r="BF211" s="48">
        <f>D211*$I$20</f>
        <v/>
      </c>
      <c r="BG211" s="49">
        <f>MATCH("P",$E211:$BD211,0)</f>
        <v/>
      </c>
      <c r="BH211" s="33" t="inlineStr">
        <is>
          <t>High tunnel</t>
        </is>
      </c>
      <c r="BI211" s="33">
        <f>$Q$20</f>
        <v/>
      </c>
    </row>
    <row r="212">
      <c r="A212" s="33" t="inlineStr">
        <is>
          <t>Tunnel Spinach W24</t>
        </is>
      </c>
      <c r="B212" s="33" t="inlineStr">
        <is>
          <t>Tunnel Spinach</t>
        </is>
      </c>
      <c r="C212" s="45" t="n">
        <v>0</v>
      </c>
      <c r="D212" s="46" t="n">
        <v>0</v>
      </c>
      <c r="AB212" s="47" t="inlineStr">
        <is>
          <t>P</t>
        </is>
      </c>
      <c r="AC212" s="47" t="inlineStr">
        <is>
          <t>G</t>
        </is>
      </c>
      <c r="AD212" s="47" t="inlineStr">
        <is>
          <t>G</t>
        </is>
      </c>
      <c r="AE212" s="47" t="inlineStr">
        <is>
          <t>G</t>
        </is>
      </c>
      <c r="AF212" s="47" t="inlineStr">
        <is>
          <t>G</t>
        </is>
      </c>
      <c r="AG212" s="47" t="inlineStr">
        <is>
          <t>G</t>
        </is>
      </c>
      <c r="AH212" s="47" t="inlineStr">
        <is>
          <t>H</t>
        </is>
      </c>
      <c r="AI212" s="47" t="inlineStr">
        <is>
          <t>H</t>
        </is>
      </c>
      <c r="BE212" s="48">
        <f>D212*$B$6*IF($S$20="Y",1,0)</f>
        <v/>
      </c>
      <c r="BF212" s="48">
        <f>D212*$I$20</f>
        <v/>
      </c>
      <c r="BG212" s="49">
        <f>MATCH("P",$E212:$BD212,0)</f>
        <v/>
      </c>
      <c r="BH212" s="33" t="inlineStr">
        <is>
          <t>High tunnel</t>
        </is>
      </c>
      <c r="BI212" s="33">
        <f>$Q$20</f>
        <v/>
      </c>
    </row>
    <row r="213">
      <c r="A213" s="33" t="inlineStr">
        <is>
          <t>Tunnel Spinach W25</t>
        </is>
      </c>
      <c r="B213" s="33" t="inlineStr">
        <is>
          <t>Tunnel Spinach</t>
        </is>
      </c>
      <c r="C213" s="45" t="n">
        <v>0</v>
      </c>
      <c r="D213" s="46" t="n">
        <v>0</v>
      </c>
      <c r="AC213" s="47" t="inlineStr">
        <is>
          <t>P</t>
        </is>
      </c>
      <c r="AD213" s="47" t="inlineStr">
        <is>
          <t>G</t>
        </is>
      </c>
      <c r="AE213" s="47" t="inlineStr">
        <is>
          <t>G</t>
        </is>
      </c>
      <c r="AF213" s="47" t="inlineStr">
        <is>
          <t>G</t>
        </is>
      </c>
      <c r="AG213" s="47" t="inlineStr">
        <is>
          <t>G</t>
        </is>
      </c>
      <c r="AH213" s="47" t="inlineStr">
        <is>
          <t>G</t>
        </is>
      </c>
      <c r="AI213" s="47" t="inlineStr">
        <is>
          <t>H</t>
        </is>
      </c>
      <c r="AJ213" s="47" t="inlineStr">
        <is>
          <t>H</t>
        </is>
      </c>
      <c r="BE213" s="48">
        <f>D213*$B$6*IF($S$20="Y",1,0)</f>
        <v/>
      </c>
      <c r="BF213" s="48">
        <f>D213*$I$20</f>
        <v/>
      </c>
      <c r="BG213" s="49">
        <f>MATCH("P",$E213:$BD213,0)</f>
        <v/>
      </c>
      <c r="BH213" s="33" t="inlineStr">
        <is>
          <t>High tunnel</t>
        </is>
      </c>
      <c r="BI213" s="33">
        <f>$Q$20</f>
        <v/>
      </c>
    </row>
    <row r="214">
      <c r="A214" s="33" t="inlineStr">
        <is>
          <t>Tunnel Spinach W26</t>
        </is>
      </c>
      <c r="B214" s="33" t="inlineStr">
        <is>
          <t>Tunnel Spinach</t>
        </is>
      </c>
      <c r="C214" s="45" t="n">
        <v>0</v>
      </c>
      <c r="D214" s="46" t="n">
        <v>0</v>
      </c>
      <c r="AD214" s="47" t="inlineStr">
        <is>
          <t>P</t>
        </is>
      </c>
      <c r="AE214" s="47" t="inlineStr">
        <is>
          <t>G</t>
        </is>
      </c>
      <c r="AF214" s="47" t="inlineStr">
        <is>
          <t>G</t>
        </is>
      </c>
      <c r="AG214" s="47" t="inlineStr">
        <is>
          <t>G</t>
        </is>
      </c>
      <c r="AH214" s="47" t="inlineStr">
        <is>
          <t>G</t>
        </is>
      </c>
      <c r="AI214" s="47" t="inlineStr">
        <is>
          <t>G</t>
        </is>
      </c>
      <c r="AJ214" s="47" t="inlineStr">
        <is>
          <t>H</t>
        </is>
      </c>
      <c r="AK214" s="47" t="inlineStr">
        <is>
          <t>H</t>
        </is>
      </c>
      <c r="BE214" s="48">
        <f>D214*$B$6*IF($S$20="Y",1,0)</f>
        <v/>
      </c>
      <c r="BF214" s="48">
        <f>D214*$I$20</f>
        <v/>
      </c>
      <c r="BG214" s="49">
        <f>MATCH("P",$E214:$BD214,0)</f>
        <v/>
      </c>
      <c r="BH214" s="33" t="inlineStr">
        <is>
          <t>High tunnel</t>
        </is>
      </c>
      <c r="BI214" s="33">
        <f>$Q$20</f>
        <v/>
      </c>
    </row>
    <row r="215">
      <c r="A215" s="33" t="inlineStr">
        <is>
          <t>Tunnel Spinach W31</t>
        </is>
      </c>
      <c r="B215" s="33" t="inlineStr">
        <is>
          <t>Tunnel Spinach</t>
        </is>
      </c>
      <c r="C215" s="45" t="n">
        <v>0</v>
      </c>
      <c r="D215" s="46" t="n">
        <v>0</v>
      </c>
      <c r="AI215" s="47" t="inlineStr">
        <is>
          <t>P</t>
        </is>
      </c>
      <c r="AJ215" s="47" t="inlineStr">
        <is>
          <t>G</t>
        </is>
      </c>
      <c r="AK215" s="47" t="inlineStr">
        <is>
          <t>G</t>
        </is>
      </c>
      <c r="AL215" s="47" t="inlineStr">
        <is>
          <t>G</t>
        </is>
      </c>
      <c r="AM215" s="47" t="inlineStr">
        <is>
          <t>G</t>
        </is>
      </c>
      <c r="AN215" s="47" t="inlineStr">
        <is>
          <t>G</t>
        </is>
      </c>
      <c r="AO215" s="47" t="inlineStr">
        <is>
          <t>H</t>
        </is>
      </c>
      <c r="AP215" s="47" t="inlineStr">
        <is>
          <t>H</t>
        </is>
      </c>
      <c r="BE215" s="48">
        <f>D215*$B$6*IF($S$20="Y",1,0)</f>
        <v/>
      </c>
      <c r="BF215" s="48">
        <f>D215*$I$20</f>
        <v/>
      </c>
      <c r="BG215" s="49">
        <f>MATCH("P",$E215:$BD215,0)</f>
        <v/>
      </c>
      <c r="BH215" s="33" t="inlineStr">
        <is>
          <t>High tunnel</t>
        </is>
      </c>
      <c r="BI215" s="33">
        <f>$Q$20</f>
        <v/>
      </c>
    </row>
    <row r="216">
      <c r="A216" s="33" t="inlineStr">
        <is>
          <t>Tunnel Spinach W32</t>
        </is>
      </c>
      <c r="B216" s="33" t="inlineStr">
        <is>
          <t>Tunnel Spinach</t>
        </is>
      </c>
      <c r="C216" s="45" t="n">
        <v>0</v>
      </c>
      <c r="D216" s="46" t="n">
        <v>0</v>
      </c>
      <c r="AJ216" s="47" t="inlineStr">
        <is>
          <t>P</t>
        </is>
      </c>
      <c r="AK216" s="47" t="inlineStr">
        <is>
          <t>G</t>
        </is>
      </c>
      <c r="AL216" s="47" t="inlineStr">
        <is>
          <t>G</t>
        </is>
      </c>
      <c r="AM216" s="47" t="inlineStr">
        <is>
          <t>G</t>
        </is>
      </c>
      <c r="AN216" s="47" t="inlineStr">
        <is>
          <t>G</t>
        </is>
      </c>
      <c r="AO216" s="47" t="inlineStr">
        <is>
          <t>G</t>
        </is>
      </c>
      <c r="AP216" s="47" t="inlineStr">
        <is>
          <t>H</t>
        </is>
      </c>
      <c r="AQ216" s="47" t="inlineStr">
        <is>
          <t>H</t>
        </is>
      </c>
      <c r="BE216" s="48">
        <f>D216*$B$6*IF($S$20="Y",1,0)</f>
        <v/>
      </c>
      <c r="BF216" s="48">
        <f>D216*$I$20</f>
        <v/>
      </c>
      <c r="BG216" s="49">
        <f>MATCH("P",$E216:$BD216,0)</f>
        <v/>
      </c>
      <c r="BH216" s="33" t="inlineStr">
        <is>
          <t>High tunnel</t>
        </is>
      </c>
      <c r="BI216" s="33">
        <f>$Q$20</f>
        <v/>
      </c>
    </row>
    <row r="217">
      <c r="A217" s="33" t="inlineStr">
        <is>
          <t>Tunnel Spinach W33</t>
        </is>
      </c>
      <c r="B217" s="33" t="inlineStr">
        <is>
          <t>Tunnel Spinach</t>
        </is>
      </c>
      <c r="C217" s="45" t="n">
        <v>0</v>
      </c>
      <c r="D217" s="46" t="n">
        <v>0</v>
      </c>
      <c r="AK217" s="47" t="inlineStr">
        <is>
          <t>P</t>
        </is>
      </c>
      <c r="AL217" s="47" t="inlineStr">
        <is>
          <t>G</t>
        </is>
      </c>
      <c r="AM217" s="47" t="inlineStr">
        <is>
          <t>G</t>
        </is>
      </c>
      <c r="AN217" s="47" t="inlineStr">
        <is>
          <t>G</t>
        </is>
      </c>
      <c r="AO217" s="47" t="inlineStr">
        <is>
          <t>G</t>
        </is>
      </c>
      <c r="AP217" s="47" t="inlineStr">
        <is>
          <t>G</t>
        </is>
      </c>
      <c r="AQ217" s="47" t="inlineStr">
        <is>
          <t>H</t>
        </is>
      </c>
      <c r="AR217" s="47" t="inlineStr">
        <is>
          <t>H</t>
        </is>
      </c>
      <c r="BE217" s="48">
        <f>D217*$B$6*IF($S$20="Y",1,0)</f>
        <v/>
      </c>
      <c r="BF217" s="48">
        <f>D217*$I$20</f>
        <v/>
      </c>
      <c r="BG217" s="49">
        <f>MATCH("P",$E217:$BD217,0)</f>
        <v/>
      </c>
      <c r="BH217" s="33" t="inlineStr">
        <is>
          <t>High tunnel</t>
        </is>
      </c>
      <c r="BI217" s="33">
        <f>$Q$20</f>
        <v/>
      </c>
    </row>
    <row r="218">
      <c r="A218" s="33" t="inlineStr">
        <is>
          <t>Tunnel Spinach W34</t>
        </is>
      </c>
      <c r="B218" s="33" t="inlineStr">
        <is>
          <t>Tunnel Spinach</t>
        </is>
      </c>
      <c r="C218" s="45" t="n">
        <v>0</v>
      </c>
      <c r="D218" s="46" t="n">
        <v>0</v>
      </c>
      <c r="AL218" s="47" t="inlineStr">
        <is>
          <t>P</t>
        </is>
      </c>
      <c r="AM218" s="47" t="inlineStr">
        <is>
          <t>G</t>
        </is>
      </c>
      <c r="AN218" s="47" t="inlineStr">
        <is>
          <t>G</t>
        </is>
      </c>
      <c r="AO218" s="47" t="inlineStr">
        <is>
          <t>G</t>
        </is>
      </c>
      <c r="AP218" s="47" t="inlineStr">
        <is>
          <t>G</t>
        </is>
      </c>
      <c r="AQ218" s="47" t="inlineStr">
        <is>
          <t>G</t>
        </is>
      </c>
      <c r="AR218" s="47" t="inlineStr">
        <is>
          <t>H</t>
        </is>
      </c>
      <c r="AS218" s="47" t="inlineStr">
        <is>
          <t>H</t>
        </is>
      </c>
      <c r="BE218" s="48">
        <f>D218*$B$6*IF($S$20="Y",1,0)</f>
        <v/>
      </c>
      <c r="BF218" s="48">
        <f>D218*$I$20</f>
        <v/>
      </c>
      <c r="BG218" s="49">
        <f>MATCH("P",$E218:$BD218,0)</f>
        <v/>
      </c>
      <c r="BH218" s="33" t="inlineStr">
        <is>
          <t>High tunnel</t>
        </is>
      </c>
      <c r="BI218" s="33">
        <f>$Q$20</f>
        <v/>
      </c>
    </row>
    <row r="219">
      <c r="A219" s="33" t="inlineStr">
        <is>
          <t>Tunnel Spinach W35</t>
        </is>
      </c>
      <c r="B219" s="33" t="inlineStr">
        <is>
          <t>Tunnel Spinach</t>
        </is>
      </c>
      <c r="C219" s="45" t="n">
        <v>0</v>
      </c>
      <c r="D219" s="46" t="n">
        <v>0</v>
      </c>
      <c r="AM219" s="47" t="inlineStr">
        <is>
          <t>P</t>
        </is>
      </c>
      <c r="AN219" s="47" t="inlineStr">
        <is>
          <t>G</t>
        </is>
      </c>
      <c r="AO219" s="47" t="inlineStr">
        <is>
          <t>G</t>
        </is>
      </c>
      <c r="AP219" s="47" t="inlineStr">
        <is>
          <t>G</t>
        </is>
      </c>
      <c r="AQ219" s="47" t="inlineStr">
        <is>
          <t>G</t>
        </is>
      </c>
      <c r="AR219" s="47" t="inlineStr">
        <is>
          <t>G</t>
        </is>
      </c>
      <c r="AS219" s="47" t="inlineStr">
        <is>
          <t>H</t>
        </is>
      </c>
      <c r="AT219" s="47" t="inlineStr">
        <is>
          <t>H</t>
        </is>
      </c>
      <c r="BE219" s="48">
        <f>D219*$B$6*IF($S$20="Y",1,0)</f>
        <v/>
      </c>
      <c r="BF219" s="48">
        <f>D219*$I$20</f>
        <v/>
      </c>
      <c r="BG219" s="49">
        <f>MATCH("P",$E219:$BD219,0)</f>
        <v/>
      </c>
      <c r="BH219" s="33" t="inlineStr">
        <is>
          <t>High tunnel</t>
        </is>
      </c>
      <c r="BI219" s="33">
        <f>$Q$20</f>
        <v/>
      </c>
    </row>
    <row r="220">
      <c r="A220" s="33" t="inlineStr">
        <is>
          <t>Tunnel Spinach W36</t>
        </is>
      </c>
      <c r="B220" s="33" t="inlineStr">
        <is>
          <t>Tunnel Spinach</t>
        </is>
      </c>
      <c r="C220" s="45" t="n">
        <v>0</v>
      </c>
      <c r="D220" s="46" t="n">
        <v>0</v>
      </c>
      <c r="AN220" s="47" t="inlineStr">
        <is>
          <t>P</t>
        </is>
      </c>
      <c r="AO220" s="47" t="inlineStr">
        <is>
          <t>G</t>
        </is>
      </c>
      <c r="AP220" s="47" t="inlineStr">
        <is>
          <t>G</t>
        </is>
      </c>
      <c r="AQ220" s="47" t="inlineStr">
        <is>
          <t>G</t>
        </is>
      </c>
      <c r="AR220" s="47" t="inlineStr">
        <is>
          <t>G</t>
        </is>
      </c>
      <c r="AS220" s="47" t="inlineStr">
        <is>
          <t>G</t>
        </is>
      </c>
      <c r="AT220" s="47" t="inlineStr">
        <is>
          <t>H</t>
        </is>
      </c>
      <c r="AU220" s="47" t="inlineStr">
        <is>
          <t>H</t>
        </is>
      </c>
      <c r="BE220" s="48">
        <f>D220*$B$6*IF($S$20="Y",1,0)</f>
        <v/>
      </c>
      <c r="BF220" s="48">
        <f>D220*$I$20</f>
        <v/>
      </c>
      <c r="BG220" s="49">
        <f>MATCH("P",$E220:$BD220,0)</f>
        <v/>
      </c>
      <c r="BH220" s="33" t="inlineStr">
        <is>
          <t>High tunnel</t>
        </is>
      </c>
      <c r="BI220" s="33">
        <f>$Q$20</f>
        <v/>
      </c>
    </row>
    <row r="221">
      <c r="A221" s="33" t="inlineStr">
        <is>
          <t>Tunnel Spinach W37</t>
        </is>
      </c>
      <c r="B221" s="33" t="inlineStr">
        <is>
          <t>Tunnel Spinach</t>
        </is>
      </c>
      <c r="C221" s="45" t="n">
        <v>0</v>
      </c>
      <c r="D221" s="46" t="n">
        <v>0</v>
      </c>
      <c r="AO221" s="47" t="inlineStr">
        <is>
          <t>P</t>
        </is>
      </c>
      <c r="AP221" s="47" t="inlineStr">
        <is>
          <t>G</t>
        </is>
      </c>
      <c r="AQ221" s="47" t="inlineStr">
        <is>
          <t>G</t>
        </is>
      </c>
      <c r="AR221" s="47" t="inlineStr">
        <is>
          <t>G</t>
        </is>
      </c>
      <c r="AS221" s="47" t="inlineStr">
        <is>
          <t>G</t>
        </is>
      </c>
      <c r="AT221" s="47" t="inlineStr">
        <is>
          <t>G</t>
        </is>
      </c>
      <c r="AU221" s="47" t="inlineStr">
        <is>
          <t>H</t>
        </is>
      </c>
      <c r="AV221" s="47" t="inlineStr">
        <is>
          <t>H</t>
        </is>
      </c>
      <c r="BE221" s="48">
        <f>D221*$B$6*IF($S$20="Y",1,0)</f>
        <v/>
      </c>
      <c r="BF221" s="48">
        <f>D221*$I$20</f>
        <v/>
      </c>
      <c r="BG221" s="49">
        <f>MATCH("P",$E221:$BD221,0)</f>
        <v/>
      </c>
      <c r="BH221" s="33" t="inlineStr">
        <is>
          <t>High tunnel</t>
        </is>
      </c>
      <c r="BI221" s="33">
        <f>$Q$20</f>
        <v/>
      </c>
    </row>
    <row r="222">
      <c r="A222" s="33" t="inlineStr">
        <is>
          <t>Tunnel Spinach W38</t>
        </is>
      </c>
      <c r="B222" s="33" t="inlineStr">
        <is>
          <t>Tunnel Spinach</t>
        </is>
      </c>
      <c r="C222" s="45" t="n">
        <v>0</v>
      </c>
      <c r="D222" s="46" t="n">
        <v>0</v>
      </c>
      <c r="AP222" s="47" t="inlineStr">
        <is>
          <t>P</t>
        </is>
      </c>
      <c r="AQ222" s="47" t="inlineStr">
        <is>
          <t>G</t>
        </is>
      </c>
      <c r="AR222" s="47" t="inlineStr">
        <is>
          <t>G</t>
        </is>
      </c>
      <c r="AS222" s="47" t="inlineStr">
        <is>
          <t>G</t>
        </is>
      </c>
      <c r="AT222" s="47" t="inlineStr">
        <is>
          <t>G</t>
        </is>
      </c>
      <c r="AU222" s="47" t="inlineStr">
        <is>
          <t>G</t>
        </is>
      </c>
      <c r="AV222" s="47" t="inlineStr">
        <is>
          <t>H</t>
        </is>
      </c>
      <c r="AW222" s="47" t="inlineStr">
        <is>
          <t>H</t>
        </is>
      </c>
      <c r="BE222" s="48">
        <f>D222*$B$6*IF($S$20="Y",1,0)</f>
        <v/>
      </c>
      <c r="BF222" s="48">
        <f>D222*$I$20</f>
        <v/>
      </c>
      <c r="BG222" s="49">
        <f>MATCH("P",$E222:$BD222,0)</f>
        <v/>
      </c>
      <c r="BH222" s="33" t="inlineStr">
        <is>
          <t>High tunnel</t>
        </is>
      </c>
      <c r="BI222" s="33">
        <f>$Q$20</f>
        <v/>
      </c>
    </row>
    <row r="223">
      <c r="A223" s="33" t="inlineStr">
        <is>
          <t>Tunnel Spinach W39</t>
        </is>
      </c>
      <c r="B223" s="33" t="inlineStr">
        <is>
          <t>Tunnel Spinach</t>
        </is>
      </c>
      <c r="C223" s="45" t="n">
        <v>0</v>
      </c>
      <c r="D223" s="46" t="n">
        <v>0</v>
      </c>
      <c r="AQ223" s="47" t="inlineStr">
        <is>
          <t>P</t>
        </is>
      </c>
      <c r="AR223" s="47" t="inlineStr">
        <is>
          <t>G</t>
        </is>
      </c>
      <c r="AS223" s="47" t="inlineStr">
        <is>
          <t>G</t>
        </is>
      </c>
      <c r="AT223" s="47" t="inlineStr">
        <is>
          <t>G</t>
        </is>
      </c>
      <c r="AU223" s="47" t="inlineStr">
        <is>
          <t>G</t>
        </is>
      </c>
      <c r="AV223" s="47" t="inlineStr">
        <is>
          <t>G</t>
        </is>
      </c>
      <c r="AW223" s="47" t="inlineStr">
        <is>
          <t>H</t>
        </is>
      </c>
      <c r="AX223" s="47" t="inlineStr">
        <is>
          <t>H</t>
        </is>
      </c>
      <c r="BE223" s="48">
        <f>D223*$B$6*IF($S$20="Y",1,0)</f>
        <v/>
      </c>
      <c r="BF223" s="48">
        <f>D223*$I$20</f>
        <v/>
      </c>
      <c r="BG223" s="49">
        <f>MATCH("P",$E223:$BD223,0)</f>
        <v/>
      </c>
      <c r="BH223" s="33" t="inlineStr">
        <is>
          <t>High tunnel</t>
        </is>
      </c>
      <c r="BI223" s="33">
        <f>$Q$20</f>
        <v/>
      </c>
    </row>
    <row r="224">
      <c r="A224" s="33" t="inlineStr">
        <is>
          <t>Tunnel Spinach W40</t>
        </is>
      </c>
      <c r="B224" s="33" t="inlineStr">
        <is>
          <t>Tunnel Spinach</t>
        </is>
      </c>
      <c r="C224" s="45" t="n">
        <v>0</v>
      </c>
      <c r="D224" s="46" t="n">
        <v>0</v>
      </c>
      <c r="AR224" s="47" t="inlineStr">
        <is>
          <t>P</t>
        </is>
      </c>
      <c r="AS224" s="47" t="inlineStr">
        <is>
          <t>G</t>
        </is>
      </c>
      <c r="AT224" s="47" t="inlineStr">
        <is>
          <t>G</t>
        </is>
      </c>
      <c r="AU224" s="47" t="inlineStr">
        <is>
          <t>G</t>
        </is>
      </c>
      <c r="AV224" s="47" t="inlineStr">
        <is>
          <t>G</t>
        </is>
      </c>
      <c r="AW224" s="47" t="inlineStr">
        <is>
          <t>G</t>
        </is>
      </c>
      <c r="AX224" s="47" t="inlineStr">
        <is>
          <t>H</t>
        </is>
      </c>
      <c r="AY224" s="47" t="inlineStr">
        <is>
          <t>H</t>
        </is>
      </c>
      <c r="BE224" s="48">
        <f>D224*$B$6*IF($S$20="Y",1,0)</f>
        <v/>
      </c>
      <c r="BF224" s="48">
        <f>D224*$I$20</f>
        <v/>
      </c>
      <c r="BG224" s="49">
        <f>MATCH("P",$E224:$BD224,0)</f>
        <v/>
      </c>
      <c r="BH224" s="33" t="inlineStr">
        <is>
          <t>High tunnel</t>
        </is>
      </c>
      <c r="BI224" s="33">
        <f>$Q$20</f>
        <v/>
      </c>
    </row>
    <row r="225">
      <c r="A225" s="33" t="inlineStr">
        <is>
          <t>Tunnel Spinach W41</t>
        </is>
      </c>
      <c r="B225" s="33" t="inlineStr">
        <is>
          <t>Tunnel Spinach</t>
        </is>
      </c>
      <c r="C225" s="45" t="n">
        <v>0</v>
      </c>
      <c r="D225" s="46" t="n">
        <v>0</v>
      </c>
      <c r="AS225" s="47" t="inlineStr">
        <is>
          <t>P</t>
        </is>
      </c>
      <c r="AT225" s="47" t="inlineStr">
        <is>
          <t>G</t>
        </is>
      </c>
      <c r="AU225" s="47" t="inlineStr">
        <is>
          <t>G</t>
        </is>
      </c>
      <c r="AV225" s="47" t="inlineStr">
        <is>
          <t>G</t>
        </is>
      </c>
      <c r="AW225" s="47" t="inlineStr">
        <is>
          <t>G</t>
        </is>
      </c>
      <c r="AX225" s="47" t="inlineStr">
        <is>
          <t>G</t>
        </is>
      </c>
      <c r="AY225" s="47" t="inlineStr">
        <is>
          <t>H</t>
        </is>
      </c>
      <c r="AZ225" s="47" t="inlineStr">
        <is>
          <t>H</t>
        </is>
      </c>
      <c r="BE225" s="48">
        <f>D225*$B$6*IF($S$20="Y",1,0)</f>
        <v/>
      </c>
      <c r="BF225" s="48">
        <f>D225*$I$20</f>
        <v/>
      </c>
      <c r="BG225" s="49">
        <f>MATCH("P",$E225:$BD225,0)</f>
        <v/>
      </c>
      <c r="BH225" s="33" t="inlineStr">
        <is>
          <t>High tunnel</t>
        </is>
      </c>
      <c r="BI225" s="33">
        <f>$Q$20</f>
        <v/>
      </c>
    </row>
    <row r="226">
      <c r="A226" s="33" t="inlineStr">
        <is>
          <t>Tunnel Spinach W42</t>
        </is>
      </c>
      <c r="B226" s="33" t="inlineStr">
        <is>
          <t>Tunnel Spinach</t>
        </is>
      </c>
      <c r="C226" s="45" t="n">
        <v>0</v>
      </c>
      <c r="D226" s="46" t="n">
        <v>0</v>
      </c>
      <c r="AT226" s="47" t="inlineStr">
        <is>
          <t>P</t>
        </is>
      </c>
      <c r="AU226" s="47" t="inlineStr">
        <is>
          <t>G</t>
        </is>
      </c>
      <c r="AV226" s="47" t="inlineStr">
        <is>
          <t>G</t>
        </is>
      </c>
      <c r="AW226" s="47" t="inlineStr">
        <is>
          <t>G</t>
        </is>
      </c>
      <c r="AX226" s="47" t="inlineStr">
        <is>
          <t>G</t>
        </is>
      </c>
      <c r="AY226" s="47" t="inlineStr">
        <is>
          <t>G</t>
        </is>
      </c>
      <c r="AZ226" s="47" t="inlineStr">
        <is>
          <t>H</t>
        </is>
      </c>
      <c r="BA226" s="47" t="inlineStr">
        <is>
          <t>H</t>
        </is>
      </c>
      <c r="BE226" s="48">
        <f>D226*$B$6*IF($S$20="Y",1,0)</f>
        <v/>
      </c>
      <c r="BF226" s="48">
        <f>D226*$I$20</f>
        <v/>
      </c>
      <c r="BG226" s="49">
        <f>MATCH("P",$E226:$BD226,0)</f>
        <v/>
      </c>
      <c r="BH226" s="33" t="inlineStr">
        <is>
          <t>High tunnel</t>
        </is>
      </c>
      <c r="BI226" s="33">
        <f>$Q$20</f>
        <v/>
      </c>
    </row>
    <row r="227">
      <c r="A227" s="33" t="inlineStr">
        <is>
          <t>Tunnel Spinach W43</t>
        </is>
      </c>
      <c r="B227" s="33" t="inlineStr">
        <is>
          <t>Tunnel Spinach</t>
        </is>
      </c>
      <c r="C227" s="45" t="n">
        <v>0</v>
      </c>
      <c r="D227" s="46" t="n">
        <v>0</v>
      </c>
      <c r="AU227" s="47" t="inlineStr">
        <is>
          <t>P</t>
        </is>
      </c>
      <c r="AV227" s="47" t="inlineStr">
        <is>
          <t>G</t>
        </is>
      </c>
      <c r="AW227" s="47" t="inlineStr">
        <is>
          <t>G</t>
        </is>
      </c>
      <c r="AX227" s="47" t="inlineStr">
        <is>
          <t>G</t>
        </is>
      </c>
      <c r="AY227" s="47" t="inlineStr">
        <is>
          <t>G</t>
        </is>
      </c>
      <c r="AZ227" s="47" t="inlineStr">
        <is>
          <t>G</t>
        </is>
      </c>
      <c r="BA227" s="47" t="inlineStr">
        <is>
          <t>H</t>
        </is>
      </c>
      <c r="BB227" s="47" t="inlineStr">
        <is>
          <t>H</t>
        </is>
      </c>
      <c r="BE227" s="48">
        <f>D227*$B$6*IF($S$20="Y",1,0)</f>
        <v/>
      </c>
      <c r="BF227" s="48">
        <f>D227*$I$20</f>
        <v/>
      </c>
      <c r="BG227" s="49">
        <f>MATCH("P",$E227:$BD227,0)</f>
        <v/>
      </c>
      <c r="BH227" s="33" t="inlineStr">
        <is>
          <t>High tunnel</t>
        </is>
      </c>
      <c r="BI227" s="33">
        <f>$Q$20</f>
        <v/>
      </c>
    </row>
    <row r="228">
      <c r="A228" s="33" t="inlineStr">
        <is>
          <t>Tunnel Spinach W44</t>
        </is>
      </c>
      <c r="B228" s="33" t="inlineStr">
        <is>
          <t>Tunnel Spinach</t>
        </is>
      </c>
      <c r="C228" s="45" t="n">
        <v>0</v>
      </c>
      <c r="D228" s="46" t="n">
        <v>0</v>
      </c>
      <c r="AV228" s="47" t="inlineStr">
        <is>
          <t>P</t>
        </is>
      </c>
      <c r="AW228" s="47" t="inlineStr">
        <is>
          <t>G</t>
        </is>
      </c>
      <c r="AX228" s="47" t="inlineStr">
        <is>
          <t>G</t>
        </is>
      </c>
      <c r="AY228" s="47" t="inlineStr">
        <is>
          <t>G</t>
        </is>
      </c>
      <c r="AZ228" s="47" t="inlineStr">
        <is>
          <t>G</t>
        </is>
      </c>
      <c r="BA228" s="47" t="inlineStr">
        <is>
          <t>G</t>
        </is>
      </c>
      <c r="BB228" s="47" t="inlineStr">
        <is>
          <t>H</t>
        </is>
      </c>
      <c r="BC228" s="47" t="inlineStr">
        <is>
          <t>H</t>
        </is>
      </c>
      <c r="BE228" s="48">
        <f>D228*$B$6*IF($S$20="Y",1,0)</f>
        <v/>
      </c>
      <c r="BF228" s="48">
        <f>D228*$I$20</f>
        <v/>
      </c>
      <c r="BG228" s="49">
        <f>MATCH("P",$E228:$BD228,0)</f>
        <v/>
      </c>
      <c r="BH228" s="33" t="inlineStr">
        <is>
          <t>High tunnel</t>
        </is>
      </c>
      <c r="BI228" s="33">
        <f>$Q$20</f>
        <v/>
      </c>
    </row>
    <row r="229">
      <c r="A229" s="33" t="inlineStr">
        <is>
          <t>Tunnel Spinach W45</t>
        </is>
      </c>
      <c r="B229" s="33" t="inlineStr">
        <is>
          <t>Tunnel Spinach</t>
        </is>
      </c>
      <c r="C229" s="45" t="n">
        <v>0</v>
      </c>
      <c r="D229" s="46" t="n">
        <v>0</v>
      </c>
      <c r="AW229" s="47" t="inlineStr">
        <is>
          <t>P</t>
        </is>
      </c>
      <c r="AX229" s="47" t="inlineStr">
        <is>
          <t>G</t>
        </is>
      </c>
      <c r="AY229" s="47" t="inlineStr">
        <is>
          <t>G</t>
        </is>
      </c>
      <c r="AZ229" s="47" t="inlineStr">
        <is>
          <t>G</t>
        </is>
      </c>
      <c r="BA229" s="47" t="inlineStr">
        <is>
          <t>G</t>
        </is>
      </c>
      <c r="BB229" s="47" t="inlineStr">
        <is>
          <t>G</t>
        </is>
      </c>
      <c r="BC229" s="47" t="inlineStr">
        <is>
          <t>H</t>
        </is>
      </c>
      <c r="BD229" s="47" t="inlineStr">
        <is>
          <t>H</t>
        </is>
      </c>
      <c r="BE229" s="48">
        <f>D229*$B$6*IF($S$20="Y",1,0)</f>
        <v/>
      </c>
      <c r="BF229" s="48">
        <f>D229*$I$20</f>
        <v/>
      </c>
      <c r="BG229" s="49">
        <f>MATCH("P",$E229:$BD229,0)</f>
        <v/>
      </c>
      <c r="BH229" s="33" t="inlineStr">
        <is>
          <t>High tunnel</t>
        </is>
      </c>
      <c r="BI229" s="33">
        <f>$Q$20</f>
        <v/>
      </c>
    </row>
    <row r="230">
      <c r="A230" s="33" t="inlineStr">
        <is>
          <t>Asparagus</t>
        </is>
      </c>
      <c r="B230" s="33" t="inlineStr">
        <is>
          <t>Asparagus</t>
        </is>
      </c>
      <c r="C230" s="14" t="n">
        <v>3</v>
      </c>
      <c r="D230" s="50">
        <f>IF(C230&gt;0,1,0)</f>
        <v/>
      </c>
      <c r="E230" s="47" t="inlineStr">
        <is>
          <t>G</t>
        </is>
      </c>
      <c r="F230" s="47" t="inlineStr">
        <is>
          <t>G</t>
        </is>
      </c>
      <c r="G230" s="47" t="inlineStr">
        <is>
          <t>G</t>
        </is>
      </c>
      <c r="H230" s="47" t="inlineStr">
        <is>
          <t>G</t>
        </is>
      </c>
      <c r="I230" s="47" t="inlineStr">
        <is>
          <t>G</t>
        </is>
      </c>
      <c r="J230" s="47" t="inlineStr">
        <is>
          <t>G</t>
        </is>
      </c>
      <c r="K230" s="47" t="inlineStr">
        <is>
          <t>G</t>
        </is>
      </c>
      <c r="L230" s="47" t="inlineStr">
        <is>
          <t>G</t>
        </is>
      </c>
      <c r="M230" s="47" t="inlineStr">
        <is>
          <t>G</t>
        </is>
      </c>
      <c r="N230" s="47" t="inlineStr">
        <is>
          <t>G</t>
        </is>
      </c>
      <c r="O230" s="47" t="inlineStr">
        <is>
          <t>G</t>
        </is>
      </c>
      <c r="P230" s="47" t="inlineStr">
        <is>
          <t>G</t>
        </is>
      </c>
      <c r="Q230" s="47" t="inlineStr">
        <is>
          <t>G</t>
        </is>
      </c>
      <c r="R230" s="47" t="inlineStr">
        <is>
          <t>G</t>
        </is>
      </c>
      <c r="S230" s="47" t="inlineStr">
        <is>
          <t>G</t>
        </is>
      </c>
      <c r="T230" s="47" t="inlineStr">
        <is>
          <t>G</t>
        </is>
      </c>
      <c r="U230" s="47" t="inlineStr">
        <is>
          <t>G</t>
        </is>
      </c>
      <c r="V230" s="47" t="inlineStr">
        <is>
          <t>H</t>
        </is>
      </c>
      <c r="W230" s="47" t="inlineStr">
        <is>
          <t>H</t>
        </is>
      </c>
      <c r="X230" s="47" t="inlineStr">
        <is>
          <t>H</t>
        </is>
      </c>
      <c r="Y230" s="47" t="inlineStr">
        <is>
          <t>H</t>
        </is>
      </c>
      <c r="Z230" s="47" t="inlineStr">
        <is>
          <t>H</t>
        </is>
      </c>
      <c r="AA230" s="47" t="inlineStr">
        <is>
          <t>H</t>
        </is>
      </c>
      <c r="AB230" s="47" t="inlineStr">
        <is>
          <t>H</t>
        </is>
      </c>
      <c r="AC230" s="47" t="inlineStr">
        <is>
          <t>H</t>
        </is>
      </c>
      <c r="AD230" s="47" t="inlineStr">
        <is>
          <t>G</t>
        </is>
      </c>
      <c r="AE230" s="47" t="inlineStr">
        <is>
          <t>G</t>
        </is>
      </c>
      <c r="AF230" s="47" t="inlineStr">
        <is>
          <t>G</t>
        </is>
      </c>
      <c r="AG230" s="47" t="inlineStr">
        <is>
          <t>G</t>
        </is>
      </c>
      <c r="AH230" s="47" t="inlineStr">
        <is>
          <t>G</t>
        </is>
      </c>
      <c r="AI230" s="47" t="inlineStr">
        <is>
          <t>G</t>
        </is>
      </c>
      <c r="AJ230" s="47" t="inlineStr">
        <is>
          <t>G</t>
        </is>
      </c>
      <c r="AK230" s="47" t="inlineStr">
        <is>
          <t>G</t>
        </is>
      </c>
      <c r="AL230" s="47" t="inlineStr">
        <is>
          <t>G</t>
        </is>
      </c>
      <c r="AM230" s="47" t="inlineStr">
        <is>
          <t>G</t>
        </is>
      </c>
      <c r="AN230" s="47" t="inlineStr">
        <is>
          <t>G</t>
        </is>
      </c>
      <c r="AO230" s="47" t="inlineStr">
        <is>
          <t>G</t>
        </is>
      </c>
      <c r="AP230" s="47" t="inlineStr">
        <is>
          <t>G</t>
        </is>
      </c>
      <c r="AQ230" s="47" t="inlineStr">
        <is>
          <t>G</t>
        </is>
      </c>
      <c r="AR230" s="47" t="inlineStr">
        <is>
          <t>G</t>
        </is>
      </c>
      <c r="AS230" s="47" t="inlineStr">
        <is>
          <t>G</t>
        </is>
      </c>
      <c r="AT230" s="47" t="inlineStr">
        <is>
          <t>G</t>
        </is>
      </c>
      <c r="AU230" s="47" t="inlineStr">
        <is>
          <t>G</t>
        </is>
      </c>
      <c r="AV230" s="47" t="inlineStr">
        <is>
          <t>G</t>
        </is>
      </c>
      <c r="AW230" s="47" t="inlineStr">
        <is>
          <t>G</t>
        </is>
      </c>
      <c r="AX230" s="47" t="inlineStr">
        <is>
          <t>G</t>
        </is>
      </c>
      <c r="AY230" s="47" t="inlineStr">
        <is>
          <t>G</t>
        </is>
      </c>
      <c r="AZ230" s="47" t="inlineStr">
        <is>
          <t>G</t>
        </is>
      </c>
      <c r="BA230" s="47" t="inlineStr">
        <is>
          <t>G</t>
        </is>
      </c>
      <c r="BB230" s="47" t="inlineStr">
        <is>
          <t>G</t>
        </is>
      </c>
      <c r="BC230" s="47" t="inlineStr">
        <is>
          <t>G</t>
        </is>
      </c>
      <c r="BD230" s="47" t="inlineStr">
        <is>
          <t>G</t>
        </is>
      </c>
      <c r="BE230" s="48">
        <f>D230*$B$6*IF($R$21="Y",1,0)</f>
        <v/>
      </c>
      <c r="BF230" s="48">
        <f>D230*$I$21</f>
        <v/>
      </c>
      <c r="BG230" s="33" t="inlineStr">
        <is>
          <t>-</t>
        </is>
      </c>
      <c r="BH230" s="33" t="inlineStr">
        <is>
          <t>Open field</t>
        </is>
      </c>
      <c r="BI230" s="33">
        <f>$Q$21</f>
        <v/>
      </c>
    </row>
    <row r="231">
      <c r="A231" s="2" t="inlineStr">
        <is>
          <t>ACRES &lt;= 'max if planted' and ACRES &gt;= 'min if planted' are the app's C9 and C10: you cannot plant acres without deciding to plant, and if you plant at all you plant a real block.</t>
        </is>
      </c>
    </row>
    <row r="233">
      <c r="A233" s="36" t="inlineStr">
        <is>
          <t>Week</t>
        </is>
      </c>
      <c r="B233" s="37" t="inlineStr">
        <is>
          <t>acres</t>
        </is>
      </c>
      <c r="E233" s="38" t="n">
        <v>1</v>
      </c>
      <c r="F233" s="38" t="n">
        <v>2</v>
      </c>
      <c r="G233" s="38" t="n">
        <v>3</v>
      </c>
      <c r="H233" s="38" t="n">
        <v>4</v>
      </c>
      <c r="I233" s="38" t="n">
        <v>5</v>
      </c>
      <c r="J233" s="38" t="n">
        <v>6</v>
      </c>
      <c r="K233" s="38" t="n">
        <v>7</v>
      </c>
      <c r="L233" s="38" t="n">
        <v>8</v>
      </c>
      <c r="M233" s="38" t="n">
        <v>9</v>
      </c>
      <c r="N233" s="38" t="n">
        <v>10</v>
      </c>
      <c r="O233" s="38" t="n">
        <v>11</v>
      </c>
      <c r="P233" s="38" t="n">
        <v>12</v>
      </c>
      <c r="Q233" s="38" t="n">
        <v>13</v>
      </c>
      <c r="R233" s="38" t="n">
        <v>14</v>
      </c>
      <c r="S233" s="38" t="n">
        <v>15</v>
      </c>
      <c r="T233" s="38" t="n">
        <v>16</v>
      </c>
      <c r="U233" s="38" t="n">
        <v>17</v>
      </c>
      <c r="V233" s="38" t="n">
        <v>18</v>
      </c>
      <c r="W233" s="38" t="n">
        <v>19</v>
      </c>
      <c r="X233" s="38" t="n">
        <v>20</v>
      </c>
      <c r="Y233" s="38" t="n">
        <v>21</v>
      </c>
      <c r="Z233" s="38" t="n">
        <v>22</v>
      </c>
      <c r="AA233" s="38" t="n">
        <v>23</v>
      </c>
      <c r="AB233" s="38" t="n">
        <v>24</v>
      </c>
      <c r="AC233" s="38" t="n">
        <v>25</v>
      </c>
      <c r="AD233" s="38" t="n">
        <v>26</v>
      </c>
      <c r="AE233" s="38" t="n">
        <v>27</v>
      </c>
      <c r="AF233" s="38" t="n">
        <v>28</v>
      </c>
      <c r="AG233" s="38" t="n">
        <v>29</v>
      </c>
      <c r="AH233" s="38" t="n">
        <v>30</v>
      </c>
      <c r="AI233" s="38" t="n">
        <v>31</v>
      </c>
      <c r="AJ233" s="38" t="n">
        <v>32</v>
      </c>
      <c r="AK233" s="38" t="n">
        <v>33</v>
      </c>
      <c r="AL233" s="38" t="n">
        <v>34</v>
      </c>
      <c r="AM233" s="38" t="n">
        <v>35</v>
      </c>
      <c r="AN233" s="38" t="n">
        <v>36</v>
      </c>
      <c r="AO233" s="38" t="n">
        <v>37</v>
      </c>
      <c r="AP233" s="38" t="n">
        <v>38</v>
      </c>
      <c r="AQ233" s="38" t="n">
        <v>39</v>
      </c>
      <c r="AR233" s="38" t="n">
        <v>40</v>
      </c>
      <c r="AS233" s="38" t="n">
        <v>41</v>
      </c>
      <c r="AT233" s="38" t="n">
        <v>42</v>
      </c>
      <c r="AU233" s="38" t="n">
        <v>43</v>
      </c>
      <c r="AV233" s="38" t="n">
        <v>44</v>
      </c>
      <c r="AW233" s="38" t="n">
        <v>45</v>
      </c>
      <c r="AX233" s="38" t="n">
        <v>46</v>
      </c>
      <c r="AY233" s="38" t="n">
        <v>47</v>
      </c>
      <c r="AZ233" s="38" t="n">
        <v>48</v>
      </c>
      <c r="BA233" s="38" t="n">
        <v>49</v>
      </c>
      <c r="BB233" s="38" t="n">
        <v>50</v>
      </c>
      <c r="BC233" s="38" t="n">
        <v>51</v>
      </c>
      <c r="BD233" s="38" t="n">
        <v>52</v>
      </c>
    </row>
    <row r="234">
      <c r="A234" s="41" t="inlineStr">
        <is>
          <t>LAND in the ground — Open field</t>
        </is>
      </c>
      <c r="B234" s="2" t="inlineStr">
        <is>
          <t>used</t>
        </is>
      </c>
      <c r="E234" s="51">
        <f>SUMPRODUCT((E$91:E$230&lt;&gt;"")*($BH$91:$BH$230="Open field")*$C$91:$C$230)</f>
        <v/>
      </c>
      <c r="F234" s="51">
        <f>SUMPRODUCT((F$91:F$230&lt;&gt;"")*($BH$91:$BH$230="Open field")*$C$91:$C$230)</f>
        <v/>
      </c>
      <c r="G234" s="51">
        <f>SUMPRODUCT((G$91:G$230&lt;&gt;"")*($BH$91:$BH$230="Open field")*$C$91:$C$230)</f>
        <v/>
      </c>
      <c r="H234" s="51">
        <f>SUMPRODUCT((H$91:H$230&lt;&gt;"")*($BH$91:$BH$230="Open field")*$C$91:$C$230)</f>
        <v/>
      </c>
      <c r="I234" s="51">
        <f>SUMPRODUCT((I$91:I$230&lt;&gt;"")*($BH$91:$BH$230="Open field")*$C$91:$C$230)</f>
        <v/>
      </c>
      <c r="J234" s="51">
        <f>SUMPRODUCT((J$91:J$230&lt;&gt;"")*($BH$91:$BH$230="Open field")*$C$91:$C$230)</f>
        <v/>
      </c>
      <c r="K234" s="51">
        <f>SUMPRODUCT((K$91:K$230&lt;&gt;"")*($BH$91:$BH$230="Open field")*$C$91:$C$230)</f>
        <v/>
      </c>
      <c r="L234" s="51">
        <f>SUMPRODUCT((L$91:L$230&lt;&gt;"")*($BH$91:$BH$230="Open field")*$C$91:$C$230)</f>
        <v/>
      </c>
      <c r="M234" s="51">
        <f>SUMPRODUCT((M$91:M$230&lt;&gt;"")*($BH$91:$BH$230="Open field")*$C$91:$C$230)</f>
        <v/>
      </c>
      <c r="N234" s="51">
        <f>SUMPRODUCT((N$91:N$230&lt;&gt;"")*($BH$91:$BH$230="Open field")*$C$91:$C$230)</f>
        <v/>
      </c>
      <c r="O234" s="51">
        <f>SUMPRODUCT((O$91:O$230&lt;&gt;"")*($BH$91:$BH$230="Open field")*$C$91:$C$230)</f>
        <v/>
      </c>
      <c r="P234" s="51">
        <f>SUMPRODUCT((P$91:P$230&lt;&gt;"")*($BH$91:$BH$230="Open field")*$C$91:$C$230)</f>
        <v/>
      </c>
      <c r="Q234" s="51">
        <f>SUMPRODUCT((Q$91:Q$230&lt;&gt;"")*($BH$91:$BH$230="Open field")*$C$91:$C$230)</f>
        <v/>
      </c>
      <c r="R234" s="51">
        <f>SUMPRODUCT((R$91:R$230&lt;&gt;"")*($BH$91:$BH$230="Open field")*$C$91:$C$230)</f>
        <v/>
      </c>
      <c r="S234" s="51">
        <f>SUMPRODUCT((S$91:S$230&lt;&gt;"")*($BH$91:$BH$230="Open field")*$C$91:$C$230)</f>
        <v/>
      </c>
      <c r="T234" s="51">
        <f>SUMPRODUCT((T$91:T$230&lt;&gt;"")*($BH$91:$BH$230="Open field")*$C$91:$C$230)</f>
        <v/>
      </c>
      <c r="U234" s="51">
        <f>SUMPRODUCT((U$91:U$230&lt;&gt;"")*($BH$91:$BH$230="Open field")*$C$91:$C$230)</f>
        <v/>
      </c>
      <c r="V234" s="51">
        <f>SUMPRODUCT((V$91:V$230&lt;&gt;"")*($BH$91:$BH$230="Open field")*$C$91:$C$230)</f>
        <v/>
      </c>
      <c r="W234" s="51">
        <f>SUMPRODUCT((W$91:W$230&lt;&gt;"")*($BH$91:$BH$230="Open field")*$C$91:$C$230)</f>
        <v/>
      </c>
      <c r="X234" s="51">
        <f>SUMPRODUCT((X$91:X$230&lt;&gt;"")*($BH$91:$BH$230="Open field")*$C$91:$C$230)</f>
        <v/>
      </c>
      <c r="Y234" s="51">
        <f>SUMPRODUCT((Y$91:Y$230&lt;&gt;"")*($BH$91:$BH$230="Open field")*$C$91:$C$230)</f>
        <v/>
      </c>
      <c r="Z234" s="51">
        <f>SUMPRODUCT((Z$91:Z$230&lt;&gt;"")*($BH$91:$BH$230="Open field")*$C$91:$C$230)</f>
        <v/>
      </c>
      <c r="AA234" s="51">
        <f>SUMPRODUCT((AA$91:AA$230&lt;&gt;"")*($BH$91:$BH$230="Open field")*$C$91:$C$230)</f>
        <v/>
      </c>
      <c r="AB234" s="51">
        <f>SUMPRODUCT((AB$91:AB$230&lt;&gt;"")*($BH$91:$BH$230="Open field")*$C$91:$C$230)</f>
        <v/>
      </c>
      <c r="AC234" s="51">
        <f>SUMPRODUCT((AC$91:AC$230&lt;&gt;"")*($BH$91:$BH$230="Open field")*$C$91:$C$230)</f>
        <v/>
      </c>
      <c r="AD234" s="51">
        <f>SUMPRODUCT((AD$91:AD$230&lt;&gt;"")*($BH$91:$BH$230="Open field")*$C$91:$C$230)</f>
        <v/>
      </c>
      <c r="AE234" s="51">
        <f>SUMPRODUCT((AE$91:AE$230&lt;&gt;"")*($BH$91:$BH$230="Open field")*$C$91:$C$230)</f>
        <v/>
      </c>
      <c r="AF234" s="51">
        <f>SUMPRODUCT((AF$91:AF$230&lt;&gt;"")*($BH$91:$BH$230="Open field")*$C$91:$C$230)</f>
        <v/>
      </c>
      <c r="AG234" s="51">
        <f>SUMPRODUCT((AG$91:AG$230&lt;&gt;"")*($BH$91:$BH$230="Open field")*$C$91:$C$230)</f>
        <v/>
      </c>
      <c r="AH234" s="51">
        <f>SUMPRODUCT((AH$91:AH$230&lt;&gt;"")*($BH$91:$BH$230="Open field")*$C$91:$C$230)</f>
        <v/>
      </c>
      <c r="AI234" s="51">
        <f>SUMPRODUCT((AI$91:AI$230&lt;&gt;"")*($BH$91:$BH$230="Open field")*$C$91:$C$230)</f>
        <v/>
      </c>
      <c r="AJ234" s="51">
        <f>SUMPRODUCT((AJ$91:AJ$230&lt;&gt;"")*($BH$91:$BH$230="Open field")*$C$91:$C$230)</f>
        <v/>
      </c>
      <c r="AK234" s="51">
        <f>SUMPRODUCT((AK$91:AK$230&lt;&gt;"")*($BH$91:$BH$230="Open field")*$C$91:$C$230)</f>
        <v/>
      </c>
      <c r="AL234" s="51">
        <f>SUMPRODUCT((AL$91:AL$230&lt;&gt;"")*($BH$91:$BH$230="Open field")*$C$91:$C$230)</f>
        <v/>
      </c>
      <c r="AM234" s="51">
        <f>SUMPRODUCT((AM$91:AM$230&lt;&gt;"")*($BH$91:$BH$230="Open field")*$C$91:$C$230)</f>
        <v/>
      </c>
      <c r="AN234" s="51">
        <f>SUMPRODUCT((AN$91:AN$230&lt;&gt;"")*($BH$91:$BH$230="Open field")*$C$91:$C$230)</f>
        <v/>
      </c>
      <c r="AO234" s="51">
        <f>SUMPRODUCT((AO$91:AO$230&lt;&gt;"")*($BH$91:$BH$230="Open field")*$C$91:$C$230)</f>
        <v/>
      </c>
      <c r="AP234" s="51">
        <f>SUMPRODUCT((AP$91:AP$230&lt;&gt;"")*($BH$91:$BH$230="Open field")*$C$91:$C$230)</f>
        <v/>
      </c>
      <c r="AQ234" s="51">
        <f>SUMPRODUCT((AQ$91:AQ$230&lt;&gt;"")*($BH$91:$BH$230="Open field")*$C$91:$C$230)</f>
        <v/>
      </c>
      <c r="AR234" s="51">
        <f>SUMPRODUCT((AR$91:AR$230&lt;&gt;"")*($BH$91:$BH$230="Open field")*$C$91:$C$230)</f>
        <v/>
      </c>
      <c r="AS234" s="51">
        <f>SUMPRODUCT((AS$91:AS$230&lt;&gt;"")*($BH$91:$BH$230="Open field")*$C$91:$C$230)</f>
        <v/>
      </c>
      <c r="AT234" s="51">
        <f>SUMPRODUCT((AT$91:AT$230&lt;&gt;"")*($BH$91:$BH$230="Open field")*$C$91:$C$230)</f>
        <v/>
      </c>
      <c r="AU234" s="51">
        <f>SUMPRODUCT((AU$91:AU$230&lt;&gt;"")*($BH$91:$BH$230="Open field")*$C$91:$C$230)</f>
        <v/>
      </c>
      <c r="AV234" s="51">
        <f>SUMPRODUCT((AV$91:AV$230&lt;&gt;"")*($BH$91:$BH$230="Open field")*$C$91:$C$230)</f>
        <v/>
      </c>
      <c r="AW234" s="51">
        <f>SUMPRODUCT((AW$91:AW$230&lt;&gt;"")*($BH$91:$BH$230="Open field")*$C$91:$C$230)</f>
        <v/>
      </c>
      <c r="AX234" s="51">
        <f>SUMPRODUCT((AX$91:AX$230&lt;&gt;"")*($BH$91:$BH$230="Open field")*$C$91:$C$230)</f>
        <v/>
      </c>
      <c r="AY234" s="51">
        <f>SUMPRODUCT((AY$91:AY$230&lt;&gt;"")*($BH$91:$BH$230="Open field")*$C$91:$C$230)</f>
        <v/>
      </c>
      <c r="AZ234" s="51">
        <f>SUMPRODUCT((AZ$91:AZ$230&lt;&gt;"")*($BH$91:$BH$230="Open field")*$C$91:$C$230)</f>
        <v/>
      </c>
      <c r="BA234" s="51">
        <f>SUMPRODUCT((BA$91:BA$230&lt;&gt;"")*($BH$91:$BH$230="Open field")*$C$91:$C$230)</f>
        <v/>
      </c>
      <c r="BB234" s="51">
        <f>SUMPRODUCT((BB$91:BB$230&lt;&gt;"")*($BH$91:$BH$230="Open field")*$C$91:$C$230)</f>
        <v/>
      </c>
      <c r="BC234" s="51">
        <f>SUMPRODUCT((BC$91:BC$230&lt;&gt;"")*($BH$91:$BH$230="Open field")*$C$91:$C$230)</f>
        <v/>
      </c>
      <c r="BD234" s="51">
        <f>SUMPRODUCT((BD$91:BD$230&lt;&gt;"")*($BH$91:$BH$230="Open field")*$C$91:$C$230)</f>
        <v/>
      </c>
    </row>
    <row r="235">
      <c r="A235" s="4" t="inlineStr"/>
      <c r="E235" s="52" t="inlineStr">
        <is>
          <t>&lt;=</t>
        </is>
      </c>
      <c r="F235" s="52" t="inlineStr">
        <is>
          <t>&lt;=</t>
        </is>
      </c>
      <c r="G235" s="52" t="inlineStr">
        <is>
          <t>&lt;=</t>
        </is>
      </c>
      <c r="H235" s="52" t="inlineStr">
        <is>
          <t>&lt;=</t>
        </is>
      </c>
      <c r="I235" s="52" t="inlineStr">
        <is>
          <t>&lt;=</t>
        </is>
      </c>
      <c r="J235" s="52" t="inlineStr">
        <is>
          <t>&lt;=</t>
        </is>
      </c>
      <c r="K235" s="52" t="inlineStr">
        <is>
          <t>&lt;=</t>
        </is>
      </c>
      <c r="L235" s="52" t="inlineStr">
        <is>
          <t>&lt;=</t>
        </is>
      </c>
      <c r="M235" s="52" t="inlineStr">
        <is>
          <t>&lt;=</t>
        </is>
      </c>
      <c r="N235" s="52" t="inlineStr">
        <is>
          <t>&lt;=</t>
        </is>
      </c>
      <c r="O235" s="52" t="inlineStr">
        <is>
          <t>&lt;=</t>
        </is>
      </c>
      <c r="P235" s="52" t="inlineStr">
        <is>
          <t>&lt;=</t>
        </is>
      </c>
      <c r="Q235" s="52" t="inlineStr">
        <is>
          <t>&lt;=</t>
        </is>
      </c>
      <c r="R235" s="52" t="inlineStr">
        <is>
          <t>&lt;=</t>
        </is>
      </c>
      <c r="S235" s="52" t="inlineStr">
        <is>
          <t>&lt;=</t>
        </is>
      </c>
      <c r="T235" s="52" t="inlineStr">
        <is>
          <t>&lt;=</t>
        </is>
      </c>
      <c r="U235" s="52" t="inlineStr">
        <is>
          <t>&lt;=</t>
        </is>
      </c>
      <c r="V235" s="52" t="inlineStr">
        <is>
          <t>&lt;=</t>
        </is>
      </c>
      <c r="W235" s="52" t="inlineStr">
        <is>
          <t>&lt;=</t>
        </is>
      </c>
      <c r="X235" s="52" t="inlineStr">
        <is>
          <t>&lt;=</t>
        </is>
      </c>
      <c r="Y235" s="52" t="inlineStr">
        <is>
          <t>&lt;=</t>
        </is>
      </c>
      <c r="Z235" s="52" t="inlineStr">
        <is>
          <t>&lt;=</t>
        </is>
      </c>
      <c r="AA235" s="52" t="inlineStr">
        <is>
          <t>&lt;=</t>
        </is>
      </c>
      <c r="AB235" s="52" t="inlineStr">
        <is>
          <t>&lt;=</t>
        </is>
      </c>
      <c r="AC235" s="52" t="inlineStr">
        <is>
          <t>&lt;=</t>
        </is>
      </c>
      <c r="AD235" s="52" t="inlineStr">
        <is>
          <t>&lt;=</t>
        </is>
      </c>
      <c r="AE235" s="52" t="inlineStr">
        <is>
          <t>&lt;=</t>
        </is>
      </c>
      <c r="AF235" s="52" t="inlineStr">
        <is>
          <t>&lt;=</t>
        </is>
      </c>
      <c r="AG235" s="52" t="inlineStr">
        <is>
          <t>&lt;=</t>
        </is>
      </c>
      <c r="AH235" s="52" t="inlineStr">
        <is>
          <t>&lt;=</t>
        </is>
      </c>
      <c r="AI235" s="52" t="inlineStr">
        <is>
          <t>&lt;=</t>
        </is>
      </c>
      <c r="AJ235" s="52" t="inlineStr">
        <is>
          <t>&lt;=</t>
        </is>
      </c>
      <c r="AK235" s="52" t="inlineStr">
        <is>
          <t>&lt;=</t>
        </is>
      </c>
      <c r="AL235" s="52" t="inlineStr">
        <is>
          <t>&lt;=</t>
        </is>
      </c>
      <c r="AM235" s="52" t="inlineStr">
        <is>
          <t>&lt;=</t>
        </is>
      </c>
      <c r="AN235" s="52" t="inlineStr">
        <is>
          <t>&lt;=</t>
        </is>
      </c>
      <c r="AO235" s="52" t="inlineStr">
        <is>
          <t>&lt;=</t>
        </is>
      </c>
      <c r="AP235" s="52" t="inlineStr">
        <is>
          <t>&lt;=</t>
        </is>
      </c>
      <c r="AQ235" s="52" t="inlineStr">
        <is>
          <t>&lt;=</t>
        </is>
      </c>
      <c r="AR235" s="52" t="inlineStr">
        <is>
          <t>&lt;=</t>
        </is>
      </c>
      <c r="AS235" s="52" t="inlineStr">
        <is>
          <t>&lt;=</t>
        </is>
      </c>
      <c r="AT235" s="52" t="inlineStr">
        <is>
          <t>&lt;=</t>
        </is>
      </c>
      <c r="AU235" s="52" t="inlineStr">
        <is>
          <t>&lt;=</t>
        </is>
      </c>
      <c r="AV235" s="52" t="inlineStr">
        <is>
          <t>&lt;=</t>
        </is>
      </c>
      <c r="AW235" s="52" t="inlineStr">
        <is>
          <t>&lt;=</t>
        </is>
      </c>
      <c r="AX235" s="52" t="inlineStr">
        <is>
          <t>&lt;=</t>
        </is>
      </c>
      <c r="AY235" s="52" t="inlineStr">
        <is>
          <t>&lt;=</t>
        </is>
      </c>
      <c r="AZ235" s="52" t="inlineStr">
        <is>
          <t>&lt;=</t>
        </is>
      </c>
      <c r="BA235" s="52" t="inlineStr">
        <is>
          <t>&lt;=</t>
        </is>
      </c>
      <c r="BB235" s="52" t="inlineStr">
        <is>
          <t>&lt;=</t>
        </is>
      </c>
      <c r="BC235" s="52" t="inlineStr">
        <is>
          <t>&lt;=</t>
        </is>
      </c>
      <c r="BD235" s="52" t="inlineStr">
        <is>
          <t>&lt;=</t>
        </is>
      </c>
    </row>
    <row r="236">
      <c r="A236" s="41" t="inlineStr">
        <is>
          <t xml:space="preserve">  limit</t>
        </is>
      </c>
      <c r="B236" s="2" t="inlineStr">
        <is>
          <t>cap</t>
        </is>
      </c>
      <c r="E236" s="51">
        <f>$B$11</f>
        <v/>
      </c>
      <c r="F236" s="51">
        <f>$B$11</f>
        <v/>
      </c>
      <c r="G236" s="51">
        <f>$B$11</f>
        <v/>
      </c>
      <c r="H236" s="51">
        <f>$B$11</f>
        <v/>
      </c>
      <c r="I236" s="51">
        <f>$B$11</f>
        <v/>
      </c>
      <c r="J236" s="51">
        <f>$B$11</f>
        <v/>
      </c>
      <c r="K236" s="51">
        <f>$B$11</f>
        <v/>
      </c>
      <c r="L236" s="51">
        <f>$B$11</f>
        <v/>
      </c>
      <c r="M236" s="51">
        <f>$B$11</f>
        <v/>
      </c>
      <c r="N236" s="51">
        <f>$B$11</f>
        <v/>
      </c>
      <c r="O236" s="51">
        <f>$B$11</f>
        <v/>
      </c>
      <c r="P236" s="51">
        <f>$B$11</f>
        <v/>
      </c>
      <c r="Q236" s="51">
        <f>$B$11</f>
        <v/>
      </c>
      <c r="R236" s="51">
        <f>$B$11</f>
        <v/>
      </c>
      <c r="S236" s="51">
        <f>$B$11</f>
        <v/>
      </c>
      <c r="T236" s="51">
        <f>$B$11</f>
        <v/>
      </c>
      <c r="U236" s="51">
        <f>$B$11</f>
        <v/>
      </c>
      <c r="V236" s="51">
        <f>$B$11</f>
        <v/>
      </c>
      <c r="W236" s="51">
        <f>$B$11</f>
        <v/>
      </c>
      <c r="X236" s="51">
        <f>$B$11</f>
        <v/>
      </c>
      <c r="Y236" s="51">
        <f>$B$11</f>
        <v/>
      </c>
      <c r="Z236" s="51">
        <f>$B$11</f>
        <v/>
      </c>
      <c r="AA236" s="51">
        <f>$B$11</f>
        <v/>
      </c>
      <c r="AB236" s="51">
        <f>$B$11</f>
        <v/>
      </c>
      <c r="AC236" s="51">
        <f>$B$11</f>
        <v/>
      </c>
      <c r="AD236" s="51">
        <f>$B$11</f>
        <v/>
      </c>
      <c r="AE236" s="51">
        <f>$B$11</f>
        <v/>
      </c>
      <c r="AF236" s="51">
        <f>$B$11</f>
        <v/>
      </c>
      <c r="AG236" s="51">
        <f>$B$11</f>
        <v/>
      </c>
      <c r="AH236" s="51">
        <f>$B$11</f>
        <v/>
      </c>
      <c r="AI236" s="51">
        <f>$B$11</f>
        <v/>
      </c>
      <c r="AJ236" s="51">
        <f>$B$11</f>
        <v/>
      </c>
      <c r="AK236" s="51">
        <f>$B$11</f>
        <v/>
      </c>
      <c r="AL236" s="51">
        <f>$B$11</f>
        <v/>
      </c>
      <c r="AM236" s="51">
        <f>$B$11</f>
        <v/>
      </c>
      <c r="AN236" s="51">
        <f>$B$11</f>
        <v/>
      </c>
      <c r="AO236" s="51">
        <f>$B$11</f>
        <v/>
      </c>
      <c r="AP236" s="51">
        <f>$B$11</f>
        <v/>
      </c>
      <c r="AQ236" s="51">
        <f>$B$11</f>
        <v/>
      </c>
      <c r="AR236" s="51">
        <f>$B$11</f>
        <v/>
      </c>
      <c r="AS236" s="51">
        <f>$B$11</f>
        <v/>
      </c>
      <c r="AT236" s="51">
        <f>$B$11</f>
        <v/>
      </c>
      <c r="AU236" s="51">
        <f>$B$11</f>
        <v/>
      </c>
      <c r="AV236" s="51">
        <f>$B$11</f>
        <v/>
      </c>
      <c r="AW236" s="51">
        <f>$B$11</f>
        <v/>
      </c>
      <c r="AX236" s="51">
        <f>$B$11</f>
        <v/>
      </c>
      <c r="AY236" s="51">
        <f>$B$11</f>
        <v/>
      </c>
      <c r="AZ236" s="51">
        <f>$B$11</f>
        <v/>
      </c>
      <c r="BA236" s="51">
        <f>$B$11</f>
        <v/>
      </c>
      <c r="BB236" s="51">
        <f>$B$11</f>
        <v/>
      </c>
      <c r="BC236" s="51">
        <f>$B$11</f>
        <v/>
      </c>
      <c r="BD236" s="51">
        <f>$B$11</f>
        <v/>
      </c>
    </row>
    <row r="237">
      <c r="A237" s="43" t="inlineStr">
        <is>
          <t xml:space="preserve">  room left</t>
        </is>
      </c>
      <c r="E237" s="51">
        <f>$B$11-E234</f>
        <v/>
      </c>
      <c r="F237" s="51">
        <f>$B$11-F234</f>
        <v/>
      </c>
      <c r="G237" s="51">
        <f>$B$11-G234</f>
        <v/>
      </c>
      <c r="H237" s="51">
        <f>$B$11-H234</f>
        <v/>
      </c>
      <c r="I237" s="51">
        <f>$B$11-I234</f>
        <v/>
      </c>
      <c r="J237" s="51">
        <f>$B$11-J234</f>
        <v/>
      </c>
      <c r="K237" s="51">
        <f>$B$11-K234</f>
        <v/>
      </c>
      <c r="L237" s="51">
        <f>$B$11-L234</f>
        <v/>
      </c>
      <c r="M237" s="51">
        <f>$B$11-M234</f>
        <v/>
      </c>
      <c r="N237" s="51">
        <f>$B$11-N234</f>
        <v/>
      </c>
      <c r="O237" s="51">
        <f>$B$11-O234</f>
        <v/>
      </c>
      <c r="P237" s="51">
        <f>$B$11-P234</f>
        <v/>
      </c>
      <c r="Q237" s="51">
        <f>$B$11-Q234</f>
        <v/>
      </c>
      <c r="R237" s="51">
        <f>$B$11-R234</f>
        <v/>
      </c>
      <c r="S237" s="51">
        <f>$B$11-S234</f>
        <v/>
      </c>
      <c r="T237" s="51">
        <f>$B$11-T234</f>
        <v/>
      </c>
      <c r="U237" s="51">
        <f>$B$11-U234</f>
        <v/>
      </c>
      <c r="V237" s="51">
        <f>$B$11-V234</f>
        <v/>
      </c>
      <c r="W237" s="51">
        <f>$B$11-W234</f>
        <v/>
      </c>
      <c r="X237" s="51">
        <f>$B$11-X234</f>
        <v/>
      </c>
      <c r="Y237" s="51">
        <f>$B$11-Y234</f>
        <v/>
      </c>
      <c r="Z237" s="51">
        <f>$B$11-Z234</f>
        <v/>
      </c>
      <c r="AA237" s="51">
        <f>$B$11-AA234</f>
        <v/>
      </c>
      <c r="AB237" s="51">
        <f>$B$11-AB234</f>
        <v/>
      </c>
      <c r="AC237" s="51">
        <f>$B$11-AC234</f>
        <v/>
      </c>
      <c r="AD237" s="51">
        <f>$B$11-AD234</f>
        <v/>
      </c>
      <c r="AE237" s="51">
        <f>$B$11-AE234</f>
        <v/>
      </c>
      <c r="AF237" s="51">
        <f>$B$11-AF234</f>
        <v/>
      </c>
      <c r="AG237" s="51">
        <f>$B$11-AG234</f>
        <v/>
      </c>
      <c r="AH237" s="51">
        <f>$B$11-AH234</f>
        <v/>
      </c>
      <c r="AI237" s="51">
        <f>$B$11-AI234</f>
        <v/>
      </c>
      <c r="AJ237" s="51">
        <f>$B$11-AJ234</f>
        <v/>
      </c>
      <c r="AK237" s="51">
        <f>$B$11-AK234</f>
        <v/>
      </c>
      <c r="AL237" s="51">
        <f>$B$11-AL234</f>
        <v/>
      </c>
      <c r="AM237" s="51">
        <f>$B$11-AM234</f>
        <v/>
      </c>
      <c r="AN237" s="51">
        <f>$B$11-AN234</f>
        <v/>
      </c>
      <c r="AO237" s="51">
        <f>$B$11-AO234</f>
        <v/>
      </c>
      <c r="AP237" s="51">
        <f>$B$11-AP234</f>
        <v/>
      </c>
      <c r="AQ237" s="51">
        <f>$B$11-AQ234</f>
        <v/>
      </c>
      <c r="AR237" s="51">
        <f>$B$11-AR234</f>
        <v/>
      </c>
      <c r="AS237" s="51">
        <f>$B$11-AS234</f>
        <v/>
      </c>
      <c r="AT237" s="51">
        <f>$B$11-AT234</f>
        <v/>
      </c>
      <c r="AU237" s="51">
        <f>$B$11-AU234</f>
        <v/>
      </c>
      <c r="AV237" s="51">
        <f>$B$11-AV234</f>
        <v/>
      </c>
      <c r="AW237" s="51">
        <f>$B$11-AW234</f>
        <v/>
      </c>
      <c r="AX237" s="51">
        <f>$B$11-AX234</f>
        <v/>
      </c>
      <c r="AY237" s="51">
        <f>$B$11-AY234</f>
        <v/>
      </c>
      <c r="AZ237" s="51">
        <f>$B$11-AZ234</f>
        <v/>
      </c>
      <c r="BA237" s="51">
        <f>$B$11-BA234</f>
        <v/>
      </c>
      <c r="BB237" s="51">
        <f>$B$11-BB234</f>
        <v/>
      </c>
      <c r="BC237" s="51">
        <f>$B$11-BC234</f>
        <v/>
      </c>
      <c r="BD237" s="51">
        <f>$B$11-BD234</f>
        <v/>
      </c>
    </row>
    <row r="238">
      <c r="A238" s="2" t="inlineStr">
        <is>
          <t xml:space="preserve">   Acres standing in Open field that week, the 3 committed acres of Asparagus included.</t>
        </is>
      </c>
    </row>
    <row r="240">
      <c r="A240" s="36" t="inlineStr">
        <is>
          <t>Week</t>
        </is>
      </c>
      <c r="B240" s="37" t="inlineStr">
        <is>
          <t>acres</t>
        </is>
      </c>
      <c r="E240" s="38" t="n">
        <v>1</v>
      </c>
      <c r="F240" s="38" t="n">
        <v>2</v>
      </c>
      <c r="G240" s="38" t="n">
        <v>3</v>
      </c>
      <c r="H240" s="38" t="n">
        <v>4</v>
      </c>
      <c r="I240" s="38" t="n">
        <v>5</v>
      </c>
      <c r="J240" s="38" t="n">
        <v>6</v>
      </c>
      <c r="K240" s="38" t="n">
        <v>7</v>
      </c>
      <c r="L240" s="38" t="n">
        <v>8</v>
      </c>
      <c r="M240" s="38" t="n">
        <v>9</v>
      </c>
      <c r="N240" s="38" t="n">
        <v>10</v>
      </c>
      <c r="O240" s="38" t="n">
        <v>11</v>
      </c>
      <c r="P240" s="38" t="n">
        <v>12</v>
      </c>
      <c r="Q240" s="38" t="n">
        <v>13</v>
      </c>
      <c r="R240" s="38" t="n">
        <v>14</v>
      </c>
      <c r="S240" s="38" t="n">
        <v>15</v>
      </c>
      <c r="T240" s="38" t="n">
        <v>16</v>
      </c>
      <c r="U240" s="38" t="n">
        <v>17</v>
      </c>
      <c r="V240" s="38" t="n">
        <v>18</v>
      </c>
      <c r="W240" s="38" t="n">
        <v>19</v>
      </c>
      <c r="X240" s="38" t="n">
        <v>20</v>
      </c>
      <c r="Y240" s="38" t="n">
        <v>21</v>
      </c>
      <c r="Z240" s="38" t="n">
        <v>22</v>
      </c>
      <c r="AA240" s="38" t="n">
        <v>23</v>
      </c>
      <c r="AB240" s="38" t="n">
        <v>24</v>
      </c>
      <c r="AC240" s="38" t="n">
        <v>25</v>
      </c>
      <c r="AD240" s="38" t="n">
        <v>26</v>
      </c>
      <c r="AE240" s="38" t="n">
        <v>27</v>
      </c>
      <c r="AF240" s="38" t="n">
        <v>28</v>
      </c>
      <c r="AG240" s="38" t="n">
        <v>29</v>
      </c>
      <c r="AH240" s="38" t="n">
        <v>30</v>
      </c>
      <c r="AI240" s="38" t="n">
        <v>31</v>
      </c>
      <c r="AJ240" s="38" t="n">
        <v>32</v>
      </c>
      <c r="AK240" s="38" t="n">
        <v>33</v>
      </c>
      <c r="AL240" s="38" t="n">
        <v>34</v>
      </c>
      <c r="AM240" s="38" t="n">
        <v>35</v>
      </c>
      <c r="AN240" s="38" t="n">
        <v>36</v>
      </c>
      <c r="AO240" s="38" t="n">
        <v>37</v>
      </c>
      <c r="AP240" s="38" t="n">
        <v>38</v>
      </c>
      <c r="AQ240" s="38" t="n">
        <v>39</v>
      </c>
      <c r="AR240" s="38" t="n">
        <v>40</v>
      </c>
      <c r="AS240" s="38" t="n">
        <v>41</v>
      </c>
      <c r="AT240" s="38" t="n">
        <v>42</v>
      </c>
      <c r="AU240" s="38" t="n">
        <v>43</v>
      </c>
      <c r="AV240" s="38" t="n">
        <v>44</v>
      </c>
      <c r="AW240" s="38" t="n">
        <v>45</v>
      </c>
      <c r="AX240" s="38" t="n">
        <v>46</v>
      </c>
      <c r="AY240" s="38" t="n">
        <v>47</v>
      </c>
      <c r="AZ240" s="38" t="n">
        <v>48</v>
      </c>
      <c r="BA240" s="38" t="n">
        <v>49</v>
      </c>
      <c r="BB240" s="38" t="n">
        <v>50</v>
      </c>
      <c r="BC240" s="38" t="n">
        <v>51</v>
      </c>
      <c r="BD240" s="38" t="n">
        <v>52</v>
      </c>
    </row>
    <row r="241">
      <c r="A241" s="41" t="inlineStr">
        <is>
          <t>LAND in the ground — High tunnel</t>
        </is>
      </c>
      <c r="B241" s="2" t="inlineStr">
        <is>
          <t>used</t>
        </is>
      </c>
      <c r="E241" s="51">
        <f>SUMPRODUCT((E$91:E$230&lt;&gt;"")*($BH$91:$BH$230="High tunnel")*$C$91:$C$230)</f>
        <v/>
      </c>
      <c r="F241" s="51">
        <f>SUMPRODUCT((F$91:F$230&lt;&gt;"")*($BH$91:$BH$230="High tunnel")*$C$91:$C$230)</f>
        <v/>
      </c>
      <c r="G241" s="51">
        <f>SUMPRODUCT((G$91:G$230&lt;&gt;"")*($BH$91:$BH$230="High tunnel")*$C$91:$C$230)</f>
        <v/>
      </c>
      <c r="H241" s="51">
        <f>SUMPRODUCT((H$91:H$230&lt;&gt;"")*($BH$91:$BH$230="High tunnel")*$C$91:$C$230)</f>
        <v/>
      </c>
      <c r="I241" s="51">
        <f>SUMPRODUCT((I$91:I$230&lt;&gt;"")*($BH$91:$BH$230="High tunnel")*$C$91:$C$230)</f>
        <v/>
      </c>
      <c r="J241" s="51">
        <f>SUMPRODUCT((J$91:J$230&lt;&gt;"")*($BH$91:$BH$230="High tunnel")*$C$91:$C$230)</f>
        <v/>
      </c>
      <c r="K241" s="51">
        <f>SUMPRODUCT((K$91:K$230&lt;&gt;"")*($BH$91:$BH$230="High tunnel")*$C$91:$C$230)</f>
        <v/>
      </c>
      <c r="L241" s="51">
        <f>SUMPRODUCT((L$91:L$230&lt;&gt;"")*($BH$91:$BH$230="High tunnel")*$C$91:$C$230)</f>
        <v/>
      </c>
      <c r="M241" s="51">
        <f>SUMPRODUCT((M$91:M$230&lt;&gt;"")*($BH$91:$BH$230="High tunnel")*$C$91:$C$230)</f>
        <v/>
      </c>
      <c r="N241" s="51">
        <f>SUMPRODUCT((N$91:N$230&lt;&gt;"")*($BH$91:$BH$230="High tunnel")*$C$91:$C$230)</f>
        <v/>
      </c>
      <c r="O241" s="51">
        <f>SUMPRODUCT((O$91:O$230&lt;&gt;"")*($BH$91:$BH$230="High tunnel")*$C$91:$C$230)</f>
        <v/>
      </c>
      <c r="P241" s="51">
        <f>SUMPRODUCT((P$91:P$230&lt;&gt;"")*($BH$91:$BH$230="High tunnel")*$C$91:$C$230)</f>
        <v/>
      </c>
      <c r="Q241" s="51">
        <f>SUMPRODUCT((Q$91:Q$230&lt;&gt;"")*($BH$91:$BH$230="High tunnel")*$C$91:$C$230)</f>
        <v/>
      </c>
      <c r="R241" s="51">
        <f>SUMPRODUCT((R$91:R$230&lt;&gt;"")*($BH$91:$BH$230="High tunnel")*$C$91:$C$230)</f>
        <v/>
      </c>
      <c r="S241" s="51">
        <f>SUMPRODUCT((S$91:S$230&lt;&gt;"")*($BH$91:$BH$230="High tunnel")*$C$91:$C$230)</f>
        <v/>
      </c>
      <c r="T241" s="51">
        <f>SUMPRODUCT((T$91:T$230&lt;&gt;"")*($BH$91:$BH$230="High tunnel")*$C$91:$C$230)</f>
        <v/>
      </c>
      <c r="U241" s="51">
        <f>SUMPRODUCT((U$91:U$230&lt;&gt;"")*($BH$91:$BH$230="High tunnel")*$C$91:$C$230)</f>
        <v/>
      </c>
      <c r="V241" s="51">
        <f>SUMPRODUCT((V$91:V$230&lt;&gt;"")*($BH$91:$BH$230="High tunnel")*$C$91:$C$230)</f>
        <v/>
      </c>
      <c r="W241" s="51">
        <f>SUMPRODUCT((W$91:W$230&lt;&gt;"")*($BH$91:$BH$230="High tunnel")*$C$91:$C$230)</f>
        <v/>
      </c>
      <c r="X241" s="51">
        <f>SUMPRODUCT((X$91:X$230&lt;&gt;"")*($BH$91:$BH$230="High tunnel")*$C$91:$C$230)</f>
        <v/>
      </c>
      <c r="Y241" s="51">
        <f>SUMPRODUCT((Y$91:Y$230&lt;&gt;"")*($BH$91:$BH$230="High tunnel")*$C$91:$C$230)</f>
        <v/>
      </c>
      <c r="Z241" s="51">
        <f>SUMPRODUCT((Z$91:Z$230&lt;&gt;"")*($BH$91:$BH$230="High tunnel")*$C$91:$C$230)</f>
        <v/>
      </c>
      <c r="AA241" s="51">
        <f>SUMPRODUCT((AA$91:AA$230&lt;&gt;"")*($BH$91:$BH$230="High tunnel")*$C$91:$C$230)</f>
        <v/>
      </c>
      <c r="AB241" s="51">
        <f>SUMPRODUCT((AB$91:AB$230&lt;&gt;"")*($BH$91:$BH$230="High tunnel")*$C$91:$C$230)</f>
        <v/>
      </c>
      <c r="AC241" s="51">
        <f>SUMPRODUCT((AC$91:AC$230&lt;&gt;"")*($BH$91:$BH$230="High tunnel")*$C$91:$C$230)</f>
        <v/>
      </c>
      <c r="AD241" s="51">
        <f>SUMPRODUCT((AD$91:AD$230&lt;&gt;"")*($BH$91:$BH$230="High tunnel")*$C$91:$C$230)</f>
        <v/>
      </c>
      <c r="AE241" s="51">
        <f>SUMPRODUCT((AE$91:AE$230&lt;&gt;"")*($BH$91:$BH$230="High tunnel")*$C$91:$C$230)</f>
        <v/>
      </c>
      <c r="AF241" s="51">
        <f>SUMPRODUCT((AF$91:AF$230&lt;&gt;"")*($BH$91:$BH$230="High tunnel")*$C$91:$C$230)</f>
        <v/>
      </c>
      <c r="AG241" s="51">
        <f>SUMPRODUCT((AG$91:AG$230&lt;&gt;"")*($BH$91:$BH$230="High tunnel")*$C$91:$C$230)</f>
        <v/>
      </c>
      <c r="AH241" s="51">
        <f>SUMPRODUCT((AH$91:AH$230&lt;&gt;"")*($BH$91:$BH$230="High tunnel")*$C$91:$C$230)</f>
        <v/>
      </c>
      <c r="AI241" s="51">
        <f>SUMPRODUCT((AI$91:AI$230&lt;&gt;"")*($BH$91:$BH$230="High tunnel")*$C$91:$C$230)</f>
        <v/>
      </c>
      <c r="AJ241" s="51">
        <f>SUMPRODUCT((AJ$91:AJ$230&lt;&gt;"")*($BH$91:$BH$230="High tunnel")*$C$91:$C$230)</f>
        <v/>
      </c>
      <c r="AK241" s="51">
        <f>SUMPRODUCT((AK$91:AK$230&lt;&gt;"")*($BH$91:$BH$230="High tunnel")*$C$91:$C$230)</f>
        <v/>
      </c>
      <c r="AL241" s="51">
        <f>SUMPRODUCT((AL$91:AL$230&lt;&gt;"")*($BH$91:$BH$230="High tunnel")*$C$91:$C$230)</f>
        <v/>
      </c>
      <c r="AM241" s="51">
        <f>SUMPRODUCT((AM$91:AM$230&lt;&gt;"")*($BH$91:$BH$230="High tunnel")*$C$91:$C$230)</f>
        <v/>
      </c>
      <c r="AN241" s="51">
        <f>SUMPRODUCT((AN$91:AN$230&lt;&gt;"")*($BH$91:$BH$230="High tunnel")*$C$91:$C$230)</f>
        <v/>
      </c>
      <c r="AO241" s="51">
        <f>SUMPRODUCT((AO$91:AO$230&lt;&gt;"")*($BH$91:$BH$230="High tunnel")*$C$91:$C$230)</f>
        <v/>
      </c>
      <c r="AP241" s="51">
        <f>SUMPRODUCT((AP$91:AP$230&lt;&gt;"")*($BH$91:$BH$230="High tunnel")*$C$91:$C$230)</f>
        <v/>
      </c>
      <c r="AQ241" s="51">
        <f>SUMPRODUCT((AQ$91:AQ$230&lt;&gt;"")*($BH$91:$BH$230="High tunnel")*$C$91:$C$230)</f>
        <v/>
      </c>
      <c r="AR241" s="51">
        <f>SUMPRODUCT((AR$91:AR$230&lt;&gt;"")*($BH$91:$BH$230="High tunnel")*$C$91:$C$230)</f>
        <v/>
      </c>
      <c r="AS241" s="51">
        <f>SUMPRODUCT((AS$91:AS$230&lt;&gt;"")*($BH$91:$BH$230="High tunnel")*$C$91:$C$230)</f>
        <v/>
      </c>
      <c r="AT241" s="51">
        <f>SUMPRODUCT((AT$91:AT$230&lt;&gt;"")*($BH$91:$BH$230="High tunnel")*$C$91:$C$230)</f>
        <v/>
      </c>
      <c r="AU241" s="51">
        <f>SUMPRODUCT((AU$91:AU$230&lt;&gt;"")*($BH$91:$BH$230="High tunnel")*$C$91:$C$230)</f>
        <v/>
      </c>
      <c r="AV241" s="51">
        <f>SUMPRODUCT((AV$91:AV$230&lt;&gt;"")*($BH$91:$BH$230="High tunnel")*$C$91:$C$230)</f>
        <v/>
      </c>
      <c r="AW241" s="51">
        <f>SUMPRODUCT((AW$91:AW$230&lt;&gt;"")*($BH$91:$BH$230="High tunnel")*$C$91:$C$230)</f>
        <v/>
      </c>
      <c r="AX241" s="51">
        <f>SUMPRODUCT((AX$91:AX$230&lt;&gt;"")*($BH$91:$BH$230="High tunnel")*$C$91:$C$230)</f>
        <v/>
      </c>
      <c r="AY241" s="51">
        <f>SUMPRODUCT((AY$91:AY$230&lt;&gt;"")*($BH$91:$BH$230="High tunnel")*$C$91:$C$230)</f>
        <v/>
      </c>
      <c r="AZ241" s="51">
        <f>SUMPRODUCT((AZ$91:AZ$230&lt;&gt;"")*($BH$91:$BH$230="High tunnel")*$C$91:$C$230)</f>
        <v/>
      </c>
      <c r="BA241" s="51">
        <f>SUMPRODUCT((BA$91:BA$230&lt;&gt;"")*($BH$91:$BH$230="High tunnel")*$C$91:$C$230)</f>
        <v/>
      </c>
      <c r="BB241" s="51">
        <f>SUMPRODUCT((BB$91:BB$230&lt;&gt;"")*($BH$91:$BH$230="High tunnel")*$C$91:$C$230)</f>
        <v/>
      </c>
      <c r="BC241" s="51">
        <f>SUMPRODUCT((BC$91:BC$230&lt;&gt;"")*($BH$91:$BH$230="High tunnel")*$C$91:$C$230)</f>
        <v/>
      </c>
      <c r="BD241" s="51">
        <f>SUMPRODUCT((BD$91:BD$230&lt;&gt;"")*($BH$91:$BH$230="High tunnel")*$C$91:$C$230)</f>
        <v/>
      </c>
    </row>
    <row r="242">
      <c r="A242" s="4" t="inlineStr"/>
      <c r="E242" s="52" t="inlineStr">
        <is>
          <t>&lt;=</t>
        </is>
      </c>
      <c r="F242" s="52" t="inlineStr">
        <is>
          <t>&lt;=</t>
        </is>
      </c>
      <c r="G242" s="52" t="inlineStr">
        <is>
          <t>&lt;=</t>
        </is>
      </c>
      <c r="H242" s="52" t="inlineStr">
        <is>
          <t>&lt;=</t>
        </is>
      </c>
      <c r="I242" s="52" t="inlineStr">
        <is>
          <t>&lt;=</t>
        </is>
      </c>
      <c r="J242" s="52" t="inlineStr">
        <is>
          <t>&lt;=</t>
        </is>
      </c>
      <c r="K242" s="52" t="inlineStr">
        <is>
          <t>&lt;=</t>
        </is>
      </c>
      <c r="L242" s="52" t="inlineStr">
        <is>
          <t>&lt;=</t>
        </is>
      </c>
      <c r="M242" s="52" t="inlineStr">
        <is>
          <t>&lt;=</t>
        </is>
      </c>
      <c r="N242" s="52" t="inlineStr">
        <is>
          <t>&lt;=</t>
        </is>
      </c>
      <c r="O242" s="52" t="inlineStr">
        <is>
          <t>&lt;=</t>
        </is>
      </c>
      <c r="P242" s="52" t="inlineStr">
        <is>
          <t>&lt;=</t>
        </is>
      </c>
      <c r="Q242" s="52" t="inlineStr">
        <is>
          <t>&lt;=</t>
        </is>
      </c>
      <c r="R242" s="52" t="inlineStr">
        <is>
          <t>&lt;=</t>
        </is>
      </c>
      <c r="S242" s="52" t="inlineStr">
        <is>
          <t>&lt;=</t>
        </is>
      </c>
      <c r="T242" s="52" t="inlineStr">
        <is>
          <t>&lt;=</t>
        </is>
      </c>
      <c r="U242" s="52" t="inlineStr">
        <is>
          <t>&lt;=</t>
        </is>
      </c>
      <c r="V242" s="52" t="inlineStr">
        <is>
          <t>&lt;=</t>
        </is>
      </c>
      <c r="W242" s="52" t="inlineStr">
        <is>
          <t>&lt;=</t>
        </is>
      </c>
      <c r="X242" s="52" t="inlineStr">
        <is>
          <t>&lt;=</t>
        </is>
      </c>
      <c r="Y242" s="52" t="inlineStr">
        <is>
          <t>&lt;=</t>
        </is>
      </c>
      <c r="Z242" s="52" t="inlineStr">
        <is>
          <t>&lt;=</t>
        </is>
      </c>
      <c r="AA242" s="52" t="inlineStr">
        <is>
          <t>&lt;=</t>
        </is>
      </c>
      <c r="AB242" s="52" t="inlineStr">
        <is>
          <t>&lt;=</t>
        </is>
      </c>
      <c r="AC242" s="52" t="inlineStr">
        <is>
          <t>&lt;=</t>
        </is>
      </c>
      <c r="AD242" s="52" t="inlineStr">
        <is>
          <t>&lt;=</t>
        </is>
      </c>
      <c r="AE242" s="52" t="inlineStr">
        <is>
          <t>&lt;=</t>
        </is>
      </c>
      <c r="AF242" s="52" t="inlineStr">
        <is>
          <t>&lt;=</t>
        </is>
      </c>
      <c r="AG242" s="52" t="inlineStr">
        <is>
          <t>&lt;=</t>
        </is>
      </c>
      <c r="AH242" s="52" t="inlineStr">
        <is>
          <t>&lt;=</t>
        </is>
      </c>
      <c r="AI242" s="52" t="inlineStr">
        <is>
          <t>&lt;=</t>
        </is>
      </c>
      <c r="AJ242" s="52" t="inlineStr">
        <is>
          <t>&lt;=</t>
        </is>
      </c>
      <c r="AK242" s="52" t="inlineStr">
        <is>
          <t>&lt;=</t>
        </is>
      </c>
      <c r="AL242" s="52" t="inlineStr">
        <is>
          <t>&lt;=</t>
        </is>
      </c>
      <c r="AM242" s="52" t="inlineStr">
        <is>
          <t>&lt;=</t>
        </is>
      </c>
      <c r="AN242" s="52" t="inlineStr">
        <is>
          <t>&lt;=</t>
        </is>
      </c>
      <c r="AO242" s="52" t="inlineStr">
        <is>
          <t>&lt;=</t>
        </is>
      </c>
      <c r="AP242" s="52" t="inlineStr">
        <is>
          <t>&lt;=</t>
        </is>
      </c>
      <c r="AQ242" s="52" t="inlineStr">
        <is>
          <t>&lt;=</t>
        </is>
      </c>
      <c r="AR242" s="52" t="inlineStr">
        <is>
          <t>&lt;=</t>
        </is>
      </c>
      <c r="AS242" s="52" t="inlineStr">
        <is>
          <t>&lt;=</t>
        </is>
      </c>
      <c r="AT242" s="52" t="inlineStr">
        <is>
          <t>&lt;=</t>
        </is>
      </c>
      <c r="AU242" s="52" t="inlineStr">
        <is>
          <t>&lt;=</t>
        </is>
      </c>
      <c r="AV242" s="52" t="inlineStr">
        <is>
          <t>&lt;=</t>
        </is>
      </c>
      <c r="AW242" s="52" t="inlineStr">
        <is>
          <t>&lt;=</t>
        </is>
      </c>
      <c r="AX242" s="52" t="inlineStr">
        <is>
          <t>&lt;=</t>
        </is>
      </c>
      <c r="AY242" s="52" t="inlineStr">
        <is>
          <t>&lt;=</t>
        </is>
      </c>
      <c r="AZ242" s="52" t="inlineStr">
        <is>
          <t>&lt;=</t>
        </is>
      </c>
      <c r="BA242" s="52" t="inlineStr">
        <is>
          <t>&lt;=</t>
        </is>
      </c>
      <c r="BB242" s="52" t="inlineStr">
        <is>
          <t>&lt;=</t>
        </is>
      </c>
      <c r="BC242" s="52" t="inlineStr">
        <is>
          <t>&lt;=</t>
        </is>
      </c>
      <c r="BD242" s="52" t="inlineStr">
        <is>
          <t>&lt;=</t>
        </is>
      </c>
    </row>
    <row r="243">
      <c r="A243" s="41" t="inlineStr">
        <is>
          <t xml:space="preserve">  limit</t>
        </is>
      </c>
      <c r="B243" s="2" t="inlineStr">
        <is>
          <t>cap</t>
        </is>
      </c>
      <c r="E243" s="51">
        <f>$B$12</f>
        <v/>
      </c>
      <c r="F243" s="51">
        <f>$B$12</f>
        <v/>
      </c>
      <c r="G243" s="51">
        <f>$B$12</f>
        <v/>
      </c>
      <c r="H243" s="51">
        <f>$B$12</f>
        <v/>
      </c>
      <c r="I243" s="51">
        <f>$B$12</f>
        <v/>
      </c>
      <c r="J243" s="51">
        <f>$B$12</f>
        <v/>
      </c>
      <c r="K243" s="51">
        <f>$B$12</f>
        <v/>
      </c>
      <c r="L243" s="51">
        <f>$B$12</f>
        <v/>
      </c>
      <c r="M243" s="51">
        <f>$B$12</f>
        <v/>
      </c>
      <c r="N243" s="51">
        <f>$B$12</f>
        <v/>
      </c>
      <c r="O243" s="51">
        <f>$B$12</f>
        <v/>
      </c>
      <c r="P243" s="51">
        <f>$B$12</f>
        <v/>
      </c>
      <c r="Q243" s="51">
        <f>$B$12</f>
        <v/>
      </c>
      <c r="R243" s="51">
        <f>$B$12</f>
        <v/>
      </c>
      <c r="S243" s="51">
        <f>$B$12</f>
        <v/>
      </c>
      <c r="T243" s="51">
        <f>$B$12</f>
        <v/>
      </c>
      <c r="U243" s="51">
        <f>$B$12</f>
        <v/>
      </c>
      <c r="V243" s="51">
        <f>$B$12</f>
        <v/>
      </c>
      <c r="W243" s="51">
        <f>$B$12</f>
        <v/>
      </c>
      <c r="X243" s="51">
        <f>$B$12</f>
        <v/>
      </c>
      <c r="Y243" s="51">
        <f>$B$12</f>
        <v/>
      </c>
      <c r="Z243" s="51">
        <f>$B$12</f>
        <v/>
      </c>
      <c r="AA243" s="51">
        <f>$B$12</f>
        <v/>
      </c>
      <c r="AB243" s="51">
        <f>$B$12</f>
        <v/>
      </c>
      <c r="AC243" s="51">
        <f>$B$12</f>
        <v/>
      </c>
      <c r="AD243" s="51">
        <f>$B$12</f>
        <v/>
      </c>
      <c r="AE243" s="51">
        <f>$B$12</f>
        <v/>
      </c>
      <c r="AF243" s="51">
        <f>$B$12</f>
        <v/>
      </c>
      <c r="AG243" s="51">
        <f>$B$12</f>
        <v/>
      </c>
      <c r="AH243" s="51">
        <f>$B$12</f>
        <v/>
      </c>
      <c r="AI243" s="51">
        <f>$B$12</f>
        <v/>
      </c>
      <c r="AJ243" s="51">
        <f>$B$12</f>
        <v/>
      </c>
      <c r="AK243" s="51">
        <f>$B$12</f>
        <v/>
      </c>
      <c r="AL243" s="51">
        <f>$B$12</f>
        <v/>
      </c>
      <c r="AM243" s="51">
        <f>$B$12</f>
        <v/>
      </c>
      <c r="AN243" s="51">
        <f>$B$12</f>
        <v/>
      </c>
      <c r="AO243" s="51">
        <f>$B$12</f>
        <v/>
      </c>
      <c r="AP243" s="51">
        <f>$B$12</f>
        <v/>
      </c>
      <c r="AQ243" s="51">
        <f>$B$12</f>
        <v/>
      </c>
      <c r="AR243" s="51">
        <f>$B$12</f>
        <v/>
      </c>
      <c r="AS243" s="51">
        <f>$B$12</f>
        <v/>
      </c>
      <c r="AT243" s="51">
        <f>$B$12</f>
        <v/>
      </c>
      <c r="AU243" s="51">
        <f>$B$12</f>
        <v/>
      </c>
      <c r="AV243" s="51">
        <f>$B$12</f>
        <v/>
      </c>
      <c r="AW243" s="51">
        <f>$B$12</f>
        <v/>
      </c>
      <c r="AX243" s="51">
        <f>$B$12</f>
        <v/>
      </c>
      <c r="AY243" s="51">
        <f>$B$12</f>
        <v/>
      </c>
      <c r="AZ243" s="51">
        <f>$B$12</f>
        <v/>
      </c>
      <c r="BA243" s="51">
        <f>$B$12</f>
        <v/>
      </c>
      <c r="BB243" s="51">
        <f>$B$12</f>
        <v/>
      </c>
      <c r="BC243" s="51">
        <f>$B$12</f>
        <v/>
      </c>
      <c r="BD243" s="51">
        <f>$B$12</f>
        <v/>
      </c>
    </row>
    <row r="244">
      <c r="A244" s="43" t="inlineStr">
        <is>
          <t xml:space="preserve">  room left</t>
        </is>
      </c>
      <c r="E244" s="51">
        <f>$B$12-E241</f>
        <v/>
      </c>
      <c r="F244" s="51">
        <f>$B$12-F241</f>
        <v/>
      </c>
      <c r="G244" s="51">
        <f>$B$12-G241</f>
        <v/>
      </c>
      <c r="H244" s="51">
        <f>$B$12-H241</f>
        <v/>
      </c>
      <c r="I244" s="51">
        <f>$B$12-I241</f>
        <v/>
      </c>
      <c r="J244" s="51">
        <f>$B$12-J241</f>
        <v/>
      </c>
      <c r="K244" s="51">
        <f>$B$12-K241</f>
        <v/>
      </c>
      <c r="L244" s="51">
        <f>$B$12-L241</f>
        <v/>
      </c>
      <c r="M244" s="51">
        <f>$B$12-M241</f>
        <v/>
      </c>
      <c r="N244" s="51">
        <f>$B$12-N241</f>
        <v/>
      </c>
      <c r="O244" s="51">
        <f>$B$12-O241</f>
        <v/>
      </c>
      <c r="P244" s="51">
        <f>$B$12-P241</f>
        <v/>
      </c>
      <c r="Q244" s="51">
        <f>$B$12-Q241</f>
        <v/>
      </c>
      <c r="R244" s="51">
        <f>$B$12-R241</f>
        <v/>
      </c>
      <c r="S244" s="51">
        <f>$B$12-S241</f>
        <v/>
      </c>
      <c r="T244" s="51">
        <f>$B$12-T241</f>
        <v/>
      </c>
      <c r="U244" s="51">
        <f>$B$12-U241</f>
        <v/>
      </c>
      <c r="V244" s="51">
        <f>$B$12-V241</f>
        <v/>
      </c>
      <c r="W244" s="51">
        <f>$B$12-W241</f>
        <v/>
      </c>
      <c r="X244" s="51">
        <f>$B$12-X241</f>
        <v/>
      </c>
      <c r="Y244" s="51">
        <f>$B$12-Y241</f>
        <v/>
      </c>
      <c r="Z244" s="51">
        <f>$B$12-Z241</f>
        <v/>
      </c>
      <c r="AA244" s="51">
        <f>$B$12-AA241</f>
        <v/>
      </c>
      <c r="AB244" s="51">
        <f>$B$12-AB241</f>
        <v/>
      </c>
      <c r="AC244" s="51">
        <f>$B$12-AC241</f>
        <v/>
      </c>
      <c r="AD244" s="51">
        <f>$B$12-AD241</f>
        <v/>
      </c>
      <c r="AE244" s="51">
        <f>$B$12-AE241</f>
        <v/>
      </c>
      <c r="AF244" s="51">
        <f>$B$12-AF241</f>
        <v/>
      </c>
      <c r="AG244" s="51">
        <f>$B$12-AG241</f>
        <v/>
      </c>
      <c r="AH244" s="51">
        <f>$B$12-AH241</f>
        <v/>
      </c>
      <c r="AI244" s="51">
        <f>$B$12-AI241</f>
        <v/>
      </c>
      <c r="AJ244" s="51">
        <f>$B$12-AJ241</f>
        <v/>
      </c>
      <c r="AK244" s="51">
        <f>$B$12-AK241</f>
        <v/>
      </c>
      <c r="AL244" s="51">
        <f>$B$12-AL241</f>
        <v/>
      </c>
      <c r="AM244" s="51">
        <f>$B$12-AM241</f>
        <v/>
      </c>
      <c r="AN244" s="51">
        <f>$B$12-AN241</f>
        <v/>
      </c>
      <c r="AO244" s="51">
        <f>$B$12-AO241</f>
        <v/>
      </c>
      <c r="AP244" s="51">
        <f>$B$12-AP241</f>
        <v/>
      </c>
      <c r="AQ244" s="51">
        <f>$B$12-AQ241</f>
        <v/>
      </c>
      <c r="AR244" s="51">
        <f>$B$12-AR241</f>
        <v/>
      </c>
      <c r="AS244" s="51">
        <f>$B$12-AS241</f>
        <v/>
      </c>
      <c r="AT244" s="51">
        <f>$B$12-AT241</f>
        <v/>
      </c>
      <c r="AU244" s="51">
        <f>$B$12-AU241</f>
        <v/>
      </c>
      <c r="AV244" s="51">
        <f>$B$12-AV241</f>
        <v/>
      </c>
      <c r="AW244" s="51">
        <f>$B$12-AW241</f>
        <v/>
      </c>
      <c r="AX244" s="51">
        <f>$B$12-AX241</f>
        <v/>
      </c>
      <c r="AY244" s="51">
        <f>$B$12-AY241</f>
        <v/>
      </c>
      <c r="AZ244" s="51">
        <f>$B$12-AZ241</f>
        <v/>
      </c>
      <c r="BA244" s="51">
        <f>$B$12-BA241</f>
        <v/>
      </c>
      <c r="BB244" s="51">
        <f>$B$12-BB241</f>
        <v/>
      </c>
      <c r="BC244" s="51">
        <f>$B$12-BC241</f>
        <v/>
      </c>
      <c r="BD244" s="51">
        <f>$B$12-BD241</f>
        <v/>
      </c>
    </row>
    <row r="245">
      <c r="A245" s="2" t="inlineStr">
        <is>
          <t xml:space="preserve">   Acres standing in High tunnel that week.</t>
        </is>
      </c>
    </row>
    <row r="247">
      <c r="A247" s="3" t="inlineStr">
        <is>
          <t>5a — MUST-PLANT  (what you have already decided to grow)</t>
        </is>
      </c>
    </row>
    <row r="248">
      <c r="A248" s="2" t="inlineStr">
        <is>
          <t xml:space="preserve">   STANDING = acres in the ground in EVERY week of the window. ANNUAL = acres planted, summed over the year's plantings.</t>
        </is>
      </c>
    </row>
    <row r="249">
      <c r="A249" s="2" t="inlineStr">
        <is>
          <t xml:space="preserve">   ⚠️ Not the same promise — the READ ME prices both at 30 acres of kale, and one costs about nothing while the other costs tens of thousands.</t>
        </is>
      </c>
    </row>
    <row r="250">
      <c r="A250" s="12" t="inlineStr">
        <is>
          <t>Sells as</t>
        </is>
      </c>
      <c r="B250" s="12" t="inlineStr">
        <is>
          <t>Acres</t>
        </is>
      </c>
      <c r="C250" s="12" t="inlineStr">
        <is>
          <t>From wk</t>
        </is>
      </c>
      <c r="D250" s="12" t="inlineStr">
        <is>
          <t>To wk</t>
        </is>
      </c>
    </row>
    <row r="251">
      <c r="A251" s="13" t="inlineStr">
        <is>
          <t>Garlic</t>
        </is>
      </c>
      <c r="B251" s="9" t="n">
        <v>18.3</v>
      </c>
      <c r="C251" s="27" t="n">
        <v>1</v>
      </c>
      <c r="D251" s="27" t="n">
        <v>1</v>
      </c>
      <c r="E251" s="2" t="inlineStr">
        <is>
          <t>STANDING  — the overwintering carry-in (the app's C15)</t>
        </is>
      </c>
    </row>
    <row r="252">
      <c r="A252" s="13" t="inlineStr">
        <is>
          <t>Kale</t>
        </is>
      </c>
      <c r="B252" s="9" t="n">
        <v>8</v>
      </c>
      <c r="C252" s="27" t="n">
        <v>10</v>
      </c>
      <c r="D252" s="27" t="n">
        <v>20</v>
      </c>
      <c r="E252" s="2" t="inlineStr">
        <is>
          <t>STANDING</t>
        </is>
      </c>
    </row>
    <row r="253">
      <c r="A253" s="13" t="inlineStr">
        <is>
          <t>Kale</t>
        </is>
      </c>
      <c r="B253" s="9" t="n">
        <v>45</v>
      </c>
      <c r="E253" s="2" t="inlineStr">
        <is>
          <t>ANNUAL — acres planted across the year; committed perennial acres do not count</t>
        </is>
      </c>
    </row>
    <row r="255">
      <c r="A255" s="36" t="inlineStr">
        <is>
          <t>Week</t>
        </is>
      </c>
      <c r="B255" s="37" t="inlineStr">
        <is>
          <t>acres</t>
        </is>
      </c>
      <c r="E255" s="38" t="n">
        <v>1</v>
      </c>
      <c r="F255" s="38" t="n">
        <v>2</v>
      </c>
      <c r="G255" s="38" t="n">
        <v>3</v>
      </c>
      <c r="H255" s="38" t="n">
        <v>4</v>
      </c>
      <c r="I255" s="38" t="n">
        <v>5</v>
      </c>
      <c r="J255" s="38" t="n">
        <v>6</v>
      </c>
      <c r="K255" s="38" t="n">
        <v>7</v>
      </c>
      <c r="L255" s="38" t="n">
        <v>8</v>
      </c>
      <c r="M255" s="38" t="n">
        <v>9</v>
      </c>
      <c r="N255" s="38" t="n">
        <v>10</v>
      </c>
      <c r="O255" s="38" t="n">
        <v>11</v>
      </c>
      <c r="P255" s="38" t="n">
        <v>12</v>
      </c>
      <c r="Q255" s="38" t="n">
        <v>13</v>
      </c>
      <c r="R255" s="38" t="n">
        <v>14</v>
      </c>
      <c r="S255" s="38" t="n">
        <v>15</v>
      </c>
      <c r="T255" s="38" t="n">
        <v>16</v>
      </c>
      <c r="U255" s="38" t="n">
        <v>17</v>
      </c>
      <c r="V255" s="38" t="n">
        <v>18</v>
      </c>
      <c r="W255" s="38" t="n">
        <v>19</v>
      </c>
      <c r="X255" s="38" t="n">
        <v>20</v>
      </c>
      <c r="Y255" s="38" t="n">
        <v>21</v>
      </c>
      <c r="Z255" s="38" t="n">
        <v>22</v>
      </c>
      <c r="AA255" s="38" t="n">
        <v>23</v>
      </c>
      <c r="AB255" s="38" t="n">
        <v>24</v>
      </c>
      <c r="AC255" s="38" t="n">
        <v>25</v>
      </c>
      <c r="AD255" s="38" t="n">
        <v>26</v>
      </c>
      <c r="AE255" s="38" t="n">
        <v>27</v>
      </c>
      <c r="AF255" s="38" t="n">
        <v>28</v>
      </c>
      <c r="AG255" s="38" t="n">
        <v>29</v>
      </c>
      <c r="AH255" s="38" t="n">
        <v>30</v>
      </c>
      <c r="AI255" s="38" t="n">
        <v>31</v>
      </c>
      <c r="AJ255" s="38" t="n">
        <v>32</v>
      </c>
      <c r="AK255" s="38" t="n">
        <v>33</v>
      </c>
      <c r="AL255" s="38" t="n">
        <v>34</v>
      </c>
      <c r="AM255" s="38" t="n">
        <v>35</v>
      </c>
      <c r="AN255" s="38" t="n">
        <v>36</v>
      </c>
      <c r="AO255" s="38" t="n">
        <v>37</v>
      </c>
      <c r="AP255" s="38" t="n">
        <v>38</v>
      </c>
      <c r="AQ255" s="38" t="n">
        <v>39</v>
      </c>
      <c r="AR255" s="38" t="n">
        <v>40</v>
      </c>
      <c r="AS255" s="38" t="n">
        <v>41</v>
      </c>
      <c r="AT255" s="38" t="n">
        <v>42</v>
      </c>
      <c r="AU255" s="38" t="n">
        <v>43</v>
      </c>
      <c r="AV255" s="38" t="n">
        <v>44</v>
      </c>
      <c r="AW255" s="38" t="n">
        <v>45</v>
      </c>
      <c r="AX255" s="38" t="n">
        <v>46</v>
      </c>
      <c r="AY255" s="38" t="n">
        <v>47</v>
      </c>
      <c r="AZ255" s="38" t="n">
        <v>48</v>
      </c>
      <c r="BA255" s="38" t="n">
        <v>49</v>
      </c>
      <c r="BB255" s="38" t="n">
        <v>50</v>
      </c>
      <c r="BC255" s="38" t="n">
        <v>51</v>
      </c>
      <c r="BD255" s="38" t="n">
        <v>52</v>
      </c>
    </row>
    <row r="256">
      <c r="A256" s="41" t="inlineStr">
        <is>
          <t>Garlic standing</t>
        </is>
      </c>
      <c r="B256" s="2" t="inlineStr">
        <is>
          <t>acres</t>
        </is>
      </c>
      <c r="E256" s="51">
        <f>SUMPRODUCT((E$91:E$230&lt;&gt;"")*($BI$91:$BI$230="Garlic")*$C$91:$C$230)</f>
        <v/>
      </c>
      <c r="F256" s="51">
        <f>SUMPRODUCT((F$91:F$230&lt;&gt;"")*($BI$91:$BI$230="Garlic")*$C$91:$C$230)</f>
        <v/>
      </c>
      <c r="G256" s="51">
        <f>SUMPRODUCT((G$91:G$230&lt;&gt;"")*($BI$91:$BI$230="Garlic")*$C$91:$C$230)</f>
        <v/>
      </c>
      <c r="H256" s="51">
        <f>SUMPRODUCT((H$91:H$230&lt;&gt;"")*($BI$91:$BI$230="Garlic")*$C$91:$C$230)</f>
        <v/>
      </c>
      <c r="I256" s="51">
        <f>SUMPRODUCT((I$91:I$230&lt;&gt;"")*($BI$91:$BI$230="Garlic")*$C$91:$C$230)</f>
        <v/>
      </c>
      <c r="J256" s="51">
        <f>SUMPRODUCT((J$91:J$230&lt;&gt;"")*($BI$91:$BI$230="Garlic")*$C$91:$C$230)</f>
        <v/>
      </c>
      <c r="K256" s="51">
        <f>SUMPRODUCT((K$91:K$230&lt;&gt;"")*($BI$91:$BI$230="Garlic")*$C$91:$C$230)</f>
        <v/>
      </c>
      <c r="L256" s="51">
        <f>SUMPRODUCT((L$91:L$230&lt;&gt;"")*($BI$91:$BI$230="Garlic")*$C$91:$C$230)</f>
        <v/>
      </c>
      <c r="M256" s="51">
        <f>SUMPRODUCT((M$91:M$230&lt;&gt;"")*($BI$91:$BI$230="Garlic")*$C$91:$C$230)</f>
        <v/>
      </c>
      <c r="N256" s="51">
        <f>SUMPRODUCT((N$91:N$230&lt;&gt;"")*($BI$91:$BI$230="Garlic")*$C$91:$C$230)</f>
        <v/>
      </c>
      <c r="O256" s="51">
        <f>SUMPRODUCT((O$91:O$230&lt;&gt;"")*($BI$91:$BI$230="Garlic")*$C$91:$C$230)</f>
        <v/>
      </c>
      <c r="P256" s="51">
        <f>SUMPRODUCT((P$91:P$230&lt;&gt;"")*($BI$91:$BI$230="Garlic")*$C$91:$C$230)</f>
        <v/>
      </c>
      <c r="Q256" s="51">
        <f>SUMPRODUCT((Q$91:Q$230&lt;&gt;"")*($BI$91:$BI$230="Garlic")*$C$91:$C$230)</f>
        <v/>
      </c>
      <c r="R256" s="51">
        <f>SUMPRODUCT((R$91:R$230&lt;&gt;"")*($BI$91:$BI$230="Garlic")*$C$91:$C$230)</f>
        <v/>
      </c>
      <c r="S256" s="51">
        <f>SUMPRODUCT((S$91:S$230&lt;&gt;"")*($BI$91:$BI$230="Garlic")*$C$91:$C$230)</f>
        <v/>
      </c>
      <c r="T256" s="51">
        <f>SUMPRODUCT((T$91:T$230&lt;&gt;"")*($BI$91:$BI$230="Garlic")*$C$91:$C$230)</f>
        <v/>
      </c>
      <c r="U256" s="51">
        <f>SUMPRODUCT((U$91:U$230&lt;&gt;"")*($BI$91:$BI$230="Garlic")*$C$91:$C$230)</f>
        <v/>
      </c>
      <c r="V256" s="51">
        <f>SUMPRODUCT((V$91:V$230&lt;&gt;"")*($BI$91:$BI$230="Garlic")*$C$91:$C$230)</f>
        <v/>
      </c>
      <c r="W256" s="51">
        <f>SUMPRODUCT((W$91:W$230&lt;&gt;"")*($BI$91:$BI$230="Garlic")*$C$91:$C$230)</f>
        <v/>
      </c>
      <c r="X256" s="51">
        <f>SUMPRODUCT((X$91:X$230&lt;&gt;"")*($BI$91:$BI$230="Garlic")*$C$91:$C$230)</f>
        <v/>
      </c>
      <c r="Y256" s="51">
        <f>SUMPRODUCT((Y$91:Y$230&lt;&gt;"")*($BI$91:$BI$230="Garlic")*$C$91:$C$230)</f>
        <v/>
      </c>
      <c r="Z256" s="51">
        <f>SUMPRODUCT((Z$91:Z$230&lt;&gt;"")*($BI$91:$BI$230="Garlic")*$C$91:$C$230)</f>
        <v/>
      </c>
      <c r="AA256" s="51">
        <f>SUMPRODUCT((AA$91:AA$230&lt;&gt;"")*($BI$91:$BI$230="Garlic")*$C$91:$C$230)</f>
        <v/>
      </c>
      <c r="AB256" s="51">
        <f>SUMPRODUCT((AB$91:AB$230&lt;&gt;"")*($BI$91:$BI$230="Garlic")*$C$91:$C$230)</f>
        <v/>
      </c>
      <c r="AC256" s="51">
        <f>SUMPRODUCT((AC$91:AC$230&lt;&gt;"")*($BI$91:$BI$230="Garlic")*$C$91:$C$230)</f>
        <v/>
      </c>
      <c r="AD256" s="51">
        <f>SUMPRODUCT((AD$91:AD$230&lt;&gt;"")*($BI$91:$BI$230="Garlic")*$C$91:$C$230)</f>
        <v/>
      </c>
      <c r="AE256" s="51">
        <f>SUMPRODUCT((AE$91:AE$230&lt;&gt;"")*($BI$91:$BI$230="Garlic")*$C$91:$C$230)</f>
        <v/>
      </c>
      <c r="AF256" s="51">
        <f>SUMPRODUCT((AF$91:AF$230&lt;&gt;"")*($BI$91:$BI$230="Garlic")*$C$91:$C$230)</f>
        <v/>
      </c>
      <c r="AG256" s="51">
        <f>SUMPRODUCT((AG$91:AG$230&lt;&gt;"")*($BI$91:$BI$230="Garlic")*$C$91:$C$230)</f>
        <v/>
      </c>
      <c r="AH256" s="51">
        <f>SUMPRODUCT((AH$91:AH$230&lt;&gt;"")*($BI$91:$BI$230="Garlic")*$C$91:$C$230)</f>
        <v/>
      </c>
      <c r="AI256" s="51">
        <f>SUMPRODUCT((AI$91:AI$230&lt;&gt;"")*($BI$91:$BI$230="Garlic")*$C$91:$C$230)</f>
        <v/>
      </c>
      <c r="AJ256" s="51">
        <f>SUMPRODUCT((AJ$91:AJ$230&lt;&gt;"")*($BI$91:$BI$230="Garlic")*$C$91:$C$230)</f>
        <v/>
      </c>
      <c r="AK256" s="51">
        <f>SUMPRODUCT((AK$91:AK$230&lt;&gt;"")*($BI$91:$BI$230="Garlic")*$C$91:$C$230)</f>
        <v/>
      </c>
      <c r="AL256" s="51">
        <f>SUMPRODUCT((AL$91:AL$230&lt;&gt;"")*($BI$91:$BI$230="Garlic")*$C$91:$C$230)</f>
        <v/>
      </c>
      <c r="AM256" s="51">
        <f>SUMPRODUCT((AM$91:AM$230&lt;&gt;"")*($BI$91:$BI$230="Garlic")*$C$91:$C$230)</f>
        <v/>
      </c>
      <c r="AN256" s="51">
        <f>SUMPRODUCT((AN$91:AN$230&lt;&gt;"")*($BI$91:$BI$230="Garlic")*$C$91:$C$230)</f>
        <v/>
      </c>
      <c r="AO256" s="51">
        <f>SUMPRODUCT((AO$91:AO$230&lt;&gt;"")*($BI$91:$BI$230="Garlic")*$C$91:$C$230)</f>
        <v/>
      </c>
      <c r="AP256" s="51">
        <f>SUMPRODUCT((AP$91:AP$230&lt;&gt;"")*($BI$91:$BI$230="Garlic")*$C$91:$C$230)</f>
        <v/>
      </c>
      <c r="AQ256" s="51">
        <f>SUMPRODUCT((AQ$91:AQ$230&lt;&gt;"")*($BI$91:$BI$230="Garlic")*$C$91:$C$230)</f>
        <v/>
      </c>
      <c r="AR256" s="51">
        <f>SUMPRODUCT((AR$91:AR$230&lt;&gt;"")*($BI$91:$BI$230="Garlic")*$C$91:$C$230)</f>
        <v/>
      </c>
      <c r="AS256" s="51">
        <f>SUMPRODUCT((AS$91:AS$230&lt;&gt;"")*($BI$91:$BI$230="Garlic")*$C$91:$C$230)</f>
        <v/>
      </c>
      <c r="AT256" s="51">
        <f>SUMPRODUCT((AT$91:AT$230&lt;&gt;"")*($BI$91:$BI$230="Garlic")*$C$91:$C$230)</f>
        <v/>
      </c>
      <c r="AU256" s="51">
        <f>SUMPRODUCT((AU$91:AU$230&lt;&gt;"")*($BI$91:$BI$230="Garlic")*$C$91:$C$230)</f>
        <v/>
      </c>
      <c r="AV256" s="51">
        <f>SUMPRODUCT((AV$91:AV$230&lt;&gt;"")*($BI$91:$BI$230="Garlic")*$C$91:$C$230)</f>
        <v/>
      </c>
      <c r="AW256" s="51">
        <f>SUMPRODUCT((AW$91:AW$230&lt;&gt;"")*($BI$91:$BI$230="Garlic")*$C$91:$C$230)</f>
        <v/>
      </c>
      <c r="AX256" s="51">
        <f>SUMPRODUCT((AX$91:AX$230&lt;&gt;"")*($BI$91:$BI$230="Garlic")*$C$91:$C$230)</f>
        <v/>
      </c>
      <c r="AY256" s="51">
        <f>SUMPRODUCT((AY$91:AY$230&lt;&gt;"")*($BI$91:$BI$230="Garlic")*$C$91:$C$230)</f>
        <v/>
      </c>
      <c r="AZ256" s="51">
        <f>SUMPRODUCT((AZ$91:AZ$230&lt;&gt;"")*($BI$91:$BI$230="Garlic")*$C$91:$C$230)</f>
        <v/>
      </c>
      <c r="BA256" s="51">
        <f>SUMPRODUCT((BA$91:BA$230&lt;&gt;"")*($BI$91:$BI$230="Garlic")*$C$91:$C$230)</f>
        <v/>
      </c>
      <c r="BB256" s="51">
        <f>SUMPRODUCT((BB$91:BB$230&lt;&gt;"")*($BI$91:$BI$230="Garlic")*$C$91:$C$230)</f>
        <v/>
      </c>
      <c r="BC256" s="51">
        <f>SUMPRODUCT((BC$91:BC$230&lt;&gt;"")*($BI$91:$BI$230="Garlic")*$C$91:$C$230)</f>
        <v/>
      </c>
      <c r="BD256" s="51">
        <f>SUMPRODUCT((BD$91:BD$230&lt;&gt;"")*($BI$91:$BI$230="Garlic")*$C$91:$C$230)</f>
        <v/>
      </c>
    </row>
    <row r="257">
      <c r="A257" s="41" t="inlineStr">
        <is>
          <t xml:space="preserve">  must stand (row 251)</t>
        </is>
      </c>
      <c r="E257" s="51">
        <f>IF(AND(1&gt;=$C$251,1&lt;=$D$251),$B$251,0)</f>
        <v/>
      </c>
      <c r="F257" s="51">
        <f>IF(AND(2&gt;=$C$251,2&lt;=$D$251),$B$251,0)</f>
        <v/>
      </c>
      <c r="G257" s="51">
        <f>IF(AND(3&gt;=$C$251,3&lt;=$D$251),$B$251,0)</f>
        <v/>
      </c>
      <c r="H257" s="51">
        <f>IF(AND(4&gt;=$C$251,4&lt;=$D$251),$B$251,0)</f>
        <v/>
      </c>
      <c r="I257" s="51">
        <f>IF(AND(5&gt;=$C$251,5&lt;=$D$251),$B$251,0)</f>
        <v/>
      </c>
      <c r="J257" s="51">
        <f>IF(AND(6&gt;=$C$251,6&lt;=$D$251),$B$251,0)</f>
        <v/>
      </c>
      <c r="K257" s="51">
        <f>IF(AND(7&gt;=$C$251,7&lt;=$D$251),$B$251,0)</f>
        <v/>
      </c>
      <c r="L257" s="51">
        <f>IF(AND(8&gt;=$C$251,8&lt;=$D$251),$B$251,0)</f>
        <v/>
      </c>
      <c r="M257" s="51">
        <f>IF(AND(9&gt;=$C$251,9&lt;=$D$251),$B$251,0)</f>
        <v/>
      </c>
      <c r="N257" s="51">
        <f>IF(AND(10&gt;=$C$251,10&lt;=$D$251),$B$251,0)</f>
        <v/>
      </c>
      <c r="O257" s="51">
        <f>IF(AND(11&gt;=$C$251,11&lt;=$D$251),$B$251,0)</f>
        <v/>
      </c>
      <c r="P257" s="51">
        <f>IF(AND(12&gt;=$C$251,12&lt;=$D$251),$B$251,0)</f>
        <v/>
      </c>
      <c r="Q257" s="51">
        <f>IF(AND(13&gt;=$C$251,13&lt;=$D$251),$B$251,0)</f>
        <v/>
      </c>
      <c r="R257" s="51">
        <f>IF(AND(14&gt;=$C$251,14&lt;=$D$251),$B$251,0)</f>
        <v/>
      </c>
      <c r="S257" s="51">
        <f>IF(AND(15&gt;=$C$251,15&lt;=$D$251),$B$251,0)</f>
        <v/>
      </c>
      <c r="T257" s="51">
        <f>IF(AND(16&gt;=$C$251,16&lt;=$D$251),$B$251,0)</f>
        <v/>
      </c>
      <c r="U257" s="51">
        <f>IF(AND(17&gt;=$C$251,17&lt;=$D$251),$B$251,0)</f>
        <v/>
      </c>
      <c r="V257" s="51">
        <f>IF(AND(18&gt;=$C$251,18&lt;=$D$251),$B$251,0)</f>
        <v/>
      </c>
      <c r="W257" s="51">
        <f>IF(AND(19&gt;=$C$251,19&lt;=$D$251),$B$251,0)</f>
        <v/>
      </c>
      <c r="X257" s="51">
        <f>IF(AND(20&gt;=$C$251,20&lt;=$D$251),$B$251,0)</f>
        <v/>
      </c>
      <c r="Y257" s="51">
        <f>IF(AND(21&gt;=$C$251,21&lt;=$D$251),$B$251,0)</f>
        <v/>
      </c>
      <c r="Z257" s="51">
        <f>IF(AND(22&gt;=$C$251,22&lt;=$D$251),$B$251,0)</f>
        <v/>
      </c>
      <c r="AA257" s="51">
        <f>IF(AND(23&gt;=$C$251,23&lt;=$D$251),$B$251,0)</f>
        <v/>
      </c>
      <c r="AB257" s="51">
        <f>IF(AND(24&gt;=$C$251,24&lt;=$D$251),$B$251,0)</f>
        <v/>
      </c>
      <c r="AC257" s="51">
        <f>IF(AND(25&gt;=$C$251,25&lt;=$D$251),$B$251,0)</f>
        <v/>
      </c>
      <c r="AD257" s="51">
        <f>IF(AND(26&gt;=$C$251,26&lt;=$D$251),$B$251,0)</f>
        <v/>
      </c>
      <c r="AE257" s="51">
        <f>IF(AND(27&gt;=$C$251,27&lt;=$D$251),$B$251,0)</f>
        <v/>
      </c>
      <c r="AF257" s="51">
        <f>IF(AND(28&gt;=$C$251,28&lt;=$D$251),$B$251,0)</f>
        <v/>
      </c>
      <c r="AG257" s="51">
        <f>IF(AND(29&gt;=$C$251,29&lt;=$D$251),$B$251,0)</f>
        <v/>
      </c>
      <c r="AH257" s="51">
        <f>IF(AND(30&gt;=$C$251,30&lt;=$D$251),$B$251,0)</f>
        <v/>
      </c>
      <c r="AI257" s="51">
        <f>IF(AND(31&gt;=$C$251,31&lt;=$D$251),$B$251,0)</f>
        <v/>
      </c>
      <c r="AJ257" s="51">
        <f>IF(AND(32&gt;=$C$251,32&lt;=$D$251),$B$251,0)</f>
        <v/>
      </c>
      <c r="AK257" s="51">
        <f>IF(AND(33&gt;=$C$251,33&lt;=$D$251),$B$251,0)</f>
        <v/>
      </c>
      <c r="AL257" s="51">
        <f>IF(AND(34&gt;=$C$251,34&lt;=$D$251),$B$251,0)</f>
        <v/>
      </c>
      <c r="AM257" s="51">
        <f>IF(AND(35&gt;=$C$251,35&lt;=$D$251),$B$251,0)</f>
        <v/>
      </c>
      <c r="AN257" s="51">
        <f>IF(AND(36&gt;=$C$251,36&lt;=$D$251),$B$251,0)</f>
        <v/>
      </c>
      <c r="AO257" s="51">
        <f>IF(AND(37&gt;=$C$251,37&lt;=$D$251),$B$251,0)</f>
        <v/>
      </c>
      <c r="AP257" s="51">
        <f>IF(AND(38&gt;=$C$251,38&lt;=$D$251),$B$251,0)</f>
        <v/>
      </c>
      <c r="AQ257" s="51">
        <f>IF(AND(39&gt;=$C$251,39&lt;=$D$251),$B$251,0)</f>
        <v/>
      </c>
      <c r="AR257" s="51">
        <f>IF(AND(40&gt;=$C$251,40&lt;=$D$251),$B$251,0)</f>
        <v/>
      </c>
      <c r="AS257" s="51">
        <f>IF(AND(41&gt;=$C$251,41&lt;=$D$251),$B$251,0)</f>
        <v/>
      </c>
      <c r="AT257" s="51">
        <f>IF(AND(42&gt;=$C$251,42&lt;=$D$251),$B$251,0)</f>
        <v/>
      </c>
      <c r="AU257" s="51">
        <f>IF(AND(43&gt;=$C$251,43&lt;=$D$251),$B$251,0)</f>
        <v/>
      </c>
      <c r="AV257" s="51">
        <f>IF(AND(44&gt;=$C$251,44&lt;=$D$251),$B$251,0)</f>
        <v/>
      </c>
      <c r="AW257" s="51">
        <f>IF(AND(45&gt;=$C$251,45&lt;=$D$251),$B$251,0)</f>
        <v/>
      </c>
      <c r="AX257" s="51">
        <f>IF(AND(46&gt;=$C$251,46&lt;=$D$251),$B$251,0)</f>
        <v/>
      </c>
      <c r="AY257" s="51">
        <f>IF(AND(47&gt;=$C$251,47&lt;=$D$251),$B$251,0)</f>
        <v/>
      </c>
      <c r="AZ257" s="51">
        <f>IF(AND(48&gt;=$C$251,48&lt;=$D$251),$B$251,0)</f>
        <v/>
      </c>
      <c r="BA257" s="51">
        <f>IF(AND(49&gt;=$C$251,49&lt;=$D$251),$B$251,0)</f>
        <v/>
      </c>
      <c r="BB257" s="51">
        <f>IF(AND(50&gt;=$C$251,50&lt;=$D$251),$B$251,0)</f>
        <v/>
      </c>
      <c r="BC257" s="51">
        <f>IF(AND(51&gt;=$C$251,51&lt;=$D$251),$B$251,0)</f>
        <v/>
      </c>
      <c r="BD257" s="51">
        <f>IF(AND(52&gt;=$C$251,52&lt;=$D$251),$B$251,0)</f>
        <v/>
      </c>
    </row>
    <row r="258">
      <c r="A258" s="43" t="inlineStr">
        <is>
          <t xml:space="preserve">  room above the floor</t>
        </is>
      </c>
      <c r="E258" s="51">
        <f>E256-E257</f>
        <v/>
      </c>
      <c r="F258" s="51">
        <f>F256-F257</f>
        <v/>
      </c>
      <c r="G258" s="51">
        <f>G256-G257</f>
        <v/>
      </c>
      <c r="H258" s="51">
        <f>H256-H257</f>
        <v/>
      </c>
      <c r="I258" s="51">
        <f>I256-I257</f>
        <v/>
      </c>
      <c r="J258" s="51">
        <f>J256-J257</f>
        <v/>
      </c>
      <c r="K258" s="51">
        <f>K256-K257</f>
        <v/>
      </c>
      <c r="L258" s="51">
        <f>L256-L257</f>
        <v/>
      </c>
      <c r="M258" s="51">
        <f>M256-M257</f>
        <v/>
      </c>
      <c r="N258" s="51">
        <f>N256-N257</f>
        <v/>
      </c>
      <c r="O258" s="51">
        <f>O256-O257</f>
        <v/>
      </c>
      <c r="P258" s="51">
        <f>P256-P257</f>
        <v/>
      </c>
      <c r="Q258" s="51">
        <f>Q256-Q257</f>
        <v/>
      </c>
      <c r="R258" s="51">
        <f>R256-R257</f>
        <v/>
      </c>
      <c r="S258" s="51">
        <f>S256-S257</f>
        <v/>
      </c>
      <c r="T258" s="51">
        <f>T256-T257</f>
        <v/>
      </c>
      <c r="U258" s="51">
        <f>U256-U257</f>
        <v/>
      </c>
      <c r="V258" s="51">
        <f>V256-V257</f>
        <v/>
      </c>
      <c r="W258" s="51">
        <f>W256-W257</f>
        <v/>
      </c>
      <c r="X258" s="51">
        <f>X256-X257</f>
        <v/>
      </c>
      <c r="Y258" s="51">
        <f>Y256-Y257</f>
        <v/>
      </c>
      <c r="Z258" s="51">
        <f>Z256-Z257</f>
        <v/>
      </c>
      <c r="AA258" s="51">
        <f>AA256-AA257</f>
        <v/>
      </c>
      <c r="AB258" s="51">
        <f>AB256-AB257</f>
        <v/>
      </c>
      <c r="AC258" s="51">
        <f>AC256-AC257</f>
        <v/>
      </c>
      <c r="AD258" s="51">
        <f>AD256-AD257</f>
        <v/>
      </c>
      <c r="AE258" s="51">
        <f>AE256-AE257</f>
        <v/>
      </c>
      <c r="AF258" s="51">
        <f>AF256-AF257</f>
        <v/>
      </c>
      <c r="AG258" s="51">
        <f>AG256-AG257</f>
        <v/>
      </c>
      <c r="AH258" s="51">
        <f>AH256-AH257</f>
        <v/>
      </c>
      <c r="AI258" s="51">
        <f>AI256-AI257</f>
        <v/>
      </c>
      <c r="AJ258" s="51">
        <f>AJ256-AJ257</f>
        <v/>
      </c>
      <c r="AK258" s="51">
        <f>AK256-AK257</f>
        <v/>
      </c>
      <c r="AL258" s="51">
        <f>AL256-AL257</f>
        <v/>
      </c>
      <c r="AM258" s="51">
        <f>AM256-AM257</f>
        <v/>
      </c>
      <c r="AN258" s="51">
        <f>AN256-AN257</f>
        <v/>
      </c>
      <c r="AO258" s="51">
        <f>AO256-AO257</f>
        <v/>
      </c>
      <c r="AP258" s="51">
        <f>AP256-AP257</f>
        <v/>
      </c>
      <c r="AQ258" s="51">
        <f>AQ256-AQ257</f>
        <v/>
      </c>
      <c r="AR258" s="51">
        <f>AR256-AR257</f>
        <v/>
      </c>
      <c r="AS258" s="51">
        <f>AS256-AS257</f>
        <v/>
      </c>
      <c r="AT258" s="51">
        <f>AT256-AT257</f>
        <v/>
      </c>
      <c r="AU258" s="51">
        <f>AU256-AU257</f>
        <v/>
      </c>
      <c r="AV258" s="51">
        <f>AV256-AV257</f>
        <v/>
      </c>
      <c r="AW258" s="51">
        <f>AW256-AW257</f>
        <v/>
      </c>
      <c r="AX258" s="51">
        <f>AX256-AX257</f>
        <v/>
      </c>
      <c r="AY258" s="51">
        <f>AY256-AY257</f>
        <v/>
      </c>
      <c r="AZ258" s="51">
        <f>AZ256-AZ257</f>
        <v/>
      </c>
      <c r="BA258" s="51">
        <f>BA256-BA257</f>
        <v/>
      </c>
      <c r="BB258" s="51">
        <f>BB256-BB257</f>
        <v/>
      </c>
      <c r="BC258" s="51">
        <f>BC256-BC257</f>
        <v/>
      </c>
      <c r="BD258" s="51">
        <f>BD256-BD257</f>
        <v/>
      </c>
    </row>
    <row r="259">
      <c r="A259" s="41" t="inlineStr">
        <is>
          <t>Kale standing</t>
        </is>
      </c>
      <c r="B259" s="2" t="inlineStr">
        <is>
          <t>acres</t>
        </is>
      </c>
      <c r="E259" s="51">
        <f>SUMPRODUCT((E$91:E$230&lt;&gt;"")*($BI$91:$BI$230="Kale")*$C$91:$C$230)</f>
        <v/>
      </c>
      <c r="F259" s="51">
        <f>SUMPRODUCT((F$91:F$230&lt;&gt;"")*($BI$91:$BI$230="Kale")*$C$91:$C$230)</f>
        <v/>
      </c>
      <c r="G259" s="51">
        <f>SUMPRODUCT((G$91:G$230&lt;&gt;"")*($BI$91:$BI$230="Kale")*$C$91:$C$230)</f>
        <v/>
      </c>
      <c r="H259" s="51">
        <f>SUMPRODUCT((H$91:H$230&lt;&gt;"")*($BI$91:$BI$230="Kale")*$C$91:$C$230)</f>
        <v/>
      </c>
      <c r="I259" s="51">
        <f>SUMPRODUCT((I$91:I$230&lt;&gt;"")*($BI$91:$BI$230="Kale")*$C$91:$C$230)</f>
        <v/>
      </c>
      <c r="J259" s="51">
        <f>SUMPRODUCT((J$91:J$230&lt;&gt;"")*($BI$91:$BI$230="Kale")*$C$91:$C$230)</f>
        <v/>
      </c>
      <c r="K259" s="51">
        <f>SUMPRODUCT((K$91:K$230&lt;&gt;"")*($BI$91:$BI$230="Kale")*$C$91:$C$230)</f>
        <v/>
      </c>
      <c r="L259" s="51">
        <f>SUMPRODUCT((L$91:L$230&lt;&gt;"")*($BI$91:$BI$230="Kale")*$C$91:$C$230)</f>
        <v/>
      </c>
      <c r="M259" s="51">
        <f>SUMPRODUCT((M$91:M$230&lt;&gt;"")*($BI$91:$BI$230="Kale")*$C$91:$C$230)</f>
        <v/>
      </c>
      <c r="N259" s="51">
        <f>SUMPRODUCT((N$91:N$230&lt;&gt;"")*($BI$91:$BI$230="Kale")*$C$91:$C$230)</f>
        <v/>
      </c>
      <c r="O259" s="51">
        <f>SUMPRODUCT((O$91:O$230&lt;&gt;"")*($BI$91:$BI$230="Kale")*$C$91:$C$230)</f>
        <v/>
      </c>
      <c r="P259" s="51">
        <f>SUMPRODUCT((P$91:P$230&lt;&gt;"")*($BI$91:$BI$230="Kale")*$C$91:$C$230)</f>
        <v/>
      </c>
      <c r="Q259" s="51">
        <f>SUMPRODUCT((Q$91:Q$230&lt;&gt;"")*($BI$91:$BI$230="Kale")*$C$91:$C$230)</f>
        <v/>
      </c>
      <c r="R259" s="51">
        <f>SUMPRODUCT((R$91:R$230&lt;&gt;"")*($BI$91:$BI$230="Kale")*$C$91:$C$230)</f>
        <v/>
      </c>
      <c r="S259" s="51">
        <f>SUMPRODUCT((S$91:S$230&lt;&gt;"")*($BI$91:$BI$230="Kale")*$C$91:$C$230)</f>
        <v/>
      </c>
      <c r="T259" s="51">
        <f>SUMPRODUCT((T$91:T$230&lt;&gt;"")*($BI$91:$BI$230="Kale")*$C$91:$C$230)</f>
        <v/>
      </c>
      <c r="U259" s="51">
        <f>SUMPRODUCT((U$91:U$230&lt;&gt;"")*($BI$91:$BI$230="Kale")*$C$91:$C$230)</f>
        <v/>
      </c>
      <c r="V259" s="51">
        <f>SUMPRODUCT((V$91:V$230&lt;&gt;"")*($BI$91:$BI$230="Kale")*$C$91:$C$230)</f>
        <v/>
      </c>
      <c r="W259" s="51">
        <f>SUMPRODUCT((W$91:W$230&lt;&gt;"")*($BI$91:$BI$230="Kale")*$C$91:$C$230)</f>
        <v/>
      </c>
      <c r="X259" s="51">
        <f>SUMPRODUCT((X$91:X$230&lt;&gt;"")*($BI$91:$BI$230="Kale")*$C$91:$C$230)</f>
        <v/>
      </c>
      <c r="Y259" s="51">
        <f>SUMPRODUCT((Y$91:Y$230&lt;&gt;"")*($BI$91:$BI$230="Kale")*$C$91:$C$230)</f>
        <v/>
      </c>
      <c r="Z259" s="51">
        <f>SUMPRODUCT((Z$91:Z$230&lt;&gt;"")*($BI$91:$BI$230="Kale")*$C$91:$C$230)</f>
        <v/>
      </c>
      <c r="AA259" s="51">
        <f>SUMPRODUCT((AA$91:AA$230&lt;&gt;"")*($BI$91:$BI$230="Kale")*$C$91:$C$230)</f>
        <v/>
      </c>
      <c r="AB259" s="51">
        <f>SUMPRODUCT((AB$91:AB$230&lt;&gt;"")*($BI$91:$BI$230="Kale")*$C$91:$C$230)</f>
        <v/>
      </c>
      <c r="AC259" s="51">
        <f>SUMPRODUCT((AC$91:AC$230&lt;&gt;"")*($BI$91:$BI$230="Kale")*$C$91:$C$230)</f>
        <v/>
      </c>
      <c r="AD259" s="51">
        <f>SUMPRODUCT((AD$91:AD$230&lt;&gt;"")*($BI$91:$BI$230="Kale")*$C$91:$C$230)</f>
        <v/>
      </c>
      <c r="AE259" s="51">
        <f>SUMPRODUCT((AE$91:AE$230&lt;&gt;"")*($BI$91:$BI$230="Kale")*$C$91:$C$230)</f>
        <v/>
      </c>
      <c r="AF259" s="51">
        <f>SUMPRODUCT((AF$91:AF$230&lt;&gt;"")*($BI$91:$BI$230="Kale")*$C$91:$C$230)</f>
        <v/>
      </c>
      <c r="AG259" s="51">
        <f>SUMPRODUCT((AG$91:AG$230&lt;&gt;"")*($BI$91:$BI$230="Kale")*$C$91:$C$230)</f>
        <v/>
      </c>
      <c r="AH259" s="51">
        <f>SUMPRODUCT((AH$91:AH$230&lt;&gt;"")*($BI$91:$BI$230="Kale")*$C$91:$C$230)</f>
        <v/>
      </c>
      <c r="AI259" s="51">
        <f>SUMPRODUCT((AI$91:AI$230&lt;&gt;"")*($BI$91:$BI$230="Kale")*$C$91:$C$230)</f>
        <v/>
      </c>
      <c r="AJ259" s="51">
        <f>SUMPRODUCT((AJ$91:AJ$230&lt;&gt;"")*($BI$91:$BI$230="Kale")*$C$91:$C$230)</f>
        <v/>
      </c>
      <c r="AK259" s="51">
        <f>SUMPRODUCT((AK$91:AK$230&lt;&gt;"")*($BI$91:$BI$230="Kale")*$C$91:$C$230)</f>
        <v/>
      </c>
      <c r="AL259" s="51">
        <f>SUMPRODUCT((AL$91:AL$230&lt;&gt;"")*($BI$91:$BI$230="Kale")*$C$91:$C$230)</f>
        <v/>
      </c>
      <c r="AM259" s="51">
        <f>SUMPRODUCT((AM$91:AM$230&lt;&gt;"")*($BI$91:$BI$230="Kale")*$C$91:$C$230)</f>
        <v/>
      </c>
      <c r="AN259" s="51">
        <f>SUMPRODUCT((AN$91:AN$230&lt;&gt;"")*($BI$91:$BI$230="Kale")*$C$91:$C$230)</f>
        <v/>
      </c>
      <c r="AO259" s="51">
        <f>SUMPRODUCT((AO$91:AO$230&lt;&gt;"")*($BI$91:$BI$230="Kale")*$C$91:$C$230)</f>
        <v/>
      </c>
      <c r="AP259" s="51">
        <f>SUMPRODUCT((AP$91:AP$230&lt;&gt;"")*($BI$91:$BI$230="Kale")*$C$91:$C$230)</f>
        <v/>
      </c>
      <c r="AQ259" s="51">
        <f>SUMPRODUCT((AQ$91:AQ$230&lt;&gt;"")*($BI$91:$BI$230="Kale")*$C$91:$C$230)</f>
        <v/>
      </c>
      <c r="AR259" s="51">
        <f>SUMPRODUCT((AR$91:AR$230&lt;&gt;"")*($BI$91:$BI$230="Kale")*$C$91:$C$230)</f>
        <v/>
      </c>
      <c r="AS259" s="51">
        <f>SUMPRODUCT((AS$91:AS$230&lt;&gt;"")*($BI$91:$BI$230="Kale")*$C$91:$C$230)</f>
        <v/>
      </c>
      <c r="AT259" s="51">
        <f>SUMPRODUCT((AT$91:AT$230&lt;&gt;"")*($BI$91:$BI$230="Kale")*$C$91:$C$230)</f>
        <v/>
      </c>
      <c r="AU259" s="51">
        <f>SUMPRODUCT((AU$91:AU$230&lt;&gt;"")*($BI$91:$BI$230="Kale")*$C$91:$C$230)</f>
        <v/>
      </c>
      <c r="AV259" s="51">
        <f>SUMPRODUCT((AV$91:AV$230&lt;&gt;"")*($BI$91:$BI$230="Kale")*$C$91:$C$230)</f>
        <v/>
      </c>
      <c r="AW259" s="51">
        <f>SUMPRODUCT((AW$91:AW$230&lt;&gt;"")*($BI$91:$BI$230="Kale")*$C$91:$C$230)</f>
        <v/>
      </c>
      <c r="AX259" s="51">
        <f>SUMPRODUCT((AX$91:AX$230&lt;&gt;"")*($BI$91:$BI$230="Kale")*$C$91:$C$230)</f>
        <v/>
      </c>
      <c r="AY259" s="51">
        <f>SUMPRODUCT((AY$91:AY$230&lt;&gt;"")*($BI$91:$BI$230="Kale")*$C$91:$C$230)</f>
        <v/>
      </c>
      <c r="AZ259" s="51">
        <f>SUMPRODUCT((AZ$91:AZ$230&lt;&gt;"")*($BI$91:$BI$230="Kale")*$C$91:$C$230)</f>
        <v/>
      </c>
      <c r="BA259" s="51">
        <f>SUMPRODUCT((BA$91:BA$230&lt;&gt;"")*($BI$91:$BI$230="Kale")*$C$91:$C$230)</f>
        <v/>
      </c>
      <c r="BB259" s="51">
        <f>SUMPRODUCT((BB$91:BB$230&lt;&gt;"")*($BI$91:$BI$230="Kale")*$C$91:$C$230)</f>
        <v/>
      </c>
      <c r="BC259" s="51">
        <f>SUMPRODUCT((BC$91:BC$230&lt;&gt;"")*($BI$91:$BI$230="Kale")*$C$91:$C$230)</f>
        <v/>
      </c>
      <c r="BD259" s="51">
        <f>SUMPRODUCT((BD$91:BD$230&lt;&gt;"")*($BI$91:$BI$230="Kale")*$C$91:$C$230)</f>
        <v/>
      </c>
    </row>
    <row r="260">
      <c r="A260" s="41" t="inlineStr">
        <is>
          <t xml:space="preserve">  must stand (row 252)</t>
        </is>
      </c>
      <c r="E260" s="51">
        <f>IF(AND(1&gt;=$C$252,1&lt;=$D$252),$B$252,0)</f>
        <v/>
      </c>
      <c r="F260" s="51">
        <f>IF(AND(2&gt;=$C$252,2&lt;=$D$252),$B$252,0)</f>
        <v/>
      </c>
      <c r="G260" s="51">
        <f>IF(AND(3&gt;=$C$252,3&lt;=$D$252),$B$252,0)</f>
        <v/>
      </c>
      <c r="H260" s="51">
        <f>IF(AND(4&gt;=$C$252,4&lt;=$D$252),$B$252,0)</f>
        <v/>
      </c>
      <c r="I260" s="51">
        <f>IF(AND(5&gt;=$C$252,5&lt;=$D$252),$B$252,0)</f>
        <v/>
      </c>
      <c r="J260" s="51">
        <f>IF(AND(6&gt;=$C$252,6&lt;=$D$252),$B$252,0)</f>
        <v/>
      </c>
      <c r="K260" s="51">
        <f>IF(AND(7&gt;=$C$252,7&lt;=$D$252),$B$252,0)</f>
        <v/>
      </c>
      <c r="L260" s="51">
        <f>IF(AND(8&gt;=$C$252,8&lt;=$D$252),$B$252,0)</f>
        <v/>
      </c>
      <c r="M260" s="51">
        <f>IF(AND(9&gt;=$C$252,9&lt;=$D$252),$B$252,0)</f>
        <v/>
      </c>
      <c r="N260" s="51">
        <f>IF(AND(10&gt;=$C$252,10&lt;=$D$252),$B$252,0)</f>
        <v/>
      </c>
      <c r="O260" s="51">
        <f>IF(AND(11&gt;=$C$252,11&lt;=$D$252),$B$252,0)</f>
        <v/>
      </c>
      <c r="P260" s="51">
        <f>IF(AND(12&gt;=$C$252,12&lt;=$D$252),$B$252,0)</f>
        <v/>
      </c>
      <c r="Q260" s="51">
        <f>IF(AND(13&gt;=$C$252,13&lt;=$D$252),$B$252,0)</f>
        <v/>
      </c>
      <c r="R260" s="51">
        <f>IF(AND(14&gt;=$C$252,14&lt;=$D$252),$B$252,0)</f>
        <v/>
      </c>
      <c r="S260" s="51">
        <f>IF(AND(15&gt;=$C$252,15&lt;=$D$252),$B$252,0)</f>
        <v/>
      </c>
      <c r="T260" s="51">
        <f>IF(AND(16&gt;=$C$252,16&lt;=$D$252),$B$252,0)</f>
        <v/>
      </c>
      <c r="U260" s="51">
        <f>IF(AND(17&gt;=$C$252,17&lt;=$D$252),$B$252,0)</f>
        <v/>
      </c>
      <c r="V260" s="51">
        <f>IF(AND(18&gt;=$C$252,18&lt;=$D$252),$B$252,0)</f>
        <v/>
      </c>
      <c r="W260" s="51">
        <f>IF(AND(19&gt;=$C$252,19&lt;=$D$252),$B$252,0)</f>
        <v/>
      </c>
      <c r="X260" s="51">
        <f>IF(AND(20&gt;=$C$252,20&lt;=$D$252),$B$252,0)</f>
        <v/>
      </c>
      <c r="Y260" s="51">
        <f>IF(AND(21&gt;=$C$252,21&lt;=$D$252),$B$252,0)</f>
        <v/>
      </c>
      <c r="Z260" s="51">
        <f>IF(AND(22&gt;=$C$252,22&lt;=$D$252),$B$252,0)</f>
        <v/>
      </c>
      <c r="AA260" s="51">
        <f>IF(AND(23&gt;=$C$252,23&lt;=$D$252),$B$252,0)</f>
        <v/>
      </c>
      <c r="AB260" s="51">
        <f>IF(AND(24&gt;=$C$252,24&lt;=$D$252),$B$252,0)</f>
        <v/>
      </c>
      <c r="AC260" s="51">
        <f>IF(AND(25&gt;=$C$252,25&lt;=$D$252),$B$252,0)</f>
        <v/>
      </c>
      <c r="AD260" s="51">
        <f>IF(AND(26&gt;=$C$252,26&lt;=$D$252),$B$252,0)</f>
        <v/>
      </c>
      <c r="AE260" s="51">
        <f>IF(AND(27&gt;=$C$252,27&lt;=$D$252),$B$252,0)</f>
        <v/>
      </c>
      <c r="AF260" s="51">
        <f>IF(AND(28&gt;=$C$252,28&lt;=$D$252),$B$252,0)</f>
        <v/>
      </c>
      <c r="AG260" s="51">
        <f>IF(AND(29&gt;=$C$252,29&lt;=$D$252),$B$252,0)</f>
        <v/>
      </c>
      <c r="AH260" s="51">
        <f>IF(AND(30&gt;=$C$252,30&lt;=$D$252),$B$252,0)</f>
        <v/>
      </c>
      <c r="AI260" s="51">
        <f>IF(AND(31&gt;=$C$252,31&lt;=$D$252),$B$252,0)</f>
        <v/>
      </c>
      <c r="AJ260" s="51">
        <f>IF(AND(32&gt;=$C$252,32&lt;=$D$252),$B$252,0)</f>
        <v/>
      </c>
      <c r="AK260" s="51">
        <f>IF(AND(33&gt;=$C$252,33&lt;=$D$252),$B$252,0)</f>
        <v/>
      </c>
      <c r="AL260" s="51">
        <f>IF(AND(34&gt;=$C$252,34&lt;=$D$252),$B$252,0)</f>
        <v/>
      </c>
      <c r="AM260" s="51">
        <f>IF(AND(35&gt;=$C$252,35&lt;=$D$252),$B$252,0)</f>
        <v/>
      </c>
      <c r="AN260" s="51">
        <f>IF(AND(36&gt;=$C$252,36&lt;=$D$252),$B$252,0)</f>
        <v/>
      </c>
      <c r="AO260" s="51">
        <f>IF(AND(37&gt;=$C$252,37&lt;=$D$252),$B$252,0)</f>
        <v/>
      </c>
      <c r="AP260" s="51">
        <f>IF(AND(38&gt;=$C$252,38&lt;=$D$252),$B$252,0)</f>
        <v/>
      </c>
      <c r="AQ260" s="51">
        <f>IF(AND(39&gt;=$C$252,39&lt;=$D$252),$B$252,0)</f>
        <v/>
      </c>
      <c r="AR260" s="51">
        <f>IF(AND(40&gt;=$C$252,40&lt;=$D$252),$B$252,0)</f>
        <v/>
      </c>
      <c r="AS260" s="51">
        <f>IF(AND(41&gt;=$C$252,41&lt;=$D$252),$B$252,0)</f>
        <v/>
      </c>
      <c r="AT260" s="51">
        <f>IF(AND(42&gt;=$C$252,42&lt;=$D$252),$B$252,0)</f>
        <v/>
      </c>
      <c r="AU260" s="51">
        <f>IF(AND(43&gt;=$C$252,43&lt;=$D$252),$B$252,0)</f>
        <v/>
      </c>
      <c r="AV260" s="51">
        <f>IF(AND(44&gt;=$C$252,44&lt;=$D$252),$B$252,0)</f>
        <v/>
      </c>
      <c r="AW260" s="51">
        <f>IF(AND(45&gt;=$C$252,45&lt;=$D$252),$B$252,0)</f>
        <v/>
      </c>
      <c r="AX260" s="51">
        <f>IF(AND(46&gt;=$C$252,46&lt;=$D$252),$B$252,0)</f>
        <v/>
      </c>
      <c r="AY260" s="51">
        <f>IF(AND(47&gt;=$C$252,47&lt;=$D$252),$B$252,0)</f>
        <v/>
      </c>
      <c r="AZ260" s="51">
        <f>IF(AND(48&gt;=$C$252,48&lt;=$D$252),$B$252,0)</f>
        <v/>
      </c>
      <c r="BA260" s="51">
        <f>IF(AND(49&gt;=$C$252,49&lt;=$D$252),$B$252,0)</f>
        <v/>
      </c>
      <c r="BB260" s="51">
        <f>IF(AND(50&gt;=$C$252,50&lt;=$D$252),$B$252,0)</f>
        <v/>
      </c>
      <c r="BC260" s="51">
        <f>IF(AND(51&gt;=$C$252,51&lt;=$D$252),$B$252,0)</f>
        <v/>
      </c>
      <c r="BD260" s="51">
        <f>IF(AND(52&gt;=$C$252,52&lt;=$D$252),$B$252,0)</f>
        <v/>
      </c>
    </row>
    <row r="261">
      <c r="A261" s="43" t="inlineStr">
        <is>
          <t xml:space="preserve">  room above the floor</t>
        </is>
      </c>
      <c r="E261" s="51">
        <f>E259-E260</f>
        <v/>
      </c>
      <c r="F261" s="51">
        <f>F259-F260</f>
        <v/>
      </c>
      <c r="G261" s="51">
        <f>G259-G260</f>
        <v/>
      </c>
      <c r="H261" s="51">
        <f>H259-H260</f>
        <v/>
      </c>
      <c r="I261" s="51">
        <f>I259-I260</f>
        <v/>
      </c>
      <c r="J261" s="51">
        <f>J259-J260</f>
        <v/>
      </c>
      <c r="K261" s="51">
        <f>K259-K260</f>
        <v/>
      </c>
      <c r="L261" s="51">
        <f>L259-L260</f>
        <v/>
      </c>
      <c r="M261" s="51">
        <f>M259-M260</f>
        <v/>
      </c>
      <c r="N261" s="51">
        <f>N259-N260</f>
        <v/>
      </c>
      <c r="O261" s="51">
        <f>O259-O260</f>
        <v/>
      </c>
      <c r="P261" s="51">
        <f>P259-P260</f>
        <v/>
      </c>
      <c r="Q261" s="51">
        <f>Q259-Q260</f>
        <v/>
      </c>
      <c r="R261" s="51">
        <f>R259-R260</f>
        <v/>
      </c>
      <c r="S261" s="51">
        <f>S259-S260</f>
        <v/>
      </c>
      <c r="T261" s="51">
        <f>T259-T260</f>
        <v/>
      </c>
      <c r="U261" s="51">
        <f>U259-U260</f>
        <v/>
      </c>
      <c r="V261" s="51">
        <f>V259-V260</f>
        <v/>
      </c>
      <c r="W261" s="51">
        <f>W259-W260</f>
        <v/>
      </c>
      <c r="X261" s="51">
        <f>X259-X260</f>
        <v/>
      </c>
      <c r="Y261" s="51">
        <f>Y259-Y260</f>
        <v/>
      </c>
      <c r="Z261" s="51">
        <f>Z259-Z260</f>
        <v/>
      </c>
      <c r="AA261" s="51">
        <f>AA259-AA260</f>
        <v/>
      </c>
      <c r="AB261" s="51">
        <f>AB259-AB260</f>
        <v/>
      </c>
      <c r="AC261" s="51">
        <f>AC259-AC260</f>
        <v/>
      </c>
      <c r="AD261" s="51">
        <f>AD259-AD260</f>
        <v/>
      </c>
      <c r="AE261" s="51">
        <f>AE259-AE260</f>
        <v/>
      </c>
      <c r="AF261" s="51">
        <f>AF259-AF260</f>
        <v/>
      </c>
      <c r="AG261" s="51">
        <f>AG259-AG260</f>
        <v/>
      </c>
      <c r="AH261" s="51">
        <f>AH259-AH260</f>
        <v/>
      </c>
      <c r="AI261" s="51">
        <f>AI259-AI260</f>
        <v/>
      </c>
      <c r="AJ261" s="51">
        <f>AJ259-AJ260</f>
        <v/>
      </c>
      <c r="AK261" s="51">
        <f>AK259-AK260</f>
        <v/>
      </c>
      <c r="AL261" s="51">
        <f>AL259-AL260</f>
        <v/>
      </c>
      <c r="AM261" s="51">
        <f>AM259-AM260</f>
        <v/>
      </c>
      <c r="AN261" s="51">
        <f>AN259-AN260</f>
        <v/>
      </c>
      <c r="AO261" s="51">
        <f>AO259-AO260</f>
        <v/>
      </c>
      <c r="AP261" s="51">
        <f>AP259-AP260</f>
        <v/>
      </c>
      <c r="AQ261" s="51">
        <f>AQ259-AQ260</f>
        <v/>
      </c>
      <c r="AR261" s="51">
        <f>AR259-AR260</f>
        <v/>
      </c>
      <c r="AS261" s="51">
        <f>AS259-AS260</f>
        <v/>
      </c>
      <c r="AT261" s="51">
        <f>AT259-AT260</f>
        <v/>
      </c>
      <c r="AU261" s="51">
        <f>AU259-AU260</f>
        <v/>
      </c>
      <c r="AV261" s="51">
        <f>AV259-AV260</f>
        <v/>
      </c>
      <c r="AW261" s="51">
        <f>AW259-AW260</f>
        <v/>
      </c>
      <c r="AX261" s="51">
        <f>AX259-AX260</f>
        <v/>
      </c>
      <c r="AY261" s="51">
        <f>AY259-AY260</f>
        <v/>
      </c>
      <c r="AZ261" s="51">
        <f>AZ259-AZ260</f>
        <v/>
      </c>
      <c r="BA261" s="51">
        <f>BA259-BA260</f>
        <v/>
      </c>
      <c r="BB261" s="51">
        <f>BB259-BB260</f>
        <v/>
      </c>
      <c r="BC261" s="51">
        <f>BC259-BC260</f>
        <v/>
      </c>
      <c r="BD261" s="51">
        <f>BD259-BD260</f>
        <v/>
      </c>
    </row>
    <row r="262">
      <c r="A262" s="41" t="inlineStr">
        <is>
          <t>Kale planted this year</t>
        </is>
      </c>
      <c r="B262" s="51">
        <f>SUMPRODUCT(($BI$91:$BI$230="Kale")*($BG$91:$BG$230&lt;&gt;"-")*$C$91:$C$230)</f>
        <v/>
      </c>
      <c r="C262" s="52" t="inlineStr">
        <is>
          <t>&gt;=</t>
        </is>
      </c>
      <c r="D262" s="51">
        <f>$B$253</f>
        <v/>
      </c>
    </row>
    <row r="263">
      <c r="A263" s="2" t="inlineStr">
        <is>
          <t xml:space="preserve">   ⚠️ A must-plant floor is HARD — set one the farm cannot carry and there is no plan. Garlic's ceiling here is ~18.6 ac, set by the winter crew AND the barn together.</t>
        </is>
      </c>
    </row>
    <row r="265">
      <c r="A265" s="3" t="inlineStr">
        <is>
          <t>A — WHO IS ON, WEEK BY WEEK</t>
        </is>
      </c>
    </row>
    <row r="266">
      <c r="A266" s="2" t="inlineStr">
        <is>
          <t xml:space="preserve">   Committed staff PLUS whatever the solver decided to hire, at that role's own hours and window. New heads count for less: they are multiplied by the new-hire productivity %.</t>
        </is>
      </c>
    </row>
    <row r="267">
      <c r="A267" s="36" t="inlineStr">
        <is>
          <t>Week</t>
        </is>
      </c>
      <c r="B267" s="37" t="inlineStr">
        <is>
          <t>hours</t>
        </is>
      </c>
      <c r="E267" s="38" t="n">
        <v>1</v>
      </c>
      <c r="F267" s="38" t="n">
        <v>2</v>
      </c>
      <c r="G267" s="38" t="n">
        <v>3</v>
      </c>
      <c r="H267" s="38" t="n">
        <v>4</v>
      </c>
      <c r="I267" s="38" t="n">
        <v>5</v>
      </c>
      <c r="J267" s="38" t="n">
        <v>6</v>
      </c>
      <c r="K267" s="38" t="n">
        <v>7</v>
      </c>
      <c r="L267" s="38" t="n">
        <v>8</v>
      </c>
      <c r="M267" s="38" t="n">
        <v>9</v>
      </c>
      <c r="N267" s="38" t="n">
        <v>10</v>
      </c>
      <c r="O267" s="38" t="n">
        <v>11</v>
      </c>
      <c r="P267" s="38" t="n">
        <v>12</v>
      </c>
      <c r="Q267" s="38" t="n">
        <v>13</v>
      </c>
      <c r="R267" s="38" t="n">
        <v>14</v>
      </c>
      <c r="S267" s="38" t="n">
        <v>15</v>
      </c>
      <c r="T267" s="38" t="n">
        <v>16</v>
      </c>
      <c r="U267" s="38" t="n">
        <v>17</v>
      </c>
      <c r="V267" s="38" t="n">
        <v>18</v>
      </c>
      <c r="W267" s="38" t="n">
        <v>19</v>
      </c>
      <c r="X267" s="38" t="n">
        <v>20</v>
      </c>
      <c r="Y267" s="38" t="n">
        <v>21</v>
      </c>
      <c r="Z267" s="38" t="n">
        <v>22</v>
      </c>
      <c r="AA267" s="38" t="n">
        <v>23</v>
      </c>
      <c r="AB267" s="38" t="n">
        <v>24</v>
      </c>
      <c r="AC267" s="38" t="n">
        <v>25</v>
      </c>
      <c r="AD267" s="38" t="n">
        <v>26</v>
      </c>
      <c r="AE267" s="38" t="n">
        <v>27</v>
      </c>
      <c r="AF267" s="38" t="n">
        <v>28</v>
      </c>
      <c r="AG267" s="38" t="n">
        <v>29</v>
      </c>
      <c r="AH267" s="38" t="n">
        <v>30</v>
      </c>
      <c r="AI267" s="38" t="n">
        <v>31</v>
      </c>
      <c r="AJ267" s="38" t="n">
        <v>32</v>
      </c>
      <c r="AK267" s="38" t="n">
        <v>33</v>
      </c>
      <c r="AL267" s="38" t="n">
        <v>34</v>
      </c>
      <c r="AM267" s="38" t="n">
        <v>35</v>
      </c>
      <c r="AN267" s="38" t="n">
        <v>36</v>
      </c>
      <c r="AO267" s="38" t="n">
        <v>37</v>
      </c>
      <c r="AP267" s="38" t="n">
        <v>38</v>
      </c>
      <c r="AQ267" s="38" t="n">
        <v>39</v>
      </c>
      <c r="AR267" s="38" t="n">
        <v>40</v>
      </c>
      <c r="AS267" s="38" t="n">
        <v>41</v>
      </c>
      <c r="AT267" s="38" t="n">
        <v>42</v>
      </c>
      <c r="AU267" s="38" t="n">
        <v>43</v>
      </c>
      <c r="AV267" s="38" t="n">
        <v>44</v>
      </c>
      <c r="AW267" s="38" t="n">
        <v>45</v>
      </c>
      <c r="AX267" s="38" t="n">
        <v>46</v>
      </c>
      <c r="AY267" s="38" t="n">
        <v>47</v>
      </c>
      <c r="AZ267" s="38" t="n">
        <v>48</v>
      </c>
      <c r="BA267" s="38" t="n">
        <v>49</v>
      </c>
      <c r="BB267" s="38" t="n">
        <v>50</v>
      </c>
      <c r="BC267" s="38" t="n">
        <v>51</v>
      </c>
      <c r="BD267" s="38" t="n">
        <v>52</v>
      </c>
    </row>
    <row r="268">
      <c r="A268" s="33" t="inlineStr">
        <is>
          <t xml:space="preserve">   Farm Manager</t>
        </is>
      </c>
      <c r="B268" s="2" t="inlineStr">
        <is>
          <t>hrs  (salaried)</t>
        </is>
      </c>
      <c r="E268" s="40">
        <f>IF(AND(1&gt;=$G$48,1&lt;=$H$48),($B$48+IF($I$48="Y",$K$48,0)*$B$61/100)*$E$48*$F$48/100,0)</f>
        <v/>
      </c>
      <c r="F268" s="40">
        <f>IF(AND(2&gt;=$G$48,2&lt;=$H$48),($B$48+IF($I$48="Y",$K$48,0)*$B$61/100)*$E$48*$F$48/100,0)</f>
        <v/>
      </c>
      <c r="G268" s="40">
        <f>IF(AND(3&gt;=$G$48,3&lt;=$H$48),($B$48+IF($I$48="Y",$K$48,0)*$B$61/100)*$E$48*$F$48/100,0)</f>
        <v/>
      </c>
      <c r="H268" s="40">
        <f>IF(AND(4&gt;=$G$48,4&lt;=$H$48),($B$48+IF($I$48="Y",$K$48,0)*$B$61/100)*$E$48*$F$48/100,0)</f>
        <v/>
      </c>
      <c r="I268" s="40">
        <f>IF(AND(5&gt;=$G$48,5&lt;=$H$48),($B$48+IF($I$48="Y",$K$48,0)*$B$61/100)*$E$48*$F$48/100,0)</f>
        <v/>
      </c>
      <c r="J268" s="40">
        <f>IF(AND(6&gt;=$G$48,6&lt;=$H$48),($B$48+IF($I$48="Y",$K$48,0)*$B$61/100)*$E$48*$F$48/100,0)</f>
        <v/>
      </c>
      <c r="K268" s="40">
        <f>IF(AND(7&gt;=$G$48,7&lt;=$H$48),($B$48+IF($I$48="Y",$K$48,0)*$B$61/100)*$E$48*$F$48/100,0)</f>
        <v/>
      </c>
      <c r="L268" s="40">
        <f>IF(AND(8&gt;=$G$48,8&lt;=$H$48),($B$48+IF($I$48="Y",$K$48,0)*$B$61/100)*$E$48*$F$48/100,0)</f>
        <v/>
      </c>
      <c r="M268" s="40">
        <f>IF(AND(9&gt;=$G$48,9&lt;=$H$48),($B$48+IF($I$48="Y",$K$48,0)*$B$61/100)*$E$48*$F$48/100,0)</f>
        <v/>
      </c>
      <c r="N268" s="40">
        <f>IF(AND(10&gt;=$G$48,10&lt;=$H$48),($B$48+IF($I$48="Y",$K$48,0)*$B$61/100)*$E$48*$F$48/100,0)</f>
        <v/>
      </c>
      <c r="O268" s="40">
        <f>IF(AND(11&gt;=$G$48,11&lt;=$H$48),($B$48+IF($I$48="Y",$K$48,0)*$B$61/100)*$E$48*$F$48/100,0)</f>
        <v/>
      </c>
      <c r="P268" s="40">
        <f>IF(AND(12&gt;=$G$48,12&lt;=$H$48),($B$48+IF($I$48="Y",$K$48,0)*$B$61/100)*$E$48*$F$48/100,0)</f>
        <v/>
      </c>
      <c r="Q268" s="40">
        <f>IF(AND(13&gt;=$G$48,13&lt;=$H$48),($B$48+IF($I$48="Y",$K$48,0)*$B$61/100)*$E$48*$F$48/100,0)</f>
        <v/>
      </c>
      <c r="R268" s="40">
        <f>IF(AND(14&gt;=$G$48,14&lt;=$H$48),($B$48+IF($I$48="Y",$K$48,0)*$B$61/100)*$E$48*$F$48/100,0)</f>
        <v/>
      </c>
      <c r="S268" s="40">
        <f>IF(AND(15&gt;=$G$48,15&lt;=$H$48),($B$48+IF($I$48="Y",$K$48,0)*$B$61/100)*$E$48*$F$48/100,0)</f>
        <v/>
      </c>
      <c r="T268" s="40">
        <f>IF(AND(16&gt;=$G$48,16&lt;=$H$48),($B$48+IF($I$48="Y",$K$48,0)*$B$61/100)*$E$48*$F$48/100,0)</f>
        <v/>
      </c>
      <c r="U268" s="40">
        <f>IF(AND(17&gt;=$G$48,17&lt;=$H$48),($B$48+IF($I$48="Y",$K$48,0)*$B$61/100)*$E$48*$F$48/100,0)</f>
        <v/>
      </c>
      <c r="V268" s="40">
        <f>IF(AND(18&gt;=$G$48,18&lt;=$H$48),($B$48+IF($I$48="Y",$K$48,0)*$B$61/100)*$E$48*$F$48/100,0)</f>
        <v/>
      </c>
      <c r="W268" s="40">
        <f>IF(AND(19&gt;=$G$48,19&lt;=$H$48),($B$48+IF($I$48="Y",$K$48,0)*$B$61/100)*$E$48*$F$48/100,0)</f>
        <v/>
      </c>
      <c r="X268" s="40">
        <f>IF(AND(20&gt;=$G$48,20&lt;=$H$48),($B$48+IF($I$48="Y",$K$48,0)*$B$61/100)*$E$48*$F$48/100,0)</f>
        <v/>
      </c>
      <c r="Y268" s="40">
        <f>IF(AND(21&gt;=$G$48,21&lt;=$H$48),($B$48+IF($I$48="Y",$K$48,0)*$B$61/100)*$E$48*$F$48/100,0)</f>
        <v/>
      </c>
      <c r="Z268" s="40">
        <f>IF(AND(22&gt;=$G$48,22&lt;=$H$48),($B$48+IF($I$48="Y",$K$48,0)*$B$61/100)*$E$48*$F$48/100,0)</f>
        <v/>
      </c>
      <c r="AA268" s="40">
        <f>IF(AND(23&gt;=$G$48,23&lt;=$H$48),($B$48+IF($I$48="Y",$K$48,0)*$B$61/100)*$E$48*$F$48/100,0)</f>
        <v/>
      </c>
      <c r="AB268" s="40">
        <f>IF(AND(24&gt;=$G$48,24&lt;=$H$48),($B$48+IF($I$48="Y",$K$48,0)*$B$61/100)*$E$48*$F$48/100,0)</f>
        <v/>
      </c>
      <c r="AC268" s="40">
        <f>IF(AND(25&gt;=$G$48,25&lt;=$H$48),($B$48+IF($I$48="Y",$K$48,0)*$B$61/100)*$E$48*$F$48/100,0)</f>
        <v/>
      </c>
      <c r="AD268" s="40">
        <f>IF(AND(26&gt;=$G$48,26&lt;=$H$48),($B$48+IF($I$48="Y",$K$48,0)*$B$61/100)*$E$48*$F$48/100,0)</f>
        <v/>
      </c>
      <c r="AE268" s="40">
        <f>IF(AND(27&gt;=$G$48,27&lt;=$H$48),($B$48+IF($I$48="Y",$K$48,0)*$B$61/100)*$E$48*$F$48/100,0)</f>
        <v/>
      </c>
      <c r="AF268" s="40">
        <f>IF(AND(28&gt;=$G$48,28&lt;=$H$48),($B$48+IF($I$48="Y",$K$48,0)*$B$61/100)*$E$48*$F$48/100,0)</f>
        <v/>
      </c>
      <c r="AG268" s="40">
        <f>IF(AND(29&gt;=$G$48,29&lt;=$H$48),($B$48+IF($I$48="Y",$K$48,0)*$B$61/100)*$E$48*$F$48/100,0)</f>
        <v/>
      </c>
      <c r="AH268" s="40">
        <f>IF(AND(30&gt;=$G$48,30&lt;=$H$48),($B$48+IF($I$48="Y",$K$48,0)*$B$61/100)*$E$48*$F$48/100,0)</f>
        <v/>
      </c>
      <c r="AI268" s="40">
        <f>IF(AND(31&gt;=$G$48,31&lt;=$H$48),($B$48+IF($I$48="Y",$K$48,0)*$B$61/100)*$E$48*$F$48/100,0)</f>
        <v/>
      </c>
      <c r="AJ268" s="40">
        <f>IF(AND(32&gt;=$G$48,32&lt;=$H$48),($B$48+IF($I$48="Y",$K$48,0)*$B$61/100)*$E$48*$F$48/100,0)</f>
        <v/>
      </c>
      <c r="AK268" s="40">
        <f>IF(AND(33&gt;=$G$48,33&lt;=$H$48),($B$48+IF($I$48="Y",$K$48,0)*$B$61/100)*$E$48*$F$48/100,0)</f>
        <v/>
      </c>
      <c r="AL268" s="40">
        <f>IF(AND(34&gt;=$G$48,34&lt;=$H$48),($B$48+IF($I$48="Y",$K$48,0)*$B$61/100)*$E$48*$F$48/100,0)</f>
        <v/>
      </c>
      <c r="AM268" s="40">
        <f>IF(AND(35&gt;=$G$48,35&lt;=$H$48),($B$48+IF($I$48="Y",$K$48,0)*$B$61/100)*$E$48*$F$48/100,0)</f>
        <v/>
      </c>
      <c r="AN268" s="40">
        <f>IF(AND(36&gt;=$G$48,36&lt;=$H$48),($B$48+IF($I$48="Y",$K$48,0)*$B$61/100)*$E$48*$F$48/100,0)</f>
        <v/>
      </c>
      <c r="AO268" s="40">
        <f>IF(AND(37&gt;=$G$48,37&lt;=$H$48),($B$48+IF($I$48="Y",$K$48,0)*$B$61/100)*$E$48*$F$48/100,0)</f>
        <v/>
      </c>
      <c r="AP268" s="40">
        <f>IF(AND(38&gt;=$G$48,38&lt;=$H$48),($B$48+IF($I$48="Y",$K$48,0)*$B$61/100)*$E$48*$F$48/100,0)</f>
        <v/>
      </c>
      <c r="AQ268" s="40">
        <f>IF(AND(39&gt;=$G$48,39&lt;=$H$48),($B$48+IF($I$48="Y",$K$48,0)*$B$61/100)*$E$48*$F$48/100,0)</f>
        <v/>
      </c>
      <c r="AR268" s="40">
        <f>IF(AND(40&gt;=$G$48,40&lt;=$H$48),($B$48+IF($I$48="Y",$K$48,0)*$B$61/100)*$E$48*$F$48/100,0)</f>
        <v/>
      </c>
      <c r="AS268" s="40">
        <f>IF(AND(41&gt;=$G$48,41&lt;=$H$48),($B$48+IF($I$48="Y",$K$48,0)*$B$61/100)*$E$48*$F$48/100,0)</f>
        <v/>
      </c>
      <c r="AT268" s="40">
        <f>IF(AND(42&gt;=$G$48,42&lt;=$H$48),($B$48+IF($I$48="Y",$K$48,0)*$B$61/100)*$E$48*$F$48/100,0)</f>
        <v/>
      </c>
      <c r="AU268" s="40">
        <f>IF(AND(43&gt;=$G$48,43&lt;=$H$48),($B$48+IF($I$48="Y",$K$48,0)*$B$61/100)*$E$48*$F$48/100,0)</f>
        <v/>
      </c>
      <c r="AV268" s="40">
        <f>IF(AND(44&gt;=$G$48,44&lt;=$H$48),($B$48+IF($I$48="Y",$K$48,0)*$B$61/100)*$E$48*$F$48/100,0)</f>
        <v/>
      </c>
      <c r="AW268" s="40">
        <f>IF(AND(45&gt;=$G$48,45&lt;=$H$48),($B$48+IF($I$48="Y",$K$48,0)*$B$61/100)*$E$48*$F$48/100,0)</f>
        <v/>
      </c>
      <c r="AX268" s="40">
        <f>IF(AND(46&gt;=$G$48,46&lt;=$H$48),($B$48+IF($I$48="Y",$K$48,0)*$B$61/100)*$E$48*$F$48/100,0)</f>
        <v/>
      </c>
      <c r="AY268" s="40">
        <f>IF(AND(47&gt;=$G$48,47&lt;=$H$48),($B$48+IF($I$48="Y",$K$48,0)*$B$61/100)*$E$48*$F$48/100,0)</f>
        <v/>
      </c>
      <c r="AZ268" s="40">
        <f>IF(AND(48&gt;=$G$48,48&lt;=$H$48),($B$48+IF($I$48="Y",$K$48,0)*$B$61/100)*$E$48*$F$48/100,0)</f>
        <v/>
      </c>
      <c r="BA268" s="40">
        <f>IF(AND(49&gt;=$G$48,49&lt;=$H$48),($B$48+IF($I$48="Y",$K$48,0)*$B$61/100)*$E$48*$F$48/100,0)</f>
        <v/>
      </c>
      <c r="BB268" s="40">
        <f>IF(AND(50&gt;=$G$48,50&lt;=$H$48),($B$48+IF($I$48="Y",$K$48,0)*$B$61/100)*$E$48*$F$48/100,0)</f>
        <v/>
      </c>
      <c r="BC268" s="40">
        <f>IF(AND(51&gt;=$G$48,51&lt;=$H$48),($B$48+IF($I$48="Y",$K$48,0)*$B$61/100)*$E$48*$F$48/100,0)</f>
        <v/>
      </c>
      <c r="BD268" s="40">
        <f>IF(AND(52&gt;=$G$48,52&lt;=$H$48),($B$48+IF($I$48="Y",$K$48,0)*$B$61/100)*$E$48*$F$48/100,0)</f>
        <v/>
      </c>
    </row>
    <row r="269">
      <c r="A269" s="33" t="inlineStr">
        <is>
          <t xml:space="preserve">   Equipment Operator</t>
        </is>
      </c>
      <c r="B269" s="2" t="inlineStr">
        <is>
          <t>hrs</t>
        </is>
      </c>
      <c r="E269" s="40">
        <f>IF(AND(1&gt;=$G$49,1&lt;=$H$49),($B$49+IF($I$49="Y",$K$49,0)*$B$61/100)*$E$49*$F$49/100,0)</f>
        <v/>
      </c>
      <c r="F269" s="40">
        <f>IF(AND(2&gt;=$G$49,2&lt;=$H$49),($B$49+IF($I$49="Y",$K$49,0)*$B$61/100)*$E$49*$F$49/100,0)</f>
        <v/>
      </c>
      <c r="G269" s="40">
        <f>IF(AND(3&gt;=$G$49,3&lt;=$H$49),($B$49+IF($I$49="Y",$K$49,0)*$B$61/100)*$E$49*$F$49/100,0)</f>
        <v/>
      </c>
      <c r="H269" s="40">
        <f>IF(AND(4&gt;=$G$49,4&lt;=$H$49),($B$49+IF($I$49="Y",$K$49,0)*$B$61/100)*$E$49*$F$49/100,0)</f>
        <v/>
      </c>
      <c r="I269" s="40">
        <f>IF(AND(5&gt;=$G$49,5&lt;=$H$49),($B$49+IF($I$49="Y",$K$49,0)*$B$61/100)*$E$49*$F$49/100,0)</f>
        <v/>
      </c>
      <c r="J269" s="40">
        <f>IF(AND(6&gt;=$G$49,6&lt;=$H$49),($B$49+IF($I$49="Y",$K$49,0)*$B$61/100)*$E$49*$F$49/100,0)</f>
        <v/>
      </c>
      <c r="K269" s="40">
        <f>IF(AND(7&gt;=$G$49,7&lt;=$H$49),($B$49+IF($I$49="Y",$K$49,0)*$B$61/100)*$E$49*$F$49/100,0)</f>
        <v/>
      </c>
      <c r="L269" s="40">
        <f>IF(AND(8&gt;=$G$49,8&lt;=$H$49),($B$49+IF($I$49="Y",$K$49,0)*$B$61/100)*$E$49*$F$49/100,0)</f>
        <v/>
      </c>
      <c r="M269" s="40">
        <f>IF(AND(9&gt;=$G$49,9&lt;=$H$49),($B$49+IF($I$49="Y",$K$49,0)*$B$61/100)*$E$49*$F$49/100,0)</f>
        <v/>
      </c>
      <c r="N269" s="40">
        <f>IF(AND(10&gt;=$G$49,10&lt;=$H$49),($B$49+IF($I$49="Y",$K$49,0)*$B$61/100)*$E$49*$F$49/100,0)</f>
        <v/>
      </c>
      <c r="O269" s="40">
        <f>IF(AND(11&gt;=$G$49,11&lt;=$H$49),($B$49+IF($I$49="Y",$K$49,0)*$B$61/100)*$E$49*$F$49/100,0)</f>
        <v/>
      </c>
      <c r="P269" s="40">
        <f>IF(AND(12&gt;=$G$49,12&lt;=$H$49),($B$49+IF($I$49="Y",$K$49,0)*$B$61/100)*$E$49*$F$49/100,0)</f>
        <v/>
      </c>
      <c r="Q269" s="40">
        <f>IF(AND(13&gt;=$G$49,13&lt;=$H$49),($B$49+IF($I$49="Y",$K$49,0)*$B$61/100)*$E$49*$F$49/100,0)</f>
        <v/>
      </c>
      <c r="R269" s="40">
        <f>IF(AND(14&gt;=$G$49,14&lt;=$H$49),($B$49+IF($I$49="Y",$K$49,0)*$B$61/100)*$E$49*$F$49/100,0)</f>
        <v/>
      </c>
      <c r="S269" s="40">
        <f>IF(AND(15&gt;=$G$49,15&lt;=$H$49),($B$49+IF($I$49="Y",$K$49,0)*$B$61/100)*$E$49*$F$49/100,0)</f>
        <v/>
      </c>
      <c r="T269" s="40">
        <f>IF(AND(16&gt;=$G$49,16&lt;=$H$49),($B$49+IF($I$49="Y",$K$49,0)*$B$61/100)*$E$49*$F$49/100,0)</f>
        <v/>
      </c>
      <c r="U269" s="40">
        <f>IF(AND(17&gt;=$G$49,17&lt;=$H$49),($B$49+IF($I$49="Y",$K$49,0)*$B$61/100)*$E$49*$F$49/100,0)</f>
        <v/>
      </c>
      <c r="V269" s="40">
        <f>IF(AND(18&gt;=$G$49,18&lt;=$H$49),($B$49+IF($I$49="Y",$K$49,0)*$B$61/100)*$E$49*$F$49/100,0)</f>
        <v/>
      </c>
      <c r="W269" s="40">
        <f>IF(AND(19&gt;=$G$49,19&lt;=$H$49),($B$49+IF($I$49="Y",$K$49,0)*$B$61/100)*$E$49*$F$49/100,0)</f>
        <v/>
      </c>
      <c r="X269" s="40">
        <f>IF(AND(20&gt;=$G$49,20&lt;=$H$49),($B$49+IF($I$49="Y",$K$49,0)*$B$61/100)*$E$49*$F$49/100,0)</f>
        <v/>
      </c>
      <c r="Y269" s="40">
        <f>IF(AND(21&gt;=$G$49,21&lt;=$H$49),($B$49+IF($I$49="Y",$K$49,0)*$B$61/100)*$E$49*$F$49/100,0)</f>
        <v/>
      </c>
      <c r="Z269" s="40">
        <f>IF(AND(22&gt;=$G$49,22&lt;=$H$49),($B$49+IF($I$49="Y",$K$49,0)*$B$61/100)*$E$49*$F$49/100,0)</f>
        <v/>
      </c>
      <c r="AA269" s="40">
        <f>IF(AND(23&gt;=$G$49,23&lt;=$H$49),($B$49+IF($I$49="Y",$K$49,0)*$B$61/100)*$E$49*$F$49/100,0)</f>
        <v/>
      </c>
      <c r="AB269" s="40">
        <f>IF(AND(24&gt;=$G$49,24&lt;=$H$49),($B$49+IF($I$49="Y",$K$49,0)*$B$61/100)*$E$49*$F$49/100,0)</f>
        <v/>
      </c>
      <c r="AC269" s="40">
        <f>IF(AND(25&gt;=$G$49,25&lt;=$H$49),($B$49+IF($I$49="Y",$K$49,0)*$B$61/100)*$E$49*$F$49/100,0)</f>
        <v/>
      </c>
      <c r="AD269" s="40">
        <f>IF(AND(26&gt;=$G$49,26&lt;=$H$49),($B$49+IF($I$49="Y",$K$49,0)*$B$61/100)*$E$49*$F$49/100,0)</f>
        <v/>
      </c>
      <c r="AE269" s="40">
        <f>IF(AND(27&gt;=$G$49,27&lt;=$H$49),($B$49+IF($I$49="Y",$K$49,0)*$B$61/100)*$E$49*$F$49/100,0)</f>
        <v/>
      </c>
      <c r="AF269" s="40">
        <f>IF(AND(28&gt;=$G$49,28&lt;=$H$49),($B$49+IF($I$49="Y",$K$49,0)*$B$61/100)*$E$49*$F$49/100,0)</f>
        <v/>
      </c>
      <c r="AG269" s="40">
        <f>IF(AND(29&gt;=$G$49,29&lt;=$H$49),($B$49+IF($I$49="Y",$K$49,0)*$B$61/100)*$E$49*$F$49/100,0)</f>
        <v/>
      </c>
      <c r="AH269" s="40">
        <f>IF(AND(30&gt;=$G$49,30&lt;=$H$49),($B$49+IF($I$49="Y",$K$49,0)*$B$61/100)*$E$49*$F$49/100,0)</f>
        <v/>
      </c>
      <c r="AI269" s="40">
        <f>IF(AND(31&gt;=$G$49,31&lt;=$H$49),($B$49+IF($I$49="Y",$K$49,0)*$B$61/100)*$E$49*$F$49/100,0)</f>
        <v/>
      </c>
      <c r="AJ269" s="40">
        <f>IF(AND(32&gt;=$G$49,32&lt;=$H$49),($B$49+IF($I$49="Y",$K$49,0)*$B$61/100)*$E$49*$F$49/100,0)</f>
        <v/>
      </c>
      <c r="AK269" s="40">
        <f>IF(AND(33&gt;=$G$49,33&lt;=$H$49),($B$49+IF($I$49="Y",$K$49,0)*$B$61/100)*$E$49*$F$49/100,0)</f>
        <v/>
      </c>
      <c r="AL269" s="40">
        <f>IF(AND(34&gt;=$G$49,34&lt;=$H$49),($B$49+IF($I$49="Y",$K$49,0)*$B$61/100)*$E$49*$F$49/100,0)</f>
        <v/>
      </c>
      <c r="AM269" s="40">
        <f>IF(AND(35&gt;=$G$49,35&lt;=$H$49),($B$49+IF($I$49="Y",$K$49,0)*$B$61/100)*$E$49*$F$49/100,0)</f>
        <v/>
      </c>
      <c r="AN269" s="40">
        <f>IF(AND(36&gt;=$G$49,36&lt;=$H$49),($B$49+IF($I$49="Y",$K$49,0)*$B$61/100)*$E$49*$F$49/100,0)</f>
        <v/>
      </c>
      <c r="AO269" s="40">
        <f>IF(AND(37&gt;=$G$49,37&lt;=$H$49),($B$49+IF($I$49="Y",$K$49,0)*$B$61/100)*$E$49*$F$49/100,0)</f>
        <v/>
      </c>
      <c r="AP269" s="40">
        <f>IF(AND(38&gt;=$G$49,38&lt;=$H$49),($B$49+IF($I$49="Y",$K$49,0)*$B$61/100)*$E$49*$F$49/100,0)</f>
        <v/>
      </c>
      <c r="AQ269" s="40">
        <f>IF(AND(39&gt;=$G$49,39&lt;=$H$49),($B$49+IF($I$49="Y",$K$49,0)*$B$61/100)*$E$49*$F$49/100,0)</f>
        <v/>
      </c>
      <c r="AR269" s="40">
        <f>IF(AND(40&gt;=$G$49,40&lt;=$H$49),($B$49+IF($I$49="Y",$K$49,0)*$B$61/100)*$E$49*$F$49/100,0)</f>
        <v/>
      </c>
      <c r="AS269" s="40">
        <f>IF(AND(41&gt;=$G$49,41&lt;=$H$49),($B$49+IF($I$49="Y",$K$49,0)*$B$61/100)*$E$49*$F$49/100,0)</f>
        <v/>
      </c>
      <c r="AT269" s="40">
        <f>IF(AND(42&gt;=$G$49,42&lt;=$H$49),($B$49+IF($I$49="Y",$K$49,0)*$B$61/100)*$E$49*$F$49/100,0)</f>
        <v/>
      </c>
      <c r="AU269" s="40">
        <f>IF(AND(43&gt;=$G$49,43&lt;=$H$49),($B$49+IF($I$49="Y",$K$49,0)*$B$61/100)*$E$49*$F$49/100,0)</f>
        <v/>
      </c>
      <c r="AV269" s="40">
        <f>IF(AND(44&gt;=$G$49,44&lt;=$H$49),($B$49+IF($I$49="Y",$K$49,0)*$B$61/100)*$E$49*$F$49/100,0)</f>
        <v/>
      </c>
      <c r="AW269" s="40">
        <f>IF(AND(45&gt;=$G$49,45&lt;=$H$49),($B$49+IF($I$49="Y",$K$49,0)*$B$61/100)*$E$49*$F$49/100,0)</f>
        <v/>
      </c>
      <c r="AX269" s="40">
        <f>IF(AND(46&gt;=$G$49,46&lt;=$H$49),($B$49+IF($I$49="Y",$K$49,0)*$B$61/100)*$E$49*$F$49/100,0)</f>
        <v/>
      </c>
      <c r="AY269" s="40">
        <f>IF(AND(47&gt;=$G$49,47&lt;=$H$49),($B$49+IF($I$49="Y",$K$49,0)*$B$61/100)*$E$49*$F$49/100,0)</f>
        <v/>
      </c>
      <c r="AZ269" s="40">
        <f>IF(AND(48&gt;=$G$49,48&lt;=$H$49),($B$49+IF($I$49="Y",$K$49,0)*$B$61/100)*$E$49*$F$49/100,0)</f>
        <v/>
      </c>
      <c r="BA269" s="40">
        <f>IF(AND(49&gt;=$G$49,49&lt;=$H$49),($B$49+IF($I$49="Y",$K$49,0)*$B$61/100)*$E$49*$F$49/100,0)</f>
        <v/>
      </c>
      <c r="BB269" s="40">
        <f>IF(AND(50&gt;=$G$49,50&lt;=$H$49),($B$49+IF($I$49="Y",$K$49,0)*$B$61/100)*$E$49*$F$49/100,0)</f>
        <v/>
      </c>
      <c r="BC269" s="40">
        <f>IF(AND(51&gt;=$G$49,51&lt;=$H$49),($B$49+IF($I$49="Y",$K$49,0)*$B$61/100)*$E$49*$F$49/100,0)</f>
        <v/>
      </c>
      <c r="BD269" s="40">
        <f>IF(AND(52&gt;=$G$49,52&lt;=$H$49),($B$49+IF($I$49="Y",$K$49,0)*$B$61/100)*$E$49*$F$49/100,0)</f>
        <v/>
      </c>
    </row>
    <row r="270">
      <c r="A270" s="33" t="inlineStr">
        <is>
          <t xml:space="preserve">   Seasonal Field Crew</t>
        </is>
      </c>
      <c r="B270" s="2" t="inlineStr">
        <is>
          <t>hrs</t>
        </is>
      </c>
      <c r="E270" s="40">
        <f>IF(AND(1&gt;=$G$50,1&lt;=$H$50),($B$50+IF($I$50="Y",$K$50,0)*$B$61/100)*$E$50*$F$50/100,0)</f>
        <v/>
      </c>
      <c r="F270" s="40">
        <f>IF(AND(2&gt;=$G$50,2&lt;=$H$50),($B$50+IF($I$50="Y",$K$50,0)*$B$61/100)*$E$50*$F$50/100,0)</f>
        <v/>
      </c>
      <c r="G270" s="40">
        <f>IF(AND(3&gt;=$G$50,3&lt;=$H$50),($B$50+IF($I$50="Y",$K$50,0)*$B$61/100)*$E$50*$F$50/100,0)</f>
        <v/>
      </c>
      <c r="H270" s="40">
        <f>IF(AND(4&gt;=$G$50,4&lt;=$H$50),($B$50+IF($I$50="Y",$K$50,0)*$B$61/100)*$E$50*$F$50/100,0)</f>
        <v/>
      </c>
      <c r="I270" s="40">
        <f>IF(AND(5&gt;=$G$50,5&lt;=$H$50),($B$50+IF($I$50="Y",$K$50,0)*$B$61/100)*$E$50*$F$50/100,0)</f>
        <v/>
      </c>
      <c r="J270" s="40">
        <f>IF(AND(6&gt;=$G$50,6&lt;=$H$50),($B$50+IF($I$50="Y",$K$50,0)*$B$61/100)*$E$50*$F$50/100,0)</f>
        <v/>
      </c>
      <c r="K270" s="40">
        <f>IF(AND(7&gt;=$G$50,7&lt;=$H$50),($B$50+IF($I$50="Y",$K$50,0)*$B$61/100)*$E$50*$F$50/100,0)</f>
        <v/>
      </c>
      <c r="L270" s="40">
        <f>IF(AND(8&gt;=$G$50,8&lt;=$H$50),($B$50+IF($I$50="Y",$K$50,0)*$B$61/100)*$E$50*$F$50/100,0)</f>
        <v/>
      </c>
      <c r="M270" s="40">
        <f>IF(AND(9&gt;=$G$50,9&lt;=$H$50),($B$50+IF($I$50="Y",$K$50,0)*$B$61/100)*$E$50*$F$50/100,0)</f>
        <v/>
      </c>
      <c r="N270" s="40">
        <f>IF(AND(10&gt;=$G$50,10&lt;=$H$50),($B$50+IF($I$50="Y",$K$50,0)*$B$61/100)*$E$50*$F$50/100,0)</f>
        <v/>
      </c>
      <c r="O270" s="40">
        <f>IF(AND(11&gt;=$G$50,11&lt;=$H$50),($B$50+IF($I$50="Y",$K$50,0)*$B$61/100)*$E$50*$F$50/100,0)</f>
        <v/>
      </c>
      <c r="P270" s="40">
        <f>IF(AND(12&gt;=$G$50,12&lt;=$H$50),($B$50+IF($I$50="Y",$K$50,0)*$B$61/100)*$E$50*$F$50/100,0)</f>
        <v/>
      </c>
      <c r="Q270" s="40">
        <f>IF(AND(13&gt;=$G$50,13&lt;=$H$50),($B$50+IF($I$50="Y",$K$50,0)*$B$61/100)*$E$50*$F$50/100,0)</f>
        <v/>
      </c>
      <c r="R270" s="40">
        <f>IF(AND(14&gt;=$G$50,14&lt;=$H$50),($B$50+IF($I$50="Y",$K$50,0)*$B$61/100)*$E$50*$F$50/100,0)</f>
        <v/>
      </c>
      <c r="S270" s="40">
        <f>IF(AND(15&gt;=$G$50,15&lt;=$H$50),($B$50+IF($I$50="Y",$K$50,0)*$B$61/100)*$E$50*$F$50/100,0)</f>
        <v/>
      </c>
      <c r="T270" s="40">
        <f>IF(AND(16&gt;=$G$50,16&lt;=$H$50),($B$50+IF($I$50="Y",$K$50,0)*$B$61/100)*$E$50*$F$50/100,0)</f>
        <v/>
      </c>
      <c r="U270" s="40">
        <f>IF(AND(17&gt;=$G$50,17&lt;=$H$50),($B$50+IF($I$50="Y",$K$50,0)*$B$61/100)*$E$50*$F$50/100,0)</f>
        <v/>
      </c>
      <c r="V270" s="40">
        <f>IF(AND(18&gt;=$G$50,18&lt;=$H$50),($B$50+IF($I$50="Y",$K$50,0)*$B$61/100)*$E$50*$F$50/100,0)</f>
        <v/>
      </c>
      <c r="W270" s="40">
        <f>IF(AND(19&gt;=$G$50,19&lt;=$H$50),($B$50+IF($I$50="Y",$K$50,0)*$B$61/100)*$E$50*$F$50/100,0)</f>
        <v/>
      </c>
      <c r="X270" s="40">
        <f>IF(AND(20&gt;=$G$50,20&lt;=$H$50),($B$50+IF($I$50="Y",$K$50,0)*$B$61/100)*$E$50*$F$50/100,0)</f>
        <v/>
      </c>
      <c r="Y270" s="40">
        <f>IF(AND(21&gt;=$G$50,21&lt;=$H$50),($B$50+IF($I$50="Y",$K$50,0)*$B$61/100)*$E$50*$F$50/100,0)</f>
        <v/>
      </c>
      <c r="Z270" s="40">
        <f>IF(AND(22&gt;=$G$50,22&lt;=$H$50),($B$50+IF($I$50="Y",$K$50,0)*$B$61/100)*$E$50*$F$50/100,0)</f>
        <v/>
      </c>
      <c r="AA270" s="40">
        <f>IF(AND(23&gt;=$G$50,23&lt;=$H$50),($B$50+IF($I$50="Y",$K$50,0)*$B$61/100)*$E$50*$F$50/100,0)</f>
        <v/>
      </c>
      <c r="AB270" s="40">
        <f>IF(AND(24&gt;=$G$50,24&lt;=$H$50),($B$50+IF($I$50="Y",$K$50,0)*$B$61/100)*$E$50*$F$50/100,0)</f>
        <v/>
      </c>
      <c r="AC270" s="40">
        <f>IF(AND(25&gt;=$G$50,25&lt;=$H$50),($B$50+IF($I$50="Y",$K$50,0)*$B$61/100)*$E$50*$F$50/100,0)</f>
        <v/>
      </c>
      <c r="AD270" s="40">
        <f>IF(AND(26&gt;=$G$50,26&lt;=$H$50),($B$50+IF($I$50="Y",$K$50,0)*$B$61/100)*$E$50*$F$50/100,0)</f>
        <v/>
      </c>
      <c r="AE270" s="40">
        <f>IF(AND(27&gt;=$G$50,27&lt;=$H$50),($B$50+IF($I$50="Y",$K$50,0)*$B$61/100)*$E$50*$F$50/100,0)</f>
        <v/>
      </c>
      <c r="AF270" s="40">
        <f>IF(AND(28&gt;=$G$50,28&lt;=$H$50),($B$50+IF($I$50="Y",$K$50,0)*$B$61/100)*$E$50*$F$50/100,0)</f>
        <v/>
      </c>
      <c r="AG270" s="40">
        <f>IF(AND(29&gt;=$G$50,29&lt;=$H$50),($B$50+IF($I$50="Y",$K$50,0)*$B$61/100)*$E$50*$F$50/100,0)</f>
        <v/>
      </c>
      <c r="AH270" s="40">
        <f>IF(AND(30&gt;=$G$50,30&lt;=$H$50),($B$50+IF($I$50="Y",$K$50,0)*$B$61/100)*$E$50*$F$50/100,0)</f>
        <v/>
      </c>
      <c r="AI270" s="40">
        <f>IF(AND(31&gt;=$G$50,31&lt;=$H$50),($B$50+IF($I$50="Y",$K$50,0)*$B$61/100)*$E$50*$F$50/100,0)</f>
        <v/>
      </c>
      <c r="AJ270" s="40">
        <f>IF(AND(32&gt;=$G$50,32&lt;=$H$50),($B$50+IF($I$50="Y",$K$50,0)*$B$61/100)*$E$50*$F$50/100,0)</f>
        <v/>
      </c>
      <c r="AK270" s="40">
        <f>IF(AND(33&gt;=$G$50,33&lt;=$H$50),($B$50+IF($I$50="Y",$K$50,0)*$B$61/100)*$E$50*$F$50/100,0)</f>
        <v/>
      </c>
      <c r="AL270" s="40">
        <f>IF(AND(34&gt;=$G$50,34&lt;=$H$50),($B$50+IF($I$50="Y",$K$50,0)*$B$61/100)*$E$50*$F$50/100,0)</f>
        <v/>
      </c>
      <c r="AM270" s="40">
        <f>IF(AND(35&gt;=$G$50,35&lt;=$H$50),($B$50+IF($I$50="Y",$K$50,0)*$B$61/100)*$E$50*$F$50/100,0)</f>
        <v/>
      </c>
      <c r="AN270" s="40">
        <f>IF(AND(36&gt;=$G$50,36&lt;=$H$50),($B$50+IF($I$50="Y",$K$50,0)*$B$61/100)*$E$50*$F$50/100,0)</f>
        <v/>
      </c>
      <c r="AO270" s="40">
        <f>IF(AND(37&gt;=$G$50,37&lt;=$H$50),($B$50+IF($I$50="Y",$K$50,0)*$B$61/100)*$E$50*$F$50/100,0)</f>
        <v/>
      </c>
      <c r="AP270" s="40">
        <f>IF(AND(38&gt;=$G$50,38&lt;=$H$50),($B$50+IF($I$50="Y",$K$50,0)*$B$61/100)*$E$50*$F$50/100,0)</f>
        <v/>
      </c>
      <c r="AQ270" s="40">
        <f>IF(AND(39&gt;=$G$50,39&lt;=$H$50),($B$50+IF($I$50="Y",$K$50,0)*$B$61/100)*$E$50*$F$50/100,0)</f>
        <v/>
      </c>
      <c r="AR270" s="40">
        <f>IF(AND(40&gt;=$G$50,40&lt;=$H$50),($B$50+IF($I$50="Y",$K$50,0)*$B$61/100)*$E$50*$F$50/100,0)</f>
        <v/>
      </c>
      <c r="AS270" s="40">
        <f>IF(AND(41&gt;=$G$50,41&lt;=$H$50),($B$50+IF($I$50="Y",$K$50,0)*$B$61/100)*$E$50*$F$50/100,0)</f>
        <v/>
      </c>
      <c r="AT270" s="40">
        <f>IF(AND(42&gt;=$G$50,42&lt;=$H$50),($B$50+IF($I$50="Y",$K$50,0)*$B$61/100)*$E$50*$F$50/100,0)</f>
        <v/>
      </c>
      <c r="AU270" s="40">
        <f>IF(AND(43&gt;=$G$50,43&lt;=$H$50),($B$50+IF($I$50="Y",$K$50,0)*$B$61/100)*$E$50*$F$50/100,0)</f>
        <v/>
      </c>
      <c r="AV270" s="40">
        <f>IF(AND(44&gt;=$G$50,44&lt;=$H$50),($B$50+IF($I$50="Y",$K$50,0)*$B$61/100)*$E$50*$F$50/100,0)</f>
        <v/>
      </c>
      <c r="AW270" s="40">
        <f>IF(AND(45&gt;=$G$50,45&lt;=$H$50),($B$50+IF($I$50="Y",$K$50,0)*$B$61/100)*$E$50*$F$50/100,0)</f>
        <v/>
      </c>
      <c r="AX270" s="40">
        <f>IF(AND(46&gt;=$G$50,46&lt;=$H$50),($B$50+IF($I$50="Y",$K$50,0)*$B$61/100)*$E$50*$F$50/100,0)</f>
        <v/>
      </c>
      <c r="AY270" s="40">
        <f>IF(AND(47&gt;=$G$50,47&lt;=$H$50),($B$50+IF($I$50="Y",$K$50,0)*$B$61/100)*$E$50*$F$50/100,0)</f>
        <v/>
      </c>
      <c r="AZ270" s="40">
        <f>IF(AND(48&gt;=$G$50,48&lt;=$H$50),($B$50+IF($I$50="Y",$K$50,0)*$B$61/100)*$E$50*$F$50/100,0)</f>
        <v/>
      </c>
      <c r="BA270" s="40">
        <f>IF(AND(49&gt;=$G$50,49&lt;=$H$50),($B$50+IF($I$50="Y",$K$50,0)*$B$61/100)*$E$50*$F$50/100,0)</f>
        <v/>
      </c>
      <c r="BB270" s="40">
        <f>IF(AND(50&gt;=$G$50,50&lt;=$H$50),($B$50+IF($I$50="Y",$K$50,0)*$B$61/100)*$E$50*$F$50/100,0)</f>
        <v/>
      </c>
      <c r="BC270" s="40">
        <f>IF(AND(51&gt;=$G$50,51&lt;=$H$50),($B$50+IF($I$50="Y",$K$50,0)*$B$61/100)*$E$50*$F$50/100,0)</f>
        <v/>
      </c>
      <c r="BD270" s="40">
        <f>IF(AND(52&gt;=$G$50,52&lt;=$H$50),($B$50+IF($I$50="Y",$K$50,0)*$B$61/100)*$E$50*$F$50/100,0)</f>
        <v/>
      </c>
    </row>
    <row r="271">
      <c r="A271" s="33" t="inlineStr">
        <is>
          <t xml:space="preserve">   Harvest Crew</t>
        </is>
      </c>
      <c r="B271" s="2" t="inlineStr">
        <is>
          <t>hrs</t>
        </is>
      </c>
      <c r="E271" s="40">
        <f>IF(AND(1&gt;=$G$51,1&lt;=$H$51),($B$51+IF($I$51="Y",$K$51,0)*$B$61/100)*$E$51*$F$51/100,0)</f>
        <v/>
      </c>
      <c r="F271" s="40">
        <f>IF(AND(2&gt;=$G$51,2&lt;=$H$51),($B$51+IF($I$51="Y",$K$51,0)*$B$61/100)*$E$51*$F$51/100,0)</f>
        <v/>
      </c>
      <c r="G271" s="40">
        <f>IF(AND(3&gt;=$G$51,3&lt;=$H$51),($B$51+IF($I$51="Y",$K$51,0)*$B$61/100)*$E$51*$F$51/100,0)</f>
        <v/>
      </c>
      <c r="H271" s="40">
        <f>IF(AND(4&gt;=$G$51,4&lt;=$H$51),($B$51+IF($I$51="Y",$K$51,0)*$B$61/100)*$E$51*$F$51/100,0)</f>
        <v/>
      </c>
      <c r="I271" s="40">
        <f>IF(AND(5&gt;=$G$51,5&lt;=$H$51),($B$51+IF($I$51="Y",$K$51,0)*$B$61/100)*$E$51*$F$51/100,0)</f>
        <v/>
      </c>
      <c r="J271" s="40">
        <f>IF(AND(6&gt;=$G$51,6&lt;=$H$51),($B$51+IF($I$51="Y",$K$51,0)*$B$61/100)*$E$51*$F$51/100,0)</f>
        <v/>
      </c>
      <c r="K271" s="40">
        <f>IF(AND(7&gt;=$G$51,7&lt;=$H$51),($B$51+IF($I$51="Y",$K$51,0)*$B$61/100)*$E$51*$F$51/100,0)</f>
        <v/>
      </c>
      <c r="L271" s="40">
        <f>IF(AND(8&gt;=$G$51,8&lt;=$H$51),($B$51+IF($I$51="Y",$K$51,0)*$B$61/100)*$E$51*$F$51/100,0)</f>
        <v/>
      </c>
      <c r="M271" s="40">
        <f>IF(AND(9&gt;=$G$51,9&lt;=$H$51),($B$51+IF($I$51="Y",$K$51,0)*$B$61/100)*$E$51*$F$51/100,0)</f>
        <v/>
      </c>
      <c r="N271" s="40">
        <f>IF(AND(10&gt;=$G$51,10&lt;=$H$51),($B$51+IF($I$51="Y",$K$51,0)*$B$61/100)*$E$51*$F$51/100,0)</f>
        <v/>
      </c>
      <c r="O271" s="40">
        <f>IF(AND(11&gt;=$G$51,11&lt;=$H$51),($B$51+IF($I$51="Y",$K$51,0)*$B$61/100)*$E$51*$F$51/100,0)</f>
        <v/>
      </c>
      <c r="P271" s="40">
        <f>IF(AND(12&gt;=$G$51,12&lt;=$H$51),($B$51+IF($I$51="Y",$K$51,0)*$B$61/100)*$E$51*$F$51/100,0)</f>
        <v/>
      </c>
      <c r="Q271" s="40">
        <f>IF(AND(13&gt;=$G$51,13&lt;=$H$51),($B$51+IF($I$51="Y",$K$51,0)*$B$61/100)*$E$51*$F$51/100,0)</f>
        <v/>
      </c>
      <c r="R271" s="40">
        <f>IF(AND(14&gt;=$G$51,14&lt;=$H$51),($B$51+IF($I$51="Y",$K$51,0)*$B$61/100)*$E$51*$F$51/100,0)</f>
        <v/>
      </c>
      <c r="S271" s="40">
        <f>IF(AND(15&gt;=$G$51,15&lt;=$H$51),($B$51+IF($I$51="Y",$K$51,0)*$B$61/100)*$E$51*$F$51/100,0)</f>
        <v/>
      </c>
      <c r="T271" s="40">
        <f>IF(AND(16&gt;=$G$51,16&lt;=$H$51),($B$51+IF($I$51="Y",$K$51,0)*$B$61/100)*$E$51*$F$51/100,0)</f>
        <v/>
      </c>
      <c r="U271" s="40">
        <f>IF(AND(17&gt;=$G$51,17&lt;=$H$51),($B$51+IF($I$51="Y",$K$51,0)*$B$61/100)*$E$51*$F$51/100,0)</f>
        <v/>
      </c>
      <c r="V271" s="40">
        <f>IF(AND(18&gt;=$G$51,18&lt;=$H$51),($B$51+IF($I$51="Y",$K$51,0)*$B$61/100)*$E$51*$F$51/100,0)</f>
        <v/>
      </c>
      <c r="W271" s="40">
        <f>IF(AND(19&gt;=$G$51,19&lt;=$H$51),($B$51+IF($I$51="Y",$K$51,0)*$B$61/100)*$E$51*$F$51/100,0)</f>
        <v/>
      </c>
      <c r="X271" s="40">
        <f>IF(AND(20&gt;=$G$51,20&lt;=$H$51),($B$51+IF($I$51="Y",$K$51,0)*$B$61/100)*$E$51*$F$51/100,0)</f>
        <v/>
      </c>
      <c r="Y271" s="40">
        <f>IF(AND(21&gt;=$G$51,21&lt;=$H$51),($B$51+IF($I$51="Y",$K$51,0)*$B$61/100)*$E$51*$F$51/100,0)</f>
        <v/>
      </c>
      <c r="Z271" s="40">
        <f>IF(AND(22&gt;=$G$51,22&lt;=$H$51),($B$51+IF($I$51="Y",$K$51,0)*$B$61/100)*$E$51*$F$51/100,0)</f>
        <v/>
      </c>
      <c r="AA271" s="40">
        <f>IF(AND(23&gt;=$G$51,23&lt;=$H$51),($B$51+IF($I$51="Y",$K$51,0)*$B$61/100)*$E$51*$F$51/100,0)</f>
        <v/>
      </c>
      <c r="AB271" s="40">
        <f>IF(AND(24&gt;=$G$51,24&lt;=$H$51),($B$51+IF($I$51="Y",$K$51,0)*$B$61/100)*$E$51*$F$51/100,0)</f>
        <v/>
      </c>
      <c r="AC271" s="40">
        <f>IF(AND(25&gt;=$G$51,25&lt;=$H$51),($B$51+IF($I$51="Y",$K$51,0)*$B$61/100)*$E$51*$F$51/100,0)</f>
        <v/>
      </c>
      <c r="AD271" s="40">
        <f>IF(AND(26&gt;=$G$51,26&lt;=$H$51),($B$51+IF($I$51="Y",$K$51,0)*$B$61/100)*$E$51*$F$51/100,0)</f>
        <v/>
      </c>
      <c r="AE271" s="40">
        <f>IF(AND(27&gt;=$G$51,27&lt;=$H$51),($B$51+IF($I$51="Y",$K$51,0)*$B$61/100)*$E$51*$F$51/100,0)</f>
        <v/>
      </c>
      <c r="AF271" s="40">
        <f>IF(AND(28&gt;=$G$51,28&lt;=$H$51),($B$51+IF($I$51="Y",$K$51,0)*$B$61/100)*$E$51*$F$51/100,0)</f>
        <v/>
      </c>
      <c r="AG271" s="40">
        <f>IF(AND(29&gt;=$G$51,29&lt;=$H$51),($B$51+IF($I$51="Y",$K$51,0)*$B$61/100)*$E$51*$F$51/100,0)</f>
        <v/>
      </c>
      <c r="AH271" s="40">
        <f>IF(AND(30&gt;=$G$51,30&lt;=$H$51),($B$51+IF($I$51="Y",$K$51,0)*$B$61/100)*$E$51*$F$51/100,0)</f>
        <v/>
      </c>
      <c r="AI271" s="40">
        <f>IF(AND(31&gt;=$G$51,31&lt;=$H$51),($B$51+IF($I$51="Y",$K$51,0)*$B$61/100)*$E$51*$F$51/100,0)</f>
        <v/>
      </c>
      <c r="AJ271" s="40">
        <f>IF(AND(32&gt;=$G$51,32&lt;=$H$51),($B$51+IF($I$51="Y",$K$51,0)*$B$61/100)*$E$51*$F$51/100,0)</f>
        <v/>
      </c>
      <c r="AK271" s="40">
        <f>IF(AND(33&gt;=$G$51,33&lt;=$H$51),($B$51+IF($I$51="Y",$K$51,0)*$B$61/100)*$E$51*$F$51/100,0)</f>
        <v/>
      </c>
      <c r="AL271" s="40">
        <f>IF(AND(34&gt;=$G$51,34&lt;=$H$51),($B$51+IF($I$51="Y",$K$51,0)*$B$61/100)*$E$51*$F$51/100,0)</f>
        <v/>
      </c>
      <c r="AM271" s="40">
        <f>IF(AND(35&gt;=$G$51,35&lt;=$H$51),($B$51+IF($I$51="Y",$K$51,0)*$B$61/100)*$E$51*$F$51/100,0)</f>
        <v/>
      </c>
      <c r="AN271" s="40">
        <f>IF(AND(36&gt;=$G$51,36&lt;=$H$51),($B$51+IF($I$51="Y",$K$51,0)*$B$61/100)*$E$51*$F$51/100,0)</f>
        <v/>
      </c>
      <c r="AO271" s="40">
        <f>IF(AND(37&gt;=$G$51,37&lt;=$H$51),($B$51+IF($I$51="Y",$K$51,0)*$B$61/100)*$E$51*$F$51/100,0)</f>
        <v/>
      </c>
      <c r="AP271" s="40">
        <f>IF(AND(38&gt;=$G$51,38&lt;=$H$51),($B$51+IF($I$51="Y",$K$51,0)*$B$61/100)*$E$51*$F$51/100,0)</f>
        <v/>
      </c>
      <c r="AQ271" s="40">
        <f>IF(AND(39&gt;=$G$51,39&lt;=$H$51),($B$51+IF($I$51="Y",$K$51,0)*$B$61/100)*$E$51*$F$51/100,0)</f>
        <v/>
      </c>
      <c r="AR271" s="40">
        <f>IF(AND(40&gt;=$G$51,40&lt;=$H$51),($B$51+IF($I$51="Y",$K$51,0)*$B$61/100)*$E$51*$F$51/100,0)</f>
        <v/>
      </c>
      <c r="AS271" s="40">
        <f>IF(AND(41&gt;=$G$51,41&lt;=$H$51),($B$51+IF($I$51="Y",$K$51,0)*$B$61/100)*$E$51*$F$51/100,0)</f>
        <v/>
      </c>
      <c r="AT271" s="40">
        <f>IF(AND(42&gt;=$G$51,42&lt;=$H$51),($B$51+IF($I$51="Y",$K$51,0)*$B$61/100)*$E$51*$F$51/100,0)</f>
        <v/>
      </c>
      <c r="AU271" s="40">
        <f>IF(AND(43&gt;=$G$51,43&lt;=$H$51),($B$51+IF($I$51="Y",$K$51,0)*$B$61/100)*$E$51*$F$51/100,0)</f>
        <v/>
      </c>
      <c r="AV271" s="40">
        <f>IF(AND(44&gt;=$G$51,44&lt;=$H$51),($B$51+IF($I$51="Y",$K$51,0)*$B$61/100)*$E$51*$F$51/100,0)</f>
        <v/>
      </c>
      <c r="AW271" s="40">
        <f>IF(AND(45&gt;=$G$51,45&lt;=$H$51),($B$51+IF($I$51="Y",$K$51,0)*$B$61/100)*$E$51*$F$51/100,0)</f>
        <v/>
      </c>
      <c r="AX271" s="40">
        <f>IF(AND(46&gt;=$G$51,46&lt;=$H$51),($B$51+IF($I$51="Y",$K$51,0)*$B$61/100)*$E$51*$F$51/100,0)</f>
        <v/>
      </c>
      <c r="AY271" s="40">
        <f>IF(AND(47&gt;=$G$51,47&lt;=$H$51),($B$51+IF($I$51="Y",$K$51,0)*$B$61/100)*$E$51*$F$51/100,0)</f>
        <v/>
      </c>
      <c r="AZ271" s="40">
        <f>IF(AND(48&gt;=$G$51,48&lt;=$H$51),($B$51+IF($I$51="Y",$K$51,0)*$B$61/100)*$E$51*$F$51/100,0)</f>
        <v/>
      </c>
      <c r="BA271" s="40">
        <f>IF(AND(49&gt;=$G$51,49&lt;=$H$51),($B$51+IF($I$51="Y",$K$51,0)*$B$61/100)*$E$51*$F$51/100,0)</f>
        <v/>
      </c>
      <c r="BB271" s="40">
        <f>IF(AND(50&gt;=$G$51,50&lt;=$H$51),($B$51+IF($I$51="Y",$K$51,0)*$B$61/100)*$E$51*$F$51/100,0)</f>
        <v/>
      </c>
      <c r="BC271" s="40">
        <f>IF(AND(51&gt;=$G$51,51&lt;=$H$51),($B$51+IF($I$51="Y",$K$51,0)*$B$61/100)*$E$51*$F$51/100,0)</f>
        <v/>
      </c>
      <c r="BD271" s="40">
        <f>IF(AND(52&gt;=$G$51,52&lt;=$H$51),($B$51+IF($I$51="Y",$K$51,0)*$B$61/100)*$E$51*$F$51/100,0)</f>
        <v/>
      </c>
    </row>
    <row r="272">
      <c r="A272" s="4" t="inlineStr">
        <is>
          <t>CREW CAPACITY</t>
        </is>
      </c>
      <c r="B272" s="2" t="inlineStr">
        <is>
          <t>hrs</t>
        </is>
      </c>
      <c r="E272" s="40">
        <f>E268+E269+E270+E271</f>
        <v/>
      </c>
      <c r="F272" s="40">
        <f>F268+F269+F270+F271</f>
        <v/>
      </c>
      <c r="G272" s="40">
        <f>G268+G269+G270+G271</f>
        <v/>
      </c>
      <c r="H272" s="40">
        <f>H268+H269+H270+H271</f>
        <v/>
      </c>
      <c r="I272" s="40">
        <f>I268+I269+I270+I271</f>
        <v/>
      </c>
      <c r="J272" s="40">
        <f>J268+J269+J270+J271</f>
        <v/>
      </c>
      <c r="K272" s="40">
        <f>K268+K269+K270+K271</f>
        <v/>
      </c>
      <c r="L272" s="40">
        <f>L268+L269+L270+L271</f>
        <v/>
      </c>
      <c r="M272" s="40">
        <f>M268+M269+M270+M271</f>
        <v/>
      </c>
      <c r="N272" s="40">
        <f>N268+N269+N270+N271</f>
        <v/>
      </c>
      <c r="O272" s="40">
        <f>O268+O269+O270+O271</f>
        <v/>
      </c>
      <c r="P272" s="40">
        <f>P268+P269+P270+P271</f>
        <v/>
      </c>
      <c r="Q272" s="40">
        <f>Q268+Q269+Q270+Q271</f>
        <v/>
      </c>
      <c r="R272" s="40">
        <f>R268+R269+R270+R271</f>
        <v/>
      </c>
      <c r="S272" s="40">
        <f>S268+S269+S270+S271</f>
        <v/>
      </c>
      <c r="T272" s="40">
        <f>T268+T269+T270+T271</f>
        <v/>
      </c>
      <c r="U272" s="40">
        <f>U268+U269+U270+U271</f>
        <v/>
      </c>
      <c r="V272" s="40">
        <f>V268+V269+V270+V271</f>
        <v/>
      </c>
      <c r="W272" s="40">
        <f>W268+W269+W270+W271</f>
        <v/>
      </c>
      <c r="X272" s="40">
        <f>X268+X269+X270+X271</f>
        <v/>
      </c>
      <c r="Y272" s="40">
        <f>Y268+Y269+Y270+Y271</f>
        <v/>
      </c>
      <c r="Z272" s="40">
        <f>Z268+Z269+Z270+Z271</f>
        <v/>
      </c>
      <c r="AA272" s="40">
        <f>AA268+AA269+AA270+AA271</f>
        <v/>
      </c>
      <c r="AB272" s="40">
        <f>AB268+AB269+AB270+AB271</f>
        <v/>
      </c>
      <c r="AC272" s="40">
        <f>AC268+AC269+AC270+AC271</f>
        <v/>
      </c>
      <c r="AD272" s="40">
        <f>AD268+AD269+AD270+AD271</f>
        <v/>
      </c>
      <c r="AE272" s="40">
        <f>AE268+AE269+AE270+AE271</f>
        <v/>
      </c>
      <c r="AF272" s="40">
        <f>AF268+AF269+AF270+AF271</f>
        <v/>
      </c>
      <c r="AG272" s="40">
        <f>AG268+AG269+AG270+AG271</f>
        <v/>
      </c>
      <c r="AH272" s="40">
        <f>AH268+AH269+AH270+AH271</f>
        <v/>
      </c>
      <c r="AI272" s="40">
        <f>AI268+AI269+AI270+AI271</f>
        <v/>
      </c>
      <c r="AJ272" s="40">
        <f>AJ268+AJ269+AJ270+AJ271</f>
        <v/>
      </c>
      <c r="AK272" s="40">
        <f>AK268+AK269+AK270+AK271</f>
        <v/>
      </c>
      <c r="AL272" s="40">
        <f>AL268+AL269+AL270+AL271</f>
        <v/>
      </c>
      <c r="AM272" s="40">
        <f>AM268+AM269+AM270+AM271</f>
        <v/>
      </c>
      <c r="AN272" s="40">
        <f>AN268+AN269+AN270+AN271</f>
        <v/>
      </c>
      <c r="AO272" s="40">
        <f>AO268+AO269+AO270+AO271</f>
        <v/>
      </c>
      <c r="AP272" s="40">
        <f>AP268+AP269+AP270+AP271</f>
        <v/>
      </c>
      <c r="AQ272" s="40">
        <f>AQ268+AQ269+AQ270+AQ271</f>
        <v/>
      </c>
      <c r="AR272" s="40">
        <f>AR268+AR269+AR270+AR271</f>
        <v/>
      </c>
      <c r="AS272" s="40">
        <f>AS268+AS269+AS270+AS271</f>
        <v/>
      </c>
      <c r="AT272" s="40">
        <f>AT268+AT269+AT270+AT271</f>
        <v/>
      </c>
      <c r="AU272" s="40">
        <f>AU268+AU269+AU270+AU271</f>
        <v/>
      </c>
      <c r="AV272" s="40">
        <f>AV268+AV269+AV270+AV271</f>
        <v/>
      </c>
      <c r="AW272" s="40">
        <f>AW268+AW269+AW270+AW271</f>
        <v/>
      </c>
      <c r="AX272" s="40">
        <f>AX268+AX269+AX270+AX271</f>
        <v/>
      </c>
      <c r="AY272" s="40">
        <f>AY268+AY269+AY270+AY271</f>
        <v/>
      </c>
      <c r="AZ272" s="40">
        <f>AZ268+AZ269+AZ270+AZ271</f>
        <v/>
      </c>
      <c r="BA272" s="40">
        <f>BA268+BA269+BA270+BA271</f>
        <v/>
      </c>
      <c r="BB272" s="40">
        <f>BB268+BB269+BB270+BB271</f>
        <v/>
      </c>
      <c r="BC272" s="40">
        <f>BC268+BC269+BC270+BC271</f>
        <v/>
      </c>
      <c r="BD272" s="40">
        <f>BD268+BD269+BD270+BD271</f>
        <v/>
      </c>
    </row>
    <row r="273">
      <c r="A273" s="2" t="inlineStr">
        <is>
          <t xml:space="preserve">   The sum of the rows above — no mask, no SUMPRODUCT. You can add them by eye.</t>
        </is>
      </c>
    </row>
    <row r="275">
      <c r="A275" s="3" t="inlineStr">
        <is>
          <t>B — WHAT YOU CAN ADD</t>
        </is>
      </c>
    </row>
    <row r="276">
      <c r="A276" s="36" t="inlineStr">
        <is>
          <t>Week</t>
        </is>
      </c>
      <c r="B276" s="37" t="inlineStr">
        <is>
          <t>hours</t>
        </is>
      </c>
      <c r="E276" s="38" t="n">
        <v>1</v>
      </c>
      <c r="F276" s="38" t="n">
        <v>2</v>
      </c>
      <c r="G276" s="38" t="n">
        <v>3</v>
      </c>
      <c r="H276" s="38" t="n">
        <v>4</v>
      </c>
      <c r="I276" s="38" t="n">
        <v>5</v>
      </c>
      <c r="J276" s="38" t="n">
        <v>6</v>
      </c>
      <c r="K276" s="38" t="n">
        <v>7</v>
      </c>
      <c r="L276" s="38" t="n">
        <v>8</v>
      </c>
      <c r="M276" s="38" t="n">
        <v>9</v>
      </c>
      <c r="N276" s="38" t="n">
        <v>10</v>
      </c>
      <c r="O276" s="38" t="n">
        <v>11</v>
      </c>
      <c r="P276" s="38" t="n">
        <v>12</v>
      </c>
      <c r="Q276" s="38" t="n">
        <v>13</v>
      </c>
      <c r="R276" s="38" t="n">
        <v>14</v>
      </c>
      <c r="S276" s="38" t="n">
        <v>15</v>
      </c>
      <c r="T276" s="38" t="n">
        <v>16</v>
      </c>
      <c r="U276" s="38" t="n">
        <v>17</v>
      </c>
      <c r="V276" s="38" t="n">
        <v>18</v>
      </c>
      <c r="W276" s="38" t="n">
        <v>19</v>
      </c>
      <c r="X276" s="38" t="n">
        <v>20</v>
      </c>
      <c r="Y276" s="38" t="n">
        <v>21</v>
      </c>
      <c r="Z276" s="38" t="n">
        <v>22</v>
      </c>
      <c r="AA276" s="38" t="n">
        <v>23</v>
      </c>
      <c r="AB276" s="38" t="n">
        <v>24</v>
      </c>
      <c r="AC276" s="38" t="n">
        <v>25</v>
      </c>
      <c r="AD276" s="38" t="n">
        <v>26</v>
      </c>
      <c r="AE276" s="38" t="n">
        <v>27</v>
      </c>
      <c r="AF276" s="38" t="n">
        <v>28</v>
      </c>
      <c r="AG276" s="38" t="n">
        <v>29</v>
      </c>
      <c r="AH276" s="38" t="n">
        <v>30</v>
      </c>
      <c r="AI276" s="38" t="n">
        <v>31</v>
      </c>
      <c r="AJ276" s="38" t="n">
        <v>32</v>
      </c>
      <c r="AK276" s="38" t="n">
        <v>33</v>
      </c>
      <c r="AL276" s="38" t="n">
        <v>34</v>
      </c>
      <c r="AM276" s="38" t="n">
        <v>35</v>
      </c>
      <c r="AN276" s="38" t="n">
        <v>36</v>
      </c>
      <c r="AO276" s="38" t="n">
        <v>37</v>
      </c>
      <c r="AP276" s="38" t="n">
        <v>38</v>
      </c>
      <c r="AQ276" s="38" t="n">
        <v>39</v>
      </c>
      <c r="AR276" s="38" t="n">
        <v>40</v>
      </c>
      <c r="AS276" s="38" t="n">
        <v>41</v>
      </c>
      <c r="AT276" s="38" t="n">
        <v>42</v>
      </c>
      <c r="AU276" s="38" t="n">
        <v>43</v>
      </c>
      <c r="AV276" s="38" t="n">
        <v>44</v>
      </c>
      <c r="AW276" s="38" t="n">
        <v>45</v>
      </c>
      <c r="AX276" s="38" t="n">
        <v>46</v>
      </c>
      <c r="AY276" s="38" t="n">
        <v>47</v>
      </c>
      <c r="AZ276" s="38" t="n">
        <v>48</v>
      </c>
      <c r="BA276" s="38" t="n">
        <v>49</v>
      </c>
      <c r="BB276" s="38" t="n">
        <v>50</v>
      </c>
      <c r="BC276" s="38" t="n">
        <v>51</v>
      </c>
      <c r="BD276" s="38" t="n">
        <v>52</v>
      </c>
    </row>
    <row r="277">
      <c r="A277" s="33" t="inlineStr">
        <is>
          <t xml:space="preserve">   Equipment Operator — overtime CAP</t>
        </is>
      </c>
      <c r="B277" s="2" t="inlineStr">
        <is>
          <t>hrs</t>
        </is>
      </c>
      <c r="E277" s="40">
        <f>MAX(0,$B$57-1)*E269</f>
        <v/>
      </c>
      <c r="F277" s="40">
        <f>MAX(0,$B$57-1)*F269</f>
        <v/>
      </c>
      <c r="G277" s="40">
        <f>MAX(0,$B$57-1)*G269</f>
        <v/>
      </c>
      <c r="H277" s="40">
        <f>MAX(0,$B$57-1)*H269</f>
        <v/>
      </c>
      <c r="I277" s="40">
        <f>MAX(0,$B$57-1)*I269</f>
        <v/>
      </c>
      <c r="J277" s="40">
        <f>MAX(0,$B$57-1)*J269</f>
        <v/>
      </c>
      <c r="K277" s="40">
        <f>MAX(0,$B$57-1)*K269</f>
        <v/>
      </c>
      <c r="L277" s="40">
        <f>MAX(0,$B$57-1)*L269</f>
        <v/>
      </c>
      <c r="M277" s="40">
        <f>MAX(0,$B$57-1)*M269</f>
        <v/>
      </c>
      <c r="N277" s="40">
        <f>MAX(0,$B$57-1)*N269</f>
        <v/>
      </c>
      <c r="O277" s="40">
        <f>MAX(0,$B$57-1)*O269</f>
        <v/>
      </c>
      <c r="P277" s="40">
        <f>MAX(0,$B$57-1)*P269</f>
        <v/>
      </c>
      <c r="Q277" s="40">
        <f>MAX(0,$B$57-1)*Q269</f>
        <v/>
      </c>
      <c r="R277" s="40">
        <f>MAX(0,$B$57-1)*R269</f>
        <v/>
      </c>
      <c r="S277" s="40">
        <f>MAX(0,$B$57-1)*S269</f>
        <v/>
      </c>
      <c r="T277" s="40">
        <f>MAX(0,$B$57-1)*T269</f>
        <v/>
      </c>
      <c r="U277" s="40">
        <f>MAX(0,$B$57-1)*U269</f>
        <v/>
      </c>
      <c r="V277" s="40">
        <f>MAX(0,$B$57-1)*V269</f>
        <v/>
      </c>
      <c r="W277" s="40">
        <f>MAX(0,$B$57-1)*W269</f>
        <v/>
      </c>
      <c r="X277" s="40">
        <f>MAX(0,$B$57-1)*X269</f>
        <v/>
      </c>
      <c r="Y277" s="40">
        <f>MAX(0,$B$57-1)*Y269</f>
        <v/>
      </c>
      <c r="Z277" s="40">
        <f>MAX(0,$B$57-1)*Z269</f>
        <v/>
      </c>
      <c r="AA277" s="40">
        <f>MAX(0,$B$57-1)*AA269</f>
        <v/>
      </c>
      <c r="AB277" s="40">
        <f>MAX(0,$B$57-1)*AB269</f>
        <v/>
      </c>
      <c r="AC277" s="40">
        <f>MAX(0,$B$57-1)*AC269</f>
        <v/>
      </c>
      <c r="AD277" s="40">
        <f>MAX(0,$B$57-1)*AD269</f>
        <v/>
      </c>
      <c r="AE277" s="40">
        <f>MAX(0,$B$57-1)*AE269</f>
        <v/>
      </c>
      <c r="AF277" s="40">
        <f>MAX(0,$B$57-1)*AF269</f>
        <v/>
      </c>
      <c r="AG277" s="40">
        <f>MAX(0,$B$57-1)*AG269</f>
        <v/>
      </c>
      <c r="AH277" s="40">
        <f>MAX(0,$B$57-1)*AH269</f>
        <v/>
      </c>
      <c r="AI277" s="40">
        <f>MAX(0,$B$57-1)*AI269</f>
        <v/>
      </c>
      <c r="AJ277" s="40">
        <f>MAX(0,$B$57-1)*AJ269</f>
        <v/>
      </c>
      <c r="AK277" s="40">
        <f>MAX(0,$B$57-1)*AK269</f>
        <v/>
      </c>
      <c r="AL277" s="40">
        <f>MAX(0,$B$57-1)*AL269</f>
        <v/>
      </c>
      <c r="AM277" s="40">
        <f>MAX(0,$B$57-1)*AM269</f>
        <v/>
      </c>
      <c r="AN277" s="40">
        <f>MAX(0,$B$57-1)*AN269</f>
        <v/>
      </c>
      <c r="AO277" s="40">
        <f>MAX(0,$B$57-1)*AO269</f>
        <v/>
      </c>
      <c r="AP277" s="40">
        <f>MAX(0,$B$57-1)*AP269</f>
        <v/>
      </c>
      <c r="AQ277" s="40">
        <f>MAX(0,$B$57-1)*AQ269</f>
        <v/>
      </c>
      <c r="AR277" s="40">
        <f>MAX(0,$B$57-1)*AR269</f>
        <v/>
      </c>
      <c r="AS277" s="40">
        <f>MAX(0,$B$57-1)*AS269</f>
        <v/>
      </c>
      <c r="AT277" s="40">
        <f>MAX(0,$B$57-1)*AT269</f>
        <v/>
      </c>
      <c r="AU277" s="40">
        <f>MAX(0,$B$57-1)*AU269</f>
        <v/>
      </c>
      <c r="AV277" s="40">
        <f>MAX(0,$B$57-1)*AV269</f>
        <v/>
      </c>
      <c r="AW277" s="40">
        <f>MAX(0,$B$57-1)*AW269</f>
        <v/>
      </c>
      <c r="AX277" s="40">
        <f>MAX(0,$B$57-1)*AX269</f>
        <v/>
      </c>
      <c r="AY277" s="40">
        <f>MAX(0,$B$57-1)*AY269</f>
        <v/>
      </c>
      <c r="AZ277" s="40">
        <f>MAX(0,$B$57-1)*AZ269</f>
        <v/>
      </c>
      <c r="BA277" s="40">
        <f>MAX(0,$B$57-1)*BA269</f>
        <v/>
      </c>
      <c r="BB277" s="40">
        <f>MAX(0,$B$57-1)*BB269</f>
        <v/>
      </c>
      <c r="BC277" s="40">
        <f>MAX(0,$B$57-1)*BC269</f>
        <v/>
      </c>
      <c r="BD277" s="40">
        <f>MAX(0,$B$57-1)*BD269</f>
        <v/>
      </c>
    </row>
    <row r="278">
      <c r="A278" s="32" t="inlineStr">
        <is>
          <t xml:space="preserve">   Equipment Operator — OVERTIME hrs</t>
        </is>
      </c>
      <c r="B278" s="2" t="inlineStr">
        <is>
          <t>hrs &lt;-- SOLVER</t>
        </is>
      </c>
      <c r="E278" s="39" t="n">
        <v>0</v>
      </c>
      <c r="F278" s="39" t="n">
        <v>0</v>
      </c>
      <c r="G278" s="39" t="n">
        <v>0</v>
      </c>
      <c r="H278" s="39" t="n">
        <v>0</v>
      </c>
      <c r="I278" s="39" t="n">
        <v>0</v>
      </c>
      <c r="J278" s="39" t="n">
        <v>0</v>
      </c>
      <c r="K278" s="39" t="n">
        <v>0</v>
      </c>
      <c r="L278" s="39" t="n">
        <v>0</v>
      </c>
      <c r="M278" s="39" t="n">
        <v>0</v>
      </c>
      <c r="N278" s="39" t="n">
        <v>0</v>
      </c>
      <c r="O278" s="39" t="n">
        <v>0</v>
      </c>
      <c r="P278" s="39" t="n">
        <v>0</v>
      </c>
      <c r="Q278" s="39" t="n">
        <v>0</v>
      </c>
      <c r="R278" s="39" t="n">
        <v>0</v>
      </c>
      <c r="S278" s="39" t="n">
        <v>0</v>
      </c>
      <c r="T278" s="39" t="n">
        <v>0</v>
      </c>
      <c r="U278" s="39" t="n">
        <v>0</v>
      </c>
      <c r="V278" s="39" t="n">
        <v>0</v>
      </c>
      <c r="W278" s="39" t="n">
        <v>0</v>
      </c>
      <c r="X278" s="39" t="n">
        <v>0</v>
      </c>
      <c r="Y278" s="39" t="n">
        <v>0</v>
      </c>
      <c r="Z278" s="39" t="n">
        <v>0</v>
      </c>
      <c r="AA278" s="39" t="n">
        <v>0</v>
      </c>
      <c r="AB278" s="39" t="n">
        <v>0</v>
      </c>
      <c r="AC278" s="39" t="n">
        <v>0</v>
      </c>
      <c r="AD278" s="39" t="n">
        <v>0</v>
      </c>
      <c r="AE278" s="39" t="n">
        <v>0</v>
      </c>
      <c r="AF278" s="39" t="n">
        <v>0</v>
      </c>
      <c r="AG278" s="39" t="n">
        <v>0</v>
      </c>
      <c r="AH278" s="39" t="n">
        <v>0</v>
      </c>
      <c r="AI278" s="39" t="n">
        <v>0</v>
      </c>
      <c r="AJ278" s="39" t="n">
        <v>0</v>
      </c>
      <c r="AK278" s="39" t="n">
        <v>0</v>
      </c>
      <c r="AL278" s="39" t="n">
        <v>0</v>
      </c>
      <c r="AM278" s="39" t="n">
        <v>0</v>
      </c>
      <c r="AN278" s="39" t="n">
        <v>0</v>
      </c>
      <c r="AO278" s="39" t="n">
        <v>0</v>
      </c>
      <c r="AP278" s="39" t="n">
        <v>0</v>
      </c>
      <c r="AQ278" s="39" t="n">
        <v>0</v>
      </c>
      <c r="AR278" s="39" t="n">
        <v>0</v>
      </c>
      <c r="AS278" s="39" t="n">
        <v>0</v>
      </c>
      <c r="AT278" s="39" t="n">
        <v>0</v>
      </c>
      <c r="AU278" s="39" t="n">
        <v>0</v>
      </c>
      <c r="AV278" s="39" t="n">
        <v>0</v>
      </c>
      <c r="AW278" s="39" t="n">
        <v>0</v>
      </c>
      <c r="AX278" s="39" t="n">
        <v>0</v>
      </c>
      <c r="AY278" s="39" t="n">
        <v>0</v>
      </c>
      <c r="AZ278" s="39" t="n">
        <v>0</v>
      </c>
      <c r="BA278" s="39" t="n">
        <v>0</v>
      </c>
      <c r="BB278" s="39" t="n">
        <v>0</v>
      </c>
      <c r="BC278" s="39" t="n">
        <v>0</v>
      </c>
      <c r="BD278" s="39" t="n">
        <v>0</v>
      </c>
    </row>
    <row r="279">
      <c r="A279" s="33" t="inlineStr">
        <is>
          <t xml:space="preserve">   Seasonal Field Crew — overtime CAP</t>
        </is>
      </c>
      <c r="B279" s="2" t="inlineStr">
        <is>
          <t>hrs</t>
        </is>
      </c>
      <c r="E279" s="40">
        <f>MAX(0,$B$57-1)*E270</f>
        <v/>
      </c>
      <c r="F279" s="40">
        <f>MAX(0,$B$57-1)*F270</f>
        <v/>
      </c>
      <c r="G279" s="40">
        <f>MAX(0,$B$57-1)*G270</f>
        <v/>
      </c>
      <c r="H279" s="40">
        <f>MAX(0,$B$57-1)*H270</f>
        <v/>
      </c>
      <c r="I279" s="40">
        <f>MAX(0,$B$57-1)*I270</f>
        <v/>
      </c>
      <c r="J279" s="40">
        <f>MAX(0,$B$57-1)*J270</f>
        <v/>
      </c>
      <c r="K279" s="40">
        <f>MAX(0,$B$57-1)*K270</f>
        <v/>
      </c>
      <c r="L279" s="40">
        <f>MAX(0,$B$57-1)*L270</f>
        <v/>
      </c>
      <c r="M279" s="40">
        <f>MAX(0,$B$57-1)*M270</f>
        <v/>
      </c>
      <c r="N279" s="40">
        <f>MAX(0,$B$57-1)*N270</f>
        <v/>
      </c>
      <c r="O279" s="40">
        <f>MAX(0,$B$57-1)*O270</f>
        <v/>
      </c>
      <c r="P279" s="40">
        <f>MAX(0,$B$57-1)*P270</f>
        <v/>
      </c>
      <c r="Q279" s="40">
        <f>MAX(0,$B$57-1)*Q270</f>
        <v/>
      </c>
      <c r="R279" s="40">
        <f>MAX(0,$B$57-1)*R270</f>
        <v/>
      </c>
      <c r="S279" s="40">
        <f>MAX(0,$B$57-1)*S270</f>
        <v/>
      </c>
      <c r="T279" s="40">
        <f>MAX(0,$B$57-1)*T270</f>
        <v/>
      </c>
      <c r="U279" s="40">
        <f>MAX(0,$B$57-1)*U270</f>
        <v/>
      </c>
      <c r="V279" s="40">
        <f>MAX(0,$B$57-1)*V270</f>
        <v/>
      </c>
      <c r="W279" s="40">
        <f>MAX(0,$B$57-1)*W270</f>
        <v/>
      </c>
      <c r="X279" s="40">
        <f>MAX(0,$B$57-1)*X270</f>
        <v/>
      </c>
      <c r="Y279" s="40">
        <f>MAX(0,$B$57-1)*Y270</f>
        <v/>
      </c>
      <c r="Z279" s="40">
        <f>MAX(0,$B$57-1)*Z270</f>
        <v/>
      </c>
      <c r="AA279" s="40">
        <f>MAX(0,$B$57-1)*AA270</f>
        <v/>
      </c>
      <c r="AB279" s="40">
        <f>MAX(0,$B$57-1)*AB270</f>
        <v/>
      </c>
      <c r="AC279" s="40">
        <f>MAX(0,$B$57-1)*AC270</f>
        <v/>
      </c>
      <c r="AD279" s="40">
        <f>MAX(0,$B$57-1)*AD270</f>
        <v/>
      </c>
      <c r="AE279" s="40">
        <f>MAX(0,$B$57-1)*AE270</f>
        <v/>
      </c>
      <c r="AF279" s="40">
        <f>MAX(0,$B$57-1)*AF270</f>
        <v/>
      </c>
      <c r="AG279" s="40">
        <f>MAX(0,$B$57-1)*AG270</f>
        <v/>
      </c>
      <c r="AH279" s="40">
        <f>MAX(0,$B$57-1)*AH270</f>
        <v/>
      </c>
      <c r="AI279" s="40">
        <f>MAX(0,$B$57-1)*AI270</f>
        <v/>
      </c>
      <c r="AJ279" s="40">
        <f>MAX(0,$B$57-1)*AJ270</f>
        <v/>
      </c>
      <c r="AK279" s="40">
        <f>MAX(0,$B$57-1)*AK270</f>
        <v/>
      </c>
      <c r="AL279" s="40">
        <f>MAX(0,$B$57-1)*AL270</f>
        <v/>
      </c>
      <c r="AM279" s="40">
        <f>MAX(0,$B$57-1)*AM270</f>
        <v/>
      </c>
      <c r="AN279" s="40">
        <f>MAX(0,$B$57-1)*AN270</f>
        <v/>
      </c>
      <c r="AO279" s="40">
        <f>MAX(0,$B$57-1)*AO270</f>
        <v/>
      </c>
      <c r="AP279" s="40">
        <f>MAX(0,$B$57-1)*AP270</f>
        <v/>
      </c>
      <c r="AQ279" s="40">
        <f>MAX(0,$B$57-1)*AQ270</f>
        <v/>
      </c>
      <c r="AR279" s="40">
        <f>MAX(0,$B$57-1)*AR270</f>
        <v/>
      </c>
      <c r="AS279" s="40">
        <f>MAX(0,$B$57-1)*AS270</f>
        <v/>
      </c>
      <c r="AT279" s="40">
        <f>MAX(0,$B$57-1)*AT270</f>
        <v/>
      </c>
      <c r="AU279" s="40">
        <f>MAX(0,$B$57-1)*AU270</f>
        <v/>
      </c>
      <c r="AV279" s="40">
        <f>MAX(0,$B$57-1)*AV270</f>
        <v/>
      </c>
      <c r="AW279" s="40">
        <f>MAX(0,$B$57-1)*AW270</f>
        <v/>
      </c>
      <c r="AX279" s="40">
        <f>MAX(0,$B$57-1)*AX270</f>
        <v/>
      </c>
      <c r="AY279" s="40">
        <f>MAX(0,$B$57-1)*AY270</f>
        <v/>
      </c>
      <c r="AZ279" s="40">
        <f>MAX(0,$B$57-1)*AZ270</f>
        <v/>
      </c>
      <c r="BA279" s="40">
        <f>MAX(0,$B$57-1)*BA270</f>
        <v/>
      </c>
      <c r="BB279" s="40">
        <f>MAX(0,$B$57-1)*BB270</f>
        <v/>
      </c>
      <c r="BC279" s="40">
        <f>MAX(0,$B$57-1)*BC270</f>
        <v/>
      </c>
      <c r="BD279" s="40">
        <f>MAX(0,$B$57-1)*BD270</f>
        <v/>
      </c>
    </row>
    <row r="280">
      <c r="A280" s="32" t="inlineStr">
        <is>
          <t xml:space="preserve">   Seasonal Field Crew — OVERTIME hrs</t>
        </is>
      </c>
      <c r="B280" s="2" t="inlineStr">
        <is>
          <t>hrs &lt;-- SOLVER</t>
        </is>
      </c>
      <c r="E280" s="39" t="n">
        <v>0</v>
      </c>
      <c r="F280" s="39" t="n">
        <v>0</v>
      </c>
      <c r="G280" s="39" t="n">
        <v>0</v>
      </c>
      <c r="H280" s="39" t="n">
        <v>0</v>
      </c>
      <c r="I280" s="39" t="n">
        <v>0</v>
      </c>
      <c r="J280" s="39" t="n">
        <v>0</v>
      </c>
      <c r="K280" s="39" t="n">
        <v>0</v>
      </c>
      <c r="L280" s="39" t="n">
        <v>0</v>
      </c>
      <c r="M280" s="39" t="n">
        <v>0</v>
      </c>
      <c r="N280" s="39" t="n">
        <v>0</v>
      </c>
      <c r="O280" s="39" t="n">
        <v>0</v>
      </c>
      <c r="P280" s="39" t="n">
        <v>0</v>
      </c>
      <c r="Q280" s="39" t="n">
        <v>0</v>
      </c>
      <c r="R280" s="39" t="n">
        <v>0</v>
      </c>
      <c r="S280" s="39" t="n">
        <v>0</v>
      </c>
      <c r="T280" s="39" t="n">
        <v>0</v>
      </c>
      <c r="U280" s="39" t="n">
        <v>0</v>
      </c>
      <c r="V280" s="39" t="n">
        <v>0</v>
      </c>
      <c r="W280" s="39" t="n">
        <v>0</v>
      </c>
      <c r="X280" s="39" t="n">
        <v>0</v>
      </c>
      <c r="Y280" s="39" t="n">
        <v>0</v>
      </c>
      <c r="Z280" s="39" t="n">
        <v>0</v>
      </c>
      <c r="AA280" s="39" t="n">
        <v>0</v>
      </c>
      <c r="AB280" s="39" t="n">
        <v>0</v>
      </c>
      <c r="AC280" s="39" t="n">
        <v>0</v>
      </c>
      <c r="AD280" s="39" t="n">
        <v>0</v>
      </c>
      <c r="AE280" s="39" t="n">
        <v>0</v>
      </c>
      <c r="AF280" s="39" t="n">
        <v>0</v>
      </c>
      <c r="AG280" s="39" t="n">
        <v>0</v>
      </c>
      <c r="AH280" s="39" t="n">
        <v>0</v>
      </c>
      <c r="AI280" s="39" t="n">
        <v>0</v>
      </c>
      <c r="AJ280" s="39" t="n">
        <v>0</v>
      </c>
      <c r="AK280" s="39" t="n">
        <v>0</v>
      </c>
      <c r="AL280" s="39" t="n">
        <v>0</v>
      </c>
      <c r="AM280" s="39" t="n">
        <v>0</v>
      </c>
      <c r="AN280" s="39" t="n">
        <v>0</v>
      </c>
      <c r="AO280" s="39" t="n">
        <v>0</v>
      </c>
      <c r="AP280" s="39" t="n">
        <v>0</v>
      </c>
      <c r="AQ280" s="39" t="n">
        <v>0</v>
      </c>
      <c r="AR280" s="39" t="n">
        <v>0</v>
      </c>
      <c r="AS280" s="39" t="n">
        <v>0</v>
      </c>
      <c r="AT280" s="39" t="n">
        <v>0</v>
      </c>
      <c r="AU280" s="39" t="n">
        <v>0</v>
      </c>
      <c r="AV280" s="39" t="n">
        <v>0</v>
      </c>
      <c r="AW280" s="39" t="n">
        <v>0</v>
      </c>
      <c r="AX280" s="39" t="n">
        <v>0</v>
      </c>
      <c r="AY280" s="39" t="n">
        <v>0</v>
      </c>
      <c r="AZ280" s="39" t="n">
        <v>0</v>
      </c>
      <c r="BA280" s="39" t="n">
        <v>0</v>
      </c>
      <c r="BB280" s="39" t="n">
        <v>0</v>
      </c>
      <c r="BC280" s="39" t="n">
        <v>0</v>
      </c>
      <c r="BD280" s="39" t="n">
        <v>0</v>
      </c>
    </row>
    <row r="281">
      <c r="A281" s="33" t="inlineStr">
        <is>
          <t xml:space="preserve">   Harvest Crew — overtime CAP</t>
        </is>
      </c>
      <c r="B281" s="2" t="inlineStr">
        <is>
          <t>hrs</t>
        </is>
      </c>
      <c r="E281" s="40">
        <f>MAX(0,$B$57-1)*E271</f>
        <v/>
      </c>
      <c r="F281" s="40">
        <f>MAX(0,$B$57-1)*F271</f>
        <v/>
      </c>
      <c r="G281" s="40">
        <f>MAX(0,$B$57-1)*G271</f>
        <v/>
      </c>
      <c r="H281" s="40">
        <f>MAX(0,$B$57-1)*H271</f>
        <v/>
      </c>
      <c r="I281" s="40">
        <f>MAX(0,$B$57-1)*I271</f>
        <v/>
      </c>
      <c r="J281" s="40">
        <f>MAX(0,$B$57-1)*J271</f>
        <v/>
      </c>
      <c r="K281" s="40">
        <f>MAX(0,$B$57-1)*K271</f>
        <v/>
      </c>
      <c r="L281" s="40">
        <f>MAX(0,$B$57-1)*L271</f>
        <v/>
      </c>
      <c r="M281" s="40">
        <f>MAX(0,$B$57-1)*M271</f>
        <v/>
      </c>
      <c r="N281" s="40">
        <f>MAX(0,$B$57-1)*N271</f>
        <v/>
      </c>
      <c r="O281" s="40">
        <f>MAX(0,$B$57-1)*O271</f>
        <v/>
      </c>
      <c r="P281" s="40">
        <f>MAX(0,$B$57-1)*P271</f>
        <v/>
      </c>
      <c r="Q281" s="40">
        <f>MAX(0,$B$57-1)*Q271</f>
        <v/>
      </c>
      <c r="R281" s="40">
        <f>MAX(0,$B$57-1)*R271</f>
        <v/>
      </c>
      <c r="S281" s="40">
        <f>MAX(0,$B$57-1)*S271</f>
        <v/>
      </c>
      <c r="T281" s="40">
        <f>MAX(0,$B$57-1)*T271</f>
        <v/>
      </c>
      <c r="U281" s="40">
        <f>MAX(0,$B$57-1)*U271</f>
        <v/>
      </c>
      <c r="V281" s="40">
        <f>MAX(0,$B$57-1)*V271</f>
        <v/>
      </c>
      <c r="W281" s="40">
        <f>MAX(0,$B$57-1)*W271</f>
        <v/>
      </c>
      <c r="X281" s="40">
        <f>MAX(0,$B$57-1)*X271</f>
        <v/>
      </c>
      <c r="Y281" s="40">
        <f>MAX(0,$B$57-1)*Y271</f>
        <v/>
      </c>
      <c r="Z281" s="40">
        <f>MAX(0,$B$57-1)*Z271</f>
        <v/>
      </c>
      <c r="AA281" s="40">
        <f>MAX(0,$B$57-1)*AA271</f>
        <v/>
      </c>
      <c r="AB281" s="40">
        <f>MAX(0,$B$57-1)*AB271</f>
        <v/>
      </c>
      <c r="AC281" s="40">
        <f>MAX(0,$B$57-1)*AC271</f>
        <v/>
      </c>
      <c r="AD281" s="40">
        <f>MAX(0,$B$57-1)*AD271</f>
        <v/>
      </c>
      <c r="AE281" s="40">
        <f>MAX(0,$B$57-1)*AE271</f>
        <v/>
      </c>
      <c r="AF281" s="40">
        <f>MAX(0,$B$57-1)*AF271</f>
        <v/>
      </c>
      <c r="AG281" s="40">
        <f>MAX(0,$B$57-1)*AG271</f>
        <v/>
      </c>
      <c r="AH281" s="40">
        <f>MAX(0,$B$57-1)*AH271</f>
        <v/>
      </c>
      <c r="AI281" s="40">
        <f>MAX(0,$B$57-1)*AI271</f>
        <v/>
      </c>
      <c r="AJ281" s="40">
        <f>MAX(0,$B$57-1)*AJ271</f>
        <v/>
      </c>
      <c r="AK281" s="40">
        <f>MAX(0,$B$57-1)*AK271</f>
        <v/>
      </c>
      <c r="AL281" s="40">
        <f>MAX(0,$B$57-1)*AL271</f>
        <v/>
      </c>
      <c r="AM281" s="40">
        <f>MAX(0,$B$57-1)*AM271</f>
        <v/>
      </c>
      <c r="AN281" s="40">
        <f>MAX(0,$B$57-1)*AN271</f>
        <v/>
      </c>
      <c r="AO281" s="40">
        <f>MAX(0,$B$57-1)*AO271</f>
        <v/>
      </c>
      <c r="AP281" s="40">
        <f>MAX(0,$B$57-1)*AP271</f>
        <v/>
      </c>
      <c r="AQ281" s="40">
        <f>MAX(0,$B$57-1)*AQ271</f>
        <v/>
      </c>
      <c r="AR281" s="40">
        <f>MAX(0,$B$57-1)*AR271</f>
        <v/>
      </c>
      <c r="AS281" s="40">
        <f>MAX(0,$B$57-1)*AS271</f>
        <v/>
      </c>
      <c r="AT281" s="40">
        <f>MAX(0,$B$57-1)*AT271</f>
        <v/>
      </c>
      <c r="AU281" s="40">
        <f>MAX(0,$B$57-1)*AU271</f>
        <v/>
      </c>
      <c r="AV281" s="40">
        <f>MAX(0,$B$57-1)*AV271</f>
        <v/>
      </c>
      <c r="AW281" s="40">
        <f>MAX(0,$B$57-1)*AW271</f>
        <v/>
      </c>
      <c r="AX281" s="40">
        <f>MAX(0,$B$57-1)*AX271</f>
        <v/>
      </c>
      <c r="AY281" s="40">
        <f>MAX(0,$B$57-1)*AY271</f>
        <v/>
      </c>
      <c r="AZ281" s="40">
        <f>MAX(0,$B$57-1)*AZ271</f>
        <v/>
      </c>
      <c r="BA281" s="40">
        <f>MAX(0,$B$57-1)*BA271</f>
        <v/>
      </c>
      <c r="BB281" s="40">
        <f>MAX(0,$B$57-1)*BB271</f>
        <v/>
      </c>
      <c r="BC281" s="40">
        <f>MAX(0,$B$57-1)*BC271</f>
        <v/>
      </c>
      <c r="BD281" s="40">
        <f>MAX(0,$B$57-1)*BD271</f>
        <v/>
      </c>
    </row>
    <row r="282">
      <c r="A282" s="32" t="inlineStr">
        <is>
          <t xml:space="preserve">   Harvest Crew — OVERTIME hrs</t>
        </is>
      </c>
      <c r="B282" s="2" t="inlineStr">
        <is>
          <t>hrs &lt;-- SOLVER</t>
        </is>
      </c>
      <c r="E282" s="39" t="n">
        <v>0</v>
      </c>
      <c r="F282" s="39" t="n">
        <v>0</v>
      </c>
      <c r="G282" s="39" t="n">
        <v>0</v>
      </c>
      <c r="H282" s="39" t="n">
        <v>0</v>
      </c>
      <c r="I282" s="39" t="n">
        <v>0</v>
      </c>
      <c r="J282" s="39" t="n">
        <v>0</v>
      </c>
      <c r="K282" s="39" t="n">
        <v>0</v>
      </c>
      <c r="L282" s="39" t="n">
        <v>0</v>
      </c>
      <c r="M282" s="39" t="n">
        <v>0</v>
      </c>
      <c r="N282" s="39" t="n">
        <v>0</v>
      </c>
      <c r="O282" s="39" t="n">
        <v>0</v>
      </c>
      <c r="P282" s="39" t="n">
        <v>0</v>
      </c>
      <c r="Q282" s="39" t="n">
        <v>0</v>
      </c>
      <c r="R282" s="39" t="n">
        <v>0</v>
      </c>
      <c r="S282" s="39" t="n">
        <v>0</v>
      </c>
      <c r="T282" s="39" t="n">
        <v>0</v>
      </c>
      <c r="U282" s="39" t="n">
        <v>0</v>
      </c>
      <c r="V282" s="39" t="n">
        <v>0</v>
      </c>
      <c r="W282" s="39" t="n">
        <v>0</v>
      </c>
      <c r="X282" s="39" t="n">
        <v>0</v>
      </c>
      <c r="Y282" s="39" t="n">
        <v>0</v>
      </c>
      <c r="Z282" s="39" t="n">
        <v>0</v>
      </c>
      <c r="AA282" s="39" t="n">
        <v>0</v>
      </c>
      <c r="AB282" s="39" t="n">
        <v>0</v>
      </c>
      <c r="AC282" s="39" t="n">
        <v>0</v>
      </c>
      <c r="AD282" s="39" t="n">
        <v>0</v>
      </c>
      <c r="AE282" s="39" t="n">
        <v>0</v>
      </c>
      <c r="AF282" s="39" t="n">
        <v>0</v>
      </c>
      <c r="AG282" s="39" t="n">
        <v>0</v>
      </c>
      <c r="AH282" s="39" t="n">
        <v>0</v>
      </c>
      <c r="AI282" s="39" t="n">
        <v>0</v>
      </c>
      <c r="AJ282" s="39" t="n">
        <v>0</v>
      </c>
      <c r="AK282" s="39" t="n">
        <v>0</v>
      </c>
      <c r="AL282" s="39" t="n">
        <v>0</v>
      </c>
      <c r="AM282" s="39" t="n">
        <v>0</v>
      </c>
      <c r="AN282" s="39" t="n">
        <v>0</v>
      </c>
      <c r="AO282" s="39" t="n">
        <v>0</v>
      </c>
      <c r="AP282" s="39" t="n">
        <v>0</v>
      </c>
      <c r="AQ282" s="39" t="n">
        <v>0</v>
      </c>
      <c r="AR282" s="39" t="n">
        <v>0</v>
      </c>
      <c r="AS282" s="39" t="n">
        <v>0</v>
      </c>
      <c r="AT282" s="39" t="n">
        <v>0</v>
      </c>
      <c r="AU282" s="39" t="n">
        <v>0</v>
      </c>
      <c r="AV282" s="39" t="n">
        <v>0</v>
      </c>
      <c r="AW282" s="39" t="n">
        <v>0</v>
      </c>
      <c r="AX282" s="39" t="n">
        <v>0</v>
      </c>
      <c r="AY282" s="39" t="n">
        <v>0</v>
      </c>
      <c r="AZ282" s="39" t="n">
        <v>0</v>
      </c>
      <c r="BA282" s="39" t="n">
        <v>0</v>
      </c>
      <c r="BB282" s="39" t="n">
        <v>0</v>
      </c>
      <c r="BC282" s="39" t="n">
        <v>0</v>
      </c>
      <c r="BD282" s="39" t="n">
        <v>0</v>
      </c>
    </row>
    <row r="283">
      <c r="A283" s="2" t="inlineStr">
        <is>
          <t xml:space="preserve">   One cap and one decision per role. The RATE is that role's own wage — see block D — so the plan can prefer the cheap overtime, which a single blended rate could never express.</t>
        </is>
      </c>
    </row>
    <row r="284">
      <c r="A284" s="33" t="inlineStr">
        <is>
          <t>Harvest hours relieved</t>
        </is>
      </c>
      <c r="B284" s="2" t="inlineStr">
        <is>
          <t>hrs</t>
        </is>
      </c>
      <c r="E284" s="40">
        <f>E83</f>
        <v/>
      </c>
      <c r="F284" s="40">
        <f>F83</f>
        <v/>
      </c>
      <c r="G284" s="40">
        <f>G83</f>
        <v/>
      </c>
      <c r="H284" s="40">
        <f>H83</f>
        <v/>
      </c>
      <c r="I284" s="40">
        <f>I83</f>
        <v/>
      </c>
      <c r="J284" s="40">
        <f>J83</f>
        <v/>
      </c>
      <c r="K284" s="40">
        <f>K83</f>
        <v/>
      </c>
      <c r="L284" s="40">
        <f>L83</f>
        <v/>
      </c>
      <c r="M284" s="40">
        <f>M83</f>
        <v/>
      </c>
      <c r="N284" s="40">
        <f>N83</f>
        <v/>
      </c>
      <c r="O284" s="40">
        <f>O83</f>
        <v/>
      </c>
      <c r="P284" s="40">
        <f>P83</f>
        <v/>
      </c>
      <c r="Q284" s="40">
        <f>Q83</f>
        <v/>
      </c>
      <c r="R284" s="40">
        <f>R83</f>
        <v/>
      </c>
      <c r="S284" s="40">
        <f>S83</f>
        <v/>
      </c>
      <c r="T284" s="40">
        <f>T83</f>
        <v/>
      </c>
      <c r="U284" s="40">
        <f>U83</f>
        <v/>
      </c>
      <c r="V284" s="40">
        <f>V83</f>
        <v/>
      </c>
      <c r="W284" s="40">
        <f>W83</f>
        <v/>
      </c>
      <c r="X284" s="40">
        <f>X83</f>
        <v/>
      </c>
      <c r="Y284" s="40">
        <f>Y83</f>
        <v/>
      </c>
      <c r="Z284" s="40">
        <f>Z83</f>
        <v/>
      </c>
      <c r="AA284" s="40">
        <f>AA83</f>
        <v/>
      </c>
      <c r="AB284" s="40">
        <f>AB83</f>
        <v/>
      </c>
      <c r="AC284" s="40">
        <f>AC83</f>
        <v/>
      </c>
      <c r="AD284" s="40">
        <f>AD83</f>
        <v/>
      </c>
      <c r="AE284" s="40">
        <f>AE83</f>
        <v/>
      </c>
      <c r="AF284" s="40">
        <f>AF83</f>
        <v/>
      </c>
      <c r="AG284" s="40">
        <f>AG83</f>
        <v/>
      </c>
      <c r="AH284" s="40">
        <f>AH83</f>
        <v/>
      </c>
      <c r="AI284" s="40">
        <f>AI83</f>
        <v/>
      </c>
      <c r="AJ284" s="40">
        <f>AJ83</f>
        <v/>
      </c>
      <c r="AK284" s="40">
        <f>AK83</f>
        <v/>
      </c>
      <c r="AL284" s="40">
        <f>AL83</f>
        <v/>
      </c>
      <c r="AM284" s="40">
        <f>AM83</f>
        <v/>
      </c>
      <c r="AN284" s="40">
        <f>AN83</f>
        <v/>
      </c>
      <c r="AO284" s="40">
        <f>AO83</f>
        <v/>
      </c>
      <c r="AP284" s="40">
        <f>AP83</f>
        <v/>
      </c>
      <c r="AQ284" s="40">
        <f>AQ83</f>
        <v/>
      </c>
      <c r="AR284" s="40">
        <f>AR83</f>
        <v/>
      </c>
      <c r="AS284" s="40">
        <f>AS83</f>
        <v/>
      </c>
      <c r="AT284" s="40">
        <f>AT83</f>
        <v/>
      </c>
      <c r="AU284" s="40">
        <f>AU83</f>
        <v/>
      </c>
      <c r="AV284" s="40">
        <f>AV83</f>
        <v/>
      </c>
      <c r="AW284" s="40">
        <f>AW83</f>
        <v/>
      </c>
      <c r="AX284" s="40">
        <f>AX83</f>
        <v/>
      </c>
      <c r="AY284" s="40">
        <f>AY83</f>
        <v/>
      </c>
      <c r="AZ284" s="40">
        <f>AZ83</f>
        <v/>
      </c>
      <c r="BA284" s="40">
        <f>BA83</f>
        <v/>
      </c>
      <c r="BB284" s="40">
        <f>BB83</f>
        <v/>
      </c>
      <c r="BC284" s="40">
        <f>BC83</f>
        <v/>
      </c>
      <c r="BD284" s="40">
        <f>BD83</f>
        <v/>
      </c>
    </row>
    <row r="285">
      <c r="A285" s="2" t="inlineStr">
        <is>
          <t xml:space="preserve">   ⚠️ The piece-rate crew changes the HOURS you need, not the wages you owe — the committed crew is paid either way. Bounded below by the harvest hours actually needed, or pickers would be relieving the planting.</t>
        </is>
      </c>
    </row>
    <row r="286">
      <c r="A286" s="4" t="inlineStr">
        <is>
          <t>HOURS AVAILABLE</t>
        </is>
      </c>
      <c r="B286" s="2" t="inlineStr">
        <is>
          <t>hrs</t>
        </is>
      </c>
      <c r="E286" s="40">
        <f>E272+E278+E280+E282</f>
        <v/>
      </c>
      <c r="F286" s="40">
        <f>F272+F278+F280+F282</f>
        <v/>
      </c>
      <c r="G286" s="40">
        <f>G272+G278+G280+G282</f>
        <v/>
      </c>
      <c r="H286" s="40">
        <f>H272+H278+H280+H282</f>
        <v/>
      </c>
      <c r="I286" s="40">
        <f>I272+I278+I280+I282</f>
        <v/>
      </c>
      <c r="J286" s="40">
        <f>J272+J278+J280+J282</f>
        <v/>
      </c>
      <c r="K286" s="40">
        <f>K272+K278+K280+K282</f>
        <v/>
      </c>
      <c r="L286" s="40">
        <f>L272+L278+L280+L282</f>
        <v/>
      </c>
      <c r="M286" s="40">
        <f>M272+M278+M280+M282</f>
        <v/>
      </c>
      <c r="N286" s="40">
        <f>N272+N278+N280+N282</f>
        <v/>
      </c>
      <c r="O286" s="40">
        <f>O272+O278+O280+O282</f>
        <v/>
      </c>
      <c r="P286" s="40">
        <f>P272+P278+P280+P282</f>
        <v/>
      </c>
      <c r="Q286" s="40">
        <f>Q272+Q278+Q280+Q282</f>
        <v/>
      </c>
      <c r="R286" s="40">
        <f>R272+R278+R280+R282</f>
        <v/>
      </c>
      <c r="S286" s="40">
        <f>S272+S278+S280+S282</f>
        <v/>
      </c>
      <c r="T286" s="40">
        <f>T272+T278+T280+T282</f>
        <v/>
      </c>
      <c r="U286" s="40">
        <f>U272+U278+U280+U282</f>
        <v/>
      </c>
      <c r="V286" s="40">
        <f>V272+V278+V280+V282</f>
        <v/>
      </c>
      <c r="W286" s="40">
        <f>W272+W278+W280+W282</f>
        <v/>
      </c>
      <c r="X286" s="40">
        <f>X272+X278+X280+X282</f>
        <v/>
      </c>
      <c r="Y286" s="40">
        <f>Y272+Y278+Y280+Y282</f>
        <v/>
      </c>
      <c r="Z286" s="40">
        <f>Z272+Z278+Z280+Z282</f>
        <v/>
      </c>
      <c r="AA286" s="40">
        <f>AA272+AA278+AA280+AA282</f>
        <v/>
      </c>
      <c r="AB286" s="40">
        <f>AB272+AB278+AB280+AB282</f>
        <v/>
      </c>
      <c r="AC286" s="40">
        <f>AC272+AC278+AC280+AC282</f>
        <v/>
      </c>
      <c r="AD286" s="40">
        <f>AD272+AD278+AD280+AD282</f>
        <v/>
      </c>
      <c r="AE286" s="40">
        <f>AE272+AE278+AE280+AE282</f>
        <v/>
      </c>
      <c r="AF286" s="40">
        <f>AF272+AF278+AF280+AF282</f>
        <v/>
      </c>
      <c r="AG286" s="40">
        <f>AG272+AG278+AG280+AG282</f>
        <v/>
      </c>
      <c r="AH286" s="40">
        <f>AH272+AH278+AH280+AH282</f>
        <v/>
      </c>
      <c r="AI286" s="40">
        <f>AI272+AI278+AI280+AI282</f>
        <v/>
      </c>
      <c r="AJ286" s="40">
        <f>AJ272+AJ278+AJ280+AJ282</f>
        <v/>
      </c>
      <c r="AK286" s="40">
        <f>AK272+AK278+AK280+AK282</f>
        <v/>
      </c>
      <c r="AL286" s="40">
        <f>AL272+AL278+AL280+AL282</f>
        <v/>
      </c>
      <c r="AM286" s="40">
        <f>AM272+AM278+AM280+AM282</f>
        <v/>
      </c>
      <c r="AN286" s="40">
        <f>AN272+AN278+AN280+AN282</f>
        <v/>
      </c>
      <c r="AO286" s="40">
        <f>AO272+AO278+AO280+AO282</f>
        <v/>
      </c>
      <c r="AP286" s="40">
        <f>AP272+AP278+AP280+AP282</f>
        <v/>
      </c>
      <c r="AQ286" s="40">
        <f>AQ272+AQ278+AQ280+AQ282</f>
        <v/>
      </c>
      <c r="AR286" s="40">
        <f>AR272+AR278+AR280+AR282</f>
        <v/>
      </c>
      <c r="AS286" s="40">
        <f>AS272+AS278+AS280+AS282</f>
        <v/>
      </c>
      <c r="AT286" s="40">
        <f>AT272+AT278+AT280+AT282</f>
        <v/>
      </c>
      <c r="AU286" s="40">
        <f>AU272+AU278+AU280+AU282</f>
        <v/>
      </c>
      <c r="AV286" s="40">
        <f>AV272+AV278+AV280+AV282</f>
        <v/>
      </c>
      <c r="AW286" s="40">
        <f>AW272+AW278+AW280+AW282</f>
        <v/>
      </c>
      <c r="AX286" s="40">
        <f>AX272+AX278+AX280+AX282</f>
        <v/>
      </c>
      <c r="AY286" s="40">
        <f>AY272+AY278+AY280+AY282</f>
        <v/>
      </c>
      <c r="AZ286" s="40">
        <f>AZ272+AZ278+AZ280+AZ282</f>
        <v/>
      </c>
      <c r="BA286" s="40">
        <f>BA272+BA278+BA280+BA282</f>
        <v/>
      </c>
      <c r="BB286" s="40">
        <f>BB272+BB278+BB280+BB282</f>
        <v/>
      </c>
      <c r="BC286" s="40">
        <f>BC272+BC278+BC280+BC282</f>
        <v/>
      </c>
      <c r="BD286" s="40">
        <f>BD272+BD278+BD280+BD282</f>
        <v/>
      </c>
    </row>
    <row r="287">
      <c r="A287" s="2" t="inlineStr">
        <is>
          <t xml:space="preserve">   Crew capacity plus every role's overtime. The piece-rate crew is NOT in here — it removes hours from the demand side instead, which is block C.</t>
        </is>
      </c>
    </row>
    <row r="289">
      <c r="A289" s="3" t="inlineStr">
        <is>
          <t>C — THE LIMITS</t>
        </is>
      </c>
    </row>
    <row r="290">
      <c r="A290" s="36" t="inlineStr">
        <is>
          <t>Week</t>
        </is>
      </c>
      <c r="B290" s="37" t="inlineStr">
        <is>
          <t>hours</t>
        </is>
      </c>
      <c r="E290" s="38" t="n">
        <v>1</v>
      </c>
      <c r="F290" s="38" t="n">
        <v>2</v>
      </c>
      <c r="G290" s="38" t="n">
        <v>3</v>
      </c>
      <c r="H290" s="38" t="n">
        <v>4</v>
      </c>
      <c r="I290" s="38" t="n">
        <v>5</v>
      </c>
      <c r="J290" s="38" t="n">
        <v>6</v>
      </c>
      <c r="K290" s="38" t="n">
        <v>7</v>
      </c>
      <c r="L290" s="38" t="n">
        <v>8</v>
      </c>
      <c r="M290" s="38" t="n">
        <v>9</v>
      </c>
      <c r="N290" s="38" t="n">
        <v>10</v>
      </c>
      <c r="O290" s="38" t="n">
        <v>11</v>
      </c>
      <c r="P290" s="38" t="n">
        <v>12</v>
      </c>
      <c r="Q290" s="38" t="n">
        <v>13</v>
      </c>
      <c r="R290" s="38" t="n">
        <v>14</v>
      </c>
      <c r="S290" s="38" t="n">
        <v>15</v>
      </c>
      <c r="T290" s="38" t="n">
        <v>16</v>
      </c>
      <c r="U290" s="38" t="n">
        <v>17</v>
      </c>
      <c r="V290" s="38" t="n">
        <v>18</v>
      </c>
      <c r="W290" s="38" t="n">
        <v>19</v>
      </c>
      <c r="X290" s="38" t="n">
        <v>20</v>
      </c>
      <c r="Y290" s="38" t="n">
        <v>21</v>
      </c>
      <c r="Z290" s="38" t="n">
        <v>22</v>
      </c>
      <c r="AA290" s="38" t="n">
        <v>23</v>
      </c>
      <c r="AB290" s="38" t="n">
        <v>24</v>
      </c>
      <c r="AC290" s="38" t="n">
        <v>25</v>
      </c>
      <c r="AD290" s="38" t="n">
        <v>26</v>
      </c>
      <c r="AE290" s="38" t="n">
        <v>27</v>
      </c>
      <c r="AF290" s="38" t="n">
        <v>28</v>
      </c>
      <c r="AG290" s="38" t="n">
        <v>29</v>
      </c>
      <c r="AH290" s="38" t="n">
        <v>30</v>
      </c>
      <c r="AI290" s="38" t="n">
        <v>31</v>
      </c>
      <c r="AJ290" s="38" t="n">
        <v>32</v>
      </c>
      <c r="AK290" s="38" t="n">
        <v>33</v>
      </c>
      <c r="AL290" s="38" t="n">
        <v>34</v>
      </c>
      <c r="AM290" s="38" t="n">
        <v>35</v>
      </c>
      <c r="AN290" s="38" t="n">
        <v>36</v>
      </c>
      <c r="AO290" s="38" t="n">
        <v>37</v>
      </c>
      <c r="AP290" s="38" t="n">
        <v>38</v>
      </c>
      <c r="AQ290" s="38" t="n">
        <v>39</v>
      </c>
      <c r="AR290" s="38" t="n">
        <v>40</v>
      </c>
      <c r="AS290" s="38" t="n">
        <v>41</v>
      </c>
      <c r="AT290" s="38" t="n">
        <v>42</v>
      </c>
      <c r="AU290" s="38" t="n">
        <v>43</v>
      </c>
      <c r="AV290" s="38" t="n">
        <v>44</v>
      </c>
      <c r="AW290" s="38" t="n">
        <v>45</v>
      </c>
      <c r="AX290" s="38" t="n">
        <v>46</v>
      </c>
      <c r="AY290" s="38" t="n">
        <v>47</v>
      </c>
      <c r="AZ290" s="38" t="n">
        <v>48</v>
      </c>
      <c r="BA290" s="38" t="n">
        <v>49</v>
      </c>
      <c r="BB290" s="38" t="n">
        <v>50</v>
      </c>
      <c r="BC290" s="38" t="n">
        <v>51</v>
      </c>
      <c r="BD290" s="38" t="n">
        <v>52</v>
      </c>
    </row>
    <row r="291">
      <c r="A291" s="41" t="inlineStr">
        <is>
          <t>CROP HOURS needed</t>
        </is>
      </c>
      <c r="B291" s="2" t="inlineStr">
        <is>
          <t>used</t>
        </is>
      </c>
      <c r="E291" s="42">
        <f>SUMPRODUCT(($B$91:$B$230="Spinach")*(E$91:E$230="P")*$C$91:$C$230)*$N$17+SUMPRODUCT(($B$91:$B$230="Spinach")*(E$91:E$230="G")*$C$91:$C$230)*$O$17+SUMPRODUCT(($B$91:$B$230="Spinach")*(E$91:E$230="H")*$C$91:$C$230)*$P$17+SUMPRODUCT(($B$91:$B$230="Kale")*(E$91:E$230="P")*$C$91:$C$230)*$N$18+SUMPRODUCT(($B$91:$B$230="Kale")*(E$91:E$230="G")*$C$91:$C$230)*$O$18+SUMPRODUCT(($B$91:$B$230="Kale")*(E$91:E$230="H")*$C$91:$C$230)*$P$18+SUMPRODUCT(($B$91:$B$230="Garlic")*(E$91:E$230="P")*$C$91:$C$230)*$N$19+SUMPRODUCT(($B$91:$B$230="Garlic")*(E$91:E$230="G")*$C$91:$C$230)*$O$19+SUMPRODUCT(($B$91:$B$230="Garlic")*(E$91:E$230="H")*$C$91:$C$230)*$P$19+SUMPRODUCT(($B$91:$B$230="Tunnel Spinach")*(E$91:E$230="P")*$C$91:$C$230)*$N$20+SUMPRODUCT(($B$91:$B$230="Tunnel Spinach")*(E$91:E$230="G")*$C$91:$C$230)*$O$20+SUMPRODUCT(($B$91:$B$230="Tunnel Spinach")*(E$91:E$230="H")*$C$91:$C$230)*$P$20+SUMPRODUCT(($B$91:$B$230="Asparagus")*(E$91:E$230="P")*$C$91:$C$230)*$N$21+SUMPRODUCT(($B$91:$B$230="Asparagus")*(E$91:E$230="G")*$C$91:$C$230)*$O$21+SUMPRODUCT(($B$91:$B$230="Asparagus")*(E$91:E$230="H")*$C$91:$C$230)*$P$21-E284</f>
        <v/>
      </c>
      <c r="F291" s="42">
        <f>SUMPRODUCT(($B$91:$B$230="Spinach")*(F$91:F$230="P")*$C$91:$C$230)*$N$17+SUMPRODUCT(($B$91:$B$230="Spinach")*(F$91:F$230="G")*$C$91:$C$230)*$O$17+SUMPRODUCT(($B$91:$B$230="Spinach")*(F$91:F$230="H")*$C$91:$C$230)*$P$17+SUMPRODUCT(($B$91:$B$230="Kale")*(F$91:F$230="P")*$C$91:$C$230)*$N$18+SUMPRODUCT(($B$91:$B$230="Kale")*(F$91:F$230="G")*$C$91:$C$230)*$O$18+SUMPRODUCT(($B$91:$B$230="Kale")*(F$91:F$230="H")*$C$91:$C$230)*$P$18+SUMPRODUCT(($B$91:$B$230="Garlic")*(F$91:F$230="P")*$C$91:$C$230)*$N$19+SUMPRODUCT(($B$91:$B$230="Garlic")*(F$91:F$230="G")*$C$91:$C$230)*$O$19+SUMPRODUCT(($B$91:$B$230="Garlic")*(F$91:F$230="H")*$C$91:$C$230)*$P$19+SUMPRODUCT(($B$91:$B$230="Tunnel Spinach")*(F$91:F$230="P")*$C$91:$C$230)*$N$20+SUMPRODUCT(($B$91:$B$230="Tunnel Spinach")*(F$91:F$230="G")*$C$91:$C$230)*$O$20+SUMPRODUCT(($B$91:$B$230="Tunnel Spinach")*(F$91:F$230="H")*$C$91:$C$230)*$P$20+SUMPRODUCT(($B$91:$B$230="Asparagus")*(F$91:F$230="P")*$C$91:$C$230)*$N$21+SUMPRODUCT(($B$91:$B$230="Asparagus")*(F$91:F$230="G")*$C$91:$C$230)*$O$21+SUMPRODUCT(($B$91:$B$230="Asparagus")*(F$91:F$230="H")*$C$91:$C$230)*$P$21-F284</f>
        <v/>
      </c>
      <c r="G291" s="42">
        <f>SUMPRODUCT(($B$91:$B$230="Spinach")*(G$91:G$230="P")*$C$91:$C$230)*$N$17+SUMPRODUCT(($B$91:$B$230="Spinach")*(G$91:G$230="G")*$C$91:$C$230)*$O$17+SUMPRODUCT(($B$91:$B$230="Spinach")*(G$91:G$230="H")*$C$91:$C$230)*$P$17+SUMPRODUCT(($B$91:$B$230="Kale")*(G$91:G$230="P")*$C$91:$C$230)*$N$18+SUMPRODUCT(($B$91:$B$230="Kale")*(G$91:G$230="G")*$C$91:$C$230)*$O$18+SUMPRODUCT(($B$91:$B$230="Kale")*(G$91:G$230="H")*$C$91:$C$230)*$P$18+SUMPRODUCT(($B$91:$B$230="Garlic")*(G$91:G$230="P")*$C$91:$C$230)*$N$19+SUMPRODUCT(($B$91:$B$230="Garlic")*(G$91:G$230="G")*$C$91:$C$230)*$O$19+SUMPRODUCT(($B$91:$B$230="Garlic")*(G$91:G$230="H")*$C$91:$C$230)*$P$19+SUMPRODUCT(($B$91:$B$230="Tunnel Spinach")*(G$91:G$230="P")*$C$91:$C$230)*$N$20+SUMPRODUCT(($B$91:$B$230="Tunnel Spinach")*(G$91:G$230="G")*$C$91:$C$230)*$O$20+SUMPRODUCT(($B$91:$B$230="Tunnel Spinach")*(G$91:G$230="H")*$C$91:$C$230)*$P$20+SUMPRODUCT(($B$91:$B$230="Asparagus")*(G$91:G$230="P")*$C$91:$C$230)*$N$21+SUMPRODUCT(($B$91:$B$230="Asparagus")*(G$91:G$230="G")*$C$91:$C$230)*$O$21+SUMPRODUCT(($B$91:$B$230="Asparagus")*(G$91:G$230="H")*$C$91:$C$230)*$P$21-G284</f>
        <v/>
      </c>
      <c r="H291" s="42">
        <f>SUMPRODUCT(($B$91:$B$230="Spinach")*(H$91:H$230="P")*$C$91:$C$230)*$N$17+SUMPRODUCT(($B$91:$B$230="Spinach")*(H$91:H$230="G")*$C$91:$C$230)*$O$17+SUMPRODUCT(($B$91:$B$230="Spinach")*(H$91:H$230="H")*$C$91:$C$230)*$P$17+SUMPRODUCT(($B$91:$B$230="Kale")*(H$91:H$230="P")*$C$91:$C$230)*$N$18+SUMPRODUCT(($B$91:$B$230="Kale")*(H$91:H$230="G")*$C$91:$C$230)*$O$18+SUMPRODUCT(($B$91:$B$230="Kale")*(H$91:H$230="H")*$C$91:$C$230)*$P$18+SUMPRODUCT(($B$91:$B$230="Garlic")*(H$91:H$230="P")*$C$91:$C$230)*$N$19+SUMPRODUCT(($B$91:$B$230="Garlic")*(H$91:H$230="G")*$C$91:$C$230)*$O$19+SUMPRODUCT(($B$91:$B$230="Garlic")*(H$91:H$230="H")*$C$91:$C$230)*$P$19+SUMPRODUCT(($B$91:$B$230="Tunnel Spinach")*(H$91:H$230="P")*$C$91:$C$230)*$N$20+SUMPRODUCT(($B$91:$B$230="Tunnel Spinach")*(H$91:H$230="G")*$C$91:$C$230)*$O$20+SUMPRODUCT(($B$91:$B$230="Tunnel Spinach")*(H$91:H$230="H")*$C$91:$C$230)*$P$20+SUMPRODUCT(($B$91:$B$230="Asparagus")*(H$91:H$230="P")*$C$91:$C$230)*$N$21+SUMPRODUCT(($B$91:$B$230="Asparagus")*(H$91:H$230="G")*$C$91:$C$230)*$O$21+SUMPRODUCT(($B$91:$B$230="Asparagus")*(H$91:H$230="H")*$C$91:$C$230)*$P$21-H284</f>
        <v/>
      </c>
      <c r="I291" s="42">
        <f>SUMPRODUCT(($B$91:$B$230="Spinach")*(I$91:I$230="P")*$C$91:$C$230)*$N$17+SUMPRODUCT(($B$91:$B$230="Spinach")*(I$91:I$230="G")*$C$91:$C$230)*$O$17+SUMPRODUCT(($B$91:$B$230="Spinach")*(I$91:I$230="H")*$C$91:$C$230)*$P$17+SUMPRODUCT(($B$91:$B$230="Kale")*(I$91:I$230="P")*$C$91:$C$230)*$N$18+SUMPRODUCT(($B$91:$B$230="Kale")*(I$91:I$230="G")*$C$91:$C$230)*$O$18+SUMPRODUCT(($B$91:$B$230="Kale")*(I$91:I$230="H")*$C$91:$C$230)*$P$18+SUMPRODUCT(($B$91:$B$230="Garlic")*(I$91:I$230="P")*$C$91:$C$230)*$N$19+SUMPRODUCT(($B$91:$B$230="Garlic")*(I$91:I$230="G")*$C$91:$C$230)*$O$19+SUMPRODUCT(($B$91:$B$230="Garlic")*(I$91:I$230="H")*$C$91:$C$230)*$P$19+SUMPRODUCT(($B$91:$B$230="Tunnel Spinach")*(I$91:I$230="P")*$C$91:$C$230)*$N$20+SUMPRODUCT(($B$91:$B$230="Tunnel Spinach")*(I$91:I$230="G")*$C$91:$C$230)*$O$20+SUMPRODUCT(($B$91:$B$230="Tunnel Spinach")*(I$91:I$230="H")*$C$91:$C$230)*$P$20+SUMPRODUCT(($B$91:$B$230="Asparagus")*(I$91:I$230="P")*$C$91:$C$230)*$N$21+SUMPRODUCT(($B$91:$B$230="Asparagus")*(I$91:I$230="G")*$C$91:$C$230)*$O$21+SUMPRODUCT(($B$91:$B$230="Asparagus")*(I$91:I$230="H")*$C$91:$C$230)*$P$21-I284</f>
        <v/>
      </c>
      <c r="J291" s="42">
        <f>SUMPRODUCT(($B$91:$B$230="Spinach")*(J$91:J$230="P")*$C$91:$C$230)*$N$17+SUMPRODUCT(($B$91:$B$230="Spinach")*(J$91:J$230="G")*$C$91:$C$230)*$O$17+SUMPRODUCT(($B$91:$B$230="Spinach")*(J$91:J$230="H")*$C$91:$C$230)*$P$17+SUMPRODUCT(($B$91:$B$230="Kale")*(J$91:J$230="P")*$C$91:$C$230)*$N$18+SUMPRODUCT(($B$91:$B$230="Kale")*(J$91:J$230="G")*$C$91:$C$230)*$O$18+SUMPRODUCT(($B$91:$B$230="Kale")*(J$91:J$230="H")*$C$91:$C$230)*$P$18+SUMPRODUCT(($B$91:$B$230="Garlic")*(J$91:J$230="P")*$C$91:$C$230)*$N$19+SUMPRODUCT(($B$91:$B$230="Garlic")*(J$91:J$230="G")*$C$91:$C$230)*$O$19+SUMPRODUCT(($B$91:$B$230="Garlic")*(J$91:J$230="H")*$C$91:$C$230)*$P$19+SUMPRODUCT(($B$91:$B$230="Tunnel Spinach")*(J$91:J$230="P")*$C$91:$C$230)*$N$20+SUMPRODUCT(($B$91:$B$230="Tunnel Spinach")*(J$91:J$230="G")*$C$91:$C$230)*$O$20+SUMPRODUCT(($B$91:$B$230="Tunnel Spinach")*(J$91:J$230="H")*$C$91:$C$230)*$P$20+SUMPRODUCT(($B$91:$B$230="Asparagus")*(J$91:J$230="P")*$C$91:$C$230)*$N$21+SUMPRODUCT(($B$91:$B$230="Asparagus")*(J$91:J$230="G")*$C$91:$C$230)*$O$21+SUMPRODUCT(($B$91:$B$230="Asparagus")*(J$91:J$230="H")*$C$91:$C$230)*$P$21-J284</f>
        <v/>
      </c>
      <c r="K291" s="42">
        <f>SUMPRODUCT(($B$91:$B$230="Spinach")*(K$91:K$230="P")*$C$91:$C$230)*$N$17+SUMPRODUCT(($B$91:$B$230="Spinach")*(K$91:K$230="G")*$C$91:$C$230)*$O$17+SUMPRODUCT(($B$91:$B$230="Spinach")*(K$91:K$230="H")*$C$91:$C$230)*$P$17+SUMPRODUCT(($B$91:$B$230="Kale")*(K$91:K$230="P")*$C$91:$C$230)*$N$18+SUMPRODUCT(($B$91:$B$230="Kale")*(K$91:K$230="G")*$C$91:$C$230)*$O$18+SUMPRODUCT(($B$91:$B$230="Kale")*(K$91:K$230="H")*$C$91:$C$230)*$P$18+SUMPRODUCT(($B$91:$B$230="Garlic")*(K$91:K$230="P")*$C$91:$C$230)*$N$19+SUMPRODUCT(($B$91:$B$230="Garlic")*(K$91:K$230="G")*$C$91:$C$230)*$O$19+SUMPRODUCT(($B$91:$B$230="Garlic")*(K$91:K$230="H")*$C$91:$C$230)*$P$19+SUMPRODUCT(($B$91:$B$230="Tunnel Spinach")*(K$91:K$230="P")*$C$91:$C$230)*$N$20+SUMPRODUCT(($B$91:$B$230="Tunnel Spinach")*(K$91:K$230="G")*$C$91:$C$230)*$O$20+SUMPRODUCT(($B$91:$B$230="Tunnel Spinach")*(K$91:K$230="H")*$C$91:$C$230)*$P$20+SUMPRODUCT(($B$91:$B$230="Asparagus")*(K$91:K$230="P")*$C$91:$C$230)*$N$21+SUMPRODUCT(($B$91:$B$230="Asparagus")*(K$91:K$230="G")*$C$91:$C$230)*$O$21+SUMPRODUCT(($B$91:$B$230="Asparagus")*(K$91:K$230="H")*$C$91:$C$230)*$P$21-K284</f>
        <v/>
      </c>
      <c r="L291" s="42">
        <f>SUMPRODUCT(($B$91:$B$230="Spinach")*(L$91:L$230="P")*$C$91:$C$230)*$N$17+SUMPRODUCT(($B$91:$B$230="Spinach")*(L$91:L$230="G")*$C$91:$C$230)*$O$17+SUMPRODUCT(($B$91:$B$230="Spinach")*(L$91:L$230="H")*$C$91:$C$230)*$P$17+SUMPRODUCT(($B$91:$B$230="Kale")*(L$91:L$230="P")*$C$91:$C$230)*$N$18+SUMPRODUCT(($B$91:$B$230="Kale")*(L$91:L$230="G")*$C$91:$C$230)*$O$18+SUMPRODUCT(($B$91:$B$230="Kale")*(L$91:L$230="H")*$C$91:$C$230)*$P$18+SUMPRODUCT(($B$91:$B$230="Garlic")*(L$91:L$230="P")*$C$91:$C$230)*$N$19+SUMPRODUCT(($B$91:$B$230="Garlic")*(L$91:L$230="G")*$C$91:$C$230)*$O$19+SUMPRODUCT(($B$91:$B$230="Garlic")*(L$91:L$230="H")*$C$91:$C$230)*$P$19+SUMPRODUCT(($B$91:$B$230="Tunnel Spinach")*(L$91:L$230="P")*$C$91:$C$230)*$N$20+SUMPRODUCT(($B$91:$B$230="Tunnel Spinach")*(L$91:L$230="G")*$C$91:$C$230)*$O$20+SUMPRODUCT(($B$91:$B$230="Tunnel Spinach")*(L$91:L$230="H")*$C$91:$C$230)*$P$20+SUMPRODUCT(($B$91:$B$230="Asparagus")*(L$91:L$230="P")*$C$91:$C$230)*$N$21+SUMPRODUCT(($B$91:$B$230="Asparagus")*(L$91:L$230="G")*$C$91:$C$230)*$O$21+SUMPRODUCT(($B$91:$B$230="Asparagus")*(L$91:L$230="H")*$C$91:$C$230)*$P$21-L284</f>
        <v/>
      </c>
      <c r="M291" s="42">
        <f>SUMPRODUCT(($B$91:$B$230="Spinach")*(M$91:M$230="P")*$C$91:$C$230)*$N$17+SUMPRODUCT(($B$91:$B$230="Spinach")*(M$91:M$230="G")*$C$91:$C$230)*$O$17+SUMPRODUCT(($B$91:$B$230="Spinach")*(M$91:M$230="H")*$C$91:$C$230)*$P$17+SUMPRODUCT(($B$91:$B$230="Kale")*(M$91:M$230="P")*$C$91:$C$230)*$N$18+SUMPRODUCT(($B$91:$B$230="Kale")*(M$91:M$230="G")*$C$91:$C$230)*$O$18+SUMPRODUCT(($B$91:$B$230="Kale")*(M$91:M$230="H")*$C$91:$C$230)*$P$18+SUMPRODUCT(($B$91:$B$230="Garlic")*(M$91:M$230="P")*$C$91:$C$230)*$N$19+SUMPRODUCT(($B$91:$B$230="Garlic")*(M$91:M$230="G")*$C$91:$C$230)*$O$19+SUMPRODUCT(($B$91:$B$230="Garlic")*(M$91:M$230="H")*$C$91:$C$230)*$P$19+SUMPRODUCT(($B$91:$B$230="Tunnel Spinach")*(M$91:M$230="P")*$C$91:$C$230)*$N$20+SUMPRODUCT(($B$91:$B$230="Tunnel Spinach")*(M$91:M$230="G")*$C$91:$C$230)*$O$20+SUMPRODUCT(($B$91:$B$230="Tunnel Spinach")*(M$91:M$230="H")*$C$91:$C$230)*$P$20+SUMPRODUCT(($B$91:$B$230="Asparagus")*(M$91:M$230="P")*$C$91:$C$230)*$N$21+SUMPRODUCT(($B$91:$B$230="Asparagus")*(M$91:M$230="G")*$C$91:$C$230)*$O$21+SUMPRODUCT(($B$91:$B$230="Asparagus")*(M$91:M$230="H")*$C$91:$C$230)*$P$21-M284</f>
        <v/>
      </c>
      <c r="N291" s="42">
        <f>SUMPRODUCT(($B$91:$B$230="Spinach")*(N$91:N$230="P")*$C$91:$C$230)*$N$17+SUMPRODUCT(($B$91:$B$230="Spinach")*(N$91:N$230="G")*$C$91:$C$230)*$O$17+SUMPRODUCT(($B$91:$B$230="Spinach")*(N$91:N$230="H")*$C$91:$C$230)*$P$17+SUMPRODUCT(($B$91:$B$230="Kale")*(N$91:N$230="P")*$C$91:$C$230)*$N$18+SUMPRODUCT(($B$91:$B$230="Kale")*(N$91:N$230="G")*$C$91:$C$230)*$O$18+SUMPRODUCT(($B$91:$B$230="Kale")*(N$91:N$230="H")*$C$91:$C$230)*$P$18+SUMPRODUCT(($B$91:$B$230="Garlic")*(N$91:N$230="P")*$C$91:$C$230)*$N$19+SUMPRODUCT(($B$91:$B$230="Garlic")*(N$91:N$230="G")*$C$91:$C$230)*$O$19+SUMPRODUCT(($B$91:$B$230="Garlic")*(N$91:N$230="H")*$C$91:$C$230)*$P$19+SUMPRODUCT(($B$91:$B$230="Tunnel Spinach")*(N$91:N$230="P")*$C$91:$C$230)*$N$20+SUMPRODUCT(($B$91:$B$230="Tunnel Spinach")*(N$91:N$230="G")*$C$91:$C$230)*$O$20+SUMPRODUCT(($B$91:$B$230="Tunnel Spinach")*(N$91:N$230="H")*$C$91:$C$230)*$P$20+SUMPRODUCT(($B$91:$B$230="Asparagus")*(N$91:N$230="P")*$C$91:$C$230)*$N$21+SUMPRODUCT(($B$91:$B$230="Asparagus")*(N$91:N$230="G")*$C$91:$C$230)*$O$21+SUMPRODUCT(($B$91:$B$230="Asparagus")*(N$91:N$230="H")*$C$91:$C$230)*$P$21-N284</f>
        <v/>
      </c>
      <c r="O291" s="42">
        <f>SUMPRODUCT(($B$91:$B$230="Spinach")*(O$91:O$230="P")*$C$91:$C$230)*$N$17+SUMPRODUCT(($B$91:$B$230="Spinach")*(O$91:O$230="G")*$C$91:$C$230)*$O$17+SUMPRODUCT(($B$91:$B$230="Spinach")*(O$91:O$230="H")*$C$91:$C$230)*$P$17+SUMPRODUCT(($B$91:$B$230="Kale")*(O$91:O$230="P")*$C$91:$C$230)*$N$18+SUMPRODUCT(($B$91:$B$230="Kale")*(O$91:O$230="G")*$C$91:$C$230)*$O$18+SUMPRODUCT(($B$91:$B$230="Kale")*(O$91:O$230="H")*$C$91:$C$230)*$P$18+SUMPRODUCT(($B$91:$B$230="Garlic")*(O$91:O$230="P")*$C$91:$C$230)*$N$19+SUMPRODUCT(($B$91:$B$230="Garlic")*(O$91:O$230="G")*$C$91:$C$230)*$O$19+SUMPRODUCT(($B$91:$B$230="Garlic")*(O$91:O$230="H")*$C$91:$C$230)*$P$19+SUMPRODUCT(($B$91:$B$230="Tunnel Spinach")*(O$91:O$230="P")*$C$91:$C$230)*$N$20+SUMPRODUCT(($B$91:$B$230="Tunnel Spinach")*(O$91:O$230="G")*$C$91:$C$230)*$O$20+SUMPRODUCT(($B$91:$B$230="Tunnel Spinach")*(O$91:O$230="H")*$C$91:$C$230)*$P$20+SUMPRODUCT(($B$91:$B$230="Asparagus")*(O$91:O$230="P")*$C$91:$C$230)*$N$21+SUMPRODUCT(($B$91:$B$230="Asparagus")*(O$91:O$230="G")*$C$91:$C$230)*$O$21+SUMPRODUCT(($B$91:$B$230="Asparagus")*(O$91:O$230="H")*$C$91:$C$230)*$P$21-O284</f>
        <v/>
      </c>
      <c r="P291" s="42">
        <f>SUMPRODUCT(($B$91:$B$230="Spinach")*(P$91:P$230="P")*$C$91:$C$230)*$N$17+SUMPRODUCT(($B$91:$B$230="Spinach")*(P$91:P$230="G")*$C$91:$C$230)*$O$17+SUMPRODUCT(($B$91:$B$230="Spinach")*(P$91:P$230="H")*$C$91:$C$230)*$P$17+SUMPRODUCT(($B$91:$B$230="Kale")*(P$91:P$230="P")*$C$91:$C$230)*$N$18+SUMPRODUCT(($B$91:$B$230="Kale")*(P$91:P$230="G")*$C$91:$C$230)*$O$18+SUMPRODUCT(($B$91:$B$230="Kale")*(P$91:P$230="H")*$C$91:$C$230)*$P$18+SUMPRODUCT(($B$91:$B$230="Garlic")*(P$91:P$230="P")*$C$91:$C$230)*$N$19+SUMPRODUCT(($B$91:$B$230="Garlic")*(P$91:P$230="G")*$C$91:$C$230)*$O$19+SUMPRODUCT(($B$91:$B$230="Garlic")*(P$91:P$230="H")*$C$91:$C$230)*$P$19+SUMPRODUCT(($B$91:$B$230="Tunnel Spinach")*(P$91:P$230="P")*$C$91:$C$230)*$N$20+SUMPRODUCT(($B$91:$B$230="Tunnel Spinach")*(P$91:P$230="G")*$C$91:$C$230)*$O$20+SUMPRODUCT(($B$91:$B$230="Tunnel Spinach")*(P$91:P$230="H")*$C$91:$C$230)*$P$20+SUMPRODUCT(($B$91:$B$230="Asparagus")*(P$91:P$230="P")*$C$91:$C$230)*$N$21+SUMPRODUCT(($B$91:$B$230="Asparagus")*(P$91:P$230="G")*$C$91:$C$230)*$O$21+SUMPRODUCT(($B$91:$B$230="Asparagus")*(P$91:P$230="H")*$C$91:$C$230)*$P$21-P284</f>
        <v/>
      </c>
      <c r="Q291" s="42">
        <f>SUMPRODUCT(($B$91:$B$230="Spinach")*(Q$91:Q$230="P")*$C$91:$C$230)*$N$17+SUMPRODUCT(($B$91:$B$230="Spinach")*(Q$91:Q$230="G")*$C$91:$C$230)*$O$17+SUMPRODUCT(($B$91:$B$230="Spinach")*(Q$91:Q$230="H")*$C$91:$C$230)*$P$17+SUMPRODUCT(($B$91:$B$230="Kale")*(Q$91:Q$230="P")*$C$91:$C$230)*$N$18+SUMPRODUCT(($B$91:$B$230="Kale")*(Q$91:Q$230="G")*$C$91:$C$230)*$O$18+SUMPRODUCT(($B$91:$B$230="Kale")*(Q$91:Q$230="H")*$C$91:$C$230)*$P$18+SUMPRODUCT(($B$91:$B$230="Garlic")*(Q$91:Q$230="P")*$C$91:$C$230)*$N$19+SUMPRODUCT(($B$91:$B$230="Garlic")*(Q$91:Q$230="G")*$C$91:$C$230)*$O$19+SUMPRODUCT(($B$91:$B$230="Garlic")*(Q$91:Q$230="H")*$C$91:$C$230)*$P$19+SUMPRODUCT(($B$91:$B$230="Tunnel Spinach")*(Q$91:Q$230="P")*$C$91:$C$230)*$N$20+SUMPRODUCT(($B$91:$B$230="Tunnel Spinach")*(Q$91:Q$230="G")*$C$91:$C$230)*$O$20+SUMPRODUCT(($B$91:$B$230="Tunnel Spinach")*(Q$91:Q$230="H")*$C$91:$C$230)*$P$20+SUMPRODUCT(($B$91:$B$230="Asparagus")*(Q$91:Q$230="P")*$C$91:$C$230)*$N$21+SUMPRODUCT(($B$91:$B$230="Asparagus")*(Q$91:Q$230="G")*$C$91:$C$230)*$O$21+SUMPRODUCT(($B$91:$B$230="Asparagus")*(Q$91:Q$230="H")*$C$91:$C$230)*$P$21-Q284</f>
        <v/>
      </c>
      <c r="R291" s="42">
        <f>SUMPRODUCT(($B$91:$B$230="Spinach")*(R$91:R$230="P")*$C$91:$C$230)*$N$17+SUMPRODUCT(($B$91:$B$230="Spinach")*(R$91:R$230="G")*$C$91:$C$230)*$O$17+SUMPRODUCT(($B$91:$B$230="Spinach")*(R$91:R$230="H")*$C$91:$C$230)*$P$17+SUMPRODUCT(($B$91:$B$230="Kale")*(R$91:R$230="P")*$C$91:$C$230)*$N$18+SUMPRODUCT(($B$91:$B$230="Kale")*(R$91:R$230="G")*$C$91:$C$230)*$O$18+SUMPRODUCT(($B$91:$B$230="Kale")*(R$91:R$230="H")*$C$91:$C$230)*$P$18+SUMPRODUCT(($B$91:$B$230="Garlic")*(R$91:R$230="P")*$C$91:$C$230)*$N$19+SUMPRODUCT(($B$91:$B$230="Garlic")*(R$91:R$230="G")*$C$91:$C$230)*$O$19+SUMPRODUCT(($B$91:$B$230="Garlic")*(R$91:R$230="H")*$C$91:$C$230)*$P$19+SUMPRODUCT(($B$91:$B$230="Tunnel Spinach")*(R$91:R$230="P")*$C$91:$C$230)*$N$20+SUMPRODUCT(($B$91:$B$230="Tunnel Spinach")*(R$91:R$230="G")*$C$91:$C$230)*$O$20+SUMPRODUCT(($B$91:$B$230="Tunnel Spinach")*(R$91:R$230="H")*$C$91:$C$230)*$P$20+SUMPRODUCT(($B$91:$B$230="Asparagus")*(R$91:R$230="P")*$C$91:$C$230)*$N$21+SUMPRODUCT(($B$91:$B$230="Asparagus")*(R$91:R$230="G")*$C$91:$C$230)*$O$21+SUMPRODUCT(($B$91:$B$230="Asparagus")*(R$91:R$230="H")*$C$91:$C$230)*$P$21-R284</f>
        <v/>
      </c>
      <c r="S291" s="42">
        <f>SUMPRODUCT(($B$91:$B$230="Spinach")*(S$91:S$230="P")*$C$91:$C$230)*$N$17+SUMPRODUCT(($B$91:$B$230="Spinach")*(S$91:S$230="G")*$C$91:$C$230)*$O$17+SUMPRODUCT(($B$91:$B$230="Spinach")*(S$91:S$230="H")*$C$91:$C$230)*$P$17+SUMPRODUCT(($B$91:$B$230="Kale")*(S$91:S$230="P")*$C$91:$C$230)*$N$18+SUMPRODUCT(($B$91:$B$230="Kale")*(S$91:S$230="G")*$C$91:$C$230)*$O$18+SUMPRODUCT(($B$91:$B$230="Kale")*(S$91:S$230="H")*$C$91:$C$230)*$P$18+SUMPRODUCT(($B$91:$B$230="Garlic")*(S$91:S$230="P")*$C$91:$C$230)*$N$19+SUMPRODUCT(($B$91:$B$230="Garlic")*(S$91:S$230="G")*$C$91:$C$230)*$O$19+SUMPRODUCT(($B$91:$B$230="Garlic")*(S$91:S$230="H")*$C$91:$C$230)*$P$19+SUMPRODUCT(($B$91:$B$230="Tunnel Spinach")*(S$91:S$230="P")*$C$91:$C$230)*$N$20+SUMPRODUCT(($B$91:$B$230="Tunnel Spinach")*(S$91:S$230="G")*$C$91:$C$230)*$O$20+SUMPRODUCT(($B$91:$B$230="Tunnel Spinach")*(S$91:S$230="H")*$C$91:$C$230)*$P$20+SUMPRODUCT(($B$91:$B$230="Asparagus")*(S$91:S$230="P")*$C$91:$C$230)*$N$21+SUMPRODUCT(($B$91:$B$230="Asparagus")*(S$91:S$230="G")*$C$91:$C$230)*$O$21+SUMPRODUCT(($B$91:$B$230="Asparagus")*(S$91:S$230="H")*$C$91:$C$230)*$P$21-S284</f>
        <v/>
      </c>
      <c r="T291" s="42">
        <f>SUMPRODUCT(($B$91:$B$230="Spinach")*(T$91:T$230="P")*$C$91:$C$230)*$N$17+SUMPRODUCT(($B$91:$B$230="Spinach")*(T$91:T$230="G")*$C$91:$C$230)*$O$17+SUMPRODUCT(($B$91:$B$230="Spinach")*(T$91:T$230="H")*$C$91:$C$230)*$P$17+SUMPRODUCT(($B$91:$B$230="Kale")*(T$91:T$230="P")*$C$91:$C$230)*$N$18+SUMPRODUCT(($B$91:$B$230="Kale")*(T$91:T$230="G")*$C$91:$C$230)*$O$18+SUMPRODUCT(($B$91:$B$230="Kale")*(T$91:T$230="H")*$C$91:$C$230)*$P$18+SUMPRODUCT(($B$91:$B$230="Garlic")*(T$91:T$230="P")*$C$91:$C$230)*$N$19+SUMPRODUCT(($B$91:$B$230="Garlic")*(T$91:T$230="G")*$C$91:$C$230)*$O$19+SUMPRODUCT(($B$91:$B$230="Garlic")*(T$91:T$230="H")*$C$91:$C$230)*$P$19+SUMPRODUCT(($B$91:$B$230="Tunnel Spinach")*(T$91:T$230="P")*$C$91:$C$230)*$N$20+SUMPRODUCT(($B$91:$B$230="Tunnel Spinach")*(T$91:T$230="G")*$C$91:$C$230)*$O$20+SUMPRODUCT(($B$91:$B$230="Tunnel Spinach")*(T$91:T$230="H")*$C$91:$C$230)*$P$20+SUMPRODUCT(($B$91:$B$230="Asparagus")*(T$91:T$230="P")*$C$91:$C$230)*$N$21+SUMPRODUCT(($B$91:$B$230="Asparagus")*(T$91:T$230="G")*$C$91:$C$230)*$O$21+SUMPRODUCT(($B$91:$B$230="Asparagus")*(T$91:T$230="H")*$C$91:$C$230)*$P$21-T284</f>
        <v/>
      </c>
      <c r="U291" s="42">
        <f>SUMPRODUCT(($B$91:$B$230="Spinach")*(U$91:U$230="P")*$C$91:$C$230)*$N$17+SUMPRODUCT(($B$91:$B$230="Spinach")*(U$91:U$230="G")*$C$91:$C$230)*$O$17+SUMPRODUCT(($B$91:$B$230="Spinach")*(U$91:U$230="H")*$C$91:$C$230)*$P$17+SUMPRODUCT(($B$91:$B$230="Kale")*(U$91:U$230="P")*$C$91:$C$230)*$N$18+SUMPRODUCT(($B$91:$B$230="Kale")*(U$91:U$230="G")*$C$91:$C$230)*$O$18+SUMPRODUCT(($B$91:$B$230="Kale")*(U$91:U$230="H")*$C$91:$C$230)*$P$18+SUMPRODUCT(($B$91:$B$230="Garlic")*(U$91:U$230="P")*$C$91:$C$230)*$N$19+SUMPRODUCT(($B$91:$B$230="Garlic")*(U$91:U$230="G")*$C$91:$C$230)*$O$19+SUMPRODUCT(($B$91:$B$230="Garlic")*(U$91:U$230="H")*$C$91:$C$230)*$P$19+SUMPRODUCT(($B$91:$B$230="Tunnel Spinach")*(U$91:U$230="P")*$C$91:$C$230)*$N$20+SUMPRODUCT(($B$91:$B$230="Tunnel Spinach")*(U$91:U$230="G")*$C$91:$C$230)*$O$20+SUMPRODUCT(($B$91:$B$230="Tunnel Spinach")*(U$91:U$230="H")*$C$91:$C$230)*$P$20+SUMPRODUCT(($B$91:$B$230="Asparagus")*(U$91:U$230="P")*$C$91:$C$230)*$N$21+SUMPRODUCT(($B$91:$B$230="Asparagus")*(U$91:U$230="G")*$C$91:$C$230)*$O$21+SUMPRODUCT(($B$91:$B$230="Asparagus")*(U$91:U$230="H")*$C$91:$C$230)*$P$21-U284</f>
        <v/>
      </c>
      <c r="V291" s="42">
        <f>SUMPRODUCT(($B$91:$B$230="Spinach")*(V$91:V$230="P")*$C$91:$C$230)*$N$17+SUMPRODUCT(($B$91:$B$230="Spinach")*(V$91:V$230="G")*$C$91:$C$230)*$O$17+SUMPRODUCT(($B$91:$B$230="Spinach")*(V$91:V$230="H")*$C$91:$C$230)*$P$17+SUMPRODUCT(($B$91:$B$230="Kale")*(V$91:V$230="P")*$C$91:$C$230)*$N$18+SUMPRODUCT(($B$91:$B$230="Kale")*(V$91:V$230="G")*$C$91:$C$230)*$O$18+SUMPRODUCT(($B$91:$B$230="Kale")*(V$91:V$230="H")*$C$91:$C$230)*$P$18+SUMPRODUCT(($B$91:$B$230="Garlic")*(V$91:V$230="P")*$C$91:$C$230)*$N$19+SUMPRODUCT(($B$91:$B$230="Garlic")*(V$91:V$230="G")*$C$91:$C$230)*$O$19+SUMPRODUCT(($B$91:$B$230="Garlic")*(V$91:V$230="H")*$C$91:$C$230)*$P$19+SUMPRODUCT(($B$91:$B$230="Tunnel Spinach")*(V$91:V$230="P")*$C$91:$C$230)*$N$20+SUMPRODUCT(($B$91:$B$230="Tunnel Spinach")*(V$91:V$230="G")*$C$91:$C$230)*$O$20+SUMPRODUCT(($B$91:$B$230="Tunnel Spinach")*(V$91:V$230="H")*$C$91:$C$230)*$P$20+SUMPRODUCT(($B$91:$B$230="Asparagus")*(V$91:V$230="P")*$C$91:$C$230)*$N$21+SUMPRODUCT(($B$91:$B$230="Asparagus")*(V$91:V$230="G")*$C$91:$C$230)*$O$21+SUMPRODUCT(($B$91:$B$230="Asparagus")*(V$91:V$230="H")*$C$91:$C$230)*$P$21-V284</f>
        <v/>
      </c>
      <c r="W291" s="42">
        <f>SUMPRODUCT(($B$91:$B$230="Spinach")*(W$91:W$230="P")*$C$91:$C$230)*$N$17+SUMPRODUCT(($B$91:$B$230="Spinach")*(W$91:W$230="G")*$C$91:$C$230)*$O$17+SUMPRODUCT(($B$91:$B$230="Spinach")*(W$91:W$230="H")*$C$91:$C$230)*$P$17+SUMPRODUCT(($B$91:$B$230="Kale")*(W$91:W$230="P")*$C$91:$C$230)*$N$18+SUMPRODUCT(($B$91:$B$230="Kale")*(W$91:W$230="G")*$C$91:$C$230)*$O$18+SUMPRODUCT(($B$91:$B$230="Kale")*(W$91:W$230="H")*$C$91:$C$230)*$P$18+SUMPRODUCT(($B$91:$B$230="Garlic")*(W$91:W$230="P")*$C$91:$C$230)*$N$19+SUMPRODUCT(($B$91:$B$230="Garlic")*(W$91:W$230="G")*$C$91:$C$230)*$O$19+SUMPRODUCT(($B$91:$B$230="Garlic")*(W$91:W$230="H")*$C$91:$C$230)*$P$19+SUMPRODUCT(($B$91:$B$230="Tunnel Spinach")*(W$91:W$230="P")*$C$91:$C$230)*$N$20+SUMPRODUCT(($B$91:$B$230="Tunnel Spinach")*(W$91:W$230="G")*$C$91:$C$230)*$O$20+SUMPRODUCT(($B$91:$B$230="Tunnel Spinach")*(W$91:W$230="H")*$C$91:$C$230)*$P$20+SUMPRODUCT(($B$91:$B$230="Asparagus")*(W$91:W$230="P")*$C$91:$C$230)*$N$21+SUMPRODUCT(($B$91:$B$230="Asparagus")*(W$91:W$230="G")*$C$91:$C$230)*$O$21+SUMPRODUCT(($B$91:$B$230="Asparagus")*(W$91:W$230="H")*$C$91:$C$230)*$P$21-W284</f>
        <v/>
      </c>
      <c r="X291" s="42">
        <f>SUMPRODUCT(($B$91:$B$230="Spinach")*(X$91:X$230="P")*$C$91:$C$230)*$N$17+SUMPRODUCT(($B$91:$B$230="Spinach")*(X$91:X$230="G")*$C$91:$C$230)*$O$17+SUMPRODUCT(($B$91:$B$230="Spinach")*(X$91:X$230="H")*$C$91:$C$230)*$P$17+SUMPRODUCT(($B$91:$B$230="Kale")*(X$91:X$230="P")*$C$91:$C$230)*$N$18+SUMPRODUCT(($B$91:$B$230="Kale")*(X$91:X$230="G")*$C$91:$C$230)*$O$18+SUMPRODUCT(($B$91:$B$230="Kale")*(X$91:X$230="H")*$C$91:$C$230)*$P$18+SUMPRODUCT(($B$91:$B$230="Garlic")*(X$91:X$230="P")*$C$91:$C$230)*$N$19+SUMPRODUCT(($B$91:$B$230="Garlic")*(X$91:X$230="G")*$C$91:$C$230)*$O$19+SUMPRODUCT(($B$91:$B$230="Garlic")*(X$91:X$230="H")*$C$91:$C$230)*$P$19+SUMPRODUCT(($B$91:$B$230="Tunnel Spinach")*(X$91:X$230="P")*$C$91:$C$230)*$N$20+SUMPRODUCT(($B$91:$B$230="Tunnel Spinach")*(X$91:X$230="G")*$C$91:$C$230)*$O$20+SUMPRODUCT(($B$91:$B$230="Tunnel Spinach")*(X$91:X$230="H")*$C$91:$C$230)*$P$20+SUMPRODUCT(($B$91:$B$230="Asparagus")*(X$91:X$230="P")*$C$91:$C$230)*$N$21+SUMPRODUCT(($B$91:$B$230="Asparagus")*(X$91:X$230="G")*$C$91:$C$230)*$O$21+SUMPRODUCT(($B$91:$B$230="Asparagus")*(X$91:X$230="H")*$C$91:$C$230)*$P$21-X284</f>
        <v/>
      </c>
      <c r="Y291" s="42">
        <f>SUMPRODUCT(($B$91:$B$230="Spinach")*(Y$91:Y$230="P")*$C$91:$C$230)*$N$17+SUMPRODUCT(($B$91:$B$230="Spinach")*(Y$91:Y$230="G")*$C$91:$C$230)*$O$17+SUMPRODUCT(($B$91:$B$230="Spinach")*(Y$91:Y$230="H")*$C$91:$C$230)*$P$17+SUMPRODUCT(($B$91:$B$230="Kale")*(Y$91:Y$230="P")*$C$91:$C$230)*$N$18+SUMPRODUCT(($B$91:$B$230="Kale")*(Y$91:Y$230="G")*$C$91:$C$230)*$O$18+SUMPRODUCT(($B$91:$B$230="Kale")*(Y$91:Y$230="H")*$C$91:$C$230)*$P$18+SUMPRODUCT(($B$91:$B$230="Garlic")*(Y$91:Y$230="P")*$C$91:$C$230)*$N$19+SUMPRODUCT(($B$91:$B$230="Garlic")*(Y$91:Y$230="G")*$C$91:$C$230)*$O$19+SUMPRODUCT(($B$91:$B$230="Garlic")*(Y$91:Y$230="H")*$C$91:$C$230)*$P$19+SUMPRODUCT(($B$91:$B$230="Tunnel Spinach")*(Y$91:Y$230="P")*$C$91:$C$230)*$N$20+SUMPRODUCT(($B$91:$B$230="Tunnel Spinach")*(Y$91:Y$230="G")*$C$91:$C$230)*$O$20+SUMPRODUCT(($B$91:$B$230="Tunnel Spinach")*(Y$91:Y$230="H")*$C$91:$C$230)*$P$20+SUMPRODUCT(($B$91:$B$230="Asparagus")*(Y$91:Y$230="P")*$C$91:$C$230)*$N$21+SUMPRODUCT(($B$91:$B$230="Asparagus")*(Y$91:Y$230="G")*$C$91:$C$230)*$O$21+SUMPRODUCT(($B$91:$B$230="Asparagus")*(Y$91:Y$230="H")*$C$91:$C$230)*$P$21-Y284</f>
        <v/>
      </c>
      <c r="Z291" s="42">
        <f>SUMPRODUCT(($B$91:$B$230="Spinach")*(Z$91:Z$230="P")*$C$91:$C$230)*$N$17+SUMPRODUCT(($B$91:$B$230="Spinach")*(Z$91:Z$230="G")*$C$91:$C$230)*$O$17+SUMPRODUCT(($B$91:$B$230="Spinach")*(Z$91:Z$230="H")*$C$91:$C$230)*$P$17+SUMPRODUCT(($B$91:$B$230="Kale")*(Z$91:Z$230="P")*$C$91:$C$230)*$N$18+SUMPRODUCT(($B$91:$B$230="Kale")*(Z$91:Z$230="G")*$C$91:$C$230)*$O$18+SUMPRODUCT(($B$91:$B$230="Kale")*(Z$91:Z$230="H")*$C$91:$C$230)*$P$18+SUMPRODUCT(($B$91:$B$230="Garlic")*(Z$91:Z$230="P")*$C$91:$C$230)*$N$19+SUMPRODUCT(($B$91:$B$230="Garlic")*(Z$91:Z$230="G")*$C$91:$C$230)*$O$19+SUMPRODUCT(($B$91:$B$230="Garlic")*(Z$91:Z$230="H")*$C$91:$C$230)*$P$19+SUMPRODUCT(($B$91:$B$230="Tunnel Spinach")*(Z$91:Z$230="P")*$C$91:$C$230)*$N$20+SUMPRODUCT(($B$91:$B$230="Tunnel Spinach")*(Z$91:Z$230="G")*$C$91:$C$230)*$O$20+SUMPRODUCT(($B$91:$B$230="Tunnel Spinach")*(Z$91:Z$230="H")*$C$91:$C$230)*$P$20+SUMPRODUCT(($B$91:$B$230="Asparagus")*(Z$91:Z$230="P")*$C$91:$C$230)*$N$21+SUMPRODUCT(($B$91:$B$230="Asparagus")*(Z$91:Z$230="G")*$C$91:$C$230)*$O$21+SUMPRODUCT(($B$91:$B$230="Asparagus")*(Z$91:Z$230="H")*$C$91:$C$230)*$P$21-Z284</f>
        <v/>
      </c>
      <c r="AA291" s="42">
        <f>SUMPRODUCT(($B$91:$B$230="Spinach")*(AA$91:AA$230="P")*$C$91:$C$230)*$N$17+SUMPRODUCT(($B$91:$B$230="Spinach")*(AA$91:AA$230="G")*$C$91:$C$230)*$O$17+SUMPRODUCT(($B$91:$B$230="Spinach")*(AA$91:AA$230="H")*$C$91:$C$230)*$P$17+SUMPRODUCT(($B$91:$B$230="Kale")*(AA$91:AA$230="P")*$C$91:$C$230)*$N$18+SUMPRODUCT(($B$91:$B$230="Kale")*(AA$91:AA$230="G")*$C$91:$C$230)*$O$18+SUMPRODUCT(($B$91:$B$230="Kale")*(AA$91:AA$230="H")*$C$91:$C$230)*$P$18+SUMPRODUCT(($B$91:$B$230="Garlic")*(AA$91:AA$230="P")*$C$91:$C$230)*$N$19+SUMPRODUCT(($B$91:$B$230="Garlic")*(AA$91:AA$230="G")*$C$91:$C$230)*$O$19+SUMPRODUCT(($B$91:$B$230="Garlic")*(AA$91:AA$230="H")*$C$91:$C$230)*$P$19+SUMPRODUCT(($B$91:$B$230="Tunnel Spinach")*(AA$91:AA$230="P")*$C$91:$C$230)*$N$20+SUMPRODUCT(($B$91:$B$230="Tunnel Spinach")*(AA$91:AA$230="G")*$C$91:$C$230)*$O$20+SUMPRODUCT(($B$91:$B$230="Tunnel Spinach")*(AA$91:AA$230="H")*$C$91:$C$230)*$P$20+SUMPRODUCT(($B$91:$B$230="Asparagus")*(AA$91:AA$230="P")*$C$91:$C$230)*$N$21+SUMPRODUCT(($B$91:$B$230="Asparagus")*(AA$91:AA$230="G")*$C$91:$C$230)*$O$21+SUMPRODUCT(($B$91:$B$230="Asparagus")*(AA$91:AA$230="H")*$C$91:$C$230)*$P$21-AA284</f>
        <v/>
      </c>
      <c r="AB291" s="42">
        <f>SUMPRODUCT(($B$91:$B$230="Spinach")*(AB$91:AB$230="P")*$C$91:$C$230)*$N$17+SUMPRODUCT(($B$91:$B$230="Spinach")*(AB$91:AB$230="G")*$C$91:$C$230)*$O$17+SUMPRODUCT(($B$91:$B$230="Spinach")*(AB$91:AB$230="H")*$C$91:$C$230)*$P$17+SUMPRODUCT(($B$91:$B$230="Kale")*(AB$91:AB$230="P")*$C$91:$C$230)*$N$18+SUMPRODUCT(($B$91:$B$230="Kale")*(AB$91:AB$230="G")*$C$91:$C$230)*$O$18+SUMPRODUCT(($B$91:$B$230="Kale")*(AB$91:AB$230="H")*$C$91:$C$230)*$P$18+SUMPRODUCT(($B$91:$B$230="Garlic")*(AB$91:AB$230="P")*$C$91:$C$230)*$N$19+SUMPRODUCT(($B$91:$B$230="Garlic")*(AB$91:AB$230="G")*$C$91:$C$230)*$O$19+SUMPRODUCT(($B$91:$B$230="Garlic")*(AB$91:AB$230="H")*$C$91:$C$230)*$P$19+SUMPRODUCT(($B$91:$B$230="Tunnel Spinach")*(AB$91:AB$230="P")*$C$91:$C$230)*$N$20+SUMPRODUCT(($B$91:$B$230="Tunnel Spinach")*(AB$91:AB$230="G")*$C$91:$C$230)*$O$20+SUMPRODUCT(($B$91:$B$230="Tunnel Spinach")*(AB$91:AB$230="H")*$C$91:$C$230)*$P$20+SUMPRODUCT(($B$91:$B$230="Asparagus")*(AB$91:AB$230="P")*$C$91:$C$230)*$N$21+SUMPRODUCT(($B$91:$B$230="Asparagus")*(AB$91:AB$230="G")*$C$91:$C$230)*$O$21+SUMPRODUCT(($B$91:$B$230="Asparagus")*(AB$91:AB$230="H")*$C$91:$C$230)*$P$21-AB284</f>
        <v/>
      </c>
      <c r="AC291" s="42">
        <f>SUMPRODUCT(($B$91:$B$230="Spinach")*(AC$91:AC$230="P")*$C$91:$C$230)*$N$17+SUMPRODUCT(($B$91:$B$230="Spinach")*(AC$91:AC$230="G")*$C$91:$C$230)*$O$17+SUMPRODUCT(($B$91:$B$230="Spinach")*(AC$91:AC$230="H")*$C$91:$C$230)*$P$17+SUMPRODUCT(($B$91:$B$230="Kale")*(AC$91:AC$230="P")*$C$91:$C$230)*$N$18+SUMPRODUCT(($B$91:$B$230="Kale")*(AC$91:AC$230="G")*$C$91:$C$230)*$O$18+SUMPRODUCT(($B$91:$B$230="Kale")*(AC$91:AC$230="H")*$C$91:$C$230)*$P$18+SUMPRODUCT(($B$91:$B$230="Garlic")*(AC$91:AC$230="P")*$C$91:$C$230)*$N$19+SUMPRODUCT(($B$91:$B$230="Garlic")*(AC$91:AC$230="G")*$C$91:$C$230)*$O$19+SUMPRODUCT(($B$91:$B$230="Garlic")*(AC$91:AC$230="H")*$C$91:$C$230)*$P$19+SUMPRODUCT(($B$91:$B$230="Tunnel Spinach")*(AC$91:AC$230="P")*$C$91:$C$230)*$N$20+SUMPRODUCT(($B$91:$B$230="Tunnel Spinach")*(AC$91:AC$230="G")*$C$91:$C$230)*$O$20+SUMPRODUCT(($B$91:$B$230="Tunnel Spinach")*(AC$91:AC$230="H")*$C$91:$C$230)*$P$20+SUMPRODUCT(($B$91:$B$230="Asparagus")*(AC$91:AC$230="P")*$C$91:$C$230)*$N$21+SUMPRODUCT(($B$91:$B$230="Asparagus")*(AC$91:AC$230="G")*$C$91:$C$230)*$O$21+SUMPRODUCT(($B$91:$B$230="Asparagus")*(AC$91:AC$230="H")*$C$91:$C$230)*$P$21-AC284</f>
        <v/>
      </c>
      <c r="AD291" s="42">
        <f>SUMPRODUCT(($B$91:$B$230="Spinach")*(AD$91:AD$230="P")*$C$91:$C$230)*$N$17+SUMPRODUCT(($B$91:$B$230="Spinach")*(AD$91:AD$230="G")*$C$91:$C$230)*$O$17+SUMPRODUCT(($B$91:$B$230="Spinach")*(AD$91:AD$230="H")*$C$91:$C$230)*$P$17+SUMPRODUCT(($B$91:$B$230="Kale")*(AD$91:AD$230="P")*$C$91:$C$230)*$N$18+SUMPRODUCT(($B$91:$B$230="Kale")*(AD$91:AD$230="G")*$C$91:$C$230)*$O$18+SUMPRODUCT(($B$91:$B$230="Kale")*(AD$91:AD$230="H")*$C$91:$C$230)*$P$18+SUMPRODUCT(($B$91:$B$230="Garlic")*(AD$91:AD$230="P")*$C$91:$C$230)*$N$19+SUMPRODUCT(($B$91:$B$230="Garlic")*(AD$91:AD$230="G")*$C$91:$C$230)*$O$19+SUMPRODUCT(($B$91:$B$230="Garlic")*(AD$91:AD$230="H")*$C$91:$C$230)*$P$19+SUMPRODUCT(($B$91:$B$230="Tunnel Spinach")*(AD$91:AD$230="P")*$C$91:$C$230)*$N$20+SUMPRODUCT(($B$91:$B$230="Tunnel Spinach")*(AD$91:AD$230="G")*$C$91:$C$230)*$O$20+SUMPRODUCT(($B$91:$B$230="Tunnel Spinach")*(AD$91:AD$230="H")*$C$91:$C$230)*$P$20+SUMPRODUCT(($B$91:$B$230="Asparagus")*(AD$91:AD$230="P")*$C$91:$C$230)*$N$21+SUMPRODUCT(($B$91:$B$230="Asparagus")*(AD$91:AD$230="G")*$C$91:$C$230)*$O$21+SUMPRODUCT(($B$91:$B$230="Asparagus")*(AD$91:AD$230="H")*$C$91:$C$230)*$P$21-AD284</f>
        <v/>
      </c>
      <c r="AE291" s="42">
        <f>SUMPRODUCT(($B$91:$B$230="Spinach")*(AE$91:AE$230="P")*$C$91:$C$230)*$N$17+SUMPRODUCT(($B$91:$B$230="Spinach")*(AE$91:AE$230="G")*$C$91:$C$230)*$O$17+SUMPRODUCT(($B$91:$B$230="Spinach")*(AE$91:AE$230="H")*$C$91:$C$230)*$P$17+SUMPRODUCT(($B$91:$B$230="Kale")*(AE$91:AE$230="P")*$C$91:$C$230)*$N$18+SUMPRODUCT(($B$91:$B$230="Kale")*(AE$91:AE$230="G")*$C$91:$C$230)*$O$18+SUMPRODUCT(($B$91:$B$230="Kale")*(AE$91:AE$230="H")*$C$91:$C$230)*$P$18+SUMPRODUCT(($B$91:$B$230="Garlic")*(AE$91:AE$230="P")*$C$91:$C$230)*$N$19+SUMPRODUCT(($B$91:$B$230="Garlic")*(AE$91:AE$230="G")*$C$91:$C$230)*$O$19+SUMPRODUCT(($B$91:$B$230="Garlic")*(AE$91:AE$230="H")*$C$91:$C$230)*$P$19+SUMPRODUCT(($B$91:$B$230="Tunnel Spinach")*(AE$91:AE$230="P")*$C$91:$C$230)*$N$20+SUMPRODUCT(($B$91:$B$230="Tunnel Spinach")*(AE$91:AE$230="G")*$C$91:$C$230)*$O$20+SUMPRODUCT(($B$91:$B$230="Tunnel Spinach")*(AE$91:AE$230="H")*$C$91:$C$230)*$P$20+SUMPRODUCT(($B$91:$B$230="Asparagus")*(AE$91:AE$230="P")*$C$91:$C$230)*$N$21+SUMPRODUCT(($B$91:$B$230="Asparagus")*(AE$91:AE$230="G")*$C$91:$C$230)*$O$21+SUMPRODUCT(($B$91:$B$230="Asparagus")*(AE$91:AE$230="H")*$C$91:$C$230)*$P$21-AE284</f>
        <v/>
      </c>
      <c r="AF291" s="42">
        <f>SUMPRODUCT(($B$91:$B$230="Spinach")*(AF$91:AF$230="P")*$C$91:$C$230)*$N$17+SUMPRODUCT(($B$91:$B$230="Spinach")*(AF$91:AF$230="G")*$C$91:$C$230)*$O$17+SUMPRODUCT(($B$91:$B$230="Spinach")*(AF$91:AF$230="H")*$C$91:$C$230)*$P$17+SUMPRODUCT(($B$91:$B$230="Kale")*(AF$91:AF$230="P")*$C$91:$C$230)*$N$18+SUMPRODUCT(($B$91:$B$230="Kale")*(AF$91:AF$230="G")*$C$91:$C$230)*$O$18+SUMPRODUCT(($B$91:$B$230="Kale")*(AF$91:AF$230="H")*$C$91:$C$230)*$P$18+SUMPRODUCT(($B$91:$B$230="Garlic")*(AF$91:AF$230="P")*$C$91:$C$230)*$N$19+SUMPRODUCT(($B$91:$B$230="Garlic")*(AF$91:AF$230="G")*$C$91:$C$230)*$O$19+SUMPRODUCT(($B$91:$B$230="Garlic")*(AF$91:AF$230="H")*$C$91:$C$230)*$P$19+SUMPRODUCT(($B$91:$B$230="Tunnel Spinach")*(AF$91:AF$230="P")*$C$91:$C$230)*$N$20+SUMPRODUCT(($B$91:$B$230="Tunnel Spinach")*(AF$91:AF$230="G")*$C$91:$C$230)*$O$20+SUMPRODUCT(($B$91:$B$230="Tunnel Spinach")*(AF$91:AF$230="H")*$C$91:$C$230)*$P$20+SUMPRODUCT(($B$91:$B$230="Asparagus")*(AF$91:AF$230="P")*$C$91:$C$230)*$N$21+SUMPRODUCT(($B$91:$B$230="Asparagus")*(AF$91:AF$230="G")*$C$91:$C$230)*$O$21+SUMPRODUCT(($B$91:$B$230="Asparagus")*(AF$91:AF$230="H")*$C$91:$C$230)*$P$21-AF284</f>
        <v/>
      </c>
      <c r="AG291" s="42">
        <f>SUMPRODUCT(($B$91:$B$230="Spinach")*(AG$91:AG$230="P")*$C$91:$C$230)*$N$17+SUMPRODUCT(($B$91:$B$230="Spinach")*(AG$91:AG$230="G")*$C$91:$C$230)*$O$17+SUMPRODUCT(($B$91:$B$230="Spinach")*(AG$91:AG$230="H")*$C$91:$C$230)*$P$17+SUMPRODUCT(($B$91:$B$230="Kale")*(AG$91:AG$230="P")*$C$91:$C$230)*$N$18+SUMPRODUCT(($B$91:$B$230="Kale")*(AG$91:AG$230="G")*$C$91:$C$230)*$O$18+SUMPRODUCT(($B$91:$B$230="Kale")*(AG$91:AG$230="H")*$C$91:$C$230)*$P$18+SUMPRODUCT(($B$91:$B$230="Garlic")*(AG$91:AG$230="P")*$C$91:$C$230)*$N$19+SUMPRODUCT(($B$91:$B$230="Garlic")*(AG$91:AG$230="G")*$C$91:$C$230)*$O$19+SUMPRODUCT(($B$91:$B$230="Garlic")*(AG$91:AG$230="H")*$C$91:$C$230)*$P$19+SUMPRODUCT(($B$91:$B$230="Tunnel Spinach")*(AG$91:AG$230="P")*$C$91:$C$230)*$N$20+SUMPRODUCT(($B$91:$B$230="Tunnel Spinach")*(AG$91:AG$230="G")*$C$91:$C$230)*$O$20+SUMPRODUCT(($B$91:$B$230="Tunnel Spinach")*(AG$91:AG$230="H")*$C$91:$C$230)*$P$20+SUMPRODUCT(($B$91:$B$230="Asparagus")*(AG$91:AG$230="P")*$C$91:$C$230)*$N$21+SUMPRODUCT(($B$91:$B$230="Asparagus")*(AG$91:AG$230="G")*$C$91:$C$230)*$O$21+SUMPRODUCT(($B$91:$B$230="Asparagus")*(AG$91:AG$230="H")*$C$91:$C$230)*$P$21-AG284</f>
        <v/>
      </c>
      <c r="AH291" s="42">
        <f>SUMPRODUCT(($B$91:$B$230="Spinach")*(AH$91:AH$230="P")*$C$91:$C$230)*$N$17+SUMPRODUCT(($B$91:$B$230="Spinach")*(AH$91:AH$230="G")*$C$91:$C$230)*$O$17+SUMPRODUCT(($B$91:$B$230="Spinach")*(AH$91:AH$230="H")*$C$91:$C$230)*$P$17+SUMPRODUCT(($B$91:$B$230="Kale")*(AH$91:AH$230="P")*$C$91:$C$230)*$N$18+SUMPRODUCT(($B$91:$B$230="Kale")*(AH$91:AH$230="G")*$C$91:$C$230)*$O$18+SUMPRODUCT(($B$91:$B$230="Kale")*(AH$91:AH$230="H")*$C$91:$C$230)*$P$18+SUMPRODUCT(($B$91:$B$230="Garlic")*(AH$91:AH$230="P")*$C$91:$C$230)*$N$19+SUMPRODUCT(($B$91:$B$230="Garlic")*(AH$91:AH$230="G")*$C$91:$C$230)*$O$19+SUMPRODUCT(($B$91:$B$230="Garlic")*(AH$91:AH$230="H")*$C$91:$C$230)*$P$19+SUMPRODUCT(($B$91:$B$230="Tunnel Spinach")*(AH$91:AH$230="P")*$C$91:$C$230)*$N$20+SUMPRODUCT(($B$91:$B$230="Tunnel Spinach")*(AH$91:AH$230="G")*$C$91:$C$230)*$O$20+SUMPRODUCT(($B$91:$B$230="Tunnel Spinach")*(AH$91:AH$230="H")*$C$91:$C$230)*$P$20+SUMPRODUCT(($B$91:$B$230="Asparagus")*(AH$91:AH$230="P")*$C$91:$C$230)*$N$21+SUMPRODUCT(($B$91:$B$230="Asparagus")*(AH$91:AH$230="G")*$C$91:$C$230)*$O$21+SUMPRODUCT(($B$91:$B$230="Asparagus")*(AH$91:AH$230="H")*$C$91:$C$230)*$P$21-AH284</f>
        <v/>
      </c>
      <c r="AI291" s="42">
        <f>SUMPRODUCT(($B$91:$B$230="Spinach")*(AI$91:AI$230="P")*$C$91:$C$230)*$N$17+SUMPRODUCT(($B$91:$B$230="Spinach")*(AI$91:AI$230="G")*$C$91:$C$230)*$O$17+SUMPRODUCT(($B$91:$B$230="Spinach")*(AI$91:AI$230="H")*$C$91:$C$230)*$P$17+SUMPRODUCT(($B$91:$B$230="Kale")*(AI$91:AI$230="P")*$C$91:$C$230)*$N$18+SUMPRODUCT(($B$91:$B$230="Kale")*(AI$91:AI$230="G")*$C$91:$C$230)*$O$18+SUMPRODUCT(($B$91:$B$230="Kale")*(AI$91:AI$230="H")*$C$91:$C$230)*$P$18+SUMPRODUCT(($B$91:$B$230="Garlic")*(AI$91:AI$230="P")*$C$91:$C$230)*$N$19+SUMPRODUCT(($B$91:$B$230="Garlic")*(AI$91:AI$230="G")*$C$91:$C$230)*$O$19+SUMPRODUCT(($B$91:$B$230="Garlic")*(AI$91:AI$230="H")*$C$91:$C$230)*$P$19+SUMPRODUCT(($B$91:$B$230="Tunnel Spinach")*(AI$91:AI$230="P")*$C$91:$C$230)*$N$20+SUMPRODUCT(($B$91:$B$230="Tunnel Spinach")*(AI$91:AI$230="G")*$C$91:$C$230)*$O$20+SUMPRODUCT(($B$91:$B$230="Tunnel Spinach")*(AI$91:AI$230="H")*$C$91:$C$230)*$P$20+SUMPRODUCT(($B$91:$B$230="Asparagus")*(AI$91:AI$230="P")*$C$91:$C$230)*$N$21+SUMPRODUCT(($B$91:$B$230="Asparagus")*(AI$91:AI$230="G")*$C$91:$C$230)*$O$21+SUMPRODUCT(($B$91:$B$230="Asparagus")*(AI$91:AI$230="H")*$C$91:$C$230)*$P$21-AI284</f>
        <v/>
      </c>
      <c r="AJ291" s="42">
        <f>SUMPRODUCT(($B$91:$B$230="Spinach")*(AJ$91:AJ$230="P")*$C$91:$C$230)*$N$17+SUMPRODUCT(($B$91:$B$230="Spinach")*(AJ$91:AJ$230="G")*$C$91:$C$230)*$O$17+SUMPRODUCT(($B$91:$B$230="Spinach")*(AJ$91:AJ$230="H")*$C$91:$C$230)*$P$17+SUMPRODUCT(($B$91:$B$230="Kale")*(AJ$91:AJ$230="P")*$C$91:$C$230)*$N$18+SUMPRODUCT(($B$91:$B$230="Kale")*(AJ$91:AJ$230="G")*$C$91:$C$230)*$O$18+SUMPRODUCT(($B$91:$B$230="Kale")*(AJ$91:AJ$230="H")*$C$91:$C$230)*$P$18+SUMPRODUCT(($B$91:$B$230="Garlic")*(AJ$91:AJ$230="P")*$C$91:$C$230)*$N$19+SUMPRODUCT(($B$91:$B$230="Garlic")*(AJ$91:AJ$230="G")*$C$91:$C$230)*$O$19+SUMPRODUCT(($B$91:$B$230="Garlic")*(AJ$91:AJ$230="H")*$C$91:$C$230)*$P$19+SUMPRODUCT(($B$91:$B$230="Tunnel Spinach")*(AJ$91:AJ$230="P")*$C$91:$C$230)*$N$20+SUMPRODUCT(($B$91:$B$230="Tunnel Spinach")*(AJ$91:AJ$230="G")*$C$91:$C$230)*$O$20+SUMPRODUCT(($B$91:$B$230="Tunnel Spinach")*(AJ$91:AJ$230="H")*$C$91:$C$230)*$P$20+SUMPRODUCT(($B$91:$B$230="Asparagus")*(AJ$91:AJ$230="P")*$C$91:$C$230)*$N$21+SUMPRODUCT(($B$91:$B$230="Asparagus")*(AJ$91:AJ$230="G")*$C$91:$C$230)*$O$21+SUMPRODUCT(($B$91:$B$230="Asparagus")*(AJ$91:AJ$230="H")*$C$91:$C$230)*$P$21-AJ284</f>
        <v/>
      </c>
      <c r="AK291" s="42">
        <f>SUMPRODUCT(($B$91:$B$230="Spinach")*(AK$91:AK$230="P")*$C$91:$C$230)*$N$17+SUMPRODUCT(($B$91:$B$230="Spinach")*(AK$91:AK$230="G")*$C$91:$C$230)*$O$17+SUMPRODUCT(($B$91:$B$230="Spinach")*(AK$91:AK$230="H")*$C$91:$C$230)*$P$17+SUMPRODUCT(($B$91:$B$230="Kale")*(AK$91:AK$230="P")*$C$91:$C$230)*$N$18+SUMPRODUCT(($B$91:$B$230="Kale")*(AK$91:AK$230="G")*$C$91:$C$230)*$O$18+SUMPRODUCT(($B$91:$B$230="Kale")*(AK$91:AK$230="H")*$C$91:$C$230)*$P$18+SUMPRODUCT(($B$91:$B$230="Garlic")*(AK$91:AK$230="P")*$C$91:$C$230)*$N$19+SUMPRODUCT(($B$91:$B$230="Garlic")*(AK$91:AK$230="G")*$C$91:$C$230)*$O$19+SUMPRODUCT(($B$91:$B$230="Garlic")*(AK$91:AK$230="H")*$C$91:$C$230)*$P$19+SUMPRODUCT(($B$91:$B$230="Tunnel Spinach")*(AK$91:AK$230="P")*$C$91:$C$230)*$N$20+SUMPRODUCT(($B$91:$B$230="Tunnel Spinach")*(AK$91:AK$230="G")*$C$91:$C$230)*$O$20+SUMPRODUCT(($B$91:$B$230="Tunnel Spinach")*(AK$91:AK$230="H")*$C$91:$C$230)*$P$20+SUMPRODUCT(($B$91:$B$230="Asparagus")*(AK$91:AK$230="P")*$C$91:$C$230)*$N$21+SUMPRODUCT(($B$91:$B$230="Asparagus")*(AK$91:AK$230="G")*$C$91:$C$230)*$O$21+SUMPRODUCT(($B$91:$B$230="Asparagus")*(AK$91:AK$230="H")*$C$91:$C$230)*$P$21-AK284</f>
        <v/>
      </c>
      <c r="AL291" s="42">
        <f>SUMPRODUCT(($B$91:$B$230="Spinach")*(AL$91:AL$230="P")*$C$91:$C$230)*$N$17+SUMPRODUCT(($B$91:$B$230="Spinach")*(AL$91:AL$230="G")*$C$91:$C$230)*$O$17+SUMPRODUCT(($B$91:$B$230="Spinach")*(AL$91:AL$230="H")*$C$91:$C$230)*$P$17+SUMPRODUCT(($B$91:$B$230="Kale")*(AL$91:AL$230="P")*$C$91:$C$230)*$N$18+SUMPRODUCT(($B$91:$B$230="Kale")*(AL$91:AL$230="G")*$C$91:$C$230)*$O$18+SUMPRODUCT(($B$91:$B$230="Kale")*(AL$91:AL$230="H")*$C$91:$C$230)*$P$18+SUMPRODUCT(($B$91:$B$230="Garlic")*(AL$91:AL$230="P")*$C$91:$C$230)*$N$19+SUMPRODUCT(($B$91:$B$230="Garlic")*(AL$91:AL$230="G")*$C$91:$C$230)*$O$19+SUMPRODUCT(($B$91:$B$230="Garlic")*(AL$91:AL$230="H")*$C$91:$C$230)*$P$19+SUMPRODUCT(($B$91:$B$230="Tunnel Spinach")*(AL$91:AL$230="P")*$C$91:$C$230)*$N$20+SUMPRODUCT(($B$91:$B$230="Tunnel Spinach")*(AL$91:AL$230="G")*$C$91:$C$230)*$O$20+SUMPRODUCT(($B$91:$B$230="Tunnel Spinach")*(AL$91:AL$230="H")*$C$91:$C$230)*$P$20+SUMPRODUCT(($B$91:$B$230="Asparagus")*(AL$91:AL$230="P")*$C$91:$C$230)*$N$21+SUMPRODUCT(($B$91:$B$230="Asparagus")*(AL$91:AL$230="G")*$C$91:$C$230)*$O$21+SUMPRODUCT(($B$91:$B$230="Asparagus")*(AL$91:AL$230="H")*$C$91:$C$230)*$P$21-AL284</f>
        <v/>
      </c>
      <c r="AM291" s="42">
        <f>SUMPRODUCT(($B$91:$B$230="Spinach")*(AM$91:AM$230="P")*$C$91:$C$230)*$N$17+SUMPRODUCT(($B$91:$B$230="Spinach")*(AM$91:AM$230="G")*$C$91:$C$230)*$O$17+SUMPRODUCT(($B$91:$B$230="Spinach")*(AM$91:AM$230="H")*$C$91:$C$230)*$P$17+SUMPRODUCT(($B$91:$B$230="Kale")*(AM$91:AM$230="P")*$C$91:$C$230)*$N$18+SUMPRODUCT(($B$91:$B$230="Kale")*(AM$91:AM$230="G")*$C$91:$C$230)*$O$18+SUMPRODUCT(($B$91:$B$230="Kale")*(AM$91:AM$230="H")*$C$91:$C$230)*$P$18+SUMPRODUCT(($B$91:$B$230="Garlic")*(AM$91:AM$230="P")*$C$91:$C$230)*$N$19+SUMPRODUCT(($B$91:$B$230="Garlic")*(AM$91:AM$230="G")*$C$91:$C$230)*$O$19+SUMPRODUCT(($B$91:$B$230="Garlic")*(AM$91:AM$230="H")*$C$91:$C$230)*$P$19+SUMPRODUCT(($B$91:$B$230="Tunnel Spinach")*(AM$91:AM$230="P")*$C$91:$C$230)*$N$20+SUMPRODUCT(($B$91:$B$230="Tunnel Spinach")*(AM$91:AM$230="G")*$C$91:$C$230)*$O$20+SUMPRODUCT(($B$91:$B$230="Tunnel Spinach")*(AM$91:AM$230="H")*$C$91:$C$230)*$P$20+SUMPRODUCT(($B$91:$B$230="Asparagus")*(AM$91:AM$230="P")*$C$91:$C$230)*$N$21+SUMPRODUCT(($B$91:$B$230="Asparagus")*(AM$91:AM$230="G")*$C$91:$C$230)*$O$21+SUMPRODUCT(($B$91:$B$230="Asparagus")*(AM$91:AM$230="H")*$C$91:$C$230)*$P$21-AM284</f>
        <v/>
      </c>
      <c r="AN291" s="42">
        <f>SUMPRODUCT(($B$91:$B$230="Spinach")*(AN$91:AN$230="P")*$C$91:$C$230)*$N$17+SUMPRODUCT(($B$91:$B$230="Spinach")*(AN$91:AN$230="G")*$C$91:$C$230)*$O$17+SUMPRODUCT(($B$91:$B$230="Spinach")*(AN$91:AN$230="H")*$C$91:$C$230)*$P$17+SUMPRODUCT(($B$91:$B$230="Kale")*(AN$91:AN$230="P")*$C$91:$C$230)*$N$18+SUMPRODUCT(($B$91:$B$230="Kale")*(AN$91:AN$230="G")*$C$91:$C$230)*$O$18+SUMPRODUCT(($B$91:$B$230="Kale")*(AN$91:AN$230="H")*$C$91:$C$230)*$P$18+SUMPRODUCT(($B$91:$B$230="Garlic")*(AN$91:AN$230="P")*$C$91:$C$230)*$N$19+SUMPRODUCT(($B$91:$B$230="Garlic")*(AN$91:AN$230="G")*$C$91:$C$230)*$O$19+SUMPRODUCT(($B$91:$B$230="Garlic")*(AN$91:AN$230="H")*$C$91:$C$230)*$P$19+SUMPRODUCT(($B$91:$B$230="Tunnel Spinach")*(AN$91:AN$230="P")*$C$91:$C$230)*$N$20+SUMPRODUCT(($B$91:$B$230="Tunnel Spinach")*(AN$91:AN$230="G")*$C$91:$C$230)*$O$20+SUMPRODUCT(($B$91:$B$230="Tunnel Spinach")*(AN$91:AN$230="H")*$C$91:$C$230)*$P$20+SUMPRODUCT(($B$91:$B$230="Asparagus")*(AN$91:AN$230="P")*$C$91:$C$230)*$N$21+SUMPRODUCT(($B$91:$B$230="Asparagus")*(AN$91:AN$230="G")*$C$91:$C$230)*$O$21+SUMPRODUCT(($B$91:$B$230="Asparagus")*(AN$91:AN$230="H")*$C$91:$C$230)*$P$21-AN284</f>
        <v/>
      </c>
      <c r="AO291" s="42">
        <f>SUMPRODUCT(($B$91:$B$230="Spinach")*(AO$91:AO$230="P")*$C$91:$C$230)*$N$17+SUMPRODUCT(($B$91:$B$230="Spinach")*(AO$91:AO$230="G")*$C$91:$C$230)*$O$17+SUMPRODUCT(($B$91:$B$230="Spinach")*(AO$91:AO$230="H")*$C$91:$C$230)*$P$17+SUMPRODUCT(($B$91:$B$230="Kale")*(AO$91:AO$230="P")*$C$91:$C$230)*$N$18+SUMPRODUCT(($B$91:$B$230="Kale")*(AO$91:AO$230="G")*$C$91:$C$230)*$O$18+SUMPRODUCT(($B$91:$B$230="Kale")*(AO$91:AO$230="H")*$C$91:$C$230)*$P$18+SUMPRODUCT(($B$91:$B$230="Garlic")*(AO$91:AO$230="P")*$C$91:$C$230)*$N$19+SUMPRODUCT(($B$91:$B$230="Garlic")*(AO$91:AO$230="G")*$C$91:$C$230)*$O$19+SUMPRODUCT(($B$91:$B$230="Garlic")*(AO$91:AO$230="H")*$C$91:$C$230)*$P$19+SUMPRODUCT(($B$91:$B$230="Tunnel Spinach")*(AO$91:AO$230="P")*$C$91:$C$230)*$N$20+SUMPRODUCT(($B$91:$B$230="Tunnel Spinach")*(AO$91:AO$230="G")*$C$91:$C$230)*$O$20+SUMPRODUCT(($B$91:$B$230="Tunnel Spinach")*(AO$91:AO$230="H")*$C$91:$C$230)*$P$20+SUMPRODUCT(($B$91:$B$230="Asparagus")*(AO$91:AO$230="P")*$C$91:$C$230)*$N$21+SUMPRODUCT(($B$91:$B$230="Asparagus")*(AO$91:AO$230="G")*$C$91:$C$230)*$O$21+SUMPRODUCT(($B$91:$B$230="Asparagus")*(AO$91:AO$230="H")*$C$91:$C$230)*$P$21-AO284</f>
        <v/>
      </c>
      <c r="AP291" s="42">
        <f>SUMPRODUCT(($B$91:$B$230="Spinach")*(AP$91:AP$230="P")*$C$91:$C$230)*$N$17+SUMPRODUCT(($B$91:$B$230="Spinach")*(AP$91:AP$230="G")*$C$91:$C$230)*$O$17+SUMPRODUCT(($B$91:$B$230="Spinach")*(AP$91:AP$230="H")*$C$91:$C$230)*$P$17+SUMPRODUCT(($B$91:$B$230="Kale")*(AP$91:AP$230="P")*$C$91:$C$230)*$N$18+SUMPRODUCT(($B$91:$B$230="Kale")*(AP$91:AP$230="G")*$C$91:$C$230)*$O$18+SUMPRODUCT(($B$91:$B$230="Kale")*(AP$91:AP$230="H")*$C$91:$C$230)*$P$18+SUMPRODUCT(($B$91:$B$230="Garlic")*(AP$91:AP$230="P")*$C$91:$C$230)*$N$19+SUMPRODUCT(($B$91:$B$230="Garlic")*(AP$91:AP$230="G")*$C$91:$C$230)*$O$19+SUMPRODUCT(($B$91:$B$230="Garlic")*(AP$91:AP$230="H")*$C$91:$C$230)*$P$19+SUMPRODUCT(($B$91:$B$230="Tunnel Spinach")*(AP$91:AP$230="P")*$C$91:$C$230)*$N$20+SUMPRODUCT(($B$91:$B$230="Tunnel Spinach")*(AP$91:AP$230="G")*$C$91:$C$230)*$O$20+SUMPRODUCT(($B$91:$B$230="Tunnel Spinach")*(AP$91:AP$230="H")*$C$91:$C$230)*$P$20+SUMPRODUCT(($B$91:$B$230="Asparagus")*(AP$91:AP$230="P")*$C$91:$C$230)*$N$21+SUMPRODUCT(($B$91:$B$230="Asparagus")*(AP$91:AP$230="G")*$C$91:$C$230)*$O$21+SUMPRODUCT(($B$91:$B$230="Asparagus")*(AP$91:AP$230="H")*$C$91:$C$230)*$P$21-AP284</f>
        <v/>
      </c>
      <c r="AQ291" s="42">
        <f>SUMPRODUCT(($B$91:$B$230="Spinach")*(AQ$91:AQ$230="P")*$C$91:$C$230)*$N$17+SUMPRODUCT(($B$91:$B$230="Spinach")*(AQ$91:AQ$230="G")*$C$91:$C$230)*$O$17+SUMPRODUCT(($B$91:$B$230="Spinach")*(AQ$91:AQ$230="H")*$C$91:$C$230)*$P$17+SUMPRODUCT(($B$91:$B$230="Kale")*(AQ$91:AQ$230="P")*$C$91:$C$230)*$N$18+SUMPRODUCT(($B$91:$B$230="Kale")*(AQ$91:AQ$230="G")*$C$91:$C$230)*$O$18+SUMPRODUCT(($B$91:$B$230="Kale")*(AQ$91:AQ$230="H")*$C$91:$C$230)*$P$18+SUMPRODUCT(($B$91:$B$230="Garlic")*(AQ$91:AQ$230="P")*$C$91:$C$230)*$N$19+SUMPRODUCT(($B$91:$B$230="Garlic")*(AQ$91:AQ$230="G")*$C$91:$C$230)*$O$19+SUMPRODUCT(($B$91:$B$230="Garlic")*(AQ$91:AQ$230="H")*$C$91:$C$230)*$P$19+SUMPRODUCT(($B$91:$B$230="Tunnel Spinach")*(AQ$91:AQ$230="P")*$C$91:$C$230)*$N$20+SUMPRODUCT(($B$91:$B$230="Tunnel Spinach")*(AQ$91:AQ$230="G")*$C$91:$C$230)*$O$20+SUMPRODUCT(($B$91:$B$230="Tunnel Spinach")*(AQ$91:AQ$230="H")*$C$91:$C$230)*$P$20+SUMPRODUCT(($B$91:$B$230="Asparagus")*(AQ$91:AQ$230="P")*$C$91:$C$230)*$N$21+SUMPRODUCT(($B$91:$B$230="Asparagus")*(AQ$91:AQ$230="G")*$C$91:$C$230)*$O$21+SUMPRODUCT(($B$91:$B$230="Asparagus")*(AQ$91:AQ$230="H")*$C$91:$C$230)*$P$21-AQ284</f>
        <v/>
      </c>
      <c r="AR291" s="42">
        <f>SUMPRODUCT(($B$91:$B$230="Spinach")*(AR$91:AR$230="P")*$C$91:$C$230)*$N$17+SUMPRODUCT(($B$91:$B$230="Spinach")*(AR$91:AR$230="G")*$C$91:$C$230)*$O$17+SUMPRODUCT(($B$91:$B$230="Spinach")*(AR$91:AR$230="H")*$C$91:$C$230)*$P$17+SUMPRODUCT(($B$91:$B$230="Kale")*(AR$91:AR$230="P")*$C$91:$C$230)*$N$18+SUMPRODUCT(($B$91:$B$230="Kale")*(AR$91:AR$230="G")*$C$91:$C$230)*$O$18+SUMPRODUCT(($B$91:$B$230="Kale")*(AR$91:AR$230="H")*$C$91:$C$230)*$P$18+SUMPRODUCT(($B$91:$B$230="Garlic")*(AR$91:AR$230="P")*$C$91:$C$230)*$N$19+SUMPRODUCT(($B$91:$B$230="Garlic")*(AR$91:AR$230="G")*$C$91:$C$230)*$O$19+SUMPRODUCT(($B$91:$B$230="Garlic")*(AR$91:AR$230="H")*$C$91:$C$230)*$P$19+SUMPRODUCT(($B$91:$B$230="Tunnel Spinach")*(AR$91:AR$230="P")*$C$91:$C$230)*$N$20+SUMPRODUCT(($B$91:$B$230="Tunnel Spinach")*(AR$91:AR$230="G")*$C$91:$C$230)*$O$20+SUMPRODUCT(($B$91:$B$230="Tunnel Spinach")*(AR$91:AR$230="H")*$C$91:$C$230)*$P$20+SUMPRODUCT(($B$91:$B$230="Asparagus")*(AR$91:AR$230="P")*$C$91:$C$230)*$N$21+SUMPRODUCT(($B$91:$B$230="Asparagus")*(AR$91:AR$230="G")*$C$91:$C$230)*$O$21+SUMPRODUCT(($B$91:$B$230="Asparagus")*(AR$91:AR$230="H")*$C$91:$C$230)*$P$21-AR284</f>
        <v/>
      </c>
      <c r="AS291" s="42">
        <f>SUMPRODUCT(($B$91:$B$230="Spinach")*(AS$91:AS$230="P")*$C$91:$C$230)*$N$17+SUMPRODUCT(($B$91:$B$230="Spinach")*(AS$91:AS$230="G")*$C$91:$C$230)*$O$17+SUMPRODUCT(($B$91:$B$230="Spinach")*(AS$91:AS$230="H")*$C$91:$C$230)*$P$17+SUMPRODUCT(($B$91:$B$230="Kale")*(AS$91:AS$230="P")*$C$91:$C$230)*$N$18+SUMPRODUCT(($B$91:$B$230="Kale")*(AS$91:AS$230="G")*$C$91:$C$230)*$O$18+SUMPRODUCT(($B$91:$B$230="Kale")*(AS$91:AS$230="H")*$C$91:$C$230)*$P$18+SUMPRODUCT(($B$91:$B$230="Garlic")*(AS$91:AS$230="P")*$C$91:$C$230)*$N$19+SUMPRODUCT(($B$91:$B$230="Garlic")*(AS$91:AS$230="G")*$C$91:$C$230)*$O$19+SUMPRODUCT(($B$91:$B$230="Garlic")*(AS$91:AS$230="H")*$C$91:$C$230)*$P$19+SUMPRODUCT(($B$91:$B$230="Tunnel Spinach")*(AS$91:AS$230="P")*$C$91:$C$230)*$N$20+SUMPRODUCT(($B$91:$B$230="Tunnel Spinach")*(AS$91:AS$230="G")*$C$91:$C$230)*$O$20+SUMPRODUCT(($B$91:$B$230="Tunnel Spinach")*(AS$91:AS$230="H")*$C$91:$C$230)*$P$20+SUMPRODUCT(($B$91:$B$230="Asparagus")*(AS$91:AS$230="P")*$C$91:$C$230)*$N$21+SUMPRODUCT(($B$91:$B$230="Asparagus")*(AS$91:AS$230="G")*$C$91:$C$230)*$O$21+SUMPRODUCT(($B$91:$B$230="Asparagus")*(AS$91:AS$230="H")*$C$91:$C$230)*$P$21-AS284</f>
        <v/>
      </c>
      <c r="AT291" s="42">
        <f>SUMPRODUCT(($B$91:$B$230="Spinach")*(AT$91:AT$230="P")*$C$91:$C$230)*$N$17+SUMPRODUCT(($B$91:$B$230="Spinach")*(AT$91:AT$230="G")*$C$91:$C$230)*$O$17+SUMPRODUCT(($B$91:$B$230="Spinach")*(AT$91:AT$230="H")*$C$91:$C$230)*$P$17+SUMPRODUCT(($B$91:$B$230="Kale")*(AT$91:AT$230="P")*$C$91:$C$230)*$N$18+SUMPRODUCT(($B$91:$B$230="Kale")*(AT$91:AT$230="G")*$C$91:$C$230)*$O$18+SUMPRODUCT(($B$91:$B$230="Kale")*(AT$91:AT$230="H")*$C$91:$C$230)*$P$18+SUMPRODUCT(($B$91:$B$230="Garlic")*(AT$91:AT$230="P")*$C$91:$C$230)*$N$19+SUMPRODUCT(($B$91:$B$230="Garlic")*(AT$91:AT$230="G")*$C$91:$C$230)*$O$19+SUMPRODUCT(($B$91:$B$230="Garlic")*(AT$91:AT$230="H")*$C$91:$C$230)*$P$19+SUMPRODUCT(($B$91:$B$230="Tunnel Spinach")*(AT$91:AT$230="P")*$C$91:$C$230)*$N$20+SUMPRODUCT(($B$91:$B$230="Tunnel Spinach")*(AT$91:AT$230="G")*$C$91:$C$230)*$O$20+SUMPRODUCT(($B$91:$B$230="Tunnel Spinach")*(AT$91:AT$230="H")*$C$91:$C$230)*$P$20+SUMPRODUCT(($B$91:$B$230="Asparagus")*(AT$91:AT$230="P")*$C$91:$C$230)*$N$21+SUMPRODUCT(($B$91:$B$230="Asparagus")*(AT$91:AT$230="G")*$C$91:$C$230)*$O$21+SUMPRODUCT(($B$91:$B$230="Asparagus")*(AT$91:AT$230="H")*$C$91:$C$230)*$P$21-AT284</f>
        <v/>
      </c>
      <c r="AU291" s="42">
        <f>SUMPRODUCT(($B$91:$B$230="Spinach")*(AU$91:AU$230="P")*$C$91:$C$230)*$N$17+SUMPRODUCT(($B$91:$B$230="Spinach")*(AU$91:AU$230="G")*$C$91:$C$230)*$O$17+SUMPRODUCT(($B$91:$B$230="Spinach")*(AU$91:AU$230="H")*$C$91:$C$230)*$P$17+SUMPRODUCT(($B$91:$B$230="Kale")*(AU$91:AU$230="P")*$C$91:$C$230)*$N$18+SUMPRODUCT(($B$91:$B$230="Kale")*(AU$91:AU$230="G")*$C$91:$C$230)*$O$18+SUMPRODUCT(($B$91:$B$230="Kale")*(AU$91:AU$230="H")*$C$91:$C$230)*$P$18+SUMPRODUCT(($B$91:$B$230="Garlic")*(AU$91:AU$230="P")*$C$91:$C$230)*$N$19+SUMPRODUCT(($B$91:$B$230="Garlic")*(AU$91:AU$230="G")*$C$91:$C$230)*$O$19+SUMPRODUCT(($B$91:$B$230="Garlic")*(AU$91:AU$230="H")*$C$91:$C$230)*$P$19+SUMPRODUCT(($B$91:$B$230="Tunnel Spinach")*(AU$91:AU$230="P")*$C$91:$C$230)*$N$20+SUMPRODUCT(($B$91:$B$230="Tunnel Spinach")*(AU$91:AU$230="G")*$C$91:$C$230)*$O$20+SUMPRODUCT(($B$91:$B$230="Tunnel Spinach")*(AU$91:AU$230="H")*$C$91:$C$230)*$P$20+SUMPRODUCT(($B$91:$B$230="Asparagus")*(AU$91:AU$230="P")*$C$91:$C$230)*$N$21+SUMPRODUCT(($B$91:$B$230="Asparagus")*(AU$91:AU$230="G")*$C$91:$C$230)*$O$21+SUMPRODUCT(($B$91:$B$230="Asparagus")*(AU$91:AU$230="H")*$C$91:$C$230)*$P$21-AU284</f>
        <v/>
      </c>
      <c r="AV291" s="42">
        <f>SUMPRODUCT(($B$91:$B$230="Spinach")*(AV$91:AV$230="P")*$C$91:$C$230)*$N$17+SUMPRODUCT(($B$91:$B$230="Spinach")*(AV$91:AV$230="G")*$C$91:$C$230)*$O$17+SUMPRODUCT(($B$91:$B$230="Spinach")*(AV$91:AV$230="H")*$C$91:$C$230)*$P$17+SUMPRODUCT(($B$91:$B$230="Kale")*(AV$91:AV$230="P")*$C$91:$C$230)*$N$18+SUMPRODUCT(($B$91:$B$230="Kale")*(AV$91:AV$230="G")*$C$91:$C$230)*$O$18+SUMPRODUCT(($B$91:$B$230="Kale")*(AV$91:AV$230="H")*$C$91:$C$230)*$P$18+SUMPRODUCT(($B$91:$B$230="Garlic")*(AV$91:AV$230="P")*$C$91:$C$230)*$N$19+SUMPRODUCT(($B$91:$B$230="Garlic")*(AV$91:AV$230="G")*$C$91:$C$230)*$O$19+SUMPRODUCT(($B$91:$B$230="Garlic")*(AV$91:AV$230="H")*$C$91:$C$230)*$P$19+SUMPRODUCT(($B$91:$B$230="Tunnel Spinach")*(AV$91:AV$230="P")*$C$91:$C$230)*$N$20+SUMPRODUCT(($B$91:$B$230="Tunnel Spinach")*(AV$91:AV$230="G")*$C$91:$C$230)*$O$20+SUMPRODUCT(($B$91:$B$230="Tunnel Spinach")*(AV$91:AV$230="H")*$C$91:$C$230)*$P$20+SUMPRODUCT(($B$91:$B$230="Asparagus")*(AV$91:AV$230="P")*$C$91:$C$230)*$N$21+SUMPRODUCT(($B$91:$B$230="Asparagus")*(AV$91:AV$230="G")*$C$91:$C$230)*$O$21+SUMPRODUCT(($B$91:$B$230="Asparagus")*(AV$91:AV$230="H")*$C$91:$C$230)*$P$21-AV284</f>
        <v/>
      </c>
      <c r="AW291" s="42">
        <f>SUMPRODUCT(($B$91:$B$230="Spinach")*(AW$91:AW$230="P")*$C$91:$C$230)*$N$17+SUMPRODUCT(($B$91:$B$230="Spinach")*(AW$91:AW$230="G")*$C$91:$C$230)*$O$17+SUMPRODUCT(($B$91:$B$230="Spinach")*(AW$91:AW$230="H")*$C$91:$C$230)*$P$17+SUMPRODUCT(($B$91:$B$230="Kale")*(AW$91:AW$230="P")*$C$91:$C$230)*$N$18+SUMPRODUCT(($B$91:$B$230="Kale")*(AW$91:AW$230="G")*$C$91:$C$230)*$O$18+SUMPRODUCT(($B$91:$B$230="Kale")*(AW$91:AW$230="H")*$C$91:$C$230)*$P$18+SUMPRODUCT(($B$91:$B$230="Garlic")*(AW$91:AW$230="P")*$C$91:$C$230)*$N$19+SUMPRODUCT(($B$91:$B$230="Garlic")*(AW$91:AW$230="G")*$C$91:$C$230)*$O$19+SUMPRODUCT(($B$91:$B$230="Garlic")*(AW$91:AW$230="H")*$C$91:$C$230)*$P$19+SUMPRODUCT(($B$91:$B$230="Tunnel Spinach")*(AW$91:AW$230="P")*$C$91:$C$230)*$N$20+SUMPRODUCT(($B$91:$B$230="Tunnel Spinach")*(AW$91:AW$230="G")*$C$91:$C$230)*$O$20+SUMPRODUCT(($B$91:$B$230="Tunnel Spinach")*(AW$91:AW$230="H")*$C$91:$C$230)*$P$20+SUMPRODUCT(($B$91:$B$230="Asparagus")*(AW$91:AW$230="P")*$C$91:$C$230)*$N$21+SUMPRODUCT(($B$91:$B$230="Asparagus")*(AW$91:AW$230="G")*$C$91:$C$230)*$O$21+SUMPRODUCT(($B$91:$B$230="Asparagus")*(AW$91:AW$230="H")*$C$91:$C$230)*$P$21-AW284</f>
        <v/>
      </c>
      <c r="AX291" s="42">
        <f>SUMPRODUCT(($B$91:$B$230="Spinach")*(AX$91:AX$230="P")*$C$91:$C$230)*$N$17+SUMPRODUCT(($B$91:$B$230="Spinach")*(AX$91:AX$230="G")*$C$91:$C$230)*$O$17+SUMPRODUCT(($B$91:$B$230="Spinach")*(AX$91:AX$230="H")*$C$91:$C$230)*$P$17+SUMPRODUCT(($B$91:$B$230="Kale")*(AX$91:AX$230="P")*$C$91:$C$230)*$N$18+SUMPRODUCT(($B$91:$B$230="Kale")*(AX$91:AX$230="G")*$C$91:$C$230)*$O$18+SUMPRODUCT(($B$91:$B$230="Kale")*(AX$91:AX$230="H")*$C$91:$C$230)*$P$18+SUMPRODUCT(($B$91:$B$230="Garlic")*(AX$91:AX$230="P")*$C$91:$C$230)*$N$19+SUMPRODUCT(($B$91:$B$230="Garlic")*(AX$91:AX$230="G")*$C$91:$C$230)*$O$19+SUMPRODUCT(($B$91:$B$230="Garlic")*(AX$91:AX$230="H")*$C$91:$C$230)*$P$19+SUMPRODUCT(($B$91:$B$230="Tunnel Spinach")*(AX$91:AX$230="P")*$C$91:$C$230)*$N$20+SUMPRODUCT(($B$91:$B$230="Tunnel Spinach")*(AX$91:AX$230="G")*$C$91:$C$230)*$O$20+SUMPRODUCT(($B$91:$B$230="Tunnel Spinach")*(AX$91:AX$230="H")*$C$91:$C$230)*$P$20+SUMPRODUCT(($B$91:$B$230="Asparagus")*(AX$91:AX$230="P")*$C$91:$C$230)*$N$21+SUMPRODUCT(($B$91:$B$230="Asparagus")*(AX$91:AX$230="G")*$C$91:$C$230)*$O$21+SUMPRODUCT(($B$91:$B$230="Asparagus")*(AX$91:AX$230="H")*$C$91:$C$230)*$P$21-AX284</f>
        <v/>
      </c>
      <c r="AY291" s="42">
        <f>SUMPRODUCT(($B$91:$B$230="Spinach")*(AY$91:AY$230="P")*$C$91:$C$230)*$N$17+SUMPRODUCT(($B$91:$B$230="Spinach")*(AY$91:AY$230="G")*$C$91:$C$230)*$O$17+SUMPRODUCT(($B$91:$B$230="Spinach")*(AY$91:AY$230="H")*$C$91:$C$230)*$P$17+SUMPRODUCT(($B$91:$B$230="Kale")*(AY$91:AY$230="P")*$C$91:$C$230)*$N$18+SUMPRODUCT(($B$91:$B$230="Kale")*(AY$91:AY$230="G")*$C$91:$C$230)*$O$18+SUMPRODUCT(($B$91:$B$230="Kale")*(AY$91:AY$230="H")*$C$91:$C$230)*$P$18+SUMPRODUCT(($B$91:$B$230="Garlic")*(AY$91:AY$230="P")*$C$91:$C$230)*$N$19+SUMPRODUCT(($B$91:$B$230="Garlic")*(AY$91:AY$230="G")*$C$91:$C$230)*$O$19+SUMPRODUCT(($B$91:$B$230="Garlic")*(AY$91:AY$230="H")*$C$91:$C$230)*$P$19+SUMPRODUCT(($B$91:$B$230="Tunnel Spinach")*(AY$91:AY$230="P")*$C$91:$C$230)*$N$20+SUMPRODUCT(($B$91:$B$230="Tunnel Spinach")*(AY$91:AY$230="G")*$C$91:$C$230)*$O$20+SUMPRODUCT(($B$91:$B$230="Tunnel Spinach")*(AY$91:AY$230="H")*$C$91:$C$230)*$P$20+SUMPRODUCT(($B$91:$B$230="Asparagus")*(AY$91:AY$230="P")*$C$91:$C$230)*$N$21+SUMPRODUCT(($B$91:$B$230="Asparagus")*(AY$91:AY$230="G")*$C$91:$C$230)*$O$21+SUMPRODUCT(($B$91:$B$230="Asparagus")*(AY$91:AY$230="H")*$C$91:$C$230)*$P$21-AY284</f>
        <v/>
      </c>
      <c r="AZ291" s="42">
        <f>SUMPRODUCT(($B$91:$B$230="Spinach")*(AZ$91:AZ$230="P")*$C$91:$C$230)*$N$17+SUMPRODUCT(($B$91:$B$230="Spinach")*(AZ$91:AZ$230="G")*$C$91:$C$230)*$O$17+SUMPRODUCT(($B$91:$B$230="Spinach")*(AZ$91:AZ$230="H")*$C$91:$C$230)*$P$17+SUMPRODUCT(($B$91:$B$230="Kale")*(AZ$91:AZ$230="P")*$C$91:$C$230)*$N$18+SUMPRODUCT(($B$91:$B$230="Kale")*(AZ$91:AZ$230="G")*$C$91:$C$230)*$O$18+SUMPRODUCT(($B$91:$B$230="Kale")*(AZ$91:AZ$230="H")*$C$91:$C$230)*$P$18+SUMPRODUCT(($B$91:$B$230="Garlic")*(AZ$91:AZ$230="P")*$C$91:$C$230)*$N$19+SUMPRODUCT(($B$91:$B$230="Garlic")*(AZ$91:AZ$230="G")*$C$91:$C$230)*$O$19+SUMPRODUCT(($B$91:$B$230="Garlic")*(AZ$91:AZ$230="H")*$C$91:$C$230)*$P$19+SUMPRODUCT(($B$91:$B$230="Tunnel Spinach")*(AZ$91:AZ$230="P")*$C$91:$C$230)*$N$20+SUMPRODUCT(($B$91:$B$230="Tunnel Spinach")*(AZ$91:AZ$230="G")*$C$91:$C$230)*$O$20+SUMPRODUCT(($B$91:$B$230="Tunnel Spinach")*(AZ$91:AZ$230="H")*$C$91:$C$230)*$P$20+SUMPRODUCT(($B$91:$B$230="Asparagus")*(AZ$91:AZ$230="P")*$C$91:$C$230)*$N$21+SUMPRODUCT(($B$91:$B$230="Asparagus")*(AZ$91:AZ$230="G")*$C$91:$C$230)*$O$21+SUMPRODUCT(($B$91:$B$230="Asparagus")*(AZ$91:AZ$230="H")*$C$91:$C$230)*$P$21-AZ284</f>
        <v/>
      </c>
      <c r="BA291" s="42">
        <f>SUMPRODUCT(($B$91:$B$230="Spinach")*(BA$91:BA$230="P")*$C$91:$C$230)*$N$17+SUMPRODUCT(($B$91:$B$230="Spinach")*(BA$91:BA$230="G")*$C$91:$C$230)*$O$17+SUMPRODUCT(($B$91:$B$230="Spinach")*(BA$91:BA$230="H")*$C$91:$C$230)*$P$17+SUMPRODUCT(($B$91:$B$230="Kale")*(BA$91:BA$230="P")*$C$91:$C$230)*$N$18+SUMPRODUCT(($B$91:$B$230="Kale")*(BA$91:BA$230="G")*$C$91:$C$230)*$O$18+SUMPRODUCT(($B$91:$B$230="Kale")*(BA$91:BA$230="H")*$C$91:$C$230)*$P$18+SUMPRODUCT(($B$91:$B$230="Garlic")*(BA$91:BA$230="P")*$C$91:$C$230)*$N$19+SUMPRODUCT(($B$91:$B$230="Garlic")*(BA$91:BA$230="G")*$C$91:$C$230)*$O$19+SUMPRODUCT(($B$91:$B$230="Garlic")*(BA$91:BA$230="H")*$C$91:$C$230)*$P$19+SUMPRODUCT(($B$91:$B$230="Tunnel Spinach")*(BA$91:BA$230="P")*$C$91:$C$230)*$N$20+SUMPRODUCT(($B$91:$B$230="Tunnel Spinach")*(BA$91:BA$230="G")*$C$91:$C$230)*$O$20+SUMPRODUCT(($B$91:$B$230="Tunnel Spinach")*(BA$91:BA$230="H")*$C$91:$C$230)*$P$20+SUMPRODUCT(($B$91:$B$230="Asparagus")*(BA$91:BA$230="P")*$C$91:$C$230)*$N$21+SUMPRODUCT(($B$91:$B$230="Asparagus")*(BA$91:BA$230="G")*$C$91:$C$230)*$O$21+SUMPRODUCT(($B$91:$B$230="Asparagus")*(BA$91:BA$230="H")*$C$91:$C$230)*$P$21-BA284</f>
        <v/>
      </c>
      <c r="BB291" s="42">
        <f>SUMPRODUCT(($B$91:$B$230="Spinach")*(BB$91:BB$230="P")*$C$91:$C$230)*$N$17+SUMPRODUCT(($B$91:$B$230="Spinach")*(BB$91:BB$230="G")*$C$91:$C$230)*$O$17+SUMPRODUCT(($B$91:$B$230="Spinach")*(BB$91:BB$230="H")*$C$91:$C$230)*$P$17+SUMPRODUCT(($B$91:$B$230="Kale")*(BB$91:BB$230="P")*$C$91:$C$230)*$N$18+SUMPRODUCT(($B$91:$B$230="Kale")*(BB$91:BB$230="G")*$C$91:$C$230)*$O$18+SUMPRODUCT(($B$91:$B$230="Kale")*(BB$91:BB$230="H")*$C$91:$C$230)*$P$18+SUMPRODUCT(($B$91:$B$230="Garlic")*(BB$91:BB$230="P")*$C$91:$C$230)*$N$19+SUMPRODUCT(($B$91:$B$230="Garlic")*(BB$91:BB$230="G")*$C$91:$C$230)*$O$19+SUMPRODUCT(($B$91:$B$230="Garlic")*(BB$91:BB$230="H")*$C$91:$C$230)*$P$19+SUMPRODUCT(($B$91:$B$230="Tunnel Spinach")*(BB$91:BB$230="P")*$C$91:$C$230)*$N$20+SUMPRODUCT(($B$91:$B$230="Tunnel Spinach")*(BB$91:BB$230="G")*$C$91:$C$230)*$O$20+SUMPRODUCT(($B$91:$B$230="Tunnel Spinach")*(BB$91:BB$230="H")*$C$91:$C$230)*$P$20+SUMPRODUCT(($B$91:$B$230="Asparagus")*(BB$91:BB$230="P")*$C$91:$C$230)*$N$21+SUMPRODUCT(($B$91:$B$230="Asparagus")*(BB$91:BB$230="G")*$C$91:$C$230)*$O$21+SUMPRODUCT(($B$91:$B$230="Asparagus")*(BB$91:BB$230="H")*$C$91:$C$230)*$P$21-BB284</f>
        <v/>
      </c>
      <c r="BC291" s="42">
        <f>SUMPRODUCT(($B$91:$B$230="Spinach")*(BC$91:BC$230="P")*$C$91:$C$230)*$N$17+SUMPRODUCT(($B$91:$B$230="Spinach")*(BC$91:BC$230="G")*$C$91:$C$230)*$O$17+SUMPRODUCT(($B$91:$B$230="Spinach")*(BC$91:BC$230="H")*$C$91:$C$230)*$P$17+SUMPRODUCT(($B$91:$B$230="Kale")*(BC$91:BC$230="P")*$C$91:$C$230)*$N$18+SUMPRODUCT(($B$91:$B$230="Kale")*(BC$91:BC$230="G")*$C$91:$C$230)*$O$18+SUMPRODUCT(($B$91:$B$230="Kale")*(BC$91:BC$230="H")*$C$91:$C$230)*$P$18+SUMPRODUCT(($B$91:$B$230="Garlic")*(BC$91:BC$230="P")*$C$91:$C$230)*$N$19+SUMPRODUCT(($B$91:$B$230="Garlic")*(BC$91:BC$230="G")*$C$91:$C$230)*$O$19+SUMPRODUCT(($B$91:$B$230="Garlic")*(BC$91:BC$230="H")*$C$91:$C$230)*$P$19+SUMPRODUCT(($B$91:$B$230="Tunnel Spinach")*(BC$91:BC$230="P")*$C$91:$C$230)*$N$20+SUMPRODUCT(($B$91:$B$230="Tunnel Spinach")*(BC$91:BC$230="G")*$C$91:$C$230)*$O$20+SUMPRODUCT(($B$91:$B$230="Tunnel Spinach")*(BC$91:BC$230="H")*$C$91:$C$230)*$P$20+SUMPRODUCT(($B$91:$B$230="Asparagus")*(BC$91:BC$230="P")*$C$91:$C$230)*$N$21+SUMPRODUCT(($B$91:$B$230="Asparagus")*(BC$91:BC$230="G")*$C$91:$C$230)*$O$21+SUMPRODUCT(($B$91:$B$230="Asparagus")*(BC$91:BC$230="H")*$C$91:$C$230)*$P$21-BC284</f>
        <v/>
      </c>
      <c r="BD291" s="42">
        <f>SUMPRODUCT(($B$91:$B$230="Spinach")*(BD$91:BD$230="P")*$C$91:$C$230)*$N$17+SUMPRODUCT(($B$91:$B$230="Spinach")*(BD$91:BD$230="G")*$C$91:$C$230)*$O$17+SUMPRODUCT(($B$91:$B$230="Spinach")*(BD$91:BD$230="H")*$C$91:$C$230)*$P$17+SUMPRODUCT(($B$91:$B$230="Kale")*(BD$91:BD$230="P")*$C$91:$C$230)*$N$18+SUMPRODUCT(($B$91:$B$230="Kale")*(BD$91:BD$230="G")*$C$91:$C$230)*$O$18+SUMPRODUCT(($B$91:$B$230="Kale")*(BD$91:BD$230="H")*$C$91:$C$230)*$P$18+SUMPRODUCT(($B$91:$B$230="Garlic")*(BD$91:BD$230="P")*$C$91:$C$230)*$N$19+SUMPRODUCT(($B$91:$B$230="Garlic")*(BD$91:BD$230="G")*$C$91:$C$230)*$O$19+SUMPRODUCT(($B$91:$B$230="Garlic")*(BD$91:BD$230="H")*$C$91:$C$230)*$P$19+SUMPRODUCT(($B$91:$B$230="Tunnel Spinach")*(BD$91:BD$230="P")*$C$91:$C$230)*$N$20+SUMPRODUCT(($B$91:$B$230="Tunnel Spinach")*(BD$91:BD$230="G")*$C$91:$C$230)*$O$20+SUMPRODUCT(($B$91:$B$230="Tunnel Spinach")*(BD$91:BD$230="H")*$C$91:$C$230)*$P$20+SUMPRODUCT(($B$91:$B$230="Asparagus")*(BD$91:BD$230="P")*$C$91:$C$230)*$N$21+SUMPRODUCT(($B$91:$B$230="Asparagus")*(BD$91:BD$230="G")*$C$91:$C$230)*$O$21+SUMPRODUCT(($B$91:$B$230="Asparagus")*(BD$91:BD$230="H")*$C$91:$C$230)*$P$21-BD284</f>
        <v/>
      </c>
    </row>
    <row r="292">
      <c r="A292" s="4" t="inlineStr"/>
      <c r="E292" s="52" t="inlineStr">
        <is>
          <t>&lt;=</t>
        </is>
      </c>
      <c r="F292" s="52" t="inlineStr">
        <is>
          <t>&lt;=</t>
        </is>
      </c>
      <c r="G292" s="52" t="inlineStr">
        <is>
          <t>&lt;=</t>
        </is>
      </c>
      <c r="H292" s="52" t="inlineStr">
        <is>
          <t>&lt;=</t>
        </is>
      </c>
      <c r="I292" s="52" t="inlineStr">
        <is>
          <t>&lt;=</t>
        </is>
      </c>
      <c r="J292" s="52" t="inlineStr">
        <is>
          <t>&lt;=</t>
        </is>
      </c>
      <c r="K292" s="52" t="inlineStr">
        <is>
          <t>&lt;=</t>
        </is>
      </c>
      <c r="L292" s="52" t="inlineStr">
        <is>
          <t>&lt;=</t>
        </is>
      </c>
      <c r="M292" s="52" t="inlineStr">
        <is>
          <t>&lt;=</t>
        </is>
      </c>
      <c r="N292" s="52" t="inlineStr">
        <is>
          <t>&lt;=</t>
        </is>
      </c>
      <c r="O292" s="52" t="inlineStr">
        <is>
          <t>&lt;=</t>
        </is>
      </c>
      <c r="P292" s="52" t="inlineStr">
        <is>
          <t>&lt;=</t>
        </is>
      </c>
      <c r="Q292" s="52" t="inlineStr">
        <is>
          <t>&lt;=</t>
        </is>
      </c>
      <c r="R292" s="52" t="inlineStr">
        <is>
          <t>&lt;=</t>
        </is>
      </c>
      <c r="S292" s="52" t="inlineStr">
        <is>
          <t>&lt;=</t>
        </is>
      </c>
      <c r="T292" s="52" t="inlineStr">
        <is>
          <t>&lt;=</t>
        </is>
      </c>
      <c r="U292" s="52" t="inlineStr">
        <is>
          <t>&lt;=</t>
        </is>
      </c>
      <c r="V292" s="52" t="inlineStr">
        <is>
          <t>&lt;=</t>
        </is>
      </c>
      <c r="W292" s="52" t="inlineStr">
        <is>
          <t>&lt;=</t>
        </is>
      </c>
      <c r="X292" s="52" t="inlineStr">
        <is>
          <t>&lt;=</t>
        </is>
      </c>
      <c r="Y292" s="52" t="inlineStr">
        <is>
          <t>&lt;=</t>
        </is>
      </c>
      <c r="Z292" s="52" t="inlineStr">
        <is>
          <t>&lt;=</t>
        </is>
      </c>
      <c r="AA292" s="52" t="inlineStr">
        <is>
          <t>&lt;=</t>
        </is>
      </c>
      <c r="AB292" s="52" t="inlineStr">
        <is>
          <t>&lt;=</t>
        </is>
      </c>
      <c r="AC292" s="52" t="inlineStr">
        <is>
          <t>&lt;=</t>
        </is>
      </c>
      <c r="AD292" s="52" t="inlineStr">
        <is>
          <t>&lt;=</t>
        </is>
      </c>
      <c r="AE292" s="52" t="inlineStr">
        <is>
          <t>&lt;=</t>
        </is>
      </c>
      <c r="AF292" s="52" t="inlineStr">
        <is>
          <t>&lt;=</t>
        </is>
      </c>
      <c r="AG292" s="52" t="inlineStr">
        <is>
          <t>&lt;=</t>
        </is>
      </c>
      <c r="AH292" s="52" t="inlineStr">
        <is>
          <t>&lt;=</t>
        </is>
      </c>
      <c r="AI292" s="52" t="inlineStr">
        <is>
          <t>&lt;=</t>
        </is>
      </c>
      <c r="AJ292" s="52" t="inlineStr">
        <is>
          <t>&lt;=</t>
        </is>
      </c>
      <c r="AK292" s="52" t="inlineStr">
        <is>
          <t>&lt;=</t>
        </is>
      </c>
      <c r="AL292" s="52" t="inlineStr">
        <is>
          <t>&lt;=</t>
        </is>
      </c>
      <c r="AM292" s="52" t="inlineStr">
        <is>
          <t>&lt;=</t>
        </is>
      </c>
      <c r="AN292" s="52" t="inlineStr">
        <is>
          <t>&lt;=</t>
        </is>
      </c>
      <c r="AO292" s="52" t="inlineStr">
        <is>
          <t>&lt;=</t>
        </is>
      </c>
      <c r="AP292" s="52" t="inlineStr">
        <is>
          <t>&lt;=</t>
        </is>
      </c>
      <c r="AQ292" s="52" t="inlineStr">
        <is>
          <t>&lt;=</t>
        </is>
      </c>
      <c r="AR292" s="52" t="inlineStr">
        <is>
          <t>&lt;=</t>
        </is>
      </c>
      <c r="AS292" s="52" t="inlineStr">
        <is>
          <t>&lt;=</t>
        </is>
      </c>
      <c r="AT292" s="52" t="inlineStr">
        <is>
          <t>&lt;=</t>
        </is>
      </c>
      <c r="AU292" s="52" t="inlineStr">
        <is>
          <t>&lt;=</t>
        </is>
      </c>
      <c r="AV292" s="52" t="inlineStr">
        <is>
          <t>&lt;=</t>
        </is>
      </c>
      <c r="AW292" s="52" t="inlineStr">
        <is>
          <t>&lt;=</t>
        </is>
      </c>
      <c r="AX292" s="52" t="inlineStr">
        <is>
          <t>&lt;=</t>
        </is>
      </c>
      <c r="AY292" s="52" t="inlineStr">
        <is>
          <t>&lt;=</t>
        </is>
      </c>
      <c r="AZ292" s="52" t="inlineStr">
        <is>
          <t>&lt;=</t>
        </is>
      </c>
      <c r="BA292" s="52" t="inlineStr">
        <is>
          <t>&lt;=</t>
        </is>
      </c>
      <c r="BB292" s="52" t="inlineStr">
        <is>
          <t>&lt;=</t>
        </is>
      </c>
      <c r="BC292" s="52" t="inlineStr">
        <is>
          <t>&lt;=</t>
        </is>
      </c>
      <c r="BD292" s="52" t="inlineStr">
        <is>
          <t>&lt;=</t>
        </is>
      </c>
    </row>
    <row r="293">
      <c r="A293" s="41" t="inlineStr">
        <is>
          <t xml:space="preserve">  limit</t>
        </is>
      </c>
      <c r="B293" s="2" t="inlineStr">
        <is>
          <t>cap</t>
        </is>
      </c>
      <c r="E293" s="42">
        <f>E$286</f>
        <v/>
      </c>
      <c r="F293" s="42">
        <f>F$286</f>
        <v/>
      </c>
      <c r="G293" s="42">
        <f>G$286</f>
        <v/>
      </c>
      <c r="H293" s="42">
        <f>H$286</f>
        <v/>
      </c>
      <c r="I293" s="42">
        <f>I$286</f>
        <v/>
      </c>
      <c r="J293" s="42">
        <f>J$286</f>
        <v/>
      </c>
      <c r="K293" s="42">
        <f>K$286</f>
        <v/>
      </c>
      <c r="L293" s="42">
        <f>L$286</f>
        <v/>
      </c>
      <c r="M293" s="42">
        <f>M$286</f>
        <v/>
      </c>
      <c r="N293" s="42">
        <f>N$286</f>
        <v/>
      </c>
      <c r="O293" s="42">
        <f>O$286</f>
        <v/>
      </c>
      <c r="P293" s="42">
        <f>P$286</f>
        <v/>
      </c>
      <c r="Q293" s="42">
        <f>Q$286</f>
        <v/>
      </c>
      <c r="R293" s="42">
        <f>R$286</f>
        <v/>
      </c>
      <c r="S293" s="42">
        <f>S$286</f>
        <v/>
      </c>
      <c r="T293" s="42">
        <f>T$286</f>
        <v/>
      </c>
      <c r="U293" s="42">
        <f>U$286</f>
        <v/>
      </c>
      <c r="V293" s="42">
        <f>V$286</f>
        <v/>
      </c>
      <c r="W293" s="42">
        <f>W$286</f>
        <v/>
      </c>
      <c r="X293" s="42">
        <f>X$286</f>
        <v/>
      </c>
      <c r="Y293" s="42">
        <f>Y$286</f>
        <v/>
      </c>
      <c r="Z293" s="42">
        <f>Z$286</f>
        <v/>
      </c>
      <c r="AA293" s="42">
        <f>AA$286</f>
        <v/>
      </c>
      <c r="AB293" s="42">
        <f>AB$286</f>
        <v/>
      </c>
      <c r="AC293" s="42">
        <f>AC$286</f>
        <v/>
      </c>
      <c r="AD293" s="42">
        <f>AD$286</f>
        <v/>
      </c>
      <c r="AE293" s="42">
        <f>AE$286</f>
        <v/>
      </c>
      <c r="AF293" s="42">
        <f>AF$286</f>
        <v/>
      </c>
      <c r="AG293" s="42">
        <f>AG$286</f>
        <v/>
      </c>
      <c r="AH293" s="42">
        <f>AH$286</f>
        <v/>
      </c>
      <c r="AI293" s="42">
        <f>AI$286</f>
        <v/>
      </c>
      <c r="AJ293" s="42">
        <f>AJ$286</f>
        <v/>
      </c>
      <c r="AK293" s="42">
        <f>AK$286</f>
        <v/>
      </c>
      <c r="AL293" s="42">
        <f>AL$286</f>
        <v/>
      </c>
      <c r="AM293" s="42">
        <f>AM$286</f>
        <v/>
      </c>
      <c r="AN293" s="42">
        <f>AN$286</f>
        <v/>
      </c>
      <c r="AO293" s="42">
        <f>AO$286</f>
        <v/>
      </c>
      <c r="AP293" s="42">
        <f>AP$286</f>
        <v/>
      </c>
      <c r="AQ293" s="42">
        <f>AQ$286</f>
        <v/>
      </c>
      <c r="AR293" s="42">
        <f>AR$286</f>
        <v/>
      </c>
      <c r="AS293" s="42">
        <f>AS$286</f>
        <v/>
      </c>
      <c r="AT293" s="42">
        <f>AT$286</f>
        <v/>
      </c>
      <c r="AU293" s="42">
        <f>AU$286</f>
        <v/>
      </c>
      <c r="AV293" s="42">
        <f>AV$286</f>
        <v/>
      </c>
      <c r="AW293" s="42">
        <f>AW$286</f>
        <v/>
      </c>
      <c r="AX293" s="42">
        <f>AX$286</f>
        <v/>
      </c>
      <c r="AY293" s="42">
        <f>AY$286</f>
        <v/>
      </c>
      <c r="AZ293" s="42">
        <f>AZ$286</f>
        <v/>
      </c>
      <c r="BA293" s="42">
        <f>BA$286</f>
        <v/>
      </c>
      <c r="BB293" s="42">
        <f>BB$286</f>
        <v/>
      </c>
      <c r="BC293" s="42">
        <f>BC$286</f>
        <v/>
      </c>
      <c r="BD293" s="42">
        <f>BD$286</f>
        <v/>
      </c>
    </row>
    <row r="294">
      <c r="A294" s="43" t="inlineStr">
        <is>
          <t xml:space="preserve">  room left</t>
        </is>
      </c>
      <c r="E294" s="42">
        <f>E$286-E291</f>
        <v/>
      </c>
      <c r="F294" s="42">
        <f>F$286-F291</f>
        <v/>
      </c>
      <c r="G294" s="42">
        <f>G$286-G291</f>
        <v/>
      </c>
      <c r="H294" s="42">
        <f>H$286-H291</f>
        <v/>
      </c>
      <c r="I294" s="42">
        <f>I$286-I291</f>
        <v/>
      </c>
      <c r="J294" s="42">
        <f>J$286-J291</f>
        <v/>
      </c>
      <c r="K294" s="42">
        <f>K$286-K291</f>
        <v/>
      </c>
      <c r="L294" s="42">
        <f>L$286-L291</f>
        <v/>
      </c>
      <c r="M294" s="42">
        <f>M$286-M291</f>
        <v/>
      </c>
      <c r="N294" s="42">
        <f>N$286-N291</f>
        <v/>
      </c>
      <c r="O294" s="42">
        <f>O$286-O291</f>
        <v/>
      </c>
      <c r="P294" s="42">
        <f>P$286-P291</f>
        <v/>
      </c>
      <c r="Q294" s="42">
        <f>Q$286-Q291</f>
        <v/>
      </c>
      <c r="R294" s="42">
        <f>R$286-R291</f>
        <v/>
      </c>
      <c r="S294" s="42">
        <f>S$286-S291</f>
        <v/>
      </c>
      <c r="T294" s="42">
        <f>T$286-T291</f>
        <v/>
      </c>
      <c r="U294" s="42">
        <f>U$286-U291</f>
        <v/>
      </c>
      <c r="V294" s="42">
        <f>V$286-V291</f>
        <v/>
      </c>
      <c r="W294" s="42">
        <f>W$286-W291</f>
        <v/>
      </c>
      <c r="X294" s="42">
        <f>X$286-X291</f>
        <v/>
      </c>
      <c r="Y294" s="42">
        <f>Y$286-Y291</f>
        <v/>
      </c>
      <c r="Z294" s="42">
        <f>Z$286-Z291</f>
        <v/>
      </c>
      <c r="AA294" s="42">
        <f>AA$286-AA291</f>
        <v/>
      </c>
      <c r="AB294" s="42">
        <f>AB$286-AB291</f>
        <v/>
      </c>
      <c r="AC294" s="42">
        <f>AC$286-AC291</f>
        <v/>
      </c>
      <c r="AD294" s="42">
        <f>AD$286-AD291</f>
        <v/>
      </c>
      <c r="AE294" s="42">
        <f>AE$286-AE291</f>
        <v/>
      </c>
      <c r="AF294" s="42">
        <f>AF$286-AF291</f>
        <v/>
      </c>
      <c r="AG294" s="42">
        <f>AG$286-AG291</f>
        <v/>
      </c>
      <c r="AH294" s="42">
        <f>AH$286-AH291</f>
        <v/>
      </c>
      <c r="AI294" s="42">
        <f>AI$286-AI291</f>
        <v/>
      </c>
      <c r="AJ294" s="42">
        <f>AJ$286-AJ291</f>
        <v/>
      </c>
      <c r="AK294" s="42">
        <f>AK$286-AK291</f>
        <v/>
      </c>
      <c r="AL294" s="42">
        <f>AL$286-AL291</f>
        <v/>
      </c>
      <c r="AM294" s="42">
        <f>AM$286-AM291</f>
        <v/>
      </c>
      <c r="AN294" s="42">
        <f>AN$286-AN291</f>
        <v/>
      </c>
      <c r="AO294" s="42">
        <f>AO$286-AO291</f>
        <v/>
      </c>
      <c r="AP294" s="42">
        <f>AP$286-AP291</f>
        <v/>
      </c>
      <c r="AQ294" s="42">
        <f>AQ$286-AQ291</f>
        <v/>
      </c>
      <c r="AR294" s="42">
        <f>AR$286-AR291</f>
        <v/>
      </c>
      <c r="AS294" s="42">
        <f>AS$286-AS291</f>
        <v/>
      </c>
      <c r="AT294" s="42">
        <f>AT$286-AT291</f>
        <v/>
      </c>
      <c r="AU294" s="42">
        <f>AU$286-AU291</f>
        <v/>
      </c>
      <c r="AV294" s="42">
        <f>AV$286-AV291</f>
        <v/>
      </c>
      <c r="AW294" s="42">
        <f>AW$286-AW291</f>
        <v/>
      </c>
      <c r="AX294" s="42">
        <f>AX$286-AX291</f>
        <v/>
      </c>
      <c r="AY294" s="42">
        <f>AY$286-AY291</f>
        <v/>
      </c>
      <c r="AZ294" s="42">
        <f>AZ$286-AZ291</f>
        <v/>
      </c>
      <c r="BA294" s="42">
        <f>BA$286-BA291</f>
        <v/>
      </c>
      <c r="BB294" s="42">
        <f>BB$286-BB291</f>
        <v/>
      </c>
      <c r="BC294" s="42">
        <f>BC$286-BC291</f>
        <v/>
      </c>
      <c r="BD294" s="42">
        <f>BD$286-BD291</f>
        <v/>
      </c>
    </row>
    <row r="295">
      <c r="A295" s="2" t="inlineStr">
        <is>
          <t xml:space="preserve">   The app's C2, less whatever the piece-rate crew picked. On this farm it is the constraint that binds hardest.</t>
        </is>
      </c>
    </row>
    <row r="297">
      <c r="A297" s="36" t="inlineStr">
        <is>
          <t>Week</t>
        </is>
      </c>
      <c r="B297" s="37" t="inlineStr">
        <is>
          <t>hours</t>
        </is>
      </c>
      <c r="E297" s="38" t="n">
        <v>1</v>
      </c>
      <c r="F297" s="38" t="n">
        <v>2</v>
      </c>
      <c r="G297" s="38" t="n">
        <v>3</v>
      </c>
      <c r="H297" s="38" t="n">
        <v>4</v>
      </c>
      <c r="I297" s="38" t="n">
        <v>5</v>
      </c>
      <c r="J297" s="38" t="n">
        <v>6</v>
      </c>
      <c r="K297" s="38" t="n">
        <v>7</v>
      </c>
      <c r="L297" s="38" t="n">
        <v>8</v>
      </c>
      <c r="M297" s="38" t="n">
        <v>9</v>
      </c>
      <c r="N297" s="38" t="n">
        <v>10</v>
      </c>
      <c r="O297" s="38" t="n">
        <v>11</v>
      </c>
      <c r="P297" s="38" t="n">
        <v>12</v>
      </c>
      <c r="Q297" s="38" t="n">
        <v>13</v>
      </c>
      <c r="R297" s="38" t="n">
        <v>14</v>
      </c>
      <c r="S297" s="38" t="n">
        <v>15</v>
      </c>
      <c r="T297" s="38" t="n">
        <v>16</v>
      </c>
      <c r="U297" s="38" t="n">
        <v>17</v>
      </c>
      <c r="V297" s="38" t="n">
        <v>18</v>
      </c>
      <c r="W297" s="38" t="n">
        <v>19</v>
      </c>
      <c r="X297" s="38" t="n">
        <v>20</v>
      </c>
      <c r="Y297" s="38" t="n">
        <v>21</v>
      </c>
      <c r="Z297" s="38" t="n">
        <v>22</v>
      </c>
      <c r="AA297" s="38" t="n">
        <v>23</v>
      </c>
      <c r="AB297" s="38" t="n">
        <v>24</v>
      </c>
      <c r="AC297" s="38" t="n">
        <v>25</v>
      </c>
      <c r="AD297" s="38" t="n">
        <v>26</v>
      </c>
      <c r="AE297" s="38" t="n">
        <v>27</v>
      </c>
      <c r="AF297" s="38" t="n">
        <v>28</v>
      </c>
      <c r="AG297" s="38" t="n">
        <v>29</v>
      </c>
      <c r="AH297" s="38" t="n">
        <v>30</v>
      </c>
      <c r="AI297" s="38" t="n">
        <v>31</v>
      </c>
      <c r="AJ297" s="38" t="n">
        <v>32</v>
      </c>
      <c r="AK297" s="38" t="n">
        <v>33</v>
      </c>
      <c r="AL297" s="38" t="n">
        <v>34</v>
      </c>
      <c r="AM297" s="38" t="n">
        <v>35</v>
      </c>
      <c r="AN297" s="38" t="n">
        <v>36</v>
      </c>
      <c r="AO297" s="38" t="n">
        <v>37</v>
      </c>
      <c r="AP297" s="38" t="n">
        <v>38</v>
      </c>
      <c r="AQ297" s="38" t="n">
        <v>39</v>
      </c>
      <c r="AR297" s="38" t="n">
        <v>40</v>
      </c>
      <c r="AS297" s="38" t="n">
        <v>41</v>
      </c>
      <c r="AT297" s="38" t="n">
        <v>42</v>
      </c>
      <c r="AU297" s="38" t="n">
        <v>43</v>
      </c>
      <c r="AV297" s="38" t="n">
        <v>44</v>
      </c>
      <c r="AW297" s="38" t="n">
        <v>45</v>
      </c>
      <c r="AX297" s="38" t="n">
        <v>46</v>
      </c>
      <c r="AY297" s="38" t="n">
        <v>47</v>
      </c>
      <c r="AZ297" s="38" t="n">
        <v>48</v>
      </c>
      <c r="BA297" s="38" t="n">
        <v>49</v>
      </c>
      <c r="BB297" s="38" t="n">
        <v>50</v>
      </c>
      <c r="BC297" s="38" t="n">
        <v>51</v>
      </c>
      <c r="BD297" s="38" t="n">
        <v>52</v>
      </c>
    </row>
    <row r="298">
      <c r="A298" s="33" t="inlineStr">
        <is>
          <t>HARVEST hours needed</t>
        </is>
      </c>
      <c r="B298" s="2" t="inlineStr">
        <is>
          <t>hrs</t>
        </is>
      </c>
      <c r="E298" s="40">
        <f>SUMPRODUCT(($B$91:$B$230="Spinach")*(E$91:E$230="H")*$C$91:$C$230)*$P$17+SUMPRODUCT(($B$91:$B$230="Kale")*(E$91:E$230="H")*$C$91:$C$230)*$P$18+SUMPRODUCT(($B$91:$B$230="Garlic")*(E$91:E$230="H")*$C$91:$C$230)*$P$19</f>
        <v/>
      </c>
      <c r="F298" s="40">
        <f>SUMPRODUCT(($B$91:$B$230="Spinach")*(F$91:F$230="H")*$C$91:$C$230)*$P$17+SUMPRODUCT(($B$91:$B$230="Kale")*(F$91:F$230="H")*$C$91:$C$230)*$P$18+SUMPRODUCT(($B$91:$B$230="Garlic")*(F$91:F$230="H")*$C$91:$C$230)*$P$19</f>
        <v/>
      </c>
      <c r="G298" s="40">
        <f>SUMPRODUCT(($B$91:$B$230="Spinach")*(G$91:G$230="H")*$C$91:$C$230)*$P$17+SUMPRODUCT(($B$91:$B$230="Kale")*(G$91:G$230="H")*$C$91:$C$230)*$P$18+SUMPRODUCT(($B$91:$B$230="Garlic")*(G$91:G$230="H")*$C$91:$C$230)*$P$19</f>
        <v/>
      </c>
      <c r="H298" s="40">
        <f>SUMPRODUCT(($B$91:$B$230="Spinach")*(H$91:H$230="H")*$C$91:$C$230)*$P$17+SUMPRODUCT(($B$91:$B$230="Kale")*(H$91:H$230="H")*$C$91:$C$230)*$P$18+SUMPRODUCT(($B$91:$B$230="Garlic")*(H$91:H$230="H")*$C$91:$C$230)*$P$19</f>
        <v/>
      </c>
      <c r="I298" s="40">
        <f>SUMPRODUCT(($B$91:$B$230="Spinach")*(I$91:I$230="H")*$C$91:$C$230)*$P$17+SUMPRODUCT(($B$91:$B$230="Kale")*(I$91:I$230="H")*$C$91:$C$230)*$P$18+SUMPRODUCT(($B$91:$B$230="Garlic")*(I$91:I$230="H")*$C$91:$C$230)*$P$19</f>
        <v/>
      </c>
      <c r="J298" s="40">
        <f>SUMPRODUCT(($B$91:$B$230="Spinach")*(J$91:J$230="H")*$C$91:$C$230)*$P$17+SUMPRODUCT(($B$91:$B$230="Kale")*(J$91:J$230="H")*$C$91:$C$230)*$P$18+SUMPRODUCT(($B$91:$B$230="Garlic")*(J$91:J$230="H")*$C$91:$C$230)*$P$19</f>
        <v/>
      </c>
      <c r="K298" s="40">
        <f>SUMPRODUCT(($B$91:$B$230="Spinach")*(K$91:K$230="H")*$C$91:$C$230)*$P$17+SUMPRODUCT(($B$91:$B$230="Kale")*(K$91:K$230="H")*$C$91:$C$230)*$P$18+SUMPRODUCT(($B$91:$B$230="Garlic")*(K$91:K$230="H")*$C$91:$C$230)*$P$19</f>
        <v/>
      </c>
      <c r="L298" s="40">
        <f>SUMPRODUCT(($B$91:$B$230="Spinach")*(L$91:L$230="H")*$C$91:$C$230)*$P$17+SUMPRODUCT(($B$91:$B$230="Kale")*(L$91:L$230="H")*$C$91:$C$230)*$P$18+SUMPRODUCT(($B$91:$B$230="Garlic")*(L$91:L$230="H")*$C$91:$C$230)*$P$19</f>
        <v/>
      </c>
      <c r="M298" s="40">
        <f>SUMPRODUCT(($B$91:$B$230="Spinach")*(M$91:M$230="H")*$C$91:$C$230)*$P$17+SUMPRODUCT(($B$91:$B$230="Kale")*(M$91:M$230="H")*$C$91:$C$230)*$P$18+SUMPRODUCT(($B$91:$B$230="Garlic")*(M$91:M$230="H")*$C$91:$C$230)*$P$19</f>
        <v/>
      </c>
      <c r="N298" s="40">
        <f>SUMPRODUCT(($B$91:$B$230="Spinach")*(N$91:N$230="H")*$C$91:$C$230)*$P$17+SUMPRODUCT(($B$91:$B$230="Kale")*(N$91:N$230="H")*$C$91:$C$230)*$P$18+SUMPRODUCT(($B$91:$B$230="Garlic")*(N$91:N$230="H")*$C$91:$C$230)*$P$19</f>
        <v/>
      </c>
      <c r="O298" s="40">
        <f>SUMPRODUCT(($B$91:$B$230="Spinach")*(O$91:O$230="H")*$C$91:$C$230)*$P$17+SUMPRODUCT(($B$91:$B$230="Kale")*(O$91:O$230="H")*$C$91:$C$230)*$P$18+SUMPRODUCT(($B$91:$B$230="Garlic")*(O$91:O$230="H")*$C$91:$C$230)*$P$19</f>
        <v/>
      </c>
      <c r="P298" s="40">
        <f>SUMPRODUCT(($B$91:$B$230="Spinach")*(P$91:P$230="H")*$C$91:$C$230)*$P$17+SUMPRODUCT(($B$91:$B$230="Kale")*(P$91:P$230="H")*$C$91:$C$230)*$P$18+SUMPRODUCT(($B$91:$B$230="Garlic")*(P$91:P$230="H")*$C$91:$C$230)*$P$19</f>
        <v/>
      </c>
      <c r="Q298" s="40">
        <f>SUMPRODUCT(($B$91:$B$230="Spinach")*(Q$91:Q$230="H")*$C$91:$C$230)*$P$17+SUMPRODUCT(($B$91:$B$230="Kale")*(Q$91:Q$230="H")*$C$91:$C$230)*$P$18+SUMPRODUCT(($B$91:$B$230="Garlic")*(Q$91:Q$230="H")*$C$91:$C$230)*$P$19</f>
        <v/>
      </c>
      <c r="R298" s="40">
        <f>SUMPRODUCT(($B$91:$B$230="Spinach")*(R$91:R$230="H")*$C$91:$C$230)*$P$17+SUMPRODUCT(($B$91:$B$230="Kale")*(R$91:R$230="H")*$C$91:$C$230)*$P$18+SUMPRODUCT(($B$91:$B$230="Garlic")*(R$91:R$230="H")*$C$91:$C$230)*$P$19</f>
        <v/>
      </c>
      <c r="S298" s="40">
        <f>SUMPRODUCT(($B$91:$B$230="Spinach")*(S$91:S$230="H")*$C$91:$C$230)*$P$17+SUMPRODUCT(($B$91:$B$230="Kale")*(S$91:S$230="H")*$C$91:$C$230)*$P$18+SUMPRODUCT(($B$91:$B$230="Garlic")*(S$91:S$230="H")*$C$91:$C$230)*$P$19</f>
        <v/>
      </c>
      <c r="T298" s="40">
        <f>SUMPRODUCT(($B$91:$B$230="Spinach")*(T$91:T$230="H")*$C$91:$C$230)*$P$17+SUMPRODUCT(($B$91:$B$230="Kale")*(T$91:T$230="H")*$C$91:$C$230)*$P$18+SUMPRODUCT(($B$91:$B$230="Garlic")*(T$91:T$230="H")*$C$91:$C$230)*$P$19</f>
        <v/>
      </c>
      <c r="U298" s="40">
        <f>SUMPRODUCT(($B$91:$B$230="Spinach")*(U$91:U$230="H")*$C$91:$C$230)*$P$17+SUMPRODUCT(($B$91:$B$230="Kale")*(U$91:U$230="H")*$C$91:$C$230)*$P$18+SUMPRODUCT(($B$91:$B$230="Garlic")*(U$91:U$230="H")*$C$91:$C$230)*$P$19</f>
        <v/>
      </c>
      <c r="V298" s="40">
        <f>SUMPRODUCT(($B$91:$B$230="Spinach")*(V$91:V$230="H")*$C$91:$C$230)*$P$17+SUMPRODUCT(($B$91:$B$230="Kale")*(V$91:V$230="H")*$C$91:$C$230)*$P$18+SUMPRODUCT(($B$91:$B$230="Garlic")*(V$91:V$230="H")*$C$91:$C$230)*$P$19</f>
        <v/>
      </c>
      <c r="W298" s="40">
        <f>SUMPRODUCT(($B$91:$B$230="Spinach")*(W$91:W$230="H")*$C$91:$C$230)*$P$17+SUMPRODUCT(($B$91:$B$230="Kale")*(W$91:W$230="H")*$C$91:$C$230)*$P$18+SUMPRODUCT(($B$91:$B$230="Garlic")*(W$91:W$230="H")*$C$91:$C$230)*$P$19</f>
        <v/>
      </c>
      <c r="X298" s="40">
        <f>SUMPRODUCT(($B$91:$B$230="Spinach")*(X$91:X$230="H")*$C$91:$C$230)*$P$17+SUMPRODUCT(($B$91:$B$230="Kale")*(X$91:X$230="H")*$C$91:$C$230)*$P$18+SUMPRODUCT(($B$91:$B$230="Garlic")*(X$91:X$230="H")*$C$91:$C$230)*$P$19</f>
        <v/>
      </c>
      <c r="Y298" s="40">
        <f>SUMPRODUCT(($B$91:$B$230="Spinach")*(Y$91:Y$230="H")*$C$91:$C$230)*$P$17+SUMPRODUCT(($B$91:$B$230="Kale")*(Y$91:Y$230="H")*$C$91:$C$230)*$P$18+SUMPRODUCT(($B$91:$B$230="Garlic")*(Y$91:Y$230="H")*$C$91:$C$230)*$P$19</f>
        <v/>
      </c>
      <c r="Z298" s="40">
        <f>SUMPRODUCT(($B$91:$B$230="Spinach")*(Z$91:Z$230="H")*$C$91:$C$230)*$P$17+SUMPRODUCT(($B$91:$B$230="Kale")*(Z$91:Z$230="H")*$C$91:$C$230)*$P$18+SUMPRODUCT(($B$91:$B$230="Garlic")*(Z$91:Z$230="H")*$C$91:$C$230)*$P$19</f>
        <v/>
      </c>
      <c r="AA298" s="40">
        <f>SUMPRODUCT(($B$91:$B$230="Spinach")*(AA$91:AA$230="H")*$C$91:$C$230)*$P$17+SUMPRODUCT(($B$91:$B$230="Kale")*(AA$91:AA$230="H")*$C$91:$C$230)*$P$18+SUMPRODUCT(($B$91:$B$230="Garlic")*(AA$91:AA$230="H")*$C$91:$C$230)*$P$19</f>
        <v/>
      </c>
      <c r="AB298" s="40">
        <f>SUMPRODUCT(($B$91:$B$230="Spinach")*(AB$91:AB$230="H")*$C$91:$C$230)*$P$17+SUMPRODUCT(($B$91:$B$230="Kale")*(AB$91:AB$230="H")*$C$91:$C$230)*$P$18+SUMPRODUCT(($B$91:$B$230="Garlic")*(AB$91:AB$230="H")*$C$91:$C$230)*$P$19</f>
        <v/>
      </c>
      <c r="AC298" s="40">
        <f>SUMPRODUCT(($B$91:$B$230="Spinach")*(AC$91:AC$230="H")*$C$91:$C$230)*$P$17+SUMPRODUCT(($B$91:$B$230="Kale")*(AC$91:AC$230="H")*$C$91:$C$230)*$P$18+SUMPRODUCT(($B$91:$B$230="Garlic")*(AC$91:AC$230="H")*$C$91:$C$230)*$P$19</f>
        <v/>
      </c>
      <c r="AD298" s="40">
        <f>SUMPRODUCT(($B$91:$B$230="Spinach")*(AD$91:AD$230="H")*$C$91:$C$230)*$P$17+SUMPRODUCT(($B$91:$B$230="Kale")*(AD$91:AD$230="H")*$C$91:$C$230)*$P$18+SUMPRODUCT(($B$91:$B$230="Garlic")*(AD$91:AD$230="H")*$C$91:$C$230)*$P$19</f>
        <v/>
      </c>
      <c r="AE298" s="40">
        <f>SUMPRODUCT(($B$91:$B$230="Spinach")*(AE$91:AE$230="H")*$C$91:$C$230)*$P$17+SUMPRODUCT(($B$91:$B$230="Kale")*(AE$91:AE$230="H")*$C$91:$C$230)*$P$18+SUMPRODUCT(($B$91:$B$230="Garlic")*(AE$91:AE$230="H")*$C$91:$C$230)*$P$19</f>
        <v/>
      </c>
      <c r="AF298" s="40">
        <f>SUMPRODUCT(($B$91:$B$230="Spinach")*(AF$91:AF$230="H")*$C$91:$C$230)*$P$17+SUMPRODUCT(($B$91:$B$230="Kale")*(AF$91:AF$230="H")*$C$91:$C$230)*$P$18+SUMPRODUCT(($B$91:$B$230="Garlic")*(AF$91:AF$230="H")*$C$91:$C$230)*$P$19</f>
        <v/>
      </c>
      <c r="AG298" s="40">
        <f>SUMPRODUCT(($B$91:$B$230="Spinach")*(AG$91:AG$230="H")*$C$91:$C$230)*$P$17+SUMPRODUCT(($B$91:$B$230="Kale")*(AG$91:AG$230="H")*$C$91:$C$230)*$P$18+SUMPRODUCT(($B$91:$B$230="Garlic")*(AG$91:AG$230="H")*$C$91:$C$230)*$P$19</f>
        <v/>
      </c>
      <c r="AH298" s="40">
        <f>SUMPRODUCT(($B$91:$B$230="Spinach")*(AH$91:AH$230="H")*$C$91:$C$230)*$P$17+SUMPRODUCT(($B$91:$B$230="Kale")*(AH$91:AH$230="H")*$C$91:$C$230)*$P$18+SUMPRODUCT(($B$91:$B$230="Garlic")*(AH$91:AH$230="H")*$C$91:$C$230)*$P$19</f>
        <v/>
      </c>
      <c r="AI298" s="40">
        <f>SUMPRODUCT(($B$91:$B$230="Spinach")*(AI$91:AI$230="H")*$C$91:$C$230)*$P$17+SUMPRODUCT(($B$91:$B$230="Kale")*(AI$91:AI$230="H")*$C$91:$C$230)*$P$18+SUMPRODUCT(($B$91:$B$230="Garlic")*(AI$91:AI$230="H")*$C$91:$C$230)*$P$19</f>
        <v/>
      </c>
      <c r="AJ298" s="40">
        <f>SUMPRODUCT(($B$91:$B$230="Spinach")*(AJ$91:AJ$230="H")*$C$91:$C$230)*$P$17+SUMPRODUCT(($B$91:$B$230="Kale")*(AJ$91:AJ$230="H")*$C$91:$C$230)*$P$18+SUMPRODUCT(($B$91:$B$230="Garlic")*(AJ$91:AJ$230="H")*$C$91:$C$230)*$P$19</f>
        <v/>
      </c>
      <c r="AK298" s="40">
        <f>SUMPRODUCT(($B$91:$B$230="Spinach")*(AK$91:AK$230="H")*$C$91:$C$230)*$P$17+SUMPRODUCT(($B$91:$B$230="Kale")*(AK$91:AK$230="H")*$C$91:$C$230)*$P$18+SUMPRODUCT(($B$91:$B$230="Garlic")*(AK$91:AK$230="H")*$C$91:$C$230)*$P$19</f>
        <v/>
      </c>
      <c r="AL298" s="40">
        <f>SUMPRODUCT(($B$91:$B$230="Spinach")*(AL$91:AL$230="H")*$C$91:$C$230)*$P$17+SUMPRODUCT(($B$91:$B$230="Kale")*(AL$91:AL$230="H")*$C$91:$C$230)*$P$18+SUMPRODUCT(($B$91:$B$230="Garlic")*(AL$91:AL$230="H")*$C$91:$C$230)*$P$19</f>
        <v/>
      </c>
      <c r="AM298" s="40">
        <f>SUMPRODUCT(($B$91:$B$230="Spinach")*(AM$91:AM$230="H")*$C$91:$C$230)*$P$17+SUMPRODUCT(($B$91:$B$230="Kale")*(AM$91:AM$230="H")*$C$91:$C$230)*$P$18+SUMPRODUCT(($B$91:$B$230="Garlic")*(AM$91:AM$230="H")*$C$91:$C$230)*$P$19</f>
        <v/>
      </c>
      <c r="AN298" s="40">
        <f>SUMPRODUCT(($B$91:$B$230="Spinach")*(AN$91:AN$230="H")*$C$91:$C$230)*$P$17+SUMPRODUCT(($B$91:$B$230="Kale")*(AN$91:AN$230="H")*$C$91:$C$230)*$P$18+SUMPRODUCT(($B$91:$B$230="Garlic")*(AN$91:AN$230="H")*$C$91:$C$230)*$P$19</f>
        <v/>
      </c>
      <c r="AO298" s="40">
        <f>SUMPRODUCT(($B$91:$B$230="Spinach")*(AO$91:AO$230="H")*$C$91:$C$230)*$P$17+SUMPRODUCT(($B$91:$B$230="Kale")*(AO$91:AO$230="H")*$C$91:$C$230)*$P$18+SUMPRODUCT(($B$91:$B$230="Garlic")*(AO$91:AO$230="H")*$C$91:$C$230)*$P$19</f>
        <v/>
      </c>
      <c r="AP298" s="40">
        <f>SUMPRODUCT(($B$91:$B$230="Spinach")*(AP$91:AP$230="H")*$C$91:$C$230)*$P$17+SUMPRODUCT(($B$91:$B$230="Kale")*(AP$91:AP$230="H")*$C$91:$C$230)*$P$18+SUMPRODUCT(($B$91:$B$230="Garlic")*(AP$91:AP$230="H")*$C$91:$C$230)*$P$19</f>
        <v/>
      </c>
      <c r="AQ298" s="40">
        <f>SUMPRODUCT(($B$91:$B$230="Spinach")*(AQ$91:AQ$230="H")*$C$91:$C$230)*$P$17+SUMPRODUCT(($B$91:$B$230="Kale")*(AQ$91:AQ$230="H")*$C$91:$C$230)*$P$18+SUMPRODUCT(($B$91:$B$230="Garlic")*(AQ$91:AQ$230="H")*$C$91:$C$230)*$P$19</f>
        <v/>
      </c>
      <c r="AR298" s="40">
        <f>SUMPRODUCT(($B$91:$B$230="Spinach")*(AR$91:AR$230="H")*$C$91:$C$230)*$P$17+SUMPRODUCT(($B$91:$B$230="Kale")*(AR$91:AR$230="H")*$C$91:$C$230)*$P$18+SUMPRODUCT(($B$91:$B$230="Garlic")*(AR$91:AR$230="H")*$C$91:$C$230)*$P$19</f>
        <v/>
      </c>
      <c r="AS298" s="40">
        <f>SUMPRODUCT(($B$91:$B$230="Spinach")*(AS$91:AS$230="H")*$C$91:$C$230)*$P$17+SUMPRODUCT(($B$91:$B$230="Kale")*(AS$91:AS$230="H")*$C$91:$C$230)*$P$18+SUMPRODUCT(($B$91:$B$230="Garlic")*(AS$91:AS$230="H")*$C$91:$C$230)*$P$19</f>
        <v/>
      </c>
      <c r="AT298" s="40">
        <f>SUMPRODUCT(($B$91:$B$230="Spinach")*(AT$91:AT$230="H")*$C$91:$C$230)*$P$17+SUMPRODUCT(($B$91:$B$230="Kale")*(AT$91:AT$230="H")*$C$91:$C$230)*$P$18+SUMPRODUCT(($B$91:$B$230="Garlic")*(AT$91:AT$230="H")*$C$91:$C$230)*$P$19</f>
        <v/>
      </c>
      <c r="AU298" s="40">
        <f>SUMPRODUCT(($B$91:$B$230="Spinach")*(AU$91:AU$230="H")*$C$91:$C$230)*$P$17+SUMPRODUCT(($B$91:$B$230="Kale")*(AU$91:AU$230="H")*$C$91:$C$230)*$P$18+SUMPRODUCT(($B$91:$B$230="Garlic")*(AU$91:AU$230="H")*$C$91:$C$230)*$P$19</f>
        <v/>
      </c>
      <c r="AV298" s="40">
        <f>SUMPRODUCT(($B$91:$B$230="Spinach")*(AV$91:AV$230="H")*$C$91:$C$230)*$P$17+SUMPRODUCT(($B$91:$B$230="Kale")*(AV$91:AV$230="H")*$C$91:$C$230)*$P$18+SUMPRODUCT(($B$91:$B$230="Garlic")*(AV$91:AV$230="H")*$C$91:$C$230)*$P$19</f>
        <v/>
      </c>
      <c r="AW298" s="40">
        <f>SUMPRODUCT(($B$91:$B$230="Spinach")*(AW$91:AW$230="H")*$C$91:$C$230)*$P$17+SUMPRODUCT(($B$91:$B$230="Kale")*(AW$91:AW$230="H")*$C$91:$C$230)*$P$18+SUMPRODUCT(($B$91:$B$230="Garlic")*(AW$91:AW$230="H")*$C$91:$C$230)*$P$19</f>
        <v/>
      </c>
      <c r="AX298" s="40">
        <f>SUMPRODUCT(($B$91:$B$230="Spinach")*(AX$91:AX$230="H")*$C$91:$C$230)*$P$17+SUMPRODUCT(($B$91:$B$230="Kale")*(AX$91:AX$230="H")*$C$91:$C$230)*$P$18+SUMPRODUCT(($B$91:$B$230="Garlic")*(AX$91:AX$230="H")*$C$91:$C$230)*$P$19</f>
        <v/>
      </c>
      <c r="AY298" s="40">
        <f>SUMPRODUCT(($B$91:$B$230="Spinach")*(AY$91:AY$230="H")*$C$91:$C$230)*$P$17+SUMPRODUCT(($B$91:$B$230="Kale")*(AY$91:AY$230="H")*$C$91:$C$230)*$P$18+SUMPRODUCT(($B$91:$B$230="Garlic")*(AY$91:AY$230="H")*$C$91:$C$230)*$P$19</f>
        <v/>
      </c>
      <c r="AZ298" s="40">
        <f>SUMPRODUCT(($B$91:$B$230="Spinach")*(AZ$91:AZ$230="H")*$C$91:$C$230)*$P$17+SUMPRODUCT(($B$91:$B$230="Kale")*(AZ$91:AZ$230="H")*$C$91:$C$230)*$P$18+SUMPRODUCT(($B$91:$B$230="Garlic")*(AZ$91:AZ$230="H")*$C$91:$C$230)*$P$19</f>
        <v/>
      </c>
      <c r="BA298" s="40">
        <f>SUMPRODUCT(($B$91:$B$230="Spinach")*(BA$91:BA$230="H")*$C$91:$C$230)*$P$17+SUMPRODUCT(($B$91:$B$230="Kale")*(BA$91:BA$230="H")*$C$91:$C$230)*$P$18+SUMPRODUCT(($B$91:$B$230="Garlic")*(BA$91:BA$230="H")*$C$91:$C$230)*$P$19</f>
        <v/>
      </c>
      <c r="BB298" s="40">
        <f>SUMPRODUCT(($B$91:$B$230="Spinach")*(BB$91:BB$230="H")*$C$91:$C$230)*$P$17+SUMPRODUCT(($B$91:$B$230="Kale")*(BB$91:BB$230="H")*$C$91:$C$230)*$P$18+SUMPRODUCT(($B$91:$B$230="Garlic")*(BB$91:BB$230="H")*$C$91:$C$230)*$P$19</f>
        <v/>
      </c>
      <c r="BC298" s="40">
        <f>SUMPRODUCT(($B$91:$B$230="Spinach")*(BC$91:BC$230="H")*$C$91:$C$230)*$P$17+SUMPRODUCT(($B$91:$B$230="Kale")*(BC$91:BC$230="H")*$C$91:$C$230)*$P$18+SUMPRODUCT(($B$91:$B$230="Garlic")*(BC$91:BC$230="H")*$C$91:$C$230)*$P$19</f>
        <v/>
      </c>
      <c r="BD298" s="40">
        <f>SUMPRODUCT(($B$91:$B$230="Spinach")*(BD$91:BD$230="H")*$C$91:$C$230)*$P$17+SUMPRODUCT(($B$91:$B$230="Kale")*(BD$91:BD$230="H")*$C$91:$C$230)*$P$18+SUMPRODUCT(($B$91:$B$230="Garlic")*(BD$91:BD$230="H")*$C$91:$C$230)*$P$19</f>
        <v/>
      </c>
    </row>
    <row r="299">
      <c r="A299" s="2" t="inlineStr">
        <is>
          <t xml:space="preserve">   Harvest-phase hours only, of the crops the piece-rate crew picks. The relief above cannot exceed this row.</t>
        </is>
      </c>
    </row>
    <row r="300">
      <c r="A300" s="36" t="inlineStr">
        <is>
          <t>Week</t>
        </is>
      </c>
      <c r="B300" s="37" t="inlineStr">
        <is>
          <t>hours</t>
        </is>
      </c>
      <c r="E300" s="38" t="n">
        <v>1</v>
      </c>
      <c r="F300" s="38" t="n">
        <v>2</v>
      </c>
      <c r="G300" s="38" t="n">
        <v>3</v>
      </c>
      <c r="H300" s="38" t="n">
        <v>4</v>
      </c>
      <c r="I300" s="38" t="n">
        <v>5</v>
      </c>
      <c r="J300" s="38" t="n">
        <v>6</v>
      </c>
      <c r="K300" s="38" t="n">
        <v>7</v>
      </c>
      <c r="L300" s="38" t="n">
        <v>8</v>
      </c>
      <c r="M300" s="38" t="n">
        <v>9</v>
      </c>
      <c r="N300" s="38" t="n">
        <v>10</v>
      </c>
      <c r="O300" s="38" t="n">
        <v>11</v>
      </c>
      <c r="P300" s="38" t="n">
        <v>12</v>
      </c>
      <c r="Q300" s="38" t="n">
        <v>13</v>
      </c>
      <c r="R300" s="38" t="n">
        <v>14</v>
      </c>
      <c r="S300" s="38" t="n">
        <v>15</v>
      </c>
      <c r="T300" s="38" t="n">
        <v>16</v>
      </c>
      <c r="U300" s="38" t="n">
        <v>17</v>
      </c>
      <c r="V300" s="38" t="n">
        <v>18</v>
      </c>
      <c r="W300" s="38" t="n">
        <v>19</v>
      </c>
      <c r="X300" s="38" t="n">
        <v>20</v>
      </c>
      <c r="Y300" s="38" t="n">
        <v>21</v>
      </c>
      <c r="Z300" s="38" t="n">
        <v>22</v>
      </c>
      <c r="AA300" s="38" t="n">
        <v>23</v>
      </c>
      <c r="AB300" s="38" t="n">
        <v>24</v>
      </c>
      <c r="AC300" s="38" t="n">
        <v>25</v>
      </c>
      <c r="AD300" s="38" t="n">
        <v>26</v>
      </c>
      <c r="AE300" s="38" t="n">
        <v>27</v>
      </c>
      <c r="AF300" s="38" t="n">
        <v>28</v>
      </c>
      <c r="AG300" s="38" t="n">
        <v>29</v>
      </c>
      <c r="AH300" s="38" t="n">
        <v>30</v>
      </c>
      <c r="AI300" s="38" t="n">
        <v>31</v>
      </c>
      <c r="AJ300" s="38" t="n">
        <v>32</v>
      </c>
      <c r="AK300" s="38" t="n">
        <v>33</v>
      </c>
      <c r="AL300" s="38" t="n">
        <v>34</v>
      </c>
      <c r="AM300" s="38" t="n">
        <v>35</v>
      </c>
      <c r="AN300" s="38" t="n">
        <v>36</v>
      </c>
      <c r="AO300" s="38" t="n">
        <v>37</v>
      </c>
      <c r="AP300" s="38" t="n">
        <v>38</v>
      </c>
      <c r="AQ300" s="38" t="n">
        <v>39</v>
      </c>
      <c r="AR300" s="38" t="n">
        <v>40</v>
      </c>
      <c r="AS300" s="38" t="n">
        <v>41</v>
      </c>
      <c r="AT300" s="38" t="n">
        <v>42</v>
      </c>
      <c r="AU300" s="38" t="n">
        <v>43</v>
      </c>
      <c r="AV300" s="38" t="n">
        <v>44</v>
      </c>
      <c r="AW300" s="38" t="n">
        <v>45</v>
      </c>
      <c r="AX300" s="38" t="n">
        <v>46</v>
      </c>
      <c r="AY300" s="38" t="n">
        <v>47</v>
      </c>
      <c r="AZ300" s="38" t="n">
        <v>48</v>
      </c>
      <c r="BA300" s="38" t="n">
        <v>49</v>
      </c>
      <c r="BB300" s="38" t="n">
        <v>50</v>
      </c>
      <c r="BC300" s="38" t="n">
        <v>51</v>
      </c>
      <c r="BD300" s="38" t="n">
        <v>52</v>
      </c>
    </row>
    <row r="301">
      <c r="A301" s="43" t="inlineStr">
        <is>
          <t xml:space="preserve">   Equipment Operator — overtime room left</t>
        </is>
      </c>
      <c r="B301" s="2" t="inlineStr">
        <is>
          <t>hrs</t>
        </is>
      </c>
      <c r="E301" s="42">
        <f>E$277-E278</f>
        <v/>
      </c>
      <c r="F301" s="42">
        <f>F$277-F278</f>
        <v/>
      </c>
      <c r="G301" s="42">
        <f>G$277-G278</f>
        <v/>
      </c>
      <c r="H301" s="42">
        <f>H$277-H278</f>
        <v/>
      </c>
      <c r="I301" s="42">
        <f>I$277-I278</f>
        <v/>
      </c>
      <c r="J301" s="42">
        <f>J$277-J278</f>
        <v/>
      </c>
      <c r="K301" s="42">
        <f>K$277-K278</f>
        <v/>
      </c>
      <c r="L301" s="42">
        <f>L$277-L278</f>
        <v/>
      </c>
      <c r="M301" s="42">
        <f>M$277-M278</f>
        <v/>
      </c>
      <c r="N301" s="42">
        <f>N$277-N278</f>
        <v/>
      </c>
      <c r="O301" s="42">
        <f>O$277-O278</f>
        <v/>
      </c>
      <c r="P301" s="42">
        <f>P$277-P278</f>
        <v/>
      </c>
      <c r="Q301" s="42">
        <f>Q$277-Q278</f>
        <v/>
      </c>
      <c r="R301" s="42">
        <f>R$277-R278</f>
        <v/>
      </c>
      <c r="S301" s="42">
        <f>S$277-S278</f>
        <v/>
      </c>
      <c r="T301" s="42">
        <f>T$277-T278</f>
        <v/>
      </c>
      <c r="U301" s="42">
        <f>U$277-U278</f>
        <v/>
      </c>
      <c r="V301" s="42">
        <f>V$277-V278</f>
        <v/>
      </c>
      <c r="W301" s="42">
        <f>W$277-W278</f>
        <v/>
      </c>
      <c r="X301" s="42">
        <f>X$277-X278</f>
        <v/>
      </c>
      <c r="Y301" s="42">
        <f>Y$277-Y278</f>
        <v/>
      </c>
      <c r="Z301" s="42">
        <f>Z$277-Z278</f>
        <v/>
      </c>
      <c r="AA301" s="42">
        <f>AA$277-AA278</f>
        <v/>
      </c>
      <c r="AB301" s="42">
        <f>AB$277-AB278</f>
        <v/>
      </c>
      <c r="AC301" s="42">
        <f>AC$277-AC278</f>
        <v/>
      </c>
      <c r="AD301" s="42">
        <f>AD$277-AD278</f>
        <v/>
      </c>
      <c r="AE301" s="42">
        <f>AE$277-AE278</f>
        <v/>
      </c>
      <c r="AF301" s="42">
        <f>AF$277-AF278</f>
        <v/>
      </c>
      <c r="AG301" s="42">
        <f>AG$277-AG278</f>
        <v/>
      </c>
      <c r="AH301" s="42">
        <f>AH$277-AH278</f>
        <v/>
      </c>
      <c r="AI301" s="42">
        <f>AI$277-AI278</f>
        <v/>
      </c>
      <c r="AJ301" s="42">
        <f>AJ$277-AJ278</f>
        <v/>
      </c>
      <c r="AK301" s="42">
        <f>AK$277-AK278</f>
        <v/>
      </c>
      <c r="AL301" s="42">
        <f>AL$277-AL278</f>
        <v/>
      </c>
      <c r="AM301" s="42">
        <f>AM$277-AM278</f>
        <v/>
      </c>
      <c r="AN301" s="42">
        <f>AN$277-AN278</f>
        <v/>
      </c>
      <c r="AO301" s="42">
        <f>AO$277-AO278</f>
        <v/>
      </c>
      <c r="AP301" s="42">
        <f>AP$277-AP278</f>
        <v/>
      </c>
      <c r="AQ301" s="42">
        <f>AQ$277-AQ278</f>
        <v/>
      </c>
      <c r="AR301" s="42">
        <f>AR$277-AR278</f>
        <v/>
      </c>
      <c r="AS301" s="42">
        <f>AS$277-AS278</f>
        <v/>
      </c>
      <c r="AT301" s="42">
        <f>AT$277-AT278</f>
        <v/>
      </c>
      <c r="AU301" s="42">
        <f>AU$277-AU278</f>
        <v/>
      </c>
      <c r="AV301" s="42">
        <f>AV$277-AV278</f>
        <v/>
      </c>
      <c r="AW301" s="42">
        <f>AW$277-AW278</f>
        <v/>
      </c>
      <c r="AX301" s="42">
        <f>AX$277-AX278</f>
        <v/>
      </c>
      <c r="AY301" s="42">
        <f>AY$277-AY278</f>
        <v/>
      </c>
      <c r="AZ301" s="42">
        <f>AZ$277-AZ278</f>
        <v/>
      </c>
      <c r="BA301" s="42">
        <f>BA$277-BA278</f>
        <v/>
      </c>
      <c r="BB301" s="42">
        <f>BB$277-BB278</f>
        <v/>
      </c>
      <c r="BC301" s="42">
        <f>BC$277-BC278</f>
        <v/>
      </c>
      <c r="BD301" s="42">
        <f>BD$277-BD278</f>
        <v/>
      </c>
    </row>
    <row r="302">
      <c r="A302" s="43" t="inlineStr">
        <is>
          <t xml:space="preserve">   Seasonal Field Crew — overtime room left</t>
        </is>
      </c>
      <c r="B302" s="2" t="inlineStr">
        <is>
          <t>hrs</t>
        </is>
      </c>
      <c r="E302" s="42">
        <f>E$279-E280</f>
        <v/>
      </c>
      <c r="F302" s="42">
        <f>F$279-F280</f>
        <v/>
      </c>
      <c r="G302" s="42">
        <f>G$279-G280</f>
        <v/>
      </c>
      <c r="H302" s="42">
        <f>H$279-H280</f>
        <v/>
      </c>
      <c r="I302" s="42">
        <f>I$279-I280</f>
        <v/>
      </c>
      <c r="J302" s="42">
        <f>J$279-J280</f>
        <v/>
      </c>
      <c r="K302" s="42">
        <f>K$279-K280</f>
        <v/>
      </c>
      <c r="L302" s="42">
        <f>L$279-L280</f>
        <v/>
      </c>
      <c r="M302" s="42">
        <f>M$279-M280</f>
        <v/>
      </c>
      <c r="N302" s="42">
        <f>N$279-N280</f>
        <v/>
      </c>
      <c r="O302" s="42">
        <f>O$279-O280</f>
        <v/>
      </c>
      <c r="P302" s="42">
        <f>P$279-P280</f>
        <v/>
      </c>
      <c r="Q302" s="42">
        <f>Q$279-Q280</f>
        <v/>
      </c>
      <c r="R302" s="42">
        <f>R$279-R280</f>
        <v/>
      </c>
      <c r="S302" s="42">
        <f>S$279-S280</f>
        <v/>
      </c>
      <c r="T302" s="42">
        <f>T$279-T280</f>
        <v/>
      </c>
      <c r="U302" s="42">
        <f>U$279-U280</f>
        <v/>
      </c>
      <c r="V302" s="42">
        <f>V$279-V280</f>
        <v/>
      </c>
      <c r="W302" s="42">
        <f>W$279-W280</f>
        <v/>
      </c>
      <c r="X302" s="42">
        <f>X$279-X280</f>
        <v/>
      </c>
      <c r="Y302" s="42">
        <f>Y$279-Y280</f>
        <v/>
      </c>
      <c r="Z302" s="42">
        <f>Z$279-Z280</f>
        <v/>
      </c>
      <c r="AA302" s="42">
        <f>AA$279-AA280</f>
        <v/>
      </c>
      <c r="AB302" s="42">
        <f>AB$279-AB280</f>
        <v/>
      </c>
      <c r="AC302" s="42">
        <f>AC$279-AC280</f>
        <v/>
      </c>
      <c r="AD302" s="42">
        <f>AD$279-AD280</f>
        <v/>
      </c>
      <c r="AE302" s="42">
        <f>AE$279-AE280</f>
        <v/>
      </c>
      <c r="AF302" s="42">
        <f>AF$279-AF280</f>
        <v/>
      </c>
      <c r="AG302" s="42">
        <f>AG$279-AG280</f>
        <v/>
      </c>
      <c r="AH302" s="42">
        <f>AH$279-AH280</f>
        <v/>
      </c>
      <c r="AI302" s="42">
        <f>AI$279-AI280</f>
        <v/>
      </c>
      <c r="AJ302" s="42">
        <f>AJ$279-AJ280</f>
        <v/>
      </c>
      <c r="AK302" s="42">
        <f>AK$279-AK280</f>
        <v/>
      </c>
      <c r="AL302" s="42">
        <f>AL$279-AL280</f>
        <v/>
      </c>
      <c r="AM302" s="42">
        <f>AM$279-AM280</f>
        <v/>
      </c>
      <c r="AN302" s="42">
        <f>AN$279-AN280</f>
        <v/>
      </c>
      <c r="AO302" s="42">
        <f>AO$279-AO280</f>
        <v/>
      </c>
      <c r="AP302" s="42">
        <f>AP$279-AP280</f>
        <v/>
      </c>
      <c r="AQ302" s="42">
        <f>AQ$279-AQ280</f>
        <v/>
      </c>
      <c r="AR302" s="42">
        <f>AR$279-AR280</f>
        <v/>
      </c>
      <c r="AS302" s="42">
        <f>AS$279-AS280</f>
        <v/>
      </c>
      <c r="AT302" s="42">
        <f>AT$279-AT280</f>
        <v/>
      </c>
      <c r="AU302" s="42">
        <f>AU$279-AU280</f>
        <v/>
      </c>
      <c r="AV302" s="42">
        <f>AV$279-AV280</f>
        <v/>
      </c>
      <c r="AW302" s="42">
        <f>AW$279-AW280</f>
        <v/>
      </c>
      <c r="AX302" s="42">
        <f>AX$279-AX280</f>
        <v/>
      </c>
      <c r="AY302" s="42">
        <f>AY$279-AY280</f>
        <v/>
      </c>
      <c r="AZ302" s="42">
        <f>AZ$279-AZ280</f>
        <v/>
      </c>
      <c r="BA302" s="42">
        <f>BA$279-BA280</f>
        <v/>
      </c>
      <c r="BB302" s="42">
        <f>BB$279-BB280</f>
        <v/>
      </c>
      <c r="BC302" s="42">
        <f>BC$279-BC280</f>
        <v/>
      </c>
      <c r="BD302" s="42">
        <f>BD$279-BD280</f>
        <v/>
      </c>
    </row>
    <row r="303">
      <c r="A303" s="43" t="inlineStr">
        <is>
          <t xml:space="preserve">   Harvest Crew — overtime room left</t>
        </is>
      </c>
      <c r="B303" s="2" t="inlineStr">
        <is>
          <t>hrs</t>
        </is>
      </c>
      <c r="E303" s="42">
        <f>E$281-E282</f>
        <v/>
      </c>
      <c r="F303" s="42">
        <f>F$281-F282</f>
        <v/>
      </c>
      <c r="G303" s="42">
        <f>G$281-G282</f>
        <v/>
      </c>
      <c r="H303" s="42">
        <f>H$281-H282</f>
        <v/>
      </c>
      <c r="I303" s="42">
        <f>I$281-I282</f>
        <v/>
      </c>
      <c r="J303" s="42">
        <f>J$281-J282</f>
        <v/>
      </c>
      <c r="K303" s="42">
        <f>K$281-K282</f>
        <v/>
      </c>
      <c r="L303" s="42">
        <f>L$281-L282</f>
        <v/>
      </c>
      <c r="M303" s="42">
        <f>M$281-M282</f>
        <v/>
      </c>
      <c r="N303" s="42">
        <f>N$281-N282</f>
        <v/>
      </c>
      <c r="O303" s="42">
        <f>O$281-O282</f>
        <v/>
      </c>
      <c r="P303" s="42">
        <f>P$281-P282</f>
        <v/>
      </c>
      <c r="Q303" s="42">
        <f>Q$281-Q282</f>
        <v/>
      </c>
      <c r="R303" s="42">
        <f>R$281-R282</f>
        <v/>
      </c>
      <c r="S303" s="42">
        <f>S$281-S282</f>
        <v/>
      </c>
      <c r="T303" s="42">
        <f>T$281-T282</f>
        <v/>
      </c>
      <c r="U303" s="42">
        <f>U$281-U282</f>
        <v/>
      </c>
      <c r="V303" s="42">
        <f>V$281-V282</f>
        <v/>
      </c>
      <c r="W303" s="42">
        <f>W$281-W282</f>
        <v/>
      </c>
      <c r="X303" s="42">
        <f>X$281-X282</f>
        <v/>
      </c>
      <c r="Y303" s="42">
        <f>Y$281-Y282</f>
        <v/>
      </c>
      <c r="Z303" s="42">
        <f>Z$281-Z282</f>
        <v/>
      </c>
      <c r="AA303" s="42">
        <f>AA$281-AA282</f>
        <v/>
      </c>
      <c r="AB303" s="42">
        <f>AB$281-AB282</f>
        <v/>
      </c>
      <c r="AC303" s="42">
        <f>AC$281-AC282</f>
        <v/>
      </c>
      <c r="AD303" s="42">
        <f>AD$281-AD282</f>
        <v/>
      </c>
      <c r="AE303" s="42">
        <f>AE$281-AE282</f>
        <v/>
      </c>
      <c r="AF303" s="42">
        <f>AF$281-AF282</f>
        <v/>
      </c>
      <c r="AG303" s="42">
        <f>AG$281-AG282</f>
        <v/>
      </c>
      <c r="AH303" s="42">
        <f>AH$281-AH282</f>
        <v/>
      </c>
      <c r="AI303" s="42">
        <f>AI$281-AI282</f>
        <v/>
      </c>
      <c r="AJ303" s="42">
        <f>AJ$281-AJ282</f>
        <v/>
      </c>
      <c r="AK303" s="42">
        <f>AK$281-AK282</f>
        <v/>
      </c>
      <c r="AL303" s="42">
        <f>AL$281-AL282</f>
        <v/>
      </c>
      <c r="AM303" s="42">
        <f>AM$281-AM282</f>
        <v/>
      </c>
      <c r="AN303" s="42">
        <f>AN$281-AN282</f>
        <v/>
      </c>
      <c r="AO303" s="42">
        <f>AO$281-AO282</f>
        <v/>
      </c>
      <c r="AP303" s="42">
        <f>AP$281-AP282</f>
        <v/>
      </c>
      <c r="AQ303" s="42">
        <f>AQ$281-AQ282</f>
        <v/>
      </c>
      <c r="AR303" s="42">
        <f>AR$281-AR282</f>
        <v/>
      </c>
      <c r="AS303" s="42">
        <f>AS$281-AS282</f>
        <v/>
      </c>
      <c r="AT303" s="42">
        <f>AT$281-AT282</f>
        <v/>
      </c>
      <c r="AU303" s="42">
        <f>AU$281-AU282</f>
        <v/>
      </c>
      <c r="AV303" s="42">
        <f>AV$281-AV282</f>
        <v/>
      </c>
      <c r="AW303" s="42">
        <f>AW$281-AW282</f>
        <v/>
      </c>
      <c r="AX303" s="42">
        <f>AX$281-AX282</f>
        <v/>
      </c>
      <c r="AY303" s="42">
        <f>AY$281-AY282</f>
        <v/>
      </c>
      <c r="AZ303" s="42">
        <f>AZ$281-AZ282</f>
        <v/>
      </c>
      <c r="BA303" s="42">
        <f>BA$281-BA282</f>
        <v/>
      </c>
      <c r="BB303" s="42">
        <f>BB$281-BB282</f>
        <v/>
      </c>
      <c r="BC303" s="42">
        <f>BC$281-BC282</f>
        <v/>
      </c>
      <c r="BD303" s="42">
        <f>BD$281-BD282</f>
        <v/>
      </c>
    </row>
    <row r="304">
      <c r="A304" s="2" t="inlineStr">
        <is>
          <t xml:space="preserve">   Each role's overtime against its OWN crew that week — the cap is two rows above the decision in block B, and the Solver constrains them there. Zero means that role is at its limit; negative means the recipe is not loaded.</t>
        </is>
      </c>
    </row>
    <row r="306">
      <c r="A306" s="3" t="inlineStr">
        <is>
          <t>D — WHAT IT COSTS</t>
        </is>
      </c>
    </row>
    <row r="307">
      <c r="A307" s="2" t="inlineStr">
        <is>
          <t xml:space="preserve">   Nothing above this line is money. Nothing below it is a limit.</t>
        </is>
      </c>
    </row>
    <row r="308">
      <c r="A308" s="36" t="inlineStr">
        <is>
          <t>Week</t>
        </is>
      </c>
      <c r="B308" s="37" t="inlineStr">
        <is>
          <t>$</t>
        </is>
      </c>
      <c r="E308" s="38" t="n">
        <v>1</v>
      </c>
      <c r="F308" s="38" t="n">
        <v>2</v>
      </c>
      <c r="G308" s="38" t="n">
        <v>3</v>
      </c>
      <c r="H308" s="38" t="n">
        <v>4</v>
      </c>
      <c r="I308" s="38" t="n">
        <v>5</v>
      </c>
      <c r="J308" s="38" t="n">
        <v>6</v>
      </c>
      <c r="K308" s="38" t="n">
        <v>7</v>
      </c>
      <c r="L308" s="38" t="n">
        <v>8</v>
      </c>
      <c r="M308" s="38" t="n">
        <v>9</v>
      </c>
      <c r="N308" s="38" t="n">
        <v>10</v>
      </c>
      <c r="O308" s="38" t="n">
        <v>11</v>
      </c>
      <c r="P308" s="38" t="n">
        <v>12</v>
      </c>
      <c r="Q308" s="38" t="n">
        <v>13</v>
      </c>
      <c r="R308" s="38" t="n">
        <v>14</v>
      </c>
      <c r="S308" s="38" t="n">
        <v>15</v>
      </c>
      <c r="T308" s="38" t="n">
        <v>16</v>
      </c>
      <c r="U308" s="38" t="n">
        <v>17</v>
      </c>
      <c r="V308" s="38" t="n">
        <v>18</v>
      </c>
      <c r="W308" s="38" t="n">
        <v>19</v>
      </c>
      <c r="X308" s="38" t="n">
        <v>20</v>
      </c>
      <c r="Y308" s="38" t="n">
        <v>21</v>
      </c>
      <c r="Z308" s="38" t="n">
        <v>22</v>
      </c>
      <c r="AA308" s="38" t="n">
        <v>23</v>
      </c>
      <c r="AB308" s="38" t="n">
        <v>24</v>
      </c>
      <c r="AC308" s="38" t="n">
        <v>25</v>
      </c>
      <c r="AD308" s="38" t="n">
        <v>26</v>
      </c>
      <c r="AE308" s="38" t="n">
        <v>27</v>
      </c>
      <c r="AF308" s="38" t="n">
        <v>28</v>
      </c>
      <c r="AG308" s="38" t="n">
        <v>29</v>
      </c>
      <c r="AH308" s="38" t="n">
        <v>30</v>
      </c>
      <c r="AI308" s="38" t="n">
        <v>31</v>
      </c>
      <c r="AJ308" s="38" t="n">
        <v>32</v>
      </c>
      <c r="AK308" s="38" t="n">
        <v>33</v>
      </c>
      <c r="AL308" s="38" t="n">
        <v>34</v>
      </c>
      <c r="AM308" s="38" t="n">
        <v>35</v>
      </c>
      <c r="AN308" s="38" t="n">
        <v>36</v>
      </c>
      <c r="AO308" s="38" t="n">
        <v>37</v>
      </c>
      <c r="AP308" s="38" t="n">
        <v>38</v>
      </c>
      <c r="AQ308" s="38" t="n">
        <v>39</v>
      </c>
      <c r="AR308" s="38" t="n">
        <v>40</v>
      </c>
      <c r="AS308" s="38" t="n">
        <v>41</v>
      </c>
      <c r="AT308" s="38" t="n">
        <v>42</v>
      </c>
      <c r="AU308" s="38" t="n">
        <v>43</v>
      </c>
      <c r="AV308" s="38" t="n">
        <v>44</v>
      </c>
      <c r="AW308" s="38" t="n">
        <v>45</v>
      </c>
      <c r="AX308" s="38" t="n">
        <v>46</v>
      </c>
      <c r="AY308" s="38" t="n">
        <v>47</v>
      </c>
      <c r="AZ308" s="38" t="n">
        <v>48</v>
      </c>
      <c r="BA308" s="38" t="n">
        <v>49</v>
      </c>
      <c r="BB308" s="38" t="n">
        <v>50</v>
      </c>
      <c r="BC308" s="38" t="n">
        <v>51</v>
      </c>
      <c r="BD308" s="38" t="n">
        <v>52</v>
      </c>
    </row>
    <row r="309">
      <c r="A309" s="33" t="inlineStr">
        <is>
          <t xml:space="preserve">   Farm Manager</t>
        </is>
      </c>
      <c r="B309" s="2" t="inlineStr">
        <is>
          <t>$</t>
        </is>
      </c>
      <c r="E309" s="40">
        <f>IF(AND(1&gt;=$G$48,1&lt;=$H$48),($B$48+IF($I$48="Y",$K$48,0))*$D$48/52*(1+$B$55),0)</f>
        <v/>
      </c>
      <c r="F309" s="40">
        <f>IF(AND(2&gt;=$G$48,2&lt;=$H$48),($B$48+IF($I$48="Y",$K$48,0))*$D$48/52*(1+$B$55),0)</f>
        <v/>
      </c>
      <c r="G309" s="40">
        <f>IF(AND(3&gt;=$G$48,3&lt;=$H$48),($B$48+IF($I$48="Y",$K$48,0))*$D$48/52*(1+$B$55),0)</f>
        <v/>
      </c>
      <c r="H309" s="40">
        <f>IF(AND(4&gt;=$G$48,4&lt;=$H$48),($B$48+IF($I$48="Y",$K$48,0))*$D$48/52*(1+$B$55),0)</f>
        <v/>
      </c>
      <c r="I309" s="40">
        <f>IF(AND(5&gt;=$G$48,5&lt;=$H$48),($B$48+IF($I$48="Y",$K$48,0))*$D$48/52*(1+$B$55),0)</f>
        <v/>
      </c>
      <c r="J309" s="40">
        <f>IF(AND(6&gt;=$G$48,6&lt;=$H$48),($B$48+IF($I$48="Y",$K$48,0))*$D$48/52*(1+$B$55),0)</f>
        <v/>
      </c>
      <c r="K309" s="40">
        <f>IF(AND(7&gt;=$G$48,7&lt;=$H$48),($B$48+IF($I$48="Y",$K$48,0))*$D$48/52*(1+$B$55),0)</f>
        <v/>
      </c>
      <c r="L309" s="40">
        <f>IF(AND(8&gt;=$G$48,8&lt;=$H$48),($B$48+IF($I$48="Y",$K$48,0))*$D$48/52*(1+$B$55),0)</f>
        <v/>
      </c>
      <c r="M309" s="40">
        <f>IF(AND(9&gt;=$G$48,9&lt;=$H$48),($B$48+IF($I$48="Y",$K$48,0))*$D$48/52*(1+$B$55),0)</f>
        <v/>
      </c>
      <c r="N309" s="40">
        <f>IF(AND(10&gt;=$G$48,10&lt;=$H$48),($B$48+IF($I$48="Y",$K$48,0))*$D$48/52*(1+$B$55),0)</f>
        <v/>
      </c>
      <c r="O309" s="40">
        <f>IF(AND(11&gt;=$G$48,11&lt;=$H$48),($B$48+IF($I$48="Y",$K$48,0))*$D$48/52*(1+$B$55),0)</f>
        <v/>
      </c>
      <c r="P309" s="40">
        <f>IF(AND(12&gt;=$G$48,12&lt;=$H$48),($B$48+IF($I$48="Y",$K$48,0))*$D$48/52*(1+$B$55),0)</f>
        <v/>
      </c>
      <c r="Q309" s="40">
        <f>IF(AND(13&gt;=$G$48,13&lt;=$H$48),($B$48+IF($I$48="Y",$K$48,0))*$D$48/52*(1+$B$55),0)</f>
        <v/>
      </c>
      <c r="R309" s="40">
        <f>IF(AND(14&gt;=$G$48,14&lt;=$H$48),($B$48+IF($I$48="Y",$K$48,0))*$D$48/52*(1+$B$55),0)</f>
        <v/>
      </c>
      <c r="S309" s="40">
        <f>IF(AND(15&gt;=$G$48,15&lt;=$H$48),($B$48+IF($I$48="Y",$K$48,0))*$D$48/52*(1+$B$55),0)</f>
        <v/>
      </c>
      <c r="T309" s="40">
        <f>IF(AND(16&gt;=$G$48,16&lt;=$H$48),($B$48+IF($I$48="Y",$K$48,0))*$D$48/52*(1+$B$55),0)</f>
        <v/>
      </c>
      <c r="U309" s="40">
        <f>IF(AND(17&gt;=$G$48,17&lt;=$H$48),($B$48+IF($I$48="Y",$K$48,0))*$D$48/52*(1+$B$55),0)</f>
        <v/>
      </c>
      <c r="V309" s="40">
        <f>IF(AND(18&gt;=$G$48,18&lt;=$H$48),($B$48+IF($I$48="Y",$K$48,0))*$D$48/52*(1+$B$55),0)</f>
        <v/>
      </c>
      <c r="W309" s="40">
        <f>IF(AND(19&gt;=$G$48,19&lt;=$H$48),($B$48+IF($I$48="Y",$K$48,0))*$D$48/52*(1+$B$55),0)</f>
        <v/>
      </c>
      <c r="X309" s="40">
        <f>IF(AND(20&gt;=$G$48,20&lt;=$H$48),($B$48+IF($I$48="Y",$K$48,0))*$D$48/52*(1+$B$55),0)</f>
        <v/>
      </c>
      <c r="Y309" s="40">
        <f>IF(AND(21&gt;=$G$48,21&lt;=$H$48),($B$48+IF($I$48="Y",$K$48,0))*$D$48/52*(1+$B$55),0)</f>
        <v/>
      </c>
      <c r="Z309" s="40">
        <f>IF(AND(22&gt;=$G$48,22&lt;=$H$48),($B$48+IF($I$48="Y",$K$48,0))*$D$48/52*(1+$B$55),0)</f>
        <v/>
      </c>
      <c r="AA309" s="40">
        <f>IF(AND(23&gt;=$G$48,23&lt;=$H$48),($B$48+IF($I$48="Y",$K$48,0))*$D$48/52*(1+$B$55),0)</f>
        <v/>
      </c>
      <c r="AB309" s="40">
        <f>IF(AND(24&gt;=$G$48,24&lt;=$H$48),($B$48+IF($I$48="Y",$K$48,0))*$D$48/52*(1+$B$55),0)</f>
        <v/>
      </c>
      <c r="AC309" s="40">
        <f>IF(AND(25&gt;=$G$48,25&lt;=$H$48),($B$48+IF($I$48="Y",$K$48,0))*$D$48/52*(1+$B$55),0)</f>
        <v/>
      </c>
      <c r="AD309" s="40">
        <f>IF(AND(26&gt;=$G$48,26&lt;=$H$48),($B$48+IF($I$48="Y",$K$48,0))*$D$48/52*(1+$B$55),0)</f>
        <v/>
      </c>
      <c r="AE309" s="40">
        <f>IF(AND(27&gt;=$G$48,27&lt;=$H$48),($B$48+IF($I$48="Y",$K$48,0))*$D$48/52*(1+$B$55),0)</f>
        <v/>
      </c>
      <c r="AF309" s="40">
        <f>IF(AND(28&gt;=$G$48,28&lt;=$H$48),($B$48+IF($I$48="Y",$K$48,0))*$D$48/52*(1+$B$55),0)</f>
        <v/>
      </c>
      <c r="AG309" s="40">
        <f>IF(AND(29&gt;=$G$48,29&lt;=$H$48),($B$48+IF($I$48="Y",$K$48,0))*$D$48/52*(1+$B$55),0)</f>
        <v/>
      </c>
      <c r="AH309" s="40">
        <f>IF(AND(30&gt;=$G$48,30&lt;=$H$48),($B$48+IF($I$48="Y",$K$48,0))*$D$48/52*(1+$B$55),0)</f>
        <v/>
      </c>
      <c r="AI309" s="40">
        <f>IF(AND(31&gt;=$G$48,31&lt;=$H$48),($B$48+IF($I$48="Y",$K$48,0))*$D$48/52*(1+$B$55),0)</f>
        <v/>
      </c>
      <c r="AJ309" s="40">
        <f>IF(AND(32&gt;=$G$48,32&lt;=$H$48),($B$48+IF($I$48="Y",$K$48,0))*$D$48/52*(1+$B$55),0)</f>
        <v/>
      </c>
      <c r="AK309" s="40">
        <f>IF(AND(33&gt;=$G$48,33&lt;=$H$48),($B$48+IF($I$48="Y",$K$48,0))*$D$48/52*(1+$B$55),0)</f>
        <v/>
      </c>
      <c r="AL309" s="40">
        <f>IF(AND(34&gt;=$G$48,34&lt;=$H$48),($B$48+IF($I$48="Y",$K$48,0))*$D$48/52*(1+$B$55),0)</f>
        <v/>
      </c>
      <c r="AM309" s="40">
        <f>IF(AND(35&gt;=$G$48,35&lt;=$H$48),($B$48+IF($I$48="Y",$K$48,0))*$D$48/52*(1+$B$55),0)</f>
        <v/>
      </c>
      <c r="AN309" s="40">
        <f>IF(AND(36&gt;=$G$48,36&lt;=$H$48),($B$48+IF($I$48="Y",$K$48,0))*$D$48/52*(1+$B$55),0)</f>
        <v/>
      </c>
      <c r="AO309" s="40">
        <f>IF(AND(37&gt;=$G$48,37&lt;=$H$48),($B$48+IF($I$48="Y",$K$48,0))*$D$48/52*(1+$B$55),0)</f>
        <v/>
      </c>
      <c r="AP309" s="40">
        <f>IF(AND(38&gt;=$G$48,38&lt;=$H$48),($B$48+IF($I$48="Y",$K$48,0))*$D$48/52*(1+$B$55),0)</f>
        <v/>
      </c>
      <c r="AQ309" s="40">
        <f>IF(AND(39&gt;=$G$48,39&lt;=$H$48),($B$48+IF($I$48="Y",$K$48,0))*$D$48/52*(1+$B$55),0)</f>
        <v/>
      </c>
      <c r="AR309" s="40">
        <f>IF(AND(40&gt;=$G$48,40&lt;=$H$48),($B$48+IF($I$48="Y",$K$48,0))*$D$48/52*(1+$B$55),0)</f>
        <v/>
      </c>
      <c r="AS309" s="40">
        <f>IF(AND(41&gt;=$G$48,41&lt;=$H$48),($B$48+IF($I$48="Y",$K$48,0))*$D$48/52*(1+$B$55),0)</f>
        <v/>
      </c>
      <c r="AT309" s="40">
        <f>IF(AND(42&gt;=$G$48,42&lt;=$H$48),($B$48+IF($I$48="Y",$K$48,0))*$D$48/52*(1+$B$55),0)</f>
        <v/>
      </c>
      <c r="AU309" s="40">
        <f>IF(AND(43&gt;=$G$48,43&lt;=$H$48),($B$48+IF($I$48="Y",$K$48,0))*$D$48/52*(1+$B$55),0)</f>
        <v/>
      </c>
      <c r="AV309" s="40">
        <f>IF(AND(44&gt;=$G$48,44&lt;=$H$48),($B$48+IF($I$48="Y",$K$48,0))*$D$48/52*(1+$B$55),0)</f>
        <v/>
      </c>
      <c r="AW309" s="40">
        <f>IF(AND(45&gt;=$G$48,45&lt;=$H$48),($B$48+IF($I$48="Y",$K$48,0))*$D$48/52*(1+$B$55),0)</f>
        <v/>
      </c>
      <c r="AX309" s="40">
        <f>IF(AND(46&gt;=$G$48,46&lt;=$H$48),($B$48+IF($I$48="Y",$K$48,0))*$D$48/52*(1+$B$55),0)</f>
        <v/>
      </c>
      <c r="AY309" s="40">
        <f>IF(AND(47&gt;=$G$48,47&lt;=$H$48),($B$48+IF($I$48="Y",$K$48,0))*$D$48/52*(1+$B$55),0)</f>
        <v/>
      </c>
      <c r="AZ309" s="40">
        <f>IF(AND(48&gt;=$G$48,48&lt;=$H$48),($B$48+IF($I$48="Y",$K$48,0))*$D$48/52*(1+$B$55),0)</f>
        <v/>
      </c>
      <c r="BA309" s="40">
        <f>IF(AND(49&gt;=$G$48,49&lt;=$H$48),($B$48+IF($I$48="Y",$K$48,0))*$D$48/52*(1+$B$55),0)</f>
        <v/>
      </c>
      <c r="BB309" s="40">
        <f>IF(AND(50&gt;=$G$48,50&lt;=$H$48),($B$48+IF($I$48="Y",$K$48,0))*$D$48/52*(1+$B$55),0)</f>
        <v/>
      </c>
      <c r="BC309" s="40">
        <f>IF(AND(51&gt;=$G$48,51&lt;=$H$48),($B$48+IF($I$48="Y",$K$48,0))*$D$48/52*(1+$B$55),0)</f>
        <v/>
      </c>
      <c r="BD309" s="40">
        <f>IF(AND(52&gt;=$G$48,52&lt;=$H$48),($B$48+IF($I$48="Y",$K$48,0))*$D$48/52*(1+$B$55),0)</f>
        <v/>
      </c>
    </row>
    <row r="310">
      <c r="A310" s="33" t="inlineStr">
        <is>
          <t xml:space="preserve">   Equipment Operator</t>
        </is>
      </c>
      <c r="B310" s="2" t="inlineStr">
        <is>
          <t>$</t>
        </is>
      </c>
      <c r="E310" s="40">
        <f>IF(AND(1&gt;=$G$49,1&lt;=$H$49),($B$49+IF($I$49="Y",$K$49,0))*$D$49*$E$49*(1+$B$55),0)</f>
        <v/>
      </c>
      <c r="F310" s="40">
        <f>IF(AND(2&gt;=$G$49,2&lt;=$H$49),($B$49+IF($I$49="Y",$K$49,0))*$D$49*$E$49*(1+$B$55),0)</f>
        <v/>
      </c>
      <c r="G310" s="40">
        <f>IF(AND(3&gt;=$G$49,3&lt;=$H$49),($B$49+IF($I$49="Y",$K$49,0))*$D$49*$E$49*(1+$B$55),0)</f>
        <v/>
      </c>
      <c r="H310" s="40">
        <f>IF(AND(4&gt;=$G$49,4&lt;=$H$49),($B$49+IF($I$49="Y",$K$49,0))*$D$49*$E$49*(1+$B$55),0)</f>
        <v/>
      </c>
      <c r="I310" s="40">
        <f>IF(AND(5&gt;=$G$49,5&lt;=$H$49),($B$49+IF($I$49="Y",$K$49,0))*$D$49*$E$49*(1+$B$55),0)</f>
        <v/>
      </c>
      <c r="J310" s="40">
        <f>IF(AND(6&gt;=$G$49,6&lt;=$H$49),($B$49+IF($I$49="Y",$K$49,0))*$D$49*$E$49*(1+$B$55),0)</f>
        <v/>
      </c>
      <c r="K310" s="40">
        <f>IF(AND(7&gt;=$G$49,7&lt;=$H$49),($B$49+IF($I$49="Y",$K$49,0))*$D$49*$E$49*(1+$B$55),0)</f>
        <v/>
      </c>
      <c r="L310" s="40">
        <f>IF(AND(8&gt;=$G$49,8&lt;=$H$49),($B$49+IF($I$49="Y",$K$49,0))*$D$49*$E$49*(1+$B$55),0)</f>
        <v/>
      </c>
      <c r="M310" s="40">
        <f>IF(AND(9&gt;=$G$49,9&lt;=$H$49),($B$49+IF($I$49="Y",$K$49,0))*$D$49*$E$49*(1+$B$55),0)</f>
        <v/>
      </c>
      <c r="N310" s="40">
        <f>IF(AND(10&gt;=$G$49,10&lt;=$H$49),($B$49+IF($I$49="Y",$K$49,0))*$D$49*$E$49*(1+$B$55),0)</f>
        <v/>
      </c>
      <c r="O310" s="40">
        <f>IF(AND(11&gt;=$G$49,11&lt;=$H$49),($B$49+IF($I$49="Y",$K$49,0))*$D$49*$E$49*(1+$B$55),0)</f>
        <v/>
      </c>
      <c r="P310" s="40">
        <f>IF(AND(12&gt;=$G$49,12&lt;=$H$49),($B$49+IF($I$49="Y",$K$49,0))*$D$49*$E$49*(1+$B$55),0)</f>
        <v/>
      </c>
      <c r="Q310" s="40">
        <f>IF(AND(13&gt;=$G$49,13&lt;=$H$49),($B$49+IF($I$49="Y",$K$49,0))*$D$49*$E$49*(1+$B$55),0)</f>
        <v/>
      </c>
      <c r="R310" s="40">
        <f>IF(AND(14&gt;=$G$49,14&lt;=$H$49),($B$49+IF($I$49="Y",$K$49,0))*$D$49*$E$49*(1+$B$55),0)</f>
        <v/>
      </c>
      <c r="S310" s="40">
        <f>IF(AND(15&gt;=$G$49,15&lt;=$H$49),($B$49+IF($I$49="Y",$K$49,0))*$D$49*$E$49*(1+$B$55),0)</f>
        <v/>
      </c>
      <c r="T310" s="40">
        <f>IF(AND(16&gt;=$G$49,16&lt;=$H$49),($B$49+IF($I$49="Y",$K$49,0))*$D$49*$E$49*(1+$B$55),0)</f>
        <v/>
      </c>
      <c r="U310" s="40">
        <f>IF(AND(17&gt;=$G$49,17&lt;=$H$49),($B$49+IF($I$49="Y",$K$49,0))*$D$49*$E$49*(1+$B$55),0)</f>
        <v/>
      </c>
      <c r="V310" s="40">
        <f>IF(AND(18&gt;=$G$49,18&lt;=$H$49),($B$49+IF($I$49="Y",$K$49,0))*$D$49*$E$49*(1+$B$55),0)</f>
        <v/>
      </c>
      <c r="W310" s="40">
        <f>IF(AND(19&gt;=$G$49,19&lt;=$H$49),($B$49+IF($I$49="Y",$K$49,0))*$D$49*$E$49*(1+$B$55),0)</f>
        <v/>
      </c>
      <c r="X310" s="40">
        <f>IF(AND(20&gt;=$G$49,20&lt;=$H$49),($B$49+IF($I$49="Y",$K$49,0))*$D$49*$E$49*(1+$B$55),0)</f>
        <v/>
      </c>
      <c r="Y310" s="40">
        <f>IF(AND(21&gt;=$G$49,21&lt;=$H$49),($B$49+IF($I$49="Y",$K$49,0))*$D$49*$E$49*(1+$B$55),0)</f>
        <v/>
      </c>
      <c r="Z310" s="40">
        <f>IF(AND(22&gt;=$G$49,22&lt;=$H$49),($B$49+IF($I$49="Y",$K$49,0))*$D$49*$E$49*(1+$B$55),0)</f>
        <v/>
      </c>
      <c r="AA310" s="40">
        <f>IF(AND(23&gt;=$G$49,23&lt;=$H$49),($B$49+IF($I$49="Y",$K$49,0))*$D$49*$E$49*(1+$B$55),0)</f>
        <v/>
      </c>
      <c r="AB310" s="40">
        <f>IF(AND(24&gt;=$G$49,24&lt;=$H$49),($B$49+IF($I$49="Y",$K$49,0))*$D$49*$E$49*(1+$B$55),0)</f>
        <v/>
      </c>
      <c r="AC310" s="40">
        <f>IF(AND(25&gt;=$G$49,25&lt;=$H$49),($B$49+IF($I$49="Y",$K$49,0))*$D$49*$E$49*(1+$B$55),0)</f>
        <v/>
      </c>
      <c r="AD310" s="40">
        <f>IF(AND(26&gt;=$G$49,26&lt;=$H$49),($B$49+IF($I$49="Y",$K$49,0))*$D$49*$E$49*(1+$B$55),0)</f>
        <v/>
      </c>
      <c r="AE310" s="40">
        <f>IF(AND(27&gt;=$G$49,27&lt;=$H$49),($B$49+IF($I$49="Y",$K$49,0))*$D$49*$E$49*(1+$B$55),0)</f>
        <v/>
      </c>
      <c r="AF310" s="40">
        <f>IF(AND(28&gt;=$G$49,28&lt;=$H$49),($B$49+IF($I$49="Y",$K$49,0))*$D$49*$E$49*(1+$B$55),0)</f>
        <v/>
      </c>
      <c r="AG310" s="40">
        <f>IF(AND(29&gt;=$G$49,29&lt;=$H$49),($B$49+IF($I$49="Y",$K$49,0))*$D$49*$E$49*(1+$B$55),0)</f>
        <v/>
      </c>
      <c r="AH310" s="40">
        <f>IF(AND(30&gt;=$G$49,30&lt;=$H$49),($B$49+IF($I$49="Y",$K$49,0))*$D$49*$E$49*(1+$B$55),0)</f>
        <v/>
      </c>
      <c r="AI310" s="40">
        <f>IF(AND(31&gt;=$G$49,31&lt;=$H$49),($B$49+IF($I$49="Y",$K$49,0))*$D$49*$E$49*(1+$B$55),0)</f>
        <v/>
      </c>
      <c r="AJ310" s="40">
        <f>IF(AND(32&gt;=$G$49,32&lt;=$H$49),($B$49+IF($I$49="Y",$K$49,0))*$D$49*$E$49*(1+$B$55),0)</f>
        <v/>
      </c>
      <c r="AK310" s="40">
        <f>IF(AND(33&gt;=$G$49,33&lt;=$H$49),($B$49+IF($I$49="Y",$K$49,0))*$D$49*$E$49*(1+$B$55),0)</f>
        <v/>
      </c>
      <c r="AL310" s="40">
        <f>IF(AND(34&gt;=$G$49,34&lt;=$H$49),($B$49+IF($I$49="Y",$K$49,0))*$D$49*$E$49*(1+$B$55),0)</f>
        <v/>
      </c>
      <c r="AM310" s="40">
        <f>IF(AND(35&gt;=$G$49,35&lt;=$H$49),($B$49+IF($I$49="Y",$K$49,0))*$D$49*$E$49*(1+$B$55),0)</f>
        <v/>
      </c>
      <c r="AN310" s="40">
        <f>IF(AND(36&gt;=$G$49,36&lt;=$H$49),($B$49+IF($I$49="Y",$K$49,0))*$D$49*$E$49*(1+$B$55),0)</f>
        <v/>
      </c>
      <c r="AO310" s="40">
        <f>IF(AND(37&gt;=$G$49,37&lt;=$H$49),($B$49+IF($I$49="Y",$K$49,0))*$D$49*$E$49*(1+$B$55),0)</f>
        <v/>
      </c>
      <c r="AP310" s="40">
        <f>IF(AND(38&gt;=$G$49,38&lt;=$H$49),($B$49+IF($I$49="Y",$K$49,0))*$D$49*$E$49*(1+$B$55),0)</f>
        <v/>
      </c>
      <c r="AQ310" s="40">
        <f>IF(AND(39&gt;=$G$49,39&lt;=$H$49),($B$49+IF($I$49="Y",$K$49,0))*$D$49*$E$49*(1+$B$55),0)</f>
        <v/>
      </c>
      <c r="AR310" s="40">
        <f>IF(AND(40&gt;=$G$49,40&lt;=$H$49),($B$49+IF($I$49="Y",$K$49,0))*$D$49*$E$49*(1+$B$55),0)</f>
        <v/>
      </c>
      <c r="AS310" s="40">
        <f>IF(AND(41&gt;=$G$49,41&lt;=$H$49),($B$49+IF($I$49="Y",$K$49,0))*$D$49*$E$49*(1+$B$55),0)</f>
        <v/>
      </c>
      <c r="AT310" s="40">
        <f>IF(AND(42&gt;=$G$49,42&lt;=$H$49),($B$49+IF($I$49="Y",$K$49,0))*$D$49*$E$49*(1+$B$55),0)</f>
        <v/>
      </c>
      <c r="AU310" s="40">
        <f>IF(AND(43&gt;=$G$49,43&lt;=$H$49),($B$49+IF($I$49="Y",$K$49,0))*$D$49*$E$49*(1+$B$55),0)</f>
        <v/>
      </c>
      <c r="AV310" s="40">
        <f>IF(AND(44&gt;=$G$49,44&lt;=$H$49),($B$49+IF($I$49="Y",$K$49,0))*$D$49*$E$49*(1+$B$55),0)</f>
        <v/>
      </c>
      <c r="AW310" s="40">
        <f>IF(AND(45&gt;=$G$49,45&lt;=$H$49),($B$49+IF($I$49="Y",$K$49,0))*$D$49*$E$49*(1+$B$55),0)</f>
        <v/>
      </c>
      <c r="AX310" s="40">
        <f>IF(AND(46&gt;=$G$49,46&lt;=$H$49),($B$49+IF($I$49="Y",$K$49,0))*$D$49*$E$49*(1+$B$55),0)</f>
        <v/>
      </c>
      <c r="AY310" s="40">
        <f>IF(AND(47&gt;=$G$49,47&lt;=$H$49),($B$49+IF($I$49="Y",$K$49,0))*$D$49*$E$49*(1+$B$55),0)</f>
        <v/>
      </c>
      <c r="AZ310" s="40">
        <f>IF(AND(48&gt;=$G$49,48&lt;=$H$49),($B$49+IF($I$49="Y",$K$49,0))*$D$49*$E$49*(1+$B$55),0)</f>
        <v/>
      </c>
      <c r="BA310" s="40">
        <f>IF(AND(49&gt;=$G$49,49&lt;=$H$49),($B$49+IF($I$49="Y",$K$49,0))*$D$49*$E$49*(1+$B$55),0)</f>
        <v/>
      </c>
      <c r="BB310" s="40">
        <f>IF(AND(50&gt;=$G$49,50&lt;=$H$49),($B$49+IF($I$49="Y",$K$49,0))*$D$49*$E$49*(1+$B$55),0)</f>
        <v/>
      </c>
      <c r="BC310" s="40">
        <f>IF(AND(51&gt;=$G$49,51&lt;=$H$49),($B$49+IF($I$49="Y",$K$49,0))*$D$49*$E$49*(1+$B$55),0)</f>
        <v/>
      </c>
      <c r="BD310" s="40">
        <f>IF(AND(52&gt;=$G$49,52&lt;=$H$49),($B$49+IF($I$49="Y",$K$49,0))*$D$49*$E$49*(1+$B$55),0)</f>
        <v/>
      </c>
    </row>
    <row r="311">
      <c r="A311" s="33" t="inlineStr">
        <is>
          <t xml:space="preserve">   Seasonal Field Crew</t>
        </is>
      </c>
      <c r="B311" s="2" t="inlineStr">
        <is>
          <t>$</t>
        </is>
      </c>
      <c r="E311" s="40">
        <f>IF(AND(1&gt;=$G$50,1&lt;=$H$50),($B$50+IF($I$50="Y",$K$50,0))*$D$50*$E$50*(1+$B$55),0)</f>
        <v/>
      </c>
      <c r="F311" s="40">
        <f>IF(AND(2&gt;=$G$50,2&lt;=$H$50),($B$50+IF($I$50="Y",$K$50,0))*$D$50*$E$50*(1+$B$55),0)</f>
        <v/>
      </c>
      <c r="G311" s="40">
        <f>IF(AND(3&gt;=$G$50,3&lt;=$H$50),($B$50+IF($I$50="Y",$K$50,0))*$D$50*$E$50*(1+$B$55),0)</f>
        <v/>
      </c>
      <c r="H311" s="40">
        <f>IF(AND(4&gt;=$G$50,4&lt;=$H$50),($B$50+IF($I$50="Y",$K$50,0))*$D$50*$E$50*(1+$B$55),0)</f>
        <v/>
      </c>
      <c r="I311" s="40">
        <f>IF(AND(5&gt;=$G$50,5&lt;=$H$50),($B$50+IF($I$50="Y",$K$50,0))*$D$50*$E$50*(1+$B$55),0)</f>
        <v/>
      </c>
      <c r="J311" s="40">
        <f>IF(AND(6&gt;=$G$50,6&lt;=$H$50),($B$50+IF($I$50="Y",$K$50,0))*$D$50*$E$50*(1+$B$55),0)</f>
        <v/>
      </c>
      <c r="K311" s="40">
        <f>IF(AND(7&gt;=$G$50,7&lt;=$H$50),($B$50+IF($I$50="Y",$K$50,0))*$D$50*$E$50*(1+$B$55),0)</f>
        <v/>
      </c>
      <c r="L311" s="40">
        <f>IF(AND(8&gt;=$G$50,8&lt;=$H$50),($B$50+IF($I$50="Y",$K$50,0))*$D$50*$E$50*(1+$B$55),0)</f>
        <v/>
      </c>
      <c r="M311" s="40">
        <f>IF(AND(9&gt;=$G$50,9&lt;=$H$50),($B$50+IF($I$50="Y",$K$50,0))*$D$50*$E$50*(1+$B$55),0)</f>
        <v/>
      </c>
      <c r="N311" s="40">
        <f>IF(AND(10&gt;=$G$50,10&lt;=$H$50),($B$50+IF($I$50="Y",$K$50,0))*$D$50*$E$50*(1+$B$55),0)</f>
        <v/>
      </c>
      <c r="O311" s="40">
        <f>IF(AND(11&gt;=$G$50,11&lt;=$H$50),($B$50+IF($I$50="Y",$K$50,0))*$D$50*$E$50*(1+$B$55),0)</f>
        <v/>
      </c>
      <c r="P311" s="40">
        <f>IF(AND(12&gt;=$G$50,12&lt;=$H$50),($B$50+IF($I$50="Y",$K$50,0))*$D$50*$E$50*(1+$B$55),0)</f>
        <v/>
      </c>
      <c r="Q311" s="40">
        <f>IF(AND(13&gt;=$G$50,13&lt;=$H$50),($B$50+IF($I$50="Y",$K$50,0))*$D$50*$E$50*(1+$B$55),0)</f>
        <v/>
      </c>
      <c r="R311" s="40">
        <f>IF(AND(14&gt;=$G$50,14&lt;=$H$50),($B$50+IF($I$50="Y",$K$50,0))*$D$50*$E$50*(1+$B$55),0)</f>
        <v/>
      </c>
      <c r="S311" s="40">
        <f>IF(AND(15&gt;=$G$50,15&lt;=$H$50),($B$50+IF($I$50="Y",$K$50,0))*$D$50*$E$50*(1+$B$55),0)</f>
        <v/>
      </c>
      <c r="T311" s="40">
        <f>IF(AND(16&gt;=$G$50,16&lt;=$H$50),($B$50+IF($I$50="Y",$K$50,0))*$D$50*$E$50*(1+$B$55),0)</f>
        <v/>
      </c>
      <c r="U311" s="40">
        <f>IF(AND(17&gt;=$G$50,17&lt;=$H$50),($B$50+IF($I$50="Y",$K$50,0))*$D$50*$E$50*(1+$B$55),0)</f>
        <v/>
      </c>
      <c r="V311" s="40">
        <f>IF(AND(18&gt;=$G$50,18&lt;=$H$50),($B$50+IF($I$50="Y",$K$50,0))*$D$50*$E$50*(1+$B$55),0)</f>
        <v/>
      </c>
      <c r="W311" s="40">
        <f>IF(AND(19&gt;=$G$50,19&lt;=$H$50),($B$50+IF($I$50="Y",$K$50,0))*$D$50*$E$50*(1+$B$55),0)</f>
        <v/>
      </c>
      <c r="X311" s="40">
        <f>IF(AND(20&gt;=$G$50,20&lt;=$H$50),($B$50+IF($I$50="Y",$K$50,0))*$D$50*$E$50*(1+$B$55),0)</f>
        <v/>
      </c>
      <c r="Y311" s="40">
        <f>IF(AND(21&gt;=$G$50,21&lt;=$H$50),($B$50+IF($I$50="Y",$K$50,0))*$D$50*$E$50*(1+$B$55),0)</f>
        <v/>
      </c>
      <c r="Z311" s="40">
        <f>IF(AND(22&gt;=$G$50,22&lt;=$H$50),($B$50+IF($I$50="Y",$K$50,0))*$D$50*$E$50*(1+$B$55),0)</f>
        <v/>
      </c>
      <c r="AA311" s="40">
        <f>IF(AND(23&gt;=$G$50,23&lt;=$H$50),($B$50+IF($I$50="Y",$K$50,0))*$D$50*$E$50*(1+$B$55),0)</f>
        <v/>
      </c>
      <c r="AB311" s="40">
        <f>IF(AND(24&gt;=$G$50,24&lt;=$H$50),($B$50+IF($I$50="Y",$K$50,0))*$D$50*$E$50*(1+$B$55),0)</f>
        <v/>
      </c>
      <c r="AC311" s="40">
        <f>IF(AND(25&gt;=$G$50,25&lt;=$H$50),($B$50+IF($I$50="Y",$K$50,0))*$D$50*$E$50*(1+$B$55),0)</f>
        <v/>
      </c>
      <c r="AD311" s="40">
        <f>IF(AND(26&gt;=$G$50,26&lt;=$H$50),($B$50+IF($I$50="Y",$K$50,0))*$D$50*$E$50*(1+$B$55),0)</f>
        <v/>
      </c>
      <c r="AE311" s="40">
        <f>IF(AND(27&gt;=$G$50,27&lt;=$H$50),($B$50+IF($I$50="Y",$K$50,0))*$D$50*$E$50*(1+$B$55),0)</f>
        <v/>
      </c>
      <c r="AF311" s="40">
        <f>IF(AND(28&gt;=$G$50,28&lt;=$H$50),($B$50+IF($I$50="Y",$K$50,0))*$D$50*$E$50*(1+$B$55),0)</f>
        <v/>
      </c>
      <c r="AG311" s="40">
        <f>IF(AND(29&gt;=$G$50,29&lt;=$H$50),($B$50+IF($I$50="Y",$K$50,0))*$D$50*$E$50*(1+$B$55),0)</f>
        <v/>
      </c>
      <c r="AH311" s="40">
        <f>IF(AND(30&gt;=$G$50,30&lt;=$H$50),($B$50+IF($I$50="Y",$K$50,0))*$D$50*$E$50*(1+$B$55),0)</f>
        <v/>
      </c>
      <c r="AI311" s="40">
        <f>IF(AND(31&gt;=$G$50,31&lt;=$H$50),($B$50+IF($I$50="Y",$K$50,0))*$D$50*$E$50*(1+$B$55),0)</f>
        <v/>
      </c>
      <c r="AJ311" s="40">
        <f>IF(AND(32&gt;=$G$50,32&lt;=$H$50),($B$50+IF($I$50="Y",$K$50,0))*$D$50*$E$50*(1+$B$55),0)</f>
        <v/>
      </c>
      <c r="AK311" s="40">
        <f>IF(AND(33&gt;=$G$50,33&lt;=$H$50),($B$50+IF($I$50="Y",$K$50,0))*$D$50*$E$50*(1+$B$55),0)</f>
        <v/>
      </c>
      <c r="AL311" s="40">
        <f>IF(AND(34&gt;=$G$50,34&lt;=$H$50),($B$50+IF($I$50="Y",$K$50,0))*$D$50*$E$50*(1+$B$55),0)</f>
        <v/>
      </c>
      <c r="AM311" s="40">
        <f>IF(AND(35&gt;=$G$50,35&lt;=$H$50),($B$50+IF($I$50="Y",$K$50,0))*$D$50*$E$50*(1+$B$55),0)</f>
        <v/>
      </c>
      <c r="AN311" s="40">
        <f>IF(AND(36&gt;=$G$50,36&lt;=$H$50),($B$50+IF($I$50="Y",$K$50,0))*$D$50*$E$50*(1+$B$55),0)</f>
        <v/>
      </c>
      <c r="AO311" s="40">
        <f>IF(AND(37&gt;=$G$50,37&lt;=$H$50),($B$50+IF($I$50="Y",$K$50,0))*$D$50*$E$50*(1+$B$55),0)</f>
        <v/>
      </c>
      <c r="AP311" s="40">
        <f>IF(AND(38&gt;=$G$50,38&lt;=$H$50),($B$50+IF($I$50="Y",$K$50,0))*$D$50*$E$50*(1+$B$55),0)</f>
        <v/>
      </c>
      <c r="AQ311" s="40">
        <f>IF(AND(39&gt;=$G$50,39&lt;=$H$50),($B$50+IF($I$50="Y",$K$50,0))*$D$50*$E$50*(1+$B$55),0)</f>
        <v/>
      </c>
      <c r="AR311" s="40">
        <f>IF(AND(40&gt;=$G$50,40&lt;=$H$50),($B$50+IF($I$50="Y",$K$50,0))*$D$50*$E$50*(1+$B$55),0)</f>
        <v/>
      </c>
      <c r="AS311" s="40">
        <f>IF(AND(41&gt;=$G$50,41&lt;=$H$50),($B$50+IF($I$50="Y",$K$50,0))*$D$50*$E$50*(1+$B$55),0)</f>
        <v/>
      </c>
      <c r="AT311" s="40">
        <f>IF(AND(42&gt;=$G$50,42&lt;=$H$50),($B$50+IF($I$50="Y",$K$50,0))*$D$50*$E$50*(1+$B$55),0)</f>
        <v/>
      </c>
      <c r="AU311" s="40">
        <f>IF(AND(43&gt;=$G$50,43&lt;=$H$50),($B$50+IF($I$50="Y",$K$50,0))*$D$50*$E$50*(1+$B$55),0)</f>
        <v/>
      </c>
      <c r="AV311" s="40">
        <f>IF(AND(44&gt;=$G$50,44&lt;=$H$50),($B$50+IF($I$50="Y",$K$50,0))*$D$50*$E$50*(1+$B$55),0)</f>
        <v/>
      </c>
      <c r="AW311" s="40">
        <f>IF(AND(45&gt;=$G$50,45&lt;=$H$50),($B$50+IF($I$50="Y",$K$50,0))*$D$50*$E$50*(1+$B$55),0)</f>
        <v/>
      </c>
      <c r="AX311" s="40">
        <f>IF(AND(46&gt;=$G$50,46&lt;=$H$50),($B$50+IF($I$50="Y",$K$50,0))*$D$50*$E$50*(1+$B$55),0)</f>
        <v/>
      </c>
      <c r="AY311" s="40">
        <f>IF(AND(47&gt;=$G$50,47&lt;=$H$50),($B$50+IF($I$50="Y",$K$50,0))*$D$50*$E$50*(1+$B$55),0)</f>
        <v/>
      </c>
      <c r="AZ311" s="40">
        <f>IF(AND(48&gt;=$G$50,48&lt;=$H$50),($B$50+IF($I$50="Y",$K$50,0))*$D$50*$E$50*(1+$B$55),0)</f>
        <v/>
      </c>
      <c r="BA311" s="40">
        <f>IF(AND(49&gt;=$G$50,49&lt;=$H$50),($B$50+IF($I$50="Y",$K$50,0))*$D$50*$E$50*(1+$B$55),0)</f>
        <v/>
      </c>
      <c r="BB311" s="40">
        <f>IF(AND(50&gt;=$G$50,50&lt;=$H$50),($B$50+IF($I$50="Y",$K$50,0))*$D$50*$E$50*(1+$B$55),0)</f>
        <v/>
      </c>
      <c r="BC311" s="40">
        <f>IF(AND(51&gt;=$G$50,51&lt;=$H$50),($B$50+IF($I$50="Y",$K$50,0))*$D$50*$E$50*(1+$B$55),0)</f>
        <v/>
      </c>
      <c r="BD311" s="40">
        <f>IF(AND(52&gt;=$G$50,52&lt;=$H$50),($B$50+IF($I$50="Y",$K$50,0))*$D$50*$E$50*(1+$B$55),0)</f>
        <v/>
      </c>
    </row>
    <row r="312">
      <c r="A312" s="33" t="inlineStr">
        <is>
          <t xml:space="preserve">   Harvest Crew</t>
        </is>
      </c>
      <c r="B312" s="2" t="inlineStr">
        <is>
          <t>$</t>
        </is>
      </c>
      <c r="E312" s="40">
        <f>IF(AND(1&gt;=$G$51,1&lt;=$H$51),($B$51+IF($I$51="Y",$K$51,0))*$D$51*$E$51*(1+$B$55),0)</f>
        <v/>
      </c>
      <c r="F312" s="40">
        <f>IF(AND(2&gt;=$G$51,2&lt;=$H$51),($B$51+IF($I$51="Y",$K$51,0))*$D$51*$E$51*(1+$B$55),0)</f>
        <v/>
      </c>
      <c r="G312" s="40">
        <f>IF(AND(3&gt;=$G$51,3&lt;=$H$51),($B$51+IF($I$51="Y",$K$51,0))*$D$51*$E$51*(1+$B$55),0)</f>
        <v/>
      </c>
      <c r="H312" s="40">
        <f>IF(AND(4&gt;=$G$51,4&lt;=$H$51),($B$51+IF($I$51="Y",$K$51,0))*$D$51*$E$51*(1+$B$55),0)</f>
        <v/>
      </c>
      <c r="I312" s="40">
        <f>IF(AND(5&gt;=$G$51,5&lt;=$H$51),($B$51+IF($I$51="Y",$K$51,0))*$D$51*$E$51*(1+$B$55),0)</f>
        <v/>
      </c>
      <c r="J312" s="40">
        <f>IF(AND(6&gt;=$G$51,6&lt;=$H$51),($B$51+IF($I$51="Y",$K$51,0))*$D$51*$E$51*(1+$B$55),0)</f>
        <v/>
      </c>
      <c r="K312" s="40">
        <f>IF(AND(7&gt;=$G$51,7&lt;=$H$51),($B$51+IF($I$51="Y",$K$51,0))*$D$51*$E$51*(1+$B$55),0)</f>
        <v/>
      </c>
      <c r="L312" s="40">
        <f>IF(AND(8&gt;=$G$51,8&lt;=$H$51),($B$51+IF($I$51="Y",$K$51,0))*$D$51*$E$51*(1+$B$55),0)</f>
        <v/>
      </c>
      <c r="M312" s="40">
        <f>IF(AND(9&gt;=$G$51,9&lt;=$H$51),($B$51+IF($I$51="Y",$K$51,0))*$D$51*$E$51*(1+$B$55),0)</f>
        <v/>
      </c>
      <c r="N312" s="40">
        <f>IF(AND(10&gt;=$G$51,10&lt;=$H$51),($B$51+IF($I$51="Y",$K$51,0))*$D$51*$E$51*(1+$B$55),0)</f>
        <v/>
      </c>
      <c r="O312" s="40">
        <f>IF(AND(11&gt;=$G$51,11&lt;=$H$51),($B$51+IF($I$51="Y",$K$51,0))*$D$51*$E$51*(1+$B$55),0)</f>
        <v/>
      </c>
      <c r="P312" s="40">
        <f>IF(AND(12&gt;=$G$51,12&lt;=$H$51),($B$51+IF($I$51="Y",$K$51,0))*$D$51*$E$51*(1+$B$55),0)</f>
        <v/>
      </c>
      <c r="Q312" s="40">
        <f>IF(AND(13&gt;=$G$51,13&lt;=$H$51),($B$51+IF($I$51="Y",$K$51,0))*$D$51*$E$51*(1+$B$55),0)</f>
        <v/>
      </c>
      <c r="R312" s="40">
        <f>IF(AND(14&gt;=$G$51,14&lt;=$H$51),($B$51+IF($I$51="Y",$K$51,0))*$D$51*$E$51*(1+$B$55),0)</f>
        <v/>
      </c>
      <c r="S312" s="40">
        <f>IF(AND(15&gt;=$G$51,15&lt;=$H$51),($B$51+IF($I$51="Y",$K$51,0))*$D$51*$E$51*(1+$B$55),0)</f>
        <v/>
      </c>
      <c r="T312" s="40">
        <f>IF(AND(16&gt;=$G$51,16&lt;=$H$51),($B$51+IF($I$51="Y",$K$51,0))*$D$51*$E$51*(1+$B$55),0)</f>
        <v/>
      </c>
      <c r="U312" s="40">
        <f>IF(AND(17&gt;=$G$51,17&lt;=$H$51),($B$51+IF($I$51="Y",$K$51,0))*$D$51*$E$51*(1+$B$55),0)</f>
        <v/>
      </c>
      <c r="V312" s="40">
        <f>IF(AND(18&gt;=$G$51,18&lt;=$H$51),($B$51+IF($I$51="Y",$K$51,0))*$D$51*$E$51*(1+$B$55),0)</f>
        <v/>
      </c>
      <c r="W312" s="40">
        <f>IF(AND(19&gt;=$G$51,19&lt;=$H$51),($B$51+IF($I$51="Y",$K$51,0))*$D$51*$E$51*(1+$B$55),0)</f>
        <v/>
      </c>
      <c r="X312" s="40">
        <f>IF(AND(20&gt;=$G$51,20&lt;=$H$51),($B$51+IF($I$51="Y",$K$51,0))*$D$51*$E$51*(1+$B$55),0)</f>
        <v/>
      </c>
      <c r="Y312" s="40">
        <f>IF(AND(21&gt;=$G$51,21&lt;=$H$51),($B$51+IF($I$51="Y",$K$51,0))*$D$51*$E$51*(1+$B$55),0)</f>
        <v/>
      </c>
      <c r="Z312" s="40">
        <f>IF(AND(22&gt;=$G$51,22&lt;=$H$51),($B$51+IF($I$51="Y",$K$51,0))*$D$51*$E$51*(1+$B$55),0)</f>
        <v/>
      </c>
      <c r="AA312" s="40">
        <f>IF(AND(23&gt;=$G$51,23&lt;=$H$51),($B$51+IF($I$51="Y",$K$51,0))*$D$51*$E$51*(1+$B$55),0)</f>
        <v/>
      </c>
      <c r="AB312" s="40">
        <f>IF(AND(24&gt;=$G$51,24&lt;=$H$51),($B$51+IF($I$51="Y",$K$51,0))*$D$51*$E$51*(1+$B$55),0)</f>
        <v/>
      </c>
      <c r="AC312" s="40">
        <f>IF(AND(25&gt;=$G$51,25&lt;=$H$51),($B$51+IF($I$51="Y",$K$51,0))*$D$51*$E$51*(1+$B$55),0)</f>
        <v/>
      </c>
      <c r="AD312" s="40">
        <f>IF(AND(26&gt;=$G$51,26&lt;=$H$51),($B$51+IF($I$51="Y",$K$51,0))*$D$51*$E$51*(1+$B$55),0)</f>
        <v/>
      </c>
      <c r="AE312" s="40">
        <f>IF(AND(27&gt;=$G$51,27&lt;=$H$51),($B$51+IF($I$51="Y",$K$51,0))*$D$51*$E$51*(1+$B$55),0)</f>
        <v/>
      </c>
      <c r="AF312" s="40">
        <f>IF(AND(28&gt;=$G$51,28&lt;=$H$51),($B$51+IF($I$51="Y",$K$51,0))*$D$51*$E$51*(1+$B$55),0)</f>
        <v/>
      </c>
      <c r="AG312" s="40">
        <f>IF(AND(29&gt;=$G$51,29&lt;=$H$51),($B$51+IF($I$51="Y",$K$51,0))*$D$51*$E$51*(1+$B$55),0)</f>
        <v/>
      </c>
      <c r="AH312" s="40">
        <f>IF(AND(30&gt;=$G$51,30&lt;=$H$51),($B$51+IF($I$51="Y",$K$51,0))*$D$51*$E$51*(1+$B$55),0)</f>
        <v/>
      </c>
      <c r="AI312" s="40">
        <f>IF(AND(31&gt;=$G$51,31&lt;=$H$51),($B$51+IF($I$51="Y",$K$51,0))*$D$51*$E$51*(1+$B$55),0)</f>
        <v/>
      </c>
      <c r="AJ312" s="40">
        <f>IF(AND(32&gt;=$G$51,32&lt;=$H$51),($B$51+IF($I$51="Y",$K$51,0))*$D$51*$E$51*(1+$B$55),0)</f>
        <v/>
      </c>
      <c r="AK312" s="40">
        <f>IF(AND(33&gt;=$G$51,33&lt;=$H$51),($B$51+IF($I$51="Y",$K$51,0))*$D$51*$E$51*(1+$B$55),0)</f>
        <v/>
      </c>
      <c r="AL312" s="40">
        <f>IF(AND(34&gt;=$G$51,34&lt;=$H$51),($B$51+IF($I$51="Y",$K$51,0))*$D$51*$E$51*(1+$B$55),0)</f>
        <v/>
      </c>
      <c r="AM312" s="40">
        <f>IF(AND(35&gt;=$G$51,35&lt;=$H$51),($B$51+IF($I$51="Y",$K$51,0))*$D$51*$E$51*(1+$B$55),0)</f>
        <v/>
      </c>
      <c r="AN312" s="40">
        <f>IF(AND(36&gt;=$G$51,36&lt;=$H$51),($B$51+IF($I$51="Y",$K$51,0))*$D$51*$E$51*(1+$B$55),0)</f>
        <v/>
      </c>
      <c r="AO312" s="40">
        <f>IF(AND(37&gt;=$G$51,37&lt;=$H$51),($B$51+IF($I$51="Y",$K$51,0))*$D$51*$E$51*(1+$B$55),0)</f>
        <v/>
      </c>
      <c r="AP312" s="40">
        <f>IF(AND(38&gt;=$G$51,38&lt;=$H$51),($B$51+IF($I$51="Y",$K$51,0))*$D$51*$E$51*(1+$B$55),0)</f>
        <v/>
      </c>
      <c r="AQ312" s="40">
        <f>IF(AND(39&gt;=$G$51,39&lt;=$H$51),($B$51+IF($I$51="Y",$K$51,0))*$D$51*$E$51*(1+$B$55),0)</f>
        <v/>
      </c>
      <c r="AR312" s="40">
        <f>IF(AND(40&gt;=$G$51,40&lt;=$H$51),($B$51+IF($I$51="Y",$K$51,0))*$D$51*$E$51*(1+$B$55),0)</f>
        <v/>
      </c>
      <c r="AS312" s="40">
        <f>IF(AND(41&gt;=$G$51,41&lt;=$H$51),($B$51+IF($I$51="Y",$K$51,0))*$D$51*$E$51*(1+$B$55),0)</f>
        <v/>
      </c>
      <c r="AT312" s="40">
        <f>IF(AND(42&gt;=$G$51,42&lt;=$H$51),($B$51+IF($I$51="Y",$K$51,0))*$D$51*$E$51*(1+$B$55),0)</f>
        <v/>
      </c>
      <c r="AU312" s="40">
        <f>IF(AND(43&gt;=$G$51,43&lt;=$H$51),($B$51+IF($I$51="Y",$K$51,0))*$D$51*$E$51*(1+$B$55),0)</f>
        <v/>
      </c>
      <c r="AV312" s="40">
        <f>IF(AND(44&gt;=$G$51,44&lt;=$H$51),($B$51+IF($I$51="Y",$K$51,0))*$D$51*$E$51*(1+$B$55),0)</f>
        <v/>
      </c>
      <c r="AW312" s="40">
        <f>IF(AND(45&gt;=$G$51,45&lt;=$H$51),($B$51+IF($I$51="Y",$K$51,0))*$D$51*$E$51*(1+$B$55),0)</f>
        <v/>
      </c>
      <c r="AX312" s="40">
        <f>IF(AND(46&gt;=$G$51,46&lt;=$H$51),($B$51+IF($I$51="Y",$K$51,0))*$D$51*$E$51*(1+$B$55),0)</f>
        <v/>
      </c>
      <c r="AY312" s="40">
        <f>IF(AND(47&gt;=$G$51,47&lt;=$H$51),($B$51+IF($I$51="Y",$K$51,0))*$D$51*$E$51*(1+$B$55),0)</f>
        <v/>
      </c>
      <c r="AZ312" s="40">
        <f>IF(AND(48&gt;=$G$51,48&lt;=$H$51),($B$51+IF($I$51="Y",$K$51,0))*$D$51*$E$51*(1+$B$55),0)</f>
        <v/>
      </c>
      <c r="BA312" s="40">
        <f>IF(AND(49&gt;=$G$51,49&lt;=$H$51),($B$51+IF($I$51="Y",$K$51,0))*$D$51*$E$51*(1+$B$55),0)</f>
        <v/>
      </c>
      <c r="BB312" s="40">
        <f>IF(AND(50&gt;=$G$51,50&lt;=$H$51),($B$51+IF($I$51="Y",$K$51,0))*$D$51*$E$51*(1+$B$55),0)</f>
        <v/>
      </c>
      <c r="BC312" s="40">
        <f>IF(AND(51&gt;=$G$51,51&lt;=$H$51),($B$51+IF($I$51="Y",$K$51,0))*$D$51*$E$51*(1+$B$55),0)</f>
        <v/>
      </c>
      <c r="BD312" s="40">
        <f>IF(AND(52&gt;=$G$51,52&lt;=$H$51),($B$51+IF($I$51="Y",$K$51,0))*$D$51*$E$51*(1+$B$55),0)</f>
        <v/>
      </c>
    </row>
    <row r="313">
      <c r="A313" s="36" t="inlineStr">
        <is>
          <t>Week</t>
        </is>
      </c>
      <c r="B313" s="37" t="inlineStr">
        <is>
          <t>$</t>
        </is>
      </c>
      <c r="E313" s="38" t="n">
        <v>1</v>
      </c>
      <c r="F313" s="38" t="n">
        <v>2</v>
      </c>
      <c r="G313" s="38" t="n">
        <v>3</v>
      </c>
      <c r="H313" s="38" t="n">
        <v>4</v>
      </c>
      <c r="I313" s="38" t="n">
        <v>5</v>
      </c>
      <c r="J313" s="38" t="n">
        <v>6</v>
      </c>
      <c r="K313" s="38" t="n">
        <v>7</v>
      </c>
      <c r="L313" s="38" t="n">
        <v>8</v>
      </c>
      <c r="M313" s="38" t="n">
        <v>9</v>
      </c>
      <c r="N313" s="38" t="n">
        <v>10</v>
      </c>
      <c r="O313" s="38" t="n">
        <v>11</v>
      </c>
      <c r="P313" s="38" t="n">
        <v>12</v>
      </c>
      <c r="Q313" s="38" t="n">
        <v>13</v>
      </c>
      <c r="R313" s="38" t="n">
        <v>14</v>
      </c>
      <c r="S313" s="38" t="n">
        <v>15</v>
      </c>
      <c r="T313" s="38" t="n">
        <v>16</v>
      </c>
      <c r="U313" s="38" t="n">
        <v>17</v>
      </c>
      <c r="V313" s="38" t="n">
        <v>18</v>
      </c>
      <c r="W313" s="38" t="n">
        <v>19</v>
      </c>
      <c r="X313" s="38" t="n">
        <v>20</v>
      </c>
      <c r="Y313" s="38" t="n">
        <v>21</v>
      </c>
      <c r="Z313" s="38" t="n">
        <v>22</v>
      </c>
      <c r="AA313" s="38" t="n">
        <v>23</v>
      </c>
      <c r="AB313" s="38" t="n">
        <v>24</v>
      </c>
      <c r="AC313" s="38" t="n">
        <v>25</v>
      </c>
      <c r="AD313" s="38" t="n">
        <v>26</v>
      </c>
      <c r="AE313" s="38" t="n">
        <v>27</v>
      </c>
      <c r="AF313" s="38" t="n">
        <v>28</v>
      </c>
      <c r="AG313" s="38" t="n">
        <v>29</v>
      </c>
      <c r="AH313" s="38" t="n">
        <v>30</v>
      </c>
      <c r="AI313" s="38" t="n">
        <v>31</v>
      </c>
      <c r="AJ313" s="38" t="n">
        <v>32</v>
      </c>
      <c r="AK313" s="38" t="n">
        <v>33</v>
      </c>
      <c r="AL313" s="38" t="n">
        <v>34</v>
      </c>
      <c r="AM313" s="38" t="n">
        <v>35</v>
      </c>
      <c r="AN313" s="38" t="n">
        <v>36</v>
      </c>
      <c r="AO313" s="38" t="n">
        <v>37</v>
      </c>
      <c r="AP313" s="38" t="n">
        <v>38</v>
      </c>
      <c r="AQ313" s="38" t="n">
        <v>39</v>
      </c>
      <c r="AR313" s="38" t="n">
        <v>40</v>
      </c>
      <c r="AS313" s="38" t="n">
        <v>41</v>
      </c>
      <c r="AT313" s="38" t="n">
        <v>42</v>
      </c>
      <c r="AU313" s="38" t="n">
        <v>43</v>
      </c>
      <c r="AV313" s="38" t="n">
        <v>44</v>
      </c>
      <c r="AW313" s="38" t="n">
        <v>45</v>
      </c>
      <c r="AX313" s="38" t="n">
        <v>46</v>
      </c>
      <c r="AY313" s="38" t="n">
        <v>47</v>
      </c>
      <c r="AZ313" s="38" t="n">
        <v>48</v>
      </c>
      <c r="BA313" s="38" t="n">
        <v>49</v>
      </c>
      <c r="BB313" s="38" t="n">
        <v>50</v>
      </c>
      <c r="BC313" s="38" t="n">
        <v>51</v>
      </c>
      <c r="BD313" s="38" t="n">
        <v>52</v>
      </c>
    </row>
    <row r="314">
      <c r="A314" s="4" t="inlineStr">
        <is>
          <t>Wage bill this week</t>
        </is>
      </c>
      <c r="B314" s="2" t="inlineStr">
        <is>
          <t>$</t>
        </is>
      </c>
      <c r="E314" s="40">
        <f>E309+E310+E311+E312</f>
        <v/>
      </c>
      <c r="F314" s="40">
        <f>F309+F310+F311+F312</f>
        <v/>
      </c>
      <c r="G314" s="40">
        <f>G309+G310+G311+G312</f>
        <v/>
      </c>
      <c r="H314" s="40">
        <f>H309+H310+H311+H312</f>
        <v/>
      </c>
      <c r="I314" s="40">
        <f>I309+I310+I311+I312</f>
        <v/>
      </c>
      <c r="J314" s="40">
        <f>J309+J310+J311+J312</f>
        <v/>
      </c>
      <c r="K314" s="40">
        <f>K309+K310+K311+K312</f>
        <v/>
      </c>
      <c r="L314" s="40">
        <f>L309+L310+L311+L312</f>
        <v/>
      </c>
      <c r="M314" s="40">
        <f>M309+M310+M311+M312</f>
        <v/>
      </c>
      <c r="N314" s="40">
        <f>N309+N310+N311+N312</f>
        <v/>
      </c>
      <c r="O314" s="40">
        <f>O309+O310+O311+O312</f>
        <v/>
      </c>
      <c r="P314" s="40">
        <f>P309+P310+P311+P312</f>
        <v/>
      </c>
      <c r="Q314" s="40">
        <f>Q309+Q310+Q311+Q312</f>
        <v/>
      </c>
      <c r="R314" s="40">
        <f>R309+R310+R311+R312</f>
        <v/>
      </c>
      <c r="S314" s="40">
        <f>S309+S310+S311+S312</f>
        <v/>
      </c>
      <c r="T314" s="40">
        <f>T309+T310+T311+T312</f>
        <v/>
      </c>
      <c r="U314" s="40">
        <f>U309+U310+U311+U312</f>
        <v/>
      </c>
      <c r="V314" s="40">
        <f>V309+V310+V311+V312</f>
        <v/>
      </c>
      <c r="W314" s="40">
        <f>W309+W310+W311+W312</f>
        <v/>
      </c>
      <c r="X314" s="40">
        <f>X309+X310+X311+X312</f>
        <v/>
      </c>
      <c r="Y314" s="40">
        <f>Y309+Y310+Y311+Y312</f>
        <v/>
      </c>
      <c r="Z314" s="40">
        <f>Z309+Z310+Z311+Z312</f>
        <v/>
      </c>
      <c r="AA314" s="40">
        <f>AA309+AA310+AA311+AA312</f>
        <v/>
      </c>
      <c r="AB314" s="40">
        <f>AB309+AB310+AB311+AB312</f>
        <v/>
      </c>
      <c r="AC314" s="40">
        <f>AC309+AC310+AC311+AC312</f>
        <v/>
      </c>
      <c r="AD314" s="40">
        <f>AD309+AD310+AD311+AD312</f>
        <v/>
      </c>
      <c r="AE314" s="40">
        <f>AE309+AE310+AE311+AE312</f>
        <v/>
      </c>
      <c r="AF314" s="40">
        <f>AF309+AF310+AF311+AF312</f>
        <v/>
      </c>
      <c r="AG314" s="40">
        <f>AG309+AG310+AG311+AG312</f>
        <v/>
      </c>
      <c r="AH314" s="40">
        <f>AH309+AH310+AH311+AH312</f>
        <v/>
      </c>
      <c r="AI314" s="40">
        <f>AI309+AI310+AI311+AI312</f>
        <v/>
      </c>
      <c r="AJ314" s="40">
        <f>AJ309+AJ310+AJ311+AJ312</f>
        <v/>
      </c>
      <c r="AK314" s="40">
        <f>AK309+AK310+AK311+AK312</f>
        <v/>
      </c>
      <c r="AL314" s="40">
        <f>AL309+AL310+AL311+AL312</f>
        <v/>
      </c>
      <c r="AM314" s="40">
        <f>AM309+AM310+AM311+AM312</f>
        <v/>
      </c>
      <c r="AN314" s="40">
        <f>AN309+AN310+AN311+AN312</f>
        <v/>
      </c>
      <c r="AO314" s="40">
        <f>AO309+AO310+AO311+AO312</f>
        <v/>
      </c>
      <c r="AP314" s="40">
        <f>AP309+AP310+AP311+AP312</f>
        <v/>
      </c>
      <c r="AQ314" s="40">
        <f>AQ309+AQ310+AQ311+AQ312</f>
        <v/>
      </c>
      <c r="AR314" s="40">
        <f>AR309+AR310+AR311+AR312</f>
        <v/>
      </c>
      <c r="AS314" s="40">
        <f>AS309+AS310+AS311+AS312</f>
        <v/>
      </c>
      <c r="AT314" s="40">
        <f>AT309+AT310+AT311+AT312</f>
        <v/>
      </c>
      <c r="AU314" s="40">
        <f>AU309+AU310+AU311+AU312</f>
        <v/>
      </c>
      <c r="AV314" s="40">
        <f>AV309+AV310+AV311+AV312</f>
        <v/>
      </c>
      <c r="AW314" s="40">
        <f>AW309+AW310+AW311+AW312</f>
        <v/>
      </c>
      <c r="AX314" s="40">
        <f>AX309+AX310+AX311+AX312</f>
        <v/>
      </c>
      <c r="AY314" s="40">
        <f>AY309+AY310+AY311+AY312</f>
        <v/>
      </c>
      <c r="AZ314" s="40">
        <f>AZ309+AZ310+AZ311+AZ312</f>
        <v/>
      </c>
      <c r="BA314" s="40">
        <f>BA309+BA310+BA311+BA312</f>
        <v/>
      </c>
      <c r="BB314" s="40">
        <f>BB309+BB310+BB311+BB312</f>
        <v/>
      </c>
      <c r="BC314" s="40">
        <f>BC309+BC310+BC311+BC312</f>
        <v/>
      </c>
      <c r="BD314" s="40">
        <f>BD309+BD310+BD311+BD312</f>
        <v/>
      </c>
    </row>
    <row r="315">
      <c r="A315" s="2" t="inlineStr">
        <is>
          <t xml:space="preserve">   ⚠️ OWED WHETHER OR NOT THE CROPS NEED THEM (the app's W12) — which is why no crop carries a per-acre labour charge anywhere on this sheet.</t>
        </is>
      </c>
    </row>
    <row r="316">
      <c r="A316" s="33" t="inlineStr">
        <is>
          <t>New-head cost — ONCE, in the role's first week</t>
        </is>
      </c>
      <c r="B316" s="2" t="inlineStr">
        <is>
          <t>$</t>
        </is>
      </c>
      <c r="E316" s="40">
        <f>IF(AND(1=$G$48,$I$48="Y",$K$48&gt;0),$K$48*$B$62,0)+IF(AND(1=$G$49,$I$49="Y",$K$49&gt;0),$K$49*$B$62,0)+IF(AND(1=$G$50,$I$50="Y",$K$50&gt;0),$K$50*$B$62,0)+IF(AND(1=$G$51,$I$51="Y",$K$51&gt;0),$K$51*$B$62,0)</f>
        <v/>
      </c>
      <c r="F316" s="40">
        <f>IF(AND(2=$G$48,$I$48="Y",$K$48&gt;0),$K$48*$B$62,0)+IF(AND(2=$G$49,$I$49="Y",$K$49&gt;0),$K$49*$B$62,0)+IF(AND(2=$G$50,$I$50="Y",$K$50&gt;0),$K$50*$B$62,0)+IF(AND(2=$G$51,$I$51="Y",$K$51&gt;0),$K$51*$B$62,0)</f>
        <v/>
      </c>
      <c r="G316" s="40">
        <f>IF(AND(3=$G$48,$I$48="Y",$K$48&gt;0),$K$48*$B$62,0)+IF(AND(3=$G$49,$I$49="Y",$K$49&gt;0),$K$49*$B$62,0)+IF(AND(3=$G$50,$I$50="Y",$K$50&gt;0),$K$50*$B$62,0)+IF(AND(3=$G$51,$I$51="Y",$K$51&gt;0),$K$51*$B$62,0)</f>
        <v/>
      </c>
      <c r="H316" s="40">
        <f>IF(AND(4=$G$48,$I$48="Y",$K$48&gt;0),$K$48*$B$62,0)+IF(AND(4=$G$49,$I$49="Y",$K$49&gt;0),$K$49*$B$62,0)+IF(AND(4=$G$50,$I$50="Y",$K$50&gt;0),$K$50*$B$62,0)+IF(AND(4=$G$51,$I$51="Y",$K$51&gt;0),$K$51*$B$62,0)</f>
        <v/>
      </c>
      <c r="I316" s="40">
        <f>IF(AND(5=$G$48,$I$48="Y",$K$48&gt;0),$K$48*$B$62,0)+IF(AND(5=$G$49,$I$49="Y",$K$49&gt;0),$K$49*$B$62,0)+IF(AND(5=$G$50,$I$50="Y",$K$50&gt;0),$K$50*$B$62,0)+IF(AND(5=$G$51,$I$51="Y",$K$51&gt;0),$K$51*$B$62,0)</f>
        <v/>
      </c>
      <c r="J316" s="40">
        <f>IF(AND(6=$G$48,$I$48="Y",$K$48&gt;0),$K$48*$B$62,0)+IF(AND(6=$G$49,$I$49="Y",$K$49&gt;0),$K$49*$B$62,0)+IF(AND(6=$G$50,$I$50="Y",$K$50&gt;0),$K$50*$B$62,0)+IF(AND(6=$G$51,$I$51="Y",$K$51&gt;0),$K$51*$B$62,0)</f>
        <v/>
      </c>
      <c r="K316" s="40">
        <f>IF(AND(7=$G$48,$I$48="Y",$K$48&gt;0),$K$48*$B$62,0)+IF(AND(7=$G$49,$I$49="Y",$K$49&gt;0),$K$49*$B$62,0)+IF(AND(7=$G$50,$I$50="Y",$K$50&gt;0),$K$50*$B$62,0)+IF(AND(7=$G$51,$I$51="Y",$K$51&gt;0),$K$51*$B$62,0)</f>
        <v/>
      </c>
      <c r="L316" s="40">
        <f>IF(AND(8=$G$48,$I$48="Y",$K$48&gt;0),$K$48*$B$62,0)+IF(AND(8=$G$49,$I$49="Y",$K$49&gt;0),$K$49*$B$62,0)+IF(AND(8=$G$50,$I$50="Y",$K$50&gt;0),$K$50*$B$62,0)+IF(AND(8=$G$51,$I$51="Y",$K$51&gt;0),$K$51*$B$62,0)</f>
        <v/>
      </c>
      <c r="M316" s="40">
        <f>IF(AND(9=$G$48,$I$48="Y",$K$48&gt;0),$K$48*$B$62,0)+IF(AND(9=$G$49,$I$49="Y",$K$49&gt;0),$K$49*$B$62,0)+IF(AND(9=$G$50,$I$50="Y",$K$50&gt;0),$K$50*$B$62,0)+IF(AND(9=$G$51,$I$51="Y",$K$51&gt;0),$K$51*$B$62,0)</f>
        <v/>
      </c>
      <c r="N316" s="40">
        <f>IF(AND(10=$G$48,$I$48="Y",$K$48&gt;0),$K$48*$B$62,0)+IF(AND(10=$G$49,$I$49="Y",$K$49&gt;0),$K$49*$B$62,0)+IF(AND(10=$G$50,$I$50="Y",$K$50&gt;0),$K$50*$B$62,0)+IF(AND(10=$G$51,$I$51="Y",$K$51&gt;0),$K$51*$B$62,0)</f>
        <v/>
      </c>
      <c r="O316" s="40">
        <f>IF(AND(11=$G$48,$I$48="Y",$K$48&gt;0),$K$48*$B$62,0)+IF(AND(11=$G$49,$I$49="Y",$K$49&gt;0),$K$49*$B$62,0)+IF(AND(11=$G$50,$I$50="Y",$K$50&gt;0),$K$50*$B$62,0)+IF(AND(11=$G$51,$I$51="Y",$K$51&gt;0),$K$51*$B$62,0)</f>
        <v/>
      </c>
      <c r="P316" s="40">
        <f>IF(AND(12=$G$48,$I$48="Y",$K$48&gt;0),$K$48*$B$62,0)+IF(AND(12=$G$49,$I$49="Y",$K$49&gt;0),$K$49*$B$62,0)+IF(AND(12=$G$50,$I$50="Y",$K$50&gt;0),$K$50*$B$62,0)+IF(AND(12=$G$51,$I$51="Y",$K$51&gt;0),$K$51*$B$62,0)</f>
        <v/>
      </c>
      <c r="Q316" s="40">
        <f>IF(AND(13=$G$48,$I$48="Y",$K$48&gt;0),$K$48*$B$62,0)+IF(AND(13=$G$49,$I$49="Y",$K$49&gt;0),$K$49*$B$62,0)+IF(AND(13=$G$50,$I$50="Y",$K$50&gt;0),$K$50*$B$62,0)+IF(AND(13=$G$51,$I$51="Y",$K$51&gt;0),$K$51*$B$62,0)</f>
        <v/>
      </c>
      <c r="R316" s="40">
        <f>IF(AND(14=$G$48,$I$48="Y",$K$48&gt;0),$K$48*$B$62,0)+IF(AND(14=$G$49,$I$49="Y",$K$49&gt;0),$K$49*$B$62,0)+IF(AND(14=$G$50,$I$50="Y",$K$50&gt;0),$K$50*$B$62,0)+IF(AND(14=$G$51,$I$51="Y",$K$51&gt;0),$K$51*$B$62,0)</f>
        <v/>
      </c>
      <c r="S316" s="40">
        <f>IF(AND(15=$G$48,$I$48="Y",$K$48&gt;0),$K$48*$B$62,0)+IF(AND(15=$G$49,$I$49="Y",$K$49&gt;0),$K$49*$B$62,0)+IF(AND(15=$G$50,$I$50="Y",$K$50&gt;0),$K$50*$B$62,0)+IF(AND(15=$G$51,$I$51="Y",$K$51&gt;0),$K$51*$B$62,0)</f>
        <v/>
      </c>
      <c r="T316" s="40">
        <f>IF(AND(16=$G$48,$I$48="Y",$K$48&gt;0),$K$48*$B$62,0)+IF(AND(16=$G$49,$I$49="Y",$K$49&gt;0),$K$49*$B$62,0)+IF(AND(16=$G$50,$I$50="Y",$K$50&gt;0),$K$50*$B$62,0)+IF(AND(16=$G$51,$I$51="Y",$K$51&gt;0),$K$51*$B$62,0)</f>
        <v/>
      </c>
      <c r="U316" s="40">
        <f>IF(AND(17=$G$48,$I$48="Y",$K$48&gt;0),$K$48*$B$62,0)+IF(AND(17=$G$49,$I$49="Y",$K$49&gt;0),$K$49*$B$62,0)+IF(AND(17=$G$50,$I$50="Y",$K$50&gt;0),$K$50*$B$62,0)+IF(AND(17=$G$51,$I$51="Y",$K$51&gt;0),$K$51*$B$62,0)</f>
        <v/>
      </c>
      <c r="V316" s="40">
        <f>IF(AND(18=$G$48,$I$48="Y",$K$48&gt;0),$K$48*$B$62,0)+IF(AND(18=$G$49,$I$49="Y",$K$49&gt;0),$K$49*$B$62,0)+IF(AND(18=$G$50,$I$50="Y",$K$50&gt;0),$K$50*$B$62,0)+IF(AND(18=$G$51,$I$51="Y",$K$51&gt;0),$K$51*$B$62,0)</f>
        <v/>
      </c>
      <c r="W316" s="40">
        <f>IF(AND(19=$G$48,$I$48="Y",$K$48&gt;0),$K$48*$B$62,0)+IF(AND(19=$G$49,$I$49="Y",$K$49&gt;0),$K$49*$B$62,0)+IF(AND(19=$G$50,$I$50="Y",$K$50&gt;0),$K$50*$B$62,0)+IF(AND(19=$G$51,$I$51="Y",$K$51&gt;0),$K$51*$B$62,0)</f>
        <v/>
      </c>
      <c r="X316" s="40">
        <f>IF(AND(20=$G$48,$I$48="Y",$K$48&gt;0),$K$48*$B$62,0)+IF(AND(20=$G$49,$I$49="Y",$K$49&gt;0),$K$49*$B$62,0)+IF(AND(20=$G$50,$I$50="Y",$K$50&gt;0),$K$50*$B$62,0)+IF(AND(20=$G$51,$I$51="Y",$K$51&gt;0),$K$51*$B$62,0)</f>
        <v/>
      </c>
      <c r="Y316" s="40">
        <f>IF(AND(21=$G$48,$I$48="Y",$K$48&gt;0),$K$48*$B$62,0)+IF(AND(21=$G$49,$I$49="Y",$K$49&gt;0),$K$49*$B$62,0)+IF(AND(21=$G$50,$I$50="Y",$K$50&gt;0),$K$50*$B$62,0)+IF(AND(21=$G$51,$I$51="Y",$K$51&gt;0),$K$51*$B$62,0)</f>
        <v/>
      </c>
      <c r="Z316" s="40">
        <f>IF(AND(22=$G$48,$I$48="Y",$K$48&gt;0),$K$48*$B$62,0)+IF(AND(22=$G$49,$I$49="Y",$K$49&gt;0),$K$49*$B$62,0)+IF(AND(22=$G$50,$I$50="Y",$K$50&gt;0),$K$50*$B$62,0)+IF(AND(22=$G$51,$I$51="Y",$K$51&gt;0),$K$51*$B$62,0)</f>
        <v/>
      </c>
      <c r="AA316" s="40">
        <f>IF(AND(23=$G$48,$I$48="Y",$K$48&gt;0),$K$48*$B$62,0)+IF(AND(23=$G$49,$I$49="Y",$K$49&gt;0),$K$49*$B$62,0)+IF(AND(23=$G$50,$I$50="Y",$K$50&gt;0),$K$50*$B$62,0)+IF(AND(23=$G$51,$I$51="Y",$K$51&gt;0),$K$51*$B$62,0)</f>
        <v/>
      </c>
      <c r="AB316" s="40">
        <f>IF(AND(24=$G$48,$I$48="Y",$K$48&gt;0),$K$48*$B$62,0)+IF(AND(24=$G$49,$I$49="Y",$K$49&gt;0),$K$49*$B$62,0)+IF(AND(24=$G$50,$I$50="Y",$K$50&gt;0),$K$50*$B$62,0)+IF(AND(24=$G$51,$I$51="Y",$K$51&gt;0),$K$51*$B$62,0)</f>
        <v/>
      </c>
      <c r="AC316" s="40">
        <f>IF(AND(25=$G$48,$I$48="Y",$K$48&gt;0),$K$48*$B$62,0)+IF(AND(25=$G$49,$I$49="Y",$K$49&gt;0),$K$49*$B$62,0)+IF(AND(25=$G$50,$I$50="Y",$K$50&gt;0),$K$50*$B$62,0)+IF(AND(25=$G$51,$I$51="Y",$K$51&gt;0),$K$51*$B$62,0)</f>
        <v/>
      </c>
      <c r="AD316" s="40">
        <f>IF(AND(26=$G$48,$I$48="Y",$K$48&gt;0),$K$48*$B$62,0)+IF(AND(26=$G$49,$I$49="Y",$K$49&gt;0),$K$49*$B$62,0)+IF(AND(26=$G$50,$I$50="Y",$K$50&gt;0),$K$50*$B$62,0)+IF(AND(26=$G$51,$I$51="Y",$K$51&gt;0),$K$51*$B$62,0)</f>
        <v/>
      </c>
      <c r="AE316" s="40">
        <f>IF(AND(27=$G$48,$I$48="Y",$K$48&gt;0),$K$48*$B$62,0)+IF(AND(27=$G$49,$I$49="Y",$K$49&gt;0),$K$49*$B$62,0)+IF(AND(27=$G$50,$I$50="Y",$K$50&gt;0),$K$50*$B$62,0)+IF(AND(27=$G$51,$I$51="Y",$K$51&gt;0),$K$51*$B$62,0)</f>
        <v/>
      </c>
      <c r="AF316" s="40">
        <f>IF(AND(28=$G$48,$I$48="Y",$K$48&gt;0),$K$48*$B$62,0)+IF(AND(28=$G$49,$I$49="Y",$K$49&gt;0),$K$49*$B$62,0)+IF(AND(28=$G$50,$I$50="Y",$K$50&gt;0),$K$50*$B$62,0)+IF(AND(28=$G$51,$I$51="Y",$K$51&gt;0),$K$51*$B$62,0)</f>
        <v/>
      </c>
      <c r="AG316" s="40">
        <f>IF(AND(29=$G$48,$I$48="Y",$K$48&gt;0),$K$48*$B$62,0)+IF(AND(29=$G$49,$I$49="Y",$K$49&gt;0),$K$49*$B$62,0)+IF(AND(29=$G$50,$I$50="Y",$K$50&gt;0),$K$50*$B$62,0)+IF(AND(29=$G$51,$I$51="Y",$K$51&gt;0),$K$51*$B$62,0)</f>
        <v/>
      </c>
      <c r="AH316" s="40">
        <f>IF(AND(30=$G$48,$I$48="Y",$K$48&gt;0),$K$48*$B$62,0)+IF(AND(30=$G$49,$I$49="Y",$K$49&gt;0),$K$49*$B$62,0)+IF(AND(30=$G$50,$I$50="Y",$K$50&gt;0),$K$50*$B$62,0)+IF(AND(30=$G$51,$I$51="Y",$K$51&gt;0),$K$51*$B$62,0)</f>
        <v/>
      </c>
      <c r="AI316" s="40">
        <f>IF(AND(31=$G$48,$I$48="Y",$K$48&gt;0),$K$48*$B$62,0)+IF(AND(31=$G$49,$I$49="Y",$K$49&gt;0),$K$49*$B$62,0)+IF(AND(31=$G$50,$I$50="Y",$K$50&gt;0),$K$50*$B$62,0)+IF(AND(31=$G$51,$I$51="Y",$K$51&gt;0),$K$51*$B$62,0)</f>
        <v/>
      </c>
      <c r="AJ316" s="40">
        <f>IF(AND(32=$G$48,$I$48="Y",$K$48&gt;0),$K$48*$B$62,0)+IF(AND(32=$G$49,$I$49="Y",$K$49&gt;0),$K$49*$B$62,0)+IF(AND(32=$G$50,$I$50="Y",$K$50&gt;0),$K$50*$B$62,0)+IF(AND(32=$G$51,$I$51="Y",$K$51&gt;0),$K$51*$B$62,0)</f>
        <v/>
      </c>
      <c r="AK316" s="40">
        <f>IF(AND(33=$G$48,$I$48="Y",$K$48&gt;0),$K$48*$B$62,0)+IF(AND(33=$G$49,$I$49="Y",$K$49&gt;0),$K$49*$B$62,0)+IF(AND(33=$G$50,$I$50="Y",$K$50&gt;0),$K$50*$B$62,0)+IF(AND(33=$G$51,$I$51="Y",$K$51&gt;0),$K$51*$B$62,0)</f>
        <v/>
      </c>
      <c r="AL316" s="40">
        <f>IF(AND(34=$G$48,$I$48="Y",$K$48&gt;0),$K$48*$B$62,0)+IF(AND(34=$G$49,$I$49="Y",$K$49&gt;0),$K$49*$B$62,0)+IF(AND(34=$G$50,$I$50="Y",$K$50&gt;0),$K$50*$B$62,0)+IF(AND(34=$G$51,$I$51="Y",$K$51&gt;0),$K$51*$B$62,0)</f>
        <v/>
      </c>
      <c r="AM316" s="40">
        <f>IF(AND(35=$G$48,$I$48="Y",$K$48&gt;0),$K$48*$B$62,0)+IF(AND(35=$G$49,$I$49="Y",$K$49&gt;0),$K$49*$B$62,0)+IF(AND(35=$G$50,$I$50="Y",$K$50&gt;0),$K$50*$B$62,0)+IF(AND(35=$G$51,$I$51="Y",$K$51&gt;0),$K$51*$B$62,0)</f>
        <v/>
      </c>
      <c r="AN316" s="40">
        <f>IF(AND(36=$G$48,$I$48="Y",$K$48&gt;0),$K$48*$B$62,0)+IF(AND(36=$G$49,$I$49="Y",$K$49&gt;0),$K$49*$B$62,0)+IF(AND(36=$G$50,$I$50="Y",$K$50&gt;0),$K$50*$B$62,0)+IF(AND(36=$G$51,$I$51="Y",$K$51&gt;0),$K$51*$B$62,0)</f>
        <v/>
      </c>
      <c r="AO316" s="40">
        <f>IF(AND(37=$G$48,$I$48="Y",$K$48&gt;0),$K$48*$B$62,0)+IF(AND(37=$G$49,$I$49="Y",$K$49&gt;0),$K$49*$B$62,0)+IF(AND(37=$G$50,$I$50="Y",$K$50&gt;0),$K$50*$B$62,0)+IF(AND(37=$G$51,$I$51="Y",$K$51&gt;0),$K$51*$B$62,0)</f>
        <v/>
      </c>
      <c r="AP316" s="40">
        <f>IF(AND(38=$G$48,$I$48="Y",$K$48&gt;0),$K$48*$B$62,0)+IF(AND(38=$G$49,$I$49="Y",$K$49&gt;0),$K$49*$B$62,0)+IF(AND(38=$G$50,$I$50="Y",$K$50&gt;0),$K$50*$B$62,0)+IF(AND(38=$G$51,$I$51="Y",$K$51&gt;0),$K$51*$B$62,0)</f>
        <v/>
      </c>
      <c r="AQ316" s="40">
        <f>IF(AND(39=$G$48,$I$48="Y",$K$48&gt;0),$K$48*$B$62,0)+IF(AND(39=$G$49,$I$49="Y",$K$49&gt;0),$K$49*$B$62,0)+IF(AND(39=$G$50,$I$50="Y",$K$50&gt;0),$K$50*$B$62,0)+IF(AND(39=$G$51,$I$51="Y",$K$51&gt;0),$K$51*$B$62,0)</f>
        <v/>
      </c>
      <c r="AR316" s="40">
        <f>IF(AND(40=$G$48,$I$48="Y",$K$48&gt;0),$K$48*$B$62,0)+IF(AND(40=$G$49,$I$49="Y",$K$49&gt;0),$K$49*$B$62,0)+IF(AND(40=$G$50,$I$50="Y",$K$50&gt;0),$K$50*$B$62,0)+IF(AND(40=$G$51,$I$51="Y",$K$51&gt;0),$K$51*$B$62,0)</f>
        <v/>
      </c>
      <c r="AS316" s="40">
        <f>IF(AND(41=$G$48,$I$48="Y",$K$48&gt;0),$K$48*$B$62,0)+IF(AND(41=$G$49,$I$49="Y",$K$49&gt;0),$K$49*$B$62,0)+IF(AND(41=$G$50,$I$50="Y",$K$50&gt;0),$K$50*$B$62,0)+IF(AND(41=$G$51,$I$51="Y",$K$51&gt;0),$K$51*$B$62,0)</f>
        <v/>
      </c>
      <c r="AT316" s="40">
        <f>IF(AND(42=$G$48,$I$48="Y",$K$48&gt;0),$K$48*$B$62,0)+IF(AND(42=$G$49,$I$49="Y",$K$49&gt;0),$K$49*$B$62,0)+IF(AND(42=$G$50,$I$50="Y",$K$50&gt;0),$K$50*$B$62,0)+IF(AND(42=$G$51,$I$51="Y",$K$51&gt;0),$K$51*$B$62,0)</f>
        <v/>
      </c>
      <c r="AU316" s="40">
        <f>IF(AND(43=$G$48,$I$48="Y",$K$48&gt;0),$K$48*$B$62,0)+IF(AND(43=$G$49,$I$49="Y",$K$49&gt;0),$K$49*$B$62,0)+IF(AND(43=$G$50,$I$50="Y",$K$50&gt;0),$K$50*$B$62,0)+IF(AND(43=$G$51,$I$51="Y",$K$51&gt;0),$K$51*$B$62,0)</f>
        <v/>
      </c>
      <c r="AV316" s="40">
        <f>IF(AND(44=$G$48,$I$48="Y",$K$48&gt;0),$K$48*$B$62,0)+IF(AND(44=$G$49,$I$49="Y",$K$49&gt;0),$K$49*$B$62,0)+IF(AND(44=$G$50,$I$50="Y",$K$50&gt;0),$K$50*$B$62,0)+IF(AND(44=$G$51,$I$51="Y",$K$51&gt;0),$K$51*$B$62,0)</f>
        <v/>
      </c>
      <c r="AW316" s="40">
        <f>IF(AND(45=$G$48,$I$48="Y",$K$48&gt;0),$K$48*$B$62,0)+IF(AND(45=$G$49,$I$49="Y",$K$49&gt;0),$K$49*$B$62,0)+IF(AND(45=$G$50,$I$50="Y",$K$50&gt;0),$K$50*$B$62,0)+IF(AND(45=$G$51,$I$51="Y",$K$51&gt;0),$K$51*$B$62,0)</f>
        <v/>
      </c>
      <c r="AX316" s="40">
        <f>IF(AND(46=$G$48,$I$48="Y",$K$48&gt;0),$K$48*$B$62,0)+IF(AND(46=$G$49,$I$49="Y",$K$49&gt;0),$K$49*$B$62,0)+IF(AND(46=$G$50,$I$50="Y",$K$50&gt;0),$K$50*$B$62,0)+IF(AND(46=$G$51,$I$51="Y",$K$51&gt;0),$K$51*$B$62,0)</f>
        <v/>
      </c>
      <c r="AY316" s="40">
        <f>IF(AND(47=$G$48,$I$48="Y",$K$48&gt;0),$K$48*$B$62,0)+IF(AND(47=$G$49,$I$49="Y",$K$49&gt;0),$K$49*$B$62,0)+IF(AND(47=$G$50,$I$50="Y",$K$50&gt;0),$K$50*$B$62,0)+IF(AND(47=$G$51,$I$51="Y",$K$51&gt;0),$K$51*$B$62,0)</f>
        <v/>
      </c>
      <c r="AZ316" s="40">
        <f>IF(AND(48=$G$48,$I$48="Y",$K$48&gt;0),$K$48*$B$62,0)+IF(AND(48=$G$49,$I$49="Y",$K$49&gt;0),$K$49*$B$62,0)+IF(AND(48=$G$50,$I$50="Y",$K$50&gt;0),$K$50*$B$62,0)+IF(AND(48=$G$51,$I$51="Y",$K$51&gt;0),$K$51*$B$62,0)</f>
        <v/>
      </c>
      <c r="BA316" s="40">
        <f>IF(AND(49=$G$48,$I$48="Y",$K$48&gt;0),$K$48*$B$62,0)+IF(AND(49=$G$49,$I$49="Y",$K$49&gt;0),$K$49*$B$62,0)+IF(AND(49=$G$50,$I$50="Y",$K$50&gt;0),$K$50*$B$62,0)+IF(AND(49=$G$51,$I$51="Y",$K$51&gt;0),$K$51*$B$62,0)</f>
        <v/>
      </c>
      <c r="BB316" s="40">
        <f>IF(AND(50=$G$48,$I$48="Y",$K$48&gt;0),$K$48*$B$62,0)+IF(AND(50=$G$49,$I$49="Y",$K$49&gt;0),$K$49*$B$62,0)+IF(AND(50=$G$50,$I$50="Y",$K$50&gt;0),$K$50*$B$62,0)+IF(AND(50=$G$51,$I$51="Y",$K$51&gt;0),$K$51*$B$62,0)</f>
        <v/>
      </c>
      <c r="BC316" s="40">
        <f>IF(AND(51=$G$48,$I$48="Y",$K$48&gt;0),$K$48*$B$62,0)+IF(AND(51=$G$49,$I$49="Y",$K$49&gt;0),$K$49*$B$62,0)+IF(AND(51=$G$50,$I$50="Y",$K$50&gt;0),$K$50*$B$62,0)+IF(AND(51=$G$51,$I$51="Y",$K$51&gt;0),$K$51*$B$62,0)</f>
        <v/>
      </c>
      <c r="BD316" s="40">
        <f>IF(AND(52=$G$48,$I$48="Y",$K$48&gt;0),$K$48*$B$62,0)+IF(AND(52=$G$49,$I$49="Y",$K$49&gt;0),$K$49*$B$62,0)+IF(AND(52=$G$50,$I$50="Y",$K$50&gt;0),$K$50*$B$62,0)+IF(AND(52=$G$51,$I$51="Y",$K$51&gt;0),$K$51*$B$62,0)</f>
        <v/>
      </c>
    </row>
    <row r="317">
      <c r="A317" s="2" t="inlineStr">
        <is>
          <t xml:space="preserve">   Recruitment and onboarding, per person, in the week that role starts. ⚠️ The wage rows above test w&gt;=From AND w&lt;=To, because a wage is owed EVERY week of the window. This one tests w=From because it is paid ONCE. The two shapes differ on purpose — charged per week it would bill three heads for 33 weeks, not one.</t>
        </is>
      </c>
    </row>
    <row r="318">
      <c r="A318" s="33" t="inlineStr">
        <is>
          <t>Overtime cost this week</t>
        </is>
      </c>
      <c r="B318" s="2" t="inlineStr">
        <is>
          <t>$</t>
        </is>
      </c>
      <c r="E318" s="40">
        <f>E278*$D$49*(1+$B$55)*$B$56+E280*$D$50*(1+$B$55)*$B$56+E282*$D$51*(1+$B$55)*$B$56</f>
        <v/>
      </c>
      <c r="F318" s="40">
        <f>F278*$D$49*(1+$B$55)*$B$56+F280*$D$50*(1+$B$55)*$B$56+F282*$D$51*(1+$B$55)*$B$56</f>
        <v/>
      </c>
      <c r="G318" s="40">
        <f>G278*$D$49*(1+$B$55)*$B$56+G280*$D$50*(1+$B$55)*$B$56+G282*$D$51*(1+$B$55)*$B$56</f>
        <v/>
      </c>
      <c r="H318" s="40">
        <f>H278*$D$49*(1+$B$55)*$B$56+H280*$D$50*(1+$B$55)*$B$56+H282*$D$51*(1+$B$55)*$B$56</f>
        <v/>
      </c>
      <c r="I318" s="40">
        <f>I278*$D$49*(1+$B$55)*$B$56+I280*$D$50*(1+$B$55)*$B$56+I282*$D$51*(1+$B$55)*$B$56</f>
        <v/>
      </c>
      <c r="J318" s="40">
        <f>J278*$D$49*(1+$B$55)*$B$56+J280*$D$50*(1+$B$55)*$B$56+J282*$D$51*(1+$B$55)*$B$56</f>
        <v/>
      </c>
      <c r="K318" s="40">
        <f>K278*$D$49*(1+$B$55)*$B$56+K280*$D$50*(1+$B$55)*$B$56+K282*$D$51*(1+$B$55)*$B$56</f>
        <v/>
      </c>
      <c r="L318" s="40">
        <f>L278*$D$49*(1+$B$55)*$B$56+L280*$D$50*(1+$B$55)*$B$56+L282*$D$51*(1+$B$55)*$B$56</f>
        <v/>
      </c>
      <c r="M318" s="40">
        <f>M278*$D$49*(1+$B$55)*$B$56+M280*$D$50*(1+$B$55)*$B$56+M282*$D$51*(1+$B$55)*$B$56</f>
        <v/>
      </c>
      <c r="N318" s="40">
        <f>N278*$D$49*(1+$B$55)*$B$56+N280*$D$50*(1+$B$55)*$B$56+N282*$D$51*(1+$B$55)*$B$56</f>
        <v/>
      </c>
      <c r="O318" s="40">
        <f>O278*$D$49*(1+$B$55)*$B$56+O280*$D$50*(1+$B$55)*$B$56+O282*$D$51*(1+$B$55)*$B$56</f>
        <v/>
      </c>
      <c r="P318" s="40">
        <f>P278*$D$49*(1+$B$55)*$B$56+P280*$D$50*(1+$B$55)*$B$56+P282*$D$51*(1+$B$55)*$B$56</f>
        <v/>
      </c>
      <c r="Q318" s="40">
        <f>Q278*$D$49*(1+$B$55)*$B$56+Q280*$D$50*(1+$B$55)*$B$56+Q282*$D$51*(1+$B$55)*$B$56</f>
        <v/>
      </c>
      <c r="R318" s="40">
        <f>R278*$D$49*(1+$B$55)*$B$56+R280*$D$50*(1+$B$55)*$B$56+R282*$D$51*(1+$B$55)*$B$56</f>
        <v/>
      </c>
      <c r="S318" s="40">
        <f>S278*$D$49*(1+$B$55)*$B$56+S280*$D$50*(1+$B$55)*$B$56+S282*$D$51*(1+$B$55)*$B$56</f>
        <v/>
      </c>
      <c r="T318" s="40">
        <f>T278*$D$49*(1+$B$55)*$B$56+T280*$D$50*(1+$B$55)*$B$56+T282*$D$51*(1+$B$55)*$B$56</f>
        <v/>
      </c>
      <c r="U318" s="40">
        <f>U278*$D$49*(1+$B$55)*$B$56+U280*$D$50*(1+$B$55)*$B$56+U282*$D$51*(1+$B$55)*$B$56</f>
        <v/>
      </c>
      <c r="V318" s="40">
        <f>V278*$D$49*(1+$B$55)*$B$56+V280*$D$50*(1+$B$55)*$B$56+V282*$D$51*(1+$B$55)*$B$56</f>
        <v/>
      </c>
      <c r="W318" s="40">
        <f>W278*$D$49*(1+$B$55)*$B$56+W280*$D$50*(1+$B$55)*$B$56+W282*$D$51*(1+$B$55)*$B$56</f>
        <v/>
      </c>
      <c r="X318" s="40">
        <f>X278*$D$49*(1+$B$55)*$B$56+X280*$D$50*(1+$B$55)*$B$56+X282*$D$51*(1+$B$55)*$B$56</f>
        <v/>
      </c>
      <c r="Y318" s="40">
        <f>Y278*$D$49*(1+$B$55)*$B$56+Y280*$D$50*(1+$B$55)*$B$56+Y282*$D$51*(1+$B$55)*$B$56</f>
        <v/>
      </c>
      <c r="Z318" s="40">
        <f>Z278*$D$49*(1+$B$55)*$B$56+Z280*$D$50*(1+$B$55)*$B$56+Z282*$D$51*(1+$B$55)*$B$56</f>
        <v/>
      </c>
      <c r="AA318" s="40">
        <f>AA278*$D$49*(1+$B$55)*$B$56+AA280*$D$50*(1+$B$55)*$B$56+AA282*$D$51*(1+$B$55)*$B$56</f>
        <v/>
      </c>
      <c r="AB318" s="40">
        <f>AB278*$D$49*(1+$B$55)*$B$56+AB280*$D$50*(1+$B$55)*$B$56+AB282*$D$51*(1+$B$55)*$B$56</f>
        <v/>
      </c>
      <c r="AC318" s="40">
        <f>AC278*$D$49*(1+$B$55)*$B$56+AC280*$D$50*(1+$B$55)*$B$56+AC282*$D$51*(1+$B$55)*$B$56</f>
        <v/>
      </c>
      <c r="AD318" s="40">
        <f>AD278*$D$49*(1+$B$55)*$B$56+AD280*$D$50*(1+$B$55)*$B$56+AD282*$D$51*(1+$B$55)*$B$56</f>
        <v/>
      </c>
      <c r="AE318" s="40">
        <f>AE278*$D$49*(1+$B$55)*$B$56+AE280*$D$50*(1+$B$55)*$B$56+AE282*$D$51*(1+$B$55)*$B$56</f>
        <v/>
      </c>
      <c r="AF318" s="40">
        <f>AF278*$D$49*(1+$B$55)*$B$56+AF280*$D$50*(1+$B$55)*$B$56+AF282*$D$51*(1+$B$55)*$B$56</f>
        <v/>
      </c>
      <c r="AG318" s="40">
        <f>AG278*$D$49*(1+$B$55)*$B$56+AG280*$D$50*(1+$B$55)*$B$56+AG282*$D$51*(1+$B$55)*$B$56</f>
        <v/>
      </c>
      <c r="AH318" s="40">
        <f>AH278*$D$49*(1+$B$55)*$B$56+AH280*$D$50*(1+$B$55)*$B$56+AH282*$D$51*(1+$B$55)*$B$56</f>
        <v/>
      </c>
      <c r="AI318" s="40">
        <f>AI278*$D$49*(1+$B$55)*$B$56+AI280*$D$50*(1+$B$55)*$B$56+AI282*$D$51*(1+$B$55)*$B$56</f>
        <v/>
      </c>
      <c r="AJ318" s="40">
        <f>AJ278*$D$49*(1+$B$55)*$B$56+AJ280*$D$50*(1+$B$55)*$B$56+AJ282*$D$51*(1+$B$55)*$B$56</f>
        <v/>
      </c>
      <c r="AK318" s="40">
        <f>AK278*$D$49*(1+$B$55)*$B$56+AK280*$D$50*(1+$B$55)*$B$56+AK282*$D$51*(1+$B$55)*$B$56</f>
        <v/>
      </c>
      <c r="AL318" s="40">
        <f>AL278*$D$49*(1+$B$55)*$B$56+AL280*$D$50*(1+$B$55)*$B$56+AL282*$D$51*(1+$B$55)*$B$56</f>
        <v/>
      </c>
      <c r="AM318" s="40">
        <f>AM278*$D$49*(1+$B$55)*$B$56+AM280*$D$50*(1+$B$55)*$B$56+AM282*$D$51*(1+$B$55)*$B$56</f>
        <v/>
      </c>
      <c r="AN318" s="40">
        <f>AN278*$D$49*(1+$B$55)*$B$56+AN280*$D$50*(1+$B$55)*$B$56+AN282*$D$51*(1+$B$55)*$B$56</f>
        <v/>
      </c>
      <c r="AO318" s="40">
        <f>AO278*$D$49*(1+$B$55)*$B$56+AO280*$D$50*(1+$B$55)*$B$56+AO282*$D$51*(1+$B$55)*$B$56</f>
        <v/>
      </c>
      <c r="AP318" s="40">
        <f>AP278*$D$49*(1+$B$55)*$B$56+AP280*$D$50*(1+$B$55)*$B$56+AP282*$D$51*(1+$B$55)*$B$56</f>
        <v/>
      </c>
      <c r="AQ318" s="40">
        <f>AQ278*$D$49*(1+$B$55)*$B$56+AQ280*$D$50*(1+$B$55)*$B$56+AQ282*$D$51*(1+$B$55)*$B$56</f>
        <v/>
      </c>
      <c r="AR318" s="40">
        <f>AR278*$D$49*(1+$B$55)*$B$56+AR280*$D$50*(1+$B$55)*$B$56+AR282*$D$51*(1+$B$55)*$B$56</f>
        <v/>
      </c>
      <c r="AS318" s="40">
        <f>AS278*$D$49*(1+$B$55)*$B$56+AS280*$D$50*(1+$B$55)*$B$56+AS282*$D$51*(1+$B$55)*$B$56</f>
        <v/>
      </c>
      <c r="AT318" s="40">
        <f>AT278*$D$49*(1+$B$55)*$B$56+AT280*$D$50*(1+$B$55)*$B$56+AT282*$D$51*(1+$B$55)*$B$56</f>
        <v/>
      </c>
      <c r="AU318" s="40">
        <f>AU278*$D$49*(1+$B$55)*$B$56+AU280*$D$50*(1+$B$55)*$B$56+AU282*$D$51*(1+$B$55)*$B$56</f>
        <v/>
      </c>
      <c r="AV318" s="40">
        <f>AV278*$D$49*(1+$B$55)*$B$56+AV280*$D$50*(1+$B$55)*$B$56+AV282*$D$51*(1+$B$55)*$B$56</f>
        <v/>
      </c>
      <c r="AW318" s="40">
        <f>AW278*$D$49*(1+$B$55)*$B$56+AW280*$D$50*(1+$B$55)*$B$56+AW282*$D$51*(1+$B$55)*$B$56</f>
        <v/>
      </c>
      <c r="AX318" s="40">
        <f>AX278*$D$49*(1+$B$55)*$B$56+AX280*$D$50*(1+$B$55)*$B$56+AX282*$D$51*(1+$B$55)*$B$56</f>
        <v/>
      </c>
      <c r="AY318" s="40">
        <f>AY278*$D$49*(1+$B$55)*$B$56+AY280*$D$50*(1+$B$55)*$B$56+AY282*$D$51*(1+$B$55)*$B$56</f>
        <v/>
      </c>
      <c r="AZ318" s="40">
        <f>AZ278*$D$49*(1+$B$55)*$B$56+AZ280*$D$50*(1+$B$55)*$B$56+AZ282*$D$51*(1+$B$55)*$B$56</f>
        <v/>
      </c>
      <c r="BA318" s="40">
        <f>BA278*$D$49*(1+$B$55)*$B$56+BA280*$D$50*(1+$B$55)*$B$56+BA282*$D$51*(1+$B$55)*$B$56</f>
        <v/>
      </c>
      <c r="BB318" s="40">
        <f>BB278*$D$49*(1+$B$55)*$B$56+BB280*$D$50*(1+$B$55)*$B$56+BB282*$D$51*(1+$B$55)*$B$56</f>
        <v/>
      </c>
      <c r="BC318" s="40">
        <f>BC278*$D$49*(1+$B$55)*$B$56+BC280*$D$50*(1+$B$55)*$B$56+BC282*$D$51*(1+$B$55)*$B$56</f>
        <v/>
      </c>
      <c r="BD318" s="40">
        <f>BD278*$D$49*(1+$B$55)*$B$56+BD280*$D$50*(1+$B$55)*$B$56+BD282*$D$51*(1+$B$55)*$B$56</f>
        <v/>
      </c>
    </row>
    <row r="319">
      <c r="A319" s="2" t="inlineStr">
        <is>
          <t xml:space="preserve">   ⚠️ FULL rate, not the premium above base pay — the wage bill pays the stated hours, these are hours beyond them.</t>
        </is>
      </c>
    </row>
    <row r="320">
      <c r="A320" s="33" t="inlineStr">
        <is>
          <t>Piece-rate cost — per lb every week, + the fixed cost ONCE</t>
        </is>
      </c>
      <c r="B320" s="2" t="inlineStr">
        <is>
          <t>$</t>
        </is>
      </c>
      <c r="E320" s="40">
        <f>E79*$F$72+E80*$F$73+E81*$F$74+IF(1=$B$67,IF($G$67="Y",1,$B$68)*$F$67,0)</f>
        <v/>
      </c>
      <c r="F320" s="40">
        <f>F79*$F$72+F80*$F$73+F81*$F$74+IF(2=$B$67,IF($G$67="Y",1,$B$68)*$F$67,0)</f>
        <v/>
      </c>
      <c r="G320" s="40">
        <f>G79*$F$72+G80*$F$73+G81*$F$74+IF(3=$B$67,IF($G$67="Y",1,$B$68)*$F$67,0)</f>
        <v/>
      </c>
      <c r="H320" s="40">
        <f>H79*$F$72+H80*$F$73+H81*$F$74+IF(4=$B$67,IF($G$67="Y",1,$B$68)*$F$67,0)</f>
        <v/>
      </c>
      <c r="I320" s="40">
        <f>I79*$F$72+I80*$F$73+I81*$F$74+IF(5=$B$67,IF($G$67="Y",1,$B$68)*$F$67,0)</f>
        <v/>
      </c>
      <c r="J320" s="40">
        <f>J79*$F$72+J80*$F$73+J81*$F$74+IF(6=$B$67,IF($G$67="Y",1,$B$68)*$F$67,0)</f>
        <v/>
      </c>
      <c r="K320" s="40">
        <f>K79*$F$72+K80*$F$73+K81*$F$74+IF(7=$B$67,IF($G$67="Y",1,$B$68)*$F$67,0)</f>
        <v/>
      </c>
      <c r="L320" s="40">
        <f>L79*$F$72+L80*$F$73+L81*$F$74+IF(8=$B$67,IF($G$67="Y",1,$B$68)*$F$67,0)</f>
        <v/>
      </c>
      <c r="M320" s="40">
        <f>M79*$F$72+M80*$F$73+M81*$F$74+IF(9=$B$67,IF($G$67="Y",1,$B$68)*$F$67,0)</f>
        <v/>
      </c>
      <c r="N320" s="40">
        <f>N79*$F$72+N80*$F$73+N81*$F$74+IF(10=$B$67,IF($G$67="Y",1,$B$68)*$F$67,0)</f>
        <v/>
      </c>
      <c r="O320" s="40">
        <f>O79*$F$72+O80*$F$73+O81*$F$74+IF(11=$B$67,IF($G$67="Y",1,$B$68)*$F$67,0)</f>
        <v/>
      </c>
      <c r="P320" s="40">
        <f>P79*$F$72+P80*$F$73+P81*$F$74+IF(12=$B$67,IF($G$67="Y",1,$B$68)*$F$67,0)</f>
        <v/>
      </c>
      <c r="Q320" s="40">
        <f>Q79*$F$72+Q80*$F$73+Q81*$F$74+IF(13=$B$67,IF($G$67="Y",1,$B$68)*$F$67,0)</f>
        <v/>
      </c>
      <c r="R320" s="40">
        <f>R79*$F$72+R80*$F$73+R81*$F$74+IF(14=$B$67,IF($G$67="Y",1,$B$68)*$F$67,0)</f>
        <v/>
      </c>
      <c r="S320" s="40">
        <f>S79*$F$72+S80*$F$73+S81*$F$74+IF(15=$B$67,IF($G$67="Y",1,$B$68)*$F$67,0)</f>
        <v/>
      </c>
      <c r="T320" s="40">
        <f>T79*$F$72+T80*$F$73+T81*$F$74+IF(16=$B$67,IF($G$67="Y",1,$B$68)*$F$67,0)</f>
        <v/>
      </c>
      <c r="U320" s="40">
        <f>U79*$F$72+U80*$F$73+U81*$F$74+IF(17=$B$67,IF($G$67="Y",1,$B$68)*$F$67,0)</f>
        <v/>
      </c>
      <c r="V320" s="40">
        <f>V79*$F$72+V80*$F$73+V81*$F$74+IF(18=$B$67,IF($G$67="Y",1,$B$68)*$F$67,0)</f>
        <v/>
      </c>
      <c r="W320" s="40">
        <f>W79*$F$72+W80*$F$73+W81*$F$74+IF(19=$B$67,IF($G$67="Y",1,$B$68)*$F$67,0)</f>
        <v/>
      </c>
      <c r="X320" s="40">
        <f>X79*$F$72+X80*$F$73+X81*$F$74+IF(20=$B$67,IF($G$67="Y",1,$B$68)*$F$67,0)</f>
        <v/>
      </c>
      <c r="Y320" s="40">
        <f>Y79*$F$72+Y80*$F$73+Y81*$F$74+IF(21=$B$67,IF($G$67="Y",1,$B$68)*$F$67,0)</f>
        <v/>
      </c>
      <c r="Z320" s="40">
        <f>Z79*$F$72+Z80*$F$73+Z81*$F$74+IF(22=$B$67,IF($G$67="Y",1,$B$68)*$F$67,0)</f>
        <v/>
      </c>
      <c r="AA320" s="40">
        <f>AA79*$F$72+AA80*$F$73+AA81*$F$74+IF(23=$B$67,IF($G$67="Y",1,$B$68)*$F$67,0)</f>
        <v/>
      </c>
      <c r="AB320" s="40">
        <f>AB79*$F$72+AB80*$F$73+AB81*$F$74+IF(24=$B$67,IF($G$67="Y",1,$B$68)*$F$67,0)</f>
        <v/>
      </c>
      <c r="AC320" s="40">
        <f>AC79*$F$72+AC80*$F$73+AC81*$F$74+IF(25=$B$67,IF($G$67="Y",1,$B$68)*$F$67,0)</f>
        <v/>
      </c>
      <c r="AD320" s="40">
        <f>AD79*$F$72+AD80*$F$73+AD81*$F$74+IF(26=$B$67,IF($G$67="Y",1,$B$68)*$F$67,0)</f>
        <v/>
      </c>
      <c r="AE320" s="40">
        <f>AE79*$F$72+AE80*$F$73+AE81*$F$74+IF(27=$B$67,IF($G$67="Y",1,$B$68)*$F$67,0)</f>
        <v/>
      </c>
      <c r="AF320" s="40">
        <f>AF79*$F$72+AF80*$F$73+AF81*$F$74+IF(28=$B$67,IF($G$67="Y",1,$B$68)*$F$67,0)</f>
        <v/>
      </c>
      <c r="AG320" s="40">
        <f>AG79*$F$72+AG80*$F$73+AG81*$F$74+IF(29=$B$67,IF($G$67="Y",1,$B$68)*$F$67,0)</f>
        <v/>
      </c>
      <c r="AH320" s="40">
        <f>AH79*$F$72+AH80*$F$73+AH81*$F$74+IF(30=$B$67,IF($G$67="Y",1,$B$68)*$F$67,0)</f>
        <v/>
      </c>
      <c r="AI320" s="40">
        <f>AI79*$F$72+AI80*$F$73+AI81*$F$74+IF(31=$B$67,IF($G$67="Y",1,$B$68)*$F$67,0)</f>
        <v/>
      </c>
      <c r="AJ320" s="40">
        <f>AJ79*$F$72+AJ80*$F$73+AJ81*$F$74+IF(32=$B$67,IF($G$67="Y",1,$B$68)*$F$67,0)</f>
        <v/>
      </c>
      <c r="AK320" s="40">
        <f>AK79*$F$72+AK80*$F$73+AK81*$F$74+IF(33=$B$67,IF($G$67="Y",1,$B$68)*$F$67,0)</f>
        <v/>
      </c>
      <c r="AL320" s="40">
        <f>AL79*$F$72+AL80*$F$73+AL81*$F$74+IF(34=$B$67,IF($G$67="Y",1,$B$68)*$F$67,0)</f>
        <v/>
      </c>
      <c r="AM320" s="40">
        <f>AM79*$F$72+AM80*$F$73+AM81*$F$74+IF(35=$B$67,IF($G$67="Y",1,$B$68)*$F$67,0)</f>
        <v/>
      </c>
      <c r="AN320" s="40">
        <f>AN79*$F$72+AN80*$F$73+AN81*$F$74+IF(36=$B$67,IF($G$67="Y",1,$B$68)*$F$67,0)</f>
        <v/>
      </c>
      <c r="AO320" s="40">
        <f>AO79*$F$72+AO80*$F$73+AO81*$F$74+IF(37=$B$67,IF($G$67="Y",1,$B$68)*$F$67,0)</f>
        <v/>
      </c>
      <c r="AP320" s="40">
        <f>AP79*$F$72+AP80*$F$73+AP81*$F$74+IF(38=$B$67,IF($G$67="Y",1,$B$68)*$F$67,0)</f>
        <v/>
      </c>
      <c r="AQ320" s="40">
        <f>AQ79*$F$72+AQ80*$F$73+AQ81*$F$74+IF(39=$B$67,IF($G$67="Y",1,$B$68)*$F$67,0)</f>
        <v/>
      </c>
      <c r="AR320" s="40">
        <f>AR79*$F$72+AR80*$F$73+AR81*$F$74+IF(40=$B$67,IF($G$67="Y",1,$B$68)*$F$67,0)</f>
        <v/>
      </c>
      <c r="AS320" s="40">
        <f>AS79*$F$72+AS80*$F$73+AS81*$F$74+IF(41=$B$67,IF($G$67="Y",1,$B$68)*$F$67,0)</f>
        <v/>
      </c>
      <c r="AT320" s="40">
        <f>AT79*$F$72+AT80*$F$73+AT81*$F$74+IF(42=$B$67,IF($G$67="Y",1,$B$68)*$F$67,0)</f>
        <v/>
      </c>
      <c r="AU320" s="40">
        <f>AU79*$F$72+AU80*$F$73+AU81*$F$74+IF(43=$B$67,IF($G$67="Y",1,$B$68)*$F$67,0)</f>
        <v/>
      </c>
      <c r="AV320" s="40">
        <f>AV79*$F$72+AV80*$F$73+AV81*$F$74+IF(44=$B$67,IF($G$67="Y",1,$B$68)*$F$67,0)</f>
        <v/>
      </c>
      <c r="AW320" s="40">
        <f>AW79*$F$72+AW80*$F$73+AW81*$F$74+IF(45=$B$67,IF($G$67="Y",1,$B$68)*$F$67,0)</f>
        <v/>
      </c>
      <c r="AX320" s="40">
        <f>AX79*$F$72+AX80*$F$73+AX81*$F$74+IF(46=$B$67,IF($G$67="Y",1,$B$68)*$F$67,0)</f>
        <v/>
      </c>
      <c r="AY320" s="40">
        <f>AY79*$F$72+AY80*$F$73+AY81*$F$74+IF(47=$B$67,IF($G$67="Y",1,$B$68)*$F$67,0)</f>
        <v/>
      </c>
      <c r="AZ320" s="40">
        <f>AZ79*$F$72+AZ80*$F$73+AZ81*$F$74+IF(48=$B$67,IF($G$67="Y",1,$B$68)*$F$67,0)</f>
        <v/>
      </c>
      <c r="BA320" s="40">
        <f>BA79*$F$72+BA80*$F$73+BA81*$F$74+IF(49=$B$67,IF($G$67="Y",1,$B$68)*$F$67,0)</f>
        <v/>
      </c>
      <c r="BB320" s="40">
        <f>BB79*$F$72+BB80*$F$73+BB81*$F$74+IF(50=$B$67,IF($G$67="Y",1,$B$68)*$F$67,0)</f>
        <v/>
      </c>
      <c r="BC320" s="40">
        <f>BC79*$F$72+BC80*$F$73+BC81*$F$74+IF(51=$B$67,IF($G$67="Y",1,$B$68)*$F$67,0)</f>
        <v/>
      </c>
      <c r="BD320" s="40">
        <f>BD79*$F$72+BD80*$F$73+BD81*$F$74+IF(52=$B$67,IF($G$67="Y",1,$B$68)*$F$67,0)</f>
        <v/>
      </c>
    </row>
    <row r="321">
      <c r="A321" s="2" t="inlineStr">
        <is>
          <t xml:space="preserve">   COGS, not payroll: you pay for what they pick. ⚠️ The fixed cost lands ONCE, in the first week of their window — which is why its IF tests w=From and not the whole window. Charged per week it would bill $2,500 fifty-two times.</t>
        </is>
      </c>
    </row>
    <row r="323">
      <c r="A323" s="3" t="inlineStr">
        <is>
          <t>SPINACH  —  cold store</t>
        </is>
      </c>
      <c r="B323" s="53" t="inlineStr"/>
    </row>
    <row r="324">
      <c r="A324" s="36" t="inlineStr">
        <is>
          <t>Week</t>
        </is>
      </c>
      <c r="B324" s="37" t="inlineStr"/>
      <c r="E324" s="38" t="n">
        <v>1</v>
      </c>
      <c r="F324" s="38" t="n">
        <v>2</v>
      </c>
      <c r="G324" s="38" t="n">
        <v>3</v>
      </c>
      <c r="H324" s="38" t="n">
        <v>4</v>
      </c>
      <c r="I324" s="38" t="n">
        <v>5</v>
      </c>
      <c r="J324" s="38" t="n">
        <v>6</v>
      </c>
      <c r="K324" s="38" t="n">
        <v>7</v>
      </c>
      <c r="L324" s="38" t="n">
        <v>8</v>
      </c>
      <c r="M324" s="38" t="n">
        <v>9</v>
      </c>
      <c r="N324" s="38" t="n">
        <v>10</v>
      </c>
      <c r="O324" s="38" t="n">
        <v>11</v>
      </c>
      <c r="P324" s="38" t="n">
        <v>12</v>
      </c>
      <c r="Q324" s="38" t="n">
        <v>13</v>
      </c>
      <c r="R324" s="38" t="n">
        <v>14</v>
      </c>
      <c r="S324" s="38" t="n">
        <v>15</v>
      </c>
      <c r="T324" s="38" t="n">
        <v>16</v>
      </c>
      <c r="U324" s="38" t="n">
        <v>17</v>
      </c>
      <c r="V324" s="38" t="n">
        <v>18</v>
      </c>
      <c r="W324" s="38" t="n">
        <v>19</v>
      </c>
      <c r="X324" s="38" t="n">
        <v>20</v>
      </c>
      <c r="Y324" s="38" t="n">
        <v>21</v>
      </c>
      <c r="Z324" s="38" t="n">
        <v>22</v>
      </c>
      <c r="AA324" s="38" t="n">
        <v>23</v>
      </c>
      <c r="AB324" s="38" t="n">
        <v>24</v>
      </c>
      <c r="AC324" s="38" t="n">
        <v>25</v>
      </c>
      <c r="AD324" s="38" t="n">
        <v>26</v>
      </c>
      <c r="AE324" s="38" t="n">
        <v>27</v>
      </c>
      <c r="AF324" s="38" t="n">
        <v>28</v>
      </c>
      <c r="AG324" s="38" t="n">
        <v>29</v>
      </c>
      <c r="AH324" s="38" t="n">
        <v>30</v>
      </c>
      <c r="AI324" s="38" t="n">
        <v>31</v>
      </c>
      <c r="AJ324" s="38" t="n">
        <v>32</v>
      </c>
      <c r="AK324" s="38" t="n">
        <v>33</v>
      </c>
      <c r="AL324" s="38" t="n">
        <v>34</v>
      </c>
      <c r="AM324" s="38" t="n">
        <v>35</v>
      </c>
      <c r="AN324" s="38" t="n">
        <v>36</v>
      </c>
      <c r="AO324" s="38" t="n">
        <v>37</v>
      </c>
      <c r="AP324" s="38" t="n">
        <v>38</v>
      </c>
      <c r="AQ324" s="38" t="n">
        <v>39</v>
      </c>
      <c r="AR324" s="38" t="n">
        <v>40</v>
      </c>
      <c r="AS324" s="38" t="n">
        <v>41</v>
      </c>
      <c r="AT324" s="38" t="n">
        <v>42</v>
      </c>
      <c r="AU324" s="38" t="n">
        <v>43</v>
      </c>
      <c r="AV324" s="38" t="n">
        <v>44</v>
      </c>
      <c r="AW324" s="38" t="n">
        <v>45</v>
      </c>
      <c r="AX324" s="38" t="n">
        <v>46</v>
      </c>
      <c r="AY324" s="38" t="n">
        <v>47</v>
      </c>
      <c r="AZ324" s="38" t="n">
        <v>48</v>
      </c>
      <c r="BA324" s="38" t="n">
        <v>49</v>
      </c>
      <c r="BB324" s="38" t="n">
        <v>50</v>
      </c>
      <c r="BC324" s="38" t="n">
        <v>51</v>
      </c>
      <c r="BD324" s="38" t="n">
        <v>52</v>
      </c>
    </row>
    <row r="325">
      <c r="A325" s="4" t="inlineStr">
        <is>
          <t>Packed out -&gt; INTO the store</t>
        </is>
      </c>
      <c r="B325" s="2" t="inlineStr">
        <is>
          <t>lb</t>
        </is>
      </c>
      <c r="E325" s="40">
        <f>SUMPRODUCT(($B$91:$B$230="Spinach")*(E$91:E$230="H")*$C$91:$C$230)*$B$17/$J$17*$C$17</f>
        <v/>
      </c>
      <c r="F325" s="40">
        <f>SUMPRODUCT(($B$91:$B$230="Spinach")*(F$91:F$230="H")*$C$91:$C$230)*$B$17/$J$17*$C$17</f>
        <v/>
      </c>
      <c r="G325" s="40">
        <f>SUMPRODUCT(($B$91:$B$230="Spinach")*(G$91:G$230="H")*$C$91:$C$230)*$B$17/$J$17*$C$17</f>
        <v/>
      </c>
      <c r="H325" s="40">
        <f>SUMPRODUCT(($B$91:$B$230="Spinach")*(H$91:H$230="H")*$C$91:$C$230)*$B$17/$J$17*$C$17</f>
        <v/>
      </c>
      <c r="I325" s="40">
        <f>SUMPRODUCT(($B$91:$B$230="Spinach")*(I$91:I$230="H")*$C$91:$C$230)*$B$17/$J$17*$C$17</f>
        <v/>
      </c>
      <c r="J325" s="40">
        <f>SUMPRODUCT(($B$91:$B$230="Spinach")*(J$91:J$230="H")*$C$91:$C$230)*$B$17/$J$17*$C$17</f>
        <v/>
      </c>
      <c r="K325" s="40">
        <f>SUMPRODUCT(($B$91:$B$230="Spinach")*(K$91:K$230="H")*$C$91:$C$230)*$B$17/$J$17*$C$17</f>
        <v/>
      </c>
      <c r="L325" s="40">
        <f>SUMPRODUCT(($B$91:$B$230="Spinach")*(L$91:L$230="H")*$C$91:$C$230)*$B$17/$J$17*$C$17</f>
        <v/>
      </c>
      <c r="M325" s="40">
        <f>SUMPRODUCT(($B$91:$B$230="Spinach")*(M$91:M$230="H")*$C$91:$C$230)*$B$17/$J$17*$C$17</f>
        <v/>
      </c>
      <c r="N325" s="40">
        <f>SUMPRODUCT(($B$91:$B$230="Spinach")*(N$91:N$230="H")*$C$91:$C$230)*$B$17/$J$17*$C$17</f>
        <v/>
      </c>
      <c r="O325" s="40">
        <f>SUMPRODUCT(($B$91:$B$230="Spinach")*(O$91:O$230="H")*$C$91:$C$230)*$B$17/$J$17*$C$17</f>
        <v/>
      </c>
      <c r="P325" s="40">
        <f>SUMPRODUCT(($B$91:$B$230="Spinach")*(P$91:P$230="H")*$C$91:$C$230)*$B$17/$J$17*$C$17</f>
        <v/>
      </c>
      <c r="Q325" s="40">
        <f>SUMPRODUCT(($B$91:$B$230="Spinach")*(Q$91:Q$230="H")*$C$91:$C$230)*$B$17/$J$17*$C$17</f>
        <v/>
      </c>
      <c r="R325" s="40">
        <f>SUMPRODUCT(($B$91:$B$230="Spinach")*(R$91:R$230="H")*$C$91:$C$230)*$B$17/$J$17*$C$17</f>
        <v/>
      </c>
      <c r="S325" s="40">
        <f>SUMPRODUCT(($B$91:$B$230="Spinach")*(S$91:S$230="H")*$C$91:$C$230)*$B$17/$J$17*$C$17</f>
        <v/>
      </c>
      <c r="T325" s="40">
        <f>SUMPRODUCT(($B$91:$B$230="Spinach")*(T$91:T$230="H")*$C$91:$C$230)*$B$17/$J$17*$C$17</f>
        <v/>
      </c>
      <c r="U325" s="40">
        <f>SUMPRODUCT(($B$91:$B$230="Spinach")*(U$91:U$230="H")*$C$91:$C$230)*$B$17/$J$17*$C$17</f>
        <v/>
      </c>
      <c r="V325" s="40">
        <f>SUMPRODUCT(($B$91:$B$230="Spinach")*(V$91:V$230="H")*$C$91:$C$230)*$B$17/$J$17*$C$17</f>
        <v/>
      </c>
      <c r="W325" s="40">
        <f>SUMPRODUCT(($B$91:$B$230="Spinach")*(W$91:W$230="H")*$C$91:$C$230)*$B$17/$J$17*$C$17</f>
        <v/>
      </c>
      <c r="X325" s="40">
        <f>SUMPRODUCT(($B$91:$B$230="Spinach")*(X$91:X$230="H")*$C$91:$C$230)*$B$17/$J$17*$C$17</f>
        <v/>
      </c>
      <c r="Y325" s="40">
        <f>SUMPRODUCT(($B$91:$B$230="Spinach")*(Y$91:Y$230="H")*$C$91:$C$230)*$B$17/$J$17*$C$17</f>
        <v/>
      </c>
      <c r="Z325" s="40">
        <f>SUMPRODUCT(($B$91:$B$230="Spinach")*(Z$91:Z$230="H")*$C$91:$C$230)*$B$17/$J$17*$C$17</f>
        <v/>
      </c>
      <c r="AA325" s="40">
        <f>SUMPRODUCT(($B$91:$B$230="Spinach")*(AA$91:AA$230="H")*$C$91:$C$230)*$B$17/$J$17*$C$17</f>
        <v/>
      </c>
      <c r="AB325" s="40">
        <f>SUMPRODUCT(($B$91:$B$230="Spinach")*(AB$91:AB$230="H")*$C$91:$C$230)*$B$17/$J$17*$C$17</f>
        <v/>
      </c>
      <c r="AC325" s="40">
        <f>SUMPRODUCT(($B$91:$B$230="Spinach")*(AC$91:AC$230="H")*$C$91:$C$230)*$B$17/$J$17*$C$17</f>
        <v/>
      </c>
      <c r="AD325" s="40">
        <f>SUMPRODUCT(($B$91:$B$230="Spinach")*(AD$91:AD$230="H")*$C$91:$C$230)*$B$17/$J$17*$C$17</f>
        <v/>
      </c>
      <c r="AE325" s="40">
        <f>SUMPRODUCT(($B$91:$B$230="Spinach")*(AE$91:AE$230="H")*$C$91:$C$230)*$B$17/$J$17*$C$17</f>
        <v/>
      </c>
      <c r="AF325" s="40">
        <f>SUMPRODUCT(($B$91:$B$230="Spinach")*(AF$91:AF$230="H")*$C$91:$C$230)*$B$17/$J$17*$C$17</f>
        <v/>
      </c>
      <c r="AG325" s="40">
        <f>SUMPRODUCT(($B$91:$B$230="Spinach")*(AG$91:AG$230="H")*$C$91:$C$230)*$B$17/$J$17*$C$17</f>
        <v/>
      </c>
      <c r="AH325" s="40">
        <f>SUMPRODUCT(($B$91:$B$230="Spinach")*(AH$91:AH$230="H")*$C$91:$C$230)*$B$17/$J$17*$C$17</f>
        <v/>
      </c>
      <c r="AI325" s="40">
        <f>SUMPRODUCT(($B$91:$B$230="Spinach")*(AI$91:AI$230="H")*$C$91:$C$230)*$B$17/$J$17*$C$17</f>
        <v/>
      </c>
      <c r="AJ325" s="40">
        <f>SUMPRODUCT(($B$91:$B$230="Spinach")*(AJ$91:AJ$230="H")*$C$91:$C$230)*$B$17/$J$17*$C$17</f>
        <v/>
      </c>
      <c r="AK325" s="40">
        <f>SUMPRODUCT(($B$91:$B$230="Spinach")*(AK$91:AK$230="H")*$C$91:$C$230)*$B$17/$J$17*$C$17</f>
        <v/>
      </c>
      <c r="AL325" s="40">
        <f>SUMPRODUCT(($B$91:$B$230="Spinach")*(AL$91:AL$230="H")*$C$91:$C$230)*$B$17/$J$17*$C$17</f>
        <v/>
      </c>
      <c r="AM325" s="40">
        <f>SUMPRODUCT(($B$91:$B$230="Spinach")*(AM$91:AM$230="H")*$C$91:$C$230)*$B$17/$J$17*$C$17</f>
        <v/>
      </c>
      <c r="AN325" s="40">
        <f>SUMPRODUCT(($B$91:$B$230="Spinach")*(AN$91:AN$230="H")*$C$91:$C$230)*$B$17/$J$17*$C$17</f>
        <v/>
      </c>
      <c r="AO325" s="40">
        <f>SUMPRODUCT(($B$91:$B$230="Spinach")*(AO$91:AO$230="H")*$C$91:$C$230)*$B$17/$J$17*$C$17</f>
        <v/>
      </c>
      <c r="AP325" s="40">
        <f>SUMPRODUCT(($B$91:$B$230="Spinach")*(AP$91:AP$230="H")*$C$91:$C$230)*$B$17/$J$17*$C$17</f>
        <v/>
      </c>
      <c r="AQ325" s="40">
        <f>SUMPRODUCT(($B$91:$B$230="Spinach")*(AQ$91:AQ$230="H")*$C$91:$C$230)*$B$17/$J$17*$C$17</f>
        <v/>
      </c>
      <c r="AR325" s="40">
        <f>SUMPRODUCT(($B$91:$B$230="Spinach")*(AR$91:AR$230="H")*$C$91:$C$230)*$B$17/$J$17*$C$17</f>
        <v/>
      </c>
      <c r="AS325" s="40">
        <f>SUMPRODUCT(($B$91:$B$230="Spinach")*(AS$91:AS$230="H")*$C$91:$C$230)*$B$17/$J$17*$C$17</f>
        <v/>
      </c>
      <c r="AT325" s="40">
        <f>SUMPRODUCT(($B$91:$B$230="Spinach")*(AT$91:AT$230="H")*$C$91:$C$230)*$B$17/$J$17*$C$17</f>
        <v/>
      </c>
      <c r="AU325" s="40">
        <f>SUMPRODUCT(($B$91:$B$230="Spinach")*(AU$91:AU$230="H")*$C$91:$C$230)*$B$17/$J$17*$C$17</f>
        <v/>
      </c>
      <c r="AV325" s="40">
        <f>SUMPRODUCT(($B$91:$B$230="Spinach")*(AV$91:AV$230="H")*$C$91:$C$230)*$B$17/$J$17*$C$17</f>
        <v/>
      </c>
      <c r="AW325" s="40">
        <f>SUMPRODUCT(($B$91:$B$230="Spinach")*(AW$91:AW$230="H")*$C$91:$C$230)*$B$17/$J$17*$C$17</f>
        <v/>
      </c>
      <c r="AX325" s="40">
        <f>SUMPRODUCT(($B$91:$B$230="Spinach")*(AX$91:AX$230="H")*$C$91:$C$230)*$B$17/$J$17*$C$17</f>
        <v/>
      </c>
      <c r="AY325" s="40">
        <f>SUMPRODUCT(($B$91:$B$230="Spinach")*(AY$91:AY$230="H")*$C$91:$C$230)*$B$17/$J$17*$C$17</f>
        <v/>
      </c>
      <c r="AZ325" s="40">
        <f>SUMPRODUCT(($B$91:$B$230="Spinach")*(AZ$91:AZ$230="H")*$C$91:$C$230)*$B$17/$J$17*$C$17</f>
        <v/>
      </c>
      <c r="BA325" s="40">
        <f>SUMPRODUCT(($B$91:$B$230="Spinach")*(BA$91:BA$230="H")*$C$91:$C$230)*$B$17/$J$17*$C$17</f>
        <v/>
      </c>
      <c r="BB325" s="40">
        <f>SUMPRODUCT(($B$91:$B$230="Spinach")*(BB$91:BB$230="H")*$C$91:$C$230)*$B$17/$J$17*$C$17</f>
        <v/>
      </c>
      <c r="BC325" s="40">
        <f>SUMPRODUCT(($B$91:$B$230="Spinach")*(BC$91:BC$230="H")*$C$91:$C$230)*$B$17/$J$17*$C$17</f>
        <v/>
      </c>
      <c r="BD325" s="40">
        <f>SUMPRODUCT(($B$91:$B$230="Spinach")*(BD$91:BD$230="H")*$C$91:$C$230)*$B$17/$J$17*$C$17</f>
        <v/>
      </c>
    </row>
    <row r="326">
      <c r="A326" s="33" t="inlineStr">
        <is>
          <t>Stock carried in</t>
        </is>
      </c>
      <c r="B326" s="2" t="inlineStr">
        <is>
          <t>lb</t>
        </is>
      </c>
      <c r="E326" s="40" t="n">
        <v>0</v>
      </c>
      <c r="F326" s="40">
        <f>E341</f>
        <v/>
      </c>
      <c r="G326" s="40">
        <f>F341</f>
        <v/>
      </c>
      <c r="H326" s="40">
        <f>G341</f>
        <v/>
      </c>
      <c r="I326" s="40">
        <f>H341</f>
        <v/>
      </c>
      <c r="J326" s="40">
        <f>I341</f>
        <v/>
      </c>
      <c r="K326" s="40">
        <f>J341</f>
        <v/>
      </c>
      <c r="L326" s="40">
        <f>K341</f>
        <v/>
      </c>
      <c r="M326" s="40">
        <f>L341</f>
        <v/>
      </c>
      <c r="N326" s="40">
        <f>M341</f>
        <v/>
      </c>
      <c r="O326" s="40">
        <f>N341</f>
        <v/>
      </c>
      <c r="P326" s="40">
        <f>O341</f>
        <v/>
      </c>
      <c r="Q326" s="40">
        <f>P341</f>
        <v/>
      </c>
      <c r="R326" s="40">
        <f>Q341</f>
        <v/>
      </c>
      <c r="S326" s="40">
        <f>R341</f>
        <v/>
      </c>
      <c r="T326" s="40">
        <f>S341</f>
        <v/>
      </c>
      <c r="U326" s="40">
        <f>T341</f>
        <v/>
      </c>
      <c r="V326" s="40">
        <f>U341</f>
        <v/>
      </c>
      <c r="W326" s="40">
        <f>V341</f>
        <v/>
      </c>
      <c r="X326" s="40">
        <f>W341</f>
        <v/>
      </c>
      <c r="Y326" s="40">
        <f>X341</f>
        <v/>
      </c>
      <c r="Z326" s="40">
        <f>Y341</f>
        <v/>
      </c>
      <c r="AA326" s="40">
        <f>Z341</f>
        <v/>
      </c>
      <c r="AB326" s="40">
        <f>AA341</f>
        <v/>
      </c>
      <c r="AC326" s="40">
        <f>AB341</f>
        <v/>
      </c>
      <c r="AD326" s="40">
        <f>AC341</f>
        <v/>
      </c>
      <c r="AE326" s="40">
        <f>AD341</f>
        <v/>
      </c>
      <c r="AF326" s="40">
        <f>AE341</f>
        <v/>
      </c>
      <c r="AG326" s="40">
        <f>AF341</f>
        <v/>
      </c>
      <c r="AH326" s="40">
        <f>AG341</f>
        <v/>
      </c>
      <c r="AI326" s="40">
        <f>AH341</f>
        <v/>
      </c>
      <c r="AJ326" s="40">
        <f>AI341</f>
        <v/>
      </c>
      <c r="AK326" s="40">
        <f>AJ341</f>
        <v/>
      </c>
      <c r="AL326" s="40">
        <f>AK341</f>
        <v/>
      </c>
      <c r="AM326" s="40">
        <f>AL341</f>
        <v/>
      </c>
      <c r="AN326" s="40">
        <f>AM341</f>
        <v/>
      </c>
      <c r="AO326" s="40">
        <f>AN341</f>
        <v/>
      </c>
      <c r="AP326" s="40">
        <f>AO341</f>
        <v/>
      </c>
      <c r="AQ326" s="40">
        <f>AP341</f>
        <v/>
      </c>
      <c r="AR326" s="40">
        <f>AQ341</f>
        <v/>
      </c>
      <c r="AS326" s="40">
        <f>AR341</f>
        <v/>
      </c>
      <c r="AT326" s="40">
        <f>AS341</f>
        <v/>
      </c>
      <c r="AU326" s="40">
        <f>AT341</f>
        <v/>
      </c>
      <c r="AV326" s="40">
        <f>AU341</f>
        <v/>
      </c>
      <c r="AW326" s="40">
        <f>AV341</f>
        <v/>
      </c>
      <c r="AX326" s="40">
        <f>AW341</f>
        <v/>
      </c>
      <c r="AY326" s="40">
        <f>AX341</f>
        <v/>
      </c>
      <c r="AZ326" s="40">
        <f>AY341</f>
        <v/>
      </c>
      <c r="BA326" s="40">
        <f>AZ341</f>
        <v/>
      </c>
      <c r="BB326" s="40">
        <f>BA341</f>
        <v/>
      </c>
      <c r="BC326" s="40">
        <f>BB341</f>
        <v/>
      </c>
      <c r="BD326" s="40">
        <f>BC341</f>
        <v/>
      </c>
    </row>
    <row r="327">
      <c r="A327" s="33" t="inlineStr">
        <is>
          <t xml:space="preserve">   lost to shrink</t>
        </is>
      </c>
      <c r="B327" s="2" t="inlineStr">
        <is>
          <t>lb</t>
        </is>
      </c>
      <c r="E327" s="40">
        <f>E326*$G$17</f>
        <v/>
      </c>
      <c r="F327" s="40">
        <f>F326*$G$17</f>
        <v/>
      </c>
      <c r="G327" s="40">
        <f>G326*$G$17</f>
        <v/>
      </c>
      <c r="H327" s="40">
        <f>H326*$G$17</f>
        <v/>
      </c>
      <c r="I327" s="40">
        <f>I326*$G$17</f>
        <v/>
      </c>
      <c r="J327" s="40">
        <f>J326*$G$17</f>
        <v/>
      </c>
      <c r="K327" s="40">
        <f>K326*$G$17</f>
        <v/>
      </c>
      <c r="L327" s="40">
        <f>L326*$G$17</f>
        <v/>
      </c>
      <c r="M327" s="40">
        <f>M326*$G$17</f>
        <v/>
      </c>
      <c r="N327" s="40">
        <f>N326*$G$17</f>
        <v/>
      </c>
      <c r="O327" s="40">
        <f>O326*$G$17</f>
        <v/>
      </c>
      <c r="P327" s="40">
        <f>P326*$G$17</f>
        <v/>
      </c>
      <c r="Q327" s="40">
        <f>Q326*$G$17</f>
        <v/>
      </c>
      <c r="R327" s="40">
        <f>R326*$G$17</f>
        <v/>
      </c>
      <c r="S327" s="40">
        <f>S326*$G$17</f>
        <v/>
      </c>
      <c r="T327" s="40">
        <f>T326*$G$17</f>
        <v/>
      </c>
      <c r="U327" s="40">
        <f>U326*$G$17</f>
        <v/>
      </c>
      <c r="V327" s="40">
        <f>V326*$G$17</f>
        <v/>
      </c>
      <c r="W327" s="40">
        <f>W326*$G$17</f>
        <v/>
      </c>
      <c r="X327" s="40">
        <f>X326*$G$17</f>
        <v/>
      </c>
      <c r="Y327" s="40">
        <f>Y326*$G$17</f>
        <v/>
      </c>
      <c r="Z327" s="40">
        <f>Z326*$G$17</f>
        <v/>
      </c>
      <c r="AA327" s="40">
        <f>AA326*$G$17</f>
        <v/>
      </c>
      <c r="AB327" s="40">
        <f>AB326*$G$17</f>
        <v/>
      </c>
      <c r="AC327" s="40">
        <f>AC326*$G$17</f>
        <v/>
      </c>
      <c r="AD327" s="40">
        <f>AD326*$G$17</f>
        <v/>
      </c>
      <c r="AE327" s="40">
        <f>AE326*$G$17</f>
        <v/>
      </c>
      <c r="AF327" s="40">
        <f>AF326*$G$17</f>
        <v/>
      </c>
      <c r="AG327" s="40">
        <f>AG326*$G$17</f>
        <v/>
      </c>
      <c r="AH327" s="40">
        <f>AH326*$G$17</f>
        <v/>
      </c>
      <c r="AI327" s="40">
        <f>AI326*$G$17</f>
        <v/>
      </c>
      <c r="AJ327" s="40">
        <f>AJ326*$G$17</f>
        <v/>
      </c>
      <c r="AK327" s="40">
        <f>AK326*$G$17</f>
        <v/>
      </c>
      <c r="AL327" s="40">
        <f>AL326*$G$17</f>
        <v/>
      </c>
      <c r="AM327" s="40">
        <f>AM326*$G$17</f>
        <v/>
      </c>
      <c r="AN327" s="40">
        <f>AN326*$G$17</f>
        <v/>
      </c>
      <c r="AO327" s="40">
        <f>AO326*$G$17</f>
        <v/>
      </c>
      <c r="AP327" s="40">
        <f>AP326*$G$17</f>
        <v/>
      </c>
      <c r="AQ327" s="40">
        <f>AQ326*$G$17</f>
        <v/>
      </c>
      <c r="AR327" s="40">
        <f>AR326*$G$17</f>
        <v/>
      </c>
      <c r="AS327" s="40">
        <f>AS326*$G$17</f>
        <v/>
      </c>
      <c r="AT327" s="40">
        <f>AT326*$G$17</f>
        <v/>
      </c>
      <c r="AU327" s="40">
        <f>AU326*$G$17</f>
        <v/>
      </c>
      <c r="AV327" s="40">
        <f>AV326*$G$17</f>
        <v/>
      </c>
      <c r="AW327" s="40">
        <f>AW326*$G$17</f>
        <v/>
      </c>
      <c r="AX327" s="40">
        <f>AX326*$G$17</f>
        <v/>
      </c>
      <c r="AY327" s="40">
        <f>AY326*$G$17</f>
        <v/>
      </c>
      <c r="AZ327" s="40">
        <f>AZ326*$G$17</f>
        <v/>
      </c>
      <c r="BA327" s="40">
        <f>BA326*$G$17</f>
        <v/>
      </c>
      <c r="BB327" s="40">
        <f>BB326*$G$17</f>
        <v/>
      </c>
      <c r="BC327" s="40">
        <f>BC326*$G$17</f>
        <v/>
      </c>
      <c r="BD327" s="40">
        <f>BD326*$G$17</f>
        <v/>
      </c>
    </row>
    <row r="328">
      <c r="A328" s="4" t="inlineStr">
        <is>
          <t>In store this week</t>
        </is>
      </c>
      <c r="B328" s="2" t="inlineStr">
        <is>
          <t>lb</t>
        </is>
      </c>
      <c r="E328" s="40">
        <f>E326-E327+E325</f>
        <v/>
      </c>
      <c r="F328" s="40">
        <f>F326-F327+F325</f>
        <v/>
      </c>
      <c r="G328" s="40">
        <f>G326-G327+G325</f>
        <v/>
      </c>
      <c r="H328" s="40">
        <f>H326-H327+H325</f>
        <v/>
      </c>
      <c r="I328" s="40">
        <f>I326-I327+I325</f>
        <v/>
      </c>
      <c r="J328" s="40">
        <f>J326-J327+J325</f>
        <v/>
      </c>
      <c r="K328" s="40">
        <f>K326-K327+K325</f>
        <v/>
      </c>
      <c r="L328" s="40">
        <f>L326-L327+L325</f>
        <v/>
      </c>
      <c r="M328" s="40">
        <f>M326-M327+M325</f>
        <v/>
      </c>
      <c r="N328" s="40">
        <f>N326-N327+N325</f>
        <v/>
      </c>
      <c r="O328" s="40">
        <f>O326-O327+O325</f>
        <v/>
      </c>
      <c r="P328" s="40">
        <f>P326-P327+P325</f>
        <v/>
      </c>
      <c r="Q328" s="40">
        <f>Q326-Q327+Q325</f>
        <v/>
      </c>
      <c r="R328" s="40">
        <f>R326-R327+R325</f>
        <v/>
      </c>
      <c r="S328" s="40">
        <f>S326-S327+S325</f>
        <v/>
      </c>
      <c r="T328" s="40">
        <f>T326-T327+T325</f>
        <v/>
      </c>
      <c r="U328" s="40">
        <f>U326-U327+U325</f>
        <v/>
      </c>
      <c r="V328" s="40">
        <f>V326-V327+V325</f>
        <v/>
      </c>
      <c r="W328" s="40">
        <f>W326-W327+W325</f>
        <v/>
      </c>
      <c r="X328" s="40">
        <f>X326-X327+X325</f>
        <v/>
      </c>
      <c r="Y328" s="40">
        <f>Y326-Y327+Y325</f>
        <v/>
      </c>
      <c r="Z328" s="40">
        <f>Z326-Z327+Z325</f>
        <v/>
      </c>
      <c r="AA328" s="40">
        <f>AA326-AA327+AA325</f>
        <v/>
      </c>
      <c r="AB328" s="40">
        <f>AB326-AB327+AB325</f>
        <v/>
      </c>
      <c r="AC328" s="40">
        <f>AC326-AC327+AC325</f>
        <v/>
      </c>
      <c r="AD328" s="40">
        <f>AD326-AD327+AD325</f>
        <v/>
      </c>
      <c r="AE328" s="40">
        <f>AE326-AE327+AE325</f>
        <v/>
      </c>
      <c r="AF328" s="40">
        <f>AF326-AF327+AF325</f>
        <v/>
      </c>
      <c r="AG328" s="40">
        <f>AG326-AG327+AG325</f>
        <v/>
      </c>
      <c r="AH328" s="40">
        <f>AH326-AH327+AH325</f>
        <v/>
      </c>
      <c r="AI328" s="40">
        <f>AI326-AI327+AI325</f>
        <v/>
      </c>
      <c r="AJ328" s="40">
        <f>AJ326-AJ327+AJ325</f>
        <v/>
      </c>
      <c r="AK328" s="40">
        <f>AK326-AK327+AK325</f>
        <v/>
      </c>
      <c r="AL328" s="40">
        <f>AL326-AL327+AL325</f>
        <v/>
      </c>
      <c r="AM328" s="40">
        <f>AM326-AM327+AM325</f>
        <v/>
      </c>
      <c r="AN328" s="40">
        <f>AN326-AN327+AN325</f>
        <v/>
      </c>
      <c r="AO328" s="40">
        <f>AO326-AO327+AO325</f>
        <v/>
      </c>
      <c r="AP328" s="40">
        <f>AP326-AP327+AP325</f>
        <v/>
      </c>
      <c r="AQ328" s="40">
        <f>AQ326-AQ327+AQ325</f>
        <v/>
      </c>
      <c r="AR328" s="40">
        <f>AR326-AR327+AR325</f>
        <v/>
      </c>
      <c r="AS328" s="40">
        <f>AS326-AS327+AS325</f>
        <v/>
      </c>
      <c r="AT328" s="40">
        <f>AT326-AT327+AT325</f>
        <v/>
      </c>
      <c r="AU328" s="40">
        <f>AU326-AU327+AU325</f>
        <v/>
      </c>
      <c r="AV328" s="40">
        <f>AV326-AV327+AV325</f>
        <v/>
      </c>
      <c r="AW328" s="40">
        <f>AW326-AW327+AW325</f>
        <v/>
      </c>
      <c r="AX328" s="40">
        <f>AX326-AX327+AX325</f>
        <v/>
      </c>
      <c r="AY328" s="40">
        <f>AY326-AY327+AY325</f>
        <v/>
      </c>
      <c r="AZ328" s="40">
        <f>AZ326-AZ327+AZ325</f>
        <v/>
      </c>
      <c r="BA328" s="40">
        <f>BA326-BA327+BA325</f>
        <v/>
      </c>
      <c r="BB328" s="40">
        <f>BB326-BB327+BB325</f>
        <v/>
      </c>
      <c r="BC328" s="40">
        <f>BC326-BC327+BC325</f>
        <v/>
      </c>
      <c r="BD328" s="40">
        <f>BD326-BD327+BD325</f>
        <v/>
      </c>
    </row>
    <row r="329">
      <c r="A329" s="43" t="inlineStr">
        <is>
          <t>Farmers Market — most you may sell this week</t>
        </is>
      </c>
      <c r="B329" s="2" t="inlineStr">
        <is>
          <t>lb</t>
        </is>
      </c>
      <c r="E329" s="42">
        <f>IF($C$35="Annual",$D$35-0,IF(AND(1&gt;=$E$35,1&lt;=$F$35),$D$35,0))</f>
        <v/>
      </c>
      <c r="F329" s="42">
        <f>IF($C$35="Annual",$D$35-SUM(E462:E462),IF(AND(2&gt;=$E$35,2&lt;=$F$35),$D$35,0))</f>
        <v/>
      </c>
      <c r="G329" s="42">
        <f>IF($C$35="Annual",$D$35-SUM(E462:F462),IF(AND(3&gt;=$E$35,3&lt;=$F$35),$D$35,0))</f>
        <v/>
      </c>
      <c r="H329" s="42">
        <f>IF($C$35="Annual",$D$35-SUM(E462:G462),IF(AND(4&gt;=$E$35,4&lt;=$F$35),$D$35,0))</f>
        <v/>
      </c>
      <c r="I329" s="42">
        <f>IF($C$35="Annual",$D$35-SUM(E462:H462),IF(AND(5&gt;=$E$35,5&lt;=$F$35),$D$35,0))</f>
        <v/>
      </c>
      <c r="J329" s="42">
        <f>IF($C$35="Annual",$D$35-SUM(E462:I462),IF(AND(6&gt;=$E$35,6&lt;=$F$35),$D$35,0))</f>
        <v/>
      </c>
      <c r="K329" s="42">
        <f>IF($C$35="Annual",$D$35-SUM(E462:J462),IF(AND(7&gt;=$E$35,7&lt;=$F$35),$D$35,0))</f>
        <v/>
      </c>
      <c r="L329" s="42">
        <f>IF($C$35="Annual",$D$35-SUM(E462:K462),IF(AND(8&gt;=$E$35,8&lt;=$F$35),$D$35,0))</f>
        <v/>
      </c>
      <c r="M329" s="42">
        <f>IF($C$35="Annual",$D$35-SUM(E462:L462),IF(AND(9&gt;=$E$35,9&lt;=$F$35),$D$35,0))</f>
        <v/>
      </c>
      <c r="N329" s="42">
        <f>IF($C$35="Annual",$D$35-SUM(E462:M462),IF(AND(10&gt;=$E$35,10&lt;=$F$35),$D$35,0))</f>
        <v/>
      </c>
      <c r="O329" s="42">
        <f>IF($C$35="Annual",$D$35-SUM(E462:N462),IF(AND(11&gt;=$E$35,11&lt;=$F$35),$D$35,0))</f>
        <v/>
      </c>
      <c r="P329" s="42">
        <f>IF($C$35="Annual",$D$35-SUM(E462:O462),IF(AND(12&gt;=$E$35,12&lt;=$F$35),$D$35,0))</f>
        <v/>
      </c>
      <c r="Q329" s="42">
        <f>IF($C$35="Annual",$D$35-SUM(E462:P462),IF(AND(13&gt;=$E$35,13&lt;=$F$35),$D$35,0))</f>
        <v/>
      </c>
      <c r="R329" s="42">
        <f>IF($C$35="Annual",$D$35-SUM(E462:Q462),IF(AND(14&gt;=$E$35,14&lt;=$F$35),$D$35,0))</f>
        <v/>
      </c>
      <c r="S329" s="42">
        <f>IF($C$35="Annual",$D$35-SUM(E462:R462),IF(AND(15&gt;=$E$35,15&lt;=$F$35),$D$35,0))</f>
        <v/>
      </c>
      <c r="T329" s="42">
        <f>IF($C$35="Annual",$D$35-SUM(E462:S462),IF(AND(16&gt;=$E$35,16&lt;=$F$35),$D$35,0))</f>
        <v/>
      </c>
      <c r="U329" s="42">
        <f>IF($C$35="Annual",$D$35-SUM(E462:T462),IF(AND(17&gt;=$E$35,17&lt;=$F$35),$D$35,0))</f>
        <v/>
      </c>
      <c r="V329" s="42">
        <f>IF($C$35="Annual",$D$35-SUM(E462:U462),IF(AND(18&gt;=$E$35,18&lt;=$F$35),$D$35,0))</f>
        <v/>
      </c>
      <c r="W329" s="42">
        <f>IF($C$35="Annual",$D$35-SUM(E462:V462),IF(AND(19&gt;=$E$35,19&lt;=$F$35),$D$35,0))</f>
        <v/>
      </c>
      <c r="X329" s="42">
        <f>IF($C$35="Annual",$D$35-SUM(E462:W462),IF(AND(20&gt;=$E$35,20&lt;=$F$35),$D$35,0))</f>
        <v/>
      </c>
      <c r="Y329" s="42">
        <f>IF($C$35="Annual",$D$35-SUM(E462:X462),IF(AND(21&gt;=$E$35,21&lt;=$F$35),$D$35,0))</f>
        <v/>
      </c>
      <c r="Z329" s="42">
        <f>IF($C$35="Annual",$D$35-SUM(E462:Y462),IF(AND(22&gt;=$E$35,22&lt;=$F$35),$D$35,0))</f>
        <v/>
      </c>
      <c r="AA329" s="42">
        <f>IF($C$35="Annual",$D$35-SUM(E462:Z462),IF(AND(23&gt;=$E$35,23&lt;=$F$35),$D$35,0))</f>
        <v/>
      </c>
      <c r="AB329" s="42">
        <f>IF($C$35="Annual",$D$35-SUM(E462:AA462),IF(AND(24&gt;=$E$35,24&lt;=$F$35),$D$35,0))</f>
        <v/>
      </c>
      <c r="AC329" s="42">
        <f>IF($C$35="Annual",$D$35-SUM(E462:AB462),IF(AND(25&gt;=$E$35,25&lt;=$F$35),$D$35,0))</f>
        <v/>
      </c>
      <c r="AD329" s="42">
        <f>IF($C$35="Annual",$D$35-SUM(E462:AC462),IF(AND(26&gt;=$E$35,26&lt;=$F$35),$D$35,0))</f>
        <v/>
      </c>
      <c r="AE329" s="42">
        <f>IF($C$35="Annual",$D$35-SUM(E462:AD462),IF(AND(27&gt;=$E$35,27&lt;=$F$35),$D$35,0))</f>
        <v/>
      </c>
      <c r="AF329" s="42">
        <f>IF($C$35="Annual",$D$35-SUM(E462:AE462),IF(AND(28&gt;=$E$35,28&lt;=$F$35),$D$35,0))</f>
        <v/>
      </c>
      <c r="AG329" s="42">
        <f>IF($C$35="Annual",$D$35-SUM(E462:AF462),IF(AND(29&gt;=$E$35,29&lt;=$F$35),$D$35,0))</f>
        <v/>
      </c>
      <c r="AH329" s="42">
        <f>IF($C$35="Annual",$D$35-SUM(E462:AG462),IF(AND(30&gt;=$E$35,30&lt;=$F$35),$D$35,0))</f>
        <v/>
      </c>
      <c r="AI329" s="42">
        <f>IF($C$35="Annual",$D$35-SUM(E462:AH462),IF(AND(31&gt;=$E$35,31&lt;=$F$35),$D$35,0))</f>
        <v/>
      </c>
      <c r="AJ329" s="42">
        <f>IF($C$35="Annual",$D$35-SUM(E462:AI462),IF(AND(32&gt;=$E$35,32&lt;=$F$35),$D$35,0))</f>
        <v/>
      </c>
      <c r="AK329" s="42">
        <f>IF($C$35="Annual",$D$35-SUM(E462:AJ462),IF(AND(33&gt;=$E$35,33&lt;=$F$35),$D$35,0))</f>
        <v/>
      </c>
      <c r="AL329" s="42">
        <f>IF($C$35="Annual",$D$35-SUM(E462:AK462),IF(AND(34&gt;=$E$35,34&lt;=$F$35),$D$35,0))</f>
        <v/>
      </c>
      <c r="AM329" s="42">
        <f>IF($C$35="Annual",$D$35-SUM(E462:AL462),IF(AND(35&gt;=$E$35,35&lt;=$F$35),$D$35,0))</f>
        <v/>
      </c>
      <c r="AN329" s="42">
        <f>IF($C$35="Annual",$D$35-SUM(E462:AM462),IF(AND(36&gt;=$E$35,36&lt;=$F$35),$D$35,0))</f>
        <v/>
      </c>
      <c r="AO329" s="42">
        <f>IF($C$35="Annual",$D$35-SUM(E462:AN462),IF(AND(37&gt;=$E$35,37&lt;=$F$35),$D$35,0))</f>
        <v/>
      </c>
      <c r="AP329" s="42">
        <f>IF($C$35="Annual",$D$35-SUM(E462:AO462),IF(AND(38&gt;=$E$35,38&lt;=$F$35),$D$35,0))</f>
        <v/>
      </c>
      <c r="AQ329" s="42">
        <f>IF($C$35="Annual",$D$35-SUM(E462:AP462),IF(AND(39&gt;=$E$35,39&lt;=$F$35),$D$35,0))</f>
        <v/>
      </c>
      <c r="AR329" s="42">
        <f>IF($C$35="Annual",$D$35-SUM(E462:AQ462),IF(AND(40&gt;=$E$35,40&lt;=$F$35),$D$35,0))</f>
        <v/>
      </c>
      <c r="AS329" s="42">
        <f>IF($C$35="Annual",$D$35-SUM(E462:AR462),IF(AND(41&gt;=$E$35,41&lt;=$F$35),$D$35,0))</f>
        <v/>
      </c>
      <c r="AT329" s="42">
        <f>IF($C$35="Annual",$D$35-SUM(E462:AS462),IF(AND(42&gt;=$E$35,42&lt;=$F$35),$D$35,0))</f>
        <v/>
      </c>
      <c r="AU329" s="42">
        <f>IF($C$35="Annual",$D$35-SUM(E462:AT462),IF(AND(43&gt;=$E$35,43&lt;=$F$35),$D$35,0))</f>
        <v/>
      </c>
      <c r="AV329" s="42">
        <f>IF($C$35="Annual",$D$35-SUM(E462:AU462),IF(AND(44&gt;=$E$35,44&lt;=$F$35),$D$35,0))</f>
        <v/>
      </c>
      <c r="AW329" s="42">
        <f>IF($C$35="Annual",$D$35-SUM(E462:AV462),IF(AND(45&gt;=$E$35,45&lt;=$F$35),$D$35,0))</f>
        <v/>
      </c>
      <c r="AX329" s="42">
        <f>IF($C$35="Annual",$D$35-SUM(E462:AW462),IF(AND(46&gt;=$E$35,46&lt;=$F$35),$D$35,0))</f>
        <v/>
      </c>
      <c r="AY329" s="42">
        <f>IF($C$35="Annual",$D$35-SUM(E462:AX462),IF(AND(47&gt;=$E$35,47&lt;=$F$35),$D$35,0))</f>
        <v/>
      </c>
      <c r="AZ329" s="42">
        <f>IF($C$35="Annual",$D$35-SUM(E462:AY462),IF(AND(48&gt;=$E$35,48&lt;=$F$35),$D$35,0))</f>
        <v/>
      </c>
      <c r="BA329" s="42">
        <f>IF($C$35="Annual",$D$35-SUM(E462:AZ462),IF(AND(49&gt;=$E$35,49&lt;=$F$35),$D$35,0))</f>
        <v/>
      </c>
      <c r="BB329" s="42">
        <f>IF($C$35="Annual",$D$35-SUM(E462:BA462),IF(AND(50&gt;=$E$35,50&lt;=$F$35),$D$35,0))</f>
        <v/>
      </c>
      <c r="BC329" s="42">
        <f>IF($C$35="Annual",$D$35-SUM(E462:BB462),IF(AND(51&gt;=$E$35,51&lt;=$F$35),$D$35,0))</f>
        <v/>
      </c>
      <c r="BD329" s="42">
        <f>IF($C$35="Annual",$D$35-SUM(E462:BC462),IF(AND(52&gt;=$E$35,52&lt;=$F$35),$D$35,0))</f>
        <v/>
      </c>
    </row>
    <row r="330">
      <c r="A330" s="32" t="inlineStr">
        <is>
          <t>Farmers Market — OFFERED</t>
        </is>
      </c>
      <c r="B330" s="2" t="inlineStr">
        <is>
          <t>lb  &lt;-- SOLVER</t>
        </is>
      </c>
      <c r="E330" s="39" t="n">
        <v>0</v>
      </c>
      <c r="F330" s="39" t="n">
        <v>0</v>
      </c>
      <c r="G330" s="39" t="n">
        <v>0</v>
      </c>
      <c r="H330" s="39" t="n">
        <v>0</v>
      </c>
      <c r="I330" s="39" t="n">
        <v>0</v>
      </c>
      <c r="J330" s="39" t="n">
        <v>0</v>
      </c>
      <c r="K330" s="39" t="n">
        <v>0</v>
      </c>
      <c r="L330" s="39" t="n">
        <v>0</v>
      </c>
      <c r="M330" s="39" t="n">
        <v>0</v>
      </c>
      <c r="N330" s="39" t="n">
        <v>0</v>
      </c>
      <c r="O330" s="39" t="n">
        <v>0</v>
      </c>
      <c r="P330" s="39" t="n">
        <v>0</v>
      </c>
      <c r="Q330" s="39" t="n">
        <v>0</v>
      </c>
      <c r="R330" s="39" t="n">
        <v>0</v>
      </c>
      <c r="S330" s="39" t="n">
        <v>0</v>
      </c>
      <c r="T330" s="39" t="n">
        <v>0</v>
      </c>
      <c r="U330" s="39" t="n">
        <v>0</v>
      </c>
      <c r="V330" s="39" t="n">
        <v>0</v>
      </c>
      <c r="W330" s="39" t="n">
        <v>0</v>
      </c>
      <c r="X330" s="39" t="n">
        <v>0</v>
      </c>
      <c r="Y330" s="39" t="n">
        <v>0</v>
      </c>
      <c r="Z330" s="39" t="n">
        <v>0</v>
      </c>
      <c r="AA330" s="39" t="n">
        <v>0</v>
      </c>
      <c r="AB330" s="39" t="n">
        <v>0</v>
      </c>
      <c r="AC330" s="39" t="n">
        <v>0</v>
      </c>
      <c r="AD330" s="39" t="n">
        <v>0</v>
      </c>
      <c r="AE330" s="39" t="n">
        <v>0</v>
      </c>
      <c r="AF330" s="39" t="n">
        <v>0</v>
      </c>
      <c r="AG330" s="39" t="n">
        <v>0</v>
      </c>
      <c r="AH330" s="39" t="n">
        <v>0</v>
      </c>
      <c r="AI330" s="39" t="n">
        <v>0</v>
      </c>
      <c r="AJ330" s="39" t="n">
        <v>0</v>
      </c>
      <c r="AK330" s="39" t="n">
        <v>0</v>
      </c>
      <c r="AL330" s="39" t="n">
        <v>0</v>
      </c>
      <c r="AM330" s="39" t="n">
        <v>0</v>
      </c>
      <c r="AN330" s="39" t="n">
        <v>0</v>
      </c>
      <c r="AO330" s="39" t="n">
        <v>0</v>
      </c>
      <c r="AP330" s="39" t="n">
        <v>0</v>
      </c>
      <c r="AQ330" s="39" t="n">
        <v>0</v>
      </c>
      <c r="AR330" s="39" t="n">
        <v>0</v>
      </c>
      <c r="AS330" s="39" t="n">
        <v>0</v>
      </c>
      <c r="AT330" s="39" t="n">
        <v>0</v>
      </c>
      <c r="AU330" s="39" t="n">
        <v>0</v>
      </c>
      <c r="AV330" s="39" t="n">
        <v>0</v>
      </c>
      <c r="AW330" s="39" t="n">
        <v>0</v>
      </c>
      <c r="AX330" s="39" t="n">
        <v>0</v>
      </c>
      <c r="AY330" s="39" t="n">
        <v>0</v>
      </c>
      <c r="AZ330" s="39" t="n">
        <v>0</v>
      </c>
      <c r="BA330" s="39" t="n">
        <v>0</v>
      </c>
      <c r="BB330" s="39" t="n">
        <v>0</v>
      </c>
      <c r="BC330" s="39" t="n">
        <v>0</v>
      </c>
      <c r="BD330" s="39" t="n">
        <v>0</v>
      </c>
    </row>
    <row r="331">
      <c r="A331" s="54" t="inlineStr">
        <is>
          <t>Farmers Market — SOLD</t>
        </is>
      </c>
      <c r="B331" s="2" t="inlineStr">
        <is>
          <t>lb</t>
        </is>
      </c>
      <c r="E331" s="55">
        <f>E330*$G$35</f>
        <v/>
      </c>
      <c r="F331" s="55">
        <f>F330*$G$35</f>
        <v/>
      </c>
      <c r="G331" s="55">
        <f>G330*$G$35</f>
        <v/>
      </c>
      <c r="H331" s="55">
        <f>H330*$G$35</f>
        <v/>
      </c>
      <c r="I331" s="55">
        <f>I330*$G$35</f>
        <v/>
      </c>
      <c r="J331" s="55">
        <f>J330*$G$35</f>
        <v/>
      </c>
      <c r="K331" s="55">
        <f>K330*$G$35</f>
        <v/>
      </c>
      <c r="L331" s="55">
        <f>L330*$G$35</f>
        <v/>
      </c>
      <c r="M331" s="55">
        <f>M330*$G$35</f>
        <v/>
      </c>
      <c r="N331" s="55">
        <f>N330*$G$35</f>
        <v/>
      </c>
      <c r="O331" s="55">
        <f>O330*$G$35</f>
        <v/>
      </c>
      <c r="P331" s="55">
        <f>P330*$G$35</f>
        <v/>
      </c>
      <c r="Q331" s="55">
        <f>Q330*$G$35</f>
        <v/>
      </c>
      <c r="R331" s="55">
        <f>R330*$G$35</f>
        <v/>
      </c>
      <c r="S331" s="55">
        <f>S330*$G$35</f>
        <v/>
      </c>
      <c r="T331" s="55">
        <f>T330*$G$35</f>
        <v/>
      </c>
      <c r="U331" s="55">
        <f>U330*$G$35</f>
        <v/>
      </c>
      <c r="V331" s="55">
        <f>V330*$G$35</f>
        <v/>
      </c>
      <c r="W331" s="55">
        <f>W330*$G$35</f>
        <v/>
      </c>
      <c r="X331" s="55">
        <f>X330*$G$35</f>
        <v/>
      </c>
      <c r="Y331" s="55">
        <f>Y330*$G$35</f>
        <v/>
      </c>
      <c r="Z331" s="55">
        <f>Z330*$G$35</f>
        <v/>
      </c>
      <c r="AA331" s="55">
        <f>AA330*$G$35</f>
        <v/>
      </c>
      <c r="AB331" s="55">
        <f>AB330*$G$35</f>
        <v/>
      </c>
      <c r="AC331" s="55">
        <f>AC330*$G$35</f>
        <v/>
      </c>
      <c r="AD331" s="55">
        <f>AD330*$G$35</f>
        <v/>
      </c>
      <c r="AE331" s="55">
        <f>AE330*$G$35</f>
        <v/>
      </c>
      <c r="AF331" s="55">
        <f>AF330*$G$35</f>
        <v/>
      </c>
      <c r="AG331" s="55">
        <f>AG330*$G$35</f>
        <v/>
      </c>
      <c r="AH331" s="55">
        <f>AH330*$G$35</f>
        <v/>
      </c>
      <c r="AI331" s="55">
        <f>AI330*$G$35</f>
        <v/>
      </c>
      <c r="AJ331" s="55">
        <f>AJ330*$G$35</f>
        <v/>
      </c>
      <c r="AK331" s="55">
        <f>AK330*$G$35</f>
        <v/>
      </c>
      <c r="AL331" s="55">
        <f>AL330*$G$35</f>
        <v/>
      </c>
      <c r="AM331" s="55">
        <f>AM330*$G$35</f>
        <v/>
      </c>
      <c r="AN331" s="55">
        <f>AN330*$G$35</f>
        <v/>
      </c>
      <c r="AO331" s="55">
        <f>AO330*$G$35</f>
        <v/>
      </c>
      <c r="AP331" s="55">
        <f>AP330*$G$35</f>
        <v/>
      </c>
      <c r="AQ331" s="55">
        <f>AQ330*$G$35</f>
        <v/>
      </c>
      <c r="AR331" s="55">
        <f>AR330*$G$35</f>
        <v/>
      </c>
      <c r="AS331" s="55">
        <f>AS330*$G$35</f>
        <v/>
      </c>
      <c r="AT331" s="55">
        <f>AT330*$G$35</f>
        <v/>
      </c>
      <c r="AU331" s="55">
        <f>AU330*$G$35</f>
        <v/>
      </c>
      <c r="AV331" s="55">
        <f>AV330*$G$35</f>
        <v/>
      </c>
      <c r="AW331" s="55">
        <f>AW330*$G$35</f>
        <v/>
      </c>
      <c r="AX331" s="55">
        <f>AX330*$G$35</f>
        <v/>
      </c>
      <c r="AY331" s="55">
        <f>AY330*$G$35</f>
        <v/>
      </c>
      <c r="AZ331" s="55">
        <f>AZ330*$G$35</f>
        <v/>
      </c>
      <c r="BA331" s="55">
        <f>BA330*$G$35</f>
        <v/>
      </c>
      <c r="BB331" s="55">
        <f>BB330*$G$35</f>
        <v/>
      </c>
      <c r="BC331" s="55">
        <f>BC330*$G$35</f>
        <v/>
      </c>
      <c r="BD331" s="55">
        <f>BD330*$G$35</f>
        <v/>
      </c>
    </row>
    <row r="332">
      <c r="A332" s="33" t="inlineStr">
        <is>
          <t xml:space="preserve">   market loss (gone)</t>
        </is>
      </c>
      <c r="B332" s="2" t="inlineStr">
        <is>
          <t>lb</t>
        </is>
      </c>
      <c r="E332" s="40">
        <f>(E330-E331)*(1-$H$35)</f>
        <v/>
      </c>
      <c r="F332" s="40">
        <f>(F330-F331)*(1-$H$35)</f>
        <v/>
      </c>
      <c r="G332" s="40">
        <f>(G330-G331)*(1-$H$35)</f>
        <v/>
      </c>
      <c r="H332" s="40">
        <f>(H330-H331)*(1-$H$35)</f>
        <v/>
      </c>
      <c r="I332" s="40">
        <f>(I330-I331)*(1-$H$35)</f>
        <v/>
      </c>
      <c r="J332" s="40">
        <f>(J330-J331)*(1-$H$35)</f>
        <v/>
      </c>
      <c r="K332" s="40">
        <f>(K330-K331)*(1-$H$35)</f>
        <v/>
      </c>
      <c r="L332" s="40">
        <f>(L330-L331)*(1-$H$35)</f>
        <v/>
      </c>
      <c r="M332" s="40">
        <f>(M330-M331)*(1-$H$35)</f>
        <v/>
      </c>
      <c r="N332" s="40">
        <f>(N330-N331)*(1-$H$35)</f>
        <v/>
      </c>
      <c r="O332" s="40">
        <f>(O330-O331)*(1-$H$35)</f>
        <v/>
      </c>
      <c r="P332" s="40">
        <f>(P330-P331)*(1-$H$35)</f>
        <v/>
      </c>
      <c r="Q332" s="40">
        <f>(Q330-Q331)*(1-$H$35)</f>
        <v/>
      </c>
      <c r="R332" s="40">
        <f>(R330-R331)*(1-$H$35)</f>
        <v/>
      </c>
      <c r="S332" s="40">
        <f>(S330-S331)*(1-$H$35)</f>
        <v/>
      </c>
      <c r="T332" s="40">
        <f>(T330-T331)*(1-$H$35)</f>
        <v/>
      </c>
      <c r="U332" s="40">
        <f>(U330-U331)*(1-$H$35)</f>
        <v/>
      </c>
      <c r="V332" s="40">
        <f>(V330-V331)*(1-$H$35)</f>
        <v/>
      </c>
      <c r="W332" s="40">
        <f>(W330-W331)*(1-$H$35)</f>
        <v/>
      </c>
      <c r="X332" s="40">
        <f>(X330-X331)*(1-$H$35)</f>
        <v/>
      </c>
      <c r="Y332" s="40">
        <f>(Y330-Y331)*(1-$H$35)</f>
        <v/>
      </c>
      <c r="Z332" s="40">
        <f>(Z330-Z331)*(1-$H$35)</f>
        <v/>
      </c>
      <c r="AA332" s="40">
        <f>(AA330-AA331)*(1-$H$35)</f>
        <v/>
      </c>
      <c r="AB332" s="40">
        <f>(AB330-AB331)*(1-$H$35)</f>
        <v/>
      </c>
      <c r="AC332" s="40">
        <f>(AC330-AC331)*(1-$H$35)</f>
        <v/>
      </c>
      <c r="AD332" s="40">
        <f>(AD330-AD331)*(1-$H$35)</f>
        <v/>
      </c>
      <c r="AE332" s="40">
        <f>(AE330-AE331)*(1-$H$35)</f>
        <v/>
      </c>
      <c r="AF332" s="40">
        <f>(AF330-AF331)*(1-$H$35)</f>
        <v/>
      </c>
      <c r="AG332" s="40">
        <f>(AG330-AG331)*(1-$H$35)</f>
        <v/>
      </c>
      <c r="AH332" s="40">
        <f>(AH330-AH331)*(1-$H$35)</f>
        <v/>
      </c>
      <c r="AI332" s="40">
        <f>(AI330-AI331)*(1-$H$35)</f>
        <v/>
      </c>
      <c r="AJ332" s="40">
        <f>(AJ330-AJ331)*(1-$H$35)</f>
        <v/>
      </c>
      <c r="AK332" s="40">
        <f>(AK330-AK331)*(1-$H$35)</f>
        <v/>
      </c>
      <c r="AL332" s="40">
        <f>(AL330-AL331)*(1-$H$35)</f>
        <v/>
      </c>
      <c r="AM332" s="40">
        <f>(AM330-AM331)*(1-$H$35)</f>
        <v/>
      </c>
      <c r="AN332" s="40">
        <f>(AN330-AN331)*(1-$H$35)</f>
        <v/>
      </c>
      <c r="AO332" s="40">
        <f>(AO330-AO331)*(1-$H$35)</f>
        <v/>
      </c>
      <c r="AP332" s="40">
        <f>(AP330-AP331)*(1-$H$35)</f>
        <v/>
      </c>
      <c r="AQ332" s="40">
        <f>(AQ330-AQ331)*(1-$H$35)</f>
        <v/>
      </c>
      <c r="AR332" s="40">
        <f>(AR330-AR331)*(1-$H$35)</f>
        <v/>
      </c>
      <c r="AS332" s="40">
        <f>(AS330-AS331)*(1-$H$35)</f>
        <v/>
      </c>
      <c r="AT332" s="40">
        <f>(AT330-AT331)*(1-$H$35)</f>
        <v/>
      </c>
      <c r="AU332" s="40">
        <f>(AU330-AU331)*(1-$H$35)</f>
        <v/>
      </c>
      <c r="AV332" s="40">
        <f>(AV330-AV331)*(1-$H$35)</f>
        <v/>
      </c>
      <c r="AW332" s="40">
        <f>(AW330-AW331)*(1-$H$35)</f>
        <v/>
      </c>
      <c r="AX332" s="40">
        <f>(AX330-AX331)*(1-$H$35)</f>
        <v/>
      </c>
      <c r="AY332" s="40">
        <f>(AY330-AY331)*(1-$H$35)</f>
        <v/>
      </c>
      <c r="AZ332" s="40">
        <f>(AZ330-AZ331)*(1-$H$35)</f>
        <v/>
      </c>
      <c r="BA332" s="40">
        <f>(BA330-BA331)*(1-$H$35)</f>
        <v/>
      </c>
      <c r="BB332" s="40">
        <f>(BB330-BB331)*(1-$H$35)</f>
        <v/>
      </c>
      <c r="BC332" s="40">
        <f>(BC330-BC331)*(1-$H$35)</f>
        <v/>
      </c>
      <c r="BD332" s="40">
        <f>(BD330-BD331)*(1-$H$35)</f>
        <v/>
      </c>
    </row>
    <row r="333">
      <c r="A333" s="33" t="inlineStr">
        <is>
          <t xml:space="preserve">   returned to store</t>
        </is>
      </c>
      <c r="B333" s="2" t="inlineStr">
        <is>
          <t>lb</t>
        </is>
      </c>
      <c r="E333" s="40">
        <f>(E330-E331)*$H$35</f>
        <v/>
      </c>
      <c r="F333" s="40">
        <f>(F330-F331)*$H$35</f>
        <v/>
      </c>
      <c r="G333" s="40">
        <f>(G330-G331)*$H$35</f>
        <v/>
      </c>
      <c r="H333" s="40">
        <f>(H330-H331)*$H$35</f>
        <v/>
      </c>
      <c r="I333" s="40">
        <f>(I330-I331)*$H$35</f>
        <v/>
      </c>
      <c r="J333" s="40">
        <f>(J330-J331)*$H$35</f>
        <v/>
      </c>
      <c r="K333" s="40">
        <f>(K330-K331)*$H$35</f>
        <v/>
      </c>
      <c r="L333" s="40">
        <f>(L330-L331)*$H$35</f>
        <v/>
      </c>
      <c r="M333" s="40">
        <f>(M330-M331)*$H$35</f>
        <v/>
      </c>
      <c r="N333" s="40">
        <f>(N330-N331)*$H$35</f>
        <v/>
      </c>
      <c r="O333" s="40">
        <f>(O330-O331)*$H$35</f>
        <v/>
      </c>
      <c r="P333" s="40">
        <f>(P330-P331)*$H$35</f>
        <v/>
      </c>
      <c r="Q333" s="40">
        <f>(Q330-Q331)*$H$35</f>
        <v/>
      </c>
      <c r="R333" s="40">
        <f>(R330-R331)*$H$35</f>
        <v/>
      </c>
      <c r="S333" s="40">
        <f>(S330-S331)*$H$35</f>
        <v/>
      </c>
      <c r="T333" s="40">
        <f>(T330-T331)*$H$35</f>
        <v/>
      </c>
      <c r="U333" s="40">
        <f>(U330-U331)*$H$35</f>
        <v/>
      </c>
      <c r="V333" s="40">
        <f>(V330-V331)*$H$35</f>
        <v/>
      </c>
      <c r="W333" s="40">
        <f>(W330-W331)*$H$35</f>
        <v/>
      </c>
      <c r="X333" s="40">
        <f>(X330-X331)*$H$35</f>
        <v/>
      </c>
      <c r="Y333" s="40">
        <f>(Y330-Y331)*$H$35</f>
        <v/>
      </c>
      <c r="Z333" s="40">
        <f>(Z330-Z331)*$H$35</f>
        <v/>
      </c>
      <c r="AA333" s="40">
        <f>(AA330-AA331)*$H$35</f>
        <v/>
      </c>
      <c r="AB333" s="40">
        <f>(AB330-AB331)*$H$35</f>
        <v/>
      </c>
      <c r="AC333" s="40">
        <f>(AC330-AC331)*$H$35</f>
        <v/>
      </c>
      <c r="AD333" s="40">
        <f>(AD330-AD331)*$H$35</f>
        <v/>
      </c>
      <c r="AE333" s="40">
        <f>(AE330-AE331)*$H$35</f>
        <v/>
      </c>
      <c r="AF333" s="40">
        <f>(AF330-AF331)*$H$35</f>
        <v/>
      </c>
      <c r="AG333" s="40">
        <f>(AG330-AG331)*$H$35</f>
        <v/>
      </c>
      <c r="AH333" s="40">
        <f>(AH330-AH331)*$H$35</f>
        <v/>
      </c>
      <c r="AI333" s="40">
        <f>(AI330-AI331)*$H$35</f>
        <v/>
      </c>
      <c r="AJ333" s="40">
        <f>(AJ330-AJ331)*$H$35</f>
        <v/>
      </c>
      <c r="AK333" s="40">
        <f>(AK330-AK331)*$H$35</f>
        <v/>
      </c>
      <c r="AL333" s="40">
        <f>(AL330-AL331)*$H$35</f>
        <v/>
      </c>
      <c r="AM333" s="40">
        <f>(AM330-AM331)*$H$35</f>
        <v/>
      </c>
      <c r="AN333" s="40">
        <f>(AN330-AN331)*$H$35</f>
        <v/>
      </c>
      <c r="AO333" s="40">
        <f>(AO330-AO331)*$H$35</f>
        <v/>
      </c>
      <c r="AP333" s="40">
        <f>(AP330-AP331)*$H$35</f>
        <v/>
      </c>
      <c r="AQ333" s="40">
        <f>(AQ330-AQ331)*$H$35</f>
        <v/>
      </c>
      <c r="AR333" s="40">
        <f>(AR330-AR331)*$H$35</f>
        <v/>
      </c>
      <c r="AS333" s="40">
        <f>(AS330-AS331)*$H$35</f>
        <v/>
      </c>
      <c r="AT333" s="40">
        <f>(AT330-AT331)*$H$35</f>
        <v/>
      </c>
      <c r="AU333" s="40">
        <f>(AU330-AU331)*$H$35</f>
        <v/>
      </c>
      <c r="AV333" s="40">
        <f>(AV330-AV331)*$H$35</f>
        <v/>
      </c>
      <c r="AW333" s="40">
        <f>(AW330-AW331)*$H$35</f>
        <v/>
      </c>
      <c r="AX333" s="40">
        <f>(AX330-AX331)*$H$35</f>
        <v/>
      </c>
      <c r="AY333" s="40">
        <f>(AY330-AY331)*$H$35</f>
        <v/>
      </c>
      <c r="AZ333" s="40">
        <f>(AZ330-AZ331)*$H$35</f>
        <v/>
      </c>
      <c r="BA333" s="40">
        <f>(BA330-BA331)*$H$35</f>
        <v/>
      </c>
      <c r="BB333" s="40">
        <f>(BB330-BB331)*$H$35</f>
        <v/>
      </c>
      <c r="BC333" s="40">
        <f>(BC330-BC331)*$H$35</f>
        <v/>
      </c>
      <c r="BD333" s="40">
        <f>(BD330-BD331)*$H$35</f>
        <v/>
      </c>
    </row>
    <row r="334">
      <c r="A334" s="33" t="inlineStr">
        <is>
          <t xml:space="preserve">   leaves the store (offered - returned)</t>
        </is>
      </c>
      <c r="B334" s="2" t="inlineStr">
        <is>
          <t>lb</t>
        </is>
      </c>
      <c r="E334" s="40">
        <f>E330-E333</f>
        <v/>
      </c>
      <c r="F334" s="40">
        <f>F330-F333</f>
        <v/>
      </c>
      <c r="G334" s="40">
        <f>G330-G333</f>
        <v/>
      </c>
      <c r="H334" s="40">
        <f>H330-H333</f>
        <v/>
      </c>
      <c r="I334" s="40">
        <f>I330-I333</f>
        <v/>
      </c>
      <c r="J334" s="40">
        <f>J330-J333</f>
        <v/>
      </c>
      <c r="K334" s="40">
        <f>K330-K333</f>
        <v/>
      </c>
      <c r="L334" s="40">
        <f>L330-L333</f>
        <v/>
      </c>
      <c r="M334" s="40">
        <f>M330-M333</f>
        <v/>
      </c>
      <c r="N334" s="40">
        <f>N330-N333</f>
        <v/>
      </c>
      <c r="O334" s="40">
        <f>O330-O333</f>
        <v/>
      </c>
      <c r="P334" s="40">
        <f>P330-P333</f>
        <v/>
      </c>
      <c r="Q334" s="40">
        <f>Q330-Q333</f>
        <v/>
      </c>
      <c r="R334" s="40">
        <f>R330-R333</f>
        <v/>
      </c>
      <c r="S334" s="40">
        <f>S330-S333</f>
        <v/>
      </c>
      <c r="T334" s="40">
        <f>T330-T333</f>
        <v/>
      </c>
      <c r="U334" s="40">
        <f>U330-U333</f>
        <v/>
      </c>
      <c r="V334" s="40">
        <f>V330-V333</f>
        <v/>
      </c>
      <c r="W334" s="40">
        <f>W330-W333</f>
        <v/>
      </c>
      <c r="X334" s="40">
        <f>X330-X333</f>
        <v/>
      </c>
      <c r="Y334" s="40">
        <f>Y330-Y333</f>
        <v/>
      </c>
      <c r="Z334" s="40">
        <f>Z330-Z333</f>
        <v/>
      </c>
      <c r="AA334" s="40">
        <f>AA330-AA333</f>
        <v/>
      </c>
      <c r="AB334" s="40">
        <f>AB330-AB333</f>
        <v/>
      </c>
      <c r="AC334" s="40">
        <f>AC330-AC333</f>
        <v/>
      </c>
      <c r="AD334" s="40">
        <f>AD330-AD333</f>
        <v/>
      </c>
      <c r="AE334" s="40">
        <f>AE330-AE333</f>
        <v/>
      </c>
      <c r="AF334" s="40">
        <f>AF330-AF333</f>
        <v/>
      </c>
      <c r="AG334" s="40">
        <f>AG330-AG333</f>
        <v/>
      </c>
      <c r="AH334" s="40">
        <f>AH330-AH333</f>
        <v/>
      </c>
      <c r="AI334" s="40">
        <f>AI330-AI333</f>
        <v/>
      </c>
      <c r="AJ334" s="40">
        <f>AJ330-AJ333</f>
        <v/>
      </c>
      <c r="AK334" s="40">
        <f>AK330-AK333</f>
        <v/>
      </c>
      <c r="AL334" s="40">
        <f>AL330-AL333</f>
        <v/>
      </c>
      <c r="AM334" s="40">
        <f>AM330-AM333</f>
        <v/>
      </c>
      <c r="AN334" s="40">
        <f>AN330-AN333</f>
        <v/>
      </c>
      <c r="AO334" s="40">
        <f>AO330-AO333</f>
        <v/>
      </c>
      <c r="AP334" s="40">
        <f>AP330-AP333</f>
        <v/>
      </c>
      <c r="AQ334" s="40">
        <f>AQ330-AQ333</f>
        <v/>
      </c>
      <c r="AR334" s="40">
        <f>AR330-AR333</f>
        <v/>
      </c>
      <c r="AS334" s="40">
        <f>AS330-AS333</f>
        <v/>
      </c>
      <c r="AT334" s="40">
        <f>AT330-AT333</f>
        <v/>
      </c>
      <c r="AU334" s="40">
        <f>AU330-AU333</f>
        <v/>
      </c>
      <c r="AV334" s="40">
        <f>AV330-AV333</f>
        <v/>
      </c>
      <c r="AW334" s="40">
        <f>AW330-AW333</f>
        <v/>
      </c>
      <c r="AX334" s="40">
        <f>AX330-AX333</f>
        <v/>
      </c>
      <c r="AY334" s="40">
        <f>AY330-AY333</f>
        <v/>
      </c>
      <c r="AZ334" s="40">
        <f>AZ330-AZ333</f>
        <v/>
      </c>
      <c r="BA334" s="40">
        <f>BA330-BA333</f>
        <v/>
      </c>
      <c r="BB334" s="40">
        <f>BB330-BB333</f>
        <v/>
      </c>
      <c r="BC334" s="40">
        <f>BC330-BC333</f>
        <v/>
      </c>
      <c r="BD334" s="40">
        <f>BD330-BD333</f>
        <v/>
      </c>
    </row>
    <row r="335">
      <c r="A335" s="43" t="inlineStr">
        <is>
          <t>Wholesale — most you may sell this week</t>
        </is>
      </c>
      <c r="B335" s="2" t="inlineStr">
        <is>
          <t>lb</t>
        </is>
      </c>
      <c r="E335" s="42">
        <f>IF($C$36="Annual",$D$36-0,IF(AND(1&gt;=$E$36,1&lt;=$F$36),$D$36,0))</f>
        <v/>
      </c>
      <c r="F335" s="42">
        <f>IF($C$36="Annual",$D$36-SUM(E464:E464),IF(AND(2&gt;=$E$36,2&lt;=$F$36),$D$36,0))</f>
        <v/>
      </c>
      <c r="G335" s="42">
        <f>IF($C$36="Annual",$D$36-SUM(E464:F464),IF(AND(3&gt;=$E$36,3&lt;=$F$36),$D$36,0))</f>
        <v/>
      </c>
      <c r="H335" s="42">
        <f>IF($C$36="Annual",$D$36-SUM(E464:G464),IF(AND(4&gt;=$E$36,4&lt;=$F$36),$D$36,0))</f>
        <v/>
      </c>
      <c r="I335" s="42">
        <f>IF($C$36="Annual",$D$36-SUM(E464:H464),IF(AND(5&gt;=$E$36,5&lt;=$F$36),$D$36,0))</f>
        <v/>
      </c>
      <c r="J335" s="42">
        <f>IF($C$36="Annual",$D$36-SUM(E464:I464),IF(AND(6&gt;=$E$36,6&lt;=$F$36),$D$36,0))</f>
        <v/>
      </c>
      <c r="K335" s="42">
        <f>IF($C$36="Annual",$D$36-SUM(E464:J464),IF(AND(7&gt;=$E$36,7&lt;=$F$36),$D$36,0))</f>
        <v/>
      </c>
      <c r="L335" s="42">
        <f>IF($C$36="Annual",$D$36-SUM(E464:K464),IF(AND(8&gt;=$E$36,8&lt;=$F$36),$D$36,0))</f>
        <v/>
      </c>
      <c r="M335" s="42">
        <f>IF($C$36="Annual",$D$36-SUM(E464:L464),IF(AND(9&gt;=$E$36,9&lt;=$F$36),$D$36,0))</f>
        <v/>
      </c>
      <c r="N335" s="42">
        <f>IF($C$36="Annual",$D$36-SUM(E464:M464),IF(AND(10&gt;=$E$36,10&lt;=$F$36),$D$36,0))</f>
        <v/>
      </c>
      <c r="O335" s="42">
        <f>IF($C$36="Annual",$D$36-SUM(E464:N464),IF(AND(11&gt;=$E$36,11&lt;=$F$36),$D$36,0))</f>
        <v/>
      </c>
      <c r="P335" s="42">
        <f>IF($C$36="Annual",$D$36-SUM(E464:O464),IF(AND(12&gt;=$E$36,12&lt;=$F$36),$D$36,0))</f>
        <v/>
      </c>
      <c r="Q335" s="42">
        <f>IF($C$36="Annual",$D$36-SUM(E464:P464),IF(AND(13&gt;=$E$36,13&lt;=$F$36),$D$36,0))</f>
        <v/>
      </c>
      <c r="R335" s="42">
        <f>IF($C$36="Annual",$D$36-SUM(E464:Q464),IF(AND(14&gt;=$E$36,14&lt;=$F$36),$D$36,0))</f>
        <v/>
      </c>
      <c r="S335" s="42">
        <f>IF($C$36="Annual",$D$36-SUM(E464:R464),IF(AND(15&gt;=$E$36,15&lt;=$F$36),$D$36,0))</f>
        <v/>
      </c>
      <c r="T335" s="42">
        <f>IF($C$36="Annual",$D$36-SUM(E464:S464),IF(AND(16&gt;=$E$36,16&lt;=$F$36),$D$36,0))</f>
        <v/>
      </c>
      <c r="U335" s="42">
        <f>IF($C$36="Annual",$D$36-SUM(E464:T464),IF(AND(17&gt;=$E$36,17&lt;=$F$36),$D$36,0))</f>
        <v/>
      </c>
      <c r="V335" s="42">
        <f>IF($C$36="Annual",$D$36-SUM(E464:U464),IF(AND(18&gt;=$E$36,18&lt;=$F$36),$D$36,0))</f>
        <v/>
      </c>
      <c r="W335" s="42">
        <f>IF($C$36="Annual",$D$36-SUM(E464:V464),IF(AND(19&gt;=$E$36,19&lt;=$F$36),$D$36,0))</f>
        <v/>
      </c>
      <c r="X335" s="42">
        <f>IF($C$36="Annual",$D$36-SUM(E464:W464),IF(AND(20&gt;=$E$36,20&lt;=$F$36),$D$36,0))</f>
        <v/>
      </c>
      <c r="Y335" s="42">
        <f>IF($C$36="Annual",$D$36-SUM(E464:X464),IF(AND(21&gt;=$E$36,21&lt;=$F$36),$D$36,0))</f>
        <v/>
      </c>
      <c r="Z335" s="42">
        <f>IF($C$36="Annual",$D$36-SUM(E464:Y464),IF(AND(22&gt;=$E$36,22&lt;=$F$36),$D$36,0))</f>
        <v/>
      </c>
      <c r="AA335" s="42">
        <f>IF($C$36="Annual",$D$36-SUM(E464:Z464),IF(AND(23&gt;=$E$36,23&lt;=$F$36),$D$36,0))</f>
        <v/>
      </c>
      <c r="AB335" s="42">
        <f>IF($C$36="Annual",$D$36-SUM(E464:AA464),IF(AND(24&gt;=$E$36,24&lt;=$F$36),$D$36,0))</f>
        <v/>
      </c>
      <c r="AC335" s="42">
        <f>IF($C$36="Annual",$D$36-SUM(E464:AB464),IF(AND(25&gt;=$E$36,25&lt;=$F$36),$D$36,0))</f>
        <v/>
      </c>
      <c r="AD335" s="42">
        <f>IF($C$36="Annual",$D$36-SUM(E464:AC464),IF(AND(26&gt;=$E$36,26&lt;=$F$36),$D$36,0))</f>
        <v/>
      </c>
      <c r="AE335" s="42">
        <f>IF($C$36="Annual",$D$36-SUM(E464:AD464),IF(AND(27&gt;=$E$36,27&lt;=$F$36),$D$36,0))</f>
        <v/>
      </c>
      <c r="AF335" s="42">
        <f>IF($C$36="Annual",$D$36-SUM(E464:AE464),IF(AND(28&gt;=$E$36,28&lt;=$F$36),$D$36,0))</f>
        <v/>
      </c>
      <c r="AG335" s="42">
        <f>IF($C$36="Annual",$D$36-SUM(E464:AF464),IF(AND(29&gt;=$E$36,29&lt;=$F$36),$D$36,0))</f>
        <v/>
      </c>
      <c r="AH335" s="42">
        <f>IF($C$36="Annual",$D$36-SUM(E464:AG464),IF(AND(30&gt;=$E$36,30&lt;=$F$36),$D$36,0))</f>
        <v/>
      </c>
      <c r="AI335" s="42">
        <f>IF($C$36="Annual",$D$36-SUM(E464:AH464),IF(AND(31&gt;=$E$36,31&lt;=$F$36),$D$36,0))</f>
        <v/>
      </c>
      <c r="AJ335" s="42">
        <f>IF($C$36="Annual",$D$36-SUM(E464:AI464),IF(AND(32&gt;=$E$36,32&lt;=$F$36),$D$36,0))</f>
        <v/>
      </c>
      <c r="AK335" s="42">
        <f>IF($C$36="Annual",$D$36-SUM(E464:AJ464),IF(AND(33&gt;=$E$36,33&lt;=$F$36),$D$36,0))</f>
        <v/>
      </c>
      <c r="AL335" s="42">
        <f>IF($C$36="Annual",$D$36-SUM(E464:AK464),IF(AND(34&gt;=$E$36,34&lt;=$F$36),$D$36,0))</f>
        <v/>
      </c>
      <c r="AM335" s="42">
        <f>IF($C$36="Annual",$D$36-SUM(E464:AL464),IF(AND(35&gt;=$E$36,35&lt;=$F$36),$D$36,0))</f>
        <v/>
      </c>
      <c r="AN335" s="42">
        <f>IF($C$36="Annual",$D$36-SUM(E464:AM464),IF(AND(36&gt;=$E$36,36&lt;=$F$36),$D$36,0))</f>
        <v/>
      </c>
      <c r="AO335" s="42">
        <f>IF($C$36="Annual",$D$36-SUM(E464:AN464),IF(AND(37&gt;=$E$36,37&lt;=$F$36),$D$36,0))</f>
        <v/>
      </c>
      <c r="AP335" s="42">
        <f>IF($C$36="Annual",$D$36-SUM(E464:AO464),IF(AND(38&gt;=$E$36,38&lt;=$F$36),$D$36,0))</f>
        <v/>
      </c>
      <c r="AQ335" s="42">
        <f>IF($C$36="Annual",$D$36-SUM(E464:AP464),IF(AND(39&gt;=$E$36,39&lt;=$F$36),$D$36,0))</f>
        <v/>
      </c>
      <c r="AR335" s="42">
        <f>IF($C$36="Annual",$D$36-SUM(E464:AQ464),IF(AND(40&gt;=$E$36,40&lt;=$F$36),$D$36,0))</f>
        <v/>
      </c>
      <c r="AS335" s="42">
        <f>IF($C$36="Annual",$D$36-SUM(E464:AR464),IF(AND(41&gt;=$E$36,41&lt;=$F$36),$D$36,0))</f>
        <v/>
      </c>
      <c r="AT335" s="42">
        <f>IF($C$36="Annual",$D$36-SUM(E464:AS464),IF(AND(42&gt;=$E$36,42&lt;=$F$36),$D$36,0))</f>
        <v/>
      </c>
      <c r="AU335" s="42">
        <f>IF($C$36="Annual",$D$36-SUM(E464:AT464),IF(AND(43&gt;=$E$36,43&lt;=$F$36),$D$36,0))</f>
        <v/>
      </c>
      <c r="AV335" s="42">
        <f>IF($C$36="Annual",$D$36-SUM(E464:AU464),IF(AND(44&gt;=$E$36,44&lt;=$F$36),$D$36,0))</f>
        <v/>
      </c>
      <c r="AW335" s="42">
        <f>IF($C$36="Annual",$D$36-SUM(E464:AV464),IF(AND(45&gt;=$E$36,45&lt;=$F$36),$D$36,0))</f>
        <v/>
      </c>
      <c r="AX335" s="42">
        <f>IF($C$36="Annual",$D$36-SUM(E464:AW464),IF(AND(46&gt;=$E$36,46&lt;=$F$36),$D$36,0))</f>
        <v/>
      </c>
      <c r="AY335" s="42">
        <f>IF($C$36="Annual",$D$36-SUM(E464:AX464),IF(AND(47&gt;=$E$36,47&lt;=$F$36),$D$36,0))</f>
        <v/>
      </c>
      <c r="AZ335" s="42">
        <f>IF($C$36="Annual",$D$36-SUM(E464:AY464),IF(AND(48&gt;=$E$36,48&lt;=$F$36),$D$36,0))</f>
        <v/>
      </c>
      <c r="BA335" s="42">
        <f>IF($C$36="Annual",$D$36-SUM(E464:AZ464),IF(AND(49&gt;=$E$36,49&lt;=$F$36),$D$36,0))</f>
        <v/>
      </c>
      <c r="BB335" s="42">
        <f>IF($C$36="Annual",$D$36-SUM(E464:BA464),IF(AND(50&gt;=$E$36,50&lt;=$F$36),$D$36,0))</f>
        <v/>
      </c>
      <c r="BC335" s="42">
        <f>IF($C$36="Annual",$D$36-SUM(E464:BB464),IF(AND(51&gt;=$E$36,51&lt;=$F$36),$D$36,0))</f>
        <v/>
      </c>
      <c r="BD335" s="42">
        <f>IF($C$36="Annual",$D$36-SUM(E464:BC464),IF(AND(52&gt;=$E$36,52&lt;=$F$36),$D$36,0))</f>
        <v/>
      </c>
    </row>
    <row r="336">
      <c r="A336" s="32" t="inlineStr">
        <is>
          <t>Wholesale — OFFERED</t>
        </is>
      </c>
      <c r="B336" s="2" t="inlineStr">
        <is>
          <t>lb  &lt;-- SOLVER</t>
        </is>
      </c>
      <c r="E336" s="39" t="n">
        <v>0</v>
      </c>
      <c r="F336" s="39" t="n">
        <v>0</v>
      </c>
      <c r="G336" s="39" t="n">
        <v>0</v>
      </c>
      <c r="H336" s="39" t="n">
        <v>0</v>
      </c>
      <c r="I336" s="39" t="n">
        <v>0</v>
      </c>
      <c r="J336" s="39" t="n">
        <v>0</v>
      </c>
      <c r="K336" s="39" t="n">
        <v>0</v>
      </c>
      <c r="L336" s="39" t="n">
        <v>0</v>
      </c>
      <c r="M336" s="39" t="n">
        <v>0</v>
      </c>
      <c r="N336" s="39" t="n">
        <v>0</v>
      </c>
      <c r="O336" s="39" t="n">
        <v>0</v>
      </c>
      <c r="P336" s="39" t="n">
        <v>0</v>
      </c>
      <c r="Q336" s="39" t="n">
        <v>0</v>
      </c>
      <c r="R336" s="39" t="n">
        <v>0</v>
      </c>
      <c r="S336" s="39" t="n">
        <v>0</v>
      </c>
      <c r="T336" s="39" t="n">
        <v>0</v>
      </c>
      <c r="U336" s="39" t="n">
        <v>0</v>
      </c>
      <c r="V336" s="39" t="n">
        <v>0</v>
      </c>
      <c r="W336" s="39" t="n">
        <v>0</v>
      </c>
      <c r="X336" s="39" t="n">
        <v>0</v>
      </c>
      <c r="Y336" s="39" t="n">
        <v>0</v>
      </c>
      <c r="Z336" s="39" t="n">
        <v>0</v>
      </c>
      <c r="AA336" s="39" t="n">
        <v>0</v>
      </c>
      <c r="AB336" s="39" t="n">
        <v>0</v>
      </c>
      <c r="AC336" s="39" t="n">
        <v>0</v>
      </c>
      <c r="AD336" s="39" t="n">
        <v>0</v>
      </c>
      <c r="AE336" s="39" t="n">
        <v>0</v>
      </c>
      <c r="AF336" s="39" t="n">
        <v>0</v>
      </c>
      <c r="AG336" s="39" t="n">
        <v>0</v>
      </c>
      <c r="AH336" s="39" t="n">
        <v>0</v>
      </c>
      <c r="AI336" s="39" t="n">
        <v>0</v>
      </c>
      <c r="AJ336" s="39" t="n">
        <v>0</v>
      </c>
      <c r="AK336" s="39" t="n">
        <v>0</v>
      </c>
      <c r="AL336" s="39" t="n">
        <v>0</v>
      </c>
      <c r="AM336" s="39" t="n">
        <v>0</v>
      </c>
      <c r="AN336" s="39" t="n">
        <v>0</v>
      </c>
      <c r="AO336" s="39" t="n">
        <v>0</v>
      </c>
      <c r="AP336" s="39" t="n">
        <v>0</v>
      </c>
      <c r="AQ336" s="39" t="n">
        <v>0</v>
      </c>
      <c r="AR336" s="39" t="n">
        <v>0</v>
      </c>
      <c r="AS336" s="39" t="n">
        <v>0</v>
      </c>
      <c r="AT336" s="39" t="n">
        <v>0</v>
      </c>
      <c r="AU336" s="39" t="n">
        <v>0</v>
      </c>
      <c r="AV336" s="39" t="n">
        <v>0</v>
      </c>
      <c r="AW336" s="39" t="n">
        <v>0</v>
      </c>
      <c r="AX336" s="39" t="n">
        <v>0</v>
      </c>
      <c r="AY336" s="39" t="n">
        <v>0</v>
      </c>
      <c r="AZ336" s="39" t="n">
        <v>0</v>
      </c>
      <c r="BA336" s="39" t="n">
        <v>0</v>
      </c>
      <c r="BB336" s="39" t="n">
        <v>0</v>
      </c>
      <c r="BC336" s="39" t="n">
        <v>0</v>
      </c>
      <c r="BD336" s="39" t="n">
        <v>0</v>
      </c>
    </row>
    <row r="337">
      <c r="A337" s="56" t="inlineStr">
        <is>
          <t>Wholesale — SOLD</t>
        </is>
      </c>
      <c r="B337" s="2" t="inlineStr">
        <is>
          <t>lb</t>
        </is>
      </c>
      <c r="E337" s="57">
        <f>E336*$G$36</f>
        <v/>
      </c>
      <c r="F337" s="57">
        <f>F336*$G$36</f>
        <v/>
      </c>
      <c r="G337" s="57">
        <f>G336*$G$36</f>
        <v/>
      </c>
      <c r="H337" s="57">
        <f>H336*$G$36</f>
        <v/>
      </c>
      <c r="I337" s="57">
        <f>I336*$G$36</f>
        <v/>
      </c>
      <c r="J337" s="57">
        <f>J336*$G$36</f>
        <v/>
      </c>
      <c r="K337" s="57">
        <f>K336*$G$36</f>
        <v/>
      </c>
      <c r="L337" s="57">
        <f>L336*$G$36</f>
        <v/>
      </c>
      <c r="M337" s="57">
        <f>M336*$G$36</f>
        <v/>
      </c>
      <c r="N337" s="57">
        <f>N336*$G$36</f>
        <v/>
      </c>
      <c r="O337" s="57">
        <f>O336*$G$36</f>
        <v/>
      </c>
      <c r="P337" s="57">
        <f>P336*$G$36</f>
        <v/>
      </c>
      <c r="Q337" s="57">
        <f>Q336*$G$36</f>
        <v/>
      </c>
      <c r="R337" s="57">
        <f>R336*$G$36</f>
        <v/>
      </c>
      <c r="S337" s="57">
        <f>S336*$G$36</f>
        <v/>
      </c>
      <c r="T337" s="57">
        <f>T336*$G$36</f>
        <v/>
      </c>
      <c r="U337" s="57">
        <f>U336*$G$36</f>
        <v/>
      </c>
      <c r="V337" s="57">
        <f>V336*$G$36</f>
        <v/>
      </c>
      <c r="W337" s="57">
        <f>W336*$G$36</f>
        <v/>
      </c>
      <c r="X337" s="57">
        <f>X336*$G$36</f>
        <v/>
      </c>
      <c r="Y337" s="57">
        <f>Y336*$G$36</f>
        <v/>
      </c>
      <c r="Z337" s="57">
        <f>Z336*$G$36</f>
        <v/>
      </c>
      <c r="AA337" s="57">
        <f>AA336*$G$36</f>
        <v/>
      </c>
      <c r="AB337" s="57">
        <f>AB336*$G$36</f>
        <v/>
      </c>
      <c r="AC337" s="57">
        <f>AC336*$G$36</f>
        <v/>
      </c>
      <c r="AD337" s="57">
        <f>AD336*$G$36</f>
        <v/>
      </c>
      <c r="AE337" s="57">
        <f>AE336*$G$36</f>
        <v/>
      </c>
      <c r="AF337" s="57">
        <f>AF336*$G$36</f>
        <v/>
      </c>
      <c r="AG337" s="57">
        <f>AG336*$G$36</f>
        <v/>
      </c>
      <c r="AH337" s="57">
        <f>AH336*$G$36</f>
        <v/>
      </c>
      <c r="AI337" s="57">
        <f>AI336*$G$36</f>
        <v/>
      </c>
      <c r="AJ337" s="57">
        <f>AJ336*$G$36</f>
        <v/>
      </c>
      <c r="AK337" s="57">
        <f>AK336*$G$36</f>
        <v/>
      </c>
      <c r="AL337" s="57">
        <f>AL336*$G$36</f>
        <v/>
      </c>
      <c r="AM337" s="57">
        <f>AM336*$G$36</f>
        <v/>
      </c>
      <c r="AN337" s="57">
        <f>AN336*$G$36</f>
        <v/>
      </c>
      <c r="AO337" s="57">
        <f>AO336*$G$36</f>
        <v/>
      </c>
      <c r="AP337" s="57">
        <f>AP336*$G$36</f>
        <v/>
      </c>
      <c r="AQ337" s="57">
        <f>AQ336*$G$36</f>
        <v/>
      </c>
      <c r="AR337" s="57">
        <f>AR336*$G$36</f>
        <v/>
      </c>
      <c r="AS337" s="57">
        <f>AS336*$G$36</f>
        <v/>
      </c>
      <c r="AT337" s="57">
        <f>AT336*$G$36</f>
        <v/>
      </c>
      <c r="AU337" s="57">
        <f>AU336*$G$36</f>
        <v/>
      </c>
      <c r="AV337" s="57">
        <f>AV336*$G$36</f>
        <v/>
      </c>
      <c r="AW337" s="57">
        <f>AW336*$G$36</f>
        <v/>
      </c>
      <c r="AX337" s="57">
        <f>AX336*$G$36</f>
        <v/>
      </c>
      <c r="AY337" s="57">
        <f>AY336*$G$36</f>
        <v/>
      </c>
      <c r="AZ337" s="57">
        <f>AZ336*$G$36</f>
        <v/>
      </c>
      <c r="BA337" s="57">
        <f>BA336*$G$36</f>
        <v/>
      </c>
      <c r="BB337" s="57">
        <f>BB336*$G$36</f>
        <v/>
      </c>
      <c r="BC337" s="57">
        <f>BC336*$G$36</f>
        <v/>
      </c>
      <c r="BD337" s="57">
        <f>BD336*$G$36</f>
        <v/>
      </c>
    </row>
    <row r="338">
      <c r="A338" s="33" t="inlineStr">
        <is>
          <t xml:space="preserve">   market loss (gone)</t>
        </is>
      </c>
      <c r="B338" s="2" t="inlineStr">
        <is>
          <t>lb</t>
        </is>
      </c>
      <c r="E338" s="40">
        <f>(E336-E337)*(1-$H$36)</f>
        <v/>
      </c>
      <c r="F338" s="40">
        <f>(F336-F337)*(1-$H$36)</f>
        <v/>
      </c>
      <c r="G338" s="40">
        <f>(G336-G337)*(1-$H$36)</f>
        <v/>
      </c>
      <c r="H338" s="40">
        <f>(H336-H337)*(1-$H$36)</f>
        <v/>
      </c>
      <c r="I338" s="40">
        <f>(I336-I337)*(1-$H$36)</f>
        <v/>
      </c>
      <c r="J338" s="40">
        <f>(J336-J337)*(1-$H$36)</f>
        <v/>
      </c>
      <c r="K338" s="40">
        <f>(K336-K337)*(1-$H$36)</f>
        <v/>
      </c>
      <c r="L338" s="40">
        <f>(L336-L337)*(1-$H$36)</f>
        <v/>
      </c>
      <c r="M338" s="40">
        <f>(M336-M337)*(1-$H$36)</f>
        <v/>
      </c>
      <c r="N338" s="40">
        <f>(N336-N337)*(1-$H$36)</f>
        <v/>
      </c>
      <c r="O338" s="40">
        <f>(O336-O337)*(1-$H$36)</f>
        <v/>
      </c>
      <c r="P338" s="40">
        <f>(P336-P337)*(1-$H$36)</f>
        <v/>
      </c>
      <c r="Q338" s="40">
        <f>(Q336-Q337)*(1-$H$36)</f>
        <v/>
      </c>
      <c r="R338" s="40">
        <f>(R336-R337)*(1-$H$36)</f>
        <v/>
      </c>
      <c r="S338" s="40">
        <f>(S336-S337)*(1-$H$36)</f>
        <v/>
      </c>
      <c r="T338" s="40">
        <f>(T336-T337)*(1-$H$36)</f>
        <v/>
      </c>
      <c r="U338" s="40">
        <f>(U336-U337)*(1-$H$36)</f>
        <v/>
      </c>
      <c r="V338" s="40">
        <f>(V336-V337)*(1-$H$36)</f>
        <v/>
      </c>
      <c r="W338" s="40">
        <f>(W336-W337)*(1-$H$36)</f>
        <v/>
      </c>
      <c r="X338" s="40">
        <f>(X336-X337)*(1-$H$36)</f>
        <v/>
      </c>
      <c r="Y338" s="40">
        <f>(Y336-Y337)*(1-$H$36)</f>
        <v/>
      </c>
      <c r="Z338" s="40">
        <f>(Z336-Z337)*(1-$H$36)</f>
        <v/>
      </c>
      <c r="AA338" s="40">
        <f>(AA336-AA337)*(1-$H$36)</f>
        <v/>
      </c>
      <c r="AB338" s="40">
        <f>(AB336-AB337)*(1-$H$36)</f>
        <v/>
      </c>
      <c r="AC338" s="40">
        <f>(AC336-AC337)*(1-$H$36)</f>
        <v/>
      </c>
      <c r="AD338" s="40">
        <f>(AD336-AD337)*(1-$H$36)</f>
        <v/>
      </c>
      <c r="AE338" s="40">
        <f>(AE336-AE337)*(1-$H$36)</f>
        <v/>
      </c>
      <c r="AF338" s="40">
        <f>(AF336-AF337)*(1-$H$36)</f>
        <v/>
      </c>
      <c r="AG338" s="40">
        <f>(AG336-AG337)*(1-$H$36)</f>
        <v/>
      </c>
      <c r="AH338" s="40">
        <f>(AH336-AH337)*(1-$H$36)</f>
        <v/>
      </c>
      <c r="AI338" s="40">
        <f>(AI336-AI337)*(1-$H$36)</f>
        <v/>
      </c>
      <c r="AJ338" s="40">
        <f>(AJ336-AJ337)*(1-$H$36)</f>
        <v/>
      </c>
      <c r="AK338" s="40">
        <f>(AK336-AK337)*(1-$H$36)</f>
        <v/>
      </c>
      <c r="AL338" s="40">
        <f>(AL336-AL337)*(1-$H$36)</f>
        <v/>
      </c>
      <c r="AM338" s="40">
        <f>(AM336-AM337)*(1-$H$36)</f>
        <v/>
      </c>
      <c r="AN338" s="40">
        <f>(AN336-AN337)*(1-$H$36)</f>
        <v/>
      </c>
      <c r="AO338" s="40">
        <f>(AO336-AO337)*(1-$H$36)</f>
        <v/>
      </c>
      <c r="AP338" s="40">
        <f>(AP336-AP337)*(1-$H$36)</f>
        <v/>
      </c>
      <c r="AQ338" s="40">
        <f>(AQ336-AQ337)*(1-$H$36)</f>
        <v/>
      </c>
      <c r="AR338" s="40">
        <f>(AR336-AR337)*(1-$H$36)</f>
        <v/>
      </c>
      <c r="AS338" s="40">
        <f>(AS336-AS337)*(1-$H$36)</f>
        <v/>
      </c>
      <c r="AT338" s="40">
        <f>(AT336-AT337)*(1-$H$36)</f>
        <v/>
      </c>
      <c r="AU338" s="40">
        <f>(AU336-AU337)*(1-$H$36)</f>
        <v/>
      </c>
      <c r="AV338" s="40">
        <f>(AV336-AV337)*(1-$H$36)</f>
        <v/>
      </c>
      <c r="AW338" s="40">
        <f>(AW336-AW337)*(1-$H$36)</f>
        <v/>
      </c>
      <c r="AX338" s="40">
        <f>(AX336-AX337)*(1-$H$36)</f>
        <v/>
      </c>
      <c r="AY338" s="40">
        <f>(AY336-AY337)*(1-$H$36)</f>
        <v/>
      </c>
      <c r="AZ338" s="40">
        <f>(AZ336-AZ337)*(1-$H$36)</f>
        <v/>
      </c>
      <c r="BA338" s="40">
        <f>(BA336-BA337)*(1-$H$36)</f>
        <v/>
      </c>
      <c r="BB338" s="40">
        <f>(BB336-BB337)*(1-$H$36)</f>
        <v/>
      </c>
      <c r="BC338" s="40">
        <f>(BC336-BC337)*(1-$H$36)</f>
        <v/>
      </c>
      <c r="BD338" s="40">
        <f>(BD336-BD337)*(1-$H$36)</f>
        <v/>
      </c>
    </row>
    <row r="339">
      <c r="A339" s="33" t="inlineStr">
        <is>
          <t xml:space="preserve">   returned to store</t>
        </is>
      </c>
      <c r="B339" s="2" t="inlineStr">
        <is>
          <t>lb</t>
        </is>
      </c>
      <c r="E339" s="40">
        <f>(E336-E337)*$H$36</f>
        <v/>
      </c>
      <c r="F339" s="40">
        <f>(F336-F337)*$H$36</f>
        <v/>
      </c>
      <c r="G339" s="40">
        <f>(G336-G337)*$H$36</f>
        <v/>
      </c>
      <c r="H339" s="40">
        <f>(H336-H337)*$H$36</f>
        <v/>
      </c>
      <c r="I339" s="40">
        <f>(I336-I337)*$H$36</f>
        <v/>
      </c>
      <c r="J339" s="40">
        <f>(J336-J337)*$H$36</f>
        <v/>
      </c>
      <c r="K339" s="40">
        <f>(K336-K337)*$H$36</f>
        <v/>
      </c>
      <c r="L339" s="40">
        <f>(L336-L337)*$H$36</f>
        <v/>
      </c>
      <c r="M339" s="40">
        <f>(M336-M337)*$H$36</f>
        <v/>
      </c>
      <c r="N339" s="40">
        <f>(N336-N337)*$H$36</f>
        <v/>
      </c>
      <c r="O339" s="40">
        <f>(O336-O337)*$H$36</f>
        <v/>
      </c>
      <c r="P339" s="40">
        <f>(P336-P337)*$H$36</f>
        <v/>
      </c>
      <c r="Q339" s="40">
        <f>(Q336-Q337)*$H$36</f>
        <v/>
      </c>
      <c r="R339" s="40">
        <f>(R336-R337)*$H$36</f>
        <v/>
      </c>
      <c r="S339" s="40">
        <f>(S336-S337)*$H$36</f>
        <v/>
      </c>
      <c r="T339" s="40">
        <f>(T336-T337)*$H$36</f>
        <v/>
      </c>
      <c r="U339" s="40">
        <f>(U336-U337)*$H$36</f>
        <v/>
      </c>
      <c r="V339" s="40">
        <f>(V336-V337)*$H$36</f>
        <v/>
      </c>
      <c r="W339" s="40">
        <f>(W336-W337)*$H$36</f>
        <v/>
      </c>
      <c r="X339" s="40">
        <f>(X336-X337)*$H$36</f>
        <v/>
      </c>
      <c r="Y339" s="40">
        <f>(Y336-Y337)*$H$36</f>
        <v/>
      </c>
      <c r="Z339" s="40">
        <f>(Z336-Z337)*$H$36</f>
        <v/>
      </c>
      <c r="AA339" s="40">
        <f>(AA336-AA337)*$H$36</f>
        <v/>
      </c>
      <c r="AB339" s="40">
        <f>(AB336-AB337)*$H$36</f>
        <v/>
      </c>
      <c r="AC339" s="40">
        <f>(AC336-AC337)*$H$36</f>
        <v/>
      </c>
      <c r="AD339" s="40">
        <f>(AD336-AD337)*$H$36</f>
        <v/>
      </c>
      <c r="AE339" s="40">
        <f>(AE336-AE337)*$H$36</f>
        <v/>
      </c>
      <c r="AF339" s="40">
        <f>(AF336-AF337)*$H$36</f>
        <v/>
      </c>
      <c r="AG339" s="40">
        <f>(AG336-AG337)*$H$36</f>
        <v/>
      </c>
      <c r="AH339" s="40">
        <f>(AH336-AH337)*$H$36</f>
        <v/>
      </c>
      <c r="AI339" s="40">
        <f>(AI336-AI337)*$H$36</f>
        <v/>
      </c>
      <c r="AJ339" s="40">
        <f>(AJ336-AJ337)*$H$36</f>
        <v/>
      </c>
      <c r="AK339" s="40">
        <f>(AK336-AK337)*$H$36</f>
        <v/>
      </c>
      <c r="AL339" s="40">
        <f>(AL336-AL337)*$H$36</f>
        <v/>
      </c>
      <c r="AM339" s="40">
        <f>(AM336-AM337)*$H$36</f>
        <v/>
      </c>
      <c r="AN339" s="40">
        <f>(AN336-AN337)*$H$36</f>
        <v/>
      </c>
      <c r="AO339" s="40">
        <f>(AO336-AO337)*$H$36</f>
        <v/>
      </c>
      <c r="AP339" s="40">
        <f>(AP336-AP337)*$H$36</f>
        <v/>
      </c>
      <c r="AQ339" s="40">
        <f>(AQ336-AQ337)*$H$36</f>
        <v/>
      </c>
      <c r="AR339" s="40">
        <f>(AR336-AR337)*$H$36</f>
        <v/>
      </c>
      <c r="AS339" s="40">
        <f>(AS336-AS337)*$H$36</f>
        <v/>
      </c>
      <c r="AT339" s="40">
        <f>(AT336-AT337)*$H$36</f>
        <v/>
      </c>
      <c r="AU339" s="40">
        <f>(AU336-AU337)*$H$36</f>
        <v/>
      </c>
      <c r="AV339" s="40">
        <f>(AV336-AV337)*$H$36</f>
        <v/>
      </c>
      <c r="AW339" s="40">
        <f>(AW336-AW337)*$H$36</f>
        <v/>
      </c>
      <c r="AX339" s="40">
        <f>(AX336-AX337)*$H$36</f>
        <v/>
      </c>
      <c r="AY339" s="40">
        <f>(AY336-AY337)*$H$36</f>
        <v/>
      </c>
      <c r="AZ339" s="40">
        <f>(AZ336-AZ337)*$H$36</f>
        <v/>
      </c>
      <c r="BA339" s="40">
        <f>(BA336-BA337)*$H$36</f>
        <v/>
      </c>
      <c r="BB339" s="40">
        <f>(BB336-BB337)*$H$36</f>
        <v/>
      </c>
      <c r="BC339" s="40">
        <f>(BC336-BC337)*$H$36</f>
        <v/>
      </c>
      <c r="BD339" s="40">
        <f>(BD336-BD337)*$H$36</f>
        <v/>
      </c>
    </row>
    <row r="340">
      <c r="A340" s="33" t="inlineStr">
        <is>
          <t xml:space="preserve">   leaves the store (offered - returned)</t>
        </is>
      </c>
      <c r="B340" s="2" t="inlineStr">
        <is>
          <t>lb</t>
        </is>
      </c>
      <c r="E340" s="40">
        <f>E336-E339</f>
        <v/>
      </c>
      <c r="F340" s="40">
        <f>F336-F339</f>
        <v/>
      </c>
      <c r="G340" s="40">
        <f>G336-G339</f>
        <v/>
      </c>
      <c r="H340" s="40">
        <f>H336-H339</f>
        <v/>
      </c>
      <c r="I340" s="40">
        <f>I336-I339</f>
        <v/>
      </c>
      <c r="J340" s="40">
        <f>J336-J339</f>
        <v/>
      </c>
      <c r="K340" s="40">
        <f>K336-K339</f>
        <v/>
      </c>
      <c r="L340" s="40">
        <f>L336-L339</f>
        <v/>
      </c>
      <c r="M340" s="40">
        <f>M336-M339</f>
        <v/>
      </c>
      <c r="N340" s="40">
        <f>N336-N339</f>
        <v/>
      </c>
      <c r="O340" s="40">
        <f>O336-O339</f>
        <v/>
      </c>
      <c r="P340" s="40">
        <f>P336-P339</f>
        <v/>
      </c>
      <c r="Q340" s="40">
        <f>Q336-Q339</f>
        <v/>
      </c>
      <c r="R340" s="40">
        <f>R336-R339</f>
        <v/>
      </c>
      <c r="S340" s="40">
        <f>S336-S339</f>
        <v/>
      </c>
      <c r="T340" s="40">
        <f>T336-T339</f>
        <v/>
      </c>
      <c r="U340" s="40">
        <f>U336-U339</f>
        <v/>
      </c>
      <c r="V340" s="40">
        <f>V336-V339</f>
        <v/>
      </c>
      <c r="W340" s="40">
        <f>W336-W339</f>
        <v/>
      </c>
      <c r="X340" s="40">
        <f>X336-X339</f>
        <v/>
      </c>
      <c r="Y340" s="40">
        <f>Y336-Y339</f>
        <v/>
      </c>
      <c r="Z340" s="40">
        <f>Z336-Z339</f>
        <v/>
      </c>
      <c r="AA340" s="40">
        <f>AA336-AA339</f>
        <v/>
      </c>
      <c r="AB340" s="40">
        <f>AB336-AB339</f>
        <v/>
      </c>
      <c r="AC340" s="40">
        <f>AC336-AC339</f>
        <v/>
      </c>
      <c r="AD340" s="40">
        <f>AD336-AD339</f>
        <v/>
      </c>
      <c r="AE340" s="40">
        <f>AE336-AE339</f>
        <v/>
      </c>
      <c r="AF340" s="40">
        <f>AF336-AF339</f>
        <v/>
      </c>
      <c r="AG340" s="40">
        <f>AG336-AG339</f>
        <v/>
      </c>
      <c r="AH340" s="40">
        <f>AH336-AH339</f>
        <v/>
      </c>
      <c r="AI340" s="40">
        <f>AI336-AI339</f>
        <v/>
      </c>
      <c r="AJ340" s="40">
        <f>AJ336-AJ339</f>
        <v/>
      </c>
      <c r="AK340" s="40">
        <f>AK336-AK339</f>
        <v/>
      </c>
      <c r="AL340" s="40">
        <f>AL336-AL339</f>
        <v/>
      </c>
      <c r="AM340" s="40">
        <f>AM336-AM339</f>
        <v/>
      </c>
      <c r="AN340" s="40">
        <f>AN336-AN339</f>
        <v/>
      </c>
      <c r="AO340" s="40">
        <f>AO336-AO339</f>
        <v/>
      </c>
      <c r="AP340" s="40">
        <f>AP336-AP339</f>
        <v/>
      </c>
      <c r="AQ340" s="40">
        <f>AQ336-AQ339</f>
        <v/>
      </c>
      <c r="AR340" s="40">
        <f>AR336-AR339</f>
        <v/>
      </c>
      <c r="AS340" s="40">
        <f>AS336-AS339</f>
        <v/>
      </c>
      <c r="AT340" s="40">
        <f>AT336-AT339</f>
        <v/>
      </c>
      <c r="AU340" s="40">
        <f>AU336-AU339</f>
        <v/>
      </c>
      <c r="AV340" s="40">
        <f>AV336-AV339</f>
        <v/>
      </c>
      <c r="AW340" s="40">
        <f>AW336-AW339</f>
        <v/>
      </c>
      <c r="AX340" s="40">
        <f>AX336-AX339</f>
        <v/>
      </c>
      <c r="AY340" s="40">
        <f>AY336-AY339</f>
        <v/>
      </c>
      <c r="AZ340" s="40">
        <f>AZ336-AZ339</f>
        <v/>
      </c>
      <c r="BA340" s="40">
        <f>BA336-BA339</f>
        <v/>
      </c>
      <c r="BB340" s="40">
        <f>BB336-BB339</f>
        <v/>
      </c>
      <c r="BC340" s="40">
        <f>BC336-BC339</f>
        <v/>
      </c>
      <c r="BD340" s="40">
        <f>BD336-BD339</f>
        <v/>
      </c>
    </row>
    <row r="341">
      <c r="A341" s="41" t="inlineStr">
        <is>
          <t>Stock carried out</t>
        </is>
      </c>
      <c r="B341" s="2" t="inlineStr">
        <is>
          <t>lb</t>
        </is>
      </c>
      <c r="E341" s="40">
        <f>E328-E334-E340</f>
        <v/>
      </c>
      <c r="F341" s="40">
        <f>F328-F334-F340</f>
        <v/>
      </c>
      <c r="G341" s="40">
        <f>G328-G334-G340</f>
        <v/>
      </c>
      <c r="H341" s="40">
        <f>H328-H334-H340</f>
        <v/>
      </c>
      <c r="I341" s="40">
        <f>I328-I334-I340</f>
        <v/>
      </c>
      <c r="J341" s="40">
        <f>J328-J334-J340</f>
        <v/>
      </c>
      <c r="K341" s="40">
        <f>K328-K334-K340</f>
        <v/>
      </c>
      <c r="L341" s="40">
        <f>L328-L334-L340</f>
        <v/>
      </c>
      <c r="M341" s="40">
        <f>M328-M334-M340</f>
        <v/>
      </c>
      <c r="N341" s="40">
        <f>N328-N334-N340</f>
        <v/>
      </c>
      <c r="O341" s="40">
        <f>O328-O334-O340</f>
        <v/>
      </c>
      <c r="P341" s="40">
        <f>P328-P334-P340</f>
        <v/>
      </c>
      <c r="Q341" s="40">
        <f>Q328-Q334-Q340</f>
        <v/>
      </c>
      <c r="R341" s="40">
        <f>R328-R334-R340</f>
        <v/>
      </c>
      <c r="S341" s="40">
        <f>S328-S334-S340</f>
        <v/>
      </c>
      <c r="T341" s="40">
        <f>T328-T334-T340</f>
        <v/>
      </c>
      <c r="U341" s="40">
        <f>U328-U334-U340</f>
        <v/>
      </c>
      <c r="V341" s="40">
        <f>V328-V334-V340</f>
        <v/>
      </c>
      <c r="W341" s="40">
        <f>W328-W334-W340</f>
        <v/>
      </c>
      <c r="X341" s="40">
        <f>X328-X334-X340</f>
        <v/>
      </c>
      <c r="Y341" s="40">
        <f>Y328-Y334-Y340</f>
        <v/>
      </c>
      <c r="Z341" s="40">
        <f>Z328-Z334-Z340</f>
        <v/>
      </c>
      <c r="AA341" s="40">
        <f>AA328-AA334-AA340</f>
        <v/>
      </c>
      <c r="AB341" s="40">
        <f>AB328-AB334-AB340</f>
        <v/>
      </c>
      <c r="AC341" s="40">
        <f>AC328-AC334-AC340</f>
        <v/>
      </c>
      <c r="AD341" s="40">
        <f>AD328-AD334-AD340</f>
        <v/>
      </c>
      <c r="AE341" s="40">
        <f>AE328-AE334-AE340</f>
        <v/>
      </c>
      <c r="AF341" s="40">
        <f>AF328-AF334-AF340</f>
        <v/>
      </c>
      <c r="AG341" s="40">
        <f>AG328-AG334-AG340</f>
        <v/>
      </c>
      <c r="AH341" s="40">
        <f>AH328-AH334-AH340</f>
        <v/>
      </c>
      <c r="AI341" s="40">
        <f>AI328-AI334-AI340</f>
        <v/>
      </c>
      <c r="AJ341" s="40">
        <f>AJ328-AJ334-AJ340</f>
        <v/>
      </c>
      <c r="AK341" s="40">
        <f>AK328-AK334-AK340</f>
        <v/>
      </c>
      <c r="AL341" s="40">
        <f>AL328-AL334-AL340</f>
        <v/>
      </c>
      <c r="AM341" s="40">
        <f>AM328-AM334-AM340</f>
        <v/>
      </c>
      <c r="AN341" s="40">
        <f>AN328-AN334-AN340</f>
        <v/>
      </c>
      <c r="AO341" s="40">
        <f>AO328-AO334-AO340</f>
        <v/>
      </c>
      <c r="AP341" s="40">
        <f>AP328-AP334-AP340</f>
        <v/>
      </c>
      <c r="AQ341" s="40">
        <f>AQ328-AQ334-AQ340</f>
        <v/>
      </c>
      <c r="AR341" s="40">
        <f>AR328-AR334-AR340</f>
        <v/>
      </c>
      <c r="AS341" s="40">
        <f>AS328-AS334-AS340</f>
        <v/>
      </c>
      <c r="AT341" s="40">
        <f>AT328-AT334-AT340</f>
        <v/>
      </c>
      <c r="AU341" s="40">
        <f>AU328-AU334-AU340</f>
        <v/>
      </c>
      <c r="AV341" s="40">
        <f>AV328-AV334-AV340</f>
        <v/>
      </c>
      <c r="AW341" s="40">
        <f>AW328-AW334-AW340</f>
        <v/>
      </c>
      <c r="AX341" s="40">
        <f>AX328-AX334-AX340</f>
        <v/>
      </c>
      <c r="AY341" s="40">
        <f>AY328-AY334-AY340</f>
        <v/>
      </c>
      <c r="AZ341" s="40">
        <f>AZ328-AZ334-AZ340</f>
        <v/>
      </c>
      <c r="BA341" s="40">
        <f>BA328-BA334-BA340</f>
        <v/>
      </c>
      <c r="BB341" s="40">
        <f>BB328-BB334-BB340</f>
        <v/>
      </c>
      <c r="BC341" s="40">
        <f>BC328-BC334-BC340</f>
        <v/>
      </c>
      <c r="BD341" s="40">
        <f>BD328-BD334-BD340</f>
        <v/>
      </c>
    </row>
    <row r="342">
      <c r="A342" s="2" t="inlineStr">
        <is>
          <t xml:space="preserve">   ^ subtracts what LEAVES, not what was offered — so 'returned to store' is</t>
        </is>
      </c>
    </row>
    <row r="343">
      <c r="A343" s="2" t="inlineStr">
        <is>
          <t xml:space="preserve">     never taken out at all, and shows up as next week's carried in.</t>
        </is>
      </c>
    </row>
    <row r="344">
      <c r="A344" s="43" t="inlineStr">
        <is>
          <t>Most stock its shelf life allows</t>
        </is>
      </c>
      <c r="B344" s="2" t="inlineStr">
        <is>
          <t>lb</t>
        </is>
      </c>
      <c r="E344" s="42">
        <f>SUMPRODUCT(($E$324:$BD$324&gt;=1-$F$17+2)*($E$324:$BD$324&lt;=1)*$E$325:$BD$325*POWER(1-$G$17,($E$324:$BD$324&lt;=1)*(1-$E$324:$BD$324)))</f>
        <v/>
      </c>
      <c r="F344" s="42">
        <f>SUMPRODUCT(($E$324:$BD$324&gt;=2-$F$17+2)*($E$324:$BD$324&lt;=2)*$E$325:$BD$325*POWER(1-$G$17,($E$324:$BD$324&lt;=2)*(2-$E$324:$BD$324)))</f>
        <v/>
      </c>
      <c r="G344" s="42">
        <f>SUMPRODUCT(($E$324:$BD$324&gt;=3-$F$17+2)*($E$324:$BD$324&lt;=3)*$E$325:$BD$325*POWER(1-$G$17,($E$324:$BD$324&lt;=3)*(3-$E$324:$BD$324)))</f>
        <v/>
      </c>
      <c r="H344" s="42">
        <f>SUMPRODUCT(($E$324:$BD$324&gt;=4-$F$17+2)*($E$324:$BD$324&lt;=4)*$E$325:$BD$325*POWER(1-$G$17,($E$324:$BD$324&lt;=4)*(4-$E$324:$BD$324)))</f>
        <v/>
      </c>
      <c r="I344" s="42">
        <f>SUMPRODUCT(($E$324:$BD$324&gt;=5-$F$17+2)*($E$324:$BD$324&lt;=5)*$E$325:$BD$325*POWER(1-$G$17,($E$324:$BD$324&lt;=5)*(5-$E$324:$BD$324)))</f>
        <v/>
      </c>
      <c r="J344" s="42">
        <f>SUMPRODUCT(($E$324:$BD$324&gt;=6-$F$17+2)*($E$324:$BD$324&lt;=6)*$E$325:$BD$325*POWER(1-$G$17,($E$324:$BD$324&lt;=6)*(6-$E$324:$BD$324)))</f>
        <v/>
      </c>
      <c r="K344" s="42">
        <f>SUMPRODUCT(($E$324:$BD$324&gt;=7-$F$17+2)*($E$324:$BD$324&lt;=7)*$E$325:$BD$325*POWER(1-$G$17,($E$324:$BD$324&lt;=7)*(7-$E$324:$BD$324)))</f>
        <v/>
      </c>
      <c r="L344" s="42">
        <f>SUMPRODUCT(($E$324:$BD$324&gt;=8-$F$17+2)*($E$324:$BD$324&lt;=8)*$E$325:$BD$325*POWER(1-$G$17,($E$324:$BD$324&lt;=8)*(8-$E$324:$BD$324)))</f>
        <v/>
      </c>
      <c r="M344" s="42">
        <f>SUMPRODUCT(($E$324:$BD$324&gt;=9-$F$17+2)*($E$324:$BD$324&lt;=9)*$E$325:$BD$325*POWER(1-$G$17,($E$324:$BD$324&lt;=9)*(9-$E$324:$BD$324)))</f>
        <v/>
      </c>
      <c r="N344" s="42">
        <f>SUMPRODUCT(($E$324:$BD$324&gt;=10-$F$17+2)*($E$324:$BD$324&lt;=10)*$E$325:$BD$325*POWER(1-$G$17,($E$324:$BD$324&lt;=10)*(10-$E$324:$BD$324)))</f>
        <v/>
      </c>
      <c r="O344" s="42">
        <f>SUMPRODUCT(($E$324:$BD$324&gt;=11-$F$17+2)*($E$324:$BD$324&lt;=11)*$E$325:$BD$325*POWER(1-$G$17,($E$324:$BD$324&lt;=11)*(11-$E$324:$BD$324)))</f>
        <v/>
      </c>
      <c r="P344" s="42">
        <f>SUMPRODUCT(($E$324:$BD$324&gt;=12-$F$17+2)*($E$324:$BD$324&lt;=12)*$E$325:$BD$325*POWER(1-$G$17,($E$324:$BD$324&lt;=12)*(12-$E$324:$BD$324)))</f>
        <v/>
      </c>
      <c r="Q344" s="42">
        <f>SUMPRODUCT(($E$324:$BD$324&gt;=13-$F$17+2)*($E$324:$BD$324&lt;=13)*$E$325:$BD$325*POWER(1-$G$17,($E$324:$BD$324&lt;=13)*(13-$E$324:$BD$324)))</f>
        <v/>
      </c>
      <c r="R344" s="42">
        <f>SUMPRODUCT(($E$324:$BD$324&gt;=14-$F$17+2)*($E$324:$BD$324&lt;=14)*$E$325:$BD$325*POWER(1-$G$17,($E$324:$BD$324&lt;=14)*(14-$E$324:$BD$324)))</f>
        <v/>
      </c>
      <c r="S344" s="42">
        <f>SUMPRODUCT(($E$324:$BD$324&gt;=15-$F$17+2)*($E$324:$BD$324&lt;=15)*$E$325:$BD$325*POWER(1-$G$17,($E$324:$BD$324&lt;=15)*(15-$E$324:$BD$324)))</f>
        <v/>
      </c>
      <c r="T344" s="42">
        <f>SUMPRODUCT(($E$324:$BD$324&gt;=16-$F$17+2)*($E$324:$BD$324&lt;=16)*$E$325:$BD$325*POWER(1-$G$17,($E$324:$BD$324&lt;=16)*(16-$E$324:$BD$324)))</f>
        <v/>
      </c>
      <c r="U344" s="42">
        <f>SUMPRODUCT(($E$324:$BD$324&gt;=17-$F$17+2)*($E$324:$BD$324&lt;=17)*$E$325:$BD$325*POWER(1-$G$17,($E$324:$BD$324&lt;=17)*(17-$E$324:$BD$324)))</f>
        <v/>
      </c>
      <c r="V344" s="42">
        <f>SUMPRODUCT(($E$324:$BD$324&gt;=18-$F$17+2)*($E$324:$BD$324&lt;=18)*$E$325:$BD$325*POWER(1-$G$17,($E$324:$BD$324&lt;=18)*(18-$E$324:$BD$324)))</f>
        <v/>
      </c>
      <c r="W344" s="42">
        <f>SUMPRODUCT(($E$324:$BD$324&gt;=19-$F$17+2)*($E$324:$BD$324&lt;=19)*$E$325:$BD$325*POWER(1-$G$17,($E$324:$BD$324&lt;=19)*(19-$E$324:$BD$324)))</f>
        <v/>
      </c>
      <c r="X344" s="42">
        <f>SUMPRODUCT(($E$324:$BD$324&gt;=20-$F$17+2)*($E$324:$BD$324&lt;=20)*$E$325:$BD$325*POWER(1-$G$17,($E$324:$BD$324&lt;=20)*(20-$E$324:$BD$324)))</f>
        <v/>
      </c>
      <c r="Y344" s="42">
        <f>SUMPRODUCT(($E$324:$BD$324&gt;=21-$F$17+2)*($E$324:$BD$324&lt;=21)*$E$325:$BD$325*POWER(1-$G$17,($E$324:$BD$324&lt;=21)*(21-$E$324:$BD$324)))</f>
        <v/>
      </c>
      <c r="Z344" s="42">
        <f>SUMPRODUCT(($E$324:$BD$324&gt;=22-$F$17+2)*($E$324:$BD$324&lt;=22)*$E$325:$BD$325*POWER(1-$G$17,($E$324:$BD$324&lt;=22)*(22-$E$324:$BD$324)))</f>
        <v/>
      </c>
      <c r="AA344" s="42">
        <f>SUMPRODUCT(($E$324:$BD$324&gt;=23-$F$17+2)*($E$324:$BD$324&lt;=23)*$E$325:$BD$325*POWER(1-$G$17,($E$324:$BD$324&lt;=23)*(23-$E$324:$BD$324)))</f>
        <v/>
      </c>
      <c r="AB344" s="42">
        <f>SUMPRODUCT(($E$324:$BD$324&gt;=24-$F$17+2)*($E$324:$BD$324&lt;=24)*$E$325:$BD$325*POWER(1-$G$17,($E$324:$BD$324&lt;=24)*(24-$E$324:$BD$324)))</f>
        <v/>
      </c>
      <c r="AC344" s="42">
        <f>SUMPRODUCT(($E$324:$BD$324&gt;=25-$F$17+2)*($E$324:$BD$324&lt;=25)*$E$325:$BD$325*POWER(1-$G$17,($E$324:$BD$324&lt;=25)*(25-$E$324:$BD$324)))</f>
        <v/>
      </c>
      <c r="AD344" s="42">
        <f>SUMPRODUCT(($E$324:$BD$324&gt;=26-$F$17+2)*($E$324:$BD$324&lt;=26)*$E$325:$BD$325*POWER(1-$G$17,($E$324:$BD$324&lt;=26)*(26-$E$324:$BD$324)))</f>
        <v/>
      </c>
      <c r="AE344" s="42">
        <f>SUMPRODUCT(($E$324:$BD$324&gt;=27-$F$17+2)*($E$324:$BD$324&lt;=27)*$E$325:$BD$325*POWER(1-$G$17,($E$324:$BD$324&lt;=27)*(27-$E$324:$BD$324)))</f>
        <v/>
      </c>
      <c r="AF344" s="42">
        <f>SUMPRODUCT(($E$324:$BD$324&gt;=28-$F$17+2)*($E$324:$BD$324&lt;=28)*$E$325:$BD$325*POWER(1-$G$17,($E$324:$BD$324&lt;=28)*(28-$E$324:$BD$324)))</f>
        <v/>
      </c>
      <c r="AG344" s="42">
        <f>SUMPRODUCT(($E$324:$BD$324&gt;=29-$F$17+2)*($E$324:$BD$324&lt;=29)*$E$325:$BD$325*POWER(1-$G$17,($E$324:$BD$324&lt;=29)*(29-$E$324:$BD$324)))</f>
        <v/>
      </c>
      <c r="AH344" s="42">
        <f>SUMPRODUCT(($E$324:$BD$324&gt;=30-$F$17+2)*($E$324:$BD$324&lt;=30)*$E$325:$BD$325*POWER(1-$G$17,($E$324:$BD$324&lt;=30)*(30-$E$324:$BD$324)))</f>
        <v/>
      </c>
      <c r="AI344" s="42">
        <f>SUMPRODUCT(($E$324:$BD$324&gt;=31-$F$17+2)*($E$324:$BD$324&lt;=31)*$E$325:$BD$325*POWER(1-$G$17,($E$324:$BD$324&lt;=31)*(31-$E$324:$BD$324)))</f>
        <v/>
      </c>
      <c r="AJ344" s="42">
        <f>SUMPRODUCT(($E$324:$BD$324&gt;=32-$F$17+2)*($E$324:$BD$324&lt;=32)*$E$325:$BD$325*POWER(1-$G$17,($E$324:$BD$324&lt;=32)*(32-$E$324:$BD$324)))</f>
        <v/>
      </c>
      <c r="AK344" s="42">
        <f>SUMPRODUCT(($E$324:$BD$324&gt;=33-$F$17+2)*($E$324:$BD$324&lt;=33)*$E$325:$BD$325*POWER(1-$G$17,($E$324:$BD$324&lt;=33)*(33-$E$324:$BD$324)))</f>
        <v/>
      </c>
      <c r="AL344" s="42">
        <f>SUMPRODUCT(($E$324:$BD$324&gt;=34-$F$17+2)*($E$324:$BD$324&lt;=34)*$E$325:$BD$325*POWER(1-$G$17,($E$324:$BD$324&lt;=34)*(34-$E$324:$BD$324)))</f>
        <v/>
      </c>
      <c r="AM344" s="42">
        <f>SUMPRODUCT(($E$324:$BD$324&gt;=35-$F$17+2)*($E$324:$BD$324&lt;=35)*$E$325:$BD$325*POWER(1-$G$17,($E$324:$BD$324&lt;=35)*(35-$E$324:$BD$324)))</f>
        <v/>
      </c>
      <c r="AN344" s="42">
        <f>SUMPRODUCT(($E$324:$BD$324&gt;=36-$F$17+2)*($E$324:$BD$324&lt;=36)*$E$325:$BD$325*POWER(1-$G$17,($E$324:$BD$324&lt;=36)*(36-$E$324:$BD$324)))</f>
        <v/>
      </c>
      <c r="AO344" s="42">
        <f>SUMPRODUCT(($E$324:$BD$324&gt;=37-$F$17+2)*($E$324:$BD$324&lt;=37)*$E$325:$BD$325*POWER(1-$G$17,($E$324:$BD$324&lt;=37)*(37-$E$324:$BD$324)))</f>
        <v/>
      </c>
      <c r="AP344" s="42">
        <f>SUMPRODUCT(($E$324:$BD$324&gt;=38-$F$17+2)*($E$324:$BD$324&lt;=38)*$E$325:$BD$325*POWER(1-$G$17,($E$324:$BD$324&lt;=38)*(38-$E$324:$BD$324)))</f>
        <v/>
      </c>
      <c r="AQ344" s="42">
        <f>SUMPRODUCT(($E$324:$BD$324&gt;=39-$F$17+2)*($E$324:$BD$324&lt;=39)*$E$325:$BD$325*POWER(1-$G$17,($E$324:$BD$324&lt;=39)*(39-$E$324:$BD$324)))</f>
        <v/>
      </c>
      <c r="AR344" s="42">
        <f>SUMPRODUCT(($E$324:$BD$324&gt;=40-$F$17+2)*($E$324:$BD$324&lt;=40)*$E$325:$BD$325*POWER(1-$G$17,($E$324:$BD$324&lt;=40)*(40-$E$324:$BD$324)))</f>
        <v/>
      </c>
      <c r="AS344" s="42">
        <f>SUMPRODUCT(($E$324:$BD$324&gt;=41-$F$17+2)*($E$324:$BD$324&lt;=41)*$E$325:$BD$325*POWER(1-$G$17,($E$324:$BD$324&lt;=41)*(41-$E$324:$BD$324)))</f>
        <v/>
      </c>
      <c r="AT344" s="42">
        <f>SUMPRODUCT(($E$324:$BD$324&gt;=42-$F$17+2)*($E$324:$BD$324&lt;=42)*$E$325:$BD$325*POWER(1-$G$17,($E$324:$BD$324&lt;=42)*(42-$E$324:$BD$324)))</f>
        <v/>
      </c>
      <c r="AU344" s="42">
        <f>SUMPRODUCT(($E$324:$BD$324&gt;=43-$F$17+2)*($E$324:$BD$324&lt;=43)*$E$325:$BD$325*POWER(1-$G$17,($E$324:$BD$324&lt;=43)*(43-$E$324:$BD$324)))</f>
        <v/>
      </c>
      <c r="AV344" s="42">
        <f>SUMPRODUCT(($E$324:$BD$324&gt;=44-$F$17+2)*($E$324:$BD$324&lt;=44)*$E$325:$BD$325*POWER(1-$G$17,($E$324:$BD$324&lt;=44)*(44-$E$324:$BD$324)))</f>
        <v/>
      </c>
      <c r="AW344" s="42">
        <f>SUMPRODUCT(($E$324:$BD$324&gt;=45-$F$17+2)*($E$324:$BD$324&lt;=45)*$E$325:$BD$325*POWER(1-$G$17,($E$324:$BD$324&lt;=45)*(45-$E$324:$BD$324)))</f>
        <v/>
      </c>
      <c r="AX344" s="42">
        <f>SUMPRODUCT(($E$324:$BD$324&gt;=46-$F$17+2)*($E$324:$BD$324&lt;=46)*$E$325:$BD$325*POWER(1-$G$17,($E$324:$BD$324&lt;=46)*(46-$E$324:$BD$324)))</f>
        <v/>
      </c>
      <c r="AY344" s="42">
        <f>SUMPRODUCT(($E$324:$BD$324&gt;=47-$F$17+2)*($E$324:$BD$324&lt;=47)*$E$325:$BD$325*POWER(1-$G$17,($E$324:$BD$324&lt;=47)*(47-$E$324:$BD$324)))</f>
        <v/>
      </c>
      <c r="AZ344" s="42">
        <f>SUMPRODUCT(($E$324:$BD$324&gt;=48-$F$17+2)*($E$324:$BD$324&lt;=48)*$E$325:$BD$325*POWER(1-$G$17,($E$324:$BD$324&lt;=48)*(48-$E$324:$BD$324)))</f>
        <v/>
      </c>
      <c r="BA344" s="42">
        <f>SUMPRODUCT(($E$324:$BD$324&gt;=49-$F$17+2)*($E$324:$BD$324&lt;=49)*$E$325:$BD$325*POWER(1-$G$17,($E$324:$BD$324&lt;=49)*(49-$E$324:$BD$324)))</f>
        <v/>
      </c>
      <c r="BB344" s="42">
        <f>SUMPRODUCT(($E$324:$BD$324&gt;=50-$F$17+2)*($E$324:$BD$324&lt;=50)*$E$325:$BD$325*POWER(1-$G$17,($E$324:$BD$324&lt;=50)*(50-$E$324:$BD$324)))</f>
        <v/>
      </c>
      <c r="BC344" s="42">
        <f>SUMPRODUCT(($E$324:$BD$324&gt;=51-$F$17+2)*($E$324:$BD$324&lt;=51)*$E$325:$BD$325*POWER(1-$G$17,($E$324:$BD$324&lt;=51)*(51-$E$324:$BD$324)))</f>
        <v/>
      </c>
      <c r="BD344" s="42">
        <f>SUMPRODUCT(($E$324:$BD$324&gt;=52-$F$17+2)*($E$324:$BD$324&lt;=52)*$E$325:$BD$325*POWER(1-$G$17,($E$324:$BD$324&lt;=52)*(52-$E$324:$BD$324)))</f>
        <v/>
      </c>
    </row>
    <row r="345">
      <c r="A345" s="2" t="inlineStr">
        <is>
          <t xml:space="preserve">   Stock carried out must stay at or below this row.</t>
        </is>
      </c>
    </row>
    <row r="346">
      <c r="A346" s="33" t="inlineStr">
        <is>
          <t>Growing cost this week</t>
        </is>
      </c>
      <c r="B346" s="2" t="inlineStr">
        <is>
          <t>$</t>
        </is>
      </c>
      <c r="E346" s="40">
        <f>SUMPRODUCT(($B$91:$B$230="Spinach")*(E$91:E$230="P")*$C$91:$C$230)*$K$17+SUMPRODUCT(($B$91:$B$230="Spinach")*(E$91:E$230="G")*$C$91:$C$230)*$L$17+SUMPRODUCT(($B$91:$B$230="Spinach")*(E$91:E$230="H")*$C$91:$C$230)*$M$17+SUMPRODUCT(($B$91:$B$230="Spinach")*($BG$91:$BG$230=1)*$C$91:$C$230)*$H$17</f>
        <v/>
      </c>
      <c r="F346" s="40">
        <f>SUMPRODUCT(($B$91:$B$230="Spinach")*(F$91:F$230="P")*$C$91:$C$230)*$K$17+SUMPRODUCT(($B$91:$B$230="Spinach")*(F$91:F$230="G")*$C$91:$C$230)*$L$17+SUMPRODUCT(($B$91:$B$230="Spinach")*(F$91:F$230="H")*$C$91:$C$230)*$M$17+SUMPRODUCT(($B$91:$B$230="Spinach")*($BG$91:$BG$230=2)*$C$91:$C$230)*$H$17</f>
        <v/>
      </c>
      <c r="G346" s="40">
        <f>SUMPRODUCT(($B$91:$B$230="Spinach")*(G$91:G$230="P")*$C$91:$C$230)*$K$17+SUMPRODUCT(($B$91:$B$230="Spinach")*(G$91:G$230="G")*$C$91:$C$230)*$L$17+SUMPRODUCT(($B$91:$B$230="Spinach")*(G$91:G$230="H")*$C$91:$C$230)*$M$17+SUMPRODUCT(($B$91:$B$230="Spinach")*($BG$91:$BG$230=3)*$C$91:$C$230)*$H$17</f>
        <v/>
      </c>
      <c r="H346" s="40">
        <f>SUMPRODUCT(($B$91:$B$230="Spinach")*(H$91:H$230="P")*$C$91:$C$230)*$K$17+SUMPRODUCT(($B$91:$B$230="Spinach")*(H$91:H$230="G")*$C$91:$C$230)*$L$17+SUMPRODUCT(($B$91:$B$230="Spinach")*(H$91:H$230="H")*$C$91:$C$230)*$M$17+SUMPRODUCT(($B$91:$B$230="Spinach")*($BG$91:$BG$230=4)*$C$91:$C$230)*$H$17</f>
        <v/>
      </c>
      <c r="I346" s="40">
        <f>SUMPRODUCT(($B$91:$B$230="Spinach")*(I$91:I$230="P")*$C$91:$C$230)*$K$17+SUMPRODUCT(($B$91:$B$230="Spinach")*(I$91:I$230="G")*$C$91:$C$230)*$L$17+SUMPRODUCT(($B$91:$B$230="Spinach")*(I$91:I$230="H")*$C$91:$C$230)*$M$17+SUMPRODUCT(($B$91:$B$230="Spinach")*($BG$91:$BG$230=5)*$C$91:$C$230)*$H$17</f>
        <v/>
      </c>
      <c r="J346" s="40">
        <f>SUMPRODUCT(($B$91:$B$230="Spinach")*(J$91:J$230="P")*$C$91:$C$230)*$K$17+SUMPRODUCT(($B$91:$B$230="Spinach")*(J$91:J$230="G")*$C$91:$C$230)*$L$17+SUMPRODUCT(($B$91:$B$230="Spinach")*(J$91:J$230="H")*$C$91:$C$230)*$M$17+SUMPRODUCT(($B$91:$B$230="Spinach")*($BG$91:$BG$230=6)*$C$91:$C$230)*$H$17</f>
        <v/>
      </c>
      <c r="K346" s="40">
        <f>SUMPRODUCT(($B$91:$B$230="Spinach")*(K$91:K$230="P")*$C$91:$C$230)*$K$17+SUMPRODUCT(($B$91:$B$230="Spinach")*(K$91:K$230="G")*$C$91:$C$230)*$L$17+SUMPRODUCT(($B$91:$B$230="Spinach")*(K$91:K$230="H")*$C$91:$C$230)*$M$17+SUMPRODUCT(($B$91:$B$230="Spinach")*($BG$91:$BG$230=7)*$C$91:$C$230)*$H$17</f>
        <v/>
      </c>
      <c r="L346" s="40">
        <f>SUMPRODUCT(($B$91:$B$230="Spinach")*(L$91:L$230="P")*$C$91:$C$230)*$K$17+SUMPRODUCT(($B$91:$B$230="Spinach")*(L$91:L$230="G")*$C$91:$C$230)*$L$17+SUMPRODUCT(($B$91:$B$230="Spinach")*(L$91:L$230="H")*$C$91:$C$230)*$M$17+SUMPRODUCT(($B$91:$B$230="Spinach")*($BG$91:$BG$230=8)*$C$91:$C$230)*$H$17</f>
        <v/>
      </c>
      <c r="M346" s="40">
        <f>SUMPRODUCT(($B$91:$B$230="Spinach")*(M$91:M$230="P")*$C$91:$C$230)*$K$17+SUMPRODUCT(($B$91:$B$230="Spinach")*(M$91:M$230="G")*$C$91:$C$230)*$L$17+SUMPRODUCT(($B$91:$B$230="Spinach")*(M$91:M$230="H")*$C$91:$C$230)*$M$17+SUMPRODUCT(($B$91:$B$230="Spinach")*($BG$91:$BG$230=9)*$C$91:$C$230)*$H$17</f>
        <v/>
      </c>
      <c r="N346" s="40">
        <f>SUMPRODUCT(($B$91:$B$230="Spinach")*(N$91:N$230="P")*$C$91:$C$230)*$K$17+SUMPRODUCT(($B$91:$B$230="Spinach")*(N$91:N$230="G")*$C$91:$C$230)*$L$17+SUMPRODUCT(($B$91:$B$230="Spinach")*(N$91:N$230="H")*$C$91:$C$230)*$M$17+SUMPRODUCT(($B$91:$B$230="Spinach")*($BG$91:$BG$230=10)*$C$91:$C$230)*$H$17</f>
        <v/>
      </c>
      <c r="O346" s="40">
        <f>SUMPRODUCT(($B$91:$B$230="Spinach")*(O$91:O$230="P")*$C$91:$C$230)*$K$17+SUMPRODUCT(($B$91:$B$230="Spinach")*(O$91:O$230="G")*$C$91:$C$230)*$L$17+SUMPRODUCT(($B$91:$B$230="Spinach")*(O$91:O$230="H")*$C$91:$C$230)*$M$17+SUMPRODUCT(($B$91:$B$230="Spinach")*($BG$91:$BG$230=11)*$C$91:$C$230)*$H$17</f>
        <v/>
      </c>
      <c r="P346" s="40">
        <f>SUMPRODUCT(($B$91:$B$230="Spinach")*(P$91:P$230="P")*$C$91:$C$230)*$K$17+SUMPRODUCT(($B$91:$B$230="Spinach")*(P$91:P$230="G")*$C$91:$C$230)*$L$17+SUMPRODUCT(($B$91:$B$230="Spinach")*(P$91:P$230="H")*$C$91:$C$230)*$M$17+SUMPRODUCT(($B$91:$B$230="Spinach")*($BG$91:$BG$230=12)*$C$91:$C$230)*$H$17</f>
        <v/>
      </c>
      <c r="Q346" s="40">
        <f>SUMPRODUCT(($B$91:$B$230="Spinach")*(Q$91:Q$230="P")*$C$91:$C$230)*$K$17+SUMPRODUCT(($B$91:$B$230="Spinach")*(Q$91:Q$230="G")*$C$91:$C$230)*$L$17+SUMPRODUCT(($B$91:$B$230="Spinach")*(Q$91:Q$230="H")*$C$91:$C$230)*$M$17+SUMPRODUCT(($B$91:$B$230="Spinach")*($BG$91:$BG$230=13)*$C$91:$C$230)*$H$17</f>
        <v/>
      </c>
      <c r="R346" s="40">
        <f>SUMPRODUCT(($B$91:$B$230="Spinach")*(R$91:R$230="P")*$C$91:$C$230)*$K$17+SUMPRODUCT(($B$91:$B$230="Spinach")*(R$91:R$230="G")*$C$91:$C$230)*$L$17+SUMPRODUCT(($B$91:$B$230="Spinach")*(R$91:R$230="H")*$C$91:$C$230)*$M$17+SUMPRODUCT(($B$91:$B$230="Spinach")*($BG$91:$BG$230=14)*$C$91:$C$230)*$H$17</f>
        <v/>
      </c>
      <c r="S346" s="40">
        <f>SUMPRODUCT(($B$91:$B$230="Spinach")*(S$91:S$230="P")*$C$91:$C$230)*$K$17+SUMPRODUCT(($B$91:$B$230="Spinach")*(S$91:S$230="G")*$C$91:$C$230)*$L$17+SUMPRODUCT(($B$91:$B$230="Spinach")*(S$91:S$230="H")*$C$91:$C$230)*$M$17+SUMPRODUCT(($B$91:$B$230="Spinach")*($BG$91:$BG$230=15)*$C$91:$C$230)*$H$17</f>
        <v/>
      </c>
      <c r="T346" s="40">
        <f>SUMPRODUCT(($B$91:$B$230="Spinach")*(T$91:T$230="P")*$C$91:$C$230)*$K$17+SUMPRODUCT(($B$91:$B$230="Spinach")*(T$91:T$230="G")*$C$91:$C$230)*$L$17+SUMPRODUCT(($B$91:$B$230="Spinach")*(T$91:T$230="H")*$C$91:$C$230)*$M$17+SUMPRODUCT(($B$91:$B$230="Spinach")*($BG$91:$BG$230=16)*$C$91:$C$230)*$H$17</f>
        <v/>
      </c>
      <c r="U346" s="40">
        <f>SUMPRODUCT(($B$91:$B$230="Spinach")*(U$91:U$230="P")*$C$91:$C$230)*$K$17+SUMPRODUCT(($B$91:$B$230="Spinach")*(U$91:U$230="G")*$C$91:$C$230)*$L$17+SUMPRODUCT(($B$91:$B$230="Spinach")*(U$91:U$230="H")*$C$91:$C$230)*$M$17+SUMPRODUCT(($B$91:$B$230="Spinach")*($BG$91:$BG$230=17)*$C$91:$C$230)*$H$17</f>
        <v/>
      </c>
      <c r="V346" s="40">
        <f>SUMPRODUCT(($B$91:$B$230="Spinach")*(V$91:V$230="P")*$C$91:$C$230)*$K$17+SUMPRODUCT(($B$91:$B$230="Spinach")*(V$91:V$230="G")*$C$91:$C$230)*$L$17+SUMPRODUCT(($B$91:$B$230="Spinach")*(V$91:V$230="H")*$C$91:$C$230)*$M$17+SUMPRODUCT(($B$91:$B$230="Spinach")*($BG$91:$BG$230=18)*$C$91:$C$230)*$H$17</f>
        <v/>
      </c>
      <c r="W346" s="40">
        <f>SUMPRODUCT(($B$91:$B$230="Spinach")*(W$91:W$230="P")*$C$91:$C$230)*$K$17+SUMPRODUCT(($B$91:$B$230="Spinach")*(W$91:W$230="G")*$C$91:$C$230)*$L$17+SUMPRODUCT(($B$91:$B$230="Spinach")*(W$91:W$230="H")*$C$91:$C$230)*$M$17+SUMPRODUCT(($B$91:$B$230="Spinach")*($BG$91:$BG$230=19)*$C$91:$C$230)*$H$17</f>
        <v/>
      </c>
      <c r="X346" s="40">
        <f>SUMPRODUCT(($B$91:$B$230="Spinach")*(X$91:X$230="P")*$C$91:$C$230)*$K$17+SUMPRODUCT(($B$91:$B$230="Spinach")*(X$91:X$230="G")*$C$91:$C$230)*$L$17+SUMPRODUCT(($B$91:$B$230="Spinach")*(X$91:X$230="H")*$C$91:$C$230)*$M$17+SUMPRODUCT(($B$91:$B$230="Spinach")*($BG$91:$BG$230=20)*$C$91:$C$230)*$H$17</f>
        <v/>
      </c>
      <c r="Y346" s="40">
        <f>SUMPRODUCT(($B$91:$B$230="Spinach")*(Y$91:Y$230="P")*$C$91:$C$230)*$K$17+SUMPRODUCT(($B$91:$B$230="Spinach")*(Y$91:Y$230="G")*$C$91:$C$230)*$L$17+SUMPRODUCT(($B$91:$B$230="Spinach")*(Y$91:Y$230="H")*$C$91:$C$230)*$M$17+SUMPRODUCT(($B$91:$B$230="Spinach")*($BG$91:$BG$230=21)*$C$91:$C$230)*$H$17</f>
        <v/>
      </c>
      <c r="Z346" s="40">
        <f>SUMPRODUCT(($B$91:$B$230="Spinach")*(Z$91:Z$230="P")*$C$91:$C$230)*$K$17+SUMPRODUCT(($B$91:$B$230="Spinach")*(Z$91:Z$230="G")*$C$91:$C$230)*$L$17+SUMPRODUCT(($B$91:$B$230="Spinach")*(Z$91:Z$230="H")*$C$91:$C$230)*$M$17+SUMPRODUCT(($B$91:$B$230="Spinach")*($BG$91:$BG$230=22)*$C$91:$C$230)*$H$17</f>
        <v/>
      </c>
      <c r="AA346" s="40">
        <f>SUMPRODUCT(($B$91:$B$230="Spinach")*(AA$91:AA$230="P")*$C$91:$C$230)*$K$17+SUMPRODUCT(($B$91:$B$230="Spinach")*(AA$91:AA$230="G")*$C$91:$C$230)*$L$17+SUMPRODUCT(($B$91:$B$230="Spinach")*(AA$91:AA$230="H")*$C$91:$C$230)*$M$17+SUMPRODUCT(($B$91:$B$230="Spinach")*($BG$91:$BG$230=23)*$C$91:$C$230)*$H$17</f>
        <v/>
      </c>
      <c r="AB346" s="40">
        <f>SUMPRODUCT(($B$91:$B$230="Spinach")*(AB$91:AB$230="P")*$C$91:$C$230)*$K$17+SUMPRODUCT(($B$91:$B$230="Spinach")*(AB$91:AB$230="G")*$C$91:$C$230)*$L$17+SUMPRODUCT(($B$91:$B$230="Spinach")*(AB$91:AB$230="H")*$C$91:$C$230)*$M$17+SUMPRODUCT(($B$91:$B$230="Spinach")*($BG$91:$BG$230=24)*$C$91:$C$230)*$H$17</f>
        <v/>
      </c>
      <c r="AC346" s="40">
        <f>SUMPRODUCT(($B$91:$B$230="Spinach")*(AC$91:AC$230="P")*$C$91:$C$230)*$K$17+SUMPRODUCT(($B$91:$B$230="Spinach")*(AC$91:AC$230="G")*$C$91:$C$230)*$L$17+SUMPRODUCT(($B$91:$B$230="Spinach")*(AC$91:AC$230="H")*$C$91:$C$230)*$M$17+SUMPRODUCT(($B$91:$B$230="Spinach")*($BG$91:$BG$230=25)*$C$91:$C$230)*$H$17</f>
        <v/>
      </c>
      <c r="AD346" s="40">
        <f>SUMPRODUCT(($B$91:$B$230="Spinach")*(AD$91:AD$230="P")*$C$91:$C$230)*$K$17+SUMPRODUCT(($B$91:$B$230="Spinach")*(AD$91:AD$230="G")*$C$91:$C$230)*$L$17+SUMPRODUCT(($B$91:$B$230="Spinach")*(AD$91:AD$230="H")*$C$91:$C$230)*$M$17+SUMPRODUCT(($B$91:$B$230="Spinach")*($BG$91:$BG$230=26)*$C$91:$C$230)*$H$17</f>
        <v/>
      </c>
      <c r="AE346" s="40">
        <f>SUMPRODUCT(($B$91:$B$230="Spinach")*(AE$91:AE$230="P")*$C$91:$C$230)*$K$17+SUMPRODUCT(($B$91:$B$230="Spinach")*(AE$91:AE$230="G")*$C$91:$C$230)*$L$17+SUMPRODUCT(($B$91:$B$230="Spinach")*(AE$91:AE$230="H")*$C$91:$C$230)*$M$17+SUMPRODUCT(($B$91:$B$230="Spinach")*($BG$91:$BG$230=27)*$C$91:$C$230)*$H$17</f>
        <v/>
      </c>
      <c r="AF346" s="40">
        <f>SUMPRODUCT(($B$91:$B$230="Spinach")*(AF$91:AF$230="P")*$C$91:$C$230)*$K$17+SUMPRODUCT(($B$91:$B$230="Spinach")*(AF$91:AF$230="G")*$C$91:$C$230)*$L$17+SUMPRODUCT(($B$91:$B$230="Spinach")*(AF$91:AF$230="H")*$C$91:$C$230)*$M$17+SUMPRODUCT(($B$91:$B$230="Spinach")*($BG$91:$BG$230=28)*$C$91:$C$230)*$H$17</f>
        <v/>
      </c>
      <c r="AG346" s="40">
        <f>SUMPRODUCT(($B$91:$B$230="Spinach")*(AG$91:AG$230="P")*$C$91:$C$230)*$K$17+SUMPRODUCT(($B$91:$B$230="Spinach")*(AG$91:AG$230="G")*$C$91:$C$230)*$L$17+SUMPRODUCT(($B$91:$B$230="Spinach")*(AG$91:AG$230="H")*$C$91:$C$230)*$M$17+SUMPRODUCT(($B$91:$B$230="Spinach")*($BG$91:$BG$230=29)*$C$91:$C$230)*$H$17</f>
        <v/>
      </c>
      <c r="AH346" s="40">
        <f>SUMPRODUCT(($B$91:$B$230="Spinach")*(AH$91:AH$230="P")*$C$91:$C$230)*$K$17+SUMPRODUCT(($B$91:$B$230="Spinach")*(AH$91:AH$230="G")*$C$91:$C$230)*$L$17+SUMPRODUCT(($B$91:$B$230="Spinach")*(AH$91:AH$230="H")*$C$91:$C$230)*$M$17+SUMPRODUCT(($B$91:$B$230="Spinach")*($BG$91:$BG$230=30)*$C$91:$C$230)*$H$17</f>
        <v/>
      </c>
      <c r="AI346" s="40">
        <f>SUMPRODUCT(($B$91:$B$230="Spinach")*(AI$91:AI$230="P")*$C$91:$C$230)*$K$17+SUMPRODUCT(($B$91:$B$230="Spinach")*(AI$91:AI$230="G")*$C$91:$C$230)*$L$17+SUMPRODUCT(($B$91:$B$230="Spinach")*(AI$91:AI$230="H")*$C$91:$C$230)*$M$17+SUMPRODUCT(($B$91:$B$230="Spinach")*($BG$91:$BG$230=31)*$C$91:$C$230)*$H$17</f>
        <v/>
      </c>
      <c r="AJ346" s="40">
        <f>SUMPRODUCT(($B$91:$B$230="Spinach")*(AJ$91:AJ$230="P")*$C$91:$C$230)*$K$17+SUMPRODUCT(($B$91:$B$230="Spinach")*(AJ$91:AJ$230="G")*$C$91:$C$230)*$L$17+SUMPRODUCT(($B$91:$B$230="Spinach")*(AJ$91:AJ$230="H")*$C$91:$C$230)*$M$17+SUMPRODUCT(($B$91:$B$230="Spinach")*($BG$91:$BG$230=32)*$C$91:$C$230)*$H$17</f>
        <v/>
      </c>
      <c r="AK346" s="40">
        <f>SUMPRODUCT(($B$91:$B$230="Spinach")*(AK$91:AK$230="P")*$C$91:$C$230)*$K$17+SUMPRODUCT(($B$91:$B$230="Spinach")*(AK$91:AK$230="G")*$C$91:$C$230)*$L$17+SUMPRODUCT(($B$91:$B$230="Spinach")*(AK$91:AK$230="H")*$C$91:$C$230)*$M$17+SUMPRODUCT(($B$91:$B$230="Spinach")*($BG$91:$BG$230=33)*$C$91:$C$230)*$H$17</f>
        <v/>
      </c>
      <c r="AL346" s="40">
        <f>SUMPRODUCT(($B$91:$B$230="Spinach")*(AL$91:AL$230="P")*$C$91:$C$230)*$K$17+SUMPRODUCT(($B$91:$B$230="Spinach")*(AL$91:AL$230="G")*$C$91:$C$230)*$L$17+SUMPRODUCT(($B$91:$B$230="Spinach")*(AL$91:AL$230="H")*$C$91:$C$230)*$M$17+SUMPRODUCT(($B$91:$B$230="Spinach")*($BG$91:$BG$230=34)*$C$91:$C$230)*$H$17</f>
        <v/>
      </c>
      <c r="AM346" s="40">
        <f>SUMPRODUCT(($B$91:$B$230="Spinach")*(AM$91:AM$230="P")*$C$91:$C$230)*$K$17+SUMPRODUCT(($B$91:$B$230="Spinach")*(AM$91:AM$230="G")*$C$91:$C$230)*$L$17+SUMPRODUCT(($B$91:$B$230="Spinach")*(AM$91:AM$230="H")*$C$91:$C$230)*$M$17+SUMPRODUCT(($B$91:$B$230="Spinach")*($BG$91:$BG$230=35)*$C$91:$C$230)*$H$17</f>
        <v/>
      </c>
      <c r="AN346" s="40">
        <f>SUMPRODUCT(($B$91:$B$230="Spinach")*(AN$91:AN$230="P")*$C$91:$C$230)*$K$17+SUMPRODUCT(($B$91:$B$230="Spinach")*(AN$91:AN$230="G")*$C$91:$C$230)*$L$17+SUMPRODUCT(($B$91:$B$230="Spinach")*(AN$91:AN$230="H")*$C$91:$C$230)*$M$17+SUMPRODUCT(($B$91:$B$230="Spinach")*($BG$91:$BG$230=36)*$C$91:$C$230)*$H$17</f>
        <v/>
      </c>
      <c r="AO346" s="40">
        <f>SUMPRODUCT(($B$91:$B$230="Spinach")*(AO$91:AO$230="P")*$C$91:$C$230)*$K$17+SUMPRODUCT(($B$91:$B$230="Spinach")*(AO$91:AO$230="G")*$C$91:$C$230)*$L$17+SUMPRODUCT(($B$91:$B$230="Spinach")*(AO$91:AO$230="H")*$C$91:$C$230)*$M$17+SUMPRODUCT(($B$91:$B$230="Spinach")*($BG$91:$BG$230=37)*$C$91:$C$230)*$H$17</f>
        <v/>
      </c>
      <c r="AP346" s="40">
        <f>SUMPRODUCT(($B$91:$B$230="Spinach")*(AP$91:AP$230="P")*$C$91:$C$230)*$K$17+SUMPRODUCT(($B$91:$B$230="Spinach")*(AP$91:AP$230="G")*$C$91:$C$230)*$L$17+SUMPRODUCT(($B$91:$B$230="Spinach")*(AP$91:AP$230="H")*$C$91:$C$230)*$M$17+SUMPRODUCT(($B$91:$B$230="Spinach")*($BG$91:$BG$230=38)*$C$91:$C$230)*$H$17</f>
        <v/>
      </c>
      <c r="AQ346" s="40">
        <f>SUMPRODUCT(($B$91:$B$230="Spinach")*(AQ$91:AQ$230="P")*$C$91:$C$230)*$K$17+SUMPRODUCT(($B$91:$B$230="Spinach")*(AQ$91:AQ$230="G")*$C$91:$C$230)*$L$17+SUMPRODUCT(($B$91:$B$230="Spinach")*(AQ$91:AQ$230="H")*$C$91:$C$230)*$M$17+SUMPRODUCT(($B$91:$B$230="Spinach")*($BG$91:$BG$230=39)*$C$91:$C$230)*$H$17</f>
        <v/>
      </c>
      <c r="AR346" s="40">
        <f>SUMPRODUCT(($B$91:$B$230="Spinach")*(AR$91:AR$230="P")*$C$91:$C$230)*$K$17+SUMPRODUCT(($B$91:$B$230="Spinach")*(AR$91:AR$230="G")*$C$91:$C$230)*$L$17+SUMPRODUCT(($B$91:$B$230="Spinach")*(AR$91:AR$230="H")*$C$91:$C$230)*$M$17+SUMPRODUCT(($B$91:$B$230="Spinach")*($BG$91:$BG$230=40)*$C$91:$C$230)*$H$17</f>
        <v/>
      </c>
      <c r="AS346" s="40">
        <f>SUMPRODUCT(($B$91:$B$230="Spinach")*(AS$91:AS$230="P")*$C$91:$C$230)*$K$17+SUMPRODUCT(($B$91:$B$230="Spinach")*(AS$91:AS$230="G")*$C$91:$C$230)*$L$17+SUMPRODUCT(($B$91:$B$230="Spinach")*(AS$91:AS$230="H")*$C$91:$C$230)*$M$17+SUMPRODUCT(($B$91:$B$230="Spinach")*($BG$91:$BG$230=41)*$C$91:$C$230)*$H$17</f>
        <v/>
      </c>
      <c r="AT346" s="40">
        <f>SUMPRODUCT(($B$91:$B$230="Spinach")*(AT$91:AT$230="P")*$C$91:$C$230)*$K$17+SUMPRODUCT(($B$91:$B$230="Spinach")*(AT$91:AT$230="G")*$C$91:$C$230)*$L$17+SUMPRODUCT(($B$91:$B$230="Spinach")*(AT$91:AT$230="H")*$C$91:$C$230)*$M$17+SUMPRODUCT(($B$91:$B$230="Spinach")*($BG$91:$BG$230=42)*$C$91:$C$230)*$H$17</f>
        <v/>
      </c>
      <c r="AU346" s="40">
        <f>SUMPRODUCT(($B$91:$B$230="Spinach")*(AU$91:AU$230="P")*$C$91:$C$230)*$K$17+SUMPRODUCT(($B$91:$B$230="Spinach")*(AU$91:AU$230="G")*$C$91:$C$230)*$L$17+SUMPRODUCT(($B$91:$B$230="Spinach")*(AU$91:AU$230="H")*$C$91:$C$230)*$M$17+SUMPRODUCT(($B$91:$B$230="Spinach")*($BG$91:$BG$230=43)*$C$91:$C$230)*$H$17</f>
        <v/>
      </c>
      <c r="AV346" s="40">
        <f>SUMPRODUCT(($B$91:$B$230="Spinach")*(AV$91:AV$230="P")*$C$91:$C$230)*$K$17+SUMPRODUCT(($B$91:$B$230="Spinach")*(AV$91:AV$230="G")*$C$91:$C$230)*$L$17+SUMPRODUCT(($B$91:$B$230="Spinach")*(AV$91:AV$230="H")*$C$91:$C$230)*$M$17+SUMPRODUCT(($B$91:$B$230="Spinach")*($BG$91:$BG$230=44)*$C$91:$C$230)*$H$17</f>
        <v/>
      </c>
      <c r="AW346" s="40">
        <f>SUMPRODUCT(($B$91:$B$230="Spinach")*(AW$91:AW$230="P")*$C$91:$C$230)*$K$17+SUMPRODUCT(($B$91:$B$230="Spinach")*(AW$91:AW$230="G")*$C$91:$C$230)*$L$17+SUMPRODUCT(($B$91:$B$230="Spinach")*(AW$91:AW$230="H")*$C$91:$C$230)*$M$17+SUMPRODUCT(($B$91:$B$230="Spinach")*($BG$91:$BG$230=45)*$C$91:$C$230)*$H$17</f>
        <v/>
      </c>
      <c r="AX346" s="40">
        <f>SUMPRODUCT(($B$91:$B$230="Spinach")*(AX$91:AX$230="P")*$C$91:$C$230)*$K$17+SUMPRODUCT(($B$91:$B$230="Spinach")*(AX$91:AX$230="G")*$C$91:$C$230)*$L$17+SUMPRODUCT(($B$91:$B$230="Spinach")*(AX$91:AX$230="H")*$C$91:$C$230)*$M$17+SUMPRODUCT(($B$91:$B$230="Spinach")*($BG$91:$BG$230=46)*$C$91:$C$230)*$H$17</f>
        <v/>
      </c>
      <c r="AY346" s="40">
        <f>SUMPRODUCT(($B$91:$B$230="Spinach")*(AY$91:AY$230="P")*$C$91:$C$230)*$K$17+SUMPRODUCT(($B$91:$B$230="Spinach")*(AY$91:AY$230="G")*$C$91:$C$230)*$L$17+SUMPRODUCT(($B$91:$B$230="Spinach")*(AY$91:AY$230="H")*$C$91:$C$230)*$M$17+SUMPRODUCT(($B$91:$B$230="Spinach")*($BG$91:$BG$230=47)*$C$91:$C$230)*$H$17</f>
        <v/>
      </c>
      <c r="AZ346" s="40">
        <f>SUMPRODUCT(($B$91:$B$230="Spinach")*(AZ$91:AZ$230="P")*$C$91:$C$230)*$K$17+SUMPRODUCT(($B$91:$B$230="Spinach")*(AZ$91:AZ$230="G")*$C$91:$C$230)*$L$17+SUMPRODUCT(($B$91:$B$230="Spinach")*(AZ$91:AZ$230="H")*$C$91:$C$230)*$M$17+SUMPRODUCT(($B$91:$B$230="Spinach")*($BG$91:$BG$230=48)*$C$91:$C$230)*$H$17</f>
        <v/>
      </c>
      <c r="BA346" s="40">
        <f>SUMPRODUCT(($B$91:$B$230="Spinach")*(BA$91:BA$230="P")*$C$91:$C$230)*$K$17+SUMPRODUCT(($B$91:$B$230="Spinach")*(BA$91:BA$230="G")*$C$91:$C$230)*$L$17+SUMPRODUCT(($B$91:$B$230="Spinach")*(BA$91:BA$230="H")*$C$91:$C$230)*$M$17+SUMPRODUCT(($B$91:$B$230="Spinach")*($BG$91:$BG$230=49)*$C$91:$C$230)*$H$17</f>
        <v/>
      </c>
      <c r="BB346" s="40">
        <f>SUMPRODUCT(($B$91:$B$230="Spinach")*(BB$91:BB$230="P")*$C$91:$C$230)*$K$17+SUMPRODUCT(($B$91:$B$230="Spinach")*(BB$91:BB$230="G")*$C$91:$C$230)*$L$17+SUMPRODUCT(($B$91:$B$230="Spinach")*(BB$91:BB$230="H")*$C$91:$C$230)*$M$17+SUMPRODUCT(($B$91:$B$230="Spinach")*($BG$91:$BG$230=50)*$C$91:$C$230)*$H$17</f>
        <v/>
      </c>
      <c r="BC346" s="40">
        <f>SUMPRODUCT(($B$91:$B$230="Spinach")*(BC$91:BC$230="P")*$C$91:$C$230)*$K$17+SUMPRODUCT(($B$91:$B$230="Spinach")*(BC$91:BC$230="G")*$C$91:$C$230)*$L$17+SUMPRODUCT(($B$91:$B$230="Spinach")*(BC$91:BC$230="H")*$C$91:$C$230)*$M$17+SUMPRODUCT(($B$91:$B$230="Spinach")*($BG$91:$BG$230=51)*$C$91:$C$230)*$H$17</f>
        <v/>
      </c>
      <c r="BD346" s="40">
        <f>SUMPRODUCT(($B$91:$B$230="Spinach")*(BD$91:BD$230="P")*$C$91:$C$230)*$K$17+SUMPRODUCT(($B$91:$B$230="Spinach")*(BD$91:BD$230="G")*$C$91:$C$230)*$L$17+SUMPRODUCT(($B$91:$B$230="Spinach")*(BD$91:BD$230="H")*$C$91:$C$230)*$M$17+SUMPRODUCT(($B$91:$B$230="Spinach")*($BG$91:$BG$230=52)*$C$91:$C$230)*$H$17</f>
        <v/>
      </c>
    </row>
    <row r="347">
      <c r="A347" s="33" t="inlineStr">
        <is>
          <t>Packaging this week</t>
        </is>
      </c>
      <c r="B347" s="2" t="inlineStr">
        <is>
          <t>$</t>
        </is>
      </c>
      <c r="E347" s="40">
        <f>E331*$J$35+E337*$J$36</f>
        <v/>
      </c>
      <c r="F347" s="40">
        <f>F331*$J$35+F337*$J$36</f>
        <v/>
      </c>
      <c r="G347" s="40">
        <f>G331*$J$35+G337*$J$36</f>
        <v/>
      </c>
      <c r="H347" s="40">
        <f>H331*$J$35+H337*$J$36</f>
        <v/>
      </c>
      <c r="I347" s="40">
        <f>I331*$J$35+I337*$J$36</f>
        <v/>
      </c>
      <c r="J347" s="40">
        <f>J331*$J$35+J337*$J$36</f>
        <v/>
      </c>
      <c r="K347" s="40">
        <f>K331*$J$35+K337*$J$36</f>
        <v/>
      </c>
      <c r="L347" s="40">
        <f>L331*$J$35+L337*$J$36</f>
        <v/>
      </c>
      <c r="M347" s="40">
        <f>M331*$J$35+M337*$J$36</f>
        <v/>
      </c>
      <c r="N347" s="40">
        <f>N331*$J$35+N337*$J$36</f>
        <v/>
      </c>
      <c r="O347" s="40">
        <f>O331*$J$35+O337*$J$36</f>
        <v/>
      </c>
      <c r="P347" s="40">
        <f>P331*$J$35+P337*$J$36</f>
        <v/>
      </c>
      <c r="Q347" s="40">
        <f>Q331*$J$35+Q337*$J$36</f>
        <v/>
      </c>
      <c r="R347" s="40">
        <f>R331*$J$35+R337*$J$36</f>
        <v/>
      </c>
      <c r="S347" s="40">
        <f>S331*$J$35+S337*$J$36</f>
        <v/>
      </c>
      <c r="T347" s="40">
        <f>T331*$J$35+T337*$J$36</f>
        <v/>
      </c>
      <c r="U347" s="40">
        <f>U331*$J$35+U337*$J$36</f>
        <v/>
      </c>
      <c r="V347" s="40">
        <f>V331*$J$35+V337*$J$36</f>
        <v/>
      </c>
      <c r="W347" s="40">
        <f>W331*$J$35+W337*$J$36</f>
        <v/>
      </c>
      <c r="X347" s="40">
        <f>X331*$J$35+X337*$J$36</f>
        <v/>
      </c>
      <c r="Y347" s="40">
        <f>Y331*$J$35+Y337*$J$36</f>
        <v/>
      </c>
      <c r="Z347" s="40">
        <f>Z331*$J$35+Z337*$J$36</f>
        <v/>
      </c>
      <c r="AA347" s="40">
        <f>AA331*$J$35+AA337*$J$36</f>
        <v/>
      </c>
      <c r="AB347" s="40">
        <f>AB331*$J$35+AB337*$J$36</f>
        <v/>
      </c>
      <c r="AC347" s="40">
        <f>AC331*$J$35+AC337*$J$36</f>
        <v/>
      </c>
      <c r="AD347" s="40">
        <f>AD331*$J$35+AD337*$J$36</f>
        <v/>
      </c>
      <c r="AE347" s="40">
        <f>AE331*$J$35+AE337*$J$36</f>
        <v/>
      </c>
      <c r="AF347" s="40">
        <f>AF331*$J$35+AF337*$J$36</f>
        <v/>
      </c>
      <c r="AG347" s="40">
        <f>AG331*$J$35+AG337*$J$36</f>
        <v/>
      </c>
      <c r="AH347" s="40">
        <f>AH331*$J$35+AH337*$J$36</f>
        <v/>
      </c>
      <c r="AI347" s="40">
        <f>AI331*$J$35+AI337*$J$36</f>
        <v/>
      </c>
      <c r="AJ347" s="40">
        <f>AJ331*$J$35+AJ337*$J$36</f>
        <v/>
      </c>
      <c r="AK347" s="40">
        <f>AK331*$J$35+AK337*$J$36</f>
        <v/>
      </c>
      <c r="AL347" s="40">
        <f>AL331*$J$35+AL337*$J$36</f>
        <v/>
      </c>
      <c r="AM347" s="40">
        <f>AM331*$J$35+AM337*$J$36</f>
        <v/>
      </c>
      <c r="AN347" s="40">
        <f>AN331*$J$35+AN337*$J$36</f>
        <v/>
      </c>
      <c r="AO347" s="40">
        <f>AO331*$J$35+AO337*$J$36</f>
        <v/>
      </c>
      <c r="AP347" s="40">
        <f>AP331*$J$35+AP337*$J$36</f>
        <v/>
      </c>
      <c r="AQ347" s="40">
        <f>AQ331*$J$35+AQ337*$J$36</f>
        <v/>
      </c>
      <c r="AR347" s="40">
        <f>AR331*$J$35+AR337*$J$36</f>
        <v/>
      </c>
      <c r="AS347" s="40">
        <f>AS331*$J$35+AS337*$J$36</f>
        <v/>
      </c>
      <c r="AT347" s="40">
        <f>AT331*$J$35+AT337*$J$36</f>
        <v/>
      </c>
      <c r="AU347" s="40">
        <f>AU331*$J$35+AU337*$J$36</f>
        <v/>
      </c>
      <c r="AV347" s="40">
        <f>AV331*$J$35+AV337*$J$36</f>
        <v/>
      </c>
      <c r="AW347" s="40">
        <f>AW331*$J$35+AW337*$J$36</f>
        <v/>
      </c>
      <c r="AX347" s="40">
        <f>AX331*$J$35+AX337*$J$36</f>
        <v/>
      </c>
      <c r="AY347" s="40">
        <f>AY331*$J$35+AY337*$J$36</f>
        <v/>
      </c>
      <c r="AZ347" s="40">
        <f>AZ331*$J$35+AZ337*$J$36</f>
        <v/>
      </c>
      <c r="BA347" s="40">
        <f>BA331*$J$35+BA337*$J$36</f>
        <v/>
      </c>
      <c r="BB347" s="40">
        <f>BB331*$J$35+BB337*$J$36</f>
        <v/>
      </c>
      <c r="BC347" s="40">
        <f>BC331*$J$35+BC337*$J$36</f>
        <v/>
      </c>
      <c r="BD347" s="40">
        <f>BD331*$J$35+BD337*$J$36</f>
        <v/>
      </c>
    </row>
    <row r="348">
      <c r="A348" s="4" t="inlineStr">
        <is>
          <t>ROOM OCCUPANCY</t>
        </is>
      </c>
      <c r="B348" s="2" t="inlineStr">
        <is>
          <t>m3</t>
        </is>
      </c>
      <c r="E348" s="58">
        <f>(E326+E325)*$D$17</f>
        <v/>
      </c>
      <c r="F348" s="58">
        <f>(F326+F325)*$D$17</f>
        <v/>
      </c>
      <c r="G348" s="58">
        <f>(G326+G325)*$D$17</f>
        <v/>
      </c>
      <c r="H348" s="58">
        <f>(H326+H325)*$D$17</f>
        <v/>
      </c>
      <c r="I348" s="58">
        <f>(I326+I325)*$D$17</f>
        <v/>
      </c>
      <c r="J348" s="58">
        <f>(J326+J325)*$D$17</f>
        <v/>
      </c>
      <c r="K348" s="58">
        <f>(K326+K325)*$D$17</f>
        <v/>
      </c>
      <c r="L348" s="58">
        <f>(L326+L325)*$D$17</f>
        <v/>
      </c>
      <c r="M348" s="58">
        <f>(M326+M325)*$D$17</f>
        <v/>
      </c>
      <c r="N348" s="58">
        <f>(N326+N325)*$D$17</f>
        <v/>
      </c>
      <c r="O348" s="58">
        <f>(O326+O325)*$D$17</f>
        <v/>
      </c>
      <c r="P348" s="58">
        <f>(P326+P325)*$D$17</f>
        <v/>
      </c>
      <c r="Q348" s="58">
        <f>(Q326+Q325)*$D$17</f>
        <v/>
      </c>
      <c r="R348" s="58">
        <f>(R326+R325)*$D$17</f>
        <v/>
      </c>
      <c r="S348" s="58">
        <f>(S326+S325)*$D$17</f>
        <v/>
      </c>
      <c r="T348" s="58">
        <f>(T326+T325)*$D$17</f>
        <v/>
      </c>
      <c r="U348" s="58">
        <f>(U326+U325)*$D$17</f>
        <v/>
      </c>
      <c r="V348" s="58">
        <f>(V326+V325)*$D$17</f>
        <v/>
      </c>
      <c r="W348" s="58">
        <f>(W326+W325)*$D$17</f>
        <v/>
      </c>
      <c r="X348" s="58">
        <f>(X326+X325)*$D$17</f>
        <v/>
      </c>
      <c r="Y348" s="58">
        <f>(Y326+Y325)*$D$17</f>
        <v/>
      </c>
      <c r="Z348" s="58">
        <f>(Z326+Z325)*$D$17</f>
        <v/>
      </c>
      <c r="AA348" s="58">
        <f>(AA326+AA325)*$D$17</f>
        <v/>
      </c>
      <c r="AB348" s="58">
        <f>(AB326+AB325)*$D$17</f>
        <v/>
      </c>
      <c r="AC348" s="58">
        <f>(AC326+AC325)*$D$17</f>
        <v/>
      </c>
      <c r="AD348" s="58">
        <f>(AD326+AD325)*$D$17</f>
        <v/>
      </c>
      <c r="AE348" s="58">
        <f>(AE326+AE325)*$D$17</f>
        <v/>
      </c>
      <c r="AF348" s="58">
        <f>(AF326+AF325)*$D$17</f>
        <v/>
      </c>
      <c r="AG348" s="58">
        <f>(AG326+AG325)*$D$17</f>
        <v/>
      </c>
      <c r="AH348" s="58">
        <f>(AH326+AH325)*$D$17</f>
        <v/>
      </c>
      <c r="AI348" s="58">
        <f>(AI326+AI325)*$D$17</f>
        <v/>
      </c>
      <c r="AJ348" s="58">
        <f>(AJ326+AJ325)*$D$17</f>
        <v/>
      </c>
      <c r="AK348" s="58">
        <f>(AK326+AK325)*$D$17</f>
        <v/>
      </c>
      <c r="AL348" s="58">
        <f>(AL326+AL325)*$D$17</f>
        <v/>
      </c>
      <c r="AM348" s="58">
        <f>(AM326+AM325)*$D$17</f>
        <v/>
      </c>
      <c r="AN348" s="58">
        <f>(AN326+AN325)*$D$17</f>
        <v/>
      </c>
      <c r="AO348" s="58">
        <f>(AO326+AO325)*$D$17</f>
        <v/>
      </c>
      <c r="AP348" s="58">
        <f>(AP326+AP325)*$D$17</f>
        <v/>
      </c>
      <c r="AQ348" s="58">
        <f>(AQ326+AQ325)*$D$17</f>
        <v/>
      </c>
      <c r="AR348" s="58">
        <f>(AR326+AR325)*$D$17</f>
        <v/>
      </c>
      <c r="AS348" s="58">
        <f>(AS326+AS325)*$D$17</f>
        <v/>
      </c>
      <c r="AT348" s="58">
        <f>(AT326+AT325)*$D$17</f>
        <v/>
      </c>
      <c r="AU348" s="58">
        <f>(AU326+AU325)*$D$17</f>
        <v/>
      </c>
      <c r="AV348" s="58">
        <f>(AV326+AV325)*$D$17</f>
        <v/>
      </c>
      <c r="AW348" s="58">
        <f>(AW326+AW325)*$D$17</f>
        <v/>
      </c>
      <c r="AX348" s="58">
        <f>(AX326+AX325)*$D$17</f>
        <v/>
      </c>
      <c r="AY348" s="58">
        <f>(AY326+AY325)*$D$17</f>
        <v/>
      </c>
      <c r="AZ348" s="58">
        <f>(AZ326+AZ325)*$D$17</f>
        <v/>
      </c>
      <c r="BA348" s="58">
        <f>(BA326+BA325)*$D$17</f>
        <v/>
      </c>
      <c r="BB348" s="58">
        <f>(BB326+BB325)*$D$17</f>
        <v/>
      </c>
      <c r="BC348" s="58">
        <f>(BC326+BC325)*$D$17</f>
        <v/>
      </c>
      <c r="BD348" s="58">
        <f>(BD326+BD325)*$D$17</f>
        <v/>
      </c>
    </row>
    <row r="350">
      <c r="A350" s="3" t="inlineStr">
        <is>
          <t>KALE  —  cold store</t>
        </is>
      </c>
      <c r="B350" s="53" t="inlineStr"/>
    </row>
    <row r="351">
      <c r="A351" s="36" t="inlineStr">
        <is>
          <t>Week</t>
        </is>
      </c>
      <c r="B351" s="37" t="inlineStr"/>
      <c r="E351" s="38" t="n">
        <v>1</v>
      </c>
      <c r="F351" s="38" t="n">
        <v>2</v>
      </c>
      <c r="G351" s="38" t="n">
        <v>3</v>
      </c>
      <c r="H351" s="38" t="n">
        <v>4</v>
      </c>
      <c r="I351" s="38" t="n">
        <v>5</v>
      </c>
      <c r="J351" s="38" t="n">
        <v>6</v>
      </c>
      <c r="K351" s="38" t="n">
        <v>7</v>
      </c>
      <c r="L351" s="38" t="n">
        <v>8</v>
      </c>
      <c r="M351" s="38" t="n">
        <v>9</v>
      </c>
      <c r="N351" s="38" t="n">
        <v>10</v>
      </c>
      <c r="O351" s="38" t="n">
        <v>11</v>
      </c>
      <c r="P351" s="38" t="n">
        <v>12</v>
      </c>
      <c r="Q351" s="38" t="n">
        <v>13</v>
      </c>
      <c r="R351" s="38" t="n">
        <v>14</v>
      </c>
      <c r="S351" s="38" t="n">
        <v>15</v>
      </c>
      <c r="T351" s="38" t="n">
        <v>16</v>
      </c>
      <c r="U351" s="38" t="n">
        <v>17</v>
      </c>
      <c r="V351" s="38" t="n">
        <v>18</v>
      </c>
      <c r="W351" s="38" t="n">
        <v>19</v>
      </c>
      <c r="X351" s="38" t="n">
        <v>20</v>
      </c>
      <c r="Y351" s="38" t="n">
        <v>21</v>
      </c>
      <c r="Z351" s="38" t="n">
        <v>22</v>
      </c>
      <c r="AA351" s="38" t="n">
        <v>23</v>
      </c>
      <c r="AB351" s="38" t="n">
        <v>24</v>
      </c>
      <c r="AC351" s="38" t="n">
        <v>25</v>
      </c>
      <c r="AD351" s="38" t="n">
        <v>26</v>
      </c>
      <c r="AE351" s="38" t="n">
        <v>27</v>
      </c>
      <c r="AF351" s="38" t="n">
        <v>28</v>
      </c>
      <c r="AG351" s="38" t="n">
        <v>29</v>
      </c>
      <c r="AH351" s="38" t="n">
        <v>30</v>
      </c>
      <c r="AI351" s="38" t="n">
        <v>31</v>
      </c>
      <c r="AJ351" s="38" t="n">
        <v>32</v>
      </c>
      <c r="AK351" s="38" t="n">
        <v>33</v>
      </c>
      <c r="AL351" s="38" t="n">
        <v>34</v>
      </c>
      <c r="AM351" s="38" t="n">
        <v>35</v>
      </c>
      <c r="AN351" s="38" t="n">
        <v>36</v>
      </c>
      <c r="AO351" s="38" t="n">
        <v>37</v>
      </c>
      <c r="AP351" s="38" t="n">
        <v>38</v>
      </c>
      <c r="AQ351" s="38" t="n">
        <v>39</v>
      </c>
      <c r="AR351" s="38" t="n">
        <v>40</v>
      </c>
      <c r="AS351" s="38" t="n">
        <v>41</v>
      </c>
      <c r="AT351" s="38" t="n">
        <v>42</v>
      </c>
      <c r="AU351" s="38" t="n">
        <v>43</v>
      </c>
      <c r="AV351" s="38" t="n">
        <v>44</v>
      </c>
      <c r="AW351" s="38" t="n">
        <v>45</v>
      </c>
      <c r="AX351" s="38" t="n">
        <v>46</v>
      </c>
      <c r="AY351" s="38" t="n">
        <v>47</v>
      </c>
      <c r="AZ351" s="38" t="n">
        <v>48</v>
      </c>
      <c r="BA351" s="38" t="n">
        <v>49</v>
      </c>
      <c r="BB351" s="38" t="n">
        <v>50</v>
      </c>
      <c r="BC351" s="38" t="n">
        <v>51</v>
      </c>
      <c r="BD351" s="38" t="n">
        <v>52</v>
      </c>
    </row>
    <row r="352">
      <c r="A352" s="4" t="inlineStr">
        <is>
          <t>Packed out -&gt; INTO the store</t>
        </is>
      </c>
      <c r="B352" s="2" t="inlineStr">
        <is>
          <t>lb</t>
        </is>
      </c>
      <c r="E352" s="40">
        <f>SUMPRODUCT(($B$91:$B$230="Kale")*(E$91:E$230="H")*$C$91:$C$230)*$B$18/$J$18*$C$18</f>
        <v/>
      </c>
      <c r="F352" s="40">
        <f>SUMPRODUCT(($B$91:$B$230="Kale")*(F$91:F$230="H")*$C$91:$C$230)*$B$18/$J$18*$C$18</f>
        <v/>
      </c>
      <c r="G352" s="40">
        <f>SUMPRODUCT(($B$91:$B$230="Kale")*(G$91:G$230="H")*$C$91:$C$230)*$B$18/$J$18*$C$18</f>
        <v/>
      </c>
      <c r="H352" s="40">
        <f>SUMPRODUCT(($B$91:$B$230="Kale")*(H$91:H$230="H")*$C$91:$C$230)*$B$18/$J$18*$C$18</f>
        <v/>
      </c>
      <c r="I352" s="40">
        <f>SUMPRODUCT(($B$91:$B$230="Kale")*(I$91:I$230="H")*$C$91:$C$230)*$B$18/$J$18*$C$18</f>
        <v/>
      </c>
      <c r="J352" s="40">
        <f>SUMPRODUCT(($B$91:$B$230="Kale")*(J$91:J$230="H")*$C$91:$C$230)*$B$18/$J$18*$C$18</f>
        <v/>
      </c>
      <c r="K352" s="40">
        <f>SUMPRODUCT(($B$91:$B$230="Kale")*(K$91:K$230="H")*$C$91:$C$230)*$B$18/$J$18*$C$18</f>
        <v/>
      </c>
      <c r="L352" s="40">
        <f>SUMPRODUCT(($B$91:$B$230="Kale")*(L$91:L$230="H")*$C$91:$C$230)*$B$18/$J$18*$C$18</f>
        <v/>
      </c>
      <c r="M352" s="40">
        <f>SUMPRODUCT(($B$91:$B$230="Kale")*(M$91:M$230="H")*$C$91:$C$230)*$B$18/$J$18*$C$18</f>
        <v/>
      </c>
      <c r="N352" s="40">
        <f>SUMPRODUCT(($B$91:$B$230="Kale")*(N$91:N$230="H")*$C$91:$C$230)*$B$18/$J$18*$C$18</f>
        <v/>
      </c>
      <c r="O352" s="40">
        <f>SUMPRODUCT(($B$91:$B$230="Kale")*(O$91:O$230="H")*$C$91:$C$230)*$B$18/$J$18*$C$18</f>
        <v/>
      </c>
      <c r="P352" s="40">
        <f>SUMPRODUCT(($B$91:$B$230="Kale")*(P$91:P$230="H")*$C$91:$C$230)*$B$18/$J$18*$C$18</f>
        <v/>
      </c>
      <c r="Q352" s="40">
        <f>SUMPRODUCT(($B$91:$B$230="Kale")*(Q$91:Q$230="H")*$C$91:$C$230)*$B$18/$J$18*$C$18</f>
        <v/>
      </c>
      <c r="R352" s="40">
        <f>SUMPRODUCT(($B$91:$B$230="Kale")*(R$91:R$230="H")*$C$91:$C$230)*$B$18/$J$18*$C$18</f>
        <v/>
      </c>
      <c r="S352" s="40">
        <f>SUMPRODUCT(($B$91:$B$230="Kale")*(S$91:S$230="H")*$C$91:$C$230)*$B$18/$J$18*$C$18</f>
        <v/>
      </c>
      <c r="T352" s="40">
        <f>SUMPRODUCT(($B$91:$B$230="Kale")*(T$91:T$230="H")*$C$91:$C$230)*$B$18/$J$18*$C$18</f>
        <v/>
      </c>
      <c r="U352" s="40">
        <f>SUMPRODUCT(($B$91:$B$230="Kale")*(U$91:U$230="H")*$C$91:$C$230)*$B$18/$J$18*$C$18</f>
        <v/>
      </c>
      <c r="V352" s="40">
        <f>SUMPRODUCT(($B$91:$B$230="Kale")*(V$91:V$230="H")*$C$91:$C$230)*$B$18/$J$18*$C$18</f>
        <v/>
      </c>
      <c r="W352" s="40">
        <f>SUMPRODUCT(($B$91:$B$230="Kale")*(W$91:W$230="H")*$C$91:$C$230)*$B$18/$J$18*$C$18</f>
        <v/>
      </c>
      <c r="X352" s="40">
        <f>SUMPRODUCT(($B$91:$B$230="Kale")*(X$91:X$230="H")*$C$91:$C$230)*$B$18/$J$18*$C$18</f>
        <v/>
      </c>
      <c r="Y352" s="40">
        <f>SUMPRODUCT(($B$91:$B$230="Kale")*(Y$91:Y$230="H")*$C$91:$C$230)*$B$18/$J$18*$C$18</f>
        <v/>
      </c>
      <c r="Z352" s="40">
        <f>SUMPRODUCT(($B$91:$B$230="Kale")*(Z$91:Z$230="H")*$C$91:$C$230)*$B$18/$J$18*$C$18</f>
        <v/>
      </c>
      <c r="AA352" s="40">
        <f>SUMPRODUCT(($B$91:$B$230="Kale")*(AA$91:AA$230="H")*$C$91:$C$230)*$B$18/$J$18*$C$18</f>
        <v/>
      </c>
      <c r="AB352" s="40">
        <f>SUMPRODUCT(($B$91:$B$230="Kale")*(AB$91:AB$230="H")*$C$91:$C$230)*$B$18/$J$18*$C$18</f>
        <v/>
      </c>
      <c r="AC352" s="40">
        <f>SUMPRODUCT(($B$91:$B$230="Kale")*(AC$91:AC$230="H")*$C$91:$C$230)*$B$18/$J$18*$C$18</f>
        <v/>
      </c>
      <c r="AD352" s="40">
        <f>SUMPRODUCT(($B$91:$B$230="Kale")*(AD$91:AD$230="H")*$C$91:$C$230)*$B$18/$J$18*$C$18</f>
        <v/>
      </c>
      <c r="AE352" s="40">
        <f>SUMPRODUCT(($B$91:$B$230="Kale")*(AE$91:AE$230="H")*$C$91:$C$230)*$B$18/$J$18*$C$18</f>
        <v/>
      </c>
      <c r="AF352" s="40">
        <f>SUMPRODUCT(($B$91:$B$230="Kale")*(AF$91:AF$230="H")*$C$91:$C$230)*$B$18/$J$18*$C$18</f>
        <v/>
      </c>
      <c r="AG352" s="40">
        <f>SUMPRODUCT(($B$91:$B$230="Kale")*(AG$91:AG$230="H")*$C$91:$C$230)*$B$18/$J$18*$C$18</f>
        <v/>
      </c>
      <c r="AH352" s="40">
        <f>SUMPRODUCT(($B$91:$B$230="Kale")*(AH$91:AH$230="H")*$C$91:$C$230)*$B$18/$J$18*$C$18</f>
        <v/>
      </c>
      <c r="AI352" s="40">
        <f>SUMPRODUCT(($B$91:$B$230="Kale")*(AI$91:AI$230="H")*$C$91:$C$230)*$B$18/$J$18*$C$18</f>
        <v/>
      </c>
      <c r="AJ352" s="40">
        <f>SUMPRODUCT(($B$91:$B$230="Kale")*(AJ$91:AJ$230="H")*$C$91:$C$230)*$B$18/$J$18*$C$18</f>
        <v/>
      </c>
      <c r="AK352" s="40">
        <f>SUMPRODUCT(($B$91:$B$230="Kale")*(AK$91:AK$230="H")*$C$91:$C$230)*$B$18/$J$18*$C$18</f>
        <v/>
      </c>
      <c r="AL352" s="40">
        <f>SUMPRODUCT(($B$91:$B$230="Kale")*(AL$91:AL$230="H")*$C$91:$C$230)*$B$18/$J$18*$C$18</f>
        <v/>
      </c>
      <c r="AM352" s="40">
        <f>SUMPRODUCT(($B$91:$B$230="Kale")*(AM$91:AM$230="H")*$C$91:$C$230)*$B$18/$J$18*$C$18</f>
        <v/>
      </c>
      <c r="AN352" s="40">
        <f>SUMPRODUCT(($B$91:$B$230="Kale")*(AN$91:AN$230="H")*$C$91:$C$230)*$B$18/$J$18*$C$18</f>
        <v/>
      </c>
      <c r="AO352" s="40">
        <f>SUMPRODUCT(($B$91:$B$230="Kale")*(AO$91:AO$230="H")*$C$91:$C$230)*$B$18/$J$18*$C$18</f>
        <v/>
      </c>
      <c r="AP352" s="40">
        <f>SUMPRODUCT(($B$91:$B$230="Kale")*(AP$91:AP$230="H")*$C$91:$C$230)*$B$18/$J$18*$C$18</f>
        <v/>
      </c>
      <c r="AQ352" s="40">
        <f>SUMPRODUCT(($B$91:$B$230="Kale")*(AQ$91:AQ$230="H")*$C$91:$C$230)*$B$18/$J$18*$C$18</f>
        <v/>
      </c>
      <c r="AR352" s="40">
        <f>SUMPRODUCT(($B$91:$B$230="Kale")*(AR$91:AR$230="H")*$C$91:$C$230)*$B$18/$J$18*$C$18</f>
        <v/>
      </c>
      <c r="AS352" s="40">
        <f>SUMPRODUCT(($B$91:$B$230="Kale")*(AS$91:AS$230="H")*$C$91:$C$230)*$B$18/$J$18*$C$18</f>
        <v/>
      </c>
      <c r="AT352" s="40">
        <f>SUMPRODUCT(($B$91:$B$230="Kale")*(AT$91:AT$230="H")*$C$91:$C$230)*$B$18/$J$18*$C$18</f>
        <v/>
      </c>
      <c r="AU352" s="40">
        <f>SUMPRODUCT(($B$91:$B$230="Kale")*(AU$91:AU$230="H")*$C$91:$C$230)*$B$18/$J$18*$C$18</f>
        <v/>
      </c>
      <c r="AV352" s="40">
        <f>SUMPRODUCT(($B$91:$B$230="Kale")*(AV$91:AV$230="H")*$C$91:$C$230)*$B$18/$J$18*$C$18</f>
        <v/>
      </c>
      <c r="AW352" s="40">
        <f>SUMPRODUCT(($B$91:$B$230="Kale")*(AW$91:AW$230="H")*$C$91:$C$230)*$B$18/$J$18*$C$18</f>
        <v/>
      </c>
      <c r="AX352" s="40">
        <f>SUMPRODUCT(($B$91:$B$230="Kale")*(AX$91:AX$230="H")*$C$91:$C$230)*$B$18/$J$18*$C$18</f>
        <v/>
      </c>
      <c r="AY352" s="40">
        <f>SUMPRODUCT(($B$91:$B$230="Kale")*(AY$91:AY$230="H")*$C$91:$C$230)*$B$18/$J$18*$C$18</f>
        <v/>
      </c>
      <c r="AZ352" s="40">
        <f>SUMPRODUCT(($B$91:$B$230="Kale")*(AZ$91:AZ$230="H")*$C$91:$C$230)*$B$18/$J$18*$C$18</f>
        <v/>
      </c>
      <c r="BA352" s="40">
        <f>SUMPRODUCT(($B$91:$B$230="Kale")*(BA$91:BA$230="H")*$C$91:$C$230)*$B$18/$J$18*$C$18</f>
        <v/>
      </c>
      <c r="BB352" s="40">
        <f>SUMPRODUCT(($B$91:$B$230="Kale")*(BB$91:BB$230="H")*$C$91:$C$230)*$B$18/$J$18*$C$18</f>
        <v/>
      </c>
      <c r="BC352" s="40">
        <f>SUMPRODUCT(($B$91:$B$230="Kale")*(BC$91:BC$230="H")*$C$91:$C$230)*$B$18/$J$18*$C$18</f>
        <v/>
      </c>
      <c r="BD352" s="40">
        <f>SUMPRODUCT(($B$91:$B$230="Kale")*(BD$91:BD$230="H")*$C$91:$C$230)*$B$18/$J$18*$C$18</f>
        <v/>
      </c>
    </row>
    <row r="353">
      <c r="A353" s="33" t="inlineStr">
        <is>
          <t>Stock carried in</t>
        </is>
      </c>
      <c r="B353" s="2" t="inlineStr">
        <is>
          <t>lb</t>
        </is>
      </c>
      <c r="E353" s="40" t="n">
        <v>0</v>
      </c>
      <c r="F353" s="40">
        <f>E370</f>
        <v/>
      </c>
      <c r="G353" s="40">
        <f>F370</f>
        <v/>
      </c>
      <c r="H353" s="40">
        <f>G370</f>
        <v/>
      </c>
      <c r="I353" s="40">
        <f>H370</f>
        <v/>
      </c>
      <c r="J353" s="40">
        <f>I370</f>
        <v/>
      </c>
      <c r="K353" s="40">
        <f>J370</f>
        <v/>
      </c>
      <c r="L353" s="40">
        <f>K370</f>
        <v/>
      </c>
      <c r="M353" s="40">
        <f>L370</f>
        <v/>
      </c>
      <c r="N353" s="40">
        <f>M370</f>
        <v/>
      </c>
      <c r="O353" s="40">
        <f>N370</f>
        <v/>
      </c>
      <c r="P353" s="40">
        <f>O370</f>
        <v/>
      </c>
      <c r="Q353" s="40">
        <f>P370</f>
        <v/>
      </c>
      <c r="R353" s="40">
        <f>Q370</f>
        <v/>
      </c>
      <c r="S353" s="40">
        <f>R370</f>
        <v/>
      </c>
      <c r="T353" s="40">
        <f>S370</f>
        <v/>
      </c>
      <c r="U353" s="40">
        <f>T370</f>
        <v/>
      </c>
      <c r="V353" s="40">
        <f>U370</f>
        <v/>
      </c>
      <c r="W353" s="40">
        <f>V370</f>
        <v/>
      </c>
      <c r="X353" s="40">
        <f>W370</f>
        <v/>
      </c>
      <c r="Y353" s="40">
        <f>X370</f>
        <v/>
      </c>
      <c r="Z353" s="40">
        <f>Y370</f>
        <v/>
      </c>
      <c r="AA353" s="40">
        <f>Z370</f>
        <v/>
      </c>
      <c r="AB353" s="40">
        <f>AA370</f>
        <v/>
      </c>
      <c r="AC353" s="40">
        <f>AB370</f>
        <v/>
      </c>
      <c r="AD353" s="40">
        <f>AC370</f>
        <v/>
      </c>
      <c r="AE353" s="40">
        <f>AD370</f>
        <v/>
      </c>
      <c r="AF353" s="40">
        <f>AE370</f>
        <v/>
      </c>
      <c r="AG353" s="40">
        <f>AF370</f>
        <v/>
      </c>
      <c r="AH353" s="40">
        <f>AG370</f>
        <v/>
      </c>
      <c r="AI353" s="40">
        <f>AH370</f>
        <v/>
      </c>
      <c r="AJ353" s="40">
        <f>AI370</f>
        <v/>
      </c>
      <c r="AK353" s="40">
        <f>AJ370</f>
        <v/>
      </c>
      <c r="AL353" s="40">
        <f>AK370</f>
        <v/>
      </c>
      <c r="AM353" s="40">
        <f>AL370</f>
        <v/>
      </c>
      <c r="AN353" s="40">
        <f>AM370</f>
        <v/>
      </c>
      <c r="AO353" s="40">
        <f>AN370</f>
        <v/>
      </c>
      <c r="AP353" s="40">
        <f>AO370</f>
        <v/>
      </c>
      <c r="AQ353" s="40">
        <f>AP370</f>
        <v/>
      </c>
      <c r="AR353" s="40">
        <f>AQ370</f>
        <v/>
      </c>
      <c r="AS353" s="40">
        <f>AR370</f>
        <v/>
      </c>
      <c r="AT353" s="40">
        <f>AS370</f>
        <v/>
      </c>
      <c r="AU353" s="40">
        <f>AT370</f>
        <v/>
      </c>
      <c r="AV353" s="40">
        <f>AU370</f>
        <v/>
      </c>
      <c r="AW353" s="40">
        <f>AV370</f>
        <v/>
      </c>
      <c r="AX353" s="40">
        <f>AW370</f>
        <v/>
      </c>
      <c r="AY353" s="40">
        <f>AX370</f>
        <v/>
      </c>
      <c r="AZ353" s="40">
        <f>AY370</f>
        <v/>
      </c>
      <c r="BA353" s="40">
        <f>AZ370</f>
        <v/>
      </c>
      <c r="BB353" s="40">
        <f>BA370</f>
        <v/>
      </c>
      <c r="BC353" s="40">
        <f>BB370</f>
        <v/>
      </c>
      <c r="BD353" s="40">
        <f>BC370</f>
        <v/>
      </c>
    </row>
    <row r="354">
      <c r="A354" s="33" t="inlineStr">
        <is>
          <t xml:space="preserve">   lost to shrink</t>
        </is>
      </c>
      <c r="B354" s="2" t="inlineStr">
        <is>
          <t>lb</t>
        </is>
      </c>
      <c r="E354" s="40">
        <f>E353*$G$18</f>
        <v/>
      </c>
      <c r="F354" s="40">
        <f>F353*$G$18</f>
        <v/>
      </c>
      <c r="G354" s="40">
        <f>G353*$G$18</f>
        <v/>
      </c>
      <c r="H354" s="40">
        <f>H353*$G$18</f>
        <v/>
      </c>
      <c r="I354" s="40">
        <f>I353*$G$18</f>
        <v/>
      </c>
      <c r="J354" s="40">
        <f>J353*$G$18</f>
        <v/>
      </c>
      <c r="K354" s="40">
        <f>K353*$G$18</f>
        <v/>
      </c>
      <c r="L354" s="40">
        <f>L353*$G$18</f>
        <v/>
      </c>
      <c r="M354" s="40">
        <f>M353*$G$18</f>
        <v/>
      </c>
      <c r="N354" s="40">
        <f>N353*$G$18</f>
        <v/>
      </c>
      <c r="O354" s="40">
        <f>O353*$G$18</f>
        <v/>
      </c>
      <c r="P354" s="40">
        <f>P353*$G$18</f>
        <v/>
      </c>
      <c r="Q354" s="40">
        <f>Q353*$G$18</f>
        <v/>
      </c>
      <c r="R354" s="40">
        <f>R353*$G$18</f>
        <v/>
      </c>
      <c r="S354" s="40">
        <f>S353*$G$18</f>
        <v/>
      </c>
      <c r="T354" s="40">
        <f>T353*$G$18</f>
        <v/>
      </c>
      <c r="U354" s="40">
        <f>U353*$G$18</f>
        <v/>
      </c>
      <c r="V354" s="40">
        <f>V353*$G$18</f>
        <v/>
      </c>
      <c r="W354" s="40">
        <f>W353*$G$18</f>
        <v/>
      </c>
      <c r="X354" s="40">
        <f>X353*$G$18</f>
        <v/>
      </c>
      <c r="Y354" s="40">
        <f>Y353*$G$18</f>
        <v/>
      </c>
      <c r="Z354" s="40">
        <f>Z353*$G$18</f>
        <v/>
      </c>
      <c r="AA354" s="40">
        <f>AA353*$G$18</f>
        <v/>
      </c>
      <c r="AB354" s="40">
        <f>AB353*$G$18</f>
        <v/>
      </c>
      <c r="AC354" s="40">
        <f>AC353*$G$18</f>
        <v/>
      </c>
      <c r="AD354" s="40">
        <f>AD353*$G$18</f>
        <v/>
      </c>
      <c r="AE354" s="40">
        <f>AE353*$G$18</f>
        <v/>
      </c>
      <c r="AF354" s="40">
        <f>AF353*$G$18</f>
        <v/>
      </c>
      <c r="AG354" s="40">
        <f>AG353*$G$18</f>
        <v/>
      </c>
      <c r="AH354" s="40">
        <f>AH353*$G$18</f>
        <v/>
      </c>
      <c r="AI354" s="40">
        <f>AI353*$G$18</f>
        <v/>
      </c>
      <c r="AJ354" s="40">
        <f>AJ353*$G$18</f>
        <v/>
      </c>
      <c r="AK354" s="40">
        <f>AK353*$G$18</f>
        <v/>
      </c>
      <c r="AL354" s="40">
        <f>AL353*$G$18</f>
        <v/>
      </c>
      <c r="AM354" s="40">
        <f>AM353*$G$18</f>
        <v/>
      </c>
      <c r="AN354" s="40">
        <f>AN353*$G$18</f>
        <v/>
      </c>
      <c r="AO354" s="40">
        <f>AO353*$G$18</f>
        <v/>
      </c>
      <c r="AP354" s="40">
        <f>AP353*$G$18</f>
        <v/>
      </c>
      <c r="AQ354" s="40">
        <f>AQ353*$G$18</f>
        <v/>
      </c>
      <c r="AR354" s="40">
        <f>AR353*$G$18</f>
        <v/>
      </c>
      <c r="AS354" s="40">
        <f>AS353*$G$18</f>
        <v/>
      </c>
      <c r="AT354" s="40">
        <f>AT353*$G$18</f>
        <v/>
      </c>
      <c r="AU354" s="40">
        <f>AU353*$G$18</f>
        <v/>
      </c>
      <c r="AV354" s="40">
        <f>AV353*$G$18</f>
        <v/>
      </c>
      <c r="AW354" s="40">
        <f>AW353*$G$18</f>
        <v/>
      </c>
      <c r="AX354" s="40">
        <f>AX353*$G$18</f>
        <v/>
      </c>
      <c r="AY354" s="40">
        <f>AY353*$G$18</f>
        <v/>
      </c>
      <c r="AZ354" s="40">
        <f>AZ353*$G$18</f>
        <v/>
      </c>
      <c r="BA354" s="40">
        <f>BA353*$G$18</f>
        <v/>
      </c>
      <c r="BB354" s="40">
        <f>BB353*$G$18</f>
        <v/>
      </c>
      <c r="BC354" s="40">
        <f>BC353*$G$18</f>
        <v/>
      </c>
      <c r="BD354" s="40">
        <f>BD353*$G$18</f>
        <v/>
      </c>
    </row>
    <row r="355">
      <c r="A355" s="4" t="inlineStr">
        <is>
          <t>In store this week</t>
        </is>
      </c>
      <c r="B355" s="2" t="inlineStr">
        <is>
          <t>lb</t>
        </is>
      </c>
      <c r="E355" s="40">
        <f>E353-E354+E352</f>
        <v/>
      </c>
      <c r="F355" s="40">
        <f>F353-F354+F352</f>
        <v/>
      </c>
      <c r="G355" s="40">
        <f>G353-G354+G352</f>
        <v/>
      </c>
      <c r="H355" s="40">
        <f>H353-H354+H352</f>
        <v/>
      </c>
      <c r="I355" s="40">
        <f>I353-I354+I352</f>
        <v/>
      </c>
      <c r="J355" s="40">
        <f>J353-J354+J352</f>
        <v/>
      </c>
      <c r="K355" s="40">
        <f>K353-K354+K352</f>
        <v/>
      </c>
      <c r="L355" s="40">
        <f>L353-L354+L352</f>
        <v/>
      </c>
      <c r="M355" s="40">
        <f>M353-M354+M352</f>
        <v/>
      </c>
      <c r="N355" s="40">
        <f>N353-N354+N352</f>
        <v/>
      </c>
      <c r="O355" s="40">
        <f>O353-O354+O352</f>
        <v/>
      </c>
      <c r="P355" s="40">
        <f>P353-P354+P352</f>
        <v/>
      </c>
      <c r="Q355" s="40">
        <f>Q353-Q354+Q352</f>
        <v/>
      </c>
      <c r="R355" s="40">
        <f>R353-R354+R352</f>
        <v/>
      </c>
      <c r="S355" s="40">
        <f>S353-S354+S352</f>
        <v/>
      </c>
      <c r="T355" s="40">
        <f>T353-T354+T352</f>
        <v/>
      </c>
      <c r="U355" s="40">
        <f>U353-U354+U352</f>
        <v/>
      </c>
      <c r="V355" s="40">
        <f>V353-V354+V352</f>
        <v/>
      </c>
      <c r="W355" s="40">
        <f>W353-W354+W352</f>
        <v/>
      </c>
      <c r="X355" s="40">
        <f>X353-X354+X352</f>
        <v/>
      </c>
      <c r="Y355" s="40">
        <f>Y353-Y354+Y352</f>
        <v/>
      </c>
      <c r="Z355" s="40">
        <f>Z353-Z354+Z352</f>
        <v/>
      </c>
      <c r="AA355" s="40">
        <f>AA353-AA354+AA352</f>
        <v/>
      </c>
      <c r="AB355" s="40">
        <f>AB353-AB354+AB352</f>
        <v/>
      </c>
      <c r="AC355" s="40">
        <f>AC353-AC354+AC352</f>
        <v/>
      </c>
      <c r="AD355" s="40">
        <f>AD353-AD354+AD352</f>
        <v/>
      </c>
      <c r="AE355" s="40">
        <f>AE353-AE354+AE352</f>
        <v/>
      </c>
      <c r="AF355" s="40">
        <f>AF353-AF354+AF352</f>
        <v/>
      </c>
      <c r="AG355" s="40">
        <f>AG353-AG354+AG352</f>
        <v/>
      </c>
      <c r="AH355" s="40">
        <f>AH353-AH354+AH352</f>
        <v/>
      </c>
      <c r="AI355" s="40">
        <f>AI353-AI354+AI352</f>
        <v/>
      </c>
      <c r="AJ355" s="40">
        <f>AJ353-AJ354+AJ352</f>
        <v/>
      </c>
      <c r="AK355" s="40">
        <f>AK353-AK354+AK352</f>
        <v/>
      </c>
      <c r="AL355" s="40">
        <f>AL353-AL354+AL352</f>
        <v/>
      </c>
      <c r="AM355" s="40">
        <f>AM353-AM354+AM352</f>
        <v/>
      </c>
      <c r="AN355" s="40">
        <f>AN353-AN354+AN352</f>
        <v/>
      </c>
      <c r="AO355" s="40">
        <f>AO353-AO354+AO352</f>
        <v/>
      </c>
      <c r="AP355" s="40">
        <f>AP353-AP354+AP352</f>
        <v/>
      </c>
      <c r="AQ355" s="40">
        <f>AQ353-AQ354+AQ352</f>
        <v/>
      </c>
      <c r="AR355" s="40">
        <f>AR353-AR354+AR352</f>
        <v/>
      </c>
      <c r="AS355" s="40">
        <f>AS353-AS354+AS352</f>
        <v/>
      </c>
      <c r="AT355" s="40">
        <f>AT353-AT354+AT352</f>
        <v/>
      </c>
      <c r="AU355" s="40">
        <f>AU353-AU354+AU352</f>
        <v/>
      </c>
      <c r="AV355" s="40">
        <f>AV353-AV354+AV352</f>
        <v/>
      </c>
      <c r="AW355" s="40">
        <f>AW353-AW354+AW352</f>
        <v/>
      </c>
      <c r="AX355" s="40">
        <f>AX353-AX354+AX352</f>
        <v/>
      </c>
      <c r="AY355" s="40">
        <f>AY353-AY354+AY352</f>
        <v/>
      </c>
      <c r="AZ355" s="40">
        <f>AZ353-AZ354+AZ352</f>
        <v/>
      </c>
      <c r="BA355" s="40">
        <f>BA353-BA354+BA352</f>
        <v/>
      </c>
      <c r="BB355" s="40">
        <f>BB353-BB354+BB352</f>
        <v/>
      </c>
      <c r="BC355" s="40">
        <f>BC353-BC354+BC352</f>
        <v/>
      </c>
      <c r="BD355" s="40">
        <f>BD353-BD354+BD352</f>
        <v/>
      </c>
    </row>
    <row r="356">
      <c r="A356" s="43" t="inlineStr">
        <is>
          <t>Farmers Market — most you may sell this week</t>
        </is>
      </c>
      <c r="B356" s="2" t="inlineStr">
        <is>
          <t>lb</t>
        </is>
      </c>
      <c r="E356" s="42">
        <f>IF($C$37="Annual",$D$37-0,IF(AND(1&gt;=$E$37,1&lt;=$F$37),$D$37,0))</f>
        <v/>
      </c>
      <c r="F356" s="42">
        <f>IF($C$37="Annual",$D$37-SUM(E358:E358),IF(AND(2&gt;=$E$37,2&lt;=$F$37),$D$37,0))</f>
        <v/>
      </c>
      <c r="G356" s="42">
        <f>IF($C$37="Annual",$D$37-SUM(E358:F358),IF(AND(3&gt;=$E$37,3&lt;=$F$37),$D$37,0))</f>
        <v/>
      </c>
      <c r="H356" s="42">
        <f>IF($C$37="Annual",$D$37-SUM(E358:G358),IF(AND(4&gt;=$E$37,4&lt;=$F$37),$D$37,0))</f>
        <v/>
      </c>
      <c r="I356" s="42">
        <f>IF($C$37="Annual",$D$37-SUM(E358:H358),IF(AND(5&gt;=$E$37,5&lt;=$F$37),$D$37,0))</f>
        <v/>
      </c>
      <c r="J356" s="42">
        <f>IF($C$37="Annual",$D$37-SUM(E358:I358),IF(AND(6&gt;=$E$37,6&lt;=$F$37),$D$37,0))</f>
        <v/>
      </c>
      <c r="K356" s="42">
        <f>IF($C$37="Annual",$D$37-SUM(E358:J358),IF(AND(7&gt;=$E$37,7&lt;=$F$37),$D$37,0))</f>
        <v/>
      </c>
      <c r="L356" s="42">
        <f>IF($C$37="Annual",$D$37-SUM(E358:K358),IF(AND(8&gt;=$E$37,8&lt;=$F$37),$D$37,0))</f>
        <v/>
      </c>
      <c r="M356" s="42">
        <f>IF($C$37="Annual",$D$37-SUM(E358:L358),IF(AND(9&gt;=$E$37,9&lt;=$F$37),$D$37,0))</f>
        <v/>
      </c>
      <c r="N356" s="42">
        <f>IF($C$37="Annual",$D$37-SUM(E358:M358),IF(AND(10&gt;=$E$37,10&lt;=$F$37),$D$37,0))</f>
        <v/>
      </c>
      <c r="O356" s="42">
        <f>IF($C$37="Annual",$D$37-SUM(E358:N358),IF(AND(11&gt;=$E$37,11&lt;=$F$37),$D$37,0))</f>
        <v/>
      </c>
      <c r="P356" s="42">
        <f>IF($C$37="Annual",$D$37-SUM(E358:O358),IF(AND(12&gt;=$E$37,12&lt;=$F$37),$D$37,0))</f>
        <v/>
      </c>
      <c r="Q356" s="42">
        <f>IF($C$37="Annual",$D$37-SUM(E358:P358),IF(AND(13&gt;=$E$37,13&lt;=$F$37),$D$37,0))</f>
        <v/>
      </c>
      <c r="R356" s="42">
        <f>IF($C$37="Annual",$D$37-SUM(E358:Q358),IF(AND(14&gt;=$E$37,14&lt;=$F$37),$D$37,0))</f>
        <v/>
      </c>
      <c r="S356" s="42">
        <f>IF($C$37="Annual",$D$37-SUM(E358:R358),IF(AND(15&gt;=$E$37,15&lt;=$F$37),$D$37,0))</f>
        <v/>
      </c>
      <c r="T356" s="42">
        <f>IF($C$37="Annual",$D$37-SUM(E358:S358),IF(AND(16&gt;=$E$37,16&lt;=$F$37),$D$37,0))</f>
        <v/>
      </c>
      <c r="U356" s="42">
        <f>IF($C$37="Annual",$D$37-SUM(E358:T358),IF(AND(17&gt;=$E$37,17&lt;=$F$37),$D$37,0))</f>
        <v/>
      </c>
      <c r="V356" s="42">
        <f>IF($C$37="Annual",$D$37-SUM(E358:U358),IF(AND(18&gt;=$E$37,18&lt;=$F$37),$D$37,0))</f>
        <v/>
      </c>
      <c r="W356" s="42">
        <f>IF($C$37="Annual",$D$37-SUM(E358:V358),IF(AND(19&gt;=$E$37,19&lt;=$F$37),$D$37,0))</f>
        <v/>
      </c>
      <c r="X356" s="42">
        <f>IF($C$37="Annual",$D$37-SUM(E358:W358),IF(AND(20&gt;=$E$37,20&lt;=$F$37),$D$37,0))</f>
        <v/>
      </c>
      <c r="Y356" s="42">
        <f>IF($C$37="Annual",$D$37-SUM(E358:X358),IF(AND(21&gt;=$E$37,21&lt;=$F$37),$D$37,0))</f>
        <v/>
      </c>
      <c r="Z356" s="42">
        <f>IF($C$37="Annual",$D$37-SUM(E358:Y358),IF(AND(22&gt;=$E$37,22&lt;=$F$37),$D$37,0))</f>
        <v/>
      </c>
      <c r="AA356" s="42">
        <f>IF($C$37="Annual",$D$37-SUM(E358:Z358),IF(AND(23&gt;=$E$37,23&lt;=$F$37),$D$37,0))</f>
        <v/>
      </c>
      <c r="AB356" s="42">
        <f>IF($C$37="Annual",$D$37-SUM(E358:AA358),IF(AND(24&gt;=$E$37,24&lt;=$F$37),$D$37,0))</f>
        <v/>
      </c>
      <c r="AC356" s="42">
        <f>IF($C$37="Annual",$D$37-SUM(E358:AB358),IF(AND(25&gt;=$E$37,25&lt;=$F$37),$D$37,0))</f>
        <v/>
      </c>
      <c r="AD356" s="42">
        <f>IF($C$37="Annual",$D$37-SUM(E358:AC358),IF(AND(26&gt;=$E$37,26&lt;=$F$37),$D$37,0))</f>
        <v/>
      </c>
      <c r="AE356" s="42">
        <f>IF($C$37="Annual",$D$37-SUM(E358:AD358),IF(AND(27&gt;=$E$37,27&lt;=$F$37),$D$37,0))</f>
        <v/>
      </c>
      <c r="AF356" s="42">
        <f>IF($C$37="Annual",$D$37-SUM(E358:AE358),IF(AND(28&gt;=$E$37,28&lt;=$F$37),$D$37,0))</f>
        <v/>
      </c>
      <c r="AG356" s="42">
        <f>IF($C$37="Annual",$D$37-SUM(E358:AF358),IF(AND(29&gt;=$E$37,29&lt;=$F$37),$D$37,0))</f>
        <v/>
      </c>
      <c r="AH356" s="42">
        <f>IF($C$37="Annual",$D$37-SUM(E358:AG358),IF(AND(30&gt;=$E$37,30&lt;=$F$37),$D$37,0))</f>
        <v/>
      </c>
      <c r="AI356" s="42">
        <f>IF($C$37="Annual",$D$37-SUM(E358:AH358),IF(AND(31&gt;=$E$37,31&lt;=$F$37),$D$37,0))</f>
        <v/>
      </c>
      <c r="AJ356" s="42">
        <f>IF($C$37="Annual",$D$37-SUM(E358:AI358),IF(AND(32&gt;=$E$37,32&lt;=$F$37),$D$37,0))</f>
        <v/>
      </c>
      <c r="AK356" s="42">
        <f>IF($C$37="Annual",$D$37-SUM(E358:AJ358),IF(AND(33&gt;=$E$37,33&lt;=$F$37),$D$37,0))</f>
        <v/>
      </c>
      <c r="AL356" s="42">
        <f>IF($C$37="Annual",$D$37-SUM(E358:AK358),IF(AND(34&gt;=$E$37,34&lt;=$F$37),$D$37,0))</f>
        <v/>
      </c>
      <c r="AM356" s="42">
        <f>IF($C$37="Annual",$D$37-SUM(E358:AL358),IF(AND(35&gt;=$E$37,35&lt;=$F$37),$D$37,0))</f>
        <v/>
      </c>
      <c r="AN356" s="42">
        <f>IF($C$37="Annual",$D$37-SUM(E358:AM358),IF(AND(36&gt;=$E$37,36&lt;=$F$37),$D$37,0))</f>
        <v/>
      </c>
      <c r="AO356" s="42">
        <f>IF($C$37="Annual",$D$37-SUM(E358:AN358),IF(AND(37&gt;=$E$37,37&lt;=$F$37),$D$37,0))</f>
        <v/>
      </c>
      <c r="AP356" s="42">
        <f>IF($C$37="Annual",$D$37-SUM(E358:AO358),IF(AND(38&gt;=$E$37,38&lt;=$F$37),$D$37,0))</f>
        <v/>
      </c>
      <c r="AQ356" s="42">
        <f>IF($C$37="Annual",$D$37-SUM(E358:AP358),IF(AND(39&gt;=$E$37,39&lt;=$F$37),$D$37,0))</f>
        <v/>
      </c>
      <c r="AR356" s="42">
        <f>IF($C$37="Annual",$D$37-SUM(E358:AQ358),IF(AND(40&gt;=$E$37,40&lt;=$F$37),$D$37,0))</f>
        <v/>
      </c>
      <c r="AS356" s="42">
        <f>IF($C$37="Annual",$D$37-SUM(E358:AR358),IF(AND(41&gt;=$E$37,41&lt;=$F$37),$D$37,0))</f>
        <v/>
      </c>
      <c r="AT356" s="42">
        <f>IF($C$37="Annual",$D$37-SUM(E358:AS358),IF(AND(42&gt;=$E$37,42&lt;=$F$37),$D$37,0))</f>
        <v/>
      </c>
      <c r="AU356" s="42">
        <f>IF($C$37="Annual",$D$37-SUM(E358:AT358),IF(AND(43&gt;=$E$37,43&lt;=$F$37),$D$37,0))</f>
        <v/>
      </c>
      <c r="AV356" s="42">
        <f>IF($C$37="Annual",$D$37-SUM(E358:AU358),IF(AND(44&gt;=$E$37,44&lt;=$F$37),$D$37,0))</f>
        <v/>
      </c>
      <c r="AW356" s="42">
        <f>IF($C$37="Annual",$D$37-SUM(E358:AV358),IF(AND(45&gt;=$E$37,45&lt;=$F$37),$D$37,0))</f>
        <v/>
      </c>
      <c r="AX356" s="42">
        <f>IF($C$37="Annual",$D$37-SUM(E358:AW358),IF(AND(46&gt;=$E$37,46&lt;=$F$37),$D$37,0))</f>
        <v/>
      </c>
      <c r="AY356" s="42">
        <f>IF($C$37="Annual",$D$37-SUM(E358:AX358),IF(AND(47&gt;=$E$37,47&lt;=$F$37),$D$37,0))</f>
        <v/>
      </c>
      <c r="AZ356" s="42">
        <f>IF($C$37="Annual",$D$37-SUM(E358:AY358),IF(AND(48&gt;=$E$37,48&lt;=$F$37),$D$37,0))</f>
        <v/>
      </c>
      <c r="BA356" s="42">
        <f>IF($C$37="Annual",$D$37-SUM(E358:AZ358),IF(AND(49&gt;=$E$37,49&lt;=$F$37),$D$37,0))</f>
        <v/>
      </c>
      <c r="BB356" s="42">
        <f>IF($C$37="Annual",$D$37-SUM(E358:BA358),IF(AND(50&gt;=$E$37,50&lt;=$F$37),$D$37,0))</f>
        <v/>
      </c>
      <c r="BC356" s="42">
        <f>IF($C$37="Annual",$D$37-SUM(E358:BB358),IF(AND(51&gt;=$E$37,51&lt;=$F$37),$D$37,0))</f>
        <v/>
      </c>
      <c r="BD356" s="42">
        <f>IF($C$37="Annual",$D$37-SUM(E358:BC358),IF(AND(52&gt;=$E$37,52&lt;=$F$37),$D$37,0))</f>
        <v/>
      </c>
    </row>
    <row r="357">
      <c r="A357" s="32" t="inlineStr">
        <is>
          <t>Farmers Market — OFFERED</t>
        </is>
      </c>
      <c r="B357" s="2" t="inlineStr">
        <is>
          <t>lb  &lt;-- SOLVER</t>
        </is>
      </c>
      <c r="E357" s="39" t="n">
        <v>0</v>
      </c>
      <c r="F357" s="39" t="n">
        <v>0</v>
      </c>
      <c r="G357" s="39" t="n">
        <v>0</v>
      </c>
      <c r="H357" s="39" t="n">
        <v>0</v>
      </c>
      <c r="I357" s="39" t="n">
        <v>0</v>
      </c>
      <c r="J357" s="39" t="n">
        <v>0</v>
      </c>
      <c r="K357" s="39" t="n">
        <v>0</v>
      </c>
      <c r="L357" s="39" t="n">
        <v>0</v>
      </c>
      <c r="M357" s="39" t="n">
        <v>0</v>
      </c>
      <c r="N357" s="39" t="n">
        <v>0</v>
      </c>
      <c r="O357" s="39" t="n">
        <v>0</v>
      </c>
      <c r="P357" s="39" t="n">
        <v>0</v>
      </c>
      <c r="Q357" s="39" t="n">
        <v>0</v>
      </c>
      <c r="R357" s="39" t="n">
        <v>0</v>
      </c>
      <c r="S357" s="39" t="n">
        <v>0</v>
      </c>
      <c r="T357" s="39" t="n">
        <v>0</v>
      </c>
      <c r="U357" s="39" t="n">
        <v>0</v>
      </c>
      <c r="V357" s="39" t="n">
        <v>0</v>
      </c>
      <c r="W357" s="39" t="n">
        <v>0</v>
      </c>
      <c r="X357" s="39" t="n">
        <v>0</v>
      </c>
      <c r="Y357" s="39" t="n">
        <v>0</v>
      </c>
      <c r="Z357" s="39" t="n">
        <v>0</v>
      </c>
      <c r="AA357" s="39" t="n">
        <v>0</v>
      </c>
      <c r="AB357" s="39" t="n">
        <v>0</v>
      </c>
      <c r="AC357" s="39" t="n">
        <v>0</v>
      </c>
      <c r="AD357" s="39" t="n">
        <v>0</v>
      </c>
      <c r="AE357" s="39" t="n">
        <v>0</v>
      </c>
      <c r="AF357" s="39" t="n">
        <v>0</v>
      </c>
      <c r="AG357" s="39" t="n">
        <v>0</v>
      </c>
      <c r="AH357" s="39" t="n">
        <v>0</v>
      </c>
      <c r="AI357" s="39" t="n">
        <v>0</v>
      </c>
      <c r="AJ357" s="39" t="n">
        <v>0</v>
      </c>
      <c r="AK357" s="39" t="n">
        <v>0</v>
      </c>
      <c r="AL357" s="39" t="n">
        <v>0</v>
      </c>
      <c r="AM357" s="39" t="n">
        <v>0</v>
      </c>
      <c r="AN357" s="39" t="n">
        <v>0</v>
      </c>
      <c r="AO357" s="39" t="n">
        <v>0</v>
      </c>
      <c r="AP357" s="39" t="n">
        <v>0</v>
      </c>
      <c r="AQ357" s="39" t="n">
        <v>0</v>
      </c>
      <c r="AR357" s="39" t="n">
        <v>0</v>
      </c>
      <c r="AS357" s="39" t="n">
        <v>0</v>
      </c>
      <c r="AT357" s="39" t="n">
        <v>0</v>
      </c>
      <c r="AU357" s="39" t="n">
        <v>0</v>
      </c>
      <c r="AV357" s="39" t="n">
        <v>0</v>
      </c>
      <c r="AW357" s="39" t="n">
        <v>0</v>
      </c>
      <c r="AX357" s="39" t="n">
        <v>0</v>
      </c>
      <c r="AY357" s="39" t="n">
        <v>0</v>
      </c>
      <c r="AZ357" s="39" t="n">
        <v>0</v>
      </c>
      <c r="BA357" s="39" t="n">
        <v>0</v>
      </c>
      <c r="BB357" s="39" t="n">
        <v>0</v>
      </c>
      <c r="BC357" s="39" t="n">
        <v>0</v>
      </c>
      <c r="BD357" s="39" t="n">
        <v>0</v>
      </c>
    </row>
    <row r="358">
      <c r="A358" s="54" t="inlineStr">
        <is>
          <t>Farmers Market — SOLD</t>
        </is>
      </c>
      <c r="B358" s="2" t="inlineStr">
        <is>
          <t>lb</t>
        </is>
      </c>
      <c r="E358" s="55">
        <f>E357*$G$37</f>
        <v/>
      </c>
      <c r="F358" s="55">
        <f>F357*$G$37</f>
        <v/>
      </c>
      <c r="G358" s="55">
        <f>G357*$G$37</f>
        <v/>
      </c>
      <c r="H358" s="55">
        <f>H357*$G$37</f>
        <v/>
      </c>
      <c r="I358" s="55">
        <f>I357*$G$37</f>
        <v/>
      </c>
      <c r="J358" s="55">
        <f>J357*$G$37</f>
        <v/>
      </c>
      <c r="K358" s="55">
        <f>K357*$G$37</f>
        <v/>
      </c>
      <c r="L358" s="55">
        <f>L357*$G$37</f>
        <v/>
      </c>
      <c r="M358" s="55">
        <f>M357*$G$37</f>
        <v/>
      </c>
      <c r="N358" s="55">
        <f>N357*$G$37</f>
        <v/>
      </c>
      <c r="O358" s="55">
        <f>O357*$G$37</f>
        <v/>
      </c>
      <c r="P358" s="55">
        <f>P357*$G$37</f>
        <v/>
      </c>
      <c r="Q358" s="55">
        <f>Q357*$G$37</f>
        <v/>
      </c>
      <c r="R358" s="55">
        <f>R357*$G$37</f>
        <v/>
      </c>
      <c r="S358" s="55">
        <f>S357*$G$37</f>
        <v/>
      </c>
      <c r="T358" s="55">
        <f>T357*$G$37</f>
        <v/>
      </c>
      <c r="U358" s="55">
        <f>U357*$G$37</f>
        <v/>
      </c>
      <c r="V358" s="55">
        <f>V357*$G$37</f>
        <v/>
      </c>
      <c r="W358" s="55">
        <f>W357*$G$37</f>
        <v/>
      </c>
      <c r="X358" s="55">
        <f>X357*$G$37</f>
        <v/>
      </c>
      <c r="Y358" s="55">
        <f>Y357*$G$37</f>
        <v/>
      </c>
      <c r="Z358" s="55">
        <f>Z357*$G$37</f>
        <v/>
      </c>
      <c r="AA358" s="55">
        <f>AA357*$G$37</f>
        <v/>
      </c>
      <c r="AB358" s="55">
        <f>AB357*$G$37</f>
        <v/>
      </c>
      <c r="AC358" s="55">
        <f>AC357*$G$37</f>
        <v/>
      </c>
      <c r="AD358" s="55">
        <f>AD357*$G$37</f>
        <v/>
      </c>
      <c r="AE358" s="55">
        <f>AE357*$G$37</f>
        <v/>
      </c>
      <c r="AF358" s="55">
        <f>AF357*$G$37</f>
        <v/>
      </c>
      <c r="AG358" s="55">
        <f>AG357*$G$37</f>
        <v/>
      </c>
      <c r="AH358" s="55">
        <f>AH357*$G$37</f>
        <v/>
      </c>
      <c r="AI358" s="55">
        <f>AI357*$G$37</f>
        <v/>
      </c>
      <c r="AJ358" s="55">
        <f>AJ357*$G$37</f>
        <v/>
      </c>
      <c r="AK358" s="55">
        <f>AK357*$G$37</f>
        <v/>
      </c>
      <c r="AL358" s="55">
        <f>AL357*$G$37</f>
        <v/>
      </c>
      <c r="AM358" s="55">
        <f>AM357*$G$37</f>
        <v/>
      </c>
      <c r="AN358" s="55">
        <f>AN357*$G$37</f>
        <v/>
      </c>
      <c r="AO358" s="55">
        <f>AO357*$G$37</f>
        <v/>
      </c>
      <c r="AP358" s="55">
        <f>AP357*$G$37</f>
        <v/>
      </c>
      <c r="AQ358" s="55">
        <f>AQ357*$G$37</f>
        <v/>
      </c>
      <c r="AR358" s="55">
        <f>AR357*$G$37</f>
        <v/>
      </c>
      <c r="AS358" s="55">
        <f>AS357*$G$37</f>
        <v/>
      </c>
      <c r="AT358" s="55">
        <f>AT357*$G$37</f>
        <v/>
      </c>
      <c r="AU358" s="55">
        <f>AU357*$G$37</f>
        <v/>
      </c>
      <c r="AV358" s="55">
        <f>AV357*$G$37</f>
        <v/>
      </c>
      <c r="AW358" s="55">
        <f>AW357*$G$37</f>
        <v/>
      </c>
      <c r="AX358" s="55">
        <f>AX357*$G$37</f>
        <v/>
      </c>
      <c r="AY358" s="55">
        <f>AY357*$G$37</f>
        <v/>
      </c>
      <c r="AZ358" s="55">
        <f>AZ357*$G$37</f>
        <v/>
      </c>
      <c r="BA358" s="55">
        <f>BA357*$G$37</f>
        <v/>
      </c>
      <c r="BB358" s="55">
        <f>BB357*$G$37</f>
        <v/>
      </c>
      <c r="BC358" s="55">
        <f>BC357*$G$37</f>
        <v/>
      </c>
      <c r="BD358" s="55">
        <f>BD357*$G$37</f>
        <v/>
      </c>
    </row>
    <row r="359">
      <c r="A359" s="33" t="inlineStr">
        <is>
          <t xml:space="preserve">   market loss (gone)</t>
        </is>
      </c>
      <c r="B359" s="2" t="inlineStr">
        <is>
          <t>lb</t>
        </is>
      </c>
      <c r="E359" s="40">
        <f>(E357-E358)*(1-$H$37)</f>
        <v/>
      </c>
      <c r="F359" s="40">
        <f>(F357-F358)*(1-$H$37)</f>
        <v/>
      </c>
      <c r="G359" s="40">
        <f>(G357-G358)*(1-$H$37)</f>
        <v/>
      </c>
      <c r="H359" s="40">
        <f>(H357-H358)*(1-$H$37)</f>
        <v/>
      </c>
      <c r="I359" s="40">
        <f>(I357-I358)*(1-$H$37)</f>
        <v/>
      </c>
      <c r="J359" s="40">
        <f>(J357-J358)*(1-$H$37)</f>
        <v/>
      </c>
      <c r="K359" s="40">
        <f>(K357-K358)*(1-$H$37)</f>
        <v/>
      </c>
      <c r="L359" s="40">
        <f>(L357-L358)*(1-$H$37)</f>
        <v/>
      </c>
      <c r="M359" s="40">
        <f>(M357-M358)*(1-$H$37)</f>
        <v/>
      </c>
      <c r="N359" s="40">
        <f>(N357-N358)*(1-$H$37)</f>
        <v/>
      </c>
      <c r="O359" s="40">
        <f>(O357-O358)*(1-$H$37)</f>
        <v/>
      </c>
      <c r="P359" s="40">
        <f>(P357-P358)*(1-$H$37)</f>
        <v/>
      </c>
      <c r="Q359" s="40">
        <f>(Q357-Q358)*(1-$H$37)</f>
        <v/>
      </c>
      <c r="R359" s="40">
        <f>(R357-R358)*(1-$H$37)</f>
        <v/>
      </c>
      <c r="S359" s="40">
        <f>(S357-S358)*(1-$H$37)</f>
        <v/>
      </c>
      <c r="T359" s="40">
        <f>(T357-T358)*(1-$H$37)</f>
        <v/>
      </c>
      <c r="U359" s="40">
        <f>(U357-U358)*(1-$H$37)</f>
        <v/>
      </c>
      <c r="V359" s="40">
        <f>(V357-V358)*(1-$H$37)</f>
        <v/>
      </c>
      <c r="W359" s="40">
        <f>(W357-W358)*(1-$H$37)</f>
        <v/>
      </c>
      <c r="X359" s="40">
        <f>(X357-X358)*(1-$H$37)</f>
        <v/>
      </c>
      <c r="Y359" s="40">
        <f>(Y357-Y358)*(1-$H$37)</f>
        <v/>
      </c>
      <c r="Z359" s="40">
        <f>(Z357-Z358)*(1-$H$37)</f>
        <v/>
      </c>
      <c r="AA359" s="40">
        <f>(AA357-AA358)*(1-$H$37)</f>
        <v/>
      </c>
      <c r="AB359" s="40">
        <f>(AB357-AB358)*(1-$H$37)</f>
        <v/>
      </c>
      <c r="AC359" s="40">
        <f>(AC357-AC358)*(1-$H$37)</f>
        <v/>
      </c>
      <c r="AD359" s="40">
        <f>(AD357-AD358)*(1-$H$37)</f>
        <v/>
      </c>
      <c r="AE359" s="40">
        <f>(AE357-AE358)*(1-$H$37)</f>
        <v/>
      </c>
      <c r="AF359" s="40">
        <f>(AF357-AF358)*(1-$H$37)</f>
        <v/>
      </c>
      <c r="AG359" s="40">
        <f>(AG357-AG358)*(1-$H$37)</f>
        <v/>
      </c>
      <c r="AH359" s="40">
        <f>(AH357-AH358)*(1-$H$37)</f>
        <v/>
      </c>
      <c r="AI359" s="40">
        <f>(AI357-AI358)*(1-$H$37)</f>
        <v/>
      </c>
      <c r="AJ359" s="40">
        <f>(AJ357-AJ358)*(1-$H$37)</f>
        <v/>
      </c>
      <c r="AK359" s="40">
        <f>(AK357-AK358)*(1-$H$37)</f>
        <v/>
      </c>
      <c r="AL359" s="40">
        <f>(AL357-AL358)*(1-$H$37)</f>
        <v/>
      </c>
      <c r="AM359" s="40">
        <f>(AM357-AM358)*(1-$H$37)</f>
        <v/>
      </c>
      <c r="AN359" s="40">
        <f>(AN357-AN358)*(1-$H$37)</f>
        <v/>
      </c>
      <c r="AO359" s="40">
        <f>(AO357-AO358)*(1-$H$37)</f>
        <v/>
      </c>
      <c r="AP359" s="40">
        <f>(AP357-AP358)*(1-$H$37)</f>
        <v/>
      </c>
      <c r="AQ359" s="40">
        <f>(AQ357-AQ358)*(1-$H$37)</f>
        <v/>
      </c>
      <c r="AR359" s="40">
        <f>(AR357-AR358)*(1-$H$37)</f>
        <v/>
      </c>
      <c r="AS359" s="40">
        <f>(AS357-AS358)*(1-$H$37)</f>
        <v/>
      </c>
      <c r="AT359" s="40">
        <f>(AT357-AT358)*(1-$H$37)</f>
        <v/>
      </c>
      <c r="AU359" s="40">
        <f>(AU357-AU358)*(1-$H$37)</f>
        <v/>
      </c>
      <c r="AV359" s="40">
        <f>(AV357-AV358)*(1-$H$37)</f>
        <v/>
      </c>
      <c r="AW359" s="40">
        <f>(AW357-AW358)*(1-$H$37)</f>
        <v/>
      </c>
      <c r="AX359" s="40">
        <f>(AX357-AX358)*(1-$H$37)</f>
        <v/>
      </c>
      <c r="AY359" s="40">
        <f>(AY357-AY358)*(1-$H$37)</f>
        <v/>
      </c>
      <c r="AZ359" s="40">
        <f>(AZ357-AZ358)*(1-$H$37)</f>
        <v/>
      </c>
      <c r="BA359" s="40">
        <f>(BA357-BA358)*(1-$H$37)</f>
        <v/>
      </c>
      <c r="BB359" s="40">
        <f>(BB357-BB358)*(1-$H$37)</f>
        <v/>
      </c>
      <c r="BC359" s="40">
        <f>(BC357-BC358)*(1-$H$37)</f>
        <v/>
      </c>
      <c r="BD359" s="40">
        <f>(BD357-BD358)*(1-$H$37)</f>
        <v/>
      </c>
    </row>
    <row r="360">
      <c r="A360" s="33" t="inlineStr">
        <is>
          <t xml:space="preserve">   returned to store</t>
        </is>
      </c>
      <c r="B360" s="2" t="inlineStr">
        <is>
          <t>lb</t>
        </is>
      </c>
      <c r="E360" s="40">
        <f>(E357-E358)*$H$37</f>
        <v/>
      </c>
      <c r="F360" s="40">
        <f>(F357-F358)*$H$37</f>
        <v/>
      </c>
      <c r="G360" s="40">
        <f>(G357-G358)*$H$37</f>
        <v/>
      </c>
      <c r="H360" s="40">
        <f>(H357-H358)*$H$37</f>
        <v/>
      </c>
      <c r="I360" s="40">
        <f>(I357-I358)*$H$37</f>
        <v/>
      </c>
      <c r="J360" s="40">
        <f>(J357-J358)*$H$37</f>
        <v/>
      </c>
      <c r="K360" s="40">
        <f>(K357-K358)*$H$37</f>
        <v/>
      </c>
      <c r="L360" s="40">
        <f>(L357-L358)*$H$37</f>
        <v/>
      </c>
      <c r="M360" s="40">
        <f>(M357-M358)*$H$37</f>
        <v/>
      </c>
      <c r="N360" s="40">
        <f>(N357-N358)*$H$37</f>
        <v/>
      </c>
      <c r="O360" s="40">
        <f>(O357-O358)*$H$37</f>
        <v/>
      </c>
      <c r="P360" s="40">
        <f>(P357-P358)*$H$37</f>
        <v/>
      </c>
      <c r="Q360" s="40">
        <f>(Q357-Q358)*$H$37</f>
        <v/>
      </c>
      <c r="R360" s="40">
        <f>(R357-R358)*$H$37</f>
        <v/>
      </c>
      <c r="S360" s="40">
        <f>(S357-S358)*$H$37</f>
        <v/>
      </c>
      <c r="T360" s="40">
        <f>(T357-T358)*$H$37</f>
        <v/>
      </c>
      <c r="U360" s="40">
        <f>(U357-U358)*$H$37</f>
        <v/>
      </c>
      <c r="V360" s="40">
        <f>(V357-V358)*$H$37</f>
        <v/>
      </c>
      <c r="W360" s="40">
        <f>(W357-W358)*$H$37</f>
        <v/>
      </c>
      <c r="X360" s="40">
        <f>(X357-X358)*$H$37</f>
        <v/>
      </c>
      <c r="Y360" s="40">
        <f>(Y357-Y358)*$H$37</f>
        <v/>
      </c>
      <c r="Z360" s="40">
        <f>(Z357-Z358)*$H$37</f>
        <v/>
      </c>
      <c r="AA360" s="40">
        <f>(AA357-AA358)*$H$37</f>
        <v/>
      </c>
      <c r="AB360" s="40">
        <f>(AB357-AB358)*$H$37</f>
        <v/>
      </c>
      <c r="AC360" s="40">
        <f>(AC357-AC358)*$H$37</f>
        <v/>
      </c>
      <c r="AD360" s="40">
        <f>(AD357-AD358)*$H$37</f>
        <v/>
      </c>
      <c r="AE360" s="40">
        <f>(AE357-AE358)*$H$37</f>
        <v/>
      </c>
      <c r="AF360" s="40">
        <f>(AF357-AF358)*$H$37</f>
        <v/>
      </c>
      <c r="AG360" s="40">
        <f>(AG357-AG358)*$H$37</f>
        <v/>
      </c>
      <c r="AH360" s="40">
        <f>(AH357-AH358)*$H$37</f>
        <v/>
      </c>
      <c r="AI360" s="40">
        <f>(AI357-AI358)*$H$37</f>
        <v/>
      </c>
      <c r="AJ360" s="40">
        <f>(AJ357-AJ358)*$H$37</f>
        <v/>
      </c>
      <c r="AK360" s="40">
        <f>(AK357-AK358)*$H$37</f>
        <v/>
      </c>
      <c r="AL360" s="40">
        <f>(AL357-AL358)*$H$37</f>
        <v/>
      </c>
      <c r="AM360" s="40">
        <f>(AM357-AM358)*$H$37</f>
        <v/>
      </c>
      <c r="AN360" s="40">
        <f>(AN357-AN358)*$H$37</f>
        <v/>
      </c>
      <c r="AO360" s="40">
        <f>(AO357-AO358)*$H$37</f>
        <v/>
      </c>
      <c r="AP360" s="40">
        <f>(AP357-AP358)*$H$37</f>
        <v/>
      </c>
      <c r="AQ360" s="40">
        <f>(AQ357-AQ358)*$H$37</f>
        <v/>
      </c>
      <c r="AR360" s="40">
        <f>(AR357-AR358)*$H$37</f>
        <v/>
      </c>
      <c r="AS360" s="40">
        <f>(AS357-AS358)*$H$37</f>
        <v/>
      </c>
      <c r="AT360" s="40">
        <f>(AT357-AT358)*$H$37</f>
        <v/>
      </c>
      <c r="AU360" s="40">
        <f>(AU357-AU358)*$H$37</f>
        <v/>
      </c>
      <c r="AV360" s="40">
        <f>(AV357-AV358)*$H$37</f>
        <v/>
      </c>
      <c r="AW360" s="40">
        <f>(AW357-AW358)*$H$37</f>
        <v/>
      </c>
      <c r="AX360" s="40">
        <f>(AX357-AX358)*$H$37</f>
        <v/>
      </c>
      <c r="AY360" s="40">
        <f>(AY357-AY358)*$H$37</f>
        <v/>
      </c>
      <c r="AZ360" s="40">
        <f>(AZ357-AZ358)*$H$37</f>
        <v/>
      </c>
      <c r="BA360" s="40">
        <f>(BA357-BA358)*$H$37</f>
        <v/>
      </c>
      <c r="BB360" s="40">
        <f>(BB357-BB358)*$H$37</f>
        <v/>
      </c>
      <c r="BC360" s="40">
        <f>(BC357-BC358)*$H$37</f>
        <v/>
      </c>
      <c r="BD360" s="40">
        <f>(BD357-BD358)*$H$37</f>
        <v/>
      </c>
    </row>
    <row r="361">
      <c r="A361" s="33" t="inlineStr">
        <is>
          <t xml:space="preserve">   leaves the store (offered - returned)</t>
        </is>
      </c>
      <c r="B361" s="2" t="inlineStr">
        <is>
          <t>lb</t>
        </is>
      </c>
      <c r="E361" s="40">
        <f>E357-E360</f>
        <v/>
      </c>
      <c r="F361" s="40">
        <f>F357-F360</f>
        <v/>
      </c>
      <c r="G361" s="40">
        <f>G357-G360</f>
        <v/>
      </c>
      <c r="H361" s="40">
        <f>H357-H360</f>
        <v/>
      </c>
      <c r="I361" s="40">
        <f>I357-I360</f>
        <v/>
      </c>
      <c r="J361" s="40">
        <f>J357-J360</f>
        <v/>
      </c>
      <c r="K361" s="40">
        <f>K357-K360</f>
        <v/>
      </c>
      <c r="L361" s="40">
        <f>L357-L360</f>
        <v/>
      </c>
      <c r="M361" s="40">
        <f>M357-M360</f>
        <v/>
      </c>
      <c r="N361" s="40">
        <f>N357-N360</f>
        <v/>
      </c>
      <c r="O361" s="40">
        <f>O357-O360</f>
        <v/>
      </c>
      <c r="P361" s="40">
        <f>P357-P360</f>
        <v/>
      </c>
      <c r="Q361" s="40">
        <f>Q357-Q360</f>
        <v/>
      </c>
      <c r="R361" s="40">
        <f>R357-R360</f>
        <v/>
      </c>
      <c r="S361" s="40">
        <f>S357-S360</f>
        <v/>
      </c>
      <c r="T361" s="40">
        <f>T357-T360</f>
        <v/>
      </c>
      <c r="U361" s="40">
        <f>U357-U360</f>
        <v/>
      </c>
      <c r="V361" s="40">
        <f>V357-V360</f>
        <v/>
      </c>
      <c r="W361" s="40">
        <f>W357-W360</f>
        <v/>
      </c>
      <c r="X361" s="40">
        <f>X357-X360</f>
        <v/>
      </c>
      <c r="Y361" s="40">
        <f>Y357-Y360</f>
        <v/>
      </c>
      <c r="Z361" s="40">
        <f>Z357-Z360</f>
        <v/>
      </c>
      <c r="AA361" s="40">
        <f>AA357-AA360</f>
        <v/>
      </c>
      <c r="AB361" s="40">
        <f>AB357-AB360</f>
        <v/>
      </c>
      <c r="AC361" s="40">
        <f>AC357-AC360</f>
        <v/>
      </c>
      <c r="AD361" s="40">
        <f>AD357-AD360</f>
        <v/>
      </c>
      <c r="AE361" s="40">
        <f>AE357-AE360</f>
        <v/>
      </c>
      <c r="AF361" s="40">
        <f>AF357-AF360</f>
        <v/>
      </c>
      <c r="AG361" s="40">
        <f>AG357-AG360</f>
        <v/>
      </c>
      <c r="AH361" s="40">
        <f>AH357-AH360</f>
        <v/>
      </c>
      <c r="AI361" s="40">
        <f>AI357-AI360</f>
        <v/>
      </c>
      <c r="AJ361" s="40">
        <f>AJ357-AJ360</f>
        <v/>
      </c>
      <c r="AK361" s="40">
        <f>AK357-AK360</f>
        <v/>
      </c>
      <c r="AL361" s="40">
        <f>AL357-AL360</f>
        <v/>
      </c>
      <c r="AM361" s="40">
        <f>AM357-AM360</f>
        <v/>
      </c>
      <c r="AN361" s="40">
        <f>AN357-AN360</f>
        <v/>
      </c>
      <c r="AO361" s="40">
        <f>AO357-AO360</f>
        <v/>
      </c>
      <c r="AP361" s="40">
        <f>AP357-AP360</f>
        <v/>
      </c>
      <c r="AQ361" s="40">
        <f>AQ357-AQ360</f>
        <v/>
      </c>
      <c r="AR361" s="40">
        <f>AR357-AR360</f>
        <v/>
      </c>
      <c r="AS361" s="40">
        <f>AS357-AS360</f>
        <v/>
      </c>
      <c r="AT361" s="40">
        <f>AT357-AT360</f>
        <v/>
      </c>
      <c r="AU361" s="40">
        <f>AU357-AU360</f>
        <v/>
      </c>
      <c r="AV361" s="40">
        <f>AV357-AV360</f>
        <v/>
      </c>
      <c r="AW361" s="40">
        <f>AW357-AW360</f>
        <v/>
      </c>
      <c r="AX361" s="40">
        <f>AX357-AX360</f>
        <v/>
      </c>
      <c r="AY361" s="40">
        <f>AY357-AY360</f>
        <v/>
      </c>
      <c r="AZ361" s="40">
        <f>AZ357-AZ360</f>
        <v/>
      </c>
      <c r="BA361" s="40">
        <f>BA357-BA360</f>
        <v/>
      </c>
      <c r="BB361" s="40">
        <f>BB357-BB360</f>
        <v/>
      </c>
      <c r="BC361" s="40">
        <f>BC357-BC360</f>
        <v/>
      </c>
      <c r="BD361" s="40">
        <f>BD357-BD360</f>
        <v/>
      </c>
    </row>
    <row r="362">
      <c r="A362" s="43" t="inlineStr">
        <is>
          <t>Wholesale — most you may sell this week</t>
        </is>
      </c>
      <c r="B362" s="2" t="inlineStr">
        <is>
          <t>lb</t>
        </is>
      </c>
      <c r="E362" s="42">
        <f>IF($C$38="Annual",$D$38-0,IF(AND(1&gt;=$E$38,1&lt;=$F$38),$D$38,0))</f>
        <v/>
      </c>
      <c r="F362" s="42">
        <f>IF($C$38="Annual",$D$38-SUM(E366:E366),IF(AND(2&gt;=$E$38,2&lt;=$F$38),$D$38,0))</f>
        <v/>
      </c>
      <c r="G362" s="42">
        <f>IF($C$38="Annual",$D$38-SUM(E366:F366),IF(AND(3&gt;=$E$38,3&lt;=$F$38),$D$38,0))</f>
        <v/>
      </c>
      <c r="H362" s="42">
        <f>IF($C$38="Annual",$D$38-SUM(E366:G366),IF(AND(4&gt;=$E$38,4&lt;=$F$38),$D$38,0))</f>
        <v/>
      </c>
      <c r="I362" s="42">
        <f>IF($C$38="Annual",$D$38-SUM(E366:H366),IF(AND(5&gt;=$E$38,5&lt;=$F$38),$D$38,0))</f>
        <v/>
      </c>
      <c r="J362" s="42">
        <f>IF($C$38="Annual",$D$38-SUM(E366:I366),IF(AND(6&gt;=$E$38,6&lt;=$F$38),$D$38,0))</f>
        <v/>
      </c>
      <c r="K362" s="42">
        <f>IF($C$38="Annual",$D$38-SUM(E366:J366),IF(AND(7&gt;=$E$38,7&lt;=$F$38),$D$38,0))</f>
        <v/>
      </c>
      <c r="L362" s="42">
        <f>IF($C$38="Annual",$D$38-SUM(E366:K366),IF(AND(8&gt;=$E$38,8&lt;=$F$38),$D$38,0))</f>
        <v/>
      </c>
      <c r="M362" s="42">
        <f>IF($C$38="Annual",$D$38-SUM(E366:L366),IF(AND(9&gt;=$E$38,9&lt;=$F$38),$D$38,0))</f>
        <v/>
      </c>
      <c r="N362" s="42">
        <f>IF($C$38="Annual",$D$38-SUM(E366:M366),IF(AND(10&gt;=$E$38,10&lt;=$F$38),$D$38,0))</f>
        <v/>
      </c>
      <c r="O362" s="42">
        <f>IF($C$38="Annual",$D$38-SUM(E366:N366),IF(AND(11&gt;=$E$38,11&lt;=$F$38),$D$38,0))</f>
        <v/>
      </c>
      <c r="P362" s="42">
        <f>IF($C$38="Annual",$D$38-SUM(E366:O366),IF(AND(12&gt;=$E$38,12&lt;=$F$38),$D$38,0))</f>
        <v/>
      </c>
      <c r="Q362" s="42">
        <f>IF($C$38="Annual",$D$38-SUM(E366:P366),IF(AND(13&gt;=$E$38,13&lt;=$F$38),$D$38,0))</f>
        <v/>
      </c>
      <c r="R362" s="42">
        <f>IF($C$38="Annual",$D$38-SUM(E366:Q366),IF(AND(14&gt;=$E$38,14&lt;=$F$38),$D$38,0))</f>
        <v/>
      </c>
      <c r="S362" s="42">
        <f>IF($C$38="Annual",$D$38-SUM(E366:R366),IF(AND(15&gt;=$E$38,15&lt;=$F$38),$D$38,0))</f>
        <v/>
      </c>
      <c r="T362" s="42">
        <f>IF($C$38="Annual",$D$38-SUM(E366:S366),IF(AND(16&gt;=$E$38,16&lt;=$F$38),$D$38,0))</f>
        <v/>
      </c>
      <c r="U362" s="42">
        <f>IF($C$38="Annual",$D$38-SUM(E366:T366),IF(AND(17&gt;=$E$38,17&lt;=$F$38),$D$38,0))</f>
        <v/>
      </c>
      <c r="V362" s="42">
        <f>IF($C$38="Annual",$D$38-SUM(E366:U366),IF(AND(18&gt;=$E$38,18&lt;=$F$38),$D$38,0))</f>
        <v/>
      </c>
      <c r="W362" s="42">
        <f>IF($C$38="Annual",$D$38-SUM(E366:V366),IF(AND(19&gt;=$E$38,19&lt;=$F$38),$D$38,0))</f>
        <v/>
      </c>
      <c r="X362" s="42">
        <f>IF($C$38="Annual",$D$38-SUM(E366:W366),IF(AND(20&gt;=$E$38,20&lt;=$F$38),$D$38,0))</f>
        <v/>
      </c>
      <c r="Y362" s="42">
        <f>IF($C$38="Annual",$D$38-SUM(E366:X366),IF(AND(21&gt;=$E$38,21&lt;=$F$38),$D$38,0))</f>
        <v/>
      </c>
      <c r="Z362" s="42">
        <f>IF($C$38="Annual",$D$38-SUM(E366:Y366),IF(AND(22&gt;=$E$38,22&lt;=$F$38),$D$38,0))</f>
        <v/>
      </c>
      <c r="AA362" s="42">
        <f>IF($C$38="Annual",$D$38-SUM(E366:Z366),IF(AND(23&gt;=$E$38,23&lt;=$F$38),$D$38,0))</f>
        <v/>
      </c>
      <c r="AB362" s="42">
        <f>IF($C$38="Annual",$D$38-SUM(E366:AA366),IF(AND(24&gt;=$E$38,24&lt;=$F$38),$D$38,0))</f>
        <v/>
      </c>
      <c r="AC362" s="42">
        <f>IF($C$38="Annual",$D$38-SUM(E366:AB366),IF(AND(25&gt;=$E$38,25&lt;=$F$38),$D$38,0))</f>
        <v/>
      </c>
      <c r="AD362" s="42">
        <f>IF($C$38="Annual",$D$38-SUM(E366:AC366),IF(AND(26&gt;=$E$38,26&lt;=$F$38),$D$38,0))</f>
        <v/>
      </c>
      <c r="AE362" s="42">
        <f>IF($C$38="Annual",$D$38-SUM(E366:AD366),IF(AND(27&gt;=$E$38,27&lt;=$F$38),$D$38,0))</f>
        <v/>
      </c>
      <c r="AF362" s="42">
        <f>IF($C$38="Annual",$D$38-SUM(E366:AE366),IF(AND(28&gt;=$E$38,28&lt;=$F$38),$D$38,0))</f>
        <v/>
      </c>
      <c r="AG362" s="42">
        <f>IF($C$38="Annual",$D$38-SUM(E366:AF366),IF(AND(29&gt;=$E$38,29&lt;=$F$38),$D$38,0))</f>
        <v/>
      </c>
      <c r="AH362" s="42">
        <f>IF($C$38="Annual",$D$38-SUM(E366:AG366),IF(AND(30&gt;=$E$38,30&lt;=$F$38),$D$38,0))</f>
        <v/>
      </c>
      <c r="AI362" s="42">
        <f>IF($C$38="Annual",$D$38-SUM(E366:AH366),IF(AND(31&gt;=$E$38,31&lt;=$F$38),$D$38,0))</f>
        <v/>
      </c>
      <c r="AJ362" s="42">
        <f>IF($C$38="Annual",$D$38-SUM(E366:AI366),IF(AND(32&gt;=$E$38,32&lt;=$F$38),$D$38,0))</f>
        <v/>
      </c>
      <c r="AK362" s="42">
        <f>IF($C$38="Annual",$D$38-SUM(E366:AJ366),IF(AND(33&gt;=$E$38,33&lt;=$F$38),$D$38,0))</f>
        <v/>
      </c>
      <c r="AL362" s="42">
        <f>IF($C$38="Annual",$D$38-SUM(E366:AK366),IF(AND(34&gt;=$E$38,34&lt;=$F$38),$D$38,0))</f>
        <v/>
      </c>
      <c r="AM362" s="42">
        <f>IF($C$38="Annual",$D$38-SUM(E366:AL366),IF(AND(35&gt;=$E$38,35&lt;=$F$38),$D$38,0))</f>
        <v/>
      </c>
      <c r="AN362" s="42">
        <f>IF($C$38="Annual",$D$38-SUM(E366:AM366),IF(AND(36&gt;=$E$38,36&lt;=$F$38),$D$38,0))</f>
        <v/>
      </c>
      <c r="AO362" s="42">
        <f>IF($C$38="Annual",$D$38-SUM(E366:AN366),IF(AND(37&gt;=$E$38,37&lt;=$F$38),$D$38,0))</f>
        <v/>
      </c>
      <c r="AP362" s="42">
        <f>IF($C$38="Annual",$D$38-SUM(E366:AO366),IF(AND(38&gt;=$E$38,38&lt;=$F$38),$D$38,0))</f>
        <v/>
      </c>
      <c r="AQ362" s="42">
        <f>IF($C$38="Annual",$D$38-SUM(E366:AP366),IF(AND(39&gt;=$E$38,39&lt;=$F$38),$D$38,0))</f>
        <v/>
      </c>
      <c r="AR362" s="42">
        <f>IF($C$38="Annual",$D$38-SUM(E366:AQ366),IF(AND(40&gt;=$E$38,40&lt;=$F$38),$D$38,0))</f>
        <v/>
      </c>
      <c r="AS362" s="42">
        <f>IF($C$38="Annual",$D$38-SUM(E366:AR366),IF(AND(41&gt;=$E$38,41&lt;=$F$38),$D$38,0))</f>
        <v/>
      </c>
      <c r="AT362" s="42">
        <f>IF($C$38="Annual",$D$38-SUM(E366:AS366),IF(AND(42&gt;=$E$38,42&lt;=$F$38),$D$38,0))</f>
        <v/>
      </c>
      <c r="AU362" s="42">
        <f>IF($C$38="Annual",$D$38-SUM(E366:AT366),IF(AND(43&gt;=$E$38,43&lt;=$F$38),$D$38,0))</f>
        <v/>
      </c>
      <c r="AV362" s="42">
        <f>IF($C$38="Annual",$D$38-SUM(E366:AU366),IF(AND(44&gt;=$E$38,44&lt;=$F$38),$D$38,0))</f>
        <v/>
      </c>
      <c r="AW362" s="42">
        <f>IF($C$38="Annual",$D$38-SUM(E366:AV366),IF(AND(45&gt;=$E$38,45&lt;=$F$38),$D$38,0))</f>
        <v/>
      </c>
      <c r="AX362" s="42">
        <f>IF($C$38="Annual",$D$38-SUM(E366:AW366),IF(AND(46&gt;=$E$38,46&lt;=$F$38),$D$38,0))</f>
        <v/>
      </c>
      <c r="AY362" s="42">
        <f>IF($C$38="Annual",$D$38-SUM(E366:AX366),IF(AND(47&gt;=$E$38,47&lt;=$F$38),$D$38,0))</f>
        <v/>
      </c>
      <c r="AZ362" s="42">
        <f>IF($C$38="Annual",$D$38-SUM(E366:AY366),IF(AND(48&gt;=$E$38,48&lt;=$F$38),$D$38,0))</f>
        <v/>
      </c>
      <c r="BA362" s="42">
        <f>IF($C$38="Annual",$D$38-SUM(E366:AZ366),IF(AND(49&gt;=$E$38,49&lt;=$F$38),$D$38,0))</f>
        <v/>
      </c>
      <c r="BB362" s="42">
        <f>IF($C$38="Annual",$D$38-SUM(E366:BA366),IF(AND(50&gt;=$E$38,50&lt;=$F$38),$D$38,0))</f>
        <v/>
      </c>
      <c r="BC362" s="42">
        <f>IF($C$38="Annual",$D$38-SUM(E366:BB366),IF(AND(51&gt;=$E$38,51&lt;=$F$38),$D$38,0))</f>
        <v/>
      </c>
      <c r="BD362" s="42">
        <f>IF($C$38="Annual",$D$38-SUM(E366:BC366),IF(AND(52&gt;=$E$38,52&lt;=$F$38),$D$38,0))</f>
        <v/>
      </c>
    </row>
    <row r="363">
      <c r="A363" s="2" t="inlineStr">
        <is>
          <t xml:space="preserve">   ^ Wholesale is an ANNUAL cap (500,000 lb a year), so there is NO weekly limit —</t>
        </is>
      </c>
    </row>
    <row r="364">
      <c r="A364" s="2" t="inlineStr">
        <is>
          <t xml:space="preserve">     this row is what is LEFT of the year, and it falls as you sell.</t>
        </is>
      </c>
    </row>
    <row r="365">
      <c r="A365" s="32" t="inlineStr">
        <is>
          <t>Wholesale — OFFERED</t>
        </is>
      </c>
      <c r="B365" s="2" t="inlineStr">
        <is>
          <t>lb  &lt;-- SOLVER</t>
        </is>
      </c>
      <c r="E365" s="39" t="n">
        <v>0</v>
      </c>
      <c r="F365" s="39" t="n">
        <v>0</v>
      </c>
      <c r="G365" s="39" t="n">
        <v>0</v>
      </c>
      <c r="H365" s="39" t="n">
        <v>0</v>
      </c>
      <c r="I365" s="39" t="n">
        <v>0</v>
      </c>
      <c r="J365" s="39" t="n">
        <v>0</v>
      </c>
      <c r="K365" s="39" t="n">
        <v>0</v>
      </c>
      <c r="L365" s="39" t="n">
        <v>0</v>
      </c>
      <c r="M365" s="39" t="n">
        <v>0</v>
      </c>
      <c r="N365" s="39" t="n">
        <v>0</v>
      </c>
      <c r="O365" s="39" t="n">
        <v>0</v>
      </c>
      <c r="P365" s="39" t="n">
        <v>0</v>
      </c>
      <c r="Q365" s="39" t="n">
        <v>0</v>
      </c>
      <c r="R365" s="39" t="n">
        <v>0</v>
      </c>
      <c r="S365" s="39" t="n">
        <v>0</v>
      </c>
      <c r="T365" s="39" t="n">
        <v>0</v>
      </c>
      <c r="U365" s="39" t="n">
        <v>0</v>
      </c>
      <c r="V365" s="39" t="n">
        <v>0</v>
      </c>
      <c r="W365" s="39" t="n">
        <v>0</v>
      </c>
      <c r="X365" s="39" t="n">
        <v>0</v>
      </c>
      <c r="Y365" s="39" t="n">
        <v>0</v>
      </c>
      <c r="Z365" s="39" t="n">
        <v>0</v>
      </c>
      <c r="AA365" s="39" t="n">
        <v>0</v>
      </c>
      <c r="AB365" s="39" t="n">
        <v>0</v>
      </c>
      <c r="AC365" s="39" t="n">
        <v>0</v>
      </c>
      <c r="AD365" s="39" t="n">
        <v>0</v>
      </c>
      <c r="AE365" s="39" t="n">
        <v>0</v>
      </c>
      <c r="AF365" s="39" t="n">
        <v>0</v>
      </c>
      <c r="AG365" s="39" t="n">
        <v>0</v>
      </c>
      <c r="AH365" s="39" t="n">
        <v>0</v>
      </c>
      <c r="AI365" s="39" t="n">
        <v>0</v>
      </c>
      <c r="AJ365" s="39" t="n">
        <v>0</v>
      </c>
      <c r="AK365" s="39" t="n">
        <v>0</v>
      </c>
      <c r="AL365" s="39" t="n">
        <v>0</v>
      </c>
      <c r="AM365" s="39" t="n">
        <v>0</v>
      </c>
      <c r="AN365" s="39" t="n">
        <v>0</v>
      </c>
      <c r="AO365" s="39" t="n">
        <v>0</v>
      </c>
      <c r="AP365" s="39" t="n">
        <v>0</v>
      </c>
      <c r="AQ365" s="39" t="n">
        <v>0</v>
      </c>
      <c r="AR365" s="39" t="n">
        <v>0</v>
      </c>
      <c r="AS365" s="39" t="n">
        <v>0</v>
      </c>
      <c r="AT365" s="39" t="n">
        <v>0</v>
      </c>
      <c r="AU365" s="39" t="n">
        <v>0</v>
      </c>
      <c r="AV365" s="39" t="n">
        <v>0</v>
      </c>
      <c r="AW365" s="39" t="n">
        <v>0</v>
      </c>
      <c r="AX365" s="39" t="n">
        <v>0</v>
      </c>
      <c r="AY365" s="39" t="n">
        <v>0</v>
      </c>
      <c r="AZ365" s="39" t="n">
        <v>0</v>
      </c>
      <c r="BA365" s="39" t="n">
        <v>0</v>
      </c>
      <c r="BB365" s="39" t="n">
        <v>0</v>
      </c>
      <c r="BC365" s="39" t="n">
        <v>0</v>
      </c>
      <c r="BD365" s="39" t="n">
        <v>0</v>
      </c>
    </row>
    <row r="366">
      <c r="A366" s="56" t="inlineStr">
        <is>
          <t>Wholesale — SOLD</t>
        </is>
      </c>
      <c r="B366" s="2" t="inlineStr">
        <is>
          <t>lb</t>
        </is>
      </c>
      <c r="E366" s="57">
        <f>E365*$G$38</f>
        <v/>
      </c>
      <c r="F366" s="57">
        <f>F365*$G$38</f>
        <v/>
      </c>
      <c r="G366" s="57">
        <f>G365*$G$38</f>
        <v/>
      </c>
      <c r="H366" s="57">
        <f>H365*$G$38</f>
        <v/>
      </c>
      <c r="I366" s="57">
        <f>I365*$G$38</f>
        <v/>
      </c>
      <c r="J366" s="57">
        <f>J365*$G$38</f>
        <v/>
      </c>
      <c r="K366" s="57">
        <f>K365*$G$38</f>
        <v/>
      </c>
      <c r="L366" s="57">
        <f>L365*$G$38</f>
        <v/>
      </c>
      <c r="M366" s="57">
        <f>M365*$G$38</f>
        <v/>
      </c>
      <c r="N366" s="57">
        <f>N365*$G$38</f>
        <v/>
      </c>
      <c r="O366" s="57">
        <f>O365*$G$38</f>
        <v/>
      </c>
      <c r="P366" s="57">
        <f>P365*$G$38</f>
        <v/>
      </c>
      <c r="Q366" s="57">
        <f>Q365*$G$38</f>
        <v/>
      </c>
      <c r="R366" s="57">
        <f>R365*$G$38</f>
        <v/>
      </c>
      <c r="S366" s="57">
        <f>S365*$G$38</f>
        <v/>
      </c>
      <c r="T366" s="57">
        <f>T365*$G$38</f>
        <v/>
      </c>
      <c r="U366" s="57">
        <f>U365*$G$38</f>
        <v/>
      </c>
      <c r="V366" s="57">
        <f>V365*$G$38</f>
        <v/>
      </c>
      <c r="W366" s="57">
        <f>W365*$G$38</f>
        <v/>
      </c>
      <c r="X366" s="57">
        <f>X365*$G$38</f>
        <v/>
      </c>
      <c r="Y366" s="57">
        <f>Y365*$G$38</f>
        <v/>
      </c>
      <c r="Z366" s="57">
        <f>Z365*$G$38</f>
        <v/>
      </c>
      <c r="AA366" s="57">
        <f>AA365*$G$38</f>
        <v/>
      </c>
      <c r="AB366" s="57">
        <f>AB365*$G$38</f>
        <v/>
      </c>
      <c r="AC366" s="57">
        <f>AC365*$G$38</f>
        <v/>
      </c>
      <c r="AD366" s="57">
        <f>AD365*$G$38</f>
        <v/>
      </c>
      <c r="AE366" s="57">
        <f>AE365*$G$38</f>
        <v/>
      </c>
      <c r="AF366" s="57">
        <f>AF365*$G$38</f>
        <v/>
      </c>
      <c r="AG366" s="57">
        <f>AG365*$G$38</f>
        <v/>
      </c>
      <c r="AH366" s="57">
        <f>AH365*$G$38</f>
        <v/>
      </c>
      <c r="AI366" s="57">
        <f>AI365*$G$38</f>
        <v/>
      </c>
      <c r="AJ366" s="57">
        <f>AJ365*$G$38</f>
        <v/>
      </c>
      <c r="AK366" s="57">
        <f>AK365*$G$38</f>
        <v/>
      </c>
      <c r="AL366" s="57">
        <f>AL365*$G$38</f>
        <v/>
      </c>
      <c r="AM366" s="57">
        <f>AM365*$G$38</f>
        <v/>
      </c>
      <c r="AN366" s="57">
        <f>AN365*$G$38</f>
        <v/>
      </c>
      <c r="AO366" s="57">
        <f>AO365*$G$38</f>
        <v/>
      </c>
      <c r="AP366" s="57">
        <f>AP365*$G$38</f>
        <v/>
      </c>
      <c r="AQ366" s="57">
        <f>AQ365*$G$38</f>
        <v/>
      </c>
      <c r="AR366" s="57">
        <f>AR365*$G$38</f>
        <v/>
      </c>
      <c r="AS366" s="57">
        <f>AS365*$G$38</f>
        <v/>
      </c>
      <c r="AT366" s="57">
        <f>AT365*$G$38</f>
        <v/>
      </c>
      <c r="AU366" s="57">
        <f>AU365*$G$38</f>
        <v/>
      </c>
      <c r="AV366" s="57">
        <f>AV365*$G$38</f>
        <v/>
      </c>
      <c r="AW366" s="57">
        <f>AW365*$G$38</f>
        <v/>
      </c>
      <c r="AX366" s="57">
        <f>AX365*$G$38</f>
        <v/>
      </c>
      <c r="AY366" s="57">
        <f>AY365*$G$38</f>
        <v/>
      </c>
      <c r="AZ366" s="57">
        <f>AZ365*$G$38</f>
        <v/>
      </c>
      <c r="BA366" s="57">
        <f>BA365*$G$38</f>
        <v/>
      </c>
      <c r="BB366" s="57">
        <f>BB365*$G$38</f>
        <v/>
      </c>
      <c r="BC366" s="57">
        <f>BC365*$G$38</f>
        <v/>
      </c>
      <c r="BD366" s="57">
        <f>BD365*$G$38</f>
        <v/>
      </c>
    </row>
    <row r="367">
      <c r="A367" s="33" t="inlineStr">
        <is>
          <t xml:space="preserve">   market loss (gone)</t>
        </is>
      </c>
      <c r="B367" s="2" t="inlineStr">
        <is>
          <t>lb</t>
        </is>
      </c>
      <c r="E367" s="40">
        <f>(E365-E366)*(1-$H$38)</f>
        <v/>
      </c>
      <c r="F367" s="40">
        <f>(F365-F366)*(1-$H$38)</f>
        <v/>
      </c>
      <c r="G367" s="40">
        <f>(G365-G366)*(1-$H$38)</f>
        <v/>
      </c>
      <c r="H367" s="40">
        <f>(H365-H366)*(1-$H$38)</f>
        <v/>
      </c>
      <c r="I367" s="40">
        <f>(I365-I366)*(1-$H$38)</f>
        <v/>
      </c>
      <c r="J367" s="40">
        <f>(J365-J366)*(1-$H$38)</f>
        <v/>
      </c>
      <c r="K367" s="40">
        <f>(K365-K366)*(1-$H$38)</f>
        <v/>
      </c>
      <c r="L367" s="40">
        <f>(L365-L366)*(1-$H$38)</f>
        <v/>
      </c>
      <c r="M367" s="40">
        <f>(M365-M366)*(1-$H$38)</f>
        <v/>
      </c>
      <c r="N367" s="40">
        <f>(N365-N366)*(1-$H$38)</f>
        <v/>
      </c>
      <c r="O367" s="40">
        <f>(O365-O366)*(1-$H$38)</f>
        <v/>
      </c>
      <c r="P367" s="40">
        <f>(P365-P366)*(1-$H$38)</f>
        <v/>
      </c>
      <c r="Q367" s="40">
        <f>(Q365-Q366)*(1-$H$38)</f>
        <v/>
      </c>
      <c r="R367" s="40">
        <f>(R365-R366)*(1-$H$38)</f>
        <v/>
      </c>
      <c r="S367" s="40">
        <f>(S365-S366)*(1-$H$38)</f>
        <v/>
      </c>
      <c r="T367" s="40">
        <f>(T365-T366)*(1-$H$38)</f>
        <v/>
      </c>
      <c r="U367" s="40">
        <f>(U365-U366)*(1-$H$38)</f>
        <v/>
      </c>
      <c r="V367" s="40">
        <f>(V365-V366)*(1-$H$38)</f>
        <v/>
      </c>
      <c r="W367" s="40">
        <f>(W365-W366)*(1-$H$38)</f>
        <v/>
      </c>
      <c r="X367" s="40">
        <f>(X365-X366)*(1-$H$38)</f>
        <v/>
      </c>
      <c r="Y367" s="40">
        <f>(Y365-Y366)*(1-$H$38)</f>
        <v/>
      </c>
      <c r="Z367" s="40">
        <f>(Z365-Z366)*(1-$H$38)</f>
        <v/>
      </c>
      <c r="AA367" s="40">
        <f>(AA365-AA366)*(1-$H$38)</f>
        <v/>
      </c>
      <c r="AB367" s="40">
        <f>(AB365-AB366)*(1-$H$38)</f>
        <v/>
      </c>
      <c r="AC367" s="40">
        <f>(AC365-AC366)*(1-$H$38)</f>
        <v/>
      </c>
      <c r="AD367" s="40">
        <f>(AD365-AD366)*(1-$H$38)</f>
        <v/>
      </c>
      <c r="AE367" s="40">
        <f>(AE365-AE366)*(1-$H$38)</f>
        <v/>
      </c>
      <c r="AF367" s="40">
        <f>(AF365-AF366)*(1-$H$38)</f>
        <v/>
      </c>
      <c r="AG367" s="40">
        <f>(AG365-AG366)*(1-$H$38)</f>
        <v/>
      </c>
      <c r="AH367" s="40">
        <f>(AH365-AH366)*(1-$H$38)</f>
        <v/>
      </c>
      <c r="AI367" s="40">
        <f>(AI365-AI366)*(1-$H$38)</f>
        <v/>
      </c>
      <c r="AJ367" s="40">
        <f>(AJ365-AJ366)*(1-$H$38)</f>
        <v/>
      </c>
      <c r="AK367" s="40">
        <f>(AK365-AK366)*(1-$H$38)</f>
        <v/>
      </c>
      <c r="AL367" s="40">
        <f>(AL365-AL366)*(1-$H$38)</f>
        <v/>
      </c>
      <c r="AM367" s="40">
        <f>(AM365-AM366)*(1-$H$38)</f>
        <v/>
      </c>
      <c r="AN367" s="40">
        <f>(AN365-AN366)*(1-$H$38)</f>
        <v/>
      </c>
      <c r="AO367" s="40">
        <f>(AO365-AO366)*(1-$H$38)</f>
        <v/>
      </c>
      <c r="AP367" s="40">
        <f>(AP365-AP366)*(1-$H$38)</f>
        <v/>
      </c>
      <c r="AQ367" s="40">
        <f>(AQ365-AQ366)*(1-$H$38)</f>
        <v/>
      </c>
      <c r="AR367" s="40">
        <f>(AR365-AR366)*(1-$H$38)</f>
        <v/>
      </c>
      <c r="AS367" s="40">
        <f>(AS365-AS366)*(1-$H$38)</f>
        <v/>
      </c>
      <c r="AT367" s="40">
        <f>(AT365-AT366)*(1-$H$38)</f>
        <v/>
      </c>
      <c r="AU367" s="40">
        <f>(AU365-AU366)*(1-$H$38)</f>
        <v/>
      </c>
      <c r="AV367" s="40">
        <f>(AV365-AV366)*(1-$H$38)</f>
        <v/>
      </c>
      <c r="AW367" s="40">
        <f>(AW365-AW366)*(1-$H$38)</f>
        <v/>
      </c>
      <c r="AX367" s="40">
        <f>(AX365-AX366)*(1-$H$38)</f>
        <v/>
      </c>
      <c r="AY367" s="40">
        <f>(AY365-AY366)*(1-$H$38)</f>
        <v/>
      </c>
      <c r="AZ367" s="40">
        <f>(AZ365-AZ366)*(1-$H$38)</f>
        <v/>
      </c>
      <c r="BA367" s="40">
        <f>(BA365-BA366)*(1-$H$38)</f>
        <v/>
      </c>
      <c r="BB367" s="40">
        <f>(BB365-BB366)*(1-$H$38)</f>
        <v/>
      </c>
      <c r="BC367" s="40">
        <f>(BC365-BC366)*(1-$H$38)</f>
        <v/>
      </c>
      <c r="BD367" s="40">
        <f>(BD365-BD366)*(1-$H$38)</f>
        <v/>
      </c>
    </row>
    <row r="368">
      <c r="A368" s="33" t="inlineStr">
        <is>
          <t xml:space="preserve">   returned to store</t>
        </is>
      </c>
      <c r="B368" s="2" t="inlineStr">
        <is>
          <t>lb</t>
        </is>
      </c>
      <c r="E368" s="40">
        <f>(E365-E366)*$H$38</f>
        <v/>
      </c>
      <c r="F368" s="40">
        <f>(F365-F366)*$H$38</f>
        <v/>
      </c>
      <c r="G368" s="40">
        <f>(G365-G366)*$H$38</f>
        <v/>
      </c>
      <c r="H368" s="40">
        <f>(H365-H366)*$H$38</f>
        <v/>
      </c>
      <c r="I368" s="40">
        <f>(I365-I366)*$H$38</f>
        <v/>
      </c>
      <c r="J368" s="40">
        <f>(J365-J366)*$H$38</f>
        <v/>
      </c>
      <c r="K368" s="40">
        <f>(K365-K366)*$H$38</f>
        <v/>
      </c>
      <c r="L368" s="40">
        <f>(L365-L366)*$H$38</f>
        <v/>
      </c>
      <c r="M368" s="40">
        <f>(M365-M366)*$H$38</f>
        <v/>
      </c>
      <c r="N368" s="40">
        <f>(N365-N366)*$H$38</f>
        <v/>
      </c>
      <c r="O368" s="40">
        <f>(O365-O366)*$H$38</f>
        <v/>
      </c>
      <c r="P368" s="40">
        <f>(P365-P366)*$H$38</f>
        <v/>
      </c>
      <c r="Q368" s="40">
        <f>(Q365-Q366)*$H$38</f>
        <v/>
      </c>
      <c r="R368" s="40">
        <f>(R365-R366)*$H$38</f>
        <v/>
      </c>
      <c r="S368" s="40">
        <f>(S365-S366)*$H$38</f>
        <v/>
      </c>
      <c r="T368" s="40">
        <f>(T365-T366)*$H$38</f>
        <v/>
      </c>
      <c r="U368" s="40">
        <f>(U365-U366)*$H$38</f>
        <v/>
      </c>
      <c r="V368" s="40">
        <f>(V365-V366)*$H$38</f>
        <v/>
      </c>
      <c r="W368" s="40">
        <f>(W365-W366)*$H$38</f>
        <v/>
      </c>
      <c r="X368" s="40">
        <f>(X365-X366)*$H$38</f>
        <v/>
      </c>
      <c r="Y368" s="40">
        <f>(Y365-Y366)*$H$38</f>
        <v/>
      </c>
      <c r="Z368" s="40">
        <f>(Z365-Z366)*$H$38</f>
        <v/>
      </c>
      <c r="AA368" s="40">
        <f>(AA365-AA366)*$H$38</f>
        <v/>
      </c>
      <c r="AB368" s="40">
        <f>(AB365-AB366)*$H$38</f>
        <v/>
      </c>
      <c r="AC368" s="40">
        <f>(AC365-AC366)*$H$38</f>
        <v/>
      </c>
      <c r="AD368" s="40">
        <f>(AD365-AD366)*$H$38</f>
        <v/>
      </c>
      <c r="AE368" s="40">
        <f>(AE365-AE366)*$H$38</f>
        <v/>
      </c>
      <c r="AF368" s="40">
        <f>(AF365-AF366)*$H$38</f>
        <v/>
      </c>
      <c r="AG368" s="40">
        <f>(AG365-AG366)*$H$38</f>
        <v/>
      </c>
      <c r="AH368" s="40">
        <f>(AH365-AH366)*$H$38</f>
        <v/>
      </c>
      <c r="AI368" s="40">
        <f>(AI365-AI366)*$H$38</f>
        <v/>
      </c>
      <c r="AJ368" s="40">
        <f>(AJ365-AJ366)*$H$38</f>
        <v/>
      </c>
      <c r="AK368" s="40">
        <f>(AK365-AK366)*$H$38</f>
        <v/>
      </c>
      <c r="AL368" s="40">
        <f>(AL365-AL366)*$H$38</f>
        <v/>
      </c>
      <c r="AM368" s="40">
        <f>(AM365-AM366)*$H$38</f>
        <v/>
      </c>
      <c r="AN368" s="40">
        <f>(AN365-AN366)*$H$38</f>
        <v/>
      </c>
      <c r="AO368" s="40">
        <f>(AO365-AO366)*$H$38</f>
        <v/>
      </c>
      <c r="AP368" s="40">
        <f>(AP365-AP366)*$H$38</f>
        <v/>
      </c>
      <c r="AQ368" s="40">
        <f>(AQ365-AQ366)*$H$38</f>
        <v/>
      </c>
      <c r="AR368" s="40">
        <f>(AR365-AR366)*$H$38</f>
        <v/>
      </c>
      <c r="AS368" s="40">
        <f>(AS365-AS366)*$H$38</f>
        <v/>
      </c>
      <c r="AT368" s="40">
        <f>(AT365-AT366)*$H$38</f>
        <v/>
      </c>
      <c r="AU368" s="40">
        <f>(AU365-AU366)*$H$38</f>
        <v/>
      </c>
      <c r="AV368" s="40">
        <f>(AV365-AV366)*$H$38</f>
        <v/>
      </c>
      <c r="AW368" s="40">
        <f>(AW365-AW366)*$H$38</f>
        <v/>
      </c>
      <c r="AX368" s="40">
        <f>(AX365-AX366)*$H$38</f>
        <v/>
      </c>
      <c r="AY368" s="40">
        <f>(AY365-AY366)*$H$38</f>
        <v/>
      </c>
      <c r="AZ368" s="40">
        <f>(AZ365-AZ366)*$H$38</f>
        <v/>
      </c>
      <c r="BA368" s="40">
        <f>(BA365-BA366)*$H$38</f>
        <v/>
      </c>
      <c r="BB368" s="40">
        <f>(BB365-BB366)*$H$38</f>
        <v/>
      </c>
      <c r="BC368" s="40">
        <f>(BC365-BC366)*$H$38</f>
        <v/>
      </c>
      <c r="BD368" s="40">
        <f>(BD365-BD366)*$H$38</f>
        <v/>
      </c>
    </row>
    <row r="369">
      <c r="A369" s="33" t="inlineStr">
        <is>
          <t xml:space="preserve">   leaves the store (offered - returned)</t>
        </is>
      </c>
      <c r="B369" s="2" t="inlineStr">
        <is>
          <t>lb</t>
        </is>
      </c>
      <c r="E369" s="40">
        <f>E365-E368</f>
        <v/>
      </c>
      <c r="F369" s="40">
        <f>F365-F368</f>
        <v/>
      </c>
      <c r="G369" s="40">
        <f>G365-G368</f>
        <v/>
      </c>
      <c r="H369" s="40">
        <f>H365-H368</f>
        <v/>
      </c>
      <c r="I369" s="40">
        <f>I365-I368</f>
        <v/>
      </c>
      <c r="J369" s="40">
        <f>J365-J368</f>
        <v/>
      </c>
      <c r="K369" s="40">
        <f>K365-K368</f>
        <v/>
      </c>
      <c r="L369" s="40">
        <f>L365-L368</f>
        <v/>
      </c>
      <c r="M369" s="40">
        <f>M365-M368</f>
        <v/>
      </c>
      <c r="N369" s="40">
        <f>N365-N368</f>
        <v/>
      </c>
      <c r="O369" s="40">
        <f>O365-O368</f>
        <v/>
      </c>
      <c r="P369" s="40">
        <f>P365-P368</f>
        <v/>
      </c>
      <c r="Q369" s="40">
        <f>Q365-Q368</f>
        <v/>
      </c>
      <c r="R369" s="40">
        <f>R365-R368</f>
        <v/>
      </c>
      <c r="S369" s="40">
        <f>S365-S368</f>
        <v/>
      </c>
      <c r="T369" s="40">
        <f>T365-T368</f>
        <v/>
      </c>
      <c r="U369" s="40">
        <f>U365-U368</f>
        <v/>
      </c>
      <c r="V369" s="40">
        <f>V365-V368</f>
        <v/>
      </c>
      <c r="W369" s="40">
        <f>W365-W368</f>
        <v/>
      </c>
      <c r="X369" s="40">
        <f>X365-X368</f>
        <v/>
      </c>
      <c r="Y369" s="40">
        <f>Y365-Y368</f>
        <v/>
      </c>
      <c r="Z369" s="40">
        <f>Z365-Z368</f>
        <v/>
      </c>
      <c r="AA369" s="40">
        <f>AA365-AA368</f>
        <v/>
      </c>
      <c r="AB369" s="40">
        <f>AB365-AB368</f>
        <v/>
      </c>
      <c r="AC369" s="40">
        <f>AC365-AC368</f>
        <v/>
      </c>
      <c r="AD369" s="40">
        <f>AD365-AD368</f>
        <v/>
      </c>
      <c r="AE369" s="40">
        <f>AE365-AE368</f>
        <v/>
      </c>
      <c r="AF369" s="40">
        <f>AF365-AF368</f>
        <v/>
      </c>
      <c r="AG369" s="40">
        <f>AG365-AG368</f>
        <v/>
      </c>
      <c r="AH369" s="40">
        <f>AH365-AH368</f>
        <v/>
      </c>
      <c r="AI369" s="40">
        <f>AI365-AI368</f>
        <v/>
      </c>
      <c r="AJ369" s="40">
        <f>AJ365-AJ368</f>
        <v/>
      </c>
      <c r="AK369" s="40">
        <f>AK365-AK368</f>
        <v/>
      </c>
      <c r="AL369" s="40">
        <f>AL365-AL368</f>
        <v/>
      </c>
      <c r="AM369" s="40">
        <f>AM365-AM368</f>
        <v/>
      </c>
      <c r="AN369" s="40">
        <f>AN365-AN368</f>
        <v/>
      </c>
      <c r="AO369" s="40">
        <f>AO365-AO368</f>
        <v/>
      </c>
      <c r="AP369" s="40">
        <f>AP365-AP368</f>
        <v/>
      </c>
      <c r="AQ369" s="40">
        <f>AQ365-AQ368</f>
        <v/>
      </c>
      <c r="AR369" s="40">
        <f>AR365-AR368</f>
        <v/>
      </c>
      <c r="AS369" s="40">
        <f>AS365-AS368</f>
        <v/>
      </c>
      <c r="AT369" s="40">
        <f>AT365-AT368</f>
        <v/>
      </c>
      <c r="AU369" s="40">
        <f>AU365-AU368</f>
        <v/>
      </c>
      <c r="AV369" s="40">
        <f>AV365-AV368</f>
        <v/>
      </c>
      <c r="AW369" s="40">
        <f>AW365-AW368</f>
        <v/>
      </c>
      <c r="AX369" s="40">
        <f>AX365-AX368</f>
        <v/>
      </c>
      <c r="AY369" s="40">
        <f>AY365-AY368</f>
        <v/>
      </c>
      <c r="AZ369" s="40">
        <f>AZ365-AZ368</f>
        <v/>
      </c>
      <c r="BA369" s="40">
        <f>BA365-BA368</f>
        <v/>
      </c>
      <c r="BB369" s="40">
        <f>BB365-BB368</f>
        <v/>
      </c>
      <c r="BC369" s="40">
        <f>BC365-BC368</f>
        <v/>
      </c>
      <c r="BD369" s="40">
        <f>BD365-BD368</f>
        <v/>
      </c>
    </row>
    <row r="370">
      <c r="A370" s="41" t="inlineStr">
        <is>
          <t>Stock carried out</t>
        </is>
      </c>
      <c r="B370" s="2" t="inlineStr">
        <is>
          <t>lb</t>
        </is>
      </c>
      <c r="E370" s="40">
        <f>E355-E361-E369</f>
        <v/>
      </c>
      <c r="F370" s="40">
        <f>F355-F361-F369</f>
        <v/>
      </c>
      <c r="G370" s="40">
        <f>G355-G361-G369</f>
        <v/>
      </c>
      <c r="H370" s="40">
        <f>H355-H361-H369</f>
        <v/>
      </c>
      <c r="I370" s="40">
        <f>I355-I361-I369</f>
        <v/>
      </c>
      <c r="J370" s="40">
        <f>J355-J361-J369</f>
        <v/>
      </c>
      <c r="K370" s="40">
        <f>K355-K361-K369</f>
        <v/>
      </c>
      <c r="L370" s="40">
        <f>L355-L361-L369</f>
        <v/>
      </c>
      <c r="M370" s="40">
        <f>M355-M361-M369</f>
        <v/>
      </c>
      <c r="N370" s="40">
        <f>N355-N361-N369</f>
        <v/>
      </c>
      <c r="O370" s="40">
        <f>O355-O361-O369</f>
        <v/>
      </c>
      <c r="P370" s="40">
        <f>P355-P361-P369</f>
        <v/>
      </c>
      <c r="Q370" s="40">
        <f>Q355-Q361-Q369</f>
        <v/>
      </c>
      <c r="R370" s="40">
        <f>R355-R361-R369</f>
        <v/>
      </c>
      <c r="S370" s="40">
        <f>S355-S361-S369</f>
        <v/>
      </c>
      <c r="T370" s="40">
        <f>T355-T361-T369</f>
        <v/>
      </c>
      <c r="U370" s="40">
        <f>U355-U361-U369</f>
        <v/>
      </c>
      <c r="V370" s="40">
        <f>V355-V361-V369</f>
        <v/>
      </c>
      <c r="W370" s="40">
        <f>W355-W361-W369</f>
        <v/>
      </c>
      <c r="X370" s="40">
        <f>X355-X361-X369</f>
        <v/>
      </c>
      <c r="Y370" s="40">
        <f>Y355-Y361-Y369</f>
        <v/>
      </c>
      <c r="Z370" s="40">
        <f>Z355-Z361-Z369</f>
        <v/>
      </c>
      <c r="AA370" s="40">
        <f>AA355-AA361-AA369</f>
        <v/>
      </c>
      <c r="AB370" s="40">
        <f>AB355-AB361-AB369</f>
        <v/>
      </c>
      <c r="AC370" s="40">
        <f>AC355-AC361-AC369</f>
        <v/>
      </c>
      <c r="AD370" s="40">
        <f>AD355-AD361-AD369</f>
        <v/>
      </c>
      <c r="AE370" s="40">
        <f>AE355-AE361-AE369</f>
        <v/>
      </c>
      <c r="AF370" s="40">
        <f>AF355-AF361-AF369</f>
        <v/>
      </c>
      <c r="AG370" s="40">
        <f>AG355-AG361-AG369</f>
        <v/>
      </c>
      <c r="AH370" s="40">
        <f>AH355-AH361-AH369</f>
        <v/>
      </c>
      <c r="AI370" s="40">
        <f>AI355-AI361-AI369</f>
        <v/>
      </c>
      <c r="AJ370" s="40">
        <f>AJ355-AJ361-AJ369</f>
        <v/>
      </c>
      <c r="AK370" s="40">
        <f>AK355-AK361-AK369</f>
        <v/>
      </c>
      <c r="AL370" s="40">
        <f>AL355-AL361-AL369</f>
        <v/>
      </c>
      <c r="AM370" s="40">
        <f>AM355-AM361-AM369</f>
        <v/>
      </c>
      <c r="AN370" s="40">
        <f>AN355-AN361-AN369</f>
        <v/>
      </c>
      <c r="AO370" s="40">
        <f>AO355-AO361-AO369</f>
        <v/>
      </c>
      <c r="AP370" s="40">
        <f>AP355-AP361-AP369</f>
        <v/>
      </c>
      <c r="AQ370" s="40">
        <f>AQ355-AQ361-AQ369</f>
        <v/>
      </c>
      <c r="AR370" s="40">
        <f>AR355-AR361-AR369</f>
        <v/>
      </c>
      <c r="AS370" s="40">
        <f>AS355-AS361-AS369</f>
        <v/>
      </c>
      <c r="AT370" s="40">
        <f>AT355-AT361-AT369</f>
        <v/>
      </c>
      <c r="AU370" s="40">
        <f>AU355-AU361-AU369</f>
        <v/>
      </c>
      <c r="AV370" s="40">
        <f>AV355-AV361-AV369</f>
        <v/>
      </c>
      <c r="AW370" s="40">
        <f>AW355-AW361-AW369</f>
        <v/>
      </c>
      <c r="AX370" s="40">
        <f>AX355-AX361-AX369</f>
        <v/>
      </c>
      <c r="AY370" s="40">
        <f>AY355-AY361-AY369</f>
        <v/>
      </c>
      <c r="AZ370" s="40">
        <f>AZ355-AZ361-AZ369</f>
        <v/>
      </c>
      <c r="BA370" s="40">
        <f>BA355-BA361-BA369</f>
        <v/>
      </c>
      <c r="BB370" s="40">
        <f>BB355-BB361-BB369</f>
        <v/>
      </c>
      <c r="BC370" s="40">
        <f>BC355-BC361-BC369</f>
        <v/>
      </c>
      <c r="BD370" s="40">
        <f>BD355-BD361-BD369</f>
        <v/>
      </c>
    </row>
    <row r="371">
      <c r="A371" s="2" t="inlineStr">
        <is>
          <t xml:space="preserve">   ^ subtracts what LEAVES, not what was offered — so 'returned to store' is</t>
        </is>
      </c>
    </row>
    <row r="372">
      <c r="A372" s="2" t="inlineStr">
        <is>
          <t xml:space="preserve">     never taken out at all, and shows up as next week's carried in.</t>
        </is>
      </c>
    </row>
    <row r="373">
      <c r="A373" s="43" t="inlineStr">
        <is>
          <t>Most stock its shelf life allows</t>
        </is>
      </c>
      <c r="B373" s="2" t="inlineStr">
        <is>
          <t>lb</t>
        </is>
      </c>
      <c r="E373" s="42">
        <f>SUMPRODUCT(($E$351:$BD$351&gt;=1-$F$18+2)*($E$351:$BD$351&lt;=1)*$E$352:$BD$352*POWER(1-$G$18,($E$351:$BD$351&lt;=1)*(1-$E$351:$BD$351)))</f>
        <v/>
      </c>
      <c r="F373" s="42">
        <f>SUMPRODUCT(($E$351:$BD$351&gt;=2-$F$18+2)*($E$351:$BD$351&lt;=2)*$E$352:$BD$352*POWER(1-$G$18,($E$351:$BD$351&lt;=2)*(2-$E$351:$BD$351)))</f>
        <v/>
      </c>
      <c r="G373" s="42">
        <f>SUMPRODUCT(($E$351:$BD$351&gt;=3-$F$18+2)*($E$351:$BD$351&lt;=3)*$E$352:$BD$352*POWER(1-$G$18,($E$351:$BD$351&lt;=3)*(3-$E$351:$BD$351)))</f>
        <v/>
      </c>
      <c r="H373" s="42">
        <f>SUMPRODUCT(($E$351:$BD$351&gt;=4-$F$18+2)*($E$351:$BD$351&lt;=4)*$E$352:$BD$352*POWER(1-$G$18,($E$351:$BD$351&lt;=4)*(4-$E$351:$BD$351)))</f>
        <v/>
      </c>
      <c r="I373" s="42">
        <f>SUMPRODUCT(($E$351:$BD$351&gt;=5-$F$18+2)*($E$351:$BD$351&lt;=5)*$E$352:$BD$352*POWER(1-$G$18,($E$351:$BD$351&lt;=5)*(5-$E$351:$BD$351)))</f>
        <v/>
      </c>
      <c r="J373" s="42">
        <f>SUMPRODUCT(($E$351:$BD$351&gt;=6-$F$18+2)*($E$351:$BD$351&lt;=6)*$E$352:$BD$352*POWER(1-$G$18,($E$351:$BD$351&lt;=6)*(6-$E$351:$BD$351)))</f>
        <v/>
      </c>
      <c r="K373" s="42">
        <f>SUMPRODUCT(($E$351:$BD$351&gt;=7-$F$18+2)*($E$351:$BD$351&lt;=7)*$E$352:$BD$352*POWER(1-$G$18,($E$351:$BD$351&lt;=7)*(7-$E$351:$BD$351)))</f>
        <v/>
      </c>
      <c r="L373" s="42">
        <f>SUMPRODUCT(($E$351:$BD$351&gt;=8-$F$18+2)*($E$351:$BD$351&lt;=8)*$E$352:$BD$352*POWER(1-$G$18,($E$351:$BD$351&lt;=8)*(8-$E$351:$BD$351)))</f>
        <v/>
      </c>
      <c r="M373" s="42">
        <f>SUMPRODUCT(($E$351:$BD$351&gt;=9-$F$18+2)*($E$351:$BD$351&lt;=9)*$E$352:$BD$352*POWER(1-$G$18,($E$351:$BD$351&lt;=9)*(9-$E$351:$BD$351)))</f>
        <v/>
      </c>
      <c r="N373" s="42">
        <f>SUMPRODUCT(($E$351:$BD$351&gt;=10-$F$18+2)*($E$351:$BD$351&lt;=10)*$E$352:$BD$352*POWER(1-$G$18,($E$351:$BD$351&lt;=10)*(10-$E$351:$BD$351)))</f>
        <v/>
      </c>
      <c r="O373" s="42">
        <f>SUMPRODUCT(($E$351:$BD$351&gt;=11-$F$18+2)*($E$351:$BD$351&lt;=11)*$E$352:$BD$352*POWER(1-$G$18,($E$351:$BD$351&lt;=11)*(11-$E$351:$BD$351)))</f>
        <v/>
      </c>
      <c r="P373" s="42">
        <f>SUMPRODUCT(($E$351:$BD$351&gt;=12-$F$18+2)*($E$351:$BD$351&lt;=12)*$E$352:$BD$352*POWER(1-$G$18,($E$351:$BD$351&lt;=12)*(12-$E$351:$BD$351)))</f>
        <v/>
      </c>
      <c r="Q373" s="42">
        <f>SUMPRODUCT(($E$351:$BD$351&gt;=13-$F$18+2)*($E$351:$BD$351&lt;=13)*$E$352:$BD$352*POWER(1-$G$18,($E$351:$BD$351&lt;=13)*(13-$E$351:$BD$351)))</f>
        <v/>
      </c>
      <c r="R373" s="42">
        <f>SUMPRODUCT(($E$351:$BD$351&gt;=14-$F$18+2)*($E$351:$BD$351&lt;=14)*$E$352:$BD$352*POWER(1-$G$18,($E$351:$BD$351&lt;=14)*(14-$E$351:$BD$351)))</f>
        <v/>
      </c>
      <c r="S373" s="42">
        <f>SUMPRODUCT(($E$351:$BD$351&gt;=15-$F$18+2)*($E$351:$BD$351&lt;=15)*$E$352:$BD$352*POWER(1-$G$18,($E$351:$BD$351&lt;=15)*(15-$E$351:$BD$351)))</f>
        <v/>
      </c>
      <c r="T373" s="42">
        <f>SUMPRODUCT(($E$351:$BD$351&gt;=16-$F$18+2)*($E$351:$BD$351&lt;=16)*$E$352:$BD$352*POWER(1-$G$18,($E$351:$BD$351&lt;=16)*(16-$E$351:$BD$351)))</f>
        <v/>
      </c>
      <c r="U373" s="42">
        <f>SUMPRODUCT(($E$351:$BD$351&gt;=17-$F$18+2)*($E$351:$BD$351&lt;=17)*$E$352:$BD$352*POWER(1-$G$18,($E$351:$BD$351&lt;=17)*(17-$E$351:$BD$351)))</f>
        <v/>
      </c>
      <c r="V373" s="42">
        <f>SUMPRODUCT(($E$351:$BD$351&gt;=18-$F$18+2)*($E$351:$BD$351&lt;=18)*$E$352:$BD$352*POWER(1-$G$18,($E$351:$BD$351&lt;=18)*(18-$E$351:$BD$351)))</f>
        <v/>
      </c>
      <c r="W373" s="42">
        <f>SUMPRODUCT(($E$351:$BD$351&gt;=19-$F$18+2)*($E$351:$BD$351&lt;=19)*$E$352:$BD$352*POWER(1-$G$18,($E$351:$BD$351&lt;=19)*(19-$E$351:$BD$351)))</f>
        <v/>
      </c>
      <c r="X373" s="42">
        <f>SUMPRODUCT(($E$351:$BD$351&gt;=20-$F$18+2)*($E$351:$BD$351&lt;=20)*$E$352:$BD$352*POWER(1-$G$18,($E$351:$BD$351&lt;=20)*(20-$E$351:$BD$351)))</f>
        <v/>
      </c>
      <c r="Y373" s="42">
        <f>SUMPRODUCT(($E$351:$BD$351&gt;=21-$F$18+2)*($E$351:$BD$351&lt;=21)*$E$352:$BD$352*POWER(1-$G$18,($E$351:$BD$351&lt;=21)*(21-$E$351:$BD$351)))</f>
        <v/>
      </c>
      <c r="Z373" s="42">
        <f>SUMPRODUCT(($E$351:$BD$351&gt;=22-$F$18+2)*($E$351:$BD$351&lt;=22)*$E$352:$BD$352*POWER(1-$G$18,($E$351:$BD$351&lt;=22)*(22-$E$351:$BD$351)))</f>
        <v/>
      </c>
      <c r="AA373" s="42">
        <f>SUMPRODUCT(($E$351:$BD$351&gt;=23-$F$18+2)*($E$351:$BD$351&lt;=23)*$E$352:$BD$352*POWER(1-$G$18,($E$351:$BD$351&lt;=23)*(23-$E$351:$BD$351)))</f>
        <v/>
      </c>
      <c r="AB373" s="42">
        <f>SUMPRODUCT(($E$351:$BD$351&gt;=24-$F$18+2)*($E$351:$BD$351&lt;=24)*$E$352:$BD$352*POWER(1-$G$18,($E$351:$BD$351&lt;=24)*(24-$E$351:$BD$351)))</f>
        <v/>
      </c>
      <c r="AC373" s="42">
        <f>SUMPRODUCT(($E$351:$BD$351&gt;=25-$F$18+2)*($E$351:$BD$351&lt;=25)*$E$352:$BD$352*POWER(1-$G$18,($E$351:$BD$351&lt;=25)*(25-$E$351:$BD$351)))</f>
        <v/>
      </c>
      <c r="AD373" s="42">
        <f>SUMPRODUCT(($E$351:$BD$351&gt;=26-$F$18+2)*($E$351:$BD$351&lt;=26)*$E$352:$BD$352*POWER(1-$G$18,($E$351:$BD$351&lt;=26)*(26-$E$351:$BD$351)))</f>
        <v/>
      </c>
      <c r="AE373" s="42">
        <f>SUMPRODUCT(($E$351:$BD$351&gt;=27-$F$18+2)*($E$351:$BD$351&lt;=27)*$E$352:$BD$352*POWER(1-$G$18,($E$351:$BD$351&lt;=27)*(27-$E$351:$BD$351)))</f>
        <v/>
      </c>
      <c r="AF373" s="42">
        <f>SUMPRODUCT(($E$351:$BD$351&gt;=28-$F$18+2)*($E$351:$BD$351&lt;=28)*$E$352:$BD$352*POWER(1-$G$18,($E$351:$BD$351&lt;=28)*(28-$E$351:$BD$351)))</f>
        <v/>
      </c>
      <c r="AG373" s="42">
        <f>SUMPRODUCT(($E$351:$BD$351&gt;=29-$F$18+2)*($E$351:$BD$351&lt;=29)*$E$352:$BD$352*POWER(1-$G$18,($E$351:$BD$351&lt;=29)*(29-$E$351:$BD$351)))</f>
        <v/>
      </c>
      <c r="AH373" s="42">
        <f>SUMPRODUCT(($E$351:$BD$351&gt;=30-$F$18+2)*($E$351:$BD$351&lt;=30)*$E$352:$BD$352*POWER(1-$G$18,($E$351:$BD$351&lt;=30)*(30-$E$351:$BD$351)))</f>
        <v/>
      </c>
      <c r="AI373" s="42">
        <f>SUMPRODUCT(($E$351:$BD$351&gt;=31-$F$18+2)*($E$351:$BD$351&lt;=31)*$E$352:$BD$352*POWER(1-$G$18,($E$351:$BD$351&lt;=31)*(31-$E$351:$BD$351)))</f>
        <v/>
      </c>
      <c r="AJ373" s="42">
        <f>SUMPRODUCT(($E$351:$BD$351&gt;=32-$F$18+2)*($E$351:$BD$351&lt;=32)*$E$352:$BD$352*POWER(1-$G$18,($E$351:$BD$351&lt;=32)*(32-$E$351:$BD$351)))</f>
        <v/>
      </c>
      <c r="AK373" s="42">
        <f>SUMPRODUCT(($E$351:$BD$351&gt;=33-$F$18+2)*($E$351:$BD$351&lt;=33)*$E$352:$BD$352*POWER(1-$G$18,($E$351:$BD$351&lt;=33)*(33-$E$351:$BD$351)))</f>
        <v/>
      </c>
      <c r="AL373" s="42">
        <f>SUMPRODUCT(($E$351:$BD$351&gt;=34-$F$18+2)*($E$351:$BD$351&lt;=34)*$E$352:$BD$352*POWER(1-$G$18,($E$351:$BD$351&lt;=34)*(34-$E$351:$BD$351)))</f>
        <v/>
      </c>
      <c r="AM373" s="42">
        <f>SUMPRODUCT(($E$351:$BD$351&gt;=35-$F$18+2)*($E$351:$BD$351&lt;=35)*$E$352:$BD$352*POWER(1-$G$18,($E$351:$BD$351&lt;=35)*(35-$E$351:$BD$351)))</f>
        <v/>
      </c>
      <c r="AN373" s="42">
        <f>SUMPRODUCT(($E$351:$BD$351&gt;=36-$F$18+2)*($E$351:$BD$351&lt;=36)*$E$352:$BD$352*POWER(1-$G$18,($E$351:$BD$351&lt;=36)*(36-$E$351:$BD$351)))</f>
        <v/>
      </c>
      <c r="AO373" s="42">
        <f>SUMPRODUCT(($E$351:$BD$351&gt;=37-$F$18+2)*($E$351:$BD$351&lt;=37)*$E$352:$BD$352*POWER(1-$G$18,($E$351:$BD$351&lt;=37)*(37-$E$351:$BD$351)))</f>
        <v/>
      </c>
      <c r="AP373" s="42">
        <f>SUMPRODUCT(($E$351:$BD$351&gt;=38-$F$18+2)*($E$351:$BD$351&lt;=38)*$E$352:$BD$352*POWER(1-$G$18,($E$351:$BD$351&lt;=38)*(38-$E$351:$BD$351)))</f>
        <v/>
      </c>
      <c r="AQ373" s="42">
        <f>SUMPRODUCT(($E$351:$BD$351&gt;=39-$F$18+2)*($E$351:$BD$351&lt;=39)*$E$352:$BD$352*POWER(1-$G$18,($E$351:$BD$351&lt;=39)*(39-$E$351:$BD$351)))</f>
        <v/>
      </c>
      <c r="AR373" s="42">
        <f>SUMPRODUCT(($E$351:$BD$351&gt;=40-$F$18+2)*($E$351:$BD$351&lt;=40)*$E$352:$BD$352*POWER(1-$G$18,($E$351:$BD$351&lt;=40)*(40-$E$351:$BD$351)))</f>
        <v/>
      </c>
      <c r="AS373" s="42">
        <f>SUMPRODUCT(($E$351:$BD$351&gt;=41-$F$18+2)*($E$351:$BD$351&lt;=41)*$E$352:$BD$352*POWER(1-$G$18,($E$351:$BD$351&lt;=41)*(41-$E$351:$BD$351)))</f>
        <v/>
      </c>
      <c r="AT373" s="42">
        <f>SUMPRODUCT(($E$351:$BD$351&gt;=42-$F$18+2)*($E$351:$BD$351&lt;=42)*$E$352:$BD$352*POWER(1-$G$18,($E$351:$BD$351&lt;=42)*(42-$E$351:$BD$351)))</f>
        <v/>
      </c>
      <c r="AU373" s="42">
        <f>SUMPRODUCT(($E$351:$BD$351&gt;=43-$F$18+2)*($E$351:$BD$351&lt;=43)*$E$352:$BD$352*POWER(1-$G$18,($E$351:$BD$351&lt;=43)*(43-$E$351:$BD$351)))</f>
        <v/>
      </c>
      <c r="AV373" s="42">
        <f>SUMPRODUCT(($E$351:$BD$351&gt;=44-$F$18+2)*($E$351:$BD$351&lt;=44)*$E$352:$BD$352*POWER(1-$G$18,($E$351:$BD$351&lt;=44)*(44-$E$351:$BD$351)))</f>
        <v/>
      </c>
      <c r="AW373" s="42">
        <f>SUMPRODUCT(($E$351:$BD$351&gt;=45-$F$18+2)*($E$351:$BD$351&lt;=45)*$E$352:$BD$352*POWER(1-$G$18,($E$351:$BD$351&lt;=45)*(45-$E$351:$BD$351)))</f>
        <v/>
      </c>
      <c r="AX373" s="42">
        <f>SUMPRODUCT(($E$351:$BD$351&gt;=46-$F$18+2)*($E$351:$BD$351&lt;=46)*$E$352:$BD$352*POWER(1-$G$18,($E$351:$BD$351&lt;=46)*(46-$E$351:$BD$351)))</f>
        <v/>
      </c>
      <c r="AY373" s="42">
        <f>SUMPRODUCT(($E$351:$BD$351&gt;=47-$F$18+2)*($E$351:$BD$351&lt;=47)*$E$352:$BD$352*POWER(1-$G$18,($E$351:$BD$351&lt;=47)*(47-$E$351:$BD$351)))</f>
        <v/>
      </c>
      <c r="AZ373" s="42">
        <f>SUMPRODUCT(($E$351:$BD$351&gt;=48-$F$18+2)*($E$351:$BD$351&lt;=48)*$E$352:$BD$352*POWER(1-$G$18,($E$351:$BD$351&lt;=48)*(48-$E$351:$BD$351)))</f>
        <v/>
      </c>
      <c r="BA373" s="42">
        <f>SUMPRODUCT(($E$351:$BD$351&gt;=49-$F$18+2)*($E$351:$BD$351&lt;=49)*$E$352:$BD$352*POWER(1-$G$18,($E$351:$BD$351&lt;=49)*(49-$E$351:$BD$351)))</f>
        <v/>
      </c>
      <c r="BB373" s="42">
        <f>SUMPRODUCT(($E$351:$BD$351&gt;=50-$F$18+2)*($E$351:$BD$351&lt;=50)*$E$352:$BD$352*POWER(1-$G$18,($E$351:$BD$351&lt;=50)*(50-$E$351:$BD$351)))</f>
        <v/>
      </c>
      <c r="BC373" s="42">
        <f>SUMPRODUCT(($E$351:$BD$351&gt;=51-$F$18+2)*($E$351:$BD$351&lt;=51)*$E$352:$BD$352*POWER(1-$G$18,($E$351:$BD$351&lt;=51)*(51-$E$351:$BD$351)))</f>
        <v/>
      </c>
      <c r="BD373" s="42">
        <f>SUMPRODUCT(($E$351:$BD$351&gt;=52-$F$18+2)*($E$351:$BD$351&lt;=52)*$E$352:$BD$352*POWER(1-$G$18,($E$351:$BD$351&lt;=52)*(52-$E$351:$BD$351)))</f>
        <v/>
      </c>
    </row>
    <row r="374">
      <c r="A374" s="2" t="inlineStr">
        <is>
          <t xml:space="preserve">   Stock carried out must stay at or below this row.</t>
        </is>
      </c>
    </row>
    <row r="375">
      <c r="A375" s="33" t="inlineStr">
        <is>
          <t>Growing cost this week</t>
        </is>
      </c>
      <c r="B375" s="2" t="inlineStr">
        <is>
          <t>$</t>
        </is>
      </c>
      <c r="E375" s="40">
        <f>SUMPRODUCT(($B$91:$B$230="Kale")*(E$91:E$230="P")*$C$91:$C$230)*$K$18+SUMPRODUCT(($B$91:$B$230="Kale")*(E$91:E$230="G")*$C$91:$C$230)*$L$18+SUMPRODUCT(($B$91:$B$230="Kale")*(E$91:E$230="H")*$C$91:$C$230)*$M$18+SUMPRODUCT(($B$91:$B$230="Kale")*($BG$91:$BG$230=1)*$C$91:$C$230)*$H$18</f>
        <v/>
      </c>
      <c r="F375" s="40">
        <f>SUMPRODUCT(($B$91:$B$230="Kale")*(F$91:F$230="P")*$C$91:$C$230)*$K$18+SUMPRODUCT(($B$91:$B$230="Kale")*(F$91:F$230="G")*$C$91:$C$230)*$L$18+SUMPRODUCT(($B$91:$B$230="Kale")*(F$91:F$230="H")*$C$91:$C$230)*$M$18+SUMPRODUCT(($B$91:$B$230="Kale")*($BG$91:$BG$230=2)*$C$91:$C$230)*$H$18</f>
        <v/>
      </c>
      <c r="G375" s="40">
        <f>SUMPRODUCT(($B$91:$B$230="Kale")*(G$91:G$230="P")*$C$91:$C$230)*$K$18+SUMPRODUCT(($B$91:$B$230="Kale")*(G$91:G$230="G")*$C$91:$C$230)*$L$18+SUMPRODUCT(($B$91:$B$230="Kale")*(G$91:G$230="H")*$C$91:$C$230)*$M$18+SUMPRODUCT(($B$91:$B$230="Kale")*($BG$91:$BG$230=3)*$C$91:$C$230)*$H$18</f>
        <v/>
      </c>
      <c r="H375" s="40">
        <f>SUMPRODUCT(($B$91:$B$230="Kale")*(H$91:H$230="P")*$C$91:$C$230)*$K$18+SUMPRODUCT(($B$91:$B$230="Kale")*(H$91:H$230="G")*$C$91:$C$230)*$L$18+SUMPRODUCT(($B$91:$B$230="Kale")*(H$91:H$230="H")*$C$91:$C$230)*$M$18+SUMPRODUCT(($B$91:$B$230="Kale")*($BG$91:$BG$230=4)*$C$91:$C$230)*$H$18</f>
        <v/>
      </c>
      <c r="I375" s="40">
        <f>SUMPRODUCT(($B$91:$B$230="Kale")*(I$91:I$230="P")*$C$91:$C$230)*$K$18+SUMPRODUCT(($B$91:$B$230="Kale")*(I$91:I$230="G")*$C$91:$C$230)*$L$18+SUMPRODUCT(($B$91:$B$230="Kale")*(I$91:I$230="H")*$C$91:$C$230)*$M$18+SUMPRODUCT(($B$91:$B$230="Kale")*($BG$91:$BG$230=5)*$C$91:$C$230)*$H$18</f>
        <v/>
      </c>
      <c r="J375" s="40">
        <f>SUMPRODUCT(($B$91:$B$230="Kale")*(J$91:J$230="P")*$C$91:$C$230)*$K$18+SUMPRODUCT(($B$91:$B$230="Kale")*(J$91:J$230="G")*$C$91:$C$230)*$L$18+SUMPRODUCT(($B$91:$B$230="Kale")*(J$91:J$230="H")*$C$91:$C$230)*$M$18+SUMPRODUCT(($B$91:$B$230="Kale")*($BG$91:$BG$230=6)*$C$91:$C$230)*$H$18</f>
        <v/>
      </c>
      <c r="K375" s="40">
        <f>SUMPRODUCT(($B$91:$B$230="Kale")*(K$91:K$230="P")*$C$91:$C$230)*$K$18+SUMPRODUCT(($B$91:$B$230="Kale")*(K$91:K$230="G")*$C$91:$C$230)*$L$18+SUMPRODUCT(($B$91:$B$230="Kale")*(K$91:K$230="H")*$C$91:$C$230)*$M$18+SUMPRODUCT(($B$91:$B$230="Kale")*($BG$91:$BG$230=7)*$C$91:$C$230)*$H$18</f>
        <v/>
      </c>
      <c r="L375" s="40">
        <f>SUMPRODUCT(($B$91:$B$230="Kale")*(L$91:L$230="P")*$C$91:$C$230)*$K$18+SUMPRODUCT(($B$91:$B$230="Kale")*(L$91:L$230="G")*$C$91:$C$230)*$L$18+SUMPRODUCT(($B$91:$B$230="Kale")*(L$91:L$230="H")*$C$91:$C$230)*$M$18+SUMPRODUCT(($B$91:$B$230="Kale")*($BG$91:$BG$230=8)*$C$91:$C$230)*$H$18</f>
        <v/>
      </c>
      <c r="M375" s="40">
        <f>SUMPRODUCT(($B$91:$B$230="Kale")*(M$91:M$230="P")*$C$91:$C$230)*$K$18+SUMPRODUCT(($B$91:$B$230="Kale")*(M$91:M$230="G")*$C$91:$C$230)*$L$18+SUMPRODUCT(($B$91:$B$230="Kale")*(M$91:M$230="H")*$C$91:$C$230)*$M$18+SUMPRODUCT(($B$91:$B$230="Kale")*($BG$91:$BG$230=9)*$C$91:$C$230)*$H$18</f>
        <v/>
      </c>
      <c r="N375" s="40">
        <f>SUMPRODUCT(($B$91:$B$230="Kale")*(N$91:N$230="P")*$C$91:$C$230)*$K$18+SUMPRODUCT(($B$91:$B$230="Kale")*(N$91:N$230="G")*$C$91:$C$230)*$L$18+SUMPRODUCT(($B$91:$B$230="Kale")*(N$91:N$230="H")*$C$91:$C$230)*$M$18+SUMPRODUCT(($B$91:$B$230="Kale")*($BG$91:$BG$230=10)*$C$91:$C$230)*$H$18</f>
        <v/>
      </c>
      <c r="O375" s="40">
        <f>SUMPRODUCT(($B$91:$B$230="Kale")*(O$91:O$230="P")*$C$91:$C$230)*$K$18+SUMPRODUCT(($B$91:$B$230="Kale")*(O$91:O$230="G")*$C$91:$C$230)*$L$18+SUMPRODUCT(($B$91:$B$230="Kale")*(O$91:O$230="H")*$C$91:$C$230)*$M$18+SUMPRODUCT(($B$91:$B$230="Kale")*($BG$91:$BG$230=11)*$C$91:$C$230)*$H$18</f>
        <v/>
      </c>
      <c r="P375" s="40">
        <f>SUMPRODUCT(($B$91:$B$230="Kale")*(P$91:P$230="P")*$C$91:$C$230)*$K$18+SUMPRODUCT(($B$91:$B$230="Kale")*(P$91:P$230="G")*$C$91:$C$230)*$L$18+SUMPRODUCT(($B$91:$B$230="Kale")*(P$91:P$230="H")*$C$91:$C$230)*$M$18+SUMPRODUCT(($B$91:$B$230="Kale")*($BG$91:$BG$230=12)*$C$91:$C$230)*$H$18</f>
        <v/>
      </c>
      <c r="Q375" s="40">
        <f>SUMPRODUCT(($B$91:$B$230="Kale")*(Q$91:Q$230="P")*$C$91:$C$230)*$K$18+SUMPRODUCT(($B$91:$B$230="Kale")*(Q$91:Q$230="G")*$C$91:$C$230)*$L$18+SUMPRODUCT(($B$91:$B$230="Kale")*(Q$91:Q$230="H")*$C$91:$C$230)*$M$18+SUMPRODUCT(($B$91:$B$230="Kale")*($BG$91:$BG$230=13)*$C$91:$C$230)*$H$18</f>
        <v/>
      </c>
      <c r="R375" s="40">
        <f>SUMPRODUCT(($B$91:$B$230="Kale")*(R$91:R$230="P")*$C$91:$C$230)*$K$18+SUMPRODUCT(($B$91:$B$230="Kale")*(R$91:R$230="G")*$C$91:$C$230)*$L$18+SUMPRODUCT(($B$91:$B$230="Kale")*(R$91:R$230="H")*$C$91:$C$230)*$M$18+SUMPRODUCT(($B$91:$B$230="Kale")*($BG$91:$BG$230=14)*$C$91:$C$230)*$H$18</f>
        <v/>
      </c>
      <c r="S375" s="40">
        <f>SUMPRODUCT(($B$91:$B$230="Kale")*(S$91:S$230="P")*$C$91:$C$230)*$K$18+SUMPRODUCT(($B$91:$B$230="Kale")*(S$91:S$230="G")*$C$91:$C$230)*$L$18+SUMPRODUCT(($B$91:$B$230="Kale")*(S$91:S$230="H")*$C$91:$C$230)*$M$18+SUMPRODUCT(($B$91:$B$230="Kale")*($BG$91:$BG$230=15)*$C$91:$C$230)*$H$18</f>
        <v/>
      </c>
      <c r="T375" s="40">
        <f>SUMPRODUCT(($B$91:$B$230="Kale")*(T$91:T$230="P")*$C$91:$C$230)*$K$18+SUMPRODUCT(($B$91:$B$230="Kale")*(T$91:T$230="G")*$C$91:$C$230)*$L$18+SUMPRODUCT(($B$91:$B$230="Kale")*(T$91:T$230="H")*$C$91:$C$230)*$M$18+SUMPRODUCT(($B$91:$B$230="Kale")*($BG$91:$BG$230=16)*$C$91:$C$230)*$H$18</f>
        <v/>
      </c>
      <c r="U375" s="40">
        <f>SUMPRODUCT(($B$91:$B$230="Kale")*(U$91:U$230="P")*$C$91:$C$230)*$K$18+SUMPRODUCT(($B$91:$B$230="Kale")*(U$91:U$230="G")*$C$91:$C$230)*$L$18+SUMPRODUCT(($B$91:$B$230="Kale")*(U$91:U$230="H")*$C$91:$C$230)*$M$18+SUMPRODUCT(($B$91:$B$230="Kale")*($BG$91:$BG$230=17)*$C$91:$C$230)*$H$18</f>
        <v/>
      </c>
      <c r="V375" s="40">
        <f>SUMPRODUCT(($B$91:$B$230="Kale")*(V$91:V$230="P")*$C$91:$C$230)*$K$18+SUMPRODUCT(($B$91:$B$230="Kale")*(V$91:V$230="G")*$C$91:$C$230)*$L$18+SUMPRODUCT(($B$91:$B$230="Kale")*(V$91:V$230="H")*$C$91:$C$230)*$M$18+SUMPRODUCT(($B$91:$B$230="Kale")*($BG$91:$BG$230=18)*$C$91:$C$230)*$H$18</f>
        <v/>
      </c>
      <c r="W375" s="40">
        <f>SUMPRODUCT(($B$91:$B$230="Kale")*(W$91:W$230="P")*$C$91:$C$230)*$K$18+SUMPRODUCT(($B$91:$B$230="Kale")*(W$91:W$230="G")*$C$91:$C$230)*$L$18+SUMPRODUCT(($B$91:$B$230="Kale")*(W$91:W$230="H")*$C$91:$C$230)*$M$18+SUMPRODUCT(($B$91:$B$230="Kale")*($BG$91:$BG$230=19)*$C$91:$C$230)*$H$18</f>
        <v/>
      </c>
      <c r="X375" s="40">
        <f>SUMPRODUCT(($B$91:$B$230="Kale")*(X$91:X$230="P")*$C$91:$C$230)*$K$18+SUMPRODUCT(($B$91:$B$230="Kale")*(X$91:X$230="G")*$C$91:$C$230)*$L$18+SUMPRODUCT(($B$91:$B$230="Kale")*(X$91:X$230="H")*$C$91:$C$230)*$M$18+SUMPRODUCT(($B$91:$B$230="Kale")*($BG$91:$BG$230=20)*$C$91:$C$230)*$H$18</f>
        <v/>
      </c>
      <c r="Y375" s="40">
        <f>SUMPRODUCT(($B$91:$B$230="Kale")*(Y$91:Y$230="P")*$C$91:$C$230)*$K$18+SUMPRODUCT(($B$91:$B$230="Kale")*(Y$91:Y$230="G")*$C$91:$C$230)*$L$18+SUMPRODUCT(($B$91:$B$230="Kale")*(Y$91:Y$230="H")*$C$91:$C$230)*$M$18+SUMPRODUCT(($B$91:$B$230="Kale")*($BG$91:$BG$230=21)*$C$91:$C$230)*$H$18</f>
        <v/>
      </c>
      <c r="Z375" s="40">
        <f>SUMPRODUCT(($B$91:$B$230="Kale")*(Z$91:Z$230="P")*$C$91:$C$230)*$K$18+SUMPRODUCT(($B$91:$B$230="Kale")*(Z$91:Z$230="G")*$C$91:$C$230)*$L$18+SUMPRODUCT(($B$91:$B$230="Kale")*(Z$91:Z$230="H")*$C$91:$C$230)*$M$18+SUMPRODUCT(($B$91:$B$230="Kale")*($BG$91:$BG$230=22)*$C$91:$C$230)*$H$18</f>
        <v/>
      </c>
      <c r="AA375" s="40">
        <f>SUMPRODUCT(($B$91:$B$230="Kale")*(AA$91:AA$230="P")*$C$91:$C$230)*$K$18+SUMPRODUCT(($B$91:$B$230="Kale")*(AA$91:AA$230="G")*$C$91:$C$230)*$L$18+SUMPRODUCT(($B$91:$B$230="Kale")*(AA$91:AA$230="H")*$C$91:$C$230)*$M$18+SUMPRODUCT(($B$91:$B$230="Kale")*($BG$91:$BG$230=23)*$C$91:$C$230)*$H$18</f>
        <v/>
      </c>
      <c r="AB375" s="40">
        <f>SUMPRODUCT(($B$91:$B$230="Kale")*(AB$91:AB$230="P")*$C$91:$C$230)*$K$18+SUMPRODUCT(($B$91:$B$230="Kale")*(AB$91:AB$230="G")*$C$91:$C$230)*$L$18+SUMPRODUCT(($B$91:$B$230="Kale")*(AB$91:AB$230="H")*$C$91:$C$230)*$M$18+SUMPRODUCT(($B$91:$B$230="Kale")*($BG$91:$BG$230=24)*$C$91:$C$230)*$H$18</f>
        <v/>
      </c>
      <c r="AC375" s="40">
        <f>SUMPRODUCT(($B$91:$B$230="Kale")*(AC$91:AC$230="P")*$C$91:$C$230)*$K$18+SUMPRODUCT(($B$91:$B$230="Kale")*(AC$91:AC$230="G")*$C$91:$C$230)*$L$18+SUMPRODUCT(($B$91:$B$230="Kale")*(AC$91:AC$230="H")*$C$91:$C$230)*$M$18+SUMPRODUCT(($B$91:$B$230="Kale")*($BG$91:$BG$230=25)*$C$91:$C$230)*$H$18</f>
        <v/>
      </c>
      <c r="AD375" s="40">
        <f>SUMPRODUCT(($B$91:$B$230="Kale")*(AD$91:AD$230="P")*$C$91:$C$230)*$K$18+SUMPRODUCT(($B$91:$B$230="Kale")*(AD$91:AD$230="G")*$C$91:$C$230)*$L$18+SUMPRODUCT(($B$91:$B$230="Kale")*(AD$91:AD$230="H")*$C$91:$C$230)*$M$18+SUMPRODUCT(($B$91:$B$230="Kale")*($BG$91:$BG$230=26)*$C$91:$C$230)*$H$18</f>
        <v/>
      </c>
      <c r="AE375" s="40">
        <f>SUMPRODUCT(($B$91:$B$230="Kale")*(AE$91:AE$230="P")*$C$91:$C$230)*$K$18+SUMPRODUCT(($B$91:$B$230="Kale")*(AE$91:AE$230="G")*$C$91:$C$230)*$L$18+SUMPRODUCT(($B$91:$B$230="Kale")*(AE$91:AE$230="H")*$C$91:$C$230)*$M$18+SUMPRODUCT(($B$91:$B$230="Kale")*($BG$91:$BG$230=27)*$C$91:$C$230)*$H$18</f>
        <v/>
      </c>
      <c r="AF375" s="40">
        <f>SUMPRODUCT(($B$91:$B$230="Kale")*(AF$91:AF$230="P")*$C$91:$C$230)*$K$18+SUMPRODUCT(($B$91:$B$230="Kale")*(AF$91:AF$230="G")*$C$91:$C$230)*$L$18+SUMPRODUCT(($B$91:$B$230="Kale")*(AF$91:AF$230="H")*$C$91:$C$230)*$M$18+SUMPRODUCT(($B$91:$B$230="Kale")*($BG$91:$BG$230=28)*$C$91:$C$230)*$H$18</f>
        <v/>
      </c>
      <c r="AG375" s="40">
        <f>SUMPRODUCT(($B$91:$B$230="Kale")*(AG$91:AG$230="P")*$C$91:$C$230)*$K$18+SUMPRODUCT(($B$91:$B$230="Kale")*(AG$91:AG$230="G")*$C$91:$C$230)*$L$18+SUMPRODUCT(($B$91:$B$230="Kale")*(AG$91:AG$230="H")*$C$91:$C$230)*$M$18+SUMPRODUCT(($B$91:$B$230="Kale")*($BG$91:$BG$230=29)*$C$91:$C$230)*$H$18</f>
        <v/>
      </c>
      <c r="AH375" s="40">
        <f>SUMPRODUCT(($B$91:$B$230="Kale")*(AH$91:AH$230="P")*$C$91:$C$230)*$K$18+SUMPRODUCT(($B$91:$B$230="Kale")*(AH$91:AH$230="G")*$C$91:$C$230)*$L$18+SUMPRODUCT(($B$91:$B$230="Kale")*(AH$91:AH$230="H")*$C$91:$C$230)*$M$18+SUMPRODUCT(($B$91:$B$230="Kale")*($BG$91:$BG$230=30)*$C$91:$C$230)*$H$18</f>
        <v/>
      </c>
      <c r="AI375" s="40">
        <f>SUMPRODUCT(($B$91:$B$230="Kale")*(AI$91:AI$230="P")*$C$91:$C$230)*$K$18+SUMPRODUCT(($B$91:$B$230="Kale")*(AI$91:AI$230="G")*$C$91:$C$230)*$L$18+SUMPRODUCT(($B$91:$B$230="Kale")*(AI$91:AI$230="H")*$C$91:$C$230)*$M$18+SUMPRODUCT(($B$91:$B$230="Kale")*($BG$91:$BG$230=31)*$C$91:$C$230)*$H$18</f>
        <v/>
      </c>
      <c r="AJ375" s="40">
        <f>SUMPRODUCT(($B$91:$B$230="Kale")*(AJ$91:AJ$230="P")*$C$91:$C$230)*$K$18+SUMPRODUCT(($B$91:$B$230="Kale")*(AJ$91:AJ$230="G")*$C$91:$C$230)*$L$18+SUMPRODUCT(($B$91:$B$230="Kale")*(AJ$91:AJ$230="H")*$C$91:$C$230)*$M$18+SUMPRODUCT(($B$91:$B$230="Kale")*($BG$91:$BG$230=32)*$C$91:$C$230)*$H$18</f>
        <v/>
      </c>
      <c r="AK375" s="40">
        <f>SUMPRODUCT(($B$91:$B$230="Kale")*(AK$91:AK$230="P")*$C$91:$C$230)*$K$18+SUMPRODUCT(($B$91:$B$230="Kale")*(AK$91:AK$230="G")*$C$91:$C$230)*$L$18+SUMPRODUCT(($B$91:$B$230="Kale")*(AK$91:AK$230="H")*$C$91:$C$230)*$M$18+SUMPRODUCT(($B$91:$B$230="Kale")*($BG$91:$BG$230=33)*$C$91:$C$230)*$H$18</f>
        <v/>
      </c>
      <c r="AL375" s="40">
        <f>SUMPRODUCT(($B$91:$B$230="Kale")*(AL$91:AL$230="P")*$C$91:$C$230)*$K$18+SUMPRODUCT(($B$91:$B$230="Kale")*(AL$91:AL$230="G")*$C$91:$C$230)*$L$18+SUMPRODUCT(($B$91:$B$230="Kale")*(AL$91:AL$230="H")*$C$91:$C$230)*$M$18+SUMPRODUCT(($B$91:$B$230="Kale")*($BG$91:$BG$230=34)*$C$91:$C$230)*$H$18</f>
        <v/>
      </c>
      <c r="AM375" s="40">
        <f>SUMPRODUCT(($B$91:$B$230="Kale")*(AM$91:AM$230="P")*$C$91:$C$230)*$K$18+SUMPRODUCT(($B$91:$B$230="Kale")*(AM$91:AM$230="G")*$C$91:$C$230)*$L$18+SUMPRODUCT(($B$91:$B$230="Kale")*(AM$91:AM$230="H")*$C$91:$C$230)*$M$18+SUMPRODUCT(($B$91:$B$230="Kale")*($BG$91:$BG$230=35)*$C$91:$C$230)*$H$18</f>
        <v/>
      </c>
      <c r="AN375" s="40">
        <f>SUMPRODUCT(($B$91:$B$230="Kale")*(AN$91:AN$230="P")*$C$91:$C$230)*$K$18+SUMPRODUCT(($B$91:$B$230="Kale")*(AN$91:AN$230="G")*$C$91:$C$230)*$L$18+SUMPRODUCT(($B$91:$B$230="Kale")*(AN$91:AN$230="H")*$C$91:$C$230)*$M$18+SUMPRODUCT(($B$91:$B$230="Kale")*($BG$91:$BG$230=36)*$C$91:$C$230)*$H$18</f>
        <v/>
      </c>
      <c r="AO375" s="40">
        <f>SUMPRODUCT(($B$91:$B$230="Kale")*(AO$91:AO$230="P")*$C$91:$C$230)*$K$18+SUMPRODUCT(($B$91:$B$230="Kale")*(AO$91:AO$230="G")*$C$91:$C$230)*$L$18+SUMPRODUCT(($B$91:$B$230="Kale")*(AO$91:AO$230="H")*$C$91:$C$230)*$M$18+SUMPRODUCT(($B$91:$B$230="Kale")*($BG$91:$BG$230=37)*$C$91:$C$230)*$H$18</f>
        <v/>
      </c>
      <c r="AP375" s="40">
        <f>SUMPRODUCT(($B$91:$B$230="Kale")*(AP$91:AP$230="P")*$C$91:$C$230)*$K$18+SUMPRODUCT(($B$91:$B$230="Kale")*(AP$91:AP$230="G")*$C$91:$C$230)*$L$18+SUMPRODUCT(($B$91:$B$230="Kale")*(AP$91:AP$230="H")*$C$91:$C$230)*$M$18+SUMPRODUCT(($B$91:$B$230="Kale")*($BG$91:$BG$230=38)*$C$91:$C$230)*$H$18</f>
        <v/>
      </c>
      <c r="AQ375" s="40">
        <f>SUMPRODUCT(($B$91:$B$230="Kale")*(AQ$91:AQ$230="P")*$C$91:$C$230)*$K$18+SUMPRODUCT(($B$91:$B$230="Kale")*(AQ$91:AQ$230="G")*$C$91:$C$230)*$L$18+SUMPRODUCT(($B$91:$B$230="Kale")*(AQ$91:AQ$230="H")*$C$91:$C$230)*$M$18+SUMPRODUCT(($B$91:$B$230="Kale")*($BG$91:$BG$230=39)*$C$91:$C$230)*$H$18</f>
        <v/>
      </c>
      <c r="AR375" s="40">
        <f>SUMPRODUCT(($B$91:$B$230="Kale")*(AR$91:AR$230="P")*$C$91:$C$230)*$K$18+SUMPRODUCT(($B$91:$B$230="Kale")*(AR$91:AR$230="G")*$C$91:$C$230)*$L$18+SUMPRODUCT(($B$91:$B$230="Kale")*(AR$91:AR$230="H")*$C$91:$C$230)*$M$18+SUMPRODUCT(($B$91:$B$230="Kale")*($BG$91:$BG$230=40)*$C$91:$C$230)*$H$18</f>
        <v/>
      </c>
      <c r="AS375" s="40">
        <f>SUMPRODUCT(($B$91:$B$230="Kale")*(AS$91:AS$230="P")*$C$91:$C$230)*$K$18+SUMPRODUCT(($B$91:$B$230="Kale")*(AS$91:AS$230="G")*$C$91:$C$230)*$L$18+SUMPRODUCT(($B$91:$B$230="Kale")*(AS$91:AS$230="H")*$C$91:$C$230)*$M$18+SUMPRODUCT(($B$91:$B$230="Kale")*($BG$91:$BG$230=41)*$C$91:$C$230)*$H$18</f>
        <v/>
      </c>
      <c r="AT375" s="40">
        <f>SUMPRODUCT(($B$91:$B$230="Kale")*(AT$91:AT$230="P")*$C$91:$C$230)*$K$18+SUMPRODUCT(($B$91:$B$230="Kale")*(AT$91:AT$230="G")*$C$91:$C$230)*$L$18+SUMPRODUCT(($B$91:$B$230="Kale")*(AT$91:AT$230="H")*$C$91:$C$230)*$M$18+SUMPRODUCT(($B$91:$B$230="Kale")*($BG$91:$BG$230=42)*$C$91:$C$230)*$H$18</f>
        <v/>
      </c>
      <c r="AU375" s="40">
        <f>SUMPRODUCT(($B$91:$B$230="Kale")*(AU$91:AU$230="P")*$C$91:$C$230)*$K$18+SUMPRODUCT(($B$91:$B$230="Kale")*(AU$91:AU$230="G")*$C$91:$C$230)*$L$18+SUMPRODUCT(($B$91:$B$230="Kale")*(AU$91:AU$230="H")*$C$91:$C$230)*$M$18+SUMPRODUCT(($B$91:$B$230="Kale")*($BG$91:$BG$230=43)*$C$91:$C$230)*$H$18</f>
        <v/>
      </c>
      <c r="AV375" s="40">
        <f>SUMPRODUCT(($B$91:$B$230="Kale")*(AV$91:AV$230="P")*$C$91:$C$230)*$K$18+SUMPRODUCT(($B$91:$B$230="Kale")*(AV$91:AV$230="G")*$C$91:$C$230)*$L$18+SUMPRODUCT(($B$91:$B$230="Kale")*(AV$91:AV$230="H")*$C$91:$C$230)*$M$18+SUMPRODUCT(($B$91:$B$230="Kale")*($BG$91:$BG$230=44)*$C$91:$C$230)*$H$18</f>
        <v/>
      </c>
      <c r="AW375" s="40">
        <f>SUMPRODUCT(($B$91:$B$230="Kale")*(AW$91:AW$230="P")*$C$91:$C$230)*$K$18+SUMPRODUCT(($B$91:$B$230="Kale")*(AW$91:AW$230="G")*$C$91:$C$230)*$L$18+SUMPRODUCT(($B$91:$B$230="Kale")*(AW$91:AW$230="H")*$C$91:$C$230)*$M$18+SUMPRODUCT(($B$91:$B$230="Kale")*($BG$91:$BG$230=45)*$C$91:$C$230)*$H$18</f>
        <v/>
      </c>
      <c r="AX375" s="40">
        <f>SUMPRODUCT(($B$91:$B$230="Kale")*(AX$91:AX$230="P")*$C$91:$C$230)*$K$18+SUMPRODUCT(($B$91:$B$230="Kale")*(AX$91:AX$230="G")*$C$91:$C$230)*$L$18+SUMPRODUCT(($B$91:$B$230="Kale")*(AX$91:AX$230="H")*$C$91:$C$230)*$M$18+SUMPRODUCT(($B$91:$B$230="Kale")*($BG$91:$BG$230=46)*$C$91:$C$230)*$H$18</f>
        <v/>
      </c>
      <c r="AY375" s="40">
        <f>SUMPRODUCT(($B$91:$B$230="Kale")*(AY$91:AY$230="P")*$C$91:$C$230)*$K$18+SUMPRODUCT(($B$91:$B$230="Kale")*(AY$91:AY$230="G")*$C$91:$C$230)*$L$18+SUMPRODUCT(($B$91:$B$230="Kale")*(AY$91:AY$230="H")*$C$91:$C$230)*$M$18+SUMPRODUCT(($B$91:$B$230="Kale")*($BG$91:$BG$230=47)*$C$91:$C$230)*$H$18</f>
        <v/>
      </c>
      <c r="AZ375" s="40">
        <f>SUMPRODUCT(($B$91:$B$230="Kale")*(AZ$91:AZ$230="P")*$C$91:$C$230)*$K$18+SUMPRODUCT(($B$91:$B$230="Kale")*(AZ$91:AZ$230="G")*$C$91:$C$230)*$L$18+SUMPRODUCT(($B$91:$B$230="Kale")*(AZ$91:AZ$230="H")*$C$91:$C$230)*$M$18+SUMPRODUCT(($B$91:$B$230="Kale")*($BG$91:$BG$230=48)*$C$91:$C$230)*$H$18</f>
        <v/>
      </c>
      <c r="BA375" s="40">
        <f>SUMPRODUCT(($B$91:$B$230="Kale")*(BA$91:BA$230="P")*$C$91:$C$230)*$K$18+SUMPRODUCT(($B$91:$B$230="Kale")*(BA$91:BA$230="G")*$C$91:$C$230)*$L$18+SUMPRODUCT(($B$91:$B$230="Kale")*(BA$91:BA$230="H")*$C$91:$C$230)*$M$18+SUMPRODUCT(($B$91:$B$230="Kale")*($BG$91:$BG$230=49)*$C$91:$C$230)*$H$18</f>
        <v/>
      </c>
      <c r="BB375" s="40">
        <f>SUMPRODUCT(($B$91:$B$230="Kale")*(BB$91:BB$230="P")*$C$91:$C$230)*$K$18+SUMPRODUCT(($B$91:$B$230="Kale")*(BB$91:BB$230="G")*$C$91:$C$230)*$L$18+SUMPRODUCT(($B$91:$B$230="Kale")*(BB$91:BB$230="H")*$C$91:$C$230)*$M$18+SUMPRODUCT(($B$91:$B$230="Kale")*($BG$91:$BG$230=50)*$C$91:$C$230)*$H$18</f>
        <v/>
      </c>
      <c r="BC375" s="40">
        <f>SUMPRODUCT(($B$91:$B$230="Kale")*(BC$91:BC$230="P")*$C$91:$C$230)*$K$18+SUMPRODUCT(($B$91:$B$230="Kale")*(BC$91:BC$230="G")*$C$91:$C$230)*$L$18+SUMPRODUCT(($B$91:$B$230="Kale")*(BC$91:BC$230="H")*$C$91:$C$230)*$M$18+SUMPRODUCT(($B$91:$B$230="Kale")*($BG$91:$BG$230=51)*$C$91:$C$230)*$H$18</f>
        <v/>
      </c>
      <c r="BD375" s="40">
        <f>SUMPRODUCT(($B$91:$B$230="Kale")*(BD$91:BD$230="P")*$C$91:$C$230)*$K$18+SUMPRODUCT(($B$91:$B$230="Kale")*(BD$91:BD$230="G")*$C$91:$C$230)*$L$18+SUMPRODUCT(($B$91:$B$230="Kale")*(BD$91:BD$230="H")*$C$91:$C$230)*$M$18+SUMPRODUCT(($B$91:$B$230="Kale")*($BG$91:$BG$230=52)*$C$91:$C$230)*$H$18</f>
        <v/>
      </c>
    </row>
    <row r="376">
      <c r="A376" s="33" t="inlineStr">
        <is>
          <t>Packaging this week</t>
        </is>
      </c>
      <c r="B376" s="2" t="inlineStr">
        <is>
          <t>$</t>
        </is>
      </c>
      <c r="E376" s="40">
        <f>E358*$J$37+E366*$J$38</f>
        <v/>
      </c>
      <c r="F376" s="40">
        <f>F358*$J$37+F366*$J$38</f>
        <v/>
      </c>
      <c r="G376" s="40">
        <f>G358*$J$37+G366*$J$38</f>
        <v/>
      </c>
      <c r="H376" s="40">
        <f>H358*$J$37+H366*$J$38</f>
        <v/>
      </c>
      <c r="I376" s="40">
        <f>I358*$J$37+I366*$J$38</f>
        <v/>
      </c>
      <c r="J376" s="40">
        <f>J358*$J$37+J366*$J$38</f>
        <v/>
      </c>
      <c r="K376" s="40">
        <f>K358*$J$37+K366*$J$38</f>
        <v/>
      </c>
      <c r="L376" s="40">
        <f>L358*$J$37+L366*$J$38</f>
        <v/>
      </c>
      <c r="M376" s="40">
        <f>M358*$J$37+M366*$J$38</f>
        <v/>
      </c>
      <c r="N376" s="40">
        <f>N358*$J$37+N366*$J$38</f>
        <v/>
      </c>
      <c r="O376" s="40">
        <f>O358*$J$37+O366*$J$38</f>
        <v/>
      </c>
      <c r="P376" s="40">
        <f>P358*$J$37+P366*$J$38</f>
        <v/>
      </c>
      <c r="Q376" s="40">
        <f>Q358*$J$37+Q366*$J$38</f>
        <v/>
      </c>
      <c r="R376" s="40">
        <f>R358*$J$37+R366*$J$38</f>
        <v/>
      </c>
      <c r="S376" s="40">
        <f>S358*$J$37+S366*$J$38</f>
        <v/>
      </c>
      <c r="T376" s="40">
        <f>T358*$J$37+T366*$J$38</f>
        <v/>
      </c>
      <c r="U376" s="40">
        <f>U358*$J$37+U366*$J$38</f>
        <v/>
      </c>
      <c r="V376" s="40">
        <f>V358*$J$37+V366*$J$38</f>
        <v/>
      </c>
      <c r="W376" s="40">
        <f>W358*$J$37+W366*$J$38</f>
        <v/>
      </c>
      <c r="X376" s="40">
        <f>X358*$J$37+X366*$J$38</f>
        <v/>
      </c>
      <c r="Y376" s="40">
        <f>Y358*$J$37+Y366*$J$38</f>
        <v/>
      </c>
      <c r="Z376" s="40">
        <f>Z358*$J$37+Z366*$J$38</f>
        <v/>
      </c>
      <c r="AA376" s="40">
        <f>AA358*$J$37+AA366*$J$38</f>
        <v/>
      </c>
      <c r="AB376" s="40">
        <f>AB358*$J$37+AB366*$J$38</f>
        <v/>
      </c>
      <c r="AC376" s="40">
        <f>AC358*$J$37+AC366*$J$38</f>
        <v/>
      </c>
      <c r="AD376" s="40">
        <f>AD358*$J$37+AD366*$J$38</f>
        <v/>
      </c>
      <c r="AE376" s="40">
        <f>AE358*$J$37+AE366*$J$38</f>
        <v/>
      </c>
      <c r="AF376" s="40">
        <f>AF358*$J$37+AF366*$J$38</f>
        <v/>
      </c>
      <c r="AG376" s="40">
        <f>AG358*$J$37+AG366*$J$38</f>
        <v/>
      </c>
      <c r="AH376" s="40">
        <f>AH358*$J$37+AH366*$J$38</f>
        <v/>
      </c>
      <c r="AI376" s="40">
        <f>AI358*$J$37+AI366*$J$38</f>
        <v/>
      </c>
      <c r="AJ376" s="40">
        <f>AJ358*$J$37+AJ366*$J$38</f>
        <v/>
      </c>
      <c r="AK376" s="40">
        <f>AK358*$J$37+AK366*$J$38</f>
        <v/>
      </c>
      <c r="AL376" s="40">
        <f>AL358*$J$37+AL366*$J$38</f>
        <v/>
      </c>
      <c r="AM376" s="40">
        <f>AM358*$J$37+AM366*$J$38</f>
        <v/>
      </c>
      <c r="AN376" s="40">
        <f>AN358*$J$37+AN366*$J$38</f>
        <v/>
      </c>
      <c r="AO376" s="40">
        <f>AO358*$J$37+AO366*$J$38</f>
        <v/>
      </c>
      <c r="AP376" s="40">
        <f>AP358*$J$37+AP366*$J$38</f>
        <v/>
      </c>
      <c r="AQ376" s="40">
        <f>AQ358*$J$37+AQ366*$J$38</f>
        <v/>
      </c>
      <c r="AR376" s="40">
        <f>AR358*$J$37+AR366*$J$38</f>
        <v/>
      </c>
      <c r="AS376" s="40">
        <f>AS358*$J$37+AS366*$J$38</f>
        <v/>
      </c>
      <c r="AT376" s="40">
        <f>AT358*$J$37+AT366*$J$38</f>
        <v/>
      </c>
      <c r="AU376" s="40">
        <f>AU358*$J$37+AU366*$J$38</f>
        <v/>
      </c>
      <c r="AV376" s="40">
        <f>AV358*$J$37+AV366*$J$38</f>
        <v/>
      </c>
      <c r="AW376" s="40">
        <f>AW358*$J$37+AW366*$J$38</f>
        <v/>
      </c>
      <c r="AX376" s="40">
        <f>AX358*$J$37+AX366*$J$38</f>
        <v/>
      </c>
      <c r="AY376" s="40">
        <f>AY358*$J$37+AY366*$J$38</f>
        <v/>
      </c>
      <c r="AZ376" s="40">
        <f>AZ358*$J$37+AZ366*$J$38</f>
        <v/>
      </c>
      <c r="BA376" s="40">
        <f>BA358*$J$37+BA366*$J$38</f>
        <v/>
      </c>
      <c r="BB376" s="40">
        <f>BB358*$J$37+BB366*$J$38</f>
        <v/>
      </c>
      <c r="BC376" s="40">
        <f>BC358*$J$37+BC366*$J$38</f>
        <v/>
      </c>
      <c r="BD376" s="40">
        <f>BD358*$J$37+BD366*$J$38</f>
        <v/>
      </c>
    </row>
    <row r="377">
      <c r="A377" s="4" t="inlineStr">
        <is>
          <t>ROOM OCCUPANCY</t>
        </is>
      </c>
      <c r="B377" s="2" t="inlineStr">
        <is>
          <t>m3</t>
        </is>
      </c>
      <c r="E377" s="58">
        <f>(E353+E352)*$D$18</f>
        <v/>
      </c>
      <c r="F377" s="58">
        <f>(F353+F352)*$D$18</f>
        <v/>
      </c>
      <c r="G377" s="58">
        <f>(G353+G352)*$D$18</f>
        <v/>
      </c>
      <c r="H377" s="58">
        <f>(H353+H352)*$D$18</f>
        <v/>
      </c>
      <c r="I377" s="58">
        <f>(I353+I352)*$D$18</f>
        <v/>
      </c>
      <c r="J377" s="58">
        <f>(J353+J352)*$D$18</f>
        <v/>
      </c>
      <c r="K377" s="58">
        <f>(K353+K352)*$D$18</f>
        <v/>
      </c>
      <c r="L377" s="58">
        <f>(L353+L352)*$D$18</f>
        <v/>
      </c>
      <c r="M377" s="58">
        <f>(M353+M352)*$D$18</f>
        <v/>
      </c>
      <c r="N377" s="58">
        <f>(N353+N352)*$D$18</f>
        <v/>
      </c>
      <c r="O377" s="58">
        <f>(O353+O352)*$D$18</f>
        <v/>
      </c>
      <c r="P377" s="58">
        <f>(P353+P352)*$D$18</f>
        <v/>
      </c>
      <c r="Q377" s="58">
        <f>(Q353+Q352)*$D$18</f>
        <v/>
      </c>
      <c r="R377" s="58">
        <f>(R353+R352)*$D$18</f>
        <v/>
      </c>
      <c r="S377" s="58">
        <f>(S353+S352)*$D$18</f>
        <v/>
      </c>
      <c r="T377" s="58">
        <f>(T353+T352)*$D$18</f>
        <v/>
      </c>
      <c r="U377" s="58">
        <f>(U353+U352)*$D$18</f>
        <v/>
      </c>
      <c r="V377" s="58">
        <f>(V353+V352)*$D$18</f>
        <v/>
      </c>
      <c r="W377" s="58">
        <f>(W353+W352)*$D$18</f>
        <v/>
      </c>
      <c r="X377" s="58">
        <f>(X353+X352)*$D$18</f>
        <v/>
      </c>
      <c r="Y377" s="58">
        <f>(Y353+Y352)*$D$18</f>
        <v/>
      </c>
      <c r="Z377" s="58">
        <f>(Z353+Z352)*$D$18</f>
        <v/>
      </c>
      <c r="AA377" s="58">
        <f>(AA353+AA352)*$D$18</f>
        <v/>
      </c>
      <c r="AB377" s="58">
        <f>(AB353+AB352)*$D$18</f>
        <v/>
      </c>
      <c r="AC377" s="58">
        <f>(AC353+AC352)*$D$18</f>
        <v/>
      </c>
      <c r="AD377" s="58">
        <f>(AD353+AD352)*$D$18</f>
        <v/>
      </c>
      <c r="AE377" s="58">
        <f>(AE353+AE352)*$D$18</f>
        <v/>
      </c>
      <c r="AF377" s="58">
        <f>(AF353+AF352)*$D$18</f>
        <v/>
      </c>
      <c r="AG377" s="58">
        <f>(AG353+AG352)*$D$18</f>
        <v/>
      </c>
      <c r="AH377" s="58">
        <f>(AH353+AH352)*$D$18</f>
        <v/>
      </c>
      <c r="AI377" s="58">
        <f>(AI353+AI352)*$D$18</f>
        <v/>
      </c>
      <c r="AJ377" s="58">
        <f>(AJ353+AJ352)*$D$18</f>
        <v/>
      </c>
      <c r="AK377" s="58">
        <f>(AK353+AK352)*$D$18</f>
        <v/>
      </c>
      <c r="AL377" s="58">
        <f>(AL353+AL352)*$D$18</f>
        <v/>
      </c>
      <c r="AM377" s="58">
        <f>(AM353+AM352)*$D$18</f>
        <v/>
      </c>
      <c r="AN377" s="58">
        <f>(AN353+AN352)*$D$18</f>
        <v/>
      </c>
      <c r="AO377" s="58">
        <f>(AO353+AO352)*$D$18</f>
        <v/>
      </c>
      <c r="AP377" s="58">
        <f>(AP353+AP352)*$D$18</f>
        <v/>
      </c>
      <c r="AQ377" s="58">
        <f>(AQ353+AQ352)*$D$18</f>
        <v/>
      </c>
      <c r="AR377" s="58">
        <f>(AR353+AR352)*$D$18</f>
        <v/>
      </c>
      <c r="AS377" s="58">
        <f>(AS353+AS352)*$D$18</f>
        <v/>
      </c>
      <c r="AT377" s="58">
        <f>(AT353+AT352)*$D$18</f>
        <v/>
      </c>
      <c r="AU377" s="58">
        <f>(AU353+AU352)*$D$18</f>
        <v/>
      </c>
      <c r="AV377" s="58">
        <f>(AV353+AV352)*$D$18</f>
        <v/>
      </c>
      <c r="AW377" s="58">
        <f>(AW353+AW352)*$D$18</f>
        <v/>
      </c>
      <c r="AX377" s="58">
        <f>(AX353+AX352)*$D$18</f>
        <v/>
      </c>
      <c r="AY377" s="58">
        <f>(AY353+AY352)*$D$18</f>
        <v/>
      </c>
      <c r="AZ377" s="58">
        <f>(AZ353+AZ352)*$D$18</f>
        <v/>
      </c>
      <c r="BA377" s="58">
        <f>(BA353+BA352)*$D$18</f>
        <v/>
      </c>
      <c r="BB377" s="58">
        <f>(BB353+BB352)*$D$18</f>
        <v/>
      </c>
      <c r="BC377" s="58">
        <f>(BC353+BC352)*$D$18</f>
        <v/>
      </c>
      <c r="BD377" s="58">
        <f>(BD353+BD352)*$D$18</f>
        <v/>
      </c>
    </row>
    <row r="379">
      <c r="A379" s="3" t="inlineStr">
        <is>
          <t>GARLIC  —  ambient store</t>
        </is>
      </c>
      <c r="B379" s="59" t="inlineStr"/>
    </row>
    <row r="380">
      <c r="A380" s="36" t="inlineStr">
        <is>
          <t>Week</t>
        </is>
      </c>
      <c r="B380" s="37" t="inlineStr"/>
      <c r="E380" s="38" t="n">
        <v>1</v>
      </c>
      <c r="F380" s="38" t="n">
        <v>2</v>
      </c>
      <c r="G380" s="38" t="n">
        <v>3</v>
      </c>
      <c r="H380" s="38" t="n">
        <v>4</v>
      </c>
      <c r="I380" s="38" t="n">
        <v>5</v>
      </c>
      <c r="J380" s="38" t="n">
        <v>6</v>
      </c>
      <c r="K380" s="38" t="n">
        <v>7</v>
      </c>
      <c r="L380" s="38" t="n">
        <v>8</v>
      </c>
      <c r="M380" s="38" t="n">
        <v>9</v>
      </c>
      <c r="N380" s="38" t="n">
        <v>10</v>
      </c>
      <c r="O380" s="38" t="n">
        <v>11</v>
      </c>
      <c r="P380" s="38" t="n">
        <v>12</v>
      </c>
      <c r="Q380" s="38" t="n">
        <v>13</v>
      </c>
      <c r="R380" s="38" t="n">
        <v>14</v>
      </c>
      <c r="S380" s="38" t="n">
        <v>15</v>
      </c>
      <c r="T380" s="38" t="n">
        <v>16</v>
      </c>
      <c r="U380" s="38" t="n">
        <v>17</v>
      </c>
      <c r="V380" s="38" t="n">
        <v>18</v>
      </c>
      <c r="W380" s="38" t="n">
        <v>19</v>
      </c>
      <c r="X380" s="38" t="n">
        <v>20</v>
      </c>
      <c r="Y380" s="38" t="n">
        <v>21</v>
      </c>
      <c r="Z380" s="38" t="n">
        <v>22</v>
      </c>
      <c r="AA380" s="38" t="n">
        <v>23</v>
      </c>
      <c r="AB380" s="38" t="n">
        <v>24</v>
      </c>
      <c r="AC380" s="38" t="n">
        <v>25</v>
      </c>
      <c r="AD380" s="38" t="n">
        <v>26</v>
      </c>
      <c r="AE380" s="38" t="n">
        <v>27</v>
      </c>
      <c r="AF380" s="38" t="n">
        <v>28</v>
      </c>
      <c r="AG380" s="38" t="n">
        <v>29</v>
      </c>
      <c r="AH380" s="38" t="n">
        <v>30</v>
      </c>
      <c r="AI380" s="38" t="n">
        <v>31</v>
      </c>
      <c r="AJ380" s="38" t="n">
        <v>32</v>
      </c>
      <c r="AK380" s="38" t="n">
        <v>33</v>
      </c>
      <c r="AL380" s="38" t="n">
        <v>34</v>
      </c>
      <c r="AM380" s="38" t="n">
        <v>35</v>
      </c>
      <c r="AN380" s="38" t="n">
        <v>36</v>
      </c>
      <c r="AO380" s="38" t="n">
        <v>37</v>
      </c>
      <c r="AP380" s="38" t="n">
        <v>38</v>
      </c>
      <c r="AQ380" s="38" t="n">
        <v>39</v>
      </c>
      <c r="AR380" s="38" t="n">
        <v>40</v>
      </c>
      <c r="AS380" s="38" t="n">
        <v>41</v>
      </c>
      <c r="AT380" s="38" t="n">
        <v>42</v>
      </c>
      <c r="AU380" s="38" t="n">
        <v>43</v>
      </c>
      <c r="AV380" s="38" t="n">
        <v>44</v>
      </c>
      <c r="AW380" s="38" t="n">
        <v>45</v>
      </c>
      <c r="AX380" s="38" t="n">
        <v>46</v>
      </c>
      <c r="AY380" s="38" t="n">
        <v>47</v>
      </c>
      <c r="AZ380" s="38" t="n">
        <v>48</v>
      </c>
      <c r="BA380" s="38" t="n">
        <v>49</v>
      </c>
      <c r="BB380" s="38" t="n">
        <v>50</v>
      </c>
      <c r="BC380" s="38" t="n">
        <v>51</v>
      </c>
      <c r="BD380" s="38" t="n">
        <v>52</v>
      </c>
    </row>
    <row r="381">
      <c r="A381" s="4" t="inlineStr">
        <is>
          <t>Packed out -&gt; INTO the store</t>
        </is>
      </c>
      <c r="B381" s="2" t="inlineStr">
        <is>
          <t>lb</t>
        </is>
      </c>
      <c r="E381" s="40">
        <f>SUMPRODUCT(($B$91:$B$230="Garlic")*(E$91:E$230="H")*$C$91:$C$230)*$B$19/$J$19*$C$19</f>
        <v/>
      </c>
      <c r="F381" s="40">
        <f>SUMPRODUCT(($B$91:$B$230="Garlic")*(F$91:F$230="H")*$C$91:$C$230)*$B$19/$J$19*$C$19</f>
        <v/>
      </c>
      <c r="G381" s="40">
        <f>SUMPRODUCT(($B$91:$B$230="Garlic")*(G$91:G$230="H")*$C$91:$C$230)*$B$19/$J$19*$C$19</f>
        <v/>
      </c>
      <c r="H381" s="40">
        <f>SUMPRODUCT(($B$91:$B$230="Garlic")*(H$91:H$230="H")*$C$91:$C$230)*$B$19/$J$19*$C$19</f>
        <v/>
      </c>
      <c r="I381" s="40">
        <f>SUMPRODUCT(($B$91:$B$230="Garlic")*(I$91:I$230="H")*$C$91:$C$230)*$B$19/$J$19*$C$19</f>
        <v/>
      </c>
      <c r="J381" s="40">
        <f>SUMPRODUCT(($B$91:$B$230="Garlic")*(J$91:J$230="H")*$C$91:$C$230)*$B$19/$J$19*$C$19</f>
        <v/>
      </c>
      <c r="K381" s="40">
        <f>SUMPRODUCT(($B$91:$B$230="Garlic")*(K$91:K$230="H")*$C$91:$C$230)*$B$19/$J$19*$C$19</f>
        <v/>
      </c>
      <c r="L381" s="40">
        <f>SUMPRODUCT(($B$91:$B$230="Garlic")*(L$91:L$230="H")*$C$91:$C$230)*$B$19/$J$19*$C$19</f>
        <v/>
      </c>
      <c r="M381" s="40">
        <f>SUMPRODUCT(($B$91:$B$230="Garlic")*(M$91:M$230="H")*$C$91:$C$230)*$B$19/$J$19*$C$19</f>
        <v/>
      </c>
      <c r="N381" s="40">
        <f>SUMPRODUCT(($B$91:$B$230="Garlic")*(N$91:N$230="H")*$C$91:$C$230)*$B$19/$J$19*$C$19</f>
        <v/>
      </c>
      <c r="O381" s="40">
        <f>SUMPRODUCT(($B$91:$B$230="Garlic")*(O$91:O$230="H")*$C$91:$C$230)*$B$19/$J$19*$C$19</f>
        <v/>
      </c>
      <c r="P381" s="40">
        <f>SUMPRODUCT(($B$91:$B$230="Garlic")*(P$91:P$230="H")*$C$91:$C$230)*$B$19/$J$19*$C$19</f>
        <v/>
      </c>
      <c r="Q381" s="40">
        <f>SUMPRODUCT(($B$91:$B$230="Garlic")*(Q$91:Q$230="H")*$C$91:$C$230)*$B$19/$J$19*$C$19</f>
        <v/>
      </c>
      <c r="R381" s="40">
        <f>SUMPRODUCT(($B$91:$B$230="Garlic")*(R$91:R$230="H")*$C$91:$C$230)*$B$19/$J$19*$C$19</f>
        <v/>
      </c>
      <c r="S381" s="40">
        <f>SUMPRODUCT(($B$91:$B$230="Garlic")*(S$91:S$230="H")*$C$91:$C$230)*$B$19/$J$19*$C$19</f>
        <v/>
      </c>
      <c r="T381" s="40">
        <f>SUMPRODUCT(($B$91:$B$230="Garlic")*(T$91:T$230="H")*$C$91:$C$230)*$B$19/$J$19*$C$19</f>
        <v/>
      </c>
      <c r="U381" s="40">
        <f>SUMPRODUCT(($B$91:$B$230="Garlic")*(U$91:U$230="H")*$C$91:$C$230)*$B$19/$J$19*$C$19</f>
        <v/>
      </c>
      <c r="V381" s="40">
        <f>SUMPRODUCT(($B$91:$B$230="Garlic")*(V$91:V$230="H")*$C$91:$C$230)*$B$19/$J$19*$C$19</f>
        <v/>
      </c>
      <c r="W381" s="40">
        <f>SUMPRODUCT(($B$91:$B$230="Garlic")*(W$91:W$230="H")*$C$91:$C$230)*$B$19/$J$19*$C$19</f>
        <v/>
      </c>
      <c r="X381" s="40">
        <f>SUMPRODUCT(($B$91:$B$230="Garlic")*(X$91:X$230="H")*$C$91:$C$230)*$B$19/$J$19*$C$19</f>
        <v/>
      </c>
      <c r="Y381" s="40">
        <f>SUMPRODUCT(($B$91:$B$230="Garlic")*(Y$91:Y$230="H")*$C$91:$C$230)*$B$19/$J$19*$C$19</f>
        <v/>
      </c>
      <c r="Z381" s="40">
        <f>SUMPRODUCT(($B$91:$B$230="Garlic")*(Z$91:Z$230="H")*$C$91:$C$230)*$B$19/$J$19*$C$19</f>
        <v/>
      </c>
      <c r="AA381" s="40">
        <f>SUMPRODUCT(($B$91:$B$230="Garlic")*(AA$91:AA$230="H")*$C$91:$C$230)*$B$19/$J$19*$C$19</f>
        <v/>
      </c>
      <c r="AB381" s="40">
        <f>SUMPRODUCT(($B$91:$B$230="Garlic")*(AB$91:AB$230="H")*$C$91:$C$230)*$B$19/$J$19*$C$19</f>
        <v/>
      </c>
      <c r="AC381" s="40">
        <f>SUMPRODUCT(($B$91:$B$230="Garlic")*(AC$91:AC$230="H")*$C$91:$C$230)*$B$19/$J$19*$C$19</f>
        <v/>
      </c>
      <c r="AD381" s="40">
        <f>SUMPRODUCT(($B$91:$B$230="Garlic")*(AD$91:AD$230="H")*$C$91:$C$230)*$B$19/$J$19*$C$19</f>
        <v/>
      </c>
      <c r="AE381" s="40">
        <f>SUMPRODUCT(($B$91:$B$230="Garlic")*(AE$91:AE$230="H")*$C$91:$C$230)*$B$19/$J$19*$C$19</f>
        <v/>
      </c>
      <c r="AF381" s="40">
        <f>SUMPRODUCT(($B$91:$B$230="Garlic")*(AF$91:AF$230="H")*$C$91:$C$230)*$B$19/$J$19*$C$19</f>
        <v/>
      </c>
      <c r="AG381" s="40">
        <f>SUMPRODUCT(($B$91:$B$230="Garlic")*(AG$91:AG$230="H")*$C$91:$C$230)*$B$19/$J$19*$C$19</f>
        <v/>
      </c>
      <c r="AH381" s="40">
        <f>SUMPRODUCT(($B$91:$B$230="Garlic")*(AH$91:AH$230="H")*$C$91:$C$230)*$B$19/$J$19*$C$19</f>
        <v/>
      </c>
      <c r="AI381" s="40">
        <f>SUMPRODUCT(($B$91:$B$230="Garlic")*(AI$91:AI$230="H")*$C$91:$C$230)*$B$19/$J$19*$C$19</f>
        <v/>
      </c>
      <c r="AJ381" s="40">
        <f>SUMPRODUCT(($B$91:$B$230="Garlic")*(AJ$91:AJ$230="H")*$C$91:$C$230)*$B$19/$J$19*$C$19</f>
        <v/>
      </c>
      <c r="AK381" s="40">
        <f>SUMPRODUCT(($B$91:$B$230="Garlic")*(AK$91:AK$230="H")*$C$91:$C$230)*$B$19/$J$19*$C$19</f>
        <v/>
      </c>
      <c r="AL381" s="40">
        <f>SUMPRODUCT(($B$91:$B$230="Garlic")*(AL$91:AL$230="H")*$C$91:$C$230)*$B$19/$J$19*$C$19</f>
        <v/>
      </c>
      <c r="AM381" s="40">
        <f>SUMPRODUCT(($B$91:$B$230="Garlic")*(AM$91:AM$230="H")*$C$91:$C$230)*$B$19/$J$19*$C$19</f>
        <v/>
      </c>
      <c r="AN381" s="40">
        <f>SUMPRODUCT(($B$91:$B$230="Garlic")*(AN$91:AN$230="H")*$C$91:$C$230)*$B$19/$J$19*$C$19</f>
        <v/>
      </c>
      <c r="AO381" s="40">
        <f>SUMPRODUCT(($B$91:$B$230="Garlic")*(AO$91:AO$230="H")*$C$91:$C$230)*$B$19/$J$19*$C$19</f>
        <v/>
      </c>
      <c r="AP381" s="40">
        <f>SUMPRODUCT(($B$91:$B$230="Garlic")*(AP$91:AP$230="H")*$C$91:$C$230)*$B$19/$J$19*$C$19</f>
        <v/>
      </c>
      <c r="AQ381" s="40">
        <f>SUMPRODUCT(($B$91:$B$230="Garlic")*(AQ$91:AQ$230="H")*$C$91:$C$230)*$B$19/$J$19*$C$19</f>
        <v/>
      </c>
      <c r="AR381" s="40">
        <f>SUMPRODUCT(($B$91:$B$230="Garlic")*(AR$91:AR$230="H")*$C$91:$C$230)*$B$19/$J$19*$C$19</f>
        <v/>
      </c>
      <c r="AS381" s="40">
        <f>SUMPRODUCT(($B$91:$B$230="Garlic")*(AS$91:AS$230="H")*$C$91:$C$230)*$B$19/$J$19*$C$19</f>
        <v/>
      </c>
      <c r="AT381" s="40">
        <f>SUMPRODUCT(($B$91:$B$230="Garlic")*(AT$91:AT$230="H")*$C$91:$C$230)*$B$19/$J$19*$C$19</f>
        <v/>
      </c>
      <c r="AU381" s="40">
        <f>SUMPRODUCT(($B$91:$B$230="Garlic")*(AU$91:AU$230="H")*$C$91:$C$230)*$B$19/$J$19*$C$19</f>
        <v/>
      </c>
      <c r="AV381" s="40">
        <f>SUMPRODUCT(($B$91:$B$230="Garlic")*(AV$91:AV$230="H")*$C$91:$C$230)*$B$19/$J$19*$C$19</f>
        <v/>
      </c>
      <c r="AW381" s="40">
        <f>SUMPRODUCT(($B$91:$B$230="Garlic")*(AW$91:AW$230="H")*$C$91:$C$230)*$B$19/$J$19*$C$19</f>
        <v/>
      </c>
      <c r="AX381" s="40">
        <f>SUMPRODUCT(($B$91:$B$230="Garlic")*(AX$91:AX$230="H")*$C$91:$C$230)*$B$19/$J$19*$C$19</f>
        <v/>
      </c>
      <c r="AY381" s="40">
        <f>SUMPRODUCT(($B$91:$B$230="Garlic")*(AY$91:AY$230="H")*$C$91:$C$230)*$B$19/$J$19*$C$19</f>
        <v/>
      </c>
      <c r="AZ381" s="40">
        <f>SUMPRODUCT(($B$91:$B$230="Garlic")*(AZ$91:AZ$230="H")*$C$91:$C$230)*$B$19/$J$19*$C$19</f>
        <v/>
      </c>
      <c r="BA381" s="40">
        <f>SUMPRODUCT(($B$91:$B$230="Garlic")*(BA$91:BA$230="H")*$C$91:$C$230)*$B$19/$J$19*$C$19</f>
        <v/>
      </c>
      <c r="BB381" s="40">
        <f>SUMPRODUCT(($B$91:$B$230="Garlic")*(BB$91:BB$230="H")*$C$91:$C$230)*$B$19/$J$19*$C$19</f>
        <v/>
      </c>
      <c r="BC381" s="40">
        <f>SUMPRODUCT(($B$91:$B$230="Garlic")*(BC$91:BC$230="H")*$C$91:$C$230)*$B$19/$J$19*$C$19</f>
        <v/>
      </c>
      <c r="BD381" s="40">
        <f>SUMPRODUCT(($B$91:$B$230="Garlic")*(BD$91:BD$230="H")*$C$91:$C$230)*$B$19/$J$19*$C$19</f>
        <v/>
      </c>
    </row>
    <row r="382">
      <c r="A382" s="33" t="inlineStr">
        <is>
          <t>Stock carried in</t>
        </is>
      </c>
      <c r="B382" s="2" t="inlineStr">
        <is>
          <t>lb</t>
        </is>
      </c>
      <c r="E382" s="40" t="n">
        <v>0</v>
      </c>
      <c r="F382" s="40">
        <f>E397</f>
        <v/>
      </c>
      <c r="G382" s="40">
        <f>F397</f>
        <v/>
      </c>
      <c r="H382" s="40">
        <f>G397</f>
        <v/>
      </c>
      <c r="I382" s="40">
        <f>H397</f>
        <v/>
      </c>
      <c r="J382" s="40">
        <f>I397</f>
        <v/>
      </c>
      <c r="K382" s="40">
        <f>J397</f>
        <v/>
      </c>
      <c r="L382" s="40">
        <f>K397</f>
        <v/>
      </c>
      <c r="M382" s="40">
        <f>L397</f>
        <v/>
      </c>
      <c r="N382" s="40">
        <f>M397</f>
        <v/>
      </c>
      <c r="O382" s="40">
        <f>N397</f>
        <v/>
      </c>
      <c r="P382" s="40">
        <f>O397</f>
        <v/>
      </c>
      <c r="Q382" s="40">
        <f>P397</f>
        <v/>
      </c>
      <c r="R382" s="40">
        <f>Q397</f>
        <v/>
      </c>
      <c r="S382" s="40">
        <f>R397</f>
        <v/>
      </c>
      <c r="T382" s="40">
        <f>S397</f>
        <v/>
      </c>
      <c r="U382" s="40">
        <f>T397</f>
        <v/>
      </c>
      <c r="V382" s="40">
        <f>U397</f>
        <v/>
      </c>
      <c r="W382" s="40">
        <f>V397</f>
        <v/>
      </c>
      <c r="X382" s="40">
        <f>W397</f>
        <v/>
      </c>
      <c r="Y382" s="40">
        <f>X397</f>
        <v/>
      </c>
      <c r="Z382" s="40">
        <f>Y397</f>
        <v/>
      </c>
      <c r="AA382" s="40">
        <f>Z397</f>
        <v/>
      </c>
      <c r="AB382" s="40">
        <f>AA397</f>
        <v/>
      </c>
      <c r="AC382" s="40">
        <f>AB397</f>
        <v/>
      </c>
      <c r="AD382" s="40">
        <f>AC397</f>
        <v/>
      </c>
      <c r="AE382" s="40">
        <f>AD397</f>
        <v/>
      </c>
      <c r="AF382" s="40">
        <f>AE397</f>
        <v/>
      </c>
      <c r="AG382" s="40">
        <f>AF397</f>
        <v/>
      </c>
      <c r="AH382" s="40">
        <f>AG397</f>
        <v/>
      </c>
      <c r="AI382" s="40">
        <f>AH397</f>
        <v/>
      </c>
      <c r="AJ382" s="40">
        <f>AI397</f>
        <v/>
      </c>
      <c r="AK382" s="40">
        <f>AJ397</f>
        <v/>
      </c>
      <c r="AL382" s="40">
        <f>AK397</f>
        <v/>
      </c>
      <c r="AM382" s="40">
        <f>AL397</f>
        <v/>
      </c>
      <c r="AN382" s="40">
        <f>AM397</f>
        <v/>
      </c>
      <c r="AO382" s="40">
        <f>AN397</f>
        <v/>
      </c>
      <c r="AP382" s="40">
        <f>AO397</f>
        <v/>
      </c>
      <c r="AQ382" s="40">
        <f>AP397</f>
        <v/>
      </c>
      <c r="AR382" s="40">
        <f>AQ397</f>
        <v/>
      </c>
      <c r="AS382" s="40">
        <f>AR397</f>
        <v/>
      </c>
      <c r="AT382" s="40">
        <f>AS397</f>
        <v/>
      </c>
      <c r="AU382" s="40">
        <f>AT397</f>
        <v/>
      </c>
      <c r="AV382" s="40">
        <f>AU397</f>
        <v/>
      </c>
      <c r="AW382" s="40">
        <f>AV397</f>
        <v/>
      </c>
      <c r="AX382" s="40">
        <f>AW397</f>
        <v/>
      </c>
      <c r="AY382" s="40">
        <f>AX397</f>
        <v/>
      </c>
      <c r="AZ382" s="40">
        <f>AY397</f>
        <v/>
      </c>
      <c r="BA382" s="40">
        <f>AZ397</f>
        <v/>
      </c>
      <c r="BB382" s="40">
        <f>BA397</f>
        <v/>
      </c>
      <c r="BC382" s="40">
        <f>BB397</f>
        <v/>
      </c>
      <c r="BD382" s="40">
        <f>BC397</f>
        <v/>
      </c>
    </row>
    <row r="383">
      <c r="A383" s="33" t="inlineStr">
        <is>
          <t xml:space="preserve">   lost to shrink</t>
        </is>
      </c>
      <c r="B383" s="2" t="inlineStr">
        <is>
          <t>lb</t>
        </is>
      </c>
      <c r="E383" s="40">
        <f>E382*$G$19</f>
        <v/>
      </c>
      <c r="F383" s="40">
        <f>F382*$G$19</f>
        <v/>
      </c>
      <c r="G383" s="40">
        <f>G382*$G$19</f>
        <v/>
      </c>
      <c r="H383" s="40">
        <f>H382*$G$19</f>
        <v/>
      </c>
      <c r="I383" s="40">
        <f>I382*$G$19</f>
        <v/>
      </c>
      <c r="J383" s="40">
        <f>J382*$G$19</f>
        <v/>
      </c>
      <c r="K383" s="40">
        <f>K382*$G$19</f>
        <v/>
      </c>
      <c r="L383" s="40">
        <f>L382*$G$19</f>
        <v/>
      </c>
      <c r="M383" s="40">
        <f>M382*$G$19</f>
        <v/>
      </c>
      <c r="N383" s="40">
        <f>N382*$G$19</f>
        <v/>
      </c>
      <c r="O383" s="40">
        <f>O382*$G$19</f>
        <v/>
      </c>
      <c r="P383" s="40">
        <f>P382*$G$19</f>
        <v/>
      </c>
      <c r="Q383" s="40">
        <f>Q382*$G$19</f>
        <v/>
      </c>
      <c r="R383" s="40">
        <f>R382*$G$19</f>
        <v/>
      </c>
      <c r="S383" s="40">
        <f>S382*$G$19</f>
        <v/>
      </c>
      <c r="T383" s="40">
        <f>T382*$G$19</f>
        <v/>
      </c>
      <c r="U383" s="40">
        <f>U382*$G$19</f>
        <v/>
      </c>
      <c r="V383" s="40">
        <f>V382*$G$19</f>
        <v/>
      </c>
      <c r="W383" s="40">
        <f>W382*$G$19</f>
        <v/>
      </c>
      <c r="X383" s="40">
        <f>X382*$G$19</f>
        <v/>
      </c>
      <c r="Y383" s="40">
        <f>Y382*$G$19</f>
        <v/>
      </c>
      <c r="Z383" s="40">
        <f>Z382*$G$19</f>
        <v/>
      </c>
      <c r="AA383" s="40">
        <f>AA382*$G$19</f>
        <v/>
      </c>
      <c r="AB383" s="40">
        <f>AB382*$G$19</f>
        <v/>
      </c>
      <c r="AC383" s="40">
        <f>AC382*$G$19</f>
        <v/>
      </c>
      <c r="AD383" s="40">
        <f>AD382*$G$19</f>
        <v/>
      </c>
      <c r="AE383" s="40">
        <f>AE382*$G$19</f>
        <v/>
      </c>
      <c r="AF383" s="40">
        <f>AF382*$G$19</f>
        <v/>
      </c>
      <c r="AG383" s="40">
        <f>AG382*$G$19</f>
        <v/>
      </c>
      <c r="AH383" s="40">
        <f>AH382*$G$19</f>
        <v/>
      </c>
      <c r="AI383" s="40">
        <f>AI382*$G$19</f>
        <v/>
      </c>
      <c r="AJ383" s="40">
        <f>AJ382*$G$19</f>
        <v/>
      </c>
      <c r="AK383" s="40">
        <f>AK382*$G$19</f>
        <v/>
      </c>
      <c r="AL383" s="40">
        <f>AL382*$G$19</f>
        <v/>
      </c>
      <c r="AM383" s="40">
        <f>AM382*$G$19</f>
        <v/>
      </c>
      <c r="AN383" s="40">
        <f>AN382*$G$19</f>
        <v/>
      </c>
      <c r="AO383" s="40">
        <f>AO382*$G$19</f>
        <v/>
      </c>
      <c r="AP383" s="40">
        <f>AP382*$G$19</f>
        <v/>
      </c>
      <c r="AQ383" s="40">
        <f>AQ382*$G$19</f>
        <v/>
      </c>
      <c r="AR383" s="40">
        <f>AR382*$G$19</f>
        <v/>
      </c>
      <c r="AS383" s="40">
        <f>AS382*$G$19</f>
        <v/>
      </c>
      <c r="AT383" s="40">
        <f>AT382*$G$19</f>
        <v/>
      </c>
      <c r="AU383" s="40">
        <f>AU382*$G$19</f>
        <v/>
      </c>
      <c r="AV383" s="40">
        <f>AV382*$G$19</f>
        <v/>
      </c>
      <c r="AW383" s="40">
        <f>AW382*$G$19</f>
        <v/>
      </c>
      <c r="AX383" s="40">
        <f>AX382*$G$19</f>
        <v/>
      </c>
      <c r="AY383" s="40">
        <f>AY382*$G$19</f>
        <v/>
      </c>
      <c r="AZ383" s="40">
        <f>AZ382*$G$19</f>
        <v/>
      </c>
      <c r="BA383" s="40">
        <f>BA382*$G$19</f>
        <v/>
      </c>
      <c r="BB383" s="40">
        <f>BB382*$G$19</f>
        <v/>
      </c>
      <c r="BC383" s="40">
        <f>BC382*$G$19</f>
        <v/>
      </c>
      <c r="BD383" s="40">
        <f>BD382*$G$19</f>
        <v/>
      </c>
    </row>
    <row r="384">
      <c r="A384" s="4" t="inlineStr">
        <is>
          <t>In store this week</t>
        </is>
      </c>
      <c r="B384" s="2" t="inlineStr">
        <is>
          <t>lb</t>
        </is>
      </c>
      <c r="E384" s="40">
        <f>E382-E383+E381</f>
        <v/>
      </c>
      <c r="F384" s="40">
        <f>F382-F383+F381</f>
        <v/>
      </c>
      <c r="G384" s="40">
        <f>G382-G383+G381</f>
        <v/>
      </c>
      <c r="H384" s="40">
        <f>H382-H383+H381</f>
        <v/>
      </c>
      <c r="I384" s="40">
        <f>I382-I383+I381</f>
        <v/>
      </c>
      <c r="J384" s="40">
        <f>J382-J383+J381</f>
        <v/>
      </c>
      <c r="K384" s="40">
        <f>K382-K383+K381</f>
        <v/>
      </c>
      <c r="L384" s="40">
        <f>L382-L383+L381</f>
        <v/>
      </c>
      <c r="M384" s="40">
        <f>M382-M383+M381</f>
        <v/>
      </c>
      <c r="N384" s="40">
        <f>N382-N383+N381</f>
        <v/>
      </c>
      <c r="O384" s="40">
        <f>O382-O383+O381</f>
        <v/>
      </c>
      <c r="P384" s="40">
        <f>P382-P383+P381</f>
        <v/>
      </c>
      <c r="Q384" s="40">
        <f>Q382-Q383+Q381</f>
        <v/>
      </c>
      <c r="R384" s="40">
        <f>R382-R383+R381</f>
        <v/>
      </c>
      <c r="S384" s="40">
        <f>S382-S383+S381</f>
        <v/>
      </c>
      <c r="T384" s="40">
        <f>T382-T383+T381</f>
        <v/>
      </c>
      <c r="U384" s="40">
        <f>U382-U383+U381</f>
        <v/>
      </c>
      <c r="V384" s="40">
        <f>V382-V383+V381</f>
        <v/>
      </c>
      <c r="W384" s="40">
        <f>W382-W383+W381</f>
        <v/>
      </c>
      <c r="X384" s="40">
        <f>X382-X383+X381</f>
        <v/>
      </c>
      <c r="Y384" s="40">
        <f>Y382-Y383+Y381</f>
        <v/>
      </c>
      <c r="Z384" s="40">
        <f>Z382-Z383+Z381</f>
        <v/>
      </c>
      <c r="AA384" s="40">
        <f>AA382-AA383+AA381</f>
        <v/>
      </c>
      <c r="AB384" s="40">
        <f>AB382-AB383+AB381</f>
        <v/>
      </c>
      <c r="AC384" s="40">
        <f>AC382-AC383+AC381</f>
        <v/>
      </c>
      <c r="AD384" s="40">
        <f>AD382-AD383+AD381</f>
        <v/>
      </c>
      <c r="AE384" s="40">
        <f>AE382-AE383+AE381</f>
        <v/>
      </c>
      <c r="AF384" s="40">
        <f>AF382-AF383+AF381</f>
        <v/>
      </c>
      <c r="AG384" s="40">
        <f>AG382-AG383+AG381</f>
        <v/>
      </c>
      <c r="AH384" s="40">
        <f>AH382-AH383+AH381</f>
        <v/>
      </c>
      <c r="AI384" s="40">
        <f>AI382-AI383+AI381</f>
        <v/>
      </c>
      <c r="AJ384" s="40">
        <f>AJ382-AJ383+AJ381</f>
        <v/>
      </c>
      <c r="AK384" s="40">
        <f>AK382-AK383+AK381</f>
        <v/>
      </c>
      <c r="AL384" s="40">
        <f>AL382-AL383+AL381</f>
        <v/>
      </c>
      <c r="AM384" s="40">
        <f>AM382-AM383+AM381</f>
        <v/>
      </c>
      <c r="AN384" s="40">
        <f>AN382-AN383+AN381</f>
        <v/>
      </c>
      <c r="AO384" s="40">
        <f>AO382-AO383+AO381</f>
        <v/>
      </c>
      <c r="AP384" s="40">
        <f>AP382-AP383+AP381</f>
        <v/>
      </c>
      <c r="AQ384" s="40">
        <f>AQ382-AQ383+AQ381</f>
        <v/>
      </c>
      <c r="AR384" s="40">
        <f>AR382-AR383+AR381</f>
        <v/>
      </c>
      <c r="AS384" s="40">
        <f>AS382-AS383+AS381</f>
        <v/>
      </c>
      <c r="AT384" s="40">
        <f>AT382-AT383+AT381</f>
        <v/>
      </c>
      <c r="AU384" s="40">
        <f>AU382-AU383+AU381</f>
        <v/>
      </c>
      <c r="AV384" s="40">
        <f>AV382-AV383+AV381</f>
        <v/>
      </c>
      <c r="AW384" s="40">
        <f>AW382-AW383+AW381</f>
        <v/>
      </c>
      <c r="AX384" s="40">
        <f>AX382-AX383+AX381</f>
        <v/>
      </c>
      <c r="AY384" s="40">
        <f>AY382-AY383+AY381</f>
        <v/>
      </c>
      <c r="AZ384" s="40">
        <f>AZ382-AZ383+AZ381</f>
        <v/>
      </c>
      <c r="BA384" s="40">
        <f>BA382-BA383+BA381</f>
        <v/>
      </c>
      <c r="BB384" s="40">
        <f>BB382-BB383+BB381</f>
        <v/>
      </c>
      <c r="BC384" s="40">
        <f>BC382-BC383+BC381</f>
        <v/>
      </c>
      <c r="BD384" s="40">
        <f>BD382-BD383+BD381</f>
        <v/>
      </c>
    </row>
    <row r="385">
      <c r="A385" s="43" t="inlineStr">
        <is>
          <t>Farmers Market — most you may sell this week</t>
        </is>
      </c>
      <c r="B385" s="2" t="inlineStr">
        <is>
          <t>lb</t>
        </is>
      </c>
      <c r="E385" s="42">
        <f>IF($C$39="Annual",$D$39-0,IF(AND(1&gt;=$E$39,1&lt;=$F$39),$D$39,0))</f>
        <v/>
      </c>
      <c r="F385" s="42">
        <f>IF($C$39="Annual",$D$39-SUM(E387:E387),IF(AND(2&gt;=$E$39,2&lt;=$F$39),$D$39,0))</f>
        <v/>
      </c>
      <c r="G385" s="42">
        <f>IF($C$39="Annual",$D$39-SUM(E387:F387),IF(AND(3&gt;=$E$39,3&lt;=$F$39),$D$39,0))</f>
        <v/>
      </c>
      <c r="H385" s="42">
        <f>IF($C$39="Annual",$D$39-SUM(E387:G387),IF(AND(4&gt;=$E$39,4&lt;=$F$39),$D$39,0))</f>
        <v/>
      </c>
      <c r="I385" s="42">
        <f>IF($C$39="Annual",$D$39-SUM(E387:H387),IF(AND(5&gt;=$E$39,5&lt;=$F$39),$D$39,0))</f>
        <v/>
      </c>
      <c r="J385" s="42">
        <f>IF($C$39="Annual",$D$39-SUM(E387:I387),IF(AND(6&gt;=$E$39,6&lt;=$F$39),$D$39,0))</f>
        <v/>
      </c>
      <c r="K385" s="42">
        <f>IF($C$39="Annual",$D$39-SUM(E387:J387),IF(AND(7&gt;=$E$39,7&lt;=$F$39),$D$39,0))</f>
        <v/>
      </c>
      <c r="L385" s="42">
        <f>IF($C$39="Annual",$D$39-SUM(E387:K387),IF(AND(8&gt;=$E$39,8&lt;=$F$39),$D$39,0))</f>
        <v/>
      </c>
      <c r="M385" s="42">
        <f>IF($C$39="Annual",$D$39-SUM(E387:L387),IF(AND(9&gt;=$E$39,9&lt;=$F$39),$D$39,0))</f>
        <v/>
      </c>
      <c r="N385" s="42">
        <f>IF($C$39="Annual",$D$39-SUM(E387:M387),IF(AND(10&gt;=$E$39,10&lt;=$F$39),$D$39,0))</f>
        <v/>
      </c>
      <c r="O385" s="42">
        <f>IF($C$39="Annual",$D$39-SUM(E387:N387),IF(AND(11&gt;=$E$39,11&lt;=$F$39),$D$39,0))</f>
        <v/>
      </c>
      <c r="P385" s="42">
        <f>IF($C$39="Annual",$D$39-SUM(E387:O387),IF(AND(12&gt;=$E$39,12&lt;=$F$39),$D$39,0))</f>
        <v/>
      </c>
      <c r="Q385" s="42">
        <f>IF($C$39="Annual",$D$39-SUM(E387:P387),IF(AND(13&gt;=$E$39,13&lt;=$F$39),$D$39,0))</f>
        <v/>
      </c>
      <c r="R385" s="42">
        <f>IF($C$39="Annual",$D$39-SUM(E387:Q387),IF(AND(14&gt;=$E$39,14&lt;=$F$39),$D$39,0))</f>
        <v/>
      </c>
      <c r="S385" s="42">
        <f>IF($C$39="Annual",$D$39-SUM(E387:R387),IF(AND(15&gt;=$E$39,15&lt;=$F$39),$D$39,0))</f>
        <v/>
      </c>
      <c r="T385" s="42">
        <f>IF($C$39="Annual",$D$39-SUM(E387:S387),IF(AND(16&gt;=$E$39,16&lt;=$F$39),$D$39,0))</f>
        <v/>
      </c>
      <c r="U385" s="42">
        <f>IF($C$39="Annual",$D$39-SUM(E387:T387),IF(AND(17&gt;=$E$39,17&lt;=$F$39),$D$39,0))</f>
        <v/>
      </c>
      <c r="V385" s="42">
        <f>IF($C$39="Annual",$D$39-SUM(E387:U387),IF(AND(18&gt;=$E$39,18&lt;=$F$39),$D$39,0))</f>
        <v/>
      </c>
      <c r="W385" s="42">
        <f>IF($C$39="Annual",$D$39-SUM(E387:V387),IF(AND(19&gt;=$E$39,19&lt;=$F$39),$D$39,0))</f>
        <v/>
      </c>
      <c r="X385" s="42">
        <f>IF($C$39="Annual",$D$39-SUM(E387:W387),IF(AND(20&gt;=$E$39,20&lt;=$F$39),$D$39,0))</f>
        <v/>
      </c>
      <c r="Y385" s="42">
        <f>IF($C$39="Annual",$D$39-SUM(E387:X387),IF(AND(21&gt;=$E$39,21&lt;=$F$39),$D$39,0))</f>
        <v/>
      </c>
      <c r="Z385" s="42">
        <f>IF($C$39="Annual",$D$39-SUM(E387:Y387),IF(AND(22&gt;=$E$39,22&lt;=$F$39),$D$39,0))</f>
        <v/>
      </c>
      <c r="AA385" s="42">
        <f>IF($C$39="Annual",$D$39-SUM(E387:Z387),IF(AND(23&gt;=$E$39,23&lt;=$F$39),$D$39,0))</f>
        <v/>
      </c>
      <c r="AB385" s="42">
        <f>IF($C$39="Annual",$D$39-SUM(E387:AA387),IF(AND(24&gt;=$E$39,24&lt;=$F$39),$D$39,0))</f>
        <v/>
      </c>
      <c r="AC385" s="42">
        <f>IF($C$39="Annual",$D$39-SUM(E387:AB387),IF(AND(25&gt;=$E$39,25&lt;=$F$39),$D$39,0))</f>
        <v/>
      </c>
      <c r="AD385" s="42">
        <f>IF($C$39="Annual",$D$39-SUM(E387:AC387),IF(AND(26&gt;=$E$39,26&lt;=$F$39),$D$39,0))</f>
        <v/>
      </c>
      <c r="AE385" s="42">
        <f>IF($C$39="Annual",$D$39-SUM(E387:AD387),IF(AND(27&gt;=$E$39,27&lt;=$F$39),$D$39,0))</f>
        <v/>
      </c>
      <c r="AF385" s="42">
        <f>IF($C$39="Annual",$D$39-SUM(E387:AE387),IF(AND(28&gt;=$E$39,28&lt;=$F$39),$D$39,0))</f>
        <v/>
      </c>
      <c r="AG385" s="42">
        <f>IF($C$39="Annual",$D$39-SUM(E387:AF387),IF(AND(29&gt;=$E$39,29&lt;=$F$39),$D$39,0))</f>
        <v/>
      </c>
      <c r="AH385" s="42">
        <f>IF($C$39="Annual",$D$39-SUM(E387:AG387),IF(AND(30&gt;=$E$39,30&lt;=$F$39),$D$39,0))</f>
        <v/>
      </c>
      <c r="AI385" s="42">
        <f>IF($C$39="Annual",$D$39-SUM(E387:AH387),IF(AND(31&gt;=$E$39,31&lt;=$F$39),$D$39,0))</f>
        <v/>
      </c>
      <c r="AJ385" s="42">
        <f>IF($C$39="Annual",$D$39-SUM(E387:AI387),IF(AND(32&gt;=$E$39,32&lt;=$F$39),$D$39,0))</f>
        <v/>
      </c>
      <c r="AK385" s="42">
        <f>IF($C$39="Annual",$D$39-SUM(E387:AJ387),IF(AND(33&gt;=$E$39,33&lt;=$F$39),$D$39,0))</f>
        <v/>
      </c>
      <c r="AL385" s="42">
        <f>IF($C$39="Annual",$D$39-SUM(E387:AK387),IF(AND(34&gt;=$E$39,34&lt;=$F$39),$D$39,0))</f>
        <v/>
      </c>
      <c r="AM385" s="42">
        <f>IF($C$39="Annual",$D$39-SUM(E387:AL387),IF(AND(35&gt;=$E$39,35&lt;=$F$39),$D$39,0))</f>
        <v/>
      </c>
      <c r="AN385" s="42">
        <f>IF($C$39="Annual",$D$39-SUM(E387:AM387),IF(AND(36&gt;=$E$39,36&lt;=$F$39),$D$39,0))</f>
        <v/>
      </c>
      <c r="AO385" s="42">
        <f>IF($C$39="Annual",$D$39-SUM(E387:AN387),IF(AND(37&gt;=$E$39,37&lt;=$F$39),$D$39,0))</f>
        <v/>
      </c>
      <c r="AP385" s="42">
        <f>IF($C$39="Annual",$D$39-SUM(E387:AO387),IF(AND(38&gt;=$E$39,38&lt;=$F$39),$D$39,0))</f>
        <v/>
      </c>
      <c r="AQ385" s="42">
        <f>IF($C$39="Annual",$D$39-SUM(E387:AP387),IF(AND(39&gt;=$E$39,39&lt;=$F$39),$D$39,0))</f>
        <v/>
      </c>
      <c r="AR385" s="42">
        <f>IF($C$39="Annual",$D$39-SUM(E387:AQ387),IF(AND(40&gt;=$E$39,40&lt;=$F$39),$D$39,0))</f>
        <v/>
      </c>
      <c r="AS385" s="42">
        <f>IF($C$39="Annual",$D$39-SUM(E387:AR387),IF(AND(41&gt;=$E$39,41&lt;=$F$39),$D$39,0))</f>
        <v/>
      </c>
      <c r="AT385" s="42">
        <f>IF($C$39="Annual",$D$39-SUM(E387:AS387),IF(AND(42&gt;=$E$39,42&lt;=$F$39),$D$39,0))</f>
        <v/>
      </c>
      <c r="AU385" s="42">
        <f>IF($C$39="Annual",$D$39-SUM(E387:AT387),IF(AND(43&gt;=$E$39,43&lt;=$F$39),$D$39,0))</f>
        <v/>
      </c>
      <c r="AV385" s="42">
        <f>IF($C$39="Annual",$D$39-SUM(E387:AU387),IF(AND(44&gt;=$E$39,44&lt;=$F$39),$D$39,0))</f>
        <v/>
      </c>
      <c r="AW385" s="42">
        <f>IF($C$39="Annual",$D$39-SUM(E387:AV387),IF(AND(45&gt;=$E$39,45&lt;=$F$39),$D$39,0))</f>
        <v/>
      </c>
      <c r="AX385" s="42">
        <f>IF($C$39="Annual",$D$39-SUM(E387:AW387),IF(AND(46&gt;=$E$39,46&lt;=$F$39),$D$39,0))</f>
        <v/>
      </c>
      <c r="AY385" s="42">
        <f>IF($C$39="Annual",$D$39-SUM(E387:AX387),IF(AND(47&gt;=$E$39,47&lt;=$F$39),$D$39,0))</f>
        <v/>
      </c>
      <c r="AZ385" s="42">
        <f>IF($C$39="Annual",$D$39-SUM(E387:AY387),IF(AND(48&gt;=$E$39,48&lt;=$F$39),$D$39,0))</f>
        <v/>
      </c>
      <c r="BA385" s="42">
        <f>IF($C$39="Annual",$D$39-SUM(E387:AZ387),IF(AND(49&gt;=$E$39,49&lt;=$F$39),$D$39,0))</f>
        <v/>
      </c>
      <c r="BB385" s="42">
        <f>IF($C$39="Annual",$D$39-SUM(E387:BA387),IF(AND(50&gt;=$E$39,50&lt;=$F$39),$D$39,0))</f>
        <v/>
      </c>
      <c r="BC385" s="42">
        <f>IF($C$39="Annual",$D$39-SUM(E387:BB387),IF(AND(51&gt;=$E$39,51&lt;=$F$39),$D$39,0))</f>
        <v/>
      </c>
      <c r="BD385" s="42">
        <f>IF($C$39="Annual",$D$39-SUM(E387:BC387),IF(AND(52&gt;=$E$39,52&lt;=$F$39),$D$39,0))</f>
        <v/>
      </c>
    </row>
    <row r="386">
      <c r="A386" s="32" t="inlineStr">
        <is>
          <t>Farmers Market — OFFERED</t>
        </is>
      </c>
      <c r="B386" s="2" t="inlineStr">
        <is>
          <t>lb  &lt;-- SOLVER</t>
        </is>
      </c>
      <c r="E386" s="39" t="n">
        <v>0</v>
      </c>
      <c r="F386" s="39" t="n">
        <v>0</v>
      </c>
      <c r="G386" s="39" t="n">
        <v>0</v>
      </c>
      <c r="H386" s="39" t="n">
        <v>0</v>
      </c>
      <c r="I386" s="39" t="n">
        <v>0</v>
      </c>
      <c r="J386" s="39" t="n">
        <v>0</v>
      </c>
      <c r="K386" s="39" t="n">
        <v>0</v>
      </c>
      <c r="L386" s="39" t="n">
        <v>0</v>
      </c>
      <c r="M386" s="39" t="n">
        <v>0</v>
      </c>
      <c r="N386" s="39" t="n">
        <v>0</v>
      </c>
      <c r="O386" s="39" t="n">
        <v>0</v>
      </c>
      <c r="P386" s="39" t="n">
        <v>0</v>
      </c>
      <c r="Q386" s="39" t="n">
        <v>0</v>
      </c>
      <c r="R386" s="39" t="n">
        <v>0</v>
      </c>
      <c r="S386" s="39" t="n">
        <v>0</v>
      </c>
      <c r="T386" s="39" t="n">
        <v>0</v>
      </c>
      <c r="U386" s="39" t="n">
        <v>0</v>
      </c>
      <c r="V386" s="39" t="n">
        <v>0</v>
      </c>
      <c r="W386" s="39" t="n">
        <v>0</v>
      </c>
      <c r="X386" s="39" t="n">
        <v>0</v>
      </c>
      <c r="Y386" s="39" t="n">
        <v>0</v>
      </c>
      <c r="Z386" s="39" t="n">
        <v>0</v>
      </c>
      <c r="AA386" s="39" t="n">
        <v>0</v>
      </c>
      <c r="AB386" s="39" t="n">
        <v>0</v>
      </c>
      <c r="AC386" s="39" t="n">
        <v>0</v>
      </c>
      <c r="AD386" s="39" t="n">
        <v>0</v>
      </c>
      <c r="AE386" s="39" t="n">
        <v>0</v>
      </c>
      <c r="AF386" s="39" t="n">
        <v>0</v>
      </c>
      <c r="AG386" s="39" t="n">
        <v>0</v>
      </c>
      <c r="AH386" s="39" t="n">
        <v>0</v>
      </c>
      <c r="AI386" s="39" t="n">
        <v>0</v>
      </c>
      <c r="AJ386" s="39" t="n">
        <v>0</v>
      </c>
      <c r="AK386" s="39" t="n">
        <v>0</v>
      </c>
      <c r="AL386" s="39" t="n">
        <v>0</v>
      </c>
      <c r="AM386" s="39" t="n">
        <v>0</v>
      </c>
      <c r="AN386" s="39" t="n">
        <v>0</v>
      </c>
      <c r="AO386" s="39" t="n">
        <v>0</v>
      </c>
      <c r="AP386" s="39" t="n">
        <v>0</v>
      </c>
      <c r="AQ386" s="39" t="n">
        <v>0</v>
      </c>
      <c r="AR386" s="39" t="n">
        <v>0</v>
      </c>
      <c r="AS386" s="39" t="n">
        <v>0</v>
      </c>
      <c r="AT386" s="39" t="n">
        <v>0</v>
      </c>
      <c r="AU386" s="39" t="n">
        <v>0</v>
      </c>
      <c r="AV386" s="39" t="n">
        <v>0</v>
      </c>
      <c r="AW386" s="39" t="n">
        <v>0</v>
      </c>
      <c r="AX386" s="39" t="n">
        <v>0</v>
      </c>
      <c r="AY386" s="39" t="n">
        <v>0</v>
      </c>
      <c r="AZ386" s="39" t="n">
        <v>0</v>
      </c>
      <c r="BA386" s="39" t="n">
        <v>0</v>
      </c>
      <c r="BB386" s="39" t="n">
        <v>0</v>
      </c>
      <c r="BC386" s="39" t="n">
        <v>0</v>
      </c>
      <c r="BD386" s="39" t="n">
        <v>0</v>
      </c>
    </row>
    <row r="387">
      <c r="A387" s="54" t="inlineStr">
        <is>
          <t>Farmers Market — SOLD</t>
        </is>
      </c>
      <c r="B387" s="2" t="inlineStr">
        <is>
          <t>lb</t>
        </is>
      </c>
      <c r="E387" s="55">
        <f>E386*$G$39</f>
        <v/>
      </c>
      <c r="F387" s="55">
        <f>F386*$G$39</f>
        <v/>
      </c>
      <c r="G387" s="55">
        <f>G386*$G$39</f>
        <v/>
      </c>
      <c r="H387" s="55">
        <f>H386*$G$39</f>
        <v/>
      </c>
      <c r="I387" s="55">
        <f>I386*$G$39</f>
        <v/>
      </c>
      <c r="J387" s="55">
        <f>J386*$G$39</f>
        <v/>
      </c>
      <c r="K387" s="55">
        <f>K386*$G$39</f>
        <v/>
      </c>
      <c r="L387" s="55">
        <f>L386*$G$39</f>
        <v/>
      </c>
      <c r="M387" s="55">
        <f>M386*$G$39</f>
        <v/>
      </c>
      <c r="N387" s="55">
        <f>N386*$G$39</f>
        <v/>
      </c>
      <c r="O387" s="55">
        <f>O386*$G$39</f>
        <v/>
      </c>
      <c r="P387" s="55">
        <f>P386*$G$39</f>
        <v/>
      </c>
      <c r="Q387" s="55">
        <f>Q386*$G$39</f>
        <v/>
      </c>
      <c r="R387" s="55">
        <f>R386*$G$39</f>
        <v/>
      </c>
      <c r="S387" s="55">
        <f>S386*$G$39</f>
        <v/>
      </c>
      <c r="T387" s="55">
        <f>T386*$G$39</f>
        <v/>
      </c>
      <c r="U387" s="55">
        <f>U386*$G$39</f>
        <v/>
      </c>
      <c r="V387" s="55">
        <f>V386*$G$39</f>
        <v/>
      </c>
      <c r="W387" s="55">
        <f>W386*$G$39</f>
        <v/>
      </c>
      <c r="X387" s="55">
        <f>X386*$G$39</f>
        <v/>
      </c>
      <c r="Y387" s="55">
        <f>Y386*$G$39</f>
        <v/>
      </c>
      <c r="Z387" s="55">
        <f>Z386*$G$39</f>
        <v/>
      </c>
      <c r="AA387" s="55">
        <f>AA386*$G$39</f>
        <v/>
      </c>
      <c r="AB387" s="55">
        <f>AB386*$G$39</f>
        <v/>
      </c>
      <c r="AC387" s="55">
        <f>AC386*$G$39</f>
        <v/>
      </c>
      <c r="AD387" s="55">
        <f>AD386*$G$39</f>
        <v/>
      </c>
      <c r="AE387" s="55">
        <f>AE386*$G$39</f>
        <v/>
      </c>
      <c r="AF387" s="55">
        <f>AF386*$G$39</f>
        <v/>
      </c>
      <c r="AG387" s="55">
        <f>AG386*$G$39</f>
        <v/>
      </c>
      <c r="AH387" s="55">
        <f>AH386*$G$39</f>
        <v/>
      </c>
      <c r="AI387" s="55">
        <f>AI386*$G$39</f>
        <v/>
      </c>
      <c r="AJ387" s="55">
        <f>AJ386*$G$39</f>
        <v/>
      </c>
      <c r="AK387" s="55">
        <f>AK386*$G$39</f>
        <v/>
      </c>
      <c r="AL387" s="55">
        <f>AL386*$G$39</f>
        <v/>
      </c>
      <c r="AM387" s="55">
        <f>AM386*$G$39</f>
        <v/>
      </c>
      <c r="AN387" s="55">
        <f>AN386*$G$39</f>
        <v/>
      </c>
      <c r="AO387" s="55">
        <f>AO386*$G$39</f>
        <v/>
      </c>
      <c r="AP387" s="55">
        <f>AP386*$G$39</f>
        <v/>
      </c>
      <c r="AQ387" s="55">
        <f>AQ386*$G$39</f>
        <v/>
      </c>
      <c r="AR387" s="55">
        <f>AR386*$G$39</f>
        <v/>
      </c>
      <c r="AS387" s="55">
        <f>AS386*$G$39</f>
        <v/>
      </c>
      <c r="AT387" s="55">
        <f>AT386*$G$39</f>
        <v/>
      </c>
      <c r="AU387" s="55">
        <f>AU386*$G$39</f>
        <v/>
      </c>
      <c r="AV387" s="55">
        <f>AV386*$G$39</f>
        <v/>
      </c>
      <c r="AW387" s="55">
        <f>AW386*$G$39</f>
        <v/>
      </c>
      <c r="AX387" s="55">
        <f>AX386*$G$39</f>
        <v/>
      </c>
      <c r="AY387" s="55">
        <f>AY386*$G$39</f>
        <v/>
      </c>
      <c r="AZ387" s="55">
        <f>AZ386*$G$39</f>
        <v/>
      </c>
      <c r="BA387" s="55">
        <f>BA386*$G$39</f>
        <v/>
      </c>
      <c r="BB387" s="55">
        <f>BB386*$G$39</f>
        <v/>
      </c>
      <c r="BC387" s="55">
        <f>BC386*$G$39</f>
        <v/>
      </c>
      <c r="BD387" s="55">
        <f>BD386*$G$39</f>
        <v/>
      </c>
    </row>
    <row r="388">
      <c r="A388" s="33" t="inlineStr">
        <is>
          <t xml:space="preserve">   market loss (gone)</t>
        </is>
      </c>
      <c r="B388" s="2" t="inlineStr">
        <is>
          <t>lb</t>
        </is>
      </c>
      <c r="E388" s="40">
        <f>(E386-E387)*(1-$H$39)</f>
        <v/>
      </c>
      <c r="F388" s="40">
        <f>(F386-F387)*(1-$H$39)</f>
        <v/>
      </c>
      <c r="G388" s="40">
        <f>(G386-G387)*(1-$H$39)</f>
        <v/>
      </c>
      <c r="H388" s="40">
        <f>(H386-H387)*(1-$H$39)</f>
        <v/>
      </c>
      <c r="I388" s="40">
        <f>(I386-I387)*(1-$H$39)</f>
        <v/>
      </c>
      <c r="J388" s="40">
        <f>(J386-J387)*(1-$H$39)</f>
        <v/>
      </c>
      <c r="K388" s="40">
        <f>(K386-K387)*(1-$H$39)</f>
        <v/>
      </c>
      <c r="L388" s="40">
        <f>(L386-L387)*(1-$H$39)</f>
        <v/>
      </c>
      <c r="M388" s="40">
        <f>(M386-M387)*(1-$H$39)</f>
        <v/>
      </c>
      <c r="N388" s="40">
        <f>(N386-N387)*(1-$H$39)</f>
        <v/>
      </c>
      <c r="O388" s="40">
        <f>(O386-O387)*(1-$H$39)</f>
        <v/>
      </c>
      <c r="P388" s="40">
        <f>(P386-P387)*(1-$H$39)</f>
        <v/>
      </c>
      <c r="Q388" s="40">
        <f>(Q386-Q387)*(1-$H$39)</f>
        <v/>
      </c>
      <c r="R388" s="40">
        <f>(R386-R387)*(1-$H$39)</f>
        <v/>
      </c>
      <c r="S388" s="40">
        <f>(S386-S387)*(1-$H$39)</f>
        <v/>
      </c>
      <c r="T388" s="40">
        <f>(T386-T387)*(1-$H$39)</f>
        <v/>
      </c>
      <c r="U388" s="40">
        <f>(U386-U387)*(1-$H$39)</f>
        <v/>
      </c>
      <c r="V388" s="40">
        <f>(V386-V387)*(1-$H$39)</f>
        <v/>
      </c>
      <c r="W388" s="40">
        <f>(W386-W387)*(1-$H$39)</f>
        <v/>
      </c>
      <c r="X388" s="40">
        <f>(X386-X387)*(1-$H$39)</f>
        <v/>
      </c>
      <c r="Y388" s="40">
        <f>(Y386-Y387)*(1-$H$39)</f>
        <v/>
      </c>
      <c r="Z388" s="40">
        <f>(Z386-Z387)*(1-$H$39)</f>
        <v/>
      </c>
      <c r="AA388" s="40">
        <f>(AA386-AA387)*(1-$H$39)</f>
        <v/>
      </c>
      <c r="AB388" s="40">
        <f>(AB386-AB387)*(1-$H$39)</f>
        <v/>
      </c>
      <c r="AC388" s="40">
        <f>(AC386-AC387)*(1-$H$39)</f>
        <v/>
      </c>
      <c r="AD388" s="40">
        <f>(AD386-AD387)*(1-$H$39)</f>
        <v/>
      </c>
      <c r="AE388" s="40">
        <f>(AE386-AE387)*(1-$H$39)</f>
        <v/>
      </c>
      <c r="AF388" s="40">
        <f>(AF386-AF387)*(1-$H$39)</f>
        <v/>
      </c>
      <c r="AG388" s="40">
        <f>(AG386-AG387)*(1-$H$39)</f>
        <v/>
      </c>
      <c r="AH388" s="40">
        <f>(AH386-AH387)*(1-$H$39)</f>
        <v/>
      </c>
      <c r="AI388" s="40">
        <f>(AI386-AI387)*(1-$H$39)</f>
        <v/>
      </c>
      <c r="AJ388" s="40">
        <f>(AJ386-AJ387)*(1-$H$39)</f>
        <v/>
      </c>
      <c r="AK388" s="40">
        <f>(AK386-AK387)*(1-$H$39)</f>
        <v/>
      </c>
      <c r="AL388" s="40">
        <f>(AL386-AL387)*(1-$H$39)</f>
        <v/>
      </c>
      <c r="AM388" s="40">
        <f>(AM386-AM387)*(1-$H$39)</f>
        <v/>
      </c>
      <c r="AN388" s="40">
        <f>(AN386-AN387)*(1-$H$39)</f>
        <v/>
      </c>
      <c r="AO388" s="40">
        <f>(AO386-AO387)*(1-$H$39)</f>
        <v/>
      </c>
      <c r="AP388" s="40">
        <f>(AP386-AP387)*(1-$H$39)</f>
        <v/>
      </c>
      <c r="AQ388" s="40">
        <f>(AQ386-AQ387)*(1-$H$39)</f>
        <v/>
      </c>
      <c r="AR388" s="40">
        <f>(AR386-AR387)*(1-$H$39)</f>
        <v/>
      </c>
      <c r="AS388" s="40">
        <f>(AS386-AS387)*(1-$H$39)</f>
        <v/>
      </c>
      <c r="AT388" s="40">
        <f>(AT386-AT387)*(1-$H$39)</f>
        <v/>
      </c>
      <c r="AU388" s="40">
        <f>(AU386-AU387)*(1-$H$39)</f>
        <v/>
      </c>
      <c r="AV388" s="40">
        <f>(AV386-AV387)*(1-$H$39)</f>
        <v/>
      </c>
      <c r="AW388" s="40">
        <f>(AW386-AW387)*(1-$H$39)</f>
        <v/>
      </c>
      <c r="AX388" s="40">
        <f>(AX386-AX387)*(1-$H$39)</f>
        <v/>
      </c>
      <c r="AY388" s="40">
        <f>(AY386-AY387)*(1-$H$39)</f>
        <v/>
      </c>
      <c r="AZ388" s="40">
        <f>(AZ386-AZ387)*(1-$H$39)</f>
        <v/>
      </c>
      <c r="BA388" s="40">
        <f>(BA386-BA387)*(1-$H$39)</f>
        <v/>
      </c>
      <c r="BB388" s="40">
        <f>(BB386-BB387)*(1-$H$39)</f>
        <v/>
      </c>
      <c r="BC388" s="40">
        <f>(BC386-BC387)*(1-$H$39)</f>
        <v/>
      </c>
      <c r="BD388" s="40">
        <f>(BD386-BD387)*(1-$H$39)</f>
        <v/>
      </c>
    </row>
    <row r="389">
      <c r="A389" s="33" t="inlineStr">
        <is>
          <t xml:space="preserve">   returned to store</t>
        </is>
      </c>
      <c r="B389" s="2" t="inlineStr">
        <is>
          <t>lb</t>
        </is>
      </c>
      <c r="E389" s="40">
        <f>(E386-E387)*$H$39</f>
        <v/>
      </c>
      <c r="F389" s="40">
        <f>(F386-F387)*$H$39</f>
        <v/>
      </c>
      <c r="G389" s="40">
        <f>(G386-G387)*$H$39</f>
        <v/>
      </c>
      <c r="H389" s="40">
        <f>(H386-H387)*$H$39</f>
        <v/>
      </c>
      <c r="I389" s="40">
        <f>(I386-I387)*$H$39</f>
        <v/>
      </c>
      <c r="J389" s="40">
        <f>(J386-J387)*$H$39</f>
        <v/>
      </c>
      <c r="K389" s="40">
        <f>(K386-K387)*$H$39</f>
        <v/>
      </c>
      <c r="L389" s="40">
        <f>(L386-L387)*$H$39</f>
        <v/>
      </c>
      <c r="M389" s="40">
        <f>(M386-M387)*$H$39</f>
        <v/>
      </c>
      <c r="N389" s="40">
        <f>(N386-N387)*$H$39</f>
        <v/>
      </c>
      <c r="O389" s="40">
        <f>(O386-O387)*$H$39</f>
        <v/>
      </c>
      <c r="P389" s="40">
        <f>(P386-P387)*$H$39</f>
        <v/>
      </c>
      <c r="Q389" s="40">
        <f>(Q386-Q387)*$H$39</f>
        <v/>
      </c>
      <c r="R389" s="40">
        <f>(R386-R387)*$H$39</f>
        <v/>
      </c>
      <c r="S389" s="40">
        <f>(S386-S387)*$H$39</f>
        <v/>
      </c>
      <c r="T389" s="40">
        <f>(T386-T387)*$H$39</f>
        <v/>
      </c>
      <c r="U389" s="40">
        <f>(U386-U387)*$H$39</f>
        <v/>
      </c>
      <c r="V389" s="40">
        <f>(V386-V387)*$H$39</f>
        <v/>
      </c>
      <c r="W389" s="40">
        <f>(W386-W387)*$H$39</f>
        <v/>
      </c>
      <c r="X389" s="40">
        <f>(X386-X387)*$H$39</f>
        <v/>
      </c>
      <c r="Y389" s="40">
        <f>(Y386-Y387)*$H$39</f>
        <v/>
      </c>
      <c r="Z389" s="40">
        <f>(Z386-Z387)*$H$39</f>
        <v/>
      </c>
      <c r="AA389" s="40">
        <f>(AA386-AA387)*$H$39</f>
        <v/>
      </c>
      <c r="AB389" s="40">
        <f>(AB386-AB387)*$H$39</f>
        <v/>
      </c>
      <c r="AC389" s="40">
        <f>(AC386-AC387)*$H$39</f>
        <v/>
      </c>
      <c r="AD389" s="40">
        <f>(AD386-AD387)*$H$39</f>
        <v/>
      </c>
      <c r="AE389" s="40">
        <f>(AE386-AE387)*$H$39</f>
        <v/>
      </c>
      <c r="AF389" s="40">
        <f>(AF386-AF387)*$H$39</f>
        <v/>
      </c>
      <c r="AG389" s="40">
        <f>(AG386-AG387)*$H$39</f>
        <v/>
      </c>
      <c r="AH389" s="40">
        <f>(AH386-AH387)*$H$39</f>
        <v/>
      </c>
      <c r="AI389" s="40">
        <f>(AI386-AI387)*$H$39</f>
        <v/>
      </c>
      <c r="AJ389" s="40">
        <f>(AJ386-AJ387)*$H$39</f>
        <v/>
      </c>
      <c r="AK389" s="40">
        <f>(AK386-AK387)*$H$39</f>
        <v/>
      </c>
      <c r="AL389" s="40">
        <f>(AL386-AL387)*$H$39</f>
        <v/>
      </c>
      <c r="AM389" s="40">
        <f>(AM386-AM387)*$H$39</f>
        <v/>
      </c>
      <c r="AN389" s="40">
        <f>(AN386-AN387)*$H$39</f>
        <v/>
      </c>
      <c r="AO389" s="40">
        <f>(AO386-AO387)*$H$39</f>
        <v/>
      </c>
      <c r="AP389" s="40">
        <f>(AP386-AP387)*$H$39</f>
        <v/>
      </c>
      <c r="AQ389" s="40">
        <f>(AQ386-AQ387)*$H$39</f>
        <v/>
      </c>
      <c r="AR389" s="40">
        <f>(AR386-AR387)*$H$39</f>
        <v/>
      </c>
      <c r="AS389" s="40">
        <f>(AS386-AS387)*$H$39</f>
        <v/>
      </c>
      <c r="AT389" s="40">
        <f>(AT386-AT387)*$H$39</f>
        <v/>
      </c>
      <c r="AU389" s="40">
        <f>(AU386-AU387)*$H$39</f>
        <v/>
      </c>
      <c r="AV389" s="40">
        <f>(AV386-AV387)*$H$39</f>
        <v/>
      </c>
      <c r="AW389" s="40">
        <f>(AW386-AW387)*$H$39</f>
        <v/>
      </c>
      <c r="AX389" s="40">
        <f>(AX386-AX387)*$H$39</f>
        <v/>
      </c>
      <c r="AY389" s="40">
        <f>(AY386-AY387)*$H$39</f>
        <v/>
      </c>
      <c r="AZ389" s="40">
        <f>(AZ386-AZ387)*$H$39</f>
        <v/>
      </c>
      <c r="BA389" s="40">
        <f>(BA386-BA387)*$H$39</f>
        <v/>
      </c>
      <c r="BB389" s="40">
        <f>(BB386-BB387)*$H$39</f>
        <v/>
      </c>
      <c r="BC389" s="40">
        <f>(BC386-BC387)*$H$39</f>
        <v/>
      </c>
      <c r="BD389" s="40">
        <f>(BD386-BD387)*$H$39</f>
        <v/>
      </c>
    </row>
    <row r="390">
      <c r="A390" s="33" t="inlineStr">
        <is>
          <t xml:space="preserve">   leaves the store (offered - returned)</t>
        </is>
      </c>
      <c r="B390" s="2" t="inlineStr">
        <is>
          <t>lb</t>
        </is>
      </c>
      <c r="E390" s="40">
        <f>E386-E389</f>
        <v/>
      </c>
      <c r="F390" s="40">
        <f>F386-F389</f>
        <v/>
      </c>
      <c r="G390" s="40">
        <f>G386-G389</f>
        <v/>
      </c>
      <c r="H390" s="40">
        <f>H386-H389</f>
        <v/>
      </c>
      <c r="I390" s="40">
        <f>I386-I389</f>
        <v/>
      </c>
      <c r="J390" s="40">
        <f>J386-J389</f>
        <v/>
      </c>
      <c r="K390" s="40">
        <f>K386-K389</f>
        <v/>
      </c>
      <c r="L390" s="40">
        <f>L386-L389</f>
        <v/>
      </c>
      <c r="M390" s="40">
        <f>M386-M389</f>
        <v/>
      </c>
      <c r="N390" s="40">
        <f>N386-N389</f>
        <v/>
      </c>
      <c r="O390" s="40">
        <f>O386-O389</f>
        <v/>
      </c>
      <c r="P390" s="40">
        <f>P386-P389</f>
        <v/>
      </c>
      <c r="Q390" s="40">
        <f>Q386-Q389</f>
        <v/>
      </c>
      <c r="R390" s="40">
        <f>R386-R389</f>
        <v/>
      </c>
      <c r="S390" s="40">
        <f>S386-S389</f>
        <v/>
      </c>
      <c r="T390" s="40">
        <f>T386-T389</f>
        <v/>
      </c>
      <c r="U390" s="40">
        <f>U386-U389</f>
        <v/>
      </c>
      <c r="V390" s="40">
        <f>V386-V389</f>
        <v/>
      </c>
      <c r="W390" s="40">
        <f>W386-W389</f>
        <v/>
      </c>
      <c r="X390" s="40">
        <f>X386-X389</f>
        <v/>
      </c>
      <c r="Y390" s="40">
        <f>Y386-Y389</f>
        <v/>
      </c>
      <c r="Z390" s="40">
        <f>Z386-Z389</f>
        <v/>
      </c>
      <c r="AA390" s="40">
        <f>AA386-AA389</f>
        <v/>
      </c>
      <c r="AB390" s="40">
        <f>AB386-AB389</f>
        <v/>
      </c>
      <c r="AC390" s="40">
        <f>AC386-AC389</f>
        <v/>
      </c>
      <c r="AD390" s="40">
        <f>AD386-AD389</f>
        <v/>
      </c>
      <c r="AE390" s="40">
        <f>AE386-AE389</f>
        <v/>
      </c>
      <c r="AF390" s="40">
        <f>AF386-AF389</f>
        <v/>
      </c>
      <c r="AG390" s="40">
        <f>AG386-AG389</f>
        <v/>
      </c>
      <c r="AH390" s="40">
        <f>AH386-AH389</f>
        <v/>
      </c>
      <c r="AI390" s="40">
        <f>AI386-AI389</f>
        <v/>
      </c>
      <c r="AJ390" s="40">
        <f>AJ386-AJ389</f>
        <v/>
      </c>
      <c r="AK390" s="40">
        <f>AK386-AK389</f>
        <v/>
      </c>
      <c r="AL390" s="40">
        <f>AL386-AL389</f>
        <v/>
      </c>
      <c r="AM390" s="40">
        <f>AM386-AM389</f>
        <v/>
      </c>
      <c r="AN390" s="40">
        <f>AN386-AN389</f>
        <v/>
      </c>
      <c r="AO390" s="40">
        <f>AO386-AO389</f>
        <v/>
      </c>
      <c r="AP390" s="40">
        <f>AP386-AP389</f>
        <v/>
      </c>
      <c r="AQ390" s="40">
        <f>AQ386-AQ389</f>
        <v/>
      </c>
      <c r="AR390" s="40">
        <f>AR386-AR389</f>
        <v/>
      </c>
      <c r="AS390" s="40">
        <f>AS386-AS389</f>
        <v/>
      </c>
      <c r="AT390" s="40">
        <f>AT386-AT389</f>
        <v/>
      </c>
      <c r="AU390" s="40">
        <f>AU386-AU389</f>
        <v/>
      </c>
      <c r="AV390" s="40">
        <f>AV386-AV389</f>
        <v/>
      </c>
      <c r="AW390" s="40">
        <f>AW386-AW389</f>
        <v/>
      </c>
      <c r="AX390" s="40">
        <f>AX386-AX389</f>
        <v/>
      </c>
      <c r="AY390" s="40">
        <f>AY386-AY389</f>
        <v/>
      </c>
      <c r="AZ390" s="40">
        <f>AZ386-AZ389</f>
        <v/>
      </c>
      <c r="BA390" s="40">
        <f>BA386-BA389</f>
        <v/>
      </c>
      <c r="BB390" s="40">
        <f>BB386-BB389</f>
        <v/>
      </c>
      <c r="BC390" s="40">
        <f>BC386-BC389</f>
        <v/>
      </c>
      <c r="BD390" s="40">
        <f>BD386-BD389</f>
        <v/>
      </c>
    </row>
    <row r="391">
      <c r="A391" s="43" t="inlineStr">
        <is>
          <t>Wholesale — most you may sell this week</t>
        </is>
      </c>
      <c r="B391" s="2" t="inlineStr">
        <is>
          <t>lb</t>
        </is>
      </c>
      <c r="E391" s="42">
        <f>IF($C$40="Annual",$D$40-0,IF(AND(1&gt;=$E$40,1&lt;=$F$40),$D$40,0))</f>
        <v/>
      </c>
      <c r="F391" s="42">
        <f>IF($C$40="Annual",$D$40-SUM(E393:E393),IF(AND(2&gt;=$E$40,2&lt;=$F$40),$D$40,0))</f>
        <v/>
      </c>
      <c r="G391" s="42">
        <f>IF($C$40="Annual",$D$40-SUM(E393:F393),IF(AND(3&gt;=$E$40,3&lt;=$F$40),$D$40,0))</f>
        <v/>
      </c>
      <c r="H391" s="42">
        <f>IF($C$40="Annual",$D$40-SUM(E393:G393),IF(AND(4&gt;=$E$40,4&lt;=$F$40),$D$40,0))</f>
        <v/>
      </c>
      <c r="I391" s="42">
        <f>IF($C$40="Annual",$D$40-SUM(E393:H393),IF(AND(5&gt;=$E$40,5&lt;=$F$40),$D$40,0))</f>
        <v/>
      </c>
      <c r="J391" s="42">
        <f>IF($C$40="Annual",$D$40-SUM(E393:I393),IF(AND(6&gt;=$E$40,6&lt;=$F$40),$D$40,0))</f>
        <v/>
      </c>
      <c r="K391" s="42">
        <f>IF($C$40="Annual",$D$40-SUM(E393:J393),IF(AND(7&gt;=$E$40,7&lt;=$F$40),$D$40,0))</f>
        <v/>
      </c>
      <c r="L391" s="42">
        <f>IF($C$40="Annual",$D$40-SUM(E393:K393),IF(AND(8&gt;=$E$40,8&lt;=$F$40),$D$40,0))</f>
        <v/>
      </c>
      <c r="M391" s="42">
        <f>IF($C$40="Annual",$D$40-SUM(E393:L393),IF(AND(9&gt;=$E$40,9&lt;=$F$40),$D$40,0))</f>
        <v/>
      </c>
      <c r="N391" s="42">
        <f>IF($C$40="Annual",$D$40-SUM(E393:M393),IF(AND(10&gt;=$E$40,10&lt;=$F$40),$D$40,0))</f>
        <v/>
      </c>
      <c r="O391" s="42">
        <f>IF($C$40="Annual",$D$40-SUM(E393:N393),IF(AND(11&gt;=$E$40,11&lt;=$F$40),$D$40,0))</f>
        <v/>
      </c>
      <c r="P391" s="42">
        <f>IF($C$40="Annual",$D$40-SUM(E393:O393),IF(AND(12&gt;=$E$40,12&lt;=$F$40),$D$40,0))</f>
        <v/>
      </c>
      <c r="Q391" s="42">
        <f>IF($C$40="Annual",$D$40-SUM(E393:P393),IF(AND(13&gt;=$E$40,13&lt;=$F$40),$D$40,0))</f>
        <v/>
      </c>
      <c r="R391" s="42">
        <f>IF($C$40="Annual",$D$40-SUM(E393:Q393),IF(AND(14&gt;=$E$40,14&lt;=$F$40),$D$40,0))</f>
        <v/>
      </c>
      <c r="S391" s="42">
        <f>IF($C$40="Annual",$D$40-SUM(E393:R393),IF(AND(15&gt;=$E$40,15&lt;=$F$40),$D$40,0))</f>
        <v/>
      </c>
      <c r="T391" s="42">
        <f>IF($C$40="Annual",$D$40-SUM(E393:S393),IF(AND(16&gt;=$E$40,16&lt;=$F$40),$D$40,0))</f>
        <v/>
      </c>
      <c r="U391" s="42">
        <f>IF($C$40="Annual",$D$40-SUM(E393:T393),IF(AND(17&gt;=$E$40,17&lt;=$F$40),$D$40,0))</f>
        <v/>
      </c>
      <c r="V391" s="42">
        <f>IF($C$40="Annual",$D$40-SUM(E393:U393),IF(AND(18&gt;=$E$40,18&lt;=$F$40),$D$40,0))</f>
        <v/>
      </c>
      <c r="W391" s="42">
        <f>IF($C$40="Annual",$D$40-SUM(E393:V393),IF(AND(19&gt;=$E$40,19&lt;=$F$40),$D$40,0))</f>
        <v/>
      </c>
      <c r="X391" s="42">
        <f>IF($C$40="Annual",$D$40-SUM(E393:W393),IF(AND(20&gt;=$E$40,20&lt;=$F$40),$D$40,0))</f>
        <v/>
      </c>
      <c r="Y391" s="42">
        <f>IF($C$40="Annual",$D$40-SUM(E393:X393),IF(AND(21&gt;=$E$40,21&lt;=$F$40),$D$40,0))</f>
        <v/>
      </c>
      <c r="Z391" s="42">
        <f>IF($C$40="Annual",$D$40-SUM(E393:Y393),IF(AND(22&gt;=$E$40,22&lt;=$F$40),$D$40,0))</f>
        <v/>
      </c>
      <c r="AA391" s="42">
        <f>IF($C$40="Annual",$D$40-SUM(E393:Z393),IF(AND(23&gt;=$E$40,23&lt;=$F$40),$D$40,0))</f>
        <v/>
      </c>
      <c r="AB391" s="42">
        <f>IF($C$40="Annual",$D$40-SUM(E393:AA393),IF(AND(24&gt;=$E$40,24&lt;=$F$40),$D$40,0))</f>
        <v/>
      </c>
      <c r="AC391" s="42">
        <f>IF($C$40="Annual",$D$40-SUM(E393:AB393),IF(AND(25&gt;=$E$40,25&lt;=$F$40),$D$40,0))</f>
        <v/>
      </c>
      <c r="AD391" s="42">
        <f>IF($C$40="Annual",$D$40-SUM(E393:AC393),IF(AND(26&gt;=$E$40,26&lt;=$F$40),$D$40,0))</f>
        <v/>
      </c>
      <c r="AE391" s="42">
        <f>IF($C$40="Annual",$D$40-SUM(E393:AD393),IF(AND(27&gt;=$E$40,27&lt;=$F$40),$D$40,0))</f>
        <v/>
      </c>
      <c r="AF391" s="42">
        <f>IF($C$40="Annual",$D$40-SUM(E393:AE393),IF(AND(28&gt;=$E$40,28&lt;=$F$40),$D$40,0))</f>
        <v/>
      </c>
      <c r="AG391" s="42">
        <f>IF($C$40="Annual",$D$40-SUM(E393:AF393),IF(AND(29&gt;=$E$40,29&lt;=$F$40),$D$40,0))</f>
        <v/>
      </c>
      <c r="AH391" s="42">
        <f>IF($C$40="Annual",$D$40-SUM(E393:AG393),IF(AND(30&gt;=$E$40,30&lt;=$F$40),$D$40,0))</f>
        <v/>
      </c>
      <c r="AI391" s="42">
        <f>IF($C$40="Annual",$D$40-SUM(E393:AH393),IF(AND(31&gt;=$E$40,31&lt;=$F$40),$D$40,0))</f>
        <v/>
      </c>
      <c r="AJ391" s="42">
        <f>IF($C$40="Annual",$D$40-SUM(E393:AI393),IF(AND(32&gt;=$E$40,32&lt;=$F$40),$D$40,0))</f>
        <v/>
      </c>
      <c r="AK391" s="42">
        <f>IF($C$40="Annual",$D$40-SUM(E393:AJ393),IF(AND(33&gt;=$E$40,33&lt;=$F$40),$D$40,0))</f>
        <v/>
      </c>
      <c r="AL391" s="42">
        <f>IF($C$40="Annual",$D$40-SUM(E393:AK393),IF(AND(34&gt;=$E$40,34&lt;=$F$40),$D$40,0))</f>
        <v/>
      </c>
      <c r="AM391" s="42">
        <f>IF($C$40="Annual",$D$40-SUM(E393:AL393),IF(AND(35&gt;=$E$40,35&lt;=$F$40),$D$40,0))</f>
        <v/>
      </c>
      <c r="AN391" s="42">
        <f>IF($C$40="Annual",$D$40-SUM(E393:AM393),IF(AND(36&gt;=$E$40,36&lt;=$F$40),$D$40,0))</f>
        <v/>
      </c>
      <c r="AO391" s="42">
        <f>IF($C$40="Annual",$D$40-SUM(E393:AN393),IF(AND(37&gt;=$E$40,37&lt;=$F$40),$D$40,0))</f>
        <v/>
      </c>
      <c r="AP391" s="42">
        <f>IF($C$40="Annual",$D$40-SUM(E393:AO393),IF(AND(38&gt;=$E$40,38&lt;=$F$40),$D$40,0))</f>
        <v/>
      </c>
      <c r="AQ391" s="42">
        <f>IF($C$40="Annual",$D$40-SUM(E393:AP393),IF(AND(39&gt;=$E$40,39&lt;=$F$40),$D$40,0))</f>
        <v/>
      </c>
      <c r="AR391" s="42">
        <f>IF($C$40="Annual",$D$40-SUM(E393:AQ393),IF(AND(40&gt;=$E$40,40&lt;=$F$40),$D$40,0))</f>
        <v/>
      </c>
      <c r="AS391" s="42">
        <f>IF($C$40="Annual",$D$40-SUM(E393:AR393),IF(AND(41&gt;=$E$40,41&lt;=$F$40),$D$40,0))</f>
        <v/>
      </c>
      <c r="AT391" s="42">
        <f>IF($C$40="Annual",$D$40-SUM(E393:AS393),IF(AND(42&gt;=$E$40,42&lt;=$F$40),$D$40,0))</f>
        <v/>
      </c>
      <c r="AU391" s="42">
        <f>IF($C$40="Annual",$D$40-SUM(E393:AT393),IF(AND(43&gt;=$E$40,43&lt;=$F$40),$D$40,0))</f>
        <v/>
      </c>
      <c r="AV391" s="42">
        <f>IF($C$40="Annual",$D$40-SUM(E393:AU393),IF(AND(44&gt;=$E$40,44&lt;=$F$40),$D$40,0))</f>
        <v/>
      </c>
      <c r="AW391" s="42">
        <f>IF($C$40="Annual",$D$40-SUM(E393:AV393),IF(AND(45&gt;=$E$40,45&lt;=$F$40),$D$40,0))</f>
        <v/>
      </c>
      <c r="AX391" s="42">
        <f>IF($C$40="Annual",$D$40-SUM(E393:AW393),IF(AND(46&gt;=$E$40,46&lt;=$F$40),$D$40,0))</f>
        <v/>
      </c>
      <c r="AY391" s="42">
        <f>IF($C$40="Annual",$D$40-SUM(E393:AX393),IF(AND(47&gt;=$E$40,47&lt;=$F$40),$D$40,0))</f>
        <v/>
      </c>
      <c r="AZ391" s="42">
        <f>IF($C$40="Annual",$D$40-SUM(E393:AY393),IF(AND(48&gt;=$E$40,48&lt;=$F$40),$D$40,0))</f>
        <v/>
      </c>
      <c r="BA391" s="42">
        <f>IF($C$40="Annual",$D$40-SUM(E393:AZ393),IF(AND(49&gt;=$E$40,49&lt;=$F$40),$D$40,0))</f>
        <v/>
      </c>
      <c r="BB391" s="42">
        <f>IF($C$40="Annual",$D$40-SUM(E393:BA393),IF(AND(50&gt;=$E$40,50&lt;=$F$40),$D$40,0))</f>
        <v/>
      </c>
      <c r="BC391" s="42">
        <f>IF($C$40="Annual",$D$40-SUM(E393:BB393),IF(AND(51&gt;=$E$40,51&lt;=$F$40),$D$40,0))</f>
        <v/>
      </c>
      <c r="BD391" s="42">
        <f>IF($C$40="Annual",$D$40-SUM(E393:BC393),IF(AND(52&gt;=$E$40,52&lt;=$F$40),$D$40,0))</f>
        <v/>
      </c>
    </row>
    <row r="392">
      <c r="A392" s="32" t="inlineStr">
        <is>
          <t>Wholesale — OFFERED</t>
        </is>
      </c>
      <c r="B392" s="2" t="inlineStr">
        <is>
          <t>lb  &lt;-- SOLVER</t>
        </is>
      </c>
      <c r="E392" s="39" t="n">
        <v>0</v>
      </c>
      <c r="F392" s="39" t="n">
        <v>0</v>
      </c>
      <c r="G392" s="39" t="n">
        <v>0</v>
      </c>
      <c r="H392" s="39" t="n">
        <v>0</v>
      </c>
      <c r="I392" s="39" t="n">
        <v>0</v>
      </c>
      <c r="J392" s="39" t="n">
        <v>0</v>
      </c>
      <c r="K392" s="39" t="n">
        <v>0</v>
      </c>
      <c r="L392" s="39" t="n">
        <v>0</v>
      </c>
      <c r="M392" s="39" t="n">
        <v>0</v>
      </c>
      <c r="N392" s="39" t="n">
        <v>0</v>
      </c>
      <c r="O392" s="39" t="n">
        <v>0</v>
      </c>
      <c r="P392" s="39" t="n">
        <v>0</v>
      </c>
      <c r="Q392" s="39" t="n">
        <v>0</v>
      </c>
      <c r="R392" s="39" t="n">
        <v>0</v>
      </c>
      <c r="S392" s="39" t="n">
        <v>0</v>
      </c>
      <c r="T392" s="39" t="n">
        <v>0</v>
      </c>
      <c r="U392" s="39" t="n">
        <v>0</v>
      </c>
      <c r="V392" s="39" t="n">
        <v>0</v>
      </c>
      <c r="W392" s="39" t="n">
        <v>0</v>
      </c>
      <c r="X392" s="39" t="n">
        <v>0</v>
      </c>
      <c r="Y392" s="39" t="n">
        <v>0</v>
      </c>
      <c r="Z392" s="39" t="n">
        <v>0</v>
      </c>
      <c r="AA392" s="39" t="n">
        <v>0</v>
      </c>
      <c r="AB392" s="39" t="n">
        <v>0</v>
      </c>
      <c r="AC392" s="39" t="n">
        <v>0</v>
      </c>
      <c r="AD392" s="39" t="n">
        <v>0</v>
      </c>
      <c r="AE392" s="39" t="n">
        <v>0</v>
      </c>
      <c r="AF392" s="39" t="n">
        <v>0</v>
      </c>
      <c r="AG392" s="39" t="n">
        <v>0</v>
      </c>
      <c r="AH392" s="39" t="n">
        <v>0</v>
      </c>
      <c r="AI392" s="39" t="n">
        <v>0</v>
      </c>
      <c r="AJ392" s="39" t="n">
        <v>0</v>
      </c>
      <c r="AK392" s="39" t="n">
        <v>0</v>
      </c>
      <c r="AL392" s="39" t="n">
        <v>0</v>
      </c>
      <c r="AM392" s="39" t="n">
        <v>0</v>
      </c>
      <c r="AN392" s="39" t="n">
        <v>0</v>
      </c>
      <c r="AO392" s="39" t="n">
        <v>0</v>
      </c>
      <c r="AP392" s="39" t="n">
        <v>0</v>
      </c>
      <c r="AQ392" s="39" t="n">
        <v>0</v>
      </c>
      <c r="AR392" s="39" t="n">
        <v>0</v>
      </c>
      <c r="AS392" s="39" t="n">
        <v>0</v>
      </c>
      <c r="AT392" s="39" t="n">
        <v>0</v>
      </c>
      <c r="AU392" s="39" t="n">
        <v>0</v>
      </c>
      <c r="AV392" s="39" t="n">
        <v>0</v>
      </c>
      <c r="AW392" s="39" t="n">
        <v>0</v>
      </c>
      <c r="AX392" s="39" t="n">
        <v>0</v>
      </c>
      <c r="AY392" s="39" t="n">
        <v>0</v>
      </c>
      <c r="AZ392" s="39" t="n">
        <v>0</v>
      </c>
      <c r="BA392" s="39" t="n">
        <v>0</v>
      </c>
      <c r="BB392" s="39" t="n">
        <v>0</v>
      </c>
      <c r="BC392" s="39" t="n">
        <v>0</v>
      </c>
      <c r="BD392" s="39" t="n">
        <v>0</v>
      </c>
    </row>
    <row r="393">
      <c r="A393" s="56" t="inlineStr">
        <is>
          <t>Wholesale — SOLD</t>
        </is>
      </c>
      <c r="B393" s="2" t="inlineStr">
        <is>
          <t>lb</t>
        </is>
      </c>
      <c r="E393" s="57">
        <f>E392*$G$40</f>
        <v/>
      </c>
      <c r="F393" s="57">
        <f>F392*$G$40</f>
        <v/>
      </c>
      <c r="G393" s="57">
        <f>G392*$G$40</f>
        <v/>
      </c>
      <c r="H393" s="57">
        <f>H392*$G$40</f>
        <v/>
      </c>
      <c r="I393" s="57">
        <f>I392*$G$40</f>
        <v/>
      </c>
      <c r="J393" s="57">
        <f>J392*$G$40</f>
        <v/>
      </c>
      <c r="K393" s="57">
        <f>K392*$G$40</f>
        <v/>
      </c>
      <c r="L393" s="57">
        <f>L392*$G$40</f>
        <v/>
      </c>
      <c r="M393" s="57">
        <f>M392*$G$40</f>
        <v/>
      </c>
      <c r="N393" s="57">
        <f>N392*$G$40</f>
        <v/>
      </c>
      <c r="O393" s="57">
        <f>O392*$G$40</f>
        <v/>
      </c>
      <c r="P393" s="57">
        <f>P392*$G$40</f>
        <v/>
      </c>
      <c r="Q393" s="57">
        <f>Q392*$G$40</f>
        <v/>
      </c>
      <c r="R393" s="57">
        <f>R392*$G$40</f>
        <v/>
      </c>
      <c r="S393" s="57">
        <f>S392*$G$40</f>
        <v/>
      </c>
      <c r="T393" s="57">
        <f>T392*$G$40</f>
        <v/>
      </c>
      <c r="U393" s="57">
        <f>U392*$G$40</f>
        <v/>
      </c>
      <c r="V393" s="57">
        <f>V392*$G$40</f>
        <v/>
      </c>
      <c r="W393" s="57">
        <f>W392*$G$40</f>
        <v/>
      </c>
      <c r="X393" s="57">
        <f>X392*$G$40</f>
        <v/>
      </c>
      <c r="Y393" s="57">
        <f>Y392*$G$40</f>
        <v/>
      </c>
      <c r="Z393" s="57">
        <f>Z392*$G$40</f>
        <v/>
      </c>
      <c r="AA393" s="57">
        <f>AA392*$G$40</f>
        <v/>
      </c>
      <c r="AB393" s="57">
        <f>AB392*$G$40</f>
        <v/>
      </c>
      <c r="AC393" s="57">
        <f>AC392*$G$40</f>
        <v/>
      </c>
      <c r="AD393" s="57">
        <f>AD392*$G$40</f>
        <v/>
      </c>
      <c r="AE393" s="57">
        <f>AE392*$G$40</f>
        <v/>
      </c>
      <c r="AF393" s="57">
        <f>AF392*$G$40</f>
        <v/>
      </c>
      <c r="AG393" s="57">
        <f>AG392*$G$40</f>
        <v/>
      </c>
      <c r="AH393" s="57">
        <f>AH392*$G$40</f>
        <v/>
      </c>
      <c r="AI393" s="57">
        <f>AI392*$G$40</f>
        <v/>
      </c>
      <c r="AJ393" s="57">
        <f>AJ392*$G$40</f>
        <v/>
      </c>
      <c r="AK393" s="57">
        <f>AK392*$G$40</f>
        <v/>
      </c>
      <c r="AL393" s="57">
        <f>AL392*$G$40</f>
        <v/>
      </c>
      <c r="AM393" s="57">
        <f>AM392*$G$40</f>
        <v/>
      </c>
      <c r="AN393" s="57">
        <f>AN392*$G$40</f>
        <v/>
      </c>
      <c r="AO393" s="57">
        <f>AO392*$G$40</f>
        <v/>
      </c>
      <c r="AP393" s="57">
        <f>AP392*$G$40</f>
        <v/>
      </c>
      <c r="AQ393" s="57">
        <f>AQ392*$G$40</f>
        <v/>
      </c>
      <c r="AR393" s="57">
        <f>AR392*$G$40</f>
        <v/>
      </c>
      <c r="AS393" s="57">
        <f>AS392*$G$40</f>
        <v/>
      </c>
      <c r="AT393" s="57">
        <f>AT392*$G$40</f>
        <v/>
      </c>
      <c r="AU393" s="57">
        <f>AU392*$G$40</f>
        <v/>
      </c>
      <c r="AV393" s="57">
        <f>AV392*$G$40</f>
        <v/>
      </c>
      <c r="AW393" s="57">
        <f>AW392*$G$40</f>
        <v/>
      </c>
      <c r="AX393" s="57">
        <f>AX392*$G$40</f>
        <v/>
      </c>
      <c r="AY393" s="57">
        <f>AY392*$G$40</f>
        <v/>
      </c>
      <c r="AZ393" s="57">
        <f>AZ392*$G$40</f>
        <v/>
      </c>
      <c r="BA393" s="57">
        <f>BA392*$G$40</f>
        <v/>
      </c>
      <c r="BB393" s="57">
        <f>BB392*$G$40</f>
        <v/>
      </c>
      <c r="BC393" s="57">
        <f>BC392*$G$40</f>
        <v/>
      </c>
      <c r="BD393" s="57">
        <f>BD392*$G$40</f>
        <v/>
      </c>
    </row>
    <row r="394">
      <c r="A394" s="33" t="inlineStr">
        <is>
          <t xml:space="preserve">   market loss (gone)</t>
        </is>
      </c>
      <c r="B394" s="2" t="inlineStr">
        <is>
          <t>lb</t>
        </is>
      </c>
      <c r="E394" s="40">
        <f>(E392-E393)*(1-$H$40)</f>
        <v/>
      </c>
      <c r="F394" s="40">
        <f>(F392-F393)*(1-$H$40)</f>
        <v/>
      </c>
      <c r="G394" s="40">
        <f>(G392-G393)*(1-$H$40)</f>
        <v/>
      </c>
      <c r="H394" s="40">
        <f>(H392-H393)*(1-$H$40)</f>
        <v/>
      </c>
      <c r="I394" s="40">
        <f>(I392-I393)*(1-$H$40)</f>
        <v/>
      </c>
      <c r="J394" s="40">
        <f>(J392-J393)*(1-$H$40)</f>
        <v/>
      </c>
      <c r="K394" s="40">
        <f>(K392-K393)*(1-$H$40)</f>
        <v/>
      </c>
      <c r="L394" s="40">
        <f>(L392-L393)*(1-$H$40)</f>
        <v/>
      </c>
      <c r="M394" s="40">
        <f>(M392-M393)*(1-$H$40)</f>
        <v/>
      </c>
      <c r="N394" s="40">
        <f>(N392-N393)*(1-$H$40)</f>
        <v/>
      </c>
      <c r="O394" s="40">
        <f>(O392-O393)*(1-$H$40)</f>
        <v/>
      </c>
      <c r="P394" s="40">
        <f>(P392-P393)*(1-$H$40)</f>
        <v/>
      </c>
      <c r="Q394" s="40">
        <f>(Q392-Q393)*(1-$H$40)</f>
        <v/>
      </c>
      <c r="R394" s="40">
        <f>(R392-R393)*(1-$H$40)</f>
        <v/>
      </c>
      <c r="S394" s="40">
        <f>(S392-S393)*(1-$H$40)</f>
        <v/>
      </c>
      <c r="T394" s="40">
        <f>(T392-T393)*(1-$H$40)</f>
        <v/>
      </c>
      <c r="U394" s="40">
        <f>(U392-U393)*(1-$H$40)</f>
        <v/>
      </c>
      <c r="V394" s="40">
        <f>(V392-V393)*(1-$H$40)</f>
        <v/>
      </c>
      <c r="W394" s="40">
        <f>(W392-W393)*(1-$H$40)</f>
        <v/>
      </c>
      <c r="X394" s="40">
        <f>(X392-X393)*(1-$H$40)</f>
        <v/>
      </c>
      <c r="Y394" s="40">
        <f>(Y392-Y393)*(1-$H$40)</f>
        <v/>
      </c>
      <c r="Z394" s="40">
        <f>(Z392-Z393)*(1-$H$40)</f>
        <v/>
      </c>
      <c r="AA394" s="40">
        <f>(AA392-AA393)*(1-$H$40)</f>
        <v/>
      </c>
      <c r="AB394" s="40">
        <f>(AB392-AB393)*(1-$H$40)</f>
        <v/>
      </c>
      <c r="AC394" s="40">
        <f>(AC392-AC393)*(1-$H$40)</f>
        <v/>
      </c>
      <c r="AD394" s="40">
        <f>(AD392-AD393)*(1-$H$40)</f>
        <v/>
      </c>
      <c r="AE394" s="40">
        <f>(AE392-AE393)*(1-$H$40)</f>
        <v/>
      </c>
      <c r="AF394" s="40">
        <f>(AF392-AF393)*(1-$H$40)</f>
        <v/>
      </c>
      <c r="AG394" s="40">
        <f>(AG392-AG393)*(1-$H$40)</f>
        <v/>
      </c>
      <c r="AH394" s="40">
        <f>(AH392-AH393)*(1-$H$40)</f>
        <v/>
      </c>
      <c r="AI394" s="40">
        <f>(AI392-AI393)*(1-$H$40)</f>
        <v/>
      </c>
      <c r="AJ394" s="40">
        <f>(AJ392-AJ393)*(1-$H$40)</f>
        <v/>
      </c>
      <c r="AK394" s="40">
        <f>(AK392-AK393)*(1-$H$40)</f>
        <v/>
      </c>
      <c r="AL394" s="40">
        <f>(AL392-AL393)*(1-$H$40)</f>
        <v/>
      </c>
      <c r="AM394" s="40">
        <f>(AM392-AM393)*(1-$H$40)</f>
        <v/>
      </c>
      <c r="AN394" s="40">
        <f>(AN392-AN393)*(1-$H$40)</f>
        <v/>
      </c>
      <c r="AO394" s="40">
        <f>(AO392-AO393)*(1-$H$40)</f>
        <v/>
      </c>
      <c r="AP394" s="40">
        <f>(AP392-AP393)*(1-$H$40)</f>
        <v/>
      </c>
      <c r="AQ394" s="40">
        <f>(AQ392-AQ393)*(1-$H$40)</f>
        <v/>
      </c>
      <c r="AR394" s="40">
        <f>(AR392-AR393)*(1-$H$40)</f>
        <v/>
      </c>
      <c r="AS394" s="40">
        <f>(AS392-AS393)*(1-$H$40)</f>
        <v/>
      </c>
      <c r="AT394" s="40">
        <f>(AT392-AT393)*(1-$H$40)</f>
        <v/>
      </c>
      <c r="AU394" s="40">
        <f>(AU392-AU393)*(1-$H$40)</f>
        <v/>
      </c>
      <c r="AV394" s="40">
        <f>(AV392-AV393)*(1-$H$40)</f>
        <v/>
      </c>
      <c r="AW394" s="40">
        <f>(AW392-AW393)*(1-$H$40)</f>
        <v/>
      </c>
      <c r="AX394" s="40">
        <f>(AX392-AX393)*(1-$H$40)</f>
        <v/>
      </c>
      <c r="AY394" s="40">
        <f>(AY392-AY393)*(1-$H$40)</f>
        <v/>
      </c>
      <c r="AZ394" s="40">
        <f>(AZ392-AZ393)*(1-$H$40)</f>
        <v/>
      </c>
      <c r="BA394" s="40">
        <f>(BA392-BA393)*(1-$H$40)</f>
        <v/>
      </c>
      <c r="BB394" s="40">
        <f>(BB392-BB393)*(1-$H$40)</f>
        <v/>
      </c>
      <c r="BC394" s="40">
        <f>(BC392-BC393)*(1-$H$40)</f>
        <v/>
      </c>
      <c r="BD394" s="40">
        <f>(BD392-BD393)*(1-$H$40)</f>
        <v/>
      </c>
    </row>
    <row r="395">
      <c r="A395" s="33" t="inlineStr">
        <is>
          <t xml:space="preserve">   returned to store</t>
        </is>
      </c>
      <c r="B395" s="2" t="inlineStr">
        <is>
          <t>lb</t>
        </is>
      </c>
      <c r="E395" s="40">
        <f>(E392-E393)*$H$40</f>
        <v/>
      </c>
      <c r="F395" s="40">
        <f>(F392-F393)*$H$40</f>
        <v/>
      </c>
      <c r="G395" s="40">
        <f>(G392-G393)*$H$40</f>
        <v/>
      </c>
      <c r="H395" s="40">
        <f>(H392-H393)*$H$40</f>
        <v/>
      </c>
      <c r="I395" s="40">
        <f>(I392-I393)*$H$40</f>
        <v/>
      </c>
      <c r="J395" s="40">
        <f>(J392-J393)*$H$40</f>
        <v/>
      </c>
      <c r="K395" s="40">
        <f>(K392-K393)*$H$40</f>
        <v/>
      </c>
      <c r="L395" s="40">
        <f>(L392-L393)*$H$40</f>
        <v/>
      </c>
      <c r="M395" s="40">
        <f>(M392-M393)*$H$40</f>
        <v/>
      </c>
      <c r="N395" s="40">
        <f>(N392-N393)*$H$40</f>
        <v/>
      </c>
      <c r="O395" s="40">
        <f>(O392-O393)*$H$40</f>
        <v/>
      </c>
      <c r="P395" s="40">
        <f>(P392-P393)*$H$40</f>
        <v/>
      </c>
      <c r="Q395" s="40">
        <f>(Q392-Q393)*$H$40</f>
        <v/>
      </c>
      <c r="R395" s="40">
        <f>(R392-R393)*$H$40</f>
        <v/>
      </c>
      <c r="S395" s="40">
        <f>(S392-S393)*$H$40</f>
        <v/>
      </c>
      <c r="T395" s="40">
        <f>(T392-T393)*$H$40</f>
        <v/>
      </c>
      <c r="U395" s="40">
        <f>(U392-U393)*$H$40</f>
        <v/>
      </c>
      <c r="V395" s="40">
        <f>(V392-V393)*$H$40</f>
        <v/>
      </c>
      <c r="W395" s="40">
        <f>(W392-W393)*$H$40</f>
        <v/>
      </c>
      <c r="X395" s="40">
        <f>(X392-X393)*$H$40</f>
        <v/>
      </c>
      <c r="Y395" s="40">
        <f>(Y392-Y393)*$H$40</f>
        <v/>
      </c>
      <c r="Z395" s="40">
        <f>(Z392-Z393)*$H$40</f>
        <v/>
      </c>
      <c r="AA395" s="40">
        <f>(AA392-AA393)*$H$40</f>
        <v/>
      </c>
      <c r="AB395" s="40">
        <f>(AB392-AB393)*$H$40</f>
        <v/>
      </c>
      <c r="AC395" s="40">
        <f>(AC392-AC393)*$H$40</f>
        <v/>
      </c>
      <c r="AD395" s="40">
        <f>(AD392-AD393)*$H$40</f>
        <v/>
      </c>
      <c r="AE395" s="40">
        <f>(AE392-AE393)*$H$40</f>
        <v/>
      </c>
      <c r="AF395" s="40">
        <f>(AF392-AF393)*$H$40</f>
        <v/>
      </c>
      <c r="AG395" s="40">
        <f>(AG392-AG393)*$H$40</f>
        <v/>
      </c>
      <c r="AH395" s="40">
        <f>(AH392-AH393)*$H$40</f>
        <v/>
      </c>
      <c r="AI395" s="40">
        <f>(AI392-AI393)*$H$40</f>
        <v/>
      </c>
      <c r="AJ395" s="40">
        <f>(AJ392-AJ393)*$H$40</f>
        <v/>
      </c>
      <c r="AK395" s="40">
        <f>(AK392-AK393)*$H$40</f>
        <v/>
      </c>
      <c r="AL395" s="40">
        <f>(AL392-AL393)*$H$40</f>
        <v/>
      </c>
      <c r="AM395" s="40">
        <f>(AM392-AM393)*$H$40</f>
        <v/>
      </c>
      <c r="AN395" s="40">
        <f>(AN392-AN393)*$H$40</f>
        <v/>
      </c>
      <c r="AO395" s="40">
        <f>(AO392-AO393)*$H$40</f>
        <v/>
      </c>
      <c r="AP395" s="40">
        <f>(AP392-AP393)*$H$40</f>
        <v/>
      </c>
      <c r="AQ395" s="40">
        <f>(AQ392-AQ393)*$H$40</f>
        <v/>
      </c>
      <c r="AR395" s="40">
        <f>(AR392-AR393)*$H$40</f>
        <v/>
      </c>
      <c r="AS395" s="40">
        <f>(AS392-AS393)*$H$40</f>
        <v/>
      </c>
      <c r="AT395" s="40">
        <f>(AT392-AT393)*$H$40</f>
        <v/>
      </c>
      <c r="AU395" s="40">
        <f>(AU392-AU393)*$H$40</f>
        <v/>
      </c>
      <c r="AV395" s="40">
        <f>(AV392-AV393)*$H$40</f>
        <v/>
      </c>
      <c r="AW395" s="40">
        <f>(AW392-AW393)*$H$40</f>
        <v/>
      </c>
      <c r="AX395" s="40">
        <f>(AX392-AX393)*$H$40</f>
        <v/>
      </c>
      <c r="AY395" s="40">
        <f>(AY392-AY393)*$H$40</f>
        <v/>
      </c>
      <c r="AZ395" s="40">
        <f>(AZ392-AZ393)*$H$40</f>
        <v/>
      </c>
      <c r="BA395" s="40">
        <f>(BA392-BA393)*$H$40</f>
        <v/>
      </c>
      <c r="BB395" s="40">
        <f>(BB392-BB393)*$H$40</f>
        <v/>
      </c>
      <c r="BC395" s="40">
        <f>(BC392-BC393)*$H$40</f>
        <v/>
      </c>
      <c r="BD395" s="40">
        <f>(BD392-BD393)*$H$40</f>
        <v/>
      </c>
    </row>
    <row r="396">
      <c r="A396" s="33" t="inlineStr">
        <is>
          <t xml:space="preserve">   leaves the store (offered - returned)</t>
        </is>
      </c>
      <c r="B396" s="2" t="inlineStr">
        <is>
          <t>lb</t>
        </is>
      </c>
      <c r="E396" s="40">
        <f>E392-E395</f>
        <v/>
      </c>
      <c r="F396" s="40">
        <f>F392-F395</f>
        <v/>
      </c>
      <c r="G396" s="40">
        <f>G392-G395</f>
        <v/>
      </c>
      <c r="H396" s="40">
        <f>H392-H395</f>
        <v/>
      </c>
      <c r="I396" s="40">
        <f>I392-I395</f>
        <v/>
      </c>
      <c r="J396" s="40">
        <f>J392-J395</f>
        <v/>
      </c>
      <c r="K396" s="40">
        <f>K392-K395</f>
        <v/>
      </c>
      <c r="L396" s="40">
        <f>L392-L395</f>
        <v/>
      </c>
      <c r="M396" s="40">
        <f>M392-M395</f>
        <v/>
      </c>
      <c r="N396" s="40">
        <f>N392-N395</f>
        <v/>
      </c>
      <c r="O396" s="40">
        <f>O392-O395</f>
        <v/>
      </c>
      <c r="P396" s="40">
        <f>P392-P395</f>
        <v/>
      </c>
      <c r="Q396" s="40">
        <f>Q392-Q395</f>
        <v/>
      </c>
      <c r="R396" s="40">
        <f>R392-R395</f>
        <v/>
      </c>
      <c r="S396" s="40">
        <f>S392-S395</f>
        <v/>
      </c>
      <c r="T396" s="40">
        <f>T392-T395</f>
        <v/>
      </c>
      <c r="U396" s="40">
        <f>U392-U395</f>
        <v/>
      </c>
      <c r="V396" s="40">
        <f>V392-V395</f>
        <v/>
      </c>
      <c r="W396" s="40">
        <f>W392-W395</f>
        <v/>
      </c>
      <c r="X396" s="40">
        <f>X392-X395</f>
        <v/>
      </c>
      <c r="Y396" s="40">
        <f>Y392-Y395</f>
        <v/>
      </c>
      <c r="Z396" s="40">
        <f>Z392-Z395</f>
        <v/>
      </c>
      <c r="AA396" s="40">
        <f>AA392-AA395</f>
        <v/>
      </c>
      <c r="AB396" s="40">
        <f>AB392-AB395</f>
        <v/>
      </c>
      <c r="AC396" s="40">
        <f>AC392-AC395</f>
        <v/>
      </c>
      <c r="AD396" s="40">
        <f>AD392-AD395</f>
        <v/>
      </c>
      <c r="AE396" s="40">
        <f>AE392-AE395</f>
        <v/>
      </c>
      <c r="AF396" s="40">
        <f>AF392-AF395</f>
        <v/>
      </c>
      <c r="AG396" s="40">
        <f>AG392-AG395</f>
        <v/>
      </c>
      <c r="AH396" s="40">
        <f>AH392-AH395</f>
        <v/>
      </c>
      <c r="AI396" s="40">
        <f>AI392-AI395</f>
        <v/>
      </c>
      <c r="AJ396" s="40">
        <f>AJ392-AJ395</f>
        <v/>
      </c>
      <c r="AK396" s="40">
        <f>AK392-AK395</f>
        <v/>
      </c>
      <c r="AL396" s="40">
        <f>AL392-AL395</f>
        <v/>
      </c>
      <c r="AM396" s="40">
        <f>AM392-AM395</f>
        <v/>
      </c>
      <c r="AN396" s="40">
        <f>AN392-AN395</f>
        <v/>
      </c>
      <c r="AO396" s="40">
        <f>AO392-AO395</f>
        <v/>
      </c>
      <c r="AP396" s="40">
        <f>AP392-AP395</f>
        <v/>
      </c>
      <c r="AQ396" s="40">
        <f>AQ392-AQ395</f>
        <v/>
      </c>
      <c r="AR396" s="40">
        <f>AR392-AR395</f>
        <v/>
      </c>
      <c r="AS396" s="40">
        <f>AS392-AS395</f>
        <v/>
      </c>
      <c r="AT396" s="40">
        <f>AT392-AT395</f>
        <v/>
      </c>
      <c r="AU396" s="40">
        <f>AU392-AU395</f>
        <v/>
      </c>
      <c r="AV396" s="40">
        <f>AV392-AV395</f>
        <v/>
      </c>
      <c r="AW396" s="40">
        <f>AW392-AW395</f>
        <v/>
      </c>
      <c r="AX396" s="40">
        <f>AX392-AX395</f>
        <v/>
      </c>
      <c r="AY396" s="40">
        <f>AY392-AY395</f>
        <v/>
      </c>
      <c r="AZ396" s="40">
        <f>AZ392-AZ395</f>
        <v/>
      </c>
      <c r="BA396" s="40">
        <f>BA392-BA395</f>
        <v/>
      </c>
      <c r="BB396" s="40">
        <f>BB392-BB395</f>
        <v/>
      </c>
      <c r="BC396" s="40">
        <f>BC392-BC395</f>
        <v/>
      </c>
      <c r="BD396" s="40">
        <f>BD392-BD395</f>
        <v/>
      </c>
    </row>
    <row r="397">
      <c r="A397" s="41" t="inlineStr">
        <is>
          <t>Stock carried out</t>
        </is>
      </c>
      <c r="B397" s="2" t="inlineStr">
        <is>
          <t>lb</t>
        </is>
      </c>
      <c r="E397" s="40">
        <f>E384-E390-E396</f>
        <v/>
      </c>
      <c r="F397" s="40">
        <f>F384-F390-F396</f>
        <v/>
      </c>
      <c r="G397" s="40">
        <f>G384-G390-G396</f>
        <v/>
      </c>
      <c r="H397" s="40">
        <f>H384-H390-H396</f>
        <v/>
      </c>
      <c r="I397" s="40">
        <f>I384-I390-I396</f>
        <v/>
      </c>
      <c r="J397" s="40">
        <f>J384-J390-J396</f>
        <v/>
      </c>
      <c r="K397" s="40">
        <f>K384-K390-K396</f>
        <v/>
      </c>
      <c r="L397" s="40">
        <f>L384-L390-L396</f>
        <v/>
      </c>
      <c r="M397" s="40">
        <f>M384-M390-M396</f>
        <v/>
      </c>
      <c r="N397" s="40">
        <f>N384-N390-N396</f>
        <v/>
      </c>
      <c r="O397" s="40">
        <f>O384-O390-O396</f>
        <v/>
      </c>
      <c r="P397" s="40">
        <f>P384-P390-P396</f>
        <v/>
      </c>
      <c r="Q397" s="40">
        <f>Q384-Q390-Q396</f>
        <v/>
      </c>
      <c r="R397" s="40">
        <f>R384-R390-R396</f>
        <v/>
      </c>
      <c r="S397" s="40">
        <f>S384-S390-S396</f>
        <v/>
      </c>
      <c r="T397" s="40">
        <f>T384-T390-T396</f>
        <v/>
      </c>
      <c r="U397" s="40">
        <f>U384-U390-U396</f>
        <v/>
      </c>
      <c r="V397" s="40">
        <f>V384-V390-V396</f>
        <v/>
      </c>
      <c r="W397" s="40">
        <f>W384-W390-W396</f>
        <v/>
      </c>
      <c r="X397" s="40">
        <f>X384-X390-X396</f>
        <v/>
      </c>
      <c r="Y397" s="40">
        <f>Y384-Y390-Y396</f>
        <v/>
      </c>
      <c r="Z397" s="40">
        <f>Z384-Z390-Z396</f>
        <v/>
      </c>
      <c r="AA397" s="40">
        <f>AA384-AA390-AA396</f>
        <v/>
      </c>
      <c r="AB397" s="40">
        <f>AB384-AB390-AB396</f>
        <v/>
      </c>
      <c r="AC397" s="40">
        <f>AC384-AC390-AC396</f>
        <v/>
      </c>
      <c r="AD397" s="40">
        <f>AD384-AD390-AD396</f>
        <v/>
      </c>
      <c r="AE397" s="40">
        <f>AE384-AE390-AE396</f>
        <v/>
      </c>
      <c r="AF397" s="40">
        <f>AF384-AF390-AF396</f>
        <v/>
      </c>
      <c r="AG397" s="40">
        <f>AG384-AG390-AG396</f>
        <v/>
      </c>
      <c r="AH397" s="40">
        <f>AH384-AH390-AH396</f>
        <v/>
      </c>
      <c r="AI397" s="40">
        <f>AI384-AI390-AI396</f>
        <v/>
      </c>
      <c r="AJ397" s="40">
        <f>AJ384-AJ390-AJ396</f>
        <v/>
      </c>
      <c r="AK397" s="40">
        <f>AK384-AK390-AK396</f>
        <v/>
      </c>
      <c r="AL397" s="40">
        <f>AL384-AL390-AL396</f>
        <v/>
      </c>
      <c r="AM397" s="40">
        <f>AM384-AM390-AM396</f>
        <v/>
      </c>
      <c r="AN397" s="40">
        <f>AN384-AN390-AN396</f>
        <v/>
      </c>
      <c r="AO397" s="40">
        <f>AO384-AO390-AO396</f>
        <v/>
      </c>
      <c r="AP397" s="40">
        <f>AP384-AP390-AP396</f>
        <v/>
      </c>
      <c r="AQ397" s="40">
        <f>AQ384-AQ390-AQ396</f>
        <v/>
      </c>
      <c r="AR397" s="40">
        <f>AR384-AR390-AR396</f>
        <v/>
      </c>
      <c r="AS397" s="40">
        <f>AS384-AS390-AS396</f>
        <v/>
      </c>
      <c r="AT397" s="40">
        <f>AT384-AT390-AT396</f>
        <v/>
      </c>
      <c r="AU397" s="40">
        <f>AU384-AU390-AU396</f>
        <v/>
      </c>
      <c r="AV397" s="40">
        <f>AV384-AV390-AV396</f>
        <v/>
      </c>
      <c r="AW397" s="40">
        <f>AW384-AW390-AW396</f>
        <v/>
      </c>
      <c r="AX397" s="40">
        <f>AX384-AX390-AX396</f>
        <v/>
      </c>
      <c r="AY397" s="40">
        <f>AY384-AY390-AY396</f>
        <v/>
      </c>
      <c r="AZ397" s="40">
        <f>AZ384-AZ390-AZ396</f>
        <v/>
      </c>
      <c r="BA397" s="40">
        <f>BA384-BA390-BA396</f>
        <v/>
      </c>
      <c r="BB397" s="40">
        <f>BB384-BB390-BB396</f>
        <v/>
      </c>
      <c r="BC397" s="40">
        <f>BC384-BC390-BC396</f>
        <v/>
      </c>
      <c r="BD397" s="40">
        <f>BD384-BD390-BD396</f>
        <v/>
      </c>
    </row>
    <row r="398">
      <c r="A398" s="2" t="inlineStr">
        <is>
          <t xml:space="preserve">   ^ subtracts what LEAVES, not what was offered — so 'returned to store' is</t>
        </is>
      </c>
    </row>
    <row r="399">
      <c r="A399" s="2" t="inlineStr">
        <is>
          <t xml:space="preserve">     never taken out at all, and shows up as next week's carried in.</t>
        </is>
      </c>
    </row>
    <row r="400">
      <c r="A400" s="43" t="inlineStr">
        <is>
          <t>Most stock its shelf life allows</t>
        </is>
      </c>
      <c r="B400" s="2" t="inlineStr">
        <is>
          <t>lb</t>
        </is>
      </c>
      <c r="E400" s="42">
        <f>SUMPRODUCT(($E$380:$BD$380&gt;=1-$F$19+2)*($E$380:$BD$380&lt;=1)*$E$381:$BD$381*POWER(1-$G$19,($E$380:$BD$380&lt;=1)*(1-$E$380:$BD$380)))</f>
        <v/>
      </c>
      <c r="F400" s="42">
        <f>SUMPRODUCT(($E$380:$BD$380&gt;=2-$F$19+2)*($E$380:$BD$380&lt;=2)*$E$381:$BD$381*POWER(1-$G$19,($E$380:$BD$380&lt;=2)*(2-$E$380:$BD$380)))</f>
        <v/>
      </c>
      <c r="G400" s="42">
        <f>SUMPRODUCT(($E$380:$BD$380&gt;=3-$F$19+2)*($E$380:$BD$380&lt;=3)*$E$381:$BD$381*POWER(1-$G$19,($E$380:$BD$380&lt;=3)*(3-$E$380:$BD$380)))</f>
        <v/>
      </c>
      <c r="H400" s="42">
        <f>SUMPRODUCT(($E$380:$BD$380&gt;=4-$F$19+2)*($E$380:$BD$380&lt;=4)*$E$381:$BD$381*POWER(1-$G$19,($E$380:$BD$380&lt;=4)*(4-$E$380:$BD$380)))</f>
        <v/>
      </c>
      <c r="I400" s="42">
        <f>SUMPRODUCT(($E$380:$BD$380&gt;=5-$F$19+2)*($E$380:$BD$380&lt;=5)*$E$381:$BD$381*POWER(1-$G$19,($E$380:$BD$380&lt;=5)*(5-$E$380:$BD$380)))</f>
        <v/>
      </c>
      <c r="J400" s="42">
        <f>SUMPRODUCT(($E$380:$BD$380&gt;=6-$F$19+2)*($E$380:$BD$380&lt;=6)*$E$381:$BD$381*POWER(1-$G$19,($E$380:$BD$380&lt;=6)*(6-$E$380:$BD$380)))</f>
        <v/>
      </c>
      <c r="K400" s="42">
        <f>SUMPRODUCT(($E$380:$BD$380&gt;=7-$F$19+2)*($E$380:$BD$380&lt;=7)*$E$381:$BD$381*POWER(1-$G$19,($E$380:$BD$380&lt;=7)*(7-$E$380:$BD$380)))</f>
        <v/>
      </c>
      <c r="L400" s="42">
        <f>SUMPRODUCT(($E$380:$BD$380&gt;=8-$F$19+2)*($E$380:$BD$380&lt;=8)*$E$381:$BD$381*POWER(1-$G$19,($E$380:$BD$380&lt;=8)*(8-$E$380:$BD$380)))</f>
        <v/>
      </c>
      <c r="M400" s="42">
        <f>SUMPRODUCT(($E$380:$BD$380&gt;=9-$F$19+2)*($E$380:$BD$380&lt;=9)*$E$381:$BD$381*POWER(1-$G$19,($E$380:$BD$380&lt;=9)*(9-$E$380:$BD$380)))</f>
        <v/>
      </c>
      <c r="N400" s="42">
        <f>SUMPRODUCT(($E$380:$BD$380&gt;=10-$F$19+2)*($E$380:$BD$380&lt;=10)*$E$381:$BD$381*POWER(1-$G$19,($E$380:$BD$380&lt;=10)*(10-$E$380:$BD$380)))</f>
        <v/>
      </c>
      <c r="O400" s="42">
        <f>SUMPRODUCT(($E$380:$BD$380&gt;=11-$F$19+2)*($E$380:$BD$380&lt;=11)*$E$381:$BD$381*POWER(1-$G$19,($E$380:$BD$380&lt;=11)*(11-$E$380:$BD$380)))</f>
        <v/>
      </c>
      <c r="P400" s="42">
        <f>SUMPRODUCT(($E$380:$BD$380&gt;=12-$F$19+2)*($E$380:$BD$380&lt;=12)*$E$381:$BD$381*POWER(1-$G$19,($E$380:$BD$380&lt;=12)*(12-$E$380:$BD$380)))</f>
        <v/>
      </c>
      <c r="Q400" s="42">
        <f>SUMPRODUCT(($E$380:$BD$380&gt;=13-$F$19+2)*($E$380:$BD$380&lt;=13)*$E$381:$BD$381*POWER(1-$G$19,($E$380:$BD$380&lt;=13)*(13-$E$380:$BD$380)))</f>
        <v/>
      </c>
      <c r="R400" s="42">
        <f>SUMPRODUCT(($E$380:$BD$380&gt;=14-$F$19+2)*($E$380:$BD$380&lt;=14)*$E$381:$BD$381*POWER(1-$G$19,($E$380:$BD$380&lt;=14)*(14-$E$380:$BD$380)))</f>
        <v/>
      </c>
      <c r="S400" s="42">
        <f>SUMPRODUCT(($E$380:$BD$380&gt;=15-$F$19+2)*($E$380:$BD$380&lt;=15)*$E$381:$BD$381*POWER(1-$G$19,($E$380:$BD$380&lt;=15)*(15-$E$380:$BD$380)))</f>
        <v/>
      </c>
      <c r="T400" s="42">
        <f>SUMPRODUCT(($E$380:$BD$380&gt;=16-$F$19+2)*($E$380:$BD$380&lt;=16)*$E$381:$BD$381*POWER(1-$G$19,($E$380:$BD$380&lt;=16)*(16-$E$380:$BD$380)))</f>
        <v/>
      </c>
      <c r="U400" s="42">
        <f>SUMPRODUCT(($E$380:$BD$380&gt;=17-$F$19+2)*($E$380:$BD$380&lt;=17)*$E$381:$BD$381*POWER(1-$G$19,($E$380:$BD$380&lt;=17)*(17-$E$380:$BD$380)))</f>
        <v/>
      </c>
      <c r="V400" s="42">
        <f>SUMPRODUCT(($E$380:$BD$380&gt;=18-$F$19+2)*($E$380:$BD$380&lt;=18)*$E$381:$BD$381*POWER(1-$G$19,($E$380:$BD$380&lt;=18)*(18-$E$380:$BD$380)))</f>
        <v/>
      </c>
      <c r="W400" s="42">
        <f>SUMPRODUCT(($E$380:$BD$380&gt;=19-$F$19+2)*($E$380:$BD$380&lt;=19)*$E$381:$BD$381*POWER(1-$G$19,($E$380:$BD$380&lt;=19)*(19-$E$380:$BD$380)))</f>
        <v/>
      </c>
      <c r="X400" s="42">
        <f>SUMPRODUCT(($E$380:$BD$380&gt;=20-$F$19+2)*($E$380:$BD$380&lt;=20)*$E$381:$BD$381*POWER(1-$G$19,($E$380:$BD$380&lt;=20)*(20-$E$380:$BD$380)))</f>
        <v/>
      </c>
      <c r="Y400" s="42">
        <f>SUMPRODUCT(($E$380:$BD$380&gt;=21-$F$19+2)*($E$380:$BD$380&lt;=21)*$E$381:$BD$381*POWER(1-$G$19,($E$380:$BD$380&lt;=21)*(21-$E$380:$BD$380)))</f>
        <v/>
      </c>
      <c r="Z400" s="42">
        <f>SUMPRODUCT(($E$380:$BD$380&gt;=22-$F$19+2)*($E$380:$BD$380&lt;=22)*$E$381:$BD$381*POWER(1-$G$19,($E$380:$BD$380&lt;=22)*(22-$E$380:$BD$380)))</f>
        <v/>
      </c>
      <c r="AA400" s="42">
        <f>SUMPRODUCT(($E$380:$BD$380&gt;=23-$F$19+2)*($E$380:$BD$380&lt;=23)*$E$381:$BD$381*POWER(1-$G$19,($E$380:$BD$380&lt;=23)*(23-$E$380:$BD$380)))</f>
        <v/>
      </c>
      <c r="AB400" s="42">
        <f>SUMPRODUCT(($E$380:$BD$380&gt;=24-$F$19+2)*($E$380:$BD$380&lt;=24)*$E$381:$BD$381*POWER(1-$G$19,($E$380:$BD$380&lt;=24)*(24-$E$380:$BD$380)))</f>
        <v/>
      </c>
      <c r="AC400" s="42">
        <f>SUMPRODUCT(($E$380:$BD$380&gt;=25-$F$19+2)*($E$380:$BD$380&lt;=25)*$E$381:$BD$381*POWER(1-$G$19,($E$380:$BD$380&lt;=25)*(25-$E$380:$BD$380)))</f>
        <v/>
      </c>
      <c r="AD400" s="42">
        <f>SUMPRODUCT(($E$380:$BD$380&gt;=26-$F$19+2)*($E$380:$BD$380&lt;=26)*$E$381:$BD$381*POWER(1-$G$19,($E$380:$BD$380&lt;=26)*(26-$E$380:$BD$380)))</f>
        <v/>
      </c>
      <c r="AE400" s="42">
        <f>SUMPRODUCT(($E$380:$BD$380&gt;=27-$F$19+2)*($E$380:$BD$380&lt;=27)*$E$381:$BD$381*POWER(1-$G$19,($E$380:$BD$380&lt;=27)*(27-$E$380:$BD$380)))</f>
        <v/>
      </c>
      <c r="AF400" s="42">
        <f>SUMPRODUCT(($E$380:$BD$380&gt;=28-$F$19+2)*($E$380:$BD$380&lt;=28)*$E$381:$BD$381*POWER(1-$G$19,($E$380:$BD$380&lt;=28)*(28-$E$380:$BD$380)))</f>
        <v/>
      </c>
      <c r="AG400" s="42">
        <f>SUMPRODUCT(($E$380:$BD$380&gt;=29-$F$19+2)*($E$380:$BD$380&lt;=29)*$E$381:$BD$381*POWER(1-$G$19,($E$380:$BD$380&lt;=29)*(29-$E$380:$BD$380)))</f>
        <v/>
      </c>
      <c r="AH400" s="42">
        <f>SUMPRODUCT(($E$380:$BD$380&gt;=30-$F$19+2)*($E$380:$BD$380&lt;=30)*$E$381:$BD$381*POWER(1-$G$19,($E$380:$BD$380&lt;=30)*(30-$E$380:$BD$380)))</f>
        <v/>
      </c>
      <c r="AI400" s="42">
        <f>SUMPRODUCT(($E$380:$BD$380&gt;=31-$F$19+2)*($E$380:$BD$380&lt;=31)*$E$381:$BD$381*POWER(1-$G$19,($E$380:$BD$380&lt;=31)*(31-$E$380:$BD$380)))</f>
        <v/>
      </c>
      <c r="AJ400" s="42">
        <f>SUMPRODUCT(($E$380:$BD$380&gt;=32-$F$19+2)*($E$380:$BD$380&lt;=32)*$E$381:$BD$381*POWER(1-$G$19,($E$380:$BD$380&lt;=32)*(32-$E$380:$BD$380)))</f>
        <v/>
      </c>
      <c r="AK400" s="42">
        <f>SUMPRODUCT(($E$380:$BD$380&gt;=33-$F$19+2)*($E$380:$BD$380&lt;=33)*$E$381:$BD$381*POWER(1-$G$19,($E$380:$BD$380&lt;=33)*(33-$E$380:$BD$380)))</f>
        <v/>
      </c>
      <c r="AL400" s="42">
        <f>SUMPRODUCT(($E$380:$BD$380&gt;=34-$F$19+2)*($E$380:$BD$380&lt;=34)*$E$381:$BD$381*POWER(1-$G$19,($E$380:$BD$380&lt;=34)*(34-$E$380:$BD$380)))</f>
        <v/>
      </c>
      <c r="AM400" s="42">
        <f>SUMPRODUCT(($E$380:$BD$380&gt;=35-$F$19+2)*($E$380:$BD$380&lt;=35)*$E$381:$BD$381*POWER(1-$G$19,($E$380:$BD$380&lt;=35)*(35-$E$380:$BD$380)))</f>
        <v/>
      </c>
      <c r="AN400" s="42">
        <f>SUMPRODUCT(($E$380:$BD$380&gt;=36-$F$19+2)*($E$380:$BD$380&lt;=36)*$E$381:$BD$381*POWER(1-$G$19,($E$380:$BD$380&lt;=36)*(36-$E$380:$BD$380)))</f>
        <v/>
      </c>
      <c r="AO400" s="42">
        <f>SUMPRODUCT(($E$380:$BD$380&gt;=37-$F$19+2)*($E$380:$BD$380&lt;=37)*$E$381:$BD$381*POWER(1-$G$19,($E$380:$BD$380&lt;=37)*(37-$E$380:$BD$380)))</f>
        <v/>
      </c>
      <c r="AP400" s="42">
        <f>SUMPRODUCT(($E$380:$BD$380&gt;=38-$F$19+2)*($E$380:$BD$380&lt;=38)*$E$381:$BD$381*POWER(1-$G$19,($E$380:$BD$380&lt;=38)*(38-$E$380:$BD$380)))</f>
        <v/>
      </c>
      <c r="AQ400" s="42">
        <f>SUMPRODUCT(($E$380:$BD$380&gt;=39-$F$19+2)*($E$380:$BD$380&lt;=39)*$E$381:$BD$381*POWER(1-$G$19,($E$380:$BD$380&lt;=39)*(39-$E$380:$BD$380)))</f>
        <v/>
      </c>
      <c r="AR400" s="42">
        <f>SUMPRODUCT(($E$380:$BD$380&gt;=40-$F$19+2)*($E$380:$BD$380&lt;=40)*$E$381:$BD$381*POWER(1-$G$19,($E$380:$BD$380&lt;=40)*(40-$E$380:$BD$380)))</f>
        <v/>
      </c>
      <c r="AS400" s="42">
        <f>SUMPRODUCT(($E$380:$BD$380&gt;=41-$F$19+2)*($E$380:$BD$380&lt;=41)*$E$381:$BD$381*POWER(1-$G$19,($E$380:$BD$380&lt;=41)*(41-$E$380:$BD$380)))</f>
        <v/>
      </c>
      <c r="AT400" s="42">
        <f>SUMPRODUCT(($E$380:$BD$380&gt;=42-$F$19+2)*($E$380:$BD$380&lt;=42)*$E$381:$BD$381*POWER(1-$G$19,($E$380:$BD$380&lt;=42)*(42-$E$380:$BD$380)))</f>
        <v/>
      </c>
      <c r="AU400" s="42">
        <f>SUMPRODUCT(($E$380:$BD$380&gt;=43-$F$19+2)*($E$380:$BD$380&lt;=43)*$E$381:$BD$381*POWER(1-$G$19,($E$380:$BD$380&lt;=43)*(43-$E$380:$BD$380)))</f>
        <v/>
      </c>
      <c r="AV400" s="42">
        <f>SUMPRODUCT(($E$380:$BD$380&gt;=44-$F$19+2)*($E$380:$BD$380&lt;=44)*$E$381:$BD$381*POWER(1-$G$19,($E$380:$BD$380&lt;=44)*(44-$E$380:$BD$380)))</f>
        <v/>
      </c>
      <c r="AW400" s="42">
        <f>SUMPRODUCT(($E$380:$BD$380&gt;=45-$F$19+2)*($E$380:$BD$380&lt;=45)*$E$381:$BD$381*POWER(1-$G$19,($E$380:$BD$380&lt;=45)*(45-$E$380:$BD$380)))</f>
        <v/>
      </c>
      <c r="AX400" s="42">
        <f>SUMPRODUCT(($E$380:$BD$380&gt;=46-$F$19+2)*($E$380:$BD$380&lt;=46)*$E$381:$BD$381*POWER(1-$G$19,($E$380:$BD$380&lt;=46)*(46-$E$380:$BD$380)))</f>
        <v/>
      </c>
      <c r="AY400" s="42">
        <f>SUMPRODUCT(($E$380:$BD$380&gt;=47-$F$19+2)*($E$380:$BD$380&lt;=47)*$E$381:$BD$381*POWER(1-$G$19,($E$380:$BD$380&lt;=47)*(47-$E$380:$BD$380)))</f>
        <v/>
      </c>
      <c r="AZ400" s="42">
        <f>SUMPRODUCT(($E$380:$BD$380&gt;=48-$F$19+2)*($E$380:$BD$380&lt;=48)*$E$381:$BD$381*POWER(1-$G$19,($E$380:$BD$380&lt;=48)*(48-$E$380:$BD$380)))</f>
        <v/>
      </c>
      <c r="BA400" s="42">
        <f>SUMPRODUCT(($E$380:$BD$380&gt;=49-$F$19+2)*($E$380:$BD$380&lt;=49)*$E$381:$BD$381*POWER(1-$G$19,($E$380:$BD$380&lt;=49)*(49-$E$380:$BD$380)))</f>
        <v/>
      </c>
      <c r="BB400" s="42">
        <f>SUMPRODUCT(($E$380:$BD$380&gt;=50-$F$19+2)*($E$380:$BD$380&lt;=50)*$E$381:$BD$381*POWER(1-$G$19,($E$380:$BD$380&lt;=50)*(50-$E$380:$BD$380)))</f>
        <v/>
      </c>
      <c r="BC400" s="42">
        <f>SUMPRODUCT(($E$380:$BD$380&gt;=51-$F$19+2)*($E$380:$BD$380&lt;=51)*$E$381:$BD$381*POWER(1-$G$19,($E$380:$BD$380&lt;=51)*(51-$E$380:$BD$380)))</f>
        <v/>
      </c>
      <c r="BD400" s="42">
        <f>SUMPRODUCT(($E$380:$BD$380&gt;=52-$F$19+2)*($E$380:$BD$380&lt;=52)*$E$381:$BD$381*POWER(1-$G$19,($E$380:$BD$380&lt;=52)*(52-$E$380:$BD$380)))</f>
        <v/>
      </c>
    </row>
    <row r="401">
      <c r="A401" s="2" t="inlineStr">
        <is>
          <t xml:space="preserve">   Stock carried out must stay at or below this row.</t>
        </is>
      </c>
    </row>
    <row r="402">
      <c r="A402" s="33" t="inlineStr">
        <is>
          <t>Growing cost this week</t>
        </is>
      </c>
      <c r="B402" s="2" t="inlineStr">
        <is>
          <t>$</t>
        </is>
      </c>
      <c r="E402" s="40">
        <f>SUMPRODUCT(($B$91:$B$230="Garlic")*(E$91:E$230="P")*$C$91:$C$230)*$K$19+SUMPRODUCT(($B$91:$B$230="Garlic")*(E$91:E$230="G")*$C$91:$C$230)*$L$19+SUMPRODUCT(($B$91:$B$230="Garlic")*(E$91:E$230="H")*$C$91:$C$230)*$M$19+SUMPRODUCT(($B$91:$B$230="Garlic")*($BG$91:$BG$230=1)*$C$91:$C$230)*$H$19</f>
        <v/>
      </c>
      <c r="F402" s="40">
        <f>SUMPRODUCT(($B$91:$B$230="Garlic")*(F$91:F$230="P")*$C$91:$C$230)*$K$19+SUMPRODUCT(($B$91:$B$230="Garlic")*(F$91:F$230="G")*$C$91:$C$230)*$L$19+SUMPRODUCT(($B$91:$B$230="Garlic")*(F$91:F$230="H")*$C$91:$C$230)*$M$19+SUMPRODUCT(($B$91:$B$230="Garlic")*($BG$91:$BG$230=2)*$C$91:$C$230)*$H$19</f>
        <v/>
      </c>
      <c r="G402" s="40">
        <f>SUMPRODUCT(($B$91:$B$230="Garlic")*(G$91:G$230="P")*$C$91:$C$230)*$K$19+SUMPRODUCT(($B$91:$B$230="Garlic")*(G$91:G$230="G")*$C$91:$C$230)*$L$19+SUMPRODUCT(($B$91:$B$230="Garlic")*(G$91:G$230="H")*$C$91:$C$230)*$M$19+SUMPRODUCT(($B$91:$B$230="Garlic")*($BG$91:$BG$230=3)*$C$91:$C$230)*$H$19</f>
        <v/>
      </c>
      <c r="H402" s="40">
        <f>SUMPRODUCT(($B$91:$B$230="Garlic")*(H$91:H$230="P")*$C$91:$C$230)*$K$19+SUMPRODUCT(($B$91:$B$230="Garlic")*(H$91:H$230="G")*$C$91:$C$230)*$L$19+SUMPRODUCT(($B$91:$B$230="Garlic")*(H$91:H$230="H")*$C$91:$C$230)*$M$19+SUMPRODUCT(($B$91:$B$230="Garlic")*($BG$91:$BG$230=4)*$C$91:$C$230)*$H$19</f>
        <v/>
      </c>
      <c r="I402" s="40">
        <f>SUMPRODUCT(($B$91:$B$230="Garlic")*(I$91:I$230="P")*$C$91:$C$230)*$K$19+SUMPRODUCT(($B$91:$B$230="Garlic")*(I$91:I$230="G")*$C$91:$C$230)*$L$19+SUMPRODUCT(($B$91:$B$230="Garlic")*(I$91:I$230="H")*$C$91:$C$230)*$M$19+SUMPRODUCT(($B$91:$B$230="Garlic")*($BG$91:$BG$230=5)*$C$91:$C$230)*$H$19</f>
        <v/>
      </c>
      <c r="J402" s="40">
        <f>SUMPRODUCT(($B$91:$B$230="Garlic")*(J$91:J$230="P")*$C$91:$C$230)*$K$19+SUMPRODUCT(($B$91:$B$230="Garlic")*(J$91:J$230="G")*$C$91:$C$230)*$L$19+SUMPRODUCT(($B$91:$B$230="Garlic")*(J$91:J$230="H")*$C$91:$C$230)*$M$19+SUMPRODUCT(($B$91:$B$230="Garlic")*($BG$91:$BG$230=6)*$C$91:$C$230)*$H$19</f>
        <v/>
      </c>
      <c r="K402" s="40">
        <f>SUMPRODUCT(($B$91:$B$230="Garlic")*(K$91:K$230="P")*$C$91:$C$230)*$K$19+SUMPRODUCT(($B$91:$B$230="Garlic")*(K$91:K$230="G")*$C$91:$C$230)*$L$19+SUMPRODUCT(($B$91:$B$230="Garlic")*(K$91:K$230="H")*$C$91:$C$230)*$M$19+SUMPRODUCT(($B$91:$B$230="Garlic")*($BG$91:$BG$230=7)*$C$91:$C$230)*$H$19</f>
        <v/>
      </c>
      <c r="L402" s="40">
        <f>SUMPRODUCT(($B$91:$B$230="Garlic")*(L$91:L$230="P")*$C$91:$C$230)*$K$19+SUMPRODUCT(($B$91:$B$230="Garlic")*(L$91:L$230="G")*$C$91:$C$230)*$L$19+SUMPRODUCT(($B$91:$B$230="Garlic")*(L$91:L$230="H")*$C$91:$C$230)*$M$19+SUMPRODUCT(($B$91:$B$230="Garlic")*($BG$91:$BG$230=8)*$C$91:$C$230)*$H$19</f>
        <v/>
      </c>
      <c r="M402" s="40">
        <f>SUMPRODUCT(($B$91:$B$230="Garlic")*(M$91:M$230="P")*$C$91:$C$230)*$K$19+SUMPRODUCT(($B$91:$B$230="Garlic")*(M$91:M$230="G")*$C$91:$C$230)*$L$19+SUMPRODUCT(($B$91:$B$230="Garlic")*(M$91:M$230="H")*$C$91:$C$230)*$M$19+SUMPRODUCT(($B$91:$B$230="Garlic")*($BG$91:$BG$230=9)*$C$91:$C$230)*$H$19</f>
        <v/>
      </c>
      <c r="N402" s="40">
        <f>SUMPRODUCT(($B$91:$B$230="Garlic")*(N$91:N$230="P")*$C$91:$C$230)*$K$19+SUMPRODUCT(($B$91:$B$230="Garlic")*(N$91:N$230="G")*$C$91:$C$230)*$L$19+SUMPRODUCT(($B$91:$B$230="Garlic")*(N$91:N$230="H")*$C$91:$C$230)*$M$19+SUMPRODUCT(($B$91:$B$230="Garlic")*($BG$91:$BG$230=10)*$C$91:$C$230)*$H$19</f>
        <v/>
      </c>
      <c r="O402" s="40">
        <f>SUMPRODUCT(($B$91:$B$230="Garlic")*(O$91:O$230="P")*$C$91:$C$230)*$K$19+SUMPRODUCT(($B$91:$B$230="Garlic")*(O$91:O$230="G")*$C$91:$C$230)*$L$19+SUMPRODUCT(($B$91:$B$230="Garlic")*(O$91:O$230="H")*$C$91:$C$230)*$M$19+SUMPRODUCT(($B$91:$B$230="Garlic")*($BG$91:$BG$230=11)*$C$91:$C$230)*$H$19</f>
        <v/>
      </c>
      <c r="P402" s="40">
        <f>SUMPRODUCT(($B$91:$B$230="Garlic")*(P$91:P$230="P")*$C$91:$C$230)*$K$19+SUMPRODUCT(($B$91:$B$230="Garlic")*(P$91:P$230="G")*$C$91:$C$230)*$L$19+SUMPRODUCT(($B$91:$B$230="Garlic")*(P$91:P$230="H")*$C$91:$C$230)*$M$19+SUMPRODUCT(($B$91:$B$230="Garlic")*($BG$91:$BG$230=12)*$C$91:$C$230)*$H$19</f>
        <v/>
      </c>
      <c r="Q402" s="40">
        <f>SUMPRODUCT(($B$91:$B$230="Garlic")*(Q$91:Q$230="P")*$C$91:$C$230)*$K$19+SUMPRODUCT(($B$91:$B$230="Garlic")*(Q$91:Q$230="G")*$C$91:$C$230)*$L$19+SUMPRODUCT(($B$91:$B$230="Garlic")*(Q$91:Q$230="H")*$C$91:$C$230)*$M$19+SUMPRODUCT(($B$91:$B$230="Garlic")*($BG$91:$BG$230=13)*$C$91:$C$230)*$H$19</f>
        <v/>
      </c>
      <c r="R402" s="40">
        <f>SUMPRODUCT(($B$91:$B$230="Garlic")*(R$91:R$230="P")*$C$91:$C$230)*$K$19+SUMPRODUCT(($B$91:$B$230="Garlic")*(R$91:R$230="G")*$C$91:$C$230)*$L$19+SUMPRODUCT(($B$91:$B$230="Garlic")*(R$91:R$230="H")*$C$91:$C$230)*$M$19+SUMPRODUCT(($B$91:$B$230="Garlic")*($BG$91:$BG$230=14)*$C$91:$C$230)*$H$19</f>
        <v/>
      </c>
      <c r="S402" s="40">
        <f>SUMPRODUCT(($B$91:$B$230="Garlic")*(S$91:S$230="P")*$C$91:$C$230)*$K$19+SUMPRODUCT(($B$91:$B$230="Garlic")*(S$91:S$230="G")*$C$91:$C$230)*$L$19+SUMPRODUCT(($B$91:$B$230="Garlic")*(S$91:S$230="H")*$C$91:$C$230)*$M$19+SUMPRODUCT(($B$91:$B$230="Garlic")*($BG$91:$BG$230=15)*$C$91:$C$230)*$H$19</f>
        <v/>
      </c>
      <c r="T402" s="40">
        <f>SUMPRODUCT(($B$91:$B$230="Garlic")*(T$91:T$230="P")*$C$91:$C$230)*$K$19+SUMPRODUCT(($B$91:$B$230="Garlic")*(T$91:T$230="G")*$C$91:$C$230)*$L$19+SUMPRODUCT(($B$91:$B$230="Garlic")*(T$91:T$230="H")*$C$91:$C$230)*$M$19+SUMPRODUCT(($B$91:$B$230="Garlic")*($BG$91:$BG$230=16)*$C$91:$C$230)*$H$19</f>
        <v/>
      </c>
      <c r="U402" s="40">
        <f>SUMPRODUCT(($B$91:$B$230="Garlic")*(U$91:U$230="P")*$C$91:$C$230)*$K$19+SUMPRODUCT(($B$91:$B$230="Garlic")*(U$91:U$230="G")*$C$91:$C$230)*$L$19+SUMPRODUCT(($B$91:$B$230="Garlic")*(U$91:U$230="H")*$C$91:$C$230)*$M$19+SUMPRODUCT(($B$91:$B$230="Garlic")*($BG$91:$BG$230=17)*$C$91:$C$230)*$H$19</f>
        <v/>
      </c>
      <c r="V402" s="40">
        <f>SUMPRODUCT(($B$91:$B$230="Garlic")*(V$91:V$230="P")*$C$91:$C$230)*$K$19+SUMPRODUCT(($B$91:$B$230="Garlic")*(V$91:V$230="G")*$C$91:$C$230)*$L$19+SUMPRODUCT(($B$91:$B$230="Garlic")*(V$91:V$230="H")*$C$91:$C$230)*$M$19+SUMPRODUCT(($B$91:$B$230="Garlic")*($BG$91:$BG$230=18)*$C$91:$C$230)*$H$19</f>
        <v/>
      </c>
      <c r="W402" s="40">
        <f>SUMPRODUCT(($B$91:$B$230="Garlic")*(W$91:W$230="P")*$C$91:$C$230)*$K$19+SUMPRODUCT(($B$91:$B$230="Garlic")*(W$91:W$230="G")*$C$91:$C$230)*$L$19+SUMPRODUCT(($B$91:$B$230="Garlic")*(W$91:W$230="H")*$C$91:$C$230)*$M$19+SUMPRODUCT(($B$91:$B$230="Garlic")*($BG$91:$BG$230=19)*$C$91:$C$230)*$H$19</f>
        <v/>
      </c>
      <c r="X402" s="40">
        <f>SUMPRODUCT(($B$91:$B$230="Garlic")*(X$91:X$230="P")*$C$91:$C$230)*$K$19+SUMPRODUCT(($B$91:$B$230="Garlic")*(X$91:X$230="G")*$C$91:$C$230)*$L$19+SUMPRODUCT(($B$91:$B$230="Garlic")*(X$91:X$230="H")*$C$91:$C$230)*$M$19+SUMPRODUCT(($B$91:$B$230="Garlic")*($BG$91:$BG$230=20)*$C$91:$C$230)*$H$19</f>
        <v/>
      </c>
      <c r="Y402" s="40">
        <f>SUMPRODUCT(($B$91:$B$230="Garlic")*(Y$91:Y$230="P")*$C$91:$C$230)*$K$19+SUMPRODUCT(($B$91:$B$230="Garlic")*(Y$91:Y$230="G")*$C$91:$C$230)*$L$19+SUMPRODUCT(($B$91:$B$230="Garlic")*(Y$91:Y$230="H")*$C$91:$C$230)*$M$19+SUMPRODUCT(($B$91:$B$230="Garlic")*($BG$91:$BG$230=21)*$C$91:$C$230)*$H$19</f>
        <v/>
      </c>
      <c r="Z402" s="40">
        <f>SUMPRODUCT(($B$91:$B$230="Garlic")*(Z$91:Z$230="P")*$C$91:$C$230)*$K$19+SUMPRODUCT(($B$91:$B$230="Garlic")*(Z$91:Z$230="G")*$C$91:$C$230)*$L$19+SUMPRODUCT(($B$91:$B$230="Garlic")*(Z$91:Z$230="H")*$C$91:$C$230)*$M$19+SUMPRODUCT(($B$91:$B$230="Garlic")*($BG$91:$BG$230=22)*$C$91:$C$230)*$H$19</f>
        <v/>
      </c>
      <c r="AA402" s="40">
        <f>SUMPRODUCT(($B$91:$B$230="Garlic")*(AA$91:AA$230="P")*$C$91:$C$230)*$K$19+SUMPRODUCT(($B$91:$B$230="Garlic")*(AA$91:AA$230="G")*$C$91:$C$230)*$L$19+SUMPRODUCT(($B$91:$B$230="Garlic")*(AA$91:AA$230="H")*$C$91:$C$230)*$M$19+SUMPRODUCT(($B$91:$B$230="Garlic")*($BG$91:$BG$230=23)*$C$91:$C$230)*$H$19</f>
        <v/>
      </c>
      <c r="AB402" s="40">
        <f>SUMPRODUCT(($B$91:$B$230="Garlic")*(AB$91:AB$230="P")*$C$91:$C$230)*$K$19+SUMPRODUCT(($B$91:$B$230="Garlic")*(AB$91:AB$230="G")*$C$91:$C$230)*$L$19+SUMPRODUCT(($B$91:$B$230="Garlic")*(AB$91:AB$230="H")*$C$91:$C$230)*$M$19+SUMPRODUCT(($B$91:$B$230="Garlic")*($BG$91:$BG$230=24)*$C$91:$C$230)*$H$19</f>
        <v/>
      </c>
      <c r="AC402" s="40">
        <f>SUMPRODUCT(($B$91:$B$230="Garlic")*(AC$91:AC$230="P")*$C$91:$C$230)*$K$19+SUMPRODUCT(($B$91:$B$230="Garlic")*(AC$91:AC$230="G")*$C$91:$C$230)*$L$19+SUMPRODUCT(($B$91:$B$230="Garlic")*(AC$91:AC$230="H")*$C$91:$C$230)*$M$19+SUMPRODUCT(($B$91:$B$230="Garlic")*($BG$91:$BG$230=25)*$C$91:$C$230)*$H$19</f>
        <v/>
      </c>
      <c r="AD402" s="40">
        <f>SUMPRODUCT(($B$91:$B$230="Garlic")*(AD$91:AD$230="P")*$C$91:$C$230)*$K$19+SUMPRODUCT(($B$91:$B$230="Garlic")*(AD$91:AD$230="G")*$C$91:$C$230)*$L$19+SUMPRODUCT(($B$91:$B$230="Garlic")*(AD$91:AD$230="H")*$C$91:$C$230)*$M$19+SUMPRODUCT(($B$91:$B$230="Garlic")*($BG$91:$BG$230=26)*$C$91:$C$230)*$H$19</f>
        <v/>
      </c>
      <c r="AE402" s="40">
        <f>SUMPRODUCT(($B$91:$B$230="Garlic")*(AE$91:AE$230="P")*$C$91:$C$230)*$K$19+SUMPRODUCT(($B$91:$B$230="Garlic")*(AE$91:AE$230="G")*$C$91:$C$230)*$L$19+SUMPRODUCT(($B$91:$B$230="Garlic")*(AE$91:AE$230="H")*$C$91:$C$230)*$M$19+SUMPRODUCT(($B$91:$B$230="Garlic")*($BG$91:$BG$230=27)*$C$91:$C$230)*$H$19</f>
        <v/>
      </c>
      <c r="AF402" s="40">
        <f>SUMPRODUCT(($B$91:$B$230="Garlic")*(AF$91:AF$230="P")*$C$91:$C$230)*$K$19+SUMPRODUCT(($B$91:$B$230="Garlic")*(AF$91:AF$230="G")*$C$91:$C$230)*$L$19+SUMPRODUCT(($B$91:$B$230="Garlic")*(AF$91:AF$230="H")*$C$91:$C$230)*$M$19+SUMPRODUCT(($B$91:$B$230="Garlic")*($BG$91:$BG$230=28)*$C$91:$C$230)*$H$19</f>
        <v/>
      </c>
      <c r="AG402" s="40">
        <f>SUMPRODUCT(($B$91:$B$230="Garlic")*(AG$91:AG$230="P")*$C$91:$C$230)*$K$19+SUMPRODUCT(($B$91:$B$230="Garlic")*(AG$91:AG$230="G")*$C$91:$C$230)*$L$19+SUMPRODUCT(($B$91:$B$230="Garlic")*(AG$91:AG$230="H")*$C$91:$C$230)*$M$19+SUMPRODUCT(($B$91:$B$230="Garlic")*($BG$91:$BG$230=29)*$C$91:$C$230)*$H$19</f>
        <v/>
      </c>
      <c r="AH402" s="40">
        <f>SUMPRODUCT(($B$91:$B$230="Garlic")*(AH$91:AH$230="P")*$C$91:$C$230)*$K$19+SUMPRODUCT(($B$91:$B$230="Garlic")*(AH$91:AH$230="G")*$C$91:$C$230)*$L$19+SUMPRODUCT(($B$91:$B$230="Garlic")*(AH$91:AH$230="H")*$C$91:$C$230)*$M$19+SUMPRODUCT(($B$91:$B$230="Garlic")*($BG$91:$BG$230=30)*$C$91:$C$230)*$H$19</f>
        <v/>
      </c>
      <c r="AI402" s="40">
        <f>SUMPRODUCT(($B$91:$B$230="Garlic")*(AI$91:AI$230="P")*$C$91:$C$230)*$K$19+SUMPRODUCT(($B$91:$B$230="Garlic")*(AI$91:AI$230="G")*$C$91:$C$230)*$L$19+SUMPRODUCT(($B$91:$B$230="Garlic")*(AI$91:AI$230="H")*$C$91:$C$230)*$M$19+SUMPRODUCT(($B$91:$B$230="Garlic")*($BG$91:$BG$230=31)*$C$91:$C$230)*$H$19</f>
        <v/>
      </c>
      <c r="AJ402" s="40">
        <f>SUMPRODUCT(($B$91:$B$230="Garlic")*(AJ$91:AJ$230="P")*$C$91:$C$230)*$K$19+SUMPRODUCT(($B$91:$B$230="Garlic")*(AJ$91:AJ$230="G")*$C$91:$C$230)*$L$19+SUMPRODUCT(($B$91:$B$230="Garlic")*(AJ$91:AJ$230="H")*$C$91:$C$230)*$M$19+SUMPRODUCT(($B$91:$B$230="Garlic")*($BG$91:$BG$230=32)*$C$91:$C$230)*$H$19</f>
        <v/>
      </c>
      <c r="AK402" s="40">
        <f>SUMPRODUCT(($B$91:$B$230="Garlic")*(AK$91:AK$230="P")*$C$91:$C$230)*$K$19+SUMPRODUCT(($B$91:$B$230="Garlic")*(AK$91:AK$230="G")*$C$91:$C$230)*$L$19+SUMPRODUCT(($B$91:$B$230="Garlic")*(AK$91:AK$230="H")*$C$91:$C$230)*$M$19+SUMPRODUCT(($B$91:$B$230="Garlic")*($BG$91:$BG$230=33)*$C$91:$C$230)*$H$19</f>
        <v/>
      </c>
      <c r="AL402" s="40">
        <f>SUMPRODUCT(($B$91:$B$230="Garlic")*(AL$91:AL$230="P")*$C$91:$C$230)*$K$19+SUMPRODUCT(($B$91:$B$230="Garlic")*(AL$91:AL$230="G")*$C$91:$C$230)*$L$19+SUMPRODUCT(($B$91:$B$230="Garlic")*(AL$91:AL$230="H")*$C$91:$C$230)*$M$19+SUMPRODUCT(($B$91:$B$230="Garlic")*($BG$91:$BG$230=34)*$C$91:$C$230)*$H$19</f>
        <v/>
      </c>
      <c r="AM402" s="40">
        <f>SUMPRODUCT(($B$91:$B$230="Garlic")*(AM$91:AM$230="P")*$C$91:$C$230)*$K$19+SUMPRODUCT(($B$91:$B$230="Garlic")*(AM$91:AM$230="G")*$C$91:$C$230)*$L$19+SUMPRODUCT(($B$91:$B$230="Garlic")*(AM$91:AM$230="H")*$C$91:$C$230)*$M$19+SUMPRODUCT(($B$91:$B$230="Garlic")*($BG$91:$BG$230=35)*$C$91:$C$230)*$H$19</f>
        <v/>
      </c>
      <c r="AN402" s="40">
        <f>SUMPRODUCT(($B$91:$B$230="Garlic")*(AN$91:AN$230="P")*$C$91:$C$230)*$K$19+SUMPRODUCT(($B$91:$B$230="Garlic")*(AN$91:AN$230="G")*$C$91:$C$230)*$L$19+SUMPRODUCT(($B$91:$B$230="Garlic")*(AN$91:AN$230="H")*$C$91:$C$230)*$M$19+SUMPRODUCT(($B$91:$B$230="Garlic")*($BG$91:$BG$230=36)*$C$91:$C$230)*$H$19</f>
        <v/>
      </c>
      <c r="AO402" s="40">
        <f>SUMPRODUCT(($B$91:$B$230="Garlic")*(AO$91:AO$230="P")*$C$91:$C$230)*$K$19+SUMPRODUCT(($B$91:$B$230="Garlic")*(AO$91:AO$230="G")*$C$91:$C$230)*$L$19+SUMPRODUCT(($B$91:$B$230="Garlic")*(AO$91:AO$230="H")*$C$91:$C$230)*$M$19+SUMPRODUCT(($B$91:$B$230="Garlic")*($BG$91:$BG$230=37)*$C$91:$C$230)*$H$19</f>
        <v/>
      </c>
      <c r="AP402" s="40">
        <f>SUMPRODUCT(($B$91:$B$230="Garlic")*(AP$91:AP$230="P")*$C$91:$C$230)*$K$19+SUMPRODUCT(($B$91:$B$230="Garlic")*(AP$91:AP$230="G")*$C$91:$C$230)*$L$19+SUMPRODUCT(($B$91:$B$230="Garlic")*(AP$91:AP$230="H")*$C$91:$C$230)*$M$19+SUMPRODUCT(($B$91:$B$230="Garlic")*($BG$91:$BG$230=38)*$C$91:$C$230)*$H$19</f>
        <v/>
      </c>
      <c r="AQ402" s="40">
        <f>SUMPRODUCT(($B$91:$B$230="Garlic")*(AQ$91:AQ$230="P")*$C$91:$C$230)*$K$19+SUMPRODUCT(($B$91:$B$230="Garlic")*(AQ$91:AQ$230="G")*$C$91:$C$230)*$L$19+SUMPRODUCT(($B$91:$B$230="Garlic")*(AQ$91:AQ$230="H")*$C$91:$C$230)*$M$19+SUMPRODUCT(($B$91:$B$230="Garlic")*($BG$91:$BG$230=39)*$C$91:$C$230)*$H$19</f>
        <v/>
      </c>
      <c r="AR402" s="40">
        <f>SUMPRODUCT(($B$91:$B$230="Garlic")*(AR$91:AR$230="P")*$C$91:$C$230)*$K$19+SUMPRODUCT(($B$91:$B$230="Garlic")*(AR$91:AR$230="G")*$C$91:$C$230)*$L$19+SUMPRODUCT(($B$91:$B$230="Garlic")*(AR$91:AR$230="H")*$C$91:$C$230)*$M$19+SUMPRODUCT(($B$91:$B$230="Garlic")*($BG$91:$BG$230=40)*$C$91:$C$230)*$H$19</f>
        <v/>
      </c>
      <c r="AS402" s="40">
        <f>SUMPRODUCT(($B$91:$B$230="Garlic")*(AS$91:AS$230="P")*$C$91:$C$230)*$K$19+SUMPRODUCT(($B$91:$B$230="Garlic")*(AS$91:AS$230="G")*$C$91:$C$230)*$L$19+SUMPRODUCT(($B$91:$B$230="Garlic")*(AS$91:AS$230="H")*$C$91:$C$230)*$M$19+SUMPRODUCT(($B$91:$B$230="Garlic")*($BG$91:$BG$230=41)*$C$91:$C$230)*$H$19</f>
        <v/>
      </c>
      <c r="AT402" s="40">
        <f>SUMPRODUCT(($B$91:$B$230="Garlic")*(AT$91:AT$230="P")*$C$91:$C$230)*$K$19+SUMPRODUCT(($B$91:$B$230="Garlic")*(AT$91:AT$230="G")*$C$91:$C$230)*$L$19+SUMPRODUCT(($B$91:$B$230="Garlic")*(AT$91:AT$230="H")*$C$91:$C$230)*$M$19+SUMPRODUCT(($B$91:$B$230="Garlic")*($BG$91:$BG$230=42)*$C$91:$C$230)*$H$19</f>
        <v/>
      </c>
      <c r="AU402" s="40">
        <f>SUMPRODUCT(($B$91:$B$230="Garlic")*(AU$91:AU$230="P")*$C$91:$C$230)*$K$19+SUMPRODUCT(($B$91:$B$230="Garlic")*(AU$91:AU$230="G")*$C$91:$C$230)*$L$19+SUMPRODUCT(($B$91:$B$230="Garlic")*(AU$91:AU$230="H")*$C$91:$C$230)*$M$19+SUMPRODUCT(($B$91:$B$230="Garlic")*($BG$91:$BG$230=43)*$C$91:$C$230)*$H$19</f>
        <v/>
      </c>
      <c r="AV402" s="40">
        <f>SUMPRODUCT(($B$91:$B$230="Garlic")*(AV$91:AV$230="P")*$C$91:$C$230)*$K$19+SUMPRODUCT(($B$91:$B$230="Garlic")*(AV$91:AV$230="G")*$C$91:$C$230)*$L$19+SUMPRODUCT(($B$91:$B$230="Garlic")*(AV$91:AV$230="H")*$C$91:$C$230)*$M$19+SUMPRODUCT(($B$91:$B$230="Garlic")*($BG$91:$BG$230=44)*$C$91:$C$230)*$H$19</f>
        <v/>
      </c>
      <c r="AW402" s="40">
        <f>SUMPRODUCT(($B$91:$B$230="Garlic")*(AW$91:AW$230="P")*$C$91:$C$230)*$K$19+SUMPRODUCT(($B$91:$B$230="Garlic")*(AW$91:AW$230="G")*$C$91:$C$230)*$L$19+SUMPRODUCT(($B$91:$B$230="Garlic")*(AW$91:AW$230="H")*$C$91:$C$230)*$M$19+SUMPRODUCT(($B$91:$B$230="Garlic")*($BG$91:$BG$230=45)*$C$91:$C$230)*$H$19</f>
        <v/>
      </c>
      <c r="AX402" s="40">
        <f>SUMPRODUCT(($B$91:$B$230="Garlic")*(AX$91:AX$230="P")*$C$91:$C$230)*$K$19+SUMPRODUCT(($B$91:$B$230="Garlic")*(AX$91:AX$230="G")*$C$91:$C$230)*$L$19+SUMPRODUCT(($B$91:$B$230="Garlic")*(AX$91:AX$230="H")*$C$91:$C$230)*$M$19+SUMPRODUCT(($B$91:$B$230="Garlic")*($BG$91:$BG$230=46)*$C$91:$C$230)*$H$19</f>
        <v/>
      </c>
      <c r="AY402" s="40">
        <f>SUMPRODUCT(($B$91:$B$230="Garlic")*(AY$91:AY$230="P")*$C$91:$C$230)*$K$19+SUMPRODUCT(($B$91:$B$230="Garlic")*(AY$91:AY$230="G")*$C$91:$C$230)*$L$19+SUMPRODUCT(($B$91:$B$230="Garlic")*(AY$91:AY$230="H")*$C$91:$C$230)*$M$19+SUMPRODUCT(($B$91:$B$230="Garlic")*($BG$91:$BG$230=47)*$C$91:$C$230)*$H$19</f>
        <v/>
      </c>
      <c r="AZ402" s="40">
        <f>SUMPRODUCT(($B$91:$B$230="Garlic")*(AZ$91:AZ$230="P")*$C$91:$C$230)*$K$19+SUMPRODUCT(($B$91:$B$230="Garlic")*(AZ$91:AZ$230="G")*$C$91:$C$230)*$L$19+SUMPRODUCT(($B$91:$B$230="Garlic")*(AZ$91:AZ$230="H")*$C$91:$C$230)*$M$19+SUMPRODUCT(($B$91:$B$230="Garlic")*($BG$91:$BG$230=48)*$C$91:$C$230)*$H$19</f>
        <v/>
      </c>
      <c r="BA402" s="40">
        <f>SUMPRODUCT(($B$91:$B$230="Garlic")*(BA$91:BA$230="P")*$C$91:$C$230)*$K$19+SUMPRODUCT(($B$91:$B$230="Garlic")*(BA$91:BA$230="G")*$C$91:$C$230)*$L$19+SUMPRODUCT(($B$91:$B$230="Garlic")*(BA$91:BA$230="H")*$C$91:$C$230)*$M$19+SUMPRODUCT(($B$91:$B$230="Garlic")*($BG$91:$BG$230=49)*$C$91:$C$230)*$H$19</f>
        <v/>
      </c>
      <c r="BB402" s="40">
        <f>SUMPRODUCT(($B$91:$B$230="Garlic")*(BB$91:BB$230="P")*$C$91:$C$230)*$K$19+SUMPRODUCT(($B$91:$B$230="Garlic")*(BB$91:BB$230="G")*$C$91:$C$230)*$L$19+SUMPRODUCT(($B$91:$B$230="Garlic")*(BB$91:BB$230="H")*$C$91:$C$230)*$M$19+SUMPRODUCT(($B$91:$B$230="Garlic")*($BG$91:$BG$230=50)*$C$91:$C$230)*$H$19</f>
        <v/>
      </c>
      <c r="BC402" s="40">
        <f>SUMPRODUCT(($B$91:$B$230="Garlic")*(BC$91:BC$230="P")*$C$91:$C$230)*$K$19+SUMPRODUCT(($B$91:$B$230="Garlic")*(BC$91:BC$230="G")*$C$91:$C$230)*$L$19+SUMPRODUCT(($B$91:$B$230="Garlic")*(BC$91:BC$230="H")*$C$91:$C$230)*$M$19+SUMPRODUCT(($B$91:$B$230="Garlic")*($BG$91:$BG$230=51)*$C$91:$C$230)*$H$19</f>
        <v/>
      </c>
      <c r="BD402" s="40">
        <f>SUMPRODUCT(($B$91:$B$230="Garlic")*(BD$91:BD$230="P")*$C$91:$C$230)*$K$19+SUMPRODUCT(($B$91:$B$230="Garlic")*(BD$91:BD$230="G")*$C$91:$C$230)*$L$19+SUMPRODUCT(($B$91:$B$230="Garlic")*(BD$91:BD$230="H")*$C$91:$C$230)*$M$19+SUMPRODUCT(($B$91:$B$230="Garlic")*($BG$91:$BG$230=52)*$C$91:$C$230)*$H$19</f>
        <v/>
      </c>
    </row>
    <row r="403">
      <c r="A403" s="33" t="inlineStr">
        <is>
          <t>Packaging this week</t>
        </is>
      </c>
      <c r="B403" s="2" t="inlineStr">
        <is>
          <t>$</t>
        </is>
      </c>
      <c r="E403" s="40">
        <f>E387*$J$39+E393*$J$40</f>
        <v/>
      </c>
      <c r="F403" s="40">
        <f>F387*$J$39+F393*$J$40</f>
        <v/>
      </c>
      <c r="G403" s="40">
        <f>G387*$J$39+G393*$J$40</f>
        <v/>
      </c>
      <c r="H403" s="40">
        <f>H387*$J$39+H393*$J$40</f>
        <v/>
      </c>
      <c r="I403" s="40">
        <f>I387*$J$39+I393*$J$40</f>
        <v/>
      </c>
      <c r="J403" s="40">
        <f>J387*$J$39+J393*$J$40</f>
        <v/>
      </c>
      <c r="K403" s="40">
        <f>K387*$J$39+K393*$J$40</f>
        <v/>
      </c>
      <c r="L403" s="40">
        <f>L387*$J$39+L393*$J$40</f>
        <v/>
      </c>
      <c r="M403" s="40">
        <f>M387*$J$39+M393*$J$40</f>
        <v/>
      </c>
      <c r="N403" s="40">
        <f>N387*$J$39+N393*$J$40</f>
        <v/>
      </c>
      <c r="O403" s="40">
        <f>O387*$J$39+O393*$J$40</f>
        <v/>
      </c>
      <c r="P403" s="40">
        <f>P387*$J$39+P393*$J$40</f>
        <v/>
      </c>
      <c r="Q403" s="40">
        <f>Q387*$J$39+Q393*$J$40</f>
        <v/>
      </c>
      <c r="R403" s="40">
        <f>R387*$J$39+R393*$J$40</f>
        <v/>
      </c>
      <c r="S403" s="40">
        <f>S387*$J$39+S393*$J$40</f>
        <v/>
      </c>
      <c r="T403" s="40">
        <f>T387*$J$39+T393*$J$40</f>
        <v/>
      </c>
      <c r="U403" s="40">
        <f>U387*$J$39+U393*$J$40</f>
        <v/>
      </c>
      <c r="V403" s="40">
        <f>V387*$J$39+V393*$J$40</f>
        <v/>
      </c>
      <c r="W403" s="40">
        <f>W387*$J$39+W393*$J$40</f>
        <v/>
      </c>
      <c r="X403" s="40">
        <f>X387*$J$39+X393*$J$40</f>
        <v/>
      </c>
      <c r="Y403" s="40">
        <f>Y387*$J$39+Y393*$J$40</f>
        <v/>
      </c>
      <c r="Z403" s="40">
        <f>Z387*$J$39+Z393*$J$40</f>
        <v/>
      </c>
      <c r="AA403" s="40">
        <f>AA387*$J$39+AA393*$J$40</f>
        <v/>
      </c>
      <c r="AB403" s="40">
        <f>AB387*$J$39+AB393*$J$40</f>
        <v/>
      </c>
      <c r="AC403" s="40">
        <f>AC387*$J$39+AC393*$J$40</f>
        <v/>
      </c>
      <c r="AD403" s="40">
        <f>AD387*$J$39+AD393*$J$40</f>
        <v/>
      </c>
      <c r="AE403" s="40">
        <f>AE387*$J$39+AE393*$J$40</f>
        <v/>
      </c>
      <c r="AF403" s="40">
        <f>AF387*$J$39+AF393*$J$40</f>
        <v/>
      </c>
      <c r="AG403" s="40">
        <f>AG387*$J$39+AG393*$J$40</f>
        <v/>
      </c>
      <c r="AH403" s="40">
        <f>AH387*$J$39+AH393*$J$40</f>
        <v/>
      </c>
      <c r="AI403" s="40">
        <f>AI387*$J$39+AI393*$J$40</f>
        <v/>
      </c>
      <c r="AJ403" s="40">
        <f>AJ387*$J$39+AJ393*$J$40</f>
        <v/>
      </c>
      <c r="AK403" s="40">
        <f>AK387*$J$39+AK393*$J$40</f>
        <v/>
      </c>
      <c r="AL403" s="40">
        <f>AL387*$J$39+AL393*$J$40</f>
        <v/>
      </c>
      <c r="AM403" s="40">
        <f>AM387*$J$39+AM393*$J$40</f>
        <v/>
      </c>
      <c r="AN403" s="40">
        <f>AN387*$J$39+AN393*$J$40</f>
        <v/>
      </c>
      <c r="AO403" s="40">
        <f>AO387*$J$39+AO393*$J$40</f>
        <v/>
      </c>
      <c r="AP403" s="40">
        <f>AP387*$J$39+AP393*$J$40</f>
        <v/>
      </c>
      <c r="AQ403" s="40">
        <f>AQ387*$J$39+AQ393*$J$40</f>
        <v/>
      </c>
      <c r="AR403" s="40">
        <f>AR387*$J$39+AR393*$J$40</f>
        <v/>
      </c>
      <c r="AS403" s="40">
        <f>AS387*$J$39+AS393*$J$40</f>
        <v/>
      </c>
      <c r="AT403" s="40">
        <f>AT387*$J$39+AT393*$J$40</f>
        <v/>
      </c>
      <c r="AU403" s="40">
        <f>AU387*$J$39+AU393*$J$40</f>
        <v/>
      </c>
      <c r="AV403" s="40">
        <f>AV387*$J$39+AV393*$J$40</f>
        <v/>
      </c>
      <c r="AW403" s="40">
        <f>AW387*$J$39+AW393*$J$40</f>
        <v/>
      </c>
      <c r="AX403" s="40">
        <f>AX387*$J$39+AX393*$J$40</f>
        <v/>
      </c>
      <c r="AY403" s="40">
        <f>AY387*$J$39+AY393*$J$40</f>
        <v/>
      </c>
      <c r="AZ403" s="40">
        <f>AZ387*$J$39+AZ393*$J$40</f>
        <v/>
      </c>
      <c r="BA403" s="40">
        <f>BA387*$J$39+BA393*$J$40</f>
        <v/>
      </c>
      <c r="BB403" s="40">
        <f>BB387*$J$39+BB393*$J$40</f>
        <v/>
      </c>
      <c r="BC403" s="40">
        <f>BC387*$J$39+BC393*$J$40</f>
        <v/>
      </c>
      <c r="BD403" s="40">
        <f>BD387*$J$39+BD393*$J$40</f>
        <v/>
      </c>
    </row>
    <row r="404">
      <c r="A404" s="4" t="inlineStr">
        <is>
          <t>ROOM OCCUPANCY</t>
        </is>
      </c>
      <c r="B404" s="2" t="inlineStr">
        <is>
          <t>m3</t>
        </is>
      </c>
      <c r="E404" s="60">
        <f>(E382+E381)*$D$19</f>
        <v/>
      </c>
      <c r="F404" s="60">
        <f>(F382+F381)*$D$19</f>
        <v/>
      </c>
      <c r="G404" s="60">
        <f>(G382+G381)*$D$19</f>
        <v/>
      </c>
      <c r="H404" s="60">
        <f>(H382+H381)*$D$19</f>
        <v/>
      </c>
      <c r="I404" s="60">
        <f>(I382+I381)*$D$19</f>
        <v/>
      </c>
      <c r="J404" s="60">
        <f>(J382+J381)*$D$19</f>
        <v/>
      </c>
      <c r="K404" s="60">
        <f>(K382+K381)*$D$19</f>
        <v/>
      </c>
      <c r="L404" s="60">
        <f>(L382+L381)*$D$19</f>
        <v/>
      </c>
      <c r="M404" s="60">
        <f>(M382+M381)*$D$19</f>
        <v/>
      </c>
      <c r="N404" s="60">
        <f>(N382+N381)*$D$19</f>
        <v/>
      </c>
      <c r="O404" s="60">
        <f>(O382+O381)*$D$19</f>
        <v/>
      </c>
      <c r="P404" s="60">
        <f>(P382+P381)*$D$19</f>
        <v/>
      </c>
      <c r="Q404" s="60">
        <f>(Q382+Q381)*$D$19</f>
        <v/>
      </c>
      <c r="R404" s="60">
        <f>(R382+R381)*$D$19</f>
        <v/>
      </c>
      <c r="S404" s="60">
        <f>(S382+S381)*$D$19</f>
        <v/>
      </c>
      <c r="T404" s="60">
        <f>(T382+T381)*$D$19</f>
        <v/>
      </c>
      <c r="U404" s="60">
        <f>(U382+U381)*$D$19</f>
        <v/>
      </c>
      <c r="V404" s="60">
        <f>(V382+V381)*$D$19</f>
        <v/>
      </c>
      <c r="W404" s="60">
        <f>(W382+W381)*$D$19</f>
        <v/>
      </c>
      <c r="X404" s="60">
        <f>(X382+X381)*$D$19</f>
        <v/>
      </c>
      <c r="Y404" s="60">
        <f>(Y382+Y381)*$D$19</f>
        <v/>
      </c>
      <c r="Z404" s="60">
        <f>(Z382+Z381)*$D$19</f>
        <v/>
      </c>
      <c r="AA404" s="60">
        <f>(AA382+AA381)*$D$19</f>
        <v/>
      </c>
      <c r="AB404" s="60">
        <f>(AB382+AB381)*$D$19</f>
        <v/>
      </c>
      <c r="AC404" s="60">
        <f>(AC382+AC381)*$D$19</f>
        <v/>
      </c>
      <c r="AD404" s="60">
        <f>(AD382+AD381)*$D$19</f>
        <v/>
      </c>
      <c r="AE404" s="60">
        <f>(AE382+AE381)*$D$19</f>
        <v/>
      </c>
      <c r="AF404" s="60">
        <f>(AF382+AF381)*$D$19</f>
        <v/>
      </c>
      <c r="AG404" s="60">
        <f>(AG382+AG381)*$D$19</f>
        <v/>
      </c>
      <c r="AH404" s="60">
        <f>(AH382+AH381)*$D$19</f>
        <v/>
      </c>
      <c r="AI404" s="60">
        <f>(AI382+AI381)*$D$19</f>
        <v/>
      </c>
      <c r="AJ404" s="60">
        <f>(AJ382+AJ381)*$D$19</f>
        <v/>
      </c>
      <c r="AK404" s="60">
        <f>(AK382+AK381)*$D$19</f>
        <v/>
      </c>
      <c r="AL404" s="60">
        <f>(AL382+AL381)*$D$19</f>
        <v/>
      </c>
      <c r="AM404" s="60">
        <f>(AM382+AM381)*$D$19</f>
        <v/>
      </c>
      <c r="AN404" s="60">
        <f>(AN382+AN381)*$D$19</f>
        <v/>
      </c>
      <c r="AO404" s="60">
        <f>(AO382+AO381)*$D$19</f>
        <v/>
      </c>
      <c r="AP404" s="60">
        <f>(AP382+AP381)*$D$19</f>
        <v/>
      </c>
      <c r="AQ404" s="60">
        <f>(AQ382+AQ381)*$D$19</f>
        <v/>
      </c>
      <c r="AR404" s="60">
        <f>(AR382+AR381)*$D$19</f>
        <v/>
      </c>
      <c r="AS404" s="60">
        <f>(AS382+AS381)*$D$19</f>
        <v/>
      </c>
      <c r="AT404" s="60">
        <f>(AT382+AT381)*$D$19</f>
        <v/>
      </c>
      <c r="AU404" s="60">
        <f>(AU382+AU381)*$D$19</f>
        <v/>
      </c>
      <c r="AV404" s="60">
        <f>(AV382+AV381)*$D$19</f>
        <v/>
      </c>
      <c r="AW404" s="60">
        <f>(AW382+AW381)*$D$19</f>
        <v/>
      </c>
      <c r="AX404" s="60">
        <f>(AX382+AX381)*$D$19</f>
        <v/>
      </c>
      <c r="AY404" s="60">
        <f>(AY382+AY381)*$D$19</f>
        <v/>
      </c>
      <c r="AZ404" s="60">
        <f>(AZ382+AZ381)*$D$19</f>
        <v/>
      </c>
      <c r="BA404" s="60">
        <f>(BA382+BA381)*$D$19</f>
        <v/>
      </c>
      <c r="BB404" s="60">
        <f>(BB382+BB381)*$D$19</f>
        <v/>
      </c>
      <c r="BC404" s="60">
        <f>(BC382+BC381)*$D$19</f>
        <v/>
      </c>
      <c r="BD404" s="60">
        <f>(BD382+BD381)*$D$19</f>
        <v/>
      </c>
    </row>
    <row r="406">
      <c r="A406" s="3" t="inlineStr">
        <is>
          <t>TUNNEL SPINACH  —  cold store</t>
        </is>
      </c>
      <c r="B406" s="53" t="inlineStr"/>
    </row>
    <row r="407">
      <c r="A407" s="36" t="inlineStr">
        <is>
          <t>Week</t>
        </is>
      </c>
      <c r="B407" s="37" t="inlineStr"/>
      <c r="E407" s="38" t="n">
        <v>1</v>
      </c>
      <c r="F407" s="38" t="n">
        <v>2</v>
      </c>
      <c r="G407" s="38" t="n">
        <v>3</v>
      </c>
      <c r="H407" s="38" t="n">
        <v>4</v>
      </c>
      <c r="I407" s="38" t="n">
        <v>5</v>
      </c>
      <c r="J407" s="38" t="n">
        <v>6</v>
      </c>
      <c r="K407" s="38" t="n">
        <v>7</v>
      </c>
      <c r="L407" s="38" t="n">
        <v>8</v>
      </c>
      <c r="M407" s="38" t="n">
        <v>9</v>
      </c>
      <c r="N407" s="38" t="n">
        <v>10</v>
      </c>
      <c r="O407" s="38" t="n">
        <v>11</v>
      </c>
      <c r="P407" s="38" t="n">
        <v>12</v>
      </c>
      <c r="Q407" s="38" t="n">
        <v>13</v>
      </c>
      <c r="R407" s="38" t="n">
        <v>14</v>
      </c>
      <c r="S407" s="38" t="n">
        <v>15</v>
      </c>
      <c r="T407" s="38" t="n">
        <v>16</v>
      </c>
      <c r="U407" s="38" t="n">
        <v>17</v>
      </c>
      <c r="V407" s="38" t="n">
        <v>18</v>
      </c>
      <c r="W407" s="38" t="n">
        <v>19</v>
      </c>
      <c r="X407" s="38" t="n">
        <v>20</v>
      </c>
      <c r="Y407" s="38" t="n">
        <v>21</v>
      </c>
      <c r="Z407" s="38" t="n">
        <v>22</v>
      </c>
      <c r="AA407" s="38" t="n">
        <v>23</v>
      </c>
      <c r="AB407" s="38" t="n">
        <v>24</v>
      </c>
      <c r="AC407" s="38" t="n">
        <v>25</v>
      </c>
      <c r="AD407" s="38" t="n">
        <v>26</v>
      </c>
      <c r="AE407" s="38" t="n">
        <v>27</v>
      </c>
      <c r="AF407" s="38" t="n">
        <v>28</v>
      </c>
      <c r="AG407" s="38" t="n">
        <v>29</v>
      </c>
      <c r="AH407" s="38" t="n">
        <v>30</v>
      </c>
      <c r="AI407" s="38" t="n">
        <v>31</v>
      </c>
      <c r="AJ407" s="38" t="n">
        <v>32</v>
      </c>
      <c r="AK407" s="38" t="n">
        <v>33</v>
      </c>
      <c r="AL407" s="38" t="n">
        <v>34</v>
      </c>
      <c r="AM407" s="38" t="n">
        <v>35</v>
      </c>
      <c r="AN407" s="38" t="n">
        <v>36</v>
      </c>
      <c r="AO407" s="38" t="n">
        <v>37</v>
      </c>
      <c r="AP407" s="38" t="n">
        <v>38</v>
      </c>
      <c r="AQ407" s="38" t="n">
        <v>39</v>
      </c>
      <c r="AR407" s="38" t="n">
        <v>40</v>
      </c>
      <c r="AS407" s="38" t="n">
        <v>41</v>
      </c>
      <c r="AT407" s="38" t="n">
        <v>42</v>
      </c>
      <c r="AU407" s="38" t="n">
        <v>43</v>
      </c>
      <c r="AV407" s="38" t="n">
        <v>44</v>
      </c>
      <c r="AW407" s="38" t="n">
        <v>45</v>
      </c>
      <c r="AX407" s="38" t="n">
        <v>46</v>
      </c>
      <c r="AY407" s="38" t="n">
        <v>47</v>
      </c>
      <c r="AZ407" s="38" t="n">
        <v>48</v>
      </c>
      <c r="BA407" s="38" t="n">
        <v>49</v>
      </c>
      <c r="BB407" s="38" t="n">
        <v>50</v>
      </c>
      <c r="BC407" s="38" t="n">
        <v>51</v>
      </c>
      <c r="BD407" s="38" t="n">
        <v>52</v>
      </c>
    </row>
    <row r="408">
      <c r="A408" s="4" t="inlineStr">
        <is>
          <t>Packed out -&gt; INTO the store</t>
        </is>
      </c>
      <c r="B408" s="2" t="inlineStr">
        <is>
          <t>lb</t>
        </is>
      </c>
      <c r="E408" s="40">
        <f>SUMPRODUCT(($B$91:$B$230="Tunnel Spinach")*(E$91:E$230="H")*$C$91:$C$230)*$B$20/$J$20*$C$20</f>
        <v/>
      </c>
      <c r="F408" s="40">
        <f>SUMPRODUCT(($B$91:$B$230="Tunnel Spinach")*(F$91:F$230="H")*$C$91:$C$230)*$B$20/$J$20*$C$20</f>
        <v/>
      </c>
      <c r="G408" s="40">
        <f>SUMPRODUCT(($B$91:$B$230="Tunnel Spinach")*(G$91:G$230="H")*$C$91:$C$230)*$B$20/$J$20*$C$20</f>
        <v/>
      </c>
      <c r="H408" s="40">
        <f>SUMPRODUCT(($B$91:$B$230="Tunnel Spinach")*(H$91:H$230="H")*$C$91:$C$230)*$B$20/$J$20*$C$20</f>
        <v/>
      </c>
      <c r="I408" s="40">
        <f>SUMPRODUCT(($B$91:$B$230="Tunnel Spinach")*(I$91:I$230="H")*$C$91:$C$230)*$B$20/$J$20*$C$20</f>
        <v/>
      </c>
      <c r="J408" s="40">
        <f>SUMPRODUCT(($B$91:$B$230="Tunnel Spinach")*(J$91:J$230="H")*$C$91:$C$230)*$B$20/$J$20*$C$20</f>
        <v/>
      </c>
      <c r="K408" s="40">
        <f>SUMPRODUCT(($B$91:$B$230="Tunnel Spinach")*(K$91:K$230="H")*$C$91:$C$230)*$B$20/$J$20*$C$20</f>
        <v/>
      </c>
      <c r="L408" s="40">
        <f>SUMPRODUCT(($B$91:$B$230="Tunnel Spinach")*(L$91:L$230="H")*$C$91:$C$230)*$B$20/$J$20*$C$20</f>
        <v/>
      </c>
      <c r="M408" s="40">
        <f>SUMPRODUCT(($B$91:$B$230="Tunnel Spinach")*(M$91:M$230="H")*$C$91:$C$230)*$B$20/$J$20*$C$20</f>
        <v/>
      </c>
      <c r="N408" s="40">
        <f>SUMPRODUCT(($B$91:$B$230="Tunnel Spinach")*(N$91:N$230="H")*$C$91:$C$230)*$B$20/$J$20*$C$20</f>
        <v/>
      </c>
      <c r="O408" s="40">
        <f>SUMPRODUCT(($B$91:$B$230="Tunnel Spinach")*(O$91:O$230="H")*$C$91:$C$230)*$B$20/$J$20*$C$20</f>
        <v/>
      </c>
      <c r="P408" s="40">
        <f>SUMPRODUCT(($B$91:$B$230="Tunnel Spinach")*(P$91:P$230="H")*$C$91:$C$230)*$B$20/$J$20*$C$20</f>
        <v/>
      </c>
      <c r="Q408" s="40">
        <f>SUMPRODUCT(($B$91:$B$230="Tunnel Spinach")*(Q$91:Q$230="H")*$C$91:$C$230)*$B$20/$J$20*$C$20</f>
        <v/>
      </c>
      <c r="R408" s="40">
        <f>SUMPRODUCT(($B$91:$B$230="Tunnel Spinach")*(R$91:R$230="H")*$C$91:$C$230)*$B$20/$J$20*$C$20</f>
        <v/>
      </c>
      <c r="S408" s="40">
        <f>SUMPRODUCT(($B$91:$B$230="Tunnel Spinach")*(S$91:S$230="H")*$C$91:$C$230)*$B$20/$J$20*$C$20</f>
        <v/>
      </c>
      <c r="T408" s="40">
        <f>SUMPRODUCT(($B$91:$B$230="Tunnel Spinach")*(T$91:T$230="H")*$C$91:$C$230)*$B$20/$J$20*$C$20</f>
        <v/>
      </c>
      <c r="U408" s="40">
        <f>SUMPRODUCT(($B$91:$B$230="Tunnel Spinach")*(U$91:U$230="H")*$C$91:$C$230)*$B$20/$J$20*$C$20</f>
        <v/>
      </c>
      <c r="V408" s="40">
        <f>SUMPRODUCT(($B$91:$B$230="Tunnel Spinach")*(V$91:V$230="H")*$C$91:$C$230)*$B$20/$J$20*$C$20</f>
        <v/>
      </c>
      <c r="W408" s="40">
        <f>SUMPRODUCT(($B$91:$B$230="Tunnel Spinach")*(W$91:W$230="H")*$C$91:$C$230)*$B$20/$J$20*$C$20</f>
        <v/>
      </c>
      <c r="X408" s="40">
        <f>SUMPRODUCT(($B$91:$B$230="Tunnel Spinach")*(X$91:X$230="H")*$C$91:$C$230)*$B$20/$J$20*$C$20</f>
        <v/>
      </c>
      <c r="Y408" s="40">
        <f>SUMPRODUCT(($B$91:$B$230="Tunnel Spinach")*(Y$91:Y$230="H")*$C$91:$C$230)*$B$20/$J$20*$C$20</f>
        <v/>
      </c>
      <c r="Z408" s="40">
        <f>SUMPRODUCT(($B$91:$B$230="Tunnel Spinach")*(Z$91:Z$230="H")*$C$91:$C$230)*$B$20/$J$20*$C$20</f>
        <v/>
      </c>
      <c r="AA408" s="40">
        <f>SUMPRODUCT(($B$91:$B$230="Tunnel Spinach")*(AA$91:AA$230="H")*$C$91:$C$230)*$B$20/$J$20*$C$20</f>
        <v/>
      </c>
      <c r="AB408" s="40">
        <f>SUMPRODUCT(($B$91:$B$230="Tunnel Spinach")*(AB$91:AB$230="H")*$C$91:$C$230)*$B$20/$J$20*$C$20</f>
        <v/>
      </c>
      <c r="AC408" s="40">
        <f>SUMPRODUCT(($B$91:$B$230="Tunnel Spinach")*(AC$91:AC$230="H")*$C$91:$C$230)*$B$20/$J$20*$C$20</f>
        <v/>
      </c>
      <c r="AD408" s="40">
        <f>SUMPRODUCT(($B$91:$B$230="Tunnel Spinach")*(AD$91:AD$230="H")*$C$91:$C$230)*$B$20/$J$20*$C$20</f>
        <v/>
      </c>
      <c r="AE408" s="40">
        <f>SUMPRODUCT(($B$91:$B$230="Tunnel Spinach")*(AE$91:AE$230="H")*$C$91:$C$230)*$B$20/$J$20*$C$20</f>
        <v/>
      </c>
      <c r="AF408" s="40">
        <f>SUMPRODUCT(($B$91:$B$230="Tunnel Spinach")*(AF$91:AF$230="H")*$C$91:$C$230)*$B$20/$J$20*$C$20</f>
        <v/>
      </c>
      <c r="AG408" s="40">
        <f>SUMPRODUCT(($B$91:$B$230="Tunnel Spinach")*(AG$91:AG$230="H")*$C$91:$C$230)*$B$20/$J$20*$C$20</f>
        <v/>
      </c>
      <c r="AH408" s="40">
        <f>SUMPRODUCT(($B$91:$B$230="Tunnel Spinach")*(AH$91:AH$230="H")*$C$91:$C$230)*$B$20/$J$20*$C$20</f>
        <v/>
      </c>
      <c r="AI408" s="40">
        <f>SUMPRODUCT(($B$91:$B$230="Tunnel Spinach")*(AI$91:AI$230="H")*$C$91:$C$230)*$B$20/$J$20*$C$20</f>
        <v/>
      </c>
      <c r="AJ408" s="40">
        <f>SUMPRODUCT(($B$91:$B$230="Tunnel Spinach")*(AJ$91:AJ$230="H")*$C$91:$C$230)*$B$20/$J$20*$C$20</f>
        <v/>
      </c>
      <c r="AK408" s="40">
        <f>SUMPRODUCT(($B$91:$B$230="Tunnel Spinach")*(AK$91:AK$230="H")*$C$91:$C$230)*$B$20/$J$20*$C$20</f>
        <v/>
      </c>
      <c r="AL408" s="40">
        <f>SUMPRODUCT(($B$91:$B$230="Tunnel Spinach")*(AL$91:AL$230="H")*$C$91:$C$230)*$B$20/$J$20*$C$20</f>
        <v/>
      </c>
      <c r="AM408" s="40">
        <f>SUMPRODUCT(($B$91:$B$230="Tunnel Spinach")*(AM$91:AM$230="H")*$C$91:$C$230)*$B$20/$J$20*$C$20</f>
        <v/>
      </c>
      <c r="AN408" s="40">
        <f>SUMPRODUCT(($B$91:$B$230="Tunnel Spinach")*(AN$91:AN$230="H")*$C$91:$C$230)*$B$20/$J$20*$C$20</f>
        <v/>
      </c>
      <c r="AO408" s="40">
        <f>SUMPRODUCT(($B$91:$B$230="Tunnel Spinach")*(AO$91:AO$230="H")*$C$91:$C$230)*$B$20/$J$20*$C$20</f>
        <v/>
      </c>
      <c r="AP408" s="40">
        <f>SUMPRODUCT(($B$91:$B$230="Tunnel Spinach")*(AP$91:AP$230="H")*$C$91:$C$230)*$B$20/$J$20*$C$20</f>
        <v/>
      </c>
      <c r="AQ408" s="40">
        <f>SUMPRODUCT(($B$91:$B$230="Tunnel Spinach")*(AQ$91:AQ$230="H")*$C$91:$C$230)*$B$20/$J$20*$C$20</f>
        <v/>
      </c>
      <c r="AR408" s="40">
        <f>SUMPRODUCT(($B$91:$B$230="Tunnel Spinach")*(AR$91:AR$230="H")*$C$91:$C$230)*$B$20/$J$20*$C$20</f>
        <v/>
      </c>
      <c r="AS408" s="40">
        <f>SUMPRODUCT(($B$91:$B$230="Tunnel Spinach")*(AS$91:AS$230="H")*$C$91:$C$230)*$B$20/$J$20*$C$20</f>
        <v/>
      </c>
      <c r="AT408" s="40">
        <f>SUMPRODUCT(($B$91:$B$230="Tunnel Spinach")*(AT$91:AT$230="H")*$C$91:$C$230)*$B$20/$J$20*$C$20</f>
        <v/>
      </c>
      <c r="AU408" s="40">
        <f>SUMPRODUCT(($B$91:$B$230="Tunnel Spinach")*(AU$91:AU$230="H")*$C$91:$C$230)*$B$20/$J$20*$C$20</f>
        <v/>
      </c>
      <c r="AV408" s="40">
        <f>SUMPRODUCT(($B$91:$B$230="Tunnel Spinach")*(AV$91:AV$230="H")*$C$91:$C$230)*$B$20/$J$20*$C$20</f>
        <v/>
      </c>
      <c r="AW408" s="40">
        <f>SUMPRODUCT(($B$91:$B$230="Tunnel Spinach")*(AW$91:AW$230="H")*$C$91:$C$230)*$B$20/$J$20*$C$20</f>
        <v/>
      </c>
      <c r="AX408" s="40">
        <f>SUMPRODUCT(($B$91:$B$230="Tunnel Spinach")*(AX$91:AX$230="H")*$C$91:$C$230)*$B$20/$J$20*$C$20</f>
        <v/>
      </c>
      <c r="AY408" s="40">
        <f>SUMPRODUCT(($B$91:$B$230="Tunnel Spinach")*(AY$91:AY$230="H")*$C$91:$C$230)*$B$20/$J$20*$C$20</f>
        <v/>
      </c>
      <c r="AZ408" s="40">
        <f>SUMPRODUCT(($B$91:$B$230="Tunnel Spinach")*(AZ$91:AZ$230="H")*$C$91:$C$230)*$B$20/$J$20*$C$20</f>
        <v/>
      </c>
      <c r="BA408" s="40">
        <f>SUMPRODUCT(($B$91:$B$230="Tunnel Spinach")*(BA$91:BA$230="H")*$C$91:$C$230)*$B$20/$J$20*$C$20</f>
        <v/>
      </c>
      <c r="BB408" s="40">
        <f>SUMPRODUCT(($B$91:$B$230="Tunnel Spinach")*(BB$91:BB$230="H")*$C$91:$C$230)*$B$20/$J$20*$C$20</f>
        <v/>
      </c>
      <c r="BC408" s="40">
        <f>SUMPRODUCT(($B$91:$B$230="Tunnel Spinach")*(BC$91:BC$230="H")*$C$91:$C$230)*$B$20/$J$20*$C$20</f>
        <v/>
      </c>
      <c r="BD408" s="40">
        <f>SUMPRODUCT(($B$91:$B$230="Tunnel Spinach")*(BD$91:BD$230="H")*$C$91:$C$230)*$B$20/$J$20*$C$20</f>
        <v/>
      </c>
    </row>
    <row r="409">
      <c r="A409" s="33" t="inlineStr">
        <is>
          <t>Stock carried in</t>
        </is>
      </c>
      <c r="B409" s="2" t="inlineStr">
        <is>
          <t>lb</t>
        </is>
      </c>
      <c r="E409" s="40" t="n">
        <v>0</v>
      </c>
      <c r="F409" s="40">
        <f>E424</f>
        <v/>
      </c>
      <c r="G409" s="40">
        <f>F424</f>
        <v/>
      </c>
      <c r="H409" s="40">
        <f>G424</f>
        <v/>
      </c>
      <c r="I409" s="40">
        <f>H424</f>
        <v/>
      </c>
      <c r="J409" s="40">
        <f>I424</f>
        <v/>
      </c>
      <c r="K409" s="40">
        <f>J424</f>
        <v/>
      </c>
      <c r="L409" s="40">
        <f>K424</f>
        <v/>
      </c>
      <c r="M409" s="40">
        <f>L424</f>
        <v/>
      </c>
      <c r="N409" s="40">
        <f>M424</f>
        <v/>
      </c>
      <c r="O409" s="40">
        <f>N424</f>
        <v/>
      </c>
      <c r="P409" s="40">
        <f>O424</f>
        <v/>
      </c>
      <c r="Q409" s="40">
        <f>P424</f>
        <v/>
      </c>
      <c r="R409" s="40">
        <f>Q424</f>
        <v/>
      </c>
      <c r="S409" s="40">
        <f>R424</f>
        <v/>
      </c>
      <c r="T409" s="40">
        <f>S424</f>
        <v/>
      </c>
      <c r="U409" s="40">
        <f>T424</f>
        <v/>
      </c>
      <c r="V409" s="40">
        <f>U424</f>
        <v/>
      </c>
      <c r="W409" s="40">
        <f>V424</f>
        <v/>
      </c>
      <c r="X409" s="40">
        <f>W424</f>
        <v/>
      </c>
      <c r="Y409" s="40">
        <f>X424</f>
        <v/>
      </c>
      <c r="Z409" s="40">
        <f>Y424</f>
        <v/>
      </c>
      <c r="AA409" s="40">
        <f>Z424</f>
        <v/>
      </c>
      <c r="AB409" s="40">
        <f>AA424</f>
        <v/>
      </c>
      <c r="AC409" s="40">
        <f>AB424</f>
        <v/>
      </c>
      <c r="AD409" s="40">
        <f>AC424</f>
        <v/>
      </c>
      <c r="AE409" s="40">
        <f>AD424</f>
        <v/>
      </c>
      <c r="AF409" s="40">
        <f>AE424</f>
        <v/>
      </c>
      <c r="AG409" s="40">
        <f>AF424</f>
        <v/>
      </c>
      <c r="AH409" s="40">
        <f>AG424</f>
        <v/>
      </c>
      <c r="AI409" s="40">
        <f>AH424</f>
        <v/>
      </c>
      <c r="AJ409" s="40">
        <f>AI424</f>
        <v/>
      </c>
      <c r="AK409" s="40">
        <f>AJ424</f>
        <v/>
      </c>
      <c r="AL409" s="40">
        <f>AK424</f>
        <v/>
      </c>
      <c r="AM409" s="40">
        <f>AL424</f>
        <v/>
      </c>
      <c r="AN409" s="40">
        <f>AM424</f>
        <v/>
      </c>
      <c r="AO409" s="40">
        <f>AN424</f>
        <v/>
      </c>
      <c r="AP409" s="40">
        <f>AO424</f>
        <v/>
      </c>
      <c r="AQ409" s="40">
        <f>AP424</f>
        <v/>
      </c>
      <c r="AR409" s="40">
        <f>AQ424</f>
        <v/>
      </c>
      <c r="AS409" s="40">
        <f>AR424</f>
        <v/>
      </c>
      <c r="AT409" s="40">
        <f>AS424</f>
        <v/>
      </c>
      <c r="AU409" s="40">
        <f>AT424</f>
        <v/>
      </c>
      <c r="AV409" s="40">
        <f>AU424</f>
        <v/>
      </c>
      <c r="AW409" s="40">
        <f>AV424</f>
        <v/>
      </c>
      <c r="AX409" s="40">
        <f>AW424</f>
        <v/>
      </c>
      <c r="AY409" s="40">
        <f>AX424</f>
        <v/>
      </c>
      <c r="AZ409" s="40">
        <f>AY424</f>
        <v/>
      </c>
      <c r="BA409" s="40">
        <f>AZ424</f>
        <v/>
      </c>
      <c r="BB409" s="40">
        <f>BA424</f>
        <v/>
      </c>
      <c r="BC409" s="40">
        <f>BB424</f>
        <v/>
      </c>
      <c r="BD409" s="40">
        <f>BC424</f>
        <v/>
      </c>
    </row>
    <row r="410">
      <c r="A410" s="33" t="inlineStr">
        <is>
          <t xml:space="preserve">   lost to shrink</t>
        </is>
      </c>
      <c r="B410" s="2" t="inlineStr">
        <is>
          <t>lb</t>
        </is>
      </c>
      <c r="E410" s="40">
        <f>E409*$G$20</f>
        <v/>
      </c>
      <c r="F410" s="40">
        <f>F409*$G$20</f>
        <v/>
      </c>
      <c r="G410" s="40">
        <f>G409*$G$20</f>
        <v/>
      </c>
      <c r="H410" s="40">
        <f>H409*$G$20</f>
        <v/>
      </c>
      <c r="I410" s="40">
        <f>I409*$G$20</f>
        <v/>
      </c>
      <c r="J410" s="40">
        <f>J409*$G$20</f>
        <v/>
      </c>
      <c r="K410" s="40">
        <f>K409*$G$20</f>
        <v/>
      </c>
      <c r="L410" s="40">
        <f>L409*$G$20</f>
        <v/>
      </c>
      <c r="M410" s="40">
        <f>M409*$G$20</f>
        <v/>
      </c>
      <c r="N410" s="40">
        <f>N409*$G$20</f>
        <v/>
      </c>
      <c r="O410" s="40">
        <f>O409*$G$20</f>
        <v/>
      </c>
      <c r="P410" s="40">
        <f>P409*$G$20</f>
        <v/>
      </c>
      <c r="Q410" s="40">
        <f>Q409*$G$20</f>
        <v/>
      </c>
      <c r="R410" s="40">
        <f>R409*$G$20</f>
        <v/>
      </c>
      <c r="S410" s="40">
        <f>S409*$G$20</f>
        <v/>
      </c>
      <c r="T410" s="40">
        <f>T409*$G$20</f>
        <v/>
      </c>
      <c r="U410" s="40">
        <f>U409*$G$20</f>
        <v/>
      </c>
      <c r="V410" s="40">
        <f>V409*$G$20</f>
        <v/>
      </c>
      <c r="W410" s="40">
        <f>W409*$G$20</f>
        <v/>
      </c>
      <c r="X410" s="40">
        <f>X409*$G$20</f>
        <v/>
      </c>
      <c r="Y410" s="40">
        <f>Y409*$G$20</f>
        <v/>
      </c>
      <c r="Z410" s="40">
        <f>Z409*$G$20</f>
        <v/>
      </c>
      <c r="AA410" s="40">
        <f>AA409*$G$20</f>
        <v/>
      </c>
      <c r="AB410" s="40">
        <f>AB409*$G$20</f>
        <v/>
      </c>
      <c r="AC410" s="40">
        <f>AC409*$G$20</f>
        <v/>
      </c>
      <c r="AD410" s="40">
        <f>AD409*$G$20</f>
        <v/>
      </c>
      <c r="AE410" s="40">
        <f>AE409*$G$20</f>
        <v/>
      </c>
      <c r="AF410" s="40">
        <f>AF409*$G$20</f>
        <v/>
      </c>
      <c r="AG410" s="40">
        <f>AG409*$G$20</f>
        <v/>
      </c>
      <c r="AH410" s="40">
        <f>AH409*$G$20</f>
        <v/>
      </c>
      <c r="AI410" s="40">
        <f>AI409*$G$20</f>
        <v/>
      </c>
      <c r="AJ410" s="40">
        <f>AJ409*$G$20</f>
        <v/>
      </c>
      <c r="AK410" s="40">
        <f>AK409*$G$20</f>
        <v/>
      </c>
      <c r="AL410" s="40">
        <f>AL409*$G$20</f>
        <v/>
      </c>
      <c r="AM410" s="40">
        <f>AM409*$G$20</f>
        <v/>
      </c>
      <c r="AN410" s="40">
        <f>AN409*$G$20</f>
        <v/>
      </c>
      <c r="AO410" s="40">
        <f>AO409*$G$20</f>
        <v/>
      </c>
      <c r="AP410" s="40">
        <f>AP409*$G$20</f>
        <v/>
      </c>
      <c r="AQ410" s="40">
        <f>AQ409*$G$20</f>
        <v/>
      </c>
      <c r="AR410" s="40">
        <f>AR409*$G$20</f>
        <v/>
      </c>
      <c r="AS410" s="40">
        <f>AS409*$G$20</f>
        <v/>
      </c>
      <c r="AT410" s="40">
        <f>AT409*$G$20</f>
        <v/>
      </c>
      <c r="AU410" s="40">
        <f>AU409*$G$20</f>
        <v/>
      </c>
      <c r="AV410" s="40">
        <f>AV409*$G$20</f>
        <v/>
      </c>
      <c r="AW410" s="40">
        <f>AW409*$G$20</f>
        <v/>
      </c>
      <c r="AX410" s="40">
        <f>AX409*$G$20</f>
        <v/>
      </c>
      <c r="AY410" s="40">
        <f>AY409*$G$20</f>
        <v/>
      </c>
      <c r="AZ410" s="40">
        <f>AZ409*$G$20</f>
        <v/>
      </c>
      <c r="BA410" s="40">
        <f>BA409*$G$20</f>
        <v/>
      </c>
      <c r="BB410" s="40">
        <f>BB409*$G$20</f>
        <v/>
      </c>
      <c r="BC410" s="40">
        <f>BC409*$G$20</f>
        <v/>
      </c>
      <c r="BD410" s="40">
        <f>BD409*$G$20</f>
        <v/>
      </c>
    </row>
    <row r="411">
      <c r="A411" s="4" t="inlineStr">
        <is>
          <t>In store this week</t>
        </is>
      </c>
      <c r="B411" s="2" t="inlineStr">
        <is>
          <t>lb</t>
        </is>
      </c>
      <c r="E411" s="40">
        <f>E409-E410+E408</f>
        <v/>
      </c>
      <c r="F411" s="40">
        <f>F409-F410+F408</f>
        <v/>
      </c>
      <c r="G411" s="40">
        <f>G409-G410+G408</f>
        <v/>
      </c>
      <c r="H411" s="40">
        <f>H409-H410+H408</f>
        <v/>
      </c>
      <c r="I411" s="40">
        <f>I409-I410+I408</f>
        <v/>
      </c>
      <c r="J411" s="40">
        <f>J409-J410+J408</f>
        <v/>
      </c>
      <c r="K411" s="40">
        <f>K409-K410+K408</f>
        <v/>
      </c>
      <c r="L411" s="40">
        <f>L409-L410+L408</f>
        <v/>
      </c>
      <c r="M411" s="40">
        <f>M409-M410+M408</f>
        <v/>
      </c>
      <c r="N411" s="40">
        <f>N409-N410+N408</f>
        <v/>
      </c>
      <c r="O411" s="40">
        <f>O409-O410+O408</f>
        <v/>
      </c>
      <c r="P411" s="40">
        <f>P409-P410+P408</f>
        <v/>
      </c>
      <c r="Q411" s="40">
        <f>Q409-Q410+Q408</f>
        <v/>
      </c>
      <c r="R411" s="40">
        <f>R409-R410+R408</f>
        <v/>
      </c>
      <c r="S411" s="40">
        <f>S409-S410+S408</f>
        <v/>
      </c>
      <c r="T411" s="40">
        <f>T409-T410+T408</f>
        <v/>
      </c>
      <c r="U411" s="40">
        <f>U409-U410+U408</f>
        <v/>
      </c>
      <c r="V411" s="40">
        <f>V409-V410+V408</f>
        <v/>
      </c>
      <c r="W411" s="40">
        <f>W409-W410+W408</f>
        <v/>
      </c>
      <c r="X411" s="40">
        <f>X409-X410+X408</f>
        <v/>
      </c>
      <c r="Y411" s="40">
        <f>Y409-Y410+Y408</f>
        <v/>
      </c>
      <c r="Z411" s="40">
        <f>Z409-Z410+Z408</f>
        <v/>
      </c>
      <c r="AA411" s="40">
        <f>AA409-AA410+AA408</f>
        <v/>
      </c>
      <c r="AB411" s="40">
        <f>AB409-AB410+AB408</f>
        <v/>
      </c>
      <c r="AC411" s="40">
        <f>AC409-AC410+AC408</f>
        <v/>
      </c>
      <c r="AD411" s="40">
        <f>AD409-AD410+AD408</f>
        <v/>
      </c>
      <c r="AE411" s="40">
        <f>AE409-AE410+AE408</f>
        <v/>
      </c>
      <c r="AF411" s="40">
        <f>AF409-AF410+AF408</f>
        <v/>
      </c>
      <c r="AG411" s="40">
        <f>AG409-AG410+AG408</f>
        <v/>
      </c>
      <c r="AH411" s="40">
        <f>AH409-AH410+AH408</f>
        <v/>
      </c>
      <c r="AI411" s="40">
        <f>AI409-AI410+AI408</f>
        <v/>
      </c>
      <c r="AJ411" s="40">
        <f>AJ409-AJ410+AJ408</f>
        <v/>
      </c>
      <c r="AK411" s="40">
        <f>AK409-AK410+AK408</f>
        <v/>
      </c>
      <c r="AL411" s="40">
        <f>AL409-AL410+AL408</f>
        <v/>
      </c>
      <c r="AM411" s="40">
        <f>AM409-AM410+AM408</f>
        <v/>
      </c>
      <c r="AN411" s="40">
        <f>AN409-AN410+AN408</f>
        <v/>
      </c>
      <c r="AO411" s="40">
        <f>AO409-AO410+AO408</f>
        <v/>
      </c>
      <c r="AP411" s="40">
        <f>AP409-AP410+AP408</f>
        <v/>
      </c>
      <c r="AQ411" s="40">
        <f>AQ409-AQ410+AQ408</f>
        <v/>
      </c>
      <c r="AR411" s="40">
        <f>AR409-AR410+AR408</f>
        <v/>
      </c>
      <c r="AS411" s="40">
        <f>AS409-AS410+AS408</f>
        <v/>
      </c>
      <c r="AT411" s="40">
        <f>AT409-AT410+AT408</f>
        <v/>
      </c>
      <c r="AU411" s="40">
        <f>AU409-AU410+AU408</f>
        <v/>
      </c>
      <c r="AV411" s="40">
        <f>AV409-AV410+AV408</f>
        <v/>
      </c>
      <c r="AW411" s="40">
        <f>AW409-AW410+AW408</f>
        <v/>
      </c>
      <c r="AX411" s="40">
        <f>AX409-AX410+AX408</f>
        <v/>
      </c>
      <c r="AY411" s="40">
        <f>AY409-AY410+AY408</f>
        <v/>
      </c>
      <c r="AZ411" s="40">
        <f>AZ409-AZ410+AZ408</f>
        <v/>
      </c>
      <c r="BA411" s="40">
        <f>BA409-BA410+BA408</f>
        <v/>
      </c>
      <c r="BB411" s="40">
        <f>BB409-BB410+BB408</f>
        <v/>
      </c>
      <c r="BC411" s="40">
        <f>BC409-BC410+BC408</f>
        <v/>
      </c>
      <c r="BD411" s="40">
        <f>BD409-BD410+BD408</f>
        <v/>
      </c>
    </row>
    <row r="412">
      <c r="A412" s="2" t="inlineStr">
        <is>
          <t>Farmers Market — shares Spinach's ceiling (section 5c)</t>
        </is>
      </c>
    </row>
    <row r="413">
      <c r="A413" s="32" t="inlineStr">
        <is>
          <t>Farmers Market — OFFERED</t>
        </is>
      </c>
      <c r="B413" s="2" t="inlineStr">
        <is>
          <t>lb  &lt;-- SOLVER</t>
        </is>
      </c>
      <c r="E413" s="39" t="n">
        <v>0</v>
      </c>
      <c r="F413" s="39" t="n">
        <v>0</v>
      </c>
      <c r="G413" s="39" t="n">
        <v>0</v>
      </c>
      <c r="H413" s="39" t="n">
        <v>0</v>
      </c>
      <c r="I413" s="39" t="n">
        <v>0</v>
      </c>
      <c r="J413" s="39" t="n">
        <v>0</v>
      </c>
      <c r="K413" s="39" t="n">
        <v>0</v>
      </c>
      <c r="L413" s="39" t="n">
        <v>0</v>
      </c>
      <c r="M413" s="39" t="n">
        <v>0</v>
      </c>
      <c r="N413" s="39" t="n">
        <v>0</v>
      </c>
      <c r="O413" s="39" t="n">
        <v>0</v>
      </c>
      <c r="P413" s="39" t="n">
        <v>0</v>
      </c>
      <c r="Q413" s="39" t="n">
        <v>0</v>
      </c>
      <c r="R413" s="39" t="n">
        <v>0</v>
      </c>
      <c r="S413" s="39" t="n">
        <v>0</v>
      </c>
      <c r="T413" s="39" t="n">
        <v>0</v>
      </c>
      <c r="U413" s="39" t="n">
        <v>0</v>
      </c>
      <c r="V413" s="39" t="n">
        <v>0</v>
      </c>
      <c r="W413" s="39" t="n">
        <v>0</v>
      </c>
      <c r="X413" s="39" t="n">
        <v>0</v>
      </c>
      <c r="Y413" s="39" t="n">
        <v>0</v>
      </c>
      <c r="Z413" s="39" t="n">
        <v>0</v>
      </c>
      <c r="AA413" s="39" t="n">
        <v>0</v>
      </c>
      <c r="AB413" s="39" t="n">
        <v>0</v>
      </c>
      <c r="AC413" s="39" t="n">
        <v>0</v>
      </c>
      <c r="AD413" s="39" t="n">
        <v>0</v>
      </c>
      <c r="AE413" s="39" t="n">
        <v>0</v>
      </c>
      <c r="AF413" s="39" t="n">
        <v>0</v>
      </c>
      <c r="AG413" s="39" t="n">
        <v>0</v>
      </c>
      <c r="AH413" s="39" t="n">
        <v>0</v>
      </c>
      <c r="AI413" s="39" t="n">
        <v>0</v>
      </c>
      <c r="AJ413" s="39" t="n">
        <v>0</v>
      </c>
      <c r="AK413" s="39" t="n">
        <v>0</v>
      </c>
      <c r="AL413" s="39" t="n">
        <v>0</v>
      </c>
      <c r="AM413" s="39" t="n">
        <v>0</v>
      </c>
      <c r="AN413" s="39" t="n">
        <v>0</v>
      </c>
      <c r="AO413" s="39" t="n">
        <v>0</v>
      </c>
      <c r="AP413" s="39" t="n">
        <v>0</v>
      </c>
      <c r="AQ413" s="39" t="n">
        <v>0</v>
      </c>
      <c r="AR413" s="39" t="n">
        <v>0</v>
      </c>
      <c r="AS413" s="39" t="n">
        <v>0</v>
      </c>
      <c r="AT413" s="39" t="n">
        <v>0</v>
      </c>
      <c r="AU413" s="39" t="n">
        <v>0</v>
      </c>
      <c r="AV413" s="39" t="n">
        <v>0</v>
      </c>
      <c r="AW413" s="39" t="n">
        <v>0</v>
      </c>
      <c r="AX413" s="39" t="n">
        <v>0</v>
      </c>
      <c r="AY413" s="39" t="n">
        <v>0</v>
      </c>
      <c r="AZ413" s="39" t="n">
        <v>0</v>
      </c>
      <c r="BA413" s="39" t="n">
        <v>0</v>
      </c>
      <c r="BB413" s="39" t="n">
        <v>0</v>
      </c>
      <c r="BC413" s="39" t="n">
        <v>0</v>
      </c>
      <c r="BD413" s="39" t="n">
        <v>0</v>
      </c>
    </row>
    <row r="414">
      <c r="A414" s="54" t="inlineStr">
        <is>
          <t>Farmers Market — SOLD</t>
        </is>
      </c>
      <c r="B414" s="2" t="inlineStr">
        <is>
          <t>lb</t>
        </is>
      </c>
      <c r="E414" s="55">
        <f>E413*$G$41</f>
        <v/>
      </c>
      <c r="F414" s="55">
        <f>F413*$G$41</f>
        <v/>
      </c>
      <c r="G414" s="55">
        <f>G413*$G$41</f>
        <v/>
      </c>
      <c r="H414" s="55">
        <f>H413*$G$41</f>
        <v/>
      </c>
      <c r="I414" s="55">
        <f>I413*$G$41</f>
        <v/>
      </c>
      <c r="J414" s="55">
        <f>J413*$G$41</f>
        <v/>
      </c>
      <c r="K414" s="55">
        <f>K413*$G$41</f>
        <v/>
      </c>
      <c r="L414" s="55">
        <f>L413*$G$41</f>
        <v/>
      </c>
      <c r="M414" s="55">
        <f>M413*$G$41</f>
        <v/>
      </c>
      <c r="N414" s="55">
        <f>N413*$G$41</f>
        <v/>
      </c>
      <c r="O414" s="55">
        <f>O413*$G$41</f>
        <v/>
      </c>
      <c r="P414" s="55">
        <f>P413*$G$41</f>
        <v/>
      </c>
      <c r="Q414" s="55">
        <f>Q413*$G$41</f>
        <v/>
      </c>
      <c r="R414" s="55">
        <f>R413*$G$41</f>
        <v/>
      </c>
      <c r="S414" s="55">
        <f>S413*$G$41</f>
        <v/>
      </c>
      <c r="T414" s="55">
        <f>T413*$G$41</f>
        <v/>
      </c>
      <c r="U414" s="55">
        <f>U413*$G$41</f>
        <v/>
      </c>
      <c r="V414" s="55">
        <f>V413*$G$41</f>
        <v/>
      </c>
      <c r="W414" s="55">
        <f>W413*$G$41</f>
        <v/>
      </c>
      <c r="X414" s="55">
        <f>X413*$G$41</f>
        <v/>
      </c>
      <c r="Y414" s="55">
        <f>Y413*$G$41</f>
        <v/>
      </c>
      <c r="Z414" s="55">
        <f>Z413*$G$41</f>
        <v/>
      </c>
      <c r="AA414" s="55">
        <f>AA413*$G$41</f>
        <v/>
      </c>
      <c r="AB414" s="55">
        <f>AB413*$G$41</f>
        <v/>
      </c>
      <c r="AC414" s="55">
        <f>AC413*$G$41</f>
        <v/>
      </c>
      <c r="AD414" s="55">
        <f>AD413*$G$41</f>
        <v/>
      </c>
      <c r="AE414" s="55">
        <f>AE413*$G$41</f>
        <v/>
      </c>
      <c r="AF414" s="55">
        <f>AF413*$G$41</f>
        <v/>
      </c>
      <c r="AG414" s="55">
        <f>AG413*$G$41</f>
        <v/>
      </c>
      <c r="AH414" s="55">
        <f>AH413*$G$41</f>
        <v/>
      </c>
      <c r="AI414" s="55">
        <f>AI413*$G$41</f>
        <v/>
      </c>
      <c r="AJ414" s="55">
        <f>AJ413*$G$41</f>
        <v/>
      </c>
      <c r="AK414" s="55">
        <f>AK413*$G$41</f>
        <v/>
      </c>
      <c r="AL414" s="55">
        <f>AL413*$G$41</f>
        <v/>
      </c>
      <c r="AM414" s="55">
        <f>AM413*$G$41</f>
        <v/>
      </c>
      <c r="AN414" s="55">
        <f>AN413*$G$41</f>
        <v/>
      </c>
      <c r="AO414" s="55">
        <f>AO413*$G$41</f>
        <v/>
      </c>
      <c r="AP414" s="55">
        <f>AP413*$G$41</f>
        <v/>
      </c>
      <c r="AQ414" s="55">
        <f>AQ413*$G$41</f>
        <v/>
      </c>
      <c r="AR414" s="55">
        <f>AR413*$G$41</f>
        <v/>
      </c>
      <c r="AS414" s="55">
        <f>AS413*$G$41</f>
        <v/>
      </c>
      <c r="AT414" s="55">
        <f>AT413*$G$41</f>
        <v/>
      </c>
      <c r="AU414" s="55">
        <f>AU413*$G$41</f>
        <v/>
      </c>
      <c r="AV414" s="55">
        <f>AV413*$G$41</f>
        <v/>
      </c>
      <c r="AW414" s="55">
        <f>AW413*$G$41</f>
        <v/>
      </c>
      <c r="AX414" s="55">
        <f>AX413*$G$41</f>
        <v/>
      </c>
      <c r="AY414" s="55">
        <f>AY413*$G$41</f>
        <v/>
      </c>
      <c r="AZ414" s="55">
        <f>AZ413*$G$41</f>
        <v/>
      </c>
      <c r="BA414" s="55">
        <f>BA413*$G$41</f>
        <v/>
      </c>
      <c r="BB414" s="55">
        <f>BB413*$G$41</f>
        <v/>
      </c>
      <c r="BC414" s="55">
        <f>BC413*$G$41</f>
        <v/>
      </c>
      <c r="BD414" s="55">
        <f>BD413*$G$41</f>
        <v/>
      </c>
    </row>
    <row r="415">
      <c r="A415" s="33" t="inlineStr">
        <is>
          <t xml:space="preserve">   market loss (gone)</t>
        </is>
      </c>
      <c r="B415" s="2" t="inlineStr">
        <is>
          <t>lb</t>
        </is>
      </c>
      <c r="E415" s="40">
        <f>(E413-E414)*(1-$H$41)</f>
        <v/>
      </c>
      <c r="F415" s="40">
        <f>(F413-F414)*(1-$H$41)</f>
        <v/>
      </c>
      <c r="G415" s="40">
        <f>(G413-G414)*(1-$H$41)</f>
        <v/>
      </c>
      <c r="H415" s="40">
        <f>(H413-H414)*(1-$H$41)</f>
        <v/>
      </c>
      <c r="I415" s="40">
        <f>(I413-I414)*(1-$H$41)</f>
        <v/>
      </c>
      <c r="J415" s="40">
        <f>(J413-J414)*(1-$H$41)</f>
        <v/>
      </c>
      <c r="K415" s="40">
        <f>(K413-K414)*(1-$H$41)</f>
        <v/>
      </c>
      <c r="L415" s="40">
        <f>(L413-L414)*(1-$H$41)</f>
        <v/>
      </c>
      <c r="M415" s="40">
        <f>(M413-M414)*(1-$H$41)</f>
        <v/>
      </c>
      <c r="N415" s="40">
        <f>(N413-N414)*(1-$H$41)</f>
        <v/>
      </c>
      <c r="O415" s="40">
        <f>(O413-O414)*(1-$H$41)</f>
        <v/>
      </c>
      <c r="P415" s="40">
        <f>(P413-P414)*(1-$H$41)</f>
        <v/>
      </c>
      <c r="Q415" s="40">
        <f>(Q413-Q414)*(1-$H$41)</f>
        <v/>
      </c>
      <c r="R415" s="40">
        <f>(R413-R414)*(1-$H$41)</f>
        <v/>
      </c>
      <c r="S415" s="40">
        <f>(S413-S414)*(1-$H$41)</f>
        <v/>
      </c>
      <c r="T415" s="40">
        <f>(T413-T414)*(1-$H$41)</f>
        <v/>
      </c>
      <c r="U415" s="40">
        <f>(U413-U414)*(1-$H$41)</f>
        <v/>
      </c>
      <c r="V415" s="40">
        <f>(V413-V414)*(1-$H$41)</f>
        <v/>
      </c>
      <c r="W415" s="40">
        <f>(W413-W414)*(1-$H$41)</f>
        <v/>
      </c>
      <c r="X415" s="40">
        <f>(X413-X414)*(1-$H$41)</f>
        <v/>
      </c>
      <c r="Y415" s="40">
        <f>(Y413-Y414)*(1-$H$41)</f>
        <v/>
      </c>
      <c r="Z415" s="40">
        <f>(Z413-Z414)*(1-$H$41)</f>
        <v/>
      </c>
      <c r="AA415" s="40">
        <f>(AA413-AA414)*(1-$H$41)</f>
        <v/>
      </c>
      <c r="AB415" s="40">
        <f>(AB413-AB414)*(1-$H$41)</f>
        <v/>
      </c>
      <c r="AC415" s="40">
        <f>(AC413-AC414)*(1-$H$41)</f>
        <v/>
      </c>
      <c r="AD415" s="40">
        <f>(AD413-AD414)*(1-$H$41)</f>
        <v/>
      </c>
      <c r="AE415" s="40">
        <f>(AE413-AE414)*(1-$H$41)</f>
        <v/>
      </c>
      <c r="AF415" s="40">
        <f>(AF413-AF414)*(1-$H$41)</f>
        <v/>
      </c>
      <c r="AG415" s="40">
        <f>(AG413-AG414)*(1-$H$41)</f>
        <v/>
      </c>
      <c r="AH415" s="40">
        <f>(AH413-AH414)*(1-$H$41)</f>
        <v/>
      </c>
      <c r="AI415" s="40">
        <f>(AI413-AI414)*(1-$H$41)</f>
        <v/>
      </c>
      <c r="AJ415" s="40">
        <f>(AJ413-AJ414)*(1-$H$41)</f>
        <v/>
      </c>
      <c r="AK415" s="40">
        <f>(AK413-AK414)*(1-$H$41)</f>
        <v/>
      </c>
      <c r="AL415" s="40">
        <f>(AL413-AL414)*(1-$H$41)</f>
        <v/>
      </c>
      <c r="AM415" s="40">
        <f>(AM413-AM414)*(1-$H$41)</f>
        <v/>
      </c>
      <c r="AN415" s="40">
        <f>(AN413-AN414)*(1-$H$41)</f>
        <v/>
      </c>
      <c r="AO415" s="40">
        <f>(AO413-AO414)*(1-$H$41)</f>
        <v/>
      </c>
      <c r="AP415" s="40">
        <f>(AP413-AP414)*(1-$H$41)</f>
        <v/>
      </c>
      <c r="AQ415" s="40">
        <f>(AQ413-AQ414)*(1-$H$41)</f>
        <v/>
      </c>
      <c r="AR415" s="40">
        <f>(AR413-AR414)*(1-$H$41)</f>
        <v/>
      </c>
      <c r="AS415" s="40">
        <f>(AS413-AS414)*(1-$H$41)</f>
        <v/>
      </c>
      <c r="AT415" s="40">
        <f>(AT413-AT414)*(1-$H$41)</f>
        <v/>
      </c>
      <c r="AU415" s="40">
        <f>(AU413-AU414)*(1-$H$41)</f>
        <v/>
      </c>
      <c r="AV415" s="40">
        <f>(AV413-AV414)*(1-$H$41)</f>
        <v/>
      </c>
      <c r="AW415" s="40">
        <f>(AW413-AW414)*(1-$H$41)</f>
        <v/>
      </c>
      <c r="AX415" s="40">
        <f>(AX413-AX414)*(1-$H$41)</f>
        <v/>
      </c>
      <c r="AY415" s="40">
        <f>(AY413-AY414)*(1-$H$41)</f>
        <v/>
      </c>
      <c r="AZ415" s="40">
        <f>(AZ413-AZ414)*(1-$H$41)</f>
        <v/>
      </c>
      <c r="BA415" s="40">
        <f>(BA413-BA414)*(1-$H$41)</f>
        <v/>
      </c>
      <c r="BB415" s="40">
        <f>(BB413-BB414)*(1-$H$41)</f>
        <v/>
      </c>
      <c r="BC415" s="40">
        <f>(BC413-BC414)*(1-$H$41)</f>
        <v/>
      </c>
      <c r="BD415" s="40">
        <f>(BD413-BD414)*(1-$H$41)</f>
        <v/>
      </c>
    </row>
    <row r="416">
      <c r="A416" s="33" t="inlineStr">
        <is>
          <t xml:space="preserve">   returned to store</t>
        </is>
      </c>
      <c r="B416" s="2" t="inlineStr">
        <is>
          <t>lb</t>
        </is>
      </c>
      <c r="E416" s="40">
        <f>(E413-E414)*$H$41</f>
        <v/>
      </c>
      <c r="F416" s="40">
        <f>(F413-F414)*$H$41</f>
        <v/>
      </c>
      <c r="G416" s="40">
        <f>(G413-G414)*$H$41</f>
        <v/>
      </c>
      <c r="H416" s="40">
        <f>(H413-H414)*$H$41</f>
        <v/>
      </c>
      <c r="I416" s="40">
        <f>(I413-I414)*$H$41</f>
        <v/>
      </c>
      <c r="J416" s="40">
        <f>(J413-J414)*$H$41</f>
        <v/>
      </c>
      <c r="K416" s="40">
        <f>(K413-K414)*$H$41</f>
        <v/>
      </c>
      <c r="L416" s="40">
        <f>(L413-L414)*$H$41</f>
        <v/>
      </c>
      <c r="M416" s="40">
        <f>(M413-M414)*$H$41</f>
        <v/>
      </c>
      <c r="N416" s="40">
        <f>(N413-N414)*$H$41</f>
        <v/>
      </c>
      <c r="O416" s="40">
        <f>(O413-O414)*$H$41</f>
        <v/>
      </c>
      <c r="P416" s="40">
        <f>(P413-P414)*$H$41</f>
        <v/>
      </c>
      <c r="Q416" s="40">
        <f>(Q413-Q414)*$H$41</f>
        <v/>
      </c>
      <c r="R416" s="40">
        <f>(R413-R414)*$H$41</f>
        <v/>
      </c>
      <c r="S416" s="40">
        <f>(S413-S414)*$H$41</f>
        <v/>
      </c>
      <c r="T416" s="40">
        <f>(T413-T414)*$H$41</f>
        <v/>
      </c>
      <c r="U416" s="40">
        <f>(U413-U414)*$H$41</f>
        <v/>
      </c>
      <c r="V416" s="40">
        <f>(V413-V414)*$H$41</f>
        <v/>
      </c>
      <c r="W416" s="40">
        <f>(W413-W414)*$H$41</f>
        <v/>
      </c>
      <c r="X416" s="40">
        <f>(X413-X414)*$H$41</f>
        <v/>
      </c>
      <c r="Y416" s="40">
        <f>(Y413-Y414)*$H$41</f>
        <v/>
      </c>
      <c r="Z416" s="40">
        <f>(Z413-Z414)*$H$41</f>
        <v/>
      </c>
      <c r="AA416" s="40">
        <f>(AA413-AA414)*$H$41</f>
        <v/>
      </c>
      <c r="AB416" s="40">
        <f>(AB413-AB414)*$H$41</f>
        <v/>
      </c>
      <c r="AC416" s="40">
        <f>(AC413-AC414)*$H$41</f>
        <v/>
      </c>
      <c r="AD416" s="40">
        <f>(AD413-AD414)*$H$41</f>
        <v/>
      </c>
      <c r="AE416" s="40">
        <f>(AE413-AE414)*$H$41</f>
        <v/>
      </c>
      <c r="AF416" s="40">
        <f>(AF413-AF414)*$H$41</f>
        <v/>
      </c>
      <c r="AG416" s="40">
        <f>(AG413-AG414)*$H$41</f>
        <v/>
      </c>
      <c r="AH416" s="40">
        <f>(AH413-AH414)*$H$41</f>
        <v/>
      </c>
      <c r="AI416" s="40">
        <f>(AI413-AI414)*$H$41</f>
        <v/>
      </c>
      <c r="AJ416" s="40">
        <f>(AJ413-AJ414)*$H$41</f>
        <v/>
      </c>
      <c r="AK416" s="40">
        <f>(AK413-AK414)*$H$41</f>
        <v/>
      </c>
      <c r="AL416" s="40">
        <f>(AL413-AL414)*$H$41</f>
        <v/>
      </c>
      <c r="AM416" s="40">
        <f>(AM413-AM414)*$H$41</f>
        <v/>
      </c>
      <c r="AN416" s="40">
        <f>(AN413-AN414)*$H$41</f>
        <v/>
      </c>
      <c r="AO416" s="40">
        <f>(AO413-AO414)*$H$41</f>
        <v/>
      </c>
      <c r="AP416" s="40">
        <f>(AP413-AP414)*$H$41</f>
        <v/>
      </c>
      <c r="AQ416" s="40">
        <f>(AQ413-AQ414)*$H$41</f>
        <v/>
      </c>
      <c r="AR416" s="40">
        <f>(AR413-AR414)*$H$41</f>
        <v/>
      </c>
      <c r="AS416" s="40">
        <f>(AS413-AS414)*$H$41</f>
        <v/>
      </c>
      <c r="AT416" s="40">
        <f>(AT413-AT414)*$H$41</f>
        <v/>
      </c>
      <c r="AU416" s="40">
        <f>(AU413-AU414)*$H$41</f>
        <v/>
      </c>
      <c r="AV416" s="40">
        <f>(AV413-AV414)*$H$41</f>
        <v/>
      </c>
      <c r="AW416" s="40">
        <f>(AW413-AW414)*$H$41</f>
        <v/>
      </c>
      <c r="AX416" s="40">
        <f>(AX413-AX414)*$H$41</f>
        <v/>
      </c>
      <c r="AY416" s="40">
        <f>(AY413-AY414)*$H$41</f>
        <v/>
      </c>
      <c r="AZ416" s="40">
        <f>(AZ413-AZ414)*$H$41</f>
        <v/>
      </c>
      <c r="BA416" s="40">
        <f>(BA413-BA414)*$H$41</f>
        <v/>
      </c>
      <c r="BB416" s="40">
        <f>(BB413-BB414)*$H$41</f>
        <v/>
      </c>
      <c r="BC416" s="40">
        <f>(BC413-BC414)*$H$41</f>
        <v/>
      </c>
      <c r="BD416" s="40">
        <f>(BD413-BD414)*$H$41</f>
        <v/>
      </c>
    </row>
    <row r="417">
      <c r="A417" s="33" t="inlineStr">
        <is>
          <t xml:space="preserve">   leaves the store (offered - returned)</t>
        </is>
      </c>
      <c r="B417" s="2" t="inlineStr">
        <is>
          <t>lb</t>
        </is>
      </c>
      <c r="E417" s="40">
        <f>E413-E416</f>
        <v/>
      </c>
      <c r="F417" s="40">
        <f>F413-F416</f>
        <v/>
      </c>
      <c r="G417" s="40">
        <f>G413-G416</f>
        <v/>
      </c>
      <c r="H417" s="40">
        <f>H413-H416</f>
        <v/>
      </c>
      <c r="I417" s="40">
        <f>I413-I416</f>
        <v/>
      </c>
      <c r="J417" s="40">
        <f>J413-J416</f>
        <v/>
      </c>
      <c r="K417" s="40">
        <f>K413-K416</f>
        <v/>
      </c>
      <c r="L417" s="40">
        <f>L413-L416</f>
        <v/>
      </c>
      <c r="M417" s="40">
        <f>M413-M416</f>
        <v/>
      </c>
      <c r="N417" s="40">
        <f>N413-N416</f>
        <v/>
      </c>
      <c r="O417" s="40">
        <f>O413-O416</f>
        <v/>
      </c>
      <c r="P417" s="40">
        <f>P413-P416</f>
        <v/>
      </c>
      <c r="Q417" s="40">
        <f>Q413-Q416</f>
        <v/>
      </c>
      <c r="R417" s="40">
        <f>R413-R416</f>
        <v/>
      </c>
      <c r="S417" s="40">
        <f>S413-S416</f>
        <v/>
      </c>
      <c r="T417" s="40">
        <f>T413-T416</f>
        <v/>
      </c>
      <c r="U417" s="40">
        <f>U413-U416</f>
        <v/>
      </c>
      <c r="V417" s="40">
        <f>V413-V416</f>
        <v/>
      </c>
      <c r="W417" s="40">
        <f>W413-W416</f>
        <v/>
      </c>
      <c r="X417" s="40">
        <f>X413-X416</f>
        <v/>
      </c>
      <c r="Y417" s="40">
        <f>Y413-Y416</f>
        <v/>
      </c>
      <c r="Z417" s="40">
        <f>Z413-Z416</f>
        <v/>
      </c>
      <c r="AA417" s="40">
        <f>AA413-AA416</f>
        <v/>
      </c>
      <c r="AB417" s="40">
        <f>AB413-AB416</f>
        <v/>
      </c>
      <c r="AC417" s="40">
        <f>AC413-AC416</f>
        <v/>
      </c>
      <c r="AD417" s="40">
        <f>AD413-AD416</f>
        <v/>
      </c>
      <c r="AE417" s="40">
        <f>AE413-AE416</f>
        <v/>
      </c>
      <c r="AF417" s="40">
        <f>AF413-AF416</f>
        <v/>
      </c>
      <c r="AG417" s="40">
        <f>AG413-AG416</f>
        <v/>
      </c>
      <c r="AH417" s="40">
        <f>AH413-AH416</f>
        <v/>
      </c>
      <c r="AI417" s="40">
        <f>AI413-AI416</f>
        <v/>
      </c>
      <c r="AJ417" s="40">
        <f>AJ413-AJ416</f>
        <v/>
      </c>
      <c r="AK417" s="40">
        <f>AK413-AK416</f>
        <v/>
      </c>
      <c r="AL417" s="40">
        <f>AL413-AL416</f>
        <v/>
      </c>
      <c r="AM417" s="40">
        <f>AM413-AM416</f>
        <v/>
      </c>
      <c r="AN417" s="40">
        <f>AN413-AN416</f>
        <v/>
      </c>
      <c r="AO417" s="40">
        <f>AO413-AO416</f>
        <v/>
      </c>
      <c r="AP417" s="40">
        <f>AP413-AP416</f>
        <v/>
      </c>
      <c r="AQ417" s="40">
        <f>AQ413-AQ416</f>
        <v/>
      </c>
      <c r="AR417" s="40">
        <f>AR413-AR416</f>
        <v/>
      </c>
      <c r="AS417" s="40">
        <f>AS413-AS416</f>
        <v/>
      </c>
      <c r="AT417" s="40">
        <f>AT413-AT416</f>
        <v/>
      </c>
      <c r="AU417" s="40">
        <f>AU413-AU416</f>
        <v/>
      </c>
      <c r="AV417" s="40">
        <f>AV413-AV416</f>
        <v/>
      </c>
      <c r="AW417" s="40">
        <f>AW413-AW416</f>
        <v/>
      </c>
      <c r="AX417" s="40">
        <f>AX413-AX416</f>
        <v/>
      </c>
      <c r="AY417" s="40">
        <f>AY413-AY416</f>
        <v/>
      </c>
      <c r="AZ417" s="40">
        <f>AZ413-AZ416</f>
        <v/>
      </c>
      <c r="BA417" s="40">
        <f>BA413-BA416</f>
        <v/>
      </c>
      <c r="BB417" s="40">
        <f>BB413-BB416</f>
        <v/>
      </c>
      <c r="BC417" s="40">
        <f>BC413-BC416</f>
        <v/>
      </c>
      <c r="BD417" s="40">
        <f>BD413-BD416</f>
        <v/>
      </c>
    </row>
    <row r="418">
      <c r="A418" s="2" t="inlineStr">
        <is>
          <t>Wholesale — shares Spinach's ceiling (section 5c)</t>
        </is>
      </c>
    </row>
    <row r="419">
      <c r="A419" s="32" t="inlineStr">
        <is>
          <t>Wholesale — OFFERED</t>
        </is>
      </c>
      <c r="B419" s="2" t="inlineStr">
        <is>
          <t>lb  &lt;-- SOLVER</t>
        </is>
      </c>
      <c r="E419" s="39" t="n">
        <v>0</v>
      </c>
      <c r="F419" s="39" t="n">
        <v>0</v>
      </c>
      <c r="G419" s="39" t="n">
        <v>0</v>
      </c>
      <c r="H419" s="39" t="n">
        <v>0</v>
      </c>
      <c r="I419" s="39" t="n">
        <v>0</v>
      </c>
      <c r="J419" s="39" t="n">
        <v>0</v>
      </c>
      <c r="K419" s="39" t="n">
        <v>0</v>
      </c>
      <c r="L419" s="39" t="n">
        <v>0</v>
      </c>
      <c r="M419" s="39" t="n">
        <v>0</v>
      </c>
      <c r="N419" s="39" t="n">
        <v>0</v>
      </c>
      <c r="O419" s="39" t="n">
        <v>0</v>
      </c>
      <c r="P419" s="39" t="n">
        <v>0</v>
      </c>
      <c r="Q419" s="39" t="n">
        <v>0</v>
      </c>
      <c r="R419" s="39" t="n">
        <v>0</v>
      </c>
      <c r="S419" s="39" t="n">
        <v>0</v>
      </c>
      <c r="T419" s="39" t="n">
        <v>0</v>
      </c>
      <c r="U419" s="39" t="n">
        <v>0</v>
      </c>
      <c r="V419" s="39" t="n">
        <v>0</v>
      </c>
      <c r="W419" s="39" t="n">
        <v>0</v>
      </c>
      <c r="X419" s="39" t="n">
        <v>0</v>
      </c>
      <c r="Y419" s="39" t="n">
        <v>0</v>
      </c>
      <c r="Z419" s="39" t="n">
        <v>0</v>
      </c>
      <c r="AA419" s="39" t="n">
        <v>0</v>
      </c>
      <c r="AB419" s="39" t="n">
        <v>0</v>
      </c>
      <c r="AC419" s="39" t="n">
        <v>0</v>
      </c>
      <c r="AD419" s="39" t="n">
        <v>0</v>
      </c>
      <c r="AE419" s="39" t="n">
        <v>0</v>
      </c>
      <c r="AF419" s="39" t="n">
        <v>0</v>
      </c>
      <c r="AG419" s="39" t="n">
        <v>0</v>
      </c>
      <c r="AH419" s="39" t="n">
        <v>0</v>
      </c>
      <c r="AI419" s="39" t="n">
        <v>0</v>
      </c>
      <c r="AJ419" s="39" t="n">
        <v>0</v>
      </c>
      <c r="AK419" s="39" t="n">
        <v>0</v>
      </c>
      <c r="AL419" s="39" t="n">
        <v>0</v>
      </c>
      <c r="AM419" s="39" t="n">
        <v>0</v>
      </c>
      <c r="AN419" s="39" t="n">
        <v>0</v>
      </c>
      <c r="AO419" s="39" t="n">
        <v>0</v>
      </c>
      <c r="AP419" s="39" t="n">
        <v>0</v>
      </c>
      <c r="AQ419" s="39" t="n">
        <v>0</v>
      </c>
      <c r="AR419" s="39" t="n">
        <v>0</v>
      </c>
      <c r="AS419" s="39" t="n">
        <v>0</v>
      </c>
      <c r="AT419" s="39" t="n">
        <v>0</v>
      </c>
      <c r="AU419" s="39" t="n">
        <v>0</v>
      </c>
      <c r="AV419" s="39" t="n">
        <v>0</v>
      </c>
      <c r="AW419" s="39" t="n">
        <v>0</v>
      </c>
      <c r="AX419" s="39" t="n">
        <v>0</v>
      </c>
      <c r="AY419" s="39" t="n">
        <v>0</v>
      </c>
      <c r="AZ419" s="39" t="n">
        <v>0</v>
      </c>
      <c r="BA419" s="39" t="n">
        <v>0</v>
      </c>
      <c r="BB419" s="39" t="n">
        <v>0</v>
      </c>
      <c r="BC419" s="39" t="n">
        <v>0</v>
      </c>
      <c r="BD419" s="39" t="n">
        <v>0</v>
      </c>
    </row>
    <row r="420">
      <c r="A420" s="56" t="inlineStr">
        <is>
          <t>Wholesale — SOLD</t>
        </is>
      </c>
      <c r="B420" s="2" t="inlineStr">
        <is>
          <t>lb</t>
        </is>
      </c>
      <c r="E420" s="57">
        <f>E419*$G$42</f>
        <v/>
      </c>
      <c r="F420" s="57">
        <f>F419*$G$42</f>
        <v/>
      </c>
      <c r="G420" s="57">
        <f>G419*$G$42</f>
        <v/>
      </c>
      <c r="H420" s="57">
        <f>H419*$G$42</f>
        <v/>
      </c>
      <c r="I420" s="57">
        <f>I419*$G$42</f>
        <v/>
      </c>
      <c r="J420" s="57">
        <f>J419*$G$42</f>
        <v/>
      </c>
      <c r="K420" s="57">
        <f>K419*$G$42</f>
        <v/>
      </c>
      <c r="L420" s="57">
        <f>L419*$G$42</f>
        <v/>
      </c>
      <c r="M420" s="57">
        <f>M419*$G$42</f>
        <v/>
      </c>
      <c r="N420" s="57">
        <f>N419*$G$42</f>
        <v/>
      </c>
      <c r="O420" s="57">
        <f>O419*$G$42</f>
        <v/>
      </c>
      <c r="P420" s="57">
        <f>P419*$G$42</f>
        <v/>
      </c>
      <c r="Q420" s="57">
        <f>Q419*$G$42</f>
        <v/>
      </c>
      <c r="R420" s="57">
        <f>R419*$G$42</f>
        <v/>
      </c>
      <c r="S420" s="57">
        <f>S419*$G$42</f>
        <v/>
      </c>
      <c r="T420" s="57">
        <f>T419*$G$42</f>
        <v/>
      </c>
      <c r="U420" s="57">
        <f>U419*$G$42</f>
        <v/>
      </c>
      <c r="V420" s="57">
        <f>V419*$G$42</f>
        <v/>
      </c>
      <c r="W420" s="57">
        <f>W419*$G$42</f>
        <v/>
      </c>
      <c r="X420" s="57">
        <f>X419*$G$42</f>
        <v/>
      </c>
      <c r="Y420" s="57">
        <f>Y419*$G$42</f>
        <v/>
      </c>
      <c r="Z420" s="57">
        <f>Z419*$G$42</f>
        <v/>
      </c>
      <c r="AA420" s="57">
        <f>AA419*$G$42</f>
        <v/>
      </c>
      <c r="AB420" s="57">
        <f>AB419*$G$42</f>
        <v/>
      </c>
      <c r="AC420" s="57">
        <f>AC419*$G$42</f>
        <v/>
      </c>
      <c r="AD420" s="57">
        <f>AD419*$G$42</f>
        <v/>
      </c>
      <c r="AE420" s="57">
        <f>AE419*$G$42</f>
        <v/>
      </c>
      <c r="AF420" s="57">
        <f>AF419*$G$42</f>
        <v/>
      </c>
      <c r="AG420" s="57">
        <f>AG419*$G$42</f>
        <v/>
      </c>
      <c r="AH420" s="57">
        <f>AH419*$G$42</f>
        <v/>
      </c>
      <c r="AI420" s="57">
        <f>AI419*$G$42</f>
        <v/>
      </c>
      <c r="AJ420" s="57">
        <f>AJ419*$G$42</f>
        <v/>
      </c>
      <c r="AK420" s="57">
        <f>AK419*$G$42</f>
        <v/>
      </c>
      <c r="AL420" s="57">
        <f>AL419*$G$42</f>
        <v/>
      </c>
      <c r="AM420" s="57">
        <f>AM419*$G$42</f>
        <v/>
      </c>
      <c r="AN420" s="57">
        <f>AN419*$G$42</f>
        <v/>
      </c>
      <c r="AO420" s="57">
        <f>AO419*$G$42</f>
        <v/>
      </c>
      <c r="AP420" s="57">
        <f>AP419*$G$42</f>
        <v/>
      </c>
      <c r="AQ420" s="57">
        <f>AQ419*$G$42</f>
        <v/>
      </c>
      <c r="AR420" s="57">
        <f>AR419*$G$42</f>
        <v/>
      </c>
      <c r="AS420" s="57">
        <f>AS419*$G$42</f>
        <v/>
      </c>
      <c r="AT420" s="57">
        <f>AT419*$G$42</f>
        <v/>
      </c>
      <c r="AU420" s="57">
        <f>AU419*$G$42</f>
        <v/>
      </c>
      <c r="AV420" s="57">
        <f>AV419*$G$42</f>
        <v/>
      </c>
      <c r="AW420" s="57">
        <f>AW419*$G$42</f>
        <v/>
      </c>
      <c r="AX420" s="57">
        <f>AX419*$G$42</f>
        <v/>
      </c>
      <c r="AY420" s="57">
        <f>AY419*$G$42</f>
        <v/>
      </c>
      <c r="AZ420" s="57">
        <f>AZ419*$G$42</f>
        <v/>
      </c>
      <c r="BA420" s="57">
        <f>BA419*$G$42</f>
        <v/>
      </c>
      <c r="BB420" s="57">
        <f>BB419*$G$42</f>
        <v/>
      </c>
      <c r="BC420" s="57">
        <f>BC419*$G$42</f>
        <v/>
      </c>
      <c r="BD420" s="57">
        <f>BD419*$G$42</f>
        <v/>
      </c>
    </row>
    <row r="421">
      <c r="A421" s="33" t="inlineStr">
        <is>
          <t xml:space="preserve">   market loss (gone)</t>
        </is>
      </c>
      <c r="B421" s="2" t="inlineStr">
        <is>
          <t>lb</t>
        </is>
      </c>
      <c r="E421" s="40">
        <f>(E419-E420)*(1-$H$42)</f>
        <v/>
      </c>
      <c r="F421" s="40">
        <f>(F419-F420)*(1-$H$42)</f>
        <v/>
      </c>
      <c r="G421" s="40">
        <f>(G419-G420)*(1-$H$42)</f>
        <v/>
      </c>
      <c r="H421" s="40">
        <f>(H419-H420)*(1-$H$42)</f>
        <v/>
      </c>
      <c r="I421" s="40">
        <f>(I419-I420)*(1-$H$42)</f>
        <v/>
      </c>
      <c r="J421" s="40">
        <f>(J419-J420)*(1-$H$42)</f>
        <v/>
      </c>
      <c r="K421" s="40">
        <f>(K419-K420)*(1-$H$42)</f>
        <v/>
      </c>
      <c r="L421" s="40">
        <f>(L419-L420)*(1-$H$42)</f>
        <v/>
      </c>
      <c r="M421" s="40">
        <f>(M419-M420)*(1-$H$42)</f>
        <v/>
      </c>
      <c r="N421" s="40">
        <f>(N419-N420)*(1-$H$42)</f>
        <v/>
      </c>
      <c r="O421" s="40">
        <f>(O419-O420)*(1-$H$42)</f>
        <v/>
      </c>
      <c r="P421" s="40">
        <f>(P419-P420)*(1-$H$42)</f>
        <v/>
      </c>
      <c r="Q421" s="40">
        <f>(Q419-Q420)*(1-$H$42)</f>
        <v/>
      </c>
      <c r="R421" s="40">
        <f>(R419-R420)*(1-$H$42)</f>
        <v/>
      </c>
      <c r="S421" s="40">
        <f>(S419-S420)*(1-$H$42)</f>
        <v/>
      </c>
      <c r="T421" s="40">
        <f>(T419-T420)*(1-$H$42)</f>
        <v/>
      </c>
      <c r="U421" s="40">
        <f>(U419-U420)*(1-$H$42)</f>
        <v/>
      </c>
      <c r="V421" s="40">
        <f>(V419-V420)*(1-$H$42)</f>
        <v/>
      </c>
      <c r="W421" s="40">
        <f>(W419-W420)*(1-$H$42)</f>
        <v/>
      </c>
      <c r="X421" s="40">
        <f>(X419-X420)*(1-$H$42)</f>
        <v/>
      </c>
      <c r="Y421" s="40">
        <f>(Y419-Y420)*(1-$H$42)</f>
        <v/>
      </c>
      <c r="Z421" s="40">
        <f>(Z419-Z420)*(1-$H$42)</f>
        <v/>
      </c>
      <c r="AA421" s="40">
        <f>(AA419-AA420)*(1-$H$42)</f>
        <v/>
      </c>
      <c r="AB421" s="40">
        <f>(AB419-AB420)*(1-$H$42)</f>
        <v/>
      </c>
      <c r="AC421" s="40">
        <f>(AC419-AC420)*(1-$H$42)</f>
        <v/>
      </c>
      <c r="AD421" s="40">
        <f>(AD419-AD420)*(1-$H$42)</f>
        <v/>
      </c>
      <c r="AE421" s="40">
        <f>(AE419-AE420)*(1-$H$42)</f>
        <v/>
      </c>
      <c r="AF421" s="40">
        <f>(AF419-AF420)*(1-$H$42)</f>
        <v/>
      </c>
      <c r="AG421" s="40">
        <f>(AG419-AG420)*(1-$H$42)</f>
        <v/>
      </c>
      <c r="AH421" s="40">
        <f>(AH419-AH420)*(1-$H$42)</f>
        <v/>
      </c>
      <c r="AI421" s="40">
        <f>(AI419-AI420)*(1-$H$42)</f>
        <v/>
      </c>
      <c r="AJ421" s="40">
        <f>(AJ419-AJ420)*(1-$H$42)</f>
        <v/>
      </c>
      <c r="AK421" s="40">
        <f>(AK419-AK420)*(1-$H$42)</f>
        <v/>
      </c>
      <c r="AL421" s="40">
        <f>(AL419-AL420)*(1-$H$42)</f>
        <v/>
      </c>
      <c r="AM421" s="40">
        <f>(AM419-AM420)*(1-$H$42)</f>
        <v/>
      </c>
      <c r="AN421" s="40">
        <f>(AN419-AN420)*(1-$H$42)</f>
        <v/>
      </c>
      <c r="AO421" s="40">
        <f>(AO419-AO420)*(1-$H$42)</f>
        <v/>
      </c>
      <c r="AP421" s="40">
        <f>(AP419-AP420)*(1-$H$42)</f>
        <v/>
      </c>
      <c r="AQ421" s="40">
        <f>(AQ419-AQ420)*(1-$H$42)</f>
        <v/>
      </c>
      <c r="AR421" s="40">
        <f>(AR419-AR420)*(1-$H$42)</f>
        <v/>
      </c>
      <c r="AS421" s="40">
        <f>(AS419-AS420)*(1-$H$42)</f>
        <v/>
      </c>
      <c r="AT421" s="40">
        <f>(AT419-AT420)*(1-$H$42)</f>
        <v/>
      </c>
      <c r="AU421" s="40">
        <f>(AU419-AU420)*(1-$H$42)</f>
        <v/>
      </c>
      <c r="AV421" s="40">
        <f>(AV419-AV420)*(1-$H$42)</f>
        <v/>
      </c>
      <c r="AW421" s="40">
        <f>(AW419-AW420)*(1-$H$42)</f>
        <v/>
      </c>
      <c r="AX421" s="40">
        <f>(AX419-AX420)*(1-$H$42)</f>
        <v/>
      </c>
      <c r="AY421" s="40">
        <f>(AY419-AY420)*(1-$H$42)</f>
        <v/>
      </c>
      <c r="AZ421" s="40">
        <f>(AZ419-AZ420)*(1-$H$42)</f>
        <v/>
      </c>
      <c r="BA421" s="40">
        <f>(BA419-BA420)*(1-$H$42)</f>
        <v/>
      </c>
      <c r="BB421" s="40">
        <f>(BB419-BB420)*(1-$H$42)</f>
        <v/>
      </c>
      <c r="BC421" s="40">
        <f>(BC419-BC420)*(1-$H$42)</f>
        <v/>
      </c>
      <c r="BD421" s="40">
        <f>(BD419-BD420)*(1-$H$42)</f>
        <v/>
      </c>
    </row>
    <row r="422">
      <c r="A422" s="33" t="inlineStr">
        <is>
          <t xml:space="preserve">   returned to store</t>
        </is>
      </c>
      <c r="B422" s="2" t="inlineStr">
        <is>
          <t>lb</t>
        </is>
      </c>
      <c r="E422" s="40">
        <f>(E419-E420)*$H$42</f>
        <v/>
      </c>
      <c r="F422" s="40">
        <f>(F419-F420)*$H$42</f>
        <v/>
      </c>
      <c r="G422" s="40">
        <f>(G419-G420)*$H$42</f>
        <v/>
      </c>
      <c r="H422" s="40">
        <f>(H419-H420)*$H$42</f>
        <v/>
      </c>
      <c r="I422" s="40">
        <f>(I419-I420)*$H$42</f>
        <v/>
      </c>
      <c r="J422" s="40">
        <f>(J419-J420)*$H$42</f>
        <v/>
      </c>
      <c r="K422" s="40">
        <f>(K419-K420)*$H$42</f>
        <v/>
      </c>
      <c r="L422" s="40">
        <f>(L419-L420)*$H$42</f>
        <v/>
      </c>
      <c r="M422" s="40">
        <f>(M419-M420)*$H$42</f>
        <v/>
      </c>
      <c r="N422" s="40">
        <f>(N419-N420)*$H$42</f>
        <v/>
      </c>
      <c r="O422" s="40">
        <f>(O419-O420)*$H$42</f>
        <v/>
      </c>
      <c r="P422" s="40">
        <f>(P419-P420)*$H$42</f>
        <v/>
      </c>
      <c r="Q422" s="40">
        <f>(Q419-Q420)*$H$42</f>
        <v/>
      </c>
      <c r="R422" s="40">
        <f>(R419-R420)*$H$42</f>
        <v/>
      </c>
      <c r="S422" s="40">
        <f>(S419-S420)*$H$42</f>
        <v/>
      </c>
      <c r="T422" s="40">
        <f>(T419-T420)*$H$42</f>
        <v/>
      </c>
      <c r="U422" s="40">
        <f>(U419-U420)*$H$42</f>
        <v/>
      </c>
      <c r="V422" s="40">
        <f>(V419-V420)*$H$42</f>
        <v/>
      </c>
      <c r="W422" s="40">
        <f>(W419-W420)*$H$42</f>
        <v/>
      </c>
      <c r="X422" s="40">
        <f>(X419-X420)*$H$42</f>
        <v/>
      </c>
      <c r="Y422" s="40">
        <f>(Y419-Y420)*$H$42</f>
        <v/>
      </c>
      <c r="Z422" s="40">
        <f>(Z419-Z420)*$H$42</f>
        <v/>
      </c>
      <c r="AA422" s="40">
        <f>(AA419-AA420)*$H$42</f>
        <v/>
      </c>
      <c r="AB422" s="40">
        <f>(AB419-AB420)*$H$42</f>
        <v/>
      </c>
      <c r="AC422" s="40">
        <f>(AC419-AC420)*$H$42</f>
        <v/>
      </c>
      <c r="AD422" s="40">
        <f>(AD419-AD420)*$H$42</f>
        <v/>
      </c>
      <c r="AE422" s="40">
        <f>(AE419-AE420)*$H$42</f>
        <v/>
      </c>
      <c r="AF422" s="40">
        <f>(AF419-AF420)*$H$42</f>
        <v/>
      </c>
      <c r="AG422" s="40">
        <f>(AG419-AG420)*$H$42</f>
        <v/>
      </c>
      <c r="AH422" s="40">
        <f>(AH419-AH420)*$H$42</f>
        <v/>
      </c>
      <c r="AI422" s="40">
        <f>(AI419-AI420)*$H$42</f>
        <v/>
      </c>
      <c r="AJ422" s="40">
        <f>(AJ419-AJ420)*$H$42</f>
        <v/>
      </c>
      <c r="AK422" s="40">
        <f>(AK419-AK420)*$H$42</f>
        <v/>
      </c>
      <c r="AL422" s="40">
        <f>(AL419-AL420)*$H$42</f>
        <v/>
      </c>
      <c r="AM422" s="40">
        <f>(AM419-AM420)*$H$42</f>
        <v/>
      </c>
      <c r="AN422" s="40">
        <f>(AN419-AN420)*$H$42</f>
        <v/>
      </c>
      <c r="AO422" s="40">
        <f>(AO419-AO420)*$H$42</f>
        <v/>
      </c>
      <c r="AP422" s="40">
        <f>(AP419-AP420)*$H$42</f>
        <v/>
      </c>
      <c r="AQ422" s="40">
        <f>(AQ419-AQ420)*$H$42</f>
        <v/>
      </c>
      <c r="AR422" s="40">
        <f>(AR419-AR420)*$H$42</f>
        <v/>
      </c>
      <c r="AS422" s="40">
        <f>(AS419-AS420)*$H$42</f>
        <v/>
      </c>
      <c r="AT422" s="40">
        <f>(AT419-AT420)*$H$42</f>
        <v/>
      </c>
      <c r="AU422" s="40">
        <f>(AU419-AU420)*$H$42</f>
        <v/>
      </c>
      <c r="AV422" s="40">
        <f>(AV419-AV420)*$H$42</f>
        <v/>
      </c>
      <c r="AW422" s="40">
        <f>(AW419-AW420)*$H$42</f>
        <v/>
      </c>
      <c r="AX422" s="40">
        <f>(AX419-AX420)*$H$42</f>
        <v/>
      </c>
      <c r="AY422" s="40">
        <f>(AY419-AY420)*$H$42</f>
        <v/>
      </c>
      <c r="AZ422" s="40">
        <f>(AZ419-AZ420)*$H$42</f>
        <v/>
      </c>
      <c r="BA422" s="40">
        <f>(BA419-BA420)*$H$42</f>
        <v/>
      </c>
      <c r="BB422" s="40">
        <f>(BB419-BB420)*$H$42</f>
        <v/>
      </c>
      <c r="BC422" s="40">
        <f>(BC419-BC420)*$H$42</f>
        <v/>
      </c>
      <c r="BD422" s="40">
        <f>(BD419-BD420)*$H$42</f>
        <v/>
      </c>
    </row>
    <row r="423">
      <c r="A423" s="33" t="inlineStr">
        <is>
          <t xml:space="preserve">   leaves the store (offered - returned)</t>
        </is>
      </c>
      <c r="B423" s="2" t="inlineStr">
        <is>
          <t>lb</t>
        </is>
      </c>
      <c r="E423" s="40">
        <f>E419-E422</f>
        <v/>
      </c>
      <c r="F423" s="40">
        <f>F419-F422</f>
        <v/>
      </c>
      <c r="G423" s="40">
        <f>G419-G422</f>
        <v/>
      </c>
      <c r="H423" s="40">
        <f>H419-H422</f>
        <v/>
      </c>
      <c r="I423" s="40">
        <f>I419-I422</f>
        <v/>
      </c>
      <c r="J423" s="40">
        <f>J419-J422</f>
        <v/>
      </c>
      <c r="K423" s="40">
        <f>K419-K422</f>
        <v/>
      </c>
      <c r="L423" s="40">
        <f>L419-L422</f>
        <v/>
      </c>
      <c r="M423" s="40">
        <f>M419-M422</f>
        <v/>
      </c>
      <c r="N423" s="40">
        <f>N419-N422</f>
        <v/>
      </c>
      <c r="O423" s="40">
        <f>O419-O422</f>
        <v/>
      </c>
      <c r="P423" s="40">
        <f>P419-P422</f>
        <v/>
      </c>
      <c r="Q423" s="40">
        <f>Q419-Q422</f>
        <v/>
      </c>
      <c r="R423" s="40">
        <f>R419-R422</f>
        <v/>
      </c>
      <c r="S423" s="40">
        <f>S419-S422</f>
        <v/>
      </c>
      <c r="T423" s="40">
        <f>T419-T422</f>
        <v/>
      </c>
      <c r="U423" s="40">
        <f>U419-U422</f>
        <v/>
      </c>
      <c r="V423" s="40">
        <f>V419-V422</f>
        <v/>
      </c>
      <c r="W423" s="40">
        <f>W419-W422</f>
        <v/>
      </c>
      <c r="X423" s="40">
        <f>X419-X422</f>
        <v/>
      </c>
      <c r="Y423" s="40">
        <f>Y419-Y422</f>
        <v/>
      </c>
      <c r="Z423" s="40">
        <f>Z419-Z422</f>
        <v/>
      </c>
      <c r="AA423" s="40">
        <f>AA419-AA422</f>
        <v/>
      </c>
      <c r="AB423" s="40">
        <f>AB419-AB422</f>
        <v/>
      </c>
      <c r="AC423" s="40">
        <f>AC419-AC422</f>
        <v/>
      </c>
      <c r="AD423" s="40">
        <f>AD419-AD422</f>
        <v/>
      </c>
      <c r="AE423" s="40">
        <f>AE419-AE422</f>
        <v/>
      </c>
      <c r="AF423" s="40">
        <f>AF419-AF422</f>
        <v/>
      </c>
      <c r="AG423" s="40">
        <f>AG419-AG422</f>
        <v/>
      </c>
      <c r="AH423" s="40">
        <f>AH419-AH422</f>
        <v/>
      </c>
      <c r="AI423" s="40">
        <f>AI419-AI422</f>
        <v/>
      </c>
      <c r="AJ423" s="40">
        <f>AJ419-AJ422</f>
        <v/>
      </c>
      <c r="AK423" s="40">
        <f>AK419-AK422</f>
        <v/>
      </c>
      <c r="AL423" s="40">
        <f>AL419-AL422</f>
        <v/>
      </c>
      <c r="AM423" s="40">
        <f>AM419-AM422</f>
        <v/>
      </c>
      <c r="AN423" s="40">
        <f>AN419-AN422</f>
        <v/>
      </c>
      <c r="AO423" s="40">
        <f>AO419-AO422</f>
        <v/>
      </c>
      <c r="AP423" s="40">
        <f>AP419-AP422</f>
        <v/>
      </c>
      <c r="AQ423" s="40">
        <f>AQ419-AQ422</f>
        <v/>
      </c>
      <c r="AR423" s="40">
        <f>AR419-AR422</f>
        <v/>
      </c>
      <c r="AS423" s="40">
        <f>AS419-AS422</f>
        <v/>
      </c>
      <c r="AT423" s="40">
        <f>AT419-AT422</f>
        <v/>
      </c>
      <c r="AU423" s="40">
        <f>AU419-AU422</f>
        <v/>
      </c>
      <c r="AV423" s="40">
        <f>AV419-AV422</f>
        <v/>
      </c>
      <c r="AW423" s="40">
        <f>AW419-AW422</f>
        <v/>
      </c>
      <c r="AX423" s="40">
        <f>AX419-AX422</f>
        <v/>
      </c>
      <c r="AY423" s="40">
        <f>AY419-AY422</f>
        <v/>
      </c>
      <c r="AZ423" s="40">
        <f>AZ419-AZ422</f>
        <v/>
      </c>
      <c r="BA423" s="40">
        <f>BA419-BA422</f>
        <v/>
      </c>
      <c r="BB423" s="40">
        <f>BB419-BB422</f>
        <v/>
      </c>
      <c r="BC423" s="40">
        <f>BC419-BC422</f>
        <v/>
      </c>
      <c r="BD423" s="40">
        <f>BD419-BD422</f>
        <v/>
      </c>
    </row>
    <row r="424">
      <c r="A424" s="41" t="inlineStr">
        <is>
          <t>Stock carried out</t>
        </is>
      </c>
      <c r="B424" s="2" t="inlineStr">
        <is>
          <t>lb</t>
        </is>
      </c>
      <c r="E424" s="40">
        <f>E411-E417-E423</f>
        <v/>
      </c>
      <c r="F424" s="40">
        <f>F411-F417-F423</f>
        <v/>
      </c>
      <c r="G424" s="40">
        <f>G411-G417-G423</f>
        <v/>
      </c>
      <c r="H424" s="40">
        <f>H411-H417-H423</f>
        <v/>
      </c>
      <c r="I424" s="40">
        <f>I411-I417-I423</f>
        <v/>
      </c>
      <c r="J424" s="40">
        <f>J411-J417-J423</f>
        <v/>
      </c>
      <c r="K424" s="40">
        <f>K411-K417-K423</f>
        <v/>
      </c>
      <c r="L424" s="40">
        <f>L411-L417-L423</f>
        <v/>
      </c>
      <c r="M424" s="40">
        <f>M411-M417-M423</f>
        <v/>
      </c>
      <c r="N424" s="40">
        <f>N411-N417-N423</f>
        <v/>
      </c>
      <c r="O424" s="40">
        <f>O411-O417-O423</f>
        <v/>
      </c>
      <c r="P424" s="40">
        <f>P411-P417-P423</f>
        <v/>
      </c>
      <c r="Q424" s="40">
        <f>Q411-Q417-Q423</f>
        <v/>
      </c>
      <c r="R424" s="40">
        <f>R411-R417-R423</f>
        <v/>
      </c>
      <c r="S424" s="40">
        <f>S411-S417-S423</f>
        <v/>
      </c>
      <c r="T424" s="40">
        <f>T411-T417-T423</f>
        <v/>
      </c>
      <c r="U424" s="40">
        <f>U411-U417-U423</f>
        <v/>
      </c>
      <c r="V424" s="40">
        <f>V411-V417-V423</f>
        <v/>
      </c>
      <c r="W424" s="40">
        <f>W411-W417-W423</f>
        <v/>
      </c>
      <c r="X424" s="40">
        <f>X411-X417-X423</f>
        <v/>
      </c>
      <c r="Y424" s="40">
        <f>Y411-Y417-Y423</f>
        <v/>
      </c>
      <c r="Z424" s="40">
        <f>Z411-Z417-Z423</f>
        <v/>
      </c>
      <c r="AA424" s="40">
        <f>AA411-AA417-AA423</f>
        <v/>
      </c>
      <c r="AB424" s="40">
        <f>AB411-AB417-AB423</f>
        <v/>
      </c>
      <c r="AC424" s="40">
        <f>AC411-AC417-AC423</f>
        <v/>
      </c>
      <c r="AD424" s="40">
        <f>AD411-AD417-AD423</f>
        <v/>
      </c>
      <c r="AE424" s="40">
        <f>AE411-AE417-AE423</f>
        <v/>
      </c>
      <c r="AF424" s="40">
        <f>AF411-AF417-AF423</f>
        <v/>
      </c>
      <c r="AG424" s="40">
        <f>AG411-AG417-AG423</f>
        <v/>
      </c>
      <c r="AH424" s="40">
        <f>AH411-AH417-AH423</f>
        <v/>
      </c>
      <c r="AI424" s="40">
        <f>AI411-AI417-AI423</f>
        <v/>
      </c>
      <c r="AJ424" s="40">
        <f>AJ411-AJ417-AJ423</f>
        <v/>
      </c>
      <c r="AK424" s="40">
        <f>AK411-AK417-AK423</f>
        <v/>
      </c>
      <c r="AL424" s="40">
        <f>AL411-AL417-AL423</f>
        <v/>
      </c>
      <c r="AM424" s="40">
        <f>AM411-AM417-AM423</f>
        <v/>
      </c>
      <c r="AN424" s="40">
        <f>AN411-AN417-AN423</f>
        <v/>
      </c>
      <c r="AO424" s="40">
        <f>AO411-AO417-AO423</f>
        <v/>
      </c>
      <c r="AP424" s="40">
        <f>AP411-AP417-AP423</f>
        <v/>
      </c>
      <c r="AQ424" s="40">
        <f>AQ411-AQ417-AQ423</f>
        <v/>
      </c>
      <c r="AR424" s="40">
        <f>AR411-AR417-AR423</f>
        <v/>
      </c>
      <c r="AS424" s="40">
        <f>AS411-AS417-AS423</f>
        <v/>
      </c>
      <c r="AT424" s="40">
        <f>AT411-AT417-AT423</f>
        <v/>
      </c>
      <c r="AU424" s="40">
        <f>AU411-AU417-AU423</f>
        <v/>
      </c>
      <c r="AV424" s="40">
        <f>AV411-AV417-AV423</f>
        <v/>
      </c>
      <c r="AW424" s="40">
        <f>AW411-AW417-AW423</f>
        <v/>
      </c>
      <c r="AX424" s="40">
        <f>AX411-AX417-AX423</f>
        <v/>
      </c>
      <c r="AY424" s="40">
        <f>AY411-AY417-AY423</f>
        <v/>
      </c>
      <c r="AZ424" s="40">
        <f>AZ411-AZ417-AZ423</f>
        <v/>
      </c>
      <c r="BA424" s="40">
        <f>BA411-BA417-BA423</f>
        <v/>
      </c>
      <c r="BB424" s="40">
        <f>BB411-BB417-BB423</f>
        <v/>
      </c>
      <c r="BC424" s="40">
        <f>BC411-BC417-BC423</f>
        <v/>
      </c>
      <c r="BD424" s="40">
        <f>BD411-BD417-BD423</f>
        <v/>
      </c>
    </row>
    <row r="425">
      <c r="A425" s="2" t="inlineStr">
        <is>
          <t xml:space="preserve">   ^ subtracts what LEAVES, not what was offered — so 'returned to store' is</t>
        </is>
      </c>
    </row>
    <row r="426">
      <c r="A426" s="2" t="inlineStr">
        <is>
          <t xml:space="preserve">     never taken out at all, and shows up as next week's carried in.</t>
        </is>
      </c>
    </row>
    <row r="427">
      <c r="A427" s="43" t="inlineStr">
        <is>
          <t>Most stock its shelf life allows</t>
        </is>
      </c>
      <c r="B427" s="2" t="inlineStr">
        <is>
          <t>lb</t>
        </is>
      </c>
      <c r="E427" s="42">
        <f>SUMPRODUCT(($E$407:$BD$407&gt;=1-$F$20+2)*($E$407:$BD$407&lt;=1)*$E$408:$BD$408*POWER(1-$G$20,($E$407:$BD$407&lt;=1)*(1-$E$407:$BD$407)))</f>
        <v/>
      </c>
      <c r="F427" s="42">
        <f>SUMPRODUCT(($E$407:$BD$407&gt;=2-$F$20+2)*($E$407:$BD$407&lt;=2)*$E$408:$BD$408*POWER(1-$G$20,($E$407:$BD$407&lt;=2)*(2-$E$407:$BD$407)))</f>
        <v/>
      </c>
      <c r="G427" s="42">
        <f>SUMPRODUCT(($E$407:$BD$407&gt;=3-$F$20+2)*($E$407:$BD$407&lt;=3)*$E$408:$BD$408*POWER(1-$G$20,($E$407:$BD$407&lt;=3)*(3-$E$407:$BD$407)))</f>
        <v/>
      </c>
      <c r="H427" s="42">
        <f>SUMPRODUCT(($E$407:$BD$407&gt;=4-$F$20+2)*($E$407:$BD$407&lt;=4)*$E$408:$BD$408*POWER(1-$G$20,($E$407:$BD$407&lt;=4)*(4-$E$407:$BD$407)))</f>
        <v/>
      </c>
      <c r="I427" s="42">
        <f>SUMPRODUCT(($E$407:$BD$407&gt;=5-$F$20+2)*($E$407:$BD$407&lt;=5)*$E$408:$BD$408*POWER(1-$G$20,($E$407:$BD$407&lt;=5)*(5-$E$407:$BD$407)))</f>
        <v/>
      </c>
      <c r="J427" s="42">
        <f>SUMPRODUCT(($E$407:$BD$407&gt;=6-$F$20+2)*($E$407:$BD$407&lt;=6)*$E$408:$BD$408*POWER(1-$G$20,($E$407:$BD$407&lt;=6)*(6-$E$407:$BD$407)))</f>
        <v/>
      </c>
      <c r="K427" s="42">
        <f>SUMPRODUCT(($E$407:$BD$407&gt;=7-$F$20+2)*($E$407:$BD$407&lt;=7)*$E$408:$BD$408*POWER(1-$G$20,($E$407:$BD$407&lt;=7)*(7-$E$407:$BD$407)))</f>
        <v/>
      </c>
      <c r="L427" s="42">
        <f>SUMPRODUCT(($E$407:$BD$407&gt;=8-$F$20+2)*($E$407:$BD$407&lt;=8)*$E$408:$BD$408*POWER(1-$G$20,($E$407:$BD$407&lt;=8)*(8-$E$407:$BD$407)))</f>
        <v/>
      </c>
      <c r="M427" s="42">
        <f>SUMPRODUCT(($E$407:$BD$407&gt;=9-$F$20+2)*($E$407:$BD$407&lt;=9)*$E$408:$BD$408*POWER(1-$G$20,($E$407:$BD$407&lt;=9)*(9-$E$407:$BD$407)))</f>
        <v/>
      </c>
      <c r="N427" s="42">
        <f>SUMPRODUCT(($E$407:$BD$407&gt;=10-$F$20+2)*($E$407:$BD$407&lt;=10)*$E$408:$BD$408*POWER(1-$G$20,($E$407:$BD$407&lt;=10)*(10-$E$407:$BD$407)))</f>
        <v/>
      </c>
      <c r="O427" s="42">
        <f>SUMPRODUCT(($E$407:$BD$407&gt;=11-$F$20+2)*($E$407:$BD$407&lt;=11)*$E$408:$BD$408*POWER(1-$G$20,($E$407:$BD$407&lt;=11)*(11-$E$407:$BD$407)))</f>
        <v/>
      </c>
      <c r="P427" s="42">
        <f>SUMPRODUCT(($E$407:$BD$407&gt;=12-$F$20+2)*($E$407:$BD$407&lt;=12)*$E$408:$BD$408*POWER(1-$G$20,($E$407:$BD$407&lt;=12)*(12-$E$407:$BD$407)))</f>
        <v/>
      </c>
      <c r="Q427" s="42">
        <f>SUMPRODUCT(($E$407:$BD$407&gt;=13-$F$20+2)*($E$407:$BD$407&lt;=13)*$E$408:$BD$408*POWER(1-$G$20,($E$407:$BD$407&lt;=13)*(13-$E$407:$BD$407)))</f>
        <v/>
      </c>
      <c r="R427" s="42">
        <f>SUMPRODUCT(($E$407:$BD$407&gt;=14-$F$20+2)*($E$407:$BD$407&lt;=14)*$E$408:$BD$408*POWER(1-$G$20,($E$407:$BD$407&lt;=14)*(14-$E$407:$BD$407)))</f>
        <v/>
      </c>
      <c r="S427" s="42">
        <f>SUMPRODUCT(($E$407:$BD$407&gt;=15-$F$20+2)*($E$407:$BD$407&lt;=15)*$E$408:$BD$408*POWER(1-$G$20,($E$407:$BD$407&lt;=15)*(15-$E$407:$BD$407)))</f>
        <v/>
      </c>
      <c r="T427" s="42">
        <f>SUMPRODUCT(($E$407:$BD$407&gt;=16-$F$20+2)*($E$407:$BD$407&lt;=16)*$E$408:$BD$408*POWER(1-$G$20,($E$407:$BD$407&lt;=16)*(16-$E$407:$BD$407)))</f>
        <v/>
      </c>
      <c r="U427" s="42">
        <f>SUMPRODUCT(($E$407:$BD$407&gt;=17-$F$20+2)*($E$407:$BD$407&lt;=17)*$E$408:$BD$408*POWER(1-$G$20,($E$407:$BD$407&lt;=17)*(17-$E$407:$BD$407)))</f>
        <v/>
      </c>
      <c r="V427" s="42">
        <f>SUMPRODUCT(($E$407:$BD$407&gt;=18-$F$20+2)*($E$407:$BD$407&lt;=18)*$E$408:$BD$408*POWER(1-$G$20,($E$407:$BD$407&lt;=18)*(18-$E$407:$BD$407)))</f>
        <v/>
      </c>
      <c r="W427" s="42">
        <f>SUMPRODUCT(($E$407:$BD$407&gt;=19-$F$20+2)*($E$407:$BD$407&lt;=19)*$E$408:$BD$408*POWER(1-$G$20,($E$407:$BD$407&lt;=19)*(19-$E$407:$BD$407)))</f>
        <v/>
      </c>
      <c r="X427" s="42">
        <f>SUMPRODUCT(($E$407:$BD$407&gt;=20-$F$20+2)*($E$407:$BD$407&lt;=20)*$E$408:$BD$408*POWER(1-$G$20,($E$407:$BD$407&lt;=20)*(20-$E$407:$BD$407)))</f>
        <v/>
      </c>
      <c r="Y427" s="42">
        <f>SUMPRODUCT(($E$407:$BD$407&gt;=21-$F$20+2)*($E$407:$BD$407&lt;=21)*$E$408:$BD$408*POWER(1-$G$20,($E$407:$BD$407&lt;=21)*(21-$E$407:$BD$407)))</f>
        <v/>
      </c>
      <c r="Z427" s="42">
        <f>SUMPRODUCT(($E$407:$BD$407&gt;=22-$F$20+2)*($E$407:$BD$407&lt;=22)*$E$408:$BD$408*POWER(1-$G$20,($E$407:$BD$407&lt;=22)*(22-$E$407:$BD$407)))</f>
        <v/>
      </c>
      <c r="AA427" s="42">
        <f>SUMPRODUCT(($E$407:$BD$407&gt;=23-$F$20+2)*($E$407:$BD$407&lt;=23)*$E$408:$BD$408*POWER(1-$G$20,($E$407:$BD$407&lt;=23)*(23-$E$407:$BD$407)))</f>
        <v/>
      </c>
      <c r="AB427" s="42">
        <f>SUMPRODUCT(($E$407:$BD$407&gt;=24-$F$20+2)*($E$407:$BD$407&lt;=24)*$E$408:$BD$408*POWER(1-$G$20,($E$407:$BD$407&lt;=24)*(24-$E$407:$BD$407)))</f>
        <v/>
      </c>
      <c r="AC427" s="42">
        <f>SUMPRODUCT(($E$407:$BD$407&gt;=25-$F$20+2)*($E$407:$BD$407&lt;=25)*$E$408:$BD$408*POWER(1-$G$20,($E$407:$BD$407&lt;=25)*(25-$E$407:$BD$407)))</f>
        <v/>
      </c>
      <c r="AD427" s="42">
        <f>SUMPRODUCT(($E$407:$BD$407&gt;=26-$F$20+2)*($E$407:$BD$407&lt;=26)*$E$408:$BD$408*POWER(1-$G$20,($E$407:$BD$407&lt;=26)*(26-$E$407:$BD$407)))</f>
        <v/>
      </c>
      <c r="AE427" s="42">
        <f>SUMPRODUCT(($E$407:$BD$407&gt;=27-$F$20+2)*($E$407:$BD$407&lt;=27)*$E$408:$BD$408*POWER(1-$G$20,($E$407:$BD$407&lt;=27)*(27-$E$407:$BD$407)))</f>
        <v/>
      </c>
      <c r="AF427" s="42">
        <f>SUMPRODUCT(($E$407:$BD$407&gt;=28-$F$20+2)*($E$407:$BD$407&lt;=28)*$E$408:$BD$408*POWER(1-$G$20,($E$407:$BD$407&lt;=28)*(28-$E$407:$BD$407)))</f>
        <v/>
      </c>
      <c r="AG427" s="42">
        <f>SUMPRODUCT(($E$407:$BD$407&gt;=29-$F$20+2)*($E$407:$BD$407&lt;=29)*$E$408:$BD$408*POWER(1-$G$20,($E$407:$BD$407&lt;=29)*(29-$E$407:$BD$407)))</f>
        <v/>
      </c>
      <c r="AH427" s="42">
        <f>SUMPRODUCT(($E$407:$BD$407&gt;=30-$F$20+2)*($E$407:$BD$407&lt;=30)*$E$408:$BD$408*POWER(1-$G$20,($E$407:$BD$407&lt;=30)*(30-$E$407:$BD$407)))</f>
        <v/>
      </c>
      <c r="AI427" s="42">
        <f>SUMPRODUCT(($E$407:$BD$407&gt;=31-$F$20+2)*($E$407:$BD$407&lt;=31)*$E$408:$BD$408*POWER(1-$G$20,($E$407:$BD$407&lt;=31)*(31-$E$407:$BD$407)))</f>
        <v/>
      </c>
      <c r="AJ427" s="42">
        <f>SUMPRODUCT(($E$407:$BD$407&gt;=32-$F$20+2)*($E$407:$BD$407&lt;=32)*$E$408:$BD$408*POWER(1-$G$20,($E$407:$BD$407&lt;=32)*(32-$E$407:$BD$407)))</f>
        <v/>
      </c>
      <c r="AK427" s="42">
        <f>SUMPRODUCT(($E$407:$BD$407&gt;=33-$F$20+2)*($E$407:$BD$407&lt;=33)*$E$408:$BD$408*POWER(1-$G$20,($E$407:$BD$407&lt;=33)*(33-$E$407:$BD$407)))</f>
        <v/>
      </c>
      <c r="AL427" s="42">
        <f>SUMPRODUCT(($E$407:$BD$407&gt;=34-$F$20+2)*($E$407:$BD$407&lt;=34)*$E$408:$BD$408*POWER(1-$G$20,($E$407:$BD$407&lt;=34)*(34-$E$407:$BD$407)))</f>
        <v/>
      </c>
      <c r="AM427" s="42">
        <f>SUMPRODUCT(($E$407:$BD$407&gt;=35-$F$20+2)*($E$407:$BD$407&lt;=35)*$E$408:$BD$408*POWER(1-$G$20,($E$407:$BD$407&lt;=35)*(35-$E$407:$BD$407)))</f>
        <v/>
      </c>
      <c r="AN427" s="42">
        <f>SUMPRODUCT(($E$407:$BD$407&gt;=36-$F$20+2)*($E$407:$BD$407&lt;=36)*$E$408:$BD$408*POWER(1-$G$20,($E$407:$BD$407&lt;=36)*(36-$E$407:$BD$407)))</f>
        <v/>
      </c>
      <c r="AO427" s="42">
        <f>SUMPRODUCT(($E$407:$BD$407&gt;=37-$F$20+2)*($E$407:$BD$407&lt;=37)*$E$408:$BD$408*POWER(1-$G$20,($E$407:$BD$407&lt;=37)*(37-$E$407:$BD$407)))</f>
        <v/>
      </c>
      <c r="AP427" s="42">
        <f>SUMPRODUCT(($E$407:$BD$407&gt;=38-$F$20+2)*($E$407:$BD$407&lt;=38)*$E$408:$BD$408*POWER(1-$G$20,($E$407:$BD$407&lt;=38)*(38-$E$407:$BD$407)))</f>
        <v/>
      </c>
      <c r="AQ427" s="42">
        <f>SUMPRODUCT(($E$407:$BD$407&gt;=39-$F$20+2)*($E$407:$BD$407&lt;=39)*$E$408:$BD$408*POWER(1-$G$20,($E$407:$BD$407&lt;=39)*(39-$E$407:$BD$407)))</f>
        <v/>
      </c>
      <c r="AR427" s="42">
        <f>SUMPRODUCT(($E$407:$BD$407&gt;=40-$F$20+2)*($E$407:$BD$407&lt;=40)*$E$408:$BD$408*POWER(1-$G$20,($E$407:$BD$407&lt;=40)*(40-$E$407:$BD$407)))</f>
        <v/>
      </c>
      <c r="AS427" s="42">
        <f>SUMPRODUCT(($E$407:$BD$407&gt;=41-$F$20+2)*($E$407:$BD$407&lt;=41)*$E$408:$BD$408*POWER(1-$G$20,($E$407:$BD$407&lt;=41)*(41-$E$407:$BD$407)))</f>
        <v/>
      </c>
      <c r="AT427" s="42">
        <f>SUMPRODUCT(($E$407:$BD$407&gt;=42-$F$20+2)*($E$407:$BD$407&lt;=42)*$E$408:$BD$408*POWER(1-$G$20,($E$407:$BD$407&lt;=42)*(42-$E$407:$BD$407)))</f>
        <v/>
      </c>
      <c r="AU427" s="42">
        <f>SUMPRODUCT(($E$407:$BD$407&gt;=43-$F$20+2)*($E$407:$BD$407&lt;=43)*$E$408:$BD$408*POWER(1-$G$20,($E$407:$BD$407&lt;=43)*(43-$E$407:$BD$407)))</f>
        <v/>
      </c>
      <c r="AV427" s="42">
        <f>SUMPRODUCT(($E$407:$BD$407&gt;=44-$F$20+2)*($E$407:$BD$407&lt;=44)*$E$408:$BD$408*POWER(1-$G$20,($E$407:$BD$407&lt;=44)*(44-$E$407:$BD$407)))</f>
        <v/>
      </c>
      <c r="AW427" s="42">
        <f>SUMPRODUCT(($E$407:$BD$407&gt;=45-$F$20+2)*($E$407:$BD$407&lt;=45)*$E$408:$BD$408*POWER(1-$G$20,($E$407:$BD$407&lt;=45)*(45-$E$407:$BD$407)))</f>
        <v/>
      </c>
      <c r="AX427" s="42">
        <f>SUMPRODUCT(($E$407:$BD$407&gt;=46-$F$20+2)*($E$407:$BD$407&lt;=46)*$E$408:$BD$408*POWER(1-$G$20,($E$407:$BD$407&lt;=46)*(46-$E$407:$BD$407)))</f>
        <v/>
      </c>
      <c r="AY427" s="42">
        <f>SUMPRODUCT(($E$407:$BD$407&gt;=47-$F$20+2)*($E$407:$BD$407&lt;=47)*$E$408:$BD$408*POWER(1-$G$20,($E$407:$BD$407&lt;=47)*(47-$E$407:$BD$407)))</f>
        <v/>
      </c>
      <c r="AZ427" s="42">
        <f>SUMPRODUCT(($E$407:$BD$407&gt;=48-$F$20+2)*($E$407:$BD$407&lt;=48)*$E$408:$BD$408*POWER(1-$G$20,($E$407:$BD$407&lt;=48)*(48-$E$407:$BD$407)))</f>
        <v/>
      </c>
      <c r="BA427" s="42">
        <f>SUMPRODUCT(($E$407:$BD$407&gt;=49-$F$20+2)*($E$407:$BD$407&lt;=49)*$E$408:$BD$408*POWER(1-$G$20,($E$407:$BD$407&lt;=49)*(49-$E$407:$BD$407)))</f>
        <v/>
      </c>
      <c r="BB427" s="42">
        <f>SUMPRODUCT(($E$407:$BD$407&gt;=50-$F$20+2)*($E$407:$BD$407&lt;=50)*$E$408:$BD$408*POWER(1-$G$20,($E$407:$BD$407&lt;=50)*(50-$E$407:$BD$407)))</f>
        <v/>
      </c>
      <c r="BC427" s="42">
        <f>SUMPRODUCT(($E$407:$BD$407&gt;=51-$F$20+2)*($E$407:$BD$407&lt;=51)*$E$408:$BD$408*POWER(1-$G$20,($E$407:$BD$407&lt;=51)*(51-$E$407:$BD$407)))</f>
        <v/>
      </c>
      <c r="BD427" s="42">
        <f>SUMPRODUCT(($E$407:$BD$407&gt;=52-$F$20+2)*($E$407:$BD$407&lt;=52)*$E$408:$BD$408*POWER(1-$G$20,($E$407:$BD$407&lt;=52)*(52-$E$407:$BD$407)))</f>
        <v/>
      </c>
    </row>
    <row r="428">
      <c r="A428" s="2" t="inlineStr">
        <is>
          <t xml:space="preserve">   Stock carried out must stay at or below this row.</t>
        </is>
      </c>
    </row>
    <row r="429">
      <c r="A429" s="33" t="inlineStr">
        <is>
          <t>Growing cost this week</t>
        </is>
      </c>
      <c r="B429" s="2" t="inlineStr">
        <is>
          <t>$</t>
        </is>
      </c>
      <c r="E429" s="40">
        <f>SUMPRODUCT(($B$91:$B$230="Tunnel Spinach")*(E$91:E$230="P")*$C$91:$C$230)*$K$20+SUMPRODUCT(($B$91:$B$230="Tunnel Spinach")*(E$91:E$230="G")*$C$91:$C$230)*$L$20+SUMPRODUCT(($B$91:$B$230="Tunnel Spinach")*(E$91:E$230="H")*$C$91:$C$230)*$M$20+SUMPRODUCT(($B$91:$B$230="Tunnel Spinach")*($BG$91:$BG$230=1)*$C$91:$C$230)*$H$20</f>
        <v/>
      </c>
      <c r="F429" s="40">
        <f>SUMPRODUCT(($B$91:$B$230="Tunnel Spinach")*(F$91:F$230="P")*$C$91:$C$230)*$K$20+SUMPRODUCT(($B$91:$B$230="Tunnel Spinach")*(F$91:F$230="G")*$C$91:$C$230)*$L$20+SUMPRODUCT(($B$91:$B$230="Tunnel Spinach")*(F$91:F$230="H")*$C$91:$C$230)*$M$20+SUMPRODUCT(($B$91:$B$230="Tunnel Spinach")*($BG$91:$BG$230=2)*$C$91:$C$230)*$H$20</f>
        <v/>
      </c>
      <c r="G429" s="40">
        <f>SUMPRODUCT(($B$91:$B$230="Tunnel Spinach")*(G$91:G$230="P")*$C$91:$C$230)*$K$20+SUMPRODUCT(($B$91:$B$230="Tunnel Spinach")*(G$91:G$230="G")*$C$91:$C$230)*$L$20+SUMPRODUCT(($B$91:$B$230="Tunnel Spinach")*(G$91:G$230="H")*$C$91:$C$230)*$M$20+SUMPRODUCT(($B$91:$B$230="Tunnel Spinach")*($BG$91:$BG$230=3)*$C$91:$C$230)*$H$20</f>
        <v/>
      </c>
      <c r="H429" s="40">
        <f>SUMPRODUCT(($B$91:$B$230="Tunnel Spinach")*(H$91:H$230="P")*$C$91:$C$230)*$K$20+SUMPRODUCT(($B$91:$B$230="Tunnel Spinach")*(H$91:H$230="G")*$C$91:$C$230)*$L$20+SUMPRODUCT(($B$91:$B$230="Tunnel Spinach")*(H$91:H$230="H")*$C$91:$C$230)*$M$20+SUMPRODUCT(($B$91:$B$230="Tunnel Spinach")*($BG$91:$BG$230=4)*$C$91:$C$230)*$H$20</f>
        <v/>
      </c>
      <c r="I429" s="40">
        <f>SUMPRODUCT(($B$91:$B$230="Tunnel Spinach")*(I$91:I$230="P")*$C$91:$C$230)*$K$20+SUMPRODUCT(($B$91:$B$230="Tunnel Spinach")*(I$91:I$230="G")*$C$91:$C$230)*$L$20+SUMPRODUCT(($B$91:$B$230="Tunnel Spinach")*(I$91:I$230="H")*$C$91:$C$230)*$M$20+SUMPRODUCT(($B$91:$B$230="Tunnel Spinach")*($BG$91:$BG$230=5)*$C$91:$C$230)*$H$20</f>
        <v/>
      </c>
      <c r="J429" s="40">
        <f>SUMPRODUCT(($B$91:$B$230="Tunnel Spinach")*(J$91:J$230="P")*$C$91:$C$230)*$K$20+SUMPRODUCT(($B$91:$B$230="Tunnel Spinach")*(J$91:J$230="G")*$C$91:$C$230)*$L$20+SUMPRODUCT(($B$91:$B$230="Tunnel Spinach")*(J$91:J$230="H")*$C$91:$C$230)*$M$20+SUMPRODUCT(($B$91:$B$230="Tunnel Spinach")*($BG$91:$BG$230=6)*$C$91:$C$230)*$H$20</f>
        <v/>
      </c>
      <c r="K429" s="40">
        <f>SUMPRODUCT(($B$91:$B$230="Tunnel Spinach")*(K$91:K$230="P")*$C$91:$C$230)*$K$20+SUMPRODUCT(($B$91:$B$230="Tunnel Spinach")*(K$91:K$230="G")*$C$91:$C$230)*$L$20+SUMPRODUCT(($B$91:$B$230="Tunnel Spinach")*(K$91:K$230="H")*$C$91:$C$230)*$M$20+SUMPRODUCT(($B$91:$B$230="Tunnel Spinach")*($BG$91:$BG$230=7)*$C$91:$C$230)*$H$20</f>
        <v/>
      </c>
      <c r="L429" s="40">
        <f>SUMPRODUCT(($B$91:$B$230="Tunnel Spinach")*(L$91:L$230="P")*$C$91:$C$230)*$K$20+SUMPRODUCT(($B$91:$B$230="Tunnel Spinach")*(L$91:L$230="G")*$C$91:$C$230)*$L$20+SUMPRODUCT(($B$91:$B$230="Tunnel Spinach")*(L$91:L$230="H")*$C$91:$C$230)*$M$20+SUMPRODUCT(($B$91:$B$230="Tunnel Spinach")*($BG$91:$BG$230=8)*$C$91:$C$230)*$H$20</f>
        <v/>
      </c>
      <c r="M429" s="40">
        <f>SUMPRODUCT(($B$91:$B$230="Tunnel Spinach")*(M$91:M$230="P")*$C$91:$C$230)*$K$20+SUMPRODUCT(($B$91:$B$230="Tunnel Spinach")*(M$91:M$230="G")*$C$91:$C$230)*$L$20+SUMPRODUCT(($B$91:$B$230="Tunnel Spinach")*(M$91:M$230="H")*$C$91:$C$230)*$M$20+SUMPRODUCT(($B$91:$B$230="Tunnel Spinach")*($BG$91:$BG$230=9)*$C$91:$C$230)*$H$20</f>
        <v/>
      </c>
      <c r="N429" s="40">
        <f>SUMPRODUCT(($B$91:$B$230="Tunnel Spinach")*(N$91:N$230="P")*$C$91:$C$230)*$K$20+SUMPRODUCT(($B$91:$B$230="Tunnel Spinach")*(N$91:N$230="G")*$C$91:$C$230)*$L$20+SUMPRODUCT(($B$91:$B$230="Tunnel Spinach")*(N$91:N$230="H")*$C$91:$C$230)*$M$20+SUMPRODUCT(($B$91:$B$230="Tunnel Spinach")*($BG$91:$BG$230=10)*$C$91:$C$230)*$H$20</f>
        <v/>
      </c>
      <c r="O429" s="40">
        <f>SUMPRODUCT(($B$91:$B$230="Tunnel Spinach")*(O$91:O$230="P")*$C$91:$C$230)*$K$20+SUMPRODUCT(($B$91:$B$230="Tunnel Spinach")*(O$91:O$230="G")*$C$91:$C$230)*$L$20+SUMPRODUCT(($B$91:$B$230="Tunnel Spinach")*(O$91:O$230="H")*$C$91:$C$230)*$M$20+SUMPRODUCT(($B$91:$B$230="Tunnel Spinach")*($BG$91:$BG$230=11)*$C$91:$C$230)*$H$20</f>
        <v/>
      </c>
      <c r="P429" s="40">
        <f>SUMPRODUCT(($B$91:$B$230="Tunnel Spinach")*(P$91:P$230="P")*$C$91:$C$230)*$K$20+SUMPRODUCT(($B$91:$B$230="Tunnel Spinach")*(P$91:P$230="G")*$C$91:$C$230)*$L$20+SUMPRODUCT(($B$91:$B$230="Tunnel Spinach")*(P$91:P$230="H")*$C$91:$C$230)*$M$20+SUMPRODUCT(($B$91:$B$230="Tunnel Spinach")*($BG$91:$BG$230=12)*$C$91:$C$230)*$H$20</f>
        <v/>
      </c>
      <c r="Q429" s="40">
        <f>SUMPRODUCT(($B$91:$B$230="Tunnel Spinach")*(Q$91:Q$230="P")*$C$91:$C$230)*$K$20+SUMPRODUCT(($B$91:$B$230="Tunnel Spinach")*(Q$91:Q$230="G")*$C$91:$C$230)*$L$20+SUMPRODUCT(($B$91:$B$230="Tunnel Spinach")*(Q$91:Q$230="H")*$C$91:$C$230)*$M$20+SUMPRODUCT(($B$91:$B$230="Tunnel Spinach")*($BG$91:$BG$230=13)*$C$91:$C$230)*$H$20</f>
        <v/>
      </c>
      <c r="R429" s="40">
        <f>SUMPRODUCT(($B$91:$B$230="Tunnel Spinach")*(R$91:R$230="P")*$C$91:$C$230)*$K$20+SUMPRODUCT(($B$91:$B$230="Tunnel Spinach")*(R$91:R$230="G")*$C$91:$C$230)*$L$20+SUMPRODUCT(($B$91:$B$230="Tunnel Spinach")*(R$91:R$230="H")*$C$91:$C$230)*$M$20+SUMPRODUCT(($B$91:$B$230="Tunnel Spinach")*($BG$91:$BG$230=14)*$C$91:$C$230)*$H$20</f>
        <v/>
      </c>
      <c r="S429" s="40">
        <f>SUMPRODUCT(($B$91:$B$230="Tunnel Spinach")*(S$91:S$230="P")*$C$91:$C$230)*$K$20+SUMPRODUCT(($B$91:$B$230="Tunnel Spinach")*(S$91:S$230="G")*$C$91:$C$230)*$L$20+SUMPRODUCT(($B$91:$B$230="Tunnel Spinach")*(S$91:S$230="H")*$C$91:$C$230)*$M$20+SUMPRODUCT(($B$91:$B$230="Tunnel Spinach")*($BG$91:$BG$230=15)*$C$91:$C$230)*$H$20</f>
        <v/>
      </c>
      <c r="T429" s="40">
        <f>SUMPRODUCT(($B$91:$B$230="Tunnel Spinach")*(T$91:T$230="P")*$C$91:$C$230)*$K$20+SUMPRODUCT(($B$91:$B$230="Tunnel Spinach")*(T$91:T$230="G")*$C$91:$C$230)*$L$20+SUMPRODUCT(($B$91:$B$230="Tunnel Spinach")*(T$91:T$230="H")*$C$91:$C$230)*$M$20+SUMPRODUCT(($B$91:$B$230="Tunnel Spinach")*($BG$91:$BG$230=16)*$C$91:$C$230)*$H$20</f>
        <v/>
      </c>
      <c r="U429" s="40">
        <f>SUMPRODUCT(($B$91:$B$230="Tunnel Spinach")*(U$91:U$230="P")*$C$91:$C$230)*$K$20+SUMPRODUCT(($B$91:$B$230="Tunnel Spinach")*(U$91:U$230="G")*$C$91:$C$230)*$L$20+SUMPRODUCT(($B$91:$B$230="Tunnel Spinach")*(U$91:U$230="H")*$C$91:$C$230)*$M$20+SUMPRODUCT(($B$91:$B$230="Tunnel Spinach")*($BG$91:$BG$230=17)*$C$91:$C$230)*$H$20</f>
        <v/>
      </c>
      <c r="V429" s="40">
        <f>SUMPRODUCT(($B$91:$B$230="Tunnel Spinach")*(V$91:V$230="P")*$C$91:$C$230)*$K$20+SUMPRODUCT(($B$91:$B$230="Tunnel Spinach")*(V$91:V$230="G")*$C$91:$C$230)*$L$20+SUMPRODUCT(($B$91:$B$230="Tunnel Spinach")*(V$91:V$230="H")*$C$91:$C$230)*$M$20+SUMPRODUCT(($B$91:$B$230="Tunnel Spinach")*($BG$91:$BG$230=18)*$C$91:$C$230)*$H$20</f>
        <v/>
      </c>
      <c r="W429" s="40">
        <f>SUMPRODUCT(($B$91:$B$230="Tunnel Spinach")*(W$91:W$230="P")*$C$91:$C$230)*$K$20+SUMPRODUCT(($B$91:$B$230="Tunnel Spinach")*(W$91:W$230="G")*$C$91:$C$230)*$L$20+SUMPRODUCT(($B$91:$B$230="Tunnel Spinach")*(W$91:W$230="H")*$C$91:$C$230)*$M$20+SUMPRODUCT(($B$91:$B$230="Tunnel Spinach")*($BG$91:$BG$230=19)*$C$91:$C$230)*$H$20</f>
        <v/>
      </c>
      <c r="X429" s="40">
        <f>SUMPRODUCT(($B$91:$B$230="Tunnel Spinach")*(X$91:X$230="P")*$C$91:$C$230)*$K$20+SUMPRODUCT(($B$91:$B$230="Tunnel Spinach")*(X$91:X$230="G")*$C$91:$C$230)*$L$20+SUMPRODUCT(($B$91:$B$230="Tunnel Spinach")*(X$91:X$230="H")*$C$91:$C$230)*$M$20+SUMPRODUCT(($B$91:$B$230="Tunnel Spinach")*($BG$91:$BG$230=20)*$C$91:$C$230)*$H$20</f>
        <v/>
      </c>
      <c r="Y429" s="40">
        <f>SUMPRODUCT(($B$91:$B$230="Tunnel Spinach")*(Y$91:Y$230="P")*$C$91:$C$230)*$K$20+SUMPRODUCT(($B$91:$B$230="Tunnel Spinach")*(Y$91:Y$230="G")*$C$91:$C$230)*$L$20+SUMPRODUCT(($B$91:$B$230="Tunnel Spinach")*(Y$91:Y$230="H")*$C$91:$C$230)*$M$20+SUMPRODUCT(($B$91:$B$230="Tunnel Spinach")*($BG$91:$BG$230=21)*$C$91:$C$230)*$H$20</f>
        <v/>
      </c>
      <c r="Z429" s="40">
        <f>SUMPRODUCT(($B$91:$B$230="Tunnel Spinach")*(Z$91:Z$230="P")*$C$91:$C$230)*$K$20+SUMPRODUCT(($B$91:$B$230="Tunnel Spinach")*(Z$91:Z$230="G")*$C$91:$C$230)*$L$20+SUMPRODUCT(($B$91:$B$230="Tunnel Spinach")*(Z$91:Z$230="H")*$C$91:$C$230)*$M$20+SUMPRODUCT(($B$91:$B$230="Tunnel Spinach")*($BG$91:$BG$230=22)*$C$91:$C$230)*$H$20</f>
        <v/>
      </c>
      <c r="AA429" s="40">
        <f>SUMPRODUCT(($B$91:$B$230="Tunnel Spinach")*(AA$91:AA$230="P")*$C$91:$C$230)*$K$20+SUMPRODUCT(($B$91:$B$230="Tunnel Spinach")*(AA$91:AA$230="G")*$C$91:$C$230)*$L$20+SUMPRODUCT(($B$91:$B$230="Tunnel Spinach")*(AA$91:AA$230="H")*$C$91:$C$230)*$M$20+SUMPRODUCT(($B$91:$B$230="Tunnel Spinach")*($BG$91:$BG$230=23)*$C$91:$C$230)*$H$20</f>
        <v/>
      </c>
      <c r="AB429" s="40">
        <f>SUMPRODUCT(($B$91:$B$230="Tunnel Spinach")*(AB$91:AB$230="P")*$C$91:$C$230)*$K$20+SUMPRODUCT(($B$91:$B$230="Tunnel Spinach")*(AB$91:AB$230="G")*$C$91:$C$230)*$L$20+SUMPRODUCT(($B$91:$B$230="Tunnel Spinach")*(AB$91:AB$230="H")*$C$91:$C$230)*$M$20+SUMPRODUCT(($B$91:$B$230="Tunnel Spinach")*($BG$91:$BG$230=24)*$C$91:$C$230)*$H$20</f>
        <v/>
      </c>
      <c r="AC429" s="40">
        <f>SUMPRODUCT(($B$91:$B$230="Tunnel Spinach")*(AC$91:AC$230="P")*$C$91:$C$230)*$K$20+SUMPRODUCT(($B$91:$B$230="Tunnel Spinach")*(AC$91:AC$230="G")*$C$91:$C$230)*$L$20+SUMPRODUCT(($B$91:$B$230="Tunnel Spinach")*(AC$91:AC$230="H")*$C$91:$C$230)*$M$20+SUMPRODUCT(($B$91:$B$230="Tunnel Spinach")*($BG$91:$BG$230=25)*$C$91:$C$230)*$H$20</f>
        <v/>
      </c>
      <c r="AD429" s="40">
        <f>SUMPRODUCT(($B$91:$B$230="Tunnel Spinach")*(AD$91:AD$230="P")*$C$91:$C$230)*$K$20+SUMPRODUCT(($B$91:$B$230="Tunnel Spinach")*(AD$91:AD$230="G")*$C$91:$C$230)*$L$20+SUMPRODUCT(($B$91:$B$230="Tunnel Spinach")*(AD$91:AD$230="H")*$C$91:$C$230)*$M$20+SUMPRODUCT(($B$91:$B$230="Tunnel Spinach")*($BG$91:$BG$230=26)*$C$91:$C$230)*$H$20</f>
        <v/>
      </c>
      <c r="AE429" s="40">
        <f>SUMPRODUCT(($B$91:$B$230="Tunnel Spinach")*(AE$91:AE$230="P")*$C$91:$C$230)*$K$20+SUMPRODUCT(($B$91:$B$230="Tunnel Spinach")*(AE$91:AE$230="G")*$C$91:$C$230)*$L$20+SUMPRODUCT(($B$91:$B$230="Tunnel Spinach")*(AE$91:AE$230="H")*$C$91:$C$230)*$M$20+SUMPRODUCT(($B$91:$B$230="Tunnel Spinach")*($BG$91:$BG$230=27)*$C$91:$C$230)*$H$20</f>
        <v/>
      </c>
      <c r="AF429" s="40">
        <f>SUMPRODUCT(($B$91:$B$230="Tunnel Spinach")*(AF$91:AF$230="P")*$C$91:$C$230)*$K$20+SUMPRODUCT(($B$91:$B$230="Tunnel Spinach")*(AF$91:AF$230="G")*$C$91:$C$230)*$L$20+SUMPRODUCT(($B$91:$B$230="Tunnel Spinach")*(AF$91:AF$230="H")*$C$91:$C$230)*$M$20+SUMPRODUCT(($B$91:$B$230="Tunnel Spinach")*($BG$91:$BG$230=28)*$C$91:$C$230)*$H$20</f>
        <v/>
      </c>
      <c r="AG429" s="40">
        <f>SUMPRODUCT(($B$91:$B$230="Tunnel Spinach")*(AG$91:AG$230="P")*$C$91:$C$230)*$K$20+SUMPRODUCT(($B$91:$B$230="Tunnel Spinach")*(AG$91:AG$230="G")*$C$91:$C$230)*$L$20+SUMPRODUCT(($B$91:$B$230="Tunnel Spinach")*(AG$91:AG$230="H")*$C$91:$C$230)*$M$20+SUMPRODUCT(($B$91:$B$230="Tunnel Spinach")*($BG$91:$BG$230=29)*$C$91:$C$230)*$H$20</f>
        <v/>
      </c>
      <c r="AH429" s="40">
        <f>SUMPRODUCT(($B$91:$B$230="Tunnel Spinach")*(AH$91:AH$230="P")*$C$91:$C$230)*$K$20+SUMPRODUCT(($B$91:$B$230="Tunnel Spinach")*(AH$91:AH$230="G")*$C$91:$C$230)*$L$20+SUMPRODUCT(($B$91:$B$230="Tunnel Spinach")*(AH$91:AH$230="H")*$C$91:$C$230)*$M$20+SUMPRODUCT(($B$91:$B$230="Tunnel Spinach")*($BG$91:$BG$230=30)*$C$91:$C$230)*$H$20</f>
        <v/>
      </c>
      <c r="AI429" s="40">
        <f>SUMPRODUCT(($B$91:$B$230="Tunnel Spinach")*(AI$91:AI$230="P")*$C$91:$C$230)*$K$20+SUMPRODUCT(($B$91:$B$230="Tunnel Spinach")*(AI$91:AI$230="G")*$C$91:$C$230)*$L$20+SUMPRODUCT(($B$91:$B$230="Tunnel Spinach")*(AI$91:AI$230="H")*$C$91:$C$230)*$M$20+SUMPRODUCT(($B$91:$B$230="Tunnel Spinach")*($BG$91:$BG$230=31)*$C$91:$C$230)*$H$20</f>
        <v/>
      </c>
      <c r="AJ429" s="40">
        <f>SUMPRODUCT(($B$91:$B$230="Tunnel Spinach")*(AJ$91:AJ$230="P")*$C$91:$C$230)*$K$20+SUMPRODUCT(($B$91:$B$230="Tunnel Spinach")*(AJ$91:AJ$230="G")*$C$91:$C$230)*$L$20+SUMPRODUCT(($B$91:$B$230="Tunnel Spinach")*(AJ$91:AJ$230="H")*$C$91:$C$230)*$M$20+SUMPRODUCT(($B$91:$B$230="Tunnel Spinach")*($BG$91:$BG$230=32)*$C$91:$C$230)*$H$20</f>
        <v/>
      </c>
      <c r="AK429" s="40">
        <f>SUMPRODUCT(($B$91:$B$230="Tunnel Spinach")*(AK$91:AK$230="P")*$C$91:$C$230)*$K$20+SUMPRODUCT(($B$91:$B$230="Tunnel Spinach")*(AK$91:AK$230="G")*$C$91:$C$230)*$L$20+SUMPRODUCT(($B$91:$B$230="Tunnel Spinach")*(AK$91:AK$230="H")*$C$91:$C$230)*$M$20+SUMPRODUCT(($B$91:$B$230="Tunnel Spinach")*($BG$91:$BG$230=33)*$C$91:$C$230)*$H$20</f>
        <v/>
      </c>
      <c r="AL429" s="40">
        <f>SUMPRODUCT(($B$91:$B$230="Tunnel Spinach")*(AL$91:AL$230="P")*$C$91:$C$230)*$K$20+SUMPRODUCT(($B$91:$B$230="Tunnel Spinach")*(AL$91:AL$230="G")*$C$91:$C$230)*$L$20+SUMPRODUCT(($B$91:$B$230="Tunnel Spinach")*(AL$91:AL$230="H")*$C$91:$C$230)*$M$20+SUMPRODUCT(($B$91:$B$230="Tunnel Spinach")*($BG$91:$BG$230=34)*$C$91:$C$230)*$H$20</f>
        <v/>
      </c>
      <c r="AM429" s="40">
        <f>SUMPRODUCT(($B$91:$B$230="Tunnel Spinach")*(AM$91:AM$230="P")*$C$91:$C$230)*$K$20+SUMPRODUCT(($B$91:$B$230="Tunnel Spinach")*(AM$91:AM$230="G")*$C$91:$C$230)*$L$20+SUMPRODUCT(($B$91:$B$230="Tunnel Spinach")*(AM$91:AM$230="H")*$C$91:$C$230)*$M$20+SUMPRODUCT(($B$91:$B$230="Tunnel Spinach")*($BG$91:$BG$230=35)*$C$91:$C$230)*$H$20</f>
        <v/>
      </c>
      <c r="AN429" s="40">
        <f>SUMPRODUCT(($B$91:$B$230="Tunnel Spinach")*(AN$91:AN$230="P")*$C$91:$C$230)*$K$20+SUMPRODUCT(($B$91:$B$230="Tunnel Spinach")*(AN$91:AN$230="G")*$C$91:$C$230)*$L$20+SUMPRODUCT(($B$91:$B$230="Tunnel Spinach")*(AN$91:AN$230="H")*$C$91:$C$230)*$M$20+SUMPRODUCT(($B$91:$B$230="Tunnel Spinach")*($BG$91:$BG$230=36)*$C$91:$C$230)*$H$20</f>
        <v/>
      </c>
      <c r="AO429" s="40">
        <f>SUMPRODUCT(($B$91:$B$230="Tunnel Spinach")*(AO$91:AO$230="P")*$C$91:$C$230)*$K$20+SUMPRODUCT(($B$91:$B$230="Tunnel Spinach")*(AO$91:AO$230="G")*$C$91:$C$230)*$L$20+SUMPRODUCT(($B$91:$B$230="Tunnel Spinach")*(AO$91:AO$230="H")*$C$91:$C$230)*$M$20+SUMPRODUCT(($B$91:$B$230="Tunnel Spinach")*($BG$91:$BG$230=37)*$C$91:$C$230)*$H$20</f>
        <v/>
      </c>
      <c r="AP429" s="40">
        <f>SUMPRODUCT(($B$91:$B$230="Tunnel Spinach")*(AP$91:AP$230="P")*$C$91:$C$230)*$K$20+SUMPRODUCT(($B$91:$B$230="Tunnel Spinach")*(AP$91:AP$230="G")*$C$91:$C$230)*$L$20+SUMPRODUCT(($B$91:$B$230="Tunnel Spinach")*(AP$91:AP$230="H")*$C$91:$C$230)*$M$20+SUMPRODUCT(($B$91:$B$230="Tunnel Spinach")*($BG$91:$BG$230=38)*$C$91:$C$230)*$H$20</f>
        <v/>
      </c>
      <c r="AQ429" s="40">
        <f>SUMPRODUCT(($B$91:$B$230="Tunnel Spinach")*(AQ$91:AQ$230="P")*$C$91:$C$230)*$K$20+SUMPRODUCT(($B$91:$B$230="Tunnel Spinach")*(AQ$91:AQ$230="G")*$C$91:$C$230)*$L$20+SUMPRODUCT(($B$91:$B$230="Tunnel Spinach")*(AQ$91:AQ$230="H")*$C$91:$C$230)*$M$20+SUMPRODUCT(($B$91:$B$230="Tunnel Spinach")*($BG$91:$BG$230=39)*$C$91:$C$230)*$H$20</f>
        <v/>
      </c>
      <c r="AR429" s="40">
        <f>SUMPRODUCT(($B$91:$B$230="Tunnel Spinach")*(AR$91:AR$230="P")*$C$91:$C$230)*$K$20+SUMPRODUCT(($B$91:$B$230="Tunnel Spinach")*(AR$91:AR$230="G")*$C$91:$C$230)*$L$20+SUMPRODUCT(($B$91:$B$230="Tunnel Spinach")*(AR$91:AR$230="H")*$C$91:$C$230)*$M$20+SUMPRODUCT(($B$91:$B$230="Tunnel Spinach")*($BG$91:$BG$230=40)*$C$91:$C$230)*$H$20</f>
        <v/>
      </c>
      <c r="AS429" s="40">
        <f>SUMPRODUCT(($B$91:$B$230="Tunnel Spinach")*(AS$91:AS$230="P")*$C$91:$C$230)*$K$20+SUMPRODUCT(($B$91:$B$230="Tunnel Spinach")*(AS$91:AS$230="G")*$C$91:$C$230)*$L$20+SUMPRODUCT(($B$91:$B$230="Tunnel Spinach")*(AS$91:AS$230="H")*$C$91:$C$230)*$M$20+SUMPRODUCT(($B$91:$B$230="Tunnel Spinach")*($BG$91:$BG$230=41)*$C$91:$C$230)*$H$20</f>
        <v/>
      </c>
      <c r="AT429" s="40">
        <f>SUMPRODUCT(($B$91:$B$230="Tunnel Spinach")*(AT$91:AT$230="P")*$C$91:$C$230)*$K$20+SUMPRODUCT(($B$91:$B$230="Tunnel Spinach")*(AT$91:AT$230="G")*$C$91:$C$230)*$L$20+SUMPRODUCT(($B$91:$B$230="Tunnel Spinach")*(AT$91:AT$230="H")*$C$91:$C$230)*$M$20+SUMPRODUCT(($B$91:$B$230="Tunnel Spinach")*($BG$91:$BG$230=42)*$C$91:$C$230)*$H$20</f>
        <v/>
      </c>
      <c r="AU429" s="40">
        <f>SUMPRODUCT(($B$91:$B$230="Tunnel Spinach")*(AU$91:AU$230="P")*$C$91:$C$230)*$K$20+SUMPRODUCT(($B$91:$B$230="Tunnel Spinach")*(AU$91:AU$230="G")*$C$91:$C$230)*$L$20+SUMPRODUCT(($B$91:$B$230="Tunnel Spinach")*(AU$91:AU$230="H")*$C$91:$C$230)*$M$20+SUMPRODUCT(($B$91:$B$230="Tunnel Spinach")*($BG$91:$BG$230=43)*$C$91:$C$230)*$H$20</f>
        <v/>
      </c>
      <c r="AV429" s="40">
        <f>SUMPRODUCT(($B$91:$B$230="Tunnel Spinach")*(AV$91:AV$230="P")*$C$91:$C$230)*$K$20+SUMPRODUCT(($B$91:$B$230="Tunnel Spinach")*(AV$91:AV$230="G")*$C$91:$C$230)*$L$20+SUMPRODUCT(($B$91:$B$230="Tunnel Spinach")*(AV$91:AV$230="H")*$C$91:$C$230)*$M$20+SUMPRODUCT(($B$91:$B$230="Tunnel Spinach")*($BG$91:$BG$230=44)*$C$91:$C$230)*$H$20</f>
        <v/>
      </c>
      <c r="AW429" s="40">
        <f>SUMPRODUCT(($B$91:$B$230="Tunnel Spinach")*(AW$91:AW$230="P")*$C$91:$C$230)*$K$20+SUMPRODUCT(($B$91:$B$230="Tunnel Spinach")*(AW$91:AW$230="G")*$C$91:$C$230)*$L$20+SUMPRODUCT(($B$91:$B$230="Tunnel Spinach")*(AW$91:AW$230="H")*$C$91:$C$230)*$M$20+SUMPRODUCT(($B$91:$B$230="Tunnel Spinach")*($BG$91:$BG$230=45)*$C$91:$C$230)*$H$20</f>
        <v/>
      </c>
      <c r="AX429" s="40">
        <f>SUMPRODUCT(($B$91:$B$230="Tunnel Spinach")*(AX$91:AX$230="P")*$C$91:$C$230)*$K$20+SUMPRODUCT(($B$91:$B$230="Tunnel Spinach")*(AX$91:AX$230="G")*$C$91:$C$230)*$L$20+SUMPRODUCT(($B$91:$B$230="Tunnel Spinach")*(AX$91:AX$230="H")*$C$91:$C$230)*$M$20+SUMPRODUCT(($B$91:$B$230="Tunnel Spinach")*($BG$91:$BG$230=46)*$C$91:$C$230)*$H$20</f>
        <v/>
      </c>
      <c r="AY429" s="40">
        <f>SUMPRODUCT(($B$91:$B$230="Tunnel Spinach")*(AY$91:AY$230="P")*$C$91:$C$230)*$K$20+SUMPRODUCT(($B$91:$B$230="Tunnel Spinach")*(AY$91:AY$230="G")*$C$91:$C$230)*$L$20+SUMPRODUCT(($B$91:$B$230="Tunnel Spinach")*(AY$91:AY$230="H")*$C$91:$C$230)*$M$20+SUMPRODUCT(($B$91:$B$230="Tunnel Spinach")*($BG$91:$BG$230=47)*$C$91:$C$230)*$H$20</f>
        <v/>
      </c>
      <c r="AZ429" s="40">
        <f>SUMPRODUCT(($B$91:$B$230="Tunnel Spinach")*(AZ$91:AZ$230="P")*$C$91:$C$230)*$K$20+SUMPRODUCT(($B$91:$B$230="Tunnel Spinach")*(AZ$91:AZ$230="G")*$C$91:$C$230)*$L$20+SUMPRODUCT(($B$91:$B$230="Tunnel Spinach")*(AZ$91:AZ$230="H")*$C$91:$C$230)*$M$20+SUMPRODUCT(($B$91:$B$230="Tunnel Spinach")*($BG$91:$BG$230=48)*$C$91:$C$230)*$H$20</f>
        <v/>
      </c>
      <c r="BA429" s="40">
        <f>SUMPRODUCT(($B$91:$B$230="Tunnel Spinach")*(BA$91:BA$230="P")*$C$91:$C$230)*$K$20+SUMPRODUCT(($B$91:$B$230="Tunnel Spinach")*(BA$91:BA$230="G")*$C$91:$C$230)*$L$20+SUMPRODUCT(($B$91:$B$230="Tunnel Spinach")*(BA$91:BA$230="H")*$C$91:$C$230)*$M$20+SUMPRODUCT(($B$91:$B$230="Tunnel Spinach")*($BG$91:$BG$230=49)*$C$91:$C$230)*$H$20</f>
        <v/>
      </c>
      <c r="BB429" s="40">
        <f>SUMPRODUCT(($B$91:$B$230="Tunnel Spinach")*(BB$91:BB$230="P")*$C$91:$C$230)*$K$20+SUMPRODUCT(($B$91:$B$230="Tunnel Spinach")*(BB$91:BB$230="G")*$C$91:$C$230)*$L$20+SUMPRODUCT(($B$91:$B$230="Tunnel Spinach")*(BB$91:BB$230="H")*$C$91:$C$230)*$M$20+SUMPRODUCT(($B$91:$B$230="Tunnel Spinach")*($BG$91:$BG$230=50)*$C$91:$C$230)*$H$20</f>
        <v/>
      </c>
      <c r="BC429" s="40">
        <f>SUMPRODUCT(($B$91:$B$230="Tunnel Spinach")*(BC$91:BC$230="P")*$C$91:$C$230)*$K$20+SUMPRODUCT(($B$91:$B$230="Tunnel Spinach")*(BC$91:BC$230="G")*$C$91:$C$230)*$L$20+SUMPRODUCT(($B$91:$B$230="Tunnel Spinach")*(BC$91:BC$230="H")*$C$91:$C$230)*$M$20+SUMPRODUCT(($B$91:$B$230="Tunnel Spinach")*($BG$91:$BG$230=51)*$C$91:$C$230)*$H$20</f>
        <v/>
      </c>
      <c r="BD429" s="40">
        <f>SUMPRODUCT(($B$91:$B$230="Tunnel Spinach")*(BD$91:BD$230="P")*$C$91:$C$230)*$K$20+SUMPRODUCT(($B$91:$B$230="Tunnel Spinach")*(BD$91:BD$230="G")*$C$91:$C$230)*$L$20+SUMPRODUCT(($B$91:$B$230="Tunnel Spinach")*(BD$91:BD$230="H")*$C$91:$C$230)*$M$20+SUMPRODUCT(($B$91:$B$230="Tunnel Spinach")*($BG$91:$BG$230=52)*$C$91:$C$230)*$H$20</f>
        <v/>
      </c>
    </row>
    <row r="430">
      <c r="A430" s="33" t="inlineStr">
        <is>
          <t>Packaging this week</t>
        </is>
      </c>
      <c r="B430" s="2" t="inlineStr">
        <is>
          <t>$</t>
        </is>
      </c>
      <c r="E430" s="40">
        <f>E414*$J$41+E420*$J$42</f>
        <v/>
      </c>
      <c r="F430" s="40">
        <f>F414*$J$41+F420*$J$42</f>
        <v/>
      </c>
      <c r="G430" s="40">
        <f>G414*$J$41+G420*$J$42</f>
        <v/>
      </c>
      <c r="H430" s="40">
        <f>H414*$J$41+H420*$J$42</f>
        <v/>
      </c>
      <c r="I430" s="40">
        <f>I414*$J$41+I420*$J$42</f>
        <v/>
      </c>
      <c r="J430" s="40">
        <f>J414*$J$41+J420*$J$42</f>
        <v/>
      </c>
      <c r="K430" s="40">
        <f>K414*$J$41+K420*$J$42</f>
        <v/>
      </c>
      <c r="L430" s="40">
        <f>L414*$J$41+L420*$J$42</f>
        <v/>
      </c>
      <c r="M430" s="40">
        <f>M414*$J$41+M420*$J$42</f>
        <v/>
      </c>
      <c r="N430" s="40">
        <f>N414*$J$41+N420*$J$42</f>
        <v/>
      </c>
      <c r="O430" s="40">
        <f>O414*$J$41+O420*$J$42</f>
        <v/>
      </c>
      <c r="P430" s="40">
        <f>P414*$J$41+P420*$J$42</f>
        <v/>
      </c>
      <c r="Q430" s="40">
        <f>Q414*$J$41+Q420*$J$42</f>
        <v/>
      </c>
      <c r="R430" s="40">
        <f>R414*$J$41+R420*$J$42</f>
        <v/>
      </c>
      <c r="S430" s="40">
        <f>S414*$J$41+S420*$J$42</f>
        <v/>
      </c>
      <c r="T430" s="40">
        <f>T414*$J$41+T420*$J$42</f>
        <v/>
      </c>
      <c r="U430" s="40">
        <f>U414*$J$41+U420*$J$42</f>
        <v/>
      </c>
      <c r="V430" s="40">
        <f>V414*$J$41+V420*$J$42</f>
        <v/>
      </c>
      <c r="W430" s="40">
        <f>W414*$J$41+W420*$J$42</f>
        <v/>
      </c>
      <c r="X430" s="40">
        <f>X414*$J$41+X420*$J$42</f>
        <v/>
      </c>
      <c r="Y430" s="40">
        <f>Y414*$J$41+Y420*$J$42</f>
        <v/>
      </c>
      <c r="Z430" s="40">
        <f>Z414*$J$41+Z420*$J$42</f>
        <v/>
      </c>
      <c r="AA430" s="40">
        <f>AA414*$J$41+AA420*$J$42</f>
        <v/>
      </c>
      <c r="AB430" s="40">
        <f>AB414*$J$41+AB420*$J$42</f>
        <v/>
      </c>
      <c r="AC430" s="40">
        <f>AC414*$J$41+AC420*$J$42</f>
        <v/>
      </c>
      <c r="AD430" s="40">
        <f>AD414*$J$41+AD420*$J$42</f>
        <v/>
      </c>
      <c r="AE430" s="40">
        <f>AE414*$J$41+AE420*$J$42</f>
        <v/>
      </c>
      <c r="AF430" s="40">
        <f>AF414*$J$41+AF420*$J$42</f>
        <v/>
      </c>
      <c r="AG430" s="40">
        <f>AG414*$J$41+AG420*$J$42</f>
        <v/>
      </c>
      <c r="AH430" s="40">
        <f>AH414*$J$41+AH420*$J$42</f>
        <v/>
      </c>
      <c r="AI430" s="40">
        <f>AI414*$J$41+AI420*$J$42</f>
        <v/>
      </c>
      <c r="AJ430" s="40">
        <f>AJ414*$J$41+AJ420*$J$42</f>
        <v/>
      </c>
      <c r="AK430" s="40">
        <f>AK414*$J$41+AK420*$J$42</f>
        <v/>
      </c>
      <c r="AL430" s="40">
        <f>AL414*$J$41+AL420*$J$42</f>
        <v/>
      </c>
      <c r="AM430" s="40">
        <f>AM414*$J$41+AM420*$J$42</f>
        <v/>
      </c>
      <c r="AN430" s="40">
        <f>AN414*$J$41+AN420*$J$42</f>
        <v/>
      </c>
      <c r="AO430" s="40">
        <f>AO414*$J$41+AO420*$J$42</f>
        <v/>
      </c>
      <c r="AP430" s="40">
        <f>AP414*$J$41+AP420*$J$42</f>
        <v/>
      </c>
      <c r="AQ430" s="40">
        <f>AQ414*$J$41+AQ420*$J$42</f>
        <v/>
      </c>
      <c r="AR430" s="40">
        <f>AR414*$J$41+AR420*$J$42</f>
        <v/>
      </c>
      <c r="AS430" s="40">
        <f>AS414*$J$41+AS420*$J$42</f>
        <v/>
      </c>
      <c r="AT430" s="40">
        <f>AT414*$J$41+AT420*$J$42</f>
        <v/>
      </c>
      <c r="AU430" s="40">
        <f>AU414*$J$41+AU420*$J$42</f>
        <v/>
      </c>
      <c r="AV430" s="40">
        <f>AV414*$J$41+AV420*$J$42</f>
        <v/>
      </c>
      <c r="AW430" s="40">
        <f>AW414*$J$41+AW420*$J$42</f>
        <v/>
      </c>
      <c r="AX430" s="40">
        <f>AX414*$J$41+AX420*$J$42</f>
        <v/>
      </c>
      <c r="AY430" s="40">
        <f>AY414*$J$41+AY420*$J$42</f>
        <v/>
      </c>
      <c r="AZ430" s="40">
        <f>AZ414*$J$41+AZ420*$J$42</f>
        <v/>
      </c>
      <c r="BA430" s="40">
        <f>BA414*$J$41+BA420*$J$42</f>
        <v/>
      </c>
      <c r="BB430" s="40">
        <f>BB414*$J$41+BB420*$J$42</f>
        <v/>
      </c>
      <c r="BC430" s="40">
        <f>BC414*$J$41+BC420*$J$42</f>
        <v/>
      </c>
      <c r="BD430" s="40">
        <f>BD414*$J$41+BD420*$J$42</f>
        <v/>
      </c>
    </row>
    <row r="431">
      <c r="A431" s="4" t="inlineStr">
        <is>
          <t>ROOM OCCUPANCY</t>
        </is>
      </c>
      <c r="B431" s="2" t="inlineStr">
        <is>
          <t>m3</t>
        </is>
      </c>
      <c r="E431" s="58">
        <f>(E409+E408)*$D$20</f>
        <v/>
      </c>
      <c r="F431" s="58">
        <f>(F409+F408)*$D$20</f>
        <v/>
      </c>
      <c r="G431" s="58">
        <f>(G409+G408)*$D$20</f>
        <v/>
      </c>
      <c r="H431" s="58">
        <f>(H409+H408)*$D$20</f>
        <v/>
      </c>
      <c r="I431" s="58">
        <f>(I409+I408)*$D$20</f>
        <v/>
      </c>
      <c r="J431" s="58">
        <f>(J409+J408)*$D$20</f>
        <v/>
      </c>
      <c r="K431" s="58">
        <f>(K409+K408)*$D$20</f>
        <v/>
      </c>
      <c r="L431" s="58">
        <f>(L409+L408)*$D$20</f>
        <v/>
      </c>
      <c r="M431" s="58">
        <f>(M409+M408)*$D$20</f>
        <v/>
      </c>
      <c r="N431" s="58">
        <f>(N409+N408)*$D$20</f>
        <v/>
      </c>
      <c r="O431" s="58">
        <f>(O409+O408)*$D$20</f>
        <v/>
      </c>
      <c r="P431" s="58">
        <f>(P409+P408)*$D$20</f>
        <v/>
      </c>
      <c r="Q431" s="58">
        <f>(Q409+Q408)*$D$20</f>
        <v/>
      </c>
      <c r="R431" s="58">
        <f>(R409+R408)*$D$20</f>
        <v/>
      </c>
      <c r="S431" s="58">
        <f>(S409+S408)*$D$20</f>
        <v/>
      </c>
      <c r="T431" s="58">
        <f>(T409+T408)*$D$20</f>
        <v/>
      </c>
      <c r="U431" s="58">
        <f>(U409+U408)*$D$20</f>
        <v/>
      </c>
      <c r="V431" s="58">
        <f>(V409+V408)*$D$20</f>
        <v/>
      </c>
      <c r="W431" s="58">
        <f>(W409+W408)*$D$20</f>
        <v/>
      </c>
      <c r="X431" s="58">
        <f>(X409+X408)*$D$20</f>
        <v/>
      </c>
      <c r="Y431" s="58">
        <f>(Y409+Y408)*$D$20</f>
        <v/>
      </c>
      <c r="Z431" s="58">
        <f>(Z409+Z408)*$D$20</f>
        <v/>
      </c>
      <c r="AA431" s="58">
        <f>(AA409+AA408)*$D$20</f>
        <v/>
      </c>
      <c r="AB431" s="58">
        <f>(AB409+AB408)*$D$20</f>
        <v/>
      </c>
      <c r="AC431" s="58">
        <f>(AC409+AC408)*$D$20</f>
        <v/>
      </c>
      <c r="AD431" s="58">
        <f>(AD409+AD408)*$D$20</f>
        <v/>
      </c>
      <c r="AE431" s="58">
        <f>(AE409+AE408)*$D$20</f>
        <v/>
      </c>
      <c r="AF431" s="58">
        <f>(AF409+AF408)*$D$20</f>
        <v/>
      </c>
      <c r="AG431" s="58">
        <f>(AG409+AG408)*$D$20</f>
        <v/>
      </c>
      <c r="AH431" s="58">
        <f>(AH409+AH408)*$D$20</f>
        <v/>
      </c>
      <c r="AI431" s="58">
        <f>(AI409+AI408)*$D$20</f>
        <v/>
      </c>
      <c r="AJ431" s="58">
        <f>(AJ409+AJ408)*$D$20</f>
        <v/>
      </c>
      <c r="AK431" s="58">
        <f>(AK409+AK408)*$D$20</f>
        <v/>
      </c>
      <c r="AL431" s="58">
        <f>(AL409+AL408)*$D$20</f>
        <v/>
      </c>
      <c r="AM431" s="58">
        <f>(AM409+AM408)*$D$20</f>
        <v/>
      </c>
      <c r="AN431" s="58">
        <f>(AN409+AN408)*$D$20</f>
        <v/>
      </c>
      <c r="AO431" s="58">
        <f>(AO409+AO408)*$D$20</f>
        <v/>
      </c>
      <c r="AP431" s="58">
        <f>(AP409+AP408)*$D$20</f>
        <v/>
      </c>
      <c r="AQ431" s="58">
        <f>(AQ409+AQ408)*$D$20</f>
        <v/>
      </c>
      <c r="AR431" s="58">
        <f>(AR409+AR408)*$D$20</f>
        <v/>
      </c>
      <c r="AS431" s="58">
        <f>(AS409+AS408)*$D$20</f>
        <v/>
      </c>
      <c r="AT431" s="58">
        <f>(AT409+AT408)*$D$20</f>
        <v/>
      </c>
      <c r="AU431" s="58">
        <f>(AU409+AU408)*$D$20</f>
        <v/>
      </c>
      <c r="AV431" s="58">
        <f>(AV409+AV408)*$D$20</f>
        <v/>
      </c>
      <c r="AW431" s="58">
        <f>(AW409+AW408)*$D$20</f>
        <v/>
      </c>
      <c r="AX431" s="58">
        <f>(AX409+AX408)*$D$20</f>
        <v/>
      </c>
      <c r="AY431" s="58">
        <f>(AY409+AY408)*$D$20</f>
        <v/>
      </c>
      <c r="AZ431" s="58">
        <f>(AZ409+AZ408)*$D$20</f>
        <v/>
      </c>
      <c r="BA431" s="58">
        <f>(BA409+BA408)*$D$20</f>
        <v/>
      </c>
      <c r="BB431" s="58">
        <f>(BB409+BB408)*$D$20</f>
        <v/>
      </c>
      <c r="BC431" s="58">
        <f>(BC409+BC408)*$D$20</f>
        <v/>
      </c>
      <c r="BD431" s="58">
        <f>(BD409+BD408)*$D$20</f>
        <v/>
      </c>
    </row>
    <row r="433">
      <c r="A433" s="3" t="inlineStr">
        <is>
          <t>ASPARAGUS  —  cold store</t>
        </is>
      </c>
      <c r="B433" s="53" t="inlineStr"/>
    </row>
    <row r="434">
      <c r="A434" s="36" t="inlineStr">
        <is>
          <t>Week</t>
        </is>
      </c>
      <c r="B434" s="37" t="inlineStr"/>
      <c r="E434" s="38" t="n">
        <v>1</v>
      </c>
      <c r="F434" s="38" t="n">
        <v>2</v>
      </c>
      <c r="G434" s="38" t="n">
        <v>3</v>
      </c>
      <c r="H434" s="38" t="n">
        <v>4</v>
      </c>
      <c r="I434" s="38" t="n">
        <v>5</v>
      </c>
      <c r="J434" s="38" t="n">
        <v>6</v>
      </c>
      <c r="K434" s="38" t="n">
        <v>7</v>
      </c>
      <c r="L434" s="38" t="n">
        <v>8</v>
      </c>
      <c r="M434" s="38" t="n">
        <v>9</v>
      </c>
      <c r="N434" s="38" t="n">
        <v>10</v>
      </c>
      <c r="O434" s="38" t="n">
        <v>11</v>
      </c>
      <c r="P434" s="38" t="n">
        <v>12</v>
      </c>
      <c r="Q434" s="38" t="n">
        <v>13</v>
      </c>
      <c r="R434" s="38" t="n">
        <v>14</v>
      </c>
      <c r="S434" s="38" t="n">
        <v>15</v>
      </c>
      <c r="T434" s="38" t="n">
        <v>16</v>
      </c>
      <c r="U434" s="38" t="n">
        <v>17</v>
      </c>
      <c r="V434" s="38" t="n">
        <v>18</v>
      </c>
      <c r="W434" s="38" t="n">
        <v>19</v>
      </c>
      <c r="X434" s="38" t="n">
        <v>20</v>
      </c>
      <c r="Y434" s="38" t="n">
        <v>21</v>
      </c>
      <c r="Z434" s="38" t="n">
        <v>22</v>
      </c>
      <c r="AA434" s="38" t="n">
        <v>23</v>
      </c>
      <c r="AB434" s="38" t="n">
        <v>24</v>
      </c>
      <c r="AC434" s="38" t="n">
        <v>25</v>
      </c>
      <c r="AD434" s="38" t="n">
        <v>26</v>
      </c>
      <c r="AE434" s="38" t="n">
        <v>27</v>
      </c>
      <c r="AF434" s="38" t="n">
        <v>28</v>
      </c>
      <c r="AG434" s="38" t="n">
        <v>29</v>
      </c>
      <c r="AH434" s="38" t="n">
        <v>30</v>
      </c>
      <c r="AI434" s="38" t="n">
        <v>31</v>
      </c>
      <c r="AJ434" s="38" t="n">
        <v>32</v>
      </c>
      <c r="AK434" s="38" t="n">
        <v>33</v>
      </c>
      <c r="AL434" s="38" t="n">
        <v>34</v>
      </c>
      <c r="AM434" s="38" t="n">
        <v>35</v>
      </c>
      <c r="AN434" s="38" t="n">
        <v>36</v>
      </c>
      <c r="AO434" s="38" t="n">
        <v>37</v>
      </c>
      <c r="AP434" s="38" t="n">
        <v>38</v>
      </c>
      <c r="AQ434" s="38" t="n">
        <v>39</v>
      </c>
      <c r="AR434" s="38" t="n">
        <v>40</v>
      </c>
      <c r="AS434" s="38" t="n">
        <v>41</v>
      </c>
      <c r="AT434" s="38" t="n">
        <v>42</v>
      </c>
      <c r="AU434" s="38" t="n">
        <v>43</v>
      </c>
      <c r="AV434" s="38" t="n">
        <v>44</v>
      </c>
      <c r="AW434" s="38" t="n">
        <v>45</v>
      </c>
      <c r="AX434" s="38" t="n">
        <v>46</v>
      </c>
      <c r="AY434" s="38" t="n">
        <v>47</v>
      </c>
      <c r="AZ434" s="38" t="n">
        <v>48</v>
      </c>
      <c r="BA434" s="38" t="n">
        <v>49</v>
      </c>
      <c r="BB434" s="38" t="n">
        <v>50</v>
      </c>
      <c r="BC434" s="38" t="n">
        <v>51</v>
      </c>
      <c r="BD434" s="38" t="n">
        <v>52</v>
      </c>
    </row>
    <row r="435">
      <c r="A435" s="4" t="inlineStr">
        <is>
          <t>Packed out -&gt; INTO the store</t>
        </is>
      </c>
      <c r="B435" s="2" t="inlineStr">
        <is>
          <t>lb</t>
        </is>
      </c>
      <c r="E435" s="40">
        <f>SUMPRODUCT(($B$91:$B$230="Asparagus")*(E$91:E$230="H")*$C$91:$C$230)*$B$21/$J$21*$C$21</f>
        <v/>
      </c>
      <c r="F435" s="40">
        <f>SUMPRODUCT(($B$91:$B$230="Asparagus")*(F$91:F$230="H")*$C$91:$C$230)*$B$21/$J$21*$C$21</f>
        <v/>
      </c>
      <c r="G435" s="40">
        <f>SUMPRODUCT(($B$91:$B$230="Asparagus")*(G$91:G$230="H")*$C$91:$C$230)*$B$21/$J$21*$C$21</f>
        <v/>
      </c>
      <c r="H435" s="40">
        <f>SUMPRODUCT(($B$91:$B$230="Asparagus")*(H$91:H$230="H")*$C$91:$C$230)*$B$21/$J$21*$C$21</f>
        <v/>
      </c>
      <c r="I435" s="40">
        <f>SUMPRODUCT(($B$91:$B$230="Asparagus")*(I$91:I$230="H")*$C$91:$C$230)*$B$21/$J$21*$C$21</f>
        <v/>
      </c>
      <c r="J435" s="40">
        <f>SUMPRODUCT(($B$91:$B$230="Asparagus")*(J$91:J$230="H")*$C$91:$C$230)*$B$21/$J$21*$C$21</f>
        <v/>
      </c>
      <c r="K435" s="40">
        <f>SUMPRODUCT(($B$91:$B$230="Asparagus")*(K$91:K$230="H")*$C$91:$C$230)*$B$21/$J$21*$C$21</f>
        <v/>
      </c>
      <c r="L435" s="40">
        <f>SUMPRODUCT(($B$91:$B$230="Asparagus")*(L$91:L$230="H")*$C$91:$C$230)*$B$21/$J$21*$C$21</f>
        <v/>
      </c>
      <c r="M435" s="40">
        <f>SUMPRODUCT(($B$91:$B$230="Asparagus")*(M$91:M$230="H")*$C$91:$C$230)*$B$21/$J$21*$C$21</f>
        <v/>
      </c>
      <c r="N435" s="40">
        <f>SUMPRODUCT(($B$91:$B$230="Asparagus")*(N$91:N$230="H")*$C$91:$C$230)*$B$21/$J$21*$C$21</f>
        <v/>
      </c>
      <c r="O435" s="40">
        <f>SUMPRODUCT(($B$91:$B$230="Asparagus")*(O$91:O$230="H")*$C$91:$C$230)*$B$21/$J$21*$C$21</f>
        <v/>
      </c>
      <c r="P435" s="40">
        <f>SUMPRODUCT(($B$91:$B$230="Asparagus")*(P$91:P$230="H")*$C$91:$C$230)*$B$21/$J$21*$C$21</f>
        <v/>
      </c>
      <c r="Q435" s="40">
        <f>SUMPRODUCT(($B$91:$B$230="Asparagus")*(Q$91:Q$230="H")*$C$91:$C$230)*$B$21/$J$21*$C$21</f>
        <v/>
      </c>
      <c r="R435" s="40">
        <f>SUMPRODUCT(($B$91:$B$230="Asparagus")*(R$91:R$230="H")*$C$91:$C$230)*$B$21/$J$21*$C$21</f>
        <v/>
      </c>
      <c r="S435" s="40">
        <f>SUMPRODUCT(($B$91:$B$230="Asparagus")*(S$91:S$230="H")*$C$91:$C$230)*$B$21/$J$21*$C$21</f>
        <v/>
      </c>
      <c r="T435" s="40">
        <f>SUMPRODUCT(($B$91:$B$230="Asparagus")*(T$91:T$230="H")*$C$91:$C$230)*$B$21/$J$21*$C$21</f>
        <v/>
      </c>
      <c r="U435" s="40">
        <f>SUMPRODUCT(($B$91:$B$230="Asparagus")*(U$91:U$230="H")*$C$91:$C$230)*$B$21/$J$21*$C$21</f>
        <v/>
      </c>
      <c r="V435" s="40">
        <f>SUMPRODUCT(($B$91:$B$230="Asparagus")*(V$91:V$230="H")*$C$91:$C$230)*$B$21/$J$21*$C$21</f>
        <v/>
      </c>
      <c r="W435" s="40">
        <f>SUMPRODUCT(($B$91:$B$230="Asparagus")*(W$91:W$230="H")*$C$91:$C$230)*$B$21/$J$21*$C$21</f>
        <v/>
      </c>
      <c r="X435" s="40">
        <f>SUMPRODUCT(($B$91:$B$230="Asparagus")*(X$91:X$230="H")*$C$91:$C$230)*$B$21/$J$21*$C$21</f>
        <v/>
      </c>
      <c r="Y435" s="40">
        <f>SUMPRODUCT(($B$91:$B$230="Asparagus")*(Y$91:Y$230="H")*$C$91:$C$230)*$B$21/$J$21*$C$21</f>
        <v/>
      </c>
      <c r="Z435" s="40">
        <f>SUMPRODUCT(($B$91:$B$230="Asparagus")*(Z$91:Z$230="H")*$C$91:$C$230)*$B$21/$J$21*$C$21</f>
        <v/>
      </c>
      <c r="AA435" s="40">
        <f>SUMPRODUCT(($B$91:$B$230="Asparagus")*(AA$91:AA$230="H")*$C$91:$C$230)*$B$21/$J$21*$C$21</f>
        <v/>
      </c>
      <c r="AB435" s="40">
        <f>SUMPRODUCT(($B$91:$B$230="Asparagus")*(AB$91:AB$230="H")*$C$91:$C$230)*$B$21/$J$21*$C$21</f>
        <v/>
      </c>
      <c r="AC435" s="40">
        <f>SUMPRODUCT(($B$91:$B$230="Asparagus")*(AC$91:AC$230="H")*$C$91:$C$230)*$B$21/$J$21*$C$21</f>
        <v/>
      </c>
      <c r="AD435" s="40">
        <f>SUMPRODUCT(($B$91:$B$230="Asparagus")*(AD$91:AD$230="H")*$C$91:$C$230)*$B$21/$J$21*$C$21</f>
        <v/>
      </c>
      <c r="AE435" s="40">
        <f>SUMPRODUCT(($B$91:$B$230="Asparagus")*(AE$91:AE$230="H")*$C$91:$C$230)*$B$21/$J$21*$C$21</f>
        <v/>
      </c>
      <c r="AF435" s="40">
        <f>SUMPRODUCT(($B$91:$B$230="Asparagus")*(AF$91:AF$230="H")*$C$91:$C$230)*$B$21/$J$21*$C$21</f>
        <v/>
      </c>
      <c r="AG435" s="40">
        <f>SUMPRODUCT(($B$91:$B$230="Asparagus")*(AG$91:AG$230="H")*$C$91:$C$230)*$B$21/$J$21*$C$21</f>
        <v/>
      </c>
      <c r="AH435" s="40">
        <f>SUMPRODUCT(($B$91:$B$230="Asparagus")*(AH$91:AH$230="H")*$C$91:$C$230)*$B$21/$J$21*$C$21</f>
        <v/>
      </c>
      <c r="AI435" s="40">
        <f>SUMPRODUCT(($B$91:$B$230="Asparagus")*(AI$91:AI$230="H")*$C$91:$C$230)*$B$21/$J$21*$C$21</f>
        <v/>
      </c>
      <c r="AJ435" s="40">
        <f>SUMPRODUCT(($B$91:$B$230="Asparagus")*(AJ$91:AJ$230="H")*$C$91:$C$230)*$B$21/$J$21*$C$21</f>
        <v/>
      </c>
      <c r="AK435" s="40">
        <f>SUMPRODUCT(($B$91:$B$230="Asparagus")*(AK$91:AK$230="H")*$C$91:$C$230)*$B$21/$J$21*$C$21</f>
        <v/>
      </c>
      <c r="AL435" s="40">
        <f>SUMPRODUCT(($B$91:$B$230="Asparagus")*(AL$91:AL$230="H")*$C$91:$C$230)*$B$21/$J$21*$C$21</f>
        <v/>
      </c>
      <c r="AM435" s="40">
        <f>SUMPRODUCT(($B$91:$B$230="Asparagus")*(AM$91:AM$230="H")*$C$91:$C$230)*$B$21/$J$21*$C$21</f>
        <v/>
      </c>
      <c r="AN435" s="40">
        <f>SUMPRODUCT(($B$91:$B$230="Asparagus")*(AN$91:AN$230="H")*$C$91:$C$230)*$B$21/$J$21*$C$21</f>
        <v/>
      </c>
      <c r="AO435" s="40">
        <f>SUMPRODUCT(($B$91:$B$230="Asparagus")*(AO$91:AO$230="H")*$C$91:$C$230)*$B$21/$J$21*$C$21</f>
        <v/>
      </c>
      <c r="AP435" s="40">
        <f>SUMPRODUCT(($B$91:$B$230="Asparagus")*(AP$91:AP$230="H")*$C$91:$C$230)*$B$21/$J$21*$C$21</f>
        <v/>
      </c>
      <c r="AQ435" s="40">
        <f>SUMPRODUCT(($B$91:$B$230="Asparagus")*(AQ$91:AQ$230="H")*$C$91:$C$230)*$B$21/$J$21*$C$21</f>
        <v/>
      </c>
      <c r="AR435" s="40">
        <f>SUMPRODUCT(($B$91:$B$230="Asparagus")*(AR$91:AR$230="H")*$C$91:$C$230)*$B$21/$J$21*$C$21</f>
        <v/>
      </c>
      <c r="AS435" s="40">
        <f>SUMPRODUCT(($B$91:$B$230="Asparagus")*(AS$91:AS$230="H")*$C$91:$C$230)*$B$21/$J$21*$C$21</f>
        <v/>
      </c>
      <c r="AT435" s="40">
        <f>SUMPRODUCT(($B$91:$B$230="Asparagus")*(AT$91:AT$230="H")*$C$91:$C$230)*$B$21/$J$21*$C$21</f>
        <v/>
      </c>
      <c r="AU435" s="40">
        <f>SUMPRODUCT(($B$91:$B$230="Asparagus")*(AU$91:AU$230="H")*$C$91:$C$230)*$B$21/$J$21*$C$21</f>
        <v/>
      </c>
      <c r="AV435" s="40">
        <f>SUMPRODUCT(($B$91:$B$230="Asparagus")*(AV$91:AV$230="H")*$C$91:$C$230)*$B$21/$J$21*$C$21</f>
        <v/>
      </c>
      <c r="AW435" s="40">
        <f>SUMPRODUCT(($B$91:$B$230="Asparagus")*(AW$91:AW$230="H")*$C$91:$C$230)*$B$21/$J$21*$C$21</f>
        <v/>
      </c>
      <c r="AX435" s="40">
        <f>SUMPRODUCT(($B$91:$B$230="Asparagus")*(AX$91:AX$230="H")*$C$91:$C$230)*$B$21/$J$21*$C$21</f>
        <v/>
      </c>
      <c r="AY435" s="40">
        <f>SUMPRODUCT(($B$91:$B$230="Asparagus")*(AY$91:AY$230="H")*$C$91:$C$230)*$B$21/$J$21*$C$21</f>
        <v/>
      </c>
      <c r="AZ435" s="40">
        <f>SUMPRODUCT(($B$91:$B$230="Asparagus")*(AZ$91:AZ$230="H")*$C$91:$C$230)*$B$21/$J$21*$C$21</f>
        <v/>
      </c>
      <c r="BA435" s="40">
        <f>SUMPRODUCT(($B$91:$B$230="Asparagus")*(BA$91:BA$230="H")*$C$91:$C$230)*$B$21/$J$21*$C$21</f>
        <v/>
      </c>
      <c r="BB435" s="40">
        <f>SUMPRODUCT(($B$91:$B$230="Asparagus")*(BB$91:BB$230="H")*$C$91:$C$230)*$B$21/$J$21*$C$21</f>
        <v/>
      </c>
      <c r="BC435" s="40">
        <f>SUMPRODUCT(($B$91:$B$230="Asparagus")*(BC$91:BC$230="H")*$C$91:$C$230)*$B$21/$J$21*$C$21</f>
        <v/>
      </c>
      <c r="BD435" s="40">
        <f>SUMPRODUCT(($B$91:$B$230="Asparagus")*(BD$91:BD$230="H")*$C$91:$C$230)*$B$21/$J$21*$C$21</f>
        <v/>
      </c>
    </row>
    <row r="436">
      <c r="A436" s="33" t="inlineStr">
        <is>
          <t>Stock carried in</t>
        </is>
      </c>
      <c r="B436" s="2" t="inlineStr">
        <is>
          <t>lb</t>
        </is>
      </c>
      <c r="E436" s="40" t="n">
        <v>0</v>
      </c>
      <c r="F436" s="40">
        <f>E451</f>
        <v/>
      </c>
      <c r="G436" s="40">
        <f>F451</f>
        <v/>
      </c>
      <c r="H436" s="40">
        <f>G451</f>
        <v/>
      </c>
      <c r="I436" s="40">
        <f>H451</f>
        <v/>
      </c>
      <c r="J436" s="40">
        <f>I451</f>
        <v/>
      </c>
      <c r="K436" s="40">
        <f>J451</f>
        <v/>
      </c>
      <c r="L436" s="40">
        <f>K451</f>
        <v/>
      </c>
      <c r="M436" s="40">
        <f>L451</f>
        <v/>
      </c>
      <c r="N436" s="40">
        <f>M451</f>
        <v/>
      </c>
      <c r="O436" s="40">
        <f>N451</f>
        <v/>
      </c>
      <c r="P436" s="40">
        <f>O451</f>
        <v/>
      </c>
      <c r="Q436" s="40">
        <f>P451</f>
        <v/>
      </c>
      <c r="R436" s="40">
        <f>Q451</f>
        <v/>
      </c>
      <c r="S436" s="40">
        <f>R451</f>
        <v/>
      </c>
      <c r="T436" s="40">
        <f>S451</f>
        <v/>
      </c>
      <c r="U436" s="40">
        <f>T451</f>
        <v/>
      </c>
      <c r="V436" s="40">
        <f>U451</f>
        <v/>
      </c>
      <c r="W436" s="40">
        <f>V451</f>
        <v/>
      </c>
      <c r="X436" s="40">
        <f>W451</f>
        <v/>
      </c>
      <c r="Y436" s="40">
        <f>X451</f>
        <v/>
      </c>
      <c r="Z436" s="40">
        <f>Y451</f>
        <v/>
      </c>
      <c r="AA436" s="40">
        <f>Z451</f>
        <v/>
      </c>
      <c r="AB436" s="40">
        <f>AA451</f>
        <v/>
      </c>
      <c r="AC436" s="40">
        <f>AB451</f>
        <v/>
      </c>
      <c r="AD436" s="40">
        <f>AC451</f>
        <v/>
      </c>
      <c r="AE436" s="40">
        <f>AD451</f>
        <v/>
      </c>
      <c r="AF436" s="40">
        <f>AE451</f>
        <v/>
      </c>
      <c r="AG436" s="40">
        <f>AF451</f>
        <v/>
      </c>
      <c r="AH436" s="40">
        <f>AG451</f>
        <v/>
      </c>
      <c r="AI436" s="40">
        <f>AH451</f>
        <v/>
      </c>
      <c r="AJ436" s="40">
        <f>AI451</f>
        <v/>
      </c>
      <c r="AK436" s="40">
        <f>AJ451</f>
        <v/>
      </c>
      <c r="AL436" s="40">
        <f>AK451</f>
        <v/>
      </c>
      <c r="AM436" s="40">
        <f>AL451</f>
        <v/>
      </c>
      <c r="AN436" s="40">
        <f>AM451</f>
        <v/>
      </c>
      <c r="AO436" s="40">
        <f>AN451</f>
        <v/>
      </c>
      <c r="AP436" s="40">
        <f>AO451</f>
        <v/>
      </c>
      <c r="AQ436" s="40">
        <f>AP451</f>
        <v/>
      </c>
      <c r="AR436" s="40">
        <f>AQ451</f>
        <v/>
      </c>
      <c r="AS436" s="40">
        <f>AR451</f>
        <v/>
      </c>
      <c r="AT436" s="40">
        <f>AS451</f>
        <v/>
      </c>
      <c r="AU436" s="40">
        <f>AT451</f>
        <v/>
      </c>
      <c r="AV436" s="40">
        <f>AU451</f>
        <v/>
      </c>
      <c r="AW436" s="40">
        <f>AV451</f>
        <v/>
      </c>
      <c r="AX436" s="40">
        <f>AW451</f>
        <v/>
      </c>
      <c r="AY436" s="40">
        <f>AX451</f>
        <v/>
      </c>
      <c r="AZ436" s="40">
        <f>AY451</f>
        <v/>
      </c>
      <c r="BA436" s="40">
        <f>AZ451</f>
        <v/>
      </c>
      <c r="BB436" s="40">
        <f>BA451</f>
        <v/>
      </c>
      <c r="BC436" s="40">
        <f>BB451</f>
        <v/>
      </c>
      <c r="BD436" s="40">
        <f>BC451</f>
        <v/>
      </c>
    </row>
    <row r="437">
      <c r="A437" s="33" t="inlineStr">
        <is>
          <t xml:space="preserve">   lost to shrink</t>
        </is>
      </c>
      <c r="B437" s="2" t="inlineStr">
        <is>
          <t>lb</t>
        </is>
      </c>
      <c r="E437" s="40">
        <f>E436*$G$21</f>
        <v/>
      </c>
      <c r="F437" s="40">
        <f>F436*$G$21</f>
        <v/>
      </c>
      <c r="G437" s="40">
        <f>G436*$G$21</f>
        <v/>
      </c>
      <c r="H437" s="40">
        <f>H436*$G$21</f>
        <v/>
      </c>
      <c r="I437" s="40">
        <f>I436*$G$21</f>
        <v/>
      </c>
      <c r="J437" s="40">
        <f>J436*$G$21</f>
        <v/>
      </c>
      <c r="K437" s="40">
        <f>K436*$G$21</f>
        <v/>
      </c>
      <c r="L437" s="40">
        <f>L436*$G$21</f>
        <v/>
      </c>
      <c r="M437" s="40">
        <f>M436*$G$21</f>
        <v/>
      </c>
      <c r="N437" s="40">
        <f>N436*$G$21</f>
        <v/>
      </c>
      <c r="O437" s="40">
        <f>O436*$G$21</f>
        <v/>
      </c>
      <c r="P437" s="40">
        <f>P436*$G$21</f>
        <v/>
      </c>
      <c r="Q437" s="40">
        <f>Q436*$G$21</f>
        <v/>
      </c>
      <c r="R437" s="40">
        <f>R436*$G$21</f>
        <v/>
      </c>
      <c r="S437" s="40">
        <f>S436*$G$21</f>
        <v/>
      </c>
      <c r="T437" s="40">
        <f>T436*$G$21</f>
        <v/>
      </c>
      <c r="U437" s="40">
        <f>U436*$G$21</f>
        <v/>
      </c>
      <c r="V437" s="40">
        <f>V436*$G$21</f>
        <v/>
      </c>
      <c r="W437" s="40">
        <f>W436*$G$21</f>
        <v/>
      </c>
      <c r="X437" s="40">
        <f>X436*$G$21</f>
        <v/>
      </c>
      <c r="Y437" s="40">
        <f>Y436*$G$21</f>
        <v/>
      </c>
      <c r="Z437" s="40">
        <f>Z436*$G$21</f>
        <v/>
      </c>
      <c r="AA437" s="40">
        <f>AA436*$G$21</f>
        <v/>
      </c>
      <c r="AB437" s="40">
        <f>AB436*$G$21</f>
        <v/>
      </c>
      <c r="AC437" s="40">
        <f>AC436*$G$21</f>
        <v/>
      </c>
      <c r="AD437" s="40">
        <f>AD436*$G$21</f>
        <v/>
      </c>
      <c r="AE437" s="40">
        <f>AE436*$G$21</f>
        <v/>
      </c>
      <c r="AF437" s="40">
        <f>AF436*$G$21</f>
        <v/>
      </c>
      <c r="AG437" s="40">
        <f>AG436*$G$21</f>
        <v/>
      </c>
      <c r="AH437" s="40">
        <f>AH436*$G$21</f>
        <v/>
      </c>
      <c r="AI437" s="40">
        <f>AI436*$G$21</f>
        <v/>
      </c>
      <c r="AJ437" s="40">
        <f>AJ436*$G$21</f>
        <v/>
      </c>
      <c r="AK437" s="40">
        <f>AK436*$G$21</f>
        <v/>
      </c>
      <c r="AL437" s="40">
        <f>AL436*$G$21</f>
        <v/>
      </c>
      <c r="AM437" s="40">
        <f>AM436*$G$21</f>
        <v/>
      </c>
      <c r="AN437" s="40">
        <f>AN436*$G$21</f>
        <v/>
      </c>
      <c r="AO437" s="40">
        <f>AO436*$G$21</f>
        <v/>
      </c>
      <c r="AP437" s="40">
        <f>AP436*$G$21</f>
        <v/>
      </c>
      <c r="AQ437" s="40">
        <f>AQ436*$G$21</f>
        <v/>
      </c>
      <c r="AR437" s="40">
        <f>AR436*$G$21</f>
        <v/>
      </c>
      <c r="AS437" s="40">
        <f>AS436*$G$21</f>
        <v/>
      </c>
      <c r="AT437" s="40">
        <f>AT436*$G$21</f>
        <v/>
      </c>
      <c r="AU437" s="40">
        <f>AU436*$G$21</f>
        <v/>
      </c>
      <c r="AV437" s="40">
        <f>AV436*$G$21</f>
        <v/>
      </c>
      <c r="AW437" s="40">
        <f>AW436*$G$21</f>
        <v/>
      </c>
      <c r="AX437" s="40">
        <f>AX436*$G$21</f>
        <v/>
      </c>
      <c r="AY437" s="40">
        <f>AY436*$G$21</f>
        <v/>
      </c>
      <c r="AZ437" s="40">
        <f>AZ436*$G$21</f>
        <v/>
      </c>
      <c r="BA437" s="40">
        <f>BA436*$G$21</f>
        <v/>
      </c>
      <c r="BB437" s="40">
        <f>BB436*$G$21</f>
        <v/>
      </c>
      <c r="BC437" s="40">
        <f>BC436*$G$21</f>
        <v/>
      </c>
      <c r="BD437" s="40">
        <f>BD436*$G$21</f>
        <v/>
      </c>
    </row>
    <row r="438">
      <c r="A438" s="4" t="inlineStr">
        <is>
          <t>In store this week</t>
        </is>
      </c>
      <c r="B438" s="2" t="inlineStr">
        <is>
          <t>lb</t>
        </is>
      </c>
      <c r="E438" s="40">
        <f>E436-E437+E435</f>
        <v/>
      </c>
      <c r="F438" s="40">
        <f>F436-F437+F435</f>
        <v/>
      </c>
      <c r="G438" s="40">
        <f>G436-G437+G435</f>
        <v/>
      </c>
      <c r="H438" s="40">
        <f>H436-H437+H435</f>
        <v/>
      </c>
      <c r="I438" s="40">
        <f>I436-I437+I435</f>
        <v/>
      </c>
      <c r="J438" s="40">
        <f>J436-J437+J435</f>
        <v/>
      </c>
      <c r="K438" s="40">
        <f>K436-K437+K435</f>
        <v/>
      </c>
      <c r="L438" s="40">
        <f>L436-L437+L435</f>
        <v/>
      </c>
      <c r="M438" s="40">
        <f>M436-M437+M435</f>
        <v/>
      </c>
      <c r="N438" s="40">
        <f>N436-N437+N435</f>
        <v/>
      </c>
      <c r="O438" s="40">
        <f>O436-O437+O435</f>
        <v/>
      </c>
      <c r="P438" s="40">
        <f>P436-P437+P435</f>
        <v/>
      </c>
      <c r="Q438" s="40">
        <f>Q436-Q437+Q435</f>
        <v/>
      </c>
      <c r="R438" s="40">
        <f>R436-R437+R435</f>
        <v/>
      </c>
      <c r="S438" s="40">
        <f>S436-S437+S435</f>
        <v/>
      </c>
      <c r="T438" s="40">
        <f>T436-T437+T435</f>
        <v/>
      </c>
      <c r="U438" s="40">
        <f>U436-U437+U435</f>
        <v/>
      </c>
      <c r="V438" s="40">
        <f>V436-V437+V435</f>
        <v/>
      </c>
      <c r="W438" s="40">
        <f>W436-W437+W435</f>
        <v/>
      </c>
      <c r="X438" s="40">
        <f>X436-X437+X435</f>
        <v/>
      </c>
      <c r="Y438" s="40">
        <f>Y436-Y437+Y435</f>
        <v/>
      </c>
      <c r="Z438" s="40">
        <f>Z436-Z437+Z435</f>
        <v/>
      </c>
      <c r="AA438" s="40">
        <f>AA436-AA437+AA435</f>
        <v/>
      </c>
      <c r="AB438" s="40">
        <f>AB436-AB437+AB435</f>
        <v/>
      </c>
      <c r="AC438" s="40">
        <f>AC436-AC437+AC435</f>
        <v/>
      </c>
      <c r="AD438" s="40">
        <f>AD436-AD437+AD435</f>
        <v/>
      </c>
      <c r="AE438" s="40">
        <f>AE436-AE437+AE435</f>
        <v/>
      </c>
      <c r="AF438" s="40">
        <f>AF436-AF437+AF435</f>
        <v/>
      </c>
      <c r="AG438" s="40">
        <f>AG436-AG437+AG435</f>
        <v/>
      </c>
      <c r="AH438" s="40">
        <f>AH436-AH437+AH435</f>
        <v/>
      </c>
      <c r="AI438" s="40">
        <f>AI436-AI437+AI435</f>
        <v/>
      </c>
      <c r="AJ438" s="40">
        <f>AJ436-AJ437+AJ435</f>
        <v/>
      </c>
      <c r="AK438" s="40">
        <f>AK436-AK437+AK435</f>
        <v/>
      </c>
      <c r="AL438" s="40">
        <f>AL436-AL437+AL435</f>
        <v/>
      </c>
      <c r="AM438" s="40">
        <f>AM436-AM437+AM435</f>
        <v/>
      </c>
      <c r="AN438" s="40">
        <f>AN436-AN437+AN435</f>
        <v/>
      </c>
      <c r="AO438" s="40">
        <f>AO436-AO437+AO435</f>
        <v/>
      </c>
      <c r="AP438" s="40">
        <f>AP436-AP437+AP435</f>
        <v/>
      </c>
      <c r="AQ438" s="40">
        <f>AQ436-AQ437+AQ435</f>
        <v/>
      </c>
      <c r="AR438" s="40">
        <f>AR436-AR437+AR435</f>
        <v/>
      </c>
      <c r="AS438" s="40">
        <f>AS436-AS437+AS435</f>
        <v/>
      </c>
      <c r="AT438" s="40">
        <f>AT436-AT437+AT435</f>
        <v/>
      </c>
      <c r="AU438" s="40">
        <f>AU436-AU437+AU435</f>
        <v/>
      </c>
      <c r="AV438" s="40">
        <f>AV436-AV437+AV435</f>
        <v/>
      </c>
      <c r="AW438" s="40">
        <f>AW436-AW437+AW435</f>
        <v/>
      </c>
      <c r="AX438" s="40">
        <f>AX436-AX437+AX435</f>
        <v/>
      </c>
      <c r="AY438" s="40">
        <f>AY436-AY437+AY435</f>
        <v/>
      </c>
      <c r="AZ438" s="40">
        <f>AZ436-AZ437+AZ435</f>
        <v/>
      </c>
      <c r="BA438" s="40">
        <f>BA436-BA437+BA435</f>
        <v/>
      </c>
      <c r="BB438" s="40">
        <f>BB436-BB437+BB435</f>
        <v/>
      </c>
      <c r="BC438" s="40">
        <f>BC436-BC437+BC435</f>
        <v/>
      </c>
      <c r="BD438" s="40">
        <f>BD436-BD437+BD435</f>
        <v/>
      </c>
    </row>
    <row r="439">
      <c r="A439" s="43" t="inlineStr">
        <is>
          <t>Farmers Market — most you may sell this week</t>
        </is>
      </c>
      <c r="B439" s="2" t="inlineStr">
        <is>
          <t>lb</t>
        </is>
      </c>
      <c r="E439" s="42">
        <f>IF($C$43="Annual",$D$43-0,IF(AND(1&gt;=$E$43,1&lt;=$F$43),$D$43,0))</f>
        <v/>
      </c>
      <c r="F439" s="42">
        <f>IF($C$43="Annual",$D$43-SUM(E441:E441),IF(AND(2&gt;=$E$43,2&lt;=$F$43),$D$43,0))</f>
        <v/>
      </c>
      <c r="G439" s="42">
        <f>IF($C$43="Annual",$D$43-SUM(E441:F441),IF(AND(3&gt;=$E$43,3&lt;=$F$43),$D$43,0))</f>
        <v/>
      </c>
      <c r="H439" s="42">
        <f>IF($C$43="Annual",$D$43-SUM(E441:G441),IF(AND(4&gt;=$E$43,4&lt;=$F$43),$D$43,0))</f>
        <v/>
      </c>
      <c r="I439" s="42">
        <f>IF($C$43="Annual",$D$43-SUM(E441:H441),IF(AND(5&gt;=$E$43,5&lt;=$F$43),$D$43,0))</f>
        <v/>
      </c>
      <c r="J439" s="42">
        <f>IF($C$43="Annual",$D$43-SUM(E441:I441),IF(AND(6&gt;=$E$43,6&lt;=$F$43),$D$43,0))</f>
        <v/>
      </c>
      <c r="K439" s="42">
        <f>IF($C$43="Annual",$D$43-SUM(E441:J441),IF(AND(7&gt;=$E$43,7&lt;=$F$43),$D$43,0))</f>
        <v/>
      </c>
      <c r="L439" s="42">
        <f>IF($C$43="Annual",$D$43-SUM(E441:K441),IF(AND(8&gt;=$E$43,8&lt;=$F$43),$D$43,0))</f>
        <v/>
      </c>
      <c r="M439" s="42">
        <f>IF($C$43="Annual",$D$43-SUM(E441:L441),IF(AND(9&gt;=$E$43,9&lt;=$F$43),$D$43,0))</f>
        <v/>
      </c>
      <c r="N439" s="42">
        <f>IF($C$43="Annual",$D$43-SUM(E441:M441),IF(AND(10&gt;=$E$43,10&lt;=$F$43),$D$43,0))</f>
        <v/>
      </c>
      <c r="O439" s="42">
        <f>IF($C$43="Annual",$D$43-SUM(E441:N441),IF(AND(11&gt;=$E$43,11&lt;=$F$43),$D$43,0))</f>
        <v/>
      </c>
      <c r="P439" s="42">
        <f>IF($C$43="Annual",$D$43-SUM(E441:O441),IF(AND(12&gt;=$E$43,12&lt;=$F$43),$D$43,0))</f>
        <v/>
      </c>
      <c r="Q439" s="42">
        <f>IF($C$43="Annual",$D$43-SUM(E441:P441),IF(AND(13&gt;=$E$43,13&lt;=$F$43),$D$43,0))</f>
        <v/>
      </c>
      <c r="R439" s="42">
        <f>IF($C$43="Annual",$D$43-SUM(E441:Q441),IF(AND(14&gt;=$E$43,14&lt;=$F$43),$D$43,0))</f>
        <v/>
      </c>
      <c r="S439" s="42">
        <f>IF($C$43="Annual",$D$43-SUM(E441:R441),IF(AND(15&gt;=$E$43,15&lt;=$F$43),$D$43,0))</f>
        <v/>
      </c>
      <c r="T439" s="42">
        <f>IF($C$43="Annual",$D$43-SUM(E441:S441),IF(AND(16&gt;=$E$43,16&lt;=$F$43),$D$43,0))</f>
        <v/>
      </c>
      <c r="U439" s="42">
        <f>IF($C$43="Annual",$D$43-SUM(E441:T441),IF(AND(17&gt;=$E$43,17&lt;=$F$43),$D$43,0))</f>
        <v/>
      </c>
      <c r="V439" s="42">
        <f>IF($C$43="Annual",$D$43-SUM(E441:U441),IF(AND(18&gt;=$E$43,18&lt;=$F$43),$D$43,0))</f>
        <v/>
      </c>
      <c r="W439" s="42">
        <f>IF($C$43="Annual",$D$43-SUM(E441:V441),IF(AND(19&gt;=$E$43,19&lt;=$F$43),$D$43,0))</f>
        <v/>
      </c>
      <c r="X439" s="42">
        <f>IF($C$43="Annual",$D$43-SUM(E441:W441),IF(AND(20&gt;=$E$43,20&lt;=$F$43),$D$43,0))</f>
        <v/>
      </c>
      <c r="Y439" s="42">
        <f>IF($C$43="Annual",$D$43-SUM(E441:X441),IF(AND(21&gt;=$E$43,21&lt;=$F$43),$D$43,0))</f>
        <v/>
      </c>
      <c r="Z439" s="42">
        <f>IF($C$43="Annual",$D$43-SUM(E441:Y441),IF(AND(22&gt;=$E$43,22&lt;=$F$43),$D$43,0))</f>
        <v/>
      </c>
      <c r="AA439" s="42">
        <f>IF($C$43="Annual",$D$43-SUM(E441:Z441),IF(AND(23&gt;=$E$43,23&lt;=$F$43),$D$43,0))</f>
        <v/>
      </c>
      <c r="AB439" s="42">
        <f>IF($C$43="Annual",$D$43-SUM(E441:AA441),IF(AND(24&gt;=$E$43,24&lt;=$F$43),$D$43,0))</f>
        <v/>
      </c>
      <c r="AC439" s="42">
        <f>IF($C$43="Annual",$D$43-SUM(E441:AB441),IF(AND(25&gt;=$E$43,25&lt;=$F$43),$D$43,0))</f>
        <v/>
      </c>
      <c r="AD439" s="42">
        <f>IF($C$43="Annual",$D$43-SUM(E441:AC441),IF(AND(26&gt;=$E$43,26&lt;=$F$43),$D$43,0))</f>
        <v/>
      </c>
      <c r="AE439" s="42">
        <f>IF($C$43="Annual",$D$43-SUM(E441:AD441),IF(AND(27&gt;=$E$43,27&lt;=$F$43),$D$43,0))</f>
        <v/>
      </c>
      <c r="AF439" s="42">
        <f>IF($C$43="Annual",$D$43-SUM(E441:AE441),IF(AND(28&gt;=$E$43,28&lt;=$F$43),$D$43,0))</f>
        <v/>
      </c>
      <c r="AG439" s="42">
        <f>IF($C$43="Annual",$D$43-SUM(E441:AF441),IF(AND(29&gt;=$E$43,29&lt;=$F$43),$D$43,0))</f>
        <v/>
      </c>
      <c r="AH439" s="42">
        <f>IF($C$43="Annual",$D$43-SUM(E441:AG441),IF(AND(30&gt;=$E$43,30&lt;=$F$43),$D$43,0))</f>
        <v/>
      </c>
      <c r="AI439" s="42">
        <f>IF($C$43="Annual",$D$43-SUM(E441:AH441),IF(AND(31&gt;=$E$43,31&lt;=$F$43),$D$43,0))</f>
        <v/>
      </c>
      <c r="AJ439" s="42">
        <f>IF($C$43="Annual",$D$43-SUM(E441:AI441),IF(AND(32&gt;=$E$43,32&lt;=$F$43),$D$43,0))</f>
        <v/>
      </c>
      <c r="AK439" s="42">
        <f>IF($C$43="Annual",$D$43-SUM(E441:AJ441),IF(AND(33&gt;=$E$43,33&lt;=$F$43),$D$43,0))</f>
        <v/>
      </c>
      <c r="AL439" s="42">
        <f>IF($C$43="Annual",$D$43-SUM(E441:AK441),IF(AND(34&gt;=$E$43,34&lt;=$F$43),$D$43,0))</f>
        <v/>
      </c>
      <c r="AM439" s="42">
        <f>IF($C$43="Annual",$D$43-SUM(E441:AL441),IF(AND(35&gt;=$E$43,35&lt;=$F$43),$D$43,0))</f>
        <v/>
      </c>
      <c r="AN439" s="42">
        <f>IF($C$43="Annual",$D$43-SUM(E441:AM441),IF(AND(36&gt;=$E$43,36&lt;=$F$43),$D$43,0))</f>
        <v/>
      </c>
      <c r="AO439" s="42">
        <f>IF($C$43="Annual",$D$43-SUM(E441:AN441),IF(AND(37&gt;=$E$43,37&lt;=$F$43),$D$43,0))</f>
        <v/>
      </c>
      <c r="AP439" s="42">
        <f>IF($C$43="Annual",$D$43-SUM(E441:AO441),IF(AND(38&gt;=$E$43,38&lt;=$F$43),$D$43,0))</f>
        <v/>
      </c>
      <c r="AQ439" s="42">
        <f>IF($C$43="Annual",$D$43-SUM(E441:AP441),IF(AND(39&gt;=$E$43,39&lt;=$F$43),$D$43,0))</f>
        <v/>
      </c>
      <c r="AR439" s="42">
        <f>IF($C$43="Annual",$D$43-SUM(E441:AQ441),IF(AND(40&gt;=$E$43,40&lt;=$F$43),$D$43,0))</f>
        <v/>
      </c>
      <c r="AS439" s="42">
        <f>IF($C$43="Annual",$D$43-SUM(E441:AR441),IF(AND(41&gt;=$E$43,41&lt;=$F$43),$D$43,0))</f>
        <v/>
      </c>
      <c r="AT439" s="42">
        <f>IF($C$43="Annual",$D$43-SUM(E441:AS441),IF(AND(42&gt;=$E$43,42&lt;=$F$43),$D$43,0))</f>
        <v/>
      </c>
      <c r="AU439" s="42">
        <f>IF($C$43="Annual",$D$43-SUM(E441:AT441),IF(AND(43&gt;=$E$43,43&lt;=$F$43),$D$43,0))</f>
        <v/>
      </c>
      <c r="AV439" s="42">
        <f>IF($C$43="Annual",$D$43-SUM(E441:AU441),IF(AND(44&gt;=$E$43,44&lt;=$F$43),$D$43,0))</f>
        <v/>
      </c>
      <c r="AW439" s="42">
        <f>IF($C$43="Annual",$D$43-SUM(E441:AV441),IF(AND(45&gt;=$E$43,45&lt;=$F$43),$D$43,0))</f>
        <v/>
      </c>
      <c r="AX439" s="42">
        <f>IF($C$43="Annual",$D$43-SUM(E441:AW441),IF(AND(46&gt;=$E$43,46&lt;=$F$43),$D$43,0))</f>
        <v/>
      </c>
      <c r="AY439" s="42">
        <f>IF($C$43="Annual",$D$43-SUM(E441:AX441),IF(AND(47&gt;=$E$43,47&lt;=$F$43),$D$43,0))</f>
        <v/>
      </c>
      <c r="AZ439" s="42">
        <f>IF($C$43="Annual",$D$43-SUM(E441:AY441),IF(AND(48&gt;=$E$43,48&lt;=$F$43),$D$43,0))</f>
        <v/>
      </c>
      <c r="BA439" s="42">
        <f>IF($C$43="Annual",$D$43-SUM(E441:AZ441),IF(AND(49&gt;=$E$43,49&lt;=$F$43),$D$43,0))</f>
        <v/>
      </c>
      <c r="BB439" s="42">
        <f>IF($C$43="Annual",$D$43-SUM(E441:BA441),IF(AND(50&gt;=$E$43,50&lt;=$F$43),$D$43,0))</f>
        <v/>
      </c>
      <c r="BC439" s="42">
        <f>IF($C$43="Annual",$D$43-SUM(E441:BB441),IF(AND(51&gt;=$E$43,51&lt;=$F$43),$D$43,0))</f>
        <v/>
      </c>
      <c r="BD439" s="42">
        <f>IF($C$43="Annual",$D$43-SUM(E441:BC441),IF(AND(52&gt;=$E$43,52&lt;=$F$43),$D$43,0))</f>
        <v/>
      </c>
    </row>
    <row r="440">
      <c r="A440" s="32" t="inlineStr">
        <is>
          <t>Farmers Market — OFFERED</t>
        </is>
      </c>
      <c r="B440" s="2" t="inlineStr">
        <is>
          <t>lb  &lt;-- SOLVER</t>
        </is>
      </c>
      <c r="E440" s="39" t="n">
        <v>0</v>
      </c>
      <c r="F440" s="39" t="n">
        <v>0</v>
      </c>
      <c r="G440" s="39" t="n">
        <v>0</v>
      </c>
      <c r="H440" s="39" t="n">
        <v>0</v>
      </c>
      <c r="I440" s="39" t="n">
        <v>0</v>
      </c>
      <c r="J440" s="39" t="n">
        <v>0</v>
      </c>
      <c r="K440" s="39" t="n">
        <v>0</v>
      </c>
      <c r="L440" s="39" t="n">
        <v>0</v>
      </c>
      <c r="M440" s="39" t="n">
        <v>0</v>
      </c>
      <c r="N440" s="39" t="n">
        <v>0</v>
      </c>
      <c r="O440" s="39" t="n">
        <v>0</v>
      </c>
      <c r="P440" s="39" t="n">
        <v>0</v>
      </c>
      <c r="Q440" s="39" t="n">
        <v>0</v>
      </c>
      <c r="R440" s="39" t="n">
        <v>0</v>
      </c>
      <c r="S440" s="39" t="n">
        <v>0</v>
      </c>
      <c r="T440" s="39" t="n">
        <v>0</v>
      </c>
      <c r="U440" s="39" t="n">
        <v>0</v>
      </c>
      <c r="V440" s="39" t="n">
        <v>0</v>
      </c>
      <c r="W440" s="39" t="n">
        <v>0</v>
      </c>
      <c r="X440" s="39" t="n">
        <v>0</v>
      </c>
      <c r="Y440" s="39" t="n">
        <v>0</v>
      </c>
      <c r="Z440" s="39" t="n">
        <v>0</v>
      </c>
      <c r="AA440" s="39" t="n">
        <v>0</v>
      </c>
      <c r="AB440" s="39" t="n">
        <v>0</v>
      </c>
      <c r="AC440" s="39" t="n">
        <v>0</v>
      </c>
      <c r="AD440" s="39" t="n">
        <v>0</v>
      </c>
      <c r="AE440" s="39" t="n">
        <v>0</v>
      </c>
      <c r="AF440" s="39" t="n">
        <v>0</v>
      </c>
      <c r="AG440" s="39" t="n">
        <v>0</v>
      </c>
      <c r="AH440" s="39" t="n">
        <v>0</v>
      </c>
      <c r="AI440" s="39" t="n">
        <v>0</v>
      </c>
      <c r="AJ440" s="39" t="n">
        <v>0</v>
      </c>
      <c r="AK440" s="39" t="n">
        <v>0</v>
      </c>
      <c r="AL440" s="39" t="n">
        <v>0</v>
      </c>
      <c r="AM440" s="39" t="n">
        <v>0</v>
      </c>
      <c r="AN440" s="39" t="n">
        <v>0</v>
      </c>
      <c r="AO440" s="39" t="n">
        <v>0</v>
      </c>
      <c r="AP440" s="39" t="n">
        <v>0</v>
      </c>
      <c r="AQ440" s="39" t="n">
        <v>0</v>
      </c>
      <c r="AR440" s="39" t="n">
        <v>0</v>
      </c>
      <c r="AS440" s="39" t="n">
        <v>0</v>
      </c>
      <c r="AT440" s="39" t="n">
        <v>0</v>
      </c>
      <c r="AU440" s="39" t="n">
        <v>0</v>
      </c>
      <c r="AV440" s="39" t="n">
        <v>0</v>
      </c>
      <c r="AW440" s="39" t="n">
        <v>0</v>
      </c>
      <c r="AX440" s="39" t="n">
        <v>0</v>
      </c>
      <c r="AY440" s="39" t="n">
        <v>0</v>
      </c>
      <c r="AZ440" s="39" t="n">
        <v>0</v>
      </c>
      <c r="BA440" s="39" t="n">
        <v>0</v>
      </c>
      <c r="BB440" s="39" t="n">
        <v>0</v>
      </c>
      <c r="BC440" s="39" t="n">
        <v>0</v>
      </c>
      <c r="BD440" s="39" t="n">
        <v>0</v>
      </c>
    </row>
    <row r="441">
      <c r="A441" s="54" t="inlineStr">
        <is>
          <t>Farmers Market — SOLD</t>
        </is>
      </c>
      <c r="B441" s="2" t="inlineStr">
        <is>
          <t>lb</t>
        </is>
      </c>
      <c r="E441" s="55">
        <f>E440*$G$43</f>
        <v/>
      </c>
      <c r="F441" s="55">
        <f>F440*$G$43</f>
        <v/>
      </c>
      <c r="G441" s="55">
        <f>G440*$G$43</f>
        <v/>
      </c>
      <c r="H441" s="55">
        <f>H440*$G$43</f>
        <v/>
      </c>
      <c r="I441" s="55">
        <f>I440*$G$43</f>
        <v/>
      </c>
      <c r="J441" s="55">
        <f>J440*$G$43</f>
        <v/>
      </c>
      <c r="K441" s="55">
        <f>K440*$G$43</f>
        <v/>
      </c>
      <c r="L441" s="55">
        <f>L440*$G$43</f>
        <v/>
      </c>
      <c r="M441" s="55">
        <f>M440*$G$43</f>
        <v/>
      </c>
      <c r="N441" s="55">
        <f>N440*$G$43</f>
        <v/>
      </c>
      <c r="O441" s="55">
        <f>O440*$G$43</f>
        <v/>
      </c>
      <c r="P441" s="55">
        <f>P440*$G$43</f>
        <v/>
      </c>
      <c r="Q441" s="55">
        <f>Q440*$G$43</f>
        <v/>
      </c>
      <c r="R441" s="55">
        <f>R440*$G$43</f>
        <v/>
      </c>
      <c r="S441" s="55">
        <f>S440*$G$43</f>
        <v/>
      </c>
      <c r="T441" s="55">
        <f>T440*$G$43</f>
        <v/>
      </c>
      <c r="U441" s="55">
        <f>U440*$G$43</f>
        <v/>
      </c>
      <c r="V441" s="55">
        <f>V440*$G$43</f>
        <v/>
      </c>
      <c r="W441" s="55">
        <f>W440*$G$43</f>
        <v/>
      </c>
      <c r="X441" s="55">
        <f>X440*$G$43</f>
        <v/>
      </c>
      <c r="Y441" s="55">
        <f>Y440*$G$43</f>
        <v/>
      </c>
      <c r="Z441" s="55">
        <f>Z440*$G$43</f>
        <v/>
      </c>
      <c r="AA441" s="55">
        <f>AA440*$G$43</f>
        <v/>
      </c>
      <c r="AB441" s="55">
        <f>AB440*$G$43</f>
        <v/>
      </c>
      <c r="AC441" s="55">
        <f>AC440*$G$43</f>
        <v/>
      </c>
      <c r="AD441" s="55">
        <f>AD440*$G$43</f>
        <v/>
      </c>
      <c r="AE441" s="55">
        <f>AE440*$G$43</f>
        <v/>
      </c>
      <c r="AF441" s="55">
        <f>AF440*$G$43</f>
        <v/>
      </c>
      <c r="AG441" s="55">
        <f>AG440*$G$43</f>
        <v/>
      </c>
      <c r="AH441" s="55">
        <f>AH440*$G$43</f>
        <v/>
      </c>
      <c r="AI441" s="55">
        <f>AI440*$G$43</f>
        <v/>
      </c>
      <c r="AJ441" s="55">
        <f>AJ440*$G$43</f>
        <v/>
      </c>
      <c r="AK441" s="55">
        <f>AK440*$G$43</f>
        <v/>
      </c>
      <c r="AL441" s="55">
        <f>AL440*$G$43</f>
        <v/>
      </c>
      <c r="AM441" s="55">
        <f>AM440*$G$43</f>
        <v/>
      </c>
      <c r="AN441" s="55">
        <f>AN440*$G$43</f>
        <v/>
      </c>
      <c r="AO441" s="55">
        <f>AO440*$G$43</f>
        <v/>
      </c>
      <c r="AP441" s="55">
        <f>AP440*$G$43</f>
        <v/>
      </c>
      <c r="AQ441" s="55">
        <f>AQ440*$G$43</f>
        <v/>
      </c>
      <c r="AR441" s="55">
        <f>AR440*$G$43</f>
        <v/>
      </c>
      <c r="AS441" s="55">
        <f>AS440*$G$43</f>
        <v/>
      </c>
      <c r="AT441" s="55">
        <f>AT440*$G$43</f>
        <v/>
      </c>
      <c r="AU441" s="55">
        <f>AU440*$G$43</f>
        <v/>
      </c>
      <c r="AV441" s="55">
        <f>AV440*$G$43</f>
        <v/>
      </c>
      <c r="AW441" s="55">
        <f>AW440*$G$43</f>
        <v/>
      </c>
      <c r="AX441" s="55">
        <f>AX440*$G$43</f>
        <v/>
      </c>
      <c r="AY441" s="55">
        <f>AY440*$G$43</f>
        <v/>
      </c>
      <c r="AZ441" s="55">
        <f>AZ440*$G$43</f>
        <v/>
      </c>
      <c r="BA441" s="55">
        <f>BA440*$G$43</f>
        <v/>
      </c>
      <c r="BB441" s="55">
        <f>BB440*$G$43</f>
        <v/>
      </c>
      <c r="BC441" s="55">
        <f>BC440*$G$43</f>
        <v/>
      </c>
      <c r="BD441" s="55">
        <f>BD440*$G$43</f>
        <v/>
      </c>
    </row>
    <row r="442">
      <c r="A442" s="33" t="inlineStr">
        <is>
          <t xml:space="preserve">   market loss (gone)</t>
        </is>
      </c>
      <c r="B442" s="2" t="inlineStr">
        <is>
          <t>lb</t>
        </is>
      </c>
      <c r="E442" s="40">
        <f>(E440-E441)*(1-$H$43)</f>
        <v/>
      </c>
      <c r="F442" s="40">
        <f>(F440-F441)*(1-$H$43)</f>
        <v/>
      </c>
      <c r="G442" s="40">
        <f>(G440-G441)*(1-$H$43)</f>
        <v/>
      </c>
      <c r="H442" s="40">
        <f>(H440-H441)*(1-$H$43)</f>
        <v/>
      </c>
      <c r="I442" s="40">
        <f>(I440-I441)*(1-$H$43)</f>
        <v/>
      </c>
      <c r="J442" s="40">
        <f>(J440-J441)*(1-$H$43)</f>
        <v/>
      </c>
      <c r="K442" s="40">
        <f>(K440-K441)*(1-$H$43)</f>
        <v/>
      </c>
      <c r="L442" s="40">
        <f>(L440-L441)*(1-$H$43)</f>
        <v/>
      </c>
      <c r="M442" s="40">
        <f>(M440-M441)*(1-$H$43)</f>
        <v/>
      </c>
      <c r="N442" s="40">
        <f>(N440-N441)*(1-$H$43)</f>
        <v/>
      </c>
      <c r="O442" s="40">
        <f>(O440-O441)*(1-$H$43)</f>
        <v/>
      </c>
      <c r="P442" s="40">
        <f>(P440-P441)*(1-$H$43)</f>
        <v/>
      </c>
      <c r="Q442" s="40">
        <f>(Q440-Q441)*(1-$H$43)</f>
        <v/>
      </c>
      <c r="R442" s="40">
        <f>(R440-R441)*(1-$H$43)</f>
        <v/>
      </c>
      <c r="S442" s="40">
        <f>(S440-S441)*(1-$H$43)</f>
        <v/>
      </c>
      <c r="T442" s="40">
        <f>(T440-T441)*(1-$H$43)</f>
        <v/>
      </c>
      <c r="U442" s="40">
        <f>(U440-U441)*(1-$H$43)</f>
        <v/>
      </c>
      <c r="V442" s="40">
        <f>(V440-V441)*(1-$H$43)</f>
        <v/>
      </c>
      <c r="W442" s="40">
        <f>(W440-W441)*(1-$H$43)</f>
        <v/>
      </c>
      <c r="X442" s="40">
        <f>(X440-X441)*(1-$H$43)</f>
        <v/>
      </c>
      <c r="Y442" s="40">
        <f>(Y440-Y441)*(1-$H$43)</f>
        <v/>
      </c>
      <c r="Z442" s="40">
        <f>(Z440-Z441)*(1-$H$43)</f>
        <v/>
      </c>
      <c r="AA442" s="40">
        <f>(AA440-AA441)*(1-$H$43)</f>
        <v/>
      </c>
      <c r="AB442" s="40">
        <f>(AB440-AB441)*(1-$H$43)</f>
        <v/>
      </c>
      <c r="AC442" s="40">
        <f>(AC440-AC441)*(1-$H$43)</f>
        <v/>
      </c>
      <c r="AD442" s="40">
        <f>(AD440-AD441)*(1-$H$43)</f>
        <v/>
      </c>
      <c r="AE442" s="40">
        <f>(AE440-AE441)*(1-$H$43)</f>
        <v/>
      </c>
      <c r="AF442" s="40">
        <f>(AF440-AF441)*(1-$H$43)</f>
        <v/>
      </c>
      <c r="AG442" s="40">
        <f>(AG440-AG441)*(1-$H$43)</f>
        <v/>
      </c>
      <c r="AH442" s="40">
        <f>(AH440-AH441)*(1-$H$43)</f>
        <v/>
      </c>
      <c r="AI442" s="40">
        <f>(AI440-AI441)*(1-$H$43)</f>
        <v/>
      </c>
      <c r="AJ442" s="40">
        <f>(AJ440-AJ441)*(1-$H$43)</f>
        <v/>
      </c>
      <c r="AK442" s="40">
        <f>(AK440-AK441)*(1-$H$43)</f>
        <v/>
      </c>
      <c r="AL442" s="40">
        <f>(AL440-AL441)*(1-$H$43)</f>
        <v/>
      </c>
      <c r="AM442" s="40">
        <f>(AM440-AM441)*(1-$H$43)</f>
        <v/>
      </c>
      <c r="AN442" s="40">
        <f>(AN440-AN441)*(1-$H$43)</f>
        <v/>
      </c>
      <c r="AO442" s="40">
        <f>(AO440-AO441)*(1-$H$43)</f>
        <v/>
      </c>
      <c r="AP442" s="40">
        <f>(AP440-AP441)*(1-$H$43)</f>
        <v/>
      </c>
      <c r="AQ442" s="40">
        <f>(AQ440-AQ441)*(1-$H$43)</f>
        <v/>
      </c>
      <c r="AR442" s="40">
        <f>(AR440-AR441)*(1-$H$43)</f>
        <v/>
      </c>
      <c r="AS442" s="40">
        <f>(AS440-AS441)*(1-$H$43)</f>
        <v/>
      </c>
      <c r="AT442" s="40">
        <f>(AT440-AT441)*(1-$H$43)</f>
        <v/>
      </c>
      <c r="AU442" s="40">
        <f>(AU440-AU441)*(1-$H$43)</f>
        <v/>
      </c>
      <c r="AV442" s="40">
        <f>(AV440-AV441)*(1-$H$43)</f>
        <v/>
      </c>
      <c r="AW442" s="40">
        <f>(AW440-AW441)*(1-$H$43)</f>
        <v/>
      </c>
      <c r="AX442" s="40">
        <f>(AX440-AX441)*(1-$H$43)</f>
        <v/>
      </c>
      <c r="AY442" s="40">
        <f>(AY440-AY441)*(1-$H$43)</f>
        <v/>
      </c>
      <c r="AZ442" s="40">
        <f>(AZ440-AZ441)*(1-$H$43)</f>
        <v/>
      </c>
      <c r="BA442" s="40">
        <f>(BA440-BA441)*(1-$H$43)</f>
        <v/>
      </c>
      <c r="BB442" s="40">
        <f>(BB440-BB441)*(1-$H$43)</f>
        <v/>
      </c>
      <c r="BC442" s="40">
        <f>(BC440-BC441)*(1-$H$43)</f>
        <v/>
      </c>
      <c r="BD442" s="40">
        <f>(BD440-BD441)*(1-$H$43)</f>
        <v/>
      </c>
    </row>
    <row r="443">
      <c r="A443" s="33" t="inlineStr">
        <is>
          <t xml:space="preserve">   returned to store</t>
        </is>
      </c>
      <c r="B443" s="2" t="inlineStr">
        <is>
          <t>lb</t>
        </is>
      </c>
      <c r="E443" s="40">
        <f>(E440-E441)*$H$43</f>
        <v/>
      </c>
      <c r="F443" s="40">
        <f>(F440-F441)*$H$43</f>
        <v/>
      </c>
      <c r="G443" s="40">
        <f>(G440-G441)*$H$43</f>
        <v/>
      </c>
      <c r="H443" s="40">
        <f>(H440-H441)*$H$43</f>
        <v/>
      </c>
      <c r="I443" s="40">
        <f>(I440-I441)*$H$43</f>
        <v/>
      </c>
      <c r="J443" s="40">
        <f>(J440-J441)*$H$43</f>
        <v/>
      </c>
      <c r="K443" s="40">
        <f>(K440-K441)*$H$43</f>
        <v/>
      </c>
      <c r="L443" s="40">
        <f>(L440-L441)*$H$43</f>
        <v/>
      </c>
      <c r="M443" s="40">
        <f>(M440-M441)*$H$43</f>
        <v/>
      </c>
      <c r="N443" s="40">
        <f>(N440-N441)*$H$43</f>
        <v/>
      </c>
      <c r="O443" s="40">
        <f>(O440-O441)*$H$43</f>
        <v/>
      </c>
      <c r="P443" s="40">
        <f>(P440-P441)*$H$43</f>
        <v/>
      </c>
      <c r="Q443" s="40">
        <f>(Q440-Q441)*$H$43</f>
        <v/>
      </c>
      <c r="R443" s="40">
        <f>(R440-R441)*$H$43</f>
        <v/>
      </c>
      <c r="S443" s="40">
        <f>(S440-S441)*$H$43</f>
        <v/>
      </c>
      <c r="T443" s="40">
        <f>(T440-T441)*$H$43</f>
        <v/>
      </c>
      <c r="U443" s="40">
        <f>(U440-U441)*$H$43</f>
        <v/>
      </c>
      <c r="V443" s="40">
        <f>(V440-V441)*$H$43</f>
        <v/>
      </c>
      <c r="W443" s="40">
        <f>(W440-W441)*$H$43</f>
        <v/>
      </c>
      <c r="X443" s="40">
        <f>(X440-X441)*$H$43</f>
        <v/>
      </c>
      <c r="Y443" s="40">
        <f>(Y440-Y441)*$H$43</f>
        <v/>
      </c>
      <c r="Z443" s="40">
        <f>(Z440-Z441)*$H$43</f>
        <v/>
      </c>
      <c r="AA443" s="40">
        <f>(AA440-AA441)*$H$43</f>
        <v/>
      </c>
      <c r="AB443" s="40">
        <f>(AB440-AB441)*$H$43</f>
        <v/>
      </c>
      <c r="AC443" s="40">
        <f>(AC440-AC441)*$H$43</f>
        <v/>
      </c>
      <c r="AD443" s="40">
        <f>(AD440-AD441)*$H$43</f>
        <v/>
      </c>
      <c r="AE443" s="40">
        <f>(AE440-AE441)*$H$43</f>
        <v/>
      </c>
      <c r="AF443" s="40">
        <f>(AF440-AF441)*$H$43</f>
        <v/>
      </c>
      <c r="AG443" s="40">
        <f>(AG440-AG441)*$H$43</f>
        <v/>
      </c>
      <c r="AH443" s="40">
        <f>(AH440-AH441)*$H$43</f>
        <v/>
      </c>
      <c r="AI443" s="40">
        <f>(AI440-AI441)*$H$43</f>
        <v/>
      </c>
      <c r="AJ443" s="40">
        <f>(AJ440-AJ441)*$H$43</f>
        <v/>
      </c>
      <c r="AK443" s="40">
        <f>(AK440-AK441)*$H$43</f>
        <v/>
      </c>
      <c r="AL443" s="40">
        <f>(AL440-AL441)*$H$43</f>
        <v/>
      </c>
      <c r="AM443" s="40">
        <f>(AM440-AM441)*$H$43</f>
        <v/>
      </c>
      <c r="AN443" s="40">
        <f>(AN440-AN441)*$H$43</f>
        <v/>
      </c>
      <c r="AO443" s="40">
        <f>(AO440-AO441)*$H$43</f>
        <v/>
      </c>
      <c r="AP443" s="40">
        <f>(AP440-AP441)*$H$43</f>
        <v/>
      </c>
      <c r="AQ443" s="40">
        <f>(AQ440-AQ441)*$H$43</f>
        <v/>
      </c>
      <c r="AR443" s="40">
        <f>(AR440-AR441)*$H$43</f>
        <v/>
      </c>
      <c r="AS443" s="40">
        <f>(AS440-AS441)*$H$43</f>
        <v/>
      </c>
      <c r="AT443" s="40">
        <f>(AT440-AT441)*$H$43</f>
        <v/>
      </c>
      <c r="AU443" s="40">
        <f>(AU440-AU441)*$H$43</f>
        <v/>
      </c>
      <c r="AV443" s="40">
        <f>(AV440-AV441)*$H$43</f>
        <v/>
      </c>
      <c r="AW443" s="40">
        <f>(AW440-AW441)*$H$43</f>
        <v/>
      </c>
      <c r="AX443" s="40">
        <f>(AX440-AX441)*$H$43</f>
        <v/>
      </c>
      <c r="AY443" s="40">
        <f>(AY440-AY441)*$H$43</f>
        <v/>
      </c>
      <c r="AZ443" s="40">
        <f>(AZ440-AZ441)*$H$43</f>
        <v/>
      </c>
      <c r="BA443" s="40">
        <f>(BA440-BA441)*$H$43</f>
        <v/>
      </c>
      <c r="BB443" s="40">
        <f>(BB440-BB441)*$H$43</f>
        <v/>
      </c>
      <c r="BC443" s="40">
        <f>(BC440-BC441)*$H$43</f>
        <v/>
      </c>
      <c r="BD443" s="40">
        <f>(BD440-BD441)*$H$43</f>
        <v/>
      </c>
    </row>
    <row r="444">
      <c r="A444" s="33" t="inlineStr">
        <is>
          <t xml:space="preserve">   leaves the store (offered - returned)</t>
        </is>
      </c>
      <c r="B444" s="2" t="inlineStr">
        <is>
          <t>lb</t>
        </is>
      </c>
      <c r="E444" s="40">
        <f>E440-E443</f>
        <v/>
      </c>
      <c r="F444" s="40">
        <f>F440-F443</f>
        <v/>
      </c>
      <c r="G444" s="40">
        <f>G440-G443</f>
        <v/>
      </c>
      <c r="H444" s="40">
        <f>H440-H443</f>
        <v/>
      </c>
      <c r="I444" s="40">
        <f>I440-I443</f>
        <v/>
      </c>
      <c r="J444" s="40">
        <f>J440-J443</f>
        <v/>
      </c>
      <c r="K444" s="40">
        <f>K440-K443</f>
        <v/>
      </c>
      <c r="L444" s="40">
        <f>L440-L443</f>
        <v/>
      </c>
      <c r="M444" s="40">
        <f>M440-M443</f>
        <v/>
      </c>
      <c r="N444" s="40">
        <f>N440-N443</f>
        <v/>
      </c>
      <c r="O444" s="40">
        <f>O440-O443</f>
        <v/>
      </c>
      <c r="P444" s="40">
        <f>P440-P443</f>
        <v/>
      </c>
      <c r="Q444" s="40">
        <f>Q440-Q443</f>
        <v/>
      </c>
      <c r="R444" s="40">
        <f>R440-R443</f>
        <v/>
      </c>
      <c r="S444" s="40">
        <f>S440-S443</f>
        <v/>
      </c>
      <c r="T444" s="40">
        <f>T440-T443</f>
        <v/>
      </c>
      <c r="U444" s="40">
        <f>U440-U443</f>
        <v/>
      </c>
      <c r="V444" s="40">
        <f>V440-V443</f>
        <v/>
      </c>
      <c r="W444" s="40">
        <f>W440-W443</f>
        <v/>
      </c>
      <c r="X444" s="40">
        <f>X440-X443</f>
        <v/>
      </c>
      <c r="Y444" s="40">
        <f>Y440-Y443</f>
        <v/>
      </c>
      <c r="Z444" s="40">
        <f>Z440-Z443</f>
        <v/>
      </c>
      <c r="AA444" s="40">
        <f>AA440-AA443</f>
        <v/>
      </c>
      <c r="AB444" s="40">
        <f>AB440-AB443</f>
        <v/>
      </c>
      <c r="AC444" s="40">
        <f>AC440-AC443</f>
        <v/>
      </c>
      <c r="AD444" s="40">
        <f>AD440-AD443</f>
        <v/>
      </c>
      <c r="AE444" s="40">
        <f>AE440-AE443</f>
        <v/>
      </c>
      <c r="AF444" s="40">
        <f>AF440-AF443</f>
        <v/>
      </c>
      <c r="AG444" s="40">
        <f>AG440-AG443</f>
        <v/>
      </c>
      <c r="AH444" s="40">
        <f>AH440-AH443</f>
        <v/>
      </c>
      <c r="AI444" s="40">
        <f>AI440-AI443</f>
        <v/>
      </c>
      <c r="AJ444" s="40">
        <f>AJ440-AJ443</f>
        <v/>
      </c>
      <c r="AK444" s="40">
        <f>AK440-AK443</f>
        <v/>
      </c>
      <c r="AL444" s="40">
        <f>AL440-AL443</f>
        <v/>
      </c>
      <c r="AM444" s="40">
        <f>AM440-AM443</f>
        <v/>
      </c>
      <c r="AN444" s="40">
        <f>AN440-AN443</f>
        <v/>
      </c>
      <c r="AO444" s="40">
        <f>AO440-AO443</f>
        <v/>
      </c>
      <c r="AP444" s="40">
        <f>AP440-AP443</f>
        <v/>
      </c>
      <c r="AQ444" s="40">
        <f>AQ440-AQ443</f>
        <v/>
      </c>
      <c r="AR444" s="40">
        <f>AR440-AR443</f>
        <v/>
      </c>
      <c r="AS444" s="40">
        <f>AS440-AS443</f>
        <v/>
      </c>
      <c r="AT444" s="40">
        <f>AT440-AT443</f>
        <v/>
      </c>
      <c r="AU444" s="40">
        <f>AU440-AU443</f>
        <v/>
      </c>
      <c r="AV444" s="40">
        <f>AV440-AV443</f>
        <v/>
      </c>
      <c r="AW444" s="40">
        <f>AW440-AW443</f>
        <v/>
      </c>
      <c r="AX444" s="40">
        <f>AX440-AX443</f>
        <v/>
      </c>
      <c r="AY444" s="40">
        <f>AY440-AY443</f>
        <v/>
      </c>
      <c r="AZ444" s="40">
        <f>AZ440-AZ443</f>
        <v/>
      </c>
      <c r="BA444" s="40">
        <f>BA440-BA443</f>
        <v/>
      </c>
      <c r="BB444" s="40">
        <f>BB440-BB443</f>
        <v/>
      </c>
      <c r="BC444" s="40">
        <f>BC440-BC443</f>
        <v/>
      </c>
      <c r="BD444" s="40">
        <f>BD440-BD443</f>
        <v/>
      </c>
    </row>
    <row r="445">
      <c r="A445" s="43" t="inlineStr">
        <is>
          <t>Wholesale — most you may sell this week</t>
        </is>
      </c>
      <c r="B445" s="2" t="inlineStr">
        <is>
          <t>lb</t>
        </is>
      </c>
      <c r="E445" s="42">
        <f>IF($C$44="Annual",$D$44-0,IF(AND(1&gt;=$E$44,1&lt;=$F$44),$D$44,0))</f>
        <v/>
      </c>
      <c r="F445" s="42">
        <f>IF($C$44="Annual",$D$44-SUM(E447:E447),IF(AND(2&gt;=$E$44,2&lt;=$F$44),$D$44,0))</f>
        <v/>
      </c>
      <c r="G445" s="42">
        <f>IF($C$44="Annual",$D$44-SUM(E447:F447),IF(AND(3&gt;=$E$44,3&lt;=$F$44),$D$44,0))</f>
        <v/>
      </c>
      <c r="H445" s="42">
        <f>IF($C$44="Annual",$D$44-SUM(E447:G447),IF(AND(4&gt;=$E$44,4&lt;=$F$44),$D$44,0))</f>
        <v/>
      </c>
      <c r="I445" s="42">
        <f>IF($C$44="Annual",$D$44-SUM(E447:H447),IF(AND(5&gt;=$E$44,5&lt;=$F$44),$D$44,0))</f>
        <v/>
      </c>
      <c r="J445" s="42">
        <f>IF($C$44="Annual",$D$44-SUM(E447:I447),IF(AND(6&gt;=$E$44,6&lt;=$F$44),$D$44,0))</f>
        <v/>
      </c>
      <c r="K445" s="42">
        <f>IF($C$44="Annual",$D$44-SUM(E447:J447),IF(AND(7&gt;=$E$44,7&lt;=$F$44),$D$44,0))</f>
        <v/>
      </c>
      <c r="L445" s="42">
        <f>IF($C$44="Annual",$D$44-SUM(E447:K447),IF(AND(8&gt;=$E$44,8&lt;=$F$44),$D$44,0))</f>
        <v/>
      </c>
      <c r="M445" s="42">
        <f>IF($C$44="Annual",$D$44-SUM(E447:L447),IF(AND(9&gt;=$E$44,9&lt;=$F$44),$D$44,0))</f>
        <v/>
      </c>
      <c r="N445" s="42">
        <f>IF($C$44="Annual",$D$44-SUM(E447:M447),IF(AND(10&gt;=$E$44,10&lt;=$F$44),$D$44,0))</f>
        <v/>
      </c>
      <c r="O445" s="42">
        <f>IF($C$44="Annual",$D$44-SUM(E447:N447),IF(AND(11&gt;=$E$44,11&lt;=$F$44),$D$44,0))</f>
        <v/>
      </c>
      <c r="P445" s="42">
        <f>IF($C$44="Annual",$D$44-SUM(E447:O447),IF(AND(12&gt;=$E$44,12&lt;=$F$44),$D$44,0))</f>
        <v/>
      </c>
      <c r="Q445" s="42">
        <f>IF($C$44="Annual",$D$44-SUM(E447:P447),IF(AND(13&gt;=$E$44,13&lt;=$F$44),$D$44,0))</f>
        <v/>
      </c>
      <c r="R445" s="42">
        <f>IF($C$44="Annual",$D$44-SUM(E447:Q447),IF(AND(14&gt;=$E$44,14&lt;=$F$44),$D$44,0))</f>
        <v/>
      </c>
      <c r="S445" s="42">
        <f>IF($C$44="Annual",$D$44-SUM(E447:R447),IF(AND(15&gt;=$E$44,15&lt;=$F$44),$D$44,0))</f>
        <v/>
      </c>
      <c r="T445" s="42">
        <f>IF($C$44="Annual",$D$44-SUM(E447:S447),IF(AND(16&gt;=$E$44,16&lt;=$F$44),$D$44,0))</f>
        <v/>
      </c>
      <c r="U445" s="42">
        <f>IF($C$44="Annual",$D$44-SUM(E447:T447),IF(AND(17&gt;=$E$44,17&lt;=$F$44),$D$44,0))</f>
        <v/>
      </c>
      <c r="V445" s="42">
        <f>IF($C$44="Annual",$D$44-SUM(E447:U447),IF(AND(18&gt;=$E$44,18&lt;=$F$44),$D$44,0))</f>
        <v/>
      </c>
      <c r="W445" s="42">
        <f>IF($C$44="Annual",$D$44-SUM(E447:V447),IF(AND(19&gt;=$E$44,19&lt;=$F$44),$D$44,0))</f>
        <v/>
      </c>
      <c r="X445" s="42">
        <f>IF($C$44="Annual",$D$44-SUM(E447:W447),IF(AND(20&gt;=$E$44,20&lt;=$F$44),$D$44,0))</f>
        <v/>
      </c>
      <c r="Y445" s="42">
        <f>IF($C$44="Annual",$D$44-SUM(E447:X447),IF(AND(21&gt;=$E$44,21&lt;=$F$44),$D$44,0))</f>
        <v/>
      </c>
      <c r="Z445" s="42">
        <f>IF($C$44="Annual",$D$44-SUM(E447:Y447),IF(AND(22&gt;=$E$44,22&lt;=$F$44),$D$44,0))</f>
        <v/>
      </c>
      <c r="AA445" s="42">
        <f>IF($C$44="Annual",$D$44-SUM(E447:Z447),IF(AND(23&gt;=$E$44,23&lt;=$F$44),$D$44,0))</f>
        <v/>
      </c>
      <c r="AB445" s="42">
        <f>IF($C$44="Annual",$D$44-SUM(E447:AA447),IF(AND(24&gt;=$E$44,24&lt;=$F$44),$D$44,0))</f>
        <v/>
      </c>
      <c r="AC445" s="42">
        <f>IF($C$44="Annual",$D$44-SUM(E447:AB447),IF(AND(25&gt;=$E$44,25&lt;=$F$44),$D$44,0))</f>
        <v/>
      </c>
      <c r="AD445" s="42">
        <f>IF($C$44="Annual",$D$44-SUM(E447:AC447),IF(AND(26&gt;=$E$44,26&lt;=$F$44),$D$44,0))</f>
        <v/>
      </c>
      <c r="AE445" s="42">
        <f>IF($C$44="Annual",$D$44-SUM(E447:AD447),IF(AND(27&gt;=$E$44,27&lt;=$F$44),$D$44,0))</f>
        <v/>
      </c>
      <c r="AF445" s="42">
        <f>IF($C$44="Annual",$D$44-SUM(E447:AE447),IF(AND(28&gt;=$E$44,28&lt;=$F$44),$D$44,0))</f>
        <v/>
      </c>
      <c r="AG445" s="42">
        <f>IF($C$44="Annual",$D$44-SUM(E447:AF447),IF(AND(29&gt;=$E$44,29&lt;=$F$44),$D$44,0))</f>
        <v/>
      </c>
      <c r="AH445" s="42">
        <f>IF($C$44="Annual",$D$44-SUM(E447:AG447),IF(AND(30&gt;=$E$44,30&lt;=$F$44),$D$44,0))</f>
        <v/>
      </c>
      <c r="AI445" s="42">
        <f>IF($C$44="Annual",$D$44-SUM(E447:AH447),IF(AND(31&gt;=$E$44,31&lt;=$F$44),$D$44,0))</f>
        <v/>
      </c>
      <c r="AJ445" s="42">
        <f>IF($C$44="Annual",$D$44-SUM(E447:AI447),IF(AND(32&gt;=$E$44,32&lt;=$F$44),$D$44,0))</f>
        <v/>
      </c>
      <c r="AK445" s="42">
        <f>IF($C$44="Annual",$D$44-SUM(E447:AJ447),IF(AND(33&gt;=$E$44,33&lt;=$F$44),$D$44,0))</f>
        <v/>
      </c>
      <c r="AL445" s="42">
        <f>IF($C$44="Annual",$D$44-SUM(E447:AK447),IF(AND(34&gt;=$E$44,34&lt;=$F$44),$D$44,0))</f>
        <v/>
      </c>
      <c r="AM445" s="42">
        <f>IF($C$44="Annual",$D$44-SUM(E447:AL447),IF(AND(35&gt;=$E$44,35&lt;=$F$44),$D$44,0))</f>
        <v/>
      </c>
      <c r="AN445" s="42">
        <f>IF($C$44="Annual",$D$44-SUM(E447:AM447),IF(AND(36&gt;=$E$44,36&lt;=$F$44),$D$44,0))</f>
        <v/>
      </c>
      <c r="AO445" s="42">
        <f>IF($C$44="Annual",$D$44-SUM(E447:AN447),IF(AND(37&gt;=$E$44,37&lt;=$F$44),$D$44,0))</f>
        <v/>
      </c>
      <c r="AP445" s="42">
        <f>IF($C$44="Annual",$D$44-SUM(E447:AO447),IF(AND(38&gt;=$E$44,38&lt;=$F$44),$D$44,0))</f>
        <v/>
      </c>
      <c r="AQ445" s="42">
        <f>IF($C$44="Annual",$D$44-SUM(E447:AP447),IF(AND(39&gt;=$E$44,39&lt;=$F$44),$D$44,0))</f>
        <v/>
      </c>
      <c r="AR445" s="42">
        <f>IF($C$44="Annual",$D$44-SUM(E447:AQ447),IF(AND(40&gt;=$E$44,40&lt;=$F$44),$D$44,0))</f>
        <v/>
      </c>
      <c r="AS445" s="42">
        <f>IF($C$44="Annual",$D$44-SUM(E447:AR447),IF(AND(41&gt;=$E$44,41&lt;=$F$44),$D$44,0))</f>
        <v/>
      </c>
      <c r="AT445" s="42">
        <f>IF($C$44="Annual",$D$44-SUM(E447:AS447),IF(AND(42&gt;=$E$44,42&lt;=$F$44),$D$44,0))</f>
        <v/>
      </c>
      <c r="AU445" s="42">
        <f>IF($C$44="Annual",$D$44-SUM(E447:AT447),IF(AND(43&gt;=$E$44,43&lt;=$F$44),$D$44,0))</f>
        <v/>
      </c>
      <c r="AV445" s="42">
        <f>IF($C$44="Annual",$D$44-SUM(E447:AU447),IF(AND(44&gt;=$E$44,44&lt;=$F$44),$D$44,0))</f>
        <v/>
      </c>
      <c r="AW445" s="42">
        <f>IF($C$44="Annual",$D$44-SUM(E447:AV447),IF(AND(45&gt;=$E$44,45&lt;=$F$44),$D$44,0))</f>
        <v/>
      </c>
      <c r="AX445" s="42">
        <f>IF($C$44="Annual",$D$44-SUM(E447:AW447),IF(AND(46&gt;=$E$44,46&lt;=$F$44),$D$44,0))</f>
        <v/>
      </c>
      <c r="AY445" s="42">
        <f>IF($C$44="Annual",$D$44-SUM(E447:AX447),IF(AND(47&gt;=$E$44,47&lt;=$F$44),$D$44,0))</f>
        <v/>
      </c>
      <c r="AZ445" s="42">
        <f>IF($C$44="Annual",$D$44-SUM(E447:AY447),IF(AND(48&gt;=$E$44,48&lt;=$F$44),$D$44,0))</f>
        <v/>
      </c>
      <c r="BA445" s="42">
        <f>IF($C$44="Annual",$D$44-SUM(E447:AZ447),IF(AND(49&gt;=$E$44,49&lt;=$F$44),$D$44,0))</f>
        <v/>
      </c>
      <c r="BB445" s="42">
        <f>IF($C$44="Annual",$D$44-SUM(E447:BA447),IF(AND(50&gt;=$E$44,50&lt;=$F$44),$D$44,0))</f>
        <v/>
      </c>
      <c r="BC445" s="42">
        <f>IF($C$44="Annual",$D$44-SUM(E447:BB447),IF(AND(51&gt;=$E$44,51&lt;=$F$44),$D$44,0))</f>
        <v/>
      </c>
      <c r="BD445" s="42">
        <f>IF($C$44="Annual",$D$44-SUM(E447:BC447),IF(AND(52&gt;=$E$44,52&lt;=$F$44),$D$44,0))</f>
        <v/>
      </c>
    </row>
    <row r="446">
      <c r="A446" s="32" t="inlineStr">
        <is>
          <t>Wholesale — OFFERED</t>
        </is>
      </c>
      <c r="B446" s="2" t="inlineStr">
        <is>
          <t>lb  &lt;-- SOLVER</t>
        </is>
      </c>
      <c r="E446" s="39" t="n">
        <v>0</v>
      </c>
      <c r="F446" s="39" t="n">
        <v>0</v>
      </c>
      <c r="G446" s="39" t="n">
        <v>0</v>
      </c>
      <c r="H446" s="39" t="n">
        <v>0</v>
      </c>
      <c r="I446" s="39" t="n">
        <v>0</v>
      </c>
      <c r="J446" s="39" t="n">
        <v>0</v>
      </c>
      <c r="K446" s="39" t="n">
        <v>0</v>
      </c>
      <c r="L446" s="39" t="n">
        <v>0</v>
      </c>
      <c r="M446" s="39" t="n">
        <v>0</v>
      </c>
      <c r="N446" s="39" t="n">
        <v>0</v>
      </c>
      <c r="O446" s="39" t="n">
        <v>0</v>
      </c>
      <c r="P446" s="39" t="n">
        <v>0</v>
      </c>
      <c r="Q446" s="39" t="n">
        <v>0</v>
      </c>
      <c r="R446" s="39" t="n">
        <v>0</v>
      </c>
      <c r="S446" s="39" t="n">
        <v>0</v>
      </c>
      <c r="T446" s="39" t="n">
        <v>0</v>
      </c>
      <c r="U446" s="39" t="n">
        <v>0</v>
      </c>
      <c r="V446" s="39" t="n">
        <v>0</v>
      </c>
      <c r="W446" s="39" t="n">
        <v>0</v>
      </c>
      <c r="X446" s="39" t="n">
        <v>0</v>
      </c>
      <c r="Y446" s="39" t="n">
        <v>0</v>
      </c>
      <c r="Z446" s="39" t="n">
        <v>0</v>
      </c>
      <c r="AA446" s="39" t="n">
        <v>0</v>
      </c>
      <c r="AB446" s="39" t="n">
        <v>0</v>
      </c>
      <c r="AC446" s="39" t="n">
        <v>0</v>
      </c>
      <c r="AD446" s="39" t="n">
        <v>0</v>
      </c>
      <c r="AE446" s="39" t="n">
        <v>0</v>
      </c>
      <c r="AF446" s="39" t="n">
        <v>0</v>
      </c>
      <c r="AG446" s="39" t="n">
        <v>0</v>
      </c>
      <c r="AH446" s="39" t="n">
        <v>0</v>
      </c>
      <c r="AI446" s="39" t="n">
        <v>0</v>
      </c>
      <c r="AJ446" s="39" t="n">
        <v>0</v>
      </c>
      <c r="AK446" s="39" t="n">
        <v>0</v>
      </c>
      <c r="AL446" s="39" t="n">
        <v>0</v>
      </c>
      <c r="AM446" s="39" t="n">
        <v>0</v>
      </c>
      <c r="AN446" s="39" t="n">
        <v>0</v>
      </c>
      <c r="AO446" s="39" t="n">
        <v>0</v>
      </c>
      <c r="AP446" s="39" t="n">
        <v>0</v>
      </c>
      <c r="AQ446" s="39" t="n">
        <v>0</v>
      </c>
      <c r="AR446" s="39" t="n">
        <v>0</v>
      </c>
      <c r="AS446" s="39" t="n">
        <v>0</v>
      </c>
      <c r="AT446" s="39" t="n">
        <v>0</v>
      </c>
      <c r="AU446" s="39" t="n">
        <v>0</v>
      </c>
      <c r="AV446" s="39" t="n">
        <v>0</v>
      </c>
      <c r="AW446" s="39" t="n">
        <v>0</v>
      </c>
      <c r="AX446" s="39" t="n">
        <v>0</v>
      </c>
      <c r="AY446" s="39" t="n">
        <v>0</v>
      </c>
      <c r="AZ446" s="39" t="n">
        <v>0</v>
      </c>
      <c r="BA446" s="39" t="n">
        <v>0</v>
      </c>
      <c r="BB446" s="39" t="n">
        <v>0</v>
      </c>
      <c r="BC446" s="39" t="n">
        <v>0</v>
      </c>
      <c r="BD446" s="39" t="n">
        <v>0</v>
      </c>
    </row>
    <row r="447">
      <c r="A447" s="56" t="inlineStr">
        <is>
          <t>Wholesale — SOLD</t>
        </is>
      </c>
      <c r="B447" s="2" t="inlineStr">
        <is>
          <t>lb</t>
        </is>
      </c>
      <c r="E447" s="57">
        <f>E446*$G$44</f>
        <v/>
      </c>
      <c r="F447" s="57">
        <f>F446*$G$44</f>
        <v/>
      </c>
      <c r="G447" s="57">
        <f>G446*$G$44</f>
        <v/>
      </c>
      <c r="H447" s="57">
        <f>H446*$G$44</f>
        <v/>
      </c>
      <c r="I447" s="57">
        <f>I446*$G$44</f>
        <v/>
      </c>
      <c r="J447" s="57">
        <f>J446*$G$44</f>
        <v/>
      </c>
      <c r="K447" s="57">
        <f>K446*$G$44</f>
        <v/>
      </c>
      <c r="L447" s="57">
        <f>L446*$G$44</f>
        <v/>
      </c>
      <c r="M447" s="57">
        <f>M446*$G$44</f>
        <v/>
      </c>
      <c r="N447" s="57">
        <f>N446*$G$44</f>
        <v/>
      </c>
      <c r="O447" s="57">
        <f>O446*$G$44</f>
        <v/>
      </c>
      <c r="P447" s="57">
        <f>P446*$G$44</f>
        <v/>
      </c>
      <c r="Q447" s="57">
        <f>Q446*$G$44</f>
        <v/>
      </c>
      <c r="R447" s="57">
        <f>R446*$G$44</f>
        <v/>
      </c>
      <c r="S447" s="57">
        <f>S446*$G$44</f>
        <v/>
      </c>
      <c r="T447" s="57">
        <f>T446*$G$44</f>
        <v/>
      </c>
      <c r="U447" s="57">
        <f>U446*$G$44</f>
        <v/>
      </c>
      <c r="V447" s="57">
        <f>V446*$G$44</f>
        <v/>
      </c>
      <c r="W447" s="57">
        <f>W446*$G$44</f>
        <v/>
      </c>
      <c r="X447" s="57">
        <f>X446*$G$44</f>
        <v/>
      </c>
      <c r="Y447" s="57">
        <f>Y446*$G$44</f>
        <v/>
      </c>
      <c r="Z447" s="57">
        <f>Z446*$G$44</f>
        <v/>
      </c>
      <c r="AA447" s="57">
        <f>AA446*$G$44</f>
        <v/>
      </c>
      <c r="AB447" s="57">
        <f>AB446*$G$44</f>
        <v/>
      </c>
      <c r="AC447" s="57">
        <f>AC446*$G$44</f>
        <v/>
      </c>
      <c r="AD447" s="57">
        <f>AD446*$G$44</f>
        <v/>
      </c>
      <c r="AE447" s="57">
        <f>AE446*$G$44</f>
        <v/>
      </c>
      <c r="AF447" s="57">
        <f>AF446*$G$44</f>
        <v/>
      </c>
      <c r="AG447" s="57">
        <f>AG446*$G$44</f>
        <v/>
      </c>
      <c r="AH447" s="57">
        <f>AH446*$G$44</f>
        <v/>
      </c>
      <c r="AI447" s="57">
        <f>AI446*$G$44</f>
        <v/>
      </c>
      <c r="AJ447" s="57">
        <f>AJ446*$G$44</f>
        <v/>
      </c>
      <c r="AK447" s="57">
        <f>AK446*$G$44</f>
        <v/>
      </c>
      <c r="AL447" s="57">
        <f>AL446*$G$44</f>
        <v/>
      </c>
      <c r="AM447" s="57">
        <f>AM446*$G$44</f>
        <v/>
      </c>
      <c r="AN447" s="57">
        <f>AN446*$G$44</f>
        <v/>
      </c>
      <c r="AO447" s="57">
        <f>AO446*$G$44</f>
        <v/>
      </c>
      <c r="AP447" s="57">
        <f>AP446*$G$44</f>
        <v/>
      </c>
      <c r="AQ447" s="57">
        <f>AQ446*$G$44</f>
        <v/>
      </c>
      <c r="AR447" s="57">
        <f>AR446*$G$44</f>
        <v/>
      </c>
      <c r="AS447" s="57">
        <f>AS446*$G$44</f>
        <v/>
      </c>
      <c r="AT447" s="57">
        <f>AT446*$G$44</f>
        <v/>
      </c>
      <c r="AU447" s="57">
        <f>AU446*$G$44</f>
        <v/>
      </c>
      <c r="AV447" s="57">
        <f>AV446*$G$44</f>
        <v/>
      </c>
      <c r="AW447" s="57">
        <f>AW446*$G$44</f>
        <v/>
      </c>
      <c r="AX447" s="57">
        <f>AX446*$G$44</f>
        <v/>
      </c>
      <c r="AY447" s="57">
        <f>AY446*$G$44</f>
        <v/>
      </c>
      <c r="AZ447" s="57">
        <f>AZ446*$G$44</f>
        <v/>
      </c>
      <c r="BA447" s="57">
        <f>BA446*$G$44</f>
        <v/>
      </c>
      <c r="BB447" s="57">
        <f>BB446*$G$44</f>
        <v/>
      </c>
      <c r="BC447" s="57">
        <f>BC446*$G$44</f>
        <v/>
      </c>
      <c r="BD447" s="57">
        <f>BD446*$G$44</f>
        <v/>
      </c>
    </row>
    <row r="448">
      <c r="A448" s="33" t="inlineStr">
        <is>
          <t xml:space="preserve">   market loss (gone)</t>
        </is>
      </c>
      <c r="B448" s="2" t="inlineStr">
        <is>
          <t>lb</t>
        </is>
      </c>
      <c r="E448" s="40">
        <f>(E446-E447)*(1-$H$44)</f>
        <v/>
      </c>
      <c r="F448" s="40">
        <f>(F446-F447)*(1-$H$44)</f>
        <v/>
      </c>
      <c r="G448" s="40">
        <f>(G446-G447)*(1-$H$44)</f>
        <v/>
      </c>
      <c r="H448" s="40">
        <f>(H446-H447)*(1-$H$44)</f>
        <v/>
      </c>
      <c r="I448" s="40">
        <f>(I446-I447)*(1-$H$44)</f>
        <v/>
      </c>
      <c r="J448" s="40">
        <f>(J446-J447)*(1-$H$44)</f>
        <v/>
      </c>
      <c r="K448" s="40">
        <f>(K446-K447)*(1-$H$44)</f>
        <v/>
      </c>
      <c r="L448" s="40">
        <f>(L446-L447)*(1-$H$44)</f>
        <v/>
      </c>
      <c r="M448" s="40">
        <f>(M446-M447)*(1-$H$44)</f>
        <v/>
      </c>
      <c r="N448" s="40">
        <f>(N446-N447)*(1-$H$44)</f>
        <v/>
      </c>
      <c r="O448" s="40">
        <f>(O446-O447)*(1-$H$44)</f>
        <v/>
      </c>
      <c r="P448" s="40">
        <f>(P446-P447)*(1-$H$44)</f>
        <v/>
      </c>
      <c r="Q448" s="40">
        <f>(Q446-Q447)*(1-$H$44)</f>
        <v/>
      </c>
      <c r="R448" s="40">
        <f>(R446-R447)*(1-$H$44)</f>
        <v/>
      </c>
      <c r="S448" s="40">
        <f>(S446-S447)*(1-$H$44)</f>
        <v/>
      </c>
      <c r="T448" s="40">
        <f>(T446-T447)*(1-$H$44)</f>
        <v/>
      </c>
      <c r="U448" s="40">
        <f>(U446-U447)*(1-$H$44)</f>
        <v/>
      </c>
      <c r="V448" s="40">
        <f>(V446-V447)*(1-$H$44)</f>
        <v/>
      </c>
      <c r="W448" s="40">
        <f>(W446-W447)*(1-$H$44)</f>
        <v/>
      </c>
      <c r="X448" s="40">
        <f>(X446-X447)*(1-$H$44)</f>
        <v/>
      </c>
      <c r="Y448" s="40">
        <f>(Y446-Y447)*(1-$H$44)</f>
        <v/>
      </c>
      <c r="Z448" s="40">
        <f>(Z446-Z447)*(1-$H$44)</f>
        <v/>
      </c>
      <c r="AA448" s="40">
        <f>(AA446-AA447)*(1-$H$44)</f>
        <v/>
      </c>
      <c r="AB448" s="40">
        <f>(AB446-AB447)*(1-$H$44)</f>
        <v/>
      </c>
      <c r="AC448" s="40">
        <f>(AC446-AC447)*(1-$H$44)</f>
        <v/>
      </c>
      <c r="AD448" s="40">
        <f>(AD446-AD447)*(1-$H$44)</f>
        <v/>
      </c>
      <c r="AE448" s="40">
        <f>(AE446-AE447)*(1-$H$44)</f>
        <v/>
      </c>
      <c r="AF448" s="40">
        <f>(AF446-AF447)*(1-$H$44)</f>
        <v/>
      </c>
      <c r="AG448" s="40">
        <f>(AG446-AG447)*(1-$H$44)</f>
        <v/>
      </c>
      <c r="AH448" s="40">
        <f>(AH446-AH447)*(1-$H$44)</f>
        <v/>
      </c>
      <c r="AI448" s="40">
        <f>(AI446-AI447)*(1-$H$44)</f>
        <v/>
      </c>
      <c r="AJ448" s="40">
        <f>(AJ446-AJ447)*(1-$H$44)</f>
        <v/>
      </c>
      <c r="AK448" s="40">
        <f>(AK446-AK447)*(1-$H$44)</f>
        <v/>
      </c>
      <c r="AL448" s="40">
        <f>(AL446-AL447)*(1-$H$44)</f>
        <v/>
      </c>
      <c r="AM448" s="40">
        <f>(AM446-AM447)*(1-$H$44)</f>
        <v/>
      </c>
      <c r="AN448" s="40">
        <f>(AN446-AN447)*(1-$H$44)</f>
        <v/>
      </c>
      <c r="AO448" s="40">
        <f>(AO446-AO447)*(1-$H$44)</f>
        <v/>
      </c>
      <c r="AP448" s="40">
        <f>(AP446-AP447)*(1-$H$44)</f>
        <v/>
      </c>
      <c r="AQ448" s="40">
        <f>(AQ446-AQ447)*(1-$H$44)</f>
        <v/>
      </c>
      <c r="AR448" s="40">
        <f>(AR446-AR447)*(1-$H$44)</f>
        <v/>
      </c>
      <c r="AS448" s="40">
        <f>(AS446-AS447)*(1-$H$44)</f>
        <v/>
      </c>
      <c r="AT448" s="40">
        <f>(AT446-AT447)*(1-$H$44)</f>
        <v/>
      </c>
      <c r="AU448" s="40">
        <f>(AU446-AU447)*(1-$H$44)</f>
        <v/>
      </c>
      <c r="AV448" s="40">
        <f>(AV446-AV447)*(1-$H$44)</f>
        <v/>
      </c>
      <c r="AW448" s="40">
        <f>(AW446-AW447)*(1-$H$44)</f>
        <v/>
      </c>
      <c r="AX448" s="40">
        <f>(AX446-AX447)*(1-$H$44)</f>
        <v/>
      </c>
      <c r="AY448" s="40">
        <f>(AY446-AY447)*(1-$H$44)</f>
        <v/>
      </c>
      <c r="AZ448" s="40">
        <f>(AZ446-AZ447)*(1-$H$44)</f>
        <v/>
      </c>
      <c r="BA448" s="40">
        <f>(BA446-BA447)*(1-$H$44)</f>
        <v/>
      </c>
      <c r="BB448" s="40">
        <f>(BB446-BB447)*(1-$H$44)</f>
        <v/>
      </c>
      <c r="BC448" s="40">
        <f>(BC446-BC447)*(1-$H$44)</f>
        <v/>
      </c>
      <c r="BD448" s="40">
        <f>(BD446-BD447)*(1-$H$44)</f>
        <v/>
      </c>
    </row>
    <row r="449">
      <c r="A449" s="33" t="inlineStr">
        <is>
          <t xml:space="preserve">   returned to store</t>
        </is>
      </c>
      <c r="B449" s="2" t="inlineStr">
        <is>
          <t>lb</t>
        </is>
      </c>
      <c r="E449" s="40">
        <f>(E446-E447)*$H$44</f>
        <v/>
      </c>
      <c r="F449" s="40">
        <f>(F446-F447)*$H$44</f>
        <v/>
      </c>
      <c r="G449" s="40">
        <f>(G446-G447)*$H$44</f>
        <v/>
      </c>
      <c r="H449" s="40">
        <f>(H446-H447)*$H$44</f>
        <v/>
      </c>
      <c r="I449" s="40">
        <f>(I446-I447)*$H$44</f>
        <v/>
      </c>
      <c r="J449" s="40">
        <f>(J446-J447)*$H$44</f>
        <v/>
      </c>
      <c r="K449" s="40">
        <f>(K446-K447)*$H$44</f>
        <v/>
      </c>
      <c r="L449" s="40">
        <f>(L446-L447)*$H$44</f>
        <v/>
      </c>
      <c r="M449" s="40">
        <f>(M446-M447)*$H$44</f>
        <v/>
      </c>
      <c r="N449" s="40">
        <f>(N446-N447)*$H$44</f>
        <v/>
      </c>
      <c r="O449" s="40">
        <f>(O446-O447)*$H$44</f>
        <v/>
      </c>
      <c r="P449" s="40">
        <f>(P446-P447)*$H$44</f>
        <v/>
      </c>
      <c r="Q449" s="40">
        <f>(Q446-Q447)*$H$44</f>
        <v/>
      </c>
      <c r="R449" s="40">
        <f>(R446-R447)*$H$44</f>
        <v/>
      </c>
      <c r="S449" s="40">
        <f>(S446-S447)*$H$44</f>
        <v/>
      </c>
      <c r="T449" s="40">
        <f>(T446-T447)*$H$44</f>
        <v/>
      </c>
      <c r="U449" s="40">
        <f>(U446-U447)*$H$44</f>
        <v/>
      </c>
      <c r="V449" s="40">
        <f>(V446-V447)*$H$44</f>
        <v/>
      </c>
      <c r="W449" s="40">
        <f>(W446-W447)*$H$44</f>
        <v/>
      </c>
      <c r="X449" s="40">
        <f>(X446-X447)*$H$44</f>
        <v/>
      </c>
      <c r="Y449" s="40">
        <f>(Y446-Y447)*$H$44</f>
        <v/>
      </c>
      <c r="Z449" s="40">
        <f>(Z446-Z447)*$H$44</f>
        <v/>
      </c>
      <c r="AA449" s="40">
        <f>(AA446-AA447)*$H$44</f>
        <v/>
      </c>
      <c r="AB449" s="40">
        <f>(AB446-AB447)*$H$44</f>
        <v/>
      </c>
      <c r="AC449" s="40">
        <f>(AC446-AC447)*$H$44</f>
        <v/>
      </c>
      <c r="AD449" s="40">
        <f>(AD446-AD447)*$H$44</f>
        <v/>
      </c>
      <c r="AE449" s="40">
        <f>(AE446-AE447)*$H$44</f>
        <v/>
      </c>
      <c r="AF449" s="40">
        <f>(AF446-AF447)*$H$44</f>
        <v/>
      </c>
      <c r="AG449" s="40">
        <f>(AG446-AG447)*$H$44</f>
        <v/>
      </c>
      <c r="AH449" s="40">
        <f>(AH446-AH447)*$H$44</f>
        <v/>
      </c>
      <c r="AI449" s="40">
        <f>(AI446-AI447)*$H$44</f>
        <v/>
      </c>
      <c r="AJ449" s="40">
        <f>(AJ446-AJ447)*$H$44</f>
        <v/>
      </c>
      <c r="AK449" s="40">
        <f>(AK446-AK447)*$H$44</f>
        <v/>
      </c>
      <c r="AL449" s="40">
        <f>(AL446-AL447)*$H$44</f>
        <v/>
      </c>
      <c r="AM449" s="40">
        <f>(AM446-AM447)*$H$44</f>
        <v/>
      </c>
      <c r="AN449" s="40">
        <f>(AN446-AN447)*$H$44</f>
        <v/>
      </c>
      <c r="AO449" s="40">
        <f>(AO446-AO447)*$H$44</f>
        <v/>
      </c>
      <c r="AP449" s="40">
        <f>(AP446-AP447)*$H$44</f>
        <v/>
      </c>
      <c r="AQ449" s="40">
        <f>(AQ446-AQ447)*$H$44</f>
        <v/>
      </c>
      <c r="AR449" s="40">
        <f>(AR446-AR447)*$H$44</f>
        <v/>
      </c>
      <c r="AS449" s="40">
        <f>(AS446-AS447)*$H$44</f>
        <v/>
      </c>
      <c r="AT449" s="40">
        <f>(AT446-AT447)*$H$44</f>
        <v/>
      </c>
      <c r="AU449" s="40">
        <f>(AU446-AU447)*$H$44</f>
        <v/>
      </c>
      <c r="AV449" s="40">
        <f>(AV446-AV447)*$H$44</f>
        <v/>
      </c>
      <c r="AW449" s="40">
        <f>(AW446-AW447)*$H$44</f>
        <v/>
      </c>
      <c r="AX449" s="40">
        <f>(AX446-AX447)*$H$44</f>
        <v/>
      </c>
      <c r="AY449" s="40">
        <f>(AY446-AY447)*$H$44</f>
        <v/>
      </c>
      <c r="AZ449" s="40">
        <f>(AZ446-AZ447)*$H$44</f>
        <v/>
      </c>
      <c r="BA449" s="40">
        <f>(BA446-BA447)*$H$44</f>
        <v/>
      </c>
      <c r="BB449" s="40">
        <f>(BB446-BB447)*$H$44</f>
        <v/>
      </c>
      <c r="BC449" s="40">
        <f>(BC446-BC447)*$H$44</f>
        <v/>
      </c>
      <c r="BD449" s="40">
        <f>(BD446-BD447)*$H$44</f>
        <v/>
      </c>
    </row>
    <row r="450">
      <c r="A450" s="33" t="inlineStr">
        <is>
          <t xml:space="preserve">   leaves the store (offered - returned)</t>
        </is>
      </c>
      <c r="B450" s="2" t="inlineStr">
        <is>
          <t>lb</t>
        </is>
      </c>
      <c r="E450" s="40">
        <f>E446-E449</f>
        <v/>
      </c>
      <c r="F450" s="40">
        <f>F446-F449</f>
        <v/>
      </c>
      <c r="G450" s="40">
        <f>G446-G449</f>
        <v/>
      </c>
      <c r="H450" s="40">
        <f>H446-H449</f>
        <v/>
      </c>
      <c r="I450" s="40">
        <f>I446-I449</f>
        <v/>
      </c>
      <c r="J450" s="40">
        <f>J446-J449</f>
        <v/>
      </c>
      <c r="K450" s="40">
        <f>K446-K449</f>
        <v/>
      </c>
      <c r="L450" s="40">
        <f>L446-L449</f>
        <v/>
      </c>
      <c r="M450" s="40">
        <f>M446-M449</f>
        <v/>
      </c>
      <c r="N450" s="40">
        <f>N446-N449</f>
        <v/>
      </c>
      <c r="O450" s="40">
        <f>O446-O449</f>
        <v/>
      </c>
      <c r="P450" s="40">
        <f>P446-P449</f>
        <v/>
      </c>
      <c r="Q450" s="40">
        <f>Q446-Q449</f>
        <v/>
      </c>
      <c r="R450" s="40">
        <f>R446-R449</f>
        <v/>
      </c>
      <c r="S450" s="40">
        <f>S446-S449</f>
        <v/>
      </c>
      <c r="T450" s="40">
        <f>T446-T449</f>
        <v/>
      </c>
      <c r="U450" s="40">
        <f>U446-U449</f>
        <v/>
      </c>
      <c r="V450" s="40">
        <f>V446-V449</f>
        <v/>
      </c>
      <c r="W450" s="40">
        <f>W446-W449</f>
        <v/>
      </c>
      <c r="X450" s="40">
        <f>X446-X449</f>
        <v/>
      </c>
      <c r="Y450" s="40">
        <f>Y446-Y449</f>
        <v/>
      </c>
      <c r="Z450" s="40">
        <f>Z446-Z449</f>
        <v/>
      </c>
      <c r="AA450" s="40">
        <f>AA446-AA449</f>
        <v/>
      </c>
      <c r="AB450" s="40">
        <f>AB446-AB449</f>
        <v/>
      </c>
      <c r="AC450" s="40">
        <f>AC446-AC449</f>
        <v/>
      </c>
      <c r="AD450" s="40">
        <f>AD446-AD449</f>
        <v/>
      </c>
      <c r="AE450" s="40">
        <f>AE446-AE449</f>
        <v/>
      </c>
      <c r="AF450" s="40">
        <f>AF446-AF449</f>
        <v/>
      </c>
      <c r="AG450" s="40">
        <f>AG446-AG449</f>
        <v/>
      </c>
      <c r="AH450" s="40">
        <f>AH446-AH449</f>
        <v/>
      </c>
      <c r="AI450" s="40">
        <f>AI446-AI449</f>
        <v/>
      </c>
      <c r="AJ450" s="40">
        <f>AJ446-AJ449</f>
        <v/>
      </c>
      <c r="AK450" s="40">
        <f>AK446-AK449</f>
        <v/>
      </c>
      <c r="AL450" s="40">
        <f>AL446-AL449</f>
        <v/>
      </c>
      <c r="AM450" s="40">
        <f>AM446-AM449</f>
        <v/>
      </c>
      <c r="AN450" s="40">
        <f>AN446-AN449</f>
        <v/>
      </c>
      <c r="AO450" s="40">
        <f>AO446-AO449</f>
        <v/>
      </c>
      <c r="AP450" s="40">
        <f>AP446-AP449</f>
        <v/>
      </c>
      <c r="AQ450" s="40">
        <f>AQ446-AQ449</f>
        <v/>
      </c>
      <c r="AR450" s="40">
        <f>AR446-AR449</f>
        <v/>
      </c>
      <c r="AS450" s="40">
        <f>AS446-AS449</f>
        <v/>
      </c>
      <c r="AT450" s="40">
        <f>AT446-AT449</f>
        <v/>
      </c>
      <c r="AU450" s="40">
        <f>AU446-AU449</f>
        <v/>
      </c>
      <c r="AV450" s="40">
        <f>AV446-AV449</f>
        <v/>
      </c>
      <c r="AW450" s="40">
        <f>AW446-AW449</f>
        <v/>
      </c>
      <c r="AX450" s="40">
        <f>AX446-AX449</f>
        <v/>
      </c>
      <c r="AY450" s="40">
        <f>AY446-AY449</f>
        <v/>
      </c>
      <c r="AZ450" s="40">
        <f>AZ446-AZ449</f>
        <v/>
      </c>
      <c r="BA450" s="40">
        <f>BA446-BA449</f>
        <v/>
      </c>
      <c r="BB450" s="40">
        <f>BB446-BB449</f>
        <v/>
      </c>
      <c r="BC450" s="40">
        <f>BC446-BC449</f>
        <v/>
      </c>
      <c r="BD450" s="40">
        <f>BD446-BD449</f>
        <v/>
      </c>
    </row>
    <row r="451">
      <c r="A451" s="41" t="inlineStr">
        <is>
          <t>Stock carried out</t>
        </is>
      </c>
      <c r="B451" s="2" t="inlineStr">
        <is>
          <t>lb</t>
        </is>
      </c>
      <c r="E451" s="40">
        <f>E438-E444-E450</f>
        <v/>
      </c>
      <c r="F451" s="40">
        <f>F438-F444-F450</f>
        <v/>
      </c>
      <c r="G451" s="40">
        <f>G438-G444-G450</f>
        <v/>
      </c>
      <c r="H451" s="40">
        <f>H438-H444-H450</f>
        <v/>
      </c>
      <c r="I451" s="40">
        <f>I438-I444-I450</f>
        <v/>
      </c>
      <c r="J451" s="40">
        <f>J438-J444-J450</f>
        <v/>
      </c>
      <c r="K451" s="40">
        <f>K438-K444-K450</f>
        <v/>
      </c>
      <c r="L451" s="40">
        <f>L438-L444-L450</f>
        <v/>
      </c>
      <c r="M451" s="40">
        <f>M438-M444-M450</f>
        <v/>
      </c>
      <c r="N451" s="40">
        <f>N438-N444-N450</f>
        <v/>
      </c>
      <c r="O451" s="40">
        <f>O438-O444-O450</f>
        <v/>
      </c>
      <c r="P451" s="40">
        <f>P438-P444-P450</f>
        <v/>
      </c>
      <c r="Q451" s="40">
        <f>Q438-Q444-Q450</f>
        <v/>
      </c>
      <c r="R451" s="40">
        <f>R438-R444-R450</f>
        <v/>
      </c>
      <c r="S451" s="40">
        <f>S438-S444-S450</f>
        <v/>
      </c>
      <c r="T451" s="40">
        <f>T438-T444-T450</f>
        <v/>
      </c>
      <c r="U451" s="40">
        <f>U438-U444-U450</f>
        <v/>
      </c>
      <c r="V451" s="40">
        <f>V438-V444-V450</f>
        <v/>
      </c>
      <c r="W451" s="40">
        <f>W438-W444-W450</f>
        <v/>
      </c>
      <c r="X451" s="40">
        <f>X438-X444-X450</f>
        <v/>
      </c>
      <c r="Y451" s="40">
        <f>Y438-Y444-Y450</f>
        <v/>
      </c>
      <c r="Z451" s="40">
        <f>Z438-Z444-Z450</f>
        <v/>
      </c>
      <c r="AA451" s="40">
        <f>AA438-AA444-AA450</f>
        <v/>
      </c>
      <c r="AB451" s="40">
        <f>AB438-AB444-AB450</f>
        <v/>
      </c>
      <c r="AC451" s="40">
        <f>AC438-AC444-AC450</f>
        <v/>
      </c>
      <c r="AD451" s="40">
        <f>AD438-AD444-AD450</f>
        <v/>
      </c>
      <c r="AE451" s="40">
        <f>AE438-AE444-AE450</f>
        <v/>
      </c>
      <c r="AF451" s="40">
        <f>AF438-AF444-AF450</f>
        <v/>
      </c>
      <c r="AG451" s="40">
        <f>AG438-AG444-AG450</f>
        <v/>
      </c>
      <c r="AH451" s="40">
        <f>AH438-AH444-AH450</f>
        <v/>
      </c>
      <c r="AI451" s="40">
        <f>AI438-AI444-AI450</f>
        <v/>
      </c>
      <c r="AJ451" s="40">
        <f>AJ438-AJ444-AJ450</f>
        <v/>
      </c>
      <c r="AK451" s="40">
        <f>AK438-AK444-AK450</f>
        <v/>
      </c>
      <c r="AL451" s="40">
        <f>AL438-AL444-AL450</f>
        <v/>
      </c>
      <c r="AM451" s="40">
        <f>AM438-AM444-AM450</f>
        <v/>
      </c>
      <c r="AN451" s="40">
        <f>AN438-AN444-AN450</f>
        <v/>
      </c>
      <c r="AO451" s="40">
        <f>AO438-AO444-AO450</f>
        <v/>
      </c>
      <c r="AP451" s="40">
        <f>AP438-AP444-AP450</f>
        <v/>
      </c>
      <c r="AQ451" s="40">
        <f>AQ438-AQ444-AQ450</f>
        <v/>
      </c>
      <c r="AR451" s="40">
        <f>AR438-AR444-AR450</f>
        <v/>
      </c>
      <c r="AS451" s="40">
        <f>AS438-AS444-AS450</f>
        <v/>
      </c>
      <c r="AT451" s="40">
        <f>AT438-AT444-AT450</f>
        <v/>
      </c>
      <c r="AU451" s="40">
        <f>AU438-AU444-AU450</f>
        <v/>
      </c>
      <c r="AV451" s="40">
        <f>AV438-AV444-AV450</f>
        <v/>
      </c>
      <c r="AW451" s="40">
        <f>AW438-AW444-AW450</f>
        <v/>
      </c>
      <c r="AX451" s="40">
        <f>AX438-AX444-AX450</f>
        <v/>
      </c>
      <c r="AY451" s="40">
        <f>AY438-AY444-AY450</f>
        <v/>
      </c>
      <c r="AZ451" s="40">
        <f>AZ438-AZ444-AZ450</f>
        <v/>
      </c>
      <c r="BA451" s="40">
        <f>BA438-BA444-BA450</f>
        <v/>
      </c>
      <c r="BB451" s="40">
        <f>BB438-BB444-BB450</f>
        <v/>
      </c>
      <c r="BC451" s="40">
        <f>BC438-BC444-BC450</f>
        <v/>
      </c>
      <c r="BD451" s="40">
        <f>BD438-BD444-BD450</f>
        <v/>
      </c>
    </row>
    <row r="452">
      <c r="A452" s="2" t="inlineStr">
        <is>
          <t xml:space="preserve">   ^ subtracts what LEAVES, not what was offered — so 'returned to store' is</t>
        </is>
      </c>
    </row>
    <row r="453">
      <c r="A453" s="2" t="inlineStr">
        <is>
          <t xml:space="preserve">     never taken out at all, and shows up as next week's carried in.</t>
        </is>
      </c>
    </row>
    <row r="454">
      <c r="A454" s="43" t="inlineStr">
        <is>
          <t>Most stock its shelf life allows</t>
        </is>
      </c>
      <c r="B454" s="2" t="inlineStr">
        <is>
          <t>lb</t>
        </is>
      </c>
      <c r="E454" s="42">
        <f>SUMPRODUCT(($E$434:$BD$434&gt;=1-$F$21+2)*($E$434:$BD$434&lt;=1)*$E$435:$BD$435*POWER(1-$G$21,($E$434:$BD$434&lt;=1)*(1-$E$434:$BD$434)))</f>
        <v/>
      </c>
      <c r="F454" s="42">
        <f>SUMPRODUCT(($E$434:$BD$434&gt;=2-$F$21+2)*($E$434:$BD$434&lt;=2)*$E$435:$BD$435*POWER(1-$G$21,($E$434:$BD$434&lt;=2)*(2-$E$434:$BD$434)))</f>
        <v/>
      </c>
      <c r="G454" s="42">
        <f>SUMPRODUCT(($E$434:$BD$434&gt;=3-$F$21+2)*($E$434:$BD$434&lt;=3)*$E$435:$BD$435*POWER(1-$G$21,($E$434:$BD$434&lt;=3)*(3-$E$434:$BD$434)))</f>
        <v/>
      </c>
      <c r="H454" s="42">
        <f>SUMPRODUCT(($E$434:$BD$434&gt;=4-$F$21+2)*($E$434:$BD$434&lt;=4)*$E$435:$BD$435*POWER(1-$G$21,($E$434:$BD$434&lt;=4)*(4-$E$434:$BD$434)))</f>
        <v/>
      </c>
      <c r="I454" s="42">
        <f>SUMPRODUCT(($E$434:$BD$434&gt;=5-$F$21+2)*($E$434:$BD$434&lt;=5)*$E$435:$BD$435*POWER(1-$G$21,($E$434:$BD$434&lt;=5)*(5-$E$434:$BD$434)))</f>
        <v/>
      </c>
      <c r="J454" s="42">
        <f>SUMPRODUCT(($E$434:$BD$434&gt;=6-$F$21+2)*($E$434:$BD$434&lt;=6)*$E$435:$BD$435*POWER(1-$G$21,($E$434:$BD$434&lt;=6)*(6-$E$434:$BD$434)))</f>
        <v/>
      </c>
      <c r="K454" s="42">
        <f>SUMPRODUCT(($E$434:$BD$434&gt;=7-$F$21+2)*($E$434:$BD$434&lt;=7)*$E$435:$BD$435*POWER(1-$G$21,($E$434:$BD$434&lt;=7)*(7-$E$434:$BD$434)))</f>
        <v/>
      </c>
      <c r="L454" s="42">
        <f>SUMPRODUCT(($E$434:$BD$434&gt;=8-$F$21+2)*($E$434:$BD$434&lt;=8)*$E$435:$BD$435*POWER(1-$G$21,($E$434:$BD$434&lt;=8)*(8-$E$434:$BD$434)))</f>
        <v/>
      </c>
      <c r="M454" s="42">
        <f>SUMPRODUCT(($E$434:$BD$434&gt;=9-$F$21+2)*($E$434:$BD$434&lt;=9)*$E$435:$BD$435*POWER(1-$G$21,($E$434:$BD$434&lt;=9)*(9-$E$434:$BD$434)))</f>
        <v/>
      </c>
      <c r="N454" s="42">
        <f>SUMPRODUCT(($E$434:$BD$434&gt;=10-$F$21+2)*($E$434:$BD$434&lt;=10)*$E$435:$BD$435*POWER(1-$G$21,($E$434:$BD$434&lt;=10)*(10-$E$434:$BD$434)))</f>
        <v/>
      </c>
      <c r="O454" s="42">
        <f>SUMPRODUCT(($E$434:$BD$434&gt;=11-$F$21+2)*($E$434:$BD$434&lt;=11)*$E$435:$BD$435*POWER(1-$G$21,($E$434:$BD$434&lt;=11)*(11-$E$434:$BD$434)))</f>
        <v/>
      </c>
      <c r="P454" s="42">
        <f>SUMPRODUCT(($E$434:$BD$434&gt;=12-$F$21+2)*($E$434:$BD$434&lt;=12)*$E$435:$BD$435*POWER(1-$G$21,($E$434:$BD$434&lt;=12)*(12-$E$434:$BD$434)))</f>
        <v/>
      </c>
      <c r="Q454" s="42">
        <f>SUMPRODUCT(($E$434:$BD$434&gt;=13-$F$21+2)*($E$434:$BD$434&lt;=13)*$E$435:$BD$435*POWER(1-$G$21,($E$434:$BD$434&lt;=13)*(13-$E$434:$BD$434)))</f>
        <v/>
      </c>
      <c r="R454" s="42">
        <f>SUMPRODUCT(($E$434:$BD$434&gt;=14-$F$21+2)*($E$434:$BD$434&lt;=14)*$E$435:$BD$435*POWER(1-$G$21,($E$434:$BD$434&lt;=14)*(14-$E$434:$BD$434)))</f>
        <v/>
      </c>
      <c r="S454" s="42">
        <f>SUMPRODUCT(($E$434:$BD$434&gt;=15-$F$21+2)*($E$434:$BD$434&lt;=15)*$E$435:$BD$435*POWER(1-$G$21,($E$434:$BD$434&lt;=15)*(15-$E$434:$BD$434)))</f>
        <v/>
      </c>
      <c r="T454" s="42">
        <f>SUMPRODUCT(($E$434:$BD$434&gt;=16-$F$21+2)*($E$434:$BD$434&lt;=16)*$E$435:$BD$435*POWER(1-$G$21,($E$434:$BD$434&lt;=16)*(16-$E$434:$BD$434)))</f>
        <v/>
      </c>
      <c r="U454" s="42">
        <f>SUMPRODUCT(($E$434:$BD$434&gt;=17-$F$21+2)*($E$434:$BD$434&lt;=17)*$E$435:$BD$435*POWER(1-$G$21,($E$434:$BD$434&lt;=17)*(17-$E$434:$BD$434)))</f>
        <v/>
      </c>
      <c r="V454" s="42">
        <f>SUMPRODUCT(($E$434:$BD$434&gt;=18-$F$21+2)*($E$434:$BD$434&lt;=18)*$E$435:$BD$435*POWER(1-$G$21,($E$434:$BD$434&lt;=18)*(18-$E$434:$BD$434)))</f>
        <v/>
      </c>
      <c r="W454" s="42">
        <f>SUMPRODUCT(($E$434:$BD$434&gt;=19-$F$21+2)*($E$434:$BD$434&lt;=19)*$E$435:$BD$435*POWER(1-$G$21,($E$434:$BD$434&lt;=19)*(19-$E$434:$BD$434)))</f>
        <v/>
      </c>
      <c r="X454" s="42">
        <f>SUMPRODUCT(($E$434:$BD$434&gt;=20-$F$21+2)*($E$434:$BD$434&lt;=20)*$E$435:$BD$435*POWER(1-$G$21,($E$434:$BD$434&lt;=20)*(20-$E$434:$BD$434)))</f>
        <v/>
      </c>
      <c r="Y454" s="42">
        <f>SUMPRODUCT(($E$434:$BD$434&gt;=21-$F$21+2)*($E$434:$BD$434&lt;=21)*$E$435:$BD$435*POWER(1-$G$21,($E$434:$BD$434&lt;=21)*(21-$E$434:$BD$434)))</f>
        <v/>
      </c>
      <c r="Z454" s="42">
        <f>SUMPRODUCT(($E$434:$BD$434&gt;=22-$F$21+2)*($E$434:$BD$434&lt;=22)*$E$435:$BD$435*POWER(1-$G$21,($E$434:$BD$434&lt;=22)*(22-$E$434:$BD$434)))</f>
        <v/>
      </c>
      <c r="AA454" s="42">
        <f>SUMPRODUCT(($E$434:$BD$434&gt;=23-$F$21+2)*($E$434:$BD$434&lt;=23)*$E$435:$BD$435*POWER(1-$G$21,($E$434:$BD$434&lt;=23)*(23-$E$434:$BD$434)))</f>
        <v/>
      </c>
      <c r="AB454" s="42">
        <f>SUMPRODUCT(($E$434:$BD$434&gt;=24-$F$21+2)*($E$434:$BD$434&lt;=24)*$E$435:$BD$435*POWER(1-$G$21,($E$434:$BD$434&lt;=24)*(24-$E$434:$BD$434)))</f>
        <v/>
      </c>
      <c r="AC454" s="42">
        <f>SUMPRODUCT(($E$434:$BD$434&gt;=25-$F$21+2)*($E$434:$BD$434&lt;=25)*$E$435:$BD$435*POWER(1-$G$21,($E$434:$BD$434&lt;=25)*(25-$E$434:$BD$434)))</f>
        <v/>
      </c>
      <c r="AD454" s="42">
        <f>SUMPRODUCT(($E$434:$BD$434&gt;=26-$F$21+2)*($E$434:$BD$434&lt;=26)*$E$435:$BD$435*POWER(1-$G$21,($E$434:$BD$434&lt;=26)*(26-$E$434:$BD$434)))</f>
        <v/>
      </c>
      <c r="AE454" s="42">
        <f>SUMPRODUCT(($E$434:$BD$434&gt;=27-$F$21+2)*($E$434:$BD$434&lt;=27)*$E$435:$BD$435*POWER(1-$G$21,($E$434:$BD$434&lt;=27)*(27-$E$434:$BD$434)))</f>
        <v/>
      </c>
      <c r="AF454" s="42">
        <f>SUMPRODUCT(($E$434:$BD$434&gt;=28-$F$21+2)*($E$434:$BD$434&lt;=28)*$E$435:$BD$435*POWER(1-$G$21,($E$434:$BD$434&lt;=28)*(28-$E$434:$BD$434)))</f>
        <v/>
      </c>
      <c r="AG454" s="42">
        <f>SUMPRODUCT(($E$434:$BD$434&gt;=29-$F$21+2)*($E$434:$BD$434&lt;=29)*$E$435:$BD$435*POWER(1-$G$21,($E$434:$BD$434&lt;=29)*(29-$E$434:$BD$434)))</f>
        <v/>
      </c>
      <c r="AH454" s="42">
        <f>SUMPRODUCT(($E$434:$BD$434&gt;=30-$F$21+2)*($E$434:$BD$434&lt;=30)*$E$435:$BD$435*POWER(1-$G$21,($E$434:$BD$434&lt;=30)*(30-$E$434:$BD$434)))</f>
        <v/>
      </c>
      <c r="AI454" s="42">
        <f>SUMPRODUCT(($E$434:$BD$434&gt;=31-$F$21+2)*($E$434:$BD$434&lt;=31)*$E$435:$BD$435*POWER(1-$G$21,($E$434:$BD$434&lt;=31)*(31-$E$434:$BD$434)))</f>
        <v/>
      </c>
      <c r="AJ454" s="42">
        <f>SUMPRODUCT(($E$434:$BD$434&gt;=32-$F$21+2)*($E$434:$BD$434&lt;=32)*$E$435:$BD$435*POWER(1-$G$21,($E$434:$BD$434&lt;=32)*(32-$E$434:$BD$434)))</f>
        <v/>
      </c>
      <c r="AK454" s="42">
        <f>SUMPRODUCT(($E$434:$BD$434&gt;=33-$F$21+2)*($E$434:$BD$434&lt;=33)*$E$435:$BD$435*POWER(1-$G$21,($E$434:$BD$434&lt;=33)*(33-$E$434:$BD$434)))</f>
        <v/>
      </c>
      <c r="AL454" s="42">
        <f>SUMPRODUCT(($E$434:$BD$434&gt;=34-$F$21+2)*($E$434:$BD$434&lt;=34)*$E$435:$BD$435*POWER(1-$G$21,($E$434:$BD$434&lt;=34)*(34-$E$434:$BD$434)))</f>
        <v/>
      </c>
      <c r="AM454" s="42">
        <f>SUMPRODUCT(($E$434:$BD$434&gt;=35-$F$21+2)*($E$434:$BD$434&lt;=35)*$E$435:$BD$435*POWER(1-$G$21,($E$434:$BD$434&lt;=35)*(35-$E$434:$BD$434)))</f>
        <v/>
      </c>
      <c r="AN454" s="42">
        <f>SUMPRODUCT(($E$434:$BD$434&gt;=36-$F$21+2)*($E$434:$BD$434&lt;=36)*$E$435:$BD$435*POWER(1-$G$21,($E$434:$BD$434&lt;=36)*(36-$E$434:$BD$434)))</f>
        <v/>
      </c>
      <c r="AO454" s="42">
        <f>SUMPRODUCT(($E$434:$BD$434&gt;=37-$F$21+2)*($E$434:$BD$434&lt;=37)*$E$435:$BD$435*POWER(1-$G$21,($E$434:$BD$434&lt;=37)*(37-$E$434:$BD$434)))</f>
        <v/>
      </c>
      <c r="AP454" s="42">
        <f>SUMPRODUCT(($E$434:$BD$434&gt;=38-$F$21+2)*($E$434:$BD$434&lt;=38)*$E$435:$BD$435*POWER(1-$G$21,($E$434:$BD$434&lt;=38)*(38-$E$434:$BD$434)))</f>
        <v/>
      </c>
      <c r="AQ454" s="42">
        <f>SUMPRODUCT(($E$434:$BD$434&gt;=39-$F$21+2)*($E$434:$BD$434&lt;=39)*$E$435:$BD$435*POWER(1-$G$21,($E$434:$BD$434&lt;=39)*(39-$E$434:$BD$434)))</f>
        <v/>
      </c>
      <c r="AR454" s="42">
        <f>SUMPRODUCT(($E$434:$BD$434&gt;=40-$F$21+2)*($E$434:$BD$434&lt;=40)*$E$435:$BD$435*POWER(1-$G$21,($E$434:$BD$434&lt;=40)*(40-$E$434:$BD$434)))</f>
        <v/>
      </c>
      <c r="AS454" s="42">
        <f>SUMPRODUCT(($E$434:$BD$434&gt;=41-$F$21+2)*($E$434:$BD$434&lt;=41)*$E$435:$BD$435*POWER(1-$G$21,($E$434:$BD$434&lt;=41)*(41-$E$434:$BD$434)))</f>
        <v/>
      </c>
      <c r="AT454" s="42">
        <f>SUMPRODUCT(($E$434:$BD$434&gt;=42-$F$21+2)*($E$434:$BD$434&lt;=42)*$E$435:$BD$435*POWER(1-$G$21,($E$434:$BD$434&lt;=42)*(42-$E$434:$BD$434)))</f>
        <v/>
      </c>
      <c r="AU454" s="42">
        <f>SUMPRODUCT(($E$434:$BD$434&gt;=43-$F$21+2)*($E$434:$BD$434&lt;=43)*$E$435:$BD$435*POWER(1-$G$21,($E$434:$BD$434&lt;=43)*(43-$E$434:$BD$434)))</f>
        <v/>
      </c>
      <c r="AV454" s="42">
        <f>SUMPRODUCT(($E$434:$BD$434&gt;=44-$F$21+2)*($E$434:$BD$434&lt;=44)*$E$435:$BD$435*POWER(1-$G$21,($E$434:$BD$434&lt;=44)*(44-$E$434:$BD$434)))</f>
        <v/>
      </c>
      <c r="AW454" s="42">
        <f>SUMPRODUCT(($E$434:$BD$434&gt;=45-$F$21+2)*($E$434:$BD$434&lt;=45)*$E$435:$BD$435*POWER(1-$G$21,($E$434:$BD$434&lt;=45)*(45-$E$434:$BD$434)))</f>
        <v/>
      </c>
      <c r="AX454" s="42">
        <f>SUMPRODUCT(($E$434:$BD$434&gt;=46-$F$21+2)*($E$434:$BD$434&lt;=46)*$E$435:$BD$435*POWER(1-$G$21,($E$434:$BD$434&lt;=46)*(46-$E$434:$BD$434)))</f>
        <v/>
      </c>
      <c r="AY454" s="42">
        <f>SUMPRODUCT(($E$434:$BD$434&gt;=47-$F$21+2)*($E$434:$BD$434&lt;=47)*$E$435:$BD$435*POWER(1-$G$21,($E$434:$BD$434&lt;=47)*(47-$E$434:$BD$434)))</f>
        <v/>
      </c>
      <c r="AZ454" s="42">
        <f>SUMPRODUCT(($E$434:$BD$434&gt;=48-$F$21+2)*($E$434:$BD$434&lt;=48)*$E$435:$BD$435*POWER(1-$G$21,($E$434:$BD$434&lt;=48)*(48-$E$434:$BD$434)))</f>
        <v/>
      </c>
      <c r="BA454" s="42">
        <f>SUMPRODUCT(($E$434:$BD$434&gt;=49-$F$21+2)*($E$434:$BD$434&lt;=49)*$E$435:$BD$435*POWER(1-$G$21,($E$434:$BD$434&lt;=49)*(49-$E$434:$BD$434)))</f>
        <v/>
      </c>
      <c r="BB454" s="42">
        <f>SUMPRODUCT(($E$434:$BD$434&gt;=50-$F$21+2)*($E$434:$BD$434&lt;=50)*$E$435:$BD$435*POWER(1-$G$21,($E$434:$BD$434&lt;=50)*(50-$E$434:$BD$434)))</f>
        <v/>
      </c>
      <c r="BC454" s="42">
        <f>SUMPRODUCT(($E$434:$BD$434&gt;=51-$F$21+2)*($E$434:$BD$434&lt;=51)*$E$435:$BD$435*POWER(1-$G$21,($E$434:$BD$434&lt;=51)*(51-$E$434:$BD$434)))</f>
        <v/>
      </c>
      <c r="BD454" s="42">
        <f>SUMPRODUCT(($E$434:$BD$434&gt;=52-$F$21+2)*($E$434:$BD$434&lt;=52)*$E$435:$BD$435*POWER(1-$G$21,($E$434:$BD$434&lt;=52)*(52-$E$434:$BD$434)))</f>
        <v/>
      </c>
    </row>
    <row r="455">
      <c r="A455" s="2" t="inlineStr">
        <is>
          <t xml:space="preserve">   Stock carried out must stay at or below this row.</t>
        </is>
      </c>
    </row>
    <row r="456">
      <c r="A456" s="33" t="inlineStr">
        <is>
          <t>Growing cost this week</t>
        </is>
      </c>
      <c r="B456" s="2" t="inlineStr">
        <is>
          <t>$</t>
        </is>
      </c>
      <c r="E456" s="40">
        <f>SUMPRODUCT(($B$91:$B$230="Asparagus")*(E$91:E$230="P")*$C$91:$C$230)*$K$21+SUMPRODUCT(($B$91:$B$230="Asparagus")*(E$91:E$230="G")*$C$91:$C$230)*$L$21+SUMPRODUCT(($B$91:$B$230="Asparagus")*(E$91:E$230="H")*$C$91:$C$230)*$M$21+SUMPRODUCT(($B$91:$B$230="Asparagus")*($BG$91:$BG$230=1)*$C$91:$C$230)*$H$21</f>
        <v/>
      </c>
      <c r="F456" s="40">
        <f>SUMPRODUCT(($B$91:$B$230="Asparagus")*(F$91:F$230="P")*$C$91:$C$230)*$K$21+SUMPRODUCT(($B$91:$B$230="Asparagus")*(F$91:F$230="G")*$C$91:$C$230)*$L$21+SUMPRODUCT(($B$91:$B$230="Asparagus")*(F$91:F$230="H")*$C$91:$C$230)*$M$21+SUMPRODUCT(($B$91:$B$230="Asparagus")*($BG$91:$BG$230=2)*$C$91:$C$230)*$H$21</f>
        <v/>
      </c>
      <c r="G456" s="40">
        <f>SUMPRODUCT(($B$91:$B$230="Asparagus")*(G$91:G$230="P")*$C$91:$C$230)*$K$21+SUMPRODUCT(($B$91:$B$230="Asparagus")*(G$91:G$230="G")*$C$91:$C$230)*$L$21+SUMPRODUCT(($B$91:$B$230="Asparagus")*(G$91:G$230="H")*$C$91:$C$230)*$M$21+SUMPRODUCT(($B$91:$B$230="Asparagus")*($BG$91:$BG$230=3)*$C$91:$C$230)*$H$21</f>
        <v/>
      </c>
      <c r="H456" s="40">
        <f>SUMPRODUCT(($B$91:$B$230="Asparagus")*(H$91:H$230="P")*$C$91:$C$230)*$K$21+SUMPRODUCT(($B$91:$B$230="Asparagus")*(H$91:H$230="G")*$C$91:$C$230)*$L$21+SUMPRODUCT(($B$91:$B$230="Asparagus")*(H$91:H$230="H")*$C$91:$C$230)*$M$21+SUMPRODUCT(($B$91:$B$230="Asparagus")*($BG$91:$BG$230=4)*$C$91:$C$230)*$H$21</f>
        <v/>
      </c>
      <c r="I456" s="40">
        <f>SUMPRODUCT(($B$91:$B$230="Asparagus")*(I$91:I$230="P")*$C$91:$C$230)*$K$21+SUMPRODUCT(($B$91:$B$230="Asparagus")*(I$91:I$230="G")*$C$91:$C$230)*$L$21+SUMPRODUCT(($B$91:$B$230="Asparagus")*(I$91:I$230="H")*$C$91:$C$230)*$M$21+SUMPRODUCT(($B$91:$B$230="Asparagus")*($BG$91:$BG$230=5)*$C$91:$C$230)*$H$21</f>
        <v/>
      </c>
      <c r="J456" s="40">
        <f>SUMPRODUCT(($B$91:$B$230="Asparagus")*(J$91:J$230="P")*$C$91:$C$230)*$K$21+SUMPRODUCT(($B$91:$B$230="Asparagus")*(J$91:J$230="G")*$C$91:$C$230)*$L$21+SUMPRODUCT(($B$91:$B$230="Asparagus")*(J$91:J$230="H")*$C$91:$C$230)*$M$21+SUMPRODUCT(($B$91:$B$230="Asparagus")*($BG$91:$BG$230=6)*$C$91:$C$230)*$H$21</f>
        <v/>
      </c>
      <c r="K456" s="40">
        <f>SUMPRODUCT(($B$91:$B$230="Asparagus")*(K$91:K$230="P")*$C$91:$C$230)*$K$21+SUMPRODUCT(($B$91:$B$230="Asparagus")*(K$91:K$230="G")*$C$91:$C$230)*$L$21+SUMPRODUCT(($B$91:$B$230="Asparagus")*(K$91:K$230="H")*$C$91:$C$230)*$M$21+SUMPRODUCT(($B$91:$B$230="Asparagus")*($BG$91:$BG$230=7)*$C$91:$C$230)*$H$21</f>
        <v/>
      </c>
      <c r="L456" s="40">
        <f>SUMPRODUCT(($B$91:$B$230="Asparagus")*(L$91:L$230="P")*$C$91:$C$230)*$K$21+SUMPRODUCT(($B$91:$B$230="Asparagus")*(L$91:L$230="G")*$C$91:$C$230)*$L$21+SUMPRODUCT(($B$91:$B$230="Asparagus")*(L$91:L$230="H")*$C$91:$C$230)*$M$21+SUMPRODUCT(($B$91:$B$230="Asparagus")*($BG$91:$BG$230=8)*$C$91:$C$230)*$H$21</f>
        <v/>
      </c>
      <c r="M456" s="40">
        <f>SUMPRODUCT(($B$91:$B$230="Asparagus")*(M$91:M$230="P")*$C$91:$C$230)*$K$21+SUMPRODUCT(($B$91:$B$230="Asparagus")*(M$91:M$230="G")*$C$91:$C$230)*$L$21+SUMPRODUCT(($B$91:$B$230="Asparagus")*(M$91:M$230="H")*$C$91:$C$230)*$M$21+SUMPRODUCT(($B$91:$B$230="Asparagus")*($BG$91:$BG$230=9)*$C$91:$C$230)*$H$21</f>
        <v/>
      </c>
      <c r="N456" s="40">
        <f>SUMPRODUCT(($B$91:$B$230="Asparagus")*(N$91:N$230="P")*$C$91:$C$230)*$K$21+SUMPRODUCT(($B$91:$B$230="Asparagus")*(N$91:N$230="G")*$C$91:$C$230)*$L$21+SUMPRODUCT(($B$91:$B$230="Asparagus")*(N$91:N$230="H")*$C$91:$C$230)*$M$21+SUMPRODUCT(($B$91:$B$230="Asparagus")*($BG$91:$BG$230=10)*$C$91:$C$230)*$H$21</f>
        <v/>
      </c>
      <c r="O456" s="40">
        <f>SUMPRODUCT(($B$91:$B$230="Asparagus")*(O$91:O$230="P")*$C$91:$C$230)*$K$21+SUMPRODUCT(($B$91:$B$230="Asparagus")*(O$91:O$230="G")*$C$91:$C$230)*$L$21+SUMPRODUCT(($B$91:$B$230="Asparagus")*(O$91:O$230="H")*$C$91:$C$230)*$M$21+SUMPRODUCT(($B$91:$B$230="Asparagus")*($BG$91:$BG$230=11)*$C$91:$C$230)*$H$21</f>
        <v/>
      </c>
      <c r="P456" s="40">
        <f>SUMPRODUCT(($B$91:$B$230="Asparagus")*(P$91:P$230="P")*$C$91:$C$230)*$K$21+SUMPRODUCT(($B$91:$B$230="Asparagus")*(P$91:P$230="G")*$C$91:$C$230)*$L$21+SUMPRODUCT(($B$91:$B$230="Asparagus")*(P$91:P$230="H")*$C$91:$C$230)*$M$21+SUMPRODUCT(($B$91:$B$230="Asparagus")*($BG$91:$BG$230=12)*$C$91:$C$230)*$H$21</f>
        <v/>
      </c>
      <c r="Q456" s="40">
        <f>SUMPRODUCT(($B$91:$B$230="Asparagus")*(Q$91:Q$230="P")*$C$91:$C$230)*$K$21+SUMPRODUCT(($B$91:$B$230="Asparagus")*(Q$91:Q$230="G")*$C$91:$C$230)*$L$21+SUMPRODUCT(($B$91:$B$230="Asparagus")*(Q$91:Q$230="H")*$C$91:$C$230)*$M$21+SUMPRODUCT(($B$91:$B$230="Asparagus")*($BG$91:$BG$230=13)*$C$91:$C$230)*$H$21</f>
        <v/>
      </c>
      <c r="R456" s="40">
        <f>SUMPRODUCT(($B$91:$B$230="Asparagus")*(R$91:R$230="P")*$C$91:$C$230)*$K$21+SUMPRODUCT(($B$91:$B$230="Asparagus")*(R$91:R$230="G")*$C$91:$C$230)*$L$21+SUMPRODUCT(($B$91:$B$230="Asparagus")*(R$91:R$230="H")*$C$91:$C$230)*$M$21+SUMPRODUCT(($B$91:$B$230="Asparagus")*($BG$91:$BG$230=14)*$C$91:$C$230)*$H$21</f>
        <v/>
      </c>
      <c r="S456" s="40">
        <f>SUMPRODUCT(($B$91:$B$230="Asparagus")*(S$91:S$230="P")*$C$91:$C$230)*$K$21+SUMPRODUCT(($B$91:$B$230="Asparagus")*(S$91:S$230="G")*$C$91:$C$230)*$L$21+SUMPRODUCT(($B$91:$B$230="Asparagus")*(S$91:S$230="H")*$C$91:$C$230)*$M$21+SUMPRODUCT(($B$91:$B$230="Asparagus")*($BG$91:$BG$230=15)*$C$91:$C$230)*$H$21</f>
        <v/>
      </c>
      <c r="T456" s="40">
        <f>SUMPRODUCT(($B$91:$B$230="Asparagus")*(T$91:T$230="P")*$C$91:$C$230)*$K$21+SUMPRODUCT(($B$91:$B$230="Asparagus")*(T$91:T$230="G")*$C$91:$C$230)*$L$21+SUMPRODUCT(($B$91:$B$230="Asparagus")*(T$91:T$230="H")*$C$91:$C$230)*$M$21+SUMPRODUCT(($B$91:$B$230="Asparagus")*($BG$91:$BG$230=16)*$C$91:$C$230)*$H$21</f>
        <v/>
      </c>
      <c r="U456" s="40">
        <f>SUMPRODUCT(($B$91:$B$230="Asparagus")*(U$91:U$230="P")*$C$91:$C$230)*$K$21+SUMPRODUCT(($B$91:$B$230="Asparagus")*(U$91:U$230="G")*$C$91:$C$230)*$L$21+SUMPRODUCT(($B$91:$B$230="Asparagus")*(U$91:U$230="H")*$C$91:$C$230)*$M$21+SUMPRODUCT(($B$91:$B$230="Asparagus")*($BG$91:$BG$230=17)*$C$91:$C$230)*$H$21</f>
        <v/>
      </c>
      <c r="V456" s="40">
        <f>SUMPRODUCT(($B$91:$B$230="Asparagus")*(V$91:V$230="P")*$C$91:$C$230)*$K$21+SUMPRODUCT(($B$91:$B$230="Asparagus")*(V$91:V$230="G")*$C$91:$C$230)*$L$21+SUMPRODUCT(($B$91:$B$230="Asparagus")*(V$91:V$230="H")*$C$91:$C$230)*$M$21+SUMPRODUCT(($B$91:$B$230="Asparagus")*($BG$91:$BG$230=18)*$C$91:$C$230)*$H$21</f>
        <v/>
      </c>
      <c r="W456" s="40">
        <f>SUMPRODUCT(($B$91:$B$230="Asparagus")*(W$91:W$230="P")*$C$91:$C$230)*$K$21+SUMPRODUCT(($B$91:$B$230="Asparagus")*(W$91:W$230="G")*$C$91:$C$230)*$L$21+SUMPRODUCT(($B$91:$B$230="Asparagus")*(W$91:W$230="H")*$C$91:$C$230)*$M$21+SUMPRODUCT(($B$91:$B$230="Asparagus")*($BG$91:$BG$230=19)*$C$91:$C$230)*$H$21</f>
        <v/>
      </c>
      <c r="X456" s="40">
        <f>SUMPRODUCT(($B$91:$B$230="Asparagus")*(X$91:X$230="P")*$C$91:$C$230)*$K$21+SUMPRODUCT(($B$91:$B$230="Asparagus")*(X$91:X$230="G")*$C$91:$C$230)*$L$21+SUMPRODUCT(($B$91:$B$230="Asparagus")*(X$91:X$230="H")*$C$91:$C$230)*$M$21+SUMPRODUCT(($B$91:$B$230="Asparagus")*($BG$91:$BG$230=20)*$C$91:$C$230)*$H$21</f>
        <v/>
      </c>
      <c r="Y456" s="40">
        <f>SUMPRODUCT(($B$91:$B$230="Asparagus")*(Y$91:Y$230="P")*$C$91:$C$230)*$K$21+SUMPRODUCT(($B$91:$B$230="Asparagus")*(Y$91:Y$230="G")*$C$91:$C$230)*$L$21+SUMPRODUCT(($B$91:$B$230="Asparagus")*(Y$91:Y$230="H")*$C$91:$C$230)*$M$21+SUMPRODUCT(($B$91:$B$230="Asparagus")*($BG$91:$BG$230=21)*$C$91:$C$230)*$H$21</f>
        <v/>
      </c>
      <c r="Z456" s="40">
        <f>SUMPRODUCT(($B$91:$B$230="Asparagus")*(Z$91:Z$230="P")*$C$91:$C$230)*$K$21+SUMPRODUCT(($B$91:$B$230="Asparagus")*(Z$91:Z$230="G")*$C$91:$C$230)*$L$21+SUMPRODUCT(($B$91:$B$230="Asparagus")*(Z$91:Z$230="H")*$C$91:$C$230)*$M$21+SUMPRODUCT(($B$91:$B$230="Asparagus")*($BG$91:$BG$230=22)*$C$91:$C$230)*$H$21</f>
        <v/>
      </c>
      <c r="AA456" s="40">
        <f>SUMPRODUCT(($B$91:$B$230="Asparagus")*(AA$91:AA$230="P")*$C$91:$C$230)*$K$21+SUMPRODUCT(($B$91:$B$230="Asparagus")*(AA$91:AA$230="G")*$C$91:$C$230)*$L$21+SUMPRODUCT(($B$91:$B$230="Asparagus")*(AA$91:AA$230="H")*$C$91:$C$230)*$M$21+SUMPRODUCT(($B$91:$B$230="Asparagus")*($BG$91:$BG$230=23)*$C$91:$C$230)*$H$21</f>
        <v/>
      </c>
      <c r="AB456" s="40">
        <f>SUMPRODUCT(($B$91:$B$230="Asparagus")*(AB$91:AB$230="P")*$C$91:$C$230)*$K$21+SUMPRODUCT(($B$91:$B$230="Asparagus")*(AB$91:AB$230="G")*$C$91:$C$230)*$L$21+SUMPRODUCT(($B$91:$B$230="Asparagus")*(AB$91:AB$230="H")*$C$91:$C$230)*$M$21+SUMPRODUCT(($B$91:$B$230="Asparagus")*($BG$91:$BG$230=24)*$C$91:$C$230)*$H$21</f>
        <v/>
      </c>
      <c r="AC456" s="40">
        <f>SUMPRODUCT(($B$91:$B$230="Asparagus")*(AC$91:AC$230="P")*$C$91:$C$230)*$K$21+SUMPRODUCT(($B$91:$B$230="Asparagus")*(AC$91:AC$230="G")*$C$91:$C$230)*$L$21+SUMPRODUCT(($B$91:$B$230="Asparagus")*(AC$91:AC$230="H")*$C$91:$C$230)*$M$21+SUMPRODUCT(($B$91:$B$230="Asparagus")*($BG$91:$BG$230=25)*$C$91:$C$230)*$H$21</f>
        <v/>
      </c>
      <c r="AD456" s="40">
        <f>SUMPRODUCT(($B$91:$B$230="Asparagus")*(AD$91:AD$230="P")*$C$91:$C$230)*$K$21+SUMPRODUCT(($B$91:$B$230="Asparagus")*(AD$91:AD$230="G")*$C$91:$C$230)*$L$21+SUMPRODUCT(($B$91:$B$230="Asparagus")*(AD$91:AD$230="H")*$C$91:$C$230)*$M$21+SUMPRODUCT(($B$91:$B$230="Asparagus")*($BG$91:$BG$230=26)*$C$91:$C$230)*$H$21</f>
        <v/>
      </c>
      <c r="AE456" s="40">
        <f>SUMPRODUCT(($B$91:$B$230="Asparagus")*(AE$91:AE$230="P")*$C$91:$C$230)*$K$21+SUMPRODUCT(($B$91:$B$230="Asparagus")*(AE$91:AE$230="G")*$C$91:$C$230)*$L$21+SUMPRODUCT(($B$91:$B$230="Asparagus")*(AE$91:AE$230="H")*$C$91:$C$230)*$M$21+SUMPRODUCT(($B$91:$B$230="Asparagus")*($BG$91:$BG$230=27)*$C$91:$C$230)*$H$21</f>
        <v/>
      </c>
      <c r="AF456" s="40">
        <f>SUMPRODUCT(($B$91:$B$230="Asparagus")*(AF$91:AF$230="P")*$C$91:$C$230)*$K$21+SUMPRODUCT(($B$91:$B$230="Asparagus")*(AF$91:AF$230="G")*$C$91:$C$230)*$L$21+SUMPRODUCT(($B$91:$B$230="Asparagus")*(AF$91:AF$230="H")*$C$91:$C$230)*$M$21+SUMPRODUCT(($B$91:$B$230="Asparagus")*($BG$91:$BG$230=28)*$C$91:$C$230)*$H$21</f>
        <v/>
      </c>
      <c r="AG456" s="40">
        <f>SUMPRODUCT(($B$91:$B$230="Asparagus")*(AG$91:AG$230="P")*$C$91:$C$230)*$K$21+SUMPRODUCT(($B$91:$B$230="Asparagus")*(AG$91:AG$230="G")*$C$91:$C$230)*$L$21+SUMPRODUCT(($B$91:$B$230="Asparagus")*(AG$91:AG$230="H")*$C$91:$C$230)*$M$21+SUMPRODUCT(($B$91:$B$230="Asparagus")*($BG$91:$BG$230=29)*$C$91:$C$230)*$H$21</f>
        <v/>
      </c>
      <c r="AH456" s="40">
        <f>SUMPRODUCT(($B$91:$B$230="Asparagus")*(AH$91:AH$230="P")*$C$91:$C$230)*$K$21+SUMPRODUCT(($B$91:$B$230="Asparagus")*(AH$91:AH$230="G")*$C$91:$C$230)*$L$21+SUMPRODUCT(($B$91:$B$230="Asparagus")*(AH$91:AH$230="H")*$C$91:$C$230)*$M$21+SUMPRODUCT(($B$91:$B$230="Asparagus")*($BG$91:$BG$230=30)*$C$91:$C$230)*$H$21</f>
        <v/>
      </c>
      <c r="AI456" s="40">
        <f>SUMPRODUCT(($B$91:$B$230="Asparagus")*(AI$91:AI$230="P")*$C$91:$C$230)*$K$21+SUMPRODUCT(($B$91:$B$230="Asparagus")*(AI$91:AI$230="G")*$C$91:$C$230)*$L$21+SUMPRODUCT(($B$91:$B$230="Asparagus")*(AI$91:AI$230="H")*$C$91:$C$230)*$M$21+SUMPRODUCT(($B$91:$B$230="Asparagus")*($BG$91:$BG$230=31)*$C$91:$C$230)*$H$21</f>
        <v/>
      </c>
      <c r="AJ456" s="40">
        <f>SUMPRODUCT(($B$91:$B$230="Asparagus")*(AJ$91:AJ$230="P")*$C$91:$C$230)*$K$21+SUMPRODUCT(($B$91:$B$230="Asparagus")*(AJ$91:AJ$230="G")*$C$91:$C$230)*$L$21+SUMPRODUCT(($B$91:$B$230="Asparagus")*(AJ$91:AJ$230="H")*$C$91:$C$230)*$M$21+SUMPRODUCT(($B$91:$B$230="Asparagus")*($BG$91:$BG$230=32)*$C$91:$C$230)*$H$21</f>
        <v/>
      </c>
      <c r="AK456" s="40">
        <f>SUMPRODUCT(($B$91:$B$230="Asparagus")*(AK$91:AK$230="P")*$C$91:$C$230)*$K$21+SUMPRODUCT(($B$91:$B$230="Asparagus")*(AK$91:AK$230="G")*$C$91:$C$230)*$L$21+SUMPRODUCT(($B$91:$B$230="Asparagus")*(AK$91:AK$230="H")*$C$91:$C$230)*$M$21+SUMPRODUCT(($B$91:$B$230="Asparagus")*($BG$91:$BG$230=33)*$C$91:$C$230)*$H$21</f>
        <v/>
      </c>
      <c r="AL456" s="40">
        <f>SUMPRODUCT(($B$91:$B$230="Asparagus")*(AL$91:AL$230="P")*$C$91:$C$230)*$K$21+SUMPRODUCT(($B$91:$B$230="Asparagus")*(AL$91:AL$230="G")*$C$91:$C$230)*$L$21+SUMPRODUCT(($B$91:$B$230="Asparagus")*(AL$91:AL$230="H")*$C$91:$C$230)*$M$21+SUMPRODUCT(($B$91:$B$230="Asparagus")*($BG$91:$BG$230=34)*$C$91:$C$230)*$H$21</f>
        <v/>
      </c>
      <c r="AM456" s="40">
        <f>SUMPRODUCT(($B$91:$B$230="Asparagus")*(AM$91:AM$230="P")*$C$91:$C$230)*$K$21+SUMPRODUCT(($B$91:$B$230="Asparagus")*(AM$91:AM$230="G")*$C$91:$C$230)*$L$21+SUMPRODUCT(($B$91:$B$230="Asparagus")*(AM$91:AM$230="H")*$C$91:$C$230)*$M$21+SUMPRODUCT(($B$91:$B$230="Asparagus")*($BG$91:$BG$230=35)*$C$91:$C$230)*$H$21</f>
        <v/>
      </c>
      <c r="AN456" s="40">
        <f>SUMPRODUCT(($B$91:$B$230="Asparagus")*(AN$91:AN$230="P")*$C$91:$C$230)*$K$21+SUMPRODUCT(($B$91:$B$230="Asparagus")*(AN$91:AN$230="G")*$C$91:$C$230)*$L$21+SUMPRODUCT(($B$91:$B$230="Asparagus")*(AN$91:AN$230="H")*$C$91:$C$230)*$M$21+SUMPRODUCT(($B$91:$B$230="Asparagus")*($BG$91:$BG$230=36)*$C$91:$C$230)*$H$21</f>
        <v/>
      </c>
      <c r="AO456" s="40">
        <f>SUMPRODUCT(($B$91:$B$230="Asparagus")*(AO$91:AO$230="P")*$C$91:$C$230)*$K$21+SUMPRODUCT(($B$91:$B$230="Asparagus")*(AO$91:AO$230="G")*$C$91:$C$230)*$L$21+SUMPRODUCT(($B$91:$B$230="Asparagus")*(AO$91:AO$230="H")*$C$91:$C$230)*$M$21+SUMPRODUCT(($B$91:$B$230="Asparagus")*($BG$91:$BG$230=37)*$C$91:$C$230)*$H$21</f>
        <v/>
      </c>
      <c r="AP456" s="40">
        <f>SUMPRODUCT(($B$91:$B$230="Asparagus")*(AP$91:AP$230="P")*$C$91:$C$230)*$K$21+SUMPRODUCT(($B$91:$B$230="Asparagus")*(AP$91:AP$230="G")*$C$91:$C$230)*$L$21+SUMPRODUCT(($B$91:$B$230="Asparagus")*(AP$91:AP$230="H")*$C$91:$C$230)*$M$21+SUMPRODUCT(($B$91:$B$230="Asparagus")*($BG$91:$BG$230=38)*$C$91:$C$230)*$H$21</f>
        <v/>
      </c>
      <c r="AQ456" s="40">
        <f>SUMPRODUCT(($B$91:$B$230="Asparagus")*(AQ$91:AQ$230="P")*$C$91:$C$230)*$K$21+SUMPRODUCT(($B$91:$B$230="Asparagus")*(AQ$91:AQ$230="G")*$C$91:$C$230)*$L$21+SUMPRODUCT(($B$91:$B$230="Asparagus")*(AQ$91:AQ$230="H")*$C$91:$C$230)*$M$21+SUMPRODUCT(($B$91:$B$230="Asparagus")*($BG$91:$BG$230=39)*$C$91:$C$230)*$H$21</f>
        <v/>
      </c>
      <c r="AR456" s="40">
        <f>SUMPRODUCT(($B$91:$B$230="Asparagus")*(AR$91:AR$230="P")*$C$91:$C$230)*$K$21+SUMPRODUCT(($B$91:$B$230="Asparagus")*(AR$91:AR$230="G")*$C$91:$C$230)*$L$21+SUMPRODUCT(($B$91:$B$230="Asparagus")*(AR$91:AR$230="H")*$C$91:$C$230)*$M$21+SUMPRODUCT(($B$91:$B$230="Asparagus")*($BG$91:$BG$230=40)*$C$91:$C$230)*$H$21</f>
        <v/>
      </c>
      <c r="AS456" s="40">
        <f>SUMPRODUCT(($B$91:$B$230="Asparagus")*(AS$91:AS$230="P")*$C$91:$C$230)*$K$21+SUMPRODUCT(($B$91:$B$230="Asparagus")*(AS$91:AS$230="G")*$C$91:$C$230)*$L$21+SUMPRODUCT(($B$91:$B$230="Asparagus")*(AS$91:AS$230="H")*$C$91:$C$230)*$M$21+SUMPRODUCT(($B$91:$B$230="Asparagus")*($BG$91:$BG$230=41)*$C$91:$C$230)*$H$21</f>
        <v/>
      </c>
      <c r="AT456" s="40">
        <f>SUMPRODUCT(($B$91:$B$230="Asparagus")*(AT$91:AT$230="P")*$C$91:$C$230)*$K$21+SUMPRODUCT(($B$91:$B$230="Asparagus")*(AT$91:AT$230="G")*$C$91:$C$230)*$L$21+SUMPRODUCT(($B$91:$B$230="Asparagus")*(AT$91:AT$230="H")*$C$91:$C$230)*$M$21+SUMPRODUCT(($B$91:$B$230="Asparagus")*($BG$91:$BG$230=42)*$C$91:$C$230)*$H$21</f>
        <v/>
      </c>
      <c r="AU456" s="40">
        <f>SUMPRODUCT(($B$91:$B$230="Asparagus")*(AU$91:AU$230="P")*$C$91:$C$230)*$K$21+SUMPRODUCT(($B$91:$B$230="Asparagus")*(AU$91:AU$230="G")*$C$91:$C$230)*$L$21+SUMPRODUCT(($B$91:$B$230="Asparagus")*(AU$91:AU$230="H")*$C$91:$C$230)*$M$21+SUMPRODUCT(($B$91:$B$230="Asparagus")*($BG$91:$BG$230=43)*$C$91:$C$230)*$H$21</f>
        <v/>
      </c>
      <c r="AV456" s="40">
        <f>SUMPRODUCT(($B$91:$B$230="Asparagus")*(AV$91:AV$230="P")*$C$91:$C$230)*$K$21+SUMPRODUCT(($B$91:$B$230="Asparagus")*(AV$91:AV$230="G")*$C$91:$C$230)*$L$21+SUMPRODUCT(($B$91:$B$230="Asparagus")*(AV$91:AV$230="H")*$C$91:$C$230)*$M$21+SUMPRODUCT(($B$91:$B$230="Asparagus")*($BG$91:$BG$230=44)*$C$91:$C$230)*$H$21</f>
        <v/>
      </c>
      <c r="AW456" s="40">
        <f>SUMPRODUCT(($B$91:$B$230="Asparagus")*(AW$91:AW$230="P")*$C$91:$C$230)*$K$21+SUMPRODUCT(($B$91:$B$230="Asparagus")*(AW$91:AW$230="G")*$C$91:$C$230)*$L$21+SUMPRODUCT(($B$91:$B$230="Asparagus")*(AW$91:AW$230="H")*$C$91:$C$230)*$M$21+SUMPRODUCT(($B$91:$B$230="Asparagus")*($BG$91:$BG$230=45)*$C$91:$C$230)*$H$21</f>
        <v/>
      </c>
      <c r="AX456" s="40">
        <f>SUMPRODUCT(($B$91:$B$230="Asparagus")*(AX$91:AX$230="P")*$C$91:$C$230)*$K$21+SUMPRODUCT(($B$91:$B$230="Asparagus")*(AX$91:AX$230="G")*$C$91:$C$230)*$L$21+SUMPRODUCT(($B$91:$B$230="Asparagus")*(AX$91:AX$230="H")*$C$91:$C$230)*$M$21+SUMPRODUCT(($B$91:$B$230="Asparagus")*($BG$91:$BG$230=46)*$C$91:$C$230)*$H$21</f>
        <v/>
      </c>
      <c r="AY456" s="40">
        <f>SUMPRODUCT(($B$91:$B$230="Asparagus")*(AY$91:AY$230="P")*$C$91:$C$230)*$K$21+SUMPRODUCT(($B$91:$B$230="Asparagus")*(AY$91:AY$230="G")*$C$91:$C$230)*$L$21+SUMPRODUCT(($B$91:$B$230="Asparagus")*(AY$91:AY$230="H")*$C$91:$C$230)*$M$21+SUMPRODUCT(($B$91:$B$230="Asparagus")*($BG$91:$BG$230=47)*$C$91:$C$230)*$H$21</f>
        <v/>
      </c>
      <c r="AZ456" s="40">
        <f>SUMPRODUCT(($B$91:$B$230="Asparagus")*(AZ$91:AZ$230="P")*$C$91:$C$230)*$K$21+SUMPRODUCT(($B$91:$B$230="Asparagus")*(AZ$91:AZ$230="G")*$C$91:$C$230)*$L$21+SUMPRODUCT(($B$91:$B$230="Asparagus")*(AZ$91:AZ$230="H")*$C$91:$C$230)*$M$21+SUMPRODUCT(($B$91:$B$230="Asparagus")*($BG$91:$BG$230=48)*$C$91:$C$230)*$H$21</f>
        <v/>
      </c>
      <c r="BA456" s="40">
        <f>SUMPRODUCT(($B$91:$B$230="Asparagus")*(BA$91:BA$230="P")*$C$91:$C$230)*$K$21+SUMPRODUCT(($B$91:$B$230="Asparagus")*(BA$91:BA$230="G")*$C$91:$C$230)*$L$21+SUMPRODUCT(($B$91:$B$230="Asparagus")*(BA$91:BA$230="H")*$C$91:$C$230)*$M$21+SUMPRODUCT(($B$91:$B$230="Asparagus")*($BG$91:$BG$230=49)*$C$91:$C$230)*$H$21</f>
        <v/>
      </c>
      <c r="BB456" s="40">
        <f>SUMPRODUCT(($B$91:$B$230="Asparagus")*(BB$91:BB$230="P")*$C$91:$C$230)*$K$21+SUMPRODUCT(($B$91:$B$230="Asparagus")*(BB$91:BB$230="G")*$C$91:$C$230)*$L$21+SUMPRODUCT(($B$91:$B$230="Asparagus")*(BB$91:BB$230="H")*$C$91:$C$230)*$M$21+SUMPRODUCT(($B$91:$B$230="Asparagus")*($BG$91:$BG$230=50)*$C$91:$C$230)*$H$21</f>
        <v/>
      </c>
      <c r="BC456" s="40">
        <f>SUMPRODUCT(($B$91:$B$230="Asparagus")*(BC$91:BC$230="P")*$C$91:$C$230)*$K$21+SUMPRODUCT(($B$91:$B$230="Asparagus")*(BC$91:BC$230="G")*$C$91:$C$230)*$L$21+SUMPRODUCT(($B$91:$B$230="Asparagus")*(BC$91:BC$230="H")*$C$91:$C$230)*$M$21+SUMPRODUCT(($B$91:$B$230="Asparagus")*($BG$91:$BG$230=51)*$C$91:$C$230)*$H$21</f>
        <v/>
      </c>
      <c r="BD456" s="40">
        <f>SUMPRODUCT(($B$91:$B$230="Asparagus")*(BD$91:BD$230="P")*$C$91:$C$230)*$K$21+SUMPRODUCT(($B$91:$B$230="Asparagus")*(BD$91:BD$230="G")*$C$91:$C$230)*$L$21+SUMPRODUCT(($B$91:$B$230="Asparagus")*(BD$91:BD$230="H")*$C$91:$C$230)*$M$21+SUMPRODUCT(($B$91:$B$230="Asparagus")*($BG$91:$BG$230=52)*$C$91:$C$230)*$H$21</f>
        <v/>
      </c>
    </row>
    <row r="457">
      <c r="A457" s="33" t="inlineStr">
        <is>
          <t>Packaging this week</t>
        </is>
      </c>
      <c r="B457" s="2" t="inlineStr">
        <is>
          <t>$</t>
        </is>
      </c>
      <c r="E457" s="40">
        <f>E441*$J$43+E447*$J$44</f>
        <v/>
      </c>
      <c r="F457" s="40">
        <f>F441*$J$43+F447*$J$44</f>
        <v/>
      </c>
      <c r="G457" s="40">
        <f>G441*$J$43+G447*$J$44</f>
        <v/>
      </c>
      <c r="H457" s="40">
        <f>H441*$J$43+H447*$J$44</f>
        <v/>
      </c>
      <c r="I457" s="40">
        <f>I441*$J$43+I447*$J$44</f>
        <v/>
      </c>
      <c r="J457" s="40">
        <f>J441*$J$43+J447*$J$44</f>
        <v/>
      </c>
      <c r="K457" s="40">
        <f>K441*$J$43+K447*$J$44</f>
        <v/>
      </c>
      <c r="L457" s="40">
        <f>L441*$J$43+L447*$J$44</f>
        <v/>
      </c>
      <c r="M457" s="40">
        <f>M441*$J$43+M447*$J$44</f>
        <v/>
      </c>
      <c r="N457" s="40">
        <f>N441*$J$43+N447*$J$44</f>
        <v/>
      </c>
      <c r="O457" s="40">
        <f>O441*$J$43+O447*$J$44</f>
        <v/>
      </c>
      <c r="P457" s="40">
        <f>P441*$J$43+P447*$J$44</f>
        <v/>
      </c>
      <c r="Q457" s="40">
        <f>Q441*$J$43+Q447*$J$44</f>
        <v/>
      </c>
      <c r="R457" s="40">
        <f>R441*$J$43+R447*$J$44</f>
        <v/>
      </c>
      <c r="S457" s="40">
        <f>S441*$J$43+S447*$J$44</f>
        <v/>
      </c>
      <c r="T457" s="40">
        <f>T441*$J$43+T447*$J$44</f>
        <v/>
      </c>
      <c r="U457" s="40">
        <f>U441*$J$43+U447*$J$44</f>
        <v/>
      </c>
      <c r="V457" s="40">
        <f>V441*$J$43+V447*$J$44</f>
        <v/>
      </c>
      <c r="W457" s="40">
        <f>W441*$J$43+W447*$J$44</f>
        <v/>
      </c>
      <c r="X457" s="40">
        <f>X441*$J$43+X447*$J$44</f>
        <v/>
      </c>
      <c r="Y457" s="40">
        <f>Y441*$J$43+Y447*$J$44</f>
        <v/>
      </c>
      <c r="Z457" s="40">
        <f>Z441*$J$43+Z447*$J$44</f>
        <v/>
      </c>
      <c r="AA457" s="40">
        <f>AA441*$J$43+AA447*$J$44</f>
        <v/>
      </c>
      <c r="AB457" s="40">
        <f>AB441*$J$43+AB447*$J$44</f>
        <v/>
      </c>
      <c r="AC457" s="40">
        <f>AC441*$J$43+AC447*$J$44</f>
        <v/>
      </c>
      <c r="AD457" s="40">
        <f>AD441*$J$43+AD447*$J$44</f>
        <v/>
      </c>
      <c r="AE457" s="40">
        <f>AE441*$J$43+AE447*$J$44</f>
        <v/>
      </c>
      <c r="AF457" s="40">
        <f>AF441*$J$43+AF447*$J$44</f>
        <v/>
      </c>
      <c r="AG457" s="40">
        <f>AG441*$J$43+AG447*$J$44</f>
        <v/>
      </c>
      <c r="AH457" s="40">
        <f>AH441*$J$43+AH447*$J$44</f>
        <v/>
      </c>
      <c r="AI457" s="40">
        <f>AI441*$J$43+AI447*$J$44</f>
        <v/>
      </c>
      <c r="AJ457" s="40">
        <f>AJ441*$J$43+AJ447*$J$44</f>
        <v/>
      </c>
      <c r="AK457" s="40">
        <f>AK441*$J$43+AK447*$J$44</f>
        <v/>
      </c>
      <c r="AL457" s="40">
        <f>AL441*$J$43+AL447*$J$44</f>
        <v/>
      </c>
      <c r="AM457" s="40">
        <f>AM441*$J$43+AM447*$J$44</f>
        <v/>
      </c>
      <c r="AN457" s="40">
        <f>AN441*$J$43+AN447*$J$44</f>
        <v/>
      </c>
      <c r="AO457" s="40">
        <f>AO441*$J$43+AO447*$J$44</f>
        <v/>
      </c>
      <c r="AP457" s="40">
        <f>AP441*$J$43+AP447*$J$44</f>
        <v/>
      </c>
      <c r="AQ457" s="40">
        <f>AQ441*$J$43+AQ447*$J$44</f>
        <v/>
      </c>
      <c r="AR457" s="40">
        <f>AR441*$J$43+AR447*$J$44</f>
        <v/>
      </c>
      <c r="AS457" s="40">
        <f>AS441*$J$43+AS447*$J$44</f>
        <v/>
      </c>
      <c r="AT457" s="40">
        <f>AT441*$J$43+AT447*$J$44</f>
        <v/>
      </c>
      <c r="AU457" s="40">
        <f>AU441*$J$43+AU447*$J$44</f>
        <v/>
      </c>
      <c r="AV457" s="40">
        <f>AV441*$J$43+AV447*$J$44</f>
        <v/>
      </c>
      <c r="AW457" s="40">
        <f>AW441*$J$43+AW447*$J$44</f>
        <v/>
      </c>
      <c r="AX457" s="40">
        <f>AX441*$J$43+AX447*$J$44</f>
        <v/>
      </c>
      <c r="AY457" s="40">
        <f>AY441*$J$43+AY447*$J$44</f>
        <v/>
      </c>
      <c r="AZ457" s="40">
        <f>AZ441*$J$43+AZ447*$J$44</f>
        <v/>
      </c>
      <c r="BA457" s="40">
        <f>BA441*$J$43+BA447*$J$44</f>
        <v/>
      </c>
      <c r="BB457" s="40">
        <f>BB441*$J$43+BB447*$J$44</f>
        <v/>
      </c>
      <c r="BC457" s="40">
        <f>BC441*$J$43+BC447*$J$44</f>
        <v/>
      </c>
      <c r="BD457" s="40">
        <f>BD441*$J$43+BD447*$J$44</f>
        <v/>
      </c>
    </row>
    <row r="458">
      <c r="A458" s="4" t="inlineStr">
        <is>
          <t>ROOM OCCUPANCY</t>
        </is>
      </c>
      <c r="B458" s="2" t="inlineStr">
        <is>
          <t>m3</t>
        </is>
      </c>
      <c r="E458" s="58">
        <f>(E436+E435)*$D$21</f>
        <v/>
      </c>
      <c r="F458" s="58">
        <f>(F436+F435)*$D$21</f>
        <v/>
      </c>
      <c r="G458" s="58">
        <f>(G436+G435)*$D$21</f>
        <v/>
      </c>
      <c r="H458" s="58">
        <f>(H436+H435)*$D$21</f>
        <v/>
      </c>
      <c r="I458" s="58">
        <f>(I436+I435)*$D$21</f>
        <v/>
      </c>
      <c r="J458" s="58">
        <f>(J436+J435)*$D$21</f>
        <v/>
      </c>
      <c r="K458" s="58">
        <f>(K436+K435)*$D$21</f>
        <v/>
      </c>
      <c r="L458" s="58">
        <f>(L436+L435)*$D$21</f>
        <v/>
      </c>
      <c r="M458" s="58">
        <f>(M436+M435)*$D$21</f>
        <v/>
      </c>
      <c r="N458" s="58">
        <f>(N436+N435)*$D$21</f>
        <v/>
      </c>
      <c r="O458" s="58">
        <f>(O436+O435)*$D$21</f>
        <v/>
      </c>
      <c r="P458" s="58">
        <f>(P436+P435)*$D$21</f>
        <v/>
      </c>
      <c r="Q458" s="58">
        <f>(Q436+Q435)*$D$21</f>
        <v/>
      </c>
      <c r="R458" s="58">
        <f>(R436+R435)*$D$21</f>
        <v/>
      </c>
      <c r="S458" s="58">
        <f>(S436+S435)*$D$21</f>
        <v/>
      </c>
      <c r="T458" s="58">
        <f>(T436+T435)*$D$21</f>
        <v/>
      </c>
      <c r="U458" s="58">
        <f>(U436+U435)*$D$21</f>
        <v/>
      </c>
      <c r="V458" s="58">
        <f>(V436+V435)*$D$21</f>
        <v/>
      </c>
      <c r="W458" s="58">
        <f>(W436+W435)*$D$21</f>
        <v/>
      </c>
      <c r="X458" s="58">
        <f>(X436+X435)*$D$21</f>
        <v/>
      </c>
      <c r="Y458" s="58">
        <f>(Y436+Y435)*$D$21</f>
        <v/>
      </c>
      <c r="Z458" s="58">
        <f>(Z436+Z435)*$D$21</f>
        <v/>
      </c>
      <c r="AA458" s="58">
        <f>(AA436+AA435)*$D$21</f>
        <v/>
      </c>
      <c r="AB458" s="58">
        <f>(AB436+AB435)*$D$21</f>
        <v/>
      </c>
      <c r="AC458" s="58">
        <f>(AC436+AC435)*$D$21</f>
        <v/>
      </c>
      <c r="AD458" s="58">
        <f>(AD436+AD435)*$D$21</f>
        <v/>
      </c>
      <c r="AE458" s="58">
        <f>(AE436+AE435)*$D$21</f>
        <v/>
      </c>
      <c r="AF458" s="58">
        <f>(AF436+AF435)*$D$21</f>
        <v/>
      </c>
      <c r="AG458" s="58">
        <f>(AG436+AG435)*$D$21</f>
        <v/>
      </c>
      <c r="AH458" s="58">
        <f>(AH436+AH435)*$D$21</f>
        <v/>
      </c>
      <c r="AI458" s="58">
        <f>(AI436+AI435)*$D$21</f>
        <v/>
      </c>
      <c r="AJ458" s="58">
        <f>(AJ436+AJ435)*$D$21</f>
        <v/>
      </c>
      <c r="AK458" s="58">
        <f>(AK436+AK435)*$D$21</f>
        <v/>
      </c>
      <c r="AL458" s="58">
        <f>(AL436+AL435)*$D$21</f>
        <v/>
      </c>
      <c r="AM458" s="58">
        <f>(AM436+AM435)*$D$21</f>
        <v/>
      </c>
      <c r="AN458" s="58">
        <f>(AN436+AN435)*$D$21</f>
        <v/>
      </c>
      <c r="AO458" s="58">
        <f>(AO436+AO435)*$D$21</f>
        <v/>
      </c>
      <c r="AP458" s="58">
        <f>(AP436+AP435)*$D$21</f>
        <v/>
      </c>
      <c r="AQ458" s="58">
        <f>(AQ436+AQ435)*$D$21</f>
        <v/>
      </c>
      <c r="AR458" s="58">
        <f>(AR436+AR435)*$D$21</f>
        <v/>
      </c>
      <c r="AS458" s="58">
        <f>(AS436+AS435)*$D$21</f>
        <v/>
      </c>
      <c r="AT458" s="58">
        <f>(AT436+AT435)*$D$21</f>
        <v/>
      </c>
      <c r="AU458" s="58">
        <f>(AU436+AU435)*$D$21</f>
        <v/>
      </c>
      <c r="AV458" s="58">
        <f>(AV436+AV435)*$D$21</f>
        <v/>
      </c>
      <c r="AW458" s="58">
        <f>(AW436+AW435)*$D$21</f>
        <v/>
      </c>
      <c r="AX458" s="58">
        <f>(AX436+AX435)*$D$21</f>
        <v/>
      </c>
      <c r="AY458" s="58">
        <f>(AY436+AY435)*$D$21</f>
        <v/>
      </c>
      <c r="AZ458" s="58">
        <f>(AZ436+AZ435)*$D$21</f>
        <v/>
      </c>
      <c r="BA458" s="58">
        <f>(BA436+BA435)*$D$21</f>
        <v/>
      </c>
      <c r="BB458" s="58">
        <f>(BB436+BB435)*$D$21</f>
        <v/>
      </c>
      <c r="BC458" s="58">
        <f>(BC436+BC435)*$D$21</f>
        <v/>
      </c>
      <c r="BD458" s="58">
        <f>(BD436+BD435)*$D$21</f>
        <v/>
      </c>
    </row>
    <row r="460">
      <c r="A460" s="3" t="inlineStr">
        <is>
          <t>5c — WHAT EACH MARKET TAKES  (one market per identity, however many names sell into it)</t>
        </is>
      </c>
    </row>
    <row r="461">
      <c r="A461" s="36" t="inlineStr">
        <is>
          <t>Week</t>
        </is>
      </c>
      <c r="B461" s="37" t="inlineStr">
        <is>
          <t>lb</t>
        </is>
      </c>
      <c r="E461" s="38" t="n">
        <v>1</v>
      </c>
      <c r="F461" s="38" t="n">
        <v>2</v>
      </c>
      <c r="G461" s="38" t="n">
        <v>3</v>
      </c>
      <c r="H461" s="38" t="n">
        <v>4</v>
      </c>
      <c r="I461" s="38" t="n">
        <v>5</v>
      </c>
      <c r="J461" s="38" t="n">
        <v>6</v>
      </c>
      <c r="K461" s="38" t="n">
        <v>7</v>
      </c>
      <c r="L461" s="38" t="n">
        <v>8</v>
      </c>
      <c r="M461" s="38" t="n">
        <v>9</v>
      </c>
      <c r="N461" s="38" t="n">
        <v>10</v>
      </c>
      <c r="O461" s="38" t="n">
        <v>11</v>
      </c>
      <c r="P461" s="38" t="n">
        <v>12</v>
      </c>
      <c r="Q461" s="38" t="n">
        <v>13</v>
      </c>
      <c r="R461" s="38" t="n">
        <v>14</v>
      </c>
      <c r="S461" s="38" t="n">
        <v>15</v>
      </c>
      <c r="T461" s="38" t="n">
        <v>16</v>
      </c>
      <c r="U461" s="38" t="n">
        <v>17</v>
      </c>
      <c r="V461" s="38" t="n">
        <v>18</v>
      </c>
      <c r="W461" s="38" t="n">
        <v>19</v>
      </c>
      <c r="X461" s="38" t="n">
        <v>20</v>
      </c>
      <c r="Y461" s="38" t="n">
        <v>21</v>
      </c>
      <c r="Z461" s="38" t="n">
        <v>22</v>
      </c>
      <c r="AA461" s="38" t="n">
        <v>23</v>
      </c>
      <c r="AB461" s="38" t="n">
        <v>24</v>
      </c>
      <c r="AC461" s="38" t="n">
        <v>25</v>
      </c>
      <c r="AD461" s="38" t="n">
        <v>26</v>
      </c>
      <c r="AE461" s="38" t="n">
        <v>27</v>
      </c>
      <c r="AF461" s="38" t="n">
        <v>28</v>
      </c>
      <c r="AG461" s="38" t="n">
        <v>29</v>
      </c>
      <c r="AH461" s="38" t="n">
        <v>30</v>
      </c>
      <c r="AI461" s="38" t="n">
        <v>31</v>
      </c>
      <c r="AJ461" s="38" t="n">
        <v>32</v>
      </c>
      <c r="AK461" s="38" t="n">
        <v>33</v>
      </c>
      <c r="AL461" s="38" t="n">
        <v>34</v>
      </c>
      <c r="AM461" s="38" t="n">
        <v>35</v>
      </c>
      <c r="AN461" s="38" t="n">
        <v>36</v>
      </c>
      <c r="AO461" s="38" t="n">
        <v>37</v>
      </c>
      <c r="AP461" s="38" t="n">
        <v>38</v>
      </c>
      <c r="AQ461" s="38" t="n">
        <v>39</v>
      </c>
      <c r="AR461" s="38" t="n">
        <v>40</v>
      </c>
      <c r="AS461" s="38" t="n">
        <v>41</v>
      </c>
      <c r="AT461" s="38" t="n">
        <v>42</v>
      </c>
      <c r="AU461" s="38" t="n">
        <v>43</v>
      </c>
      <c r="AV461" s="38" t="n">
        <v>44</v>
      </c>
      <c r="AW461" s="38" t="n">
        <v>45</v>
      </c>
      <c r="AX461" s="38" t="n">
        <v>46</v>
      </c>
      <c r="AY461" s="38" t="n">
        <v>47</v>
      </c>
      <c r="AZ461" s="38" t="n">
        <v>48</v>
      </c>
      <c r="BA461" s="38" t="n">
        <v>49</v>
      </c>
      <c r="BB461" s="38" t="n">
        <v>50</v>
      </c>
      <c r="BC461" s="38" t="n">
        <v>51</v>
      </c>
      <c r="BD461" s="38" t="n">
        <v>52</v>
      </c>
    </row>
    <row r="462">
      <c r="A462" s="41" t="inlineStr">
        <is>
          <t>Spinach / Farmers Market — SOLD, every name that sells as Spinach</t>
        </is>
      </c>
      <c r="B462" s="2" t="inlineStr">
        <is>
          <t>lb</t>
        </is>
      </c>
      <c r="E462" s="42">
        <f>E331+E414</f>
        <v/>
      </c>
      <c r="F462" s="42">
        <f>F331+F414</f>
        <v/>
      </c>
      <c r="G462" s="42">
        <f>G331+G414</f>
        <v/>
      </c>
      <c r="H462" s="42">
        <f>H331+H414</f>
        <v/>
      </c>
      <c r="I462" s="42">
        <f>I331+I414</f>
        <v/>
      </c>
      <c r="J462" s="42">
        <f>J331+J414</f>
        <v/>
      </c>
      <c r="K462" s="42">
        <f>K331+K414</f>
        <v/>
      </c>
      <c r="L462" s="42">
        <f>L331+L414</f>
        <v/>
      </c>
      <c r="M462" s="42">
        <f>M331+M414</f>
        <v/>
      </c>
      <c r="N462" s="42">
        <f>N331+N414</f>
        <v/>
      </c>
      <c r="O462" s="42">
        <f>O331+O414</f>
        <v/>
      </c>
      <c r="P462" s="42">
        <f>P331+P414</f>
        <v/>
      </c>
      <c r="Q462" s="42">
        <f>Q331+Q414</f>
        <v/>
      </c>
      <c r="R462" s="42">
        <f>R331+R414</f>
        <v/>
      </c>
      <c r="S462" s="42">
        <f>S331+S414</f>
        <v/>
      </c>
      <c r="T462" s="42">
        <f>T331+T414</f>
        <v/>
      </c>
      <c r="U462" s="42">
        <f>U331+U414</f>
        <v/>
      </c>
      <c r="V462" s="42">
        <f>V331+V414</f>
        <v/>
      </c>
      <c r="W462" s="42">
        <f>W331+W414</f>
        <v/>
      </c>
      <c r="X462" s="42">
        <f>X331+X414</f>
        <v/>
      </c>
      <c r="Y462" s="42">
        <f>Y331+Y414</f>
        <v/>
      </c>
      <c r="Z462" s="42">
        <f>Z331+Z414</f>
        <v/>
      </c>
      <c r="AA462" s="42">
        <f>AA331+AA414</f>
        <v/>
      </c>
      <c r="AB462" s="42">
        <f>AB331+AB414</f>
        <v/>
      </c>
      <c r="AC462" s="42">
        <f>AC331+AC414</f>
        <v/>
      </c>
      <c r="AD462" s="42">
        <f>AD331+AD414</f>
        <v/>
      </c>
      <c r="AE462" s="42">
        <f>AE331+AE414</f>
        <v/>
      </c>
      <c r="AF462" s="42">
        <f>AF331+AF414</f>
        <v/>
      </c>
      <c r="AG462" s="42">
        <f>AG331+AG414</f>
        <v/>
      </c>
      <c r="AH462" s="42">
        <f>AH331+AH414</f>
        <v/>
      </c>
      <c r="AI462" s="42">
        <f>AI331+AI414</f>
        <v/>
      </c>
      <c r="AJ462" s="42">
        <f>AJ331+AJ414</f>
        <v/>
      </c>
      <c r="AK462" s="42">
        <f>AK331+AK414</f>
        <v/>
      </c>
      <c r="AL462" s="42">
        <f>AL331+AL414</f>
        <v/>
      </c>
      <c r="AM462" s="42">
        <f>AM331+AM414</f>
        <v/>
      </c>
      <c r="AN462" s="42">
        <f>AN331+AN414</f>
        <v/>
      </c>
      <c r="AO462" s="42">
        <f>AO331+AO414</f>
        <v/>
      </c>
      <c r="AP462" s="42">
        <f>AP331+AP414</f>
        <v/>
      </c>
      <c r="AQ462" s="42">
        <f>AQ331+AQ414</f>
        <v/>
      </c>
      <c r="AR462" s="42">
        <f>AR331+AR414</f>
        <v/>
      </c>
      <c r="AS462" s="42">
        <f>AS331+AS414</f>
        <v/>
      </c>
      <c r="AT462" s="42">
        <f>AT331+AT414</f>
        <v/>
      </c>
      <c r="AU462" s="42">
        <f>AU331+AU414</f>
        <v/>
      </c>
      <c r="AV462" s="42">
        <f>AV331+AV414</f>
        <v/>
      </c>
      <c r="AW462" s="42">
        <f>AW331+AW414</f>
        <v/>
      </c>
      <c r="AX462" s="42">
        <f>AX331+AX414</f>
        <v/>
      </c>
      <c r="AY462" s="42">
        <f>AY331+AY414</f>
        <v/>
      </c>
      <c r="AZ462" s="42">
        <f>AZ331+AZ414</f>
        <v/>
      </c>
      <c r="BA462" s="42">
        <f>BA331+BA414</f>
        <v/>
      </c>
      <c r="BB462" s="42">
        <f>BB331+BB414</f>
        <v/>
      </c>
      <c r="BC462" s="42">
        <f>BC331+BC414</f>
        <v/>
      </c>
      <c r="BD462" s="42">
        <f>BD331+BD414</f>
        <v/>
      </c>
    </row>
    <row r="463">
      <c r="A463" s="2" t="inlineStr">
        <is>
          <t xml:space="preserve">   Spinach, Tunnel Spinach — against the ceiling in the SPINACH block</t>
        </is>
      </c>
    </row>
    <row r="464">
      <c r="A464" s="41" t="inlineStr">
        <is>
          <t>Spinach / Wholesale — SOLD, every name that sells as Spinach</t>
        </is>
      </c>
      <c r="B464" s="2" t="inlineStr">
        <is>
          <t>lb</t>
        </is>
      </c>
      <c r="E464" s="42">
        <f>E337+E420</f>
        <v/>
      </c>
      <c r="F464" s="42">
        <f>F337+F420</f>
        <v/>
      </c>
      <c r="G464" s="42">
        <f>G337+G420</f>
        <v/>
      </c>
      <c r="H464" s="42">
        <f>H337+H420</f>
        <v/>
      </c>
      <c r="I464" s="42">
        <f>I337+I420</f>
        <v/>
      </c>
      <c r="J464" s="42">
        <f>J337+J420</f>
        <v/>
      </c>
      <c r="K464" s="42">
        <f>K337+K420</f>
        <v/>
      </c>
      <c r="L464" s="42">
        <f>L337+L420</f>
        <v/>
      </c>
      <c r="M464" s="42">
        <f>M337+M420</f>
        <v/>
      </c>
      <c r="N464" s="42">
        <f>N337+N420</f>
        <v/>
      </c>
      <c r="O464" s="42">
        <f>O337+O420</f>
        <v/>
      </c>
      <c r="P464" s="42">
        <f>P337+P420</f>
        <v/>
      </c>
      <c r="Q464" s="42">
        <f>Q337+Q420</f>
        <v/>
      </c>
      <c r="R464" s="42">
        <f>R337+R420</f>
        <v/>
      </c>
      <c r="S464" s="42">
        <f>S337+S420</f>
        <v/>
      </c>
      <c r="T464" s="42">
        <f>T337+T420</f>
        <v/>
      </c>
      <c r="U464" s="42">
        <f>U337+U420</f>
        <v/>
      </c>
      <c r="V464" s="42">
        <f>V337+V420</f>
        <v/>
      </c>
      <c r="W464" s="42">
        <f>W337+W420</f>
        <v/>
      </c>
      <c r="X464" s="42">
        <f>X337+X420</f>
        <v/>
      </c>
      <c r="Y464" s="42">
        <f>Y337+Y420</f>
        <v/>
      </c>
      <c r="Z464" s="42">
        <f>Z337+Z420</f>
        <v/>
      </c>
      <c r="AA464" s="42">
        <f>AA337+AA420</f>
        <v/>
      </c>
      <c r="AB464" s="42">
        <f>AB337+AB420</f>
        <v/>
      </c>
      <c r="AC464" s="42">
        <f>AC337+AC420</f>
        <v/>
      </c>
      <c r="AD464" s="42">
        <f>AD337+AD420</f>
        <v/>
      </c>
      <c r="AE464" s="42">
        <f>AE337+AE420</f>
        <v/>
      </c>
      <c r="AF464" s="42">
        <f>AF337+AF420</f>
        <v/>
      </c>
      <c r="AG464" s="42">
        <f>AG337+AG420</f>
        <v/>
      </c>
      <c r="AH464" s="42">
        <f>AH337+AH420</f>
        <v/>
      </c>
      <c r="AI464" s="42">
        <f>AI337+AI420</f>
        <v/>
      </c>
      <c r="AJ464" s="42">
        <f>AJ337+AJ420</f>
        <v/>
      </c>
      <c r="AK464" s="42">
        <f>AK337+AK420</f>
        <v/>
      </c>
      <c r="AL464" s="42">
        <f>AL337+AL420</f>
        <v/>
      </c>
      <c r="AM464" s="42">
        <f>AM337+AM420</f>
        <v/>
      </c>
      <c r="AN464" s="42">
        <f>AN337+AN420</f>
        <v/>
      </c>
      <c r="AO464" s="42">
        <f>AO337+AO420</f>
        <v/>
      </c>
      <c r="AP464" s="42">
        <f>AP337+AP420</f>
        <v/>
      </c>
      <c r="AQ464" s="42">
        <f>AQ337+AQ420</f>
        <v/>
      </c>
      <c r="AR464" s="42">
        <f>AR337+AR420</f>
        <v/>
      </c>
      <c r="AS464" s="42">
        <f>AS337+AS420</f>
        <v/>
      </c>
      <c r="AT464" s="42">
        <f>AT337+AT420</f>
        <v/>
      </c>
      <c r="AU464" s="42">
        <f>AU337+AU420</f>
        <v/>
      </c>
      <c r="AV464" s="42">
        <f>AV337+AV420</f>
        <v/>
      </c>
      <c r="AW464" s="42">
        <f>AW337+AW420</f>
        <v/>
      </c>
      <c r="AX464" s="42">
        <f>AX337+AX420</f>
        <v/>
      </c>
      <c r="AY464" s="42">
        <f>AY337+AY420</f>
        <v/>
      </c>
      <c r="AZ464" s="42">
        <f>AZ337+AZ420</f>
        <v/>
      </c>
      <c r="BA464" s="42">
        <f>BA337+BA420</f>
        <v/>
      </c>
      <c r="BB464" s="42">
        <f>BB337+BB420</f>
        <v/>
      </c>
      <c r="BC464" s="42">
        <f>BC337+BC420</f>
        <v/>
      </c>
      <c r="BD464" s="42">
        <f>BD337+BD420</f>
        <v/>
      </c>
    </row>
    <row r="465">
      <c r="A465" s="2" t="inlineStr">
        <is>
          <t xml:space="preserve">   Spinach, Tunnel Spinach — against the ceiling in the SPINACH block</t>
        </is>
      </c>
    </row>
    <row r="467">
      <c r="A467" s="3" t="inlineStr">
        <is>
          <t>5d — CONTRACTS  (what you have already promised to deliver)</t>
        </is>
      </c>
    </row>
    <row r="468">
      <c r="A468" s="12" t="inlineStr">
        <is>
          <t>Sells as</t>
        </is>
      </c>
      <c r="B468" s="12" t="inlineStr">
        <is>
          <t>Channel</t>
        </is>
      </c>
      <c r="C468" s="12" t="inlineStr">
        <is>
          <t>lb / week</t>
        </is>
      </c>
      <c r="D468" s="12" t="inlineStr">
        <is>
          <t>From wk</t>
        </is>
      </c>
      <c r="E468" s="12" t="inlineStr">
        <is>
          <t>To wk</t>
        </is>
      </c>
      <c r="F468" s="12" t="inlineStr">
        <is>
          <t>Penalty $/lb</t>
        </is>
      </c>
    </row>
    <row r="469">
      <c r="A469" s="13" t="inlineStr">
        <is>
          <t>Kale</t>
        </is>
      </c>
      <c r="B469" s="13" t="inlineStr">
        <is>
          <t>Wholesale</t>
        </is>
      </c>
      <c r="C469" s="10" t="n">
        <v>1500</v>
      </c>
      <c r="D469" s="27" t="n">
        <v>20</v>
      </c>
      <c r="E469" s="27" t="n">
        <v>40</v>
      </c>
      <c r="F469" s="21" t="n">
        <v>0.5</v>
      </c>
    </row>
    <row r="470">
      <c r="A470" s="13" t="inlineStr">
        <is>
          <t>Spinach</t>
        </is>
      </c>
      <c r="B470" s="13" t="inlineStr">
        <is>
          <t>Wholesale</t>
        </is>
      </c>
      <c r="C470" s="10" t="n">
        <v>2000</v>
      </c>
      <c r="D470" s="27" t="n">
        <v>28</v>
      </c>
      <c r="E470" s="27" t="n">
        <v>36</v>
      </c>
      <c r="F470" s="21" t="n">
        <v>0.5</v>
      </c>
    </row>
    <row r="471">
      <c r="A471" s="2" t="inlineStr">
        <is>
          <t xml:space="preserve">   ⚠️ The penalty is per lb SHORT, on top of the sale you did not make. It is what a missed delivery costs you — cover purchases, a lost account. Set it low and the plan will short a contract it could have met.</t>
        </is>
      </c>
    </row>
    <row r="473">
      <c r="A473" s="36" t="inlineStr">
        <is>
          <t>Week</t>
        </is>
      </c>
      <c r="B473" s="37" t="inlineStr">
        <is>
          <t>lb</t>
        </is>
      </c>
      <c r="E473" s="38" t="n">
        <v>1</v>
      </c>
      <c r="F473" s="38" t="n">
        <v>2</v>
      </c>
      <c r="G473" s="38" t="n">
        <v>3</v>
      </c>
      <c r="H473" s="38" t="n">
        <v>4</v>
      </c>
      <c r="I473" s="38" t="n">
        <v>5</v>
      </c>
      <c r="J473" s="38" t="n">
        <v>6</v>
      </c>
      <c r="K473" s="38" t="n">
        <v>7</v>
      </c>
      <c r="L473" s="38" t="n">
        <v>8</v>
      </c>
      <c r="M473" s="38" t="n">
        <v>9</v>
      </c>
      <c r="N473" s="38" t="n">
        <v>10</v>
      </c>
      <c r="O473" s="38" t="n">
        <v>11</v>
      </c>
      <c r="P473" s="38" t="n">
        <v>12</v>
      </c>
      <c r="Q473" s="38" t="n">
        <v>13</v>
      </c>
      <c r="R473" s="38" t="n">
        <v>14</v>
      </c>
      <c r="S473" s="38" t="n">
        <v>15</v>
      </c>
      <c r="T473" s="38" t="n">
        <v>16</v>
      </c>
      <c r="U473" s="38" t="n">
        <v>17</v>
      </c>
      <c r="V473" s="38" t="n">
        <v>18</v>
      </c>
      <c r="W473" s="38" t="n">
        <v>19</v>
      </c>
      <c r="X473" s="38" t="n">
        <v>20</v>
      </c>
      <c r="Y473" s="38" t="n">
        <v>21</v>
      </c>
      <c r="Z473" s="38" t="n">
        <v>22</v>
      </c>
      <c r="AA473" s="38" t="n">
        <v>23</v>
      </c>
      <c r="AB473" s="38" t="n">
        <v>24</v>
      </c>
      <c r="AC473" s="38" t="n">
        <v>25</v>
      </c>
      <c r="AD473" s="38" t="n">
        <v>26</v>
      </c>
      <c r="AE473" s="38" t="n">
        <v>27</v>
      </c>
      <c r="AF473" s="38" t="n">
        <v>28</v>
      </c>
      <c r="AG473" s="38" t="n">
        <v>29</v>
      </c>
      <c r="AH473" s="38" t="n">
        <v>30</v>
      </c>
      <c r="AI473" s="38" t="n">
        <v>31</v>
      </c>
      <c r="AJ473" s="38" t="n">
        <v>32</v>
      </c>
      <c r="AK473" s="38" t="n">
        <v>33</v>
      </c>
      <c r="AL473" s="38" t="n">
        <v>34</v>
      </c>
      <c r="AM473" s="38" t="n">
        <v>35</v>
      </c>
      <c r="AN473" s="38" t="n">
        <v>36</v>
      </c>
      <c r="AO473" s="38" t="n">
        <v>37</v>
      </c>
      <c r="AP473" s="38" t="n">
        <v>38</v>
      </c>
      <c r="AQ473" s="38" t="n">
        <v>39</v>
      </c>
      <c r="AR473" s="38" t="n">
        <v>40</v>
      </c>
      <c r="AS473" s="38" t="n">
        <v>41</v>
      </c>
      <c r="AT473" s="38" t="n">
        <v>42</v>
      </c>
      <c r="AU473" s="38" t="n">
        <v>43</v>
      </c>
      <c r="AV473" s="38" t="n">
        <v>44</v>
      </c>
      <c r="AW473" s="38" t="n">
        <v>45</v>
      </c>
      <c r="AX473" s="38" t="n">
        <v>46</v>
      </c>
      <c r="AY473" s="38" t="n">
        <v>47</v>
      </c>
      <c r="AZ473" s="38" t="n">
        <v>48</v>
      </c>
      <c r="BA473" s="38" t="n">
        <v>49</v>
      </c>
      <c r="BB473" s="38" t="n">
        <v>50</v>
      </c>
      <c r="BC473" s="38" t="n">
        <v>51</v>
      </c>
      <c r="BD473" s="38" t="n">
        <v>52</v>
      </c>
    </row>
    <row r="474">
      <c r="A474" s="32" t="inlineStr">
        <is>
          <t>Kale / Wholesale — SHORTFALL</t>
        </is>
      </c>
      <c r="B474" s="2" t="inlineStr">
        <is>
          <t>lb &lt;-- SOLVER</t>
        </is>
      </c>
      <c r="E474" s="39" t="n">
        <v>0</v>
      </c>
      <c r="F474" s="39" t="n">
        <v>0</v>
      </c>
      <c r="G474" s="39" t="n">
        <v>0</v>
      </c>
      <c r="H474" s="39" t="n">
        <v>0</v>
      </c>
      <c r="I474" s="39" t="n">
        <v>0</v>
      </c>
      <c r="J474" s="39" t="n">
        <v>0</v>
      </c>
      <c r="K474" s="39" t="n">
        <v>0</v>
      </c>
      <c r="L474" s="39" t="n">
        <v>0</v>
      </c>
      <c r="M474" s="39" t="n">
        <v>0</v>
      </c>
      <c r="N474" s="39" t="n">
        <v>0</v>
      </c>
      <c r="O474" s="39" t="n">
        <v>0</v>
      </c>
      <c r="P474" s="39" t="n">
        <v>0</v>
      </c>
      <c r="Q474" s="39" t="n">
        <v>0</v>
      </c>
      <c r="R474" s="39" t="n">
        <v>0</v>
      </c>
      <c r="S474" s="39" t="n">
        <v>0</v>
      </c>
      <c r="T474" s="39" t="n">
        <v>0</v>
      </c>
      <c r="U474" s="39" t="n">
        <v>0</v>
      </c>
      <c r="V474" s="39" t="n">
        <v>0</v>
      </c>
      <c r="W474" s="39" t="n">
        <v>0</v>
      </c>
      <c r="X474" s="39" t="n">
        <v>0</v>
      </c>
      <c r="Y474" s="39" t="n">
        <v>0</v>
      </c>
      <c r="Z474" s="39" t="n">
        <v>0</v>
      </c>
      <c r="AA474" s="39" t="n">
        <v>0</v>
      </c>
      <c r="AB474" s="39" t="n">
        <v>0</v>
      </c>
      <c r="AC474" s="39" t="n">
        <v>0</v>
      </c>
      <c r="AD474" s="39" t="n">
        <v>0</v>
      </c>
      <c r="AE474" s="39" t="n">
        <v>0</v>
      </c>
      <c r="AF474" s="39" t="n">
        <v>0</v>
      </c>
      <c r="AG474" s="39" t="n">
        <v>0</v>
      </c>
      <c r="AH474" s="39" t="n">
        <v>0</v>
      </c>
      <c r="AI474" s="39" t="n">
        <v>0</v>
      </c>
      <c r="AJ474" s="39" t="n">
        <v>0</v>
      </c>
      <c r="AK474" s="39" t="n">
        <v>0</v>
      </c>
      <c r="AL474" s="39" t="n">
        <v>0</v>
      </c>
      <c r="AM474" s="39" t="n">
        <v>0</v>
      </c>
      <c r="AN474" s="39" t="n">
        <v>0</v>
      </c>
      <c r="AO474" s="39" t="n">
        <v>0</v>
      </c>
      <c r="AP474" s="39" t="n">
        <v>0</v>
      </c>
      <c r="AQ474" s="39" t="n">
        <v>0</v>
      </c>
      <c r="AR474" s="39" t="n">
        <v>0</v>
      </c>
      <c r="AS474" s="39" t="n">
        <v>0</v>
      </c>
      <c r="AT474" s="39" t="n">
        <v>0</v>
      </c>
      <c r="AU474" s="39" t="n">
        <v>0</v>
      </c>
      <c r="AV474" s="39" t="n">
        <v>0</v>
      </c>
      <c r="AW474" s="39" t="n">
        <v>0</v>
      </c>
      <c r="AX474" s="39" t="n">
        <v>0</v>
      </c>
      <c r="AY474" s="39" t="n">
        <v>0</v>
      </c>
      <c r="AZ474" s="39" t="n">
        <v>0</v>
      </c>
      <c r="BA474" s="39" t="n">
        <v>0</v>
      </c>
      <c r="BB474" s="39" t="n">
        <v>0</v>
      </c>
      <c r="BC474" s="39" t="n">
        <v>0</v>
      </c>
      <c r="BD474" s="39" t="n">
        <v>0</v>
      </c>
    </row>
    <row r="475">
      <c r="A475" s="41" t="inlineStr">
        <is>
          <t xml:space="preserve">  delivered + short</t>
        </is>
      </c>
      <c r="B475" s="2" t="inlineStr">
        <is>
          <t>lb</t>
        </is>
      </c>
      <c r="E475" s="42">
        <f>E366+E474</f>
        <v/>
      </c>
      <c r="F475" s="42">
        <f>F366+F474</f>
        <v/>
      </c>
      <c r="G475" s="42">
        <f>G366+G474</f>
        <v/>
      </c>
      <c r="H475" s="42">
        <f>H366+H474</f>
        <v/>
      </c>
      <c r="I475" s="42">
        <f>I366+I474</f>
        <v/>
      </c>
      <c r="J475" s="42">
        <f>J366+J474</f>
        <v/>
      </c>
      <c r="K475" s="42">
        <f>K366+K474</f>
        <v/>
      </c>
      <c r="L475" s="42">
        <f>L366+L474</f>
        <v/>
      </c>
      <c r="M475" s="42">
        <f>M366+M474</f>
        <v/>
      </c>
      <c r="N475" s="42">
        <f>N366+N474</f>
        <v/>
      </c>
      <c r="O475" s="42">
        <f>O366+O474</f>
        <v/>
      </c>
      <c r="P475" s="42">
        <f>P366+P474</f>
        <v/>
      </c>
      <c r="Q475" s="42">
        <f>Q366+Q474</f>
        <v/>
      </c>
      <c r="R475" s="42">
        <f>R366+R474</f>
        <v/>
      </c>
      <c r="S475" s="42">
        <f>S366+S474</f>
        <v/>
      </c>
      <c r="T475" s="42">
        <f>T366+T474</f>
        <v/>
      </c>
      <c r="U475" s="42">
        <f>U366+U474</f>
        <v/>
      </c>
      <c r="V475" s="42">
        <f>V366+V474</f>
        <v/>
      </c>
      <c r="W475" s="42">
        <f>W366+W474</f>
        <v/>
      </c>
      <c r="X475" s="42">
        <f>X366+X474</f>
        <v/>
      </c>
      <c r="Y475" s="42">
        <f>Y366+Y474</f>
        <v/>
      </c>
      <c r="Z475" s="42">
        <f>Z366+Z474</f>
        <v/>
      </c>
      <c r="AA475" s="42">
        <f>AA366+AA474</f>
        <v/>
      </c>
      <c r="AB475" s="42">
        <f>AB366+AB474</f>
        <v/>
      </c>
      <c r="AC475" s="42">
        <f>AC366+AC474</f>
        <v/>
      </c>
      <c r="AD475" s="42">
        <f>AD366+AD474</f>
        <v/>
      </c>
      <c r="AE475" s="42">
        <f>AE366+AE474</f>
        <v/>
      </c>
      <c r="AF475" s="42">
        <f>AF366+AF474</f>
        <v/>
      </c>
      <c r="AG475" s="42">
        <f>AG366+AG474</f>
        <v/>
      </c>
      <c r="AH475" s="42">
        <f>AH366+AH474</f>
        <v/>
      </c>
      <c r="AI475" s="42">
        <f>AI366+AI474</f>
        <v/>
      </c>
      <c r="AJ475" s="42">
        <f>AJ366+AJ474</f>
        <v/>
      </c>
      <c r="AK475" s="42">
        <f>AK366+AK474</f>
        <v/>
      </c>
      <c r="AL475" s="42">
        <f>AL366+AL474</f>
        <v/>
      </c>
      <c r="AM475" s="42">
        <f>AM366+AM474</f>
        <v/>
      </c>
      <c r="AN475" s="42">
        <f>AN366+AN474</f>
        <v/>
      </c>
      <c r="AO475" s="42">
        <f>AO366+AO474</f>
        <v/>
      </c>
      <c r="AP475" s="42">
        <f>AP366+AP474</f>
        <v/>
      </c>
      <c r="AQ475" s="42">
        <f>AQ366+AQ474</f>
        <v/>
      </c>
      <c r="AR475" s="42">
        <f>AR366+AR474</f>
        <v/>
      </c>
      <c r="AS475" s="42">
        <f>AS366+AS474</f>
        <v/>
      </c>
      <c r="AT475" s="42">
        <f>AT366+AT474</f>
        <v/>
      </c>
      <c r="AU475" s="42">
        <f>AU366+AU474</f>
        <v/>
      </c>
      <c r="AV475" s="42">
        <f>AV366+AV474</f>
        <v/>
      </c>
      <c r="AW475" s="42">
        <f>AW366+AW474</f>
        <v/>
      </c>
      <c r="AX475" s="42">
        <f>AX366+AX474</f>
        <v/>
      </c>
      <c r="AY475" s="42">
        <f>AY366+AY474</f>
        <v/>
      </c>
      <c r="AZ475" s="42">
        <f>AZ366+AZ474</f>
        <v/>
      </c>
      <c r="BA475" s="42">
        <f>BA366+BA474</f>
        <v/>
      </c>
      <c r="BB475" s="42">
        <f>BB366+BB474</f>
        <v/>
      </c>
      <c r="BC475" s="42">
        <f>BC366+BC474</f>
        <v/>
      </c>
      <c r="BD475" s="42">
        <f>BD366+BD474</f>
        <v/>
      </c>
    </row>
    <row r="476">
      <c r="A476" s="41" t="inlineStr">
        <is>
          <t xml:space="preserve">  owed (row 469)</t>
        </is>
      </c>
      <c r="B476" s="2" t="inlineStr">
        <is>
          <t>lb</t>
        </is>
      </c>
      <c r="E476" s="42">
        <f>IF(AND(1&gt;=$D$469,1&lt;=$E$469),$C$469,0)</f>
        <v/>
      </c>
      <c r="F476" s="42">
        <f>IF(AND(2&gt;=$D$469,2&lt;=$E$469),$C$469,0)</f>
        <v/>
      </c>
      <c r="G476" s="42">
        <f>IF(AND(3&gt;=$D$469,3&lt;=$E$469),$C$469,0)</f>
        <v/>
      </c>
      <c r="H476" s="42">
        <f>IF(AND(4&gt;=$D$469,4&lt;=$E$469),$C$469,0)</f>
        <v/>
      </c>
      <c r="I476" s="42">
        <f>IF(AND(5&gt;=$D$469,5&lt;=$E$469),$C$469,0)</f>
        <v/>
      </c>
      <c r="J476" s="42">
        <f>IF(AND(6&gt;=$D$469,6&lt;=$E$469),$C$469,0)</f>
        <v/>
      </c>
      <c r="K476" s="42">
        <f>IF(AND(7&gt;=$D$469,7&lt;=$E$469),$C$469,0)</f>
        <v/>
      </c>
      <c r="L476" s="42">
        <f>IF(AND(8&gt;=$D$469,8&lt;=$E$469),$C$469,0)</f>
        <v/>
      </c>
      <c r="M476" s="42">
        <f>IF(AND(9&gt;=$D$469,9&lt;=$E$469),$C$469,0)</f>
        <v/>
      </c>
      <c r="N476" s="42">
        <f>IF(AND(10&gt;=$D$469,10&lt;=$E$469),$C$469,0)</f>
        <v/>
      </c>
      <c r="O476" s="42">
        <f>IF(AND(11&gt;=$D$469,11&lt;=$E$469),$C$469,0)</f>
        <v/>
      </c>
      <c r="P476" s="42">
        <f>IF(AND(12&gt;=$D$469,12&lt;=$E$469),$C$469,0)</f>
        <v/>
      </c>
      <c r="Q476" s="42">
        <f>IF(AND(13&gt;=$D$469,13&lt;=$E$469),$C$469,0)</f>
        <v/>
      </c>
      <c r="R476" s="42">
        <f>IF(AND(14&gt;=$D$469,14&lt;=$E$469),$C$469,0)</f>
        <v/>
      </c>
      <c r="S476" s="42">
        <f>IF(AND(15&gt;=$D$469,15&lt;=$E$469),$C$469,0)</f>
        <v/>
      </c>
      <c r="T476" s="42">
        <f>IF(AND(16&gt;=$D$469,16&lt;=$E$469),$C$469,0)</f>
        <v/>
      </c>
      <c r="U476" s="42">
        <f>IF(AND(17&gt;=$D$469,17&lt;=$E$469),$C$469,0)</f>
        <v/>
      </c>
      <c r="V476" s="42">
        <f>IF(AND(18&gt;=$D$469,18&lt;=$E$469),$C$469,0)</f>
        <v/>
      </c>
      <c r="W476" s="42">
        <f>IF(AND(19&gt;=$D$469,19&lt;=$E$469),$C$469,0)</f>
        <v/>
      </c>
      <c r="X476" s="42">
        <f>IF(AND(20&gt;=$D$469,20&lt;=$E$469),$C$469,0)</f>
        <v/>
      </c>
      <c r="Y476" s="42">
        <f>IF(AND(21&gt;=$D$469,21&lt;=$E$469),$C$469,0)</f>
        <v/>
      </c>
      <c r="Z476" s="42">
        <f>IF(AND(22&gt;=$D$469,22&lt;=$E$469),$C$469,0)</f>
        <v/>
      </c>
      <c r="AA476" s="42">
        <f>IF(AND(23&gt;=$D$469,23&lt;=$E$469),$C$469,0)</f>
        <v/>
      </c>
      <c r="AB476" s="42">
        <f>IF(AND(24&gt;=$D$469,24&lt;=$E$469),$C$469,0)</f>
        <v/>
      </c>
      <c r="AC476" s="42">
        <f>IF(AND(25&gt;=$D$469,25&lt;=$E$469),$C$469,0)</f>
        <v/>
      </c>
      <c r="AD476" s="42">
        <f>IF(AND(26&gt;=$D$469,26&lt;=$E$469),$C$469,0)</f>
        <v/>
      </c>
      <c r="AE476" s="42">
        <f>IF(AND(27&gt;=$D$469,27&lt;=$E$469),$C$469,0)</f>
        <v/>
      </c>
      <c r="AF476" s="42">
        <f>IF(AND(28&gt;=$D$469,28&lt;=$E$469),$C$469,0)</f>
        <v/>
      </c>
      <c r="AG476" s="42">
        <f>IF(AND(29&gt;=$D$469,29&lt;=$E$469),$C$469,0)</f>
        <v/>
      </c>
      <c r="AH476" s="42">
        <f>IF(AND(30&gt;=$D$469,30&lt;=$E$469),$C$469,0)</f>
        <v/>
      </c>
      <c r="AI476" s="42">
        <f>IF(AND(31&gt;=$D$469,31&lt;=$E$469),$C$469,0)</f>
        <v/>
      </c>
      <c r="AJ476" s="42">
        <f>IF(AND(32&gt;=$D$469,32&lt;=$E$469),$C$469,0)</f>
        <v/>
      </c>
      <c r="AK476" s="42">
        <f>IF(AND(33&gt;=$D$469,33&lt;=$E$469),$C$469,0)</f>
        <v/>
      </c>
      <c r="AL476" s="42">
        <f>IF(AND(34&gt;=$D$469,34&lt;=$E$469),$C$469,0)</f>
        <v/>
      </c>
      <c r="AM476" s="42">
        <f>IF(AND(35&gt;=$D$469,35&lt;=$E$469),$C$469,0)</f>
        <v/>
      </c>
      <c r="AN476" s="42">
        <f>IF(AND(36&gt;=$D$469,36&lt;=$E$469),$C$469,0)</f>
        <v/>
      </c>
      <c r="AO476" s="42">
        <f>IF(AND(37&gt;=$D$469,37&lt;=$E$469),$C$469,0)</f>
        <v/>
      </c>
      <c r="AP476" s="42">
        <f>IF(AND(38&gt;=$D$469,38&lt;=$E$469),$C$469,0)</f>
        <v/>
      </c>
      <c r="AQ476" s="42">
        <f>IF(AND(39&gt;=$D$469,39&lt;=$E$469),$C$469,0)</f>
        <v/>
      </c>
      <c r="AR476" s="42">
        <f>IF(AND(40&gt;=$D$469,40&lt;=$E$469),$C$469,0)</f>
        <v/>
      </c>
      <c r="AS476" s="42">
        <f>IF(AND(41&gt;=$D$469,41&lt;=$E$469),$C$469,0)</f>
        <v/>
      </c>
      <c r="AT476" s="42">
        <f>IF(AND(42&gt;=$D$469,42&lt;=$E$469),$C$469,0)</f>
        <v/>
      </c>
      <c r="AU476" s="42">
        <f>IF(AND(43&gt;=$D$469,43&lt;=$E$469),$C$469,0)</f>
        <v/>
      </c>
      <c r="AV476" s="42">
        <f>IF(AND(44&gt;=$D$469,44&lt;=$E$469),$C$469,0)</f>
        <v/>
      </c>
      <c r="AW476" s="42">
        <f>IF(AND(45&gt;=$D$469,45&lt;=$E$469),$C$469,0)</f>
        <v/>
      </c>
      <c r="AX476" s="42">
        <f>IF(AND(46&gt;=$D$469,46&lt;=$E$469),$C$469,0)</f>
        <v/>
      </c>
      <c r="AY476" s="42">
        <f>IF(AND(47&gt;=$D$469,47&lt;=$E$469),$C$469,0)</f>
        <v/>
      </c>
      <c r="AZ476" s="42">
        <f>IF(AND(48&gt;=$D$469,48&lt;=$E$469),$C$469,0)</f>
        <v/>
      </c>
      <c r="BA476" s="42">
        <f>IF(AND(49&gt;=$D$469,49&lt;=$E$469),$C$469,0)</f>
        <v/>
      </c>
      <c r="BB476" s="42">
        <f>IF(AND(50&gt;=$D$469,50&lt;=$E$469),$C$469,0)</f>
        <v/>
      </c>
      <c r="BC476" s="42">
        <f>IF(AND(51&gt;=$D$469,51&lt;=$E$469),$C$469,0)</f>
        <v/>
      </c>
      <c r="BD476" s="42">
        <f>IF(AND(52&gt;=$D$469,52&lt;=$E$469),$C$469,0)</f>
        <v/>
      </c>
    </row>
    <row r="477">
      <c r="A477" s="33" t="inlineStr">
        <is>
          <t xml:space="preserve">  penalty</t>
        </is>
      </c>
      <c r="B477" s="2" t="inlineStr">
        <is>
          <t>$</t>
        </is>
      </c>
      <c r="E477" s="40">
        <f>E474*$F$469</f>
        <v/>
      </c>
      <c r="F477" s="40">
        <f>F474*$F$469</f>
        <v/>
      </c>
      <c r="G477" s="40">
        <f>G474*$F$469</f>
        <v/>
      </c>
      <c r="H477" s="40">
        <f>H474*$F$469</f>
        <v/>
      </c>
      <c r="I477" s="40">
        <f>I474*$F$469</f>
        <v/>
      </c>
      <c r="J477" s="40">
        <f>J474*$F$469</f>
        <v/>
      </c>
      <c r="K477" s="40">
        <f>K474*$F$469</f>
        <v/>
      </c>
      <c r="L477" s="40">
        <f>L474*$F$469</f>
        <v/>
      </c>
      <c r="M477" s="40">
        <f>M474*$F$469</f>
        <v/>
      </c>
      <c r="N477" s="40">
        <f>N474*$F$469</f>
        <v/>
      </c>
      <c r="O477" s="40">
        <f>O474*$F$469</f>
        <v/>
      </c>
      <c r="P477" s="40">
        <f>P474*$F$469</f>
        <v/>
      </c>
      <c r="Q477" s="40">
        <f>Q474*$F$469</f>
        <v/>
      </c>
      <c r="R477" s="40">
        <f>R474*$F$469</f>
        <v/>
      </c>
      <c r="S477" s="40">
        <f>S474*$F$469</f>
        <v/>
      </c>
      <c r="T477" s="40">
        <f>T474*$F$469</f>
        <v/>
      </c>
      <c r="U477" s="40">
        <f>U474*$F$469</f>
        <v/>
      </c>
      <c r="V477" s="40">
        <f>V474*$F$469</f>
        <v/>
      </c>
      <c r="W477" s="40">
        <f>W474*$F$469</f>
        <v/>
      </c>
      <c r="X477" s="40">
        <f>X474*$F$469</f>
        <v/>
      </c>
      <c r="Y477" s="40">
        <f>Y474*$F$469</f>
        <v/>
      </c>
      <c r="Z477" s="40">
        <f>Z474*$F$469</f>
        <v/>
      </c>
      <c r="AA477" s="40">
        <f>AA474*$F$469</f>
        <v/>
      </c>
      <c r="AB477" s="40">
        <f>AB474*$F$469</f>
        <v/>
      </c>
      <c r="AC477" s="40">
        <f>AC474*$F$469</f>
        <v/>
      </c>
      <c r="AD477" s="40">
        <f>AD474*$F$469</f>
        <v/>
      </c>
      <c r="AE477" s="40">
        <f>AE474*$F$469</f>
        <v/>
      </c>
      <c r="AF477" s="40">
        <f>AF474*$F$469</f>
        <v/>
      </c>
      <c r="AG477" s="40">
        <f>AG474*$F$469</f>
        <v/>
      </c>
      <c r="AH477" s="40">
        <f>AH474*$F$469</f>
        <v/>
      </c>
      <c r="AI477" s="40">
        <f>AI474*$F$469</f>
        <v/>
      </c>
      <c r="AJ477" s="40">
        <f>AJ474*$F$469</f>
        <v/>
      </c>
      <c r="AK477" s="40">
        <f>AK474*$F$469</f>
        <v/>
      </c>
      <c r="AL477" s="40">
        <f>AL474*$F$469</f>
        <v/>
      </c>
      <c r="AM477" s="40">
        <f>AM474*$F$469</f>
        <v/>
      </c>
      <c r="AN477" s="40">
        <f>AN474*$F$469</f>
        <v/>
      </c>
      <c r="AO477" s="40">
        <f>AO474*$F$469</f>
        <v/>
      </c>
      <c r="AP477" s="40">
        <f>AP474*$F$469</f>
        <v/>
      </c>
      <c r="AQ477" s="40">
        <f>AQ474*$F$469</f>
        <v/>
      </c>
      <c r="AR477" s="40">
        <f>AR474*$F$469</f>
        <v/>
      </c>
      <c r="AS477" s="40">
        <f>AS474*$F$469</f>
        <v/>
      </c>
      <c r="AT477" s="40">
        <f>AT474*$F$469</f>
        <v/>
      </c>
      <c r="AU477" s="40">
        <f>AU474*$F$469</f>
        <v/>
      </c>
      <c r="AV477" s="40">
        <f>AV474*$F$469</f>
        <v/>
      </c>
      <c r="AW477" s="40">
        <f>AW474*$F$469</f>
        <v/>
      </c>
      <c r="AX477" s="40">
        <f>AX474*$F$469</f>
        <v/>
      </c>
      <c r="AY477" s="40">
        <f>AY474*$F$469</f>
        <v/>
      </c>
      <c r="AZ477" s="40">
        <f>AZ474*$F$469</f>
        <v/>
      </c>
      <c r="BA477" s="40">
        <f>BA474*$F$469</f>
        <v/>
      </c>
      <c r="BB477" s="40">
        <f>BB474*$F$469</f>
        <v/>
      </c>
      <c r="BC477" s="40">
        <f>BC474*$F$469</f>
        <v/>
      </c>
      <c r="BD477" s="40">
        <f>BD474*$F$469</f>
        <v/>
      </c>
    </row>
    <row r="478">
      <c r="A478" s="2" t="inlineStr">
        <is>
          <t xml:space="preserve">   delivered + short &gt;= owed, and short &lt;= owed (you cannot be short of an order nobody placed).</t>
        </is>
      </c>
    </row>
    <row r="480">
      <c r="A480" s="36" t="inlineStr">
        <is>
          <t>Week</t>
        </is>
      </c>
      <c r="B480" s="37" t="inlineStr">
        <is>
          <t>lb</t>
        </is>
      </c>
      <c r="E480" s="38" t="n">
        <v>1</v>
      </c>
      <c r="F480" s="38" t="n">
        <v>2</v>
      </c>
      <c r="G480" s="38" t="n">
        <v>3</v>
      </c>
      <c r="H480" s="38" t="n">
        <v>4</v>
      </c>
      <c r="I480" s="38" t="n">
        <v>5</v>
      </c>
      <c r="J480" s="38" t="n">
        <v>6</v>
      </c>
      <c r="K480" s="38" t="n">
        <v>7</v>
      </c>
      <c r="L480" s="38" t="n">
        <v>8</v>
      </c>
      <c r="M480" s="38" t="n">
        <v>9</v>
      </c>
      <c r="N480" s="38" t="n">
        <v>10</v>
      </c>
      <c r="O480" s="38" t="n">
        <v>11</v>
      </c>
      <c r="P480" s="38" t="n">
        <v>12</v>
      </c>
      <c r="Q480" s="38" t="n">
        <v>13</v>
      </c>
      <c r="R480" s="38" t="n">
        <v>14</v>
      </c>
      <c r="S480" s="38" t="n">
        <v>15</v>
      </c>
      <c r="T480" s="38" t="n">
        <v>16</v>
      </c>
      <c r="U480" s="38" t="n">
        <v>17</v>
      </c>
      <c r="V480" s="38" t="n">
        <v>18</v>
      </c>
      <c r="W480" s="38" t="n">
        <v>19</v>
      </c>
      <c r="X480" s="38" t="n">
        <v>20</v>
      </c>
      <c r="Y480" s="38" t="n">
        <v>21</v>
      </c>
      <c r="Z480" s="38" t="n">
        <v>22</v>
      </c>
      <c r="AA480" s="38" t="n">
        <v>23</v>
      </c>
      <c r="AB480" s="38" t="n">
        <v>24</v>
      </c>
      <c r="AC480" s="38" t="n">
        <v>25</v>
      </c>
      <c r="AD480" s="38" t="n">
        <v>26</v>
      </c>
      <c r="AE480" s="38" t="n">
        <v>27</v>
      </c>
      <c r="AF480" s="38" t="n">
        <v>28</v>
      </c>
      <c r="AG480" s="38" t="n">
        <v>29</v>
      </c>
      <c r="AH480" s="38" t="n">
        <v>30</v>
      </c>
      <c r="AI480" s="38" t="n">
        <v>31</v>
      </c>
      <c r="AJ480" s="38" t="n">
        <v>32</v>
      </c>
      <c r="AK480" s="38" t="n">
        <v>33</v>
      </c>
      <c r="AL480" s="38" t="n">
        <v>34</v>
      </c>
      <c r="AM480" s="38" t="n">
        <v>35</v>
      </c>
      <c r="AN480" s="38" t="n">
        <v>36</v>
      </c>
      <c r="AO480" s="38" t="n">
        <v>37</v>
      </c>
      <c r="AP480" s="38" t="n">
        <v>38</v>
      </c>
      <c r="AQ480" s="38" t="n">
        <v>39</v>
      </c>
      <c r="AR480" s="38" t="n">
        <v>40</v>
      </c>
      <c r="AS480" s="38" t="n">
        <v>41</v>
      </c>
      <c r="AT480" s="38" t="n">
        <v>42</v>
      </c>
      <c r="AU480" s="38" t="n">
        <v>43</v>
      </c>
      <c r="AV480" s="38" t="n">
        <v>44</v>
      </c>
      <c r="AW480" s="38" t="n">
        <v>45</v>
      </c>
      <c r="AX480" s="38" t="n">
        <v>46</v>
      </c>
      <c r="AY480" s="38" t="n">
        <v>47</v>
      </c>
      <c r="AZ480" s="38" t="n">
        <v>48</v>
      </c>
      <c r="BA480" s="38" t="n">
        <v>49</v>
      </c>
      <c r="BB480" s="38" t="n">
        <v>50</v>
      </c>
      <c r="BC480" s="38" t="n">
        <v>51</v>
      </c>
      <c r="BD480" s="38" t="n">
        <v>52</v>
      </c>
    </row>
    <row r="481">
      <c r="A481" s="32" t="inlineStr">
        <is>
          <t>Spinach / Wholesale — SHORTFALL</t>
        </is>
      </c>
      <c r="B481" s="2" t="inlineStr">
        <is>
          <t>lb &lt;-- SOLVER</t>
        </is>
      </c>
      <c r="E481" s="39" t="n">
        <v>0</v>
      </c>
      <c r="F481" s="39" t="n">
        <v>0</v>
      </c>
      <c r="G481" s="39" t="n">
        <v>0</v>
      </c>
      <c r="H481" s="39" t="n">
        <v>0</v>
      </c>
      <c r="I481" s="39" t="n">
        <v>0</v>
      </c>
      <c r="J481" s="39" t="n">
        <v>0</v>
      </c>
      <c r="K481" s="39" t="n">
        <v>0</v>
      </c>
      <c r="L481" s="39" t="n">
        <v>0</v>
      </c>
      <c r="M481" s="39" t="n">
        <v>0</v>
      </c>
      <c r="N481" s="39" t="n">
        <v>0</v>
      </c>
      <c r="O481" s="39" t="n">
        <v>0</v>
      </c>
      <c r="P481" s="39" t="n">
        <v>0</v>
      </c>
      <c r="Q481" s="39" t="n">
        <v>0</v>
      </c>
      <c r="R481" s="39" t="n">
        <v>0</v>
      </c>
      <c r="S481" s="39" t="n">
        <v>0</v>
      </c>
      <c r="T481" s="39" t="n">
        <v>0</v>
      </c>
      <c r="U481" s="39" t="n">
        <v>0</v>
      </c>
      <c r="V481" s="39" t="n">
        <v>0</v>
      </c>
      <c r="W481" s="39" t="n">
        <v>0</v>
      </c>
      <c r="X481" s="39" t="n">
        <v>0</v>
      </c>
      <c r="Y481" s="39" t="n">
        <v>0</v>
      </c>
      <c r="Z481" s="39" t="n">
        <v>0</v>
      </c>
      <c r="AA481" s="39" t="n">
        <v>0</v>
      </c>
      <c r="AB481" s="39" t="n">
        <v>0</v>
      </c>
      <c r="AC481" s="39" t="n">
        <v>0</v>
      </c>
      <c r="AD481" s="39" t="n">
        <v>0</v>
      </c>
      <c r="AE481" s="39" t="n">
        <v>0</v>
      </c>
      <c r="AF481" s="39" t="n">
        <v>0</v>
      </c>
      <c r="AG481" s="39" t="n">
        <v>0</v>
      </c>
      <c r="AH481" s="39" t="n">
        <v>0</v>
      </c>
      <c r="AI481" s="39" t="n">
        <v>0</v>
      </c>
      <c r="AJ481" s="39" t="n">
        <v>0</v>
      </c>
      <c r="AK481" s="39" t="n">
        <v>0</v>
      </c>
      <c r="AL481" s="39" t="n">
        <v>0</v>
      </c>
      <c r="AM481" s="39" t="n">
        <v>0</v>
      </c>
      <c r="AN481" s="39" t="n">
        <v>0</v>
      </c>
      <c r="AO481" s="39" t="n">
        <v>0</v>
      </c>
      <c r="AP481" s="39" t="n">
        <v>0</v>
      </c>
      <c r="AQ481" s="39" t="n">
        <v>0</v>
      </c>
      <c r="AR481" s="39" t="n">
        <v>0</v>
      </c>
      <c r="AS481" s="39" t="n">
        <v>0</v>
      </c>
      <c r="AT481" s="39" t="n">
        <v>0</v>
      </c>
      <c r="AU481" s="39" t="n">
        <v>0</v>
      </c>
      <c r="AV481" s="39" t="n">
        <v>0</v>
      </c>
      <c r="AW481" s="39" t="n">
        <v>0</v>
      </c>
      <c r="AX481" s="39" t="n">
        <v>0</v>
      </c>
      <c r="AY481" s="39" t="n">
        <v>0</v>
      </c>
      <c r="AZ481" s="39" t="n">
        <v>0</v>
      </c>
      <c r="BA481" s="39" t="n">
        <v>0</v>
      </c>
      <c r="BB481" s="39" t="n">
        <v>0</v>
      </c>
      <c r="BC481" s="39" t="n">
        <v>0</v>
      </c>
      <c r="BD481" s="39" t="n">
        <v>0</v>
      </c>
    </row>
    <row r="482">
      <c r="A482" s="41" t="inlineStr">
        <is>
          <t xml:space="preserve">  delivered + short</t>
        </is>
      </c>
      <c r="B482" s="2" t="inlineStr">
        <is>
          <t>lb</t>
        </is>
      </c>
      <c r="E482" s="42">
        <f>E464+E481</f>
        <v/>
      </c>
      <c r="F482" s="42">
        <f>F464+F481</f>
        <v/>
      </c>
      <c r="G482" s="42">
        <f>G464+G481</f>
        <v/>
      </c>
      <c r="H482" s="42">
        <f>H464+H481</f>
        <v/>
      </c>
      <c r="I482" s="42">
        <f>I464+I481</f>
        <v/>
      </c>
      <c r="J482" s="42">
        <f>J464+J481</f>
        <v/>
      </c>
      <c r="K482" s="42">
        <f>K464+K481</f>
        <v/>
      </c>
      <c r="L482" s="42">
        <f>L464+L481</f>
        <v/>
      </c>
      <c r="M482" s="42">
        <f>M464+M481</f>
        <v/>
      </c>
      <c r="N482" s="42">
        <f>N464+N481</f>
        <v/>
      </c>
      <c r="O482" s="42">
        <f>O464+O481</f>
        <v/>
      </c>
      <c r="P482" s="42">
        <f>P464+P481</f>
        <v/>
      </c>
      <c r="Q482" s="42">
        <f>Q464+Q481</f>
        <v/>
      </c>
      <c r="R482" s="42">
        <f>R464+R481</f>
        <v/>
      </c>
      <c r="S482" s="42">
        <f>S464+S481</f>
        <v/>
      </c>
      <c r="T482" s="42">
        <f>T464+T481</f>
        <v/>
      </c>
      <c r="U482" s="42">
        <f>U464+U481</f>
        <v/>
      </c>
      <c r="V482" s="42">
        <f>V464+V481</f>
        <v/>
      </c>
      <c r="W482" s="42">
        <f>W464+W481</f>
        <v/>
      </c>
      <c r="X482" s="42">
        <f>X464+X481</f>
        <v/>
      </c>
      <c r="Y482" s="42">
        <f>Y464+Y481</f>
        <v/>
      </c>
      <c r="Z482" s="42">
        <f>Z464+Z481</f>
        <v/>
      </c>
      <c r="AA482" s="42">
        <f>AA464+AA481</f>
        <v/>
      </c>
      <c r="AB482" s="42">
        <f>AB464+AB481</f>
        <v/>
      </c>
      <c r="AC482" s="42">
        <f>AC464+AC481</f>
        <v/>
      </c>
      <c r="AD482" s="42">
        <f>AD464+AD481</f>
        <v/>
      </c>
      <c r="AE482" s="42">
        <f>AE464+AE481</f>
        <v/>
      </c>
      <c r="AF482" s="42">
        <f>AF464+AF481</f>
        <v/>
      </c>
      <c r="AG482" s="42">
        <f>AG464+AG481</f>
        <v/>
      </c>
      <c r="AH482" s="42">
        <f>AH464+AH481</f>
        <v/>
      </c>
      <c r="AI482" s="42">
        <f>AI464+AI481</f>
        <v/>
      </c>
      <c r="AJ482" s="42">
        <f>AJ464+AJ481</f>
        <v/>
      </c>
      <c r="AK482" s="42">
        <f>AK464+AK481</f>
        <v/>
      </c>
      <c r="AL482" s="42">
        <f>AL464+AL481</f>
        <v/>
      </c>
      <c r="AM482" s="42">
        <f>AM464+AM481</f>
        <v/>
      </c>
      <c r="AN482" s="42">
        <f>AN464+AN481</f>
        <v/>
      </c>
      <c r="AO482" s="42">
        <f>AO464+AO481</f>
        <v/>
      </c>
      <c r="AP482" s="42">
        <f>AP464+AP481</f>
        <v/>
      </c>
      <c r="AQ482" s="42">
        <f>AQ464+AQ481</f>
        <v/>
      </c>
      <c r="AR482" s="42">
        <f>AR464+AR481</f>
        <v/>
      </c>
      <c r="AS482" s="42">
        <f>AS464+AS481</f>
        <v/>
      </c>
      <c r="AT482" s="42">
        <f>AT464+AT481</f>
        <v/>
      </c>
      <c r="AU482" s="42">
        <f>AU464+AU481</f>
        <v/>
      </c>
      <c r="AV482" s="42">
        <f>AV464+AV481</f>
        <v/>
      </c>
      <c r="AW482" s="42">
        <f>AW464+AW481</f>
        <v/>
      </c>
      <c r="AX482" s="42">
        <f>AX464+AX481</f>
        <v/>
      </c>
      <c r="AY482" s="42">
        <f>AY464+AY481</f>
        <v/>
      </c>
      <c r="AZ482" s="42">
        <f>AZ464+AZ481</f>
        <v/>
      </c>
      <c r="BA482" s="42">
        <f>BA464+BA481</f>
        <v/>
      </c>
      <c r="BB482" s="42">
        <f>BB464+BB481</f>
        <v/>
      </c>
      <c r="BC482" s="42">
        <f>BC464+BC481</f>
        <v/>
      </c>
      <c r="BD482" s="42">
        <f>BD464+BD481</f>
        <v/>
      </c>
    </row>
    <row r="483">
      <c r="A483" s="41" t="inlineStr">
        <is>
          <t xml:space="preserve">  owed (row 470)</t>
        </is>
      </c>
      <c r="B483" s="2" t="inlineStr">
        <is>
          <t>lb</t>
        </is>
      </c>
      <c r="E483" s="42">
        <f>IF(AND(1&gt;=$D$470,1&lt;=$E$470),$C$470,0)</f>
        <v/>
      </c>
      <c r="F483" s="42">
        <f>IF(AND(2&gt;=$D$470,2&lt;=$E$470),$C$470,0)</f>
        <v/>
      </c>
      <c r="G483" s="42">
        <f>IF(AND(3&gt;=$D$470,3&lt;=$E$470),$C$470,0)</f>
        <v/>
      </c>
      <c r="H483" s="42">
        <f>IF(AND(4&gt;=$D$470,4&lt;=$E$470),$C$470,0)</f>
        <v/>
      </c>
      <c r="I483" s="42">
        <f>IF(AND(5&gt;=$D$470,5&lt;=$E$470),$C$470,0)</f>
        <v/>
      </c>
      <c r="J483" s="42">
        <f>IF(AND(6&gt;=$D$470,6&lt;=$E$470),$C$470,0)</f>
        <v/>
      </c>
      <c r="K483" s="42">
        <f>IF(AND(7&gt;=$D$470,7&lt;=$E$470),$C$470,0)</f>
        <v/>
      </c>
      <c r="L483" s="42">
        <f>IF(AND(8&gt;=$D$470,8&lt;=$E$470),$C$470,0)</f>
        <v/>
      </c>
      <c r="M483" s="42">
        <f>IF(AND(9&gt;=$D$470,9&lt;=$E$470),$C$470,0)</f>
        <v/>
      </c>
      <c r="N483" s="42">
        <f>IF(AND(10&gt;=$D$470,10&lt;=$E$470),$C$470,0)</f>
        <v/>
      </c>
      <c r="O483" s="42">
        <f>IF(AND(11&gt;=$D$470,11&lt;=$E$470),$C$470,0)</f>
        <v/>
      </c>
      <c r="P483" s="42">
        <f>IF(AND(12&gt;=$D$470,12&lt;=$E$470),$C$470,0)</f>
        <v/>
      </c>
      <c r="Q483" s="42">
        <f>IF(AND(13&gt;=$D$470,13&lt;=$E$470),$C$470,0)</f>
        <v/>
      </c>
      <c r="R483" s="42">
        <f>IF(AND(14&gt;=$D$470,14&lt;=$E$470),$C$470,0)</f>
        <v/>
      </c>
      <c r="S483" s="42">
        <f>IF(AND(15&gt;=$D$470,15&lt;=$E$470),$C$470,0)</f>
        <v/>
      </c>
      <c r="T483" s="42">
        <f>IF(AND(16&gt;=$D$470,16&lt;=$E$470),$C$470,0)</f>
        <v/>
      </c>
      <c r="U483" s="42">
        <f>IF(AND(17&gt;=$D$470,17&lt;=$E$470),$C$470,0)</f>
        <v/>
      </c>
      <c r="V483" s="42">
        <f>IF(AND(18&gt;=$D$470,18&lt;=$E$470),$C$470,0)</f>
        <v/>
      </c>
      <c r="W483" s="42">
        <f>IF(AND(19&gt;=$D$470,19&lt;=$E$470),$C$470,0)</f>
        <v/>
      </c>
      <c r="X483" s="42">
        <f>IF(AND(20&gt;=$D$470,20&lt;=$E$470),$C$470,0)</f>
        <v/>
      </c>
      <c r="Y483" s="42">
        <f>IF(AND(21&gt;=$D$470,21&lt;=$E$470),$C$470,0)</f>
        <v/>
      </c>
      <c r="Z483" s="42">
        <f>IF(AND(22&gt;=$D$470,22&lt;=$E$470),$C$470,0)</f>
        <v/>
      </c>
      <c r="AA483" s="42">
        <f>IF(AND(23&gt;=$D$470,23&lt;=$E$470),$C$470,0)</f>
        <v/>
      </c>
      <c r="AB483" s="42">
        <f>IF(AND(24&gt;=$D$470,24&lt;=$E$470),$C$470,0)</f>
        <v/>
      </c>
      <c r="AC483" s="42">
        <f>IF(AND(25&gt;=$D$470,25&lt;=$E$470),$C$470,0)</f>
        <v/>
      </c>
      <c r="AD483" s="42">
        <f>IF(AND(26&gt;=$D$470,26&lt;=$E$470),$C$470,0)</f>
        <v/>
      </c>
      <c r="AE483" s="42">
        <f>IF(AND(27&gt;=$D$470,27&lt;=$E$470),$C$470,0)</f>
        <v/>
      </c>
      <c r="AF483" s="42">
        <f>IF(AND(28&gt;=$D$470,28&lt;=$E$470),$C$470,0)</f>
        <v/>
      </c>
      <c r="AG483" s="42">
        <f>IF(AND(29&gt;=$D$470,29&lt;=$E$470),$C$470,0)</f>
        <v/>
      </c>
      <c r="AH483" s="42">
        <f>IF(AND(30&gt;=$D$470,30&lt;=$E$470),$C$470,0)</f>
        <v/>
      </c>
      <c r="AI483" s="42">
        <f>IF(AND(31&gt;=$D$470,31&lt;=$E$470),$C$470,0)</f>
        <v/>
      </c>
      <c r="AJ483" s="42">
        <f>IF(AND(32&gt;=$D$470,32&lt;=$E$470),$C$470,0)</f>
        <v/>
      </c>
      <c r="AK483" s="42">
        <f>IF(AND(33&gt;=$D$470,33&lt;=$E$470),$C$470,0)</f>
        <v/>
      </c>
      <c r="AL483" s="42">
        <f>IF(AND(34&gt;=$D$470,34&lt;=$E$470),$C$470,0)</f>
        <v/>
      </c>
      <c r="AM483" s="42">
        <f>IF(AND(35&gt;=$D$470,35&lt;=$E$470),$C$470,0)</f>
        <v/>
      </c>
      <c r="AN483" s="42">
        <f>IF(AND(36&gt;=$D$470,36&lt;=$E$470),$C$470,0)</f>
        <v/>
      </c>
      <c r="AO483" s="42">
        <f>IF(AND(37&gt;=$D$470,37&lt;=$E$470),$C$470,0)</f>
        <v/>
      </c>
      <c r="AP483" s="42">
        <f>IF(AND(38&gt;=$D$470,38&lt;=$E$470),$C$470,0)</f>
        <v/>
      </c>
      <c r="AQ483" s="42">
        <f>IF(AND(39&gt;=$D$470,39&lt;=$E$470),$C$470,0)</f>
        <v/>
      </c>
      <c r="AR483" s="42">
        <f>IF(AND(40&gt;=$D$470,40&lt;=$E$470),$C$470,0)</f>
        <v/>
      </c>
      <c r="AS483" s="42">
        <f>IF(AND(41&gt;=$D$470,41&lt;=$E$470),$C$470,0)</f>
        <v/>
      </c>
      <c r="AT483" s="42">
        <f>IF(AND(42&gt;=$D$470,42&lt;=$E$470),$C$470,0)</f>
        <v/>
      </c>
      <c r="AU483" s="42">
        <f>IF(AND(43&gt;=$D$470,43&lt;=$E$470),$C$470,0)</f>
        <v/>
      </c>
      <c r="AV483" s="42">
        <f>IF(AND(44&gt;=$D$470,44&lt;=$E$470),$C$470,0)</f>
        <v/>
      </c>
      <c r="AW483" s="42">
        <f>IF(AND(45&gt;=$D$470,45&lt;=$E$470),$C$470,0)</f>
        <v/>
      </c>
      <c r="AX483" s="42">
        <f>IF(AND(46&gt;=$D$470,46&lt;=$E$470),$C$470,0)</f>
        <v/>
      </c>
      <c r="AY483" s="42">
        <f>IF(AND(47&gt;=$D$470,47&lt;=$E$470),$C$470,0)</f>
        <v/>
      </c>
      <c r="AZ483" s="42">
        <f>IF(AND(48&gt;=$D$470,48&lt;=$E$470),$C$470,0)</f>
        <v/>
      </c>
      <c r="BA483" s="42">
        <f>IF(AND(49&gt;=$D$470,49&lt;=$E$470),$C$470,0)</f>
        <v/>
      </c>
      <c r="BB483" s="42">
        <f>IF(AND(50&gt;=$D$470,50&lt;=$E$470),$C$470,0)</f>
        <v/>
      </c>
      <c r="BC483" s="42">
        <f>IF(AND(51&gt;=$D$470,51&lt;=$E$470),$C$470,0)</f>
        <v/>
      </c>
      <c r="BD483" s="42">
        <f>IF(AND(52&gt;=$D$470,52&lt;=$E$470),$C$470,0)</f>
        <v/>
      </c>
    </row>
    <row r="484">
      <c r="A484" s="33" t="inlineStr">
        <is>
          <t xml:space="preserve">  penalty</t>
        </is>
      </c>
      <c r="B484" s="2" t="inlineStr">
        <is>
          <t>$</t>
        </is>
      </c>
      <c r="E484" s="40">
        <f>E481*$F$470</f>
        <v/>
      </c>
      <c r="F484" s="40">
        <f>F481*$F$470</f>
        <v/>
      </c>
      <c r="G484" s="40">
        <f>G481*$F$470</f>
        <v/>
      </c>
      <c r="H484" s="40">
        <f>H481*$F$470</f>
        <v/>
      </c>
      <c r="I484" s="40">
        <f>I481*$F$470</f>
        <v/>
      </c>
      <c r="J484" s="40">
        <f>J481*$F$470</f>
        <v/>
      </c>
      <c r="K484" s="40">
        <f>K481*$F$470</f>
        <v/>
      </c>
      <c r="L484" s="40">
        <f>L481*$F$470</f>
        <v/>
      </c>
      <c r="M484" s="40">
        <f>M481*$F$470</f>
        <v/>
      </c>
      <c r="N484" s="40">
        <f>N481*$F$470</f>
        <v/>
      </c>
      <c r="O484" s="40">
        <f>O481*$F$470</f>
        <v/>
      </c>
      <c r="P484" s="40">
        <f>P481*$F$470</f>
        <v/>
      </c>
      <c r="Q484" s="40">
        <f>Q481*$F$470</f>
        <v/>
      </c>
      <c r="R484" s="40">
        <f>R481*$F$470</f>
        <v/>
      </c>
      <c r="S484" s="40">
        <f>S481*$F$470</f>
        <v/>
      </c>
      <c r="T484" s="40">
        <f>T481*$F$470</f>
        <v/>
      </c>
      <c r="U484" s="40">
        <f>U481*$F$470</f>
        <v/>
      </c>
      <c r="V484" s="40">
        <f>V481*$F$470</f>
        <v/>
      </c>
      <c r="W484" s="40">
        <f>W481*$F$470</f>
        <v/>
      </c>
      <c r="X484" s="40">
        <f>X481*$F$470</f>
        <v/>
      </c>
      <c r="Y484" s="40">
        <f>Y481*$F$470</f>
        <v/>
      </c>
      <c r="Z484" s="40">
        <f>Z481*$F$470</f>
        <v/>
      </c>
      <c r="AA484" s="40">
        <f>AA481*$F$470</f>
        <v/>
      </c>
      <c r="AB484" s="40">
        <f>AB481*$F$470</f>
        <v/>
      </c>
      <c r="AC484" s="40">
        <f>AC481*$F$470</f>
        <v/>
      </c>
      <c r="AD484" s="40">
        <f>AD481*$F$470</f>
        <v/>
      </c>
      <c r="AE484" s="40">
        <f>AE481*$F$470</f>
        <v/>
      </c>
      <c r="AF484" s="40">
        <f>AF481*$F$470</f>
        <v/>
      </c>
      <c r="AG484" s="40">
        <f>AG481*$F$470</f>
        <v/>
      </c>
      <c r="AH484" s="40">
        <f>AH481*$F$470</f>
        <v/>
      </c>
      <c r="AI484" s="40">
        <f>AI481*$F$470</f>
        <v/>
      </c>
      <c r="AJ484" s="40">
        <f>AJ481*$F$470</f>
        <v/>
      </c>
      <c r="AK484" s="40">
        <f>AK481*$F$470</f>
        <v/>
      </c>
      <c r="AL484" s="40">
        <f>AL481*$F$470</f>
        <v/>
      </c>
      <c r="AM484" s="40">
        <f>AM481*$F$470</f>
        <v/>
      </c>
      <c r="AN484" s="40">
        <f>AN481*$F$470</f>
        <v/>
      </c>
      <c r="AO484" s="40">
        <f>AO481*$F$470</f>
        <v/>
      </c>
      <c r="AP484" s="40">
        <f>AP481*$F$470</f>
        <v/>
      </c>
      <c r="AQ484" s="40">
        <f>AQ481*$F$470</f>
        <v/>
      </c>
      <c r="AR484" s="40">
        <f>AR481*$F$470</f>
        <v/>
      </c>
      <c r="AS484" s="40">
        <f>AS481*$F$470</f>
        <v/>
      </c>
      <c r="AT484" s="40">
        <f>AT481*$F$470</f>
        <v/>
      </c>
      <c r="AU484" s="40">
        <f>AU481*$F$470</f>
        <v/>
      </c>
      <c r="AV484" s="40">
        <f>AV481*$F$470</f>
        <v/>
      </c>
      <c r="AW484" s="40">
        <f>AW481*$F$470</f>
        <v/>
      </c>
      <c r="AX484" s="40">
        <f>AX481*$F$470</f>
        <v/>
      </c>
      <c r="AY484" s="40">
        <f>AY481*$F$470</f>
        <v/>
      </c>
      <c r="AZ484" s="40">
        <f>AZ481*$F$470</f>
        <v/>
      </c>
      <c r="BA484" s="40">
        <f>BA481*$F$470</f>
        <v/>
      </c>
      <c r="BB484" s="40">
        <f>BB481*$F$470</f>
        <v/>
      </c>
      <c r="BC484" s="40">
        <f>BC481*$F$470</f>
        <v/>
      </c>
      <c r="BD484" s="40">
        <f>BD481*$F$470</f>
        <v/>
      </c>
    </row>
    <row r="485">
      <c r="A485" s="2" t="inlineStr">
        <is>
          <t xml:space="preserve">   delivered + short &gt;= owed, and short &lt;= owed (you cannot be short of an order nobody placed).</t>
        </is>
      </c>
    </row>
    <row r="487">
      <c r="A487" s="3" t="inlineStr">
        <is>
          <t>6 — THE TWO STORES</t>
        </is>
      </c>
    </row>
    <row r="488">
      <c r="A488" s="36" t="inlineStr">
        <is>
          <t>Week</t>
        </is>
      </c>
      <c r="B488" s="37" t="inlineStr">
        <is>
          <t>m3</t>
        </is>
      </c>
      <c r="E488" s="38" t="n">
        <v>1</v>
      </c>
      <c r="F488" s="38" t="n">
        <v>2</v>
      </c>
      <c r="G488" s="38" t="n">
        <v>3</v>
      </c>
      <c r="H488" s="38" t="n">
        <v>4</v>
      </c>
      <c r="I488" s="38" t="n">
        <v>5</v>
      </c>
      <c r="J488" s="38" t="n">
        <v>6</v>
      </c>
      <c r="K488" s="38" t="n">
        <v>7</v>
      </c>
      <c r="L488" s="38" t="n">
        <v>8</v>
      </c>
      <c r="M488" s="38" t="n">
        <v>9</v>
      </c>
      <c r="N488" s="38" t="n">
        <v>10</v>
      </c>
      <c r="O488" s="38" t="n">
        <v>11</v>
      </c>
      <c r="P488" s="38" t="n">
        <v>12</v>
      </c>
      <c r="Q488" s="38" t="n">
        <v>13</v>
      </c>
      <c r="R488" s="38" t="n">
        <v>14</v>
      </c>
      <c r="S488" s="38" t="n">
        <v>15</v>
      </c>
      <c r="T488" s="38" t="n">
        <v>16</v>
      </c>
      <c r="U488" s="38" t="n">
        <v>17</v>
      </c>
      <c r="V488" s="38" t="n">
        <v>18</v>
      </c>
      <c r="W488" s="38" t="n">
        <v>19</v>
      </c>
      <c r="X488" s="38" t="n">
        <v>20</v>
      </c>
      <c r="Y488" s="38" t="n">
        <v>21</v>
      </c>
      <c r="Z488" s="38" t="n">
        <v>22</v>
      </c>
      <c r="AA488" s="38" t="n">
        <v>23</v>
      </c>
      <c r="AB488" s="38" t="n">
        <v>24</v>
      </c>
      <c r="AC488" s="38" t="n">
        <v>25</v>
      </c>
      <c r="AD488" s="38" t="n">
        <v>26</v>
      </c>
      <c r="AE488" s="38" t="n">
        <v>27</v>
      </c>
      <c r="AF488" s="38" t="n">
        <v>28</v>
      </c>
      <c r="AG488" s="38" t="n">
        <v>29</v>
      </c>
      <c r="AH488" s="38" t="n">
        <v>30</v>
      </c>
      <c r="AI488" s="38" t="n">
        <v>31</v>
      </c>
      <c r="AJ488" s="38" t="n">
        <v>32</v>
      </c>
      <c r="AK488" s="38" t="n">
        <v>33</v>
      </c>
      <c r="AL488" s="38" t="n">
        <v>34</v>
      </c>
      <c r="AM488" s="38" t="n">
        <v>35</v>
      </c>
      <c r="AN488" s="38" t="n">
        <v>36</v>
      </c>
      <c r="AO488" s="38" t="n">
        <v>37</v>
      </c>
      <c r="AP488" s="38" t="n">
        <v>38</v>
      </c>
      <c r="AQ488" s="38" t="n">
        <v>39</v>
      </c>
      <c r="AR488" s="38" t="n">
        <v>40</v>
      </c>
      <c r="AS488" s="38" t="n">
        <v>41</v>
      </c>
      <c r="AT488" s="38" t="n">
        <v>42</v>
      </c>
      <c r="AU488" s="38" t="n">
        <v>43</v>
      </c>
      <c r="AV488" s="38" t="n">
        <v>44</v>
      </c>
      <c r="AW488" s="38" t="n">
        <v>45</v>
      </c>
      <c r="AX488" s="38" t="n">
        <v>46</v>
      </c>
      <c r="AY488" s="38" t="n">
        <v>47</v>
      </c>
      <c r="AZ488" s="38" t="n">
        <v>48</v>
      </c>
      <c r="BA488" s="38" t="n">
        <v>49</v>
      </c>
      <c r="BB488" s="38" t="n">
        <v>50</v>
      </c>
      <c r="BC488" s="38" t="n">
        <v>51</v>
      </c>
      <c r="BD488" s="38" t="n">
        <v>52</v>
      </c>
    </row>
    <row r="489">
      <c r="A489" s="41" t="inlineStr">
        <is>
          <t>COLD STORE</t>
        </is>
      </c>
      <c r="B489" s="2" t="inlineStr">
        <is>
          <t>used</t>
        </is>
      </c>
      <c r="E489" s="51">
        <f>E348+E377+E431+E458</f>
        <v/>
      </c>
      <c r="F489" s="51">
        <f>F348+F377+F431+F458</f>
        <v/>
      </c>
      <c r="G489" s="51">
        <f>G348+G377+G431+G458</f>
        <v/>
      </c>
      <c r="H489" s="51">
        <f>H348+H377+H431+H458</f>
        <v/>
      </c>
      <c r="I489" s="51">
        <f>I348+I377+I431+I458</f>
        <v/>
      </c>
      <c r="J489" s="51">
        <f>J348+J377+J431+J458</f>
        <v/>
      </c>
      <c r="K489" s="51">
        <f>K348+K377+K431+K458</f>
        <v/>
      </c>
      <c r="L489" s="51">
        <f>L348+L377+L431+L458</f>
        <v/>
      </c>
      <c r="M489" s="51">
        <f>M348+M377+M431+M458</f>
        <v/>
      </c>
      <c r="N489" s="51">
        <f>N348+N377+N431+N458</f>
        <v/>
      </c>
      <c r="O489" s="51">
        <f>O348+O377+O431+O458</f>
        <v/>
      </c>
      <c r="P489" s="51">
        <f>P348+P377+P431+P458</f>
        <v/>
      </c>
      <c r="Q489" s="51">
        <f>Q348+Q377+Q431+Q458</f>
        <v/>
      </c>
      <c r="R489" s="51">
        <f>R348+R377+R431+R458</f>
        <v/>
      </c>
      <c r="S489" s="51">
        <f>S348+S377+S431+S458</f>
        <v/>
      </c>
      <c r="T489" s="51">
        <f>T348+T377+T431+T458</f>
        <v/>
      </c>
      <c r="U489" s="51">
        <f>U348+U377+U431+U458</f>
        <v/>
      </c>
      <c r="V489" s="51">
        <f>V348+V377+V431+V458</f>
        <v/>
      </c>
      <c r="W489" s="51">
        <f>W348+W377+W431+W458</f>
        <v/>
      </c>
      <c r="X489" s="51">
        <f>X348+X377+X431+X458</f>
        <v/>
      </c>
      <c r="Y489" s="51">
        <f>Y348+Y377+Y431+Y458</f>
        <v/>
      </c>
      <c r="Z489" s="51">
        <f>Z348+Z377+Z431+Z458</f>
        <v/>
      </c>
      <c r="AA489" s="51">
        <f>AA348+AA377+AA431+AA458</f>
        <v/>
      </c>
      <c r="AB489" s="51">
        <f>AB348+AB377+AB431+AB458</f>
        <v/>
      </c>
      <c r="AC489" s="51">
        <f>AC348+AC377+AC431+AC458</f>
        <v/>
      </c>
      <c r="AD489" s="51">
        <f>AD348+AD377+AD431+AD458</f>
        <v/>
      </c>
      <c r="AE489" s="51">
        <f>AE348+AE377+AE431+AE458</f>
        <v/>
      </c>
      <c r="AF489" s="51">
        <f>AF348+AF377+AF431+AF458</f>
        <v/>
      </c>
      <c r="AG489" s="51">
        <f>AG348+AG377+AG431+AG458</f>
        <v/>
      </c>
      <c r="AH489" s="51">
        <f>AH348+AH377+AH431+AH458</f>
        <v/>
      </c>
      <c r="AI489" s="51">
        <f>AI348+AI377+AI431+AI458</f>
        <v/>
      </c>
      <c r="AJ489" s="51">
        <f>AJ348+AJ377+AJ431+AJ458</f>
        <v/>
      </c>
      <c r="AK489" s="51">
        <f>AK348+AK377+AK431+AK458</f>
        <v/>
      </c>
      <c r="AL489" s="51">
        <f>AL348+AL377+AL431+AL458</f>
        <v/>
      </c>
      <c r="AM489" s="51">
        <f>AM348+AM377+AM431+AM458</f>
        <v/>
      </c>
      <c r="AN489" s="51">
        <f>AN348+AN377+AN431+AN458</f>
        <v/>
      </c>
      <c r="AO489" s="51">
        <f>AO348+AO377+AO431+AO458</f>
        <v/>
      </c>
      <c r="AP489" s="51">
        <f>AP348+AP377+AP431+AP458</f>
        <v/>
      </c>
      <c r="AQ489" s="51">
        <f>AQ348+AQ377+AQ431+AQ458</f>
        <v/>
      </c>
      <c r="AR489" s="51">
        <f>AR348+AR377+AR431+AR458</f>
        <v/>
      </c>
      <c r="AS489" s="51">
        <f>AS348+AS377+AS431+AS458</f>
        <v/>
      </c>
      <c r="AT489" s="51">
        <f>AT348+AT377+AT431+AT458</f>
        <v/>
      </c>
      <c r="AU489" s="51">
        <f>AU348+AU377+AU431+AU458</f>
        <v/>
      </c>
      <c r="AV489" s="51">
        <f>AV348+AV377+AV431+AV458</f>
        <v/>
      </c>
      <c r="AW489" s="51">
        <f>AW348+AW377+AW431+AW458</f>
        <v/>
      </c>
      <c r="AX489" s="51">
        <f>AX348+AX377+AX431+AX458</f>
        <v/>
      </c>
      <c r="AY489" s="51">
        <f>AY348+AY377+AY431+AY458</f>
        <v/>
      </c>
      <c r="AZ489" s="51">
        <f>AZ348+AZ377+AZ431+AZ458</f>
        <v/>
      </c>
      <c r="BA489" s="51">
        <f>BA348+BA377+BA431+BA458</f>
        <v/>
      </c>
      <c r="BB489" s="51">
        <f>BB348+BB377+BB431+BB458</f>
        <v/>
      </c>
      <c r="BC489" s="51">
        <f>BC348+BC377+BC431+BC458</f>
        <v/>
      </c>
      <c r="BD489" s="51">
        <f>BD348+BD377+BD431+BD458</f>
        <v/>
      </c>
    </row>
    <row r="490">
      <c r="A490" s="4" t="inlineStr"/>
      <c r="E490" s="52" t="inlineStr">
        <is>
          <t>&lt;=</t>
        </is>
      </c>
      <c r="F490" s="52" t="inlineStr">
        <is>
          <t>&lt;=</t>
        </is>
      </c>
      <c r="G490" s="52" t="inlineStr">
        <is>
          <t>&lt;=</t>
        </is>
      </c>
      <c r="H490" s="52" t="inlineStr">
        <is>
          <t>&lt;=</t>
        </is>
      </c>
      <c r="I490" s="52" t="inlineStr">
        <is>
          <t>&lt;=</t>
        </is>
      </c>
      <c r="J490" s="52" t="inlineStr">
        <is>
          <t>&lt;=</t>
        </is>
      </c>
      <c r="K490" s="52" t="inlineStr">
        <is>
          <t>&lt;=</t>
        </is>
      </c>
      <c r="L490" s="52" t="inlineStr">
        <is>
          <t>&lt;=</t>
        </is>
      </c>
      <c r="M490" s="52" t="inlineStr">
        <is>
          <t>&lt;=</t>
        </is>
      </c>
      <c r="N490" s="52" t="inlineStr">
        <is>
          <t>&lt;=</t>
        </is>
      </c>
      <c r="O490" s="52" t="inlineStr">
        <is>
          <t>&lt;=</t>
        </is>
      </c>
      <c r="P490" s="52" t="inlineStr">
        <is>
          <t>&lt;=</t>
        </is>
      </c>
      <c r="Q490" s="52" t="inlineStr">
        <is>
          <t>&lt;=</t>
        </is>
      </c>
      <c r="R490" s="52" t="inlineStr">
        <is>
          <t>&lt;=</t>
        </is>
      </c>
      <c r="S490" s="52" t="inlineStr">
        <is>
          <t>&lt;=</t>
        </is>
      </c>
      <c r="T490" s="52" t="inlineStr">
        <is>
          <t>&lt;=</t>
        </is>
      </c>
      <c r="U490" s="52" t="inlineStr">
        <is>
          <t>&lt;=</t>
        </is>
      </c>
      <c r="V490" s="52" t="inlineStr">
        <is>
          <t>&lt;=</t>
        </is>
      </c>
      <c r="W490" s="52" t="inlineStr">
        <is>
          <t>&lt;=</t>
        </is>
      </c>
      <c r="X490" s="52" t="inlineStr">
        <is>
          <t>&lt;=</t>
        </is>
      </c>
      <c r="Y490" s="52" t="inlineStr">
        <is>
          <t>&lt;=</t>
        </is>
      </c>
      <c r="Z490" s="52" t="inlineStr">
        <is>
          <t>&lt;=</t>
        </is>
      </c>
      <c r="AA490" s="52" t="inlineStr">
        <is>
          <t>&lt;=</t>
        </is>
      </c>
      <c r="AB490" s="52" t="inlineStr">
        <is>
          <t>&lt;=</t>
        </is>
      </c>
      <c r="AC490" s="52" t="inlineStr">
        <is>
          <t>&lt;=</t>
        </is>
      </c>
      <c r="AD490" s="52" t="inlineStr">
        <is>
          <t>&lt;=</t>
        </is>
      </c>
      <c r="AE490" s="52" t="inlineStr">
        <is>
          <t>&lt;=</t>
        </is>
      </c>
      <c r="AF490" s="52" t="inlineStr">
        <is>
          <t>&lt;=</t>
        </is>
      </c>
      <c r="AG490" s="52" t="inlineStr">
        <is>
          <t>&lt;=</t>
        </is>
      </c>
      <c r="AH490" s="52" t="inlineStr">
        <is>
          <t>&lt;=</t>
        </is>
      </c>
      <c r="AI490" s="52" t="inlineStr">
        <is>
          <t>&lt;=</t>
        </is>
      </c>
      <c r="AJ490" s="52" t="inlineStr">
        <is>
          <t>&lt;=</t>
        </is>
      </c>
      <c r="AK490" s="52" t="inlineStr">
        <is>
          <t>&lt;=</t>
        </is>
      </c>
      <c r="AL490" s="52" t="inlineStr">
        <is>
          <t>&lt;=</t>
        </is>
      </c>
      <c r="AM490" s="52" t="inlineStr">
        <is>
          <t>&lt;=</t>
        </is>
      </c>
      <c r="AN490" s="52" t="inlineStr">
        <is>
          <t>&lt;=</t>
        </is>
      </c>
      <c r="AO490" s="52" t="inlineStr">
        <is>
          <t>&lt;=</t>
        </is>
      </c>
      <c r="AP490" s="52" t="inlineStr">
        <is>
          <t>&lt;=</t>
        </is>
      </c>
      <c r="AQ490" s="52" t="inlineStr">
        <is>
          <t>&lt;=</t>
        </is>
      </c>
      <c r="AR490" s="52" t="inlineStr">
        <is>
          <t>&lt;=</t>
        </is>
      </c>
      <c r="AS490" s="52" t="inlineStr">
        <is>
          <t>&lt;=</t>
        </is>
      </c>
      <c r="AT490" s="52" t="inlineStr">
        <is>
          <t>&lt;=</t>
        </is>
      </c>
      <c r="AU490" s="52" t="inlineStr">
        <is>
          <t>&lt;=</t>
        </is>
      </c>
      <c r="AV490" s="52" t="inlineStr">
        <is>
          <t>&lt;=</t>
        </is>
      </c>
      <c r="AW490" s="52" t="inlineStr">
        <is>
          <t>&lt;=</t>
        </is>
      </c>
      <c r="AX490" s="52" t="inlineStr">
        <is>
          <t>&lt;=</t>
        </is>
      </c>
      <c r="AY490" s="52" t="inlineStr">
        <is>
          <t>&lt;=</t>
        </is>
      </c>
      <c r="AZ490" s="52" t="inlineStr">
        <is>
          <t>&lt;=</t>
        </is>
      </c>
      <c r="BA490" s="52" t="inlineStr">
        <is>
          <t>&lt;=</t>
        </is>
      </c>
      <c r="BB490" s="52" t="inlineStr">
        <is>
          <t>&lt;=</t>
        </is>
      </c>
      <c r="BC490" s="52" t="inlineStr">
        <is>
          <t>&lt;=</t>
        </is>
      </c>
      <c r="BD490" s="52" t="inlineStr">
        <is>
          <t>&lt;=</t>
        </is>
      </c>
    </row>
    <row r="491">
      <c r="A491" s="41" t="inlineStr">
        <is>
          <t xml:space="preserve">  limit</t>
        </is>
      </c>
      <c r="B491" s="2" t="inlineStr">
        <is>
          <t>cap</t>
        </is>
      </c>
      <c r="E491" s="51">
        <f>$B$7</f>
        <v/>
      </c>
      <c r="F491" s="51">
        <f>$B$7</f>
        <v/>
      </c>
      <c r="G491" s="51">
        <f>$B$7</f>
        <v/>
      </c>
      <c r="H491" s="51">
        <f>$B$7</f>
        <v/>
      </c>
      <c r="I491" s="51">
        <f>$B$7</f>
        <v/>
      </c>
      <c r="J491" s="51">
        <f>$B$7</f>
        <v/>
      </c>
      <c r="K491" s="51">
        <f>$B$7</f>
        <v/>
      </c>
      <c r="L491" s="51">
        <f>$B$7</f>
        <v/>
      </c>
      <c r="M491" s="51">
        <f>$B$7</f>
        <v/>
      </c>
      <c r="N491" s="51">
        <f>$B$7</f>
        <v/>
      </c>
      <c r="O491" s="51">
        <f>$B$7</f>
        <v/>
      </c>
      <c r="P491" s="51">
        <f>$B$7</f>
        <v/>
      </c>
      <c r="Q491" s="51">
        <f>$B$7</f>
        <v/>
      </c>
      <c r="R491" s="51">
        <f>$B$7</f>
        <v/>
      </c>
      <c r="S491" s="51">
        <f>$B$7</f>
        <v/>
      </c>
      <c r="T491" s="51">
        <f>$B$7</f>
        <v/>
      </c>
      <c r="U491" s="51">
        <f>$B$7</f>
        <v/>
      </c>
      <c r="V491" s="51">
        <f>$B$7</f>
        <v/>
      </c>
      <c r="W491" s="51">
        <f>$B$7</f>
        <v/>
      </c>
      <c r="X491" s="51">
        <f>$B$7</f>
        <v/>
      </c>
      <c r="Y491" s="51">
        <f>$B$7</f>
        <v/>
      </c>
      <c r="Z491" s="51">
        <f>$B$7</f>
        <v/>
      </c>
      <c r="AA491" s="51">
        <f>$B$7</f>
        <v/>
      </c>
      <c r="AB491" s="51">
        <f>$B$7</f>
        <v/>
      </c>
      <c r="AC491" s="51">
        <f>$B$7</f>
        <v/>
      </c>
      <c r="AD491" s="51">
        <f>$B$7</f>
        <v/>
      </c>
      <c r="AE491" s="51">
        <f>$B$7</f>
        <v/>
      </c>
      <c r="AF491" s="51">
        <f>$B$7</f>
        <v/>
      </c>
      <c r="AG491" s="51">
        <f>$B$7</f>
        <v/>
      </c>
      <c r="AH491" s="51">
        <f>$B$7</f>
        <v/>
      </c>
      <c r="AI491" s="51">
        <f>$B$7</f>
        <v/>
      </c>
      <c r="AJ491" s="51">
        <f>$B$7</f>
        <v/>
      </c>
      <c r="AK491" s="51">
        <f>$B$7</f>
        <v/>
      </c>
      <c r="AL491" s="51">
        <f>$B$7</f>
        <v/>
      </c>
      <c r="AM491" s="51">
        <f>$B$7</f>
        <v/>
      </c>
      <c r="AN491" s="51">
        <f>$B$7</f>
        <v/>
      </c>
      <c r="AO491" s="51">
        <f>$B$7</f>
        <v/>
      </c>
      <c r="AP491" s="51">
        <f>$B$7</f>
        <v/>
      </c>
      <c r="AQ491" s="51">
        <f>$B$7</f>
        <v/>
      </c>
      <c r="AR491" s="51">
        <f>$B$7</f>
        <v/>
      </c>
      <c r="AS491" s="51">
        <f>$B$7</f>
        <v/>
      </c>
      <c r="AT491" s="51">
        <f>$B$7</f>
        <v/>
      </c>
      <c r="AU491" s="51">
        <f>$B$7</f>
        <v/>
      </c>
      <c r="AV491" s="51">
        <f>$B$7</f>
        <v/>
      </c>
      <c r="AW491" s="51">
        <f>$B$7</f>
        <v/>
      </c>
      <c r="AX491" s="51">
        <f>$B$7</f>
        <v/>
      </c>
      <c r="AY491" s="51">
        <f>$B$7</f>
        <v/>
      </c>
      <c r="AZ491" s="51">
        <f>$B$7</f>
        <v/>
      </c>
      <c r="BA491" s="51">
        <f>$B$7</f>
        <v/>
      </c>
      <c r="BB491" s="51">
        <f>$B$7</f>
        <v/>
      </c>
      <c r="BC491" s="51">
        <f>$B$7</f>
        <v/>
      </c>
      <c r="BD491" s="51">
        <f>$B$7</f>
        <v/>
      </c>
    </row>
    <row r="492">
      <c r="A492" s="43" t="inlineStr">
        <is>
          <t xml:space="preserve">  room left</t>
        </is>
      </c>
      <c r="E492" s="51">
        <f>$B$7-E489</f>
        <v/>
      </c>
      <c r="F492" s="51">
        <f>$B$7-F489</f>
        <v/>
      </c>
      <c r="G492" s="51">
        <f>$B$7-G489</f>
        <v/>
      </c>
      <c r="H492" s="51">
        <f>$B$7-H489</f>
        <v/>
      </c>
      <c r="I492" s="51">
        <f>$B$7-I489</f>
        <v/>
      </c>
      <c r="J492" s="51">
        <f>$B$7-J489</f>
        <v/>
      </c>
      <c r="K492" s="51">
        <f>$B$7-K489</f>
        <v/>
      </c>
      <c r="L492" s="51">
        <f>$B$7-L489</f>
        <v/>
      </c>
      <c r="M492" s="51">
        <f>$B$7-M489</f>
        <v/>
      </c>
      <c r="N492" s="51">
        <f>$B$7-N489</f>
        <v/>
      </c>
      <c r="O492" s="51">
        <f>$B$7-O489</f>
        <v/>
      </c>
      <c r="P492" s="51">
        <f>$B$7-P489</f>
        <v/>
      </c>
      <c r="Q492" s="51">
        <f>$B$7-Q489</f>
        <v/>
      </c>
      <c r="R492" s="51">
        <f>$B$7-R489</f>
        <v/>
      </c>
      <c r="S492" s="51">
        <f>$B$7-S489</f>
        <v/>
      </c>
      <c r="T492" s="51">
        <f>$B$7-T489</f>
        <v/>
      </c>
      <c r="U492" s="51">
        <f>$B$7-U489</f>
        <v/>
      </c>
      <c r="V492" s="51">
        <f>$B$7-V489</f>
        <v/>
      </c>
      <c r="W492" s="51">
        <f>$B$7-W489</f>
        <v/>
      </c>
      <c r="X492" s="51">
        <f>$B$7-X489</f>
        <v/>
      </c>
      <c r="Y492" s="51">
        <f>$B$7-Y489</f>
        <v/>
      </c>
      <c r="Z492" s="51">
        <f>$B$7-Z489</f>
        <v/>
      </c>
      <c r="AA492" s="51">
        <f>$B$7-AA489</f>
        <v/>
      </c>
      <c r="AB492" s="51">
        <f>$B$7-AB489</f>
        <v/>
      </c>
      <c r="AC492" s="51">
        <f>$B$7-AC489</f>
        <v/>
      </c>
      <c r="AD492" s="51">
        <f>$B$7-AD489</f>
        <v/>
      </c>
      <c r="AE492" s="51">
        <f>$B$7-AE489</f>
        <v/>
      </c>
      <c r="AF492" s="51">
        <f>$B$7-AF489</f>
        <v/>
      </c>
      <c r="AG492" s="51">
        <f>$B$7-AG489</f>
        <v/>
      </c>
      <c r="AH492" s="51">
        <f>$B$7-AH489</f>
        <v/>
      </c>
      <c r="AI492" s="51">
        <f>$B$7-AI489</f>
        <v/>
      </c>
      <c r="AJ492" s="51">
        <f>$B$7-AJ489</f>
        <v/>
      </c>
      <c r="AK492" s="51">
        <f>$B$7-AK489</f>
        <v/>
      </c>
      <c r="AL492" s="51">
        <f>$B$7-AL489</f>
        <v/>
      </c>
      <c r="AM492" s="51">
        <f>$B$7-AM489</f>
        <v/>
      </c>
      <c r="AN492" s="51">
        <f>$B$7-AN489</f>
        <v/>
      </c>
      <c r="AO492" s="51">
        <f>$B$7-AO489</f>
        <v/>
      </c>
      <c r="AP492" s="51">
        <f>$B$7-AP489</f>
        <v/>
      </c>
      <c r="AQ492" s="51">
        <f>$B$7-AQ489</f>
        <v/>
      </c>
      <c r="AR492" s="51">
        <f>$B$7-AR489</f>
        <v/>
      </c>
      <c r="AS492" s="51">
        <f>$B$7-AS489</f>
        <v/>
      </c>
      <c r="AT492" s="51">
        <f>$B$7-AT489</f>
        <v/>
      </c>
      <c r="AU492" s="51">
        <f>$B$7-AU489</f>
        <v/>
      </c>
      <c r="AV492" s="51">
        <f>$B$7-AV489</f>
        <v/>
      </c>
      <c r="AW492" s="51">
        <f>$B$7-AW489</f>
        <v/>
      </c>
      <c r="AX492" s="51">
        <f>$B$7-AX489</f>
        <v/>
      </c>
      <c r="AY492" s="51">
        <f>$B$7-AY489</f>
        <v/>
      </c>
      <c r="AZ492" s="51">
        <f>$B$7-AZ489</f>
        <v/>
      </c>
      <c r="BA492" s="51">
        <f>$B$7-BA489</f>
        <v/>
      </c>
      <c r="BB492" s="51">
        <f>$B$7-BB489</f>
        <v/>
      </c>
      <c r="BC492" s="51">
        <f>$B$7-BC489</f>
        <v/>
      </c>
      <c r="BD492" s="51">
        <f>$B$7-BD489</f>
        <v/>
      </c>
    </row>
    <row r="493">
      <c r="A493" s="2" t="inlineStr">
        <is>
          <t xml:space="preserve">   Holds Spinach, Kale, Tunnel Spinach, Asparagus.</t>
        </is>
      </c>
    </row>
    <row r="495">
      <c r="A495" s="36" t="inlineStr">
        <is>
          <t>Week</t>
        </is>
      </c>
      <c r="B495" s="37" t="inlineStr">
        <is>
          <t>m3</t>
        </is>
      </c>
      <c r="E495" s="38" t="n">
        <v>1</v>
      </c>
      <c r="F495" s="38" t="n">
        <v>2</v>
      </c>
      <c r="G495" s="38" t="n">
        <v>3</v>
      </c>
      <c r="H495" s="38" t="n">
        <v>4</v>
      </c>
      <c r="I495" s="38" t="n">
        <v>5</v>
      </c>
      <c r="J495" s="38" t="n">
        <v>6</v>
      </c>
      <c r="K495" s="38" t="n">
        <v>7</v>
      </c>
      <c r="L495" s="38" t="n">
        <v>8</v>
      </c>
      <c r="M495" s="38" t="n">
        <v>9</v>
      </c>
      <c r="N495" s="38" t="n">
        <v>10</v>
      </c>
      <c r="O495" s="38" t="n">
        <v>11</v>
      </c>
      <c r="P495" s="38" t="n">
        <v>12</v>
      </c>
      <c r="Q495" s="38" t="n">
        <v>13</v>
      </c>
      <c r="R495" s="38" t="n">
        <v>14</v>
      </c>
      <c r="S495" s="38" t="n">
        <v>15</v>
      </c>
      <c r="T495" s="38" t="n">
        <v>16</v>
      </c>
      <c r="U495" s="38" t="n">
        <v>17</v>
      </c>
      <c r="V495" s="38" t="n">
        <v>18</v>
      </c>
      <c r="W495" s="38" t="n">
        <v>19</v>
      </c>
      <c r="X495" s="38" t="n">
        <v>20</v>
      </c>
      <c r="Y495" s="38" t="n">
        <v>21</v>
      </c>
      <c r="Z495" s="38" t="n">
        <v>22</v>
      </c>
      <c r="AA495" s="38" t="n">
        <v>23</v>
      </c>
      <c r="AB495" s="38" t="n">
        <v>24</v>
      </c>
      <c r="AC495" s="38" t="n">
        <v>25</v>
      </c>
      <c r="AD495" s="38" t="n">
        <v>26</v>
      </c>
      <c r="AE495" s="38" t="n">
        <v>27</v>
      </c>
      <c r="AF495" s="38" t="n">
        <v>28</v>
      </c>
      <c r="AG495" s="38" t="n">
        <v>29</v>
      </c>
      <c r="AH495" s="38" t="n">
        <v>30</v>
      </c>
      <c r="AI495" s="38" t="n">
        <v>31</v>
      </c>
      <c r="AJ495" s="38" t="n">
        <v>32</v>
      </c>
      <c r="AK495" s="38" t="n">
        <v>33</v>
      </c>
      <c r="AL495" s="38" t="n">
        <v>34</v>
      </c>
      <c r="AM495" s="38" t="n">
        <v>35</v>
      </c>
      <c r="AN495" s="38" t="n">
        <v>36</v>
      </c>
      <c r="AO495" s="38" t="n">
        <v>37</v>
      </c>
      <c r="AP495" s="38" t="n">
        <v>38</v>
      </c>
      <c r="AQ495" s="38" t="n">
        <v>39</v>
      </c>
      <c r="AR495" s="38" t="n">
        <v>40</v>
      </c>
      <c r="AS495" s="38" t="n">
        <v>41</v>
      </c>
      <c r="AT495" s="38" t="n">
        <v>42</v>
      </c>
      <c r="AU495" s="38" t="n">
        <v>43</v>
      </c>
      <c r="AV495" s="38" t="n">
        <v>44</v>
      </c>
      <c r="AW495" s="38" t="n">
        <v>45</v>
      </c>
      <c r="AX495" s="38" t="n">
        <v>46</v>
      </c>
      <c r="AY495" s="38" t="n">
        <v>47</v>
      </c>
      <c r="AZ495" s="38" t="n">
        <v>48</v>
      </c>
      <c r="BA495" s="38" t="n">
        <v>49</v>
      </c>
      <c r="BB495" s="38" t="n">
        <v>50</v>
      </c>
      <c r="BC495" s="38" t="n">
        <v>51</v>
      </c>
      <c r="BD495" s="38" t="n">
        <v>52</v>
      </c>
    </row>
    <row r="496">
      <c r="A496" s="41" t="inlineStr">
        <is>
          <t>AMBIENT STORE</t>
        </is>
      </c>
      <c r="B496" s="2" t="inlineStr">
        <is>
          <t>used</t>
        </is>
      </c>
      <c r="E496" s="51">
        <f>E404</f>
        <v/>
      </c>
      <c r="F496" s="51">
        <f>F404</f>
        <v/>
      </c>
      <c r="G496" s="51">
        <f>G404</f>
        <v/>
      </c>
      <c r="H496" s="51">
        <f>H404</f>
        <v/>
      </c>
      <c r="I496" s="51">
        <f>I404</f>
        <v/>
      </c>
      <c r="J496" s="51">
        <f>J404</f>
        <v/>
      </c>
      <c r="K496" s="51">
        <f>K404</f>
        <v/>
      </c>
      <c r="L496" s="51">
        <f>L404</f>
        <v/>
      </c>
      <c r="M496" s="51">
        <f>M404</f>
        <v/>
      </c>
      <c r="N496" s="51">
        <f>N404</f>
        <v/>
      </c>
      <c r="O496" s="51">
        <f>O404</f>
        <v/>
      </c>
      <c r="P496" s="51">
        <f>P404</f>
        <v/>
      </c>
      <c r="Q496" s="51">
        <f>Q404</f>
        <v/>
      </c>
      <c r="R496" s="51">
        <f>R404</f>
        <v/>
      </c>
      <c r="S496" s="51">
        <f>S404</f>
        <v/>
      </c>
      <c r="T496" s="51">
        <f>T404</f>
        <v/>
      </c>
      <c r="U496" s="51">
        <f>U404</f>
        <v/>
      </c>
      <c r="V496" s="51">
        <f>V404</f>
        <v/>
      </c>
      <c r="W496" s="51">
        <f>W404</f>
        <v/>
      </c>
      <c r="X496" s="51">
        <f>X404</f>
        <v/>
      </c>
      <c r="Y496" s="51">
        <f>Y404</f>
        <v/>
      </c>
      <c r="Z496" s="51">
        <f>Z404</f>
        <v/>
      </c>
      <c r="AA496" s="51">
        <f>AA404</f>
        <v/>
      </c>
      <c r="AB496" s="51">
        <f>AB404</f>
        <v/>
      </c>
      <c r="AC496" s="51">
        <f>AC404</f>
        <v/>
      </c>
      <c r="AD496" s="51">
        <f>AD404</f>
        <v/>
      </c>
      <c r="AE496" s="51">
        <f>AE404</f>
        <v/>
      </c>
      <c r="AF496" s="51">
        <f>AF404</f>
        <v/>
      </c>
      <c r="AG496" s="51">
        <f>AG404</f>
        <v/>
      </c>
      <c r="AH496" s="51">
        <f>AH404</f>
        <v/>
      </c>
      <c r="AI496" s="51">
        <f>AI404</f>
        <v/>
      </c>
      <c r="AJ496" s="51">
        <f>AJ404</f>
        <v/>
      </c>
      <c r="AK496" s="51">
        <f>AK404</f>
        <v/>
      </c>
      <c r="AL496" s="51">
        <f>AL404</f>
        <v/>
      </c>
      <c r="AM496" s="51">
        <f>AM404</f>
        <v/>
      </c>
      <c r="AN496" s="51">
        <f>AN404</f>
        <v/>
      </c>
      <c r="AO496" s="51">
        <f>AO404</f>
        <v/>
      </c>
      <c r="AP496" s="51">
        <f>AP404</f>
        <v/>
      </c>
      <c r="AQ496" s="51">
        <f>AQ404</f>
        <v/>
      </c>
      <c r="AR496" s="51">
        <f>AR404</f>
        <v/>
      </c>
      <c r="AS496" s="51">
        <f>AS404</f>
        <v/>
      </c>
      <c r="AT496" s="51">
        <f>AT404</f>
        <v/>
      </c>
      <c r="AU496" s="51">
        <f>AU404</f>
        <v/>
      </c>
      <c r="AV496" s="51">
        <f>AV404</f>
        <v/>
      </c>
      <c r="AW496" s="51">
        <f>AW404</f>
        <v/>
      </c>
      <c r="AX496" s="51">
        <f>AX404</f>
        <v/>
      </c>
      <c r="AY496" s="51">
        <f>AY404</f>
        <v/>
      </c>
      <c r="AZ496" s="51">
        <f>AZ404</f>
        <v/>
      </c>
      <c r="BA496" s="51">
        <f>BA404</f>
        <v/>
      </c>
      <c r="BB496" s="51">
        <f>BB404</f>
        <v/>
      </c>
      <c r="BC496" s="51">
        <f>BC404</f>
        <v/>
      </c>
      <c r="BD496" s="51">
        <f>BD404</f>
        <v/>
      </c>
    </row>
    <row r="497">
      <c r="A497" s="4" t="inlineStr"/>
      <c r="E497" s="52" t="inlineStr">
        <is>
          <t>&lt;=</t>
        </is>
      </c>
      <c r="F497" s="52" t="inlineStr">
        <is>
          <t>&lt;=</t>
        </is>
      </c>
      <c r="G497" s="52" t="inlineStr">
        <is>
          <t>&lt;=</t>
        </is>
      </c>
      <c r="H497" s="52" t="inlineStr">
        <is>
          <t>&lt;=</t>
        </is>
      </c>
      <c r="I497" s="52" t="inlineStr">
        <is>
          <t>&lt;=</t>
        </is>
      </c>
      <c r="J497" s="52" t="inlineStr">
        <is>
          <t>&lt;=</t>
        </is>
      </c>
      <c r="K497" s="52" t="inlineStr">
        <is>
          <t>&lt;=</t>
        </is>
      </c>
      <c r="L497" s="52" t="inlineStr">
        <is>
          <t>&lt;=</t>
        </is>
      </c>
      <c r="M497" s="52" t="inlineStr">
        <is>
          <t>&lt;=</t>
        </is>
      </c>
      <c r="N497" s="52" t="inlineStr">
        <is>
          <t>&lt;=</t>
        </is>
      </c>
      <c r="O497" s="52" t="inlineStr">
        <is>
          <t>&lt;=</t>
        </is>
      </c>
      <c r="P497" s="52" t="inlineStr">
        <is>
          <t>&lt;=</t>
        </is>
      </c>
      <c r="Q497" s="52" t="inlineStr">
        <is>
          <t>&lt;=</t>
        </is>
      </c>
      <c r="R497" s="52" t="inlineStr">
        <is>
          <t>&lt;=</t>
        </is>
      </c>
      <c r="S497" s="52" t="inlineStr">
        <is>
          <t>&lt;=</t>
        </is>
      </c>
      <c r="T497" s="52" t="inlineStr">
        <is>
          <t>&lt;=</t>
        </is>
      </c>
      <c r="U497" s="52" t="inlineStr">
        <is>
          <t>&lt;=</t>
        </is>
      </c>
      <c r="V497" s="52" t="inlineStr">
        <is>
          <t>&lt;=</t>
        </is>
      </c>
      <c r="W497" s="52" t="inlineStr">
        <is>
          <t>&lt;=</t>
        </is>
      </c>
      <c r="X497" s="52" t="inlineStr">
        <is>
          <t>&lt;=</t>
        </is>
      </c>
      <c r="Y497" s="52" t="inlineStr">
        <is>
          <t>&lt;=</t>
        </is>
      </c>
      <c r="Z497" s="52" t="inlineStr">
        <is>
          <t>&lt;=</t>
        </is>
      </c>
      <c r="AA497" s="52" t="inlineStr">
        <is>
          <t>&lt;=</t>
        </is>
      </c>
      <c r="AB497" s="52" t="inlineStr">
        <is>
          <t>&lt;=</t>
        </is>
      </c>
      <c r="AC497" s="52" t="inlineStr">
        <is>
          <t>&lt;=</t>
        </is>
      </c>
      <c r="AD497" s="52" t="inlineStr">
        <is>
          <t>&lt;=</t>
        </is>
      </c>
      <c r="AE497" s="52" t="inlineStr">
        <is>
          <t>&lt;=</t>
        </is>
      </c>
      <c r="AF497" s="52" t="inlineStr">
        <is>
          <t>&lt;=</t>
        </is>
      </c>
      <c r="AG497" s="52" t="inlineStr">
        <is>
          <t>&lt;=</t>
        </is>
      </c>
      <c r="AH497" s="52" t="inlineStr">
        <is>
          <t>&lt;=</t>
        </is>
      </c>
      <c r="AI497" s="52" t="inlineStr">
        <is>
          <t>&lt;=</t>
        </is>
      </c>
      <c r="AJ497" s="52" t="inlineStr">
        <is>
          <t>&lt;=</t>
        </is>
      </c>
      <c r="AK497" s="52" t="inlineStr">
        <is>
          <t>&lt;=</t>
        </is>
      </c>
      <c r="AL497" s="52" t="inlineStr">
        <is>
          <t>&lt;=</t>
        </is>
      </c>
      <c r="AM497" s="52" t="inlineStr">
        <is>
          <t>&lt;=</t>
        </is>
      </c>
      <c r="AN497" s="52" t="inlineStr">
        <is>
          <t>&lt;=</t>
        </is>
      </c>
      <c r="AO497" s="52" t="inlineStr">
        <is>
          <t>&lt;=</t>
        </is>
      </c>
      <c r="AP497" s="52" t="inlineStr">
        <is>
          <t>&lt;=</t>
        </is>
      </c>
      <c r="AQ497" s="52" t="inlineStr">
        <is>
          <t>&lt;=</t>
        </is>
      </c>
      <c r="AR497" s="52" t="inlineStr">
        <is>
          <t>&lt;=</t>
        </is>
      </c>
      <c r="AS497" s="52" t="inlineStr">
        <is>
          <t>&lt;=</t>
        </is>
      </c>
      <c r="AT497" s="52" t="inlineStr">
        <is>
          <t>&lt;=</t>
        </is>
      </c>
      <c r="AU497" s="52" t="inlineStr">
        <is>
          <t>&lt;=</t>
        </is>
      </c>
      <c r="AV497" s="52" t="inlineStr">
        <is>
          <t>&lt;=</t>
        </is>
      </c>
      <c r="AW497" s="52" t="inlineStr">
        <is>
          <t>&lt;=</t>
        </is>
      </c>
      <c r="AX497" s="52" t="inlineStr">
        <is>
          <t>&lt;=</t>
        </is>
      </c>
      <c r="AY497" s="52" t="inlineStr">
        <is>
          <t>&lt;=</t>
        </is>
      </c>
      <c r="AZ497" s="52" t="inlineStr">
        <is>
          <t>&lt;=</t>
        </is>
      </c>
      <c r="BA497" s="52" t="inlineStr">
        <is>
          <t>&lt;=</t>
        </is>
      </c>
      <c r="BB497" s="52" t="inlineStr">
        <is>
          <t>&lt;=</t>
        </is>
      </c>
      <c r="BC497" s="52" t="inlineStr">
        <is>
          <t>&lt;=</t>
        </is>
      </c>
      <c r="BD497" s="52" t="inlineStr">
        <is>
          <t>&lt;=</t>
        </is>
      </c>
    </row>
    <row r="498">
      <c r="A498" s="41" t="inlineStr">
        <is>
          <t xml:space="preserve">  limit</t>
        </is>
      </c>
      <c r="B498" s="2" t="inlineStr">
        <is>
          <t>cap</t>
        </is>
      </c>
      <c r="E498" s="51">
        <f>$B$8</f>
        <v/>
      </c>
      <c r="F498" s="51">
        <f>$B$8</f>
        <v/>
      </c>
      <c r="G498" s="51">
        <f>$B$8</f>
        <v/>
      </c>
      <c r="H498" s="51">
        <f>$B$8</f>
        <v/>
      </c>
      <c r="I498" s="51">
        <f>$B$8</f>
        <v/>
      </c>
      <c r="J498" s="51">
        <f>$B$8</f>
        <v/>
      </c>
      <c r="K498" s="51">
        <f>$B$8</f>
        <v/>
      </c>
      <c r="L498" s="51">
        <f>$B$8</f>
        <v/>
      </c>
      <c r="M498" s="51">
        <f>$B$8</f>
        <v/>
      </c>
      <c r="N498" s="51">
        <f>$B$8</f>
        <v/>
      </c>
      <c r="O498" s="51">
        <f>$B$8</f>
        <v/>
      </c>
      <c r="P498" s="51">
        <f>$B$8</f>
        <v/>
      </c>
      <c r="Q498" s="51">
        <f>$B$8</f>
        <v/>
      </c>
      <c r="R498" s="51">
        <f>$B$8</f>
        <v/>
      </c>
      <c r="S498" s="51">
        <f>$B$8</f>
        <v/>
      </c>
      <c r="T498" s="51">
        <f>$B$8</f>
        <v/>
      </c>
      <c r="U498" s="51">
        <f>$B$8</f>
        <v/>
      </c>
      <c r="V498" s="51">
        <f>$B$8</f>
        <v/>
      </c>
      <c r="W498" s="51">
        <f>$B$8</f>
        <v/>
      </c>
      <c r="X498" s="51">
        <f>$B$8</f>
        <v/>
      </c>
      <c r="Y498" s="51">
        <f>$B$8</f>
        <v/>
      </c>
      <c r="Z498" s="51">
        <f>$B$8</f>
        <v/>
      </c>
      <c r="AA498" s="51">
        <f>$B$8</f>
        <v/>
      </c>
      <c r="AB498" s="51">
        <f>$B$8</f>
        <v/>
      </c>
      <c r="AC498" s="51">
        <f>$B$8</f>
        <v/>
      </c>
      <c r="AD498" s="51">
        <f>$B$8</f>
        <v/>
      </c>
      <c r="AE498" s="51">
        <f>$B$8</f>
        <v/>
      </c>
      <c r="AF498" s="51">
        <f>$B$8</f>
        <v/>
      </c>
      <c r="AG498" s="51">
        <f>$B$8</f>
        <v/>
      </c>
      <c r="AH498" s="51">
        <f>$B$8</f>
        <v/>
      </c>
      <c r="AI498" s="51">
        <f>$B$8</f>
        <v/>
      </c>
      <c r="AJ498" s="51">
        <f>$B$8</f>
        <v/>
      </c>
      <c r="AK498" s="51">
        <f>$B$8</f>
        <v/>
      </c>
      <c r="AL498" s="51">
        <f>$B$8</f>
        <v/>
      </c>
      <c r="AM498" s="51">
        <f>$B$8</f>
        <v/>
      </c>
      <c r="AN498" s="51">
        <f>$B$8</f>
        <v/>
      </c>
      <c r="AO498" s="51">
        <f>$B$8</f>
        <v/>
      </c>
      <c r="AP498" s="51">
        <f>$B$8</f>
        <v/>
      </c>
      <c r="AQ498" s="51">
        <f>$B$8</f>
        <v/>
      </c>
      <c r="AR498" s="51">
        <f>$B$8</f>
        <v/>
      </c>
      <c r="AS498" s="51">
        <f>$B$8</f>
        <v/>
      </c>
      <c r="AT498" s="51">
        <f>$B$8</f>
        <v/>
      </c>
      <c r="AU498" s="51">
        <f>$B$8</f>
        <v/>
      </c>
      <c r="AV498" s="51">
        <f>$B$8</f>
        <v/>
      </c>
      <c r="AW498" s="51">
        <f>$B$8</f>
        <v/>
      </c>
      <c r="AX498" s="51">
        <f>$B$8</f>
        <v/>
      </c>
      <c r="AY498" s="51">
        <f>$B$8</f>
        <v/>
      </c>
      <c r="AZ498" s="51">
        <f>$B$8</f>
        <v/>
      </c>
      <c r="BA498" s="51">
        <f>$B$8</f>
        <v/>
      </c>
      <c r="BB498" s="51">
        <f>$B$8</f>
        <v/>
      </c>
      <c r="BC498" s="51">
        <f>$B$8</f>
        <v/>
      </c>
      <c r="BD498" s="51">
        <f>$B$8</f>
        <v/>
      </c>
    </row>
    <row r="499">
      <c r="A499" s="43" t="inlineStr">
        <is>
          <t xml:space="preserve">  room left</t>
        </is>
      </c>
      <c r="E499" s="51">
        <f>$B$8-E496</f>
        <v/>
      </c>
      <c r="F499" s="51">
        <f>$B$8-F496</f>
        <v/>
      </c>
      <c r="G499" s="51">
        <f>$B$8-G496</f>
        <v/>
      </c>
      <c r="H499" s="51">
        <f>$B$8-H496</f>
        <v/>
      </c>
      <c r="I499" s="51">
        <f>$B$8-I496</f>
        <v/>
      </c>
      <c r="J499" s="51">
        <f>$B$8-J496</f>
        <v/>
      </c>
      <c r="K499" s="51">
        <f>$B$8-K496</f>
        <v/>
      </c>
      <c r="L499" s="51">
        <f>$B$8-L496</f>
        <v/>
      </c>
      <c r="M499" s="51">
        <f>$B$8-M496</f>
        <v/>
      </c>
      <c r="N499" s="51">
        <f>$B$8-N496</f>
        <v/>
      </c>
      <c r="O499" s="51">
        <f>$B$8-O496</f>
        <v/>
      </c>
      <c r="P499" s="51">
        <f>$B$8-P496</f>
        <v/>
      </c>
      <c r="Q499" s="51">
        <f>$B$8-Q496</f>
        <v/>
      </c>
      <c r="R499" s="51">
        <f>$B$8-R496</f>
        <v/>
      </c>
      <c r="S499" s="51">
        <f>$B$8-S496</f>
        <v/>
      </c>
      <c r="T499" s="51">
        <f>$B$8-T496</f>
        <v/>
      </c>
      <c r="U499" s="51">
        <f>$B$8-U496</f>
        <v/>
      </c>
      <c r="V499" s="51">
        <f>$B$8-V496</f>
        <v/>
      </c>
      <c r="W499" s="51">
        <f>$B$8-W496</f>
        <v/>
      </c>
      <c r="X499" s="51">
        <f>$B$8-X496</f>
        <v/>
      </c>
      <c r="Y499" s="51">
        <f>$B$8-Y496</f>
        <v/>
      </c>
      <c r="Z499" s="51">
        <f>$B$8-Z496</f>
        <v/>
      </c>
      <c r="AA499" s="51">
        <f>$B$8-AA496</f>
        <v/>
      </c>
      <c r="AB499" s="51">
        <f>$B$8-AB496</f>
        <v/>
      </c>
      <c r="AC499" s="51">
        <f>$B$8-AC496</f>
        <v/>
      </c>
      <c r="AD499" s="51">
        <f>$B$8-AD496</f>
        <v/>
      </c>
      <c r="AE499" s="51">
        <f>$B$8-AE496</f>
        <v/>
      </c>
      <c r="AF499" s="51">
        <f>$B$8-AF496</f>
        <v/>
      </c>
      <c r="AG499" s="51">
        <f>$B$8-AG496</f>
        <v/>
      </c>
      <c r="AH499" s="51">
        <f>$B$8-AH496</f>
        <v/>
      </c>
      <c r="AI499" s="51">
        <f>$B$8-AI496</f>
        <v/>
      </c>
      <c r="AJ499" s="51">
        <f>$B$8-AJ496</f>
        <v/>
      </c>
      <c r="AK499" s="51">
        <f>$B$8-AK496</f>
        <v/>
      </c>
      <c r="AL499" s="51">
        <f>$B$8-AL496</f>
        <v/>
      </c>
      <c r="AM499" s="51">
        <f>$B$8-AM496</f>
        <v/>
      </c>
      <c r="AN499" s="51">
        <f>$B$8-AN496</f>
        <v/>
      </c>
      <c r="AO499" s="51">
        <f>$B$8-AO496</f>
        <v/>
      </c>
      <c r="AP499" s="51">
        <f>$B$8-AP496</f>
        <v/>
      </c>
      <c r="AQ499" s="51">
        <f>$B$8-AQ496</f>
        <v/>
      </c>
      <c r="AR499" s="51">
        <f>$B$8-AR496</f>
        <v/>
      </c>
      <c r="AS499" s="51">
        <f>$B$8-AS496</f>
        <v/>
      </c>
      <c r="AT499" s="51">
        <f>$B$8-AT496</f>
        <v/>
      </c>
      <c r="AU499" s="51">
        <f>$B$8-AU496</f>
        <v/>
      </c>
      <c r="AV499" s="51">
        <f>$B$8-AV496</f>
        <v/>
      </c>
      <c r="AW499" s="51">
        <f>$B$8-AW496</f>
        <v/>
      </c>
      <c r="AX499" s="51">
        <f>$B$8-AX496</f>
        <v/>
      </c>
      <c r="AY499" s="51">
        <f>$B$8-AY496</f>
        <v/>
      </c>
      <c r="AZ499" s="51">
        <f>$B$8-AZ496</f>
        <v/>
      </c>
      <c r="BA499" s="51">
        <f>$B$8-BA496</f>
        <v/>
      </c>
      <c r="BB499" s="51">
        <f>$B$8-BB496</f>
        <v/>
      </c>
      <c r="BC499" s="51">
        <f>$B$8-BC496</f>
        <v/>
      </c>
      <c r="BD499" s="51">
        <f>$B$8-BD496</f>
        <v/>
      </c>
    </row>
    <row r="500">
      <c r="A500" s="2" t="inlineStr">
        <is>
          <t xml:space="preserve">   Holds Garlic.</t>
        </is>
      </c>
    </row>
    <row r="502">
      <c r="A502" s="3" t="inlineStr">
        <is>
          <t>7 — CASH, WEEK BY WEEK</t>
        </is>
      </c>
    </row>
    <row r="503">
      <c r="A503" s="4" t="inlineStr">
        <is>
          <t>Opening cash</t>
        </is>
      </c>
      <c r="B503" s="19" t="n">
        <v>50000</v>
      </c>
      <c r="C503" s="2" t="inlineStr">
        <is>
          <t>what is in the bank on 1 January</t>
        </is>
      </c>
    </row>
    <row r="504">
      <c r="A504" s="4" t="inlineStr">
        <is>
          <t>Credit line</t>
        </is>
      </c>
      <c r="B504" s="19" t="n">
        <v>250000</v>
      </c>
      <c r="C504" s="2" t="inlineStr">
        <is>
          <t>how far below zero you may go</t>
        </is>
      </c>
    </row>
    <row r="505">
      <c r="A505" s="4" t="inlineStr">
        <is>
          <t>Fixed cost per week</t>
        </is>
      </c>
      <c r="B505" s="61">
        <f>$B$7*0.4807692307692308+$B$8*0.09615384615384616+$B$6*2.1367521367521367+1000+300*0.32051282051282054</f>
        <v/>
      </c>
      <c r="C505" s="2" t="inlineStr">
        <is>
          <t>cooler + barn depreciation, irrigation, machinery, equipment store — owed every week whether or not you plant</t>
        </is>
      </c>
    </row>
    <row r="506">
      <c r="A506" s="4" t="inlineStr">
        <is>
          <t>Overhead, % of revenue</t>
        </is>
      </c>
      <c r="B506" s="30" t="n">
        <v>0.16</v>
      </c>
      <c r="C506" s="2" t="inlineStr">
        <is>
          <t>insurance, admin, utilities — a share of what you sell</t>
        </is>
      </c>
    </row>
    <row r="507">
      <c r="A507" s="4" t="inlineStr">
        <is>
          <t>Interest APR on borrowing</t>
        </is>
      </c>
      <c r="B507" s="18" t="n">
        <v>0.07000000000000001</v>
      </c>
      <c r="C507" s="2" t="inlineStr">
        <is>
          <t>charged on what the credit line actually carries — reported below, not optimised over</t>
        </is>
      </c>
    </row>
    <row r="509">
      <c r="A509" s="36" t="inlineStr">
        <is>
          <t>Week</t>
        </is>
      </c>
      <c r="B509" s="37" t="inlineStr">
        <is>
          <t>$</t>
        </is>
      </c>
      <c r="E509" s="38" t="n">
        <v>1</v>
      </c>
      <c r="F509" s="38" t="n">
        <v>2</v>
      </c>
      <c r="G509" s="38" t="n">
        <v>3</v>
      </c>
      <c r="H509" s="38" t="n">
        <v>4</v>
      </c>
      <c r="I509" s="38" t="n">
        <v>5</v>
      </c>
      <c r="J509" s="38" t="n">
        <v>6</v>
      </c>
      <c r="K509" s="38" t="n">
        <v>7</v>
      </c>
      <c r="L509" s="38" t="n">
        <v>8</v>
      </c>
      <c r="M509" s="38" t="n">
        <v>9</v>
      </c>
      <c r="N509" s="38" t="n">
        <v>10</v>
      </c>
      <c r="O509" s="38" t="n">
        <v>11</v>
      </c>
      <c r="P509" s="38" t="n">
        <v>12</v>
      </c>
      <c r="Q509" s="38" t="n">
        <v>13</v>
      </c>
      <c r="R509" s="38" t="n">
        <v>14</v>
      </c>
      <c r="S509" s="38" t="n">
        <v>15</v>
      </c>
      <c r="T509" s="38" t="n">
        <v>16</v>
      </c>
      <c r="U509" s="38" t="n">
        <v>17</v>
      </c>
      <c r="V509" s="38" t="n">
        <v>18</v>
      </c>
      <c r="W509" s="38" t="n">
        <v>19</v>
      </c>
      <c r="X509" s="38" t="n">
        <v>20</v>
      </c>
      <c r="Y509" s="38" t="n">
        <v>21</v>
      </c>
      <c r="Z509" s="38" t="n">
        <v>22</v>
      </c>
      <c r="AA509" s="38" t="n">
        <v>23</v>
      </c>
      <c r="AB509" s="38" t="n">
        <v>24</v>
      </c>
      <c r="AC509" s="38" t="n">
        <v>25</v>
      </c>
      <c r="AD509" s="38" t="n">
        <v>26</v>
      </c>
      <c r="AE509" s="38" t="n">
        <v>27</v>
      </c>
      <c r="AF509" s="38" t="n">
        <v>28</v>
      </c>
      <c r="AG509" s="38" t="n">
        <v>29</v>
      </c>
      <c r="AH509" s="38" t="n">
        <v>30</v>
      </c>
      <c r="AI509" s="38" t="n">
        <v>31</v>
      </c>
      <c r="AJ509" s="38" t="n">
        <v>32</v>
      </c>
      <c r="AK509" s="38" t="n">
        <v>33</v>
      </c>
      <c r="AL509" s="38" t="n">
        <v>34</v>
      </c>
      <c r="AM509" s="38" t="n">
        <v>35</v>
      </c>
      <c r="AN509" s="38" t="n">
        <v>36</v>
      </c>
      <c r="AO509" s="38" t="n">
        <v>37</v>
      </c>
      <c r="AP509" s="38" t="n">
        <v>38</v>
      </c>
      <c r="AQ509" s="38" t="n">
        <v>39</v>
      </c>
      <c r="AR509" s="38" t="n">
        <v>40</v>
      </c>
      <c r="AS509" s="38" t="n">
        <v>41</v>
      </c>
      <c r="AT509" s="38" t="n">
        <v>42</v>
      </c>
      <c r="AU509" s="38" t="n">
        <v>43</v>
      </c>
      <c r="AV509" s="38" t="n">
        <v>44</v>
      </c>
      <c r="AW509" s="38" t="n">
        <v>45</v>
      </c>
      <c r="AX509" s="38" t="n">
        <v>46</v>
      </c>
      <c r="AY509" s="38" t="n">
        <v>47</v>
      </c>
      <c r="AZ509" s="38" t="n">
        <v>48</v>
      </c>
      <c r="BA509" s="38" t="n">
        <v>49</v>
      </c>
      <c r="BB509" s="38" t="n">
        <v>50</v>
      </c>
      <c r="BC509" s="38" t="n">
        <v>51</v>
      </c>
      <c r="BD509" s="38" t="n">
        <v>52</v>
      </c>
    </row>
    <row r="510">
      <c r="A510" s="4" t="inlineStr">
        <is>
          <t>Revenue</t>
        </is>
      </c>
      <c r="B510" s="2" t="inlineStr">
        <is>
          <t>$</t>
        </is>
      </c>
      <c r="E510" s="40">
        <f>E331*$I$35+E337*$I$36+E358*$I$37+E366*$I$38+E387*$I$39+E393*$I$40+E414*$I$41+E420*$I$42+E441*$I$43+E447*$I$44</f>
        <v/>
      </c>
      <c r="F510" s="40">
        <f>F331*$I$35+F337*$I$36+F358*$I$37+F366*$I$38+F387*$I$39+F393*$I$40+F414*$I$41+F420*$I$42+F441*$I$43+F447*$I$44</f>
        <v/>
      </c>
      <c r="G510" s="40">
        <f>G331*$I$35+G337*$I$36+G358*$I$37+G366*$I$38+G387*$I$39+G393*$I$40+G414*$I$41+G420*$I$42+G441*$I$43+G447*$I$44</f>
        <v/>
      </c>
      <c r="H510" s="40">
        <f>H331*$I$35+H337*$I$36+H358*$I$37+H366*$I$38+H387*$I$39+H393*$I$40+H414*$I$41+H420*$I$42+H441*$I$43+H447*$I$44</f>
        <v/>
      </c>
      <c r="I510" s="40">
        <f>I331*$I$35+I337*$I$36+I358*$I$37+I366*$I$38+I387*$I$39+I393*$I$40+I414*$I$41+I420*$I$42+I441*$I$43+I447*$I$44</f>
        <v/>
      </c>
      <c r="J510" s="40">
        <f>J331*$I$35+J337*$I$36+J358*$I$37+J366*$I$38+J387*$I$39+J393*$I$40+J414*$I$41+J420*$I$42+J441*$I$43+J447*$I$44</f>
        <v/>
      </c>
      <c r="K510" s="40">
        <f>K331*$I$35+K337*$I$36+K358*$I$37+K366*$I$38+K387*$I$39+K393*$I$40+K414*$I$41+K420*$I$42+K441*$I$43+K447*$I$44</f>
        <v/>
      </c>
      <c r="L510" s="40">
        <f>L331*$I$35+L337*$I$36+L358*$I$37+L366*$I$38+L387*$I$39+L393*$I$40+L414*$I$41+L420*$I$42+L441*$I$43+L447*$I$44</f>
        <v/>
      </c>
      <c r="M510" s="40">
        <f>M331*$I$35+M337*$I$36+M358*$I$37+M366*$I$38+M387*$I$39+M393*$I$40+M414*$I$41+M420*$I$42+M441*$I$43+M447*$I$44</f>
        <v/>
      </c>
      <c r="N510" s="40">
        <f>N331*$I$35+N337*$I$36+N358*$I$37+N366*$I$38+N387*$I$39+N393*$I$40+N414*$I$41+N420*$I$42+N441*$I$43+N447*$I$44</f>
        <v/>
      </c>
      <c r="O510" s="40">
        <f>O331*$I$35+O337*$I$36+O358*$I$37+O366*$I$38+O387*$I$39+O393*$I$40+O414*$I$41+O420*$I$42+O441*$I$43+O447*$I$44</f>
        <v/>
      </c>
      <c r="P510" s="40">
        <f>P331*$I$35+P337*$I$36+P358*$I$37+P366*$I$38+P387*$I$39+P393*$I$40+P414*$I$41+P420*$I$42+P441*$I$43+P447*$I$44</f>
        <v/>
      </c>
      <c r="Q510" s="40">
        <f>Q331*$I$35+Q337*$I$36+Q358*$I$37+Q366*$I$38+Q387*$I$39+Q393*$I$40+Q414*$I$41+Q420*$I$42+Q441*$I$43+Q447*$I$44</f>
        <v/>
      </c>
      <c r="R510" s="40">
        <f>R331*$I$35+R337*$I$36+R358*$I$37+R366*$I$38+R387*$I$39+R393*$I$40+R414*$I$41+R420*$I$42+R441*$I$43+R447*$I$44</f>
        <v/>
      </c>
      <c r="S510" s="40">
        <f>S331*$I$35+S337*$I$36+S358*$I$37+S366*$I$38+S387*$I$39+S393*$I$40+S414*$I$41+S420*$I$42+S441*$I$43+S447*$I$44</f>
        <v/>
      </c>
      <c r="T510" s="40">
        <f>T331*$I$35+T337*$I$36+T358*$I$37+T366*$I$38+T387*$I$39+T393*$I$40+T414*$I$41+T420*$I$42+T441*$I$43+T447*$I$44</f>
        <v/>
      </c>
      <c r="U510" s="40">
        <f>U331*$I$35+U337*$I$36+U358*$I$37+U366*$I$38+U387*$I$39+U393*$I$40+U414*$I$41+U420*$I$42+U441*$I$43+U447*$I$44</f>
        <v/>
      </c>
      <c r="V510" s="40">
        <f>V331*$I$35+V337*$I$36+V358*$I$37+V366*$I$38+V387*$I$39+V393*$I$40+V414*$I$41+V420*$I$42+V441*$I$43+V447*$I$44</f>
        <v/>
      </c>
      <c r="W510" s="40">
        <f>W331*$I$35+W337*$I$36+W358*$I$37+W366*$I$38+W387*$I$39+W393*$I$40+W414*$I$41+W420*$I$42+W441*$I$43+W447*$I$44</f>
        <v/>
      </c>
      <c r="X510" s="40">
        <f>X331*$I$35+X337*$I$36+X358*$I$37+X366*$I$38+X387*$I$39+X393*$I$40+X414*$I$41+X420*$I$42+X441*$I$43+X447*$I$44</f>
        <v/>
      </c>
      <c r="Y510" s="40">
        <f>Y331*$I$35+Y337*$I$36+Y358*$I$37+Y366*$I$38+Y387*$I$39+Y393*$I$40+Y414*$I$41+Y420*$I$42+Y441*$I$43+Y447*$I$44</f>
        <v/>
      </c>
      <c r="Z510" s="40">
        <f>Z331*$I$35+Z337*$I$36+Z358*$I$37+Z366*$I$38+Z387*$I$39+Z393*$I$40+Z414*$I$41+Z420*$I$42+Z441*$I$43+Z447*$I$44</f>
        <v/>
      </c>
      <c r="AA510" s="40">
        <f>AA331*$I$35+AA337*$I$36+AA358*$I$37+AA366*$I$38+AA387*$I$39+AA393*$I$40+AA414*$I$41+AA420*$I$42+AA441*$I$43+AA447*$I$44</f>
        <v/>
      </c>
      <c r="AB510" s="40">
        <f>AB331*$I$35+AB337*$I$36+AB358*$I$37+AB366*$I$38+AB387*$I$39+AB393*$I$40+AB414*$I$41+AB420*$I$42+AB441*$I$43+AB447*$I$44</f>
        <v/>
      </c>
      <c r="AC510" s="40">
        <f>AC331*$I$35+AC337*$I$36+AC358*$I$37+AC366*$I$38+AC387*$I$39+AC393*$I$40+AC414*$I$41+AC420*$I$42+AC441*$I$43+AC447*$I$44</f>
        <v/>
      </c>
      <c r="AD510" s="40">
        <f>AD331*$I$35+AD337*$I$36+AD358*$I$37+AD366*$I$38+AD387*$I$39+AD393*$I$40+AD414*$I$41+AD420*$I$42+AD441*$I$43+AD447*$I$44</f>
        <v/>
      </c>
      <c r="AE510" s="40">
        <f>AE331*$I$35+AE337*$I$36+AE358*$I$37+AE366*$I$38+AE387*$I$39+AE393*$I$40+AE414*$I$41+AE420*$I$42+AE441*$I$43+AE447*$I$44</f>
        <v/>
      </c>
      <c r="AF510" s="40">
        <f>AF331*$I$35+AF337*$I$36+AF358*$I$37+AF366*$I$38+AF387*$I$39+AF393*$I$40+AF414*$I$41+AF420*$I$42+AF441*$I$43+AF447*$I$44</f>
        <v/>
      </c>
      <c r="AG510" s="40">
        <f>AG331*$I$35+AG337*$I$36+AG358*$I$37+AG366*$I$38+AG387*$I$39+AG393*$I$40+AG414*$I$41+AG420*$I$42+AG441*$I$43+AG447*$I$44</f>
        <v/>
      </c>
      <c r="AH510" s="40">
        <f>AH331*$I$35+AH337*$I$36+AH358*$I$37+AH366*$I$38+AH387*$I$39+AH393*$I$40+AH414*$I$41+AH420*$I$42+AH441*$I$43+AH447*$I$44</f>
        <v/>
      </c>
      <c r="AI510" s="40">
        <f>AI331*$I$35+AI337*$I$36+AI358*$I$37+AI366*$I$38+AI387*$I$39+AI393*$I$40+AI414*$I$41+AI420*$I$42+AI441*$I$43+AI447*$I$44</f>
        <v/>
      </c>
      <c r="AJ510" s="40">
        <f>AJ331*$I$35+AJ337*$I$36+AJ358*$I$37+AJ366*$I$38+AJ387*$I$39+AJ393*$I$40+AJ414*$I$41+AJ420*$I$42+AJ441*$I$43+AJ447*$I$44</f>
        <v/>
      </c>
      <c r="AK510" s="40">
        <f>AK331*$I$35+AK337*$I$36+AK358*$I$37+AK366*$I$38+AK387*$I$39+AK393*$I$40+AK414*$I$41+AK420*$I$42+AK441*$I$43+AK447*$I$44</f>
        <v/>
      </c>
      <c r="AL510" s="40">
        <f>AL331*$I$35+AL337*$I$36+AL358*$I$37+AL366*$I$38+AL387*$I$39+AL393*$I$40+AL414*$I$41+AL420*$I$42+AL441*$I$43+AL447*$I$44</f>
        <v/>
      </c>
      <c r="AM510" s="40">
        <f>AM331*$I$35+AM337*$I$36+AM358*$I$37+AM366*$I$38+AM387*$I$39+AM393*$I$40+AM414*$I$41+AM420*$I$42+AM441*$I$43+AM447*$I$44</f>
        <v/>
      </c>
      <c r="AN510" s="40">
        <f>AN331*$I$35+AN337*$I$36+AN358*$I$37+AN366*$I$38+AN387*$I$39+AN393*$I$40+AN414*$I$41+AN420*$I$42+AN441*$I$43+AN447*$I$44</f>
        <v/>
      </c>
      <c r="AO510" s="40">
        <f>AO331*$I$35+AO337*$I$36+AO358*$I$37+AO366*$I$38+AO387*$I$39+AO393*$I$40+AO414*$I$41+AO420*$I$42+AO441*$I$43+AO447*$I$44</f>
        <v/>
      </c>
      <c r="AP510" s="40">
        <f>AP331*$I$35+AP337*$I$36+AP358*$I$37+AP366*$I$38+AP387*$I$39+AP393*$I$40+AP414*$I$41+AP420*$I$42+AP441*$I$43+AP447*$I$44</f>
        <v/>
      </c>
      <c r="AQ510" s="40">
        <f>AQ331*$I$35+AQ337*$I$36+AQ358*$I$37+AQ366*$I$38+AQ387*$I$39+AQ393*$I$40+AQ414*$I$41+AQ420*$I$42+AQ441*$I$43+AQ447*$I$44</f>
        <v/>
      </c>
      <c r="AR510" s="40">
        <f>AR331*$I$35+AR337*$I$36+AR358*$I$37+AR366*$I$38+AR387*$I$39+AR393*$I$40+AR414*$I$41+AR420*$I$42+AR441*$I$43+AR447*$I$44</f>
        <v/>
      </c>
      <c r="AS510" s="40">
        <f>AS331*$I$35+AS337*$I$36+AS358*$I$37+AS366*$I$38+AS387*$I$39+AS393*$I$40+AS414*$I$41+AS420*$I$42+AS441*$I$43+AS447*$I$44</f>
        <v/>
      </c>
      <c r="AT510" s="40">
        <f>AT331*$I$35+AT337*$I$36+AT358*$I$37+AT366*$I$38+AT387*$I$39+AT393*$I$40+AT414*$I$41+AT420*$I$42+AT441*$I$43+AT447*$I$44</f>
        <v/>
      </c>
      <c r="AU510" s="40">
        <f>AU331*$I$35+AU337*$I$36+AU358*$I$37+AU366*$I$38+AU387*$I$39+AU393*$I$40+AU414*$I$41+AU420*$I$42+AU441*$I$43+AU447*$I$44</f>
        <v/>
      </c>
      <c r="AV510" s="40">
        <f>AV331*$I$35+AV337*$I$36+AV358*$I$37+AV366*$I$38+AV387*$I$39+AV393*$I$40+AV414*$I$41+AV420*$I$42+AV441*$I$43+AV447*$I$44</f>
        <v/>
      </c>
      <c r="AW510" s="40">
        <f>AW331*$I$35+AW337*$I$36+AW358*$I$37+AW366*$I$38+AW387*$I$39+AW393*$I$40+AW414*$I$41+AW420*$I$42+AW441*$I$43+AW447*$I$44</f>
        <v/>
      </c>
      <c r="AX510" s="40">
        <f>AX331*$I$35+AX337*$I$36+AX358*$I$37+AX366*$I$38+AX387*$I$39+AX393*$I$40+AX414*$I$41+AX420*$I$42+AX441*$I$43+AX447*$I$44</f>
        <v/>
      </c>
      <c r="AY510" s="40">
        <f>AY331*$I$35+AY337*$I$36+AY358*$I$37+AY366*$I$38+AY387*$I$39+AY393*$I$40+AY414*$I$41+AY420*$I$42+AY441*$I$43+AY447*$I$44</f>
        <v/>
      </c>
      <c r="AZ510" s="40">
        <f>AZ331*$I$35+AZ337*$I$36+AZ358*$I$37+AZ366*$I$38+AZ387*$I$39+AZ393*$I$40+AZ414*$I$41+AZ420*$I$42+AZ441*$I$43+AZ447*$I$44</f>
        <v/>
      </c>
      <c r="BA510" s="40">
        <f>BA331*$I$35+BA337*$I$36+BA358*$I$37+BA366*$I$38+BA387*$I$39+BA393*$I$40+BA414*$I$41+BA420*$I$42+BA441*$I$43+BA447*$I$44</f>
        <v/>
      </c>
      <c r="BB510" s="40">
        <f>BB331*$I$35+BB337*$I$36+BB358*$I$37+BB366*$I$38+BB387*$I$39+BB393*$I$40+BB414*$I$41+BB420*$I$42+BB441*$I$43+BB447*$I$44</f>
        <v/>
      </c>
      <c r="BC510" s="40">
        <f>BC331*$I$35+BC337*$I$36+BC358*$I$37+BC366*$I$38+BC387*$I$39+BC393*$I$40+BC414*$I$41+BC420*$I$42+BC441*$I$43+BC447*$I$44</f>
        <v/>
      </c>
      <c r="BD510" s="40">
        <f>BD331*$I$35+BD337*$I$36+BD358*$I$37+BD366*$I$38+BD387*$I$39+BD393*$I$40+BD414*$I$41+BD420*$I$42+BD441*$I$43+BD447*$I$44</f>
        <v/>
      </c>
    </row>
    <row r="511">
      <c r="A511" s="33" t="inlineStr">
        <is>
          <t xml:space="preserve">  packaging</t>
        </is>
      </c>
      <c r="B511" s="2" t="inlineStr">
        <is>
          <t>$</t>
        </is>
      </c>
      <c r="E511" s="40">
        <f>E347+E376+E403+E430+E457</f>
        <v/>
      </c>
      <c r="F511" s="40">
        <f>F347+F376+F403+F430+F457</f>
        <v/>
      </c>
      <c r="G511" s="40">
        <f>G347+G376+G403+G430+G457</f>
        <v/>
      </c>
      <c r="H511" s="40">
        <f>H347+H376+H403+H430+H457</f>
        <v/>
      </c>
      <c r="I511" s="40">
        <f>I347+I376+I403+I430+I457</f>
        <v/>
      </c>
      <c r="J511" s="40">
        <f>J347+J376+J403+J430+J457</f>
        <v/>
      </c>
      <c r="K511" s="40">
        <f>K347+K376+K403+K430+K457</f>
        <v/>
      </c>
      <c r="L511" s="40">
        <f>L347+L376+L403+L430+L457</f>
        <v/>
      </c>
      <c r="M511" s="40">
        <f>M347+M376+M403+M430+M457</f>
        <v/>
      </c>
      <c r="N511" s="40">
        <f>N347+N376+N403+N430+N457</f>
        <v/>
      </c>
      <c r="O511" s="40">
        <f>O347+O376+O403+O430+O457</f>
        <v/>
      </c>
      <c r="P511" s="40">
        <f>P347+P376+P403+P430+P457</f>
        <v/>
      </c>
      <c r="Q511" s="40">
        <f>Q347+Q376+Q403+Q430+Q457</f>
        <v/>
      </c>
      <c r="R511" s="40">
        <f>R347+R376+R403+R430+R457</f>
        <v/>
      </c>
      <c r="S511" s="40">
        <f>S347+S376+S403+S430+S457</f>
        <v/>
      </c>
      <c r="T511" s="40">
        <f>T347+T376+T403+T430+T457</f>
        <v/>
      </c>
      <c r="U511" s="40">
        <f>U347+U376+U403+U430+U457</f>
        <v/>
      </c>
      <c r="V511" s="40">
        <f>V347+V376+V403+V430+V457</f>
        <v/>
      </c>
      <c r="W511" s="40">
        <f>W347+W376+W403+W430+W457</f>
        <v/>
      </c>
      <c r="X511" s="40">
        <f>X347+X376+X403+X430+X457</f>
        <v/>
      </c>
      <c r="Y511" s="40">
        <f>Y347+Y376+Y403+Y430+Y457</f>
        <v/>
      </c>
      <c r="Z511" s="40">
        <f>Z347+Z376+Z403+Z430+Z457</f>
        <v/>
      </c>
      <c r="AA511" s="40">
        <f>AA347+AA376+AA403+AA430+AA457</f>
        <v/>
      </c>
      <c r="AB511" s="40">
        <f>AB347+AB376+AB403+AB430+AB457</f>
        <v/>
      </c>
      <c r="AC511" s="40">
        <f>AC347+AC376+AC403+AC430+AC457</f>
        <v/>
      </c>
      <c r="AD511" s="40">
        <f>AD347+AD376+AD403+AD430+AD457</f>
        <v/>
      </c>
      <c r="AE511" s="40">
        <f>AE347+AE376+AE403+AE430+AE457</f>
        <v/>
      </c>
      <c r="AF511" s="40">
        <f>AF347+AF376+AF403+AF430+AF457</f>
        <v/>
      </c>
      <c r="AG511" s="40">
        <f>AG347+AG376+AG403+AG430+AG457</f>
        <v/>
      </c>
      <c r="AH511" s="40">
        <f>AH347+AH376+AH403+AH430+AH457</f>
        <v/>
      </c>
      <c r="AI511" s="40">
        <f>AI347+AI376+AI403+AI430+AI457</f>
        <v/>
      </c>
      <c r="AJ511" s="40">
        <f>AJ347+AJ376+AJ403+AJ430+AJ457</f>
        <v/>
      </c>
      <c r="AK511" s="40">
        <f>AK347+AK376+AK403+AK430+AK457</f>
        <v/>
      </c>
      <c r="AL511" s="40">
        <f>AL347+AL376+AL403+AL430+AL457</f>
        <v/>
      </c>
      <c r="AM511" s="40">
        <f>AM347+AM376+AM403+AM430+AM457</f>
        <v/>
      </c>
      <c r="AN511" s="40">
        <f>AN347+AN376+AN403+AN430+AN457</f>
        <v/>
      </c>
      <c r="AO511" s="40">
        <f>AO347+AO376+AO403+AO430+AO457</f>
        <v/>
      </c>
      <c r="AP511" s="40">
        <f>AP347+AP376+AP403+AP430+AP457</f>
        <v/>
      </c>
      <c r="AQ511" s="40">
        <f>AQ347+AQ376+AQ403+AQ430+AQ457</f>
        <v/>
      </c>
      <c r="AR511" s="40">
        <f>AR347+AR376+AR403+AR430+AR457</f>
        <v/>
      </c>
      <c r="AS511" s="40">
        <f>AS347+AS376+AS403+AS430+AS457</f>
        <v/>
      </c>
      <c r="AT511" s="40">
        <f>AT347+AT376+AT403+AT430+AT457</f>
        <v/>
      </c>
      <c r="AU511" s="40">
        <f>AU347+AU376+AU403+AU430+AU457</f>
        <v/>
      </c>
      <c r="AV511" s="40">
        <f>AV347+AV376+AV403+AV430+AV457</f>
        <v/>
      </c>
      <c r="AW511" s="40">
        <f>AW347+AW376+AW403+AW430+AW457</f>
        <v/>
      </c>
      <c r="AX511" s="40">
        <f>AX347+AX376+AX403+AX430+AX457</f>
        <v/>
      </c>
      <c r="AY511" s="40">
        <f>AY347+AY376+AY403+AY430+AY457</f>
        <v/>
      </c>
      <c r="AZ511" s="40">
        <f>AZ347+AZ376+AZ403+AZ430+AZ457</f>
        <v/>
      </c>
      <c r="BA511" s="40">
        <f>BA347+BA376+BA403+BA430+BA457</f>
        <v/>
      </c>
      <c r="BB511" s="40">
        <f>BB347+BB376+BB403+BB430+BB457</f>
        <v/>
      </c>
      <c r="BC511" s="40">
        <f>BC347+BC376+BC403+BC430+BC457</f>
        <v/>
      </c>
      <c r="BD511" s="40">
        <f>BD347+BD376+BD403+BD430+BD457</f>
        <v/>
      </c>
    </row>
    <row r="512">
      <c r="A512" s="33" t="inlineStr">
        <is>
          <t xml:space="preserve">  growing cost</t>
        </is>
      </c>
      <c r="B512" s="2" t="inlineStr">
        <is>
          <t>$</t>
        </is>
      </c>
      <c r="E512" s="40">
        <f>E346+E375+E402+E429</f>
        <v/>
      </c>
      <c r="F512" s="40">
        <f>F346+F375+F402+F429</f>
        <v/>
      </c>
      <c r="G512" s="40">
        <f>G346+G375+G402+G429</f>
        <v/>
      </c>
      <c r="H512" s="40">
        <f>H346+H375+H402+H429</f>
        <v/>
      </c>
      <c r="I512" s="40">
        <f>I346+I375+I402+I429</f>
        <v/>
      </c>
      <c r="J512" s="40">
        <f>J346+J375+J402+J429</f>
        <v/>
      </c>
      <c r="K512" s="40">
        <f>K346+K375+K402+K429</f>
        <v/>
      </c>
      <c r="L512" s="40">
        <f>L346+L375+L402+L429</f>
        <v/>
      </c>
      <c r="M512" s="40">
        <f>M346+M375+M402+M429</f>
        <v/>
      </c>
      <c r="N512" s="40">
        <f>N346+N375+N402+N429</f>
        <v/>
      </c>
      <c r="O512" s="40">
        <f>O346+O375+O402+O429</f>
        <v/>
      </c>
      <c r="P512" s="40">
        <f>P346+P375+P402+P429</f>
        <v/>
      </c>
      <c r="Q512" s="40">
        <f>Q346+Q375+Q402+Q429</f>
        <v/>
      </c>
      <c r="R512" s="40">
        <f>R346+R375+R402+R429</f>
        <v/>
      </c>
      <c r="S512" s="40">
        <f>S346+S375+S402+S429</f>
        <v/>
      </c>
      <c r="T512" s="40">
        <f>T346+T375+T402+T429</f>
        <v/>
      </c>
      <c r="U512" s="40">
        <f>U346+U375+U402+U429</f>
        <v/>
      </c>
      <c r="V512" s="40">
        <f>V346+V375+V402+V429</f>
        <v/>
      </c>
      <c r="W512" s="40">
        <f>W346+W375+W402+W429</f>
        <v/>
      </c>
      <c r="X512" s="40">
        <f>X346+X375+X402+X429</f>
        <v/>
      </c>
      <c r="Y512" s="40">
        <f>Y346+Y375+Y402+Y429</f>
        <v/>
      </c>
      <c r="Z512" s="40">
        <f>Z346+Z375+Z402+Z429</f>
        <v/>
      </c>
      <c r="AA512" s="40">
        <f>AA346+AA375+AA402+AA429</f>
        <v/>
      </c>
      <c r="AB512" s="40">
        <f>AB346+AB375+AB402+AB429</f>
        <v/>
      </c>
      <c r="AC512" s="40">
        <f>AC346+AC375+AC402+AC429</f>
        <v/>
      </c>
      <c r="AD512" s="40">
        <f>AD346+AD375+AD402+AD429</f>
        <v/>
      </c>
      <c r="AE512" s="40">
        <f>AE346+AE375+AE402+AE429</f>
        <v/>
      </c>
      <c r="AF512" s="40">
        <f>AF346+AF375+AF402+AF429</f>
        <v/>
      </c>
      <c r="AG512" s="40">
        <f>AG346+AG375+AG402+AG429</f>
        <v/>
      </c>
      <c r="AH512" s="40">
        <f>AH346+AH375+AH402+AH429</f>
        <v/>
      </c>
      <c r="AI512" s="40">
        <f>AI346+AI375+AI402+AI429</f>
        <v/>
      </c>
      <c r="AJ512" s="40">
        <f>AJ346+AJ375+AJ402+AJ429</f>
        <v/>
      </c>
      <c r="AK512" s="40">
        <f>AK346+AK375+AK402+AK429</f>
        <v/>
      </c>
      <c r="AL512" s="40">
        <f>AL346+AL375+AL402+AL429</f>
        <v/>
      </c>
      <c r="AM512" s="40">
        <f>AM346+AM375+AM402+AM429</f>
        <v/>
      </c>
      <c r="AN512" s="40">
        <f>AN346+AN375+AN402+AN429</f>
        <v/>
      </c>
      <c r="AO512" s="40">
        <f>AO346+AO375+AO402+AO429</f>
        <v/>
      </c>
      <c r="AP512" s="40">
        <f>AP346+AP375+AP402+AP429</f>
        <v/>
      </c>
      <c r="AQ512" s="40">
        <f>AQ346+AQ375+AQ402+AQ429</f>
        <v/>
      </c>
      <c r="AR512" s="40">
        <f>AR346+AR375+AR402+AR429</f>
        <v/>
      </c>
      <c r="AS512" s="40">
        <f>AS346+AS375+AS402+AS429</f>
        <v/>
      </c>
      <c r="AT512" s="40">
        <f>AT346+AT375+AT402+AT429</f>
        <v/>
      </c>
      <c r="AU512" s="40">
        <f>AU346+AU375+AU402+AU429</f>
        <v/>
      </c>
      <c r="AV512" s="40">
        <f>AV346+AV375+AV402+AV429</f>
        <v/>
      </c>
      <c r="AW512" s="40">
        <f>AW346+AW375+AW402+AW429</f>
        <v/>
      </c>
      <c r="AX512" s="40">
        <f>AX346+AX375+AX402+AX429</f>
        <v/>
      </c>
      <c r="AY512" s="40">
        <f>AY346+AY375+AY402+AY429</f>
        <v/>
      </c>
      <c r="AZ512" s="40">
        <f>AZ346+AZ375+AZ402+AZ429</f>
        <v/>
      </c>
      <c r="BA512" s="40">
        <f>BA346+BA375+BA402+BA429</f>
        <v/>
      </c>
      <c r="BB512" s="40">
        <f>BB346+BB375+BB402+BB429</f>
        <v/>
      </c>
      <c r="BC512" s="40">
        <f>BC346+BC375+BC402+BC429</f>
        <v/>
      </c>
      <c r="BD512" s="40">
        <f>BD346+BD375+BD402+BD429</f>
        <v/>
      </c>
    </row>
    <row r="513">
      <c r="A513" s="33" t="inlineStr">
        <is>
          <t xml:space="preserve">  perennial upkeep + depreciation</t>
        </is>
      </c>
      <c r="B513" s="2" t="inlineStr">
        <is>
          <t>$</t>
        </is>
      </c>
      <c r="E513" s="40">
        <f>E456</f>
        <v/>
      </c>
      <c r="F513" s="40">
        <f>F456</f>
        <v/>
      </c>
      <c r="G513" s="40">
        <f>G456</f>
        <v/>
      </c>
      <c r="H513" s="40">
        <f>H456</f>
        <v/>
      </c>
      <c r="I513" s="40">
        <f>I456</f>
        <v/>
      </c>
      <c r="J513" s="40">
        <f>J456</f>
        <v/>
      </c>
      <c r="K513" s="40">
        <f>K456</f>
        <v/>
      </c>
      <c r="L513" s="40">
        <f>L456</f>
        <v/>
      </c>
      <c r="M513" s="40">
        <f>M456</f>
        <v/>
      </c>
      <c r="N513" s="40">
        <f>N456</f>
        <v/>
      </c>
      <c r="O513" s="40">
        <f>O456</f>
        <v/>
      </c>
      <c r="P513" s="40">
        <f>P456</f>
        <v/>
      </c>
      <c r="Q513" s="40">
        <f>Q456</f>
        <v/>
      </c>
      <c r="R513" s="40">
        <f>R456</f>
        <v/>
      </c>
      <c r="S513" s="40">
        <f>S456</f>
        <v/>
      </c>
      <c r="T513" s="40">
        <f>T456</f>
        <v/>
      </c>
      <c r="U513" s="40">
        <f>U456</f>
        <v/>
      </c>
      <c r="V513" s="40">
        <f>V456</f>
        <v/>
      </c>
      <c r="W513" s="40">
        <f>W456</f>
        <v/>
      </c>
      <c r="X513" s="40">
        <f>X456</f>
        <v/>
      </c>
      <c r="Y513" s="40">
        <f>Y456</f>
        <v/>
      </c>
      <c r="Z513" s="40">
        <f>Z456</f>
        <v/>
      </c>
      <c r="AA513" s="40">
        <f>AA456</f>
        <v/>
      </c>
      <c r="AB513" s="40">
        <f>AB456</f>
        <v/>
      </c>
      <c r="AC513" s="40">
        <f>AC456</f>
        <v/>
      </c>
      <c r="AD513" s="40">
        <f>AD456</f>
        <v/>
      </c>
      <c r="AE513" s="40">
        <f>AE456</f>
        <v/>
      </c>
      <c r="AF513" s="40">
        <f>AF456</f>
        <v/>
      </c>
      <c r="AG513" s="40">
        <f>AG456</f>
        <v/>
      </c>
      <c r="AH513" s="40">
        <f>AH456</f>
        <v/>
      </c>
      <c r="AI513" s="40">
        <f>AI456</f>
        <v/>
      </c>
      <c r="AJ513" s="40">
        <f>AJ456</f>
        <v/>
      </c>
      <c r="AK513" s="40">
        <f>AK456</f>
        <v/>
      </c>
      <c r="AL513" s="40">
        <f>AL456</f>
        <v/>
      </c>
      <c r="AM513" s="40">
        <f>AM456</f>
        <v/>
      </c>
      <c r="AN513" s="40">
        <f>AN456</f>
        <v/>
      </c>
      <c r="AO513" s="40">
        <f>AO456</f>
        <v/>
      </c>
      <c r="AP513" s="40">
        <f>AP456</f>
        <v/>
      </c>
      <c r="AQ513" s="40">
        <f>AQ456</f>
        <v/>
      </c>
      <c r="AR513" s="40">
        <f>AR456</f>
        <v/>
      </c>
      <c r="AS513" s="40">
        <f>AS456</f>
        <v/>
      </c>
      <c r="AT513" s="40">
        <f>AT456</f>
        <v/>
      </c>
      <c r="AU513" s="40">
        <f>AU456</f>
        <v/>
      </c>
      <c r="AV513" s="40">
        <f>AV456</f>
        <v/>
      </c>
      <c r="AW513" s="40">
        <f>AW456</f>
        <v/>
      </c>
      <c r="AX513" s="40">
        <f>AX456</f>
        <v/>
      </c>
      <c r="AY513" s="40">
        <f>AY456</f>
        <v/>
      </c>
      <c r="AZ513" s="40">
        <f>AZ456</f>
        <v/>
      </c>
      <c r="BA513" s="40">
        <f>BA456</f>
        <v/>
      </c>
      <c r="BB513" s="40">
        <f>BB456</f>
        <v/>
      </c>
      <c r="BC513" s="40">
        <f>BC456</f>
        <v/>
      </c>
      <c r="BD513" s="40">
        <f>BD456</f>
        <v/>
      </c>
    </row>
    <row r="514">
      <c r="A514" s="33" t="inlineStr">
        <is>
          <t xml:space="preserve">  contract shortfall penalty</t>
        </is>
      </c>
      <c r="B514" s="2" t="inlineStr">
        <is>
          <t>$</t>
        </is>
      </c>
      <c r="E514" s="40">
        <f>E477+E484</f>
        <v/>
      </c>
      <c r="F514" s="40">
        <f>F477+F484</f>
        <v/>
      </c>
      <c r="G514" s="40">
        <f>G477+G484</f>
        <v/>
      </c>
      <c r="H514" s="40">
        <f>H477+H484</f>
        <v/>
      </c>
      <c r="I514" s="40">
        <f>I477+I484</f>
        <v/>
      </c>
      <c r="J514" s="40">
        <f>J477+J484</f>
        <v/>
      </c>
      <c r="K514" s="40">
        <f>K477+K484</f>
        <v/>
      </c>
      <c r="L514" s="40">
        <f>L477+L484</f>
        <v/>
      </c>
      <c r="M514" s="40">
        <f>M477+M484</f>
        <v/>
      </c>
      <c r="N514" s="40">
        <f>N477+N484</f>
        <v/>
      </c>
      <c r="O514" s="40">
        <f>O477+O484</f>
        <v/>
      </c>
      <c r="P514" s="40">
        <f>P477+P484</f>
        <v/>
      </c>
      <c r="Q514" s="40">
        <f>Q477+Q484</f>
        <v/>
      </c>
      <c r="R514" s="40">
        <f>R477+R484</f>
        <v/>
      </c>
      <c r="S514" s="40">
        <f>S477+S484</f>
        <v/>
      </c>
      <c r="T514" s="40">
        <f>T477+T484</f>
        <v/>
      </c>
      <c r="U514" s="40">
        <f>U477+U484</f>
        <v/>
      </c>
      <c r="V514" s="40">
        <f>V477+V484</f>
        <v/>
      </c>
      <c r="W514" s="40">
        <f>W477+W484</f>
        <v/>
      </c>
      <c r="X514" s="40">
        <f>X477+X484</f>
        <v/>
      </c>
      <c r="Y514" s="40">
        <f>Y477+Y484</f>
        <v/>
      </c>
      <c r="Z514" s="40">
        <f>Z477+Z484</f>
        <v/>
      </c>
      <c r="AA514" s="40">
        <f>AA477+AA484</f>
        <v/>
      </c>
      <c r="AB514" s="40">
        <f>AB477+AB484</f>
        <v/>
      </c>
      <c r="AC514" s="40">
        <f>AC477+AC484</f>
        <v/>
      </c>
      <c r="AD514" s="40">
        <f>AD477+AD484</f>
        <v/>
      </c>
      <c r="AE514" s="40">
        <f>AE477+AE484</f>
        <v/>
      </c>
      <c r="AF514" s="40">
        <f>AF477+AF484</f>
        <v/>
      </c>
      <c r="AG514" s="40">
        <f>AG477+AG484</f>
        <v/>
      </c>
      <c r="AH514" s="40">
        <f>AH477+AH484</f>
        <v/>
      </c>
      <c r="AI514" s="40">
        <f>AI477+AI484</f>
        <v/>
      </c>
      <c r="AJ514" s="40">
        <f>AJ477+AJ484</f>
        <v/>
      </c>
      <c r="AK514" s="40">
        <f>AK477+AK484</f>
        <v/>
      </c>
      <c r="AL514" s="40">
        <f>AL477+AL484</f>
        <v/>
      </c>
      <c r="AM514" s="40">
        <f>AM477+AM484</f>
        <v/>
      </c>
      <c r="AN514" s="40">
        <f>AN477+AN484</f>
        <v/>
      </c>
      <c r="AO514" s="40">
        <f>AO477+AO484</f>
        <v/>
      </c>
      <c r="AP514" s="40">
        <f>AP477+AP484</f>
        <v/>
      </c>
      <c r="AQ514" s="40">
        <f>AQ477+AQ484</f>
        <v/>
      </c>
      <c r="AR514" s="40">
        <f>AR477+AR484</f>
        <v/>
      </c>
      <c r="AS514" s="40">
        <f>AS477+AS484</f>
        <v/>
      </c>
      <c r="AT514" s="40">
        <f>AT477+AT484</f>
        <v/>
      </c>
      <c r="AU514" s="40">
        <f>AU477+AU484</f>
        <v/>
      </c>
      <c r="AV514" s="40">
        <f>AV477+AV484</f>
        <v/>
      </c>
      <c r="AW514" s="40">
        <f>AW477+AW484</f>
        <v/>
      </c>
      <c r="AX514" s="40">
        <f>AX477+AX484</f>
        <v/>
      </c>
      <c r="AY514" s="40">
        <f>AY477+AY484</f>
        <v/>
      </c>
      <c r="AZ514" s="40">
        <f>AZ477+AZ484</f>
        <v/>
      </c>
      <c r="BA514" s="40">
        <f>BA477+BA484</f>
        <v/>
      </c>
      <c r="BB514" s="40">
        <f>BB477+BB484</f>
        <v/>
      </c>
      <c r="BC514" s="40">
        <f>BC477+BC484</f>
        <v/>
      </c>
      <c r="BD514" s="40">
        <f>BD477+BD484</f>
        <v/>
      </c>
    </row>
    <row r="515">
      <c r="A515" s="2" t="inlineStr">
        <is>
          <t xml:space="preserve">   ^ shown for its timing, but NOT in net cash: a penalty is settled with the buyer after the season. Charged against the weekly cash floor, an unavoidable shortfall at a big penalty made the whole plan INFEASIBLE — the very thing a priced shortfall exists to prevent.</t>
        </is>
      </c>
    </row>
    <row r="516">
      <c r="A516" s="33" t="inlineStr">
        <is>
          <t xml:space="preserve">  fixed cost</t>
        </is>
      </c>
      <c r="B516" s="2" t="inlineStr">
        <is>
          <t>$</t>
        </is>
      </c>
      <c r="E516" s="40">
        <f>$B$505</f>
        <v/>
      </c>
      <c r="F516" s="40">
        <f>$B$505</f>
        <v/>
      </c>
      <c r="G516" s="40">
        <f>$B$505</f>
        <v/>
      </c>
      <c r="H516" s="40">
        <f>$B$505</f>
        <v/>
      </c>
      <c r="I516" s="40">
        <f>$B$505</f>
        <v/>
      </c>
      <c r="J516" s="40">
        <f>$B$505</f>
        <v/>
      </c>
      <c r="K516" s="40">
        <f>$B$505</f>
        <v/>
      </c>
      <c r="L516" s="40">
        <f>$B$505</f>
        <v/>
      </c>
      <c r="M516" s="40">
        <f>$B$505</f>
        <v/>
      </c>
      <c r="N516" s="40">
        <f>$B$505</f>
        <v/>
      </c>
      <c r="O516" s="40">
        <f>$B$505</f>
        <v/>
      </c>
      <c r="P516" s="40">
        <f>$B$505</f>
        <v/>
      </c>
      <c r="Q516" s="40">
        <f>$B$505</f>
        <v/>
      </c>
      <c r="R516" s="40">
        <f>$B$505</f>
        <v/>
      </c>
      <c r="S516" s="40">
        <f>$B$505</f>
        <v/>
      </c>
      <c r="T516" s="40">
        <f>$B$505</f>
        <v/>
      </c>
      <c r="U516" s="40">
        <f>$B$505</f>
        <v/>
      </c>
      <c r="V516" s="40">
        <f>$B$505</f>
        <v/>
      </c>
      <c r="W516" s="40">
        <f>$B$505</f>
        <v/>
      </c>
      <c r="X516" s="40">
        <f>$B$505</f>
        <v/>
      </c>
      <c r="Y516" s="40">
        <f>$B$505</f>
        <v/>
      </c>
      <c r="Z516" s="40">
        <f>$B$505</f>
        <v/>
      </c>
      <c r="AA516" s="40">
        <f>$B$505</f>
        <v/>
      </c>
      <c r="AB516" s="40">
        <f>$B$505</f>
        <v/>
      </c>
      <c r="AC516" s="40">
        <f>$B$505</f>
        <v/>
      </c>
      <c r="AD516" s="40">
        <f>$B$505</f>
        <v/>
      </c>
      <c r="AE516" s="40">
        <f>$B$505</f>
        <v/>
      </c>
      <c r="AF516" s="40">
        <f>$B$505</f>
        <v/>
      </c>
      <c r="AG516" s="40">
        <f>$B$505</f>
        <v/>
      </c>
      <c r="AH516" s="40">
        <f>$B$505</f>
        <v/>
      </c>
      <c r="AI516" s="40">
        <f>$B$505</f>
        <v/>
      </c>
      <c r="AJ516" s="40">
        <f>$B$505</f>
        <v/>
      </c>
      <c r="AK516" s="40">
        <f>$B$505</f>
        <v/>
      </c>
      <c r="AL516" s="40">
        <f>$B$505</f>
        <v/>
      </c>
      <c r="AM516" s="40">
        <f>$B$505</f>
        <v/>
      </c>
      <c r="AN516" s="40">
        <f>$B$505</f>
        <v/>
      </c>
      <c r="AO516" s="40">
        <f>$B$505</f>
        <v/>
      </c>
      <c r="AP516" s="40">
        <f>$B$505</f>
        <v/>
      </c>
      <c r="AQ516" s="40">
        <f>$B$505</f>
        <v/>
      </c>
      <c r="AR516" s="40">
        <f>$B$505</f>
        <v/>
      </c>
      <c r="AS516" s="40">
        <f>$B$505</f>
        <v/>
      </c>
      <c r="AT516" s="40">
        <f>$B$505</f>
        <v/>
      </c>
      <c r="AU516" s="40">
        <f>$B$505</f>
        <v/>
      </c>
      <c r="AV516" s="40">
        <f>$B$505</f>
        <v/>
      </c>
      <c r="AW516" s="40">
        <f>$B$505</f>
        <v/>
      </c>
      <c r="AX516" s="40">
        <f>$B$505</f>
        <v/>
      </c>
      <c r="AY516" s="40">
        <f>$B$505</f>
        <v/>
      </c>
      <c r="AZ516" s="40">
        <f>$B$505</f>
        <v/>
      </c>
      <c r="BA516" s="40">
        <f>$B$505</f>
        <v/>
      </c>
      <c r="BB516" s="40">
        <f>$B$505</f>
        <v/>
      </c>
      <c r="BC516" s="40">
        <f>$B$505</f>
        <v/>
      </c>
      <c r="BD516" s="40">
        <f>$B$505</f>
        <v/>
      </c>
    </row>
    <row r="517">
      <c r="A517" s="33" t="inlineStr">
        <is>
          <t xml:space="preserve">  overhead</t>
        </is>
      </c>
      <c r="B517" s="2" t="inlineStr">
        <is>
          <t>$</t>
        </is>
      </c>
      <c r="E517" s="40">
        <f>E510*$B$506</f>
        <v/>
      </c>
      <c r="F517" s="40">
        <f>F510*$B$506</f>
        <v/>
      </c>
      <c r="G517" s="40">
        <f>G510*$B$506</f>
        <v/>
      </c>
      <c r="H517" s="40">
        <f>H510*$B$506</f>
        <v/>
      </c>
      <c r="I517" s="40">
        <f>I510*$B$506</f>
        <v/>
      </c>
      <c r="J517" s="40">
        <f>J510*$B$506</f>
        <v/>
      </c>
      <c r="K517" s="40">
        <f>K510*$B$506</f>
        <v/>
      </c>
      <c r="L517" s="40">
        <f>L510*$B$506</f>
        <v/>
      </c>
      <c r="M517" s="40">
        <f>M510*$B$506</f>
        <v/>
      </c>
      <c r="N517" s="40">
        <f>N510*$B$506</f>
        <v/>
      </c>
      <c r="O517" s="40">
        <f>O510*$B$506</f>
        <v/>
      </c>
      <c r="P517" s="40">
        <f>P510*$B$506</f>
        <v/>
      </c>
      <c r="Q517" s="40">
        <f>Q510*$B$506</f>
        <v/>
      </c>
      <c r="R517" s="40">
        <f>R510*$B$506</f>
        <v/>
      </c>
      <c r="S517" s="40">
        <f>S510*$B$506</f>
        <v/>
      </c>
      <c r="T517" s="40">
        <f>T510*$B$506</f>
        <v/>
      </c>
      <c r="U517" s="40">
        <f>U510*$B$506</f>
        <v/>
      </c>
      <c r="V517" s="40">
        <f>V510*$B$506</f>
        <v/>
      </c>
      <c r="W517" s="40">
        <f>W510*$B$506</f>
        <v/>
      </c>
      <c r="X517" s="40">
        <f>X510*$B$506</f>
        <v/>
      </c>
      <c r="Y517" s="40">
        <f>Y510*$B$506</f>
        <v/>
      </c>
      <c r="Z517" s="40">
        <f>Z510*$B$506</f>
        <v/>
      </c>
      <c r="AA517" s="40">
        <f>AA510*$B$506</f>
        <v/>
      </c>
      <c r="AB517" s="40">
        <f>AB510*$B$506</f>
        <v/>
      </c>
      <c r="AC517" s="40">
        <f>AC510*$B$506</f>
        <v/>
      </c>
      <c r="AD517" s="40">
        <f>AD510*$B$506</f>
        <v/>
      </c>
      <c r="AE517" s="40">
        <f>AE510*$B$506</f>
        <v/>
      </c>
      <c r="AF517" s="40">
        <f>AF510*$B$506</f>
        <v/>
      </c>
      <c r="AG517" s="40">
        <f>AG510*$B$506</f>
        <v/>
      </c>
      <c r="AH517" s="40">
        <f>AH510*$B$506</f>
        <v/>
      </c>
      <c r="AI517" s="40">
        <f>AI510*$B$506</f>
        <v/>
      </c>
      <c r="AJ517" s="40">
        <f>AJ510*$B$506</f>
        <v/>
      </c>
      <c r="AK517" s="40">
        <f>AK510*$B$506</f>
        <v/>
      </c>
      <c r="AL517" s="40">
        <f>AL510*$B$506</f>
        <v/>
      </c>
      <c r="AM517" s="40">
        <f>AM510*$B$506</f>
        <v/>
      </c>
      <c r="AN517" s="40">
        <f>AN510*$B$506</f>
        <v/>
      </c>
      <c r="AO517" s="40">
        <f>AO510*$B$506</f>
        <v/>
      </c>
      <c r="AP517" s="40">
        <f>AP510*$B$506</f>
        <v/>
      </c>
      <c r="AQ517" s="40">
        <f>AQ510*$B$506</f>
        <v/>
      </c>
      <c r="AR517" s="40">
        <f>AR510*$B$506</f>
        <v/>
      </c>
      <c r="AS517" s="40">
        <f>AS510*$B$506</f>
        <v/>
      </c>
      <c r="AT517" s="40">
        <f>AT510*$B$506</f>
        <v/>
      </c>
      <c r="AU517" s="40">
        <f>AU510*$B$506</f>
        <v/>
      </c>
      <c r="AV517" s="40">
        <f>AV510*$B$506</f>
        <v/>
      </c>
      <c r="AW517" s="40">
        <f>AW510*$B$506</f>
        <v/>
      </c>
      <c r="AX517" s="40">
        <f>AX510*$B$506</f>
        <v/>
      </c>
      <c r="AY517" s="40">
        <f>AY510*$B$506</f>
        <v/>
      </c>
      <c r="AZ517" s="40">
        <f>AZ510*$B$506</f>
        <v/>
      </c>
      <c r="BA517" s="40">
        <f>BA510*$B$506</f>
        <v/>
      </c>
      <c r="BB517" s="40">
        <f>BB510*$B$506</f>
        <v/>
      </c>
      <c r="BC517" s="40">
        <f>BC510*$B$506</f>
        <v/>
      </c>
      <c r="BD517" s="40">
        <f>BD510*$B$506</f>
        <v/>
      </c>
    </row>
    <row r="518">
      <c r="A518" s="33" t="inlineStr">
        <is>
          <t xml:space="preserve">  wages</t>
        </is>
      </c>
      <c r="B518" s="2" t="inlineStr">
        <is>
          <t>$</t>
        </is>
      </c>
      <c r="E518" s="40">
        <f>E314</f>
        <v/>
      </c>
      <c r="F518" s="40">
        <f>F314</f>
        <v/>
      </c>
      <c r="G518" s="40">
        <f>G314</f>
        <v/>
      </c>
      <c r="H518" s="40">
        <f>H314</f>
        <v/>
      </c>
      <c r="I518" s="40">
        <f>I314</f>
        <v/>
      </c>
      <c r="J518" s="40">
        <f>J314</f>
        <v/>
      </c>
      <c r="K518" s="40">
        <f>K314</f>
        <v/>
      </c>
      <c r="L518" s="40">
        <f>L314</f>
        <v/>
      </c>
      <c r="M518" s="40">
        <f>M314</f>
        <v/>
      </c>
      <c r="N518" s="40">
        <f>N314</f>
        <v/>
      </c>
      <c r="O518" s="40">
        <f>O314</f>
        <v/>
      </c>
      <c r="P518" s="40">
        <f>P314</f>
        <v/>
      </c>
      <c r="Q518" s="40">
        <f>Q314</f>
        <v/>
      </c>
      <c r="R518" s="40">
        <f>R314</f>
        <v/>
      </c>
      <c r="S518" s="40">
        <f>S314</f>
        <v/>
      </c>
      <c r="T518" s="40">
        <f>T314</f>
        <v/>
      </c>
      <c r="U518" s="40">
        <f>U314</f>
        <v/>
      </c>
      <c r="V518" s="40">
        <f>V314</f>
        <v/>
      </c>
      <c r="W518" s="40">
        <f>W314</f>
        <v/>
      </c>
      <c r="X518" s="40">
        <f>X314</f>
        <v/>
      </c>
      <c r="Y518" s="40">
        <f>Y314</f>
        <v/>
      </c>
      <c r="Z518" s="40">
        <f>Z314</f>
        <v/>
      </c>
      <c r="AA518" s="40">
        <f>AA314</f>
        <v/>
      </c>
      <c r="AB518" s="40">
        <f>AB314</f>
        <v/>
      </c>
      <c r="AC518" s="40">
        <f>AC314</f>
        <v/>
      </c>
      <c r="AD518" s="40">
        <f>AD314</f>
        <v/>
      </c>
      <c r="AE518" s="40">
        <f>AE314</f>
        <v/>
      </c>
      <c r="AF518" s="40">
        <f>AF314</f>
        <v/>
      </c>
      <c r="AG518" s="40">
        <f>AG314</f>
        <v/>
      </c>
      <c r="AH518" s="40">
        <f>AH314</f>
        <v/>
      </c>
      <c r="AI518" s="40">
        <f>AI314</f>
        <v/>
      </c>
      <c r="AJ518" s="40">
        <f>AJ314</f>
        <v/>
      </c>
      <c r="AK518" s="40">
        <f>AK314</f>
        <v/>
      </c>
      <c r="AL518" s="40">
        <f>AL314</f>
        <v/>
      </c>
      <c r="AM518" s="40">
        <f>AM314</f>
        <v/>
      </c>
      <c r="AN518" s="40">
        <f>AN314</f>
        <v/>
      </c>
      <c r="AO518" s="40">
        <f>AO314</f>
        <v/>
      </c>
      <c r="AP518" s="40">
        <f>AP314</f>
        <v/>
      </c>
      <c r="AQ518" s="40">
        <f>AQ314</f>
        <v/>
      </c>
      <c r="AR518" s="40">
        <f>AR314</f>
        <v/>
      </c>
      <c r="AS518" s="40">
        <f>AS314</f>
        <v/>
      </c>
      <c r="AT518" s="40">
        <f>AT314</f>
        <v/>
      </c>
      <c r="AU518" s="40">
        <f>AU314</f>
        <v/>
      </c>
      <c r="AV518" s="40">
        <f>AV314</f>
        <v/>
      </c>
      <c r="AW518" s="40">
        <f>AW314</f>
        <v/>
      </c>
      <c r="AX518" s="40">
        <f>AX314</f>
        <v/>
      </c>
      <c r="AY518" s="40">
        <f>AY314</f>
        <v/>
      </c>
      <c r="AZ518" s="40">
        <f>AZ314</f>
        <v/>
      </c>
      <c r="BA518" s="40">
        <f>BA314</f>
        <v/>
      </c>
      <c r="BB518" s="40">
        <f>BB314</f>
        <v/>
      </c>
      <c r="BC518" s="40">
        <f>BC314</f>
        <v/>
      </c>
      <c r="BD518" s="40">
        <f>BD314</f>
        <v/>
      </c>
    </row>
    <row r="519">
      <c r="A519" s="33" t="inlineStr">
        <is>
          <t xml:space="preserve">  overtime</t>
        </is>
      </c>
      <c r="B519" s="2" t="inlineStr">
        <is>
          <t>$</t>
        </is>
      </c>
      <c r="E519" s="40">
        <f>E318</f>
        <v/>
      </c>
      <c r="F519" s="40">
        <f>F318</f>
        <v/>
      </c>
      <c r="G519" s="40">
        <f>G318</f>
        <v/>
      </c>
      <c r="H519" s="40">
        <f>H318</f>
        <v/>
      </c>
      <c r="I519" s="40">
        <f>I318</f>
        <v/>
      </c>
      <c r="J519" s="40">
        <f>J318</f>
        <v/>
      </c>
      <c r="K519" s="40">
        <f>K318</f>
        <v/>
      </c>
      <c r="L519" s="40">
        <f>L318</f>
        <v/>
      </c>
      <c r="M519" s="40">
        <f>M318</f>
        <v/>
      </c>
      <c r="N519" s="40">
        <f>N318</f>
        <v/>
      </c>
      <c r="O519" s="40">
        <f>O318</f>
        <v/>
      </c>
      <c r="P519" s="40">
        <f>P318</f>
        <v/>
      </c>
      <c r="Q519" s="40">
        <f>Q318</f>
        <v/>
      </c>
      <c r="R519" s="40">
        <f>R318</f>
        <v/>
      </c>
      <c r="S519" s="40">
        <f>S318</f>
        <v/>
      </c>
      <c r="T519" s="40">
        <f>T318</f>
        <v/>
      </c>
      <c r="U519" s="40">
        <f>U318</f>
        <v/>
      </c>
      <c r="V519" s="40">
        <f>V318</f>
        <v/>
      </c>
      <c r="W519" s="40">
        <f>W318</f>
        <v/>
      </c>
      <c r="X519" s="40">
        <f>X318</f>
        <v/>
      </c>
      <c r="Y519" s="40">
        <f>Y318</f>
        <v/>
      </c>
      <c r="Z519" s="40">
        <f>Z318</f>
        <v/>
      </c>
      <c r="AA519" s="40">
        <f>AA318</f>
        <v/>
      </c>
      <c r="AB519" s="40">
        <f>AB318</f>
        <v/>
      </c>
      <c r="AC519" s="40">
        <f>AC318</f>
        <v/>
      </c>
      <c r="AD519" s="40">
        <f>AD318</f>
        <v/>
      </c>
      <c r="AE519" s="40">
        <f>AE318</f>
        <v/>
      </c>
      <c r="AF519" s="40">
        <f>AF318</f>
        <v/>
      </c>
      <c r="AG519" s="40">
        <f>AG318</f>
        <v/>
      </c>
      <c r="AH519" s="40">
        <f>AH318</f>
        <v/>
      </c>
      <c r="AI519" s="40">
        <f>AI318</f>
        <v/>
      </c>
      <c r="AJ519" s="40">
        <f>AJ318</f>
        <v/>
      </c>
      <c r="AK519" s="40">
        <f>AK318</f>
        <v/>
      </c>
      <c r="AL519" s="40">
        <f>AL318</f>
        <v/>
      </c>
      <c r="AM519" s="40">
        <f>AM318</f>
        <v/>
      </c>
      <c r="AN519" s="40">
        <f>AN318</f>
        <v/>
      </c>
      <c r="AO519" s="40">
        <f>AO318</f>
        <v/>
      </c>
      <c r="AP519" s="40">
        <f>AP318</f>
        <v/>
      </c>
      <c r="AQ519" s="40">
        <f>AQ318</f>
        <v/>
      </c>
      <c r="AR519" s="40">
        <f>AR318</f>
        <v/>
      </c>
      <c r="AS519" s="40">
        <f>AS318</f>
        <v/>
      </c>
      <c r="AT519" s="40">
        <f>AT318</f>
        <v/>
      </c>
      <c r="AU519" s="40">
        <f>AU318</f>
        <v/>
      </c>
      <c r="AV519" s="40">
        <f>AV318</f>
        <v/>
      </c>
      <c r="AW519" s="40">
        <f>AW318</f>
        <v/>
      </c>
      <c r="AX519" s="40">
        <f>AX318</f>
        <v/>
      </c>
      <c r="AY519" s="40">
        <f>AY318</f>
        <v/>
      </c>
      <c r="AZ519" s="40">
        <f>AZ318</f>
        <v/>
      </c>
      <c r="BA519" s="40">
        <f>BA318</f>
        <v/>
      </c>
      <c r="BB519" s="40">
        <f>BB318</f>
        <v/>
      </c>
      <c r="BC519" s="40">
        <f>BC318</f>
        <v/>
      </c>
      <c r="BD519" s="40">
        <f>BD318</f>
        <v/>
      </c>
    </row>
    <row r="520">
      <c r="A520" s="33" t="inlineStr">
        <is>
          <t xml:space="preserve">  new-head one-off</t>
        </is>
      </c>
      <c r="B520" s="2" t="inlineStr">
        <is>
          <t>$</t>
        </is>
      </c>
      <c r="E520" s="40">
        <f>E316</f>
        <v/>
      </c>
      <c r="F520" s="40">
        <f>F316</f>
        <v/>
      </c>
      <c r="G520" s="40">
        <f>G316</f>
        <v/>
      </c>
      <c r="H520" s="40">
        <f>H316</f>
        <v/>
      </c>
      <c r="I520" s="40">
        <f>I316</f>
        <v/>
      </c>
      <c r="J520" s="40">
        <f>J316</f>
        <v/>
      </c>
      <c r="K520" s="40">
        <f>K316</f>
        <v/>
      </c>
      <c r="L520" s="40">
        <f>L316</f>
        <v/>
      </c>
      <c r="M520" s="40">
        <f>M316</f>
        <v/>
      </c>
      <c r="N520" s="40">
        <f>N316</f>
        <v/>
      </c>
      <c r="O520" s="40">
        <f>O316</f>
        <v/>
      </c>
      <c r="P520" s="40">
        <f>P316</f>
        <v/>
      </c>
      <c r="Q520" s="40">
        <f>Q316</f>
        <v/>
      </c>
      <c r="R520" s="40">
        <f>R316</f>
        <v/>
      </c>
      <c r="S520" s="40">
        <f>S316</f>
        <v/>
      </c>
      <c r="T520" s="40">
        <f>T316</f>
        <v/>
      </c>
      <c r="U520" s="40">
        <f>U316</f>
        <v/>
      </c>
      <c r="V520" s="40">
        <f>V316</f>
        <v/>
      </c>
      <c r="W520" s="40">
        <f>W316</f>
        <v/>
      </c>
      <c r="X520" s="40">
        <f>X316</f>
        <v/>
      </c>
      <c r="Y520" s="40">
        <f>Y316</f>
        <v/>
      </c>
      <c r="Z520" s="40">
        <f>Z316</f>
        <v/>
      </c>
      <c r="AA520" s="40">
        <f>AA316</f>
        <v/>
      </c>
      <c r="AB520" s="40">
        <f>AB316</f>
        <v/>
      </c>
      <c r="AC520" s="40">
        <f>AC316</f>
        <v/>
      </c>
      <c r="AD520" s="40">
        <f>AD316</f>
        <v/>
      </c>
      <c r="AE520" s="40">
        <f>AE316</f>
        <v/>
      </c>
      <c r="AF520" s="40">
        <f>AF316</f>
        <v/>
      </c>
      <c r="AG520" s="40">
        <f>AG316</f>
        <v/>
      </c>
      <c r="AH520" s="40">
        <f>AH316</f>
        <v/>
      </c>
      <c r="AI520" s="40">
        <f>AI316</f>
        <v/>
      </c>
      <c r="AJ520" s="40">
        <f>AJ316</f>
        <v/>
      </c>
      <c r="AK520" s="40">
        <f>AK316</f>
        <v/>
      </c>
      <c r="AL520" s="40">
        <f>AL316</f>
        <v/>
      </c>
      <c r="AM520" s="40">
        <f>AM316</f>
        <v/>
      </c>
      <c r="AN520" s="40">
        <f>AN316</f>
        <v/>
      </c>
      <c r="AO520" s="40">
        <f>AO316</f>
        <v/>
      </c>
      <c r="AP520" s="40">
        <f>AP316</f>
        <v/>
      </c>
      <c r="AQ520" s="40">
        <f>AQ316</f>
        <v/>
      </c>
      <c r="AR520" s="40">
        <f>AR316</f>
        <v/>
      </c>
      <c r="AS520" s="40">
        <f>AS316</f>
        <v/>
      </c>
      <c r="AT520" s="40">
        <f>AT316</f>
        <v/>
      </c>
      <c r="AU520" s="40">
        <f>AU316</f>
        <v/>
      </c>
      <c r="AV520" s="40">
        <f>AV316</f>
        <v/>
      </c>
      <c r="AW520" s="40">
        <f>AW316</f>
        <v/>
      </c>
      <c r="AX520" s="40">
        <f>AX316</f>
        <v/>
      </c>
      <c r="AY520" s="40">
        <f>AY316</f>
        <v/>
      </c>
      <c r="AZ520" s="40">
        <f>AZ316</f>
        <v/>
      </c>
      <c r="BA520" s="40">
        <f>BA316</f>
        <v/>
      </c>
      <c r="BB520" s="40">
        <f>BB316</f>
        <v/>
      </c>
      <c r="BC520" s="40">
        <f>BC316</f>
        <v/>
      </c>
      <c r="BD520" s="40">
        <f>BD316</f>
        <v/>
      </c>
    </row>
    <row r="521">
      <c r="A521" s="33" t="inlineStr">
        <is>
          <t xml:space="preserve">  piece rate (COGS)</t>
        </is>
      </c>
      <c r="B521" s="2" t="inlineStr">
        <is>
          <t>$</t>
        </is>
      </c>
      <c r="E521" s="40">
        <f>E320</f>
        <v/>
      </c>
      <c r="F521" s="40">
        <f>F320</f>
        <v/>
      </c>
      <c r="G521" s="40">
        <f>G320</f>
        <v/>
      </c>
      <c r="H521" s="40">
        <f>H320</f>
        <v/>
      </c>
      <c r="I521" s="40">
        <f>I320</f>
        <v/>
      </c>
      <c r="J521" s="40">
        <f>J320</f>
        <v/>
      </c>
      <c r="K521" s="40">
        <f>K320</f>
        <v/>
      </c>
      <c r="L521" s="40">
        <f>L320</f>
        <v/>
      </c>
      <c r="M521" s="40">
        <f>M320</f>
        <v/>
      </c>
      <c r="N521" s="40">
        <f>N320</f>
        <v/>
      </c>
      <c r="O521" s="40">
        <f>O320</f>
        <v/>
      </c>
      <c r="P521" s="40">
        <f>P320</f>
        <v/>
      </c>
      <c r="Q521" s="40">
        <f>Q320</f>
        <v/>
      </c>
      <c r="R521" s="40">
        <f>R320</f>
        <v/>
      </c>
      <c r="S521" s="40">
        <f>S320</f>
        <v/>
      </c>
      <c r="T521" s="40">
        <f>T320</f>
        <v/>
      </c>
      <c r="U521" s="40">
        <f>U320</f>
        <v/>
      </c>
      <c r="V521" s="40">
        <f>V320</f>
        <v/>
      </c>
      <c r="W521" s="40">
        <f>W320</f>
        <v/>
      </c>
      <c r="X521" s="40">
        <f>X320</f>
        <v/>
      </c>
      <c r="Y521" s="40">
        <f>Y320</f>
        <v/>
      </c>
      <c r="Z521" s="40">
        <f>Z320</f>
        <v/>
      </c>
      <c r="AA521" s="40">
        <f>AA320</f>
        <v/>
      </c>
      <c r="AB521" s="40">
        <f>AB320</f>
        <v/>
      </c>
      <c r="AC521" s="40">
        <f>AC320</f>
        <v/>
      </c>
      <c r="AD521" s="40">
        <f>AD320</f>
        <v/>
      </c>
      <c r="AE521" s="40">
        <f>AE320</f>
        <v/>
      </c>
      <c r="AF521" s="40">
        <f>AF320</f>
        <v/>
      </c>
      <c r="AG521" s="40">
        <f>AG320</f>
        <v/>
      </c>
      <c r="AH521" s="40">
        <f>AH320</f>
        <v/>
      </c>
      <c r="AI521" s="40">
        <f>AI320</f>
        <v/>
      </c>
      <c r="AJ521" s="40">
        <f>AJ320</f>
        <v/>
      </c>
      <c r="AK521" s="40">
        <f>AK320</f>
        <v/>
      </c>
      <c r="AL521" s="40">
        <f>AL320</f>
        <v/>
      </c>
      <c r="AM521" s="40">
        <f>AM320</f>
        <v/>
      </c>
      <c r="AN521" s="40">
        <f>AN320</f>
        <v/>
      </c>
      <c r="AO521" s="40">
        <f>AO320</f>
        <v/>
      </c>
      <c r="AP521" s="40">
        <f>AP320</f>
        <v/>
      </c>
      <c r="AQ521" s="40">
        <f>AQ320</f>
        <v/>
      </c>
      <c r="AR521" s="40">
        <f>AR320</f>
        <v/>
      </c>
      <c r="AS521" s="40">
        <f>AS320</f>
        <v/>
      </c>
      <c r="AT521" s="40">
        <f>AT320</f>
        <v/>
      </c>
      <c r="AU521" s="40">
        <f>AU320</f>
        <v/>
      </c>
      <c r="AV521" s="40">
        <f>AV320</f>
        <v/>
      </c>
      <c r="AW521" s="40">
        <f>AW320</f>
        <v/>
      </c>
      <c r="AX521" s="40">
        <f>AX320</f>
        <v/>
      </c>
      <c r="AY521" s="40">
        <f>AY320</f>
        <v/>
      </c>
      <c r="AZ521" s="40">
        <f>AZ320</f>
        <v/>
      </c>
      <c r="BA521" s="40">
        <f>BA320</f>
        <v/>
      </c>
      <c r="BB521" s="40">
        <f>BB320</f>
        <v/>
      </c>
      <c r="BC521" s="40">
        <f>BC320</f>
        <v/>
      </c>
      <c r="BD521" s="40">
        <f>BD320</f>
        <v/>
      </c>
    </row>
    <row r="522">
      <c r="A522" s="4" t="inlineStr">
        <is>
          <t>NET CASH this week</t>
        </is>
      </c>
      <c r="B522" s="2" t="inlineStr">
        <is>
          <t>$</t>
        </is>
      </c>
      <c r="E522" s="40">
        <f>E510-E511-E512-E516-E517-E518-E519-E520-E521-E513</f>
        <v/>
      </c>
      <c r="F522" s="40">
        <f>F510-F511-F512-F516-F517-F518-F519-F520-F521-F513</f>
        <v/>
      </c>
      <c r="G522" s="40">
        <f>G510-G511-G512-G516-G517-G518-G519-G520-G521-G513</f>
        <v/>
      </c>
      <c r="H522" s="40">
        <f>H510-H511-H512-H516-H517-H518-H519-H520-H521-H513</f>
        <v/>
      </c>
      <c r="I522" s="40">
        <f>I510-I511-I512-I516-I517-I518-I519-I520-I521-I513</f>
        <v/>
      </c>
      <c r="J522" s="40">
        <f>J510-J511-J512-J516-J517-J518-J519-J520-J521-J513</f>
        <v/>
      </c>
      <c r="K522" s="40">
        <f>K510-K511-K512-K516-K517-K518-K519-K520-K521-K513</f>
        <v/>
      </c>
      <c r="L522" s="40">
        <f>L510-L511-L512-L516-L517-L518-L519-L520-L521-L513</f>
        <v/>
      </c>
      <c r="M522" s="40">
        <f>M510-M511-M512-M516-M517-M518-M519-M520-M521-M513</f>
        <v/>
      </c>
      <c r="N522" s="40">
        <f>N510-N511-N512-N516-N517-N518-N519-N520-N521-N513</f>
        <v/>
      </c>
      <c r="O522" s="40">
        <f>O510-O511-O512-O516-O517-O518-O519-O520-O521-O513</f>
        <v/>
      </c>
      <c r="P522" s="40">
        <f>P510-P511-P512-P516-P517-P518-P519-P520-P521-P513</f>
        <v/>
      </c>
      <c r="Q522" s="40">
        <f>Q510-Q511-Q512-Q516-Q517-Q518-Q519-Q520-Q521-Q513</f>
        <v/>
      </c>
      <c r="R522" s="40">
        <f>R510-R511-R512-R516-R517-R518-R519-R520-R521-R513</f>
        <v/>
      </c>
      <c r="S522" s="40">
        <f>S510-S511-S512-S516-S517-S518-S519-S520-S521-S513</f>
        <v/>
      </c>
      <c r="T522" s="40">
        <f>T510-T511-T512-T516-T517-T518-T519-T520-T521-T513</f>
        <v/>
      </c>
      <c r="U522" s="40">
        <f>U510-U511-U512-U516-U517-U518-U519-U520-U521-U513</f>
        <v/>
      </c>
      <c r="V522" s="40">
        <f>V510-V511-V512-V516-V517-V518-V519-V520-V521-V513</f>
        <v/>
      </c>
      <c r="W522" s="40">
        <f>W510-W511-W512-W516-W517-W518-W519-W520-W521-W513</f>
        <v/>
      </c>
      <c r="X522" s="40">
        <f>X510-X511-X512-X516-X517-X518-X519-X520-X521-X513</f>
        <v/>
      </c>
      <c r="Y522" s="40">
        <f>Y510-Y511-Y512-Y516-Y517-Y518-Y519-Y520-Y521-Y513</f>
        <v/>
      </c>
      <c r="Z522" s="40">
        <f>Z510-Z511-Z512-Z516-Z517-Z518-Z519-Z520-Z521-Z513</f>
        <v/>
      </c>
      <c r="AA522" s="40">
        <f>AA510-AA511-AA512-AA516-AA517-AA518-AA519-AA520-AA521-AA513</f>
        <v/>
      </c>
      <c r="AB522" s="40">
        <f>AB510-AB511-AB512-AB516-AB517-AB518-AB519-AB520-AB521-AB513</f>
        <v/>
      </c>
      <c r="AC522" s="40">
        <f>AC510-AC511-AC512-AC516-AC517-AC518-AC519-AC520-AC521-AC513</f>
        <v/>
      </c>
      <c r="AD522" s="40">
        <f>AD510-AD511-AD512-AD516-AD517-AD518-AD519-AD520-AD521-AD513</f>
        <v/>
      </c>
      <c r="AE522" s="40">
        <f>AE510-AE511-AE512-AE516-AE517-AE518-AE519-AE520-AE521-AE513</f>
        <v/>
      </c>
      <c r="AF522" s="40">
        <f>AF510-AF511-AF512-AF516-AF517-AF518-AF519-AF520-AF521-AF513</f>
        <v/>
      </c>
      <c r="AG522" s="40">
        <f>AG510-AG511-AG512-AG516-AG517-AG518-AG519-AG520-AG521-AG513</f>
        <v/>
      </c>
      <c r="AH522" s="40">
        <f>AH510-AH511-AH512-AH516-AH517-AH518-AH519-AH520-AH521-AH513</f>
        <v/>
      </c>
      <c r="AI522" s="40">
        <f>AI510-AI511-AI512-AI516-AI517-AI518-AI519-AI520-AI521-AI513</f>
        <v/>
      </c>
      <c r="AJ522" s="40">
        <f>AJ510-AJ511-AJ512-AJ516-AJ517-AJ518-AJ519-AJ520-AJ521-AJ513</f>
        <v/>
      </c>
      <c r="AK522" s="40">
        <f>AK510-AK511-AK512-AK516-AK517-AK518-AK519-AK520-AK521-AK513</f>
        <v/>
      </c>
      <c r="AL522" s="40">
        <f>AL510-AL511-AL512-AL516-AL517-AL518-AL519-AL520-AL521-AL513</f>
        <v/>
      </c>
      <c r="AM522" s="40">
        <f>AM510-AM511-AM512-AM516-AM517-AM518-AM519-AM520-AM521-AM513</f>
        <v/>
      </c>
      <c r="AN522" s="40">
        <f>AN510-AN511-AN512-AN516-AN517-AN518-AN519-AN520-AN521-AN513</f>
        <v/>
      </c>
      <c r="AO522" s="40">
        <f>AO510-AO511-AO512-AO516-AO517-AO518-AO519-AO520-AO521-AO513</f>
        <v/>
      </c>
      <c r="AP522" s="40">
        <f>AP510-AP511-AP512-AP516-AP517-AP518-AP519-AP520-AP521-AP513</f>
        <v/>
      </c>
      <c r="AQ522" s="40">
        <f>AQ510-AQ511-AQ512-AQ516-AQ517-AQ518-AQ519-AQ520-AQ521-AQ513</f>
        <v/>
      </c>
      <c r="AR522" s="40">
        <f>AR510-AR511-AR512-AR516-AR517-AR518-AR519-AR520-AR521-AR513</f>
        <v/>
      </c>
      <c r="AS522" s="40">
        <f>AS510-AS511-AS512-AS516-AS517-AS518-AS519-AS520-AS521-AS513</f>
        <v/>
      </c>
      <c r="AT522" s="40">
        <f>AT510-AT511-AT512-AT516-AT517-AT518-AT519-AT520-AT521-AT513</f>
        <v/>
      </c>
      <c r="AU522" s="40">
        <f>AU510-AU511-AU512-AU516-AU517-AU518-AU519-AU520-AU521-AU513</f>
        <v/>
      </c>
      <c r="AV522" s="40">
        <f>AV510-AV511-AV512-AV516-AV517-AV518-AV519-AV520-AV521-AV513</f>
        <v/>
      </c>
      <c r="AW522" s="40">
        <f>AW510-AW511-AW512-AW516-AW517-AW518-AW519-AW520-AW521-AW513</f>
        <v/>
      </c>
      <c r="AX522" s="40">
        <f>AX510-AX511-AX512-AX516-AX517-AX518-AX519-AX520-AX521-AX513</f>
        <v/>
      </c>
      <c r="AY522" s="40">
        <f>AY510-AY511-AY512-AY516-AY517-AY518-AY519-AY520-AY521-AY513</f>
        <v/>
      </c>
      <c r="AZ522" s="40">
        <f>AZ510-AZ511-AZ512-AZ516-AZ517-AZ518-AZ519-AZ520-AZ521-AZ513</f>
        <v/>
      </c>
      <c r="BA522" s="40">
        <f>BA510-BA511-BA512-BA516-BA517-BA518-BA519-BA520-BA521-BA513</f>
        <v/>
      </c>
      <c r="BB522" s="40">
        <f>BB510-BB511-BB512-BB516-BB517-BB518-BB519-BB520-BB521-BB513</f>
        <v/>
      </c>
      <c r="BC522" s="40">
        <f>BC510-BC511-BC512-BC516-BC517-BC518-BC519-BC520-BC521-BC513</f>
        <v/>
      </c>
      <c r="BD522" s="40">
        <f>BD510-BD511-BD512-BD516-BD517-BD518-BD519-BD520-BD521-BD513</f>
        <v/>
      </c>
    </row>
    <row r="524">
      <c r="A524" s="36" t="inlineStr">
        <is>
          <t>Week</t>
        </is>
      </c>
      <c r="B524" s="37" t="inlineStr">
        <is>
          <t>$</t>
        </is>
      </c>
      <c r="E524" s="38" t="n">
        <v>1</v>
      </c>
      <c r="F524" s="38" t="n">
        <v>2</v>
      </c>
      <c r="G524" s="38" t="n">
        <v>3</v>
      </c>
      <c r="H524" s="38" t="n">
        <v>4</v>
      </c>
      <c r="I524" s="38" t="n">
        <v>5</v>
      </c>
      <c r="J524" s="38" t="n">
        <v>6</v>
      </c>
      <c r="K524" s="38" t="n">
        <v>7</v>
      </c>
      <c r="L524" s="38" t="n">
        <v>8</v>
      </c>
      <c r="M524" s="38" t="n">
        <v>9</v>
      </c>
      <c r="N524" s="38" t="n">
        <v>10</v>
      </c>
      <c r="O524" s="38" t="n">
        <v>11</v>
      </c>
      <c r="P524" s="38" t="n">
        <v>12</v>
      </c>
      <c r="Q524" s="38" t="n">
        <v>13</v>
      </c>
      <c r="R524" s="38" t="n">
        <v>14</v>
      </c>
      <c r="S524" s="38" t="n">
        <v>15</v>
      </c>
      <c r="T524" s="38" t="n">
        <v>16</v>
      </c>
      <c r="U524" s="38" t="n">
        <v>17</v>
      </c>
      <c r="V524" s="38" t="n">
        <v>18</v>
      </c>
      <c r="W524" s="38" t="n">
        <v>19</v>
      </c>
      <c r="X524" s="38" t="n">
        <v>20</v>
      </c>
      <c r="Y524" s="38" t="n">
        <v>21</v>
      </c>
      <c r="Z524" s="38" t="n">
        <v>22</v>
      </c>
      <c r="AA524" s="38" t="n">
        <v>23</v>
      </c>
      <c r="AB524" s="38" t="n">
        <v>24</v>
      </c>
      <c r="AC524" s="38" t="n">
        <v>25</v>
      </c>
      <c r="AD524" s="38" t="n">
        <v>26</v>
      </c>
      <c r="AE524" s="38" t="n">
        <v>27</v>
      </c>
      <c r="AF524" s="38" t="n">
        <v>28</v>
      </c>
      <c r="AG524" s="38" t="n">
        <v>29</v>
      </c>
      <c r="AH524" s="38" t="n">
        <v>30</v>
      </c>
      <c r="AI524" s="38" t="n">
        <v>31</v>
      </c>
      <c r="AJ524" s="38" t="n">
        <v>32</v>
      </c>
      <c r="AK524" s="38" t="n">
        <v>33</v>
      </c>
      <c r="AL524" s="38" t="n">
        <v>34</v>
      </c>
      <c r="AM524" s="38" t="n">
        <v>35</v>
      </c>
      <c r="AN524" s="38" t="n">
        <v>36</v>
      </c>
      <c r="AO524" s="38" t="n">
        <v>37</v>
      </c>
      <c r="AP524" s="38" t="n">
        <v>38</v>
      </c>
      <c r="AQ524" s="38" t="n">
        <v>39</v>
      </c>
      <c r="AR524" s="38" t="n">
        <v>40</v>
      </c>
      <c r="AS524" s="38" t="n">
        <v>41</v>
      </c>
      <c r="AT524" s="38" t="n">
        <v>42</v>
      </c>
      <c r="AU524" s="38" t="n">
        <v>43</v>
      </c>
      <c r="AV524" s="38" t="n">
        <v>44</v>
      </c>
      <c r="AW524" s="38" t="n">
        <v>45</v>
      </c>
      <c r="AX524" s="38" t="n">
        <v>46</v>
      </c>
      <c r="AY524" s="38" t="n">
        <v>47</v>
      </c>
      <c r="AZ524" s="38" t="n">
        <v>48</v>
      </c>
      <c r="BA524" s="38" t="n">
        <v>49</v>
      </c>
      <c r="BB524" s="38" t="n">
        <v>50</v>
      </c>
      <c r="BC524" s="38" t="n">
        <v>51</v>
      </c>
      <c r="BD524" s="38" t="n">
        <v>52</v>
      </c>
    </row>
    <row r="525">
      <c r="A525" s="4" t="inlineStr">
        <is>
          <t>CASH IN THE BANK</t>
        </is>
      </c>
      <c r="B525" s="2" t="inlineStr">
        <is>
          <t>$</t>
        </is>
      </c>
      <c r="E525" s="39">
        <f>$B$503+E522</f>
        <v/>
      </c>
      <c r="F525" s="39">
        <f>E525+F522</f>
        <v/>
      </c>
      <c r="G525" s="39">
        <f>F525+G522</f>
        <v/>
      </c>
      <c r="H525" s="39">
        <f>G525+H522</f>
        <v/>
      </c>
      <c r="I525" s="39">
        <f>H525+I522</f>
        <v/>
      </c>
      <c r="J525" s="39">
        <f>I525+J522</f>
        <v/>
      </c>
      <c r="K525" s="39">
        <f>J525+K522</f>
        <v/>
      </c>
      <c r="L525" s="39">
        <f>K525+L522</f>
        <v/>
      </c>
      <c r="M525" s="39">
        <f>L525+M522</f>
        <v/>
      </c>
      <c r="N525" s="39">
        <f>M525+N522</f>
        <v/>
      </c>
      <c r="O525" s="39">
        <f>N525+O522</f>
        <v/>
      </c>
      <c r="P525" s="39">
        <f>O525+P522</f>
        <v/>
      </c>
      <c r="Q525" s="39">
        <f>P525+Q522</f>
        <v/>
      </c>
      <c r="R525" s="39">
        <f>Q525+R522</f>
        <v/>
      </c>
      <c r="S525" s="39">
        <f>R525+S522</f>
        <v/>
      </c>
      <c r="T525" s="39">
        <f>S525+T522</f>
        <v/>
      </c>
      <c r="U525" s="39">
        <f>T525+U522</f>
        <v/>
      </c>
      <c r="V525" s="39">
        <f>U525+V522</f>
        <v/>
      </c>
      <c r="W525" s="39">
        <f>V525+W522</f>
        <v/>
      </c>
      <c r="X525" s="39">
        <f>W525+X522</f>
        <v/>
      </c>
      <c r="Y525" s="39">
        <f>X525+Y522</f>
        <v/>
      </c>
      <c r="Z525" s="39">
        <f>Y525+Z522</f>
        <v/>
      </c>
      <c r="AA525" s="39">
        <f>Z525+AA522</f>
        <v/>
      </c>
      <c r="AB525" s="39">
        <f>AA525+AB522</f>
        <v/>
      </c>
      <c r="AC525" s="39">
        <f>AB525+AC522</f>
        <v/>
      </c>
      <c r="AD525" s="39">
        <f>AC525+AD522</f>
        <v/>
      </c>
      <c r="AE525" s="39">
        <f>AD525+AE522</f>
        <v/>
      </c>
      <c r="AF525" s="39">
        <f>AE525+AF522</f>
        <v/>
      </c>
      <c r="AG525" s="39">
        <f>AF525+AG522</f>
        <v/>
      </c>
      <c r="AH525" s="39">
        <f>AG525+AH522</f>
        <v/>
      </c>
      <c r="AI525" s="39">
        <f>AH525+AI522</f>
        <v/>
      </c>
      <c r="AJ525" s="39">
        <f>AI525+AJ522</f>
        <v/>
      </c>
      <c r="AK525" s="39">
        <f>AJ525+AK522</f>
        <v/>
      </c>
      <c r="AL525" s="39">
        <f>AK525+AL522</f>
        <v/>
      </c>
      <c r="AM525" s="39">
        <f>AL525+AM522</f>
        <v/>
      </c>
      <c r="AN525" s="39">
        <f>AM525+AN522</f>
        <v/>
      </c>
      <c r="AO525" s="39">
        <f>AN525+AO522</f>
        <v/>
      </c>
      <c r="AP525" s="39">
        <f>AO525+AP522</f>
        <v/>
      </c>
      <c r="AQ525" s="39">
        <f>AP525+AQ522</f>
        <v/>
      </c>
      <c r="AR525" s="39">
        <f>AQ525+AR522</f>
        <v/>
      </c>
      <c r="AS525" s="39">
        <f>AR525+AS522</f>
        <v/>
      </c>
      <c r="AT525" s="39">
        <f>AS525+AT522</f>
        <v/>
      </c>
      <c r="AU525" s="39">
        <f>AT525+AU522</f>
        <v/>
      </c>
      <c r="AV525" s="39">
        <f>AU525+AV522</f>
        <v/>
      </c>
      <c r="AW525" s="39">
        <f>AV525+AW522</f>
        <v/>
      </c>
      <c r="AX525" s="39">
        <f>AW525+AX522</f>
        <v/>
      </c>
      <c r="AY525" s="39">
        <f>AX525+AY522</f>
        <v/>
      </c>
      <c r="AZ525" s="39">
        <f>AY525+AZ522</f>
        <v/>
      </c>
      <c r="BA525" s="39">
        <f>AZ525+BA522</f>
        <v/>
      </c>
      <c r="BB525" s="39">
        <f>BA525+BB522</f>
        <v/>
      </c>
      <c r="BC525" s="39">
        <f>BB525+BC522</f>
        <v/>
      </c>
      <c r="BD525" s="39">
        <f>BC525+BD522</f>
        <v/>
      </c>
    </row>
    <row r="526">
      <c r="E526" s="52" t="inlineStr">
        <is>
          <t>&gt;=</t>
        </is>
      </c>
      <c r="F526" s="52" t="inlineStr">
        <is>
          <t>&gt;=</t>
        </is>
      </c>
      <c r="G526" s="52" t="inlineStr">
        <is>
          <t>&gt;=</t>
        </is>
      </c>
      <c r="H526" s="52" t="inlineStr">
        <is>
          <t>&gt;=</t>
        </is>
      </c>
      <c r="I526" s="52" t="inlineStr">
        <is>
          <t>&gt;=</t>
        </is>
      </c>
      <c r="J526" s="52" t="inlineStr">
        <is>
          <t>&gt;=</t>
        </is>
      </c>
      <c r="K526" s="52" t="inlineStr">
        <is>
          <t>&gt;=</t>
        </is>
      </c>
      <c r="L526" s="52" t="inlineStr">
        <is>
          <t>&gt;=</t>
        </is>
      </c>
      <c r="M526" s="52" t="inlineStr">
        <is>
          <t>&gt;=</t>
        </is>
      </c>
      <c r="N526" s="52" t="inlineStr">
        <is>
          <t>&gt;=</t>
        </is>
      </c>
      <c r="O526" s="52" t="inlineStr">
        <is>
          <t>&gt;=</t>
        </is>
      </c>
      <c r="P526" s="52" t="inlineStr">
        <is>
          <t>&gt;=</t>
        </is>
      </c>
      <c r="Q526" s="52" t="inlineStr">
        <is>
          <t>&gt;=</t>
        </is>
      </c>
      <c r="R526" s="52" t="inlineStr">
        <is>
          <t>&gt;=</t>
        </is>
      </c>
      <c r="S526" s="52" t="inlineStr">
        <is>
          <t>&gt;=</t>
        </is>
      </c>
      <c r="T526" s="52" t="inlineStr">
        <is>
          <t>&gt;=</t>
        </is>
      </c>
      <c r="U526" s="52" t="inlineStr">
        <is>
          <t>&gt;=</t>
        </is>
      </c>
      <c r="V526" s="52" t="inlineStr">
        <is>
          <t>&gt;=</t>
        </is>
      </c>
      <c r="W526" s="52" t="inlineStr">
        <is>
          <t>&gt;=</t>
        </is>
      </c>
      <c r="X526" s="52" t="inlineStr">
        <is>
          <t>&gt;=</t>
        </is>
      </c>
      <c r="Y526" s="52" t="inlineStr">
        <is>
          <t>&gt;=</t>
        </is>
      </c>
      <c r="Z526" s="52" t="inlineStr">
        <is>
          <t>&gt;=</t>
        </is>
      </c>
      <c r="AA526" s="52" t="inlineStr">
        <is>
          <t>&gt;=</t>
        </is>
      </c>
      <c r="AB526" s="52" t="inlineStr">
        <is>
          <t>&gt;=</t>
        </is>
      </c>
      <c r="AC526" s="52" t="inlineStr">
        <is>
          <t>&gt;=</t>
        </is>
      </c>
      <c r="AD526" s="52" t="inlineStr">
        <is>
          <t>&gt;=</t>
        </is>
      </c>
      <c r="AE526" s="52" t="inlineStr">
        <is>
          <t>&gt;=</t>
        </is>
      </c>
      <c r="AF526" s="52" t="inlineStr">
        <is>
          <t>&gt;=</t>
        </is>
      </c>
      <c r="AG526" s="52" t="inlineStr">
        <is>
          <t>&gt;=</t>
        </is>
      </c>
      <c r="AH526" s="52" t="inlineStr">
        <is>
          <t>&gt;=</t>
        </is>
      </c>
      <c r="AI526" s="52" t="inlineStr">
        <is>
          <t>&gt;=</t>
        </is>
      </c>
      <c r="AJ526" s="52" t="inlineStr">
        <is>
          <t>&gt;=</t>
        </is>
      </c>
      <c r="AK526" s="52" t="inlineStr">
        <is>
          <t>&gt;=</t>
        </is>
      </c>
      <c r="AL526" s="52" t="inlineStr">
        <is>
          <t>&gt;=</t>
        </is>
      </c>
      <c r="AM526" s="52" t="inlineStr">
        <is>
          <t>&gt;=</t>
        </is>
      </c>
      <c r="AN526" s="52" t="inlineStr">
        <is>
          <t>&gt;=</t>
        </is>
      </c>
      <c r="AO526" s="52" t="inlineStr">
        <is>
          <t>&gt;=</t>
        </is>
      </c>
      <c r="AP526" s="52" t="inlineStr">
        <is>
          <t>&gt;=</t>
        </is>
      </c>
      <c r="AQ526" s="52" t="inlineStr">
        <is>
          <t>&gt;=</t>
        </is>
      </c>
      <c r="AR526" s="52" t="inlineStr">
        <is>
          <t>&gt;=</t>
        </is>
      </c>
      <c r="AS526" s="52" t="inlineStr">
        <is>
          <t>&gt;=</t>
        </is>
      </c>
      <c r="AT526" s="52" t="inlineStr">
        <is>
          <t>&gt;=</t>
        </is>
      </c>
      <c r="AU526" s="52" t="inlineStr">
        <is>
          <t>&gt;=</t>
        </is>
      </c>
      <c r="AV526" s="52" t="inlineStr">
        <is>
          <t>&gt;=</t>
        </is>
      </c>
      <c r="AW526" s="52" t="inlineStr">
        <is>
          <t>&gt;=</t>
        </is>
      </c>
      <c r="AX526" s="52" t="inlineStr">
        <is>
          <t>&gt;=</t>
        </is>
      </c>
      <c r="AY526" s="52" t="inlineStr">
        <is>
          <t>&gt;=</t>
        </is>
      </c>
      <c r="AZ526" s="52" t="inlineStr">
        <is>
          <t>&gt;=</t>
        </is>
      </c>
      <c r="BA526" s="52" t="inlineStr">
        <is>
          <t>&gt;=</t>
        </is>
      </c>
      <c r="BB526" s="52" t="inlineStr">
        <is>
          <t>&gt;=</t>
        </is>
      </c>
      <c r="BC526" s="52" t="inlineStr">
        <is>
          <t>&gt;=</t>
        </is>
      </c>
      <c r="BD526" s="52" t="inlineStr">
        <is>
          <t>&gt;=</t>
        </is>
      </c>
    </row>
    <row r="527">
      <c r="A527" s="41" t="inlineStr">
        <is>
          <t xml:space="preserve">  floor</t>
        </is>
      </c>
      <c r="B527" s="2" t="inlineStr">
        <is>
          <t>$</t>
        </is>
      </c>
      <c r="E527" s="40">
        <f>-$B$504</f>
        <v/>
      </c>
      <c r="F527" s="40">
        <f>-$B$504</f>
        <v/>
      </c>
      <c r="G527" s="40">
        <f>-$B$504</f>
        <v/>
      </c>
      <c r="H527" s="40">
        <f>-$B$504</f>
        <v/>
      </c>
      <c r="I527" s="40">
        <f>-$B$504</f>
        <v/>
      </c>
      <c r="J527" s="40">
        <f>-$B$504</f>
        <v/>
      </c>
      <c r="K527" s="40">
        <f>-$B$504</f>
        <v/>
      </c>
      <c r="L527" s="40">
        <f>-$B$504</f>
        <v/>
      </c>
      <c r="M527" s="40">
        <f>-$B$504</f>
        <v/>
      </c>
      <c r="N527" s="40">
        <f>-$B$504</f>
        <v/>
      </c>
      <c r="O527" s="40">
        <f>-$B$504</f>
        <v/>
      </c>
      <c r="P527" s="40">
        <f>-$B$504</f>
        <v/>
      </c>
      <c r="Q527" s="40">
        <f>-$B$504</f>
        <v/>
      </c>
      <c r="R527" s="40">
        <f>-$B$504</f>
        <v/>
      </c>
      <c r="S527" s="40">
        <f>-$B$504</f>
        <v/>
      </c>
      <c r="T527" s="40">
        <f>-$B$504</f>
        <v/>
      </c>
      <c r="U527" s="40">
        <f>-$B$504</f>
        <v/>
      </c>
      <c r="V527" s="40">
        <f>-$B$504</f>
        <v/>
      </c>
      <c r="W527" s="40">
        <f>-$B$504</f>
        <v/>
      </c>
      <c r="X527" s="40">
        <f>-$B$504</f>
        <v/>
      </c>
      <c r="Y527" s="40">
        <f>-$B$504</f>
        <v/>
      </c>
      <c r="Z527" s="40">
        <f>-$B$504</f>
        <v/>
      </c>
      <c r="AA527" s="40">
        <f>-$B$504</f>
        <v/>
      </c>
      <c r="AB527" s="40">
        <f>-$B$504</f>
        <v/>
      </c>
      <c r="AC527" s="40">
        <f>-$B$504</f>
        <v/>
      </c>
      <c r="AD527" s="40">
        <f>-$B$504</f>
        <v/>
      </c>
      <c r="AE527" s="40">
        <f>-$B$504</f>
        <v/>
      </c>
      <c r="AF527" s="40">
        <f>-$B$504</f>
        <v/>
      </c>
      <c r="AG527" s="40">
        <f>-$B$504</f>
        <v/>
      </c>
      <c r="AH527" s="40">
        <f>-$B$504</f>
        <v/>
      </c>
      <c r="AI527" s="40">
        <f>-$B$504</f>
        <v/>
      </c>
      <c r="AJ527" s="40">
        <f>-$B$504</f>
        <v/>
      </c>
      <c r="AK527" s="40">
        <f>-$B$504</f>
        <v/>
      </c>
      <c r="AL527" s="40">
        <f>-$B$504</f>
        <v/>
      </c>
      <c r="AM527" s="40">
        <f>-$B$504</f>
        <v/>
      </c>
      <c r="AN527" s="40">
        <f>-$B$504</f>
        <v/>
      </c>
      <c r="AO527" s="40">
        <f>-$B$504</f>
        <v/>
      </c>
      <c r="AP527" s="40">
        <f>-$B$504</f>
        <v/>
      </c>
      <c r="AQ527" s="40">
        <f>-$B$504</f>
        <v/>
      </c>
      <c r="AR527" s="40">
        <f>-$B$504</f>
        <v/>
      </c>
      <c r="AS527" s="40">
        <f>-$B$504</f>
        <v/>
      </c>
      <c r="AT527" s="40">
        <f>-$B$504</f>
        <v/>
      </c>
      <c r="AU527" s="40">
        <f>-$B$504</f>
        <v/>
      </c>
      <c r="AV527" s="40">
        <f>-$B$504</f>
        <v/>
      </c>
      <c r="AW527" s="40">
        <f>-$B$504</f>
        <v/>
      </c>
      <c r="AX527" s="40">
        <f>-$B$504</f>
        <v/>
      </c>
      <c r="AY527" s="40">
        <f>-$B$504</f>
        <v/>
      </c>
      <c r="AZ527" s="40">
        <f>-$B$504</f>
        <v/>
      </c>
      <c r="BA527" s="40">
        <f>-$B$504</f>
        <v/>
      </c>
      <c r="BB527" s="40">
        <f>-$B$504</f>
        <v/>
      </c>
      <c r="BC527" s="40">
        <f>-$B$504</f>
        <v/>
      </c>
      <c r="BD527" s="40">
        <f>-$B$504</f>
        <v/>
      </c>
    </row>
    <row r="528">
      <c r="A528" s="33" t="inlineStr">
        <is>
          <t xml:space="preserve">  headroom</t>
        </is>
      </c>
      <c r="E528" s="40">
        <f>E525-E527</f>
        <v/>
      </c>
      <c r="F528" s="40">
        <f>F525-F527</f>
        <v/>
      </c>
      <c r="G528" s="40">
        <f>G525-G527</f>
        <v/>
      </c>
      <c r="H528" s="40">
        <f>H525-H527</f>
        <v/>
      </c>
      <c r="I528" s="40">
        <f>I525-I527</f>
        <v/>
      </c>
      <c r="J528" s="40">
        <f>J525-J527</f>
        <v/>
      </c>
      <c r="K528" s="40">
        <f>K525-K527</f>
        <v/>
      </c>
      <c r="L528" s="40">
        <f>L525-L527</f>
        <v/>
      </c>
      <c r="M528" s="40">
        <f>M525-M527</f>
        <v/>
      </c>
      <c r="N528" s="40">
        <f>N525-N527</f>
        <v/>
      </c>
      <c r="O528" s="40">
        <f>O525-O527</f>
        <v/>
      </c>
      <c r="P528" s="40">
        <f>P525-P527</f>
        <v/>
      </c>
      <c r="Q528" s="40">
        <f>Q525-Q527</f>
        <v/>
      </c>
      <c r="R528" s="40">
        <f>R525-R527</f>
        <v/>
      </c>
      <c r="S528" s="40">
        <f>S525-S527</f>
        <v/>
      </c>
      <c r="T528" s="40">
        <f>T525-T527</f>
        <v/>
      </c>
      <c r="U528" s="40">
        <f>U525-U527</f>
        <v/>
      </c>
      <c r="V528" s="40">
        <f>V525-V527</f>
        <v/>
      </c>
      <c r="W528" s="40">
        <f>W525-W527</f>
        <v/>
      </c>
      <c r="X528" s="40">
        <f>X525-X527</f>
        <v/>
      </c>
      <c r="Y528" s="40">
        <f>Y525-Y527</f>
        <v/>
      </c>
      <c r="Z528" s="40">
        <f>Z525-Z527</f>
        <v/>
      </c>
      <c r="AA528" s="40">
        <f>AA525-AA527</f>
        <v/>
      </c>
      <c r="AB528" s="40">
        <f>AB525-AB527</f>
        <v/>
      </c>
      <c r="AC528" s="40">
        <f>AC525-AC527</f>
        <v/>
      </c>
      <c r="AD528" s="40">
        <f>AD525-AD527</f>
        <v/>
      </c>
      <c r="AE528" s="40">
        <f>AE525-AE527</f>
        <v/>
      </c>
      <c r="AF528" s="40">
        <f>AF525-AF527</f>
        <v/>
      </c>
      <c r="AG528" s="40">
        <f>AG525-AG527</f>
        <v/>
      </c>
      <c r="AH528" s="40">
        <f>AH525-AH527</f>
        <v/>
      </c>
      <c r="AI528" s="40">
        <f>AI525-AI527</f>
        <v/>
      </c>
      <c r="AJ528" s="40">
        <f>AJ525-AJ527</f>
        <v/>
      </c>
      <c r="AK528" s="40">
        <f>AK525-AK527</f>
        <v/>
      </c>
      <c r="AL528" s="40">
        <f>AL525-AL527</f>
        <v/>
      </c>
      <c r="AM528" s="40">
        <f>AM525-AM527</f>
        <v/>
      </c>
      <c r="AN528" s="40">
        <f>AN525-AN527</f>
        <v/>
      </c>
      <c r="AO528" s="40">
        <f>AO525-AO527</f>
        <v/>
      </c>
      <c r="AP528" s="40">
        <f>AP525-AP527</f>
        <v/>
      </c>
      <c r="AQ528" s="40">
        <f>AQ525-AQ527</f>
        <v/>
      </c>
      <c r="AR528" s="40">
        <f>AR525-AR527</f>
        <v/>
      </c>
      <c r="AS528" s="40">
        <f>AS525-AS527</f>
        <v/>
      </c>
      <c r="AT528" s="40">
        <f>AT525-AT527</f>
        <v/>
      </c>
      <c r="AU528" s="40">
        <f>AU525-AU527</f>
        <v/>
      </c>
      <c r="AV528" s="40">
        <f>AV525-AV527</f>
        <v/>
      </c>
      <c r="AW528" s="40">
        <f>AW525-AW527</f>
        <v/>
      </c>
      <c r="AX528" s="40">
        <f>AX525-AX527</f>
        <v/>
      </c>
      <c r="AY528" s="40">
        <f>AY525-AY527</f>
        <v/>
      </c>
      <c r="AZ528" s="40">
        <f>AZ525-AZ527</f>
        <v/>
      </c>
      <c r="BA528" s="40">
        <f>BA525-BA527</f>
        <v/>
      </c>
      <c r="BB528" s="40">
        <f>BB525-BB527</f>
        <v/>
      </c>
      <c r="BC528" s="40">
        <f>BC525-BC527</f>
        <v/>
      </c>
      <c r="BD528" s="40">
        <f>BD525-BD527</f>
        <v/>
      </c>
    </row>
    <row r="529">
      <c r="A529" s="2" t="inlineStr">
        <is>
          <t xml:space="preserve">   This is the app's C13. Cash may go NEGATIVE — that is the credit line being drawn — but never below the floor, which is the line fully drawn.</t>
        </is>
      </c>
    </row>
    <row r="530">
      <c r="A530" s="2" t="inlineStr">
        <is>
          <t xml:space="preserve">   The app states the same rule the other way round: it constrains cumulative NET FLOW (which excludes</t>
        </is>
      </c>
    </row>
    <row r="531">
      <c r="A531" s="2" t="inlineStr">
        <is>
          <t xml:space="preserve">   opening cash) against -(opening + credit). Both are the same constraint; mixing them double-counts the opening balance.</t>
        </is>
      </c>
    </row>
    <row r="532">
      <c r="A532" s="2" t="inlineStr">
        <is>
          <t xml:space="preserve">   ⚠️ It barely binds here, because the biggest weekly outgoing a real farm has is PAYROLL, and labour is v7. Do not read this curve as realistic yet.</t>
        </is>
      </c>
    </row>
    <row r="534">
      <c r="A534" s="3" t="inlineStr">
        <is>
          <t>8 — THE OPTIMIZER</t>
        </is>
      </c>
    </row>
    <row r="535">
      <c r="A535" s="4" t="inlineStr">
        <is>
          <t>Revenue</t>
        </is>
      </c>
      <c r="B535" s="61">
        <f>SUM(E331:BD331)*$I$35+SUM(E337:BD337)*$I$36+SUM(E358:BD358)*$I$37+SUM(E366:BD366)*$I$38+SUM(E387:BD387)*$I$39+SUM(E393:BD393)*$I$40+SUM(E414:BD414)*$I$41+SUM(E420:BD420)*$I$42+SUM(E441:BD441)*$I$43+SUM(E447:BD447)*$I$44</f>
        <v/>
      </c>
    </row>
    <row r="536">
      <c r="A536" s="4" t="inlineStr">
        <is>
          <t>Growing cost</t>
        </is>
      </c>
      <c r="B536" s="61">
        <f>SUM(E512:BD512)</f>
        <v/>
      </c>
      <c r="C536" s="2" t="inlineStr">
        <is>
          <t>seed at planting + fertiliser and fuel every week in the ground</t>
        </is>
      </c>
    </row>
    <row r="537">
      <c r="A537" s="4" t="inlineStr">
        <is>
          <t>Packaging</t>
        </is>
      </c>
      <c r="B537" s="61">
        <f>SUM(E511:BD511)</f>
        <v/>
      </c>
    </row>
    <row r="538">
      <c r="A538" s="4" t="inlineStr">
        <is>
          <t>Fixed cost</t>
        </is>
      </c>
      <c r="B538" s="61">
        <f>SUM(E516:BD516)</f>
        <v/>
      </c>
      <c r="C538" s="2" t="inlineStr">
        <is>
          <t>owed all 52 weeks whatever you plant</t>
        </is>
      </c>
    </row>
    <row r="539">
      <c r="A539" s="4" t="inlineStr">
        <is>
          <t>Overhead</t>
        </is>
      </c>
      <c r="B539" s="61">
        <f>SUM(E517:BD517)</f>
        <v/>
      </c>
    </row>
    <row r="540">
      <c r="A540" s="4" t="inlineStr">
        <is>
          <t>Wages</t>
        </is>
      </c>
      <c r="B540" s="61">
        <f>SUM(E518:BD518)</f>
        <v/>
      </c>
      <c r="C540" s="2" t="inlineStr">
        <is>
          <t>committed — owed whether or not the crops need the hours</t>
        </is>
      </c>
    </row>
    <row r="541">
      <c r="A541" s="4" t="inlineStr">
        <is>
          <t>Overtime</t>
        </is>
      </c>
      <c r="B541" s="61">
        <f>SUM(E519:BD519)</f>
        <v/>
      </c>
      <c r="C541" s="2" t="inlineStr">
        <is>
          <t>at the FULL rate — not the premium above base pay</t>
        </is>
      </c>
    </row>
    <row r="542">
      <c r="A542" s="4" t="inlineStr">
        <is>
          <t>New heads</t>
        </is>
      </c>
      <c r="B542" s="61">
        <f>SUM(E520:BD520)</f>
        <v/>
      </c>
      <c r="C542" s="2" t="inlineStr">
        <is>
          <t>recruitment and onboarding, per person, once</t>
        </is>
      </c>
    </row>
    <row r="543">
      <c r="A543" s="4" t="inlineStr">
        <is>
          <t>Piece rate</t>
        </is>
      </c>
      <c r="B543" s="61">
        <f>SUM(E521:BD521)</f>
        <v/>
      </c>
      <c r="C543" s="2" t="inlineStr">
        <is>
          <t>paid per POUND picked — COGS, not payroll, and nothing owed when there is nothing to pick</t>
        </is>
      </c>
    </row>
    <row r="544">
      <c r="A544" s="4" t="inlineStr">
        <is>
          <t>Perennial</t>
        </is>
      </c>
      <c r="B544" s="61">
        <f>SUM(E513:BD513)</f>
        <v/>
      </c>
      <c r="C544" s="2" t="inlineStr">
        <is>
          <t>Asparagus: this year's upkeep + establishment DEPRECIATED over its life — never charged as seed</t>
        </is>
      </c>
    </row>
    <row r="545">
      <c r="A545" s="4" t="inlineStr">
        <is>
          <t>Contract shortfall</t>
        </is>
      </c>
      <c r="B545" s="61">
        <f>SUM(E514:BD514)</f>
        <v/>
      </c>
      <c r="C545" s="2" t="inlineStr">
        <is>
          <t>the penalty on every lb a contract went short — see 5d</t>
        </is>
      </c>
    </row>
    <row r="546">
      <c r="A546" s="4" t="inlineStr">
        <is>
          <t>Peak borrowing</t>
        </is>
      </c>
      <c r="B546" s="61">
        <f>MAX(0,-MIN(E525:BD525))</f>
        <v/>
      </c>
      <c r="C546" s="2" t="inlineStr">
        <is>
          <t>the deepest the credit line is ever drawn</t>
        </is>
      </c>
    </row>
    <row r="547">
      <c r="A547" s="4" t="inlineStr">
        <is>
          <t>Interest</t>
        </is>
      </c>
      <c r="B547" s="61">
        <f>$B$507*SUMPRODUCT((E525:BD525&lt;0)*-E525:BD525)/52</f>
        <v/>
      </c>
      <c r="C547" s="2" t="inlineStr">
        <is>
          <t>APR x the AVERAGE amount borrowed — the app's own post-solve formula</t>
        </is>
      </c>
    </row>
    <row r="548">
      <c r="A548" s="2" t="inlineStr">
        <is>
          <t xml:space="preserve">   ⚠️ Reported, NOT optimised over. The plan is chosen first and the borrowing it implies is priced afterwards,</t>
        </is>
      </c>
    </row>
    <row r="549">
      <c r="A549" s="2" t="inlineStr">
        <is>
          <t xml:space="preserve">     so the solver has no reason to shift sales earlier to borrow less. That is the app's simplification, inherited on purpose.</t>
        </is>
      </c>
    </row>
    <row r="550">
      <c r="A550" s="62" t="inlineStr">
        <is>
          <t>PROFIT  (the objective)</t>
        </is>
      </c>
      <c r="B550" s="63">
        <f>B535-SUM(B536:B545)-B547</f>
        <v/>
      </c>
      <c r="C550" s="4" t="inlineStr">
        <is>
          <t>&lt;-- MAXIMISE THIS CELL</t>
        </is>
      </c>
    </row>
    <row r="551">
      <c r="A551" s="4" t="inlineStr">
        <is>
          <t>Plantings chosen</t>
        </is>
      </c>
      <c r="B551" s="50">
        <f>SUM($D$91:$D$229)</f>
        <v/>
      </c>
      <c r="C551" s="2" t="inlineStr">
        <is>
          <t>of 139 offered (the committed perennial is not a planting decision)</t>
        </is>
      </c>
    </row>
    <row r="553">
      <c r="A553" s="4" t="inlineStr">
        <is>
          <t>Annual caps</t>
        </is>
      </c>
    </row>
    <row r="554">
      <c r="A554" s="33" t="inlineStr">
        <is>
          <t xml:space="preserve">   Kale / Wholesale — sold all year</t>
        </is>
      </c>
      <c r="B554" s="40">
        <f>SUM(E366:BD366)</f>
        <v/>
      </c>
      <c r="C554" s="52" t="inlineStr">
        <is>
          <t>&lt;=</t>
        </is>
      </c>
      <c r="D554" s="40">
        <f>$D$38</f>
        <v/>
      </c>
    </row>
    <row r="556">
      <c r="A556" s="3" t="inlineStr">
        <is>
          <t>SOLVER SETUP — Tools &gt; Solver</t>
        </is>
      </c>
    </row>
    <row r="557">
      <c r="A557" s="4" t="inlineStr">
        <is>
          <t>Target cell</t>
        </is>
      </c>
      <c r="B557" s="33" t="inlineStr">
        <is>
          <t>$B$550</t>
        </is>
      </c>
      <c r="G557" s="2" t="inlineStr">
        <is>
          <t>set to MAXIMUM</t>
        </is>
      </c>
    </row>
    <row r="558">
      <c r="A558" s="4" t="inlineStr">
        <is>
          <t>By changing cells</t>
        </is>
      </c>
      <c r="B558" s="33" t="inlineStr">
        <is>
          <t>$C$91:$D$229</t>
        </is>
      </c>
      <c r="G558" s="2" t="inlineStr">
        <is>
          <t>acres AND plant? together — NOT row 230, the committed perennial</t>
        </is>
      </c>
    </row>
    <row r="559">
      <c r="A559" s="33" t="inlineStr">
        <is>
          <t xml:space="preserve">  ...and</t>
        </is>
      </c>
      <c r="B559" s="33" t="inlineStr">
        <is>
          <t>$E$330:$BD$330;$E$336:$BD$336;$E$357:$BD$357;$E$365:$BD$365;$E$386:$BD$386;$E$392:$BD$392;$E$413:$BD$413;$E$419:$BD$419;$E$440:$BD$440;$E$446:$BD$446</t>
        </is>
      </c>
      <c r="G559" s="2" t="inlineStr">
        <is>
          <t>the OFFERED rows</t>
        </is>
      </c>
    </row>
    <row r="560">
      <c r="A560" s="33" t="inlineStr">
        <is>
          <t xml:space="preserve">  ...and</t>
        </is>
      </c>
      <c r="B560" s="33" t="inlineStr">
        <is>
          <t>$E$474:$BD$474;$E$481:$BD$481</t>
        </is>
      </c>
      <c r="G560" s="2" t="inlineStr">
        <is>
          <t>the contract SHORTFALL rows</t>
        </is>
      </c>
    </row>
    <row r="561">
      <c r="A561" s="33" t="inlineStr">
        <is>
          <t>Constraint — PLANT? is binary</t>
        </is>
      </c>
      <c r="B561" s="33" t="inlineStr">
        <is>
          <t>$D$91:$D$229  =  Binary</t>
        </is>
      </c>
    </row>
    <row r="562">
      <c r="A562" s="33" t="inlineStr">
        <is>
          <t>Constraint — C9 acres &lt;= max</t>
        </is>
      </c>
      <c r="B562" s="33" t="inlineStr">
        <is>
          <t>$C$91:$C$229  &lt;=  $BE$91:$BE$229</t>
        </is>
      </c>
      <c r="G562" s="2" t="inlineStr">
        <is>
          <t>no acres without deciding to plant — and none in a zone the crop may not use</t>
        </is>
      </c>
    </row>
    <row r="563">
      <c r="A563" s="33" t="inlineStr">
        <is>
          <t>Constraint — C10 acres &gt;= min</t>
        </is>
      </c>
      <c r="B563" s="33" t="inlineStr">
        <is>
          <t>$C$91:$C$229  &gt;=  $BF$91:$BF$229</t>
        </is>
      </c>
      <c r="G563" s="2" t="inlineStr">
        <is>
          <t>planted means a real block</t>
        </is>
      </c>
    </row>
    <row r="564">
      <c r="A564" s="33" t="inlineStr">
        <is>
          <t>Constraint — Spinach/Farmers Market sold &lt;= ceiling</t>
        </is>
      </c>
      <c r="B564" s="33" t="inlineStr">
        <is>
          <t>$E$462:$BD$462  &lt;=  $E$329:$BD$329</t>
        </is>
      </c>
      <c r="G564" s="2" t="inlineStr">
        <is>
          <t>every name that sells as it</t>
        </is>
      </c>
    </row>
    <row r="565">
      <c r="A565" s="33" t="inlineStr">
        <is>
          <t>Constraint — Spinach/Wholesale sold &lt;= ceiling</t>
        </is>
      </c>
      <c r="B565" s="33" t="inlineStr">
        <is>
          <t>$E$464:$BD$464  &lt;=  $E$335:$BD$335</t>
        </is>
      </c>
      <c r="G565" s="2" t="inlineStr">
        <is>
          <t>every name that sells as it</t>
        </is>
      </c>
    </row>
    <row r="566">
      <c r="A566" s="33" t="inlineStr">
        <is>
          <t>Constraint — Kale/Farmers Market sold &lt;= ceiling</t>
        </is>
      </c>
      <c r="B566" s="33" t="inlineStr">
        <is>
          <t>$E$358:$BD$358  &lt;=  $E$356:$BD$356</t>
        </is>
      </c>
    </row>
    <row r="567">
      <c r="A567" s="33" t="inlineStr">
        <is>
          <t>Constraint — Kale/Wholesale sold &lt;= ceiling</t>
        </is>
      </c>
      <c r="B567" s="33" t="inlineStr">
        <is>
          <t>$E$366:$BD$366  &lt;=  $E$362:$BD$362</t>
        </is>
      </c>
    </row>
    <row r="568">
      <c r="A568" s="33" t="inlineStr">
        <is>
          <t>Constraint — Garlic/Farmers Market sold &lt;= ceiling</t>
        </is>
      </c>
      <c r="B568" s="33" t="inlineStr">
        <is>
          <t>$E$387:$BD$387  &lt;=  $E$385:$BD$385</t>
        </is>
      </c>
    </row>
    <row r="569">
      <c r="A569" s="33" t="inlineStr">
        <is>
          <t>Constraint — Garlic/Wholesale sold &lt;= ceiling</t>
        </is>
      </c>
      <c r="B569" s="33" t="inlineStr">
        <is>
          <t>$E$393:$BD$393  &lt;=  $E$391:$BD$391</t>
        </is>
      </c>
    </row>
    <row r="570">
      <c r="A570" s="33" t="inlineStr">
        <is>
          <t>Constraint — Asparagus/Farmers Market sold &lt;= ceiling</t>
        </is>
      </c>
      <c r="B570" s="33" t="inlineStr">
        <is>
          <t>$E$441:$BD$441  &lt;=  $E$439:$BD$439</t>
        </is>
      </c>
    </row>
    <row r="571">
      <c r="A571" s="33" t="inlineStr">
        <is>
          <t>Constraint — Asparagus/Wholesale sold &lt;= ceiling</t>
        </is>
      </c>
      <c r="B571" s="33" t="inlineStr">
        <is>
          <t>$E$447:$BD$447  &lt;=  $E$445:$BD$445</t>
        </is>
      </c>
    </row>
    <row r="572">
      <c r="A572" s="33" t="inlineStr">
        <is>
          <t>Constraint — must-plant STANDING (row 251)</t>
        </is>
      </c>
      <c r="B572" s="33" t="inlineStr">
        <is>
          <t>$E$256:$BD$256  &gt;=  $E$257:$BD$257</t>
        </is>
      </c>
      <c r="G572" s="2" t="inlineStr">
        <is>
          <t>unconditional — no PLANT? binary can switch it off</t>
        </is>
      </c>
    </row>
    <row r="573">
      <c r="A573" s="33" t="inlineStr">
        <is>
          <t>Constraint — must-plant STANDING (row 252)</t>
        </is>
      </c>
      <c r="B573" s="33" t="inlineStr">
        <is>
          <t>$E$259:$BD$259  &gt;=  $E$260:$BD$260</t>
        </is>
      </c>
      <c r="G573" s="2" t="inlineStr">
        <is>
          <t>unconditional — no PLANT? binary can switch it off</t>
        </is>
      </c>
    </row>
    <row r="574">
      <c r="A574" s="33" t="inlineStr">
        <is>
          <t>Constraint — must-plant ANNUAL</t>
        </is>
      </c>
      <c r="B574" s="33" t="inlineStr">
        <is>
          <t>$B$262  &gt;=  $D$262</t>
        </is>
      </c>
    </row>
    <row r="575">
      <c r="A575" s="33" t="inlineStr">
        <is>
          <t>Constraint — contract (row 469)</t>
        </is>
      </c>
      <c r="B575" s="33" t="inlineStr">
        <is>
          <t>$E$475:$BD$475  &gt;=  $E$476:$BD$476</t>
        </is>
      </c>
      <c r="G575" s="2" t="inlineStr">
        <is>
          <t>delivered + short &gt;= owed</t>
        </is>
      </c>
    </row>
    <row r="576">
      <c r="A576" s="33" t="inlineStr">
        <is>
          <t>Constraint — shortfall &lt;= owed (row 469)</t>
        </is>
      </c>
      <c r="B576" s="33" t="inlineStr">
        <is>
          <t>$E$474:$BD$474  &lt;=  $E$476:$BD$476</t>
        </is>
      </c>
    </row>
    <row r="577">
      <c r="A577" s="33" t="inlineStr">
        <is>
          <t>Constraint — contract (row 470)</t>
        </is>
      </c>
      <c r="B577" s="33" t="inlineStr">
        <is>
          <t>$E$482:$BD$482  &gt;=  $E$483:$BD$483</t>
        </is>
      </c>
      <c r="G577" s="2" t="inlineStr">
        <is>
          <t>delivered + short &gt;= owed</t>
        </is>
      </c>
    </row>
    <row r="578">
      <c r="A578" s="33" t="inlineStr">
        <is>
          <t>Constraint — shortfall &lt;= owed (row 470)</t>
        </is>
      </c>
      <c r="B578" s="33" t="inlineStr">
        <is>
          <t>$E$481:$BD$481  &lt;=  $E$483:$BD$483</t>
        </is>
      </c>
    </row>
    <row r="579">
      <c r="A579" s="33" t="inlineStr">
        <is>
          <t>Constraint — Spinach stock never negative</t>
        </is>
      </c>
      <c r="B579" s="33" t="inlineStr">
        <is>
          <t>$E$341:$BD$341  &gt;=  0</t>
        </is>
      </c>
    </row>
    <row r="580">
      <c r="A580" s="33" t="inlineStr">
        <is>
          <t>Constraint — Kale stock never negative</t>
        </is>
      </c>
      <c r="B580" s="33" t="inlineStr">
        <is>
          <t>$E$370:$BD$370  &gt;=  0</t>
        </is>
      </c>
    </row>
    <row r="581">
      <c r="A581" s="33" t="inlineStr">
        <is>
          <t>Constraint — Garlic stock never negative</t>
        </is>
      </c>
      <c r="B581" s="33" t="inlineStr">
        <is>
          <t>$E$397:$BD$397  &gt;=  0</t>
        </is>
      </c>
    </row>
    <row r="582">
      <c r="A582" s="33" t="inlineStr">
        <is>
          <t>Constraint — Tunnel Spinach stock never negative</t>
        </is>
      </c>
      <c r="B582" s="33" t="inlineStr">
        <is>
          <t>$E$424:$BD$424  &gt;=  0</t>
        </is>
      </c>
    </row>
    <row r="583">
      <c r="A583" s="33" t="inlineStr">
        <is>
          <t>Constraint — Asparagus stock never negative</t>
        </is>
      </c>
      <c r="B583" s="33" t="inlineStr">
        <is>
          <t>$E$451:$BD$451  &gt;=  0</t>
        </is>
      </c>
    </row>
    <row r="584">
      <c r="A584" s="33" t="inlineStr">
        <is>
          <t>Constraint — Spinach shelf life</t>
        </is>
      </c>
      <c r="B584" s="33" t="inlineStr">
        <is>
          <t>$E$341:$BD$341  &lt;=  $E$344:$BD$344</t>
        </is>
      </c>
      <c r="G584" s="2" t="inlineStr">
        <is>
          <t>nothing held longer than it keeps</t>
        </is>
      </c>
    </row>
    <row r="585">
      <c r="A585" s="33" t="inlineStr">
        <is>
          <t>Constraint — Kale shelf life</t>
        </is>
      </c>
      <c r="B585" s="33" t="inlineStr">
        <is>
          <t>$E$370:$BD$370  &lt;=  $E$373:$BD$373</t>
        </is>
      </c>
      <c r="G585" s="2" t="inlineStr">
        <is>
          <t>nothing held longer than it keeps</t>
        </is>
      </c>
    </row>
    <row r="586">
      <c r="A586" s="33" t="inlineStr">
        <is>
          <t>Constraint — Garlic shelf life</t>
        </is>
      </c>
      <c r="B586" s="33" t="inlineStr">
        <is>
          <t>$E$397:$BD$397  &lt;=  $E$400:$BD$400</t>
        </is>
      </c>
      <c r="G586" s="2" t="inlineStr">
        <is>
          <t>nothing held longer than it keeps</t>
        </is>
      </c>
    </row>
    <row r="587">
      <c r="A587" s="33" t="inlineStr">
        <is>
          <t>Constraint — Tunnel Spinach shelf life</t>
        </is>
      </c>
      <c r="B587" s="33" t="inlineStr">
        <is>
          <t>$E$424:$BD$424  &lt;=  $E$427:$BD$427</t>
        </is>
      </c>
      <c r="G587" s="2" t="inlineStr">
        <is>
          <t>nothing held longer than it keeps</t>
        </is>
      </c>
    </row>
    <row r="588">
      <c r="A588" s="33" t="inlineStr">
        <is>
          <t>Constraint — Asparagus shelf life</t>
        </is>
      </c>
      <c r="B588" s="33" t="inlineStr">
        <is>
          <t>$E$451:$BD$451  &lt;=  $E$454:$BD$454</t>
        </is>
      </c>
      <c r="G588" s="2" t="inlineStr">
        <is>
          <t>nothing held longer than it keeps</t>
        </is>
      </c>
    </row>
    <row r="589">
      <c r="A589" s="33" t="inlineStr">
        <is>
          <t>Constraint — cold store</t>
        </is>
      </c>
      <c r="B589" s="33" t="inlineStr">
        <is>
          <t>$E$489:$BD$489  &lt;=  $B$7</t>
        </is>
      </c>
    </row>
    <row r="590">
      <c r="A590" s="33" t="inlineStr">
        <is>
          <t>Constraint — ambient store</t>
        </is>
      </c>
      <c r="B590" s="33" t="inlineStr">
        <is>
          <t>$E$496:$BD$496  &lt;=  $B$8</t>
        </is>
      </c>
    </row>
    <row r="591">
      <c r="A591" s="33" t="inlineStr">
        <is>
          <t>Constraint — land, Open field</t>
        </is>
      </c>
      <c r="B591" s="33" t="inlineStr">
        <is>
          <t>$E$234:$BD$234  &lt;=  $B$11</t>
        </is>
      </c>
      <c r="G591" s="2" t="inlineStr">
        <is>
          <t>one pool per zone</t>
        </is>
      </c>
    </row>
    <row r="592">
      <c r="A592" s="33" t="inlineStr">
        <is>
          <t>Constraint — land, High tunnel</t>
        </is>
      </c>
      <c r="B592" s="33" t="inlineStr">
        <is>
          <t>$E$241:$BD$241  &lt;=  $B$12</t>
        </is>
      </c>
      <c r="G592" s="2" t="inlineStr">
        <is>
          <t>one pool per zone</t>
        </is>
      </c>
    </row>
    <row r="593">
      <c r="A593" s="33" t="inlineStr">
        <is>
          <t xml:space="preserve">  ...and</t>
        </is>
      </c>
      <c r="B593" s="33" t="inlineStr">
        <is>
          <t>$E$278:$BD$278;$E$280:$BD$280;$E$282:$BD$282</t>
        </is>
      </c>
      <c r="G593" s="2" t="inlineStr">
        <is>
          <t>one overtime row per hourly role — no blend</t>
        </is>
      </c>
    </row>
    <row r="594">
      <c r="A594" s="33" t="inlineStr">
        <is>
          <t xml:space="preserve">  ...and</t>
        </is>
      </c>
      <c r="B594" s="33" t="inlineStr">
        <is>
          <t>$K$48:$K$51;$B$68;$E$79:$BD$79;$E$80:$BD$80;$E$81:$BD$81</t>
        </is>
      </c>
      <c r="G594" s="2" t="inlineStr">
        <is>
          <t>extra heads, the engage switch, and the pounds picked</t>
        </is>
      </c>
    </row>
    <row r="595">
      <c r="A595" s="33" t="inlineStr">
        <is>
          <t>Constraint — CROP HOURS &lt;= available</t>
        </is>
      </c>
      <c r="B595" s="33" t="inlineStr">
        <is>
          <t>$E$291:$BD$291  &lt;=  $E$286:$BD$286</t>
        </is>
      </c>
      <c r="G595" s="2" t="inlineStr">
        <is>
          <t>the app's C2, less piece-rate relief</t>
        </is>
      </c>
    </row>
    <row r="596">
      <c r="A596" s="33" t="inlineStr">
        <is>
          <t>Constraint — overtime Equipment Operator</t>
        </is>
      </c>
      <c r="B596" s="33" t="inlineStr">
        <is>
          <t>$E$278:$BD$278  &lt;=  $E$277:$BD$277</t>
        </is>
      </c>
      <c r="G596" s="2" t="inlineStr">
        <is>
          <t>that role's own crew that week</t>
        </is>
      </c>
    </row>
    <row r="597">
      <c r="A597" s="33" t="inlineStr">
        <is>
          <t>Constraint — overtime Seasonal Field Crew</t>
        </is>
      </c>
      <c r="B597" s="33" t="inlineStr">
        <is>
          <t>$E$280:$BD$280  &lt;=  $E$279:$BD$279</t>
        </is>
      </c>
      <c r="G597" s="2" t="inlineStr">
        <is>
          <t>that role's own crew that week</t>
        </is>
      </c>
    </row>
    <row r="598">
      <c r="A598" s="33" t="inlineStr">
        <is>
          <t>Constraint — overtime Harvest Crew</t>
        </is>
      </c>
      <c r="B598" s="33" t="inlineStr">
        <is>
          <t>$E$282:$BD$282  &lt;=  $E$281:$BD$281</t>
        </is>
      </c>
      <c r="G598" s="2" t="inlineStr">
        <is>
          <t>that role's own crew that week</t>
        </is>
      </c>
    </row>
    <row r="599">
      <c r="A599" s="33" t="inlineStr">
        <is>
          <t>Constraint — relief &lt;= harvest hours</t>
        </is>
      </c>
      <c r="B599" s="33" t="inlineStr">
        <is>
          <t>$E$284:$BD$284  &lt;=  $E$298:$BD$298</t>
        </is>
      </c>
      <c r="G599" s="2" t="inlineStr">
        <is>
          <t>pickers cannot relieve the planting</t>
        </is>
      </c>
    </row>
    <row r="600">
      <c r="A600" s="33" t="inlineStr">
        <is>
          <t>Constraint — piece-rate capacity</t>
        </is>
      </c>
      <c r="B600" s="33" t="inlineStr">
        <is>
          <t>$E$82:$BD$82  &lt;=  $E$84:$BD$84</t>
        </is>
      </c>
      <c r="G600" s="2" t="inlineStr">
        <is>
          <t>and zero unless ENGAGED</t>
        </is>
      </c>
    </row>
    <row r="601">
      <c r="A601" s="33" t="inlineStr">
        <is>
          <t>Constraint — extra heads are whole people</t>
        </is>
      </c>
      <c r="B601" s="33" t="inlineStr">
        <is>
          <t>$K$48:$K$51 = integer</t>
        </is>
      </c>
      <c r="G601" s="2" t="inlineStr">
        <is>
          <t>you hire people, not fractions</t>
        </is>
      </c>
    </row>
    <row r="602">
      <c r="A602" s="33" t="inlineStr">
        <is>
          <t>Constraint — extra heads available</t>
        </is>
      </c>
      <c r="B602" s="33" t="inlineStr">
        <is>
          <t>$K$48:$K$51  &lt;=  $J$48:$J$51</t>
        </is>
      </c>
      <c r="G602" s="2" t="inlineStr">
        <is>
          <t>each role's own 'max more'</t>
        </is>
      </c>
    </row>
    <row r="603">
      <c r="A603" s="33" t="inlineStr">
        <is>
          <t>Constraint — ENGAGED is binary</t>
        </is>
      </c>
      <c r="B603" s="33" t="inlineStr">
        <is>
          <t>$B$68 = binary</t>
        </is>
      </c>
    </row>
    <row r="604">
      <c r="A604" s="33" t="inlineStr">
        <is>
          <t>Constraint — CASH FLOOR</t>
        </is>
      </c>
      <c r="B604" s="33" t="inlineStr">
        <is>
          <t>$E$525:$BD$525  &gt;=  $E$527:$BD$527</t>
        </is>
      </c>
      <c r="G604" s="2" t="inlineStr">
        <is>
          <t>the app's C13</t>
        </is>
      </c>
    </row>
    <row r="605">
      <c r="A605" s="4" t="inlineStr">
        <is>
          <t>Options</t>
        </is>
      </c>
      <c r="B605" s="33" t="inlineStr">
        <is>
          <t>engine = LibreOffice CoinMP Linear Solver</t>
        </is>
      </c>
      <c r="G605" s="2" t="inlineStr">
        <is>
          <t>tick 'Assume variables as non-negative'</t>
        </is>
      </c>
    </row>
  </sheetData>
  <conditionalFormatting sqref="E237:BD237">
    <cfRule type="cellIs" priority="1" operator="lessThan" dxfId="0">
      <formula>0</formula>
    </cfRule>
  </conditionalFormatting>
  <conditionalFormatting sqref="E234:BD234">
    <cfRule type="cellIs" priority="2" operator="greaterThan" dxfId="0">
      <formula>$B$11</formula>
    </cfRule>
  </conditionalFormatting>
  <conditionalFormatting sqref="E244:BD244">
    <cfRule type="cellIs" priority="3" operator="lessThan" dxfId="0">
      <formula>0</formula>
    </cfRule>
  </conditionalFormatting>
  <conditionalFormatting sqref="E241:BD241">
    <cfRule type="cellIs" priority="4" operator="greaterThan" dxfId="0">
      <formula>$B$12</formula>
    </cfRule>
  </conditionalFormatting>
  <conditionalFormatting sqref="E258:BD258">
    <cfRule type="cellIs" priority="5" operator="lessThan" dxfId="0">
      <formula>0</formula>
    </cfRule>
  </conditionalFormatting>
  <conditionalFormatting sqref="E261:BD261">
    <cfRule type="cellIs" priority="6" operator="lessThan" dxfId="0">
      <formula>0</formula>
    </cfRule>
  </conditionalFormatting>
  <conditionalFormatting sqref="E294:BD294">
    <cfRule type="cellIs" priority="7" operator="lessThan" dxfId="0">
      <formula>0</formula>
    </cfRule>
  </conditionalFormatting>
  <conditionalFormatting sqref="E291:BD291">
    <cfRule type="cellIs" priority="8" operator="greaterThan" dxfId="0">
      <formula>E$286</formula>
    </cfRule>
  </conditionalFormatting>
  <conditionalFormatting sqref="E301:BD301">
    <cfRule type="cellIs" priority="9" operator="lessThan" dxfId="0">
      <formula>0</formula>
    </cfRule>
  </conditionalFormatting>
  <conditionalFormatting sqref="E302:BD302">
    <cfRule type="cellIs" priority="10" operator="lessThan" dxfId="0">
      <formula>0</formula>
    </cfRule>
  </conditionalFormatting>
  <conditionalFormatting sqref="E303:BD303">
    <cfRule type="cellIs" priority="11" operator="lessThan" dxfId="0">
      <formula>0</formula>
    </cfRule>
  </conditionalFormatting>
  <conditionalFormatting sqref="E492:BD492">
    <cfRule type="cellIs" priority="12" operator="lessThan" dxfId="0">
      <formula>0</formula>
    </cfRule>
  </conditionalFormatting>
  <conditionalFormatting sqref="E489:BD489">
    <cfRule type="cellIs" priority="13" operator="greaterThan" dxfId="0">
      <formula>$B$7</formula>
    </cfRule>
  </conditionalFormatting>
  <conditionalFormatting sqref="E499:BD499">
    <cfRule type="cellIs" priority="14" operator="lessThan" dxfId="0">
      <formula>0</formula>
    </cfRule>
  </conditionalFormatting>
  <conditionalFormatting sqref="E496:BD496">
    <cfRule type="cellIs" priority="15" operator="greaterThan" dxfId="0">
      <formula>$B$8</formula>
    </cfRule>
  </conditionalFormatting>
  <conditionalFormatting sqref="E528:BD528">
    <cfRule type="cellIs" priority="16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2026-10-24T14:41:24Z</dcterms:created>
  <dcterms:modified xsi:type="dcterms:W3CDTF">2026-10-24T14:42:55Z</dcterms:modified>
</cp:coreProperties>
</file>