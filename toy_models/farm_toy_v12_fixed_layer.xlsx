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Mode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"/>
    <numFmt numFmtId="165" formatCode="0.0000000"/>
    <numFmt numFmtId="166" formatCode="0.0%"/>
    <numFmt numFmtId="167" formatCode="$#,##0"/>
    <numFmt numFmtId="168" formatCode="$0.00"/>
    <numFmt numFmtId="169" formatCode="$0.0000"/>
  </numFmts>
  <fonts count="7">
    <font>
      <name val="Calibri"/>
      <family val="2"/>
      <color theme="1"/>
      <sz val="11"/>
      <scheme val="minor"/>
    </font>
    <font>
      <b val="1"/>
      <sz val="15"/>
    </font>
    <font>
      <i val="1"/>
      <color rgb="00666666"/>
      <sz val="9"/>
    </font>
    <font>
      <b val="1"/>
    </font>
    <font>
      <b val="1"/>
      <color rgb="00404040"/>
      <sz val="9"/>
    </font>
    <font>
      <b val="1"/>
      <color rgb="00404040"/>
      <sz val="12"/>
    </font>
    <font>
      <sz val="9"/>
    </font>
  </fonts>
  <fills count="10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F4CCCC"/>
      </patternFill>
    </fill>
    <fill>
      <patternFill patternType="solid">
        <fgColor rgb="00D9D2E9"/>
      </patternFill>
    </fill>
    <fill>
      <patternFill patternType="solid">
        <fgColor rgb="00D9D9D9"/>
      </patternFill>
    </fill>
    <fill>
      <patternFill patternType="solid">
        <fgColor rgb="00F7F7F7"/>
      </patternFill>
    </fill>
    <fill>
      <patternFill patternType="solid">
        <fgColor rgb="00EFEFEF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4" fillId="3" borderId="1" pivotButton="0" quotePrefix="0" xfId="0"/>
    <xf numFmtId="0" fontId="4" fillId="4" borderId="1" pivotButton="0" quotePrefix="0" xfId="0"/>
    <xf numFmtId="0" fontId="4" fillId="5" borderId="1" pivotButton="0" quotePrefix="0" xfId="0"/>
    <xf numFmtId="164" fontId="0" fillId="2" borderId="1" pivotButton="0" quotePrefix="0" xfId="0"/>
    <xf numFmtId="3" fontId="0" fillId="2" borderId="1" pivotButton="0" quotePrefix="0" xfId="0"/>
    <xf numFmtId="164" fontId="0" fillId="0" borderId="1" pivotButton="0" quotePrefix="0" xfId="0"/>
    <xf numFmtId="0" fontId="3" fillId="6" borderId="1" pivotButton="0" quotePrefix="0" xfId="0"/>
    <xf numFmtId="0" fontId="0" fillId="0" borderId="1" pivotButton="0" quotePrefix="0" xfId="0"/>
    <xf numFmtId="2" fontId="0" fillId="2" borderId="1" pivotButton="0" quotePrefix="0" xfId="0"/>
    <xf numFmtId="165" fontId="0" fillId="2" borderId="1" pivotButton="0" quotePrefix="0" xfId="0"/>
    <xf numFmtId="0" fontId="0" fillId="7" borderId="1" pivotButton="0" quotePrefix="0" xfId="0"/>
    <xf numFmtId="0" fontId="0" fillId="2" borderId="1" pivotButton="0" quotePrefix="0" xfId="0"/>
    <xf numFmtId="166" fontId="0" fillId="2" borderId="1" pivotButton="0" quotePrefix="0" xfId="0"/>
    <xf numFmtId="167" fontId="0" fillId="2" borderId="1" pivotButton="0" quotePrefix="0" xfId="0"/>
    <xf numFmtId="1" fontId="0" fillId="0" borderId="1" pivotButton="0" quotePrefix="0" xfId="0"/>
    <xf numFmtId="168" fontId="0" fillId="2" borderId="1" pivotButton="0" quotePrefix="0" xfId="0"/>
    <xf numFmtId="0" fontId="0" fillId="2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8" borderId="1" pivotButton="0" quotePrefix="0" xfId="0"/>
    <xf numFmtId="167" fontId="0" fillId="0" borderId="1" pivotButton="0" quotePrefix="0" xfId="0"/>
    <xf numFmtId="168" fontId="0" fillId="0" borderId="1" pivotButton="0" quotePrefix="0" xfId="0"/>
    <xf numFmtId="1" fontId="0" fillId="2" borderId="1" pivotButton="0" quotePrefix="0" xfId="0"/>
    <xf numFmtId="1" fontId="0" fillId="3" borderId="1" pivotButton="0" quotePrefix="0" xfId="0"/>
    <xf numFmtId="1" fontId="0" fillId="4" borderId="1" pivotButton="0" quotePrefix="0" xfId="0"/>
    <xf numFmtId="9" fontId="0" fillId="2" borderId="1" pivotButton="0" quotePrefix="0" xfId="0"/>
    <xf numFmtId="169" fontId="0" fillId="2" borderId="1" pivotButton="0" quotePrefix="0" xfId="0"/>
    <xf numFmtId="0" fontId="3" fillId="3" borderId="0" pivotButton="0" quotePrefix="0" xfId="0"/>
    <xf numFmtId="0" fontId="6" fillId="0" borderId="0" pivotButton="0" quotePrefix="0" xfId="0"/>
    <xf numFmtId="169" fontId="0" fillId="0" borderId="1" pivotButton="0" quotePrefix="0" xfId="0"/>
    <xf numFmtId="169" fontId="0" fillId="4" borderId="1" pivotButton="0" quotePrefix="0" xfId="0"/>
    <xf numFmtId="0" fontId="3" fillId="6" borderId="0" pivotButton="0" quotePrefix="0" xfId="0"/>
    <xf numFmtId="0" fontId="2" fillId="6" borderId="0" pivotButton="0" quotePrefix="0" xfId="0"/>
    <xf numFmtId="0" fontId="3" fillId="6" borderId="0" applyAlignment="1" pivotButton="0" quotePrefix="0" xfId="0">
      <alignment horizontal="center"/>
    </xf>
    <xf numFmtId="3" fontId="0" fillId="3" borderId="0" pivotButton="0" quotePrefix="0" xfId="0"/>
    <xf numFmtId="3" fontId="0" fillId="0" borderId="0" pivotButton="0" quotePrefix="0" xfId="0"/>
    <xf numFmtId="0" fontId="3" fillId="4" borderId="0" pivotButton="0" quotePrefix="0" xfId="0"/>
    <xf numFmtId="3" fontId="0" fillId="4" borderId="0" pivotButton="0" quotePrefix="0" xfId="0"/>
    <xf numFmtId="0" fontId="6" fillId="4" borderId="0" pivotButton="0" quotePrefix="0" xfId="0"/>
    <xf numFmtId="0" fontId="6" fillId="6" borderId="0" pivotButton="0" quotePrefix="0" xfId="0"/>
    <xf numFmtId="2" fontId="0" fillId="3" borderId="0" pivotButton="0" quotePrefix="0" xfId="0"/>
    <xf numFmtId="1" fontId="0" fillId="3" borderId="0" pivotButton="0" quotePrefix="0" xfId="0"/>
    <xf numFmtId="0" fontId="6" fillId="9" borderId="0" applyAlignment="1" pivotButton="0" quotePrefix="0" xfId="0">
      <alignment horizontal="center"/>
    </xf>
    <xf numFmtId="164" fontId="6" fillId="0" borderId="0" pivotButton="0" quotePrefix="0" xfId="0"/>
    <xf numFmtId="1" fontId="6" fillId="0" borderId="0" pivotButton="0" quotePrefix="0" xfId="0"/>
    <xf numFmtId="1" fontId="0" fillId="0" borderId="0" pivotButton="0" quotePrefix="0" xfId="0"/>
    <xf numFmtId="164" fontId="0" fillId="4" borderId="0" pivotButton="0" quotePrefix="0" xfId="0"/>
    <xf numFmtId="0" fontId="3" fillId="0" borderId="0" applyAlignment="1" pivotButton="0" quotePrefix="0" xfId="0">
      <alignment horizontal="center"/>
    </xf>
    <xf numFmtId="0" fontId="0" fillId="7" borderId="0" pivotButton="0" quotePrefix="0" xfId="0"/>
    <xf numFmtId="0" fontId="3" fillId="7" borderId="0" pivotButton="0" quotePrefix="0" xfId="0"/>
    <xf numFmtId="3" fontId="0" fillId="7" borderId="0" pivotButton="0" quotePrefix="0" xfId="0"/>
    <xf numFmtId="0" fontId="3" fillId="8" borderId="0" pivotButton="0" quotePrefix="0" xfId="0"/>
    <xf numFmtId="3" fontId="0" fillId="8" borderId="0" pivotButton="0" quotePrefix="0" xfId="0"/>
    <xf numFmtId="164" fontId="0" fillId="7" borderId="0" pivotButton="0" quotePrefix="0" xfId="0"/>
    <xf numFmtId="0" fontId="0" fillId="8" borderId="0" pivotButton="0" quotePrefix="0" xfId="0"/>
    <xf numFmtId="164" fontId="0" fillId="8" borderId="0" pivotButton="0" quotePrefix="0" xfId="0"/>
    <xf numFmtId="167" fontId="3" fillId="0" borderId="0" pivotButton="0" quotePrefix="0" xfId="0"/>
    <xf numFmtId="0" fontId="3" fillId="5" borderId="0" pivotButton="0" quotePrefix="0" xfId="0"/>
    <xf numFmtId="167" fontId="3" fillId="5" borderId="0" pivotButton="0" quotePrefix="0" xfId="0"/>
  </cellXfs>
  <cellStyles count="1">
    <cellStyle name="Normal" xfId="0" builtinId="0" hidden="0"/>
  </cellStyles>
  <dxfs count="1"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00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1" t="inlineStr">
        <is>
          <t>Farm toy model — v12: THE FIXED LAYER</t>
        </is>
      </c>
    </row>
    <row r="2">
      <c r="A2" s="2" t="inlineStr">
        <is>
          <t>BUILT 2026-10-25 11:46   (from source at commit e1998f6)</t>
        </is>
      </c>
    </row>
    <row r="3">
      <c r="A3" s="2" t="inlineStr">
        <is>
          <t>If that timestamp is older than the change you are looking for, you have a stale copy —</t>
        </is>
      </c>
    </row>
    <row r="4">
      <c r="A4" s="2" t="inlineStr">
        <is>
          <t>close the file and re-open it from WSL rather than from a recent-files list.</t>
        </is>
      </c>
    </row>
    <row r="5">
      <c r="A5" t="inlineStr"/>
    </row>
    <row r="6">
      <c r="A6" s="3" t="inlineStr">
        <is>
          <t>WHAT v12 ADDS — the things you have already decided, owe, or physically have</t>
        </is>
      </c>
    </row>
    <row r="7">
      <c r="A7" t="inlineStr">
        <is>
          <t>Your first page of January: 'what do you know you need to plant? That absorbs the big blocks,</t>
        </is>
      </c>
    </row>
    <row r="8">
      <c r="A8" t="inlineStr">
        <is>
          <t>and then the rest gets filled in with extras.' Until now the model optimised every acre from</t>
        </is>
      </c>
    </row>
    <row r="9">
      <c r="A9" t="inlineStr">
        <is>
          <t>zero. v12 is the 'absorb the big blocks' half, prototyped here before the app (PLAN FX.0).</t>
        </is>
      </c>
    </row>
    <row r="10">
      <c r="A10" t="inlineStr"/>
    </row>
    <row r="11">
      <c r="A11" s="4" t="inlineStr">
        <is>
          <t xml:space="preserve">     profit $469,384      revenue $2,137,849      margin 22.0%</t>
        </is>
      </c>
    </row>
    <row r="12">
      <c r="A12" s="4" t="inlineStr">
        <is>
          <t xml:space="preserve">     39 of 139 plantings used, plus the committed perennial blocks</t>
        </is>
      </c>
    </row>
    <row r="13">
      <c r="A13" t="inlineStr"/>
    </row>
    <row r="14">
      <c r="A14" s="3" t="inlineStr">
        <is>
          <t>WHAT EACH PIECE COSTS — with it vs without it, measured on the objective</t>
        </is>
      </c>
    </row>
    <row r="15">
      <c r="A15" t="inlineStr">
        <is>
          <t xml:space="preserve">     the 3 contracts           $8,380   (Kale/Wholesale 3,000 lb short (weeks 36-37); Spinach/Wholesale 8,000 lb short (weeks 33-36))</t>
        </is>
      </c>
    </row>
    <row r="16">
      <c r="A16" t="inlineStr">
        <is>
          <t xml:space="preserve">     the standing floor (kale)     $1,909</t>
        </is>
      </c>
    </row>
    <row r="17">
      <c r="A17" t="inlineStr">
        <is>
          <t xml:space="preserve">     the annual floor (kale)       $3,913</t>
        </is>
      </c>
    </row>
    <row r="18">
      <c r="A18" t="inlineStr">
        <is>
          <t xml:space="preserve">     the garlic carry-in, pinned   $3,518   (against garlic left free)</t>
        </is>
      </c>
    </row>
    <row r="19">
      <c r="A19" t="inlineStr">
        <is>
          <t xml:space="preserve">     the perennial (4 ac, 2 blocks) $23,200   (this year's cost: $5,888; with its contract)</t>
        </is>
      </c>
    </row>
    <row r="20">
      <c r="A20" s="4" t="inlineStr">
        <is>
          <t xml:space="preserve">     ALL of the above              $39,438</t>
        </is>
      </c>
    </row>
    <row r="21">
      <c r="A21" t="inlineStr">
        <is>
          <t xml:space="preserve">     the 2-acre tunnel zone        $28,866   (what the tunnel EARNS, against 2 acres of field)</t>
        </is>
      </c>
    </row>
    <row r="22">
      <c r="A22" t="inlineStr">
        <is>
          <t xml:space="preserve">   ⚠️ Measured on the OBJECTIVE, not profit. Profit includes interest, which is worked out</t>
        </is>
      </c>
    </row>
    <row r="23">
      <c r="A23" t="inlineStr">
        <is>
          <t xml:space="preserve">   AFTER the solve from the cash curve — and two plans worth the same can borrow differently.</t>
        </is>
      </c>
    </row>
    <row r="24">
      <c r="A24" t="inlineStr">
        <is>
          <t xml:space="preserve">   Removing a floor that did not bind once 'raised' profit $45 with the objective unchanged to</t>
        </is>
      </c>
    </row>
    <row r="25">
      <c r="A25" t="inlineStr">
        <is>
          <t xml:space="preserve">   the cent. A with/without on profit would have called that $45 the floor's cost.</t>
        </is>
      </c>
    </row>
    <row r="26">
      <c r="A26" t="inlineStr"/>
    </row>
    <row r="27">
      <c r="A27" s="4" t="inlineStr">
        <is>
          <t>1. ZONES — named land pools, no map.</t>
        </is>
      </c>
    </row>
    <row r="28">
      <c r="A28" t="inlineStr">
        <is>
          <t xml:space="preserve">   Section 1b. 'Open field' is whatever the other zones leave of 'Land you have'. Section 2</t>
        </is>
      </c>
    </row>
    <row r="29">
      <c r="A29" t="inlineStr">
        <is>
          <t xml:space="preserve">   says which crop may stand in which zone (Y/N), and a planting is now a (week, zone) pair:</t>
        </is>
      </c>
    </row>
    <row r="30">
      <c r="A30" t="inlineStr">
        <is>
          <t xml:space="preserve">   Kale is allowed in both, so each Kale week appears twice — 'F' and 'T'. Land is one</t>
        </is>
      </c>
    </row>
    <row r="31">
      <c r="A31" t="inlineStr">
        <is>
          <t xml:space="preserve">   constraint block PER ZONE. A tunnel acre is not a field acre; that is why zones exist.</t>
        </is>
      </c>
    </row>
    <row r="32">
      <c r="A32" t="inlineStr"/>
    </row>
    <row r="33">
      <c r="A33" s="4" t="inlineStr">
        <is>
          <t>2. A VARIANT IS A SEPARATE NAME THAT SELLS AS ITS BASE.</t>
        </is>
      </c>
    </row>
    <row r="34">
      <c r="A34" t="inlineStr">
        <is>
          <t xml:space="preserve">   'Tunnel Spinach' is Spinach with a longer planting window and a tunnel-sized minimum. Its</t>
        </is>
      </c>
    </row>
    <row r="35">
      <c r="A35" t="inlineStr">
        <is>
          <t xml:space="preserve">   own name, its own windows, its own costs — and NO market of its own. Section 5c measures</t>
        </is>
      </c>
    </row>
    <row r="36">
      <c r="A36" t="inlineStr">
        <is>
          <t xml:space="preserve">   every name that sells as Spinach against ONE Spinach ceiling.</t>
        </is>
      </c>
    </row>
    <row r="37">
      <c r="A37" t="inlineStr">
        <is>
          <t xml:space="preserve">   ⚠️ THE TRAP, measured: key the caps by NAME instead (what the app does today) and the two</t>
        </is>
      </c>
    </row>
    <row r="38">
      <c r="A38" t="inlineStr">
        <is>
          <t xml:space="preserve">   spinaches sell 12,000 lb a week into a 6,000 lb Farmers Market, and the plan 'earns'</t>
        </is>
      </c>
    </row>
    <row r="39">
      <c r="A39" t="inlineStr">
        <is>
          <t xml:space="preserve">   $32,075 that does not exist. Same family as the duplicate-name defect (W1).</t>
        </is>
      </c>
    </row>
    <row r="40">
      <c r="A40" t="inlineStr"/>
    </row>
    <row r="41">
      <c r="A41" s="4" t="inlineStr">
        <is>
          <t>3. A PERENNIAL IS COMMITTED GROUND, NOT A PLANTING — one row per BLOCK.</t>
        </is>
      </c>
    </row>
    <row r="42">
      <c r="A42" t="inlineStr">
        <is>
          <t xml:space="preserve">   Asparagus: 3 ac bearing and 1 ac establishing (no harvest) — in the ground all</t>
        </is>
      </c>
    </row>
    <row r="43">
      <c r="A43" t="inlineStr">
        <is>
          <t xml:space="preserve">   52 weeks. Acres are INPUTS (yellow) on their calendar rows, outside the solver's changing</t>
        </is>
      </c>
    </row>
    <row r="44">
      <c r="A44" t="inlineStr">
        <is>
          <t xml:space="preserve">   cells. Neither goes through the planting calendar — which refuses any cycle over 52 weeks.</t>
        </is>
      </c>
    </row>
    <row r="45">
      <c r="A45" t="inlineStr">
        <is>
          <t xml:space="preserve">   Each block carries THIS year's cost (section 2b). The mature block's establishment is SUNK,</t>
        </is>
      </c>
    </row>
    <row r="46">
      <c r="A46" t="inlineStr">
        <is>
          <t xml:space="preserve">   like the tunnel's structure: no depreciation line. The new block is ESTABLISHING — costs and</t>
        </is>
      </c>
    </row>
    <row r="47">
      <c r="A47" t="inlineStr">
        <is>
          <t xml:space="preserve">   labour, no harvest (its calendar row has no H). Next year you type its first yield.</t>
        </is>
      </c>
    </row>
    <row r="48">
      <c r="A48" t="inlineStr"/>
    </row>
    <row r="49">
      <c r="A49" s="4" t="inlineStr">
        <is>
          <t>4. MUST-PLANT FLOORS — UNCONDITIONAL, IN TWO FORMS. Section 5a.</t>
        </is>
      </c>
    </row>
    <row r="50">
      <c r="A50" t="inlineStr">
        <is>
          <t xml:space="preserve">   'Min acres if planted' is NOT this: it is conditional on PLANT?, so the solver escapes it</t>
        </is>
      </c>
    </row>
    <row r="51">
      <c r="A51" t="inlineStr">
        <is>
          <t xml:space="preserve">   by not planting. A must-plant floor has no binary in it.</t>
        </is>
      </c>
    </row>
    <row r="52">
      <c r="A52" t="inlineStr">
        <is>
          <t xml:space="preserve">     STANDING  acres in the ground in EVERY week of a window.</t>
        </is>
      </c>
    </row>
    <row r="53">
      <c r="A53" t="inlineStr">
        <is>
          <t xml:space="preserve">     ANNUAL    acres planted, summed over the year's plantings.</t>
        </is>
      </c>
    </row>
    <row r="54">
      <c r="A54" t="inlineStr">
        <is>
          <t xml:space="preserve">   They are different promises and the toy settles that question. Same 30 acres of kale:</t>
        </is>
      </c>
    </row>
    <row r="55">
      <c r="A55" t="inlineStr">
        <is>
          <t xml:space="preserve">     ANNUAL 30 ac costs $0   — the plan already plants more than that</t>
        </is>
      </c>
    </row>
    <row r="56">
      <c r="A56" s="4" t="inlineStr">
        <is>
          <t xml:space="preserve">     STANDING 30 ac in weeks 10-20 costs $49,442</t>
        </is>
      </c>
    </row>
    <row r="57">
      <c r="A57" t="inlineStr">
        <is>
          <t xml:space="preserve">   So: both, named differently.</t>
        </is>
      </c>
    </row>
    <row r="58">
      <c r="A58" t="inlineStr">
        <is>
          <t xml:space="preserve">   THE CARRY-IN (garlic in the ground on 1 Jan, the app's C15) is PINNED, not floored:</t>
        </is>
      </c>
    </row>
    <row r="59">
      <c r="A59" t="inlineStr">
        <is>
          <t xml:space="preserve">   acres standing in week 1 EQUAL what went in last fall. The year is cyclic, so those are</t>
        </is>
      </c>
    </row>
    <row r="60">
      <c r="A60" t="inlineStr">
        <is>
          <t xml:space="preserve">   the same plantings that go in THIS fall — one row honours last fall AND holds this fall's</t>
        </is>
      </c>
    </row>
    <row r="61">
      <c r="A61" t="inlineStr">
        <is>
          <t xml:space="preserve">   ground, crew and barn for the replant. No decisions about next year's garlic.</t>
        </is>
      </c>
    </row>
    <row r="62">
      <c r="A62" t="inlineStr">
        <is>
          <t xml:space="preserve">   ⚠️ Floors and the pin are HARD. Garlic's ceiling here is about 18.5 acres, set by TWO limits</t>
        </is>
      </c>
    </row>
    <row r="63">
      <c r="A63" t="inlineStr">
        <is>
          <t xml:space="preserve">   at once: the 108-hour winter crew in the planting weeks AND the 150 m3 barn at harvest.</t>
        </is>
      </c>
    </row>
    <row r="64">
      <c r="A64" t="inlineStr">
        <is>
          <t xml:space="preserve">   Relaxing either alone does not help. An app that refuses an impossible floor must say</t>
        </is>
      </c>
    </row>
    <row r="65">
      <c r="A65" t="inlineStr">
        <is>
          <t xml:space="preserve">   which limits it hit — 'check your land' would be wrong here.</t>
        </is>
      </c>
    </row>
    <row r="66">
      <c r="A66" t="inlineStr"/>
    </row>
    <row r="67">
      <c r="A67" s="4" t="inlineStr">
        <is>
          <t>5. CONTRACTS — YOU CHOOSE WHAT A SHORTFALL MEANS. Section 5d.</t>
        </is>
      </c>
    </row>
    <row r="68">
      <c r="A68" t="inlineStr">
        <is>
          <t xml:space="preserve">   delivered + SHORTFALL &gt;= owed, per week, keyed by IDENTITY (the buyer contracted for</t>
        </is>
      </c>
    </row>
    <row r="69">
      <c r="A69" t="inlineStr">
        <is>
          <t xml:space="preserve">   spinach, not for a bed). 'If short' is REQUIRED — a blank penalty would make it mean nothing:</t>
        </is>
      </c>
    </row>
    <row r="70">
      <c r="A70" t="inlineStr">
        <is>
          <t xml:space="preserve">     penalty   the shortfall is a decision priced per lb: a REPORTED number, never 'no plan'.</t>
        </is>
      </c>
    </row>
    <row r="71">
      <c r="A71" t="inlineStr">
        <is>
          <t xml:space="preserve">     deliver   no shortfall at all. Asparagus/Wholesale 500 lb/wk, weeks 18-25: met in full, and it costs $2,001 (pounds pulled off the dearer market).</t>
        </is>
      </c>
    </row>
    <row r="72">
      <c r="A72" t="inlineStr">
        <is>
          <t xml:space="preserve">               Ask for more than the farm can grow and there is no plan, and the refusal NAMES it:</t>
        </is>
      </c>
    </row>
    <row r="73">
      <c r="A73" t="inlineStr">
        <is>
          <t xml:space="preserve">               'Asparagus/Wholesale 350 lb short (weeks 18, 20, 21, 22)'.</t>
        </is>
      </c>
    </row>
    <row r="74">
      <c r="A74" t="inlineStr">
        <is>
          <t xml:space="preserve">   The two penalty shortfalls look alike on the sheet and they are not. Raise both from $0.50</t>
        </is>
      </c>
    </row>
    <row r="75">
      <c r="A75" t="inlineStr">
        <is>
          <t xml:space="preserve">   to $5.00 a pound and measure:</t>
        </is>
      </c>
    </row>
    <row r="76">
      <c r="A76" t="inlineStr">
        <is>
          <t xml:space="preserve">     Kale     3,000 lb short -&gt; 3,000 lb   a FACT — no price delivers weeks 36-37</t>
        </is>
      </c>
    </row>
    <row r="77">
      <c r="A77" t="inlineStr">
        <is>
          <t xml:space="preserve">     Spinach  8,000 lb short -&gt; 4,000 lb   a CHOICE — at $5 the plan grows for weeks 33, 34</t>
        </is>
      </c>
    </row>
    <row r="78">
      <c r="A78" t="inlineStr">
        <is>
          <t xml:space="preserve">   (both verdicts are re-solved, not reasoned — the first one I reasoned came out backwards)</t>
        </is>
      </c>
    </row>
    <row r="79">
      <c r="A79" t="inlineStr">
        <is>
          <t xml:space="preserve">   Where the plan shorts at $0.50 and not at $5, shorting was cheaper than growing. Only the penalty tells a choice from</t>
        </is>
      </c>
    </row>
    <row r="80">
      <c r="A80" t="inlineStr">
        <is>
          <t xml:space="preserve">   a fact — which is why it has to be the grower's number, and why the app should report</t>
        </is>
      </c>
    </row>
    <row r="81">
      <c r="A81" t="inlineStr">
        <is>
          <t xml:space="preserve">   WHICH kind each shortfall is.</t>
        </is>
      </c>
    </row>
    <row r="82">
      <c r="A82" t="inlineStr"/>
    </row>
    <row r="83">
      <c r="A83" s="3" t="inlineStr">
        <is>
          <t>YOUR RULINGS (2026-10-25) — what this version now does</t>
        </is>
      </c>
    </row>
    <row r="84">
      <c r="A84" t="inlineStr">
        <is>
          <t xml:space="preserve">  - Garlic already in is a pre-commitment, PINNED. Replanting a different amount this fall is</t>
        </is>
      </c>
    </row>
    <row r="85">
      <c r="A85" t="inlineStr">
        <is>
          <t xml:space="preserve">    your edit to the carry-in; separating the two is backlogged (X7).</t>
        </is>
      </c>
    </row>
    <row r="86">
      <c r="A86" t="inlineStr">
        <is>
          <t xml:space="preserve">  - Every contract says penalty (with a price) or deliver. No default.</t>
        </is>
      </c>
    </row>
    <row r="87">
      <c r="A87" t="inlineStr">
        <is>
          <t xml:space="preserve">  - A tunnel's structure and a mature planting's establishment are SUNK — no cost line here.</t>
        </is>
      </c>
    </row>
    <row r="88">
      <c r="A88" t="inlineStr">
        <is>
          <t xml:space="preserve">    Whether to BUILD something new is not the optimiser's call (backlog X6).</t>
        </is>
      </c>
    </row>
    <row r="89">
      <c r="A89" t="inlineStr"/>
    </row>
    <row r="90">
      <c r="A90" s="3" t="inlineStr">
        <is>
          <t>WHAT v11 CHANGED — labour is now ONE mechanism: the roster</t>
        </is>
      </c>
    </row>
    <row r="91">
      <c r="A91" t="inlineStr">
        <is>
          <t>v10 invented a separate 'proposed hire' block with its own window, wage, hours and field% —</t>
        </is>
      </c>
    </row>
    <row r="92">
      <c r="A92" t="inlineStr">
        <is>
          <t>eight inputs to re-describe something the roster already described. That was the same error</t>
        </is>
      </c>
    </row>
    <row r="93">
      <c r="A93" t="inlineStr">
        <is>
          <t>v9 made with spot hire, one version later. It is gone.</t>
        </is>
      </c>
    </row>
    <row r="94">
      <c r="A94" t="inlineStr"/>
    </row>
    <row r="95">
      <c r="A95" s="4" t="inlineStr">
        <is>
          <t xml:space="preserve">     overtime Equipment Operator 73 h / Seasonal Field Crew 83 h      extra heads: none</t>
        </is>
      </c>
    </row>
    <row r="96">
      <c r="A96" s="4" t="inlineStr">
        <is>
          <t xml:space="preserve">     piece rate $43,643 for 221,939 lb, relieving 1,970 harvest hours</t>
        </is>
      </c>
    </row>
    <row r="97">
      <c r="A97" t="inlineStr"/>
    </row>
    <row r="98">
      <c r="A98" s="4" t="inlineStr">
        <is>
          <t>1. HIRING IS 'MORE OF A ROLE YOU ALREADY LISTED'.</t>
        </is>
      </c>
    </row>
    <row r="99">
      <c r="A99" t="inlineStr">
        <is>
          <t xml:space="preserve">   Three columns on the crew table: Hire more? / Max more / EXTRA HIRED. Extra heads inherit</t>
        </is>
      </c>
    </row>
    <row r="100">
      <c r="A100" t="inlineStr">
        <is>
          <t xml:space="preserve">   that row's wage, hours, field% AND window — nothing new is entered anywhere. The answer</t>
        </is>
      </c>
    </row>
    <row r="101">
      <c r="A101" t="inlineStr">
        <is>
          <t xml:space="preserve">   is a roster edit: 'change this Count from 8 to 11'.</t>
        </is>
      </c>
    </row>
    <row r="102">
      <c r="A102" t="inlineStr">
        <is>
          <t xml:space="preserve">   Different weeks, or a different wage? Add a NEW ROW with the same title. A different</t>
        </is>
      </c>
    </row>
    <row r="103">
      <c r="A103" t="inlineStr">
        <is>
          <t xml:space="preserve">   window is a different job offer, not a variation on this one.</t>
        </is>
      </c>
    </row>
    <row r="104">
      <c r="A104" t="inlineStr">
        <is>
          <t xml:space="preserve">   No committed staff of a role but curious? Count 0, Hire more Y, set the weeks.</t>
        </is>
      </c>
    </row>
    <row r="105">
      <c r="A105" t="inlineStr">
        <is>
          <t xml:space="preserve">   ⚠️ The answer is often ZERO, and that is the finding: a head added to a 27-week crew is</t>
        </is>
      </c>
    </row>
    <row r="106">
      <c r="A106" t="inlineStr">
        <is>
          <t xml:space="preserve">   27 weeks of wages to buy hours you need in a handful of them.</t>
        </is>
      </c>
    </row>
    <row r="107">
      <c r="A107" t="inlineStr"/>
    </row>
    <row r="108">
      <c r="A108" s="4" t="inlineStr">
        <is>
          <t>2. OVERTIME IS PER ROLE. THERE IS NO BLENDED RATE ANYWHERE.</t>
        </is>
      </c>
    </row>
    <row r="109">
      <c r="A109" t="inlineStr">
        <is>
          <t xml:space="preserve">   Equipment Operator $48.75 / Seasonal Field Crew $37.50 / Harvest Crew $35.62</t>
        </is>
      </c>
    </row>
    <row r="110">
      <c r="A110" t="inlineStr">
        <is>
          <t xml:space="preserve">   Once the solver can also hire extra heads, a blended rate depends on a decision variable</t>
        </is>
      </c>
    </row>
    <row r="111">
      <c r="A111" t="inlineStr">
        <is>
          <t xml:space="preserve">   and 'hours x blend' stops being linear. Per role the rate is that role's own wage x load</t>
        </is>
      </c>
    </row>
    <row r="112">
      <c r="A112" t="inlineStr">
        <is>
          <t xml:space="preserve">   x multiplier — a constant, because the wage is an input. So the model stays an LP AND it</t>
        </is>
      </c>
    </row>
    <row r="113">
      <c r="A113" t="inlineStr">
        <is>
          <t xml:space="preserve">   gets better: with one blend an overtime hour costs the same whoever works it, so the plan</t>
        </is>
      </c>
    </row>
    <row r="114">
      <c r="A114" t="inlineStr">
        <is>
          <t xml:space="preserve">   could not prefer the cheap one, or tell you WHO to ask to stay late.</t>
        </is>
      </c>
    </row>
    <row r="115">
      <c r="A115" t="inlineStr"/>
    </row>
    <row r="116">
      <c r="A116" s="4" t="inlineStr">
        <is>
          <t>3. A PIECE-RATE HARVEST CREW, PAID PER POUND.</t>
        </is>
      </c>
    </row>
    <row r="117">
      <c r="A117" t="inlineStr">
        <is>
          <t xml:space="preserve">   Everything else here is COMMITTED labour — owed whether the crops need it or not. This is</t>
        </is>
      </c>
    </row>
    <row r="118">
      <c r="A118" t="inlineStr">
        <is>
          <t xml:space="preserve">   the opposite: you pay for what they pick and nothing when there is nothing to pick, which</t>
        </is>
      </c>
    </row>
    <row r="119">
      <c r="A119" t="inlineStr">
        <is>
          <t xml:space="preserve">   is why it lands in COGS and not the wage bill.</t>
        </is>
      </c>
    </row>
    <row r="120">
      <c r="A120" t="inlineStr">
        <is>
          <t xml:space="preserve">   You set the weeks, the crew's HOURS per week, and a rate PER CROP. The solver picks</t>
        </is>
      </c>
    </row>
    <row r="121">
      <c r="A121" t="inlineStr">
        <is>
          <t xml:space="preserve">   which crops, how much, and when.</t>
        </is>
      </c>
    </row>
    <row r="122">
      <c r="A122" t="inlineStr">
        <is>
          <t xml:space="preserve">   ⚠️ CAPACITY IS HOURS, NOT POUNDS, and the grower found why. A crew picks pounds at a rate</t>
        </is>
      </c>
    </row>
    <row r="123">
      <c r="A123" t="inlineStr">
        <is>
          <t xml:space="preserve">   that differs 3.6x by crop, so one pound number is a crew that resizes with the crop:</t>
        </is>
      </c>
    </row>
    <row r="124">
      <c r="A124" t="inlineStr">
        <is>
          <t xml:space="preserve">   20,000 lb/wk is 200 hours of spinach, 150 of garlic, 55 of kale. It distorted the answer</t>
        </is>
      </c>
    </row>
    <row r="125">
      <c r="A125" t="inlineStr">
        <is>
          <t xml:space="preserve">   too — a pound cap rewards hours-per-pound, so it picked spinach over the cheaper garlic</t>
        </is>
      </c>
    </row>
    <row r="126">
      <c r="A126" t="inlineStr">
        <is>
          <t xml:space="preserve">   relief ($18.74/hr against $20.71). Moving it to hours triples the garlic picked.</t>
        </is>
      </c>
    </row>
    <row r="127">
      <c r="A127" t="inlineStr"/>
    </row>
    <row r="128">
      <c r="A128" t="inlineStr">
        <is>
          <t xml:space="preserve">   ⚠️ RATES DIFFER BY CROP, AND THE LAW IS WHY. A piece-rate worker must still earn the</t>
        </is>
      </c>
    </row>
    <row r="129">
      <c r="A129" t="inlineStr">
        <is>
          <t xml:space="preserve">   minimum wage for the hours worked; if the rate falls short the employer makes up the</t>
        </is>
      </c>
    </row>
    <row r="130">
      <c r="A130" t="inlineStr">
        <is>
          <t xml:space="preserve">   difference (FLSA — the AEWR under H-2A). Converted to $/lb that floor depends entirely on</t>
        </is>
      </c>
    </row>
    <row r="131">
      <c r="A131" t="inlineStr">
        <is>
          <t xml:space="preserve">   how fast the crop picks: spinach $0.161/lb against kale $0.044/lb, a 3.6x spread from</t>
        </is>
      </c>
    </row>
    <row r="132">
      <c r="A132" t="inlineStr">
        <is>
          <t xml:space="preserve">   picking difficulty alone. A rate entered BELOW its floor is inoperative — you pay the</t>
        </is>
      </c>
    </row>
    <row r="133">
      <c r="A133" t="inlineStr">
        <is>
          <t xml:space="preserve">   floor — and the 'which binds' column says so. Garlic's shipped rate is below its floor on</t>
        </is>
      </c>
    </row>
    <row r="134">
      <c r="A134" t="inlineStr">
        <is>
          <t xml:space="preserve">   purpose, so you can see it happen.</t>
        </is>
      </c>
    </row>
    <row r="135">
      <c r="A135" t="inlineStr"/>
    </row>
    <row r="136">
      <c r="A136" t="inlineStr">
        <is>
          <t xml:space="preserve">   ⚠️ THE PIECE-RATE CREW CHANGES THE HOURS YOU NEED, NOT THE WAGES YOU OWE. The committed</t>
        </is>
      </c>
    </row>
    <row r="137">
      <c r="A137" t="inlineStr">
        <is>
          <t xml:space="preserve">   crew is paid either way. Pounds picked convert to harvest hours relieved at each crop's</t>
        </is>
      </c>
    </row>
    <row r="138">
      <c r="A138" t="inlineStr">
        <is>
          <t xml:space="preserve">   own yield / harvest-hours — and the relief is capped by the harvest hours actually</t>
        </is>
      </c>
    </row>
    <row r="139">
      <c r="A139" t="inlineStr">
        <is>
          <t xml:space="preserve">   needed, or pickers would be relieving the planting.</t>
        </is>
      </c>
    </row>
    <row r="140">
      <c r="A140" t="inlineStr"/>
    </row>
    <row r="141">
      <c r="A141" t="inlineStr">
        <is>
          <t xml:space="preserve">   Enter the rate as $ PER BUSHEL. The sheet converts with the crop's own m3-per-lb — the</t>
        </is>
      </c>
    </row>
    <row r="142">
      <c r="A142" t="inlineStr">
        <is>
          <t xml:space="preserve">   same number the storage rows use. ⚠️ That conversion is also a CHECK: 'lb per bushel' is</t>
        </is>
      </c>
    </row>
    <row r="143">
      <c r="A143" t="inlineStr">
        <is>
          <t xml:space="preserve">   something you can weigh, where m3-per-lb is not. A bushel of kale is about 18 lb in the</t>
        </is>
      </c>
    </row>
    <row r="144">
      <c r="A144" t="inlineStr">
        <is>
          <t xml:space="preserve">   trade; if this sheet says 9, the volume figure is wrong and the cooler is mis-sized too.</t>
        </is>
      </c>
    </row>
    <row r="145">
      <c r="A145" t="inlineStr">
        <is>
          <t xml:space="preserve">   See backlog L6.</t>
        </is>
      </c>
    </row>
    <row r="146">
      <c r="A146" t="inlineStr"/>
    </row>
    <row r="147">
      <c r="A147" s="3" t="inlineStr">
        <is>
          <t>WHAT v7 ADDED — labour, which is TWO things at once</t>
        </is>
      </c>
    </row>
    <row r="148">
      <c r="A148" t="inlineStr"/>
    </row>
    <row r="149">
      <c r="A149" s="4" t="inlineStr">
        <is>
          <t>1. A COMMITTED COST. Every listed worker is paid for their stated hours whether or not the</t>
        </is>
      </c>
    </row>
    <row r="150">
      <c r="A150" t="inlineStr">
        <is>
          <t xml:space="preserve">   crops need them. So there is NO per-acre labour charge anywhere on this sheet — the</t>
        </is>
      </c>
    </row>
    <row r="151">
      <c r="A151" t="inlineStr">
        <is>
          <t xml:space="preserve">   marginal crop hour is FREE, and it is rationed by capacity instead of priced. That is the</t>
        </is>
      </c>
    </row>
    <row r="152">
      <c r="A152" t="inlineStr">
        <is>
          <t xml:space="preserve">   app's W12, and it is the single largest correction the real model has ever made.</t>
        </is>
      </c>
    </row>
    <row r="153">
      <c r="A153" t="inlineStr"/>
    </row>
    <row r="154">
      <c r="A154" s="4" t="inlineStr">
        <is>
          <t>2. A CAPACITY LIMIT. Crop hours in a week cannot exceed what the crew can give. The app's</t>
        </is>
      </c>
    </row>
    <row r="155">
      <c r="A155" t="inlineStr">
        <is>
          <t xml:space="preserve">   C2 — and on this farm it is the constraint that binds hardest, in 22 of 52 weeks.</t>
        </is>
      </c>
    </row>
    <row r="156">
      <c r="A156" t="inlineStr"/>
    </row>
    <row r="157">
      <c r="A157" s="3" t="inlineStr">
        <is>
          <t>AND THE WAGE BILL HAS A SHAPE</t>
        </is>
      </c>
    </row>
    <row r="158">
      <c r="A158" s="4" t="inlineStr">
        <is>
          <t xml:space="preserve">     winter $4,884/wk        peak $24,484/wk        $855,150 for the year</t>
        </is>
      </c>
    </row>
    <row r="159">
      <c r="A159" s="4" t="inlineStr">
        <is>
          <t xml:space="preserve">     crew capacity 108 hrs/wk in winter, 908 at peak</t>
        </is>
      </c>
    </row>
    <row r="160">
      <c r="A160" t="inlineStr">
        <is>
          <t>Flattening that to an annual average understated the app's own cash floor by $115,615, which</t>
        </is>
      </c>
    </row>
    <row r="161">
      <c r="A161" t="inlineStr">
        <is>
          <t>is why it is modelled week by week here rather than as one number.</t>
        </is>
      </c>
    </row>
    <row r="162">
      <c r="A162" t="inlineStr"/>
    </row>
    <row r="163">
      <c r="A163" s="3" t="inlineStr">
        <is>
          <t>WHAT IT DOES TO THE ANSWER</t>
        </is>
      </c>
    </row>
    <row r="164">
      <c r="A164" s="4" t="inlineStr">
        <is>
          <t xml:space="preserve">     profit $1,654,922 -&gt; $469,384        net margin 22.0%</t>
        </is>
      </c>
    </row>
    <row r="165">
      <c r="A165" t="inlineStr">
        <is>
          <t>Revenue falls too — $2,137,849 against v6's $2,558,846 — and that is the important half. Labour</t>
        </is>
      </c>
    </row>
    <row r="166">
      <c r="A166" t="inlineStr">
        <is>
          <t>does not merely TAX the plan, it RESHAPES it: the crew cannot pick everything the ground</t>
        </is>
      </c>
    </row>
    <row r="167">
      <c r="A167" t="inlineStr">
        <is>
          <t>could grow, so acres the land would happily carry are simply not worth planting.</t>
        </is>
      </c>
    </row>
    <row r="168">
      <c r="A168" t="inlineStr"/>
    </row>
    <row r="169">
      <c r="A169" t="inlineStr">
        <is>
          <t>Net margin 22.0% is finally in the same postcode as a real diversified-veg farm (5-15%),</t>
        </is>
      </c>
    </row>
    <row r="170">
      <c r="A170" t="inlineStr">
        <is>
          <t>having read 64.7% in v6. Labour was most of the gap.</t>
        </is>
      </c>
    </row>
    <row r="171">
      <c r="A171" t="inlineStr"/>
    </row>
    <row r="172">
      <c r="A172" s="3" t="inlineStr">
        <is>
          <t>!! THE FINDING WORTH TAKING AWAY</t>
        </is>
      </c>
    </row>
    <row r="173">
      <c r="A173" t="inlineStr">
        <is>
          <t>Committed wages create a MINIMUM CASH REQUIREMENT that no plan can avoid. This farm owes</t>
        </is>
      </c>
    </row>
    <row r="174">
      <c r="A174" t="inlineStr">
        <is>
          <t>$4,884 a week from January with nothing to sell until spring — $56,676 goes out before a</t>
        </is>
      </c>
    </row>
    <row r="175">
      <c r="A175" t="inlineStr">
        <is>
          <t>dollar comes in. Measured: below roughly $80,000-$100,000 of opening cash plus credit, there</t>
        </is>
      </c>
    </row>
    <row r="176">
      <c r="A176" t="inlineStr">
        <is>
          <t>is NO feasible plan at all. Not a worse plan — none.</t>
        </is>
      </c>
    </row>
    <row r="177">
      <c r="A177" t="inlineStr"/>
    </row>
    <row r="178">
      <c r="A178" t="inlineStr">
        <is>
          <t>And above that threshold profit is IDENTICAL at every cash level. So cash does not shape the</t>
        </is>
      </c>
    </row>
    <row r="179">
      <c r="A179" t="inlineStr">
        <is>
          <t>plan here; it decides whether you may have one. Those are different questions and a single</t>
        </is>
      </c>
    </row>
    <row r="180">
      <c r="A180" t="inlineStr">
        <is>
          <t>profit figure hides which one you are asking.</t>
        </is>
      </c>
    </row>
    <row r="181">
      <c r="A181" t="inlineStr"/>
    </row>
    <row r="182">
      <c r="A182" s="3" t="inlineStr">
        <is>
          <t>INTEREST IS REPORTED, NOT OPTIMISED OVER</t>
        </is>
      </c>
    </row>
    <row r="183">
      <c r="A183" t="inlineStr">
        <is>
          <t>Peak borrowing $45,513, interest $422 — APR on the AVERAGE amount the credit line</t>
        </is>
      </c>
    </row>
    <row r="184">
      <c r="A184" t="inlineStr">
        <is>
          <t>carries, which is the app's own post-solve formula.</t>
        </is>
      </c>
    </row>
    <row r="185">
      <c r="A185" t="inlineStr"/>
    </row>
    <row r="186">
      <c r="A186" t="inlineStr">
        <is>
          <t>It sits OUTSIDE the objective deliberately, because that is what the app does: the plan is</t>
        </is>
      </c>
    </row>
    <row r="187">
      <c r="A187" t="inlineStr">
        <is>
          <t>chosen first and the borrowing it implies is priced afterwards. The consequence is worth</t>
        </is>
      </c>
    </row>
    <row r="188">
      <c r="A188" t="inlineStr">
        <is>
          <t>knowing — the solver has no reason to shift sales earlier to borrow less, so interest is a</t>
        </is>
      </c>
    </row>
    <row r="189">
      <c r="A189" t="inlineStr">
        <is>
          <t>REPORT here rather than a lever. On this farm it is trivial ($422); on a farm that</t>
        </is>
      </c>
    </row>
    <row r="190">
      <c r="A190" t="inlineStr">
        <is>
          <t>borrows through a long winter it would not be.</t>
        </is>
      </c>
    </row>
    <row r="191">
      <c r="A191" t="inlineStr"/>
    </row>
    <row r="192">
      <c r="A192" s="3" t="inlineStr">
        <is>
          <t>INTEREST IS REPORTED, NOT OPTIMISED OVER</t>
        </is>
      </c>
    </row>
    <row r="193">
      <c r="A193" t="inlineStr">
        <is>
          <t>Peak borrowing $45,513, interest $422 — small here, and the reason is worth knowing.</t>
        </is>
      </c>
    </row>
    <row r="194">
      <c r="A194" t="inlineStr">
        <is>
          <t>The plan is chosen FIRST and the borrowing it implies is priced afterwards, so the solver has</t>
        </is>
      </c>
    </row>
    <row r="195">
      <c r="A195" t="inlineStr">
        <is>
          <t>no reason to shift sales earlier to borrow less. That is the app's own simplification and the</t>
        </is>
      </c>
    </row>
    <row r="196">
      <c r="A196" t="inlineStr">
        <is>
          <t>toy inherits it deliberately rather than diverging: a toy that models cash better than the</t>
        </is>
      </c>
    </row>
    <row r="197">
      <c r="A197" t="inlineStr">
        <is>
          <t>thing it is checking cannot check it.</t>
        </is>
      </c>
    </row>
    <row r="198">
      <c r="A198" t="inlineStr"/>
    </row>
    <row r="199">
      <c r="A199" s="3" t="inlineStr">
        <is>
          <t>WHAT v6 ADDED — real costs, and the cash floor</t>
        </is>
      </c>
    </row>
    <row r="200">
      <c r="A200" t="inlineStr">
        <is>
          <t>These are one job, not two. A cash curve is meaningless without costs to spend, and v5's</t>
        </is>
      </c>
    </row>
    <row r="201">
      <c r="A201" t="inlineStr">
        <is>
          <t>profit was absurd precisely because seed was the only cost it charged.</t>
        </is>
      </c>
    </row>
    <row r="202">
      <c r="A202" t="inlineStr"/>
    </row>
    <row r="203">
      <c r="A203" t="inlineStr">
        <is>
          <t xml:space="preserve">  TIMED variable costs   seed in the PLANTING week; fertiliser and fuel every week in the</t>
        </is>
      </c>
    </row>
    <row r="204">
      <c r="A204" t="inlineStr">
        <is>
          <t xml:space="preserve">                         ground at that phase's rate; packaging per lb in the week of SALE.</t>
        </is>
      </c>
    </row>
    <row r="205">
      <c r="A205" t="inlineStr">
        <is>
          <t xml:space="preserve">                         Timing is the whole point — a cash floor cannot be honest if the</t>
        </is>
      </c>
    </row>
    <row r="206">
      <c r="A206" t="inlineStr">
        <is>
          <t xml:space="preserve">                         costs land in the wrong week.</t>
        </is>
      </c>
    </row>
    <row r="207">
      <c r="A207" t="inlineStr">
        <is>
          <t xml:space="preserve">  FIXED costs            cooler and barn depreciation, irrigation, machinery, equipment</t>
        </is>
      </c>
    </row>
    <row r="208">
      <c r="A208" t="inlineStr">
        <is>
          <t xml:space="preserve">                         store: $1,414 a week, owed whether or not you plant anything.</t>
        </is>
      </c>
    </row>
    <row r="209">
      <c r="A209" t="inlineStr">
        <is>
          <t xml:space="preserve">  OVERHEAD               a share of revenue, exactly as the app internalises it.</t>
        </is>
      </c>
    </row>
    <row r="210">
      <c r="A210" t="inlineStr">
        <is>
          <t xml:space="preserve">  CASH FLOOR             cumulative cash may go negative — that is the credit line being</t>
        </is>
      </c>
    </row>
    <row r="211">
      <c r="A211" t="inlineStr">
        <is>
          <t xml:space="preserve">                         drawn — but never below -(opening cash + credit line). The app's C13.</t>
        </is>
      </c>
    </row>
    <row r="212">
      <c r="A212" t="inlineStr"/>
    </row>
    <row r="213">
      <c r="A213" s="4" t="inlineStr">
        <is>
          <t>Profit falls $2,384,231 -&gt; $469,384 once those are charged.</t>
        </is>
      </c>
    </row>
    <row r="214">
      <c r="A214" t="inlineStr"/>
    </row>
    <row r="215">
      <c r="A215" s="3" t="inlineStr">
        <is>
          <t>!! AND IT IS STILL ABSURD: net margin 22.0%, against 5-15% for real diversified veg.</t>
        </is>
      </c>
    </row>
    <row r="216">
      <c r="A216" t="inlineStr">
        <is>
          <t>Because LABOUR IS NOT HERE. On the real farm wages are about 90% of fixed cost — the app's</t>
        </is>
      </c>
    </row>
    <row r="217">
      <c r="A217" t="inlineStr">
        <is>
          <t>own demo pays $855,150 a year against the $73,514 of fixed cost this sheet charges. So:</t>
        </is>
      </c>
    </row>
    <row r="218">
      <c r="A218" t="inlineStr"/>
    </row>
    <row r="219">
      <c r="A219" s="4" t="inlineStr">
        <is>
          <t xml:space="preserve">     THE CASH FLOOR BARELY BINDS, AND YOU SHOULD NOT TRUST THIS CURVE YET.</t>
        </is>
      </c>
    </row>
    <row r="220">
      <c r="A220" t="inlineStr"/>
    </row>
    <row r="221">
      <c r="A221" t="inlineStr">
        <is>
          <t>Measured: at 50,000 opening and a 250,000 credit line the floor never touches. It only bites</t>
        </is>
      </c>
    </row>
    <row r="222">
      <c r="A222" t="inlineStr">
        <is>
          <t>at about 10,000 + 10,000. The mechanism is real and checked; the farm it is checking is not</t>
        </is>
      </c>
    </row>
    <row r="223">
      <c r="A223" t="inlineStr">
        <is>
          <t>yet paying anybody. Labour is v7, and it is what makes cash mean something.</t>
        </is>
      </c>
    </row>
    <row r="224">
      <c r="A224" t="inlineStr"/>
    </row>
    <row r="225">
      <c r="A225" s="3" t="inlineStr">
        <is>
          <t>WHAT v5 ADDED — both of these you spotted missing from v4</t>
        </is>
      </c>
    </row>
    <row r="226">
      <c r="A226" t="inlineStr"/>
    </row>
    <row r="227">
      <c r="A227" s="4" t="inlineStr">
        <is>
          <t>1. IT CHOOSES WHEN TO PLANT.</t>
        </is>
      </c>
    </row>
    <row r="228">
      <c r="A228" t="inlineStr">
        <is>
          <t xml:space="preserve">   All 141 plantings the app's calendar generator offers are on the sheet, one row per legal</t>
        </is>
      </c>
    </row>
    <row r="229">
      <c r="A229" t="inlineStr">
        <is>
          <t xml:space="preserve">   start week. The solver puts acres on some and zero on others — and zero acres IS the</t>
        </is>
      </c>
    </row>
    <row r="230">
      <c r="A230" t="inlineStr">
        <is>
          <t xml:space="preserve">   decision not to plant that week. v4 offered five that I picked by hand.</t>
        </is>
      </c>
    </row>
    <row r="231">
      <c r="A231" t="inlineStr"/>
    </row>
    <row r="232">
      <c r="A232" s="4" t="inlineStr">
        <is>
          <t>2. IT CHOOSES WHETHER TO PLANT AT ALL.</t>
        </is>
      </c>
    </row>
    <row r="233">
      <c r="A233" t="inlineStr">
        <is>
          <t xml:space="preserve">   The BLUE column is a binary per planting, tied to the acres by two constraints that are</t>
        </is>
      </c>
    </row>
    <row r="234">
      <c r="A234" t="inlineStr">
        <is>
          <t xml:space="preserve">   the app's own C9 and C10:</t>
        </is>
      </c>
    </row>
    <row r="235">
      <c r="A235" t="inlineStr">
        <is>
          <t xml:space="preserve">        acres &lt;= 'max if planted'   you cannot plant acres without deciding to plant</t>
        </is>
      </c>
    </row>
    <row r="236">
      <c r="A236" t="inlineStr">
        <is>
          <t xml:space="preserve">        acres &gt;= 'min if planted'   if you plant at all, you plant a real block</t>
        </is>
      </c>
    </row>
    <row r="237">
      <c r="A237" t="inlineStr">
        <is>
          <t xml:space="preserve">   That is what stops it planting a third of an acre, and it makes this a MILP — which is</t>
        </is>
      </c>
    </row>
    <row r="238">
      <c r="A238" t="inlineStr">
        <is>
          <t xml:space="preserve">   what farm_v2/solver.py is. Its `integrality` array marks the very same y block.</t>
        </is>
      </c>
    </row>
    <row r="239">
      <c r="A239" t="inlineStr"/>
    </row>
    <row r="240">
      <c r="A240" s="3" t="inlineStr">
        <is>
          <t>WHAT THE TWO CHANGES ARE WORTH — measured, and they pull OPPOSITE ways</t>
        </is>
      </c>
    </row>
    <row r="241">
      <c r="A241" t="inlineStr">
        <is>
          <t xml:space="preserve">     v4, five hand-picked plantings          $1,094,831</t>
        </is>
      </c>
    </row>
    <row r="242">
      <c r="A242" t="inlineStr">
        <is>
          <t xml:space="preserve">     v5 without the minimum-acreage rule     $473,062   (47 plantings)</t>
        </is>
      </c>
    </row>
    <row r="243">
      <c r="A243" s="4" t="inlineStr">
        <is>
          <t xml:space="preserve">     v5 as it ships                          $469,384   (39 plantings)</t>
        </is>
      </c>
    </row>
    <row r="244">
      <c r="A244" t="inlineStr"/>
    </row>
    <row r="245">
      <c r="A245" t="inlineStr">
        <is>
          <t>Letting it choose the weeks more than doubles profit. Then the minimum-acreage rule takes</t>
        </is>
      </c>
    </row>
    <row r="246">
      <c r="A246" t="inlineStr">
        <is>
          <t>$3,678 back and drops the plan from 47 plantings to 39, because the</t>
        </is>
      </c>
    </row>
    <row r="247">
      <c r="A247" t="inlineStr">
        <is>
          <t>slivers are gone.</t>
        </is>
      </c>
    </row>
    <row r="248">
      <c r="A248" t="inlineStr"/>
    </row>
    <row r="249">
      <c r="A249" t="inlineStr">
        <is>
          <t>Neither number means anything alone. A fixed calendar UNDERSTATES; a missing minimum</t>
        </is>
      </c>
    </row>
    <row r="250">
      <c r="A250" t="inlineStr">
        <is>
          <t>acreage OVERSTATES. That is why the real model has both, and it is the reason it is a MILP</t>
        </is>
      </c>
    </row>
    <row r="251">
      <c r="A251" t="inlineStr">
        <is>
          <t>rather than a plain LP.</t>
        </is>
      </c>
    </row>
    <row r="252">
      <c r="A252" t="inlineStr"/>
    </row>
    <row r="253">
      <c r="A253" s="3" t="inlineStr">
        <is>
          <t>WHY IT PLANTS SO MANY — this is the finding worth keeping</t>
        </is>
      </c>
    </row>
    <row r="254">
      <c r="A254" t="inlineStr">
        <is>
          <t>39 plantings out of 139, staggered across the season rather than a few big</t>
        </is>
      </c>
    </row>
    <row r="255">
      <c r="A255" t="inlineStr">
        <is>
          <t>blocks. That is SUCCESSION PLANTING, and now you can see why it pays: spreading the harvest</t>
        </is>
      </c>
    </row>
    <row r="256">
      <c r="A256" t="inlineStr">
        <is>
          <t>is what lets you serve a WEEKLY demand cap continuously. Plant it all at once and one huge</t>
        </is>
      </c>
    </row>
    <row r="257">
      <c r="A257" t="inlineStr">
        <is>
          <t>harvest slams into the ceiling, the cooler fills, and the surplus is wasted or dumped cheap.</t>
        </is>
      </c>
    </row>
    <row r="258">
      <c r="A258" t="inlineStr"/>
    </row>
    <row r="259">
      <c r="A259" t="inlineStr">
        <is>
          <t>A model with a fixed planting calendar cannot express the thing the practice exists for.</t>
        </is>
      </c>
    </row>
    <row r="260">
      <c r="A260" t="inlineStr"/>
    </row>
    <row r="261">
      <c r="A261" s="3" t="inlineStr">
        <is>
          <t>!! IT NEEDS LIBREOFFICE, AND THIS ONE IS A REAL MILP</t>
        </is>
      </c>
    </row>
    <row r="262">
      <c r="A262" t="inlineStr">
        <is>
          <t>1,271 decision cells: 139 acres + 139 binaries + 520 offered + 156 overtime (3 roles x 52) + 4 extra heads + 157 piece-rate + 156 contract shortfall. The engine MUST be</t>
        </is>
      </c>
    </row>
    <row r="263">
      <c r="A263" t="inlineStr">
        <is>
          <t>CoinMP — it does branch and bound over the integers. Expect it to take appreciably longer</t>
        </is>
      </c>
    </row>
    <row r="264">
      <c r="A264" t="inlineStr">
        <is>
          <t>than v4; integers are what make an optimizer work for its living.</t>
        </is>
      </c>
    </row>
    <row r="265">
      <c r="A265" t="inlineStr"/>
    </row>
    <row r="266">
      <c r="A266" s="3" t="inlineStr">
        <is>
          <t>WHERE THINGS ARE</t>
        </is>
      </c>
    </row>
    <row r="267">
      <c r="A267" t="inlineStr">
        <is>
          <t xml:space="preserve">  YELLOW   you type: the farm, the crop table, the crop x channel table.</t>
        </is>
      </c>
    </row>
    <row r="268">
      <c r="A268" t="inlineStr">
        <is>
          <t xml:space="preserve">  GREEN    the solver writes: the ACRES column (C92:C230), every OFFERED row, the contract SHORTFALL rows, and</t>
        </is>
      </c>
    </row>
    <row r="269">
      <c r="A269" t="inlineStr">
        <is>
          <t xml:space="preserve">           the PROFIT cell (B565).</t>
        </is>
      </c>
    </row>
    <row r="270">
      <c r="A270" t="inlineStr">
        <is>
          <t xml:space="preserve">  BLUE     the solver writes: the PLANT? binaries (D92:D230).</t>
        </is>
      </c>
    </row>
    <row r="271">
      <c r="A271" t="inlineStr">
        <is>
          <t xml:space="preserve">  Everything else is a formula. Columns A-D stay put when you scroll right.</t>
        </is>
      </c>
    </row>
    <row r="272">
      <c r="A272" t="inlineStr"/>
    </row>
    <row r="273">
      <c r="A273" s="3" t="inlineStr">
        <is>
          <t>HOW TO RUN IT</t>
        </is>
      </c>
    </row>
    <row r="274">
      <c r="A274" t="inlineStr">
        <is>
          <t>SOLVER SETUP, at the foot of the Model sheet, lists every entry with exact ranges. In short:</t>
        </is>
      </c>
    </row>
    <row r="275">
      <c r="A275" t="inlineStr">
        <is>
          <t xml:space="preserve">   Tools &gt; Solver, target the PROFIT cell, set to MAXIMUM</t>
        </is>
      </c>
    </row>
    <row r="276">
      <c r="A276" t="inlineStr">
        <is>
          <t xml:space="preserve">   Changing cells: C92:C230 and D92:D230 together, plus EVERY OFFERED row, the labour</t>
        </is>
      </c>
    </row>
    <row r="277">
      <c r="A277" t="inlineStr">
        <is>
          <t xml:space="preserve">   rows and the contract SHORTFALL rows — leave the shortfalls out and an unmeetable contract</t>
        </is>
      </c>
    </row>
    <row r="278">
      <c r="A278" t="inlineStr">
        <is>
          <t xml:space="preserve">   becomes a hard floor, so the solver reports NO solution</t>
        </is>
      </c>
    </row>
    <row r="279">
      <c r="A279" t="inlineStr">
        <is>
          <t xml:space="preserve">   Add the constraint  D92:D230 = Binary   — without it the binaries are just numbers</t>
        </is>
      </c>
    </row>
    <row r="280">
      <c r="A280" t="inlineStr">
        <is>
          <t xml:space="preserve">   and the minimum-acreage rule silently stops working</t>
        </is>
      </c>
    </row>
    <row r="281">
      <c r="A281" t="inlineStr">
        <is>
          <t xml:space="preserve">   Options: engine = LibreOffice CoinMP Linear Solver; tick non-negative</t>
        </is>
      </c>
    </row>
    <row r="282">
      <c r="A282" t="inlineStr"/>
    </row>
    <row r="283">
      <c r="A283" s="3" t="inlineStr">
        <is>
          <t>WHAT IT SHOULD FIND</t>
        </is>
      </c>
    </row>
    <row r="284">
      <c r="A284" s="4" t="inlineStr">
        <is>
          <t xml:space="preserve">     PROFIT   $469,384       net margin 22.0%</t>
        </is>
      </c>
    </row>
    <row r="285">
      <c r="A285" t="inlineStr">
        <is>
          <t xml:space="preserve">       revenue      $2,137,849</t>
        </is>
      </c>
    </row>
    <row r="286">
      <c r="A286" t="inlineStr">
        <is>
          <t xml:space="preserve">       growing      $170,854      seed at planting + fertiliser and fuel in the ground</t>
        </is>
      </c>
    </row>
    <row r="287">
      <c r="A287" t="inlineStr">
        <is>
          <t xml:space="preserve">       packaging    $164,787      per lb sold, in the week of sale</t>
        </is>
      </c>
    </row>
    <row r="288">
      <c r="A288" t="inlineStr">
        <is>
          <t xml:space="preserve">       fixed        $73,514      $1,414 a week, owed whether or not you plant</t>
        </is>
      </c>
    </row>
    <row r="289">
      <c r="A289" t="inlineStr">
        <is>
          <t xml:space="preserve">       overhead     $342,056      a share of revenue</t>
        </is>
      </c>
    </row>
    <row r="290">
      <c r="A290" t="inlineStr">
        <is>
          <t xml:space="preserve">       wages        $855,150      committed — owed whether the crops need the hours or not</t>
        </is>
      </c>
    </row>
    <row r="291">
      <c r="A291" t="inlineStr">
        <is>
          <t xml:space="preserve">       interest     $422          APR on what the credit line actually carries</t>
        </is>
      </c>
    </row>
    <row r="292">
      <c r="A292" t="inlineStr">
        <is>
          <t xml:space="preserve">       overtime     $6,650       156 hours, capped by row 8 week by week</t>
        </is>
      </c>
    </row>
    <row r="293">
      <c r="A293" t="inlineStr">
        <is>
          <t xml:space="preserve">       extra heads  $0      none</t>
        </is>
      </c>
    </row>
    <row r="294">
      <c r="A294" t="inlineStr">
        <is>
          <t xml:space="preserve">       piece rate   $43,643</t>
        </is>
      </c>
    </row>
    <row r="295">
      <c r="A295" t="inlineStr">
        <is>
          <t xml:space="preserve">       perennial    $5,888      this year's cost of the blocks</t>
        </is>
      </c>
    </row>
    <row r="296">
      <c r="A296" t="inlineStr">
        <is>
          <t xml:space="preserve">       shortfall    $5,500      the contract penalty</t>
        </is>
      </c>
    </row>
    <row r="297">
      <c r="A297" t="inlineStr">
        <is>
          <t xml:space="preserve">     peak borrowing $45,513 — the deepest the line is ever drawn</t>
        </is>
      </c>
    </row>
    <row r="298">
      <c r="A298" t="inlineStr">
        <is>
          <t xml:space="preserve">       interest     $422          on $45,513 of peak borrowing — reported, not optimised over</t>
        </is>
      </c>
    </row>
    <row r="299">
      <c r="A299" s="4" t="inlineStr">
        <is>
          <t xml:space="preserve">     39 of 139 plantings used</t>
        </is>
      </c>
    </row>
    <row r="300">
      <c r="A300" t="inlineStr"/>
    </row>
    <row r="301">
      <c r="A301" t="inlineStr">
        <is>
          <t>Computed by solving the same MILP with scipy.milp — the same HiGHS solver your app runs. A</t>
        </is>
      </c>
    </row>
    <row r="302">
      <c r="A302" t="inlineStr">
        <is>
          <t>few dollars apart is tolerances. Materially different means one of the two models is not the</t>
        </is>
      </c>
    </row>
    <row r="303">
      <c r="A303" t="inlineStr">
        <is>
          <t>model we think it is.</t>
        </is>
      </c>
    </row>
    <row r="304">
      <c r="A304" t="inlineStr"/>
    </row>
    <row r="305">
      <c r="A305" s="3" t="inlineStr">
        <is>
          <t>WHAT SELL-THROUGH IS, AND WHY IT SHIPS AT 1.00</t>
        </is>
      </c>
    </row>
    <row r="306">
      <c r="A306" t="inlineStr">
        <is>
          <t>Every 'Sell-through' in section 3 is 1.00, matching the app since 30 Aug. The 85% it used to</t>
        </is>
      </c>
    </row>
    <row r="307">
      <c r="A307" t="inlineStr">
        <is>
          <t>carry had no source, and it was being charged on channels where a purchase order exists and</t>
        </is>
      </c>
    </row>
    <row r="308">
      <c r="A308" t="inlineStr">
        <is>
          <t>nothing goes unsold. So the market-loss and returned-to-store rows all read ZERO right now.</t>
        </is>
      </c>
    </row>
    <row r="309">
      <c r="A309" t="inlineStr">
        <is>
          <t>That is correct, not broken.</t>
        </is>
      </c>
    </row>
    <row r="310">
      <c r="A310" t="inlineStr"/>
    </row>
    <row r="311">
      <c r="A311" t="inlineStr">
        <is>
          <t>The narrow definition it now carries:</t>
        </is>
      </c>
    </row>
    <row r="312">
      <c r="A312" t="inlineStr"/>
    </row>
    <row r="313">
      <c r="A313" s="4" t="inlineStr">
        <is>
          <t xml:space="preserve">     Of what you TAKE TO MARKET, the share that converts to cash — display attrition at a</t>
        </is>
      </c>
    </row>
    <row r="314">
      <c r="A314" s="4" t="inlineStr">
        <is>
          <t xml:space="preserve">     stall, samples, transit damage, a rejected load.</t>
        </is>
      </c>
    </row>
    <row r="315">
      <c r="A315" t="inlineStr"/>
    </row>
    <row r="316">
      <c r="A316" t="inlineStr">
        <is>
          <t>NOT grade-out at harvest (that is pack-out, above the store). NOT spoilage in the store (that</t>
        </is>
      </c>
    </row>
    <row r="317">
      <c r="A317" t="inlineStr">
        <is>
          <t>is shrink). And NOT demand uncertainty — which is the one worth understanding, because it is</t>
        </is>
      </c>
    </row>
    <row r="318">
      <c r="A318" t="inlineStr">
        <is>
          <t>why the old wording could not be right:</t>
        </is>
      </c>
    </row>
    <row r="319">
      <c r="A319" t="inlineStr"/>
    </row>
    <row r="320">
      <c r="A320" t="inlineStr">
        <is>
          <t xml:space="preserve">     The demand ceiling is HARD. At a 6,000 lb cap and 0.85, selling 6,000 means bringing</t>
        </is>
      </c>
    </row>
    <row r="321">
      <c r="A321" t="inlineStr">
        <is>
          <t xml:space="preserve">     7,059 and losing 1,059 — every week, including the best Saturday of the year, because</t>
        </is>
      </c>
    </row>
    <row r="322">
      <c r="A322" t="inlineStr">
        <is>
          <t xml:space="preserve">     the model will never let you sell 6,001. That is the whole downside of bringing extra</t>
        </is>
      </c>
    </row>
    <row r="323">
      <c r="A323" t="inlineStr">
        <is>
          <t xml:space="preserve">     with none of the upside. It is not a model of uncertainty; it is a one-sided penalty.</t>
        </is>
      </c>
    </row>
    <row r="324">
      <c r="A324" t="inlineStr"/>
    </row>
    <row r="325">
      <c r="A325" t="inlineStr">
        <is>
          <t>So what it CAN mean is a display requirement: a picked-over stall sells less than a full one,</t>
        </is>
      </c>
    </row>
    <row r="326">
      <c r="A326" t="inlineStr">
        <is>
          <t>so moving 6,000 lb needs more than 6,000 lb on the table. Deterministic, and an input</t>
        </is>
      </c>
    </row>
    <row r="327">
      <c r="A327" t="inlineStr">
        <is>
          <t>requirement like seed. Real demand variance is a different problem (newsvendor) needing</t>
        </is>
      </c>
    </row>
    <row r="328">
      <c r="A328" t="inlineStr">
        <is>
          <t>machinery neither this sheet nor the app has yet.</t>
        </is>
      </c>
    </row>
    <row r="329">
      <c r="A329" t="inlineStr"/>
    </row>
    <row r="330">
      <c r="A330" s="3" t="inlineStr">
        <is>
          <t>THREE THINGS TO TRY</t>
        </is>
      </c>
    </row>
    <row r="331">
      <c r="A331" t="inlineStr"/>
    </row>
    <row r="332">
      <c r="A332" s="4" t="inlineStr">
        <is>
          <t>EXPERIMENT 1 — switch sell-through on, and watch the crop decide what happens.</t>
        </is>
      </c>
    </row>
    <row r="333">
      <c r="A333" s="4" t="inlineStr">
        <is>
          <t xml:space="preserve">   In section 3 set Spinach / Farmers Market sell-through to 0.85, and Garlic / Farmers Market to 0.85 too.</t>
        </is>
      </c>
    </row>
    <row r="334">
      <c r="A334" s="4" t="inlineStr">
        <is>
          <t xml:space="preserve">   Re-solve.</t>
        </is>
      </c>
    </row>
    <row r="335">
      <c r="A335" t="inlineStr">
        <is>
          <t xml:space="preserve">   Both now offer more than they sell. But look at the two 'market loss' rows: Spinach's is</t>
        </is>
      </c>
    </row>
    <row r="336">
      <c r="A336" t="inlineStr">
        <is>
          <t xml:space="preserve">   positive and Garlic's is ZERO, because garlic's 'Returns to store' is 1.00 — unsold garlic</t>
        </is>
      </c>
    </row>
    <row r="337">
      <c r="A337" t="inlineStr">
        <is>
          <t xml:space="preserve">   comes home and sells later, so the loss is a DELAY, not a loss.</t>
        </is>
      </c>
    </row>
    <row r="338">
      <c r="A338" t="inlineStr">
        <is>
          <t xml:space="preserve">   That is the grower's ruling in two cells: the same sell-through means different things on</t>
        </is>
      </c>
    </row>
    <row r="339">
      <c r="A339" t="inlineStr">
        <is>
          <t xml:space="preserve">   different crops, which is why it belongs on the crop x channel row and not on either one</t>
        </is>
      </c>
    </row>
    <row r="340">
      <c r="A340" t="inlineStr">
        <is>
          <t xml:space="preserve">   alone. Now set Garlic's 'Returns to store' to 0.00 and re-solve: the delay becomes a loss</t>
        </is>
      </c>
    </row>
    <row r="341">
      <c r="A341" t="inlineStr">
        <is>
          <t xml:space="preserve">   and the plan changes.</t>
        </is>
      </c>
    </row>
    <row r="342">
      <c r="A342" t="inlineStr"/>
    </row>
    <row r="343">
      <c r="A343" s="4" t="inlineStr">
        <is>
          <t>EXPERIMENT 2 — raise the contract penalties.  In 5d set both to $5.00, re-solve.</t>
        </is>
      </c>
    </row>
    <row r="344">
      <c r="A344" t="inlineStr">
        <is>
          <t xml:space="preserve">     Kale     3,000 lb short -&gt; 3,000 lb   a FACT — no price delivers weeks 36-37</t>
        </is>
      </c>
    </row>
    <row r="345">
      <c r="A345" t="inlineStr">
        <is>
          <t xml:space="preserve">     Spinach  8,000 lb short -&gt; 4,000 lb   a CHOICE — at $5 the plan grows for weeks 33, 34</t>
        </is>
      </c>
    </row>
    <row r="346">
      <c r="A346" t="inlineStr">
        <is>
          <t xml:space="preserve">   One shortfall that moves is a choice; one that does not is a fact — only the penalty tells them apart.</t>
        </is>
      </c>
    </row>
    <row r="347">
      <c r="A347" t="inlineStr"/>
    </row>
    <row r="348">
      <c r="A348" s="4" t="inlineStr">
        <is>
          <t>EXPERIMENT 2b — tighten the overtime allowance.  Set it to 1.00 and re-solve.</t>
        </is>
      </c>
    </row>
    <row r="349">
      <c r="A349" t="inlineStr">
        <is>
          <t xml:space="preserve">   Row 8 goes to zero everywhere and overtime disappears — 1.00 means 'no hours beyond</t>
        </is>
      </c>
    </row>
    <row r="350">
      <c r="A350" t="inlineStr">
        <is>
          <t xml:space="preserve">   normal'. Then try 2.00: the cap doubles in every week, but it doubles PROPORTIONALLY, so</t>
        </is>
      </c>
    </row>
    <row r="351">
      <c r="A351" t="inlineStr">
        <is>
          <t xml:space="preserve">   winter still gets almost none. That is what a typed hours cap could never do.</t>
        </is>
      </c>
    </row>
    <row r="352">
      <c r="A352" t="inlineStr"/>
    </row>
    <row r="353">
      <c r="A353" s="4" t="inlineStr">
        <is>
          <t>EXPERIMENT 3 — sack the harvest crew.  Set the Harvest Crew count to 0 and re-solve.</t>
        </is>
      </c>
    </row>
    <row r="354">
      <c r="A354" t="inlineStr">
        <is>
          <t xml:space="preserve">   You save their whole wage bill. Watch what happens to profit anyway: with fewer hours in</t>
        </is>
      </c>
    </row>
    <row r="355">
      <c r="A355" t="inlineStr">
        <is>
          <t xml:space="preserve">   weeks 14-40 the crops that need picking most cannot be picked, and revenue falls further</t>
        </is>
      </c>
    </row>
    <row r="356">
      <c r="A356" t="inlineStr">
        <is>
          <t xml:space="preserve">   than the wages saved. Then try the opposite — double their count — and watch profit rise</t>
        </is>
      </c>
    </row>
    <row r="357">
      <c r="A357" t="inlineStr">
        <is>
          <t xml:space="preserve">   even though payroll rose too. That is the trade a per-acre labour charge cannot express,</t>
        </is>
      </c>
    </row>
    <row r="358">
      <c r="A358" t="inlineStr">
        <is>
          <t xml:space="preserve">   and it is why the app rations hours with a constraint rather than pricing them.</t>
        </is>
      </c>
    </row>
    <row r="359">
      <c r="A359" t="inlineStr"/>
    </row>
    <row r="360">
      <c r="A360" s="4" t="inlineStr">
        <is>
          <t>EXPERIMENT 4 — squeeze the cash.  Set the credit line to 10,000 and opening cash to 10,000,</t>
        </is>
      </c>
    </row>
    <row r="361">
      <c r="A361" s="4" t="inlineStr">
        <is>
          <t xml:space="preserve">   then re-solve.</t>
        </is>
      </c>
    </row>
    <row r="362">
      <c r="A362" t="inlineStr">
        <is>
          <t xml:space="preserve">   Below about $100,000 combined there is no feasible plan at all — see above. Just above</t>
        </is>
      </c>
    </row>
    <row r="363">
      <c r="A363" t="inlineStr">
        <is>
          <t xml:space="preserve">   it, watch WHICH plantings the floor drops: not the least profitable ones, but</t>
        </is>
      </c>
    </row>
    <row r="364">
      <c r="A364" t="inlineStr">
        <is>
          <t xml:space="preserve">   the ones whose costs land earliest relative to their revenue. Garlic goes in around week</t>
        </is>
      </c>
    </row>
    <row r="365">
      <c r="A365" t="inlineStr">
        <is>
          <t xml:space="preserve">   47 and is not sold until week 30 of the following year — nine months of money out before</t>
        </is>
      </c>
    </row>
    <row r="366">
      <c r="A366" t="inlineStr">
        <is>
          <t xml:space="preserve">   a dollar comes back. Cash does not rank crops by margin; it ranks them by TIMING, which no</t>
        </is>
      </c>
    </row>
    <row r="367">
      <c r="A367" t="inlineStr">
        <is>
          <t xml:space="preserve">   column on this sheet shows you.</t>
        </is>
      </c>
    </row>
    <row r="368">
      <c r="A368" t="inlineStr"/>
    </row>
    <row r="369">
      <c r="A369" s="4" t="inlineStr">
        <is>
          <t>EXPERIMENT 5 — drop the minimum acreage.  Set every 'Min acres if planted' in the crop</t>
        </is>
      </c>
    </row>
    <row r="370">
      <c r="A370" s="4" t="inlineStr">
        <is>
          <t xml:space="preserve">   table to 0 and re-solve.</t>
        </is>
      </c>
    </row>
    <row r="371">
      <c r="A371" t="inlineStr">
        <is>
          <t xml:space="preserve">   Expect $473,062 and 47 plantings. The extra profit is real but the plan is</t>
        </is>
      </c>
    </row>
    <row r="372">
      <c r="A372" t="inlineStr">
        <is>
          <t xml:space="preserve">   not: it plants fractions of an acre no one would drive a tractor out for. This is what</t>
        </is>
      </c>
    </row>
    <row r="373">
      <c r="A373" t="inlineStr">
        <is>
          <t xml:space="preserve">   the binaries are FOR, and it is why the app carries them.</t>
        </is>
      </c>
    </row>
    <row r="374">
      <c r="A374" t="inlineStr"/>
    </row>
    <row r="375">
      <c r="A375" s="4" t="inlineStr">
        <is>
          <t>EXPERIMENT 6 — take away the cooler.  Set the cold store to 40 m3 and re-solve.</t>
        </is>
      </c>
    </row>
    <row r="376">
      <c r="A376" t="inlineStr">
        <is>
          <t xml:space="preserve">   Watch WHICH WEEKS it abandons, not just which crop. With a full calendar it can retreat</t>
        </is>
      </c>
    </row>
    <row r="377">
      <c r="A377" t="inlineStr">
        <is>
          <t xml:space="preserve">   to a planting pattern that keeps the cooler under its ceiling — an answer v4 could not</t>
        </is>
      </c>
    </row>
    <row r="378">
      <c r="A378" t="inlineStr">
        <is>
          <t xml:space="preserve">   even represent.</t>
        </is>
      </c>
    </row>
    <row r="379">
      <c r="A379" t="inlineStr"/>
    </row>
    <row r="380">
      <c r="A380" s="3" t="inlineStr">
        <is>
          <t>WHAT v5 STILL DOES NOT CARRY</t>
        </is>
      </c>
    </row>
    <row r="381">
      <c r="A381" t="inlineStr">
        <is>
          <t xml:space="preserve">  - Costs are seed/transplant per acre ONLY: no labour, water, packaging, storage, overhead.</t>
        </is>
      </c>
    </row>
    <row r="382">
      <c r="A382" t="inlineStr">
        <is>
          <t xml:space="preserve">    Profit is therefore far too high. The cash layer is next.</t>
        </is>
      </c>
    </row>
    <row r="383">
      <c r="A383" t="inlineStr">
        <is>
          <t xml:space="preserve">  - No cash-flow constraint, so it can spend money it does not have.</t>
        </is>
      </c>
    </row>
    <row r="384">
      <c r="A384" t="inlineStr">
        <is>
          <t xml:space="preserve">  - Shelf life IS enforced now (a real constraint since you found it dead). Shrink is wired</t>
        </is>
      </c>
    </row>
    <row r="385">
      <c r="A385" t="inlineStr">
        <is>
          <t xml:space="preserve">    too, but defaults to 0%, so it stays invisible until you set it.</t>
        </is>
      </c>
    </row>
    <row r="386">
      <c r="A386" t="inlineStr">
        <is>
          <t xml:space="preserve">  - No water, labour, diversity or throughput limits.</t>
        </is>
      </c>
    </row>
    <row r="387">
      <c r="A387" t="inlineStr">
        <is>
          <t xml:space="preserve">  - Three crops, not seven.</t>
        </is>
      </c>
    </row>
    <row r="388">
      <c r="A388" t="inlineStr"/>
    </row>
    <row r="389">
      <c r="A389" s="3" t="inlineStr">
        <is>
          <t>!! THE SCALE WARNING</t>
        </is>
      </c>
    </row>
    <row r="390">
      <c r="A390" t="inlineStr">
        <is>
          <t>An optimizer's answer is far more scale-sensitive than a calculator's: which constraint binds,</t>
        </is>
      </c>
    </row>
    <row r="391">
      <c r="A391" t="inlineStr">
        <is>
          <t>and therefore which crop and which WEEK wins, can invert between 3 crops and 7. This teaches</t>
        </is>
      </c>
    </row>
    <row r="392">
      <c r="A392" t="inlineStr">
        <is>
          <t>the machinery. It is not advice about your farm.</t>
        </is>
      </c>
    </row>
    <row r="393">
      <c r="A393" t="inlineStr"/>
    </row>
    <row r="394">
      <c r="A394" s="3" t="inlineStr">
        <is>
          <t>HAS THIS SHEET BEEN CHECKED?</t>
        </is>
      </c>
    </row>
    <row r="395">
      <c r="A395" t="inlineStr">
        <is>
          <t>Yes. Crop data, the calendar and the demand caps are read from the app. The formulas are</t>
        </is>
      </c>
    </row>
    <row r="396">
      <c r="A396" t="inlineStr">
        <is>
          <t>calculated by an engine and compared cell by cell against an independent model under three</t>
        </is>
      </c>
    </row>
    <row r="397">
      <c r="A397" t="inlineStr">
        <is>
          <t>configurations. Every input is perturbed to prove it propagates. No number is frozen. And the</t>
        </is>
      </c>
    </row>
    <row r="398">
      <c r="A398" t="inlineStr">
        <is>
          <t>same MILP is solved with scipy.milp, its answer written into the decision cells, and the</t>
        </is>
      </c>
    </row>
    <row r="399">
      <c r="A399" t="inlineStr">
        <is>
          <t>sheet's own PROFIT cell must reproduce the optimum exactly.</t>
        </is>
      </c>
    </row>
    <row r="400">
      <c r="A400" t="inlineStr">
        <is>
          <t xml:space="preserve">     Run it yourself:   .venv/bin/python toy_models/verify_toy_v12.py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I622"/>
  <sheetViews>
    <sheetView workbookViewId="0">
      <pane xSplit="4" topLeftCell="E1" activePane="topRight" state="frozen"/>
      <selection pane="topRight" activeCell="A1" sqref="A1"/>
    </sheetView>
  </sheetViews>
  <sheetFormatPr baseColWidth="8" defaultRowHeight="15"/>
  <cols>
    <col width="30" customWidth="1" min="1" max="1"/>
    <col width="14" customWidth="1" min="2" max="2"/>
    <col width="8" customWidth="1" min="3" max="3"/>
    <col width="6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7.5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  <col width="7.5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7.5" customWidth="1" min="52" max="52"/>
    <col width="7.5" customWidth="1" min="53" max="53"/>
    <col width="7.5" customWidth="1" min="54" max="54"/>
    <col width="7.5" customWidth="1" min="55" max="55"/>
    <col width="7.5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</cols>
  <sheetData>
    <row r="1">
      <c r="A1" s="1" t="inlineStr">
        <is>
          <t>FARM TOY MODEL — v12: the fixed layer (zones, variants, perennial, floors, contracts)</t>
        </is>
      </c>
      <c r="D1" s="2" t="inlineStr">
        <is>
          <t>BUILT 2026-10-25 11:46   (from source at e1998f6)</t>
        </is>
      </c>
    </row>
    <row r="2">
      <c r="A2" s="4" t="inlineStr">
        <is>
          <t>KEY:</t>
        </is>
      </c>
      <c r="B2" s="5" t="inlineStr">
        <is>
          <t>INPUT — you type here</t>
        </is>
      </c>
      <c r="F2" s="6" t="inlineStr">
        <is>
          <t>DECISION — the solver writes here</t>
        </is>
      </c>
      <c r="J2" s="7" t="inlineStr">
        <is>
          <t>CONSTRAINT — a limit and its room left</t>
        </is>
      </c>
      <c r="N2" s="8" t="inlineStr">
        <is>
          <t>OBJECTIVE — the cell being maximised</t>
        </is>
      </c>
    </row>
    <row r="3">
      <c r="A3" s="2" t="inlineStr">
        <is>
          <t>Everything else is grey. Read the 'READ ME' sheet first.</t>
        </is>
      </c>
    </row>
    <row r="5">
      <c r="A5" s="3" t="inlineStr">
        <is>
          <t>1 — THE FARM</t>
        </is>
      </c>
    </row>
    <row r="6">
      <c r="A6" s="4" t="inlineStr">
        <is>
          <t>Land you have</t>
        </is>
      </c>
      <c r="B6" s="9" t="n">
        <v>80</v>
      </c>
      <c r="C6" s="2" t="inlineStr">
        <is>
          <t>acres</t>
        </is>
      </c>
    </row>
    <row r="7">
      <c r="A7" s="4" t="inlineStr">
        <is>
          <t>Cold store (cooler)</t>
        </is>
      </c>
      <c r="B7" s="10" t="n">
        <v>275</v>
      </c>
      <c r="C7" s="2" t="inlineStr">
        <is>
          <t>m3 — Spinach, Kale</t>
        </is>
      </c>
    </row>
    <row r="8">
      <c r="A8" s="4" t="inlineStr">
        <is>
          <t>Ambient store (barn)</t>
        </is>
      </c>
      <c r="B8" s="10" t="n">
        <v>150</v>
      </c>
      <c r="C8" s="2" t="inlineStr">
        <is>
          <t>m3 — Garlic</t>
        </is>
      </c>
    </row>
    <row r="10">
      <c r="A10" s="3" t="inlineStr">
        <is>
          <t>1b — ZONES  (named land pools — no map)</t>
        </is>
      </c>
    </row>
    <row r="11">
      <c r="A11" s="4" t="inlineStr">
        <is>
          <t>Open field</t>
        </is>
      </c>
      <c r="B11" s="11">
        <f>$B$6-$B$12</f>
        <v/>
      </c>
      <c r="C11" s="2" t="inlineStr">
        <is>
          <t>acres — what the other zones leave of 'Land you have'</t>
        </is>
      </c>
    </row>
    <row r="12">
      <c r="A12" s="4" t="inlineStr">
        <is>
          <t>High tunnel</t>
        </is>
      </c>
      <c r="B12" s="9" t="n">
        <v>2</v>
      </c>
      <c r="C12" s="2" t="inlineStr">
        <is>
          <t>acres</t>
        </is>
      </c>
    </row>
    <row r="13">
      <c r="A13" s="2" t="inlineStr">
        <is>
          <t xml:space="preserve">   Which crops may stand in which zone is the 'Open field?' / 'High tunnel?' columns of section 2. A yellow Y can be set to N (its plantings get max acres 0); a grey N has no plantings to switch on — allowing it means new calendar rows.</t>
        </is>
      </c>
    </row>
    <row r="15">
      <c r="A15" s="3" t="inlineStr">
        <is>
          <t>2 — HOW EACH CROP BEHAVES</t>
        </is>
      </c>
    </row>
    <row r="16">
      <c r="A16" s="12" t="inlineStr">
        <is>
          <t>Crop</t>
        </is>
      </c>
      <c r="B16" s="12" t="inlineStr">
        <is>
          <t>Yield lb/acre</t>
        </is>
      </c>
      <c r="C16" s="12" t="inlineStr">
        <is>
          <t>Pack-out</t>
        </is>
      </c>
      <c r="D16" s="12" t="inlineStr">
        <is>
          <t>m3 per lb</t>
        </is>
      </c>
      <c r="E16" s="12" t="inlineStr">
        <is>
          <t>Store</t>
        </is>
      </c>
      <c r="F16" s="12" t="inlineStr">
        <is>
          <t>Shelf life wk</t>
        </is>
      </c>
      <c r="G16" s="12" t="inlineStr">
        <is>
          <t>Shrink %/wk</t>
        </is>
      </c>
      <c r="H16" s="12" t="inlineStr">
        <is>
          <t>Seed $/acre</t>
        </is>
      </c>
      <c r="I16" s="12" t="inlineStr">
        <is>
          <t>Min acres if planted</t>
        </is>
      </c>
      <c r="J16" s="12" t="inlineStr">
        <is>
          <t>Harvest weeks</t>
        </is>
      </c>
      <c r="K16" s="12" t="inlineStr">
        <is>
          <t>$/ac plant wk</t>
        </is>
      </c>
      <c r="L16" s="12" t="inlineStr">
        <is>
          <t>$/ac grow wk</t>
        </is>
      </c>
      <c r="M16" s="12" t="inlineStr">
        <is>
          <t>$/ac harvest wk</t>
        </is>
      </c>
      <c r="N16" s="12" t="inlineStr">
        <is>
          <t>hrs/ac plant</t>
        </is>
      </c>
      <c r="O16" s="12" t="inlineStr">
        <is>
          <t>hrs/ac grow</t>
        </is>
      </c>
      <c r="P16" s="12" t="inlineStr">
        <is>
          <t>hrs/ac harvest</t>
        </is>
      </c>
      <c r="Q16" s="12" t="inlineStr">
        <is>
          <t>Sells as</t>
        </is>
      </c>
      <c r="R16" s="12" t="inlineStr">
        <is>
          <t>Open field?</t>
        </is>
      </c>
      <c r="S16" s="12" t="inlineStr">
        <is>
          <t>High tunnel?</t>
        </is>
      </c>
    </row>
    <row r="17">
      <c r="A17" s="13" t="inlineStr">
        <is>
          <t>Spinach</t>
        </is>
      </c>
      <c r="B17" s="10" t="n">
        <v>5000</v>
      </c>
      <c r="C17" s="14" t="n">
        <v>1</v>
      </c>
      <c r="D17" s="15" t="n">
        <v>0.002197967741935484</v>
      </c>
      <c r="E17" s="16" t="inlineStr">
        <is>
          <t>Cold</t>
        </is>
      </c>
      <c r="F17" s="17" t="n">
        <v>2</v>
      </c>
      <c r="G17" s="18" t="n">
        <v>0</v>
      </c>
      <c r="H17" s="19" t="n">
        <v>280</v>
      </c>
      <c r="I17" s="9" t="n">
        <v>2</v>
      </c>
      <c r="J17" s="20">
        <f>COUNTIF($E$92:$BD$92,"H")</f>
        <v/>
      </c>
      <c r="K17" s="21" t="n">
        <v>33.895</v>
      </c>
      <c r="L17" s="21" t="n">
        <v>13.32</v>
      </c>
      <c r="M17" s="21" t="n">
        <v>11.285</v>
      </c>
      <c r="N17" s="9" t="n">
        <v>2</v>
      </c>
      <c r="O17" s="9" t="n">
        <v>4</v>
      </c>
      <c r="P17" s="9" t="n">
        <v>50</v>
      </c>
      <c r="Q17" s="13" t="inlineStr">
        <is>
          <t>Spinach</t>
        </is>
      </c>
      <c r="R17" s="22" t="inlineStr">
        <is>
          <t>Y</t>
        </is>
      </c>
      <c r="S17" s="23" t="inlineStr">
        <is>
          <t>N</t>
        </is>
      </c>
    </row>
    <row r="18">
      <c r="A18" s="13" t="inlineStr">
        <is>
          <t>Kale</t>
        </is>
      </c>
      <c r="B18" s="10" t="n">
        <v>8000</v>
      </c>
      <c r="C18" s="14" t="n">
        <v>1</v>
      </c>
      <c r="D18" s="15" t="n">
        <v>0.003785388888888889</v>
      </c>
      <c r="E18" s="16" t="inlineStr">
        <is>
          <t>Cold</t>
        </is>
      </c>
      <c r="F18" s="17" t="n">
        <v>2</v>
      </c>
      <c r="G18" s="18" t="n">
        <v>0</v>
      </c>
      <c r="H18" s="19" t="n">
        <v>1089</v>
      </c>
      <c r="I18" s="9" t="n">
        <v>2</v>
      </c>
      <c r="J18" s="20">
        <f>COUNTIF($E$127:$BD$127,"H")</f>
        <v/>
      </c>
      <c r="K18" s="21" t="n">
        <v>46.64</v>
      </c>
      <c r="L18" s="21" t="n">
        <v>11.469</v>
      </c>
      <c r="M18" s="21" t="n">
        <v>10.08</v>
      </c>
      <c r="N18" s="9" t="n">
        <v>3</v>
      </c>
      <c r="O18" s="9" t="n">
        <v>2.5</v>
      </c>
      <c r="P18" s="9" t="n">
        <v>22</v>
      </c>
      <c r="Q18" s="13" t="inlineStr">
        <is>
          <t>Kale</t>
        </is>
      </c>
      <c r="R18" s="22" t="inlineStr">
        <is>
          <t>Y</t>
        </is>
      </c>
      <c r="S18" s="22" t="inlineStr">
        <is>
          <t>Y</t>
        </is>
      </c>
    </row>
    <row r="19">
      <c r="A19" s="13" t="inlineStr">
        <is>
          <t>Garlic</t>
        </is>
      </c>
      <c r="B19" s="10" t="n">
        <v>10000</v>
      </c>
      <c r="C19" s="14" t="n">
        <v>1</v>
      </c>
      <c r="D19" s="15" t="n">
        <v>0.001195385964912281</v>
      </c>
      <c r="E19" s="24" t="inlineStr">
        <is>
          <t>Ambient</t>
        </is>
      </c>
      <c r="F19" s="17" t="n">
        <v>16</v>
      </c>
      <c r="G19" s="18" t="n">
        <v>0</v>
      </c>
      <c r="H19" s="19" t="n">
        <v>2500</v>
      </c>
      <c r="I19" s="9" t="n">
        <v>2</v>
      </c>
      <c r="J19" s="20">
        <f>COUNTIF($E$187:$BD$187,"H")</f>
        <v/>
      </c>
      <c r="K19" s="21" t="n">
        <v>19.4194</v>
      </c>
      <c r="L19" s="21" t="n">
        <v>4.1688</v>
      </c>
      <c r="M19" s="21" t="n">
        <v>19.75</v>
      </c>
      <c r="N19" s="9" t="n">
        <v>6.7</v>
      </c>
      <c r="O19" s="9" t="n">
        <v>0.3</v>
      </c>
      <c r="P19" s="9" t="n">
        <v>75</v>
      </c>
      <c r="Q19" s="13" t="inlineStr">
        <is>
          <t>Garlic</t>
        </is>
      </c>
      <c r="R19" s="22" t="inlineStr">
        <is>
          <t>Y</t>
        </is>
      </c>
      <c r="S19" s="23" t="inlineStr">
        <is>
          <t>N</t>
        </is>
      </c>
    </row>
    <row r="20">
      <c r="A20" s="13" t="inlineStr">
        <is>
          <t>Tunnel Spinach</t>
        </is>
      </c>
      <c r="B20" s="10" t="n">
        <v>5000</v>
      </c>
      <c r="C20" s="14" t="n">
        <v>1</v>
      </c>
      <c r="D20" s="15" t="n">
        <v>0.002197967741935484</v>
      </c>
      <c r="E20" s="16" t="inlineStr">
        <is>
          <t>Cold</t>
        </is>
      </c>
      <c r="F20" s="17" t="n">
        <v>2</v>
      </c>
      <c r="G20" s="18" t="n">
        <v>0</v>
      </c>
      <c r="H20" s="19" t="n">
        <v>280</v>
      </c>
      <c r="I20" s="9" t="n">
        <v>0.25</v>
      </c>
      <c r="J20" s="20">
        <f>COUNTIF($E$190:$BD$190,"H")</f>
        <v/>
      </c>
      <c r="K20" s="21" t="n">
        <v>33.895</v>
      </c>
      <c r="L20" s="21" t="n">
        <v>13.32</v>
      </c>
      <c r="M20" s="21" t="n">
        <v>11.285</v>
      </c>
      <c r="N20" s="9" t="n">
        <v>2</v>
      </c>
      <c r="O20" s="9" t="n">
        <v>4</v>
      </c>
      <c r="P20" s="9" t="n">
        <v>50</v>
      </c>
      <c r="Q20" s="13" t="inlineStr">
        <is>
          <t>Spinach</t>
        </is>
      </c>
      <c r="R20" s="23" t="inlineStr">
        <is>
          <t>N</t>
        </is>
      </c>
      <c r="S20" s="22" t="inlineStr">
        <is>
          <t>Y</t>
        </is>
      </c>
    </row>
    <row r="21">
      <c r="A21" s="13" t="inlineStr">
        <is>
          <t>Asparagus</t>
        </is>
      </c>
      <c r="B21" s="10" t="n">
        <v>1750</v>
      </c>
      <c r="C21" s="14" t="n">
        <v>1</v>
      </c>
      <c r="D21" s="15" t="n">
        <v>0.0012</v>
      </c>
      <c r="E21" s="16" t="inlineStr">
        <is>
          <t>Cold</t>
        </is>
      </c>
      <c r="F21" s="17" t="n">
        <v>2</v>
      </c>
      <c r="G21" s="18" t="n">
        <v>0</v>
      </c>
      <c r="H21" s="25">
        <f>0</f>
        <v/>
      </c>
      <c r="I21" s="11">
        <f>0</f>
        <v/>
      </c>
      <c r="J21" s="20">
        <f>COUNTIF($E$231:$BD$231,"H")</f>
        <v/>
      </c>
      <c r="K21" s="26">
        <f>0</f>
        <v/>
      </c>
      <c r="L21" s="26">
        <f>0</f>
        <v/>
      </c>
      <c r="M21" s="26">
        <f>0</f>
        <v/>
      </c>
      <c r="N21" s="9" t="n">
        <v>0</v>
      </c>
      <c r="O21" s="9" t="n">
        <v>0.5</v>
      </c>
      <c r="P21" s="9" t="n">
        <v>5.5</v>
      </c>
      <c r="Q21" s="13" t="inlineStr">
        <is>
          <t>Asparagus</t>
        </is>
      </c>
      <c r="R21" s="23" t="inlineStr">
        <is>
          <t>Y</t>
        </is>
      </c>
      <c r="S21" s="23" t="inlineStr">
        <is>
          <t>N</t>
        </is>
      </c>
    </row>
    <row r="22">
      <c r="A22" s="2" t="inlineStr">
        <is>
          <t>'Min acres if planted' is what the plant/don't-plant switch enforces — see section 4.</t>
        </is>
      </c>
    </row>
    <row r="23">
      <c r="A23" s="2" t="inlineStr">
        <is>
          <t>⚠️ Tunnel Spinach is a separate NAME with its own windows, and it SELLS AS Spinach: it shares Spinach's market (section 5) instead of getting a second one.</t>
        </is>
      </c>
    </row>
    <row r="25">
      <c r="A25" s="3" t="inlineStr">
        <is>
          <t>2b — COMMITTED GROUND: Asparagus (a perennial, in the ground all 52 weeks)</t>
        </is>
      </c>
    </row>
    <row r="26">
      <c r="A26" s="2" t="inlineStr">
        <is>
          <t xml:space="preserve">   Each block's acres are an INPUT on its calendar row (section 4) — not a decision. It never goes through the planting calendar, which refuses any cycle over 52 weeks.</t>
        </is>
      </c>
    </row>
    <row r="27">
      <c r="A27" s="12" t="inlineStr">
        <is>
          <t>Block</t>
        </is>
      </c>
      <c r="B27" s="12" t="inlineStr">
        <is>
          <t>$/acre this year</t>
        </is>
      </c>
      <c r="C27" s="12" t="inlineStr">
        <is>
          <t>This year</t>
        </is>
      </c>
    </row>
    <row r="28">
      <c r="A28" s="13" t="inlineStr">
        <is>
          <t>Asparagus — $/acre this year</t>
        </is>
      </c>
      <c r="B28" s="19" t="n">
        <v>1296</v>
      </c>
      <c r="C28" s="13">
        <f>IF(COUNTIF($E$231:$BD$231,"H")&gt;0,"bearing","establishing — no harvest")</f>
        <v/>
      </c>
    </row>
    <row r="29">
      <c r="A29" s="13" t="inlineStr">
        <is>
          <t>Asparagus (new) — $/acre this year</t>
        </is>
      </c>
      <c r="B29" s="19" t="n">
        <v>2000</v>
      </c>
      <c r="C29" s="13">
        <f>IF(COUNTIF($E$232:$BD$232,"H")&gt;0,"bearing","establishing — no harvest")</f>
        <v/>
      </c>
    </row>
    <row r="30">
      <c r="A30" s="2" t="inlineStr">
        <is>
          <t xml:space="preserve">   Mature: this year's upkeep (Univ. Kentucky 2016 full-harvest year) — what it cost to put in is SUNK. New: the establishing year's cost — ⚠️ an UNSOURCED share of MSU Ext. E3315's $4,082/ac for years 0-2.</t>
        </is>
      </c>
    </row>
    <row r="31">
      <c r="A31" s="2" t="inlineStr">
        <is>
          <t xml:space="preserve">   Charged flat across the year like the farm's other fixed costs, and never as seed. 'This year' reads the block's calendar row: no H = establishing, no harvest.</t>
        </is>
      </c>
    </row>
    <row r="32">
      <c r="A32" s="2" t="inlineStr">
        <is>
          <t xml:space="preserve">   ⚠️ TOY PLACEHOLDERS where no source was found: the harvest weeks (18-25), the FM price and caps, the labour hours, the pack volume and shelf life. FX.6 sources them.</t>
        </is>
      </c>
    </row>
    <row r="34">
      <c r="A34" s="3" t="inlineStr">
        <is>
          <t>3 — WHO BUYS IT   (one row per crop x channel — the grower's ruling)</t>
        </is>
      </c>
    </row>
    <row r="35">
      <c r="A35" s="12" t="inlineStr">
        <is>
          <t>Crop</t>
        </is>
      </c>
      <c r="B35" s="12" t="inlineStr">
        <is>
          <t>Channel</t>
        </is>
      </c>
      <c r="C35" s="12" t="inlineStr">
        <is>
          <t>Cap type</t>
        </is>
      </c>
      <c r="D35" s="12" t="inlineStr">
        <is>
          <t>Cap lb</t>
        </is>
      </c>
      <c r="E35" s="12" t="inlineStr">
        <is>
          <t>From wk</t>
        </is>
      </c>
      <c r="F35" s="12" t="inlineStr">
        <is>
          <t>To wk</t>
        </is>
      </c>
      <c r="G35" s="12" t="inlineStr">
        <is>
          <t>Sell-through</t>
        </is>
      </c>
      <c r="H35" s="12" t="inlineStr">
        <is>
          <t>Returns to store</t>
        </is>
      </c>
      <c r="I35" s="12" t="inlineStr">
        <is>
          <t>Price $/lb</t>
        </is>
      </c>
      <c r="J35" s="12" t="inlineStr">
        <is>
          <t>Packaging $/lb</t>
        </is>
      </c>
    </row>
    <row r="36">
      <c r="A36" s="13" t="inlineStr">
        <is>
          <t>Spinach</t>
        </is>
      </c>
      <c r="B36" s="16" t="inlineStr">
        <is>
          <t>Farmers Market</t>
        </is>
      </c>
      <c r="C36" s="17" t="inlineStr">
        <is>
          <t>Weekly</t>
        </is>
      </c>
      <c r="D36" s="10" t="n">
        <v>6000</v>
      </c>
      <c r="E36" s="17" t="n">
        <v>10</v>
      </c>
      <c r="F36" s="17" t="n">
        <v>48</v>
      </c>
      <c r="G36" s="14" t="n">
        <v>1</v>
      </c>
      <c r="H36" s="14" t="n">
        <v>0</v>
      </c>
      <c r="I36" s="21" t="n">
        <v>2.75</v>
      </c>
      <c r="J36" s="21" t="n">
        <v>0.18</v>
      </c>
    </row>
    <row r="37">
      <c r="A37" s="13" t="inlineStr">
        <is>
          <t>Spinach</t>
        </is>
      </c>
      <c r="B37" s="24" t="inlineStr">
        <is>
          <t>Wholesale</t>
        </is>
      </c>
      <c r="C37" s="17" t="inlineStr">
        <is>
          <t>Weekly</t>
        </is>
      </c>
      <c r="D37" s="10" t="n">
        <v>25000</v>
      </c>
      <c r="E37" s="17" t="n">
        <v>1</v>
      </c>
      <c r="F37" s="17" t="n">
        <v>52</v>
      </c>
      <c r="G37" s="14" t="n">
        <v>1</v>
      </c>
      <c r="H37" s="14" t="n">
        <v>0</v>
      </c>
      <c r="I37" s="21" t="n">
        <v>1</v>
      </c>
      <c r="J37" s="21" t="n">
        <v>0.09</v>
      </c>
    </row>
    <row r="38">
      <c r="A38" s="13" t="inlineStr">
        <is>
          <t>Kale</t>
        </is>
      </c>
      <c r="B38" s="16" t="inlineStr">
        <is>
          <t>Farmers Market</t>
        </is>
      </c>
      <c r="C38" s="17" t="inlineStr">
        <is>
          <t>Weekly</t>
        </is>
      </c>
      <c r="D38" s="10" t="n">
        <v>3500</v>
      </c>
      <c r="E38" s="17" t="n">
        <v>10</v>
      </c>
      <c r="F38" s="17" t="n">
        <v>50</v>
      </c>
      <c r="G38" s="14" t="n">
        <v>1</v>
      </c>
      <c r="H38" s="14" t="n">
        <v>0</v>
      </c>
      <c r="I38" s="21" t="n">
        <v>2</v>
      </c>
      <c r="J38" s="21" t="n">
        <v>0.14</v>
      </c>
    </row>
    <row r="39">
      <c r="A39" s="13" t="inlineStr">
        <is>
          <t>Kale</t>
        </is>
      </c>
      <c r="B39" s="24" t="inlineStr">
        <is>
          <t>Wholesale</t>
        </is>
      </c>
      <c r="C39" s="17" t="inlineStr">
        <is>
          <t>Annual</t>
        </is>
      </c>
      <c r="D39" s="10" t="n">
        <v>500000</v>
      </c>
      <c r="E39" s="17" t="n">
        <v>1</v>
      </c>
      <c r="F39" s="17" t="n">
        <v>52</v>
      </c>
      <c r="G39" s="14" t="n">
        <v>1</v>
      </c>
      <c r="H39" s="14" t="n">
        <v>0</v>
      </c>
      <c r="I39" s="21" t="n">
        <v>0.7</v>
      </c>
      <c r="J39" s="21" t="n">
        <v>0.07000000000000001</v>
      </c>
    </row>
    <row r="40">
      <c r="A40" s="13" t="inlineStr">
        <is>
          <t>Garlic</t>
        </is>
      </c>
      <c r="B40" s="16" t="inlineStr">
        <is>
          <t>Farmers Market</t>
        </is>
      </c>
      <c r="C40" s="17" t="inlineStr">
        <is>
          <t>Weekly</t>
        </is>
      </c>
      <c r="D40" s="10" t="n">
        <v>2000</v>
      </c>
      <c r="E40" s="17" t="n">
        <v>22</v>
      </c>
      <c r="F40" s="17" t="n">
        <v>35</v>
      </c>
      <c r="G40" s="14" t="n">
        <v>1</v>
      </c>
      <c r="H40" s="14" t="n">
        <v>1</v>
      </c>
      <c r="I40" s="21" t="n">
        <v>6</v>
      </c>
      <c r="J40" s="21" t="n">
        <v>0.4</v>
      </c>
    </row>
    <row r="41">
      <c r="A41" s="13" t="inlineStr">
        <is>
          <t>Garlic</t>
        </is>
      </c>
      <c r="B41" s="24" t="inlineStr">
        <is>
          <t>Wholesale</t>
        </is>
      </c>
      <c r="C41" s="17" t="inlineStr">
        <is>
          <t>Weekly</t>
        </is>
      </c>
      <c r="D41" s="10" t="n">
        <v>30000</v>
      </c>
      <c r="E41" s="17" t="n">
        <v>1</v>
      </c>
      <c r="F41" s="17" t="n">
        <v>52</v>
      </c>
      <c r="G41" s="14" t="n">
        <v>1</v>
      </c>
      <c r="H41" s="14" t="n">
        <v>0</v>
      </c>
      <c r="I41" s="21" t="n">
        <v>2.75</v>
      </c>
      <c r="J41" s="21" t="n">
        <v>0.2</v>
      </c>
    </row>
    <row r="42">
      <c r="A42" s="13" t="inlineStr">
        <is>
          <t>Tunnel Spinach</t>
        </is>
      </c>
      <c r="B42" s="16" t="inlineStr">
        <is>
          <t>Farmers Market</t>
        </is>
      </c>
      <c r="C42" s="13" t="inlineStr">
        <is>
          <t>as Spinach</t>
        </is>
      </c>
      <c r="G42" s="14" t="n">
        <v>1</v>
      </c>
      <c r="H42" s="14" t="n">
        <v>0</v>
      </c>
      <c r="I42" s="21" t="n">
        <v>2.75</v>
      </c>
      <c r="J42" s="21" t="n">
        <v>0.18</v>
      </c>
    </row>
    <row r="43">
      <c r="A43" s="13" t="inlineStr">
        <is>
          <t>Tunnel Spinach</t>
        </is>
      </c>
      <c r="B43" s="24" t="inlineStr">
        <is>
          <t>Wholesale</t>
        </is>
      </c>
      <c r="C43" s="13" t="inlineStr">
        <is>
          <t>as Spinach</t>
        </is>
      </c>
      <c r="G43" s="14" t="n">
        <v>1</v>
      </c>
      <c r="H43" s="14" t="n">
        <v>0</v>
      </c>
      <c r="I43" s="21" t="n">
        <v>1</v>
      </c>
      <c r="J43" s="21" t="n">
        <v>0.09</v>
      </c>
    </row>
    <row r="44">
      <c r="A44" s="13" t="inlineStr">
        <is>
          <t>Asparagus</t>
        </is>
      </c>
      <c r="B44" s="16" t="inlineStr">
        <is>
          <t>Farmers Market</t>
        </is>
      </c>
      <c r="C44" s="17" t="inlineStr">
        <is>
          <t>Weekly</t>
        </is>
      </c>
      <c r="D44" s="10" t="n">
        <v>300</v>
      </c>
      <c r="E44" s="17" t="n">
        <v>18</v>
      </c>
      <c r="F44" s="17" t="n">
        <v>25</v>
      </c>
      <c r="G44" s="14" t="n">
        <v>1</v>
      </c>
      <c r="H44" s="14" t="n">
        <v>0</v>
      </c>
      <c r="I44" s="21" t="n">
        <v>4</v>
      </c>
      <c r="J44" s="21" t="n">
        <v>0.3</v>
      </c>
    </row>
    <row r="45">
      <c r="A45" s="13" t="inlineStr">
        <is>
          <t>Asparagus</t>
        </is>
      </c>
      <c r="B45" s="24" t="inlineStr">
        <is>
          <t>Wholesale</t>
        </is>
      </c>
      <c r="C45" s="17" t="inlineStr">
        <is>
          <t>Weekly</t>
        </is>
      </c>
      <c r="D45" s="10" t="n">
        <v>1500</v>
      </c>
      <c r="E45" s="17" t="n">
        <v>1</v>
      </c>
      <c r="F45" s="17" t="n">
        <v>52</v>
      </c>
      <c r="G45" s="14" t="n">
        <v>1</v>
      </c>
      <c r="H45" s="14" t="n">
        <v>0</v>
      </c>
      <c r="I45" s="21" t="n">
        <v>1.75</v>
      </c>
      <c r="J45" s="21" t="n">
        <v>0.15</v>
      </c>
    </row>
    <row r="47">
      <c r="A47" s="3" t="inlineStr">
        <is>
          <t>3b — THE CREW</t>
        </is>
      </c>
    </row>
    <row r="48">
      <c r="A48" s="12" t="inlineStr">
        <is>
          <t>Position</t>
        </is>
      </c>
      <c r="B48" s="12" t="inlineStr">
        <is>
          <t>Count</t>
        </is>
      </c>
      <c r="C48" s="12" t="inlineStr">
        <is>
          <t>Type</t>
        </is>
      </c>
      <c r="D48" s="12" t="inlineStr">
        <is>
          <t>Wage</t>
        </is>
      </c>
      <c r="E48" s="12" t="inlineStr">
        <is>
          <t>Hours/wk</t>
        </is>
      </c>
      <c r="F48" s="12" t="inlineStr">
        <is>
          <t>Field time %</t>
        </is>
      </c>
      <c r="G48" s="12" t="inlineStr">
        <is>
          <t>From wk</t>
        </is>
      </c>
      <c r="H48" s="12" t="inlineStr">
        <is>
          <t>To wk</t>
        </is>
      </c>
      <c r="I48" s="12" t="inlineStr">
        <is>
          <t>Hire more?</t>
        </is>
      </c>
      <c r="J48" s="12" t="inlineStr">
        <is>
          <t>Max more</t>
        </is>
      </c>
      <c r="K48" s="12" t="inlineStr">
        <is>
          <t>EXTRA HIRED</t>
        </is>
      </c>
      <c r="L48" s="12" t="inlineStr">
        <is>
          <t>Room left</t>
        </is>
      </c>
    </row>
    <row r="49">
      <c r="A49" s="13" t="inlineStr">
        <is>
          <t>Farm Manager</t>
        </is>
      </c>
      <c r="B49" s="27" t="n">
        <v>1</v>
      </c>
      <c r="C49" s="13" t="inlineStr">
        <is>
          <t>salary</t>
        </is>
      </c>
      <c r="D49" s="19" t="n">
        <v>95000</v>
      </c>
      <c r="E49" s="27" t="n">
        <v>45</v>
      </c>
      <c r="F49" s="27" t="n">
        <v>80</v>
      </c>
      <c r="G49" s="27" t="n">
        <v>1</v>
      </c>
      <c r="H49" s="27" t="n">
        <v>52</v>
      </c>
      <c r="I49" s="17" t="inlineStr">
        <is>
          <t>N</t>
        </is>
      </c>
      <c r="J49" s="27" t="n">
        <v>0</v>
      </c>
      <c r="K49" s="28" t="n">
        <v>0</v>
      </c>
      <c r="L49" s="29">
        <f>IF($I$49="Y",$J$49-$K$49,0)</f>
        <v/>
      </c>
    </row>
    <row r="50">
      <c r="A50" s="13" t="inlineStr">
        <is>
          <t>Equipment Operator</t>
        </is>
      </c>
      <c r="B50" s="27" t="n">
        <v>2</v>
      </c>
      <c r="C50" s="13" t="inlineStr">
        <is>
          <t>hourly</t>
        </is>
      </c>
      <c r="D50" s="19" t="n">
        <v>26</v>
      </c>
      <c r="E50" s="27" t="n">
        <v>40</v>
      </c>
      <c r="F50" s="27" t="n">
        <v>90</v>
      </c>
      <c r="G50" s="27" t="n">
        <v>1</v>
      </c>
      <c r="H50" s="27" t="n">
        <v>52</v>
      </c>
      <c r="I50" s="17" t="inlineStr">
        <is>
          <t>N</t>
        </is>
      </c>
      <c r="J50" s="27" t="n">
        <v>0</v>
      </c>
      <c r="K50" s="28" t="n">
        <v>0</v>
      </c>
      <c r="L50" s="29">
        <f>IF($I$50="Y",$J$50-$K$50,0)</f>
        <v/>
      </c>
    </row>
    <row r="51">
      <c r="A51" s="13" t="inlineStr">
        <is>
          <t>Seasonal Field Crew</t>
        </is>
      </c>
      <c r="B51" s="27" t="n">
        <v>12</v>
      </c>
      <c r="C51" s="13" t="inlineStr">
        <is>
          <t>seasonal</t>
        </is>
      </c>
      <c r="D51" s="19" t="n">
        <v>20</v>
      </c>
      <c r="E51" s="27" t="n">
        <v>40</v>
      </c>
      <c r="F51" s="27" t="n">
        <v>100</v>
      </c>
      <c r="G51" s="27" t="n">
        <v>10</v>
      </c>
      <c r="H51" s="27" t="n">
        <v>42</v>
      </c>
      <c r="I51" s="17" t="inlineStr">
        <is>
          <t>Y</t>
        </is>
      </c>
      <c r="J51" s="27" t="n">
        <v>10</v>
      </c>
      <c r="K51" s="28" t="n">
        <v>0</v>
      </c>
      <c r="L51" s="29">
        <f>IF($I$51="Y",$J$51-$K$51,0)</f>
        <v/>
      </c>
    </row>
    <row r="52">
      <c r="A52" s="13" t="inlineStr">
        <is>
          <t>Harvest Crew</t>
        </is>
      </c>
      <c r="B52" s="27" t="n">
        <v>8</v>
      </c>
      <c r="C52" s="13" t="inlineStr">
        <is>
          <t>seasonal</t>
        </is>
      </c>
      <c r="D52" s="19" t="n">
        <v>19</v>
      </c>
      <c r="E52" s="27" t="n">
        <v>40</v>
      </c>
      <c r="F52" s="27" t="n">
        <v>100</v>
      </c>
      <c r="G52" s="27" t="n">
        <v>14</v>
      </c>
      <c r="H52" s="27" t="n">
        <v>40</v>
      </c>
      <c r="I52" s="17" t="inlineStr">
        <is>
          <t>Y</t>
        </is>
      </c>
      <c r="J52" s="27" t="n">
        <v>10</v>
      </c>
      <c r="K52" s="28" t="n">
        <v>0</v>
      </c>
      <c r="L52" s="29">
        <f>IF($I$52="Y",$J$52-$K$52,0)</f>
        <v/>
      </c>
    </row>
    <row r="53">
      <c r="A53" s="2" t="inlineStr">
        <is>
          <t xml:space="preserve">   EXTRA HIRED is the solver's answer, in whole people: "change this row's Count from 8 to 11". It is committed for the ROLE'S window — a head you add to a 27-week crew is 27 weeks of wages, which is why the answer is often zero.</t>
        </is>
      </c>
    </row>
    <row r="54">
      <c r="A54" s="2" t="inlineStr">
        <is>
          <t xml:space="preserve">   ⚠️ If the weeks you could hire for DIFFER from this row's window, add a NEW row with the same title and its own weeks. A different window is a different job offer, not a variation on this one.</t>
        </is>
      </c>
    </row>
    <row r="55">
      <c r="A55" s="2" t="inlineStr">
        <is>
          <t xml:space="preserve">   No committed staff of a role, but curious? Put Count 0, Hire more Y, and set the weeks. That asks "should I have this crew at all?"</t>
        </is>
      </c>
    </row>
    <row r="56">
      <c r="A56" s="4" t="inlineStr">
        <is>
          <t>Payroll load %</t>
        </is>
      </c>
      <c r="B56" s="30" t="n">
        <v>0.25</v>
      </c>
      <c r="C56" s="2" t="inlineStr">
        <is>
          <t>employer taxes, workers' comp, benefits — applied to EVERY wage, salaried included</t>
        </is>
      </c>
    </row>
    <row r="57">
      <c r="A57" s="4" t="inlineStr">
        <is>
          <t>Overtime multiplier</t>
        </is>
      </c>
      <c r="B57" s="14" t="n">
        <v>1.5</v>
      </c>
      <c r="C57" s="2" t="inlineStr">
        <is>
          <t>your own crew staying late, on top of their blended hourly rate</t>
        </is>
      </c>
    </row>
    <row r="58">
      <c r="A58" s="4" t="inlineStr">
        <is>
          <t>Overtime ALLOWANCE</t>
        </is>
      </c>
      <c r="B58" s="14" t="n">
        <v>1.25</v>
      </c>
      <c r="C58" s="2" t="inlineStr">
        <is>
          <t>1.25 = 'I will let people work 125% of normal hours'. ⚠️ v9 REPLACED a typed hours cap with this. The cap is now DERIVED per week — see the Overtime cap row.</t>
        </is>
      </c>
    </row>
    <row r="59">
      <c r="A59" s="2" t="inlineStr">
        <is>
          <t xml:space="preserve">   v8 typed a flat 200 hrs/week here. On the app's own farm that let 15 of 52 weeks buy MORE overtime than the whole crew's regular hours (185% in winter), and the app's solver took it: 191 overtime hours against 299 crew hours in one week.</t>
        </is>
      </c>
    </row>
    <row r="60">
      <c r="A60" s="2" t="inlineStr">
        <is>
          <t xml:space="preserve">   No flat number can express the rule, because the crew swings 108 to 908 hrs/wk across the year. That is why it is an allowance and not an amount.</t>
        </is>
      </c>
    </row>
    <row r="62">
      <c r="A62" s="4" t="inlineStr">
        <is>
          <t>New-hire productivity %</t>
        </is>
      </c>
      <c r="B62" s="27" t="n">
        <v>70</v>
      </c>
      <c r="C62" s="2" t="inlineStr">
        <is>
          <t>a new hand is not as fast as the crew already doing the job — it multiplies their HOURS, not their wage</t>
        </is>
      </c>
    </row>
    <row r="63">
      <c r="A63" s="4" t="inlineStr">
        <is>
          <t>Cost per new head</t>
        </is>
      </c>
      <c r="B63" s="19" t="n">
        <v>800</v>
      </c>
      <c r="C63" s="2" t="inlineStr">
        <is>
          <t>recruitment, onboarding, transport — per PERSON, once</t>
        </is>
      </c>
    </row>
    <row r="65">
      <c r="A65" s="3" t="inlineStr">
        <is>
          <t>3c — PIECE-RATE HARVEST CREW  (paid per pound, not per hour)</t>
        </is>
      </c>
    </row>
    <row r="66">
      <c r="A66" s="2" t="inlineStr">
        <is>
          <t xml:space="preserve">   Everything else on this sheet is COMMITTED labour — owed whether the crops need it or not. This is the opposite: you pay for what they pick and nothing when there is nothing to pick, which is why it lands in COGS and not the wage bill.</t>
        </is>
      </c>
    </row>
    <row r="67">
      <c r="B67" s="12" t="inlineStr">
        <is>
          <t>From wk</t>
        </is>
      </c>
      <c r="C67" s="12" t="inlineStr">
        <is>
          <t>To wk</t>
        </is>
      </c>
      <c r="D67" s="12" t="inlineStr">
        <is>
          <t>Crew hrs/week</t>
        </is>
      </c>
      <c r="E67" s="12" t="inlineStr">
        <is>
          <t>Var cost $/lb</t>
        </is>
      </c>
      <c r="F67" s="12" t="inlineStr">
        <is>
          <t>Fixed cost $</t>
        </is>
      </c>
      <c r="G67" s="12" t="inlineStr">
        <is>
          <t>Pre-committed?</t>
        </is>
      </c>
    </row>
    <row r="68">
      <c r="A68" s="4" t="inlineStr">
        <is>
          <t>Piece-rate crew</t>
        </is>
      </c>
      <c r="B68" s="27" t="n">
        <v>1</v>
      </c>
      <c r="C68" s="27" t="n">
        <v>52</v>
      </c>
      <c r="D68" s="10" t="n">
        <v>200</v>
      </c>
      <c r="E68" s="31" t="n">
        <v>0.02</v>
      </c>
      <c r="F68" s="19" t="n">
        <v>2500</v>
      </c>
      <c r="G68" s="17" t="inlineStr">
        <is>
          <t>N</t>
        </is>
      </c>
    </row>
    <row r="69">
      <c r="A69" s="32" t="inlineStr">
        <is>
          <t>ENGAGED?</t>
        </is>
      </c>
      <c r="B69" s="28" t="n">
        <v>0</v>
      </c>
      <c r="C69" s="2" t="inlineStr">
        <is>
          <t>&lt;-- SOLVER (0 or 1). The fixed cost is charged only if they are engaged — or always, if Pre-committed is Y.</t>
        </is>
      </c>
    </row>
    <row r="70">
      <c r="A70" s="4" t="inlineStr">
        <is>
          <t>Minimum wage floor $/hr</t>
        </is>
      </c>
      <c r="B70" s="21" t="n">
        <v>16.07</v>
      </c>
      <c r="C70" s="2" t="inlineStr">
        <is>
          <t>AEWR Skill II, 2026. A piece-rate worker must still earn this for the hours worked; if the rate falls short the employer makes up the difference (FLSA).</t>
        </is>
      </c>
    </row>
    <row r="72">
      <c r="B72" s="12" t="inlineStr">
        <is>
          <t>$ per bushel</t>
        </is>
      </c>
      <c r="C72" s="12" t="inlineStr">
        <is>
          <t>lb per bushel</t>
        </is>
      </c>
      <c r="D72" s="12" t="inlineStr">
        <is>
          <t>-&gt; $/lb</t>
        </is>
      </c>
      <c r="E72" s="12" t="inlineStr">
        <is>
          <t>floor $/lb</t>
        </is>
      </c>
      <c r="F72" s="12" t="inlineStr">
        <is>
          <t>EFFECTIVE $/lb</t>
        </is>
      </c>
      <c r="G72" s="12" t="inlineStr">
        <is>
          <t>which binds</t>
        </is>
      </c>
    </row>
    <row r="73">
      <c r="A73" s="33" t="inlineStr">
        <is>
          <t xml:space="preserve">   Spinach</t>
        </is>
      </c>
      <c r="B73" s="21" t="n">
        <v>3</v>
      </c>
      <c r="C73" s="11">
        <f>0.035237425919999996/$D$17</f>
        <v/>
      </c>
      <c r="D73" s="34">
        <f>B73/C73</f>
        <v/>
      </c>
      <c r="E73" s="34">
        <f>$B$70/($B$17/$P$17)</f>
        <v/>
      </c>
      <c r="F73" s="35">
        <f>MAX(D73,E73)+$E$68</f>
        <v/>
      </c>
      <c r="G73" s="13">
        <f>IF(E73&gt;D73,"FLOOR","rate")</f>
        <v/>
      </c>
    </row>
    <row r="74">
      <c r="A74" s="33" t="inlineStr">
        <is>
          <t xml:space="preserve">   Kale</t>
        </is>
      </c>
      <c r="B74" s="21" t="n">
        <v>1</v>
      </c>
      <c r="C74" s="11">
        <f>0.035237425919999996/$D$18</f>
        <v/>
      </c>
      <c r="D74" s="34">
        <f>B74/C74</f>
        <v/>
      </c>
      <c r="E74" s="34">
        <f>$B$70/($B$18/$P$18)</f>
        <v/>
      </c>
      <c r="F74" s="35">
        <f>MAX(D74,E74)+$E$68</f>
        <v/>
      </c>
      <c r="G74" s="13">
        <f>IF(E74&gt;D74,"FLOOR","rate")</f>
        <v/>
      </c>
    </row>
    <row r="75">
      <c r="A75" s="33" t="inlineStr">
        <is>
          <t xml:space="preserve">   Garlic</t>
        </is>
      </c>
      <c r="B75" s="21" t="n">
        <v>2</v>
      </c>
      <c r="C75" s="11">
        <f>0.035237425919999996/$D$19</f>
        <v/>
      </c>
      <c r="D75" s="34">
        <f>B75/C75</f>
        <v/>
      </c>
      <c r="E75" s="34">
        <f>$B$70/($B$19/$P$19)</f>
        <v/>
      </c>
      <c r="F75" s="35">
        <f>MAX(D75,E75)+$E$68</f>
        <v/>
      </c>
      <c r="G75" s="13">
        <f>IF(E75&gt;D75,"FLOOR","rate")</f>
        <v/>
      </c>
    </row>
    <row r="76">
      <c r="A76" s="2" t="inlineStr">
        <is>
          <t xml:space="preserve">   A rate entered BELOW its floor is inoperative — you pay the floor. That is not a modelling choice, it is FLSA: the make-up pay is real money.</t>
        </is>
      </c>
    </row>
    <row r="77">
      <c r="A77" s="2" t="inlineStr">
        <is>
          <t xml:space="preserve">   ⚠️ 'lb per bushel' comes from the crop's own volume figure. Check it against what you can lift: a bushel of kale is about 18 lb in the trade. See backlog L6.</t>
        </is>
      </c>
    </row>
    <row r="79">
      <c r="A79" s="36" t="inlineStr">
        <is>
          <t>Week</t>
        </is>
      </c>
      <c r="B79" s="37" t="inlineStr">
        <is>
          <t>lb</t>
        </is>
      </c>
      <c r="E79" s="38" t="n">
        <v>1</v>
      </c>
      <c r="F79" s="38" t="n">
        <v>2</v>
      </c>
      <c r="G79" s="38" t="n">
        <v>3</v>
      </c>
      <c r="H79" s="38" t="n">
        <v>4</v>
      </c>
      <c r="I79" s="38" t="n">
        <v>5</v>
      </c>
      <c r="J79" s="38" t="n">
        <v>6</v>
      </c>
      <c r="K79" s="38" t="n">
        <v>7</v>
      </c>
      <c r="L79" s="38" t="n">
        <v>8</v>
      </c>
      <c r="M79" s="38" t="n">
        <v>9</v>
      </c>
      <c r="N79" s="38" t="n">
        <v>10</v>
      </c>
      <c r="O79" s="38" t="n">
        <v>11</v>
      </c>
      <c r="P79" s="38" t="n">
        <v>12</v>
      </c>
      <c r="Q79" s="38" t="n">
        <v>13</v>
      </c>
      <c r="R79" s="38" t="n">
        <v>14</v>
      </c>
      <c r="S79" s="38" t="n">
        <v>15</v>
      </c>
      <c r="T79" s="38" t="n">
        <v>16</v>
      </c>
      <c r="U79" s="38" t="n">
        <v>17</v>
      </c>
      <c r="V79" s="38" t="n">
        <v>18</v>
      </c>
      <c r="W79" s="38" t="n">
        <v>19</v>
      </c>
      <c r="X79" s="38" t="n">
        <v>20</v>
      </c>
      <c r="Y79" s="38" t="n">
        <v>21</v>
      </c>
      <c r="Z79" s="38" t="n">
        <v>22</v>
      </c>
      <c r="AA79" s="38" t="n">
        <v>23</v>
      </c>
      <c r="AB79" s="38" t="n">
        <v>24</v>
      </c>
      <c r="AC79" s="38" t="n">
        <v>25</v>
      </c>
      <c r="AD79" s="38" t="n">
        <v>26</v>
      </c>
      <c r="AE79" s="38" t="n">
        <v>27</v>
      </c>
      <c r="AF79" s="38" t="n">
        <v>28</v>
      </c>
      <c r="AG79" s="38" t="n">
        <v>29</v>
      </c>
      <c r="AH79" s="38" t="n">
        <v>30</v>
      </c>
      <c r="AI79" s="38" t="n">
        <v>31</v>
      </c>
      <c r="AJ79" s="38" t="n">
        <v>32</v>
      </c>
      <c r="AK79" s="38" t="n">
        <v>33</v>
      </c>
      <c r="AL79" s="38" t="n">
        <v>34</v>
      </c>
      <c r="AM79" s="38" t="n">
        <v>35</v>
      </c>
      <c r="AN79" s="38" t="n">
        <v>36</v>
      </c>
      <c r="AO79" s="38" t="n">
        <v>37</v>
      </c>
      <c r="AP79" s="38" t="n">
        <v>38</v>
      </c>
      <c r="AQ79" s="38" t="n">
        <v>39</v>
      </c>
      <c r="AR79" s="38" t="n">
        <v>40</v>
      </c>
      <c r="AS79" s="38" t="n">
        <v>41</v>
      </c>
      <c r="AT79" s="38" t="n">
        <v>42</v>
      </c>
      <c r="AU79" s="38" t="n">
        <v>43</v>
      </c>
      <c r="AV79" s="38" t="n">
        <v>44</v>
      </c>
      <c r="AW79" s="38" t="n">
        <v>45</v>
      </c>
      <c r="AX79" s="38" t="n">
        <v>46</v>
      </c>
      <c r="AY79" s="38" t="n">
        <v>47</v>
      </c>
      <c r="AZ79" s="38" t="n">
        <v>48</v>
      </c>
      <c r="BA79" s="38" t="n">
        <v>49</v>
      </c>
      <c r="BB79" s="38" t="n">
        <v>50</v>
      </c>
      <c r="BC79" s="38" t="n">
        <v>51</v>
      </c>
      <c r="BD79" s="38" t="n">
        <v>52</v>
      </c>
    </row>
    <row r="80">
      <c r="A80" s="32" t="inlineStr">
        <is>
          <t xml:space="preserve">   Spinach — picked by piece-rate crew</t>
        </is>
      </c>
      <c r="B80" s="2" t="inlineStr">
        <is>
          <t>lb &lt;-- SOLVER</t>
        </is>
      </c>
      <c r="E80" s="39" t="n">
        <v>0</v>
      </c>
      <c r="F80" s="39" t="n">
        <v>0</v>
      </c>
      <c r="G80" s="39" t="n">
        <v>0</v>
      </c>
      <c r="H80" s="39" t="n">
        <v>0</v>
      </c>
      <c r="I80" s="39" t="n">
        <v>0</v>
      </c>
      <c r="J80" s="39" t="n">
        <v>0</v>
      </c>
      <c r="K80" s="39" t="n">
        <v>0</v>
      </c>
      <c r="L80" s="39" t="n">
        <v>0</v>
      </c>
      <c r="M80" s="39" t="n">
        <v>0</v>
      </c>
      <c r="N80" s="39" t="n">
        <v>0</v>
      </c>
      <c r="O80" s="39" t="n">
        <v>0</v>
      </c>
      <c r="P80" s="39" t="n">
        <v>0</v>
      </c>
      <c r="Q80" s="39" t="n">
        <v>0</v>
      </c>
      <c r="R80" s="39" t="n">
        <v>0</v>
      </c>
      <c r="S80" s="39" t="n">
        <v>0</v>
      </c>
      <c r="T80" s="39" t="n">
        <v>0</v>
      </c>
      <c r="U80" s="39" t="n">
        <v>0</v>
      </c>
      <c r="V80" s="39" t="n">
        <v>0</v>
      </c>
      <c r="W80" s="39" t="n">
        <v>0</v>
      </c>
      <c r="X80" s="39" t="n">
        <v>0</v>
      </c>
      <c r="Y80" s="39" t="n">
        <v>0</v>
      </c>
      <c r="Z80" s="39" t="n">
        <v>0</v>
      </c>
      <c r="AA80" s="39" t="n">
        <v>0</v>
      </c>
      <c r="AB80" s="39" t="n">
        <v>0</v>
      </c>
      <c r="AC80" s="39" t="n">
        <v>0</v>
      </c>
      <c r="AD80" s="39" t="n">
        <v>0</v>
      </c>
      <c r="AE80" s="39" t="n">
        <v>0</v>
      </c>
      <c r="AF80" s="39" t="n">
        <v>0</v>
      </c>
      <c r="AG80" s="39" t="n">
        <v>0</v>
      </c>
      <c r="AH80" s="39" t="n">
        <v>0</v>
      </c>
      <c r="AI80" s="39" t="n">
        <v>0</v>
      </c>
      <c r="AJ80" s="39" t="n">
        <v>0</v>
      </c>
      <c r="AK80" s="39" t="n">
        <v>0</v>
      </c>
      <c r="AL80" s="39" t="n">
        <v>0</v>
      </c>
      <c r="AM80" s="39" t="n">
        <v>0</v>
      </c>
      <c r="AN80" s="39" t="n">
        <v>0</v>
      </c>
      <c r="AO80" s="39" t="n">
        <v>0</v>
      </c>
      <c r="AP80" s="39" t="n">
        <v>0</v>
      </c>
      <c r="AQ80" s="39" t="n">
        <v>0</v>
      </c>
      <c r="AR80" s="39" t="n">
        <v>0</v>
      </c>
      <c r="AS80" s="39" t="n">
        <v>0</v>
      </c>
      <c r="AT80" s="39" t="n">
        <v>0</v>
      </c>
      <c r="AU80" s="39" t="n">
        <v>0</v>
      </c>
      <c r="AV80" s="39" t="n">
        <v>0</v>
      </c>
      <c r="AW80" s="39" t="n">
        <v>0</v>
      </c>
      <c r="AX80" s="39" t="n">
        <v>0</v>
      </c>
      <c r="AY80" s="39" t="n">
        <v>0</v>
      </c>
      <c r="AZ80" s="39" t="n">
        <v>0</v>
      </c>
      <c r="BA80" s="39" t="n">
        <v>0</v>
      </c>
      <c r="BB80" s="39" t="n">
        <v>0</v>
      </c>
      <c r="BC80" s="39" t="n">
        <v>0</v>
      </c>
      <c r="BD80" s="39" t="n">
        <v>0</v>
      </c>
    </row>
    <row r="81">
      <c r="A81" s="32" t="inlineStr">
        <is>
          <t xml:space="preserve">   Kale — picked by piece-rate crew</t>
        </is>
      </c>
      <c r="B81" s="2" t="inlineStr">
        <is>
          <t>lb &lt;-- SOLVER</t>
        </is>
      </c>
      <c r="E81" s="39" t="n">
        <v>0</v>
      </c>
      <c r="F81" s="39" t="n">
        <v>0</v>
      </c>
      <c r="G81" s="39" t="n">
        <v>0</v>
      </c>
      <c r="H81" s="39" t="n">
        <v>0</v>
      </c>
      <c r="I81" s="39" t="n">
        <v>0</v>
      </c>
      <c r="J81" s="39" t="n">
        <v>0</v>
      </c>
      <c r="K81" s="39" t="n">
        <v>0</v>
      </c>
      <c r="L81" s="39" t="n">
        <v>0</v>
      </c>
      <c r="M81" s="39" t="n">
        <v>0</v>
      </c>
      <c r="N81" s="39" t="n">
        <v>0</v>
      </c>
      <c r="O81" s="39" t="n">
        <v>0</v>
      </c>
      <c r="P81" s="39" t="n">
        <v>0</v>
      </c>
      <c r="Q81" s="39" t="n">
        <v>0</v>
      </c>
      <c r="R81" s="39" t="n">
        <v>0</v>
      </c>
      <c r="S81" s="39" t="n">
        <v>0</v>
      </c>
      <c r="T81" s="39" t="n">
        <v>0</v>
      </c>
      <c r="U81" s="39" t="n">
        <v>0</v>
      </c>
      <c r="V81" s="39" t="n">
        <v>0</v>
      </c>
      <c r="W81" s="39" t="n">
        <v>0</v>
      </c>
      <c r="X81" s="39" t="n">
        <v>0</v>
      </c>
      <c r="Y81" s="39" t="n">
        <v>0</v>
      </c>
      <c r="Z81" s="39" t="n">
        <v>0</v>
      </c>
      <c r="AA81" s="39" t="n">
        <v>0</v>
      </c>
      <c r="AB81" s="39" t="n">
        <v>0</v>
      </c>
      <c r="AC81" s="39" t="n">
        <v>0</v>
      </c>
      <c r="AD81" s="39" t="n">
        <v>0</v>
      </c>
      <c r="AE81" s="39" t="n">
        <v>0</v>
      </c>
      <c r="AF81" s="39" t="n">
        <v>0</v>
      </c>
      <c r="AG81" s="39" t="n">
        <v>0</v>
      </c>
      <c r="AH81" s="39" t="n">
        <v>0</v>
      </c>
      <c r="AI81" s="39" t="n">
        <v>0</v>
      </c>
      <c r="AJ81" s="39" t="n">
        <v>0</v>
      </c>
      <c r="AK81" s="39" t="n">
        <v>0</v>
      </c>
      <c r="AL81" s="39" t="n">
        <v>0</v>
      </c>
      <c r="AM81" s="39" t="n">
        <v>0</v>
      </c>
      <c r="AN81" s="39" t="n">
        <v>0</v>
      </c>
      <c r="AO81" s="39" t="n">
        <v>0</v>
      </c>
      <c r="AP81" s="39" t="n">
        <v>0</v>
      </c>
      <c r="AQ81" s="39" t="n">
        <v>0</v>
      </c>
      <c r="AR81" s="39" t="n">
        <v>0</v>
      </c>
      <c r="AS81" s="39" t="n">
        <v>0</v>
      </c>
      <c r="AT81" s="39" t="n">
        <v>0</v>
      </c>
      <c r="AU81" s="39" t="n">
        <v>0</v>
      </c>
      <c r="AV81" s="39" t="n">
        <v>0</v>
      </c>
      <c r="AW81" s="39" t="n">
        <v>0</v>
      </c>
      <c r="AX81" s="39" t="n">
        <v>0</v>
      </c>
      <c r="AY81" s="39" t="n">
        <v>0</v>
      </c>
      <c r="AZ81" s="39" t="n">
        <v>0</v>
      </c>
      <c r="BA81" s="39" t="n">
        <v>0</v>
      </c>
      <c r="BB81" s="39" t="n">
        <v>0</v>
      </c>
      <c r="BC81" s="39" t="n">
        <v>0</v>
      </c>
      <c r="BD81" s="39" t="n">
        <v>0</v>
      </c>
    </row>
    <row r="82">
      <c r="A82" s="32" t="inlineStr">
        <is>
          <t xml:space="preserve">   Garlic — picked by piece-rate crew</t>
        </is>
      </c>
      <c r="B82" s="2" t="inlineStr">
        <is>
          <t>lb &lt;-- SOLVER</t>
        </is>
      </c>
      <c r="E82" s="39" t="n">
        <v>0</v>
      </c>
      <c r="F82" s="39" t="n">
        <v>0</v>
      </c>
      <c r="G82" s="39" t="n">
        <v>0</v>
      </c>
      <c r="H82" s="39" t="n">
        <v>0</v>
      </c>
      <c r="I82" s="39" t="n">
        <v>0</v>
      </c>
      <c r="J82" s="39" t="n">
        <v>0</v>
      </c>
      <c r="K82" s="39" t="n">
        <v>0</v>
      </c>
      <c r="L82" s="39" t="n">
        <v>0</v>
      </c>
      <c r="M82" s="39" t="n">
        <v>0</v>
      </c>
      <c r="N82" s="39" t="n">
        <v>0</v>
      </c>
      <c r="O82" s="39" t="n">
        <v>0</v>
      </c>
      <c r="P82" s="39" t="n">
        <v>0</v>
      </c>
      <c r="Q82" s="39" t="n">
        <v>0</v>
      </c>
      <c r="R82" s="39" t="n">
        <v>0</v>
      </c>
      <c r="S82" s="39" t="n">
        <v>0</v>
      </c>
      <c r="T82" s="39" t="n">
        <v>0</v>
      </c>
      <c r="U82" s="39" t="n">
        <v>0</v>
      </c>
      <c r="V82" s="39" t="n">
        <v>0</v>
      </c>
      <c r="W82" s="39" t="n">
        <v>0</v>
      </c>
      <c r="X82" s="39" t="n">
        <v>0</v>
      </c>
      <c r="Y82" s="39" t="n">
        <v>0</v>
      </c>
      <c r="Z82" s="39" t="n">
        <v>0</v>
      </c>
      <c r="AA82" s="39" t="n">
        <v>0</v>
      </c>
      <c r="AB82" s="39" t="n">
        <v>0</v>
      </c>
      <c r="AC82" s="39" t="n">
        <v>0</v>
      </c>
      <c r="AD82" s="39" t="n">
        <v>0</v>
      </c>
      <c r="AE82" s="39" t="n">
        <v>0</v>
      </c>
      <c r="AF82" s="39" t="n">
        <v>0</v>
      </c>
      <c r="AG82" s="39" t="n">
        <v>0</v>
      </c>
      <c r="AH82" s="39" t="n">
        <v>0</v>
      </c>
      <c r="AI82" s="39" t="n">
        <v>0</v>
      </c>
      <c r="AJ82" s="39" t="n">
        <v>0</v>
      </c>
      <c r="AK82" s="39" t="n">
        <v>0</v>
      </c>
      <c r="AL82" s="39" t="n">
        <v>0</v>
      </c>
      <c r="AM82" s="39" t="n">
        <v>0</v>
      </c>
      <c r="AN82" s="39" t="n">
        <v>0</v>
      </c>
      <c r="AO82" s="39" t="n">
        <v>0</v>
      </c>
      <c r="AP82" s="39" t="n">
        <v>0</v>
      </c>
      <c r="AQ82" s="39" t="n">
        <v>0</v>
      </c>
      <c r="AR82" s="39" t="n">
        <v>0</v>
      </c>
      <c r="AS82" s="39" t="n">
        <v>0</v>
      </c>
      <c r="AT82" s="39" t="n">
        <v>0</v>
      </c>
      <c r="AU82" s="39" t="n">
        <v>0</v>
      </c>
      <c r="AV82" s="39" t="n">
        <v>0</v>
      </c>
      <c r="AW82" s="39" t="n">
        <v>0</v>
      </c>
      <c r="AX82" s="39" t="n">
        <v>0</v>
      </c>
      <c r="AY82" s="39" t="n">
        <v>0</v>
      </c>
      <c r="AZ82" s="39" t="n">
        <v>0</v>
      </c>
      <c r="BA82" s="39" t="n">
        <v>0</v>
      </c>
      <c r="BB82" s="39" t="n">
        <v>0</v>
      </c>
      <c r="BC82" s="39" t="n">
        <v>0</v>
      </c>
      <c r="BD82" s="39" t="n">
        <v>0</v>
      </c>
    </row>
    <row r="83">
      <c r="A83" s="33" t="inlineStr">
        <is>
          <t>Piece-rate lb this week</t>
        </is>
      </c>
      <c r="B83" s="2" t="inlineStr">
        <is>
          <t>lb</t>
        </is>
      </c>
      <c r="E83" s="40">
        <f>E80+E81+E82</f>
        <v/>
      </c>
      <c r="F83" s="40">
        <f>F80+F81+F82</f>
        <v/>
      </c>
      <c r="G83" s="40">
        <f>G80+G81+G82</f>
        <v/>
      </c>
      <c r="H83" s="40">
        <f>H80+H81+H82</f>
        <v/>
      </c>
      <c r="I83" s="40">
        <f>I80+I81+I82</f>
        <v/>
      </c>
      <c r="J83" s="40">
        <f>J80+J81+J82</f>
        <v/>
      </c>
      <c r="K83" s="40">
        <f>K80+K81+K82</f>
        <v/>
      </c>
      <c r="L83" s="40">
        <f>L80+L81+L82</f>
        <v/>
      </c>
      <c r="M83" s="40">
        <f>M80+M81+M82</f>
        <v/>
      </c>
      <c r="N83" s="40">
        <f>N80+N81+N82</f>
        <v/>
      </c>
      <c r="O83" s="40">
        <f>O80+O81+O82</f>
        <v/>
      </c>
      <c r="P83" s="40">
        <f>P80+P81+P82</f>
        <v/>
      </c>
      <c r="Q83" s="40">
        <f>Q80+Q81+Q82</f>
        <v/>
      </c>
      <c r="R83" s="40">
        <f>R80+R81+R82</f>
        <v/>
      </c>
      <c r="S83" s="40">
        <f>S80+S81+S82</f>
        <v/>
      </c>
      <c r="T83" s="40">
        <f>T80+T81+T82</f>
        <v/>
      </c>
      <c r="U83" s="40">
        <f>U80+U81+U82</f>
        <v/>
      </c>
      <c r="V83" s="40">
        <f>V80+V81+V82</f>
        <v/>
      </c>
      <c r="W83" s="40">
        <f>W80+W81+W82</f>
        <v/>
      </c>
      <c r="X83" s="40">
        <f>X80+X81+X82</f>
        <v/>
      </c>
      <c r="Y83" s="40">
        <f>Y80+Y81+Y82</f>
        <v/>
      </c>
      <c r="Z83" s="40">
        <f>Z80+Z81+Z82</f>
        <v/>
      </c>
      <c r="AA83" s="40">
        <f>AA80+AA81+AA82</f>
        <v/>
      </c>
      <c r="AB83" s="40">
        <f>AB80+AB81+AB82</f>
        <v/>
      </c>
      <c r="AC83" s="40">
        <f>AC80+AC81+AC82</f>
        <v/>
      </c>
      <c r="AD83" s="40">
        <f>AD80+AD81+AD82</f>
        <v/>
      </c>
      <c r="AE83" s="40">
        <f>AE80+AE81+AE82</f>
        <v/>
      </c>
      <c r="AF83" s="40">
        <f>AF80+AF81+AF82</f>
        <v/>
      </c>
      <c r="AG83" s="40">
        <f>AG80+AG81+AG82</f>
        <v/>
      </c>
      <c r="AH83" s="40">
        <f>AH80+AH81+AH82</f>
        <v/>
      </c>
      <c r="AI83" s="40">
        <f>AI80+AI81+AI82</f>
        <v/>
      </c>
      <c r="AJ83" s="40">
        <f>AJ80+AJ81+AJ82</f>
        <v/>
      </c>
      <c r="AK83" s="40">
        <f>AK80+AK81+AK82</f>
        <v/>
      </c>
      <c r="AL83" s="40">
        <f>AL80+AL81+AL82</f>
        <v/>
      </c>
      <c r="AM83" s="40">
        <f>AM80+AM81+AM82</f>
        <v/>
      </c>
      <c r="AN83" s="40">
        <f>AN80+AN81+AN82</f>
        <v/>
      </c>
      <c r="AO83" s="40">
        <f>AO80+AO81+AO82</f>
        <v/>
      </c>
      <c r="AP83" s="40">
        <f>AP80+AP81+AP82</f>
        <v/>
      </c>
      <c r="AQ83" s="40">
        <f>AQ80+AQ81+AQ82</f>
        <v/>
      </c>
      <c r="AR83" s="40">
        <f>AR80+AR81+AR82</f>
        <v/>
      </c>
      <c r="AS83" s="40">
        <f>AS80+AS81+AS82</f>
        <v/>
      </c>
      <c r="AT83" s="40">
        <f>AT80+AT81+AT82</f>
        <v/>
      </c>
      <c r="AU83" s="40">
        <f>AU80+AU81+AU82</f>
        <v/>
      </c>
      <c r="AV83" s="40">
        <f>AV80+AV81+AV82</f>
        <v/>
      </c>
      <c r="AW83" s="40">
        <f>AW80+AW81+AW82</f>
        <v/>
      </c>
      <c r="AX83" s="40">
        <f>AX80+AX81+AX82</f>
        <v/>
      </c>
      <c r="AY83" s="40">
        <f>AY80+AY81+AY82</f>
        <v/>
      </c>
      <c r="AZ83" s="40">
        <f>AZ80+AZ81+AZ82</f>
        <v/>
      </c>
      <c r="BA83" s="40">
        <f>BA80+BA81+BA82</f>
        <v/>
      </c>
      <c r="BB83" s="40">
        <f>BB80+BB81+BB82</f>
        <v/>
      </c>
      <c r="BC83" s="40">
        <f>BC80+BC81+BC82</f>
        <v/>
      </c>
      <c r="BD83" s="40">
        <f>BD80+BD81+BD82</f>
        <v/>
      </c>
    </row>
    <row r="84">
      <c r="A84" s="41" t="inlineStr">
        <is>
          <t xml:space="preserve">  picking hours used</t>
        </is>
      </c>
      <c r="B84" s="2" t="inlineStr">
        <is>
          <t>hrs</t>
        </is>
      </c>
      <c r="E84" s="42">
        <f>E80/($B$17/$P$17)+E81/($B$18/$P$18)+E82/($B$19/$P$19)</f>
        <v/>
      </c>
      <c r="F84" s="42">
        <f>F80/($B$17/$P$17)+F81/($B$18/$P$18)+F82/($B$19/$P$19)</f>
        <v/>
      </c>
      <c r="G84" s="42">
        <f>G80/($B$17/$P$17)+G81/($B$18/$P$18)+G82/($B$19/$P$19)</f>
        <v/>
      </c>
      <c r="H84" s="42">
        <f>H80/($B$17/$P$17)+H81/($B$18/$P$18)+H82/($B$19/$P$19)</f>
        <v/>
      </c>
      <c r="I84" s="42">
        <f>I80/($B$17/$P$17)+I81/($B$18/$P$18)+I82/($B$19/$P$19)</f>
        <v/>
      </c>
      <c r="J84" s="42">
        <f>J80/($B$17/$P$17)+J81/($B$18/$P$18)+J82/($B$19/$P$19)</f>
        <v/>
      </c>
      <c r="K84" s="42">
        <f>K80/($B$17/$P$17)+K81/($B$18/$P$18)+K82/($B$19/$P$19)</f>
        <v/>
      </c>
      <c r="L84" s="42">
        <f>L80/($B$17/$P$17)+L81/($B$18/$P$18)+L82/($B$19/$P$19)</f>
        <v/>
      </c>
      <c r="M84" s="42">
        <f>M80/($B$17/$P$17)+M81/($B$18/$P$18)+M82/($B$19/$P$19)</f>
        <v/>
      </c>
      <c r="N84" s="42">
        <f>N80/($B$17/$P$17)+N81/($B$18/$P$18)+N82/($B$19/$P$19)</f>
        <v/>
      </c>
      <c r="O84" s="42">
        <f>O80/($B$17/$P$17)+O81/($B$18/$P$18)+O82/($B$19/$P$19)</f>
        <v/>
      </c>
      <c r="P84" s="42">
        <f>P80/($B$17/$P$17)+P81/($B$18/$P$18)+P82/($B$19/$P$19)</f>
        <v/>
      </c>
      <c r="Q84" s="42">
        <f>Q80/($B$17/$P$17)+Q81/($B$18/$P$18)+Q82/($B$19/$P$19)</f>
        <v/>
      </c>
      <c r="R84" s="42">
        <f>R80/($B$17/$P$17)+R81/($B$18/$P$18)+R82/($B$19/$P$19)</f>
        <v/>
      </c>
      <c r="S84" s="42">
        <f>S80/($B$17/$P$17)+S81/($B$18/$P$18)+S82/($B$19/$P$19)</f>
        <v/>
      </c>
      <c r="T84" s="42">
        <f>T80/($B$17/$P$17)+T81/($B$18/$P$18)+T82/($B$19/$P$19)</f>
        <v/>
      </c>
      <c r="U84" s="42">
        <f>U80/($B$17/$P$17)+U81/($B$18/$P$18)+U82/($B$19/$P$19)</f>
        <v/>
      </c>
      <c r="V84" s="42">
        <f>V80/($B$17/$P$17)+V81/($B$18/$P$18)+V82/($B$19/$P$19)</f>
        <v/>
      </c>
      <c r="W84" s="42">
        <f>W80/($B$17/$P$17)+W81/($B$18/$P$18)+W82/($B$19/$P$19)</f>
        <v/>
      </c>
      <c r="X84" s="42">
        <f>X80/($B$17/$P$17)+X81/($B$18/$P$18)+X82/($B$19/$P$19)</f>
        <v/>
      </c>
      <c r="Y84" s="42">
        <f>Y80/($B$17/$P$17)+Y81/($B$18/$P$18)+Y82/($B$19/$P$19)</f>
        <v/>
      </c>
      <c r="Z84" s="42">
        <f>Z80/($B$17/$P$17)+Z81/($B$18/$P$18)+Z82/($B$19/$P$19)</f>
        <v/>
      </c>
      <c r="AA84" s="42">
        <f>AA80/($B$17/$P$17)+AA81/($B$18/$P$18)+AA82/($B$19/$P$19)</f>
        <v/>
      </c>
      <c r="AB84" s="42">
        <f>AB80/($B$17/$P$17)+AB81/($B$18/$P$18)+AB82/($B$19/$P$19)</f>
        <v/>
      </c>
      <c r="AC84" s="42">
        <f>AC80/($B$17/$P$17)+AC81/($B$18/$P$18)+AC82/($B$19/$P$19)</f>
        <v/>
      </c>
      <c r="AD84" s="42">
        <f>AD80/($B$17/$P$17)+AD81/($B$18/$P$18)+AD82/($B$19/$P$19)</f>
        <v/>
      </c>
      <c r="AE84" s="42">
        <f>AE80/($B$17/$P$17)+AE81/($B$18/$P$18)+AE82/($B$19/$P$19)</f>
        <v/>
      </c>
      <c r="AF84" s="42">
        <f>AF80/($B$17/$P$17)+AF81/($B$18/$P$18)+AF82/($B$19/$P$19)</f>
        <v/>
      </c>
      <c r="AG84" s="42">
        <f>AG80/($B$17/$P$17)+AG81/($B$18/$P$18)+AG82/($B$19/$P$19)</f>
        <v/>
      </c>
      <c r="AH84" s="42">
        <f>AH80/($B$17/$P$17)+AH81/($B$18/$P$18)+AH82/($B$19/$P$19)</f>
        <v/>
      </c>
      <c r="AI84" s="42">
        <f>AI80/($B$17/$P$17)+AI81/($B$18/$P$18)+AI82/($B$19/$P$19)</f>
        <v/>
      </c>
      <c r="AJ84" s="42">
        <f>AJ80/($B$17/$P$17)+AJ81/($B$18/$P$18)+AJ82/($B$19/$P$19)</f>
        <v/>
      </c>
      <c r="AK84" s="42">
        <f>AK80/($B$17/$P$17)+AK81/($B$18/$P$18)+AK82/($B$19/$P$19)</f>
        <v/>
      </c>
      <c r="AL84" s="42">
        <f>AL80/($B$17/$P$17)+AL81/($B$18/$P$18)+AL82/($B$19/$P$19)</f>
        <v/>
      </c>
      <c r="AM84" s="42">
        <f>AM80/($B$17/$P$17)+AM81/($B$18/$P$18)+AM82/($B$19/$P$19)</f>
        <v/>
      </c>
      <c r="AN84" s="42">
        <f>AN80/($B$17/$P$17)+AN81/($B$18/$P$18)+AN82/($B$19/$P$19)</f>
        <v/>
      </c>
      <c r="AO84" s="42">
        <f>AO80/($B$17/$P$17)+AO81/($B$18/$P$18)+AO82/($B$19/$P$19)</f>
        <v/>
      </c>
      <c r="AP84" s="42">
        <f>AP80/($B$17/$P$17)+AP81/($B$18/$P$18)+AP82/($B$19/$P$19)</f>
        <v/>
      </c>
      <c r="AQ84" s="42">
        <f>AQ80/($B$17/$P$17)+AQ81/($B$18/$P$18)+AQ82/($B$19/$P$19)</f>
        <v/>
      </c>
      <c r="AR84" s="42">
        <f>AR80/($B$17/$P$17)+AR81/($B$18/$P$18)+AR82/($B$19/$P$19)</f>
        <v/>
      </c>
      <c r="AS84" s="42">
        <f>AS80/($B$17/$P$17)+AS81/($B$18/$P$18)+AS82/($B$19/$P$19)</f>
        <v/>
      </c>
      <c r="AT84" s="42">
        <f>AT80/($B$17/$P$17)+AT81/($B$18/$P$18)+AT82/($B$19/$P$19)</f>
        <v/>
      </c>
      <c r="AU84" s="42">
        <f>AU80/($B$17/$P$17)+AU81/($B$18/$P$18)+AU82/($B$19/$P$19)</f>
        <v/>
      </c>
      <c r="AV84" s="42">
        <f>AV80/($B$17/$P$17)+AV81/($B$18/$P$18)+AV82/($B$19/$P$19)</f>
        <v/>
      </c>
      <c r="AW84" s="42">
        <f>AW80/($B$17/$P$17)+AW81/($B$18/$P$18)+AW82/($B$19/$P$19)</f>
        <v/>
      </c>
      <c r="AX84" s="42">
        <f>AX80/($B$17/$P$17)+AX81/($B$18/$P$18)+AX82/($B$19/$P$19)</f>
        <v/>
      </c>
      <c r="AY84" s="42">
        <f>AY80/($B$17/$P$17)+AY81/($B$18/$P$18)+AY82/($B$19/$P$19)</f>
        <v/>
      </c>
      <c r="AZ84" s="42">
        <f>AZ80/($B$17/$P$17)+AZ81/($B$18/$P$18)+AZ82/($B$19/$P$19)</f>
        <v/>
      </c>
      <c r="BA84" s="42">
        <f>BA80/($B$17/$P$17)+BA81/($B$18/$P$18)+BA82/($B$19/$P$19)</f>
        <v/>
      </c>
      <c r="BB84" s="42">
        <f>BB80/($B$17/$P$17)+BB81/($B$18/$P$18)+BB82/($B$19/$P$19)</f>
        <v/>
      </c>
      <c r="BC84" s="42">
        <f>BC80/($B$17/$P$17)+BC81/($B$18/$P$18)+BC82/($B$19/$P$19)</f>
        <v/>
      </c>
      <c r="BD84" s="42">
        <f>BD80/($B$17/$P$17)+BD81/($B$18/$P$18)+BD82/($B$19/$P$19)</f>
        <v/>
      </c>
    </row>
    <row r="85">
      <c r="A85" s="41" t="inlineStr">
        <is>
          <t xml:space="preserve">  their weekly capacity</t>
        </is>
      </c>
      <c r="B85" s="2" t="inlineStr">
        <is>
          <t>hrs</t>
        </is>
      </c>
      <c r="E85" s="42">
        <f>IF(AND(1&gt;=$B$68,1&lt;=$C$68),$B$69*$D$68,0)</f>
        <v/>
      </c>
      <c r="F85" s="42">
        <f>IF(AND(2&gt;=$B$68,2&lt;=$C$68),$B$69*$D$68,0)</f>
        <v/>
      </c>
      <c r="G85" s="42">
        <f>IF(AND(3&gt;=$B$68,3&lt;=$C$68),$B$69*$D$68,0)</f>
        <v/>
      </c>
      <c r="H85" s="42">
        <f>IF(AND(4&gt;=$B$68,4&lt;=$C$68),$B$69*$D$68,0)</f>
        <v/>
      </c>
      <c r="I85" s="42">
        <f>IF(AND(5&gt;=$B$68,5&lt;=$C$68),$B$69*$D$68,0)</f>
        <v/>
      </c>
      <c r="J85" s="42">
        <f>IF(AND(6&gt;=$B$68,6&lt;=$C$68),$B$69*$D$68,0)</f>
        <v/>
      </c>
      <c r="K85" s="42">
        <f>IF(AND(7&gt;=$B$68,7&lt;=$C$68),$B$69*$D$68,0)</f>
        <v/>
      </c>
      <c r="L85" s="42">
        <f>IF(AND(8&gt;=$B$68,8&lt;=$C$68),$B$69*$D$68,0)</f>
        <v/>
      </c>
      <c r="M85" s="42">
        <f>IF(AND(9&gt;=$B$68,9&lt;=$C$68),$B$69*$D$68,0)</f>
        <v/>
      </c>
      <c r="N85" s="42">
        <f>IF(AND(10&gt;=$B$68,10&lt;=$C$68),$B$69*$D$68,0)</f>
        <v/>
      </c>
      <c r="O85" s="42">
        <f>IF(AND(11&gt;=$B$68,11&lt;=$C$68),$B$69*$D$68,0)</f>
        <v/>
      </c>
      <c r="P85" s="42">
        <f>IF(AND(12&gt;=$B$68,12&lt;=$C$68),$B$69*$D$68,0)</f>
        <v/>
      </c>
      <c r="Q85" s="42">
        <f>IF(AND(13&gt;=$B$68,13&lt;=$C$68),$B$69*$D$68,0)</f>
        <v/>
      </c>
      <c r="R85" s="42">
        <f>IF(AND(14&gt;=$B$68,14&lt;=$C$68),$B$69*$D$68,0)</f>
        <v/>
      </c>
      <c r="S85" s="42">
        <f>IF(AND(15&gt;=$B$68,15&lt;=$C$68),$B$69*$D$68,0)</f>
        <v/>
      </c>
      <c r="T85" s="42">
        <f>IF(AND(16&gt;=$B$68,16&lt;=$C$68),$B$69*$D$68,0)</f>
        <v/>
      </c>
      <c r="U85" s="42">
        <f>IF(AND(17&gt;=$B$68,17&lt;=$C$68),$B$69*$D$68,0)</f>
        <v/>
      </c>
      <c r="V85" s="42">
        <f>IF(AND(18&gt;=$B$68,18&lt;=$C$68),$B$69*$D$68,0)</f>
        <v/>
      </c>
      <c r="W85" s="42">
        <f>IF(AND(19&gt;=$B$68,19&lt;=$C$68),$B$69*$D$68,0)</f>
        <v/>
      </c>
      <c r="X85" s="42">
        <f>IF(AND(20&gt;=$B$68,20&lt;=$C$68),$B$69*$D$68,0)</f>
        <v/>
      </c>
      <c r="Y85" s="42">
        <f>IF(AND(21&gt;=$B$68,21&lt;=$C$68),$B$69*$D$68,0)</f>
        <v/>
      </c>
      <c r="Z85" s="42">
        <f>IF(AND(22&gt;=$B$68,22&lt;=$C$68),$B$69*$D$68,0)</f>
        <v/>
      </c>
      <c r="AA85" s="42">
        <f>IF(AND(23&gt;=$B$68,23&lt;=$C$68),$B$69*$D$68,0)</f>
        <v/>
      </c>
      <c r="AB85" s="42">
        <f>IF(AND(24&gt;=$B$68,24&lt;=$C$68),$B$69*$D$68,0)</f>
        <v/>
      </c>
      <c r="AC85" s="42">
        <f>IF(AND(25&gt;=$B$68,25&lt;=$C$68),$B$69*$D$68,0)</f>
        <v/>
      </c>
      <c r="AD85" s="42">
        <f>IF(AND(26&gt;=$B$68,26&lt;=$C$68),$B$69*$D$68,0)</f>
        <v/>
      </c>
      <c r="AE85" s="42">
        <f>IF(AND(27&gt;=$B$68,27&lt;=$C$68),$B$69*$D$68,0)</f>
        <v/>
      </c>
      <c r="AF85" s="42">
        <f>IF(AND(28&gt;=$B$68,28&lt;=$C$68),$B$69*$D$68,0)</f>
        <v/>
      </c>
      <c r="AG85" s="42">
        <f>IF(AND(29&gt;=$B$68,29&lt;=$C$68),$B$69*$D$68,0)</f>
        <v/>
      </c>
      <c r="AH85" s="42">
        <f>IF(AND(30&gt;=$B$68,30&lt;=$C$68),$B$69*$D$68,0)</f>
        <v/>
      </c>
      <c r="AI85" s="42">
        <f>IF(AND(31&gt;=$B$68,31&lt;=$C$68),$B$69*$D$68,0)</f>
        <v/>
      </c>
      <c r="AJ85" s="42">
        <f>IF(AND(32&gt;=$B$68,32&lt;=$C$68),$B$69*$D$68,0)</f>
        <v/>
      </c>
      <c r="AK85" s="42">
        <f>IF(AND(33&gt;=$B$68,33&lt;=$C$68),$B$69*$D$68,0)</f>
        <v/>
      </c>
      <c r="AL85" s="42">
        <f>IF(AND(34&gt;=$B$68,34&lt;=$C$68),$B$69*$D$68,0)</f>
        <v/>
      </c>
      <c r="AM85" s="42">
        <f>IF(AND(35&gt;=$B$68,35&lt;=$C$68),$B$69*$D$68,0)</f>
        <v/>
      </c>
      <c r="AN85" s="42">
        <f>IF(AND(36&gt;=$B$68,36&lt;=$C$68),$B$69*$D$68,0)</f>
        <v/>
      </c>
      <c r="AO85" s="42">
        <f>IF(AND(37&gt;=$B$68,37&lt;=$C$68),$B$69*$D$68,0)</f>
        <v/>
      </c>
      <c r="AP85" s="42">
        <f>IF(AND(38&gt;=$B$68,38&lt;=$C$68),$B$69*$D$68,0)</f>
        <v/>
      </c>
      <c r="AQ85" s="42">
        <f>IF(AND(39&gt;=$B$68,39&lt;=$C$68),$B$69*$D$68,0)</f>
        <v/>
      </c>
      <c r="AR85" s="42">
        <f>IF(AND(40&gt;=$B$68,40&lt;=$C$68),$B$69*$D$68,0)</f>
        <v/>
      </c>
      <c r="AS85" s="42">
        <f>IF(AND(41&gt;=$B$68,41&lt;=$C$68),$B$69*$D$68,0)</f>
        <v/>
      </c>
      <c r="AT85" s="42">
        <f>IF(AND(42&gt;=$B$68,42&lt;=$C$68),$B$69*$D$68,0)</f>
        <v/>
      </c>
      <c r="AU85" s="42">
        <f>IF(AND(43&gt;=$B$68,43&lt;=$C$68),$B$69*$D$68,0)</f>
        <v/>
      </c>
      <c r="AV85" s="42">
        <f>IF(AND(44&gt;=$B$68,44&lt;=$C$68),$B$69*$D$68,0)</f>
        <v/>
      </c>
      <c r="AW85" s="42">
        <f>IF(AND(45&gt;=$B$68,45&lt;=$C$68),$B$69*$D$68,0)</f>
        <v/>
      </c>
      <c r="AX85" s="42">
        <f>IF(AND(46&gt;=$B$68,46&lt;=$C$68),$B$69*$D$68,0)</f>
        <v/>
      </c>
      <c r="AY85" s="42">
        <f>IF(AND(47&gt;=$B$68,47&lt;=$C$68),$B$69*$D$68,0)</f>
        <v/>
      </c>
      <c r="AZ85" s="42">
        <f>IF(AND(48&gt;=$B$68,48&lt;=$C$68),$B$69*$D$68,0)</f>
        <v/>
      </c>
      <c r="BA85" s="42">
        <f>IF(AND(49&gt;=$B$68,49&lt;=$C$68),$B$69*$D$68,0)</f>
        <v/>
      </c>
      <c r="BB85" s="42">
        <f>IF(AND(50&gt;=$B$68,50&lt;=$C$68),$B$69*$D$68,0)</f>
        <v/>
      </c>
      <c r="BC85" s="42">
        <f>IF(AND(51&gt;=$B$68,51&lt;=$C$68),$B$69*$D$68,0)</f>
        <v/>
      </c>
      <c r="BD85" s="42">
        <f>IF(AND(52&gt;=$B$68,52&lt;=$C$68),$B$69*$D$68,0)</f>
        <v/>
      </c>
    </row>
    <row r="86">
      <c r="A86" s="43" t="inlineStr">
        <is>
          <t xml:space="preserve">  room left</t>
        </is>
      </c>
      <c r="B86" s="2" t="inlineStr">
        <is>
          <t>hrs</t>
        </is>
      </c>
      <c r="E86" s="42">
        <f>E85-E84</f>
        <v/>
      </c>
      <c r="F86" s="42">
        <f>F85-F84</f>
        <v/>
      </c>
      <c r="G86" s="42">
        <f>G85-G84</f>
        <v/>
      </c>
      <c r="H86" s="42">
        <f>H85-H84</f>
        <v/>
      </c>
      <c r="I86" s="42">
        <f>I85-I84</f>
        <v/>
      </c>
      <c r="J86" s="42">
        <f>J85-J84</f>
        <v/>
      </c>
      <c r="K86" s="42">
        <f>K85-K84</f>
        <v/>
      </c>
      <c r="L86" s="42">
        <f>L85-L84</f>
        <v/>
      </c>
      <c r="M86" s="42">
        <f>M85-M84</f>
        <v/>
      </c>
      <c r="N86" s="42">
        <f>N85-N84</f>
        <v/>
      </c>
      <c r="O86" s="42">
        <f>O85-O84</f>
        <v/>
      </c>
      <c r="P86" s="42">
        <f>P85-P84</f>
        <v/>
      </c>
      <c r="Q86" s="42">
        <f>Q85-Q84</f>
        <v/>
      </c>
      <c r="R86" s="42">
        <f>R85-R84</f>
        <v/>
      </c>
      <c r="S86" s="42">
        <f>S85-S84</f>
        <v/>
      </c>
      <c r="T86" s="42">
        <f>T85-T84</f>
        <v/>
      </c>
      <c r="U86" s="42">
        <f>U85-U84</f>
        <v/>
      </c>
      <c r="V86" s="42">
        <f>V85-V84</f>
        <v/>
      </c>
      <c r="W86" s="42">
        <f>W85-W84</f>
        <v/>
      </c>
      <c r="X86" s="42">
        <f>X85-X84</f>
        <v/>
      </c>
      <c r="Y86" s="42">
        <f>Y85-Y84</f>
        <v/>
      </c>
      <c r="Z86" s="42">
        <f>Z85-Z84</f>
        <v/>
      </c>
      <c r="AA86" s="42">
        <f>AA85-AA84</f>
        <v/>
      </c>
      <c r="AB86" s="42">
        <f>AB85-AB84</f>
        <v/>
      </c>
      <c r="AC86" s="42">
        <f>AC85-AC84</f>
        <v/>
      </c>
      <c r="AD86" s="42">
        <f>AD85-AD84</f>
        <v/>
      </c>
      <c r="AE86" s="42">
        <f>AE85-AE84</f>
        <v/>
      </c>
      <c r="AF86" s="42">
        <f>AF85-AF84</f>
        <v/>
      </c>
      <c r="AG86" s="42">
        <f>AG85-AG84</f>
        <v/>
      </c>
      <c r="AH86" s="42">
        <f>AH85-AH84</f>
        <v/>
      </c>
      <c r="AI86" s="42">
        <f>AI85-AI84</f>
        <v/>
      </c>
      <c r="AJ86" s="42">
        <f>AJ85-AJ84</f>
        <v/>
      </c>
      <c r="AK86" s="42">
        <f>AK85-AK84</f>
        <v/>
      </c>
      <c r="AL86" s="42">
        <f>AL85-AL84</f>
        <v/>
      </c>
      <c r="AM86" s="42">
        <f>AM85-AM84</f>
        <v/>
      </c>
      <c r="AN86" s="42">
        <f>AN85-AN84</f>
        <v/>
      </c>
      <c r="AO86" s="42">
        <f>AO85-AO84</f>
        <v/>
      </c>
      <c r="AP86" s="42">
        <f>AP85-AP84</f>
        <v/>
      </c>
      <c r="AQ86" s="42">
        <f>AQ85-AQ84</f>
        <v/>
      </c>
      <c r="AR86" s="42">
        <f>AR85-AR84</f>
        <v/>
      </c>
      <c r="AS86" s="42">
        <f>AS85-AS84</f>
        <v/>
      </c>
      <c r="AT86" s="42">
        <f>AT85-AT84</f>
        <v/>
      </c>
      <c r="AU86" s="42">
        <f>AU85-AU84</f>
        <v/>
      </c>
      <c r="AV86" s="42">
        <f>AV85-AV84</f>
        <v/>
      </c>
      <c r="AW86" s="42">
        <f>AW85-AW84</f>
        <v/>
      </c>
      <c r="AX86" s="42">
        <f>AX85-AX84</f>
        <v/>
      </c>
      <c r="AY86" s="42">
        <f>AY85-AY84</f>
        <v/>
      </c>
      <c r="AZ86" s="42">
        <f>AZ85-AZ84</f>
        <v/>
      </c>
      <c r="BA86" s="42">
        <f>BA85-BA84</f>
        <v/>
      </c>
      <c r="BB86" s="42">
        <f>BB85-BB84</f>
        <v/>
      </c>
      <c r="BC86" s="42">
        <f>BC85-BC84</f>
        <v/>
      </c>
      <c r="BD86" s="42">
        <f>BD85-BD84</f>
        <v/>
      </c>
    </row>
    <row r="87">
      <c r="A87" s="2" t="inlineStr">
        <is>
          <t xml:space="preserve">   Zero outside their weeks, and zero unless ENGAGED — that link is what makes the fixed cost conditional. Capacity is HOURS: 200 is five pickers at forty hours, and it buys whatever pounds that many hours picks of whichever crop they are on.</t>
        </is>
      </c>
    </row>
    <row r="89">
      <c r="A89" s="3" t="inlineStr">
        <is>
          <t>4 — THE PLANTING CALENDAR   (141 possible plantings — the solver picks)</t>
        </is>
      </c>
    </row>
    <row r="90">
      <c r="A90" s="2" t="inlineStr">
        <is>
          <t>One row per legal start week, exactly what the app's generator offers. ACRES and PLANT? are both decisions.</t>
        </is>
      </c>
    </row>
    <row r="91">
      <c r="A91" s="36" t="inlineStr">
        <is>
          <t>Succession</t>
        </is>
      </c>
      <c r="B91" s="36" t="inlineStr">
        <is>
          <t>Crop</t>
        </is>
      </c>
      <c r="C91" s="32" t="inlineStr">
        <is>
          <t>ACRES</t>
        </is>
      </c>
      <c r="D91" s="32" t="inlineStr">
        <is>
          <t>PLANT?</t>
        </is>
      </c>
      <c r="E91" s="38" t="n">
        <v>1</v>
      </c>
      <c r="F91" s="38" t="n">
        <v>2</v>
      </c>
      <c r="G91" s="38" t="n">
        <v>3</v>
      </c>
      <c r="H91" s="38" t="n">
        <v>4</v>
      </c>
      <c r="I91" s="38" t="n">
        <v>5</v>
      </c>
      <c r="J91" s="38" t="n">
        <v>6</v>
      </c>
      <c r="K91" s="38" t="n">
        <v>7</v>
      </c>
      <c r="L91" s="38" t="n">
        <v>8</v>
      </c>
      <c r="M91" s="38" t="n">
        <v>9</v>
      </c>
      <c r="N91" s="38" t="n">
        <v>10</v>
      </c>
      <c r="O91" s="38" t="n">
        <v>11</v>
      </c>
      <c r="P91" s="38" t="n">
        <v>12</v>
      </c>
      <c r="Q91" s="38" t="n">
        <v>13</v>
      </c>
      <c r="R91" s="38" t="n">
        <v>14</v>
      </c>
      <c r="S91" s="38" t="n">
        <v>15</v>
      </c>
      <c r="T91" s="38" t="n">
        <v>16</v>
      </c>
      <c r="U91" s="38" t="n">
        <v>17</v>
      </c>
      <c r="V91" s="38" t="n">
        <v>18</v>
      </c>
      <c r="W91" s="38" t="n">
        <v>19</v>
      </c>
      <c r="X91" s="38" t="n">
        <v>20</v>
      </c>
      <c r="Y91" s="38" t="n">
        <v>21</v>
      </c>
      <c r="Z91" s="38" t="n">
        <v>22</v>
      </c>
      <c r="AA91" s="38" t="n">
        <v>23</v>
      </c>
      <c r="AB91" s="38" t="n">
        <v>24</v>
      </c>
      <c r="AC91" s="38" t="n">
        <v>25</v>
      </c>
      <c r="AD91" s="38" t="n">
        <v>26</v>
      </c>
      <c r="AE91" s="38" t="n">
        <v>27</v>
      </c>
      <c r="AF91" s="38" t="n">
        <v>28</v>
      </c>
      <c r="AG91" s="38" t="n">
        <v>29</v>
      </c>
      <c r="AH91" s="38" t="n">
        <v>30</v>
      </c>
      <c r="AI91" s="38" t="n">
        <v>31</v>
      </c>
      <c r="AJ91" s="38" t="n">
        <v>32</v>
      </c>
      <c r="AK91" s="38" t="n">
        <v>33</v>
      </c>
      <c r="AL91" s="38" t="n">
        <v>34</v>
      </c>
      <c r="AM91" s="38" t="n">
        <v>35</v>
      </c>
      <c r="AN91" s="38" t="n">
        <v>36</v>
      </c>
      <c r="AO91" s="38" t="n">
        <v>37</v>
      </c>
      <c r="AP91" s="38" t="n">
        <v>38</v>
      </c>
      <c r="AQ91" s="38" t="n">
        <v>39</v>
      </c>
      <c r="AR91" s="38" t="n">
        <v>40</v>
      </c>
      <c r="AS91" s="38" t="n">
        <v>41</v>
      </c>
      <c r="AT91" s="38" t="n">
        <v>42</v>
      </c>
      <c r="AU91" s="38" t="n">
        <v>43</v>
      </c>
      <c r="AV91" s="38" t="n">
        <v>44</v>
      </c>
      <c r="AW91" s="38" t="n">
        <v>45</v>
      </c>
      <c r="AX91" s="38" t="n">
        <v>46</v>
      </c>
      <c r="AY91" s="38" t="n">
        <v>47</v>
      </c>
      <c r="AZ91" s="38" t="n">
        <v>48</v>
      </c>
      <c r="BA91" s="38" t="n">
        <v>49</v>
      </c>
      <c r="BB91" s="38" t="n">
        <v>50</v>
      </c>
      <c r="BC91" s="38" t="n">
        <v>51</v>
      </c>
      <c r="BD91" s="38" t="n">
        <v>52</v>
      </c>
      <c r="BE91" s="44" t="inlineStr">
        <is>
          <t>max if planted</t>
        </is>
      </c>
      <c r="BF91" s="44" t="inlineStr">
        <is>
          <t>min if planted</t>
        </is>
      </c>
      <c r="BG91" s="44" t="inlineStr">
        <is>
          <t>starts wk</t>
        </is>
      </c>
      <c r="BH91" s="44" t="inlineStr">
        <is>
          <t>zone</t>
        </is>
      </c>
      <c r="BI91" s="44" t="inlineStr">
        <is>
          <t>sells as</t>
        </is>
      </c>
    </row>
    <row r="92">
      <c r="A92" s="33" t="inlineStr">
        <is>
          <t>Spinach W05</t>
        </is>
      </c>
      <c r="B92" s="33" t="inlineStr">
        <is>
          <t>Spinach</t>
        </is>
      </c>
      <c r="C92" s="45" t="n">
        <v>0</v>
      </c>
      <c r="D92" s="46" t="n">
        <v>0</v>
      </c>
      <c r="I92" s="47" t="inlineStr">
        <is>
          <t>P</t>
        </is>
      </c>
      <c r="J92" s="47" t="inlineStr">
        <is>
          <t>G</t>
        </is>
      </c>
      <c r="K92" s="47" t="inlineStr">
        <is>
          <t>G</t>
        </is>
      </c>
      <c r="L92" s="47" t="inlineStr">
        <is>
          <t>G</t>
        </is>
      </c>
      <c r="M92" s="47" t="inlineStr">
        <is>
          <t>G</t>
        </is>
      </c>
      <c r="N92" s="47" t="inlineStr">
        <is>
          <t>G</t>
        </is>
      </c>
      <c r="O92" s="47" t="inlineStr">
        <is>
          <t>H</t>
        </is>
      </c>
      <c r="P92" s="47" t="inlineStr">
        <is>
          <t>H</t>
        </is>
      </c>
      <c r="BE92" s="48">
        <f>D92*$B$6*IF($R$17="Y",1,0)</f>
        <v/>
      </c>
      <c r="BF92" s="48">
        <f>D92*$I$17</f>
        <v/>
      </c>
      <c r="BG92" s="49">
        <f>MATCH("P",$E92:$BD92,0)</f>
        <v/>
      </c>
      <c r="BH92" s="33" t="inlineStr">
        <is>
          <t>Open field</t>
        </is>
      </c>
      <c r="BI92" s="33">
        <f>$Q$17</f>
        <v/>
      </c>
    </row>
    <row r="93">
      <c r="A93" s="33" t="inlineStr">
        <is>
          <t>Spinach W06</t>
        </is>
      </c>
      <c r="B93" s="33" t="inlineStr">
        <is>
          <t>Spinach</t>
        </is>
      </c>
      <c r="C93" s="45" t="n">
        <v>0</v>
      </c>
      <c r="D93" s="46" t="n">
        <v>0</v>
      </c>
      <c r="J93" s="47" t="inlineStr">
        <is>
          <t>P</t>
        </is>
      </c>
      <c r="K93" s="47" t="inlineStr">
        <is>
          <t>G</t>
        </is>
      </c>
      <c r="L93" s="47" t="inlineStr">
        <is>
          <t>G</t>
        </is>
      </c>
      <c r="M93" s="47" t="inlineStr">
        <is>
          <t>G</t>
        </is>
      </c>
      <c r="N93" s="47" t="inlineStr">
        <is>
          <t>G</t>
        </is>
      </c>
      <c r="O93" s="47" t="inlineStr">
        <is>
          <t>G</t>
        </is>
      </c>
      <c r="P93" s="47" t="inlineStr">
        <is>
          <t>H</t>
        </is>
      </c>
      <c r="Q93" s="47" t="inlineStr">
        <is>
          <t>H</t>
        </is>
      </c>
      <c r="BE93" s="48">
        <f>D93*$B$6*IF($R$17="Y",1,0)</f>
        <v/>
      </c>
      <c r="BF93" s="48">
        <f>D93*$I$17</f>
        <v/>
      </c>
      <c r="BG93" s="49">
        <f>MATCH("P",$E93:$BD93,0)</f>
        <v/>
      </c>
      <c r="BH93" s="33" t="inlineStr">
        <is>
          <t>Open field</t>
        </is>
      </c>
      <c r="BI93" s="33">
        <f>$Q$17</f>
        <v/>
      </c>
    </row>
    <row r="94">
      <c r="A94" s="33" t="inlineStr">
        <is>
          <t>Spinach W07</t>
        </is>
      </c>
      <c r="B94" s="33" t="inlineStr">
        <is>
          <t>Spinach</t>
        </is>
      </c>
      <c r="C94" s="45" t="n">
        <v>0</v>
      </c>
      <c r="D94" s="46" t="n">
        <v>0</v>
      </c>
      <c r="K94" s="47" t="inlineStr">
        <is>
          <t>P</t>
        </is>
      </c>
      <c r="L94" s="47" t="inlineStr">
        <is>
          <t>G</t>
        </is>
      </c>
      <c r="M94" s="47" t="inlineStr">
        <is>
          <t>G</t>
        </is>
      </c>
      <c r="N94" s="47" t="inlineStr">
        <is>
          <t>G</t>
        </is>
      </c>
      <c r="O94" s="47" t="inlineStr">
        <is>
          <t>G</t>
        </is>
      </c>
      <c r="P94" s="47" t="inlineStr">
        <is>
          <t>G</t>
        </is>
      </c>
      <c r="Q94" s="47" t="inlineStr">
        <is>
          <t>H</t>
        </is>
      </c>
      <c r="R94" s="47" t="inlineStr">
        <is>
          <t>H</t>
        </is>
      </c>
      <c r="BE94" s="48">
        <f>D94*$B$6*IF($R$17="Y",1,0)</f>
        <v/>
      </c>
      <c r="BF94" s="48">
        <f>D94*$I$17</f>
        <v/>
      </c>
      <c r="BG94" s="49">
        <f>MATCH("P",$E94:$BD94,0)</f>
        <v/>
      </c>
      <c r="BH94" s="33" t="inlineStr">
        <is>
          <t>Open field</t>
        </is>
      </c>
      <c r="BI94" s="33">
        <f>$Q$17</f>
        <v/>
      </c>
    </row>
    <row r="95">
      <c r="A95" s="33" t="inlineStr">
        <is>
          <t>Spinach W08</t>
        </is>
      </c>
      <c r="B95" s="33" t="inlineStr">
        <is>
          <t>Spinach</t>
        </is>
      </c>
      <c r="C95" s="45" t="n">
        <v>0</v>
      </c>
      <c r="D95" s="46" t="n">
        <v>0</v>
      </c>
      <c r="L95" s="47" t="inlineStr">
        <is>
          <t>P</t>
        </is>
      </c>
      <c r="M95" s="47" t="inlineStr">
        <is>
          <t>G</t>
        </is>
      </c>
      <c r="N95" s="47" t="inlineStr">
        <is>
          <t>G</t>
        </is>
      </c>
      <c r="O95" s="47" t="inlineStr">
        <is>
          <t>G</t>
        </is>
      </c>
      <c r="P95" s="47" t="inlineStr">
        <is>
          <t>G</t>
        </is>
      </c>
      <c r="Q95" s="47" t="inlineStr">
        <is>
          <t>G</t>
        </is>
      </c>
      <c r="R95" s="47" t="inlineStr">
        <is>
          <t>H</t>
        </is>
      </c>
      <c r="S95" s="47" t="inlineStr">
        <is>
          <t>H</t>
        </is>
      </c>
      <c r="BE95" s="48">
        <f>D95*$B$6*IF($R$17="Y",1,0)</f>
        <v/>
      </c>
      <c r="BF95" s="48">
        <f>D95*$I$17</f>
        <v/>
      </c>
      <c r="BG95" s="49">
        <f>MATCH("P",$E95:$BD95,0)</f>
        <v/>
      </c>
      <c r="BH95" s="33" t="inlineStr">
        <is>
          <t>Open field</t>
        </is>
      </c>
      <c r="BI95" s="33">
        <f>$Q$17</f>
        <v/>
      </c>
    </row>
    <row r="96">
      <c r="A96" s="33" t="inlineStr">
        <is>
          <t>Spinach W09</t>
        </is>
      </c>
      <c r="B96" s="33" t="inlineStr">
        <is>
          <t>Spinach</t>
        </is>
      </c>
      <c r="C96" s="45" t="n">
        <v>0</v>
      </c>
      <c r="D96" s="46" t="n">
        <v>0</v>
      </c>
      <c r="M96" s="47" t="inlineStr">
        <is>
          <t>P</t>
        </is>
      </c>
      <c r="N96" s="47" t="inlineStr">
        <is>
          <t>G</t>
        </is>
      </c>
      <c r="O96" s="47" t="inlineStr">
        <is>
          <t>G</t>
        </is>
      </c>
      <c r="P96" s="47" t="inlineStr">
        <is>
          <t>G</t>
        </is>
      </c>
      <c r="Q96" s="47" t="inlineStr">
        <is>
          <t>G</t>
        </is>
      </c>
      <c r="R96" s="47" t="inlineStr">
        <is>
          <t>G</t>
        </is>
      </c>
      <c r="S96" s="47" t="inlineStr">
        <is>
          <t>H</t>
        </is>
      </c>
      <c r="T96" s="47" t="inlineStr">
        <is>
          <t>H</t>
        </is>
      </c>
      <c r="BE96" s="48">
        <f>D96*$B$6*IF($R$17="Y",1,0)</f>
        <v/>
      </c>
      <c r="BF96" s="48">
        <f>D96*$I$17</f>
        <v/>
      </c>
      <c r="BG96" s="49">
        <f>MATCH("P",$E96:$BD96,0)</f>
        <v/>
      </c>
      <c r="BH96" s="33" t="inlineStr">
        <is>
          <t>Open field</t>
        </is>
      </c>
      <c r="BI96" s="33">
        <f>$Q$17</f>
        <v/>
      </c>
    </row>
    <row r="97">
      <c r="A97" s="33" t="inlineStr">
        <is>
          <t>Spinach W10</t>
        </is>
      </c>
      <c r="B97" s="33" t="inlineStr">
        <is>
          <t>Spinach</t>
        </is>
      </c>
      <c r="C97" s="45" t="n">
        <v>0</v>
      </c>
      <c r="D97" s="46" t="n">
        <v>0</v>
      </c>
      <c r="N97" s="47" t="inlineStr">
        <is>
          <t>P</t>
        </is>
      </c>
      <c r="O97" s="47" t="inlineStr">
        <is>
          <t>G</t>
        </is>
      </c>
      <c r="P97" s="47" t="inlineStr">
        <is>
          <t>G</t>
        </is>
      </c>
      <c r="Q97" s="47" t="inlineStr">
        <is>
          <t>G</t>
        </is>
      </c>
      <c r="R97" s="47" t="inlineStr">
        <is>
          <t>G</t>
        </is>
      </c>
      <c r="S97" s="47" t="inlineStr">
        <is>
          <t>G</t>
        </is>
      </c>
      <c r="T97" s="47" t="inlineStr">
        <is>
          <t>H</t>
        </is>
      </c>
      <c r="U97" s="47" t="inlineStr">
        <is>
          <t>H</t>
        </is>
      </c>
      <c r="BE97" s="48">
        <f>D97*$B$6*IF($R$17="Y",1,0)</f>
        <v/>
      </c>
      <c r="BF97" s="48">
        <f>D97*$I$17</f>
        <v/>
      </c>
      <c r="BG97" s="49">
        <f>MATCH("P",$E97:$BD97,0)</f>
        <v/>
      </c>
      <c r="BH97" s="33" t="inlineStr">
        <is>
          <t>Open field</t>
        </is>
      </c>
      <c r="BI97" s="33">
        <f>$Q$17</f>
        <v/>
      </c>
    </row>
    <row r="98">
      <c r="A98" s="33" t="inlineStr">
        <is>
          <t>Spinach W11</t>
        </is>
      </c>
      <c r="B98" s="33" t="inlineStr">
        <is>
          <t>Spinach</t>
        </is>
      </c>
      <c r="C98" s="45" t="n">
        <v>0</v>
      </c>
      <c r="D98" s="46" t="n">
        <v>0</v>
      </c>
      <c r="O98" s="47" t="inlineStr">
        <is>
          <t>P</t>
        </is>
      </c>
      <c r="P98" s="47" t="inlineStr">
        <is>
          <t>G</t>
        </is>
      </c>
      <c r="Q98" s="47" t="inlineStr">
        <is>
          <t>G</t>
        </is>
      </c>
      <c r="R98" s="47" t="inlineStr">
        <is>
          <t>G</t>
        </is>
      </c>
      <c r="S98" s="47" t="inlineStr">
        <is>
          <t>G</t>
        </is>
      </c>
      <c r="T98" s="47" t="inlineStr">
        <is>
          <t>G</t>
        </is>
      </c>
      <c r="U98" s="47" t="inlineStr">
        <is>
          <t>H</t>
        </is>
      </c>
      <c r="V98" s="47" t="inlineStr">
        <is>
          <t>H</t>
        </is>
      </c>
      <c r="BE98" s="48">
        <f>D98*$B$6*IF($R$17="Y",1,0)</f>
        <v/>
      </c>
      <c r="BF98" s="48">
        <f>D98*$I$17</f>
        <v/>
      </c>
      <c r="BG98" s="49">
        <f>MATCH("P",$E98:$BD98,0)</f>
        <v/>
      </c>
      <c r="BH98" s="33" t="inlineStr">
        <is>
          <t>Open field</t>
        </is>
      </c>
      <c r="BI98" s="33">
        <f>$Q$17</f>
        <v/>
      </c>
    </row>
    <row r="99">
      <c r="A99" s="33" t="inlineStr">
        <is>
          <t>Spinach W12</t>
        </is>
      </c>
      <c r="B99" s="33" t="inlineStr">
        <is>
          <t>Spinach</t>
        </is>
      </c>
      <c r="C99" s="45" t="n">
        <v>0</v>
      </c>
      <c r="D99" s="46" t="n">
        <v>0</v>
      </c>
      <c r="P99" s="47" t="inlineStr">
        <is>
          <t>P</t>
        </is>
      </c>
      <c r="Q99" s="47" t="inlineStr">
        <is>
          <t>G</t>
        </is>
      </c>
      <c r="R99" s="47" t="inlineStr">
        <is>
          <t>G</t>
        </is>
      </c>
      <c r="S99" s="47" t="inlineStr">
        <is>
          <t>G</t>
        </is>
      </c>
      <c r="T99" s="47" t="inlineStr">
        <is>
          <t>G</t>
        </is>
      </c>
      <c r="U99" s="47" t="inlineStr">
        <is>
          <t>G</t>
        </is>
      </c>
      <c r="V99" s="47" t="inlineStr">
        <is>
          <t>H</t>
        </is>
      </c>
      <c r="W99" s="47" t="inlineStr">
        <is>
          <t>H</t>
        </is>
      </c>
      <c r="BE99" s="48">
        <f>D99*$B$6*IF($R$17="Y",1,0)</f>
        <v/>
      </c>
      <c r="BF99" s="48">
        <f>D99*$I$17</f>
        <v/>
      </c>
      <c r="BG99" s="49">
        <f>MATCH("P",$E99:$BD99,0)</f>
        <v/>
      </c>
      <c r="BH99" s="33" t="inlineStr">
        <is>
          <t>Open field</t>
        </is>
      </c>
      <c r="BI99" s="33">
        <f>$Q$17</f>
        <v/>
      </c>
    </row>
    <row r="100">
      <c r="A100" s="33" t="inlineStr">
        <is>
          <t>Spinach W13</t>
        </is>
      </c>
      <c r="B100" s="33" t="inlineStr">
        <is>
          <t>Spinach</t>
        </is>
      </c>
      <c r="C100" s="45" t="n">
        <v>0</v>
      </c>
      <c r="D100" s="46" t="n">
        <v>0</v>
      </c>
      <c r="Q100" s="47" t="inlineStr">
        <is>
          <t>P</t>
        </is>
      </c>
      <c r="R100" s="47" t="inlineStr">
        <is>
          <t>G</t>
        </is>
      </c>
      <c r="S100" s="47" t="inlineStr">
        <is>
          <t>G</t>
        </is>
      </c>
      <c r="T100" s="47" t="inlineStr">
        <is>
          <t>G</t>
        </is>
      </c>
      <c r="U100" s="47" t="inlineStr">
        <is>
          <t>G</t>
        </is>
      </c>
      <c r="V100" s="47" t="inlineStr">
        <is>
          <t>G</t>
        </is>
      </c>
      <c r="W100" s="47" t="inlineStr">
        <is>
          <t>H</t>
        </is>
      </c>
      <c r="X100" s="47" t="inlineStr">
        <is>
          <t>H</t>
        </is>
      </c>
      <c r="BE100" s="48">
        <f>D100*$B$6*IF($R$17="Y",1,0)</f>
        <v/>
      </c>
      <c r="BF100" s="48">
        <f>D100*$I$17</f>
        <v/>
      </c>
      <c r="BG100" s="49">
        <f>MATCH("P",$E100:$BD100,0)</f>
        <v/>
      </c>
      <c r="BH100" s="33" t="inlineStr">
        <is>
          <t>Open field</t>
        </is>
      </c>
      <c r="BI100" s="33">
        <f>$Q$17</f>
        <v/>
      </c>
    </row>
    <row r="101">
      <c r="A101" s="33" t="inlineStr">
        <is>
          <t>Spinach W14</t>
        </is>
      </c>
      <c r="B101" s="33" t="inlineStr">
        <is>
          <t>Spinach</t>
        </is>
      </c>
      <c r="C101" s="45" t="n">
        <v>0</v>
      </c>
      <c r="D101" s="46" t="n">
        <v>0</v>
      </c>
      <c r="R101" s="47" t="inlineStr">
        <is>
          <t>P</t>
        </is>
      </c>
      <c r="S101" s="47" t="inlineStr">
        <is>
          <t>G</t>
        </is>
      </c>
      <c r="T101" s="47" t="inlineStr">
        <is>
          <t>G</t>
        </is>
      </c>
      <c r="U101" s="47" t="inlineStr">
        <is>
          <t>G</t>
        </is>
      </c>
      <c r="V101" s="47" t="inlineStr">
        <is>
          <t>G</t>
        </is>
      </c>
      <c r="W101" s="47" t="inlineStr">
        <is>
          <t>G</t>
        </is>
      </c>
      <c r="X101" s="47" t="inlineStr">
        <is>
          <t>H</t>
        </is>
      </c>
      <c r="Y101" s="47" t="inlineStr">
        <is>
          <t>H</t>
        </is>
      </c>
      <c r="BE101" s="48">
        <f>D101*$B$6*IF($R$17="Y",1,0)</f>
        <v/>
      </c>
      <c r="BF101" s="48">
        <f>D101*$I$17</f>
        <v/>
      </c>
      <c r="BG101" s="49">
        <f>MATCH("P",$E101:$BD101,0)</f>
        <v/>
      </c>
      <c r="BH101" s="33" t="inlineStr">
        <is>
          <t>Open field</t>
        </is>
      </c>
      <c r="BI101" s="33">
        <f>$Q$17</f>
        <v/>
      </c>
    </row>
    <row r="102">
      <c r="A102" s="33" t="inlineStr">
        <is>
          <t>Spinach W15</t>
        </is>
      </c>
      <c r="B102" s="33" t="inlineStr">
        <is>
          <t>Spinach</t>
        </is>
      </c>
      <c r="C102" s="45" t="n">
        <v>0</v>
      </c>
      <c r="D102" s="46" t="n">
        <v>0</v>
      </c>
      <c r="S102" s="47" t="inlineStr">
        <is>
          <t>P</t>
        </is>
      </c>
      <c r="T102" s="47" t="inlineStr">
        <is>
          <t>G</t>
        </is>
      </c>
      <c r="U102" s="47" t="inlineStr">
        <is>
          <t>G</t>
        </is>
      </c>
      <c r="V102" s="47" t="inlineStr">
        <is>
          <t>G</t>
        </is>
      </c>
      <c r="W102" s="47" t="inlineStr">
        <is>
          <t>G</t>
        </is>
      </c>
      <c r="X102" s="47" t="inlineStr">
        <is>
          <t>G</t>
        </is>
      </c>
      <c r="Y102" s="47" t="inlineStr">
        <is>
          <t>H</t>
        </is>
      </c>
      <c r="Z102" s="47" t="inlineStr">
        <is>
          <t>H</t>
        </is>
      </c>
      <c r="BE102" s="48">
        <f>D102*$B$6*IF($R$17="Y",1,0)</f>
        <v/>
      </c>
      <c r="BF102" s="48">
        <f>D102*$I$17</f>
        <v/>
      </c>
      <c r="BG102" s="49">
        <f>MATCH("P",$E102:$BD102,0)</f>
        <v/>
      </c>
      <c r="BH102" s="33" t="inlineStr">
        <is>
          <t>Open field</t>
        </is>
      </c>
      <c r="BI102" s="33">
        <f>$Q$17</f>
        <v/>
      </c>
    </row>
    <row r="103">
      <c r="A103" s="33" t="inlineStr">
        <is>
          <t>Spinach W16</t>
        </is>
      </c>
      <c r="B103" s="33" t="inlineStr">
        <is>
          <t>Spinach</t>
        </is>
      </c>
      <c r="C103" s="45" t="n">
        <v>0</v>
      </c>
      <c r="D103" s="46" t="n">
        <v>0</v>
      </c>
      <c r="T103" s="47" t="inlineStr">
        <is>
          <t>P</t>
        </is>
      </c>
      <c r="U103" s="47" t="inlineStr">
        <is>
          <t>G</t>
        </is>
      </c>
      <c r="V103" s="47" t="inlineStr">
        <is>
          <t>G</t>
        </is>
      </c>
      <c r="W103" s="47" t="inlineStr">
        <is>
          <t>G</t>
        </is>
      </c>
      <c r="X103" s="47" t="inlineStr">
        <is>
          <t>G</t>
        </is>
      </c>
      <c r="Y103" s="47" t="inlineStr">
        <is>
          <t>G</t>
        </is>
      </c>
      <c r="Z103" s="47" t="inlineStr">
        <is>
          <t>H</t>
        </is>
      </c>
      <c r="AA103" s="47" t="inlineStr">
        <is>
          <t>H</t>
        </is>
      </c>
      <c r="BE103" s="48">
        <f>D103*$B$6*IF($R$17="Y",1,0)</f>
        <v/>
      </c>
      <c r="BF103" s="48">
        <f>D103*$I$17</f>
        <v/>
      </c>
      <c r="BG103" s="49">
        <f>MATCH("P",$E103:$BD103,0)</f>
        <v/>
      </c>
      <c r="BH103" s="33" t="inlineStr">
        <is>
          <t>Open field</t>
        </is>
      </c>
      <c r="BI103" s="33">
        <f>$Q$17</f>
        <v/>
      </c>
    </row>
    <row r="104">
      <c r="A104" s="33" t="inlineStr">
        <is>
          <t>Spinach W17</t>
        </is>
      </c>
      <c r="B104" s="33" t="inlineStr">
        <is>
          <t>Spinach</t>
        </is>
      </c>
      <c r="C104" s="45" t="n">
        <v>0</v>
      </c>
      <c r="D104" s="46" t="n">
        <v>0</v>
      </c>
      <c r="U104" s="47" t="inlineStr">
        <is>
          <t>P</t>
        </is>
      </c>
      <c r="V104" s="47" t="inlineStr">
        <is>
          <t>G</t>
        </is>
      </c>
      <c r="W104" s="47" t="inlineStr">
        <is>
          <t>G</t>
        </is>
      </c>
      <c r="X104" s="47" t="inlineStr">
        <is>
          <t>G</t>
        </is>
      </c>
      <c r="Y104" s="47" t="inlineStr">
        <is>
          <t>G</t>
        </is>
      </c>
      <c r="Z104" s="47" t="inlineStr">
        <is>
          <t>G</t>
        </is>
      </c>
      <c r="AA104" s="47" t="inlineStr">
        <is>
          <t>H</t>
        </is>
      </c>
      <c r="AB104" s="47" t="inlineStr">
        <is>
          <t>H</t>
        </is>
      </c>
      <c r="BE104" s="48">
        <f>D104*$B$6*IF($R$17="Y",1,0)</f>
        <v/>
      </c>
      <c r="BF104" s="48">
        <f>D104*$I$17</f>
        <v/>
      </c>
      <c r="BG104" s="49">
        <f>MATCH("P",$E104:$BD104,0)</f>
        <v/>
      </c>
      <c r="BH104" s="33" t="inlineStr">
        <is>
          <t>Open field</t>
        </is>
      </c>
      <c r="BI104" s="33">
        <f>$Q$17</f>
        <v/>
      </c>
    </row>
    <row r="105">
      <c r="A105" s="33" t="inlineStr">
        <is>
          <t>Spinach W18</t>
        </is>
      </c>
      <c r="B105" s="33" t="inlineStr">
        <is>
          <t>Spinach</t>
        </is>
      </c>
      <c r="C105" s="45" t="n">
        <v>0</v>
      </c>
      <c r="D105" s="46" t="n">
        <v>0</v>
      </c>
      <c r="V105" s="47" t="inlineStr">
        <is>
          <t>P</t>
        </is>
      </c>
      <c r="W105" s="47" t="inlineStr">
        <is>
          <t>G</t>
        </is>
      </c>
      <c r="X105" s="47" t="inlineStr">
        <is>
          <t>G</t>
        </is>
      </c>
      <c r="Y105" s="47" t="inlineStr">
        <is>
          <t>G</t>
        </is>
      </c>
      <c r="Z105" s="47" t="inlineStr">
        <is>
          <t>G</t>
        </is>
      </c>
      <c r="AA105" s="47" t="inlineStr">
        <is>
          <t>G</t>
        </is>
      </c>
      <c r="AB105" s="47" t="inlineStr">
        <is>
          <t>H</t>
        </is>
      </c>
      <c r="AC105" s="47" t="inlineStr">
        <is>
          <t>H</t>
        </is>
      </c>
      <c r="BE105" s="48">
        <f>D105*$B$6*IF($R$17="Y",1,0)</f>
        <v/>
      </c>
      <c r="BF105" s="48">
        <f>D105*$I$17</f>
        <v/>
      </c>
      <c r="BG105" s="49">
        <f>MATCH("P",$E105:$BD105,0)</f>
        <v/>
      </c>
      <c r="BH105" s="33" t="inlineStr">
        <is>
          <t>Open field</t>
        </is>
      </c>
      <c r="BI105" s="33">
        <f>$Q$17</f>
        <v/>
      </c>
    </row>
    <row r="106">
      <c r="A106" s="33" t="inlineStr">
        <is>
          <t>Spinach W19</t>
        </is>
      </c>
      <c r="B106" s="33" t="inlineStr">
        <is>
          <t>Spinach</t>
        </is>
      </c>
      <c r="C106" s="45" t="n">
        <v>0</v>
      </c>
      <c r="D106" s="46" t="n">
        <v>0</v>
      </c>
      <c r="W106" s="47" t="inlineStr">
        <is>
          <t>P</t>
        </is>
      </c>
      <c r="X106" s="47" t="inlineStr">
        <is>
          <t>G</t>
        </is>
      </c>
      <c r="Y106" s="47" t="inlineStr">
        <is>
          <t>G</t>
        </is>
      </c>
      <c r="Z106" s="47" t="inlineStr">
        <is>
          <t>G</t>
        </is>
      </c>
      <c r="AA106" s="47" t="inlineStr">
        <is>
          <t>G</t>
        </is>
      </c>
      <c r="AB106" s="47" t="inlineStr">
        <is>
          <t>G</t>
        </is>
      </c>
      <c r="AC106" s="47" t="inlineStr">
        <is>
          <t>H</t>
        </is>
      </c>
      <c r="AD106" s="47" t="inlineStr">
        <is>
          <t>H</t>
        </is>
      </c>
      <c r="BE106" s="48">
        <f>D106*$B$6*IF($R$17="Y",1,0)</f>
        <v/>
      </c>
      <c r="BF106" s="48">
        <f>D106*$I$17</f>
        <v/>
      </c>
      <c r="BG106" s="49">
        <f>MATCH("P",$E106:$BD106,0)</f>
        <v/>
      </c>
      <c r="BH106" s="33" t="inlineStr">
        <is>
          <t>Open field</t>
        </is>
      </c>
      <c r="BI106" s="33">
        <f>$Q$17</f>
        <v/>
      </c>
    </row>
    <row r="107">
      <c r="A107" s="33" t="inlineStr">
        <is>
          <t>Spinach W20</t>
        </is>
      </c>
      <c r="B107" s="33" t="inlineStr">
        <is>
          <t>Spinach</t>
        </is>
      </c>
      <c r="C107" s="45" t="n">
        <v>0</v>
      </c>
      <c r="D107" s="46" t="n">
        <v>0</v>
      </c>
      <c r="X107" s="47" t="inlineStr">
        <is>
          <t>P</t>
        </is>
      </c>
      <c r="Y107" s="47" t="inlineStr">
        <is>
          <t>G</t>
        </is>
      </c>
      <c r="Z107" s="47" t="inlineStr">
        <is>
          <t>G</t>
        </is>
      </c>
      <c r="AA107" s="47" t="inlineStr">
        <is>
          <t>G</t>
        </is>
      </c>
      <c r="AB107" s="47" t="inlineStr">
        <is>
          <t>G</t>
        </is>
      </c>
      <c r="AC107" s="47" t="inlineStr">
        <is>
          <t>G</t>
        </is>
      </c>
      <c r="AD107" s="47" t="inlineStr">
        <is>
          <t>H</t>
        </is>
      </c>
      <c r="AE107" s="47" t="inlineStr">
        <is>
          <t>H</t>
        </is>
      </c>
      <c r="BE107" s="48">
        <f>D107*$B$6*IF($R$17="Y",1,0)</f>
        <v/>
      </c>
      <c r="BF107" s="48">
        <f>D107*$I$17</f>
        <v/>
      </c>
      <c r="BG107" s="49">
        <f>MATCH("P",$E107:$BD107,0)</f>
        <v/>
      </c>
      <c r="BH107" s="33" t="inlineStr">
        <is>
          <t>Open field</t>
        </is>
      </c>
      <c r="BI107" s="33">
        <f>$Q$17</f>
        <v/>
      </c>
    </row>
    <row r="108">
      <c r="A108" s="33" t="inlineStr">
        <is>
          <t>Spinach W21</t>
        </is>
      </c>
      <c r="B108" s="33" t="inlineStr">
        <is>
          <t>Spinach</t>
        </is>
      </c>
      <c r="C108" s="45" t="n">
        <v>0</v>
      </c>
      <c r="D108" s="46" t="n">
        <v>0</v>
      </c>
      <c r="Y108" s="47" t="inlineStr">
        <is>
          <t>P</t>
        </is>
      </c>
      <c r="Z108" s="47" t="inlineStr">
        <is>
          <t>G</t>
        </is>
      </c>
      <c r="AA108" s="47" t="inlineStr">
        <is>
          <t>G</t>
        </is>
      </c>
      <c r="AB108" s="47" t="inlineStr">
        <is>
          <t>G</t>
        </is>
      </c>
      <c r="AC108" s="47" t="inlineStr">
        <is>
          <t>G</t>
        </is>
      </c>
      <c r="AD108" s="47" t="inlineStr">
        <is>
          <t>G</t>
        </is>
      </c>
      <c r="AE108" s="47" t="inlineStr">
        <is>
          <t>H</t>
        </is>
      </c>
      <c r="AF108" s="47" t="inlineStr">
        <is>
          <t>H</t>
        </is>
      </c>
      <c r="BE108" s="48">
        <f>D108*$B$6*IF($R$17="Y",1,0)</f>
        <v/>
      </c>
      <c r="BF108" s="48">
        <f>D108*$I$17</f>
        <v/>
      </c>
      <c r="BG108" s="49">
        <f>MATCH("P",$E108:$BD108,0)</f>
        <v/>
      </c>
      <c r="BH108" s="33" t="inlineStr">
        <is>
          <t>Open field</t>
        </is>
      </c>
      <c r="BI108" s="33">
        <f>$Q$17</f>
        <v/>
      </c>
    </row>
    <row r="109">
      <c r="A109" s="33" t="inlineStr">
        <is>
          <t>Spinach W22</t>
        </is>
      </c>
      <c r="B109" s="33" t="inlineStr">
        <is>
          <t>Spinach</t>
        </is>
      </c>
      <c r="C109" s="45" t="n">
        <v>0</v>
      </c>
      <c r="D109" s="46" t="n">
        <v>0</v>
      </c>
      <c r="Z109" s="47" t="inlineStr">
        <is>
          <t>P</t>
        </is>
      </c>
      <c r="AA109" s="47" t="inlineStr">
        <is>
          <t>G</t>
        </is>
      </c>
      <c r="AB109" s="47" t="inlineStr">
        <is>
          <t>G</t>
        </is>
      </c>
      <c r="AC109" s="47" t="inlineStr">
        <is>
          <t>G</t>
        </is>
      </c>
      <c r="AD109" s="47" t="inlineStr">
        <is>
          <t>G</t>
        </is>
      </c>
      <c r="AE109" s="47" t="inlineStr">
        <is>
          <t>G</t>
        </is>
      </c>
      <c r="AF109" s="47" t="inlineStr">
        <is>
          <t>H</t>
        </is>
      </c>
      <c r="AG109" s="47" t="inlineStr">
        <is>
          <t>H</t>
        </is>
      </c>
      <c r="BE109" s="48">
        <f>D109*$B$6*IF($R$17="Y",1,0)</f>
        <v/>
      </c>
      <c r="BF109" s="48">
        <f>D109*$I$17</f>
        <v/>
      </c>
      <c r="BG109" s="49">
        <f>MATCH("P",$E109:$BD109,0)</f>
        <v/>
      </c>
      <c r="BH109" s="33" t="inlineStr">
        <is>
          <t>Open field</t>
        </is>
      </c>
      <c r="BI109" s="33">
        <f>$Q$17</f>
        <v/>
      </c>
    </row>
    <row r="110">
      <c r="A110" s="33" t="inlineStr">
        <is>
          <t>Spinach W23</t>
        </is>
      </c>
      <c r="B110" s="33" t="inlineStr">
        <is>
          <t>Spinach</t>
        </is>
      </c>
      <c r="C110" s="45" t="n">
        <v>0</v>
      </c>
      <c r="D110" s="46" t="n">
        <v>0</v>
      </c>
      <c r="AA110" s="47" t="inlineStr">
        <is>
          <t>P</t>
        </is>
      </c>
      <c r="AB110" s="47" t="inlineStr">
        <is>
          <t>G</t>
        </is>
      </c>
      <c r="AC110" s="47" t="inlineStr">
        <is>
          <t>G</t>
        </is>
      </c>
      <c r="AD110" s="47" t="inlineStr">
        <is>
          <t>G</t>
        </is>
      </c>
      <c r="AE110" s="47" t="inlineStr">
        <is>
          <t>G</t>
        </is>
      </c>
      <c r="AF110" s="47" t="inlineStr">
        <is>
          <t>G</t>
        </is>
      </c>
      <c r="AG110" s="47" t="inlineStr">
        <is>
          <t>H</t>
        </is>
      </c>
      <c r="AH110" s="47" t="inlineStr">
        <is>
          <t>H</t>
        </is>
      </c>
      <c r="BE110" s="48">
        <f>D110*$B$6*IF($R$17="Y",1,0)</f>
        <v/>
      </c>
      <c r="BF110" s="48">
        <f>D110*$I$17</f>
        <v/>
      </c>
      <c r="BG110" s="49">
        <f>MATCH("P",$E110:$BD110,0)</f>
        <v/>
      </c>
      <c r="BH110" s="33" t="inlineStr">
        <is>
          <t>Open field</t>
        </is>
      </c>
      <c r="BI110" s="33">
        <f>$Q$17</f>
        <v/>
      </c>
    </row>
    <row r="111">
      <c r="A111" s="33" t="inlineStr">
        <is>
          <t>Spinach W24</t>
        </is>
      </c>
      <c r="B111" s="33" t="inlineStr">
        <is>
          <t>Spinach</t>
        </is>
      </c>
      <c r="C111" s="45" t="n">
        <v>0</v>
      </c>
      <c r="D111" s="46" t="n">
        <v>0</v>
      </c>
      <c r="AB111" s="47" t="inlineStr">
        <is>
          <t>P</t>
        </is>
      </c>
      <c r="AC111" s="47" t="inlineStr">
        <is>
          <t>G</t>
        </is>
      </c>
      <c r="AD111" s="47" t="inlineStr">
        <is>
          <t>G</t>
        </is>
      </c>
      <c r="AE111" s="47" t="inlineStr">
        <is>
          <t>G</t>
        </is>
      </c>
      <c r="AF111" s="47" t="inlineStr">
        <is>
          <t>G</t>
        </is>
      </c>
      <c r="AG111" s="47" t="inlineStr">
        <is>
          <t>G</t>
        </is>
      </c>
      <c r="AH111" s="47" t="inlineStr">
        <is>
          <t>H</t>
        </is>
      </c>
      <c r="AI111" s="47" t="inlineStr">
        <is>
          <t>H</t>
        </is>
      </c>
      <c r="BE111" s="48">
        <f>D111*$B$6*IF($R$17="Y",1,0)</f>
        <v/>
      </c>
      <c r="BF111" s="48">
        <f>D111*$I$17</f>
        <v/>
      </c>
      <c r="BG111" s="49">
        <f>MATCH("P",$E111:$BD111,0)</f>
        <v/>
      </c>
      <c r="BH111" s="33" t="inlineStr">
        <is>
          <t>Open field</t>
        </is>
      </c>
      <c r="BI111" s="33">
        <f>$Q$17</f>
        <v/>
      </c>
    </row>
    <row r="112">
      <c r="A112" s="33" t="inlineStr">
        <is>
          <t>Spinach W31</t>
        </is>
      </c>
      <c r="B112" s="33" t="inlineStr">
        <is>
          <t>Spinach</t>
        </is>
      </c>
      <c r="C112" s="45" t="n">
        <v>0</v>
      </c>
      <c r="D112" s="46" t="n">
        <v>0</v>
      </c>
      <c r="AI112" s="47" t="inlineStr">
        <is>
          <t>P</t>
        </is>
      </c>
      <c r="AJ112" s="47" t="inlineStr">
        <is>
          <t>G</t>
        </is>
      </c>
      <c r="AK112" s="47" t="inlineStr">
        <is>
          <t>G</t>
        </is>
      </c>
      <c r="AL112" s="47" t="inlineStr">
        <is>
          <t>G</t>
        </is>
      </c>
      <c r="AM112" s="47" t="inlineStr">
        <is>
          <t>G</t>
        </is>
      </c>
      <c r="AN112" s="47" t="inlineStr">
        <is>
          <t>G</t>
        </is>
      </c>
      <c r="AO112" s="47" t="inlineStr">
        <is>
          <t>H</t>
        </is>
      </c>
      <c r="AP112" s="47" t="inlineStr">
        <is>
          <t>H</t>
        </is>
      </c>
      <c r="BE112" s="48">
        <f>D112*$B$6*IF($R$17="Y",1,0)</f>
        <v/>
      </c>
      <c r="BF112" s="48">
        <f>D112*$I$17</f>
        <v/>
      </c>
      <c r="BG112" s="49">
        <f>MATCH("P",$E112:$BD112,0)</f>
        <v/>
      </c>
      <c r="BH112" s="33" t="inlineStr">
        <is>
          <t>Open field</t>
        </is>
      </c>
      <c r="BI112" s="33">
        <f>$Q$17</f>
        <v/>
      </c>
    </row>
    <row r="113">
      <c r="A113" s="33" t="inlineStr">
        <is>
          <t>Spinach W32</t>
        </is>
      </c>
      <c r="B113" s="33" t="inlineStr">
        <is>
          <t>Spinach</t>
        </is>
      </c>
      <c r="C113" s="45" t="n">
        <v>0</v>
      </c>
      <c r="D113" s="46" t="n">
        <v>0</v>
      </c>
      <c r="AJ113" s="47" t="inlineStr">
        <is>
          <t>P</t>
        </is>
      </c>
      <c r="AK113" s="47" t="inlineStr">
        <is>
          <t>G</t>
        </is>
      </c>
      <c r="AL113" s="47" t="inlineStr">
        <is>
          <t>G</t>
        </is>
      </c>
      <c r="AM113" s="47" t="inlineStr">
        <is>
          <t>G</t>
        </is>
      </c>
      <c r="AN113" s="47" t="inlineStr">
        <is>
          <t>G</t>
        </is>
      </c>
      <c r="AO113" s="47" t="inlineStr">
        <is>
          <t>G</t>
        </is>
      </c>
      <c r="AP113" s="47" t="inlineStr">
        <is>
          <t>H</t>
        </is>
      </c>
      <c r="AQ113" s="47" t="inlineStr">
        <is>
          <t>H</t>
        </is>
      </c>
      <c r="BE113" s="48">
        <f>D113*$B$6*IF($R$17="Y",1,0)</f>
        <v/>
      </c>
      <c r="BF113" s="48">
        <f>D113*$I$17</f>
        <v/>
      </c>
      <c r="BG113" s="49">
        <f>MATCH("P",$E113:$BD113,0)</f>
        <v/>
      </c>
      <c r="BH113" s="33" t="inlineStr">
        <is>
          <t>Open field</t>
        </is>
      </c>
      <c r="BI113" s="33">
        <f>$Q$17</f>
        <v/>
      </c>
    </row>
    <row r="114">
      <c r="A114" s="33" t="inlineStr">
        <is>
          <t>Spinach W33</t>
        </is>
      </c>
      <c r="B114" s="33" t="inlineStr">
        <is>
          <t>Spinach</t>
        </is>
      </c>
      <c r="C114" s="45" t="n">
        <v>0</v>
      </c>
      <c r="D114" s="46" t="n">
        <v>0</v>
      </c>
      <c r="AK114" s="47" t="inlineStr">
        <is>
          <t>P</t>
        </is>
      </c>
      <c r="AL114" s="47" t="inlineStr">
        <is>
          <t>G</t>
        </is>
      </c>
      <c r="AM114" s="47" t="inlineStr">
        <is>
          <t>G</t>
        </is>
      </c>
      <c r="AN114" s="47" t="inlineStr">
        <is>
          <t>G</t>
        </is>
      </c>
      <c r="AO114" s="47" t="inlineStr">
        <is>
          <t>G</t>
        </is>
      </c>
      <c r="AP114" s="47" t="inlineStr">
        <is>
          <t>G</t>
        </is>
      </c>
      <c r="AQ114" s="47" t="inlineStr">
        <is>
          <t>H</t>
        </is>
      </c>
      <c r="AR114" s="47" t="inlineStr">
        <is>
          <t>H</t>
        </is>
      </c>
      <c r="BE114" s="48">
        <f>D114*$B$6*IF($R$17="Y",1,0)</f>
        <v/>
      </c>
      <c r="BF114" s="48">
        <f>D114*$I$17</f>
        <v/>
      </c>
      <c r="BG114" s="49">
        <f>MATCH("P",$E114:$BD114,0)</f>
        <v/>
      </c>
      <c r="BH114" s="33" t="inlineStr">
        <is>
          <t>Open field</t>
        </is>
      </c>
      <c r="BI114" s="33">
        <f>$Q$17</f>
        <v/>
      </c>
    </row>
    <row r="115">
      <c r="A115" s="33" t="inlineStr">
        <is>
          <t>Spinach W34</t>
        </is>
      </c>
      <c r="B115" s="33" t="inlineStr">
        <is>
          <t>Spinach</t>
        </is>
      </c>
      <c r="C115" s="45" t="n">
        <v>0</v>
      </c>
      <c r="D115" s="46" t="n">
        <v>0</v>
      </c>
      <c r="AL115" s="47" t="inlineStr">
        <is>
          <t>P</t>
        </is>
      </c>
      <c r="AM115" s="47" t="inlineStr">
        <is>
          <t>G</t>
        </is>
      </c>
      <c r="AN115" s="47" t="inlineStr">
        <is>
          <t>G</t>
        </is>
      </c>
      <c r="AO115" s="47" t="inlineStr">
        <is>
          <t>G</t>
        </is>
      </c>
      <c r="AP115" s="47" t="inlineStr">
        <is>
          <t>G</t>
        </is>
      </c>
      <c r="AQ115" s="47" t="inlineStr">
        <is>
          <t>G</t>
        </is>
      </c>
      <c r="AR115" s="47" t="inlineStr">
        <is>
          <t>H</t>
        </is>
      </c>
      <c r="AS115" s="47" t="inlineStr">
        <is>
          <t>H</t>
        </is>
      </c>
      <c r="BE115" s="48">
        <f>D115*$B$6*IF($R$17="Y",1,0)</f>
        <v/>
      </c>
      <c r="BF115" s="48">
        <f>D115*$I$17</f>
        <v/>
      </c>
      <c r="BG115" s="49">
        <f>MATCH("P",$E115:$BD115,0)</f>
        <v/>
      </c>
      <c r="BH115" s="33" t="inlineStr">
        <is>
          <t>Open field</t>
        </is>
      </c>
      <c r="BI115" s="33">
        <f>$Q$17</f>
        <v/>
      </c>
    </row>
    <row r="116">
      <c r="A116" s="33" t="inlineStr">
        <is>
          <t>Spinach W35</t>
        </is>
      </c>
      <c r="B116" s="33" t="inlineStr">
        <is>
          <t>Spinach</t>
        </is>
      </c>
      <c r="C116" s="45" t="n">
        <v>0</v>
      </c>
      <c r="D116" s="46" t="n">
        <v>0</v>
      </c>
      <c r="AM116" s="47" t="inlineStr">
        <is>
          <t>P</t>
        </is>
      </c>
      <c r="AN116" s="47" t="inlineStr">
        <is>
          <t>G</t>
        </is>
      </c>
      <c r="AO116" s="47" t="inlineStr">
        <is>
          <t>G</t>
        </is>
      </c>
      <c r="AP116" s="47" t="inlineStr">
        <is>
          <t>G</t>
        </is>
      </c>
      <c r="AQ116" s="47" t="inlineStr">
        <is>
          <t>G</t>
        </is>
      </c>
      <c r="AR116" s="47" t="inlineStr">
        <is>
          <t>G</t>
        </is>
      </c>
      <c r="AS116" s="47" t="inlineStr">
        <is>
          <t>H</t>
        </is>
      </c>
      <c r="AT116" s="47" t="inlineStr">
        <is>
          <t>H</t>
        </is>
      </c>
      <c r="BE116" s="48">
        <f>D116*$B$6*IF($R$17="Y",1,0)</f>
        <v/>
      </c>
      <c r="BF116" s="48">
        <f>D116*$I$17</f>
        <v/>
      </c>
      <c r="BG116" s="49">
        <f>MATCH("P",$E116:$BD116,0)</f>
        <v/>
      </c>
      <c r="BH116" s="33" t="inlineStr">
        <is>
          <t>Open field</t>
        </is>
      </c>
      <c r="BI116" s="33">
        <f>$Q$17</f>
        <v/>
      </c>
    </row>
    <row r="117">
      <c r="A117" s="33" t="inlineStr">
        <is>
          <t>Spinach W36</t>
        </is>
      </c>
      <c r="B117" s="33" t="inlineStr">
        <is>
          <t>Spinach</t>
        </is>
      </c>
      <c r="C117" s="45" t="n">
        <v>0</v>
      </c>
      <c r="D117" s="46" t="n">
        <v>0</v>
      </c>
      <c r="AN117" s="47" t="inlineStr">
        <is>
          <t>P</t>
        </is>
      </c>
      <c r="AO117" s="47" t="inlineStr">
        <is>
          <t>G</t>
        </is>
      </c>
      <c r="AP117" s="47" t="inlineStr">
        <is>
          <t>G</t>
        </is>
      </c>
      <c r="AQ117" s="47" t="inlineStr">
        <is>
          <t>G</t>
        </is>
      </c>
      <c r="AR117" s="47" t="inlineStr">
        <is>
          <t>G</t>
        </is>
      </c>
      <c r="AS117" s="47" t="inlineStr">
        <is>
          <t>G</t>
        </is>
      </c>
      <c r="AT117" s="47" t="inlineStr">
        <is>
          <t>H</t>
        </is>
      </c>
      <c r="AU117" s="47" t="inlineStr">
        <is>
          <t>H</t>
        </is>
      </c>
      <c r="BE117" s="48">
        <f>D117*$B$6*IF($R$17="Y",1,0)</f>
        <v/>
      </c>
      <c r="BF117" s="48">
        <f>D117*$I$17</f>
        <v/>
      </c>
      <c r="BG117" s="49">
        <f>MATCH("P",$E117:$BD117,0)</f>
        <v/>
      </c>
      <c r="BH117" s="33" t="inlineStr">
        <is>
          <t>Open field</t>
        </is>
      </c>
      <c r="BI117" s="33">
        <f>$Q$17</f>
        <v/>
      </c>
    </row>
    <row r="118">
      <c r="A118" s="33" t="inlineStr">
        <is>
          <t>Spinach W37</t>
        </is>
      </c>
      <c r="B118" s="33" t="inlineStr">
        <is>
          <t>Spinach</t>
        </is>
      </c>
      <c r="C118" s="45" t="n">
        <v>0</v>
      </c>
      <c r="D118" s="46" t="n">
        <v>0</v>
      </c>
      <c r="AO118" s="47" t="inlineStr">
        <is>
          <t>P</t>
        </is>
      </c>
      <c r="AP118" s="47" t="inlineStr">
        <is>
          <t>G</t>
        </is>
      </c>
      <c r="AQ118" s="47" t="inlineStr">
        <is>
          <t>G</t>
        </is>
      </c>
      <c r="AR118" s="47" t="inlineStr">
        <is>
          <t>G</t>
        </is>
      </c>
      <c r="AS118" s="47" t="inlineStr">
        <is>
          <t>G</t>
        </is>
      </c>
      <c r="AT118" s="47" t="inlineStr">
        <is>
          <t>G</t>
        </is>
      </c>
      <c r="AU118" s="47" t="inlineStr">
        <is>
          <t>H</t>
        </is>
      </c>
      <c r="AV118" s="47" t="inlineStr">
        <is>
          <t>H</t>
        </is>
      </c>
      <c r="BE118" s="48">
        <f>D118*$B$6*IF($R$17="Y",1,0)</f>
        <v/>
      </c>
      <c r="BF118" s="48">
        <f>D118*$I$17</f>
        <v/>
      </c>
      <c r="BG118" s="49">
        <f>MATCH("P",$E118:$BD118,0)</f>
        <v/>
      </c>
      <c r="BH118" s="33" t="inlineStr">
        <is>
          <t>Open field</t>
        </is>
      </c>
      <c r="BI118" s="33">
        <f>$Q$17</f>
        <v/>
      </c>
    </row>
    <row r="119">
      <c r="A119" s="33" t="inlineStr">
        <is>
          <t>Spinach W38</t>
        </is>
      </c>
      <c r="B119" s="33" t="inlineStr">
        <is>
          <t>Spinach</t>
        </is>
      </c>
      <c r="C119" s="45" t="n">
        <v>0</v>
      </c>
      <c r="D119" s="46" t="n">
        <v>0</v>
      </c>
      <c r="AP119" s="47" t="inlineStr">
        <is>
          <t>P</t>
        </is>
      </c>
      <c r="AQ119" s="47" t="inlineStr">
        <is>
          <t>G</t>
        </is>
      </c>
      <c r="AR119" s="47" t="inlineStr">
        <is>
          <t>G</t>
        </is>
      </c>
      <c r="AS119" s="47" t="inlineStr">
        <is>
          <t>G</t>
        </is>
      </c>
      <c r="AT119" s="47" t="inlineStr">
        <is>
          <t>G</t>
        </is>
      </c>
      <c r="AU119" s="47" t="inlineStr">
        <is>
          <t>G</t>
        </is>
      </c>
      <c r="AV119" s="47" t="inlineStr">
        <is>
          <t>H</t>
        </is>
      </c>
      <c r="AW119" s="47" t="inlineStr">
        <is>
          <t>H</t>
        </is>
      </c>
      <c r="BE119" s="48">
        <f>D119*$B$6*IF($R$17="Y",1,0)</f>
        <v/>
      </c>
      <c r="BF119" s="48">
        <f>D119*$I$17</f>
        <v/>
      </c>
      <c r="BG119" s="49">
        <f>MATCH("P",$E119:$BD119,0)</f>
        <v/>
      </c>
      <c r="BH119" s="33" t="inlineStr">
        <is>
          <t>Open field</t>
        </is>
      </c>
      <c r="BI119" s="33">
        <f>$Q$17</f>
        <v/>
      </c>
    </row>
    <row r="120">
      <c r="A120" s="33" t="inlineStr">
        <is>
          <t>Spinach W39</t>
        </is>
      </c>
      <c r="B120" s="33" t="inlineStr">
        <is>
          <t>Spinach</t>
        </is>
      </c>
      <c r="C120" s="45" t="n">
        <v>0</v>
      </c>
      <c r="D120" s="46" t="n">
        <v>0</v>
      </c>
      <c r="AQ120" s="47" t="inlineStr">
        <is>
          <t>P</t>
        </is>
      </c>
      <c r="AR120" s="47" t="inlineStr">
        <is>
          <t>G</t>
        </is>
      </c>
      <c r="AS120" s="47" t="inlineStr">
        <is>
          <t>G</t>
        </is>
      </c>
      <c r="AT120" s="47" t="inlineStr">
        <is>
          <t>G</t>
        </is>
      </c>
      <c r="AU120" s="47" t="inlineStr">
        <is>
          <t>G</t>
        </is>
      </c>
      <c r="AV120" s="47" t="inlineStr">
        <is>
          <t>G</t>
        </is>
      </c>
      <c r="AW120" s="47" t="inlineStr">
        <is>
          <t>H</t>
        </is>
      </c>
      <c r="AX120" s="47" t="inlineStr">
        <is>
          <t>H</t>
        </is>
      </c>
      <c r="BE120" s="48">
        <f>D120*$B$6*IF($R$17="Y",1,0)</f>
        <v/>
      </c>
      <c r="BF120" s="48">
        <f>D120*$I$17</f>
        <v/>
      </c>
      <c r="BG120" s="49">
        <f>MATCH("P",$E120:$BD120,0)</f>
        <v/>
      </c>
      <c r="BH120" s="33" t="inlineStr">
        <is>
          <t>Open field</t>
        </is>
      </c>
      <c r="BI120" s="33">
        <f>$Q$17</f>
        <v/>
      </c>
    </row>
    <row r="121">
      <c r="A121" s="33" t="inlineStr">
        <is>
          <t>Spinach W40</t>
        </is>
      </c>
      <c r="B121" s="33" t="inlineStr">
        <is>
          <t>Spinach</t>
        </is>
      </c>
      <c r="C121" s="45" t="n">
        <v>0</v>
      </c>
      <c r="D121" s="46" t="n">
        <v>0</v>
      </c>
      <c r="AR121" s="47" t="inlineStr">
        <is>
          <t>P</t>
        </is>
      </c>
      <c r="AS121" s="47" t="inlineStr">
        <is>
          <t>G</t>
        </is>
      </c>
      <c r="AT121" s="47" t="inlineStr">
        <is>
          <t>G</t>
        </is>
      </c>
      <c r="AU121" s="47" t="inlineStr">
        <is>
          <t>G</t>
        </is>
      </c>
      <c r="AV121" s="47" t="inlineStr">
        <is>
          <t>G</t>
        </is>
      </c>
      <c r="AW121" s="47" t="inlineStr">
        <is>
          <t>G</t>
        </is>
      </c>
      <c r="AX121" s="47" t="inlineStr">
        <is>
          <t>H</t>
        </is>
      </c>
      <c r="AY121" s="47" t="inlineStr">
        <is>
          <t>H</t>
        </is>
      </c>
      <c r="BE121" s="48">
        <f>D121*$B$6*IF($R$17="Y",1,0)</f>
        <v/>
      </c>
      <c r="BF121" s="48">
        <f>D121*$I$17</f>
        <v/>
      </c>
      <c r="BG121" s="49">
        <f>MATCH("P",$E121:$BD121,0)</f>
        <v/>
      </c>
      <c r="BH121" s="33" t="inlineStr">
        <is>
          <t>Open field</t>
        </is>
      </c>
      <c r="BI121" s="33">
        <f>$Q$17</f>
        <v/>
      </c>
    </row>
    <row r="122">
      <c r="A122" s="33" t="inlineStr">
        <is>
          <t>Spinach W41</t>
        </is>
      </c>
      <c r="B122" s="33" t="inlineStr">
        <is>
          <t>Spinach</t>
        </is>
      </c>
      <c r="C122" s="45" t="n">
        <v>0</v>
      </c>
      <c r="D122" s="46" t="n">
        <v>0</v>
      </c>
      <c r="AS122" s="47" t="inlineStr">
        <is>
          <t>P</t>
        </is>
      </c>
      <c r="AT122" s="47" t="inlineStr">
        <is>
          <t>G</t>
        </is>
      </c>
      <c r="AU122" s="47" t="inlineStr">
        <is>
          <t>G</t>
        </is>
      </c>
      <c r="AV122" s="47" t="inlineStr">
        <is>
          <t>G</t>
        </is>
      </c>
      <c r="AW122" s="47" t="inlineStr">
        <is>
          <t>G</t>
        </is>
      </c>
      <c r="AX122" s="47" t="inlineStr">
        <is>
          <t>G</t>
        </is>
      </c>
      <c r="AY122" s="47" t="inlineStr">
        <is>
          <t>H</t>
        </is>
      </c>
      <c r="AZ122" s="47" t="inlineStr">
        <is>
          <t>H</t>
        </is>
      </c>
      <c r="BE122" s="48">
        <f>D122*$B$6*IF($R$17="Y",1,0)</f>
        <v/>
      </c>
      <c r="BF122" s="48">
        <f>D122*$I$17</f>
        <v/>
      </c>
      <c r="BG122" s="49">
        <f>MATCH("P",$E122:$BD122,0)</f>
        <v/>
      </c>
      <c r="BH122" s="33" t="inlineStr">
        <is>
          <t>Open field</t>
        </is>
      </c>
      <c r="BI122" s="33">
        <f>$Q$17</f>
        <v/>
      </c>
    </row>
    <row r="123">
      <c r="A123" s="33" t="inlineStr">
        <is>
          <t>Spinach W42</t>
        </is>
      </c>
      <c r="B123" s="33" t="inlineStr">
        <is>
          <t>Spinach</t>
        </is>
      </c>
      <c r="C123" s="45" t="n">
        <v>0</v>
      </c>
      <c r="D123" s="46" t="n">
        <v>0</v>
      </c>
      <c r="AT123" s="47" t="inlineStr">
        <is>
          <t>P</t>
        </is>
      </c>
      <c r="AU123" s="47" t="inlineStr">
        <is>
          <t>G</t>
        </is>
      </c>
      <c r="AV123" s="47" t="inlineStr">
        <is>
          <t>G</t>
        </is>
      </c>
      <c r="AW123" s="47" t="inlineStr">
        <is>
          <t>G</t>
        </is>
      </c>
      <c r="AX123" s="47" t="inlineStr">
        <is>
          <t>G</t>
        </is>
      </c>
      <c r="AY123" s="47" t="inlineStr">
        <is>
          <t>G</t>
        </is>
      </c>
      <c r="AZ123" s="47" t="inlineStr">
        <is>
          <t>H</t>
        </is>
      </c>
      <c r="BA123" s="47" t="inlineStr">
        <is>
          <t>H</t>
        </is>
      </c>
      <c r="BE123" s="48">
        <f>D123*$B$6*IF($R$17="Y",1,0)</f>
        <v/>
      </c>
      <c r="BF123" s="48">
        <f>D123*$I$17</f>
        <v/>
      </c>
      <c r="BG123" s="49">
        <f>MATCH("P",$E123:$BD123,0)</f>
        <v/>
      </c>
      <c r="BH123" s="33" t="inlineStr">
        <is>
          <t>Open field</t>
        </is>
      </c>
      <c r="BI123" s="33">
        <f>$Q$17</f>
        <v/>
      </c>
    </row>
    <row r="124">
      <c r="A124" s="33" t="inlineStr">
        <is>
          <t>Spinach W43</t>
        </is>
      </c>
      <c r="B124" s="33" t="inlineStr">
        <is>
          <t>Spinach</t>
        </is>
      </c>
      <c r="C124" s="45" t="n">
        <v>0</v>
      </c>
      <c r="D124" s="46" t="n">
        <v>0</v>
      </c>
      <c r="AU124" s="47" t="inlineStr">
        <is>
          <t>P</t>
        </is>
      </c>
      <c r="AV124" s="47" t="inlineStr">
        <is>
          <t>G</t>
        </is>
      </c>
      <c r="AW124" s="47" t="inlineStr">
        <is>
          <t>G</t>
        </is>
      </c>
      <c r="AX124" s="47" t="inlineStr">
        <is>
          <t>G</t>
        </is>
      </c>
      <c r="AY124" s="47" t="inlineStr">
        <is>
          <t>G</t>
        </is>
      </c>
      <c r="AZ124" s="47" t="inlineStr">
        <is>
          <t>G</t>
        </is>
      </c>
      <c r="BA124" s="47" t="inlineStr">
        <is>
          <t>H</t>
        </is>
      </c>
      <c r="BB124" s="47" t="inlineStr">
        <is>
          <t>H</t>
        </is>
      </c>
      <c r="BE124" s="48">
        <f>D124*$B$6*IF($R$17="Y",1,0)</f>
        <v/>
      </c>
      <c r="BF124" s="48">
        <f>D124*$I$17</f>
        <v/>
      </c>
      <c r="BG124" s="49">
        <f>MATCH("P",$E124:$BD124,0)</f>
        <v/>
      </c>
      <c r="BH124" s="33" t="inlineStr">
        <is>
          <t>Open field</t>
        </is>
      </c>
      <c r="BI124" s="33">
        <f>$Q$17</f>
        <v/>
      </c>
    </row>
    <row r="125">
      <c r="A125" s="33" t="inlineStr">
        <is>
          <t>Spinach W44</t>
        </is>
      </c>
      <c r="B125" s="33" t="inlineStr">
        <is>
          <t>Spinach</t>
        </is>
      </c>
      <c r="C125" s="45" t="n">
        <v>0</v>
      </c>
      <c r="D125" s="46" t="n">
        <v>0</v>
      </c>
      <c r="AV125" s="47" t="inlineStr">
        <is>
          <t>P</t>
        </is>
      </c>
      <c r="AW125" s="47" t="inlineStr">
        <is>
          <t>G</t>
        </is>
      </c>
      <c r="AX125" s="47" t="inlineStr">
        <is>
          <t>G</t>
        </is>
      </c>
      <c r="AY125" s="47" t="inlineStr">
        <is>
          <t>G</t>
        </is>
      </c>
      <c r="AZ125" s="47" t="inlineStr">
        <is>
          <t>G</t>
        </is>
      </c>
      <c r="BA125" s="47" t="inlineStr">
        <is>
          <t>G</t>
        </is>
      </c>
      <c r="BB125" s="47" t="inlineStr">
        <is>
          <t>H</t>
        </is>
      </c>
      <c r="BC125" s="47" t="inlineStr">
        <is>
          <t>H</t>
        </is>
      </c>
      <c r="BE125" s="48">
        <f>D125*$B$6*IF($R$17="Y",1,0)</f>
        <v/>
      </c>
      <c r="BF125" s="48">
        <f>D125*$I$17</f>
        <v/>
      </c>
      <c r="BG125" s="49">
        <f>MATCH("P",$E125:$BD125,0)</f>
        <v/>
      </c>
      <c r="BH125" s="33" t="inlineStr">
        <is>
          <t>Open field</t>
        </is>
      </c>
      <c r="BI125" s="33">
        <f>$Q$17</f>
        <v/>
      </c>
    </row>
    <row r="126">
      <c r="A126" s="33" t="inlineStr">
        <is>
          <t>Spinach W45</t>
        </is>
      </c>
      <c r="B126" s="33" t="inlineStr">
        <is>
          <t>Spinach</t>
        </is>
      </c>
      <c r="C126" s="45" t="n">
        <v>0</v>
      </c>
      <c r="D126" s="46" t="n">
        <v>0</v>
      </c>
      <c r="AW126" s="47" t="inlineStr">
        <is>
          <t>P</t>
        </is>
      </c>
      <c r="AX126" s="47" t="inlineStr">
        <is>
          <t>G</t>
        </is>
      </c>
      <c r="AY126" s="47" t="inlineStr">
        <is>
          <t>G</t>
        </is>
      </c>
      <c r="AZ126" s="47" t="inlineStr">
        <is>
          <t>G</t>
        </is>
      </c>
      <c r="BA126" s="47" t="inlineStr">
        <is>
          <t>G</t>
        </is>
      </c>
      <c r="BB126" s="47" t="inlineStr">
        <is>
          <t>G</t>
        </is>
      </c>
      <c r="BC126" s="47" t="inlineStr">
        <is>
          <t>H</t>
        </is>
      </c>
      <c r="BD126" s="47" t="inlineStr">
        <is>
          <t>H</t>
        </is>
      </c>
      <c r="BE126" s="48">
        <f>D126*$B$6*IF($R$17="Y",1,0)</f>
        <v/>
      </c>
      <c r="BF126" s="48">
        <f>D126*$I$17</f>
        <v/>
      </c>
      <c r="BG126" s="49">
        <f>MATCH("P",$E126:$BD126,0)</f>
        <v/>
      </c>
      <c r="BH126" s="33" t="inlineStr">
        <is>
          <t>Open field</t>
        </is>
      </c>
      <c r="BI126" s="33">
        <f>$Q$17</f>
        <v/>
      </c>
    </row>
    <row r="127">
      <c r="A127" s="33" t="inlineStr">
        <is>
          <t>Kale W05 F</t>
        </is>
      </c>
      <c r="B127" s="33" t="inlineStr">
        <is>
          <t>Kale</t>
        </is>
      </c>
      <c r="C127" s="45" t="n">
        <v>0</v>
      </c>
      <c r="D127" s="46" t="n">
        <v>0</v>
      </c>
      <c r="I127" s="47" t="inlineStr">
        <is>
          <t>P</t>
        </is>
      </c>
      <c r="J127" s="47" t="inlineStr">
        <is>
          <t>G</t>
        </is>
      </c>
      <c r="K127" s="47" t="inlineStr">
        <is>
          <t>G</t>
        </is>
      </c>
      <c r="L127" s="47" t="inlineStr">
        <is>
          <t>G</t>
        </is>
      </c>
      <c r="M127" s="47" t="inlineStr">
        <is>
          <t>G</t>
        </is>
      </c>
      <c r="N127" s="47" t="inlineStr">
        <is>
          <t>G</t>
        </is>
      </c>
      <c r="O127" s="47" t="inlineStr">
        <is>
          <t>G</t>
        </is>
      </c>
      <c r="P127" s="47" t="inlineStr">
        <is>
          <t>G</t>
        </is>
      </c>
      <c r="Q127" s="47" t="inlineStr">
        <is>
          <t>G</t>
        </is>
      </c>
      <c r="R127" s="47" t="inlineStr">
        <is>
          <t>H</t>
        </is>
      </c>
      <c r="S127" s="47" t="inlineStr">
        <is>
          <t>H</t>
        </is>
      </c>
      <c r="T127" s="47" t="inlineStr">
        <is>
          <t>H</t>
        </is>
      </c>
      <c r="U127" s="47" t="inlineStr">
        <is>
          <t>H</t>
        </is>
      </c>
      <c r="BE127" s="48">
        <f>D127*$B$6*IF($R$18="Y",1,0)</f>
        <v/>
      </c>
      <c r="BF127" s="48">
        <f>D127*$I$18</f>
        <v/>
      </c>
      <c r="BG127" s="49">
        <f>MATCH("P",$E127:$BD127,0)</f>
        <v/>
      </c>
      <c r="BH127" s="33" t="inlineStr">
        <is>
          <t>Open field</t>
        </is>
      </c>
      <c r="BI127" s="33">
        <f>$Q$18</f>
        <v/>
      </c>
    </row>
    <row r="128">
      <c r="A128" s="33" t="inlineStr">
        <is>
          <t>Kale W05 T</t>
        </is>
      </c>
      <c r="B128" s="33" t="inlineStr">
        <is>
          <t>Kale</t>
        </is>
      </c>
      <c r="C128" s="45" t="n">
        <v>0</v>
      </c>
      <c r="D128" s="46" t="n">
        <v>0</v>
      </c>
      <c r="I128" s="47" t="inlineStr">
        <is>
          <t>P</t>
        </is>
      </c>
      <c r="J128" s="47" t="inlineStr">
        <is>
          <t>G</t>
        </is>
      </c>
      <c r="K128" s="47" t="inlineStr">
        <is>
          <t>G</t>
        </is>
      </c>
      <c r="L128" s="47" t="inlineStr">
        <is>
          <t>G</t>
        </is>
      </c>
      <c r="M128" s="47" t="inlineStr">
        <is>
          <t>G</t>
        </is>
      </c>
      <c r="N128" s="47" t="inlineStr">
        <is>
          <t>G</t>
        </is>
      </c>
      <c r="O128" s="47" t="inlineStr">
        <is>
          <t>G</t>
        </is>
      </c>
      <c r="P128" s="47" t="inlineStr">
        <is>
          <t>G</t>
        </is>
      </c>
      <c r="Q128" s="47" t="inlineStr">
        <is>
          <t>G</t>
        </is>
      </c>
      <c r="R128" s="47" t="inlineStr">
        <is>
          <t>H</t>
        </is>
      </c>
      <c r="S128" s="47" t="inlineStr">
        <is>
          <t>H</t>
        </is>
      </c>
      <c r="T128" s="47" t="inlineStr">
        <is>
          <t>H</t>
        </is>
      </c>
      <c r="U128" s="47" t="inlineStr">
        <is>
          <t>H</t>
        </is>
      </c>
      <c r="BE128" s="48">
        <f>D128*$B$6*IF($S$18="Y",1,0)</f>
        <v/>
      </c>
      <c r="BF128" s="48">
        <f>D128*$I$18</f>
        <v/>
      </c>
      <c r="BG128" s="49">
        <f>MATCH("P",$E128:$BD128,0)</f>
        <v/>
      </c>
      <c r="BH128" s="33" t="inlineStr">
        <is>
          <t>High tunnel</t>
        </is>
      </c>
      <c r="BI128" s="33">
        <f>$Q$18</f>
        <v/>
      </c>
    </row>
    <row r="129">
      <c r="A129" s="33" t="inlineStr">
        <is>
          <t>Kale W06 F</t>
        </is>
      </c>
      <c r="B129" s="33" t="inlineStr">
        <is>
          <t>Kale</t>
        </is>
      </c>
      <c r="C129" s="45" t="n">
        <v>0</v>
      </c>
      <c r="D129" s="46" t="n">
        <v>0</v>
      </c>
      <c r="J129" s="47" t="inlineStr">
        <is>
          <t>P</t>
        </is>
      </c>
      <c r="K129" s="47" t="inlineStr">
        <is>
          <t>G</t>
        </is>
      </c>
      <c r="L129" s="47" t="inlineStr">
        <is>
          <t>G</t>
        </is>
      </c>
      <c r="M129" s="47" t="inlineStr">
        <is>
          <t>G</t>
        </is>
      </c>
      <c r="N129" s="47" t="inlineStr">
        <is>
          <t>G</t>
        </is>
      </c>
      <c r="O129" s="47" t="inlineStr">
        <is>
          <t>G</t>
        </is>
      </c>
      <c r="P129" s="47" t="inlineStr">
        <is>
          <t>G</t>
        </is>
      </c>
      <c r="Q129" s="47" t="inlineStr">
        <is>
          <t>G</t>
        </is>
      </c>
      <c r="R129" s="47" t="inlineStr">
        <is>
          <t>G</t>
        </is>
      </c>
      <c r="S129" s="47" t="inlineStr">
        <is>
          <t>H</t>
        </is>
      </c>
      <c r="T129" s="47" t="inlineStr">
        <is>
          <t>H</t>
        </is>
      </c>
      <c r="U129" s="47" t="inlineStr">
        <is>
          <t>H</t>
        </is>
      </c>
      <c r="V129" s="47" t="inlineStr">
        <is>
          <t>H</t>
        </is>
      </c>
      <c r="BE129" s="48">
        <f>D129*$B$6*IF($R$18="Y",1,0)</f>
        <v/>
      </c>
      <c r="BF129" s="48">
        <f>D129*$I$18</f>
        <v/>
      </c>
      <c r="BG129" s="49">
        <f>MATCH("P",$E129:$BD129,0)</f>
        <v/>
      </c>
      <c r="BH129" s="33" t="inlineStr">
        <is>
          <t>Open field</t>
        </is>
      </c>
      <c r="BI129" s="33">
        <f>$Q$18</f>
        <v/>
      </c>
    </row>
    <row r="130">
      <c r="A130" s="33" t="inlineStr">
        <is>
          <t>Kale W06 T</t>
        </is>
      </c>
      <c r="B130" s="33" t="inlineStr">
        <is>
          <t>Kale</t>
        </is>
      </c>
      <c r="C130" s="45" t="n">
        <v>0</v>
      </c>
      <c r="D130" s="46" t="n">
        <v>0</v>
      </c>
      <c r="J130" s="47" t="inlineStr">
        <is>
          <t>P</t>
        </is>
      </c>
      <c r="K130" s="47" t="inlineStr">
        <is>
          <t>G</t>
        </is>
      </c>
      <c r="L130" s="47" t="inlineStr">
        <is>
          <t>G</t>
        </is>
      </c>
      <c r="M130" s="47" t="inlineStr">
        <is>
          <t>G</t>
        </is>
      </c>
      <c r="N130" s="47" t="inlineStr">
        <is>
          <t>G</t>
        </is>
      </c>
      <c r="O130" s="47" t="inlineStr">
        <is>
          <t>G</t>
        </is>
      </c>
      <c r="P130" s="47" t="inlineStr">
        <is>
          <t>G</t>
        </is>
      </c>
      <c r="Q130" s="47" t="inlineStr">
        <is>
          <t>G</t>
        </is>
      </c>
      <c r="R130" s="47" t="inlineStr">
        <is>
          <t>G</t>
        </is>
      </c>
      <c r="S130" s="47" t="inlineStr">
        <is>
          <t>H</t>
        </is>
      </c>
      <c r="T130" s="47" t="inlineStr">
        <is>
          <t>H</t>
        </is>
      </c>
      <c r="U130" s="47" t="inlineStr">
        <is>
          <t>H</t>
        </is>
      </c>
      <c r="V130" s="47" t="inlineStr">
        <is>
          <t>H</t>
        </is>
      </c>
      <c r="BE130" s="48">
        <f>D130*$B$6*IF($S$18="Y",1,0)</f>
        <v/>
      </c>
      <c r="BF130" s="48">
        <f>D130*$I$18</f>
        <v/>
      </c>
      <c r="BG130" s="49">
        <f>MATCH("P",$E130:$BD130,0)</f>
        <v/>
      </c>
      <c r="BH130" s="33" t="inlineStr">
        <is>
          <t>High tunnel</t>
        </is>
      </c>
      <c r="BI130" s="33">
        <f>$Q$18</f>
        <v/>
      </c>
    </row>
    <row r="131">
      <c r="A131" s="33" t="inlineStr">
        <is>
          <t>Kale W07 F</t>
        </is>
      </c>
      <c r="B131" s="33" t="inlineStr">
        <is>
          <t>Kale</t>
        </is>
      </c>
      <c r="C131" s="45" t="n">
        <v>0</v>
      </c>
      <c r="D131" s="46" t="n">
        <v>0</v>
      </c>
      <c r="K131" s="47" t="inlineStr">
        <is>
          <t>P</t>
        </is>
      </c>
      <c r="L131" s="47" t="inlineStr">
        <is>
          <t>G</t>
        </is>
      </c>
      <c r="M131" s="47" t="inlineStr">
        <is>
          <t>G</t>
        </is>
      </c>
      <c r="N131" s="47" t="inlineStr">
        <is>
          <t>G</t>
        </is>
      </c>
      <c r="O131" s="47" t="inlineStr">
        <is>
          <t>G</t>
        </is>
      </c>
      <c r="P131" s="47" t="inlineStr">
        <is>
          <t>G</t>
        </is>
      </c>
      <c r="Q131" s="47" t="inlineStr">
        <is>
          <t>G</t>
        </is>
      </c>
      <c r="R131" s="47" t="inlineStr">
        <is>
          <t>G</t>
        </is>
      </c>
      <c r="S131" s="47" t="inlineStr">
        <is>
          <t>G</t>
        </is>
      </c>
      <c r="T131" s="47" t="inlineStr">
        <is>
          <t>H</t>
        </is>
      </c>
      <c r="U131" s="47" t="inlineStr">
        <is>
          <t>H</t>
        </is>
      </c>
      <c r="V131" s="47" t="inlineStr">
        <is>
          <t>H</t>
        </is>
      </c>
      <c r="W131" s="47" t="inlineStr">
        <is>
          <t>H</t>
        </is>
      </c>
      <c r="BE131" s="48">
        <f>D131*$B$6*IF($R$18="Y",1,0)</f>
        <v/>
      </c>
      <c r="BF131" s="48">
        <f>D131*$I$18</f>
        <v/>
      </c>
      <c r="BG131" s="49">
        <f>MATCH("P",$E131:$BD131,0)</f>
        <v/>
      </c>
      <c r="BH131" s="33" t="inlineStr">
        <is>
          <t>Open field</t>
        </is>
      </c>
      <c r="BI131" s="33">
        <f>$Q$18</f>
        <v/>
      </c>
    </row>
    <row r="132">
      <c r="A132" s="33" t="inlineStr">
        <is>
          <t>Kale W07 T</t>
        </is>
      </c>
      <c r="B132" s="33" t="inlineStr">
        <is>
          <t>Kale</t>
        </is>
      </c>
      <c r="C132" s="45" t="n">
        <v>0</v>
      </c>
      <c r="D132" s="46" t="n">
        <v>0</v>
      </c>
      <c r="K132" s="47" t="inlineStr">
        <is>
          <t>P</t>
        </is>
      </c>
      <c r="L132" s="47" t="inlineStr">
        <is>
          <t>G</t>
        </is>
      </c>
      <c r="M132" s="47" t="inlineStr">
        <is>
          <t>G</t>
        </is>
      </c>
      <c r="N132" s="47" t="inlineStr">
        <is>
          <t>G</t>
        </is>
      </c>
      <c r="O132" s="47" t="inlineStr">
        <is>
          <t>G</t>
        </is>
      </c>
      <c r="P132" s="47" t="inlineStr">
        <is>
          <t>G</t>
        </is>
      </c>
      <c r="Q132" s="47" t="inlineStr">
        <is>
          <t>G</t>
        </is>
      </c>
      <c r="R132" s="47" t="inlineStr">
        <is>
          <t>G</t>
        </is>
      </c>
      <c r="S132" s="47" t="inlineStr">
        <is>
          <t>G</t>
        </is>
      </c>
      <c r="T132" s="47" t="inlineStr">
        <is>
          <t>H</t>
        </is>
      </c>
      <c r="U132" s="47" t="inlineStr">
        <is>
          <t>H</t>
        </is>
      </c>
      <c r="V132" s="47" t="inlineStr">
        <is>
          <t>H</t>
        </is>
      </c>
      <c r="W132" s="47" t="inlineStr">
        <is>
          <t>H</t>
        </is>
      </c>
      <c r="BE132" s="48">
        <f>D132*$B$6*IF($S$18="Y",1,0)</f>
        <v/>
      </c>
      <c r="BF132" s="48">
        <f>D132*$I$18</f>
        <v/>
      </c>
      <c r="BG132" s="49">
        <f>MATCH("P",$E132:$BD132,0)</f>
        <v/>
      </c>
      <c r="BH132" s="33" t="inlineStr">
        <is>
          <t>High tunnel</t>
        </is>
      </c>
      <c r="BI132" s="33">
        <f>$Q$18</f>
        <v/>
      </c>
    </row>
    <row r="133">
      <c r="A133" s="33" t="inlineStr">
        <is>
          <t>Kale W08 F</t>
        </is>
      </c>
      <c r="B133" s="33" t="inlineStr">
        <is>
          <t>Kale</t>
        </is>
      </c>
      <c r="C133" s="45" t="n">
        <v>0</v>
      </c>
      <c r="D133" s="46" t="n">
        <v>0</v>
      </c>
      <c r="L133" s="47" t="inlineStr">
        <is>
          <t>P</t>
        </is>
      </c>
      <c r="M133" s="47" t="inlineStr">
        <is>
          <t>G</t>
        </is>
      </c>
      <c r="N133" s="47" t="inlineStr">
        <is>
          <t>G</t>
        </is>
      </c>
      <c r="O133" s="47" t="inlineStr">
        <is>
          <t>G</t>
        </is>
      </c>
      <c r="P133" s="47" t="inlineStr">
        <is>
          <t>G</t>
        </is>
      </c>
      <c r="Q133" s="47" t="inlineStr">
        <is>
          <t>G</t>
        </is>
      </c>
      <c r="R133" s="47" t="inlineStr">
        <is>
          <t>G</t>
        </is>
      </c>
      <c r="S133" s="47" t="inlineStr">
        <is>
          <t>G</t>
        </is>
      </c>
      <c r="T133" s="47" t="inlineStr">
        <is>
          <t>G</t>
        </is>
      </c>
      <c r="U133" s="47" t="inlineStr">
        <is>
          <t>H</t>
        </is>
      </c>
      <c r="V133" s="47" t="inlineStr">
        <is>
          <t>H</t>
        </is>
      </c>
      <c r="W133" s="47" t="inlineStr">
        <is>
          <t>H</t>
        </is>
      </c>
      <c r="X133" s="47" t="inlineStr">
        <is>
          <t>H</t>
        </is>
      </c>
      <c r="BE133" s="48">
        <f>D133*$B$6*IF($R$18="Y",1,0)</f>
        <v/>
      </c>
      <c r="BF133" s="48">
        <f>D133*$I$18</f>
        <v/>
      </c>
      <c r="BG133" s="49">
        <f>MATCH("P",$E133:$BD133,0)</f>
        <v/>
      </c>
      <c r="BH133" s="33" t="inlineStr">
        <is>
          <t>Open field</t>
        </is>
      </c>
      <c r="BI133" s="33">
        <f>$Q$18</f>
        <v/>
      </c>
    </row>
    <row r="134">
      <c r="A134" s="33" t="inlineStr">
        <is>
          <t>Kale W08 T</t>
        </is>
      </c>
      <c r="B134" s="33" t="inlineStr">
        <is>
          <t>Kale</t>
        </is>
      </c>
      <c r="C134" s="45" t="n">
        <v>0</v>
      </c>
      <c r="D134" s="46" t="n">
        <v>0</v>
      </c>
      <c r="L134" s="47" t="inlineStr">
        <is>
          <t>P</t>
        </is>
      </c>
      <c r="M134" s="47" t="inlineStr">
        <is>
          <t>G</t>
        </is>
      </c>
      <c r="N134" s="47" t="inlineStr">
        <is>
          <t>G</t>
        </is>
      </c>
      <c r="O134" s="47" t="inlineStr">
        <is>
          <t>G</t>
        </is>
      </c>
      <c r="P134" s="47" t="inlineStr">
        <is>
          <t>G</t>
        </is>
      </c>
      <c r="Q134" s="47" t="inlineStr">
        <is>
          <t>G</t>
        </is>
      </c>
      <c r="R134" s="47" t="inlineStr">
        <is>
          <t>G</t>
        </is>
      </c>
      <c r="S134" s="47" t="inlineStr">
        <is>
          <t>G</t>
        </is>
      </c>
      <c r="T134" s="47" t="inlineStr">
        <is>
          <t>G</t>
        </is>
      </c>
      <c r="U134" s="47" t="inlineStr">
        <is>
          <t>H</t>
        </is>
      </c>
      <c r="V134" s="47" t="inlineStr">
        <is>
          <t>H</t>
        </is>
      </c>
      <c r="W134" s="47" t="inlineStr">
        <is>
          <t>H</t>
        </is>
      </c>
      <c r="X134" s="47" t="inlineStr">
        <is>
          <t>H</t>
        </is>
      </c>
      <c r="BE134" s="48">
        <f>D134*$B$6*IF($S$18="Y",1,0)</f>
        <v/>
      </c>
      <c r="BF134" s="48">
        <f>D134*$I$18</f>
        <v/>
      </c>
      <c r="BG134" s="49">
        <f>MATCH("P",$E134:$BD134,0)</f>
        <v/>
      </c>
      <c r="BH134" s="33" t="inlineStr">
        <is>
          <t>High tunnel</t>
        </is>
      </c>
      <c r="BI134" s="33">
        <f>$Q$18</f>
        <v/>
      </c>
    </row>
    <row r="135">
      <c r="A135" s="33" t="inlineStr">
        <is>
          <t>Kale W09 F</t>
        </is>
      </c>
      <c r="B135" s="33" t="inlineStr">
        <is>
          <t>Kale</t>
        </is>
      </c>
      <c r="C135" s="45" t="n">
        <v>0</v>
      </c>
      <c r="D135" s="46" t="n">
        <v>0</v>
      </c>
      <c r="M135" s="47" t="inlineStr">
        <is>
          <t>P</t>
        </is>
      </c>
      <c r="N135" s="47" t="inlineStr">
        <is>
          <t>G</t>
        </is>
      </c>
      <c r="O135" s="47" t="inlineStr">
        <is>
          <t>G</t>
        </is>
      </c>
      <c r="P135" s="47" t="inlineStr">
        <is>
          <t>G</t>
        </is>
      </c>
      <c r="Q135" s="47" t="inlineStr">
        <is>
          <t>G</t>
        </is>
      </c>
      <c r="R135" s="47" t="inlineStr">
        <is>
          <t>G</t>
        </is>
      </c>
      <c r="S135" s="47" t="inlineStr">
        <is>
          <t>G</t>
        </is>
      </c>
      <c r="T135" s="47" t="inlineStr">
        <is>
          <t>G</t>
        </is>
      </c>
      <c r="U135" s="47" t="inlineStr">
        <is>
          <t>G</t>
        </is>
      </c>
      <c r="V135" s="47" t="inlineStr">
        <is>
          <t>H</t>
        </is>
      </c>
      <c r="W135" s="47" t="inlineStr">
        <is>
          <t>H</t>
        </is>
      </c>
      <c r="X135" s="47" t="inlineStr">
        <is>
          <t>H</t>
        </is>
      </c>
      <c r="Y135" s="47" t="inlineStr">
        <is>
          <t>H</t>
        </is>
      </c>
      <c r="BE135" s="48">
        <f>D135*$B$6*IF($R$18="Y",1,0)</f>
        <v/>
      </c>
      <c r="BF135" s="48">
        <f>D135*$I$18</f>
        <v/>
      </c>
      <c r="BG135" s="49">
        <f>MATCH("P",$E135:$BD135,0)</f>
        <v/>
      </c>
      <c r="BH135" s="33" t="inlineStr">
        <is>
          <t>Open field</t>
        </is>
      </c>
      <c r="BI135" s="33">
        <f>$Q$18</f>
        <v/>
      </c>
    </row>
    <row r="136">
      <c r="A136" s="33" t="inlineStr">
        <is>
          <t>Kale W09 T</t>
        </is>
      </c>
      <c r="B136" s="33" t="inlineStr">
        <is>
          <t>Kale</t>
        </is>
      </c>
      <c r="C136" s="45" t="n">
        <v>0</v>
      </c>
      <c r="D136" s="46" t="n">
        <v>0</v>
      </c>
      <c r="M136" s="47" t="inlineStr">
        <is>
          <t>P</t>
        </is>
      </c>
      <c r="N136" s="47" t="inlineStr">
        <is>
          <t>G</t>
        </is>
      </c>
      <c r="O136" s="47" t="inlineStr">
        <is>
          <t>G</t>
        </is>
      </c>
      <c r="P136" s="47" t="inlineStr">
        <is>
          <t>G</t>
        </is>
      </c>
      <c r="Q136" s="47" t="inlineStr">
        <is>
          <t>G</t>
        </is>
      </c>
      <c r="R136" s="47" t="inlineStr">
        <is>
          <t>G</t>
        </is>
      </c>
      <c r="S136" s="47" t="inlineStr">
        <is>
          <t>G</t>
        </is>
      </c>
      <c r="T136" s="47" t="inlineStr">
        <is>
          <t>G</t>
        </is>
      </c>
      <c r="U136" s="47" t="inlineStr">
        <is>
          <t>G</t>
        </is>
      </c>
      <c r="V136" s="47" t="inlineStr">
        <is>
          <t>H</t>
        </is>
      </c>
      <c r="W136" s="47" t="inlineStr">
        <is>
          <t>H</t>
        </is>
      </c>
      <c r="X136" s="47" t="inlineStr">
        <is>
          <t>H</t>
        </is>
      </c>
      <c r="Y136" s="47" t="inlineStr">
        <is>
          <t>H</t>
        </is>
      </c>
      <c r="BE136" s="48">
        <f>D136*$B$6*IF($S$18="Y",1,0)</f>
        <v/>
      </c>
      <c r="BF136" s="48">
        <f>D136*$I$18</f>
        <v/>
      </c>
      <c r="BG136" s="49">
        <f>MATCH("P",$E136:$BD136,0)</f>
        <v/>
      </c>
      <c r="BH136" s="33" t="inlineStr">
        <is>
          <t>High tunnel</t>
        </is>
      </c>
      <c r="BI136" s="33">
        <f>$Q$18</f>
        <v/>
      </c>
    </row>
    <row r="137">
      <c r="A137" s="33" t="inlineStr">
        <is>
          <t>Kale W10 F</t>
        </is>
      </c>
      <c r="B137" s="33" t="inlineStr">
        <is>
          <t>Kale</t>
        </is>
      </c>
      <c r="C137" s="45" t="n">
        <v>0</v>
      </c>
      <c r="D137" s="46" t="n">
        <v>0</v>
      </c>
      <c r="N137" s="47" t="inlineStr">
        <is>
          <t>P</t>
        </is>
      </c>
      <c r="O137" s="47" t="inlineStr">
        <is>
          <t>G</t>
        </is>
      </c>
      <c r="P137" s="47" t="inlineStr">
        <is>
          <t>G</t>
        </is>
      </c>
      <c r="Q137" s="47" t="inlineStr">
        <is>
          <t>G</t>
        </is>
      </c>
      <c r="R137" s="47" t="inlineStr">
        <is>
          <t>G</t>
        </is>
      </c>
      <c r="S137" s="47" t="inlineStr">
        <is>
          <t>G</t>
        </is>
      </c>
      <c r="T137" s="47" t="inlineStr">
        <is>
          <t>G</t>
        </is>
      </c>
      <c r="U137" s="47" t="inlineStr">
        <is>
          <t>G</t>
        </is>
      </c>
      <c r="V137" s="47" t="inlineStr">
        <is>
          <t>G</t>
        </is>
      </c>
      <c r="W137" s="47" t="inlineStr">
        <is>
          <t>H</t>
        </is>
      </c>
      <c r="X137" s="47" t="inlineStr">
        <is>
          <t>H</t>
        </is>
      </c>
      <c r="Y137" s="47" t="inlineStr">
        <is>
          <t>H</t>
        </is>
      </c>
      <c r="Z137" s="47" t="inlineStr">
        <is>
          <t>H</t>
        </is>
      </c>
      <c r="BE137" s="48">
        <f>D137*$B$6*IF($R$18="Y",1,0)</f>
        <v/>
      </c>
      <c r="BF137" s="48">
        <f>D137*$I$18</f>
        <v/>
      </c>
      <c r="BG137" s="49">
        <f>MATCH("P",$E137:$BD137,0)</f>
        <v/>
      </c>
      <c r="BH137" s="33" t="inlineStr">
        <is>
          <t>Open field</t>
        </is>
      </c>
      <c r="BI137" s="33">
        <f>$Q$18</f>
        <v/>
      </c>
    </row>
    <row r="138">
      <c r="A138" s="33" t="inlineStr">
        <is>
          <t>Kale W10 T</t>
        </is>
      </c>
      <c r="B138" s="33" t="inlineStr">
        <is>
          <t>Kale</t>
        </is>
      </c>
      <c r="C138" s="45" t="n">
        <v>0</v>
      </c>
      <c r="D138" s="46" t="n">
        <v>0</v>
      </c>
      <c r="N138" s="47" t="inlineStr">
        <is>
          <t>P</t>
        </is>
      </c>
      <c r="O138" s="47" t="inlineStr">
        <is>
          <t>G</t>
        </is>
      </c>
      <c r="P138" s="47" t="inlineStr">
        <is>
          <t>G</t>
        </is>
      </c>
      <c r="Q138" s="47" t="inlineStr">
        <is>
          <t>G</t>
        </is>
      </c>
      <c r="R138" s="47" t="inlineStr">
        <is>
          <t>G</t>
        </is>
      </c>
      <c r="S138" s="47" t="inlineStr">
        <is>
          <t>G</t>
        </is>
      </c>
      <c r="T138" s="47" t="inlineStr">
        <is>
          <t>G</t>
        </is>
      </c>
      <c r="U138" s="47" t="inlineStr">
        <is>
          <t>G</t>
        </is>
      </c>
      <c r="V138" s="47" t="inlineStr">
        <is>
          <t>G</t>
        </is>
      </c>
      <c r="W138" s="47" t="inlineStr">
        <is>
          <t>H</t>
        </is>
      </c>
      <c r="X138" s="47" t="inlineStr">
        <is>
          <t>H</t>
        </is>
      </c>
      <c r="Y138" s="47" t="inlineStr">
        <is>
          <t>H</t>
        </is>
      </c>
      <c r="Z138" s="47" t="inlineStr">
        <is>
          <t>H</t>
        </is>
      </c>
      <c r="BE138" s="48">
        <f>D138*$B$6*IF($S$18="Y",1,0)</f>
        <v/>
      </c>
      <c r="BF138" s="48">
        <f>D138*$I$18</f>
        <v/>
      </c>
      <c r="BG138" s="49">
        <f>MATCH("P",$E138:$BD138,0)</f>
        <v/>
      </c>
      <c r="BH138" s="33" t="inlineStr">
        <is>
          <t>High tunnel</t>
        </is>
      </c>
      <c r="BI138" s="33">
        <f>$Q$18</f>
        <v/>
      </c>
    </row>
    <row r="139">
      <c r="A139" s="33" t="inlineStr">
        <is>
          <t>Kale W11 F</t>
        </is>
      </c>
      <c r="B139" s="33" t="inlineStr">
        <is>
          <t>Kale</t>
        </is>
      </c>
      <c r="C139" s="45" t="n">
        <v>0</v>
      </c>
      <c r="D139" s="46" t="n">
        <v>0</v>
      </c>
      <c r="O139" s="47" t="inlineStr">
        <is>
          <t>P</t>
        </is>
      </c>
      <c r="P139" s="47" t="inlineStr">
        <is>
          <t>G</t>
        </is>
      </c>
      <c r="Q139" s="47" t="inlineStr">
        <is>
          <t>G</t>
        </is>
      </c>
      <c r="R139" s="47" t="inlineStr">
        <is>
          <t>G</t>
        </is>
      </c>
      <c r="S139" s="47" t="inlineStr">
        <is>
          <t>G</t>
        </is>
      </c>
      <c r="T139" s="47" t="inlineStr">
        <is>
          <t>G</t>
        </is>
      </c>
      <c r="U139" s="47" t="inlineStr">
        <is>
          <t>G</t>
        </is>
      </c>
      <c r="V139" s="47" t="inlineStr">
        <is>
          <t>G</t>
        </is>
      </c>
      <c r="W139" s="47" t="inlineStr">
        <is>
          <t>G</t>
        </is>
      </c>
      <c r="X139" s="47" t="inlineStr">
        <is>
          <t>H</t>
        </is>
      </c>
      <c r="Y139" s="47" t="inlineStr">
        <is>
          <t>H</t>
        </is>
      </c>
      <c r="Z139" s="47" t="inlineStr">
        <is>
          <t>H</t>
        </is>
      </c>
      <c r="AA139" s="47" t="inlineStr">
        <is>
          <t>H</t>
        </is>
      </c>
      <c r="BE139" s="48">
        <f>D139*$B$6*IF($R$18="Y",1,0)</f>
        <v/>
      </c>
      <c r="BF139" s="48">
        <f>D139*$I$18</f>
        <v/>
      </c>
      <c r="BG139" s="49">
        <f>MATCH("P",$E139:$BD139,0)</f>
        <v/>
      </c>
      <c r="BH139" s="33" t="inlineStr">
        <is>
          <t>Open field</t>
        </is>
      </c>
      <c r="BI139" s="33">
        <f>$Q$18</f>
        <v/>
      </c>
    </row>
    <row r="140">
      <c r="A140" s="33" t="inlineStr">
        <is>
          <t>Kale W11 T</t>
        </is>
      </c>
      <c r="B140" s="33" t="inlineStr">
        <is>
          <t>Kale</t>
        </is>
      </c>
      <c r="C140" s="45" t="n">
        <v>0</v>
      </c>
      <c r="D140" s="46" t="n">
        <v>0</v>
      </c>
      <c r="O140" s="47" t="inlineStr">
        <is>
          <t>P</t>
        </is>
      </c>
      <c r="P140" s="47" t="inlineStr">
        <is>
          <t>G</t>
        </is>
      </c>
      <c r="Q140" s="47" t="inlineStr">
        <is>
          <t>G</t>
        </is>
      </c>
      <c r="R140" s="47" t="inlineStr">
        <is>
          <t>G</t>
        </is>
      </c>
      <c r="S140" s="47" t="inlineStr">
        <is>
          <t>G</t>
        </is>
      </c>
      <c r="T140" s="47" t="inlineStr">
        <is>
          <t>G</t>
        </is>
      </c>
      <c r="U140" s="47" t="inlineStr">
        <is>
          <t>G</t>
        </is>
      </c>
      <c r="V140" s="47" t="inlineStr">
        <is>
          <t>G</t>
        </is>
      </c>
      <c r="W140" s="47" t="inlineStr">
        <is>
          <t>G</t>
        </is>
      </c>
      <c r="X140" s="47" t="inlineStr">
        <is>
          <t>H</t>
        </is>
      </c>
      <c r="Y140" s="47" t="inlineStr">
        <is>
          <t>H</t>
        </is>
      </c>
      <c r="Z140" s="47" t="inlineStr">
        <is>
          <t>H</t>
        </is>
      </c>
      <c r="AA140" s="47" t="inlineStr">
        <is>
          <t>H</t>
        </is>
      </c>
      <c r="BE140" s="48">
        <f>D140*$B$6*IF($S$18="Y",1,0)</f>
        <v/>
      </c>
      <c r="BF140" s="48">
        <f>D140*$I$18</f>
        <v/>
      </c>
      <c r="BG140" s="49">
        <f>MATCH("P",$E140:$BD140,0)</f>
        <v/>
      </c>
      <c r="BH140" s="33" t="inlineStr">
        <is>
          <t>High tunnel</t>
        </is>
      </c>
      <c r="BI140" s="33">
        <f>$Q$18</f>
        <v/>
      </c>
    </row>
    <row r="141">
      <c r="A141" s="33" t="inlineStr">
        <is>
          <t>Kale W12 F</t>
        </is>
      </c>
      <c r="B141" s="33" t="inlineStr">
        <is>
          <t>Kale</t>
        </is>
      </c>
      <c r="C141" s="45" t="n">
        <v>0</v>
      </c>
      <c r="D141" s="46" t="n">
        <v>0</v>
      </c>
      <c r="P141" s="47" t="inlineStr">
        <is>
          <t>P</t>
        </is>
      </c>
      <c r="Q141" s="47" t="inlineStr">
        <is>
          <t>G</t>
        </is>
      </c>
      <c r="R141" s="47" t="inlineStr">
        <is>
          <t>G</t>
        </is>
      </c>
      <c r="S141" s="47" t="inlineStr">
        <is>
          <t>G</t>
        </is>
      </c>
      <c r="T141" s="47" t="inlineStr">
        <is>
          <t>G</t>
        </is>
      </c>
      <c r="U141" s="47" t="inlineStr">
        <is>
          <t>G</t>
        </is>
      </c>
      <c r="V141" s="47" t="inlineStr">
        <is>
          <t>G</t>
        </is>
      </c>
      <c r="W141" s="47" t="inlineStr">
        <is>
          <t>G</t>
        </is>
      </c>
      <c r="X141" s="47" t="inlineStr">
        <is>
          <t>G</t>
        </is>
      </c>
      <c r="Y141" s="47" t="inlineStr">
        <is>
          <t>H</t>
        </is>
      </c>
      <c r="Z141" s="47" t="inlineStr">
        <is>
          <t>H</t>
        </is>
      </c>
      <c r="AA141" s="47" t="inlineStr">
        <is>
          <t>H</t>
        </is>
      </c>
      <c r="AB141" s="47" t="inlineStr">
        <is>
          <t>H</t>
        </is>
      </c>
      <c r="BE141" s="48">
        <f>D141*$B$6*IF($R$18="Y",1,0)</f>
        <v/>
      </c>
      <c r="BF141" s="48">
        <f>D141*$I$18</f>
        <v/>
      </c>
      <c r="BG141" s="49">
        <f>MATCH("P",$E141:$BD141,0)</f>
        <v/>
      </c>
      <c r="BH141" s="33" t="inlineStr">
        <is>
          <t>Open field</t>
        </is>
      </c>
      <c r="BI141" s="33">
        <f>$Q$18</f>
        <v/>
      </c>
    </row>
    <row r="142">
      <c r="A142" s="33" t="inlineStr">
        <is>
          <t>Kale W12 T</t>
        </is>
      </c>
      <c r="B142" s="33" t="inlineStr">
        <is>
          <t>Kale</t>
        </is>
      </c>
      <c r="C142" s="45" t="n">
        <v>0</v>
      </c>
      <c r="D142" s="46" t="n">
        <v>0</v>
      </c>
      <c r="P142" s="47" t="inlineStr">
        <is>
          <t>P</t>
        </is>
      </c>
      <c r="Q142" s="47" t="inlineStr">
        <is>
          <t>G</t>
        </is>
      </c>
      <c r="R142" s="47" t="inlineStr">
        <is>
          <t>G</t>
        </is>
      </c>
      <c r="S142" s="47" t="inlineStr">
        <is>
          <t>G</t>
        </is>
      </c>
      <c r="T142" s="47" t="inlineStr">
        <is>
          <t>G</t>
        </is>
      </c>
      <c r="U142" s="47" t="inlineStr">
        <is>
          <t>G</t>
        </is>
      </c>
      <c r="V142" s="47" t="inlineStr">
        <is>
          <t>G</t>
        </is>
      </c>
      <c r="W142" s="47" t="inlineStr">
        <is>
          <t>G</t>
        </is>
      </c>
      <c r="X142" s="47" t="inlineStr">
        <is>
          <t>G</t>
        </is>
      </c>
      <c r="Y142" s="47" t="inlineStr">
        <is>
          <t>H</t>
        </is>
      </c>
      <c r="Z142" s="47" t="inlineStr">
        <is>
          <t>H</t>
        </is>
      </c>
      <c r="AA142" s="47" t="inlineStr">
        <is>
          <t>H</t>
        </is>
      </c>
      <c r="AB142" s="47" t="inlineStr">
        <is>
          <t>H</t>
        </is>
      </c>
      <c r="BE142" s="48">
        <f>D142*$B$6*IF($S$18="Y",1,0)</f>
        <v/>
      </c>
      <c r="BF142" s="48">
        <f>D142*$I$18</f>
        <v/>
      </c>
      <c r="BG142" s="49">
        <f>MATCH("P",$E142:$BD142,0)</f>
        <v/>
      </c>
      <c r="BH142" s="33" t="inlineStr">
        <is>
          <t>High tunnel</t>
        </is>
      </c>
      <c r="BI142" s="33">
        <f>$Q$18</f>
        <v/>
      </c>
    </row>
    <row r="143">
      <c r="A143" s="33" t="inlineStr">
        <is>
          <t>Kale W13 F</t>
        </is>
      </c>
      <c r="B143" s="33" t="inlineStr">
        <is>
          <t>Kale</t>
        </is>
      </c>
      <c r="C143" s="45" t="n">
        <v>0</v>
      </c>
      <c r="D143" s="46" t="n">
        <v>0</v>
      </c>
      <c r="Q143" s="47" t="inlineStr">
        <is>
          <t>P</t>
        </is>
      </c>
      <c r="R143" s="47" t="inlineStr">
        <is>
          <t>G</t>
        </is>
      </c>
      <c r="S143" s="47" t="inlineStr">
        <is>
          <t>G</t>
        </is>
      </c>
      <c r="T143" s="47" t="inlineStr">
        <is>
          <t>G</t>
        </is>
      </c>
      <c r="U143" s="47" t="inlineStr">
        <is>
          <t>G</t>
        </is>
      </c>
      <c r="V143" s="47" t="inlineStr">
        <is>
          <t>G</t>
        </is>
      </c>
      <c r="W143" s="47" t="inlineStr">
        <is>
          <t>G</t>
        </is>
      </c>
      <c r="X143" s="47" t="inlineStr">
        <is>
          <t>G</t>
        </is>
      </c>
      <c r="Y143" s="47" t="inlineStr">
        <is>
          <t>G</t>
        </is>
      </c>
      <c r="Z143" s="47" t="inlineStr">
        <is>
          <t>H</t>
        </is>
      </c>
      <c r="AA143" s="47" t="inlineStr">
        <is>
          <t>H</t>
        </is>
      </c>
      <c r="AB143" s="47" t="inlineStr">
        <is>
          <t>H</t>
        </is>
      </c>
      <c r="AC143" s="47" t="inlineStr">
        <is>
          <t>H</t>
        </is>
      </c>
      <c r="BE143" s="48">
        <f>D143*$B$6*IF($R$18="Y",1,0)</f>
        <v/>
      </c>
      <c r="BF143" s="48">
        <f>D143*$I$18</f>
        <v/>
      </c>
      <c r="BG143" s="49">
        <f>MATCH("P",$E143:$BD143,0)</f>
        <v/>
      </c>
      <c r="BH143" s="33" t="inlineStr">
        <is>
          <t>Open field</t>
        </is>
      </c>
      <c r="BI143" s="33">
        <f>$Q$18</f>
        <v/>
      </c>
    </row>
    <row r="144">
      <c r="A144" s="33" t="inlineStr">
        <is>
          <t>Kale W13 T</t>
        </is>
      </c>
      <c r="B144" s="33" t="inlineStr">
        <is>
          <t>Kale</t>
        </is>
      </c>
      <c r="C144" s="45" t="n">
        <v>0</v>
      </c>
      <c r="D144" s="46" t="n">
        <v>0</v>
      </c>
      <c r="Q144" s="47" t="inlineStr">
        <is>
          <t>P</t>
        </is>
      </c>
      <c r="R144" s="47" t="inlineStr">
        <is>
          <t>G</t>
        </is>
      </c>
      <c r="S144" s="47" t="inlineStr">
        <is>
          <t>G</t>
        </is>
      </c>
      <c r="T144" s="47" t="inlineStr">
        <is>
          <t>G</t>
        </is>
      </c>
      <c r="U144" s="47" t="inlineStr">
        <is>
          <t>G</t>
        </is>
      </c>
      <c r="V144" s="47" t="inlineStr">
        <is>
          <t>G</t>
        </is>
      </c>
      <c r="W144" s="47" t="inlineStr">
        <is>
          <t>G</t>
        </is>
      </c>
      <c r="X144" s="47" t="inlineStr">
        <is>
          <t>G</t>
        </is>
      </c>
      <c r="Y144" s="47" t="inlineStr">
        <is>
          <t>G</t>
        </is>
      </c>
      <c r="Z144" s="47" t="inlineStr">
        <is>
          <t>H</t>
        </is>
      </c>
      <c r="AA144" s="47" t="inlineStr">
        <is>
          <t>H</t>
        </is>
      </c>
      <c r="AB144" s="47" t="inlineStr">
        <is>
          <t>H</t>
        </is>
      </c>
      <c r="AC144" s="47" t="inlineStr">
        <is>
          <t>H</t>
        </is>
      </c>
      <c r="BE144" s="48">
        <f>D144*$B$6*IF($S$18="Y",1,0)</f>
        <v/>
      </c>
      <c r="BF144" s="48">
        <f>D144*$I$18</f>
        <v/>
      </c>
      <c r="BG144" s="49">
        <f>MATCH("P",$E144:$BD144,0)</f>
        <v/>
      </c>
      <c r="BH144" s="33" t="inlineStr">
        <is>
          <t>High tunnel</t>
        </is>
      </c>
      <c r="BI144" s="33">
        <f>$Q$18</f>
        <v/>
      </c>
    </row>
    <row r="145">
      <c r="A145" s="33" t="inlineStr">
        <is>
          <t>Kale W14 F</t>
        </is>
      </c>
      <c r="B145" s="33" t="inlineStr">
        <is>
          <t>Kale</t>
        </is>
      </c>
      <c r="C145" s="45" t="n">
        <v>0</v>
      </c>
      <c r="D145" s="46" t="n">
        <v>0</v>
      </c>
      <c r="R145" s="47" t="inlineStr">
        <is>
          <t>P</t>
        </is>
      </c>
      <c r="S145" s="47" t="inlineStr">
        <is>
          <t>G</t>
        </is>
      </c>
      <c r="T145" s="47" t="inlineStr">
        <is>
          <t>G</t>
        </is>
      </c>
      <c r="U145" s="47" t="inlineStr">
        <is>
          <t>G</t>
        </is>
      </c>
      <c r="V145" s="47" t="inlineStr">
        <is>
          <t>G</t>
        </is>
      </c>
      <c r="W145" s="47" t="inlineStr">
        <is>
          <t>G</t>
        </is>
      </c>
      <c r="X145" s="47" t="inlineStr">
        <is>
          <t>G</t>
        </is>
      </c>
      <c r="Y145" s="47" t="inlineStr">
        <is>
          <t>G</t>
        </is>
      </c>
      <c r="Z145" s="47" t="inlineStr">
        <is>
          <t>G</t>
        </is>
      </c>
      <c r="AA145" s="47" t="inlineStr">
        <is>
          <t>H</t>
        </is>
      </c>
      <c r="AB145" s="47" t="inlineStr">
        <is>
          <t>H</t>
        </is>
      </c>
      <c r="AC145" s="47" t="inlineStr">
        <is>
          <t>H</t>
        </is>
      </c>
      <c r="AD145" s="47" t="inlineStr">
        <is>
          <t>H</t>
        </is>
      </c>
      <c r="BE145" s="48">
        <f>D145*$B$6*IF($R$18="Y",1,0)</f>
        <v/>
      </c>
      <c r="BF145" s="48">
        <f>D145*$I$18</f>
        <v/>
      </c>
      <c r="BG145" s="49">
        <f>MATCH("P",$E145:$BD145,0)</f>
        <v/>
      </c>
      <c r="BH145" s="33" t="inlineStr">
        <is>
          <t>Open field</t>
        </is>
      </c>
      <c r="BI145" s="33">
        <f>$Q$18</f>
        <v/>
      </c>
    </row>
    <row r="146">
      <c r="A146" s="33" t="inlineStr">
        <is>
          <t>Kale W14 T</t>
        </is>
      </c>
      <c r="B146" s="33" t="inlineStr">
        <is>
          <t>Kale</t>
        </is>
      </c>
      <c r="C146" s="45" t="n">
        <v>0</v>
      </c>
      <c r="D146" s="46" t="n">
        <v>0</v>
      </c>
      <c r="R146" s="47" t="inlineStr">
        <is>
          <t>P</t>
        </is>
      </c>
      <c r="S146" s="47" t="inlineStr">
        <is>
          <t>G</t>
        </is>
      </c>
      <c r="T146" s="47" t="inlineStr">
        <is>
          <t>G</t>
        </is>
      </c>
      <c r="U146" s="47" t="inlineStr">
        <is>
          <t>G</t>
        </is>
      </c>
      <c r="V146" s="47" t="inlineStr">
        <is>
          <t>G</t>
        </is>
      </c>
      <c r="W146" s="47" t="inlineStr">
        <is>
          <t>G</t>
        </is>
      </c>
      <c r="X146" s="47" t="inlineStr">
        <is>
          <t>G</t>
        </is>
      </c>
      <c r="Y146" s="47" t="inlineStr">
        <is>
          <t>G</t>
        </is>
      </c>
      <c r="Z146" s="47" t="inlineStr">
        <is>
          <t>G</t>
        </is>
      </c>
      <c r="AA146" s="47" t="inlineStr">
        <is>
          <t>H</t>
        </is>
      </c>
      <c r="AB146" s="47" t="inlineStr">
        <is>
          <t>H</t>
        </is>
      </c>
      <c r="AC146" s="47" t="inlineStr">
        <is>
          <t>H</t>
        </is>
      </c>
      <c r="AD146" s="47" t="inlineStr">
        <is>
          <t>H</t>
        </is>
      </c>
      <c r="BE146" s="48">
        <f>D146*$B$6*IF($S$18="Y",1,0)</f>
        <v/>
      </c>
      <c r="BF146" s="48">
        <f>D146*$I$18</f>
        <v/>
      </c>
      <c r="BG146" s="49">
        <f>MATCH("P",$E146:$BD146,0)</f>
        <v/>
      </c>
      <c r="BH146" s="33" t="inlineStr">
        <is>
          <t>High tunnel</t>
        </is>
      </c>
      <c r="BI146" s="33">
        <f>$Q$18</f>
        <v/>
      </c>
    </row>
    <row r="147">
      <c r="A147" s="33" t="inlineStr">
        <is>
          <t>Kale W15 F</t>
        </is>
      </c>
      <c r="B147" s="33" t="inlineStr">
        <is>
          <t>Kale</t>
        </is>
      </c>
      <c r="C147" s="45" t="n">
        <v>0</v>
      </c>
      <c r="D147" s="46" t="n">
        <v>0</v>
      </c>
      <c r="S147" s="47" t="inlineStr">
        <is>
          <t>P</t>
        </is>
      </c>
      <c r="T147" s="47" t="inlineStr">
        <is>
          <t>G</t>
        </is>
      </c>
      <c r="U147" s="47" t="inlineStr">
        <is>
          <t>G</t>
        </is>
      </c>
      <c r="V147" s="47" t="inlineStr">
        <is>
          <t>G</t>
        </is>
      </c>
      <c r="W147" s="47" t="inlineStr">
        <is>
          <t>G</t>
        </is>
      </c>
      <c r="X147" s="47" t="inlineStr">
        <is>
          <t>G</t>
        </is>
      </c>
      <c r="Y147" s="47" t="inlineStr">
        <is>
          <t>G</t>
        </is>
      </c>
      <c r="Z147" s="47" t="inlineStr">
        <is>
          <t>G</t>
        </is>
      </c>
      <c r="AA147" s="47" t="inlineStr">
        <is>
          <t>G</t>
        </is>
      </c>
      <c r="AB147" s="47" t="inlineStr">
        <is>
          <t>H</t>
        </is>
      </c>
      <c r="AC147" s="47" t="inlineStr">
        <is>
          <t>H</t>
        </is>
      </c>
      <c r="AD147" s="47" t="inlineStr">
        <is>
          <t>H</t>
        </is>
      </c>
      <c r="AE147" s="47" t="inlineStr">
        <is>
          <t>H</t>
        </is>
      </c>
      <c r="BE147" s="48">
        <f>D147*$B$6*IF($R$18="Y",1,0)</f>
        <v/>
      </c>
      <c r="BF147" s="48">
        <f>D147*$I$18</f>
        <v/>
      </c>
      <c r="BG147" s="49">
        <f>MATCH("P",$E147:$BD147,0)</f>
        <v/>
      </c>
      <c r="BH147" s="33" t="inlineStr">
        <is>
          <t>Open field</t>
        </is>
      </c>
      <c r="BI147" s="33">
        <f>$Q$18</f>
        <v/>
      </c>
    </row>
    <row r="148">
      <c r="A148" s="33" t="inlineStr">
        <is>
          <t>Kale W15 T</t>
        </is>
      </c>
      <c r="B148" s="33" t="inlineStr">
        <is>
          <t>Kale</t>
        </is>
      </c>
      <c r="C148" s="45" t="n">
        <v>0</v>
      </c>
      <c r="D148" s="46" t="n">
        <v>0</v>
      </c>
      <c r="S148" s="47" t="inlineStr">
        <is>
          <t>P</t>
        </is>
      </c>
      <c r="T148" s="47" t="inlineStr">
        <is>
          <t>G</t>
        </is>
      </c>
      <c r="U148" s="47" t="inlineStr">
        <is>
          <t>G</t>
        </is>
      </c>
      <c r="V148" s="47" t="inlineStr">
        <is>
          <t>G</t>
        </is>
      </c>
      <c r="W148" s="47" t="inlineStr">
        <is>
          <t>G</t>
        </is>
      </c>
      <c r="X148" s="47" t="inlineStr">
        <is>
          <t>G</t>
        </is>
      </c>
      <c r="Y148" s="47" t="inlineStr">
        <is>
          <t>G</t>
        </is>
      </c>
      <c r="Z148" s="47" t="inlineStr">
        <is>
          <t>G</t>
        </is>
      </c>
      <c r="AA148" s="47" t="inlineStr">
        <is>
          <t>G</t>
        </is>
      </c>
      <c r="AB148" s="47" t="inlineStr">
        <is>
          <t>H</t>
        </is>
      </c>
      <c r="AC148" s="47" t="inlineStr">
        <is>
          <t>H</t>
        </is>
      </c>
      <c r="AD148" s="47" t="inlineStr">
        <is>
          <t>H</t>
        </is>
      </c>
      <c r="AE148" s="47" t="inlineStr">
        <is>
          <t>H</t>
        </is>
      </c>
      <c r="BE148" s="48">
        <f>D148*$B$6*IF($S$18="Y",1,0)</f>
        <v/>
      </c>
      <c r="BF148" s="48">
        <f>D148*$I$18</f>
        <v/>
      </c>
      <c r="BG148" s="49">
        <f>MATCH("P",$E148:$BD148,0)</f>
        <v/>
      </c>
      <c r="BH148" s="33" t="inlineStr">
        <is>
          <t>High tunnel</t>
        </is>
      </c>
      <c r="BI148" s="33">
        <f>$Q$18</f>
        <v/>
      </c>
    </row>
    <row r="149">
      <c r="A149" s="33" t="inlineStr">
        <is>
          <t>Kale W16 F</t>
        </is>
      </c>
      <c r="B149" s="33" t="inlineStr">
        <is>
          <t>Kale</t>
        </is>
      </c>
      <c r="C149" s="45" t="n">
        <v>0</v>
      </c>
      <c r="D149" s="46" t="n">
        <v>0</v>
      </c>
      <c r="T149" s="47" t="inlineStr">
        <is>
          <t>P</t>
        </is>
      </c>
      <c r="U149" s="47" t="inlineStr">
        <is>
          <t>G</t>
        </is>
      </c>
      <c r="V149" s="47" t="inlineStr">
        <is>
          <t>G</t>
        </is>
      </c>
      <c r="W149" s="47" t="inlineStr">
        <is>
          <t>G</t>
        </is>
      </c>
      <c r="X149" s="47" t="inlineStr">
        <is>
          <t>G</t>
        </is>
      </c>
      <c r="Y149" s="47" t="inlineStr">
        <is>
          <t>G</t>
        </is>
      </c>
      <c r="Z149" s="47" t="inlineStr">
        <is>
          <t>G</t>
        </is>
      </c>
      <c r="AA149" s="47" t="inlineStr">
        <is>
          <t>G</t>
        </is>
      </c>
      <c r="AB149" s="47" t="inlineStr">
        <is>
          <t>G</t>
        </is>
      </c>
      <c r="AC149" s="47" t="inlineStr">
        <is>
          <t>H</t>
        </is>
      </c>
      <c r="AD149" s="47" t="inlineStr">
        <is>
          <t>H</t>
        </is>
      </c>
      <c r="AE149" s="47" t="inlineStr">
        <is>
          <t>H</t>
        </is>
      </c>
      <c r="AF149" s="47" t="inlineStr">
        <is>
          <t>H</t>
        </is>
      </c>
      <c r="BE149" s="48">
        <f>D149*$B$6*IF($R$18="Y",1,0)</f>
        <v/>
      </c>
      <c r="BF149" s="48">
        <f>D149*$I$18</f>
        <v/>
      </c>
      <c r="BG149" s="49">
        <f>MATCH("P",$E149:$BD149,0)</f>
        <v/>
      </c>
      <c r="BH149" s="33" t="inlineStr">
        <is>
          <t>Open field</t>
        </is>
      </c>
      <c r="BI149" s="33">
        <f>$Q$18</f>
        <v/>
      </c>
    </row>
    <row r="150">
      <c r="A150" s="33" t="inlineStr">
        <is>
          <t>Kale W16 T</t>
        </is>
      </c>
      <c r="B150" s="33" t="inlineStr">
        <is>
          <t>Kale</t>
        </is>
      </c>
      <c r="C150" s="45" t="n">
        <v>0</v>
      </c>
      <c r="D150" s="46" t="n">
        <v>0</v>
      </c>
      <c r="T150" s="47" t="inlineStr">
        <is>
          <t>P</t>
        </is>
      </c>
      <c r="U150" s="47" t="inlineStr">
        <is>
          <t>G</t>
        </is>
      </c>
      <c r="V150" s="47" t="inlineStr">
        <is>
          <t>G</t>
        </is>
      </c>
      <c r="W150" s="47" t="inlineStr">
        <is>
          <t>G</t>
        </is>
      </c>
      <c r="X150" s="47" t="inlineStr">
        <is>
          <t>G</t>
        </is>
      </c>
      <c r="Y150" s="47" t="inlineStr">
        <is>
          <t>G</t>
        </is>
      </c>
      <c r="Z150" s="47" t="inlineStr">
        <is>
          <t>G</t>
        </is>
      </c>
      <c r="AA150" s="47" t="inlineStr">
        <is>
          <t>G</t>
        </is>
      </c>
      <c r="AB150" s="47" t="inlineStr">
        <is>
          <t>G</t>
        </is>
      </c>
      <c r="AC150" s="47" t="inlineStr">
        <is>
          <t>H</t>
        </is>
      </c>
      <c r="AD150" s="47" t="inlineStr">
        <is>
          <t>H</t>
        </is>
      </c>
      <c r="AE150" s="47" t="inlineStr">
        <is>
          <t>H</t>
        </is>
      </c>
      <c r="AF150" s="47" t="inlineStr">
        <is>
          <t>H</t>
        </is>
      </c>
      <c r="BE150" s="48">
        <f>D150*$B$6*IF($S$18="Y",1,0)</f>
        <v/>
      </c>
      <c r="BF150" s="48">
        <f>D150*$I$18</f>
        <v/>
      </c>
      <c r="BG150" s="49">
        <f>MATCH("P",$E150:$BD150,0)</f>
        <v/>
      </c>
      <c r="BH150" s="33" t="inlineStr">
        <is>
          <t>High tunnel</t>
        </is>
      </c>
      <c r="BI150" s="33">
        <f>$Q$18</f>
        <v/>
      </c>
    </row>
    <row r="151">
      <c r="A151" s="33" t="inlineStr">
        <is>
          <t>Kale W17 F</t>
        </is>
      </c>
      <c r="B151" s="33" t="inlineStr">
        <is>
          <t>Kale</t>
        </is>
      </c>
      <c r="C151" s="45" t="n">
        <v>0</v>
      </c>
      <c r="D151" s="46" t="n">
        <v>0</v>
      </c>
      <c r="U151" s="47" t="inlineStr">
        <is>
          <t>P</t>
        </is>
      </c>
      <c r="V151" s="47" t="inlineStr">
        <is>
          <t>G</t>
        </is>
      </c>
      <c r="W151" s="47" t="inlineStr">
        <is>
          <t>G</t>
        </is>
      </c>
      <c r="X151" s="47" t="inlineStr">
        <is>
          <t>G</t>
        </is>
      </c>
      <c r="Y151" s="47" t="inlineStr">
        <is>
          <t>G</t>
        </is>
      </c>
      <c r="Z151" s="47" t="inlineStr">
        <is>
          <t>G</t>
        </is>
      </c>
      <c r="AA151" s="47" t="inlineStr">
        <is>
          <t>G</t>
        </is>
      </c>
      <c r="AB151" s="47" t="inlineStr">
        <is>
          <t>G</t>
        </is>
      </c>
      <c r="AC151" s="47" t="inlineStr">
        <is>
          <t>G</t>
        </is>
      </c>
      <c r="AD151" s="47" t="inlineStr">
        <is>
          <t>H</t>
        </is>
      </c>
      <c r="AE151" s="47" t="inlineStr">
        <is>
          <t>H</t>
        </is>
      </c>
      <c r="AF151" s="47" t="inlineStr">
        <is>
          <t>H</t>
        </is>
      </c>
      <c r="AG151" s="47" t="inlineStr">
        <is>
          <t>H</t>
        </is>
      </c>
      <c r="BE151" s="48">
        <f>D151*$B$6*IF($R$18="Y",1,0)</f>
        <v/>
      </c>
      <c r="BF151" s="48">
        <f>D151*$I$18</f>
        <v/>
      </c>
      <c r="BG151" s="49">
        <f>MATCH("P",$E151:$BD151,0)</f>
        <v/>
      </c>
      <c r="BH151" s="33" t="inlineStr">
        <is>
          <t>Open field</t>
        </is>
      </c>
      <c r="BI151" s="33">
        <f>$Q$18</f>
        <v/>
      </c>
    </row>
    <row r="152">
      <c r="A152" s="33" t="inlineStr">
        <is>
          <t>Kale W17 T</t>
        </is>
      </c>
      <c r="B152" s="33" t="inlineStr">
        <is>
          <t>Kale</t>
        </is>
      </c>
      <c r="C152" s="45" t="n">
        <v>0</v>
      </c>
      <c r="D152" s="46" t="n">
        <v>0</v>
      </c>
      <c r="U152" s="47" t="inlineStr">
        <is>
          <t>P</t>
        </is>
      </c>
      <c r="V152" s="47" t="inlineStr">
        <is>
          <t>G</t>
        </is>
      </c>
      <c r="W152" s="47" t="inlineStr">
        <is>
          <t>G</t>
        </is>
      </c>
      <c r="X152" s="47" t="inlineStr">
        <is>
          <t>G</t>
        </is>
      </c>
      <c r="Y152" s="47" t="inlineStr">
        <is>
          <t>G</t>
        </is>
      </c>
      <c r="Z152" s="47" t="inlineStr">
        <is>
          <t>G</t>
        </is>
      </c>
      <c r="AA152" s="47" t="inlineStr">
        <is>
          <t>G</t>
        </is>
      </c>
      <c r="AB152" s="47" t="inlineStr">
        <is>
          <t>G</t>
        </is>
      </c>
      <c r="AC152" s="47" t="inlineStr">
        <is>
          <t>G</t>
        </is>
      </c>
      <c r="AD152" s="47" t="inlineStr">
        <is>
          <t>H</t>
        </is>
      </c>
      <c r="AE152" s="47" t="inlineStr">
        <is>
          <t>H</t>
        </is>
      </c>
      <c r="AF152" s="47" t="inlineStr">
        <is>
          <t>H</t>
        </is>
      </c>
      <c r="AG152" s="47" t="inlineStr">
        <is>
          <t>H</t>
        </is>
      </c>
      <c r="BE152" s="48">
        <f>D152*$B$6*IF($S$18="Y",1,0)</f>
        <v/>
      </c>
      <c r="BF152" s="48">
        <f>D152*$I$18</f>
        <v/>
      </c>
      <c r="BG152" s="49">
        <f>MATCH("P",$E152:$BD152,0)</f>
        <v/>
      </c>
      <c r="BH152" s="33" t="inlineStr">
        <is>
          <t>High tunnel</t>
        </is>
      </c>
      <c r="BI152" s="33">
        <f>$Q$18</f>
        <v/>
      </c>
    </row>
    <row r="153">
      <c r="A153" s="33" t="inlineStr">
        <is>
          <t>Kale W18 F</t>
        </is>
      </c>
      <c r="B153" s="33" t="inlineStr">
        <is>
          <t>Kale</t>
        </is>
      </c>
      <c r="C153" s="45" t="n">
        <v>0</v>
      </c>
      <c r="D153" s="46" t="n">
        <v>0</v>
      </c>
      <c r="V153" s="47" t="inlineStr">
        <is>
          <t>P</t>
        </is>
      </c>
      <c r="W153" s="47" t="inlineStr">
        <is>
          <t>G</t>
        </is>
      </c>
      <c r="X153" s="47" t="inlineStr">
        <is>
          <t>G</t>
        </is>
      </c>
      <c r="Y153" s="47" t="inlineStr">
        <is>
          <t>G</t>
        </is>
      </c>
      <c r="Z153" s="47" t="inlineStr">
        <is>
          <t>G</t>
        </is>
      </c>
      <c r="AA153" s="47" t="inlineStr">
        <is>
          <t>G</t>
        </is>
      </c>
      <c r="AB153" s="47" t="inlineStr">
        <is>
          <t>G</t>
        </is>
      </c>
      <c r="AC153" s="47" t="inlineStr">
        <is>
          <t>G</t>
        </is>
      </c>
      <c r="AD153" s="47" t="inlineStr">
        <is>
          <t>G</t>
        </is>
      </c>
      <c r="AE153" s="47" t="inlineStr">
        <is>
          <t>H</t>
        </is>
      </c>
      <c r="AF153" s="47" t="inlineStr">
        <is>
          <t>H</t>
        </is>
      </c>
      <c r="AG153" s="47" t="inlineStr">
        <is>
          <t>H</t>
        </is>
      </c>
      <c r="AH153" s="47" t="inlineStr">
        <is>
          <t>H</t>
        </is>
      </c>
      <c r="BE153" s="48">
        <f>D153*$B$6*IF($R$18="Y",1,0)</f>
        <v/>
      </c>
      <c r="BF153" s="48">
        <f>D153*$I$18</f>
        <v/>
      </c>
      <c r="BG153" s="49">
        <f>MATCH("P",$E153:$BD153,0)</f>
        <v/>
      </c>
      <c r="BH153" s="33" t="inlineStr">
        <is>
          <t>Open field</t>
        </is>
      </c>
      <c r="BI153" s="33">
        <f>$Q$18</f>
        <v/>
      </c>
    </row>
    <row r="154">
      <c r="A154" s="33" t="inlineStr">
        <is>
          <t>Kale W18 T</t>
        </is>
      </c>
      <c r="B154" s="33" t="inlineStr">
        <is>
          <t>Kale</t>
        </is>
      </c>
      <c r="C154" s="45" t="n">
        <v>0</v>
      </c>
      <c r="D154" s="46" t="n">
        <v>0</v>
      </c>
      <c r="V154" s="47" t="inlineStr">
        <is>
          <t>P</t>
        </is>
      </c>
      <c r="W154" s="47" t="inlineStr">
        <is>
          <t>G</t>
        </is>
      </c>
      <c r="X154" s="47" t="inlineStr">
        <is>
          <t>G</t>
        </is>
      </c>
      <c r="Y154" s="47" t="inlineStr">
        <is>
          <t>G</t>
        </is>
      </c>
      <c r="Z154" s="47" t="inlineStr">
        <is>
          <t>G</t>
        </is>
      </c>
      <c r="AA154" s="47" t="inlineStr">
        <is>
          <t>G</t>
        </is>
      </c>
      <c r="AB154" s="47" t="inlineStr">
        <is>
          <t>G</t>
        </is>
      </c>
      <c r="AC154" s="47" t="inlineStr">
        <is>
          <t>G</t>
        </is>
      </c>
      <c r="AD154" s="47" t="inlineStr">
        <is>
          <t>G</t>
        </is>
      </c>
      <c r="AE154" s="47" t="inlineStr">
        <is>
          <t>H</t>
        </is>
      </c>
      <c r="AF154" s="47" t="inlineStr">
        <is>
          <t>H</t>
        </is>
      </c>
      <c r="AG154" s="47" t="inlineStr">
        <is>
          <t>H</t>
        </is>
      </c>
      <c r="AH154" s="47" t="inlineStr">
        <is>
          <t>H</t>
        </is>
      </c>
      <c r="BE154" s="48">
        <f>D154*$B$6*IF($S$18="Y",1,0)</f>
        <v/>
      </c>
      <c r="BF154" s="48">
        <f>D154*$I$18</f>
        <v/>
      </c>
      <c r="BG154" s="49">
        <f>MATCH("P",$E154:$BD154,0)</f>
        <v/>
      </c>
      <c r="BH154" s="33" t="inlineStr">
        <is>
          <t>High tunnel</t>
        </is>
      </c>
      <c r="BI154" s="33">
        <f>$Q$18</f>
        <v/>
      </c>
    </row>
    <row r="155">
      <c r="A155" s="33" t="inlineStr">
        <is>
          <t>Kale W19 F</t>
        </is>
      </c>
      <c r="B155" s="33" t="inlineStr">
        <is>
          <t>Kale</t>
        </is>
      </c>
      <c r="C155" s="45" t="n">
        <v>0</v>
      </c>
      <c r="D155" s="46" t="n">
        <v>0</v>
      </c>
      <c r="W155" s="47" t="inlineStr">
        <is>
          <t>P</t>
        </is>
      </c>
      <c r="X155" s="47" t="inlineStr">
        <is>
          <t>G</t>
        </is>
      </c>
      <c r="Y155" s="47" t="inlineStr">
        <is>
          <t>G</t>
        </is>
      </c>
      <c r="Z155" s="47" t="inlineStr">
        <is>
          <t>G</t>
        </is>
      </c>
      <c r="AA155" s="47" t="inlineStr">
        <is>
          <t>G</t>
        </is>
      </c>
      <c r="AB155" s="47" t="inlineStr">
        <is>
          <t>G</t>
        </is>
      </c>
      <c r="AC155" s="47" t="inlineStr">
        <is>
          <t>G</t>
        </is>
      </c>
      <c r="AD155" s="47" t="inlineStr">
        <is>
          <t>G</t>
        </is>
      </c>
      <c r="AE155" s="47" t="inlineStr">
        <is>
          <t>G</t>
        </is>
      </c>
      <c r="AF155" s="47" t="inlineStr">
        <is>
          <t>H</t>
        </is>
      </c>
      <c r="AG155" s="47" t="inlineStr">
        <is>
          <t>H</t>
        </is>
      </c>
      <c r="AH155" s="47" t="inlineStr">
        <is>
          <t>H</t>
        </is>
      </c>
      <c r="AI155" s="47" t="inlineStr">
        <is>
          <t>H</t>
        </is>
      </c>
      <c r="BE155" s="48">
        <f>D155*$B$6*IF($R$18="Y",1,0)</f>
        <v/>
      </c>
      <c r="BF155" s="48">
        <f>D155*$I$18</f>
        <v/>
      </c>
      <c r="BG155" s="49">
        <f>MATCH("P",$E155:$BD155,0)</f>
        <v/>
      </c>
      <c r="BH155" s="33" t="inlineStr">
        <is>
          <t>Open field</t>
        </is>
      </c>
      <c r="BI155" s="33">
        <f>$Q$18</f>
        <v/>
      </c>
    </row>
    <row r="156">
      <c r="A156" s="33" t="inlineStr">
        <is>
          <t>Kale W19 T</t>
        </is>
      </c>
      <c r="B156" s="33" t="inlineStr">
        <is>
          <t>Kale</t>
        </is>
      </c>
      <c r="C156" s="45" t="n">
        <v>0</v>
      </c>
      <c r="D156" s="46" t="n">
        <v>0</v>
      </c>
      <c r="W156" s="47" t="inlineStr">
        <is>
          <t>P</t>
        </is>
      </c>
      <c r="X156" s="47" t="inlineStr">
        <is>
          <t>G</t>
        </is>
      </c>
      <c r="Y156" s="47" t="inlineStr">
        <is>
          <t>G</t>
        </is>
      </c>
      <c r="Z156" s="47" t="inlineStr">
        <is>
          <t>G</t>
        </is>
      </c>
      <c r="AA156" s="47" t="inlineStr">
        <is>
          <t>G</t>
        </is>
      </c>
      <c r="AB156" s="47" t="inlineStr">
        <is>
          <t>G</t>
        </is>
      </c>
      <c r="AC156" s="47" t="inlineStr">
        <is>
          <t>G</t>
        </is>
      </c>
      <c r="AD156" s="47" t="inlineStr">
        <is>
          <t>G</t>
        </is>
      </c>
      <c r="AE156" s="47" t="inlineStr">
        <is>
          <t>G</t>
        </is>
      </c>
      <c r="AF156" s="47" t="inlineStr">
        <is>
          <t>H</t>
        </is>
      </c>
      <c r="AG156" s="47" t="inlineStr">
        <is>
          <t>H</t>
        </is>
      </c>
      <c r="AH156" s="47" t="inlineStr">
        <is>
          <t>H</t>
        </is>
      </c>
      <c r="AI156" s="47" t="inlineStr">
        <is>
          <t>H</t>
        </is>
      </c>
      <c r="BE156" s="48">
        <f>D156*$B$6*IF($S$18="Y",1,0)</f>
        <v/>
      </c>
      <c r="BF156" s="48">
        <f>D156*$I$18</f>
        <v/>
      </c>
      <c r="BG156" s="49">
        <f>MATCH("P",$E156:$BD156,0)</f>
        <v/>
      </c>
      <c r="BH156" s="33" t="inlineStr">
        <is>
          <t>High tunnel</t>
        </is>
      </c>
      <c r="BI156" s="33">
        <f>$Q$18</f>
        <v/>
      </c>
    </row>
    <row r="157">
      <c r="A157" s="33" t="inlineStr">
        <is>
          <t>Kale W20 F</t>
        </is>
      </c>
      <c r="B157" s="33" t="inlineStr">
        <is>
          <t>Kale</t>
        </is>
      </c>
      <c r="C157" s="45" t="n">
        <v>0</v>
      </c>
      <c r="D157" s="46" t="n">
        <v>0</v>
      </c>
      <c r="X157" s="47" t="inlineStr">
        <is>
          <t>P</t>
        </is>
      </c>
      <c r="Y157" s="47" t="inlineStr">
        <is>
          <t>G</t>
        </is>
      </c>
      <c r="Z157" s="47" t="inlineStr">
        <is>
          <t>G</t>
        </is>
      </c>
      <c r="AA157" s="47" t="inlineStr">
        <is>
          <t>G</t>
        </is>
      </c>
      <c r="AB157" s="47" t="inlineStr">
        <is>
          <t>G</t>
        </is>
      </c>
      <c r="AC157" s="47" t="inlineStr">
        <is>
          <t>G</t>
        </is>
      </c>
      <c r="AD157" s="47" t="inlineStr">
        <is>
          <t>G</t>
        </is>
      </c>
      <c r="AE157" s="47" t="inlineStr">
        <is>
          <t>G</t>
        </is>
      </c>
      <c r="AF157" s="47" t="inlineStr">
        <is>
          <t>G</t>
        </is>
      </c>
      <c r="AG157" s="47" t="inlineStr">
        <is>
          <t>H</t>
        </is>
      </c>
      <c r="AH157" s="47" t="inlineStr">
        <is>
          <t>H</t>
        </is>
      </c>
      <c r="AI157" s="47" t="inlineStr">
        <is>
          <t>H</t>
        </is>
      </c>
      <c r="AJ157" s="47" t="inlineStr">
        <is>
          <t>H</t>
        </is>
      </c>
      <c r="BE157" s="48">
        <f>D157*$B$6*IF($R$18="Y",1,0)</f>
        <v/>
      </c>
      <c r="BF157" s="48">
        <f>D157*$I$18</f>
        <v/>
      </c>
      <c r="BG157" s="49">
        <f>MATCH("P",$E157:$BD157,0)</f>
        <v/>
      </c>
      <c r="BH157" s="33" t="inlineStr">
        <is>
          <t>Open field</t>
        </is>
      </c>
      <c r="BI157" s="33">
        <f>$Q$18</f>
        <v/>
      </c>
    </row>
    <row r="158">
      <c r="A158" s="33" t="inlineStr">
        <is>
          <t>Kale W20 T</t>
        </is>
      </c>
      <c r="B158" s="33" t="inlineStr">
        <is>
          <t>Kale</t>
        </is>
      </c>
      <c r="C158" s="45" t="n">
        <v>0</v>
      </c>
      <c r="D158" s="46" t="n">
        <v>0</v>
      </c>
      <c r="X158" s="47" t="inlineStr">
        <is>
          <t>P</t>
        </is>
      </c>
      <c r="Y158" s="47" t="inlineStr">
        <is>
          <t>G</t>
        </is>
      </c>
      <c r="Z158" s="47" t="inlineStr">
        <is>
          <t>G</t>
        </is>
      </c>
      <c r="AA158" s="47" t="inlineStr">
        <is>
          <t>G</t>
        </is>
      </c>
      <c r="AB158" s="47" t="inlineStr">
        <is>
          <t>G</t>
        </is>
      </c>
      <c r="AC158" s="47" t="inlineStr">
        <is>
          <t>G</t>
        </is>
      </c>
      <c r="AD158" s="47" t="inlineStr">
        <is>
          <t>G</t>
        </is>
      </c>
      <c r="AE158" s="47" t="inlineStr">
        <is>
          <t>G</t>
        </is>
      </c>
      <c r="AF158" s="47" t="inlineStr">
        <is>
          <t>G</t>
        </is>
      </c>
      <c r="AG158" s="47" t="inlineStr">
        <is>
          <t>H</t>
        </is>
      </c>
      <c r="AH158" s="47" t="inlineStr">
        <is>
          <t>H</t>
        </is>
      </c>
      <c r="AI158" s="47" t="inlineStr">
        <is>
          <t>H</t>
        </is>
      </c>
      <c r="AJ158" s="47" t="inlineStr">
        <is>
          <t>H</t>
        </is>
      </c>
      <c r="BE158" s="48">
        <f>D158*$B$6*IF($S$18="Y",1,0)</f>
        <v/>
      </c>
      <c r="BF158" s="48">
        <f>D158*$I$18</f>
        <v/>
      </c>
      <c r="BG158" s="49">
        <f>MATCH("P",$E158:$BD158,0)</f>
        <v/>
      </c>
      <c r="BH158" s="33" t="inlineStr">
        <is>
          <t>High tunnel</t>
        </is>
      </c>
      <c r="BI158" s="33">
        <f>$Q$18</f>
        <v/>
      </c>
    </row>
    <row r="159">
      <c r="A159" s="33" t="inlineStr">
        <is>
          <t>Kale W21 F</t>
        </is>
      </c>
      <c r="B159" s="33" t="inlineStr">
        <is>
          <t>Kale</t>
        </is>
      </c>
      <c r="C159" s="45" t="n">
        <v>0</v>
      </c>
      <c r="D159" s="46" t="n">
        <v>0</v>
      </c>
      <c r="Y159" s="47" t="inlineStr">
        <is>
          <t>P</t>
        </is>
      </c>
      <c r="Z159" s="47" t="inlineStr">
        <is>
          <t>G</t>
        </is>
      </c>
      <c r="AA159" s="47" t="inlineStr">
        <is>
          <t>G</t>
        </is>
      </c>
      <c r="AB159" s="47" t="inlineStr">
        <is>
          <t>G</t>
        </is>
      </c>
      <c r="AC159" s="47" t="inlineStr">
        <is>
          <t>G</t>
        </is>
      </c>
      <c r="AD159" s="47" t="inlineStr">
        <is>
          <t>G</t>
        </is>
      </c>
      <c r="AE159" s="47" t="inlineStr">
        <is>
          <t>G</t>
        </is>
      </c>
      <c r="AF159" s="47" t="inlineStr">
        <is>
          <t>G</t>
        </is>
      </c>
      <c r="AG159" s="47" t="inlineStr">
        <is>
          <t>G</t>
        </is>
      </c>
      <c r="AH159" s="47" t="inlineStr">
        <is>
          <t>H</t>
        </is>
      </c>
      <c r="AI159" s="47" t="inlineStr">
        <is>
          <t>H</t>
        </is>
      </c>
      <c r="AJ159" s="47" t="inlineStr">
        <is>
          <t>H</t>
        </is>
      </c>
      <c r="AK159" s="47" t="inlineStr">
        <is>
          <t>H</t>
        </is>
      </c>
      <c r="BE159" s="48">
        <f>D159*$B$6*IF($R$18="Y",1,0)</f>
        <v/>
      </c>
      <c r="BF159" s="48">
        <f>D159*$I$18</f>
        <v/>
      </c>
      <c r="BG159" s="49">
        <f>MATCH("P",$E159:$BD159,0)</f>
        <v/>
      </c>
      <c r="BH159" s="33" t="inlineStr">
        <is>
          <t>Open field</t>
        </is>
      </c>
      <c r="BI159" s="33">
        <f>$Q$18</f>
        <v/>
      </c>
    </row>
    <row r="160">
      <c r="A160" s="33" t="inlineStr">
        <is>
          <t>Kale W21 T</t>
        </is>
      </c>
      <c r="B160" s="33" t="inlineStr">
        <is>
          <t>Kale</t>
        </is>
      </c>
      <c r="C160" s="45" t="n">
        <v>0</v>
      </c>
      <c r="D160" s="46" t="n">
        <v>0</v>
      </c>
      <c r="Y160" s="47" t="inlineStr">
        <is>
          <t>P</t>
        </is>
      </c>
      <c r="Z160" s="47" t="inlineStr">
        <is>
          <t>G</t>
        </is>
      </c>
      <c r="AA160" s="47" t="inlineStr">
        <is>
          <t>G</t>
        </is>
      </c>
      <c r="AB160" s="47" t="inlineStr">
        <is>
          <t>G</t>
        </is>
      </c>
      <c r="AC160" s="47" t="inlineStr">
        <is>
          <t>G</t>
        </is>
      </c>
      <c r="AD160" s="47" t="inlineStr">
        <is>
          <t>G</t>
        </is>
      </c>
      <c r="AE160" s="47" t="inlineStr">
        <is>
          <t>G</t>
        </is>
      </c>
      <c r="AF160" s="47" t="inlineStr">
        <is>
          <t>G</t>
        </is>
      </c>
      <c r="AG160" s="47" t="inlineStr">
        <is>
          <t>G</t>
        </is>
      </c>
      <c r="AH160" s="47" t="inlineStr">
        <is>
          <t>H</t>
        </is>
      </c>
      <c r="AI160" s="47" t="inlineStr">
        <is>
          <t>H</t>
        </is>
      </c>
      <c r="AJ160" s="47" t="inlineStr">
        <is>
          <t>H</t>
        </is>
      </c>
      <c r="AK160" s="47" t="inlineStr">
        <is>
          <t>H</t>
        </is>
      </c>
      <c r="BE160" s="48">
        <f>D160*$B$6*IF($S$18="Y",1,0)</f>
        <v/>
      </c>
      <c r="BF160" s="48">
        <f>D160*$I$18</f>
        <v/>
      </c>
      <c r="BG160" s="49">
        <f>MATCH("P",$E160:$BD160,0)</f>
        <v/>
      </c>
      <c r="BH160" s="33" t="inlineStr">
        <is>
          <t>High tunnel</t>
        </is>
      </c>
      <c r="BI160" s="33">
        <f>$Q$18</f>
        <v/>
      </c>
    </row>
    <row r="161">
      <c r="A161" s="33" t="inlineStr">
        <is>
          <t>Kale W22 F</t>
        </is>
      </c>
      <c r="B161" s="33" t="inlineStr">
        <is>
          <t>Kale</t>
        </is>
      </c>
      <c r="C161" s="45" t="n">
        <v>0</v>
      </c>
      <c r="D161" s="46" t="n">
        <v>0</v>
      </c>
      <c r="Z161" s="47" t="inlineStr">
        <is>
          <t>P</t>
        </is>
      </c>
      <c r="AA161" s="47" t="inlineStr">
        <is>
          <t>G</t>
        </is>
      </c>
      <c r="AB161" s="47" t="inlineStr">
        <is>
          <t>G</t>
        </is>
      </c>
      <c r="AC161" s="47" t="inlineStr">
        <is>
          <t>G</t>
        </is>
      </c>
      <c r="AD161" s="47" t="inlineStr">
        <is>
          <t>G</t>
        </is>
      </c>
      <c r="AE161" s="47" t="inlineStr">
        <is>
          <t>G</t>
        </is>
      </c>
      <c r="AF161" s="47" t="inlineStr">
        <is>
          <t>G</t>
        </is>
      </c>
      <c r="AG161" s="47" t="inlineStr">
        <is>
          <t>G</t>
        </is>
      </c>
      <c r="AH161" s="47" t="inlineStr">
        <is>
          <t>G</t>
        </is>
      </c>
      <c r="AI161" s="47" t="inlineStr">
        <is>
          <t>H</t>
        </is>
      </c>
      <c r="AJ161" s="47" t="inlineStr">
        <is>
          <t>H</t>
        </is>
      </c>
      <c r="AK161" s="47" t="inlineStr">
        <is>
          <t>H</t>
        </is>
      </c>
      <c r="AL161" s="47" t="inlineStr">
        <is>
          <t>H</t>
        </is>
      </c>
      <c r="BE161" s="48">
        <f>D161*$B$6*IF($R$18="Y",1,0)</f>
        <v/>
      </c>
      <c r="BF161" s="48">
        <f>D161*$I$18</f>
        <v/>
      </c>
      <c r="BG161" s="49">
        <f>MATCH("P",$E161:$BD161,0)</f>
        <v/>
      </c>
      <c r="BH161" s="33" t="inlineStr">
        <is>
          <t>Open field</t>
        </is>
      </c>
      <c r="BI161" s="33">
        <f>$Q$18</f>
        <v/>
      </c>
    </row>
    <row r="162">
      <c r="A162" s="33" t="inlineStr">
        <is>
          <t>Kale W22 T</t>
        </is>
      </c>
      <c r="B162" s="33" t="inlineStr">
        <is>
          <t>Kale</t>
        </is>
      </c>
      <c r="C162" s="45" t="n">
        <v>0</v>
      </c>
      <c r="D162" s="46" t="n">
        <v>0</v>
      </c>
      <c r="Z162" s="47" t="inlineStr">
        <is>
          <t>P</t>
        </is>
      </c>
      <c r="AA162" s="47" t="inlineStr">
        <is>
          <t>G</t>
        </is>
      </c>
      <c r="AB162" s="47" t="inlineStr">
        <is>
          <t>G</t>
        </is>
      </c>
      <c r="AC162" s="47" t="inlineStr">
        <is>
          <t>G</t>
        </is>
      </c>
      <c r="AD162" s="47" t="inlineStr">
        <is>
          <t>G</t>
        </is>
      </c>
      <c r="AE162" s="47" t="inlineStr">
        <is>
          <t>G</t>
        </is>
      </c>
      <c r="AF162" s="47" t="inlineStr">
        <is>
          <t>G</t>
        </is>
      </c>
      <c r="AG162" s="47" t="inlineStr">
        <is>
          <t>G</t>
        </is>
      </c>
      <c r="AH162" s="47" t="inlineStr">
        <is>
          <t>G</t>
        </is>
      </c>
      <c r="AI162" s="47" t="inlineStr">
        <is>
          <t>H</t>
        </is>
      </c>
      <c r="AJ162" s="47" t="inlineStr">
        <is>
          <t>H</t>
        </is>
      </c>
      <c r="AK162" s="47" t="inlineStr">
        <is>
          <t>H</t>
        </is>
      </c>
      <c r="AL162" s="47" t="inlineStr">
        <is>
          <t>H</t>
        </is>
      </c>
      <c r="BE162" s="48">
        <f>D162*$B$6*IF($S$18="Y",1,0)</f>
        <v/>
      </c>
      <c r="BF162" s="48">
        <f>D162*$I$18</f>
        <v/>
      </c>
      <c r="BG162" s="49">
        <f>MATCH("P",$E162:$BD162,0)</f>
        <v/>
      </c>
      <c r="BH162" s="33" t="inlineStr">
        <is>
          <t>High tunnel</t>
        </is>
      </c>
      <c r="BI162" s="33">
        <f>$Q$18</f>
        <v/>
      </c>
    </row>
    <row r="163">
      <c r="A163" s="33" t="inlineStr">
        <is>
          <t>Kale W29 F</t>
        </is>
      </c>
      <c r="B163" s="33" t="inlineStr">
        <is>
          <t>Kale</t>
        </is>
      </c>
      <c r="C163" s="45" t="n">
        <v>0</v>
      </c>
      <c r="D163" s="46" t="n">
        <v>0</v>
      </c>
      <c r="AG163" s="47" t="inlineStr">
        <is>
          <t>P</t>
        </is>
      </c>
      <c r="AH163" s="47" t="inlineStr">
        <is>
          <t>G</t>
        </is>
      </c>
      <c r="AI163" s="47" t="inlineStr">
        <is>
          <t>G</t>
        </is>
      </c>
      <c r="AJ163" s="47" t="inlineStr">
        <is>
          <t>G</t>
        </is>
      </c>
      <c r="AK163" s="47" t="inlineStr">
        <is>
          <t>G</t>
        </is>
      </c>
      <c r="AL163" s="47" t="inlineStr">
        <is>
          <t>G</t>
        </is>
      </c>
      <c r="AM163" s="47" t="inlineStr">
        <is>
          <t>G</t>
        </is>
      </c>
      <c r="AN163" s="47" t="inlineStr">
        <is>
          <t>G</t>
        </is>
      </c>
      <c r="AO163" s="47" t="inlineStr">
        <is>
          <t>G</t>
        </is>
      </c>
      <c r="AP163" s="47" t="inlineStr">
        <is>
          <t>H</t>
        </is>
      </c>
      <c r="AQ163" s="47" t="inlineStr">
        <is>
          <t>H</t>
        </is>
      </c>
      <c r="AR163" s="47" t="inlineStr">
        <is>
          <t>H</t>
        </is>
      </c>
      <c r="AS163" s="47" t="inlineStr">
        <is>
          <t>H</t>
        </is>
      </c>
      <c r="BE163" s="48">
        <f>D163*$B$6*IF($R$18="Y",1,0)</f>
        <v/>
      </c>
      <c r="BF163" s="48">
        <f>D163*$I$18</f>
        <v/>
      </c>
      <c r="BG163" s="49">
        <f>MATCH("P",$E163:$BD163,0)</f>
        <v/>
      </c>
      <c r="BH163" s="33" t="inlineStr">
        <is>
          <t>Open field</t>
        </is>
      </c>
      <c r="BI163" s="33">
        <f>$Q$18</f>
        <v/>
      </c>
    </row>
    <row r="164">
      <c r="A164" s="33" t="inlineStr">
        <is>
          <t>Kale W29 T</t>
        </is>
      </c>
      <c r="B164" s="33" t="inlineStr">
        <is>
          <t>Kale</t>
        </is>
      </c>
      <c r="C164" s="45" t="n">
        <v>0</v>
      </c>
      <c r="D164" s="46" t="n">
        <v>0</v>
      </c>
      <c r="AG164" s="47" t="inlineStr">
        <is>
          <t>P</t>
        </is>
      </c>
      <c r="AH164" s="47" t="inlineStr">
        <is>
          <t>G</t>
        </is>
      </c>
      <c r="AI164" s="47" t="inlineStr">
        <is>
          <t>G</t>
        </is>
      </c>
      <c r="AJ164" s="47" t="inlineStr">
        <is>
          <t>G</t>
        </is>
      </c>
      <c r="AK164" s="47" t="inlineStr">
        <is>
          <t>G</t>
        </is>
      </c>
      <c r="AL164" s="47" t="inlineStr">
        <is>
          <t>G</t>
        </is>
      </c>
      <c r="AM164" s="47" t="inlineStr">
        <is>
          <t>G</t>
        </is>
      </c>
      <c r="AN164" s="47" t="inlineStr">
        <is>
          <t>G</t>
        </is>
      </c>
      <c r="AO164" s="47" t="inlineStr">
        <is>
          <t>G</t>
        </is>
      </c>
      <c r="AP164" s="47" t="inlineStr">
        <is>
          <t>H</t>
        </is>
      </c>
      <c r="AQ164" s="47" t="inlineStr">
        <is>
          <t>H</t>
        </is>
      </c>
      <c r="AR164" s="47" t="inlineStr">
        <is>
          <t>H</t>
        </is>
      </c>
      <c r="AS164" s="47" t="inlineStr">
        <is>
          <t>H</t>
        </is>
      </c>
      <c r="BE164" s="48">
        <f>D164*$B$6*IF($S$18="Y",1,0)</f>
        <v/>
      </c>
      <c r="BF164" s="48">
        <f>D164*$I$18</f>
        <v/>
      </c>
      <c r="BG164" s="49">
        <f>MATCH("P",$E164:$BD164,0)</f>
        <v/>
      </c>
      <c r="BH164" s="33" t="inlineStr">
        <is>
          <t>High tunnel</t>
        </is>
      </c>
      <c r="BI164" s="33">
        <f>$Q$18</f>
        <v/>
      </c>
    </row>
    <row r="165">
      <c r="A165" s="33" t="inlineStr">
        <is>
          <t>Kale W30 F</t>
        </is>
      </c>
      <c r="B165" s="33" t="inlineStr">
        <is>
          <t>Kale</t>
        </is>
      </c>
      <c r="C165" s="45" t="n">
        <v>0</v>
      </c>
      <c r="D165" s="46" t="n">
        <v>0</v>
      </c>
      <c r="AH165" s="47" t="inlineStr">
        <is>
          <t>P</t>
        </is>
      </c>
      <c r="AI165" s="47" t="inlineStr">
        <is>
          <t>G</t>
        </is>
      </c>
      <c r="AJ165" s="47" t="inlineStr">
        <is>
          <t>G</t>
        </is>
      </c>
      <c r="AK165" s="47" t="inlineStr">
        <is>
          <t>G</t>
        </is>
      </c>
      <c r="AL165" s="47" t="inlineStr">
        <is>
          <t>G</t>
        </is>
      </c>
      <c r="AM165" s="47" t="inlineStr">
        <is>
          <t>G</t>
        </is>
      </c>
      <c r="AN165" s="47" t="inlineStr">
        <is>
          <t>G</t>
        </is>
      </c>
      <c r="AO165" s="47" t="inlineStr">
        <is>
          <t>G</t>
        </is>
      </c>
      <c r="AP165" s="47" t="inlineStr">
        <is>
          <t>G</t>
        </is>
      </c>
      <c r="AQ165" s="47" t="inlineStr">
        <is>
          <t>H</t>
        </is>
      </c>
      <c r="AR165" s="47" t="inlineStr">
        <is>
          <t>H</t>
        </is>
      </c>
      <c r="AS165" s="47" t="inlineStr">
        <is>
          <t>H</t>
        </is>
      </c>
      <c r="AT165" s="47" t="inlineStr">
        <is>
          <t>H</t>
        </is>
      </c>
      <c r="BE165" s="48">
        <f>D165*$B$6*IF($R$18="Y",1,0)</f>
        <v/>
      </c>
      <c r="BF165" s="48">
        <f>D165*$I$18</f>
        <v/>
      </c>
      <c r="BG165" s="49">
        <f>MATCH("P",$E165:$BD165,0)</f>
        <v/>
      </c>
      <c r="BH165" s="33" t="inlineStr">
        <is>
          <t>Open field</t>
        </is>
      </c>
      <c r="BI165" s="33">
        <f>$Q$18</f>
        <v/>
      </c>
    </row>
    <row r="166">
      <c r="A166" s="33" t="inlineStr">
        <is>
          <t>Kale W30 T</t>
        </is>
      </c>
      <c r="B166" s="33" t="inlineStr">
        <is>
          <t>Kale</t>
        </is>
      </c>
      <c r="C166" s="45" t="n">
        <v>0</v>
      </c>
      <c r="D166" s="46" t="n">
        <v>0</v>
      </c>
      <c r="AH166" s="47" t="inlineStr">
        <is>
          <t>P</t>
        </is>
      </c>
      <c r="AI166" s="47" t="inlineStr">
        <is>
          <t>G</t>
        </is>
      </c>
      <c r="AJ166" s="47" t="inlineStr">
        <is>
          <t>G</t>
        </is>
      </c>
      <c r="AK166" s="47" t="inlineStr">
        <is>
          <t>G</t>
        </is>
      </c>
      <c r="AL166" s="47" t="inlineStr">
        <is>
          <t>G</t>
        </is>
      </c>
      <c r="AM166" s="47" t="inlineStr">
        <is>
          <t>G</t>
        </is>
      </c>
      <c r="AN166" s="47" t="inlineStr">
        <is>
          <t>G</t>
        </is>
      </c>
      <c r="AO166" s="47" t="inlineStr">
        <is>
          <t>G</t>
        </is>
      </c>
      <c r="AP166" s="47" t="inlineStr">
        <is>
          <t>G</t>
        </is>
      </c>
      <c r="AQ166" s="47" t="inlineStr">
        <is>
          <t>H</t>
        </is>
      </c>
      <c r="AR166" s="47" t="inlineStr">
        <is>
          <t>H</t>
        </is>
      </c>
      <c r="AS166" s="47" t="inlineStr">
        <is>
          <t>H</t>
        </is>
      </c>
      <c r="AT166" s="47" t="inlineStr">
        <is>
          <t>H</t>
        </is>
      </c>
      <c r="BE166" s="48">
        <f>D166*$B$6*IF($S$18="Y",1,0)</f>
        <v/>
      </c>
      <c r="BF166" s="48">
        <f>D166*$I$18</f>
        <v/>
      </c>
      <c r="BG166" s="49">
        <f>MATCH("P",$E166:$BD166,0)</f>
        <v/>
      </c>
      <c r="BH166" s="33" t="inlineStr">
        <is>
          <t>High tunnel</t>
        </is>
      </c>
      <c r="BI166" s="33">
        <f>$Q$18</f>
        <v/>
      </c>
    </row>
    <row r="167">
      <c r="A167" s="33" t="inlineStr">
        <is>
          <t>Kale W31 F</t>
        </is>
      </c>
      <c r="B167" s="33" t="inlineStr">
        <is>
          <t>Kale</t>
        </is>
      </c>
      <c r="C167" s="45" t="n">
        <v>0</v>
      </c>
      <c r="D167" s="46" t="n">
        <v>0</v>
      </c>
      <c r="AI167" s="47" t="inlineStr">
        <is>
          <t>P</t>
        </is>
      </c>
      <c r="AJ167" s="47" t="inlineStr">
        <is>
          <t>G</t>
        </is>
      </c>
      <c r="AK167" s="47" t="inlineStr">
        <is>
          <t>G</t>
        </is>
      </c>
      <c r="AL167" s="47" t="inlineStr">
        <is>
          <t>G</t>
        </is>
      </c>
      <c r="AM167" s="47" t="inlineStr">
        <is>
          <t>G</t>
        </is>
      </c>
      <c r="AN167" s="47" t="inlineStr">
        <is>
          <t>G</t>
        </is>
      </c>
      <c r="AO167" s="47" t="inlineStr">
        <is>
          <t>G</t>
        </is>
      </c>
      <c r="AP167" s="47" t="inlineStr">
        <is>
          <t>G</t>
        </is>
      </c>
      <c r="AQ167" s="47" t="inlineStr">
        <is>
          <t>G</t>
        </is>
      </c>
      <c r="AR167" s="47" t="inlineStr">
        <is>
          <t>H</t>
        </is>
      </c>
      <c r="AS167" s="47" t="inlineStr">
        <is>
          <t>H</t>
        </is>
      </c>
      <c r="AT167" s="47" t="inlineStr">
        <is>
          <t>H</t>
        </is>
      </c>
      <c r="AU167" s="47" t="inlineStr">
        <is>
          <t>H</t>
        </is>
      </c>
      <c r="BE167" s="48">
        <f>D167*$B$6*IF($R$18="Y",1,0)</f>
        <v/>
      </c>
      <c r="BF167" s="48">
        <f>D167*$I$18</f>
        <v/>
      </c>
      <c r="BG167" s="49">
        <f>MATCH("P",$E167:$BD167,0)</f>
        <v/>
      </c>
      <c r="BH167" s="33" t="inlineStr">
        <is>
          <t>Open field</t>
        </is>
      </c>
      <c r="BI167" s="33">
        <f>$Q$18</f>
        <v/>
      </c>
    </row>
    <row r="168">
      <c r="A168" s="33" t="inlineStr">
        <is>
          <t>Kale W31 T</t>
        </is>
      </c>
      <c r="B168" s="33" t="inlineStr">
        <is>
          <t>Kale</t>
        </is>
      </c>
      <c r="C168" s="45" t="n">
        <v>0</v>
      </c>
      <c r="D168" s="46" t="n">
        <v>0</v>
      </c>
      <c r="AI168" s="47" t="inlineStr">
        <is>
          <t>P</t>
        </is>
      </c>
      <c r="AJ168" s="47" t="inlineStr">
        <is>
          <t>G</t>
        </is>
      </c>
      <c r="AK168" s="47" t="inlineStr">
        <is>
          <t>G</t>
        </is>
      </c>
      <c r="AL168" s="47" t="inlineStr">
        <is>
          <t>G</t>
        </is>
      </c>
      <c r="AM168" s="47" t="inlineStr">
        <is>
          <t>G</t>
        </is>
      </c>
      <c r="AN168" s="47" t="inlineStr">
        <is>
          <t>G</t>
        </is>
      </c>
      <c r="AO168" s="47" t="inlineStr">
        <is>
          <t>G</t>
        </is>
      </c>
      <c r="AP168" s="47" t="inlineStr">
        <is>
          <t>G</t>
        </is>
      </c>
      <c r="AQ168" s="47" t="inlineStr">
        <is>
          <t>G</t>
        </is>
      </c>
      <c r="AR168" s="47" t="inlineStr">
        <is>
          <t>H</t>
        </is>
      </c>
      <c r="AS168" s="47" t="inlineStr">
        <is>
          <t>H</t>
        </is>
      </c>
      <c r="AT168" s="47" t="inlineStr">
        <is>
          <t>H</t>
        </is>
      </c>
      <c r="AU168" s="47" t="inlineStr">
        <is>
          <t>H</t>
        </is>
      </c>
      <c r="BE168" s="48">
        <f>D168*$B$6*IF($S$18="Y",1,0)</f>
        <v/>
      </c>
      <c r="BF168" s="48">
        <f>D168*$I$18</f>
        <v/>
      </c>
      <c r="BG168" s="49">
        <f>MATCH("P",$E168:$BD168,0)</f>
        <v/>
      </c>
      <c r="BH168" s="33" t="inlineStr">
        <is>
          <t>High tunnel</t>
        </is>
      </c>
      <c r="BI168" s="33">
        <f>$Q$18</f>
        <v/>
      </c>
    </row>
    <row r="169">
      <c r="A169" s="33" t="inlineStr">
        <is>
          <t>Kale W32 F</t>
        </is>
      </c>
      <c r="B169" s="33" t="inlineStr">
        <is>
          <t>Kale</t>
        </is>
      </c>
      <c r="C169" s="45" t="n">
        <v>0</v>
      </c>
      <c r="D169" s="46" t="n">
        <v>0</v>
      </c>
      <c r="AJ169" s="47" t="inlineStr">
        <is>
          <t>P</t>
        </is>
      </c>
      <c r="AK169" s="47" t="inlineStr">
        <is>
          <t>G</t>
        </is>
      </c>
      <c r="AL169" s="47" t="inlineStr">
        <is>
          <t>G</t>
        </is>
      </c>
      <c r="AM169" s="47" t="inlineStr">
        <is>
          <t>G</t>
        </is>
      </c>
      <c r="AN169" s="47" t="inlineStr">
        <is>
          <t>G</t>
        </is>
      </c>
      <c r="AO169" s="47" t="inlineStr">
        <is>
          <t>G</t>
        </is>
      </c>
      <c r="AP169" s="47" t="inlineStr">
        <is>
          <t>G</t>
        </is>
      </c>
      <c r="AQ169" s="47" t="inlineStr">
        <is>
          <t>G</t>
        </is>
      </c>
      <c r="AR169" s="47" t="inlineStr">
        <is>
          <t>G</t>
        </is>
      </c>
      <c r="AS169" s="47" t="inlineStr">
        <is>
          <t>H</t>
        </is>
      </c>
      <c r="AT169" s="47" t="inlineStr">
        <is>
          <t>H</t>
        </is>
      </c>
      <c r="AU169" s="47" t="inlineStr">
        <is>
          <t>H</t>
        </is>
      </c>
      <c r="AV169" s="47" t="inlineStr">
        <is>
          <t>H</t>
        </is>
      </c>
      <c r="BE169" s="48">
        <f>D169*$B$6*IF($R$18="Y",1,0)</f>
        <v/>
      </c>
      <c r="BF169" s="48">
        <f>D169*$I$18</f>
        <v/>
      </c>
      <c r="BG169" s="49">
        <f>MATCH("P",$E169:$BD169,0)</f>
        <v/>
      </c>
      <c r="BH169" s="33" t="inlineStr">
        <is>
          <t>Open field</t>
        </is>
      </c>
      <c r="BI169" s="33">
        <f>$Q$18</f>
        <v/>
      </c>
    </row>
    <row r="170">
      <c r="A170" s="33" t="inlineStr">
        <is>
          <t>Kale W32 T</t>
        </is>
      </c>
      <c r="B170" s="33" t="inlineStr">
        <is>
          <t>Kale</t>
        </is>
      </c>
      <c r="C170" s="45" t="n">
        <v>0</v>
      </c>
      <c r="D170" s="46" t="n">
        <v>0</v>
      </c>
      <c r="AJ170" s="47" t="inlineStr">
        <is>
          <t>P</t>
        </is>
      </c>
      <c r="AK170" s="47" t="inlineStr">
        <is>
          <t>G</t>
        </is>
      </c>
      <c r="AL170" s="47" t="inlineStr">
        <is>
          <t>G</t>
        </is>
      </c>
      <c r="AM170" s="47" t="inlineStr">
        <is>
          <t>G</t>
        </is>
      </c>
      <c r="AN170" s="47" t="inlineStr">
        <is>
          <t>G</t>
        </is>
      </c>
      <c r="AO170" s="47" t="inlineStr">
        <is>
          <t>G</t>
        </is>
      </c>
      <c r="AP170" s="47" t="inlineStr">
        <is>
          <t>G</t>
        </is>
      </c>
      <c r="AQ170" s="47" t="inlineStr">
        <is>
          <t>G</t>
        </is>
      </c>
      <c r="AR170" s="47" t="inlineStr">
        <is>
          <t>G</t>
        </is>
      </c>
      <c r="AS170" s="47" t="inlineStr">
        <is>
          <t>H</t>
        </is>
      </c>
      <c r="AT170" s="47" t="inlineStr">
        <is>
          <t>H</t>
        </is>
      </c>
      <c r="AU170" s="47" t="inlineStr">
        <is>
          <t>H</t>
        </is>
      </c>
      <c r="AV170" s="47" t="inlineStr">
        <is>
          <t>H</t>
        </is>
      </c>
      <c r="BE170" s="48">
        <f>D170*$B$6*IF($S$18="Y",1,0)</f>
        <v/>
      </c>
      <c r="BF170" s="48">
        <f>D170*$I$18</f>
        <v/>
      </c>
      <c r="BG170" s="49">
        <f>MATCH("P",$E170:$BD170,0)</f>
        <v/>
      </c>
      <c r="BH170" s="33" t="inlineStr">
        <is>
          <t>High tunnel</t>
        </is>
      </c>
      <c r="BI170" s="33">
        <f>$Q$18</f>
        <v/>
      </c>
    </row>
    <row r="171">
      <c r="A171" s="33" t="inlineStr">
        <is>
          <t>Kale W33 F</t>
        </is>
      </c>
      <c r="B171" s="33" t="inlineStr">
        <is>
          <t>Kale</t>
        </is>
      </c>
      <c r="C171" s="45" t="n">
        <v>0</v>
      </c>
      <c r="D171" s="46" t="n">
        <v>0</v>
      </c>
      <c r="AK171" s="47" t="inlineStr">
        <is>
          <t>P</t>
        </is>
      </c>
      <c r="AL171" s="47" t="inlineStr">
        <is>
          <t>G</t>
        </is>
      </c>
      <c r="AM171" s="47" t="inlineStr">
        <is>
          <t>G</t>
        </is>
      </c>
      <c r="AN171" s="47" t="inlineStr">
        <is>
          <t>G</t>
        </is>
      </c>
      <c r="AO171" s="47" t="inlineStr">
        <is>
          <t>G</t>
        </is>
      </c>
      <c r="AP171" s="47" t="inlineStr">
        <is>
          <t>G</t>
        </is>
      </c>
      <c r="AQ171" s="47" t="inlineStr">
        <is>
          <t>G</t>
        </is>
      </c>
      <c r="AR171" s="47" t="inlineStr">
        <is>
          <t>G</t>
        </is>
      </c>
      <c r="AS171" s="47" t="inlineStr">
        <is>
          <t>G</t>
        </is>
      </c>
      <c r="AT171" s="47" t="inlineStr">
        <is>
          <t>H</t>
        </is>
      </c>
      <c r="AU171" s="47" t="inlineStr">
        <is>
          <t>H</t>
        </is>
      </c>
      <c r="AV171" s="47" t="inlineStr">
        <is>
          <t>H</t>
        </is>
      </c>
      <c r="AW171" s="47" t="inlineStr">
        <is>
          <t>H</t>
        </is>
      </c>
      <c r="BE171" s="48">
        <f>D171*$B$6*IF($R$18="Y",1,0)</f>
        <v/>
      </c>
      <c r="BF171" s="48">
        <f>D171*$I$18</f>
        <v/>
      </c>
      <c r="BG171" s="49">
        <f>MATCH("P",$E171:$BD171,0)</f>
        <v/>
      </c>
      <c r="BH171" s="33" t="inlineStr">
        <is>
          <t>Open field</t>
        </is>
      </c>
      <c r="BI171" s="33">
        <f>$Q$18</f>
        <v/>
      </c>
    </row>
    <row r="172">
      <c r="A172" s="33" t="inlineStr">
        <is>
          <t>Kale W33 T</t>
        </is>
      </c>
      <c r="B172" s="33" t="inlineStr">
        <is>
          <t>Kale</t>
        </is>
      </c>
      <c r="C172" s="45" t="n">
        <v>0</v>
      </c>
      <c r="D172" s="46" t="n">
        <v>0</v>
      </c>
      <c r="AK172" s="47" t="inlineStr">
        <is>
          <t>P</t>
        </is>
      </c>
      <c r="AL172" s="47" t="inlineStr">
        <is>
          <t>G</t>
        </is>
      </c>
      <c r="AM172" s="47" t="inlineStr">
        <is>
          <t>G</t>
        </is>
      </c>
      <c r="AN172" s="47" t="inlineStr">
        <is>
          <t>G</t>
        </is>
      </c>
      <c r="AO172" s="47" t="inlineStr">
        <is>
          <t>G</t>
        </is>
      </c>
      <c r="AP172" s="47" t="inlineStr">
        <is>
          <t>G</t>
        </is>
      </c>
      <c r="AQ172" s="47" t="inlineStr">
        <is>
          <t>G</t>
        </is>
      </c>
      <c r="AR172" s="47" t="inlineStr">
        <is>
          <t>G</t>
        </is>
      </c>
      <c r="AS172" s="47" t="inlineStr">
        <is>
          <t>G</t>
        </is>
      </c>
      <c r="AT172" s="47" t="inlineStr">
        <is>
          <t>H</t>
        </is>
      </c>
      <c r="AU172" s="47" t="inlineStr">
        <is>
          <t>H</t>
        </is>
      </c>
      <c r="AV172" s="47" t="inlineStr">
        <is>
          <t>H</t>
        </is>
      </c>
      <c r="AW172" s="47" t="inlineStr">
        <is>
          <t>H</t>
        </is>
      </c>
      <c r="BE172" s="48">
        <f>D172*$B$6*IF($S$18="Y",1,0)</f>
        <v/>
      </c>
      <c r="BF172" s="48">
        <f>D172*$I$18</f>
        <v/>
      </c>
      <c r="BG172" s="49">
        <f>MATCH("P",$E172:$BD172,0)</f>
        <v/>
      </c>
      <c r="BH172" s="33" t="inlineStr">
        <is>
          <t>High tunnel</t>
        </is>
      </c>
      <c r="BI172" s="33">
        <f>$Q$18</f>
        <v/>
      </c>
    </row>
    <row r="173">
      <c r="A173" s="33" t="inlineStr">
        <is>
          <t>Kale W34 F</t>
        </is>
      </c>
      <c r="B173" s="33" t="inlineStr">
        <is>
          <t>Kale</t>
        </is>
      </c>
      <c r="C173" s="45" t="n">
        <v>0</v>
      </c>
      <c r="D173" s="46" t="n">
        <v>0</v>
      </c>
      <c r="AL173" s="47" t="inlineStr">
        <is>
          <t>P</t>
        </is>
      </c>
      <c r="AM173" s="47" t="inlineStr">
        <is>
          <t>G</t>
        </is>
      </c>
      <c r="AN173" s="47" t="inlineStr">
        <is>
          <t>G</t>
        </is>
      </c>
      <c r="AO173" s="47" t="inlineStr">
        <is>
          <t>G</t>
        </is>
      </c>
      <c r="AP173" s="47" t="inlineStr">
        <is>
          <t>G</t>
        </is>
      </c>
      <c r="AQ173" s="47" t="inlineStr">
        <is>
          <t>G</t>
        </is>
      </c>
      <c r="AR173" s="47" t="inlineStr">
        <is>
          <t>G</t>
        </is>
      </c>
      <c r="AS173" s="47" t="inlineStr">
        <is>
          <t>G</t>
        </is>
      </c>
      <c r="AT173" s="47" t="inlineStr">
        <is>
          <t>G</t>
        </is>
      </c>
      <c r="AU173" s="47" t="inlineStr">
        <is>
          <t>H</t>
        </is>
      </c>
      <c r="AV173" s="47" t="inlineStr">
        <is>
          <t>H</t>
        </is>
      </c>
      <c r="AW173" s="47" t="inlineStr">
        <is>
          <t>H</t>
        </is>
      </c>
      <c r="AX173" s="47" t="inlineStr">
        <is>
          <t>H</t>
        </is>
      </c>
      <c r="BE173" s="48">
        <f>D173*$B$6*IF($R$18="Y",1,0)</f>
        <v/>
      </c>
      <c r="BF173" s="48">
        <f>D173*$I$18</f>
        <v/>
      </c>
      <c r="BG173" s="49">
        <f>MATCH("P",$E173:$BD173,0)</f>
        <v/>
      </c>
      <c r="BH173" s="33" t="inlineStr">
        <is>
          <t>Open field</t>
        </is>
      </c>
      <c r="BI173" s="33">
        <f>$Q$18</f>
        <v/>
      </c>
    </row>
    <row r="174">
      <c r="A174" s="33" t="inlineStr">
        <is>
          <t>Kale W34 T</t>
        </is>
      </c>
      <c r="B174" s="33" t="inlineStr">
        <is>
          <t>Kale</t>
        </is>
      </c>
      <c r="C174" s="45" t="n">
        <v>0</v>
      </c>
      <c r="D174" s="46" t="n">
        <v>0</v>
      </c>
      <c r="AL174" s="47" t="inlineStr">
        <is>
          <t>P</t>
        </is>
      </c>
      <c r="AM174" s="47" t="inlineStr">
        <is>
          <t>G</t>
        </is>
      </c>
      <c r="AN174" s="47" t="inlineStr">
        <is>
          <t>G</t>
        </is>
      </c>
      <c r="AO174" s="47" t="inlineStr">
        <is>
          <t>G</t>
        </is>
      </c>
      <c r="AP174" s="47" t="inlineStr">
        <is>
          <t>G</t>
        </is>
      </c>
      <c r="AQ174" s="47" t="inlineStr">
        <is>
          <t>G</t>
        </is>
      </c>
      <c r="AR174" s="47" t="inlineStr">
        <is>
          <t>G</t>
        </is>
      </c>
      <c r="AS174" s="47" t="inlineStr">
        <is>
          <t>G</t>
        </is>
      </c>
      <c r="AT174" s="47" t="inlineStr">
        <is>
          <t>G</t>
        </is>
      </c>
      <c r="AU174" s="47" t="inlineStr">
        <is>
          <t>H</t>
        </is>
      </c>
      <c r="AV174" s="47" t="inlineStr">
        <is>
          <t>H</t>
        </is>
      </c>
      <c r="AW174" s="47" t="inlineStr">
        <is>
          <t>H</t>
        </is>
      </c>
      <c r="AX174" s="47" t="inlineStr">
        <is>
          <t>H</t>
        </is>
      </c>
      <c r="BE174" s="48">
        <f>D174*$B$6*IF($S$18="Y",1,0)</f>
        <v/>
      </c>
      <c r="BF174" s="48">
        <f>D174*$I$18</f>
        <v/>
      </c>
      <c r="BG174" s="49">
        <f>MATCH("P",$E174:$BD174,0)</f>
        <v/>
      </c>
      <c r="BH174" s="33" t="inlineStr">
        <is>
          <t>High tunnel</t>
        </is>
      </c>
      <c r="BI174" s="33">
        <f>$Q$18</f>
        <v/>
      </c>
    </row>
    <row r="175">
      <c r="A175" s="33" t="inlineStr">
        <is>
          <t>Kale W35 F</t>
        </is>
      </c>
      <c r="B175" s="33" t="inlineStr">
        <is>
          <t>Kale</t>
        </is>
      </c>
      <c r="C175" s="45" t="n">
        <v>0</v>
      </c>
      <c r="D175" s="46" t="n">
        <v>0</v>
      </c>
      <c r="AM175" s="47" t="inlineStr">
        <is>
          <t>P</t>
        </is>
      </c>
      <c r="AN175" s="47" t="inlineStr">
        <is>
          <t>G</t>
        </is>
      </c>
      <c r="AO175" s="47" t="inlineStr">
        <is>
          <t>G</t>
        </is>
      </c>
      <c r="AP175" s="47" t="inlineStr">
        <is>
          <t>G</t>
        </is>
      </c>
      <c r="AQ175" s="47" t="inlineStr">
        <is>
          <t>G</t>
        </is>
      </c>
      <c r="AR175" s="47" t="inlineStr">
        <is>
          <t>G</t>
        </is>
      </c>
      <c r="AS175" s="47" t="inlineStr">
        <is>
          <t>G</t>
        </is>
      </c>
      <c r="AT175" s="47" t="inlineStr">
        <is>
          <t>G</t>
        </is>
      </c>
      <c r="AU175" s="47" t="inlineStr">
        <is>
          <t>G</t>
        </is>
      </c>
      <c r="AV175" s="47" t="inlineStr">
        <is>
          <t>H</t>
        </is>
      </c>
      <c r="AW175" s="47" t="inlineStr">
        <is>
          <t>H</t>
        </is>
      </c>
      <c r="AX175" s="47" t="inlineStr">
        <is>
          <t>H</t>
        </is>
      </c>
      <c r="AY175" s="47" t="inlineStr">
        <is>
          <t>H</t>
        </is>
      </c>
      <c r="BE175" s="48">
        <f>D175*$B$6*IF($R$18="Y",1,0)</f>
        <v/>
      </c>
      <c r="BF175" s="48">
        <f>D175*$I$18</f>
        <v/>
      </c>
      <c r="BG175" s="49">
        <f>MATCH("P",$E175:$BD175,0)</f>
        <v/>
      </c>
      <c r="BH175" s="33" t="inlineStr">
        <is>
          <t>Open field</t>
        </is>
      </c>
      <c r="BI175" s="33">
        <f>$Q$18</f>
        <v/>
      </c>
    </row>
    <row r="176">
      <c r="A176" s="33" t="inlineStr">
        <is>
          <t>Kale W35 T</t>
        </is>
      </c>
      <c r="B176" s="33" t="inlineStr">
        <is>
          <t>Kale</t>
        </is>
      </c>
      <c r="C176" s="45" t="n">
        <v>0</v>
      </c>
      <c r="D176" s="46" t="n">
        <v>0</v>
      </c>
      <c r="AM176" s="47" t="inlineStr">
        <is>
          <t>P</t>
        </is>
      </c>
      <c r="AN176" s="47" t="inlineStr">
        <is>
          <t>G</t>
        </is>
      </c>
      <c r="AO176" s="47" t="inlineStr">
        <is>
          <t>G</t>
        </is>
      </c>
      <c r="AP176" s="47" t="inlineStr">
        <is>
          <t>G</t>
        </is>
      </c>
      <c r="AQ176" s="47" t="inlineStr">
        <is>
          <t>G</t>
        </is>
      </c>
      <c r="AR176" s="47" t="inlineStr">
        <is>
          <t>G</t>
        </is>
      </c>
      <c r="AS176" s="47" t="inlineStr">
        <is>
          <t>G</t>
        </is>
      </c>
      <c r="AT176" s="47" t="inlineStr">
        <is>
          <t>G</t>
        </is>
      </c>
      <c r="AU176" s="47" t="inlineStr">
        <is>
          <t>G</t>
        </is>
      </c>
      <c r="AV176" s="47" t="inlineStr">
        <is>
          <t>H</t>
        </is>
      </c>
      <c r="AW176" s="47" t="inlineStr">
        <is>
          <t>H</t>
        </is>
      </c>
      <c r="AX176" s="47" t="inlineStr">
        <is>
          <t>H</t>
        </is>
      </c>
      <c r="AY176" s="47" t="inlineStr">
        <is>
          <t>H</t>
        </is>
      </c>
      <c r="BE176" s="48">
        <f>D176*$B$6*IF($S$18="Y",1,0)</f>
        <v/>
      </c>
      <c r="BF176" s="48">
        <f>D176*$I$18</f>
        <v/>
      </c>
      <c r="BG176" s="49">
        <f>MATCH("P",$E176:$BD176,0)</f>
        <v/>
      </c>
      <c r="BH176" s="33" t="inlineStr">
        <is>
          <t>High tunnel</t>
        </is>
      </c>
      <c r="BI176" s="33">
        <f>$Q$18</f>
        <v/>
      </c>
    </row>
    <row r="177">
      <c r="A177" s="33" t="inlineStr">
        <is>
          <t>Kale W36 F</t>
        </is>
      </c>
      <c r="B177" s="33" t="inlineStr">
        <is>
          <t>Kale</t>
        </is>
      </c>
      <c r="C177" s="45" t="n">
        <v>0</v>
      </c>
      <c r="D177" s="46" t="n">
        <v>0</v>
      </c>
      <c r="AN177" s="47" t="inlineStr">
        <is>
          <t>P</t>
        </is>
      </c>
      <c r="AO177" s="47" t="inlineStr">
        <is>
          <t>G</t>
        </is>
      </c>
      <c r="AP177" s="47" t="inlineStr">
        <is>
          <t>G</t>
        </is>
      </c>
      <c r="AQ177" s="47" t="inlineStr">
        <is>
          <t>G</t>
        </is>
      </c>
      <c r="AR177" s="47" t="inlineStr">
        <is>
          <t>G</t>
        </is>
      </c>
      <c r="AS177" s="47" t="inlineStr">
        <is>
          <t>G</t>
        </is>
      </c>
      <c r="AT177" s="47" t="inlineStr">
        <is>
          <t>G</t>
        </is>
      </c>
      <c r="AU177" s="47" t="inlineStr">
        <is>
          <t>G</t>
        </is>
      </c>
      <c r="AV177" s="47" t="inlineStr">
        <is>
          <t>G</t>
        </is>
      </c>
      <c r="AW177" s="47" t="inlineStr">
        <is>
          <t>H</t>
        </is>
      </c>
      <c r="AX177" s="47" t="inlineStr">
        <is>
          <t>H</t>
        </is>
      </c>
      <c r="AY177" s="47" t="inlineStr">
        <is>
          <t>H</t>
        </is>
      </c>
      <c r="AZ177" s="47" t="inlineStr">
        <is>
          <t>H</t>
        </is>
      </c>
      <c r="BE177" s="48">
        <f>D177*$B$6*IF($R$18="Y",1,0)</f>
        <v/>
      </c>
      <c r="BF177" s="48">
        <f>D177*$I$18</f>
        <v/>
      </c>
      <c r="BG177" s="49">
        <f>MATCH("P",$E177:$BD177,0)</f>
        <v/>
      </c>
      <c r="BH177" s="33" t="inlineStr">
        <is>
          <t>Open field</t>
        </is>
      </c>
      <c r="BI177" s="33">
        <f>$Q$18</f>
        <v/>
      </c>
    </row>
    <row r="178">
      <c r="A178" s="33" t="inlineStr">
        <is>
          <t>Kale W36 T</t>
        </is>
      </c>
      <c r="B178" s="33" t="inlineStr">
        <is>
          <t>Kale</t>
        </is>
      </c>
      <c r="C178" s="45" t="n">
        <v>0</v>
      </c>
      <c r="D178" s="46" t="n">
        <v>0</v>
      </c>
      <c r="AN178" s="47" t="inlineStr">
        <is>
          <t>P</t>
        </is>
      </c>
      <c r="AO178" s="47" t="inlineStr">
        <is>
          <t>G</t>
        </is>
      </c>
      <c r="AP178" s="47" t="inlineStr">
        <is>
          <t>G</t>
        </is>
      </c>
      <c r="AQ178" s="47" t="inlineStr">
        <is>
          <t>G</t>
        </is>
      </c>
      <c r="AR178" s="47" t="inlineStr">
        <is>
          <t>G</t>
        </is>
      </c>
      <c r="AS178" s="47" t="inlineStr">
        <is>
          <t>G</t>
        </is>
      </c>
      <c r="AT178" s="47" t="inlineStr">
        <is>
          <t>G</t>
        </is>
      </c>
      <c r="AU178" s="47" t="inlineStr">
        <is>
          <t>G</t>
        </is>
      </c>
      <c r="AV178" s="47" t="inlineStr">
        <is>
          <t>G</t>
        </is>
      </c>
      <c r="AW178" s="47" t="inlineStr">
        <is>
          <t>H</t>
        </is>
      </c>
      <c r="AX178" s="47" t="inlineStr">
        <is>
          <t>H</t>
        </is>
      </c>
      <c r="AY178" s="47" t="inlineStr">
        <is>
          <t>H</t>
        </is>
      </c>
      <c r="AZ178" s="47" t="inlineStr">
        <is>
          <t>H</t>
        </is>
      </c>
      <c r="BE178" s="48">
        <f>D178*$B$6*IF($S$18="Y",1,0)</f>
        <v/>
      </c>
      <c r="BF178" s="48">
        <f>D178*$I$18</f>
        <v/>
      </c>
      <c r="BG178" s="49">
        <f>MATCH("P",$E178:$BD178,0)</f>
        <v/>
      </c>
      <c r="BH178" s="33" t="inlineStr">
        <is>
          <t>High tunnel</t>
        </is>
      </c>
      <c r="BI178" s="33">
        <f>$Q$18</f>
        <v/>
      </c>
    </row>
    <row r="179">
      <c r="A179" s="33" t="inlineStr">
        <is>
          <t>Kale W37 F</t>
        </is>
      </c>
      <c r="B179" s="33" t="inlineStr">
        <is>
          <t>Kale</t>
        </is>
      </c>
      <c r="C179" s="45" t="n">
        <v>0</v>
      </c>
      <c r="D179" s="46" t="n">
        <v>0</v>
      </c>
      <c r="AO179" s="47" t="inlineStr">
        <is>
          <t>P</t>
        </is>
      </c>
      <c r="AP179" s="47" t="inlineStr">
        <is>
          <t>G</t>
        </is>
      </c>
      <c r="AQ179" s="47" t="inlineStr">
        <is>
          <t>G</t>
        </is>
      </c>
      <c r="AR179" s="47" t="inlineStr">
        <is>
          <t>G</t>
        </is>
      </c>
      <c r="AS179" s="47" t="inlineStr">
        <is>
          <t>G</t>
        </is>
      </c>
      <c r="AT179" s="47" t="inlineStr">
        <is>
          <t>G</t>
        </is>
      </c>
      <c r="AU179" s="47" t="inlineStr">
        <is>
          <t>G</t>
        </is>
      </c>
      <c r="AV179" s="47" t="inlineStr">
        <is>
          <t>G</t>
        </is>
      </c>
      <c r="AW179" s="47" t="inlineStr">
        <is>
          <t>G</t>
        </is>
      </c>
      <c r="AX179" s="47" t="inlineStr">
        <is>
          <t>H</t>
        </is>
      </c>
      <c r="AY179" s="47" t="inlineStr">
        <is>
          <t>H</t>
        </is>
      </c>
      <c r="AZ179" s="47" t="inlineStr">
        <is>
          <t>H</t>
        </is>
      </c>
      <c r="BA179" s="47" t="inlineStr">
        <is>
          <t>H</t>
        </is>
      </c>
      <c r="BE179" s="48">
        <f>D179*$B$6*IF($R$18="Y",1,0)</f>
        <v/>
      </c>
      <c r="BF179" s="48">
        <f>D179*$I$18</f>
        <v/>
      </c>
      <c r="BG179" s="49">
        <f>MATCH("P",$E179:$BD179,0)</f>
        <v/>
      </c>
      <c r="BH179" s="33" t="inlineStr">
        <is>
          <t>Open field</t>
        </is>
      </c>
      <c r="BI179" s="33">
        <f>$Q$18</f>
        <v/>
      </c>
    </row>
    <row r="180">
      <c r="A180" s="33" t="inlineStr">
        <is>
          <t>Kale W37 T</t>
        </is>
      </c>
      <c r="B180" s="33" t="inlineStr">
        <is>
          <t>Kale</t>
        </is>
      </c>
      <c r="C180" s="45" t="n">
        <v>0</v>
      </c>
      <c r="D180" s="46" t="n">
        <v>0</v>
      </c>
      <c r="AO180" s="47" t="inlineStr">
        <is>
          <t>P</t>
        </is>
      </c>
      <c r="AP180" s="47" t="inlineStr">
        <is>
          <t>G</t>
        </is>
      </c>
      <c r="AQ180" s="47" t="inlineStr">
        <is>
          <t>G</t>
        </is>
      </c>
      <c r="AR180" s="47" t="inlineStr">
        <is>
          <t>G</t>
        </is>
      </c>
      <c r="AS180" s="47" t="inlineStr">
        <is>
          <t>G</t>
        </is>
      </c>
      <c r="AT180" s="47" t="inlineStr">
        <is>
          <t>G</t>
        </is>
      </c>
      <c r="AU180" s="47" t="inlineStr">
        <is>
          <t>G</t>
        </is>
      </c>
      <c r="AV180" s="47" t="inlineStr">
        <is>
          <t>G</t>
        </is>
      </c>
      <c r="AW180" s="47" t="inlineStr">
        <is>
          <t>G</t>
        </is>
      </c>
      <c r="AX180" s="47" t="inlineStr">
        <is>
          <t>H</t>
        </is>
      </c>
      <c r="AY180" s="47" t="inlineStr">
        <is>
          <t>H</t>
        </is>
      </c>
      <c r="AZ180" s="47" t="inlineStr">
        <is>
          <t>H</t>
        </is>
      </c>
      <c r="BA180" s="47" t="inlineStr">
        <is>
          <t>H</t>
        </is>
      </c>
      <c r="BE180" s="48">
        <f>D180*$B$6*IF($S$18="Y",1,0)</f>
        <v/>
      </c>
      <c r="BF180" s="48">
        <f>D180*$I$18</f>
        <v/>
      </c>
      <c r="BG180" s="49">
        <f>MATCH("P",$E180:$BD180,0)</f>
        <v/>
      </c>
      <c r="BH180" s="33" t="inlineStr">
        <is>
          <t>High tunnel</t>
        </is>
      </c>
      <c r="BI180" s="33">
        <f>$Q$18</f>
        <v/>
      </c>
    </row>
    <row r="181">
      <c r="A181" s="33" t="inlineStr">
        <is>
          <t>Kale W38 F</t>
        </is>
      </c>
      <c r="B181" s="33" t="inlineStr">
        <is>
          <t>Kale</t>
        </is>
      </c>
      <c r="C181" s="45" t="n">
        <v>0</v>
      </c>
      <c r="D181" s="46" t="n">
        <v>0</v>
      </c>
      <c r="AP181" s="47" t="inlineStr">
        <is>
          <t>P</t>
        </is>
      </c>
      <c r="AQ181" s="47" t="inlineStr">
        <is>
          <t>G</t>
        </is>
      </c>
      <c r="AR181" s="47" t="inlineStr">
        <is>
          <t>G</t>
        </is>
      </c>
      <c r="AS181" s="47" t="inlineStr">
        <is>
          <t>G</t>
        </is>
      </c>
      <c r="AT181" s="47" t="inlineStr">
        <is>
          <t>G</t>
        </is>
      </c>
      <c r="AU181" s="47" t="inlineStr">
        <is>
          <t>G</t>
        </is>
      </c>
      <c r="AV181" s="47" t="inlineStr">
        <is>
          <t>G</t>
        </is>
      </c>
      <c r="AW181" s="47" t="inlineStr">
        <is>
          <t>G</t>
        </is>
      </c>
      <c r="AX181" s="47" t="inlineStr">
        <is>
          <t>G</t>
        </is>
      </c>
      <c r="AY181" s="47" t="inlineStr">
        <is>
          <t>H</t>
        </is>
      </c>
      <c r="AZ181" s="47" t="inlineStr">
        <is>
          <t>H</t>
        </is>
      </c>
      <c r="BA181" s="47" t="inlineStr">
        <is>
          <t>H</t>
        </is>
      </c>
      <c r="BB181" s="47" t="inlineStr">
        <is>
          <t>H</t>
        </is>
      </c>
      <c r="BE181" s="48">
        <f>D181*$B$6*IF($R$18="Y",1,0)</f>
        <v/>
      </c>
      <c r="BF181" s="48">
        <f>D181*$I$18</f>
        <v/>
      </c>
      <c r="BG181" s="49">
        <f>MATCH("P",$E181:$BD181,0)</f>
        <v/>
      </c>
      <c r="BH181" s="33" t="inlineStr">
        <is>
          <t>Open field</t>
        </is>
      </c>
      <c r="BI181" s="33">
        <f>$Q$18</f>
        <v/>
      </c>
    </row>
    <row r="182">
      <c r="A182" s="33" t="inlineStr">
        <is>
          <t>Kale W38 T</t>
        </is>
      </c>
      <c r="B182" s="33" t="inlineStr">
        <is>
          <t>Kale</t>
        </is>
      </c>
      <c r="C182" s="45" t="n">
        <v>0</v>
      </c>
      <c r="D182" s="46" t="n">
        <v>0</v>
      </c>
      <c r="AP182" s="47" t="inlineStr">
        <is>
          <t>P</t>
        </is>
      </c>
      <c r="AQ182" s="47" t="inlineStr">
        <is>
          <t>G</t>
        </is>
      </c>
      <c r="AR182" s="47" t="inlineStr">
        <is>
          <t>G</t>
        </is>
      </c>
      <c r="AS182" s="47" t="inlineStr">
        <is>
          <t>G</t>
        </is>
      </c>
      <c r="AT182" s="47" t="inlineStr">
        <is>
          <t>G</t>
        </is>
      </c>
      <c r="AU182" s="47" t="inlineStr">
        <is>
          <t>G</t>
        </is>
      </c>
      <c r="AV182" s="47" t="inlineStr">
        <is>
          <t>G</t>
        </is>
      </c>
      <c r="AW182" s="47" t="inlineStr">
        <is>
          <t>G</t>
        </is>
      </c>
      <c r="AX182" s="47" t="inlineStr">
        <is>
          <t>G</t>
        </is>
      </c>
      <c r="AY182" s="47" t="inlineStr">
        <is>
          <t>H</t>
        </is>
      </c>
      <c r="AZ182" s="47" t="inlineStr">
        <is>
          <t>H</t>
        </is>
      </c>
      <c r="BA182" s="47" t="inlineStr">
        <is>
          <t>H</t>
        </is>
      </c>
      <c r="BB182" s="47" t="inlineStr">
        <is>
          <t>H</t>
        </is>
      </c>
      <c r="BE182" s="48">
        <f>D182*$B$6*IF($S$18="Y",1,0)</f>
        <v/>
      </c>
      <c r="BF182" s="48">
        <f>D182*$I$18</f>
        <v/>
      </c>
      <c r="BG182" s="49">
        <f>MATCH("P",$E182:$BD182,0)</f>
        <v/>
      </c>
      <c r="BH182" s="33" t="inlineStr">
        <is>
          <t>High tunnel</t>
        </is>
      </c>
      <c r="BI182" s="33">
        <f>$Q$18</f>
        <v/>
      </c>
    </row>
    <row r="183">
      <c r="A183" s="33" t="inlineStr">
        <is>
          <t>Kale W39 F</t>
        </is>
      </c>
      <c r="B183" s="33" t="inlineStr">
        <is>
          <t>Kale</t>
        </is>
      </c>
      <c r="C183" s="45" t="n">
        <v>0</v>
      </c>
      <c r="D183" s="46" t="n">
        <v>0</v>
      </c>
      <c r="AQ183" s="47" t="inlineStr">
        <is>
          <t>P</t>
        </is>
      </c>
      <c r="AR183" s="47" t="inlineStr">
        <is>
          <t>G</t>
        </is>
      </c>
      <c r="AS183" s="47" t="inlineStr">
        <is>
          <t>G</t>
        </is>
      </c>
      <c r="AT183" s="47" t="inlineStr">
        <is>
          <t>G</t>
        </is>
      </c>
      <c r="AU183" s="47" t="inlineStr">
        <is>
          <t>G</t>
        </is>
      </c>
      <c r="AV183" s="47" t="inlineStr">
        <is>
          <t>G</t>
        </is>
      </c>
      <c r="AW183" s="47" t="inlineStr">
        <is>
          <t>G</t>
        </is>
      </c>
      <c r="AX183" s="47" t="inlineStr">
        <is>
          <t>G</t>
        </is>
      </c>
      <c r="AY183" s="47" t="inlineStr">
        <is>
          <t>G</t>
        </is>
      </c>
      <c r="AZ183" s="47" t="inlineStr">
        <is>
          <t>H</t>
        </is>
      </c>
      <c r="BA183" s="47" t="inlineStr">
        <is>
          <t>H</t>
        </is>
      </c>
      <c r="BB183" s="47" t="inlineStr">
        <is>
          <t>H</t>
        </is>
      </c>
      <c r="BC183" s="47" t="inlineStr">
        <is>
          <t>H</t>
        </is>
      </c>
      <c r="BE183" s="48">
        <f>D183*$B$6*IF($R$18="Y",1,0)</f>
        <v/>
      </c>
      <c r="BF183" s="48">
        <f>D183*$I$18</f>
        <v/>
      </c>
      <c r="BG183" s="49">
        <f>MATCH("P",$E183:$BD183,0)</f>
        <v/>
      </c>
      <c r="BH183" s="33" t="inlineStr">
        <is>
          <t>Open field</t>
        </is>
      </c>
      <c r="BI183" s="33">
        <f>$Q$18</f>
        <v/>
      </c>
    </row>
    <row r="184">
      <c r="A184" s="33" t="inlineStr">
        <is>
          <t>Kale W39 T</t>
        </is>
      </c>
      <c r="B184" s="33" t="inlineStr">
        <is>
          <t>Kale</t>
        </is>
      </c>
      <c r="C184" s="45" t="n">
        <v>0</v>
      </c>
      <c r="D184" s="46" t="n">
        <v>0</v>
      </c>
      <c r="AQ184" s="47" t="inlineStr">
        <is>
          <t>P</t>
        </is>
      </c>
      <c r="AR184" s="47" t="inlineStr">
        <is>
          <t>G</t>
        </is>
      </c>
      <c r="AS184" s="47" t="inlineStr">
        <is>
          <t>G</t>
        </is>
      </c>
      <c r="AT184" s="47" t="inlineStr">
        <is>
          <t>G</t>
        </is>
      </c>
      <c r="AU184" s="47" t="inlineStr">
        <is>
          <t>G</t>
        </is>
      </c>
      <c r="AV184" s="47" t="inlineStr">
        <is>
          <t>G</t>
        </is>
      </c>
      <c r="AW184" s="47" t="inlineStr">
        <is>
          <t>G</t>
        </is>
      </c>
      <c r="AX184" s="47" t="inlineStr">
        <is>
          <t>G</t>
        </is>
      </c>
      <c r="AY184" s="47" t="inlineStr">
        <is>
          <t>G</t>
        </is>
      </c>
      <c r="AZ184" s="47" t="inlineStr">
        <is>
          <t>H</t>
        </is>
      </c>
      <c r="BA184" s="47" t="inlineStr">
        <is>
          <t>H</t>
        </is>
      </c>
      <c r="BB184" s="47" t="inlineStr">
        <is>
          <t>H</t>
        </is>
      </c>
      <c r="BC184" s="47" t="inlineStr">
        <is>
          <t>H</t>
        </is>
      </c>
      <c r="BE184" s="48">
        <f>D184*$B$6*IF($S$18="Y",1,0)</f>
        <v/>
      </c>
      <c r="BF184" s="48">
        <f>D184*$I$18</f>
        <v/>
      </c>
      <c r="BG184" s="49">
        <f>MATCH("P",$E184:$BD184,0)</f>
        <v/>
      </c>
      <c r="BH184" s="33" t="inlineStr">
        <is>
          <t>High tunnel</t>
        </is>
      </c>
      <c r="BI184" s="33">
        <f>$Q$18</f>
        <v/>
      </c>
    </row>
    <row r="185">
      <c r="A185" s="33" t="inlineStr">
        <is>
          <t>Kale W40 F</t>
        </is>
      </c>
      <c r="B185" s="33" t="inlineStr">
        <is>
          <t>Kale</t>
        </is>
      </c>
      <c r="C185" s="45" t="n">
        <v>0</v>
      </c>
      <c r="D185" s="46" t="n">
        <v>0</v>
      </c>
      <c r="AR185" s="47" t="inlineStr">
        <is>
          <t>P</t>
        </is>
      </c>
      <c r="AS185" s="47" t="inlineStr">
        <is>
          <t>G</t>
        </is>
      </c>
      <c r="AT185" s="47" t="inlineStr">
        <is>
          <t>G</t>
        </is>
      </c>
      <c r="AU185" s="47" t="inlineStr">
        <is>
          <t>G</t>
        </is>
      </c>
      <c r="AV185" s="47" t="inlineStr">
        <is>
          <t>G</t>
        </is>
      </c>
      <c r="AW185" s="47" t="inlineStr">
        <is>
          <t>G</t>
        </is>
      </c>
      <c r="AX185" s="47" t="inlineStr">
        <is>
          <t>G</t>
        </is>
      </c>
      <c r="AY185" s="47" t="inlineStr">
        <is>
          <t>G</t>
        </is>
      </c>
      <c r="AZ185" s="47" t="inlineStr">
        <is>
          <t>G</t>
        </is>
      </c>
      <c r="BA185" s="47" t="inlineStr">
        <is>
          <t>H</t>
        </is>
      </c>
      <c r="BB185" s="47" t="inlineStr">
        <is>
          <t>H</t>
        </is>
      </c>
      <c r="BC185" s="47" t="inlineStr">
        <is>
          <t>H</t>
        </is>
      </c>
      <c r="BD185" s="47" t="inlineStr">
        <is>
          <t>H</t>
        </is>
      </c>
      <c r="BE185" s="48">
        <f>D185*$B$6*IF($R$18="Y",1,0)</f>
        <v/>
      </c>
      <c r="BF185" s="48">
        <f>D185*$I$18</f>
        <v/>
      </c>
      <c r="BG185" s="49">
        <f>MATCH("P",$E185:$BD185,0)</f>
        <v/>
      </c>
      <c r="BH185" s="33" t="inlineStr">
        <is>
          <t>Open field</t>
        </is>
      </c>
      <c r="BI185" s="33">
        <f>$Q$18</f>
        <v/>
      </c>
    </row>
    <row r="186">
      <c r="A186" s="33" t="inlineStr">
        <is>
          <t>Kale W40 T</t>
        </is>
      </c>
      <c r="B186" s="33" t="inlineStr">
        <is>
          <t>Kale</t>
        </is>
      </c>
      <c r="C186" s="45" t="n">
        <v>0</v>
      </c>
      <c r="D186" s="46" t="n">
        <v>0</v>
      </c>
      <c r="AR186" s="47" t="inlineStr">
        <is>
          <t>P</t>
        </is>
      </c>
      <c r="AS186" s="47" t="inlineStr">
        <is>
          <t>G</t>
        </is>
      </c>
      <c r="AT186" s="47" t="inlineStr">
        <is>
          <t>G</t>
        </is>
      </c>
      <c r="AU186" s="47" t="inlineStr">
        <is>
          <t>G</t>
        </is>
      </c>
      <c r="AV186" s="47" t="inlineStr">
        <is>
          <t>G</t>
        </is>
      </c>
      <c r="AW186" s="47" t="inlineStr">
        <is>
          <t>G</t>
        </is>
      </c>
      <c r="AX186" s="47" t="inlineStr">
        <is>
          <t>G</t>
        </is>
      </c>
      <c r="AY186" s="47" t="inlineStr">
        <is>
          <t>G</t>
        </is>
      </c>
      <c r="AZ186" s="47" t="inlineStr">
        <is>
          <t>G</t>
        </is>
      </c>
      <c r="BA186" s="47" t="inlineStr">
        <is>
          <t>H</t>
        </is>
      </c>
      <c r="BB186" s="47" t="inlineStr">
        <is>
          <t>H</t>
        </is>
      </c>
      <c r="BC186" s="47" t="inlineStr">
        <is>
          <t>H</t>
        </is>
      </c>
      <c r="BD186" s="47" t="inlineStr">
        <is>
          <t>H</t>
        </is>
      </c>
      <c r="BE186" s="48">
        <f>D186*$B$6*IF($S$18="Y",1,0)</f>
        <v/>
      </c>
      <c r="BF186" s="48">
        <f>D186*$I$18</f>
        <v/>
      </c>
      <c r="BG186" s="49">
        <f>MATCH("P",$E186:$BD186,0)</f>
        <v/>
      </c>
      <c r="BH186" s="33" t="inlineStr">
        <is>
          <t>High tunnel</t>
        </is>
      </c>
      <c r="BI186" s="33">
        <f>$Q$18</f>
        <v/>
      </c>
    </row>
    <row r="187">
      <c r="A187" s="33" t="inlineStr">
        <is>
          <t>Garlic W46</t>
        </is>
      </c>
      <c r="B187" s="33" t="inlineStr">
        <is>
          <t>Garlic</t>
        </is>
      </c>
      <c r="C187" s="45" t="n">
        <v>0</v>
      </c>
      <c r="D187" s="46" t="n">
        <v>0</v>
      </c>
      <c r="E187" s="47" t="inlineStr">
        <is>
          <t>G</t>
        </is>
      </c>
      <c r="F187" s="47" t="inlineStr">
        <is>
          <t>G</t>
        </is>
      </c>
      <c r="G187" s="47" t="inlineStr">
        <is>
          <t>G</t>
        </is>
      </c>
      <c r="H187" s="47" t="inlineStr">
        <is>
          <t>G</t>
        </is>
      </c>
      <c r="I187" s="47" t="inlineStr">
        <is>
          <t>G</t>
        </is>
      </c>
      <c r="J187" s="47" t="inlineStr">
        <is>
          <t>G</t>
        </is>
      </c>
      <c r="K187" s="47" t="inlineStr">
        <is>
          <t>G</t>
        </is>
      </c>
      <c r="L187" s="47" t="inlineStr">
        <is>
          <t>G</t>
        </is>
      </c>
      <c r="M187" s="47" t="inlineStr">
        <is>
          <t>G</t>
        </is>
      </c>
      <c r="N187" s="47" t="inlineStr">
        <is>
          <t>G</t>
        </is>
      </c>
      <c r="O187" s="47" t="inlineStr">
        <is>
          <t>G</t>
        </is>
      </c>
      <c r="P187" s="47" t="inlineStr">
        <is>
          <t>G</t>
        </is>
      </c>
      <c r="Q187" s="47" t="inlineStr">
        <is>
          <t>G</t>
        </is>
      </c>
      <c r="R187" s="47" t="inlineStr">
        <is>
          <t>G</t>
        </is>
      </c>
      <c r="S187" s="47" t="inlineStr">
        <is>
          <t>G</t>
        </is>
      </c>
      <c r="T187" s="47" t="inlineStr">
        <is>
          <t>G</t>
        </is>
      </c>
      <c r="U187" s="47" t="inlineStr">
        <is>
          <t>G</t>
        </is>
      </c>
      <c r="V187" s="47" t="inlineStr">
        <is>
          <t>G</t>
        </is>
      </c>
      <c r="W187" s="47" t="inlineStr">
        <is>
          <t>G</t>
        </is>
      </c>
      <c r="X187" s="47" t="inlineStr">
        <is>
          <t>G</t>
        </is>
      </c>
      <c r="Y187" s="47" t="inlineStr">
        <is>
          <t>G</t>
        </is>
      </c>
      <c r="Z187" s="47" t="inlineStr">
        <is>
          <t>G</t>
        </is>
      </c>
      <c r="AA187" s="47" t="inlineStr">
        <is>
          <t>G</t>
        </is>
      </c>
      <c r="AB187" s="47" t="inlineStr">
        <is>
          <t>G</t>
        </is>
      </c>
      <c r="AC187" s="47" t="inlineStr">
        <is>
          <t>G</t>
        </is>
      </c>
      <c r="AD187" s="47" t="inlineStr">
        <is>
          <t>G</t>
        </is>
      </c>
      <c r="AE187" s="47" t="inlineStr">
        <is>
          <t>G</t>
        </is>
      </c>
      <c r="AF187" s="47" t="inlineStr">
        <is>
          <t>G</t>
        </is>
      </c>
      <c r="AG187" s="47" t="inlineStr">
        <is>
          <t>H</t>
        </is>
      </c>
      <c r="AX187" s="47" t="inlineStr">
        <is>
          <t>P</t>
        </is>
      </c>
      <c r="AY187" s="47" t="inlineStr">
        <is>
          <t>P</t>
        </is>
      </c>
      <c r="AZ187" s="47" t="inlineStr">
        <is>
          <t>P</t>
        </is>
      </c>
      <c r="BA187" s="47" t="inlineStr">
        <is>
          <t>G</t>
        </is>
      </c>
      <c r="BB187" s="47" t="inlineStr">
        <is>
          <t>G</t>
        </is>
      </c>
      <c r="BC187" s="47" t="inlineStr">
        <is>
          <t>G</t>
        </is>
      </c>
      <c r="BD187" s="47" t="inlineStr">
        <is>
          <t>G</t>
        </is>
      </c>
      <c r="BE187" s="48">
        <f>D187*$B$6*IF($R$19="Y",1,0)</f>
        <v/>
      </c>
      <c r="BF187" s="48">
        <f>D187*$I$19</f>
        <v/>
      </c>
      <c r="BG187" s="49">
        <f>MATCH("P",$E187:$BD187,0)</f>
        <v/>
      </c>
      <c r="BH187" s="33" t="inlineStr">
        <is>
          <t>Open field</t>
        </is>
      </c>
      <c r="BI187" s="33">
        <f>$Q$19</f>
        <v/>
      </c>
    </row>
    <row r="188">
      <c r="A188" s="33" t="inlineStr">
        <is>
          <t>Garlic W47</t>
        </is>
      </c>
      <c r="B188" s="33" t="inlineStr">
        <is>
          <t>Garlic</t>
        </is>
      </c>
      <c r="C188" s="45" t="n">
        <v>0</v>
      </c>
      <c r="D188" s="46" t="n">
        <v>0</v>
      </c>
      <c r="E188" s="47" t="inlineStr">
        <is>
          <t>G</t>
        </is>
      </c>
      <c r="F188" s="47" t="inlineStr">
        <is>
          <t>G</t>
        </is>
      </c>
      <c r="G188" s="47" t="inlineStr">
        <is>
          <t>G</t>
        </is>
      </c>
      <c r="H188" s="47" t="inlineStr">
        <is>
          <t>G</t>
        </is>
      </c>
      <c r="I188" s="47" t="inlineStr">
        <is>
          <t>G</t>
        </is>
      </c>
      <c r="J188" s="47" t="inlineStr">
        <is>
          <t>G</t>
        </is>
      </c>
      <c r="K188" s="47" t="inlineStr">
        <is>
          <t>G</t>
        </is>
      </c>
      <c r="L188" s="47" t="inlineStr">
        <is>
          <t>G</t>
        </is>
      </c>
      <c r="M188" s="47" t="inlineStr">
        <is>
          <t>G</t>
        </is>
      </c>
      <c r="N188" s="47" t="inlineStr">
        <is>
          <t>G</t>
        </is>
      </c>
      <c r="O188" s="47" t="inlineStr">
        <is>
          <t>G</t>
        </is>
      </c>
      <c r="P188" s="47" t="inlineStr">
        <is>
          <t>G</t>
        </is>
      </c>
      <c r="Q188" s="47" t="inlineStr">
        <is>
          <t>G</t>
        </is>
      </c>
      <c r="R188" s="47" t="inlineStr">
        <is>
          <t>G</t>
        </is>
      </c>
      <c r="S188" s="47" t="inlineStr">
        <is>
          <t>G</t>
        </is>
      </c>
      <c r="T188" s="47" t="inlineStr">
        <is>
          <t>G</t>
        </is>
      </c>
      <c r="U188" s="47" t="inlineStr">
        <is>
          <t>G</t>
        </is>
      </c>
      <c r="V188" s="47" t="inlineStr">
        <is>
          <t>G</t>
        </is>
      </c>
      <c r="W188" s="47" t="inlineStr">
        <is>
          <t>G</t>
        </is>
      </c>
      <c r="X188" s="47" t="inlineStr">
        <is>
          <t>G</t>
        </is>
      </c>
      <c r="Y188" s="47" t="inlineStr">
        <is>
          <t>G</t>
        </is>
      </c>
      <c r="Z188" s="47" t="inlineStr">
        <is>
          <t>G</t>
        </is>
      </c>
      <c r="AA188" s="47" t="inlineStr">
        <is>
          <t>G</t>
        </is>
      </c>
      <c r="AB188" s="47" t="inlineStr">
        <is>
          <t>G</t>
        </is>
      </c>
      <c r="AC188" s="47" t="inlineStr">
        <is>
          <t>G</t>
        </is>
      </c>
      <c r="AD188" s="47" t="inlineStr">
        <is>
          <t>G</t>
        </is>
      </c>
      <c r="AE188" s="47" t="inlineStr">
        <is>
          <t>G</t>
        </is>
      </c>
      <c r="AF188" s="47" t="inlineStr">
        <is>
          <t>G</t>
        </is>
      </c>
      <c r="AG188" s="47" t="inlineStr">
        <is>
          <t>G</t>
        </is>
      </c>
      <c r="AH188" s="47" t="inlineStr">
        <is>
          <t>H</t>
        </is>
      </c>
      <c r="AY188" s="47" t="inlineStr">
        <is>
          <t>P</t>
        </is>
      </c>
      <c r="AZ188" s="47" t="inlineStr">
        <is>
          <t>P</t>
        </is>
      </c>
      <c r="BA188" s="47" t="inlineStr">
        <is>
          <t>P</t>
        </is>
      </c>
      <c r="BB188" s="47" t="inlineStr">
        <is>
          <t>G</t>
        </is>
      </c>
      <c r="BC188" s="47" t="inlineStr">
        <is>
          <t>G</t>
        </is>
      </c>
      <c r="BD188" s="47" t="inlineStr">
        <is>
          <t>G</t>
        </is>
      </c>
      <c r="BE188" s="48">
        <f>D188*$B$6*IF($R$19="Y",1,0)</f>
        <v/>
      </c>
      <c r="BF188" s="48">
        <f>D188*$I$19</f>
        <v/>
      </c>
      <c r="BG188" s="49">
        <f>MATCH("P",$E188:$BD188,0)</f>
        <v/>
      </c>
      <c r="BH188" s="33" t="inlineStr">
        <is>
          <t>Open field</t>
        </is>
      </c>
      <c r="BI188" s="33">
        <f>$Q$19</f>
        <v/>
      </c>
    </row>
    <row r="189">
      <c r="A189" s="33" t="inlineStr">
        <is>
          <t>Garlic W48</t>
        </is>
      </c>
      <c r="B189" s="33" t="inlineStr">
        <is>
          <t>Garlic</t>
        </is>
      </c>
      <c r="C189" s="45" t="n">
        <v>0</v>
      </c>
      <c r="D189" s="46" t="n">
        <v>0</v>
      </c>
      <c r="E189" s="47" t="inlineStr">
        <is>
          <t>G</t>
        </is>
      </c>
      <c r="F189" s="47" t="inlineStr">
        <is>
          <t>G</t>
        </is>
      </c>
      <c r="G189" s="47" t="inlineStr">
        <is>
          <t>G</t>
        </is>
      </c>
      <c r="H189" s="47" t="inlineStr">
        <is>
          <t>G</t>
        </is>
      </c>
      <c r="I189" s="47" t="inlineStr">
        <is>
          <t>G</t>
        </is>
      </c>
      <c r="J189" s="47" t="inlineStr">
        <is>
          <t>G</t>
        </is>
      </c>
      <c r="K189" s="47" t="inlineStr">
        <is>
          <t>G</t>
        </is>
      </c>
      <c r="L189" s="47" t="inlineStr">
        <is>
          <t>G</t>
        </is>
      </c>
      <c r="M189" s="47" t="inlineStr">
        <is>
          <t>G</t>
        </is>
      </c>
      <c r="N189" s="47" t="inlineStr">
        <is>
          <t>G</t>
        </is>
      </c>
      <c r="O189" s="47" t="inlineStr">
        <is>
          <t>G</t>
        </is>
      </c>
      <c r="P189" s="47" t="inlineStr">
        <is>
          <t>G</t>
        </is>
      </c>
      <c r="Q189" s="47" t="inlineStr">
        <is>
          <t>G</t>
        </is>
      </c>
      <c r="R189" s="47" t="inlineStr">
        <is>
          <t>G</t>
        </is>
      </c>
      <c r="S189" s="47" t="inlineStr">
        <is>
          <t>G</t>
        </is>
      </c>
      <c r="T189" s="47" t="inlineStr">
        <is>
          <t>G</t>
        </is>
      </c>
      <c r="U189" s="47" t="inlineStr">
        <is>
          <t>G</t>
        </is>
      </c>
      <c r="V189" s="47" t="inlineStr">
        <is>
          <t>G</t>
        </is>
      </c>
      <c r="W189" s="47" t="inlineStr">
        <is>
          <t>G</t>
        </is>
      </c>
      <c r="X189" s="47" t="inlineStr">
        <is>
          <t>G</t>
        </is>
      </c>
      <c r="Y189" s="47" t="inlineStr">
        <is>
          <t>G</t>
        </is>
      </c>
      <c r="Z189" s="47" t="inlineStr">
        <is>
          <t>G</t>
        </is>
      </c>
      <c r="AA189" s="47" t="inlineStr">
        <is>
          <t>G</t>
        </is>
      </c>
      <c r="AB189" s="47" t="inlineStr">
        <is>
          <t>G</t>
        </is>
      </c>
      <c r="AC189" s="47" t="inlineStr">
        <is>
          <t>G</t>
        </is>
      </c>
      <c r="AD189" s="47" t="inlineStr">
        <is>
          <t>G</t>
        </is>
      </c>
      <c r="AE189" s="47" t="inlineStr">
        <is>
          <t>G</t>
        </is>
      </c>
      <c r="AF189" s="47" t="inlineStr">
        <is>
          <t>G</t>
        </is>
      </c>
      <c r="AG189" s="47" t="inlineStr">
        <is>
          <t>G</t>
        </is>
      </c>
      <c r="AH189" s="47" t="inlineStr">
        <is>
          <t>G</t>
        </is>
      </c>
      <c r="AI189" s="47" t="inlineStr">
        <is>
          <t>H</t>
        </is>
      </c>
      <c r="AZ189" s="47" t="inlineStr">
        <is>
          <t>P</t>
        </is>
      </c>
      <c r="BA189" s="47" t="inlineStr">
        <is>
          <t>P</t>
        </is>
      </c>
      <c r="BB189" s="47" t="inlineStr">
        <is>
          <t>P</t>
        </is>
      </c>
      <c r="BC189" s="47" t="inlineStr">
        <is>
          <t>G</t>
        </is>
      </c>
      <c r="BD189" s="47" t="inlineStr">
        <is>
          <t>G</t>
        </is>
      </c>
      <c r="BE189" s="48">
        <f>D189*$B$6*IF($R$19="Y",1,0)</f>
        <v/>
      </c>
      <c r="BF189" s="48">
        <f>D189*$I$19</f>
        <v/>
      </c>
      <c r="BG189" s="49">
        <f>MATCH("P",$E189:$BD189,0)</f>
        <v/>
      </c>
      <c r="BH189" s="33" t="inlineStr">
        <is>
          <t>Open field</t>
        </is>
      </c>
      <c r="BI189" s="33">
        <f>$Q$19</f>
        <v/>
      </c>
    </row>
    <row r="190">
      <c r="A190" s="33" t="inlineStr">
        <is>
          <t>Tunnel Spinach W01</t>
        </is>
      </c>
      <c r="B190" s="33" t="inlineStr">
        <is>
          <t>Tunnel Spinach</t>
        </is>
      </c>
      <c r="C190" s="45" t="n">
        <v>0</v>
      </c>
      <c r="D190" s="46" t="n">
        <v>0</v>
      </c>
      <c r="E190" s="47" t="inlineStr">
        <is>
          <t>P</t>
        </is>
      </c>
      <c r="F190" s="47" t="inlineStr">
        <is>
          <t>G</t>
        </is>
      </c>
      <c r="G190" s="47" t="inlineStr">
        <is>
          <t>G</t>
        </is>
      </c>
      <c r="H190" s="47" t="inlineStr">
        <is>
          <t>G</t>
        </is>
      </c>
      <c r="I190" s="47" t="inlineStr">
        <is>
          <t>G</t>
        </is>
      </c>
      <c r="J190" s="47" t="inlineStr">
        <is>
          <t>G</t>
        </is>
      </c>
      <c r="K190" s="47" t="inlineStr">
        <is>
          <t>H</t>
        </is>
      </c>
      <c r="L190" s="47" t="inlineStr">
        <is>
          <t>H</t>
        </is>
      </c>
      <c r="BE190" s="48">
        <f>D190*$B$6*IF($S$20="Y",1,0)</f>
        <v/>
      </c>
      <c r="BF190" s="48">
        <f>D190*$I$20</f>
        <v/>
      </c>
      <c r="BG190" s="49">
        <f>MATCH("P",$E190:$BD190,0)</f>
        <v/>
      </c>
      <c r="BH190" s="33" t="inlineStr">
        <is>
          <t>High tunnel</t>
        </is>
      </c>
      <c r="BI190" s="33">
        <f>$Q$20</f>
        <v/>
      </c>
    </row>
    <row r="191">
      <c r="A191" s="33" t="inlineStr">
        <is>
          <t>Tunnel Spinach W02</t>
        </is>
      </c>
      <c r="B191" s="33" t="inlineStr">
        <is>
          <t>Tunnel Spinach</t>
        </is>
      </c>
      <c r="C191" s="45" t="n">
        <v>0</v>
      </c>
      <c r="D191" s="46" t="n">
        <v>0</v>
      </c>
      <c r="F191" s="47" t="inlineStr">
        <is>
          <t>P</t>
        </is>
      </c>
      <c r="G191" s="47" t="inlineStr">
        <is>
          <t>G</t>
        </is>
      </c>
      <c r="H191" s="47" t="inlineStr">
        <is>
          <t>G</t>
        </is>
      </c>
      <c r="I191" s="47" t="inlineStr">
        <is>
          <t>G</t>
        </is>
      </c>
      <c r="J191" s="47" t="inlineStr">
        <is>
          <t>G</t>
        </is>
      </c>
      <c r="K191" s="47" t="inlineStr">
        <is>
          <t>G</t>
        </is>
      </c>
      <c r="L191" s="47" t="inlineStr">
        <is>
          <t>H</t>
        </is>
      </c>
      <c r="M191" s="47" t="inlineStr">
        <is>
          <t>H</t>
        </is>
      </c>
      <c r="BE191" s="48">
        <f>D191*$B$6*IF($S$20="Y",1,0)</f>
        <v/>
      </c>
      <c r="BF191" s="48">
        <f>D191*$I$20</f>
        <v/>
      </c>
      <c r="BG191" s="49">
        <f>MATCH("P",$E191:$BD191,0)</f>
        <v/>
      </c>
      <c r="BH191" s="33" t="inlineStr">
        <is>
          <t>High tunnel</t>
        </is>
      </c>
      <c r="BI191" s="33">
        <f>$Q$20</f>
        <v/>
      </c>
    </row>
    <row r="192">
      <c r="A192" s="33" t="inlineStr">
        <is>
          <t>Tunnel Spinach W03</t>
        </is>
      </c>
      <c r="B192" s="33" t="inlineStr">
        <is>
          <t>Tunnel Spinach</t>
        </is>
      </c>
      <c r="C192" s="45" t="n">
        <v>0</v>
      </c>
      <c r="D192" s="46" t="n">
        <v>0</v>
      </c>
      <c r="G192" s="47" t="inlineStr">
        <is>
          <t>P</t>
        </is>
      </c>
      <c r="H192" s="47" t="inlineStr">
        <is>
          <t>G</t>
        </is>
      </c>
      <c r="I192" s="47" t="inlineStr">
        <is>
          <t>G</t>
        </is>
      </c>
      <c r="J192" s="47" t="inlineStr">
        <is>
          <t>G</t>
        </is>
      </c>
      <c r="K192" s="47" t="inlineStr">
        <is>
          <t>G</t>
        </is>
      </c>
      <c r="L192" s="47" t="inlineStr">
        <is>
          <t>G</t>
        </is>
      </c>
      <c r="M192" s="47" t="inlineStr">
        <is>
          <t>H</t>
        </is>
      </c>
      <c r="N192" s="47" t="inlineStr">
        <is>
          <t>H</t>
        </is>
      </c>
      <c r="BE192" s="48">
        <f>D192*$B$6*IF($S$20="Y",1,0)</f>
        <v/>
      </c>
      <c r="BF192" s="48">
        <f>D192*$I$20</f>
        <v/>
      </c>
      <c r="BG192" s="49">
        <f>MATCH("P",$E192:$BD192,0)</f>
        <v/>
      </c>
      <c r="BH192" s="33" t="inlineStr">
        <is>
          <t>High tunnel</t>
        </is>
      </c>
      <c r="BI192" s="33">
        <f>$Q$20</f>
        <v/>
      </c>
    </row>
    <row r="193">
      <c r="A193" s="33" t="inlineStr">
        <is>
          <t>Tunnel Spinach W04</t>
        </is>
      </c>
      <c r="B193" s="33" t="inlineStr">
        <is>
          <t>Tunnel Spinach</t>
        </is>
      </c>
      <c r="C193" s="45" t="n">
        <v>0</v>
      </c>
      <c r="D193" s="46" t="n">
        <v>0</v>
      </c>
      <c r="H193" s="47" t="inlineStr">
        <is>
          <t>P</t>
        </is>
      </c>
      <c r="I193" s="47" t="inlineStr">
        <is>
          <t>G</t>
        </is>
      </c>
      <c r="J193" s="47" t="inlineStr">
        <is>
          <t>G</t>
        </is>
      </c>
      <c r="K193" s="47" t="inlineStr">
        <is>
          <t>G</t>
        </is>
      </c>
      <c r="L193" s="47" t="inlineStr">
        <is>
          <t>G</t>
        </is>
      </c>
      <c r="M193" s="47" t="inlineStr">
        <is>
          <t>G</t>
        </is>
      </c>
      <c r="N193" s="47" t="inlineStr">
        <is>
          <t>H</t>
        </is>
      </c>
      <c r="O193" s="47" t="inlineStr">
        <is>
          <t>H</t>
        </is>
      </c>
      <c r="BE193" s="48">
        <f>D193*$B$6*IF($S$20="Y",1,0)</f>
        <v/>
      </c>
      <c r="BF193" s="48">
        <f>D193*$I$20</f>
        <v/>
      </c>
      <c r="BG193" s="49">
        <f>MATCH("P",$E193:$BD193,0)</f>
        <v/>
      </c>
      <c r="BH193" s="33" t="inlineStr">
        <is>
          <t>High tunnel</t>
        </is>
      </c>
      <c r="BI193" s="33">
        <f>$Q$20</f>
        <v/>
      </c>
    </row>
    <row r="194">
      <c r="A194" s="33" t="inlineStr">
        <is>
          <t>Tunnel Spinach W05</t>
        </is>
      </c>
      <c r="B194" s="33" t="inlineStr">
        <is>
          <t>Tunnel Spinach</t>
        </is>
      </c>
      <c r="C194" s="45" t="n">
        <v>0</v>
      </c>
      <c r="D194" s="46" t="n">
        <v>0</v>
      </c>
      <c r="I194" s="47" t="inlineStr">
        <is>
          <t>P</t>
        </is>
      </c>
      <c r="J194" s="47" t="inlineStr">
        <is>
          <t>G</t>
        </is>
      </c>
      <c r="K194" s="47" t="inlineStr">
        <is>
          <t>G</t>
        </is>
      </c>
      <c r="L194" s="47" t="inlineStr">
        <is>
          <t>G</t>
        </is>
      </c>
      <c r="M194" s="47" t="inlineStr">
        <is>
          <t>G</t>
        </is>
      </c>
      <c r="N194" s="47" t="inlineStr">
        <is>
          <t>G</t>
        </is>
      </c>
      <c r="O194" s="47" t="inlineStr">
        <is>
          <t>H</t>
        </is>
      </c>
      <c r="P194" s="47" t="inlineStr">
        <is>
          <t>H</t>
        </is>
      </c>
      <c r="BE194" s="48">
        <f>D194*$B$6*IF($S$20="Y",1,0)</f>
        <v/>
      </c>
      <c r="BF194" s="48">
        <f>D194*$I$20</f>
        <v/>
      </c>
      <c r="BG194" s="49">
        <f>MATCH("P",$E194:$BD194,0)</f>
        <v/>
      </c>
      <c r="BH194" s="33" t="inlineStr">
        <is>
          <t>High tunnel</t>
        </is>
      </c>
      <c r="BI194" s="33">
        <f>$Q$20</f>
        <v/>
      </c>
    </row>
    <row r="195">
      <c r="A195" s="33" t="inlineStr">
        <is>
          <t>Tunnel Spinach W06</t>
        </is>
      </c>
      <c r="B195" s="33" t="inlineStr">
        <is>
          <t>Tunnel Spinach</t>
        </is>
      </c>
      <c r="C195" s="45" t="n">
        <v>0</v>
      </c>
      <c r="D195" s="46" t="n">
        <v>0</v>
      </c>
      <c r="J195" s="47" t="inlineStr">
        <is>
          <t>P</t>
        </is>
      </c>
      <c r="K195" s="47" t="inlineStr">
        <is>
          <t>G</t>
        </is>
      </c>
      <c r="L195" s="47" t="inlineStr">
        <is>
          <t>G</t>
        </is>
      </c>
      <c r="M195" s="47" t="inlineStr">
        <is>
          <t>G</t>
        </is>
      </c>
      <c r="N195" s="47" t="inlineStr">
        <is>
          <t>G</t>
        </is>
      </c>
      <c r="O195" s="47" t="inlineStr">
        <is>
          <t>G</t>
        </is>
      </c>
      <c r="P195" s="47" t="inlineStr">
        <is>
          <t>H</t>
        </is>
      </c>
      <c r="Q195" s="47" t="inlineStr">
        <is>
          <t>H</t>
        </is>
      </c>
      <c r="BE195" s="48">
        <f>D195*$B$6*IF($S$20="Y",1,0)</f>
        <v/>
      </c>
      <c r="BF195" s="48">
        <f>D195*$I$20</f>
        <v/>
      </c>
      <c r="BG195" s="49">
        <f>MATCH("P",$E195:$BD195,0)</f>
        <v/>
      </c>
      <c r="BH195" s="33" t="inlineStr">
        <is>
          <t>High tunnel</t>
        </is>
      </c>
      <c r="BI195" s="33">
        <f>$Q$20</f>
        <v/>
      </c>
    </row>
    <row r="196">
      <c r="A196" s="33" t="inlineStr">
        <is>
          <t>Tunnel Spinach W07</t>
        </is>
      </c>
      <c r="B196" s="33" t="inlineStr">
        <is>
          <t>Tunnel Spinach</t>
        </is>
      </c>
      <c r="C196" s="45" t="n">
        <v>0</v>
      </c>
      <c r="D196" s="46" t="n">
        <v>0</v>
      </c>
      <c r="K196" s="47" t="inlineStr">
        <is>
          <t>P</t>
        </is>
      </c>
      <c r="L196" s="47" t="inlineStr">
        <is>
          <t>G</t>
        </is>
      </c>
      <c r="M196" s="47" t="inlineStr">
        <is>
          <t>G</t>
        </is>
      </c>
      <c r="N196" s="47" t="inlineStr">
        <is>
          <t>G</t>
        </is>
      </c>
      <c r="O196" s="47" t="inlineStr">
        <is>
          <t>G</t>
        </is>
      </c>
      <c r="P196" s="47" t="inlineStr">
        <is>
          <t>G</t>
        </is>
      </c>
      <c r="Q196" s="47" t="inlineStr">
        <is>
          <t>H</t>
        </is>
      </c>
      <c r="R196" s="47" t="inlineStr">
        <is>
          <t>H</t>
        </is>
      </c>
      <c r="BE196" s="48">
        <f>D196*$B$6*IF($S$20="Y",1,0)</f>
        <v/>
      </c>
      <c r="BF196" s="48">
        <f>D196*$I$20</f>
        <v/>
      </c>
      <c r="BG196" s="49">
        <f>MATCH("P",$E196:$BD196,0)</f>
        <v/>
      </c>
      <c r="BH196" s="33" t="inlineStr">
        <is>
          <t>High tunnel</t>
        </is>
      </c>
      <c r="BI196" s="33">
        <f>$Q$20</f>
        <v/>
      </c>
    </row>
    <row r="197">
      <c r="A197" s="33" t="inlineStr">
        <is>
          <t>Tunnel Spinach W08</t>
        </is>
      </c>
      <c r="B197" s="33" t="inlineStr">
        <is>
          <t>Tunnel Spinach</t>
        </is>
      </c>
      <c r="C197" s="45" t="n">
        <v>0</v>
      </c>
      <c r="D197" s="46" t="n">
        <v>0</v>
      </c>
      <c r="L197" s="47" t="inlineStr">
        <is>
          <t>P</t>
        </is>
      </c>
      <c r="M197" s="47" t="inlineStr">
        <is>
          <t>G</t>
        </is>
      </c>
      <c r="N197" s="47" t="inlineStr">
        <is>
          <t>G</t>
        </is>
      </c>
      <c r="O197" s="47" t="inlineStr">
        <is>
          <t>G</t>
        </is>
      </c>
      <c r="P197" s="47" t="inlineStr">
        <is>
          <t>G</t>
        </is>
      </c>
      <c r="Q197" s="47" t="inlineStr">
        <is>
          <t>G</t>
        </is>
      </c>
      <c r="R197" s="47" t="inlineStr">
        <is>
          <t>H</t>
        </is>
      </c>
      <c r="S197" s="47" t="inlineStr">
        <is>
          <t>H</t>
        </is>
      </c>
      <c r="BE197" s="48">
        <f>D197*$B$6*IF($S$20="Y",1,0)</f>
        <v/>
      </c>
      <c r="BF197" s="48">
        <f>D197*$I$20</f>
        <v/>
      </c>
      <c r="BG197" s="49">
        <f>MATCH("P",$E197:$BD197,0)</f>
        <v/>
      </c>
      <c r="BH197" s="33" t="inlineStr">
        <is>
          <t>High tunnel</t>
        </is>
      </c>
      <c r="BI197" s="33">
        <f>$Q$20</f>
        <v/>
      </c>
    </row>
    <row r="198">
      <c r="A198" s="33" t="inlineStr">
        <is>
          <t>Tunnel Spinach W09</t>
        </is>
      </c>
      <c r="B198" s="33" t="inlineStr">
        <is>
          <t>Tunnel Spinach</t>
        </is>
      </c>
      <c r="C198" s="45" t="n">
        <v>0</v>
      </c>
      <c r="D198" s="46" t="n">
        <v>0</v>
      </c>
      <c r="M198" s="47" t="inlineStr">
        <is>
          <t>P</t>
        </is>
      </c>
      <c r="N198" s="47" t="inlineStr">
        <is>
          <t>G</t>
        </is>
      </c>
      <c r="O198" s="47" t="inlineStr">
        <is>
          <t>G</t>
        </is>
      </c>
      <c r="P198" s="47" t="inlineStr">
        <is>
          <t>G</t>
        </is>
      </c>
      <c r="Q198" s="47" t="inlineStr">
        <is>
          <t>G</t>
        </is>
      </c>
      <c r="R198" s="47" t="inlineStr">
        <is>
          <t>G</t>
        </is>
      </c>
      <c r="S198" s="47" t="inlineStr">
        <is>
          <t>H</t>
        </is>
      </c>
      <c r="T198" s="47" t="inlineStr">
        <is>
          <t>H</t>
        </is>
      </c>
      <c r="BE198" s="48">
        <f>D198*$B$6*IF($S$20="Y",1,0)</f>
        <v/>
      </c>
      <c r="BF198" s="48">
        <f>D198*$I$20</f>
        <v/>
      </c>
      <c r="BG198" s="49">
        <f>MATCH("P",$E198:$BD198,0)</f>
        <v/>
      </c>
      <c r="BH198" s="33" t="inlineStr">
        <is>
          <t>High tunnel</t>
        </is>
      </c>
      <c r="BI198" s="33">
        <f>$Q$20</f>
        <v/>
      </c>
    </row>
    <row r="199">
      <c r="A199" s="33" t="inlineStr">
        <is>
          <t>Tunnel Spinach W10</t>
        </is>
      </c>
      <c r="B199" s="33" t="inlineStr">
        <is>
          <t>Tunnel Spinach</t>
        </is>
      </c>
      <c r="C199" s="45" t="n">
        <v>0</v>
      </c>
      <c r="D199" s="46" t="n">
        <v>0</v>
      </c>
      <c r="N199" s="47" t="inlineStr">
        <is>
          <t>P</t>
        </is>
      </c>
      <c r="O199" s="47" t="inlineStr">
        <is>
          <t>G</t>
        </is>
      </c>
      <c r="P199" s="47" t="inlineStr">
        <is>
          <t>G</t>
        </is>
      </c>
      <c r="Q199" s="47" t="inlineStr">
        <is>
          <t>G</t>
        </is>
      </c>
      <c r="R199" s="47" t="inlineStr">
        <is>
          <t>G</t>
        </is>
      </c>
      <c r="S199" s="47" t="inlineStr">
        <is>
          <t>G</t>
        </is>
      </c>
      <c r="T199" s="47" t="inlineStr">
        <is>
          <t>H</t>
        </is>
      </c>
      <c r="U199" s="47" t="inlineStr">
        <is>
          <t>H</t>
        </is>
      </c>
      <c r="BE199" s="48">
        <f>D199*$B$6*IF($S$20="Y",1,0)</f>
        <v/>
      </c>
      <c r="BF199" s="48">
        <f>D199*$I$20</f>
        <v/>
      </c>
      <c r="BG199" s="49">
        <f>MATCH("P",$E199:$BD199,0)</f>
        <v/>
      </c>
      <c r="BH199" s="33" t="inlineStr">
        <is>
          <t>High tunnel</t>
        </is>
      </c>
      <c r="BI199" s="33">
        <f>$Q$20</f>
        <v/>
      </c>
    </row>
    <row r="200">
      <c r="A200" s="33" t="inlineStr">
        <is>
          <t>Tunnel Spinach W11</t>
        </is>
      </c>
      <c r="B200" s="33" t="inlineStr">
        <is>
          <t>Tunnel Spinach</t>
        </is>
      </c>
      <c r="C200" s="45" t="n">
        <v>0</v>
      </c>
      <c r="D200" s="46" t="n">
        <v>0</v>
      </c>
      <c r="O200" s="47" t="inlineStr">
        <is>
          <t>P</t>
        </is>
      </c>
      <c r="P200" s="47" t="inlineStr">
        <is>
          <t>G</t>
        </is>
      </c>
      <c r="Q200" s="47" t="inlineStr">
        <is>
          <t>G</t>
        </is>
      </c>
      <c r="R200" s="47" t="inlineStr">
        <is>
          <t>G</t>
        </is>
      </c>
      <c r="S200" s="47" t="inlineStr">
        <is>
          <t>G</t>
        </is>
      </c>
      <c r="T200" s="47" t="inlineStr">
        <is>
          <t>G</t>
        </is>
      </c>
      <c r="U200" s="47" t="inlineStr">
        <is>
          <t>H</t>
        </is>
      </c>
      <c r="V200" s="47" t="inlineStr">
        <is>
          <t>H</t>
        </is>
      </c>
      <c r="BE200" s="48">
        <f>D200*$B$6*IF($S$20="Y",1,0)</f>
        <v/>
      </c>
      <c r="BF200" s="48">
        <f>D200*$I$20</f>
        <v/>
      </c>
      <c r="BG200" s="49">
        <f>MATCH("P",$E200:$BD200,0)</f>
        <v/>
      </c>
      <c r="BH200" s="33" t="inlineStr">
        <is>
          <t>High tunnel</t>
        </is>
      </c>
      <c r="BI200" s="33">
        <f>$Q$20</f>
        <v/>
      </c>
    </row>
    <row r="201">
      <c r="A201" s="33" t="inlineStr">
        <is>
          <t>Tunnel Spinach W12</t>
        </is>
      </c>
      <c r="B201" s="33" t="inlineStr">
        <is>
          <t>Tunnel Spinach</t>
        </is>
      </c>
      <c r="C201" s="45" t="n">
        <v>0</v>
      </c>
      <c r="D201" s="46" t="n">
        <v>0</v>
      </c>
      <c r="P201" s="47" t="inlineStr">
        <is>
          <t>P</t>
        </is>
      </c>
      <c r="Q201" s="47" t="inlineStr">
        <is>
          <t>G</t>
        </is>
      </c>
      <c r="R201" s="47" t="inlineStr">
        <is>
          <t>G</t>
        </is>
      </c>
      <c r="S201" s="47" t="inlineStr">
        <is>
          <t>G</t>
        </is>
      </c>
      <c r="T201" s="47" t="inlineStr">
        <is>
          <t>G</t>
        </is>
      </c>
      <c r="U201" s="47" t="inlineStr">
        <is>
          <t>G</t>
        </is>
      </c>
      <c r="V201" s="47" t="inlineStr">
        <is>
          <t>H</t>
        </is>
      </c>
      <c r="W201" s="47" t="inlineStr">
        <is>
          <t>H</t>
        </is>
      </c>
      <c r="BE201" s="48">
        <f>D201*$B$6*IF($S$20="Y",1,0)</f>
        <v/>
      </c>
      <c r="BF201" s="48">
        <f>D201*$I$20</f>
        <v/>
      </c>
      <c r="BG201" s="49">
        <f>MATCH("P",$E201:$BD201,0)</f>
        <v/>
      </c>
      <c r="BH201" s="33" t="inlineStr">
        <is>
          <t>High tunnel</t>
        </is>
      </c>
      <c r="BI201" s="33">
        <f>$Q$20</f>
        <v/>
      </c>
    </row>
    <row r="202">
      <c r="A202" s="33" t="inlineStr">
        <is>
          <t>Tunnel Spinach W13</t>
        </is>
      </c>
      <c r="B202" s="33" t="inlineStr">
        <is>
          <t>Tunnel Spinach</t>
        </is>
      </c>
      <c r="C202" s="45" t="n">
        <v>0</v>
      </c>
      <c r="D202" s="46" t="n">
        <v>0</v>
      </c>
      <c r="Q202" s="47" t="inlineStr">
        <is>
          <t>P</t>
        </is>
      </c>
      <c r="R202" s="47" t="inlineStr">
        <is>
          <t>G</t>
        </is>
      </c>
      <c r="S202" s="47" t="inlineStr">
        <is>
          <t>G</t>
        </is>
      </c>
      <c r="T202" s="47" t="inlineStr">
        <is>
          <t>G</t>
        </is>
      </c>
      <c r="U202" s="47" t="inlineStr">
        <is>
          <t>G</t>
        </is>
      </c>
      <c r="V202" s="47" t="inlineStr">
        <is>
          <t>G</t>
        </is>
      </c>
      <c r="W202" s="47" t="inlineStr">
        <is>
          <t>H</t>
        </is>
      </c>
      <c r="X202" s="47" t="inlineStr">
        <is>
          <t>H</t>
        </is>
      </c>
      <c r="BE202" s="48">
        <f>D202*$B$6*IF($S$20="Y",1,0)</f>
        <v/>
      </c>
      <c r="BF202" s="48">
        <f>D202*$I$20</f>
        <v/>
      </c>
      <c r="BG202" s="49">
        <f>MATCH("P",$E202:$BD202,0)</f>
        <v/>
      </c>
      <c r="BH202" s="33" t="inlineStr">
        <is>
          <t>High tunnel</t>
        </is>
      </c>
      <c r="BI202" s="33">
        <f>$Q$20</f>
        <v/>
      </c>
    </row>
    <row r="203">
      <c r="A203" s="33" t="inlineStr">
        <is>
          <t>Tunnel Spinach W14</t>
        </is>
      </c>
      <c r="B203" s="33" t="inlineStr">
        <is>
          <t>Tunnel Spinach</t>
        </is>
      </c>
      <c r="C203" s="45" t="n">
        <v>0</v>
      </c>
      <c r="D203" s="46" t="n">
        <v>0</v>
      </c>
      <c r="R203" s="47" t="inlineStr">
        <is>
          <t>P</t>
        </is>
      </c>
      <c r="S203" s="47" t="inlineStr">
        <is>
          <t>G</t>
        </is>
      </c>
      <c r="T203" s="47" t="inlineStr">
        <is>
          <t>G</t>
        </is>
      </c>
      <c r="U203" s="47" t="inlineStr">
        <is>
          <t>G</t>
        </is>
      </c>
      <c r="V203" s="47" t="inlineStr">
        <is>
          <t>G</t>
        </is>
      </c>
      <c r="W203" s="47" t="inlineStr">
        <is>
          <t>G</t>
        </is>
      </c>
      <c r="X203" s="47" t="inlineStr">
        <is>
          <t>H</t>
        </is>
      </c>
      <c r="Y203" s="47" t="inlineStr">
        <is>
          <t>H</t>
        </is>
      </c>
      <c r="BE203" s="48">
        <f>D203*$B$6*IF($S$20="Y",1,0)</f>
        <v/>
      </c>
      <c r="BF203" s="48">
        <f>D203*$I$20</f>
        <v/>
      </c>
      <c r="BG203" s="49">
        <f>MATCH("P",$E203:$BD203,0)</f>
        <v/>
      </c>
      <c r="BH203" s="33" t="inlineStr">
        <is>
          <t>High tunnel</t>
        </is>
      </c>
      <c r="BI203" s="33">
        <f>$Q$20</f>
        <v/>
      </c>
    </row>
    <row r="204">
      <c r="A204" s="33" t="inlineStr">
        <is>
          <t>Tunnel Spinach W15</t>
        </is>
      </c>
      <c r="B204" s="33" t="inlineStr">
        <is>
          <t>Tunnel Spinach</t>
        </is>
      </c>
      <c r="C204" s="45" t="n">
        <v>0</v>
      </c>
      <c r="D204" s="46" t="n">
        <v>0</v>
      </c>
      <c r="S204" s="47" t="inlineStr">
        <is>
          <t>P</t>
        </is>
      </c>
      <c r="T204" s="47" t="inlineStr">
        <is>
          <t>G</t>
        </is>
      </c>
      <c r="U204" s="47" t="inlineStr">
        <is>
          <t>G</t>
        </is>
      </c>
      <c r="V204" s="47" t="inlineStr">
        <is>
          <t>G</t>
        </is>
      </c>
      <c r="W204" s="47" t="inlineStr">
        <is>
          <t>G</t>
        </is>
      </c>
      <c r="X204" s="47" t="inlineStr">
        <is>
          <t>G</t>
        </is>
      </c>
      <c r="Y204" s="47" t="inlineStr">
        <is>
          <t>H</t>
        </is>
      </c>
      <c r="Z204" s="47" t="inlineStr">
        <is>
          <t>H</t>
        </is>
      </c>
      <c r="BE204" s="48">
        <f>D204*$B$6*IF($S$20="Y",1,0)</f>
        <v/>
      </c>
      <c r="BF204" s="48">
        <f>D204*$I$20</f>
        <v/>
      </c>
      <c r="BG204" s="49">
        <f>MATCH("P",$E204:$BD204,0)</f>
        <v/>
      </c>
      <c r="BH204" s="33" t="inlineStr">
        <is>
          <t>High tunnel</t>
        </is>
      </c>
      <c r="BI204" s="33">
        <f>$Q$20</f>
        <v/>
      </c>
    </row>
    <row r="205">
      <c r="A205" s="33" t="inlineStr">
        <is>
          <t>Tunnel Spinach W16</t>
        </is>
      </c>
      <c r="B205" s="33" t="inlineStr">
        <is>
          <t>Tunnel Spinach</t>
        </is>
      </c>
      <c r="C205" s="45" t="n">
        <v>0</v>
      </c>
      <c r="D205" s="46" t="n">
        <v>0</v>
      </c>
      <c r="T205" s="47" t="inlineStr">
        <is>
          <t>P</t>
        </is>
      </c>
      <c r="U205" s="47" t="inlineStr">
        <is>
          <t>G</t>
        </is>
      </c>
      <c r="V205" s="47" t="inlineStr">
        <is>
          <t>G</t>
        </is>
      </c>
      <c r="W205" s="47" t="inlineStr">
        <is>
          <t>G</t>
        </is>
      </c>
      <c r="X205" s="47" t="inlineStr">
        <is>
          <t>G</t>
        </is>
      </c>
      <c r="Y205" s="47" t="inlineStr">
        <is>
          <t>G</t>
        </is>
      </c>
      <c r="Z205" s="47" t="inlineStr">
        <is>
          <t>H</t>
        </is>
      </c>
      <c r="AA205" s="47" t="inlineStr">
        <is>
          <t>H</t>
        </is>
      </c>
      <c r="BE205" s="48">
        <f>D205*$B$6*IF($S$20="Y",1,0)</f>
        <v/>
      </c>
      <c r="BF205" s="48">
        <f>D205*$I$20</f>
        <v/>
      </c>
      <c r="BG205" s="49">
        <f>MATCH("P",$E205:$BD205,0)</f>
        <v/>
      </c>
      <c r="BH205" s="33" t="inlineStr">
        <is>
          <t>High tunnel</t>
        </is>
      </c>
      <c r="BI205" s="33">
        <f>$Q$20</f>
        <v/>
      </c>
    </row>
    <row r="206">
      <c r="A206" s="33" t="inlineStr">
        <is>
          <t>Tunnel Spinach W17</t>
        </is>
      </c>
      <c r="B206" s="33" t="inlineStr">
        <is>
          <t>Tunnel Spinach</t>
        </is>
      </c>
      <c r="C206" s="45" t="n">
        <v>0</v>
      </c>
      <c r="D206" s="46" t="n">
        <v>0</v>
      </c>
      <c r="U206" s="47" t="inlineStr">
        <is>
          <t>P</t>
        </is>
      </c>
      <c r="V206" s="47" t="inlineStr">
        <is>
          <t>G</t>
        </is>
      </c>
      <c r="W206" s="47" t="inlineStr">
        <is>
          <t>G</t>
        </is>
      </c>
      <c r="X206" s="47" t="inlineStr">
        <is>
          <t>G</t>
        </is>
      </c>
      <c r="Y206" s="47" t="inlineStr">
        <is>
          <t>G</t>
        </is>
      </c>
      <c r="Z206" s="47" t="inlineStr">
        <is>
          <t>G</t>
        </is>
      </c>
      <c r="AA206" s="47" t="inlineStr">
        <is>
          <t>H</t>
        </is>
      </c>
      <c r="AB206" s="47" t="inlineStr">
        <is>
          <t>H</t>
        </is>
      </c>
      <c r="BE206" s="48">
        <f>D206*$B$6*IF($S$20="Y",1,0)</f>
        <v/>
      </c>
      <c r="BF206" s="48">
        <f>D206*$I$20</f>
        <v/>
      </c>
      <c r="BG206" s="49">
        <f>MATCH("P",$E206:$BD206,0)</f>
        <v/>
      </c>
      <c r="BH206" s="33" t="inlineStr">
        <is>
          <t>High tunnel</t>
        </is>
      </c>
      <c r="BI206" s="33">
        <f>$Q$20</f>
        <v/>
      </c>
    </row>
    <row r="207">
      <c r="A207" s="33" t="inlineStr">
        <is>
          <t>Tunnel Spinach W18</t>
        </is>
      </c>
      <c r="B207" s="33" t="inlineStr">
        <is>
          <t>Tunnel Spinach</t>
        </is>
      </c>
      <c r="C207" s="45" t="n">
        <v>0</v>
      </c>
      <c r="D207" s="46" t="n">
        <v>0</v>
      </c>
      <c r="V207" s="47" t="inlineStr">
        <is>
          <t>P</t>
        </is>
      </c>
      <c r="W207" s="47" t="inlineStr">
        <is>
          <t>G</t>
        </is>
      </c>
      <c r="X207" s="47" t="inlineStr">
        <is>
          <t>G</t>
        </is>
      </c>
      <c r="Y207" s="47" t="inlineStr">
        <is>
          <t>G</t>
        </is>
      </c>
      <c r="Z207" s="47" t="inlineStr">
        <is>
          <t>G</t>
        </is>
      </c>
      <c r="AA207" s="47" t="inlineStr">
        <is>
          <t>G</t>
        </is>
      </c>
      <c r="AB207" s="47" t="inlineStr">
        <is>
          <t>H</t>
        </is>
      </c>
      <c r="AC207" s="47" t="inlineStr">
        <is>
          <t>H</t>
        </is>
      </c>
      <c r="BE207" s="48">
        <f>D207*$B$6*IF($S$20="Y",1,0)</f>
        <v/>
      </c>
      <c r="BF207" s="48">
        <f>D207*$I$20</f>
        <v/>
      </c>
      <c r="BG207" s="49">
        <f>MATCH("P",$E207:$BD207,0)</f>
        <v/>
      </c>
      <c r="BH207" s="33" t="inlineStr">
        <is>
          <t>High tunnel</t>
        </is>
      </c>
      <c r="BI207" s="33">
        <f>$Q$20</f>
        <v/>
      </c>
    </row>
    <row r="208">
      <c r="A208" s="33" t="inlineStr">
        <is>
          <t>Tunnel Spinach W19</t>
        </is>
      </c>
      <c r="B208" s="33" t="inlineStr">
        <is>
          <t>Tunnel Spinach</t>
        </is>
      </c>
      <c r="C208" s="45" t="n">
        <v>0</v>
      </c>
      <c r="D208" s="46" t="n">
        <v>0</v>
      </c>
      <c r="W208" s="47" t="inlineStr">
        <is>
          <t>P</t>
        </is>
      </c>
      <c r="X208" s="47" t="inlineStr">
        <is>
          <t>G</t>
        </is>
      </c>
      <c r="Y208" s="47" t="inlineStr">
        <is>
          <t>G</t>
        </is>
      </c>
      <c r="Z208" s="47" t="inlineStr">
        <is>
          <t>G</t>
        </is>
      </c>
      <c r="AA208" s="47" t="inlineStr">
        <is>
          <t>G</t>
        </is>
      </c>
      <c r="AB208" s="47" t="inlineStr">
        <is>
          <t>G</t>
        </is>
      </c>
      <c r="AC208" s="47" t="inlineStr">
        <is>
          <t>H</t>
        </is>
      </c>
      <c r="AD208" s="47" t="inlineStr">
        <is>
          <t>H</t>
        </is>
      </c>
      <c r="BE208" s="48">
        <f>D208*$B$6*IF($S$20="Y",1,0)</f>
        <v/>
      </c>
      <c r="BF208" s="48">
        <f>D208*$I$20</f>
        <v/>
      </c>
      <c r="BG208" s="49">
        <f>MATCH("P",$E208:$BD208,0)</f>
        <v/>
      </c>
      <c r="BH208" s="33" t="inlineStr">
        <is>
          <t>High tunnel</t>
        </is>
      </c>
      <c r="BI208" s="33">
        <f>$Q$20</f>
        <v/>
      </c>
    </row>
    <row r="209">
      <c r="A209" s="33" t="inlineStr">
        <is>
          <t>Tunnel Spinach W20</t>
        </is>
      </c>
      <c r="B209" s="33" t="inlineStr">
        <is>
          <t>Tunnel Spinach</t>
        </is>
      </c>
      <c r="C209" s="45" t="n">
        <v>0</v>
      </c>
      <c r="D209" s="46" t="n">
        <v>0</v>
      </c>
      <c r="X209" s="47" t="inlineStr">
        <is>
          <t>P</t>
        </is>
      </c>
      <c r="Y209" s="47" t="inlineStr">
        <is>
          <t>G</t>
        </is>
      </c>
      <c r="Z209" s="47" t="inlineStr">
        <is>
          <t>G</t>
        </is>
      </c>
      <c r="AA209" s="47" t="inlineStr">
        <is>
          <t>G</t>
        </is>
      </c>
      <c r="AB209" s="47" t="inlineStr">
        <is>
          <t>G</t>
        </is>
      </c>
      <c r="AC209" s="47" t="inlineStr">
        <is>
          <t>G</t>
        </is>
      </c>
      <c r="AD209" s="47" t="inlineStr">
        <is>
          <t>H</t>
        </is>
      </c>
      <c r="AE209" s="47" t="inlineStr">
        <is>
          <t>H</t>
        </is>
      </c>
      <c r="BE209" s="48">
        <f>D209*$B$6*IF($S$20="Y",1,0)</f>
        <v/>
      </c>
      <c r="BF209" s="48">
        <f>D209*$I$20</f>
        <v/>
      </c>
      <c r="BG209" s="49">
        <f>MATCH("P",$E209:$BD209,0)</f>
        <v/>
      </c>
      <c r="BH209" s="33" t="inlineStr">
        <is>
          <t>High tunnel</t>
        </is>
      </c>
      <c r="BI209" s="33">
        <f>$Q$20</f>
        <v/>
      </c>
    </row>
    <row r="210">
      <c r="A210" s="33" t="inlineStr">
        <is>
          <t>Tunnel Spinach W21</t>
        </is>
      </c>
      <c r="B210" s="33" t="inlineStr">
        <is>
          <t>Tunnel Spinach</t>
        </is>
      </c>
      <c r="C210" s="45" t="n">
        <v>0</v>
      </c>
      <c r="D210" s="46" t="n">
        <v>0</v>
      </c>
      <c r="Y210" s="47" t="inlineStr">
        <is>
          <t>P</t>
        </is>
      </c>
      <c r="Z210" s="47" t="inlineStr">
        <is>
          <t>G</t>
        </is>
      </c>
      <c r="AA210" s="47" t="inlineStr">
        <is>
          <t>G</t>
        </is>
      </c>
      <c r="AB210" s="47" t="inlineStr">
        <is>
          <t>G</t>
        </is>
      </c>
      <c r="AC210" s="47" t="inlineStr">
        <is>
          <t>G</t>
        </is>
      </c>
      <c r="AD210" s="47" t="inlineStr">
        <is>
          <t>G</t>
        </is>
      </c>
      <c r="AE210" s="47" t="inlineStr">
        <is>
          <t>H</t>
        </is>
      </c>
      <c r="AF210" s="47" t="inlineStr">
        <is>
          <t>H</t>
        </is>
      </c>
      <c r="BE210" s="48">
        <f>D210*$B$6*IF($S$20="Y",1,0)</f>
        <v/>
      </c>
      <c r="BF210" s="48">
        <f>D210*$I$20</f>
        <v/>
      </c>
      <c r="BG210" s="49">
        <f>MATCH("P",$E210:$BD210,0)</f>
        <v/>
      </c>
      <c r="BH210" s="33" t="inlineStr">
        <is>
          <t>High tunnel</t>
        </is>
      </c>
      <c r="BI210" s="33">
        <f>$Q$20</f>
        <v/>
      </c>
    </row>
    <row r="211">
      <c r="A211" s="33" t="inlineStr">
        <is>
          <t>Tunnel Spinach W22</t>
        </is>
      </c>
      <c r="B211" s="33" t="inlineStr">
        <is>
          <t>Tunnel Spinach</t>
        </is>
      </c>
      <c r="C211" s="45" t="n">
        <v>0</v>
      </c>
      <c r="D211" s="46" t="n">
        <v>0</v>
      </c>
      <c r="Z211" s="47" t="inlineStr">
        <is>
          <t>P</t>
        </is>
      </c>
      <c r="AA211" s="47" t="inlineStr">
        <is>
          <t>G</t>
        </is>
      </c>
      <c r="AB211" s="47" t="inlineStr">
        <is>
          <t>G</t>
        </is>
      </c>
      <c r="AC211" s="47" t="inlineStr">
        <is>
          <t>G</t>
        </is>
      </c>
      <c r="AD211" s="47" t="inlineStr">
        <is>
          <t>G</t>
        </is>
      </c>
      <c r="AE211" s="47" t="inlineStr">
        <is>
          <t>G</t>
        </is>
      </c>
      <c r="AF211" s="47" t="inlineStr">
        <is>
          <t>H</t>
        </is>
      </c>
      <c r="AG211" s="47" t="inlineStr">
        <is>
          <t>H</t>
        </is>
      </c>
      <c r="BE211" s="48">
        <f>D211*$B$6*IF($S$20="Y",1,0)</f>
        <v/>
      </c>
      <c r="BF211" s="48">
        <f>D211*$I$20</f>
        <v/>
      </c>
      <c r="BG211" s="49">
        <f>MATCH("P",$E211:$BD211,0)</f>
        <v/>
      </c>
      <c r="BH211" s="33" t="inlineStr">
        <is>
          <t>High tunnel</t>
        </is>
      </c>
      <c r="BI211" s="33">
        <f>$Q$20</f>
        <v/>
      </c>
    </row>
    <row r="212">
      <c r="A212" s="33" t="inlineStr">
        <is>
          <t>Tunnel Spinach W23</t>
        </is>
      </c>
      <c r="B212" s="33" t="inlineStr">
        <is>
          <t>Tunnel Spinach</t>
        </is>
      </c>
      <c r="C212" s="45" t="n">
        <v>0</v>
      </c>
      <c r="D212" s="46" t="n">
        <v>0</v>
      </c>
      <c r="AA212" s="47" t="inlineStr">
        <is>
          <t>P</t>
        </is>
      </c>
      <c r="AB212" s="47" t="inlineStr">
        <is>
          <t>G</t>
        </is>
      </c>
      <c r="AC212" s="47" t="inlineStr">
        <is>
          <t>G</t>
        </is>
      </c>
      <c r="AD212" s="47" t="inlineStr">
        <is>
          <t>G</t>
        </is>
      </c>
      <c r="AE212" s="47" t="inlineStr">
        <is>
          <t>G</t>
        </is>
      </c>
      <c r="AF212" s="47" t="inlineStr">
        <is>
          <t>G</t>
        </is>
      </c>
      <c r="AG212" s="47" t="inlineStr">
        <is>
          <t>H</t>
        </is>
      </c>
      <c r="AH212" s="47" t="inlineStr">
        <is>
          <t>H</t>
        </is>
      </c>
      <c r="BE212" s="48">
        <f>D212*$B$6*IF($S$20="Y",1,0)</f>
        <v/>
      </c>
      <c r="BF212" s="48">
        <f>D212*$I$20</f>
        <v/>
      </c>
      <c r="BG212" s="49">
        <f>MATCH("P",$E212:$BD212,0)</f>
        <v/>
      </c>
      <c r="BH212" s="33" t="inlineStr">
        <is>
          <t>High tunnel</t>
        </is>
      </c>
      <c r="BI212" s="33">
        <f>$Q$20</f>
        <v/>
      </c>
    </row>
    <row r="213">
      <c r="A213" s="33" t="inlineStr">
        <is>
          <t>Tunnel Spinach W24</t>
        </is>
      </c>
      <c r="B213" s="33" t="inlineStr">
        <is>
          <t>Tunnel Spinach</t>
        </is>
      </c>
      <c r="C213" s="45" t="n">
        <v>0</v>
      </c>
      <c r="D213" s="46" t="n">
        <v>0</v>
      </c>
      <c r="AB213" s="47" t="inlineStr">
        <is>
          <t>P</t>
        </is>
      </c>
      <c r="AC213" s="47" t="inlineStr">
        <is>
          <t>G</t>
        </is>
      </c>
      <c r="AD213" s="47" t="inlineStr">
        <is>
          <t>G</t>
        </is>
      </c>
      <c r="AE213" s="47" t="inlineStr">
        <is>
          <t>G</t>
        </is>
      </c>
      <c r="AF213" s="47" t="inlineStr">
        <is>
          <t>G</t>
        </is>
      </c>
      <c r="AG213" s="47" t="inlineStr">
        <is>
          <t>G</t>
        </is>
      </c>
      <c r="AH213" s="47" t="inlineStr">
        <is>
          <t>H</t>
        </is>
      </c>
      <c r="AI213" s="47" t="inlineStr">
        <is>
          <t>H</t>
        </is>
      </c>
      <c r="BE213" s="48">
        <f>D213*$B$6*IF($S$20="Y",1,0)</f>
        <v/>
      </c>
      <c r="BF213" s="48">
        <f>D213*$I$20</f>
        <v/>
      </c>
      <c r="BG213" s="49">
        <f>MATCH("P",$E213:$BD213,0)</f>
        <v/>
      </c>
      <c r="BH213" s="33" t="inlineStr">
        <is>
          <t>High tunnel</t>
        </is>
      </c>
      <c r="BI213" s="33">
        <f>$Q$20</f>
        <v/>
      </c>
    </row>
    <row r="214">
      <c r="A214" s="33" t="inlineStr">
        <is>
          <t>Tunnel Spinach W25</t>
        </is>
      </c>
      <c r="B214" s="33" t="inlineStr">
        <is>
          <t>Tunnel Spinach</t>
        </is>
      </c>
      <c r="C214" s="45" t="n">
        <v>0</v>
      </c>
      <c r="D214" s="46" t="n">
        <v>0</v>
      </c>
      <c r="AC214" s="47" t="inlineStr">
        <is>
          <t>P</t>
        </is>
      </c>
      <c r="AD214" s="47" t="inlineStr">
        <is>
          <t>G</t>
        </is>
      </c>
      <c r="AE214" s="47" t="inlineStr">
        <is>
          <t>G</t>
        </is>
      </c>
      <c r="AF214" s="47" t="inlineStr">
        <is>
          <t>G</t>
        </is>
      </c>
      <c r="AG214" s="47" t="inlineStr">
        <is>
          <t>G</t>
        </is>
      </c>
      <c r="AH214" s="47" t="inlineStr">
        <is>
          <t>G</t>
        </is>
      </c>
      <c r="AI214" s="47" t="inlineStr">
        <is>
          <t>H</t>
        </is>
      </c>
      <c r="AJ214" s="47" t="inlineStr">
        <is>
          <t>H</t>
        </is>
      </c>
      <c r="BE214" s="48">
        <f>D214*$B$6*IF($S$20="Y",1,0)</f>
        <v/>
      </c>
      <c r="BF214" s="48">
        <f>D214*$I$20</f>
        <v/>
      </c>
      <c r="BG214" s="49">
        <f>MATCH("P",$E214:$BD214,0)</f>
        <v/>
      </c>
      <c r="BH214" s="33" t="inlineStr">
        <is>
          <t>High tunnel</t>
        </is>
      </c>
      <c r="BI214" s="33">
        <f>$Q$20</f>
        <v/>
      </c>
    </row>
    <row r="215">
      <c r="A215" s="33" t="inlineStr">
        <is>
          <t>Tunnel Spinach W26</t>
        </is>
      </c>
      <c r="B215" s="33" t="inlineStr">
        <is>
          <t>Tunnel Spinach</t>
        </is>
      </c>
      <c r="C215" s="45" t="n">
        <v>0</v>
      </c>
      <c r="D215" s="46" t="n">
        <v>0</v>
      </c>
      <c r="AD215" s="47" t="inlineStr">
        <is>
          <t>P</t>
        </is>
      </c>
      <c r="AE215" s="47" t="inlineStr">
        <is>
          <t>G</t>
        </is>
      </c>
      <c r="AF215" s="47" t="inlineStr">
        <is>
          <t>G</t>
        </is>
      </c>
      <c r="AG215" s="47" t="inlineStr">
        <is>
          <t>G</t>
        </is>
      </c>
      <c r="AH215" s="47" t="inlineStr">
        <is>
          <t>G</t>
        </is>
      </c>
      <c r="AI215" s="47" t="inlineStr">
        <is>
          <t>G</t>
        </is>
      </c>
      <c r="AJ215" s="47" t="inlineStr">
        <is>
          <t>H</t>
        </is>
      </c>
      <c r="AK215" s="47" t="inlineStr">
        <is>
          <t>H</t>
        </is>
      </c>
      <c r="BE215" s="48">
        <f>D215*$B$6*IF($S$20="Y",1,0)</f>
        <v/>
      </c>
      <c r="BF215" s="48">
        <f>D215*$I$20</f>
        <v/>
      </c>
      <c r="BG215" s="49">
        <f>MATCH("P",$E215:$BD215,0)</f>
        <v/>
      </c>
      <c r="BH215" s="33" t="inlineStr">
        <is>
          <t>High tunnel</t>
        </is>
      </c>
      <c r="BI215" s="33">
        <f>$Q$20</f>
        <v/>
      </c>
    </row>
    <row r="216">
      <c r="A216" s="33" t="inlineStr">
        <is>
          <t>Tunnel Spinach W31</t>
        </is>
      </c>
      <c r="B216" s="33" t="inlineStr">
        <is>
          <t>Tunnel Spinach</t>
        </is>
      </c>
      <c r="C216" s="45" t="n">
        <v>0</v>
      </c>
      <c r="D216" s="46" t="n">
        <v>0</v>
      </c>
      <c r="AI216" s="47" t="inlineStr">
        <is>
          <t>P</t>
        </is>
      </c>
      <c r="AJ216" s="47" t="inlineStr">
        <is>
          <t>G</t>
        </is>
      </c>
      <c r="AK216" s="47" t="inlineStr">
        <is>
          <t>G</t>
        </is>
      </c>
      <c r="AL216" s="47" t="inlineStr">
        <is>
          <t>G</t>
        </is>
      </c>
      <c r="AM216" s="47" t="inlineStr">
        <is>
          <t>G</t>
        </is>
      </c>
      <c r="AN216" s="47" t="inlineStr">
        <is>
          <t>G</t>
        </is>
      </c>
      <c r="AO216" s="47" t="inlineStr">
        <is>
          <t>H</t>
        </is>
      </c>
      <c r="AP216" s="47" t="inlineStr">
        <is>
          <t>H</t>
        </is>
      </c>
      <c r="BE216" s="48">
        <f>D216*$B$6*IF($S$20="Y",1,0)</f>
        <v/>
      </c>
      <c r="BF216" s="48">
        <f>D216*$I$20</f>
        <v/>
      </c>
      <c r="BG216" s="49">
        <f>MATCH("P",$E216:$BD216,0)</f>
        <v/>
      </c>
      <c r="BH216" s="33" t="inlineStr">
        <is>
          <t>High tunnel</t>
        </is>
      </c>
      <c r="BI216" s="33">
        <f>$Q$20</f>
        <v/>
      </c>
    </row>
    <row r="217">
      <c r="A217" s="33" t="inlineStr">
        <is>
          <t>Tunnel Spinach W32</t>
        </is>
      </c>
      <c r="B217" s="33" t="inlineStr">
        <is>
          <t>Tunnel Spinach</t>
        </is>
      </c>
      <c r="C217" s="45" t="n">
        <v>0</v>
      </c>
      <c r="D217" s="46" t="n">
        <v>0</v>
      </c>
      <c r="AJ217" s="47" t="inlineStr">
        <is>
          <t>P</t>
        </is>
      </c>
      <c r="AK217" s="47" t="inlineStr">
        <is>
          <t>G</t>
        </is>
      </c>
      <c r="AL217" s="47" t="inlineStr">
        <is>
          <t>G</t>
        </is>
      </c>
      <c r="AM217" s="47" t="inlineStr">
        <is>
          <t>G</t>
        </is>
      </c>
      <c r="AN217" s="47" t="inlineStr">
        <is>
          <t>G</t>
        </is>
      </c>
      <c r="AO217" s="47" t="inlineStr">
        <is>
          <t>G</t>
        </is>
      </c>
      <c r="AP217" s="47" t="inlineStr">
        <is>
          <t>H</t>
        </is>
      </c>
      <c r="AQ217" s="47" t="inlineStr">
        <is>
          <t>H</t>
        </is>
      </c>
      <c r="BE217" s="48">
        <f>D217*$B$6*IF($S$20="Y",1,0)</f>
        <v/>
      </c>
      <c r="BF217" s="48">
        <f>D217*$I$20</f>
        <v/>
      </c>
      <c r="BG217" s="49">
        <f>MATCH("P",$E217:$BD217,0)</f>
        <v/>
      </c>
      <c r="BH217" s="33" t="inlineStr">
        <is>
          <t>High tunnel</t>
        </is>
      </c>
      <c r="BI217" s="33">
        <f>$Q$20</f>
        <v/>
      </c>
    </row>
    <row r="218">
      <c r="A218" s="33" t="inlineStr">
        <is>
          <t>Tunnel Spinach W33</t>
        </is>
      </c>
      <c r="B218" s="33" t="inlineStr">
        <is>
          <t>Tunnel Spinach</t>
        </is>
      </c>
      <c r="C218" s="45" t="n">
        <v>0</v>
      </c>
      <c r="D218" s="46" t="n">
        <v>0</v>
      </c>
      <c r="AK218" s="47" t="inlineStr">
        <is>
          <t>P</t>
        </is>
      </c>
      <c r="AL218" s="47" t="inlineStr">
        <is>
          <t>G</t>
        </is>
      </c>
      <c r="AM218" s="47" t="inlineStr">
        <is>
          <t>G</t>
        </is>
      </c>
      <c r="AN218" s="47" t="inlineStr">
        <is>
          <t>G</t>
        </is>
      </c>
      <c r="AO218" s="47" t="inlineStr">
        <is>
          <t>G</t>
        </is>
      </c>
      <c r="AP218" s="47" t="inlineStr">
        <is>
          <t>G</t>
        </is>
      </c>
      <c r="AQ218" s="47" t="inlineStr">
        <is>
          <t>H</t>
        </is>
      </c>
      <c r="AR218" s="47" t="inlineStr">
        <is>
          <t>H</t>
        </is>
      </c>
      <c r="BE218" s="48">
        <f>D218*$B$6*IF($S$20="Y",1,0)</f>
        <v/>
      </c>
      <c r="BF218" s="48">
        <f>D218*$I$20</f>
        <v/>
      </c>
      <c r="BG218" s="49">
        <f>MATCH("P",$E218:$BD218,0)</f>
        <v/>
      </c>
      <c r="BH218" s="33" t="inlineStr">
        <is>
          <t>High tunnel</t>
        </is>
      </c>
      <c r="BI218" s="33">
        <f>$Q$20</f>
        <v/>
      </c>
    </row>
    <row r="219">
      <c r="A219" s="33" t="inlineStr">
        <is>
          <t>Tunnel Spinach W34</t>
        </is>
      </c>
      <c r="B219" s="33" t="inlineStr">
        <is>
          <t>Tunnel Spinach</t>
        </is>
      </c>
      <c r="C219" s="45" t="n">
        <v>0</v>
      </c>
      <c r="D219" s="46" t="n">
        <v>0</v>
      </c>
      <c r="AL219" s="47" t="inlineStr">
        <is>
          <t>P</t>
        </is>
      </c>
      <c r="AM219" s="47" t="inlineStr">
        <is>
          <t>G</t>
        </is>
      </c>
      <c r="AN219" s="47" t="inlineStr">
        <is>
          <t>G</t>
        </is>
      </c>
      <c r="AO219" s="47" t="inlineStr">
        <is>
          <t>G</t>
        </is>
      </c>
      <c r="AP219" s="47" t="inlineStr">
        <is>
          <t>G</t>
        </is>
      </c>
      <c r="AQ219" s="47" t="inlineStr">
        <is>
          <t>G</t>
        </is>
      </c>
      <c r="AR219" s="47" t="inlineStr">
        <is>
          <t>H</t>
        </is>
      </c>
      <c r="AS219" s="47" t="inlineStr">
        <is>
          <t>H</t>
        </is>
      </c>
      <c r="BE219" s="48">
        <f>D219*$B$6*IF($S$20="Y",1,0)</f>
        <v/>
      </c>
      <c r="BF219" s="48">
        <f>D219*$I$20</f>
        <v/>
      </c>
      <c r="BG219" s="49">
        <f>MATCH("P",$E219:$BD219,0)</f>
        <v/>
      </c>
      <c r="BH219" s="33" t="inlineStr">
        <is>
          <t>High tunnel</t>
        </is>
      </c>
      <c r="BI219" s="33">
        <f>$Q$20</f>
        <v/>
      </c>
    </row>
    <row r="220">
      <c r="A220" s="33" t="inlineStr">
        <is>
          <t>Tunnel Spinach W35</t>
        </is>
      </c>
      <c r="B220" s="33" t="inlineStr">
        <is>
          <t>Tunnel Spinach</t>
        </is>
      </c>
      <c r="C220" s="45" t="n">
        <v>0</v>
      </c>
      <c r="D220" s="46" t="n">
        <v>0</v>
      </c>
      <c r="AM220" s="47" t="inlineStr">
        <is>
          <t>P</t>
        </is>
      </c>
      <c r="AN220" s="47" t="inlineStr">
        <is>
          <t>G</t>
        </is>
      </c>
      <c r="AO220" s="47" t="inlineStr">
        <is>
          <t>G</t>
        </is>
      </c>
      <c r="AP220" s="47" t="inlineStr">
        <is>
          <t>G</t>
        </is>
      </c>
      <c r="AQ220" s="47" t="inlineStr">
        <is>
          <t>G</t>
        </is>
      </c>
      <c r="AR220" s="47" t="inlineStr">
        <is>
          <t>G</t>
        </is>
      </c>
      <c r="AS220" s="47" t="inlineStr">
        <is>
          <t>H</t>
        </is>
      </c>
      <c r="AT220" s="47" t="inlineStr">
        <is>
          <t>H</t>
        </is>
      </c>
      <c r="BE220" s="48">
        <f>D220*$B$6*IF($S$20="Y",1,0)</f>
        <v/>
      </c>
      <c r="BF220" s="48">
        <f>D220*$I$20</f>
        <v/>
      </c>
      <c r="BG220" s="49">
        <f>MATCH("P",$E220:$BD220,0)</f>
        <v/>
      </c>
      <c r="BH220" s="33" t="inlineStr">
        <is>
          <t>High tunnel</t>
        </is>
      </c>
      <c r="BI220" s="33">
        <f>$Q$20</f>
        <v/>
      </c>
    </row>
    <row r="221">
      <c r="A221" s="33" t="inlineStr">
        <is>
          <t>Tunnel Spinach W36</t>
        </is>
      </c>
      <c r="B221" s="33" t="inlineStr">
        <is>
          <t>Tunnel Spinach</t>
        </is>
      </c>
      <c r="C221" s="45" t="n">
        <v>0</v>
      </c>
      <c r="D221" s="46" t="n">
        <v>0</v>
      </c>
      <c r="AN221" s="47" t="inlineStr">
        <is>
          <t>P</t>
        </is>
      </c>
      <c r="AO221" s="47" t="inlineStr">
        <is>
          <t>G</t>
        </is>
      </c>
      <c r="AP221" s="47" t="inlineStr">
        <is>
          <t>G</t>
        </is>
      </c>
      <c r="AQ221" s="47" t="inlineStr">
        <is>
          <t>G</t>
        </is>
      </c>
      <c r="AR221" s="47" t="inlineStr">
        <is>
          <t>G</t>
        </is>
      </c>
      <c r="AS221" s="47" t="inlineStr">
        <is>
          <t>G</t>
        </is>
      </c>
      <c r="AT221" s="47" t="inlineStr">
        <is>
          <t>H</t>
        </is>
      </c>
      <c r="AU221" s="47" t="inlineStr">
        <is>
          <t>H</t>
        </is>
      </c>
      <c r="BE221" s="48">
        <f>D221*$B$6*IF($S$20="Y",1,0)</f>
        <v/>
      </c>
      <c r="BF221" s="48">
        <f>D221*$I$20</f>
        <v/>
      </c>
      <c r="BG221" s="49">
        <f>MATCH("P",$E221:$BD221,0)</f>
        <v/>
      </c>
      <c r="BH221" s="33" t="inlineStr">
        <is>
          <t>High tunnel</t>
        </is>
      </c>
      <c r="BI221" s="33">
        <f>$Q$20</f>
        <v/>
      </c>
    </row>
    <row r="222">
      <c r="A222" s="33" t="inlineStr">
        <is>
          <t>Tunnel Spinach W37</t>
        </is>
      </c>
      <c r="B222" s="33" t="inlineStr">
        <is>
          <t>Tunnel Spinach</t>
        </is>
      </c>
      <c r="C222" s="45" t="n">
        <v>0</v>
      </c>
      <c r="D222" s="46" t="n">
        <v>0</v>
      </c>
      <c r="AO222" s="47" t="inlineStr">
        <is>
          <t>P</t>
        </is>
      </c>
      <c r="AP222" s="47" t="inlineStr">
        <is>
          <t>G</t>
        </is>
      </c>
      <c r="AQ222" s="47" t="inlineStr">
        <is>
          <t>G</t>
        </is>
      </c>
      <c r="AR222" s="47" t="inlineStr">
        <is>
          <t>G</t>
        </is>
      </c>
      <c r="AS222" s="47" t="inlineStr">
        <is>
          <t>G</t>
        </is>
      </c>
      <c r="AT222" s="47" t="inlineStr">
        <is>
          <t>G</t>
        </is>
      </c>
      <c r="AU222" s="47" t="inlineStr">
        <is>
          <t>H</t>
        </is>
      </c>
      <c r="AV222" s="47" t="inlineStr">
        <is>
          <t>H</t>
        </is>
      </c>
      <c r="BE222" s="48">
        <f>D222*$B$6*IF($S$20="Y",1,0)</f>
        <v/>
      </c>
      <c r="BF222" s="48">
        <f>D222*$I$20</f>
        <v/>
      </c>
      <c r="BG222" s="49">
        <f>MATCH("P",$E222:$BD222,0)</f>
        <v/>
      </c>
      <c r="BH222" s="33" t="inlineStr">
        <is>
          <t>High tunnel</t>
        </is>
      </c>
      <c r="BI222" s="33">
        <f>$Q$20</f>
        <v/>
      </c>
    </row>
    <row r="223">
      <c r="A223" s="33" t="inlineStr">
        <is>
          <t>Tunnel Spinach W38</t>
        </is>
      </c>
      <c r="B223" s="33" t="inlineStr">
        <is>
          <t>Tunnel Spinach</t>
        </is>
      </c>
      <c r="C223" s="45" t="n">
        <v>0</v>
      </c>
      <c r="D223" s="46" t="n">
        <v>0</v>
      </c>
      <c r="AP223" s="47" t="inlineStr">
        <is>
          <t>P</t>
        </is>
      </c>
      <c r="AQ223" s="47" t="inlineStr">
        <is>
          <t>G</t>
        </is>
      </c>
      <c r="AR223" s="47" t="inlineStr">
        <is>
          <t>G</t>
        </is>
      </c>
      <c r="AS223" s="47" t="inlineStr">
        <is>
          <t>G</t>
        </is>
      </c>
      <c r="AT223" s="47" t="inlineStr">
        <is>
          <t>G</t>
        </is>
      </c>
      <c r="AU223" s="47" t="inlineStr">
        <is>
          <t>G</t>
        </is>
      </c>
      <c r="AV223" s="47" t="inlineStr">
        <is>
          <t>H</t>
        </is>
      </c>
      <c r="AW223" s="47" t="inlineStr">
        <is>
          <t>H</t>
        </is>
      </c>
      <c r="BE223" s="48">
        <f>D223*$B$6*IF($S$20="Y",1,0)</f>
        <v/>
      </c>
      <c r="BF223" s="48">
        <f>D223*$I$20</f>
        <v/>
      </c>
      <c r="BG223" s="49">
        <f>MATCH("P",$E223:$BD223,0)</f>
        <v/>
      </c>
      <c r="BH223" s="33" t="inlineStr">
        <is>
          <t>High tunnel</t>
        </is>
      </c>
      <c r="BI223" s="33">
        <f>$Q$20</f>
        <v/>
      </c>
    </row>
    <row r="224">
      <c r="A224" s="33" t="inlineStr">
        <is>
          <t>Tunnel Spinach W39</t>
        </is>
      </c>
      <c r="B224" s="33" t="inlineStr">
        <is>
          <t>Tunnel Spinach</t>
        </is>
      </c>
      <c r="C224" s="45" t="n">
        <v>0</v>
      </c>
      <c r="D224" s="46" t="n">
        <v>0</v>
      </c>
      <c r="AQ224" s="47" t="inlineStr">
        <is>
          <t>P</t>
        </is>
      </c>
      <c r="AR224" s="47" t="inlineStr">
        <is>
          <t>G</t>
        </is>
      </c>
      <c r="AS224" s="47" t="inlineStr">
        <is>
          <t>G</t>
        </is>
      </c>
      <c r="AT224" s="47" t="inlineStr">
        <is>
          <t>G</t>
        </is>
      </c>
      <c r="AU224" s="47" t="inlineStr">
        <is>
          <t>G</t>
        </is>
      </c>
      <c r="AV224" s="47" t="inlineStr">
        <is>
          <t>G</t>
        </is>
      </c>
      <c r="AW224" s="47" t="inlineStr">
        <is>
          <t>H</t>
        </is>
      </c>
      <c r="AX224" s="47" t="inlineStr">
        <is>
          <t>H</t>
        </is>
      </c>
      <c r="BE224" s="48">
        <f>D224*$B$6*IF($S$20="Y",1,0)</f>
        <v/>
      </c>
      <c r="BF224" s="48">
        <f>D224*$I$20</f>
        <v/>
      </c>
      <c r="BG224" s="49">
        <f>MATCH("P",$E224:$BD224,0)</f>
        <v/>
      </c>
      <c r="BH224" s="33" t="inlineStr">
        <is>
          <t>High tunnel</t>
        </is>
      </c>
      <c r="BI224" s="33">
        <f>$Q$20</f>
        <v/>
      </c>
    </row>
    <row r="225">
      <c r="A225" s="33" t="inlineStr">
        <is>
          <t>Tunnel Spinach W40</t>
        </is>
      </c>
      <c r="B225" s="33" t="inlineStr">
        <is>
          <t>Tunnel Spinach</t>
        </is>
      </c>
      <c r="C225" s="45" t="n">
        <v>0</v>
      </c>
      <c r="D225" s="46" t="n">
        <v>0</v>
      </c>
      <c r="AR225" s="47" t="inlineStr">
        <is>
          <t>P</t>
        </is>
      </c>
      <c r="AS225" s="47" t="inlineStr">
        <is>
          <t>G</t>
        </is>
      </c>
      <c r="AT225" s="47" t="inlineStr">
        <is>
          <t>G</t>
        </is>
      </c>
      <c r="AU225" s="47" t="inlineStr">
        <is>
          <t>G</t>
        </is>
      </c>
      <c r="AV225" s="47" t="inlineStr">
        <is>
          <t>G</t>
        </is>
      </c>
      <c r="AW225" s="47" t="inlineStr">
        <is>
          <t>G</t>
        </is>
      </c>
      <c r="AX225" s="47" t="inlineStr">
        <is>
          <t>H</t>
        </is>
      </c>
      <c r="AY225" s="47" t="inlineStr">
        <is>
          <t>H</t>
        </is>
      </c>
      <c r="BE225" s="48">
        <f>D225*$B$6*IF($S$20="Y",1,0)</f>
        <v/>
      </c>
      <c r="BF225" s="48">
        <f>D225*$I$20</f>
        <v/>
      </c>
      <c r="BG225" s="49">
        <f>MATCH("P",$E225:$BD225,0)</f>
        <v/>
      </c>
      <c r="BH225" s="33" t="inlineStr">
        <is>
          <t>High tunnel</t>
        </is>
      </c>
      <c r="BI225" s="33">
        <f>$Q$20</f>
        <v/>
      </c>
    </row>
    <row r="226">
      <c r="A226" s="33" t="inlineStr">
        <is>
          <t>Tunnel Spinach W41</t>
        </is>
      </c>
      <c r="B226" s="33" t="inlineStr">
        <is>
          <t>Tunnel Spinach</t>
        </is>
      </c>
      <c r="C226" s="45" t="n">
        <v>0</v>
      </c>
      <c r="D226" s="46" t="n">
        <v>0</v>
      </c>
      <c r="AS226" s="47" t="inlineStr">
        <is>
          <t>P</t>
        </is>
      </c>
      <c r="AT226" s="47" t="inlineStr">
        <is>
          <t>G</t>
        </is>
      </c>
      <c r="AU226" s="47" t="inlineStr">
        <is>
          <t>G</t>
        </is>
      </c>
      <c r="AV226" s="47" t="inlineStr">
        <is>
          <t>G</t>
        </is>
      </c>
      <c r="AW226" s="47" t="inlineStr">
        <is>
          <t>G</t>
        </is>
      </c>
      <c r="AX226" s="47" t="inlineStr">
        <is>
          <t>G</t>
        </is>
      </c>
      <c r="AY226" s="47" t="inlineStr">
        <is>
          <t>H</t>
        </is>
      </c>
      <c r="AZ226" s="47" t="inlineStr">
        <is>
          <t>H</t>
        </is>
      </c>
      <c r="BE226" s="48">
        <f>D226*$B$6*IF($S$20="Y",1,0)</f>
        <v/>
      </c>
      <c r="BF226" s="48">
        <f>D226*$I$20</f>
        <v/>
      </c>
      <c r="BG226" s="49">
        <f>MATCH("P",$E226:$BD226,0)</f>
        <v/>
      </c>
      <c r="BH226" s="33" t="inlineStr">
        <is>
          <t>High tunnel</t>
        </is>
      </c>
      <c r="BI226" s="33">
        <f>$Q$20</f>
        <v/>
      </c>
    </row>
    <row r="227">
      <c r="A227" s="33" t="inlineStr">
        <is>
          <t>Tunnel Spinach W42</t>
        </is>
      </c>
      <c r="B227" s="33" t="inlineStr">
        <is>
          <t>Tunnel Spinach</t>
        </is>
      </c>
      <c r="C227" s="45" t="n">
        <v>0</v>
      </c>
      <c r="D227" s="46" t="n">
        <v>0</v>
      </c>
      <c r="AT227" s="47" t="inlineStr">
        <is>
          <t>P</t>
        </is>
      </c>
      <c r="AU227" s="47" t="inlineStr">
        <is>
          <t>G</t>
        </is>
      </c>
      <c r="AV227" s="47" t="inlineStr">
        <is>
          <t>G</t>
        </is>
      </c>
      <c r="AW227" s="47" t="inlineStr">
        <is>
          <t>G</t>
        </is>
      </c>
      <c r="AX227" s="47" t="inlineStr">
        <is>
          <t>G</t>
        </is>
      </c>
      <c r="AY227" s="47" t="inlineStr">
        <is>
          <t>G</t>
        </is>
      </c>
      <c r="AZ227" s="47" t="inlineStr">
        <is>
          <t>H</t>
        </is>
      </c>
      <c r="BA227" s="47" t="inlineStr">
        <is>
          <t>H</t>
        </is>
      </c>
      <c r="BE227" s="48">
        <f>D227*$B$6*IF($S$20="Y",1,0)</f>
        <v/>
      </c>
      <c r="BF227" s="48">
        <f>D227*$I$20</f>
        <v/>
      </c>
      <c r="BG227" s="49">
        <f>MATCH("P",$E227:$BD227,0)</f>
        <v/>
      </c>
      <c r="BH227" s="33" t="inlineStr">
        <is>
          <t>High tunnel</t>
        </is>
      </c>
      <c r="BI227" s="33">
        <f>$Q$20</f>
        <v/>
      </c>
    </row>
    <row r="228">
      <c r="A228" s="33" t="inlineStr">
        <is>
          <t>Tunnel Spinach W43</t>
        </is>
      </c>
      <c r="B228" s="33" t="inlineStr">
        <is>
          <t>Tunnel Spinach</t>
        </is>
      </c>
      <c r="C228" s="45" t="n">
        <v>0</v>
      </c>
      <c r="D228" s="46" t="n">
        <v>0</v>
      </c>
      <c r="AU228" s="47" t="inlineStr">
        <is>
          <t>P</t>
        </is>
      </c>
      <c r="AV228" s="47" t="inlineStr">
        <is>
          <t>G</t>
        </is>
      </c>
      <c r="AW228" s="47" t="inlineStr">
        <is>
          <t>G</t>
        </is>
      </c>
      <c r="AX228" s="47" t="inlineStr">
        <is>
          <t>G</t>
        </is>
      </c>
      <c r="AY228" s="47" t="inlineStr">
        <is>
          <t>G</t>
        </is>
      </c>
      <c r="AZ228" s="47" t="inlineStr">
        <is>
          <t>G</t>
        </is>
      </c>
      <c r="BA228" s="47" t="inlineStr">
        <is>
          <t>H</t>
        </is>
      </c>
      <c r="BB228" s="47" t="inlineStr">
        <is>
          <t>H</t>
        </is>
      </c>
      <c r="BE228" s="48">
        <f>D228*$B$6*IF($S$20="Y",1,0)</f>
        <v/>
      </c>
      <c r="BF228" s="48">
        <f>D228*$I$20</f>
        <v/>
      </c>
      <c r="BG228" s="49">
        <f>MATCH("P",$E228:$BD228,0)</f>
        <v/>
      </c>
      <c r="BH228" s="33" t="inlineStr">
        <is>
          <t>High tunnel</t>
        </is>
      </c>
      <c r="BI228" s="33">
        <f>$Q$20</f>
        <v/>
      </c>
    </row>
    <row r="229">
      <c r="A229" s="33" t="inlineStr">
        <is>
          <t>Tunnel Spinach W44</t>
        </is>
      </c>
      <c r="B229" s="33" t="inlineStr">
        <is>
          <t>Tunnel Spinach</t>
        </is>
      </c>
      <c r="C229" s="45" t="n">
        <v>0</v>
      </c>
      <c r="D229" s="46" t="n">
        <v>0</v>
      </c>
      <c r="AV229" s="47" t="inlineStr">
        <is>
          <t>P</t>
        </is>
      </c>
      <c r="AW229" s="47" t="inlineStr">
        <is>
          <t>G</t>
        </is>
      </c>
      <c r="AX229" s="47" t="inlineStr">
        <is>
          <t>G</t>
        </is>
      </c>
      <c r="AY229" s="47" t="inlineStr">
        <is>
          <t>G</t>
        </is>
      </c>
      <c r="AZ229" s="47" t="inlineStr">
        <is>
          <t>G</t>
        </is>
      </c>
      <c r="BA229" s="47" t="inlineStr">
        <is>
          <t>G</t>
        </is>
      </c>
      <c r="BB229" s="47" t="inlineStr">
        <is>
          <t>H</t>
        </is>
      </c>
      <c r="BC229" s="47" t="inlineStr">
        <is>
          <t>H</t>
        </is>
      </c>
      <c r="BE229" s="48">
        <f>D229*$B$6*IF($S$20="Y",1,0)</f>
        <v/>
      </c>
      <c r="BF229" s="48">
        <f>D229*$I$20</f>
        <v/>
      </c>
      <c r="BG229" s="49">
        <f>MATCH("P",$E229:$BD229,0)</f>
        <v/>
      </c>
      <c r="BH229" s="33" t="inlineStr">
        <is>
          <t>High tunnel</t>
        </is>
      </c>
      <c r="BI229" s="33">
        <f>$Q$20</f>
        <v/>
      </c>
    </row>
    <row r="230">
      <c r="A230" s="33" t="inlineStr">
        <is>
          <t>Tunnel Spinach W45</t>
        </is>
      </c>
      <c r="B230" s="33" t="inlineStr">
        <is>
          <t>Tunnel Spinach</t>
        </is>
      </c>
      <c r="C230" s="45" t="n">
        <v>0</v>
      </c>
      <c r="D230" s="46" t="n">
        <v>0</v>
      </c>
      <c r="AW230" s="47" t="inlineStr">
        <is>
          <t>P</t>
        </is>
      </c>
      <c r="AX230" s="47" t="inlineStr">
        <is>
          <t>G</t>
        </is>
      </c>
      <c r="AY230" s="47" t="inlineStr">
        <is>
          <t>G</t>
        </is>
      </c>
      <c r="AZ230" s="47" t="inlineStr">
        <is>
          <t>G</t>
        </is>
      </c>
      <c r="BA230" s="47" t="inlineStr">
        <is>
          <t>G</t>
        </is>
      </c>
      <c r="BB230" s="47" t="inlineStr">
        <is>
          <t>G</t>
        </is>
      </c>
      <c r="BC230" s="47" t="inlineStr">
        <is>
          <t>H</t>
        </is>
      </c>
      <c r="BD230" s="47" t="inlineStr">
        <is>
          <t>H</t>
        </is>
      </c>
      <c r="BE230" s="48">
        <f>D230*$B$6*IF($S$20="Y",1,0)</f>
        <v/>
      </c>
      <c r="BF230" s="48">
        <f>D230*$I$20</f>
        <v/>
      </c>
      <c r="BG230" s="49">
        <f>MATCH("P",$E230:$BD230,0)</f>
        <v/>
      </c>
      <c r="BH230" s="33" t="inlineStr">
        <is>
          <t>High tunnel</t>
        </is>
      </c>
      <c r="BI230" s="33">
        <f>$Q$20</f>
        <v/>
      </c>
    </row>
    <row r="231">
      <c r="A231" s="33" t="inlineStr">
        <is>
          <t>Asparagus</t>
        </is>
      </c>
      <c r="B231" s="33" t="inlineStr">
        <is>
          <t>Asparagus</t>
        </is>
      </c>
      <c r="C231" s="14" t="n">
        <v>3</v>
      </c>
      <c r="D231" s="50">
        <f>IF(C231&gt;0,1,0)</f>
        <v/>
      </c>
      <c r="E231" s="47" t="inlineStr">
        <is>
          <t>G</t>
        </is>
      </c>
      <c r="F231" s="47" t="inlineStr">
        <is>
          <t>G</t>
        </is>
      </c>
      <c r="G231" s="47" t="inlineStr">
        <is>
          <t>G</t>
        </is>
      </c>
      <c r="H231" s="47" t="inlineStr">
        <is>
          <t>G</t>
        </is>
      </c>
      <c r="I231" s="47" t="inlineStr">
        <is>
          <t>G</t>
        </is>
      </c>
      <c r="J231" s="47" t="inlineStr">
        <is>
          <t>G</t>
        </is>
      </c>
      <c r="K231" s="47" t="inlineStr">
        <is>
          <t>G</t>
        </is>
      </c>
      <c r="L231" s="47" t="inlineStr">
        <is>
          <t>G</t>
        </is>
      </c>
      <c r="M231" s="47" t="inlineStr">
        <is>
          <t>G</t>
        </is>
      </c>
      <c r="N231" s="47" t="inlineStr">
        <is>
          <t>G</t>
        </is>
      </c>
      <c r="O231" s="47" t="inlineStr">
        <is>
          <t>G</t>
        </is>
      </c>
      <c r="P231" s="47" t="inlineStr">
        <is>
          <t>G</t>
        </is>
      </c>
      <c r="Q231" s="47" t="inlineStr">
        <is>
          <t>G</t>
        </is>
      </c>
      <c r="R231" s="47" t="inlineStr">
        <is>
          <t>G</t>
        </is>
      </c>
      <c r="S231" s="47" t="inlineStr">
        <is>
          <t>G</t>
        </is>
      </c>
      <c r="T231" s="47" t="inlineStr">
        <is>
          <t>G</t>
        </is>
      </c>
      <c r="U231" s="47" t="inlineStr">
        <is>
          <t>G</t>
        </is>
      </c>
      <c r="V231" s="47" t="inlineStr">
        <is>
          <t>H</t>
        </is>
      </c>
      <c r="W231" s="47" t="inlineStr">
        <is>
          <t>H</t>
        </is>
      </c>
      <c r="X231" s="47" t="inlineStr">
        <is>
          <t>H</t>
        </is>
      </c>
      <c r="Y231" s="47" t="inlineStr">
        <is>
          <t>H</t>
        </is>
      </c>
      <c r="Z231" s="47" t="inlineStr">
        <is>
          <t>H</t>
        </is>
      </c>
      <c r="AA231" s="47" t="inlineStr">
        <is>
          <t>H</t>
        </is>
      </c>
      <c r="AB231" s="47" t="inlineStr">
        <is>
          <t>H</t>
        </is>
      </c>
      <c r="AC231" s="47" t="inlineStr">
        <is>
          <t>H</t>
        </is>
      </c>
      <c r="AD231" s="47" t="inlineStr">
        <is>
          <t>G</t>
        </is>
      </c>
      <c r="AE231" s="47" t="inlineStr">
        <is>
          <t>G</t>
        </is>
      </c>
      <c r="AF231" s="47" t="inlineStr">
        <is>
          <t>G</t>
        </is>
      </c>
      <c r="AG231" s="47" t="inlineStr">
        <is>
          <t>G</t>
        </is>
      </c>
      <c r="AH231" s="47" t="inlineStr">
        <is>
          <t>G</t>
        </is>
      </c>
      <c r="AI231" s="47" t="inlineStr">
        <is>
          <t>G</t>
        </is>
      </c>
      <c r="AJ231" s="47" t="inlineStr">
        <is>
          <t>G</t>
        </is>
      </c>
      <c r="AK231" s="47" t="inlineStr">
        <is>
          <t>G</t>
        </is>
      </c>
      <c r="AL231" s="47" t="inlineStr">
        <is>
          <t>G</t>
        </is>
      </c>
      <c r="AM231" s="47" t="inlineStr">
        <is>
          <t>G</t>
        </is>
      </c>
      <c r="AN231" s="47" t="inlineStr">
        <is>
          <t>G</t>
        </is>
      </c>
      <c r="AO231" s="47" t="inlineStr">
        <is>
          <t>G</t>
        </is>
      </c>
      <c r="AP231" s="47" t="inlineStr">
        <is>
          <t>G</t>
        </is>
      </c>
      <c r="AQ231" s="47" t="inlineStr">
        <is>
          <t>G</t>
        </is>
      </c>
      <c r="AR231" s="47" t="inlineStr">
        <is>
          <t>G</t>
        </is>
      </c>
      <c r="AS231" s="47" t="inlineStr">
        <is>
          <t>G</t>
        </is>
      </c>
      <c r="AT231" s="47" t="inlineStr">
        <is>
          <t>G</t>
        </is>
      </c>
      <c r="AU231" s="47" t="inlineStr">
        <is>
          <t>G</t>
        </is>
      </c>
      <c r="AV231" s="47" t="inlineStr">
        <is>
          <t>G</t>
        </is>
      </c>
      <c r="AW231" s="47" t="inlineStr">
        <is>
          <t>G</t>
        </is>
      </c>
      <c r="AX231" s="47" t="inlineStr">
        <is>
          <t>G</t>
        </is>
      </c>
      <c r="AY231" s="47" t="inlineStr">
        <is>
          <t>G</t>
        </is>
      </c>
      <c r="AZ231" s="47" t="inlineStr">
        <is>
          <t>G</t>
        </is>
      </c>
      <c r="BA231" s="47" t="inlineStr">
        <is>
          <t>G</t>
        </is>
      </c>
      <c r="BB231" s="47" t="inlineStr">
        <is>
          <t>G</t>
        </is>
      </c>
      <c r="BC231" s="47" t="inlineStr">
        <is>
          <t>G</t>
        </is>
      </c>
      <c r="BD231" s="47" t="inlineStr">
        <is>
          <t>G</t>
        </is>
      </c>
      <c r="BE231" s="48">
        <f>D231*$B$6*IF($R$21="Y",1,0)</f>
        <v/>
      </c>
      <c r="BF231" s="48">
        <f>D231*$I$21</f>
        <v/>
      </c>
      <c r="BG231" s="33" t="inlineStr">
        <is>
          <t>-</t>
        </is>
      </c>
      <c r="BH231" s="33" t="inlineStr">
        <is>
          <t>Open field</t>
        </is>
      </c>
      <c r="BI231" s="33">
        <f>$Q$21</f>
        <v/>
      </c>
    </row>
    <row r="232">
      <c r="A232" s="33" t="inlineStr">
        <is>
          <t>Asparagus (new)</t>
        </is>
      </c>
      <c r="B232" s="33" t="inlineStr">
        <is>
          <t>Asparagus</t>
        </is>
      </c>
      <c r="C232" s="14" t="n">
        <v>1</v>
      </c>
      <c r="D232" s="50">
        <f>IF(C232&gt;0,1,0)</f>
        <v/>
      </c>
      <c r="E232" s="47" t="inlineStr">
        <is>
          <t>G</t>
        </is>
      </c>
      <c r="F232" s="47" t="inlineStr">
        <is>
          <t>G</t>
        </is>
      </c>
      <c r="G232" s="47" t="inlineStr">
        <is>
          <t>G</t>
        </is>
      </c>
      <c r="H232" s="47" t="inlineStr">
        <is>
          <t>G</t>
        </is>
      </c>
      <c r="I232" s="47" t="inlineStr">
        <is>
          <t>G</t>
        </is>
      </c>
      <c r="J232" s="47" t="inlineStr">
        <is>
          <t>G</t>
        </is>
      </c>
      <c r="K232" s="47" t="inlineStr">
        <is>
          <t>G</t>
        </is>
      </c>
      <c r="L232" s="47" t="inlineStr">
        <is>
          <t>G</t>
        </is>
      </c>
      <c r="M232" s="47" t="inlineStr">
        <is>
          <t>G</t>
        </is>
      </c>
      <c r="N232" s="47" t="inlineStr">
        <is>
          <t>G</t>
        </is>
      </c>
      <c r="O232" s="47" t="inlineStr">
        <is>
          <t>G</t>
        </is>
      </c>
      <c r="P232" s="47" t="inlineStr">
        <is>
          <t>G</t>
        </is>
      </c>
      <c r="Q232" s="47" t="inlineStr">
        <is>
          <t>G</t>
        </is>
      </c>
      <c r="R232" s="47" t="inlineStr">
        <is>
          <t>G</t>
        </is>
      </c>
      <c r="S232" s="47" t="inlineStr">
        <is>
          <t>G</t>
        </is>
      </c>
      <c r="T232" s="47" t="inlineStr">
        <is>
          <t>G</t>
        </is>
      </c>
      <c r="U232" s="47" t="inlineStr">
        <is>
          <t>G</t>
        </is>
      </c>
      <c r="V232" s="47" t="inlineStr">
        <is>
          <t>G</t>
        </is>
      </c>
      <c r="W232" s="47" t="inlineStr">
        <is>
          <t>G</t>
        </is>
      </c>
      <c r="X232" s="47" t="inlineStr">
        <is>
          <t>G</t>
        </is>
      </c>
      <c r="Y232" s="47" t="inlineStr">
        <is>
          <t>G</t>
        </is>
      </c>
      <c r="Z232" s="47" t="inlineStr">
        <is>
          <t>G</t>
        </is>
      </c>
      <c r="AA232" s="47" t="inlineStr">
        <is>
          <t>G</t>
        </is>
      </c>
      <c r="AB232" s="47" t="inlineStr">
        <is>
          <t>G</t>
        </is>
      </c>
      <c r="AC232" s="47" t="inlineStr">
        <is>
          <t>G</t>
        </is>
      </c>
      <c r="AD232" s="47" t="inlineStr">
        <is>
          <t>G</t>
        </is>
      </c>
      <c r="AE232" s="47" t="inlineStr">
        <is>
          <t>G</t>
        </is>
      </c>
      <c r="AF232" s="47" t="inlineStr">
        <is>
          <t>G</t>
        </is>
      </c>
      <c r="AG232" s="47" t="inlineStr">
        <is>
          <t>G</t>
        </is>
      </c>
      <c r="AH232" s="47" t="inlineStr">
        <is>
          <t>G</t>
        </is>
      </c>
      <c r="AI232" s="47" t="inlineStr">
        <is>
          <t>G</t>
        </is>
      </c>
      <c r="AJ232" s="47" t="inlineStr">
        <is>
          <t>G</t>
        </is>
      </c>
      <c r="AK232" s="47" t="inlineStr">
        <is>
          <t>G</t>
        </is>
      </c>
      <c r="AL232" s="47" t="inlineStr">
        <is>
          <t>G</t>
        </is>
      </c>
      <c r="AM232" s="47" t="inlineStr">
        <is>
          <t>G</t>
        </is>
      </c>
      <c r="AN232" s="47" t="inlineStr">
        <is>
          <t>G</t>
        </is>
      </c>
      <c r="AO232" s="47" t="inlineStr">
        <is>
          <t>G</t>
        </is>
      </c>
      <c r="AP232" s="47" t="inlineStr">
        <is>
          <t>G</t>
        </is>
      </c>
      <c r="AQ232" s="47" t="inlineStr">
        <is>
          <t>G</t>
        </is>
      </c>
      <c r="AR232" s="47" t="inlineStr">
        <is>
          <t>G</t>
        </is>
      </c>
      <c r="AS232" s="47" t="inlineStr">
        <is>
          <t>G</t>
        </is>
      </c>
      <c r="AT232" s="47" t="inlineStr">
        <is>
          <t>G</t>
        </is>
      </c>
      <c r="AU232" s="47" t="inlineStr">
        <is>
          <t>G</t>
        </is>
      </c>
      <c r="AV232" s="47" t="inlineStr">
        <is>
          <t>G</t>
        </is>
      </c>
      <c r="AW232" s="47" t="inlineStr">
        <is>
          <t>G</t>
        </is>
      </c>
      <c r="AX232" s="47" t="inlineStr">
        <is>
          <t>G</t>
        </is>
      </c>
      <c r="AY232" s="47" t="inlineStr">
        <is>
          <t>G</t>
        </is>
      </c>
      <c r="AZ232" s="47" t="inlineStr">
        <is>
          <t>G</t>
        </is>
      </c>
      <c r="BA232" s="47" t="inlineStr">
        <is>
          <t>G</t>
        </is>
      </c>
      <c r="BB232" s="47" t="inlineStr">
        <is>
          <t>G</t>
        </is>
      </c>
      <c r="BC232" s="47" t="inlineStr">
        <is>
          <t>G</t>
        </is>
      </c>
      <c r="BD232" s="47" t="inlineStr">
        <is>
          <t>G</t>
        </is>
      </c>
      <c r="BE232" s="48">
        <f>D232*$B$6*IF($R$21="Y",1,0)</f>
        <v/>
      </c>
      <c r="BF232" s="48">
        <f>D232*$I$21</f>
        <v/>
      </c>
      <c r="BG232" s="33" t="inlineStr">
        <is>
          <t>-</t>
        </is>
      </c>
      <c r="BH232" s="33" t="inlineStr">
        <is>
          <t>Open field</t>
        </is>
      </c>
      <c r="BI232" s="33">
        <f>$Q$21</f>
        <v/>
      </c>
    </row>
    <row r="233">
      <c r="A233" s="2" t="inlineStr">
        <is>
          <t>ACRES &lt;= 'max if planted' and ACRES &gt;= 'min if planted' are the app's C9 and C10: you cannot plant acres without deciding to plant, and if you plant at all you plant a real block.</t>
        </is>
      </c>
    </row>
    <row r="235">
      <c r="A235" s="36" t="inlineStr">
        <is>
          <t>Week</t>
        </is>
      </c>
      <c r="B235" s="37" t="inlineStr">
        <is>
          <t>acres</t>
        </is>
      </c>
      <c r="E235" s="38" t="n">
        <v>1</v>
      </c>
      <c r="F235" s="38" t="n">
        <v>2</v>
      </c>
      <c r="G235" s="38" t="n">
        <v>3</v>
      </c>
      <c r="H235" s="38" t="n">
        <v>4</v>
      </c>
      <c r="I235" s="38" t="n">
        <v>5</v>
      </c>
      <c r="J235" s="38" t="n">
        <v>6</v>
      </c>
      <c r="K235" s="38" t="n">
        <v>7</v>
      </c>
      <c r="L235" s="38" t="n">
        <v>8</v>
      </c>
      <c r="M235" s="38" t="n">
        <v>9</v>
      </c>
      <c r="N235" s="38" t="n">
        <v>10</v>
      </c>
      <c r="O235" s="38" t="n">
        <v>11</v>
      </c>
      <c r="P235" s="38" t="n">
        <v>12</v>
      </c>
      <c r="Q235" s="38" t="n">
        <v>13</v>
      </c>
      <c r="R235" s="38" t="n">
        <v>14</v>
      </c>
      <c r="S235" s="38" t="n">
        <v>15</v>
      </c>
      <c r="T235" s="38" t="n">
        <v>16</v>
      </c>
      <c r="U235" s="38" t="n">
        <v>17</v>
      </c>
      <c r="V235" s="38" t="n">
        <v>18</v>
      </c>
      <c r="W235" s="38" t="n">
        <v>19</v>
      </c>
      <c r="X235" s="38" t="n">
        <v>20</v>
      </c>
      <c r="Y235" s="38" t="n">
        <v>21</v>
      </c>
      <c r="Z235" s="38" t="n">
        <v>22</v>
      </c>
      <c r="AA235" s="38" t="n">
        <v>23</v>
      </c>
      <c r="AB235" s="38" t="n">
        <v>24</v>
      </c>
      <c r="AC235" s="38" t="n">
        <v>25</v>
      </c>
      <c r="AD235" s="38" t="n">
        <v>26</v>
      </c>
      <c r="AE235" s="38" t="n">
        <v>27</v>
      </c>
      <c r="AF235" s="38" t="n">
        <v>28</v>
      </c>
      <c r="AG235" s="38" t="n">
        <v>29</v>
      </c>
      <c r="AH235" s="38" t="n">
        <v>30</v>
      </c>
      <c r="AI235" s="38" t="n">
        <v>31</v>
      </c>
      <c r="AJ235" s="38" t="n">
        <v>32</v>
      </c>
      <c r="AK235" s="38" t="n">
        <v>33</v>
      </c>
      <c r="AL235" s="38" t="n">
        <v>34</v>
      </c>
      <c r="AM235" s="38" t="n">
        <v>35</v>
      </c>
      <c r="AN235" s="38" t="n">
        <v>36</v>
      </c>
      <c r="AO235" s="38" t="n">
        <v>37</v>
      </c>
      <c r="AP235" s="38" t="n">
        <v>38</v>
      </c>
      <c r="AQ235" s="38" t="n">
        <v>39</v>
      </c>
      <c r="AR235" s="38" t="n">
        <v>40</v>
      </c>
      <c r="AS235" s="38" t="n">
        <v>41</v>
      </c>
      <c r="AT235" s="38" t="n">
        <v>42</v>
      </c>
      <c r="AU235" s="38" t="n">
        <v>43</v>
      </c>
      <c r="AV235" s="38" t="n">
        <v>44</v>
      </c>
      <c r="AW235" s="38" t="n">
        <v>45</v>
      </c>
      <c r="AX235" s="38" t="n">
        <v>46</v>
      </c>
      <c r="AY235" s="38" t="n">
        <v>47</v>
      </c>
      <c r="AZ235" s="38" t="n">
        <v>48</v>
      </c>
      <c r="BA235" s="38" t="n">
        <v>49</v>
      </c>
      <c r="BB235" s="38" t="n">
        <v>50</v>
      </c>
      <c r="BC235" s="38" t="n">
        <v>51</v>
      </c>
      <c r="BD235" s="38" t="n">
        <v>52</v>
      </c>
    </row>
    <row r="236">
      <c r="A236" s="41" t="inlineStr">
        <is>
          <t>LAND in the ground — Open field</t>
        </is>
      </c>
      <c r="B236" s="2" t="inlineStr">
        <is>
          <t>used</t>
        </is>
      </c>
      <c r="E236" s="51">
        <f>SUMPRODUCT((E$92:E$232&lt;&gt;"")*($BH$92:$BH$232="Open field")*$C$92:$C$232)</f>
        <v/>
      </c>
      <c r="F236" s="51">
        <f>SUMPRODUCT((F$92:F$232&lt;&gt;"")*($BH$92:$BH$232="Open field")*$C$92:$C$232)</f>
        <v/>
      </c>
      <c r="G236" s="51">
        <f>SUMPRODUCT((G$92:G$232&lt;&gt;"")*($BH$92:$BH$232="Open field")*$C$92:$C$232)</f>
        <v/>
      </c>
      <c r="H236" s="51">
        <f>SUMPRODUCT((H$92:H$232&lt;&gt;"")*($BH$92:$BH$232="Open field")*$C$92:$C$232)</f>
        <v/>
      </c>
      <c r="I236" s="51">
        <f>SUMPRODUCT((I$92:I$232&lt;&gt;"")*($BH$92:$BH$232="Open field")*$C$92:$C$232)</f>
        <v/>
      </c>
      <c r="J236" s="51">
        <f>SUMPRODUCT((J$92:J$232&lt;&gt;"")*($BH$92:$BH$232="Open field")*$C$92:$C$232)</f>
        <v/>
      </c>
      <c r="K236" s="51">
        <f>SUMPRODUCT((K$92:K$232&lt;&gt;"")*($BH$92:$BH$232="Open field")*$C$92:$C$232)</f>
        <v/>
      </c>
      <c r="L236" s="51">
        <f>SUMPRODUCT((L$92:L$232&lt;&gt;"")*($BH$92:$BH$232="Open field")*$C$92:$C$232)</f>
        <v/>
      </c>
      <c r="M236" s="51">
        <f>SUMPRODUCT((M$92:M$232&lt;&gt;"")*($BH$92:$BH$232="Open field")*$C$92:$C$232)</f>
        <v/>
      </c>
      <c r="N236" s="51">
        <f>SUMPRODUCT((N$92:N$232&lt;&gt;"")*($BH$92:$BH$232="Open field")*$C$92:$C$232)</f>
        <v/>
      </c>
      <c r="O236" s="51">
        <f>SUMPRODUCT((O$92:O$232&lt;&gt;"")*($BH$92:$BH$232="Open field")*$C$92:$C$232)</f>
        <v/>
      </c>
      <c r="P236" s="51">
        <f>SUMPRODUCT((P$92:P$232&lt;&gt;"")*($BH$92:$BH$232="Open field")*$C$92:$C$232)</f>
        <v/>
      </c>
      <c r="Q236" s="51">
        <f>SUMPRODUCT((Q$92:Q$232&lt;&gt;"")*($BH$92:$BH$232="Open field")*$C$92:$C$232)</f>
        <v/>
      </c>
      <c r="R236" s="51">
        <f>SUMPRODUCT((R$92:R$232&lt;&gt;"")*($BH$92:$BH$232="Open field")*$C$92:$C$232)</f>
        <v/>
      </c>
      <c r="S236" s="51">
        <f>SUMPRODUCT((S$92:S$232&lt;&gt;"")*($BH$92:$BH$232="Open field")*$C$92:$C$232)</f>
        <v/>
      </c>
      <c r="T236" s="51">
        <f>SUMPRODUCT((T$92:T$232&lt;&gt;"")*($BH$92:$BH$232="Open field")*$C$92:$C$232)</f>
        <v/>
      </c>
      <c r="U236" s="51">
        <f>SUMPRODUCT((U$92:U$232&lt;&gt;"")*($BH$92:$BH$232="Open field")*$C$92:$C$232)</f>
        <v/>
      </c>
      <c r="V236" s="51">
        <f>SUMPRODUCT((V$92:V$232&lt;&gt;"")*($BH$92:$BH$232="Open field")*$C$92:$C$232)</f>
        <v/>
      </c>
      <c r="W236" s="51">
        <f>SUMPRODUCT((W$92:W$232&lt;&gt;"")*($BH$92:$BH$232="Open field")*$C$92:$C$232)</f>
        <v/>
      </c>
      <c r="X236" s="51">
        <f>SUMPRODUCT((X$92:X$232&lt;&gt;"")*($BH$92:$BH$232="Open field")*$C$92:$C$232)</f>
        <v/>
      </c>
      <c r="Y236" s="51">
        <f>SUMPRODUCT((Y$92:Y$232&lt;&gt;"")*($BH$92:$BH$232="Open field")*$C$92:$C$232)</f>
        <v/>
      </c>
      <c r="Z236" s="51">
        <f>SUMPRODUCT((Z$92:Z$232&lt;&gt;"")*($BH$92:$BH$232="Open field")*$C$92:$C$232)</f>
        <v/>
      </c>
      <c r="AA236" s="51">
        <f>SUMPRODUCT((AA$92:AA$232&lt;&gt;"")*($BH$92:$BH$232="Open field")*$C$92:$C$232)</f>
        <v/>
      </c>
      <c r="AB236" s="51">
        <f>SUMPRODUCT((AB$92:AB$232&lt;&gt;"")*($BH$92:$BH$232="Open field")*$C$92:$C$232)</f>
        <v/>
      </c>
      <c r="AC236" s="51">
        <f>SUMPRODUCT((AC$92:AC$232&lt;&gt;"")*($BH$92:$BH$232="Open field")*$C$92:$C$232)</f>
        <v/>
      </c>
      <c r="AD236" s="51">
        <f>SUMPRODUCT((AD$92:AD$232&lt;&gt;"")*($BH$92:$BH$232="Open field")*$C$92:$C$232)</f>
        <v/>
      </c>
      <c r="AE236" s="51">
        <f>SUMPRODUCT((AE$92:AE$232&lt;&gt;"")*($BH$92:$BH$232="Open field")*$C$92:$C$232)</f>
        <v/>
      </c>
      <c r="AF236" s="51">
        <f>SUMPRODUCT((AF$92:AF$232&lt;&gt;"")*($BH$92:$BH$232="Open field")*$C$92:$C$232)</f>
        <v/>
      </c>
      <c r="AG236" s="51">
        <f>SUMPRODUCT((AG$92:AG$232&lt;&gt;"")*($BH$92:$BH$232="Open field")*$C$92:$C$232)</f>
        <v/>
      </c>
      <c r="AH236" s="51">
        <f>SUMPRODUCT((AH$92:AH$232&lt;&gt;"")*($BH$92:$BH$232="Open field")*$C$92:$C$232)</f>
        <v/>
      </c>
      <c r="AI236" s="51">
        <f>SUMPRODUCT((AI$92:AI$232&lt;&gt;"")*($BH$92:$BH$232="Open field")*$C$92:$C$232)</f>
        <v/>
      </c>
      <c r="AJ236" s="51">
        <f>SUMPRODUCT((AJ$92:AJ$232&lt;&gt;"")*($BH$92:$BH$232="Open field")*$C$92:$C$232)</f>
        <v/>
      </c>
      <c r="AK236" s="51">
        <f>SUMPRODUCT((AK$92:AK$232&lt;&gt;"")*($BH$92:$BH$232="Open field")*$C$92:$C$232)</f>
        <v/>
      </c>
      <c r="AL236" s="51">
        <f>SUMPRODUCT((AL$92:AL$232&lt;&gt;"")*($BH$92:$BH$232="Open field")*$C$92:$C$232)</f>
        <v/>
      </c>
      <c r="AM236" s="51">
        <f>SUMPRODUCT((AM$92:AM$232&lt;&gt;"")*($BH$92:$BH$232="Open field")*$C$92:$C$232)</f>
        <v/>
      </c>
      <c r="AN236" s="51">
        <f>SUMPRODUCT((AN$92:AN$232&lt;&gt;"")*($BH$92:$BH$232="Open field")*$C$92:$C$232)</f>
        <v/>
      </c>
      <c r="AO236" s="51">
        <f>SUMPRODUCT((AO$92:AO$232&lt;&gt;"")*($BH$92:$BH$232="Open field")*$C$92:$C$232)</f>
        <v/>
      </c>
      <c r="AP236" s="51">
        <f>SUMPRODUCT((AP$92:AP$232&lt;&gt;"")*($BH$92:$BH$232="Open field")*$C$92:$C$232)</f>
        <v/>
      </c>
      <c r="AQ236" s="51">
        <f>SUMPRODUCT((AQ$92:AQ$232&lt;&gt;"")*($BH$92:$BH$232="Open field")*$C$92:$C$232)</f>
        <v/>
      </c>
      <c r="AR236" s="51">
        <f>SUMPRODUCT((AR$92:AR$232&lt;&gt;"")*($BH$92:$BH$232="Open field")*$C$92:$C$232)</f>
        <v/>
      </c>
      <c r="AS236" s="51">
        <f>SUMPRODUCT((AS$92:AS$232&lt;&gt;"")*($BH$92:$BH$232="Open field")*$C$92:$C$232)</f>
        <v/>
      </c>
      <c r="AT236" s="51">
        <f>SUMPRODUCT((AT$92:AT$232&lt;&gt;"")*($BH$92:$BH$232="Open field")*$C$92:$C$232)</f>
        <v/>
      </c>
      <c r="AU236" s="51">
        <f>SUMPRODUCT((AU$92:AU$232&lt;&gt;"")*($BH$92:$BH$232="Open field")*$C$92:$C$232)</f>
        <v/>
      </c>
      <c r="AV236" s="51">
        <f>SUMPRODUCT((AV$92:AV$232&lt;&gt;"")*($BH$92:$BH$232="Open field")*$C$92:$C$232)</f>
        <v/>
      </c>
      <c r="AW236" s="51">
        <f>SUMPRODUCT((AW$92:AW$232&lt;&gt;"")*($BH$92:$BH$232="Open field")*$C$92:$C$232)</f>
        <v/>
      </c>
      <c r="AX236" s="51">
        <f>SUMPRODUCT((AX$92:AX$232&lt;&gt;"")*($BH$92:$BH$232="Open field")*$C$92:$C$232)</f>
        <v/>
      </c>
      <c r="AY236" s="51">
        <f>SUMPRODUCT((AY$92:AY$232&lt;&gt;"")*($BH$92:$BH$232="Open field")*$C$92:$C$232)</f>
        <v/>
      </c>
      <c r="AZ236" s="51">
        <f>SUMPRODUCT((AZ$92:AZ$232&lt;&gt;"")*($BH$92:$BH$232="Open field")*$C$92:$C$232)</f>
        <v/>
      </c>
      <c r="BA236" s="51">
        <f>SUMPRODUCT((BA$92:BA$232&lt;&gt;"")*($BH$92:$BH$232="Open field")*$C$92:$C$232)</f>
        <v/>
      </c>
      <c r="BB236" s="51">
        <f>SUMPRODUCT((BB$92:BB$232&lt;&gt;"")*($BH$92:$BH$232="Open field")*$C$92:$C$232)</f>
        <v/>
      </c>
      <c r="BC236" s="51">
        <f>SUMPRODUCT((BC$92:BC$232&lt;&gt;"")*($BH$92:$BH$232="Open field")*$C$92:$C$232)</f>
        <v/>
      </c>
      <c r="BD236" s="51">
        <f>SUMPRODUCT((BD$92:BD$232&lt;&gt;"")*($BH$92:$BH$232="Open field")*$C$92:$C$232)</f>
        <v/>
      </c>
    </row>
    <row r="237">
      <c r="A237" s="4" t="inlineStr"/>
      <c r="E237" s="52" t="inlineStr">
        <is>
          <t>&lt;=</t>
        </is>
      </c>
      <c r="F237" s="52" t="inlineStr">
        <is>
          <t>&lt;=</t>
        </is>
      </c>
      <c r="G237" s="52" t="inlineStr">
        <is>
          <t>&lt;=</t>
        </is>
      </c>
      <c r="H237" s="52" t="inlineStr">
        <is>
          <t>&lt;=</t>
        </is>
      </c>
      <c r="I237" s="52" t="inlineStr">
        <is>
          <t>&lt;=</t>
        </is>
      </c>
      <c r="J237" s="52" t="inlineStr">
        <is>
          <t>&lt;=</t>
        </is>
      </c>
      <c r="K237" s="52" t="inlineStr">
        <is>
          <t>&lt;=</t>
        </is>
      </c>
      <c r="L237" s="52" t="inlineStr">
        <is>
          <t>&lt;=</t>
        </is>
      </c>
      <c r="M237" s="52" t="inlineStr">
        <is>
          <t>&lt;=</t>
        </is>
      </c>
      <c r="N237" s="52" t="inlineStr">
        <is>
          <t>&lt;=</t>
        </is>
      </c>
      <c r="O237" s="52" t="inlineStr">
        <is>
          <t>&lt;=</t>
        </is>
      </c>
      <c r="P237" s="52" t="inlineStr">
        <is>
          <t>&lt;=</t>
        </is>
      </c>
      <c r="Q237" s="52" t="inlineStr">
        <is>
          <t>&lt;=</t>
        </is>
      </c>
      <c r="R237" s="52" t="inlineStr">
        <is>
          <t>&lt;=</t>
        </is>
      </c>
      <c r="S237" s="52" t="inlineStr">
        <is>
          <t>&lt;=</t>
        </is>
      </c>
      <c r="T237" s="52" t="inlineStr">
        <is>
          <t>&lt;=</t>
        </is>
      </c>
      <c r="U237" s="52" t="inlineStr">
        <is>
          <t>&lt;=</t>
        </is>
      </c>
      <c r="V237" s="52" t="inlineStr">
        <is>
          <t>&lt;=</t>
        </is>
      </c>
      <c r="W237" s="52" t="inlineStr">
        <is>
          <t>&lt;=</t>
        </is>
      </c>
      <c r="X237" s="52" t="inlineStr">
        <is>
          <t>&lt;=</t>
        </is>
      </c>
      <c r="Y237" s="52" t="inlineStr">
        <is>
          <t>&lt;=</t>
        </is>
      </c>
      <c r="Z237" s="52" t="inlineStr">
        <is>
          <t>&lt;=</t>
        </is>
      </c>
      <c r="AA237" s="52" t="inlineStr">
        <is>
          <t>&lt;=</t>
        </is>
      </c>
      <c r="AB237" s="52" t="inlineStr">
        <is>
          <t>&lt;=</t>
        </is>
      </c>
      <c r="AC237" s="52" t="inlineStr">
        <is>
          <t>&lt;=</t>
        </is>
      </c>
      <c r="AD237" s="52" t="inlineStr">
        <is>
          <t>&lt;=</t>
        </is>
      </c>
      <c r="AE237" s="52" t="inlineStr">
        <is>
          <t>&lt;=</t>
        </is>
      </c>
      <c r="AF237" s="52" t="inlineStr">
        <is>
          <t>&lt;=</t>
        </is>
      </c>
      <c r="AG237" s="52" t="inlineStr">
        <is>
          <t>&lt;=</t>
        </is>
      </c>
      <c r="AH237" s="52" t="inlineStr">
        <is>
          <t>&lt;=</t>
        </is>
      </c>
      <c r="AI237" s="52" t="inlineStr">
        <is>
          <t>&lt;=</t>
        </is>
      </c>
      <c r="AJ237" s="52" t="inlineStr">
        <is>
          <t>&lt;=</t>
        </is>
      </c>
      <c r="AK237" s="52" t="inlineStr">
        <is>
          <t>&lt;=</t>
        </is>
      </c>
      <c r="AL237" s="52" t="inlineStr">
        <is>
          <t>&lt;=</t>
        </is>
      </c>
      <c r="AM237" s="52" t="inlineStr">
        <is>
          <t>&lt;=</t>
        </is>
      </c>
      <c r="AN237" s="52" t="inlineStr">
        <is>
          <t>&lt;=</t>
        </is>
      </c>
      <c r="AO237" s="52" t="inlineStr">
        <is>
          <t>&lt;=</t>
        </is>
      </c>
      <c r="AP237" s="52" t="inlineStr">
        <is>
          <t>&lt;=</t>
        </is>
      </c>
      <c r="AQ237" s="52" t="inlineStr">
        <is>
          <t>&lt;=</t>
        </is>
      </c>
      <c r="AR237" s="52" t="inlineStr">
        <is>
          <t>&lt;=</t>
        </is>
      </c>
      <c r="AS237" s="52" t="inlineStr">
        <is>
          <t>&lt;=</t>
        </is>
      </c>
      <c r="AT237" s="52" t="inlineStr">
        <is>
          <t>&lt;=</t>
        </is>
      </c>
      <c r="AU237" s="52" t="inlineStr">
        <is>
          <t>&lt;=</t>
        </is>
      </c>
      <c r="AV237" s="52" t="inlineStr">
        <is>
          <t>&lt;=</t>
        </is>
      </c>
      <c r="AW237" s="52" t="inlineStr">
        <is>
          <t>&lt;=</t>
        </is>
      </c>
      <c r="AX237" s="52" t="inlineStr">
        <is>
          <t>&lt;=</t>
        </is>
      </c>
      <c r="AY237" s="52" t="inlineStr">
        <is>
          <t>&lt;=</t>
        </is>
      </c>
      <c r="AZ237" s="52" t="inlineStr">
        <is>
          <t>&lt;=</t>
        </is>
      </c>
      <c r="BA237" s="52" t="inlineStr">
        <is>
          <t>&lt;=</t>
        </is>
      </c>
      <c r="BB237" s="52" t="inlineStr">
        <is>
          <t>&lt;=</t>
        </is>
      </c>
      <c r="BC237" s="52" t="inlineStr">
        <is>
          <t>&lt;=</t>
        </is>
      </c>
      <c r="BD237" s="52" t="inlineStr">
        <is>
          <t>&lt;=</t>
        </is>
      </c>
    </row>
    <row r="238">
      <c r="A238" s="41" t="inlineStr">
        <is>
          <t xml:space="preserve">  limit</t>
        </is>
      </c>
      <c r="B238" s="2" t="inlineStr">
        <is>
          <t>cap</t>
        </is>
      </c>
      <c r="E238" s="51">
        <f>$B$11</f>
        <v/>
      </c>
      <c r="F238" s="51">
        <f>$B$11</f>
        <v/>
      </c>
      <c r="G238" s="51">
        <f>$B$11</f>
        <v/>
      </c>
      <c r="H238" s="51">
        <f>$B$11</f>
        <v/>
      </c>
      <c r="I238" s="51">
        <f>$B$11</f>
        <v/>
      </c>
      <c r="J238" s="51">
        <f>$B$11</f>
        <v/>
      </c>
      <c r="K238" s="51">
        <f>$B$11</f>
        <v/>
      </c>
      <c r="L238" s="51">
        <f>$B$11</f>
        <v/>
      </c>
      <c r="M238" s="51">
        <f>$B$11</f>
        <v/>
      </c>
      <c r="N238" s="51">
        <f>$B$11</f>
        <v/>
      </c>
      <c r="O238" s="51">
        <f>$B$11</f>
        <v/>
      </c>
      <c r="P238" s="51">
        <f>$B$11</f>
        <v/>
      </c>
      <c r="Q238" s="51">
        <f>$B$11</f>
        <v/>
      </c>
      <c r="R238" s="51">
        <f>$B$11</f>
        <v/>
      </c>
      <c r="S238" s="51">
        <f>$B$11</f>
        <v/>
      </c>
      <c r="T238" s="51">
        <f>$B$11</f>
        <v/>
      </c>
      <c r="U238" s="51">
        <f>$B$11</f>
        <v/>
      </c>
      <c r="V238" s="51">
        <f>$B$11</f>
        <v/>
      </c>
      <c r="W238" s="51">
        <f>$B$11</f>
        <v/>
      </c>
      <c r="X238" s="51">
        <f>$B$11</f>
        <v/>
      </c>
      <c r="Y238" s="51">
        <f>$B$11</f>
        <v/>
      </c>
      <c r="Z238" s="51">
        <f>$B$11</f>
        <v/>
      </c>
      <c r="AA238" s="51">
        <f>$B$11</f>
        <v/>
      </c>
      <c r="AB238" s="51">
        <f>$B$11</f>
        <v/>
      </c>
      <c r="AC238" s="51">
        <f>$B$11</f>
        <v/>
      </c>
      <c r="AD238" s="51">
        <f>$B$11</f>
        <v/>
      </c>
      <c r="AE238" s="51">
        <f>$B$11</f>
        <v/>
      </c>
      <c r="AF238" s="51">
        <f>$B$11</f>
        <v/>
      </c>
      <c r="AG238" s="51">
        <f>$B$11</f>
        <v/>
      </c>
      <c r="AH238" s="51">
        <f>$B$11</f>
        <v/>
      </c>
      <c r="AI238" s="51">
        <f>$B$11</f>
        <v/>
      </c>
      <c r="AJ238" s="51">
        <f>$B$11</f>
        <v/>
      </c>
      <c r="AK238" s="51">
        <f>$B$11</f>
        <v/>
      </c>
      <c r="AL238" s="51">
        <f>$B$11</f>
        <v/>
      </c>
      <c r="AM238" s="51">
        <f>$B$11</f>
        <v/>
      </c>
      <c r="AN238" s="51">
        <f>$B$11</f>
        <v/>
      </c>
      <c r="AO238" s="51">
        <f>$B$11</f>
        <v/>
      </c>
      <c r="AP238" s="51">
        <f>$B$11</f>
        <v/>
      </c>
      <c r="AQ238" s="51">
        <f>$B$11</f>
        <v/>
      </c>
      <c r="AR238" s="51">
        <f>$B$11</f>
        <v/>
      </c>
      <c r="AS238" s="51">
        <f>$B$11</f>
        <v/>
      </c>
      <c r="AT238" s="51">
        <f>$B$11</f>
        <v/>
      </c>
      <c r="AU238" s="51">
        <f>$B$11</f>
        <v/>
      </c>
      <c r="AV238" s="51">
        <f>$B$11</f>
        <v/>
      </c>
      <c r="AW238" s="51">
        <f>$B$11</f>
        <v/>
      </c>
      <c r="AX238" s="51">
        <f>$B$11</f>
        <v/>
      </c>
      <c r="AY238" s="51">
        <f>$B$11</f>
        <v/>
      </c>
      <c r="AZ238" s="51">
        <f>$B$11</f>
        <v/>
      </c>
      <c r="BA238" s="51">
        <f>$B$11</f>
        <v/>
      </c>
      <c r="BB238" s="51">
        <f>$B$11</f>
        <v/>
      </c>
      <c r="BC238" s="51">
        <f>$B$11</f>
        <v/>
      </c>
      <c r="BD238" s="51">
        <f>$B$11</f>
        <v/>
      </c>
    </row>
    <row r="239">
      <c r="A239" s="43" t="inlineStr">
        <is>
          <t xml:space="preserve">  room left</t>
        </is>
      </c>
      <c r="E239" s="51">
        <f>$B$11-E236</f>
        <v/>
      </c>
      <c r="F239" s="51">
        <f>$B$11-F236</f>
        <v/>
      </c>
      <c r="G239" s="51">
        <f>$B$11-G236</f>
        <v/>
      </c>
      <c r="H239" s="51">
        <f>$B$11-H236</f>
        <v/>
      </c>
      <c r="I239" s="51">
        <f>$B$11-I236</f>
        <v/>
      </c>
      <c r="J239" s="51">
        <f>$B$11-J236</f>
        <v/>
      </c>
      <c r="K239" s="51">
        <f>$B$11-K236</f>
        <v/>
      </c>
      <c r="L239" s="51">
        <f>$B$11-L236</f>
        <v/>
      </c>
      <c r="M239" s="51">
        <f>$B$11-M236</f>
        <v/>
      </c>
      <c r="N239" s="51">
        <f>$B$11-N236</f>
        <v/>
      </c>
      <c r="O239" s="51">
        <f>$B$11-O236</f>
        <v/>
      </c>
      <c r="P239" s="51">
        <f>$B$11-P236</f>
        <v/>
      </c>
      <c r="Q239" s="51">
        <f>$B$11-Q236</f>
        <v/>
      </c>
      <c r="R239" s="51">
        <f>$B$11-R236</f>
        <v/>
      </c>
      <c r="S239" s="51">
        <f>$B$11-S236</f>
        <v/>
      </c>
      <c r="T239" s="51">
        <f>$B$11-T236</f>
        <v/>
      </c>
      <c r="U239" s="51">
        <f>$B$11-U236</f>
        <v/>
      </c>
      <c r="V239" s="51">
        <f>$B$11-V236</f>
        <v/>
      </c>
      <c r="W239" s="51">
        <f>$B$11-W236</f>
        <v/>
      </c>
      <c r="X239" s="51">
        <f>$B$11-X236</f>
        <v/>
      </c>
      <c r="Y239" s="51">
        <f>$B$11-Y236</f>
        <v/>
      </c>
      <c r="Z239" s="51">
        <f>$B$11-Z236</f>
        <v/>
      </c>
      <c r="AA239" s="51">
        <f>$B$11-AA236</f>
        <v/>
      </c>
      <c r="AB239" s="51">
        <f>$B$11-AB236</f>
        <v/>
      </c>
      <c r="AC239" s="51">
        <f>$B$11-AC236</f>
        <v/>
      </c>
      <c r="AD239" s="51">
        <f>$B$11-AD236</f>
        <v/>
      </c>
      <c r="AE239" s="51">
        <f>$B$11-AE236</f>
        <v/>
      </c>
      <c r="AF239" s="51">
        <f>$B$11-AF236</f>
        <v/>
      </c>
      <c r="AG239" s="51">
        <f>$B$11-AG236</f>
        <v/>
      </c>
      <c r="AH239" s="51">
        <f>$B$11-AH236</f>
        <v/>
      </c>
      <c r="AI239" s="51">
        <f>$B$11-AI236</f>
        <v/>
      </c>
      <c r="AJ239" s="51">
        <f>$B$11-AJ236</f>
        <v/>
      </c>
      <c r="AK239" s="51">
        <f>$B$11-AK236</f>
        <v/>
      </c>
      <c r="AL239" s="51">
        <f>$B$11-AL236</f>
        <v/>
      </c>
      <c r="AM239" s="51">
        <f>$B$11-AM236</f>
        <v/>
      </c>
      <c r="AN239" s="51">
        <f>$B$11-AN236</f>
        <v/>
      </c>
      <c r="AO239" s="51">
        <f>$B$11-AO236</f>
        <v/>
      </c>
      <c r="AP239" s="51">
        <f>$B$11-AP236</f>
        <v/>
      </c>
      <c r="AQ239" s="51">
        <f>$B$11-AQ236</f>
        <v/>
      </c>
      <c r="AR239" s="51">
        <f>$B$11-AR236</f>
        <v/>
      </c>
      <c r="AS239" s="51">
        <f>$B$11-AS236</f>
        <v/>
      </c>
      <c r="AT239" s="51">
        <f>$B$11-AT236</f>
        <v/>
      </c>
      <c r="AU239" s="51">
        <f>$B$11-AU236</f>
        <v/>
      </c>
      <c r="AV239" s="51">
        <f>$B$11-AV236</f>
        <v/>
      </c>
      <c r="AW239" s="51">
        <f>$B$11-AW236</f>
        <v/>
      </c>
      <c r="AX239" s="51">
        <f>$B$11-AX236</f>
        <v/>
      </c>
      <c r="AY239" s="51">
        <f>$B$11-AY236</f>
        <v/>
      </c>
      <c r="AZ239" s="51">
        <f>$B$11-AZ236</f>
        <v/>
      </c>
      <c r="BA239" s="51">
        <f>$B$11-BA236</f>
        <v/>
      </c>
      <c r="BB239" s="51">
        <f>$B$11-BB236</f>
        <v/>
      </c>
      <c r="BC239" s="51">
        <f>$B$11-BC236</f>
        <v/>
      </c>
      <c r="BD239" s="51">
        <f>$B$11-BD236</f>
        <v/>
      </c>
    </row>
    <row r="240">
      <c r="A240" s="2" t="inlineStr">
        <is>
          <t xml:space="preserve">   Acres standing in Open field that week, the committed Asparagus blocks included.</t>
        </is>
      </c>
    </row>
    <row r="242">
      <c r="A242" s="36" t="inlineStr">
        <is>
          <t>Week</t>
        </is>
      </c>
      <c r="B242" s="37" t="inlineStr">
        <is>
          <t>acres</t>
        </is>
      </c>
      <c r="E242" s="38" t="n">
        <v>1</v>
      </c>
      <c r="F242" s="38" t="n">
        <v>2</v>
      </c>
      <c r="G242" s="38" t="n">
        <v>3</v>
      </c>
      <c r="H242" s="38" t="n">
        <v>4</v>
      </c>
      <c r="I242" s="38" t="n">
        <v>5</v>
      </c>
      <c r="J242" s="38" t="n">
        <v>6</v>
      </c>
      <c r="K242" s="38" t="n">
        <v>7</v>
      </c>
      <c r="L242" s="38" t="n">
        <v>8</v>
      </c>
      <c r="M242" s="38" t="n">
        <v>9</v>
      </c>
      <c r="N242" s="38" t="n">
        <v>10</v>
      </c>
      <c r="O242" s="38" t="n">
        <v>11</v>
      </c>
      <c r="P242" s="38" t="n">
        <v>12</v>
      </c>
      <c r="Q242" s="38" t="n">
        <v>13</v>
      </c>
      <c r="R242" s="38" t="n">
        <v>14</v>
      </c>
      <c r="S242" s="38" t="n">
        <v>15</v>
      </c>
      <c r="T242" s="38" t="n">
        <v>16</v>
      </c>
      <c r="U242" s="38" t="n">
        <v>17</v>
      </c>
      <c r="V242" s="38" t="n">
        <v>18</v>
      </c>
      <c r="W242" s="38" t="n">
        <v>19</v>
      </c>
      <c r="X242" s="38" t="n">
        <v>20</v>
      </c>
      <c r="Y242" s="38" t="n">
        <v>21</v>
      </c>
      <c r="Z242" s="38" t="n">
        <v>22</v>
      </c>
      <c r="AA242" s="38" t="n">
        <v>23</v>
      </c>
      <c r="AB242" s="38" t="n">
        <v>24</v>
      </c>
      <c r="AC242" s="38" t="n">
        <v>25</v>
      </c>
      <c r="AD242" s="38" t="n">
        <v>26</v>
      </c>
      <c r="AE242" s="38" t="n">
        <v>27</v>
      </c>
      <c r="AF242" s="38" t="n">
        <v>28</v>
      </c>
      <c r="AG242" s="38" t="n">
        <v>29</v>
      </c>
      <c r="AH242" s="38" t="n">
        <v>30</v>
      </c>
      <c r="AI242" s="38" t="n">
        <v>31</v>
      </c>
      <c r="AJ242" s="38" t="n">
        <v>32</v>
      </c>
      <c r="AK242" s="38" t="n">
        <v>33</v>
      </c>
      <c r="AL242" s="38" t="n">
        <v>34</v>
      </c>
      <c r="AM242" s="38" t="n">
        <v>35</v>
      </c>
      <c r="AN242" s="38" t="n">
        <v>36</v>
      </c>
      <c r="AO242" s="38" t="n">
        <v>37</v>
      </c>
      <c r="AP242" s="38" t="n">
        <v>38</v>
      </c>
      <c r="AQ242" s="38" t="n">
        <v>39</v>
      </c>
      <c r="AR242" s="38" t="n">
        <v>40</v>
      </c>
      <c r="AS242" s="38" t="n">
        <v>41</v>
      </c>
      <c r="AT242" s="38" t="n">
        <v>42</v>
      </c>
      <c r="AU242" s="38" t="n">
        <v>43</v>
      </c>
      <c r="AV242" s="38" t="n">
        <v>44</v>
      </c>
      <c r="AW242" s="38" t="n">
        <v>45</v>
      </c>
      <c r="AX242" s="38" t="n">
        <v>46</v>
      </c>
      <c r="AY242" s="38" t="n">
        <v>47</v>
      </c>
      <c r="AZ242" s="38" t="n">
        <v>48</v>
      </c>
      <c r="BA242" s="38" t="n">
        <v>49</v>
      </c>
      <c r="BB242" s="38" t="n">
        <v>50</v>
      </c>
      <c r="BC242" s="38" t="n">
        <v>51</v>
      </c>
      <c r="BD242" s="38" t="n">
        <v>52</v>
      </c>
    </row>
    <row r="243">
      <c r="A243" s="41" t="inlineStr">
        <is>
          <t>LAND in the ground — High tunnel</t>
        </is>
      </c>
      <c r="B243" s="2" t="inlineStr">
        <is>
          <t>used</t>
        </is>
      </c>
      <c r="E243" s="51">
        <f>SUMPRODUCT((E$92:E$232&lt;&gt;"")*($BH$92:$BH$232="High tunnel")*$C$92:$C$232)</f>
        <v/>
      </c>
      <c r="F243" s="51">
        <f>SUMPRODUCT((F$92:F$232&lt;&gt;"")*($BH$92:$BH$232="High tunnel")*$C$92:$C$232)</f>
        <v/>
      </c>
      <c r="G243" s="51">
        <f>SUMPRODUCT((G$92:G$232&lt;&gt;"")*($BH$92:$BH$232="High tunnel")*$C$92:$C$232)</f>
        <v/>
      </c>
      <c r="H243" s="51">
        <f>SUMPRODUCT((H$92:H$232&lt;&gt;"")*($BH$92:$BH$232="High tunnel")*$C$92:$C$232)</f>
        <v/>
      </c>
      <c r="I243" s="51">
        <f>SUMPRODUCT((I$92:I$232&lt;&gt;"")*($BH$92:$BH$232="High tunnel")*$C$92:$C$232)</f>
        <v/>
      </c>
      <c r="J243" s="51">
        <f>SUMPRODUCT((J$92:J$232&lt;&gt;"")*($BH$92:$BH$232="High tunnel")*$C$92:$C$232)</f>
        <v/>
      </c>
      <c r="K243" s="51">
        <f>SUMPRODUCT((K$92:K$232&lt;&gt;"")*($BH$92:$BH$232="High tunnel")*$C$92:$C$232)</f>
        <v/>
      </c>
      <c r="L243" s="51">
        <f>SUMPRODUCT((L$92:L$232&lt;&gt;"")*($BH$92:$BH$232="High tunnel")*$C$92:$C$232)</f>
        <v/>
      </c>
      <c r="M243" s="51">
        <f>SUMPRODUCT((M$92:M$232&lt;&gt;"")*($BH$92:$BH$232="High tunnel")*$C$92:$C$232)</f>
        <v/>
      </c>
      <c r="N243" s="51">
        <f>SUMPRODUCT((N$92:N$232&lt;&gt;"")*($BH$92:$BH$232="High tunnel")*$C$92:$C$232)</f>
        <v/>
      </c>
      <c r="O243" s="51">
        <f>SUMPRODUCT((O$92:O$232&lt;&gt;"")*($BH$92:$BH$232="High tunnel")*$C$92:$C$232)</f>
        <v/>
      </c>
      <c r="P243" s="51">
        <f>SUMPRODUCT((P$92:P$232&lt;&gt;"")*($BH$92:$BH$232="High tunnel")*$C$92:$C$232)</f>
        <v/>
      </c>
      <c r="Q243" s="51">
        <f>SUMPRODUCT((Q$92:Q$232&lt;&gt;"")*($BH$92:$BH$232="High tunnel")*$C$92:$C$232)</f>
        <v/>
      </c>
      <c r="R243" s="51">
        <f>SUMPRODUCT((R$92:R$232&lt;&gt;"")*($BH$92:$BH$232="High tunnel")*$C$92:$C$232)</f>
        <v/>
      </c>
      <c r="S243" s="51">
        <f>SUMPRODUCT((S$92:S$232&lt;&gt;"")*($BH$92:$BH$232="High tunnel")*$C$92:$C$232)</f>
        <v/>
      </c>
      <c r="T243" s="51">
        <f>SUMPRODUCT((T$92:T$232&lt;&gt;"")*($BH$92:$BH$232="High tunnel")*$C$92:$C$232)</f>
        <v/>
      </c>
      <c r="U243" s="51">
        <f>SUMPRODUCT((U$92:U$232&lt;&gt;"")*($BH$92:$BH$232="High tunnel")*$C$92:$C$232)</f>
        <v/>
      </c>
      <c r="V243" s="51">
        <f>SUMPRODUCT((V$92:V$232&lt;&gt;"")*($BH$92:$BH$232="High tunnel")*$C$92:$C$232)</f>
        <v/>
      </c>
      <c r="W243" s="51">
        <f>SUMPRODUCT((W$92:W$232&lt;&gt;"")*($BH$92:$BH$232="High tunnel")*$C$92:$C$232)</f>
        <v/>
      </c>
      <c r="X243" s="51">
        <f>SUMPRODUCT((X$92:X$232&lt;&gt;"")*($BH$92:$BH$232="High tunnel")*$C$92:$C$232)</f>
        <v/>
      </c>
      <c r="Y243" s="51">
        <f>SUMPRODUCT((Y$92:Y$232&lt;&gt;"")*($BH$92:$BH$232="High tunnel")*$C$92:$C$232)</f>
        <v/>
      </c>
      <c r="Z243" s="51">
        <f>SUMPRODUCT((Z$92:Z$232&lt;&gt;"")*($BH$92:$BH$232="High tunnel")*$C$92:$C$232)</f>
        <v/>
      </c>
      <c r="AA243" s="51">
        <f>SUMPRODUCT((AA$92:AA$232&lt;&gt;"")*($BH$92:$BH$232="High tunnel")*$C$92:$C$232)</f>
        <v/>
      </c>
      <c r="AB243" s="51">
        <f>SUMPRODUCT((AB$92:AB$232&lt;&gt;"")*($BH$92:$BH$232="High tunnel")*$C$92:$C$232)</f>
        <v/>
      </c>
      <c r="AC243" s="51">
        <f>SUMPRODUCT((AC$92:AC$232&lt;&gt;"")*($BH$92:$BH$232="High tunnel")*$C$92:$C$232)</f>
        <v/>
      </c>
      <c r="AD243" s="51">
        <f>SUMPRODUCT((AD$92:AD$232&lt;&gt;"")*($BH$92:$BH$232="High tunnel")*$C$92:$C$232)</f>
        <v/>
      </c>
      <c r="AE243" s="51">
        <f>SUMPRODUCT((AE$92:AE$232&lt;&gt;"")*($BH$92:$BH$232="High tunnel")*$C$92:$C$232)</f>
        <v/>
      </c>
      <c r="AF243" s="51">
        <f>SUMPRODUCT((AF$92:AF$232&lt;&gt;"")*($BH$92:$BH$232="High tunnel")*$C$92:$C$232)</f>
        <v/>
      </c>
      <c r="AG243" s="51">
        <f>SUMPRODUCT((AG$92:AG$232&lt;&gt;"")*($BH$92:$BH$232="High tunnel")*$C$92:$C$232)</f>
        <v/>
      </c>
      <c r="AH243" s="51">
        <f>SUMPRODUCT((AH$92:AH$232&lt;&gt;"")*($BH$92:$BH$232="High tunnel")*$C$92:$C$232)</f>
        <v/>
      </c>
      <c r="AI243" s="51">
        <f>SUMPRODUCT((AI$92:AI$232&lt;&gt;"")*($BH$92:$BH$232="High tunnel")*$C$92:$C$232)</f>
        <v/>
      </c>
      <c r="AJ243" s="51">
        <f>SUMPRODUCT((AJ$92:AJ$232&lt;&gt;"")*($BH$92:$BH$232="High tunnel")*$C$92:$C$232)</f>
        <v/>
      </c>
      <c r="AK243" s="51">
        <f>SUMPRODUCT((AK$92:AK$232&lt;&gt;"")*($BH$92:$BH$232="High tunnel")*$C$92:$C$232)</f>
        <v/>
      </c>
      <c r="AL243" s="51">
        <f>SUMPRODUCT((AL$92:AL$232&lt;&gt;"")*($BH$92:$BH$232="High tunnel")*$C$92:$C$232)</f>
        <v/>
      </c>
      <c r="AM243" s="51">
        <f>SUMPRODUCT((AM$92:AM$232&lt;&gt;"")*($BH$92:$BH$232="High tunnel")*$C$92:$C$232)</f>
        <v/>
      </c>
      <c r="AN243" s="51">
        <f>SUMPRODUCT((AN$92:AN$232&lt;&gt;"")*($BH$92:$BH$232="High tunnel")*$C$92:$C$232)</f>
        <v/>
      </c>
      <c r="AO243" s="51">
        <f>SUMPRODUCT((AO$92:AO$232&lt;&gt;"")*($BH$92:$BH$232="High tunnel")*$C$92:$C$232)</f>
        <v/>
      </c>
      <c r="AP243" s="51">
        <f>SUMPRODUCT((AP$92:AP$232&lt;&gt;"")*($BH$92:$BH$232="High tunnel")*$C$92:$C$232)</f>
        <v/>
      </c>
      <c r="AQ243" s="51">
        <f>SUMPRODUCT((AQ$92:AQ$232&lt;&gt;"")*($BH$92:$BH$232="High tunnel")*$C$92:$C$232)</f>
        <v/>
      </c>
      <c r="AR243" s="51">
        <f>SUMPRODUCT((AR$92:AR$232&lt;&gt;"")*($BH$92:$BH$232="High tunnel")*$C$92:$C$232)</f>
        <v/>
      </c>
      <c r="AS243" s="51">
        <f>SUMPRODUCT((AS$92:AS$232&lt;&gt;"")*($BH$92:$BH$232="High tunnel")*$C$92:$C$232)</f>
        <v/>
      </c>
      <c r="AT243" s="51">
        <f>SUMPRODUCT((AT$92:AT$232&lt;&gt;"")*($BH$92:$BH$232="High tunnel")*$C$92:$C$232)</f>
        <v/>
      </c>
      <c r="AU243" s="51">
        <f>SUMPRODUCT((AU$92:AU$232&lt;&gt;"")*($BH$92:$BH$232="High tunnel")*$C$92:$C$232)</f>
        <v/>
      </c>
      <c r="AV243" s="51">
        <f>SUMPRODUCT((AV$92:AV$232&lt;&gt;"")*($BH$92:$BH$232="High tunnel")*$C$92:$C$232)</f>
        <v/>
      </c>
      <c r="AW243" s="51">
        <f>SUMPRODUCT((AW$92:AW$232&lt;&gt;"")*($BH$92:$BH$232="High tunnel")*$C$92:$C$232)</f>
        <v/>
      </c>
      <c r="AX243" s="51">
        <f>SUMPRODUCT((AX$92:AX$232&lt;&gt;"")*($BH$92:$BH$232="High tunnel")*$C$92:$C$232)</f>
        <v/>
      </c>
      <c r="AY243" s="51">
        <f>SUMPRODUCT((AY$92:AY$232&lt;&gt;"")*($BH$92:$BH$232="High tunnel")*$C$92:$C$232)</f>
        <v/>
      </c>
      <c r="AZ243" s="51">
        <f>SUMPRODUCT((AZ$92:AZ$232&lt;&gt;"")*($BH$92:$BH$232="High tunnel")*$C$92:$C$232)</f>
        <v/>
      </c>
      <c r="BA243" s="51">
        <f>SUMPRODUCT((BA$92:BA$232&lt;&gt;"")*($BH$92:$BH$232="High tunnel")*$C$92:$C$232)</f>
        <v/>
      </c>
      <c r="BB243" s="51">
        <f>SUMPRODUCT((BB$92:BB$232&lt;&gt;"")*($BH$92:$BH$232="High tunnel")*$C$92:$C$232)</f>
        <v/>
      </c>
      <c r="BC243" s="51">
        <f>SUMPRODUCT((BC$92:BC$232&lt;&gt;"")*($BH$92:$BH$232="High tunnel")*$C$92:$C$232)</f>
        <v/>
      </c>
      <c r="BD243" s="51">
        <f>SUMPRODUCT((BD$92:BD$232&lt;&gt;"")*($BH$92:$BH$232="High tunnel")*$C$92:$C$232)</f>
        <v/>
      </c>
    </row>
    <row r="244">
      <c r="A244" s="4" t="inlineStr"/>
      <c r="E244" s="52" t="inlineStr">
        <is>
          <t>&lt;=</t>
        </is>
      </c>
      <c r="F244" s="52" t="inlineStr">
        <is>
          <t>&lt;=</t>
        </is>
      </c>
      <c r="G244" s="52" t="inlineStr">
        <is>
          <t>&lt;=</t>
        </is>
      </c>
      <c r="H244" s="52" t="inlineStr">
        <is>
          <t>&lt;=</t>
        </is>
      </c>
      <c r="I244" s="52" t="inlineStr">
        <is>
          <t>&lt;=</t>
        </is>
      </c>
      <c r="J244" s="52" t="inlineStr">
        <is>
          <t>&lt;=</t>
        </is>
      </c>
      <c r="K244" s="52" t="inlineStr">
        <is>
          <t>&lt;=</t>
        </is>
      </c>
      <c r="L244" s="52" t="inlineStr">
        <is>
          <t>&lt;=</t>
        </is>
      </c>
      <c r="M244" s="52" t="inlineStr">
        <is>
          <t>&lt;=</t>
        </is>
      </c>
      <c r="N244" s="52" t="inlineStr">
        <is>
          <t>&lt;=</t>
        </is>
      </c>
      <c r="O244" s="52" t="inlineStr">
        <is>
          <t>&lt;=</t>
        </is>
      </c>
      <c r="P244" s="52" t="inlineStr">
        <is>
          <t>&lt;=</t>
        </is>
      </c>
      <c r="Q244" s="52" t="inlineStr">
        <is>
          <t>&lt;=</t>
        </is>
      </c>
      <c r="R244" s="52" t="inlineStr">
        <is>
          <t>&lt;=</t>
        </is>
      </c>
      <c r="S244" s="52" t="inlineStr">
        <is>
          <t>&lt;=</t>
        </is>
      </c>
      <c r="T244" s="52" t="inlineStr">
        <is>
          <t>&lt;=</t>
        </is>
      </c>
      <c r="U244" s="52" t="inlineStr">
        <is>
          <t>&lt;=</t>
        </is>
      </c>
      <c r="V244" s="52" t="inlineStr">
        <is>
          <t>&lt;=</t>
        </is>
      </c>
      <c r="W244" s="52" t="inlineStr">
        <is>
          <t>&lt;=</t>
        </is>
      </c>
      <c r="X244" s="52" t="inlineStr">
        <is>
          <t>&lt;=</t>
        </is>
      </c>
      <c r="Y244" s="52" t="inlineStr">
        <is>
          <t>&lt;=</t>
        </is>
      </c>
      <c r="Z244" s="52" t="inlineStr">
        <is>
          <t>&lt;=</t>
        </is>
      </c>
      <c r="AA244" s="52" t="inlineStr">
        <is>
          <t>&lt;=</t>
        </is>
      </c>
      <c r="AB244" s="52" t="inlineStr">
        <is>
          <t>&lt;=</t>
        </is>
      </c>
      <c r="AC244" s="52" t="inlineStr">
        <is>
          <t>&lt;=</t>
        </is>
      </c>
      <c r="AD244" s="52" t="inlineStr">
        <is>
          <t>&lt;=</t>
        </is>
      </c>
      <c r="AE244" s="52" t="inlineStr">
        <is>
          <t>&lt;=</t>
        </is>
      </c>
      <c r="AF244" s="52" t="inlineStr">
        <is>
          <t>&lt;=</t>
        </is>
      </c>
      <c r="AG244" s="52" t="inlineStr">
        <is>
          <t>&lt;=</t>
        </is>
      </c>
      <c r="AH244" s="52" t="inlineStr">
        <is>
          <t>&lt;=</t>
        </is>
      </c>
      <c r="AI244" s="52" t="inlineStr">
        <is>
          <t>&lt;=</t>
        </is>
      </c>
      <c r="AJ244" s="52" t="inlineStr">
        <is>
          <t>&lt;=</t>
        </is>
      </c>
      <c r="AK244" s="52" t="inlineStr">
        <is>
          <t>&lt;=</t>
        </is>
      </c>
      <c r="AL244" s="52" t="inlineStr">
        <is>
          <t>&lt;=</t>
        </is>
      </c>
      <c r="AM244" s="52" t="inlineStr">
        <is>
          <t>&lt;=</t>
        </is>
      </c>
      <c r="AN244" s="52" t="inlineStr">
        <is>
          <t>&lt;=</t>
        </is>
      </c>
      <c r="AO244" s="52" t="inlineStr">
        <is>
          <t>&lt;=</t>
        </is>
      </c>
      <c r="AP244" s="52" t="inlineStr">
        <is>
          <t>&lt;=</t>
        </is>
      </c>
      <c r="AQ244" s="52" t="inlineStr">
        <is>
          <t>&lt;=</t>
        </is>
      </c>
      <c r="AR244" s="52" t="inlineStr">
        <is>
          <t>&lt;=</t>
        </is>
      </c>
      <c r="AS244" s="52" t="inlineStr">
        <is>
          <t>&lt;=</t>
        </is>
      </c>
      <c r="AT244" s="52" t="inlineStr">
        <is>
          <t>&lt;=</t>
        </is>
      </c>
      <c r="AU244" s="52" t="inlineStr">
        <is>
          <t>&lt;=</t>
        </is>
      </c>
      <c r="AV244" s="52" t="inlineStr">
        <is>
          <t>&lt;=</t>
        </is>
      </c>
      <c r="AW244" s="52" t="inlineStr">
        <is>
          <t>&lt;=</t>
        </is>
      </c>
      <c r="AX244" s="52" t="inlineStr">
        <is>
          <t>&lt;=</t>
        </is>
      </c>
      <c r="AY244" s="52" t="inlineStr">
        <is>
          <t>&lt;=</t>
        </is>
      </c>
      <c r="AZ244" s="52" t="inlineStr">
        <is>
          <t>&lt;=</t>
        </is>
      </c>
      <c r="BA244" s="52" t="inlineStr">
        <is>
          <t>&lt;=</t>
        </is>
      </c>
      <c r="BB244" s="52" t="inlineStr">
        <is>
          <t>&lt;=</t>
        </is>
      </c>
      <c r="BC244" s="52" t="inlineStr">
        <is>
          <t>&lt;=</t>
        </is>
      </c>
      <c r="BD244" s="52" t="inlineStr">
        <is>
          <t>&lt;=</t>
        </is>
      </c>
    </row>
    <row r="245">
      <c r="A245" s="41" t="inlineStr">
        <is>
          <t xml:space="preserve">  limit</t>
        </is>
      </c>
      <c r="B245" s="2" t="inlineStr">
        <is>
          <t>cap</t>
        </is>
      </c>
      <c r="E245" s="51">
        <f>$B$12</f>
        <v/>
      </c>
      <c r="F245" s="51">
        <f>$B$12</f>
        <v/>
      </c>
      <c r="G245" s="51">
        <f>$B$12</f>
        <v/>
      </c>
      <c r="H245" s="51">
        <f>$B$12</f>
        <v/>
      </c>
      <c r="I245" s="51">
        <f>$B$12</f>
        <v/>
      </c>
      <c r="J245" s="51">
        <f>$B$12</f>
        <v/>
      </c>
      <c r="K245" s="51">
        <f>$B$12</f>
        <v/>
      </c>
      <c r="L245" s="51">
        <f>$B$12</f>
        <v/>
      </c>
      <c r="M245" s="51">
        <f>$B$12</f>
        <v/>
      </c>
      <c r="N245" s="51">
        <f>$B$12</f>
        <v/>
      </c>
      <c r="O245" s="51">
        <f>$B$12</f>
        <v/>
      </c>
      <c r="P245" s="51">
        <f>$B$12</f>
        <v/>
      </c>
      <c r="Q245" s="51">
        <f>$B$12</f>
        <v/>
      </c>
      <c r="R245" s="51">
        <f>$B$12</f>
        <v/>
      </c>
      <c r="S245" s="51">
        <f>$B$12</f>
        <v/>
      </c>
      <c r="T245" s="51">
        <f>$B$12</f>
        <v/>
      </c>
      <c r="U245" s="51">
        <f>$B$12</f>
        <v/>
      </c>
      <c r="V245" s="51">
        <f>$B$12</f>
        <v/>
      </c>
      <c r="W245" s="51">
        <f>$B$12</f>
        <v/>
      </c>
      <c r="X245" s="51">
        <f>$B$12</f>
        <v/>
      </c>
      <c r="Y245" s="51">
        <f>$B$12</f>
        <v/>
      </c>
      <c r="Z245" s="51">
        <f>$B$12</f>
        <v/>
      </c>
      <c r="AA245" s="51">
        <f>$B$12</f>
        <v/>
      </c>
      <c r="AB245" s="51">
        <f>$B$12</f>
        <v/>
      </c>
      <c r="AC245" s="51">
        <f>$B$12</f>
        <v/>
      </c>
      <c r="AD245" s="51">
        <f>$B$12</f>
        <v/>
      </c>
      <c r="AE245" s="51">
        <f>$B$12</f>
        <v/>
      </c>
      <c r="AF245" s="51">
        <f>$B$12</f>
        <v/>
      </c>
      <c r="AG245" s="51">
        <f>$B$12</f>
        <v/>
      </c>
      <c r="AH245" s="51">
        <f>$B$12</f>
        <v/>
      </c>
      <c r="AI245" s="51">
        <f>$B$12</f>
        <v/>
      </c>
      <c r="AJ245" s="51">
        <f>$B$12</f>
        <v/>
      </c>
      <c r="AK245" s="51">
        <f>$B$12</f>
        <v/>
      </c>
      <c r="AL245" s="51">
        <f>$B$12</f>
        <v/>
      </c>
      <c r="AM245" s="51">
        <f>$B$12</f>
        <v/>
      </c>
      <c r="AN245" s="51">
        <f>$B$12</f>
        <v/>
      </c>
      <c r="AO245" s="51">
        <f>$B$12</f>
        <v/>
      </c>
      <c r="AP245" s="51">
        <f>$B$12</f>
        <v/>
      </c>
      <c r="AQ245" s="51">
        <f>$B$12</f>
        <v/>
      </c>
      <c r="AR245" s="51">
        <f>$B$12</f>
        <v/>
      </c>
      <c r="AS245" s="51">
        <f>$B$12</f>
        <v/>
      </c>
      <c r="AT245" s="51">
        <f>$B$12</f>
        <v/>
      </c>
      <c r="AU245" s="51">
        <f>$B$12</f>
        <v/>
      </c>
      <c r="AV245" s="51">
        <f>$B$12</f>
        <v/>
      </c>
      <c r="AW245" s="51">
        <f>$B$12</f>
        <v/>
      </c>
      <c r="AX245" s="51">
        <f>$B$12</f>
        <v/>
      </c>
      <c r="AY245" s="51">
        <f>$B$12</f>
        <v/>
      </c>
      <c r="AZ245" s="51">
        <f>$B$12</f>
        <v/>
      </c>
      <c r="BA245" s="51">
        <f>$B$12</f>
        <v/>
      </c>
      <c r="BB245" s="51">
        <f>$B$12</f>
        <v/>
      </c>
      <c r="BC245" s="51">
        <f>$B$12</f>
        <v/>
      </c>
      <c r="BD245" s="51">
        <f>$B$12</f>
        <v/>
      </c>
    </row>
    <row r="246">
      <c r="A246" s="43" t="inlineStr">
        <is>
          <t xml:space="preserve">  room left</t>
        </is>
      </c>
      <c r="E246" s="51">
        <f>$B$12-E243</f>
        <v/>
      </c>
      <c r="F246" s="51">
        <f>$B$12-F243</f>
        <v/>
      </c>
      <c r="G246" s="51">
        <f>$B$12-G243</f>
        <v/>
      </c>
      <c r="H246" s="51">
        <f>$B$12-H243</f>
        <v/>
      </c>
      <c r="I246" s="51">
        <f>$B$12-I243</f>
        <v/>
      </c>
      <c r="J246" s="51">
        <f>$B$12-J243</f>
        <v/>
      </c>
      <c r="K246" s="51">
        <f>$B$12-K243</f>
        <v/>
      </c>
      <c r="L246" s="51">
        <f>$B$12-L243</f>
        <v/>
      </c>
      <c r="M246" s="51">
        <f>$B$12-M243</f>
        <v/>
      </c>
      <c r="N246" s="51">
        <f>$B$12-N243</f>
        <v/>
      </c>
      <c r="O246" s="51">
        <f>$B$12-O243</f>
        <v/>
      </c>
      <c r="P246" s="51">
        <f>$B$12-P243</f>
        <v/>
      </c>
      <c r="Q246" s="51">
        <f>$B$12-Q243</f>
        <v/>
      </c>
      <c r="R246" s="51">
        <f>$B$12-R243</f>
        <v/>
      </c>
      <c r="S246" s="51">
        <f>$B$12-S243</f>
        <v/>
      </c>
      <c r="T246" s="51">
        <f>$B$12-T243</f>
        <v/>
      </c>
      <c r="U246" s="51">
        <f>$B$12-U243</f>
        <v/>
      </c>
      <c r="V246" s="51">
        <f>$B$12-V243</f>
        <v/>
      </c>
      <c r="W246" s="51">
        <f>$B$12-W243</f>
        <v/>
      </c>
      <c r="X246" s="51">
        <f>$B$12-X243</f>
        <v/>
      </c>
      <c r="Y246" s="51">
        <f>$B$12-Y243</f>
        <v/>
      </c>
      <c r="Z246" s="51">
        <f>$B$12-Z243</f>
        <v/>
      </c>
      <c r="AA246" s="51">
        <f>$B$12-AA243</f>
        <v/>
      </c>
      <c r="AB246" s="51">
        <f>$B$12-AB243</f>
        <v/>
      </c>
      <c r="AC246" s="51">
        <f>$B$12-AC243</f>
        <v/>
      </c>
      <c r="AD246" s="51">
        <f>$B$12-AD243</f>
        <v/>
      </c>
      <c r="AE246" s="51">
        <f>$B$12-AE243</f>
        <v/>
      </c>
      <c r="AF246" s="51">
        <f>$B$12-AF243</f>
        <v/>
      </c>
      <c r="AG246" s="51">
        <f>$B$12-AG243</f>
        <v/>
      </c>
      <c r="AH246" s="51">
        <f>$B$12-AH243</f>
        <v/>
      </c>
      <c r="AI246" s="51">
        <f>$B$12-AI243</f>
        <v/>
      </c>
      <c r="AJ246" s="51">
        <f>$B$12-AJ243</f>
        <v/>
      </c>
      <c r="AK246" s="51">
        <f>$B$12-AK243</f>
        <v/>
      </c>
      <c r="AL246" s="51">
        <f>$B$12-AL243</f>
        <v/>
      </c>
      <c r="AM246" s="51">
        <f>$B$12-AM243</f>
        <v/>
      </c>
      <c r="AN246" s="51">
        <f>$B$12-AN243</f>
        <v/>
      </c>
      <c r="AO246" s="51">
        <f>$B$12-AO243</f>
        <v/>
      </c>
      <c r="AP246" s="51">
        <f>$B$12-AP243</f>
        <v/>
      </c>
      <c r="AQ246" s="51">
        <f>$B$12-AQ243</f>
        <v/>
      </c>
      <c r="AR246" s="51">
        <f>$B$12-AR243</f>
        <v/>
      </c>
      <c r="AS246" s="51">
        <f>$B$12-AS243</f>
        <v/>
      </c>
      <c r="AT246" s="51">
        <f>$B$12-AT243</f>
        <v/>
      </c>
      <c r="AU246" s="51">
        <f>$B$12-AU243</f>
        <v/>
      </c>
      <c r="AV246" s="51">
        <f>$B$12-AV243</f>
        <v/>
      </c>
      <c r="AW246" s="51">
        <f>$B$12-AW243</f>
        <v/>
      </c>
      <c r="AX246" s="51">
        <f>$B$12-AX243</f>
        <v/>
      </c>
      <c r="AY246" s="51">
        <f>$B$12-AY243</f>
        <v/>
      </c>
      <c r="AZ246" s="51">
        <f>$B$12-AZ243</f>
        <v/>
      </c>
      <c r="BA246" s="51">
        <f>$B$12-BA243</f>
        <v/>
      </c>
      <c r="BB246" s="51">
        <f>$B$12-BB243</f>
        <v/>
      </c>
      <c r="BC246" s="51">
        <f>$B$12-BC243</f>
        <v/>
      </c>
      <c r="BD246" s="51">
        <f>$B$12-BD243</f>
        <v/>
      </c>
    </row>
    <row r="247">
      <c r="A247" s="2" t="inlineStr">
        <is>
          <t xml:space="preserve">   Acres standing in High tunnel that week.</t>
        </is>
      </c>
    </row>
    <row r="249">
      <c r="A249" s="3" t="inlineStr">
        <is>
          <t>5a — MUST-PLANT  (what you have already decided to grow)</t>
        </is>
      </c>
    </row>
    <row r="250">
      <c r="A250" s="2" t="inlineStr">
        <is>
          <t xml:space="preserve">   STANDING = acres in the ground in EVERY week of the window. ANNUAL = acres planted, summed over the year's plantings.</t>
        </is>
      </c>
    </row>
    <row r="251">
      <c r="A251" s="2" t="inlineStr">
        <is>
          <t xml:space="preserve">   ⚠️ Not the same promise — the READ ME prices both at 30 acres of kale, and one costs about nothing while the other costs tens of thousands.</t>
        </is>
      </c>
    </row>
    <row r="252">
      <c r="A252" s="12" t="inlineStr">
        <is>
          <t>Sells as</t>
        </is>
      </c>
      <c r="B252" s="12" t="inlineStr">
        <is>
          <t>Acres</t>
        </is>
      </c>
      <c r="C252" s="12" t="inlineStr">
        <is>
          <t>From wk</t>
        </is>
      </c>
      <c r="D252" s="12" t="inlineStr">
        <is>
          <t>To wk</t>
        </is>
      </c>
    </row>
    <row r="253">
      <c r="A253" s="13" t="inlineStr">
        <is>
          <t>Kale</t>
        </is>
      </c>
      <c r="B253" s="9" t="n">
        <v>8</v>
      </c>
      <c r="C253" s="27" t="n">
        <v>10</v>
      </c>
      <c r="D253" s="27" t="n">
        <v>20</v>
      </c>
      <c r="E253" s="2" t="inlineStr">
        <is>
          <t>STANDING</t>
        </is>
      </c>
    </row>
    <row r="254">
      <c r="A254" s="13" t="inlineStr">
        <is>
          <t>Kale</t>
        </is>
      </c>
      <c r="B254" s="9" t="n">
        <v>45</v>
      </c>
      <c r="E254" s="2" t="inlineStr">
        <is>
          <t>ANNUAL — acres planted across the year; committed perennial acres do not count</t>
        </is>
      </c>
    </row>
    <row r="256">
      <c r="A256" s="4" t="inlineStr">
        <is>
          <t>CARRY-IN — in the ground on 1 January, planted last fall</t>
        </is>
      </c>
    </row>
    <row r="257">
      <c r="A257" s="12" t="inlineStr">
        <is>
          <t>Sells as</t>
        </is>
      </c>
      <c r="B257" s="12" t="inlineStr">
        <is>
          <t>Acres</t>
        </is>
      </c>
    </row>
    <row r="258">
      <c r="A258" s="13" t="inlineStr">
        <is>
          <t>Garlic</t>
        </is>
      </c>
      <c r="B258" s="9" t="n">
        <v>18.3</v>
      </c>
      <c r="E258" s="2" t="inlineStr">
        <is>
          <t>PINNED — exactly this, not at least: no decisions about next year's crop</t>
        </is>
      </c>
    </row>
    <row r="260">
      <c r="A260" s="36" t="inlineStr">
        <is>
          <t>Week</t>
        </is>
      </c>
      <c r="B260" s="37" t="inlineStr">
        <is>
          <t>acres</t>
        </is>
      </c>
      <c r="E260" s="38" t="n">
        <v>1</v>
      </c>
      <c r="F260" s="38" t="n">
        <v>2</v>
      </c>
      <c r="G260" s="38" t="n">
        <v>3</v>
      </c>
      <c r="H260" s="38" t="n">
        <v>4</v>
      </c>
      <c r="I260" s="38" t="n">
        <v>5</v>
      </c>
      <c r="J260" s="38" t="n">
        <v>6</v>
      </c>
      <c r="K260" s="38" t="n">
        <v>7</v>
      </c>
      <c r="L260" s="38" t="n">
        <v>8</v>
      </c>
      <c r="M260" s="38" t="n">
        <v>9</v>
      </c>
      <c r="N260" s="38" t="n">
        <v>10</v>
      </c>
      <c r="O260" s="38" t="n">
        <v>11</v>
      </c>
      <c r="P260" s="38" t="n">
        <v>12</v>
      </c>
      <c r="Q260" s="38" t="n">
        <v>13</v>
      </c>
      <c r="R260" s="38" t="n">
        <v>14</v>
      </c>
      <c r="S260" s="38" t="n">
        <v>15</v>
      </c>
      <c r="T260" s="38" t="n">
        <v>16</v>
      </c>
      <c r="U260" s="38" t="n">
        <v>17</v>
      </c>
      <c r="V260" s="38" t="n">
        <v>18</v>
      </c>
      <c r="W260" s="38" t="n">
        <v>19</v>
      </c>
      <c r="X260" s="38" t="n">
        <v>20</v>
      </c>
      <c r="Y260" s="38" t="n">
        <v>21</v>
      </c>
      <c r="Z260" s="38" t="n">
        <v>22</v>
      </c>
      <c r="AA260" s="38" t="n">
        <v>23</v>
      </c>
      <c r="AB260" s="38" t="n">
        <v>24</v>
      </c>
      <c r="AC260" s="38" t="n">
        <v>25</v>
      </c>
      <c r="AD260" s="38" t="n">
        <v>26</v>
      </c>
      <c r="AE260" s="38" t="n">
        <v>27</v>
      </c>
      <c r="AF260" s="38" t="n">
        <v>28</v>
      </c>
      <c r="AG260" s="38" t="n">
        <v>29</v>
      </c>
      <c r="AH260" s="38" t="n">
        <v>30</v>
      </c>
      <c r="AI260" s="38" t="n">
        <v>31</v>
      </c>
      <c r="AJ260" s="38" t="n">
        <v>32</v>
      </c>
      <c r="AK260" s="38" t="n">
        <v>33</v>
      </c>
      <c r="AL260" s="38" t="n">
        <v>34</v>
      </c>
      <c r="AM260" s="38" t="n">
        <v>35</v>
      </c>
      <c r="AN260" s="38" t="n">
        <v>36</v>
      </c>
      <c r="AO260" s="38" t="n">
        <v>37</v>
      </c>
      <c r="AP260" s="38" t="n">
        <v>38</v>
      </c>
      <c r="AQ260" s="38" t="n">
        <v>39</v>
      </c>
      <c r="AR260" s="38" t="n">
        <v>40</v>
      </c>
      <c r="AS260" s="38" t="n">
        <v>41</v>
      </c>
      <c r="AT260" s="38" t="n">
        <v>42</v>
      </c>
      <c r="AU260" s="38" t="n">
        <v>43</v>
      </c>
      <c r="AV260" s="38" t="n">
        <v>44</v>
      </c>
      <c r="AW260" s="38" t="n">
        <v>45</v>
      </c>
      <c r="AX260" s="38" t="n">
        <v>46</v>
      </c>
      <c r="AY260" s="38" t="n">
        <v>47</v>
      </c>
      <c r="AZ260" s="38" t="n">
        <v>48</v>
      </c>
      <c r="BA260" s="38" t="n">
        <v>49</v>
      </c>
      <c r="BB260" s="38" t="n">
        <v>50</v>
      </c>
      <c r="BC260" s="38" t="n">
        <v>51</v>
      </c>
      <c r="BD260" s="38" t="n">
        <v>52</v>
      </c>
    </row>
    <row r="261">
      <c r="A261" s="41" t="inlineStr">
        <is>
          <t>Kale standing</t>
        </is>
      </c>
      <c r="B261" s="2" t="inlineStr">
        <is>
          <t>acres</t>
        </is>
      </c>
      <c r="E261" s="51">
        <f>SUMPRODUCT((E$92:E$232&lt;&gt;"")*($BI$92:$BI$232="Kale")*$C$92:$C$232)</f>
        <v/>
      </c>
      <c r="F261" s="51">
        <f>SUMPRODUCT((F$92:F$232&lt;&gt;"")*($BI$92:$BI$232="Kale")*$C$92:$C$232)</f>
        <v/>
      </c>
      <c r="G261" s="51">
        <f>SUMPRODUCT((G$92:G$232&lt;&gt;"")*($BI$92:$BI$232="Kale")*$C$92:$C$232)</f>
        <v/>
      </c>
      <c r="H261" s="51">
        <f>SUMPRODUCT((H$92:H$232&lt;&gt;"")*($BI$92:$BI$232="Kale")*$C$92:$C$232)</f>
        <v/>
      </c>
      <c r="I261" s="51">
        <f>SUMPRODUCT((I$92:I$232&lt;&gt;"")*($BI$92:$BI$232="Kale")*$C$92:$C$232)</f>
        <v/>
      </c>
      <c r="J261" s="51">
        <f>SUMPRODUCT((J$92:J$232&lt;&gt;"")*($BI$92:$BI$232="Kale")*$C$92:$C$232)</f>
        <v/>
      </c>
      <c r="K261" s="51">
        <f>SUMPRODUCT((K$92:K$232&lt;&gt;"")*($BI$92:$BI$232="Kale")*$C$92:$C$232)</f>
        <v/>
      </c>
      <c r="L261" s="51">
        <f>SUMPRODUCT((L$92:L$232&lt;&gt;"")*($BI$92:$BI$232="Kale")*$C$92:$C$232)</f>
        <v/>
      </c>
      <c r="M261" s="51">
        <f>SUMPRODUCT((M$92:M$232&lt;&gt;"")*($BI$92:$BI$232="Kale")*$C$92:$C$232)</f>
        <v/>
      </c>
      <c r="N261" s="51">
        <f>SUMPRODUCT((N$92:N$232&lt;&gt;"")*($BI$92:$BI$232="Kale")*$C$92:$C$232)</f>
        <v/>
      </c>
      <c r="O261" s="51">
        <f>SUMPRODUCT((O$92:O$232&lt;&gt;"")*($BI$92:$BI$232="Kale")*$C$92:$C$232)</f>
        <v/>
      </c>
      <c r="P261" s="51">
        <f>SUMPRODUCT((P$92:P$232&lt;&gt;"")*($BI$92:$BI$232="Kale")*$C$92:$C$232)</f>
        <v/>
      </c>
      <c r="Q261" s="51">
        <f>SUMPRODUCT((Q$92:Q$232&lt;&gt;"")*($BI$92:$BI$232="Kale")*$C$92:$C$232)</f>
        <v/>
      </c>
      <c r="R261" s="51">
        <f>SUMPRODUCT((R$92:R$232&lt;&gt;"")*($BI$92:$BI$232="Kale")*$C$92:$C$232)</f>
        <v/>
      </c>
      <c r="S261" s="51">
        <f>SUMPRODUCT((S$92:S$232&lt;&gt;"")*($BI$92:$BI$232="Kale")*$C$92:$C$232)</f>
        <v/>
      </c>
      <c r="T261" s="51">
        <f>SUMPRODUCT((T$92:T$232&lt;&gt;"")*($BI$92:$BI$232="Kale")*$C$92:$C$232)</f>
        <v/>
      </c>
      <c r="U261" s="51">
        <f>SUMPRODUCT((U$92:U$232&lt;&gt;"")*($BI$92:$BI$232="Kale")*$C$92:$C$232)</f>
        <v/>
      </c>
      <c r="V261" s="51">
        <f>SUMPRODUCT((V$92:V$232&lt;&gt;"")*($BI$92:$BI$232="Kale")*$C$92:$C$232)</f>
        <v/>
      </c>
      <c r="W261" s="51">
        <f>SUMPRODUCT((W$92:W$232&lt;&gt;"")*($BI$92:$BI$232="Kale")*$C$92:$C$232)</f>
        <v/>
      </c>
      <c r="X261" s="51">
        <f>SUMPRODUCT((X$92:X$232&lt;&gt;"")*($BI$92:$BI$232="Kale")*$C$92:$C$232)</f>
        <v/>
      </c>
      <c r="Y261" s="51">
        <f>SUMPRODUCT((Y$92:Y$232&lt;&gt;"")*($BI$92:$BI$232="Kale")*$C$92:$C$232)</f>
        <v/>
      </c>
      <c r="Z261" s="51">
        <f>SUMPRODUCT((Z$92:Z$232&lt;&gt;"")*($BI$92:$BI$232="Kale")*$C$92:$C$232)</f>
        <v/>
      </c>
      <c r="AA261" s="51">
        <f>SUMPRODUCT((AA$92:AA$232&lt;&gt;"")*($BI$92:$BI$232="Kale")*$C$92:$C$232)</f>
        <v/>
      </c>
      <c r="AB261" s="51">
        <f>SUMPRODUCT((AB$92:AB$232&lt;&gt;"")*($BI$92:$BI$232="Kale")*$C$92:$C$232)</f>
        <v/>
      </c>
      <c r="AC261" s="51">
        <f>SUMPRODUCT((AC$92:AC$232&lt;&gt;"")*($BI$92:$BI$232="Kale")*$C$92:$C$232)</f>
        <v/>
      </c>
      <c r="AD261" s="51">
        <f>SUMPRODUCT((AD$92:AD$232&lt;&gt;"")*($BI$92:$BI$232="Kale")*$C$92:$C$232)</f>
        <v/>
      </c>
      <c r="AE261" s="51">
        <f>SUMPRODUCT((AE$92:AE$232&lt;&gt;"")*($BI$92:$BI$232="Kale")*$C$92:$C$232)</f>
        <v/>
      </c>
      <c r="AF261" s="51">
        <f>SUMPRODUCT((AF$92:AF$232&lt;&gt;"")*($BI$92:$BI$232="Kale")*$C$92:$C$232)</f>
        <v/>
      </c>
      <c r="AG261" s="51">
        <f>SUMPRODUCT((AG$92:AG$232&lt;&gt;"")*($BI$92:$BI$232="Kale")*$C$92:$C$232)</f>
        <v/>
      </c>
      <c r="AH261" s="51">
        <f>SUMPRODUCT((AH$92:AH$232&lt;&gt;"")*($BI$92:$BI$232="Kale")*$C$92:$C$232)</f>
        <v/>
      </c>
      <c r="AI261" s="51">
        <f>SUMPRODUCT((AI$92:AI$232&lt;&gt;"")*($BI$92:$BI$232="Kale")*$C$92:$C$232)</f>
        <v/>
      </c>
      <c r="AJ261" s="51">
        <f>SUMPRODUCT((AJ$92:AJ$232&lt;&gt;"")*($BI$92:$BI$232="Kale")*$C$92:$C$232)</f>
        <v/>
      </c>
      <c r="AK261" s="51">
        <f>SUMPRODUCT((AK$92:AK$232&lt;&gt;"")*($BI$92:$BI$232="Kale")*$C$92:$C$232)</f>
        <v/>
      </c>
      <c r="AL261" s="51">
        <f>SUMPRODUCT((AL$92:AL$232&lt;&gt;"")*($BI$92:$BI$232="Kale")*$C$92:$C$232)</f>
        <v/>
      </c>
      <c r="AM261" s="51">
        <f>SUMPRODUCT((AM$92:AM$232&lt;&gt;"")*($BI$92:$BI$232="Kale")*$C$92:$C$232)</f>
        <v/>
      </c>
      <c r="AN261" s="51">
        <f>SUMPRODUCT((AN$92:AN$232&lt;&gt;"")*($BI$92:$BI$232="Kale")*$C$92:$C$232)</f>
        <v/>
      </c>
      <c r="AO261" s="51">
        <f>SUMPRODUCT((AO$92:AO$232&lt;&gt;"")*($BI$92:$BI$232="Kale")*$C$92:$C$232)</f>
        <v/>
      </c>
      <c r="AP261" s="51">
        <f>SUMPRODUCT((AP$92:AP$232&lt;&gt;"")*($BI$92:$BI$232="Kale")*$C$92:$C$232)</f>
        <v/>
      </c>
      <c r="AQ261" s="51">
        <f>SUMPRODUCT((AQ$92:AQ$232&lt;&gt;"")*($BI$92:$BI$232="Kale")*$C$92:$C$232)</f>
        <v/>
      </c>
      <c r="AR261" s="51">
        <f>SUMPRODUCT((AR$92:AR$232&lt;&gt;"")*($BI$92:$BI$232="Kale")*$C$92:$C$232)</f>
        <v/>
      </c>
      <c r="AS261" s="51">
        <f>SUMPRODUCT((AS$92:AS$232&lt;&gt;"")*($BI$92:$BI$232="Kale")*$C$92:$C$232)</f>
        <v/>
      </c>
      <c r="AT261" s="51">
        <f>SUMPRODUCT((AT$92:AT$232&lt;&gt;"")*($BI$92:$BI$232="Kale")*$C$92:$C$232)</f>
        <v/>
      </c>
      <c r="AU261" s="51">
        <f>SUMPRODUCT((AU$92:AU$232&lt;&gt;"")*($BI$92:$BI$232="Kale")*$C$92:$C$232)</f>
        <v/>
      </c>
      <c r="AV261" s="51">
        <f>SUMPRODUCT((AV$92:AV$232&lt;&gt;"")*($BI$92:$BI$232="Kale")*$C$92:$C$232)</f>
        <v/>
      </c>
      <c r="AW261" s="51">
        <f>SUMPRODUCT((AW$92:AW$232&lt;&gt;"")*($BI$92:$BI$232="Kale")*$C$92:$C$232)</f>
        <v/>
      </c>
      <c r="AX261" s="51">
        <f>SUMPRODUCT((AX$92:AX$232&lt;&gt;"")*($BI$92:$BI$232="Kale")*$C$92:$C$232)</f>
        <v/>
      </c>
      <c r="AY261" s="51">
        <f>SUMPRODUCT((AY$92:AY$232&lt;&gt;"")*($BI$92:$BI$232="Kale")*$C$92:$C$232)</f>
        <v/>
      </c>
      <c r="AZ261" s="51">
        <f>SUMPRODUCT((AZ$92:AZ$232&lt;&gt;"")*($BI$92:$BI$232="Kale")*$C$92:$C$232)</f>
        <v/>
      </c>
      <c r="BA261" s="51">
        <f>SUMPRODUCT((BA$92:BA$232&lt;&gt;"")*($BI$92:$BI$232="Kale")*$C$92:$C$232)</f>
        <v/>
      </c>
      <c r="BB261" s="51">
        <f>SUMPRODUCT((BB$92:BB$232&lt;&gt;"")*($BI$92:$BI$232="Kale")*$C$92:$C$232)</f>
        <v/>
      </c>
      <c r="BC261" s="51">
        <f>SUMPRODUCT((BC$92:BC$232&lt;&gt;"")*($BI$92:$BI$232="Kale")*$C$92:$C$232)</f>
        <v/>
      </c>
      <c r="BD261" s="51">
        <f>SUMPRODUCT((BD$92:BD$232&lt;&gt;"")*($BI$92:$BI$232="Kale")*$C$92:$C$232)</f>
        <v/>
      </c>
    </row>
    <row r="262">
      <c r="A262" s="41" t="inlineStr">
        <is>
          <t xml:space="preserve">  must stand (row 253)</t>
        </is>
      </c>
      <c r="E262" s="51">
        <f>IF(AND(1&gt;=$C$253,1&lt;=$D$253),$B$253,0)</f>
        <v/>
      </c>
      <c r="F262" s="51">
        <f>IF(AND(2&gt;=$C$253,2&lt;=$D$253),$B$253,0)</f>
        <v/>
      </c>
      <c r="G262" s="51">
        <f>IF(AND(3&gt;=$C$253,3&lt;=$D$253),$B$253,0)</f>
        <v/>
      </c>
      <c r="H262" s="51">
        <f>IF(AND(4&gt;=$C$253,4&lt;=$D$253),$B$253,0)</f>
        <v/>
      </c>
      <c r="I262" s="51">
        <f>IF(AND(5&gt;=$C$253,5&lt;=$D$253),$B$253,0)</f>
        <v/>
      </c>
      <c r="J262" s="51">
        <f>IF(AND(6&gt;=$C$253,6&lt;=$D$253),$B$253,0)</f>
        <v/>
      </c>
      <c r="K262" s="51">
        <f>IF(AND(7&gt;=$C$253,7&lt;=$D$253),$B$253,0)</f>
        <v/>
      </c>
      <c r="L262" s="51">
        <f>IF(AND(8&gt;=$C$253,8&lt;=$D$253),$B$253,0)</f>
        <v/>
      </c>
      <c r="M262" s="51">
        <f>IF(AND(9&gt;=$C$253,9&lt;=$D$253),$B$253,0)</f>
        <v/>
      </c>
      <c r="N262" s="51">
        <f>IF(AND(10&gt;=$C$253,10&lt;=$D$253),$B$253,0)</f>
        <v/>
      </c>
      <c r="O262" s="51">
        <f>IF(AND(11&gt;=$C$253,11&lt;=$D$253),$B$253,0)</f>
        <v/>
      </c>
      <c r="P262" s="51">
        <f>IF(AND(12&gt;=$C$253,12&lt;=$D$253),$B$253,0)</f>
        <v/>
      </c>
      <c r="Q262" s="51">
        <f>IF(AND(13&gt;=$C$253,13&lt;=$D$253),$B$253,0)</f>
        <v/>
      </c>
      <c r="R262" s="51">
        <f>IF(AND(14&gt;=$C$253,14&lt;=$D$253),$B$253,0)</f>
        <v/>
      </c>
      <c r="S262" s="51">
        <f>IF(AND(15&gt;=$C$253,15&lt;=$D$253),$B$253,0)</f>
        <v/>
      </c>
      <c r="T262" s="51">
        <f>IF(AND(16&gt;=$C$253,16&lt;=$D$253),$B$253,0)</f>
        <v/>
      </c>
      <c r="U262" s="51">
        <f>IF(AND(17&gt;=$C$253,17&lt;=$D$253),$B$253,0)</f>
        <v/>
      </c>
      <c r="V262" s="51">
        <f>IF(AND(18&gt;=$C$253,18&lt;=$D$253),$B$253,0)</f>
        <v/>
      </c>
      <c r="W262" s="51">
        <f>IF(AND(19&gt;=$C$253,19&lt;=$D$253),$B$253,0)</f>
        <v/>
      </c>
      <c r="X262" s="51">
        <f>IF(AND(20&gt;=$C$253,20&lt;=$D$253),$B$253,0)</f>
        <v/>
      </c>
      <c r="Y262" s="51">
        <f>IF(AND(21&gt;=$C$253,21&lt;=$D$253),$B$253,0)</f>
        <v/>
      </c>
      <c r="Z262" s="51">
        <f>IF(AND(22&gt;=$C$253,22&lt;=$D$253),$B$253,0)</f>
        <v/>
      </c>
      <c r="AA262" s="51">
        <f>IF(AND(23&gt;=$C$253,23&lt;=$D$253),$B$253,0)</f>
        <v/>
      </c>
      <c r="AB262" s="51">
        <f>IF(AND(24&gt;=$C$253,24&lt;=$D$253),$B$253,0)</f>
        <v/>
      </c>
      <c r="AC262" s="51">
        <f>IF(AND(25&gt;=$C$253,25&lt;=$D$253),$B$253,0)</f>
        <v/>
      </c>
      <c r="AD262" s="51">
        <f>IF(AND(26&gt;=$C$253,26&lt;=$D$253),$B$253,0)</f>
        <v/>
      </c>
      <c r="AE262" s="51">
        <f>IF(AND(27&gt;=$C$253,27&lt;=$D$253),$B$253,0)</f>
        <v/>
      </c>
      <c r="AF262" s="51">
        <f>IF(AND(28&gt;=$C$253,28&lt;=$D$253),$B$253,0)</f>
        <v/>
      </c>
      <c r="AG262" s="51">
        <f>IF(AND(29&gt;=$C$253,29&lt;=$D$253),$B$253,0)</f>
        <v/>
      </c>
      <c r="AH262" s="51">
        <f>IF(AND(30&gt;=$C$253,30&lt;=$D$253),$B$253,0)</f>
        <v/>
      </c>
      <c r="AI262" s="51">
        <f>IF(AND(31&gt;=$C$253,31&lt;=$D$253),$B$253,0)</f>
        <v/>
      </c>
      <c r="AJ262" s="51">
        <f>IF(AND(32&gt;=$C$253,32&lt;=$D$253),$B$253,0)</f>
        <v/>
      </c>
      <c r="AK262" s="51">
        <f>IF(AND(33&gt;=$C$253,33&lt;=$D$253),$B$253,0)</f>
        <v/>
      </c>
      <c r="AL262" s="51">
        <f>IF(AND(34&gt;=$C$253,34&lt;=$D$253),$B$253,0)</f>
        <v/>
      </c>
      <c r="AM262" s="51">
        <f>IF(AND(35&gt;=$C$253,35&lt;=$D$253),$B$253,0)</f>
        <v/>
      </c>
      <c r="AN262" s="51">
        <f>IF(AND(36&gt;=$C$253,36&lt;=$D$253),$B$253,0)</f>
        <v/>
      </c>
      <c r="AO262" s="51">
        <f>IF(AND(37&gt;=$C$253,37&lt;=$D$253),$B$253,0)</f>
        <v/>
      </c>
      <c r="AP262" s="51">
        <f>IF(AND(38&gt;=$C$253,38&lt;=$D$253),$B$253,0)</f>
        <v/>
      </c>
      <c r="AQ262" s="51">
        <f>IF(AND(39&gt;=$C$253,39&lt;=$D$253),$B$253,0)</f>
        <v/>
      </c>
      <c r="AR262" s="51">
        <f>IF(AND(40&gt;=$C$253,40&lt;=$D$253),$B$253,0)</f>
        <v/>
      </c>
      <c r="AS262" s="51">
        <f>IF(AND(41&gt;=$C$253,41&lt;=$D$253),$B$253,0)</f>
        <v/>
      </c>
      <c r="AT262" s="51">
        <f>IF(AND(42&gt;=$C$253,42&lt;=$D$253),$B$253,0)</f>
        <v/>
      </c>
      <c r="AU262" s="51">
        <f>IF(AND(43&gt;=$C$253,43&lt;=$D$253),$B$253,0)</f>
        <v/>
      </c>
      <c r="AV262" s="51">
        <f>IF(AND(44&gt;=$C$253,44&lt;=$D$253),$B$253,0)</f>
        <v/>
      </c>
      <c r="AW262" s="51">
        <f>IF(AND(45&gt;=$C$253,45&lt;=$D$253),$B$253,0)</f>
        <v/>
      </c>
      <c r="AX262" s="51">
        <f>IF(AND(46&gt;=$C$253,46&lt;=$D$253),$B$253,0)</f>
        <v/>
      </c>
      <c r="AY262" s="51">
        <f>IF(AND(47&gt;=$C$253,47&lt;=$D$253),$B$253,0)</f>
        <v/>
      </c>
      <c r="AZ262" s="51">
        <f>IF(AND(48&gt;=$C$253,48&lt;=$D$253),$B$253,0)</f>
        <v/>
      </c>
      <c r="BA262" s="51">
        <f>IF(AND(49&gt;=$C$253,49&lt;=$D$253),$B$253,0)</f>
        <v/>
      </c>
      <c r="BB262" s="51">
        <f>IF(AND(50&gt;=$C$253,50&lt;=$D$253),$B$253,0)</f>
        <v/>
      </c>
      <c r="BC262" s="51">
        <f>IF(AND(51&gt;=$C$253,51&lt;=$D$253),$B$253,0)</f>
        <v/>
      </c>
      <c r="BD262" s="51">
        <f>IF(AND(52&gt;=$C$253,52&lt;=$D$253),$B$253,0)</f>
        <v/>
      </c>
    </row>
    <row r="263">
      <c r="A263" s="43" t="inlineStr">
        <is>
          <t xml:space="preserve">  room above the floor</t>
        </is>
      </c>
      <c r="E263" s="51">
        <f>E261-E262</f>
        <v/>
      </c>
      <c r="F263" s="51">
        <f>F261-F262</f>
        <v/>
      </c>
      <c r="G263" s="51">
        <f>G261-G262</f>
        <v/>
      </c>
      <c r="H263" s="51">
        <f>H261-H262</f>
        <v/>
      </c>
      <c r="I263" s="51">
        <f>I261-I262</f>
        <v/>
      </c>
      <c r="J263" s="51">
        <f>J261-J262</f>
        <v/>
      </c>
      <c r="K263" s="51">
        <f>K261-K262</f>
        <v/>
      </c>
      <c r="L263" s="51">
        <f>L261-L262</f>
        <v/>
      </c>
      <c r="M263" s="51">
        <f>M261-M262</f>
        <v/>
      </c>
      <c r="N263" s="51">
        <f>N261-N262</f>
        <v/>
      </c>
      <c r="O263" s="51">
        <f>O261-O262</f>
        <v/>
      </c>
      <c r="P263" s="51">
        <f>P261-P262</f>
        <v/>
      </c>
      <c r="Q263" s="51">
        <f>Q261-Q262</f>
        <v/>
      </c>
      <c r="R263" s="51">
        <f>R261-R262</f>
        <v/>
      </c>
      <c r="S263" s="51">
        <f>S261-S262</f>
        <v/>
      </c>
      <c r="T263" s="51">
        <f>T261-T262</f>
        <v/>
      </c>
      <c r="U263" s="51">
        <f>U261-U262</f>
        <v/>
      </c>
      <c r="V263" s="51">
        <f>V261-V262</f>
        <v/>
      </c>
      <c r="W263" s="51">
        <f>W261-W262</f>
        <v/>
      </c>
      <c r="X263" s="51">
        <f>X261-X262</f>
        <v/>
      </c>
      <c r="Y263" s="51">
        <f>Y261-Y262</f>
        <v/>
      </c>
      <c r="Z263" s="51">
        <f>Z261-Z262</f>
        <v/>
      </c>
      <c r="AA263" s="51">
        <f>AA261-AA262</f>
        <v/>
      </c>
      <c r="AB263" s="51">
        <f>AB261-AB262</f>
        <v/>
      </c>
      <c r="AC263" s="51">
        <f>AC261-AC262</f>
        <v/>
      </c>
      <c r="AD263" s="51">
        <f>AD261-AD262</f>
        <v/>
      </c>
      <c r="AE263" s="51">
        <f>AE261-AE262</f>
        <v/>
      </c>
      <c r="AF263" s="51">
        <f>AF261-AF262</f>
        <v/>
      </c>
      <c r="AG263" s="51">
        <f>AG261-AG262</f>
        <v/>
      </c>
      <c r="AH263" s="51">
        <f>AH261-AH262</f>
        <v/>
      </c>
      <c r="AI263" s="51">
        <f>AI261-AI262</f>
        <v/>
      </c>
      <c r="AJ263" s="51">
        <f>AJ261-AJ262</f>
        <v/>
      </c>
      <c r="AK263" s="51">
        <f>AK261-AK262</f>
        <v/>
      </c>
      <c r="AL263" s="51">
        <f>AL261-AL262</f>
        <v/>
      </c>
      <c r="AM263" s="51">
        <f>AM261-AM262</f>
        <v/>
      </c>
      <c r="AN263" s="51">
        <f>AN261-AN262</f>
        <v/>
      </c>
      <c r="AO263" s="51">
        <f>AO261-AO262</f>
        <v/>
      </c>
      <c r="AP263" s="51">
        <f>AP261-AP262</f>
        <v/>
      </c>
      <c r="AQ263" s="51">
        <f>AQ261-AQ262</f>
        <v/>
      </c>
      <c r="AR263" s="51">
        <f>AR261-AR262</f>
        <v/>
      </c>
      <c r="AS263" s="51">
        <f>AS261-AS262</f>
        <v/>
      </c>
      <c r="AT263" s="51">
        <f>AT261-AT262</f>
        <v/>
      </c>
      <c r="AU263" s="51">
        <f>AU261-AU262</f>
        <v/>
      </c>
      <c r="AV263" s="51">
        <f>AV261-AV262</f>
        <v/>
      </c>
      <c r="AW263" s="51">
        <f>AW261-AW262</f>
        <v/>
      </c>
      <c r="AX263" s="51">
        <f>AX261-AX262</f>
        <v/>
      </c>
      <c r="AY263" s="51">
        <f>AY261-AY262</f>
        <v/>
      </c>
      <c r="AZ263" s="51">
        <f>AZ261-AZ262</f>
        <v/>
      </c>
      <c r="BA263" s="51">
        <f>BA261-BA262</f>
        <v/>
      </c>
      <c r="BB263" s="51">
        <f>BB261-BB262</f>
        <v/>
      </c>
      <c r="BC263" s="51">
        <f>BC261-BC262</f>
        <v/>
      </c>
      <c r="BD263" s="51">
        <f>BD261-BD262</f>
        <v/>
      </c>
    </row>
    <row r="264">
      <c r="A264" s="41" t="inlineStr">
        <is>
          <t>Kale planted this year</t>
        </is>
      </c>
      <c r="B264" s="51">
        <f>SUMPRODUCT(($BI$92:$BI$232="Kale")*($BG$92:$BG$232&lt;&gt;"-")*$C$92:$C$232)</f>
        <v/>
      </c>
      <c r="C264" s="52" t="inlineStr">
        <is>
          <t>&gt;=</t>
        </is>
      </c>
      <c r="D264" s="51">
        <f>$B$254</f>
        <v/>
      </c>
    </row>
    <row r="265">
      <c r="A265" s="41" t="inlineStr">
        <is>
          <t>Garlic in the ground, week 1</t>
        </is>
      </c>
      <c r="B265" s="51">
        <f>SUMPRODUCT((E$92:E$232&lt;&gt;"")*($BI$92:$BI$232="Garlic")*$C$92:$C$232)</f>
        <v/>
      </c>
      <c r="C265" s="52" t="inlineStr">
        <is>
          <t>=</t>
        </is>
      </c>
      <c r="D265" s="51">
        <f>$B$258</f>
        <v/>
      </c>
    </row>
    <row r="266">
      <c r="A266" s="2" t="inlineStr">
        <is>
          <t xml:space="preserve">   ⚠️ Floors and the carry-in are HARD — set one the farm cannot carry and there is no plan. Garlic's ceiling here is ~18.5 ac, set by the winter crew AND the barn together.</t>
        </is>
      </c>
    </row>
    <row r="268">
      <c r="A268" s="3" t="inlineStr">
        <is>
          <t>A — WHO IS ON, WEEK BY WEEK</t>
        </is>
      </c>
    </row>
    <row r="269">
      <c r="A269" s="2" t="inlineStr">
        <is>
          <t xml:space="preserve">   Committed staff PLUS whatever the solver decided to hire, at that role's own hours and window. New heads count for less: they are multiplied by the new-hire productivity %.</t>
        </is>
      </c>
    </row>
    <row r="270">
      <c r="A270" s="36" t="inlineStr">
        <is>
          <t>Week</t>
        </is>
      </c>
      <c r="B270" s="37" t="inlineStr">
        <is>
          <t>hours</t>
        </is>
      </c>
      <c r="E270" s="38" t="n">
        <v>1</v>
      </c>
      <c r="F270" s="38" t="n">
        <v>2</v>
      </c>
      <c r="G270" s="38" t="n">
        <v>3</v>
      </c>
      <c r="H270" s="38" t="n">
        <v>4</v>
      </c>
      <c r="I270" s="38" t="n">
        <v>5</v>
      </c>
      <c r="J270" s="38" t="n">
        <v>6</v>
      </c>
      <c r="K270" s="38" t="n">
        <v>7</v>
      </c>
      <c r="L270" s="38" t="n">
        <v>8</v>
      </c>
      <c r="M270" s="38" t="n">
        <v>9</v>
      </c>
      <c r="N270" s="38" t="n">
        <v>10</v>
      </c>
      <c r="O270" s="38" t="n">
        <v>11</v>
      </c>
      <c r="P270" s="38" t="n">
        <v>12</v>
      </c>
      <c r="Q270" s="38" t="n">
        <v>13</v>
      </c>
      <c r="R270" s="38" t="n">
        <v>14</v>
      </c>
      <c r="S270" s="38" t="n">
        <v>15</v>
      </c>
      <c r="T270" s="38" t="n">
        <v>16</v>
      </c>
      <c r="U270" s="38" t="n">
        <v>17</v>
      </c>
      <c r="V270" s="38" t="n">
        <v>18</v>
      </c>
      <c r="W270" s="38" t="n">
        <v>19</v>
      </c>
      <c r="X270" s="38" t="n">
        <v>20</v>
      </c>
      <c r="Y270" s="38" t="n">
        <v>21</v>
      </c>
      <c r="Z270" s="38" t="n">
        <v>22</v>
      </c>
      <c r="AA270" s="38" t="n">
        <v>23</v>
      </c>
      <c r="AB270" s="38" t="n">
        <v>24</v>
      </c>
      <c r="AC270" s="38" t="n">
        <v>25</v>
      </c>
      <c r="AD270" s="38" t="n">
        <v>26</v>
      </c>
      <c r="AE270" s="38" t="n">
        <v>27</v>
      </c>
      <c r="AF270" s="38" t="n">
        <v>28</v>
      </c>
      <c r="AG270" s="38" t="n">
        <v>29</v>
      </c>
      <c r="AH270" s="38" t="n">
        <v>30</v>
      </c>
      <c r="AI270" s="38" t="n">
        <v>31</v>
      </c>
      <c r="AJ270" s="38" t="n">
        <v>32</v>
      </c>
      <c r="AK270" s="38" t="n">
        <v>33</v>
      </c>
      <c r="AL270" s="38" t="n">
        <v>34</v>
      </c>
      <c r="AM270" s="38" t="n">
        <v>35</v>
      </c>
      <c r="AN270" s="38" t="n">
        <v>36</v>
      </c>
      <c r="AO270" s="38" t="n">
        <v>37</v>
      </c>
      <c r="AP270" s="38" t="n">
        <v>38</v>
      </c>
      <c r="AQ270" s="38" t="n">
        <v>39</v>
      </c>
      <c r="AR270" s="38" t="n">
        <v>40</v>
      </c>
      <c r="AS270" s="38" t="n">
        <v>41</v>
      </c>
      <c r="AT270" s="38" t="n">
        <v>42</v>
      </c>
      <c r="AU270" s="38" t="n">
        <v>43</v>
      </c>
      <c r="AV270" s="38" t="n">
        <v>44</v>
      </c>
      <c r="AW270" s="38" t="n">
        <v>45</v>
      </c>
      <c r="AX270" s="38" t="n">
        <v>46</v>
      </c>
      <c r="AY270" s="38" t="n">
        <v>47</v>
      </c>
      <c r="AZ270" s="38" t="n">
        <v>48</v>
      </c>
      <c r="BA270" s="38" t="n">
        <v>49</v>
      </c>
      <c r="BB270" s="38" t="n">
        <v>50</v>
      </c>
      <c r="BC270" s="38" t="n">
        <v>51</v>
      </c>
      <c r="BD270" s="38" t="n">
        <v>52</v>
      </c>
    </row>
    <row r="271">
      <c r="A271" s="33" t="inlineStr">
        <is>
          <t xml:space="preserve">   Farm Manager</t>
        </is>
      </c>
      <c r="B271" s="2" t="inlineStr">
        <is>
          <t>hrs  (salaried)</t>
        </is>
      </c>
      <c r="E271" s="40">
        <f>IF(AND(1&gt;=$G$49,1&lt;=$H$49),($B$49+IF($I$49="Y",$K$49,0)*$B$62/100)*$E$49*$F$49/100,0)</f>
        <v/>
      </c>
      <c r="F271" s="40">
        <f>IF(AND(2&gt;=$G$49,2&lt;=$H$49),($B$49+IF($I$49="Y",$K$49,0)*$B$62/100)*$E$49*$F$49/100,0)</f>
        <v/>
      </c>
      <c r="G271" s="40">
        <f>IF(AND(3&gt;=$G$49,3&lt;=$H$49),($B$49+IF($I$49="Y",$K$49,0)*$B$62/100)*$E$49*$F$49/100,0)</f>
        <v/>
      </c>
      <c r="H271" s="40">
        <f>IF(AND(4&gt;=$G$49,4&lt;=$H$49),($B$49+IF($I$49="Y",$K$49,0)*$B$62/100)*$E$49*$F$49/100,0)</f>
        <v/>
      </c>
      <c r="I271" s="40">
        <f>IF(AND(5&gt;=$G$49,5&lt;=$H$49),($B$49+IF($I$49="Y",$K$49,0)*$B$62/100)*$E$49*$F$49/100,0)</f>
        <v/>
      </c>
      <c r="J271" s="40">
        <f>IF(AND(6&gt;=$G$49,6&lt;=$H$49),($B$49+IF($I$49="Y",$K$49,0)*$B$62/100)*$E$49*$F$49/100,0)</f>
        <v/>
      </c>
      <c r="K271" s="40">
        <f>IF(AND(7&gt;=$G$49,7&lt;=$H$49),($B$49+IF($I$49="Y",$K$49,0)*$B$62/100)*$E$49*$F$49/100,0)</f>
        <v/>
      </c>
      <c r="L271" s="40">
        <f>IF(AND(8&gt;=$G$49,8&lt;=$H$49),($B$49+IF($I$49="Y",$K$49,0)*$B$62/100)*$E$49*$F$49/100,0)</f>
        <v/>
      </c>
      <c r="M271" s="40">
        <f>IF(AND(9&gt;=$G$49,9&lt;=$H$49),($B$49+IF($I$49="Y",$K$49,0)*$B$62/100)*$E$49*$F$49/100,0)</f>
        <v/>
      </c>
      <c r="N271" s="40">
        <f>IF(AND(10&gt;=$G$49,10&lt;=$H$49),($B$49+IF($I$49="Y",$K$49,0)*$B$62/100)*$E$49*$F$49/100,0)</f>
        <v/>
      </c>
      <c r="O271" s="40">
        <f>IF(AND(11&gt;=$G$49,11&lt;=$H$49),($B$49+IF($I$49="Y",$K$49,0)*$B$62/100)*$E$49*$F$49/100,0)</f>
        <v/>
      </c>
      <c r="P271" s="40">
        <f>IF(AND(12&gt;=$G$49,12&lt;=$H$49),($B$49+IF($I$49="Y",$K$49,0)*$B$62/100)*$E$49*$F$49/100,0)</f>
        <v/>
      </c>
      <c r="Q271" s="40">
        <f>IF(AND(13&gt;=$G$49,13&lt;=$H$49),($B$49+IF($I$49="Y",$K$49,0)*$B$62/100)*$E$49*$F$49/100,0)</f>
        <v/>
      </c>
      <c r="R271" s="40">
        <f>IF(AND(14&gt;=$G$49,14&lt;=$H$49),($B$49+IF($I$49="Y",$K$49,0)*$B$62/100)*$E$49*$F$49/100,0)</f>
        <v/>
      </c>
      <c r="S271" s="40">
        <f>IF(AND(15&gt;=$G$49,15&lt;=$H$49),($B$49+IF($I$49="Y",$K$49,0)*$B$62/100)*$E$49*$F$49/100,0)</f>
        <v/>
      </c>
      <c r="T271" s="40">
        <f>IF(AND(16&gt;=$G$49,16&lt;=$H$49),($B$49+IF($I$49="Y",$K$49,0)*$B$62/100)*$E$49*$F$49/100,0)</f>
        <v/>
      </c>
      <c r="U271" s="40">
        <f>IF(AND(17&gt;=$G$49,17&lt;=$H$49),($B$49+IF($I$49="Y",$K$49,0)*$B$62/100)*$E$49*$F$49/100,0)</f>
        <v/>
      </c>
      <c r="V271" s="40">
        <f>IF(AND(18&gt;=$G$49,18&lt;=$H$49),($B$49+IF($I$49="Y",$K$49,0)*$B$62/100)*$E$49*$F$49/100,0)</f>
        <v/>
      </c>
      <c r="W271" s="40">
        <f>IF(AND(19&gt;=$G$49,19&lt;=$H$49),($B$49+IF($I$49="Y",$K$49,0)*$B$62/100)*$E$49*$F$49/100,0)</f>
        <v/>
      </c>
      <c r="X271" s="40">
        <f>IF(AND(20&gt;=$G$49,20&lt;=$H$49),($B$49+IF($I$49="Y",$K$49,0)*$B$62/100)*$E$49*$F$49/100,0)</f>
        <v/>
      </c>
      <c r="Y271" s="40">
        <f>IF(AND(21&gt;=$G$49,21&lt;=$H$49),($B$49+IF($I$49="Y",$K$49,0)*$B$62/100)*$E$49*$F$49/100,0)</f>
        <v/>
      </c>
      <c r="Z271" s="40">
        <f>IF(AND(22&gt;=$G$49,22&lt;=$H$49),($B$49+IF($I$49="Y",$K$49,0)*$B$62/100)*$E$49*$F$49/100,0)</f>
        <v/>
      </c>
      <c r="AA271" s="40">
        <f>IF(AND(23&gt;=$G$49,23&lt;=$H$49),($B$49+IF($I$49="Y",$K$49,0)*$B$62/100)*$E$49*$F$49/100,0)</f>
        <v/>
      </c>
      <c r="AB271" s="40">
        <f>IF(AND(24&gt;=$G$49,24&lt;=$H$49),($B$49+IF($I$49="Y",$K$49,0)*$B$62/100)*$E$49*$F$49/100,0)</f>
        <v/>
      </c>
      <c r="AC271" s="40">
        <f>IF(AND(25&gt;=$G$49,25&lt;=$H$49),($B$49+IF($I$49="Y",$K$49,0)*$B$62/100)*$E$49*$F$49/100,0)</f>
        <v/>
      </c>
      <c r="AD271" s="40">
        <f>IF(AND(26&gt;=$G$49,26&lt;=$H$49),($B$49+IF($I$49="Y",$K$49,0)*$B$62/100)*$E$49*$F$49/100,0)</f>
        <v/>
      </c>
      <c r="AE271" s="40">
        <f>IF(AND(27&gt;=$G$49,27&lt;=$H$49),($B$49+IF($I$49="Y",$K$49,0)*$B$62/100)*$E$49*$F$49/100,0)</f>
        <v/>
      </c>
      <c r="AF271" s="40">
        <f>IF(AND(28&gt;=$G$49,28&lt;=$H$49),($B$49+IF($I$49="Y",$K$49,0)*$B$62/100)*$E$49*$F$49/100,0)</f>
        <v/>
      </c>
      <c r="AG271" s="40">
        <f>IF(AND(29&gt;=$G$49,29&lt;=$H$49),($B$49+IF($I$49="Y",$K$49,0)*$B$62/100)*$E$49*$F$49/100,0)</f>
        <v/>
      </c>
      <c r="AH271" s="40">
        <f>IF(AND(30&gt;=$G$49,30&lt;=$H$49),($B$49+IF($I$49="Y",$K$49,0)*$B$62/100)*$E$49*$F$49/100,0)</f>
        <v/>
      </c>
      <c r="AI271" s="40">
        <f>IF(AND(31&gt;=$G$49,31&lt;=$H$49),($B$49+IF($I$49="Y",$K$49,0)*$B$62/100)*$E$49*$F$49/100,0)</f>
        <v/>
      </c>
      <c r="AJ271" s="40">
        <f>IF(AND(32&gt;=$G$49,32&lt;=$H$49),($B$49+IF($I$49="Y",$K$49,0)*$B$62/100)*$E$49*$F$49/100,0)</f>
        <v/>
      </c>
      <c r="AK271" s="40">
        <f>IF(AND(33&gt;=$G$49,33&lt;=$H$49),($B$49+IF($I$49="Y",$K$49,0)*$B$62/100)*$E$49*$F$49/100,0)</f>
        <v/>
      </c>
      <c r="AL271" s="40">
        <f>IF(AND(34&gt;=$G$49,34&lt;=$H$49),($B$49+IF($I$49="Y",$K$49,0)*$B$62/100)*$E$49*$F$49/100,0)</f>
        <v/>
      </c>
      <c r="AM271" s="40">
        <f>IF(AND(35&gt;=$G$49,35&lt;=$H$49),($B$49+IF($I$49="Y",$K$49,0)*$B$62/100)*$E$49*$F$49/100,0)</f>
        <v/>
      </c>
      <c r="AN271" s="40">
        <f>IF(AND(36&gt;=$G$49,36&lt;=$H$49),($B$49+IF($I$49="Y",$K$49,0)*$B$62/100)*$E$49*$F$49/100,0)</f>
        <v/>
      </c>
      <c r="AO271" s="40">
        <f>IF(AND(37&gt;=$G$49,37&lt;=$H$49),($B$49+IF($I$49="Y",$K$49,0)*$B$62/100)*$E$49*$F$49/100,0)</f>
        <v/>
      </c>
      <c r="AP271" s="40">
        <f>IF(AND(38&gt;=$G$49,38&lt;=$H$49),($B$49+IF($I$49="Y",$K$49,0)*$B$62/100)*$E$49*$F$49/100,0)</f>
        <v/>
      </c>
      <c r="AQ271" s="40">
        <f>IF(AND(39&gt;=$G$49,39&lt;=$H$49),($B$49+IF($I$49="Y",$K$49,0)*$B$62/100)*$E$49*$F$49/100,0)</f>
        <v/>
      </c>
      <c r="AR271" s="40">
        <f>IF(AND(40&gt;=$G$49,40&lt;=$H$49),($B$49+IF($I$49="Y",$K$49,0)*$B$62/100)*$E$49*$F$49/100,0)</f>
        <v/>
      </c>
      <c r="AS271" s="40">
        <f>IF(AND(41&gt;=$G$49,41&lt;=$H$49),($B$49+IF($I$49="Y",$K$49,0)*$B$62/100)*$E$49*$F$49/100,0)</f>
        <v/>
      </c>
      <c r="AT271" s="40">
        <f>IF(AND(42&gt;=$G$49,42&lt;=$H$49),($B$49+IF($I$49="Y",$K$49,0)*$B$62/100)*$E$49*$F$49/100,0)</f>
        <v/>
      </c>
      <c r="AU271" s="40">
        <f>IF(AND(43&gt;=$G$49,43&lt;=$H$49),($B$49+IF($I$49="Y",$K$49,0)*$B$62/100)*$E$49*$F$49/100,0)</f>
        <v/>
      </c>
      <c r="AV271" s="40">
        <f>IF(AND(44&gt;=$G$49,44&lt;=$H$49),($B$49+IF($I$49="Y",$K$49,0)*$B$62/100)*$E$49*$F$49/100,0)</f>
        <v/>
      </c>
      <c r="AW271" s="40">
        <f>IF(AND(45&gt;=$G$49,45&lt;=$H$49),($B$49+IF($I$49="Y",$K$49,0)*$B$62/100)*$E$49*$F$49/100,0)</f>
        <v/>
      </c>
      <c r="AX271" s="40">
        <f>IF(AND(46&gt;=$G$49,46&lt;=$H$49),($B$49+IF($I$49="Y",$K$49,0)*$B$62/100)*$E$49*$F$49/100,0)</f>
        <v/>
      </c>
      <c r="AY271" s="40">
        <f>IF(AND(47&gt;=$G$49,47&lt;=$H$49),($B$49+IF($I$49="Y",$K$49,0)*$B$62/100)*$E$49*$F$49/100,0)</f>
        <v/>
      </c>
      <c r="AZ271" s="40">
        <f>IF(AND(48&gt;=$G$49,48&lt;=$H$49),($B$49+IF($I$49="Y",$K$49,0)*$B$62/100)*$E$49*$F$49/100,0)</f>
        <v/>
      </c>
      <c r="BA271" s="40">
        <f>IF(AND(49&gt;=$G$49,49&lt;=$H$49),($B$49+IF($I$49="Y",$K$49,0)*$B$62/100)*$E$49*$F$49/100,0)</f>
        <v/>
      </c>
      <c r="BB271" s="40">
        <f>IF(AND(50&gt;=$G$49,50&lt;=$H$49),($B$49+IF($I$49="Y",$K$49,0)*$B$62/100)*$E$49*$F$49/100,0)</f>
        <v/>
      </c>
      <c r="BC271" s="40">
        <f>IF(AND(51&gt;=$G$49,51&lt;=$H$49),($B$49+IF($I$49="Y",$K$49,0)*$B$62/100)*$E$49*$F$49/100,0)</f>
        <v/>
      </c>
      <c r="BD271" s="40">
        <f>IF(AND(52&gt;=$G$49,52&lt;=$H$49),($B$49+IF($I$49="Y",$K$49,0)*$B$62/100)*$E$49*$F$49/100,0)</f>
        <v/>
      </c>
    </row>
    <row r="272">
      <c r="A272" s="33" t="inlineStr">
        <is>
          <t xml:space="preserve">   Equipment Operator</t>
        </is>
      </c>
      <c r="B272" s="2" t="inlineStr">
        <is>
          <t>hrs</t>
        </is>
      </c>
      <c r="E272" s="40">
        <f>IF(AND(1&gt;=$G$50,1&lt;=$H$50),($B$50+IF($I$50="Y",$K$50,0)*$B$62/100)*$E$50*$F$50/100,0)</f>
        <v/>
      </c>
      <c r="F272" s="40">
        <f>IF(AND(2&gt;=$G$50,2&lt;=$H$50),($B$50+IF($I$50="Y",$K$50,0)*$B$62/100)*$E$50*$F$50/100,0)</f>
        <v/>
      </c>
      <c r="G272" s="40">
        <f>IF(AND(3&gt;=$G$50,3&lt;=$H$50),($B$50+IF($I$50="Y",$K$50,0)*$B$62/100)*$E$50*$F$50/100,0)</f>
        <v/>
      </c>
      <c r="H272" s="40">
        <f>IF(AND(4&gt;=$G$50,4&lt;=$H$50),($B$50+IF($I$50="Y",$K$50,0)*$B$62/100)*$E$50*$F$50/100,0)</f>
        <v/>
      </c>
      <c r="I272" s="40">
        <f>IF(AND(5&gt;=$G$50,5&lt;=$H$50),($B$50+IF($I$50="Y",$K$50,0)*$B$62/100)*$E$50*$F$50/100,0)</f>
        <v/>
      </c>
      <c r="J272" s="40">
        <f>IF(AND(6&gt;=$G$50,6&lt;=$H$50),($B$50+IF($I$50="Y",$K$50,0)*$B$62/100)*$E$50*$F$50/100,0)</f>
        <v/>
      </c>
      <c r="K272" s="40">
        <f>IF(AND(7&gt;=$G$50,7&lt;=$H$50),($B$50+IF($I$50="Y",$K$50,0)*$B$62/100)*$E$50*$F$50/100,0)</f>
        <v/>
      </c>
      <c r="L272" s="40">
        <f>IF(AND(8&gt;=$G$50,8&lt;=$H$50),($B$50+IF($I$50="Y",$K$50,0)*$B$62/100)*$E$50*$F$50/100,0)</f>
        <v/>
      </c>
      <c r="M272" s="40">
        <f>IF(AND(9&gt;=$G$50,9&lt;=$H$50),($B$50+IF($I$50="Y",$K$50,0)*$B$62/100)*$E$50*$F$50/100,0)</f>
        <v/>
      </c>
      <c r="N272" s="40">
        <f>IF(AND(10&gt;=$G$50,10&lt;=$H$50),($B$50+IF($I$50="Y",$K$50,0)*$B$62/100)*$E$50*$F$50/100,0)</f>
        <v/>
      </c>
      <c r="O272" s="40">
        <f>IF(AND(11&gt;=$G$50,11&lt;=$H$50),($B$50+IF($I$50="Y",$K$50,0)*$B$62/100)*$E$50*$F$50/100,0)</f>
        <v/>
      </c>
      <c r="P272" s="40">
        <f>IF(AND(12&gt;=$G$50,12&lt;=$H$50),($B$50+IF($I$50="Y",$K$50,0)*$B$62/100)*$E$50*$F$50/100,0)</f>
        <v/>
      </c>
      <c r="Q272" s="40">
        <f>IF(AND(13&gt;=$G$50,13&lt;=$H$50),($B$50+IF($I$50="Y",$K$50,0)*$B$62/100)*$E$50*$F$50/100,0)</f>
        <v/>
      </c>
      <c r="R272" s="40">
        <f>IF(AND(14&gt;=$G$50,14&lt;=$H$50),($B$50+IF($I$50="Y",$K$50,0)*$B$62/100)*$E$50*$F$50/100,0)</f>
        <v/>
      </c>
      <c r="S272" s="40">
        <f>IF(AND(15&gt;=$G$50,15&lt;=$H$50),($B$50+IF($I$50="Y",$K$50,0)*$B$62/100)*$E$50*$F$50/100,0)</f>
        <v/>
      </c>
      <c r="T272" s="40">
        <f>IF(AND(16&gt;=$G$50,16&lt;=$H$50),($B$50+IF($I$50="Y",$K$50,0)*$B$62/100)*$E$50*$F$50/100,0)</f>
        <v/>
      </c>
      <c r="U272" s="40">
        <f>IF(AND(17&gt;=$G$50,17&lt;=$H$50),($B$50+IF($I$50="Y",$K$50,0)*$B$62/100)*$E$50*$F$50/100,0)</f>
        <v/>
      </c>
      <c r="V272" s="40">
        <f>IF(AND(18&gt;=$G$50,18&lt;=$H$50),($B$50+IF($I$50="Y",$K$50,0)*$B$62/100)*$E$50*$F$50/100,0)</f>
        <v/>
      </c>
      <c r="W272" s="40">
        <f>IF(AND(19&gt;=$G$50,19&lt;=$H$50),($B$50+IF($I$50="Y",$K$50,0)*$B$62/100)*$E$50*$F$50/100,0)</f>
        <v/>
      </c>
      <c r="X272" s="40">
        <f>IF(AND(20&gt;=$G$50,20&lt;=$H$50),($B$50+IF($I$50="Y",$K$50,0)*$B$62/100)*$E$50*$F$50/100,0)</f>
        <v/>
      </c>
      <c r="Y272" s="40">
        <f>IF(AND(21&gt;=$G$50,21&lt;=$H$50),($B$50+IF($I$50="Y",$K$50,0)*$B$62/100)*$E$50*$F$50/100,0)</f>
        <v/>
      </c>
      <c r="Z272" s="40">
        <f>IF(AND(22&gt;=$G$50,22&lt;=$H$50),($B$50+IF($I$50="Y",$K$50,0)*$B$62/100)*$E$50*$F$50/100,0)</f>
        <v/>
      </c>
      <c r="AA272" s="40">
        <f>IF(AND(23&gt;=$G$50,23&lt;=$H$50),($B$50+IF($I$50="Y",$K$50,0)*$B$62/100)*$E$50*$F$50/100,0)</f>
        <v/>
      </c>
      <c r="AB272" s="40">
        <f>IF(AND(24&gt;=$G$50,24&lt;=$H$50),($B$50+IF($I$50="Y",$K$50,0)*$B$62/100)*$E$50*$F$50/100,0)</f>
        <v/>
      </c>
      <c r="AC272" s="40">
        <f>IF(AND(25&gt;=$G$50,25&lt;=$H$50),($B$50+IF($I$50="Y",$K$50,0)*$B$62/100)*$E$50*$F$50/100,0)</f>
        <v/>
      </c>
      <c r="AD272" s="40">
        <f>IF(AND(26&gt;=$G$50,26&lt;=$H$50),($B$50+IF($I$50="Y",$K$50,0)*$B$62/100)*$E$50*$F$50/100,0)</f>
        <v/>
      </c>
      <c r="AE272" s="40">
        <f>IF(AND(27&gt;=$G$50,27&lt;=$H$50),($B$50+IF($I$50="Y",$K$50,0)*$B$62/100)*$E$50*$F$50/100,0)</f>
        <v/>
      </c>
      <c r="AF272" s="40">
        <f>IF(AND(28&gt;=$G$50,28&lt;=$H$50),($B$50+IF($I$50="Y",$K$50,0)*$B$62/100)*$E$50*$F$50/100,0)</f>
        <v/>
      </c>
      <c r="AG272" s="40">
        <f>IF(AND(29&gt;=$G$50,29&lt;=$H$50),($B$50+IF($I$50="Y",$K$50,0)*$B$62/100)*$E$50*$F$50/100,0)</f>
        <v/>
      </c>
      <c r="AH272" s="40">
        <f>IF(AND(30&gt;=$G$50,30&lt;=$H$50),($B$50+IF($I$50="Y",$K$50,0)*$B$62/100)*$E$50*$F$50/100,0)</f>
        <v/>
      </c>
      <c r="AI272" s="40">
        <f>IF(AND(31&gt;=$G$50,31&lt;=$H$50),($B$50+IF($I$50="Y",$K$50,0)*$B$62/100)*$E$50*$F$50/100,0)</f>
        <v/>
      </c>
      <c r="AJ272" s="40">
        <f>IF(AND(32&gt;=$G$50,32&lt;=$H$50),($B$50+IF($I$50="Y",$K$50,0)*$B$62/100)*$E$50*$F$50/100,0)</f>
        <v/>
      </c>
      <c r="AK272" s="40">
        <f>IF(AND(33&gt;=$G$50,33&lt;=$H$50),($B$50+IF($I$50="Y",$K$50,0)*$B$62/100)*$E$50*$F$50/100,0)</f>
        <v/>
      </c>
      <c r="AL272" s="40">
        <f>IF(AND(34&gt;=$G$50,34&lt;=$H$50),($B$50+IF($I$50="Y",$K$50,0)*$B$62/100)*$E$50*$F$50/100,0)</f>
        <v/>
      </c>
      <c r="AM272" s="40">
        <f>IF(AND(35&gt;=$G$50,35&lt;=$H$50),($B$50+IF($I$50="Y",$K$50,0)*$B$62/100)*$E$50*$F$50/100,0)</f>
        <v/>
      </c>
      <c r="AN272" s="40">
        <f>IF(AND(36&gt;=$G$50,36&lt;=$H$50),($B$50+IF($I$50="Y",$K$50,0)*$B$62/100)*$E$50*$F$50/100,0)</f>
        <v/>
      </c>
      <c r="AO272" s="40">
        <f>IF(AND(37&gt;=$G$50,37&lt;=$H$50),($B$50+IF($I$50="Y",$K$50,0)*$B$62/100)*$E$50*$F$50/100,0)</f>
        <v/>
      </c>
      <c r="AP272" s="40">
        <f>IF(AND(38&gt;=$G$50,38&lt;=$H$50),($B$50+IF($I$50="Y",$K$50,0)*$B$62/100)*$E$50*$F$50/100,0)</f>
        <v/>
      </c>
      <c r="AQ272" s="40">
        <f>IF(AND(39&gt;=$G$50,39&lt;=$H$50),($B$50+IF($I$50="Y",$K$50,0)*$B$62/100)*$E$50*$F$50/100,0)</f>
        <v/>
      </c>
      <c r="AR272" s="40">
        <f>IF(AND(40&gt;=$G$50,40&lt;=$H$50),($B$50+IF($I$50="Y",$K$50,0)*$B$62/100)*$E$50*$F$50/100,0)</f>
        <v/>
      </c>
      <c r="AS272" s="40">
        <f>IF(AND(41&gt;=$G$50,41&lt;=$H$50),($B$50+IF($I$50="Y",$K$50,0)*$B$62/100)*$E$50*$F$50/100,0)</f>
        <v/>
      </c>
      <c r="AT272" s="40">
        <f>IF(AND(42&gt;=$G$50,42&lt;=$H$50),($B$50+IF($I$50="Y",$K$50,0)*$B$62/100)*$E$50*$F$50/100,0)</f>
        <v/>
      </c>
      <c r="AU272" s="40">
        <f>IF(AND(43&gt;=$G$50,43&lt;=$H$50),($B$50+IF($I$50="Y",$K$50,0)*$B$62/100)*$E$50*$F$50/100,0)</f>
        <v/>
      </c>
      <c r="AV272" s="40">
        <f>IF(AND(44&gt;=$G$50,44&lt;=$H$50),($B$50+IF($I$50="Y",$K$50,0)*$B$62/100)*$E$50*$F$50/100,0)</f>
        <v/>
      </c>
      <c r="AW272" s="40">
        <f>IF(AND(45&gt;=$G$50,45&lt;=$H$50),($B$50+IF($I$50="Y",$K$50,0)*$B$62/100)*$E$50*$F$50/100,0)</f>
        <v/>
      </c>
      <c r="AX272" s="40">
        <f>IF(AND(46&gt;=$G$50,46&lt;=$H$50),($B$50+IF($I$50="Y",$K$50,0)*$B$62/100)*$E$50*$F$50/100,0)</f>
        <v/>
      </c>
      <c r="AY272" s="40">
        <f>IF(AND(47&gt;=$G$50,47&lt;=$H$50),($B$50+IF($I$50="Y",$K$50,0)*$B$62/100)*$E$50*$F$50/100,0)</f>
        <v/>
      </c>
      <c r="AZ272" s="40">
        <f>IF(AND(48&gt;=$G$50,48&lt;=$H$50),($B$50+IF($I$50="Y",$K$50,0)*$B$62/100)*$E$50*$F$50/100,0)</f>
        <v/>
      </c>
      <c r="BA272" s="40">
        <f>IF(AND(49&gt;=$G$50,49&lt;=$H$50),($B$50+IF($I$50="Y",$K$50,0)*$B$62/100)*$E$50*$F$50/100,0)</f>
        <v/>
      </c>
      <c r="BB272" s="40">
        <f>IF(AND(50&gt;=$G$50,50&lt;=$H$50),($B$50+IF($I$50="Y",$K$50,0)*$B$62/100)*$E$50*$F$50/100,0)</f>
        <v/>
      </c>
      <c r="BC272" s="40">
        <f>IF(AND(51&gt;=$G$50,51&lt;=$H$50),($B$50+IF($I$50="Y",$K$50,0)*$B$62/100)*$E$50*$F$50/100,0)</f>
        <v/>
      </c>
      <c r="BD272" s="40">
        <f>IF(AND(52&gt;=$G$50,52&lt;=$H$50),($B$50+IF($I$50="Y",$K$50,0)*$B$62/100)*$E$50*$F$50/100,0)</f>
        <v/>
      </c>
    </row>
    <row r="273">
      <c r="A273" s="33" t="inlineStr">
        <is>
          <t xml:space="preserve">   Seasonal Field Crew</t>
        </is>
      </c>
      <c r="B273" s="2" t="inlineStr">
        <is>
          <t>hrs</t>
        </is>
      </c>
      <c r="E273" s="40">
        <f>IF(AND(1&gt;=$G$51,1&lt;=$H$51),($B$51+IF($I$51="Y",$K$51,0)*$B$62/100)*$E$51*$F$51/100,0)</f>
        <v/>
      </c>
      <c r="F273" s="40">
        <f>IF(AND(2&gt;=$G$51,2&lt;=$H$51),($B$51+IF($I$51="Y",$K$51,0)*$B$62/100)*$E$51*$F$51/100,0)</f>
        <v/>
      </c>
      <c r="G273" s="40">
        <f>IF(AND(3&gt;=$G$51,3&lt;=$H$51),($B$51+IF($I$51="Y",$K$51,0)*$B$62/100)*$E$51*$F$51/100,0)</f>
        <v/>
      </c>
      <c r="H273" s="40">
        <f>IF(AND(4&gt;=$G$51,4&lt;=$H$51),($B$51+IF($I$51="Y",$K$51,0)*$B$62/100)*$E$51*$F$51/100,0)</f>
        <v/>
      </c>
      <c r="I273" s="40">
        <f>IF(AND(5&gt;=$G$51,5&lt;=$H$51),($B$51+IF($I$51="Y",$K$51,0)*$B$62/100)*$E$51*$F$51/100,0)</f>
        <v/>
      </c>
      <c r="J273" s="40">
        <f>IF(AND(6&gt;=$G$51,6&lt;=$H$51),($B$51+IF($I$51="Y",$K$51,0)*$B$62/100)*$E$51*$F$51/100,0)</f>
        <v/>
      </c>
      <c r="K273" s="40">
        <f>IF(AND(7&gt;=$G$51,7&lt;=$H$51),($B$51+IF($I$51="Y",$K$51,0)*$B$62/100)*$E$51*$F$51/100,0)</f>
        <v/>
      </c>
      <c r="L273" s="40">
        <f>IF(AND(8&gt;=$G$51,8&lt;=$H$51),($B$51+IF($I$51="Y",$K$51,0)*$B$62/100)*$E$51*$F$51/100,0)</f>
        <v/>
      </c>
      <c r="M273" s="40">
        <f>IF(AND(9&gt;=$G$51,9&lt;=$H$51),($B$51+IF($I$51="Y",$K$51,0)*$B$62/100)*$E$51*$F$51/100,0)</f>
        <v/>
      </c>
      <c r="N273" s="40">
        <f>IF(AND(10&gt;=$G$51,10&lt;=$H$51),($B$51+IF($I$51="Y",$K$51,0)*$B$62/100)*$E$51*$F$51/100,0)</f>
        <v/>
      </c>
      <c r="O273" s="40">
        <f>IF(AND(11&gt;=$G$51,11&lt;=$H$51),($B$51+IF($I$51="Y",$K$51,0)*$B$62/100)*$E$51*$F$51/100,0)</f>
        <v/>
      </c>
      <c r="P273" s="40">
        <f>IF(AND(12&gt;=$G$51,12&lt;=$H$51),($B$51+IF($I$51="Y",$K$51,0)*$B$62/100)*$E$51*$F$51/100,0)</f>
        <v/>
      </c>
      <c r="Q273" s="40">
        <f>IF(AND(13&gt;=$G$51,13&lt;=$H$51),($B$51+IF($I$51="Y",$K$51,0)*$B$62/100)*$E$51*$F$51/100,0)</f>
        <v/>
      </c>
      <c r="R273" s="40">
        <f>IF(AND(14&gt;=$G$51,14&lt;=$H$51),($B$51+IF($I$51="Y",$K$51,0)*$B$62/100)*$E$51*$F$51/100,0)</f>
        <v/>
      </c>
      <c r="S273" s="40">
        <f>IF(AND(15&gt;=$G$51,15&lt;=$H$51),($B$51+IF($I$51="Y",$K$51,0)*$B$62/100)*$E$51*$F$51/100,0)</f>
        <v/>
      </c>
      <c r="T273" s="40">
        <f>IF(AND(16&gt;=$G$51,16&lt;=$H$51),($B$51+IF($I$51="Y",$K$51,0)*$B$62/100)*$E$51*$F$51/100,0)</f>
        <v/>
      </c>
      <c r="U273" s="40">
        <f>IF(AND(17&gt;=$G$51,17&lt;=$H$51),($B$51+IF($I$51="Y",$K$51,0)*$B$62/100)*$E$51*$F$51/100,0)</f>
        <v/>
      </c>
      <c r="V273" s="40">
        <f>IF(AND(18&gt;=$G$51,18&lt;=$H$51),($B$51+IF($I$51="Y",$K$51,0)*$B$62/100)*$E$51*$F$51/100,0)</f>
        <v/>
      </c>
      <c r="W273" s="40">
        <f>IF(AND(19&gt;=$G$51,19&lt;=$H$51),($B$51+IF($I$51="Y",$K$51,0)*$B$62/100)*$E$51*$F$51/100,0)</f>
        <v/>
      </c>
      <c r="X273" s="40">
        <f>IF(AND(20&gt;=$G$51,20&lt;=$H$51),($B$51+IF($I$51="Y",$K$51,0)*$B$62/100)*$E$51*$F$51/100,0)</f>
        <v/>
      </c>
      <c r="Y273" s="40">
        <f>IF(AND(21&gt;=$G$51,21&lt;=$H$51),($B$51+IF($I$51="Y",$K$51,0)*$B$62/100)*$E$51*$F$51/100,0)</f>
        <v/>
      </c>
      <c r="Z273" s="40">
        <f>IF(AND(22&gt;=$G$51,22&lt;=$H$51),($B$51+IF($I$51="Y",$K$51,0)*$B$62/100)*$E$51*$F$51/100,0)</f>
        <v/>
      </c>
      <c r="AA273" s="40">
        <f>IF(AND(23&gt;=$G$51,23&lt;=$H$51),($B$51+IF($I$51="Y",$K$51,0)*$B$62/100)*$E$51*$F$51/100,0)</f>
        <v/>
      </c>
      <c r="AB273" s="40">
        <f>IF(AND(24&gt;=$G$51,24&lt;=$H$51),($B$51+IF($I$51="Y",$K$51,0)*$B$62/100)*$E$51*$F$51/100,0)</f>
        <v/>
      </c>
      <c r="AC273" s="40">
        <f>IF(AND(25&gt;=$G$51,25&lt;=$H$51),($B$51+IF($I$51="Y",$K$51,0)*$B$62/100)*$E$51*$F$51/100,0)</f>
        <v/>
      </c>
      <c r="AD273" s="40">
        <f>IF(AND(26&gt;=$G$51,26&lt;=$H$51),($B$51+IF($I$51="Y",$K$51,0)*$B$62/100)*$E$51*$F$51/100,0)</f>
        <v/>
      </c>
      <c r="AE273" s="40">
        <f>IF(AND(27&gt;=$G$51,27&lt;=$H$51),($B$51+IF($I$51="Y",$K$51,0)*$B$62/100)*$E$51*$F$51/100,0)</f>
        <v/>
      </c>
      <c r="AF273" s="40">
        <f>IF(AND(28&gt;=$G$51,28&lt;=$H$51),($B$51+IF($I$51="Y",$K$51,0)*$B$62/100)*$E$51*$F$51/100,0)</f>
        <v/>
      </c>
      <c r="AG273" s="40">
        <f>IF(AND(29&gt;=$G$51,29&lt;=$H$51),($B$51+IF($I$51="Y",$K$51,0)*$B$62/100)*$E$51*$F$51/100,0)</f>
        <v/>
      </c>
      <c r="AH273" s="40">
        <f>IF(AND(30&gt;=$G$51,30&lt;=$H$51),($B$51+IF($I$51="Y",$K$51,0)*$B$62/100)*$E$51*$F$51/100,0)</f>
        <v/>
      </c>
      <c r="AI273" s="40">
        <f>IF(AND(31&gt;=$G$51,31&lt;=$H$51),($B$51+IF($I$51="Y",$K$51,0)*$B$62/100)*$E$51*$F$51/100,0)</f>
        <v/>
      </c>
      <c r="AJ273" s="40">
        <f>IF(AND(32&gt;=$G$51,32&lt;=$H$51),($B$51+IF($I$51="Y",$K$51,0)*$B$62/100)*$E$51*$F$51/100,0)</f>
        <v/>
      </c>
      <c r="AK273" s="40">
        <f>IF(AND(33&gt;=$G$51,33&lt;=$H$51),($B$51+IF($I$51="Y",$K$51,0)*$B$62/100)*$E$51*$F$51/100,0)</f>
        <v/>
      </c>
      <c r="AL273" s="40">
        <f>IF(AND(34&gt;=$G$51,34&lt;=$H$51),($B$51+IF($I$51="Y",$K$51,0)*$B$62/100)*$E$51*$F$51/100,0)</f>
        <v/>
      </c>
      <c r="AM273" s="40">
        <f>IF(AND(35&gt;=$G$51,35&lt;=$H$51),($B$51+IF($I$51="Y",$K$51,0)*$B$62/100)*$E$51*$F$51/100,0)</f>
        <v/>
      </c>
      <c r="AN273" s="40">
        <f>IF(AND(36&gt;=$G$51,36&lt;=$H$51),($B$51+IF($I$51="Y",$K$51,0)*$B$62/100)*$E$51*$F$51/100,0)</f>
        <v/>
      </c>
      <c r="AO273" s="40">
        <f>IF(AND(37&gt;=$G$51,37&lt;=$H$51),($B$51+IF($I$51="Y",$K$51,0)*$B$62/100)*$E$51*$F$51/100,0)</f>
        <v/>
      </c>
      <c r="AP273" s="40">
        <f>IF(AND(38&gt;=$G$51,38&lt;=$H$51),($B$51+IF($I$51="Y",$K$51,0)*$B$62/100)*$E$51*$F$51/100,0)</f>
        <v/>
      </c>
      <c r="AQ273" s="40">
        <f>IF(AND(39&gt;=$G$51,39&lt;=$H$51),($B$51+IF($I$51="Y",$K$51,0)*$B$62/100)*$E$51*$F$51/100,0)</f>
        <v/>
      </c>
      <c r="AR273" s="40">
        <f>IF(AND(40&gt;=$G$51,40&lt;=$H$51),($B$51+IF($I$51="Y",$K$51,0)*$B$62/100)*$E$51*$F$51/100,0)</f>
        <v/>
      </c>
      <c r="AS273" s="40">
        <f>IF(AND(41&gt;=$G$51,41&lt;=$H$51),($B$51+IF($I$51="Y",$K$51,0)*$B$62/100)*$E$51*$F$51/100,0)</f>
        <v/>
      </c>
      <c r="AT273" s="40">
        <f>IF(AND(42&gt;=$G$51,42&lt;=$H$51),($B$51+IF($I$51="Y",$K$51,0)*$B$62/100)*$E$51*$F$51/100,0)</f>
        <v/>
      </c>
      <c r="AU273" s="40">
        <f>IF(AND(43&gt;=$G$51,43&lt;=$H$51),($B$51+IF($I$51="Y",$K$51,0)*$B$62/100)*$E$51*$F$51/100,0)</f>
        <v/>
      </c>
      <c r="AV273" s="40">
        <f>IF(AND(44&gt;=$G$51,44&lt;=$H$51),($B$51+IF($I$51="Y",$K$51,0)*$B$62/100)*$E$51*$F$51/100,0)</f>
        <v/>
      </c>
      <c r="AW273" s="40">
        <f>IF(AND(45&gt;=$G$51,45&lt;=$H$51),($B$51+IF($I$51="Y",$K$51,0)*$B$62/100)*$E$51*$F$51/100,0)</f>
        <v/>
      </c>
      <c r="AX273" s="40">
        <f>IF(AND(46&gt;=$G$51,46&lt;=$H$51),($B$51+IF($I$51="Y",$K$51,0)*$B$62/100)*$E$51*$F$51/100,0)</f>
        <v/>
      </c>
      <c r="AY273" s="40">
        <f>IF(AND(47&gt;=$G$51,47&lt;=$H$51),($B$51+IF($I$51="Y",$K$51,0)*$B$62/100)*$E$51*$F$51/100,0)</f>
        <v/>
      </c>
      <c r="AZ273" s="40">
        <f>IF(AND(48&gt;=$G$51,48&lt;=$H$51),($B$51+IF($I$51="Y",$K$51,0)*$B$62/100)*$E$51*$F$51/100,0)</f>
        <v/>
      </c>
      <c r="BA273" s="40">
        <f>IF(AND(49&gt;=$G$51,49&lt;=$H$51),($B$51+IF($I$51="Y",$K$51,0)*$B$62/100)*$E$51*$F$51/100,0)</f>
        <v/>
      </c>
      <c r="BB273" s="40">
        <f>IF(AND(50&gt;=$G$51,50&lt;=$H$51),($B$51+IF($I$51="Y",$K$51,0)*$B$62/100)*$E$51*$F$51/100,0)</f>
        <v/>
      </c>
      <c r="BC273" s="40">
        <f>IF(AND(51&gt;=$G$51,51&lt;=$H$51),($B$51+IF($I$51="Y",$K$51,0)*$B$62/100)*$E$51*$F$51/100,0)</f>
        <v/>
      </c>
      <c r="BD273" s="40">
        <f>IF(AND(52&gt;=$G$51,52&lt;=$H$51),($B$51+IF($I$51="Y",$K$51,0)*$B$62/100)*$E$51*$F$51/100,0)</f>
        <v/>
      </c>
    </row>
    <row r="274">
      <c r="A274" s="33" t="inlineStr">
        <is>
          <t xml:space="preserve">   Harvest Crew</t>
        </is>
      </c>
      <c r="B274" s="2" t="inlineStr">
        <is>
          <t>hrs</t>
        </is>
      </c>
      <c r="E274" s="40">
        <f>IF(AND(1&gt;=$G$52,1&lt;=$H$52),($B$52+IF($I$52="Y",$K$52,0)*$B$62/100)*$E$52*$F$52/100,0)</f>
        <v/>
      </c>
      <c r="F274" s="40">
        <f>IF(AND(2&gt;=$G$52,2&lt;=$H$52),($B$52+IF($I$52="Y",$K$52,0)*$B$62/100)*$E$52*$F$52/100,0)</f>
        <v/>
      </c>
      <c r="G274" s="40">
        <f>IF(AND(3&gt;=$G$52,3&lt;=$H$52),($B$52+IF($I$52="Y",$K$52,0)*$B$62/100)*$E$52*$F$52/100,0)</f>
        <v/>
      </c>
      <c r="H274" s="40">
        <f>IF(AND(4&gt;=$G$52,4&lt;=$H$52),($B$52+IF($I$52="Y",$K$52,0)*$B$62/100)*$E$52*$F$52/100,0)</f>
        <v/>
      </c>
      <c r="I274" s="40">
        <f>IF(AND(5&gt;=$G$52,5&lt;=$H$52),($B$52+IF($I$52="Y",$K$52,0)*$B$62/100)*$E$52*$F$52/100,0)</f>
        <v/>
      </c>
      <c r="J274" s="40">
        <f>IF(AND(6&gt;=$G$52,6&lt;=$H$52),($B$52+IF($I$52="Y",$K$52,0)*$B$62/100)*$E$52*$F$52/100,0)</f>
        <v/>
      </c>
      <c r="K274" s="40">
        <f>IF(AND(7&gt;=$G$52,7&lt;=$H$52),($B$52+IF($I$52="Y",$K$52,0)*$B$62/100)*$E$52*$F$52/100,0)</f>
        <v/>
      </c>
      <c r="L274" s="40">
        <f>IF(AND(8&gt;=$G$52,8&lt;=$H$52),($B$52+IF($I$52="Y",$K$52,0)*$B$62/100)*$E$52*$F$52/100,0)</f>
        <v/>
      </c>
      <c r="M274" s="40">
        <f>IF(AND(9&gt;=$G$52,9&lt;=$H$52),($B$52+IF($I$52="Y",$K$52,0)*$B$62/100)*$E$52*$F$52/100,0)</f>
        <v/>
      </c>
      <c r="N274" s="40">
        <f>IF(AND(10&gt;=$G$52,10&lt;=$H$52),($B$52+IF($I$52="Y",$K$52,0)*$B$62/100)*$E$52*$F$52/100,0)</f>
        <v/>
      </c>
      <c r="O274" s="40">
        <f>IF(AND(11&gt;=$G$52,11&lt;=$H$52),($B$52+IF($I$52="Y",$K$52,0)*$B$62/100)*$E$52*$F$52/100,0)</f>
        <v/>
      </c>
      <c r="P274" s="40">
        <f>IF(AND(12&gt;=$G$52,12&lt;=$H$52),($B$52+IF($I$52="Y",$K$52,0)*$B$62/100)*$E$52*$F$52/100,0)</f>
        <v/>
      </c>
      <c r="Q274" s="40">
        <f>IF(AND(13&gt;=$G$52,13&lt;=$H$52),($B$52+IF($I$52="Y",$K$52,0)*$B$62/100)*$E$52*$F$52/100,0)</f>
        <v/>
      </c>
      <c r="R274" s="40">
        <f>IF(AND(14&gt;=$G$52,14&lt;=$H$52),($B$52+IF($I$52="Y",$K$52,0)*$B$62/100)*$E$52*$F$52/100,0)</f>
        <v/>
      </c>
      <c r="S274" s="40">
        <f>IF(AND(15&gt;=$G$52,15&lt;=$H$52),($B$52+IF($I$52="Y",$K$52,0)*$B$62/100)*$E$52*$F$52/100,0)</f>
        <v/>
      </c>
      <c r="T274" s="40">
        <f>IF(AND(16&gt;=$G$52,16&lt;=$H$52),($B$52+IF($I$52="Y",$K$52,0)*$B$62/100)*$E$52*$F$52/100,0)</f>
        <v/>
      </c>
      <c r="U274" s="40">
        <f>IF(AND(17&gt;=$G$52,17&lt;=$H$52),($B$52+IF($I$52="Y",$K$52,0)*$B$62/100)*$E$52*$F$52/100,0)</f>
        <v/>
      </c>
      <c r="V274" s="40">
        <f>IF(AND(18&gt;=$G$52,18&lt;=$H$52),($B$52+IF($I$52="Y",$K$52,0)*$B$62/100)*$E$52*$F$52/100,0)</f>
        <v/>
      </c>
      <c r="W274" s="40">
        <f>IF(AND(19&gt;=$G$52,19&lt;=$H$52),($B$52+IF($I$52="Y",$K$52,0)*$B$62/100)*$E$52*$F$52/100,0)</f>
        <v/>
      </c>
      <c r="X274" s="40">
        <f>IF(AND(20&gt;=$G$52,20&lt;=$H$52),($B$52+IF($I$52="Y",$K$52,0)*$B$62/100)*$E$52*$F$52/100,0)</f>
        <v/>
      </c>
      <c r="Y274" s="40">
        <f>IF(AND(21&gt;=$G$52,21&lt;=$H$52),($B$52+IF($I$52="Y",$K$52,0)*$B$62/100)*$E$52*$F$52/100,0)</f>
        <v/>
      </c>
      <c r="Z274" s="40">
        <f>IF(AND(22&gt;=$G$52,22&lt;=$H$52),($B$52+IF($I$52="Y",$K$52,0)*$B$62/100)*$E$52*$F$52/100,0)</f>
        <v/>
      </c>
      <c r="AA274" s="40">
        <f>IF(AND(23&gt;=$G$52,23&lt;=$H$52),($B$52+IF($I$52="Y",$K$52,0)*$B$62/100)*$E$52*$F$52/100,0)</f>
        <v/>
      </c>
      <c r="AB274" s="40">
        <f>IF(AND(24&gt;=$G$52,24&lt;=$H$52),($B$52+IF($I$52="Y",$K$52,0)*$B$62/100)*$E$52*$F$52/100,0)</f>
        <v/>
      </c>
      <c r="AC274" s="40">
        <f>IF(AND(25&gt;=$G$52,25&lt;=$H$52),($B$52+IF($I$52="Y",$K$52,0)*$B$62/100)*$E$52*$F$52/100,0)</f>
        <v/>
      </c>
      <c r="AD274" s="40">
        <f>IF(AND(26&gt;=$G$52,26&lt;=$H$52),($B$52+IF($I$52="Y",$K$52,0)*$B$62/100)*$E$52*$F$52/100,0)</f>
        <v/>
      </c>
      <c r="AE274" s="40">
        <f>IF(AND(27&gt;=$G$52,27&lt;=$H$52),($B$52+IF($I$52="Y",$K$52,0)*$B$62/100)*$E$52*$F$52/100,0)</f>
        <v/>
      </c>
      <c r="AF274" s="40">
        <f>IF(AND(28&gt;=$G$52,28&lt;=$H$52),($B$52+IF($I$52="Y",$K$52,0)*$B$62/100)*$E$52*$F$52/100,0)</f>
        <v/>
      </c>
      <c r="AG274" s="40">
        <f>IF(AND(29&gt;=$G$52,29&lt;=$H$52),($B$52+IF($I$52="Y",$K$52,0)*$B$62/100)*$E$52*$F$52/100,0)</f>
        <v/>
      </c>
      <c r="AH274" s="40">
        <f>IF(AND(30&gt;=$G$52,30&lt;=$H$52),($B$52+IF($I$52="Y",$K$52,0)*$B$62/100)*$E$52*$F$52/100,0)</f>
        <v/>
      </c>
      <c r="AI274" s="40">
        <f>IF(AND(31&gt;=$G$52,31&lt;=$H$52),($B$52+IF($I$52="Y",$K$52,0)*$B$62/100)*$E$52*$F$52/100,0)</f>
        <v/>
      </c>
      <c r="AJ274" s="40">
        <f>IF(AND(32&gt;=$G$52,32&lt;=$H$52),($B$52+IF($I$52="Y",$K$52,0)*$B$62/100)*$E$52*$F$52/100,0)</f>
        <v/>
      </c>
      <c r="AK274" s="40">
        <f>IF(AND(33&gt;=$G$52,33&lt;=$H$52),($B$52+IF($I$52="Y",$K$52,0)*$B$62/100)*$E$52*$F$52/100,0)</f>
        <v/>
      </c>
      <c r="AL274" s="40">
        <f>IF(AND(34&gt;=$G$52,34&lt;=$H$52),($B$52+IF($I$52="Y",$K$52,0)*$B$62/100)*$E$52*$F$52/100,0)</f>
        <v/>
      </c>
      <c r="AM274" s="40">
        <f>IF(AND(35&gt;=$G$52,35&lt;=$H$52),($B$52+IF($I$52="Y",$K$52,0)*$B$62/100)*$E$52*$F$52/100,0)</f>
        <v/>
      </c>
      <c r="AN274" s="40">
        <f>IF(AND(36&gt;=$G$52,36&lt;=$H$52),($B$52+IF($I$52="Y",$K$52,0)*$B$62/100)*$E$52*$F$52/100,0)</f>
        <v/>
      </c>
      <c r="AO274" s="40">
        <f>IF(AND(37&gt;=$G$52,37&lt;=$H$52),($B$52+IF($I$52="Y",$K$52,0)*$B$62/100)*$E$52*$F$52/100,0)</f>
        <v/>
      </c>
      <c r="AP274" s="40">
        <f>IF(AND(38&gt;=$G$52,38&lt;=$H$52),($B$52+IF($I$52="Y",$K$52,0)*$B$62/100)*$E$52*$F$52/100,0)</f>
        <v/>
      </c>
      <c r="AQ274" s="40">
        <f>IF(AND(39&gt;=$G$52,39&lt;=$H$52),($B$52+IF($I$52="Y",$K$52,0)*$B$62/100)*$E$52*$F$52/100,0)</f>
        <v/>
      </c>
      <c r="AR274" s="40">
        <f>IF(AND(40&gt;=$G$52,40&lt;=$H$52),($B$52+IF($I$52="Y",$K$52,0)*$B$62/100)*$E$52*$F$52/100,0)</f>
        <v/>
      </c>
      <c r="AS274" s="40">
        <f>IF(AND(41&gt;=$G$52,41&lt;=$H$52),($B$52+IF($I$52="Y",$K$52,0)*$B$62/100)*$E$52*$F$52/100,0)</f>
        <v/>
      </c>
      <c r="AT274" s="40">
        <f>IF(AND(42&gt;=$G$52,42&lt;=$H$52),($B$52+IF($I$52="Y",$K$52,0)*$B$62/100)*$E$52*$F$52/100,0)</f>
        <v/>
      </c>
      <c r="AU274" s="40">
        <f>IF(AND(43&gt;=$G$52,43&lt;=$H$52),($B$52+IF($I$52="Y",$K$52,0)*$B$62/100)*$E$52*$F$52/100,0)</f>
        <v/>
      </c>
      <c r="AV274" s="40">
        <f>IF(AND(44&gt;=$G$52,44&lt;=$H$52),($B$52+IF($I$52="Y",$K$52,0)*$B$62/100)*$E$52*$F$52/100,0)</f>
        <v/>
      </c>
      <c r="AW274" s="40">
        <f>IF(AND(45&gt;=$G$52,45&lt;=$H$52),($B$52+IF($I$52="Y",$K$52,0)*$B$62/100)*$E$52*$F$52/100,0)</f>
        <v/>
      </c>
      <c r="AX274" s="40">
        <f>IF(AND(46&gt;=$G$52,46&lt;=$H$52),($B$52+IF($I$52="Y",$K$52,0)*$B$62/100)*$E$52*$F$52/100,0)</f>
        <v/>
      </c>
      <c r="AY274" s="40">
        <f>IF(AND(47&gt;=$G$52,47&lt;=$H$52),($B$52+IF($I$52="Y",$K$52,0)*$B$62/100)*$E$52*$F$52/100,0)</f>
        <v/>
      </c>
      <c r="AZ274" s="40">
        <f>IF(AND(48&gt;=$G$52,48&lt;=$H$52),($B$52+IF($I$52="Y",$K$52,0)*$B$62/100)*$E$52*$F$52/100,0)</f>
        <v/>
      </c>
      <c r="BA274" s="40">
        <f>IF(AND(49&gt;=$G$52,49&lt;=$H$52),($B$52+IF($I$52="Y",$K$52,0)*$B$62/100)*$E$52*$F$52/100,0)</f>
        <v/>
      </c>
      <c r="BB274" s="40">
        <f>IF(AND(50&gt;=$G$52,50&lt;=$H$52),($B$52+IF($I$52="Y",$K$52,0)*$B$62/100)*$E$52*$F$52/100,0)</f>
        <v/>
      </c>
      <c r="BC274" s="40">
        <f>IF(AND(51&gt;=$G$52,51&lt;=$H$52),($B$52+IF($I$52="Y",$K$52,0)*$B$62/100)*$E$52*$F$52/100,0)</f>
        <v/>
      </c>
      <c r="BD274" s="40">
        <f>IF(AND(52&gt;=$G$52,52&lt;=$H$52),($B$52+IF($I$52="Y",$K$52,0)*$B$62/100)*$E$52*$F$52/100,0)</f>
        <v/>
      </c>
    </row>
    <row r="275">
      <c r="A275" s="4" t="inlineStr">
        <is>
          <t>CREW CAPACITY</t>
        </is>
      </c>
      <c r="B275" s="2" t="inlineStr">
        <is>
          <t>hrs</t>
        </is>
      </c>
      <c r="E275" s="40">
        <f>E271+E272+E273+E274</f>
        <v/>
      </c>
      <c r="F275" s="40">
        <f>F271+F272+F273+F274</f>
        <v/>
      </c>
      <c r="G275" s="40">
        <f>G271+G272+G273+G274</f>
        <v/>
      </c>
      <c r="H275" s="40">
        <f>H271+H272+H273+H274</f>
        <v/>
      </c>
      <c r="I275" s="40">
        <f>I271+I272+I273+I274</f>
        <v/>
      </c>
      <c r="J275" s="40">
        <f>J271+J272+J273+J274</f>
        <v/>
      </c>
      <c r="K275" s="40">
        <f>K271+K272+K273+K274</f>
        <v/>
      </c>
      <c r="L275" s="40">
        <f>L271+L272+L273+L274</f>
        <v/>
      </c>
      <c r="M275" s="40">
        <f>M271+M272+M273+M274</f>
        <v/>
      </c>
      <c r="N275" s="40">
        <f>N271+N272+N273+N274</f>
        <v/>
      </c>
      <c r="O275" s="40">
        <f>O271+O272+O273+O274</f>
        <v/>
      </c>
      <c r="P275" s="40">
        <f>P271+P272+P273+P274</f>
        <v/>
      </c>
      <c r="Q275" s="40">
        <f>Q271+Q272+Q273+Q274</f>
        <v/>
      </c>
      <c r="R275" s="40">
        <f>R271+R272+R273+R274</f>
        <v/>
      </c>
      <c r="S275" s="40">
        <f>S271+S272+S273+S274</f>
        <v/>
      </c>
      <c r="T275" s="40">
        <f>T271+T272+T273+T274</f>
        <v/>
      </c>
      <c r="U275" s="40">
        <f>U271+U272+U273+U274</f>
        <v/>
      </c>
      <c r="V275" s="40">
        <f>V271+V272+V273+V274</f>
        <v/>
      </c>
      <c r="W275" s="40">
        <f>W271+W272+W273+W274</f>
        <v/>
      </c>
      <c r="X275" s="40">
        <f>X271+X272+X273+X274</f>
        <v/>
      </c>
      <c r="Y275" s="40">
        <f>Y271+Y272+Y273+Y274</f>
        <v/>
      </c>
      <c r="Z275" s="40">
        <f>Z271+Z272+Z273+Z274</f>
        <v/>
      </c>
      <c r="AA275" s="40">
        <f>AA271+AA272+AA273+AA274</f>
        <v/>
      </c>
      <c r="AB275" s="40">
        <f>AB271+AB272+AB273+AB274</f>
        <v/>
      </c>
      <c r="AC275" s="40">
        <f>AC271+AC272+AC273+AC274</f>
        <v/>
      </c>
      <c r="AD275" s="40">
        <f>AD271+AD272+AD273+AD274</f>
        <v/>
      </c>
      <c r="AE275" s="40">
        <f>AE271+AE272+AE273+AE274</f>
        <v/>
      </c>
      <c r="AF275" s="40">
        <f>AF271+AF272+AF273+AF274</f>
        <v/>
      </c>
      <c r="AG275" s="40">
        <f>AG271+AG272+AG273+AG274</f>
        <v/>
      </c>
      <c r="AH275" s="40">
        <f>AH271+AH272+AH273+AH274</f>
        <v/>
      </c>
      <c r="AI275" s="40">
        <f>AI271+AI272+AI273+AI274</f>
        <v/>
      </c>
      <c r="AJ275" s="40">
        <f>AJ271+AJ272+AJ273+AJ274</f>
        <v/>
      </c>
      <c r="AK275" s="40">
        <f>AK271+AK272+AK273+AK274</f>
        <v/>
      </c>
      <c r="AL275" s="40">
        <f>AL271+AL272+AL273+AL274</f>
        <v/>
      </c>
      <c r="AM275" s="40">
        <f>AM271+AM272+AM273+AM274</f>
        <v/>
      </c>
      <c r="AN275" s="40">
        <f>AN271+AN272+AN273+AN274</f>
        <v/>
      </c>
      <c r="AO275" s="40">
        <f>AO271+AO272+AO273+AO274</f>
        <v/>
      </c>
      <c r="AP275" s="40">
        <f>AP271+AP272+AP273+AP274</f>
        <v/>
      </c>
      <c r="AQ275" s="40">
        <f>AQ271+AQ272+AQ273+AQ274</f>
        <v/>
      </c>
      <c r="AR275" s="40">
        <f>AR271+AR272+AR273+AR274</f>
        <v/>
      </c>
      <c r="AS275" s="40">
        <f>AS271+AS272+AS273+AS274</f>
        <v/>
      </c>
      <c r="AT275" s="40">
        <f>AT271+AT272+AT273+AT274</f>
        <v/>
      </c>
      <c r="AU275" s="40">
        <f>AU271+AU272+AU273+AU274</f>
        <v/>
      </c>
      <c r="AV275" s="40">
        <f>AV271+AV272+AV273+AV274</f>
        <v/>
      </c>
      <c r="AW275" s="40">
        <f>AW271+AW272+AW273+AW274</f>
        <v/>
      </c>
      <c r="AX275" s="40">
        <f>AX271+AX272+AX273+AX274</f>
        <v/>
      </c>
      <c r="AY275" s="40">
        <f>AY271+AY272+AY273+AY274</f>
        <v/>
      </c>
      <c r="AZ275" s="40">
        <f>AZ271+AZ272+AZ273+AZ274</f>
        <v/>
      </c>
      <c r="BA275" s="40">
        <f>BA271+BA272+BA273+BA274</f>
        <v/>
      </c>
      <c r="BB275" s="40">
        <f>BB271+BB272+BB273+BB274</f>
        <v/>
      </c>
      <c r="BC275" s="40">
        <f>BC271+BC272+BC273+BC274</f>
        <v/>
      </c>
      <c r="BD275" s="40">
        <f>BD271+BD272+BD273+BD274</f>
        <v/>
      </c>
    </row>
    <row r="276">
      <c r="A276" s="2" t="inlineStr">
        <is>
          <t xml:space="preserve">   The sum of the rows above — no mask, no SUMPRODUCT. You can add them by eye.</t>
        </is>
      </c>
    </row>
    <row r="278">
      <c r="A278" s="3" t="inlineStr">
        <is>
          <t>B — WHAT YOU CAN ADD</t>
        </is>
      </c>
    </row>
    <row r="279">
      <c r="A279" s="36" t="inlineStr">
        <is>
          <t>Week</t>
        </is>
      </c>
      <c r="B279" s="37" t="inlineStr">
        <is>
          <t>hours</t>
        </is>
      </c>
      <c r="E279" s="38" t="n">
        <v>1</v>
      </c>
      <c r="F279" s="38" t="n">
        <v>2</v>
      </c>
      <c r="G279" s="38" t="n">
        <v>3</v>
      </c>
      <c r="H279" s="38" t="n">
        <v>4</v>
      </c>
      <c r="I279" s="38" t="n">
        <v>5</v>
      </c>
      <c r="J279" s="38" t="n">
        <v>6</v>
      </c>
      <c r="K279" s="38" t="n">
        <v>7</v>
      </c>
      <c r="L279" s="38" t="n">
        <v>8</v>
      </c>
      <c r="M279" s="38" t="n">
        <v>9</v>
      </c>
      <c r="N279" s="38" t="n">
        <v>10</v>
      </c>
      <c r="O279" s="38" t="n">
        <v>11</v>
      </c>
      <c r="P279" s="38" t="n">
        <v>12</v>
      </c>
      <c r="Q279" s="38" t="n">
        <v>13</v>
      </c>
      <c r="R279" s="38" t="n">
        <v>14</v>
      </c>
      <c r="S279" s="38" t="n">
        <v>15</v>
      </c>
      <c r="T279" s="38" t="n">
        <v>16</v>
      </c>
      <c r="U279" s="38" t="n">
        <v>17</v>
      </c>
      <c r="V279" s="38" t="n">
        <v>18</v>
      </c>
      <c r="W279" s="38" t="n">
        <v>19</v>
      </c>
      <c r="X279" s="38" t="n">
        <v>20</v>
      </c>
      <c r="Y279" s="38" t="n">
        <v>21</v>
      </c>
      <c r="Z279" s="38" t="n">
        <v>22</v>
      </c>
      <c r="AA279" s="38" t="n">
        <v>23</v>
      </c>
      <c r="AB279" s="38" t="n">
        <v>24</v>
      </c>
      <c r="AC279" s="38" t="n">
        <v>25</v>
      </c>
      <c r="AD279" s="38" t="n">
        <v>26</v>
      </c>
      <c r="AE279" s="38" t="n">
        <v>27</v>
      </c>
      <c r="AF279" s="38" t="n">
        <v>28</v>
      </c>
      <c r="AG279" s="38" t="n">
        <v>29</v>
      </c>
      <c r="AH279" s="38" t="n">
        <v>30</v>
      </c>
      <c r="AI279" s="38" t="n">
        <v>31</v>
      </c>
      <c r="AJ279" s="38" t="n">
        <v>32</v>
      </c>
      <c r="AK279" s="38" t="n">
        <v>33</v>
      </c>
      <c r="AL279" s="38" t="n">
        <v>34</v>
      </c>
      <c r="AM279" s="38" t="n">
        <v>35</v>
      </c>
      <c r="AN279" s="38" t="n">
        <v>36</v>
      </c>
      <c r="AO279" s="38" t="n">
        <v>37</v>
      </c>
      <c r="AP279" s="38" t="n">
        <v>38</v>
      </c>
      <c r="AQ279" s="38" t="n">
        <v>39</v>
      </c>
      <c r="AR279" s="38" t="n">
        <v>40</v>
      </c>
      <c r="AS279" s="38" t="n">
        <v>41</v>
      </c>
      <c r="AT279" s="38" t="n">
        <v>42</v>
      </c>
      <c r="AU279" s="38" t="n">
        <v>43</v>
      </c>
      <c r="AV279" s="38" t="n">
        <v>44</v>
      </c>
      <c r="AW279" s="38" t="n">
        <v>45</v>
      </c>
      <c r="AX279" s="38" t="n">
        <v>46</v>
      </c>
      <c r="AY279" s="38" t="n">
        <v>47</v>
      </c>
      <c r="AZ279" s="38" t="n">
        <v>48</v>
      </c>
      <c r="BA279" s="38" t="n">
        <v>49</v>
      </c>
      <c r="BB279" s="38" t="n">
        <v>50</v>
      </c>
      <c r="BC279" s="38" t="n">
        <v>51</v>
      </c>
      <c r="BD279" s="38" t="n">
        <v>52</v>
      </c>
    </row>
    <row r="280">
      <c r="A280" s="33" t="inlineStr">
        <is>
          <t xml:space="preserve">   Equipment Operator — overtime CAP</t>
        </is>
      </c>
      <c r="B280" s="2" t="inlineStr">
        <is>
          <t>hrs</t>
        </is>
      </c>
      <c r="E280" s="40">
        <f>MAX(0,$B$58-1)*E272</f>
        <v/>
      </c>
      <c r="F280" s="40">
        <f>MAX(0,$B$58-1)*F272</f>
        <v/>
      </c>
      <c r="G280" s="40">
        <f>MAX(0,$B$58-1)*G272</f>
        <v/>
      </c>
      <c r="H280" s="40">
        <f>MAX(0,$B$58-1)*H272</f>
        <v/>
      </c>
      <c r="I280" s="40">
        <f>MAX(0,$B$58-1)*I272</f>
        <v/>
      </c>
      <c r="J280" s="40">
        <f>MAX(0,$B$58-1)*J272</f>
        <v/>
      </c>
      <c r="K280" s="40">
        <f>MAX(0,$B$58-1)*K272</f>
        <v/>
      </c>
      <c r="L280" s="40">
        <f>MAX(0,$B$58-1)*L272</f>
        <v/>
      </c>
      <c r="M280" s="40">
        <f>MAX(0,$B$58-1)*M272</f>
        <v/>
      </c>
      <c r="N280" s="40">
        <f>MAX(0,$B$58-1)*N272</f>
        <v/>
      </c>
      <c r="O280" s="40">
        <f>MAX(0,$B$58-1)*O272</f>
        <v/>
      </c>
      <c r="P280" s="40">
        <f>MAX(0,$B$58-1)*P272</f>
        <v/>
      </c>
      <c r="Q280" s="40">
        <f>MAX(0,$B$58-1)*Q272</f>
        <v/>
      </c>
      <c r="R280" s="40">
        <f>MAX(0,$B$58-1)*R272</f>
        <v/>
      </c>
      <c r="S280" s="40">
        <f>MAX(0,$B$58-1)*S272</f>
        <v/>
      </c>
      <c r="T280" s="40">
        <f>MAX(0,$B$58-1)*T272</f>
        <v/>
      </c>
      <c r="U280" s="40">
        <f>MAX(0,$B$58-1)*U272</f>
        <v/>
      </c>
      <c r="V280" s="40">
        <f>MAX(0,$B$58-1)*V272</f>
        <v/>
      </c>
      <c r="W280" s="40">
        <f>MAX(0,$B$58-1)*W272</f>
        <v/>
      </c>
      <c r="X280" s="40">
        <f>MAX(0,$B$58-1)*X272</f>
        <v/>
      </c>
      <c r="Y280" s="40">
        <f>MAX(0,$B$58-1)*Y272</f>
        <v/>
      </c>
      <c r="Z280" s="40">
        <f>MAX(0,$B$58-1)*Z272</f>
        <v/>
      </c>
      <c r="AA280" s="40">
        <f>MAX(0,$B$58-1)*AA272</f>
        <v/>
      </c>
      <c r="AB280" s="40">
        <f>MAX(0,$B$58-1)*AB272</f>
        <v/>
      </c>
      <c r="AC280" s="40">
        <f>MAX(0,$B$58-1)*AC272</f>
        <v/>
      </c>
      <c r="AD280" s="40">
        <f>MAX(0,$B$58-1)*AD272</f>
        <v/>
      </c>
      <c r="AE280" s="40">
        <f>MAX(0,$B$58-1)*AE272</f>
        <v/>
      </c>
      <c r="AF280" s="40">
        <f>MAX(0,$B$58-1)*AF272</f>
        <v/>
      </c>
      <c r="AG280" s="40">
        <f>MAX(0,$B$58-1)*AG272</f>
        <v/>
      </c>
      <c r="AH280" s="40">
        <f>MAX(0,$B$58-1)*AH272</f>
        <v/>
      </c>
      <c r="AI280" s="40">
        <f>MAX(0,$B$58-1)*AI272</f>
        <v/>
      </c>
      <c r="AJ280" s="40">
        <f>MAX(0,$B$58-1)*AJ272</f>
        <v/>
      </c>
      <c r="AK280" s="40">
        <f>MAX(0,$B$58-1)*AK272</f>
        <v/>
      </c>
      <c r="AL280" s="40">
        <f>MAX(0,$B$58-1)*AL272</f>
        <v/>
      </c>
      <c r="AM280" s="40">
        <f>MAX(0,$B$58-1)*AM272</f>
        <v/>
      </c>
      <c r="AN280" s="40">
        <f>MAX(0,$B$58-1)*AN272</f>
        <v/>
      </c>
      <c r="AO280" s="40">
        <f>MAX(0,$B$58-1)*AO272</f>
        <v/>
      </c>
      <c r="AP280" s="40">
        <f>MAX(0,$B$58-1)*AP272</f>
        <v/>
      </c>
      <c r="AQ280" s="40">
        <f>MAX(0,$B$58-1)*AQ272</f>
        <v/>
      </c>
      <c r="AR280" s="40">
        <f>MAX(0,$B$58-1)*AR272</f>
        <v/>
      </c>
      <c r="AS280" s="40">
        <f>MAX(0,$B$58-1)*AS272</f>
        <v/>
      </c>
      <c r="AT280" s="40">
        <f>MAX(0,$B$58-1)*AT272</f>
        <v/>
      </c>
      <c r="AU280" s="40">
        <f>MAX(0,$B$58-1)*AU272</f>
        <v/>
      </c>
      <c r="AV280" s="40">
        <f>MAX(0,$B$58-1)*AV272</f>
        <v/>
      </c>
      <c r="AW280" s="40">
        <f>MAX(0,$B$58-1)*AW272</f>
        <v/>
      </c>
      <c r="AX280" s="40">
        <f>MAX(0,$B$58-1)*AX272</f>
        <v/>
      </c>
      <c r="AY280" s="40">
        <f>MAX(0,$B$58-1)*AY272</f>
        <v/>
      </c>
      <c r="AZ280" s="40">
        <f>MAX(0,$B$58-1)*AZ272</f>
        <v/>
      </c>
      <c r="BA280" s="40">
        <f>MAX(0,$B$58-1)*BA272</f>
        <v/>
      </c>
      <c r="BB280" s="40">
        <f>MAX(0,$B$58-1)*BB272</f>
        <v/>
      </c>
      <c r="BC280" s="40">
        <f>MAX(0,$B$58-1)*BC272</f>
        <v/>
      </c>
      <c r="BD280" s="40">
        <f>MAX(0,$B$58-1)*BD272</f>
        <v/>
      </c>
    </row>
    <row r="281">
      <c r="A281" s="32" t="inlineStr">
        <is>
          <t xml:space="preserve">   Equipment Operator — OVERTIME hrs</t>
        </is>
      </c>
      <c r="B281" s="2" t="inlineStr">
        <is>
          <t>hrs &lt;-- SOLVER</t>
        </is>
      </c>
      <c r="E281" s="39" t="n">
        <v>0</v>
      </c>
      <c r="F281" s="39" t="n">
        <v>0</v>
      </c>
      <c r="G281" s="39" t="n">
        <v>0</v>
      </c>
      <c r="H281" s="39" t="n">
        <v>0</v>
      </c>
      <c r="I281" s="39" t="n">
        <v>0</v>
      </c>
      <c r="J281" s="39" t="n">
        <v>0</v>
      </c>
      <c r="K281" s="39" t="n">
        <v>0</v>
      </c>
      <c r="L281" s="39" t="n">
        <v>0</v>
      </c>
      <c r="M281" s="39" t="n">
        <v>0</v>
      </c>
      <c r="N281" s="39" t="n">
        <v>0</v>
      </c>
      <c r="O281" s="39" t="n">
        <v>0</v>
      </c>
      <c r="P281" s="39" t="n">
        <v>0</v>
      </c>
      <c r="Q281" s="39" t="n">
        <v>0</v>
      </c>
      <c r="R281" s="39" t="n">
        <v>0</v>
      </c>
      <c r="S281" s="39" t="n">
        <v>0</v>
      </c>
      <c r="T281" s="39" t="n">
        <v>0</v>
      </c>
      <c r="U281" s="39" t="n">
        <v>0</v>
      </c>
      <c r="V281" s="39" t="n">
        <v>0</v>
      </c>
      <c r="W281" s="39" t="n">
        <v>0</v>
      </c>
      <c r="X281" s="39" t="n">
        <v>0</v>
      </c>
      <c r="Y281" s="39" t="n">
        <v>0</v>
      </c>
      <c r="Z281" s="39" t="n">
        <v>0</v>
      </c>
      <c r="AA281" s="39" t="n">
        <v>0</v>
      </c>
      <c r="AB281" s="39" t="n">
        <v>0</v>
      </c>
      <c r="AC281" s="39" t="n">
        <v>0</v>
      </c>
      <c r="AD281" s="39" t="n">
        <v>0</v>
      </c>
      <c r="AE281" s="39" t="n">
        <v>0</v>
      </c>
      <c r="AF281" s="39" t="n">
        <v>0</v>
      </c>
      <c r="AG281" s="39" t="n">
        <v>0</v>
      </c>
      <c r="AH281" s="39" t="n">
        <v>0</v>
      </c>
      <c r="AI281" s="39" t="n">
        <v>0</v>
      </c>
      <c r="AJ281" s="39" t="n">
        <v>0</v>
      </c>
      <c r="AK281" s="39" t="n">
        <v>0</v>
      </c>
      <c r="AL281" s="39" t="n">
        <v>0</v>
      </c>
      <c r="AM281" s="39" t="n">
        <v>0</v>
      </c>
      <c r="AN281" s="39" t="n">
        <v>0</v>
      </c>
      <c r="AO281" s="39" t="n">
        <v>0</v>
      </c>
      <c r="AP281" s="39" t="n">
        <v>0</v>
      </c>
      <c r="AQ281" s="39" t="n">
        <v>0</v>
      </c>
      <c r="AR281" s="39" t="n">
        <v>0</v>
      </c>
      <c r="AS281" s="39" t="n">
        <v>0</v>
      </c>
      <c r="AT281" s="39" t="n">
        <v>0</v>
      </c>
      <c r="AU281" s="39" t="n">
        <v>0</v>
      </c>
      <c r="AV281" s="39" t="n">
        <v>0</v>
      </c>
      <c r="AW281" s="39" t="n">
        <v>0</v>
      </c>
      <c r="AX281" s="39" t="n">
        <v>0</v>
      </c>
      <c r="AY281" s="39" t="n">
        <v>0</v>
      </c>
      <c r="AZ281" s="39" t="n">
        <v>0</v>
      </c>
      <c r="BA281" s="39" t="n">
        <v>0</v>
      </c>
      <c r="BB281" s="39" t="n">
        <v>0</v>
      </c>
      <c r="BC281" s="39" t="n">
        <v>0</v>
      </c>
      <c r="BD281" s="39" t="n">
        <v>0</v>
      </c>
    </row>
    <row r="282">
      <c r="A282" s="33" t="inlineStr">
        <is>
          <t xml:space="preserve">   Seasonal Field Crew — overtime CAP</t>
        </is>
      </c>
      <c r="B282" s="2" t="inlineStr">
        <is>
          <t>hrs</t>
        </is>
      </c>
      <c r="E282" s="40">
        <f>MAX(0,$B$58-1)*E273</f>
        <v/>
      </c>
      <c r="F282" s="40">
        <f>MAX(0,$B$58-1)*F273</f>
        <v/>
      </c>
      <c r="G282" s="40">
        <f>MAX(0,$B$58-1)*G273</f>
        <v/>
      </c>
      <c r="H282" s="40">
        <f>MAX(0,$B$58-1)*H273</f>
        <v/>
      </c>
      <c r="I282" s="40">
        <f>MAX(0,$B$58-1)*I273</f>
        <v/>
      </c>
      <c r="J282" s="40">
        <f>MAX(0,$B$58-1)*J273</f>
        <v/>
      </c>
      <c r="K282" s="40">
        <f>MAX(0,$B$58-1)*K273</f>
        <v/>
      </c>
      <c r="L282" s="40">
        <f>MAX(0,$B$58-1)*L273</f>
        <v/>
      </c>
      <c r="M282" s="40">
        <f>MAX(0,$B$58-1)*M273</f>
        <v/>
      </c>
      <c r="N282" s="40">
        <f>MAX(0,$B$58-1)*N273</f>
        <v/>
      </c>
      <c r="O282" s="40">
        <f>MAX(0,$B$58-1)*O273</f>
        <v/>
      </c>
      <c r="P282" s="40">
        <f>MAX(0,$B$58-1)*P273</f>
        <v/>
      </c>
      <c r="Q282" s="40">
        <f>MAX(0,$B$58-1)*Q273</f>
        <v/>
      </c>
      <c r="R282" s="40">
        <f>MAX(0,$B$58-1)*R273</f>
        <v/>
      </c>
      <c r="S282" s="40">
        <f>MAX(0,$B$58-1)*S273</f>
        <v/>
      </c>
      <c r="T282" s="40">
        <f>MAX(0,$B$58-1)*T273</f>
        <v/>
      </c>
      <c r="U282" s="40">
        <f>MAX(0,$B$58-1)*U273</f>
        <v/>
      </c>
      <c r="V282" s="40">
        <f>MAX(0,$B$58-1)*V273</f>
        <v/>
      </c>
      <c r="W282" s="40">
        <f>MAX(0,$B$58-1)*W273</f>
        <v/>
      </c>
      <c r="X282" s="40">
        <f>MAX(0,$B$58-1)*X273</f>
        <v/>
      </c>
      <c r="Y282" s="40">
        <f>MAX(0,$B$58-1)*Y273</f>
        <v/>
      </c>
      <c r="Z282" s="40">
        <f>MAX(0,$B$58-1)*Z273</f>
        <v/>
      </c>
      <c r="AA282" s="40">
        <f>MAX(0,$B$58-1)*AA273</f>
        <v/>
      </c>
      <c r="AB282" s="40">
        <f>MAX(0,$B$58-1)*AB273</f>
        <v/>
      </c>
      <c r="AC282" s="40">
        <f>MAX(0,$B$58-1)*AC273</f>
        <v/>
      </c>
      <c r="AD282" s="40">
        <f>MAX(0,$B$58-1)*AD273</f>
        <v/>
      </c>
      <c r="AE282" s="40">
        <f>MAX(0,$B$58-1)*AE273</f>
        <v/>
      </c>
      <c r="AF282" s="40">
        <f>MAX(0,$B$58-1)*AF273</f>
        <v/>
      </c>
      <c r="AG282" s="40">
        <f>MAX(0,$B$58-1)*AG273</f>
        <v/>
      </c>
      <c r="AH282" s="40">
        <f>MAX(0,$B$58-1)*AH273</f>
        <v/>
      </c>
      <c r="AI282" s="40">
        <f>MAX(0,$B$58-1)*AI273</f>
        <v/>
      </c>
      <c r="AJ282" s="40">
        <f>MAX(0,$B$58-1)*AJ273</f>
        <v/>
      </c>
      <c r="AK282" s="40">
        <f>MAX(0,$B$58-1)*AK273</f>
        <v/>
      </c>
      <c r="AL282" s="40">
        <f>MAX(0,$B$58-1)*AL273</f>
        <v/>
      </c>
      <c r="AM282" s="40">
        <f>MAX(0,$B$58-1)*AM273</f>
        <v/>
      </c>
      <c r="AN282" s="40">
        <f>MAX(0,$B$58-1)*AN273</f>
        <v/>
      </c>
      <c r="AO282" s="40">
        <f>MAX(0,$B$58-1)*AO273</f>
        <v/>
      </c>
      <c r="AP282" s="40">
        <f>MAX(0,$B$58-1)*AP273</f>
        <v/>
      </c>
      <c r="AQ282" s="40">
        <f>MAX(0,$B$58-1)*AQ273</f>
        <v/>
      </c>
      <c r="AR282" s="40">
        <f>MAX(0,$B$58-1)*AR273</f>
        <v/>
      </c>
      <c r="AS282" s="40">
        <f>MAX(0,$B$58-1)*AS273</f>
        <v/>
      </c>
      <c r="AT282" s="40">
        <f>MAX(0,$B$58-1)*AT273</f>
        <v/>
      </c>
      <c r="AU282" s="40">
        <f>MAX(0,$B$58-1)*AU273</f>
        <v/>
      </c>
      <c r="AV282" s="40">
        <f>MAX(0,$B$58-1)*AV273</f>
        <v/>
      </c>
      <c r="AW282" s="40">
        <f>MAX(0,$B$58-1)*AW273</f>
        <v/>
      </c>
      <c r="AX282" s="40">
        <f>MAX(0,$B$58-1)*AX273</f>
        <v/>
      </c>
      <c r="AY282" s="40">
        <f>MAX(0,$B$58-1)*AY273</f>
        <v/>
      </c>
      <c r="AZ282" s="40">
        <f>MAX(0,$B$58-1)*AZ273</f>
        <v/>
      </c>
      <c r="BA282" s="40">
        <f>MAX(0,$B$58-1)*BA273</f>
        <v/>
      </c>
      <c r="BB282" s="40">
        <f>MAX(0,$B$58-1)*BB273</f>
        <v/>
      </c>
      <c r="BC282" s="40">
        <f>MAX(0,$B$58-1)*BC273</f>
        <v/>
      </c>
      <c r="BD282" s="40">
        <f>MAX(0,$B$58-1)*BD273</f>
        <v/>
      </c>
    </row>
    <row r="283">
      <c r="A283" s="32" t="inlineStr">
        <is>
          <t xml:space="preserve">   Seasonal Field Crew — OVERTIME hrs</t>
        </is>
      </c>
      <c r="B283" s="2" t="inlineStr">
        <is>
          <t>hrs &lt;-- SOLVER</t>
        </is>
      </c>
      <c r="E283" s="39" t="n">
        <v>0</v>
      </c>
      <c r="F283" s="39" t="n">
        <v>0</v>
      </c>
      <c r="G283" s="39" t="n">
        <v>0</v>
      </c>
      <c r="H283" s="39" t="n">
        <v>0</v>
      </c>
      <c r="I283" s="39" t="n">
        <v>0</v>
      </c>
      <c r="J283" s="39" t="n">
        <v>0</v>
      </c>
      <c r="K283" s="39" t="n">
        <v>0</v>
      </c>
      <c r="L283" s="39" t="n">
        <v>0</v>
      </c>
      <c r="M283" s="39" t="n">
        <v>0</v>
      </c>
      <c r="N283" s="39" t="n">
        <v>0</v>
      </c>
      <c r="O283" s="39" t="n">
        <v>0</v>
      </c>
      <c r="P283" s="39" t="n">
        <v>0</v>
      </c>
      <c r="Q283" s="39" t="n">
        <v>0</v>
      </c>
      <c r="R283" s="39" t="n">
        <v>0</v>
      </c>
      <c r="S283" s="39" t="n">
        <v>0</v>
      </c>
      <c r="T283" s="39" t="n">
        <v>0</v>
      </c>
      <c r="U283" s="39" t="n">
        <v>0</v>
      </c>
      <c r="V283" s="39" t="n">
        <v>0</v>
      </c>
      <c r="W283" s="39" t="n">
        <v>0</v>
      </c>
      <c r="X283" s="39" t="n">
        <v>0</v>
      </c>
      <c r="Y283" s="39" t="n">
        <v>0</v>
      </c>
      <c r="Z283" s="39" t="n">
        <v>0</v>
      </c>
      <c r="AA283" s="39" t="n">
        <v>0</v>
      </c>
      <c r="AB283" s="39" t="n">
        <v>0</v>
      </c>
      <c r="AC283" s="39" t="n">
        <v>0</v>
      </c>
      <c r="AD283" s="39" t="n">
        <v>0</v>
      </c>
      <c r="AE283" s="39" t="n">
        <v>0</v>
      </c>
      <c r="AF283" s="39" t="n">
        <v>0</v>
      </c>
      <c r="AG283" s="39" t="n">
        <v>0</v>
      </c>
      <c r="AH283" s="39" t="n">
        <v>0</v>
      </c>
      <c r="AI283" s="39" t="n">
        <v>0</v>
      </c>
      <c r="AJ283" s="39" t="n">
        <v>0</v>
      </c>
      <c r="AK283" s="39" t="n">
        <v>0</v>
      </c>
      <c r="AL283" s="39" t="n">
        <v>0</v>
      </c>
      <c r="AM283" s="39" t="n">
        <v>0</v>
      </c>
      <c r="AN283" s="39" t="n">
        <v>0</v>
      </c>
      <c r="AO283" s="39" t="n">
        <v>0</v>
      </c>
      <c r="AP283" s="39" t="n">
        <v>0</v>
      </c>
      <c r="AQ283" s="39" t="n">
        <v>0</v>
      </c>
      <c r="AR283" s="39" t="n">
        <v>0</v>
      </c>
      <c r="AS283" s="39" t="n">
        <v>0</v>
      </c>
      <c r="AT283" s="39" t="n">
        <v>0</v>
      </c>
      <c r="AU283" s="39" t="n">
        <v>0</v>
      </c>
      <c r="AV283" s="39" t="n">
        <v>0</v>
      </c>
      <c r="AW283" s="39" t="n">
        <v>0</v>
      </c>
      <c r="AX283" s="39" t="n">
        <v>0</v>
      </c>
      <c r="AY283" s="39" t="n">
        <v>0</v>
      </c>
      <c r="AZ283" s="39" t="n">
        <v>0</v>
      </c>
      <c r="BA283" s="39" t="n">
        <v>0</v>
      </c>
      <c r="BB283" s="39" t="n">
        <v>0</v>
      </c>
      <c r="BC283" s="39" t="n">
        <v>0</v>
      </c>
      <c r="BD283" s="39" t="n">
        <v>0</v>
      </c>
    </row>
    <row r="284">
      <c r="A284" s="33" t="inlineStr">
        <is>
          <t xml:space="preserve">   Harvest Crew — overtime CAP</t>
        </is>
      </c>
      <c r="B284" s="2" t="inlineStr">
        <is>
          <t>hrs</t>
        </is>
      </c>
      <c r="E284" s="40">
        <f>MAX(0,$B$58-1)*E274</f>
        <v/>
      </c>
      <c r="F284" s="40">
        <f>MAX(0,$B$58-1)*F274</f>
        <v/>
      </c>
      <c r="G284" s="40">
        <f>MAX(0,$B$58-1)*G274</f>
        <v/>
      </c>
      <c r="H284" s="40">
        <f>MAX(0,$B$58-1)*H274</f>
        <v/>
      </c>
      <c r="I284" s="40">
        <f>MAX(0,$B$58-1)*I274</f>
        <v/>
      </c>
      <c r="J284" s="40">
        <f>MAX(0,$B$58-1)*J274</f>
        <v/>
      </c>
      <c r="K284" s="40">
        <f>MAX(0,$B$58-1)*K274</f>
        <v/>
      </c>
      <c r="L284" s="40">
        <f>MAX(0,$B$58-1)*L274</f>
        <v/>
      </c>
      <c r="M284" s="40">
        <f>MAX(0,$B$58-1)*M274</f>
        <v/>
      </c>
      <c r="N284" s="40">
        <f>MAX(0,$B$58-1)*N274</f>
        <v/>
      </c>
      <c r="O284" s="40">
        <f>MAX(0,$B$58-1)*O274</f>
        <v/>
      </c>
      <c r="P284" s="40">
        <f>MAX(0,$B$58-1)*P274</f>
        <v/>
      </c>
      <c r="Q284" s="40">
        <f>MAX(0,$B$58-1)*Q274</f>
        <v/>
      </c>
      <c r="R284" s="40">
        <f>MAX(0,$B$58-1)*R274</f>
        <v/>
      </c>
      <c r="S284" s="40">
        <f>MAX(0,$B$58-1)*S274</f>
        <v/>
      </c>
      <c r="T284" s="40">
        <f>MAX(0,$B$58-1)*T274</f>
        <v/>
      </c>
      <c r="U284" s="40">
        <f>MAX(0,$B$58-1)*U274</f>
        <v/>
      </c>
      <c r="V284" s="40">
        <f>MAX(0,$B$58-1)*V274</f>
        <v/>
      </c>
      <c r="W284" s="40">
        <f>MAX(0,$B$58-1)*W274</f>
        <v/>
      </c>
      <c r="X284" s="40">
        <f>MAX(0,$B$58-1)*X274</f>
        <v/>
      </c>
      <c r="Y284" s="40">
        <f>MAX(0,$B$58-1)*Y274</f>
        <v/>
      </c>
      <c r="Z284" s="40">
        <f>MAX(0,$B$58-1)*Z274</f>
        <v/>
      </c>
      <c r="AA284" s="40">
        <f>MAX(0,$B$58-1)*AA274</f>
        <v/>
      </c>
      <c r="AB284" s="40">
        <f>MAX(0,$B$58-1)*AB274</f>
        <v/>
      </c>
      <c r="AC284" s="40">
        <f>MAX(0,$B$58-1)*AC274</f>
        <v/>
      </c>
      <c r="AD284" s="40">
        <f>MAX(0,$B$58-1)*AD274</f>
        <v/>
      </c>
      <c r="AE284" s="40">
        <f>MAX(0,$B$58-1)*AE274</f>
        <v/>
      </c>
      <c r="AF284" s="40">
        <f>MAX(0,$B$58-1)*AF274</f>
        <v/>
      </c>
      <c r="AG284" s="40">
        <f>MAX(0,$B$58-1)*AG274</f>
        <v/>
      </c>
      <c r="AH284" s="40">
        <f>MAX(0,$B$58-1)*AH274</f>
        <v/>
      </c>
      <c r="AI284" s="40">
        <f>MAX(0,$B$58-1)*AI274</f>
        <v/>
      </c>
      <c r="AJ284" s="40">
        <f>MAX(0,$B$58-1)*AJ274</f>
        <v/>
      </c>
      <c r="AK284" s="40">
        <f>MAX(0,$B$58-1)*AK274</f>
        <v/>
      </c>
      <c r="AL284" s="40">
        <f>MAX(0,$B$58-1)*AL274</f>
        <v/>
      </c>
      <c r="AM284" s="40">
        <f>MAX(0,$B$58-1)*AM274</f>
        <v/>
      </c>
      <c r="AN284" s="40">
        <f>MAX(0,$B$58-1)*AN274</f>
        <v/>
      </c>
      <c r="AO284" s="40">
        <f>MAX(0,$B$58-1)*AO274</f>
        <v/>
      </c>
      <c r="AP284" s="40">
        <f>MAX(0,$B$58-1)*AP274</f>
        <v/>
      </c>
      <c r="AQ284" s="40">
        <f>MAX(0,$B$58-1)*AQ274</f>
        <v/>
      </c>
      <c r="AR284" s="40">
        <f>MAX(0,$B$58-1)*AR274</f>
        <v/>
      </c>
      <c r="AS284" s="40">
        <f>MAX(0,$B$58-1)*AS274</f>
        <v/>
      </c>
      <c r="AT284" s="40">
        <f>MAX(0,$B$58-1)*AT274</f>
        <v/>
      </c>
      <c r="AU284" s="40">
        <f>MAX(0,$B$58-1)*AU274</f>
        <v/>
      </c>
      <c r="AV284" s="40">
        <f>MAX(0,$B$58-1)*AV274</f>
        <v/>
      </c>
      <c r="AW284" s="40">
        <f>MAX(0,$B$58-1)*AW274</f>
        <v/>
      </c>
      <c r="AX284" s="40">
        <f>MAX(0,$B$58-1)*AX274</f>
        <v/>
      </c>
      <c r="AY284" s="40">
        <f>MAX(0,$B$58-1)*AY274</f>
        <v/>
      </c>
      <c r="AZ284" s="40">
        <f>MAX(0,$B$58-1)*AZ274</f>
        <v/>
      </c>
      <c r="BA284" s="40">
        <f>MAX(0,$B$58-1)*BA274</f>
        <v/>
      </c>
      <c r="BB284" s="40">
        <f>MAX(0,$B$58-1)*BB274</f>
        <v/>
      </c>
      <c r="BC284" s="40">
        <f>MAX(0,$B$58-1)*BC274</f>
        <v/>
      </c>
      <c r="BD284" s="40">
        <f>MAX(0,$B$58-1)*BD274</f>
        <v/>
      </c>
    </row>
    <row r="285">
      <c r="A285" s="32" t="inlineStr">
        <is>
          <t xml:space="preserve">   Harvest Crew — OVERTIME hrs</t>
        </is>
      </c>
      <c r="B285" s="2" t="inlineStr">
        <is>
          <t>hrs &lt;-- SOLVER</t>
        </is>
      </c>
      <c r="E285" s="39" t="n">
        <v>0</v>
      </c>
      <c r="F285" s="39" t="n">
        <v>0</v>
      </c>
      <c r="G285" s="39" t="n">
        <v>0</v>
      </c>
      <c r="H285" s="39" t="n">
        <v>0</v>
      </c>
      <c r="I285" s="39" t="n">
        <v>0</v>
      </c>
      <c r="J285" s="39" t="n">
        <v>0</v>
      </c>
      <c r="K285" s="39" t="n">
        <v>0</v>
      </c>
      <c r="L285" s="39" t="n">
        <v>0</v>
      </c>
      <c r="M285" s="39" t="n">
        <v>0</v>
      </c>
      <c r="N285" s="39" t="n">
        <v>0</v>
      </c>
      <c r="O285" s="39" t="n">
        <v>0</v>
      </c>
      <c r="P285" s="39" t="n">
        <v>0</v>
      </c>
      <c r="Q285" s="39" t="n">
        <v>0</v>
      </c>
      <c r="R285" s="39" t="n">
        <v>0</v>
      </c>
      <c r="S285" s="39" t="n">
        <v>0</v>
      </c>
      <c r="T285" s="39" t="n">
        <v>0</v>
      </c>
      <c r="U285" s="39" t="n">
        <v>0</v>
      </c>
      <c r="V285" s="39" t="n">
        <v>0</v>
      </c>
      <c r="W285" s="39" t="n">
        <v>0</v>
      </c>
      <c r="X285" s="39" t="n">
        <v>0</v>
      </c>
      <c r="Y285" s="39" t="n">
        <v>0</v>
      </c>
      <c r="Z285" s="39" t="n">
        <v>0</v>
      </c>
      <c r="AA285" s="39" t="n">
        <v>0</v>
      </c>
      <c r="AB285" s="39" t="n">
        <v>0</v>
      </c>
      <c r="AC285" s="39" t="n">
        <v>0</v>
      </c>
      <c r="AD285" s="39" t="n">
        <v>0</v>
      </c>
      <c r="AE285" s="39" t="n">
        <v>0</v>
      </c>
      <c r="AF285" s="39" t="n">
        <v>0</v>
      </c>
      <c r="AG285" s="39" t="n">
        <v>0</v>
      </c>
      <c r="AH285" s="39" t="n">
        <v>0</v>
      </c>
      <c r="AI285" s="39" t="n">
        <v>0</v>
      </c>
      <c r="AJ285" s="39" t="n">
        <v>0</v>
      </c>
      <c r="AK285" s="39" t="n">
        <v>0</v>
      </c>
      <c r="AL285" s="39" t="n">
        <v>0</v>
      </c>
      <c r="AM285" s="39" t="n">
        <v>0</v>
      </c>
      <c r="AN285" s="39" t="n">
        <v>0</v>
      </c>
      <c r="AO285" s="39" t="n">
        <v>0</v>
      </c>
      <c r="AP285" s="39" t="n">
        <v>0</v>
      </c>
      <c r="AQ285" s="39" t="n">
        <v>0</v>
      </c>
      <c r="AR285" s="39" t="n">
        <v>0</v>
      </c>
      <c r="AS285" s="39" t="n">
        <v>0</v>
      </c>
      <c r="AT285" s="39" t="n">
        <v>0</v>
      </c>
      <c r="AU285" s="39" t="n">
        <v>0</v>
      </c>
      <c r="AV285" s="39" t="n">
        <v>0</v>
      </c>
      <c r="AW285" s="39" t="n">
        <v>0</v>
      </c>
      <c r="AX285" s="39" t="n">
        <v>0</v>
      </c>
      <c r="AY285" s="39" t="n">
        <v>0</v>
      </c>
      <c r="AZ285" s="39" t="n">
        <v>0</v>
      </c>
      <c r="BA285" s="39" t="n">
        <v>0</v>
      </c>
      <c r="BB285" s="39" t="n">
        <v>0</v>
      </c>
      <c r="BC285" s="39" t="n">
        <v>0</v>
      </c>
      <c r="BD285" s="39" t="n">
        <v>0</v>
      </c>
    </row>
    <row r="286">
      <c r="A286" s="2" t="inlineStr">
        <is>
          <t xml:space="preserve">   One cap and one decision per role. The RATE is that role's own wage — see block D — so the plan can prefer the cheap overtime, which a single blended rate could never express.</t>
        </is>
      </c>
    </row>
    <row r="287">
      <c r="A287" s="33" t="inlineStr">
        <is>
          <t>Harvest hours relieved</t>
        </is>
      </c>
      <c r="B287" s="2" t="inlineStr">
        <is>
          <t>hrs</t>
        </is>
      </c>
      <c r="E287" s="40">
        <f>E84</f>
        <v/>
      </c>
      <c r="F287" s="40">
        <f>F84</f>
        <v/>
      </c>
      <c r="G287" s="40">
        <f>G84</f>
        <v/>
      </c>
      <c r="H287" s="40">
        <f>H84</f>
        <v/>
      </c>
      <c r="I287" s="40">
        <f>I84</f>
        <v/>
      </c>
      <c r="J287" s="40">
        <f>J84</f>
        <v/>
      </c>
      <c r="K287" s="40">
        <f>K84</f>
        <v/>
      </c>
      <c r="L287" s="40">
        <f>L84</f>
        <v/>
      </c>
      <c r="M287" s="40">
        <f>M84</f>
        <v/>
      </c>
      <c r="N287" s="40">
        <f>N84</f>
        <v/>
      </c>
      <c r="O287" s="40">
        <f>O84</f>
        <v/>
      </c>
      <c r="P287" s="40">
        <f>P84</f>
        <v/>
      </c>
      <c r="Q287" s="40">
        <f>Q84</f>
        <v/>
      </c>
      <c r="R287" s="40">
        <f>R84</f>
        <v/>
      </c>
      <c r="S287" s="40">
        <f>S84</f>
        <v/>
      </c>
      <c r="T287" s="40">
        <f>T84</f>
        <v/>
      </c>
      <c r="U287" s="40">
        <f>U84</f>
        <v/>
      </c>
      <c r="V287" s="40">
        <f>V84</f>
        <v/>
      </c>
      <c r="W287" s="40">
        <f>W84</f>
        <v/>
      </c>
      <c r="X287" s="40">
        <f>X84</f>
        <v/>
      </c>
      <c r="Y287" s="40">
        <f>Y84</f>
        <v/>
      </c>
      <c r="Z287" s="40">
        <f>Z84</f>
        <v/>
      </c>
      <c r="AA287" s="40">
        <f>AA84</f>
        <v/>
      </c>
      <c r="AB287" s="40">
        <f>AB84</f>
        <v/>
      </c>
      <c r="AC287" s="40">
        <f>AC84</f>
        <v/>
      </c>
      <c r="AD287" s="40">
        <f>AD84</f>
        <v/>
      </c>
      <c r="AE287" s="40">
        <f>AE84</f>
        <v/>
      </c>
      <c r="AF287" s="40">
        <f>AF84</f>
        <v/>
      </c>
      <c r="AG287" s="40">
        <f>AG84</f>
        <v/>
      </c>
      <c r="AH287" s="40">
        <f>AH84</f>
        <v/>
      </c>
      <c r="AI287" s="40">
        <f>AI84</f>
        <v/>
      </c>
      <c r="AJ287" s="40">
        <f>AJ84</f>
        <v/>
      </c>
      <c r="AK287" s="40">
        <f>AK84</f>
        <v/>
      </c>
      <c r="AL287" s="40">
        <f>AL84</f>
        <v/>
      </c>
      <c r="AM287" s="40">
        <f>AM84</f>
        <v/>
      </c>
      <c r="AN287" s="40">
        <f>AN84</f>
        <v/>
      </c>
      <c r="AO287" s="40">
        <f>AO84</f>
        <v/>
      </c>
      <c r="AP287" s="40">
        <f>AP84</f>
        <v/>
      </c>
      <c r="AQ287" s="40">
        <f>AQ84</f>
        <v/>
      </c>
      <c r="AR287" s="40">
        <f>AR84</f>
        <v/>
      </c>
      <c r="AS287" s="40">
        <f>AS84</f>
        <v/>
      </c>
      <c r="AT287" s="40">
        <f>AT84</f>
        <v/>
      </c>
      <c r="AU287" s="40">
        <f>AU84</f>
        <v/>
      </c>
      <c r="AV287" s="40">
        <f>AV84</f>
        <v/>
      </c>
      <c r="AW287" s="40">
        <f>AW84</f>
        <v/>
      </c>
      <c r="AX287" s="40">
        <f>AX84</f>
        <v/>
      </c>
      <c r="AY287" s="40">
        <f>AY84</f>
        <v/>
      </c>
      <c r="AZ287" s="40">
        <f>AZ84</f>
        <v/>
      </c>
      <c r="BA287" s="40">
        <f>BA84</f>
        <v/>
      </c>
      <c r="BB287" s="40">
        <f>BB84</f>
        <v/>
      </c>
      <c r="BC287" s="40">
        <f>BC84</f>
        <v/>
      </c>
      <c r="BD287" s="40">
        <f>BD84</f>
        <v/>
      </c>
    </row>
    <row r="288">
      <c r="A288" s="2" t="inlineStr">
        <is>
          <t xml:space="preserve">   ⚠️ The piece-rate crew changes the HOURS you need, not the wages you owe — the committed crew is paid either way. Bounded below by the harvest hours actually needed, or pickers would be relieving the planting.</t>
        </is>
      </c>
    </row>
    <row r="289">
      <c r="A289" s="4" t="inlineStr">
        <is>
          <t>HOURS AVAILABLE</t>
        </is>
      </c>
      <c r="B289" s="2" t="inlineStr">
        <is>
          <t>hrs</t>
        </is>
      </c>
      <c r="E289" s="40">
        <f>E275+E281+E283+E285</f>
        <v/>
      </c>
      <c r="F289" s="40">
        <f>F275+F281+F283+F285</f>
        <v/>
      </c>
      <c r="G289" s="40">
        <f>G275+G281+G283+G285</f>
        <v/>
      </c>
      <c r="H289" s="40">
        <f>H275+H281+H283+H285</f>
        <v/>
      </c>
      <c r="I289" s="40">
        <f>I275+I281+I283+I285</f>
        <v/>
      </c>
      <c r="J289" s="40">
        <f>J275+J281+J283+J285</f>
        <v/>
      </c>
      <c r="K289" s="40">
        <f>K275+K281+K283+K285</f>
        <v/>
      </c>
      <c r="L289" s="40">
        <f>L275+L281+L283+L285</f>
        <v/>
      </c>
      <c r="M289" s="40">
        <f>M275+M281+M283+M285</f>
        <v/>
      </c>
      <c r="N289" s="40">
        <f>N275+N281+N283+N285</f>
        <v/>
      </c>
      <c r="O289" s="40">
        <f>O275+O281+O283+O285</f>
        <v/>
      </c>
      <c r="P289" s="40">
        <f>P275+P281+P283+P285</f>
        <v/>
      </c>
      <c r="Q289" s="40">
        <f>Q275+Q281+Q283+Q285</f>
        <v/>
      </c>
      <c r="R289" s="40">
        <f>R275+R281+R283+R285</f>
        <v/>
      </c>
      <c r="S289" s="40">
        <f>S275+S281+S283+S285</f>
        <v/>
      </c>
      <c r="T289" s="40">
        <f>T275+T281+T283+T285</f>
        <v/>
      </c>
      <c r="U289" s="40">
        <f>U275+U281+U283+U285</f>
        <v/>
      </c>
      <c r="V289" s="40">
        <f>V275+V281+V283+V285</f>
        <v/>
      </c>
      <c r="W289" s="40">
        <f>W275+W281+W283+W285</f>
        <v/>
      </c>
      <c r="X289" s="40">
        <f>X275+X281+X283+X285</f>
        <v/>
      </c>
      <c r="Y289" s="40">
        <f>Y275+Y281+Y283+Y285</f>
        <v/>
      </c>
      <c r="Z289" s="40">
        <f>Z275+Z281+Z283+Z285</f>
        <v/>
      </c>
      <c r="AA289" s="40">
        <f>AA275+AA281+AA283+AA285</f>
        <v/>
      </c>
      <c r="AB289" s="40">
        <f>AB275+AB281+AB283+AB285</f>
        <v/>
      </c>
      <c r="AC289" s="40">
        <f>AC275+AC281+AC283+AC285</f>
        <v/>
      </c>
      <c r="AD289" s="40">
        <f>AD275+AD281+AD283+AD285</f>
        <v/>
      </c>
      <c r="AE289" s="40">
        <f>AE275+AE281+AE283+AE285</f>
        <v/>
      </c>
      <c r="AF289" s="40">
        <f>AF275+AF281+AF283+AF285</f>
        <v/>
      </c>
      <c r="AG289" s="40">
        <f>AG275+AG281+AG283+AG285</f>
        <v/>
      </c>
      <c r="AH289" s="40">
        <f>AH275+AH281+AH283+AH285</f>
        <v/>
      </c>
      <c r="AI289" s="40">
        <f>AI275+AI281+AI283+AI285</f>
        <v/>
      </c>
      <c r="AJ289" s="40">
        <f>AJ275+AJ281+AJ283+AJ285</f>
        <v/>
      </c>
      <c r="AK289" s="40">
        <f>AK275+AK281+AK283+AK285</f>
        <v/>
      </c>
      <c r="AL289" s="40">
        <f>AL275+AL281+AL283+AL285</f>
        <v/>
      </c>
      <c r="AM289" s="40">
        <f>AM275+AM281+AM283+AM285</f>
        <v/>
      </c>
      <c r="AN289" s="40">
        <f>AN275+AN281+AN283+AN285</f>
        <v/>
      </c>
      <c r="AO289" s="40">
        <f>AO275+AO281+AO283+AO285</f>
        <v/>
      </c>
      <c r="AP289" s="40">
        <f>AP275+AP281+AP283+AP285</f>
        <v/>
      </c>
      <c r="AQ289" s="40">
        <f>AQ275+AQ281+AQ283+AQ285</f>
        <v/>
      </c>
      <c r="AR289" s="40">
        <f>AR275+AR281+AR283+AR285</f>
        <v/>
      </c>
      <c r="AS289" s="40">
        <f>AS275+AS281+AS283+AS285</f>
        <v/>
      </c>
      <c r="AT289" s="40">
        <f>AT275+AT281+AT283+AT285</f>
        <v/>
      </c>
      <c r="AU289" s="40">
        <f>AU275+AU281+AU283+AU285</f>
        <v/>
      </c>
      <c r="AV289" s="40">
        <f>AV275+AV281+AV283+AV285</f>
        <v/>
      </c>
      <c r="AW289" s="40">
        <f>AW275+AW281+AW283+AW285</f>
        <v/>
      </c>
      <c r="AX289" s="40">
        <f>AX275+AX281+AX283+AX285</f>
        <v/>
      </c>
      <c r="AY289" s="40">
        <f>AY275+AY281+AY283+AY285</f>
        <v/>
      </c>
      <c r="AZ289" s="40">
        <f>AZ275+AZ281+AZ283+AZ285</f>
        <v/>
      </c>
      <c r="BA289" s="40">
        <f>BA275+BA281+BA283+BA285</f>
        <v/>
      </c>
      <c r="BB289" s="40">
        <f>BB275+BB281+BB283+BB285</f>
        <v/>
      </c>
      <c r="BC289" s="40">
        <f>BC275+BC281+BC283+BC285</f>
        <v/>
      </c>
      <c r="BD289" s="40">
        <f>BD275+BD281+BD283+BD285</f>
        <v/>
      </c>
    </row>
    <row r="290">
      <c r="A290" s="2" t="inlineStr">
        <is>
          <t xml:space="preserve">   Crew capacity plus every role's overtime. The piece-rate crew is NOT in here — it removes hours from the demand side instead, which is block C.</t>
        </is>
      </c>
    </row>
    <row r="292">
      <c r="A292" s="3" t="inlineStr">
        <is>
          <t>C — THE LIMITS</t>
        </is>
      </c>
    </row>
    <row r="293">
      <c r="A293" s="36" t="inlineStr">
        <is>
          <t>Week</t>
        </is>
      </c>
      <c r="B293" s="37" t="inlineStr">
        <is>
          <t>hours</t>
        </is>
      </c>
      <c r="E293" s="38" t="n">
        <v>1</v>
      </c>
      <c r="F293" s="38" t="n">
        <v>2</v>
      </c>
      <c r="G293" s="38" t="n">
        <v>3</v>
      </c>
      <c r="H293" s="38" t="n">
        <v>4</v>
      </c>
      <c r="I293" s="38" t="n">
        <v>5</v>
      </c>
      <c r="J293" s="38" t="n">
        <v>6</v>
      </c>
      <c r="K293" s="38" t="n">
        <v>7</v>
      </c>
      <c r="L293" s="38" t="n">
        <v>8</v>
      </c>
      <c r="M293" s="38" t="n">
        <v>9</v>
      </c>
      <c r="N293" s="38" t="n">
        <v>10</v>
      </c>
      <c r="O293" s="38" t="n">
        <v>11</v>
      </c>
      <c r="P293" s="38" t="n">
        <v>12</v>
      </c>
      <c r="Q293" s="38" t="n">
        <v>13</v>
      </c>
      <c r="R293" s="38" t="n">
        <v>14</v>
      </c>
      <c r="S293" s="38" t="n">
        <v>15</v>
      </c>
      <c r="T293" s="38" t="n">
        <v>16</v>
      </c>
      <c r="U293" s="38" t="n">
        <v>17</v>
      </c>
      <c r="V293" s="38" t="n">
        <v>18</v>
      </c>
      <c r="W293" s="38" t="n">
        <v>19</v>
      </c>
      <c r="X293" s="38" t="n">
        <v>20</v>
      </c>
      <c r="Y293" s="38" t="n">
        <v>21</v>
      </c>
      <c r="Z293" s="38" t="n">
        <v>22</v>
      </c>
      <c r="AA293" s="38" t="n">
        <v>23</v>
      </c>
      <c r="AB293" s="38" t="n">
        <v>24</v>
      </c>
      <c r="AC293" s="38" t="n">
        <v>25</v>
      </c>
      <c r="AD293" s="38" t="n">
        <v>26</v>
      </c>
      <c r="AE293" s="38" t="n">
        <v>27</v>
      </c>
      <c r="AF293" s="38" t="n">
        <v>28</v>
      </c>
      <c r="AG293" s="38" t="n">
        <v>29</v>
      </c>
      <c r="AH293" s="38" t="n">
        <v>30</v>
      </c>
      <c r="AI293" s="38" t="n">
        <v>31</v>
      </c>
      <c r="AJ293" s="38" t="n">
        <v>32</v>
      </c>
      <c r="AK293" s="38" t="n">
        <v>33</v>
      </c>
      <c r="AL293" s="38" t="n">
        <v>34</v>
      </c>
      <c r="AM293" s="38" t="n">
        <v>35</v>
      </c>
      <c r="AN293" s="38" t="n">
        <v>36</v>
      </c>
      <c r="AO293" s="38" t="n">
        <v>37</v>
      </c>
      <c r="AP293" s="38" t="n">
        <v>38</v>
      </c>
      <c r="AQ293" s="38" t="n">
        <v>39</v>
      </c>
      <c r="AR293" s="38" t="n">
        <v>40</v>
      </c>
      <c r="AS293" s="38" t="n">
        <v>41</v>
      </c>
      <c r="AT293" s="38" t="n">
        <v>42</v>
      </c>
      <c r="AU293" s="38" t="n">
        <v>43</v>
      </c>
      <c r="AV293" s="38" t="n">
        <v>44</v>
      </c>
      <c r="AW293" s="38" t="n">
        <v>45</v>
      </c>
      <c r="AX293" s="38" t="n">
        <v>46</v>
      </c>
      <c r="AY293" s="38" t="n">
        <v>47</v>
      </c>
      <c r="AZ293" s="38" t="n">
        <v>48</v>
      </c>
      <c r="BA293" s="38" t="n">
        <v>49</v>
      </c>
      <c r="BB293" s="38" t="n">
        <v>50</v>
      </c>
      <c r="BC293" s="38" t="n">
        <v>51</v>
      </c>
      <c r="BD293" s="38" t="n">
        <v>52</v>
      </c>
    </row>
    <row r="294">
      <c r="A294" s="41" t="inlineStr">
        <is>
          <t>CROP HOURS needed</t>
        </is>
      </c>
      <c r="B294" s="2" t="inlineStr">
        <is>
          <t>used</t>
        </is>
      </c>
      <c r="E294" s="42">
        <f>SUMPRODUCT(($B$92:$B$232="Spinach")*(E$92:E$232="P")*$C$92:$C$232)*$N$17+SUMPRODUCT(($B$92:$B$232="Spinach")*(E$92:E$232="G")*$C$92:$C$232)*$O$17+SUMPRODUCT(($B$92:$B$232="Spinach")*(E$92:E$232="H")*$C$92:$C$232)*$P$17+SUMPRODUCT(($B$92:$B$232="Kale")*(E$92:E$232="P")*$C$92:$C$232)*$N$18+SUMPRODUCT(($B$92:$B$232="Kale")*(E$92:E$232="G")*$C$92:$C$232)*$O$18+SUMPRODUCT(($B$92:$B$232="Kale")*(E$92:E$232="H")*$C$92:$C$232)*$P$18+SUMPRODUCT(($B$92:$B$232="Garlic")*(E$92:E$232="P")*$C$92:$C$232)*$N$19+SUMPRODUCT(($B$92:$B$232="Garlic")*(E$92:E$232="G")*$C$92:$C$232)*$O$19+SUMPRODUCT(($B$92:$B$232="Garlic")*(E$92:E$232="H")*$C$92:$C$232)*$P$19+SUMPRODUCT(($B$92:$B$232="Tunnel Spinach")*(E$92:E$232="P")*$C$92:$C$232)*$N$20+SUMPRODUCT(($B$92:$B$232="Tunnel Spinach")*(E$92:E$232="G")*$C$92:$C$232)*$O$20+SUMPRODUCT(($B$92:$B$232="Tunnel Spinach")*(E$92:E$232="H")*$C$92:$C$232)*$P$20+SUMPRODUCT(($B$92:$B$232="Asparagus")*(E$92:E$232="P")*$C$92:$C$232)*$N$21+SUMPRODUCT(($B$92:$B$232="Asparagus")*(E$92:E$232="G")*$C$92:$C$232)*$O$21+SUMPRODUCT(($B$92:$B$232="Asparagus")*(E$92:E$232="H")*$C$92:$C$232)*$P$21-E287</f>
        <v/>
      </c>
      <c r="F294" s="42">
        <f>SUMPRODUCT(($B$92:$B$232="Spinach")*(F$92:F$232="P")*$C$92:$C$232)*$N$17+SUMPRODUCT(($B$92:$B$232="Spinach")*(F$92:F$232="G")*$C$92:$C$232)*$O$17+SUMPRODUCT(($B$92:$B$232="Spinach")*(F$92:F$232="H")*$C$92:$C$232)*$P$17+SUMPRODUCT(($B$92:$B$232="Kale")*(F$92:F$232="P")*$C$92:$C$232)*$N$18+SUMPRODUCT(($B$92:$B$232="Kale")*(F$92:F$232="G")*$C$92:$C$232)*$O$18+SUMPRODUCT(($B$92:$B$232="Kale")*(F$92:F$232="H")*$C$92:$C$232)*$P$18+SUMPRODUCT(($B$92:$B$232="Garlic")*(F$92:F$232="P")*$C$92:$C$232)*$N$19+SUMPRODUCT(($B$92:$B$232="Garlic")*(F$92:F$232="G")*$C$92:$C$232)*$O$19+SUMPRODUCT(($B$92:$B$232="Garlic")*(F$92:F$232="H")*$C$92:$C$232)*$P$19+SUMPRODUCT(($B$92:$B$232="Tunnel Spinach")*(F$92:F$232="P")*$C$92:$C$232)*$N$20+SUMPRODUCT(($B$92:$B$232="Tunnel Spinach")*(F$92:F$232="G")*$C$92:$C$232)*$O$20+SUMPRODUCT(($B$92:$B$232="Tunnel Spinach")*(F$92:F$232="H")*$C$92:$C$232)*$P$20+SUMPRODUCT(($B$92:$B$232="Asparagus")*(F$92:F$232="P")*$C$92:$C$232)*$N$21+SUMPRODUCT(($B$92:$B$232="Asparagus")*(F$92:F$232="G")*$C$92:$C$232)*$O$21+SUMPRODUCT(($B$92:$B$232="Asparagus")*(F$92:F$232="H")*$C$92:$C$232)*$P$21-F287</f>
        <v/>
      </c>
      <c r="G294" s="42">
        <f>SUMPRODUCT(($B$92:$B$232="Spinach")*(G$92:G$232="P")*$C$92:$C$232)*$N$17+SUMPRODUCT(($B$92:$B$232="Spinach")*(G$92:G$232="G")*$C$92:$C$232)*$O$17+SUMPRODUCT(($B$92:$B$232="Spinach")*(G$92:G$232="H")*$C$92:$C$232)*$P$17+SUMPRODUCT(($B$92:$B$232="Kale")*(G$92:G$232="P")*$C$92:$C$232)*$N$18+SUMPRODUCT(($B$92:$B$232="Kale")*(G$92:G$232="G")*$C$92:$C$232)*$O$18+SUMPRODUCT(($B$92:$B$232="Kale")*(G$92:G$232="H")*$C$92:$C$232)*$P$18+SUMPRODUCT(($B$92:$B$232="Garlic")*(G$92:G$232="P")*$C$92:$C$232)*$N$19+SUMPRODUCT(($B$92:$B$232="Garlic")*(G$92:G$232="G")*$C$92:$C$232)*$O$19+SUMPRODUCT(($B$92:$B$232="Garlic")*(G$92:G$232="H")*$C$92:$C$232)*$P$19+SUMPRODUCT(($B$92:$B$232="Tunnel Spinach")*(G$92:G$232="P")*$C$92:$C$232)*$N$20+SUMPRODUCT(($B$92:$B$232="Tunnel Spinach")*(G$92:G$232="G")*$C$92:$C$232)*$O$20+SUMPRODUCT(($B$92:$B$232="Tunnel Spinach")*(G$92:G$232="H")*$C$92:$C$232)*$P$20+SUMPRODUCT(($B$92:$B$232="Asparagus")*(G$92:G$232="P")*$C$92:$C$232)*$N$21+SUMPRODUCT(($B$92:$B$232="Asparagus")*(G$92:G$232="G")*$C$92:$C$232)*$O$21+SUMPRODUCT(($B$92:$B$232="Asparagus")*(G$92:G$232="H")*$C$92:$C$232)*$P$21-G287</f>
        <v/>
      </c>
      <c r="H294" s="42">
        <f>SUMPRODUCT(($B$92:$B$232="Spinach")*(H$92:H$232="P")*$C$92:$C$232)*$N$17+SUMPRODUCT(($B$92:$B$232="Spinach")*(H$92:H$232="G")*$C$92:$C$232)*$O$17+SUMPRODUCT(($B$92:$B$232="Spinach")*(H$92:H$232="H")*$C$92:$C$232)*$P$17+SUMPRODUCT(($B$92:$B$232="Kale")*(H$92:H$232="P")*$C$92:$C$232)*$N$18+SUMPRODUCT(($B$92:$B$232="Kale")*(H$92:H$232="G")*$C$92:$C$232)*$O$18+SUMPRODUCT(($B$92:$B$232="Kale")*(H$92:H$232="H")*$C$92:$C$232)*$P$18+SUMPRODUCT(($B$92:$B$232="Garlic")*(H$92:H$232="P")*$C$92:$C$232)*$N$19+SUMPRODUCT(($B$92:$B$232="Garlic")*(H$92:H$232="G")*$C$92:$C$232)*$O$19+SUMPRODUCT(($B$92:$B$232="Garlic")*(H$92:H$232="H")*$C$92:$C$232)*$P$19+SUMPRODUCT(($B$92:$B$232="Tunnel Spinach")*(H$92:H$232="P")*$C$92:$C$232)*$N$20+SUMPRODUCT(($B$92:$B$232="Tunnel Spinach")*(H$92:H$232="G")*$C$92:$C$232)*$O$20+SUMPRODUCT(($B$92:$B$232="Tunnel Spinach")*(H$92:H$232="H")*$C$92:$C$232)*$P$20+SUMPRODUCT(($B$92:$B$232="Asparagus")*(H$92:H$232="P")*$C$92:$C$232)*$N$21+SUMPRODUCT(($B$92:$B$232="Asparagus")*(H$92:H$232="G")*$C$92:$C$232)*$O$21+SUMPRODUCT(($B$92:$B$232="Asparagus")*(H$92:H$232="H")*$C$92:$C$232)*$P$21-H287</f>
        <v/>
      </c>
      <c r="I294" s="42">
        <f>SUMPRODUCT(($B$92:$B$232="Spinach")*(I$92:I$232="P")*$C$92:$C$232)*$N$17+SUMPRODUCT(($B$92:$B$232="Spinach")*(I$92:I$232="G")*$C$92:$C$232)*$O$17+SUMPRODUCT(($B$92:$B$232="Spinach")*(I$92:I$232="H")*$C$92:$C$232)*$P$17+SUMPRODUCT(($B$92:$B$232="Kale")*(I$92:I$232="P")*$C$92:$C$232)*$N$18+SUMPRODUCT(($B$92:$B$232="Kale")*(I$92:I$232="G")*$C$92:$C$232)*$O$18+SUMPRODUCT(($B$92:$B$232="Kale")*(I$92:I$232="H")*$C$92:$C$232)*$P$18+SUMPRODUCT(($B$92:$B$232="Garlic")*(I$92:I$232="P")*$C$92:$C$232)*$N$19+SUMPRODUCT(($B$92:$B$232="Garlic")*(I$92:I$232="G")*$C$92:$C$232)*$O$19+SUMPRODUCT(($B$92:$B$232="Garlic")*(I$92:I$232="H")*$C$92:$C$232)*$P$19+SUMPRODUCT(($B$92:$B$232="Tunnel Spinach")*(I$92:I$232="P")*$C$92:$C$232)*$N$20+SUMPRODUCT(($B$92:$B$232="Tunnel Spinach")*(I$92:I$232="G")*$C$92:$C$232)*$O$20+SUMPRODUCT(($B$92:$B$232="Tunnel Spinach")*(I$92:I$232="H")*$C$92:$C$232)*$P$20+SUMPRODUCT(($B$92:$B$232="Asparagus")*(I$92:I$232="P")*$C$92:$C$232)*$N$21+SUMPRODUCT(($B$92:$B$232="Asparagus")*(I$92:I$232="G")*$C$92:$C$232)*$O$21+SUMPRODUCT(($B$92:$B$232="Asparagus")*(I$92:I$232="H")*$C$92:$C$232)*$P$21-I287</f>
        <v/>
      </c>
      <c r="J294" s="42">
        <f>SUMPRODUCT(($B$92:$B$232="Spinach")*(J$92:J$232="P")*$C$92:$C$232)*$N$17+SUMPRODUCT(($B$92:$B$232="Spinach")*(J$92:J$232="G")*$C$92:$C$232)*$O$17+SUMPRODUCT(($B$92:$B$232="Spinach")*(J$92:J$232="H")*$C$92:$C$232)*$P$17+SUMPRODUCT(($B$92:$B$232="Kale")*(J$92:J$232="P")*$C$92:$C$232)*$N$18+SUMPRODUCT(($B$92:$B$232="Kale")*(J$92:J$232="G")*$C$92:$C$232)*$O$18+SUMPRODUCT(($B$92:$B$232="Kale")*(J$92:J$232="H")*$C$92:$C$232)*$P$18+SUMPRODUCT(($B$92:$B$232="Garlic")*(J$92:J$232="P")*$C$92:$C$232)*$N$19+SUMPRODUCT(($B$92:$B$232="Garlic")*(J$92:J$232="G")*$C$92:$C$232)*$O$19+SUMPRODUCT(($B$92:$B$232="Garlic")*(J$92:J$232="H")*$C$92:$C$232)*$P$19+SUMPRODUCT(($B$92:$B$232="Tunnel Spinach")*(J$92:J$232="P")*$C$92:$C$232)*$N$20+SUMPRODUCT(($B$92:$B$232="Tunnel Spinach")*(J$92:J$232="G")*$C$92:$C$232)*$O$20+SUMPRODUCT(($B$92:$B$232="Tunnel Spinach")*(J$92:J$232="H")*$C$92:$C$232)*$P$20+SUMPRODUCT(($B$92:$B$232="Asparagus")*(J$92:J$232="P")*$C$92:$C$232)*$N$21+SUMPRODUCT(($B$92:$B$232="Asparagus")*(J$92:J$232="G")*$C$92:$C$232)*$O$21+SUMPRODUCT(($B$92:$B$232="Asparagus")*(J$92:J$232="H")*$C$92:$C$232)*$P$21-J287</f>
        <v/>
      </c>
      <c r="K294" s="42">
        <f>SUMPRODUCT(($B$92:$B$232="Spinach")*(K$92:K$232="P")*$C$92:$C$232)*$N$17+SUMPRODUCT(($B$92:$B$232="Spinach")*(K$92:K$232="G")*$C$92:$C$232)*$O$17+SUMPRODUCT(($B$92:$B$232="Spinach")*(K$92:K$232="H")*$C$92:$C$232)*$P$17+SUMPRODUCT(($B$92:$B$232="Kale")*(K$92:K$232="P")*$C$92:$C$232)*$N$18+SUMPRODUCT(($B$92:$B$232="Kale")*(K$92:K$232="G")*$C$92:$C$232)*$O$18+SUMPRODUCT(($B$92:$B$232="Kale")*(K$92:K$232="H")*$C$92:$C$232)*$P$18+SUMPRODUCT(($B$92:$B$232="Garlic")*(K$92:K$232="P")*$C$92:$C$232)*$N$19+SUMPRODUCT(($B$92:$B$232="Garlic")*(K$92:K$232="G")*$C$92:$C$232)*$O$19+SUMPRODUCT(($B$92:$B$232="Garlic")*(K$92:K$232="H")*$C$92:$C$232)*$P$19+SUMPRODUCT(($B$92:$B$232="Tunnel Spinach")*(K$92:K$232="P")*$C$92:$C$232)*$N$20+SUMPRODUCT(($B$92:$B$232="Tunnel Spinach")*(K$92:K$232="G")*$C$92:$C$232)*$O$20+SUMPRODUCT(($B$92:$B$232="Tunnel Spinach")*(K$92:K$232="H")*$C$92:$C$232)*$P$20+SUMPRODUCT(($B$92:$B$232="Asparagus")*(K$92:K$232="P")*$C$92:$C$232)*$N$21+SUMPRODUCT(($B$92:$B$232="Asparagus")*(K$92:K$232="G")*$C$92:$C$232)*$O$21+SUMPRODUCT(($B$92:$B$232="Asparagus")*(K$92:K$232="H")*$C$92:$C$232)*$P$21-K287</f>
        <v/>
      </c>
      <c r="L294" s="42">
        <f>SUMPRODUCT(($B$92:$B$232="Spinach")*(L$92:L$232="P")*$C$92:$C$232)*$N$17+SUMPRODUCT(($B$92:$B$232="Spinach")*(L$92:L$232="G")*$C$92:$C$232)*$O$17+SUMPRODUCT(($B$92:$B$232="Spinach")*(L$92:L$232="H")*$C$92:$C$232)*$P$17+SUMPRODUCT(($B$92:$B$232="Kale")*(L$92:L$232="P")*$C$92:$C$232)*$N$18+SUMPRODUCT(($B$92:$B$232="Kale")*(L$92:L$232="G")*$C$92:$C$232)*$O$18+SUMPRODUCT(($B$92:$B$232="Kale")*(L$92:L$232="H")*$C$92:$C$232)*$P$18+SUMPRODUCT(($B$92:$B$232="Garlic")*(L$92:L$232="P")*$C$92:$C$232)*$N$19+SUMPRODUCT(($B$92:$B$232="Garlic")*(L$92:L$232="G")*$C$92:$C$232)*$O$19+SUMPRODUCT(($B$92:$B$232="Garlic")*(L$92:L$232="H")*$C$92:$C$232)*$P$19+SUMPRODUCT(($B$92:$B$232="Tunnel Spinach")*(L$92:L$232="P")*$C$92:$C$232)*$N$20+SUMPRODUCT(($B$92:$B$232="Tunnel Spinach")*(L$92:L$232="G")*$C$92:$C$232)*$O$20+SUMPRODUCT(($B$92:$B$232="Tunnel Spinach")*(L$92:L$232="H")*$C$92:$C$232)*$P$20+SUMPRODUCT(($B$92:$B$232="Asparagus")*(L$92:L$232="P")*$C$92:$C$232)*$N$21+SUMPRODUCT(($B$92:$B$232="Asparagus")*(L$92:L$232="G")*$C$92:$C$232)*$O$21+SUMPRODUCT(($B$92:$B$232="Asparagus")*(L$92:L$232="H")*$C$92:$C$232)*$P$21-L287</f>
        <v/>
      </c>
      <c r="M294" s="42">
        <f>SUMPRODUCT(($B$92:$B$232="Spinach")*(M$92:M$232="P")*$C$92:$C$232)*$N$17+SUMPRODUCT(($B$92:$B$232="Spinach")*(M$92:M$232="G")*$C$92:$C$232)*$O$17+SUMPRODUCT(($B$92:$B$232="Spinach")*(M$92:M$232="H")*$C$92:$C$232)*$P$17+SUMPRODUCT(($B$92:$B$232="Kale")*(M$92:M$232="P")*$C$92:$C$232)*$N$18+SUMPRODUCT(($B$92:$B$232="Kale")*(M$92:M$232="G")*$C$92:$C$232)*$O$18+SUMPRODUCT(($B$92:$B$232="Kale")*(M$92:M$232="H")*$C$92:$C$232)*$P$18+SUMPRODUCT(($B$92:$B$232="Garlic")*(M$92:M$232="P")*$C$92:$C$232)*$N$19+SUMPRODUCT(($B$92:$B$232="Garlic")*(M$92:M$232="G")*$C$92:$C$232)*$O$19+SUMPRODUCT(($B$92:$B$232="Garlic")*(M$92:M$232="H")*$C$92:$C$232)*$P$19+SUMPRODUCT(($B$92:$B$232="Tunnel Spinach")*(M$92:M$232="P")*$C$92:$C$232)*$N$20+SUMPRODUCT(($B$92:$B$232="Tunnel Spinach")*(M$92:M$232="G")*$C$92:$C$232)*$O$20+SUMPRODUCT(($B$92:$B$232="Tunnel Spinach")*(M$92:M$232="H")*$C$92:$C$232)*$P$20+SUMPRODUCT(($B$92:$B$232="Asparagus")*(M$92:M$232="P")*$C$92:$C$232)*$N$21+SUMPRODUCT(($B$92:$B$232="Asparagus")*(M$92:M$232="G")*$C$92:$C$232)*$O$21+SUMPRODUCT(($B$92:$B$232="Asparagus")*(M$92:M$232="H")*$C$92:$C$232)*$P$21-M287</f>
        <v/>
      </c>
      <c r="N294" s="42">
        <f>SUMPRODUCT(($B$92:$B$232="Spinach")*(N$92:N$232="P")*$C$92:$C$232)*$N$17+SUMPRODUCT(($B$92:$B$232="Spinach")*(N$92:N$232="G")*$C$92:$C$232)*$O$17+SUMPRODUCT(($B$92:$B$232="Spinach")*(N$92:N$232="H")*$C$92:$C$232)*$P$17+SUMPRODUCT(($B$92:$B$232="Kale")*(N$92:N$232="P")*$C$92:$C$232)*$N$18+SUMPRODUCT(($B$92:$B$232="Kale")*(N$92:N$232="G")*$C$92:$C$232)*$O$18+SUMPRODUCT(($B$92:$B$232="Kale")*(N$92:N$232="H")*$C$92:$C$232)*$P$18+SUMPRODUCT(($B$92:$B$232="Garlic")*(N$92:N$232="P")*$C$92:$C$232)*$N$19+SUMPRODUCT(($B$92:$B$232="Garlic")*(N$92:N$232="G")*$C$92:$C$232)*$O$19+SUMPRODUCT(($B$92:$B$232="Garlic")*(N$92:N$232="H")*$C$92:$C$232)*$P$19+SUMPRODUCT(($B$92:$B$232="Tunnel Spinach")*(N$92:N$232="P")*$C$92:$C$232)*$N$20+SUMPRODUCT(($B$92:$B$232="Tunnel Spinach")*(N$92:N$232="G")*$C$92:$C$232)*$O$20+SUMPRODUCT(($B$92:$B$232="Tunnel Spinach")*(N$92:N$232="H")*$C$92:$C$232)*$P$20+SUMPRODUCT(($B$92:$B$232="Asparagus")*(N$92:N$232="P")*$C$92:$C$232)*$N$21+SUMPRODUCT(($B$92:$B$232="Asparagus")*(N$92:N$232="G")*$C$92:$C$232)*$O$21+SUMPRODUCT(($B$92:$B$232="Asparagus")*(N$92:N$232="H")*$C$92:$C$232)*$P$21-N287</f>
        <v/>
      </c>
      <c r="O294" s="42">
        <f>SUMPRODUCT(($B$92:$B$232="Spinach")*(O$92:O$232="P")*$C$92:$C$232)*$N$17+SUMPRODUCT(($B$92:$B$232="Spinach")*(O$92:O$232="G")*$C$92:$C$232)*$O$17+SUMPRODUCT(($B$92:$B$232="Spinach")*(O$92:O$232="H")*$C$92:$C$232)*$P$17+SUMPRODUCT(($B$92:$B$232="Kale")*(O$92:O$232="P")*$C$92:$C$232)*$N$18+SUMPRODUCT(($B$92:$B$232="Kale")*(O$92:O$232="G")*$C$92:$C$232)*$O$18+SUMPRODUCT(($B$92:$B$232="Kale")*(O$92:O$232="H")*$C$92:$C$232)*$P$18+SUMPRODUCT(($B$92:$B$232="Garlic")*(O$92:O$232="P")*$C$92:$C$232)*$N$19+SUMPRODUCT(($B$92:$B$232="Garlic")*(O$92:O$232="G")*$C$92:$C$232)*$O$19+SUMPRODUCT(($B$92:$B$232="Garlic")*(O$92:O$232="H")*$C$92:$C$232)*$P$19+SUMPRODUCT(($B$92:$B$232="Tunnel Spinach")*(O$92:O$232="P")*$C$92:$C$232)*$N$20+SUMPRODUCT(($B$92:$B$232="Tunnel Spinach")*(O$92:O$232="G")*$C$92:$C$232)*$O$20+SUMPRODUCT(($B$92:$B$232="Tunnel Spinach")*(O$92:O$232="H")*$C$92:$C$232)*$P$20+SUMPRODUCT(($B$92:$B$232="Asparagus")*(O$92:O$232="P")*$C$92:$C$232)*$N$21+SUMPRODUCT(($B$92:$B$232="Asparagus")*(O$92:O$232="G")*$C$92:$C$232)*$O$21+SUMPRODUCT(($B$92:$B$232="Asparagus")*(O$92:O$232="H")*$C$92:$C$232)*$P$21-O287</f>
        <v/>
      </c>
      <c r="P294" s="42">
        <f>SUMPRODUCT(($B$92:$B$232="Spinach")*(P$92:P$232="P")*$C$92:$C$232)*$N$17+SUMPRODUCT(($B$92:$B$232="Spinach")*(P$92:P$232="G")*$C$92:$C$232)*$O$17+SUMPRODUCT(($B$92:$B$232="Spinach")*(P$92:P$232="H")*$C$92:$C$232)*$P$17+SUMPRODUCT(($B$92:$B$232="Kale")*(P$92:P$232="P")*$C$92:$C$232)*$N$18+SUMPRODUCT(($B$92:$B$232="Kale")*(P$92:P$232="G")*$C$92:$C$232)*$O$18+SUMPRODUCT(($B$92:$B$232="Kale")*(P$92:P$232="H")*$C$92:$C$232)*$P$18+SUMPRODUCT(($B$92:$B$232="Garlic")*(P$92:P$232="P")*$C$92:$C$232)*$N$19+SUMPRODUCT(($B$92:$B$232="Garlic")*(P$92:P$232="G")*$C$92:$C$232)*$O$19+SUMPRODUCT(($B$92:$B$232="Garlic")*(P$92:P$232="H")*$C$92:$C$232)*$P$19+SUMPRODUCT(($B$92:$B$232="Tunnel Spinach")*(P$92:P$232="P")*$C$92:$C$232)*$N$20+SUMPRODUCT(($B$92:$B$232="Tunnel Spinach")*(P$92:P$232="G")*$C$92:$C$232)*$O$20+SUMPRODUCT(($B$92:$B$232="Tunnel Spinach")*(P$92:P$232="H")*$C$92:$C$232)*$P$20+SUMPRODUCT(($B$92:$B$232="Asparagus")*(P$92:P$232="P")*$C$92:$C$232)*$N$21+SUMPRODUCT(($B$92:$B$232="Asparagus")*(P$92:P$232="G")*$C$92:$C$232)*$O$21+SUMPRODUCT(($B$92:$B$232="Asparagus")*(P$92:P$232="H")*$C$92:$C$232)*$P$21-P287</f>
        <v/>
      </c>
      <c r="Q294" s="42">
        <f>SUMPRODUCT(($B$92:$B$232="Spinach")*(Q$92:Q$232="P")*$C$92:$C$232)*$N$17+SUMPRODUCT(($B$92:$B$232="Spinach")*(Q$92:Q$232="G")*$C$92:$C$232)*$O$17+SUMPRODUCT(($B$92:$B$232="Spinach")*(Q$92:Q$232="H")*$C$92:$C$232)*$P$17+SUMPRODUCT(($B$92:$B$232="Kale")*(Q$92:Q$232="P")*$C$92:$C$232)*$N$18+SUMPRODUCT(($B$92:$B$232="Kale")*(Q$92:Q$232="G")*$C$92:$C$232)*$O$18+SUMPRODUCT(($B$92:$B$232="Kale")*(Q$92:Q$232="H")*$C$92:$C$232)*$P$18+SUMPRODUCT(($B$92:$B$232="Garlic")*(Q$92:Q$232="P")*$C$92:$C$232)*$N$19+SUMPRODUCT(($B$92:$B$232="Garlic")*(Q$92:Q$232="G")*$C$92:$C$232)*$O$19+SUMPRODUCT(($B$92:$B$232="Garlic")*(Q$92:Q$232="H")*$C$92:$C$232)*$P$19+SUMPRODUCT(($B$92:$B$232="Tunnel Spinach")*(Q$92:Q$232="P")*$C$92:$C$232)*$N$20+SUMPRODUCT(($B$92:$B$232="Tunnel Spinach")*(Q$92:Q$232="G")*$C$92:$C$232)*$O$20+SUMPRODUCT(($B$92:$B$232="Tunnel Spinach")*(Q$92:Q$232="H")*$C$92:$C$232)*$P$20+SUMPRODUCT(($B$92:$B$232="Asparagus")*(Q$92:Q$232="P")*$C$92:$C$232)*$N$21+SUMPRODUCT(($B$92:$B$232="Asparagus")*(Q$92:Q$232="G")*$C$92:$C$232)*$O$21+SUMPRODUCT(($B$92:$B$232="Asparagus")*(Q$92:Q$232="H")*$C$92:$C$232)*$P$21-Q287</f>
        <v/>
      </c>
      <c r="R294" s="42">
        <f>SUMPRODUCT(($B$92:$B$232="Spinach")*(R$92:R$232="P")*$C$92:$C$232)*$N$17+SUMPRODUCT(($B$92:$B$232="Spinach")*(R$92:R$232="G")*$C$92:$C$232)*$O$17+SUMPRODUCT(($B$92:$B$232="Spinach")*(R$92:R$232="H")*$C$92:$C$232)*$P$17+SUMPRODUCT(($B$92:$B$232="Kale")*(R$92:R$232="P")*$C$92:$C$232)*$N$18+SUMPRODUCT(($B$92:$B$232="Kale")*(R$92:R$232="G")*$C$92:$C$232)*$O$18+SUMPRODUCT(($B$92:$B$232="Kale")*(R$92:R$232="H")*$C$92:$C$232)*$P$18+SUMPRODUCT(($B$92:$B$232="Garlic")*(R$92:R$232="P")*$C$92:$C$232)*$N$19+SUMPRODUCT(($B$92:$B$232="Garlic")*(R$92:R$232="G")*$C$92:$C$232)*$O$19+SUMPRODUCT(($B$92:$B$232="Garlic")*(R$92:R$232="H")*$C$92:$C$232)*$P$19+SUMPRODUCT(($B$92:$B$232="Tunnel Spinach")*(R$92:R$232="P")*$C$92:$C$232)*$N$20+SUMPRODUCT(($B$92:$B$232="Tunnel Spinach")*(R$92:R$232="G")*$C$92:$C$232)*$O$20+SUMPRODUCT(($B$92:$B$232="Tunnel Spinach")*(R$92:R$232="H")*$C$92:$C$232)*$P$20+SUMPRODUCT(($B$92:$B$232="Asparagus")*(R$92:R$232="P")*$C$92:$C$232)*$N$21+SUMPRODUCT(($B$92:$B$232="Asparagus")*(R$92:R$232="G")*$C$92:$C$232)*$O$21+SUMPRODUCT(($B$92:$B$232="Asparagus")*(R$92:R$232="H")*$C$92:$C$232)*$P$21-R287</f>
        <v/>
      </c>
      <c r="S294" s="42">
        <f>SUMPRODUCT(($B$92:$B$232="Spinach")*(S$92:S$232="P")*$C$92:$C$232)*$N$17+SUMPRODUCT(($B$92:$B$232="Spinach")*(S$92:S$232="G")*$C$92:$C$232)*$O$17+SUMPRODUCT(($B$92:$B$232="Spinach")*(S$92:S$232="H")*$C$92:$C$232)*$P$17+SUMPRODUCT(($B$92:$B$232="Kale")*(S$92:S$232="P")*$C$92:$C$232)*$N$18+SUMPRODUCT(($B$92:$B$232="Kale")*(S$92:S$232="G")*$C$92:$C$232)*$O$18+SUMPRODUCT(($B$92:$B$232="Kale")*(S$92:S$232="H")*$C$92:$C$232)*$P$18+SUMPRODUCT(($B$92:$B$232="Garlic")*(S$92:S$232="P")*$C$92:$C$232)*$N$19+SUMPRODUCT(($B$92:$B$232="Garlic")*(S$92:S$232="G")*$C$92:$C$232)*$O$19+SUMPRODUCT(($B$92:$B$232="Garlic")*(S$92:S$232="H")*$C$92:$C$232)*$P$19+SUMPRODUCT(($B$92:$B$232="Tunnel Spinach")*(S$92:S$232="P")*$C$92:$C$232)*$N$20+SUMPRODUCT(($B$92:$B$232="Tunnel Spinach")*(S$92:S$232="G")*$C$92:$C$232)*$O$20+SUMPRODUCT(($B$92:$B$232="Tunnel Spinach")*(S$92:S$232="H")*$C$92:$C$232)*$P$20+SUMPRODUCT(($B$92:$B$232="Asparagus")*(S$92:S$232="P")*$C$92:$C$232)*$N$21+SUMPRODUCT(($B$92:$B$232="Asparagus")*(S$92:S$232="G")*$C$92:$C$232)*$O$21+SUMPRODUCT(($B$92:$B$232="Asparagus")*(S$92:S$232="H")*$C$92:$C$232)*$P$21-S287</f>
        <v/>
      </c>
      <c r="T294" s="42">
        <f>SUMPRODUCT(($B$92:$B$232="Spinach")*(T$92:T$232="P")*$C$92:$C$232)*$N$17+SUMPRODUCT(($B$92:$B$232="Spinach")*(T$92:T$232="G")*$C$92:$C$232)*$O$17+SUMPRODUCT(($B$92:$B$232="Spinach")*(T$92:T$232="H")*$C$92:$C$232)*$P$17+SUMPRODUCT(($B$92:$B$232="Kale")*(T$92:T$232="P")*$C$92:$C$232)*$N$18+SUMPRODUCT(($B$92:$B$232="Kale")*(T$92:T$232="G")*$C$92:$C$232)*$O$18+SUMPRODUCT(($B$92:$B$232="Kale")*(T$92:T$232="H")*$C$92:$C$232)*$P$18+SUMPRODUCT(($B$92:$B$232="Garlic")*(T$92:T$232="P")*$C$92:$C$232)*$N$19+SUMPRODUCT(($B$92:$B$232="Garlic")*(T$92:T$232="G")*$C$92:$C$232)*$O$19+SUMPRODUCT(($B$92:$B$232="Garlic")*(T$92:T$232="H")*$C$92:$C$232)*$P$19+SUMPRODUCT(($B$92:$B$232="Tunnel Spinach")*(T$92:T$232="P")*$C$92:$C$232)*$N$20+SUMPRODUCT(($B$92:$B$232="Tunnel Spinach")*(T$92:T$232="G")*$C$92:$C$232)*$O$20+SUMPRODUCT(($B$92:$B$232="Tunnel Spinach")*(T$92:T$232="H")*$C$92:$C$232)*$P$20+SUMPRODUCT(($B$92:$B$232="Asparagus")*(T$92:T$232="P")*$C$92:$C$232)*$N$21+SUMPRODUCT(($B$92:$B$232="Asparagus")*(T$92:T$232="G")*$C$92:$C$232)*$O$21+SUMPRODUCT(($B$92:$B$232="Asparagus")*(T$92:T$232="H")*$C$92:$C$232)*$P$21-T287</f>
        <v/>
      </c>
      <c r="U294" s="42">
        <f>SUMPRODUCT(($B$92:$B$232="Spinach")*(U$92:U$232="P")*$C$92:$C$232)*$N$17+SUMPRODUCT(($B$92:$B$232="Spinach")*(U$92:U$232="G")*$C$92:$C$232)*$O$17+SUMPRODUCT(($B$92:$B$232="Spinach")*(U$92:U$232="H")*$C$92:$C$232)*$P$17+SUMPRODUCT(($B$92:$B$232="Kale")*(U$92:U$232="P")*$C$92:$C$232)*$N$18+SUMPRODUCT(($B$92:$B$232="Kale")*(U$92:U$232="G")*$C$92:$C$232)*$O$18+SUMPRODUCT(($B$92:$B$232="Kale")*(U$92:U$232="H")*$C$92:$C$232)*$P$18+SUMPRODUCT(($B$92:$B$232="Garlic")*(U$92:U$232="P")*$C$92:$C$232)*$N$19+SUMPRODUCT(($B$92:$B$232="Garlic")*(U$92:U$232="G")*$C$92:$C$232)*$O$19+SUMPRODUCT(($B$92:$B$232="Garlic")*(U$92:U$232="H")*$C$92:$C$232)*$P$19+SUMPRODUCT(($B$92:$B$232="Tunnel Spinach")*(U$92:U$232="P")*$C$92:$C$232)*$N$20+SUMPRODUCT(($B$92:$B$232="Tunnel Spinach")*(U$92:U$232="G")*$C$92:$C$232)*$O$20+SUMPRODUCT(($B$92:$B$232="Tunnel Spinach")*(U$92:U$232="H")*$C$92:$C$232)*$P$20+SUMPRODUCT(($B$92:$B$232="Asparagus")*(U$92:U$232="P")*$C$92:$C$232)*$N$21+SUMPRODUCT(($B$92:$B$232="Asparagus")*(U$92:U$232="G")*$C$92:$C$232)*$O$21+SUMPRODUCT(($B$92:$B$232="Asparagus")*(U$92:U$232="H")*$C$92:$C$232)*$P$21-U287</f>
        <v/>
      </c>
      <c r="V294" s="42">
        <f>SUMPRODUCT(($B$92:$B$232="Spinach")*(V$92:V$232="P")*$C$92:$C$232)*$N$17+SUMPRODUCT(($B$92:$B$232="Spinach")*(V$92:V$232="G")*$C$92:$C$232)*$O$17+SUMPRODUCT(($B$92:$B$232="Spinach")*(V$92:V$232="H")*$C$92:$C$232)*$P$17+SUMPRODUCT(($B$92:$B$232="Kale")*(V$92:V$232="P")*$C$92:$C$232)*$N$18+SUMPRODUCT(($B$92:$B$232="Kale")*(V$92:V$232="G")*$C$92:$C$232)*$O$18+SUMPRODUCT(($B$92:$B$232="Kale")*(V$92:V$232="H")*$C$92:$C$232)*$P$18+SUMPRODUCT(($B$92:$B$232="Garlic")*(V$92:V$232="P")*$C$92:$C$232)*$N$19+SUMPRODUCT(($B$92:$B$232="Garlic")*(V$92:V$232="G")*$C$92:$C$232)*$O$19+SUMPRODUCT(($B$92:$B$232="Garlic")*(V$92:V$232="H")*$C$92:$C$232)*$P$19+SUMPRODUCT(($B$92:$B$232="Tunnel Spinach")*(V$92:V$232="P")*$C$92:$C$232)*$N$20+SUMPRODUCT(($B$92:$B$232="Tunnel Spinach")*(V$92:V$232="G")*$C$92:$C$232)*$O$20+SUMPRODUCT(($B$92:$B$232="Tunnel Spinach")*(V$92:V$232="H")*$C$92:$C$232)*$P$20+SUMPRODUCT(($B$92:$B$232="Asparagus")*(V$92:V$232="P")*$C$92:$C$232)*$N$21+SUMPRODUCT(($B$92:$B$232="Asparagus")*(V$92:V$232="G")*$C$92:$C$232)*$O$21+SUMPRODUCT(($B$92:$B$232="Asparagus")*(V$92:V$232="H")*$C$92:$C$232)*$P$21-V287</f>
        <v/>
      </c>
      <c r="W294" s="42">
        <f>SUMPRODUCT(($B$92:$B$232="Spinach")*(W$92:W$232="P")*$C$92:$C$232)*$N$17+SUMPRODUCT(($B$92:$B$232="Spinach")*(W$92:W$232="G")*$C$92:$C$232)*$O$17+SUMPRODUCT(($B$92:$B$232="Spinach")*(W$92:W$232="H")*$C$92:$C$232)*$P$17+SUMPRODUCT(($B$92:$B$232="Kale")*(W$92:W$232="P")*$C$92:$C$232)*$N$18+SUMPRODUCT(($B$92:$B$232="Kale")*(W$92:W$232="G")*$C$92:$C$232)*$O$18+SUMPRODUCT(($B$92:$B$232="Kale")*(W$92:W$232="H")*$C$92:$C$232)*$P$18+SUMPRODUCT(($B$92:$B$232="Garlic")*(W$92:W$232="P")*$C$92:$C$232)*$N$19+SUMPRODUCT(($B$92:$B$232="Garlic")*(W$92:W$232="G")*$C$92:$C$232)*$O$19+SUMPRODUCT(($B$92:$B$232="Garlic")*(W$92:W$232="H")*$C$92:$C$232)*$P$19+SUMPRODUCT(($B$92:$B$232="Tunnel Spinach")*(W$92:W$232="P")*$C$92:$C$232)*$N$20+SUMPRODUCT(($B$92:$B$232="Tunnel Spinach")*(W$92:W$232="G")*$C$92:$C$232)*$O$20+SUMPRODUCT(($B$92:$B$232="Tunnel Spinach")*(W$92:W$232="H")*$C$92:$C$232)*$P$20+SUMPRODUCT(($B$92:$B$232="Asparagus")*(W$92:W$232="P")*$C$92:$C$232)*$N$21+SUMPRODUCT(($B$92:$B$232="Asparagus")*(W$92:W$232="G")*$C$92:$C$232)*$O$21+SUMPRODUCT(($B$92:$B$232="Asparagus")*(W$92:W$232="H")*$C$92:$C$232)*$P$21-W287</f>
        <v/>
      </c>
      <c r="X294" s="42">
        <f>SUMPRODUCT(($B$92:$B$232="Spinach")*(X$92:X$232="P")*$C$92:$C$232)*$N$17+SUMPRODUCT(($B$92:$B$232="Spinach")*(X$92:X$232="G")*$C$92:$C$232)*$O$17+SUMPRODUCT(($B$92:$B$232="Spinach")*(X$92:X$232="H")*$C$92:$C$232)*$P$17+SUMPRODUCT(($B$92:$B$232="Kale")*(X$92:X$232="P")*$C$92:$C$232)*$N$18+SUMPRODUCT(($B$92:$B$232="Kale")*(X$92:X$232="G")*$C$92:$C$232)*$O$18+SUMPRODUCT(($B$92:$B$232="Kale")*(X$92:X$232="H")*$C$92:$C$232)*$P$18+SUMPRODUCT(($B$92:$B$232="Garlic")*(X$92:X$232="P")*$C$92:$C$232)*$N$19+SUMPRODUCT(($B$92:$B$232="Garlic")*(X$92:X$232="G")*$C$92:$C$232)*$O$19+SUMPRODUCT(($B$92:$B$232="Garlic")*(X$92:X$232="H")*$C$92:$C$232)*$P$19+SUMPRODUCT(($B$92:$B$232="Tunnel Spinach")*(X$92:X$232="P")*$C$92:$C$232)*$N$20+SUMPRODUCT(($B$92:$B$232="Tunnel Spinach")*(X$92:X$232="G")*$C$92:$C$232)*$O$20+SUMPRODUCT(($B$92:$B$232="Tunnel Spinach")*(X$92:X$232="H")*$C$92:$C$232)*$P$20+SUMPRODUCT(($B$92:$B$232="Asparagus")*(X$92:X$232="P")*$C$92:$C$232)*$N$21+SUMPRODUCT(($B$92:$B$232="Asparagus")*(X$92:X$232="G")*$C$92:$C$232)*$O$21+SUMPRODUCT(($B$92:$B$232="Asparagus")*(X$92:X$232="H")*$C$92:$C$232)*$P$21-X287</f>
        <v/>
      </c>
      <c r="Y294" s="42">
        <f>SUMPRODUCT(($B$92:$B$232="Spinach")*(Y$92:Y$232="P")*$C$92:$C$232)*$N$17+SUMPRODUCT(($B$92:$B$232="Spinach")*(Y$92:Y$232="G")*$C$92:$C$232)*$O$17+SUMPRODUCT(($B$92:$B$232="Spinach")*(Y$92:Y$232="H")*$C$92:$C$232)*$P$17+SUMPRODUCT(($B$92:$B$232="Kale")*(Y$92:Y$232="P")*$C$92:$C$232)*$N$18+SUMPRODUCT(($B$92:$B$232="Kale")*(Y$92:Y$232="G")*$C$92:$C$232)*$O$18+SUMPRODUCT(($B$92:$B$232="Kale")*(Y$92:Y$232="H")*$C$92:$C$232)*$P$18+SUMPRODUCT(($B$92:$B$232="Garlic")*(Y$92:Y$232="P")*$C$92:$C$232)*$N$19+SUMPRODUCT(($B$92:$B$232="Garlic")*(Y$92:Y$232="G")*$C$92:$C$232)*$O$19+SUMPRODUCT(($B$92:$B$232="Garlic")*(Y$92:Y$232="H")*$C$92:$C$232)*$P$19+SUMPRODUCT(($B$92:$B$232="Tunnel Spinach")*(Y$92:Y$232="P")*$C$92:$C$232)*$N$20+SUMPRODUCT(($B$92:$B$232="Tunnel Spinach")*(Y$92:Y$232="G")*$C$92:$C$232)*$O$20+SUMPRODUCT(($B$92:$B$232="Tunnel Spinach")*(Y$92:Y$232="H")*$C$92:$C$232)*$P$20+SUMPRODUCT(($B$92:$B$232="Asparagus")*(Y$92:Y$232="P")*$C$92:$C$232)*$N$21+SUMPRODUCT(($B$92:$B$232="Asparagus")*(Y$92:Y$232="G")*$C$92:$C$232)*$O$21+SUMPRODUCT(($B$92:$B$232="Asparagus")*(Y$92:Y$232="H")*$C$92:$C$232)*$P$21-Y287</f>
        <v/>
      </c>
      <c r="Z294" s="42">
        <f>SUMPRODUCT(($B$92:$B$232="Spinach")*(Z$92:Z$232="P")*$C$92:$C$232)*$N$17+SUMPRODUCT(($B$92:$B$232="Spinach")*(Z$92:Z$232="G")*$C$92:$C$232)*$O$17+SUMPRODUCT(($B$92:$B$232="Spinach")*(Z$92:Z$232="H")*$C$92:$C$232)*$P$17+SUMPRODUCT(($B$92:$B$232="Kale")*(Z$92:Z$232="P")*$C$92:$C$232)*$N$18+SUMPRODUCT(($B$92:$B$232="Kale")*(Z$92:Z$232="G")*$C$92:$C$232)*$O$18+SUMPRODUCT(($B$92:$B$232="Kale")*(Z$92:Z$232="H")*$C$92:$C$232)*$P$18+SUMPRODUCT(($B$92:$B$232="Garlic")*(Z$92:Z$232="P")*$C$92:$C$232)*$N$19+SUMPRODUCT(($B$92:$B$232="Garlic")*(Z$92:Z$232="G")*$C$92:$C$232)*$O$19+SUMPRODUCT(($B$92:$B$232="Garlic")*(Z$92:Z$232="H")*$C$92:$C$232)*$P$19+SUMPRODUCT(($B$92:$B$232="Tunnel Spinach")*(Z$92:Z$232="P")*$C$92:$C$232)*$N$20+SUMPRODUCT(($B$92:$B$232="Tunnel Spinach")*(Z$92:Z$232="G")*$C$92:$C$232)*$O$20+SUMPRODUCT(($B$92:$B$232="Tunnel Spinach")*(Z$92:Z$232="H")*$C$92:$C$232)*$P$20+SUMPRODUCT(($B$92:$B$232="Asparagus")*(Z$92:Z$232="P")*$C$92:$C$232)*$N$21+SUMPRODUCT(($B$92:$B$232="Asparagus")*(Z$92:Z$232="G")*$C$92:$C$232)*$O$21+SUMPRODUCT(($B$92:$B$232="Asparagus")*(Z$92:Z$232="H")*$C$92:$C$232)*$P$21-Z287</f>
        <v/>
      </c>
      <c r="AA294" s="42">
        <f>SUMPRODUCT(($B$92:$B$232="Spinach")*(AA$92:AA$232="P")*$C$92:$C$232)*$N$17+SUMPRODUCT(($B$92:$B$232="Spinach")*(AA$92:AA$232="G")*$C$92:$C$232)*$O$17+SUMPRODUCT(($B$92:$B$232="Spinach")*(AA$92:AA$232="H")*$C$92:$C$232)*$P$17+SUMPRODUCT(($B$92:$B$232="Kale")*(AA$92:AA$232="P")*$C$92:$C$232)*$N$18+SUMPRODUCT(($B$92:$B$232="Kale")*(AA$92:AA$232="G")*$C$92:$C$232)*$O$18+SUMPRODUCT(($B$92:$B$232="Kale")*(AA$92:AA$232="H")*$C$92:$C$232)*$P$18+SUMPRODUCT(($B$92:$B$232="Garlic")*(AA$92:AA$232="P")*$C$92:$C$232)*$N$19+SUMPRODUCT(($B$92:$B$232="Garlic")*(AA$92:AA$232="G")*$C$92:$C$232)*$O$19+SUMPRODUCT(($B$92:$B$232="Garlic")*(AA$92:AA$232="H")*$C$92:$C$232)*$P$19+SUMPRODUCT(($B$92:$B$232="Tunnel Spinach")*(AA$92:AA$232="P")*$C$92:$C$232)*$N$20+SUMPRODUCT(($B$92:$B$232="Tunnel Spinach")*(AA$92:AA$232="G")*$C$92:$C$232)*$O$20+SUMPRODUCT(($B$92:$B$232="Tunnel Spinach")*(AA$92:AA$232="H")*$C$92:$C$232)*$P$20+SUMPRODUCT(($B$92:$B$232="Asparagus")*(AA$92:AA$232="P")*$C$92:$C$232)*$N$21+SUMPRODUCT(($B$92:$B$232="Asparagus")*(AA$92:AA$232="G")*$C$92:$C$232)*$O$21+SUMPRODUCT(($B$92:$B$232="Asparagus")*(AA$92:AA$232="H")*$C$92:$C$232)*$P$21-AA287</f>
        <v/>
      </c>
      <c r="AB294" s="42">
        <f>SUMPRODUCT(($B$92:$B$232="Spinach")*(AB$92:AB$232="P")*$C$92:$C$232)*$N$17+SUMPRODUCT(($B$92:$B$232="Spinach")*(AB$92:AB$232="G")*$C$92:$C$232)*$O$17+SUMPRODUCT(($B$92:$B$232="Spinach")*(AB$92:AB$232="H")*$C$92:$C$232)*$P$17+SUMPRODUCT(($B$92:$B$232="Kale")*(AB$92:AB$232="P")*$C$92:$C$232)*$N$18+SUMPRODUCT(($B$92:$B$232="Kale")*(AB$92:AB$232="G")*$C$92:$C$232)*$O$18+SUMPRODUCT(($B$92:$B$232="Kale")*(AB$92:AB$232="H")*$C$92:$C$232)*$P$18+SUMPRODUCT(($B$92:$B$232="Garlic")*(AB$92:AB$232="P")*$C$92:$C$232)*$N$19+SUMPRODUCT(($B$92:$B$232="Garlic")*(AB$92:AB$232="G")*$C$92:$C$232)*$O$19+SUMPRODUCT(($B$92:$B$232="Garlic")*(AB$92:AB$232="H")*$C$92:$C$232)*$P$19+SUMPRODUCT(($B$92:$B$232="Tunnel Spinach")*(AB$92:AB$232="P")*$C$92:$C$232)*$N$20+SUMPRODUCT(($B$92:$B$232="Tunnel Spinach")*(AB$92:AB$232="G")*$C$92:$C$232)*$O$20+SUMPRODUCT(($B$92:$B$232="Tunnel Spinach")*(AB$92:AB$232="H")*$C$92:$C$232)*$P$20+SUMPRODUCT(($B$92:$B$232="Asparagus")*(AB$92:AB$232="P")*$C$92:$C$232)*$N$21+SUMPRODUCT(($B$92:$B$232="Asparagus")*(AB$92:AB$232="G")*$C$92:$C$232)*$O$21+SUMPRODUCT(($B$92:$B$232="Asparagus")*(AB$92:AB$232="H")*$C$92:$C$232)*$P$21-AB287</f>
        <v/>
      </c>
      <c r="AC294" s="42">
        <f>SUMPRODUCT(($B$92:$B$232="Spinach")*(AC$92:AC$232="P")*$C$92:$C$232)*$N$17+SUMPRODUCT(($B$92:$B$232="Spinach")*(AC$92:AC$232="G")*$C$92:$C$232)*$O$17+SUMPRODUCT(($B$92:$B$232="Spinach")*(AC$92:AC$232="H")*$C$92:$C$232)*$P$17+SUMPRODUCT(($B$92:$B$232="Kale")*(AC$92:AC$232="P")*$C$92:$C$232)*$N$18+SUMPRODUCT(($B$92:$B$232="Kale")*(AC$92:AC$232="G")*$C$92:$C$232)*$O$18+SUMPRODUCT(($B$92:$B$232="Kale")*(AC$92:AC$232="H")*$C$92:$C$232)*$P$18+SUMPRODUCT(($B$92:$B$232="Garlic")*(AC$92:AC$232="P")*$C$92:$C$232)*$N$19+SUMPRODUCT(($B$92:$B$232="Garlic")*(AC$92:AC$232="G")*$C$92:$C$232)*$O$19+SUMPRODUCT(($B$92:$B$232="Garlic")*(AC$92:AC$232="H")*$C$92:$C$232)*$P$19+SUMPRODUCT(($B$92:$B$232="Tunnel Spinach")*(AC$92:AC$232="P")*$C$92:$C$232)*$N$20+SUMPRODUCT(($B$92:$B$232="Tunnel Spinach")*(AC$92:AC$232="G")*$C$92:$C$232)*$O$20+SUMPRODUCT(($B$92:$B$232="Tunnel Spinach")*(AC$92:AC$232="H")*$C$92:$C$232)*$P$20+SUMPRODUCT(($B$92:$B$232="Asparagus")*(AC$92:AC$232="P")*$C$92:$C$232)*$N$21+SUMPRODUCT(($B$92:$B$232="Asparagus")*(AC$92:AC$232="G")*$C$92:$C$232)*$O$21+SUMPRODUCT(($B$92:$B$232="Asparagus")*(AC$92:AC$232="H")*$C$92:$C$232)*$P$21-AC287</f>
        <v/>
      </c>
      <c r="AD294" s="42">
        <f>SUMPRODUCT(($B$92:$B$232="Spinach")*(AD$92:AD$232="P")*$C$92:$C$232)*$N$17+SUMPRODUCT(($B$92:$B$232="Spinach")*(AD$92:AD$232="G")*$C$92:$C$232)*$O$17+SUMPRODUCT(($B$92:$B$232="Spinach")*(AD$92:AD$232="H")*$C$92:$C$232)*$P$17+SUMPRODUCT(($B$92:$B$232="Kale")*(AD$92:AD$232="P")*$C$92:$C$232)*$N$18+SUMPRODUCT(($B$92:$B$232="Kale")*(AD$92:AD$232="G")*$C$92:$C$232)*$O$18+SUMPRODUCT(($B$92:$B$232="Kale")*(AD$92:AD$232="H")*$C$92:$C$232)*$P$18+SUMPRODUCT(($B$92:$B$232="Garlic")*(AD$92:AD$232="P")*$C$92:$C$232)*$N$19+SUMPRODUCT(($B$92:$B$232="Garlic")*(AD$92:AD$232="G")*$C$92:$C$232)*$O$19+SUMPRODUCT(($B$92:$B$232="Garlic")*(AD$92:AD$232="H")*$C$92:$C$232)*$P$19+SUMPRODUCT(($B$92:$B$232="Tunnel Spinach")*(AD$92:AD$232="P")*$C$92:$C$232)*$N$20+SUMPRODUCT(($B$92:$B$232="Tunnel Spinach")*(AD$92:AD$232="G")*$C$92:$C$232)*$O$20+SUMPRODUCT(($B$92:$B$232="Tunnel Spinach")*(AD$92:AD$232="H")*$C$92:$C$232)*$P$20+SUMPRODUCT(($B$92:$B$232="Asparagus")*(AD$92:AD$232="P")*$C$92:$C$232)*$N$21+SUMPRODUCT(($B$92:$B$232="Asparagus")*(AD$92:AD$232="G")*$C$92:$C$232)*$O$21+SUMPRODUCT(($B$92:$B$232="Asparagus")*(AD$92:AD$232="H")*$C$92:$C$232)*$P$21-AD287</f>
        <v/>
      </c>
      <c r="AE294" s="42">
        <f>SUMPRODUCT(($B$92:$B$232="Spinach")*(AE$92:AE$232="P")*$C$92:$C$232)*$N$17+SUMPRODUCT(($B$92:$B$232="Spinach")*(AE$92:AE$232="G")*$C$92:$C$232)*$O$17+SUMPRODUCT(($B$92:$B$232="Spinach")*(AE$92:AE$232="H")*$C$92:$C$232)*$P$17+SUMPRODUCT(($B$92:$B$232="Kale")*(AE$92:AE$232="P")*$C$92:$C$232)*$N$18+SUMPRODUCT(($B$92:$B$232="Kale")*(AE$92:AE$232="G")*$C$92:$C$232)*$O$18+SUMPRODUCT(($B$92:$B$232="Kale")*(AE$92:AE$232="H")*$C$92:$C$232)*$P$18+SUMPRODUCT(($B$92:$B$232="Garlic")*(AE$92:AE$232="P")*$C$92:$C$232)*$N$19+SUMPRODUCT(($B$92:$B$232="Garlic")*(AE$92:AE$232="G")*$C$92:$C$232)*$O$19+SUMPRODUCT(($B$92:$B$232="Garlic")*(AE$92:AE$232="H")*$C$92:$C$232)*$P$19+SUMPRODUCT(($B$92:$B$232="Tunnel Spinach")*(AE$92:AE$232="P")*$C$92:$C$232)*$N$20+SUMPRODUCT(($B$92:$B$232="Tunnel Spinach")*(AE$92:AE$232="G")*$C$92:$C$232)*$O$20+SUMPRODUCT(($B$92:$B$232="Tunnel Spinach")*(AE$92:AE$232="H")*$C$92:$C$232)*$P$20+SUMPRODUCT(($B$92:$B$232="Asparagus")*(AE$92:AE$232="P")*$C$92:$C$232)*$N$21+SUMPRODUCT(($B$92:$B$232="Asparagus")*(AE$92:AE$232="G")*$C$92:$C$232)*$O$21+SUMPRODUCT(($B$92:$B$232="Asparagus")*(AE$92:AE$232="H")*$C$92:$C$232)*$P$21-AE287</f>
        <v/>
      </c>
      <c r="AF294" s="42">
        <f>SUMPRODUCT(($B$92:$B$232="Spinach")*(AF$92:AF$232="P")*$C$92:$C$232)*$N$17+SUMPRODUCT(($B$92:$B$232="Spinach")*(AF$92:AF$232="G")*$C$92:$C$232)*$O$17+SUMPRODUCT(($B$92:$B$232="Spinach")*(AF$92:AF$232="H")*$C$92:$C$232)*$P$17+SUMPRODUCT(($B$92:$B$232="Kale")*(AF$92:AF$232="P")*$C$92:$C$232)*$N$18+SUMPRODUCT(($B$92:$B$232="Kale")*(AF$92:AF$232="G")*$C$92:$C$232)*$O$18+SUMPRODUCT(($B$92:$B$232="Kale")*(AF$92:AF$232="H")*$C$92:$C$232)*$P$18+SUMPRODUCT(($B$92:$B$232="Garlic")*(AF$92:AF$232="P")*$C$92:$C$232)*$N$19+SUMPRODUCT(($B$92:$B$232="Garlic")*(AF$92:AF$232="G")*$C$92:$C$232)*$O$19+SUMPRODUCT(($B$92:$B$232="Garlic")*(AF$92:AF$232="H")*$C$92:$C$232)*$P$19+SUMPRODUCT(($B$92:$B$232="Tunnel Spinach")*(AF$92:AF$232="P")*$C$92:$C$232)*$N$20+SUMPRODUCT(($B$92:$B$232="Tunnel Spinach")*(AF$92:AF$232="G")*$C$92:$C$232)*$O$20+SUMPRODUCT(($B$92:$B$232="Tunnel Spinach")*(AF$92:AF$232="H")*$C$92:$C$232)*$P$20+SUMPRODUCT(($B$92:$B$232="Asparagus")*(AF$92:AF$232="P")*$C$92:$C$232)*$N$21+SUMPRODUCT(($B$92:$B$232="Asparagus")*(AF$92:AF$232="G")*$C$92:$C$232)*$O$21+SUMPRODUCT(($B$92:$B$232="Asparagus")*(AF$92:AF$232="H")*$C$92:$C$232)*$P$21-AF287</f>
        <v/>
      </c>
      <c r="AG294" s="42">
        <f>SUMPRODUCT(($B$92:$B$232="Spinach")*(AG$92:AG$232="P")*$C$92:$C$232)*$N$17+SUMPRODUCT(($B$92:$B$232="Spinach")*(AG$92:AG$232="G")*$C$92:$C$232)*$O$17+SUMPRODUCT(($B$92:$B$232="Spinach")*(AG$92:AG$232="H")*$C$92:$C$232)*$P$17+SUMPRODUCT(($B$92:$B$232="Kale")*(AG$92:AG$232="P")*$C$92:$C$232)*$N$18+SUMPRODUCT(($B$92:$B$232="Kale")*(AG$92:AG$232="G")*$C$92:$C$232)*$O$18+SUMPRODUCT(($B$92:$B$232="Kale")*(AG$92:AG$232="H")*$C$92:$C$232)*$P$18+SUMPRODUCT(($B$92:$B$232="Garlic")*(AG$92:AG$232="P")*$C$92:$C$232)*$N$19+SUMPRODUCT(($B$92:$B$232="Garlic")*(AG$92:AG$232="G")*$C$92:$C$232)*$O$19+SUMPRODUCT(($B$92:$B$232="Garlic")*(AG$92:AG$232="H")*$C$92:$C$232)*$P$19+SUMPRODUCT(($B$92:$B$232="Tunnel Spinach")*(AG$92:AG$232="P")*$C$92:$C$232)*$N$20+SUMPRODUCT(($B$92:$B$232="Tunnel Spinach")*(AG$92:AG$232="G")*$C$92:$C$232)*$O$20+SUMPRODUCT(($B$92:$B$232="Tunnel Spinach")*(AG$92:AG$232="H")*$C$92:$C$232)*$P$20+SUMPRODUCT(($B$92:$B$232="Asparagus")*(AG$92:AG$232="P")*$C$92:$C$232)*$N$21+SUMPRODUCT(($B$92:$B$232="Asparagus")*(AG$92:AG$232="G")*$C$92:$C$232)*$O$21+SUMPRODUCT(($B$92:$B$232="Asparagus")*(AG$92:AG$232="H")*$C$92:$C$232)*$P$21-AG287</f>
        <v/>
      </c>
      <c r="AH294" s="42">
        <f>SUMPRODUCT(($B$92:$B$232="Spinach")*(AH$92:AH$232="P")*$C$92:$C$232)*$N$17+SUMPRODUCT(($B$92:$B$232="Spinach")*(AH$92:AH$232="G")*$C$92:$C$232)*$O$17+SUMPRODUCT(($B$92:$B$232="Spinach")*(AH$92:AH$232="H")*$C$92:$C$232)*$P$17+SUMPRODUCT(($B$92:$B$232="Kale")*(AH$92:AH$232="P")*$C$92:$C$232)*$N$18+SUMPRODUCT(($B$92:$B$232="Kale")*(AH$92:AH$232="G")*$C$92:$C$232)*$O$18+SUMPRODUCT(($B$92:$B$232="Kale")*(AH$92:AH$232="H")*$C$92:$C$232)*$P$18+SUMPRODUCT(($B$92:$B$232="Garlic")*(AH$92:AH$232="P")*$C$92:$C$232)*$N$19+SUMPRODUCT(($B$92:$B$232="Garlic")*(AH$92:AH$232="G")*$C$92:$C$232)*$O$19+SUMPRODUCT(($B$92:$B$232="Garlic")*(AH$92:AH$232="H")*$C$92:$C$232)*$P$19+SUMPRODUCT(($B$92:$B$232="Tunnel Spinach")*(AH$92:AH$232="P")*$C$92:$C$232)*$N$20+SUMPRODUCT(($B$92:$B$232="Tunnel Spinach")*(AH$92:AH$232="G")*$C$92:$C$232)*$O$20+SUMPRODUCT(($B$92:$B$232="Tunnel Spinach")*(AH$92:AH$232="H")*$C$92:$C$232)*$P$20+SUMPRODUCT(($B$92:$B$232="Asparagus")*(AH$92:AH$232="P")*$C$92:$C$232)*$N$21+SUMPRODUCT(($B$92:$B$232="Asparagus")*(AH$92:AH$232="G")*$C$92:$C$232)*$O$21+SUMPRODUCT(($B$92:$B$232="Asparagus")*(AH$92:AH$232="H")*$C$92:$C$232)*$P$21-AH287</f>
        <v/>
      </c>
      <c r="AI294" s="42">
        <f>SUMPRODUCT(($B$92:$B$232="Spinach")*(AI$92:AI$232="P")*$C$92:$C$232)*$N$17+SUMPRODUCT(($B$92:$B$232="Spinach")*(AI$92:AI$232="G")*$C$92:$C$232)*$O$17+SUMPRODUCT(($B$92:$B$232="Spinach")*(AI$92:AI$232="H")*$C$92:$C$232)*$P$17+SUMPRODUCT(($B$92:$B$232="Kale")*(AI$92:AI$232="P")*$C$92:$C$232)*$N$18+SUMPRODUCT(($B$92:$B$232="Kale")*(AI$92:AI$232="G")*$C$92:$C$232)*$O$18+SUMPRODUCT(($B$92:$B$232="Kale")*(AI$92:AI$232="H")*$C$92:$C$232)*$P$18+SUMPRODUCT(($B$92:$B$232="Garlic")*(AI$92:AI$232="P")*$C$92:$C$232)*$N$19+SUMPRODUCT(($B$92:$B$232="Garlic")*(AI$92:AI$232="G")*$C$92:$C$232)*$O$19+SUMPRODUCT(($B$92:$B$232="Garlic")*(AI$92:AI$232="H")*$C$92:$C$232)*$P$19+SUMPRODUCT(($B$92:$B$232="Tunnel Spinach")*(AI$92:AI$232="P")*$C$92:$C$232)*$N$20+SUMPRODUCT(($B$92:$B$232="Tunnel Spinach")*(AI$92:AI$232="G")*$C$92:$C$232)*$O$20+SUMPRODUCT(($B$92:$B$232="Tunnel Spinach")*(AI$92:AI$232="H")*$C$92:$C$232)*$P$20+SUMPRODUCT(($B$92:$B$232="Asparagus")*(AI$92:AI$232="P")*$C$92:$C$232)*$N$21+SUMPRODUCT(($B$92:$B$232="Asparagus")*(AI$92:AI$232="G")*$C$92:$C$232)*$O$21+SUMPRODUCT(($B$92:$B$232="Asparagus")*(AI$92:AI$232="H")*$C$92:$C$232)*$P$21-AI287</f>
        <v/>
      </c>
      <c r="AJ294" s="42">
        <f>SUMPRODUCT(($B$92:$B$232="Spinach")*(AJ$92:AJ$232="P")*$C$92:$C$232)*$N$17+SUMPRODUCT(($B$92:$B$232="Spinach")*(AJ$92:AJ$232="G")*$C$92:$C$232)*$O$17+SUMPRODUCT(($B$92:$B$232="Spinach")*(AJ$92:AJ$232="H")*$C$92:$C$232)*$P$17+SUMPRODUCT(($B$92:$B$232="Kale")*(AJ$92:AJ$232="P")*$C$92:$C$232)*$N$18+SUMPRODUCT(($B$92:$B$232="Kale")*(AJ$92:AJ$232="G")*$C$92:$C$232)*$O$18+SUMPRODUCT(($B$92:$B$232="Kale")*(AJ$92:AJ$232="H")*$C$92:$C$232)*$P$18+SUMPRODUCT(($B$92:$B$232="Garlic")*(AJ$92:AJ$232="P")*$C$92:$C$232)*$N$19+SUMPRODUCT(($B$92:$B$232="Garlic")*(AJ$92:AJ$232="G")*$C$92:$C$232)*$O$19+SUMPRODUCT(($B$92:$B$232="Garlic")*(AJ$92:AJ$232="H")*$C$92:$C$232)*$P$19+SUMPRODUCT(($B$92:$B$232="Tunnel Spinach")*(AJ$92:AJ$232="P")*$C$92:$C$232)*$N$20+SUMPRODUCT(($B$92:$B$232="Tunnel Spinach")*(AJ$92:AJ$232="G")*$C$92:$C$232)*$O$20+SUMPRODUCT(($B$92:$B$232="Tunnel Spinach")*(AJ$92:AJ$232="H")*$C$92:$C$232)*$P$20+SUMPRODUCT(($B$92:$B$232="Asparagus")*(AJ$92:AJ$232="P")*$C$92:$C$232)*$N$21+SUMPRODUCT(($B$92:$B$232="Asparagus")*(AJ$92:AJ$232="G")*$C$92:$C$232)*$O$21+SUMPRODUCT(($B$92:$B$232="Asparagus")*(AJ$92:AJ$232="H")*$C$92:$C$232)*$P$21-AJ287</f>
        <v/>
      </c>
      <c r="AK294" s="42">
        <f>SUMPRODUCT(($B$92:$B$232="Spinach")*(AK$92:AK$232="P")*$C$92:$C$232)*$N$17+SUMPRODUCT(($B$92:$B$232="Spinach")*(AK$92:AK$232="G")*$C$92:$C$232)*$O$17+SUMPRODUCT(($B$92:$B$232="Spinach")*(AK$92:AK$232="H")*$C$92:$C$232)*$P$17+SUMPRODUCT(($B$92:$B$232="Kale")*(AK$92:AK$232="P")*$C$92:$C$232)*$N$18+SUMPRODUCT(($B$92:$B$232="Kale")*(AK$92:AK$232="G")*$C$92:$C$232)*$O$18+SUMPRODUCT(($B$92:$B$232="Kale")*(AK$92:AK$232="H")*$C$92:$C$232)*$P$18+SUMPRODUCT(($B$92:$B$232="Garlic")*(AK$92:AK$232="P")*$C$92:$C$232)*$N$19+SUMPRODUCT(($B$92:$B$232="Garlic")*(AK$92:AK$232="G")*$C$92:$C$232)*$O$19+SUMPRODUCT(($B$92:$B$232="Garlic")*(AK$92:AK$232="H")*$C$92:$C$232)*$P$19+SUMPRODUCT(($B$92:$B$232="Tunnel Spinach")*(AK$92:AK$232="P")*$C$92:$C$232)*$N$20+SUMPRODUCT(($B$92:$B$232="Tunnel Spinach")*(AK$92:AK$232="G")*$C$92:$C$232)*$O$20+SUMPRODUCT(($B$92:$B$232="Tunnel Spinach")*(AK$92:AK$232="H")*$C$92:$C$232)*$P$20+SUMPRODUCT(($B$92:$B$232="Asparagus")*(AK$92:AK$232="P")*$C$92:$C$232)*$N$21+SUMPRODUCT(($B$92:$B$232="Asparagus")*(AK$92:AK$232="G")*$C$92:$C$232)*$O$21+SUMPRODUCT(($B$92:$B$232="Asparagus")*(AK$92:AK$232="H")*$C$92:$C$232)*$P$21-AK287</f>
        <v/>
      </c>
      <c r="AL294" s="42">
        <f>SUMPRODUCT(($B$92:$B$232="Spinach")*(AL$92:AL$232="P")*$C$92:$C$232)*$N$17+SUMPRODUCT(($B$92:$B$232="Spinach")*(AL$92:AL$232="G")*$C$92:$C$232)*$O$17+SUMPRODUCT(($B$92:$B$232="Spinach")*(AL$92:AL$232="H")*$C$92:$C$232)*$P$17+SUMPRODUCT(($B$92:$B$232="Kale")*(AL$92:AL$232="P")*$C$92:$C$232)*$N$18+SUMPRODUCT(($B$92:$B$232="Kale")*(AL$92:AL$232="G")*$C$92:$C$232)*$O$18+SUMPRODUCT(($B$92:$B$232="Kale")*(AL$92:AL$232="H")*$C$92:$C$232)*$P$18+SUMPRODUCT(($B$92:$B$232="Garlic")*(AL$92:AL$232="P")*$C$92:$C$232)*$N$19+SUMPRODUCT(($B$92:$B$232="Garlic")*(AL$92:AL$232="G")*$C$92:$C$232)*$O$19+SUMPRODUCT(($B$92:$B$232="Garlic")*(AL$92:AL$232="H")*$C$92:$C$232)*$P$19+SUMPRODUCT(($B$92:$B$232="Tunnel Spinach")*(AL$92:AL$232="P")*$C$92:$C$232)*$N$20+SUMPRODUCT(($B$92:$B$232="Tunnel Spinach")*(AL$92:AL$232="G")*$C$92:$C$232)*$O$20+SUMPRODUCT(($B$92:$B$232="Tunnel Spinach")*(AL$92:AL$232="H")*$C$92:$C$232)*$P$20+SUMPRODUCT(($B$92:$B$232="Asparagus")*(AL$92:AL$232="P")*$C$92:$C$232)*$N$21+SUMPRODUCT(($B$92:$B$232="Asparagus")*(AL$92:AL$232="G")*$C$92:$C$232)*$O$21+SUMPRODUCT(($B$92:$B$232="Asparagus")*(AL$92:AL$232="H")*$C$92:$C$232)*$P$21-AL287</f>
        <v/>
      </c>
      <c r="AM294" s="42">
        <f>SUMPRODUCT(($B$92:$B$232="Spinach")*(AM$92:AM$232="P")*$C$92:$C$232)*$N$17+SUMPRODUCT(($B$92:$B$232="Spinach")*(AM$92:AM$232="G")*$C$92:$C$232)*$O$17+SUMPRODUCT(($B$92:$B$232="Spinach")*(AM$92:AM$232="H")*$C$92:$C$232)*$P$17+SUMPRODUCT(($B$92:$B$232="Kale")*(AM$92:AM$232="P")*$C$92:$C$232)*$N$18+SUMPRODUCT(($B$92:$B$232="Kale")*(AM$92:AM$232="G")*$C$92:$C$232)*$O$18+SUMPRODUCT(($B$92:$B$232="Kale")*(AM$92:AM$232="H")*$C$92:$C$232)*$P$18+SUMPRODUCT(($B$92:$B$232="Garlic")*(AM$92:AM$232="P")*$C$92:$C$232)*$N$19+SUMPRODUCT(($B$92:$B$232="Garlic")*(AM$92:AM$232="G")*$C$92:$C$232)*$O$19+SUMPRODUCT(($B$92:$B$232="Garlic")*(AM$92:AM$232="H")*$C$92:$C$232)*$P$19+SUMPRODUCT(($B$92:$B$232="Tunnel Spinach")*(AM$92:AM$232="P")*$C$92:$C$232)*$N$20+SUMPRODUCT(($B$92:$B$232="Tunnel Spinach")*(AM$92:AM$232="G")*$C$92:$C$232)*$O$20+SUMPRODUCT(($B$92:$B$232="Tunnel Spinach")*(AM$92:AM$232="H")*$C$92:$C$232)*$P$20+SUMPRODUCT(($B$92:$B$232="Asparagus")*(AM$92:AM$232="P")*$C$92:$C$232)*$N$21+SUMPRODUCT(($B$92:$B$232="Asparagus")*(AM$92:AM$232="G")*$C$92:$C$232)*$O$21+SUMPRODUCT(($B$92:$B$232="Asparagus")*(AM$92:AM$232="H")*$C$92:$C$232)*$P$21-AM287</f>
        <v/>
      </c>
      <c r="AN294" s="42">
        <f>SUMPRODUCT(($B$92:$B$232="Spinach")*(AN$92:AN$232="P")*$C$92:$C$232)*$N$17+SUMPRODUCT(($B$92:$B$232="Spinach")*(AN$92:AN$232="G")*$C$92:$C$232)*$O$17+SUMPRODUCT(($B$92:$B$232="Spinach")*(AN$92:AN$232="H")*$C$92:$C$232)*$P$17+SUMPRODUCT(($B$92:$B$232="Kale")*(AN$92:AN$232="P")*$C$92:$C$232)*$N$18+SUMPRODUCT(($B$92:$B$232="Kale")*(AN$92:AN$232="G")*$C$92:$C$232)*$O$18+SUMPRODUCT(($B$92:$B$232="Kale")*(AN$92:AN$232="H")*$C$92:$C$232)*$P$18+SUMPRODUCT(($B$92:$B$232="Garlic")*(AN$92:AN$232="P")*$C$92:$C$232)*$N$19+SUMPRODUCT(($B$92:$B$232="Garlic")*(AN$92:AN$232="G")*$C$92:$C$232)*$O$19+SUMPRODUCT(($B$92:$B$232="Garlic")*(AN$92:AN$232="H")*$C$92:$C$232)*$P$19+SUMPRODUCT(($B$92:$B$232="Tunnel Spinach")*(AN$92:AN$232="P")*$C$92:$C$232)*$N$20+SUMPRODUCT(($B$92:$B$232="Tunnel Spinach")*(AN$92:AN$232="G")*$C$92:$C$232)*$O$20+SUMPRODUCT(($B$92:$B$232="Tunnel Spinach")*(AN$92:AN$232="H")*$C$92:$C$232)*$P$20+SUMPRODUCT(($B$92:$B$232="Asparagus")*(AN$92:AN$232="P")*$C$92:$C$232)*$N$21+SUMPRODUCT(($B$92:$B$232="Asparagus")*(AN$92:AN$232="G")*$C$92:$C$232)*$O$21+SUMPRODUCT(($B$92:$B$232="Asparagus")*(AN$92:AN$232="H")*$C$92:$C$232)*$P$21-AN287</f>
        <v/>
      </c>
      <c r="AO294" s="42">
        <f>SUMPRODUCT(($B$92:$B$232="Spinach")*(AO$92:AO$232="P")*$C$92:$C$232)*$N$17+SUMPRODUCT(($B$92:$B$232="Spinach")*(AO$92:AO$232="G")*$C$92:$C$232)*$O$17+SUMPRODUCT(($B$92:$B$232="Spinach")*(AO$92:AO$232="H")*$C$92:$C$232)*$P$17+SUMPRODUCT(($B$92:$B$232="Kale")*(AO$92:AO$232="P")*$C$92:$C$232)*$N$18+SUMPRODUCT(($B$92:$B$232="Kale")*(AO$92:AO$232="G")*$C$92:$C$232)*$O$18+SUMPRODUCT(($B$92:$B$232="Kale")*(AO$92:AO$232="H")*$C$92:$C$232)*$P$18+SUMPRODUCT(($B$92:$B$232="Garlic")*(AO$92:AO$232="P")*$C$92:$C$232)*$N$19+SUMPRODUCT(($B$92:$B$232="Garlic")*(AO$92:AO$232="G")*$C$92:$C$232)*$O$19+SUMPRODUCT(($B$92:$B$232="Garlic")*(AO$92:AO$232="H")*$C$92:$C$232)*$P$19+SUMPRODUCT(($B$92:$B$232="Tunnel Spinach")*(AO$92:AO$232="P")*$C$92:$C$232)*$N$20+SUMPRODUCT(($B$92:$B$232="Tunnel Spinach")*(AO$92:AO$232="G")*$C$92:$C$232)*$O$20+SUMPRODUCT(($B$92:$B$232="Tunnel Spinach")*(AO$92:AO$232="H")*$C$92:$C$232)*$P$20+SUMPRODUCT(($B$92:$B$232="Asparagus")*(AO$92:AO$232="P")*$C$92:$C$232)*$N$21+SUMPRODUCT(($B$92:$B$232="Asparagus")*(AO$92:AO$232="G")*$C$92:$C$232)*$O$21+SUMPRODUCT(($B$92:$B$232="Asparagus")*(AO$92:AO$232="H")*$C$92:$C$232)*$P$21-AO287</f>
        <v/>
      </c>
      <c r="AP294" s="42">
        <f>SUMPRODUCT(($B$92:$B$232="Spinach")*(AP$92:AP$232="P")*$C$92:$C$232)*$N$17+SUMPRODUCT(($B$92:$B$232="Spinach")*(AP$92:AP$232="G")*$C$92:$C$232)*$O$17+SUMPRODUCT(($B$92:$B$232="Spinach")*(AP$92:AP$232="H")*$C$92:$C$232)*$P$17+SUMPRODUCT(($B$92:$B$232="Kale")*(AP$92:AP$232="P")*$C$92:$C$232)*$N$18+SUMPRODUCT(($B$92:$B$232="Kale")*(AP$92:AP$232="G")*$C$92:$C$232)*$O$18+SUMPRODUCT(($B$92:$B$232="Kale")*(AP$92:AP$232="H")*$C$92:$C$232)*$P$18+SUMPRODUCT(($B$92:$B$232="Garlic")*(AP$92:AP$232="P")*$C$92:$C$232)*$N$19+SUMPRODUCT(($B$92:$B$232="Garlic")*(AP$92:AP$232="G")*$C$92:$C$232)*$O$19+SUMPRODUCT(($B$92:$B$232="Garlic")*(AP$92:AP$232="H")*$C$92:$C$232)*$P$19+SUMPRODUCT(($B$92:$B$232="Tunnel Spinach")*(AP$92:AP$232="P")*$C$92:$C$232)*$N$20+SUMPRODUCT(($B$92:$B$232="Tunnel Spinach")*(AP$92:AP$232="G")*$C$92:$C$232)*$O$20+SUMPRODUCT(($B$92:$B$232="Tunnel Spinach")*(AP$92:AP$232="H")*$C$92:$C$232)*$P$20+SUMPRODUCT(($B$92:$B$232="Asparagus")*(AP$92:AP$232="P")*$C$92:$C$232)*$N$21+SUMPRODUCT(($B$92:$B$232="Asparagus")*(AP$92:AP$232="G")*$C$92:$C$232)*$O$21+SUMPRODUCT(($B$92:$B$232="Asparagus")*(AP$92:AP$232="H")*$C$92:$C$232)*$P$21-AP287</f>
        <v/>
      </c>
      <c r="AQ294" s="42">
        <f>SUMPRODUCT(($B$92:$B$232="Spinach")*(AQ$92:AQ$232="P")*$C$92:$C$232)*$N$17+SUMPRODUCT(($B$92:$B$232="Spinach")*(AQ$92:AQ$232="G")*$C$92:$C$232)*$O$17+SUMPRODUCT(($B$92:$B$232="Spinach")*(AQ$92:AQ$232="H")*$C$92:$C$232)*$P$17+SUMPRODUCT(($B$92:$B$232="Kale")*(AQ$92:AQ$232="P")*$C$92:$C$232)*$N$18+SUMPRODUCT(($B$92:$B$232="Kale")*(AQ$92:AQ$232="G")*$C$92:$C$232)*$O$18+SUMPRODUCT(($B$92:$B$232="Kale")*(AQ$92:AQ$232="H")*$C$92:$C$232)*$P$18+SUMPRODUCT(($B$92:$B$232="Garlic")*(AQ$92:AQ$232="P")*$C$92:$C$232)*$N$19+SUMPRODUCT(($B$92:$B$232="Garlic")*(AQ$92:AQ$232="G")*$C$92:$C$232)*$O$19+SUMPRODUCT(($B$92:$B$232="Garlic")*(AQ$92:AQ$232="H")*$C$92:$C$232)*$P$19+SUMPRODUCT(($B$92:$B$232="Tunnel Spinach")*(AQ$92:AQ$232="P")*$C$92:$C$232)*$N$20+SUMPRODUCT(($B$92:$B$232="Tunnel Spinach")*(AQ$92:AQ$232="G")*$C$92:$C$232)*$O$20+SUMPRODUCT(($B$92:$B$232="Tunnel Spinach")*(AQ$92:AQ$232="H")*$C$92:$C$232)*$P$20+SUMPRODUCT(($B$92:$B$232="Asparagus")*(AQ$92:AQ$232="P")*$C$92:$C$232)*$N$21+SUMPRODUCT(($B$92:$B$232="Asparagus")*(AQ$92:AQ$232="G")*$C$92:$C$232)*$O$21+SUMPRODUCT(($B$92:$B$232="Asparagus")*(AQ$92:AQ$232="H")*$C$92:$C$232)*$P$21-AQ287</f>
        <v/>
      </c>
      <c r="AR294" s="42">
        <f>SUMPRODUCT(($B$92:$B$232="Spinach")*(AR$92:AR$232="P")*$C$92:$C$232)*$N$17+SUMPRODUCT(($B$92:$B$232="Spinach")*(AR$92:AR$232="G")*$C$92:$C$232)*$O$17+SUMPRODUCT(($B$92:$B$232="Spinach")*(AR$92:AR$232="H")*$C$92:$C$232)*$P$17+SUMPRODUCT(($B$92:$B$232="Kale")*(AR$92:AR$232="P")*$C$92:$C$232)*$N$18+SUMPRODUCT(($B$92:$B$232="Kale")*(AR$92:AR$232="G")*$C$92:$C$232)*$O$18+SUMPRODUCT(($B$92:$B$232="Kale")*(AR$92:AR$232="H")*$C$92:$C$232)*$P$18+SUMPRODUCT(($B$92:$B$232="Garlic")*(AR$92:AR$232="P")*$C$92:$C$232)*$N$19+SUMPRODUCT(($B$92:$B$232="Garlic")*(AR$92:AR$232="G")*$C$92:$C$232)*$O$19+SUMPRODUCT(($B$92:$B$232="Garlic")*(AR$92:AR$232="H")*$C$92:$C$232)*$P$19+SUMPRODUCT(($B$92:$B$232="Tunnel Spinach")*(AR$92:AR$232="P")*$C$92:$C$232)*$N$20+SUMPRODUCT(($B$92:$B$232="Tunnel Spinach")*(AR$92:AR$232="G")*$C$92:$C$232)*$O$20+SUMPRODUCT(($B$92:$B$232="Tunnel Spinach")*(AR$92:AR$232="H")*$C$92:$C$232)*$P$20+SUMPRODUCT(($B$92:$B$232="Asparagus")*(AR$92:AR$232="P")*$C$92:$C$232)*$N$21+SUMPRODUCT(($B$92:$B$232="Asparagus")*(AR$92:AR$232="G")*$C$92:$C$232)*$O$21+SUMPRODUCT(($B$92:$B$232="Asparagus")*(AR$92:AR$232="H")*$C$92:$C$232)*$P$21-AR287</f>
        <v/>
      </c>
      <c r="AS294" s="42">
        <f>SUMPRODUCT(($B$92:$B$232="Spinach")*(AS$92:AS$232="P")*$C$92:$C$232)*$N$17+SUMPRODUCT(($B$92:$B$232="Spinach")*(AS$92:AS$232="G")*$C$92:$C$232)*$O$17+SUMPRODUCT(($B$92:$B$232="Spinach")*(AS$92:AS$232="H")*$C$92:$C$232)*$P$17+SUMPRODUCT(($B$92:$B$232="Kale")*(AS$92:AS$232="P")*$C$92:$C$232)*$N$18+SUMPRODUCT(($B$92:$B$232="Kale")*(AS$92:AS$232="G")*$C$92:$C$232)*$O$18+SUMPRODUCT(($B$92:$B$232="Kale")*(AS$92:AS$232="H")*$C$92:$C$232)*$P$18+SUMPRODUCT(($B$92:$B$232="Garlic")*(AS$92:AS$232="P")*$C$92:$C$232)*$N$19+SUMPRODUCT(($B$92:$B$232="Garlic")*(AS$92:AS$232="G")*$C$92:$C$232)*$O$19+SUMPRODUCT(($B$92:$B$232="Garlic")*(AS$92:AS$232="H")*$C$92:$C$232)*$P$19+SUMPRODUCT(($B$92:$B$232="Tunnel Spinach")*(AS$92:AS$232="P")*$C$92:$C$232)*$N$20+SUMPRODUCT(($B$92:$B$232="Tunnel Spinach")*(AS$92:AS$232="G")*$C$92:$C$232)*$O$20+SUMPRODUCT(($B$92:$B$232="Tunnel Spinach")*(AS$92:AS$232="H")*$C$92:$C$232)*$P$20+SUMPRODUCT(($B$92:$B$232="Asparagus")*(AS$92:AS$232="P")*$C$92:$C$232)*$N$21+SUMPRODUCT(($B$92:$B$232="Asparagus")*(AS$92:AS$232="G")*$C$92:$C$232)*$O$21+SUMPRODUCT(($B$92:$B$232="Asparagus")*(AS$92:AS$232="H")*$C$92:$C$232)*$P$21-AS287</f>
        <v/>
      </c>
      <c r="AT294" s="42">
        <f>SUMPRODUCT(($B$92:$B$232="Spinach")*(AT$92:AT$232="P")*$C$92:$C$232)*$N$17+SUMPRODUCT(($B$92:$B$232="Spinach")*(AT$92:AT$232="G")*$C$92:$C$232)*$O$17+SUMPRODUCT(($B$92:$B$232="Spinach")*(AT$92:AT$232="H")*$C$92:$C$232)*$P$17+SUMPRODUCT(($B$92:$B$232="Kale")*(AT$92:AT$232="P")*$C$92:$C$232)*$N$18+SUMPRODUCT(($B$92:$B$232="Kale")*(AT$92:AT$232="G")*$C$92:$C$232)*$O$18+SUMPRODUCT(($B$92:$B$232="Kale")*(AT$92:AT$232="H")*$C$92:$C$232)*$P$18+SUMPRODUCT(($B$92:$B$232="Garlic")*(AT$92:AT$232="P")*$C$92:$C$232)*$N$19+SUMPRODUCT(($B$92:$B$232="Garlic")*(AT$92:AT$232="G")*$C$92:$C$232)*$O$19+SUMPRODUCT(($B$92:$B$232="Garlic")*(AT$92:AT$232="H")*$C$92:$C$232)*$P$19+SUMPRODUCT(($B$92:$B$232="Tunnel Spinach")*(AT$92:AT$232="P")*$C$92:$C$232)*$N$20+SUMPRODUCT(($B$92:$B$232="Tunnel Spinach")*(AT$92:AT$232="G")*$C$92:$C$232)*$O$20+SUMPRODUCT(($B$92:$B$232="Tunnel Spinach")*(AT$92:AT$232="H")*$C$92:$C$232)*$P$20+SUMPRODUCT(($B$92:$B$232="Asparagus")*(AT$92:AT$232="P")*$C$92:$C$232)*$N$21+SUMPRODUCT(($B$92:$B$232="Asparagus")*(AT$92:AT$232="G")*$C$92:$C$232)*$O$21+SUMPRODUCT(($B$92:$B$232="Asparagus")*(AT$92:AT$232="H")*$C$92:$C$232)*$P$21-AT287</f>
        <v/>
      </c>
      <c r="AU294" s="42">
        <f>SUMPRODUCT(($B$92:$B$232="Spinach")*(AU$92:AU$232="P")*$C$92:$C$232)*$N$17+SUMPRODUCT(($B$92:$B$232="Spinach")*(AU$92:AU$232="G")*$C$92:$C$232)*$O$17+SUMPRODUCT(($B$92:$B$232="Spinach")*(AU$92:AU$232="H")*$C$92:$C$232)*$P$17+SUMPRODUCT(($B$92:$B$232="Kale")*(AU$92:AU$232="P")*$C$92:$C$232)*$N$18+SUMPRODUCT(($B$92:$B$232="Kale")*(AU$92:AU$232="G")*$C$92:$C$232)*$O$18+SUMPRODUCT(($B$92:$B$232="Kale")*(AU$92:AU$232="H")*$C$92:$C$232)*$P$18+SUMPRODUCT(($B$92:$B$232="Garlic")*(AU$92:AU$232="P")*$C$92:$C$232)*$N$19+SUMPRODUCT(($B$92:$B$232="Garlic")*(AU$92:AU$232="G")*$C$92:$C$232)*$O$19+SUMPRODUCT(($B$92:$B$232="Garlic")*(AU$92:AU$232="H")*$C$92:$C$232)*$P$19+SUMPRODUCT(($B$92:$B$232="Tunnel Spinach")*(AU$92:AU$232="P")*$C$92:$C$232)*$N$20+SUMPRODUCT(($B$92:$B$232="Tunnel Spinach")*(AU$92:AU$232="G")*$C$92:$C$232)*$O$20+SUMPRODUCT(($B$92:$B$232="Tunnel Spinach")*(AU$92:AU$232="H")*$C$92:$C$232)*$P$20+SUMPRODUCT(($B$92:$B$232="Asparagus")*(AU$92:AU$232="P")*$C$92:$C$232)*$N$21+SUMPRODUCT(($B$92:$B$232="Asparagus")*(AU$92:AU$232="G")*$C$92:$C$232)*$O$21+SUMPRODUCT(($B$92:$B$232="Asparagus")*(AU$92:AU$232="H")*$C$92:$C$232)*$P$21-AU287</f>
        <v/>
      </c>
      <c r="AV294" s="42">
        <f>SUMPRODUCT(($B$92:$B$232="Spinach")*(AV$92:AV$232="P")*$C$92:$C$232)*$N$17+SUMPRODUCT(($B$92:$B$232="Spinach")*(AV$92:AV$232="G")*$C$92:$C$232)*$O$17+SUMPRODUCT(($B$92:$B$232="Spinach")*(AV$92:AV$232="H")*$C$92:$C$232)*$P$17+SUMPRODUCT(($B$92:$B$232="Kale")*(AV$92:AV$232="P")*$C$92:$C$232)*$N$18+SUMPRODUCT(($B$92:$B$232="Kale")*(AV$92:AV$232="G")*$C$92:$C$232)*$O$18+SUMPRODUCT(($B$92:$B$232="Kale")*(AV$92:AV$232="H")*$C$92:$C$232)*$P$18+SUMPRODUCT(($B$92:$B$232="Garlic")*(AV$92:AV$232="P")*$C$92:$C$232)*$N$19+SUMPRODUCT(($B$92:$B$232="Garlic")*(AV$92:AV$232="G")*$C$92:$C$232)*$O$19+SUMPRODUCT(($B$92:$B$232="Garlic")*(AV$92:AV$232="H")*$C$92:$C$232)*$P$19+SUMPRODUCT(($B$92:$B$232="Tunnel Spinach")*(AV$92:AV$232="P")*$C$92:$C$232)*$N$20+SUMPRODUCT(($B$92:$B$232="Tunnel Spinach")*(AV$92:AV$232="G")*$C$92:$C$232)*$O$20+SUMPRODUCT(($B$92:$B$232="Tunnel Spinach")*(AV$92:AV$232="H")*$C$92:$C$232)*$P$20+SUMPRODUCT(($B$92:$B$232="Asparagus")*(AV$92:AV$232="P")*$C$92:$C$232)*$N$21+SUMPRODUCT(($B$92:$B$232="Asparagus")*(AV$92:AV$232="G")*$C$92:$C$232)*$O$21+SUMPRODUCT(($B$92:$B$232="Asparagus")*(AV$92:AV$232="H")*$C$92:$C$232)*$P$21-AV287</f>
        <v/>
      </c>
      <c r="AW294" s="42">
        <f>SUMPRODUCT(($B$92:$B$232="Spinach")*(AW$92:AW$232="P")*$C$92:$C$232)*$N$17+SUMPRODUCT(($B$92:$B$232="Spinach")*(AW$92:AW$232="G")*$C$92:$C$232)*$O$17+SUMPRODUCT(($B$92:$B$232="Spinach")*(AW$92:AW$232="H")*$C$92:$C$232)*$P$17+SUMPRODUCT(($B$92:$B$232="Kale")*(AW$92:AW$232="P")*$C$92:$C$232)*$N$18+SUMPRODUCT(($B$92:$B$232="Kale")*(AW$92:AW$232="G")*$C$92:$C$232)*$O$18+SUMPRODUCT(($B$92:$B$232="Kale")*(AW$92:AW$232="H")*$C$92:$C$232)*$P$18+SUMPRODUCT(($B$92:$B$232="Garlic")*(AW$92:AW$232="P")*$C$92:$C$232)*$N$19+SUMPRODUCT(($B$92:$B$232="Garlic")*(AW$92:AW$232="G")*$C$92:$C$232)*$O$19+SUMPRODUCT(($B$92:$B$232="Garlic")*(AW$92:AW$232="H")*$C$92:$C$232)*$P$19+SUMPRODUCT(($B$92:$B$232="Tunnel Spinach")*(AW$92:AW$232="P")*$C$92:$C$232)*$N$20+SUMPRODUCT(($B$92:$B$232="Tunnel Spinach")*(AW$92:AW$232="G")*$C$92:$C$232)*$O$20+SUMPRODUCT(($B$92:$B$232="Tunnel Spinach")*(AW$92:AW$232="H")*$C$92:$C$232)*$P$20+SUMPRODUCT(($B$92:$B$232="Asparagus")*(AW$92:AW$232="P")*$C$92:$C$232)*$N$21+SUMPRODUCT(($B$92:$B$232="Asparagus")*(AW$92:AW$232="G")*$C$92:$C$232)*$O$21+SUMPRODUCT(($B$92:$B$232="Asparagus")*(AW$92:AW$232="H")*$C$92:$C$232)*$P$21-AW287</f>
        <v/>
      </c>
      <c r="AX294" s="42">
        <f>SUMPRODUCT(($B$92:$B$232="Spinach")*(AX$92:AX$232="P")*$C$92:$C$232)*$N$17+SUMPRODUCT(($B$92:$B$232="Spinach")*(AX$92:AX$232="G")*$C$92:$C$232)*$O$17+SUMPRODUCT(($B$92:$B$232="Spinach")*(AX$92:AX$232="H")*$C$92:$C$232)*$P$17+SUMPRODUCT(($B$92:$B$232="Kale")*(AX$92:AX$232="P")*$C$92:$C$232)*$N$18+SUMPRODUCT(($B$92:$B$232="Kale")*(AX$92:AX$232="G")*$C$92:$C$232)*$O$18+SUMPRODUCT(($B$92:$B$232="Kale")*(AX$92:AX$232="H")*$C$92:$C$232)*$P$18+SUMPRODUCT(($B$92:$B$232="Garlic")*(AX$92:AX$232="P")*$C$92:$C$232)*$N$19+SUMPRODUCT(($B$92:$B$232="Garlic")*(AX$92:AX$232="G")*$C$92:$C$232)*$O$19+SUMPRODUCT(($B$92:$B$232="Garlic")*(AX$92:AX$232="H")*$C$92:$C$232)*$P$19+SUMPRODUCT(($B$92:$B$232="Tunnel Spinach")*(AX$92:AX$232="P")*$C$92:$C$232)*$N$20+SUMPRODUCT(($B$92:$B$232="Tunnel Spinach")*(AX$92:AX$232="G")*$C$92:$C$232)*$O$20+SUMPRODUCT(($B$92:$B$232="Tunnel Spinach")*(AX$92:AX$232="H")*$C$92:$C$232)*$P$20+SUMPRODUCT(($B$92:$B$232="Asparagus")*(AX$92:AX$232="P")*$C$92:$C$232)*$N$21+SUMPRODUCT(($B$92:$B$232="Asparagus")*(AX$92:AX$232="G")*$C$92:$C$232)*$O$21+SUMPRODUCT(($B$92:$B$232="Asparagus")*(AX$92:AX$232="H")*$C$92:$C$232)*$P$21-AX287</f>
        <v/>
      </c>
      <c r="AY294" s="42">
        <f>SUMPRODUCT(($B$92:$B$232="Spinach")*(AY$92:AY$232="P")*$C$92:$C$232)*$N$17+SUMPRODUCT(($B$92:$B$232="Spinach")*(AY$92:AY$232="G")*$C$92:$C$232)*$O$17+SUMPRODUCT(($B$92:$B$232="Spinach")*(AY$92:AY$232="H")*$C$92:$C$232)*$P$17+SUMPRODUCT(($B$92:$B$232="Kale")*(AY$92:AY$232="P")*$C$92:$C$232)*$N$18+SUMPRODUCT(($B$92:$B$232="Kale")*(AY$92:AY$232="G")*$C$92:$C$232)*$O$18+SUMPRODUCT(($B$92:$B$232="Kale")*(AY$92:AY$232="H")*$C$92:$C$232)*$P$18+SUMPRODUCT(($B$92:$B$232="Garlic")*(AY$92:AY$232="P")*$C$92:$C$232)*$N$19+SUMPRODUCT(($B$92:$B$232="Garlic")*(AY$92:AY$232="G")*$C$92:$C$232)*$O$19+SUMPRODUCT(($B$92:$B$232="Garlic")*(AY$92:AY$232="H")*$C$92:$C$232)*$P$19+SUMPRODUCT(($B$92:$B$232="Tunnel Spinach")*(AY$92:AY$232="P")*$C$92:$C$232)*$N$20+SUMPRODUCT(($B$92:$B$232="Tunnel Spinach")*(AY$92:AY$232="G")*$C$92:$C$232)*$O$20+SUMPRODUCT(($B$92:$B$232="Tunnel Spinach")*(AY$92:AY$232="H")*$C$92:$C$232)*$P$20+SUMPRODUCT(($B$92:$B$232="Asparagus")*(AY$92:AY$232="P")*$C$92:$C$232)*$N$21+SUMPRODUCT(($B$92:$B$232="Asparagus")*(AY$92:AY$232="G")*$C$92:$C$232)*$O$21+SUMPRODUCT(($B$92:$B$232="Asparagus")*(AY$92:AY$232="H")*$C$92:$C$232)*$P$21-AY287</f>
        <v/>
      </c>
      <c r="AZ294" s="42">
        <f>SUMPRODUCT(($B$92:$B$232="Spinach")*(AZ$92:AZ$232="P")*$C$92:$C$232)*$N$17+SUMPRODUCT(($B$92:$B$232="Spinach")*(AZ$92:AZ$232="G")*$C$92:$C$232)*$O$17+SUMPRODUCT(($B$92:$B$232="Spinach")*(AZ$92:AZ$232="H")*$C$92:$C$232)*$P$17+SUMPRODUCT(($B$92:$B$232="Kale")*(AZ$92:AZ$232="P")*$C$92:$C$232)*$N$18+SUMPRODUCT(($B$92:$B$232="Kale")*(AZ$92:AZ$232="G")*$C$92:$C$232)*$O$18+SUMPRODUCT(($B$92:$B$232="Kale")*(AZ$92:AZ$232="H")*$C$92:$C$232)*$P$18+SUMPRODUCT(($B$92:$B$232="Garlic")*(AZ$92:AZ$232="P")*$C$92:$C$232)*$N$19+SUMPRODUCT(($B$92:$B$232="Garlic")*(AZ$92:AZ$232="G")*$C$92:$C$232)*$O$19+SUMPRODUCT(($B$92:$B$232="Garlic")*(AZ$92:AZ$232="H")*$C$92:$C$232)*$P$19+SUMPRODUCT(($B$92:$B$232="Tunnel Spinach")*(AZ$92:AZ$232="P")*$C$92:$C$232)*$N$20+SUMPRODUCT(($B$92:$B$232="Tunnel Spinach")*(AZ$92:AZ$232="G")*$C$92:$C$232)*$O$20+SUMPRODUCT(($B$92:$B$232="Tunnel Spinach")*(AZ$92:AZ$232="H")*$C$92:$C$232)*$P$20+SUMPRODUCT(($B$92:$B$232="Asparagus")*(AZ$92:AZ$232="P")*$C$92:$C$232)*$N$21+SUMPRODUCT(($B$92:$B$232="Asparagus")*(AZ$92:AZ$232="G")*$C$92:$C$232)*$O$21+SUMPRODUCT(($B$92:$B$232="Asparagus")*(AZ$92:AZ$232="H")*$C$92:$C$232)*$P$21-AZ287</f>
        <v/>
      </c>
      <c r="BA294" s="42">
        <f>SUMPRODUCT(($B$92:$B$232="Spinach")*(BA$92:BA$232="P")*$C$92:$C$232)*$N$17+SUMPRODUCT(($B$92:$B$232="Spinach")*(BA$92:BA$232="G")*$C$92:$C$232)*$O$17+SUMPRODUCT(($B$92:$B$232="Spinach")*(BA$92:BA$232="H")*$C$92:$C$232)*$P$17+SUMPRODUCT(($B$92:$B$232="Kale")*(BA$92:BA$232="P")*$C$92:$C$232)*$N$18+SUMPRODUCT(($B$92:$B$232="Kale")*(BA$92:BA$232="G")*$C$92:$C$232)*$O$18+SUMPRODUCT(($B$92:$B$232="Kale")*(BA$92:BA$232="H")*$C$92:$C$232)*$P$18+SUMPRODUCT(($B$92:$B$232="Garlic")*(BA$92:BA$232="P")*$C$92:$C$232)*$N$19+SUMPRODUCT(($B$92:$B$232="Garlic")*(BA$92:BA$232="G")*$C$92:$C$232)*$O$19+SUMPRODUCT(($B$92:$B$232="Garlic")*(BA$92:BA$232="H")*$C$92:$C$232)*$P$19+SUMPRODUCT(($B$92:$B$232="Tunnel Spinach")*(BA$92:BA$232="P")*$C$92:$C$232)*$N$20+SUMPRODUCT(($B$92:$B$232="Tunnel Spinach")*(BA$92:BA$232="G")*$C$92:$C$232)*$O$20+SUMPRODUCT(($B$92:$B$232="Tunnel Spinach")*(BA$92:BA$232="H")*$C$92:$C$232)*$P$20+SUMPRODUCT(($B$92:$B$232="Asparagus")*(BA$92:BA$232="P")*$C$92:$C$232)*$N$21+SUMPRODUCT(($B$92:$B$232="Asparagus")*(BA$92:BA$232="G")*$C$92:$C$232)*$O$21+SUMPRODUCT(($B$92:$B$232="Asparagus")*(BA$92:BA$232="H")*$C$92:$C$232)*$P$21-BA287</f>
        <v/>
      </c>
      <c r="BB294" s="42">
        <f>SUMPRODUCT(($B$92:$B$232="Spinach")*(BB$92:BB$232="P")*$C$92:$C$232)*$N$17+SUMPRODUCT(($B$92:$B$232="Spinach")*(BB$92:BB$232="G")*$C$92:$C$232)*$O$17+SUMPRODUCT(($B$92:$B$232="Spinach")*(BB$92:BB$232="H")*$C$92:$C$232)*$P$17+SUMPRODUCT(($B$92:$B$232="Kale")*(BB$92:BB$232="P")*$C$92:$C$232)*$N$18+SUMPRODUCT(($B$92:$B$232="Kale")*(BB$92:BB$232="G")*$C$92:$C$232)*$O$18+SUMPRODUCT(($B$92:$B$232="Kale")*(BB$92:BB$232="H")*$C$92:$C$232)*$P$18+SUMPRODUCT(($B$92:$B$232="Garlic")*(BB$92:BB$232="P")*$C$92:$C$232)*$N$19+SUMPRODUCT(($B$92:$B$232="Garlic")*(BB$92:BB$232="G")*$C$92:$C$232)*$O$19+SUMPRODUCT(($B$92:$B$232="Garlic")*(BB$92:BB$232="H")*$C$92:$C$232)*$P$19+SUMPRODUCT(($B$92:$B$232="Tunnel Spinach")*(BB$92:BB$232="P")*$C$92:$C$232)*$N$20+SUMPRODUCT(($B$92:$B$232="Tunnel Spinach")*(BB$92:BB$232="G")*$C$92:$C$232)*$O$20+SUMPRODUCT(($B$92:$B$232="Tunnel Spinach")*(BB$92:BB$232="H")*$C$92:$C$232)*$P$20+SUMPRODUCT(($B$92:$B$232="Asparagus")*(BB$92:BB$232="P")*$C$92:$C$232)*$N$21+SUMPRODUCT(($B$92:$B$232="Asparagus")*(BB$92:BB$232="G")*$C$92:$C$232)*$O$21+SUMPRODUCT(($B$92:$B$232="Asparagus")*(BB$92:BB$232="H")*$C$92:$C$232)*$P$21-BB287</f>
        <v/>
      </c>
      <c r="BC294" s="42">
        <f>SUMPRODUCT(($B$92:$B$232="Spinach")*(BC$92:BC$232="P")*$C$92:$C$232)*$N$17+SUMPRODUCT(($B$92:$B$232="Spinach")*(BC$92:BC$232="G")*$C$92:$C$232)*$O$17+SUMPRODUCT(($B$92:$B$232="Spinach")*(BC$92:BC$232="H")*$C$92:$C$232)*$P$17+SUMPRODUCT(($B$92:$B$232="Kale")*(BC$92:BC$232="P")*$C$92:$C$232)*$N$18+SUMPRODUCT(($B$92:$B$232="Kale")*(BC$92:BC$232="G")*$C$92:$C$232)*$O$18+SUMPRODUCT(($B$92:$B$232="Kale")*(BC$92:BC$232="H")*$C$92:$C$232)*$P$18+SUMPRODUCT(($B$92:$B$232="Garlic")*(BC$92:BC$232="P")*$C$92:$C$232)*$N$19+SUMPRODUCT(($B$92:$B$232="Garlic")*(BC$92:BC$232="G")*$C$92:$C$232)*$O$19+SUMPRODUCT(($B$92:$B$232="Garlic")*(BC$92:BC$232="H")*$C$92:$C$232)*$P$19+SUMPRODUCT(($B$92:$B$232="Tunnel Spinach")*(BC$92:BC$232="P")*$C$92:$C$232)*$N$20+SUMPRODUCT(($B$92:$B$232="Tunnel Spinach")*(BC$92:BC$232="G")*$C$92:$C$232)*$O$20+SUMPRODUCT(($B$92:$B$232="Tunnel Spinach")*(BC$92:BC$232="H")*$C$92:$C$232)*$P$20+SUMPRODUCT(($B$92:$B$232="Asparagus")*(BC$92:BC$232="P")*$C$92:$C$232)*$N$21+SUMPRODUCT(($B$92:$B$232="Asparagus")*(BC$92:BC$232="G")*$C$92:$C$232)*$O$21+SUMPRODUCT(($B$92:$B$232="Asparagus")*(BC$92:BC$232="H")*$C$92:$C$232)*$P$21-BC287</f>
        <v/>
      </c>
      <c r="BD294" s="42">
        <f>SUMPRODUCT(($B$92:$B$232="Spinach")*(BD$92:BD$232="P")*$C$92:$C$232)*$N$17+SUMPRODUCT(($B$92:$B$232="Spinach")*(BD$92:BD$232="G")*$C$92:$C$232)*$O$17+SUMPRODUCT(($B$92:$B$232="Spinach")*(BD$92:BD$232="H")*$C$92:$C$232)*$P$17+SUMPRODUCT(($B$92:$B$232="Kale")*(BD$92:BD$232="P")*$C$92:$C$232)*$N$18+SUMPRODUCT(($B$92:$B$232="Kale")*(BD$92:BD$232="G")*$C$92:$C$232)*$O$18+SUMPRODUCT(($B$92:$B$232="Kale")*(BD$92:BD$232="H")*$C$92:$C$232)*$P$18+SUMPRODUCT(($B$92:$B$232="Garlic")*(BD$92:BD$232="P")*$C$92:$C$232)*$N$19+SUMPRODUCT(($B$92:$B$232="Garlic")*(BD$92:BD$232="G")*$C$92:$C$232)*$O$19+SUMPRODUCT(($B$92:$B$232="Garlic")*(BD$92:BD$232="H")*$C$92:$C$232)*$P$19+SUMPRODUCT(($B$92:$B$232="Tunnel Spinach")*(BD$92:BD$232="P")*$C$92:$C$232)*$N$20+SUMPRODUCT(($B$92:$B$232="Tunnel Spinach")*(BD$92:BD$232="G")*$C$92:$C$232)*$O$20+SUMPRODUCT(($B$92:$B$232="Tunnel Spinach")*(BD$92:BD$232="H")*$C$92:$C$232)*$P$20+SUMPRODUCT(($B$92:$B$232="Asparagus")*(BD$92:BD$232="P")*$C$92:$C$232)*$N$21+SUMPRODUCT(($B$92:$B$232="Asparagus")*(BD$92:BD$232="G")*$C$92:$C$232)*$O$21+SUMPRODUCT(($B$92:$B$232="Asparagus")*(BD$92:BD$232="H")*$C$92:$C$232)*$P$21-BD287</f>
        <v/>
      </c>
    </row>
    <row r="295">
      <c r="A295" s="4" t="inlineStr"/>
      <c r="E295" s="52" t="inlineStr">
        <is>
          <t>&lt;=</t>
        </is>
      </c>
      <c r="F295" s="52" t="inlineStr">
        <is>
          <t>&lt;=</t>
        </is>
      </c>
      <c r="G295" s="52" t="inlineStr">
        <is>
          <t>&lt;=</t>
        </is>
      </c>
      <c r="H295" s="52" t="inlineStr">
        <is>
          <t>&lt;=</t>
        </is>
      </c>
      <c r="I295" s="52" t="inlineStr">
        <is>
          <t>&lt;=</t>
        </is>
      </c>
      <c r="J295" s="52" t="inlineStr">
        <is>
          <t>&lt;=</t>
        </is>
      </c>
      <c r="K295" s="52" t="inlineStr">
        <is>
          <t>&lt;=</t>
        </is>
      </c>
      <c r="L295" s="52" t="inlineStr">
        <is>
          <t>&lt;=</t>
        </is>
      </c>
      <c r="M295" s="52" t="inlineStr">
        <is>
          <t>&lt;=</t>
        </is>
      </c>
      <c r="N295" s="52" t="inlineStr">
        <is>
          <t>&lt;=</t>
        </is>
      </c>
      <c r="O295" s="52" t="inlineStr">
        <is>
          <t>&lt;=</t>
        </is>
      </c>
      <c r="P295" s="52" t="inlineStr">
        <is>
          <t>&lt;=</t>
        </is>
      </c>
      <c r="Q295" s="52" t="inlineStr">
        <is>
          <t>&lt;=</t>
        </is>
      </c>
      <c r="R295" s="52" t="inlineStr">
        <is>
          <t>&lt;=</t>
        </is>
      </c>
      <c r="S295" s="52" t="inlineStr">
        <is>
          <t>&lt;=</t>
        </is>
      </c>
      <c r="T295" s="52" t="inlineStr">
        <is>
          <t>&lt;=</t>
        </is>
      </c>
      <c r="U295" s="52" t="inlineStr">
        <is>
          <t>&lt;=</t>
        </is>
      </c>
      <c r="V295" s="52" t="inlineStr">
        <is>
          <t>&lt;=</t>
        </is>
      </c>
      <c r="W295" s="52" t="inlineStr">
        <is>
          <t>&lt;=</t>
        </is>
      </c>
      <c r="X295" s="52" t="inlineStr">
        <is>
          <t>&lt;=</t>
        </is>
      </c>
      <c r="Y295" s="52" t="inlineStr">
        <is>
          <t>&lt;=</t>
        </is>
      </c>
      <c r="Z295" s="52" t="inlineStr">
        <is>
          <t>&lt;=</t>
        </is>
      </c>
      <c r="AA295" s="52" t="inlineStr">
        <is>
          <t>&lt;=</t>
        </is>
      </c>
      <c r="AB295" s="52" t="inlineStr">
        <is>
          <t>&lt;=</t>
        </is>
      </c>
      <c r="AC295" s="52" t="inlineStr">
        <is>
          <t>&lt;=</t>
        </is>
      </c>
      <c r="AD295" s="52" t="inlineStr">
        <is>
          <t>&lt;=</t>
        </is>
      </c>
      <c r="AE295" s="52" t="inlineStr">
        <is>
          <t>&lt;=</t>
        </is>
      </c>
      <c r="AF295" s="52" t="inlineStr">
        <is>
          <t>&lt;=</t>
        </is>
      </c>
      <c r="AG295" s="52" t="inlineStr">
        <is>
          <t>&lt;=</t>
        </is>
      </c>
      <c r="AH295" s="52" t="inlineStr">
        <is>
          <t>&lt;=</t>
        </is>
      </c>
      <c r="AI295" s="52" t="inlineStr">
        <is>
          <t>&lt;=</t>
        </is>
      </c>
      <c r="AJ295" s="52" t="inlineStr">
        <is>
          <t>&lt;=</t>
        </is>
      </c>
      <c r="AK295" s="52" t="inlineStr">
        <is>
          <t>&lt;=</t>
        </is>
      </c>
      <c r="AL295" s="52" t="inlineStr">
        <is>
          <t>&lt;=</t>
        </is>
      </c>
      <c r="AM295" s="52" t="inlineStr">
        <is>
          <t>&lt;=</t>
        </is>
      </c>
      <c r="AN295" s="52" t="inlineStr">
        <is>
          <t>&lt;=</t>
        </is>
      </c>
      <c r="AO295" s="52" t="inlineStr">
        <is>
          <t>&lt;=</t>
        </is>
      </c>
      <c r="AP295" s="52" t="inlineStr">
        <is>
          <t>&lt;=</t>
        </is>
      </c>
      <c r="AQ295" s="52" t="inlineStr">
        <is>
          <t>&lt;=</t>
        </is>
      </c>
      <c r="AR295" s="52" t="inlineStr">
        <is>
          <t>&lt;=</t>
        </is>
      </c>
      <c r="AS295" s="52" t="inlineStr">
        <is>
          <t>&lt;=</t>
        </is>
      </c>
      <c r="AT295" s="52" t="inlineStr">
        <is>
          <t>&lt;=</t>
        </is>
      </c>
      <c r="AU295" s="52" t="inlineStr">
        <is>
          <t>&lt;=</t>
        </is>
      </c>
      <c r="AV295" s="52" t="inlineStr">
        <is>
          <t>&lt;=</t>
        </is>
      </c>
      <c r="AW295" s="52" t="inlineStr">
        <is>
          <t>&lt;=</t>
        </is>
      </c>
      <c r="AX295" s="52" t="inlineStr">
        <is>
          <t>&lt;=</t>
        </is>
      </c>
      <c r="AY295" s="52" t="inlineStr">
        <is>
          <t>&lt;=</t>
        </is>
      </c>
      <c r="AZ295" s="52" t="inlineStr">
        <is>
          <t>&lt;=</t>
        </is>
      </c>
      <c r="BA295" s="52" t="inlineStr">
        <is>
          <t>&lt;=</t>
        </is>
      </c>
      <c r="BB295" s="52" t="inlineStr">
        <is>
          <t>&lt;=</t>
        </is>
      </c>
      <c r="BC295" s="52" t="inlineStr">
        <is>
          <t>&lt;=</t>
        </is>
      </c>
      <c r="BD295" s="52" t="inlineStr">
        <is>
          <t>&lt;=</t>
        </is>
      </c>
    </row>
    <row r="296">
      <c r="A296" s="41" t="inlineStr">
        <is>
          <t xml:space="preserve">  limit</t>
        </is>
      </c>
      <c r="B296" s="2" t="inlineStr">
        <is>
          <t>cap</t>
        </is>
      </c>
      <c r="E296" s="42">
        <f>E$289</f>
        <v/>
      </c>
      <c r="F296" s="42">
        <f>F$289</f>
        <v/>
      </c>
      <c r="G296" s="42">
        <f>G$289</f>
        <v/>
      </c>
      <c r="H296" s="42">
        <f>H$289</f>
        <v/>
      </c>
      <c r="I296" s="42">
        <f>I$289</f>
        <v/>
      </c>
      <c r="J296" s="42">
        <f>J$289</f>
        <v/>
      </c>
      <c r="K296" s="42">
        <f>K$289</f>
        <v/>
      </c>
      <c r="L296" s="42">
        <f>L$289</f>
        <v/>
      </c>
      <c r="M296" s="42">
        <f>M$289</f>
        <v/>
      </c>
      <c r="N296" s="42">
        <f>N$289</f>
        <v/>
      </c>
      <c r="O296" s="42">
        <f>O$289</f>
        <v/>
      </c>
      <c r="P296" s="42">
        <f>P$289</f>
        <v/>
      </c>
      <c r="Q296" s="42">
        <f>Q$289</f>
        <v/>
      </c>
      <c r="R296" s="42">
        <f>R$289</f>
        <v/>
      </c>
      <c r="S296" s="42">
        <f>S$289</f>
        <v/>
      </c>
      <c r="T296" s="42">
        <f>T$289</f>
        <v/>
      </c>
      <c r="U296" s="42">
        <f>U$289</f>
        <v/>
      </c>
      <c r="V296" s="42">
        <f>V$289</f>
        <v/>
      </c>
      <c r="W296" s="42">
        <f>W$289</f>
        <v/>
      </c>
      <c r="X296" s="42">
        <f>X$289</f>
        <v/>
      </c>
      <c r="Y296" s="42">
        <f>Y$289</f>
        <v/>
      </c>
      <c r="Z296" s="42">
        <f>Z$289</f>
        <v/>
      </c>
      <c r="AA296" s="42">
        <f>AA$289</f>
        <v/>
      </c>
      <c r="AB296" s="42">
        <f>AB$289</f>
        <v/>
      </c>
      <c r="AC296" s="42">
        <f>AC$289</f>
        <v/>
      </c>
      <c r="AD296" s="42">
        <f>AD$289</f>
        <v/>
      </c>
      <c r="AE296" s="42">
        <f>AE$289</f>
        <v/>
      </c>
      <c r="AF296" s="42">
        <f>AF$289</f>
        <v/>
      </c>
      <c r="AG296" s="42">
        <f>AG$289</f>
        <v/>
      </c>
      <c r="AH296" s="42">
        <f>AH$289</f>
        <v/>
      </c>
      <c r="AI296" s="42">
        <f>AI$289</f>
        <v/>
      </c>
      <c r="AJ296" s="42">
        <f>AJ$289</f>
        <v/>
      </c>
      <c r="AK296" s="42">
        <f>AK$289</f>
        <v/>
      </c>
      <c r="AL296" s="42">
        <f>AL$289</f>
        <v/>
      </c>
      <c r="AM296" s="42">
        <f>AM$289</f>
        <v/>
      </c>
      <c r="AN296" s="42">
        <f>AN$289</f>
        <v/>
      </c>
      <c r="AO296" s="42">
        <f>AO$289</f>
        <v/>
      </c>
      <c r="AP296" s="42">
        <f>AP$289</f>
        <v/>
      </c>
      <c r="AQ296" s="42">
        <f>AQ$289</f>
        <v/>
      </c>
      <c r="AR296" s="42">
        <f>AR$289</f>
        <v/>
      </c>
      <c r="AS296" s="42">
        <f>AS$289</f>
        <v/>
      </c>
      <c r="AT296" s="42">
        <f>AT$289</f>
        <v/>
      </c>
      <c r="AU296" s="42">
        <f>AU$289</f>
        <v/>
      </c>
      <c r="AV296" s="42">
        <f>AV$289</f>
        <v/>
      </c>
      <c r="AW296" s="42">
        <f>AW$289</f>
        <v/>
      </c>
      <c r="AX296" s="42">
        <f>AX$289</f>
        <v/>
      </c>
      <c r="AY296" s="42">
        <f>AY$289</f>
        <v/>
      </c>
      <c r="AZ296" s="42">
        <f>AZ$289</f>
        <v/>
      </c>
      <c r="BA296" s="42">
        <f>BA$289</f>
        <v/>
      </c>
      <c r="BB296" s="42">
        <f>BB$289</f>
        <v/>
      </c>
      <c r="BC296" s="42">
        <f>BC$289</f>
        <v/>
      </c>
      <c r="BD296" s="42">
        <f>BD$289</f>
        <v/>
      </c>
    </row>
    <row r="297">
      <c r="A297" s="43" t="inlineStr">
        <is>
          <t xml:space="preserve">  room left</t>
        </is>
      </c>
      <c r="E297" s="42">
        <f>E$289-E294</f>
        <v/>
      </c>
      <c r="F297" s="42">
        <f>F$289-F294</f>
        <v/>
      </c>
      <c r="G297" s="42">
        <f>G$289-G294</f>
        <v/>
      </c>
      <c r="H297" s="42">
        <f>H$289-H294</f>
        <v/>
      </c>
      <c r="I297" s="42">
        <f>I$289-I294</f>
        <v/>
      </c>
      <c r="J297" s="42">
        <f>J$289-J294</f>
        <v/>
      </c>
      <c r="K297" s="42">
        <f>K$289-K294</f>
        <v/>
      </c>
      <c r="L297" s="42">
        <f>L$289-L294</f>
        <v/>
      </c>
      <c r="M297" s="42">
        <f>M$289-M294</f>
        <v/>
      </c>
      <c r="N297" s="42">
        <f>N$289-N294</f>
        <v/>
      </c>
      <c r="O297" s="42">
        <f>O$289-O294</f>
        <v/>
      </c>
      <c r="P297" s="42">
        <f>P$289-P294</f>
        <v/>
      </c>
      <c r="Q297" s="42">
        <f>Q$289-Q294</f>
        <v/>
      </c>
      <c r="R297" s="42">
        <f>R$289-R294</f>
        <v/>
      </c>
      <c r="S297" s="42">
        <f>S$289-S294</f>
        <v/>
      </c>
      <c r="T297" s="42">
        <f>T$289-T294</f>
        <v/>
      </c>
      <c r="U297" s="42">
        <f>U$289-U294</f>
        <v/>
      </c>
      <c r="V297" s="42">
        <f>V$289-V294</f>
        <v/>
      </c>
      <c r="W297" s="42">
        <f>W$289-W294</f>
        <v/>
      </c>
      <c r="X297" s="42">
        <f>X$289-X294</f>
        <v/>
      </c>
      <c r="Y297" s="42">
        <f>Y$289-Y294</f>
        <v/>
      </c>
      <c r="Z297" s="42">
        <f>Z$289-Z294</f>
        <v/>
      </c>
      <c r="AA297" s="42">
        <f>AA$289-AA294</f>
        <v/>
      </c>
      <c r="AB297" s="42">
        <f>AB$289-AB294</f>
        <v/>
      </c>
      <c r="AC297" s="42">
        <f>AC$289-AC294</f>
        <v/>
      </c>
      <c r="AD297" s="42">
        <f>AD$289-AD294</f>
        <v/>
      </c>
      <c r="AE297" s="42">
        <f>AE$289-AE294</f>
        <v/>
      </c>
      <c r="AF297" s="42">
        <f>AF$289-AF294</f>
        <v/>
      </c>
      <c r="AG297" s="42">
        <f>AG$289-AG294</f>
        <v/>
      </c>
      <c r="AH297" s="42">
        <f>AH$289-AH294</f>
        <v/>
      </c>
      <c r="AI297" s="42">
        <f>AI$289-AI294</f>
        <v/>
      </c>
      <c r="AJ297" s="42">
        <f>AJ$289-AJ294</f>
        <v/>
      </c>
      <c r="AK297" s="42">
        <f>AK$289-AK294</f>
        <v/>
      </c>
      <c r="AL297" s="42">
        <f>AL$289-AL294</f>
        <v/>
      </c>
      <c r="AM297" s="42">
        <f>AM$289-AM294</f>
        <v/>
      </c>
      <c r="AN297" s="42">
        <f>AN$289-AN294</f>
        <v/>
      </c>
      <c r="AO297" s="42">
        <f>AO$289-AO294</f>
        <v/>
      </c>
      <c r="AP297" s="42">
        <f>AP$289-AP294</f>
        <v/>
      </c>
      <c r="AQ297" s="42">
        <f>AQ$289-AQ294</f>
        <v/>
      </c>
      <c r="AR297" s="42">
        <f>AR$289-AR294</f>
        <v/>
      </c>
      <c r="AS297" s="42">
        <f>AS$289-AS294</f>
        <v/>
      </c>
      <c r="AT297" s="42">
        <f>AT$289-AT294</f>
        <v/>
      </c>
      <c r="AU297" s="42">
        <f>AU$289-AU294</f>
        <v/>
      </c>
      <c r="AV297" s="42">
        <f>AV$289-AV294</f>
        <v/>
      </c>
      <c r="AW297" s="42">
        <f>AW$289-AW294</f>
        <v/>
      </c>
      <c r="AX297" s="42">
        <f>AX$289-AX294</f>
        <v/>
      </c>
      <c r="AY297" s="42">
        <f>AY$289-AY294</f>
        <v/>
      </c>
      <c r="AZ297" s="42">
        <f>AZ$289-AZ294</f>
        <v/>
      </c>
      <c r="BA297" s="42">
        <f>BA$289-BA294</f>
        <v/>
      </c>
      <c r="BB297" s="42">
        <f>BB$289-BB294</f>
        <v/>
      </c>
      <c r="BC297" s="42">
        <f>BC$289-BC294</f>
        <v/>
      </c>
      <c r="BD297" s="42">
        <f>BD$289-BD294</f>
        <v/>
      </c>
    </row>
    <row r="298">
      <c r="A298" s="2" t="inlineStr">
        <is>
          <t xml:space="preserve">   The app's C2, less whatever the piece-rate crew picked. On this farm it is the constraint that binds hardest.</t>
        </is>
      </c>
    </row>
    <row r="300">
      <c r="A300" s="36" t="inlineStr">
        <is>
          <t>Week</t>
        </is>
      </c>
      <c r="B300" s="37" t="inlineStr">
        <is>
          <t>hours</t>
        </is>
      </c>
      <c r="E300" s="38" t="n">
        <v>1</v>
      </c>
      <c r="F300" s="38" t="n">
        <v>2</v>
      </c>
      <c r="G300" s="38" t="n">
        <v>3</v>
      </c>
      <c r="H300" s="38" t="n">
        <v>4</v>
      </c>
      <c r="I300" s="38" t="n">
        <v>5</v>
      </c>
      <c r="J300" s="38" t="n">
        <v>6</v>
      </c>
      <c r="K300" s="38" t="n">
        <v>7</v>
      </c>
      <c r="L300" s="38" t="n">
        <v>8</v>
      </c>
      <c r="M300" s="38" t="n">
        <v>9</v>
      </c>
      <c r="N300" s="38" t="n">
        <v>10</v>
      </c>
      <c r="O300" s="38" t="n">
        <v>11</v>
      </c>
      <c r="P300" s="38" t="n">
        <v>12</v>
      </c>
      <c r="Q300" s="38" t="n">
        <v>13</v>
      </c>
      <c r="R300" s="38" t="n">
        <v>14</v>
      </c>
      <c r="S300" s="38" t="n">
        <v>15</v>
      </c>
      <c r="T300" s="38" t="n">
        <v>16</v>
      </c>
      <c r="U300" s="38" t="n">
        <v>17</v>
      </c>
      <c r="V300" s="38" t="n">
        <v>18</v>
      </c>
      <c r="W300" s="38" t="n">
        <v>19</v>
      </c>
      <c r="X300" s="38" t="n">
        <v>20</v>
      </c>
      <c r="Y300" s="38" t="n">
        <v>21</v>
      </c>
      <c r="Z300" s="38" t="n">
        <v>22</v>
      </c>
      <c r="AA300" s="38" t="n">
        <v>23</v>
      </c>
      <c r="AB300" s="38" t="n">
        <v>24</v>
      </c>
      <c r="AC300" s="38" t="n">
        <v>25</v>
      </c>
      <c r="AD300" s="38" t="n">
        <v>26</v>
      </c>
      <c r="AE300" s="38" t="n">
        <v>27</v>
      </c>
      <c r="AF300" s="38" t="n">
        <v>28</v>
      </c>
      <c r="AG300" s="38" t="n">
        <v>29</v>
      </c>
      <c r="AH300" s="38" t="n">
        <v>30</v>
      </c>
      <c r="AI300" s="38" t="n">
        <v>31</v>
      </c>
      <c r="AJ300" s="38" t="n">
        <v>32</v>
      </c>
      <c r="AK300" s="38" t="n">
        <v>33</v>
      </c>
      <c r="AL300" s="38" t="n">
        <v>34</v>
      </c>
      <c r="AM300" s="38" t="n">
        <v>35</v>
      </c>
      <c r="AN300" s="38" t="n">
        <v>36</v>
      </c>
      <c r="AO300" s="38" t="n">
        <v>37</v>
      </c>
      <c r="AP300" s="38" t="n">
        <v>38</v>
      </c>
      <c r="AQ300" s="38" t="n">
        <v>39</v>
      </c>
      <c r="AR300" s="38" t="n">
        <v>40</v>
      </c>
      <c r="AS300" s="38" t="n">
        <v>41</v>
      </c>
      <c r="AT300" s="38" t="n">
        <v>42</v>
      </c>
      <c r="AU300" s="38" t="n">
        <v>43</v>
      </c>
      <c r="AV300" s="38" t="n">
        <v>44</v>
      </c>
      <c r="AW300" s="38" t="n">
        <v>45</v>
      </c>
      <c r="AX300" s="38" t="n">
        <v>46</v>
      </c>
      <c r="AY300" s="38" t="n">
        <v>47</v>
      </c>
      <c r="AZ300" s="38" t="n">
        <v>48</v>
      </c>
      <c r="BA300" s="38" t="n">
        <v>49</v>
      </c>
      <c r="BB300" s="38" t="n">
        <v>50</v>
      </c>
      <c r="BC300" s="38" t="n">
        <v>51</v>
      </c>
      <c r="BD300" s="38" t="n">
        <v>52</v>
      </c>
    </row>
    <row r="301">
      <c r="A301" s="33" t="inlineStr">
        <is>
          <t>HARVEST hours needed</t>
        </is>
      </c>
      <c r="B301" s="2" t="inlineStr">
        <is>
          <t>hrs</t>
        </is>
      </c>
      <c r="E301" s="40">
        <f>SUMPRODUCT(($B$92:$B$232="Spinach")*(E$92:E$232="H")*$C$92:$C$232)*$P$17+SUMPRODUCT(($B$92:$B$232="Kale")*(E$92:E$232="H")*$C$92:$C$232)*$P$18+SUMPRODUCT(($B$92:$B$232="Garlic")*(E$92:E$232="H")*$C$92:$C$232)*$P$19</f>
        <v/>
      </c>
      <c r="F301" s="40">
        <f>SUMPRODUCT(($B$92:$B$232="Spinach")*(F$92:F$232="H")*$C$92:$C$232)*$P$17+SUMPRODUCT(($B$92:$B$232="Kale")*(F$92:F$232="H")*$C$92:$C$232)*$P$18+SUMPRODUCT(($B$92:$B$232="Garlic")*(F$92:F$232="H")*$C$92:$C$232)*$P$19</f>
        <v/>
      </c>
      <c r="G301" s="40">
        <f>SUMPRODUCT(($B$92:$B$232="Spinach")*(G$92:G$232="H")*$C$92:$C$232)*$P$17+SUMPRODUCT(($B$92:$B$232="Kale")*(G$92:G$232="H")*$C$92:$C$232)*$P$18+SUMPRODUCT(($B$92:$B$232="Garlic")*(G$92:G$232="H")*$C$92:$C$232)*$P$19</f>
        <v/>
      </c>
      <c r="H301" s="40">
        <f>SUMPRODUCT(($B$92:$B$232="Spinach")*(H$92:H$232="H")*$C$92:$C$232)*$P$17+SUMPRODUCT(($B$92:$B$232="Kale")*(H$92:H$232="H")*$C$92:$C$232)*$P$18+SUMPRODUCT(($B$92:$B$232="Garlic")*(H$92:H$232="H")*$C$92:$C$232)*$P$19</f>
        <v/>
      </c>
      <c r="I301" s="40">
        <f>SUMPRODUCT(($B$92:$B$232="Spinach")*(I$92:I$232="H")*$C$92:$C$232)*$P$17+SUMPRODUCT(($B$92:$B$232="Kale")*(I$92:I$232="H")*$C$92:$C$232)*$P$18+SUMPRODUCT(($B$92:$B$232="Garlic")*(I$92:I$232="H")*$C$92:$C$232)*$P$19</f>
        <v/>
      </c>
      <c r="J301" s="40">
        <f>SUMPRODUCT(($B$92:$B$232="Spinach")*(J$92:J$232="H")*$C$92:$C$232)*$P$17+SUMPRODUCT(($B$92:$B$232="Kale")*(J$92:J$232="H")*$C$92:$C$232)*$P$18+SUMPRODUCT(($B$92:$B$232="Garlic")*(J$92:J$232="H")*$C$92:$C$232)*$P$19</f>
        <v/>
      </c>
      <c r="K301" s="40">
        <f>SUMPRODUCT(($B$92:$B$232="Spinach")*(K$92:K$232="H")*$C$92:$C$232)*$P$17+SUMPRODUCT(($B$92:$B$232="Kale")*(K$92:K$232="H")*$C$92:$C$232)*$P$18+SUMPRODUCT(($B$92:$B$232="Garlic")*(K$92:K$232="H")*$C$92:$C$232)*$P$19</f>
        <v/>
      </c>
      <c r="L301" s="40">
        <f>SUMPRODUCT(($B$92:$B$232="Spinach")*(L$92:L$232="H")*$C$92:$C$232)*$P$17+SUMPRODUCT(($B$92:$B$232="Kale")*(L$92:L$232="H")*$C$92:$C$232)*$P$18+SUMPRODUCT(($B$92:$B$232="Garlic")*(L$92:L$232="H")*$C$92:$C$232)*$P$19</f>
        <v/>
      </c>
      <c r="M301" s="40">
        <f>SUMPRODUCT(($B$92:$B$232="Spinach")*(M$92:M$232="H")*$C$92:$C$232)*$P$17+SUMPRODUCT(($B$92:$B$232="Kale")*(M$92:M$232="H")*$C$92:$C$232)*$P$18+SUMPRODUCT(($B$92:$B$232="Garlic")*(M$92:M$232="H")*$C$92:$C$232)*$P$19</f>
        <v/>
      </c>
      <c r="N301" s="40">
        <f>SUMPRODUCT(($B$92:$B$232="Spinach")*(N$92:N$232="H")*$C$92:$C$232)*$P$17+SUMPRODUCT(($B$92:$B$232="Kale")*(N$92:N$232="H")*$C$92:$C$232)*$P$18+SUMPRODUCT(($B$92:$B$232="Garlic")*(N$92:N$232="H")*$C$92:$C$232)*$P$19</f>
        <v/>
      </c>
      <c r="O301" s="40">
        <f>SUMPRODUCT(($B$92:$B$232="Spinach")*(O$92:O$232="H")*$C$92:$C$232)*$P$17+SUMPRODUCT(($B$92:$B$232="Kale")*(O$92:O$232="H")*$C$92:$C$232)*$P$18+SUMPRODUCT(($B$92:$B$232="Garlic")*(O$92:O$232="H")*$C$92:$C$232)*$P$19</f>
        <v/>
      </c>
      <c r="P301" s="40">
        <f>SUMPRODUCT(($B$92:$B$232="Spinach")*(P$92:P$232="H")*$C$92:$C$232)*$P$17+SUMPRODUCT(($B$92:$B$232="Kale")*(P$92:P$232="H")*$C$92:$C$232)*$P$18+SUMPRODUCT(($B$92:$B$232="Garlic")*(P$92:P$232="H")*$C$92:$C$232)*$P$19</f>
        <v/>
      </c>
      <c r="Q301" s="40">
        <f>SUMPRODUCT(($B$92:$B$232="Spinach")*(Q$92:Q$232="H")*$C$92:$C$232)*$P$17+SUMPRODUCT(($B$92:$B$232="Kale")*(Q$92:Q$232="H")*$C$92:$C$232)*$P$18+SUMPRODUCT(($B$92:$B$232="Garlic")*(Q$92:Q$232="H")*$C$92:$C$232)*$P$19</f>
        <v/>
      </c>
      <c r="R301" s="40">
        <f>SUMPRODUCT(($B$92:$B$232="Spinach")*(R$92:R$232="H")*$C$92:$C$232)*$P$17+SUMPRODUCT(($B$92:$B$232="Kale")*(R$92:R$232="H")*$C$92:$C$232)*$P$18+SUMPRODUCT(($B$92:$B$232="Garlic")*(R$92:R$232="H")*$C$92:$C$232)*$P$19</f>
        <v/>
      </c>
      <c r="S301" s="40">
        <f>SUMPRODUCT(($B$92:$B$232="Spinach")*(S$92:S$232="H")*$C$92:$C$232)*$P$17+SUMPRODUCT(($B$92:$B$232="Kale")*(S$92:S$232="H")*$C$92:$C$232)*$P$18+SUMPRODUCT(($B$92:$B$232="Garlic")*(S$92:S$232="H")*$C$92:$C$232)*$P$19</f>
        <v/>
      </c>
      <c r="T301" s="40">
        <f>SUMPRODUCT(($B$92:$B$232="Spinach")*(T$92:T$232="H")*$C$92:$C$232)*$P$17+SUMPRODUCT(($B$92:$B$232="Kale")*(T$92:T$232="H")*$C$92:$C$232)*$P$18+SUMPRODUCT(($B$92:$B$232="Garlic")*(T$92:T$232="H")*$C$92:$C$232)*$P$19</f>
        <v/>
      </c>
      <c r="U301" s="40">
        <f>SUMPRODUCT(($B$92:$B$232="Spinach")*(U$92:U$232="H")*$C$92:$C$232)*$P$17+SUMPRODUCT(($B$92:$B$232="Kale")*(U$92:U$232="H")*$C$92:$C$232)*$P$18+SUMPRODUCT(($B$92:$B$232="Garlic")*(U$92:U$232="H")*$C$92:$C$232)*$P$19</f>
        <v/>
      </c>
      <c r="V301" s="40">
        <f>SUMPRODUCT(($B$92:$B$232="Spinach")*(V$92:V$232="H")*$C$92:$C$232)*$P$17+SUMPRODUCT(($B$92:$B$232="Kale")*(V$92:V$232="H")*$C$92:$C$232)*$P$18+SUMPRODUCT(($B$92:$B$232="Garlic")*(V$92:V$232="H")*$C$92:$C$232)*$P$19</f>
        <v/>
      </c>
      <c r="W301" s="40">
        <f>SUMPRODUCT(($B$92:$B$232="Spinach")*(W$92:W$232="H")*$C$92:$C$232)*$P$17+SUMPRODUCT(($B$92:$B$232="Kale")*(W$92:W$232="H")*$C$92:$C$232)*$P$18+SUMPRODUCT(($B$92:$B$232="Garlic")*(W$92:W$232="H")*$C$92:$C$232)*$P$19</f>
        <v/>
      </c>
      <c r="X301" s="40">
        <f>SUMPRODUCT(($B$92:$B$232="Spinach")*(X$92:X$232="H")*$C$92:$C$232)*$P$17+SUMPRODUCT(($B$92:$B$232="Kale")*(X$92:X$232="H")*$C$92:$C$232)*$P$18+SUMPRODUCT(($B$92:$B$232="Garlic")*(X$92:X$232="H")*$C$92:$C$232)*$P$19</f>
        <v/>
      </c>
      <c r="Y301" s="40">
        <f>SUMPRODUCT(($B$92:$B$232="Spinach")*(Y$92:Y$232="H")*$C$92:$C$232)*$P$17+SUMPRODUCT(($B$92:$B$232="Kale")*(Y$92:Y$232="H")*$C$92:$C$232)*$P$18+SUMPRODUCT(($B$92:$B$232="Garlic")*(Y$92:Y$232="H")*$C$92:$C$232)*$P$19</f>
        <v/>
      </c>
      <c r="Z301" s="40">
        <f>SUMPRODUCT(($B$92:$B$232="Spinach")*(Z$92:Z$232="H")*$C$92:$C$232)*$P$17+SUMPRODUCT(($B$92:$B$232="Kale")*(Z$92:Z$232="H")*$C$92:$C$232)*$P$18+SUMPRODUCT(($B$92:$B$232="Garlic")*(Z$92:Z$232="H")*$C$92:$C$232)*$P$19</f>
        <v/>
      </c>
      <c r="AA301" s="40">
        <f>SUMPRODUCT(($B$92:$B$232="Spinach")*(AA$92:AA$232="H")*$C$92:$C$232)*$P$17+SUMPRODUCT(($B$92:$B$232="Kale")*(AA$92:AA$232="H")*$C$92:$C$232)*$P$18+SUMPRODUCT(($B$92:$B$232="Garlic")*(AA$92:AA$232="H")*$C$92:$C$232)*$P$19</f>
        <v/>
      </c>
      <c r="AB301" s="40">
        <f>SUMPRODUCT(($B$92:$B$232="Spinach")*(AB$92:AB$232="H")*$C$92:$C$232)*$P$17+SUMPRODUCT(($B$92:$B$232="Kale")*(AB$92:AB$232="H")*$C$92:$C$232)*$P$18+SUMPRODUCT(($B$92:$B$232="Garlic")*(AB$92:AB$232="H")*$C$92:$C$232)*$P$19</f>
        <v/>
      </c>
      <c r="AC301" s="40">
        <f>SUMPRODUCT(($B$92:$B$232="Spinach")*(AC$92:AC$232="H")*$C$92:$C$232)*$P$17+SUMPRODUCT(($B$92:$B$232="Kale")*(AC$92:AC$232="H")*$C$92:$C$232)*$P$18+SUMPRODUCT(($B$92:$B$232="Garlic")*(AC$92:AC$232="H")*$C$92:$C$232)*$P$19</f>
        <v/>
      </c>
      <c r="AD301" s="40">
        <f>SUMPRODUCT(($B$92:$B$232="Spinach")*(AD$92:AD$232="H")*$C$92:$C$232)*$P$17+SUMPRODUCT(($B$92:$B$232="Kale")*(AD$92:AD$232="H")*$C$92:$C$232)*$P$18+SUMPRODUCT(($B$92:$B$232="Garlic")*(AD$92:AD$232="H")*$C$92:$C$232)*$P$19</f>
        <v/>
      </c>
      <c r="AE301" s="40">
        <f>SUMPRODUCT(($B$92:$B$232="Spinach")*(AE$92:AE$232="H")*$C$92:$C$232)*$P$17+SUMPRODUCT(($B$92:$B$232="Kale")*(AE$92:AE$232="H")*$C$92:$C$232)*$P$18+SUMPRODUCT(($B$92:$B$232="Garlic")*(AE$92:AE$232="H")*$C$92:$C$232)*$P$19</f>
        <v/>
      </c>
      <c r="AF301" s="40">
        <f>SUMPRODUCT(($B$92:$B$232="Spinach")*(AF$92:AF$232="H")*$C$92:$C$232)*$P$17+SUMPRODUCT(($B$92:$B$232="Kale")*(AF$92:AF$232="H")*$C$92:$C$232)*$P$18+SUMPRODUCT(($B$92:$B$232="Garlic")*(AF$92:AF$232="H")*$C$92:$C$232)*$P$19</f>
        <v/>
      </c>
      <c r="AG301" s="40">
        <f>SUMPRODUCT(($B$92:$B$232="Spinach")*(AG$92:AG$232="H")*$C$92:$C$232)*$P$17+SUMPRODUCT(($B$92:$B$232="Kale")*(AG$92:AG$232="H")*$C$92:$C$232)*$P$18+SUMPRODUCT(($B$92:$B$232="Garlic")*(AG$92:AG$232="H")*$C$92:$C$232)*$P$19</f>
        <v/>
      </c>
      <c r="AH301" s="40">
        <f>SUMPRODUCT(($B$92:$B$232="Spinach")*(AH$92:AH$232="H")*$C$92:$C$232)*$P$17+SUMPRODUCT(($B$92:$B$232="Kale")*(AH$92:AH$232="H")*$C$92:$C$232)*$P$18+SUMPRODUCT(($B$92:$B$232="Garlic")*(AH$92:AH$232="H")*$C$92:$C$232)*$P$19</f>
        <v/>
      </c>
      <c r="AI301" s="40">
        <f>SUMPRODUCT(($B$92:$B$232="Spinach")*(AI$92:AI$232="H")*$C$92:$C$232)*$P$17+SUMPRODUCT(($B$92:$B$232="Kale")*(AI$92:AI$232="H")*$C$92:$C$232)*$P$18+SUMPRODUCT(($B$92:$B$232="Garlic")*(AI$92:AI$232="H")*$C$92:$C$232)*$P$19</f>
        <v/>
      </c>
      <c r="AJ301" s="40">
        <f>SUMPRODUCT(($B$92:$B$232="Spinach")*(AJ$92:AJ$232="H")*$C$92:$C$232)*$P$17+SUMPRODUCT(($B$92:$B$232="Kale")*(AJ$92:AJ$232="H")*$C$92:$C$232)*$P$18+SUMPRODUCT(($B$92:$B$232="Garlic")*(AJ$92:AJ$232="H")*$C$92:$C$232)*$P$19</f>
        <v/>
      </c>
      <c r="AK301" s="40">
        <f>SUMPRODUCT(($B$92:$B$232="Spinach")*(AK$92:AK$232="H")*$C$92:$C$232)*$P$17+SUMPRODUCT(($B$92:$B$232="Kale")*(AK$92:AK$232="H")*$C$92:$C$232)*$P$18+SUMPRODUCT(($B$92:$B$232="Garlic")*(AK$92:AK$232="H")*$C$92:$C$232)*$P$19</f>
        <v/>
      </c>
      <c r="AL301" s="40">
        <f>SUMPRODUCT(($B$92:$B$232="Spinach")*(AL$92:AL$232="H")*$C$92:$C$232)*$P$17+SUMPRODUCT(($B$92:$B$232="Kale")*(AL$92:AL$232="H")*$C$92:$C$232)*$P$18+SUMPRODUCT(($B$92:$B$232="Garlic")*(AL$92:AL$232="H")*$C$92:$C$232)*$P$19</f>
        <v/>
      </c>
      <c r="AM301" s="40">
        <f>SUMPRODUCT(($B$92:$B$232="Spinach")*(AM$92:AM$232="H")*$C$92:$C$232)*$P$17+SUMPRODUCT(($B$92:$B$232="Kale")*(AM$92:AM$232="H")*$C$92:$C$232)*$P$18+SUMPRODUCT(($B$92:$B$232="Garlic")*(AM$92:AM$232="H")*$C$92:$C$232)*$P$19</f>
        <v/>
      </c>
      <c r="AN301" s="40">
        <f>SUMPRODUCT(($B$92:$B$232="Spinach")*(AN$92:AN$232="H")*$C$92:$C$232)*$P$17+SUMPRODUCT(($B$92:$B$232="Kale")*(AN$92:AN$232="H")*$C$92:$C$232)*$P$18+SUMPRODUCT(($B$92:$B$232="Garlic")*(AN$92:AN$232="H")*$C$92:$C$232)*$P$19</f>
        <v/>
      </c>
      <c r="AO301" s="40">
        <f>SUMPRODUCT(($B$92:$B$232="Spinach")*(AO$92:AO$232="H")*$C$92:$C$232)*$P$17+SUMPRODUCT(($B$92:$B$232="Kale")*(AO$92:AO$232="H")*$C$92:$C$232)*$P$18+SUMPRODUCT(($B$92:$B$232="Garlic")*(AO$92:AO$232="H")*$C$92:$C$232)*$P$19</f>
        <v/>
      </c>
      <c r="AP301" s="40">
        <f>SUMPRODUCT(($B$92:$B$232="Spinach")*(AP$92:AP$232="H")*$C$92:$C$232)*$P$17+SUMPRODUCT(($B$92:$B$232="Kale")*(AP$92:AP$232="H")*$C$92:$C$232)*$P$18+SUMPRODUCT(($B$92:$B$232="Garlic")*(AP$92:AP$232="H")*$C$92:$C$232)*$P$19</f>
        <v/>
      </c>
      <c r="AQ301" s="40">
        <f>SUMPRODUCT(($B$92:$B$232="Spinach")*(AQ$92:AQ$232="H")*$C$92:$C$232)*$P$17+SUMPRODUCT(($B$92:$B$232="Kale")*(AQ$92:AQ$232="H")*$C$92:$C$232)*$P$18+SUMPRODUCT(($B$92:$B$232="Garlic")*(AQ$92:AQ$232="H")*$C$92:$C$232)*$P$19</f>
        <v/>
      </c>
      <c r="AR301" s="40">
        <f>SUMPRODUCT(($B$92:$B$232="Spinach")*(AR$92:AR$232="H")*$C$92:$C$232)*$P$17+SUMPRODUCT(($B$92:$B$232="Kale")*(AR$92:AR$232="H")*$C$92:$C$232)*$P$18+SUMPRODUCT(($B$92:$B$232="Garlic")*(AR$92:AR$232="H")*$C$92:$C$232)*$P$19</f>
        <v/>
      </c>
      <c r="AS301" s="40">
        <f>SUMPRODUCT(($B$92:$B$232="Spinach")*(AS$92:AS$232="H")*$C$92:$C$232)*$P$17+SUMPRODUCT(($B$92:$B$232="Kale")*(AS$92:AS$232="H")*$C$92:$C$232)*$P$18+SUMPRODUCT(($B$92:$B$232="Garlic")*(AS$92:AS$232="H")*$C$92:$C$232)*$P$19</f>
        <v/>
      </c>
      <c r="AT301" s="40">
        <f>SUMPRODUCT(($B$92:$B$232="Spinach")*(AT$92:AT$232="H")*$C$92:$C$232)*$P$17+SUMPRODUCT(($B$92:$B$232="Kale")*(AT$92:AT$232="H")*$C$92:$C$232)*$P$18+SUMPRODUCT(($B$92:$B$232="Garlic")*(AT$92:AT$232="H")*$C$92:$C$232)*$P$19</f>
        <v/>
      </c>
      <c r="AU301" s="40">
        <f>SUMPRODUCT(($B$92:$B$232="Spinach")*(AU$92:AU$232="H")*$C$92:$C$232)*$P$17+SUMPRODUCT(($B$92:$B$232="Kale")*(AU$92:AU$232="H")*$C$92:$C$232)*$P$18+SUMPRODUCT(($B$92:$B$232="Garlic")*(AU$92:AU$232="H")*$C$92:$C$232)*$P$19</f>
        <v/>
      </c>
      <c r="AV301" s="40">
        <f>SUMPRODUCT(($B$92:$B$232="Spinach")*(AV$92:AV$232="H")*$C$92:$C$232)*$P$17+SUMPRODUCT(($B$92:$B$232="Kale")*(AV$92:AV$232="H")*$C$92:$C$232)*$P$18+SUMPRODUCT(($B$92:$B$232="Garlic")*(AV$92:AV$232="H")*$C$92:$C$232)*$P$19</f>
        <v/>
      </c>
      <c r="AW301" s="40">
        <f>SUMPRODUCT(($B$92:$B$232="Spinach")*(AW$92:AW$232="H")*$C$92:$C$232)*$P$17+SUMPRODUCT(($B$92:$B$232="Kale")*(AW$92:AW$232="H")*$C$92:$C$232)*$P$18+SUMPRODUCT(($B$92:$B$232="Garlic")*(AW$92:AW$232="H")*$C$92:$C$232)*$P$19</f>
        <v/>
      </c>
      <c r="AX301" s="40">
        <f>SUMPRODUCT(($B$92:$B$232="Spinach")*(AX$92:AX$232="H")*$C$92:$C$232)*$P$17+SUMPRODUCT(($B$92:$B$232="Kale")*(AX$92:AX$232="H")*$C$92:$C$232)*$P$18+SUMPRODUCT(($B$92:$B$232="Garlic")*(AX$92:AX$232="H")*$C$92:$C$232)*$P$19</f>
        <v/>
      </c>
      <c r="AY301" s="40">
        <f>SUMPRODUCT(($B$92:$B$232="Spinach")*(AY$92:AY$232="H")*$C$92:$C$232)*$P$17+SUMPRODUCT(($B$92:$B$232="Kale")*(AY$92:AY$232="H")*$C$92:$C$232)*$P$18+SUMPRODUCT(($B$92:$B$232="Garlic")*(AY$92:AY$232="H")*$C$92:$C$232)*$P$19</f>
        <v/>
      </c>
      <c r="AZ301" s="40">
        <f>SUMPRODUCT(($B$92:$B$232="Spinach")*(AZ$92:AZ$232="H")*$C$92:$C$232)*$P$17+SUMPRODUCT(($B$92:$B$232="Kale")*(AZ$92:AZ$232="H")*$C$92:$C$232)*$P$18+SUMPRODUCT(($B$92:$B$232="Garlic")*(AZ$92:AZ$232="H")*$C$92:$C$232)*$P$19</f>
        <v/>
      </c>
      <c r="BA301" s="40">
        <f>SUMPRODUCT(($B$92:$B$232="Spinach")*(BA$92:BA$232="H")*$C$92:$C$232)*$P$17+SUMPRODUCT(($B$92:$B$232="Kale")*(BA$92:BA$232="H")*$C$92:$C$232)*$P$18+SUMPRODUCT(($B$92:$B$232="Garlic")*(BA$92:BA$232="H")*$C$92:$C$232)*$P$19</f>
        <v/>
      </c>
      <c r="BB301" s="40">
        <f>SUMPRODUCT(($B$92:$B$232="Spinach")*(BB$92:BB$232="H")*$C$92:$C$232)*$P$17+SUMPRODUCT(($B$92:$B$232="Kale")*(BB$92:BB$232="H")*$C$92:$C$232)*$P$18+SUMPRODUCT(($B$92:$B$232="Garlic")*(BB$92:BB$232="H")*$C$92:$C$232)*$P$19</f>
        <v/>
      </c>
      <c r="BC301" s="40">
        <f>SUMPRODUCT(($B$92:$B$232="Spinach")*(BC$92:BC$232="H")*$C$92:$C$232)*$P$17+SUMPRODUCT(($B$92:$B$232="Kale")*(BC$92:BC$232="H")*$C$92:$C$232)*$P$18+SUMPRODUCT(($B$92:$B$232="Garlic")*(BC$92:BC$232="H")*$C$92:$C$232)*$P$19</f>
        <v/>
      </c>
      <c r="BD301" s="40">
        <f>SUMPRODUCT(($B$92:$B$232="Spinach")*(BD$92:BD$232="H")*$C$92:$C$232)*$P$17+SUMPRODUCT(($B$92:$B$232="Kale")*(BD$92:BD$232="H")*$C$92:$C$232)*$P$18+SUMPRODUCT(($B$92:$B$232="Garlic")*(BD$92:BD$232="H")*$C$92:$C$232)*$P$19</f>
        <v/>
      </c>
    </row>
    <row r="302">
      <c r="A302" s="2" t="inlineStr">
        <is>
          <t xml:space="preserve">   Harvest-phase hours only, of the crops the piece-rate crew picks. The relief above cannot exceed this row.</t>
        </is>
      </c>
    </row>
    <row r="303">
      <c r="A303" s="36" t="inlineStr">
        <is>
          <t>Week</t>
        </is>
      </c>
      <c r="B303" s="37" t="inlineStr">
        <is>
          <t>hours</t>
        </is>
      </c>
      <c r="E303" s="38" t="n">
        <v>1</v>
      </c>
      <c r="F303" s="38" t="n">
        <v>2</v>
      </c>
      <c r="G303" s="38" t="n">
        <v>3</v>
      </c>
      <c r="H303" s="38" t="n">
        <v>4</v>
      </c>
      <c r="I303" s="38" t="n">
        <v>5</v>
      </c>
      <c r="J303" s="38" t="n">
        <v>6</v>
      </c>
      <c r="K303" s="38" t="n">
        <v>7</v>
      </c>
      <c r="L303" s="38" t="n">
        <v>8</v>
      </c>
      <c r="M303" s="38" t="n">
        <v>9</v>
      </c>
      <c r="N303" s="38" t="n">
        <v>10</v>
      </c>
      <c r="O303" s="38" t="n">
        <v>11</v>
      </c>
      <c r="P303" s="38" t="n">
        <v>12</v>
      </c>
      <c r="Q303" s="38" t="n">
        <v>13</v>
      </c>
      <c r="R303" s="38" t="n">
        <v>14</v>
      </c>
      <c r="S303" s="38" t="n">
        <v>15</v>
      </c>
      <c r="T303" s="38" t="n">
        <v>16</v>
      </c>
      <c r="U303" s="38" t="n">
        <v>17</v>
      </c>
      <c r="V303" s="38" t="n">
        <v>18</v>
      </c>
      <c r="W303" s="38" t="n">
        <v>19</v>
      </c>
      <c r="X303" s="38" t="n">
        <v>20</v>
      </c>
      <c r="Y303" s="38" t="n">
        <v>21</v>
      </c>
      <c r="Z303" s="38" t="n">
        <v>22</v>
      </c>
      <c r="AA303" s="38" t="n">
        <v>23</v>
      </c>
      <c r="AB303" s="38" t="n">
        <v>24</v>
      </c>
      <c r="AC303" s="38" t="n">
        <v>25</v>
      </c>
      <c r="AD303" s="38" t="n">
        <v>26</v>
      </c>
      <c r="AE303" s="38" t="n">
        <v>27</v>
      </c>
      <c r="AF303" s="38" t="n">
        <v>28</v>
      </c>
      <c r="AG303" s="38" t="n">
        <v>29</v>
      </c>
      <c r="AH303" s="38" t="n">
        <v>30</v>
      </c>
      <c r="AI303" s="38" t="n">
        <v>31</v>
      </c>
      <c r="AJ303" s="38" t="n">
        <v>32</v>
      </c>
      <c r="AK303" s="38" t="n">
        <v>33</v>
      </c>
      <c r="AL303" s="38" t="n">
        <v>34</v>
      </c>
      <c r="AM303" s="38" t="n">
        <v>35</v>
      </c>
      <c r="AN303" s="38" t="n">
        <v>36</v>
      </c>
      <c r="AO303" s="38" t="n">
        <v>37</v>
      </c>
      <c r="AP303" s="38" t="n">
        <v>38</v>
      </c>
      <c r="AQ303" s="38" t="n">
        <v>39</v>
      </c>
      <c r="AR303" s="38" t="n">
        <v>40</v>
      </c>
      <c r="AS303" s="38" t="n">
        <v>41</v>
      </c>
      <c r="AT303" s="38" t="n">
        <v>42</v>
      </c>
      <c r="AU303" s="38" t="n">
        <v>43</v>
      </c>
      <c r="AV303" s="38" t="n">
        <v>44</v>
      </c>
      <c r="AW303" s="38" t="n">
        <v>45</v>
      </c>
      <c r="AX303" s="38" t="n">
        <v>46</v>
      </c>
      <c r="AY303" s="38" t="n">
        <v>47</v>
      </c>
      <c r="AZ303" s="38" t="n">
        <v>48</v>
      </c>
      <c r="BA303" s="38" t="n">
        <v>49</v>
      </c>
      <c r="BB303" s="38" t="n">
        <v>50</v>
      </c>
      <c r="BC303" s="38" t="n">
        <v>51</v>
      </c>
      <c r="BD303" s="38" t="n">
        <v>52</v>
      </c>
    </row>
    <row r="304">
      <c r="A304" s="43" t="inlineStr">
        <is>
          <t xml:space="preserve">   Equipment Operator — overtime room left</t>
        </is>
      </c>
      <c r="B304" s="2" t="inlineStr">
        <is>
          <t>hrs</t>
        </is>
      </c>
      <c r="E304" s="42">
        <f>E$280-E281</f>
        <v/>
      </c>
      <c r="F304" s="42">
        <f>F$280-F281</f>
        <v/>
      </c>
      <c r="G304" s="42">
        <f>G$280-G281</f>
        <v/>
      </c>
      <c r="H304" s="42">
        <f>H$280-H281</f>
        <v/>
      </c>
      <c r="I304" s="42">
        <f>I$280-I281</f>
        <v/>
      </c>
      <c r="J304" s="42">
        <f>J$280-J281</f>
        <v/>
      </c>
      <c r="K304" s="42">
        <f>K$280-K281</f>
        <v/>
      </c>
      <c r="L304" s="42">
        <f>L$280-L281</f>
        <v/>
      </c>
      <c r="M304" s="42">
        <f>M$280-M281</f>
        <v/>
      </c>
      <c r="N304" s="42">
        <f>N$280-N281</f>
        <v/>
      </c>
      <c r="O304" s="42">
        <f>O$280-O281</f>
        <v/>
      </c>
      <c r="P304" s="42">
        <f>P$280-P281</f>
        <v/>
      </c>
      <c r="Q304" s="42">
        <f>Q$280-Q281</f>
        <v/>
      </c>
      <c r="R304" s="42">
        <f>R$280-R281</f>
        <v/>
      </c>
      <c r="S304" s="42">
        <f>S$280-S281</f>
        <v/>
      </c>
      <c r="T304" s="42">
        <f>T$280-T281</f>
        <v/>
      </c>
      <c r="U304" s="42">
        <f>U$280-U281</f>
        <v/>
      </c>
      <c r="V304" s="42">
        <f>V$280-V281</f>
        <v/>
      </c>
      <c r="W304" s="42">
        <f>W$280-W281</f>
        <v/>
      </c>
      <c r="X304" s="42">
        <f>X$280-X281</f>
        <v/>
      </c>
      <c r="Y304" s="42">
        <f>Y$280-Y281</f>
        <v/>
      </c>
      <c r="Z304" s="42">
        <f>Z$280-Z281</f>
        <v/>
      </c>
      <c r="AA304" s="42">
        <f>AA$280-AA281</f>
        <v/>
      </c>
      <c r="AB304" s="42">
        <f>AB$280-AB281</f>
        <v/>
      </c>
      <c r="AC304" s="42">
        <f>AC$280-AC281</f>
        <v/>
      </c>
      <c r="AD304" s="42">
        <f>AD$280-AD281</f>
        <v/>
      </c>
      <c r="AE304" s="42">
        <f>AE$280-AE281</f>
        <v/>
      </c>
      <c r="AF304" s="42">
        <f>AF$280-AF281</f>
        <v/>
      </c>
      <c r="AG304" s="42">
        <f>AG$280-AG281</f>
        <v/>
      </c>
      <c r="AH304" s="42">
        <f>AH$280-AH281</f>
        <v/>
      </c>
      <c r="AI304" s="42">
        <f>AI$280-AI281</f>
        <v/>
      </c>
      <c r="AJ304" s="42">
        <f>AJ$280-AJ281</f>
        <v/>
      </c>
      <c r="AK304" s="42">
        <f>AK$280-AK281</f>
        <v/>
      </c>
      <c r="AL304" s="42">
        <f>AL$280-AL281</f>
        <v/>
      </c>
      <c r="AM304" s="42">
        <f>AM$280-AM281</f>
        <v/>
      </c>
      <c r="AN304" s="42">
        <f>AN$280-AN281</f>
        <v/>
      </c>
      <c r="AO304" s="42">
        <f>AO$280-AO281</f>
        <v/>
      </c>
      <c r="AP304" s="42">
        <f>AP$280-AP281</f>
        <v/>
      </c>
      <c r="AQ304" s="42">
        <f>AQ$280-AQ281</f>
        <v/>
      </c>
      <c r="AR304" s="42">
        <f>AR$280-AR281</f>
        <v/>
      </c>
      <c r="AS304" s="42">
        <f>AS$280-AS281</f>
        <v/>
      </c>
      <c r="AT304" s="42">
        <f>AT$280-AT281</f>
        <v/>
      </c>
      <c r="AU304" s="42">
        <f>AU$280-AU281</f>
        <v/>
      </c>
      <c r="AV304" s="42">
        <f>AV$280-AV281</f>
        <v/>
      </c>
      <c r="AW304" s="42">
        <f>AW$280-AW281</f>
        <v/>
      </c>
      <c r="AX304" s="42">
        <f>AX$280-AX281</f>
        <v/>
      </c>
      <c r="AY304" s="42">
        <f>AY$280-AY281</f>
        <v/>
      </c>
      <c r="AZ304" s="42">
        <f>AZ$280-AZ281</f>
        <v/>
      </c>
      <c r="BA304" s="42">
        <f>BA$280-BA281</f>
        <v/>
      </c>
      <c r="BB304" s="42">
        <f>BB$280-BB281</f>
        <v/>
      </c>
      <c r="BC304" s="42">
        <f>BC$280-BC281</f>
        <v/>
      </c>
      <c r="BD304" s="42">
        <f>BD$280-BD281</f>
        <v/>
      </c>
    </row>
    <row r="305">
      <c r="A305" s="43" t="inlineStr">
        <is>
          <t xml:space="preserve">   Seasonal Field Crew — overtime room left</t>
        </is>
      </c>
      <c r="B305" s="2" t="inlineStr">
        <is>
          <t>hrs</t>
        </is>
      </c>
      <c r="E305" s="42">
        <f>E$282-E283</f>
        <v/>
      </c>
      <c r="F305" s="42">
        <f>F$282-F283</f>
        <v/>
      </c>
      <c r="G305" s="42">
        <f>G$282-G283</f>
        <v/>
      </c>
      <c r="H305" s="42">
        <f>H$282-H283</f>
        <v/>
      </c>
      <c r="I305" s="42">
        <f>I$282-I283</f>
        <v/>
      </c>
      <c r="J305" s="42">
        <f>J$282-J283</f>
        <v/>
      </c>
      <c r="K305" s="42">
        <f>K$282-K283</f>
        <v/>
      </c>
      <c r="L305" s="42">
        <f>L$282-L283</f>
        <v/>
      </c>
      <c r="M305" s="42">
        <f>M$282-M283</f>
        <v/>
      </c>
      <c r="N305" s="42">
        <f>N$282-N283</f>
        <v/>
      </c>
      <c r="O305" s="42">
        <f>O$282-O283</f>
        <v/>
      </c>
      <c r="P305" s="42">
        <f>P$282-P283</f>
        <v/>
      </c>
      <c r="Q305" s="42">
        <f>Q$282-Q283</f>
        <v/>
      </c>
      <c r="R305" s="42">
        <f>R$282-R283</f>
        <v/>
      </c>
      <c r="S305" s="42">
        <f>S$282-S283</f>
        <v/>
      </c>
      <c r="T305" s="42">
        <f>T$282-T283</f>
        <v/>
      </c>
      <c r="U305" s="42">
        <f>U$282-U283</f>
        <v/>
      </c>
      <c r="V305" s="42">
        <f>V$282-V283</f>
        <v/>
      </c>
      <c r="W305" s="42">
        <f>W$282-W283</f>
        <v/>
      </c>
      <c r="X305" s="42">
        <f>X$282-X283</f>
        <v/>
      </c>
      <c r="Y305" s="42">
        <f>Y$282-Y283</f>
        <v/>
      </c>
      <c r="Z305" s="42">
        <f>Z$282-Z283</f>
        <v/>
      </c>
      <c r="AA305" s="42">
        <f>AA$282-AA283</f>
        <v/>
      </c>
      <c r="AB305" s="42">
        <f>AB$282-AB283</f>
        <v/>
      </c>
      <c r="AC305" s="42">
        <f>AC$282-AC283</f>
        <v/>
      </c>
      <c r="AD305" s="42">
        <f>AD$282-AD283</f>
        <v/>
      </c>
      <c r="AE305" s="42">
        <f>AE$282-AE283</f>
        <v/>
      </c>
      <c r="AF305" s="42">
        <f>AF$282-AF283</f>
        <v/>
      </c>
      <c r="AG305" s="42">
        <f>AG$282-AG283</f>
        <v/>
      </c>
      <c r="AH305" s="42">
        <f>AH$282-AH283</f>
        <v/>
      </c>
      <c r="AI305" s="42">
        <f>AI$282-AI283</f>
        <v/>
      </c>
      <c r="AJ305" s="42">
        <f>AJ$282-AJ283</f>
        <v/>
      </c>
      <c r="AK305" s="42">
        <f>AK$282-AK283</f>
        <v/>
      </c>
      <c r="AL305" s="42">
        <f>AL$282-AL283</f>
        <v/>
      </c>
      <c r="AM305" s="42">
        <f>AM$282-AM283</f>
        <v/>
      </c>
      <c r="AN305" s="42">
        <f>AN$282-AN283</f>
        <v/>
      </c>
      <c r="AO305" s="42">
        <f>AO$282-AO283</f>
        <v/>
      </c>
      <c r="AP305" s="42">
        <f>AP$282-AP283</f>
        <v/>
      </c>
      <c r="AQ305" s="42">
        <f>AQ$282-AQ283</f>
        <v/>
      </c>
      <c r="AR305" s="42">
        <f>AR$282-AR283</f>
        <v/>
      </c>
      <c r="AS305" s="42">
        <f>AS$282-AS283</f>
        <v/>
      </c>
      <c r="AT305" s="42">
        <f>AT$282-AT283</f>
        <v/>
      </c>
      <c r="AU305" s="42">
        <f>AU$282-AU283</f>
        <v/>
      </c>
      <c r="AV305" s="42">
        <f>AV$282-AV283</f>
        <v/>
      </c>
      <c r="AW305" s="42">
        <f>AW$282-AW283</f>
        <v/>
      </c>
      <c r="AX305" s="42">
        <f>AX$282-AX283</f>
        <v/>
      </c>
      <c r="AY305" s="42">
        <f>AY$282-AY283</f>
        <v/>
      </c>
      <c r="AZ305" s="42">
        <f>AZ$282-AZ283</f>
        <v/>
      </c>
      <c r="BA305" s="42">
        <f>BA$282-BA283</f>
        <v/>
      </c>
      <c r="BB305" s="42">
        <f>BB$282-BB283</f>
        <v/>
      </c>
      <c r="BC305" s="42">
        <f>BC$282-BC283</f>
        <v/>
      </c>
      <c r="BD305" s="42">
        <f>BD$282-BD283</f>
        <v/>
      </c>
    </row>
    <row r="306">
      <c r="A306" s="43" t="inlineStr">
        <is>
          <t xml:space="preserve">   Harvest Crew — overtime room left</t>
        </is>
      </c>
      <c r="B306" s="2" t="inlineStr">
        <is>
          <t>hrs</t>
        </is>
      </c>
      <c r="E306" s="42">
        <f>E$284-E285</f>
        <v/>
      </c>
      <c r="F306" s="42">
        <f>F$284-F285</f>
        <v/>
      </c>
      <c r="G306" s="42">
        <f>G$284-G285</f>
        <v/>
      </c>
      <c r="H306" s="42">
        <f>H$284-H285</f>
        <v/>
      </c>
      <c r="I306" s="42">
        <f>I$284-I285</f>
        <v/>
      </c>
      <c r="J306" s="42">
        <f>J$284-J285</f>
        <v/>
      </c>
      <c r="K306" s="42">
        <f>K$284-K285</f>
        <v/>
      </c>
      <c r="L306" s="42">
        <f>L$284-L285</f>
        <v/>
      </c>
      <c r="M306" s="42">
        <f>M$284-M285</f>
        <v/>
      </c>
      <c r="N306" s="42">
        <f>N$284-N285</f>
        <v/>
      </c>
      <c r="O306" s="42">
        <f>O$284-O285</f>
        <v/>
      </c>
      <c r="P306" s="42">
        <f>P$284-P285</f>
        <v/>
      </c>
      <c r="Q306" s="42">
        <f>Q$284-Q285</f>
        <v/>
      </c>
      <c r="R306" s="42">
        <f>R$284-R285</f>
        <v/>
      </c>
      <c r="S306" s="42">
        <f>S$284-S285</f>
        <v/>
      </c>
      <c r="T306" s="42">
        <f>T$284-T285</f>
        <v/>
      </c>
      <c r="U306" s="42">
        <f>U$284-U285</f>
        <v/>
      </c>
      <c r="V306" s="42">
        <f>V$284-V285</f>
        <v/>
      </c>
      <c r="W306" s="42">
        <f>W$284-W285</f>
        <v/>
      </c>
      <c r="X306" s="42">
        <f>X$284-X285</f>
        <v/>
      </c>
      <c r="Y306" s="42">
        <f>Y$284-Y285</f>
        <v/>
      </c>
      <c r="Z306" s="42">
        <f>Z$284-Z285</f>
        <v/>
      </c>
      <c r="AA306" s="42">
        <f>AA$284-AA285</f>
        <v/>
      </c>
      <c r="AB306" s="42">
        <f>AB$284-AB285</f>
        <v/>
      </c>
      <c r="AC306" s="42">
        <f>AC$284-AC285</f>
        <v/>
      </c>
      <c r="AD306" s="42">
        <f>AD$284-AD285</f>
        <v/>
      </c>
      <c r="AE306" s="42">
        <f>AE$284-AE285</f>
        <v/>
      </c>
      <c r="AF306" s="42">
        <f>AF$284-AF285</f>
        <v/>
      </c>
      <c r="AG306" s="42">
        <f>AG$284-AG285</f>
        <v/>
      </c>
      <c r="AH306" s="42">
        <f>AH$284-AH285</f>
        <v/>
      </c>
      <c r="AI306" s="42">
        <f>AI$284-AI285</f>
        <v/>
      </c>
      <c r="AJ306" s="42">
        <f>AJ$284-AJ285</f>
        <v/>
      </c>
      <c r="AK306" s="42">
        <f>AK$284-AK285</f>
        <v/>
      </c>
      <c r="AL306" s="42">
        <f>AL$284-AL285</f>
        <v/>
      </c>
      <c r="AM306" s="42">
        <f>AM$284-AM285</f>
        <v/>
      </c>
      <c r="AN306" s="42">
        <f>AN$284-AN285</f>
        <v/>
      </c>
      <c r="AO306" s="42">
        <f>AO$284-AO285</f>
        <v/>
      </c>
      <c r="AP306" s="42">
        <f>AP$284-AP285</f>
        <v/>
      </c>
      <c r="AQ306" s="42">
        <f>AQ$284-AQ285</f>
        <v/>
      </c>
      <c r="AR306" s="42">
        <f>AR$284-AR285</f>
        <v/>
      </c>
      <c r="AS306" s="42">
        <f>AS$284-AS285</f>
        <v/>
      </c>
      <c r="AT306" s="42">
        <f>AT$284-AT285</f>
        <v/>
      </c>
      <c r="AU306" s="42">
        <f>AU$284-AU285</f>
        <v/>
      </c>
      <c r="AV306" s="42">
        <f>AV$284-AV285</f>
        <v/>
      </c>
      <c r="AW306" s="42">
        <f>AW$284-AW285</f>
        <v/>
      </c>
      <c r="AX306" s="42">
        <f>AX$284-AX285</f>
        <v/>
      </c>
      <c r="AY306" s="42">
        <f>AY$284-AY285</f>
        <v/>
      </c>
      <c r="AZ306" s="42">
        <f>AZ$284-AZ285</f>
        <v/>
      </c>
      <c r="BA306" s="42">
        <f>BA$284-BA285</f>
        <v/>
      </c>
      <c r="BB306" s="42">
        <f>BB$284-BB285</f>
        <v/>
      </c>
      <c r="BC306" s="42">
        <f>BC$284-BC285</f>
        <v/>
      </c>
      <c r="BD306" s="42">
        <f>BD$284-BD285</f>
        <v/>
      </c>
    </row>
    <row r="307">
      <c r="A307" s="2" t="inlineStr">
        <is>
          <t xml:space="preserve">   Each role's overtime against its OWN crew that week — the cap is two rows above the decision in block B, and the Solver constrains them there. Zero means that role is at its limit; negative means the recipe is not loaded.</t>
        </is>
      </c>
    </row>
    <row r="309">
      <c r="A309" s="3" t="inlineStr">
        <is>
          <t>D — WHAT IT COSTS</t>
        </is>
      </c>
    </row>
    <row r="310">
      <c r="A310" s="2" t="inlineStr">
        <is>
          <t xml:space="preserve">   Nothing above this line is money. Nothing below it is a limit.</t>
        </is>
      </c>
    </row>
    <row r="311">
      <c r="A311" s="36" t="inlineStr">
        <is>
          <t>Week</t>
        </is>
      </c>
      <c r="B311" s="37" t="inlineStr">
        <is>
          <t>$</t>
        </is>
      </c>
      <c r="E311" s="38" t="n">
        <v>1</v>
      </c>
      <c r="F311" s="38" t="n">
        <v>2</v>
      </c>
      <c r="G311" s="38" t="n">
        <v>3</v>
      </c>
      <c r="H311" s="38" t="n">
        <v>4</v>
      </c>
      <c r="I311" s="38" t="n">
        <v>5</v>
      </c>
      <c r="J311" s="38" t="n">
        <v>6</v>
      </c>
      <c r="K311" s="38" t="n">
        <v>7</v>
      </c>
      <c r="L311" s="38" t="n">
        <v>8</v>
      </c>
      <c r="M311" s="38" t="n">
        <v>9</v>
      </c>
      <c r="N311" s="38" t="n">
        <v>10</v>
      </c>
      <c r="O311" s="38" t="n">
        <v>11</v>
      </c>
      <c r="P311" s="38" t="n">
        <v>12</v>
      </c>
      <c r="Q311" s="38" t="n">
        <v>13</v>
      </c>
      <c r="R311" s="38" t="n">
        <v>14</v>
      </c>
      <c r="S311" s="38" t="n">
        <v>15</v>
      </c>
      <c r="T311" s="38" t="n">
        <v>16</v>
      </c>
      <c r="U311" s="38" t="n">
        <v>17</v>
      </c>
      <c r="V311" s="38" t="n">
        <v>18</v>
      </c>
      <c r="W311" s="38" t="n">
        <v>19</v>
      </c>
      <c r="X311" s="38" t="n">
        <v>20</v>
      </c>
      <c r="Y311" s="38" t="n">
        <v>21</v>
      </c>
      <c r="Z311" s="38" t="n">
        <v>22</v>
      </c>
      <c r="AA311" s="38" t="n">
        <v>23</v>
      </c>
      <c r="AB311" s="38" t="n">
        <v>24</v>
      </c>
      <c r="AC311" s="38" t="n">
        <v>25</v>
      </c>
      <c r="AD311" s="38" t="n">
        <v>26</v>
      </c>
      <c r="AE311" s="38" t="n">
        <v>27</v>
      </c>
      <c r="AF311" s="38" t="n">
        <v>28</v>
      </c>
      <c r="AG311" s="38" t="n">
        <v>29</v>
      </c>
      <c r="AH311" s="38" t="n">
        <v>30</v>
      </c>
      <c r="AI311" s="38" t="n">
        <v>31</v>
      </c>
      <c r="AJ311" s="38" t="n">
        <v>32</v>
      </c>
      <c r="AK311" s="38" t="n">
        <v>33</v>
      </c>
      <c r="AL311" s="38" t="n">
        <v>34</v>
      </c>
      <c r="AM311" s="38" t="n">
        <v>35</v>
      </c>
      <c r="AN311" s="38" t="n">
        <v>36</v>
      </c>
      <c r="AO311" s="38" t="n">
        <v>37</v>
      </c>
      <c r="AP311" s="38" t="n">
        <v>38</v>
      </c>
      <c r="AQ311" s="38" t="n">
        <v>39</v>
      </c>
      <c r="AR311" s="38" t="n">
        <v>40</v>
      </c>
      <c r="AS311" s="38" t="n">
        <v>41</v>
      </c>
      <c r="AT311" s="38" t="n">
        <v>42</v>
      </c>
      <c r="AU311" s="38" t="n">
        <v>43</v>
      </c>
      <c r="AV311" s="38" t="n">
        <v>44</v>
      </c>
      <c r="AW311" s="38" t="n">
        <v>45</v>
      </c>
      <c r="AX311" s="38" t="n">
        <v>46</v>
      </c>
      <c r="AY311" s="38" t="n">
        <v>47</v>
      </c>
      <c r="AZ311" s="38" t="n">
        <v>48</v>
      </c>
      <c r="BA311" s="38" t="n">
        <v>49</v>
      </c>
      <c r="BB311" s="38" t="n">
        <v>50</v>
      </c>
      <c r="BC311" s="38" t="n">
        <v>51</v>
      </c>
      <c r="BD311" s="38" t="n">
        <v>52</v>
      </c>
    </row>
    <row r="312">
      <c r="A312" s="33" t="inlineStr">
        <is>
          <t xml:space="preserve">   Farm Manager</t>
        </is>
      </c>
      <c r="B312" s="2" t="inlineStr">
        <is>
          <t>$</t>
        </is>
      </c>
      <c r="E312" s="40">
        <f>IF(AND(1&gt;=$G$49,1&lt;=$H$49),($B$49+IF($I$49="Y",$K$49,0))*$D$49/52*(1+$B$56),0)</f>
        <v/>
      </c>
      <c r="F312" s="40">
        <f>IF(AND(2&gt;=$G$49,2&lt;=$H$49),($B$49+IF($I$49="Y",$K$49,0))*$D$49/52*(1+$B$56),0)</f>
        <v/>
      </c>
      <c r="G312" s="40">
        <f>IF(AND(3&gt;=$G$49,3&lt;=$H$49),($B$49+IF($I$49="Y",$K$49,0))*$D$49/52*(1+$B$56),0)</f>
        <v/>
      </c>
      <c r="H312" s="40">
        <f>IF(AND(4&gt;=$G$49,4&lt;=$H$49),($B$49+IF($I$49="Y",$K$49,0))*$D$49/52*(1+$B$56),0)</f>
        <v/>
      </c>
      <c r="I312" s="40">
        <f>IF(AND(5&gt;=$G$49,5&lt;=$H$49),($B$49+IF($I$49="Y",$K$49,0))*$D$49/52*(1+$B$56),0)</f>
        <v/>
      </c>
      <c r="J312" s="40">
        <f>IF(AND(6&gt;=$G$49,6&lt;=$H$49),($B$49+IF($I$49="Y",$K$49,0))*$D$49/52*(1+$B$56),0)</f>
        <v/>
      </c>
      <c r="K312" s="40">
        <f>IF(AND(7&gt;=$G$49,7&lt;=$H$49),($B$49+IF($I$49="Y",$K$49,0))*$D$49/52*(1+$B$56),0)</f>
        <v/>
      </c>
      <c r="L312" s="40">
        <f>IF(AND(8&gt;=$G$49,8&lt;=$H$49),($B$49+IF($I$49="Y",$K$49,0))*$D$49/52*(1+$B$56),0)</f>
        <v/>
      </c>
      <c r="M312" s="40">
        <f>IF(AND(9&gt;=$G$49,9&lt;=$H$49),($B$49+IF($I$49="Y",$K$49,0))*$D$49/52*(1+$B$56),0)</f>
        <v/>
      </c>
      <c r="N312" s="40">
        <f>IF(AND(10&gt;=$G$49,10&lt;=$H$49),($B$49+IF($I$49="Y",$K$49,0))*$D$49/52*(1+$B$56),0)</f>
        <v/>
      </c>
      <c r="O312" s="40">
        <f>IF(AND(11&gt;=$G$49,11&lt;=$H$49),($B$49+IF($I$49="Y",$K$49,0))*$D$49/52*(1+$B$56),0)</f>
        <v/>
      </c>
      <c r="P312" s="40">
        <f>IF(AND(12&gt;=$G$49,12&lt;=$H$49),($B$49+IF($I$49="Y",$K$49,0))*$D$49/52*(1+$B$56),0)</f>
        <v/>
      </c>
      <c r="Q312" s="40">
        <f>IF(AND(13&gt;=$G$49,13&lt;=$H$49),($B$49+IF($I$49="Y",$K$49,0))*$D$49/52*(1+$B$56),0)</f>
        <v/>
      </c>
      <c r="R312" s="40">
        <f>IF(AND(14&gt;=$G$49,14&lt;=$H$49),($B$49+IF($I$49="Y",$K$49,0))*$D$49/52*(1+$B$56),0)</f>
        <v/>
      </c>
      <c r="S312" s="40">
        <f>IF(AND(15&gt;=$G$49,15&lt;=$H$49),($B$49+IF($I$49="Y",$K$49,0))*$D$49/52*(1+$B$56),0)</f>
        <v/>
      </c>
      <c r="T312" s="40">
        <f>IF(AND(16&gt;=$G$49,16&lt;=$H$49),($B$49+IF($I$49="Y",$K$49,0))*$D$49/52*(1+$B$56),0)</f>
        <v/>
      </c>
      <c r="U312" s="40">
        <f>IF(AND(17&gt;=$G$49,17&lt;=$H$49),($B$49+IF($I$49="Y",$K$49,0))*$D$49/52*(1+$B$56),0)</f>
        <v/>
      </c>
      <c r="V312" s="40">
        <f>IF(AND(18&gt;=$G$49,18&lt;=$H$49),($B$49+IF($I$49="Y",$K$49,0))*$D$49/52*(1+$B$56),0)</f>
        <v/>
      </c>
      <c r="W312" s="40">
        <f>IF(AND(19&gt;=$G$49,19&lt;=$H$49),($B$49+IF($I$49="Y",$K$49,0))*$D$49/52*(1+$B$56),0)</f>
        <v/>
      </c>
      <c r="X312" s="40">
        <f>IF(AND(20&gt;=$G$49,20&lt;=$H$49),($B$49+IF($I$49="Y",$K$49,0))*$D$49/52*(1+$B$56),0)</f>
        <v/>
      </c>
      <c r="Y312" s="40">
        <f>IF(AND(21&gt;=$G$49,21&lt;=$H$49),($B$49+IF($I$49="Y",$K$49,0))*$D$49/52*(1+$B$56),0)</f>
        <v/>
      </c>
      <c r="Z312" s="40">
        <f>IF(AND(22&gt;=$G$49,22&lt;=$H$49),($B$49+IF($I$49="Y",$K$49,0))*$D$49/52*(1+$B$56),0)</f>
        <v/>
      </c>
      <c r="AA312" s="40">
        <f>IF(AND(23&gt;=$G$49,23&lt;=$H$49),($B$49+IF($I$49="Y",$K$49,0))*$D$49/52*(1+$B$56),0)</f>
        <v/>
      </c>
      <c r="AB312" s="40">
        <f>IF(AND(24&gt;=$G$49,24&lt;=$H$49),($B$49+IF($I$49="Y",$K$49,0))*$D$49/52*(1+$B$56),0)</f>
        <v/>
      </c>
      <c r="AC312" s="40">
        <f>IF(AND(25&gt;=$G$49,25&lt;=$H$49),($B$49+IF($I$49="Y",$K$49,0))*$D$49/52*(1+$B$56),0)</f>
        <v/>
      </c>
      <c r="AD312" s="40">
        <f>IF(AND(26&gt;=$G$49,26&lt;=$H$49),($B$49+IF($I$49="Y",$K$49,0))*$D$49/52*(1+$B$56),0)</f>
        <v/>
      </c>
      <c r="AE312" s="40">
        <f>IF(AND(27&gt;=$G$49,27&lt;=$H$49),($B$49+IF($I$49="Y",$K$49,0))*$D$49/52*(1+$B$56),0)</f>
        <v/>
      </c>
      <c r="AF312" s="40">
        <f>IF(AND(28&gt;=$G$49,28&lt;=$H$49),($B$49+IF($I$49="Y",$K$49,0))*$D$49/52*(1+$B$56),0)</f>
        <v/>
      </c>
      <c r="AG312" s="40">
        <f>IF(AND(29&gt;=$G$49,29&lt;=$H$49),($B$49+IF($I$49="Y",$K$49,0))*$D$49/52*(1+$B$56),0)</f>
        <v/>
      </c>
      <c r="AH312" s="40">
        <f>IF(AND(30&gt;=$G$49,30&lt;=$H$49),($B$49+IF($I$49="Y",$K$49,0))*$D$49/52*(1+$B$56),0)</f>
        <v/>
      </c>
      <c r="AI312" s="40">
        <f>IF(AND(31&gt;=$G$49,31&lt;=$H$49),($B$49+IF($I$49="Y",$K$49,0))*$D$49/52*(1+$B$56),0)</f>
        <v/>
      </c>
      <c r="AJ312" s="40">
        <f>IF(AND(32&gt;=$G$49,32&lt;=$H$49),($B$49+IF($I$49="Y",$K$49,0))*$D$49/52*(1+$B$56),0)</f>
        <v/>
      </c>
      <c r="AK312" s="40">
        <f>IF(AND(33&gt;=$G$49,33&lt;=$H$49),($B$49+IF($I$49="Y",$K$49,0))*$D$49/52*(1+$B$56),0)</f>
        <v/>
      </c>
      <c r="AL312" s="40">
        <f>IF(AND(34&gt;=$G$49,34&lt;=$H$49),($B$49+IF($I$49="Y",$K$49,0))*$D$49/52*(1+$B$56),0)</f>
        <v/>
      </c>
      <c r="AM312" s="40">
        <f>IF(AND(35&gt;=$G$49,35&lt;=$H$49),($B$49+IF($I$49="Y",$K$49,0))*$D$49/52*(1+$B$56),0)</f>
        <v/>
      </c>
      <c r="AN312" s="40">
        <f>IF(AND(36&gt;=$G$49,36&lt;=$H$49),($B$49+IF($I$49="Y",$K$49,0))*$D$49/52*(1+$B$56),0)</f>
        <v/>
      </c>
      <c r="AO312" s="40">
        <f>IF(AND(37&gt;=$G$49,37&lt;=$H$49),($B$49+IF($I$49="Y",$K$49,0))*$D$49/52*(1+$B$56),0)</f>
        <v/>
      </c>
      <c r="AP312" s="40">
        <f>IF(AND(38&gt;=$G$49,38&lt;=$H$49),($B$49+IF($I$49="Y",$K$49,0))*$D$49/52*(1+$B$56),0)</f>
        <v/>
      </c>
      <c r="AQ312" s="40">
        <f>IF(AND(39&gt;=$G$49,39&lt;=$H$49),($B$49+IF($I$49="Y",$K$49,0))*$D$49/52*(1+$B$56),0)</f>
        <v/>
      </c>
      <c r="AR312" s="40">
        <f>IF(AND(40&gt;=$G$49,40&lt;=$H$49),($B$49+IF($I$49="Y",$K$49,0))*$D$49/52*(1+$B$56),0)</f>
        <v/>
      </c>
      <c r="AS312" s="40">
        <f>IF(AND(41&gt;=$G$49,41&lt;=$H$49),($B$49+IF($I$49="Y",$K$49,0))*$D$49/52*(1+$B$56),0)</f>
        <v/>
      </c>
      <c r="AT312" s="40">
        <f>IF(AND(42&gt;=$G$49,42&lt;=$H$49),($B$49+IF($I$49="Y",$K$49,0))*$D$49/52*(1+$B$56),0)</f>
        <v/>
      </c>
      <c r="AU312" s="40">
        <f>IF(AND(43&gt;=$G$49,43&lt;=$H$49),($B$49+IF($I$49="Y",$K$49,0))*$D$49/52*(1+$B$56),0)</f>
        <v/>
      </c>
      <c r="AV312" s="40">
        <f>IF(AND(44&gt;=$G$49,44&lt;=$H$49),($B$49+IF($I$49="Y",$K$49,0))*$D$49/52*(1+$B$56),0)</f>
        <v/>
      </c>
      <c r="AW312" s="40">
        <f>IF(AND(45&gt;=$G$49,45&lt;=$H$49),($B$49+IF($I$49="Y",$K$49,0))*$D$49/52*(1+$B$56),0)</f>
        <v/>
      </c>
      <c r="AX312" s="40">
        <f>IF(AND(46&gt;=$G$49,46&lt;=$H$49),($B$49+IF($I$49="Y",$K$49,0))*$D$49/52*(1+$B$56),0)</f>
        <v/>
      </c>
      <c r="AY312" s="40">
        <f>IF(AND(47&gt;=$G$49,47&lt;=$H$49),($B$49+IF($I$49="Y",$K$49,0))*$D$49/52*(1+$B$56),0)</f>
        <v/>
      </c>
      <c r="AZ312" s="40">
        <f>IF(AND(48&gt;=$G$49,48&lt;=$H$49),($B$49+IF($I$49="Y",$K$49,0))*$D$49/52*(1+$B$56),0)</f>
        <v/>
      </c>
      <c r="BA312" s="40">
        <f>IF(AND(49&gt;=$G$49,49&lt;=$H$49),($B$49+IF($I$49="Y",$K$49,0))*$D$49/52*(1+$B$56),0)</f>
        <v/>
      </c>
      <c r="BB312" s="40">
        <f>IF(AND(50&gt;=$G$49,50&lt;=$H$49),($B$49+IF($I$49="Y",$K$49,0))*$D$49/52*(1+$B$56),0)</f>
        <v/>
      </c>
      <c r="BC312" s="40">
        <f>IF(AND(51&gt;=$G$49,51&lt;=$H$49),($B$49+IF($I$49="Y",$K$49,0))*$D$49/52*(1+$B$56),0)</f>
        <v/>
      </c>
      <c r="BD312" s="40">
        <f>IF(AND(52&gt;=$G$49,52&lt;=$H$49),($B$49+IF($I$49="Y",$K$49,0))*$D$49/52*(1+$B$56),0)</f>
        <v/>
      </c>
    </row>
    <row r="313">
      <c r="A313" s="33" t="inlineStr">
        <is>
          <t xml:space="preserve">   Equipment Operator</t>
        </is>
      </c>
      <c r="B313" s="2" t="inlineStr">
        <is>
          <t>$</t>
        </is>
      </c>
      <c r="E313" s="40">
        <f>IF(AND(1&gt;=$G$50,1&lt;=$H$50),($B$50+IF($I$50="Y",$K$50,0))*$D$50*$E$50*(1+$B$56),0)</f>
        <v/>
      </c>
      <c r="F313" s="40">
        <f>IF(AND(2&gt;=$G$50,2&lt;=$H$50),($B$50+IF($I$50="Y",$K$50,0))*$D$50*$E$50*(1+$B$56),0)</f>
        <v/>
      </c>
      <c r="G313" s="40">
        <f>IF(AND(3&gt;=$G$50,3&lt;=$H$50),($B$50+IF($I$50="Y",$K$50,0))*$D$50*$E$50*(1+$B$56),0)</f>
        <v/>
      </c>
      <c r="H313" s="40">
        <f>IF(AND(4&gt;=$G$50,4&lt;=$H$50),($B$50+IF($I$50="Y",$K$50,0))*$D$50*$E$50*(1+$B$56),0)</f>
        <v/>
      </c>
      <c r="I313" s="40">
        <f>IF(AND(5&gt;=$G$50,5&lt;=$H$50),($B$50+IF($I$50="Y",$K$50,0))*$D$50*$E$50*(1+$B$56),0)</f>
        <v/>
      </c>
      <c r="J313" s="40">
        <f>IF(AND(6&gt;=$G$50,6&lt;=$H$50),($B$50+IF($I$50="Y",$K$50,0))*$D$50*$E$50*(1+$B$56),0)</f>
        <v/>
      </c>
      <c r="K313" s="40">
        <f>IF(AND(7&gt;=$G$50,7&lt;=$H$50),($B$50+IF($I$50="Y",$K$50,0))*$D$50*$E$50*(1+$B$56),0)</f>
        <v/>
      </c>
      <c r="L313" s="40">
        <f>IF(AND(8&gt;=$G$50,8&lt;=$H$50),($B$50+IF($I$50="Y",$K$50,0))*$D$50*$E$50*(1+$B$56),0)</f>
        <v/>
      </c>
      <c r="M313" s="40">
        <f>IF(AND(9&gt;=$G$50,9&lt;=$H$50),($B$50+IF($I$50="Y",$K$50,0))*$D$50*$E$50*(1+$B$56),0)</f>
        <v/>
      </c>
      <c r="N313" s="40">
        <f>IF(AND(10&gt;=$G$50,10&lt;=$H$50),($B$50+IF($I$50="Y",$K$50,0))*$D$50*$E$50*(1+$B$56),0)</f>
        <v/>
      </c>
      <c r="O313" s="40">
        <f>IF(AND(11&gt;=$G$50,11&lt;=$H$50),($B$50+IF($I$50="Y",$K$50,0))*$D$50*$E$50*(1+$B$56),0)</f>
        <v/>
      </c>
      <c r="P313" s="40">
        <f>IF(AND(12&gt;=$G$50,12&lt;=$H$50),($B$50+IF($I$50="Y",$K$50,0))*$D$50*$E$50*(1+$B$56),0)</f>
        <v/>
      </c>
      <c r="Q313" s="40">
        <f>IF(AND(13&gt;=$G$50,13&lt;=$H$50),($B$50+IF($I$50="Y",$K$50,0))*$D$50*$E$50*(1+$B$56),0)</f>
        <v/>
      </c>
      <c r="R313" s="40">
        <f>IF(AND(14&gt;=$G$50,14&lt;=$H$50),($B$50+IF($I$50="Y",$K$50,0))*$D$50*$E$50*(1+$B$56),0)</f>
        <v/>
      </c>
      <c r="S313" s="40">
        <f>IF(AND(15&gt;=$G$50,15&lt;=$H$50),($B$50+IF($I$50="Y",$K$50,0))*$D$50*$E$50*(1+$B$56),0)</f>
        <v/>
      </c>
      <c r="T313" s="40">
        <f>IF(AND(16&gt;=$G$50,16&lt;=$H$50),($B$50+IF($I$50="Y",$K$50,0))*$D$50*$E$50*(1+$B$56),0)</f>
        <v/>
      </c>
      <c r="U313" s="40">
        <f>IF(AND(17&gt;=$G$50,17&lt;=$H$50),($B$50+IF($I$50="Y",$K$50,0))*$D$50*$E$50*(1+$B$56),0)</f>
        <v/>
      </c>
      <c r="V313" s="40">
        <f>IF(AND(18&gt;=$G$50,18&lt;=$H$50),($B$50+IF($I$50="Y",$K$50,0))*$D$50*$E$50*(1+$B$56),0)</f>
        <v/>
      </c>
      <c r="W313" s="40">
        <f>IF(AND(19&gt;=$G$50,19&lt;=$H$50),($B$50+IF($I$50="Y",$K$50,0))*$D$50*$E$50*(1+$B$56),0)</f>
        <v/>
      </c>
      <c r="X313" s="40">
        <f>IF(AND(20&gt;=$G$50,20&lt;=$H$50),($B$50+IF($I$50="Y",$K$50,0))*$D$50*$E$50*(1+$B$56),0)</f>
        <v/>
      </c>
      <c r="Y313" s="40">
        <f>IF(AND(21&gt;=$G$50,21&lt;=$H$50),($B$50+IF($I$50="Y",$K$50,0))*$D$50*$E$50*(1+$B$56),0)</f>
        <v/>
      </c>
      <c r="Z313" s="40">
        <f>IF(AND(22&gt;=$G$50,22&lt;=$H$50),($B$50+IF($I$50="Y",$K$50,0))*$D$50*$E$50*(1+$B$56),0)</f>
        <v/>
      </c>
      <c r="AA313" s="40">
        <f>IF(AND(23&gt;=$G$50,23&lt;=$H$50),($B$50+IF($I$50="Y",$K$50,0))*$D$50*$E$50*(1+$B$56),0)</f>
        <v/>
      </c>
      <c r="AB313" s="40">
        <f>IF(AND(24&gt;=$G$50,24&lt;=$H$50),($B$50+IF($I$50="Y",$K$50,0))*$D$50*$E$50*(1+$B$56),0)</f>
        <v/>
      </c>
      <c r="AC313" s="40">
        <f>IF(AND(25&gt;=$G$50,25&lt;=$H$50),($B$50+IF($I$50="Y",$K$50,0))*$D$50*$E$50*(1+$B$56),0)</f>
        <v/>
      </c>
      <c r="AD313" s="40">
        <f>IF(AND(26&gt;=$G$50,26&lt;=$H$50),($B$50+IF($I$50="Y",$K$50,0))*$D$50*$E$50*(1+$B$56),0)</f>
        <v/>
      </c>
      <c r="AE313" s="40">
        <f>IF(AND(27&gt;=$G$50,27&lt;=$H$50),($B$50+IF($I$50="Y",$K$50,0))*$D$50*$E$50*(1+$B$56),0)</f>
        <v/>
      </c>
      <c r="AF313" s="40">
        <f>IF(AND(28&gt;=$G$50,28&lt;=$H$50),($B$50+IF($I$50="Y",$K$50,0))*$D$50*$E$50*(1+$B$56),0)</f>
        <v/>
      </c>
      <c r="AG313" s="40">
        <f>IF(AND(29&gt;=$G$50,29&lt;=$H$50),($B$50+IF($I$50="Y",$K$50,0))*$D$50*$E$50*(1+$B$56),0)</f>
        <v/>
      </c>
      <c r="AH313" s="40">
        <f>IF(AND(30&gt;=$G$50,30&lt;=$H$50),($B$50+IF($I$50="Y",$K$50,0))*$D$50*$E$50*(1+$B$56),0)</f>
        <v/>
      </c>
      <c r="AI313" s="40">
        <f>IF(AND(31&gt;=$G$50,31&lt;=$H$50),($B$50+IF($I$50="Y",$K$50,0))*$D$50*$E$50*(1+$B$56),0)</f>
        <v/>
      </c>
      <c r="AJ313" s="40">
        <f>IF(AND(32&gt;=$G$50,32&lt;=$H$50),($B$50+IF($I$50="Y",$K$50,0))*$D$50*$E$50*(1+$B$56),0)</f>
        <v/>
      </c>
      <c r="AK313" s="40">
        <f>IF(AND(33&gt;=$G$50,33&lt;=$H$50),($B$50+IF($I$50="Y",$K$50,0))*$D$50*$E$50*(1+$B$56),0)</f>
        <v/>
      </c>
      <c r="AL313" s="40">
        <f>IF(AND(34&gt;=$G$50,34&lt;=$H$50),($B$50+IF($I$50="Y",$K$50,0))*$D$50*$E$50*(1+$B$56),0)</f>
        <v/>
      </c>
      <c r="AM313" s="40">
        <f>IF(AND(35&gt;=$G$50,35&lt;=$H$50),($B$50+IF($I$50="Y",$K$50,0))*$D$50*$E$50*(1+$B$56),0)</f>
        <v/>
      </c>
      <c r="AN313" s="40">
        <f>IF(AND(36&gt;=$G$50,36&lt;=$H$50),($B$50+IF($I$50="Y",$K$50,0))*$D$50*$E$50*(1+$B$56),0)</f>
        <v/>
      </c>
      <c r="AO313" s="40">
        <f>IF(AND(37&gt;=$G$50,37&lt;=$H$50),($B$50+IF($I$50="Y",$K$50,0))*$D$50*$E$50*(1+$B$56),0)</f>
        <v/>
      </c>
      <c r="AP313" s="40">
        <f>IF(AND(38&gt;=$G$50,38&lt;=$H$50),($B$50+IF($I$50="Y",$K$50,0))*$D$50*$E$50*(1+$B$56),0)</f>
        <v/>
      </c>
      <c r="AQ313" s="40">
        <f>IF(AND(39&gt;=$G$50,39&lt;=$H$50),($B$50+IF($I$50="Y",$K$50,0))*$D$50*$E$50*(1+$B$56),0)</f>
        <v/>
      </c>
      <c r="AR313" s="40">
        <f>IF(AND(40&gt;=$G$50,40&lt;=$H$50),($B$50+IF($I$50="Y",$K$50,0))*$D$50*$E$50*(1+$B$56),0)</f>
        <v/>
      </c>
      <c r="AS313" s="40">
        <f>IF(AND(41&gt;=$G$50,41&lt;=$H$50),($B$50+IF($I$50="Y",$K$50,0))*$D$50*$E$50*(1+$B$56),0)</f>
        <v/>
      </c>
      <c r="AT313" s="40">
        <f>IF(AND(42&gt;=$G$50,42&lt;=$H$50),($B$50+IF($I$50="Y",$K$50,0))*$D$50*$E$50*(1+$B$56),0)</f>
        <v/>
      </c>
      <c r="AU313" s="40">
        <f>IF(AND(43&gt;=$G$50,43&lt;=$H$50),($B$50+IF($I$50="Y",$K$50,0))*$D$50*$E$50*(1+$B$56),0)</f>
        <v/>
      </c>
      <c r="AV313" s="40">
        <f>IF(AND(44&gt;=$G$50,44&lt;=$H$50),($B$50+IF($I$50="Y",$K$50,0))*$D$50*$E$50*(1+$B$56),0)</f>
        <v/>
      </c>
      <c r="AW313" s="40">
        <f>IF(AND(45&gt;=$G$50,45&lt;=$H$50),($B$50+IF($I$50="Y",$K$50,0))*$D$50*$E$50*(1+$B$56),0)</f>
        <v/>
      </c>
      <c r="AX313" s="40">
        <f>IF(AND(46&gt;=$G$50,46&lt;=$H$50),($B$50+IF($I$50="Y",$K$50,0))*$D$50*$E$50*(1+$B$56),0)</f>
        <v/>
      </c>
      <c r="AY313" s="40">
        <f>IF(AND(47&gt;=$G$50,47&lt;=$H$50),($B$50+IF($I$50="Y",$K$50,0))*$D$50*$E$50*(1+$B$56),0)</f>
        <v/>
      </c>
      <c r="AZ313" s="40">
        <f>IF(AND(48&gt;=$G$50,48&lt;=$H$50),($B$50+IF($I$50="Y",$K$50,0))*$D$50*$E$50*(1+$B$56),0)</f>
        <v/>
      </c>
      <c r="BA313" s="40">
        <f>IF(AND(49&gt;=$G$50,49&lt;=$H$50),($B$50+IF($I$50="Y",$K$50,0))*$D$50*$E$50*(1+$B$56),0)</f>
        <v/>
      </c>
      <c r="BB313" s="40">
        <f>IF(AND(50&gt;=$G$50,50&lt;=$H$50),($B$50+IF($I$50="Y",$K$50,0))*$D$50*$E$50*(1+$B$56),0)</f>
        <v/>
      </c>
      <c r="BC313" s="40">
        <f>IF(AND(51&gt;=$G$50,51&lt;=$H$50),($B$50+IF($I$50="Y",$K$50,0))*$D$50*$E$50*(1+$B$56),0)</f>
        <v/>
      </c>
      <c r="BD313" s="40">
        <f>IF(AND(52&gt;=$G$50,52&lt;=$H$50),($B$50+IF($I$50="Y",$K$50,0))*$D$50*$E$50*(1+$B$56),0)</f>
        <v/>
      </c>
    </row>
    <row r="314">
      <c r="A314" s="33" t="inlineStr">
        <is>
          <t xml:space="preserve">   Seasonal Field Crew</t>
        </is>
      </c>
      <c r="B314" s="2" t="inlineStr">
        <is>
          <t>$</t>
        </is>
      </c>
      <c r="E314" s="40">
        <f>IF(AND(1&gt;=$G$51,1&lt;=$H$51),($B$51+IF($I$51="Y",$K$51,0))*$D$51*$E$51*(1+$B$56),0)</f>
        <v/>
      </c>
      <c r="F314" s="40">
        <f>IF(AND(2&gt;=$G$51,2&lt;=$H$51),($B$51+IF($I$51="Y",$K$51,0))*$D$51*$E$51*(1+$B$56),0)</f>
        <v/>
      </c>
      <c r="G314" s="40">
        <f>IF(AND(3&gt;=$G$51,3&lt;=$H$51),($B$51+IF($I$51="Y",$K$51,0))*$D$51*$E$51*(1+$B$56),0)</f>
        <v/>
      </c>
      <c r="H314" s="40">
        <f>IF(AND(4&gt;=$G$51,4&lt;=$H$51),($B$51+IF($I$51="Y",$K$51,0))*$D$51*$E$51*(1+$B$56),0)</f>
        <v/>
      </c>
      <c r="I314" s="40">
        <f>IF(AND(5&gt;=$G$51,5&lt;=$H$51),($B$51+IF($I$51="Y",$K$51,0))*$D$51*$E$51*(1+$B$56),0)</f>
        <v/>
      </c>
      <c r="J314" s="40">
        <f>IF(AND(6&gt;=$G$51,6&lt;=$H$51),($B$51+IF($I$51="Y",$K$51,0))*$D$51*$E$51*(1+$B$56),0)</f>
        <v/>
      </c>
      <c r="K314" s="40">
        <f>IF(AND(7&gt;=$G$51,7&lt;=$H$51),($B$51+IF($I$51="Y",$K$51,0))*$D$51*$E$51*(1+$B$56),0)</f>
        <v/>
      </c>
      <c r="L314" s="40">
        <f>IF(AND(8&gt;=$G$51,8&lt;=$H$51),($B$51+IF($I$51="Y",$K$51,0))*$D$51*$E$51*(1+$B$56),0)</f>
        <v/>
      </c>
      <c r="M314" s="40">
        <f>IF(AND(9&gt;=$G$51,9&lt;=$H$51),($B$51+IF($I$51="Y",$K$51,0))*$D$51*$E$51*(1+$B$56),0)</f>
        <v/>
      </c>
      <c r="N314" s="40">
        <f>IF(AND(10&gt;=$G$51,10&lt;=$H$51),($B$51+IF($I$51="Y",$K$51,0))*$D$51*$E$51*(1+$B$56),0)</f>
        <v/>
      </c>
      <c r="O314" s="40">
        <f>IF(AND(11&gt;=$G$51,11&lt;=$H$51),($B$51+IF($I$51="Y",$K$51,0))*$D$51*$E$51*(1+$B$56),0)</f>
        <v/>
      </c>
      <c r="P314" s="40">
        <f>IF(AND(12&gt;=$G$51,12&lt;=$H$51),($B$51+IF($I$51="Y",$K$51,0))*$D$51*$E$51*(1+$B$56),0)</f>
        <v/>
      </c>
      <c r="Q314" s="40">
        <f>IF(AND(13&gt;=$G$51,13&lt;=$H$51),($B$51+IF($I$51="Y",$K$51,0))*$D$51*$E$51*(1+$B$56),0)</f>
        <v/>
      </c>
      <c r="R314" s="40">
        <f>IF(AND(14&gt;=$G$51,14&lt;=$H$51),($B$51+IF($I$51="Y",$K$51,0))*$D$51*$E$51*(1+$B$56),0)</f>
        <v/>
      </c>
      <c r="S314" s="40">
        <f>IF(AND(15&gt;=$G$51,15&lt;=$H$51),($B$51+IF($I$51="Y",$K$51,0))*$D$51*$E$51*(1+$B$56),0)</f>
        <v/>
      </c>
      <c r="T314" s="40">
        <f>IF(AND(16&gt;=$G$51,16&lt;=$H$51),($B$51+IF($I$51="Y",$K$51,0))*$D$51*$E$51*(1+$B$56),0)</f>
        <v/>
      </c>
      <c r="U314" s="40">
        <f>IF(AND(17&gt;=$G$51,17&lt;=$H$51),($B$51+IF($I$51="Y",$K$51,0))*$D$51*$E$51*(1+$B$56),0)</f>
        <v/>
      </c>
      <c r="V314" s="40">
        <f>IF(AND(18&gt;=$G$51,18&lt;=$H$51),($B$51+IF($I$51="Y",$K$51,0))*$D$51*$E$51*(1+$B$56),0)</f>
        <v/>
      </c>
      <c r="W314" s="40">
        <f>IF(AND(19&gt;=$G$51,19&lt;=$H$51),($B$51+IF($I$51="Y",$K$51,0))*$D$51*$E$51*(1+$B$56),0)</f>
        <v/>
      </c>
      <c r="X314" s="40">
        <f>IF(AND(20&gt;=$G$51,20&lt;=$H$51),($B$51+IF($I$51="Y",$K$51,0))*$D$51*$E$51*(1+$B$56),0)</f>
        <v/>
      </c>
      <c r="Y314" s="40">
        <f>IF(AND(21&gt;=$G$51,21&lt;=$H$51),($B$51+IF($I$51="Y",$K$51,0))*$D$51*$E$51*(1+$B$56),0)</f>
        <v/>
      </c>
      <c r="Z314" s="40">
        <f>IF(AND(22&gt;=$G$51,22&lt;=$H$51),($B$51+IF($I$51="Y",$K$51,0))*$D$51*$E$51*(1+$B$56),0)</f>
        <v/>
      </c>
      <c r="AA314" s="40">
        <f>IF(AND(23&gt;=$G$51,23&lt;=$H$51),($B$51+IF($I$51="Y",$K$51,0))*$D$51*$E$51*(1+$B$56),0)</f>
        <v/>
      </c>
      <c r="AB314" s="40">
        <f>IF(AND(24&gt;=$G$51,24&lt;=$H$51),($B$51+IF($I$51="Y",$K$51,0))*$D$51*$E$51*(1+$B$56),0)</f>
        <v/>
      </c>
      <c r="AC314" s="40">
        <f>IF(AND(25&gt;=$G$51,25&lt;=$H$51),($B$51+IF($I$51="Y",$K$51,0))*$D$51*$E$51*(1+$B$56),0)</f>
        <v/>
      </c>
      <c r="AD314" s="40">
        <f>IF(AND(26&gt;=$G$51,26&lt;=$H$51),($B$51+IF($I$51="Y",$K$51,0))*$D$51*$E$51*(1+$B$56),0)</f>
        <v/>
      </c>
      <c r="AE314" s="40">
        <f>IF(AND(27&gt;=$G$51,27&lt;=$H$51),($B$51+IF($I$51="Y",$K$51,0))*$D$51*$E$51*(1+$B$56),0)</f>
        <v/>
      </c>
      <c r="AF314" s="40">
        <f>IF(AND(28&gt;=$G$51,28&lt;=$H$51),($B$51+IF($I$51="Y",$K$51,0))*$D$51*$E$51*(1+$B$56),0)</f>
        <v/>
      </c>
      <c r="AG314" s="40">
        <f>IF(AND(29&gt;=$G$51,29&lt;=$H$51),($B$51+IF($I$51="Y",$K$51,0))*$D$51*$E$51*(1+$B$56),0)</f>
        <v/>
      </c>
      <c r="AH314" s="40">
        <f>IF(AND(30&gt;=$G$51,30&lt;=$H$51),($B$51+IF($I$51="Y",$K$51,0))*$D$51*$E$51*(1+$B$56),0)</f>
        <v/>
      </c>
      <c r="AI314" s="40">
        <f>IF(AND(31&gt;=$G$51,31&lt;=$H$51),($B$51+IF($I$51="Y",$K$51,0))*$D$51*$E$51*(1+$B$56),0)</f>
        <v/>
      </c>
      <c r="AJ314" s="40">
        <f>IF(AND(32&gt;=$G$51,32&lt;=$H$51),($B$51+IF($I$51="Y",$K$51,0))*$D$51*$E$51*(1+$B$56),0)</f>
        <v/>
      </c>
      <c r="AK314" s="40">
        <f>IF(AND(33&gt;=$G$51,33&lt;=$H$51),($B$51+IF($I$51="Y",$K$51,0))*$D$51*$E$51*(1+$B$56),0)</f>
        <v/>
      </c>
      <c r="AL314" s="40">
        <f>IF(AND(34&gt;=$G$51,34&lt;=$H$51),($B$51+IF($I$51="Y",$K$51,0))*$D$51*$E$51*(1+$B$56),0)</f>
        <v/>
      </c>
      <c r="AM314" s="40">
        <f>IF(AND(35&gt;=$G$51,35&lt;=$H$51),($B$51+IF($I$51="Y",$K$51,0))*$D$51*$E$51*(1+$B$56),0)</f>
        <v/>
      </c>
      <c r="AN314" s="40">
        <f>IF(AND(36&gt;=$G$51,36&lt;=$H$51),($B$51+IF($I$51="Y",$K$51,0))*$D$51*$E$51*(1+$B$56),0)</f>
        <v/>
      </c>
      <c r="AO314" s="40">
        <f>IF(AND(37&gt;=$G$51,37&lt;=$H$51),($B$51+IF($I$51="Y",$K$51,0))*$D$51*$E$51*(1+$B$56),0)</f>
        <v/>
      </c>
      <c r="AP314" s="40">
        <f>IF(AND(38&gt;=$G$51,38&lt;=$H$51),($B$51+IF($I$51="Y",$K$51,0))*$D$51*$E$51*(1+$B$56),0)</f>
        <v/>
      </c>
      <c r="AQ314" s="40">
        <f>IF(AND(39&gt;=$G$51,39&lt;=$H$51),($B$51+IF($I$51="Y",$K$51,0))*$D$51*$E$51*(1+$B$56),0)</f>
        <v/>
      </c>
      <c r="AR314" s="40">
        <f>IF(AND(40&gt;=$G$51,40&lt;=$H$51),($B$51+IF($I$51="Y",$K$51,0))*$D$51*$E$51*(1+$B$56),0)</f>
        <v/>
      </c>
      <c r="AS314" s="40">
        <f>IF(AND(41&gt;=$G$51,41&lt;=$H$51),($B$51+IF($I$51="Y",$K$51,0))*$D$51*$E$51*(1+$B$56),0)</f>
        <v/>
      </c>
      <c r="AT314" s="40">
        <f>IF(AND(42&gt;=$G$51,42&lt;=$H$51),($B$51+IF($I$51="Y",$K$51,0))*$D$51*$E$51*(1+$B$56),0)</f>
        <v/>
      </c>
      <c r="AU314" s="40">
        <f>IF(AND(43&gt;=$G$51,43&lt;=$H$51),($B$51+IF($I$51="Y",$K$51,0))*$D$51*$E$51*(1+$B$56),0)</f>
        <v/>
      </c>
      <c r="AV314" s="40">
        <f>IF(AND(44&gt;=$G$51,44&lt;=$H$51),($B$51+IF($I$51="Y",$K$51,0))*$D$51*$E$51*(1+$B$56),0)</f>
        <v/>
      </c>
      <c r="AW314" s="40">
        <f>IF(AND(45&gt;=$G$51,45&lt;=$H$51),($B$51+IF($I$51="Y",$K$51,0))*$D$51*$E$51*(1+$B$56),0)</f>
        <v/>
      </c>
      <c r="AX314" s="40">
        <f>IF(AND(46&gt;=$G$51,46&lt;=$H$51),($B$51+IF($I$51="Y",$K$51,0))*$D$51*$E$51*(1+$B$56),0)</f>
        <v/>
      </c>
      <c r="AY314" s="40">
        <f>IF(AND(47&gt;=$G$51,47&lt;=$H$51),($B$51+IF($I$51="Y",$K$51,0))*$D$51*$E$51*(1+$B$56),0)</f>
        <v/>
      </c>
      <c r="AZ314" s="40">
        <f>IF(AND(48&gt;=$G$51,48&lt;=$H$51),($B$51+IF($I$51="Y",$K$51,0))*$D$51*$E$51*(1+$B$56),0)</f>
        <v/>
      </c>
      <c r="BA314" s="40">
        <f>IF(AND(49&gt;=$G$51,49&lt;=$H$51),($B$51+IF($I$51="Y",$K$51,0))*$D$51*$E$51*(1+$B$56),0)</f>
        <v/>
      </c>
      <c r="BB314" s="40">
        <f>IF(AND(50&gt;=$G$51,50&lt;=$H$51),($B$51+IF($I$51="Y",$K$51,0))*$D$51*$E$51*(1+$B$56),0)</f>
        <v/>
      </c>
      <c r="BC314" s="40">
        <f>IF(AND(51&gt;=$G$51,51&lt;=$H$51),($B$51+IF($I$51="Y",$K$51,0))*$D$51*$E$51*(1+$B$56),0)</f>
        <v/>
      </c>
      <c r="BD314" s="40">
        <f>IF(AND(52&gt;=$G$51,52&lt;=$H$51),($B$51+IF($I$51="Y",$K$51,0))*$D$51*$E$51*(1+$B$56),0)</f>
        <v/>
      </c>
    </row>
    <row r="315">
      <c r="A315" s="33" t="inlineStr">
        <is>
          <t xml:space="preserve">   Harvest Crew</t>
        </is>
      </c>
      <c r="B315" s="2" t="inlineStr">
        <is>
          <t>$</t>
        </is>
      </c>
      <c r="E315" s="40">
        <f>IF(AND(1&gt;=$G$52,1&lt;=$H$52),($B$52+IF($I$52="Y",$K$52,0))*$D$52*$E$52*(1+$B$56),0)</f>
        <v/>
      </c>
      <c r="F315" s="40">
        <f>IF(AND(2&gt;=$G$52,2&lt;=$H$52),($B$52+IF($I$52="Y",$K$52,0))*$D$52*$E$52*(1+$B$56),0)</f>
        <v/>
      </c>
      <c r="G315" s="40">
        <f>IF(AND(3&gt;=$G$52,3&lt;=$H$52),($B$52+IF($I$52="Y",$K$52,0))*$D$52*$E$52*(1+$B$56),0)</f>
        <v/>
      </c>
      <c r="H315" s="40">
        <f>IF(AND(4&gt;=$G$52,4&lt;=$H$52),($B$52+IF($I$52="Y",$K$52,0))*$D$52*$E$52*(1+$B$56),0)</f>
        <v/>
      </c>
      <c r="I315" s="40">
        <f>IF(AND(5&gt;=$G$52,5&lt;=$H$52),($B$52+IF($I$52="Y",$K$52,0))*$D$52*$E$52*(1+$B$56),0)</f>
        <v/>
      </c>
      <c r="J315" s="40">
        <f>IF(AND(6&gt;=$G$52,6&lt;=$H$52),($B$52+IF($I$52="Y",$K$52,0))*$D$52*$E$52*(1+$B$56),0)</f>
        <v/>
      </c>
      <c r="K315" s="40">
        <f>IF(AND(7&gt;=$G$52,7&lt;=$H$52),($B$52+IF($I$52="Y",$K$52,0))*$D$52*$E$52*(1+$B$56),0)</f>
        <v/>
      </c>
      <c r="L315" s="40">
        <f>IF(AND(8&gt;=$G$52,8&lt;=$H$52),($B$52+IF($I$52="Y",$K$52,0))*$D$52*$E$52*(1+$B$56),0)</f>
        <v/>
      </c>
      <c r="M315" s="40">
        <f>IF(AND(9&gt;=$G$52,9&lt;=$H$52),($B$52+IF($I$52="Y",$K$52,0))*$D$52*$E$52*(1+$B$56),0)</f>
        <v/>
      </c>
      <c r="N315" s="40">
        <f>IF(AND(10&gt;=$G$52,10&lt;=$H$52),($B$52+IF($I$52="Y",$K$52,0))*$D$52*$E$52*(1+$B$56),0)</f>
        <v/>
      </c>
      <c r="O315" s="40">
        <f>IF(AND(11&gt;=$G$52,11&lt;=$H$52),($B$52+IF($I$52="Y",$K$52,0))*$D$52*$E$52*(1+$B$56),0)</f>
        <v/>
      </c>
      <c r="P315" s="40">
        <f>IF(AND(12&gt;=$G$52,12&lt;=$H$52),($B$52+IF($I$52="Y",$K$52,0))*$D$52*$E$52*(1+$B$56),0)</f>
        <v/>
      </c>
      <c r="Q315" s="40">
        <f>IF(AND(13&gt;=$G$52,13&lt;=$H$52),($B$52+IF($I$52="Y",$K$52,0))*$D$52*$E$52*(1+$B$56),0)</f>
        <v/>
      </c>
      <c r="R315" s="40">
        <f>IF(AND(14&gt;=$G$52,14&lt;=$H$52),($B$52+IF($I$52="Y",$K$52,0))*$D$52*$E$52*(1+$B$56),0)</f>
        <v/>
      </c>
      <c r="S315" s="40">
        <f>IF(AND(15&gt;=$G$52,15&lt;=$H$52),($B$52+IF($I$52="Y",$K$52,0))*$D$52*$E$52*(1+$B$56),0)</f>
        <v/>
      </c>
      <c r="T315" s="40">
        <f>IF(AND(16&gt;=$G$52,16&lt;=$H$52),($B$52+IF($I$52="Y",$K$52,0))*$D$52*$E$52*(1+$B$56),0)</f>
        <v/>
      </c>
      <c r="U315" s="40">
        <f>IF(AND(17&gt;=$G$52,17&lt;=$H$52),($B$52+IF($I$52="Y",$K$52,0))*$D$52*$E$52*(1+$B$56),0)</f>
        <v/>
      </c>
      <c r="V315" s="40">
        <f>IF(AND(18&gt;=$G$52,18&lt;=$H$52),($B$52+IF($I$52="Y",$K$52,0))*$D$52*$E$52*(1+$B$56),0)</f>
        <v/>
      </c>
      <c r="W315" s="40">
        <f>IF(AND(19&gt;=$G$52,19&lt;=$H$52),($B$52+IF($I$52="Y",$K$52,0))*$D$52*$E$52*(1+$B$56),0)</f>
        <v/>
      </c>
      <c r="X315" s="40">
        <f>IF(AND(20&gt;=$G$52,20&lt;=$H$52),($B$52+IF($I$52="Y",$K$52,0))*$D$52*$E$52*(1+$B$56),0)</f>
        <v/>
      </c>
      <c r="Y315" s="40">
        <f>IF(AND(21&gt;=$G$52,21&lt;=$H$52),($B$52+IF($I$52="Y",$K$52,0))*$D$52*$E$52*(1+$B$56),0)</f>
        <v/>
      </c>
      <c r="Z315" s="40">
        <f>IF(AND(22&gt;=$G$52,22&lt;=$H$52),($B$52+IF($I$52="Y",$K$52,0))*$D$52*$E$52*(1+$B$56),0)</f>
        <v/>
      </c>
      <c r="AA315" s="40">
        <f>IF(AND(23&gt;=$G$52,23&lt;=$H$52),($B$52+IF($I$52="Y",$K$52,0))*$D$52*$E$52*(1+$B$56),0)</f>
        <v/>
      </c>
      <c r="AB315" s="40">
        <f>IF(AND(24&gt;=$G$52,24&lt;=$H$52),($B$52+IF($I$52="Y",$K$52,0))*$D$52*$E$52*(1+$B$56),0)</f>
        <v/>
      </c>
      <c r="AC315" s="40">
        <f>IF(AND(25&gt;=$G$52,25&lt;=$H$52),($B$52+IF($I$52="Y",$K$52,0))*$D$52*$E$52*(1+$B$56),0)</f>
        <v/>
      </c>
      <c r="AD315" s="40">
        <f>IF(AND(26&gt;=$G$52,26&lt;=$H$52),($B$52+IF($I$52="Y",$K$52,0))*$D$52*$E$52*(1+$B$56),0)</f>
        <v/>
      </c>
      <c r="AE315" s="40">
        <f>IF(AND(27&gt;=$G$52,27&lt;=$H$52),($B$52+IF($I$52="Y",$K$52,0))*$D$52*$E$52*(1+$B$56),0)</f>
        <v/>
      </c>
      <c r="AF315" s="40">
        <f>IF(AND(28&gt;=$G$52,28&lt;=$H$52),($B$52+IF($I$52="Y",$K$52,0))*$D$52*$E$52*(1+$B$56),0)</f>
        <v/>
      </c>
      <c r="AG315" s="40">
        <f>IF(AND(29&gt;=$G$52,29&lt;=$H$52),($B$52+IF($I$52="Y",$K$52,0))*$D$52*$E$52*(1+$B$56),0)</f>
        <v/>
      </c>
      <c r="AH315" s="40">
        <f>IF(AND(30&gt;=$G$52,30&lt;=$H$52),($B$52+IF($I$52="Y",$K$52,0))*$D$52*$E$52*(1+$B$56),0)</f>
        <v/>
      </c>
      <c r="AI315" s="40">
        <f>IF(AND(31&gt;=$G$52,31&lt;=$H$52),($B$52+IF($I$52="Y",$K$52,0))*$D$52*$E$52*(1+$B$56),0)</f>
        <v/>
      </c>
      <c r="AJ315" s="40">
        <f>IF(AND(32&gt;=$G$52,32&lt;=$H$52),($B$52+IF($I$52="Y",$K$52,0))*$D$52*$E$52*(1+$B$56),0)</f>
        <v/>
      </c>
      <c r="AK315" s="40">
        <f>IF(AND(33&gt;=$G$52,33&lt;=$H$52),($B$52+IF($I$52="Y",$K$52,0))*$D$52*$E$52*(1+$B$56),0)</f>
        <v/>
      </c>
      <c r="AL315" s="40">
        <f>IF(AND(34&gt;=$G$52,34&lt;=$H$52),($B$52+IF($I$52="Y",$K$52,0))*$D$52*$E$52*(1+$B$56),0)</f>
        <v/>
      </c>
      <c r="AM315" s="40">
        <f>IF(AND(35&gt;=$G$52,35&lt;=$H$52),($B$52+IF($I$52="Y",$K$52,0))*$D$52*$E$52*(1+$B$56),0)</f>
        <v/>
      </c>
      <c r="AN315" s="40">
        <f>IF(AND(36&gt;=$G$52,36&lt;=$H$52),($B$52+IF($I$52="Y",$K$52,0))*$D$52*$E$52*(1+$B$56),0)</f>
        <v/>
      </c>
      <c r="AO315" s="40">
        <f>IF(AND(37&gt;=$G$52,37&lt;=$H$52),($B$52+IF($I$52="Y",$K$52,0))*$D$52*$E$52*(1+$B$56),0)</f>
        <v/>
      </c>
      <c r="AP315" s="40">
        <f>IF(AND(38&gt;=$G$52,38&lt;=$H$52),($B$52+IF($I$52="Y",$K$52,0))*$D$52*$E$52*(1+$B$56),0)</f>
        <v/>
      </c>
      <c r="AQ315" s="40">
        <f>IF(AND(39&gt;=$G$52,39&lt;=$H$52),($B$52+IF($I$52="Y",$K$52,0))*$D$52*$E$52*(1+$B$56),0)</f>
        <v/>
      </c>
      <c r="AR315" s="40">
        <f>IF(AND(40&gt;=$G$52,40&lt;=$H$52),($B$52+IF($I$52="Y",$K$52,0))*$D$52*$E$52*(1+$B$56),0)</f>
        <v/>
      </c>
      <c r="AS315" s="40">
        <f>IF(AND(41&gt;=$G$52,41&lt;=$H$52),($B$52+IF($I$52="Y",$K$52,0))*$D$52*$E$52*(1+$B$56),0)</f>
        <v/>
      </c>
      <c r="AT315" s="40">
        <f>IF(AND(42&gt;=$G$52,42&lt;=$H$52),($B$52+IF($I$52="Y",$K$52,0))*$D$52*$E$52*(1+$B$56),0)</f>
        <v/>
      </c>
      <c r="AU315" s="40">
        <f>IF(AND(43&gt;=$G$52,43&lt;=$H$52),($B$52+IF($I$52="Y",$K$52,0))*$D$52*$E$52*(1+$B$56),0)</f>
        <v/>
      </c>
      <c r="AV315" s="40">
        <f>IF(AND(44&gt;=$G$52,44&lt;=$H$52),($B$52+IF($I$52="Y",$K$52,0))*$D$52*$E$52*(1+$B$56),0)</f>
        <v/>
      </c>
      <c r="AW315" s="40">
        <f>IF(AND(45&gt;=$G$52,45&lt;=$H$52),($B$52+IF($I$52="Y",$K$52,0))*$D$52*$E$52*(1+$B$56),0)</f>
        <v/>
      </c>
      <c r="AX315" s="40">
        <f>IF(AND(46&gt;=$G$52,46&lt;=$H$52),($B$52+IF($I$52="Y",$K$52,0))*$D$52*$E$52*(1+$B$56),0)</f>
        <v/>
      </c>
      <c r="AY315" s="40">
        <f>IF(AND(47&gt;=$G$52,47&lt;=$H$52),($B$52+IF($I$52="Y",$K$52,0))*$D$52*$E$52*(1+$B$56),0)</f>
        <v/>
      </c>
      <c r="AZ315" s="40">
        <f>IF(AND(48&gt;=$G$52,48&lt;=$H$52),($B$52+IF($I$52="Y",$K$52,0))*$D$52*$E$52*(1+$B$56),0)</f>
        <v/>
      </c>
      <c r="BA315" s="40">
        <f>IF(AND(49&gt;=$G$52,49&lt;=$H$52),($B$52+IF($I$52="Y",$K$52,0))*$D$52*$E$52*(1+$B$56),0)</f>
        <v/>
      </c>
      <c r="BB315" s="40">
        <f>IF(AND(50&gt;=$G$52,50&lt;=$H$52),($B$52+IF($I$52="Y",$K$52,0))*$D$52*$E$52*(1+$B$56),0)</f>
        <v/>
      </c>
      <c r="BC315" s="40">
        <f>IF(AND(51&gt;=$G$52,51&lt;=$H$52),($B$52+IF($I$52="Y",$K$52,0))*$D$52*$E$52*(1+$B$56),0)</f>
        <v/>
      </c>
      <c r="BD315" s="40">
        <f>IF(AND(52&gt;=$G$52,52&lt;=$H$52),($B$52+IF($I$52="Y",$K$52,0))*$D$52*$E$52*(1+$B$56),0)</f>
        <v/>
      </c>
    </row>
    <row r="316">
      <c r="A316" s="36" t="inlineStr">
        <is>
          <t>Week</t>
        </is>
      </c>
      <c r="B316" s="37" t="inlineStr">
        <is>
          <t>$</t>
        </is>
      </c>
      <c r="E316" s="38" t="n">
        <v>1</v>
      </c>
      <c r="F316" s="38" t="n">
        <v>2</v>
      </c>
      <c r="G316" s="38" t="n">
        <v>3</v>
      </c>
      <c r="H316" s="38" t="n">
        <v>4</v>
      </c>
      <c r="I316" s="38" t="n">
        <v>5</v>
      </c>
      <c r="J316" s="38" t="n">
        <v>6</v>
      </c>
      <c r="K316" s="38" t="n">
        <v>7</v>
      </c>
      <c r="L316" s="38" t="n">
        <v>8</v>
      </c>
      <c r="M316" s="38" t="n">
        <v>9</v>
      </c>
      <c r="N316" s="38" t="n">
        <v>10</v>
      </c>
      <c r="O316" s="38" t="n">
        <v>11</v>
      </c>
      <c r="P316" s="38" t="n">
        <v>12</v>
      </c>
      <c r="Q316" s="38" t="n">
        <v>13</v>
      </c>
      <c r="R316" s="38" t="n">
        <v>14</v>
      </c>
      <c r="S316" s="38" t="n">
        <v>15</v>
      </c>
      <c r="T316" s="38" t="n">
        <v>16</v>
      </c>
      <c r="U316" s="38" t="n">
        <v>17</v>
      </c>
      <c r="V316" s="38" t="n">
        <v>18</v>
      </c>
      <c r="W316" s="38" t="n">
        <v>19</v>
      </c>
      <c r="X316" s="38" t="n">
        <v>20</v>
      </c>
      <c r="Y316" s="38" t="n">
        <v>21</v>
      </c>
      <c r="Z316" s="38" t="n">
        <v>22</v>
      </c>
      <c r="AA316" s="38" t="n">
        <v>23</v>
      </c>
      <c r="AB316" s="38" t="n">
        <v>24</v>
      </c>
      <c r="AC316" s="38" t="n">
        <v>25</v>
      </c>
      <c r="AD316" s="38" t="n">
        <v>26</v>
      </c>
      <c r="AE316" s="38" t="n">
        <v>27</v>
      </c>
      <c r="AF316" s="38" t="n">
        <v>28</v>
      </c>
      <c r="AG316" s="38" t="n">
        <v>29</v>
      </c>
      <c r="AH316" s="38" t="n">
        <v>30</v>
      </c>
      <c r="AI316" s="38" t="n">
        <v>31</v>
      </c>
      <c r="AJ316" s="38" t="n">
        <v>32</v>
      </c>
      <c r="AK316" s="38" t="n">
        <v>33</v>
      </c>
      <c r="AL316" s="38" t="n">
        <v>34</v>
      </c>
      <c r="AM316" s="38" t="n">
        <v>35</v>
      </c>
      <c r="AN316" s="38" t="n">
        <v>36</v>
      </c>
      <c r="AO316" s="38" t="n">
        <v>37</v>
      </c>
      <c r="AP316" s="38" t="n">
        <v>38</v>
      </c>
      <c r="AQ316" s="38" t="n">
        <v>39</v>
      </c>
      <c r="AR316" s="38" t="n">
        <v>40</v>
      </c>
      <c r="AS316" s="38" t="n">
        <v>41</v>
      </c>
      <c r="AT316" s="38" t="n">
        <v>42</v>
      </c>
      <c r="AU316" s="38" t="n">
        <v>43</v>
      </c>
      <c r="AV316" s="38" t="n">
        <v>44</v>
      </c>
      <c r="AW316" s="38" t="n">
        <v>45</v>
      </c>
      <c r="AX316" s="38" t="n">
        <v>46</v>
      </c>
      <c r="AY316" s="38" t="n">
        <v>47</v>
      </c>
      <c r="AZ316" s="38" t="n">
        <v>48</v>
      </c>
      <c r="BA316" s="38" t="n">
        <v>49</v>
      </c>
      <c r="BB316" s="38" t="n">
        <v>50</v>
      </c>
      <c r="BC316" s="38" t="n">
        <v>51</v>
      </c>
      <c r="BD316" s="38" t="n">
        <v>52</v>
      </c>
    </row>
    <row r="317">
      <c r="A317" s="4" t="inlineStr">
        <is>
          <t>Wage bill this week</t>
        </is>
      </c>
      <c r="B317" s="2" t="inlineStr">
        <is>
          <t>$</t>
        </is>
      </c>
      <c r="E317" s="40">
        <f>E312+E313+E314+E315</f>
        <v/>
      </c>
      <c r="F317" s="40">
        <f>F312+F313+F314+F315</f>
        <v/>
      </c>
      <c r="G317" s="40">
        <f>G312+G313+G314+G315</f>
        <v/>
      </c>
      <c r="H317" s="40">
        <f>H312+H313+H314+H315</f>
        <v/>
      </c>
      <c r="I317" s="40">
        <f>I312+I313+I314+I315</f>
        <v/>
      </c>
      <c r="J317" s="40">
        <f>J312+J313+J314+J315</f>
        <v/>
      </c>
      <c r="K317" s="40">
        <f>K312+K313+K314+K315</f>
        <v/>
      </c>
      <c r="L317" s="40">
        <f>L312+L313+L314+L315</f>
        <v/>
      </c>
      <c r="M317" s="40">
        <f>M312+M313+M314+M315</f>
        <v/>
      </c>
      <c r="N317" s="40">
        <f>N312+N313+N314+N315</f>
        <v/>
      </c>
      <c r="O317" s="40">
        <f>O312+O313+O314+O315</f>
        <v/>
      </c>
      <c r="P317" s="40">
        <f>P312+P313+P314+P315</f>
        <v/>
      </c>
      <c r="Q317" s="40">
        <f>Q312+Q313+Q314+Q315</f>
        <v/>
      </c>
      <c r="R317" s="40">
        <f>R312+R313+R314+R315</f>
        <v/>
      </c>
      <c r="S317" s="40">
        <f>S312+S313+S314+S315</f>
        <v/>
      </c>
      <c r="T317" s="40">
        <f>T312+T313+T314+T315</f>
        <v/>
      </c>
      <c r="U317" s="40">
        <f>U312+U313+U314+U315</f>
        <v/>
      </c>
      <c r="V317" s="40">
        <f>V312+V313+V314+V315</f>
        <v/>
      </c>
      <c r="W317" s="40">
        <f>W312+W313+W314+W315</f>
        <v/>
      </c>
      <c r="X317" s="40">
        <f>X312+X313+X314+X315</f>
        <v/>
      </c>
      <c r="Y317" s="40">
        <f>Y312+Y313+Y314+Y315</f>
        <v/>
      </c>
      <c r="Z317" s="40">
        <f>Z312+Z313+Z314+Z315</f>
        <v/>
      </c>
      <c r="AA317" s="40">
        <f>AA312+AA313+AA314+AA315</f>
        <v/>
      </c>
      <c r="AB317" s="40">
        <f>AB312+AB313+AB314+AB315</f>
        <v/>
      </c>
      <c r="AC317" s="40">
        <f>AC312+AC313+AC314+AC315</f>
        <v/>
      </c>
      <c r="AD317" s="40">
        <f>AD312+AD313+AD314+AD315</f>
        <v/>
      </c>
      <c r="AE317" s="40">
        <f>AE312+AE313+AE314+AE315</f>
        <v/>
      </c>
      <c r="AF317" s="40">
        <f>AF312+AF313+AF314+AF315</f>
        <v/>
      </c>
      <c r="AG317" s="40">
        <f>AG312+AG313+AG314+AG315</f>
        <v/>
      </c>
      <c r="AH317" s="40">
        <f>AH312+AH313+AH314+AH315</f>
        <v/>
      </c>
      <c r="AI317" s="40">
        <f>AI312+AI313+AI314+AI315</f>
        <v/>
      </c>
      <c r="AJ317" s="40">
        <f>AJ312+AJ313+AJ314+AJ315</f>
        <v/>
      </c>
      <c r="AK317" s="40">
        <f>AK312+AK313+AK314+AK315</f>
        <v/>
      </c>
      <c r="AL317" s="40">
        <f>AL312+AL313+AL314+AL315</f>
        <v/>
      </c>
      <c r="AM317" s="40">
        <f>AM312+AM313+AM314+AM315</f>
        <v/>
      </c>
      <c r="AN317" s="40">
        <f>AN312+AN313+AN314+AN315</f>
        <v/>
      </c>
      <c r="AO317" s="40">
        <f>AO312+AO313+AO314+AO315</f>
        <v/>
      </c>
      <c r="AP317" s="40">
        <f>AP312+AP313+AP314+AP315</f>
        <v/>
      </c>
      <c r="AQ317" s="40">
        <f>AQ312+AQ313+AQ314+AQ315</f>
        <v/>
      </c>
      <c r="AR317" s="40">
        <f>AR312+AR313+AR314+AR315</f>
        <v/>
      </c>
      <c r="AS317" s="40">
        <f>AS312+AS313+AS314+AS315</f>
        <v/>
      </c>
      <c r="AT317" s="40">
        <f>AT312+AT313+AT314+AT315</f>
        <v/>
      </c>
      <c r="AU317" s="40">
        <f>AU312+AU313+AU314+AU315</f>
        <v/>
      </c>
      <c r="AV317" s="40">
        <f>AV312+AV313+AV314+AV315</f>
        <v/>
      </c>
      <c r="AW317" s="40">
        <f>AW312+AW313+AW314+AW315</f>
        <v/>
      </c>
      <c r="AX317" s="40">
        <f>AX312+AX313+AX314+AX315</f>
        <v/>
      </c>
      <c r="AY317" s="40">
        <f>AY312+AY313+AY314+AY315</f>
        <v/>
      </c>
      <c r="AZ317" s="40">
        <f>AZ312+AZ313+AZ314+AZ315</f>
        <v/>
      </c>
      <c r="BA317" s="40">
        <f>BA312+BA313+BA314+BA315</f>
        <v/>
      </c>
      <c r="BB317" s="40">
        <f>BB312+BB313+BB314+BB315</f>
        <v/>
      </c>
      <c r="BC317" s="40">
        <f>BC312+BC313+BC314+BC315</f>
        <v/>
      </c>
      <c r="BD317" s="40">
        <f>BD312+BD313+BD314+BD315</f>
        <v/>
      </c>
    </row>
    <row r="318">
      <c r="A318" s="2" t="inlineStr">
        <is>
          <t xml:space="preserve">   ⚠️ OWED WHETHER OR NOT THE CROPS NEED THEM (the app's W12) — which is why no crop carries a per-acre labour charge anywhere on this sheet.</t>
        </is>
      </c>
    </row>
    <row r="319">
      <c r="A319" s="33" t="inlineStr">
        <is>
          <t>New-head cost — ONCE, in the role's first week</t>
        </is>
      </c>
      <c r="B319" s="2" t="inlineStr">
        <is>
          <t>$</t>
        </is>
      </c>
      <c r="E319" s="40">
        <f>IF(AND(1=$G$49,$I$49="Y",$K$49&gt;0),$K$49*$B$63,0)+IF(AND(1=$G$50,$I$50="Y",$K$50&gt;0),$K$50*$B$63,0)+IF(AND(1=$G$51,$I$51="Y",$K$51&gt;0),$K$51*$B$63,0)+IF(AND(1=$G$52,$I$52="Y",$K$52&gt;0),$K$52*$B$63,0)</f>
        <v/>
      </c>
      <c r="F319" s="40">
        <f>IF(AND(2=$G$49,$I$49="Y",$K$49&gt;0),$K$49*$B$63,0)+IF(AND(2=$G$50,$I$50="Y",$K$50&gt;0),$K$50*$B$63,0)+IF(AND(2=$G$51,$I$51="Y",$K$51&gt;0),$K$51*$B$63,0)+IF(AND(2=$G$52,$I$52="Y",$K$52&gt;0),$K$52*$B$63,0)</f>
        <v/>
      </c>
      <c r="G319" s="40">
        <f>IF(AND(3=$G$49,$I$49="Y",$K$49&gt;0),$K$49*$B$63,0)+IF(AND(3=$G$50,$I$50="Y",$K$50&gt;0),$K$50*$B$63,0)+IF(AND(3=$G$51,$I$51="Y",$K$51&gt;0),$K$51*$B$63,0)+IF(AND(3=$G$52,$I$52="Y",$K$52&gt;0),$K$52*$B$63,0)</f>
        <v/>
      </c>
      <c r="H319" s="40">
        <f>IF(AND(4=$G$49,$I$49="Y",$K$49&gt;0),$K$49*$B$63,0)+IF(AND(4=$G$50,$I$50="Y",$K$50&gt;0),$K$50*$B$63,0)+IF(AND(4=$G$51,$I$51="Y",$K$51&gt;0),$K$51*$B$63,0)+IF(AND(4=$G$52,$I$52="Y",$K$52&gt;0),$K$52*$B$63,0)</f>
        <v/>
      </c>
      <c r="I319" s="40">
        <f>IF(AND(5=$G$49,$I$49="Y",$K$49&gt;0),$K$49*$B$63,0)+IF(AND(5=$G$50,$I$50="Y",$K$50&gt;0),$K$50*$B$63,0)+IF(AND(5=$G$51,$I$51="Y",$K$51&gt;0),$K$51*$B$63,0)+IF(AND(5=$G$52,$I$52="Y",$K$52&gt;0),$K$52*$B$63,0)</f>
        <v/>
      </c>
      <c r="J319" s="40">
        <f>IF(AND(6=$G$49,$I$49="Y",$K$49&gt;0),$K$49*$B$63,0)+IF(AND(6=$G$50,$I$50="Y",$K$50&gt;0),$K$50*$B$63,0)+IF(AND(6=$G$51,$I$51="Y",$K$51&gt;0),$K$51*$B$63,0)+IF(AND(6=$G$52,$I$52="Y",$K$52&gt;0),$K$52*$B$63,0)</f>
        <v/>
      </c>
      <c r="K319" s="40">
        <f>IF(AND(7=$G$49,$I$49="Y",$K$49&gt;0),$K$49*$B$63,0)+IF(AND(7=$G$50,$I$50="Y",$K$50&gt;0),$K$50*$B$63,0)+IF(AND(7=$G$51,$I$51="Y",$K$51&gt;0),$K$51*$B$63,0)+IF(AND(7=$G$52,$I$52="Y",$K$52&gt;0),$K$52*$B$63,0)</f>
        <v/>
      </c>
      <c r="L319" s="40">
        <f>IF(AND(8=$G$49,$I$49="Y",$K$49&gt;0),$K$49*$B$63,0)+IF(AND(8=$G$50,$I$50="Y",$K$50&gt;0),$K$50*$B$63,0)+IF(AND(8=$G$51,$I$51="Y",$K$51&gt;0),$K$51*$B$63,0)+IF(AND(8=$G$52,$I$52="Y",$K$52&gt;0),$K$52*$B$63,0)</f>
        <v/>
      </c>
      <c r="M319" s="40">
        <f>IF(AND(9=$G$49,$I$49="Y",$K$49&gt;0),$K$49*$B$63,0)+IF(AND(9=$G$50,$I$50="Y",$K$50&gt;0),$K$50*$B$63,0)+IF(AND(9=$G$51,$I$51="Y",$K$51&gt;0),$K$51*$B$63,0)+IF(AND(9=$G$52,$I$52="Y",$K$52&gt;0),$K$52*$B$63,0)</f>
        <v/>
      </c>
      <c r="N319" s="40">
        <f>IF(AND(10=$G$49,$I$49="Y",$K$49&gt;0),$K$49*$B$63,0)+IF(AND(10=$G$50,$I$50="Y",$K$50&gt;0),$K$50*$B$63,0)+IF(AND(10=$G$51,$I$51="Y",$K$51&gt;0),$K$51*$B$63,0)+IF(AND(10=$G$52,$I$52="Y",$K$52&gt;0),$K$52*$B$63,0)</f>
        <v/>
      </c>
      <c r="O319" s="40">
        <f>IF(AND(11=$G$49,$I$49="Y",$K$49&gt;0),$K$49*$B$63,0)+IF(AND(11=$G$50,$I$50="Y",$K$50&gt;0),$K$50*$B$63,0)+IF(AND(11=$G$51,$I$51="Y",$K$51&gt;0),$K$51*$B$63,0)+IF(AND(11=$G$52,$I$52="Y",$K$52&gt;0),$K$52*$B$63,0)</f>
        <v/>
      </c>
      <c r="P319" s="40">
        <f>IF(AND(12=$G$49,$I$49="Y",$K$49&gt;0),$K$49*$B$63,0)+IF(AND(12=$G$50,$I$50="Y",$K$50&gt;0),$K$50*$B$63,0)+IF(AND(12=$G$51,$I$51="Y",$K$51&gt;0),$K$51*$B$63,0)+IF(AND(12=$G$52,$I$52="Y",$K$52&gt;0),$K$52*$B$63,0)</f>
        <v/>
      </c>
      <c r="Q319" s="40">
        <f>IF(AND(13=$G$49,$I$49="Y",$K$49&gt;0),$K$49*$B$63,0)+IF(AND(13=$G$50,$I$50="Y",$K$50&gt;0),$K$50*$B$63,0)+IF(AND(13=$G$51,$I$51="Y",$K$51&gt;0),$K$51*$B$63,0)+IF(AND(13=$G$52,$I$52="Y",$K$52&gt;0),$K$52*$B$63,0)</f>
        <v/>
      </c>
      <c r="R319" s="40">
        <f>IF(AND(14=$G$49,$I$49="Y",$K$49&gt;0),$K$49*$B$63,0)+IF(AND(14=$G$50,$I$50="Y",$K$50&gt;0),$K$50*$B$63,0)+IF(AND(14=$G$51,$I$51="Y",$K$51&gt;0),$K$51*$B$63,0)+IF(AND(14=$G$52,$I$52="Y",$K$52&gt;0),$K$52*$B$63,0)</f>
        <v/>
      </c>
      <c r="S319" s="40">
        <f>IF(AND(15=$G$49,$I$49="Y",$K$49&gt;0),$K$49*$B$63,0)+IF(AND(15=$G$50,$I$50="Y",$K$50&gt;0),$K$50*$B$63,0)+IF(AND(15=$G$51,$I$51="Y",$K$51&gt;0),$K$51*$B$63,0)+IF(AND(15=$G$52,$I$52="Y",$K$52&gt;0),$K$52*$B$63,0)</f>
        <v/>
      </c>
      <c r="T319" s="40">
        <f>IF(AND(16=$G$49,$I$49="Y",$K$49&gt;0),$K$49*$B$63,0)+IF(AND(16=$G$50,$I$50="Y",$K$50&gt;0),$K$50*$B$63,0)+IF(AND(16=$G$51,$I$51="Y",$K$51&gt;0),$K$51*$B$63,0)+IF(AND(16=$G$52,$I$52="Y",$K$52&gt;0),$K$52*$B$63,0)</f>
        <v/>
      </c>
      <c r="U319" s="40">
        <f>IF(AND(17=$G$49,$I$49="Y",$K$49&gt;0),$K$49*$B$63,0)+IF(AND(17=$G$50,$I$50="Y",$K$50&gt;0),$K$50*$B$63,0)+IF(AND(17=$G$51,$I$51="Y",$K$51&gt;0),$K$51*$B$63,0)+IF(AND(17=$G$52,$I$52="Y",$K$52&gt;0),$K$52*$B$63,0)</f>
        <v/>
      </c>
      <c r="V319" s="40">
        <f>IF(AND(18=$G$49,$I$49="Y",$K$49&gt;0),$K$49*$B$63,0)+IF(AND(18=$G$50,$I$50="Y",$K$50&gt;0),$K$50*$B$63,0)+IF(AND(18=$G$51,$I$51="Y",$K$51&gt;0),$K$51*$B$63,0)+IF(AND(18=$G$52,$I$52="Y",$K$52&gt;0),$K$52*$B$63,0)</f>
        <v/>
      </c>
      <c r="W319" s="40">
        <f>IF(AND(19=$G$49,$I$49="Y",$K$49&gt;0),$K$49*$B$63,0)+IF(AND(19=$G$50,$I$50="Y",$K$50&gt;0),$K$50*$B$63,0)+IF(AND(19=$G$51,$I$51="Y",$K$51&gt;0),$K$51*$B$63,0)+IF(AND(19=$G$52,$I$52="Y",$K$52&gt;0),$K$52*$B$63,0)</f>
        <v/>
      </c>
      <c r="X319" s="40">
        <f>IF(AND(20=$G$49,$I$49="Y",$K$49&gt;0),$K$49*$B$63,0)+IF(AND(20=$G$50,$I$50="Y",$K$50&gt;0),$K$50*$B$63,0)+IF(AND(20=$G$51,$I$51="Y",$K$51&gt;0),$K$51*$B$63,0)+IF(AND(20=$G$52,$I$52="Y",$K$52&gt;0),$K$52*$B$63,0)</f>
        <v/>
      </c>
      <c r="Y319" s="40">
        <f>IF(AND(21=$G$49,$I$49="Y",$K$49&gt;0),$K$49*$B$63,0)+IF(AND(21=$G$50,$I$50="Y",$K$50&gt;0),$K$50*$B$63,0)+IF(AND(21=$G$51,$I$51="Y",$K$51&gt;0),$K$51*$B$63,0)+IF(AND(21=$G$52,$I$52="Y",$K$52&gt;0),$K$52*$B$63,0)</f>
        <v/>
      </c>
      <c r="Z319" s="40">
        <f>IF(AND(22=$G$49,$I$49="Y",$K$49&gt;0),$K$49*$B$63,0)+IF(AND(22=$G$50,$I$50="Y",$K$50&gt;0),$K$50*$B$63,0)+IF(AND(22=$G$51,$I$51="Y",$K$51&gt;0),$K$51*$B$63,0)+IF(AND(22=$G$52,$I$52="Y",$K$52&gt;0),$K$52*$B$63,0)</f>
        <v/>
      </c>
      <c r="AA319" s="40">
        <f>IF(AND(23=$G$49,$I$49="Y",$K$49&gt;0),$K$49*$B$63,0)+IF(AND(23=$G$50,$I$50="Y",$K$50&gt;0),$K$50*$B$63,0)+IF(AND(23=$G$51,$I$51="Y",$K$51&gt;0),$K$51*$B$63,0)+IF(AND(23=$G$52,$I$52="Y",$K$52&gt;0),$K$52*$B$63,0)</f>
        <v/>
      </c>
      <c r="AB319" s="40">
        <f>IF(AND(24=$G$49,$I$49="Y",$K$49&gt;0),$K$49*$B$63,0)+IF(AND(24=$G$50,$I$50="Y",$K$50&gt;0),$K$50*$B$63,0)+IF(AND(24=$G$51,$I$51="Y",$K$51&gt;0),$K$51*$B$63,0)+IF(AND(24=$G$52,$I$52="Y",$K$52&gt;0),$K$52*$B$63,0)</f>
        <v/>
      </c>
      <c r="AC319" s="40">
        <f>IF(AND(25=$G$49,$I$49="Y",$K$49&gt;0),$K$49*$B$63,0)+IF(AND(25=$G$50,$I$50="Y",$K$50&gt;0),$K$50*$B$63,0)+IF(AND(25=$G$51,$I$51="Y",$K$51&gt;0),$K$51*$B$63,0)+IF(AND(25=$G$52,$I$52="Y",$K$52&gt;0),$K$52*$B$63,0)</f>
        <v/>
      </c>
      <c r="AD319" s="40">
        <f>IF(AND(26=$G$49,$I$49="Y",$K$49&gt;0),$K$49*$B$63,0)+IF(AND(26=$G$50,$I$50="Y",$K$50&gt;0),$K$50*$B$63,0)+IF(AND(26=$G$51,$I$51="Y",$K$51&gt;0),$K$51*$B$63,0)+IF(AND(26=$G$52,$I$52="Y",$K$52&gt;0),$K$52*$B$63,0)</f>
        <v/>
      </c>
      <c r="AE319" s="40">
        <f>IF(AND(27=$G$49,$I$49="Y",$K$49&gt;0),$K$49*$B$63,0)+IF(AND(27=$G$50,$I$50="Y",$K$50&gt;0),$K$50*$B$63,0)+IF(AND(27=$G$51,$I$51="Y",$K$51&gt;0),$K$51*$B$63,0)+IF(AND(27=$G$52,$I$52="Y",$K$52&gt;0),$K$52*$B$63,0)</f>
        <v/>
      </c>
      <c r="AF319" s="40">
        <f>IF(AND(28=$G$49,$I$49="Y",$K$49&gt;0),$K$49*$B$63,0)+IF(AND(28=$G$50,$I$50="Y",$K$50&gt;0),$K$50*$B$63,0)+IF(AND(28=$G$51,$I$51="Y",$K$51&gt;0),$K$51*$B$63,0)+IF(AND(28=$G$52,$I$52="Y",$K$52&gt;0),$K$52*$B$63,0)</f>
        <v/>
      </c>
      <c r="AG319" s="40">
        <f>IF(AND(29=$G$49,$I$49="Y",$K$49&gt;0),$K$49*$B$63,0)+IF(AND(29=$G$50,$I$50="Y",$K$50&gt;0),$K$50*$B$63,0)+IF(AND(29=$G$51,$I$51="Y",$K$51&gt;0),$K$51*$B$63,0)+IF(AND(29=$G$52,$I$52="Y",$K$52&gt;0),$K$52*$B$63,0)</f>
        <v/>
      </c>
      <c r="AH319" s="40">
        <f>IF(AND(30=$G$49,$I$49="Y",$K$49&gt;0),$K$49*$B$63,0)+IF(AND(30=$G$50,$I$50="Y",$K$50&gt;0),$K$50*$B$63,0)+IF(AND(30=$G$51,$I$51="Y",$K$51&gt;0),$K$51*$B$63,0)+IF(AND(30=$G$52,$I$52="Y",$K$52&gt;0),$K$52*$B$63,0)</f>
        <v/>
      </c>
      <c r="AI319" s="40">
        <f>IF(AND(31=$G$49,$I$49="Y",$K$49&gt;0),$K$49*$B$63,0)+IF(AND(31=$G$50,$I$50="Y",$K$50&gt;0),$K$50*$B$63,0)+IF(AND(31=$G$51,$I$51="Y",$K$51&gt;0),$K$51*$B$63,0)+IF(AND(31=$G$52,$I$52="Y",$K$52&gt;0),$K$52*$B$63,0)</f>
        <v/>
      </c>
      <c r="AJ319" s="40">
        <f>IF(AND(32=$G$49,$I$49="Y",$K$49&gt;0),$K$49*$B$63,0)+IF(AND(32=$G$50,$I$50="Y",$K$50&gt;0),$K$50*$B$63,0)+IF(AND(32=$G$51,$I$51="Y",$K$51&gt;0),$K$51*$B$63,0)+IF(AND(32=$G$52,$I$52="Y",$K$52&gt;0),$K$52*$B$63,0)</f>
        <v/>
      </c>
      <c r="AK319" s="40">
        <f>IF(AND(33=$G$49,$I$49="Y",$K$49&gt;0),$K$49*$B$63,0)+IF(AND(33=$G$50,$I$50="Y",$K$50&gt;0),$K$50*$B$63,0)+IF(AND(33=$G$51,$I$51="Y",$K$51&gt;0),$K$51*$B$63,0)+IF(AND(33=$G$52,$I$52="Y",$K$52&gt;0),$K$52*$B$63,0)</f>
        <v/>
      </c>
      <c r="AL319" s="40">
        <f>IF(AND(34=$G$49,$I$49="Y",$K$49&gt;0),$K$49*$B$63,0)+IF(AND(34=$G$50,$I$50="Y",$K$50&gt;0),$K$50*$B$63,0)+IF(AND(34=$G$51,$I$51="Y",$K$51&gt;0),$K$51*$B$63,0)+IF(AND(34=$G$52,$I$52="Y",$K$52&gt;0),$K$52*$B$63,0)</f>
        <v/>
      </c>
      <c r="AM319" s="40">
        <f>IF(AND(35=$G$49,$I$49="Y",$K$49&gt;0),$K$49*$B$63,0)+IF(AND(35=$G$50,$I$50="Y",$K$50&gt;0),$K$50*$B$63,0)+IF(AND(35=$G$51,$I$51="Y",$K$51&gt;0),$K$51*$B$63,0)+IF(AND(35=$G$52,$I$52="Y",$K$52&gt;0),$K$52*$B$63,0)</f>
        <v/>
      </c>
      <c r="AN319" s="40">
        <f>IF(AND(36=$G$49,$I$49="Y",$K$49&gt;0),$K$49*$B$63,0)+IF(AND(36=$G$50,$I$50="Y",$K$50&gt;0),$K$50*$B$63,0)+IF(AND(36=$G$51,$I$51="Y",$K$51&gt;0),$K$51*$B$63,0)+IF(AND(36=$G$52,$I$52="Y",$K$52&gt;0),$K$52*$B$63,0)</f>
        <v/>
      </c>
      <c r="AO319" s="40">
        <f>IF(AND(37=$G$49,$I$49="Y",$K$49&gt;0),$K$49*$B$63,0)+IF(AND(37=$G$50,$I$50="Y",$K$50&gt;0),$K$50*$B$63,0)+IF(AND(37=$G$51,$I$51="Y",$K$51&gt;0),$K$51*$B$63,0)+IF(AND(37=$G$52,$I$52="Y",$K$52&gt;0),$K$52*$B$63,0)</f>
        <v/>
      </c>
      <c r="AP319" s="40">
        <f>IF(AND(38=$G$49,$I$49="Y",$K$49&gt;0),$K$49*$B$63,0)+IF(AND(38=$G$50,$I$50="Y",$K$50&gt;0),$K$50*$B$63,0)+IF(AND(38=$G$51,$I$51="Y",$K$51&gt;0),$K$51*$B$63,0)+IF(AND(38=$G$52,$I$52="Y",$K$52&gt;0),$K$52*$B$63,0)</f>
        <v/>
      </c>
      <c r="AQ319" s="40">
        <f>IF(AND(39=$G$49,$I$49="Y",$K$49&gt;0),$K$49*$B$63,0)+IF(AND(39=$G$50,$I$50="Y",$K$50&gt;0),$K$50*$B$63,0)+IF(AND(39=$G$51,$I$51="Y",$K$51&gt;0),$K$51*$B$63,0)+IF(AND(39=$G$52,$I$52="Y",$K$52&gt;0),$K$52*$B$63,0)</f>
        <v/>
      </c>
      <c r="AR319" s="40">
        <f>IF(AND(40=$G$49,$I$49="Y",$K$49&gt;0),$K$49*$B$63,0)+IF(AND(40=$G$50,$I$50="Y",$K$50&gt;0),$K$50*$B$63,0)+IF(AND(40=$G$51,$I$51="Y",$K$51&gt;0),$K$51*$B$63,0)+IF(AND(40=$G$52,$I$52="Y",$K$52&gt;0),$K$52*$B$63,0)</f>
        <v/>
      </c>
      <c r="AS319" s="40">
        <f>IF(AND(41=$G$49,$I$49="Y",$K$49&gt;0),$K$49*$B$63,0)+IF(AND(41=$G$50,$I$50="Y",$K$50&gt;0),$K$50*$B$63,0)+IF(AND(41=$G$51,$I$51="Y",$K$51&gt;0),$K$51*$B$63,0)+IF(AND(41=$G$52,$I$52="Y",$K$52&gt;0),$K$52*$B$63,0)</f>
        <v/>
      </c>
      <c r="AT319" s="40">
        <f>IF(AND(42=$G$49,$I$49="Y",$K$49&gt;0),$K$49*$B$63,0)+IF(AND(42=$G$50,$I$50="Y",$K$50&gt;0),$K$50*$B$63,0)+IF(AND(42=$G$51,$I$51="Y",$K$51&gt;0),$K$51*$B$63,0)+IF(AND(42=$G$52,$I$52="Y",$K$52&gt;0),$K$52*$B$63,0)</f>
        <v/>
      </c>
      <c r="AU319" s="40">
        <f>IF(AND(43=$G$49,$I$49="Y",$K$49&gt;0),$K$49*$B$63,0)+IF(AND(43=$G$50,$I$50="Y",$K$50&gt;0),$K$50*$B$63,0)+IF(AND(43=$G$51,$I$51="Y",$K$51&gt;0),$K$51*$B$63,0)+IF(AND(43=$G$52,$I$52="Y",$K$52&gt;0),$K$52*$B$63,0)</f>
        <v/>
      </c>
      <c r="AV319" s="40">
        <f>IF(AND(44=$G$49,$I$49="Y",$K$49&gt;0),$K$49*$B$63,0)+IF(AND(44=$G$50,$I$50="Y",$K$50&gt;0),$K$50*$B$63,0)+IF(AND(44=$G$51,$I$51="Y",$K$51&gt;0),$K$51*$B$63,0)+IF(AND(44=$G$52,$I$52="Y",$K$52&gt;0),$K$52*$B$63,0)</f>
        <v/>
      </c>
      <c r="AW319" s="40">
        <f>IF(AND(45=$G$49,$I$49="Y",$K$49&gt;0),$K$49*$B$63,0)+IF(AND(45=$G$50,$I$50="Y",$K$50&gt;0),$K$50*$B$63,0)+IF(AND(45=$G$51,$I$51="Y",$K$51&gt;0),$K$51*$B$63,0)+IF(AND(45=$G$52,$I$52="Y",$K$52&gt;0),$K$52*$B$63,0)</f>
        <v/>
      </c>
      <c r="AX319" s="40">
        <f>IF(AND(46=$G$49,$I$49="Y",$K$49&gt;0),$K$49*$B$63,0)+IF(AND(46=$G$50,$I$50="Y",$K$50&gt;0),$K$50*$B$63,0)+IF(AND(46=$G$51,$I$51="Y",$K$51&gt;0),$K$51*$B$63,0)+IF(AND(46=$G$52,$I$52="Y",$K$52&gt;0),$K$52*$B$63,0)</f>
        <v/>
      </c>
      <c r="AY319" s="40">
        <f>IF(AND(47=$G$49,$I$49="Y",$K$49&gt;0),$K$49*$B$63,0)+IF(AND(47=$G$50,$I$50="Y",$K$50&gt;0),$K$50*$B$63,0)+IF(AND(47=$G$51,$I$51="Y",$K$51&gt;0),$K$51*$B$63,0)+IF(AND(47=$G$52,$I$52="Y",$K$52&gt;0),$K$52*$B$63,0)</f>
        <v/>
      </c>
      <c r="AZ319" s="40">
        <f>IF(AND(48=$G$49,$I$49="Y",$K$49&gt;0),$K$49*$B$63,0)+IF(AND(48=$G$50,$I$50="Y",$K$50&gt;0),$K$50*$B$63,0)+IF(AND(48=$G$51,$I$51="Y",$K$51&gt;0),$K$51*$B$63,0)+IF(AND(48=$G$52,$I$52="Y",$K$52&gt;0),$K$52*$B$63,0)</f>
        <v/>
      </c>
      <c r="BA319" s="40">
        <f>IF(AND(49=$G$49,$I$49="Y",$K$49&gt;0),$K$49*$B$63,0)+IF(AND(49=$G$50,$I$50="Y",$K$50&gt;0),$K$50*$B$63,0)+IF(AND(49=$G$51,$I$51="Y",$K$51&gt;0),$K$51*$B$63,0)+IF(AND(49=$G$52,$I$52="Y",$K$52&gt;0),$K$52*$B$63,0)</f>
        <v/>
      </c>
      <c r="BB319" s="40">
        <f>IF(AND(50=$G$49,$I$49="Y",$K$49&gt;0),$K$49*$B$63,0)+IF(AND(50=$G$50,$I$50="Y",$K$50&gt;0),$K$50*$B$63,0)+IF(AND(50=$G$51,$I$51="Y",$K$51&gt;0),$K$51*$B$63,0)+IF(AND(50=$G$52,$I$52="Y",$K$52&gt;0),$K$52*$B$63,0)</f>
        <v/>
      </c>
      <c r="BC319" s="40">
        <f>IF(AND(51=$G$49,$I$49="Y",$K$49&gt;0),$K$49*$B$63,0)+IF(AND(51=$G$50,$I$50="Y",$K$50&gt;0),$K$50*$B$63,0)+IF(AND(51=$G$51,$I$51="Y",$K$51&gt;0),$K$51*$B$63,0)+IF(AND(51=$G$52,$I$52="Y",$K$52&gt;0),$K$52*$B$63,0)</f>
        <v/>
      </c>
      <c r="BD319" s="40">
        <f>IF(AND(52=$G$49,$I$49="Y",$K$49&gt;0),$K$49*$B$63,0)+IF(AND(52=$G$50,$I$50="Y",$K$50&gt;0),$K$50*$B$63,0)+IF(AND(52=$G$51,$I$51="Y",$K$51&gt;0),$K$51*$B$63,0)+IF(AND(52=$G$52,$I$52="Y",$K$52&gt;0),$K$52*$B$63,0)</f>
        <v/>
      </c>
    </row>
    <row r="320">
      <c r="A320" s="2" t="inlineStr">
        <is>
          <t xml:space="preserve">   Recruitment and onboarding, per person, in the week that role starts. ⚠️ The wage rows above test w&gt;=From AND w&lt;=To, because a wage is owed EVERY week of the window. This one tests w=From because it is paid ONCE. The two shapes differ on purpose — charged per week it would bill three heads for 33 weeks, not one.</t>
        </is>
      </c>
    </row>
    <row r="321">
      <c r="A321" s="33" t="inlineStr">
        <is>
          <t>Overtime cost this week</t>
        </is>
      </c>
      <c r="B321" s="2" t="inlineStr">
        <is>
          <t>$</t>
        </is>
      </c>
      <c r="E321" s="40">
        <f>E281*$D$50*(1+$B$56)*$B$57+E283*$D$51*(1+$B$56)*$B$57+E285*$D$52*(1+$B$56)*$B$57</f>
        <v/>
      </c>
      <c r="F321" s="40">
        <f>F281*$D$50*(1+$B$56)*$B$57+F283*$D$51*(1+$B$56)*$B$57+F285*$D$52*(1+$B$56)*$B$57</f>
        <v/>
      </c>
      <c r="G321" s="40">
        <f>G281*$D$50*(1+$B$56)*$B$57+G283*$D$51*(1+$B$56)*$B$57+G285*$D$52*(1+$B$56)*$B$57</f>
        <v/>
      </c>
      <c r="H321" s="40">
        <f>H281*$D$50*(1+$B$56)*$B$57+H283*$D$51*(1+$B$56)*$B$57+H285*$D$52*(1+$B$56)*$B$57</f>
        <v/>
      </c>
      <c r="I321" s="40">
        <f>I281*$D$50*(1+$B$56)*$B$57+I283*$D$51*(1+$B$56)*$B$57+I285*$D$52*(1+$B$56)*$B$57</f>
        <v/>
      </c>
      <c r="J321" s="40">
        <f>J281*$D$50*(1+$B$56)*$B$57+J283*$D$51*(1+$B$56)*$B$57+J285*$D$52*(1+$B$56)*$B$57</f>
        <v/>
      </c>
      <c r="K321" s="40">
        <f>K281*$D$50*(1+$B$56)*$B$57+K283*$D$51*(1+$B$56)*$B$57+K285*$D$52*(1+$B$56)*$B$57</f>
        <v/>
      </c>
      <c r="L321" s="40">
        <f>L281*$D$50*(1+$B$56)*$B$57+L283*$D$51*(1+$B$56)*$B$57+L285*$D$52*(1+$B$56)*$B$57</f>
        <v/>
      </c>
      <c r="M321" s="40">
        <f>M281*$D$50*(1+$B$56)*$B$57+M283*$D$51*(1+$B$56)*$B$57+M285*$D$52*(1+$B$56)*$B$57</f>
        <v/>
      </c>
      <c r="N321" s="40">
        <f>N281*$D$50*(1+$B$56)*$B$57+N283*$D$51*(1+$B$56)*$B$57+N285*$D$52*(1+$B$56)*$B$57</f>
        <v/>
      </c>
      <c r="O321" s="40">
        <f>O281*$D$50*(1+$B$56)*$B$57+O283*$D$51*(1+$B$56)*$B$57+O285*$D$52*(1+$B$56)*$B$57</f>
        <v/>
      </c>
      <c r="P321" s="40">
        <f>P281*$D$50*(1+$B$56)*$B$57+P283*$D$51*(1+$B$56)*$B$57+P285*$D$52*(1+$B$56)*$B$57</f>
        <v/>
      </c>
      <c r="Q321" s="40">
        <f>Q281*$D$50*(1+$B$56)*$B$57+Q283*$D$51*(1+$B$56)*$B$57+Q285*$D$52*(1+$B$56)*$B$57</f>
        <v/>
      </c>
      <c r="R321" s="40">
        <f>R281*$D$50*(1+$B$56)*$B$57+R283*$D$51*(1+$B$56)*$B$57+R285*$D$52*(1+$B$56)*$B$57</f>
        <v/>
      </c>
      <c r="S321" s="40">
        <f>S281*$D$50*(1+$B$56)*$B$57+S283*$D$51*(1+$B$56)*$B$57+S285*$D$52*(1+$B$56)*$B$57</f>
        <v/>
      </c>
      <c r="T321" s="40">
        <f>T281*$D$50*(1+$B$56)*$B$57+T283*$D$51*(1+$B$56)*$B$57+T285*$D$52*(1+$B$56)*$B$57</f>
        <v/>
      </c>
      <c r="U321" s="40">
        <f>U281*$D$50*(1+$B$56)*$B$57+U283*$D$51*(1+$B$56)*$B$57+U285*$D$52*(1+$B$56)*$B$57</f>
        <v/>
      </c>
      <c r="V321" s="40">
        <f>V281*$D$50*(1+$B$56)*$B$57+V283*$D$51*(1+$B$56)*$B$57+V285*$D$52*(1+$B$56)*$B$57</f>
        <v/>
      </c>
      <c r="W321" s="40">
        <f>W281*$D$50*(1+$B$56)*$B$57+W283*$D$51*(1+$B$56)*$B$57+W285*$D$52*(1+$B$56)*$B$57</f>
        <v/>
      </c>
      <c r="X321" s="40">
        <f>X281*$D$50*(1+$B$56)*$B$57+X283*$D$51*(1+$B$56)*$B$57+X285*$D$52*(1+$B$56)*$B$57</f>
        <v/>
      </c>
      <c r="Y321" s="40">
        <f>Y281*$D$50*(1+$B$56)*$B$57+Y283*$D$51*(1+$B$56)*$B$57+Y285*$D$52*(1+$B$56)*$B$57</f>
        <v/>
      </c>
      <c r="Z321" s="40">
        <f>Z281*$D$50*(1+$B$56)*$B$57+Z283*$D$51*(1+$B$56)*$B$57+Z285*$D$52*(1+$B$56)*$B$57</f>
        <v/>
      </c>
      <c r="AA321" s="40">
        <f>AA281*$D$50*(1+$B$56)*$B$57+AA283*$D$51*(1+$B$56)*$B$57+AA285*$D$52*(1+$B$56)*$B$57</f>
        <v/>
      </c>
      <c r="AB321" s="40">
        <f>AB281*$D$50*(1+$B$56)*$B$57+AB283*$D$51*(1+$B$56)*$B$57+AB285*$D$52*(1+$B$56)*$B$57</f>
        <v/>
      </c>
      <c r="AC321" s="40">
        <f>AC281*$D$50*(1+$B$56)*$B$57+AC283*$D$51*(1+$B$56)*$B$57+AC285*$D$52*(1+$B$56)*$B$57</f>
        <v/>
      </c>
      <c r="AD321" s="40">
        <f>AD281*$D$50*(1+$B$56)*$B$57+AD283*$D$51*(1+$B$56)*$B$57+AD285*$D$52*(1+$B$56)*$B$57</f>
        <v/>
      </c>
      <c r="AE321" s="40">
        <f>AE281*$D$50*(1+$B$56)*$B$57+AE283*$D$51*(1+$B$56)*$B$57+AE285*$D$52*(1+$B$56)*$B$57</f>
        <v/>
      </c>
      <c r="AF321" s="40">
        <f>AF281*$D$50*(1+$B$56)*$B$57+AF283*$D$51*(1+$B$56)*$B$57+AF285*$D$52*(1+$B$56)*$B$57</f>
        <v/>
      </c>
      <c r="AG321" s="40">
        <f>AG281*$D$50*(1+$B$56)*$B$57+AG283*$D$51*(1+$B$56)*$B$57+AG285*$D$52*(1+$B$56)*$B$57</f>
        <v/>
      </c>
      <c r="AH321" s="40">
        <f>AH281*$D$50*(1+$B$56)*$B$57+AH283*$D$51*(1+$B$56)*$B$57+AH285*$D$52*(1+$B$56)*$B$57</f>
        <v/>
      </c>
      <c r="AI321" s="40">
        <f>AI281*$D$50*(1+$B$56)*$B$57+AI283*$D$51*(1+$B$56)*$B$57+AI285*$D$52*(1+$B$56)*$B$57</f>
        <v/>
      </c>
      <c r="AJ321" s="40">
        <f>AJ281*$D$50*(1+$B$56)*$B$57+AJ283*$D$51*(1+$B$56)*$B$57+AJ285*$D$52*(1+$B$56)*$B$57</f>
        <v/>
      </c>
      <c r="AK321" s="40">
        <f>AK281*$D$50*(1+$B$56)*$B$57+AK283*$D$51*(1+$B$56)*$B$57+AK285*$D$52*(1+$B$56)*$B$57</f>
        <v/>
      </c>
      <c r="AL321" s="40">
        <f>AL281*$D$50*(1+$B$56)*$B$57+AL283*$D$51*(1+$B$56)*$B$57+AL285*$D$52*(1+$B$56)*$B$57</f>
        <v/>
      </c>
      <c r="AM321" s="40">
        <f>AM281*$D$50*(1+$B$56)*$B$57+AM283*$D$51*(1+$B$56)*$B$57+AM285*$D$52*(1+$B$56)*$B$57</f>
        <v/>
      </c>
      <c r="AN321" s="40">
        <f>AN281*$D$50*(1+$B$56)*$B$57+AN283*$D$51*(1+$B$56)*$B$57+AN285*$D$52*(1+$B$56)*$B$57</f>
        <v/>
      </c>
      <c r="AO321" s="40">
        <f>AO281*$D$50*(1+$B$56)*$B$57+AO283*$D$51*(1+$B$56)*$B$57+AO285*$D$52*(1+$B$56)*$B$57</f>
        <v/>
      </c>
      <c r="AP321" s="40">
        <f>AP281*$D$50*(1+$B$56)*$B$57+AP283*$D$51*(1+$B$56)*$B$57+AP285*$D$52*(1+$B$56)*$B$57</f>
        <v/>
      </c>
      <c r="AQ321" s="40">
        <f>AQ281*$D$50*(1+$B$56)*$B$57+AQ283*$D$51*(1+$B$56)*$B$57+AQ285*$D$52*(1+$B$56)*$B$57</f>
        <v/>
      </c>
      <c r="AR321" s="40">
        <f>AR281*$D$50*(1+$B$56)*$B$57+AR283*$D$51*(1+$B$56)*$B$57+AR285*$D$52*(1+$B$56)*$B$57</f>
        <v/>
      </c>
      <c r="AS321" s="40">
        <f>AS281*$D$50*(1+$B$56)*$B$57+AS283*$D$51*(1+$B$56)*$B$57+AS285*$D$52*(1+$B$56)*$B$57</f>
        <v/>
      </c>
      <c r="AT321" s="40">
        <f>AT281*$D$50*(1+$B$56)*$B$57+AT283*$D$51*(1+$B$56)*$B$57+AT285*$D$52*(1+$B$56)*$B$57</f>
        <v/>
      </c>
      <c r="AU321" s="40">
        <f>AU281*$D$50*(1+$B$56)*$B$57+AU283*$D$51*(1+$B$56)*$B$57+AU285*$D$52*(1+$B$56)*$B$57</f>
        <v/>
      </c>
      <c r="AV321" s="40">
        <f>AV281*$D$50*(1+$B$56)*$B$57+AV283*$D$51*(1+$B$56)*$B$57+AV285*$D$52*(1+$B$56)*$B$57</f>
        <v/>
      </c>
      <c r="AW321" s="40">
        <f>AW281*$D$50*(1+$B$56)*$B$57+AW283*$D$51*(1+$B$56)*$B$57+AW285*$D$52*(1+$B$56)*$B$57</f>
        <v/>
      </c>
      <c r="AX321" s="40">
        <f>AX281*$D$50*(1+$B$56)*$B$57+AX283*$D$51*(1+$B$56)*$B$57+AX285*$D$52*(1+$B$56)*$B$57</f>
        <v/>
      </c>
      <c r="AY321" s="40">
        <f>AY281*$D$50*(1+$B$56)*$B$57+AY283*$D$51*(1+$B$56)*$B$57+AY285*$D$52*(1+$B$56)*$B$57</f>
        <v/>
      </c>
      <c r="AZ321" s="40">
        <f>AZ281*$D$50*(1+$B$56)*$B$57+AZ283*$D$51*(1+$B$56)*$B$57+AZ285*$D$52*(1+$B$56)*$B$57</f>
        <v/>
      </c>
      <c r="BA321" s="40">
        <f>BA281*$D$50*(1+$B$56)*$B$57+BA283*$D$51*(1+$B$56)*$B$57+BA285*$D$52*(1+$B$56)*$B$57</f>
        <v/>
      </c>
      <c r="BB321" s="40">
        <f>BB281*$D$50*(1+$B$56)*$B$57+BB283*$D$51*(1+$B$56)*$B$57+BB285*$D$52*(1+$B$56)*$B$57</f>
        <v/>
      </c>
      <c r="BC321" s="40">
        <f>BC281*$D$50*(1+$B$56)*$B$57+BC283*$D$51*(1+$B$56)*$B$57+BC285*$D$52*(1+$B$56)*$B$57</f>
        <v/>
      </c>
      <c r="BD321" s="40">
        <f>BD281*$D$50*(1+$B$56)*$B$57+BD283*$D$51*(1+$B$56)*$B$57+BD285*$D$52*(1+$B$56)*$B$57</f>
        <v/>
      </c>
    </row>
    <row r="322">
      <c r="A322" s="2" t="inlineStr">
        <is>
          <t xml:space="preserve">   ⚠️ FULL rate, not the premium above base pay — the wage bill pays the stated hours, these are hours beyond them.</t>
        </is>
      </c>
    </row>
    <row r="323">
      <c r="A323" s="33" t="inlineStr">
        <is>
          <t>Piece-rate cost — per lb every week, + the fixed cost ONCE</t>
        </is>
      </c>
      <c r="B323" s="2" t="inlineStr">
        <is>
          <t>$</t>
        </is>
      </c>
      <c r="E323" s="40">
        <f>E80*$F$73+E81*$F$74+E82*$F$75+IF(1=$B$68,IF($G$68="Y",1,$B$69)*$F$68,0)</f>
        <v/>
      </c>
      <c r="F323" s="40">
        <f>F80*$F$73+F81*$F$74+F82*$F$75+IF(2=$B$68,IF($G$68="Y",1,$B$69)*$F$68,0)</f>
        <v/>
      </c>
      <c r="G323" s="40">
        <f>G80*$F$73+G81*$F$74+G82*$F$75+IF(3=$B$68,IF($G$68="Y",1,$B$69)*$F$68,0)</f>
        <v/>
      </c>
      <c r="H323" s="40">
        <f>H80*$F$73+H81*$F$74+H82*$F$75+IF(4=$B$68,IF($G$68="Y",1,$B$69)*$F$68,0)</f>
        <v/>
      </c>
      <c r="I323" s="40">
        <f>I80*$F$73+I81*$F$74+I82*$F$75+IF(5=$B$68,IF($G$68="Y",1,$B$69)*$F$68,0)</f>
        <v/>
      </c>
      <c r="J323" s="40">
        <f>J80*$F$73+J81*$F$74+J82*$F$75+IF(6=$B$68,IF($G$68="Y",1,$B$69)*$F$68,0)</f>
        <v/>
      </c>
      <c r="K323" s="40">
        <f>K80*$F$73+K81*$F$74+K82*$F$75+IF(7=$B$68,IF($G$68="Y",1,$B$69)*$F$68,0)</f>
        <v/>
      </c>
      <c r="L323" s="40">
        <f>L80*$F$73+L81*$F$74+L82*$F$75+IF(8=$B$68,IF($G$68="Y",1,$B$69)*$F$68,0)</f>
        <v/>
      </c>
      <c r="M323" s="40">
        <f>M80*$F$73+M81*$F$74+M82*$F$75+IF(9=$B$68,IF($G$68="Y",1,$B$69)*$F$68,0)</f>
        <v/>
      </c>
      <c r="N323" s="40">
        <f>N80*$F$73+N81*$F$74+N82*$F$75+IF(10=$B$68,IF($G$68="Y",1,$B$69)*$F$68,0)</f>
        <v/>
      </c>
      <c r="O323" s="40">
        <f>O80*$F$73+O81*$F$74+O82*$F$75+IF(11=$B$68,IF($G$68="Y",1,$B$69)*$F$68,0)</f>
        <v/>
      </c>
      <c r="P323" s="40">
        <f>P80*$F$73+P81*$F$74+P82*$F$75+IF(12=$B$68,IF($G$68="Y",1,$B$69)*$F$68,0)</f>
        <v/>
      </c>
      <c r="Q323" s="40">
        <f>Q80*$F$73+Q81*$F$74+Q82*$F$75+IF(13=$B$68,IF($G$68="Y",1,$B$69)*$F$68,0)</f>
        <v/>
      </c>
      <c r="R323" s="40">
        <f>R80*$F$73+R81*$F$74+R82*$F$75+IF(14=$B$68,IF($G$68="Y",1,$B$69)*$F$68,0)</f>
        <v/>
      </c>
      <c r="S323" s="40">
        <f>S80*$F$73+S81*$F$74+S82*$F$75+IF(15=$B$68,IF($G$68="Y",1,$B$69)*$F$68,0)</f>
        <v/>
      </c>
      <c r="T323" s="40">
        <f>T80*$F$73+T81*$F$74+T82*$F$75+IF(16=$B$68,IF($G$68="Y",1,$B$69)*$F$68,0)</f>
        <v/>
      </c>
      <c r="U323" s="40">
        <f>U80*$F$73+U81*$F$74+U82*$F$75+IF(17=$B$68,IF($G$68="Y",1,$B$69)*$F$68,0)</f>
        <v/>
      </c>
      <c r="V323" s="40">
        <f>V80*$F$73+V81*$F$74+V82*$F$75+IF(18=$B$68,IF($G$68="Y",1,$B$69)*$F$68,0)</f>
        <v/>
      </c>
      <c r="W323" s="40">
        <f>W80*$F$73+W81*$F$74+W82*$F$75+IF(19=$B$68,IF($G$68="Y",1,$B$69)*$F$68,0)</f>
        <v/>
      </c>
      <c r="X323" s="40">
        <f>X80*$F$73+X81*$F$74+X82*$F$75+IF(20=$B$68,IF($G$68="Y",1,$B$69)*$F$68,0)</f>
        <v/>
      </c>
      <c r="Y323" s="40">
        <f>Y80*$F$73+Y81*$F$74+Y82*$F$75+IF(21=$B$68,IF($G$68="Y",1,$B$69)*$F$68,0)</f>
        <v/>
      </c>
      <c r="Z323" s="40">
        <f>Z80*$F$73+Z81*$F$74+Z82*$F$75+IF(22=$B$68,IF($G$68="Y",1,$B$69)*$F$68,0)</f>
        <v/>
      </c>
      <c r="AA323" s="40">
        <f>AA80*$F$73+AA81*$F$74+AA82*$F$75+IF(23=$B$68,IF($G$68="Y",1,$B$69)*$F$68,0)</f>
        <v/>
      </c>
      <c r="AB323" s="40">
        <f>AB80*$F$73+AB81*$F$74+AB82*$F$75+IF(24=$B$68,IF($G$68="Y",1,$B$69)*$F$68,0)</f>
        <v/>
      </c>
      <c r="AC323" s="40">
        <f>AC80*$F$73+AC81*$F$74+AC82*$F$75+IF(25=$B$68,IF($G$68="Y",1,$B$69)*$F$68,0)</f>
        <v/>
      </c>
      <c r="AD323" s="40">
        <f>AD80*$F$73+AD81*$F$74+AD82*$F$75+IF(26=$B$68,IF($G$68="Y",1,$B$69)*$F$68,0)</f>
        <v/>
      </c>
      <c r="AE323" s="40">
        <f>AE80*$F$73+AE81*$F$74+AE82*$F$75+IF(27=$B$68,IF($G$68="Y",1,$B$69)*$F$68,0)</f>
        <v/>
      </c>
      <c r="AF323" s="40">
        <f>AF80*$F$73+AF81*$F$74+AF82*$F$75+IF(28=$B$68,IF($G$68="Y",1,$B$69)*$F$68,0)</f>
        <v/>
      </c>
      <c r="AG323" s="40">
        <f>AG80*$F$73+AG81*$F$74+AG82*$F$75+IF(29=$B$68,IF($G$68="Y",1,$B$69)*$F$68,0)</f>
        <v/>
      </c>
      <c r="AH323" s="40">
        <f>AH80*$F$73+AH81*$F$74+AH82*$F$75+IF(30=$B$68,IF($G$68="Y",1,$B$69)*$F$68,0)</f>
        <v/>
      </c>
      <c r="AI323" s="40">
        <f>AI80*$F$73+AI81*$F$74+AI82*$F$75+IF(31=$B$68,IF($G$68="Y",1,$B$69)*$F$68,0)</f>
        <v/>
      </c>
      <c r="AJ323" s="40">
        <f>AJ80*$F$73+AJ81*$F$74+AJ82*$F$75+IF(32=$B$68,IF($G$68="Y",1,$B$69)*$F$68,0)</f>
        <v/>
      </c>
      <c r="AK323" s="40">
        <f>AK80*$F$73+AK81*$F$74+AK82*$F$75+IF(33=$B$68,IF($G$68="Y",1,$B$69)*$F$68,0)</f>
        <v/>
      </c>
      <c r="AL323" s="40">
        <f>AL80*$F$73+AL81*$F$74+AL82*$F$75+IF(34=$B$68,IF($G$68="Y",1,$B$69)*$F$68,0)</f>
        <v/>
      </c>
      <c r="AM323" s="40">
        <f>AM80*$F$73+AM81*$F$74+AM82*$F$75+IF(35=$B$68,IF($G$68="Y",1,$B$69)*$F$68,0)</f>
        <v/>
      </c>
      <c r="AN323" s="40">
        <f>AN80*$F$73+AN81*$F$74+AN82*$F$75+IF(36=$B$68,IF($G$68="Y",1,$B$69)*$F$68,0)</f>
        <v/>
      </c>
      <c r="AO323" s="40">
        <f>AO80*$F$73+AO81*$F$74+AO82*$F$75+IF(37=$B$68,IF($G$68="Y",1,$B$69)*$F$68,0)</f>
        <v/>
      </c>
      <c r="AP323" s="40">
        <f>AP80*$F$73+AP81*$F$74+AP82*$F$75+IF(38=$B$68,IF($G$68="Y",1,$B$69)*$F$68,0)</f>
        <v/>
      </c>
      <c r="AQ323" s="40">
        <f>AQ80*$F$73+AQ81*$F$74+AQ82*$F$75+IF(39=$B$68,IF($G$68="Y",1,$B$69)*$F$68,0)</f>
        <v/>
      </c>
      <c r="AR323" s="40">
        <f>AR80*$F$73+AR81*$F$74+AR82*$F$75+IF(40=$B$68,IF($G$68="Y",1,$B$69)*$F$68,0)</f>
        <v/>
      </c>
      <c r="AS323" s="40">
        <f>AS80*$F$73+AS81*$F$74+AS82*$F$75+IF(41=$B$68,IF($G$68="Y",1,$B$69)*$F$68,0)</f>
        <v/>
      </c>
      <c r="AT323" s="40">
        <f>AT80*$F$73+AT81*$F$74+AT82*$F$75+IF(42=$B$68,IF($G$68="Y",1,$B$69)*$F$68,0)</f>
        <v/>
      </c>
      <c r="AU323" s="40">
        <f>AU80*$F$73+AU81*$F$74+AU82*$F$75+IF(43=$B$68,IF($G$68="Y",1,$B$69)*$F$68,0)</f>
        <v/>
      </c>
      <c r="AV323" s="40">
        <f>AV80*$F$73+AV81*$F$74+AV82*$F$75+IF(44=$B$68,IF($G$68="Y",1,$B$69)*$F$68,0)</f>
        <v/>
      </c>
      <c r="AW323" s="40">
        <f>AW80*$F$73+AW81*$F$74+AW82*$F$75+IF(45=$B$68,IF($G$68="Y",1,$B$69)*$F$68,0)</f>
        <v/>
      </c>
      <c r="AX323" s="40">
        <f>AX80*$F$73+AX81*$F$74+AX82*$F$75+IF(46=$B$68,IF($G$68="Y",1,$B$69)*$F$68,0)</f>
        <v/>
      </c>
      <c r="AY323" s="40">
        <f>AY80*$F$73+AY81*$F$74+AY82*$F$75+IF(47=$B$68,IF($G$68="Y",1,$B$69)*$F$68,0)</f>
        <v/>
      </c>
      <c r="AZ323" s="40">
        <f>AZ80*$F$73+AZ81*$F$74+AZ82*$F$75+IF(48=$B$68,IF($G$68="Y",1,$B$69)*$F$68,0)</f>
        <v/>
      </c>
      <c r="BA323" s="40">
        <f>BA80*$F$73+BA81*$F$74+BA82*$F$75+IF(49=$B$68,IF($G$68="Y",1,$B$69)*$F$68,0)</f>
        <v/>
      </c>
      <c r="BB323" s="40">
        <f>BB80*$F$73+BB81*$F$74+BB82*$F$75+IF(50=$B$68,IF($G$68="Y",1,$B$69)*$F$68,0)</f>
        <v/>
      </c>
      <c r="BC323" s="40">
        <f>BC80*$F$73+BC81*$F$74+BC82*$F$75+IF(51=$B$68,IF($G$68="Y",1,$B$69)*$F$68,0)</f>
        <v/>
      </c>
      <c r="BD323" s="40">
        <f>BD80*$F$73+BD81*$F$74+BD82*$F$75+IF(52=$B$68,IF($G$68="Y",1,$B$69)*$F$68,0)</f>
        <v/>
      </c>
    </row>
    <row r="324">
      <c r="A324" s="2" t="inlineStr">
        <is>
          <t xml:space="preserve">   COGS, not payroll: you pay for what they pick. ⚠️ The fixed cost lands ONCE, in the first week of their window — which is why its IF tests w=From and not the whole window. Charged per week it would bill $2,500 fifty-two times.</t>
        </is>
      </c>
    </row>
    <row r="326">
      <c r="A326" s="3" t="inlineStr">
        <is>
          <t>SPINACH  —  cold store</t>
        </is>
      </c>
      <c r="B326" s="53" t="inlineStr"/>
    </row>
    <row r="327">
      <c r="A327" s="36" t="inlineStr">
        <is>
          <t>Week</t>
        </is>
      </c>
      <c r="B327" s="37" t="inlineStr"/>
      <c r="E327" s="38" t="n">
        <v>1</v>
      </c>
      <c r="F327" s="38" t="n">
        <v>2</v>
      </c>
      <c r="G327" s="38" t="n">
        <v>3</v>
      </c>
      <c r="H327" s="38" t="n">
        <v>4</v>
      </c>
      <c r="I327" s="38" t="n">
        <v>5</v>
      </c>
      <c r="J327" s="38" t="n">
        <v>6</v>
      </c>
      <c r="K327" s="38" t="n">
        <v>7</v>
      </c>
      <c r="L327" s="38" t="n">
        <v>8</v>
      </c>
      <c r="M327" s="38" t="n">
        <v>9</v>
      </c>
      <c r="N327" s="38" t="n">
        <v>10</v>
      </c>
      <c r="O327" s="38" t="n">
        <v>11</v>
      </c>
      <c r="P327" s="38" t="n">
        <v>12</v>
      </c>
      <c r="Q327" s="38" t="n">
        <v>13</v>
      </c>
      <c r="R327" s="38" t="n">
        <v>14</v>
      </c>
      <c r="S327" s="38" t="n">
        <v>15</v>
      </c>
      <c r="T327" s="38" t="n">
        <v>16</v>
      </c>
      <c r="U327" s="38" t="n">
        <v>17</v>
      </c>
      <c r="V327" s="38" t="n">
        <v>18</v>
      </c>
      <c r="W327" s="38" t="n">
        <v>19</v>
      </c>
      <c r="X327" s="38" t="n">
        <v>20</v>
      </c>
      <c r="Y327" s="38" t="n">
        <v>21</v>
      </c>
      <c r="Z327" s="38" t="n">
        <v>22</v>
      </c>
      <c r="AA327" s="38" t="n">
        <v>23</v>
      </c>
      <c r="AB327" s="38" t="n">
        <v>24</v>
      </c>
      <c r="AC327" s="38" t="n">
        <v>25</v>
      </c>
      <c r="AD327" s="38" t="n">
        <v>26</v>
      </c>
      <c r="AE327" s="38" t="n">
        <v>27</v>
      </c>
      <c r="AF327" s="38" t="n">
        <v>28</v>
      </c>
      <c r="AG327" s="38" t="n">
        <v>29</v>
      </c>
      <c r="AH327" s="38" t="n">
        <v>30</v>
      </c>
      <c r="AI327" s="38" t="n">
        <v>31</v>
      </c>
      <c r="AJ327" s="38" t="n">
        <v>32</v>
      </c>
      <c r="AK327" s="38" t="n">
        <v>33</v>
      </c>
      <c r="AL327" s="38" t="n">
        <v>34</v>
      </c>
      <c r="AM327" s="38" t="n">
        <v>35</v>
      </c>
      <c r="AN327" s="38" t="n">
        <v>36</v>
      </c>
      <c r="AO327" s="38" t="n">
        <v>37</v>
      </c>
      <c r="AP327" s="38" t="n">
        <v>38</v>
      </c>
      <c r="AQ327" s="38" t="n">
        <v>39</v>
      </c>
      <c r="AR327" s="38" t="n">
        <v>40</v>
      </c>
      <c r="AS327" s="38" t="n">
        <v>41</v>
      </c>
      <c r="AT327" s="38" t="n">
        <v>42</v>
      </c>
      <c r="AU327" s="38" t="n">
        <v>43</v>
      </c>
      <c r="AV327" s="38" t="n">
        <v>44</v>
      </c>
      <c r="AW327" s="38" t="n">
        <v>45</v>
      </c>
      <c r="AX327" s="38" t="n">
        <v>46</v>
      </c>
      <c r="AY327" s="38" t="n">
        <v>47</v>
      </c>
      <c r="AZ327" s="38" t="n">
        <v>48</v>
      </c>
      <c r="BA327" s="38" t="n">
        <v>49</v>
      </c>
      <c r="BB327" s="38" t="n">
        <v>50</v>
      </c>
      <c r="BC327" s="38" t="n">
        <v>51</v>
      </c>
      <c r="BD327" s="38" t="n">
        <v>52</v>
      </c>
    </row>
    <row r="328">
      <c r="A328" s="4" t="inlineStr">
        <is>
          <t>Packed out -&gt; INTO the store</t>
        </is>
      </c>
      <c r="B328" s="2" t="inlineStr">
        <is>
          <t>lb</t>
        </is>
      </c>
      <c r="E328" s="40">
        <f>SUMPRODUCT(($B$92:$B$232="Spinach")*(E$92:E$232="H")*$C$92:$C$232)*$B$17/$J$17*$C$17</f>
        <v/>
      </c>
      <c r="F328" s="40">
        <f>SUMPRODUCT(($B$92:$B$232="Spinach")*(F$92:F$232="H")*$C$92:$C$232)*$B$17/$J$17*$C$17</f>
        <v/>
      </c>
      <c r="G328" s="40">
        <f>SUMPRODUCT(($B$92:$B$232="Spinach")*(G$92:G$232="H")*$C$92:$C$232)*$B$17/$J$17*$C$17</f>
        <v/>
      </c>
      <c r="H328" s="40">
        <f>SUMPRODUCT(($B$92:$B$232="Spinach")*(H$92:H$232="H")*$C$92:$C$232)*$B$17/$J$17*$C$17</f>
        <v/>
      </c>
      <c r="I328" s="40">
        <f>SUMPRODUCT(($B$92:$B$232="Spinach")*(I$92:I$232="H")*$C$92:$C$232)*$B$17/$J$17*$C$17</f>
        <v/>
      </c>
      <c r="J328" s="40">
        <f>SUMPRODUCT(($B$92:$B$232="Spinach")*(J$92:J$232="H")*$C$92:$C$232)*$B$17/$J$17*$C$17</f>
        <v/>
      </c>
      <c r="K328" s="40">
        <f>SUMPRODUCT(($B$92:$B$232="Spinach")*(K$92:K$232="H")*$C$92:$C$232)*$B$17/$J$17*$C$17</f>
        <v/>
      </c>
      <c r="L328" s="40">
        <f>SUMPRODUCT(($B$92:$B$232="Spinach")*(L$92:L$232="H")*$C$92:$C$232)*$B$17/$J$17*$C$17</f>
        <v/>
      </c>
      <c r="M328" s="40">
        <f>SUMPRODUCT(($B$92:$B$232="Spinach")*(M$92:M$232="H")*$C$92:$C$232)*$B$17/$J$17*$C$17</f>
        <v/>
      </c>
      <c r="N328" s="40">
        <f>SUMPRODUCT(($B$92:$B$232="Spinach")*(N$92:N$232="H")*$C$92:$C$232)*$B$17/$J$17*$C$17</f>
        <v/>
      </c>
      <c r="O328" s="40">
        <f>SUMPRODUCT(($B$92:$B$232="Spinach")*(O$92:O$232="H")*$C$92:$C$232)*$B$17/$J$17*$C$17</f>
        <v/>
      </c>
      <c r="P328" s="40">
        <f>SUMPRODUCT(($B$92:$B$232="Spinach")*(P$92:P$232="H")*$C$92:$C$232)*$B$17/$J$17*$C$17</f>
        <v/>
      </c>
      <c r="Q328" s="40">
        <f>SUMPRODUCT(($B$92:$B$232="Spinach")*(Q$92:Q$232="H")*$C$92:$C$232)*$B$17/$J$17*$C$17</f>
        <v/>
      </c>
      <c r="R328" s="40">
        <f>SUMPRODUCT(($B$92:$B$232="Spinach")*(R$92:R$232="H")*$C$92:$C$232)*$B$17/$J$17*$C$17</f>
        <v/>
      </c>
      <c r="S328" s="40">
        <f>SUMPRODUCT(($B$92:$B$232="Spinach")*(S$92:S$232="H")*$C$92:$C$232)*$B$17/$J$17*$C$17</f>
        <v/>
      </c>
      <c r="T328" s="40">
        <f>SUMPRODUCT(($B$92:$B$232="Spinach")*(T$92:T$232="H")*$C$92:$C$232)*$B$17/$J$17*$C$17</f>
        <v/>
      </c>
      <c r="U328" s="40">
        <f>SUMPRODUCT(($B$92:$B$232="Spinach")*(U$92:U$232="H")*$C$92:$C$232)*$B$17/$J$17*$C$17</f>
        <v/>
      </c>
      <c r="V328" s="40">
        <f>SUMPRODUCT(($B$92:$B$232="Spinach")*(V$92:V$232="H")*$C$92:$C$232)*$B$17/$J$17*$C$17</f>
        <v/>
      </c>
      <c r="W328" s="40">
        <f>SUMPRODUCT(($B$92:$B$232="Spinach")*(W$92:W$232="H")*$C$92:$C$232)*$B$17/$J$17*$C$17</f>
        <v/>
      </c>
      <c r="X328" s="40">
        <f>SUMPRODUCT(($B$92:$B$232="Spinach")*(X$92:X$232="H")*$C$92:$C$232)*$B$17/$J$17*$C$17</f>
        <v/>
      </c>
      <c r="Y328" s="40">
        <f>SUMPRODUCT(($B$92:$B$232="Spinach")*(Y$92:Y$232="H")*$C$92:$C$232)*$B$17/$J$17*$C$17</f>
        <v/>
      </c>
      <c r="Z328" s="40">
        <f>SUMPRODUCT(($B$92:$B$232="Spinach")*(Z$92:Z$232="H")*$C$92:$C$232)*$B$17/$J$17*$C$17</f>
        <v/>
      </c>
      <c r="AA328" s="40">
        <f>SUMPRODUCT(($B$92:$B$232="Spinach")*(AA$92:AA$232="H")*$C$92:$C$232)*$B$17/$J$17*$C$17</f>
        <v/>
      </c>
      <c r="AB328" s="40">
        <f>SUMPRODUCT(($B$92:$B$232="Spinach")*(AB$92:AB$232="H")*$C$92:$C$232)*$B$17/$J$17*$C$17</f>
        <v/>
      </c>
      <c r="AC328" s="40">
        <f>SUMPRODUCT(($B$92:$B$232="Spinach")*(AC$92:AC$232="H")*$C$92:$C$232)*$B$17/$J$17*$C$17</f>
        <v/>
      </c>
      <c r="AD328" s="40">
        <f>SUMPRODUCT(($B$92:$B$232="Spinach")*(AD$92:AD$232="H")*$C$92:$C$232)*$B$17/$J$17*$C$17</f>
        <v/>
      </c>
      <c r="AE328" s="40">
        <f>SUMPRODUCT(($B$92:$B$232="Spinach")*(AE$92:AE$232="H")*$C$92:$C$232)*$B$17/$J$17*$C$17</f>
        <v/>
      </c>
      <c r="AF328" s="40">
        <f>SUMPRODUCT(($B$92:$B$232="Spinach")*(AF$92:AF$232="H")*$C$92:$C$232)*$B$17/$J$17*$C$17</f>
        <v/>
      </c>
      <c r="AG328" s="40">
        <f>SUMPRODUCT(($B$92:$B$232="Spinach")*(AG$92:AG$232="H")*$C$92:$C$232)*$B$17/$J$17*$C$17</f>
        <v/>
      </c>
      <c r="AH328" s="40">
        <f>SUMPRODUCT(($B$92:$B$232="Spinach")*(AH$92:AH$232="H")*$C$92:$C$232)*$B$17/$J$17*$C$17</f>
        <v/>
      </c>
      <c r="AI328" s="40">
        <f>SUMPRODUCT(($B$92:$B$232="Spinach")*(AI$92:AI$232="H")*$C$92:$C$232)*$B$17/$J$17*$C$17</f>
        <v/>
      </c>
      <c r="AJ328" s="40">
        <f>SUMPRODUCT(($B$92:$B$232="Spinach")*(AJ$92:AJ$232="H")*$C$92:$C$232)*$B$17/$J$17*$C$17</f>
        <v/>
      </c>
      <c r="AK328" s="40">
        <f>SUMPRODUCT(($B$92:$B$232="Spinach")*(AK$92:AK$232="H")*$C$92:$C$232)*$B$17/$J$17*$C$17</f>
        <v/>
      </c>
      <c r="AL328" s="40">
        <f>SUMPRODUCT(($B$92:$B$232="Spinach")*(AL$92:AL$232="H")*$C$92:$C$232)*$B$17/$J$17*$C$17</f>
        <v/>
      </c>
      <c r="AM328" s="40">
        <f>SUMPRODUCT(($B$92:$B$232="Spinach")*(AM$92:AM$232="H")*$C$92:$C$232)*$B$17/$J$17*$C$17</f>
        <v/>
      </c>
      <c r="AN328" s="40">
        <f>SUMPRODUCT(($B$92:$B$232="Spinach")*(AN$92:AN$232="H")*$C$92:$C$232)*$B$17/$J$17*$C$17</f>
        <v/>
      </c>
      <c r="AO328" s="40">
        <f>SUMPRODUCT(($B$92:$B$232="Spinach")*(AO$92:AO$232="H")*$C$92:$C$232)*$B$17/$J$17*$C$17</f>
        <v/>
      </c>
      <c r="AP328" s="40">
        <f>SUMPRODUCT(($B$92:$B$232="Spinach")*(AP$92:AP$232="H")*$C$92:$C$232)*$B$17/$J$17*$C$17</f>
        <v/>
      </c>
      <c r="AQ328" s="40">
        <f>SUMPRODUCT(($B$92:$B$232="Spinach")*(AQ$92:AQ$232="H")*$C$92:$C$232)*$B$17/$J$17*$C$17</f>
        <v/>
      </c>
      <c r="AR328" s="40">
        <f>SUMPRODUCT(($B$92:$B$232="Spinach")*(AR$92:AR$232="H")*$C$92:$C$232)*$B$17/$J$17*$C$17</f>
        <v/>
      </c>
      <c r="AS328" s="40">
        <f>SUMPRODUCT(($B$92:$B$232="Spinach")*(AS$92:AS$232="H")*$C$92:$C$232)*$B$17/$J$17*$C$17</f>
        <v/>
      </c>
      <c r="AT328" s="40">
        <f>SUMPRODUCT(($B$92:$B$232="Spinach")*(AT$92:AT$232="H")*$C$92:$C$232)*$B$17/$J$17*$C$17</f>
        <v/>
      </c>
      <c r="AU328" s="40">
        <f>SUMPRODUCT(($B$92:$B$232="Spinach")*(AU$92:AU$232="H")*$C$92:$C$232)*$B$17/$J$17*$C$17</f>
        <v/>
      </c>
      <c r="AV328" s="40">
        <f>SUMPRODUCT(($B$92:$B$232="Spinach")*(AV$92:AV$232="H")*$C$92:$C$232)*$B$17/$J$17*$C$17</f>
        <v/>
      </c>
      <c r="AW328" s="40">
        <f>SUMPRODUCT(($B$92:$B$232="Spinach")*(AW$92:AW$232="H")*$C$92:$C$232)*$B$17/$J$17*$C$17</f>
        <v/>
      </c>
      <c r="AX328" s="40">
        <f>SUMPRODUCT(($B$92:$B$232="Spinach")*(AX$92:AX$232="H")*$C$92:$C$232)*$B$17/$J$17*$C$17</f>
        <v/>
      </c>
      <c r="AY328" s="40">
        <f>SUMPRODUCT(($B$92:$B$232="Spinach")*(AY$92:AY$232="H")*$C$92:$C$232)*$B$17/$J$17*$C$17</f>
        <v/>
      </c>
      <c r="AZ328" s="40">
        <f>SUMPRODUCT(($B$92:$B$232="Spinach")*(AZ$92:AZ$232="H")*$C$92:$C$232)*$B$17/$J$17*$C$17</f>
        <v/>
      </c>
      <c r="BA328" s="40">
        <f>SUMPRODUCT(($B$92:$B$232="Spinach")*(BA$92:BA$232="H")*$C$92:$C$232)*$B$17/$J$17*$C$17</f>
        <v/>
      </c>
      <c r="BB328" s="40">
        <f>SUMPRODUCT(($B$92:$B$232="Spinach")*(BB$92:BB$232="H")*$C$92:$C$232)*$B$17/$J$17*$C$17</f>
        <v/>
      </c>
      <c r="BC328" s="40">
        <f>SUMPRODUCT(($B$92:$B$232="Spinach")*(BC$92:BC$232="H")*$C$92:$C$232)*$B$17/$J$17*$C$17</f>
        <v/>
      </c>
      <c r="BD328" s="40">
        <f>SUMPRODUCT(($B$92:$B$232="Spinach")*(BD$92:BD$232="H")*$C$92:$C$232)*$B$17/$J$17*$C$17</f>
        <v/>
      </c>
    </row>
    <row r="329">
      <c r="A329" s="33" t="inlineStr">
        <is>
          <t>Stock carried in</t>
        </is>
      </c>
      <c r="B329" s="2" t="inlineStr">
        <is>
          <t>lb</t>
        </is>
      </c>
      <c r="E329" s="40" t="n">
        <v>0</v>
      </c>
      <c r="F329" s="40">
        <f>E344</f>
        <v/>
      </c>
      <c r="G329" s="40">
        <f>F344</f>
        <v/>
      </c>
      <c r="H329" s="40">
        <f>G344</f>
        <v/>
      </c>
      <c r="I329" s="40">
        <f>H344</f>
        <v/>
      </c>
      <c r="J329" s="40">
        <f>I344</f>
        <v/>
      </c>
      <c r="K329" s="40">
        <f>J344</f>
        <v/>
      </c>
      <c r="L329" s="40">
        <f>K344</f>
        <v/>
      </c>
      <c r="M329" s="40">
        <f>L344</f>
        <v/>
      </c>
      <c r="N329" s="40">
        <f>M344</f>
        <v/>
      </c>
      <c r="O329" s="40">
        <f>N344</f>
        <v/>
      </c>
      <c r="P329" s="40">
        <f>O344</f>
        <v/>
      </c>
      <c r="Q329" s="40">
        <f>P344</f>
        <v/>
      </c>
      <c r="R329" s="40">
        <f>Q344</f>
        <v/>
      </c>
      <c r="S329" s="40">
        <f>R344</f>
        <v/>
      </c>
      <c r="T329" s="40">
        <f>S344</f>
        <v/>
      </c>
      <c r="U329" s="40">
        <f>T344</f>
        <v/>
      </c>
      <c r="V329" s="40">
        <f>U344</f>
        <v/>
      </c>
      <c r="W329" s="40">
        <f>V344</f>
        <v/>
      </c>
      <c r="X329" s="40">
        <f>W344</f>
        <v/>
      </c>
      <c r="Y329" s="40">
        <f>X344</f>
        <v/>
      </c>
      <c r="Z329" s="40">
        <f>Y344</f>
        <v/>
      </c>
      <c r="AA329" s="40">
        <f>Z344</f>
        <v/>
      </c>
      <c r="AB329" s="40">
        <f>AA344</f>
        <v/>
      </c>
      <c r="AC329" s="40">
        <f>AB344</f>
        <v/>
      </c>
      <c r="AD329" s="40">
        <f>AC344</f>
        <v/>
      </c>
      <c r="AE329" s="40">
        <f>AD344</f>
        <v/>
      </c>
      <c r="AF329" s="40">
        <f>AE344</f>
        <v/>
      </c>
      <c r="AG329" s="40">
        <f>AF344</f>
        <v/>
      </c>
      <c r="AH329" s="40">
        <f>AG344</f>
        <v/>
      </c>
      <c r="AI329" s="40">
        <f>AH344</f>
        <v/>
      </c>
      <c r="AJ329" s="40">
        <f>AI344</f>
        <v/>
      </c>
      <c r="AK329" s="40">
        <f>AJ344</f>
        <v/>
      </c>
      <c r="AL329" s="40">
        <f>AK344</f>
        <v/>
      </c>
      <c r="AM329" s="40">
        <f>AL344</f>
        <v/>
      </c>
      <c r="AN329" s="40">
        <f>AM344</f>
        <v/>
      </c>
      <c r="AO329" s="40">
        <f>AN344</f>
        <v/>
      </c>
      <c r="AP329" s="40">
        <f>AO344</f>
        <v/>
      </c>
      <c r="AQ329" s="40">
        <f>AP344</f>
        <v/>
      </c>
      <c r="AR329" s="40">
        <f>AQ344</f>
        <v/>
      </c>
      <c r="AS329" s="40">
        <f>AR344</f>
        <v/>
      </c>
      <c r="AT329" s="40">
        <f>AS344</f>
        <v/>
      </c>
      <c r="AU329" s="40">
        <f>AT344</f>
        <v/>
      </c>
      <c r="AV329" s="40">
        <f>AU344</f>
        <v/>
      </c>
      <c r="AW329" s="40">
        <f>AV344</f>
        <v/>
      </c>
      <c r="AX329" s="40">
        <f>AW344</f>
        <v/>
      </c>
      <c r="AY329" s="40">
        <f>AX344</f>
        <v/>
      </c>
      <c r="AZ329" s="40">
        <f>AY344</f>
        <v/>
      </c>
      <c r="BA329" s="40">
        <f>AZ344</f>
        <v/>
      </c>
      <c r="BB329" s="40">
        <f>BA344</f>
        <v/>
      </c>
      <c r="BC329" s="40">
        <f>BB344</f>
        <v/>
      </c>
      <c r="BD329" s="40">
        <f>BC344</f>
        <v/>
      </c>
    </row>
    <row r="330">
      <c r="A330" s="33" t="inlineStr">
        <is>
          <t xml:space="preserve">   lost to shrink</t>
        </is>
      </c>
      <c r="B330" s="2" t="inlineStr">
        <is>
          <t>lb</t>
        </is>
      </c>
      <c r="E330" s="40">
        <f>E329*$G$17</f>
        <v/>
      </c>
      <c r="F330" s="40">
        <f>F329*$G$17</f>
        <v/>
      </c>
      <c r="G330" s="40">
        <f>G329*$G$17</f>
        <v/>
      </c>
      <c r="H330" s="40">
        <f>H329*$G$17</f>
        <v/>
      </c>
      <c r="I330" s="40">
        <f>I329*$G$17</f>
        <v/>
      </c>
      <c r="J330" s="40">
        <f>J329*$G$17</f>
        <v/>
      </c>
      <c r="K330" s="40">
        <f>K329*$G$17</f>
        <v/>
      </c>
      <c r="L330" s="40">
        <f>L329*$G$17</f>
        <v/>
      </c>
      <c r="M330" s="40">
        <f>M329*$G$17</f>
        <v/>
      </c>
      <c r="N330" s="40">
        <f>N329*$G$17</f>
        <v/>
      </c>
      <c r="O330" s="40">
        <f>O329*$G$17</f>
        <v/>
      </c>
      <c r="P330" s="40">
        <f>P329*$G$17</f>
        <v/>
      </c>
      <c r="Q330" s="40">
        <f>Q329*$G$17</f>
        <v/>
      </c>
      <c r="R330" s="40">
        <f>R329*$G$17</f>
        <v/>
      </c>
      <c r="S330" s="40">
        <f>S329*$G$17</f>
        <v/>
      </c>
      <c r="T330" s="40">
        <f>T329*$G$17</f>
        <v/>
      </c>
      <c r="U330" s="40">
        <f>U329*$G$17</f>
        <v/>
      </c>
      <c r="V330" s="40">
        <f>V329*$G$17</f>
        <v/>
      </c>
      <c r="W330" s="40">
        <f>W329*$G$17</f>
        <v/>
      </c>
      <c r="X330" s="40">
        <f>X329*$G$17</f>
        <v/>
      </c>
      <c r="Y330" s="40">
        <f>Y329*$G$17</f>
        <v/>
      </c>
      <c r="Z330" s="40">
        <f>Z329*$G$17</f>
        <v/>
      </c>
      <c r="AA330" s="40">
        <f>AA329*$G$17</f>
        <v/>
      </c>
      <c r="AB330" s="40">
        <f>AB329*$G$17</f>
        <v/>
      </c>
      <c r="AC330" s="40">
        <f>AC329*$G$17</f>
        <v/>
      </c>
      <c r="AD330" s="40">
        <f>AD329*$G$17</f>
        <v/>
      </c>
      <c r="AE330" s="40">
        <f>AE329*$G$17</f>
        <v/>
      </c>
      <c r="AF330" s="40">
        <f>AF329*$G$17</f>
        <v/>
      </c>
      <c r="AG330" s="40">
        <f>AG329*$G$17</f>
        <v/>
      </c>
      <c r="AH330" s="40">
        <f>AH329*$G$17</f>
        <v/>
      </c>
      <c r="AI330" s="40">
        <f>AI329*$G$17</f>
        <v/>
      </c>
      <c r="AJ330" s="40">
        <f>AJ329*$G$17</f>
        <v/>
      </c>
      <c r="AK330" s="40">
        <f>AK329*$G$17</f>
        <v/>
      </c>
      <c r="AL330" s="40">
        <f>AL329*$G$17</f>
        <v/>
      </c>
      <c r="AM330" s="40">
        <f>AM329*$G$17</f>
        <v/>
      </c>
      <c r="AN330" s="40">
        <f>AN329*$G$17</f>
        <v/>
      </c>
      <c r="AO330" s="40">
        <f>AO329*$G$17</f>
        <v/>
      </c>
      <c r="AP330" s="40">
        <f>AP329*$G$17</f>
        <v/>
      </c>
      <c r="AQ330" s="40">
        <f>AQ329*$G$17</f>
        <v/>
      </c>
      <c r="AR330" s="40">
        <f>AR329*$G$17</f>
        <v/>
      </c>
      <c r="AS330" s="40">
        <f>AS329*$G$17</f>
        <v/>
      </c>
      <c r="AT330" s="40">
        <f>AT329*$G$17</f>
        <v/>
      </c>
      <c r="AU330" s="40">
        <f>AU329*$G$17</f>
        <v/>
      </c>
      <c r="AV330" s="40">
        <f>AV329*$G$17</f>
        <v/>
      </c>
      <c r="AW330" s="40">
        <f>AW329*$G$17</f>
        <v/>
      </c>
      <c r="AX330" s="40">
        <f>AX329*$G$17</f>
        <v/>
      </c>
      <c r="AY330" s="40">
        <f>AY329*$G$17</f>
        <v/>
      </c>
      <c r="AZ330" s="40">
        <f>AZ329*$G$17</f>
        <v/>
      </c>
      <c r="BA330" s="40">
        <f>BA329*$G$17</f>
        <v/>
      </c>
      <c r="BB330" s="40">
        <f>BB329*$G$17</f>
        <v/>
      </c>
      <c r="BC330" s="40">
        <f>BC329*$G$17</f>
        <v/>
      </c>
      <c r="BD330" s="40">
        <f>BD329*$G$17</f>
        <v/>
      </c>
    </row>
    <row r="331">
      <c r="A331" s="4" t="inlineStr">
        <is>
          <t>In store this week</t>
        </is>
      </c>
      <c r="B331" s="2" t="inlineStr">
        <is>
          <t>lb</t>
        </is>
      </c>
      <c r="E331" s="40">
        <f>E329-E330+E328</f>
        <v/>
      </c>
      <c r="F331" s="40">
        <f>F329-F330+F328</f>
        <v/>
      </c>
      <c r="G331" s="40">
        <f>G329-G330+G328</f>
        <v/>
      </c>
      <c r="H331" s="40">
        <f>H329-H330+H328</f>
        <v/>
      </c>
      <c r="I331" s="40">
        <f>I329-I330+I328</f>
        <v/>
      </c>
      <c r="J331" s="40">
        <f>J329-J330+J328</f>
        <v/>
      </c>
      <c r="K331" s="40">
        <f>K329-K330+K328</f>
        <v/>
      </c>
      <c r="L331" s="40">
        <f>L329-L330+L328</f>
        <v/>
      </c>
      <c r="M331" s="40">
        <f>M329-M330+M328</f>
        <v/>
      </c>
      <c r="N331" s="40">
        <f>N329-N330+N328</f>
        <v/>
      </c>
      <c r="O331" s="40">
        <f>O329-O330+O328</f>
        <v/>
      </c>
      <c r="P331" s="40">
        <f>P329-P330+P328</f>
        <v/>
      </c>
      <c r="Q331" s="40">
        <f>Q329-Q330+Q328</f>
        <v/>
      </c>
      <c r="R331" s="40">
        <f>R329-R330+R328</f>
        <v/>
      </c>
      <c r="S331" s="40">
        <f>S329-S330+S328</f>
        <v/>
      </c>
      <c r="T331" s="40">
        <f>T329-T330+T328</f>
        <v/>
      </c>
      <c r="U331" s="40">
        <f>U329-U330+U328</f>
        <v/>
      </c>
      <c r="V331" s="40">
        <f>V329-V330+V328</f>
        <v/>
      </c>
      <c r="W331" s="40">
        <f>W329-W330+W328</f>
        <v/>
      </c>
      <c r="X331" s="40">
        <f>X329-X330+X328</f>
        <v/>
      </c>
      <c r="Y331" s="40">
        <f>Y329-Y330+Y328</f>
        <v/>
      </c>
      <c r="Z331" s="40">
        <f>Z329-Z330+Z328</f>
        <v/>
      </c>
      <c r="AA331" s="40">
        <f>AA329-AA330+AA328</f>
        <v/>
      </c>
      <c r="AB331" s="40">
        <f>AB329-AB330+AB328</f>
        <v/>
      </c>
      <c r="AC331" s="40">
        <f>AC329-AC330+AC328</f>
        <v/>
      </c>
      <c r="AD331" s="40">
        <f>AD329-AD330+AD328</f>
        <v/>
      </c>
      <c r="AE331" s="40">
        <f>AE329-AE330+AE328</f>
        <v/>
      </c>
      <c r="AF331" s="40">
        <f>AF329-AF330+AF328</f>
        <v/>
      </c>
      <c r="AG331" s="40">
        <f>AG329-AG330+AG328</f>
        <v/>
      </c>
      <c r="AH331" s="40">
        <f>AH329-AH330+AH328</f>
        <v/>
      </c>
      <c r="AI331" s="40">
        <f>AI329-AI330+AI328</f>
        <v/>
      </c>
      <c r="AJ331" s="40">
        <f>AJ329-AJ330+AJ328</f>
        <v/>
      </c>
      <c r="AK331" s="40">
        <f>AK329-AK330+AK328</f>
        <v/>
      </c>
      <c r="AL331" s="40">
        <f>AL329-AL330+AL328</f>
        <v/>
      </c>
      <c r="AM331" s="40">
        <f>AM329-AM330+AM328</f>
        <v/>
      </c>
      <c r="AN331" s="40">
        <f>AN329-AN330+AN328</f>
        <v/>
      </c>
      <c r="AO331" s="40">
        <f>AO329-AO330+AO328</f>
        <v/>
      </c>
      <c r="AP331" s="40">
        <f>AP329-AP330+AP328</f>
        <v/>
      </c>
      <c r="AQ331" s="40">
        <f>AQ329-AQ330+AQ328</f>
        <v/>
      </c>
      <c r="AR331" s="40">
        <f>AR329-AR330+AR328</f>
        <v/>
      </c>
      <c r="AS331" s="40">
        <f>AS329-AS330+AS328</f>
        <v/>
      </c>
      <c r="AT331" s="40">
        <f>AT329-AT330+AT328</f>
        <v/>
      </c>
      <c r="AU331" s="40">
        <f>AU329-AU330+AU328</f>
        <v/>
      </c>
      <c r="AV331" s="40">
        <f>AV329-AV330+AV328</f>
        <v/>
      </c>
      <c r="AW331" s="40">
        <f>AW329-AW330+AW328</f>
        <v/>
      </c>
      <c r="AX331" s="40">
        <f>AX329-AX330+AX328</f>
        <v/>
      </c>
      <c r="AY331" s="40">
        <f>AY329-AY330+AY328</f>
        <v/>
      </c>
      <c r="AZ331" s="40">
        <f>AZ329-AZ330+AZ328</f>
        <v/>
      </c>
      <c r="BA331" s="40">
        <f>BA329-BA330+BA328</f>
        <v/>
      </c>
      <c r="BB331" s="40">
        <f>BB329-BB330+BB328</f>
        <v/>
      </c>
      <c r="BC331" s="40">
        <f>BC329-BC330+BC328</f>
        <v/>
      </c>
      <c r="BD331" s="40">
        <f>BD329-BD330+BD328</f>
        <v/>
      </c>
    </row>
    <row r="332">
      <c r="A332" s="43" t="inlineStr">
        <is>
          <t>Farmers Market — most you may sell this week</t>
        </is>
      </c>
      <c r="B332" s="2" t="inlineStr">
        <is>
          <t>lb</t>
        </is>
      </c>
      <c r="E332" s="42">
        <f>IF($C$36="Annual",$D$36-0,IF(AND(1&gt;=$E$36,1&lt;=$F$36),$D$36,0))</f>
        <v/>
      </c>
      <c r="F332" s="42">
        <f>IF($C$36="Annual",$D$36-SUM(E465:E465),IF(AND(2&gt;=$E$36,2&lt;=$F$36),$D$36,0))</f>
        <v/>
      </c>
      <c r="G332" s="42">
        <f>IF($C$36="Annual",$D$36-SUM(E465:F465),IF(AND(3&gt;=$E$36,3&lt;=$F$36),$D$36,0))</f>
        <v/>
      </c>
      <c r="H332" s="42">
        <f>IF($C$36="Annual",$D$36-SUM(E465:G465),IF(AND(4&gt;=$E$36,4&lt;=$F$36),$D$36,0))</f>
        <v/>
      </c>
      <c r="I332" s="42">
        <f>IF($C$36="Annual",$D$36-SUM(E465:H465),IF(AND(5&gt;=$E$36,5&lt;=$F$36),$D$36,0))</f>
        <v/>
      </c>
      <c r="J332" s="42">
        <f>IF($C$36="Annual",$D$36-SUM(E465:I465),IF(AND(6&gt;=$E$36,6&lt;=$F$36),$D$36,0))</f>
        <v/>
      </c>
      <c r="K332" s="42">
        <f>IF($C$36="Annual",$D$36-SUM(E465:J465),IF(AND(7&gt;=$E$36,7&lt;=$F$36),$D$36,0))</f>
        <v/>
      </c>
      <c r="L332" s="42">
        <f>IF($C$36="Annual",$D$36-SUM(E465:K465),IF(AND(8&gt;=$E$36,8&lt;=$F$36),$D$36,0))</f>
        <v/>
      </c>
      <c r="M332" s="42">
        <f>IF($C$36="Annual",$D$36-SUM(E465:L465),IF(AND(9&gt;=$E$36,9&lt;=$F$36),$D$36,0))</f>
        <v/>
      </c>
      <c r="N332" s="42">
        <f>IF($C$36="Annual",$D$36-SUM(E465:M465),IF(AND(10&gt;=$E$36,10&lt;=$F$36),$D$36,0))</f>
        <v/>
      </c>
      <c r="O332" s="42">
        <f>IF($C$36="Annual",$D$36-SUM(E465:N465),IF(AND(11&gt;=$E$36,11&lt;=$F$36),$D$36,0))</f>
        <v/>
      </c>
      <c r="P332" s="42">
        <f>IF($C$36="Annual",$D$36-SUM(E465:O465),IF(AND(12&gt;=$E$36,12&lt;=$F$36),$D$36,0))</f>
        <v/>
      </c>
      <c r="Q332" s="42">
        <f>IF($C$36="Annual",$D$36-SUM(E465:P465),IF(AND(13&gt;=$E$36,13&lt;=$F$36),$D$36,0))</f>
        <v/>
      </c>
      <c r="R332" s="42">
        <f>IF($C$36="Annual",$D$36-SUM(E465:Q465),IF(AND(14&gt;=$E$36,14&lt;=$F$36),$D$36,0))</f>
        <v/>
      </c>
      <c r="S332" s="42">
        <f>IF($C$36="Annual",$D$36-SUM(E465:R465),IF(AND(15&gt;=$E$36,15&lt;=$F$36),$D$36,0))</f>
        <v/>
      </c>
      <c r="T332" s="42">
        <f>IF($C$36="Annual",$D$36-SUM(E465:S465),IF(AND(16&gt;=$E$36,16&lt;=$F$36),$D$36,0))</f>
        <v/>
      </c>
      <c r="U332" s="42">
        <f>IF($C$36="Annual",$D$36-SUM(E465:T465),IF(AND(17&gt;=$E$36,17&lt;=$F$36),$D$36,0))</f>
        <v/>
      </c>
      <c r="V332" s="42">
        <f>IF($C$36="Annual",$D$36-SUM(E465:U465),IF(AND(18&gt;=$E$36,18&lt;=$F$36),$D$36,0))</f>
        <v/>
      </c>
      <c r="W332" s="42">
        <f>IF($C$36="Annual",$D$36-SUM(E465:V465),IF(AND(19&gt;=$E$36,19&lt;=$F$36),$D$36,0))</f>
        <v/>
      </c>
      <c r="X332" s="42">
        <f>IF($C$36="Annual",$D$36-SUM(E465:W465),IF(AND(20&gt;=$E$36,20&lt;=$F$36),$D$36,0))</f>
        <v/>
      </c>
      <c r="Y332" s="42">
        <f>IF($C$36="Annual",$D$36-SUM(E465:X465),IF(AND(21&gt;=$E$36,21&lt;=$F$36),$D$36,0))</f>
        <v/>
      </c>
      <c r="Z332" s="42">
        <f>IF($C$36="Annual",$D$36-SUM(E465:Y465),IF(AND(22&gt;=$E$36,22&lt;=$F$36),$D$36,0))</f>
        <v/>
      </c>
      <c r="AA332" s="42">
        <f>IF($C$36="Annual",$D$36-SUM(E465:Z465),IF(AND(23&gt;=$E$36,23&lt;=$F$36),$D$36,0))</f>
        <v/>
      </c>
      <c r="AB332" s="42">
        <f>IF($C$36="Annual",$D$36-SUM(E465:AA465),IF(AND(24&gt;=$E$36,24&lt;=$F$36),$D$36,0))</f>
        <v/>
      </c>
      <c r="AC332" s="42">
        <f>IF($C$36="Annual",$D$36-SUM(E465:AB465),IF(AND(25&gt;=$E$36,25&lt;=$F$36),$D$36,0))</f>
        <v/>
      </c>
      <c r="AD332" s="42">
        <f>IF($C$36="Annual",$D$36-SUM(E465:AC465),IF(AND(26&gt;=$E$36,26&lt;=$F$36),$D$36,0))</f>
        <v/>
      </c>
      <c r="AE332" s="42">
        <f>IF($C$36="Annual",$D$36-SUM(E465:AD465),IF(AND(27&gt;=$E$36,27&lt;=$F$36),$D$36,0))</f>
        <v/>
      </c>
      <c r="AF332" s="42">
        <f>IF($C$36="Annual",$D$36-SUM(E465:AE465),IF(AND(28&gt;=$E$36,28&lt;=$F$36),$D$36,0))</f>
        <v/>
      </c>
      <c r="AG332" s="42">
        <f>IF($C$36="Annual",$D$36-SUM(E465:AF465),IF(AND(29&gt;=$E$36,29&lt;=$F$36),$D$36,0))</f>
        <v/>
      </c>
      <c r="AH332" s="42">
        <f>IF($C$36="Annual",$D$36-SUM(E465:AG465),IF(AND(30&gt;=$E$36,30&lt;=$F$36),$D$36,0))</f>
        <v/>
      </c>
      <c r="AI332" s="42">
        <f>IF($C$36="Annual",$D$36-SUM(E465:AH465),IF(AND(31&gt;=$E$36,31&lt;=$F$36),$D$36,0))</f>
        <v/>
      </c>
      <c r="AJ332" s="42">
        <f>IF($C$36="Annual",$D$36-SUM(E465:AI465),IF(AND(32&gt;=$E$36,32&lt;=$F$36),$D$36,0))</f>
        <v/>
      </c>
      <c r="AK332" s="42">
        <f>IF($C$36="Annual",$D$36-SUM(E465:AJ465),IF(AND(33&gt;=$E$36,33&lt;=$F$36),$D$36,0))</f>
        <v/>
      </c>
      <c r="AL332" s="42">
        <f>IF($C$36="Annual",$D$36-SUM(E465:AK465),IF(AND(34&gt;=$E$36,34&lt;=$F$36),$D$36,0))</f>
        <v/>
      </c>
      <c r="AM332" s="42">
        <f>IF($C$36="Annual",$D$36-SUM(E465:AL465),IF(AND(35&gt;=$E$36,35&lt;=$F$36),$D$36,0))</f>
        <v/>
      </c>
      <c r="AN332" s="42">
        <f>IF($C$36="Annual",$D$36-SUM(E465:AM465),IF(AND(36&gt;=$E$36,36&lt;=$F$36),$D$36,0))</f>
        <v/>
      </c>
      <c r="AO332" s="42">
        <f>IF($C$36="Annual",$D$36-SUM(E465:AN465),IF(AND(37&gt;=$E$36,37&lt;=$F$36),$D$36,0))</f>
        <v/>
      </c>
      <c r="AP332" s="42">
        <f>IF($C$36="Annual",$D$36-SUM(E465:AO465),IF(AND(38&gt;=$E$36,38&lt;=$F$36),$D$36,0))</f>
        <v/>
      </c>
      <c r="AQ332" s="42">
        <f>IF($C$36="Annual",$D$36-SUM(E465:AP465),IF(AND(39&gt;=$E$36,39&lt;=$F$36),$D$36,0))</f>
        <v/>
      </c>
      <c r="AR332" s="42">
        <f>IF($C$36="Annual",$D$36-SUM(E465:AQ465),IF(AND(40&gt;=$E$36,40&lt;=$F$36),$D$36,0))</f>
        <v/>
      </c>
      <c r="AS332" s="42">
        <f>IF($C$36="Annual",$D$36-SUM(E465:AR465),IF(AND(41&gt;=$E$36,41&lt;=$F$36),$D$36,0))</f>
        <v/>
      </c>
      <c r="AT332" s="42">
        <f>IF($C$36="Annual",$D$36-SUM(E465:AS465),IF(AND(42&gt;=$E$36,42&lt;=$F$36),$D$36,0))</f>
        <v/>
      </c>
      <c r="AU332" s="42">
        <f>IF($C$36="Annual",$D$36-SUM(E465:AT465),IF(AND(43&gt;=$E$36,43&lt;=$F$36),$D$36,0))</f>
        <v/>
      </c>
      <c r="AV332" s="42">
        <f>IF($C$36="Annual",$D$36-SUM(E465:AU465),IF(AND(44&gt;=$E$36,44&lt;=$F$36),$D$36,0))</f>
        <v/>
      </c>
      <c r="AW332" s="42">
        <f>IF($C$36="Annual",$D$36-SUM(E465:AV465),IF(AND(45&gt;=$E$36,45&lt;=$F$36),$D$36,0))</f>
        <v/>
      </c>
      <c r="AX332" s="42">
        <f>IF($C$36="Annual",$D$36-SUM(E465:AW465),IF(AND(46&gt;=$E$36,46&lt;=$F$36),$D$36,0))</f>
        <v/>
      </c>
      <c r="AY332" s="42">
        <f>IF($C$36="Annual",$D$36-SUM(E465:AX465),IF(AND(47&gt;=$E$36,47&lt;=$F$36),$D$36,0))</f>
        <v/>
      </c>
      <c r="AZ332" s="42">
        <f>IF($C$36="Annual",$D$36-SUM(E465:AY465),IF(AND(48&gt;=$E$36,48&lt;=$F$36),$D$36,0))</f>
        <v/>
      </c>
      <c r="BA332" s="42">
        <f>IF($C$36="Annual",$D$36-SUM(E465:AZ465),IF(AND(49&gt;=$E$36,49&lt;=$F$36),$D$36,0))</f>
        <v/>
      </c>
      <c r="BB332" s="42">
        <f>IF($C$36="Annual",$D$36-SUM(E465:BA465),IF(AND(50&gt;=$E$36,50&lt;=$F$36),$D$36,0))</f>
        <v/>
      </c>
      <c r="BC332" s="42">
        <f>IF($C$36="Annual",$D$36-SUM(E465:BB465),IF(AND(51&gt;=$E$36,51&lt;=$F$36),$D$36,0))</f>
        <v/>
      </c>
      <c r="BD332" s="42">
        <f>IF($C$36="Annual",$D$36-SUM(E465:BC465),IF(AND(52&gt;=$E$36,52&lt;=$F$36),$D$36,0))</f>
        <v/>
      </c>
    </row>
    <row r="333">
      <c r="A333" s="32" t="inlineStr">
        <is>
          <t>Farmers Market — OFFERED</t>
        </is>
      </c>
      <c r="B333" s="2" t="inlineStr">
        <is>
          <t>lb  &lt;-- SOLVER</t>
        </is>
      </c>
      <c r="E333" s="39" t="n">
        <v>0</v>
      </c>
      <c r="F333" s="39" t="n">
        <v>0</v>
      </c>
      <c r="G333" s="39" t="n">
        <v>0</v>
      </c>
      <c r="H333" s="39" t="n">
        <v>0</v>
      </c>
      <c r="I333" s="39" t="n">
        <v>0</v>
      </c>
      <c r="J333" s="39" t="n">
        <v>0</v>
      </c>
      <c r="K333" s="39" t="n">
        <v>0</v>
      </c>
      <c r="L333" s="39" t="n">
        <v>0</v>
      </c>
      <c r="M333" s="39" t="n">
        <v>0</v>
      </c>
      <c r="N333" s="39" t="n">
        <v>0</v>
      </c>
      <c r="O333" s="39" t="n">
        <v>0</v>
      </c>
      <c r="P333" s="39" t="n">
        <v>0</v>
      </c>
      <c r="Q333" s="39" t="n">
        <v>0</v>
      </c>
      <c r="R333" s="39" t="n">
        <v>0</v>
      </c>
      <c r="S333" s="39" t="n">
        <v>0</v>
      </c>
      <c r="T333" s="39" t="n">
        <v>0</v>
      </c>
      <c r="U333" s="39" t="n">
        <v>0</v>
      </c>
      <c r="V333" s="39" t="n">
        <v>0</v>
      </c>
      <c r="W333" s="39" t="n">
        <v>0</v>
      </c>
      <c r="X333" s="39" t="n">
        <v>0</v>
      </c>
      <c r="Y333" s="39" t="n">
        <v>0</v>
      </c>
      <c r="Z333" s="39" t="n">
        <v>0</v>
      </c>
      <c r="AA333" s="39" t="n">
        <v>0</v>
      </c>
      <c r="AB333" s="39" t="n">
        <v>0</v>
      </c>
      <c r="AC333" s="39" t="n">
        <v>0</v>
      </c>
      <c r="AD333" s="39" t="n">
        <v>0</v>
      </c>
      <c r="AE333" s="39" t="n">
        <v>0</v>
      </c>
      <c r="AF333" s="39" t="n">
        <v>0</v>
      </c>
      <c r="AG333" s="39" t="n">
        <v>0</v>
      </c>
      <c r="AH333" s="39" t="n">
        <v>0</v>
      </c>
      <c r="AI333" s="39" t="n">
        <v>0</v>
      </c>
      <c r="AJ333" s="39" t="n">
        <v>0</v>
      </c>
      <c r="AK333" s="39" t="n">
        <v>0</v>
      </c>
      <c r="AL333" s="39" t="n">
        <v>0</v>
      </c>
      <c r="AM333" s="39" t="n">
        <v>0</v>
      </c>
      <c r="AN333" s="39" t="n">
        <v>0</v>
      </c>
      <c r="AO333" s="39" t="n">
        <v>0</v>
      </c>
      <c r="AP333" s="39" t="n">
        <v>0</v>
      </c>
      <c r="AQ333" s="39" t="n">
        <v>0</v>
      </c>
      <c r="AR333" s="39" t="n">
        <v>0</v>
      </c>
      <c r="AS333" s="39" t="n">
        <v>0</v>
      </c>
      <c r="AT333" s="39" t="n">
        <v>0</v>
      </c>
      <c r="AU333" s="39" t="n">
        <v>0</v>
      </c>
      <c r="AV333" s="39" t="n">
        <v>0</v>
      </c>
      <c r="AW333" s="39" t="n">
        <v>0</v>
      </c>
      <c r="AX333" s="39" t="n">
        <v>0</v>
      </c>
      <c r="AY333" s="39" t="n">
        <v>0</v>
      </c>
      <c r="AZ333" s="39" t="n">
        <v>0</v>
      </c>
      <c r="BA333" s="39" t="n">
        <v>0</v>
      </c>
      <c r="BB333" s="39" t="n">
        <v>0</v>
      </c>
      <c r="BC333" s="39" t="n">
        <v>0</v>
      </c>
      <c r="BD333" s="39" t="n">
        <v>0</v>
      </c>
    </row>
    <row r="334">
      <c r="A334" s="54" t="inlineStr">
        <is>
          <t>Farmers Market — SOLD</t>
        </is>
      </c>
      <c r="B334" s="2" t="inlineStr">
        <is>
          <t>lb</t>
        </is>
      </c>
      <c r="E334" s="55">
        <f>E333*$G$36</f>
        <v/>
      </c>
      <c r="F334" s="55">
        <f>F333*$G$36</f>
        <v/>
      </c>
      <c r="G334" s="55">
        <f>G333*$G$36</f>
        <v/>
      </c>
      <c r="H334" s="55">
        <f>H333*$G$36</f>
        <v/>
      </c>
      <c r="I334" s="55">
        <f>I333*$G$36</f>
        <v/>
      </c>
      <c r="J334" s="55">
        <f>J333*$G$36</f>
        <v/>
      </c>
      <c r="K334" s="55">
        <f>K333*$G$36</f>
        <v/>
      </c>
      <c r="L334" s="55">
        <f>L333*$G$36</f>
        <v/>
      </c>
      <c r="M334" s="55">
        <f>M333*$G$36</f>
        <v/>
      </c>
      <c r="N334" s="55">
        <f>N333*$G$36</f>
        <v/>
      </c>
      <c r="O334" s="55">
        <f>O333*$G$36</f>
        <v/>
      </c>
      <c r="P334" s="55">
        <f>P333*$G$36</f>
        <v/>
      </c>
      <c r="Q334" s="55">
        <f>Q333*$G$36</f>
        <v/>
      </c>
      <c r="R334" s="55">
        <f>R333*$G$36</f>
        <v/>
      </c>
      <c r="S334" s="55">
        <f>S333*$G$36</f>
        <v/>
      </c>
      <c r="T334" s="55">
        <f>T333*$G$36</f>
        <v/>
      </c>
      <c r="U334" s="55">
        <f>U333*$G$36</f>
        <v/>
      </c>
      <c r="V334" s="55">
        <f>V333*$G$36</f>
        <v/>
      </c>
      <c r="W334" s="55">
        <f>W333*$G$36</f>
        <v/>
      </c>
      <c r="X334" s="55">
        <f>X333*$G$36</f>
        <v/>
      </c>
      <c r="Y334" s="55">
        <f>Y333*$G$36</f>
        <v/>
      </c>
      <c r="Z334" s="55">
        <f>Z333*$G$36</f>
        <v/>
      </c>
      <c r="AA334" s="55">
        <f>AA333*$G$36</f>
        <v/>
      </c>
      <c r="AB334" s="55">
        <f>AB333*$G$36</f>
        <v/>
      </c>
      <c r="AC334" s="55">
        <f>AC333*$G$36</f>
        <v/>
      </c>
      <c r="AD334" s="55">
        <f>AD333*$G$36</f>
        <v/>
      </c>
      <c r="AE334" s="55">
        <f>AE333*$G$36</f>
        <v/>
      </c>
      <c r="AF334" s="55">
        <f>AF333*$G$36</f>
        <v/>
      </c>
      <c r="AG334" s="55">
        <f>AG333*$G$36</f>
        <v/>
      </c>
      <c r="AH334" s="55">
        <f>AH333*$G$36</f>
        <v/>
      </c>
      <c r="AI334" s="55">
        <f>AI333*$G$36</f>
        <v/>
      </c>
      <c r="AJ334" s="55">
        <f>AJ333*$G$36</f>
        <v/>
      </c>
      <c r="AK334" s="55">
        <f>AK333*$G$36</f>
        <v/>
      </c>
      <c r="AL334" s="55">
        <f>AL333*$G$36</f>
        <v/>
      </c>
      <c r="AM334" s="55">
        <f>AM333*$G$36</f>
        <v/>
      </c>
      <c r="AN334" s="55">
        <f>AN333*$G$36</f>
        <v/>
      </c>
      <c r="AO334" s="55">
        <f>AO333*$G$36</f>
        <v/>
      </c>
      <c r="AP334" s="55">
        <f>AP333*$G$36</f>
        <v/>
      </c>
      <c r="AQ334" s="55">
        <f>AQ333*$G$36</f>
        <v/>
      </c>
      <c r="AR334" s="55">
        <f>AR333*$G$36</f>
        <v/>
      </c>
      <c r="AS334" s="55">
        <f>AS333*$G$36</f>
        <v/>
      </c>
      <c r="AT334" s="55">
        <f>AT333*$G$36</f>
        <v/>
      </c>
      <c r="AU334" s="55">
        <f>AU333*$G$36</f>
        <v/>
      </c>
      <c r="AV334" s="55">
        <f>AV333*$G$36</f>
        <v/>
      </c>
      <c r="AW334" s="55">
        <f>AW333*$G$36</f>
        <v/>
      </c>
      <c r="AX334" s="55">
        <f>AX333*$G$36</f>
        <v/>
      </c>
      <c r="AY334" s="55">
        <f>AY333*$G$36</f>
        <v/>
      </c>
      <c r="AZ334" s="55">
        <f>AZ333*$G$36</f>
        <v/>
      </c>
      <c r="BA334" s="55">
        <f>BA333*$G$36</f>
        <v/>
      </c>
      <c r="BB334" s="55">
        <f>BB333*$G$36</f>
        <v/>
      </c>
      <c r="BC334" s="55">
        <f>BC333*$G$36</f>
        <v/>
      </c>
      <c r="BD334" s="55">
        <f>BD333*$G$36</f>
        <v/>
      </c>
    </row>
    <row r="335">
      <c r="A335" s="33" t="inlineStr">
        <is>
          <t xml:space="preserve">   market loss (gone)</t>
        </is>
      </c>
      <c r="B335" s="2" t="inlineStr">
        <is>
          <t>lb</t>
        </is>
      </c>
      <c r="E335" s="40">
        <f>(E333-E334)*(1-$H$36)</f>
        <v/>
      </c>
      <c r="F335" s="40">
        <f>(F333-F334)*(1-$H$36)</f>
        <v/>
      </c>
      <c r="G335" s="40">
        <f>(G333-G334)*(1-$H$36)</f>
        <v/>
      </c>
      <c r="H335" s="40">
        <f>(H333-H334)*(1-$H$36)</f>
        <v/>
      </c>
      <c r="I335" s="40">
        <f>(I333-I334)*(1-$H$36)</f>
        <v/>
      </c>
      <c r="J335" s="40">
        <f>(J333-J334)*(1-$H$36)</f>
        <v/>
      </c>
      <c r="K335" s="40">
        <f>(K333-K334)*(1-$H$36)</f>
        <v/>
      </c>
      <c r="L335" s="40">
        <f>(L333-L334)*(1-$H$36)</f>
        <v/>
      </c>
      <c r="M335" s="40">
        <f>(M333-M334)*(1-$H$36)</f>
        <v/>
      </c>
      <c r="N335" s="40">
        <f>(N333-N334)*(1-$H$36)</f>
        <v/>
      </c>
      <c r="O335" s="40">
        <f>(O333-O334)*(1-$H$36)</f>
        <v/>
      </c>
      <c r="P335" s="40">
        <f>(P333-P334)*(1-$H$36)</f>
        <v/>
      </c>
      <c r="Q335" s="40">
        <f>(Q333-Q334)*(1-$H$36)</f>
        <v/>
      </c>
      <c r="R335" s="40">
        <f>(R333-R334)*(1-$H$36)</f>
        <v/>
      </c>
      <c r="S335" s="40">
        <f>(S333-S334)*(1-$H$36)</f>
        <v/>
      </c>
      <c r="T335" s="40">
        <f>(T333-T334)*(1-$H$36)</f>
        <v/>
      </c>
      <c r="U335" s="40">
        <f>(U333-U334)*(1-$H$36)</f>
        <v/>
      </c>
      <c r="V335" s="40">
        <f>(V333-V334)*(1-$H$36)</f>
        <v/>
      </c>
      <c r="W335" s="40">
        <f>(W333-W334)*(1-$H$36)</f>
        <v/>
      </c>
      <c r="X335" s="40">
        <f>(X333-X334)*(1-$H$36)</f>
        <v/>
      </c>
      <c r="Y335" s="40">
        <f>(Y333-Y334)*(1-$H$36)</f>
        <v/>
      </c>
      <c r="Z335" s="40">
        <f>(Z333-Z334)*(1-$H$36)</f>
        <v/>
      </c>
      <c r="AA335" s="40">
        <f>(AA333-AA334)*(1-$H$36)</f>
        <v/>
      </c>
      <c r="AB335" s="40">
        <f>(AB333-AB334)*(1-$H$36)</f>
        <v/>
      </c>
      <c r="AC335" s="40">
        <f>(AC333-AC334)*(1-$H$36)</f>
        <v/>
      </c>
      <c r="AD335" s="40">
        <f>(AD333-AD334)*(1-$H$36)</f>
        <v/>
      </c>
      <c r="AE335" s="40">
        <f>(AE333-AE334)*(1-$H$36)</f>
        <v/>
      </c>
      <c r="AF335" s="40">
        <f>(AF333-AF334)*(1-$H$36)</f>
        <v/>
      </c>
      <c r="AG335" s="40">
        <f>(AG333-AG334)*(1-$H$36)</f>
        <v/>
      </c>
      <c r="AH335" s="40">
        <f>(AH333-AH334)*(1-$H$36)</f>
        <v/>
      </c>
      <c r="AI335" s="40">
        <f>(AI333-AI334)*(1-$H$36)</f>
        <v/>
      </c>
      <c r="AJ335" s="40">
        <f>(AJ333-AJ334)*(1-$H$36)</f>
        <v/>
      </c>
      <c r="AK335" s="40">
        <f>(AK333-AK334)*(1-$H$36)</f>
        <v/>
      </c>
      <c r="AL335" s="40">
        <f>(AL333-AL334)*(1-$H$36)</f>
        <v/>
      </c>
      <c r="AM335" s="40">
        <f>(AM333-AM334)*(1-$H$36)</f>
        <v/>
      </c>
      <c r="AN335" s="40">
        <f>(AN333-AN334)*(1-$H$36)</f>
        <v/>
      </c>
      <c r="AO335" s="40">
        <f>(AO333-AO334)*(1-$H$36)</f>
        <v/>
      </c>
      <c r="AP335" s="40">
        <f>(AP333-AP334)*(1-$H$36)</f>
        <v/>
      </c>
      <c r="AQ335" s="40">
        <f>(AQ333-AQ334)*(1-$H$36)</f>
        <v/>
      </c>
      <c r="AR335" s="40">
        <f>(AR333-AR334)*(1-$H$36)</f>
        <v/>
      </c>
      <c r="AS335" s="40">
        <f>(AS333-AS334)*(1-$H$36)</f>
        <v/>
      </c>
      <c r="AT335" s="40">
        <f>(AT333-AT334)*(1-$H$36)</f>
        <v/>
      </c>
      <c r="AU335" s="40">
        <f>(AU333-AU334)*(1-$H$36)</f>
        <v/>
      </c>
      <c r="AV335" s="40">
        <f>(AV333-AV334)*(1-$H$36)</f>
        <v/>
      </c>
      <c r="AW335" s="40">
        <f>(AW333-AW334)*(1-$H$36)</f>
        <v/>
      </c>
      <c r="AX335" s="40">
        <f>(AX333-AX334)*(1-$H$36)</f>
        <v/>
      </c>
      <c r="AY335" s="40">
        <f>(AY333-AY334)*(1-$H$36)</f>
        <v/>
      </c>
      <c r="AZ335" s="40">
        <f>(AZ333-AZ334)*(1-$H$36)</f>
        <v/>
      </c>
      <c r="BA335" s="40">
        <f>(BA333-BA334)*(1-$H$36)</f>
        <v/>
      </c>
      <c r="BB335" s="40">
        <f>(BB333-BB334)*(1-$H$36)</f>
        <v/>
      </c>
      <c r="BC335" s="40">
        <f>(BC333-BC334)*(1-$H$36)</f>
        <v/>
      </c>
      <c r="BD335" s="40">
        <f>(BD333-BD334)*(1-$H$36)</f>
        <v/>
      </c>
    </row>
    <row r="336">
      <c r="A336" s="33" t="inlineStr">
        <is>
          <t xml:space="preserve">   returned to store</t>
        </is>
      </c>
      <c r="B336" s="2" t="inlineStr">
        <is>
          <t>lb</t>
        </is>
      </c>
      <c r="E336" s="40">
        <f>(E333-E334)*$H$36</f>
        <v/>
      </c>
      <c r="F336" s="40">
        <f>(F333-F334)*$H$36</f>
        <v/>
      </c>
      <c r="G336" s="40">
        <f>(G333-G334)*$H$36</f>
        <v/>
      </c>
      <c r="H336" s="40">
        <f>(H333-H334)*$H$36</f>
        <v/>
      </c>
      <c r="I336" s="40">
        <f>(I333-I334)*$H$36</f>
        <v/>
      </c>
      <c r="J336" s="40">
        <f>(J333-J334)*$H$36</f>
        <v/>
      </c>
      <c r="K336" s="40">
        <f>(K333-K334)*$H$36</f>
        <v/>
      </c>
      <c r="L336" s="40">
        <f>(L333-L334)*$H$36</f>
        <v/>
      </c>
      <c r="M336" s="40">
        <f>(M333-M334)*$H$36</f>
        <v/>
      </c>
      <c r="N336" s="40">
        <f>(N333-N334)*$H$36</f>
        <v/>
      </c>
      <c r="O336" s="40">
        <f>(O333-O334)*$H$36</f>
        <v/>
      </c>
      <c r="P336" s="40">
        <f>(P333-P334)*$H$36</f>
        <v/>
      </c>
      <c r="Q336" s="40">
        <f>(Q333-Q334)*$H$36</f>
        <v/>
      </c>
      <c r="R336" s="40">
        <f>(R333-R334)*$H$36</f>
        <v/>
      </c>
      <c r="S336" s="40">
        <f>(S333-S334)*$H$36</f>
        <v/>
      </c>
      <c r="T336" s="40">
        <f>(T333-T334)*$H$36</f>
        <v/>
      </c>
      <c r="U336" s="40">
        <f>(U333-U334)*$H$36</f>
        <v/>
      </c>
      <c r="V336" s="40">
        <f>(V333-V334)*$H$36</f>
        <v/>
      </c>
      <c r="W336" s="40">
        <f>(W333-W334)*$H$36</f>
        <v/>
      </c>
      <c r="X336" s="40">
        <f>(X333-X334)*$H$36</f>
        <v/>
      </c>
      <c r="Y336" s="40">
        <f>(Y333-Y334)*$H$36</f>
        <v/>
      </c>
      <c r="Z336" s="40">
        <f>(Z333-Z334)*$H$36</f>
        <v/>
      </c>
      <c r="AA336" s="40">
        <f>(AA333-AA334)*$H$36</f>
        <v/>
      </c>
      <c r="AB336" s="40">
        <f>(AB333-AB334)*$H$36</f>
        <v/>
      </c>
      <c r="AC336" s="40">
        <f>(AC333-AC334)*$H$36</f>
        <v/>
      </c>
      <c r="AD336" s="40">
        <f>(AD333-AD334)*$H$36</f>
        <v/>
      </c>
      <c r="AE336" s="40">
        <f>(AE333-AE334)*$H$36</f>
        <v/>
      </c>
      <c r="AF336" s="40">
        <f>(AF333-AF334)*$H$36</f>
        <v/>
      </c>
      <c r="AG336" s="40">
        <f>(AG333-AG334)*$H$36</f>
        <v/>
      </c>
      <c r="AH336" s="40">
        <f>(AH333-AH334)*$H$36</f>
        <v/>
      </c>
      <c r="AI336" s="40">
        <f>(AI333-AI334)*$H$36</f>
        <v/>
      </c>
      <c r="AJ336" s="40">
        <f>(AJ333-AJ334)*$H$36</f>
        <v/>
      </c>
      <c r="AK336" s="40">
        <f>(AK333-AK334)*$H$36</f>
        <v/>
      </c>
      <c r="AL336" s="40">
        <f>(AL333-AL334)*$H$36</f>
        <v/>
      </c>
      <c r="AM336" s="40">
        <f>(AM333-AM334)*$H$36</f>
        <v/>
      </c>
      <c r="AN336" s="40">
        <f>(AN333-AN334)*$H$36</f>
        <v/>
      </c>
      <c r="AO336" s="40">
        <f>(AO333-AO334)*$H$36</f>
        <v/>
      </c>
      <c r="AP336" s="40">
        <f>(AP333-AP334)*$H$36</f>
        <v/>
      </c>
      <c r="AQ336" s="40">
        <f>(AQ333-AQ334)*$H$36</f>
        <v/>
      </c>
      <c r="AR336" s="40">
        <f>(AR333-AR334)*$H$36</f>
        <v/>
      </c>
      <c r="AS336" s="40">
        <f>(AS333-AS334)*$H$36</f>
        <v/>
      </c>
      <c r="AT336" s="40">
        <f>(AT333-AT334)*$H$36</f>
        <v/>
      </c>
      <c r="AU336" s="40">
        <f>(AU333-AU334)*$H$36</f>
        <v/>
      </c>
      <c r="AV336" s="40">
        <f>(AV333-AV334)*$H$36</f>
        <v/>
      </c>
      <c r="AW336" s="40">
        <f>(AW333-AW334)*$H$36</f>
        <v/>
      </c>
      <c r="AX336" s="40">
        <f>(AX333-AX334)*$H$36</f>
        <v/>
      </c>
      <c r="AY336" s="40">
        <f>(AY333-AY334)*$H$36</f>
        <v/>
      </c>
      <c r="AZ336" s="40">
        <f>(AZ333-AZ334)*$H$36</f>
        <v/>
      </c>
      <c r="BA336" s="40">
        <f>(BA333-BA334)*$H$36</f>
        <v/>
      </c>
      <c r="BB336" s="40">
        <f>(BB333-BB334)*$H$36</f>
        <v/>
      </c>
      <c r="BC336" s="40">
        <f>(BC333-BC334)*$H$36</f>
        <v/>
      </c>
      <c r="BD336" s="40">
        <f>(BD333-BD334)*$H$36</f>
        <v/>
      </c>
    </row>
    <row r="337">
      <c r="A337" s="33" t="inlineStr">
        <is>
          <t xml:space="preserve">   leaves the store (offered - returned)</t>
        </is>
      </c>
      <c r="B337" s="2" t="inlineStr">
        <is>
          <t>lb</t>
        </is>
      </c>
      <c r="E337" s="40">
        <f>E333-E336</f>
        <v/>
      </c>
      <c r="F337" s="40">
        <f>F333-F336</f>
        <v/>
      </c>
      <c r="G337" s="40">
        <f>G333-G336</f>
        <v/>
      </c>
      <c r="H337" s="40">
        <f>H333-H336</f>
        <v/>
      </c>
      <c r="I337" s="40">
        <f>I333-I336</f>
        <v/>
      </c>
      <c r="J337" s="40">
        <f>J333-J336</f>
        <v/>
      </c>
      <c r="K337" s="40">
        <f>K333-K336</f>
        <v/>
      </c>
      <c r="L337" s="40">
        <f>L333-L336</f>
        <v/>
      </c>
      <c r="M337" s="40">
        <f>M333-M336</f>
        <v/>
      </c>
      <c r="N337" s="40">
        <f>N333-N336</f>
        <v/>
      </c>
      <c r="O337" s="40">
        <f>O333-O336</f>
        <v/>
      </c>
      <c r="P337" s="40">
        <f>P333-P336</f>
        <v/>
      </c>
      <c r="Q337" s="40">
        <f>Q333-Q336</f>
        <v/>
      </c>
      <c r="R337" s="40">
        <f>R333-R336</f>
        <v/>
      </c>
      <c r="S337" s="40">
        <f>S333-S336</f>
        <v/>
      </c>
      <c r="T337" s="40">
        <f>T333-T336</f>
        <v/>
      </c>
      <c r="U337" s="40">
        <f>U333-U336</f>
        <v/>
      </c>
      <c r="V337" s="40">
        <f>V333-V336</f>
        <v/>
      </c>
      <c r="W337" s="40">
        <f>W333-W336</f>
        <v/>
      </c>
      <c r="X337" s="40">
        <f>X333-X336</f>
        <v/>
      </c>
      <c r="Y337" s="40">
        <f>Y333-Y336</f>
        <v/>
      </c>
      <c r="Z337" s="40">
        <f>Z333-Z336</f>
        <v/>
      </c>
      <c r="AA337" s="40">
        <f>AA333-AA336</f>
        <v/>
      </c>
      <c r="AB337" s="40">
        <f>AB333-AB336</f>
        <v/>
      </c>
      <c r="AC337" s="40">
        <f>AC333-AC336</f>
        <v/>
      </c>
      <c r="AD337" s="40">
        <f>AD333-AD336</f>
        <v/>
      </c>
      <c r="AE337" s="40">
        <f>AE333-AE336</f>
        <v/>
      </c>
      <c r="AF337" s="40">
        <f>AF333-AF336</f>
        <v/>
      </c>
      <c r="AG337" s="40">
        <f>AG333-AG336</f>
        <v/>
      </c>
      <c r="AH337" s="40">
        <f>AH333-AH336</f>
        <v/>
      </c>
      <c r="AI337" s="40">
        <f>AI333-AI336</f>
        <v/>
      </c>
      <c r="AJ337" s="40">
        <f>AJ333-AJ336</f>
        <v/>
      </c>
      <c r="AK337" s="40">
        <f>AK333-AK336</f>
        <v/>
      </c>
      <c r="AL337" s="40">
        <f>AL333-AL336</f>
        <v/>
      </c>
      <c r="AM337" s="40">
        <f>AM333-AM336</f>
        <v/>
      </c>
      <c r="AN337" s="40">
        <f>AN333-AN336</f>
        <v/>
      </c>
      <c r="AO337" s="40">
        <f>AO333-AO336</f>
        <v/>
      </c>
      <c r="AP337" s="40">
        <f>AP333-AP336</f>
        <v/>
      </c>
      <c r="AQ337" s="40">
        <f>AQ333-AQ336</f>
        <v/>
      </c>
      <c r="AR337" s="40">
        <f>AR333-AR336</f>
        <v/>
      </c>
      <c r="AS337" s="40">
        <f>AS333-AS336</f>
        <v/>
      </c>
      <c r="AT337" s="40">
        <f>AT333-AT336</f>
        <v/>
      </c>
      <c r="AU337" s="40">
        <f>AU333-AU336</f>
        <v/>
      </c>
      <c r="AV337" s="40">
        <f>AV333-AV336</f>
        <v/>
      </c>
      <c r="AW337" s="40">
        <f>AW333-AW336</f>
        <v/>
      </c>
      <c r="AX337" s="40">
        <f>AX333-AX336</f>
        <v/>
      </c>
      <c r="AY337" s="40">
        <f>AY333-AY336</f>
        <v/>
      </c>
      <c r="AZ337" s="40">
        <f>AZ333-AZ336</f>
        <v/>
      </c>
      <c r="BA337" s="40">
        <f>BA333-BA336</f>
        <v/>
      </c>
      <c r="BB337" s="40">
        <f>BB333-BB336</f>
        <v/>
      </c>
      <c r="BC337" s="40">
        <f>BC333-BC336</f>
        <v/>
      </c>
      <c r="BD337" s="40">
        <f>BD333-BD336</f>
        <v/>
      </c>
    </row>
    <row r="338">
      <c r="A338" s="43" t="inlineStr">
        <is>
          <t>Wholesale — most you may sell this week</t>
        </is>
      </c>
      <c r="B338" s="2" t="inlineStr">
        <is>
          <t>lb</t>
        </is>
      </c>
      <c r="E338" s="42">
        <f>IF($C$37="Annual",$D$37-0,IF(AND(1&gt;=$E$37,1&lt;=$F$37),$D$37,0))</f>
        <v/>
      </c>
      <c r="F338" s="42">
        <f>IF($C$37="Annual",$D$37-SUM(E467:E467),IF(AND(2&gt;=$E$37,2&lt;=$F$37),$D$37,0))</f>
        <v/>
      </c>
      <c r="G338" s="42">
        <f>IF($C$37="Annual",$D$37-SUM(E467:F467),IF(AND(3&gt;=$E$37,3&lt;=$F$37),$D$37,0))</f>
        <v/>
      </c>
      <c r="H338" s="42">
        <f>IF($C$37="Annual",$D$37-SUM(E467:G467),IF(AND(4&gt;=$E$37,4&lt;=$F$37),$D$37,0))</f>
        <v/>
      </c>
      <c r="I338" s="42">
        <f>IF($C$37="Annual",$D$37-SUM(E467:H467),IF(AND(5&gt;=$E$37,5&lt;=$F$37),$D$37,0))</f>
        <v/>
      </c>
      <c r="J338" s="42">
        <f>IF($C$37="Annual",$D$37-SUM(E467:I467),IF(AND(6&gt;=$E$37,6&lt;=$F$37),$D$37,0))</f>
        <v/>
      </c>
      <c r="K338" s="42">
        <f>IF($C$37="Annual",$D$37-SUM(E467:J467),IF(AND(7&gt;=$E$37,7&lt;=$F$37),$D$37,0))</f>
        <v/>
      </c>
      <c r="L338" s="42">
        <f>IF($C$37="Annual",$D$37-SUM(E467:K467),IF(AND(8&gt;=$E$37,8&lt;=$F$37),$D$37,0))</f>
        <v/>
      </c>
      <c r="M338" s="42">
        <f>IF($C$37="Annual",$D$37-SUM(E467:L467),IF(AND(9&gt;=$E$37,9&lt;=$F$37),$D$37,0))</f>
        <v/>
      </c>
      <c r="N338" s="42">
        <f>IF($C$37="Annual",$D$37-SUM(E467:M467),IF(AND(10&gt;=$E$37,10&lt;=$F$37),$D$37,0))</f>
        <v/>
      </c>
      <c r="O338" s="42">
        <f>IF($C$37="Annual",$D$37-SUM(E467:N467),IF(AND(11&gt;=$E$37,11&lt;=$F$37),$D$37,0))</f>
        <v/>
      </c>
      <c r="P338" s="42">
        <f>IF($C$37="Annual",$D$37-SUM(E467:O467),IF(AND(12&gt;=$E$37,12&lt;=$F$37),$D$37,0))</f>
        <v/>
      </c>
      <c r="Q338" s="42">
        <f>IF($C$37="Annual",$D$37-SUM(E467:P467),IF(AND(13&gt;=$E$37,13&lt;=$F$37),$D$37,0))</f>
        <v/>
      </c>
      <c r="R338" s="42">
        <f>IF($C$37="Annual",$D$37-SUM(E467:Q467),IF(AND(14&gt;=$E$37,14&lt;=$F$37),$D$37,0))</f>
        <v/>
      </c>
      <c r="S338" s="42">
        <f>IF($C$37="Annual",$D$37-SUM(E467:R467),IF(AND(15&gt;=$E$37,15&lt;=$F$37),$D$37,0))</f>
        <v/>
      </c>
      <c r="T338" s="42">
        <f>IF($C$37="Annual",$D$37-SUM(E467:S467),IF(AND(16&gt;=$E$37,16&lt;=$F$37),$D$37,0))</f>
        <v/>
      </c>
      <c r="U338" s="42">
        <f>IF($C$37="Annual",$D$37-SUM(E467:T467),IF(AND(17&gt;=$E$37,17&lt;=$F$37),$D$37,0))</f>
        <v/>
      </c>
      <c r="V338" s="42">
        <f>IF($C$37="Annual",$D$37-SUM(E467:U467),IF(AND(18&gt;=$E$37,18&lt;=$F$37),$D$37,0))</f>
        <v/>
      </c>
      <c r="W338" s="42">
        <f>IF($C$37="Annual",$D$37-SUM(E467:V467),IF(AND(19&gt;=$E$37,19&lt;=$F$37),$D$37,0))</f>
        <v/>
      </c>
      <c r="X338" s="42">
        <f>IF($C$37="Annual",$D$37-SUM(E467:W467),IF(AND(20&gt;=$E$37,20&lt;=$F$37),$D$37,0))</f>
        <v/>
      </c>
      <c r="Y338" s="42">
        <f>IF($C$37="Annual",$D$37-SUM(E467:X467),IF(AND(21&gt;=$E$37,21&lt;=$F$37),$D$37,0))</f>
        <v/>
      </c>
      <c r="Z338" s="42">
        <f>IF($C$37="Annual",$D$37-SUM(E467:Y467),IF(AND(22&gt;=$E$37,22&lt;=$F$37),$D$37,0))</f>
        <v/>
      </c>
      <c r="AA338" s="42">
        <f>IF($C$37="Annual",$D$37-SUM(E467:Z467),IF(AND(23&gt;=$E$37,23&lt;=$F$37),$D$37,0))</f>
        <v/>
      </c>
      <c r="AB338" s="42">
        <f>IF($C$37="Annual",$D$37-SUM(E467:AA467),IF(AND(24&gt;=$E$37,24&lt;=$F$37),$D$37,0))</f>
        <v/>
      </c>
      <c r="AC338" s="42">
        <f>IF($C$37="Annual",$D$37-SUM(E467:AB467),IF(AND(25&gt;=$E$37,25&lt;=$F$37),$D$37,0))</f>
        <v/>
      </c>
      <c r="AD338" s="42">
        <f>IF($C$37="Annual",$D$37-SUM(E467:AC467),IF(AND(26&gt;=$E$37,26&lt;=$F$37),$D$37,0))</f>
        <v/>
      </c>
      <c r="AE338" s="42">
        <f>IF($C$37="Annual",$D$37-SUM(E467:AD467),IF(AND(27&gt;=$E$37,27&lt;=$F$37),$D$37,0))</f>
        <v/>
      </c>
      <c r="AF338" s="42">
        <f>IF($C$37="Annual",$D$37-SUM(E467:AE467),IF(AND(28&gt;=$E$37,28&lt;=$F$37),$D$37,0))</f>
        <v/>
      </c>
      <c r="AG338" s="42">
        <f>IF($C$37="Annual",$D$37-SUM(E467:AF467),IF(AND(29&gt;=$E$37,29&lt;=$F$37),$D$37,0))</f>
        <v/>
      </c>
      <c r="AH338" s="42">
        <f>IF($C$37="Annual",$D$37-SUM(E467:AG467),IF(AND(30&gt;=$E$37,30&lt;=$F$37),$D$37,0))</f>
        <v/>
      </c>
      <c r="AI338" s="42">
        <f>IF($C$37="Annual",$D$37-SUM(E467:AH467),IF(AND(31&gt;=$E$37,31&lt;=$F$37),$D$37,0))</f>
        <v/>
      </c>
      <c r="AJ338" s="42">
        <f>IF($C$37="Annual",$D$37-SUM(E467:AI467),IF(AND(32&gt;=$E$37,32&lt;=$F$37),$D$37,0))</f>
        <v/>
      </c>
      <c r="AK338" s="42">
        <f>IF($C$37="Annual",$D$37-SUM(E467:AJ467),IF(AND(33&gt;=$E$37,33&lt;=$F$37),$D$37,0))</f>
        <v/>
      </c>
      <c r="AL338" s="42">
        <f>IF($C$37="Annual",$D$37-SUM(E467:AK467),IF(AND(34&gt;=$E$37,34&lt;=$F$37),$D$37,0))</f>
        <v/>
      </c>
      <c r="AM338" s="42">
        <f>IF($C$37="Annual",$D$37-SUM(E467:AL467),IF(AND(35&gt;=$E$37,35&lt;=$F$37),$D$37,0))</f>
        <v/>
      </c>
      <c r="AN338" s="42">
        <f>IF($C$37="Annual",$D$37-SUM(E467:AM467),IF(AND(36&gt;=$E$37,36&lt;=$F$37),$D$37,0))</f>
        <v/>
      </c>
      <c r="AO338" s="42">
        <f>IF($C$37="Annual",$D$37-SUM(E467:AN467),IF(AND(37&gt;=$E$37,37&lt;=$F$37),$D$37,0))</f>
        <v/>
      </c>
      <c r="AP338" s="42">
        <f>IF($C$37="Annual",$D$37-SUM(E467:AO467),IF(AND(38&gt;=$E$37,38&lt;=$F$37),$D$37,0))</f>
        <v/>
      </c>
      <c r="AQ338" s="42">
        <f>IF($C$37="Annual",$D$37-SUM(E467:AP467),IF(AND(39&gt;=$E$37,39&lt;=$F$37),$D$37,0))</f>
        <v/>
      </c>
      <c r="AR338" s="42">
        <f>IF($C$37="Annual",$D$37-SUM(E467:AQ467),IF(AND(40&gt;=$E$37,40&lt;=$F$37),$D$37,0))</f>
        <v/>
      </c>
      <c r="AS338" s="42">
        <f>IF($C$37="Annual",$D$37-SUM(E467:AR467),IF(AND(41&gt;=$E$37,41&lt;=$F$37),$D$37,0))</f>
        <v/>
      </c>
      <c r="AT338" s="42">
        <f>IF($C$37="Annual",$D$37-SUM(E467:AS467),IF(AND(42&gt;=$E$37,42&lt;=$F$37),$D$37,0))</f>
        <v/>
      </c>
      <c r="AU338" s="42">
        <f>IF($C$37="Annual",$D$37-SUM(E467:AT467),IF(AND(43&gt;=$E$37,43&lt;=$F$37),$D$37,0))</f>
        <v/>
      </c>
      <c r="AV338" s="42">
        <f>IF($C$37="Annual",$D$37-SUM(E467:AU467),IF(AND(44&gt;=$E$37,44&lt;=$F$37),$D$37,0))</f>
        <v/>
      </c>
      <c r="AW338" s="42">
        <f>IF($C$37="Annual",$D$37-SUM(E467:AV467),IF(AND(45&gt;=$E$37,45&lt;=$F$37),$D$37,0))</f>
        <v/>
      </c>
      <c r="AX338" s="42">
        <f>IF($C$37="Annual",$D$37-SUM(E467:AW467),IF(AND(46&gt;=$E$37,46&lt;=$F$37),$D$37,0))</f>
        <v/>
      </c>
      <c r="AY338" s="42">
        <f>IF($C$37="Annual",$D$37-SUM(E467:AX467),IF(AND(47&gt;=$E$37,47&lt;=$F$37),$D$37,0))</f>
        <v/>
      </c>
      <c r="AZ338" s="42">
        <f>IF($C$37="Annual",$D$37-SUM(E467:AY467),IF(AND(48&gt;=$E$37,48&lt;=$F$37),$D$37,0))</f>
        <v/>
      </c>
      <c r="BA338" s="42">
        <f>IF($C$37="Annual",$D$37-SUM(E467:AZ467),IF(AND(49&gt;=$E$37,49&lt;=$F$37),$D$37,0))</f>
        <v/>
      </c>
      <c r="BB338" s="42">
        <f>IF($C$37="Annual",$D$37-SUM(E467:BA467),IF(AND(50&gt;=$E$37,50&lt;=$F$37),$D$37,0))</f>
        <v/>
      </c>
      <c r="BC338" s="42">
        <f>IF($C$37="Annual",$D$37-SUM(E467:BB467),IF(AND(51&gt;=$E$37,51&lt;=$F$37),$D$37,0))</f>
        <v/>
      </c>
      <c r="BD338" s="42">
        <f>IF($C$37="Annual",$D$37-SUM(E467:BC467),IF(AND(52&gt;=$E$37,52&lt;=$F$37),$D$37,0))</f>
        <v/>
      </c>
    </row>
    <row r="339">
      <c r="A339" s="32" t="inlineStr">
        <is>
          <t>Wholesale — OFFERED</t>
        </is>
      </c>
      <c r="B339" s="2" t="inlineStr">
        <is>
          <t>lb  &lt;-- SOLVER</t>
        </is>
      </c>
      <c r="E339" s="39" t="n">
        <v>0</v>
      </c>
      <c r="F339" s="39" t="n">
        <v>0</v>
      </c>
      <c r="G339" s="39" t="n">
        <v>0</v>
      </c>
      <c r="H339" s="39" t="n">
        <v>0</v>
      </c>
      <c r="I339" s="39" t="n">
        <v>0</v>
      </c>
      <c r="J339" s="39" t="n">
        <v>0</v>
      </c>
      <c r="K339" s="39" t="n">
        <v>0</v>
      </c>
      <c r="L339" s="39" t="n">
        <v>0</v>
      </c>
      <c r="M339" s="39" t="n">
        <v>0</v>
      </c>
      <c r="N339" s="39" t="n">
        <v>0</v>
      </c>
      <c r="O339" s="39" t="n">
        <v>0</v>
      </c>
      <c r="P339" s="39" t="n">
        <v>0</v>
      </c>
      <c r="Q339" s="39" t="n">
        <v>0</v>
      </c>
      <c r="R339" s="39" t="n">
        <v>0</v>
      </c>
      <c r="S339" s="39" t="n">
        <v>0</v>
      </c>
      <c r="T339" s="39" t="n">
        <v>0</v>
      </c>
      <c r="U339" s="39" t="n">
        <v>0</v>
      </c>
      <c r="V339" s="39" t="n">
        <v>0</v>
      </c>
      <c r="W339" s="39" t="n">
        <v>0</v>
      </c>
      <c r="X339" s="39" t="n">
        <v>0</v>
      </c>
      <c r="Y339" s="39" t="n">
        <v>0</v>
      </c>
      <c r="Z339" s="39" t="n">
        <v>0</v>
      </c>
      <c r="AA339" s="39" t="n">
        <v>0</v>
      </c>
      <c r="AB339" s="39" t="n">
        <v>0</v>
      </c>
      <c r="AC339" s="39" t="n">
        <v>0</v>
      </c>
      <c r="AD339" s="39" t="n">
        <v>0</v>
      </c>
      <c r="AE339" s="39" t="n">
        <v>0</v>
      </c>
      <c r="AF339" s="39" t="n">
        <v>0</v>
      </c>
      <c r="AG339" s="39" t="n">
        <v>0</v>
      </c>
      <c r="AH339" s="39" t="n">
        <v>0</v>
      </c>
      <c r="AI339" s="39" t="n">
        <v>0</v>
      </c>
      <c r="AJ339" s="39" t="n">
        <v>0</v>
      </c>
      <c r="AK339" s="39" t="n">
        <v>0</v>
      </c>
      <c r="AL339" s="39" t="n">
        <v>0</v>
      </c>
      <c r="AM339" s="39" t="n">
        <v>0</v>
      </c>
      <c r="AN339" s="39" t="n">
        <v>0</v>
      </c>
      <c r="AO339" s="39" t="n">
        <v>0</v>
      </c>
      <c r="AP339" s="39" t="n">
        <v>0</v>
      </c>
      <c r="AQ339" s="39" t="n">
        <v>0</v>
      </c>
      <c r="AR339" s="39" t="n">
        <v>0</v>
      </c>
      <c r="AS339" s="39" t="n">
        <v>0</v>
      </c>
      <c r="AT339" s="39" t="n">
        <v>0</v>
      </c>
      <c r="AU339" s="39" t="n">
        <v>0</v>
      </c>
      <c r="AV339" s="39" t="n">
        <v>0</v>
      </c>
      <c r="AW339" s="39" t="n">
        <v>0</v>
      </c>
      <c r="AX339" s="39" t="n">
        <v>0</v>
      </c>
      <c r="AY339" s="39" t="n">
        <v>0</v>
      </c>
      <c r="AZ339" s="39" t="n">
        <v>0</v>
      </c>
      <c r="BA339" s="39" t="n">
        <v>0</v>
      </c>
      <c r="BB339" s="39" t="n">
        <v>0</v>
      </c>
      <c r="BC339" s="39" t="n">
        <v>0</v>
      </c>
      <c r="BD339" s="39" t="n">
        <v>0</v>
      </c>
    </row>
    <row r="340">
      <c r="A340" s="56" t="inlineStr">
        <is>
          <t>Wholesale — SOLD</t>
        </is>
      </c>
      <c r="B340" s="2" t="inlineStr">
        <is>
          <t>lb</t>
        </is>
      </c>
      <c r="E340" s="57">
        <f>E339*$G$37</f>
        <v/>
      </c>
      <c r="F340" s="57">
        <f>F339*$G$37</f>
        <v/>
      </c>
      <c r="G340" s="57">
        <f>G339*$G$37</f>
        <v/>
      </c>
      <c r="H340" s="57">
        <f>H339*$G$37</f>
        <v/>
      </c>
      <c r="I340" s="57">
        <f>I339*$G$37</f>
        <v/>
      </c>
      <c r="J340" s="57">
        <f>J339*$G$37</f>
        <v/>
      </c>
      <c r="K340" s="57">
        <f>K339*$G$37</f>
        <v/>
      </c>
      <c r="L340" s="57">
        <f>L339*$G$37</f>
        <v/>
      </c>
      <c r="M340" s="57">
        <f>M339*$G$37</f>
        <v/>
      </c>
      <c r="N340" s="57">
        <f>N339*$G$37</f>
        <v/>
      </c>
      <c r="O340" s="57">
        <f>O339*$G$37</f>
        <v/>
      </c>
      <c r="P340" s="57">
        <f>P339*$G$37</f>
        <v/>
      </c>
      <c r="Q340" s="57">
        <f>Q339*$G$37</f>
        <v/>
      </c>
      <c r="R340" s="57">
        <f>R339*$G$37</f>
        <v/>
      </c>
      <c r="S340" s="57">
        <f>S339*$G$37</f>
        <v/>
      </c>
      <c r="T340" s="57">
        <f>T339*$G$37</f>
        <v/>
      </c>
      <c r="U340" s="57">
        <f>U339*$G$37</f>
        <v/>
      </c>
      <c r="V340" s="57">
        <f>V339*$G$37</f>
        <v/>
      </c>
      <c r="W340" s="57">
        <f>W339*$G$37</f>
        <v/>
      </c>
      <c r="X340" s="57">
        <f>X339*$G$37</f>
        <v/>
      </c>
      <c r="Y340" s="57">
        <f>Y339*$G$37</f>
        <v/>
      </c>
      <c r="Z340" s="57">
        <f>Z339*$G$37</f>
        <v/>
      </c>
      <c r="AA340" s="57">
        <f>AA339*$G$37</f>
        <v/>
      </c>
      <c r="AB340" s="57">
        <f>AB339*$G$37</f>
        <v/>
      </c>
      <c r="AC340" s="57">
        <f>AC339*$G$37</f>
        <v/>
      </c>
      <c r="AD340" s="57">
        <f>AD339*$G$37</f>
        <v/>
      </c>
      <c r="AE340" s="57">
        <f>AE339*$G$37</f>
        <v/>
      </c>
      <c r="AF340" s="57">
        <f>AF339*$G$37</f>
        <v/>
      </c>
      <c r="AG340" s="57">
        <f>AG339*$G$37</f>
        <v/>
      </c>
      <c r="AH340" s="57">
        <f>AH339*$G$37</f>
        <v/>
      </c>
      <c r="AI340" s="57">
        <f>AI339*$G$37</f>
        <v/>
      </c>
      <c r="AJ340" s="57">
        <f>AJ339*$G$37</f>
        <v/>
      </c>
      <c r="AK340" s="57">
        <f>AK339*$G$37</f>
        <v/>
      </c>
      <c r="AL340" s="57">
        <f>AL339*$G$37</f>
        <v/>
      </c>
      <c r="AM340" s="57">
        <f>AM339*$G$37</f>
        <v/>
      </c>
      <c r="AN340" s="57">
        <f>AN339*$G$37</f>
        <v/>
      </c>
      <c r="AO340" s="57">
        <f>AO339*$G$37</f>
        <v/>
      </c>
      <c r="AP340" s="57">
        <f>AP339*$G$37</f>
        <v/>
      </c>
      <c r="AQ340" s="57">
        <f>AQ339*$G$37</f>
        <v/>
      </c>
      <c r="AR340" s="57">
        <f>AR339*$G$37</f>
        <v/>
      </c>
      <c r="AS340" s="57">
        <f>AS339*$G$37</f>
        <v/>
      </c>
      <c r="AT340" s="57">
        <f>AT339*$G$37</f>
        <v/>
      </c>
      <c r="AU340" s="57">
        <f>AU339*$G$37</f>
        <v/>
      </c>
      <c r="AV340" s="57">
        <f>AV339*$G$37</f>
        <v/>
      </c>
      <c r="AW340" s="57">
        <f>AW339*$G$37</f>
        <v/>
      </c>
      <c r="AX340" s="57">
        <f>AX339*$G$37</f>
        <v/>
      </c>
      <c r="AY340" s="57">
        <f>AY339*$G$37</f>
        <v/>
      </c>
      <c r="AZ340" s="57">
        <f>AZ339*$G$37</f>
        <v/>
      </c>
      <c r="BA340" s="57">
        <f>BA339*$G$37</f>
        <v/>
      </c>
      <c r="BB340" s="57">
        <f>BB339*$G$37</f>
        <v/>
      </c>
      <c r="BC340" s="57">
        <f>BC339*$G$37</f>
        <v/>
      </c>
      <c r="BD340" s="57">
        <f>BD339*$G$37</f>
        <v/>
      </c>
    </row>
    <row r="341">
      <c r="A341" s="33" t="inlineStr">
        <is>
          <t xml:space="preserve">   market loss (gone)</t>
        </is>
      </c>
      <c r="B341" s="2" t="inlineStr">
        <is>
          <t>lb</t>
        </is>
      </c>
      <c r="E341" s="40">
        <f>(E339-E340)*(1-$H$37)</f>
        <v/>
      </c>
      <c r="F341" s="40">
        <f>(F339-F340)*(1-$H$37)</f>
        <v/>
      </c>
      <c r="G341" s="40">
        <f>(G339-G340)*(1-$H$37)</f>
        <v/>
      </c>
      <c r="H341" s="40">
        <f>(H339-H340)*(1-$H$37)</f>
        <v/>
      </c>
      <c r="I341" s="40">
        <f>(I339-I340)*(1-$H$37)</f>
        <v/>
      </c>
      <c r="J341" s="40">
        <f>(J339-J340)*(1-$H$37)</f>
        <v/>
      </c>
      <c r="K341" s="40">
        <f>(K339-K340)*(1-$H$37)</f>
        <v/>
      </c>
      <c r="L341" s="40">
        <f>(L339-L340)*(1-$H$37)</f>
        <v/>
      </c>
      <c r="M341" s="40">
        <f>(M339-M340)*(1-$H$37)</f>
        <v/>
      </c>
      <c r="N341" s="40">
        <f>(N339-N340)*(1-$H$37)</f>
        <v/>
      </c>
      <c r="O341" s="40">
        <f>(O339-O340)*(1-$H$37)</f>
        <v/>
      </c>
      <c r="P341" s="40">
        <f>(P339-P340)*(1-$H$37)</f>
        <v/>
      </c>
      <c r="Q341" s="40">
        <f>(Q339-Q340)*(1-$H$37)</f>
        <v/>
      </c>
      <c r="R341" s="40">
        <f>(R339-R340)*(1-$H$37)</f>
        <v/>
      </c>
      <c r="S341" s="40">
        <f>(S339-S340)*(1-$H$37)</f>
        <v/>
      </c>
      <c r="T341" s="40">
        <f>(T339-T340)*(1-$H$37)</f>
        <v/>
      </c>
      <c r="U341" s="40">
        <f>(U339-U340)*(1-$H$37)</f>
        <v/>
      </c>
      <c r="V341" s="40">
        <f>(V339-V340)*(1-$H$37)</f>
        <v/>
      </c>
      <c r="W341" s="40">
        <f>(W339-W340)*(1-$H$37)</f>
        <v/>
      </c>
      <c r="X341" s="40">
        <f>(X339-X340)*(1-$H$37)</f>
        <v/>
      </c>
      <c r="Y341" s="40">
        <f>(Y339-Y340)*(1-$H$37)</f>
        <v/>
      </c>
      <c r="Z341" s="40">
        <f>(Z339-Z340)*(1-$H$37)</f>
        <v/>
      </c>
      <c r="AA341" s="40">
        <f>(AA339-AA340)*(1-$H$37)</f>
        <v/>
      </c>
      <c r="AB341" s="40">
        <f>(AB339-AB340)*(1-$H$37)</f>
        <v/>
      </c>
      <c r="AC341" s="40">
        <f>(AC339-AC340)*(1-$H$37)</f>
        <v/>
      </c>
      <c r="AD341" s="40">
        <f>(AD339-AD340)*(1-$H$37)</f>
        <v/>
      </c>
      <c r="AE341" s="40">
        <f>(AE339-AE340)*(1-$H$37)</f>
        <v/>
      </c>
      <c r="AF341" s="40">
        <f>(AF339-AF340)*(1-$H$37)</f>
        <v/>
      </c>
      <c r="AG341" s="40">
        <f>(AG339-AG340)*(1-$H$37)</f>
        <v/>
      </c>
      <c r="AH341" s="40">
        <f>(AH339-AH340)*(1-$H$37)</f>
        <v/>
      </c>
      <c r="AI341" s="40">
        <f>(AI339-AI340)*(1-$H$37)</f>
        <v/>
      </c>
      <c r="AJ341" s="40">
        <f>(AJ339-AJ340)*(1-$H$37)</f>
        <v/>
      </c>
      <c r="AK341" s="40">
        <f>(AK339-AK340)*(1-$H$37)</f>
        <v/>
      </c>
      <c r="AL341" s="40">
        <f>(AL339-AL340)*(1-$H$37)</f>
        <v/>
      </c>
      <c r="AM341" s="40">
        <f>(AM339-AM340)*(1-$H$37)</f>
        <v/>
      </c>
      <c r="AN341" s="40">
        <f>(AN339-AN340)*(1-$H$37)</f>
        <v/>
      </c>
      <c r="AO341" s="40">
        <f>(AO339-AO340)*(1-$H$37)</f>
        <v/>
      </c>
      <c r="AP341" s="40">
        <f>(AP339-AP340)*(1-$H$37)</f>
        <v/>
      </c>
      <c r="AQ341" s="40">
        <f>(AQ339-AQ340)*(1-$H$37)</f>
        <v/>
      </c>
      <c r="AR341" s="40">
        <f>(AR339-AR340)*(1-$H$37)</f>
        <v/>
      </c>
      <c r="AS341" s="40">
        <f>(AS339-AS340)*(1-$H$37)</f>
        <v/>
      </c>
      <c r="AT341" s="40">
        <f>(AT339-AT340)*(1-$H$37)</f>
        <v/>
      </c>
      <c r="AU341" s="40">
        <f>(AU339-AU340)*(1-$H$37)</f>
        <v/>
      </c>
      <c r="AV341" s="40">
        <f>(AV339-AV340)*(1-$H$37)</f>
        <v/>
      </c>
      <c r="AW341" s="40">
        <f>(AW339-AW340)*(1-$H$37)</f>
        <v/>
      </c>
      <c r="AX341" s="40">
        <f>(AX339-AX340)*(1-$H$37)</f>
        <v/>
      </c>
      <c r="AY341" s="40">
        <f>(AY339-AY340)*(1-$H$37)</f>
        <v/>
      </c>
      <c r="AZ341" s="40">
        <f>(AZ339-AZ340)*(1-$H$37)</f>
        <v/>
      </c>
      <c r="BA341" s="40">
        <f>(BA339-BA340)*(1-$H$37)</f>
        <v/>
      </c>
      <c r="BB341" s="40">
        <f>(BB339-BB340)*(1-$H$37)</f>
        <v/>
      </c>
      <c r="BC341" s="40">
        <f>(BC339-BC340)*(1-$H$37)</f>
        <v/>
      </c>
      <c r="BD341" s="40">
        <f>(BD339-BD340)*(1-$H$37)</f>
        <v/>
      </c>
    </row>
    <row r="342">
      <c r="A342" s="33" t="inlineStr">
        <is>
          <t xml:space="preserve">   returned to store</t>
        </is>
      </c>
      <c r="B342" s="2" t="inlineStr">
        <is>
          <t>lb</t>
        </is>
      </c>
      <c r="E342" s="40">
        <f>(E339-E340)*$H$37</f>
        <v/>
      </c>
      <c r="F342" s="40">
        <f>(F339-F340)*$H$37</f>
        <v/>
      </c>
      <c r="G342" s="40">
        <f>(G339-G340)*$H$37</f>
        <v/>
      </c>
      <c r="H342" s="40">
        <f>(H339-H340)*$H$37</f>
        <v/>
      </c>
      <c r="I342" s="40">
        <f>(I339-I340)*$H$37</f>
        <v/>
      </c>
      <c r="J342" s="40">
        <f>(J339-J340)*$H$37</f>
        <v/>
      </c>
      <c r="K342" s="40">
        <f>(K339-K340)*$H$37</f>
        <v/>
      </c>
      <c r="L342" s="40">
        <f>(L339-L340)*$H$37</f>
        <v/>
      </c>
      <c r="M342" s="40">
        <f>(M339-M340)*$H$37</f>
        <v/>
      </c>
      <c r="N342" s="40">
        <f>(N339-N340)*$H$37</f>
        <v/>
      </c>
      <c r="O342" s="40">
        <f>(O339-O340)*$H$37</f>
        <v/>
      </c>
      <c r="P342" s="40">
        <f>(P339-P340)*$H$37</f>
        <v/>
      </c>
      <c r="Q342" s="40">
        <f>(Q339-Q340)*$H$37</f>
        <v/>
      </c>
      <c r="R342" s="40">
        <f>(R339-R340)*$H$37</f>
        <v/>
      </c>
      <c r="S342" s="40">
        <f>(S339-S340)*$H$37</f>
        <v/>
      </c>
      <c r="T342" s="40">
        <f>(T339-T340)*$H$37</f>
        <v/>
      </c>
      <c r="U342" s="40">
        <f>(U339-U340)*$H$37</f>
        <v/>
      </c>
      <c r="V342" s="40">
        <f>(V339-V340)*$H$37</f>
        <v/>
      </c>
      <c r="W342" s="40">
        <f>(W339-W340)*$H$37</f>
        <v/>
      </c>
      <c r="X342" s="40">
        <f>(X339-X340)*$H$37</f>
        <v/>
      </c>
      <c r="Y342" s="40">
        <f>(Y339-Y340)*$H$37</f>
        <v/>
      </c>
      <c r="Z342" s="40">
        <f>(Z339-Z340)*$H$37</f>
        <v/>
      </c>
      <c r="AA342" s="40">
        <f>(AA339-AA340)*$H$37</f>
        <v/>
      </c>
      <c r="AB342" s="40">
        <f>(AB339-AB340)*$H$37</f>
        <v/>
      </c>
      <c r="AC342" s="40">
        <f>(AC339-AC340)*$H$37</f>
        <v/>
      </c>
      <c r="AD342" s="40">
        <f>(AD339-AD340)*$H$37</f>
        <v/>
      </c>
      <c r="AE342" s="40">
        <f>(AE339-AE340)*$H$37</f>
        <v/>
      </c>
      <c r="AF342" s="40">
        <f>(AF339-AF340)*$H$37</f>
        <v/>
      </c>
      <c r="AG342" s="40">
        <f>(AG339-AG340)*$H$37</f>
        <v/>
      </c>
      <c r="AH342" s="40">
        <f>(AH339-AH340)*$H$37</f>
        <v/>
      </c>
      <c r="AI342" s="40">
        <f>(AI339-AI340)*$H$37</f>
        <v/>
      </c>
      <c r="AJ342" s="40">
        <f>(AJ339-AJ340)*$H$37</f>
        <v/>
      </c>
      <c r="AK342" s="40">
        <f>(AK339-AK340)*$H$37</f>
        <v/>
      </c>
      <c r="AL342" s="40">
        <f>(AL339-AL340)*$H$37</f>
        <v/>
      </c>
      <c r="AM342" s="40">
        <f>(AM339-AM340)*$H$37</f>
        <v/>
      </c>
      <c r="AN342" s="40">
        <f>(AN339-AN340)*$H$37</f>
        <v/>
      </c>
      <c r="AO342" s="40">
        <f>(AO339-AO340)*$H$37</f>
        <v/>
      </c>
      <c r="AP342" s="40">
        <f>(AP339-AP340)*$H$37</f>
        <v/>
      </c>
      <c r="AQ342" s="40">
        <f>(AQ339-AQ340)*$H$37</f>
        <v/>
      </c>
      <c r="AR342" s="40">
        <f>(AR339-AR340)*$H$37</f>
        <v/>
      </c>
      <c r="AS342" s="40">
        <f>(AS339-AS340)*$H$37</f>
        <v/>
      </c>
      <c r="AT342" s="40">
        <f>(AT339-AT340)*$H$37</f>
        <v/>
      </c>
      <c r="AU342" s="40">
        <f>(AU339-AU340)*$H$37</f>
        <v/>
      </c>
      <c r="AV342" s="40">
        <f>(AV339-AV340)*$H$37</f>
        <v/>
      </c>
      <c r="AW342" s="40">
        <f>(AW339-AW340)*$H$37</f>
        <v/>
      </c>
      <c r="AX342" s="40">
        <f>(AX339-AX340)*$H$37</f>
        <v/>
      </c>
      <c r="AY342" s="40">
        <f>(AY339-AY340)*$H$37</f>
        <v/>
      </c>
      <c r="AZ342" s="40">
        <f>(AZ339-AZ340)*$H$37</f>
        <v/>
      </c>
      <c r="BA342" s="40">
        <f>(BA339-BA340)*$H$37</f>
        <v/>
      </c>
      <c r="BB342" s="40">
        <f>(BB339-BB340)*$H$37</f>
        <v/>
      </c>
      <c r="BC342" s="40">
        <f>(BC339-BC340)*$H$37</f>
        <v/>
      </c>
      <c r="BD342" s="40">
        <f>(BD339-BD340)*$H$37</f>
        <v/>
      </c>
    </row>
    <row r="343">
      <c r="A343" s="33" t="inlineStr">
        <is>
          <t xml:space="preserve">   leaves the store (offered - returned)</t>
        </is>
      </c>
      <c r="B343" s="2" t="inlineStr">
        <is>
          <t>lb</t>
        </is>
      </c>
      <c r="E343" s="40">
        <f>E339-E342</f>
        <v/>
      </c>
      <c r="F343" s="40">
        <f>F339-F342</f>
        <v/>
      </c>
      <c r="G343" s="40">
        <f>G339-G342</f>
        <v/>
      </c>
      <c r="H343" s="40">
        <f>H339-H342</f>
        <v/>
      </c>
      <c r="I343" s="40">
        <f>I339-I342</f>
        <v/>
      </c>
      <c r="J343" s="40">
        <f>J339-J342</f>
        <v/>
      </c>
      <c r="K343" s="40">
        <f>K339-K342</f>
        <v/>
      </c>
      <c r="L343" s="40">
        <f>L339-L342</f>
        <v/>
      </c>
      <c r="M343" s="40">
        <f>M339-M342</f>
        <v/>
      </c>
      <c r="N343" s="40">
        <f>N339-N342</f>
        <v/>
      </c>
      <c r="O343" s="40">
        <f>O339-O342</f>
        <v/>
      </c>
      <c r="P343" s="40">
        <f>P339-P342</f>
        <v/>
      </c>
      <c r="Q343" s="40">
        <f>Q339-Q342</f>
        <v/>
      </c>
      <c r="R343" s="40">
        <f>R339-R342</f>
        <v/>
      </c>
      <c r="S343" s="40">
        <f>S339-S342</f>
        <v/>
      </c>
      <c r="T343" s="40">
        <f>T339-T342</f>
        <v/>
      </c>
      <c r="U343" s="40">
        <f>U339-U342</f>
        <v/>
      </c>
      <c r="V343" s="40">
        <f>V339-V342</f>
        <v/>
      </c>
      <c r="W343" s="40">
        <f>W339-W342</f>
        <v/>
      </c>
      <c r="X343" s="40">
        <f>X339-X342</f>
        <v/>
      </c>
      <c r="Y343" s="40">
        <f>Y339-Y342</f>
        <v/>
      </c>
      <c r="Z343" s="40">
        <f>Z339-Z342</f>
        <v/>
      </c>
      <c r="AA343" s="40">
        <f>AA339-AA342</f>
        <v/>
      </c>
      <c r="AB343" s="40">
        <f>AB339-AB342</f>
        <v/>
      </c>
      <c r="AC343" s="40">
        <f>AC339-AC342</f>
        <v/>
      </c>
      <c r="AD343" s="40">
        <f>AD339-AD342</f>
        <v/>
      </c>
      <c r="AE343" s="40">
        <f>AE339-AE342</f>
        <v/>
      </c>
      <c r="AF343" s="40">
        <f>AF339-AF342</f>
        <v/>
      </c>
      <c r="AG343" s="40">
        <f>AG339-AG342</f>
        <v/>
      </c>
      <c r="AH343" s="40">
        <f>AH339-AH342</f>
        <v/>
      </c>
      <c r="AI343" s="40">
        <f>AI339-AI342</f>
        <v/>
      </c>
      <c r="AJ343" s="40">
        <f>AJ339-AJ342</f>
        <v/>
      </c>
      <c r="AK343" s="40">
        <f>AK339-AK342</f>
        <v/>
      </c>
      <c r="AL343" s="40">
        <f>AL339-AL342</f>
        <v/>
      </c>
      <c r="AM343" s="40">
        <f>AM339-AM342</f>
        <v/>
      </c>
      <c r="AN343" s="40">
        <f>AN339-AN342</f>
        <v/>
      </c>
      <c r="AO343" s="40">
        <f>AO339-AO342</f>
        <v/>
      </c>
      <c r="AP343" s="40">
        <f>AP339-AP342</f>
        <v/>
      </c>
      <c r="AQ343" s="40">
        <f>AQ339-AQ342</f>
        <v/>
      </c>
      <c r="AR343" s="40">
        <f>AR339-AR342</f>
        <v/>
      </c>
      <c r="AS343" s="40">
        <f>AS339-AS342</f>
        <v/>
      </c>
      <c r="AT343" s="40">
        <f>AT339-AT342</f>
        <v/>
      </c>
      <c r="AU343" s="40">
        <f>AU339-AU342</f>
        <v/>
      </c>
      <c r="AV343" s="40">
        <f>AV339-AV342</f>
        <v/>
      </c>
      <c r="AW343" s="40">
        <f>AW339-AW342</f>
        <v/>
      </c>
      <c r="AX343" s="40">
        <f>AX339-AX342</f>
        <v/>
      </c>
      <c r="AY343" s="40">
        <f>AY339-AY342</f>
        <v/>
      </c>
      <c r="AZ343" s="40">
        <f>AZ339-AZ342</f>
        <v/>
      </c>
      <c r="BA343" s="40">
        <f>BA339-BA342</f>
        <v/>
      </c>
      <c r="BB343" s="40">
        <f>BB339-BB342</f>
        <v/>
      </c>
      <c r="BC343" s="40">
        <f>BC339-BC342</f>
        <v/>
      </c>
      <c r="BD343" s="40">
        <f>BD339-BD342</f>
        <v/>
      </c>
    </row>
    <row r="344">
      <c r="A344" s="41" t="inlineStr">
        <is>
          <t>Stock carried out</t>
        </is>
      </c>
      <c r="B344" s="2" t="inlineStr">
        <is>
          <t>lb</t>
        </is>
      </c>
      <c r="E344" s="40">
        <f>E331-E337-E343</f>
        <v/>
      </c>
      <c r="F344" s="40">
        <f>F331-F337-F343</f>
        <v/>
      </c>
      <c r="G344" s="40">
        <f>G331-G337-G343</f>
        <v/>
      </c>
      <c r="H344" s="40">
        <f>H331-H337-H343</f>
        <v/>
      </c>
      <c r="I344" s="40">
        <f>I331-I337-I343</f>
        <v/>
      </c>
      <c r="J344" s="40">
        <f>J331-J337-J343</f>
        <v/>
      </c>
      <c r="K344" s="40">
        <f>K331-K337-K343</f>
        <v/>
      </c>
      <c r="L344" s="40">
        <f>L331-L337-L343</f>
        <v/>
      </c>
      <c r="M344" s="40">
        <f>M331-M337-M343</f>
        <v/>
      </c>
      <c r="N344" s="40">
        <f>N331-N337-N343</f>
        <v/>
      </c>
      <c r="O344" s="40">
        <f>O331-O337-O343</f>
        <v/>
      </c>
      <c r="P344" s="40">
        <f>P331-P337-P343</f>
        <v/>
      </c>
      <c r="Q344" s="40">
        <f>Q331-Q337-Q343</f>
        <v/>
      </c>
      <c r="R344" s="40">
        <f>R331-R337-R343</f>
        <v/>
      </c>
      <c r="S344" s="40">
        <f>S331-S337-S343</f>
        <v/>
      </c>
      <c r="T344" s="40">
        <f>T331-T337-T343</f>
        <v/>
      </c>
      <c r="U344" s="40">
        <f>U331-U337-U343</f>
        <v/>
      </c>
      <c r="V344" s="40">
        <f>V331-V337-V343</f>
        <v/>
      </c>
      <c r="W344" s="40">
        <f>W331-W337-W343</f>
        <v/>
      </c>
      <c r="X344" s="40">
        <f>X331-X337-X343</f>
        <v/>
      </c>
      <c r="Y344" s="40">
        <f>Y331-Y337-Y343</f>
        <v/>
      </c>
      <c r="Z344" s="40">
        <f>Z331-Z337-Z343</f>
        <v/>
      </c>
      <c r="AA344" s="40">
        <f>AA331-AA337-AA343</f>
        <v/>
      </c>
      <c r="AB344" s="40">
        <f>AB331-AB337-AB343</f>
        <v/>
      </c>
      <c r="AC344" s="40">
        <f>AC331-AC337-AC343</f>
        <v/>
      </c>
      <c r="AD344" s="40">
        <f>AD331-AD337-AD343</f>
        <v/>
      </c>
      <c r="AE344" s="40">
        <f>AE331-AE337-AE343</f>
        <v/>
      </c>
      <c r="AF344" s="40">
        <f>AF331-AF337-AF343</f>
        <v/>
      </c>
      <c r="AG344" s="40">
        <f>AG331-AG337-AG343</f>
        <v/>
      </c>
      <c r="AH344" s="40">
        <f>AH331-AH337-AH343</f>
        <v/>
      </c>
      <c r="AI344" s="40">
        <f>AI331-AI337-AI343</f>
        <v/>
      </c>
      <c r="AJ344" s="40">
        <f>AJ331-AJ337-AJ343</f>
        <v/>
      </c>
      <c r="AK344" s="40">
        <f>AK331-AK337-AK343</f>
        <v/>
      </c>
      <c r="AL344" s="40">
        <f>AL331-AL337-AL343</f>
        <v/>
      </c>
      <c r="AM344" s="40">
        <f>AM331-AM337-AM343</f>
        <v/>
      </c>
      <c r="AN344" s="40">
        <f>AN331-AN337-AN343</f>
        <v/>
      </c>
      <c r="AO344" s="40">
        <f>AO331-AO337-AO343</f>
        <v/>
      </c>
      <c r="AP344" s="40">
        <f>AP331-AP337-AP343</f>
        <v/>
      </c>
      <c r="AQ344" s="40">
        <f>AQ331-AQ337-AQ343</f>
        <v/>
      </c>
      <c r="AR344" s="40">
        <f>AR331-AR337-AR343</f>
        <v/>
      </c>
      <c r="AS344" s="40">
        <f>AS331-AS337-AS343</f>
        <v/>
      </c>
      <c r="AT344" s="40">
        <f>AT331-AT337-AT343</f>
        <v/>
      </c>
      <c r="AU344" s="40">
        <f>AU331-AU337-AU343</f>
        <v/>
      </c>
      <c r="AV344" s="40">
        <f>AV331-AV337-AV343</f>
        <v/>
      </c>
      <c r="AW344" s="40">
        <f>AW331-AW337-AW343</f>
        <v/>
      </c>
      <c r="AX344" s="40">
        <f>AX331-AX337-AX343</f>
        <v/>
      </c>
      <c r="AY344" s="40">
        <f>AY331-AY337-AY343</f>
        <v/>
      </c>
      <c r="AZ344" s="40">
        <f>AZ331-AZ337-AZ343</f>
        <v/>
      </c>
      <c r="BA344" s="40">
        <f>BA331-BA337-BA343</f>
        <v/>
      </c>
      <c r="BB344" s="40">
        <f>BB331-BB337-BB343</f>
        <v/>
      </c>
      <c r="BC344" s="40">
        <f>BC331-BC337-BC343</f>
        <v/>
      </c>
      <c r="BD344" s="40">
        <f>BD331-BD337-BD343</f>
        <v/>
      </c>
    </row>
    <row r="345">
      <c r="A345" s="2" t="inlineStr">
        <is>
          <t xml:space="preserve">   ^ subtracts what LEAVES, not what was offered — so 'returned to store' is</t>
        </is>
      </c>
    </row>
    <row r="346">
      <c r="A346" s="2" t="inlineStr">
        <is>
          <t xml:space="preserve">     never taken out at all, and shows up as next week's carried in.</t>
        </is>
      </c>
    </row>
    <row r="347">
      <c r="A347" s="43" t="inlineStr">
        <is>
          <t>Most stock its shelf life allows</t>
        </is>
      </c>
      <c r="B347" s="2" t="inlineStr">
        <is>
          <t>lb</t>
        </is>
      </c>
      <c r="E347" s="42">
        <f>SUMPRODUCT(($E$327:$BD$327&gt;=1-$F$17+2)*($E$327:$BD$327&lt;=1)*$E$328:$BD$328*POWER(1-$G$17,($E$327:$BD$327&lt;=1)*(1-$E$327:$BD$327)))</f>
        <v/>
      </c>
      <c r="F347" s="42">
        <f>SUMPRODUCT(($E$327:$BD$327&gt;=2-$F$17+2)*($E$327:$BD$327&lt;=2)*$E$328:$BD$328*POWER(1-$G$17,($E$327:$BD$327&lt;=2)*(2-$E$327:$BD$327)))</f>
        <v/>
      </c>
      <c r="G347" s="42">
        <f>SUMPRODUCT(($E$327:$BD$327&gt;=3-$F$17+2)*($E$327:$BD$327&lt;=3)*$E$328:$BD$328*POWER(1-$G$17,($E$327:$BD$327&lt;=3)*(3-$E$327:$BD$327)))</f>
        <v/>
      </c>
      <c r="H347" s="42">
        <f>SUMPRODUCT(($E$327:$BD$327&gt;=4-$F$17+2)*($E$327:$BD$327&lt;=4)*$E$328:$BD$328*POWER(1-$G$17,($E$327:$BD$327&lt;=4)*(4-$E$327:$BD$327)))</f>
        <v/>
      </c>
      <c r="I347" s="42">
        <f>SUMPRODUCT(($E$327:$BD$327&gt;=5-$F$17+2)*($E$327:$BD$327&lt;=5)*$E$328:$BD$328*POWER(1-$G$17,($E$327:$BD$327&lt;=5)*(5-$E$327:$BD$327)))</f>
        <v/>
      </c>
      <c r="J347" s="42">
        <f>SUMPRODUCT(($E$327:$BD$327&gt;=6-$F$17+2)*($E$327:$BD$327&lt;=6)*$E$328:$BD$328*POWER(1-$G$17,($E$327:$BD$327&lt;=6)*(6-$E$327:$BD$327)))</f>
        <v/>
      </c>
      <c r="K347" s="42">
        <f>SUMPRODUCT(($E$327:$BD$327&gt;=7-$F$17+2)*($E$327:$BD$327&lt;=7)*$E$328:$BD$328*POWER(1-$G$17,($E$327:$BD$327&lt;=7)*(7-$E$327:$BD$327)))</f>
        <v/>
      </c>
      <c r="L347" s="42">
        <f>SUMPRODUCT(($E$327:$BD$327&gt;=8-$F$17+2)*($E$327:$BD$327&lt;=8)*$E$328:$BD$328*POWER(1-$G$17,($E$327:$BD$327&lt;=8)*(8-$E$327:$BD$327)))</f>
        <v/>
      </c>
      <c r="M347" s="42">
        <f>SUMPRODUCT(($E$327:$BD$327&gt;=9-$F$17+2)*($E$327:$BD$327&lt;=9)*$E$328:$BD$328*POWER(1-$G$17,($E$327:$BD$327&lt;=9)*(9-$E$327:$BD$327)))</f>
        <v/>
      </c>
      <c r="N347" s="42">
        <f>SUMPRODUCT(($E$327:$BD$327&gt;=10-$F$17+2)*($E$327:$BD$327&lt;=10)*$E$328:$BD$328*POWER(1-$G$17,($E$327:$BD$327&lt;=10)*(10-$E$327:$BD$327)))</f>
        <v/>
      </c>
      <c r="O347" s="42">
        <f>SUMPRODUCT(($E$327:$BD$327&gt;=11-$F$17+2)*($E$327:$BD$327&lt;=11)*$E$328:$BD$328*POWER(1-$G$17,($E$327:$BD$327&lt;=11)*(11-$E$327:$BD$327)))</f>
        <v/>
      </c>
      <c r="P347" s="42">
        <f>SUMPRODUCT(($E$327:$BD$327&gt;=12-$F$17+2)*($E$327:$BD$327&lt;=12)*$E$328:$BD$328*POWER(1-$G$17,($E$327:$BD$327&lt;=12)*(12-$E$327:$BD$327)))</f>
        <v/>
      </c>
      <c r="Q347" s="42">
        <f>SUMPRODUCT(($E$327:$BD$327&gt;=13-$F$17+2)*($E$327:$BD$327&lt;=13)*$E$328:$BD$328*POWER(1-$G$17,($E$327:$BD$327&lt;=13)*(13-$E$327:$BD$327)))</f>
        <v/>
      </c>
      <c r="R347" s="42">
        <f>SUMPRODUCT(($E$327:$BD$327&gt;=14-$F$17+2)*($E$327:$BD$327&lt;=14)*$E$328:$BD$328*POWER(1-$G$17,($E$327:$BD$327&lt;=14)*(14-$E$327:$BD$327)))</f>
        <v/>
      </c>
      <c r="S347" s="42">
        <f>SUMPRODUCT(($E$327:$BD$327&gt;=15-$F$17+2)*($E$327:$BD$327&lt;=15)*$E$328:$BD$328*POWER(1-$G$17,($E$327:$BD$327&lt;=15)*(15-$E$327:$BD$327)))</f>
        <v/>
      </c>
      <c r="T347" s="42">
        <f>SUMPRODUCT(($E$327:$BD$327&gt;=16-$F$17+2)*($E$327:$BD$327&lt;=16)*$E$328:$BD$328*POWER(1-$G$17,($E$327:$BD$327&lt;=16)*(16-$E$327:$BD$327)))</f>
        <v/>
      </c>
      <c r="U347" s="42">
        <f>SUMPRODUCT(($E$327:$BD$327&gt;=17-$F$17+2)*($E$327:$BD$327&lt;=17)*$E$328:$BD$328*POWER(1-$G$17,($E$327:$BD$327&lt;=17)*(17-$E$327:$BD$327)))</f>
        <v/>
      </c>
      <c r="V347" s="42">
        <f>SUMPRODUCT(($E$327:$BD$327&gt;=18-$F$17+2)*($E$327:$BD$327&lt;=18)*$E$328:$BD$328*POWER(1-$G$17,($E$327:$BD$327&lt;=18)*(18-$E$327:$BD$327)))</f>
        <v/>
      </c>
      <c r="W347" s="42">
        <f>SUMPRODUCT(($E$327:$BD$327&gt;=19-$F$17+2)*($E$327:$BD$327&lt;=19)*$E$328:$BD$328*POWER(1-$G$17,($E$327:$BD$327&lt;=19)*(19-$E$327:$BD$327)))</f>
        <v/>
      </c>
      <c r="X347" s="42">
        <f>SUMPRODUCT(($E$327:$BD$327&gt;=20-$F$17+2)*($E$327:$BD$327&lt;=20)*$E$328:$BD$328*POWER(1-$G$17,($E$327:$BD$327&lt;=20)*(20-$E$327:$BD$327)))</f>
        <v/>
      </c>
      <c r="Y347" s="42">
        <f>SUMPRODUCT(($E$327:$BD$327&gt;=21-$F$17+2)*($E$327:$BD$327&lt;=21)*$E$328:$BD$328*POWER(1-$G$17,($E$327:$BD$327&lt;=21)*(21-$E$327:$BD$327)))</f>
        <v/>
      </c>
      <c r="Z347" s="42">
        <f>SUMPRODUCT(($E$327:$BD$327&gt;=22-$F$17+2)*($E$327:$BD$327&lt;=22)*$E$328:$BD$328*POWER(1-$G$17,($E$327:$BD$327&lt;=22)*(22-$E$327:$BD$327)))</f>
        <v/>
      </c>
      <c r="AA347" s="42">
        <f>SUMPRODUCT(($E$327:$BD$327&gt;=23-$F$17+2)*($E$327:$BD$327&lt;=23)*$E$328:$BD$328*POWER(1-$G$17,($E$327:$BD$327&lt;=23)*(23-$E$327:$BD$327)))</f>
        <v/>
      </c>
      <c r="AB347" s="42">
        <f>SUMPRODUCT(($E$327:$BD$327&gt;=24-$F$17+2)*($E$327:$BD$327&lt;=24)*$E$328:$BD$328*POWER(1-$G$17,($E$327:$BD$327&lt;=24)*(24-$E$327:$BD$327)))</f>
        <v/>
      </c>
      <c r="AC347" s="42">
        <f>SUMPRODUCT(($E$327:$BD$327&gt;=25-$F$17+2)*($E$327:$BD$327&lt;=25)*$E$328:$BD$328*POWER(1-$G$17,($E$327:$BD$327&lt;=25)*(25-$E$327:$BD$327)))</f>
        <v/>
      </c>
      <c r="AD347" s="42">
        <f>SUMPRODUCT(($E$327:$BD$327&gt;=26-$F$17+2)*($E$327:$BD$327&lt;=26)*$E$328:$BD$328*POWER(1-$G$17,($E$327:$BD$327&lt;=26)*(26-$E$327:$BD$327)))</f>
        <v/>
      </c>
      <c r="AE347" s="42">
        <f>SUMPRODUCT(($E$327:$BD$327&gt;=27-$F$17+2)*($E$327:$BD$327&lt;=27)*$E$328:$BD$328*POWER(1-$G$17,($E$327:$BD$327&lt;=27)*(27-$E$327:$BD$327)))</f>
        <v/>
      </c>
      <c r="AF347" s="42">
        <f>SUMPRODUCT(($E$327:$BD$327&gt;=28-$F$17+2)*($E$327:$BD$327&lt;=28)*$E$328:$BD$328*POWER(1-$G$17,($E$327:$BD$327&lt;=28)*(28-$E$327:$BD$327)))</f>
        <v/>
      </c>
      <c r="AG347" s="42">
        <f>SUMPRODUCT(($E$327:$BD$327&gt;=29-$F$17+2)*($E$327:$BD$327&lt;=29)*$E$328:$BD$328*POWER(1-$G$17,($E$327:$BD$327&lt;=29)*(29-$E$327:$BD$327)))</f>
        <v/>
      </c>
      <c r="AH347" s="42">
        <f>SUMPRODUCT(($E$327:$BD$327&gt;=30-$F$17+2)*($E$327:$BD$327&lt;=30)*$E$328:$BD$328*POWER(1-$G$17,($E$327:$BD$327&lt;=30)*(30-$E$327:$BD$327)))</f>
        <v/>
      </c>
      <c r="AI347" s="42">
        <f>SUMPRODUCT(($E$327:$BD$327&gt;=31-$F$17+2)*($E$327:$BD$327&lt;=31)*$E$328:$BD$328*POWER(1-$G$17,($E$327:$BD$327&lt;=31)*(31-$E$327:$BD$327)))</f>
        <v/>
      </c>
      <c r="AJ347" s="42">
        <f>SUMPRODUCT(($E$327:$BD$327&gt;=32-$F$17+2)*($E$327:$BD$327&lt;=32)*$E$328:$BD$328*POWER(1-$G$17,($E$327:$BD$327&lt;=32)*(32-$E$327:$BD$327)))</f>
        <v/>
      </c>
      <c r="AK347" s="42">
        <f>SUMPRODUCT(($E$327:$BD$327&gt;=33-$F$17+2)*($E$327:$BD$327&lt;=33)*$E$328:$BD$328*POWER(1-$G$17,($E$327:$BD$327&lt;=33)*(33-$E$327:$BD$327)))</f>
        <v/>
      </c>
      <c r="AL347" s="42">
        <f>SUMPRODUCT(($E$327:$BD$327&gt;=34-$F$17+2)*($E$327:$BD$327&lt;=34)*$E$328:$BD$328*POWER(1-$G$17,($E$327:$BD$327&lt;=34)*(34-$E$327:$BD$327)))</f>
        <v/>
      </c>
      <c r="AM347" s="42">
        <f>SUMPRODUCT(($E$327:$BD$327&gt;=35-$F$17+2)*($E$327:$BD$327&lt;=35)*$E$328:$BD$328*POWER(1-$G$17,($E$327:$BD$327&lt;=35)*(35-$E$327:$BD$327)))</f>
        <v/>
      </c>
      <c r="AN347" s="42">
        <f>SUMPRODUCT(($E$327:$BD$327&gt;=36-$F$17+2)*($E$327:$BD$327&lt;=36)*$E$328:$BD$328*POWER(1-$G$17,($E$327:$BD$327&lt;=36)*(36-$E$327:$BD$327)))</f>
        <v/>
      </c>
      <c r="AO347" s="42">
        <f>SUMPRODUCT(($E$327:$BD$327&gt;=37-$F$17+2)*($E$327:$BD$327&lt;=37)*$E$328:$BD$328*POWER(1-$G$17,($E$327:$BD$327&lt;=37)*(37-$E$327:$BD$327)))</f>
        <v/>
      </c>
      <c r="AP347" s="42">
        <f>SUMPRODUCT(($E$327:$BD$327&gt;=38-$F$17+2)*($E$327:$BD$327&lt;=38)*$E$328:$BD$328*POWER(1-$G$17,($E$327:$BD$327&lt;=38)*(38-$E$327:$BD$327)))</f>
        <v/>
      </c>
      <c r="AQ347" s="42">
        <f>SUMPRODUCT(($E$327:$BD$327&gt;=39-$F$17+2)*($E$327:$BD$327&lt;=39)*$E$328:$BD$328*POWER(1-$G$17,($E$327:$BD$327&lt;=39)*(39-$E$327:$BD$327)))</f>
        <v/>
      </c>
      <c r="AR347" s="42">
        <f>SUMPRODUCT(($E$327:$BD$327&gt;=40-$F$17+2)*($E$327:$BD$327&lt;=40)*$E$328:$BD$328*POWER(1-$G$17,($E$327:$BD$327&lt;=40)*(40-$E$327:$BD$327)))</f>
        <v/>
      </c>
      <c r="AS347" s="42">
        <f>SUMPRODUCT(($E$327:$BD$327&gt;=41-$F$17+2)*($E$327:$BD$327&lt;=41)*$E$328:$BD$328*POWER(1-$G$17,($E$327:$BD$327&lt;=41)*(41-$E$327:$BD$327)))</f>
        <v/>
      </c>
      <c r="AT347" s="42">
        <f>SUMPRODUCT(($E$327:$BD$327&gt;=42-$F$17+2)*($E$327:$BD$327&lt;=42)*$E$328:$BD$328*POWER(1-$G$17,($E$327:$BD$327&lt;=42)*(42-$E$327:$BD$327)))</f>
        <v/>
      </c>
      <c r="AU347" s="42">
        <f>SUMPRODUCT(($E$327:$BD$327&gt;=43-$F$17+2)*($E$327:$BD$327&lt;=43)*$E$328:$BD$328*POWER(1-$G$17,($E$327:$BD$327&lt;=43)*(43-$E$327:$BD$327)))</f>
        <v/>
      </c>
      <c r="AV347" s="42">
        <f>SUMPRODUCT(($E$327:$BD$327&gt;=44-$F$17+2)*($E$327:$BD$327&lt;=44)*$E$328:$BD$328*POWER(1-$G$17,($E$327:$BD$327&lt;=44)*(44-$E$327:$BD$327)))</f>
        <v/>
      </c>
      <c r="AW347" s="42">
        <f>SUMPRODUCT(($E$327:$BD$327&gt;=45-$F$17+2)*($E$327:$BD$327&lt;=45)*$E$328:$BD$328*POWER(1-$G$17,($E$327:$BD$327&lt;=45)*(45-$E$327:$BD$327)))</f>
        <v/>
      </c>
      <c r="AX347" s="42">
        <f>SUMPRODUCT(($E$327:$BD$327&gt;=46-$F$17+2)*($E$327:$BD$327&lt;=46)*$E$328:$BD$328*POWER(1-$G$17,($E$327:$BD$327&lt;=46)*(46-$E$327:$BD$327)))</f>
        <v/>
      </c>
      <c r="AY347" s="42">
        <f>SUMPRODUCT(($E$327:$BD$327&gt;=47-$F$17+2)*($E$327:$BD$327&lt;=47)*$E$328:$BD$328*POWER(1-$G$17,($E$327:$BD$327&lt;=47)*(47-$E$327:$BD$327)))</f>
        <v/>
      </c>
      <c r="AZ347" s="42">
        <f>SUMPRODUCT(($E$327:$BD$327&gt;=48-$F$17+2)*($E$327:$BD$327&lt;=48)*$E$328:$BD$328*POWER(1-$G$17,($E$327:$BD$327&lt;=48)*(48-$E$327:$BD$327)))</f>
        <v/>
      </c>
      <c r="BA347" s="42">
        <f>SUMPRODUCT(($E$327:$BD$327&gt;=49-$F$17+2)*($E$327:$BD$327&lt;=49)*$E$328:$BD$328*POWER(1-$G$17,($E$327:$BD$327&lt;=49)*(49-$E$327:$BD$327)))</f>
        <v/>
      </c>
      <c r="BB347" s="42">
        <f>SUMPRODUCT(($E$327:$BD$327&gt;=50-$F$17+2)*($E$327:$BD$327&lt;=50)*$E$328:$BD$328*POWER(1-$G$17,($E$327:$BD$327&lt;=50)*(50-$E$327:$BD$327)))</f>
        <v/>
      </c>
      <c r="BC347" s="42">
        <f>SUMPRODUCT(($E$327:$BD$327&gt;=51-$F$17+2)*($E$327:$BD$327&lt;=51)*$E$328:$BD$328*POWER(1-$G$17,($E$327:$BD$327&lt;=51)*(51-$E$327:$BD$327)))</f>
        <v/>
      </c>
      <c r="BD347" s="42">
        <f>SUMPRODUCT(($E$327:$BD$327&gt;=52-$F$17+2)*($E$327:$BD$327&lt;=52)*$E$328:$BD$328*POWER(1-$G$17,($E$327:$BD$327&lt;=52)*(52-$E$327:$BD$327)))</f>
        <v/>
      </c>
    </row>
    <row r="348">
      <c r="A348" s="2" t="inlineStr">
        <is>
          <t xml:space="preserve">   Stock carried out must stay at or below this row.</t>
        </is>
      </c>
    </row>
    <row r="349">
      <c r="A349" s="33" t="inlineStr">
        <is>
          <t>Growing cost this week</t>
        </is>
      </c>
      <c r="B349" s="2" t="inlineStr">
        <is>
          <t>$</t>
        </is>
      </c>
      <c r="E349" s="40">
        <f>SUMPRODUCT(($B$92:$B$232="Spinach")*(E$92:E$232="P")*$C$92:$C$232)*$K$17+SUMPRODUCT(($B$92:$B$232="Spinach")*(E$92:E$232="G")*$C$92:$C$232)*$L$17+SUMPRODUCT(($B$92:$B$232="Spinach")*(E$92:E$232="H")*$C$92:$C$232)*$M$17+SUMPRODUCT(($B$92:$B$232="Spinach")*($BG$92:$BG$232=1)*$C$92:$C$232)*$H$17</f>
        <v/>
      </c>
      <c r="F349" s="40">
        <f>SUMPRODUCT(($B$92:$B$232="Spinach")*(F$92:F$232="P")*$C$92:$C$232)*$K$17+SUMPRODUCT(($B$92:$B$232="Spinach")*(F$92:F$232="G")*$C$92:$C$232)*$L$17+SUMPRODUCT(($B$92:$B$232="Spinach")*(F$92:F$232="H")*$C$92:$C$232)*$M$17+SUMPRODUCT(($B$92:$B$232="Spinach")*($BG$92:$BG$232=2)*$C$92:$C$232)*$H$17</f>
        <v/>
      </c>
      <c r="G349" s="40">
        <f>SUMPRODUCT(($B$92:$B$232="Spinach")*(G$92:G$232="P")*$C$92:$C$232)*$K$17+SUMPRODUCT(($B$92:$B$232="Spinach")*(G$92:G$232="G")*$C$92:$C$232)*$L$17+SUMPRODUCT(($B$92:$B$232="Spinach")*(G$92:G$232="H")*$C$92:$C$232)*$M$17+SUMPRODUCT(($B$92:$B$232="Spinach")*($BG$92:$BG$232=3)*$C$92:$C$232)*$H$17</f>
        <v/>
      </c>
      <c r="H349" s="40">
        <f>SUMPRODUCT(($B$92:$B$232="Spinach")*(H$92:H$232="P")*$C$92:$C$232)*$K$17+SUMPRODUCT(($B$92:$B$232="Spinach")*(H$92:H$232="G")*$C$92:$C$232)*$L$17+SUMPRODUCT(($B$92:$B$232="Spinach")*(H$92:H$232="H")*$C$92:$C$232)*$M$17+SUMPRODUCT(($B$92:$B$232="Spinach")*($BG$92:$BG$232=4)*$C$92:$C$232)*$H$17</f>
        <v/>
      </c>
      <c r="I349" s="40">
        <f>SUMPRODUCT(($B$92:$B$232="Spinach")*(I$92:I$232="P")*$C$92:$C$232)*$K$17+SUMPRODUCT(($B$92:$B$232="Spinach")*(I$92:I$232="G")*$C$92:$C$232)*$L$17+SUMPRODUCT(($B$92:$B$232="Spinach")*(I$92:I$232="H")*$C$92:$C$232)*$M$17+SUMPRODUCT(($B$92:$B$232="Spinach")*($BG$92:$BG$232=5)*$C$92:$C$232)*$H$17</f>
        <v/>
      </c>
      <c r="J349" s="40">
        <f>SUMPRODUCT(($B$92:$B$232="Spinach")*(J$92:J$232="P")*$C$92:$C$232)*$K$17+SUMPRODUCT(($B$92:$B$232="Spinach")*(J$92:J$232="G")*$C$92:$C$232)*$L$17+SUMPRODUCT(($B$92:$B$232="Spinach")*(J$92:J$232="H")*$C$92:$C$232)*$M$17+SUMPRODUCT(($B$92:$B$232="Spinach")*($BG$92:$BG$232=6)*$C$92:$C$232)*$H$17</f>
        <v/>
      </c>
      <c r="K349" s="40">
        <f>SUMPRODUCT(($B$92:$B$232="Spinach")*(K$92:K$232="P")*$C$92:$C$232)*$K$17+SUMPRODUCT(($B$92:$B$232="Spinach")*(K$92:K$232="G")*$C$92:$C$232)*$L$17+SUMPRODUCT(($B$92:$B$232="Spinach")*(K$92:K$232="H")*$C$92:$C$232)*$M$17+SUMPRODUCT(($B$92:$B$232="Spinach")*($BG$92:$BG$232=7)*$C$92:$C$232)*$H$17</f>
        <v/>
      </c>
      <c r="L349" s="40">
        <f>SUMPRODUCT(($B$92:$B$232="Spinach")*(L$92:L$232="P")*$C$92:$C$232)*$K$17+SUMPRODUCT(($B$92:$B$232="Spinach")*(L$92:L$232="G")*$C$92:$C$232)*$L$17+SUMPRODUCT(($B$92:$B$232="Spinach")*(L$92:L$232="H")*$C$92:$C$232)*$M$17+SUMPRODUCT(($B$92:$B$232="Spinach")*($BG$92:$BG$232=8)*$C$92:$C$232)*$H$17</f>
        <v/>
      </c>
      <c r="M349" s="40">
        <f>SUMPRODUCT(($B$92:$B$232="Spinach")*(M$92:M$232="P")*$C$92:$C$232)*$K$17+SUMPRODUCT(($B$92:$B$232="Spinach")*(M$92:M$232="G")*$C$92:$C$232)*$L$17+SUMPRODUCT(($B$92:$B$232="Spinach")*(M$92:M$232="H")*$C$92:$C$232)*$M$17+SUMPRODUCT(($B$92:$B$232="Spinach")*($BG$92:$BG$232=9)*$C$92:$C$232)*$H$17</f>
        <v/>
      </c>
      <c r="N349" s="40">
        <f>SUMPRODUCT(($B$92:$B$232="Spinach")*(N$92:N$232="P")*$C$92:$C$232)*$K$17+SUMPRODUCT(($B$92:$B$232="Spinach")*(N$92:N$232="G")*$C$92:$C$232)*$L$17+SUMPRODUCT(($B$92:$B$232="Spinach")*(N$92:N$232="H")*$C$92:$C$232)*$M$17+SUMPRODUCT(($B$92:$B$232="Spinach")*($BG$92:$BG$232=10)*$C$92:$C$232)*$H$17</f>
        <v/>
      </c>
      <c r="O349" s="40">
        <f>SUMPRODUCT(($B$92:$B$232="Spinach")*(O$92:O$232="P")*$C$92:$C$232)*$K$17+SUMPRODUCT(($B$92:$B$232="Spinach")*(O$92:O$232="G")*$C$92:$C$232)*$L$17+SUMPRODUCT(($B$92:$B$232="Spinach")*(O$92:O$232="H")*$C$92:$C$232)*$M$17+SUMPRODUCT(($B$92:$B$232="Spinach")*($BG$92:$BG$232=11)*$C$92:$C$232)*$H$17</f>
        <v/>
      </c>
      <c r="P349" s="40">
        <f>SUMPRODUCT(($B$92:$B$232="Spinach")*(P$92:P$232="P")*$C$92:$C$232)*$K$17+SUMPRODUCT(($B$92:$B$232="Spinach")*(P$92:P$232="G")*$C$92:$C$232)*$L$17+SUMPRODUCT(($B$92:$B$232="Spinach")*(P$92:P$232="H")*$C$92:$C$232)*$M$17+SUMPRODUCT(($B$92:$B$232="Spinach")*($BG$92:$BG$232=12)*$C$92:$C$232)*$H$17</f>
        <v/>
      </c>
      <c r="Q349" s="40">
        <f>SUMPRODUCT(($B$92:$B$232="Spinach")*(Q$92:Q$232="P")*$C$92:$C$232)*$K$17+SUMPRODUCT(($B$92:$B$232="Spinach")*(Q$92:Q$232="G")*$C$92:$C$232)*$L$17+SUMPRODUCT(($B$92:$B$232="Spinach")*(Q$92:Q$232="H")*$C$92:$C$232)*$M$17+SUMPRODUCT(($B$92:$B$232="Spinach")*($BG$92:$BG$232=13)*$C$92:$C$232)*$H$17</f>
        <v/>
      </c>
      <c r="R349" s="40">
        <f>SUMPRODUCT(($B$92:$B$232="Spinach")*(R$92:R$232="P")*$C$92:$C$232)*$K$17+SUMPRODUCT(($B$92:$B$232="Spinach")*(R$92:R$232="G")*$C$92:$C$232)*$L$17+SUMPRODUCT(($B$92:$B$232="Spinach")*(R$92:R$232="H")*$C$92:$C$232)*$M$17+SUMPRODUCT(($B$92:$B$232="Spinach")*($BG$92:$BG$232=14)*$C$92:$C$232)*$H$17</f>
        <v/>
      </c>
      <c r="S349" s="40">
        <f>SUMPRODUCT(($B$92:$B$232="Spinach")*(S$92:S$232="P")*$C$92:$C$232)*$K$17+SUMPRODUCT(($B$92:$B$232="Spinach")*(S$92:S$232="G")*$C$92:$C$232)*$L$17+SUMPRODUCT(($B$92:$B$232="Spinach")*(S$92:S$232="H")*$C$92:$C$232)*$M$17+SUMPRODUCT(($B$92:$B$232="Spinach")*($BG$92:$BG$232=15)*$C$92:$C$232)*$H$17</f>
        <v/>
      </c>
      <c r="T349" s="40">
        <f>SUMPRODUCT(($B$92:$B$232="Spinach")*(T$92:T$232="P")*$C$92:$C$232)*$K$17+SUMPRODUCT(($B$92:$B$232="Spinach")*(T$92:T$232="G")*$C$92:$C$232)*$L$17+SUMPRODUCT(($B$92:$B$232="Spinach")*(T$92:T$232="H")*$C$92:$C$232)*$M$17+SUMPRODUCT(($B$92:$B$232="Spinach")*($BG$92:$BG$232=16)*$C$92:$C$232)*$H$17</f>
        <v/>
      </c>
      <c r="U349" s="40">
        <f>SUMPRODUCT(($B$92:$B$232="Spinach")*(U$92:U$232="P")*$C$92:$C$232)*$K$17+SUMPRODUCT(($B$92:$B$232="Spinach")*(U$92:U$232="G")*$C$92:$C$232)*$L$17+SUMPRODUCT(($B$92:$B$232="Spinach")*(U$92:U$232="H")*$C$92:$C$232)*$M$17+SUMPRODUCT(($B$92:$B$232="Spinach")*($BG$92:$BG$232=17)*$C$92:$C$232)*$H$17</f>
        <v/>
      </c>
      <c r="V349" s="40">
        <f>SUMPRODUCT(($B$92:$B$232="Spinach")*(V$92:V$232="P")*$C$92:$C$232)*$K$17+SUMPRODUCT(($B$92:$B$232="Spinach")*(V$92:V$232="G")*$C$92:$C$232)*$L$17+SUMPRODUCT(($B$92:$B$232="Spinach")*(V$92:V$232="H")*$C$92:$C$232)*$M$17+SUMPRODUCT(($B$92:$B$232="Spinach")*($BG$92:$BG$232=18)*$C$92:$C$232)*$H$17</f>
        <v/>
      </c>
      <c r="W349" s="40">
        <f>SUMPRODUCT(($B$92:$B$232="Spinach")*(W$92:W$232="P")*$C$92:$C$232)*$K$17+SUMPRODUCT(($B$92:$B$232="Spinach")*(W$92:W$232="G")*$C$92:$C$232)*$L$17+SUMPRODUCT(($B$92:$B$232="Spinach")*(W$92:W$232="H")*$C$92:$C$232)*$M$17+SUMPRODUCT(($B$92:$B$232="Spinach")*($BG$92:$BG$232=19)*$C$92:$C$232)*$H$17</f>
        <v/>
      </c>
      <c r="X349" s="40">
        <f>SUMPRODUCT(($B$92:$B$232="Spinach")*(X$92:X$232="P")*$C$92:$C$232)*$K$17+SUMPRODUCT(($B$92:$B$232="Spinach")*(X$92:X$232="G")*$C$92:$C$232)*$L$17+SUMPRODUCT(($B$92:$B$232="Spinach")*(X$92:X$232="H")*$C$92:$C$232)*$M$17+SUMPRODUCT(($B$92:$B$232="Spinach")*($BG$92:$BG$232=20)*$C$92:$C$232)*$H$17</f>
        <v/>
      </c>
      <c r="Y349" s="40">
        <f>SUMPRODUCT(($B$92:$B$232="Spinach")*(Y$92:Y$232="P")*$C$92:$C$232)*$K$17+SUMPRODUCT(($B$92:$B$232="Spinach")*(Y$92:Y$232="G")*$C$92:$C$232)*$L$17+SUMPRODUCT(($B$92:$B$232="Spinach")*(Y$92:Y$232="H")*$C$92:$C$232)*$M$17+SUMPRODUCT(($B$92:$B$232="Spinach")*($BG$92:$BG$232=21)*$C$92:$C$232)*$H$17</f>
        <v/>
      </c>
      <c r="Z349" s="40">
        <f>SUMPRODUCT(($B$92:$B$232="Spinach")*(Z$92:Z$232="P")*$C$92:$C$232)*$K$17+SUMPRODUCT(($B$92:$B$232="Spinach")*(Z$92:Z$232="G")*$C$92:$C$232)*$L$17+SUMPRODUCT(($B$92:$B$232="Spinach")*(Z$92:Z$232="H")*$C$92:$C$232)*$M$17+SUMPRODUCT(($B$92:$B$232="Spinach")*($BG$92:$BG$232=22)*$C$92:$C$232)*$H$17</f>
        <v/>
      </c>
      <c r="AA349" s="40">
        <f>SUMPRODUCT(($B$92:$B$232="Spinach")*(AA$92:AA$232="P")*$C$92:$C$232)*$K$17+SUMPRODUCT(($B$92:$B$232="Spinach")*(AA$92:AA$232="G")*$C$92:$C$232)*$L$17+SUMPRODUCT(($B$92:$B$232="Spinach")*(AA$92:AA$232="H")*$C$92:$C$232)*$M$17+SUMPRODUCT(($B$92:$B$232="Spinach")*($BG$92:$BG$232=23)*$C$92:$C$232)*$H$17</f>
        <v/>
      </c>
      <c r="AB349" s="40">
        <f>SUMPRODUCT(($B$92:$B$232="Spinach")*(AB$92:AB$232="P")*$C$92:$C$232)*$K$17+SUMPRODUCT(($B$92:$B$232="Spinach")*(AB$92:AB$232="G")*$C$92:$C$232)*$L$17+SUMPRODUCT(($B$92:$B$232="Spinach")*(AB$92:AB$232="H")*$C$92:$C$232)*$M$17+SUMPRODUCT(($B$92:$B$232="Spinach")*($BG$92:$BG$232=24)*$C$92:$C$232)*$H$17</f>
        <v/>
      </c>
      <c r="AC349" s="40">
        <f>SUMPRODUCT(($B$92:$B$232="Spinach")*(AC$92:AC$232="P")*$C$92:$C$232)*$K$17+SUMPRODUCT(($B$92:$B$232="Spinach")*(AC$92:AC$232="G")*$C$92:$C$232)*$L$17+SUMPRODUCT(($B$92:$B$232="Spinach")*(AC$92:AC$232="H")*$C$92:$C$232)*$M$17+SUMPRODUCT(($B$92:$B$232="Spinach")*($BG$92:$BG$232=25)*$C$92:$C$232)*$H$17</f>
        <v/>
      </c>
      <c r="AD349" s="40">
        <f>SUMPRODUCT(($B$92:$B$232="Spinach")*(AD$92:AD$232="P")*$C$92:$C$232)*$K$17+SUMPRODUCT(($B$92:$B$232="Spinach")*(AD$92:AD$232="G")*$C$92:$C$232)*$L$17+SUMPRODUCT(($B$92:$B$232="Spinach")*(AD$92:AD$232="H")*$C$92:$C$232)*$M$17+SUMPRODUCT(($B$92:$B$232="Spinach")*($BG$92:$BG$232=26)*$C$92:$C$232)*$H$17</f>
        <v/>
      </c>
      <c r="AE349" s="40">
        <f>SUMPRODUCT(($B$92:$B$232="Spinach")*(AE$92:AE$232="P")*$C$92:$C$232)*$K$17+SUMPRODUCT(($B$92:$B$232="Spinach")*(AE$92:AE$232="G")*$C$92:$C$232)*$L$17+SUMPRODUCT(($B$92:$B$232="Spinach")*(AE$92:AE$232="H")*$C$92:$C$232)*$M$17+SUMPRODUCT(($B$92:$B$232="Spinach")*($BG$92:$BG$232=27)*$C$92:$C$232)*$H$17</f>
        <v/>
      </c>
      <c r="AF349" s="40">
        <f>SUMPRODUCT(($B$92:$B$232="Spinach")*(AF$92:AF$232="P")*$C$92:$C$232)*$K$17+SUMPRODUCT(($B$92:$B$232="Spinach")*(AF$92:AF$232="G")*$C$92:$C$232)*$L$17+SUMPRODUCT(($B$92:$B$232="Spinach")*(AF$92:AF$232="H")*$C$92:$C$232)*$M$17+SUMPRODUCT(($B$92:$B$232="Spinach")*($BG$92:$BG$232=28)*$C$92:$C$232)*$H$17</f>
        <v/>
      </c>
      <c r="AG349" s="40">
        <f>SUMPRODUCT(($B$92:$B$232="Spinach")*(AG$92:AG$232="P")*$C$92:$C$232)*$K$17+SUMPRODUCT(($B$92:$B$232="Spinach")*(AG$92:AG$232="G")*$C$92:$C$232)*$L$17+SUMPRODUCT(($B$92:$B$232="Spinach")*(AG$92:AG$232="H")*$C$92:$C$232)*$M$17+SUMPRODUCT(($B$92:$B$232="Spinach")*($BG$92:$BG$232=29)*$C$92:$C$232)*$H$17</f>
        <v/>
      </c>
      <c r="AH349" s="40">
        <f>SUMPRODUCT(($B$92:$B$232="Spinach")*(AH$92:AH$232="P")*$C$92:$C$232)*$K$17+SUMPRODUCT(($B$92:$B$232="Spinach")*(AH$92:AH$232="G")*$C$92:$C$232)*$L$17+SUMPRODUCT(($B$92:$B$232="Spinach")*(AH$92:AH$232="H")*$C$92:$C$232)*$M$17+SUMPRODUCT(($B$92:$B$232="Spinach")*($BG$92:$BG$232=30)*$C$92:$C$232)*$H$17</f>
        <v/>
      </c>
      <c r="AI349" s="40">
        <f>SUMPRODUCT(($B$92:$B$232="Spinach")*(AI$92:AI$232="P")*$C$92:$C$232)*$K$17+SUMPRODUCT(($B$92:$B$232="Spinach")*(AI$92:AI$232="G")*$C$92:$C$232)*$L$17+SUMPRODUCT(($B$92:$B$232="Spinach")*(AI$92:AI$232="H")*$C$92:$C$232)*$M$17+SUMPRODUCT(($B$92:$B$232="Spinach")*($BG$92:$BG$232=31)*$C$92:$C$232)*$H$17</f>
        <v/>
      </c>
      <c r="AJ349" s="40">
        <f>SUMPRODUCT(($B$92:$B$232="Spinach")*(AJ$92:AJ$232="P")*$C$92:$C$232)*$K$17+SUMPRODUCT(($B$92:$B$232="Spinach")*(AJ$92:AJ$232="G")*$C$92:$C$232)*$L$17+SUMPRODUCT(($B$92:$B$232="Spinach")*(AJ$92:AJ$232="H")*$C$92:$C$232)*$M$17+SUMPRODUCT(($B$92:$B$232="Spinach")*($BG$92:$BG$232=32)*$C$92:$C$232)*$H$17</f>
        <v/>
      </c>
      <c r="AK349" s="40">
        <f>SUMPRODUCT(($B$92:$B$232="Spinach")*(AK$92:AK$232="P")*$C$92:$C$232)*$K$17+SUMPRODUCT(($B$92:$B$232="Spinach")*(AK$92:AK$232="G")*$C$92:$C$232)*$L$17+SUMPRODUCT(($B$92:$B$232="Spinach")*(AK$92:AK$232="H")*$C$92:$C$232)*$M$17+SUMPRODUCT(($B$92:$B$232="Spinach")*($BG$92:$BG$232=33)*$C$92:$C$232)*$H$17</f>
        <v/>
      </c>
      <c r="AL349" s="40">
        <f>SUMPRODUCT(($B$92:$B$232="Spinach")*(AL$92:AL$232="P")*$C$92:$C$232)*$K$17+SUMPRODUCT(($B$92:$B$232="Spinach")*(AL$92:AL$232="G")*$C$92:$C$232)*$L$17+SUMPRODUCT(($B$92:$B$232="Spinach")*(AL$92:AL$232="H")*$C$92:$C$232)*$M$17+SUMPRODUCT(($B$92:$B$232="Spinach")*($BG$92:$BG$232=34)*$C$92:$C$232)*$H$17</f>
        <v/>
      </c>
      <c r="AM349" s="40">
        <f>SUMPRODUCT(($B$92:$B$232="Spinach")*(AM$92:AM$232="P")*$C$92:$C$232)*$K$17+SUMPRODUCT(($B$92:$B$232="Spinach")*(AM$92:AM$232="G")*$C$92:$C$232)*$L$17+SUMPRODUCT(($B$92:$B$232="Spinach")*(AM$92:AM$232="H")*$C$92:$C$232)*$M$17+SUMPRODUCT(($B$92:$B$232="Spinach")*($BG$92:$BG$232=35)*$C$92:$C$232)*$H$17</f>
        <v/>
      </c>
      <c r="AN349" s="40">
        <f>SUMPRODUCT(($B$92:$B$232="Spinach")*(AN$92:AN$232="P")*$C$92:$C$232)*$K$17+SUMPRODUCT(($B$92:$B$232="Spinach")*(AN$92:AN$232="G")*$C$92:$C$232)*$L$17+SUMPRODUCT(($B$92:$B$232="Spinach")*(AN$92:AN$232="H")*$C$92:$C$232)*$M$17+SUMPRODUCT(($B$92:$B$232="Spinach")*($BG$92:$BG$232=36)*$C$92:$C$232)*$H$17</f>
        <v/>
      </c>
      <c r="AO349" s="40">
        <f>SUMPRODUCT(($B$92:$B$232="Spinach")*(AO$92:AO$232="P")*$C$92:$C$232)*$K$17+SUMPRODUCT(($B$92:$B$232="Spinach")*(AO$92:AO$232="G")*$C$92:$C$232)*$L$17+SUMPRODUCT(($B$92:$B$232="Spinach")*(AO$92:AO$232="H")*$C$92:$C$232)*$M$17+SUMPRODUCT(($B$92:$B$232="Spinach")*($BG$92:$BG$232=37)*$C$92:$C$232)*$H$17</f>
        <v/>
      </c>
      <c r="AP349" s="40">
        <f>SUMPRODUCT(($B$92:$B$232="Spinach")*(AP$92:AP$232="P")*$C$92:$C$232)*$K$17+SUMPRODUCT(($B$92:$B$232="Spinach")*(AP$92:AP$232="G")*$C$92:$C$232)*$L$17+SUMPRODUCT(($B$92:$B$232="Spinach")*(AP$92:AP$232="H")*$C$92:$C$232)*$M$17+SUMPRODUCT(($B$92:$B$232="Spinach")*($BG$92:$BG$232=38)*$C$92:$C$232)*$H$17</f>
        <v/>
      </c>
      <c r="AQ349" s="40">
        <f>SUMPRODUCT(($B$92:$B$232="Spinach")*(AQ$92:AQ$232="P")*$C$92:$C$232)*$K$17+SUMPRODUCT(($B$92:$B$232="Spinach")*(AQ$92:AQ$232="G")*$C$92:$C$232)*$L$17+SUMPRODUCT(($B$92:$B$232="Spinach")*(AQ$92:AQ$232="H")*$C$92:$C$232)*$M$17+SUMPRODUCT(($B$92:$B$232="Spinach")*($BG$92:$BG$232=39)*$C$92:$C$232)*$H$17</f>
        <v/>
      </c>
      <c r="AR349" s="40">
        <f>SUMPRODUCT(($B$92:$B$232="Spinach")*(AR$92:AR$232="P")*$C$92:$C$232)*$K$17+SUMPRODUCT(($B$92:$B$232="Spinach")*(AR$92:AR$232="G")*$C$92:$C$232)*$L$17+SUMPRODUCT(($B$92:$B$232="Spinach")*(AR$92:AR$232="H")*$C$92:$C$232)*$M$17+SUMPRODUCT(($B$92:$B$232="Spinach")*($BG$92:$BG$232=40)*$C$92:$C$232)*$H$17</f>
        <v/>
      </c>
      <c r="AS349" s="40">
        <f>SUMPRODUCT(($B$92:$B$232="Spinach")*(AS$92:AS$232="P")*$C$92:$C$232)*$K$17+SUMPRODUCT(($B$92:$B$232="Spinach")*(AS$92:AS$232="G")*$C$92:$C$232)*$L$17+SUMPRODUCT(($B$92:$B$232="Spinach")*(AS$92:AS$232="H")*$C$92:$C$232)*$M$17+SUMPRODUCT(($B$92:$B$232="Spinach")*($BG$92:$BG$232=41)*$C$92:$C$232)*$H$17</f>
        <v/>
      </c>
      <c r="AT349" s="40">
        <f>SUMPRODUCT(($B$92:$B$232="Spinach")*(AT$92:AT$232="P")*$C$92:$C$232)*$K$17+SUMPRODUCT(($B$92:$B$232="Spinach")*(AT$92:AT$232="G")*$C$92:$C$232)*$L$17+SUMPRODUCT(($B$92:$B$232="Spinach")*(AT$92:AT$232="H")*$C$92:$C$232)*$M$17+SUMPRODUCT(($B$92:$B$232="Spinach")*($BG$92:$BG$232=42)*$C$92:$C$232)*$H$17</f>
        <v/>
      </c>
      <c r="AU349" s="40">
        <f>SUMPRODUCT(($B$92:$B$232="Spinach")*(AU$92:AU$232="P")*$C$92:$C$232)*$K$17+SUMPRODUCT(($B$92:$B$232="Spinach")*(AU$92:AU$232="G")*$C$92:$C$232)*$L$17+SUMPRODUCT(($B$92:$B$232="Spinach")*(AU$92:AU$232="H")*$C$92:$C$232)*$M$17+SUMPRODUCT(($B$92:$B$232="Spinach")*($BG$92:$BG$232=43)*$C$92:$C$232)*$H$17</f>
        <v/>
      </c>
      <c r="AV349" s="40">
        <f>SUMPRODUCT(($B$92:$B$232="Spinach")*(AV$92:AV$232="P")*$C$92:$C$232)*$K$17+SUMPRODUCT(($B$92:$B$232="Spinach")*(AV$92:AV$232="G")*$C$92:$C$232)*$L$17+SUMPRODUCT(($B$92:$B$232="Spinach")*(AV$92:AV$232="H")*$C$92:$C$232)*$M$17+SUMPRODUCT(($B$92:$B$232="Spinach")*($BG$92:$BG$232=44)*$C$92:$C$232)*$H$17</f>
        <v/>
      </c>
      <c r="AW349" s="40">
        <f>SUMPRODUCT(($B$92:$B$232="Spinach")*(AW$92:AW$232="P")*$C$92:$C$232)*$K$17+SUMPRODUCT(($B$92:$B$232="Spinach")*(AW$92:AW$232="G")*$C$92:$C$232)*$L$17+SUMPRODUCT(($B$92:$B$232="Spinach")*(AW$92:AW$232="H")*$C$92:$C$232)*$M$17+SUMPRODUCT(($B$92:$B$232="Spinach")*($BG$92:$BG$232=45)*$C$92:$C$232)*$H$17</f>
        <v/>
      </c>
      <c r="AX349" s="40">
        <f>SUMPRODUCT(($B$92:$B$232="Spinach")*(AX$92:AX$232="P")*$C$92:$C$232)*$K$17+SUMPRODUCT(($B$92:$B$232="Spinach")*(AX$92:AX$232="G")*$C$92:$C$232)*$L$17+SUMPRODUCT(($B$92:$B$232="Spinach")*(AX$92:AX$232="H")*$C$92:$C$232)*$M$17+SUMPRODUCT(($B$92:$B$232="Spinach")*($BG$92:$BG$232=46)*$C$92:$C$232)*$H$17</f>
        <v/>
      </c>
      <c r="AY349" s="40">
        <f>SUMPRODUCT(($B$92:$B$232="Spinach")*(AY$92:AY$232="P")*$C$92:$C$232)*$K$17+SUMPRODUCT(($B$92:$B$232="Spinach")*(AY$92:AY$232="G")*$C$92:$C$232)*$L$17+SUMPRODUCT(($B$92:$B$232="Spinach")*(AY$92:AY$232="H")*$C$92:$C$232)*$M$17+SUMPRODUCT(($B$92:$B$232="Spinach")*($BG$92:$BG$232=47)*$C$92:$C$232)*$H$17</f>
        <v/>
      </c>
      <c r="AZ349" s="40">
        <f>SUMPRODUCT(($B$92:$B$232="Spinach")*(AZ$92:AZ$232="P")*$C$92:$C$232)*$K$17+SUMPRODUCT(($B$92:$B$232="Spinach")*(AZ$92:AZ$232="G")*$C$92:$C$232)*$L$17+SUMPRODUCT(($B$92:$B$232="Spinach")*(AZ$92:AZ$232="H")*$C$92:$C$232)*$M$17+SUMPRODUCT(($B$92:$B$232="Spinach")*($BG$92:$BG$232=48)*$C$92:$C$232)*$H$17</f>
        <v/>
      </c>
      <c r="BA349" s="40">
        <f>SUMPRODUCT(($B$92:$B$232="Spinach")*(BA$92:BA$232="P")*$C$92:$C$232)*$K$17+SUMPRODUCT(($B$92:$B$232="Spinach")*(BA$92:BA$232="G")*$C$92:$C$232)*$L$17+SUMPRODUCT(($B$92:$B$232="Spinach")*(BA$92:BA$232="H")*$C$92:$C$232)*$M$17+SUMPRODUCT(($B$92:$B$232="Spinach")*($BG$92:$BG$232=49)*$C$92:$C$232)*$H$17</f>
        <v/>
      </c>
      <c r="BB349" s="40">
        <f>SUMPRODUCT(($B$92:$B$232="Spinach")*(BB$92:BB$232="P")*$C$92:$C$232)*$K$17+SUMPRODUCT(($B$92:$B$232="Spinach")*(BB$92:BB$232="G")*$C$92:$C$232)*$L$17+SUMPRODUCT(($B$92:$B$232="Spinach")*(BB$92:BB$232="H")*$C$92:$C$232)*$M$17+SUMPRODUCT(($B$92:$B$232="Spinach")*($BG$92:$BG$232=50)*$C$92:$C$232)*$H$17</f>
        <v/>
      </c>
      <c r="BC349" s="40">
        <f>SUMPRODUCT(($B$92:$B$232="Spinach")*(BC$92:BC$232="P")*$C$92:$C$232)*$K$17+SUMPRODUCT(($B$92:$B$232="Spinach")*(BC$92:BC$232="G")*$C$92:$C$232)*$L$17+SUMPRODUCT(($B$92:$B$232="Spinach")*(BC$92:BC$232="H")*$C$92:$C$232)*$M$17+SUMPRODUCT(($B$92:$B$232="Spinach")*($BG$92:$BG$232=51)*$C$92:$C$232)*$H$17</f>
        <v/>
      </c>
      <c r="BD349" s="40">
        <f>SUMPRODUCT(($B$92:$B$232="Spinach")*(BD$92:BD$232="P")*$C$92:$C$232)*$K$17+SUMPRODUCT(($B$92:$B$232="Spinach")*(BD$92:BD$232="G")*$C$92:$C$232)*$L$17+SUMPRODUCT(($B$92:$B$232="Spinach")*(BD$92:BD$232="H")*$C$92:$C$232)*$M$17+SUMPRODUCT(($B$92:$B$232="Spinach")*($BG$92:$BG$232=52)*$C$92:$C$232)*$H$17</f>
        <v/>
      </c>
    </row>
    <row r="350">
      <c r="A350" s="33" t="inlineStr">
        <is>
          <t>Packaging this week</t>
        </is>
      </c>
      <c r="B350" s="2" t="inlineStr">
        <is>
          <t>$</t>
        </is>
      </c>
      <c r="E350" s="40">
        <f>E334*$J$36+E340*$J$37</f>
        <v/>
      </c>
      <c r="F350" s="40">
        <f>F334*$J$36+F340*$J$37</f>
        <v/>
      </c>
      <c r="G350" s="40">
        <f>G334*$J$36+G340*$J$37</f>
        <v/>
      </c>
      <c r="H350" s="40">
        <f>H334*$J$36+H340*$J$37</f>
        <v/>
      </c>
      <c r="I350" s="40">
        <f>I334*$J$36+I340*$J$37</f>
        <v/>
      </c>
      <c r="J350" s="40">
        <f>J334*$J$36+J340*$J$37</f>
        <v/>
      </c>
      <c r="K350" s="40">
        <f>K334*$J$36+K340*$J$37</f>
        <v/>
      </c>
      <c r="L350" s="40">
        <f>L334*$J$36+L340*$J$37</f>
        <v/>
      </c>
      <c r="M350" s="40">
        <f>M334*$J$36+M340*$J$37</f>
        <v/>
      </c>
      <c r="N350" s="40">
        <f>N334*$J$36+N340*$J$37</f>
        <v/>
      </c>
      <c r="O350" s="40">
        <f>O334*$J$36+O340*$J$37</f>
        <v/>
      </c>
      <c r="P350" s="40">
        <f>P334*$J$36+P340*$J$37</f>
        <v/>
      </c>
      <c r="Q350" s="40">
        <f>Q334*$J$36+Q340*$J$37</f>
        <v/>
      </c>
      <c r="R350" s="40">
        <f>R334*$J$36+R340*$J$37</f>
        <v/>
      </c>
      <c r="S350" s="40">
        <f>S334*$J$36+S340*$J$37</f>
        <v/>
      </c>
      <c r="T350" s="40">
        <f>T334*$J$36+T340*$J$37</f>
        <v/>
      </c>
      <c r="U350" s="40">
        <f>U334*$J$36+U340*$J$37</f>
        <v/>
      </c>
      <c r="V350" s="40">
        <f>V334*$J$36+V340*$J$37</f>
        <v/>
      </c>
      <c r="W350" s="40">
        <f>W334*$J$36+W340*$J$37</f>
        <v/>
      </c>
      <c r="X350" s="40">
        <f>X334*$J$36+X340*$J$37</f>
        <v/>
      </c>
      <c r="Y350" s="40">
        <f>Y334*$J$36+Y340*$J$37</f>
        <v/>
      </c>
      <c r="Z350" s="40">
        <f>Z334*$J$36+Z340*$J$37</f>
        <v/>
      </c>
      <c r="AA350" s="40">
        <f>AA334*$J$36+AA340*$J$37</f>
        <v/>
      </c>
      <c r="AB350" s="40">
        <f>AB334*$J$36+AB340*$J$37</f>
        <v/>
      </c>
      <c r="AC350" s="40">
        <f>AC334*$J$36+AC340*$J$37</f>
        <v/>
      </c>
      <c r="AD350" s="40">
        <f>AD334*$J$36+AD340*$J$37</f>
        <v/>
      </c>
      <c r="AE350" s="40">
        <f>AE334*$J$36+AE340*$J$37</f>
        <v/>
      </c>
      <c r="AF350" s="40">
        <f>AF334*$J$36+AF340*$J$37</f>
        <v/>
      </c>
      <c r="AG350" s="40">
        <f>AG334*$J$36+AG340*$J$37</f>
        <v/>
      </c>
      <c r="AH350" s="40">
        <f>AH334*$J$36+AH340*$J$37</f>
        <v/>
      </c>
      <c r="AI350" s="40">
        <f>AI334*$J$36+AI340*$J$37</f>
        <v/>
      </c>
      <c r="AJ350" s="40">
        <f>AJ334*$J$36+AJ340*$J$37</f>
        <v/>
      </c>
      <c r="AK350" s="40">
        <f>AK334*$J$36+AK340*$J$37</f>
        <v/>
      </c>
      <c r="AL350" s="40">
        <f>AL334*$J$36+AL340*$J$37</f>
        <v/>
      </c>
      <c r="AM350" s="40">
        <f>AM334*$J$36+AM340*$J$37</f>
        <v/>
      </c>
      <c r="AN350" s="40">
        <f>AN334*$J$36+AN340*$J$37</f>
        <v/>
      </c>
      <c r="AO350" s="40">
        <f>AO334*$J$36+AO340*$J$37</f>
        <v/>
      </c>
      <c r="AP350" s="40">
        <f>AP334*$J$36+AP340*$J$37</f>
        <v/>
      </c>
      <c r="AQ350" s="40">
        <f>AQ334*$J$36+AQ340*$J$37</f>
        <v/>
      </c>
      <c r="AR350" s="40">
        <f>AR334*$J$36+AR340*$J$37</f>
        <v/>
      </c>
      <c r="AS350" s="40">
        <f>AS334*$J$36+AS340*$J$37</f>
        <v/>
      </c>
      <c r="AT350" s="40">
        <f>AT334*$J$36+AT340*$J$37</f>
        <v/>
      </c>
      <c r="AU350" s="40">
        <f>AU334*$J$36+AU340*$J$37</f>
        <v/>
      </c>
      <c r="AV350" s="40">
        <f>AV334*$J$36+AV340*$J$37</f>
        <v/>
      </c>
      <c r="AW350" s="40">
        <f>AW334*$J$36+AW340*$J$37</f>
        <v/>
      </c>
      <c r="AX350" s="40">
        <f>AX334*$J$36+AX340*$J$37</f>
        <v/>
      </c>
      <c r="AY350" s="40">
        <f>AY334*$J$36+AY340*$J$37</f>
        <v/>
      </c>
      <c r="AZ350" s="40">
        <f>AZ334*$J$36+AZ340*$J$37</f>
        <v/>
      </c>
      <c r="BA350" s="40">
        <f>BA334*$J$36+BA340*$J$37</f>
        <v/>
      </c>
      <c r="BB350" s="40">
        <f>BB334*$J$36+BB340*$J$37</f>
        <v/>
      </c>
      <c r="BC350" s="40">
        <f>BC334*$J$36+BC340*$J$37</f>
        <v/>
      </c>
      <c r="BD350" s="40">
        <f>BD334*$J$36+BD340*$J$37</f>
        <v/>
      </c>
    </row>
    <row r="351">
      <c r="A351" s="4" t="inlineStr">
        <is>
          <t>ROOM OCCUPANCY</t>
        </is>
      </c>
      <c r="B351" s="2" t="inlineStr">
        <is>
          <t>m3</t>
        </is>
      </c>
      <c r="E351" s="58">
        <f>(E329+E328)*$D$17</f>
        <v/>
      </c>
      <c r="F351" s="58">
        <f>(F329+F328)*$D$17</f>
        <v/>
      </c>
      <c r="G351" s="58">
        <f>(G329+G328)*$D$17</f>
        <v/>
      </c>
      <c r="H351" s="58">
        <f>(H329+H328)*$D$17</f>
        <v/>
      </c>
      <c r="I351" s="58">
        <f>(I329+I328)*$D$17</f>
        <v/>
      </c>
      <c r="J351" s="58">
        <f>(J329+J328)*$D$17</f>
        <v/>
      </c>
      <c r="K351" s="58">
        <f>(K329+K328)*$D$17</f>
        <v/>
      </c>
      <c r="L351" s="58">
        <f>(L329+L328)*$D$17</f>
        <v/>
      </c>
      <c r="M351" s="58">
        <f>(M329+M328)*$D$17</f>
        <v/>
      </c>
      <c r="N351" s="58">
        <f>(N329+N328)*$D$17</f>
        <v/>
      </c>
      <c r="O351" s="58">
        <f>(O329+O328)*$D$17</f>
        <v/>
      </c>
      <c r="P351" s="58">
        <f>(P329+P328)*$D$17</f>
        <v/>
      </c>
      <c r="Q351" s="58">
        <f>(Q329+Q328)*$D$17</f>
        <v/>
      </c>
      <c r="R351" s="58">
        <f>(R329+R328)*$D$17</f>
        <v/>
      </c>
      <c r="S351" s="58">
        <f>(S329+S328)*$D$17</f>
        <v/>
      </c>
      <c r="T351" s="58">
        <f>(T329+T328)*$D$17</f>
        <v/>
      </c>
      <c r="U351" s="58">
        <f>(U329+U328)*$D$17</f>
        <v/>
      </c>
      <c r="V351" s="58">
        <f>(V329+V328)*$D$17</f>
        <v/>
      </c>
      <c r="W351" s="58">
        <f>(W329+W328)*$D$17</f>
        <v/>
      </c>
      <c r="X351" s="58">
        <f>(X329+X328)*$D$17</f>
        <v/>
      </c>
      <c r="Y351" s="58">
        <f>(Y329+Y328)*$D$17</f>
        <v/>
      </c>
      <c r="Z351" s="58">
        <f>(Z329+Z328)*$D$17</f>
        <v/>
      </c>
      <c r="AA351" s="58">
        <f>(AA329+AA328)*$D$17</f>
        <v/>
      </c>
      <c r="AB351" s="58">
        <f>(AB329+AB328)*$D$17</f>
        <v/>
      </c>
      <c r="AC351" s="58">
        <f>(AC329+AC328)*$D$17</f>
        <v/>
      </c>
      <c r="AD351" s="58">
        <f>(AD329+AD328)*$D$17</f>
        <v/>
      </c>
      <c r="AE351" s="58">
        <f>(AE329+AE328)*$D$17</f>
        <v/>
      </c>
      <c r="AF351" s="58">
        <f>(AF329+AF328)*$D$17</f>
        <v/>
      </c>
      <c r="AG351" s="58">
        <f>(AG329+AG328)*$D$17</f>
        <v/>
      </c>
      <c r="AH351" s="58">
        <f>(AH329+AH328)*$D$17</f>
        <v/>
      </c>
      <c r="AI351" s="58">
        <f>(AI329+AI328)*$D$17</f>
        <v/>
      </c>
      <c r="AJ351" s="58">
        <f>(AJ329+AJ328)*$D$17</f>
        <v/>
      </c>
      <c r="AK351" s="58">
        <f>(AK329+AK328)*$D$17</f>
        <v/>
      </c>
      <c r="AL351" s="58">
        <f>(AL329+AL328)*$D$17</f>
        <v/>
      </c>
      <c r="AM351" s="58">
        <f>(AM329+AM328)*$D$17</f>
        <v/>
      </c>
      <c r="AN351" s="58">
        <f>(AN329+AN328)*$D$17</f>
        <v/>
      </c>
      <c r="AO351" s="58">
        <f>(AO329+AO328)*$D$17</f>
        <v/>
      </c>
      <c r="AP351" s="58">
        <f>(AP329+AP328)*$D$17</f>
        <v/>
      </c>
      <c r="AQ351" s="58">
        <f>(AQ329+AQ328)*$D$17</f>
        <v/>
      </c>
      <c r="AR351" s="58">
        <f>(AR329+AR328)*$D$17</f>
        <v/>
      </c>
      <c r="AS351" s="58">
        <f>(AS329+AS328)*$D$17</f>
        <v/>
      </c>
      <c r="AT351" s="58">
        <f>(AT329+AT328)*$D$17</f>
        <v/>
      </c>
      <c r="AU351" s="58">
        <f>(AU329+AU328)*$D$17</f>
        <v/>
      </c>
      <c r="AV351" s="58">
        <f>(AV329+AV328)*$D$17</f>
        <v/>
      </c>
      <c r="AW351" s="58">
        <f>(AW329+AW328)*$D$17</f>
        <v/>
      </c>
      <c r="AX351" s="58">
        <f>(AX329+AX328)*$D$17</f>
        <v/>
      </c>
      <c r="AY351" s="58">
        <f>(AY329+AY328)*$D$17</f>
        <v/>
      </c>
      <c r="AZ351" s="58">
        <f>(AZ329+AZ328)*$D$17</f>
        <v/>
      </c>
      <c r="BA351" s="58">
        <f>(BA329+BA328)*$D$17</f>
        <v/>
      </c>
      <c r="BB351" s="58">
        <f>(BB329+BB328)*$D$17</f>
        <v/>
      </c>
      <c r="BC351" s="58">
        <f>(BC329+BC328)*$D$17</f>
        <v/>
      </c>
      <c r="BD351" s="58">
        <f>(BD329+BD328)*$D$17</f>
        <v/>
      </c>
    </row>
    <row r="353">
      <c r="A353" s="3" t="inlineStr">
        <is>
          <t>KALE  —  cold store</t>
        </is>
      </c>
      <c r="B353" s="53" t="inlineStr"/>
    </row>
    <row r="354">
      <c r="A354" s="36" t="inlineStr">
        <is>
          <t>Week</t>
        </is>
      </c>
      <c r="B354" s="37" t="inlineStr"/>
      <c r="E354" s="38" t="n">
        <v>1</v>
      </c>
      <c r="F354" s="38" t="n">
        <v>2</v>
      </c>
      <c r="G354" s="38" t="n">
        <v>3</v>
      </c>
      <c r="H354" s="38" t="n">
        <v>4</v>
      </c>
      <c r="I354" s="38" t="n">
        <v>5</v>
      </c>
      <c r="J354" s="38" t="n">
        <v>6</v>
      </c>
      <c r="K354" s="38" t="n">
        <v>7</v>
      </c>
      <c r="L354" s="38" t="n">
        <v>8</v>
      </c>
      <c r="M354" s="38" t="n">
        <v>9</v>
      </c>
      <c r="N354" s="38" t="n">
        <v>10</v>
      </c>
      <c r="O354" s="38" t="n">
        <v>11</v>
      </c>
      <c r="P354" s="38" t="n">
        <v>12</v>
      </c>
      <c r="Q354" s="38" t="n">
        <v>13</v>
      </c>
      <c r="R354" s="38" t="n">
        <v>14</v>
      </c>
      <c r="S354" s="38" t="n">
        <v>15</v>
      </c>
      <c r="T354" s="38" t="n">
        <v>16</v>
      </c>
      <c r="U354" s="38" t="n">
        <v>17</v>
      </c>
      <c r="V354" s="38" t="n">
        <v>18</v>
      </c>
      <c r="W354" s="38" t="n">
        <v>19</v>
      </c>
      <c r="X354" s="38" t="n">
        <v>20</v>
      </c>
      <c r="Y354" s="38" t="n">
        <v>21</v>
      </c>
      <c r="Z354" s="38" t="n">
        <v>22</v>
      </c>
      <c r="AA354" s="38" t="n">
        <v>23</v>
      </c>
      <c r="AB354" s="38" t="n">
        <v>24</v>
      </c>
      <c r="AC354" s="38" t="n">
        <v>25</v>
      </c>
      <c r="AD354" s="38" t="n">
        <v>26</v>
      </c>
      <c r="AE354" s="38" t="n">
        <v>27</v>
      </c>
      <c r="AF354" s="38" t="n">
        <v>28</v>
      </c>
      <c r="AG354" s="38" t="n">
        <v>29</v>
      </c>
      <c r="AH354" s="38" t="n">
        <v>30</v>
      </c>
      <c r="AI354" s="38" t="n">
        <v>31</v>
      </c>
      <c r="AJ354" s="38" t="n">
        <v>32</v>
      </c>
      <c r="AK354" s="38" t="n">
        <v>33</v>
      </c>
      <c r="AL354" s="38" t="n">
        <v>34</v>
      </c>
      <c r="AM354" s="38" t="n">
        <v>35</v>
      </c>
      <c r="AN354" s="38" t="n">
        <v>36</v>
      </c>
      <c r="AO354" s="38" t="n">
        <v>37</v>
      </c>
      <c r="AP354" s="38" t="n">
        <v>38</v>
      </c>
      <c r="AQ354" s="38" t="n">
        <v>39</v>
      </c>
      <c r="AR354" s="38" t="n">
        <v>40</v>
      </c>
      <c r="AS354" s="38" t="n">
        <v>41</v>
      </c>
      <c r="AT354" s="38" t="n">
        <v>42</v>
      </c>
      <c r="AU354" s="38" t="n">
        <v>43</v>
      </c>
      <c r="AV354" s="38" t="n">
        <v>44</v>
      </c>
      <c r="AW354" s="38" t="n">
        <v>45</v>
      </c>
      <c r="AX354" s="38" t="n">
        <v>46</v>
      </c>
      <c r="AY354" s="38" t="n">
        <v>47</v>
      </c>
      <c r="AZ354" s="38" t="n">
        <v>48</v>
      </c>
      <c r="BA354" s="38" t="n">
        <v>49</v>
      </c>
      <c r="BB354" s="38" t="n">
        <v>50</v>
      </c>
      <c r="BC354" s="38" t="n">
        <v>51</v>
      </c>
      <c r="BD354" s="38" t="n">
        <v>52</v>
      </c>
    </row>
    <row r="355">
      <c r="A355" s="4" t="inlineStr">
        <is>
          <t>Packed out -&gt; INTO the store</t>
        </is>
      </c>
      <c r="B355" s="2" t="inlineStr">
        <is>
          <t>lb</t>
        </is>
      </c>
      <c r="E355" s="40">
        <f>SUMPRODUCT(($B$92:$B$232="Kale")*(E$92:E$232="H")*$C$92:$C$232)*$B$18/$J$18*$C$18</f>
        <v/>
      </c>
      <c r="F355" s="40">
        <f>SUMPRODUCT(($B$92:$B$232="Kale")*(F$92:F$232="H")*$C$92:$C$232)*$B$18/$J$18*$C$18</f>
        <v/>
      </c>
      <c r="G355" s="40">
        <f>SUMPRODUCT(($B$92:$B$232="Kale")*(G$92:G$232="H")*$C$92:$C$232)*$B$18/$J$18*$C$18</f>
        <v/>
      </c>
      <c r="H355" s="40">
        <f>SUMPRODUCT(($B$92:$B$232="Kale")*(H$92:H$232="H")*$C$92:$C$232)*$B$18/$J$18*$C$18</f>
        <v/>
      </c>
      <c r="I355" s="40">
        <f>SUMPRODUCT(($B$92:$B$232="Kale")*(I$92:I$232="H")*$C$92:$C$232)*$B$18/$J$18*$C$18</f>
        <v/>
      </c>
      <c r="J355" s="40">
        <f>SUMPRODUCT(($B$92:$B$232="Kale")*(J$92:J$232="H")*$C$92:$C$232)*$B$18/$J$18*$C$18</f>
        <v/>
      </c>
      <c r="K355" s="40">
        <f>SUMPRODUCT(($B$92:$B$232="Kale")*(K$92:K$232="H")*$C$92:$C$232)*$B$18/$J$18*$C$18</f>
        <v/>
      </c>
      <c r="L355" s="40">
        <f>SUMPRODUCT(($B$92:$B$232="Kale")*(L$92:L$232="H")*$C$92:$C$232)*$B$18/$J$18*$C$18</f>
        <v/>
      </c>
      <c r="M355" s="40">
        <f>SUMPRODUCT(($B$92:$B$232="Kale")*(M$92:M$232="H")*$C$92:$C$232)*$B$18/$J$18*$C$18</f>
        <v/>
      </c>
      <c r="N355" s="40">
        <f>SUMPRODUCT(($B$92:$B$232="Kale")*(N$92:N$232="H")*$C$92:$C$232)*$B$18/$J$18*$C$18</f>
        <v/>
      </c>
      <c r="O355" s="40">
        <f>SUMPRODUCT(($B$92:$B$232="Kale")*(O$92:O$232="H")*$C$92:$C$232)*$B$18/$J$18*$C$18</f>
        <v/>
      </c>
      <c r="P355" s="40">
        <f>SUMPRODUCT(($B$92:$B$232="Kale")*(P$92:P$232="H")*$C$92:$C$232)*$B$18/$J$18*$C$18</f>
        <v/>
      </c>
      <c r="Q355" s="40">
        <f>SUMPRODUCT(($B$92:$B$232="Kale")*(Q$92:Q$232="H")*$C$92:$C$232)*$B$18/$J$18*$C$18</f>
        <v/>
      </c>
      <c r="R355" s="40">
        <f>SUMPRODUCT(($B$92:$B$232="Kale")*(R$92:R$232="H")*$C$92:$C$232)*$B$18/$J$18*$C$18</f>
        <v/>
      </c>
      <c r="S355" s="40">
        <f>SUMPRODUCT(($B$92:$B$232="Kale")*(S$92:S$232="H")*$C$92:$C$232)*$B$18/$J$18*$C$18</f>
        <v/>
      </c>
      <c r="T355" s="40">
        <f>SUMPRODUCT(($B$92:$B$232="Kale")*(T$92:T$232="H")*$C$92:$C$232)*$B$18/$J$18*$C$18</f>
        <v/>
      </c>
      <c r="U355" s="40">
        <f>SUMPRODUCT(($B$92:$B$232="Kale")*(U$92:U$232="H")*$C$92:$C$232)*$B$18/$J$18*$C$18</f>
        <v/>
      </c>
      <c r="V355" s="40">
        <f>SUMPRODUCT(($B$92:$B$232="Kale")*(V$92:V$232="H")*$C$92:$C$232)*$B$18/$J$18*$C$18</f>
        <v/>
      </c>
      <c r="W355" s="40">
        <f>SUMPRODUCT(($B$92:$B$232="Kale")*(W$92:W$232="H")*$C$92:$C$232)*$B$18/$J$18*$C$18</f>
        <v/>
      </c>
      <c r="X355" s="40">
        <f>SUMPRODUCT(($B$92:$B$232="Kale")*(X$92:X$232="H")*$C$92:$C$232)*$B$18/$J$18*$C$18</f>
        <v/>
      </c>
      <c r="Y355" s="40">
        <f>SUMPRODUCT(($B$92:$B$232="Kale")*(Y$92:Y$232="H")*$C$92:$C$232)*$B$18/$J$18*$C$18</f>
        <v/>
      </c>
      <c r="Z355" s="40">
        <f>SUMPRODUCT(($B$92:$B$232="Kale")*(Z$92:Z$232="H")*$C$92:$C$232)*$B$18/$J$18*$C$18</f>
        <v/>
      </c>
      <c r="AA355" s="40">
        <f>SUMPRODUCT(($B$92:$B$232="Kale")*(AA$92:AA$232="H")*$C$92:$C$232)*$B$18/$J$18*$C$18</f>
        <v/>
      </c>
      <c r="AB355" s="40">
        <f>SUMPRODUCT(($B$92:$B$232="Kale")*(AB$92:AB$232="H")*$C$92:$C$232)*$B$18/$J$18*$C$18</f>
        <v/>
      </c>
      <c r="AC355" s="40">
        <f>SUMPRODUCT(($B$92:$B$232="Kale")*(AC$92:AC$232="H")*$C$92:$C$232)*$B$18/$J$18*$C$18</f>
        <v/>
      </c>
      <c r="AD355" s="40">
        <f>SUMPRODUCT(($B$92:$B$232="Kale")*(AD$92:AD$232="H")*$C$92:$C$232)*$B$18/$J$18*$C$18</f>
        <v/>
      </c>
      <c r="AE355" s="40">
        <f>SUMPRODUCT(($B$92:$B$232="Kale")*(AE$92:AE$232="H")*$C$92:$C$232)*$B$18/$J$18*$C$18</f>
        <v/>
      </c>
      <c r="AF355" s="40">
        <f>SUMPRODUCT(($B$92:$B$232="Kale")*(AF$92:AF$232="H")*$C$92:$C$232)*$B$18/$J$18*$C$18</f>
        <v/>
      </c>
      <c r="AG355" s="40">
        <f>SUMPRODUCT(($B$92:$B$232="Kale")*(AG$92:AG$232="H")*$C$92:$C$232)*$B$18/$J$18*$C$18</f>
        <v/>
      </c>
      <c r="AH355" s="40">
        <f>SUMPRODUCT(($B$92:$B$232="Kale")*(AH$92:AH$232="H")*$C$92:$C$232)*$B$18/$J$18*$C$18</f>
        <v/>
      </c>
      <c r="AI355" s="40">
        <f>SUMPRODUCT(($B$92:$B$232="Kale")*(AI$92:AI$232="H")*$C$92:$C$232)*$B$18/$J$18*$C$18</f>
        <v/>
      </c>
      <c r="AJ355" s="40">
        <f>SUMPRODUCT(($B$92:$B$232="Kale")*(AJ$92:AJ$232="H")*$C$92:$C$232)*$B$18/$J$18*$C$18</f>
        <v/>
      </c>
      <c r="AK355" s="40">
        <f>SUMPRODUCT(($B$92:$B$232="Kale")*(AK$92:AK$232="H")*$C$92:$C$232)*$B$18/$J$18*$C$18</f>
        <v/>
      </c>
      <c r="AL355" s="40">
        <f>SUMPRODUCT(($B$92:$B$232="Kale")*(AL$92:AL$232="H")*$C$92:$C$232)*$B$18/$J$18*$C$18</f>
        <v/>
      </c>
      <c r="AM355" s="40">
        <f>SUMPRODUCT(($B$92:$B$232="Kale")*(AM$92:AM$232="H")*$C$92:$C$232)*$B$18/$J$18*$C$18</f>
        <v/>
      </c>
      <c r="AN355" s="40">
        <f>SUMPRODUCT(($B$92:$B$232="Kale")*(AN$92:AN$232="H")*$C$92:$C$232)*$B$18/$J$18*$C$18</f>
        <v/>
      </c>
      <c r="AO355" s="40">
        <f>SUMPRODUCT(($B$92:$B$232="Kale")*(AO$92:AO$232="H")*$C$92:$C$232)*$B$18/$J$18*$C$18</f>
        <v/>
      </c>
      <c r="AP355" s="40">
        <f>SUMPRODUCT(($B$92:$B$232="Kale")*(AP$92:AP$232="H")*$C$92:$C$232)*$B$18/$J$18*$C$18</f>
        <v/>
      </c>
      <c r="AQ355" s="40">
        <f>SUMPRODUCT(($B$92:$B$232="Kale")*(AQ$92:AQ$232="H")*$C$92:$C$232)*$B$18/$J$18*$C$18</f>
        <v/>
      </c>
      <c r="AR355" s="40">
        <f>SUMPRODUCT(($B$92:$B$232="Kale")*(AR$92:AR$232="H")*$C$92:$C$232)*$B$18/$J$18*$C$18</f>
        <v/>
      </c>
      <c r="AS355" s="40">
        <f>SUMPRODUCT(($B$92:$B$232="Kale")*(AS$92:AS$232="H")*$C$92:$C$232)*$B$18/$J$18*$C$18</f>
        <v/>
      </c>
      <c r="AT355" s="40">
        <f>SUMPRODUCT(($B$92:$B$232="Kale")*(AT$92:AT$232="H")*$C$92:$C$232)*$B$18/$J$18*$C$18</f>
        <v/>
      </c>
      <c r="AU355" s="40">
        <f>SUMPRODUCT(($B$92:$B$232="Kale")*(AU$92:AU$232="H")*$C$92:$C$232)*$B$18/$J$18*$C$18</f>
        <v/>
      </c>
      <c r="AV355" s="40">
        <f>SUMPRODUCT(($B$92:$B$232="Kale")*(AV$92:AV$232="H")*$C$92:$C$232)*$B$18/$J$18*$C$18</f>
        <v/>
      </c>
      <c r="AW355" s="40">
        <f>SUMPRODUCT(($B$92:$B$232="Kale")*(AW$92:AW$232="H")*$C$92:$C$232)*$B$18/$J$18*$C$18</f>
        <v/>
      </c>
      <c r="AX355" s="40">
        <f>SUMPRODUCT(($B$92:$B$232="Kale")*(AX$92:AX$232="H")*$C$92:$C$232)*$B$18/$J$18*$C$18</f>
        <v/>
      </c>
      <c r="AY355" s="40">
        <f>SUMPRODUCT(($B$92:$B$232="Kale")*(AY$92:AY$232="H")*$C$92:$C$232)*$B$18/$J$18*$C$18</f>
        <v/>
      </c>
      <c r="AZ355" s="40">
        <f>SUMPRODUCT(($B$92:$B$232="Kale")*(AZ$92:AZ$232="H")*$C$92:$C$232)*$B$18/$J$18*$C$18</f>
        <v/>
      </c>
      <c r="BA355" s="40">
        <f>SUMPRODUCT(($B$92:$B$232="Kale")*(BA$92:BA$232="H")*$C$92:$C$232)*$B$18/$J$18*$C$18</f>
        <v/>
      </c>
      <c r="BB355" s="40">
        <f>SUMPRODUCT(($B$92:$B$232="Kale")*(BB$92:BB$232="H")*$C$92:$C$232)*$B$18/$J$18*$C$18</f>
        <v/>
      </c>
      <c r="BC355" s="40">
        <f>SUMPRODUCT(($B$92:$B$232="Kale")*(BC$92:BC$232="H")*$C$92:$C$232)*$B$18/$J$18*$C$18</f>
        <v/>
      </c>
      <c r="BD355" s="40">
        <f>SUMPRODUCT(($B$92:$B$232="Kale")*(BD$92:BD$232="H")*$C$92:$C$232)*$B$18/$J$18*$C$18</f>
        <v/>
      </c>
    </row>
    <row r="356">
      <c r="A356" s="33" t="inlineStr">
        <is>
          <t>Stock carried in</t>
        </is>
      </c>
      <c r="B356" s="2" t="inlineStr">
        <is>
          <t>lb</t>
        </is>
      </c>
      <c r="E356" s="40" t="n">
        <v>0</v>
      </c>
      <c r="F356" s="40">
        <f>E373</f>
        <v/>
      </c>
      <c r="G356" s="40">
        <f>F373</f>
        <v/>
      </c>
      <c r="H356" s="40">
        <f>G373</f>
        <v/>
      </c>
      <c r="I356" s="40">
        <f>H373</f>
        <v/>
      </c>
      <c r="J356" s="40">
        <f>I373</f>
        <v/>
      </c>
      <c r="K356" s="40">
        <f>J373</f>
        <v/>
      </c>
      <c r="L356" s="40">
        <f>K373</f>
        <v/>
      </c>
      <c r="M356" s="40">
        <f>L373</f>
        <v/>
      </c>
      <c r="N356" s="40">
        <f>M373</f>
        <v/>
      </c>
      <c r="O356" s="40">
        <f>N373</f>
        <v/>
      </c>
      <c r="P356" s="40">
        <f>O373</f>
        <v/>
      </c>
      <c r="Q356" s="40">
        <f>P373</f>
        <v/>
      </c>
      <c r="R356" s="40">
        <f>Q373</f>
        <v/>
      </c>
      <c r="S356" s="40">
        <f>R373</f>
        <v/>
      </c>
      <c r="T356" s="40">
        <f>S373</f>
        <v/>
      </c>
      <c r="U356" s="40">
        <f>T373</f>
        <v/>
      </c>
      <c r="V356" s="40">
        <f>U373</f>
        <v/>
      </c>
      <c r="W356" s="40">
        <f>V373</f>
        <v/>
      </c>
      <c r="X356" s="40">
        <f>W373</f>
        <v/>
      </c>
      <c r="Y356" s="40">
        <f>X373</f>
        <v/>
      </c>
      <c r="Z356" s="40">
        <f>Y373</f>
        <v/>
      </c>
      <c r="AA356" s="40">
        <f>Z373</f>
        <v/>
      </c>
      <c r="AB356" s="40">
        <f>AA373</f>
        <v/>
      </c>
      <c r="AC356" s="40">
        <f>AB373</f>
        <v/>
      </c>
      <c r="AD356" s="40">
        <f>AC373</f>
        <v/>
      </c>
      <c r="AE356" s="40">
        <f>AD373</f>
        <v/>
      </c>
      <c r="AF356" s="40">
        <f>AE373</f>
        <v/>
      </c>
      <c r="AG356" s="40">
        <f>AF373</f>
        <v/>
      </c>
      <c r="AH356" s="40">
        <f>AG373</f>
        <v/>
      </c>
      <c r="AI356" s="40">
        <f>AH373</f>
        <v/>
      </c>
      <c r="AJ356" s="40">
        <f>AI373</f>
        <v/>
      </c>
      <c r="AK356" s="40">
        <f>AJ373</f>
        <v/>
      </c>
      <c r="AL356" s="40">
        <f>AK373</f>
        <v/>
      </c>
      <c r="AM356" s="40">
        <f>AL373</f>
        <v/>
      </c>
      <c r="AN356" s="40">
        <f>AM373</f>
        <v/>
      </c>
      <c r="AO356" s="40">
        <f>AN373</f>
        <v/>
      </c>
      <c r="AP356" s="40">
        <f>AO373</f>
        <v/>
      </c>
      <c r="AQ356" s="40">
        <f>AP373</f>
        <v/>
      </c>
      <c r="AR356" s="40">
        <f>AQ373</f>
        <v/>
      </c>
      <c r="AS356" s="40">
        <f>AR373</f>
        <v/>
      </c>
      <c r="AT356" s="40">
        <f>AS373</f>
        <v/>
      </c>
      <c r="AU356" s="40">
        <f>AT373</f>
        <v/>
      </c>
      <c r="AV356" s="40">
        <f>AU373</f>
        <v/>
      </c>
      <c r="AW356" s="40">
        <f>AV373</f>
        <v/>
      </c>
      <c r="AX356" s="40">
        <f>AW373</f>
        <v/>
      </c>
      <c r="AY356" s="40">
        <f>AX373</f>
        <v/>
      </c>
      <c r="AZ356" s="40">
        <f>AY373</f>
        <v/>
      </c>
      <c r="BA356" s="40">
        <f>AZ373</f>
        <v/>
      </c>
      <c r="BB356" s="40">
        <f>BA373</f>
        <v/>
      </c>
      <c r="BC356" s="40">
        <f>BB373</f>
        <v/>
      </c>
      <c r="BD356" s="40">
        <f>BC373</f>
        <v/>
      </c>
    </row>
    <row r="357">
      <c r="A357" s="33" t="inlineStr">
        <is>
          <t xml:space="preserve">   lost to shrink</t>
        </is>
      </c>
      <c r="B357" s="2" t="inlineStr">
        <is>
          <t>lb</t>
        </is>
      </c>
      <c r="E357" s="40">
        <f>E356*$G$18</f>
        <v/>
      </c>
      <c r="F357" s="40">
        <f>F356*$G$18</f>
        <v/>
      </c>
      <c r="G357" s="40">
        <f>G356*$G$18</f>
        <v/>
      </c>
      <c r="H357" s="40">
        <f>H356*$G$18</f>
        <v/>
      </c>
      <c r="I357" s="40">
        <f>I356*$G$18</f>
        <v/>
      </c>
      <c r="J357" s="40">
        <f>J356*$G$18</f>
        <v/>
      </c>
      <c r="K357" s="40">
        <f>K356*$G$18</f>
        <v/>
      </c>
      <c r="L357" s="40">
        <f>L356*$G$18</f>
        <v/>
      </c>
      <c r="M357" s="40">
        <f>M356*$G$18</f>
        <v/>
      </c>
      <c r="N357" s="40">
        <f>N356*$G$18</f>
        <v/>
      </c>
      <c r="O357" s="40">
        <f>O356*$G$18</f>
        <v/>
      </c>
      <c r="P357" s="40">
        <f>P356*$G$18</f>
        <v/>
      </c>
      <c r="Q357" s="40">
        <f>Q356*$G$18</f>
        <v/>
      </c>
      <c r="R357" s="40">
        <f>R356*$G$18</f>
        <v/>
      </c>
      <c r="S357" s="40">
        <f>S356*$G$18</f>
        <v/>
      </c>
      <c r="T357" s="40">
        <f>T356*$G$18</f>
        <v/>
      </c>
      <c r="U357" s="40">
        <f>U356*$G$18</f>
        <v/>
      </c>
      <c r="V357" s="40">
        <f>V356*$G$18</f>
        <v/>
      </c>
      <c r="W357" s="40">
        <f>W356*$G$18</f>
        <v/>
      </c>
      <c r="X357" s="40">
        <f>X356*$G$18</f>
        <v/>
      </c>
      <c r="Y357" s="40">
        <f>Y356*$G$18</f>
        <v/>
      </c>
      <c r="Z357" s="40">
        <f>Z356*$G$18</f>
        <v/>
      </c>
      <c r="AA357" s="40">
        <f>AA356*$G$18</f>
        <v/>
      </c>
      <c r="AB357" s="40">
        <f>AB356*$G$18</f>
        <v/>
      </c>
      <c r="AC357" s="40">
        <f>AC356*$G$18</f>
        <v/>
      </c>
      <c r="AD357" s="40">
        <f>AD356*$G$18</f>
        <v/>
      </c>
      <c r="AE357" s="40">
        <f>AE356*$G$18</f>
        <v/>
      </c>
      <c r="AF357" s="40">
        <f>AF356*$G$18</f>
        <v/>
      </c>
      <c r="AG357" s="40">
        <f>AG356*$G$18</f>
        <v/>
      </c>
      <c r="AH357" s="40">
        <f>AH356*$G$18</f>
        <v/>
      </c>
      <c r="AI357" s="40">
        <f>AI356*$G$18</f>
        <v/>
      </c>
      <c r="AJ357" s="40">
        <f>AJ356*$G$18</f>
        <v/>
      </c>
      <c r="AK357" s="40">
        <f>AK356*$G$18</f>
        <v/>
      </c>
      <c r="AL357" s="40">
        <f>AL356*$G$18</f>
        <v/>
      </c>
      <c r="AM357" s="40">
        <f>AM356*$G$18</f>
        <v/>
      </c>
      <c r="AN357" s="40">
        <f>AN356*$G$18</f>
        <v/>
      </c>
      <c r="AO357" s="40">
        <f>AO356*$G$18</f>
        <v/>
      </c>
      <c r="AP357" s="40">
        <f>AP356*$G$18</f>
        <v/>
      </c>
      <c r="AQ357" s="40">
        <f>AQ356*$G$18</f>
        <v/>
      </c>
      <c r="AR357" s="40">
        <f>AR356*$G$18</f>
        <v/>
      </c>
      <c r="AS357" s="40">
        <f>AS356*$G$18</f>
        <v/>
      </c>
      <c r="AT357" s="40">
        <f>AT356*$G$18</f>
        <v/>
      </c>
      <c r="AU357" s="40">
        <f>AU356*$G$18</f>
        <v/>
      </c>
      <c r="AV357" s="40">
        <f>AV356*$G$18</f>
        <v/>
      </c>
      <c r="AW357" s="40">
        <f>AW356*$G$18</f>
        <v/>
      </c>
      <c r="AX357" s="40">
        <f>AX356*$G$18</f>
        <v/>
      </c>
      <c r="AY357" s="40">
        <f>AY356*$G$18</f>
        <v/>
      </c>
      <c r="AZ357" s="40">
        <f>AZ356*$G$18</f>
        <v/>
      </c>
      <c r="BA357" s="40">
        <f>BA356*$G$18</f>
        <v/>
      </c>
      <c r="BB357" s="40">
        <f>BB356*$G$18</f>
        <v/>
      </c>
      <c r="BC357" s="40">
        <f>BC356*$G$18</f>
        <v/>
      </c>
      <c r="BD357" s="40">
        <f>BD356*$G$18</f>
        <v/>
      </c>
    </row>
    <row r="358">
      <c r="A358" s="4" t="inlineStr">
        <is>
          <t>In store this week</t>
        </is>
      </c>
      <c r="B358" s="2" t="inlineStr">
        <is>
          <t>lb</t>
        </is>
      </c>
      <c r="E358" s="40">
        <f>E356-E357+E355</f>
        <v/>
      </c>
      <c r="F358" s="40">
        <f>F356-F357+F355</f>
        <v/>
      </c>
      <c r="G358" s="40">
        <f>G356-G357+G355</f>
        <v/>
      </c>
      <c r="H358" s="40">
        <f>H356-H357+H355</f>
        <v/>
      </c>
      <c r="I358" s="40">
        <f>I356-I357+I355</f>
        <v/>
      </c>
      <c r="J358" s="40">
        <f>J356-J357+J355</f>
        <v/>
      </c>
      <c r="K358" s="40">
        <f>K356-K357+K355</f>
        <v/>
      </c>
      <c r="L358" s="40">
        <f>L356-L357+L355</f>
        <v/>
      </c>
      <c r="M358" s="40">
        <f>M356-M357+M355</f>
        <v/>
      </c>
      <c r="N358" s="40">
        <f>N356-N357+N355</f>
        <v/>
      </c>
      <c r="O358" s="40">
        <f>O356-O357+O355</f>
        <v/>
      </c>
      <c r="P358" s="40">
        <f>P356-P357+P355</f>
        <v/>
      </c>
      <c r="Q358" s="40">
        <f>Q356-Q357+Q355</f>
        <v/>
      </c>
      <c r="R358" s="40">
        <f>R356-R357+R355</f>
        <v/>
      </c>
      <c r="S358" s="40">
        <f>S356-S357+S355</f>
        <v/>
      </c>
      <c r="T358" s="40">
        <f>T356-T357+T355</f>
        <v/>
      </c>
      <c r="U358" s="40">
        <f>U356-U357+U355</f>
        <v/>
      </c>
      <c r="V358" s="40">
        <f>V356-V357+V355</f>
        <v/>
      </c>
      <c r="W358" s="40">
        <f>W356-W357+W355</f>
        <v/>
      </c>
      <c r="X358" s="40">
        <f>X356-X357+X355</f>
        <v/>
      </c>
      <c r="Y358" s="40">
        <f>Y356-Y357+Y355</f>
        <v/>
      </c>
      <c r="Z358" s="40">
        <f>Z356-Z357+Z355</f>
        <v/>
      </c>
      <c r="AA358" s="40">
        <f>AA356-AA357+AA355</f>
        <v/>
      </c>
      <c r="AB358" s="40">
        <f>AB356-AB357+AB355</f>
        <v/>
      </c>
      <c r="AC358" s="40">
        <f>AC356-AC357+AC355</f>
        <v/>
      </c>
      <c r="AD358" s="40">
        <f>AD356-AD357+AD355</f>
        <v/>
      </c>
      <c r="AE358" s="40">
        <f>AE356-AE357+AE355</f>
        <v/>
      </c>
      <c r="AF358" s="40">
        <f>AF356-AF357+AF355</f>
        <v/>
      </c>
      <c r="AG358" s="40">
        <f>AG356-AG357+AG355</f>
        <v/>
      </c>
      <c r="AH358" s="40">
        <f>AH356-AH357+AH355</f>
        <v/>
      </c>
      <c r="AI358" s="40">
        <f>AI356-AI357+AI355</f>
        <v/>
      </c>
      <c r="AJ358" s="40">
        <f>AJ356-AJ357+AJ355</f>
        <v/>
      </c>
      <c r="AK358" s="40">
        <f>AK356-AK357+AK355</f>
        <v/>
      </c>
      <c r="AL358" s="40">
        <f>AL356-AL357+AL355</f>
        <v/>
      </c>
      <c r="AM358" s="40">
        <f>AM356-AM357+AM355</f>
        <v/>
      </c>
      <c r="AN358" s="40">
        <f>AN356-AN357+AN355</f>
        <v/>
      </c>
      <c r="AO358" s="40">
        <f>AO356-AO357+AO355</f>
        <v/>
      </c>
      <c r="AP358" s="40">
        <f>AP356-AP357+AP355</f>
        <v/>
      </c>
      <c r="AQ358" s="40">
        <f>AQ356-AQ357+AQ355</f>
        <v/>
      </c>
      <c r="AR358" s="40">
        <f>AR356-AR357+AR355</f>
        <v/>
      </c>
      <c r="AS358" s="40">
        <f>AS356-AS357+AS355</f>
        <v/>
      </c>
      <c r="AT358" s="40">
        <f>AT356-AT357+AT355</f>
        <v/>
      </c>
      <c r="AU358" s="40">
        <f>AU356-AU357+AU355</f>
        <v/>
      </c>
      <c r="AV358" s="40">
        <f>AV356-AV357+AV355</f>
        <v/>
      </c>
      <c r="AW358" s="40">
        <f>AW356-AW357+AW355</f>
        <v/>
      </c>
      <c r="AX358" s="40">
        <f>AX356-AX357+AX355</f>
        <v/>
      </c>
      <c r="AY358" s="40">
        <f>AY356-AY357+AY355</f>
        <v/>
      </c>
      <c r="AZ358" s="40">
        <f>AZ356-AZ357+AZ355</f>
        <v/>
      </c>
      <c r="BA358" s="40">
        <f>BA356-BA357+BA355</f>
        <v/>
      </c>
      <c r="BB358" s="40">
        <f>BB356-BB357+BB355</f>
        <v/>
      </c>
      <c r="BC358" s="40">
        <f>BC356-BC357+BC355</f>
        <v/>
      </c>
      <c r="BD358" s="40">
        <f>BD356-BD357+BD355</f>
        <v/>
      </c>
    </row>
    <row r="359">
      <c r="A359" s="43" t="inlineStr">
        <is>
          <t>Farmers Market — most you may sell this week</t>
        </is>
      </c>
      <c r="B359" s="2" t="inlineStr">
        <is>
          <t>lb</t>
        </is>
      </c>
      <c r="E359" s="42">
        <f>IF($C$38="Annual",$D$38-0,IF(AND(1&gt;=$E$38,1&lt;=$F$38),$D$38,0))</f>
        <v/>
      </c>
      <c r="F359" s="42">
        <f>IF($C$38="Annual",$D$38-SUM(E361:E361),IF(AND(2&gt;=$E$38,2&lt;=$F$38),$D$38,0))</f>
        <v/>
      </c>
      <c r="G359" s="42">
        <f>IF($C$38="Annual",$D$38-SUM(E361:F361),IF(AND(3&gt;=$E$38,3&lt;=$F$38),$D$38,0))</f>
        <v/>
      </c>
      <c r="H359" s="42">
        <f>IF($C$38="Annual",$D$38-SUM(E361:G361),IF(AND(4&gt;=$E$38,4&lt;=$F$38),$D$38,0))</f>
        <v/>
      </c>
      <c r="I359" s="42">
        <f>IF($C$38="Annual",$D$38-SUM(E361:H361),IF(AND(5&gt;=$E$38,5&lt;=$F$38),$D$38,0))</f>
        <v/>
      </c>
      <c r="J359" s="42">
        <f>IF($C$38="Annual",$D$38-SUM(E361:I361),IF(AND(6&gt;=$E$38,6&lt;=$F$38),$D$38,0))</f>
        <v/>
      </c>
      <c r="K359" s="42">
        <f>IF($C$38="Annual",$D$38-SUM(E361:J361),IF(AND(7&gt;=$E$38,7&lt;=$F$38),$D$38,0))</f>
        <v/>
      </c>
      <c r="L359" s="42">
        <f>IF($C$38="Annual",$D$38-SUM(E361:K361),IF(AND(8&gt;=$E$38,8&lt;=$F$38),$D$38,0))</f>
        <v/>
      </c>
      <c r="M359" s="42">
        <f>IF($C$38="Annual",$D$38-SUM(E361:L361),IF(AND(9&gt;=$E$38,9&lt;=$F$38),$D$38,0))</f>
        <v/>
      </c>
      <c r="N359" s="42">
        <f>IF($C$38="Annual",$D$38-SUM(E361:M361),IF(AND(10&gt;=$E$38,10&lt;=$F$38),$D$38,0))</f>
        <v/>
      </c>
      <c r="O359" s="42">
        <f>IF($C$38="Annual",$D$38-SUM(E361:N361),IF(AND(11&gt;=$E$38,11&lt;=$F$38),$D$38,0))</f>
        <v/>
      </c>
      <c r="P359" s="42">
        <f>IF($C$38="Annual",$D$38-SUM(E361:O361),IF(AND(12&gt;=$E$38,12&lt;=$F$38),$D$38,0))</f>
        <v/>
      </c>
      <c r="Q359" s="42">
        <f>IF($C$38="Annual",$D$38-SUM(E361:P361),IF(AND(13&gt;=$E$38,13&lt;=$F$38),$D$38,0))</f>
        <v/>
      </c>
      <c r="R359" s="42">
        <f>IF($C$38="Annual",$D$38-SUM(E361:Q361),IF(AND(14&gt;=$E$38,14&lt;=$F$38),$D$38,0))</f>
        <v/>
      </c>
      <c r="S359" s="42">
        <f>IF($C$38="Annual",$D$38-SUM(E361:R361),IF(AND(15&gt;=$E$38,15&lt;=$F$38),$D$38,0))</f>
        <v/>
      </c>
      <c r="T359" s="42">
        <f>IF($C$38="Annual",$D$38-SUM(E361:S361),IF(AND(16&gt;=$E$38,16&lt;=$F$38),$D$38,0))</f>
        <v/>
      </c>
      <c r="U359" s="42">
        <f>IF($C$38="Annual",$D$38-SUM(E361:T361),IF(AND(17&gt;=$E$38,17&lt;=$F$38),$D$38,0))</f>
        <v/>
      </c>
      <c r="V359" s="42">
        <f>IF($C$38="Annual",$D$38-SUM(E361:U361),IF(AND(18&gt;=$E$38,18&lt;=$F$38),$D$38,0))</f>
        <v/>
      </c>
      <c r="W359" s="42">
        <f>IF($C$38="Annual",$D$38-SUM(E361:V361),IF(AND(19&gt;=$E$38,19&lt;=$F$38),$D$38,0))</f>
        <v/>
      </c>
      <c r="X359" s="42">
        <f>IF($C$38="Annual",$D$38-SUM(E361:W361),IF(AND(20&gt;=$E$38,20&lt;=$F$38),$D$38,0))</f>
        <v/>
      </c>
      <c r="Y359" s="42">
        <f>IF($C$38="Annual",$D$38-SUM(E361:X361),IF(AND(21&gt;=$E$38,21&lt;=$F$38),$D$38,0))</f>
        <v/>
      </c>
      <c r="Z359" s="42">
        <f>IF($C$38="Annual",$D$38-SUM(E361:Y361),IF(AND(22&gt;=$E$38,22&lt;=$F$38),$D$38,0))</f>
        <v/>
      </c>
      <c r="AA359" s="42">
        <f>IF($C$38="Annual",$D$38-SUM(E361:Z361),IF(AND(23&gt;=$E$38,23&lt;=$F$38),$D$38,0))</f>
        <v/>
      </c>
      <c r="AB359" s="42">
        <f>IF($C$38="Annual",$D$38-SUM(E361:AA361),IF(AND(24&gt;=$E$38,24&lt;=$F$38),$D$38,0))</f>
        <v/>
      </c>
      <c r="AC359" s="42">
        <f>IF($C$38="Annual",$D$38-SUM(E361:AB361),IF(AND(25&gt;=$E$38,25&lt;=$F$38),$D$38,0))</f>
        <v/>
      </c>
      <c r="AD359" s="42">
        <f>IF($C$38="Annual",$D$38-SUM(E361:AC361),IF(AND(26&gt;=$E$38,26&lt;=$F$38),$D$38,0))</f>
        <v/>
      </c>
      <c r="AE359" s="42">
        <f>IF($C$38="Annual",$D$38-SUM(E361:AD361),IF(AND(27&gt;=$E$38,27&lt;=$F$38),$D$38,0))</f>
        <v/>
      </c>
      <c r="AF359" s="42">
        <f>IF($C$38="Annual",$D$38-SUM(E361:AE361),IF(AND(28&gt;=$E$38,28&lt;=$F$38),$D$38,0))</f>
        <v/>
      </c>
      <c r="AG359" s="42">
        <f>IF($C$38="Annual",$D$38-SUM(E361:AF361),IF(AND(29&gt;=$E$38,29&lt;=$F$38),$D$38,0))</f>
        <v/>
      </c>
      <c r="AH359" s="42">
        <f>IF($C$38="Annual",$D$38-SUM(E361:AG361),IF(AND(30&gt;=$E$38,30&lt;=$F$38),$D$38,0))</f>
        <v/>
      </c>
      <c r="AI359" s="42">
        <f>IF($C$38="Annual",$D$38-SUM(E361:AH361),IF(AND(31&gt;=$E$38,31&lt;=$F$38),$D$38,0))</f>
        <v/>
      </c>
      <c r="AJ359" s="42">
        <f>IF($C$38="Annual",$D$38-SUM(E361:AI361),IF(AND(32&gt;=$E$38,32&lt;=$F$38),$D$38,0))</f>
        <v/>
      </c>
      <c r="AK359" s="42">
        <f>IF($C$38="Annual",$D$38-SUM(E361:AJ361),IF(AND(33&gt;=$E$38,33&lt;=$F$38),$D$38,0))</f>
        <v/>
      </c>
      <c r="AL359" s="42">
        <f>IF($C$38="Annual",$D$38-SUM(E361:AK361),IF(AND(34&gt;=$E$38,34&lt;=$F$38),$D$38,0))</f>
        <v/>
      </c>
      <c r="AM359" s="42">
        <f>IF($C$38="Annual",$D$38-SUM(E361:AL361),IF(AND(35&gt;=$E$38,35&lt;=$F$38),$D$38,0))</f>
        <v/>
      </c>
      <c r="AN359" s="42">
        <f>IF($C$38="Annual",$D$38-SUM(E361:AM361),IF(AND(36&gt;=$E$38,36&lt;=$F$38),$D$38,0))</f>
        <v/>
      </c>
      <c r="AO359" s="42">
        <f>IF($C$38="Annual",$D$38-SUM(E361:AN361),IF(AND(37&gt;=$E$38,37&lt;=$F$38),$D$38,0))</f>
        <v/>
      </c>
      <c r="AP359" s="42">
        <f>IF($C$38="Annual",$D$38-SUM(E361:AO361),IF(AND(38&gt;=$E$38,38&lt;=$F$38),$D$38,0))</f>
        <v/>
      </c>
      <c r="AQ359" s="42">
        <f>IF($C$38="Annual",$D$38-SUM(E361:AP361),IF(AND(39&gt;=$E$38,39&lt;=$F$38),$D$38,0))</f>
        <v/>
      </c>
      <c r="AR359" s="42">
        <f>IF($C$38="Annual",$D$38-SUM(E361:AQ361),IF(AND(40&gt;=$E$38,40&lt;=$F$38),$D$38,0))</f>
        <v/>
      </c>
      <c r="AS359" s="42">
        <f>IF($C$38="Annual",$D$38-SUM(E361:AR361),IF(AND(41&gt;=$E$38,41&lt;=$F$38),$D$38,0))</f>
        <v/>
      </c>
      <c r="AT359" s="42">
        <f>IF($C$38="Annual",$D$38-SUM(E361:AS361),IF(AND(42&gt;=$E$38,42&lt;=$F$38),$D$38,0))</f>
        <v/>
      </c>
      <c r="AU359" s="42">
        <f>IF($C$38="Annual",$D$38-SUM(E361:AT361),IF(AND(43&gt;=$E$38,43&lt;=$F$38),$D$38,0))</f>
        <v/>
      </c>
      <c r="AV359" s="42">
        <f>IF($C$38="Annual",$D$38-SUM(E361:AU361),IF(AND(44&gt;=$E$38,44&lt;=$F$38),$D$38,0))</f>
        <v/>
      </c>
      <c r="AW359" s="42">
        <f>IF($C$38="Annual",$D$38-SUM(E361:AV361),IF(AND(45&gt;=$E$38,45&lt;=$F$38),$D$38,0))</f>
        <v/>
      </c>
      <c r="AX359" s="42">
        <f>IF($C$38="Annual",$D$38-SUM(E361:AW361),IF(AND(46&gt;=$E$38,46&lt;=$F$38),$D$38,0))</f>
        <v/>
      </c>
      <c r="AY359" s="42">
        <f>IF($C$38="Annual",$D$38-SUM(E361:AX361),IF(AND(47&gt;=$E$38,47&lt;=$F$38),$D$38,0))</f>
        <v/>
      </c>
      <c r="AZ359" s="42">
        <f>IF($C$38="Annual",$D$38-SUM(E361:AY361),IF(AND(48&gt;=$E$38,48&lt;=$F$38),$D$38,0))</f>
        <v/>
      </c>
      <c r="BA359" s="42">
        <f>IF($C$38="Annual",$D$38-SUM(E361:AZ361),IF(AND(49&gt;=$E$38,49&lt;=$F$38),$D$38,0))</f>
        <v/>
      </c>
      <c r="BB359" s="42">
        <f>IF($C$38="Annual",$D$38-SUM(E361:BA361),IF(AND(50&gt;=$E$38,50&lt;=$F$38),$D$38,0))</f>
        <v/>
      </c>
      <c r="BC359" s="42">
        <f>IF($C$38="Annual",$D$38-SUM(E361:BB361),IF(AND(51&gt;=$E$38,51&lt;=$F$38),$D$38,0))</f>
        <v/>
      </c>
      <c r="BD359" s="42">
        <f>IF($C$38="Annual",$D$38-SUM(E361:BC361),IF(AND(52&gt;=$E$38,52&lt;=$F$38),$D$38,0))</f>
        <v/>
      </c>
    </row>
    <row r="360">
      <c r="A360" s="32" t="inlineStr">
        <is>
          <t>Farmers Market — OFFERED</t>
        </is>
      </c>
      <c r="B360" s="2" t="inlineStr">
        <is>
          <t>lb  &lt;-- SOLVER</t>
        </is>
      </c>
      <c r="E360" s="39" t="n">
        <v>0</v>
      </c>
      <c r="F360" s="39" t="n">
        <v>0</v>
      </c>
      <c r="G360" s="39" t="n">
        <v>0</v>
      </c>
      <c r="H360" s="39" t="n">
        <v>0</v>
      </c>
      <c r="I360" s="39" t="n">
        <v>0</v>
      </c>
      <c r="J360" s="39" t="n">
        <v>0</v>
      </c>
      <c r="K360" s="39" t="n">
        <v>0</v>
      </c>
      <c r="L360" s="39" t="n">
        <v>0</v>
      </c>
      <c r="M360" s="39" t="n">
        <v>0</v>
      </c>
      <c r="N360" s="39" t="n">
        <v>0</v>
      </c>
      <c r="O360" s="39" t="n">
        <v>0</v>
      </c>
      <c r="P360" s="39" t="n">
        <v>0</v>
      </c>
      <c r="Q360" s="39" t="n">
        <v>0</v>
      </c>
      <c r="R360" s="39" t="n">
        <v>0</v>
      </c>
      <c r="S360" s="39" t="n">
        <v>0</v>
      </c>
      <c r="T360" s="39" t="n">
        <v>0</v>
      </c>
      <c r="U360" s="39" t="n">
        <v>0</v>
      </c>
      <c r="V360" s="39" t="n">
        <v>0</v>
      </c>
      <c r="W360" s="39" t="n">
        <v>0</v>
      </c>
      <c r="X360" s="39" t="n">
        <v>0</v>
      </c>
      <c r="Y360" s="39" t="n">
        <v>0</v>
      </c>
      <c r="Z360" s="39" t="n">
        <v>0</v>
      </c>
      <c r="AA360" s="39" t="n">
        <v>0</v>
      </c>
      <c r="AB360" s="39" t="n">
        <v>0</v>
      </c>
      <c r="AC360" s="39" t="n">
        <v>0</v>
      </c>
      <c r="AD360" s="39" t="n">
        <v>0</v>
      </c>
      <c r="AE360" s="39" t="n">
        <v>0</v>
      </c>
      <c r="AF360" s="39" t="n">
        <v>0</v>
      </c>
      <c r="AG360" s="39" t="n">
        <v>0</v>
      </c>
      <c r="AH360" s="39" t="n">
        <v>0</v>
      </c>
      <c r="AI360" s="39" t="n">
        <v>0</v>
      </c>
      <c r="AJ360" s="39" t="n">
        <v>0</v>
      </c>
      <c r="AK360" s="39" t="n">
        <v>0</v>
      </c>
      <c r="AL360" s="39" t="n">
        <v>0</v>
      </c>
      <c r="AM360" s="39" t="n">
        <v>0</v>
      </c>
      <c r="AN360" s="39" t="n">
        <v>0</v>
      </c>
      <c r="AO360" s="39" t="n">
        <v>0</v>
      </c>
      <c r="AP360" s="39" t="n">
        <v>0</v>
      </c>
      <c r="AQ360" s="39" t="n">
        <v>0</v>
      </c>
      <c r="AR360" s="39" t="n">
        <v>0</v>
      </c>
      <c r="AS360" s="39" t="n">
        <v>0</v>
      </c>
      <c r="AT360" s="39" t="n">
        <v>0</v>
      </c>
      <c r="AU360" s="39" t="n">
        <v>0</v>
      </c>
      <c r="AV360" s="39" t="n">
        <v>0</v>
      </c>
      <c r="AW360" s="39" t="n">
        <v>0</v>
      </c>
      <c r="AX360" s="39" t="n">
        <v>0</v>
      </c>
      <c r="AY360" s="39" t="n">
        <v>0</v>
      </c>
      <c r="AZ360" s="39" t="n">
        <v>0</v>
      </c>
      <c r="BA360" s="39" t="n">
        <v>0</v>
      </c>
      <c r="BB360" s="39" t="n">
        <v>0</v>
      </c>
      <c r="BC360" s="39" t="n">
        <v>0</v>
      </c>
      <c r="BD360" s="39" t="n">
        <v>0</v>
      </c>
    </row>
    <row r="361">
      <c r="A361" s="54" t="inlineStr">
        <is>
          <t>Farmers Market — SOLD</t>
        </is>
      </c>
      <c r="B361" s="2" t="inlineStr">
        <is>
          <t>lb</t>
        </is>
      </c>
      <c r="E361" s="55">
        <f>E360*$G$38</f>
        <v/>
      </c>
      <c r="F361" s="55">
        <f>F360*$G$38</f>
        <v/>
      </c>
      <c r="G361" s="55">
        <f>G360*$G$38</f>
        <v/>
      </c>
      <c r="H361" s="55">
        <f>H360*$G$38</f>
        <v/>
      </c>
      <c r="I361" s="55">
        <f>I360*$G$38</f>
        <v/>
      </c>
      <c r="J361" s="55">
        <f>J360*$G$38</f>
        <v/>
      </c>
      <c r="K361" s="55">
        <f>K360*$G$38</f>
        <v/>
      </c>
      <c r="L361" s="55">
        <f>L360*$G$38</f>
        <v/>
      </c>
      <c r="M361" s="55">
        <f>M360*$G$38</f>
        <v/>
      </c>
      <c r="N361" s="55">
        <f>N360*$G$38</f>
        <v/>
      </c>
      <c r="O361" s="55">
        <f>O360*$G$38</f>
        <v/>
      </c>
      <c r="P361" s="55">
        <f>P360*$G$38</f>
        <v/>
      </c>
      <c r="Q361" s="55">
        <f>Q360*$G$38</f>
        <v/>
      </c>
      <c r="R361" s="55">
        <f>R360*$G$38</f>
        <v/>
      </c>
      <c r="S361" s="55">
        <f>S360*$G$38</f>
        <v/>
      </c>
      <c r="T361" s="55">
        <f>T360*$G$38</f>
        <v/>
      </c>
      <c r="U361" s="55">
        <f>U360*$G$38</f>
        <v/>
      </c>
      <c r="V361" s="55">
        <f>V360*$G$38</f>
        <v/>
      </c>
      <c r="W361" s="55">
        <f>W360*$G$38</f>
        <v/>
      </c>
      <c r="X361" s="55">
        <f>X360*$G$38</f>
        <v/>
      </c>
      <c r="Y361" s="55">
        <f>Y360*$G$38</f>
        <v/>
      </c>
      <c r="Z361" s="55">
        <f>Z360*$G$38</f>
        <v/>
      </c>
      <c r="AA361" s="55">
        <f>AA360*$G$38</f>
        <v/>
      </c>
      <c r="AB361" s="55">
        <f>AB360*$G$38</f>
        <v/>
      </c>
      <c r="AC361" s="55">
        <f>AC360*$G$38</f>
        <v/>
      </c>
      <c r="AD361" s="55">
        <f>AD360*$G$38</f>
        <v/>
      </c>
      <c r="AE361" s="55">
        <f>AE360*$G$38</f>
        <v/>
      </c>
      <c r="AF361" s="55">
        <f>AF360*$G$38</f>
        <v/>
      </c>
      <c r="AG361" s="55">
        <f>AG360*$G$38</f>
        <v/>
      </c>
      <c r="AH361" s="55">
        <f>AH360*$G$38</f>
        <v/>
      </c>
      <c r="AI361" s="55">
        <f>AI360*$G$38</f>
        <v/>
      </c>
      <c r="AJ361" s="55">
        <f>AJ360*$G$38</f>
        <v/>
      </c>
      <c r="AK361" s="55">
        <f>AK360*$G$38</f>
        <v/>
      </c>
      <c r="AL361" s="55">
        <f>AL360*$G$38</f>
        <v/>
      </c>
      <c r="AM361" s="55">
        <f>AM360*$G$38</f>
        <v/>
      </c>
      <c r="AN361" s="55">
        <f>AN360*$G$38</f>
        <v/>
      </c>
      <c r="AO361" s="55">
        <f>AO360*$G$38</f>
        <v/>
      </c>
      <c r="AP361" s="55">
        <f>AP360*$G$38</f>
        <v/>
      </c>
      <c r="AQ361" s="55">
        <f>AQ360*$G$38</f>
        <v/>
      </c>
      <c r="AR361" s="55">
        <f>AR360*$G$38</f>
        <v/>
      </c>
      <c r="AS361" s="55">
        <f>AS360*$G$38</f>
        <v/>
      </c>
      <c r="AT361" s="55">
        <f>AT360*$G$38</f>
        <v/>
      </c>
      <c r="AU361" s="55">
        <f>AU360*$G$38</f>
        <v/>
      </c>
      <c r="AV361" s="55">
        <f>AV360*$G$38</f>
        <v/>
      </c>
      <c r="AW361" s="55">
        <f>AW360*$G$38</f>
        <v/>
      </c>
      <c r="AX361" s="55">
        <f>AX360*$G$38</f>
        <v/>
      </c>
      <c r="AY361" s="55">
        <f>AY360*$G$38</f>
        <v/>
      </c>
      <c r="AZ361" s="55">
        <f>AZ360*$G$38</f>
        <v/>
      </c>
      <c r="BA361" s="55">
        <f>BA360*$G$38</f>
        <v/>
      </c>
      <c r="BB361" s="55">
        <f>BB360*$G$38</f>
        <v/>
      </c>
      <c r="BC361" s="55">
        <f>BC360*$G$38</f>
        <v/>
      </c>
      <c r="BD361" s="55">
        <f>BD360*$G$38</f>
        <v/>
      </c>
    </row>
    <row r="362">
      <c r="A362" s="33" t="inlineStr">
        <is>
          <t xml:space="preserve">   market loss (gone)</t>
        </is>
      </c>
      <c r="B362" s="2" t="inlineStr">
        <is>
          <t>lb</t>
        </is>
      </c>
      <c r="E362" s="40">
        <f>(E360-E361)*(1-$H$38)</f>
        <v/>
      </c>
      <c r="F362" s="40">
        <f>(F360-F361)*(1-$H$38)</f>
        <v/>
      </c>
      <c r="G362" s="40">
        <f>(G360-G361)*(1-$H$38)</f>
        <v/>
      </c>
      <c r="H362" s="40">
        <f>(H360-H361)*(1-$H$38)</f>
        <v/>
      </c>
      <c r="I362" s="40">
        <f>(I360-I361)*(1-$H$38)</f>
        <v/>
      </c>
      <c r="J362" s="40">
        <f>(J360-J361)*(1-$H$38)</f>
        <v/>
      </c>
      <c r="K362" s="40">
        <f>(K360-K361)*(1-$H$38)</f>
        <v/>
      </c>
      <c r="L362" s="40">
        <f>(L360-L361)*(1-$H$38)</f>
        <v/>
      </c>
      <c r="M362" s="40">
        <f>(M360-M361)*(1-$H$38)</f>
        <v/>
      </c>
      <c r="N362" s="40">
        <f>(N360-N361)*(1-$H$38)</f>
        <v/>
      </c>
      <c r="O362" s="40">
        <f>(O360-O361)*(1-$H$38)</f>
        <v/>
      </c>
      <c r="P362" s="40">
        <f>(P360-P361)*(1-$H$38)</f>
        <v/>
      </c>
      <c r="Q362" s="40">
        <f>(Q360-Q361)*(1-$H$38)</f>
        <v/>
      </c>
      <c r="R362" s="40">
        <f>(R360-R361)*(1-$H$38)</f>
        <v/>
      </c>
      <c r="S362" s="40">
        <f>(S360-S361)*(1-$H$38)</f>
        <v/>
      </c>
      <c r="T362" s="40">
        <f>(T360-T361)*(1-$H$38)</f>
        <v/>
      </c>
      <c r="U362" s="40">
        <f>(U360-U361)*(1-$H$38)</f>
        <v/>
      </c>
      <c r="V362" s="40">
        <f>(V360-V361)*(1-$H$38)</f>
        <v/>
      </c>
      <c r="W362" s="40">
        <f>(W360-W361)*(1-$H$38)</f>
        <v/>
      </c>
      <c r="X362" s="40">
        <f>(X360-X361)*(1-$H$38)</f>
        <v/>
      </c>
      <c r="Y362" s="40">
        <f>(Y360-Y361)*(1-$H$38)</f>
        <v/>
      </c>
      <c r="Z362" s="40">
        <f>(Z360-Z361)*(1-$H$38)</f>
        <v/>
      </c>
      <c r="AA362" s="40">
        <f>(AA360-AA361)*(1-$H$38)</f>
        <v/>
      </c>
      <c r="AB362" s="40">
        <f>(AB360-AB361)*(1-$H$38)</f>
        <v/>
      </c>
      <c r="AC362" s="40">
        <f>(AC360-AC361)*(1-$H$38)</f>
        <v/>
      </c>
      <c r="AD362" s="40">
        <f>(AD360-AD361)*(1-$H$38)</f>
        <v/>
      </c>
      <c r="AE362" s="40">
        <f>(AE360-AE361)*(1-$H$38)</f>
        <v/>
      </c>
      <c r="AF362" s="40">
        <f>(AF360-AF361)*(1-$H$38)</f>
        <v/>
      </c>
      <c r="AG362" s="40">
        <f>(AG360-AG361)*(1-$H$38)</f>
        <v/>
      </c>
      <c r="AH362" s="40">
        <f>(AH360-AH361)*(1-$H$38)</f>
        <v/>
      </c>
      <c r="AI362" s="40">
        <f>(AI360-AI361)*(1-$H$38)</f>
        <v/>
      </c>
      <c r="AJ362" s="40">
        <f>(AJ360-AJ361)*(1-$H$38)</f>
        <v/>
      </c>
      <c r="AK362" s="40">
        <f>(AK360-AK361)*(1-$H$38)</f>
        <v/>
      </c>
      <c r="AL362" s="40">
        <f>(AL360-AL361)*(1-$H$38)</f>
        <v/>
      </c>
      <c r="AM362" s="40">
        <f>(AM360-AM361)*(1-$H$38)</f>
        <v/>
      </c>
      <c r="AN362" s="40">
        <f>(AN360-AN361)*(1-$H$38)</f>
        <v/>
      </c>
      <c r="AO362" s="40">
        <f>(AO360-AO361)*(1-$H$38)</f>
        <v/>
      </c>
      <c r="AP362" s="40">
        <f>(AP360-AP361)*(1-$H$38)</f>
        <v/>
      </c>
      <c r="AQ362" s="40">
        <f>(AQ360-AQ361)*(1-$H$38)</f>
        <v/>
      </c>
      <c r="AR362" s="40">
        <f>(AR360-AR361)*(1-$H$38)</f>
        <v/>
      </c>
      <c r="AS362" s="40">
        <f>(AS360-AS361)*(1-$H$38)</f>
        <v/>
      </c>
      <c r="AT362" s="40">
        <f>(AT360-AT361)*(1-$H$38)</f>
        <v/>
      </c>
      <c r="AU362" s="40">
        <f>(AU360-AU361)*(1-$H$38)</f>
        <v/>
      </c>
      <c r="AV362" s="40">
        <f>(AV360-AV361)*(1-$H$38)</f>
        <v/>
      </c>
      <c r="AW362" s="40">
        <f>(AW360-AW361)*(1-$H$38)</f>
        <v/>
      </c>
      <c r="AX362" s="40">
        <f>(AX360-AX361)*(1-$H$38)</f>
        <v/>
      </c>
      <c r="AY362" s="40">
        <f>(AY360-AY361)*(1-$H$38)</f>
        <v/>
      </c>
      <c r="AZ362" s="40">
        <f>(AZ360-AZ361)*(1-$H$38)</f>
        <v/>
      </c>
      <c r="BA362" s="40">
        <f>(BA360-BA361)*(1-$H$38)</f>
        <v/>
      </c>
      <c r="BB362" s="40">
        <f>(BB360-BB361)*(1-$H$38)</f>
        <v/>
      </c>
      <c r="BC362" s="40">
        <f>(BC360-BC361)*(1-$H$38)</f>
        <v/>
      </c>
      <c r="BD362" s="40">
        <f>(BD360-BD361)*(1-$H$38)</f>
        <v/>
      </c>
    </row>
    <row r="363">
      <c r="A363" s="33" t="inlineStr">
        <is>
          <t xml:space="preserve">   returned to store</t>
        </is>
      </c>
      <c r="B363" s="2" t="inlineStr">
        <is>
          <t>lb</t>
        </is>
      </c>
      <c r="E363" s="40">
        <f>(E360-E361)*$H$38</f>
        <v/>
      </c>
      <c r="F363" s="40">
        <f>(F360-F361)*$H$38</f>
        <v/>
      </c>
      <c r="G363" s="40">
        <f>(G360-G361)*$H$38</f>
        <v/>
      </c>
      <c r="H363" s="40">
        <f>(H360-H361)*$H$38</f>
        <v/>
      </c>
      <c r="I363" s="40">
        <f>(I360-I361)*$H$38</f>
        <v/>
      </c>
      <c r="J363" s="40">
        <f>(J360-J361)*$H$38</f>
        <v/>
      </c>
      <c r="K363" s="40">
        <f>(K360-K361)*$H$38</f>
        <v/>
      </c>
      <c r="L363" s="40">
        <f>(L360-L361)*$H$38</f>
        <v/>
      </c>
      <c r="M363" s="40">
        <f>(M360-M361)*$H$38</f>
        <v/>
      </c>
      <c r="N363" s="40">
        <f>(N360-N361)*$H$38</f>
        <v/>
      </c>
      <c r="O363" s="40">
        <f>(O360-O361)*$H$38</f>
        <v/>
      </c>
      <c r="P363" s="40">
        <f>(P360-P361)*$H$38</f>
        <v/>
      </c>
      <c r="Q363" s="40">
        <f>(Q360-Q361)*$H$38</f>
        <v/>
      </c>
      <c r="R363" s="40">
        <f>(R360-R361)*$H$38</f>
        <v/>
      </c>
      <c r="S363" s="40">
        <f>(S360-S361)*$H$38</f>
        <v/>
      </c>
      <c r="T363" s="40">
        <f>(T360-T361)*$H$38</f>
        <v/>
      </c>
      <c r="U363" s="40">
        <f>(U360-U361)*$H$38</f>
        <v/>
      </c>
      <c r="V363" s="40">
        <f>(V360-V361)*$H$38</f>
        <v/>
      </c>
      <c r="W363" s="40">
        <f>(W360-W361)*$H$38</f>
        <v/>
      </c>
      <c r="X363" s="40">
        <f>(X360-X361)*$H$38</f>
        <v/>
      </c>
      <c r="Y363" s="40">
        <f>(Y360-Y361)*$H$38</f>
        <v/>
      </c>
      <c r="Z363" s="40">
        <f>(Z360-Z361)*$H$38</f>
        <v/>
      </c>
      <c r="AA363" s="40">
        <f>(AA360-AA361)*$H$38</f>
        <v/>
      </c>
      <c r="AB363" s="40">
        <f>(AB360-AB361)*$H$38</f>
        <v/>
      </c>
      <c r="AC363" s="40">
        <f>(AC360-AC361)*$H$38</f>
        <v/>
      </c>
      <c r="AD363" s="40">
        <f>(AD360-AD361)*$H$38</f>
        <v/>
      </c>
      <c r="AE363" s="40">
        <f>(AE360-AE361)*$H$38</f>
        <v/>
      </c>
      <c r="AF363" s="40">
        <f>(AF360-AF361)*$H$38</f>
        <v/>
      </c>
      <c r="AG363" s="40">
        <f>(AG360-AG361)*$H$38</f>
        <v/>
      </c>
      <c r="AH363" s="40">
        <f>(AH360-AH361)*$H$38</f>
        <v/>
      </c>
      <c r="AI363" s="40">
        <f>(AI360-AI361)*$H$38</f>
        <v/>
      </c>
      <c r="AJ363" s="40">
        <f>(AJ360-AJ361)*$H$38</f>
        <v/>
      </c>
      <c r="AK363" s="40">
        <f>(AK360-AK361)*$H$38</f>
        <v/>
      </c>
      <c r="AL363" s="40">
        <f>(AL360-AL361)*$H$38</f>
        <v/>
      </c>
      <c r="AM363" s="40">
        <f>(AM360-AM361)*$H$38</f>
        <v/>
      </c>
      <c r="AN363" s="40">
        <f>(AN360-AN361)*$H$38</f>
        <v/>
      </c>
      <c r="AO363" s="40">
        <f>(AO360-AO361)*$H$38</f>
        <v/>
      </c>
      <c r="AP363" s="40">
        <f>(AP360-AP361)*$H$38</f>
        <v/>
      </c>
      <c r="AQ363" s="40">
        <f>(AQ360-AQ361)*$H$38</f>
        <v/>
      </c>
      <c r="AR363" s="40">
        <f>(AR360-AR361)*$H$38</f>
        <v/>
      </c>
      <c r="AS363" s="40">
        <f>(AS360-AS361)*$H$38</f>
        <v/>
      </c>
      <c r="AT363" s="40">
        <f>(AT360-AT361)*$H$38</f>
        <v/>
      </c>
      <c r="AU363" s="40">
        <f>(AU360-AU361)*$H$38</f>
        <v/>
      </c>
      <c r="AV363" s="40">
        <f>(AV360-AV361)*$H$38</f>
        <v/>
      </c>
      <c r="AW363" s="40">
        <f>(AW360-AW361)*$H$38</f>
        <v/>
      </c>
      <c r="AX363" s="40">
        <f>(AX360-AX361)*$H$38</f>
        <v/>
      </c>
      <c r="AY363" s="40">
        <f>(AY360-AY361)*$H$38</f>
        <v/>
      </c>
      <c r="AZ363" s="40">
        <f>(AZ360-AZ361)*$H$38</f>
        <v/>
      </c>
      <c r="BA363" s="40">
        <f>(BA360-BA361)*$H$38</f>
        <v/>
      </c>
      <c r="BB363" s="40">
        <f>(BB360-BB361)*$H$38</f>
        <v/>
      </c>
      <c r="BC363" s="40">
        <f>(BC360-BC361)*$H$38</f>
        <v/>
      </c>
      <c r="BD363" s="40">
        <f>(BD360-BD361)*$H$38</f>
        <v/>
      </c>
    </row>
    <row r="364">
      <c r="A364" s="33" t="inlineStr">
        <is>
          <t xml:space="preserve">   leaves the store (offered - returned)</t>
        </is>
      </c>
      <c r="B364" s="2" t="inlineStr">
        <is>
          <t>lb</t>
        </is>
      </c>
      <c r="E364" s="40">
        <f>E360-E363</f>
        <v/>
      </c>
      <c r="F364" s="40">
        <f>F360-F363</f>
        <v/>
      </c>
      <c r="G364" s="40">
        <f>G360-G363</f>
        <v/>
      </c>
      <c r="H364" s="40">
        <f>H360-H363</f>
        <v/>
      </c>
      <c r="I364" s="40">
        <f>I360-I363</f>
        <v/>
      </c>
      <c r="J364" s="40">
        <f>J360-J363</f>
        <v/>
      </c>
      <c r="K364" s="40">
        <f>K360-K363</f>
        <v/>
      </c>
      <c r="L364" s="40">
        <f>L360-L363</f>
        <v/>
      </c>
      <c r="M364" s="40">
        <f>M360-M363</f>
        <v/>
      </c>
      <c r="N364" s="40">
        <f>N360-N363</f>
        <v/>
      </c>
      <c r="O364" s="40">
        <f>O360-O363</f>
        <v/>
      </c>
      <c r="P364" s="40">
        <f>P360-P363</f>
        <v/>
      </c>
      <c r="Q364" s="40">
        <f>Q360-Q363</f>
        <v/>
      </c>
      <c r="R364" s="40">
        <f>R360-R363</f>
        <v/>
      </c>
      <c r="S364" s="40">
        <f>S360-S363</f>
        <v/>
      </c>
      <c r="T364" s="40">
        <f>T360-T363</f>
        <v/>
      </c>
      <c r="U364" s="40">
        <f>U360-U363</f>
        <v/>
      </c>
      <c r="V364" s="40">
        <f>V360-V363</f>
        <v/>
      </c>
      <c r="W364" s="40">
        <f>W360-W363</f>
        <v/>
      </c>
      <c r="X364" s="40">
        <f>X360-X363</f>
        <v/>
      </c>
      <c r="Y364" s="40">
        <f>Y360-Y363</f>
        <v/>
      </c>
      <c r="Z364" s="40">
        <f>Z360-Z363</f>
        <v/>
      </c>
      <c r="AA364" s="40">
        <f>AA360-AA363</f>
        <v/>
      </c>
      <c r="AB364" s="40">
        <f>AB360-AB363</f>
        <v/>
      </c>
      <c r="AC364" s="40">
        <f>AC360-AC363</f>
        <v/>
      </c>
      <c r="AD364" s="40">
        <f>AD360-AD363</f>
        <v/>
      </c>
      <c r="AE364" s="40">
        <f>AE360-AE363</f>
        <v/>
      </c>
      <c r="AF364" s="40">
        <f>AF360-AF363</f>
        <v/>
      </c>
      <c r="AG364" s="40">
        <f>AG360-AG363</f>
        <v/>
      </c>
      <c r="AH364" s="40">
        <f>AH360-AH363</f>
        <v/>
      </c>
      <c r="AI364" s="40">
        <f>AI360-AI363</f>
        <v/>
      </c>
      <c r="AJ364" s="40">
        <f>AJ360-AJ363</f>
        <v/>
      </c>
      <c r="AK364" s="40">
        <f>AK360-AK363</f>
        <v/>
      </c>
      <c r="AL364" s="40">
        <f>AL360-AL363</f>
        <v/>
      </c>
      <c r="AM364" s="40">
        <f>AM360-AM363</f>
        <v/>
      </c>
      <c r="AN364" s="40">
        <f>AN360-AN363</f>
        <v/>
      </c>
      <c r="AO364" s="40">
        <f>AO360-AO363</f>
        <v/>
      </c>
      <c r="AP364" s="40">
        <f>AP360-AP363</f>
        <v/>
      </c>
      <c r="AQ364" s="40">
        <f>AQ360-AQ363</f>
        <v/>
      </c>
      <c r="AR364" s="40">
        <f>AR360-AR363</f>
        <v/>
      </c>
      <c r="AS364" s="40">
        <f>AS360-AS363</f>
        <v/>
      </c>
      <c r="AT364" s="40">
        <f>AT360-AT363</f>
        <v/>
      </c>
      <c r="AU364" s="40">
        <f>AU360-AU363</f>
        <v/>
      </c>
      <c r="AV364" s="40">
        <f>AV360-AV363</f>
        <v/>
      </c>
      <c r="AW364" s="40">
        <f>AW360-AW363</f>
        <v/>
      </c>
      <c r="AX364" s="40">
        <f>AX360-AX363</f>
        <v/>
      </c>
      <c r="AY364" s="40">
        <f>AY360-AY363</f>
        <v/>
      </c>
      <c r="AZ364" s="40">
        <f>AZ360-AZ363</f>
        <v/>
      </c>
      <c r="BA364" s="40">
        <f>BA360-BA363</f>
        <v/>
      </c>
      <c r="BB364" s="40">
        <f>BB360-BB363</f>
        <v/>
      </c>
      <c r="BC364" s="40">
        <f>BC360-BC363</f>
        <v/>
      </c>
      <c r="BD364" s="40">
        <f>BD360-BD363</f>
        <v/>
      </c>
    </row>
    <row r="365">
      <c r="A365" s="43" t="inlineStr">
        <is>
          <t>Wholesale — most you may sell this week</t>
        </is>
      </c>
      <c r="B365" s="2" t="inlineStr">
        <is>
          <t>lb</t>
        </is>
      </c>
      <c r="E365" s="42">
        <f>IF($C$39="Annual",$D$39-0,IF(AND(1&gt;=$E$39,1&lt;=$F$39),$D$39,0))</f>
        <v/>
      </c>
      <c r="F365" s="42">
        <f>IF($C$39="Annual",$D$39-SUM(E369:E369),IF(AND(2&gt;=$E$39,2&lt;=$F$39),$D$39,0))</f>
        <v/>
      </c>
      <c r="G365" s="42">
        <f>IF($C$39="Annual",$D$39-SUM(E369:F369),IF(AND(3&gt;=$E$39,3&lt;=$F$39),$D$39,0))</f>
        <v/>
      </c>
      <c r="H365" s="42">
        <f>IF($C$39="Annual",$D$39-SUM(E369:G369),IF(AND(4&gt;=$E$39,4&lt;=$F$39),$D$39,0))</f>
        <v/>
      </c>
      <c r="I365" s="42">
        <f>IF($C$39="Annual",$D$39-SUM(E369:H369),IF(AND(5&gt;=$E$39,5&lt;=$F$39),$D$39,0))</f>
        <v/>
      </c>
      <c r="J365" s="42">
        <f>IF($C$39="Annual",$D$39-SUM(E369:I369),IF(AND(6&gt;=$E$39,6&lt;=$F$39),$D$39,0))</f>
        <v/>
      </c>
      <c r="K365" s="42">
        <f>IF($C$39="Annual",$D$39-SUM(E369:J369),IF(AND(7&gt;=$E$39,7&lt;=$F$39),$D$39,0))</f>
        <v/>
      </c>
      <c r="L365" s="42">
        <f>IF($C$39="Annual",$D$39-SUM(E369:K369),IF(AND(8&gt;=$E$39,8&lt;=$F$39),$D$39,0))</f>
        <v/>
      </c>
      <c r="M365" s="42">
        <f>IF($C$39="Annual",$D$39-SUM(E369:L369),IF(AND(9&gt;=$E$39,9&lt;=$F$39),$D$39,0))</f>
        <v/>
      </c>
      <c r="N365" s="42">
        <f>IF($C$39="Annual",$D$39-SUM(E369:M369),IF(AND(10&gt;=$E$39,10&lt;=$F$39),$D$39,0))</f>
        <v/>
      </c>
      <c r="O365" s="42">
        <f>IF($C$39="Annual",$D$39-SUM(E369:N369),IF(AND(11&gt;=$E$39,11&lt;=$F$39),$D$39,0))</f>
        <v/>
      </c>
      <c r="P365" s="42">
        <f>IF($C$39="Annual",$D$39-SUM(E369:O369),IF(AND(12&gt;=$E$39,12&lt;=$F$39),$D$39,0))</f>
        <v/>
      </c>
      <c r="Q365" s="42">
        <f>IF($C$39="Annual",$D$39-SUM(E369:P369),IF(AND(13&gt;=$E$39,13&lt;=$F$39),$D$39,0))</f>
        <v/>
      </c>
      <c r="R365" s="42">
        <f>IF($C$39="Annual",$D$39-SUM(E369:Q369),IF(AND(14&gt;=$E$39,14&lt;=$F$39),$D$39,0))</f>
        <v/>
      </c>
      <c r="S365" s="42">
        <f>IF($C$39="Annual",$D$39-SUM(E369:R369),IF(AND(15&gt;=$E$39,15&lt;=$F$39),$D$39,0))</f>
        <v/>
      </c>
      <c r="T365" s="42">
        <f>IF($C$39="Annual",$D$39-SUM(E369:S369),IF(AND(16&gt;=$E$39,16&lt;=$F$39),$D$39,0))</f>
        <v/>
      </c>
      <c r="U365" s="42">
        <f>IF($C$39="Annual",$D$39-SUM(E369:T369),IF(AND(17&gt;=$E$39,17&lt;=$F$39),$D$39,0))</f>
        <v/>
      </c>
      <c r="V365" s="42">
        <f>IF($C$39="Annual",$D$39-SUM(E369:U369),IF(AND(18&gt;=$E$39,18&lt;=$F$39),$D$39,0))</f>
        <v/>
      </c>
      <c r="W365" s="42">
        <f>IF($C$39="Annual",$D$39-SUM(E369:V369),IF(AND(19&gt;=$E$39,19&lt;=$F$39),$D$39,0))</f>
        <v/>
      </c>
      <c r="X365" s="42">
        <f>IF($C$39="Annual",$D$39-SUM(E369:W369),IF(AND(20&gt;=$E$39,20&lt;=$F$39),$D$39,0))</f>
        <v/>
      </c>
      <c r="Y365" s="42">
        <f>IF($C$39="Annual",$D$39-SUM(E369:X369),IF(AND(21&gt;=$E$39,21&lt;=$F$39),$D$39,0))</f>
        <v/>
      </c>
      <c r="Z365" s="42">
        <f>IF($C$39="Annual",$D$39-SUM(E369:Y369),IF(AND(22&gt;=$E$39,22&lt;=$F$39),$D$39,0))</f>
        <v/>
      </c>
      <c r="AA365" s="42">
        <f>IF($C$39="Annual",$D$39-SUM(E369:Z369),IF(AND(23&gt;=$E$39,23&lt;=$F$39),$D$39,0))</f>
        <v/>
      </c>
      <c r="AB365" s="42">
        <f>IF($C$39="Annual",$D$39-SUM(E369:AA369),IF(AND(24&gt;=$E$39,24&lt;=$F$39),$D$39,0))</f>
        <v/>
      </c>
      <c r="AC365" s="42">
        <f>IF($C$39="Annual",$D$39-SUM(E369:AB369),IF(AND(25&gt;=$E$39,25&lt;=$F$39),$D$39,0))</f>
        <v/>
      </c>
      <c r="AD365" s="42">
        <f>IF($C$39="Annual",$D$39-SUM(E369:AC369),IF(AND(26&gt;=$E$39,26&lt;=$F$39),$D$39,0))</f>
        <v/>
      </c>
      <c r="AE365" s="42">
        <f>IF($C$39="Annual",$D$39-SUM(E369:AD369),IF(AND(27&gt;=$E$39,27&lt;=$F$39),$D$39,0))</f>
        <v/>
      </c>
      <c r="AF365" s="42">
        <f>IF($C$39="Annual",$D$39-SUM(E369:AE369),IF(AND(28&gt;=$E$39,28&lt;=$F$39),$D$39,0))</f>
        <v/>
      </c>
      <c r="AG365" s="42">
        <f>IF($C$39="Annual",$D$39-SUM(E369:AF369),IF(AND(29&gt;=$E$39,29&lt;=$F$39),$D$39,0))</f>
        <v/>
      </c>
      <c r="AH365" s="42">
        <f>IF($C$39="Annual",$D$39-SUM(E369:AG369),IF(AND(30&gt;=$E$39,30&lt;=$F$39),$D$39,0))</f>
        <v/>
      </c>
      <c r="AI365" s="42">
        <f>IF($C$39="Annual",$D$39-SUM(E369:AH369),IF(AND(31&gt;=$E$39,31&lt;=$F$39),$D$39,0))</f>
        <v/>
      </c>
      <c r="AJ365" s="42">
        <f>IF($C$39="Annual",$D$39-SUM(E369:AI369),IF(AND(32&gt;=$E$39,32&lt;=$F$39),$D$39,0))</f>
        <v/>
      </c>
      <c r="AK365" s="42">
        <f>IF($C$39="Annual",$D$39-SUM(E369:AJ369),IF(AND(33&gt;=$E$39,33&lt;=$F$39),$D$39,0))</f>
        <v/>
      </c>
      <c r="AL365" s="42">
        <f>IF($C$39="Annual",$D$39-SUM(E369:AK369),IF(AND(34&gt;=$E$39,34&lt;=$F$39),$D$39,0))</f>
        <v/>
      </c>
      <c r="AM365" s="42">
        <f>IF($C$39="Annual",$D$39-SUM(E369:AL369),IF(AND(35&gt;=$E$39,35&lt;=$F$39),$D$39,0))</f>
        <v/>
      </c>
      <c r="AN365" s="42">
        <f>IF($C$39="Annual",$D$39-SUM(E369:AM369),IF(AND(36&gt;=$E$39,36&lt;=$F$39),$D$39,0))</f>
        <v/>
      </c>
      <c r="AO365" s="42">
        <f>IF($C$39="Annual",$D$39-SUM(E369:AN369),IF(AND(37&gt;=$E$39,37&lt;=$F$39),$D$39,0))</f>
        <v/>
      </c>
      <c r="AP365" s="42">
        <f>IF($C$39="Annual",$D$39-SUM(E369:AO369),IF(AND(38&gt;=$E$39,38&lt;=$F$39),$D$39,0))</f>
        <v/>
      </c>
      <c r="AQ365" s="42">
        <f>IF($C$39="Annual",$D$39-SUM(E369:AP369),IF(AND(39&gt;=$E$39,39&lt;=$F$39),$D$39,0))</f>
        <v/>
      </c>
      <c r="AR365" s="42">
        <f>IF($C$39="Annual",$D$39-SUM(E369:AQ369),IF(AND(40&gt;=$E$39,40&lt;=$F$39),$D$39,0))</f>
        <v/>
      </c>
      <c r="AS365" s="42">
        <f>IF($C$39="Annual",$D$39-SUM(E369:AR369),IF(AND(41&gt;=$E$39,41&lt;=$F$39),$D$39,0))</f>
        <v/>
      </c>
      <c r="AT365" s="42">
        <f>IF($C$39="Annual",$D$39-SUM(E369:AS369),IF(AND(42&gt;=$E$39,42&lt;=$F$39),$D$39,0))</f>
        <v/>
      </c>
      <c r="AU365" s="42">
        <f>IF($C$39="Annual",$D$39-SUM(E369:AT369),IF(AND(43&gt;=$E$39,43&lt;=$F$39),$D$39,0))</f>
        <v/>
      </c>
      <c r="AV365" s="42">
        <f>IF($C$39="Annual",$D$39-SUM(E369:AU369),IF(AND(44&gt;=$E$39,44&lt;=$F$39),$D$39,0))</f>
        <v/>
      </c>
      <c r="AW365" s="42">
        <f>IF($C$39="Annual",$D$39-SUM(E369:AV369),IF(AND(45&gt;=$E$39,45&lt;=$F$39),$D$39,0))</f>
        <v/>
      </c>
      <c r="AX365" s="42">
        <f>IF($C$39="Annual",$D$39-SUM(E369:AW369),IF(AND(46&gt;=$E$39,46&lt;=$F$39),$D$39,0))</f>
        <v/>
      </c>
      <c r="AY365" s="42">
        <f>IF($C$39="Annual",$D$39-SUM(E369:AX369),IF(AND(47&gt;=$E$39,47&lt;=$F$39),$D$39,0))</f>
        <v/>
      </c>
      <c r="AZ365" s="42">
        <f>IF($C$39="Annual",$D$39-SUM(E369:AY369),IF(AND(48&gt;=$E$39,48&lt;=$F$39),$D$39,0))</f>
        <v/>
      </c>
      <c r="BA365" s="42">
        <f>IF($C$39="Annual",$D$39-SUM(E369:AZ369),IF(AND(49&gt;=$E$39,49&lt;=$F$39),$D$39,0))</f>
        <v/>
      </c>
      <c r="BB365" s="42">
        <f>IF($C$39="Annual",$D$39-SUM(E369:BA369),IF(AND(50&gt;=$E$39,50&lt;=$F$39),$D$39,0))</f>
        <v/>
      </c>
      <c r="BC365" s="42">
        <f>IF($C$39="Annual",$D$39-SUM(E369:BB369),IF(AND(51&gt;=$E$39,51&lt;=$F$39),$D$39,0))</f>
        <v/>
      </c>
      <c r="BD365" s="42">
        <f>IF($C$39="Annual",$D$39-SUM(E369:BC369),IF(AND(52&gt;=$E$39,52&lt;=$F$39),$D$39,0))</f>
        <v/>
      </c>
    </row>
    <row r="366">
      <c r="A366" s="2" t="inlineStr">
        <is>
          <t xml:space="preserve">   ^ Wholesale is an ANNUAL cap (500,000 lb a year), so there is NO weekly limit —</t>
        </is>
      </c>
    </row>
    <row r="367">
      <c r="A367" s="2" t="inlineStr">
        <is>
          <t xml:space="preserve">     this row is what is LEFT of the year, and it falls as you sell.</t>
        </is>
      </c>
    </row>
    <row r="368">
      <c r="A368" s="32" t="inlineStr">
        <is>
          <t>Wholesale — OFFERED</t>
        </is>
      </c>
      <c r="B368" s="2" t="inlineStr">
        <is>
          <t>lb  &lt;-- SOLVER</t>
        </is>
      </c>
      <c r="E368" s="39" t="n">
        <v>0</v>
      </c>
      <c r="F368" s="39" t="n">
        <v>0</v>
      </c>
      <c r="G368" s="39" t="n">
        <v>0</v>
      </c>
      <c r="H368" s="39" t="n">
        <v>0</v>
      </c>
      <c r="I368" s="39" t="n">
        <v>0</v>
      </c>
      <c r="J368" s="39" t="n">
        <v>0</v>
      </c>
      <c r="K368" s="39" t="n">
        <v>0</v>
      </c>
      <c r="L368" s="39" t="n">
        <v>0</v>
      </c>
      <c r="M368" s="39" t="n">
        <v>0</v>
      </c>
      <c r="N368" s="39" t="n">
        <v>0</v>
      </c>
      <c r="O368" s="39" t="n">
        <v>0</v>
      </c>
      <c r="P368" s="39" t="n">
        <v>0</v>
      </c>
      <c r="Q368" s="39" t="n">
        <v>0</v>
      </c>
      <c r="R368" s="39" t="n">
        <v>0</v>
      </c>
      <c r="S368" s="39" t="n">
        <v>0</v>
      </c>
      <c r="T368" s="39" t="n">
        <v>0</v>
      </c>
      <c r="U368" s="39" t="n">
        <v>0</v>
      </c>
      <c r="V368" s="39" t="n">
        <v>0</v>
      </c>
      <c r="W368" s="39" t="n">
        <v>0</v>
      </c>
      <c r="X368" s="39" t="n">
        <v>0</v>
      </c>
      <c r="Y368" s="39" t="n">
        <v>0</v>
      </c>
      <c r="Z368" s="39" t="n">
        <v>0</v>
      </c>
      <c r="AA368" s="39" t="n">
        <v>0</v>
      </c>
      <c r="AB368" s="39" t="n">
        <v>0</v>
      </c>
      <c r="AC368" s="39" t="n">
        <v>0</v>
      </c>
      <c r="AD368" s="39" t="n">
        <v>0</v>
      </c>
      <c r="AE368" s="39" t="n">
        <v>0</v>
      </c>
      <c r="AF368" s="39" t="n">
        <v>0</v>
      </c>
      <c r="AG368" s="39" t="n">
        <v>0</v>
      </c>
      <c r="AH368" s="39" t="n">
        <v>0</v>
      </c>
      <c r="AI368" s="39" t="n">
        <v>0</v>
      </c>
      <c r="AJ368" s="39" t="n">
        <v>0</v>
      </c>
      <c r="AK368" s="39" t="n">
        <v>0</v>
      </c>
      <c r="AL368" s="39" t="n">
        <v>0</v>
      </c>
      <c r="AM368" s="39" t="n">
        <v>0</v>
      </c>
      <c r="AN368" s="39" t="n">
        <v>0</v>
      </c>
      <c r="AO368" s="39" t="n">
        <v>0</v>
      </c>
      <c r="AP368" s="39" t="n">
        <v>0</v>
      </c>
      <c r="AQ368" s="39" t="n">
        <v>0</v>
      </c>
      <c r="AR368" s="39" t="n">
        <v>0</v>
      </c>
      <c r="AS368" s="39" t="n">
        <v>0</v>
      </c>
      <c r="AT368" s="39" t="n">
        <v>0</v>
      </c>
      <c r="AU368" s="39" t="n">
        <v>0</v>
      </c>
      <c r="AV368" s="39" t="n">
        <v>0</v>
      </c>
      <c r="AW368" s="39" t="n">
        <v>0</v>
      </c>
      <c r="AX368" s="39" t="n">
        <v>0</v>
      </c>
      <c r="AY368" s="39" t="n">
        <v>0</v>
      </c>
      <c r="AZ368" s="39" t="n">
        <v>0</v>
      </c>
      <c r="BA368" s="39" t="n">
        <v>0</v>
      </c>
      <c r="BB368" s="39" t="n">
        <v>0</v>
      </c>
      <c r="BC368" s="39" t="n">
        <v>0</v>
      </c>
      <c r="BD368" s="39" t="n">
        <v>0</v>
      </c>
    </row>
    <row r="369">
      <c r="A369" s="56" t="inlineStr">
        <is>
          <t>Wholesale — SOLD</t>
        </is>
      </c>
      <c r="B369" s="2" t="inlineStr">
        <is>
          <t>lb</t>
        </is>
      </c>
      <c r="E369" s="57">
        <f>E368*$G$39</f>
        <v/>
      </c>
      <c r="F369" s="57">
        <f>F368*$G$39</f>
        <v/>
      </c>
      <c r="G369" s="57">
        <f>G368*$G$39</f>
        <v/>
      </c>
      <c r="H369" s="57">
        <f>H368*$G$39</f>
        <v/>
      </c>
      <c r="I369" s="57">
        <f>I368*$G$39</f>
        <v/>
      </c>
      <c r="J369" s="57">
        <f>J368*$G$39</f>
        <v/>
      </c>
      <c r="K369" s="57">
        <f>K368*$G$39</f>
        <v/>
      </c>
      <c r="L369" s="57">
        <f>L368*$G$39</f>
        <v/>
      </c>
      <c r="M369" s="57">
        <f>M368*$G$39</f>
        <v/>
      </c>
      <c r="N369" s="57">
        <f>N368*$G$39</f>
        <v/>
      </c>
      <c r="O369" s="57">
        <f>O368*$G$39</f>
        <v/>
      </c>
      <c r="P369" s="57">
        <f>P368*$G$39</f>
        <v/>
      </c>
      <c r="Q369" s="57">
        <f>Q368*$G$39</f>
        <v/>
      </c>
      <c r="R369" s="57">
        <f>R368*$G$39</f>
        <v/>
      </c>
      <c r="S369" s="57">
        <f>S368*$G$39</f>
        <v/>
      </c>
      <c r="T369" s="57">
        <f>T368*$G$39</f>
        <v/>
      </c>
      <c r="U369" s="57">
        <f>U368*$G$39</f>
        <v/>
      </c>
      <c r="V369" s="57">
        <f>V368*$G$39</f>
        <v/>
      </c>
      <c r="W369" s="57">
        <f>W368*$G$39</f>
        <v/>
      </c>
      <c r="X369" s="57">
        <f>X368*$G$39</f>
        <v/>
      </c>
      <c r="Y369" s="57">
        <f>Y368*$G$39</f>
        <v/>
      </c>
      <c r="Z369" s="57">
        <f>Z368*$G$39</f>
        <v/>
      </c>
      <c r="AA369" s="57">
        <f>AA368*$G$39</f>
        <v/>
      </c>
      <c r="AB369" s="57">
        <f>AB368*$G$39</f>
        <v/>
      </c>
      <c r="AC369" s="57">
        <f>AC368*$G$39</f>
        <v/>
      </c>
      <c r="AD369" s="57">
        <f>AD368*$G$39</f>
        <v/>
      </c>
      <c r="AE369" s="57">
        <f>AE368*$G$39</f>
        <v/>
      </c>
      <c r="AF369" s="57">
        <f>AF368*$G$39</f>
        <v/>
      </c>
      <c r="AG369" s="57">
        <f>AG368*$G$39</f>
        <v/>
      </c>
      <c r="AH369" s="57">
        <f>AH368*$G$39</f>
        <v/>
      </c>
      <c r="AI369" s="57">
        <f>AI368*$G$39</f>
        <v/>
      </c>
      <c r="AJ369" s="57">
        <f>AJ368*$G$39</f>
        <v/>
      </c>
      <c r="AK369" s="57">
        <f>AK368*$G$39</f>
        <v/>
      </c>
      <c r="AL369" s="57">
        <f>AL368*$G$39</f>
        <v/>
      </c>
      <c r="AM369" s="57">
        <f>AM368*$G$39</f>
        <v/>
      </c>
      <c r="AN369" s="57">
        <f>AN368*$G$39</f>
        <v/>
      </c>
      <c r="AO369" s="57">
        <f>AO368*$G$39</f>
        <v/>
      </c>
      <c r="AP369" s="57">
        <f>AP368*$G$39</f>
        <v/>
      </c>
      <c r="AQ369" s="57">
        <f>AQ368*$G$39</f>
        <v/>
      </c>
      <c r="AR369" s="57">
        <f>AR368*$G$39</f>
        <v/>
      </c>
      <c r="AS369" s="57">
        <f>AS368*$G$39</f>
        <v/>
      </c>
      <c r="AT369" s="57">
        <f>AT368*$G$39</f>
        <v/>
      </c>
      <c r="AU369" s="57">
        <f>AU368*$G$39</f>
        <v/>
      </c>
      <c r="AV369" s="57">
        <f>AV368*$G$39</f>
        <v/>
      </c>
      <c r="AW369" s="57">
        <f>AW368*$G$39</f>
        <v/>
      </c>
      <c r="AX369" s="57">
        <f>AX368*$G$39</f>
        <v/>
      </c>
      <c r="AY369" s="57">
        <f>AY368*$G$39</f>
        <v/>
      </c>
      <c r="AZ369" s="57">
        <f>AZ368*$G$39</f>
        <v/>
      </c>
      <c r="BA369" s="57">
        <f>BA368*$G$39</f>
        <v/>
      </c>
      <c r="BB369" s="57">
        <f>BB368*$G$39</f>
        <v/>
      </c>
      <c r="BC369" s="57">
        <f>BC368*$G$39</f>
        <v/>
      </c>
      <c r="BD369" s="57">
        <f>BD368*$G$39</f>
        <v/>
      </c>
    </row>
    <row r="370">
      <c r="A370" s="33" t="inlineStr">
        <is>
          <t xml:space="preserve">   market loss (gone)</t>
        </is>
      </c>
      <c r="B370" s="2" t="inlineStr">
        <is>
          <t>lb</t>
        </is>
      </c>
      <c r="E370" s="40">
        <f>(E368-E369)*(1-$H$39)</f>
        <v/>
      </c>
      <c r="F370" s="40">
        <f>(F368-F369)*(1-$H$39)</f>
        <v/>
      </c>
      <c r="G370" s="40">
        <f>(G368-G369)*(1-$H$39)</f>
        <v/>
      </c>
      <c r="H370" s="40">
        <f>(H368-H369)*(1-$H$39)</f>
        <v/>
      </c>
      <c r="I370" s="40">
        <f>(I368-I369)*(1-$H$39)</f>
        <v/>
      </c>
      <c r="J370" s="40">
        <f>(J368-J369)*(1-$H$39)</f>
        <v/>
      </c>
      <c r="K370" s="40">
        <f>(K368-K369)*(1-$H$39)</f>
        <v/>
      </c>
      <c r="L370" s="40">
        <f>(L368-L369)*(1-$H$39)</f>
        <v/>
      </c>
      <c r="M370" s="40">
        <f>(M368-M369)*(1-$H$39)</f>
        <v/>
      </c>
      <c r="N370" s="40">
        <f>(N368-N369)*(1-$H$39)</f>
        <v/>
      </c>
      <c r="O370" s="40">
        <f>(O368-O369)*(1-$H$39)</f>
        <v/>
      </c>
      <c r="P370" s="40">
        <f>(P368-P369)*(1-$H$39)</f>
        <v/>
      </c>
      <c r="Q370" s="40">
        <f>(Q368-Q369)*(1-$H$39)</f>
        <v/>
      </c>
      <c r="R370" s="40">
        <f>(R368-R369)*(1-$H$39)</f>
        <v/>
      </c>
      <c r="S370" s="40">
        <f>(S368-S369)*(1-$H$39)</f>
        <v/>
      </c>
      <c r="T370" s="40">
        <f>(T368-T369)*(1-$H$39)</f>
        <v/>
      </c>
      <c r="U370" s="40">
        <f>(U368-U369)*(1-$H$39)</f>
        <v/>
      </c>
      <c r="V370" s="40">
        <f>(V368-V369)*(1-$H$39)</f>
        <v/>
      </c>
      <c r="W370" s="40">
        <f>(W368-W369)*(1-$H$39)</f>
        <v/>
      </c>
      <c r="X370" s="40">
        <f>(X368-X369)*(1-$H$39)</f>
        <v/>
      </c>
      <c r="Y370" s="40">
        <f>(Y368-Y369)*(1-$H$39)</f>
        <v/>
      </c>
      <c r="Z370" s="40">
        <f>(Z368-Z369)*(1-$H$39)</f>
        <v/>
      </c>
      <c r="AA370" s="40">
        <f>(AA368-AA369)*(1-$H$39)</f>
        <v/>
      </c>
      <c r="AB370" s="40">
        <f>(AB368-AB369)*(1-$H$39)</f>
        <v/>
      </c>
      <c r="AC370" s="40">
        <f>(AC368-AC369)*(1-$H$39)</f>
        <v/>
      </c>
      <c r="AD370" s="40">
        <f>(AD368-AD369)*(1-$H$39)</f>
        <v/>
      </c>
      <c r="AE370" s="40">
        <f>(AE368-AE369)*(1-$H$39)</f>
        <v/>
      </c>
      <c r="AF370" s="40">
        <f>(AF368-AF369)*(1-$H$39)</f>
        <v/>
      </c>
      <c r="AG370" s="40">
        <f>(AG368-AG369)*(1-$H$39)</f>
        <v/>
      </c>
      <c r="AH370" s="40">
        <f>(AH368-AH369)*(1-$H$39)</f>
        <v/>
      </c>
      <c r="AI370" s="40">
        <f>(AI368-AI369)*(1-$H$39)</f>
        <v/>
      </c>
      <c r="AJ370" s="40">
        <f>(AJ368-AJ369)*(1-$H$39)</f>
        <v/>
      </c>
      <c r="AK370" s="40">
        <f>(AK368-AK369)*(1-$H$39)</f>
        <v/>
      </c>
      <c r="AL370" s="40">
        <f>(AL368-AL369)*(1-$H$39)</f>
        <v/>
      </c>
      <c r="AM370" s="40">
        <f>(AM368-AM369)*(1-$H$39)</f>
        <v/>
      </c>
      <c r="AN370" s="40">
        <f>(AN368-AN369)*(1-$H$39)</f>
        <v/>
      </c>
      <c r="AO370" s="40">
        <f>(AO368-AO369)*(1-$H$39)</f>
        <v/>
      </c>
      <c r="AP370" s="40">
        <f>(AP368-AP369)*(1-$H$39)</f>
        <v/>
      </c>
      <c r="AQ370" s="40">
        <f>(AQ368-AQ369)*(1-$H$39)</f>
        <v/>
      </c>
      <c r="AR370" s="40">
        <f>(AR368-AR369)*(1-$H$39)</f>
        <v/>
      </c>
      <c r="AS370" s="40">
        <f>(AS368-AS369)*(1-$H$39)</f>
        <v/>
      </c>
      <c r="AT370" s="40">
        <f>(AT368-AT369)*(1-$H$39)</f>
        <v/>
      </c>
      <c r="AU370" s="40">
        <f>(AU368-AU369)*(1-$H$39)</f>
        <v/>
      </c>
      <c r="AV370" s="40">
        <f>(AV368-AV369)*(1-$H$39)</f>
        <v/>
      </c>
      <c r="AW370" s="40">
        <f>(AW368-AW369)*(1-$H$39)</f>
        <v/>
      </c>
      <c r="AX370" s="40">
        <f>(AX368-AX369)*(1-$H$39)</f>
        <v/>
      </c>
      <c r="AY370" s="40">
        <f>(AY368-AY369)*(1-$H$39)</f>
        <v/>
      </c>
      <c r="AZ370" s="40">
        <f>(AZ368-AZ369)*(1-$H$39)</f>
        <v/>
      </c>
      <c r="BA370" s="40">
        <f>(BA368-BA369)*(1-$H$39)</f>
        <v/>
      </c>
      <c r="BB370" s="40">
        <f>(BB368-BB369)*(1-$H$39)</f>
        <v/>
      </c>
      <c r="BC370" s="40">
        <f>(BC368-BC369)*(1-$H$39)</f>
        <v/>
      </c>
      <c r="BD370" s="40">
        <f>(BD368-BD369)*(1-$H$39)</f>
        <v/>
      </c>
    </row>
    <row r="371">
      <c r="A371" s="33" t="inlineStr">
        <is>
          <t xml:space="preserve">   returned to store</t>
        </is>
      </c>
      <c r="B371" s="2" t="inlineStr">
        <is>
          <t>lb</t>
        </is>
      </c>
      <c r="E371" s="40">
        <f>(E368-E369)*$H$39</f>
        <v/>
      </c>
      <c r="F371" s="40">
        <f>(F368-F369)*$H$39</f>
        <v/>
      </c>
      <c r="G371" s="40">
        <f>(G368-G369)*$H$39</f>
        <v/>
      </c>
      <c r="H371" s="40">
        <f>(H368-H369)*$H$39</f>
        <v/>
      </c>
      <c r="I371" s="40">
        <f>(I368-I369)*$H$39</f>
        <v/>
      </c>
      <c r="J371" s="40">
        <f>(J368-J369)*$H$39</f>
        <v/>
      </c>
      <c r="K371" s="40">
        <f>(K368-K369)*$H$39</f>
        <v/>
      </c>
      <c r="L371" s="40">
        <f>(L368-L369)*$H$39</f>
        <v/>
      </c>
      <c r="M371" s="40">
        <f>(M368-M369)*$H$39</f>
        <v/>
      </c>
      <c r="N371" s="40">
        <f>(N368-N369)*$H$39</f>
        <v/>
      </c>
      <c r="O371" s="40">
        <f>(O368-O369)*$H$39</f>
        <v/>
      </c>
      <c r="P371" s="40">
        <f>(P368-P369)*$H$39</f>
        <v/>
      </c>
      <c r="Q371" s="40">
        <f>(Q368-Q369)*$H$39</f>
        <v/>
      </c>
      <c r="R371" s="40">
        <f>(R368-R369)*$H$39</f>
        <v/>
      </c>
      <c r="S371" s="40">
        <f>(S368-S369)*$H$39</f>
        <v/>
      </c>
      <c r="T371" s="40">
        <f>(T368-T369)*$H$39</f>
        <v/>
      </c>
      <c r="U371" s="40">
        <f>(U368-U369)*$H$39</f>
        <v/>
      </c>
      <c r="V371" s="40">
        <f>(V368-V369)*$H$39</f>
        <v/>
      </c>
      <c r="W371" s="40">
        <f>(W368-W369)*$H$39</f>
        <v/>
      </c>
      <c r="X371" s="40">
        <f>(X368-X369)*$H$39</f>
        <v/>
      </c>
      <c r="Y371" s="40">
        <f>(Y368-Y369)*$H$39</f>
        <v/>
      </c>
      <c r="Z371" s="40">
        <f>(Z368-Z369)*$H$39</f>
        <v/>
      </c>
      <c r="AA371" s="40">
        <f>(AA368-AA369)*$H$39</f>
        <v/>
      </c>
      <c r="AB371" s="40">
        <f>(AB368-AB369)*$H$39</f>
        <v/>
      </c>
      <c r="AC371" s="40">
        <f>(AC368-AC369)*$H$39</f>
        <v/>
      </c>
      <c r="AD371" s="40">
        <f>(AD368-AD369)*$H$39</f>
        <v/>
      </c>
      <c r="AE371" s="40">
        <f>(AE368-AE369)*$H$39</f>
        <v/>
      </c>
      <c r="AF371" s="40">
        <f>(AF368-AF369)*$H$39</f>
        <v/>
      </c>
      <c r="AG371" s="40">
        <f>(AG368-AG369)*$H$39</f>
        <v/>
      </c>
      <c r="AH371" s="40">
        <f>(AH368-AH369)*$H$39</f>
        <v/>
      </c>
      <c r="AI371" s="40">
        <f>(AI368-AI369)*$H$39</f>
        <v/>
      </c>
      <c r="AJ371" s="40">
        <f>(AJ368-AJ369)*$H$39</f>
        <v/>
      </c>
      <c r="AK371" s="40">
        <f>(AK368-AK369)*$H$39</f>
        <v/>
      </c>
      <c r="AL371" s="40">
        <f>(AL368-AL369)*$H$39</f>
        <v/>
      </c>
      <c r="AM371" s="40">
        <f>(AM368-AM369)*$H$39</f>
        <v/>
      </c>
      <c r="AN371" s="40">
        <f>(AN368-AN369)*$H$39</f>
        <v/>
      </c>
      <c r="AO371" s="40">
        <f>(AO368-AO369)*$H$39</f>
        <v/>
      </c>
      <c r="AP371" s="40">
        <f>(AP368-AP369)*$H$39</f>
        <v/>
      </c>
      <c r="AQ371" s="40">
        <f>(AQ368-AQ369)*$H$39</f>
        <v/>
      </c>
      <c r="AR371" s="40">
        <f>(AR368-AR369)*$H$39</f>
        <v/>
      </c>
      <c r="AS371" s="40">
        <f>(AS368-AS369)*$H$39</f>
        <v/>
      </c>
      <c r="AT371" s="40">
        <f>(AT368-AT369)*$H$39</f>
        <v/>
      </c>
      <c r="AU371" s="40">
        <f>(AU368-AU369)*$H$39</f>
        <v/>
      </c>
      <c r="AV371" s="40">
        <f>(AV368-AV369)*$H$39</f>
        <v/>
      </c>
      <c r="AW371" s="40">
        <f>(AW368-AW369)*$H$39</f>
        <v/>
      </c>
      <c r="AX371" s="40">
        <f>(AX368-AX369)*$H$39</f>
        <v/>
      </c>
      <c r="AY371" s="40">
        <f>(AY368-AY369)*$H$39</f>
        <v/>
      </c>
      <c r="AZ371" s="40">
        <f>(AZ368-AZ369)*$H$39</f>
        <v/>
      </c>
      <c r="BA371" s="40">
        <f>(BA368-BA369)*$H$39</f>
        <v/>
      </c>
      <c r="BB371" s="40">
        <f>(BB368-BB369)*$H$39</f>
        <v/>
      </c>
      <c r="BC371" s="40">
        <f>(BC368-BC369)*$H$39</f>
        <v/>
      </c>
      <c r="BD371" s="40">
        <f>(BD368-BD369)*$H$39</f>
        <v/>
      </c>
    </row>
    <row r="372">
      <c r="A372" s="33" t="inlineStr">
        <is>
          <t xml:space="preserve">   leaves the store (offered - returned)</t>
        </is>
      </c>
      <c r="B372" s="2" t="inlineStr">
        <is>
          <t>lb</t>
        </is>
      </c>
      <c r="E372" s="40">
        <f>E368-E371</f>
        <v/>
      </c>
      <c r="F372" s="40">
        <f>F368-F371</f>
        <v/>
      </c>
      <c r="G372" s="40">
        <f>G368-G371</f>
        <v/>
      </c>
      <c r="H372" s="40">
        <f>H368-H371</f>
        <v/>
      </c>
      <c r="I372" s="40">
        <f>I368-I371</f>
        <v/>
      </c>
      <c r="J372" s="40">
        <f>J368-J371</f>
        <v/>
      </c>
      <c r="K372" s="40">
        <f>K368-K371</f>
        <v/>
      </c>
      <c r="L372" s="40">
        <f>L368-L371</f>
        <v/>
      </c>
      <c r="M372" s="40">
        <f>M368-M371</f>
        <v/>
      </c>
      <c r="N372" s="40">
        <f>N368-N371</f>
        <v/>
      </c>
      <c r="O372" s="40">
        <f>O368-O371</f>
        <v/>
      </c>
      <c r="P372" s="40">
        <f>P368-P371</f>
        <v/>
      </c>
      <c r="Q372" s="40">
        <f>Q368-Q371</f>
        <v/>
      </c>
      <c r="R372" s="40">
        <f>R368-R371</f>
        <v/>
      </c>
      <c r="S372" s="40">
        <f>S368-S371</f>
        <v/>
      </c>
      <c r="T372" s="40">
        <f>T368-T371</f>
        <v/>
      </c>
      <c r="U372" s="40">
        <f>U368-U371</f>
        <v/>
      </c>
      <c r="V372" s="40">
        <f>V368-V371</f>
        <v/>
      </c>
      <c r="W372" s="40">
        <f>W368-W371</f>
        <v/>
      </c>
      <c r="X372" s="40">
        <f>X368-X371</f>
        <v/>
      </c>
      <c r="Y372" s="40">
        <f>Y368-Y371</f>
        <v/>
      </c>
      <c r="Z372" s="40">
        <f>Z368-Z371</f>
        <v/>
      </c>
      <c r="AA372" s="40">
        <f>AA368-AA371</f>
        <v/>
      </c>
      <c r="AB372" s="40">
        <f>AB368-AB371</f>
        <v/>
      </c>
      <c r="AC372" s="40">
        <f>AC368-AC371</f>
        <v/>
      </c>
      <c r="AD372" s="40">
        <f>AD368-AD371</f>
        <v/>
      </c>
      <c r="AE372" s="40">
        <f>AE368-AE371</f>
        <v/>
      </c>
      <c r="AF372" s="40">
        <f>AF368-AF371</f>
        <v/>
      </c>
      <c r="AG372" s="40">
        <f>AG368-AG371</f>
        <v/>
      </c>
      <c r="AH372" s="40">
        <f>AH368-AH371</f>
        <v/>
      </c>
      <c r="AI372" s="40">
        <f>AI368-AI371</f>
        <v/>
      </c>
      <c r="AJ372" s="40">
        <f>AJ368-AJ371</f>
        <v/>
      </c>
      <c r="AK372" s="40">
        <f>AK368-AK371</f>
        <v/>
      </c>
      <c r="AL372" s="40">
        <f>AL368-AL371</f>
        <v/>
      </c>
      <c r="AM372" s="40">
        <f>AM368-AM371</f>
        <v/>
      </c>
      <c r="AN372" s="40">
        <f>AN368-AN371</f>
        <v/>
      </c>
      <c r="AO372" s="40">
        <f>AO368-AO371</f>
        <v/>
      </c>
      <c r="AP372" s="40">
        <f>AP368-AP371</f>
        <v/>
      </c>
      <c r="AQ372" s="40">
        <f>AQ368-AQ371</f>
        <v/>
      </c>
      <c r="AR372" s="40">
        <f>AR368-AR371</f>
        <v/>
      </c>
      <c r="AS372" s="40">
        <f>AS368-AS371</f>
        <v/>
      </c>
      <c r="AT372" s="40">
        <f>AT368-AT371</f>
        <v/>
      </c>
      <c r="AU372" s="40">
        <f>AU368-AU371</f>
        <v/>
      </c>
      <c r="AV372" s="40">
        <f>AV368-AV371</f>
        <v/>
      </c>
      <c r="AW372" s="40">
        <f>AW368-AW371</f>
        <v/>
      </c>
      <c r="AX372" s="40">
        <f>AX368-AX371</f>
        <v/>
      </c>
      <c r="AY372" s="40">
        <f>AY368-AY371</f>
        <v/>
      </c>
      <c r="AZ372" s="40">
        <f>AZ368-AZ371</f>
        <v/>
      </c>
      <c r="BA372" s="40">
        <f>BA368-BA371</f>
        <v/>
      </c>
      <c r="BB372" s="40">
        <f>BB368-BB371</f>
        <v/>
      </c>
      <c r="BC372" s="40">
        <f>BC368-BC371</f>
        <v/>
      </c>
      <c r="BD372" s="40">
        <f>BD368-BD371</f>
        <v/>
      </c>
    </row>
    <row r="373">
      <c r="A373" s="41" t="inlineStr">
        <is>
          <t>Stock carried out</t>
        </is>
      </c>
      <c r="B373" s="2" t="inlineStr">
        <is>
          <t>lb</t>
        </is>
      </c>
      <c r="E373" s="40">
        <f>E358-E364-E372</f>
        <v/>
      </c>
      <c r="F373" s="40">
        <f>F358-F364-F372</f>
        <v/>
      </c>
      <c r="G373" s="40">
        <f>G358-G364-G372</f>
        <v/>
      </c>
      <c r="H373" s="40">
        <f>H358-H364-H372</f>
        <v/>
      </c>
      <c r="I373" s="40">
        <f>I358-I364-I372</f>
        <v/>
      </c>
      <c r="J373" s="40">
        <f>J358-J364-J372</f>
        <v/>
      </c>
      <c r="K373" s="40">
        <f>K358-K364-K372</f>
        <v/>
      </c>
      <c r="L373" s="40">
        <f>L358-L364-L372</f>
        <v/>
      </c>
      <c r="M373" s="40">
        <f>M358-M364-M372</f>
        <v/>
      </c>
      <c r="N373" s="40">
        <f>N358-N364-N372</f>
        <v/>
      </c>
      <c r="O373" s="40">
        <f>O358-O364-O372</f>
        <v/>
      </c>
      <c r="P373" s="40">
        <f>P358-P364-P372</f>
        <v/>
      </c>
      <c r="Q373" s="40">
        <f>Q358-Q364-Q372</f>
        <v/>
      </c>
      <c r="R373" s="40">
        <f>R358-R364-R372</f>
        <v/>
      </c>
      <c r="S373" s="40">
        <f>S358-S364-S372</f>
        <v/>
      </c>
      <c r="T373" s="40">
        <f>T358-T364-T372</f>
        <v/>
      </c>
      <c r="U373" s="40">
        <f>U358-U364-U372</f>
        <v/>
      </c>
      <c r="V373" s="40">
        <f>V358-V364-V372</f>
        <v/>
      </c>
      <c r="W373" s="40">
        <f>W358-W364-W372</f>
        <v/>
      </c>
      <c r="X373" s="40">
        <f>X358-X364-X372</f>
        <v/>
      </c>
      <c r="Y373" s="40">
        <f>Y358-Y364-Y372</f>
        <v/>
      </c>
      <c r="Z373" s="40">
        <f>Z358-Z364-Z372</f>
        <v/>
      </c>
      <c r="AA373" s="40">
        <f>AA358-AA364-AA372</f>
        <v/>
      </c>
      <c r="AB373" s="40">
        <f>AB358-AB364-AB372</f>
        <v/>
      </c>
      <c r="AC373" s="40">
        <f>AC358-AC364-AC372</f>
        <v/>
      </c>
      <c r="AD373" s="40">
        <f>AD358-AD364-AD372</f>
        <v/>
      </c>
      <c r="AE373" s="40">
        <f>AE358-AE364-AE372</f>
        <v/>
      </c>
      <c r="AF373" s="40">
        <f>AF358-AF364-AF372</f>
        <v/>
      </c>
      <c r="AG373" s="40">
        <f>AG358-AG364-AG372</f>
        <v/>
      </c>
      <c r="AH373" s="40">
        <f>AH358-AH364-AH372</f>
        <v/>
      </c>
      <c r="AI373" s="40">
        <f>AI358-AI364-AI372</f>
        <v/>
      </c>
      <c r="AJ373" s="40">
        <f>AJ358-AJ364-AJ372</f>
        <v/>
      </c>
      <c r="AK373" s="40">
        <f>AK358-AK364-AK372</f>
        <v/>
      </c>
      <c r="AL373" s="40">
        <f>AL358-AL364-AL372</f>
        <v/>
      </c>
      <c r="AM373" s="40">
        <f>AM358-AM364-AM372</f>
        <v/>
      </c>
      <c r="AN373" s="40">
        <f>AN358-AN364-AN372</f>
        <v/>
      </c>
      <c r="AO373" s="40">
        <f>AO358-AO364-AO372</f>
        <v/>
      </c>
      <c r="AP373" s="40">
        <f>AP358-AP364-AP372</f>
        <v/>
      </c>
      <c r="AQ373" s="40">
        <f>AQ358-AQ364-AQ372</f>
        <v/>
      </c>
      <c r="AR373" s="40">
        <f>AR358-AR364-AR372</f>
        <v/>
      </c>
      <c r="AS373" s="40">
        <f>AS358-AS364-AS372</f>
        <v/>
      </c>
      <c r="AT373" s="40">
        <f>AT358-AT364-AT372</f>
        <v/>
      </c>
      <c r="AU373" s="40">
        <f>AU358-AU364-AU372</f>
        <v/>
      </c>
      <c r="AV373" s="40">
        <f>AV358-AV364-AV372</f>
        <v/>
      </c>
      <c r="AW373" s="40">
        <f>AW358-AW364-AW372</f>
        <v/>
      </c>
      <c r="AX373" s="40">
        <f>AX358-AX364-AX372</f>
        <v/>
      </c>
      <c r="AY373" s="40">
        <f>AY358-AY364-AY372</f>
        <v/>
      </c>
      <c r="AZ373" s="40">
        <f>AZ358-AZ364-AZ372</f>
        <v/>
      </c>
      <c r="BA373" s="40">
        <f>BA358-BA364-BA372</f>
        <v/>
      </c>
      <c r="BB373" s="40">
        <f>BB358-BB364-BB372</f>
        <v/>
      </c>
      <c r="BC373" s="40">
        <f>BC358-BC364-BC372</f>
        <v/>
      </c>
      <c r="BD373" s="40">
        <f>BD358-BD364-BD372</f>
        <v/>
      </c>
    </row>
    <row r="374">
      <c r="A374" s="2" t="inlineStr">
        <is>
          <t xml:space="preserve">   ^ subtracts what LEAVES, not what was offered — so 'returned to store' is</t>
        </is>
      </c>
    </row>
    <row r="375">
      <c r="A375" s="2" t="inlineStr">
        <is>
          <t xml:space="preserve">     never taken out at all, and shows up as next week's carried in.</t>
        </is>
      </c>
    </row>
    <row r="376">
      <c r="A376" s="43" t="inlineStr">
        <is>
          <t>Most stock its shelf life allows</t>
        </is>
      </c>
      <c r="B376" s="2" t="inlineStr">
        <is>
          <t>lb</t>
        </is>
      </c>
      <c r="E376" s="42">
        <f>SUMPRODUCT(($E$354:$BD$354&gt;=1-$F$18+2)*($E$354:$BD$354&lt;=1)*$E$355:$BD$355*POWER(1-$G$18,($E$354:$BD$354&lt;=1)*(1-$E$354:$BD$354)))</f>
        <v/>
      </c>
      <c r="F376" s="42">
        <f>SUMPRODUCT(($E$354:$BD$354&gt;=2-$F$18+2)*($E$354:$BD$354&lt;=2)*$E$355:$BD$355*POWER(1-$G$18,($E$354:$BD$354&lt;=2)*(2-$E$354:$BD$354)))</f>
        <v/>
      </c>
      <c r="G376" s="42">
        <f>SUMPRODUCT(($E$354:$BD$354&gt;=3-$F$18+2)*($E$354:$BD$354&lt;=3)*$E$355:$BD$355*POWER(1-$G$18,($E$354:$BD$354&lt;=3)*(3-$E$354:$BD$354)))</f>
        <v/>
      </c>
      <c r="H376" s="42">
        <f>SUMPRODUCT(($E$354:$BD$354&gt;=4-$F$18+2)*($E$354:$BD$354&lt;=4)*$E$355:$BD$355*POWER(1-$G$18,($E$354:$BD$354&lt;=4)*(4-$E$354:$BD$354)))</f>
        <v/>
      </c>
      <c r="I376" s="42">
        <f>SUMPRODUCT(($E$354:$BD$354&gt;=5-$F$18+2)*($E$354:$BD$354&lt;=5)*$E$355:$BD$355*POWER(1-$G$18,($E$354:$BD$354&lt;=5)*(5-$E$354:$BD$354)))</f>
        <v/>
      </c>
      <c r="J376" s="42">
        <f>SUMPRODUCT(($E$354:$BD$354&gt;=6-$F$18+2)*($E$354:$BD$354&lt;=6)*$E$355:$BD$355*POWER(1-$G$18,($E$354:$BD$354&lt;=6)*(6-$E$354:$BD$354)))</f>
        <v/>
      </c>
      <c r="K376" s="42">
        <f>SUMPRODUCT(($E$354:$BD$354&gt;=7-$F$18+2)*($E$354:$BD$354&lt;=7)*$E$355:$BD$355*POWER(1-$G$18,($E$354:$BD$354&lt;=7)*(7-$E$354:$BD$354)))</f>
        <v/>
      </c>
      <c r="L376" s="42">
        <f>SUMPRODUCT(($E$354:$BD$354&gt;=8-$F$18+2)*($E$354:$BD$354&lt;=8)*$E$355:$BD$355*POWER(1-$G$18,($E$354:$BD$354&lt;=8)*(8-$E$354:$BD$354)))</f>
        <v/>
      </c>
      <c r="M376" s="42">
        <f>SUMPRODUCT(($E$354:$BD$354&gt;=9-$F$18+2)*($E$354:$BD$354&lt;=9)*$E$355:$BD$355*POWER(1-$G$18,($E$354:$BD$354&lt;=9)*(9-$E$354:$BD$354)))</f>
        <v/>
      </c>
      <c r="N376" s="42">
        <f>SUMPRODUCT(($E$354:$BD$354&gt;=10-$F$18+2)*($E$354:$BD$354&lt;=10)*$E$355:$BD$355*POWER(1-$G$18,($E$354:$BD$354&lt;=10)*(10-$E$354:$BD$354)))</f>
        <v/>
      </c>
      <c r="O376" s="42">
        <f>SUMPRODUCT(($E$354:$BD$354&gt;=11-$F$18+2)*($E$354:$BD$354&lt;=11)*$E$355:$BD$355*POWER(1-$G$18,($E$354:$BD$354&lt;=11)*(11-$E$354:$BD$354)))</f>
        <v/>
      </c>
      <c r="P376" s="42">
        <f>SUMPRODUCT(($E$354:$BD$354&gt;=12-$F$18+2)*($E$354:$BD$354&lt;=12)*$E$355:$BD$355*POWER(1-$G$18,($E$354:$BD$354&lt;=12)*(12-$E$354:$BD$354)))</f>
        <v/>
      </c>
      <c r="Q376" s="42">
        <f>SUMPRODUCT(($E$354:$BD$354&gt;=13-$F$18+2)*($E$354:$BD$354&lt;=13)*$E$355:$BD$355*POWER(1-$G$18,($E$354:$BD$354&lt;=13)*(13-$E$354:$BD$354)))</f>
        <v/>
      </c>
      <c r="R376" s="42">
        <f>SUMPRODUCT(($E$354:$BD$354&gt;=14-$F$18+2)*($E$354:$BD$354&lt;=14)*$E$355:$BD$355*POWER(1-$G$18,($E$354:$BD$354&lt;=14)*(14-$E$354:$BD$354)))</f>
        <v/>
      </c>
      <c r="S376" s="42">
        <f>SUMPRODUCT(($E$354:$BD$354&gt;=15-$F$18+2)*($E$354:$BD$354&lt;=15)*$E$355:$BD$355*POWER(1-$G$18,($E$354:$BD$354&lt;=15)*(15-$E$354:$BD$354)))</f>
        <v/>
      </c>
      <c r="T376" s="42">
        <f>SUMPRODUCT(($E$354:$BD$354&gt;=16-$F$18+2)*($E$354:$BD$354&lt;=16)*$E$355:$BD$355*POWER(1-$G$18,($E$354:$BD$354&lt;=16)*(16-$E$354:$BD$354)))</f>
        <v/>
      </c>
      <c r="U376" s="42">
        <f>SUMPRODUCT(($E$354:$BD$354&gt;=17-$F$18+2)*($E$354:$BD$354&lt;=17)*$E$355:$BD$355*POWER(1-$G$18,($E$354:$BD$354&lt;=17)*(17-$E$354:$BD$354)))</f>
        <v/>
      </c>
      <c r="V376" s="42">
        <f>SUMPRODUCT(($E$354:$BD$354&gt;=18-$F$18+2)*($E$354:$BD$354&lt;=18)*$E$355:$BD$355*POWER(1-$G$18,($E$354:$BD$354&lt;=18)*(18-$E$354:$BD$354)))</f>
        <v/>
      </c>
      <c r="W376" s="42">
        <f>SUMPRODUCT(($E$354:$BD$354&gt;=19-$F$18+2)*($E$354:$BD$354&lt;=19)*$E$355:$BD$355*POWER(1-$G$18,($E$354:$BD$354&lt;=19)*(19-$E$354:$BD$354)))</f>
        <v/>
      </c>
      <c r="X376" s="42">
        <f>SUMPRODUCT(($E$354:$BD$354&gt;=20-$F$18+2)*($E$354:$BD$354&lt;=20)*$E$355:$BD$355*POWER(1-$G$18,($E$354:$BD$354&lt;=20)*(20-$E$354:$BD$354)))</f>
        <v/>
      </c>
      <c r="Y376" s="42">
        <f>SUMPRODUCT(($E$354:$BD$354&gt;=21-$F$18+2)*($E$354:$BD$354&lt;=21)*$E$355:$BD$355*POWER(1-$G$18,($E$354:$BD$354&lt;=21)*(21-$E$354:$BD$354)))</f>
        <v/>
      </c>
      <c r="Z376" s="42">
        <f>SUMPRODUCT(($E$354:$BD$354&gt;=22-$F$18+2)*($E$354:$BD$354&lt;=22)*$E$355:$BD$355*POWER(1-$G$18,($E$354:$BD$354&lt;=22)*(22-$E$354:$BD$354)))</f>
        <v/>
      </c>
      <c r="AA376" s="42">
        <f>SUMPRODUCT(($E$354:$BD$354&gt;=23-$F$18+2)*($E$354:$BD$354&lt;=23)*$E$355:$BD$355*POWER(1-$G$18,($E$354:$BD$354&lt;=23)*(23-$E$354:$BD$354)))</f>
        <v/>
      </c>
      <c r="AB376" s="42">
        <f>SUMPRODUCT(($E$354:$BD$354&gt;=24-$F$18+2)*($E$354:$BD$354&lt;=24)*$E$355:$BD$355*POWER(1-$G$18,($E$354:$BD$354&lt;=24)*(24-$E$354:$BD$354)))</f>
        <v/>
      </c>
      <c r="AC376" s="42">
        <f>SUMPRODUCT(($E$354:$BD$354&gt;=25-$F$18+2)*($E$354:$BD$354&lt;=25)*$E$355:$BD$355*POWER(1-$G$18,($E$354:$BD$354&lt;=25)*(25-$E$354:$BD$354)))</f>
        <v/>
      </c>
      <c r="AD376" s="42">
        <f>SUMPRODUCT(($E$354:$BD$354&gt;=26-$F$18+2)*($E$354:$BD$354&lt;=26)*$E$355:$BD$355*POWER(1-$G$18,($E$354:$BD$354&lt;=26)*(26-$E$354:$BD$354)))</f>
        <v/>
      </c>
      <c r="AE376" s="42">
        <f>SUMPRODUCT(($E$354:$BD$354&gt;=27-$F$18+2)*($E$354:$BD$354&lt;=27)*$E$355:$BD$355*POWER(1-$G$18,($E$354:$BD$354&lt;=27)*(27-$E$354:$BD$354)))</f>
        <v/>
      </c>
      <c r="AF376" s="42">
        <f>SUMPRODUCT(($E$354:$BD$354&gt;=28-$F$18+2)*($E$354:$BD$354&lt;=28)*$E$355:$BD$355*POWER(1-$G$18,($E$354:$BD$354&lt;=28)*(28-$E$354:$BD$354)))</f>
        <v/>
      </c>
      <c r="AG376" s="42">
        <f>SUMPRODUCT(($E$354:$BD$354&gt;=29-$F$18+2)*($E$354:$BD$354&lt;=29)*$E$355:$BD$355*POWER(1-$G$18,($E$354:$BD$354&lt;=29)*(29-$E$354:$BD$354)))</f>
        <v/>
      </c>
      <c r="AH376" s="42">
        <f>SUMPRODUCT(($E$354:$BD$354&gt;=30-$F$18+2)*($E$354:$BD$354&lt;=30)*$E$355:$BD$355*POWER(1-$G$18,($E$354:$BD$354&lt;=30)*(30-$E$354:$BD$354)))</f>
        <v/>
      </c>
      <c r="AI376" s="42">
        <f>SUMPRODUCT(($E$354:$BD$354&gt;=31-$F$18+2)*($E$354:$BD$354&lt;=31)*$E$355:$BD$355*POWER(1-$G$18,($E$354:$BD$354&lt;=31)*(31-$E$354:$BD$354)))</f>
        <v/>
      </c>
      <c r="AJ376" s="42">
        <f>SUMPRODUCT(($E$354:$BD$354&gt;=32-$F$18+2)*($E$354:$BD$354&lt;=32)*$E$355:$BD$355*POWER(1-$G$18,($E$354:$BD$354&lt;=32)*(32-$E$354:$BD$354)))</f>
        <v/>
      </c>
      <c r="AK376" s="42">
        <f>SUMPRODUCT(($E$354:$BD$354&gt;=33-$F$18+2)*($E$354:$BD$354&lt;=33)*$E$355:$BD$355*POWER(1-$G$18,($E$354:$BD$354&lt;=33)*(33-$E$354:$BD$354)))</f>
        <v/>
      </c>
      <c r="AL376" s="42">
        <f>SUMPRODUCT(($E$354:$BD$354&gt;=34-$F$18+2)*($E$354:$BD$354&lt;=34)*$E$355:$BD$355*POWER(1-$G$18,($E$354:$BD$354&lt;=34)*(34-$E$354:$BD$354)))</f>
        <v/>
      </c>
      <c r="AM376" s="42">
        <f>SUMPRODUCT(($E$354:$BD$354&gt;=35-$F$18+2)*($E$354:$BD$354&lt;=35)*$E$355:$BD$355*POWER(1-$G$18,($E$354:$BD$354&lt;=35)*(35-$E$354:$BD$354)))</f>
        <v/>
      </c>
      <c r="AN376" s="42">
        <f>SUMPRODUCT(($E$354:$BD$354&gt;=36-$F$18+2)*($E$354:$BD$354&lt;=36)*$E$355:$BD$355*POWER(1-$G$18,($E$354:$BD$354&lt;=36)*(36-$E$354:$BD$354)))</f>
        <v/>
      </c>
      <c r="AO376" s="42">
        <f>SUMPRODUCT(($E$354:$BD$354&gt;=37-$F$18+2)*($E$354:$BD$354&lt;=37)*$E$355:$BD$355*POWER(1-$G$18,($E$354:$BD$354&lt;=37)*(37-$E$354:$BD$354)))</f>
        <v/>
      </c>
      <c r="AP376" s="42">
        <f>SUMPRODUCT(($E$354:$BD$354&gt;=38-$F$18+2)*($E$354:$BD$354&lt;=38)*$E$355:$BD$355*POWER(1-$G$18,($E$354:$BD$354&lt;=38)*(38-$E$354:$BD$354)))</f>
        <v/>
      </c>
      <c r="AQ376" s="42">
        <f>SUMPRODUCT(($E$354:$BD$354&gt;=39-$F$18+2)*($E$354:$BD$354&lt;=39)*$E$355:$BD$355*POWER(1-$G$18,($E$354:$BD$354&lt;=39)*(39-$E$354:$BD$354)))</f>
        <v/>
      </c>
      <c r="AR376" s="42">
        <f>SUMPRODUCT(($E$354:$BD$354&gt;=40-$F$18+2)*($E$354:$BD$354&lt;=40)*$E$355:$BD$355*POWER(1-$G$18,($E$354:$BD$354&lt;=40)*(40-$E$354:$BD$354)))</f>
        <v/>
      </c>
      <c r="AS376" s="42">
        <f>SUMPRODUCT(($E$354:$BD$354&gt;=41-$F$18+2)*($E$354:$BD$354&lt;=41)*$E$355:$BD$355*POWER(1-$G$18,($E$354:$BD$354&lt;=41)*(41-$E$354:$BD$354)))</f>
        <v/>
      </c>
      <c r="AT376" s="42">
        <f>SUMPRODUCT(($E$354:$BD$354&gt;=42-$F$18+2)*($E$354:$BD$354&lt;=42)*$E$355:$BD$355*POWER(1-$G$18,($E$354:$BD$354&lt;=42)*(42-$E$354:$BD$354)))</f>
        <v/>
      </c>
      <c r="AU376" s="42">
        <f>SUMPRODUCT(($E$354:$BD$354&gt;=43-$F$18+2)*($E$354:$BD$354&lt;=43)*$E$355:$BD$355*POWER(1-$G$18,($E$354:$BD$354&lt;=43)*(43-$E$354:$BD$354)))</f>
        <v/>
      </c>
      <c r="AV376" s="42">
        <f>SUMPRODUCT(($E$354:$BD$354&gt;=44-$F$18+2)*($E$354:$BD$354&lt;=44)*$E$355:$BD$355*POWER(1-$G$18,($E$354:$BD$354&lt;=44)*(44-$E$354:$BD$354)))</f>
        <v/>
      </c>
      <c r="AW376" s="42">
        <f>SUMPRODUCT(($E$354:$BD$354&gt;=45-$F$18+2)*($E$354:$BD$354&lt;=45)*$E$355:$BD$355*POWER(1-$G$18,($E$354:$BD$354&lt;=45)*(45-$E$354:$BD$354)))</f>
        <v/>
      </c>
      <c r="AX376" s="42">
        <f>SUMPRODUCT(($E$354:$BD$354&gt;=46-$F$18+2)*($E$354:$BD$354&lt;=46)*$E$355:$BD$355*POWER(1-$G$18,($E$354:$BD$354&lt;=46)*(46-$E$354:$BD$354)))</f>
        <v/>
      </c>
      <c r="AY376" s="42">
        <f>SUMPRODUCT(($E$354:$BD$354&gt;=47-$F$18+2)*($E$354:$BD$354&lt;=47)*$E$355:$BD$355*POWER(1-$G$18,($E$354:$BD$354&lt;=47)*(47-$E$354:$BD$354)))</f>
        <v/>
      </c>
      <c r="AZ376" s="42">
        <f>SUMPRODUCT(($E$354:$BD$354&gt;=48-$F$18+2)*($E$354:$BD$354&lt;=48)*$E$355:$BD$355*POWER(1-$G$18,($E$354:$BD$354&lt;=48)*(48-$E$354:$BD$354)))</f>
        <v/>
      </c>
      <c r="BA376" s="42">
        <f>SUMPRODUCT(($E$354:$BD$354&gt;=49-$F$18+2)*($E$354:$BD$354&lt;=49)*$E$355:$BD$355*POWER(1-$G$18,($E$354:$BD$354&lt;=49)*(49-$E$354:$BD$354)))</f>
        <v/>
      </c>
      <c r="BB376" s="42">
        <f>SUMPRODUCT(($E$354:$BD$354&gt;=50-$F$18+2)*($E$354:$BD$354&lt;=50)*$E$355:$BD$355*POWER(1-$G$18,($E$354:$BD$354&lt;=50)*(50-$E$354:$BD$354)))</f>
        <v/>
      </c>
      <c r="BC376" s="42">
        <f>SUMPRODUCT(($E$354:$BD$354&gt;=51-$F$18+2)*($E$354:$BD$354&lt;=51)*$E$355:$BD$355*POWER(1-$G$18,($E$354:$BD$354&lt;=51)*(51-$E$354:$BD$354)))</f>
        <v/>
      </c>
      <c r="BD376" s="42">
        <f>SUMPRODUCT(($E$354:$BD$354&gt;=52-$F$18+2)*($E$354:$BD$354&lt;=52)*$E$355:$BD$355*POWER(1-$G$18,($E$354:$BD$354&lt;=52)*(52-$E$354:$BD$354)))</f>
        <v/>
      </c>
    </row>
    <row r="377">
      <c r="A377" s="2" t="inlineStr">
        <is>
          <t xml:space="preserve">   Stock carried out must stay at or below this row.</t>
        </is>
      </c>
    </row>
    <row r="378">
      <c r="A378" s="33" t="inlineStr">
        <is>
          <t>Growing cost this week</t>
        </is>
      </c>
      <c r="B378" s="2" t="inlineStr">
        <is>
          <t>$</t>
        </is>
      </c>
      <c r="E378" s="40">
        <f>SUMPRODUCT(($B$92:$B$232="Kale")*(E$92:E$232="P")*$C$92:$C$232)*$K$18+SUMPRODUCT(($B$92:$B$232="Kale")*(E$92:E$232="G")*$C$92:$C$232)*$L$18+SUMPRODUCT(($B$92:$B$232="Kale")*(E$92:E$232="H")*$C$92:$C$232)*$M$18+SUMPRODUCT(($B$92:$B$232="Kale")*($BG$92:$BG$232=1)*$C$92:$C$232)*$H$18</f>
        <v/>
      </c>
      <c r="F378" s="40">
        <f>SUMPRODUCT(($B$92:$B$232="Kale")*(F$92:F$232="P")*$C$92:$C$232)*$K$18+SUMPRODUCT(($B$92:$B$232="Kale")*(F$92:F$232="G")*$C$92:$C$232)*$L$18+SUMPRODUCT(($B$92:$B$232="Kale")*(F$92:F$232="H")*$C$92:$C$232)*$M$18+SUMPRODUCT(($B$92:$B$232="Kale")*($BG$92:$BG$232=2)*$C$92:$C$232)*$H$18</f>
        <v/>
      </c>
      <c r="G378" s="40">
        <f>SUMPRODUCT(($B$92:$B$232="Kale")*(G$92:G$232="P")*$C$92:$C$232)*$K$18+SUMPRODUCT(($B$92:$B$232="Kale")*(G$92:G$232="G")*$C$92:$C$232)*$L$18+SUMPRODUCT(($B$92:$B$232="Kale")*(G$92:G$232="H")*$C$92:$C$232)*$M$18+SUMPRODUCT(($B$92:$B$232="Kale")*($BG$92:$BG$232=3)*$C$92:$C$232)*$H$18</f>
        <v/>
      </c>
      <c r="H378" s="40">
        <f>SUMPRODUCT(($B$92:$B$232="Kale")*(H$92:H$232="P")*$C$92:$C$232)*$K$18+SUMPRODUCT(($B$92:$B$232="Kale")*(H$92:H$232="G")*$C$92:$C$232)*$L$18+SUMPRODUCT(($B$92:$B$232="Kale")*(H$92:H$232="H")*$C$92:$C$232)*$M$18+SUMPRODUCT(($B$92:$B$232="Kale")*($BG$92:$BG$232=4)*$C$92:$C$232)*$H$18</f>
        <v/>
      </c>
      <c r="I378" s="40">
        <f>SUMPRODUCT(($B$92:$B$232="Kale")*(I$92:I$232="P")*$C$92:$C$232)*$K$18+SUMPRODUCT(($B$92:$B$232="Kale")*(I$92:I$232="G")*$C$92:$C$232)*$L$18+SUMPRODUCT(($B$92:$B$232="Kale")*(I$92:I$232="H")*$C$92:$C$232)*$M$18+SUMPRODUCT(($B$92:$B$232="Kale")*($BG$92:$BG$232=5)*$C$92:$C$232)*$H$18</f>
        <v/>
      </c>
      <c r="J378" s="40">
        <f>SUMPRODUCT(($B$92:$B$232="Kale")*(J$92:J$232="P")*$C$92:$C$232)*$K$18+SUMPRODUCT(($B$92:$B$232="Kale")*(J$92:J$232="G")*$C$92:$C$232)*$L$18+SUMPRODUCT(($B$92:$B$232="Kale")*(J$92:J$232="H")*$C$92:$C$232)*$M$18+SUMPRODUCT(($B$92:$B$232="Kale")*($BG$92:$BG$232=6)*$C$92:$C$232)*$H$18</f>
        <v/>
      </c>
      <c r="K378" s="40">
        <f>SUMPRODUCT(($B$92:$B$232="Kale")*(K$92:K$232="P")*$C$92:$C$232)*$K$18+SUMPRODUCT(($B$92:$B$232="Kale")*(K$92:K$232="G")*$C$92:$C$232)*$L$18+SUMPRODUCT(($B$92:$B$232="Kale")*(K$92:K$232="H")*$C$92:$C$232)*$M$18+SUMPRODUCT(($B$92:$B$232="Kale")*($BG$92:$BG$232=7)*$C$92:$C$232)*$H$18</f>
        <v/>
      </c>
      <c r="L378" s="40">
        <f>SUMPRODUCT(($B$92:$B$232="Kale")*(L$92:L$232="P")*$C$92:$C$232)*$K$18+SUMPRODUCT(($B$92:$B$232="Kale")*(L$92:L$232="G")*$C$92:$C$232)*$L$18+SUMPRODUCT(($B$92:$B$232="Kale")*(L$92:L$232="H")*$C$92:$C$232)*$M$18+SUMPRODUCT(($B$92:$B$232="Kale")*($BG$92:$BG$232=8)*$C$92:$C$232)*$H$18</f>
        <v/>
      </c>
      <c r="M378" s="40">
        <f>SUMPRODUCT(($B$92:$B$232="Kale")*(M$92:M$232="P")*$C$92:$C$232)*$K$18+SUMPRODUCT(($B$92:$B$232="Kale")*(M$92:M$232="G")*$C$92:$C$232)*$L$18+SUMPRODUCT(($B$92:$B$232="Kale")*(M$92:M$232="H")*$C$92:$C$232)*$M$18+SUMPRODUCT(($B$92:$B$232="Kale")*($BG$92:$BG$232=9)*$C$92:$C$232)*$H$18</f>
        <v/>
      </c>
      <c r="N378" s="40">
        <f>SUMPRODUCT(($B$92:$B$232="Kale")*(N$92:N$232="P")*$C$92:$C$232)*$K$18+SUMPRODUCT(($B$92:$B$232="Kale")*(N$92:N$232="G")*$C$92:$C$232)*$L$18+SUMPRODUCT(($B$92:$B$232="Kale")*(N$92:N$232="H")*$C$92:$C$232)*$M$18+SUMPRODUCT(($B$92:$B$232="Kale")*($BG$92:$BG$232=10)*$C$92:$C$232)*$H$18</f>
        <v/>
      </c>
      <c r="O378" s="40">
        <f>SUMPRODUCT(($B$92:$B$232="Kale")*(O$92:O$232="P")*$C$92:$C$232)*$K$18+SUMPRODUCT(($B$92:$B$232="Kale")*(O$92:O$232="G")*$C$92:$C$232)*$L$18+SUMPRODUCT(($B$92:$B$232="Kale")*(O$92:O$232="H")*$C$92:$C$232)*$M$18+SUMPRODUCT(($B$92:$B$232="Kale")*($BG$92:$BG$232=11)*$C$92:$C$232)*$H$18</f>
        <v/>
      </c>
      <c r="P378" s="40">
        <f>SUMPRODUCT(($B$92:$B$232="Kale")*(P$92:P$232="P")*$C$92:$C$232)*$K$18+SUMPRODUCT(($B$92:$B$232="Kale")*(P$92:P$232="G")*$C$92:$C$232)*$L$18+SUMPRODUCT(($B$92:$B$232="Kale")*(P$92:P$232="H")*$C$92:$C$232)*$M$18+SUMPRODUCT(($B$92:$B$232="Kale")*($BG$92:$BG$232=12)*$C$92:$C$232)*$H$18</f>
        <v/>
      </c>
      <c r="Q378" s="40">
        <f>SUMPRODUCT(($B$92:$B$232="Kale")*(Q$92:Q$232="P")*$C$92:$C$232)*$K$18+SUMPRODUCT(($B$92:$B$232="Kale")*(Q$92:Q$232="G")*$C$92:$C$232)*$L$18+SUMPRODUCT(($B$92:$B$232="Kale")*(Q$92:Q$232="H")*$C$92:$C$232)*$M$18+SUMPRODUCT(($B$92:$B$232="Kale")*($BG$92:$BG$232=13)*$C$92:$C$232)*$H$18</f>
        <v/>
      </c>
      <c r="R378" s="40">
        <f>SUMPRODUCT(($B$92:$B$232="Kale")*(R$92:R$232="P")*$C$92:$C$232)*$K$18+SUMPRODUCT(($B$92:$B$232="Kale")*(R$92:R$232="G")*$C$92:$C$232)*$L$18+SUMPRODUCT(($B$92:$B$232="Kale")*(R$92:R$232="H")*$C$92:$C$232)*$M$18+SUMPRODUCT(($B$92:$B$232="Kale")*($BG$92:$BG$232=14)*$C$92:$C$232)*$H$18</f>
        <v/>
      </c>
      <c r="S378" s="40">
        <f>SUMPRODUCT(($B$92:$B$232="Kale")*(S$92:S$232="P")*$C$92:$C$232)*$K$18+SUMPRODUCT(($B$92:$B$232="Kale")*(S$92:S$232="G")*$C$92:$C$232)*$L$18+SUMPRODUCT(($B$92:$B$232="Kale")*(S$92:S$232="H")*$C$92:$C$232)*$M$18+SUMPRODUCT(($B$92:$B$232="Kale")*($BG$92:$BG$232=15)*$C$92:$C$232)*$H$18</f>
        <v/>
      </c>
      <c r="T378" s="40">
        <f>SUMPRODUCT(($B$92:$B$232="Kale")*(T$92:T$232="P")*$C$92:$C$232)*$K$18+SUMPRODUCT(($B$92:$B$232="Kale")*(T$92:T$232="G")*$C$92:$C$232)*$L$18+SUMPRODUCT(($B$92:$B$232="Kale")*(T$92:T$232="H")*$C$92:$C$232)*$M$18+SUMPRODUCT(($B$92:$B$232="Kale")*($BG$92:$BG$232=16)*$C$92:$C$232)*$H$18</f>
        <v/>
      </c>
      <c r="U378" s="40">
        <f>SUMPRODUCT(($B$92:$B$232="Kale")*(U$92:U$232="P")*$C$92:$C$232)*$K$18+SUMPRODUCT(($B$92:$B$232="Kale")*(U$92:U$232="G")*$C$92:$C$232)*$L$18+SUMPRODUCT(($B$92:$B$232="Kale")*(U$92:U$232="H")*$C$92:$C$232)*$M$18+SUMPRODUCT(($B$92:$B$232="Kale")*($BG$92:$BG$232=17)*$C$92:$C$232)*$H$18</f>
        <v/>
      </c>
      <c r="V378" s="40">
        <f>SUMPRODUCT(($B$92:$B$232="Kale")*(V$92:V$232="P")*$C$92:$C$232)*$K$18+SUMPRODUCT(($B$92:$B$232="Kale")*(V$92:V$232="G")*$C$92:$C$232)*$L$18+SUMPRODUCT(($B$92:$B$232="Kale")*(V$92:V$232="H")*$C$92:$C$232)*$M$18+SUMPRODUCT(($B$92:$B$232="Kale")*($BG$92:$BG$232=18)*$C$92:$C$232)*$H$18</f>
        <v/>
      </c>
      <c r="W378" s="40">
        <f>SUMPRODUCT(($B$92:$B$232="Kale")*(W$92:W$232="P")*$C$92:$C$232)*$K$18+SUMPRODUCT(($B$92:$B$232="Kale")*(W$92:W$232="G")*$C$92:$C$232)*$L$18+SUMPRODUCT(($B$92:$B$232="Kale")*(W$92:W$232="H")*$C$92:$C$232)*$M$18+SUMPRODUCT(($B$92:$B$232="Kale")*($BG$92:$BG$232=19)*$C$92:$C$232)*$H$18</f>
        <v/>
      </c>
      <c r="X378" s="40">
        <f>SUMPRODUCT(($B$92:$B$232="Kale")*(X$92:X$232="P")*$C$92:$C$232)*$K$18+SUMPRODUCT(($B$92:$B$232="Kale")*(X$92:X$232="G")*$C$92:$C$232)*$L$18+SUMPRODUCT(($B$92:$B$232="Kale")*(X$92:X$232="H")*$C$92:$C$232)*$M$18+SUMPRODUCT(($B$92:$B$232="Kale")*($BG$92:$BG$232=20)*$C$92:$C$232)*$H$18</f>
        <v/>
      </c>
      <c r="Y378" s="40">
        <f>SUMPRODUCT(($B$92:$B$232="Kale")*(Y$92:Y$232="P")*$C$92:$C$232)*$K$18+SUMPRODUCT(($B$92:$B$232="Kale")*(Y$92:Y$232="G")*$C$92:$C$232)*$L$18+SUMPRODUCT(($B$92:$B$232="Kale")*(Y$92:Y$232="H")*$C$92:$C$232)*$M$18+SUMPRODUCT(($B$92:$B$232="Kale")*($BG$92:$BG$232=21)*$C$92:$C$232)*$H$18</f>
        <v/>
      </c>
      <c r="Z378" s="40">
        <f>SUMPRODUCT(($B$92:$B$232="Kale")*(Z$92:Z$232="P")*$C$92:$C$232)*$K$18+SUMPRODUCT(($B$92:$B$232="Kale")*(Z$92:Z$232="G")*$C$92:$C$232)*$L$18+SUMPRODUCT(($B$92:$B$232="Kale")*(Z$92:Z$232="H")*$C$92:$C$232)*$M$18+SUMPRODUCT(($B$92:$B$232="Kale")*($BG$92:$BG$232=22)*$C$92:$C$232)*$H$18</f>
        <v/>
      </c>
      <c r="AA378" s="40">
        <f>SUMPRODUCT(($B$92:$B$232="Kale")*(AA$92:AA$232="P")*$C$92:$C$232)*$K$18+SUMPRODUCT(($B$92:$B$232="Kale")*(AA$92:AA$232="G")*$C$92:$C$232)*$L$18+SUMPRODUCT(($B$92:$B$232="Kale")*(AA$92:AA$232="H")*$C$92:$C$232)*$M$18+SUMPRODUCT(($B$92:$B$232="Kale")*($BG$92:$BG$232=23)*$C$92:$C$232)*$H$18</f>
        <v/>
      </c>
      <c r="AB378" s="40">
        <f>SUMPRODUCT(($B$92:$B$232="Kale")*(AB$92:AB$232="P")*$C$92:$C$232)*$K$18+SUMPRODUCT(($B$92:$B$232="Kale")*(AB$92:AB$232="G")*$C$92:$C$232)*$L$18+SUMPRODUCT(($B$92:$B$232="Kale")*(AB$92:AB$232="H")*$C$92:$C$232)*$M$18+SUMPRODUCT(($B$92:$B$232="Kale")*($BG$92:$BG$232=24)*$C$92:$C$232)*$H$18</f>
        <v/>
      </c>
      <c r="AC378" s="40">
        <f>SUMPRODUCT(($B$92:$B$232="Kale")*(AC$92:AC$232="P")*$C$92:$C$232)*$K$18+SUMPRODUCT(($B$92:$B$232="Kale")*(AC$92:AC$232="G")*$C$92:$C$232)*$L$18+SUMPRODUCT(($B$92:$B$232="Kale")*(AC$92:AC$232="H")*$C$92:$C$232)*$M$18+SUMPRODUCT(($B$92:$B$232="Kale")*($BG$92:$BG$232=25)*$C$92:$C$232)*$H$18</f>
        <v/>
      </c>
      <c r="AD378" s="40">
        <f>SUMPRODUCT(($B$92:$B$232="Kale")*(AD$92:AD$232="P")*$C$92:$C$232)*$K$18+SUMPRODUCT(($B$92:$B$232="Kale")*(AD$92:AD$232="G")*$C$92:$C$232)*$L$18+SUMPRODUCT(($B$92:$B$232="Kale")*(AD$92:AD$232="H")*$C$92:$C$232)*$M$18+SUMPRODUCT(($B$92:$B$232="Kale")*($BG$92:$BG$232=26)*$C$92:$C$232)*$H$18</f>
        <v/>
      </c>
      <c r="AE378" s="40">
        <f>SUMPRODUCT(($B$92:$B$232="Kale")*(AE$92:AE$232="P")*$C$92:$C$232)*$K$18+SUMPRODUCT(($B$92:$B$232="Kale")*(AE$92:AE$232="G")*$C$92:$C$232)*$L$18+SUMPRODUCT(($B$92:$B$232="Kale")*(AE$92:AE$232="H")*$C$92:$C$232)*$M$18+SUMPRODUCT(($B$92:$B$232="Kale")*($BG$92:$BG$232=27)*$C$92:$C$232)*$H$18</f>
        <v/>
      </c>
      <c r="AF378" s="40">
        <f>SUMPRODUCT(($B$92:$B$232="Kale")*(AF$92:AF$232="P")*$C$92:$C$232)*$K$18+SUMPRODUCT(($B$92:$B$232="Kale")*(AF$92:AF$232="G")*$C$92:$C$232)*$L$18+SUMPRODUCT(($B$92:$B$232="Kale")*(AF$92:AF$232="H")*$C$92:$C$232)*$M$18+SUMPRODUCT(($B$92:$B$232="Kale")*($BG$92:$BG$232=28)*$C$92:$C$232)*$H$18</f>
        <v/>
      </c>
      <c r="AG378" s="40">
        <f>SUMPRODUCT(($B$92:$B$232="Kale")*(AG$92:AG$232="P")*$C$92:$C$232)*$K$18+SUMPRODUCT(($B$92:$B$232="Kale")*(AG$92:AG$232="G")*$C$92:$C$232)*$L$18+SUMPRODUCT(($B$92:$B$232="Kale")*(AG$92:AG$232="H")*$C$92:$C$232)*$M$18+SUMPRODUCT(($B$92:$B$232="Kale")*($BG$92:$BG$232=29)*$C$92:$C$232)*$H$18</f>
        <v/>
      </c>
      <c r="AH378" s="40">
        <f>SUMPRODUCT(($B$92:$B$232="Kale")*(AH$92:AH$232="P")*$C$92:$C$232)*$K$18+SUMPRODUCT(($B$92:$B$232="Kale")*(AH$92:AH$232="G")*$C$92:$C$232)*$L$18+SUMPRODUCT(($B$92:$B$232="Kale")*(AH$92:AH$232="H")*$C$92:$C$232)*$M$18+SUMPRODUCT(($B$92:$B$232="Kale")*($BG$92:$BG$232=30)*$C$92:$C$232)*$H$18</f>
        <v/>
      </c>
      <c r="AI378" s="40">
        <f>SUMPRODUCT(($B$92:$B$232="Kale")*(AI$92:AI$232="P")*$C$92:$C$232)*$K$18+SUMPRODUCT(($B$92:$B$232="Kale")*(AI$92:AI$232="G")*$C$92:$C$232)*$L$18+SUMPRODUCT(($B$92:$B$232="Kale")*(AI$92:AI$232="H")*$C$92:$C$232)*$M$18+SUMPRODUCT(($B$92:$B$232="Kale")*($BG$92:$BG$232=31)*$C$92:$C$232)*$H$18</f>
        <v/>
      </c>
      <c r="AJ378" s="40">
        <f>SUMPRODUCT(($B$92:$B$232="Kale")*(AJ$92:AJ$232="P")*$C$92:$C$232)*$K$18+SUMPRODUCT(($B$92:$B$232="Kale")*(AJ$92:AJ$232="G")*$C$92:$C$232)*$L$18+SUMPRODUCT(($B$92:$B$232="Kale")*(AJ$92:AJ$232="H")*$C$92:$C$232)*$M$18+SUMPRODUCT(($B$92:$B$232="Kale")*($BG$92:$BG$232=32)*$C$92:$C$232)*$H$18</f>
        <v/>
      </c>
      <c r="AK378" s="40">
        <f>SUMPRODUCT(($B$92:$B$232="Kale")*(AK$92:AK$232="P")*$C$92:$C$232)*$K$18+SUMPRODUCT(($B$92:$B$232="Kale")*(AK$92:AK$232="G")*$C$92:$C$232)*$L$18+SUMPRODUCT(($B$92:$B$232="Kale")*(AK$92:AK$232="H")*$C$92:$C$232)*$M$18+SUMPRODUCT(($B$92:$B$232="Kale")*($BG$92:$BG$232=33)*$C$92:$C$232)*$H$18</f>
        <v/>
      </c>
      <c r="AL378" s="40">
        <f>SUMPRODUCT(($B$92:$B$232="Kale")*(AL$92:AL$232="P")*$C$92:$C$232)*$K$18+SUMPRODUCT(($B$92:$B$232="Kale")*(AL$92:AL$232="G")*$C$92:$C$232)*$L$18+SUMPRODUCT(($B$92:$B$232="Kale")*(AL$92:AL$232="H")*$C$92:$C$232)*$M$18+SUMPRODUCT(($B$92:$B$232="Kale")*($BG$92:$BG$232=34)*$C$92:$C$232)*$H$18</f>
        <v/>
      </c>
      <c r="AM378" s="40">
        <f>SUMPRODUCT(($B$92:$B$232="Kale")*(AM$92:AM$232="P")*$C$92:$C$232)*$K$18+SUMPRODUCT(($B$92:$B$232="Kale")*(AM$92:AM$232="G")*$C$92:$C$232)*$L$18+SUMPRODUCT(($B$92:$B$232="Kale")*(AM$92:AM$232="H")*$C$92:$C$232)*$M$18+SUMPRODUCT(($B$92:$B$232="Kale")*($BG$92:$BG$232=35)*$C$92:$C$232)*$H$18</f>
        <v/>
      </c>
      <c r="AN378" s="40">
        <f>SUMPRODUCT(($B$92:$B$232="Kale")*(AN$92:AN$232="P")*$C$92:$C$232)*$K$18+SUMPRODUCT(($B$92:$B$232="Kale")*(AN$92:AN$232="G")*$C$92:$C$232)*$L$18+SUMPRODUCT(($B$92:$B$232="Kale")*(AN$92:AN$232="H")*$C$92:$C$232)*$M$18+SUMPRODUCT(($B$92:$B$232="Kale")*($BG$92:$BG$232=36)*$C$92:$C$232)*$H$18</f>
        <v/>
      </c>
      <c r="AO378" s="40">
        <f>SUMPRODUCT(($B$92:$B$232="Kale")*(AO$92:AO$232="P")*$C$92:$C$232)*$K$18+SUMPRODUCT(($B$92:$B$232="Kale")*(AO$92:AO$232="G")*$C$92:$C$232)*$L$18+SUMPRODUCT(($B$92:$B$232="Kale")*(AO$92:AO$232="H")*$C$92:$C$232)*$M$18+SUMPRODUCT(($B$92:$B$232="Kale")*($BG$92:$BG$232=37)*$C$92:$C$232)*$H$18</f>
        <v/>
      </c>
      <c r="AP378" s="40">
        <f>SUMPRODUCT(($B$92:$B$232="Kale")*(AP$92:AP$232="P")*$C$92:$C$232)*$K$18+SUMPRODUCT(($B$92:$B$232="Kale")*(AP$92:AP$232="G")*$C$92:$C$232)*$L$18+SUMPRODUCT(($B$92:$B$232="Kale")*(AP$92:AP$232="H")*$C$92:$C$232)*$M$18+SUMPRODUCT(($B$92:$B$232="Kale")*($BG$92:$BG$232=38)*$C$92:$C$232)*$H$18</f>
        <v/>
      </c>
      <c r="AQ378" s="40">
        <f>SUMPRODUCT(($B$92:$B$232="Kale")*(AQ$92:AQ$232="P")*$C$92:$C$232)*$K$18+SUMPRODUCT(($B$92:$B$232="Kale")*(AQ$92:AQ$232="G")*$C$92:$C$232)*$L$18+SUMPRODUCT(($B$92:$B$232="Kale")*(AQ$92:AQ$232="H")*$C$92:$C$232)*$M$18+SUMPRODUCT(($B$92:$B$232="Kale")*($BG$92:$BG$232=39)*$C$92:$C$232)*$H$18</f>
        <v/>
      </c>
      <c r="AR378" s="40">
        <f>SUMPRODUCT(($B$92:$B$232="Kale")*(AR$92:AR$232="P")*$C$92:$C$232)*$K$18+SUMPRODUCT(($B$92:$B$232="Kale")*(AR$92:AR$232="G")*$C$92:$C$232)*$L$18+SUMPRODUCT(($B$92:$B$232="Kale")*(AR$92:AR$232="H")*$C$92:$C$232)*$M$18+SUMPRODUCT(($B$92:$B$232="Kale")*($BG$92:$BG$232=40)*$C$92:$C$232)*$H$18</f>
        <v/>
      </c>
      <c r="AS378" s="40">
        <f>SUMPRODUCT(($B$92:$B$232="Kale")*(AS$92:AS$232="P")*$C$92:$C$232)*$K$18+SUMPRODUCT(($B$92:$B$232="Kale")*(AS$92:AS$232="G")*$C$92:$C$232)*$L$18+SUMPRODUCT(($B$92:$B$232="Kale")*(AS$92:AS$232="H")*$C$92:$C$232)*$M$18+SUMPRODUCT(($B$92:$B$232="Kale")*($BG$92:$BG$232=41)*$C$92:$C$232)*$H$18</f>
        <v/>
      </c>
      <c r="AT378" s="40">
        <f>SUMPRODUCT(($B$92:$B$232="Kale")*(AT$92:AT$232="P")*$C$92:$C$232)*$K$18+SUMPRODUCT(($B$92:$B$232="Kale")*(AT$92:AT$232="G")*$C$92:$C$232)*$L$18+SUMPRODUCT(($B$92:$B$232="Kale")*(AT$92:AT$232="H")*$C$92:$C$232)*$M$18+SUMPRODUCT(($B$92:$B$232="Kale")*($BG$92:$BG$232=42)*$C$92:$C$232)*$H$18</f>
        <v/>
      </c>
      <c r="AU378" s="40">
        <f>SUMPRODUCT(($B$92:$B$232="Kale")*(AU$92:AU$232="P")*$C$92:$C$232)*$K$18+SUMPRODUCT(($B$92:$B$232="Kale")*(AU$92:AU$232="G")*$C$92:$C$232)*$L$18+SUMPRODUCT(($B$92:$B$232="Kale")*(AU$92:AU$232="H")*$C$92:$C$232)*$M$18+SUMPRODUCT(($B$92:$B$232="Kale")*($BG$92:$BG$232=43)*$C$92:$C$232)*$H$18</f>
        <v/>
      </c>
      <c r="AV378" s="40">
        <f>SUMPRODUCT(($B$92:$B$232="Kale")*(AV$92:AV$232="P")*$C$92:$C$232)*$K$18+SUMPRODUCT(($B$92:$B$232="Kale")*(AV$92:AV$232="G")*$C$92:$C$232)*$L$18+SUMPRODUCT(($B$92:$B$232="Kale")*(AV$92:AV$232="H")*$C$92:$C$232)*$M$18+SUMPRODUCT(($B$92:$B$232="Kale")*($BG$92:$BG$232=44)*$C$92:$C$232)*$H$18</f>
        <v/>
      </c>
      <c r="AW378" s="40">
        <f>SUMPRODUCT(($B$92:$B$232="Kale")*(AW$92:AW$232="P")*$C$92:$C$232)*$K$18+SUMPRODUCT(($B$92:$B$232="Kale")*(AW$92:AW$232="G")*$C$92:$C$232)*$L$18+SUMPRODUCT(($B$92:$B$232="Kale")*(AW$92:AW$232="H")*$C$92:$C$232)*$M$18+SUMPRODUCT(($B$92:$B$232="Kale")*($BG$92:$BG$232=45)*$C$92:$C$232)*$H$18</f>
        <v/>
      </c>
      <c r="AX378" s="40">
        <f>SUMPRODUCT(($B$92:$B$232="Kale")*(AX$92:AX$232="P")*$C$92:$C$232)*$K$18+SUMPRODUCT(($B$92:$B$232="Kale")*(AX$92:AX$232="G")*$C$92:$C$232)*$L$18+SUMPRODUCT(($B$92:$B$232="Kale")*(AX$92:AX$232="H")*$C$92:$C$232)*$M$18+SUMPRODUCT(($B$92:$B$232="Kale")*($BG$92:$BG$232=46)*$C$92:$C$232)*$H$18</f>
        <v/>
      </c>
      <c r="AY378" s="40">
        <f>SUMPRODUCT(($B$92:$B$232="Kale")*(AY$92:AY$232="P")*$C$92:$C$232)*$K$18+SUMPRODUCT(($B$92:$B$232="Kale")*(AY$92:AY$232="G")*$C$92:$C$232)*$L$18+SUMPRODUCT(($B$92:$B$232="Kale")*(AY$92:AY$232="H")*$C$92:$C$232)*$M$18+SUMPRODUCT(($B$92:$B$232="Kale")*($BG$92:$BG$232=47)*$C$92:$C$232)*$H$18</f>
        <v/>
      </c>
      <c r="AZ378" s="40">
        <f>SUMPRODUCT(($B$92:$B$232="Kale")*(AZ$92:AZ$232="P")*$C$92:$C$232)*$K$18+SUMPRODUCT(($B$92:$B$232="Kale")*(AZ$92:AZ$232="G")*$C$92:$C$232)*$L$18+SUMPRODUCT(($B$92:$B$232="Kale")*(AZ$92:AZ$232="H")*$C$92:$C$232)*$M$18+SUMPRODUCT(($B$92:$B$232="Kale")*($BG$92:$BG$232=48)*$C$92:$C$232)*$H$18</f>
        <v/>
      </c>
      <c r="BA378" s="40">
        <f>SUMPRODUCT(($B$92:$B$232="Kale")*(BA$92:BA$232="P")*$C$92:$C$232)*$K$18+SUMPRODUCT(($B$92:$B$232="Kale")*(BA$92:BA$232="G")*$C$92:$C$232)*$L$18+SUMPRODUCT(($B$92:$B$232="Kale")*(BA$92:BA$232="H")*$C$92:$C$232)*$M$18+SUMPRODUCT(($B$92:$B$232="Kale")*($BG$92:$BG$232=49)*$C$92:$C$232)*$H$18</f>
        <v/>
      </c>
      <c r="BB378" s="40">
        <f>SUMPRODUCT(($B$92:$B$232="Kale")*(BB$92:BB$232="P")*$C$92:$C$232)*$K$18+SUMPRODUCT(($B$92:$B$232="Kale")*(BB$92:BB$232="G")*$C$92:$C$232)*$L$18+SUMPRODUCT(($B$92:$B$232="Kale")*(BB$92:BB$232="H")*$C$92:$C$232)*$M$18+SUMPRODUCT(($B$92:$B$232="Kale")*($BG$92:$BG$232=50)*$C$92:$C$232)*$H$18</f>
        <v/>
      </c>
      <c r="BC378" s="40">
        <f>SUMPRODUCT(($B$92:$B$232="Kale")*(BC$92:BC$232="P")*$C$92:$C$232)*$K$18+SUMPRODUCT(($B$92:$B$232="Kale")*(BC$92:BC$232="G")*$C$92:$C$232)*$L$18+SUMPRODUCT(($B$92:$B$232="Kale")*(BC$92:BC$232="H")*$C$92:$C$232)*$M$18+SUMPRODUCT(($B$92:$B$232="Kale")*($BG$92:$BG$232=51)*$C$92:$C$232)*$H$18</f>
        <v/>
      </c>
      <c r="BD378" s="40">
        <f>SUMPRODUCT(($B$92:$B$232="Kale")*(BD$92:BD$232="P")*$C$92:$C$232)*$K$18+SUMPRODUCT(($B$92:$B$232="Kale")*(BD$92:BD$232="G")*$C$92:$C$232)*$L$18+SUMPRODUCT(($B$92:$B$232="Kale")*(BD$92:BD$232="H")*$C$92:$C$232)*$M$18+SUMPRODUCT(($B$92:$B$232="Kale")*($BG$92:$BG$232=52)*$C$92:$C$232)*$H$18</f>
        <v/>
      </c>
    </row>
    <row r="379">
      <c r="A379" s="33" t="inlineStr">
        <is>
          <t>Packaging this week</t>
        </is>
      </c>
      <c r="B379" s="2" t="inlineStr">
        <is>
          <t>$</t>
        </is>
      </c>
      <c r="E379" s="40">
        <f>E361*$J$38+E369*$J$39</f>
        <v/>
      </c>
      <c r="F379" s="40">
        <f>F361*$J$38+F369*$J$39</f>
        <v/>
      </c>
      <c r="G379" s="40">
        <f>G361*$J$38+G369*$J$39</f>
        <v/>
      </c>
      <c r="H379" s="40">
        <f>H361*$J$38+H369*$J$39</f>
        <v/>
      </c>
      <c r="I379" s="40">
        <f>I361*$J$38+I369*$J$39</f>
        <v/>
      </c>
      <c r="J379" s="40">
        <f>J361*$J$38+J369*$J$39</f>
        <v/>
      </c>
      <c r="K379" s="40">
        <f>K361*$J$38+K369*$J$39</f>
        <v/>
      </c>
      <c r="L379" s="40">
        <f>L361*$J$38+L369*$J$39</f>
        <v/>
      </c>
      <c r="M379" s="40">
        <f>M361*$J$38+M369*$J$39</f>
        <v/>
      </c>
      <c r="N379" s="40">
        <f>N361*$J$38+N369*$J$39</f>
        <v/>
      </c>
      <c r="O379" s="40">
        <f>O361*$J$38+O369*$J$39</f>
        <v/>
      </c>
      <c r="P379" s="40">
        <f>P361*$J$38+P369*$J$39</f>
        <v/>
      </c>
      <c r="Q379" s="40">
        <f>Q361*$J$38+Q369*$J$39</f>
        <v/>
      </c>
      <c r="R379" s="40">
        <f>R361*$J$38+R369*$J$39</f>
        <v/>
      </c>
      <c r="S379" s="40">
        <f>S361*$J$38+S369*$J$39</f>
        <v/>
      </c>
      <c r="T379" s="40">
        <f>T361*$J$38+T369*$J$39</f>
        <v/>
      </c>
      <c r="U379" s="40">
        <f>U361*$J$38+U369*$J$39</f>
        <v/>
      </c>
      <c r="V379" s="40">
        <f>V361*$J$38+V369*$J$39</f>
        <v/>
      </c>
      <c r="W379" s="40">
        <f>W361*$J$38+W369*$J$39</f>
        <v/>
      </c>
      <c r="X379" s="40">
        <f>X361*$J$38+X369*$J$39</f>
        <v/>
      </c>
      <c r="Y379" s="40">
        <f>Y361*$J$38+Y369*$J$39</f>
        <v/>
      </c>
      <c r="Z379" s="40">
        <f>Z361*$J$38+Z369*$J$39</f>
        <v/>
      </c>
      <c r="AA379" s="40">
        <f>AA361*$J$38+AA369*$J$39</f>
        <v/>
      </c>
      <c r="AB379" s="40">
        <f>AB361*$J$38+AB369*$J$39</f>
        <v/>
      </c>
      <c r="AC379" s="40">
        <f>AC361*$J$38+AC369*$J$39</f>
        <v/>
      </c>
      <c r="AD379" s="40">
        <f>AD361*$J$38+AD369*$J$39</f>
        <v/>
      </c>
      <c r="AE379" s="40">
        <f>AE361*$J$38+AE369*$J$39</f>
        <v/>
      </c>
      <c r="AF379" s="40">
        <f>AF361*$J$38+AF369*$J$39</f>
        <v/>
      </c>
      <c r="AG379" s="40">
        <f>AG361*$J$38+AG369*$J$39</f>
        <v/>
      </c>
      <c r="AH379" s="40">
        <f>AH361*$J$38+AH369*$J$39</f>
        <v/>
      </c>
      <c r="AI379" s="40">
        <f>AI361*$J$38+AI369*$J$39</f>
        <v/>
      </c>
      <c r="AJ379" s="40">
        <f>AJ361*$J$38+AJ369*$J$39</f>
        <v/>
      </c>
      <c r="AK379" s="40">
        <f>AK361*$J$38+AK369*$J$39</f>
        <v/>
      </c>
      <c r="AL379" s="40">
        <f>AL361*$J$38+AL369*$J$39</f>
        <v/>
      </c>
      <c r="AM379" s="40">
        <f>AM361*$J$38+AM369*$J$39</f>
        <v/>
      </c>
      <c r="AN379" s="40">
        <f>AN361*$J$38+AN369*$J$39</f>
        <v/>
      </c>
      <c r="AO379" s="40">
        <f>AO361*$J$38+AO369*$J$39</f>
        <v/>
      </c>
      <c r="AP379" s="40">
        <f>AP361*$J$38+AP369*$J$39</f>
        <v/>
      </c>
      <c r="AQ379" s="40">
        <f>AQ361*$J$38+AQ369*$J$39</f>
        <v/>
      </c>
      <c r="AR379" s="40">
        <f>AR361*$J$38+AR369*$J$39</f>
        <v/>
      </c>
      <c r="AS379" s="40">
        <f>AS361*$J$38+AS369*$J$39</f>
        <v/>
      </c>
      <c r="AT379" s="40">
        <f>AT361*$J$38+AT369*$J$39</f>
        <v/>
      </c>
      <c r="AU379" s="40">
        <f>AU361*$J$38+AU369*$J$39</f>
        <v/>
      </c>
      <c r="AV379" s="40">
        <f>AV361*$J$38+AV369*$J$39</f>
        <v/>
      </c>
      <c r="AW379" s="40">
        <f>AW361*$J$38+AW369*$J$39</f>
        <v/>
      </c>
      <c r="AX379" s="40">
        <f>AX361*$J$38+AX369*$J$39</f>
        <v/>
      </c>
      <c r="AY379" s="40">
        <f>AY361*$J$38+AY369*$J$39</f>
        <v/>
      </c>
      <c r="AZ379" s="40">
        <f>AZ361*$J$38+AZ369*$J$39</f>
        <v/>
      </c>
      <c r="BA379" s="40">
        <f>BA361*$J$38+BA369*$J$39</f>
        <v/>
      </c>
      <c r="BB379" s="40">
        <f>BB361*$J$38+BB369*$J$39</f>
        <v/>
      </c>
      <c r="BC379" s="40">
        <f>BC361*$J$38+BC369*$J$39</f>
        <v/>
      </c>
      <c r="BD379" s="40">
        <f>BD361*$J$38+BD369*$J$39</f>
        <v/>
      </c>
    </row>
    <row r="380">
      <c r="A380" s="4" t="inlineStr">
        <is>
          <t>ROOM OCCUPANCY</t>
        </is>
      </c>
      <c r="B380" s="2" t="inlineStr">
        <is>
          <t>m3</t>
        </is>
      </c>
      <c r="E380" s="58">
        <f>(E356+E355)*$D$18</f>
        <v/>
      </c>
      <c r="F380" s="58">
        <f>(F356+F355)*$D$18</f>
        <v/>
      </c>
      <c r="G380" s="58">
        <f>(G356+G355)*$D$18</f>
        <v/>
      </c>
      <c r="H380" s="58">
        <f>(H356+H355)*$D$18</f>
        <v/>
      </c>
      <c r="I380" s="58">
        <f>(I356+I355)*$D$18</f>
        <v/>
      </c>
      <c r="J380" s="58">
        <f>(J356+J355)*$D$18</f>
        <v/>
      </c>
      <c r="K380" s="58">
        <f>(K356+K355)*$D$18</f>
        <v/>
      </c>
      <c r="L380" s="58">
        <f>(L356+L355)*$D$18</f>
        <v/>
      </c>
      <c r="M380" s="58">
        <f>(M356+M355)*$D$18</f>
        <v/>
      </c>
      <c r="N380" s="58">
        <f>(N356+N355)*$D$18</f>
        <v/>
      </c>
      <c r="O380" s="58">
        <f>(O356+O355)*$D$18</f>
        <v/>
      </c>
      <c r="P380" s="58">
        <f>(P356+P355)*$D$18</f>
        <v/>
      </c>
      <c r="Q380" s="58">
        <f>(Q356+Q355)*$D$18</f>
        <v/>
      </c>
      <c r="R380" s="58">
        <f>(R356+R355)*$D$18</f>
        <v/>
      </c>
      <c r="S380" s="58">
        <f>(S356+S355)*$D$18</f>
        <v/>
      </c>
      <c r="T380" s="58">
        <f>(T356+T355)*$D$18</f>
        <v/>
      </c>
      <c r="U380" s="58">
        <f>(U356+U355)*$D$18</f>
        <v/>
      </c>
      <c r="V380" s="58">
        <f>(V356+V355)*$D$18</f>
        <v/>
      </c>
      <c r="W380" s="58">
        <f>(W356+W355)*$D$18</f>
        <v/>
      </c>
      <c r="X380" s="58">
        <f>(X356+X355)*$D$18</f>
        <v/>
      </c>
      <c r="Y380" s="58">
        <f>(Y356+Y355)*$D$18</f>
        <v/>
      </c>
      <c r="Z380" s="58">
        <f>(Z356+Z355)*$D$18</f>
        <v/>
      </c>
      <c r="AA380" s="58">
        <f>(AA356+AA355)*$D$18</f>
        <v/>
      </c>
      <c r="AB380" s="58">
        <f>(AB356+AB355)*$D$18</f>
        <v/>
      </c>
      <c r="AC380" s="58">
        <f>(AC356+AC355)*$D$18</f>
        <v/>
      </c>
      <c r="AD380" s="58">
        <f>(AD356+AD355)*$D$18</f>
        <v/>
      </c>
      <c r="AE380" s="58">
        <f>(AE356+AE355)*$D$18</f>
        <v/>
      </c>
      <c r="AF380" s="58">
        <f>(AF356+AF355)*$D$18</f>
        <v/>
      </c>
      <c r="AG380" s="58">
        <f>(AG356+AG355)*$D$18</f>
        <v/>
      </c>
      <c r="AH380" s="58">
        <f>(AH356+AH355)*$D$18</f>
        <v/>
      </c>
      <c r="AI380" s="58">
        <f>(AI356+AI355)*$D$18</f>
        <v/>
      </c>
      <c r="AJ380" s="58">
        <f>(AJ356+AJ355)*$D$18</f>
        <v/>
      </c>
      <c r="AK380" s="58">
        <f>(AK356+AK355)*$D$18</f>
        <v/>
      </c>
      <c r="AL380" s="58">
        <f>(AL356+AL355)*$D$18</f>
        <v/>
      </c>
      <c r="AM380" s="58">
        <f>(AM356+AM355)*$D$18</f>
        <v/>
      </c>
      <c r="AN380" s="58">
        <f>(AN356+AN355)*$D$18</f>
        <v/>
      </c>
      <c r="AO380" s="58">
        <f>(AO356+AO355)*$D$18</f>
        <v/>
      </c>
      <c r="AP380" s="58">
        <f>(AP356+AP355)*$D$18</f>
        <v/>
      </c>
      <c r="AQ380" s="58">
        <f>(AQ356+AQ355)*$D$18</f>
        <v/>
      </c>
      <c r="AR380" s="58">
        <f>(AR356+AR355)*$D$18</f>
        <v/>
      </c>
      <c r="AS380" s="58">
        <f>(AS356+AS355)*$D$18</f>
        <v/>
      </c>
      <c r="AT380" s="58">
        <f>(AT356+AT355)*$D$18</f>
        <v/>
      </c>
      <c r="AU380" s="58">
        <f>(AU356+AU355)*$D$18</f>
        <v/>
      </c>
      <c r="AV380" s="58">
        <f>(AV356+AV355)*$D$18</f>
        <v/>
      </c>
      <c r="AW380" s="58">
        <f>(AW356+AW355)*$D$18</f>
        <v/>
      </c>
      <c r="AX380" s="58">
        <f>(AX356+AX355)*$D$18</f>
        <v/>
      </c>
      <c r="AY380" s="58">
        <f>(AY356+AY355)*$D$18</f>
        <v/>
      </c>
      <c r="AZ380" s="58">
        <f>(AZ356+AZ355)*$D$18</f>
        <v/>
      </c>
      <c r="BA380" s="58">
        <f>(BA356+BA355)*$D$18</f>
        <v/>
      </c>
      <c r="BB380" s="58">
        <f>(BB356+BB355)*$D$18</f>
        <v/>
      </c>
      <c r="BC380" s="58">
        <f>(BC356+BC355)*$D$18</f>
        <v/>
      </c>
      <c r="BD380" s="58">
        <f>(BD356+BD355)*$D$18</f>
        <v/>
      </c>
    </row>
    <row r="382">
      <c r="A382" s="3" t="inlineStr">
        <is>
          <t>GARLIC  —  ambient store</t>
        </is>
      </c>
      <c r="B382" s="59" t="inlineStr"/>
    </row>
    <row r="383">
      <c r="A383" s="36" t="inlineStr">
        <is>
          <t>Week</t>
        </is>
      </c>
      <c r="B383" s="37" t="inlineStr"/>
      <c r="E383" s="38" t="n">
        <v>1</v>
      </c>
      <c r="F383" s="38" t="n">
        <v>2</v>
      </c>
      <c r="G383" s="38" t="n">
        <v>3</v>
      </c>
      <c r="H383" s="38" t="n">
        <v>4</v>
      </c>
      <c r="I383" s="38" t="n">
        <v>5</v>
      </c>
      <c r="J383" s="38" t="n">
        <v>6</v>
      </c>
      <c r="K383" s="38" t="n">
        <v>7</v>
      </c>
      <c r="L383" s="38" t="n">
        <v>8</v>
      </c>
      <c r="M383" s="38" t="n">
        <v>9</v>
      </c>
      <c r="N383" s="38" t="n">
        <v>10</v>
      </c>
      <c r="O383" s="38" t="n">
        <v>11</v>
      </c>
      <c r="P383" s="38" t="n">
        <v>12</v>
      </c>
      <c r="Q383" s="38" t="n">
        <v>13</v>
      </c>
      <c r="R383" s="38" t="n">
        <v>14</v>
      </c>
      <c r="S383" s="38" t="n">
        <v>15</v>
      </c>
      <c r="T383" s="38" t="n">
        <v>16</v>
      </c>
      <c r="U383" s="38" t="n">
        <v>17</v>
      </c>
      <c r="V383" s="38" t="n">
        <v>18</v>
      </c>
      <c r="W383" s="38" t="n">
        <v>19</v>
      </c>
      <c r="X383" s="38" t="n">
        <v>20</v>
      </c>
      <c r="Y383" s="38" t="n">
        <v>21</v>
      </c>
      <c r="Z383" s="38" t="n">
        <v>22</v>
      </c>
      <c r="AA383" s="38" t="n">
        <v>23</v>
      </c>
      <c r="AB383" s="38" t="n">
        <v>24</v>
      </c>
      <c r="AC383" s="38" t="n">
        <v>25</v>
      </c>
      <c r="AD383" s="38" t="n">
        <v>26</v>
      </c>
      <c r="AE383" s="38" t="n">
        <v>27</v>
      </c>
      <c r="AF383" s="38" t="n">
        <v>28</v>
      </c>
      <c r="AG383" s="38" t="n">
        <v>29</v>
      </c>
      <c r="AH383" s="38" t="n">
        <v>30</v>
      </c>
      <c r="AI383" s="38" t="n">
        <v>31</v>
      </c>
      <c r="AJ383" s="38" t="n">
        <v>32</v>
      </c>
      <c r="AK383" s="38" t="n">
        <v>33</v>
      </c>
      <c r="AL383" s="38" t="n">
        <v>34</v>
      </c>
      <c r="AM383" s="38" t="n">
        <v>35</v>
      </c>
      <c r="AN383" s="38" t="n">
        <v>36</v>
      </c>
      <c r="AO383" s="38" t="n">
        <v>37</v>
      </c>
      <c r="AP383" s="38" t="n">
        <v>38</v>
      </c>
      <c r="AQ383" s="38" t="n">
        <v>39</v>
      </c>
      <c r="AR383" s="38" t="n">
        <v>40</v>
      </c>
      <c r="AS383" s="38" t="n">
        <v>41</v>
      </c>
      <c r="AT383" s="38" t="n">
        <v>42</v>
      </c>
      <c r="AU383" s="38" t="n">
        <v>43</v>
      </c>
      <c r="AV383" s="38" t="n">
        <v>44</v>
      </c>
      <c r="AW383" s="38" t="n">
        <v>45</v>
      </c>
      <c r="AX383" s="38" t="n">
        <v>46</v>
      </c>
      <c r="AY383" s="38" t="n">
        <v>47</v>
      </c>
      <c r="AZ383" s="38" t="n">
        <v>48</v>
      </c>
      <c r="BA383" s="38" t="n">
        <v>49</v>
      </c>
      <c r="BB383" s="38" t="n">
        <v>50</v>
      </c>
      <c r="BC383" s="38" t="n">
        <v>51</v>
      </c>
      <c r="BD383" s="38" t="n">
        <v>52</v>
      </c>
    </row>
    <row r="384">
      <c r="A384" s="4" t="inlineStr">
        <is>
          <t>Packed out -&gt; INTO the store</t>
        </is>
      </c>
      <c r="B384" s="2" t="inlineStr">
        <is>
          <t>lb</t>
        </is>
      </c>
      <c r="E384" s="40">
        <f>SUMPRODUCT(($B$92:$B$232="Garlic")*(E$92:E$232="H")*$C$92:$C$232)*$B$19/$J$19*$C$19</f>
        <v/>
      </c>
      <c r="F384" s="40">
        <f>SUMPRODUCT(($B$92:$B$232="Garlic")*(F$92:F$232="H")*$C$92:$C$232)*$B$19/$J$19*$C$19</f>
        <v/>
      </c>
      <c r="G384" s="40">
        <f>SUMPRODUCT(($B$92:$B$232="Garlic")*(G$92:G$232="H")*$C$92:$C$232)*$B$19/$J$19*$C$19</f>
        <v/>
      </c>
      <c r="H384" s="40">
        <f>SUMPRODUCT(($B$92:$B$232="Garlic")*(H$92:H$232="H")*$C$92:$C$232)*$B$19/$J$19*$C$19</f>
        <v/>
      </c>
      <c r="I384" s="40">
        <f>SUMPRODUCT(($B$92:$B$232="Garlic")*(I$92:I$232="H")*$C$92:$C$232)*$B$19/$J$19*$C$19</f>
        <v/>
      </c>
      <c r="J384" s="40">
        <f>SUMPRODUCT(($B$92:$B$232="Garlic")*(J$92:J$232="H")*$C$92:$C$232)*$B$19/$J$19*$C$19</f>
        <v/>
      </c>
      <c r="K384" s="40">
        <f>SUMPRODUCT(($B$92:$B$232="Garlic")*(K$92:K$232="H")*$C$92:$C$232)*$B$19/$J$19*$C$19</f>
        <v/>
      </c>
      <c r="L384" s="40">
        <f>SUMPRODUCT(($B$92:$B$232="Garlic")*(L$92:L$232="H")*$C$92:$C$232)*$B$19/$J$19*$C$19</f>
        <v/>
      </c>
      <c r="M384" s="40">
        <f>SUMPRODUCT(($B$92:$B$232="Garlic")*(M$92:M$232="H")*$C$92:$C$232)*$B$19/$J$19*$C$19</f>
        <v/>
      </c>
      <c r="N384" s="40">
        <f>SUMPRODUCT(($B$92:$B$232="Garlic")*(N$92:N$232="H")*$C$92:$C$232)*$B$19/$J$19*$C$19</f>
        <v/>
      </c>
      <c r="O384" s="40">
        <f>SUMPRODUCT(($B$92:$B$232="Garlic")*(O$92:O$232="H")*$C$92:$C$232)*$B$19/$J$19*$C$19</f>
        <v/>
      </c>
      <c r="P384" s="40">
        <f>SUMPRODUCT(($B$92:$B$232="Garlic")*(P$92:P$232="H")*$C$92:$C$232)*$B$19/$J$19*$C$19</f>
        <v/>
      </c>
      <c r="Q384" s="40">
        <f>SUMPRODUCT(($B$92:$B$232="Garlic")*(Q$92:Q$232="H")*$C$92:$C$232)*$B$19/$J$19*$C$19</f>
        <v/>
      </c>
      <c r="R384" s="40">
        <f>SUMPRODUCT(($B$92:$B$232="Garlic")*(R$92:R$232="H")*$C$92:$C$232)*$B$19/$J$19*$C$19</f>
        <v/>
      </c>
      <c r="S384" s="40">
        <f>SUMPRODUCT(($B$92:$B$232="Garlic")*(S$92:S$232="H")*$C$92:$C$232)*$B$19/$J$19*$C$19</f>
        <v/>
      </c>
      <c r="T384" s="40">
        <f>SUMPRODUCT(($B$92:$B$232="Garlic")*(T$92:T$232="H")*$C$92:$C$232)*$B$19/$J$19*$C$19</f>
        <v/>
      </c>
      <c r="U384" s="40">
        <f>SUMPRODUCT(($B$92:$B$232="Garlic")*(U$92:U$232="H")*$C$92:$C$232)*$B$19/$J$19*$C$19</f>
        <v/>
      </c>
      <c r="V384" s="40">
        <f>SUMPRODUCT(($B$92:$B$232="Garlic")*(V$92:V$232="H")*$C$92:$C$232)*$B$19/$J$19*$C$19</f>
        <v/>
      </c>
      <c r="W384" s="40">
        <f>SUMPRODUCT(($B$92:$B$232="Garlic")*(W$92:W$232="H")*$C$92:$C$232)*$B$19/$J$19*$C$19</f>
        <v/>
      </c>
      <c r="X384" s="40">
        <f>SUMPRODUCT(($B$92:$B$232="Garlic")*(X$92:X$232="H")*$C$92:$C$232)*$B$19/$J$19*$C$19</f>
        <v/>
      </c>
      <c r="Y384" s="40">
        <f>SUMPRODUCT(($B$92:$B$232="Garlic")*(Y$92:Y$232="H")*$C$92:$C$232)*$B$19/$J$19*$C$19</f>
        <v/>
      </c>
      <c r="Z384" s="40">
        <f>SUMPRODUCT(($B$92:$B$232="Garlic")*(Z$92:Z$232="H")*$C$92:$C$232)*$B$19/$J$19*$C$19</f>
        <v/>
      </c>
      <c r="AA384" s="40">
        <f>SUMPRODUCT(($B$92:$B$232="Garlic")*(AA$92:AA$232="H")*$C$92:$C$232)*$B$19/$J$19*$C$19</f>
        <v/>
      </c>
      <c r="AB384" s="40">
        <f>SUMPRODUCT(($B$92:$B$232="Garlic")*(AB$92:AB$232="H")*$C$92:$C$232)*$B$19/$J$19*$C$19</f>
        <v/>
      </c>
      <c r="AC384" s="40">
        <f>SUMPRODUCT(($B$92:$B$232="Garlic")*(AC$92:AC$232="H")*$C$92:$C$232)*$B$19/$J$19*$C$19</f>
        <v/>
      </c>
      <c r="AD384" s="40">
        <f>SUMPRODUCT(($B$92:$B$232="Garlic")*(AD$92:AD$232="H")*$C$92:$C$232)*$B$19/$J$19*$C$19</f>
        <v/>
      </c>
      <c r="AE384" s="40">
        <f>SUMPRODUCT(($B$92:$B$232="Garlic")*(AE$92:AE$232="H")*$C$92:$C$232)*$B$19/$J$19*$C$19</f>
        <v/>
      </c>
      <c r="AF384" s="40">
        <f>SUMPRODUCT(($B$92:$B$232="Garlic")*(AF$92:AF$232="H")*$C$92:$C$232)*$B$19/$J$19*$C$19</f>
        <v/>
      </c>
      <c r="AG384" s="40">
        <f>SUMPRODUCT(($B$92:$B$232="Garlic")*(AG$92:AG$232="H")*$C$92:$C$232)*$B$19/$J$19*$C$19</f>
        <v/>
      </c>
      <c r="AH384" s="40">
        <f>SUMPRODUCT(($B$92:$B$232="Garlic")*(AH$92:AH$232="H")*$C$92:$C$232)*$B$19/$J$19*$C$19</f>
        <v/>
      </c>
      <c r="AI384" s="40">
        <f>SUMPRODUCT(($B$92:$B$232="Garlic")*(AI$92:AI$232="H")*$C$92:$C$232)*$B$19/$J$19*$C$19</f>
        <v/>
      </c>
      <c r="AJ384" s="40">
        <f>SUMPRODUCT(($B$92:$B$232="Garlic")*(AJ$92:AJ$232="H")*$C$92:$C$232)*$B$19/$J$19*$C$19</f>
        <v/>
      </c>
      <c r="AK384" s="40">
        <f>SUMPRODUCT(($B$92:$B$232="Garlic")*(AK$92:AK$232="H")*$C$92:$C$232)*$B$19/$J$19*$C$19</f>
        <v/>
      </c>
      <c r="AL384" s="40">
        <f>SUMPRODUCT(($B$92:$B$232="Garlic")*(AL$92:AL$232="H")*$C$92:$C$232)*$B$19/$J$19*$C$19</f>
        <v/>
      </c>
      <c r="AM384" s="40">
        <f>SUMPRODUCT(($B$92:$B$232="Garlic")*(AM$92:AM$232="H")*$C$92:$C$232)*$B$19/$J$19*$C$19</f>
        <v/>
      </c>
      <c r="AN384" s="40">
        <f>SUMPRODUCT(($B$92:$B$232="Garlic")*(AN$92:AN$232="H")*$C$92:$C$232)*$B$19/$J$19*$C$19</f>
        <v/>
      </c>
      <c r="AO384" s="40">
        <f>SUMPRODUCT(($B$92:$B$232="Garlic")*(AO$92:AO$232="H")*$C$92:$C$232)*$B$19/$J$19*$C$19</f>
        <v/>
      </c>
      <c r="AP384" s="40">
        <f>SUMPRODUCT(($B$92:$B$232="Garlic")*(AP$92:AP$232="H")*$C$92:$C$232)*$B$19/$J$19*$C$19</f>
        <v/>
      </c>
      <c r="AQ384" s="40">
        <f>SUMPRODUCT(($B$92:$B$232="Garlic")*(AQ$92:AQ$232="H")*$C$92:$C$232)*$B$19/$J$19*$C$19</f>
        <v/>
      </c>
      <c r="AR384" s="40">
        <f>SUMPRODUCT(($B$92:$B$232="Garlic")*(AR$92:AR$232="H")*$C$92:$C$232)*$B$19/$J$19*$C$19</f>
        <v/>
      </c>
      <c r="AS384" s="40">
        <f>SUMPRODUCT(($B$92:$B$232="Garlic")*(AS$92:AS$232="H")*$C$92:$C$232)*$B$19/$J$19*$C$19</f>
        <v/>
      </c>
      <c r="AT384" s="40">
        <f>SUMPRODUCT(($B$92:$B$232="Garlic")*(AT$92:AT$232="H")*$C$92:$C$232)*$B$19/$J$19*$C$19</f>
        <v/>
      </c>
      <c r="AU384" s="40">
        <f>SUMPRODUCT(($B$92:$B$232="Garlic")*(AU$92:AU$232="H")*$C$92:$C$232)*$B$19/$J$19*$C$19</f>
        <v/>
      </c>
      <c r="AV384" s="40">
        <f>SUMPRODUCT(($B$92:$B$232="Garlic")*(AV$92:AV$232="H")*$C$92:$C$232)*$B$19/$J$19*$C$19</f>
        <v/>
      </c>
      <c r="AW384" s="40">
        <f>SUMPRODUCT(($B$92:$B$232="Garlic")*(AW$92:AW$232="H")*$C$92:$C$232)*$B$19/$J$19*$C$19</f>
        <v/>
      </c>
      <c r="AX384" s="40">
        <f>SUMPRODUCT(($B$92:$B$232="Garlic")*(AX$92:AX$232="H")*$C$92:$C$232)*$B$19/$J$19*$C$19</f>
        <v/>
      </c>
      <c r="AY384" s="40">
        <f>SUMPRODUCT(($B$92:$B$232="Garlic")*(AY$92:AY$232="H")*$C$92:$C$232)*$B$19/$J$19*$C$19</f>
        <v/>
      </c>
      <c r="AZ384" s="40">
        <f>SUMPRODUCT(($B$92:$B$232="Garlic")*(AZ$92:AZ$232="H")*$C$92:$C$232)*$B$19/$J$19*$C$19</f>
        <v/>
      </c>
      <c r="BA384" s="40">
        <f>SUMPRODUCT(($B$92:$B$232="Garlic")*(BA$92:BA$232="H")*$C$92:$C$232)*$B$19/$J$19*$C$19</f>
        <v/>
      </c>
      <c r="BB384" s="40">
        <f>SUMPRODUCT(($B$92:$B$232="Garlic")*(BB$92:BB$232="H")*$C$92:$C$232)*$B$19/$J$19*$C$19</f>
        <v/>
      </c>
      <c r="BC384" s="40">
        <f>SUMPRODUCT(($B$92:$B$232="Garlic")*(BC$92:BC$232="H")*$C$92:$C$232)*$B$19/$J$19*$C$19</f>
        <v/>
      </c>
      <c r="BD384" s="40">
        <f>SUMPRODUCT(($B$92:$B$232="Garlic")*(BD$92:BD$232="H")*$C$92:$C$232)*$B$19/$J$19*$C$19</f>
        <v/>
      </c>
    </row>
    <row r="385">
      <c r="A385" s="33" t="inlineStr">
        <is>
          <t>Stock carried in</t>
        </is>
      </c>
      <c r="B385" s="2" t="inlineStr">
        <is>
          <t>lb</t>
        </is>
      </c>
      <c r="E385" s="40" t="n">
        <v>0</v>
      </c>
      <c r="F385" s="40">
        <f>E400</f>
        <v/>
      </c>
      <c r="G385" s="40">
        <f>F400</f>
        <v/>
      </c>
      <c r="H385" s="40">
        <f>G400</f>
        <v/>
      </c>
      <c r="I385" s="40">
        <f>H400</f>
        <v/>
      </c>
      <c r="J385" s="40">
        <f>I400</f>
        <v/>
      </c>
      <c r="K385" s="40">
        <f>J400</f>
        <v/>
      </c>
      <c r="L385" s="40">
        <f>K400</f>
        <v/>
      </c>
      <c r="M385" s="40">
        <f>L400</f>
        <v/>
      </c>
      <c r="N385" s="40">
        <f>M400</f>
        <v/>
      </c>
      <c r="O385" s="40">
        <f>N400</f>
        <v/>
      </c>
      <c r="P385" s="40">
        <f>O400</f>
        <v/>
      </c>
      <c r="Q385" s="40">
        <f>P400</f>
        <v/>
      </c>
      <c r="R385" s="40">
        <f>Q400</f>
        <v/>
      </c>
      <c r="S385" s="40">
        <f>R400</f>
        <v/>
      </c>
      <c r="T385" s="40">
        <f>S400</f>
        <v/>
      </c>
      <c r="U385" s="40">
        <f>T400</f>
        <v/>
      </c>
      <c r="V385" s="40">
        <f>U400</f>
        <v/>
      </c>
      <c r="W385" s="40">
        <f>V400</f>
        <v/>
      </c>
      <c r="X385" s="40">
        <f>W400</f>
        <v/>
      </c>
      <c r="Y385" s="40">
        <f>X400</f>
        <v/>
      </c>
      <c r="Z385" s="40">
        <f>Y400</f>
        <v/>
      </c>
      <c r="AA385" s="40">
        <f>Z400</f>
        <v/>
      </c>
      <c r="AB385" s="40">
        <f>AA400</f>
        <v/>
      </c>
      <c r="AC385" s="40">
        <f>AB400</f>
        <v/>
      </c>
      <c r="AD385" s="40">
        <f>AC400</f>
        <v/>
      </c>
      <c r="AE385" s="40">
        <f>AD400</f>
        <v/>
      </c>
      <c r="AF385" s="40">
        <f>AE400</f>
        <v/>
      </c>
      <c r="AG385" s="40">
        <f>AF400</f>
        <v/>
      </c>
      <c r="AH385" s="40">
        <f>AG400</f>
        <v/>
      </c>
      <c r="AI385" s="40">
        <f>AH400</f>
        <v/>
      </c>
      <c r="AJ385" s="40">
        <f>AI400</f>
        <v/>
      </c>
      <c r="AK385" s="40">
        <f>AJ400</f>
        <v/>
      </c>
      <c r="AL385" s="40">
        <f>AK400</f>
        <v/>
      </c>
      <c r="AM385" s="40">
        <f>AL400</f>
        <v/>
      </c>
      <c r="AN385" s="40">
        <f>AM400</f>
        <v/>
      </c>
      <c r="AO385" s="40">
        <f>AN400</f>
        <v/>
      </c>
      <c r="AP385" s="40">
        <f>AO400</f>
        <v/>
      </c>
      <c r="AQ385" s="40">
        <f>AP400</f>
        <v/>
      </c>
      <c r="AR385" s="40">
        <f>AQ400</f>
        <v/>
      </c>
      <c r="AS385" s="40">
        <f>AR400</f>
        <v/>
      </c>
      <c r="AT385" s="40">
        <f>AS400</f>
        <v/>
      </c>
      <c r="AU385" s="40">
        <f>AT400</f>
        <v/>
      </c>
      <c r="AV385" s="40">
        <f>AU400</f>
        <v/>
      </c>
      <c r="AW385" s="40">
        <f>AV400</f>
        <v/>
      </c>
      <c r="AX385" s="40">
        <f>AW400</f>
        <v/>
      </c>
      <c r="AY385" s="40">
        <f>AX400</f>
        <v/>
      </c>
      <c r="AZ385" s="40">
        <f>AY400</f>
        <v/>
      </c>
      <c r="BA385" s="40">
        <f>AZ400</f>
        <v/>
      </c>
      <c r="BB385" s="40">
        <f>BA400</f>
        <v/>
      </c>
      <c r="BC385" s="40">
        <f>BB400</f>
        <v/>
      </c>
      <c r="BD385" s="40">
        <f>BC400</f>
        <v/>
      </c>
    </row>
    <row r="386">
      <c r="A386" s="33" t="inlineStr">
        <is>
          <t xml:space="preserve">   lost to shrink</t>
        </is>
      </c>
      <c r="B386" s="2" t="inlineStr">
        <is>
          <t>lb</t>
        </is>
      </c>
      <c r="E386" s="40">
        <f>E385*$G$19</f>
        <v/>
      </c>
      <c r="F386" s="40">
        <f>F385*$G$19</f>
        <v/>
      </c>
      <c r="G386" s="40">
        <f>G385*$G$19</f>
        <v/>
      </c>
      <c r="H386" s="40">
        <f>H385*$G$19</f>
        <v/>
      </c>
      <c r="I386" s="40">
        <f>I385*$G$19</f>
        <v/>
      </c>
      <c r="J386" s="40">
        <f>J385*$G$19</f>
        <v/>
      </c>
      <c r="K386" s="40">
        <f>K385*$G$19</f>
        <v/>
      </c>
      <c r="L386" s="40">
        <f>L385*$G$19</f>
        <v/>
      </c>
      <c r="M386" s="40">
        <f>M385*$G$19</f>
        <v/>
      </c>
      <c r="N386" s="40">
        <f>N385*$G$19</f>
        <v/>
      </c>
      <c r="O386" s="40">
        <f>O385*$G$19</f>
        <v/>
      </c>
      <c r="P386" s="40">
        <f>P385*$G$19</f>
        <v/>
      </c>
      <c r="Q386" s="40">
        <f>Q385*$G$19</f>
        <v/>
      </c>
      <c r="R386" s="40">
        <f>R385*$G$19</f>
        <v/>
      </c>
      <c r="S386" s="40">
        <f>S385*$G$19</f>
        <v/>
      </c>
      <c r="T386" s="40">
        <f>T385*$G$19</f>
        <v/>
      </c>
      <c r="U386" s="40">
        <f>U385*$G$19</f>
        <v/>
      </c>
      <c r="V386" s="40">
        <f>V385*$G$19</f>
        <v/>
      </c>
      <c r="W386" s="40">
        <f>W385*$G$19</f>
        <v/>
      </c>
      <c r="X386" s="40">
        <f>X385*$G$19</f>
        <v/>
      </c>
      <c r="Y386" s="40">
        <f>Y385*$G$19</f>
        <v/>
      </c>
      <c r="Z386" s="40">
        <f>Z385*$G$19</f>
        <v/>
      </c>
      <c r="AA386" s="40">
        <f>AA385*$G$19</f>
        <v/>
      </c>
      <c r="AB386" s="40">
        <f>AB385*$G$19</f>
        <v/>
      </c>
      <c r="AC386" s="40">
        <f>AC385*$G$19</f>
        <v/>
      </c>
      <c r="AD386" s="40">
        <f>AD385*$G$19</f>
        <v/>
      </c>
      <c r="AE386" s="40">
        <f>AE385*$G$19</f>
        <v/>
      </c>
      <c r="AF386" s="40">
        <f>AF385*$G$19</f>
        <v/>
      </c>
      <c r="AG386" s="40">
        <f>AG385*$G$19</f>
        <v/>
      </c>
      <c r="AH386" s="40">
        <f>AH385*$G$19</f>
        <v/>
      </c>
      <c r="AI386" s="40">
        <f>AI385*$G$19</f>
        <v/>
      </c>
      <c r="AJ386" s="40">
        <f>AJ385*$G$19</f>
        <v/>
      </c>
      <c r="AK386" s="40">
        <f>AK385*$G$19</f>
        <v/>
      </c>
      <c r="AL386" s="40">
        <f>AL385*$G$19</f>
        <v/>
      </c>
      <c r="AM386" s="40">
        <f>AM385*$G$19</f>
        <v/>
      </c>
      <c r="AN386" s="40">
        <f>AN385*$G$19</f>
        <v/>
      </c>
      <c r="AO386" s="40">
        <f>AO385*$G$19</f>
        <v/>
      </c>
      <c r="AP386" s="40">
        <f>AP385*$G$19</f>
        <v/>
      </c>
      <c r="AQ386" s="40">
        <f>AQ385*$G$19</f>
        <v/>
      </c>
      <c r="AR386" s="40">
        <f>AR385*$G$19</f>
        <v/>
      </c>
      <c r="AS386" s="40">
        <f>AS385*$G$19</f>
        <v/>
      </c>
      <c r="AT386" s="40">
        <f>AT385*$G$19</f>
        <v/>
      </c>
      <c r="AU386" s="40">
        <f>AU385*$G$19</f>
        <v/>
      </c>
      <c r="AV386" s="40">
        <f>AV385*$G$19</f>
        <v/>
      </c>
      <c r="AW386" s="40">
        <f>AW385*$G$19</f>
        <v/>
      </c>
      <c r="AX386" s="40">
        <f>AX385*$G$19</f>
        <v/>
      </c>
      <c r="AY386" s="40">
        <f>AY385*$G$19</f>
        <v/>
      </c>
      <c r="AZ386" s="40">
        <f>AZ385*$G$19</f>
        <v/>
      </c>
      <c r="BA386" s="40">
        <f>BA385*$G$19</f>
        <v/>
      </c>
      <c r="BB386" s="40">
        <f>BB385*$G$19</f>
        <v/>
      </c>
      <c r="BC386" s="40">
        <f>BC385*$G$19</f>
        <v/>
      </c>
      <c r="BD386" s="40">
        <f>BD385*$G$19</f>
        <v/>
      </c>
    </row>
    <row r="387">
      <c r="A387" s="4" t="inlineStr">
        <is>
          <t>In store this week</t>
        </is>
      </c>
      <c r="B387" s="2" t="inlineStr">
        <is>
          <t>lb</t>
        </is>
      </c>
      <c r="E387" s="40">
        <f>E385-E386+E384</f>
        <v/>
      </c>
      <c r="F387" s="40">
        <f>F385-F386+F384</f>
        <v/>
      </c>
      <c r="G387" s="40">
        <f>G385-G386+G384</f>
        <v/>
      </c>
      <c r="H387" s="40">
        <f>H385-H386+H384</f>
        <v/>
      </c>
      <c r="I387" s="40">
        <f>I385-I386+I384</f>
        <v/>
      </c>
      <c r="J387" s="40">
        <f>J385-J386+J384</f>
        <v/>
      </c>
      <c r="K387" s="40">
        <f>K385-K386+K384</f>
        <v/>
      </c>
      <c r="L387" s="40">
        <f>L385-L386+L384</f>
        <v/>
      </c>
      <c r="M387" s="40">
        <f>M385-M386+M384</f>
        <v/>
      </c>
      <c r="N387" s="40">
        <f>N385-N386+N384</f>
        <v/>
      </c>
      <c r="O387" s="40">
        <f>O385-O386+O384</f>
        <v/>
      </c>
      <c r="P387" s="40">
        <f>P385-P386+P384</f>
        <v/>
      </c>
      <c r="Q387" s="40">
        <f>Q385-Q386+Q384</f>
        <v/>
      </c>
      <c r="R387" s="40">
        <f>R385-R386+R384</f>
        <v/>
      </c>
      <c r="S387" s="40">
        <f>S385-S386+S384</f>
        <v/>
      </c>
      <c r="T387" s="40">
        <f>T385-T386+T384</f>
        <v/>
      </c>
      <c r="U387" s="40">
        <f>U385-U386+U384</f>
        <v/>
      </c>
      <c r="V387" s="40">
        <f>V385-V386+V384</f>
        <v/>
      </c>
      <c r="W387" s="40">
        <f>W385-W386+W384</f>
        <v/>
      </c>
      <c r="X387" s="40">
        <f>X385-X386+X384</f>
        <v/>
      </c>
      <c r="Y387" s="40">
        <f>Y385-Y386+Y384</f>
        <v/>
      </c>
      <c r="Z387" s="40">
        <f>Z385-Z386+Z384</f>
        <v/>
      </c>
      <c r="AA387" s="40">
        <f>AA385-AA386+AA384</f>
        <v/>
      </c>
      <c r="AB387" s="40">
        <f>AB385-AB386+AB384</f>
        <v/>
      </c>
      <c r="AC387" s="40">
        <f>AC385-AC386+AC384</f>
        <v/>
      </c>
      <c r="AD387" s="40">
        <f>AD385-AD386+AD384</f>
        <v/>
      </c>
      <c r="AE387" s="40">
        <f>AE385-AE386+AE384</f>
        <v/>
      </c>
      <c r="AF387" s="40">
        <f>AF385-AF386+AF384</f>
        <v/>
      </c>
      <c r="AG387" s="40">
        <f>AG385-AG386+AG384</f>
        <v/>
      </c>
      <c r="AH387" s="40">
        <f>AH385-AH386+AH384</f>
        <v/>
      </c>
      <c r="AI387" s="40">
        <f>AI385-AI386+AI384</f>
        <v/>
      </c>
      <c r="AJ387" s="40">
        <f>AJ385-AJ386+AJ384</f>
        <v/>
      </c>
      <c r="AK387" s="40">
        <f>AK385-AK386+AK384</f>
        <v/>
      </c>
      <c r="AL387" s="40">
        <f>AL385-AL386+AL384</f>
        <v/>
      </c>
      <c r="AM387" s="40">
        <f>AM385-AM386+AM384</f>
        <v/>
      </c>
      <c r="AN387" s="40">
        <f>AN385-AN386+AN384</f>
        <v/>
      </c>
      <c r="AO387" s="40">
        <f>AO385-AO386+AO384</f>
        <v/>
      </c>
      <c r="AP387" s="40">
        <f>AP385-AP386+AP384</f>
        <v/>
      </c>
      <c r="AQ387" s="40">
        <f>AQ385-AQ386+AQ384</f>
        <v/>
      </c>
      <c r="AR387" s="40">
        <f>AR385-AR386+AR384</f>
        <v/>
      </c>
      <c r="AS387" s="40">
        <f>AS385-AS386+AS384</f>
        <v/>
      </c>
      <c r="AT387" s="40">
        <f>AT385-AT386+AT384</f>
        <v/>
      </c>
      <c r="AU387" s="40">
        <f>AU385-AU386+AU384</f>
        <v/>
      </c>
      <c r="AV387" s="40">
        <f>AV385-AV386+AV384</f>
        <v/>
      </c>
      <c r="AW387" s="40">
        <f>AW385-AW386+AW384</f>
        <v/>
      </c>
      <c r="AX387" s="40">
        <f>AX385-AX386+AX384</f>
        <v/>
      </c>
      <c r="AY387" s="40">
        <f>AY385-AY386+AY384</f>
        <v/>
      </c>
      <c r="AZ387" s="40">
        <f>AZ385-AZ386+AZ384</f>
        <v/>
      </c>
      <c r="BA387" s="40">
        <f>BA385-BA386+BA384</f>
        <v/>
      </c>
      <c r="BB387" s="40">
        <f>BB385-BB386+BB384</f>
        <v/>
      </c>
      <c r="BC387" s="40">
        <f>BC385-BC386+BC384</f>
        <v/>
      </c>
      <c r="BD387" s="40">
        <f>BD385-BD386+BD384</f>
        <v/>
      </c>
    </row>
    <row r="388">
      <c r="A388" s="43" t="inlineStr">
        <is>
          <t>Farmers Market — most you may sell this week</t>
        </is>
      </c>
      <c r="B388" s="2" t="inlineStr">
        <is>
          <t>lb</t>
        </is>
      </c>
      <c r="E388" s="42">
        <f>IF($C$40="Annual",$D$40-0,IF(AND(1&gt;=$E$40,1&lt;=$F$40),$D$40,0))</f>
        <v/>
      </c>
      <c r="F388" s="42">
        <f>IF($C$40="Annual",$D$40-SUM(E390:E390),IF(AND(2&gt;=$E$40,2&lt;=$F$40),$D$40,0))</f>
        <v/>
      </c>
      <c r="G388" s="42">
        <f>IF($C$40="Annual",$D$40-SUM(E390:F390),IF(AND(3&gt;=$E$40,3&lt;=$F$40),$D$40,0))</f>
        <v/>
      </c>
      <c r="H388" s="42">
        <f>IF($C$40="Annual",$D$40-SUM(E390:G390),IF(AND(4&gt;=$E$40,4&lt;=$F$40),$D$40,0))</f>
        <v/>
      </c>
      <c r="I388" s="42">
        <f>IF($C$40="Annual",$D$40-SUM(E390:H390),IF(AND(5&gt;=$E$40,5&lt;=$F$40),$D$40,0))</f>
        <v/>
      </c>
      <c r="J388" s="42">
        <f>IF($C$40="Annual",$D$40-SUM(E390:I390),IF(AND(6&gt;=$E$40,6&lt;=$F$40),$D$40,0))</f>
        <v/>
      </c>
      <c r="K388" s="42">
        <f>IF($C$40="Annual",$D$40-SUM(E390:J390),IF(AND(7&gt;=$E$40,7&lt;=$F$40),$D$40,0))</f>
        <v/>
      </c>
      <c r="L388" s="42">
        <f>IF($C$40="Annual",$D$40-SUM(E390:K390),IF(AND(8&gt;=$E$40,8&lt;=$F$40),$D$40,0))</f>
        <v/>
      </c>
      <c r="M388" s="42">
        <f>IF($C$40="Annual",$D$40-SUM(E390:L390),IF(AND(9&gt;=$E$40,9&lt;=$F$40),$D$40,0))</f>
        <v/>
      </c>
      <c r="N388" s="42">
        <f>IF($C$40="Annual",$D$40-SUM(E390:M390),IF(AND(10&gt;=$E$40,10&lt;=$F$40),$D$40,0))</f>
        <v/>
      </c>
      <c r="O388" s="42">
        <f>IF($C$40="Annual",$D$40-SUM(E390:N390),IF(AND(11&gt;=$E$40,11&lt;=$F$40),$D$40,0))</f>
        <v/>
      </c>
      <c r="P388" s="42">
        <f>IF($C$40="Annual",$D$40-SUM(E390:O390),IF(AND(12&gt;=$E$40,12&lt;=$F$40),$D$40,0))</f>
        <v/>
      </c>
      <c r="Q388" s="42">
        <f>IF($C$40="Annual",$D$40-SUM(E390:P390),IF(AND(13&gt;=$E$40,13&lt;=$F$40),$D$40,0))</f>
        <v/>
      </c>
      <c r="R388" s="42">
        <f>IF($C$40="Annual",$D$40-SUM(E390:Q390),IF(AND(14&gt;=$E$40,14&lt;=$F$40),$D$40,0))</f>
        <v/>
      </c>
      <c r="S388" s="42">
        <f>IF($C$40="Annual",$D$40-SUM(E390:R390),IF(AND(15&gt;=$E$40,15&lt;=$F$40),$D$40,0))</f>
        <v/>
      </c>
      <c r="T388" s="42">
        <f>IF($C$40="Annual",$D$40-SUM(E390:S390),IF(AND(16&gt;=$E$40,16&lt;=$F$40),$D$40,0))</f>
        <v/>
      </c>
      <c r="U388" s="42">
        <f>IF($C$40="Annual",$D$40-SUM(E390:T390),IF(AND(17&gt;=$E$40,17&lt;=$F$40),$D$40,0))</f>
        <v/>
      </c>
      <c r="V388" s="42">
        <f>IF($C$40="Annual",$D$40-SUM(E390:U390),IF(AND(18&gt;=$E$40,18&lt;=$F$40),$D$40,0))</f>
        <v/>
      </c>
      <c r="W388" s="42">
        <f>IF($C$40="Annual",$D$40-SUM(E390:V390),IF(AND(19&gt;=$E$40,19&lt;=$F$40),$D$40,0))</f>
        <v/>
      </c>
      <c r="X388" s="42">
        <f>IF($C$40="Annual",$D$40-SUM(E390:W390),IF(AND(20&gt;=$E$40,20&lt;=$F$40),$D$40,0))</f>
        <v/>
      </c>
      <c r="Y388" s="42">
        <f>IF($C$40="Annual",$D$40-SUM(E390:X390),IF(AND(21&gt;=$E$40,21&lt;=$F$40),$D$40,0))</f>
        <v/>
      </c>
      <c r="Z388" s="42">
        <f>IF($C$40="Annual",$D$40-SUM(E390:Y390),IF(AND(22&gt;=$E$40,22&lt;=$F$40),$D$40,0))</f>
        <v/>
      </c>
      <c r="AA388" s="42">
        <f>IF($C$40="Annual",$D$40-SUM(E390:Z390),IF(AND(23&gt;=$E$40,23&lt;=$F$40),$D$40,0))</f>
        <v/>
      </c>
      <c r="AB388" s="42">
        <f>IF($C$40="Annual",$D$40-SUM(E390:AA390),IF(AND(24&gt;=$E$40,24&lt;=$F$40),$D$40,0))</f>
        <v/>
      </c>
      <c r="AC388" s="42">
        <f>IF($C$40="Annual",$D$40-SUM(E390:AB390),IF(AND(25&gt;=$E$40,25&lt;=$F$40),$D$40,0))</f>
        <v/>
      </c>
      <c r="AD388" s="42">
        <f>IF($C$40="Annual",$D$40-SUM(E390:AC390),IF(AND(26&gt;=$E$40,26&lt;=$F$40),$D$40,0))</f>
        <v/>
      </c>
      <c r="AE388" s="42">
        <f>IF($C$40="Annual",$D$40-SUM(E390:AD390),IF(AND(27&gt;=$E$40,27&lt;=$F$40),$D$40,0))</f>
        <v/>
      </c>
      <c r="AF388" s="42">
        <f>IF($C$40="Annual",$D$40-SUM(E390:AE390),IF(AND(28&gt;=$E$40,28&lt;=$F$40),$D$40,0))</f>
        <v/>
      </c>
      <c r="AG388" s="42">
        <f>IF($C$40="Annual",$D$40-SUM(E390:AF390),IF(AND(29&gt;=$E$40,29&lt;=$F$40),$D$40,0))</f>
        <v/>
      </c>
      <c r="AH388" s="42">
        <f>IF($C$40="Annual",$D$40-SUM(E390:AG390),IF(AND(30&gt;=$E$40,30&lt;=$F$40),$D$40,0))</f>
        <v/>
      </c>
      <c r="AI388" s="42">
        <f>IF($C$40="Annual",$D$40-SUM(E390:AH390),IF(AND(31&gt;=$E$40,31&lt;=$F$40),$D$40,0))</f>
        <v/>
      </c>
      <c r="AJ388" s="42">
        <f>IF($C$40="Annual",$D$40-SUM(E390:AI390),IF(AND(32&gt;=$E$40,32&lt;=$F$40),$D$40,0))</f>
        <v/>
      </c>
      <c r="AK388" s="42">
        <f>IF($C$40="Annual",$D$40-SUM(E390:AJ390),IF(AND(33&gt;=$E$40,33&lt;=$F$40),$D$40,0))</f>
        <v/>
      </c>
      <c r="AL388" s="42">
        <f>IF($C$40="Annual",$D$40-SUM(E390:AK390),IF(AND(34&gt;=$E$40,34&lt;=$F$40),$D$40,0))</f>
        <v/>
      </c>
      <c r="AM388" s="42">
        <f>IF($C$40="Annual",$D$40-SUM(E390:AL390),IF(AND(35&gt;=$E$40,35&lt;=$F$40),$D$40,0))</f>
        <v/>
      </c>
      <c r="AN388" s="42">
        <f>IF($C$40="Annual",$D$40-SUM(E390:AM390),IF(AND(36&gt;=$E$40,36&lt;=$F$40),$D$40,0))</f>
        <v/>
      </c>
      <c r="AO388" s="42">
        <f>IF($C$40="Annual",$D$40-SUM(E390:AN390),IF(AND(37&gt;=$E$40,37&lt;=$F$40),$D$40,0))</f>
        <v/>
      </c>
      <c r="AP388" s="42">
        <f>IF($C$40="Annual",$D$40-SUM(E390:AO390),IF(AND(38&gt;=$E$40,38&lt;=$F$40),$D$40,0))</f>
        <v/>
      </c>
      <c r="AQ388" s="42">
        <f>IF($C$40="Annual",$D$40-SUM(E390:AP390),IF(AND(39&gt;=$E$40,39&lt;=$F$40),$D$40,0))</f>
        <v/>
      </c>
      <c r="AR388" s="42">
        <f>IF($C$40="Annual",$D$40-SUM(E390:AQ390),IF(AND(40&gt;=$E$40,40&lt;=$F$40),$D$40,0))</f>
        <v/>
      </c>
      <c r="AS388" s="42">
        <f>IF($C$40="Annual",$D$40-SUM(E390:AR390),IF(AND(41&gt;=$E$40,41&lt;=$F$40),$D$40,0))</f>
        <v/>
      </c>
      <c r="AT388" s="42">
        <f>IF($C$40="Annual",$D$40-SUM(E390:AS390),IF(AND(42&gt;=$E$40,42&lt;=$F$40),$D$40,0))</f>
        <v/>
      </c>
      <c r="AU388" s="42">
        <f>IF($C$40="Annual",$D$40-SUM(E390:AT390),IF(AND(43&gt;=$E$40,43&lt;=$F$40),$D$40,0))</f>
        <v/>
      </c>
      <c r="AV388" s="42">
        <f>IF($C$40="Annual",$D$40-SUM(E390:AU390),IF(AND(44&gt;=$E$40,44&lt;=$F$40),$D$40,0))</f>
        <v/>
      </c>
      <c r="AW388" s="42">
        <f>IF($C$40="Annual",$D$40-SUM(E390:AV390),IF(AND(45&gt;=$E$40,45&lt;=$F$40),$D$40,0))</f>
        <v/>
      </c>
      <c r="AX388" s="42">
        <f>IF($C$40="Annual",$D$40-SUM(E390:AW390),IF(AND(46&gt;=$E$40,46&lt;=$F$40),$D$40,0))</f>
        <v/>
      </c>
      <c r="AY388" s="42">
        <f>IF($C$40="Annual",$D$40-SUM(E390:AX390),IF(AND(47&gt;=$E$40,47&lt;=$F$40),$D$40,0))</f>
        <v/>
      </c>
      <c r="AZ388" s="42">
        <f>IF($C$40="Annual",$D$40-SUM(E390:AY390),IF(AND(48&gt;=$E$40,48&lt;=$F$40),$D$40,0))</f>
        <v/>
      </c>
      <c r="BA388" s="42">
        <f>IF($C$40="Annual",$D$40-SUM(E390:AZ390),IF(AND(49&gt;=$E$40,49&lt;=$F$40),$D$40,0))</f>
        <v/>
      </c>
      <c r="BB388" s="42">
        <f>IF($C$40="Annual",$D$40-SUM(E390:BA390),IF(AND(50&gt;=$E$40,50&lt;=$F$40),$D$40,0))</f>
        <v/>
      </c>
      <c r="BC388" s="42">
        <f>IF($C$40="Annual",$D$40-SUM(E390:BB390),IF(AND(51&gt;=$E$40,51&lt;=$F$40),$D$40,0))</f>
        <v/>
      </c>
      <c r="BD388" s="42">
        <f>IF($C$40="Annual",$D$40-SUM(E390:BC390),IF(AND(52&gt;=$E$40,52&lt;=$F$40),$D$40,0))</f>
        <v/>
      </c>
    </row>
    <row r="389">
      <c r="A389" s="32" t="inlineStr">
        <is>
          <t>Farmers Market — OFFERED</t>
        </is>
      </c>
      <c r="B389" s="2" t="inlineStr">
        <is>
          <t>lb  &lt;-- SOLVER</t>
        </is>
      </c>
      <c r="E389" s="39" t="n">
        <v>0</v>
      </c>
      <c r="F389" s="39" t="n">
        <v>0</v>
      </c>
      <c r="G389" s="39" t="n">
        <v>0</v>
      </c>
      <c r="H389" s="39" t="n">
        <v>0</v>
      </c>
      <c r="I389" s="39" t="n">
        <v>0</v>
      </c>
      <c r="J389" s="39" t="n">
        <v>0</v>
      </c>
      <c r="K389" s="39" t="n">
        <v>0</v>
      </c>
      <c r="L389" s="39" t="n">
        <v>0</v>
      </c>
      <c r="M389" s="39" t="n">
        <v>0</v>
      </c>
      <c r="N389" s="39" t="n">
        <v>0</v>
      </c>
      <c r="O389" s="39" t="n">
        <v>0</v>
      </c>
      <c r="P389" s="39" t="n">
        <v>0</v>
      </c>
      <c r="Q389" s="39" t="n">
        <v>0</v>
      </c>
      <c r="R389" s="39" t="n">
        <v>0</v>
      </c>
      <c r="S389" s="39" t="n">
        <v>0</v>
      </c>
      <c r="T389" s="39" t="n">
        <v>0</v>
      </c>
      <c r="U389" s="39" t="n">
        <v>0</v>
      </c>
      <c r="V389" s="39" t="n">
        <v>0</v>
      </c>
      <c r="W389" s="39" t="n">
        <v>0</v>
      </c>
      <c r="X389" s="39" t="n">
        <v>0</v>
      </c>
      <c r="Y389" s="39" t="n">
        <v>0</v>
      </c>
      <c r="Z389" s="39" t="n">
        <v>0</v>
      </c>
      <c r="AA389" s="39" t="n">
        <v>0</v>
      </c>
      <c r="AB389" s="39" t="n">
        <v>0</v>
      </c>
      <c r="AC389" s="39" t="n">
        <v>0</v>
      </c>
      <c r="AD389" s="39" t="n">
        <v>0</v>
      </c>
      <c r="AE389" s="39" t="n">
        <v>0</v>
      </c>
      <c r="AF389" s="39" t="n">
        <v>0</v>
      </c>
      <c r="AG389" s="39" t="n">
        <v>0</v>
      </c>
      <c r="AH389" s="39" t="n">
        <v>0</v>
      </c>
      <c r="AI389" s="39" t="n">
        <v>0</v>
      </c>
      <c r="AJ389" s="39" t="n">
        <v>0</v>
      </c>
      <c r="AK389" s="39" t="n">
        <v>0</v>
      </c>
      <c r="AL389" s="39" t="n">
        <v>0</v>
      </c>
      <c r="AM389" s="39" t="n">
        <v>0</v>
      </c>
      <c r="AN389" s="39" t="n">
        <v>0</v>
      </c>
      <c r="AO389" s="39" t="n">
        <v>0</v>
      </c>
      <c r="AP389" s="39" t="n">
        <v>0</v>
      </c>
      <c r="AQ389" s="39" t="n">
        <v>0</v>
      </c>
      <c r="AR389" s="39" t="n">
        <v>0</v>
      </c>
      <c r="AS389" s="39" t="n">
        <v>0</v>
      </c>
      <c r="AT389" s="39" t="n">
        <v>0</v>
      </c>
      <c r="AU389" s="39" t="n">
        <v>0</v>
      </c>
      <c r="AV389" s="39" t="n">
        <v>0</v>
      </c>
      <c r="AW389" s="39" t="n">
        <v>0</v>
      </c>
      <c r="AX389" s="39" t="n">
        <v>0</v>
      </c>
      <c r="AY389" s="39" t="n">
        <v>0</v>
      </c>
      <c r="AZ389" s="39" t="n">
        <v>0</v>
      </c>
      <c r="BA389" s="39" t="n">
        <v>0</v>
      </c>
      <c r="BB389" s="39" t="n">
        <v>0</v>
      </c>
      <c r="BC389" s="39" t="n">
        <v>0</v>
      </c>
      <c r="BD389" s="39" t="n">
        <v>0</v>
      </c>
    </row>
    <row r="390">
      <c r="A390" s="54" t="inlineStr">
        <is>
          <t>Farmers Market — SOLD</t>
        </is>
      </c>
      <c r="B390" s="2" t="inlineStr">
        <is>
          <t>lb</t>
        </is>
      </c>
      <c r="E390" s="55">
        <f>E389*$G$40</f>
        <v/>
      </c>
      <c r="F390" s="55">
        <f>F389*$G$40</f>
        <v/>
      </c>
      <c r="G390" s="55">
        <f>G389*$G$40</f>
        <v/>
      </c>
      <c r="H390" s="55">
        <f>H389*$G$40</f>
        <v/>
      </c>
      <c r="I390" s="55">
        <f>I389*$G$40</f>
        <v/>
      </c>
      <c r="J390" s="55">
        <f>J389*$G$40</f>
        <v/>
      </c>
      <c r="K390" s="55">
        <f>K389*$G$40</f>
        <v/>
      </c>
      <c r="L390" s="55">
        <f>L389*$G$40</f>
        <v/>
      </c>
      <c r="M390" s="55">
        <f>M389*$G$40</f>
        <v/>
      </c>
      <c r="N390" s="55">
        <f>N389*$G$40</f>
        <v/>
      </c>
      <c r="O390" s="55">
        <f>O389*$G$40</f>
        <v/>
      </c>
      <c r="P390" s="55">
        <f>P389*$G$40</f>
        <v/>
      </c>
      <c r="Q390" s="55">
        <f>Q389*$G$40</f>
        <v/>
      </c>
      <c r="R390" s="55">
        <f>R389*$G$40</f>
        <v/>
      </c>
      <c r="S390" s="55">
        <f>S389*$G$40</f>
        <v/>
      </c>
      <c r="T390" s="55">
        <f>T389*$G$40</f>
        <v/>
      </c>
      <c r="U390" s="55">
        <f>U389*$G$40</f>
        <v/>
      </c>
      <c r="V390" s="55">
        <f>V389*$G$40</f>
        <v/>
      </c>
      <c r="W390" s="55">
        <f>W389*$G$40</f>
        <v/>
      </c>
      <c r="X390" s="55">
        <f>X389*$G$40</f>
        <v/>
      </c>
      <c r="Y390" s="55">
        <f>Y389*$G$40</f>
        <v/>
      </c>
      <c r="Z390" s="55">
        <f>Z389*$G$40</f>
        <v/>
      </c>
      <c r="AA390" s="55">
        <f>AA389*$G$40</f>
        <v/>
      </c>
      <c r="AB390" s="55">
        <f>AB389*$G$40</f>
        <v/>
      </c>
      <c r="AC390" s="55">
        <f>AC389*$G$40</f>
        <v/>
      </c>
      <c r="AD390" s="55">
        <f>AD389*$G$40</f>
        <v/>
      </c>
      <c r="AE390" s="55">
        <f>AE389*$G$40</f>
        <v/>
      </c>
      <c r="AF390" s="55">
        <f>AF389*$G$40</f>
        <v/>
      </c>
      <c r="AG390" s="55">
        <f>AG389*$G$40</f>
        <v/>
      </c>
      <c r="AH390" s="55">
        <f>AH389*$G$40</f>
        <v/>
      </c>
      <c r="AI390" s="55">
        <f>AI389*$G$40</f>
        <v/>
      </c>
      <c r="AJ390" s="55">
        <f>AJ389*$G$40</f>
        <v/>
      </c>
      <c r="AK390" s="55">
        <f>AK389*$G$40</f>
        <v/>
      </c>
      <c r="AL390" s="55">
        <f>AL389*$G$40</f>
        <v/>
      </c>
      <c r="AM390" s="55">
        <f>AM389*$G$40</f>
        <v/>
      </c>
      <c r="AN390" s="55">
        <f>AN389*$G$40</f>
        <v/>
      </c>
      <c r="AO390" s="55">
        <f>AO389*$G$40</f>
        <v/>
      </c>
      <c r="AP390" s="55">
        <f>AP389*$G$40</f>
        <v/>
      </c>
      <c r="AQ390" s="55">
        <f>AQ389*$G$40</f>
        <v/>
      </c>
      <c r="AR390" s="55">
        <f>AR389*$G$40</f>
        <v/>
      </c>
      <c r="AS390" s="55">
        <f>AS389*$G$40</f>
        <v/>
      </c>
      <c r="AT390" s="55">
        <f>AT389*$G$40</f>
        <v/>
      </c>
      <c r="AU390" s="55">
        <f>AU389*$G$40</f>
        <v/>
      </c>
      <c r="AV390" s="55">
        <f>AV389*$G$40</f>
        <v/>
      </c>
      <c r="AW390" s="55">
        <f>AW389*$G$40</f>
        <v/>
      </c>
      <c r="AX390" s="55">
        <f>AX389*$G$40</f>
        <v/>
      </c>
      <c r="AY390" s="55">
        <f>AY389*$G$40</f>
        <v/>
      </c>
      <c r="AZ390" s="55">
        <f>AZ389*$G$40</f>
        <v/>
      </c>
      <c r="BA390" s="55">
        <f>BA389*$G$40</f>
        <v/>
      </c>
      <c r="BB390" s="55">
        <f>BB389*$G$40</f>
        <v/>
      </c>
      <c r="BC390" s="55">
        <f>BC389*$G$40</f>
        <v/>
      </c>
      <c r="BD390" s="55">
        <f>BD389*$G$40</f>
        <v/>
      </c>
    </row>
    <row r="391">
      <c r="A391" s="33" t="inlineStr">
        <is>
          <t xml:space="preserve">   market loss (gone)</t>
        </is>
      </c>
      <c r="B391" s="2" t="inlineStr">
        <is>
          <t>lb</t>
        </is>
      </c>
      <c r="E391" s="40">
        <f>(E389-E390)*(1-$H$40)</f>
        <v/>
      </c>
      <c r="F391" s="40">
        <f>(F389-F390)*(1-$H$40)</f>
        <v/>
      </c>
      <c r="G391" s="40">
        <f>(G389-G390)*(1-$H$40)</f>
        <v/>
      </c>
      <c r="H391" s="40">
        <f>(H389-H390)*(1-$H$40)</f>
        <v/>
      </c>
      <c r="I391" s="40">
        <f>(I389-I390)*(1-$H$40)</f>
        <v/>
      </c>
      <c r="J391" s="40">
        <f>(J389-J390)*(1-$H$40)</f>
        <v/>
      </c>
      <c r="K391" s="40">
        <f>(K389-K390)*(1-$H$40)</f>
        <v/>
      </c>
      <c r="L391" s="40">
        <f>(L389-L390)*(1-$H$40)</f>
        <v/>
      </c>
      <c r="M391" s="40">
        <f>(M389-M390)*(1-$H$40)</f>
        <v/>
      </c>
      <c r="N391" s="40">
        <f>(N389-N390)*(1-$H$40)</f>
        <v/>
      </c>
      <c r="O391" s="40">
        <f>(O389-O390)*(1-$H$40)</f>
        <v/>
      </c>
      <c r="P391" s="40">
        <f>(P389-P390)*(1-$H$40)</f>
        <v/>
      </c>
      <c r="Q391" s="40">
        <f>(Q389-Q390)*(1-$H$40)</f>
        <v/>
      </c>
      <c r="R391" s="40">
        <f>(R389-R390)*(1-$H$40)</f>
        <v/>
      </c>
      <c r="S391" s="40">
        <f>(S389-S390)*(1-$H$40)</f>
        <v/>
      </c>
      <c r="T391" s="40">
        <f>(T389-T390)*(1-$H$40)</f>
        <v/>
      </c>
      <c r="U391" s="40">
        <f>(U389-U390)*(1-$H$40)</f>
        <v/>
      </c>
      <c r="V391" s="40">
        <f>(V389-V390)*(1-$H$40)</f>
        <v/>
      </c>
      <c r="W391" s="40">
        <f>(W389-W390)*(1-$H$40)</f>
        <v/>
      </c>
      <c r="X391" s="40">
        <f>(X389-X390)*(1-$H$40)</f>
        <v/>
      </c>
      <c r="Y391" s="40">
        <f>(Y389-Y390)*(1-$H$40)</f>
        <v/>
      </c>
      <c r="Z391" s="40">
        <f>(Z389-Z390)*(1-$H$40)</f>
        <v/>
      </c>
      <c r="AA391" s="40">
        <f>(AA389-AA390)*(1-$H$40)</f>
        <v/>
      </c>
      <c r="AB391" s="40">
        <f>(AB389-AB390)*(1-$H$40)</f>
        <v/>
      </c>
      <c r="AC391" s="40">
        <f>(AC389-AC390)*(1-$H$40)</f>
        <v/>
      </c>
      <c r="AD391" s="40">
        <f>(AD389-AD390)*(1-$H$40)</f>
        <v/>
      </c>
      <c r="AE391" s="40">
        <f>(AE389-AE390)*(1-$H$40)</f>
        <v/>
      </c>
      <c r="AF391" s="40">
        <f>(AF389-AF390)*(1-$H$40)</f>
        <v/>
      </c>
      <c r="AG391" s="40">
        <f>(AG389-AG390)*(1-$H$40)</f>
        <v/>
      </c>
      <c r="AH391" s="40">
        <f>(AH389-AH390)*(1-$H$40)</f>
        <v/>
      </c>
      <c r="AI391" s="40">
        <f>(AI389-AI390)*(1-$H$40)</f>
        <v/>
      </c>
      <c r="AJ391" s="40">
        <f>(AJ389-AJ390)*(1-$H$40)</f>
        <v/>
      </c>
      <c r="AK391" s="40">
        <f>(AK389-AK390)*(1-$H$40)</f>
        <v/>
      </c>
      <c r="AL391" s="40">
        <f>(AL389-AL390)*(1-$H$40)</f>
        <v/>
      </c>
      <c r="AM391" s="40">
        <f>(AM389-AM390)*(1-$H$40)</f>
        <v/>
      </c>
      <c r="AN391" s="40">
        <f>(AN389-AN390)*(1-$H$40)</f>
        <v/>
      </c>
      <c r="AO391" s="40">
        <f>(AO389-AO390)*(1-$H$40)</f>
        <v/>
      </c>
      <c r="AP391" s="40">
        <f>(AP389-AP390)*(1-$H$40)</f>
        <v/>
      </c>
      <c r="AQ391" s="40">
        <f>(AQ389-AQ390)*(1-$H$40)</f>
        <v/>
      </c>
      <c r="AR391" s="40">
        <f>(AR389-AR390)*(1-$H$40)</f>
        <v/>
      </c>
      <c r="AS391" s="40">
        <f>(AS389-AS390)*(1-$H$40)</f>
        <v/>
      </c>
      <c r="AT391" s="40">
        <f>(AT389-AT390)*(1-$H$40)</f>
        <v/>
      </c>
      <c r="AU391" s="40">
        <f>(AU389-AU390)*(1-$H$40)</f>
        <v/>
      </c>
      <c r="AV391" s="40">
        <f>(AV389-AV390)*(1-$H$40)</f>
        <v/>
      </c>
      <c r="AW391" s="40">
        <f>(AW389-AW390)*(1-$H$40)</f>
        <v/>
      </c>
      <c r="AX391" s="40">
        <f>(AX389-AX390)*(1-$H$40)</f>
        <v/>
      </c>
      <c r="AY391" s="40">
        <f>(AY389-AY390)*(1-$H$40)</f>
        <v/>
      </c>
      <c r="AZ391" s="40">
        <f>(AZ389-AZ390)*(1-$H$40)</f>
        <v/>
      </c>
      <c r="BA391" s="40">
        <f>(BA389-BA390)*(1-$H$40)</f>
        <v/>
      </c>
      <c r="BB391" s="40">
        <f>(BB389-BB390)*(1-$H$40)</f>
        <v/>
      </c>
      <c r="BC391" s="40">
        <f>(BC389-BC390)*(1-$H$40)</f>
        <v/>
      </c>
      <c r="BD391" s="40">
        <f>(BD389-BD390)*(1-$H$40)</f>
        <v/>
      </c>
    </row>
    <row r="392">
      <c r="A392" s="33" t="inlineStr">
        <is>
          <t xml:space="preserve">   returned to store</t>
        </is>
      </c>
      <c r="B392" s="2" t="inlineStr">
        <is>
          <t>lb</t>
        </is>
      </c>
      <c r="E392" s="40">
        <f>(E389-E390)*$H$40</f>
        <v/>
      </c>
      <c r="F392" s="40">
        <f>(F389-F390)*$H$40</f>
        <v/>
      </c>
      <c r="G392" s="40">
        <f>(G389-G390)*$H$40</f>
        <v/>
      </c>
      <c r="H392" s="40">
        <f>(H389-H390)*$H$40</f>
        <v/>
      </c>
      <c r="I392" s="40">
        <f>(I389-I390)*$H$40</f>
        <v/>
      </c>
      <c r="J392" s="40">
        <f>(J389-J390)*$H$40</f>
        <v/>
      </c>
      <c r="K392" s="40">
        <f>(K389-K390)*$H$40</f>
        <v/>
      </c>
      <c r="L392" s="40">
        <f>(L389-L390)*$H$40</f>
        <v/>
      </c>
      <c r="M392" s="40">
        <f>(M389-M390)*$H$40</f>
        <v/>
      </c>
      <c r="N392" s="40">
        <f>(N389-N390)*$H$40</f>
        <v/>
      </c>
      <c r="O392" s="40">
        <f>(O389-O390)*$H$40</f>
        <v/>
      </c>
      <c r="P392" s="40">
        <f>(P389-P390)*$H$40</f>
        <v/>
      </c>
      <c r="Q392" s="40">
        <f>(Q389-Q390)*$H$40</f>
        <v/>
      </c>
      <c r="R392" s="40">
        <f>(R389-R390)*$H$40</f>
        <v/>
      </c>
      <c r="S392" s="40">
        <f>(S389-S390)*$H$40</f>
        <v/>
      </c>
      <c r="T392" s="40">
        <f>(T389-T390)*$H$40</f>
        <v/>
      </c>
      <c r="U392" s="40">
        <f>(U389-U390)*$H$40</f>
        <v/>
      </c>
      <c r="V392" s="40">
        <f>(V389-V390)*$H$40</f>
        <v/>
      </c>
      <c r="W392" s="40">
        <f>(W389-W390)*$H$40</f>
        <v/>
      </c>
      <c r="X392" s="40">
        <f>(X389-X390)*$H$40</f>
        <v/>
      </c>
      <c r="Y392" s="40">
        <f>(Y389-Y390)*$H$40</f>
        <v/>
      </c>
      <c r="Z392" s="40">
        <f>(Z389-Z390)*$H$40</f>
        <v/>
      </c>
      <c r="AA392" s="40">
        <f>(AA389-AA390)*$H$40</f>
        <v/>
      </c>
      <c r="AB392" s="40">
        <f>(AB389-AB390)*$H$40</f>
        <v/>
      </c>
      <c r="AC392" s="40">
        <f>(AC389-AC390)*$H$40</f>
        <v/>
      </c>
      <c r="AD392" s="40">
        <f>(AD389-AD390)*$H$40</f>
        <v/>
      </c>
      <c r="AE392" s="40">
        <f>(AE389-AE390)*$H$40</f>
        <v/>
      </c>
      <c r="AF392" s="40">
        <f>(AF389-AF390)*$H$40</f>
        <v/>
      </c>
      <c r="AG392" s="40">
        <f>(AG389-AG390)*$H$40</f>
        <v/>
      </c>
      <c r="AH392" s="40">
        <f>(AH389-AH390)*$H$40</f>
        <v/>
      </c>
      <c r="AI392" s="40">
        <f>(AI389-AI390)*$H$40</f>
        <v/>
      </c>
      <c r="AJ392" s="40">
        <f>(AJ389-AJ390)*$H$40</f>
        <v/>
      </c>
      <c r="AK392" s="40">
        <f>(AK389-AK390)*$H$40</f>
        <v/>
      </c>
      <c r="AL392" s="40">
        <f>(AL389-AL390)*$H$40</f>
        <v/>
      </c>
      <c r="AM392" s="40">
        <f>(AM389-AM390)*$H$40</f>
        <v/>
      </c>
      <c r="AN392" s="40">
        <f>(AN389-AN390)*$H$40</f>
        <v/>
      </c>
      <c r="AO392" s="40">
        <f>(AO389-AO390)*$H$40</f>
        <v/>
      </c>
      <c r="AP392" s="40">
        <f>(AP389-AP390)*$H$40</f>
        <v/>
      </c>
      <c r="AQ392" s="40">
        <f>(AQ389-AQ390)*$H$40</f>
        <v/>
      </c>
      <c r="AR392" s="40">
        <f>(AR389-AR390)*$H$40</f>
        <v/>
      </c>
      <c r="AS392" s="40">
        <f>(AS389-AS390)*$H$40</f>
        <v/>
      </c>
      <c r="AT392" s="40">
        <f>(AT389-AT390)*$H$40</f>
        <v/>
      </c>
      <c r="AU392" s="40">
        <f>(AU389-AU390)*$H$40</f>
        <v/>
      </c>
      <c r="AV392" s="40">
        <f>(AV389-AV390)*$H$40</f>
        <v/>
      </c>
      <c r="AW392" s="40">
        <f>(AW389-AW390)*$H$40</f>
        <v/>
      </c>
      <c r="AX392" s="40">
        <f>(AX389-AX390)*$H$40</f>
        <v/>
      </c>
      <c r="AY392" s="40">
        <f>(AY389-AY390)*$H$40</f>
        <v/>
      </c>
      <c r="AZ392" s="40">
        <f>(AZ389-AZ390)*$H$40</f>
        <v/>
      </c>
      <c r="BA392" s="40">
        <f>(BA389-BA390)*$H$40</f>
        <v/>
      </c>
      <c r="BB392" s="40">
        <f>(BB389-BB390)*$H$40</f>
        <v/>
      </c>
      <c r="BC392" s="40">
        <f>(BC389-BC390)*$H$40</f>
        <v/>
      </c>
      <c r="BD392" s="40">
        <f>(BD389-BD390)*$H$40</f>
        <v/>
      </c>
    </row>
    <row r="393">
      <c r="A393" s="33" t="inlineStr">
        <is>
          <t xml:space="preserve">   leaves the store (offered - returned)</t>
        </is>
      </c>
      <c r="B393" s="2" t="inlineStr">
        <is>
          <t>lb</t>
        </is>
      </c>
      <c r="E393" s="40">
        <f>E389-E392</f>
        <v/>
      </c>
      <c r="F393" s="40">
        <f>F389-F392</f>
        <v/>
      </c>
      <c r="G393" s="40">
        <f>G389-G392</f>
        <v/>
      </c>
      <c r="H393" s="40">
        <f>H389-H392</f>
        <v/>
      </c>
      <c r="I393" s="40">
        <f>I389-I392</f>
        <v/>
      </c>
      <c r="J393" s="40">
        <f>J389-J392</f>
        <v/>
      </c>
      <c r="K393" s="40">
        <f>K389-K392</f>
        <v/>
      </c>
      <c r="L393" s="40">
        <f>L389-L392</f>
        <v/>
      </c>
      <c r="M393" s="40">
        <f>M389-M392</f>
        <v/>
      </c>
      <c r="N393" s="40">
        <f>N389-N392</f>
        <v/>
      </c>
      <c r="O393" s="40">
        <f>O389-O392</f>
        <v/>
      </c>
      <c r="P393" s="40">
        <f>P389-P392</f>
        <v/>
      </c>
      <c r="Q393" s="40">
        <f>Q389-Q392</f>
        <v/>
      </c>
      <c r="R393" s="40">
        <f>R389-R392</f>
        <v/>
      </c>
      <c r="S393" s="40">
        <f>S389-S392</f>
        <v/>
      </c>
      <c r="T393" s="40">
        <f>T389-T392</f>
        <v/>
      </c>
      <c r="U393" s="40">
        <f>U389-U392</f>
        <v/>
      </c>
      <c r="V393" s="40">
        <f>V389-V392</f>
        <v/>
      </c>
      <c r="W393" s="40">
        <f>W389-W392</f>
        <v/>
      </c>
      <c r="X393" s="40">
        <f>X389-X392</f>
        <v/>
      </c>
      <c r="Y393" s="40">
        <f>Y389-Y392</f>
        <v/>
      </c>
      <c r="Z393" s="40">
        <f>Z389-Z392</f>
        <v/>
      </c>
      <c r="AA393" s="40">
        <f>AA389-AA392</f>
        <v/>
      </c>
      <c r="AB393" s="40">
        <f>AB389-AB392</f>
        <v/>
      </c>
      <c r="AC393" s="40">
        <f>AC389-AC392</f>
        <v/>
      </c>
      <c r="AD393" s="40">
        <f>AD389-AD392</f>
        <v/>
      </c>
      <c r="AE393" s="40">
        <f>AE389-AE392</f>
        <v/>
      </c>
      <c r="AF393" s="40">
        <f>AF389-AF392</f>
        <v/>
      </c>
      <c r="AG393" s="40">
        <f>AG389-AG392</f>
        <v/>
      </c>
      <c r="AH393" s="40">
        <f>AH389-AH392</f>
        <v/>
      </c>
      <c r="AI393" s="40">
        <f>AI389-AI392</f>
        <v/>
      </c>
      <c r="AJ393" s="40">
        <f>AJ389-AJ392</f>
        <v/>
      </c>
      <c r="AK393" s="40">
        <f>AK389-AK392</f>
        <v/>
      </c>
      <c r="AL393" s="40">
        <f>AL389-AL392</f>
        <v/>
      </c>
      <c r="AM393" s="40">
        <f>AM389-AM392</f>
        <v/>
      </c>
      <c r="AN393" s="40">
        <f>AN389-AN392</f>
        <v/>
      </c>
      <c r="AO393" s="40">
        <f>AO389-AO392</f>
        <v/>
      </c>
      <c r="AP393" s="40">
        <f>AP389-AP392</f>
        <v/>
      </c>
      <c r="AQ393" s="40">
        <f>AQ389-AQ392</f>
        <v/>
      </c>
      <c r="AR393" s="40">
        <f>AR389-AR392</f>
        <v/>
      </c>
      <c r="AS393" s="40">
        <f>AS389-AS392</f>
        <v/>
      </c>
      <c r="AT393" s="40">
        <f>AT389-AT392</f>
        <v/>
      </c>
      <c r="AU393" s="40">
        <f>AU389-AU392</f>
        <v/>
      </c>
      <c r="AV393" s="40">
        <f>AV389-AV392</f>
        <v/>
      </c>
      <c r="AW393" s="40">
        <f>AW389-AW392</f>
        <v/>
      </c>
      <c r="AX393" s="40">
        <f>AX389-AX392</f>
        <v/>
      </c>
      <c r="AY393" s="40">
        <f>AY389-AY392</f>
        <v/>
      </c>
      <c r="AZ393" s="40">
        <f>AZ389-AZ392</f>
        <v/>
      </c>
      <c r="BA393" s="40">
        <f>BA389-BA392</f>
        <v/>
      </c>
      <c r="BB393" s="40">
        <f>BB389-BB392</f>
        <v/>
      </c>
      <c r="BC393" s="40">
        <f>BC389-BC392</f>
        <v/>
      </c>
      <c r="BD393" s="40">
        <f>BD389-BD392</f>
        <v/>
      </c>
    </row>
    <row r="394">
      <c r="A394" s="43" t="inlineStr">
        <is>
          <t>Wholesale — most you may sell this week</t>
        </is>
      </c>
      <c r="B394" s="2" t="inlineStr">
        <is>
          <t>lb</t>
        </is>
      </c>
      <c r="E394" s="42">
        <f>IF($C$41="Annual",$D$41-0,IF(AND(1&gt;=$E$41,1&lt;=$F$41),$D$41,0))</f>
        <v/>
      </c>
      <c r="F394" s="42">
        <f>IF($C$41="Annual",$D$41-SUM(E396:E396),IF(AND(2&gt;=$E$41,2&lt;=$F$41),$D$41,0))</f>
        <v/>
      </c>
      <c r="G394" s="42">
        <f>IF($C$41="Annual",$D$41-SUM(E396:F396),IF(AND(3&gt;=$E$41,3&lt;=$F$41),$D$41,0))</f>
        <v/>
      </c>
      <c r="H394" s="42">
        <f>IF($C$41="Annual",$D$41-SUM(E396:G396),IF(AND(4&gt;=$E$41,4&lt;=$F$41),$D$41,0))</f>
        <v/>
      </c>
      <c r="I394" s="42">
        <f>IF($C$41="Annual",$D$41-SUM(E396:H396),IF(AND(5&gt;=$E$41,5&lt;=$F$41),$D$41,0))</f>
        <v/>
      </c>
      <c r="J394" s="42">
        <f>IF($C$41="Annual",$D$41-SUM(E396:I396),IF(AND(6&gt;=$E$41,6&lt;=$F$41),$D$41,0))</f>
        <v/>
      </c>
      <c r="K394" s="42">
        <f>IF($C$41="Annual",$D$41-SUM(E396:J396),IF(AND(7&gt;=$E$41,7&lt;=$F$41),$D$41,0))</f>
        <v/>
      </c>
      <c r="L394" s="42">
        <f>IF($C$41="Annual",$D$41-SUM(E396:K396),IF(AND(8&gt;=$E$41,8&lt;=$F$41),$D$41,0))</f>
        <v/>
      </c>
      <c r="M394" s="42">
        <f>IF($C$41="Annual",$D$41-SUM(E396:L396),IF(AND(9&gt;=$E$41,9&lt;=$F$41),$D$41,0))</f>
        <v/>
      </c>
      <c r="N394" s="42">
        <f>IF($C$41="Annual",$D$41-SUM(E396:M396),IF(AND(10&gt;=$E$41,10&lt;=$F$41),$D$41,0))</f>
        <v/>
      </c>
      <c r="O394" s="42">
        <f>IF($C$41="Annual",$D$41-SUM(E396:N396),IF(AND(11&gt;=$E$41,11&lt;=$F$41),$D$41,0))</f>
        <v/>
      </c>
      <c r="P394" s="42">
        <f>IF($C$41="Annual",$D$41-SUM(E396:O396),IF(AND(12&gt;=$E$41,12&lt;=$F$41),$D$41,0))</f>
        <v/>
      </c>
      <c r="Q394" s="42">
        <f>IF($C$41="Annual",$D$41-SUM(E396:P396),IF(AND(13&gt;=$E$41,13&lt;=$F$41),$D$41,0))</f>
        <v/>
      </c>
      <c r="R394" s="42">
        <f>IF($C$41="Annual",$D$41-SUM(E396:Q396),IF(AND(14&gt;=$E$41,14&lt;=$F$41),$D$41,0))</f>
        <v/>
      </c>
      <c r="S394" s="42">
        <f>IF($C$41="Annual",$D$41-SUM(E396:R396),IF(AND(15&gt;=$E$41,15&lt;=$F$41),$D$41,0))</f>
        <v/>
      </c>
      <c r="T394" s="42">
        <f>IF($C$41="Annual",$D$41-SUM(E396:S396),IF(AND(16&gt;=$E$41,16&lt;=$F$41),$D$41,0))</f>
        <v/>
      </c>
      <c r="U394" s="42">
        <f>IF($C$41="Annual",$D$41-SUM(E396:T396),IF(AND(17&gt;=$E$41,17&lt;=$F$41),$D$41,0))</f>
        <v/>
      </c>
      <c r="V394" s="42">
        <f>IF($C$41="Annual",$D$41-SUM(E396:U396),IF(AND(18&gt;=$E$41,18&lt;=$F$41),$D$41,0))</f>
        <v/>
      </c>
      <c r="W394" s="42">
        <f>IF($C$41="Annual",$D$41-SUM(E396:V396),IF(AND(19&gt;=$E$41,19&lt;=$F$41),$D$41,0))</f>
        <v/>
      </c>
      <c r="X394" s="42">
        <f>IF($C$41="Annual",$D$41-SUM(E396:W396),IF(AND(20&gt;=$E$41,20&lt;=$F$41),$D$41,0))</f>
        <v/>
      </c>
      <c r="Y394" s="42">
        <f>IF($C$41="Annual",$D$41-SUM(E396:X396),IF(AND(21&gt;=$E$41,21&lt;=$F$41),$D$41,0))</f>
        <v/>
      </c>
      <c r="Z394" s="42">
        <f>IF($C$41="Annual",$D$41-SUM(E396:Y396),IF(AND(22&gt;=$E$41,22&lt;=$F$41),$D$41,0))</f>
        <v/>
      </c>
      <c r="AA394" s="42">
        <f>IF($C$41="Annual",$D$41-SUM(E396:Z396),IF(AND(23&gt;=$E$41,23&lt;=$F$41),$D$41,0))</f>
        <v/>
      </c>
      <c r="AB394" s="42">
        <f>IF($C$41="Annual",$D$41-SUM(E396:AA396),IF(AND(24&gt;=$E$41,24&lt;=$F$41),$D$41,0))</f>
        <v/>
      </c>
      <c r="AC394" s="42">
        <f>IF($C$41="Annual",$D$41-SUM(E396:AB396),IF(AND(25&gt;=$E$41,25&lt;=$F$41),$D$41,0))</f>
        <v/>
      </c>
      <c r="AD394" s="42">
        <f>IF($C$41="Annual",$D$41-SUM(E396:AC396),IF(AND(26&gt;=$E$41,26&lt;=$F$41),$D$41,0))</f>
        <v/>
      </c>
      <c r="AE394" s="42">
        <f>IF($C$41="Annual",$D$41-SUM(E396:AD396),IF(AND(27&gt;=$E$41,27&lt;=$F$41),$D$41,0))</f>
        <v/>
      </c>
      <c r="AF394" s="42">
        <f>IF($C$41="Annual",$D$41-SUM(E396:AE396),IF(AND(28&gt;=$E$41,28&lt;=$F$41),$D$41,0))</f>
        <v/>
      </c>
      <c r="AG394" s="42">
        <f>IF($C$41="Annual",$D$41-SUM(E396:AF396),IF(AND(29&gt;=$E$41,29&lt;=$F$41),$D$41,0))</f>
        <v/>
      </c>
      <c r="AH394" s="42">
        <f>IF($C$41="Annual",$D$41-SUM(E396:AG396),IF(AND(30&gt;=$E$41,30&lt;=$F$41),$D$41,0))</f>
        <v/>
      </c>
      <c r="AI394" s="42">
        <f>IF($C$41="Annual",$D$41-SUM(E396:AH396),IF(AND(31&gt;=$E$41,31&lt;=$F$41),$D$41,0))</f>
        <v/>
      </c>
      <c r="AJ394" s="42">
        <f>IF($C$41="Annual",$D$41-SUM(E396:AI396),IF(AND(32&gt;=$E$41,32&lt;=$F$41),$D$41,0))</f>
        <v/>
      </c>
      <c r="AK394" s="42">
        <f>IF($C$41="Annual",$D$41-SUM(E396:AJ396),IF(AND(33&gt;=$E$41,33&lt;=$F$41),$D$41,0))</f>
        <v/>
      </c>
      <c r="AL394" s="42">
        <f>IF($C$41="Annual",$D$41-SUM(E396:AK396),IF(AND(34&gt;=$E$41,34&lt;=$F$41),$D$41,0))</f>
        <v/>
      </c>
      <c r="AM394" s="42">
        <f>IF($C$41="Annual",$D$41-SUM(E396:AL396),IF(AND(35&gt;=$E$41,35&lt;=$F$41),$D$41,0))</f>
        <v/>
      </c>
      <c r="AN394" s="42">
        <f>IF($C$41="Annual",$D$41-SUM(E396:AM396),IF(AND(36&gt;=$E$41,36&lt;=$F$41),$D$41,0))</f>
        <v/>
      </c>
      <c r="AO394" s="42">
        <f>IF($C$41="Annual",$D$41-SUM(E396:AN396),IF(AND(37&gt;=$E$41,37&lt;=$F$41),$D$41,0))</f>
        <v/>
      </c>
      <c r="AP394" s="42">
        <f>IF($C$41="Annual",$D$41-SUM(E396:AO396),IF(AND(38&gt;=$E$41,38&lt;=$F$41),$D$41,0))</f>
        <v/>
      </c>
      <c r="AQ394" s="42">
        <f>IF($C$41="Annual",$D$41-SUM(E396:AP396),IF(AND(39&gt;=$E$41,39&lt;=$F$41),$D$41,0))</f>
        <v/>
      </c>
      <c r="AR394" s="42">
        <f>IF($C$41="Annual",$D$41-SUM(E396:AQ396),IF(AND(40&gt;=$E$41,40&lt;=$F$41),$D$41,0))</f>
        <v/>
      </c>
      <c r="AS394" s="42">
        <f>IF($C$41="Annual",$D$41-SUM(E396:AR396),IF(AND(41&gt;=$E$41,41&lt;=$F$41),$D$41,0))</f>
        <v/>
      </c>
      <c r="AT394" s="42">
        <f>IF($C$41="Annual",$D$41-SUM(E396:AS396),IF(AND(42&gt;=$E$41,42&lt;=$F$41),$D$41,0))</f>
        <v/>
      </c>
      <c r="AU394" s="42">
        <f>IF($C$41="Annual",$D$41-SUM(E396:AT396),IF(AND(43&gt;=$E$41,43&lt;=$F$41),$D$41,0))</f>
        <v/>
      </c>
      <c r="AV394" s="42">
        <f>IF($C$41="Annual",$D$41-SUM(E396:AU396),IF(AND(44&gt;=$E$41,44&lt;=$F$41),$D$41,0))</f>
        <v/>
      </c>
      <c r="AW394" s="42">
        <f>IF($C$41="Annual",$D$41-SUM(E396:AV396),IF(AND(45&gt;=$E$41,45&lt;=$F$41),$D$41,0))</f>
        <v/>
      </c>
      <c r="AX394" s="42">
        <f>IF($C$41="Annual",$D$41-SUM(E396:AW396),IF(AND(46&gt;=$E$41,46&lt;=$F$41),$D$41,0))</f>
        <v/>
      </c>
      <c r="AY394" s="42">
        <f>IF($C$41="Annual",$D$41-SUM(E396:AX396),IF(AND(47&gt;=$E$41,47&lt;=$F$41),$D$41,0))</f>
        <v/>
      </c>
      <c r="AZ394" s="42">
        <f>IF($C$41="Annual",$D$41-SUM(E396:AY396),IF(AND(48&gt;=$E$41,48&lt;=$F$41),$D$41,0))</f>
        <v/>
      </c>
      <c r="BA394" s="42">
        <f>IF($C$41="Annual",$D$41-SUM(E396:AZ396),IF(AND(49&gt;=$E$41,49&lt;=$F$41),$D$41,0))</f>
        <v/>
      </c>
      <c r="BB394" s="42">
        <f>IF($C$41="Annual",$D$41-SUM(E396:BA396),IF(AND(50&gt;=$E$41,50&lt;=$F$41),$D$41,0))</f>
        <v/>
      </c>
      <c r="BC394" s="42">
        <f>IF($C$41="Annual",$D$41-SUM(E396:BB396),IF(AND(51&gt;=$E$41,51&lt;=$F$41),$D$41,0))</f>
        <v/>
      </c>
      <c r="BD394" s="42">
        <f>IF($C$41="Annual",$D$41-SUM(E396:BC396),IF(AND(52&gt;=$E$41,52&lt;=$F$41),$D$41,0))</f>
        <v/>
      </c>
    </row>
    <row r="395">
      <c r="A395" s="32" t="inlineStr">
        <is>
          <t>Wholesale — OFFERED</t>
        </is>
      </c>
      <c r="B395" s="2" t="inlineStr">
        <is>
          <t>lb  &lt;-- SOLVER</t>
        </is>
      </c>
      <c r="E395" s="39" t="n">
        <v>0</v>
      </c>
      <c r="F395" s="39" t="n">
        <v>0</v>
      </c>
      <c r="G395" s="39" t="n">
        <v>0</v>
      </c>
      <c r="H395" s="39" t="n">
        <v>0</v>
      </c>
      <c r="I395" s="39" t="n">
        <v>0</v>
      </c>
      <c r="J395" s="39" t="n">
        <v>0</v>
      </c>
      <c r="K395" s="39" t="n">
        <v>0</v>
      </c>
      <c r="L395" s="39" t="n">
        <v>0</v>
      </c>
      <c r="M395" s="39" t="n">
        <v>0</v>
      </c>
      <c r="N395" s="39" t="n">
        <v>0</v>
      </c>
      <c r="O395" s="39" t="n">
        <v>0</v>
      </c>
      <c r="P395" s="39" t="n">
        <v>0</v>
      </c>
      <c r="Q395" s="39" t="n">
        <v>0</v>
      </c>
      <c r="R395" s="39" t="n">
        <v>0</v>
      </c>
      <c r="S395" s="39" t="n">
        <v>0</v>
      </c>
      <c r="T395" s="39" t="n">
        <v>0</v>
      </c>
      <c r="U395" s="39" t="n">
        <v>0</v>
      </c>
      <c r="V395" s="39" t="n">
        <v>0</v>
      </c>
      <c r="W395" s="39" t="n">
        <v>0</v>
      </c>
      <c r="X395" s="39" t="n">
        <v>0</v>
      </c>
      <c r="Y395" s="39" t="n">
        <v>0</v>
      </c>
      <c r="Z395" s="39" t="n">
        <v>0</v>
      </c>
      <c r="AA395" s="39" t="n">
        <v>0</v>
      </c>
      <c r="AB395" s="39" t="n">
        <v>0</v>
      </c>
      <c r="AC395" s="39" t="n">
        <v>0</v>
      </c>
      <c r="AD395" s="39" t="n">
        <v>0</v>
      </c>
      <c r="AE395" s="39" t="n">
        <v>0</v>
      </c>
      <c r="AF395" s="39" t="n">
        <v>0</v>
      </c>
      <c r="AG395" s="39" t="n">
        <v>0</v>
      </c>
      <c r="AH395" s="39" t="n">
        <v>0</v>
      </c>
      <c r="AI395" s="39" t="n">
        <v>0</v>
      </c>
      <c r="AJ395" s="39" t="n">
        <v>0</v>
      </c>
      <c r="AK395" s="39" t="n">
        <v>0</v>
      </c>
      <c r="AL395" s="39" t="n">
        <v>0</v>
      </c>
      <c r="AM395" s="39" t="n">
        <v>0</v>
      </c>
      <c r="AN395" s="39" t="n">
        <v>0</v>
      </c>
      <c r="AO395" s="39" t="n">
        <v>0</v>
      </c>
      <c r="AP395" s="39" t="n">
        <v>0</v>
      </c>
      <c r="AQ395" s="39" t="n">
        <v>0</v>
      </c>
      <c r="AR395" s="39" t="n">
        <v>0</v>
      </c>
      <c r="AS395" s="39" t="n">
        <v>0</v>
      </c>
      <c r="AT395" s="39" t="n">
        <v>0</v>
      </c>
      <c r="AU395" s="39" t="n">
        <v>0</v>
      </c>
      <c r="AV395" s="39" t="n">
        <v>0</v>
      </c>
      <c r="AW395" s="39" t="n">
        <v>0</v>
      </c>
      <c r="AX395" s="39" t="n">
        <v>0</v>
      </c>
      <c r="AY395" s="39" t="n">
        <v>0</v>
      </c>
      <c r="AZ395" s="39" t="n">
        <v>0</v>
      </c>
      <c r="BA395" s="39" t="n">
        <v>0</v>
      </c>
      <c r="BB395" s="39" t="n">
        <v>0</v>
      </c>
      <c r="BC395" s="39" t="n">
        <v>0</v>
      </c>
      <c r="BD395" s="39" t="n">
        <v>0</v>
      </c>
    </row>
    <row r="396">
      <c r="A396" s="56" t="inlineStr">
        <is>
          <t>Wholesale — SOLD</t>
        </is>
      </c>
      <c r="B396" s="2" t="inlineStr">
        <is>
          <t>lb</t>
        </is>
      </c>
      <c r="E396" s="57">
        <f>E395*$G$41</f>
        <v/>
      </c>
      <c r="F396" s="57">
        <f>F395*$G$41</f>
        <v/>
      </c>
      <c r="G396" s="57">
        <f>G395*$G$41</f>
        <v/>
      </c>
      <c r="H396" s="57">
        <f>H395*$G$41</f>
        <v/>
      </c>
      <c r="I396" s="57">
        <f>I395*$G$41</f>
        <v/>
      </c>
      <c r="J396" s="57">
        <f>J395*$G$41</f>
        <v/>
      </c>
      <c r="K396" s="57">
        <f>K395*$G$41</f>
        <v/>
      </c>
      <c r="L396" s="57">
        <f>L395*$G$41</f>
        <v/>
      </c>
      <c r="M396" s="57">
        <f>M395*$G$41</f>
        <v/>
      </c>
      <c r="N396" s="57">
        <f>N395*$G$41</f>
        <v/>
      </c>
      <c r="O396" s="57">
        <f>O395*$G$41</f>
        <v/>
      </c>
      <c r="P396" s="57">
        <f>P395*$G$41</f>
        <v/>
      </c>
      <c r="Q396" s="57">
        <f>Q395*$G$41</f>
        <v/>
      </c>
      <c r="R396" s="57">
        <f>R395*$G$41</f>
        <v/>
      </c>
      <c r="S396" s="57">
        <f>S395*$G$41</f>
        <v/>
      </c>
      <c r="T396" s="57">
        <f>T395*$G$41</f>
        <v/>
      </c>
      <c r="U396" s="57">
        <f>U395*$G$41</f>
        <v/>
      </c>
      <c r="V396" s="57">
        <f>V395*$G$41</f>
        <v/>
      </c>
      <c r="W396" s="57">
        <f>W395*$G$41</f>
        <v/>
      </c>
      <c r="X396" s="57">
        <f>X395*$G$41</f>
        <v/>
      </c>
      <c r="Y396" s="57">
        <f>Y395*$G$41</f>
        <v/>
      </c>
      <c r="Z396" s="57">
        <f>Z395*$G$41</f>
        <v/>
      </c>
      <c r="AA396" s="57">
        <f>AA395*$G$41</f>
        <v/>
      </c>
      <c r="AB396" s="57">
        <f>AB395*$G$41</f>
        <v/>
      </c>
      <c r="AC396" s="57">
        <f>AC395*$G$41</f>
        <v/>
      </c>
      <c r="AD396" s="57">
        <f>AD395*$G$41</f>
        <v/>
      </c>
      <c r="AE396" s="57">
        <f>AE395*$G$41</f>
        <v/>
      </c>
      <c r="AF396" s="57">
        <f>AF395*$G$41</f>
        <v/>
      </c>
      <c r="AG396" s="57">
        <f>AG395*$G$41</f>
        <v/>
      </c>
      <c r="AH396" s="57">
        <f>AH395*$G$41</f>
        <v/>
      </c>
      <c r="AI396" s="57">
        <f>AI395*$G$41</f>
        <v/>
      </c>
      <c r="AJ396" s="57">
        <f>AJ395*$G$41</f>
        <v/>
      </c>
      <c r="AK396" s="57">
        <f>AK395*$G$41</f>
        <v/>
      </c>
      <c r="AL396" s="57">
        <f>AL395*$G$41</f>
        <v/>
      </c>
      <c r="AM396" s="57">
        <f>AM395*$G$41</f>
        <v/>
      </c>
      <c r="AN396" s="57">
        <f>AN395*$G$41</f>
        <v/>
      </c>
      <c r="AO396" s="57">
        <f>AO395*$G$41</f>
        <v/>
      </c>
      <c r="AP396" s="57">
        <f>AP395*$G$41</f>
        <v/>
      </c>
      <c r="AQ396" s="57">
        <f>AQ395*$G$41</f>
        <v/>
      </c>
      <c r="AR396" s="57">
        <f>AR395*$G$41</f>
        <v/>
      </c>
      <c r="AS396" s="57">
        <f>AS395*$G$41</f>
        <v/>
      </c>
      <c r="AT396" s="57">
        <f>AT395*$G$41</f>
        <v/>
      </c>
      <c r="AU396" s="57">
        <f>AU395*$G$41</f>
        <v/>
      </c>
      <c r="AV396" s="57">
        <f>AV395*$G$41</f>
        <v/>
      </c>
      <c r="AW396" s="57">
        <f>AW395*$G$41</f>
        <v/>
      </c>
      <c r="AX396" s="57">
        <f>AX395*$G$41</f>
        <v/>
      </c>
      <c r="AY396" s="57">
        <f>AY395*$G$41</f>
        <v/>
      </c>
      <c r="AZ396" s="57">
        <f>AZ395*$G$41</f>
        <v/>
      </c>
      <c r="BA396" s="57">
        <f>BA395*$G$41</f>
        <v/>
      </c>
      <c r="BB396" s="57">
        <f>BB395*$G$41</f>
        <v/>
      </c>
      <c r="BC396" s="57">
        <f>BC395*$G$41</f>
        <v/>
      </c>
      <c r="BD396" s="57">
        <f>BD395*$G$41</f>
        <v/>
      </c>
    </row>
    <row r="397">
      <c r="A397" s="33" t="inlineStr">
        <is>
          <t xml:space="preserve">   market loss (gone)</t>
        </is>
      </c>
      <c r="B397" s="2" t="inlineStr">
        <is>
          <t>lb</t>
        </is>
      </c>
      <c r="E397" s="40">
        <f>(E395-E396)*(1-$H$41)</f>
        <v/>
      </c>
      <c r="F397" s="40">
        <f>(F395-F396)*(1-$H$41)</f>
        <v/>
      </c>
      <c r="G397" s="40">
        <f>(G395-G396)*(1-$H$41)</f>
        <v/>
      </c>
      <c r="H397" s="40">
        <f>(H395-H396)*(1-$H$41)</f>
        <v/>
      </c>
      <c r="I397" s="40">
        <f>(I395-I396)*(1-$H$41)</f>
        <v/>
      </c>
      <c r="J397" s="40">
        <f>(J395-J396)*(1-$H$41)</f>
        <v/>
      </c>
      <c r="K397" s="40">
        <f>(K395-K396)*(1-$H$41)</f>
        <v/>
      </c>
      <c r="L397" s="40">
        <f>(L395-L396)*(1-$H$41)</f>
        <v/>
      </c>
      <c r="M397" s="40">
        <f>(M395-M396)*(1-$H$41)</f>
        <v/>
      </c>
      <c r="N397" s="40">
        <f>(N395-N396)*(1-$H$41)</f>
        <v/>
      </c>
      <c r="O397" s="40">
        <f>(O395-O396)*(1-$H$41)</f>
        <v/>
      </c>
      <c r="P397" s="40">
        <f>(P395-P396)*(1-$H$41)</f>
        <v/>
      </c>
      <c r="Q397" s="40">
        <f>(Q395-Q396)*(1-$H$41)</f>
        <v/>
      </c>
      <c r="R397" s="40">
        <f>(R395-R396)*(1-$H$41)</f>
        <v/>
      </c>
      <c r="S397" s="40">
        <f>(S395-S396)*(1-$H$41)</f>
        <v/>
      </c>
      <c r="T397" s="40">
        <f>(T395-T396)*(1-$H$41)</f>
        <v/>
      </c>
      <c r="U397" s="40">
        <f>(U395-U396)*(1-$H$41)</f>
        <v/>
      </c>
      <c r="V397" s="40">
        <f>(V395-V396)*(1-$H$41)</f>
        <v/>
      </c>
      <c r="W397" s="40">
        <f>(W395-W396)*(1-$H$41)</f>
        <v/>
      </c>
      <c r="X397" s="40">
        <f>(X395-X396)*(1-$H$41)</f>
        <v/>
      </c>
      <c r="Y397" s="40">
        <f>(Y395-Y396)*(1-$H$41)</f>
        <v/>
      </c>
      <c r="Z397" s="40">
        <f>(Z395-Z396)*(1-$H$41)</f>
        <v/>
      </c>
      <c r="AA397" s="40">
        <f>(AA395-AA396)*(1-$H$41)</f>
        <v/>
      </c>
      <c r="AB397" s="40">
        <f>(AB395-AB396)*(1-$H$41)</f>
        <v/>
      </c>
      <c r="AC397" s="40">
        <f>(AC395-AC396)*(1-$H$41)</f>
        <v/>
      </c>
      <c r="AD397" s="40">
        <f>(AD395-AD396)*(1-$H$41)</f>
        <v/>
      </c>
      <c r="AE397" s="40">
        <f>(AE395-AE396)*(1-$H$41)</f>
        <v/>
      </c>
      <c r="AF397" s="40">
        <f>(AF395-AF396)*(1-$H$41)</f>
        <v/>
      </c>
      <c r="AG397" s="40">
        <f>(AG395-AG396)*(1-$H$41)</f>
        <v/>
      </c>
      <c r="AH397" s="40">
        <f>(AH395-AH396)*(1-$H$41)</f>
        <v/>
      </c>
      <c r="AI397" s="40">
        <f>(AI395-AI396)*(1-$H$41)</f>
        <v/>
      </c>
      <c r="AJ397" s="40">
        <f>(AJ395-AJ396)*(1-$H$41)</f>
        <v/>
      </c>
      <c r="AK397" s="40">
        <f>(AK395-AK396)*(1-$H$41)</f>
        <v/>
      </c>
      <c r="AL397" s="40">
        <f>(AL395-AL396)*(1-$H$41)</f>
        <v/>
      </c>
      <c r="AM397" s="40">
        <f>(AM395-AM396)*(1-$H$41)</f>
        <v/>
      </c>
      <c r="AN397" s="40">
        <f>(AN395-AN396)*(1-$H$41)</f>
        <v/>
      </c>
      <c r="AO397" s="40">
        <f>(AO395-AO396)*(1-$H$41)</f>
        <v/>
      </c>
      <c r="AP397" s="40">
        <f>(AP395-AP396)*(1-$H$41)</f>
        <v/>
      </c>
      <c r="AQ397" s="40">
        <f>(AQ395-AQ396)*(1-$H$41)</f>
        <v/>
      </c>
      <c r="AR397" s="40">
        <f>(AR395-AR396)*(1-$H$41)</f>
        <v/>
      </c>
      <c r="AS397" s="40">
        <f>(AS395-AS396)*(1-$H$41)</f>
        <v/>
      </c>
      <c r="AT397" s="40">
        <f>(AT395-AT396)*(1-$H$41)</f>
        <v/>
      </c>
      <c r="AU397" s="40">
        <f>(AU395-AU396)*(1-$H$41)</f>
        <v/>
      </c>
      <c r="AV397" s="40">
        <f>(AV395-AV396)*(1-$H$41)</f>
        <v/>
      </c>
      <c r="AW397" s="40">
        <f>(AW395-AW396)*(1-$H$41)</f>
        <v/>
      </c>
      <c r="AX397" s="40">
        <f>(AX395-AX396)*(1-$H$41)</f>
        <v/>
      </c>
      <c r="AY397" s="40">
        <f>(AY395-AY396)*(1-$H$41)</f>
        <v/>
      </c>
      <c r="AZ397" s="40">
        <f>(AZ395-AZ396)*(1-$H$41)</f>
        <v/>
      </c>
      <c r="BA397" s="40">
        <f>(BA395-BA396)*(1-$H$41)</f>
        <v/>
      </c>
      <c r="BB397" s="40">
        <f>(BB395-BB396)*(1-$H$41)</f>
        <v/>
      </c>
      <c r="BC397" s="40">
        <f>(BC395-BC396)*(1-$H$41)</f>
        <v/>
      </c>
      <c r="BD397" s="40">
        <f>(BD395-BD396)*(1-$H$41)</f>
        <v/>
      </c>
    </row>
    <row r="398">
      <c r="A398" s="33" t="inlineStr">
        <is>
          <t xml:space="preserve">   returned to store</t>
        </is>
      </c>
      <c r="B398" s="2" t="inlineStr">
        <is>
          <t>lb</t>
        </is>
      </c>
      <c r="E398" s="40">
        <f>(E395-E396)*$H$41</f>
        <v/>
      </c>
      <c r="F398" s="40">
        <f>(F395-F396)*$H$41</f>
        <v/>
      </c>
      <c r="G398" s="40">
        <f>(G395-G396)*$H$41</f>
        <v/>
      </c>
      <c r="H398" s="40">
        <f>(H395-H396)*$H$41</f>
        <v/>
      </c>
      <c r="I398" s="40">
        <f>(I395-I396)*$H$41</f>
        <v/>
      </c>
      <c r="J398" s="40">
        <f>(J395-J396)*$H$41</f>
        <v/>
      </c>
      <c r="K398" s="40">
        <f>(K395-K396)*$H$41</f>
        <v/>
      </c>
      <c r="L398" s="40">
        <f>(L395-L396)*$H$41</f>
        <v/>
      </c>
      <c r="M398" s="40">
        <f>(M395-M396)*$H$41</f>
        <v/>
      </c>
      <c r="N398" s="40">
        <f>(N395-N396)*$H$41</f>
        <v/>
      </c>
      <c r="O398" s="40">
        <f>(O395-O396)*$H$41</f>
        <v/>
      </c>
      <c r="P398" s="40">
        <f>(P395-P396)*$H$41</f>
        <v/>
      </c>
      <c r="Q398" s="40">
        <f>(Q395-Q396)*$H$41</f>
        <v/>
      </c>
      <c r="R398" s="40">
        <f>(R395-R396)*$H$41</f>
        <v/>
      </c>
      <c r="S398" s="40">
        <f>(S395-S396)*$H$41</f>
        <v/>
      </c>
      <c r="T398" s="40">
        <f>(T395-T396)*$H$41</f>
        <v/>
      </c>
      <c r="U398" s="40">
        <f>(U395-U396)*$H$41</f>
        <v/>
      </c>
      <c r="V398" s="40">
        <f>(V395-V396)*$H$41</f>
        <v/>
      </c>
      <c r="W398" s="40">
        <f>(W395-W396)*$H$41</f>
        <v/>
      </c>
      <c r="X398" s="40">
        <f>(X395-X396)*$H$41</f>
        <v/>
      </c>
      <c r="Y398" s="40">
        <f>(Y395-Y396)*$H$41</f>
        <v/>
      </c>
      <c r="Z398" s="40">
        <f>(Z395-Z396)*$H$41</f>
        <v/>
      </c>
      <c r="AA398" s="40">
        <f>(AA395-AA396)*$H$41</f>
        <v/>
      </c>
      <c r="AB398" s="40">
        <f>(AB395-AB396)*$H$41</f>
        <v/>
      </c>
      <c r="AC398" s="40">
        <f>(AC395-AC396)*$H$41</f>
        <v/>
      </c>
      <c r="AD398" s="40">
        <f>(AD395-AD396)*$H$41</f>
        <v/>
      </c>
      <c r="AE398" s="40">
        <f>(AE395-AE396)*$H$41</f>
        <v/>
      </c>
      <c r="AF398" s="40">
        <f>(AF395-AF396)*$H$41</f>
        <v/>
      </c>
      <c r="AG398" s="40">
        <f>(AG395-AG396)*$H$41</f>
        <v/>
      </c>
      <c r="AH398" s="40">
        <f>(AH395-AH396)*$H$41</f>
        <v/>
      </c>
      <c r="AI398" s="40">
        <f>(AI395-AI396)*$H$41</f>
        <v/>
      </c>
      <c r="AJ398" s="40">
        <f>(AJ395-AJ396)*$H$41</f>
        <v/>
      </c>
      <c r="AK398" s="40">
        <f>(AK395-AK396)*$H$41</f>
        <v/>
      </c>
      <c r="AL398" s="40">
        <f>(AL395-AL396)*$H$41</f>
        <v/>
      </c>
      <c r="AM398" s="40">
        <f>(AM395-AM396)*$H$41</f>
        <v/>
      </c>
      <c r="AN398" s="40">
        <f>(AN395-AN396)*$H$41</f>
        <v/>
      </c>
      <c r="AO398" s="40">
        <f>(AO395-AO396)*$H$41</f>
        <v/>
      </c>
      <c r="AP398" s="40">
        <f>(AP395-AP396)*$H$41</f>
        <v/>
      </c>
      <c r="AQ398" s="40">
        <f>(AQ395-AQ396)*$H$41</f>
        <v/>
      </c>
      <c r="AR398" s="40">
        <f>(AR395-AR396)*$H$41</f>
        <v/>
      </c>
      <c r="AS398" s="40">
        <f>(AS395-AS396)*$H$41</f>
        <v/>
      </c>
      <c r="AT398" s="40">
        <f>(AT395-AT396)*$H$41</f>
        <v/>
      </c>
      <c r="AU398" s="40">
        <f>(AU395-AU396)*$H$41</f>
        <v/>
      </c>
      <c r="AV398" s="40">
        <f>(AV395-AV396)*$H$41</f>
        <v/>
      </c>
      <c r="AW398" s="40">
        <f>(AW395-AW396)*$H$41</f>
        <v/>
      </c>
      <c r="AX398" s="40">
        <f>(AX395-AX396)*$H$41</f>
        <v/>
      </c>
      <c r="AY398" s="40">
        <f>(AY395-AY396)*$H$41</f>
        <v/>
      </c>
      <c r="AZ398" s="40">
        <f>(AZ395-AZ396)*$H$41</f>
        <v/>
      </c>
      <c r="BA398" s="40">
        <f>(BA395-BA396)*$H$41</f>
        <v/>
      </c>
      <c r="BB398" s="40">
        <f>(BB395-BB396)*$H$41</f>
        <v/>
      </c>
      <c r="BC398" s="40">
        <f>(BC395-BC396)*$H$41</f>
        <v/>
      </c>
      <c r="BD398" s="40">
        <f>(BD395-BD396)*$H$41</f>
        <v/>
      </c>
    </row>
    <row r="399">
      <c r="A399" s="33" t="inlineStr">
        <is>
          <t xml:space="preserve">   leaves the store (offered - returned)</t>
        </is>
      </c>
      <c r="B399" s="2" t="inlineStr">
        <is>
          <t>lb</t>
        </is>
      </c>
      <c r="E399" s="40">
        <f>E395-E398</f>
        <v/>
      </c>
      <c r="F399" s="40">
        <f>F395-F398</f>
        <v/>
      </c>
      <c r="G399" s="40">
        <f>G395-G398</f>
        <v/>
      </c>
      <c r="H399" s="40">
        <f>H395-H398</f>
        <v/>
      </c>
      <c r="I399" s="40">
        <f>I395-I398</f>
        <v/>
      </c>
      <c r="J399" s="40">
        <f>J395-J398</f>
        <v/>
      </c>
      <c r="K399" s="40">
        <f>K395-K398</f>
        <v/>
      </c>
      <c r="L399" s="40">
        <f>L395-L398</f>
        <v/>
      </c>
      <c r="M399" s="40">
        <f>M395-M398</f>
        <v/>
      </c>
      <c r="N399" s="40">
        <f>N395-N398</f>
        <v/>
      </c>
      <c r="O399" s="40">
        <f>O395-O398</f>
        <v/>
      </c>
      <c r="P399" s="40">
        <f>P395-P398</f>
        <v/>
      </c>
      <c r="Q399" s="40">
        <f>Q395-Q398</f>
        <v/>
      </c>
      <c r="R399" s="40">
        <f>R395-R398</f>
        <v/>
      </c>
      <c r="S399" s="40">
        <f>S395-S398</f>
        <v/>
      </c>
      <c r="T399" s="40">
        <f>T395-T398</f>
        <v/>
      </c>
      <c r="U399" s="40">
        <f>U395-U398</f>
        <v/>
      </c>
      <c r="V399" s="40">
        <f>V395-V398</f>
        <v/>
      </c>
      <c r="W399" s="40">
        <f>W395-W398</f>
        <v/>
      </c>
      <c r="X399" s="40">
        <f>X395-X398</f>
        <v/>
      </c>
      <c r="Y399" s="40">
        <f>Y395-Y398</f>
        <v/>
      </c>
      <c r="Z399" s="40">
        <f>Z395-Z398</f>
        <v/>
      </c>
      <c r="AA399" s="40">
        <f>AA395-AA398</f>
        <v/>
      </c>
      <c r="AB399" s="40">
        <f>AB395-AB398</f>
        <v/>
      </c>
      <c r="AC399" s="40">
        <f>AC395-AC398</f>
        <v/>
      </c>
      <c r="AD399" s="40">
        <f>AD395-AD398</f>
        <v/>
      </c>
      <c r="AE399" s="40">
        <f>AE395-AE398</f>
        <v/>
      </c>
      <c r="AF399" s="40">
        <f>AF395-AF398</f>
        <v/>
      </c>
      <c r="AG399" s="40">
        <f>AG395-AG398</f>
        <v/>
      </c>
      <c r="AH399" s="40">
        <f>AH395-AH398</f>
        <v/>
      </c>
      <c r="AI399" s="40">
        <f>AI395-AI398</f>
        <v/>
      </c>
      <c r="AJ399" s="40">
        <f>AJ395-AJ398</f>
        <v/>
      </c>
      <c r="AK399" s="40">
        <f>AK395-AK398</f>
        <v/>
      </c>
      <c r="AL399" s="40">
        <f>AL395-AL398</f>
        <v/>
      </c>
      <c r="AM399" s="40">
        <f>AM395-AM398</f>
        <v/>
      </c>
      <c r="AN399" s="40">
        <f>AN395-AN398</f>
        <v/>
      </c>
      <c r="AO399" s="40">
        <f>AO395-AO398</f>
        <v/>
      </c>
      <c r="AP399" s="40">
        <f>AP395-AP398</f>
        <v/>
      </c>
      <c r="AQ399" s="40">
        <f>AQ395-AQ398</f>
        <v/>
      </c>
      <c r="AR399" s="40">
        <f>AR395-AR398</f>
        <v/>
      </c>
      <c r="AS399" s="40">
        <f>AS395-AS398</f>
        <v/>
      </c>
      <c r="AT399" s="40">
        <f>AT395-AT398</f>
        <v/>
      </c>
      <c r="AU399" s="40">
        <f>AU395-AU398</f>
        <v/>
      </c>
      <c r="AV399" s="40">
        <f>AV395-AV398</f>
        <v/>
      </c>
      <c r="AW399" s="40">
        <f>AW395-AW398</f>
        <v/>
      </c>
      <c r="AX399" s="40">
        <f>AX395-AX398</f>
        <v/>
      </c>
      <c r="AY399" s="40">
        <f>AY395-AY398</f>
        <v/>
      </c>
      <c r="AZ399" s="40">
        <f>AZ395-AZ398</f>
        <v/>
      </c>
      <c r="BA399" s="40">
        <f>BA395-BA398</f>
        <v/>
      </c>
      <c r="BB399" s="40">
        <f>BB395-BB398</f>
        <v/>
      </c>
      <c r="BC399" s="40">
        <f>BC395-BC398</f>
        <v/>
      </c>
      <c r="BD399" s="40">
        <f>BD395-BD398</f>
        <v/>
      </c>
    </row>
    <row r="400">
      <c r="A400" s="41" t="inlineStr">
        <is>
          <t>Stock carried out</t>
        </is>
      </c>
      <c r="B400" s="2" t="inlineStr">
        <is>
          <t>lb</t>
        </is>
      </c>
      <c r="E400" s="40">
        <f>E387-E393-E399</f>
        <v/>
      </c>
      <c r="F400" s="40">
        <f>F387-F393-F399</f>
        <v/>
      </c>
      <c r="G400" s="40">
        <f>G387-G393-G399</f>
        <v/>
      </c>
      <c r="H400" s="40">
        <f>H387-H393-H399</f>
        <v/>
      </c>
      <c r="I400" s="40">
        <f>I387-I393-I399</f>
        <v/>
      </c>
      <c r="J400" s="40">
        <f>J387-J393-J399</f>
        <v/>
      </c>
      <c r="K400" s="40">
        <f>K387-K393-K399</f>
        <v/>
      </c>
      <c r="L400" s="40">
        <f>L387-L393-L399</f>
        <v/>
      </c>
      <c r="M400" s="40">
        <f>M387-M393-M399</f>
        <v/>
      </c>
      <c r="N400" s="40">
        <f>N387-N393-N399</f>
        <v/>
      </c>
      <c r="O400" s="40">
        <f>O387-O393-O399</f>
        <v/>
      </c>
      <c r="P400" s="40">
        <f>P387-P393-P399</f>
        <v/>
      </c>
      <c r="Q400" s="40">
        <f>Q387-Q393-Q399</f>
        <v/>
      </c>
      <c r="R400" s="40">
        <f>R387-R393-R399</f>
        <v/>
      </c>
      <c r="S400" s="40">
        <f>S387-S393-S399</f>
        <v/>
      </c>
      <c r="T400" s="40">
        <f>T387-T393-T399</f>
        <v/>
      </c>
      <c r="U400" s="40">
        <f>U387-U393-U399</f>
        <v/>
      </c>
      <c r="V400" s="40">
        <f>V387-V393-V399</f>
        <v/>
      </c>
      <c r="W400" s="40">
        <f>W387-W393-W399</f>
        <v/>
      </c>
      <c r="X400" s="40">
        <f>X387-X393-X399</f>
        <v/>
      </c>
      <c r="Y400" s="40">
        <f>Y387-Y393-Y399</f>
        <v/>
      </c>
      <c r="Z400" s="40">
        <f>Z387-Z393-Z399</f>
        <v/>
      </c>
      <c r="AA400" s="40">
        <f>AA387-AA393-AA399</f>
        <v/>
      </c>
      <c r="AB400" s="40">
        <f>AB387-AB393-AB399</f>
        <v/>
      </c>
      <c r="AC400" s="40">
        <f>AC387-AC393-AC399</f>
        <v/>
      </c>
      <c r="AD400" s="40">
        <f>AD387-AD393-AD399</f>
        <v/>
      </c>
      <c r="AE400" s="40">
        <f>AE387-AE393-AE399</f>
        <v/>
      </c>
      <c r="AF400" s="40">
        <f>AF387-AF393-AF399</f>
        <v/>
      </c>
      <c r="AG400" s="40">
        <f>AG387-AG393-AG399</f>
        <v/>
      </c>
      <c r="AH400" s="40">
        <f>AH387-AH393-AH399</f>
        <v/>
      </c>
      <c r="AI400" s="40">
        <f>AI387-AI393-AI399</f>
        <v/>
      </c>
      <c r="AJ400" s="40">
        <f>AJ387-AJ393-AJ399</f>
        <v/>
      </c>
      <c r="AK400" s="40">
        <f>AK387-AK393-AK399</f>
        <v/>
      </c>
      <c r="AL400" s="40">
        <f>AL387-AL393-AL399</f>
        <v/>
      </c>
      <c r="AM400" s="40">
        <f>AM387-AM393-AM399</f>
        <v/>
      </c>
      <c r="AN400" s="40">
        <f>AN387-AN393-AN399</f>
        <v/>
      </c>
      <c r="AO400" s="40">
        <f>AO387-AO393-AO399</f>
        <v/>
      </c>
      <c r="AP400" s="40">
        <f>AP387-AP393-AP399</f>
        <v/>
      </c>
      <c r="AQ400" s="40">
        <f>AQ387-AQ393-AQ399</f>
        <v/>
      </c>
      <c r="AR400" s="40">
        <f>AR387-AR393-AR399</f>
        <v/>
      </c>
      <c r="AS400" s="40">
        <f>AS387-AS393-AS399</f>
        <v/>
      </c>
      <c r="AT400" s="40">
        <f>AT387-AT393-AT399</f>
        <v/>
      </c>
      <c r="AU400" s="40">
        <f>AU387-AU393-AU399</f>
        <v/>
      </c>
      <c r="AV400" s="40">
        <f>AV387-AV393-AV399</f>
        <v/>
      </c>
      <c r="AW400" s="40">
        <f>AW387-AW393-AW399</f>
        <v/>
      </c>
      <c r="AX400" s="40">
        <f>AX387-AX393-AX399</f>
        <v/>
      </c>
      <c r="AY400" s="40">
        <f>AY387-AY393-AY399</f>
        <v/>
      </c>
      <c r="AZ400" s="40">
        <f>AZ387-AZ393-AZ399</f>
        <v/>
      </c>
      <c r="BA400" s="40">
        <f>BA387-BA393-BA399</f>
        <v/>
      </c>
      <c r="BB400" s="40">
        <f>BB387-BB393-BB399</f>
        <v/>
      </c>
      <c r="BC400" s="40">
        <f>BC387-BC393-BC399</f>
        <v/>
      </c>
      <c r="BD400" s="40">
        <f>BD387-BD393-BD399</f>
        <v/>
      </c>
    </row>
    <row r="401">
      <c r="A401" s="2" t="inlineStr">
        <is>
          <t xml:space="preserve">   ^ subtracts what LEAVES, not what was offered — so 'returned to store' is</t>
        </is>
      </c>
    </row>
    <row r="402">
      <c r="A402" s="2" t="inlineStr">
        <is>
          <t xml:space="preserve">     never taken out at all, and shows up as next week's carried in.</t>
        </is>
      </c>
    </row>
    <row r="403">
      <c r="A403" s="43" t="inlineStr">
        <is>
          <t>Most stock its shelf life allows</t>
        </is>
      </c>
      <c r="B403" s="2" t="inlineStr">
        <is>
          <t>lb</t>
        </is>
      </c>
      <c r="E403" s="42">
        <f>SUMPRODUCT(($E$383:$BD$383&gt;=1-$F$19+2)*($E$383:$BD$383&lt;=1)*$E$384:$BD$384*POWER(1-$G$19,($E$383:$BD$383&lt;=1)*(1-$E$383:$BD$383)))</f>
        <v/>
      </c>
      <c r="F403" s="42">
        <f>SUMPRODUCT(($E$383:$BD$383&gt;=2-$F$19+2)*($E$383:$BD$383&lt;=2)*$E$384:$BD$384*POWER(1-$G$19,($E$383:$BD$383&lt;=2)*(2-$E$383:$BD$383)))</f>
        <v/>
      </c>
      <c r="G403" s="42">
        <f>SUMPRODUCT(($E$383:$BD$383&gt;=3-$F$19+2)*($E$383:$BD$383&lt;=3)*$E$384:$BD$384*POWER(1-$G$19,($E$383:$BD$383&lt;=3)*(3-$E$383:$BD$383)))</f>
        <v/>
      </c>
      <c r="H403" s="42">
        <f>SUMPRODUCT(($E$383:$BD$383&gt;=4-$F$19+2)*($E$383:$BD$383&lt;=4)*$E$384:$BD$384*POWER(1-$G$19,($E$383:$BD$383&lt;=4)*(4-$E$383:$BD$383)))</f>
        <v/>
      </c>
      <c r="I403" s="42">
        <f>SUMPRODUCT(($E$383:$BD$383&gt;=5-$F$19+2)*($E$383:$BD$383&lt;=5)*$E$384:$BD$384*POWER(1-$G$19,($E$383:$BD$383&lt;=5)*(5-$E$383:$BD$383)))</f>
        <v/>
      </c>
      <c r="J403" s="42">
        <f>SUMPRODUCT(($E$383:$BD$383&gt;=6-$F$19+2)*($E$383:$BD$383&lt;=6)*$E$384:$BD$384*POWER(1-$G$19,($E$383:$BD$383&lt;=6)*(6-$E$383:$BD$383)))</f>
        <v/>
      </c>
      <c r="K403" s="42">
        <f>SUMPRODUCT(($E$383:$BD$383&gt;=7-$F$19+2)*($E$383:$BD$383&lt;=7)*$E$384:$BD$384*POWER(1-$G$19,($E$383:$BD$383&lt;=7)*(7-$E$383:$BD$383)))</f>
        <v/>
      </c>
      <c r="L403" s="42">
        <f>SUMPRODUCT(($E$383:$BD$383&gt;=8-$F$19+2)*($E$383:$BD$383&lt;=8)*$E$384:$BD$384*POWER(1-$G$19,($E$383:$BD$383&lt;=8)*(8-$E$383:$BD$383)))</f>
        <v/>
      </c>
      <c r="M403" s="42">
        <f>SUMPRODUCT(($E$383:$BD$383&gt;=9-$F$19+2)*($E$383:$BD$383&lt;=9)*$E$384:$BD$384*POWER(1-$G$19,($E$383:$BD$383&lt;=9)*(9-$E$383:$BD$383)))</f>
        <v/>
      </c>
      <c r="N403" s="42">
        <f>SUMPRODUCT(($E$383:$BD$383&gt;=10-$F$19+2)*($E$383:$BD$383&lt;=10)*$E$384:$BD$384*POWER(1-$G$19,($E$383:$BD$383&lt;=10)*(10-$E$383:$BD$383)))</f>
        <v/>
      </c>
      <c r="O403" s="42">
        <f>SUMPRODUCT(($E$383:$BD$383&gt;=11-$F$19+2)*($E$383:$BD$383&lt;=11)*$E$384:$BD$384*POWER(1-$G$19,($E$383:$BD$383&lt;=11)*(11-$E$383:$BD$383)))</f>
        <v/>
      </c>
      <c r="P403" s="42">
        <f>SUMPRODUCT(($E$383:$BD$383&gt;=12-$F$19+2)*($E$383:$BD$383&lt;=12)*$E$384:$BD$384*POWER(1-$G$19,($E$383:$BD$383&lt;=12)*(12-$E$383:$BD$383)))</f>
        <v/>
      </c>
      <c r="Q403" s="42">
        <f>SUMPRODUCT(($E$383:$BD$383&gt;=13-$F$19+2)*($E$383:$BD$383&lt;=13)*$E$384:$BD$384*POWER(1-$G$19,($E$383:$BD$383&lt;=13)*(13-$E$383:$BD$383)))</f>
        <v/>
      </c>
      <c r="R403" s="42">
        <f>SUMPRODUCT(($E$383:$BD$383&gt;=14-$F$19+2)*($E$383:$BD$383&lt;=14)*$E$384:$BD$384*POWER(1-$G$19,($E$383:$BD$383&lt;=14)*(14-$E$383:$BD$383)))</f>
        <v/>
      </c>
      <c r="S403" s="42">
        <f>SUMPRODUCT(($E$383:$BD$383&gt;=15-$F$19+2)*($E$383:$BD$383&lt;=15)*$E$384:$BD$384*POWER(1-$G$19,($E$383:$BD$383&lt;=15)*(15-$E$383:$BD$383)))</f>
        <v/>
      </c>
      <c r="T403" s="42">
        <f>SUMPRODUCT(($E$383:$BD$383&gt;=16-$F$19+2)*($E$383:$BD$383&lt;=16)*$E$384:$BD$384*POWER(1-$G$19,($E$383:$BD$383&lt;=16)*(16-$E$383:$BD$383)))</f>
        <v/>
      </c>
      <c r="U403" s="42">
        <f>SUMPRODUCT(($E$383:$BD$383&gt;=17-$F$19+2)*($E$383:$BD$383&lt;=17)*$E$384:$BD$384*POWER(1-$G$19,($E$383:$BD$383&lt;=17)*(17-$E$383:$BD$383)))</f>
        <v/>
      </c>
      <c r="V403" s="42">
        <f>SUMPRODUCT(($E$383:$BD$383&gt;=18-$F$19+2)*($E$383:$BD$383&lt;=18)*$E$384:$BD$384*POWER(1-$G$19,($E$383:$BD$383&lt;=18)*(18-$E$383:$BD$383)))</f>
        <v/>
      </c>
      <c r="W403" s="42">
        <f>SUMPRODUCT(($E$383:$BD$383&gt;=19-$F$19+2)*($E$383:$BD$383&lt;=19)*$E$384:$BD$384*POWER(1-$G$19,($E$383:$BD$383&lt;=19)*(19-$E$383:$BD$383)))</f>
        <v/>
      </c>
      <c r="X403" s="42">
        <f>SUMPRODUCT(($E$383:$BD$383&gt;=20-$F$19+2)*($E$383:$BD$383&lt;=20)*$E$384:$BD$384*POWER(1-$G$19,($E$383:$BD$383&lt;=20)*(20-$E$383:$BD$383)))</f>
        <v/>
      </c>
      <c r="Y403" s="42">
        <f>SUMPRODUCT(($E$383:$BD$383&gt;=21-$F$19+2)*($E$383:$BD$383&lt;=21)*$E$384:$BD$384*POWER(1-$G$19,($E$383:$BD$383&lt;=21)*(21-$E$383:$BD$383)))</f>
        <v/>
      </c>
      <c r="Z403" s="42">
        <f>SUMPRODUCT(($E$383:$BD$383&gt;=22-$F$19+2)*($E$383:$BD$383&lt;=22)*$E$384:$BD$384*POWER(1-$G$19,($E$383:$BD$383&lt;=22)*(22-$E$383:$BD$383)))</f>
        <v/>
      </c>
      <c r="AA403" s="42">
        <f>SUMPRODUCT(($E$383:$BD$383&gt;=23-$F$19+2)*($E$383:$BD$383&lt;=23)*$E$384:$BD$384*POWER(1-$G$19,($E$383:$BD$383&lt;=23)*(23-$E$383:$BD$383)))</f>
        <v/>
      </c>
      <c r="AB403" s="42">
        <f>SUMPRODUCT(($E$383:$BD$383&gt;=24-$F$19+2)*($E$383:$BD$383&lt;=24)*$E$384:$BD$384*POWER(1-$G$19,($E$383:$BD$383&lt;=24)*(24-$E$383:$BD$383)))</f>
        <v/>
      </c>
      <c r="AC403" s="42">
        <f>SUMPRODUCT(($E$383:$BD$383&gt;=25-$F$19+2)*($E$383:$BD$383&lt;=25)*$E$384:$BD$384*POWER(1-$G$19,($E$383:$BD$383&lt;=25)*(25-$E$383:$BD$383)))</f>
        <v/>
      </c>
      <c r="AD403" s="42">
        <f>SUMPRODUCT(($E$383:$BD$383&gt;=26-$F$19+2)*($E$383:$BD$383&lt;=26)*$E$384:$BD$384*POWER(1-$G$19,($E$383:$BD$383&lt;=26)*(26-$E$383:$BD$383)))</f>
        <v/>
      </c>
      <c r="AE403" s="42">
        <f>SUMPRODUCT(($E$383:$BD$383&gt;=27-$F$19+2)*($E$383:$BD$383&lt;=27)*$E$384:$BD$384*POWER(1-$G$19,($E$383:$BD$383&lt;=27)*(27-$E$383:$BD$383)))</f>
        <v/>
      </c>
      <c r="AF403" s="42">
        <f>SUMPRODUCT(($E$383:$BD$383&gt;=28-$F$19+2)*($E$383:$BD$383&lt;=28)*$E$384:$BD$384*POWER(1-$G$19,($E$383:$BD$383&lt;=28)*(28-$E$383:$BD$383)))</f>
        <v/>
      </c>
      <c r="AG403" s="42">
        <f>SUMPRODUCT(($E$383:$BD$383&gt;=29-$F$19+2)*($E$383:$BD$383&lt;=29)*$E$384:$BD$384*POWER(1-$G$19,($E$383:$BD$383&lt;=29)*(29-$E$383:$BD$383)))</f>
        <v/>
      </c>
      <c r="AH403" s="42">
        <f>SUMPRODUCT(($E$383:$BD$383&gt;=30-$F$19+2)*($E$383:$BD$383&lt;=30)*$E$384:$BD$384*POWER(1-$G$19,($E$383:$BD$383&lt;=30)*(30-$E$383:$BD$383)))</f>
        <v/>
      </c>
      <c r="AI403" s="42">
        <f>SUMPRODUCT(($E$383:$BD$383&gt;=31-$F$19+2)*($E$383:$BD$383&lt;=31)*$E$384:$BD$384*POWER(1-$G$19,($E$383:$BD$383&lt;=31)*(31-$E$383:$BD$383)))</f>
        <v/>
      </c>
      <c r="AJ403" s="42">
        <f>SUMPRODUCT(($E$383:$BD$383&gt;=32-$F$19+2)*($E$383:$BD$383&lt;=32)*$E$384:$BD$384*POWER(1-$G$19,($E$383:$BD$383&lt;=32)*(32-$E$383:$BD$383)))</f>
        <v/>
      </c>
      <c r="AK403" s="42">
        <f>SUMPRODUCT(($E$383:$BD$383&gt;=33-$F$19+2)*($E$383:$BD$383&lt;=33)*$E$384:$BD$384*POWER(1-$G$19,($E$383:$BD$383&lt;=33)*(33-$E$383:$BD$383)))</f>
        <v/>
      </c>
      <c r="AL403" s="42">
        <f>SUMPRODUCT(($E$383:$BD$383&gt;=34-$F$19+2)*($E$383:$BD$383&lt;=34)*$E$384:$BD$384*POWER(1-$G$19,($E$383:$BD$383&lt;=34)*(34-$E$383:$BD$383)))</f>
        <v/>
      </c>
      <c r="AM403" s="42">
        <f>SUMPRODUCT(($E$383:$BD$383&gt;=35-$F$19+2)*($E$383:$BD$383&lt;=35)*$E$384:$BD$384*POWER(1-$G$19,($E$383:$BD$383&lt;=35)*(35-$E$383:$BD$383)))</f>
        <v/>
      </c>
      <c r="AN403" s="42">
        <f>SUMPRODUCT(($E$383:$BD$383&gt;=36-$F$19+2)*($E$383:$BD$383&lt;=36)*$E$384:$BD$384*POWER(1-$G$19,($E$383:$BD$383&lt;=36)*(36-$E$383:$BD$383)))</f>
        <v/>
      </c>
      <c r="AO403" s="42">
        <f>SUMPRODUCT(($E$383:$BD$383&gt;=37-$F$19+2)*($E$383:$BD$383&lt;=37)*$E$384:$BD$384*POWER(1-$G$19,($E$383:$BD$383&lt;=37)*(37-$E$383:$BD$383)))</f>
        <v/>
      </c>
      <c r="AP403" s="42">
        <f>SUMPRODUCT(($E$383:$BD$383&gt;=38-$F$19+2)*($E$383:$BD$383&lt;=38)*$E$384:$BD$384*POWER(1-$G$19,($E$383:$BD$383&lt;=38)*(38-$E$383:$BD$383)))</f>
        <v/>
      </c>
      <c r="AQ403" s="42">
        <f>SUMPRODUCT(($E$383:$BD$383&gt;=39-$F$19+2)*($E$383:$BD$383&lt;=39)*$E$384:$BD$384*POWER(1-$G$19,($E$383:$BD$383&lt;=39)*(39-$E$383:$BD$383)))</f>
        <v/>
      </c>
      <c r="AR403" s="42">
        <f>SUMPRODUCT(($E$383:$BD$383&gt;=40-$F$19+2)*($E$383:$BD$383&lt;=40)*$E$384:$BD$384*POWER(1-$G$19,($E$383:$BD$383&lt;=40)*(40-$E$383:$BD$383)))</f>
        <v/>
      </c>
      <c r="AS403" s="42">
        <f>SUMPRODUCT(($E$383:$BD$383&gt;=41-$F$19+2)*($E$383:$BD$383&lt;=41)*$E$384:$BD$384*POWER(1-$G$19,($E$383:$BD$383&lt;=41)*(41-$E$383:$BD$383)))</f>
        <v/>
      </c>
      <c r="AT403" s="42">
        <f>SUMPRODUCT(($E$383:$BD$383&gt;=42-$F$19+2)*($E$383:$BD$383&lt;=42)*$E$384:$BD$384*POWER(1-$G$19,($E$383:$BD$383&lt;=42)*(42-$E$383:$BD$383)))</f>
        <v/>
      </c>
      <c r="AU403" s="42">
        <f>SUMPRODUCT(($E$383:$BD$383&gt;=43-$F$19+2)*($E$383:$BD$383&lt;=43)*$E$384:$BD$384*POWER(1-$G$19,($E$383:$BD$383&lt;=43)*(43-$E$383:$BD$383)))</f>
        <v/>
      </c>
      <c r="AV403" s="42">
        <f>SUMPRODUCT(($E$383:$BD$383&gt;=44-$F$19+2)*($E$383:$BD$383&lt;=44)*$E$384:$BD$384*POWER(1-$G$19,($E$383:$BD$383&lt;=44)*(44-$E$383:$BD$383)))</f>
        <v/>
      </c>
      <c r="AW403" s="42">
        <f>SUMPRODUCT(($E$383:$BD$383&gt;=45-$F$19+2)*($E$383:$BD$383&lt;=45)*$E$384:$BD$384*POWER(1-$G$19,($E$383:$BD$383&lt;=45)*(45-$E$383:$BD$383)))</f>
        <v/>
      </c>
      <c r="AX403" s="42">
        <f>SUMPRODUCT(($E$383:$BD$383&gt;=46-$F$19+2)*($E$383:$BD$383&lt;=46)*$E$384:$BD$384*POWER(1-$G$19,($E$383:$BD$383&lt;=46)*(46-$E$383:$BD$383)))</f>
        <v/>
      </c>
      <c r="AY403" s="42">
        <f>SUMPRODUCT(($E$383:$BD$383&gt;=47-$F$19+2)*($E$383:$BD$383&lt;=47)*$E$384:$BD$384*POWER(1-$G$19,($E$383:$BD$383&lt;=47)*(47-$E$383:$BD$383)))</f>
        <v/>
      </c>
      <c r="AZ403" s="42">
        <f>SUMPRODUCT(($E$383:$BD$383&gt;=48-$F$19+2)*($E$383:$BD$383&lt;=48)*$E$384:$BD$384*POWER(1-$G$19,($E$383:$BD$383&lt;=48)*(48-$E$383:$BD$383)))</f>
        <v/>
      </c>
      <c r="BA403" s="42">
        <f>SUMPRODUCT(($E$383:$BD$383&gt;=49-$F$19+2)*($E$383:$BD$383&lt;=49)*$E$384:$BD$384*POWER(1-$G$19,($E$383:$BD$383&lt;=49)*(49-$E$383:$BD$383)))</f>
        <v/>
      </c>
      <c r="BB403" s="42">
        <f>SUMPRODUCT(($E$383:$BD$383&gt;=50-$F$19+2)*($E$383:$BD$383&lt;=50)*$E$384:$BD$384*POWER(1-$G$19,($E$383:$BD$383&lt;=50)*(50-$E$383:$BD$383)))</f>
        <v/>
      </c>
      <c r="BC403" s="42">
        <f>SUMPRODUCT(($E$383:$BD$383&gt;=51-$F$19+2)*($E$383:$BD$383&lt;=51)*$E$384:$BD$384*POWER(1-$G$19,($E$383:$BD$383&lt;=51)*(51-$E$383:$BD$383)))</f>
        <v/>
      </c>
      <c r="BD403" s="42">
        <f>SUMPRODUCT(($E$383:$BD$383&gt;=52-$F$19+2)*($E$383:$BD$383&lt;=52)*$E$384:$BD$384*POWER(1-$G$19,($E$383:$BD$383&lt;=52)*(52-$E$383:$BD$383)))</f>
        <v/>
      </c>
    </row>
    <row r="404">
      <c r="A404" s="2" t="inlineStr">
        <is>
          <t xml:space="preserve">   Stock carried out must stay at or below this row.</t>
        </is>
      </c>
    </row>
    <row r="405">
      <c r="A405" s="33" t="inlineStr">
        <is>
          <t>Growing cost this week</t>
        </is>
      </c>
      <c r="B405" s="2" t="inlineStr">
        <is>
          <t>$</t>
        </is>
      </c>
      <c r="E405" s="40">
        <f>SUMPRODUCT(($B$92:$B$232="Garlic")*(E$92:E$232="P")*$C$92:$C$232)*$K$19+SUMPRODUCT(($B$92:$B$232="Garlic")*(E$92:E$232="G")*$C$92:$C$232)*$L$19+SUMPRODUCT(($B$92:$B$232="Garlic")*(E$92:E$232="H")*$C$92:$C$232)*$M$19+SUMPRODUCT(($B$92:$B$232="Garlic")*($BG$92:$BG$232=1)*$C$92:$C$232)*$H$19</f>
        <v/>
      </c>
      <c r="F405" s="40">
        <f>SUMPRODUCT(($B$92:$B$232="Garlic")*(F$92:F$232="P")*$C$92:$C$232)*$K$19+SUMPRODUCT(($B$92:$B$232="Garlic")*(F$92:F$232="G")*$C$92:$C$232)*$L$19+SUMPRODUCT(($B$92:$B$232="Garlic")*(F$92:F$232="H")*$C$92:$C$232)*$M$19+SUMPRODUCT(($B$92:$B$232="Garlic")*($BG$92:$BG$232=2)*$C$92:$C$232)*$H$19</f>
        <v/>
      </c>
      <c r="G405" s="40">
        <f>SUMPRODUCT(($B$92:$B$232="Garlic")*(G$92:G$232="P")*$C$92:$C$232)*$K$19+SUMPRODUCT(($B$92:$B$232="Garlic")*(G$92:G$232="G")*$C$92:$C$232)*$L$19+SUMPRODUCT(($B$92:$B$232="Garlic")*(G$92:G$232="H")*$C$92:$C$232)*$M$19+SUMPRODUCT(($B$92:$B$232="Garlic")*($BG$92:$BG$232=3)*$C$92:$C$232)*$H$19</f>
        <v/>
      </c>
      <c r="H405" s="40">
        <f>SUMPRODUCT(($B$92:$B$232="Garlic")*(H$92:H$232="P")*$C$92:$C$232)*$K$19+SUMPRODUCT(($B$92:$B$232="Garlic")*(H$92:H$232="G")*$C$92:$C$232)*$L$19+SUMPRODUCT(($B$92:$B$232="Garlic")*(H$92:H$232="H")*$C$92:$C$232)*$M$19+SUMPRODUCT(($B$92:$B$232="Garlic")*($BG$92:$BG$232=4)*$C$92:$C$232)*$H$19</f>
        <v/>
      </c>
      <c r="I405" s="40">
        <f>SUMPRODUCT(($B$92:$B$232="Garlic")*(I$92:I$232="P")*$C$92:$C$232)*$K$19+SUMPRODUCT(($B$92:$B$232="Garlic")*(I$92:I$232="G")*$C$92:$C$232)*$L$19+SUMPRODUCT(($B$92:$B$232="Garlic")*(I$92:I$232="H")*$C$92:$C$232)*$M$19+SUMPRODUCT(($B$92:$B$232="Garlic")*($BG$92:$BG$232=5)*$C$92:$C$232)*$H$19</f>
        <v/>
      </c>
      <c r="J405" s="40">
        <f>SUMPRODUCT(($B$92:$B$232="Garlic")*(J$92:J$232="P")*$C$92:$C$232)*$K$19+SUMPRODUCT(($B$92:$B$232="Garlic")*(J$92:J$232="G")*$C$92:$C$232)*$L$19+SUMPRODUCT(($B$92:$B$232="Garlic")*(J$92:J$232="H")*$C$92:$C$232)*$M$19+SUMPRODUCT(($B$92:$B$232="Garlic")*($BG$92:$BG$232=6)*$C$92:$C$232)*$H$19</f>
        <v/>
      </c>
      <c r="K405" s="40">
        <f>SUMPRODUCT(($B$92:$B$232="Garlic")*(K$92:K$232="P")*$C$92:$C$232)*$K$19+SUMPRODUCT(($B$92:$B$232="Garlic")*(K$92:K$232="G")*$C$92:$C$232)*$L$19+SUMPRODUCT(($B$92:$B$232="Garlic")*(K$92:K$232="H")*$C$92:$C$232)*$M$19+SUMPRODUCT(($B$92:$B$232="Garlic")*($BG$92:$BG$232=7)*$C$92:$C$232)*$H$19</f>
        <v/>
      </c>
      <c r="L405" s="40">
        <f>SUMPRODUCT(($B$92:$B$232="Garlic")*(L$92:L$232="P")*$C$92:$C$232)*$K$19+SUMPRODUCT(($B$92:$B$232="Garlic")*(L$92:L$232="G")*$C$92:$C$232)*$L$19+SUMPRODUCT(($B$92:$B$232="Garlic")*(L$92:L$232="H")*$C$92:$C$232)*$M$19+SUMPRODUCT(($B$92:$B$232="Garlic")*($BG$92:$BG$232=8)*$C$92:$C$232)*$H$19</f>
        <v/>
      </c>
      <c r="M405" s="40">
        <f>SUMPRODUCT(($B$92:$B$232="Garlic")*(M$92:M$232="P")*$C$92:$C$232)*$K$19+SUMPRODUCT(($B$92:$B$232="Garlic")*(M$92:M$232="G")*$C$92:$C$232)*$L$19+SUMPRODUCT(($B$92:$B$232="Garlic")*(M$92:M$232="H")*$C$92:$C$232)*$M$19+SUMPRODUCT(($B$92:$B$232="Garlic")*($BG$92:$BG$232=9)*$C$92:$C$232)*$H$19</f>
        <v/>
      </c>
      <c r="N405" s="40">
        <f>SUMPRODUCT(($B$92:$B$232="Garlic")*(N$92:N$232="P")*$C$92:$C$232)*$K$19+SUMPRODUCT(($B$92:$B$232="Garlic")*(N$92:N$232="G")*$C$92:$C$232)*$L$19+SUMPRODUCT(($B$92:$B$232="Garlic")*(N$92:N$232="H")*$C$92:$C$232)*$M$19+SUMPRODUCT(($B$92:$B$232="Garlic")*($BG$92:$BG$232=10)*$C$92:$C$232)*$H$19</f>
        <v/>
      </c>
      <c r="O405" s="40">
        <f>SUMPRODUCT(($B$92:$B$232="Garlic")*(O$92:O$232="P")*$C$92:$C$232)*$K$19+SUMPRODUCT(($B$92:$B$232="Garlic")*(O$92:O$232="G")*$C$92:$C$232)*$L$19+SUMPRODUCT(($B$92:$B$232="Garlic")*(O$92:O$232="H")*$C$92:$C$232)*$M$19+SUMPRODUCT(($B$92:$B$232="Garlic")*($BG$92:$BG$232=11)*$C$92:$C$232)*$H$19</f>
        <v/>
      </c>
      <c r="P405" s="40">
        <f>SUMPRODUCT(($B$92:$B$232="Garlic")*(P$92:P$232="P")*$C$92:$C$232)*$K$19+SUMPRODUCT(($B$92:$B$232="Garlic")*(P$92:P$232="G")*$C$92:$C$232)*$L$19+SUMPRODUCT(($B$92:$B$232="Garlic")*(P$92:P$232="H")*$C$92:$C$232)*$M$19+SUMPRODUCT(($B$92:$B$232="Garlic")*($BG$92:$BG$232=12)*$C$92:$C$232)*$H$19</f>
        <v/>
      </c>
      <c r="Q405" s="40">
        <f>SUMPRODUCT(($B$92:$B$232="Garlic")*(Q$92:Q$232="P")*$C$92:$C$232)*$K$19+SUMPRODUCT(($B$92:$B$232="Garlic")*(Q$92:Q$232="G")*$C$92:$C$232)*$L$19+SUMPRODUCT(($B$92:$B$232="Garlic")*(Q$92:Q$232="H")*$C$92:$C$232)*$M$19+SUMPRODUCT(($B$92:$B$232="Garlic")*($BG$92:$BG$232=13)*$C$92:$C$232)*$H$19</f>
        <v/>
      </c>
      <c r="R405" s="40">
        <f>SUMPRODUCT(($B$92:$B$232="Garlic")*(R$92:R$232="P")*$C$92:$C$232)*$K$19+SUMPRODUCT(($B$92:$B$232="Garlic")*(R$92:R$232="G")*$C$92:$C$232)*$L$19+SUMPRODUCT(($B$92:$B$232="Garlic")*(R$92:R$232="H")*$C$92:$C$232)*$M$19+SUMPRODUCT(($B$92:$B$232="Garlic")*($BG$92:$BG$232=14)*$C$92:$C$232)*$H$19</f>
        <v/>
      </c>
      <c r="S405" s="40">
        <f>SUMPRODUCT(($B$92:$B$232="Garlic")*(S$92:S$232="P")*$C$92:$C$232)*$K$19+SUMPRODUCT(($B$92:$B$232="Garlic")*(S$92:S$232="G")*$C$92:$C$232)*$L$19+SUMPRODUCT(($B$92:$B$232="Garlic")*(S$92:S$232="H")*$C$92:$C$232)*$M$19+SUMPRODUCT(($B$92:$B$232="Garlic")*($BG$92:$BG$232=15)*$C$92:$C$232)*$H$19</f>
        <v/>
      </c>
      <c r="T405" s="40">
        <f>SUMPRODUCT(($B$92:$B$232="Garlic")*(T$92:T$232="P")*$C$92:$C$232)*$K$19+SUMPRODUCT(($B$92:$B$232="Garlic")*(T$92:T$232="G")*$C$92:$C$232)*$L$19+SUMPRODUCT(($B$92:$B$232="Garlic")*(T$92:T$232="H")*$C$92:$C$232)*$M$19+SUMPRODUCT(($B$92:$B$232="Garlic")*($BG$92:$BG$232=16)*$C$92:$C$232)*$H$19</f>
        <v/>
      </c>
      <c r="U405" s="40">
        <f>SUMPRODUCT(($B$92:$B$232="Garlic")*(U$92:U$232="P")*$C$92:$C$232)*$K$19+SUMPRODUCT(($B$92:$B$232="Garlic")*(U$92:U$232="G")*$C$92:$C$232)*$L$19+SUMPRODUCT(($B$92:$B$232="Garlic")*(U$92:U$232="H")*$C$92:$C$232)*$M$19+SUMPRODUCT(($B$92:$B$232="Garlic")*($BG$92:$BG$232=17)*$C$92:$C$232)*$H$19</f>
        <v/>
      </c>
      <c r="V405" s="40">
        <f>SUMPRODUCT(($B$92:$B$232="Garlic")*(V$92:V$232="P")*$C$92:$C$232)*$K$19+SUMPRODUCT(($B$92:$B$232="Garlic")*(V$92:V$232="G")*$C$92:$C$232)*$L$19+SUMPRODUCT(($B$92:$B$232="Garlic")*(V$92:V$232="H")*$C$92:$C$232)*$M$19+SUMPRODUCT(($B$92:$B$232="Garlic")*($BG$92:$BG$232=18)*$C$92:$C$232)*$H$19</f>
        <v/>
      </c>
      <c r="W405" s="40">
        <f>SUMPRODUCT(($B$92:$B$232="Garlic")*(W$92:W$232="P")*$C$92:$C$232)*$K$19+SUMPRODUCT(($B$92:$B$232="Garlic")*(W$92:W$232="G")*$C$92:$C$232)*$L$19+SUMPRODUCT(($B$92:$B$232="Garlic")*(W$92:W$232="H")*$C$92:$C$232)*$M$19+SUMPRODUCT(($B$92:$B$232="Garlic")*($BG$92:$BG$232=19)*$C$92:$C$232)*$H$19</f>
        <v/>
      </c>
      <c r="X405" s="40">
        <f>SUMPRODUCT(($B$92:$B$232="Garlic")*(X$92:X$232="P")*$C$92:$C$232)*$K$19+SUMPRODUCT(($B$92:$B$232="Garlic")*(X$92:X$232="G")*$C$92:$C$232)*$L$19+SUMPRODUCT(($B$92:$B$232="Garlic")*(X$92:X$232="H")*$C$92:$C$232)*$M$19+SUMPRODUCT(($B$92:$B$232="Garlic")*($BG$92:$BG$232=20)*$C$92:$C$232)*$H$19</f>
        <v/>
      </c>
      <c r="Y405" s="40">
        <f>SUMPRODUCT(($B$92:$B$232="Garlic")*(Y$92:Y$232="P")*$C$92:$C$232)*$K$19+SUMPRODUCT(($B$92:$B$232="Garlic")*(Y$92:Y$232="G")*$C$92:$C$232)*$L$19+SUMPRODUCT(($B$92:$B$232="Garlic")*(Y$92:Y$232="H")*$C$92:$C$232)*$M$19+SUMPRODUCT(($B$92:$B$232="Garlic")*($BG$92:$BG$232=21)*$C$92:$C$232)*$H$19</f>
        <v/>
      </c>
      <c r="Z405" s="40">
        <f>SUMPRODUCT(($B$92:$B$232="Garlic")*(Z$92:Z$232="P")*$C$92:$C$232)*$K$19+SUMPRODUCT(($B$92:$B$232="Garlic")*(Z$92:Z$232="G")*$C$92:$C$232)*$L$19+SUMPRODUCT(($B$92:$B$232="Garlic")*(Z$92:Z$232="H")*$C$92:$C$232)*$M$19+SUMPRODUCT(($B$92:$B$232="Garlic")*($BG$92:$BG$232=22)*$C$92:$C$232)*$H$19</f>
        <v/>
      </c>
      <c r="AA405" s="40">
        <f>SUMPRODUCT(($B$92:$B$232="Garlic")*(AA$92:AA$232="P")*$C$92:$C$232)*$K$19+SUMPRODUCT(($B$92:$B$232="Garlic")*(AA$92:AA$232="G")*$C$92:$C$232)*$L$19+SUMPRODUCT(($B$92:$B$232="Garlic")*(AA$92:AA$232="H")*$C$92:$C$232)*$M$19+SUMPRODUCT(($B$92:$B$232="Garlic")*($BG$92:$BG$232=23)*$C$92:$C$232)*$H$19</f>
        <v/>
      </c>
      <c r="AB405" s="40">
        <f>SUMPRODUCT(($B$92:$B$232="Garlic")*(AB$92:AB$232="P")*$C$92:$C$232)*$K$19+SUMPRODUCT(($B$92:$B$232="Garlic")*(AB$92:AB$232="G")*$C$92:$C$232)*$L$19+SUMPRODUCT(($B$92:$B$232="Garlic")*(AB$92:AB$232="H")*$C$92:$C$232)*$M$19+SUMPRODUCT(($B$92:$B$232="Garlic")*($BG$92:$BG$232=24)*$C$92:$C$232)*$H$19</f>
        <v/>
      </c>
      <c r="AC405" s="40">
        <f>SUMPRODUCT(($B$92:$B$232="Garlic")*(AC$92:AC$232="P")*$C$92:$C$232)*$K$19+SUMPRODUCT(($B$92:$B$232="Garlic")*(AC$92:AC$232="G")*$C$92:$C$232)*$L$19+SUMPRODUCT(($B$92:$B$232="Garlic")*(AC$92:AC$232="H")*$C$92:$C$232)*$M$19+SUMPRODUCT(($B$92:$B$232="Garlic")*($BG$92:$BG$232=25)*$C$92:$C$232)*$H$19</f>
        <v/>
      </c>
      <c r="AD405" s="40">
        <f>SUMPRODUCT(($B$92:$B$232="Garlic")*(AD$92:AD$232="P")*$C$92:$C$232)*$K$19+SUMPRODUCT(($B$92:$B$232="Garlic")*(AD$92:AD$232="G")*$C$92:$C$232)*$L$19+SUMPRODUCT(($B$92:$B$232="Garlic")*(AD$92:AD$232="H")*$C$92:$C$232)*$M$19+SUMPRODUCT(($B$92:$B$232="Garlic")*($BG$92:$BG$232=26)*$C$92:$C$232)*$H$19</f>
        <v/>
      </c>
      <c r="AE405" s="40">
        <f>SUMPRODUCT(($B$92:$B$232="Garlic")*(AE$92:AE$232="P")*$C$92:$C$232)*$K$19+SUMPRODUCT(($B$92:$B$232="Garlic")*(AE$92:AE$232="G")*$C$92:$C$232)*$L$19+SUMPRODUCT(($B$92:$B$232="Garlic")*(AE$92:AE$232="H")*$C$92:$C$232)*$M$19+SUMPRODUCT(($B$92:$B$232="Garlic")*($BG$92:$BG$232=27)*$C$92:$C$232)*$H$19</f>
        <v/>
      </c>
      <c r="AF405" s="40">
        <f>SUMPRODUCT(($B$92:$B$232="Garlic")*(AF$92:AF$232="P")*$C$92:$C$232)*$K$19+SUMPRODUCT(($B$92:$B$232="Garlic")*(AF$92:AF$232="G")*$C$92:$C$232)*$L$19+SUMPRODUCT(($B$92:$B$232="Garlic")*(AF$92:AF$232="H")*$C$92:$C$232)*$M$19+SUMPRODUCT(($B$92:$B$232="Garlic")*($BG$92:$BG$232=28)*$C$92:$C$232)*$H$19</f>
        <v/>
      </c>
      <c r="AG405" s="40">
        <f>SUMPRODUCT(($B$92:$B$232="Garlic")*(AG$92:AG$232="P")*$C$92:$C$232)*$K$19+SUMPRODUCT(($B$92:$B$232="Garlic")*(AG$92:AG$232="G")*$C$92:$C$232)*$L$19+SUMPRODUCT(($B$92:$B$232="Garlic")*(AG$92:AG$232="H")*$C$92:$C$232)*$M$19+SUMPRODUCT(($B$92:$B$232="Garlic")*($BG$92:$BG$232=29)*$C$92:$C$232)*$H$19</f>
        <v/>
      </c>
      <c r="AH405" s="40">
        <f>SUMPRODUCT(($B$92:$B$232="Garlic")*(AH$92:AH$232="P")*$C$92:$C$232)*$K$19+SUMPRODUCT(($B$92:$B$232="Garlic")*(AH$92:AH$232="G")*$C$92:$C$232)*$L$19+SUMPRODUCT(($B$92:$B$232="Garlic")*(AH$92:AH$232="H")*$C$92:$C$232)*$M$19+SUMPRODUCT(($B$92:$B$232="Garlic")*($BG$92:$BG$232=30)*$C$92:$C$232)*$H$19</f>
        <v/>
      </c>
      <c r="AI405" s="40">
        <f>SUMPRODUCT(($B$92:$B$232="Garlic")*(AI$92:AI$232="P")*$C$92:$C$232)*$K$19+SUMPRODUCT(($B$92:$B$232="Garlic")*(AI$92:AI$232="G")*$C$92:$C$232)*$L$19+SUMPRODUCT(($B$92:$B$232="Garlic")*(AI$92:AI$232="H")*$C$92:$C$232)*$M$19+SUMPRODUCT(($B$92:$B$232="Garlic")*($BG$92:$BG$232=31)*$C$92:$C$232)*$H$19</f>
        <v/>
      </c>
      <c r="AJ405" s="40">
        <f>SUMPRODUCT(($B$92:$B$232="Garlic")*(AJ$92:AJ$232="P")*$C$92:$C$232)*$K$19+SUMPRODUCT(($B$92:$B$232="Garlic")*(AJ$92:AJ$232="G")*$C$92:$C$232)*$L$19+SUMPRODUCT(($B$92:$B$232="Garlic")*(AJ$92:AJ$232="H")*$C$92:$C$232)*$M$19+SUMPRODUCT(($B$92:$B$232="Garlic")*($BG$92:$BG$232=32)*$C$92:$C$232)*$H$19</f>
        <v/>
      </c>
      <c r="AK405" s="40">
        <f>SUMPRODUCT(($B$92:$B$232="Garlic")*(AK$92:AK$232="P")*$C$92:$C$232)*$K$19+SUMPRODUCT(($B$92:$B$232="Garlic")*(AK$92:AK$232="G")*$C$92:$C$232)*$L$19+SUMPRODUCT(($B$92:$B$232="Garlic")*(AK$92:AK$232="H")*$C$92:$C$232)*$M$19+SUMPRODUCT(($B$92:$B$232="Garlic")*($BG$92:$BG$232=33)*$C$92:$C$232)*$H$19</f>
        <v/>
      </c>
      <c r="AL405" s="40">
        <f>SUMPRODUCT(($B$92:$B$232="Garlic")*(AL$92:AL$232="P")*$C$92:$C$232)*$K$19+SUMPRODUCT(($B$92:$B$232="Garlic")*(AL$92:AL$232="G")*$C$92:$C$232)*$L$19+SUMPRODUCT(($B$92:$B$232="Garlic")*(AL$92:AL$232="H")*$C$92:$C$232)*$M$19+SUMPRODUCT(($B$92:$B$232="Garlic")*($BG$92:$BG$232=34)*$C$92:$C$232)*$H$19</f>
        <v/>
      </c>
      <c r="AM405" s="40">
        <f>SUMPRODUCT(($B$92:$B$232="Garlic")*(AM$92:AM$232="P")*$C$92:$C$232)*$K$19+SUMPRODUCT(($B$92:$B$232="Garlic")*(AM$92:AM$232="G")*$C$92:$C$232)*$L$19+SUMPRODUCT(($B$92:$B$232="Garlic")*(AM$92:AM$232="H")*$C$92:$C$232)*$M$19+SUMPRODUCT(($B$92:$B$232="Garlic")*($BG$92:$BG$232=35)*$C$92:$C$232)*$H$19</f>
        <v/>
      </c>
      <c r="AN405" s="40">
        <f>SUMPRODUCT(($B$92:$B$232="Garlic")*(AN$92:AN$232="P")*$C$92:$C$232)*$K$19+SUMPRODUCT(($B$92:$B$232="Garlic")*(AN$92:AN$232="G")*$C$92:$C$232)*$L$19+SUMPRODUCT(($B$92:$B$232="Garlic")*(AN$92:AN$232="H")*$C$92:$C$232)*$M$19+SUMPRODUCT(($B$92:$B$232="Garlic")*($BG$92:$BG$232=36)*$C$92:$C$232)*$H$19</f>
        <v/>
      </c>
      <c r="AO405" s="40">
        <f>SUMPRODUCT(($B$92:$B$232="Garlic")*(AO$92:AO$232="P")*$C$92:$C$232)*$K$19+SUMPRODUCT(($B$92:$B$232="Garlic")*(AO$92:AO$232="G")*$C$92:$C$232)*$L$19+SUMPRODUCT(($B$92:$B$232="Garlic")*(AO$92:AO$232="H")*$C$92:$C$232)*$M$19+SUMPRODUCT(($B$92:$B$232="Garlic")*($BG$92:$BG$232=37)*$C$92:$C$232)*$H$19</f>
        <v/>
      </c>
      <c r="AP405" s="40">
        <f>SUMPRODUCT(($B$92:$B$232="Garlic")*(AP$92:AP$232="P")*$C$92:$C$232)*$K$19+SUMPRODUCT(($B$92:$B$232="Garlic")*(AP$92:AP$232="G")*$C$92:$C$232)*$L$19+SUMPRODUCT(($B$92:$B$232="Garlic")*(AP$92:AP$232="H")*$C$92:$C$232)*$M$19+SUMPRODUCT(($B$92:$B$232="Garlic")*($BG$92:$BG$232=38)*$C$92:$C$232)*$H$19</f>
        <v/>
      </c>
      <c r="AQ405" s="40">
        <f>SUMPRODUCT(($B$92:$B$232="Garlic")*(AQ$92:AQ$232="P")*$C$92:$C$232)*$K$19+SUMPRODUCT(($B$92:$B$232="Garlic")*(AQ$92:AQ$232="G")*$C$92:$C$232)*$L$19+SUMPRODUCT(($B$92:$B$232="Garlic")*(AQ$92:AQ$232="H")*$C$92:$C$232)*$M$19+SUMPRODUCT(($B$92:$B$232="Garlic")*($BG$92:$BG$232=39)*$C$92:$C$232)*$H$19</f>
        <v/>
      </c>
      <c r="AR405" s="40">
        <f>SUMPRODUCT(($B$92:$B$232="Garlic")*(AR$92:AR$232="P")*$C$92:$C$232)*$K$19+SUMPRODUCT(($B$92:$B$232="Garlic")*(AR$92:AR$232="G")*$C$92:$C$232)*$L$19+SUMPRODUCT(($B$92:$B$232="Garlic")*(AR$92:AR$232="H")*$C$92:$C$232)*$M$19+SUMPRODUCT(($B$92:$B$232="Garlic")*($BG$92:$BG$232=40)*$C$92:$C$232)*$H$19</f>
        <v/>
      </c>
      <c r="AS405" s="40">
        <f>SUMPRODUCT(($B$92:$B$232="Garlic")*(AS$92:AS$232="P")*$C$92:$C$232)*$K$19+SUMPRODUCT(($B$92:$B$232="Garlic")*(AS$92:AS$232="G")*$C$92:$C$232)*$L$19+SUMPRODUCT(($B$92:$B$232="Garlic")*(AS$92:AS$232="H")*$C$92:$C$232)*$M$19+SUMPRODUCT(($B$92:$B$232="Garlic")*($BG$92:$BG$232=41)*$C$92:$C$232)*$H$19</f>
        <v/>
      </c>
      <c r="AT405" s="40">
        <f>SUMPRODUCT(($B$92:$B$232="Garlic")*(AT$92:AT$232="P")*$C$92:$C$232)*$K$19+SUMPRODUCT(($B$92:$B$232="Garlic")*(AT$92:AT$232="G")*$C$92:$C$232)*$L$19+SUMPRODUCT(($B$92:$B$232="Garlic")*(AT$92:AT$232="H")*$C$92:$C$232)*$M$19+SUMPRODUCT(($B$92:$B$232="Garlic")*($BG$92:$BG$232=42)*$C$92:$C$232)*$H$19</f>
        <v/>
      </c>
      <c r="AU405" s="40">
        <f>SUMPRODUCT(($B$92:$B$232="Garlic")*(AU$92:AU$232="P")*$C$92:$C$232)*$K$19+SUMPRODUCT(($B$92:$B$232="Garlic")*(AU$92:AU$232="G")*$C$92:$C$232)*$L$19+SUMPRODUCT(($B$92:$B$232="Garlic")*(AU$92:AU$232="H")*$C$92:$C$232)*$M$19+SUMPRODUCT(($B$92:$B$232="Garlic")*($BG$92:$BG$232=43)*$C$92:$C$232)*$H$19</f>
        <v/>
      </c>
      <c r="AV405" s="40">
        <f>SUMPRODUCT(($B$92:$B$232="Garlic")*(AV$92:AV$232="P")*$C$92:$C$232)*$K$19+SUMPRODUCT(($B$92:$B$232="Garlic")*(AV$92:AV$232="G")*$C$92:$C$232)*$L$19+SUMPRODUCT(($B$92:$B$232="Garlic")*(AV$92:AV$232="H")*$C$92:$C$232)*$M$19+SUMPRODUCT(($B$92:$B$232="Garlic")*($BG$92:$BG$232=44)*$C$92:$C$232)*$H$19</f>
        <v/>
      </c>
      <c r="AW405" s="40">
        <f>SUMPRODUCT(($B$92:$B$232="Garlic")*(AW$92:AW$232="P")*$C$92:$C$232)*$K$19+SUMPRODUCT(($B$92:$B$232="Garlic")*(AW$92:AW$232="G")*$C$92:$C$232)*$L$19+SUMPRODUCT(($B$92:$B$232="Garlic")*(AW$92:AW$232="H")*$C$92:$C$232)*$M$19+SUMPRODUCT(($B$92:$B$232="Garlic")*($BG$92:$BG$232=45)*$C$92:$C$232)*$H$19</f>
        <v/>
      </c>
      <c r="AX405" s="40">
        <f>SUMPRODUCT(($B$92:$B$232="Garlic")*(AX$92:AX$232="P")*$C$92:$C$232)*$K$19+SUMPRODUCT(($B$92:$B$232="Garlic")*(AX$92:AX$232="G")*$C$92:$C$232)*$L$19+SUMPRODUCT(($B$92:$B$232="Garlic")*(AX$92:AX$232="H")*$C$92:$C$232)*$M$19+SUMPRODUCT(($B$92:$B$232="Garlic")*($BG$92:$BG$232=46)*$C$92:$C$232)*$H$19</f>
        <v/>
      </c>
      <c r="AY405" s="40">
        <f>SUMPRODUCT(($B$92:$B$232="Garlic")*(AY$92:AY$232="P")*$C$92:$C$232)*$K$19+SUMPRODUCT(($B$92:$B$232="Garlic")*(AY$92:AY$232="G")*$C$92:$C$232)*$L$19+SUMPRODUCT(($B$92:$B$232="Garlic")*(AY$92:AY$232="H")*$C$92:$C$232)*$M$19+SUMPRODUCT(($B$92:$B$232="Garlic")*($BG$92:$BG$232=47)*$C$92:$C$232)*$H$19</f>
        <v/>
      </c>
      <c r="AZ405" s="40">
        <f>SUMPRODUCT(($B$92:$B$232="Garlic")*(AZ$92:AZ$232="P")*$C$92:$C$232)*$K$19+SUMPRODUCT(($B$92:$B$232="Garlic")*(AZ$92:AZ$232="G")*$C$92:$C$232)*$L$19+SUMPRODUCT(($B$92:$B$232="Garlic")*(AZ$92:AZ$232="H")*$C$92:$C$232)*$M$19+SUMPRODUCT(($B$92:$B$232="Garlic")*($BG$92:$BG$232=48)*$C$92:$C$232)*$H$19</f>
        <v/>
      </c>
      <c r="BA405" s="40">
        <f>SUMPRODUCT(($B$92:$B$232="Garlic")*(BA$92:BA$232="P")*$C$92:$C$232)*$K$19+SUMPRODUCT(($B$92:$B$232="Garlic")*(BA$92:BA$232="G")*$C$92:$C$232)*$L$19+SUMPRODUCT(($B$92:$B$232="Garlic")*(BA$92:BA$232="H")*$C$92:$C$232)*$M$19+SUMPRODUCT(($B$92:$B$232="Garlic")*($BG$92:$BG$232=49)*$C$92:$C$232)*$H$19</f>
        <v/>
      </c>
      <c r="BB405" s="40">
        <f>SUMPRODUCT(($B$92:$B$232="Garlic")*(BB$92:BB$232="P")*$C$92:$C$232)*$K$19+SUMPRODUCT(($B$92:$B$232="Garlic")*(BB$92:BB$232="G")*$C$92:$C$232)*$L$19+SUMPRODUCT(($B$92:$B$232="Garlic")*(BB$92:BB$232="H")*$C$92:$C$232)*$M$19+SUMPRODUCT(($B$92:$B$232="Garlic")*($BG$92:$BG$232=50)*$C$92:$C$232)*$H$19</f>
        <v/>
      </c>
      <c r="BC405" s="40">
        <f>SUMPRODUCT(($B$92:$B$232="Garlic")*(BC$92:BC$232="P")*$C$92:$C$232)*$K$19+SUMPRODUCT(($B$92:$B$232="Garlic")*(BC$92:BC$232="G")*$C$92:$C$232)*$L$19+SUMPRODUCT(($B$92:$B$232="Garlic")*(BC$92:BC$232="H")*$C$92:$C$232)*$M$19+SUMPRODUCT(($B$92:$B$232="Garlic")*($BG$92:$BG$232=51)*$C$92:$C$232)*$H$19</f>
        <v/>
      </c>
      <c r="BD405" s="40">
        <f>SUMPRODUCT(($B$92:$B$232="Garlic")*(BD$92:BD$232="P")*$C$92:$C$232)*$K$19+SUMPRODUCT(($B$92:$B$232="Garlic")*(BD$92:BD$232="G")*$C$92:$C$232)*$L$19+SUMPRODUCT(($B$92:$B$232="Garlic")*(BD$92:BD$232="H")*$C$92:$C$232)*$M$19+SUMPRODUCT(($B$92:$B$232="Garlic")*($BG$92:$BG$232=52)*$C$92:$C$232)*$H$19</f>
        <v/>
      </c>
    </row>
    <row r="406">
      <c r="A406" s="33" t="inlineStr">
        <is>
          <t>Packaging this week</t>
        </is>
      </c>
      <c r="B406" s="2" t="inlineStr">
        <is>
          <t>$</t>
        </is>
      </c>
      <c r="E406" s="40">
        <f>E390*$J$40+E396*$J$41</f>
        <v/>
      </c>
      <c r="F406" s="40">
        <f>F390*$J$40+F396*$J$41</f>
        <v/>
      </c>
      <c r="G406" s="40">
        <f>G390*$J$40+G396*$J$41</f>
        <v/>
      </c>
      <c r="H406" s="40">
        <f>H390*$J$40+H396*$J$41</f>
        <v/>
      </c>
      <c r="I406" s="40">
        <f>I390*$J$40+I396*$J$41</f>
        <v/>
      </c>
      <c r="J406" s="40">
        <f>J390*$J$40+J396*$J$41</f>
        <v/>
      </c>
      <c r="K406" s="40">
        <f>K390*$J$40+K396*$J$41</f>
        <v/>
      </c>
      <c r="L406" s="40">
        <f>L390*$J$40+L396*$J$41</f>
        <v/>
      </c>
      <c r="M406" s="40">
        <f>M390*$J$40+M396*$J$41</f>
        <v/>
      </c>
      <c r="N406" s="40">
        <f>N390*$J$40+N396*$J$41</f>
        <v/>
      </c>
      <c r="O406" s="40">
        <f>O390*$J$40+O396*$J$41</f>
        <v/>
      </c>
      <c r="P406" s="40">
        <f>P390*$J$40+P396*$J$41</f>
        <v/>
      </c>
      <c r="Q406" s="40">
        <f>Q390*$J$40+Q396*$J$41</f>
        <v/>
      </c>
      <c r="R406" s="40">
        <f>R390*$J$40+R396*$J$41</f>
        <v/>
      </c>
      <c r="S406" s="40">
        <f>S390*$J$40+S396*$J$41</f>
        <v/>
      </c>
      <c r="T406" s="40">
        <f>T390*$J$40+T396*$J$41</f>
        <v/>
      </c>
      <c r="U406" s="40">
        <f>U390*$J$40+U396*$J$41</f>
        <v/>
      </c>
      <c r="V406" s="40">
        <f>V390*$J$40+V396*$J$41</f>
        <v/>
      </c>
      <c r="W406" s="40">
        <f>W390*$J$40+W396*$J$41</f>
        <v/>
      </c>
      <c r="X406" s="40">
        <f>X390*$J$40+X396*$J$41</f>
        <v/>
      </c>
      <c r="Y406" s="40">
        <f>Y390*$J$40+Y396*$J$41</f>
        <v/>
      </c>
      <c r="Z406" s="40">
        <f>Z390*$J$40+Z396*$J$41</f>
        <v/>
      </c>
      <c r="AA406" s="40">
        <f>AA390*$J$40+AA396*$J$41</f>
        <v/>
      </c>
      <c r="AB406" s="40">
        <f>AB390*$J$40+AB396*$J$41</f>
        <v/>
      </c>
      <c r="AC406" s="40">
        <f>AC390*$J$40+AC396*$J$41</f>
        <v/>
      </c>
      <c r="AD406" s="40">
        <f>AD390*$J$40+AD396*$J$41</f>
        <v/>
      </c>
      <c r="AE406" s="40">
        <f>AE390*$J$40+AE396*$J$41</f>
        <v/>
      </c>
      <c r="AF406" s="40">
        <f>AF390*$J$40+AF396*$J$41</f>
        <v/>
      </c>
      <c r="AG406" s="40">
        <f>AG390*$J$40+AG396*$J$41</f>
        <v/>
      </c>
      <c r="AH406" s="40">
        <f>AH390*$J$40+AH396*$J$41</f>
        <v/>
      </c>
      <c r="AI406" s="40">
        <f>AI390*$J$40+AI396*$J$41</f>
        <v/>
      </c>
      <c r="AJ406" s="40">
        <f>AJ390*$J$40+AJ396*$J$41</f>
        <v/>
      </c>
      <c r="AK406" s="40">
        <f>AK390*$J$40+AK396*$J$41</f>
        <v/>
      </c>
      <c r="AL406" s="40">
        <f>AL390*$J$40+AL396*$J$41</f>
        <v/>
      </c>
      <c r="AM406" s="40">
        <f>AM390*$J$40+AM396*$J$41</f>
        <v/>
      </c>
      <c r="AN406" s="40">
        <f>AN390*$J$40+AN396*$J$41</f>
        <v/>
      </c>
      <c r="AO406" s="40">
        <f>AO390*$J$40+AO396*$J$41</f>
        <v/>
      </c>
      <c r="AP406" s="40">
        <f>AP390*$J$40+AP396*$J$41</f>
        <v/>
      </c>
      <c r="AQ406" s="40">
        <f>AQ390*$J$40+AQ396*$J$41</f>
        <v/>
      </c>
      <c r="AR406" s="40">
        <f>AR390*$J$40+AR396*$J$41</f>
        <v/>
      </c>
      <c r="AS406" s="40">
        <f>AS390*$J$40+AS396*$J$41</f>
        <v/>
      </c>
      <c r="AT406" s="40">
        <f>AT390*$J$40+AT396*$J$41</f>
        <v/>
      </c>
      <c r="AU406" s="40">
        <f>AU390*$J$40+AU396*$J$41</f>
        <v/>
      </c>
      <c r="AV406" s="40">
        <f>AV390*$J$40+AV396*$J$41</f>
        <v/>
      </c>
      <c r="AW406" s="40">
        <f>AW390*$J$40+AW396*$J$41</f>
        <v/>
      </c>
      <c r="AX406" s="40">
        <f>AX390*$J$40+AX396*$J$41</f>
        <v/>
      </c>
      <c r="AY406" s="40">
        <f>AY390*$J$40+AY396*$J$41</f>
        <v/>
      </c>
      <c r="AZ406" s="40">
        <f>AZ390*$J$40+AZ396*$J$41</f>
        <v/>
      </c>
      <c r="BA406" s="40">
        <f>BA390*$J$40+BA396*$J$41</f>
        <v/>
      </c>
      <c r="BB406" s="40">
        <f>BB390*$J$40+BB396*$J$41</f>
        <v/>
      </c>
      <c r="BC406" s="40">
        <f>BC390*$J$40+BC396*$J$41</f>
        <v/>
      </c>
      <c r="BD406" s="40">
        <f>BD390*$J$40+BD396*$J$41</f>
        <v/>
      </c>
    </row>
    <row r="407">
      <c r="A407" s="4" t="inlineStr">
        <is>
          <t>ROOM OCCUPANCY</t>
        </is>
      </c>
      <c r="B407" s="2" t="inlineStr">
        <is>
          <t>m3</t>
        </is>
      </c>
      <c r="E407" s="60">
        <f>(E385+E384)*$D$19</f>
        <v/>
      </c>
      <c r="F407" s="60">
        <f>(F385+F384)*$D$19</f>
        <v/>
      </c>
      <c r="G407" s="60">
        <f>(G385+G384)*$D$19</f>
        <v/>
      </c>
      <c r="H407" s="60">
        <f>(H385+H384)*$D$19</f>
        <v/>
      </c>
      <c r="I407" s="60">
        <f>(I385+I384)*$D$19</f>
        <v/>
      </c>
      <c r="J407" s="60">
        <f>(J385+J384)*$D$19</f>
        <v/>
      </c>
      <c r="K407" s="60">
        <f>(K385+K384)*$D$19</f>
        <v/>
      </c>
      <c r="L407" s="60">
        <f>(L385+L384)*$D$19</f>
        <v/>
      </c>
      <c r="M407" s="60">
        <f>(M385+M384)*$D$19</f>
        <v/>
      </c>
      <c r="N407" s="60">
        <f>(N385+N384)*$D$19</f>
        <v/>
      </c>
      <c r="O407" s="60">
        <f>(O385+O384)*$D$19</f>
        <v/>
      </c>
      <c r="P407" s="60">
        <f>(P385+P384)*$D$19</f>
        <v/>
      </c>
      <c r="Q407" s="60">
        <f>(Q385+Q384)*$D$19</f>
        <v/>
      </c>
      <c r="R407" s="60">
        <f>(R385+R384)*$D$19</f>
        <v/>
      </c>
      <c r="S407" s="60">
        <f>(S385+S384)*$D$19</f>
        <v/>
      </c>
      <c r="T407" s="60">
        <f>(T385+T384)*$D$19</f>
        <v/>
      </c>
      <c r="U407" s="60">
        <f>(U385+U384)*$D$19</f>
        <v/>
      </c>
      <c r="V407" s="60">
        <f>(V385+V384)*$D$19</f>
        <v/>
      </c>
      <c r="W407" s="60">
        <f>(W385+W384)*$D$19</f>
        <v/>
      </c>
      <c r="X407" s="60">
        <f>(X385+X384)*$D$19</f>
        <v/>
      </c>
      <c r="Y407" s="60">
        <f>(Y385+Y384)*$D$19</f>
        <v/>
      </c>
      <c r="Z407" s="60">
        <f>(Z385+Z384)*$D$19</f>
        <v/>
      </c>
      <c r="AA407" s="60">
        <f>(AA385+AA384)*$D$19</f>
        <v/>
      </c>
      <c r="AB407" s="60">
        <f>(AB385+AB384)*$D$19</f>
        <v/>
      </c>
      <c r="AC407" s="60">
        <f>(AC385+AC384)*$D$19</f>
        <v/>
      </c>
      <c r="AD407" s="60">
        <f>(AD385+AD384)*$D$19</f>
        <v/>
      </c>
      <c r="AE407" s="60">
        <f>(AE385+AE384)*$D$19</f>
        <v/>
      </c>
      <c r="AF407" s="60">
        <f>(AF385+AF384)*$D$19</f>
        <v/>
      </c>
      <c r="AG407" s="60">
        <f>(AG385+AG384)*$D$19</f>
        <v/>
      </c>
      <c r="AH407" s="60">
        <f>(AH385+AH384)*$D$19</f>
        <v/>
      </c>
      <c r="AI407" s="60">
        <f>(AI385+AI384)*$D$19</f>
        <v/>
      </c>
      <c r="AJ407" s="60">
        <f>(AJ385+AJ384)*$D$19</f>
        <v/>
      </c>
      <c r="AK407" s="60">
        <f>(AK385+AK384)*$D$19</f>
        <v/>
      </c>
      <c r="AL407" s="60">
        <f>(AL385+AL384)*$D$19</f>
        <v/>
      </c>
      <c r="AM407" s="60">
        <f>(AM385+AM384)*$D$19</f>
        <v/>
      </c>
      <c r="AN407" s="60">
        <f>(AN385+AN384)*$D$19</f>
        <v/>
      </c>
      <c r="AO407" s="60">
        <f>(AO385+AO384)*$D$19</f>
        <v/>
      </c>
      <c r="AP407" s="60">
        <f>(AP385+AP384)*$D$19</f>
        <v/>
      </c>
      <c r="AQ407" s="60">
        <f>(AQ385+AQ384)*$D$19</f>
        <v/>
      </c>
      <c r="AR407" s="60">
        <f>(AR385+AR384)*$D$19</f>
        <v/>
      </c>
      <c r="AS407" s="60">
        <f>(AS385+AS384)*$D$19</f>
        <v/>
      </c>
      <c r="AT407" s="60">
        <f>(AT385+AT384)*$D$19</f>
        <v/>
      </c>
      <c r="AU407" s="60">
        <f>(AU385+AU384)*$D$19</f>
        <v/>
      </c>
      <c r="AV407" s="60">
        <f>(AV385+AV384)*$D$19</f>
        <v/>
      </c>
      <c r="AW407" s="60">
        <f>(AW385+AW384)*$D$19</f>
        <v/>
      </c>
      <c r="AX407" s="60">
        <f>(AX385+AX384)*$D$19</f>
        <v/>
      </c>
      <c r="AY407" s="60">
        <f>(AY385+AY384)*$D$19</f>
        <v/>
      </c>
      <c r="AZ407" s="60">
        <f>(AZ385+AZ384)*$D$19</f>
        <v/>
      </c>
      <c r="BA407" s="60">
        <f>(BA385+BA384)*$D$19</f>
        <v/>
      </c>
      <c r="BB407" s="60">
        <f>(BB385+BB384)*$D$19</f>
        <v/>
      </c>
      <c r="BC407" s="60">
        <f>(BC385+BC384)*$D$19</f>
        <v/>
      </c>
      <c r="BD407" s="60">
        <f>(BD385+BD384)*$D$19</f>
        <v/>
      </c>
    </row>
    <row r="409">
      <c r="A409" s="3" t="inlineStr">
        <is>
          <t>TUNNEL SPINACH  —  cold store</t>
        </is>
      </c>
      <c r="B409" s="53" t="inlineStr"/>
    </row>
    <row r="410">
      <c r="A410" s="36" t="inlineStr">
        <is>
          <t>Week</t>
        </is>
      </c>
      <c r="B410" s="37" t="inlineStr"/>
      <c r="E410" s="38" t="n">
        <v>1</v>
      </c>
      <c r="F410" s="38" t="n">
        <v>2</v>
      </c>
      <c r="G410" s="38" t="n">
        <v>3</v>
      </c>
      <c r="H410" s="38" t="n">
        <v>4</v>
      </c>
      <c r="I410" s="38" t="n">
        <v>5</v>
      </c>
      <c r="J410" s="38" t="n">
        <v>6</v>
      </c>
      <c r="K410" s="38" t="n">
        <v>7</v>
      </c>
      <c r="L410" s="38" t="n">
        <v>8</v>
      </c>
      <c r="M410" s="38" t="n">
        <v>9</v>
      </c>
      <c r="N410" s="38" t="n">
        <v>10</v>
      </c>
      <c r="O410" s="38" t="n">
        <v>11</v>
      </c>
      <c r="P410" s="38" t="n">
        <v>12</v>
      </c>
      <c r="Q410" s="38" t="n">
        <v>13</v>
      </c>
      <c r="R410" s="38" t="n">
        <v>14</v>
      </c>
      <c r="S410" s="38" t="n">
        <v>15</v>
      </c>
      <c r="T410" s="38" t="n">
        <v>16</v>
      </c>
      <c r="U410" s="38" t="n">
        <v>17</v>
      </c>
      <c r="V410" s="38" t="n">
        <v>18</v>
      </c>
      <c r="W410" s="38" t="n">
        <v>19</v>
      </c>
      <c r="X410" s="38" t="n">
        <v>20</v>
      </c>
      <c r="Y410" s="38" t="n">
        <v>21</v>
      </c>
      <c r="Z410" s="38" t="n">
        <v>22</v>
      </c>
      <c r="AA410" s="38" t="n">
        <v>23</v>
      </c>
      <c r="AB410" s="38" t="n">
        <v>24</v>
      </c>
      <c r="AC410" s="38" t="n">
        <v>25</v>
      </c>
      <c r="AD410" s="38" t="n">
        <v>26</v>
      </c>
      <c r="AE410" s="38" t="n">
        <v>27</v>
      </c>
      <c r="AF410" s="38" t="n">
        <v>28</v>
      </c>
      <c r="AG410" s="38" t="n">
        <v>29</v>
      </c>
      <c r="AH410" s="38" t="n">
        <v>30</v>
      </c>
      <c r="AI410" s="38" t="n">
        <v>31</v>
      </c>
      <c r="AJ410" s="38" t="n">
        <v>32</v>
      </c>
      <c r="AK410" s="38" t="n">
        <v>33</v>
      </c>
      <c r="AL410" s="38" t="n">
        <v>34</v>
      </c>
      <c r="AM410" s="38" t="n">
        <v>35</v>
      </c>
      <c r="AN410" s="38" t="n">
        <v>36</v>
      </c>
      <c r="AO410" s="38" t="n">
        <v>37</v>
      </c>
      <c r="AP410" s="38" t="n">
        <v>38</v>
      </c>
      <c r="AQ410" s="38" t="n">
        <v>39</v>
      </c>
      <c r="AR410" s="38" t="n">
        <v>40</v>
      </c>
      <c r="AS410" s="38" t="n">
        <v>41</v>
      </c>
      <c r="AT410" s="38" t="n">
        <v>42</v>
      </c>
      <c r="AU410" s="38" t="n">
        <v>43</v>
      </c>
      <c r="AV410" s="38" t="n">
        <v>44</v>
      </c>
      <c r="AW410" s="38" t="n">
        <v>45</v>
      </c>
      <c r="AX410" s="38" t="n">
        <v>46</v>
      </c>
      <c r="AY410" s="38" t="n">
        <v>47</v>
      </c>
      <c r="AZ410" s="38" t="n">
        <v>48</v>
      </c>
      <c r="BA410" s="38" t="n">
        <v>49</v>
      </c>
      <c r="BB410" s="38" t="n">
        <v>50</v>
      </c>
      <c r="BC410" s="38" t="n">
        <v>51</v>
      </c>
      <c r="BD410" s="38" t="n">
        <v>52</v>
      </c>
    </row>
    <row r="411">
      <c r="A411" s="4" t="inlineStr">
        <is>
          <t>Packed out -&gt; INTO the store</t>
        </is>
      </c>
      <c r="B411" s="2" t="inlineStr">
        <is>
          <t>lb</t>
        </is>
      </c>
      <c r="E411" s="40">
        <f>SUMPRODUCT(($B$92:$B$232="Tunnel Spinach")*(E$92:E$232="H")*$C$92:$C$232)*$B$20/$J$20*$C$20</f>
        <v/>
      </c>
      <c r="F411" s="40">
        <f>SUMPRODUCT(($B$92:$B$232="Tunnel Spinach")*(F$92:F$232="H")*$C$92:$C$232)*$B$20/$J$20*$C$20</f>
        <v/>
      </c>
      <c r="G411" s="40">
        <f>SUMPRODUCT(($B$92:$B$232="Tunnel Spinach")*(G$92:G$232="H")*$C$92:$C$232)*$B$20/$J$20*$C$20</f>
        <v/>
      </c>
      <c r="H411" s="40">
        <f>SUMPRODUCT(($B$92:$B$232="Tunnel Spinach")*(H$92:H$232="H")*$C$92:$C$232)*$B$20/$J$20*$C$20</f>
        <v/>
      </c>
      <c r="I411" s="40">
        <f>SUMPRODUCT(($B$92:$B$232="Tunnel Spinach")*(I$92:I$232="H")*$C$92:$C$232)*$B$20/$J$20*$C$20</f>
        <v/>
      </c>
      <c r="J411" s="40">
        <f>SUMPRODUCT(($B$92:$B$232="Tunnel Spinach")*(J$92:J$232="H")*$C$92:$C$232)*$B$20/$J$20*$C$20</f>
        <v/>
      </c>
      <c r="K411" s="40">
        <f>SUMPRODUCT(($B$92:$B$232="Tunnel Spinach")*(K$92:K$232="H")*$C$92:$C$232)*$B$20/$J$20*$C$20</f>
        <v/>
      </c>
      <c r="L411" s="40">
        <f>SUMPRODUCT(($B$92:$B$232="Tunnel Spinach")*(L$92:L$232="H")*$C$92:$C$232)*$B$20/$J$20*$C$20</f>
        <v/>
      </c>
      <c r="M411" s="40">
        <f>SUMPRODUCT(($B$92:$B$232="Tunnel Spinach")*(M$92:M$232="H")*$C$92:$C$232)*$B$20/$J$20*$C$20</f>
        <v/>
      </c>
      <c r="N411" s="40">
        <f>SUMPRODUCT(($B$92:$B$232="Tunnel Spinach")*(N$92:N$232="H")*$C$92:$C$232)*$B$20/$J$20*$C$20</f>
        <v/>
      </c>
      <c r="O411" s="40">
        <f>SUMPRODUCT(($B$92:$B$232="Tunnel Spinach")*(O$92:O$232="H")*$C$92:$C$232)*$B$20/$J$20*$C$20</f>
        <v/>
      </c>
      <c r="P411" s="40">
        <f>SUMPRODUCT(($B$92:$B$232="Tunnel Spinach")*(P$92:P$232="H")*$C$92:$C$232)*$B$20/$J$20*$C$20</f>
        <v/>
      </c>
      <c r="Q411" s="40">
        <f>SUMPRODUCT(($B$92:$B$232="Tunnel Spinach")*(Q$92:Q$232="H")*$C$92:$C$232)*$B$20/$J$20*$C$20</f>
        <v/>
      </c>
      <c r="R411" s="40">
        <f>SUMPRODUCT(($B$92:$B$232="Tunnel Spinach")*(R$92:R$232="H")*$C$92:$C$232)*$B$20/$J$20*$C$20</f>
        <v/>
      </c>
      <c r="S411" s="40">
        <f>SUMPRODUCT(($B$92:$B$232="Tunnel Spinach")*(S$92:S$232="H")*$C$92:$C$232)*$B$20/$J$20*$C$20</f>
        <v/>
      </c>
      <c r="T411" s="40">
        <f>SUMPRODUCT(($B$92:$B$232="Tunnel Spinach")*(T$92:T$232="H")*$C$92:$C$232)*$B$20/$J$20*$C$20</f>
        <v/>
      </c>
      <c r="U411" s="40">
        <f>SUMPRODUCT(($B$92:$B$232="Tunnel Spinach")*(U$92:U$232="H")*$C$92:$C$232)*$B$20/$J$20*$C$20</f>
        <v/>
      </c>
      <c r="V411" s="40">
        <f>SUMPRODUCT(($B$92:$B$232="Tunnel Spinach")*(V$92:V$232="H")*$C$92:$C$232)*$B$20/$J$20*$C$20</f>
        <v/>
      </c>
      <c r="W411" s="40">
        <f>SUMPRODUCT(($B$92:$B$232="Tunnel Spinach")*(W$92:W$232="H")*$C$92:$C$232)*$B$20/$J$20*$C$20</f>
        <v/>
      </c>
      <c r="X411" s="40">
        <f>SUMPRODUCT(($B$92:$B$232="Tunnel Spinach")*(X$92:X$232="H")*$C$92:$C$232)*$B$20/$J$20*$C$20</f>
        <v/>
      </c>
      <c r="Y411" s="40">
        <f>SUMPRODUCT(($B$92:$B$232="Tunnel Spinach")*(Y$92:Y$232="H")*$C$92:$C$232)*$B$20/$J$20*$C$20</f>
        <v/>
      </c>
      <c r="Z411" s="40">
        <f>SUMPRODUCT(($B$92:$B$232="Tunnel Spinach")*(Z$92:Z$232="H")*$C$92:$C$232)*$B$20/$J$20*$C$20</f>
        <v/>
      </c>
      <c r="AA411" s="40">
        <f>SUMPRODUCT(($B$92:$B$232="Tunnel Spinach")*(AA$92:AA$232="H")*$C$92:$C$232)*$B$20/$J$20*$C$20</f>
        <v/>
      </c>
      <c r="AB411" s="40">
        <f>SUMPRODUCT(($B$92:$B$232="Tunnel Spinach")*(AB$92:AB$232="H")*$C$92:$C$232)*$B$20/$J$20*$C$20</f>
        <v/>
      </c>
      <c r="AC411" s="40">
        <f>SUMPRODUCT(($B$92:$B$232="Tunnel Spinach")*(AC$92:AC$232="H")*$C$92:$C$232)*$B$20/$J$20*$C$20</f>
        <v/>
      </c>
      <c r="AD411" s="40">
        <f>SUMPRODUCT(($B$92:$B$232="Tunnel Spinach")*(AD$92:AD$232="H")*$C$92:$C$232)*$B$20/$J$20*$C$20</f>
        <v/>
      </c>
      <c r="AE411" s="40">
        <f>SUMPRODUCT(($B$92:$B$232="Tunnel Spinach")*(AE$92:AE$232="H")*$C$92:$C$232)*$B$20/$J$20*$C$20</f>
        <v/>
      </c>
      <c r="AF411" s="40">
        <f>SUMPRODUCT(($B$92:$B$232="Tunnel Spinach")*(AF$92:AF$232="H")*$C$92:$C$232)*$B$20/$J$20*$C$20</f>
        <v/>
      </c>
      <c r="AG411" s="40">
        <f>SUMPRODUCT(($B$92:$B$232="Tunnel Spinach")*(AG$92:AG$232="H")*$C$92:$C$232)*$B$20/$J$20*$C$20</f>
        <v/>
      </c>
      <c r="AH411" s="40">
        <f>SUMPRODUCT(($B$92:$B$232="Tunnel Spinach")*(AH$92:AH$232="H")*$C$92:$C$232)*$B$20/$J$20*$C$20</f>
        <v/>
      </c>
      <c r="AI411" s="40">
        <f>SUMPRODUCT(($B$92:$B$232="Tunnel Spinach")*(AI$92:AI$232="H")*$C$92:$C$232)*$B$20/$J$20*$C$20</f>
        <v/>
      </c>
      <c r="AJ411" s="40">
        <f>SUMPRODUCT(($B$92:$B$232="Tunnel Spinach")*(AJ$92:AJ$232="H")*$C$92:$C$232)*$B$20/$J$20*$C$20</f>
        <v/>
      </c>
      <c r="AK411" s="40">
        <f>SUMPRODUCT(($B$92:$B$232="Tunnel Spinach")*(AK$92:AK$232="H")*$C$92:$C$232)*$B$20/$J$20*$C$20</f>
        <v/>
      </c>
      <c r="AL411" s="40">
        <f>SUMPRODUCT(($B$92:$B$232="Tunnel Spinach")*(AL$92:AL$232="H")*$C$92:$C$232)*$B$20/$J$20*$C$20</f>
        <v/>
      </c>
      <c r="AM411" s="40">
        <f>SUMPRODUCT(($B$92:$B$232="Tunnel Spinach")*(AM$92:AM$232="H")*$C$92:$C$232)*$B$20/$J$20*$C$20</f>
        <v/>
      </c>
      <c r="AN411" s="40">
        <f>SUMPRODUCT(($B$92:$B$232="Tunnel Spinach")*(AN$92:AN$232="H")*$C$92:$C$232)*$B$20/$J$20*$C$20</f>
        <v/>
      </c>
      <c r="AO411" s="40">
        <f>SUMPRODUCT(($B$92:$B$232="Tunnel Spinach")*(AO$92:AO$232="H")*$C$92:$C$232)*$B$20/$J$20*$C$20</f>
        <v/>
      </c>
      <c r="AP411" s="40">
        <f>SUMPRODUCT(($B$92:$B$232="Tunnel Spinach")*(AP$92:AP$232="H")*$C$92:$C$232)*$B$20/$J$20*$C$20</f>
        <v/>
      </c>
      <c r="AQ411" s="40">
        <f>SUMPRODUCT(($B$92:$B$232="Tunnel Spinach")*(AQ$92:AQ$232="H")*$C$92:$C$232)*$B$20/$J$20*$C$20</f>
        <v/>
      </c>
      <c r="AR411" s="40">
        <f>SUMPRODUCT(($B$92:$B$232="Tunnel Spinach")*(AR$92:AR$232="H")*$C$92:$C$232)*$B$20/$J$20*$C$20</f>
        <v/>
      </c>
      <c r="AS411" s="40">
        <f>SUMPRODUCT(($B$92:$B$232="Tunnel Spinach")*(AS$92:AS$232="H")*$C$92:$C$232)*$B$20/$J$20*$C$20</f>
        <v/>
      </c>
      <c r="AT411" s="40">
        <f>SUMPRODUCT(($B$92:$B$232="Tunnel Spinach")*(AT$92:AT$232="H")*$C$92:$C$232)*$B$20/$J$20*$C$20</f>
        <v/>
      </c>
      <c r="AU411" s="40">
        <f>SUMPRODUCT(($B$92:$B$232="Tunnel Spinach")*(AU$92:AU$232="H")*$C$92:$C$232)*$B$20/$J$20*$C$20</f>
        <v/>
      </c>
      <c r="AV411" s="40">
        <f>SUMPRODUCT(($B$92:$B$232="Tunnel Spinach")*(AV$92:AV$232="H")*$C$92:$C$232)*$B$20/$J$20*$C$20</f>
        <v/>
      </c>
      <c r="AW411" s="40">
        <f>SUMPRODUCT(($B$92:$B$232="Tunnel Spinach")*(AW$92:AW$232="H")*$C$92:$C$232)*$B$20/$J$20*$C$20</f>
        <v/>
      </c>
      <c r="AX411" s="40">
        <f>SUMPRODUCT(($B$92:$B$232="Tunnel Spinach")*(AX$92:AX$232="H")*$C$92:$C$232)*$B$20/$J$20*$C$20</f>
        <v/>
      </c>
      <c r="AY411" s="40">
        <f>SUMPRODUCT(($B$92:$B$232="Tunnel Spinach")*(AY$92:AY$232="H")*$C$92:$C$232)*$B$20/$J$20*$C$20</f>
        <v/>
      </c>
      <c r="AZ411" s="40">
        <f>SUMPRODUCT(($B$92:$B$232="Tunnel Spinach")*(AZ$92:AZ$232="H")*$C$92:$C$232)*$B$20/$J$20*$C$20</f>
        <v/>
      </c>
      <c r="BA411" s="40">
        <f>SUMPRODUCT(($B$92:$B$232="Tunnel Spinach")*(BA$92:BA$232="H")*$C$92:$C$232)*$B$20/$J$20*$C$20</f>
        <v/>
      </c>
      <c r="BB411" s="40">
        <f>SUMPRODUCT(($B$92:$B$232="Tunnel Spinach")*(BB$92:BB$232="H")*$C$92:$C$232)*$B$20/$J$20*$C$20</f>
        <v/>
      </c>
      <c r="BC411" s="40">
        <f>SUMPRODUCT(($B$92:$B$232="Tunnel Spinach")*(BC$92:BC$232="H")*$C$92:$C$232)*$B$20/$J$20*$C$20</f>
        <v/>
      </c>
      <c r="BD411" s="40">
        <f>SUMPRODUCT(($B$92:$B$232="Tunnel Spinach")*(BD$92:BD$232="H")*$C$92:$C$232)*$B$20/$J$20*$C$20</f>
        <v/>
      </c>
    </row>
    <row r="412">
      <c r="A412" s="33" t="inlineStr">
        <is>
          <t>Stock carried in</t>
        </is>
      </c>
      <c r="B412" s="2" t="inlineStr">
        <is>
          <t>lb</t>
        </is>
      </c>
      <c r="E412" s="40" t="n">
        <v>0</v>
      </c>
      <c r="F412" s="40">
        <f>E427</f>
        <v/>
      </c>
      <c r="G412" s="40">
        <f>F427</f>
        <v/>
      </c>
      <c r="H412" s="40">
        <f>G427</f>
        <v/>
      </c>
      <c r="I412" s="40">
        <f>H427</f>
        <v/>
      </c>
      <c r="J412" s="40">
        <f>I427</f>
        <v/>
      </c>
      <c r="K412" s="40">
        <f>J427</f>
        <v/>
      </c>
      <c r="L412" s="40">
        <f>K427</f>
        <v/>
      </c>
      <c r="M412" s="40">
        <f>L427</f>
        <v/>
      </c>
      <c r="N412" s="40">
        <f>M427</f>
        <v/>
      </c>
      <c r="O412" s="40">
        <f>N427</f>
        <v/>
      </c>
      <c r="P412" s="40">
        <f>O427</f>
        <v/>
      </c>
      <c r="Q412" s="40">
        <f>P427</f>
        <v/>
      </c>
      <c r="R412" s="40">
        <f>Q427</f>
        <v/>
      </c>
      <c r="S412" s="40">
        <f>R427</f>
        <v/>
      </c>
      <c r="T412" s="40">
        <f>S427</f>
        <v/>
      </c>
      <c r="U412" s="40">
        <f>T427</f>
        <v/>
      </c>
      <c r="V412" s="40">
        <f>U427</f>
        <v/>
      </c>
      <c r="W412" s="40">
        <f>V427</f>
        <v/>
      </c>
      <c r="X412" s="40">
        <f>W427</f>
        <v/>
      </c>
      <c r="Y412" s="40">
        <f>X427</f>
        <v/>
      </c>
      <c r="Z412" s="40">
        <f>Y427</f>
        <v/>
      </c>
      <c r="AA412" s="40">
        <f>Z427</f>
        <v/>
      </c>
      <c r="AB412" s="40">
        <f>AA427</f>
        <v/>
      </c>
      <c r="AC412" s="40">
        <f>AB427</f>
        <v/>
      </c>
      <c r="AD412" s="40">
        <f>AC427</f>
        <v/>
      </c>
      <c r="AE412" s="40">
        <f>AD427</f>
        <v/>
      </c>
      <c r="AF412" s="40">
        <f>AE427</f>
        <v/>
      </c>
      <c r="AG412" s="40">
        <f>AF427</f>
        <v/>
      </c>
      <c r="AH412" s="40">
        <f>AG427</f>
        <v/>
      </c>
      <c r="AI412" s="40">
        <f>AH427</f>
        <v/>
      </c>
      <c r="AJ412" s="40">
        <f>AI427</f>
        <v/>
      </c>
      <c r="AK412" s="40">
        <f>AJ427</f>
        <v/>
      </c>
      <c r="AL412" s="40">
        <f>AK427</f>
        <v/>
      </c>
      <c r="AM412" s="40">
        <f>AL427</f>
        <v/>
      </c>
      <c r="AN412" s="40">
        <f>AM427</f>
        <v/>
      </c>
      <c r="AO412" s="40">
        <f>AN427</f>
        <v/>
      </c>
      <c r="AP412" s="40">
        <f>AO427</f>
        <v/>
      </c>
      <c r="AQ412" s="40">
        <f>AP427</f>
        <v/>
      </c>
      <c r="AR412" s="40">
        <f>AQ427</f>
        <v/>
      </c>
      <c r="AS412" s="40">
        <f>AR427</f>
        <v/>
      </c>
      <c r="AT412" s="40">
        <f>AS427</f>
        <v/>
      </c>
      <c r="AU412" s="40">
        <f>AT427</f>
        <v/>
      </c>
      <c r="AV412" s="40">
        <f>AU427</f>
        <v/>
      </c>
      <c r="AW412" s="40">
        <f>AV427</f>
        <v/>
      </c>
      <c r="AX412" s="40">
        <f>AW427</f>
        <v/>
      </c>
      <c r="AY412" s="40">
        <f>AX427</f>
        <v/>
      </c>
      <c r="AZ412" s="40">
        <f>AY427</f>
        <v/>
      </c>
      <c r="BA412" s="40">
        <f>AZ427</f>
        <v/>
      </c>
      <c r="BB412" s="40">
        <f>BA427</f>
        <v/>
      </c>
      <c r="BC412" s="40">
        <f>BB427</f>
        <v/>
      </c>
      <c r="BD412" s="40">
        <f>BC427</f>
        <v/>
      </c>
    </row>
    <row r="413">
      <c r="A413" s="33" t="inlineStr">
        <is>
          <t xml:space="preserve">   lost to shrink</t>
        </is>
      </c>
      <c r="B413" s="2" t="inlineStr">
        <is>
          <t>lb</t>
        </is>
      </c>
      <c r="E413" s="40">
        <f>E412*$G$20</f>
        <v/>
      </c>
      <c r="F413" s="40">
        <f>F412*$G$20</f>
        <v/>
      </c>
      <c r="G413" s="40">
        <f>G412*$G$20</f>
        <v/>
      </c>
      <c r="H413" s="40">
        <f>H412*$G$20</f>
        <v/>
      </c>
      <c r="I413" s="40">
        <f>I412*$G$20</f>
        <v/>
      </c>
      <c r="J413" s="40">
        <f>J412*$G$20</f>
        <v/>
      </c>
      <c r="K413" s="40">
        <f>K412*$G$20</f>
        <v/>
      </c>
      <c r="L413" s="40">
        <f>L412*$G$20</f>
        <v/>
      </c>
      <c r="M413" s="40">
        <f>M412*$G$20</f>
        <v/>
      </c>
      <c r="N413" s="40">
        <f>N412*$G$20</f>
        <v/>
      </c>
      <c r="O413" s="40">
        <f>O412*$G$20</f>
        <v/>
      </c>
      <c r="P413" s="40">
        <f>P412*$G$20</f>
        <v/>
      </c>
      <c r="Q413" s="40">
        <f>Q412*$G$20</f>
        <v/>
      </c>
      <c r="R413" s="40">
        <f>R412*$G$20</f>
        <v/>
      </c>
      <c r="S413" s="40">
        <f>S412*$G$20</f>
        <v/>
      </c>
      <c r="T413" s="40">
        <f>T412*$G$20</f>
        <v/>
      </c>
      <c r="U413" s="40">
        <f>U412*$G$20</f>
        <v/>
      </c>
      <c r="V413" s="40">
        <f>V412*$G$20</f>
        <v/>
      </c>
      <c r="W413" s="40">
        <f>W412*$G$20</f>
        <v/>
      </c>
      <c r="X413" s="40">
        <f>X412*$G$20</f>
        <v/>
      </c>
      <c r="Y413" s="40">
        <f>Y412*$G$20</f>
        <v/>
      </c>
      <c r="Z413" s="40">
        <f>Z412*$G$20</f>
        <v/>
      </c>
      <c r="AA413" s="40">
        <f>AA412*$G$20</f>
        <v/>
      </c>
      <c r="AB413" s="40">
        <f>AB412*$G$20</f>
        <v/>
      </c>
      <c r="AC413" s="40">
        <f>AC412*$G$20</f>
        <v/>
      </c>
      <c r="AD413" s="40">
        <f>AD412*$G$20</f>
        <v/>
      </c>
      <c r="AE413" s="40">
        <f>AE412*$G$20</f>
        <v/>
      </c>
      <c r="AF413" s="40">
        <f>AF412*$G$20</f>
        <v/>
      </c>
      <c r="AG413" s="40">
        <f>AG412*$G$20</f>
        <v/>
      </c>
      <c r="AH413" s="40">
        <f>AH412*$G$20</f>
        <v/>
      </c>
      <c r="AI413" s="40">
        <f>AI412*$G$20</f>
        <v/>
      </c>
      <c r="AJ413" s="40">
        <f>AJ412*$G$20</f>
        <v/>
      </c>
      <c r="AK413" s="40">
        <f>AK412*$G$20</f>
        <v/>
      </c>
      <c r="AL413" s="40">
        <f>AL412*$G$20</f>
        <v/>
      </c>
      <c r="AM413" s="40">
        <f>AM412*$G$20</f>
        <v/>
      </c>
      <c r="AN413" s="40">
        <f>AN412*$G$20</f>
        <v/>
      </c>
      <c r="AO413" s="40">
        <f>AO412*$G$20</f>
        <v/>
      </c>
      <c r="AP413" s="40">
        <f>AP412*$G$20</f>
        <v/>
      </c>
      <c r="AQ413" s="40">
        <f>AQ412*$G$20</f>
        <v/>
      </c>
      <c r="AR413" s="40">
        <f>AR412*$G$20</f>
        <v/>
      </c>
      <c r="AS413" s="40">
        <f>AS412*$G$20</f>
        <v/>
      </c>
      <c r="AT413" s="40">
        <f>AT412*$G$20</f>
        <v/>
      </c>
      <c r="AU413" s="40">
        <f>AU412*$G$20</f>
        <v/>
      </c>
      <c r="AV413" s="40">
        <f>AV412*$G$20</f>
        <v/>
      </c>
      <c r="AW413" s="40">
        <f>AW412*$G$20</f>
        <v/>
      </c>
      <c r="AX413" s="40">
        <f>AX412*$G$20</f>
        <v/>
      </c>
      <c r="AY413" s="40">
        <f>AY412*$G$20</f>
        <v/>
      </c>
      <c r="AZ413" s="40">
        <f>AZ412*$G$20</f>
        <v/>
      </c>
      <c r="BA413" s="40">
        <f>BA412*$G$20</f>
        <v/>
      </c>
      <c r="BB413" s="40">
        <f>BB412*$G$20</f>
        <v/>
      </c>
      <c r="BC413" s="40">
        <f>BC412*$G$20</f>
        <v/>
      </c>
      <c r="BD413" s="40">
        <f>BD412*$G$20</f>
        <v/>
      </c>
    </row>
    <row r="414">
      <c r="A414" s="4" t="inlineStr">
        <is>
          <t>In store this week</t>
        </is>
      </c>
      <c r="B414" s="2" t="inlineStr">
        <is>
          <t>lb</t>
        </is>
      </c>
      <c r="E414" s="40">
        <f>E412-E413+E411</f>
        <v/>
      </c>
      <c r="F414" s="40">
        <f>F412-F413+F411</f>
        <v/>
      </c>
      <c r="G414" s="40">
        <f>G412-G413+G411</f>
        <v/>
      </c>
      <c r="H414" s="40">
        <f>H412-H413+H411</f>
        <v/>
      </c>
      <c r="I414" s="40">
        <f>I412-I413+I411</f>
        <v/>
      </c>
      <c r="J414" s="40">
        <f>J412-J413+J411</f>
        <v/>
      </c>
      <c r="K414" s="40">
        <f>K412-K413+K411</f>
        <v/>
      </c>
      <c r="L414" s="40">
        <f>L412-L413+L411</f>
        <v/>
      </c>
      <c r="M414" s="40">
        <f>M412-M413+M411</f>
        <v/>
      </c>
      <c r="N414" s="40">
        <f>N412-N413+N411</f>
        <v/>
      </c>
      <c r="O414" s="40">
        <f>O412-O413+O411</f>
        <v/>
      </c>
      <c r="P414" s="40">
        <f>P412-P413+P411</f>
        <v/>
      </c>
      <c r="Q414" s="40">
        <f>Q412-Q413+Q411</f>
        <v/>
      </c>
      <c r="R414" s="40">
        <f>R412-R413+R411</f>
        <v/>
      </c>
      <c r="S414" s="40">
        <f>S412-S413+S411</f>
        <v/>
      </c>
      <c r="T414" s="40">
        <f>T412-T413+T411</f>
        <v/>
      </c>
      <c r="U414" s="40">
        <f>U412-U413+U411</f>
        <v/>
      </c>
      <c r="V414" s="40">
        <f>V412-V413+V411</f>
        <v/>
      </c>
      <c r="W414" s="40">
        <f>W412-W413+W411</f>
        <v/>
      </c>
      <c r="X414" s="40">
        <f>X412-X413+X411</f>
        <v/>
      </c>
      <c r="Y414" s="40">
        <f>Y412-Y413+Y411</f>
        <v/>
      </c>
      <c r="Z414" s="40">
        <f>Z412-Z413+Z411</f>
        <v/>
      </c>
      <c r="AA414" s="40">
        <f>AA412-AA413+AA411</f>
        <v/>
      </c>
      <c r="AB414" s="40">
        <f>AB412-AB413+AB411</f>
        <v/>
      </c>
      <c r="AC414" s="40">
        <f>AC412-AC413+AC411</f>
        <v/>
      </c>
      <c r="AD414" s="40">
        <f>AD412-AD413+AD411</f>
        <v/>
      </c>
      <c r="AE414" s="40">
        <f>AE412-AE413+AE411</f>
        <v/>
      </c>
      <c r="AF414" s="40">
        <f>AF412-AF413+AF411</f>
        <v/>
      </c>
      <c r="AG414" s="40">
        <f>AG412-AG413+AG411</f>
        <v/>
      </c>
      <c r="AH414" s="40">
        <f>AH412-AH413+AH411</f>
        <v/>
      </c>
      <c r="AI414" s="40">
        <f>AI412-AI413+AI411</f>
        <v/>
      </c>
      <c r="AJ414" s="40">
        <f>AJ412-AJ413+AJ411</f>
        <v/>
      </c>
      <c r="AK414" s="40">
        <f>AK412-AK413+AK411</f>
        <v/>
      </c>
      <c r="AL414" s="40">
        <f>AL412-AL413+AL411</f>
        <v/>
      </c>
      <c r="AM414" s="40">
        <f>AM412-AM413+AM411</f>
        <v/>
      </c>
      <c r="AN414" s="40">
        <f>AN412-AN413+AN411</f>
        <v/>
      </c>
      <c r="AO414" s="40">
        <f>AO412-AO413+AO411</f>
        <v/>
      </c>
      <c r="AP414" s="40">
        <f>AP412-AP413+AP411</f>
        <v/>
      </c>
      <c r="AQ414" s="40">
        <f>AQ412-AQ413+AQ411</f>
        <v/>
      </c>
      <c r="AR414" s="40">
        <f>AR412-AR413+AR411</f>
        <v/>
      </c>
      <c r="AS414" s="40">
        <f>AS412-AS413+AS411</f>
        <v/>
      </c>
      <c r="AT414" s="40">
        <f>AT412-AT413+AT411</f>
        <v/>
      </c>
      <c r="AU414" s="40">
        <f>AU412-AU413+AU411</f>
        <v/>
      </c>
      <c r="AV414" s="40">
        <f>AV412-AV413+AV411</f>
        <v/>
      </c>
      <c r="AW414" s="40">
        <f>AW412-AW413+AW411</f>
        <v/>
      </c>
      <c r="AX414" s="40">
        <f>AX412-AX413+AX411</f>
        <v/>
      </c>
      <c r="AY414" s="40">
        <f>AY412-AY413+AY411</f>
        <v/>
      </c>
      <c r="AZ414" s="40">
        <f>AZ412-AZ413+AZ411</f>
        <v/>
      </c>
      <c r="BA414" s="40">
        <f>BA412-BA413+BA411</f>
        <v/>
      </c>
      <c r="BB414" s="40">
        <f>BB412-BB413+BB411</f>
        <v/>
      </c>
      <c r="BC414" s="40">
        <f>BC412-BC413+BC411</f>
        <v/>
      </c>
      <c r="BD414" s="40">
        <f>BD412-BD413+BD411</f>
        <v/>
      </c>
    </row>
    <row r="415">
      <c r="A415" s="2" t="inlineStr">
        <is>
          <t>Farmers Market — shares Spinach's ceiling (section 5c)</t>
        </is>
      </c>
    </row>
    <row r="416">
      <c r="A416" s="32" t="inlineStr">
        <is>
          <t>Farmers Market — OFFERED</t>
        </is>
      </c>
      <c r="B416" s="2" t="inlineStr">
        <is>
          <t>lb  &lt;-- SOLVER</t>
        </is>
      </c>
      <c r="E416" s="39" t="n">
        <v>0</v>
      </c>
      <c r="F416" s="39" t="n">
        <v>0</v>
      </c>
      <c r="G416" s="39" t="n">
        <v>0</v>
      </c>
      <c r="H416" s="39" t="n">
        <v>0</v>
      </c>
      <c r="I416" s="39" t="n">
        <v>0</v>
      </c>
      <c r="J416" s="39" t="n">
        <v>0</v>
      </c>
      <c r="K416" s="39" t="n">
        <v>0</v>
      </c>
      <c r="L416" s="39" t="n">
        <v>0</v>
      </c>
      <c r="M416" s="39" t="n">
        <v>0</v>
      </c>
      <c r="N416" s="39" t="n">
        <v>0</v>
      </c>
      <c r="O416" s="39" t="n">
        <v>0</v>
      </c>
      <c r="P416" s="39" t="n">
        <v>0</v>
      </c>
      <c r="Q416" s="39" t="n">
        <v>0</v>
      </c>
      <c r="R416" s="39" t="n">
        <v>0</v>
      </c>
      <c r="S416" s="39" t="n">
        <v>0</v>
      </c>
      <c r="T416" s="39" t="n">
        <v>0</v>
      </c>
      <c r="U416" s="39" t="n">
        <v>0</v>
      </c>
      <c r="V416" s="39" t="n">
        <v>0</v>
      </c>
      <c r="W416" s="39" t="n">
        <v>0</v>
      </c>
      <c r="X416" s="39" t="n">
        <v>0</v>
      </c>
      <c r="Y416" s="39" t="n">
        <v>0</v>
      </c>
      <c r="Z416" s="39" t="n">
        <v>0</v>
      </c>
      <c r="AA416" s="39" t="n">
        <v>0</v>
      </c>
      <c r="AB416" s="39" t="n">
        <v>0</v>
      </c>
      <c r="AC416" s="39" t="n">
        <v>0</v>
      </c>
      <c r="AD416" s="39" t="n">
        <v>0</v>
      </c>
      <c r="AE416" s="39" t="n">
        <v>0</v>
      </c>
      <c r="AF416" s="39" t="n">
        <v>0</v>
      </c>
      <c r="AG416" s="39" t="n">
        <v>0</v>
      </c>
      <c r="AH416" s="39" t="n">
        <v>0</v>
      </c>
      <c r="AI416" s="39" t="n">
        <v>0</v>
      </c>
      <c r="AJ416" s="39" t="n">
        <v>0</v>
      </c>
      <c r="AK416" s="39" t="n">
        <v>0</v>
      </c>
      <c r="AL416" s="39" t="n">
        <v>0</v>
      </c>
      <c r="AM416" s="39" t="n">
        <v>0</v>
      </c>
      <c r="AN416" s="39" t="n">
        <v>0</v>
      </c>
      <c r="AO416" s="39" t="n">
        <v>0</v>
      </c>
      <c r="AP416" s="39" t="n">
        <v>0</v>
      </c>
      <c r="AQ416" s="39" t="n">
        <v>0</v>
      </c>
      <c r="AR416" s="39" t="n">
        <v>0</v>
      </c>
      <c r="AS416" s="39" t="n">
        <v>0</v>
      </c>
      <c r="AT416" s="39" t="n">
        <v>0</v>
      </c>
      <c r="AU416" s="39" t="n">
        <v>0</v>
      </c>
      <c r="AV416" s="39" t="n">
        <v>0</v>
      </c>
      <c r="AW416" s="39" t="n">
        <v>0</v>
      </c>
      <c r="AX416" s="39" t="n">
        <v>0</v>
      </c>
      <c r="AY416" s="39" t="n">
        <v>0</v>
      </c>
      <c r="AZ416" s="39" t="n">
        <v>0</v>
      </c>
      <c r="BA416" s="39" t="n">
        <v>0</v>
      </c>
      <c r="BB416" s="39" t="n">
        <v>0</v>
      </c>
      <c r="BC416" s="39" t="n">
        <v>0</v>
      </c>
      <c r="BD416" s="39" t="n">
        <v>0</v>
      </c>
    </row>
    <row r="417">
      <c r="A417" s="54" t="inlineStr">
        <is>
          <t>Farmers Market — SOLD</t>
        </is>
      </c>
      <c r="B417" s="2" t="inlineStr">
        <is>
          <t>lb</t>
        </is>
      </c>
      <c r="E417" s="55">
        <f>E416*$G$42</f>
        <v/>
      </c>
      <c r="F417" s="55">
        <f>F416*$G$42</f>
        <v/>
      </c>
      <c r="G417" s="55">
        <f>G416*$G$42</f>
        <v/>
      </c>
      <c r="H417" s="55">
        <f>H416*$G$42</f>
        <v/>
      </c>
      <c r="I417" s="55">
        <f>I416*$G$42</f>
        <v/>
      </c>
      <c r="J417" s="55">
        <f>J416*$G$42</f>
        <v/>
      </c>
      <c r="K417" s="55">
        <f>K416*$G$42</f>
        <v/>
      </c>
      <c r="L417" s="55">
        <f>L416*$G$42</f>
        <v/>
      </c>
      <c r="M417" s="55">
        <f>M416*$G$42</f>
        <v/>
      </c>
      <c r="N417" s="55">
        <f>N416*$G$42</f>
        <v/>
      </c>
      <c r="O417" s="55">
        <f>O416*$G$42</f>
        <v/>
      </c>
      <c r="P417" s="55">
        <f>P416*$G$42</f>
        <v/>
      </c>
      <c r="Q417" s="55">
        <f>Q416*$G$42</f>
        <v/>
      </c>
      <c r="R417" s="55">
        <f>R416*$G$42</f>
        <v/>
      </c>
      <c r="S417" s="55">
        <f>S416*$G$42</f>
        <v/>
      </c>
      <c r="T417" s="55">
        <f>T416*$G$42</f>
        <v/>
      </c>
      <c r="U417" s="55">
        <f>U416*$G$42</f>
        <v/>
      </c>
      <c r="V417" s="55">
        <f>V416*$G$42</f>
        <v/>
      </c>
      <c r="W417" s="55">
        <f>W416*$G$42</f>
        <v/>
      </c>
      <c r="X417" s="55">
        <f>X416*$G$42</f>
        <v/>
      </c>
      <c r="Y417" s="55">
        <f>Y416*$G$42</f>
        <v/>
      </c>
      <c r="Z417" s="55">
        <f>Z416*$G$42</f>
        <v/>
      </c>
      <c r="AA417" s="55">
        <f>AA416*$G$42</f>
        <v/>
      </c>
      <c r="AB417" s="55">
        <f>AB416*$G$42</f>
        <v/>
      </c>
      <c r="AC417" s="55">
        <f>AC416*$G$42</f>
        <v/>
      </c>
      <c r="AD417" s="55">
        <f>AD416*$G$42</f>
        <v/>
      </c>
      <c r="AE417" s="55">
        <f>AE416*$G$42</f>
        <v/>
      </c>
      <c r="AF417" s="55">
        <f>AF416*$G$42</f>
        <v/>
      </c>
      <c r="AG417" s="55">
        <f>AG416*$G$42</f>
        <v/>
      </c>
      <c r="AH417" s="55">
        <f>AH416*$G$42</f>
        <v/>
      </c>
      <c r="AI417" s="55">
        <f>AI416*$G$42</f>
        <v/>
      </c>
      <c r="AJ417" s="55">
        <f>AJ416*$G$42</f>
        <v/>
      </c>
      <c r="AK417" s="55">
        <f>AK416*$G$42</f>
        <v/>
      </c>
      <c r="AL417" s="55">
        <f>AL416*$G$42</f>
        <v/>
      </c>
      <c r="AM417" s="55">
        <f>AM416*$G$42</f>
        <v/>
      </c>
      <c r="AN417" s="55">
        <f>AN416*$G$42</f>
        <v/>
      </c>
      <c r="AO417" s="55">
        <f>AO416*$G$42</f>
        <v/>
      </c>
      <c r="AP417" s="55">
        <f>AP416*$G$42</f>
        <v/>
      </c>
      <c r="AQ417" s="55">
        <f>AQ416*$G$42</f>
        <v/>
      </c>
      <c r="AR417" s="55">
        <f>AR416*$G$42</f>
        <v/>
      </c>
      <c r="AS417" s="55">
        <f>AS416*$G$42</f>
        <v/>
      </c>
      <c r="AT417" s="55">
        <f>AT416*$G$42</f>
        <v/>
      </c>
      <c r="AU417" s="55">
        <f>AU416*$G$42</f>
        <v/>
      </c>
      <c r="AV417" s="55">
        <f>AV416*$G$42</f>
        <v/>
      </c>
      <c r="AW417" s="55">
        <f>AW416*$G$42</f>
        <v/>
      </c>
      <c r="AX417" s="55">
        <f>AX416*$G$42</f>
        <v/>
      </c>
      <c r="AY417" s="55">
        <f>AY416*$G$42</f>
        <v/>
      </c>
      <c r="AZ417" s="55">
        <f>AZ416*$G$42</f>
        <v/>
      </c>
      <c r="BA417" s="55">
        <f>BA416*$G$42</f>
        <v/>
      </c>
      <c r="BB417" s="55">
        <f>BB416*$G$42</f>
        <v/>
      </c>
      <c r="BC417" s="55">
        <f>BC416*$G$42</f>
        <v/>
      </c>
      <c r="BD417" s="55">
        <f>BD416*$G$42</f>
        <v/>
      </c>
    </row>
    <row r="418">
      <c r="A418" s="33" t="inlineStr">
        <is>
          <t xml:space="preserve">   market loss (gone)</t>
        </is>
      </c>
      <c r="B418" s="2" t="inlineStr">
        <is>
          <t>lb</t>
        </is>
      </c>
      <c r="E418" s="40">
        <f>(E416-E417)*(1-$H$42)</f>
        <v/>
      </c>
      <c r="F418" s="40">
        <f>(F416-F417)*(1-$H$42)</f>
        <v/>
      </c>
      <c r="G418" s="40">
        <f>(G416-G417)*(1-$H$42)</f>
        <v/>
      </c>
      <c r="H418" s="40">
        <f>(H416-H417)*(1-$H$42)</f>
        <v/>
      </c>
      <c r="I418" s="40">
        <f>(I416-I417)*(1-$H$42)</f>
        <v/>
      </c>
      <c r="J418" s="40">
        <f>(J416-J417)*(1-$H$42)</f>
        <v/>
      </c>
      <c r="K418" s="40">
        <f>(K416-K417)*(1-$H$42)</f>
        <v/>
      </c>
      <c r="L418" s="40">
        <f>(L416-L417)*(1-$H$42)</f>
        <v/>
      </c>
      <c r="M418" s="40">
        <f>(M416-M417)*(1-$H$42)</f>
        <v/>
      </c>
      <c r="N418" s="40">
        <f>(N416-N417)*(1-$H$42)</f>
        <v/>
      </c>
      <c r="O418" s="40">
        <f>(O416-O417)*(1-$H$42)</f>
        <v/>
      </c>
      <c r="P418" s="40">
        <f>(P416-P417)*(1-$H$42)</f>
        <v/>
      </c>
      <c r="Q418" s="40">
        <f>(Q416-Q417)*(1-$H$42)</f>
        <v/>
      </c>
      <c r="R418" s="40">
        <f>(R416-R417)*(1-$H$42)</f>
        <v/>
      </c>
      <c r="S418" s="40">
        <f>(S416-S417)*(1-$H$42)</f>
        <v/>
      </c>
      <c r="T418" s="40">
        <f>(T416-T417)*(1-$H$42)</f>
        <v/>
      </c>
      <c r="U418" s="40">
        <f>(U416-U417)*(1-$H$42)</f>
        <v/>
      </c>
      <c r="V418" s="40">
        <f>(V416-V417)*(1-$H$42)</f>
        <v/>
      </c>
      <c r="W418" s="40">
        <f>(W416-W417)*(1-$H$42)</f>
        <v/>
      </c>
      <c r="X418" s="40">
        <f>(X416-X417)*(1-$H$42)</f>
        <v/>
      </c>
      <c r="Y418" s="40">
        <f>(Y416-Y417)*(1-$H$42)</f>
        <v/>
      </c>
      <c r="Z418" s="40">
        <f>(Z416-Z417)*(1-$H$42)</f>
        <v/>
      </c>
      <c r="AA418" s="40">
        <f>(AA416-AA417)*(1-$H$42)</f>
        <v/>
      </c>
      <c r="AB418" s="40">
        <f>(AB416-AB417)*(1-$H$42)</f>
        <v/>
      </c>
      <c r="AC418" s="40">
        <f>(AC416-AC417)*(1-$H$42)</f>
        <v/>
      </c>
      <c r="AD418" s="40">
        <f>(AD416-AD417)*(1-$H$42)</f>
        <v/>
      </c>
      <c r="AE418" s="40">
        <f>(AE416-AE417)*(1-$H$42)</f>
        <v/>
      </c>
      <c r="AF418" s="40">
        <f>(AF416-AF417)*(1-$H$42)</f>
        <v/>
      </c>
      <c r="AG418" s="40">
        <f>(AG416-AG417)*(1-$H$42)</f>
        <v/>
      </c>
      <c r="AH418" s="40">
        <f>(AH416-AH417)*(1-$H$42)</f>
        <v/>
      </c>
      <c r="AI418" s="40">
        <f>(AI416-AI417)*(1-$H$42)</f>
        <v/>
      </c>
      <c r="AJ418" s="40">
        <f>(AJ416-AJ417)*(1-$H$42)</f>
        <v/>
      </c>
      <c r="AK418" s="40">
        <f>(AK416-AK417)*(1-$H$42)</f>
        <v/>
      </c>
      <c r="AL418" s="40">
        <f>(AL416-AL417)*(1-$H$42)</f>
        <v/>
      </c>
      <c r="AM418" s="40">
        <f>(AM416-AM417)*(1-$H$42)</f>
        <v/>
      </c>
      <c r="AN418" s="40">
        <f>(AN416-AN417)*(1-$H$42)</f>
        <v/>
      </c>
      <c r="AO418" s="40">
        <f>(AO416-AO417)*(1-$H$42)</f>
        <v/>
      </c>
      <c r="AP418" s="40">
        <f>(AP416-AP417)*(1-$H$42)</f>
        <v/>
      </c>
      <c r="AQ418" s="40">
        <f>(AQ416-AQ417)*(1-$H$42)</f>
        <v/>
      </c>
      <c r="AR418" s="40">
        <f>(AR416-AR417)*(1-$H$42)</f>
        <v/>
      </c>
      <c r="AS418" s="40">
        <f>(AS416-AS417)*(1-$H$42)</f>
        <v/>
      </c>
      <c r="AT418" s="40">
        <f>(AT416-AT417)*(1-$H$42)</f>
        <v/>
      </c>
      <c r="AU418" s="40">
        <f>(AU416-AU417)*(1-$H$42)</f>
        <v/>
      </c>
      <c r="AV418" s="40">
        <f>(AV416-AV417)*(1-$H$42)</f>
        <v/>
      </c>
      <c r="AW418" s="40">
        <f>(AW416-AW417)*(1-$H$42)</f>
        <v/>
      </c>
      <c r="AX418" s="40">
        <f>(AX416-AX417)*(1-$H$42)</f>
        <v/>
      </c>
      <c r="AY418" s="40">
        <f>(AY416-AY417)*(1-$H$42)</f>
        <v/>
      </c>
      <c r="AZ418" s="40">
        <f>(AZ416-AZ417)*(1-$H$42)</f>
        <v/>
      </c>
      <c r="BA418" s="40">
        <f>(BA416-BA417)*(1-$H$42)</f>
        <v/>
      </c>
      <c r="BB418" s="40">
        <f>(BB416-BB417)*(1-$H$42)</f>
        <v/>
      </c>
      <c r="BC418" s="40">
        <f>(BC416-BC417)*(1-$H$42)</f>
        <v/>
      </c>
      <c r="BD418" s="40">
        <f>(BD416-BD417)*(1-$H$42)</f>
        <v/>
      </c>
    </row>
    <row r="419">
      <c r="A419" s="33" t="inlineStr">
        <is>
          <t xml:space="preserve">   returned to store</t>
        </is>
      </c>
      <c r="B419" s="2" t="inlineStr">
        <is>
          <t>lb</t>
        </is>
      </c>
      <c r="E419" s="40">
        <f>(E416-E417)*$H$42</f>
        <v/>
      </c>
      <c r="F419" s="40">
        <f>(F416-F417)*$H$42</f>
        <v/>
      </c>
      <c r="G419" s="40">
        <f>(G416-G417)*$H$42</f>
        <v/>
      </c>
      <c r="H419" s="40">
        <f>(H416-H417)*$H$42</f>
        <v/>
      </c>
      <c r="I419" s="40">
        <f>(I416-I417)*$H$42</f>
        <v/>
      </c>
      <c r="J419" s="40">
        <f>(J416-J417)*$H$42</f>
        <v/>
      </c>
      <c r="K419" s="40">
        <f>(K416-K417)*$H$42</f>
        <v/>
      </c>
      <c r="L419" s="40">
        <f>(L416-L417)*$H$42</f>
        <v/>
      </c>
      <c r="M419" s="40">
        <f>(M416-M417)*$H$42</f>
        <v/>
      </c>
      <c r="N419" s="40">
        <f>(N416-N417)*$H$42</f>
        <v/>
      </c>
      <c r="O419" s="40">
        <f>(O416-O417)*$H$42</f>
        <v/>
      </c>
      <c r="P419" s="40">
        <f>(P416-P417)*$H$42</f>
        <v/>
      </c>
      <c r="Q419" s="40">
        <f>(Q416-Q417)*$H$42</f>
        <v/>
      </c>
      <c r="R419" s="40">
        <f>(R416-R417)*$H$42</f>
        <v/>
      </c>
      <c r="S419" s="40">
        <f>(S416-S417)*$H$42</f>
        <v/>
      </c>
      <c r="T419" s="40">
        <f>(T416-T417)*$H$42</f>
        <v/>
      </c>
      <c r="U419" s="40">
        <f>(U416-U417)*$H$42</f>
        <v/>
      </c>
      <c r="V419" s="40">
        <f>(V416-V417)*$H$42</f>
        <v/>
      </c>
      <c r="W419" s="40">
        <f>(W416-W417)*$H$42</f>
        <v/>
      </c>
      <c r="X419" s="40">
        <f>(X416-X417)*$H$42</f>
        <v/>
      </c>
      <c r="Y419" s="40">
        <f>(Y416-Y417)*$H$42</f>
        <v/>
      </c>
      <c r="Z419" s="40">
        <f>(Z416-Z417)*$H$42</f>
        <v/>
      </c>
      <c r="AA419" s="40">
        <f>(AA416-AA417)*$H$42</f>
        <v/>
      </c>
      <c r="AB419" s="40">
        <f>(AB416-AB417)*$H$42</f>
        <v/>
      </c>
      <c r="AC419" s="40">
        <f>(AC416-AC417)*$H$42</f>
        <v/>
      </c>
      <c r="AD419" s="40">
        <f>(AD416-AD417)*$H$42</f>
        <v/>
      </c>
      <c r="AE419" s="40">
        <f>(AE416-AE417)*$H$42</f>
        <v/>
      </c>
      <c r="AF419" s="40">
        <f>(AF416-AF417)*$H$42</f>
        <v/>
      </c>
      <c r="AG419" s="40">
        <f>(AG416-AG417)*$H$42</f>
        <v/>
      </c>
      <c r="AH419" s="40">
        <f>(AH416-AH417)*$H$42</f>
        <v/>
      </c>
      <c r="AI419" s="40">
        <f>(AI416-AI417)*$H$42</f>
        <v/>
      </c>
      <c r="AJ419" s="40">
        <f>(AJ416-AJ417)*$H$42</f>
        <v/>
      </c>
      <c r="AK419" s="40">
        <f>(AK416-AK417)*$H$42</f>
        <v/>
      </c>
      <c r="AL419" s="40">
        <f>(AL416-AL417)*$H$42</f>
        <v/>
      </c>
      <c r="AM419" s="40">
        <f>(AM416-AM417)*$H$42</f>
        <v/>
      </c>
      <c r="AN419" s="40">
        <f>(AN416-AN417)*$H$42</f>
        <v/>
      </c>
      <c r="AO419" s="40">
        <f>(AO416-AO417)*$H$42</f>
        <v/>
      </c>
      <c r="AP419" s="40">
        <f>(AP416-AP417)*$H$42</f>
        <v/>
      </c>
      <c r="AQ419" s="40">
        <f>(AQ416-AQ417)*$H$42</f>
        <v/>
      </c>
      <c r="AR419" s="40">
        <f>(AR416-AR417)*$H$42</f>
        <v/>
      </c>
      <c r="AS419" s="40">
        <f>(AS416-AS417)*$H$42</f>
        <v/>
      </c>
      <c r="AT419" s="40">
        <f>(AT416-AT417)*$H$42</f>
        <v/>
      </c>
      <c r="AU419" s="40">
        <f>(AU416-AU417)*$H$42</f>
        <v/>
      </c>
      <c r="AV419" s="40">
        <f>(AV416-AV417)*$H$42</f>
        <v/>
      </c>
      <c r="AW419" s="40">
        <f>(AW416-AW417)*$H$42</f>
        <v/>
      </c>
      <c r="AX419" s="40">
        <f>(AX416-AX417)*$H$42</f>
        <v/>
      </c>
      <c r="AY419" s="40">
        <f>(AY416-AY417)*$H$42</f>
        <v/>
      </c>
      <c r="AZ419" s="40">
        <f>(AZ416-AZ417)*$H$42</f>
        <v/>
      </c>
      <c r="BA419" s="40">
        <f>(BA416-BA417)*$H$42</f>
        <v/>
      </c>
      <c r="BB419" s="40">
        <f>(BB416-BB417)*$H$42</f>
        <v/>
      </c>
      <c r="BC419" s="40">
        <f>(BC416-BC417)*$H$42</f>
        <v/>
      </c>
      <c r="BD419" s="40">
        <f>(BD416-BD417)*$H$42</f>
        <v/>
      </c>
    </row>
    <row r="420">
      <c r="A420" s="33" t="inlineStr">
        <is>
          <t xml:space="preserve">   leaves the store (offered - returned)</t>
        </is>
      </c>
      <c r="B420" s="2" t="inlineStr">
        <is>
          <t>lb</t>
        </is>
      </c>
      <c r="E420" s="40">
        <f>E416-E419</f>
        <v/>
      </c>
      <c r="F420" s="40">
        <f>F416-F419</f>
        <v/>
      </c>
      <c r="G420" s="40">
        <f>G416-G419</f>
        <v/>
      </c>
      <c r="H420" s="40">
        <f>H416-H419</f>
        <v/>
      </c>
      <c r="I420" s="40">
        <f>I416-I419</f>
        <v/>
      </c>
      <c r="J420" s="40">
        <f>J416-J419</f>
        <v/>
      </c>
      <c r="K420" s="40">
        <f>K416-K419</f>
        <v/>
      </c>
      <c r="L420" s="40">
        <f>L416-L419</f>
        <v/>
      </c>
      <c r="M420" s="40">
        <f>M416-M419</f>
        <v/>
      </c>
      <c r="N420" s="40">
        <f>N416-N419</f>
        <v/>
      </c>
      <c r="O420" s="40">
        <f>O416-O419</f>
        <v/>
      </c>
      <c r="P420" s="40">
        <f>P416-P419</f>
        <v/>
      </c>
      <c r="Q420" s="40">
        <f>Q416-Q419</f>
        <v/>
      </c>
      <c r="R420" s="40">
        <f>R416-R419</f>
        <v/>
      </c>
      <c r="S420" s="40">
        <f>S416-S419</f>
        <v/>
      </c>
      <c r="T420" s="40">
        <f>T416-T419</f>
        <v/>
      </c>
      <c r="U420" s="40">
        <f>U416-U419</f>
        <v/>
      </c>
      <c r="V420" s="40">
        <f>V416-V419</f>
        <v/>
      </c>
      <c r="W420" s="40">
        <f>W416-W419</f>
        <v/>
      </c>
      <c r="X420" s="40">
        <f>X416-X419</f>
        <v/>
      </c>
      <c r="Y420" s="40">
        <f>Y416-Y419</f>
        <v/>
      </c>
      <c r="Z420" s="40">
        <f>Z416-Z419</f>
        <v/>
      </c>
      <c r="AA420" s="40">
        <f>AA416-AA419</f>
        <v/>
      </c>
      <c r="AB420" s="40">
        <f>AB416-AB419</f>
        <v/>
      </c>
      <c r="AC420" s="40">
        <f>AC416-AC419</f>
        <v/>
      </c>
      <c r="AD420" s="40">
        <f>AD416-AD419</f>
        <v/>
      </c>
      <c r="AE420" s="40">
        <f>AE416-AE419</f>
        <v/>
      </c>
      <c r="AF420" s="40">
        <f>AF416-AF419</f>
        <v/>
      </c>
      <c r="AG420" s="40">
        <f>AG416-AG419</f>
        <v/>
      </c>
      <c r="AH420" s="40">
        <f>AH416-AH419</f>
        <v/>
      </c>
      <c r="AI420" s="40">
        <f>AI416-AI419</f>
        <v/>
      </c>
      <c r="AJ420" s="40">
        <f>AJ416-AJ419</f>
        <v/>
      </c>
      <c r="AK420" s="40">
        <f>AK416-AK419</f>
        <v/>
      </c>
      <c r="AL420" s="40">
        <f>AL416-AL419</f>
        <v/>
      </c>
      <c r="AM420" s="40">
        <f>AM416-AM419</f>
        <v/>
      </c>
      <c r="AN420" s="40">
        <f>AN416-AN419</f>
        <v/>
      </c>
      <c r="AO420" s="40">
        <f>AO416-AO419</f>
        <v/>
      </c>
      <c r="AP420" s="40">
        <f>AP416-AP419</f>
        <v/>
      </c>
      <c r="AQ420" s="40">
        <f>AQ416-AQ419</f>
        <v/>
      </c>
      <c r="AR420" s="40">
        <f>AR416-AR419</f>
        <v/>
      </c>
      <c r="AS420" s="40">
        <f>AS416-AS419</f>
        <v/>
      </c>
      <c r="AT420" s="40">
        <f>AT416-AT419</f>
        <v/>
      </c>
      <c r="AU420" s="40">
        <f>AU416-AU419</f>
        <v/>
      </c>
      <c r="AV420" s="40">
        <f>AV416-AV419</f>
        <v/>
      </c>
      <c r="AW420" s="40">
        <f>AW416-AW419</f>
        <v/>
      </c>
      <c r="AX420" s="40">
        <f>AX416-AX419</f>
        <v/>
      </c>
      <c r="AY420" s="40">
        <f>AY416-AY419</f>
        <v/>
      </c>
      <c r="AZ420" s="40">
        <f>AZ416-AZ419</f>
        <v/>
      </c>
      <c r="BA420" s="40">
        <f>BA416-BA419</f>
        <v/>
      </c>
      <c r="BB420" s="40">
        <f>BB416-BB419</f>
        <v/>
      </c>
      <c r="BC420" s="40">
        <f>BC416-BC419</f>
        <v/>
      </c>
      <c r="BD420" s="40">
        <f>BD416-BD419</f>
        <v/>
      </c>
    </row>
    <row r="421">
      <c r="A421" s="2" t="inlineStr">
        <is>
          <t>Wholesale — shares Spinach's ceiling (section 5c)</t>
        </is>
      </c>
    </row>
    <row r="422">
      <c r="A422" s="32" t="inlineStr">
        <is>
          <t>Wholesale — OFFERED</t>
        </is>
      </c>
      <c r="B422" s="2" t="inlineStr">
        <is>
          <t>lb  &lt;-- SOLVER</t>
        </is>
      </c>
      <c r="E422" s="39" t="n">
        <v>0</v>
      </c>
      <c r="F422" s="39" t="n">
        <v>0</v>
      </c>
      <c r="G422" s="39" t="n">
        <v>0</v>
      </c>
      <c r="H422" s="39" t="n">
        <v>0</v>
      </c>
      <c r="I422" s="39" t="n">
        <v>0</v>
      </c>
      <c r="J422" s="39" t="n">
        <v>0</v>
      </c>
      <c r="K422" s="39" t="n">
        <v>0</v>
      </c>
      <c r="L422" s="39" t="n">
        <v>0</v>
      </c>
      <c r="M422" s="39" t="n">
        <v>0</v>
      </c>
      <c r="N422" s="39" t="n">
        <v>0</v>
      </c>
      <c r="O422" s="39" t="n">
        <v>0</v>
      </c>
      <c r="P422" s="39" t="n">
        <v>0</v>
      </c>
      <c r="Q422" s="39" t="n">
        <v>0</v>
      </c>
      <c r="R422" s="39" t="n">
        <v>0</v>
      </c>
      <c r="S422" s="39" t="n">
        <v>0</v>
      </c>
      <c r="T422" s="39" t="n">
        <v>0</v>
      </c>
      <c r="U422" s="39" t="n">
        <v>0</v>
      </c>
      <c r="V422" s="39" t="n">
        <v>0</v>
      </c>
      <c r="W422" s="39" t="n">
        <v>0</v>
      </c>
      <c r="X422" s="39" t="n">
        <v>0</v>
      </c>
      <c r="Y422" s="39" t="n">
        <v>0</v>
      </c>
      <c r="Z422" s="39" t="n">
        <v>0</v>
      </c>
      <c r="AA422" s="39" t="n">
        <v>0</v>
      </c>
      <c r="AB422" s="39" t="n">
        <v>0</v>
      </c>
      <c r="AC422" s="39" t="n">
        <v>0</v>
      </c>
      <c r="AD422" s="39" t="n">
        <v>0</v>
      </c>
      <c r="AE422" s="39" t="n">
        <v>0</v>
      </c>
      <c r="AF422" s="39" t="n">
        <v>0</v>
      </c>
      <c r="AG422" s="39" t="n">
        <v>0</v>
      </c>
      <c r="AH422" s="39" t="n">
        <v>0</v>
      </c>
      <c r="AI422" s="39" t="n">
        <v>0</v>
      </c>
      <c r="AJ422" s="39" t="n">
        <v>0</v>
      </c>
      <c r="AK422" s="39" t="n">
        <v>0</v>
      </c>
      <c r="AL422" s="39" t="n">
        <v>0</v>
      </c>
      <c r="AM422" s="39" t="n">
        <v>0</v>
      </c>
      <c r="AN422" s="39" t="n">
        <v>0</v>
      </c>
      <c r="AO422" s="39" t="n">
        <v>0</v>
      </c>
      <c r="AP422" s="39" t="n">
        <v>0</v>
      </c>
      <c r="AQ422" s="39" t="n">
        <v>0</v>
      </c>
      <c r="AR422" s="39" t="n">
        <v>0</v>
      </c>
      <c r="AS422" s="39" t="n">
        <v>0</v>
      </c>
      <c r="AT422" s="39" t="n">
        <v>0</v>
      </c>
      <c r="AU422" s="39" t="n">
        <v>0</v>
      </c>
      <c r="AV422" s="39" t="n">
        <v>0</v>
      </c>
      <c r="AW422" s="39" t="n">
        <v>0</v>
      </c>
      <c r="AX422" s="39" t="n">
        <v>0</v>
      </c>
      <c r="AY422" s="39" t="n">
        <v>0</v>
      </c>
      <c r="AZ422" s="39" t="n">
        <v>0</v>
      </c>
      <c r="BA422" s="39" t="n">
        <v>0</v>
      </c>
      <c r="BB422" s="39" t="n">
        <v>0</v>
      </c>
      <c r="BC422" s="39" t="n">
        <v>0</v>
      </c>
      <c r="BD422" s="39" t="n">
        <v>0</v>
      </c>
    </row>
    <row r="423">
      <c r="A423" s="56" t="inlineStr">
        <is>
          <t>Wholesale — SOLD</t>
        </is>
      </c>
      <c r="B423" s="2" t="inlineStr">
        <is>
          <t>lb</t>
        </is>
      </c>
      <c r="E423" s="57">
        <f>E422*$G$43</f>
        <v/>
      </c>
      <c r="F423" s="57">
        <f>F422*$G$43</f>
        <v/>
      </c>
      <c r="G423" s="57">
        <f>G422*$G$43</f>
        <v/>
      </c>
      <c r="H423" s="57">
        <f>H422*$G$43</f>
        <v/>
      </c>
      <c r="I423" s="57">
        <f>I422*$G$43</f>
        <v/>
      </c>
      <c r="J423" s="57">
        <f>J422*$G$43</f>
        <v/>
      </c>
      <c r="K423" s="57">
        <f>K422*$G$43</f>
        <v/>
      </c>
      <c r="L423" s="57">
        <f>L422*$G$43</f>
        <v/>
      </c>
      <c r="M423" s="57">
        <f>M422*$G$43</f>
        <v/>
      </c>
      <c r="N423" s="57">
        <f>N422*$G$43</f>
        <v/>
      </c>
      <c r="O423" s="57">
        <f>O422*$G$43</f>
        <v/>
      </c>
      <c r="P423" s="57">
        <f>P422*$G$43</f>
        <v/>
      </c>
      <c r="Q423" s="57">
        <f>Q422*$G$43</f>
        <v/>
      </c>
      <c r="R423" s="57">
        <f>R422*$G$43</f>
        <v/>
      </c>
      <c r="S423" s="57">
        <f>S422*$G$43</f>
        <v/>
      </c>
      <c r="T423" s="57">
        <f>T422*$G$43</f>
        <v/>
      </c>
      <c r="U423" s="57">
        <f>U422*$G$43</f>
        <v/>
      </c>
      <c r="V423" s="57">
        <f>V422*$G$43</f>
        <v/>
      </c>
      <c r="W423" s="57">
        <f>W422*$G$43</f>
        <v/>
      </c>
      <c r="X423" s="57">
        <f>X422*$G$43</f>
        <v/>
      </c>
      <c r="Y423" s="57">
        <f>Y422*$G$43</f>
        <v/>
      </c>
      <c r="Z423" s="57">
        <f>Z422*$G$43</f>
        <v/>
      </c>
      <c r="AA423" s="57">
        <f>AA422*$G$43</f>
        <v/>
      </c>
      <c r="AB423" s="57">
        <f>AB422*$G$43</f>
        <v/>
      </c>
      <c r="AC423" s="57">
        <f>AC422*$G$43</f>
        <v/>
      </c>
      <c r="AD423" s="57">
        <f>AD422*$G$43</f>
        <v/>
      </c>
      <c r="AE423" s="57">
        <f>AE422*$G$43</f>
        <v/>
      </c>
      <c r="AF423" s="57">
        <f>AF422*$G$43</f>
        <v/>
      </c>
      <c r="AG423" s="57">
        <f>AG422*$G$43</f>
        <v/>
      </c>
      <c r="AH423" s="57">
        <f>AH422*$G$43</f>
        <v/>
      </c>
      <c r="AI423" s="57">
        <f>AI422*$G$43</f>
        <v/>
      </c>
      <c r="AJ423" s="57">
        <f>AJ422*$G$43</f>
        <v/>
      </c>
      <c r="AK423" s="57">
        <f>AK422*$G$43</f>
        <v/>
      </c>
      <c r="AL423" s="57">
        <f>AL422*$G$43</f>
        <v/>
      </c>
      <c r="AM423" s="57">
        <f>AM422*$G$43</f>
        <v/>
      </c>
      <c r="AN423" s="57">
        <f>AN422*$G$43</f>
        <v/>
      </c>
      <c r="AO423" s="57">
        <f>AO422*$G$43</f>
        <v/>
      </c>
      <c r="AP423" s="57">
        <f>AP422*$G$43</f>
        <v/>
      </c>
      <c r="AQ423" s="57">
        <f>AQ422*$G$43</f>
        <v/>
      </c>
      <c r="AR423" s="57">
        <f>AR422*$G$43</f>
        <v/>
      </c>
      <c r="AS423" s="57">
        <f>AS422*$G$43</f>
        <v/>
      </c>
      <c r="AT423" s="57">
        <f>AT422*$G$43</f>
        <v/>
      </c>
      <c r="AU423" s="57">
        <f>AU422*$G$43</f>
        <v/>
      </c>
      <c r="AV423" s="57">
        <f>AV422*$G$43</f>
        <v/>
      </c>
      <c r="AW423" s="57">
        <f>AW422*$G$43</f>
        <v/>
      </c>
      <c r="AX423" s="57">
        <f>AX422*$G$43</f>
        <v/>
      </c>
      <c r="AY423" s="57">
        <f>AY422*$G$43</f>
        <v/>
      </c>
      <c r="AZ423" s="57">
        <f>AZ422*$G$43</f>
        <v/>
      </c>
      <c r="BA423" s="57">
        <f>BA422*$G$43</f>
        <v/>
      </c>
      <c r="BB423" s="57">
        <f>BB422*$G$43</f>
        <v/>
      </c>
      <c r="BC423" s="57">
        <f>BC422*$G$43</f>
        <v/>
      </c>
      <c r="BD423" s="57">
        <f>BD422*$G$43</f>
        <v/>
      </c>
    </row>
    <row r="424">
      <c r="A424" s="33" t="inlineStr">
        <is>
          <t xml:space="preserve">   market loss (gone)</t>
        </is>
      </c>
      <c r="B424" s="2" t="inlineStr">
        <is>
          <t>lb</t>
        </is>
      </c>
      <c r="E424" s="40">
        <f>(E422-E423)*(1-$H$43)</f>
        <v/>
      </c>
      <c r="F424" s="40">
        <f>(F422-F423)*(1-$H$43)</f>
        <v/>
      </c>
      <c r="G424" s="40">
        <f>(G422-G423)*(1-$H$43)</f>
        <v/>
      </c>
      <c r="H424" s="40">
        <f>(H422-H423)*(1-$H$43)</f>
        <v/>
      </c>
      <c r="I424" s="40">
        <f>(I422-I423)*(1-$H$43)</f>
        <v/>
      </c>
      <c r="J424" s="40">
        <f>(J422-J423)*(1-$H$43)</f>
        <v/>
      </c>
      <c r="K424" s="40">
        <f>(K422-K423)*(1-$H$43)</f>
        <v/>
      </c>
      <c r="L424" s="40">
        <f>(L422-L423)*(1-$H$43)</f>
        <v/>
      </c>
      <c r="M424" s="40">
        <f>(M422-M423)*(1-$H$43)</f>
        <v/>
      </c>
      <c r="N424" s="40">
        <f>(N422-N423)*(1-$H$43)</f>
        <v/>
      </c>
      <c r="O424" s="40">
        <f>(O422-O423)*(1-$H$43)</f>
        <v/>
      </c>
      <c r="P424" s="40">
        <f>(P422-P423)*(1-$H$43)</f>
        <v/>
      </c>
      <c r="Q424" s="40">
        <f>(Q422-Q423)*(1-$H$43)</f>
        <v/>
      </c>
      <c r="R424" s="40">
        <f>(R422-R423)*(1-$H$43)</f>
        <v/>
      </c>
      <c r="S424" s="40">
        <f>(S422-S423)*(1-$H$43)</f>
        <v/>
      </c>
      <c r="T424" s="40">
        <f>(T422-T423)*(1-$H$43)</f>
        <v/>
      </c>
      <c r="U424" s="40">
        <f>(U422-U423)*(1-$H$43)</f>
        <v/>
      </c>
      <c r="V424" s="40">
        <f>(V422-V423)*(1-$H$43)</f>
        <v/>
      </c>
      <c r="W424" s="40">
        <f>(W422-W423)*(1-$H$43)</f>
        <v/>
      </c>
      <c r="X424" s="40">
        <f>(X422-X423)*(1-$H$43)</f>
        <v/>
      </c>
      <c r="Y424" s="40">
        <f>(Y422-Y423)*(1-$H$43)</f>
        <v/>
      </c>
      <c r="Z424" s="40">
        <f>(Z422-Z423)*(1-$H$43)</f>
        <v/>
      </c>
      <c r="AA424" s="40">
        <f>(AA422-AA423)*(1-$H$43)</f>
        <v/>
      </c>
      <c r="AB424" s="40">
        <f>(AB422-AB423)*(1-$H$43)</f>
        <v/>
      </c>
      <c r="AC424" s="40">
        <f>(AC422-AC423)*(1-$H$43)</f>
        <v/>
      </c>
      <c r="AD424" s="40">
        <f>(AD422-AD423)*(1-$H$43)</f>
        <v/>
      </c>
      <c r="AE424" s="40">
        <f>(AE422-AE423)*(1-$H$43)</f>
        <v/>
      </c>
      <c r="AF424" s="40">
        <f>(AF422-AF423)*(1-$H$43)</f>
        <v/>
      </c>
      <c r="AG424" s="40">
        <f>(AG422-AG423)*(1-$H$43)</f>
        <v/>
      </c>
      <c r="AH424" s="40">
        <f>(AH422-AH423)*(1-$H$43)</f>
        <v/>
      </c>
      <c r="AI424" s="40">
        <f>(AI422-AI423)*(1-$H$43)</f>
        <v/>
      </c>
      <c r="AJ424" s="40">
        <f>(AJ422-AJ423)*(1-$H$43)</f>
        <v/>
      </c>
      <c r="AK424" s="40">
        <f>(AK422-AK423)*(1-$H$43)</f>
        <v/>
      </c>
      <c r="AL424" s="40">
        <f>(AL422-AL423)*(1-$H$43)</f>
        <v/>
      </c>
      <c r="AM424" s="40">
        <f>(AM422-AM423)*(1-$H$43)</f>
        <v/>
      </c>
      <c r="AN424" s="40">
        <f>(AN422-AN423)*(1-$H$43)</f>
        <v/>
      </c>
      <c r="AO424" s="40">
        <f>(AO422-AO423)*(1-$H$43)</f>
        <v/>
      </c>
      <c r="AP424" s="40">
        <f>(AP422-AP423)*(1-$H$43)</f>
        <v/>
      </c>
      <c r="AQ424" s="40">
        <f>(AQ422-AQ423)*(1-$H$43)</f>
        <v/>
      </c>
      <c r="AR424" s="40">
        <f>(AR422-AR423)*(1-$H$43)</f>
        <v/>
      </c>
      <c r="AS424" s="40">
        <f>(AS422-AS423)*(1-$H$43)</f>
        <v/>
      </c>
      <c r="AT424" s="40">
        <f>(AT422-AT423)*(1-$H$43)</f>
        <v/>
      </c>
      <c r="AU424" s="40">
        <f>(AU422-AU423)*(1-$H$43)</f>
        <v/>
      </c>
      <c r="AV424" s="40">
        <f>(AV422-AV423)*(1-$H$43)</f>
        <v/>
      </c>
      <c r="AW424" s="40">
        <f>(AW422-AW423)*(1-$H$43)</f>
        <v/>
      </c>
      <c r="AX424" s="40">
        <f>(AX422-AX423)*(1-$H$43)</f>
        <v/>
      </c>
      <c r="AY424" s="40">
        <f>(AY422-AY423)*(1-$H$43)</f>
        <v/>
      </c>
      <c r="AZ424" s="40">
        <f>(AZ422-AZ423)*(1-$H$43)</f>
        <v/>
      </c>
      <c r="BA424" s="40">
        <f>(BA422-BA423)*(1-$H$43)</f>
        <v/>
      </c>
      <c r="BB424" s="40">
        <f>(BB422-BB423)*(1-$H$43)</f>
        <v/>
      </c>
      <c r="BC424" s="40">
        <f>(BC422-BC423)*(1-$H$43)</f>
        <v/>
      </c>
      <c r="BD424" s="40">
        <f>(BD422-BD423)*(1-$H$43)</f>
        <v/>
      </c>
    </row>
    <row r="425">
      <c r="A425" s="33" t="inlineStr">
        <is>
          <t xml:space="preserve">   returned to store</t>
        </is>
      </c>
      <c r="B425" s="2" t="inlineStr">
        <is>
          <t>lb</t>
        </is>
      </c>
      <c r="E425" s="40">
        <f>(E422-E423)*$H$43</f>
        <v/>
      </c>
      <c r="F425" s="40">
        <f>(F422-F423)*$H$43</f>
        <v/>
      </c>
      <c r="G425" s="40">
        <f>(G422-G423)*$H$43</f>
        <v/>
      </c>
      <c r="H425" s="40">
        <f>(H422-H423)*$H$43</f>
        <v/>
      </c>
      <c r="I425" s="40">
        <f>(I422-I423)*$H$43</f>
        <v/>
      </c>
      <c r="J425" s="40">
        <f>(J422-J423)*$H$43</f>
        <v/>
      </c>
      <c r="K425" s="40">
        <f>(K422-K423)*$H$43</f>
        <v/>
      </c>
      <c r="L425" s="40">
        <f>(L422-L423)*$H$43</f>
        <v/>
      </c>
      <c r="M425" s="40">
        <f>(M422-M423)*$H$43</f>
        <v/>
      </c>
      <c r="N425" s="40">
        <f>(N422-N423)*$H$43</f>
        <v/>
      </c>
      <c r="O425" s="40">
        <f>(O422-O423)*$H$43</f>
        <v/>
      </c>
      <c r="P425" s="40">
        <f>(P422-P423)*$H$43</f>
        <v/>
      </c>
      <c r="Q425" s="40">
        <f>(Q422-Q423)*$H$43</f>
        <v/>
      </c>
      <c r="R425" s="40">
        <f>(R422-R423)*$H$43</f>
        <v/>
      </c>
      <c r="S425" s="40">
        <f>(S422-S423)*$H$43</f>
        <v/>
      </c>
      <c r="T425" s="40">
        <f>(T422-T423)*$H$43</f>
        <v/>
      </c>
      <c r="U425" s="40">
        <f>(U422-U423)*$H$43</f>
        <v/>
      </c>
      <c r="V425" s="40">
        <f>(V422-V423)*$H$43</f>
        <v/>
      </c>
      <c r="W425" s="40">
        <f>(W422-W423)*$H$43</f>
        <v/>
      </c>
      <c r="X425" s="40">
        <f>(X422-X423)*$H$43</f>
        <v/>
      </c>
      <c r="Y425" s="40">
        <f>(Y422-Y423)*$H$43</f>
        <v/>
      </c>
      <c r="Z425" s="40">
        <f>(Z422-Z423)*$H$43</f>
        <v/>
      </c>
      <c r="AA425" s="40">
        <f>(AA422-AA423)*$H$43</f>
        <v/>
      </c>
      <c r="AB425" s="40">
        <f>(AB422-AB423)*$H$43</f>
        <v/>
      </c>
      <c r="AC425" s="40">
        <f>(AC422-AC423)*$H$43</f>
        <v/>
      </c>
      <c r="AD425" s="40">
        <f>(AD422-AD423)*$H$43</f>
        <v/>
      </c>
      <c r="AE425" s="40">
        <f>(AE422-AE423)*$H$43</f>
        <v/>
      </c>
      <c r="AF425" s="40">
        <f>(AF422-AF423)*$H$43</f>
        <v/>
      </c>
      <c r="AG425" s="40">
        <f>(AG422-AG423)*$H$43</f>
        <v/>
      </c>
      <c r="AH425" s="40">
        <f>(AH422-AH423)*$H$43</f>
        <v/>
      </c>
      <c r="AI425" s="40">
        <f>(AI422-AI423)*$H$43</f>
        <v/>
      </c>
      <c r="AJ425" s="40">
        <f>(AJ422-AJ423)*$H$43</f>
        <v/>
      </c>
      <c r="AK425" s="40">
        <f>(AK422-AK423)*$H$43</f>
        <v/>
      </c>
      <c r="AL425" s="40">
        <f>(AL422-AL423)*$H$43</f>
        <v/>
      </c>
      <c r="AM425" s="40">
        <f>(AM422-AM423)*$H$43</f>
        <v/>
      </c>
      <c r="AN425" s="40">
        <f>(AN422-AN423)*$H$43</f>
        <v/>
      </c>
      <c r="AO425" s="40">
        <f>(AO422-AO423)*$H$43</f>
        <v/>
      </c>
      <c r="AP425" s="40">
        <f>(AP422-AP423)*$H$43</f>
        <v/>
      </c>
      <c r="AQ425" s="40">
        <f>(AQ422-AQ423)*$H$43</f>
        <v/>
      </c>
      <c r="AR425" s="40">
        <f>(AR422-AR423)*$H$43</f>
        <v/>
      </c>
      <c r="AS425" s="40">
        <f>(AS422-AS423)*$H$43</f>
        <v/>
      </c>
      <c r="AT425" s="40">
        <f>(AT422-AT423)*$H$43</f>
        <v/>
      </c>
      <c r="AU425" s="40">
        <f>(AU422-AU423)*$H$43</f>
        <v/>
      </c>
      <c r="AV425" s="40">
        <f>(AV422-AV423)*$H$43</f>
        <v/>
      </c>
      <c r="AW425" s="40">
        <f>(AW422-AW423)*$H$43</f>
        <v/>
      </c>
      <c r="AX425" s="40">
        <f>(AX422-AX423)*$H$43</f>
        <v/>
      </c>
      <c r="AY425" s="40">
        <f>(AY422-AY423)*$H$43</f>
        <v/>
      </c>
      <c r="AZ425" s="40">
        <f>(AZ422-AZ423)*$H$43</f>
        <v/>
      </c>
      <c r="BA425" s="40">
        <f>(BA422-BA423)*$H$43</f>
        <v/>
      </c>
      <c r="BB425" s="40">
        <f>(BB422-BB423)*$H$43</f>
        <v/>
      </c>
      <c r="BC425" s="40">
        <f>(BC422-BC423)*$H$43</f>
        <v/>
      </c>
      <c r="BD425" s="40">
        <f>(BD422-BD423)*$H$43</f>
        <v/>
      </c>
    </row>
    <row r="426">
      <c r="A426" s="33" t="inlineStr">
        <is>
          <t xml:space="preserve">   leaves the store (offered - returned)</t>
        </is>
      </c>
      <c r="B426" s="2" t="inlineStr">
        <is>
          <t>lb</t>
        </is>
      </c>
      <c r="E426" s="40">
        <f>E422-E425</f>
        <v/>
      </c>
      <c r="F426" s="40">
        <f>F422-F425</f>
        <v/>
      </c>
      <c r="G426" s="40">
        <f>G422-G425</f>
        <v/>
      </c>
      <c r="H426" s="40">
        <f>H422-H425</f>
        <v/>
      </c>
      <c r="I426" s="40">
        <f>I422-I425</f>
        <v/>
      </c>
      <c r="J426" s="40">
        <f>J422-J425</f>
        <v/>
      </c>
      <c r="K426" s="40">
        <f>K422-K425</f>
        <v/>
      </c>
      <c r="L426" s="40">
        <f>L422-L425</f>
        <v/>
      </c>
      <c r="M426" s="40">
        <f>M422-M425</f>
        <v/>
      </c>
      <c r="N426" s="40">
        <f>N422-N425</f>
        <v/>
      </c>
      <c r="O426" s="40">
        <f>O422-O425</f>
        <v/>
      </c>
      <c r="P426" s="40">
        <f>P422-P425</f>
        <v/>
      </c>
      <c r="Q426" s="40">
        <f>Q422-Q425</f>
        <v/>
      </c>
      <c r="R426" s="40">
        <f>R422-R425</f>
        <v/>
      </c>
      <c r="S426" s="40">
        <f>S422-S425</f>
        <v/>
      </c>
      <c r="T426" s="40">
        <f>T422-T425</f>
        <v/>
      </c>
      <c r="U426" s="40">
        <f>U422-U425</f>
        <v/>
      </c>
      <c r="V426" s="40">
        <f>V422-V425</f>
        <v/>
      </c>
      <c r="W426" s="40">
        <f>W422-W425</f>
        <v/>
      </c>
      <c r="X426" s="40">
        <f>X422-X425</f>
        <v/>
      </c>
      <c r="Y426" s="40">
        <f>Y422-Y425</f>
        <v/>
      </c>
      <c r="Z426" s="40">
        <f>Z422-Z425</f>
        <v/>
      </c>
      <c r="AA426" s="40">
        <f>AA422-AA425</f>
        <v/>
      </c>
      <c r="AB426" s="40">
        <f>AB422-AB425</f>
        <v/>
      </c>
      <c r="AC426" s="40">
        <f>AC422-AC425</f>
        <v/>
      </c>
      <c r="AD426" s="40">
        <f>AD422-AD425</f>
        <v/>
      </c>
      <c r="AE426" s="40">
        <f>AE422-AE425</f>
        <v/>
      </c>
      <c r="AF426" s="40">
        <f>AF422-AF425</f>
        <v/>
      </c>
      <c r="AG426" s="40">
        <f>AG422-AG425</f>
        <v/>
      </c>
      <c r="AH426" s="40">
        <f>AH422-AH425</f>
        <v/>
      </c>
      <c r="AI426" s="40">
        <f>AI422-AI425</f>
        <v/>
      </c>
      <c r="AJ426" s="40">
        <f>AJ422-AJ425</f>
        <v/>
      </c>
      <c r="AK426" s="40">
        <f>AK422-AK425</f>
        <v/>
      </c>
      <c r="AL426" s="40">
        <f>AL422-AL425</f>
        <v/>
      </c>
      <c r="AM426" s="40">
        <f>AM422-AM425</f>
        <v/>
      </c>
      <c r="AN426" s="40">
        <f>AN422-AN425</f>
        <v/>
      </c>
      <c r="AO426" s="40">
        <f>AO422-AO425</f>
        <v/>
      </c>
      <c r="AP426" s="40">
        <f>AP422-AP425</f>
        <v/>
      </c>
      <c r="AQ426" s="40">
        <f>AQ422-AQ425</f>
        <v/>
      </c>
      <c r="AR426" s="40">
        <f>AR422-AR425</f>
        <v/>
      </c>
      <c r="AS426" s="40">
        <f>AS422-AS425</f>
        <v/>
      </c>
      <c r="AT426" s="40">
        <f>AT422-AT425</f>
        <v/>
      </c>
      <c r="AU426" s="40">
        <f>AU422-AU425</f>
        <v/>
      </c>
      <c r="AV426" s="40">
        <f>AV422-AV425</f>
        <v/>
      </c>
      <c r="AW426" s="40">
        <f>AW422-AW425</f>
        <v/>
      </c>
      <c r="AX426" s="40">
        <f>AX422-AX425</f>
        <v/>
      </c>
      <c r="AY426" s="40">
        <f>AY422-AY425</f>
        <v/>
      </c>
      <c r="AZ426" s="40">
        <f>AZ422-AZ425</f>
        <v/>
      </c>
      <c r="BA426" s="40">
        <f>BA422-BA425</f>
        <v/>
      </c>
      <c r="BB426" s="40">
        <f>BB422-BB425</f>
        <v/>
      </c>
      <c r="BC426" s="40">
        <f>BC422-BC425</f>
        <v/>
      </c>
      <c r="BD426" s="40">
        <f>BD422-BD425</f>
        <v/>
      </c>
    </row>
    <row r="427">
      <c r="A427" s="41" t="inlineStr">
        <is>
          <t>Stock carried out</t>
        </is>
      </c>
      <c r="B427" s="2" t="inlineStr">
        <is>
          <t>lb</t>
        </is>
      </c>
      <c r="E427" s="40">
        <f>E414-E420-E426</f>
        <v/>
      </c>
      <c r="F427" s="40">
        <f>F414-F420-F426</f>
        <v/>
      </c>
      <c r="G427" s="40">
        <f>G414-G420-G426</f>
        <v/>
      </c>
      <c r="H427" s="40">
        <f>H414-H420-H426</f>
        <v/>
      </c>
      <c r="I427" s="40">
        <f>I414-I420-I426</f>
        <v/>
      </c>
      <c r="J427" s="40">
        <f>J414-J420-J426</f>
        <v/>
      </c>
      <c r="K427" s="40">
        <f>K414-K420-K426</f>
        <v/>
      </c>
      <c r="L427" s="40">
        <f>L414-L420-L426</f>
        <v/>
      </c>
      <c r="M427" s="40">
        <f>M414-M420-M426</f>
        <v/>
      </c>
      <c r="N427" s="40">
        <f>N414-N420-N426</f>
        <v/>
      </c>
      <c r="O427" s="40">
        <f>O414-O420-O426</f>
        <v/>
      </c>
      <c r="P427" s="40">
        <f>P414-P420-P426</f>
        <v/>
      </c>
      <c r="Q427" s="40">
        <f>Q414-Q420-Q426</f>
        <v/>
      </c>
      <c r="R427" s="40">
        <f>R414-R420-R426</f>
        <v/>
      </c>
      <c r="S427" s="40">
        <f>S414-S420-S426</f>
        <v/>
      </c>
      <c r="T427" s="40">
        <f>T414-T420-T426</f>
        <v/>
      </c>
      <c r="U427" s="40">
        <f>U414-U420-U426</f>
        <v/>
      </c>
      <c r="V427" s="40">
        <f>V414-V420-V426</f>
        <v/>
      </c>
      <c r="W427" s="40">
        <f>W414-W420-W426</f>
        <v/>
      </c>
      <c r="X427" s="40">
        <f>X414-X420-X426</f>
        <v/>
      </c>
      <c r="Y427" s="40">
        <f>Y414-Y420-Y426</f>
        <v/>
      </c>
      <c r="Z427" s="40">
        <f>Z414-Z420-Z426</f>
        <v/>
      </c>
      <c r="AA427" s="40">
        <f>AA414-AA420-AA426</f>
        <v/>
      </c>
      <c r="AB427" s="40">
        <f>AB414-AB420-AB426</f>
        <v/>
      </c>
      <c r="AC427" s="40">
        <f>AC414-AC420-AC426</f>
        <v/>
      </c>
      <c r="AD427" s="40">
        <f>AD414-AD420-AD426</f>
        <v/>
      </c>
      <c r="AE427" s="40">
        <f>AE414-AE420-AE426</f>
        <v/>
      </c>
      <c r="AF427" s="40">
        <f>AF414-AF420-AF426</f>
        <v/>
      </c>
      <c r="AG427" s="40">
        <f>AG414-AG420-AG426</f>
        <v/>
      </c>
      <c r="AH427" s="40">
        <f>AH414-AH420-AH426</f>
        <v/>
      </c>
      <c r="AI427" s="40">
        <f>AI414-AI420-AI426</f>
        <v/>
      </c>
      <c r="AJ427" s="40">
        <f>AJ414-AJ420-AJ426</f>
        <v/>
      </c>
      <c r="AK427" s="40">
        <f>AK414-AK420-AK426</f>
        <v/>
      </c>
      <c r="AL427" s="40">
        <f>AL414-AL420-AL426</f>
        <v/>
      </c>
      <c r="AM427" s="40">
        <f>AM414-AM420-AM426</f>
        <v/>
      </c>
      <c r="AN427" s="40">
        <f>AN414-AN420-AN426</f>
        <v/>
      </c>
      <c r="AO427" s="40">
        <f>AO414-AO420-AO426</f>
        <v/>
      </c>
      <c r="AP427" s="40">
        <f>AP414-AP420-AP426</f>
        <v/>
      </c>
      <c r="AQ427" s="40">
        <f>AQ414-AQ420-AQ426</f>
        <v/>
      </c>
      <c r="AR427" s="40">
        <f>AR414-AR420-AR426</f>
        <v/>
      </c>
      <c r="AS427" s="40">
        <f>AS414-AS420-AS426</f>
        <v/>
      </c>
      <c r="AT427" s="40">
        <f>AT414-AT420-AT426</f>
        <v/>
      </c>
      <c r="AU427" s="40">
        <f>AU414-AU420-AU426</f>
        <v/>
      </c>
      <c r="AV427" s="40">
        <f>AV414-AV420-AV426</f>
        <v/>
      </c>
      <c r="AW427" s="40">
        <f>AW414-AW420-AW426</f>
        <v/>
      </c>
      <c r="AX427" s="40">
        <f>AX414-AX420-AX426</f>
        <v/>
      </c>
      <c r="AY427" s="40">
        <f>AY414-AY420-AY426</f>
        <v/>
      </c>
      <c r="AZ427" s="40">
        <f>AZ414-AZ420-AZ426</f>
        <v/>
      </c>
      <c r="BA427" s="40">
        <f>BA414-BA420-BA426</f>
        <v/>
      </c>
      <c r="BB427" s="40">
        <f>BB414-BB420-BB426</f>
        <v/>
      </c>
      <c r="BC427" s="40">
        <f>BC414-BC420-BC426</f>
        <v/>
      </c>
      <c r="BD427" s="40">
        <f>BD414-BD420-BD426</f>
        <v/>
      </c>
    </row>
    <row r="428">
      <c r="A428" s="2" t="inlineStr">
        <is>
          <t xml:space="preserve">   ^ subtracts what LEAVES, not what was offered — so 'returned to store' is</t>
        </is>
      </c>
    </row>
    <row r="429">
      <c r="A429" s="2" t="inlineStr">
        <is>
          <t xml:space="preserve">     never taken out at all, and shows up as next week's carried in.</t>
        </is>
      </c>
    </row>
    <row r="430">
      <c r="A430" s="43" t="inlineStr">
        <is>
          <t>Most stock its shelf life allows</t>
        </is>
      </c>
      <c r="B430" s="2" t="inlineStr">
        <is>
          <t>lb</t>
        </is>
      </c>
      <c r="E430" s="42">
        <f>SUMPRODUCT(($E$410:$BD$410&gt;=1-$F$20+2)*($E$410:$BD$410&lt;=1)*$E$411:$BD$411*POWER(1-$G$20,($E$410:$BD$410&lt;=1)*(1-$E$410:$BD$410)))</f>
        <v/>
      </c>
      <c r="F430" s="42">
        <f>SUMPRODUCT(($E$410:$BD$410&gt;=2-$F$20+2)*($E$410:$BD$410&lt;=2)*$E$411:$BD$411*POWER(1-$G$20,($E$410:$BD$410&lt;=2)*(2-$E$410:$BD$410)))</f>
        <v/>
      </c>
      <c r="G430" s="42">
        <f>SUMPRODUCT(($E$410:$BD$410&gt;=3-$F$20+2)*($E$410:$BD$410&lt;=3)*$E$411:$BD$411*POWER(1-$G$20,($E$410:$BD$410&lt;=3)*(3-$E$410:$BD$410)))</f>
        <v/>
      </c>
      <c r="H430" s="42">
        <f>SUMPRODUCT(($E$410:$BD$410&gt;=4-$F$20+2)*($E$410:$BD$410&lt;=4)*$E$411:$BD$411*POWER(1-$G$20,($E$410:$BD$410&lt;=4)*(4-$E$410:$BD$410)))</f>
        <v/>
      </c>
      <c r="I430" s="42">
        <f>SUMPRODUCT(($E$410:$BD$410&gt;=5-$F$20+2)*($E$410:$BD$410&lt;=5)*$E$411:$BD$411*POWER(1-$G$20,($E$410:$BD$410&lt;=5)*(5-$E$410:$BD$410)))</f>
        <v/>
      </c>
      <c r="J430" s="42">
        <f>SUMPRODUCT(($E$410:$BD$410&gt;=6-$F$20+2)*($E$410:$BD$410&lt;=6)*$E$411:$BD$411*POWER(1-$G$20,($E$410:$BD$410&lt;=6)*(6-$E$410:$BD$410)))</f>
        <v/>
      </c>
      <c r="K430" s="42">
        <f>SUMPRODUCT(($E$410:$BD$410&gt;=7-$F$20+2)*($E$410:$BD$410&lt;=7)*$E$411:$BD$411*POWER(1-$G$20,($E$410:$BD$410&lt;=7)*(7-$E$410:$BD$410)))</f>
        <v/>
      </c>
      <c r="L430" s="42">
        <f>SUMPRODUCT(($E$410:$BD$410&gt;=8-$F$20+2)*($E$410:$BD$410&lt;=8)*$E$411:$BD$411*POWER(1-$G$20,($E$410:$BD$410&lt;=8)*(8-$E$410:$BD$410)))</f>
        <v/>
      </c>
      <c r="M430" s="42">
        <f>SUMPRODUCT(($E$410:$BD$410&gt;=9-$F$20+2)*($E$410:$BD$410&lt;=9)*$E$411:$BD$411*POWER(1-$G$20,($E$410:$BD$410&lt;=9)*(9-$E$410:$BD$410)))</f>
        <v/>
      </c>
      <c r="N430" s="42">
        <f>SUMPRODUCT(($E$410:$BD$410&gt;=10-$F$20+2)*($E$410:$BD$410&lt;=10)*$E$411:$BD$411*POWER(1-$G$20,($E$410:$BD$410&lt;=10)*(10-$E$410:$BD$410)))</f>
        <v/>
      </c>
      <c r="O430" s="42">
        <f>SUMPRODUCT(($E$410:$BD$410&gt;=11-$F$20+2)*($E$410:$BD$410&lt;=11)*$E$411:$BD$411*POWER(1-$G$20,($E$410:$BD$410&lt;=11)*(11-$E$410:$BD$410)))</f>
        <v/>
      </c>
      <c r="P430" s="42">
        <f>SUMPRODUCT(($E$410:$BD$410&gt;=12-$F$20+2)*($E$410:$BD$410&lt;=12)*$E$411:$BD$411*POWER(1-$G$20,($E$410:$BD$410&lt;=12)*(12-$E$410:$BD$410)))</f>
        <v/>
      </c>
      <c r="Q430" s="42">
        <f>SUMPRODUCT(($E$410:$BD$410&gt;=13-$F$20+2)*($E$410:$BD$410&lt;=13)*$E$411:$BD$411*POWER(1-$G$20,($E$410:$BD$410&lt;=13)*(13-$E$410:$BD$410)))</f>
        <v/>
      </c>
      <c r="R430" s="42">
        <f>SUMPRODUCT(($E$410:$BD$410&gt;=14-$F$20+2)*($E$410:$BD$410&lt;=14)*$E$411:$BD$411*POWER(1-$G$20,($E$410:$BD$410&lt;=14)*(14-$E$410:$BD$410)))</f>
        <v/>
      </c>
      <c r="S430" s="42">
        <f>SUMPRODUCT(($E$410:$BD$410&gt;=15-$F$20+2)*($E$410:$BD$410&lt;=15)*$E$411:$BD$411*POWER(1-$G$20,($E$410:$BD$410&lt;=15)*(15-$E$410:$BD$410)))</f>
        <v/>
      </c>
      <c r="T430" s="42">
        <f>SUMPRODUCT(($E$410:$BD$410&gt;=16-$F$20+2)*($E$410:$BD$410&lt;=16)*$E$411:$BD$411*POWER(1-$G$20,($E$410:$BD$410&lt;=16)*(16-$E$410:$BD$410)))</f>
        <v/>
      </c>
      <c r="U430" s="42">
        <f>SUMPRODUCT(($E$410:$BD$410&gt;=17-$F$20+2)*($E$410:$BD$410&lt;=17)*$E$411:$BD$411*POWER(1-$G$20,($E$410:$BD$410&lt;=17)*(17-$E$410:$BD$410)))</f>
        <v/>
      </c>
      <c r="V430" s="42">
        <f>SUMPRODUCT(($E$410:$BD$410&gt;=18-$F$20+2)*($E$410:$BD$410&lt;=18)*$E$411:$BD$411*POWER(1-$G$20,($E$410:$BD$410&lt;=18)*(18-$E$410:$BD$410)))</f>
        <v/>
      </c>
      <c r="W430" s="42">
        <f>SUMPRODUCT(($E$410:$BD$410&gt;=19-$F$20+2)*($E$410:$BD$410&lt;=19)*$E$411:$BD$411*POWER(1-$G$20,($E$410:$BD$410&lt;=19)*(19-$E$410:$BD$410)))</f>
        <v/>
      </c>
      <c r="X430" s="42">
        <f>SUMPRODUCT(($E$410:$BD$410&gt;=20-$F$20+2)*($E$410:$BD$410&lt;=20)*$E$411:$BD$411*POWER(1-$G$20,($E$410:$BD$410&lt;=20)*(20-$E$410:$BD$410)))</f>
        <v/>
      </c>
      <c r="Y430" s="42">
        <f>SUMPRODUCT(($E$410:$BD$410&gt;=21-$F$20+2)*($E$410:$BD$410&lt;=21)*$E$411:$BD$411*POWER(1-$G$20,($E$410:$BD$410&lt;=21)*(21-$E$410:$BD$410)))</f>
        <v/>
      </c>
      <c r="Z430" s="42">
        <f>SUMPRODUCT(($E$410:$BD$410&gt;=22-$F$20+2)*($E$410:$BD$410&lt;=22)*$E$411:$BD$411*POWER(1-$G$20,($E$410:$BD$410&lt;=22)*(22-$E$410:$BD$410)))</f>
        <v/>
      </c>
      <c r="AA430" s="42">
        <f>SUMPRODUCT(($E$410:$BD$410&gt;=23-$F$20+2)*($E$410:$BD$410&lt;=23)*$E$411:$BD$411*POWER(1-$G$20,($E$410:$BD$410&lt;=23)*(23-$E$410:$BD$410)))</f>
        <v/>
      </c>
      <c r="AB430" s="42">
        <f>SUMPRODUCT(($E$410:$BD$410&gt;=24-$F$20+2)*($E$410:$BD$410&lt;=24)*$E$411:$BD$411*POWER(1-$G$20,($E$410:$BD$410&lt;=24)*(24-$E$410:$BD$410)))</f>
        <v/>
      </c>
      <c r="AC430" s="42">
        <f>SUMPRODUCT(($E$410:$BD$410&gt;=25-$F$20+2)*($E$410:$BD$410&lt;=25)*$E$411:$BD$411*POWER(1-$G$20,($E$410:$BD$410&lt;=25)*(25-$E$410:$BD$410)))</f>
        <v/>
      </c>
      <c r="AD430" s="42">
        <f>SUMPRODUCT(($E$410:$BD$410&gt;=26-$F$20+2)*($E$410:$BD$410&lt;=26)*$E$411:$BD$411*POWER(1-$G$20,($E$410:$BD$410&lt;=26)*(26-$E$410:$BD$410)))</f>
        <v/>
      </c>
      <c r="AE430" s="42">
        <f>SUMPRODUCT(($E$410:$BD$410&gt;=27-$F$20+2)*($E$410:$BD$410&lt;=27)*$E$411:$BD$411*POWER(1-$G$20,($E$410:$BD$410&lt;=27)*(27-$E$410:$BD$410)))</f>
        <v/>
      </c>
      <c r="AF430" s="42">
        <f>SUMPRODUCT(($E$410:$BD$410&gt;=28-$F$20+2)*($E$410:$BD$410&lt;=28)*$E$411:$BD$411*POWER(1-$G$20,($E$410:$BD$410&lt;=28)*(28-$E$410:$BD$410)))</f>
        <v/>
      </c>
      <c r="AG430" s="42">
        <f>SUMPRODUCT(($E$410:$BD$410&gt;=29-$F$20+2)*($E$410:$BD$410&lt;=29)*$E$411:$BD$411*POWER(1-$G$20,($E$410:$BD$410&lt;=29)*(29-$E$410:$BD$410)))</f>
        <v/>
      </c>
      <c r="AH430" s="42">
        <f>SUMPRODUCT(($E$410:$BD$410&gt;=30-$F$20+2)*($E$410:$BD$410&lt;=30)*$E$411:$BD$411*POWER(1-$G$20,($E$410:$BD$410&lt;=30)*(30-$E$410:$BD$410)))</f>
        <v/>
      </c>
      <c r="AI430" s="42">
        <f>SUMPRODUCT(($E$410:$BD$410&gt;=31-$F$20+2)*($E$410:$BD$410&lt;=31)*$E$411:$BD$411*POWER(1-$G$20,($E$410:$BD$410&lt;=31)*(31-$E$410:$BD$410)))</f>
        <v/>
      </c>
      <c r="AJ430" s="42">
        <f>SUMPRODUCT(($E$410:$BD$410&gt;=32-$F$20+2)*($E$410:$BD$410&lt;=32)*$E$411:$BD$411*POWER(1-$G$20,($E$410:$BD$410&lt;=32)*(32-$E$410:$BD$410)))</f>
        <v/>
      </c>
      <c r="AK430" s="42">
        <f>SUMPRODUCT(($E$410:$BD$410&gt;=33-$F$20+2)*($E$410:$BD$410&lt;=33)*$E$411:$BD$411*POWER(1-$G$20,($E$410:$BD$410&lt;=33)*(33-$E$410:$BD$410)))</f>
        <v/>
      </c>
      <c r="AL430" s="42">
        <f>SUMPRODUCT(($E$410:$BD$410&gt;=34-$F$20+2)*($E$410:$BD$410&lt;=34)*$E$411:$BD$411*POWER(1-$G$20,($E$410:$BD$410&lt;=34)*(34-$E$410:$BD$410)))</f>
        <v/>
      </c>
      <c r="AM430" s="42">
        <f>SUMPRODUCT(($E$410:$BD$410&gt;=35-$F$20+2)*($E$410:$BD$410&lt;=35)*$E$411:$BD$411*POWER(1-$G$20,($E$410:$BD$410&lt;=35)*(35-$E$410:$BD$410)))</f>
        <v/>
      </c>
      <c r="AN430" s="42">
        <f>SUMPRODUCT(($E$410:$BD$410&gt;=36-$F$20+2)*($E$410:$BD$410&lt;=36)*$E$411:$BD$411*POWER(1-$G$20,($E$410:$BD$410&lt;=36)*(36-$E$410:$BD$410)))</f>
        <v/>
      </c>
      <c r="AO430" s="42">
        <f>SUMPRODUCT(($E$410:$BD$410&gt;=37-$F$20+2)*($E$410:$BD$410&lt;=37)*$E$411:$BD$411*POWER(1-$G$20,($E$410:$BD$410&lt;=37)*(37-$E$410:$BD$410)))</f>
        <v/>
      </c>
      <c r="AP430" s="42">
        <f>SUMPRODUCT(($E$410:$BD$410&gt;=38-$F$20+2)*($E$410:$BD$410&lt;=38)*$E$411:$BD$411*POWER(1-$G$20,($E$410:$BD$410&lt;=38)*(38-$E$410:$BD$410)))</f>
        <v/>
      </c>
      <c r="AQ430" s="42">
        <f>SUMPRODUCT(($E$410:$BD$410&gt;=39-$F$20+2)*($E$410:$BD$410&lt;=39)*$E$411:$BD$411*POWER(1-$G$20,($E$410:$BD$410&lt;=39)*(39-$E$410:$BD$410)))</f>
        <v/>
      </c>
      <c r="AR430" s="42">
        <f>SUMPRODUCT(($E$410:$BD$410&gt;=40-$F$20+2)*($E$410:$BD$410&lt;=40)*$E$411:$BD$411*POWER(1-$G$20,($E$410:$BD$410&lt;=40)*(40-$E$410:$BD$410)))</f>
        <v/>
      </c>
      <c r="AS430" s="42">
        <f>SUMPRODUCT(($E$410:$BD$410&gt;=41-$F$20+2)*($E$410:$BD$410&lt;=41)*$E$411:$BD$411*POWER(1-$G$20,($E$410:$BD$410&lt;=41)*(41-$E$410:$BD$410)))</f>
        <v/>
      </c>
      <c r="AT430" s="42">
        <f>SUMPRODUCT(($E$410:$BD$410&gt;=42-$F$20+2)*($E$410:$BD$410&lt;=42)*$E$411:$BD$411*POWER(1-$G$20,($E$410:$BD$410&lt;=42)*(42-$E$410:$BD$410)))</f>
        <v/>
      </c>
      <c r="AU430" s="42">
        <f>SUMPRODUCT(($E$410:$BD$410&gt;=43-$F$20+2)*($E$410:$BD$410&lt;=43)*$E$411:$BD$411*POWER(1-$G$20,($E$410:$BD$410&lt;=43)*(43-$E$410:$BD$410)))</f>
        <v/>
      </c>
      <c r="AV430" s="42">
        <f>SUMPRODUCT(($E$410:$BD$410&gt;=44-$F$20+2)*($E$410:$BD$410&lt;=44)*$E$411:$BD$411*POWER(1-$G$20,($E$410:$BD$410&lt;=44)*(44-$E$410:$BD$410)))</f>
        <v/>
      </c>
      <c r="AW430" s="42">
        <f>SUMPRODUCT(($E$410:$BD$410&gt;=45-$F$20+2)*($E$410:$BD$410&lt;=45)*$E$411:$BD$411*POWER(1-$G$20,($E$410:$BD$410&lt;=45)*(45-$E$410:$BD$410)))</f>
        <v/>
      </c>
      <c r="AX430" s="42">
        <f>SUMPRODUCT(($E$410:$BD$410&gt;=46-$F$20+2)*($E$410:$BD$410&lt;=46)*$E$411:$BD$411*POWER(1-$G$20,($E$410:$BD$410&lt;=46)*(46-$E$410:$BD$410)))</f>
        <v/>
      </c>
      <c r="AY430" s="42">
        <f>SUMPRODUCT(($E$410:$BD$410&gt;=47-$F$20+2)*($E$410:$BD$410&lt;=47)*$E$411:$BD$411*POWER(1-$G$20,($E$410:$BD$410&lt;=47)*(47-$E$410:$BD$410)))</f>
        <v/>
      </c>
      <c r="AZ430" s="42">
        <f>SUMPRODUCT(($E$410:$BD$410&gt;=48-$F$20+2)*($E$410:$BD$410&lt;=48)*$E$411:$BD$411*POWER(1-$G$20,($E$410:$BD$410&lt;=48)*(48-$E$410:$BD$410)))</f>
        <v/>
      </c>
      <c r="BA430" s="42">
        <f>SUMPRODUCT(($E$410:$BD$410&gt;=49-$F$20+2)*($E$410:$BD$410&lt;=49)*$E$411:$BD$411*POWER(1-$G$20,($E$410:$BD$410&lt;=49)*(49-$E$410:$BD$410)))</f>
        <v/>
      </c>
      <c r="BB430" s="42">
        <f>SUMPRODUCT(($E$410:$BD$410&gt;=50-$F$20+2)*($E$410:$BD$410&lt;=50)*$E$411:$BD$411*POWER(1-$G$20,($E$410:$BD$410&lt;=50)*(50-$E$410:$BD$410)))</f>
        <v/>
      </c>
      <c r="BC430" s="42">
        <f>SUMPRODUCT(($E$410:$BD$410&gt;=51-$F$20+2)*($E$410:$BD$410&lt;=51)*$E$411:$BD$411*POWER(1-$G$20,($E$410:$BD$410&lt;=51)*(51-$E$410:$BD$410)))</f>
        <v/>
      </c>
      <c r="BD430" s="42">
        <f>SUMPRODUCT(($E$410:$BD$410&gt;=52-$F$20+2)*($E$410:$BD$410&lt;=52)*$E$411:$BD$411*POWER(1-$G$20,($E$410:$BD$410&lt;=52)*(52-$E$410:$BD$410)))</f>
        <v/>
      </c>
    </row>
    <row r="431">
      <c r="A431" s="2" t="inlineStr">
        <is>
          <t xml:space="preserve">   Stock carried out must stay at or below this row.</t>
        </is>
      </c>
    </row>
    <row r="432">
      <c r="A432" s="33" t="inlineStr">
        <is>
          <t>Growing cost this week</t>
        </is>
      </c>
      <c r="B432" s="2" t="inlineStr">
        <is>
          <t>$</t>
        </is>
      </c>
      <c r="E432" s="40">
        <f>SUMPRODUCT(($B$92:$B$232="Tunnel Spinach")*(E$92:E$232="P")*$C$92:$C$232)*$K$20+SUMPRODUCT(($B$92:$B$232="Tunnel Spinach")*(E$92:E$232="G")*$C$92:$C$232)*$L$20+SUMPRODUCT(($B$92:$B$232="Tunnel Spinach")*(E$92:E$232="H")*$C$92:$C$232)*$M$20+SUMPRODUCT(($B$92:$B$232="Tunnel Spinach")*($BG$92:$BG$232=1)*$C$92:$C$232)*$H$20</f>
        <v/>
      </c>
      <c r="F432" s="40">
        <f>SUMPRODUCT(($B$92:$B$232="Tunnel Spinach")*(F$92:F$232="P")*$C$92:$C$232)*$K$20+SUMPRODUCT(($B$92:$B$232="Tunnel Spinach")*(F$92:F$232="G")*$C$92:$C$232)*$L$20+SUMPRODUCT(($B$92:$B$232="Tunnel Spinach")*(F$92:F$232="H")*$C$92:$C$232)*$M$20+SUMPRODUCT(($B$92:$B$232="Tunnel Spinach")*($BG$92:$BG$232=2)*$C$92:$C$232)*$H$20</f>
        <v/>
      </c>
      <c r="G432" s="40">
        <f>SUMPRODUCT(($B$92:$B$232="Tunnel Spinach")*(G$92:G$232="P")*$C$92:$C$232)*$K$20+SUMPRODUCT(($B$92:$B$232="Tunnel Spinach")*(G$92:G$232="G")*$C$92:$C$232)*$L$20+SUMPRODUCT(($B$92:$B$232="Tunnel Spinach")*(G$92:G$232="H")*$C$92:$C$232)*$M$20+SUMPRODUCT(($B$92:$B$232="Tunnel Spinach")*($BG$92:$BG$232=3)*$C$92:$C$232)*$H$20</f>
        <v/>
      </c>
      <c r="H432" s="40">
        <f>SUMPRODUCT(($B$92:$B$232="Tunnel Spinach")*(H$92:H$232="P")*$C$92:$C$232)*$K$20+SUMPRODUCT(($B$92:$B$232="Tunnel Spinach")*(H$92:H$232="G")*$C$92:$C$232)*$L$20+SUMPRODUCT(($B$92:$B$232="Tunnel Spinach")*(H$92:H$232="H")*$C$92:$C$232)*$M$20+SUMPRODUCT(($B$92:$B$232="Tunnel Spinach")*($BG$92:$BG$232=4)*$C$92:$C$232)*$H$20</f>
        <v/>
      </c>
      <c r="I432" s="40">
        <f>SUMPRODUCT(($B$92:$B$232="Tunnel Spinach")*(I$92:I$232="P")*$C$92:$C$232)*$K$20+SUMPRODUCT(($B$92:$B$232="Tunnel Spinach")*(I$92:I$232="G")*$C$92:$C$232)*$L$20+SUMPRODUCT(($B$92:$B$232="Tunnel Spinach")*(I$92:I$232="H")*$C$92:$C$232)*$M$20+SUMPRODUCT(($B$92:$B$232="Tunnel Spinach")*($BG$92:$BG$232=5)*$C$92:$C$232)*$H$20</f>
        <v/>
      </c>
      <c r="J432" s="40">
        <f>SUMPRODUCT(($B$92:$B$232="Tunnel Spinach")*(J$92:J$232="P")*$C$92:$C$232)*$K$20+SUMPRODUCT(($B$92:$B$232="Tunnel Spinach")*(J$92:J$232="G")*$C$92:$C$232)*$L$20+SUMPRODUCT(($B$92:$B$232="Tunnel Spinach")*(J$92:J$232="H")*$C$92:$C$232)*$M$20+SUMPRODUCT(($B$92:$B$232="Tunnel Spinach")*($BG$92:$BG$232=6)*$C$92:$C$232)*$H$20</f>
        <v/>
      </c>
      <c r="K432" s="40">
        <f>SUMPRODUCT(($B$92:$B$232="Tunnel Spinach")*(K$92:K$232="P")*$C$92:$C$232)*$K$20+SUMPRODUCT(($B$92:$B$232="Tunnel Spinach")*(K$92:K$232="G")*$C$92:$C$232)*$L$20+SUMPRODUCT(($B$92:$B$232="Tunnel Spinach")*(K$92:K$232="H")*$C$92:$C$232)*$M$20+SUMPRODUCT(($B$92:$B$232="Tunnel Spinach")*($BG$92:$BG$232=7)*$C$92:$C$232)*$H$20</f>
        <v/>
      </c>
      <c r="L432" s="40">
        <f>SUMPRODUCT(($B$92:$B$232="Tunnel Spinach")*(L$92:L$232="P")*$C$92:$C$232)*$K$20+SUMPRODUCT(($B$92:$B$232="Tunnel Spinach")*(L$92:L$232="G")*$C$92:$C$232)*$L$20+SUMPRODUCT(($B$92:$B$232="Tunnel Spinach")*(L$92:L$232="H")*$C$92:$C$232)*$M$20+SUMPRODUCT(($B$92:$B$232="Tunnel Spinach")*($BG$92:$BG$232=8)*$C$92:$C$232)*$H$20</f>
        <v/>
      </c>
      <c r="M432" s="40">
        <f>SUMPRODUCT(($B$92:$B$232="Tunnel Spinach")*(M$92:M$232="P")*$C$92:$C$232)*$K$20+SUMPRODUCT(($B$92:$B$232="Tunnel Spinach")*(M$92:M$232="G")*$C$92:$C$232)*$L$20+SUMPRODUCT(($B$92:$B$232="Tunnel Spinach")*(M$92:M$232="H")*$C$92:$C$232)*$M$20+SUMPRODUCT(($B$92:$B$232="Tunnel Spinach")*($BG$92:$BG$232=9)*$C$92:$C$232)*$H$20</f>
        <v/>
      </c>
      <c r="N432" s="40">
        <f>SUMPRODUCT(($B$92:$B$232="Tunnel Spinach")*(N$92:N$232="P")*$C$92:$C$232)*$K$20+SUMPRODUCT(($B$92:$B$232="Tunnel Spinach")*(N$92:N$232="G")*$C$92:$C$232)*$L$20+SUMPRODUCT(($B$92:$B$232="Tunnel Spinach")*(N$92:N$232="H")*$C$92:$C$232)*$M$20+SUMPRODUCT(($B$92:$B$232="Tunnel Spinach")*($BG$92:$BG$232=10)*$C$92:$C$232)*$H$20</f>
        <v/>
      </c>
      <c r="O432" s="40">
        <f>SUMPRODUCT(($B$92:$B$232="Tunnel Spinach")*(O$92:O$232="P")*$C$92:$C$232)*$K$20+SUMPRODUCT(($B$92:$B$232="Tunnel Spinach")*(O$92:O$232="G")*$C$92:$C$232)*$L$20+SUMPRODUCT(($B$92:$B$232="Tunnel Spinach")*(O$92:O$232="H")*$C$92:$C$232)*$M$20+SUMPRODUCT(($B$92:$B$232="Tunnel Spinach")*($BG$92:$BG$232=11)*$C$92:$C$232)*$H$20</f>
        <v/>
      </c>
      <c r="P432" s="40">
        <f>SUMPRODUCT(($B$92:$B$232="Tunnel Spinach")*(P$92:P$232="P")*$C$92:$C$232)*$K$20+SUMPRODUCT(($B$92:$B$232="Tunnel Spinach")*(P$92:P$232="G")*$C$92:$C$232)*$L$20+SUMPRODUCT(($B$92:$B$232="Tunnel Spinach")*(P$92:P$232="H")*$C$92:$C$232)*$M$20+SUMPRODUCT(($B$92:$B$232="Tunnel Spinach")*($BG$92:$BG$232=12)*$C$92:$C$232)*$H$20</f>
        <v/>
      </c>
      <c r="Q432" s="40">
        <f>SUMPRODUCT(($B$92:$B$232="Tunnel Spinach")*(Q$92:Q$232="P")*$C$92:$C$232)*$K$20+SUMPRODUCT(($B$92:$B$232="Tunnel Spinach")*(Q$92:Q$232="G")*$C$92:$C$232)*$L$20+SUMPRODUCT(($B$92:$B$232="Tunnel Spinach")*(Q$92:Q$232="H")*$C$92:$C$232)*$M$20+SUMPRODUCT(($B$92:$B$232="Tunnel Spinach")*($BG$92:$BG$232=13)*$C$92:$C$232)*$H$20</f>
        <v/>
      </c>
      <c r="R432" s="40">
        <f>SUMPRODUCT(($B$92:$B$232="Tunnel Spinach")*(R$92:R$232="P")*$C$92:$C$232)*$K$20+SUMPRODUCT(($B$92:$B$232="Tunnel Spinach")*(R$92:R$232="G")*$C$92:$C$232)*$L$20+SUMPRODUCT(($B$92:$B$232="Tunnel Spinach")*(R$92:R$232="H")*$C$92:$C$232)*$M$20+SUMPRODUCT(($B$92:$B$232="Tunnel Spinach")*($BG$92:$BG$232=14)*$C$92:$C$232)*$H$20</f>
        <v/>
      </c>
      <c r="S432" s="40">
        <f>SUMPRODUCT(($B$92:$B$232="Tunnel Spinach")*(S$92:S$232="P")*$C$92:$C$232)*$K$20+SUMPRODUCT(($B$92:$B$232="Tunnel Spinach")*(S$92:S$232="G")*$C$92:$C$232)*$L$20+SUMPRODUCT(($B$92:$B$232="Tunnel Spinach")*(S$92:S$232="H")*$C$92:$C$232)*$M$20+SUMPRODUCT(($B$92:$B$232="Tunnel Spinach")*($BG$92:$BG$232=15)*$C$92:$C$232)*$H$20</f>
        <v/>
      </c>
      <c r="T432" s="40">
        <f>SUMPRODUCT(($B$92:$B$232="Tunnel Spinach")*(T$92:T$232="P")*$C$92:$C$232)*$K$20+SUMPRODUCT(($B$92:$B$232="Tunnel Spinach")*(T$92:T$232="G")*$C$92:$C$232)*$L$20+SUMPRODUCT(($B$92:$B$232="Tunnel Spinach")*(T$92:T$232="H")*$C$92:$C$232)*$M$20+SUMPRODUCT(($B$92:$B$232="Tunnel Spinach")*($BG$92:$BG$232=16)*$C$92:$C$232)*$H$20</f>
        <v/>
      </c>
      <c r="U432" s="40">
        <f>SUMPRODUCT(($B$92:$B$232="Tunnel Spinach")*(U$92:U$232="P")*$C$92:$C$232)*$K$20+SUMPRODUCT(($B$92:$B$232="Tunnel Spinach")*(U$92:U$232="G")*$C$92:$C$232)*$L$20+SUMPRODUCT(($B$92:$B$232="Tunnel Spinach")*(U$92:U$232="H")*$C$92:$C$232)*$M$20+SUMPRODUCT(($B$92:$B$232="Tunnel Spinach")*($BG$92:$BG$232=17)*$C$92:$C$232)*$H$20</f>
        <v/>
      </c>
      <c r="V432" s="40">
        <f>SUMPRODUCT(($B$92:$B$232="Tunnel Spinach")*(V$92:V$232="P")*$C$92:$C$232)*$K$20+SUMPRODUCT(($B$92:$B$232="Tunnel Spinach")*(V$92:V$232="G")*$C$92:$C$232)*$L$20+SUMPRODUCT(($B$92:$B$232="Tunnel Spinach")*(V$92:V$232="H")*$C$92:$C$232)*$M$20+SUMPRODUCT(($B$92:$B$232="Tunnel Spinach")*($BG$92:$BG$232=18)*$C$92:$C$232)*$H$20</f>
        <v/>
      </c>
      <c r="W432" s="40">
        <f>SUMPRODUCT(($B$92:$B$232="Tunnel Spinach")*(W$92:W$232="P")*$C$92:$C$232)*$K$20+SUMPRODUCT(($B$92:$B$232="Tunnel Spinach")*(W$92:W$232="G")*$C$92:$C$232)*$L$20+SUMPRODUCT(($B$92:$B$232="Tunnel Spinach")*(W$92:W$232="H")*$C$92:$C$232)*$M$20+SUMPRODUCT(($B$92:$B$232="Tunnel Spinach")*($BG$92:$BG$232=19)*$C$92:$C$232)*$H$20</f>
        <v/>
      </c>
      <c r="X432" s="40">
        <f>SUMPRODUCT(($B$92:$B$232="Tunnel Spinach")*(X$92:X$232="P")*$C$92:$C$232)*$K$20+SUMPRODUCT(($B$92:$B$232="Tunnel Spinach")*(X$92:X$232="G")*$C$92:$C$232)*$L$20+SUMPRODUCT(($B$92:$B$232="Tunnel Spinach")*(X$92:X$232="H")*$C$92:$C$232)*$M$20+SUMPRODUCT(($B$92:$B$232="Tunnel Spinach")*($BG$92:$BG$232=20)*$C$92:$C$232)*$H$20</f>
        <v/>
      </c>
      <c r="Y432" s="40">
        <f>SUMPRODUCT(($B$92:$B$232="Tunnel Spinach")*(Y$92:Y$232="P")*$C$92:$C$232)*$K$20+SUMPRODUCT(($B$92:$B$232="Tunnel Spinach")*(Y$92:Y$232="G")*$C$92:$C$232)*$L$20+SUMPRODUCT(($B$92:$B$232="Tunnel Spinach")*(Y$92:Y$232="H")*$C$92:$C$232)*$M$20+SUMPRODUCT(($B$92:$B$232="Tunnel Spinach")*($BG$92:$BG$232=21)*$C$92:$C$232)*$H$20</f>
        <v/>
      </c>
      <c r="Z432" s="40">
        <f>SUMPRODUCT(($B$92:$B$232="Tunnel Spinach")*(Z$92:Z$232="P")*$C$92:$C$232)*$K$20+SUMPRODUCT(($B$92:$B$232="Tunnel Spinach")*(Z$92:Z$232="G")*$C$92:$C$232)*$L$20+SUMPRODUCT(($B$92:$B$232="Tunnel Spinach")*(Z$92:Z$232="H")*$C$92:$C$232)*$M$20+SUMPRODUCT(($B$92:$B$232="Tunnel Spinach")*($BG$92:$BG$232=22)*$C$92:$C$232)*$H$20</f>
        <v/>
      </c>
      <c r="AA432" s="40">
        <f>SUMPRODUCT(($B$92:$B$232="Tunnel Spinach")*(AA$92:AA$232="P")*$C$92:$C$232)*$K$20+SUMPRODUCT(($B$92:$B$232="Tunnel Spinach")*(AA$92:AA$232="G")*$C$92:$C$232)*$L$20+SUMPRODUCT(($B$92:$B$232="Tunnel Spinach")*(AA$92:AA$232="H")*$C$92:$C$232)*$M$20+SUMPRODUCT(($B$92:$B$232="Tunnel Spinach")*($BG$92:$BG$232=23)*$C$92:$C$232)*$H$20</f>
        <v/>
      </c>
      <c r="AB432" s="40">
        <f>SUMPRODUCT(($B$92:$B$232="Tunnel Spinach")*(AB$92:AB$232="P")*$C$92:$C$232)*$K$20+SUMPRODUCT(($B$92:$B$232="Tunnel Spinach")*(AB$92:AB$232="G")*$C$92:$C$232)*$L$20+SUMPRODUCT(($B$92:$B$232="Tunnel Spinach")*(AB$92:AB$232="H")*$C$92:$C$232)*$M$20+SUMPRODUCT(($B$92:$B$232="Tunnel Spinach")*($BG$92:$BG$232=24)*$C$92:$C$232)*$H$20</f>
        <v/>
      </c>
      <c r="AC432" s="40">
        <f>SUMPRODUCT(($B$92:$B$232="Tunnel Spinach")*(AC$92:AC$232="P")*$C$92:$C$232)*$K$20+SUMPRODUCT(($B$92:$B$232="Tunnel Spinach")*(AC$92:AC$232="G")*$C$92:$C$232)*$L$20+SUMPRODUCT(($B$92:$B$232="Tunnel Spinach")*(AC$92:AC$232="H")*$C$92:$C$232)*$M$20+SUMPRODUCT(($B$92:$B$232="Tunnel Spinach")*($BG$92:$BG$232=25)*$C$92:$C$232)*$H$20</f>
        <v/>
      </c>
      <c r="AD432" s="40">
        <f>SUMPRODUCT(($B$92:$B$232="Tunnel Spinach")*(AD$92:AD$232="P")*$C$92:$C$232)*$K$20+SUMPRODUCT(($B$92:$B$232="Tunnel Spinach")*(AD$92:AD$232="G")*$C$92:$C$232)*$L$20+SUMPRODUCT(($B$92:$B$232="Tunnel Spinach")*(AD$92:AD$232="H")*$C$92:$C$232)*$M$20+SUMPRODUCT(($B$92:$B$232="Tunnel Spinach")*($BG$92:$BG$232=26)*$C$92:$C$232)*$H$20</f>
        <v/>
      </c>
      <c r="AE432" s="40">
        <f>SUMPRODUCT(($B$92:$B$232="Tunnel Spinach")*(AE$92:AE$232="P")*$C$92:$C$232)*$K$20+SUMPRODUCT(($B$92:$B$232="Tunnel Spinach")*(AE$92:AE$232="G")*$C$92:$C$232)*$L$20+SUMPRODUCT(($B$92:$B$232="Tunnel Spinach")*(AE$92:AE$232="H")*$C$92:$C$232)*$M$20+SUMPRODUCT(($B$92:$B$232="Tunnel Spinach")*($BG$92:$BG$232=27)*$C$92:$C$232)*$H$20</f>
        <v/>
      </c>
      <c r="AF432" s="40">
        <f>SUMPRODUCT(($B$92:$B$232="Tunnel Spinach")*(AF$92:AF$232="P")*$C$92:$C$232)*$K$20+SUMPRODUCT(($B$92:$B$232="Tunnel Spinach")*(AF$92:AF$232="G")*$C$92:$C$232)*$L$20+SUMPRODUCT(($B$92:$B$232="Tunnel Spinach")*(AF$92:AF$232="H")*$C$92:$C$232)*$M$20+SUMPRODUCT(($B$92:$B$232="Tunnel Spinach")*($BG$92:$BG$232=28)*$C$92:$C$232)*$H$20</f>
        <v/>
      </c>
      <c r="AG432" s="40">
        <f>SUMPRODUCT(($B$92:$B$232="Tunnel Spinach")*(AG$92:AG$232="P")*$C$92:$C$232)*$K$20+SUMPRODUCT(($B$92:$B$232="Tunnel Spinach")*(AG$92:AG$232="G")*$C$92:$C$232)*$L$20+SUMPRODUCT(($B$92:$B$232="Tunnel Spinach")*(AG$92:AG$232="H")*$C$92:$C$232)*$M$20+SUMPRODUCT(($B$92:$B$232="Tunnel Spinach")*($BG$92:$BG$232=29)*$C$92:$C$232)*$H$20</f>
        <v/>
      </c>
      <c r="AH432" s="40">
        <f>SUMPRODUCT(($B$92:$B$232="Tunnel Spinach")*(AH$92:AH$232="P")*$C$92:$C$232)*$K$20+SUMPRODUCT(($B$92:$B$232="Tunnel Spinach")*(AH$92:AH$232="G")*$C$92:$C$232)*$L$20+SUMPRODUCT(($B$92:$B$232="Tunnel Spinach")*(AH$92:AH$232="H")*$C$92:$C$232)*$M$20+SUMPRODUCT(($B$92:$B$232="Tunnel Spinach")*($BG$92:$BG$232=30)*$C$92:$C$232)*$H$20</f>
        <v/>
      </c>
      <c r="AI432" s="40">
        <f>SUMPRODUCT(($B$92:$B$232="Tunnel Spinach")*(AI$92:AI$232="P")*$C$92:$C$232)*$K$20+SUMPRODUCT(($B$92:$B$232="Tunnel Spinach")*(AI$92:AI$232="G")*$C$92:$C$232)*$L$20+SUMPRODUCT(($B$92:$B$232="Tunnel Spinach")*(AI$92:AI$232="H")*$C$92:$C$232)*$M$20+SUMPRODUCT(($B$92:$B$232="Tunnel Spinach")*($BG$92:$BG$232=31)*$C$92:$C$232)*$H$20</f>
        <v/>
      </c>
      <c r="AJ432" s="40">
        <f>SUMPRODUCT(($B$92:$B$232="Tunnel Spinach")*(AJ$92:AJ$232="P")*$C$92:$C$232)*$K$20+SUMPRODUCT(($B$92:$B$232="Tunnel Spinach")*(AJ$92:AJ$232="G")*$C$92:$C$232)*$L$20+SUMPRODUCT(($B$92:$B$232="Tunnel Spinach")*(AJ$92:AJ$232="H")*$C$92:$C$232)*$M$20+SUMPRODUCT(($B$92:$B$232="Tunnel Spinach")*($BG$92:$BG$232=32)*$C$92:$C$232)*$H$20</f>
        <v/>
      </c>
      <c r="AK432" s="40">
        <f>SUMPRODUCT(($B$92:$B$232="Tunnel Spinach")*(AK$92:AK$232="P")*$C$92:$C$232)*$K$20+SUMPRODUCT(($B$92:$B$232="Tunnel Spinach")*(AK$92:AK$232="G")*$C$92:$C$232)*$L$20+SUMPRODUCT(($B$92:$B$232="Tunnel Spinach")*(AK$92:AK$232="H")*$C$92:$C$232)*$M$20+SUMPRODUCT(($B$92:$B$232="Tunnel Spinach")*($BG$92:$BG$232=33)*$C$92:$C$232)*$H$20</f>
        <v/>
      </c>
      <c r="AL432" s="40">
        <f>SUMPRODUCT(($B$92:$B$232="Tunnel Spinach")*(AL$92:AL$232="P")*$C$92:$C$232)*$K$20+SUMPRODUCT(($B$92:$B$232="Tunnel Spinach")*(AL$92:AL$232="G")*$C$92:$C$232)*$L$20+SUMPRODUCT(($B$92:$B$232="Tunnel Spinach")*(AL$92:AL$232="H")*$C$92:$C$232)*$M$20+SUMPRODUCT(($B$92:$B$232="Tunnel Spinach")*($BG$92:$BG$232=34)*$C$92:$C$232)*$H$20</f>
        <v/>
      </c>
      <c r="AM432" s="40">
        <f>SUMPRODUCT(($B$92:$B$232="Tunnel Spinach")*(AM$92:AM$232="P")*$C$92:$C$232)*$K$20+SUMPRODUCT(($B$92:$B$232="Tunnel Spinach")*(AM$92:AM$232="G")*$C$92:$C$232)*$L$20+SUMPRODUCT(($B$92:$B$232="Tunnel Spinach")*(AM$92:AM$232="H")*$C$92:$C$232)*$M$20+SUMPRODUCT(($B$92:$B$232="Tunnel Spinach")*($BG$92:$BG$232=35)*$C$92:$C$232)*$H$20</f>
        <v/>
      </c>
      <c r="AN432" s="40">
        <f>SUMPRODUCT(($B$92:$B$232="Tunnel Spinach")*(AN$92:AN$232="P")*$C$92:$C$232)*$K$20+SUMPRODUCT(($B$92:$B$232="Tunnel Spinach")*(AN$92:AN$232="G")*$C$92:$C$232)*$L$20+SUMPRODUCT(($B$92:$B$232="Tunnel Spinach")*(AN$92:AN$232="H")*$C$92:$C$232)*$M$20+SUMPRODUCT(($B$92:$B$232="Tunnel Spinach")*($BG$92:$BG$232=36)*$C$92:$C$232)*$H$20</f>
        <v/>
      </c>
      <c r="AO432" s="40">
        <f>SUMPRODUCT(($B$92:$B$232="Tunnel Spinach")*(AO$92:AO$232="P")*$C$92:$C$232)*$K$20+SUMPRODUCT(($B$92:$B$232="Tunnel Spinach")*(AO$92:AO$232="G")*$C$92:$C$232)*$L$20+SUMPRODUCT(($B$92:$B$232="Tunnel Spinach")*(AO$92:AO$232="H")*$C$92:$C$232)*$M$20+SUMPRODUCT(($B$92:$B$232="Tunnel Spinach")*($BG$92:$BG$232=37)*$C$92:$C$232)*$H$20</f>
        <v/>
      </c>
      <c r="AP432" s="40">
        <f>SUMPRODUCT(($B$92:$B$232="Tunnel Spinach")*(AP$92:AP$232="P")*$C$92:$C$232)*$K$20+SUMPRODUCT(($B$92:$B$232="Tunnel Spinach")*(AP$92:AP$232="G")*$C$92:$C$232)*$L$20+SUMPRODUCT(($B$92:$B$232="Tunnel Spinach")*(AP$92:AP$232="H")*$C$92:$C$232)*$M$20+SUMPRODUCT(($B$92:$B$232="Tunnel Spinach")*($BG$92:$BG$232=38)*$C$92:$C$232)*$H$20</f>
        <v/>
      </c>
      <c r="AQ432" s="40">
        <f>SUMPRODUCT(($B$92:$B$232="Tunnel Spinach")*(AQ$92:AQ$232="P")*$C$92:$C$232)*$K$20+SUMPRODUCT(($B$92:$B$232="Tunnel Spinach")*(AQ$92:AQ$232="G")*$C$92:$C$232)*$L$20+SUMPRODUCT(($B$92:$B$232="Tunnel Spinach")*(AQ$92:AQ$232="H")*$C$92:$C$232)*$M$20+SUMPRODUCT(($B$92:$B$232="Tunnel Spinach")*($BG$92:$BG$232=39)*$C$92:$C$232)*$H$20</f>
        <v/>
      </c>
      <c r="AR432" s="40">
        <f>SUMPRODUCT(($B$92:$B$232="Tunnel Spinach")*(AR$92:AR$232="P")*$C$92:$C$232)*$K$20+SUMPRODUCT(($B$92:$B$232="Tunnel Spinach")*(AR$92:AR$232="G")*$C$92:$C$232)*$L$20+SUMPRODUCT(($B$92:$B$232="Tunnel Spinach")*(AR$92:AR$232="H")*$C$92:$C$232)*$M$20+SUMPRODUCT(($B$92:$B$232="Tunnel Spinach")*($BG$92:$BG$232=40)*$C$92:$C$232)*$H$20</f>
        <v/>
      </c>
      <c r="AS432" s="40">
        <f>SUMPRODUCT(($B$92:$B$232="Tunnel Spinach")*(AS$92:AS$232="P")*$C$92:$C$232)*$K$20+SUMPRODUCT(($B$92:$B$232="Tunnel Spinach")*(AS$92:AS$232="G")*$C$92:$C$232)*$L$20+SUMPRODUCT(($B$92:$B$232="Tunnel Spinach")*(AS$92:AS$232="H")*$C$92:$C$232)*$M$20+SUMPRODUCT(($B$92:$B$232="Tunnel Spinach")*($BG$92:$BG$232=41)*$C$92:$C$232)*$H$20</f>
        <v/>
      </c>
      <c r="AT432" s="40">
        <f>SUMPRODUCT(($B$92:$B$232="Tunnel Spinach")*(AT$92:AT$232="P")*$C$92:$C$232)*$K$20+SUMPRODUCT(($B$92:$B$232="Tunnel Spinach")*(AT$92:AT$232="G")*$C$92:$C$232)*$L$20+SUMPRODUCT(($B$92:$B$232="Tunnel Spinach")*(AT$92:AT$232="H")*$C$92:$C$232)*$M$20+SUMPRODUCT(($B$92:$B$232="Tunnel Spinach")*($BG$92:$BG$232=42)*$C$92:$C$232)*$H$20</f>
        <v/>
      </c>
      <c r="AU432" s="40">
        <f>SUMPRODUCT(($B$92:$B$232="Tunnel Spinach")*(AU$92:AU$232="P")*$C$92:$C$232)*$K$20+SUMPRODUCT(($B$92:$B$232="Tunnel Spinach")*(AU$92:AU$232="G")*$C$92:$C$232)*$L$20+SUMPRODUCT(($B$92:$B$232="Tunnel Spinach")*(AU$92:AU$232="H")*$C$92:$C$232)*$M$20+SUMPRODUCT(($B$92:$B$232="Tunnel Spinach")*($BG$92:$BG$232=43)*$C$92:$C$232)*$H$20</f>
        <v/>
      </c>
      <c r="AV432" s="40">
        <f>SUMPRODUCT(($B$92:$B$232="Tunnel Spinach")*(AV$92:AV$232="P")*$C$92:$C$232)*$K$20+SUMPRODUCT(($B$92:$B$232="Tunnel Spinach")*(AV$92:AV$232="G")*$C$92:$C$232)*$L$20+SUMPRODUCT(($B$92:$B$232="Tunnel Spinach")*(AV$92:AV$232="H")*$C$92:$C$232)*$M$20+SUMPRODUCT(($B$92:$B$232="Tunnel Spinach")*($BG$92:$BG$232=44)*$C$92:$C$232)*$H$20</f>
        <v/>
      </c>
      <c r="AW432" s="40">
        <f>SUMPRODUCT(($B$92:$B$232="Tunnel Spinach")*(AW$92:AW$232="P")*$C$92:$C$232)*$K$20+SUMPRODUCT(($B$92:$B$232="Tunnel Spinach")*(AW$92:AW$232="G")*$C$92:$C$232)*$L$20+SUMPRODUCT(($B$92:$B$232="Tunnel Spinach")*(AW$92:AW$232="H")*$C$92:$C$232)*$M$20+SUMPRODUCT(($B$92:$B$232="Tunnel Spinach")*($BG$92:$BG$232=45)*$C$92:$C$232)*$H$20</f>
        <v/>
      </c>
      <c r="AX432" s="40">
        <f>SUMPRODUCT(($B$92:$B$232="Tunnel Spinach")*(AX$92:AX$232="P")*$C$92:$C$232)*$K$20+SUMPRODUCT(($B$92:$B$232="Tunnel Spinach")*(AX$92:AX$232="G")*$C$92:$C$232)*$L$20+SUMPRODUCT(($B$92:$B$232="Tunnel Spinach")*(AX$92:AX$232="H")*$C$92:$C$232)*$M$20+SUMPRODUCT(($B$92:$B$232="Tunnel Spinach")*($BG$92:$BG$232=46)*$C$92:$C$232)*$H$20</f>
        <v/>
      </c>
      <c r="AY432" s="40">
        <f>SUMPRODUCT(($B$92:$B$232="Tunnel Spinach")*(AY$92:AY$232="P")*$C$92:$C$232)*$K$20+SUMPRODUCT(($B$92:$B$232="Tunnel Spinach")*(AY$92:AY$232="G")*$C$92:$C$232)*$L$20+SUMPRODUCT(($B$92:$B$232="Tunnel Spinach")*(AY$92:AY$232="H")*$C$92:$C$232)*$M$20+SUMPRODUCT(($B$92:$B$232="Tunnel Spinach")*($BG$92:$BG$232=47)*$C$92:$C$232)*$H$20</f>
        <v/>
      </c>
      <c r="AZ432" s="40">
        <f>SUMPRODUCT(($B$92:$B$232="Tunnel Spinach")*(AZ$92:AZ$232="P")*$C$92:$C$232)*$K$20+SUMPRODUCT(($B$92:$B$232="Tunnel Spinach")*(AZ$92:AZ$232="G")*$C$92:$C$232)*$L$20+SUMPRODUCT(($B$92:$B$232="Tunnel Spinach")*(AZ$92:AZ$232="H")*$C$92:$C$232)*$M$20+SUMPRODUCT(($B$92:$B$232="Tunnel Spinach")*($BG$92:$BG$232=48)*$C$92:$C$232)*$H$20</f>
        <v/>
      </c>
      <c r="BA432" s="40">
        <f>SUMPRODUCT(($B$92:$B$232="Tunnel Spinach")*(BA$92:BA$232="P")*$C$92:$C$232)*$K$20+SUMPRODUCT(($B$92:$B$232="Tunnel Spinach")*(BA$92:BA$232="G")*$C$92:$C$232)*$L$20+SUMPRODUCT(($B$92:$B$232="Tunnel Spinach")*(BA$92:BA$232="H")*$C$92:$C$232)*$M$20+SUMPRODUCT(($B$92:$B$232="Tunnel Spinach")*($BG$92:$BG$232=49)*$C$92:$C$232)*$H$20</f>
        <v/>
      </c>
      <c r="BB432" s="40">
        <f>SUMPRODUCT(($B$92:$B$232="Tunnel Spinach")*(BB$92:BB$232="P")*$C$92:$C$232)*$K$20+SUMPRODUCT(($B$92:$B$232="Tunnel Spinach")*(BB$92:BB$232="G")*$C$92:$C$232)*$L$20+SUMPRODUCT(($B$92:$B$232="Tunnel Spinach")*(BB$92:BB$232="H")*$C$92:$C$232)*$M$20+SUMPRODUCT(($B$92:$B$232="Tunnel Spinach")*($BG$92:$BG$232=50)*$C$92:$C$232)*$H$20</f>
        <v/>
      </c>
      <c r="BC432" s="40">
        <f>SUMPRODUCT(($B$92:$B$232="Tunnel Spinach")*(BC$92:BC$232="P")*$C$92:$C$232)*$K$20+SUMPRODUCT(($B$92:$B$232="Tunnel Spinach")*(BC$92:BC$232="G")*$C$92:$C$232)*$L$20+SUMPRODUCT(($B$92:$B$232="Tunnel Spinach")*(BC$92:BC$232="H")*$C$92:$C$232)*$M$20+SUMPRODUCT(($B$92:$B$232="Tunnel Spinach")*($BG$92:$BG$232=51)*$C$92:$C$232)*$H$20</f>
        <v/>
      </c>
      <c r="BD432" s="40">
        <f>SUMPRODUCT(($B$92:$B$232="Tunnel Spinach")*(BD$92:BD$232="P")*$C$92:$C$232)*$K$20+SUMPRODUCT(($B$92:$B$232="Tunnel Spinach")*(BD$92:BD$232="G")*$C$92:$C$232)*$L$20+SUMPRODUCT(($B$92:$B$232="Tunnel Spinach")*(BD$92:BD$232="H")*$C$92:$C$232)*$M$20+SUMPRODUCT(($B$92:$B$232="Tunnel Spinach")*($BG$92:$BG$232=52)*$C$92:$C$232)*$H$20</f>
        <v/>
      </c>
    </row>
    <row r="433">
      <c r="A433" s="33" t="inlineStr">
        <is>
          <t>Packaging this week</t>
        </is>
      </c>
      <c r="B433" s="2" t="inlineStr">
        <is>
          <t>$</t>
        </is>
      </c>
      <c r="E433" s="40">
        <f>E417*$J$42+E423*$J$43</f>
        <v/>
      </c>
      <c r="F433" s="40">
        <f>F417*$J$42+F423*$J$43</f>
        <v/>
      </c>
      <c r="G433" s="40">
        <f>G417*$J$42+G423*$J$43</f>
        <v/>
      </c>
      <c r="H433" s="40">
        <f>H417*$J$42+H423*$J$43</f>
        <v/>
      </c>
      <c r="I433" s="40">
        <f>I417*$J$42+I423*$J$43</f>
        <v/>
      </c>
      <c r="J433" s="40">
        <f>J417*$J$42+J423*$J$43</f>
        <v/>
      </c>
      <c r="K433" s="40">
        <f>K417*$J$42+K423*$J$43</f>
        <v/>
      </c>
      <c r="L433" s="40">
        <f>L417*$J$42+L423*$J$43</f>
        <v/>
      </c>
      <c r="M433" s="40">
        <f>M417*$J$42+M423*$J$43</f>
        <v/>
      </c>
      <c r="N433" s="40">
        <f>N417*$J$42+N423*$J$43</f>
        <v/>
      </c>
      <c r="O433" s="40">
        <f>O417*$J$42+O423*$J$43</f>
        <v/>
      </c>
      <c r="P433" s="40">
        <f>P417*$J$42+P423*$J$43</f>
        <v/>
      </c>
      <c r="Q433" s="40">
        <f>Q417*$J$42+Q423*$J$43</f>
        <v/>
      </c>
      <c r="R433" s="40">
        <f>R417*$J$42+R423*$J$43</f>
        <v/>
      </c>
      <c r="S433" s="40">
        <f>S417*$J$42+S423*$J$43</f>
        <v/>
      </c>
      <c r="T433" s="40">
        <f>T417*$J$42+T423*$J$43</f>
        <v/>
      </c>
      <c r="U433" s="40">
        <f>U417*$J$42+U423*$J$43</f>
        <v/>
      </c>
      <c r="V433" s="40">
        <f>V417*$J$42+V423*$J$43</f>
        <v/>
      </c>
      <c r="W433" s="40">
        <f>W417*$J$42+W423*$J$43</f>
        <v/>
      </c>
      <c r="X433" s="40">
        <f>X417*$J$42+X423*$J$43</f>
        <v/>
      </c>
      <c r="Y433" s="40">
        <f>Y417*$J$42+Y423*$J$43</f>
        <v/>
      </c>
      <c r="Z433" s="40">
        <f>Z417*$J$42+Z423*$J$43</f>
        <v/>
      </c>
      <c r="AA433" s="40">
        <f>AA417*$J$42+AA423*$J$43</f>
        <v/>
      </c>
      <c r="AB433" s="40">
        <f>AB417*$J$42+AB423*$J$43</f>
        <v/>
      </c>
      <c r="AC433" s="40">
        <f>AC417*$J$42+AC423*$J$43</f>
        <v/>
      </c>
      <c r="AD433" s="40">
        <f>AD417*$J$42+AD423*$J$43</f>
        <v/>
      </c>
      <c r="AE433" s="40">
        <f>AE417*$J$42+AE423*$J$43</f>
        <v/>
      </c>
      <c r="AF433" s="40">
        <f>AF417*$J$42+AF423*$J$43</f>
        <v/>
      </c>
      <c r="AG433" s="40">
        <f>AG417*$J$42+AG423*$J$43</f>
        <v/>
      </c>
      <c r="AH433" s="40">
        <f>AH417*$J$42+AH423*$J$43</f>
        <v/>
      </c>
      <c r="AI433" s="40">
        <f>AI417*$J$42+AI423*$J$43</f>
        <v/>
      </c>
      <c r="AJ433" s="40">
        <f>AJ417*$J$42+AJ423*$J$43</f>
        <v/>
      </c>
      <c r="AK433" s="40">
        <f>AK417*$J$42+AK423*$J$43</f>
        <v/>
      </c>
      <c r="AL433" s="40">
        <f>AL417*$J$42+AL423*$J$43</f>
        <v/>
      </c>
      <c r="AM433" s="40">
        <f>AM417*$J$42+AM423*$J$43</f>
        <v/>
      </c>
      <c r="AN433" s="40">
        <f>AN417*$J$42+AN423*$J$43</f>
        <v/>
      </c>
      <c r="AO433" s="40">
        <f>AO417*$J$42+AO423*$J$43</f>
        <v/>
      </c>
      <c r="AP433" s="40">
        <f>AP417*$J$42+AP423*$J$43</f>
        <v/>
      </c>
      <c r="AQ433" s="40">
        <f>AQ417*$J$42+AQ423*$J$43</f>
        <v/>
      </c>
      <c r="AR433" s="40">
        <f>AR417*$J$42+AR423*$J$43</f>
        <v/>
      </c>
      <c r="AS433" s="40">
        <f>AS417*$J$42+AS423*$J$43</f>
        <v/>
      </c>
      <c r="AT433" s="40">
        <f>AT417*$J$42+AT423*$J$43</f>
        <v/>
      </c>
      <c r="AU433" s="40">
        <f>AU417*$J$42+AU423*$J$43</f>
        <v/>
      </c>
      <c r="AV433" s="40">
        <f>AV417*$J$42+AV423*$J$43</f>
        <v/>
      </c>
      <c r="AW433" s="40">
        <f>AW417*$J$42+AW423*$J$43</f>
        <v/>
      </c>
      <c r="AX433" s="40">
        <f>AX417*$J$42+AX423*$J$43</f>
        <v/>
      </c>
      <c r="AY433" s="40">
        <f>AY417*$J$42+AY423*$J$43</f>
        <v/>
      </c>
      <c r="AZ433" s="40">
        <f>AZ417*$J$42+AZ423*$J$43</f>
        <v/>
      </c>
      <c r="BA433" s="40">
        <f>BA417*$J$42+BA423*$J$43</f>
        <v/>
      </c>
      <c r="BB433" s="40">
        <f>BB417*$J$42+BB423*$J$43</f>
        <v/>
      </c>
      <c r="BC433" s="40">
        <f>BC417*$J$42+BC423*$J$43</f>
        <v/>
      </c>
      <c r="BD433" s="40">
        <f>BD417*$J$42+BD423*$J$43</f>
        <v/>
      </c>
    </row>
    <row r="434">
      <c r="A434" s="4" t="inlineStr">
        <is>
          <t>ROOM OCCUPANCY</t>
        </is>
      </c>
      <c r="B434" s="2" t="inlineStr">
        <is>
          <t>m3</t>
        </is>
      </c>
      <c r="E434" s="58">
        <f>(E412+E411)*$D$20</f>
        <v/>
      </c>
      <c r="F434" s="58">
        <f>(F412+F411)*$D$20</f>
        <v/>
      </c>
      <c r="G434" s="58">
        <f>(G412+G411)*$D$20</f>
        <v/>
      </c>
      <c r="H434" s="58">
        <f>(H412+H411)*$D$20</f>
        <v/>
      </c>
      <c r="I434" s="58">
        <f>(I412+I411)*$D$20</f>
        <v/>
      </c>
      <c r="J434" s="58">
        <f>(J412+J411)*$D$20</f>
        <v/>
      </c>
      <c r="K434" s="58">
        <f>(K412+K411)*$D$20</f>
        <v/>
      </c>
      <c r="L434" s="58">
        <f>(L412+L411)*$D$20</f>
        <v/>
      </c>
      <c r="M434" s="58">
        <f>(M412+M411)*$D$20</f>
        <v/>
      </c>
      <c r="N434" s="58">
        <f>(N412+N411)*$D$20</f>
        <v/>
      </c>
      <c r="O434" s="58">
        <f>(O412+O411)*$D$20</f>
        <v/>
      </c>
      <c r="P434" s="58">
        <f>(P412+P411)*$D$20</f>
        <v/>
      </c>
      <c r="Q434" s="58">
        <f>(Q412+Q411)*$D$20</f>
        <v/>
      </c>
      <c r="R434" s="58">
        <f>(R412+R411)*$D$20</f>
        <v/>
      </c>
      <c r="S434" s="58">
        <f>(S412+S411)*$D$20</f>
        <v/>
      </c>
      <c r="T434" s="58">
        <f>(T412+T411)*$D$20</f>
        <v/>
      </c>
      <c r="U434" s="58">
        <f>(U412+U411)*$D$20</f>
        <v/>
      </c>
      <c r="V434" s="58">
        <f>(V412+V411)*$D$20</f>
        <v/>
      </c>
      <c r="W434" s="58">
        <f>(W412+W411)*$D$20</f>
        <v/>
      </c>
      <c r="X434" s="58">
        <f>(X412+X411)*$D$20</f>
        <v/>
      </c>
      <c r="Y434" s="58">
        <f>(Y412+Y411)*$D$20</f>
        <v/>
      </c>
      <c r="Z434" s="58">
        <f>(Z412+Z411)*$D$20</f>
        <v/>
      </c>
      <c r="AA434" s="58">
        <f>(AA412+AA411)*$D$20</f>
        <v/>
      </c>
      <c r="AB434" s="58">
        <f>(AB412+AB411)*$D$20</f>
        <v/>
      </c>
      <c r="AC434" s="58">
        <f>(AC412+AC411)*$D$20</f>
        <v/>
      </c>
      <c r="AD434" s="58">
        <f>(AD412+AD411)*$D$20</f>
        <v/>
      </c>
      <c r="AE434" s="58">
        <f>(AE412+AE411)*$D$20</f>
        <v/>
      </c>
      <c r="AF434" s="58">
        <f>(AF412+AF411)*$D$20</f>
        <v/>
      </c>
      <c r="AG434" s="58">
        <f>(AG412+AG411)*$D$20</f>
        <v/>
      </c>
      <c r="AH434" s="58">
        <f>(AH412+AH411)*$D$20</f>
        <v/>
      </c>
      <c r="AI434" s="58">
        <f>(AI412+AI411)*$D$20</f>
        <v/>
      </c>
      <c r="AJ434" s="58">
        <f>(AJ412+AJ411)*$D$20</f>
        <v/>
      </c>
      <c r="AK434" s="58">
        <f>(AK412+AK411)*$D$20</f>
        <v/>
      </c>
      <c r="AL434" s="58">
        <f>(AL412+AL411)*$D$20</f>
        <v/>
      </c>
      <c r="AM434" s="58">
        <f>(AM412+AM411)*$D$20</f>
        <v/>
      </c>
      <c r="AN434" s="58">
        <f>(AN412+AN411)*$D$20</f>
        <v/>
      </c>
      <c r="AO434" s="58">
        <f>(AO412+AO411)*$D$20</f>
        <v/>
      </c>
      <c r="AP434" s="58">
        <f>(AP412+AP411)*$D$20</f>
        <v/>
      </c>
      <c r="AQ434" s="58">
        <f>(AQ412+AQ411)*$D$20</f>
        <v/>
      </c>
      <c r="AR434" s="58">
        <f>(AR412+AR411)*$D$20</f>
        <v/>
      </c>
      <c r="AS434" s="58">
        <f>(AS412+AS411)*$D$20</f>
        <v/>
      </c>
      <c r="AT434" s="58">
        <f>(AT412+AT411)*$D$20</f>
        <v/>
      </c>
      <c r="AU434" s="58">
        <f>(AU412+AU411)*$D$20</f>
        <v/>
      </c>
      <c r="AV434" s="58">
        <f>(AV412+AV411)*$D$20</f>
        <v/>
      </c>
      <c r="AW434" s="58">
        <f>(AW412+AW411)*$D$20</f>
        <v/>
      </c>
      <c r="AX434" s="58">
        <f>(AX412+AX411)*$D$20</f>
        <v/>
      </c>
      <c r="AY434" s="58">
        <f>(AY412+AY411)*$D$20</f>
        <v/>
      </c>
      <c r="AZ434" s="58">
        <f>(AZ412+AZ411)*$D$20</f>
        <v/>
      </c>
      <c r="BA434" s="58">
        <f>(BA412+BA411)*$D$20</f>
        <v/>
      </c>
      <c r="BB434" s="58">
        <f>(BB412+BB411)*$D$20</f>
        <v/>
      </c>
      <c r="BC434" s="58">
        <f>(BC412+BC411)*$D$20</f>
        <v/>
      </c>
      <c r="BD434" s="58">
        <f>(BD412+BD411)*$D$20</f>
        <v/>
      </c>
    </row>
    <row r="436">
      <c r="A436" s="3" t="inlineStr">
        <is>
          <t>ASPARAGUS  —  cold store</t>
        </is>
      </c>
      <c r="B436" s="53" t="inlineStr"/>
    </row>
    <row r="437">
      <c r="A437" s="36" t="inlineStr">
        <is>
          <t>Week</t>
        </is>
      </c>
      <c r="B437" s="37" t="inlineStr"/>
      <c r="E437" s="38" t="n">
        <v>1</v>
      </c>
      <c r="F437" s="38" t="n">
        <v>2</v>
      </c>
      <c r="G437" s="38" t="n">
        <v>3</v>
      </c>
      <c r="H437" s="38" t="n">
        <v>4</v>
      </c>
      <c r="I437" s="38" t="n">
        <v>5</v>
      </c>
      <c r="J437" s="38" t="n">
        <v>6</v>
      </c>
      <c r="K437" s="38" t="n">
        <v>7</v>
      </c>
      <c r="L437" s="38" t="n">
        <v>8</v>
      </c>
      <c r="M437" s="38" t="n">
        <v>9</v>
      </c>
      <c r="N437" s="38" t="n">
        <v>10</v>
      </c>
      <c r="O437" s="38" t="n">
        <v>11</v>
      </c>
      <c r="P437" s="38" t="n">
        <v>12</v>
      </c>
      <c r="Q437" s="38" t="n">
        <v>13</v>
      </c>
      <c r="R437" s="38" t="n">
        <v>14</v>
      </c>
      <c r="S437" s="38" t="n">
        <v>15</v>
      </c>
      <c r="T437" s="38" t="n">
        <v>16</v>
      </c>
      <c r="U437" s="38" t="n">
        <v>17</v>
      </c>
      <c r="V437" s="38" t="n">
        <v>18</v>
      </c>
      <c r="W437" s="38" t="n">
        <v>19</v>
      </c>
      <c r="X437" s="38" t="n">
        <v>20</v>
      </c>
      <c r="Y437" s="38" t="n">
        <v>21</v>
      </c>
      <c r="Z437" s="38" t="n">
        <v>22</v>
      </c>
      <c r="AA437" s="38" t="n">
        <v>23</v>
      </c>
      <c r="AB437" s="38" t="n">
        <v>24</v>
      </c>
      <c r="AC437" s="38" t="n">
        <v>25</v>
      </c>
      <c r="AD437" s="38" t="n">
        <v>26</v>
      </c>
      <c r="AE437" s="38" t="n">
        <v>27</v>
      </c>
      <c r="AF437" s="38" t="n">
        <v>28</v>
      </c>
      <c r="AG437" s="38" t="n">
        <v>29</v>
      </c>
      <c r="AH437" s="38" t="n">
        <v>30</v>
      </c>
      <c r="AI437" s="38" t="n">
        <v>31</v>
      </c>
      <c r="AJ437" s="38" t="n">
        <v>32</v>
      </c>
      <c r="AK437" s="38" t="n">
        <v>33</v>
      </c>
      <c r="AL437" s="38" t="n">
        <v>34</v>
      </c>
      <c r="AM437" s="38" t="n">
        <v>35</v>
      </c>
      <c r="AN437" s="38" t="n">
        <v>36</v>
      </c>
      <c r="AO437" s="38" t="n">
        <v>37</v>
      </c>
      <c r="AP437" s="38" t="n">
        <v>38</v>
      </c>
      <c r="AQ437" s="38" t="n">
        <v>39</v>
      </c>
      <c r="AR437" s="38" t="n">
        <v>40</v>
      </c>
      <c r="AS437" s="38" t="n">
        <v>41</v>
      </c>
      <c r="AT437" s="38" t="n">
        <v>42</v>
      </c>
      <c r="AU437" s="38" t="n">
        <v>43</v>
      </c>
      <c r="AV437" s="38" t="n">
        <v>44</v>
      </c>
      <c r="AW437" s="38" t="n">
        <v>45</v>
      </c>
      <c r="AX437" s="38" t="n">
        <v>46</v>
      </c>
      <c r="AY437" s="38" t="n">
        <v>47</v>
      </c>
      <c r="AZ437" s="38" t="n">
        <v>48</v>
      </c>
      <c r="BA437" s="38" t="n">
        <v>49</v>
      </c>
      <c r="BB437" s="38" t="n">
        <v>50</v>
      </c>
      <c r="BC437" s="38" t="n">
        <v>51</v>
      </c>
      <c r="BD437" s="38" t="n">
        <v>52</v>
      </c>
    </row>
    <row r="438">
      <c r="A438" s="4" t="inlineStr">
        <is>
          <t>Packed out -&gt; INTO the store</t>
        </is>
      </c>
      <c r="B438" s="2" t="inlineStr">
        <is>
          <t>lb</t>
        </is>
      </c>
      <c r="E438" s="40">
        <f>SUMPRODUCT(($B$92:$B$232="Asparagus")*(E$92:E$232="H")*$C$92:$C$232)*$B$21/$J$21*$C$21</f>
        <v/>
      </c>
      <c r="F438" s="40">
        <f>SUMPRODUCT(($B$92:$B$232="Asparagus")*(F$92:F$232="H")*$C$92:$C$232)*$B$21/$J$21*$C$21</f>
        <v/>
      </c>
      <c r="G438" s="40">
        <f>SUMPRODUCT(($B$92:$B$232="Asparagus")*(G$92:G$232="H")*$C$92:$C$232)*$B$21/$J$21*$C$21</f>
        <v/>
      </c>
      <c r="H438" s="40">
        <f>SUMPRODUCT(($B$92:$B$232="Asparagus")*(H$92:H$232="H")*$C$92:$C$232)*$B$21/$J$21*$C$21</f>
        <v/>
      </c>
      <c r="I438" s="40">
        <f>SUMPRODUCT(($B$92:$B$232="Asparagus")*(I$92:I$232="H")*$C$92:$C$232)*$B$21/$J$21*$C$21</f>
        <v/>
      </c>
      <c r="J438" s="40">
        <f>SUMPRODUCT(($B$92:$B$232="Asparagus")*(J$92:J$232="H")*$C$92:$C$232)*$B$21/$J$21*$C$21</f>
        <v/>
      </c>
      <c r="K438" s="40">
        <f>SUMPRODUCT(($B$92:$B$232="Asparagus")*(K$92:K$232="H")*$C$92:$C$232)*$B$21/$J$21*$C$21</f>
        <v/>
      </c>
      <c r="L438" s="40">
        <f>SUMPRODUCT(($B$92:$B$232="Asparagus")*(L$92:L$232="H")*$C$92:$C$232)*$B$21/$J$21*$C$21</f>
        <v/>
      </c>
      <c r="M438" s="40">
        <f>SUMPRODUCT(($B$92:$B$232="Asparagus")*(M$92:M$232="H")*$C$92:$C$232)*$B$21/$J$21*$C$21</f>
        <v/>
      </c>
      <c r="N438" s="40">
        <f>SUMPRODUCT(($B$92:$B$232="Asparagus")*(N$92:N$232="H")*$C$92:$C$232)*$B$21/$J$21*$C$21</f>
        <v/>
      </c>
      <c r="O438" s="40">
        <f>SUMPRODUCT(($B$92:$B$232="Asparagus")*(O$92:O$232="H")*$C$92:$C$232)*$B$21/$J$21*$C$21</f>
        <v/>
      </c>
      <c r="P438" s="40">
        <f>SUMPRODUCT(($B$92:$B$232="Asparagus")*(P$92:P$232="H")*$C$92:$C$232)*$B$21/$J$21*$C$21</f>
        <v/>
      </c>
      <c r="Q438" s="40">
        <f>SUMPRODUCT(($B$92:$B$232="Asparagus")*(Q$92:Q$232="H")*$C$92:$C$232)*$B$21/$J$21*$C$21</f>
        <v/>
      </c>
      <c r="R438" s="40">
        <f>SUMPRODUCT(($B$92:$B$232="Asparagus")*(R$92:R$232="H")*$C$92:$C$232)*$B$21/$J$21*$C$21</f>
        <v/>
      </c>
      <c r="S438" s="40">
        <f>SUMPRODUCT(($B$92:$B$232="Asparagus")*(S$92:S$232="H")*$C$92:$C$232)*$B$21/$J$21*$C$21</f>
        <v/>
      </c>
      <c r="T438" s="40">
        <f>SUMPRODUCT(($B$92:$B$232="Asparagus")*(T$92:T$232="H")*$C$92:$C$232)*$B$21/$J$21*$C$21</f>
        <v/>
      </c>
      <c r="U438" s="40">
        <f>SUMPRODUCT(($B$92:$B$232="Asparagus")*(U$92:U$232="H")*$C$92:$C$232)*$B$21/$J$21*$C$21</f>
        <v/>
      </c>
      <c r="V438" s="40">
        <f>SUMPRODUCT(($B$92:$B$232="Asparagus")*(V$92:V$232="H")*$C$92:$C$232)*$B$21/$J$21*$C$21</f>
        <v/>
      </c>
      <c r="W438" s="40">
        <f>SUMPRODUCT(($B$92:$B$232="Asparagus")*(W$92:W$232="H")*$C$92:$C$232)*$B$21/$J$21*$C$21</f>
        <v/>
      </c>
      <c r="X438" s="40">
        <f>SUMPRODUCT(($B$92:$B$232="Asparagus")*(X$92:X$232="H")*$C$92:$C$232)*$B$21/$J$21*$C$21</f>
        <v/>
      </c>
      <c r="Y438" s="40">
        <f>SUMPRODUCT(($B$92:$B$232="Asparagus")*(Y$92:Y$232="H")*$C$92:$C$232)*$B$21/$J$21*$C$21</f>
        <v/>
      </c>
      <c r="Z438" s="40">
        <f>SUMPRODUCT(($B$92:$B$232="Asparagus")*(Z$92:Z$232="H")*$C$92:$C$232)*$B$21/$J$21*$C$21</f>
        <v/>
      </c>
      <c r="AA438" s="40">
        <f>SUMPRODUCT(($B$92:$B$232="Asparagus")*(AA$92:AA$232="H")*$C$92:$C$232)*$B$21/$J$21*$C$21</f>
        <v/>
      </c>
      <c r="AB438" s="40">
        <f>SUMPRODUCT(($B$92:$B$232="Asparagus")*(AB$92:AB$232="H")*$C$92:$C$232)*$B$21/$J$21*$C$21</f>
        <v/>
      </c>
      <c r="AC438" s="40">
        <f>SUMPRODUCT(($B$92:$B$232="Asparagus")*(AC$92:AC$232="H")*$C$92:$C$232)*$B$21/$J$21*$C$21</f>
        <v/>
      </c>
      <c r="AD438" s="40">
        <f>SUMPRODUCT(($B$92:$B$232="Asparagus")*(AD$92:AD$232="H")*$C$92:$C$232)*$B$21/$J$21*$C$21</f>
        <v/>
      </c>
      <c r="AE438" s="40">
        <f>SUMPRODUCT(($B$92:$B$232="Asparagus")*(AE$92:AE$232="H")*$C$92:$C$232)*$B$21/$J$21*$C$21</f>
        <v/>
      </c>
      <c r="AF438" s="40">
        <f>SUMPRODUCT(($B$92:$B$232="Asparagus")*(AF$92:AF$232="H")*$C$92:$C$232)*$B$21/$J$21*$C$21</f>
        <v/>
      </c>
      <c r="AG438" s="40">
        <f>SUMPRODUCT(($B$92:$B$232="Asparagus")*(AG$92:AG$232="H")*$C$92:$C$232)*$B$21/$J$21*$C$21</f>
        <v/>
      </c>
      <c r="AH438" s="40">
        <f>SUMPRODUCT(($B$92:$B$232="Asparagus")*(AH$92:AH$232="H")*$C$92:$C$232)*$B$21/$J$21*$C$21</f>
        <v/>
      </c>
      <c r="AI438" s="40">
        <f>SUMPRODUCT(($B$92:$B$232="Asparagus")*(AI$92:AI$232="H")*$C$92:$C$232)*$B$21/$J$21*$C$21</f>
        <v/>
      </c>
      <c r="AJ438" s="40">
        <f>SUMPRODUCT(($B$92:$B$232="Asparagus")*(AJ$92:AJ$232="H")*$C$92:$C$232)*$B$21/$J$21*$C$21</f>
        <v/>
      </c>
      <c r="AK438" s="40">
        <f>SUMPRODUCT(($B$92:$B$232="Asparagus")*(AK$92:AK$232="H")*$C$92:$C$232)*$B$21/$J$21*$C$21</f>
        <v/>
      </c>
      <c r="AL438" s="40">
        <f>SUMPRODUCT(($B$92:$B$232="Asparagus")*(AL$92:AL$232="H")*$C$92:$C$232)*$B$21/$J$21*$C$21</f>
        <v/>
      </c>
      <c r="AM438" s="40">
        <f>SUMPRODUCT(($B$92:$B$232="Asparagus")*(AM$92:AM$232="H")*$C$92:$C$232)*$B$21/$J$21*$C$21</f>
        <v/>
      </c>
      <c r="AN438" s="40">
        <f>SUMPRODUCT(($B$92:$B$232="Asparagus")*(AN$92:AN$232="H")*$C$92:$C$232)*$B$21/$J$21*$C$21</f>
        <v/>
      </c>
      <c r="AO438" s="40">
        <f>SUMPRODUCT(($B$92:$B$232="Asparagus")*(AO$92:AO$232="H")*$C$92:$C$232)*$B$21/$J$21*$C$21</f>
        <v/>
      </c>
      <c r="AP438" s="40">
        <f>SUMPRODUCT(($B$92:$B$232="Asparagus")*(AP$92:AP$232="H")*$C$92:$C$232)*$B$21/$J$21*$C$21</f>
        <v/>
      </c>
      <c r="AQ438" s="40">
        <f>SUMPRODUCT(($B$92:$B$232="Asparagus")*(AQ$92:AQ$232="H")*$C$92:$C$232)*$B$21/$J$21*$C$21</f>
        <v/>
      </c>
      <c r="AR438" s="40">
        <f>SUMPRODUCT(($B$92:$B$232="Asparagus")*(AR$92:AR$232="H")*$C$92:$C$232)*$B$21/$J$21*$C$21</f>
        <v/>
      </c>
      <c r="AS438" s="40">
        <f>SUMPRODUCT(($B$92:$B$232="Asparagus")*(AS$92:AS$232="H")*$C$92:$C$232)*$B$21/$J$21*$C$21</f>
        <v/>
      </c>
      <c r="AT438" s="40">
        <f>SUMPRODUCT(($B$92:$B$232="Asparagus")*(AT$92:AT$232="H")*$C$92:$C$232)*$B$21/$J$21*$C$21</f>
        <v/>
      </c>
      <c r="AU438" s="40">
        <f>SUMPRODUCT(($B$92:$B$232="Asparagus")*(AU$92:AU$232="H")*$C$92:$C$232)*$B$21/$J$21*$C$21</f>
        <v/>
      </c>
      <c r="AV438" s="40">
        <f>SUMPRODUCT(($B$92:$B$232="Asparagus")*(AV$92:AV$232="H")*$C$92:$C$232)*$B$21/$J$21*$C$21</f>
        <v/>
      </c>
      <c r="AW438" s="40">
        <f>SUMPRODUCT(($B$92:$B$232="Asparagus")*(AW$92:AW$232="H")*$C$92:$C$232)*$B$21/$J$21*$C$21</f>
        <v/>
      </c>
      <c r="AX438" s="40">
        <f>SUMPRODUCT(($B$92:$B$232="Asparagus")*(AX$92:AX$232="H")*$C$92:$C$232)*$B$21/$J$21*$C$21</f>
        <v/>
      </c>
      <c r="AY438" s="40">
        <f>SUMPRODUCT(($B$92:$B$232="Asparagus")*(AY$92:AY$232="H")*$C$92:$C$232)*$B$21/$J$21*$C$21</f>
        <v/>
      </c>
      <c r="AZ438" s="40">
        <f>SUMPRODUCT(($B$92:$B$232="Asparagus")*(AZ$92:AZ$232="H")*$C$92:$C$232)*$B$21/$J$21*$C$21</f>
        <v/>
      </c>
      <c r="BA438" s="40">
        <f>SUMPRODUCT(($B$92:$B$232="Asparagus")*(BA$92:BA$232="H")*$C$92:$C$232)*$B$21/$J$21*$C$21</f>
        <v/>
      </c>
      <c r="BB438" s="40">
        <f>SUMPRODUCT(($B$92:$B$232="Asparagus")*(BB$92:BB$232="H")*$C$92:$C$232)*$B$21/$J$21*$C$21</f>
        <v/>
      </c>
      <c r="BC438" s="40">
        <f>SUMPRODUCT(($B$92:$B$232="Asparagus")*(BC$92:BC$232="H")*$C$92:$C$232)*$B$21/$J$21*$C$21</f>
        <v/>
      </c>
      <c r="BD438" s="40">
        <f>SUMPRODUCT(($B$92:$B$232="Asparagus")*(BD$92:BD$232="H")*$C$92:$C$232)*$B$21/$J$21*$C$21</f>
        <v/>
      </c>
    </row>
    <row r="439">
      <c r="A439" s="33" t="inlineStr">
        <is>
          <t>Stock carried in</t>
        </is>
      </c>
      <c r="B439" s="2" t="inlineStr">
        <is>
          <t>lb</t>
        </is>
      </c>
      <c r="E439" s="40" t="n">
        <v>0</v>
      </c>
      <c r="F439" s="40">
        <f>E454</f>
        <v/>
      </c>
      <c r="G439" s="40">
        <f>F454</f>
        <v/>
      </c>
      <c r="H439" s="40">
        <f>G454</f>
        <v/>
      </c>
      <c r="I439" s="40">
        <f>H454</f>
        <v/>
      </c>
      <c r="J439" s="40">
        <f>I454</f>
        <v/>
      </c>
      <c r="K439" s="40">
        <f>J454</f>
        <v/>
      </c>
      <c r="L439" s="40">
        <f>K454</f>
        <v/>
      </c>
      <c r="M439" s="40">
        <f>L454</f>
        <v/>
      </c>
      <c r="N439" s="40">
        <f>M454</f>
        <v/>
      </c>
      <c r="O439" s="40">
        <f>N454</f>
        <v/>
      </c>
      <c r="P439" s="40">
        <f>O454</f>
        <v/>
      </c>
      <c r="Q439" s="40">
        <f>P454</f>
        <v/>
      </c>
      <c r="R439" s="40">
        <f>Q454</f>
        <v/>
      </c>
      <c r="S439" s="40">
        <f>R454</f>
        <v/>
      </c>
      <c r="T439" s="40">
        <f>S454</f>
        <v/>
      </c>
      <c r="U439" s="40">
        <f>T454</f>
        <v/>
      </c>
      <c r="V439" s="40">
        <f>U454</f>
        <v/>
      </c>
      <c r="W439" s="40">
        <f>V454</f>
        <v/>
      </c>
      <c r="X439" s="40">
        <f>W454</f>
        <v/>
      </c>
      <c r="Y439" s="40">
        <f>X454</f>
        <v/>
      </c>
      <c r="Z439" s="40">
        <f>Y454</f>
        <v/>
      </c>
      <c r="AA439" s="40">
        <f>Z454</f>
        <v/>
      </c>
      <c r="AB439" s="40">
        <f>AA454</f>
        <v/>
      </c>
      <c r="AC439" s="40">
        <f>AB454</f>
        <v/>
      </c>
      <c r="AD439" s="40">
        <f>AC454</f>
        <v/>
      </c>
      <c r="AE439" s="40">
        <f>AD454</f>
        <v/>
      </c>
      <c r="AF439" s="40">
        <f>AE454</f>
        <v/>
      </c>
      <c r="AG439" s="40">
        <f>AF454</f>
        <v/>
      </c>
      <c r="AH439" s="40">
        <f>AG454</f>
        <v/>
      </c>
      <c r="AI439" s="40">
        <f>AH454</f>
        <v/>
      </c>
      <c r="AJ439" s="40">
        <f>AI454</f>
        <v/>
      </c>
      <c r="AK439" s="40">
        <f>AJ454</f>
        <v/>
      </c>
      <c r="AL439" s="40">
        <f>AK454</f>
        <v/>
      </c>
      <c r="AM439" s="40">
        <f>AL454</f>
        <v/>
      </c>
      <c r="AN439" s="40">
        <f>AM454</f>
        <v/>
      </c>
      <c r="AO439" s="40">
        <f>AN454</f>
        <v/>
      </c>
      <c r="AP439" s="40">
        <f>AO454</f>
        <v/>
      </c>
      <c r="AQ439" s="40">
        <f>AP454</f>
        <v/>
      </c>
      <c r="AR439" s="40">
        <f>AQ454</f>
        <v/>
      </c>
      <c r="AS439" s="40">
        <f>AR454</f>
        <v/>
      </c>
      <c r="AT439" s="40">
        <f>AS454</f>
        <v/>
      </c>
      <c r="AU439" s="40">
        <f>AT454</f>
        <v/>
      </c>
      <c r="AV439" s="40">
        <f>AU454</f>
        <v/>
      </c>
      <c r="AW439" s="40">
        <f>AV454</f>
        <v/>
      </c>
      <c r="AX439" s="40">
        <f>AW454</f>
        <v/>
      </c>
      <c r="AY439" s="40">
        <f>AX454</f>
        <v/>
      </c>
      <c r="AZ439" s="40">
        <f>AY454</f>
        <v/>
      </c>
      <c r="BA439" s="40">
        <f>AZ454</f>
        <v/>
      </c>
      <c r="BB439" s="40">
        <f>BA454</f>
        <v/>
      </c>
      <c r="BC439" s="40">
        <f>BB454</f>
        <v/>
      </c>
      <c r="BD439" s="40">
        <f>BC454</f>
        <v/>
      </c>
    </row>
    <row r="440">
      <c r="A440" s="33" t="inlineStr">
        <is>
          <t xml:space="preserve">   lost to shrink</t>
        </is>
      </c>
      <c r="B440" s="2" t="inlineStr">
        <is>
          <t>lb</t>
        </is>
      </c>
      <c r="E440" s="40">
        <f>E439*$G$21</f>
        <v/>
      </c>
      <c r="F440" s="40">
        <f>F439*$G$21</f>
        <v/>
      </c>
      <c r="G440" s="40">
        <f>G439*$G$21</f>
        <v/>
      </c>
      <c r="H440" s="40">
        <f>H439*$G$21</f>
        <v/>
      </c>
      <c r="I440" s="40">
        <f>I439*$G$21</f>
        <v/>
      </c>
      <c r="J440" s="40">
        <f>J439*$G$21</f>
        <v/>
      </c>
      <c r="K440" s="40">
        <f>K439*$G$21</f>
        <v/>
      </c>
      <c r="L440" s="40">
        <f>L439*$G$21</f>
        <v/>
      </c>
      <c r="M440" s="40">
        <f>M439*$G$21</f>
        <v/>
      </c>
      <c r="N440" s="40">
        <f>N439*$G$21</f>
        <v/>
      </c>
      <c r="O440" s="40">
        <f>O439*$G$21</f>
        <v/>
      </c>
      <c r="P440" s="40">
        <f>P439*$G$21</f>
        <v/>
      </c>
      <c r="Q440" s="40">
        <f>Q439*$G$21</f>
        <v/>
      </c>
      <c r="R440" s="40">
        <f>R439*$G$21</f>
        <v/>
      </c>
      <c r="S440" s="40">
        <f>S439*$G$21</f>
        <v/>
      </c>
      <c r="T440" s="40">
        <f>T439*$G$21</f>
        <v/>
      </c>
      <c r="U440" s="40">
        <f>U439*$G$21</f>
        <v/>
      </c>
      <c r="V440" s="40">
        <f>V439*$G$21</f>
        <v/>
      </c>
      <c r="W440" s="40">
        <f>W439*$G$21</f>
        <v/>
      </c>
      <c r="X440" s="40">
        <f>X439*$G$21</f>
        <v/>
      </c>
      <c r="Y440" s="40">
        <f>Y439*$G$21</f>
        <v/>
      </c>
      <c r="Z440" s="40">
        <f>Z439*$G$21</f>
        <v/>
      </c>
      <c r="AA440" s="40">
        <f>AA439*$G$21</f>
        <v/>
      </c>
      <c r="AB440" s="40">
        <f>AB439*$G$21</f>
        <v/>
      </c>
      <c r="AC440" s="40">
        <f>AC439*$G$21</f>
        <v/>
      </c>
      <c r="AD440" s="40">
        <f>AD439*$G$21</f>
        <v/>
      </c>
      <c r="AE440" s="40">
        <f>AE439*$G$21</f>
        <v/>
      </c>
      <c r="AF440" s="40">
        <f>AF439*$G$21</f>
        <v/>
      </c>
      <c r="AG440" s="40">
        <f>AG439*$G$21</f>
        <v/>
      </c>
      <c r="AH440" s="40">
        <f>AH439*$G$21</f>
        <v/>
      </c>
      <c r="AI440" s="40">
        <f>AI439*$G$21</f>
        <v/>
      </c>
      <c r="AJ440" s="40">
        <f>AJ439*$G$21</f>
        <v/>
      </c>
      <c r="AK440" s="40">
        <f>AK439*$G$21</f>
        <v/>
      </c>
      <c r="AL440" s="40">
        <f>AL439*$G$21</f>
        <v/>
      </c>
      <c r="AM440" s="40">
        <f>AM439*$G$21</f>
        <v/>
      </c>
      <c r="AN440" s="40">
        <f>AN439*$G$21</f>
        <v/>
      </c>
      <c r="AO440" s="40">
        <f>AO439*$G$21</f>
        <v/>
      </c>
      <c r="AP440" s="40">
        <f>AP439*$G$21</f>
        <v/>
      </c>
      <c r="AQ440" s="40">
        <f>AQ439*$G$21</f>
        <v/>
      </c>
      <c r="AR440" s="40">
        <f>AR439*$G$21</f>
        <v/>
      </c>
      <c r="AS440" s="40">
        <f>AS439*$G$21</f>
        <v/>
      </c>
      <c r="AT440" s="40">
        <f>AT439*$G$21</f>
        <v/>
      </c>
      <c r="AU440" s="40">
        <f>AU439*$G$21</f>
        <v/>
      </c>
      <c r="AV440" s="40">
        <f>AV439*$G$21</f>
        <v/>
      </c>
      <c r="AW440" s="40">
        <f>AW439*$G$21</f>
        <v/>
      </c>
      <c r="AX440" s="40">
        <f>AX439*$G$21</f>
        <v/>
      </c>
      <c r="AY440" s="40">
        <f>AY439*$G$21</f>
        <v/>
      </c>
      <c r="AZ440" s="40">
        <f>AZ439*$G$21</f>
        <v/>
      </c>
      <c r="BA440" s="40">
        <f>BA439*$G$21</f>
        <v/>
      </c>
      <c r="BB440" s="40">
        <f>BB439*$G$21</f>
        <v/>
      </c>
      <c r="BC440" s="40">
        <f>BC439*$G$21</f>
        <v/>
      </c>
      <c r="BD440" s="40">
        <f>BD439*$G$21</f>
        <v/>
      </c>
    </row>
    <row r="441">
      <c r="A441" s="4" t="inlineStr">
        <is>
          <t>In store this week</t>
        </is>
      </c>
      <c r="B441" s="2" t="inlineStr">
        <is>
          <t>lb</t>
        </is>
      </c>
      <c r="E441" s="40">
        <f>E439-E440+E438</f>
        <v/>
      </c>
      <c r="F441" s="40">
        <f>F439-F440+F438</f>
        <v/>
      </c>
      <c r="G441" s="40">
        <f>G439-G440+G438</f>
        <v/>
      </c>
      <c r="H441" s="40">
        <f>H439-H440+H438</f>
        <v/>
      </c>
      <c r="I441" s="40">
        <f>I439-I440+I438</f>
        <v/>
      </c>
      <c r="J441" s="40">
        <f>J439-J440+J438</f>
        <v/>
      </c>
      <c r="K441" s="40">
        <f>K439-K440+K438</f>
        <v/>
      </c>
      <c r="L441" s="40">
        <f>L439-L440+L438</f>
        <v/>
      </c>
      <c r="M441" s="40">
        <f>M439-M440+M438</f>
        <v/>
      </c>
      <c r="N441" s="40">
        <f>N439-N440+N438</f>
        <v/>
      </c>
      <c r="O441" s="40">
        <f>O439-O440+O438</f>
        <v/>
      </c>
      <c r="P441" s="40">
        <f>P439-P440+P438</f>
        <v/>
      </c>
      <c r="Q441" s="40">
        <f>Q439-Q440+Q438</f>
        <v/>
      </c>
      <c r="R441" s="40">
        <f>R439-R440+R438</f>
        <v/>
      </c>
      <c r="S441" s="40">
        <f>S439-S440+S438</f>
        <v/>
      </c>
      <c r="T441" s="40">
        <f>T439-T440+T438</f>
        <v/>
      </c>
      <c r="U441" s="40">
        <f>U439-U440+U438</f>
        <v/>
      </c>
      <c r="V441" s="40">
        <f>V439-V440+V438</f>
        <v/>
      </c>
      <c r="W441" s="40">
        <f>W439-W440+W438</f>
        <v/>
      </c>
      <c r="X441" s="40">
        <f>X439-X440+X438</f>
        <v/>
      </c>
      <c r="Y441" s="40">
        <f>Y439-Y440+Y438</f>
        <v/>
      </c>
      <c r="Z441" s="40">
        <f>Z439-Z440+Z438</f>
        <v/>
      </c>
      <c r="AA441" s="40">
        <f>AA439-AA440+AA438</f>
        <v/>
      </c>
      <c r="AB441" s="40">
        <f>AB439-AB440+AB438</f>
        <v/>
      </c>
      <c r="AC441" s="40">
        <f>AC439-AC440+AC438</f>
        <v/>
      </c>
      <c r="AD441" s="40">
        <f>AD439-AD440+AD438</f>
        <v/>
      </c>
      <c r="AE441" s="40">
        <f>AE439-AE440+AE438</f>
        <v/>
      </c>
      <c r="AF441" s="40">
        <f>AF439-AF440+AF438</f>
        <v/>
      </c>
      <c r="AG441" s="40">
        <f>AG439-AG440+AG438</f>
        <v/>
      </c>
      <c r="AH441" s="40">
        <f>AH439-AH440+AH438</f>
        <v/>
      </c>
      <c r="AI441" s="40">
        <f>AI439-AI440+AI438</f>
        <v/>
      </c>
      <c r="AJ441" s="40">
        <f>AJ439-AJ440+AJ438</f>
        <v/>
      </c>
      <c r="AK441" s="40">
        <f>AK439-AK440+AK438</f>
        <v/>
      </c>
      <c r="AL441" s="40">
        <f>AL439-AL440+AL438</f>
        <v/>
      </c>
      <c r="AM441" s="40">
        <f>AM439-AM440+AM438</f>
        <v/>
      </c>
      <c r="AN441" s="40">
        <f>AN439-AN440+AN438</f>
        <v/>
      </c>
      <c r="AO441" s="40">
        <f>AO439-AO440+AO438</f>
        <v/>
      </c>
      <c r="AP441" s="40">
        <f>AP439-AP440+AP438</f>
        <v/>
      </c>
      <c r="AQ441" s="40">
        <f>AQ439-AQ440+AQ438</f>
        <v/>
      </c>
      <c r="AR441" s="40">
        <f>AR439-AR440+AR438</f>
        <v/>
      </c>
      <c r="AS441" s="40">
        <f>AS439-AS440+AS438</f>
        <v/>
      </c>
      <c r="AT441" s="40">
        <f>AT439-AT440+AT438</f>
        <v/>
      </c>
      <c r="AU441" s="40">
        <f>AU439-AU440+AU438</f>
        <v/>
      </c>
      <c r="AV441" s="40">
        <f>AV439-AV440+AV438</f>
        <v/>
      </c>
      <c r="AW441" s="40">
        <f>AW439-AW440+AW438</f>
        <v/>
      </c>
      <c r="AX441" s="40">
        <f>AX439-AX440+AX438</f>
        <v/>
      </c>
      <c r="AY441" s="40">
        <f>AY439-AY440+AY438</f>
        <v/>
      </c>
      <c r="AZ441" s="40">
        <f>AZ439-AZ440+AZ438</f>
        <v/>
      </c>
      <c r="BA441" s="40">
        <f>BA439-BA440+BA438</f>
        <v/>
      </c>
      <c r="BB441" s="40">
        <f>BB439-BB440+BB438</f>
        <v/>
      </c>
      <c r="BC441" s="40">
        <f>BC439-BC440+BC438</f>
        <v/>
      </c>
      <c r="BD441" s="40">
        <f>BD439-BD440+BD438</f>
        <v/>
      </c>
    </row>
    <row r="442">
      <c r="A442" s="43" t="inlineStr">
        <is>
          <t>Farmers Market — most you may sell this week</t>
        </is>
      </c>
      <c r="B442" s="2" t="inlineStr">
        <is>
          <t>lb</t>
        </is>
      </c>
      <c r="E442" s="42">
        <f>IF($C$44="Annual",$D$44-0,IF(AND(1&gt;=$E$44,1&lt;=$F$44),$D$44,0))</f>
        <v/>
      </c>
      <c r="F442" s="42">
        <f>IF($C$44="Annual",$D$44-SUM(E444:E444),IF(AND(2&gt;=$E$44,2&lt;=$F$44),$D$44,0))</f>
        <v/>
      </c>
      <c r="G442" s="42">
        <f>IF($C$44="Annual",$D$44-SUM(E444:F444),IF(AND(3&gt;=$E$44,3&lt;=$F$44),$D$44,0))</f>
        <v/>
      </c>
      <c r="H442" s="42">
        <f>IF($C$44="Annual",$D$44-SUM(E444:G444),IF(AND(4&gt;=$E$44,4&lt;=$F$44),$D$44,0))</f>
        <v/>
      </c>
      <c r="I442" s="42">
        <f>IF($C$44="Annual",$D$44-SUM(E444:H444),IF(AND(5&gt;=$E$44,5&lt;=$F$44),$D$44,0))</f>
        <v/>
      </c>
      <c r="J442" s="42">
        <f>IF($C$44="Annual",$D$44-SUM(E444:I444),IF(AND(6&gt;=$E$44,6&lt;=$F$44),$D$44,0))</f>
        <v/>
      </c>
      <c r="K442" s="42">
        <f>IF($C$44="Annual",$D$44-SUM(E444:J444),IF(AND(7&gt;=$E$44,7&lt;=$F$44),$D$44,0))</f>
        <v/>
      </c>
      <c r="L442" s="42">
        <f>IF($C$44="Annual",$D$44-SUM(E444:K444),IF(AND(8&gt;=$E$44,8&lt;=$F$44),$D$44,0))</f>
        <v/>
      </c>
      <c r="M442" s="42">
        <f>IF($C$44="Annual",$D$44-SUM(E444:L444),IF(AND(9&gt;=$E$44,9&lt;=$F$44),$D$44,0))</f>
        <v/>
      </c>
      <c r="N442" s="42">
        <f>IF($C$44="Annual",$D$44-SUM(E444:M444),IF(AND(10&gt;=$E$44,10&lt;=$F$44),$D$44,0))</f>
        <v/>
      </c>
      <c r="O442" s="42">
        <f>IF($C$44="Annual",$D$44-SUM(E444:N444),IF(AND(11&gt;=$E$44,11&lt;=$F$44),$D$44,0))</f>
        <v/>
      </c>
      <c r="P442" s="42">
        <f>IF($C$44="Annual",$D$44-SUM(E444:O444),IF(AND(12&gt;=$E$44,12&lt;=$F$44),$D$44,0))</f>
        <v/>
      </c>
      <c r="Q442" s="42">
        <f>IF($C$44="Annual",$D$44-SUM(E444:P444),IF(AND(13&gt;=$E$44,13&lt;=$F$44),$D$44,0))</f>
        <v/>
      </c>
      <c r="R442" s="42">
        <f>IF($C$44="Annual",$D$44-SUM(E444:Q444),IF(AND(14&gt;=$E$44,14&lt;=$F$44),$D$44,0))</f>
        <v/>
      </c>
      <c r="S442" s="42">
        <f>IF($C$44="Annual",$D$44-SUM(E444:R444),IF(AND(15&gt;=$E$44,15&lt;=$F$44),$D$44,0))</f>
        <v/>
      </c>
      <c r="T442" s="42">
        <f>IF($C$44="Annual",$D$44-SUM(E444:S444),IF(AND(16&gt;=$E$44,16&lt;=$F$44),$D$44,0))</f>
        <v/>
      </c>
      <c r="U442" s="42">
        <f>IF($C$44="Annual",$D$44-SUM(E444:T444),IF(AND(17&gt;=$E$44,17&lt;=$F$44),$D$44,0))</f>
        <v/>
      </c>
      <c r="V442" s="42">
        <f>IF($C$44="Annual",$D$44-SUM(E444:U444),IF(AND(18&gt;=$E$44,18&lt;=$F$44),$D$44,0))</f>
        <v/>
      </c>
      <c r="W442" s="42">
        <f>IF($C$44="Annual",$D$44-SUM(E444:V444),IF(AND(19&gt;=$E$44,19&lt;=$F$44),$D$44,0))</f>
        <v/>
      </c>
      <c r="X442" s="42">
        <f>IF($C$44="Annual",$D$44-SUM(E444:W444),IF(AND(20&gt;=$E$44,20&lt;=$F$44),$D$44,0))</f>
        <v/>
      </c>
      <c r="Y442" s="42">
        <f>IF($C$44="Annual",$D$44-SUM(E444:X444),IF(AND(21&gt;=$E$44,21&lt;=$F$44),$D$44,0))</f>
        <v/>
      </c>
      <c r="Z442" s="42">
        <f>IF($C$44="Annual",$D$44-SUM(E444:Y444),IF(AND(22&gt;=$E$44,22&lt;=$F$44),$D$44,0))</f>
        <v/>
      </c>
      <c r="AA442" s="42">
        <f>IF($C$44="Annual",$D$44-SUM(E444:Z444),IF(AND(23&gt;=$E$44,23&lt;=$F$44),$D$44,0))</f>
        <v/>
      </c>
      <c r="AB442" s="42">
        <f>IF($C$44="Annual",$D$44-SUM(E444:AA444),IF(AND(24&gt;=$E$44,24&lt;=$F$44),$D$44,0))</f>
        <v/>
      </c>
      <c r="AC442" s="42">
        <f>IF($C$44="Annual",$D$44-SUM(E444:AB444),IF(AND(25&gt;=$E$44,25&lt;=$F$44),$D$44,0))</f>
        <v/>
      </c>
      <c r="AD442" s="42">
        <f>IF($C$44="Annual",$D$44-SUM(E444:AC444),IF(AND(26&gt;=$E$44,26&lt;=$F$44),$D$44,0))</f>
        <v/>
      </c>
      <c r="AE442" s="42">
        <f>IF($C$44="Annual",$D$44-SUM(E444:AD444),IF(AND(27&gt;=$E$44,27&lt;=$F$44),$D$44,0))</f>
        <v/>
      </c>
      <c r="AF442" s="42">
        <f>IF($C$44="Annual",$D$44-SUM(E444:AE444),IF(AND(28&gt;=$E$44,28&lt;=$F$44),$D$44,0))</f>
        <v/>
      </c>
      <c r="AG442" s="42">
        <f>IF($C$44="Annual",$D$44-SUM(E444:AF444),IF(AND(29&gt;=$E$44,29&lt;=$F$44),$D$44,0))</f>
        <v/>
      </c>
      <c r="AH442" s="42">
        <f>IF($C$44="Annual",$D$44-SUM(E444:AG444),IF(AND(30&gt;=$E$44,30&lt;=$F$44),$D$44,0))</f>
        <v/>
      </c>
      <c r="AI442" s="42">
        <f>IF($C$44="Annual",$D$44-SUM(E444:AH444),IF(AND(31&gt;=$E$44,31&lt;=$F$44),$D$44,0))</f>
        <v/>
      </c>
      <c r="AJ442" s="42">
        <f>IF($C$44="Annual",$D$44-SUM(E444:AI444),IF(AND(32&gt;=$E$44,32&lt;=$F$44),$D$44,0))</f>
        <v/>
      </c>
      <c r="AK442" s="42">
        <f>IF($C$44="Annual",$D$44-SUM(E444:AJ444),IF(AND(33&gt;=$E$44,33&lt;=$F$44),$D$44,0))</f>
        <v/>
      </c>
      <c r="AL442" s="42">
        <f>IF($C$44="Annual",$D$44-SUM(E444:AK444),IF(AND(34&gt;=$E$44,34&lt;=$F$44),$D$44,0))</f>
        <v/>
      </c>
      <c r="AM442" s="42">
        <f>IF($C$44="Annual",$D$44-SUM(E444:AL444),IF(AND(35&gt;=$E$44,35&lt;=$F$44),$D$44,0))</f>
        <v/>
      </c>
      <c r="AN442" s="42">
        <f>IF($C$44="Annual",$D$44-SUM(E444:AM444),IF(AND(36&gt;=$E$44,36&lt;=$F$44),$D$44,0))</f>
        <v/>
      </c>
      <c r="AO442" s="42">
        <f>IF($C$44="Annual",$D$44-SUM(E444:AN444),IF(AND(37&gt;=$E$44,37&lt;=$F$44),$D$44,0))</f>
        <v/>
      </c>
      <c r="AP442" s="42">
        <f>IF($C$44="Annual",$D$44-SUM(E444:AO444),IF(AND(38&gt;=$E$44,38&lt;=$F$44),$D$44,0))</f>
        <v/>
      </c>
      <c r="AQ442" s="42">
        <f>IF($C$44="Annual",$D$44-SUM(E444:AP444),IF(AND(39&gt;=$E$44,39&lt;=$F$44),$D$44,0))</f>
        <v/>
      </c>
      <c r="AR442" s="42">
        <f>IF($C$44="Annual",$D$44-SUM(E444:AQ444),IF(AND(40&gt;=$E$44,40&lt;=$F$44),$D$44,0))</f>
        <v/>
      </c>
      <c r="AS442" s="42">
        <f>IF($C$44="Annual",$D$44-SUM(E444:AR444),IF(AND(41&gt;=$E$44,41&lt;=$F$44),$D$44,0))</f>
        <v/>
      </c>
      <c r="AT442" s="42">
        <f>IF($C$44="Annual",$D$44-SUM(E444:AS444),IF(AND(42&gt;=$E$44,42&lt;=$F$44),$D$44,0))</f>
        <v/>
      </c>
      <c r="AU442" s="42">
        <f>IF($C$44="Annual",$D$44-SUM(E444:AT444),IF(AND(43&gt;=$E$44,43&lt;=$F$44),$D$44,0))</f>
        <v/>
      </c>
      <c r="AV442" s="42">
        <f>IF($C$44="Annual",$D$44-SUM(E444:AU444),IF(AND(44&gt;=$E$44,44&lt;=$F$44),$D$44,0))</f>
        <v/>
      </c>
      <c r="AW442" s="42">
        <f>IF($C$44="Annual",$D$44-SUM(E444:AV444),IF(AND(45&gt;=$E$44,45&lt;=$F$44),$D$44,0))</f>
        <v/>
      </c>
      <c r="AX442" s="42">
        <f>IF($C$44="Annual",$D$44-SUM(E444:AW444),IF(AND(46&gt;=$E$44,46&lt;=$F$44),$D$44,0))</f>
        <v/>
      </c>
      <c r="AY442" s="42">
        <f>IF($C$44="Annual",$D$44-SUM(E444:AX444),IF(AND(47&gt;=$E$44,47&lt;=$F$44),$D$44,0))</f>
        <v/>
      </c>
      <c r="AZ442" s="42">
        <f>IF($C$44="Annual",$D$44-SUM(E444:AY444),IF(AND(48&gt;=$E$44,48&lt;=$F$44),$D$44,0))</f>
        <v/>
      </c>
      <c r="BA442" s="42">
        <f>IF($C$44="Annual",$D$44-SUM(E444:AZ444),IF(AND(49&gt;=$E$44,49&lt;=$F$44),$D$44,0))</f>
        <v/>
      </c>
      <c r="BB442" s="42">
        <f>IF($C$44="Annual",$D$44-SUM(E444:BA444),IF(AND(50&gt;=$E$44,50&lt;=$F$44),$D$44,0))</f>
        <v/>
      </c>
      <c r="BC442" s="42">
        <f>IF($C$44="Annual",$D$44-SUM(E444:BB444),IF(AND(51&gt;=$E$44,51&lt;=$F$44),$D$44,0))</f>
        <v/>
      </c>
      <c r="BD442" s="42">
        <f>IF($C$44="Annual",$D$44-SUM(E444:BC444),IF(AND(52&gt;=$E$44,52&lt;=$F$44),$D$44,0))</f>
        <v/>
      </c>
    </row>
    <row r="443">
      <c r="A443" s="32" t="inlineStr">
        <is>
          <t>Farmers Market — OFFERED</t>
        </is>
      </c>
      <c r="B443" s="2" t="inlineStr">
        <is>
          <t>lb  &lt;-- SOLVER</t>
        </is>
      </c>
      <c r="E443" s="39" t="n">
        <v>0</v>
      </c>
      <c r="F443" s="39" t="n">
        <v>0</v>
      </c>
      <c r="G443" s="39" t="n">
        <v>0</v>
      </c>
      <c r="H443" s="39" t="n">
        <v>0</v>
      </c>
      <c r="I443" s="39" t="n">
        <v>0</v>
      </c>
      <c r="J443" s="39" t="n">
        <v>0</v>
      </c>
      <c r="K443" s="39" t="n">
        <v>0</v>
      </c>
      <c r="L443" s="39" t="n">
        <v>0</v>
      </c>
      <c r="M443" s="39" t="n">
        <v>0</v>
      </c>
      <c r="N443" s="39" t="n">
        <v>0</v>
      </c>
      <c r="O443" s="39" t="n">
        <v>0</v>
      </c>
      <c r="P443" s="39" t="n">
        <v>0</v>
      </c>
      <c r="Q443" s="39" t="n">
        <v>0</v>
      </c>
      <c r="R443" s="39" t="n">
        <v>0</v>
      </c>
      <c r="S443" s="39" t="n">
        <v>0</v>
      </c>
      <c r="T443" s="39" t="n">
        <v>0</v>
      </c>
      <c r="U443" s="39" t="n">
        <v>0</v>
      </c>
      <c r="V443" s="39" t="n">
        <v>0</v>
      </c>
      <c r="W443" s="39" t="n">
        <v>0</v>
      </c>
      <c r="X443" s="39" t="n">
        <v>0</v>
      </c>
      <c r="Y443" s="39" t="n">
        <v>0</v>
      </c>
      <c r="Z443" s="39" t="n">
        <v>0</v>
      </c>
      <c r="AA443" s="39" t="n">
        <v>0</v>
      </c>
      <c r="AB443" s="39" t="n">
        <v>0</v>
      </c>
      <c r="AC443" s="39" t="n">
        <v>0</v>
      </c>
      <c r="AD443" s="39" t="n">
        <v>0</v>
      </c>
      <c r="AE443" s="39" t="n">
        <v>0</v>
      </c>
      <c r="AF443" s="39" t="n">
        <v>0</v>
      </c>
      <c r="AG443" s="39" t="n">
        <v>0</v>
      </c>
      <c r="AH443" s="39" t="n">
        <v>0</v>
      </c>
      <c r="AI443" s="39" t="n">
        <v>0</v>
      </c>
      <c r="AJ443" s="39" t="n">
        <v>0</v>
      </c>
      <c r="AK443" s="39" t="n">
        <v>0</v>
      </c>
      <c r="AL443" s="39" t="n">
        <v>0</v>
      </c>
      <c r="AM443" s="39" t="n">
        <v>0</v>
      </c>
      <c r="AN443" s="39" t="n">
        <v>0</v>
      </c>
      <c r="AO443" s="39" t="n">
        <v>0</v>
      </c>
      <c r="AP443" s="39" t="n">
        <v>0</v>
      </c>
      <c r="AQ443" s="39" t="n">
        <v>0</v>
      </c>
      <c r="AR443" s="39" t="n">
        <v>0</v>
      </c>
      <c r="AS443" s="39" t="n">
        <v>0</v>
      </c>
      <c r="AT443" s="39" t="n">
        <v>0</v>
      </c>
      <c r="AU443" s="39" t="n">
        <v>0</v>
      </c>
      <c r="AV443" s="39" t="n">
        <v>0</v>
      </c>
      <c r="AW443" s="39" t="n">
        <v>0</v>
      </c>
      <c r="AX443" s="39" t="n">
        <v>0</v>
      </c>
      <c r="AY443" s="39" t="n">
        <v>0</v>
      </c>
      <c r="AZ443" s="39" t="n">
        <v>0</v>
      </c>
      <c r="BA443" s="39" t="n">
        <v>0</v>
      </c>
      <c r="BB443" s="39" t="n">
        <v>0</v>
      </c>
      <c r="BC443" s="39" t="n">
        <v>0</v>
      </c>
      <c r="BD443" s="39" t="n">
        <v>0</v>
      </c>
    </row>
    <row r="444">
      <c r="A444" s="54" t="inlineStr">
        <is>
          <t>Farmers Market — SOLD</t>
        </is>
      </c>
      <c r="B444" s="2" t="inlineStr">
        <is>
          <t>lb</t>
        </is>
      </c>
      <c r="E444" s="55">
        <f>E443*$G$44</f>
        <v/>
      </c>
      <c r="F444" s="55">
        <f>F443*$G$44</f>
        <v/>
      </c>
      <c r="G444" s="55">
        <f>G443*$G$44</f>
        <v/>
      </c>
      <c r="H444" s="55">
        <f>H443*$G$44</f>
        <v/>
      </c>
      <c r="I444" s="55">
        <f>I443*$G$44</f>
        <v/>
      </c>
      <c r="J444" s="55">
        <f>J443*$G$44</f>
        <v/>
      </c>
      <c r="K444" s="55">
        <f>K443*$G$44</f>
        <v/>
      </c>
      <c r="L444" s="55">
        <f>L443*$G$44</f>
        <v/>
      </c>
      <c r="M444" s="55">
        <f>M443*$G$44</f>
        <v/>
      </c>
      <c r="N444" s="55">
        <f>N443*$G$44</f>
        <v/>
      </c>
      <c r="O444" s="55">
        <f>O443*$G$44</f>
        <v/>
      </c>
      <c r="P444" s="55">
        <f>P443*$G$44</f>
        <v/>
      </c>
      <c r="Q444" s="55">
        <f>Q443*$G$44</f>
        <v/>
      </c>
      <c r="R444" s="55">
        <f>R443*$G$44</f>
        <v/>
      </c>
      <c r="S444" s="55">
        <f>S443*$G$44</f>
        <v/>
      </c>
      <c r="T444" s="55">
        <f>T443*$G$44</f>
        <v/>
      </c>
      <c r="U444" s="55">
        <f>U443*$G$44</f>
        <v/>
      </c>
      <c r="V444" s="55">
        <f>V443*$G$44</f>
        <v/>
      </c>
      <c r="W444" s="55">
        <f>W443*$G$44</f>
        <v/>
      </c>
      <c r="X444" s="55">
        <f>X443*$G$44</f>
        <v/>
      </c>
      <c r="Y444" s="55">
        <f>Y443*$G$44</f>
        <v/>
      </c>
      <c r="Z444" s="55">
        <f>Z443*$G$44</f>
        <v/>
      </c>
      <c r="AA444" s="55">
        <f>AA443*$G$44</f>
        <v/>
      </c>
      <c r="AB444" s="55">
        <f>AB443*$G$44</f>
        <v/>
      </c>
      <c r="AC444" s="55">
        <f>AC443*$G$44</f>
        <v/>
      </c>
      <c r="AD444" s="55">
        <f>AD443*$G$44</f>
        <v/>
      </c>
      <c r="AE444" s="55">
        <f>AE443*$G$44</f>
        <v/>
      </c>
      <c r="AF444" s="55">
        <f>AF443*$G$44</f>
        <v/>
      </c>
      <c r="AG444" s="55">
        <f>AG443*$G$44</f>
        <v/>
      </c>
      <c r="AH444" s="55">
        <f>AH443*$G$44</f>
        <v/>
      </c>
      <c r="AI444" s="55">
        <f>AI443*$G$44</f>
        <v/>
      </c>
      <c r="AJ444" s="55">
        <f>AJ443*$G$44</f>
        <v/>
      </c>
      <c r="AK444" s="55">
        <f>AK443*$G$44</f>
        <v/>
      </c>
      <c r="AL444" s="55">
        <f>AL443*$G$44</f>
        <v/>
      </c>
      <c r="AM444" s="55">
        <f>AM443*$G$44</f>
        <v/>
      </c>
      <c r="AN444" s="55">
        <f>AN443*$G$44</f>
        <v/>
      </c>
      <c r="AO444" s="55">
        <f>AO443*$G$44</f>
        <v/>
      </c>
      <c r="AP444" s="55">
        <f>AP443*$G$44</f>
        <v/>
      </c>
      <c r="AQ444" s="55">
        <f>AQ443*$G$44</f>
        <v/>
      </c>
      <c r="AR444" s="55">
        <f>AR443*$G$44</f>
        <v/>
      </c>
      <c r="AS444" s="55">
        <f>AS443*$G$44</f>
        <v/>
      </c>
      <c r="AT444" s="55">
        <f>AT443*$G$44</f>
        <v/>
      </c>
      <c r="AU444" s="55">
        <f>AU443*$G$44</f>
        <v/>
      </c>
      <c r="AV444" s="55">
        <f>AV443*$G$44</f>
        <v/>
      </c>
      <c r="AW444" s="55">
        <f>AW443*$G$44</f>
        <v/>
      </c>
      <c r="AX444" s="55">
        <f>AX443*$G$44</f>
        <v/>
      </c>
      <c r="AY444" s="55">
        <f>AY443*$G$44</f>
        <v/>
      </c>
      <c r="AZ444" s="55">
        <f>AZ443*$G$44</f>
        <v/>
      </c>
      <c r="BA444" s="55">
        <f>BA443*$G$44</f>
        <v/>
      </c>
      <c r="BB444" s="55">
        <f>BB443*$G$44</f>
        <v/>
      </c>
      <c r="BC444" s="55">
        <f>BC443*$G$44</f>
        <v/>
      </c>
      <c r="BD444" s="55">
        <f>BD443*$G$44</f>
        <v/>
      </c>
    </row>
    <row r="445">
      <c r="A445" s="33" t="inlineStr">
        <is>
          <t xml:space="preserve">   market loss (gone)</t>
        </is>
      </c>
      <c r="B445" s="2" t="inlineStr">
        <is>
          <t>lb</t>
        </is>
      </c>
      <c r="E445" s="40">
        <f>(E443-E444)*(1-$H$44)</f>
        <v/>
      </c>
      <c r="F445" s="40">
        <f>(F443-F444)*(1-$H$44)</f>
        <v/>
      </c>
      <c r="G445" s="40">
        <f>(G443-G444)*(1-$H$44)</f>
        <v/>
      </c>
      <c r="H445" s="40">
        <f>(H443-H444)*(1-$H$44)</f>
        <v/>
      </c>
      <c r="I445" s="40">
        <f>(I443-I444)*(1-$H$44)</f>
        <v/>
      </c>
      <c r="J445" s="40">
        <f>(J443-J444)*(1-$H$44)</f>
        <v/>
      </c>
      <c r="K445" s="40">
        <f>(K443-K444)*(1-$H$44)</f>
        <v/>
      </c>
      <c r="L445" s="40">
        <f>(L443-L444)*(1-$H$44)</f>
        <v/>
      </c>
      <c r="M445" s="40">
        <f>(M443-M444)*(1-$H$44)</f>
        <v/>
      </c>
      <c r="N445" s="40">
        <f>(N443-N444)*(1-$H$44)</f>
        <v/>
      </c>
      <c r="O445" s="40">
        <f>(O443-O444)*(1-$H$44)</f>
        <v/>
      </c>
      <c r="P445" s="40">
        <f>(P443-P444)*(1-$H$44)</f>
        <v/>
      </c>
      <c r="Q445" s="40">
        <f>(Q443-Q444)*(1-$H$44)</f>
        <v/>
      </c>
      <c r="R445" s="40">
        <f>(R443-R444)*(1-$H$44)</f>
        <v/>
      </c>
      <c r="S445" s="40">
        <f>(S443-S444)*(1-$H$44)</f>
        <v/>
      </c>
      <c r="T445" s="40">
        <f>(T443-T444)*(1-$H$44)</f>
        <v/>
      </c>
      <c r="U445" s="40">
        <f>(U443-U444)*(1-$H$44)</f>
        <v/>
      </c>
      <c r="V445" s="40">
        <f>(V443-V444)*(1-$H$44)</f>
        <v/>
      </c>
      <c r="W445" s="40">
        <f>(W443-W444)*(1-$H$44)</f>
        <v/>
      </c>
      <c r="X445" s="40">
        <f>(X443-X444)*(1-$H$44)</f>
        <v/>
      </c>
      <c r="Y445" s="40">
        <f>(Y443-Y444)*(1-$H$44)</f>
        <v/>
      </c>
      <c r="Z445" s="40">
        <f>(Z443-Z444)*(1-$H$44)</f>
        <v/>
      </c>
      <c r="AA445" s="40">
        <f>(AA443-AA444)*(1-$H$44)</f>
        <v/>
      </c>
      <c r="AB445" s="40">
        <f>(AB443-AB444)*(1-$H$44)</f>
        <v/>
      </c>
      <c r="AC445" s="40">
        <f>(AC443-AC444)*(1-$H$44)</f>
        <v/>
      </c>
      <c r="AD445" s="40">
        <f>(AD443-AD444)*(1-$H$44)</f>
        <v/>
      </c>
      <c r="AE445" s="40">
        <f>(AE443-AE444)*(1-$H$44)</f>
        <v/>
      </c>
      <c r="AF445" s="40">
        <f>(AF443-AF444)*(1-$H$44)</f>
        <v/>
      </c>
      <c r="AG445" s="40">
        <f>(AG443-AG444)*(1-$H$44)</f>
        <v/>
      </c>
      <c r="AH445" s="40">
        <f>(AH443-AH444)*(1-$H$44)</f>
        <v/>
      </c>
      <c r="AI445" s="40">
        <f>(AI443-AI444)*(1-$H$44)</f>
        <v/>
      </c>
      <c r="AJ445" s="40">
        <f>(AJ443-AJ444)*(1-$H$44)</f>
        <v/>
      </c>
      <c r="AK445" s="40">
        <f>(AK443-AK444)*(1-$H$44)</f>
        <v/>
      </c>
      <c r="AL445" s="40">
        <f>(AL443-AL444)*(1-$H$44)</f>
        <v/>
      </c>
      <c r="AM445" s="40">
        <f>(AM443-AM444)*(1-$H$44)</f>
        <v/>
      </c>
      <c r="AN445" s="40">
        <f>(AN443-AN444)*(1-$H$44)</f>
        <v/>
      </c>
      <c r="AO445" s="40">
        <f>(AO443-AO444)*(1-$H$44)</f>
        <v/>
      </c>
      <c r="AP445" s="40">
        <f>(AP443-AP444)*(1-$H$44)</f>
        <v/>
      </c>
      <c r="AQ445" s="40">
        <f>(AQ443-AQ444)*(1-$H$44)</f>
        <v/>
      </c>
      <c r="AR445" s="40">
        <f>(AR443-AR444)*(1-$H$44)</f>
        <v/>
      </c>
      <c r="AS445" s="40">
        <f>(AS443-AS444)*(1-$H$44)</f>
        <v/>
      </c>
      <c r="AT445" s="40">
        <f>(AT443-AT444)*(1-$H$44)</f>
        <v/>
      </c>
      <c r="AU445" s="40">
        <f>(AU443-AU444)*(1-$H$44)</f>
        <v/>
      </c>
      <c r="AV445" s="40">
        <f>(AV443-AV444)*(1-$H$44)</f>
        <v/>
      </c>
      <c r="AW445" s="40">
        <f>(AW443-AW444)*(1-$H$44)</f>
        <v/>
      </c>
      <c r="AX445" s="40">
        <f>(AX443-AX444)*(1-$H$44)</f>
        <v/>
      </c>
      <c r="AY445" s="40">
        <f>(AY443-AY444)*(1-$H$44)</f>
        <v/>
      </c>
      <c r="AZ445" s="40">
        <f>(AZ443-AZ444)*(1-$H$44)</f>
        <v/>
      </c>
      <c r="BA445" s="40">
        <f>(BA443-BA444)*(1-$H$44)</f>
        <v/>
      </c>
      <c r="BB445" s="40">
        <f>(BB443-BB444)*(1-$H$44)</f>
        <v/>
      </c>
      <c r="BC445" s="40">
        <f>(BC443-BC444)*(1-$H$44)</f>
        <v/>
      </c>
      <c r="BD445" s="40">
        <f>(BD443-BD444)*(1-$H$44)</f>
        <v/>
      </c>
    </row>
    <row r="446">
      <c r="A446" s="33" t="inlineStr">
        <is>
          <t xml:space="preserve">   returned to store</t>
        </is>
      </c>
      <c r="B446" s="2" t="inlineStr">
        <is>
          <t>lb</t>
        </is>
      </c>
      <c r="E446" s="40">
        <f>(E443-E444)*$H$44</f>
        <v/>
      </c>
      <c r="F446" s="40">
        <f>(F443-F444)*$H$44</f>
        <v/>
      </c>
      <c r="G446" s="40">
        <f>(G443-G444)*$H$44</f>
        <v/>
      </c>
      <c r="H446" s="40">
        <f>(H443-H444)*$H$44</f>
        <v/>
      </c>
      <c r="I446" s="40">
        <f>(I443-I444)*$H$44</f>
        <v/>
      </c>
      <c r="J446" s="40">
        <f>(J443-J444)*$H$44</f>
        <v/>
      </c>
      <c r="K446" s="40">
        <f>(K443-K444)*$H$44</f>
        <v/>
      </c>
      <c r="L446" s="40">
        <f>(L443-L444)*$H$44</f>
        <v/>
      </c>
      <c r="M446" s="40">
        <f>(M443-M444)*$H$44</f>
        <v/>
      </c>
      <c r="N446" s="40">
        <f>(N443-N444)*$H$44</f>
        <v/>
      </c>
      <c r="O446" s="40">
        <f>(O443-O444)*$H$44</f>
        <v/>
      </c>
      <c r="P446" s="40">
        <f>(P443-P444)*$H$44</f>
        <v/>
      </c>
      <c r="Q446" s="40">
        <f>(Q443-Q444)*$H$44</f>
        <v/>
      </c>
      <c r="R446" s="40">
        <f>(R443-R444)*$H$44</f>
        <v/>
      </c>
      <c r="S446" s="40">
        <f>(S443-S444)*$H$44</f>
        <v/>
      </c>
      <c r="T446" s="40">
        <f>(T443-T444)*$H$44</f>
        <v/>
      </c>
      <c r="U446" s="40">
        <f>(U443-U444)*$H$44</f>
        <v/>
      </c>
      <c r="V446" s="40">
        <f>(V443-V444)*$H$44</f>
        <v/>
      </c>
      <c r="W446" s="40">
        <f>(W443-W444)*$H$44</f>
        <v/>
      </c>
      <c r="X446" s="40">
        <f>(X443-X444)*$H$44</f>
        <v/>
      </c>
      <c r="Y446" s="40">
        <f>(Y443-Y444)*$H$44</f>
        <v/>
      </c>
      <c r="Z446" s="40">
        <f>(Z443-Z444)*$H$44</f>
        <v/>
      </c>
      <c r="AA446" s="40">
        <f>(AA443-AA444)*$H$44</f>
        <v/>
      </c>
      <c r="AB446" s="40">
        <f>(AB443-AB444)*$H$44</f>
        <v/>
      </c>
      <c r="AC446" s="40">
        <f>(AC443-AC444)*$H$44</f>
        <v/>
      </c>
      <c r="AD446" s="40">
        <f>(AD443-AD444)*$H$44</f>
        <v/>
      </c>
      <c r="AE446" s="40">
        <f>(AE443-AE444)*$H$44</f>
        <v/>
      </c>
      <c r="AF446" s="40">
        <f>(AF443-AF444)*$H$44</f>
        <v/>
      </c>
      <c r="AG446" s="40">
        <f>(AG443-AG444)*$H$44</f>
        <v/>
      </c>
      <c r="AH446" s="40">
        <f>(AH443-AH444)*$H$44</f>
        <v/>
      </c>
      <c r="AI446" s="40">
        <f>(AI443-AI444)*$H$44</f>
        <v/>
      </c>
      <c r="AJ446" s="40">
        <f>(AJ443-AJ444)*$H$44</f>
        <v/>
      </c>
      <c r="AK446" s="40">
        <f>(AK443-AK444)*$H$44</f>
        <v/>
      </c>
      <c r="AL446" s="40">
        <f>(AL443-AL444)*$H$44</f>
        <v/>
      </c>
      <c r="AM446" s="40">
        <f>(AM443-AM444)*$H$44</f>
        <v/>
      </c>
      <c r="AN446" s="40">
        <f>(AN443-AN444)*$H$44</f>
        <v/>
      </c>
      <c r="AO446" s="40">
        <f>(AO443-AO444)*$H$44</f>
        <v/>
      </c>
      <c r="AP446" s="40">
        <f>(AP443-AP444)*$H$44</f>
        <v/>
      </c>
      <c r="AQ446" s="40">
        <f>(AQ443-AQ444)*$H$44</f>
        <v/>
      </c>
      <c r="AR446" s="40">
        <f>(AR443-AR444)*$H$44</f>
        <v/>
      </c>
      <c r="AS446" s="40">
        <f>(AS443-AS444)*$H$44</f>
        <v/>
      </c>
      <c r="AT446" s="40">
        <f>(AT443-AT444)*$H$44</f>
        <v/>
      </c>
      <c r="AU446" s="40">
        <f>(AU443-AU444)*$H$44</f>
        <v/>
      </c>
      <c r="AV446" s="40">
        <f>(AV443-AV444)*$H$44</f>
        <v/>
      </c>
      <c r="AW446" s="40">
        <f>(AW443-AW444)*$H$44</f>
        <v/>
      </c>
      <c r="AX446" s="40">
        <f>(AX443-AX444)*$H$44</f>
        <v/>
      </c>
      <c r="AY446" s="40">
        <f>(AY443-AY444)*$H$44</f>
        <v/>
      </c>
      <c r="AZ446" s="40">
        <f>(AZ443-AZ444)*$H$44</f>
        <v/>
      </c>
      <c r="BA446" s="40">
        <f>(BA443-BA444)*$H$44</f>
        <v/>
      </c>
      <c r="BB446" s="40">
        <f>(BB443-BB444)*$H$44</f>
        <v/>
      </c>
      <c r="BC446" s="40">
        <f>(BC443-BC444)*$H$44</f>
        <v/>
      </c>
      <c r="BD446" s="40">
        <f>(BD443-BD444)*$H$44</f>
        <v/>
      </c>
    </row>
    <row r="447">
      <c r="A447" s="33" t="inlineStr">
        <is>
          <t xml:space="preserve">   leaves the store (offered - returned)</t>
        </is>
      </c>
      <c r="B447" s="2" t="inlineStr">
        <is>
          <t>lb</t>
        </is>
      </c>
      <c r="E447" s="40">
        <f>E443-E446</f>
        <v/>
      </c>
      <c r="F447" s="40">
        <f>F443-F446</f>
        <v/>
      </c>
      <c r="G447" s="40">
        <f>G443-G446</f>
        <v/>
      </c>
      <c r="H447" s="40">
        <f>H443-H446</f>
        <v/>
      </c>
      <c r="I447" s="40">
        <f>I443-I446</f>
        <v/>
      </c>
      <c r="J447" s="40">
        <f>J443-J446</f>
        <v/>
      </c>
      <c r="K447" s="40">
        <f>K443-K446</f>
        <v/>
      </c>
      <c r="L447" s="40">
        <f>L443-L446</f>
        <v/>
      </c>
      <c r="M447" s="40">
        <f>M443-M446</f>
        <v/>
      </c>
      <c r="N447" s="40">
        <f>N443-N446</f>
        <v/>
      </c>
      <c r="O447" s="40">
        <f>O443-O446</f>
        <v/>
      </c>
      <c r="P447" s="40">
        <f>P443-P446</f>
        <v/>
      </c>
      <c r="Q447" s="40">
        <f>Q443-Q446</f>
        <v/>
      </c>
      <c r="R447" s="40">
        <f>R443-R446</f>
        <v/>
      </c>
      <c r="S447" s="40">
        <f>S443-S446</f>
        <v/>
      </c>
      <c r="T447" s="40">
        <f>T443-T446</f>
        <v/>
      </c>
      <c r="U447" s="40">
        <f>U443-U446</f>
        <v/>
      </c>
      <c r="V447" s="40">
        <f>V443-V446</f>
        <v/>
      </c>
      <c r="W447" s="40">
        <f>W443-W446</f>
        <v/>
      </c>
      <c r="X447" s="40">
        <f>X443-X446</f>
        <v/>
      </c>
      <c r="Y447" s="40">
        <f>Y443-Y446</f>
        <v/>
      </c>
      <c r="Z447" s="40">
        <f>Z443-Z446</f>
        <v/>
      </c>
      <c r="AA447" s="40">
        <f>AA443-AA446</f>
        <v/>
      </c>
      <c r="AB447" s="40">
        <f>AB443-AB446</f>
        <v/>
      </c>
      <c r="AC447" s="40">
        <f>AC443-AC446</f>
        <v/>
      </c>
      <c r="AD447" s="40">
        <f>AD443-AD446</f>
        <v/>
      </c>
      <c r="AE447" s="40">
        <f>AE443-AE446</f>
        <v/>
      </c>
      <c r="AF447" s="40">
        <f>AF443-AF446</f>
        <v/>
      </c>
      <c r="AG447" s="40">
        <f>AG443-AG446</f>
        <v/>
      </c>
      <c r="AH447" s="40">
        <f>AH443-AH446</f>
        <v/>
      </c>
      <c r="AI447" s="40">
        <f>AI443-AI446</f>
        <v/>
      </c>
      <c r="AJ447" s="40">
        <f>AJ443-AJ446</f>
        <v/>
      </c>
      <c r="AK447" s="40">
        <f>AK443-AK446</f>
        <v/>
      </c>
      <c r="AL447" s="40">
        <f>AL443-AL446</f>
        <v/>
      </c>
      <c r="AM447" s="40">
        <f>AM443-AM446</f>
        <v/>
      </c>
      <c r="AN447" s="40">
        <f>AN443-AN446</f>
        <v/>
      </c>
      <c r="AO447" s="40">
        <f>AO443-AO446</f>
        <v/>
      </c>
      <c r="AP447" s="40">
        <f>AP443-AP446</f>
        <v/>
      </c>
      <c r="AQ447" s="40">
        <f>AQ443-AQ446</f>
        <v/>
      </c>
      <c r="AR447" s="40">
        <f>AR443-AR446</f>
        <v/>
      </c>
      <c r="AS447" s="40">
        <f>AS443-AS446</f>
        <v/>
      </c>
      <c r="AT447" s="40">
        <f>AT443-AT446</f>
        <v/>
      </c>
      <c r="AU447" s="40">
        <f>AU443-AU446</f>
        <v/>
      </c>
      <c r="AV447" s="40">
        <f>AV443-AV446</f>
        <v/>
      </c>
      <c r="AW447" s="40">
        <f>AW443-AW446</f>
        <v/>
      </c>
      <c r="AX447" s="40">
        <f>AX443-AX446</f>
        <v/>
      </c>
      <c r="AY447" s="40">
        <f>AY443-AY446</f>
        <v/>
      </c>
      <c r="AZ447" s="40">
        <f>AZ443-AZ446</f>
        <v/>
      </c>
      <c r="BA447" s="40">
        <f>BA443-BA446</f>
        <v/>
      </c>
      <c r="BB447" s="40">
        <f>BB443-BB446</f>
        <v/>
      </c>
      <c r="BC447" s="40">
        <f>BC443-BC446</f>
        <v/>
      </c>
      <c r="BD447" s="40">
        <f>BD443-BD446</f>
        <v/>
      </c>
    </row>
    <row r="448">
      <c r="A448" s="43" t="inlineStr">
        <is>
          <t>Wholesale — most you may sell this week</t>
        </is>
      </c>
      <c r="B448" s="2" t="inlineStr">
        <is>
          <t>lb</t>
        </is>
      </c>
      <c r="E448" s="42">
        <f>IF($C$45="Annual",$D$45-0,IF(AND(1&gt;=$E$45,1&lt;=$F$45),$D$45,0))</f>
        <v/>
      </c>
      <c r="F448" s="42">
        <f>IF($C$45="Annual",$D$45-SUM(E450:E450),IF(AND(2&gt;=$E$45,2&lt;=$F$45),$D$45,0))</f>
        <v/>
      </c>
      <c r="G448" s="42">
        <f>IF($C$45="Annual",$D$45-SUM(E450:F450),IF(AND(3&gt;=$E$45,3&lt;=$F$45),$D$45,0))</f>
        <v/>
      </c>
      <c r="H448" s="42">
        <f>IF($C$45="Annual",$D$45-SUM(E450:G450),IF(AND(4&gt;=$E$45,4&lt;=$F$45),$D$45,0))</f>
        <v/>
      </c>
      <c r="I448" s="42">
        <f>IF($C$45="Annual",$D$45-SUM(E450:H450),IF(AND(5&gt;=$E$45,5&lt;=$F$45),$D$45,0))</f>
        <v/>
      </c>
      <c r="J448" s="42">
        <f>IF($C$45="Annual",$D$45-SUM(E450:I450),IF(AND(6&gt;=$E$45,6&lt;=$F$45),$D$45,0))</f>
        <v/>
      </c>
      <c r="K448" s="42">
        <f>IF($C$45="Annual",$D$45-SUM(E450:J450),IF(AND(7&gt;=$E$45,7&lt;=$F$45),$D$45,0))</f>
        <v/>
      </c>
      <c r="L448" s="42">
        <f>IF($C$45="Annual",$D$45-SUM(E450:K450),IF(AND(8&gt;=$E$45,8&lt;=$F$45),$D$45,0))</f>
        <v/>
      </c>
      <c r="M448" s="42">
        <f>IF($C$45="Annual",$D$45-SUM(E450:L450),IF(AND(9&gt;=$E$45,9&lt;=$F$45),$D$45,0))</f>
        <v/>
      </c>
      <c r="N448" s="42">
        <f>IF($C$45="Annual",$D$45-SUM(E450:M450),IF(AND(10&gt;=$E$45,10&lt;=$F$45),$D$45,0))</f>
        <v/>
      </c>
      <c r="O448" s="42">
        <f>IF($C$45="Annual",$D$45-SUM(E450:N450),IF(AND(11&gt;=$E$45,11&lt;=$F$45),$D$45,0))</f>
        <v/>
      </c>
      <c r="P448" s="42">
        <f>IF($C$45="Annual",$D$45-SUM(E450:O450),IF(AND(12&gt;=$E$45,12&lt;=$F$45),$D$45,0))</f>
        <v/>
      </c>
      <c r="Q448" s="42">
        <f>IF($C$45="Annual",$D$45-SUM(E450:P450),IF(AND(13&gt;=$E$45,13&lt;=$F$45),$D$45,0))</f>
        <v/>
      </c>
      <c r="R448" s="42">
        <f>IF($C$45="Annual",$D$45-SUM(E450:Q450),IF(AND(14&gt;=$E$45,14&lt;=$F$45),$D$45,0))</f>
        <v/>
      </c>
      <c r="S448" s="42">
        <f>IF($C$45="Annual",$D$45-SUM(E450:R450),IF(AND(15&gt;=$E$45,15&lt;=$F$45),$D$45,0))</f>
        <v/>
      </c>
      <c r="T448" s="42">
        <f>IF($C$45="Annual",$D$45-SUM(E450:S450),IF(AND(16&gt;=$E$45,16&lt;=$F$45),$D$45,0))</f>
        <v/>
      </c>
      <c r="U448" s="42">
        <f>IF($C$45="Annual",$D$45-SUM(E450:T450),IF(AND(17&gt;=$E$45,17&lt;=$F$45),$D$45,0))</f>
        <v/>
      </c>
      <c r="V448" s="42">
        <f>IF($C$45="Annual",$D$45-SUM(E450:U450),IF(AND(18&gt;=$E$45,18&lt;=$F$45),$D$45,0))</f>
        <v/>
      </c>
      <c r="W448" s="42">
        <f>IF($C$45="Annual",$D$45-SUM(E450:V450),IF(AND(19&gt;=$E$45,19&lt;=$F$45),$D$45,0))</f>
        <v/>
      </c>
      <c r="X448" s="42">
        <f>IF($C$45="Annual",$D$45-SUM(E450:W450),IF(AND(20&gt;=$E$45,20&lt;=$F$45),$D$45,0))</f>
        <v/>
      </c>
      <c r="Y448" s="42">
        <f>IF($C$45="Annual",$D$45-SUM(E450:X450),IF(AND(21&gt;=$E$45,21&lt;=$F$45),$D$45,0))</f>
        <v/>
      </c>
      <c r="Z448" s="42">
        <f>IF($C$45="Annual",$D$45-SUM(E450:Y450),IF(AND(22&gt;=$E$45,22&lt;=$F$45),$D$45,0))</f>
        <v/>
      </c>
      <c r="AA448" s="42">
        <f>IF($C$45="Annual",$D$45-SUM(E450:Z450),IF(AND(23&gt;=$E$45,23&lt;=$F$45),$D$45,0))</f>
        <v/>
      </c>
      <c r="AB448" s="42">
        <f>IF($C$45="Annual",$D$45-SUM(E450:AA450),IF(AND(24&gt;=$E$45,24&lt;=$F$45),$D$45,0))</f>
        <v/>
      </c>
      <c r="AC448" s="42">
        <f>IF($C$45="Annual",$D$45-SUM(E450:AB450),IF(AND(25&gt;=$E$45,25&lt;=$F$45),$D$45,0))</f>
        <v/>
      </c>
      <c r="AD448" s="42">
        <f>IF($C$45="Annual",$D$45-SUM(E450:AC450),IF(AND(26&gt;=$E$45,26&lt;=$F$45),$D$45,0))</f>
        <v/>
      </c>
      <c r="AE448" s="42">
        <f>IF($C$45="Annual",$D$45-SUM(E450:AD450),IF(AND(27&gt;=$E$45,27&lt;=$F$45),$D$45,0))</f>
        <v/>
      </c>
      <c r="AF448" s="42">
        <f>IF($C$45="Annual",$D$45-SUM(E450:AE450),IF(AND(28&gt;=$E$45,28&lt;=$F$45),$D$45,0))</f>
        <v/>
      </c>
      <c r="AG448" s="42">
        <f>IF($C$45="Annual",$D$45-SUM(E450:AF450),IF(AND(29&gt;=$E$45,29&lt;=$F$45),$D$45,0))</f>
        <v/>
      </c>
      <c r="AH448" s="42">
        <f>IF($C$45="Annual",$D$45-SUM(E450:AG450),IF(AND(30&gt;=$E$45,30&lt;=$F$45),$D$45,0))</f>
        <v/>
      </c>
      <c r="AI448" s="42">
        <f>IF($C$45="Annual",$D$45-SUM(E450:AH450),IF(AND(31&gt;=$E$45,31&lt;=$F$45),$D$45,0))</f>
        <v/>
      </c>
      <c r="AJ448" s="42">
        <f>IF($C$45="Annual",$D$45-SUM(E450:AI450),IF(AND(32&gt;=$E$45,32&lt;=$F$45),$D$45,0))</f>
        <v/>
      </c>
      <c r="AK448" s="42">
        <f>IF($C$45="Annual",$D$45-SUM(E450:AJ450),IF(AND(33&gt;=$E$45,33&lt;=$F$45),$D$45,0))</f>
        <v/>
      </c>
      <c r="AL448" s="42">
        <f>IF($C$45="Annual",$D$45-SUM(E450:AK450),IF(AND(34&gt;=$E$45,34&lt;=$F$45),$D$45,0))</f>
        <v/>
      </c>
      <c r="AM448" s="42">
        <f>IF($C$45="Annual",$D$45-SUM(E450:AL450),IF(AND(35&gt;=$E$45,35&lt;=$F$45),$D$45,0))</f>
        <v/>
      </c>
      <c r="AN448" s="42">
        <f>IF($C$45="Annual",$D$45-SUM(E450:AM450),IF(AND(36&gt;=$E$45,36&lt;=$F$45),$D$45,0))</f>
        <v/>
      </c>
      <c r="AO448" s="42">
        <f>IF($C$45="Annual",$D$45-SUM(E450:AN450),IF(AND(37&gt;=$E$45,37&lt;=$F$45),$D$45,0))</f>
        <v/>
      </c>
      <c r="AP448" s="42">
        <f>IF($C$45="Annual",$D$45-SUM(E450:AO450),IF(AND(38&gt;=$E$45,38&lt;=$F$45),$D$45,0))</f>
        <v/>
      </c>
      <c r="AQ448" s="42">
        <f>IF($C$45="Annual",$D$45-SUM(E450:AP450),IF(AND(39&gt;=$E$45,39&lt;=$F$45),$D$45,0))</f>
        <v/>
      </c>
      <c r="AR448" s="42">
        <f>IF($C$45="Annual",$D$45-SUM(E450:AQ450),IF(AND(40&gt;=$E$45,40&lt;=$F$45),$D$45,0))</f>
        <v/>
      </c>
      <c r="AS448" s="42">
        <f>IF($C$45="Annual",$D$45-SUM(E450:AR450),IF(AND(41&gt;=$E$45,41&lt;=$F$45),$D$45,0))</f>
        <v/>
      </c>
      <c r="AT448" s="42">
        <f>IF($C$45="Annual",$D$45-SUM(E450:AS450),IF(AND(42&gt;=$E$45,42&lt;=$F$45),$D$45,0))</f>
        <v/>
      </c>
      <c r="AU448" s="42">
        <f>IF($C$45="Annual",$D$45-SUM(E450:AT450),IF(AND(43&gt;=$E$45,43&lt;=$F$45),$D$45,0))</f>
        <v/>
      </c>
      <c r="AV448" s="42">
        <f>IF($C$45="Annual",$D$45-SUM(E450:AU450),IF(AND(44&gt;=$E$45,44&lt;=$F$45),$D$45,0))</f>
        <v/>
      </c>
      <c r="AW448" s="42">
        <f>IF($C$45="Annual",$D$45-SUM(E450:AV450),IF(AND(45&gt;=$E$45,45&lt;=$F$45),$D$45,0))</f>
        <v/>
      </c>
      <c r="AX448" s="42">
        <f>IF($C$45="Annual",$D$45-SUM(E450:AW450),IF(AND(46&gt;=$E$45,46&lt;=$F$45),$D$45,0))</f>
        <v/>
      </c>
      <c r="AY448" s="42">
        <f>IF($C$45="Annual",$D$45-SUM(E450:AX450),IF(AND(47&gt;=$E$45,47&lt;=$F$45),$D$45,0))</f>
        <v/>
      </c>
      <c r="AZ448" s="42">
        <f>IF($C$45="Annual",$D$45-SUM(E450:AY450),IF(AND(48&gt;=$E$45,48&lt;=$F$45),$D$45,0))</f>
        <v/>
      </c>
      <c r="BA448" s="42">
        <f>IF($C$45="Annual",$D$45-SUM(E450:AZ450),IF(AND(49&gt;=$E$45,49&lt;=$F$45),$D$45,0))</f>
        <v/>
      </c>
      <c r="BB448" s="42">
        <f>IF($C$45="Annual",$D$45-SUM(E450:BA450),IF(AND(50&gt;=$E$45,50&lt;=$F$45),$D$45,0))</f>
        <v/>
      </c>
      <c r="BC448" s="42">
        <f>IF($C$45="Annual",$D$45-SUM(E450:BB450),IF(AND(51&gt;=$E$45,51&lt;=$F$45),$D$45,0))</f>
        <v/>
      </c>
      <c r="BD448" s="42">
        <f>IF($C$45="Annual",$D$45-SUM(E450:BC450),IF(AND(52&gt;=$E$45,52&lt;=$F$45),$D$45,0))</f>
        <v/>
      </c>
    </row>
    <row r="449">
      <c r="A449" s="32" t="inlineStr">
        <is>
          <t>Wholesale — OFFERED</t>
        </is>
      </c>
      <c r="B449" s="2" t="inlineStr">
        <is>
          <t>lb  &lt;-- SOLVER</t>
        </is>
      </c>
      <c r="E449" s="39" t="n">
        <v>0</v>
      </c>
      <c r="F449" s="39" t="n">
        <v>0</v>
      </c>
      <c r="G449" s="39" t="n">
        <v>0</v>
      </c>
      <c r="H449" s="39" t="n">
        <v>0</v>
      </c>
      <c r="I449" s="39" t="n">
        <v>0</v>
      </c>
      <c r="J449" s="39" t="n">
        <v>0</v>
      </c>
      <c r="K449" s="39" t="n">
        <v>0</v>
      </c>
      <c r="L449" s="39" t="n">
        <v>0</v>
      </c>
      <c r="M449" s="39" t="n">
        <v>0</v>
      </c>
      <c r="N449" s="39" t="n">
        <v>0</v>
      </c>
      <c r="O449" s="39" t="n">
        <v>0</v>
      </c>
      <c r="P449" s="39" t="n">
        <v>0</v>
      </c>
      <c r="Q449" s="39" t="n">
        <v>0</v>
      </c>
      <c r="R449" s="39" t="n">
        <v>0</v>
      </c>
      <c r="S449" s="39" t="n">
        <v>0</v>
      </c>
      <c r="T449" s="39" t="n">
        <v>0</v>
      </c>
      <c r="U449" s="39" t="n">
        <v>0</v>
      </c>
      <c r="V449" s="39" t="n">
        <v>0</v>
      </c>
      <c r="W449" s="39" t="n">
        <v>0</v>
      </c>
      <c r="X449" s="39" t="n">
        <v>0</v>
      </c>
      <c r="Y449" s="39" t="n">
        <v>0</v>
      </c>
      <c r="Z449" s="39" t="n">
        <v>0</v>
      </c>
      <c r="AA449" s="39" t="n">
        <v>0</v>
      </c>
      <c r="AB449" s="39" t="n">
        <v>0</v>
      </c>
      <c r="AC449" s="39" t="n">
        <v>0</v>
      </c>
      <c r="AD449" s="39" t="n">
        <v>0</v>
      </c>
      <c r="AE449" s="39" t="n">
        <v>0</v>
      </c>
      <c r="AF449" s="39" t="n">
        <v>0</v>
      </c>
      <c r="AG449" s="39" t="n">
        <v>0</v>
      </c>
      <c r="AH449" s="39" t="n">
        <v>0</v>
      </c>
      <c r="AI449" s="39" t="n">
        <v>0</v>
      </c>
      <c r="AJ449" s="39" t="n">
        <v>0</v>
      </c>
      <c r="AK449" s="39" t="n">
        <v>0</v>
      </c>
      <c r="AL449" s="39" t="n">
        <v>0</v>
      </c>
      <c r="AM449" s="39" t="n">
        <v>0</v>
      </c>
      <c r="AN449" s="39" t="n">
        <v>0</v>
      </c>
      <c r="AO449" s="39" t="n">
        <v>0</v>
      </c>
      <c r="AP449" s="39" t="n">
        <v>0</v>
      </c>
      <c r="AQ449" s="39" t="n">
        <v>0</v>
      </c>
      <c r="AR449" s="39" t="n">
        <v>0</v>
      </c>
      <c r="AS449" s="39" t="n">
        <v>0</v>
      </c>
      <c r="AT449" s="39" t="n">
        <v>0</v>
      </c>
      <c r="AU449" s="39" t="n">
        <v>0</v>
      </c>
      <c r="AV449" s="39" t="n">
        <v>0</v>
      </c>
      <c r="AW449" s="39" t="n">
        <v>0</v>
      </c>
      <c r="AX449" s="39" t="n">
        <v>0</v>
      </c>
      <c r="AY449" s="39" t="n">
        <v>0</v>
      </c>
      <c r="AZ449" s="39" t="n">
        <v>0</v>
      </c>
      <c r="BA449" s="39" t="n">
        <v>0</v>
      </c>
      <c r="BB449" s="39" t="n">
        <v>0</v>
      </c>
      <c r="BC449" s="39" t="n">
        <v>0</v>
      </c>
      <c r="BD449" s="39" t="n">
        <v>0</v>
      </c>
    </row>
    <row r="450">
      <c r="A450" s="56" t="inlineStr">
        <is>
          <t>Wholesale — SOLD</t>
        </is>
      </c>
      <c r="B450" s="2" t="inlineStr">
        <is>
          <t>lb</t>
        </is>
      </c>
      <c r="E450" s="57">
        <f>E449*$G$45</f>
        <v/>
      </c>
      <c r="F450" s="57">
        <f>F449*$G$45</f>
        <v/>
      </c>
      <c r="G450" s="57">
        <f>G449*$G$45</f>
        <v/>
      </c>
      <c r="H450" s="57">
        <f>H449*$G$45</f>
        <v/>
      </c>
      <c r="I450" s="57">
        <f>I449*$G$45</f>
        <v/>
      </c>
      <c r="J450" s="57">
        <f>J449*$G$45</f>
        <v/>
      </c>
      <c r="K450" s="57">
        <f>K449*$G$45</f>
        <v/>
      </c>
      <c r="L450" s="57">
        <f>L449*$G$45</f>
        <v/>
      </c>
      <c r="M450" s="57">
        <f>M449*$G$45</f>
        <v/>
      </c>
      <c r="N450" s="57">
        <f>N449*$G$45</f>
        <v/>
      </c>
      <c r="O450" s="57">
        <f>O449*$G$45</f>
        <v/>
      </c>
      <c r="P450" s="57">
        <f>P449*$G$45</f>
        <v/>
      </c>
      <c r="Q450" s="57">
        <f>Q449*$G$45</f>
        <v/>
      </c>
      <c r="R450" s="57">
        <f>R449*$G$45</f>
        <v/>
      </c>
      <c r="S450" s="57">
        <f>S449*$G$45</f>
        <v/>
      </c>
      <c r="T450" s="57">
        <f>T449*$G$45</f>
        <v/>
      </c>
      <c r="U450" s="57">
        <f>U449*$G$45</f>
        <v/>
      </c>
      <c r="V450" s="57">
        <f>V449*$G$45</f>
        <v/>
      </c>
      <c r="W450" s="57">
        <f>W449*$G$45</f>
        <v/>
      </c>
      <c r="X450" s="57">
        <f>X449*$G$45</f>
        <v/>
      </c>
      <c r="Y450" s="57">
        <f>Y449*$G$45</f>
        <v/>
      </c>
      <c r="Z450" s="57">
        <f>Z449*$G$45</f>
        <v/>
      </c>
      <c r="AA450" s="57">
        <f>AA449*$G$45</f>
        <v/>
      </c>
      <c r="AB450" s="57">
        <f>AB449*$G$45</f>
        <v/>
      </c>
      <c r="AC450" s="57">
        <f>AC449*$G$45</f>
        <v/>
      </c>
      <c r="AD450" s="57">
        <f>AD449*$G$45</f>
        <v/>
      </c>
      <c r="AE450" s="57">
        <f>AE449*$G$45</f>
        <v/>
      </c>
      <c r="AF450" s="57">
        <f>AF449*$G$45</f>
        <v/>
      </c>
      <c r="AG450" s="57">
        <f>AG449*$G$45</f>
        <v/>
      </c>
      <c r="AH450" s="57">
        <f>AH449*$G$45</f>
        <v/>
      </c>
      <c r="AI450" s="57">
        <f>AI449*$G$45</f>
        <v/>
      </c>
      <c r="AJ450" s="57">
        <f>AJ449*$G$45</f>
        <v/>
      </c>
      <c r="AK450" s="57">
        <f>AK449*$G$45</f>
        <v/>
      </c>
      <c r="AL450" s="57">
        <f>AL449*$G$45</f>
        <v/>
      </c>
      <c r="AM450" s="57">
        <f>AM449*$G$45</f>
        <v/>
      </c>
      <c r="AN450" s="57">
        <f>AN449*$G$45</f>
        <v/>
      </c>
      <c r="AO450" s="57">
        <f>AO449*$G$45</f>
        <v/>
      </c>
      <c r="AP450" s="57">
        <f>AP449*$G$45</f>
        <v/>
      </c>
      <c r="AQ450" s="57">
        <f>AQ449*$G$45</f>
        <v/>
      </c>
      <c r="AR450" s="57">
        <f>AR449*$G$45</f>
        <v/>
      </c>
      <c r="AS450" s="57">
        <f>AS449*$G$45</f>
        <v/>
      </c>
      <c r="AT450" s="57">
        <f>AT449*$G$45</f>
        <v/>
      </c>
      <c r="AU450" s="57">
        <f>AU449*$G$45</f>
        <v/>
      </c>
      <c r="AV450" s="57">
        <f>AV449*$G$45</f>
        <v/>
      </c>
      <c r="AW450" s="57">
        <f>AW449*$G$45</f>
        <v/>
      </c>
      <c r="AX450" s="57">
        <f>AX449*$G$45</f>
        <v/>
      </c>
      <c r="AY450" s="57">
        <f>AY449*$G$45</f>
        <v/>
      </c>
      <c r="AZ450" s="57">
        <f>AZ449*$G$45</f>
        <v/>
      </c>
      <c r="BA450" s="57">
        <f>BA449*$G$45</f>
        <v/>
      </c>
      <c r="BB450" s="57">
        <f>BB449*$G$45</f>
        <v/>
      </c>
      <c r="BC450" s="57">
        <f>BC449*$G$45</f>
        <v/>
      </c>
      <c r="BD450" s="57">
        <f>BD449*$G$45</f>
        <v/>
      </c>
    </row>
    <row r="451">
      <c r="A451" s="33" t="inlineStr">
        <is>
          <t xml:space="preserve">   market loss (gone)</t>
        </is>
      </c>
      <c r="B451" s="2" t="inlineStr">
        <is>
          <t>lb</t>
        </is>
      </c>
      <c r="E451" s="40">
        <f>(E449-E450)*(1-$H$45)</f>
        <v/>
      </c>
      <c r="F451" s="40">
        <f>(F449-F450)*(1-$H$45)</f>
        <v/>
      </c>
      <c r="G451" s="40">
        <f>(G449-G450)*(1-$H$45)</f>
        <v/>
      </c>
      <c r="H451" s="40">
        <f>(H449-H450)*(1-$H$45)</f>
        <v/>
      </c>
      <c r="I451" s="40">
        <f>(I449-I450)*(1-$H$45)</f>
        <v/>
      </c>
      <c r="J451" s="40">
        <f>(J449-J450)*(1-$H$45)</f>
        <v/>
      </c>
      <c r="K451" s="40">
        <f>(K449-K450)*(1-$H$45)</f>
        <v/>
      </c>
      <c r="L451" s="40">
        <f>(L449-L450)*(1-$H$45)</f>
        <v/>
      </c>
      <c r="M451" s="40">
        <f>(M449-M450)*(1-$H$45)</f>
        <v/>
      </c>
      <c r="N451" s="40">
        <f>(N449-N450)*(1-$H$45)</f>
        <v/>
      </c>
      <c r="O451" s="40">
        <f>(O449-O450)*(1-$H$45)</f>
        <v/>
      </c>
      <c r="P451" s="40">
        <f>(P449-P450)*(1-$H$45)</f>
        <v/>
      </c>
      <c r="Q451" s="40">
        <f>(Q449-Q450)*(1-$H$45)</f>
        <v/>
      </c>
      <c r="R451" s="40">
        <f>(R449-R450)*(1-$H$45)</f>
        <v/>
      </c>
      <c r="S451" s="40">
        <f>(S449-S450)*(1-$H$45)</f>
        <v/>
      </c>
      <c r="T451" s="40">
        <f>(T449-T450)*(1-$H$45)</f>
        <v/>
      </c>
      <c r="U451" s="40">
        <f>(U449-U450)*(1-$H$45)</f>
        <v/>
      </c>
      <c r="V451" s="40">
        <f>(V449-V450)*(1-$H$45)</f>
        <v/>
      </c>
      <c r="W451" s="40">
        <f>(W449-W450)*(1-$H$45)</f>
        <v/>
      </c>
      <c r="X451" s="40">
        <f>(X449-X450)*(1-$H$45)</f>
        <v/>
      </c>
      <c r="Y451" s="40">
        <f>(Y449-Y450)*(1-$H$45)</f>
        <v/>
      </c>
      <c r="Z451" s="40">
        <f>(Z449-Z450)*(1-$H$45)</f>
        <v/>
      </c>
      <c r="AA451" s="40">
        <f>(AA449-AA450)*(1-$H$45)</f>
        <v/>
      </c>
      <c r="AB451" s="40">
        <f>(AB449-AB450)*(1-$H$45)</f>
        <v/>
      </c>
      <c r="AC451" s="40">
        <f>(AC449-AC450)*(1-$H$45)</f>
        <v/>
      </c>
      <c r="AD451" s="40">
        <f>(AD449-AD450)*(1-$H$45)</f>
        <v/>
      </c>
      <c r="AE451" s="40">
        <f>(AE449-AE450)*(1-$H$45)</f>
        <v/>
      </c>
      <c r="AF451" s="40">
        <f>(AF449-AF450)*(1-$H$45)</f>
        <v/>
      </c>
      <c r="AG451" s="40">
        <f>(AG449-AG450)*(1-$H$45)</f>
        <v/>
      </c>
      <c r="AH451" s="40">
        <f>(AH449-AH450)*(1-$H$45)</f>
        <v/>
      </c>
      <c r="AI451" s="40">
        <f>(AI449-AI450)*(1-$H$45)</f>
        <v/>
      </c>
      <c r="AJ451" s="40">
        <f>(AJ449-AJ450)*(1-$H$45)</f>
        <v/>
      </c>
      <c r="AK451" s="40">
        <f>(AK449-AK450)*(1-$H$45)</f>
        <v/>
      </c>
      <c r="AL451" s="40">
        <f>(AL449-AL450)*(1-$H$45)</f>
        <v/>
      </c>
      <c r="AM451" s="40">
        <f>(AM449-AM450)*(1-$H$45)</f>
        <v/>
      </c>
      <c r="AN451" s="40">
        <f>(AN449-AN450)*(1-$H$45)</f>
        <v/>
      </c>
      <c r="AO451" s="40">
        <f>(AO449-AO450)*(1-$H$45)</f>
        <v/>
      </c>
      <c r="AP451" s="40">
        <f>(AP449-AP450)*(1-$H$45)</f>
        <v/>
      </c>
      <c r="AQ451" s="40">
        <f>(AQ449-AQ450)*(1-$H$45)</f>
        <v/>
      </c>
      <c r="AR451" s="40">
        <f>(AR449-AR450)*(1-$H$45)</f>
        <v/>
      </c>
      <c r="AS451" s="40">
        <f>(AS449-AS450)*(1-$H$45)</f>
        <v/>
      </c>
      <c r="AT451" s="40">
        <f>(AT449-AT450)*(1-$H$45)</f>
        <v/>
      </c>
      <c r="AU451" s="40">
        <f>(AU449-AU450)*(1-$H$45)</f>
        <v/>
      </c>
      <c r="AV451" s="40">
        <f>(AV449-AV450)*(1-$H$45)</f>
        <v/>
      </c>
      <c r="AW451" s="40">
        <f>(AW449-AW450)*(1-$H$45)</f>
        <v/>
      </c>
      <c r="AX451" s="40">
        <f>(AX449-AX450)*(1-$H$45)</f>
        <v/>
      </c>
      <c r="AY451" s="40">
        <f>(AY449-AY450)*(1-$H$45)</f>
        <v/>
      </c>
      <c r="AZ451" s="40">
        <f>(AZ449-AZ450)*(1-$H$45)</f>
        <v/>
      </c>
      <c r="BA451" s="40">
        <f>(BA449-BA450)*(1-$H$45)</f>
        <v/>
      </c>
      <c r="BB451" s="40">
        <f>(BB449-BB450)*(1-$H$45)</f>
        <v/>
      </c>
      <c r="BC451" s="40">
        <f>(BC449-BC450)*(1-$H$45)</f>
        <v/>
      </c>
      <c r="BD451" s="40">
        <f>(BD449-BD450)*(1-$H$45)</f>
        <v/>
      </c>
    </row>
    <row r="452">
      <c r="A452" s="33" t="inlineStr">
        <is>
          <t xml:space="preserve">   returned to store</t>
        </is>
      </c>
      <c r="B452" s="2" t="inlineStr">
        <is>
          <t>lb</t>
        </is>
      </c>
      <c r="E452" s="40">
        <f>(E449-E450)*$H$45</f>
        <v/>
      </c>
      <c r="F452" s="40">
        <f>(F449-F450)*$H$45</f>
        <v/>
      </c>
      <c r="G452" s="40">
        <f>(G449-G450)*$H$45</f>
        <v/>
      </c>
      <c r="H452" s="40">
        <f>(H449-H450)*$H$45</f>
        <v/>
      </c>
      <c r="I452" s="40">
        <f>(I449-I450)*$H$45</f>
        <v/>
      </c>
      <c r="J452" s="40">
        <f>(J449-J450)*$H$45</f>
        <v/>
      </c>
      <c r="K452" s="40">
        <f>(K449-K450)*$H$45</f>
        <v/>
      </c>
      <c r="L452" s="40">
        <f>(L449-L450)*$H$45</f>
        <v/>
      </c>
      <c r="M452" s="40">
        <f>(M449-M450)*$H$45</f>
        <v/>
      </c>
      <c r="N452" s="40">
        <f>(N449-N450)*$H$45</f>
        <v/>
      </c>
      <c r="O452" s="40">
        <f>(O449-O450)*$H$45</f>
        <v/>
      </c>
      <c r="P452" s="40">
        <f>(P449-P450)*$H$45</f>
        <v/>
      </c>
      <c r="Q452" s="40">
        <f>(Q449-Q450)*$H$45</f>
        <v/>
      </c>
      <c r="R452" s="40">
        <f>(R449-R450)*$H$45</f>
        <v/>
      </c>
      <c r="S452" s="40">
        <f>(S449-S450)*$H$45</f>
        <v/>
      </c>
      <c r="T452" s="40">
        <f>(T449-T450)*$H$45</f>
        <v/>
      </c>
      <c r="U452" s="40">
        <f>(U449-U450)*$H$45</f>
        <v/>
      </c>
      <c r="V452" s="40">
        <f>(V449-V450)*$H$45</f>
        <v/>
      </c>
      <c r="W452" s="40">
        <f>(W449-W450)*$H$45</f>
        <v/>
      </c>
      <c r="X452" s="40">
        <f>(X449-X450)*$H$45</f>
        <v/>
      </c>
      <c r="Y452" s="40">
        <f>(Y449-Y450)*$H$45</f>
        <v/>
      </c>
      <c r="Z452" s="40">
        <f>(Z449-Z450)*$H$45</f>
        <v/>
      </c>
      <c r="AA452" s="40">
        <f>(AA449-AA450)*$H$45</f>
        <v/>
      </c>
      <c r="AB452" s="40">
        <f>(AB449-AB450)*$H$45</f>
        <v/>
      </c>
      <c r="AC452" s="40">
        <f>(AC449-AC450)*$H$45</f>
        <v/>
      </c>
      <c r="AD452" s="40">
        <f>(AD449-AD450)*$H$45</f>
        <v/>
      </c>
      <c r="AE452" s="40">
        <f>(AE449-AE450)*$H$45</f>
        <v/>
      </c>
      <c r="AF452" s="40">
        <f>(AF449-AF450)*$H$45</f>
        <v/>
      </c>
      <c r="AG452" s="40">
        <f>(AG449-AG450)*$H$45</f>
        <v/>
      </c>
      <c r="AH452" s="40">
        <f>(AH449-AH450)*$H$45</f>
        <v/>
      </c>
      <c r="AI452" s="40">
        <f>(AI449-AI450)*$H$45</f>
        <v/>
      </c>
      <c r="AJ452" s="40">
        <f>(AJ449-AJ450)*$H$45</f>
        <v/>
      </c>
      <c r="AK452" s="40">
        <f>(AK449-AK450)*$H$45</f>
        <v/>
      </c>
      <c r="AL452" s="40">
        <f>(AL449-AL450)*$H$45</f>
        <v/>
      </c>
      <c r="AM452" s="40">
        <f>(AM449-AM450)*$H$45</f>
        <v/>
      </c>
      <c r="AN452" s="40">
        <f>(AN449-AN450)*$H$45</f>
        <v/>
      </c>
      <c r="AO452" s="40">
        <f>(AO449-AO450)*$H$45</f>
        <v/>
      </c>
      <c r="AP452" s="40">
        <f>(AP449-AP450)*$H$45</f>
        <v/>
      </c>
      <c r="AQ452" s="40">
        <f>(AQ449-AQ450)*$H$45</f>
        <v/>
      </c>
      <c r="AR452" s="40">
        <f>(AR449-AR450)*$H$45</f>
        <v/>
      </c>
      <c r="AS452" s="40">
        <f>(AS449-AS450)*$H$45</f>
        <v/>
      </c>
      <c r="AT452" s="40">
        <f>(AT449-AT450)*$H$45</f>
        <v/>
      </c>
      <c r="AU452" s="40">
        <f>(AU449-AU450)*$H$45</f>
        <v/>
      </c>
      <c r="AV452" s="40">
        <f>(AV449-AV450)*$H$45</f>
        <v/>
      </c>
      <c r="AW452" s="40">
        <f>(AW449-AW450)*$H$45</f>
        <v/>
      </c>
      <c r="AX452" s="40">
        <f>(AX449-AX450)*$H$45</f>
        <v/>
      </c>
      <c r="AY452" s="40">
        <f>(AY449-AY450)*$H$45</f>
        <v/>
      </c>
      <c r="AZ452" s="40">
        <f>(AZ449-AZ450)*$H$45</f>
        <v/>
      </c>
      <c r="BA452" s="40">
        <f>(BA449-BA450)*$H$45</f>
        <v/>
      </c>
      <c r="BB452" s="40">
        <f>(BB449-BB450)*$H$45</f>
        <v/>
      </c>
      <c r="BC452" s="40">
        <f>(BC449-BC450)*$H$45</f>
        <v/>
      </c>
      <c r="BD452" s="40">
        <f>(BD449-BD450)*$H$45</f>
        <v/>
      </c>
    </row>
    <row r="453">
      <c r="A453" s="33" t="inlineStr">
        <is>
          <t xml:space="preserve">   leaves the store (offered - returned)</t>
        </is>
      </c>
      <c r="B453" s="2" t="inlineStr">
        <is>
          <t>lb</t>
        </is>
      </c>
      <c r="E453" s="40">
        <f>E449-E452</f>
        <v/>
      </c>
      <c r="F453" s="40">
        <f>F449-F452</f>
        <v/>
      </c>
      <c r="G453" s="40">
        <f>G449-G452</f>
        <v/>
      </c>
      <c r="H453" s="40">
        <f>H449-H452</f>
        <v/>
      </c>
      <c r="I453" s="40">
        <f>I449-I452</f>
        <v/>
      </c>
      <c r="J453" s="40">
        <f>J449-J452</f>
        <v/>
      </c>
      <c r="K453" s="40">
        <f>K449-K452</f>
        <v/>
      </c>
      <c r="L453" s="40">
        <f>L449-L452</f>
        <v/>
      </c>
      <c r="M453" s="40">
        <f>M449-M452</f>
        <v/>
      </c>
      <c r="N453" s="40">
        <f>N449-N452</f>
        <v/>
      </c>
      <c r="O453" s="40">
        <f>O449-O452</f>
        <v/>
      </c>
      <c r="P453" s="40">
        <f>P449-P452</f>
        <v/>
      </c>
      <c r="Q453" s="40">
        <f>Q449-Q452</f>
        <v/>
      </c>
      <c r="R453" s="40">
        <f>R449-R452</f>
        <v/>
      </c>
      <c r="S453" s="40">
        <f>S449-S452</f>
        <v/>
      </c>
      <c r="T453" s="40">
        <f>T449-T452</f>
        <v/>
      </c>
      <c r="U453" s="40">
        <f>U449-U452</f>
        <v/>
      </c>
      <c r="V453" s="40">
        <f>V449-V452</f>
        <v/>
      </c>
      <c r="W453" s="40">
        <f>W449-W452</f>
        <v/>
      </c>
      <c r="X453" s="40">
        <f>X449-X452</f>
        <v/>
      </c>
      <c r="Y453" s="40">
        <f>Y449-Y452</f>
        <v/>
      </c>
      <c r="Z453" s="40">
        <f>Z449-Z452</f>
        <v/>
      </c>
      <c r="AA453" s="40">
        <f>AA449-AA452</f>
        <v/>
      </c>
      <c r="AB453" s="40">
        <f>AB449-AB452</f>
        <v/>
      </c>
      <c r="AC453" s="40">
        <f>AC449-AC452</f>
        <v/>
      </c>
      <c r="AD453" s="40">
        <f>AD449-AD452</f>
        <v/>
      </c>
      <c r="AE453" s="40">
        <f>AE449-AE452</f>
        <v/>
      </c>
      <c r="AF453" s="40">
        <f>AF449-AF452</f>
        <v/>
      </c>
      <c r="AG453" s="40">
        <f>AG449-AG452</f>
        <v/>
      </c>
      <c r="AH453" s="40">
        <f>AH449-AH452</f>
        <v/>
      </c>
      <c r="AI453" s="40">
        <f>AI449-AI452</f>
        <v/>
      </c>
      <c r="AJ453" s="40">
        <f>AJ449-AJ452</f>
        <v/>
      </c>
      <c r="AK453" s="40">
        <f>AK449-AK452</f>
        <v/>
      </c>
      <c r="AL453" s="40">
        <f>AL449-AL452</f>
        <v/>
      </c>
      <c r="AM453" s="40">
        <f>AM449-AM452</f>
        <v/>
      </c>
      <c r="AN453" s="40">
        <f>AN449-AN452</f>
        <v/>
      </c>
      <c r="AO453" s="40">
        <f>AO449-AO452</f>
        <v/>
      </c>
      <c r="AP453" s="40">
        <f>AP449-AP452</f>
        <v/>
      </c>
      <c r="AQ453" s="40">
        <f>AQ449-AQ452</f>
        <v/>
      </c>
      <c r="AR453" s="40">
        <f>AR449-AR452</f>
        <v/>
      </c>
      <c r="AS453" s="40">
        <f>AS449-AS452</f>
        <v/>
      </c>
      <c r="AT453" s="40">
        <f>AT449-AT452</f>
        <v/>
      </c>
      <c r="AU453" s="40">
        <f>AU449-AU452</f>
        <v/>
      </c>
      <c r="AV453" s="40">
        <f>AV449-AV452</f>
        <v/>
      </c>
      <c r="AW453" s="40">
        <f>AW449-AW452</f>
        <v/>
      </c>
      <c r="AX453" s="40">
        <f>AX449-AX452</f>
        <v/>
      </c>
      <c r="AY453" s="40">
        <f>AY449-AY452</f>
        <v/>
      </c>
      <c r="AZ453" s="40">
        <f>AZ449-AZ452</f>
        <v/>
      </c>
      <c r="BA453" s="40">
        <f>BA449-BA452</f>
        <v/>
      </c>
      <c r="BB453" s="40">
        <f>BB449-BB452</f>
        <v/>
      </c>
      <c r="BC453" s="40">
        <f>BC449-BC452</f>
        <v/>
      </c>
      <c r="BD453" s="40">
        <f>BD449-BD452</f>
        <v/>
      </c>
    </row>
    <row r="454">
      <c r="A454" s="41" t="inlineStr">
        <is>
          <t>Stock carried out</t>
        </is>
      </c>
      <c r="B454" s="2" t="inlineStr">
        <is>
          <t>lb</t>
        </is>
      </c>
      <c r="E454" s="40">
        <f>E441-E447-E453</f>
        <v/>
      </c>
      <c r="F454" s="40">
        <f>F441-F447-F453</f>
        <v/>
      </c>
      <c r="G454" s="40">
        <f>G441-G447-G453</f>
        <v/>
      </c>
      <c r="H454" s="40">
        <f>H441-H447-H453</f>
        <v/>
      </c>
      <c r="I454" s="40">
        <f>I441-I447-I453</f>
        <v/>
      </c>
      <c r="J454" s="40">
        <f>J441-J447-J453</f>
        <v/>
      </c>
      <c r="K454" s="40">
        <f>K441-K447-K453</f>
        <v/>
      </c>
      <c r="L454" s="40">
        <f>L441-L447-L453</f>
        <v/>
      </c>
      <c r="M454" s="40">
        <f>M441-M447-M453</f>
        <v/>
      </c>
      <c r="N454" s="40">
        <f>N441-N447-N453</f>
        <v/>
      </c>
      <c r="O454" s="40">
        <f>O441-O447-O453</f>
        <v/>
      </c>
      <c r="P454" s="40">
        <f>P441-P447-P453</f>
        <v/>
      </c>
      <c r="Q454" s="40">
        <f>Q441-Q447-Q453</f>
        <v/>
      </c>
      <c r="R454" s="40">
        <f>R441-R447-R453</f>
        <v/>
      </c>
      <c r="S454" s="40">
        <f>S441-S447-S453</f>
        <v/>
      </c>
      <c r="T454" s="40">
        <f>T441-T447-T453</f>
        <v/>
      </c>
      <c r="U454" s="40">
        <f>U441-U447-U453</f>
        <v/>
      </c>
      <c r="V454" s="40">
        <f>V441-V447-V453</f>
        <v/>
      </c>
      <c r="W454" s="40">
        <f>W441-W447-W453</f>
        <v/>
      </c>
      <c r="X454" s="40">
        <f>X441-X447-X453</f>
        <v/>
      </c>
      <c r="Y454" s="40">
        <f>Y441-Y447-Y453</f>
        <v/>
      </c>
      <c r="Z454" s="40">
        <f>Z441-Z447-Z453</f>
        <v/>
      </c>
      <c r="AA454" s="40">
        <f>AA441-AA447-AA453</f>
        <v/>
      </c>
      <c r="AB454" s="40">
        <f>AB441-AB447-AB453</f>
        <v/>
      </c>
      <c r="AC454" s="40">
        <f>AC441-AC447-AC453</f>
        <v/>
      </c>
      <c r="AD454" s="40">
        <f>AD441-AD447-AD453</f>
        <v/>
      </c>
      <c r="AE454" s="40">
        <f>AE441-AE447-AE453</f>
        <v/>
      </c>
      <c r="AF454" s="40">
        <f>AF441-AF447-AF453</f>
        <v/>
      </c>
      <c r="AG454" s="40">
        <f>AG441-AG447-AG453</f>
        <v/>
      </c>
      <c r="AH454" s="40">
        <f>AH441-AH447-AH453</f>
        <v/>
      </c>
      <c r="AI454" s="40">
        <f>AI441-AI447-AI453</f>
        <v/>
      </c>
      <c r="AJ454" s="40">
        <f>AJ441-AJ447-AJ453</f>
        <v/>
      </c>
      <c r="AK454" s="40">
        <f>AK441-AK447-AK453</f>
        <v/>
      </c>
      <c r="AL454" s="40">
        <f>AL441-AL447-AL453</f>
        <v/>
      </c>
      <c r="AM454" s="40">
        <f>AM441-AM447-AM453</f>
        <v/>
      </c>
      <c r="AN454" s="40">
        <f>AN441-AN447-AN453</f>
        <v/>
      </c>
      <c r="AO454" s="40">
        <f>AO441-AO447-AO453</f>
        <v/>
      </c>
      <c r="AP454" s="40">
        <f>AP441-AP447-AP453</f>
        <v/>
      </c>
      <c r="AQ454" s="40">
        <f>AQ441-AQ447-AQ453</f>
        <v/>
      </c>
      <c r="AR454" s="40">
        <f>AR441-AR447-AR453</f>
        <v/>
      </c>
      <c r="AS454" s="40">
        <f>AS441-AS447-AS453</f>
        <v/>
      </c>
      <c r="AT454" s="40">
        <f>AT441-AT447-AT453</f>
        <v/>
      </c>
      <c r="AU454" s="40">
        <f>AU441-AU447-AU453</f>
        <v/>
      </c>
      <c r="AV454" s="40">
        <f>AV441-AV447-AV453</f>
        <v/>
      </c>
      <c r="AW454" s="40">
        <f>AW441-AW447-AW453</f>
        <v/>
      </c>
      <c r="AX454" s="40">
        <f>AX441-AX447-AX453</f>
        <v/>
      </c>
      <c r="AY454" s="40">
        <f>AY441-AY447-AY453</f>
        <v/>
      </c>
      <c r="AZ454" s="40">
        <f>AZ441-AZ447-AZ453</f>
        <v/>
      </c>
      <c r="BA454" s="40">
        <f>BA441-BA447-BA453</f>
        <v/>
      </c>
      <c r="BB454" s="40">
        <f>BB441-BB447-BB453</f>
        <v/>
      </c>
      <c r="BC454" s="40">
        <f>BC441-BC447-BC453</f>
        <v/>
      </c>
      <c r="BD454" s="40">
        <f>BD441-BD447-BD453</f>
        <v/>
      </c>
    </row>
    <row r="455">
      <c r="A455" s="2" t="inlineStr">
        <is>
          <t xml:space="preserve">   ^ subtracts what LEAVES, not what was offered — so 'returned to store' is</t>
        </is>
      </c>
    </row>
    <row r="456">
      <c r="A456" s="2" t="inlineStr">
        <is>
          <t xml:space="preserve">     never taken out at all, and shows up as next week's carried in.</t>
        </is>
      </c>
    </row>
    <row r="457">
      <c r="A457" s="43" t="inlineStr">
        <is>
          <t>Most stock its shelf life allows</t>
        </is>
      </c>
      <c r="B457" s="2" t="inlineStr">
        <is>
          <t>lb</t>
        </is>
      </c>
      <c r="E457" s="42">
        <f>SUMPRODUCT(($E$437:$BD$437&gt;=1-$F$21+2)*($E$437:$BD$437&lt;=1)*$E$438:$BD$438*POWER(1-$G$21,($E$437:$BD$437&lt;=1)*(1-$E$437:$BD$437)))</f>
        <v/>
      </c>
      <c r="F457" s="42">
        <f>SUMPRODUCT(($E$437:$BD$437&gt;=2-$F$21+2)*($E$437:$BD$437&lt;=2)*$E$438:$BD$438*POWER(1-$G$21,($E$437:$BD$437&lt;=2)*(2-$E$437:$BD$437)))</f>
        <v/>
      </c>
      <c r="G457" s="42">
        <f>SUMPRODUCT(($E$437:$BD$437&gt;=3-$F$21+2)*($E$437:$BD$437&lt;=3)*$E$438:$BD$438*POWER(1-$G$21,($E$437:$BD$437&lt;=3)*(3-$E$437:$BD$437)))</f>
        <v/>
      </c>
      <c r="H457" s="42">
        <f>SUMPRODUCT(($E$437:$BD$437&gt;=4-$F$21+2)*($E$437:$BD$437&lt;=4)*$E$438:$BD$438*POWER(1-$G$21,($E$437:$BD$437&lt;=4)*(4-$E$437:$BD$437)))</f>
        <v/>
      </c>
      <c r="I457" s="42">
        <f>SUMPRODUCT(($E$437:$BD$437&gt;=5-$F$21+2)*($E$437:$BD$437&lt;=5)*$E$438:$BD$438*POWER(1-$G$21,($E$437:$BD$437&lt;=5)*(5-$E$437:$BD$437)))</f>
        <v/>
      </c>
      <c r="J457" s="42">
        <f>SUMPRODUCT(($E$437:$BD$437&gt;=6-$F$21+2)*($E$437:$BD$437&lt;=6)*$E$438:$BD$438*POWER(1-$G$21,($E$437:$BD$437&lt;=6)*(6-$E$437:$BD$437)))</f>
        <v/>
      </c>
      <c r="K457" s="42">
        <f>SUMPRODUCT(($E$437:$BD$437&gt;=7-$F$21+2)*($E$437:$BD$437&lt;=7)*$E$438:$BD$438*POWER(1-$G$21,($E$437:$BD$437&lt;=7)*(7-$E$437:$BD$437)))</f>
        <v/>
      </c>
      <c r="L457" s="42">
        <f>SUMPRODUCT(($E$437:$BD$437&gt;=8-$F$21+2)*($E$437:$BD$437&lt;=8)*$E$438:$BD$438*POWER(1-$G$21,($E$437:$BD$437&lt;=8)*(8-$E$437:$BD$437)))</f>
        <v/>
      </c>
      <c r="M457" s="42">
        <f>SUMPRODUCT(($E$437:$BD$437&gt;=9-$F$21+2)*($E$437:$BD$437&lt;=9)*$E$438:$BD$438*POWER(1-$G$21,($E$437:$BD$437&lt;=9)*(9-$E$437:$BD$437)))</f>
        <v/>
      </c>
      <c r="N457" s="42">
        <f>SUMPRODUCT(($E$437:$BD$437&gt;=10-$F$21+2)*($E$437:$BD$437&lt;=10)*$E$438:$BD$438*POWER(1-$G$21,($E$437:$BD$437&lt;=10)*(10-$E$437:$BD$437)))</f>
        <v/>
      </c>
      <c r="O457" s="42">
        <f>SUMPRODUCT(($E$437:$BD$437&gt;=11-$F$21+2)*($E$437:$BD$437&lt;=11)*$E$438:$BD$438*POWER(1-$G$21,($E$437:$BD$437&lt;=11)*(11-$E$437:$BD$437)))</f>
        <v/>
      </c>
      <c r="P457" s="42">
        <f>SUMPRODUCT(($E$437:$BD$437&gt;=12-$F$21+2)*($E$437:$BD$437&lt;=12)*$E$438:$BD$438*POWER(1-$G$21,($E$437:$BD$437&lt;=12)*(12-$E$437:$BD$437)))</f>
        <v/>
      </c>
      <c r="Q457" s="42">
        <f>SUMPRODUCT(($E$437:$BD$437&gt;=13-$F$21+2)*($E$437:$BD$437&lt;=13)*$E$438:$BD$438*POWER(1-$G$21,($E$437:$BD$437&lt;=13)*(13-$E$437:$BD$437)))</f>
        <v/>
      </c>
      <c r="R457" s="42">
        <f>SUMPRODUCT(($E$437:$BD$437&gt;=14-$F$21+2)*($E$437:$BD$437&lt;=14)*$E$438:$BD$438*POWER(1-$G$21,($E$437:$BD$437&lt;=14)*(14-$E$437:$BD$437)))</f>
        <v/>
      </c>
      <c r="S457" s="42">
        <f>SUMPRODUCT(($E$437:$BD$437&gt;=15-$F$21+2)*($E$437:$BD$437&lt;=15)*$E$438:$BD$438*POWER(1-$G$21,($E$437:$BD$437&lt;=15)*(15-$E$437:$BD$437)))</f>
        <v/>
      </c>
      <c r="T457" s="42">
        <f>SUMPRODUCT(($E$437:$BD$437&gt;=16-$F$21+2)*($E$437:$BD$437&lt;=16)*$E$438:$BD$438*POWER(1-$G$21,($E$437:$BD$437&lt;=16)*(16-$E$437:$BD$437)))</f>
        <v/>
      </c>
      <c r="U457" s="42">
        <f>SUMPRODUCT(($E$437:$BD$437&gt;=17-$F$21+2)*($E$437:$BD$437&lt;=17)*$E$438:$BD$438*POWER(1-$G$21,($E$437:$BD$437&lt;=17)*(17-$E$437:$BD$437)))</f>
        <v/>
      </c>
      <c r="V457" s="42">
        <f>SUMPRODUCT(($E$437:$BD$437&gt;=18-$F$21+2)*($E$437:$BD$437&lt;=18)*$E$438:$BD$438*POWER(1-$G$21,($E$437:$BD$437&lt;=18)*(18-$E$437:$BD$437)))</f>
        <v/>
      </c>
      <c r="W457" s="42">
        <f>SUMPRODUCT(($E$437:$BD$437&gt;=19-$F$21+2)*($E$437:$BD$437&lt;=19)*$E$438:$BD$438*POWER(1-$G$21,($E$437:$BD$437&lt;=19)*(19-$E$437:$BD$437)))</f>
        <v/>
      </c>
      <c r="X457" s="42">
        <f>SUMPRODUCT(($E$437:$BD$437&gt;=20-$F$21+2)*($E$437:$BD$437&lt;=20)*$E$438:$BD$438*POWER(1-$G$21,($E$437:$BD$437&lt;=20)*(20-$E$437:$BD$437)))</f>
        <v/>
      </c>
      <c r="Y457" s="42">
        <f>SUMPRODUCT(($E$437:$BD$437&gt;=21-$F$21+2)*($E$437:$BD$437&lt;=21)*$E$438:$BD$438*POWER(1-$G$21,($E$437:$BD$437&lt;=21)*(21-$E$437:$BD$437)))</f>
        <v/>
      </c>
      <c r="Z457" s="42">
        <f>SUMPRODUCT(($E$437:$BD$437&gt;=22-$F$21+2)*($E$437:$BD$437&lt;=22)*$E$438:$BD$438*POWER(1-$G$21,($E$437:$BD$437&lt;=22)*(22-$E$437:$BD$437)))</f>
        <v/>
      </c>
      <c r="AA457" s="42">
        <f>SUMPRODUCT(($E$437:$BD$437&gt;=23-$F$21+2)*($E$437:$BD$437&lt;=23)*$E$438:$BD$438*POWER(1-$G$21,($E$437:$BD$437&lt;=23)*(23-$E$437:$BD$437)))</f>
        <v/>
      </c>
      <c r="AB457" s="42">
        <f>SUMPRODUCT(($E$437:$BD$437&gt;=24-$F$21+2)*($E$437:$BD$437&lt;=24)*$E$438:$BD$438*POWER(1-$G$21,($E$437:$BD$437&lt;=24)*(24-$E$437:$BD$437)))</f>
        <v/>
      </c>
      <c r="AC457" s="42">
        <f>SUMPRODUCT(($E$437:$BD$437&gt;=25-$F$21+2)*($E$437:$BD$437&lt;=25)*$E$438:$BD$438*POWER(1-$G$21,($E$437:$BD$437&lt;=25)*(25-$E$437:$BD$437)))</f>
        <v/>
      </c>
      <c r="AD457" s="42">
        <f>SUMPRODUCT(($E$437:$BD$437&gt;=26-$F$21+2)*($E$437:$BD$437&lt;=26)*$E$438:$BD$438*POWER(1-$G$21,($E$437:$BD$437&lt;=26)*(26-$E$437:$BD$437)))</f>
        <v/>
      </c>
      <c r="AE457" s="42">
        <f>SUMPRODUCT(($E$437:$BD$437&gt;=27-$F$21+2)*($E$437:$BD$437&lt;=27)*$E$438:$BD$438*POWER(1-$G$21,($E$437:$BD$437&lt;=27)*(27-$E$437:$BD$437)))</f>
        <v/>
      </c>
      <c r="AF457" s="42">
        <f>SUMPRODUCT(($E$437:$BD$437&gt;=28-$F$21+2)*($E$437:$BD$437&lt;=28)*$E$438:$BD$438*POWER(1-$G$21,($E$437:$BD$437&lt;=28)*(28-$E$437:$BD$437)))</f>
        <v/>
      </c>
      <c r="AG457" s="42">
        <f>SUMPRODUCT(($E$437:$BD$437&gt;=29-$F$21+2)*($E$437:$BD$437&lt;=29)*$E$438:$BD$438*POWER(1-$G$21,($E$437:$BD$437&lt;=29)*(29-$E$437:$BD$437)))</f>
        <v/>
      </c>
      <c r="AH457" s="42">
        <f>SUMPRODUCT(($E$437:$BD$437&gt;=30-$F$21+2)*($E$437:$BD$437&lt;=30)*$E$438:$BD$438*POWER(1-$G$21,($E$437:$BD$437&lt;=30)*(30-$E$437:$BD$437)))</f>
        <v/>
      </c>
      <c r="AI457" s="42">
        <f>SUMPRODUCT(($E$437:$BD$437&gt;=31-$F$21+2)*($E$437:$BD$437&lt;=31)*$E$438:$BD$438*POWER(1-$G$21,($E$437:$BD$437&lt;=31)*(31-$E$437:$BD$437)))</f>
        <v/>
      </c>
      <c r="AJ457" s="42">
        <f>SUMPRODUCT(($E$437:$BD$437&gt;=32-$F$21+2)*($E$437:$BD$437&lt;=32)*$E$438:$BD$438*POWER(1-$G$21,($E$437:$BD$437&lt;=32)*(32-$E$437:$BD$437)))</f>
        <v/>
      </c>
      <c r="AK457" s="42">
        <f>SUMPRODUCT(($E$437:$BD$437&gt;=33-$F$21+2)*($E$437:$BD$437&lt;=33)*$E$438:$BD$438*POWER(1-$G$21,($E$437:$BD$437&lt;=33)*(33-$E$437:$BD$437)))</f>
        <v/>
      </c>
      <c r="AL457" s="42">
        <f>SUMPRODUCT(($E$437:$BD$437&gt;=34-$F$21+2)*($E$437:$BD$437&lt;=34)*$E$438:$BD$438*POWER(1-$G$21,($E$437:$BD$437&lt;=34)*(34-$E$437:$BD$437)))</f>
        <v/>
      </c>
      <c r="AM457" s="42">
        <f>SUMPRODUCT(($E$437:$BD$437&gt;=35-$F$21+2)*($E$437:$BD$437&lt;=35)*$E$438:$BD$438*POWER(1-$G$21,($E$437:$BD$437&lt;=35)*(35-$E$437:$BD$437)))</f>
        <v/>
      </c>
      <c r="AN457" s="42">
        <f>SUMPRODUCT(($E$437:$BD$437&gt;=36-$F$21+2)*($E$437:$BD$437&lt;=36)*$E$438:$BD$438*POWER(1-$G$21,($E$437:$BD$437&lt;=36)*(36-$E$437:$BD$437)))</f>
        <v/>
      </c>
      <c r="AO457" s="42">
        <f>SUMPRODUCT(($E$437:$BD$437&gt;=37-$F$21+2)*($E$437:$BD$437&lt;=37)*$E$438:$BD$438*POWER(1-$G$21,($E$437:$BD$437&lt;=37)*(37-$E$437:$BD$437)))</f>
        <v/>
      </c>
      <c r="AP457" s="42">
        <f>SUMPRODUCT(($E$437:$BD$437&gt;=38-$F$21+2)*($E$437:$BD$437&lt;=38)*$E$438:$BD$438*POWER(1-$G$21,($E$437:$BD$437&lt;=38)*(38-$E$437:$BD$437)))</f>
        <v/>
      </c>
      <c r="AQ457" s="42">
        <f>SUMPRODUCT(($E$437:$BD$437&gt;=39-$F$21+2)*($E$437:$BD$437&lt;=39)*$E$438:$BD$438*POWER(1-$G$21,($E$437:$BD$437&lt;=39)*(39-$E$437:$BD$437)))</f>
        <v/>
      </c>
      <c r="AR457" s="42">
        <f>SUMPRODUCT(($E$437:$BD$437&gt;=40-$F$21+2)*($E$437:$BD$437&lt;=40)*$E$438:$BD$438*POWER(1-$G$21,($E$437:$BD$437&lt;=40)*(40-$E$437:$BD$437)))</f>
        <v/>
      </c>
      <c r="AS457" s="42">
        <f>SUMPRODUCT(($E$437:$BD$437&gt;=41-$F$21+2)*($E$437:$BD$437&lt;=41)*$E$438:$BD$438*POWER(1-$G$21,($E$437:$BD$437&lt;=41)*(41-$E$437:$BD$437)))</f>
        <v/>
      </c>
      <c r="AT457" s="42">
        <f>SUMPRODUCT(($E$437:$BD$437&gt;=42-$F$21+2)*($E$437:$BD$437&lt;=42)*$E$438:$BD$438*POWER(1-$G$21,($E$437:$BD$437&lt;=42)*(42-$E$437:$BD$437)))</f>
        <v/>
      </c>
      <c r="AU457" s="42">
        <f>SUMPRODUCT(($E$437:$BD$437&gt;=43-$F$21+2)*($E$437:$BD$437&lt;=43)*$E$438:$BD$438*POWER(1-$G$21,($E$437:$BD$437&lt;=43)*(43-$E$437:$BD$437)))</f>
        <v/>
      </c>
      <c r="AV457" s="42">
        <f>SUMPRODUCT(($E$437:$BD$437&gt;=44-$F$21+2)*($E$437:$BD$437&lt;=44)*$E$438:$BD$438*POWER(1-$G$21,($E$437:$BD$437&lt;=44)*(44-$E$437:$BD$437)))</f>
        <v/>
      </c>
      <c r="AW457" s="42">
        <f>SUMPRODUCT(($E$437:$BD$437&gt;=45-$F$21+2)*($E$437:$BD$437&lt;=45)*$E$438:$BD$438*POWER(1-$G$21,($E$437:$BD$437&lt;=45)*(45-$E$437:$BD$437)))</f>
        <v/>
      </c>
      <c r="AX457" s="42">
        <f>SUMPRODUCT(($E$437:$BD$437&gt;=46-$F$21+2)*($E$437:$BD$437&lt;=46)*$E$438:$BD$438*POWER(1-$G$21,($E$437:$BD$437&lt;=46)*(46-$E$437:$BD$437)))</f>
        <v/>
      </c>
      <c r="AY457" s="42">
        <f>SUMPRODUCT(($E$437:$BD$437&gt;=47-$F$21+2)*($E$437:$BD$437&lt;=47)*$E$438:$BD$438*POWER(1-$G$21,($E$437:$BD$437&lt;=47)*(47-$E$437:$BD$437)))</f>
        <v/>
      </c>
      <c r="AZ457" s="42">
        <f>SUMPRODUCT(($E$437:$BD$437&gt;=48-$F$21+2)*($E$437:$BD$437&lt;=48)*$E$438:$BD$438*POWER(1-$G$21,($E$437:$BD$437&lt;=48)*(48-$E$437:$BD$437)))</f>
        <v/>
      </c>
      <c r="BA457" s="42">
        <f>SUMPRODUCT(($E$437:$BD$437&gt;=49-$F$21+2)*($E$437:$BD$437&lt;=49)*$E$438:$BD$438*POWER(1-$G$21,($E$437:$BD$437&lt;=49)*(49-$E$437:$BD$437)))</f>
        <v/>
      </c>
      <c r="BB457" s="42">
        <f>SUMPRODUCT(($E$437:$BD$437&gt;=50-$F$21+2)*($E$437:$BD$437&lt;=50)*$E$438:$BD$438*POWER(1-$G$21,($E$437:$BD$437&lt;=50)*(50-$E$437:$BD$437)))</f>
        <v/>
      </c>
      <c r="BC457" s="42">
        <f>SUMPRODUCT(($E$437:$BD$437&gt;=51-$F$21+2)*($E$437:$BD$437&lt;=51)*$E$438:$BD$438*POWER(1-$G$21,($E$437:$BD$437&lt;=51)*(51-$E$437:$BD$437)))</f>
        <v/>
      </c>
      <c r="BD457" s="42">
        <f>SUMPRODUCT(($E$437:$BD$437&gt;=52-$F$21+2)*($E$437:$BD$437&lt;=52)*$E$438:$BD$438*POWER(1-$G$21,($E$437:$BD$437&lt;=52)*(52-$E$437:$BD$437)))</f>
        <v/>
      </c>
    </row>
    <row r="458">
      <c r="A458" s="2" t="inlineStr">
        <is>
          <t xml:space="preserve">   Stock carried out must stay at or below this row.</t>
        </is>
      </c>
    </row>
    <row r="459">
      <c r="A459" s="33" t="inlineStr">
        <is>
          <t>Growing cost this week</t>
        </is>
      </c>
      <c r="B459" s="2" t="inlineStr">
        <is>
          <t>$</t>
        </is>
      </c>
      <c r="E459" s="40">
        <f>SUMPRODUCT(($B$92:$B$232="Asparagus")*(E$92:E$232="P")*$C$92:$C$232)*$K$21+SUMPRODUCT(($B$92:$B$232="Asparagus")*(E$92:E$232="G")*$C$92:$C$232)*$L$21+SUMPRODUCT(($B$92:$B$232="Asparagus")*(E$92:E$232="H")*$C$92:$C$232)*$M$21+SUMPRODUCT(($B$92:$B$232="Asparagus")*($BG$92:$BG$232=1)*$C$92:$C$232)*$H$21</f>
        <v/>
      </c>
      <c r="F459" s="40">
        <f>SUMPRODUCT(($B$92:$B$232="Asparagus")*(F$92:F$232="P")*$C$92:$C$232)*$K$21+SUMPRODUCT(($B$92:$B$232="Asparagus")*(F$92:F$232="G")*$C$92:$C$232)*$L$21+SUMPRODUCT(($B$92:$B$232="Asparagus")*(F$92:F$232="H")*$C$92:$C$232)*$M$21+SUMPRODUCT(($B$92:$B$232="Asparagus")*($BG$92:$BG$232=2)*$C$92:$C$232)*$H$21</f>
        <v/>
      </c>
      <c r="G459" s="40">
        <f>SUMPRODUCT(($B$92:$B$232="Asparagus")*(G$92:G$232="P")*$C$92:$C$232)*$K$21+SUMPRODUCT(($B$92:$B$232="Asparagus")*(G$92:G$232="G")*$C$92:$C$232)*$L$21+SUMPRODUCT(($B$92:$B$232="Asparagus")*(G$92:G$232="H")*$C$92:$C$232)*$M$21+SUMPRODUCT(($B$92:$B$232="Asparagus")*($BG$92:$BG$232=3)*$C$92:$C$232)*$H$21</f>
        <v/>
      </c>
      <c r="H459" s="40">
        <f>SUMPRODUCT(($B$92:$B$232="Asparagus")*(H$92:H$232="P")*$C$92:$C$232)*$K$21+SUMPRODUCT(($B$92:$B$232="Asparagus")*(H$92:H$232="G")*$C$92:$C$232)*$L$21+SUMPRODUCT(($B$92:$B$232="Asparagus")*(H$92:H$232="H")*$C$92:$C$232)*$M$21+SUMPRODUCT(($B$92:$B$232="Asparagus")*($BG$92:$BG$232=4)*$C$92:$C$232)*$H$21</f>
        <v/>
      </c>
      <c r="I459" s="40">
        <f>SUMPRODUCT(($B$92:$B$232="Asparagus")*(I$92:I$232="P")*$C$92:$C$232)*$K$21+SUMPRODUCT(($B$92:$B$232="Asparagus")*(I$92:I$232="G")*$C$92:$C$232)*$L$21+SUMPRODUCT(($B$92:$B$232="Asparagus")*(I$92:I$232="H")*$C$92:$C$232)*$M$21+SUMPRODUCT(($B$92:$B$232="Asparagus")*($BG$92:$BG$232=5)*$C$92:$C$232)*$H$21</f>
        <v/>
      </c>
      <c r="J459" s="40">
        <f>SUMPRODUCT(($B$92:$B$232="Asparagus")*(J$92:J$232="P")*$C$92:$C$232)*$K$21+SUMPRODUCT(($B$92:$B$232="Asparagus")*(J$92:J$232="G")*$C$92:$C$232)*$L$21+SUMPRODUCT(($B$92:$B$232="Asparagus")*(J$92:J$232="H")*$C$92:$C$232)*$M$21+SUMPRODUCT(($B$92:$B$232="Asparagus")*($BG$92:$BG$232=6)*$C$92:$C$232)*$H$21</f>
        <v/>
      </c>
      <c r="K459" s="40">
        <f>SUMPRODUCT(($B$92:$B$232="Asparagus")*(K$92:K$232="P")*$C$92:$C$232)*$K$21+SUMPRODUCT(($B$92:$B$232="Asparagus")*(K$92:K$232="G")*$C$92:$C$232)*$L$21+SUMPRODUCT(($B$92:$B$232="Asparagus")*(K$92:K$232="H")*$C$92:$C$232)*$M$21+SUMPRODUCT(($B$92:$B$232="Asparagus")*($BG$92:$BG$232=7)*$C$92:$C$232)*$H$21</f>
        <v/>
      </c>
      <c r="L459" s="40">
        <f>SUMPRODUCT(($B$92:$B$232="Asparagus")*(L$92:L$232="P")*$C$92:$C$232)*$K$21+SUMPRODUCT(($B$92:$B$232="Asparagus")*(L$92:L$232="G")*$C$92:$C$232)*$L$21+SUMPRODUCT(($B$92:$B$232="Asparagus")*(L$92:L$232="H")*$C$92:$C$232)*$M$21+SUMPRODUCT(($B$92:$B$232="Asparagus")*($BG$92:$BG$232=8)*$C$92:$C$232)*$H$21</f>
        <v/>
      </c>
      <c r="M459" s="40">
        <f>SUMPRODUCT(($B$92:$B$232="Asparagus")*(M$92:M$232="P")*$C$92:$C$232)*$K$21+SUMPRODUCT(($B$92:$B$232="Asparagus")*(M$92:M$232="G")*$C$92:$C$232)*$L$21+SUMPRODUCT(($B$92:$B$232="Asparagus")*(M$92:M$232="H")*$C$92:$C$232)*$M$21+SUMPRODUCT(($B$92:$B$232="Asparagus")*($BG$92:$BG$232=9)*$C$92:$C$232)*$H$21</f>
        <v/>
      </c>
      <c r="N459" s="40">
        <f>SUMPRODUCT(($B$92:$B$232="Asparagus")*(N$92:N$232="P")*$C$92:$C$232)*$K$21+SUMPRODUCT(($B$92:$B$232="Asparagus")*(N$92:N$232="G")*$C$92:$C$232)*$L$21+SUMPRODUCT(($B$92:$B$232="Asparagus")*(N$92:N$232="H")*$C$92:$C$232)*$M$21+SUMPRODUCT(($B$92:$B$232="Asparagus")*($BG$92:$BG$232=10)*$C$92:$C$232)*$H$21</f>
        <v/>
      </c>
      <c r="O459" s="40">
        <f>SUMPRODUCT(($B$92:$B$232="Asparagus")*(O$92:O$232="P")*$C$92:$C$232)*$K$21+SUMPRODUCT(($B$92:$B$232="Asparagus")*(O$92:O$232="G")*$C$92:$C$232)*$L$21+SUMPRODUCT(($B$92:$B$232="Asparagus")*(O$92:O$232="H")*$C$92:$C$232)*$M$21+SUMPRODUCT(($B$92:$B$232="Asparagus")*($BG$92:$BG$232=11)*$C$92:$C$232)*$H$21</f>
        <v/>
      </c>
      <c r="P459" s="40">
        <f>SUMPRODUCT(($B$92:$B$232="Asparagus")*(P$92:P$232="P")*$C$92:$C$232)*$K$21+SUMPRODUCT(($B$92:$B$232="Asparagus")*(P$92:P$232="G")*$C$92:$C$232)*$L$21+SUMPRODUCT(($B$92:$B$232="Asparagus")*(P$92:P$232="H")*$C$92:$C$232)*$M$21+SUMPRODUCT(($B$92:$B$232="Asparagus")*($BG$92:$BG$232=12)*$C$92:$C$232)*$H$21</f>
        <v/>
      </c>
      <c r="Q459" s="40">
        <f>SUMPRODUCT(($B$92:$B$232="Asparagus")*(Q$92:Q$232="P")*$C$92:$C$232)*$K$21+SUMPRODUCT(($B$92:$B$232="Asparagus")*(Q$92:Q$232="G")*$C$92:$C$232)*$L$21+SUMPRODUCT(($B$92:$B$232="Asparagus")*(Q$92:Q$232="H")*$C$92:$C$232)*$M$21+SUMPRODUCT(($B$92:$B$232="Asparagus")*($BG$92:$BG$232=13)*$C$92:$C$232)*$H$21</f>
        <v/>
      </c>
      <c r="R459" s="40">
        <f>SUMPRODUCT(($B$92:$B$232="Asparagus")*(R$92:R$232="P")*$C$92:$C$232)*$K$21+SUMPRODUCT(($B$92:$B$232="Asparagus")*(R$92:R$232="G")*$C$92:$C$232)*$L$21+SUMPRODUCT(($B$92:$B$232="Asparagus")*(R$92:R$232="H")*$C$92:$C$232)*$M$21+SUMPRODUCT(($B$92:$B$232="Asparagus")*($BG$92:$BG$232=14)*$C$92:$C$232)*$H$21</f>
        <v/>
      </c>
      <c r="S459" s="40">
        <f>SUMPRODUCT(($B$92:$B$232="Asparagus")*(S$92:S$232="P")*$C$92:$C$232)*$K$21+SUMPRODUCT(($B$92:$B$232="Asparagus")*(S$92:S$232="G")*$C$92:$C$232)*$L$21+SUMPRODUCT(($B$92:$B$232="Asparagus")*(S$92:S$232="H")*$C$92:$C$232)*$M$21+SUMPRODUCT(($B$92:$B$232="Asparagus")*($BG$92:$BG$232=15)*$C$92:$C$232)*$H$21</f>
        <v/>
      </c>
      <c r="T459" s="40">
        <f>SUMPRODUCT(($B$92:$B$232="Asparagus")*(T$92:T$232="P")*$C$92:$C$232)*$K$21+SUMPRODUCT(($B$92:$B$232="Asparagus")*(T$92:T$232="G")*$C$92:$C$232)*$L$21+SUMPRODUCT(($B$92:$B$232="Asparagus")*(T$92:T$232="H")*$C$92:$C$232)*$M$21+SUMPRODUCT(($B$92:$B$232="Asparagus")*($BG$92:$BG$232=16)*$C$92:$C$232)*$H$21</f>
        <v/>
      </c>
      <c r="U459" s="40">
        <f>SUMPRODUCT(($B$92:$B$232="Asparagus")*(U$92:U$232="P")*$C$92:$C$232)*$K$21+SUMPRODUCT(($B$92:$B$232="Asparagus")*(U$92:U$232="G")*$C$92:$C$232)*$L$21+SUMPRODUCT(($B$92:$B$232="Asparagus")*(U$92:U$232="H")*$C$92:$C$232)*$M$21+SUMPRODUCT(($B$92:$B$232="Asparagus")*($BG$92:$BG$232=17)*$C$92:$C$232)*$H$21</f>
        <v/>
      </c>
      <c r="V459" s="40">
        <f>SUMPRODUCT(($B$92:$B$232="Asparagus")*(V$92:V$232="P")*$C$92:$C$232)*$K$21+SUMPRODUCT(($B$92:$B$232="Asparagus")*(V$92:V$232="G")*$C$92:$C$232)*$L$21+SUMPRODUCT(($B$92:$B$232="Asparagus")*(V$92:V$232="H")*$C$92:$C$232)*$M$21+SUMPRODUCT(($B$92:$B$232="Asparagus")*($BG$92:$BG$232=18)*$C$92:$C$232)*$H$21</f>
        <v/>
      </c>
      <c r="W459" s="40">
        <f>SUMPRODUCT(($B$92:$B$232="Asparagus")*(W$92:W$232="P")*$C$92:$C$232)*$K$21+SUMPRODUCT(($B$92:$B$232="Asparagus")*(W$92:W$232="G")*$C$92:$C$232)*$L$21+SUMPRODUCT(($B$92:$B$232="Asparagus")*(W$92:W$232="H")*$C$92:$C$232)*$M$21+SUMPRODUCT(($B$92:$B$232="Asparagus")*($BG$92:$BG$232=19)*$C$92:$C$232)*$H$21</f>
        <v/>
      </c>
      <c r="X459" s="40">
        <f>SUMPRODUCT(($B$92:$B$232="Asparagus")*(X$92:X$232="P")*$C$92:$C$232)*$K$21+SUMPRODUCT(($B$92:$B$232="Asparagus")*(X$92:X$232="G")*$C$92:$C$232)*$L$21+SUMPRODUCT(($B$92:$B$232="Asparagus")*(X$92:X$232="H")*$C$92:$C$232)*$M$21+SUMPRODUCT(($B$92:$B$232="Asparagus")*($BG$92:$BG$232=20)*$C$92:$C$232)*$H$21</f>
        <v/>
      </c>
      <c r="Y459" s="40">
        <f>SUMPRODUCT(($B$92:$B$232="Asparagus")*(Y$92:Y$232="P")*$C$92:$C$232)*$K$21+SUMPRODUCT(($B$92:$B$232="Asparagus")*(Y$92:Y$232="G")*$C$92:$C$232)*$L$21+SUMPRODUCT(($B$92:$B$232="Asparagus")*(Y$92:Y$232="H")*$C$92:$C$232)*$M$21+SUMPRODUCT(($B$92:$B$232="Asparagus")*($BG$92:$BG$232=21)*$C$92:$C$232)*$H$21</f>
        <v/>
      </c>
      <c r="Z459" s="40">
        <f>SUMPRODUCT(($B$92:$B$232="Asparagus")*(Z$92:Z$232="P")*$C$92:$C$232)*$K$21+SUMPRODUCT(($B$92:$B$232="Asparagus")*(Z$92:Z$232="G")*$C$92:$C$232)*$L$21+SUMPRODUCT(($B$92:$B$232="Asparagus")*(Z$92:Z$232="H")*$C$92:$C$232)*$M$21+SUMPRODUCT(($B$92:$B$232="Asparagus")*($BG$92:$BG$232=22)*$C$92:$C$232)*$H$21</f>
        <v/>
      </c>
      <c r="AA459" s="40">
        <f>SUMPRODUCT(($B$92:$B$232="Asparagus")*(AA$92:AA$232="P")*$C$92:$C$232)*$K$21+SUMPRODUCT(($B$92:$B$232="Asparagus")*(AA$92:AA$232="G")*$C$92:$C$232)*$L$21+SUMPRODUCT(($B$92:$B$232="Asparagus")*(AA$92:AA$232="H")*$C$92:$C$232)*$M$21+SUMPRODUCT(($B$92:$B$232="Asparagus")*($BG$92:$BG$232=23)*$C$92:$C$232)*$H$21</f>
        <v/>
      </c>
      <c r="AB459" s="40">
        <f>SUMPRODUCT(($B$92:$B$232="Asparagus")*(AB$92:AB$232="P")*$C$92:$C$232)*$K$21+SUMPRODUCT(($B$92:$B$232="Asparagus")*(AB$92:AB$232="G")*$C$92:$C$232)*$L$21+SUMPRODUCT(($B$92:$B$232="Asparagus")*(AB$92:AB$232="H")*$C$92:$C$232)*$M$21+SUMPRODUCT(($B$92:$B$232="Asparagus")*($BG$92:$BG$232=24)*$C$92:$C$232)*$H$21</f>
        <v/>
      </c>
      <c r="AC459" s="40">
        <f>SUMPRODUCT(($B$92:$B$232="Asparagus")*(AC$92:AC$232="P")*$C$92:$C$232)*$K$21+SUMPRODUCT(($B$92:$B$232="Asparagus")*(AC$92:AC$232="G")*$C$92:$C$232)*$L$21+SUMPRODUCT(($B$92:$B$232="Asparagus")*(AC$92:AC$232="H")*$C$92:$C$232)*$M$21+SUMPRODUCT(($B$92:$B$232="Asparagus")*($BG$92:$BG$232=25)*$C$92:$C$232)*$H$21</f>
        <v/>
      </c>
      <c r="AD459" s="40">
        <f>SUMPRODUCT(($B$92:$B$232="Asparagus")*(AD$92:AD$232="P")*$C$92:$C$232)*$K$21+SUMPRODUCT(($B$92:$B$232="Asparagus")*(AD$92:AD$232="G")*$C$92:$C$232)*$L$21+SUMPRODUCT(($B$92:$B$232="Asparagus")*(AD$92:AD$232="H")*$C$92:$C$232)*$M$21+SUMPRODUCT(($B$92:$B$232="Asparagus")*($BG$92:$BG$232=26)*$C$92:$C$232)*$H$21</f>
        <v/>
      </c>
      <c r="AE459" s="40">
        <f>SUMPRODUCT(($B$92:$B$232="Asparagus")*(AE$92:AE$232="P")*$C$92:$C$232)*$K$21+SUMPRODUCT(($B$92:$B$232="Asparagus")*(AE$92:AE$232="G")*$C$92:$C$232)*$L$21+SUMPRODUCT(($B$92:$B$232="Asparagus")*(AE$92:AE$232="H")*$C$92:$C$232)*$M$21+SUMPRODUCT(($B$92:$B$232="Asparagus")*($BG$92:$BG$232=27)*$C$92:$C$232)*$H$21</f>
        <v/>
      </c>
      <c r="AF459" s="40">
        <f>SUMPRODUCT(($B$92:$B$232="Asparagus")*(AF$92:AF$232="P")*$C$92:$C$232)*$K$21+SUMPRODUCT(($B$92:$B$232="Asparagus")*(AF$92:AF$232="G")*$C$92:$C$232)*$L$21+SUMPRODUCT(($B$92:$B$232="Asparagus")*(AF$92:AF$232="H")*$C$92:$C$232)*$M$21+SUMPRODUCT(($B$92:$B$232="Asparagus")*($BG$92:$BG$232=28)*$C$92:$C$232)*$H$21</f>
        <v/>
      </c>
      <c r="AG459" s="40">
        <f>SUMPRODUCT(($B$92:$B$232="Asparagus")*(AG$92:AG$232="P")*$C$92:$C$232)*$K$21+SUMPRODUCT(($B$92:$B$232="Asparagus")*(AG$92:AG$232="G")*$C$92:$C$232)*$L$21+SUMPRODUCT(($B$92:$B$232="Asparagus")*(AG$92:AG$232="H")*$C$92:$C$232)*$M$21+SUMPRODUCT(($B$92:$B$232="Asparagus")*($BG$92:$BG$232=29)*$C$92:$C$232)*$H$21</f>
        <v/>
      </c>
      <c r="AH459" s="40">
        <f>SUMPRODUCT(($B$92:$B$232="Asparagus")*(AH$92:AH$232="P")*$C$92:$C$232)*$K$21+SUMPRODUCT(($B$92:$B$232="Asparagus")*(AH$92:AH$232="G")*$C$92:$C$232)*$L$21+SUMPRODUCT(($B$92:$B$232="Asparagus")*(AH$92:AH$232="H")*$C$92:$C$232)*$M$21+SUMPRODUCT(($B$92:$B$232="Asparagus")*($BG$92:$BG$232=30)*$C$92:$C$232)*$H$21</f>
        <v/>
      </c>
      <c r="AI459" s="40">
        <f>SUMPRODUCT(($B$92:$B$232="Asparagus")*(AI$92:AI$232="P")*$C$92:$C$232)*$K$21+SUMPRODUCT(($B$92:$B$232="Asparagus")*(AI$92:AI$232="G")*$C$92:$C$232)*$L$21+SUMPRODUCT(($B$92:$B$232="Asparagus")*(AI$92:AI$232="H")*$C$92:$C$232)*$M$21+SUMPRODUCT(($B$92:$B$232="Asparagus")*($BG$92:$BG$232=31)*$C$92:$C$232)*$H$21</f>
        <v/>
      </c>
      <c r="AJ459" s="40">
        <f>SUMPRODUCT(($B$92:$B$232="Asparagus")*(AJ$92:AJ$232="P")*$C$92:$C$232)*$K$21+SUMPRODUCT(($B$92:$B$232="Asparagus")*(AJ$92:AJ$232="G")*$C$92:$C$232)*$L$21+SUMPRODUCT(($B$92:$B$232="Asparagus")*(AJ$92:AJ$232="H")*$C$92:$C$232)*$M$21+SUMPRODUCT(($B$92:$B$232="Asparagus")*($BG$92:$BG$232=32)*$C$92:$C$232)*$H$21</f>
        <v/>
      </c>
      <c r="AK459" s="40">
        <f>SUMPRODUCT(($B$92:$B$232="Asparagus")*(AK$92:AK$232="P")*$C$92:$C$232)*$K$21+SUMPRODUCT(($B$92:$B$232="Asparagus")*(AK$92:AK$232="G")*$C$92:$C$232)*$L$21+SUMPRODUCT(($B$92:$B$232="Asparagus")*(AK$92:AK$232="H")*$C$92:$C$232)*$M$21+SUMPRODUCT(($B$92:$B$232="Asparagus")*($BG$92:$BG$232=33)*$C$92:$C$232)*$H$21</f>
        <v/>
      </c>
      <c r="AL459" s="40">
        <f>SUMPRODUCT(($B$92:$B$232="Asparagus")*(AL$92:AL$232="P")*$C$92:$C$232)*$K$21+SUMPRODUCT(($B$92:$B$232="Asparagus")*(AL$92:AL$232="G")*$C$92:$C$232)*$L$21+SUMPRODUCT(($B$92:$B$232="Asparagus")*(AL$92:AL$232="H")*$C$92:$C$232)*$M$21+SUMPRODUCT(($B$92:$B$232="Asparagus")*($BG$92:$BG$232=34)*$C$92:$C$232)*$H$21</f>
        <v/>
      </c>
      <c r="AM459" s="40">
        <f>SUMPRODUCT(($B$92:$B$232="Asparagus")*(AM$92:AM$232="P")*$C$92:$C$232)*$K$21+SUMPRODUCT(($B$92:$B$232="Asparagus")*(AM$92:AM$232="G")*$C$92:$C$232)*$L$21+SUMPRODUCT(($B$92:$B$232="Asparagus")*(AM$92:AM$232="H")*$C$92:$C$232)*$M$21+SUMPRODUCT(($B$92:$B$232="Asparagus")*($BG$92:$BG$232=35)*$C$92:$C$232)*$H$21</f>
        <v/>
      </c>
      <c r="AN459" s="40">
        <f>SUMPRODUCT(($B$92:$B$232="Asparagus")*(AN$92:AN$232="P")*$C$92:$C$232)*$K$21+SUMPRODUCT(($B$92:$B$232="Asparagus")*(AN$92:AN$232="G")*$C$92:$C$232)*$L$21+SUMPRODUCT(($B$92:$B$232="Asparagus")*(AN$92:AN$232="H")*$C$92:$C$232)*$M$21+SUMPRODUCT(($B$92:$B$232="Asparagus")*($BG$92:$BG$232=36)*$C$92:$C$232)*$H$21</f>
        <v/>
      </c>
      <c r="AO459" s="40">
        <f>SUMPRODUCT(($B$92:$B$232="Asparagus")*(AO$92:AO$232="P")*$C$92:$C$232)*$K$21+SUMPRODUCT(($B$92:$B$232="Asparagus")*(AO$92:AO$232="G")*$C$92:$C$232)*$L$21+SUMPRODUCT(($B$92:$B$232="Asparagus")*(AO$92:AO$232="H")*$C$92:$C$232)*$M$21+SUMPRODUCT(($B$92:$B$232="Asparagus")*($BG$92:$BG$232=37)*$C$92:$C$232)*$H$21</f>
        <v/>
      </c>
      <c r="AP459" s="40">
        <f>SUMPRODUCT(($B$92:$B$232="Asparagus")*(AP$92:AP$232="P")*$C$92:$C$232)*$K$21+SUMPRODUCT(($B$92:$B$232="Asparagus")*(AP$92:AP$232="G")*$C$92:$C$232)*$L$21+SUMPRODUCT(($B$92:$B$232="Asparagus")*(AP$92:AP$232="H")*$C$92:$C$232)*$M$21+SUMPRODUCT(($B$92:$B$232="Asparagus")*($BG$92:$BG$232=38)*$C$92:$C$232)*$H$21</f>
        <v/>
      </c>
      <c r="AQ459" s="40">
        <f>SUMPRODUCT(($B$92:$B$232="Asparagus")*(AQ$92:AQ$232="P")*$C$92:$C$232)*$K$21+SUMPRODUCT(($B$92:$B$232="Asparagus")*(AQ$92:AQ$232="G")*$C$92:$C$232)*$L$21+SUMPRODUCT(($B$92:$B$232="Asparagus")*(AQ$92:AQ$232="H")*$C$92:$C$232)*$M$21+SUMPRODUCT(($B$92:$B$232="Asparagus")*($BG$92:$BG$232=39)*$C$92:$C$232)*$H$21</f>
        <v/>
      </c>
      <c r="AR459" s="40">
        <f>SUMPRODUCT(($B$92:$B$232="Asparagus")*(AR$92:AR$232="P")*$C$92:$C$232)*$K$21+SUMPRODUCT(($B$92:$B$232="Asparagus")*(AR$92:AR$232="G")*$C$92:$C$232)*$L$21+SUMPRODUCT(($B$92:$B$232="Asparagus")*(AR$92:AR$232="H")*$C$92:$C$232)*$M$21+SUMPRODUCT(($B$92:$B$232="Asparagus")*($BG$92:$BG$232=40)*$C$92:$C$232)*$H$21</f>
        <v/>
      </c>
      <c r="AS459" s="40">
        <f>SUMPRODUCT(($B$92:$B$232="Asparagus")*(AS$92:AS$232="P")*$C$92:$C$232)*$K$21+SUMPRODUCT(($B$92:$B$232="Asparagus")*(AS$92:AS$232="G")*$C$92:$C$232)*$L$21+SUMPRODUCT(($B$92:$B$232="Asparagus")*(AS$92:AS$232="H")*$C$92:$C$232)*$M$21+SUMPRODUCT(($B$92:$B$232="Asparagus")*($BG$92:$BG$232=41)*$C$92:$C$232)*$H$21</f>
        <v/>
      </c>
      <c r="AT459" s="40">
        <f>SUMPRODUCT(($B$92:$B$232="Asparagus")*(AT$92:AT$232="P")*$C$92:$C$232)*$K$21+SUMPRODUCT(($B$92:$B$232="Asparagus")*(AT$92:AT$232="G")*$C$92:$C$232)*$L$21+SUMPRODUCT(($B$92:$B$232="Asparagus")*(AT$92:AT$232="H")*$C$92:$C$232)*$M$21+SUMPRODUCT(($B$92:$B$232="Asparagus")*($BG$92:$BG$232=42)*$C$92:$C$232)*$H$21</f>
        <v/>
      </c>
      <c r="AU459" s="40">
        <f>SUMPRODUCT(($B$92:$B$232="Asparagus")*(AU$92:AU$232="P")*$C$92:$C$232)*$K$21+SUMPRODUCT(($B$92:$B$232="Asparagus")*(AU$92:AU$232="G")*$C$92:$C$232)*$L$21+SUMPRODUCT(($B$92:$B$232="Asparagus")*(AU$92:AU$232="H")*$C$92:$C$232)*$M$21+SUMPRODUCT(($B$92:$B$232="Asparagus")*($BG$92:$BG$232=43)*$C$92:$C$232)*$H$21</f>
        <v/>
      </c>
      <c r="AV459" s="40">
        <f>SUMPRODUCT(($B$92:$B$232="Asparagus")*(AV$92:AV$232="P")*$C$92:$C$232)*$K$21+SUMPRODUCT(($B$92:$B$232="Asparagus")*(AV$92:AV$232="G")*$C$92:$C$232)*$L$21+SUMPRODUCT(($B$92:$B$232="Asparagus")*(AV$92:AV$232="H")*$C$92:$C$232)*$M$21+SUMPRODUCT(($B$92:$B$232="Asparagus")*($BG$92:$BG$232=44)*$C$92:$C$232)*$H$21</f>
        <v/>
      </c>
      <c r="AW459" s="40">
        <f>SUMPRODUCT(($B$92:$B$232="Asparagus")*(AW$92:AW$232="P")*$C$92:$C$232)*$K$21+SUMPRODUCT(($B$92:$B$232="Asparagus")*(AW$92:AW$232="G")*$C$92:$C$232)*$L$21+SUMPRODUCT(($B$92:$B$232="Asparagus")*(AW$92:AW$232="H")*$C$92:$C$232)*$M$21+SUMPRODUCT(($B$92:$B$232="Asparagus")*($BG$92:$BG$232=45)*$C$92:$C$232)*$H$21</f>
        <v/>
      </c>
      <c r="AX459" s="40">
        <f>SUMPRODUCT(($B$92:$B$232="Asparagus")*(AX$92:AX$232="P")*$C$92:$C$232)*$K$21+SUMPRODUCT(($B$92:$B$232="Asparagus")*(AX$92:AX$232="G")*$C$92:$C$232)*$L$21+SUMPRODUCT(($B$92:$B$232="Asparagus")*(AX$92:AX$232="H")*$C$92:$C$232)*$M$21+SUMPRODUCT(($B$92:$B$232="Asparagus")*($BG$92:$BG$232=46)*$C$92:$C$232)*$H$21</f>
        <v/>
      </c>
      <c r="AY459" s="40">
        <f>SUMPRODUCT(($B$92:$B$232="Asparagus")*(AY$92:AY$232="P")*$C$92:$C$232)*$K$21+SUMPRODUCT(($B$92:$B$232="Asparagus")*(AY$92:AY$232="G")*$C$92:$C$232)*$L$21+SUMPRODUCT(($B$92:$B$232="Asparagus")*(AY$92:AY$232="H")*$C$92:$C$232)*$M$21+SUMPRODUCT(($B$92:$B$232="Asparagus")*($BG$92:$BG$232=47)*$C$92:$C$232)*$H$21</f>
        <v/>
      </c>
      <c r="AZ459" s="40">
        <f>SUMPRODUCT(($B$92:$B$232="Asparagus")*(AZ$92:AZ$232="P")*$C$92:$C$232)*$K$21+SUMPRODUCT(($B$92:$B$232="Asparagus")*(AZ$92:AZ$232="G")*$C$92:$C$232)*$L$21+SUMPRODUCT(($B$92:$B$232="Asparagus")*(AZ$92:AZ$232="H")*$C$92:$C$232)*$M$21+SUMPRODUCT(($B$92:$B$232="Asparagus")*($BG$92:$BG$232=48)*$C$92:$C$232)*$H$21</f>
        <v/>
      </c>
      <c r="BA459" s="40">
        <f>SUMPRODUCT(($B$92:$B$232="Asparagus")*(BA$92:BA$232="P")*$C$92:$C$232)*$K$21+SUMPRODUCT(($B$92:$B$232="Asparagus")*(BA$92:BA$232="G")*$C$92:$C$232)*$L$21+SUMPRODUCT(($B$92:$B$232="Asparagus")*(BA$92:BA$232="H")*$C$92:$C$232)*$M$21+SUMPRODUCT(($B$92:$B$232="Asparagus")*($BG$92:$BG$232=49)*$C$92:$C$232)*$H$21</f>
        <v/>
      </c>
      <c r="BB459" s="40">
        <f>SUMPRODUCT(($B$92:$B$232="Asparagus")*(BB$92:BB$232="P")*$C$92:$C$232)*$K$21+SUMPRODUCT(($B$92:$B$232="Asparagus")*(BB$92:BB$232="G")*$C$92:$C$232)*$L$21+SUMPRODUCT(($B$92:$B$232="Asparagus")*(BB$92:BB$232="H")*$C$92:$C$232)*$M$21+SUMPRODUCT(($B$92:$B$232="Asparagus")*($BG$92:$BG$232=50)*$C$92:$C$232)*$H$21</f>
        <v/>
      </c>
      <c r="BC459" s="40">
        <f>SUMPRODUCT(($B$92:$B$232="Asparagus")*(BC$92:BC$232="P")*$C$92:$C$232)*$K$21+SUMPRODUCT(($B$92:$B$232="Asparagus")*(BC$92:BC$232="G")*$C$92:$C$232)*$L$21+SUMPRODUCT(($B$92:$B$232="Asparagus")*(BC$92:BC$232="H")*$C$92:$C$232)*$M$21+SUMPRODUCT(($B$92:$B$232="Asparagus")*($BG$92:$BG$232=51)*$C$92:$C$232)*$H$21</f>
        <v/>
      </c>
      <c r="BD459" s="40">
        <f>SUMPRODUCT(($B$92:$B$232="Asparagus")*(BD$92:BD$232="P")*$C$92:$C$232)*$K$21+SUMPRODUCT(($B$92:$B$232="Asparagus")*(BD$92:BD$232="G")*$C$92:$C$232)*$L$21+SUMPRODUCT(($B$92:$B$232="Asparagus")*(BD$92:BD$232="H")*$C$92:$C$232)*$M$21+SUMPRODUCT(($B$92:$B$232="Asparagus")*($BG$92:$BG$232=52)*$C$92:$C$232)*$H$21</f>
        <v/>
      </c>
    </row>
    <row r="460">
      <c r="A460" s="33" t="inlineStr">
        <is>
          <t>Packaging this week</t>
        </is>
      </c>
      <c r="B460" s="2" t="inlineStr">
        <is>
          <t>$</t>
        </is>
      </c>
      <c r="E460" s="40">
        <f>E444*$J$44+E450*$J$45</f>
        <v/>
      </c>
      <c r="F460" s="40">
        <f>F444*$J$44+F450*$J$45</f>
        <v/>
      </c>
      <c r="G460" s="40">
        <f>G444*$J$44+G450*$J$45</f>
        <v/>
      </c>
      <c r="H460" s="40">
        <f>H444*$J$44+H450*$J$45</f>
        <v/>
      </c>
      <c r="I460" s="40">
        <f>I444*$J$44+I450*$J$45</f>
        <v/>
      </c>
      <c r="J460" s="40">
        <f>J444*$J$44+J450*$J$45</f>
        <v/>
      </c>
      <c r="K460" s="40">
        <f>K444*$J$44+K450*$J$45</f>
        <v/>
      </c>
      <c r="L460" s="40">
        <f>L444*$J$44+L450*$J$45</f>
        <v/>
      </c>
      <c r="M460" s="40">
        <f>M444*$J$44+M450*$J$45</f>
        <v/>
      </c>
      <c r="N460" s="40">
        <f>N444*$J$44+N450*$J$45</f>
        <v/>
      </c>
      <c r="O460" s="40">
        <f>O444*$J$44+O450*$J$45</f>
        <v/>
      </c>
      <c r="P460" s="40">
        <f>P444*$J$44+P450*$J$45</f>
        <v/>
      </c>
      <c r="Q460" s="40">
        <f>Q444*$J$44+Q450*$J$45</f>
        <v/>
      </c>
      <c r="R460" s="40">
        <f>R444*$J$44+R450*$J$45</f>
        <v/>
      </c>
      <c r="S460" s="40">
        <f>S444*$J$44+S450*$J$45</f>
        <v/>
      </c>
      <c r="T460" s="40">
        <f>T444*$J$44+T450*$J$45</f>
        <v/>
      </c>
      <c r="U460" s="40">
        <f>U444*$J$44+U450*$J$45</f>
        <v/>
      </c>
      <c r="V460" s="40">
        <f>V444*$J$44+V450*$J$45</f>
        <v/>
      </c>
      <c r="W460" s="40">
        <f>W444*$J$44+W450*$J$45</f>
        <v/>
      </c>
      <c r="X460" s="40">
        <f>X444*$J$44+X450*$J$45</f>
        <v/>
      </c>
      <c r="Y460" s="40">
        <f>Y444*$J$44+Y450*$J$45</f>
        <v/>
      </c>
      <c r="Z460" s="40">
        <f>Z444*$J$44+Z450*$J$45</f>
        <v/>
      </c>
      <c r="AA460" s="40">
        <f>AA444*$J$44+AA450*$J$45</f>
        <v/>
      </c>
      <c r="AB460" s="40">
        <f>AB444*$J$44+AB450*$J$45</f>
        <v/>
      </c>
      <c r="AC460" s="40">
        <f>AC444*$J$44+AC450*$J$45</f>
        <v/>
      </c>
      <c r="AD460" s="40">
        <f>AD444*$J$44+AD450*$J$45</f>
        <v/>
      </c>
      <c r="AE460" s="40">
        <f>AE444*$J$44+AE450*$J$45</f>
        <v/>
      </c>
      <c r="AF460" s="40">
        <f>AF444*$J$44+AF450*$J$45</f>
        <v/>
      </c>
      <c r="AG460" s="40">
        <f>AG444*$J$44+AG450*$J$45</f>
        <v/>
      </c>
      <c r="AH460" s="40">
        <f>AH444*$J$44+AH450*$J$45</f>
        <v/>
      </c>
      <c r="AI460" s="40">
        <f>AI444*$J$44+AI450*$J$45</f>
        <v/>
      </c>
      <c r="AJ460" s="40">
        <f>AJ444*$J$44+AJ450*$J$45</f>
        <v/>
      </c>
      <c r="AK460" s="40">
        <f>AK444*$J$44+AK450*$J$45</f>
        <v/>
      </c>
      <c r="AL460" s="40">
        <f>AL444*$J$44+AL450*$J$45</f>
        <v/>
      </c>
      <c r="AM460" s="40">
        <f>AM444*$J$44+AM450*$J$45</f>
        <v/>
      </c>
      <c r="AN460" s="40">
        <f>AN444*$J$44+AN450*$J$45</f>
        <v/>
      </c>
      <c r="AO460" s="40">
        <f>AO444*$J$44+AO450*$J$45</f>
        <v/>
      </c>
      <c r="AP460" s="40">
        <f>AP444*$J$44+AP450*$J$45</f>
        <v/>
      </c>
      <c r="AQ460" s="40">
        <f>AQ444*$J$44+AQ450*$J$45</f>
        <v/>
      </c>
      <c r="AR460" s="40">
        <f>AR444*$J$44+AR450*$J$45</f>
        <v/>
      </c>
      <c r="AS460" s="40">
        <f>AS444*$J$44+AS450*$J$45</f>
        <v/>
      </c>
      <c r="AT460" s="40">
        <f>AT444*$J$44+AT450*$J$45</f>
        <v/>
      </c>
      <c r="AU460" s="40">
        <f>AU444*$J$44+AU450*$J$45</f>
        <v/>
      </c>
      <c r="AV460" s="40">
        <f>AV444*$J$44+AV450*$J$45</f>
        <v/>
      </c>
      <c r="AW460" s="40">
        <f>AW444*$J$44+AW450*$J$45</f>
        <v/>
      </c>
      <c r="AX460" s="40">
        <f>AX444*$J$44+AX450*$J$45</f>
        <v/>
      </c>
      <c r="AY460" s="40">
        <f>AY444*$J$44+AY450*$J$45</f>
        <v/>
      </c>
      <c r="AZ460" s="40">
        <f>AZ444*$J$44+AZ450*$J$45</f>
        <v/>
      </c>
      <c r="BA460" s="40">
        <f>BA444*$J$44+BA450*$J$45</f>
        <v/>
      </c>
      <c r="BB460" s="40">
        <f>BB444*$J$44+BB450*$J$45</f>
        <v/>
      </c>
      <c r="BC460" s="40">
        <f>BC444*$J$44+BC450*$J$45</f>
        <v/>
      </c>
      <c r="BD460" s="40">
        <f>BD444*$J$44+BD450*$J$45</f>
        <v/>
      </c>
    </row>
    <row r="461">
      <c r="A461" s="4" t="inlineStr">
        <is>
          <t>ROOM OCCUPANCY</t>
        </is>
      </c>
      <c r="B461" s="2" t="inlineStr">
        <is>
          <t>m3</t>
        </is>
      </c>
      <c r="E461" s="58">
        <f>(E439+E438)*$D$21</f>
        <v/>
      </c>
      <c r="F461" s="58">
        <f>(F439+F438)*$D$21</f>
        <v/>
      </c>
      <c r="G461" s="58">
        <f>(G439+G438)*$D$21</f>
        <v/>
      </c>
      <c r="H461" s="58">
        <f>(H439+H438)*$D$21</f>
        <v/>
      </c>
      <c r="I461" s="58">
        <f>(I439+I438)*$D$21</f>
        <v/>
      </c>
      <c r="J461" s="58">
        <f>(J439+J438)*$D$21</f>
        <v/>
      </c>
      <c r="K461" s="58">
        <f>(K439+K438)*$D$21</f>
        <v/>
      </c>
      <c r="L461" s="58">
        <f>(L439+L438)*$D$21</f>
        <v/>
      </c>
      <c r="M461" s="58">
        <f>(M439+M438)*$D$21</f>
        <v/>
      </c>
      <c r="N461" s="58">
        <f>(N439+N438)*$D$21</f>
        <v/>
      </c>
      <c r="O461" s="58">
        <f>(O439+O438)*$D$21</f>
        <v/>
      </c>
      <c r="P461" s="58">
        <f>(P439+P438)*$D$21</f>
        <v/>
      </c>
      <c r="Q461" s="58">
        <f>(Q439+Q438)*$D$21</f>
        <v/>
      </c>
      <c r="R461" s="58">
        <f>(R439+R438)*$D$21</f>
        <v/>
      </c>
      <c r="S461" s="58">
        <f>(S439+S438)*$D$21</f>
        <v/>
      </c>
      <c r="T461" s="58">
        <f>(T439+T438)*$D$21</f>
        <v/>
      </c>
      <c r="U461" s="58">
        <f>(U439+U438)*$D$21</f>
        <v/>
      </c>
      <c r="V461" s="58">
        <f>(V439+V438)*$D$21</f>
        <v/>
      </c>
      <c r="W461" s="58">
        <f>(W439+W438)*$D$21</f>
        <v/>
      </c>
      <c r="X461" s="58">
        <f>(X439+X438)*$D$21</f>
        <v/>
      </c>
      <c r="Y461" s="58">
        <f>(Y439+Y438)*$D$21</f>
        <v/>
      </c>
      <c r="Z461" s="58">
        <f>(Z439+Z438)*$D$21</f>
        <v/>
      </c>
      <c r="AA461" s="58">
        <f>(AA439+AA438)*$D$21</f>
        <v/>
      </c>
      <c r="AB461" s="58">
        <f>(AB439+AB438)*$D$21</f>
        <v/>
      </c>
      <c r="AC461" s="58">
        <f>(AC439+AC438)*$D$21</f>
        <v/>
      </c>
      <c r="AD461" s="58">
        <f>(AD439+AD438)*$D$21</f>
        <v/>
      </c>
      <c r="AE461" s="58">
        <f>(AE439+AE438)*$D$21</f>
        <v/>
      </c>
      <c r="AF461" s="58">
        <f>(AF439+AF438)*$D$21</f>
        <v/>
      </c>
      <c r="AG461" s="58">
        <f>(AG439+AG438)*$D$21</f>
        <v/>
      </c>
      <c r="AH461" s="58">
        <f>(AH439+AH438)*$D$21</f>
        <v/>
      </c>
      <c r="AI461" s="58">
        <f>(AI439+AI438)*$D$21</f>
        <v/>
      </c>
      <c r="AJ461" s="58">
        <f>(AJ439+AJ438)*$D$21</f>
        <v/>
      </c>
      <c r="AK461" s="58">
        <f>(AK439+AK438)*$D$21</f>
        <v/>
      </c>
      <c r="AL461" s="58">
        <f>(AL439+AL438)*$D$21</f>
        <v/>
      </c>
      <c r="AM461" s="58">
        <f>(AM439+AM438)*$D$21</f>
        <v/>
      </c>
      <c r="AN461" s="58">
        <f>(AN439+AN438)*$D$21</f>
        <v/>
      </c>
      <c r="AO461" s="58">
        <f>(AO439+AO438)*$D$21</f>
        <v/>
      </c>
      <c r="AP461" s="58">
        <f>(AP439+AP438)*$D$21</f>
        <v/>
      </c>
      <c r="AQ461" s="58">
        <f>(AQ439+AQ438)*$D$21</f>
        <v/>
      </c>
      <c r="AR461" s="58">
        <f>(AR439+AR438)*$D$21</f>
        <v/>
      </c>
      <c r="AS461" s="58">
        <f>(AS439+AS438)*$D$21</f>
        <v/>
      </c>
      <c r="AT461" s="58">
        <f>(AT439+AT438)*$D$21</f>
        <v/>
      </c>
      <c r="AU461" s="58">
        <f>(AU439+AU438)*$D$21</f>
        <v/>
      </c>
      <c r="AV461" s="58">
        <f>(AV439+AV438)*$D$21</f>
        <v/>
      </c>
      <c r="AW461" s="58">
        <f>(AW439+AW438)*$D$21</f>
        <v/>
      </c>
      <c r="AX461" s="58">
        <f>(AX439+AX438)*$D$21</f>
        <v/>
      </c>
      <c r="AY461" s="58">
        <f>(AY439+AY438)*$D$21</f>
        <v/>
      </c>
      <c r="AZ461" s="58">
        <f>(AZ439+AZ438)*$D$21</f>
        <v/>
      </c>
      <c r="BA461" s="58">
        <f>(BA439+BA438)*$D$21</f>
        <v/>
      </c>
      <c r="BB461" s="58">
        <f>(BB439+BB438)*$D$21</f>
        <v/>
      </c>
      <c r="BC461" s="58">
        <f>(BC439+BC438)*$D$21</f>
        <v/>
      </c>
      <c r="BD461" s="58">
        <f>(BD439+BD438)*$D$21</f>
        <v/>
      </c>
    </row>
    <row r="463">
      <c r="A463" s="3" t="inlineStr">
        <is>
          <t>5c — WHAT EACH MARKET TAKES  (one market per identity, however many names sell into it)</t>
        </is>
      </c>
    </row>
    <row r="464">
      <c r="A464" s="36" t="inlineStr">
        <is>
          <t>Week</t>
        </is>
      </c>
      <c r="B464" s="37" t="inlineStr">
        <is>
          <t>lb</t>
        </is>
      </c>
      <c r="E464" s="38" t="n">
        <v>1</v>
      </c>
      <c r="F464" s="38" t="n">
        <v>2</v>
      </c>
      <c r="G464" s="38" t="n">
        <v>3</v>
      </c>
      <c r="H464" s="38" t="n">
        <v>4</v>
      </c>
      <c r="I464" s="38" t="n">
        <v>5</v>
      </c>
      <c r="J464" s="38" t="n">
        <v>6</v>
      </c>
      <c r="K464" s="38" t="n">
        <v>7</v>
      </c>
      <c r="L464" s="38" t="n">
        <v>8</v>
      </c>
      <c r="M464" s="38" t="n">
        <v>9</v>
      </c>
      <c r="N464" s="38" t="n">
        <v>10</v>
      </c>
      <c r="O464" s="38" t="n">
        <v>11</v>
      </c>
      <c r="P464" s="38" t="n">
        <v>12</v>
      </c>
      <c r="Q464" s="38" t="n">
        <v>13</v>
      </c>
      <c r="R464" s="38" t="n">
        <v>14</v>
      </c>
      <c r="S464" s="38" t="n">
        <v>15</v>
      </c>
      <c r="T464" s="38" t="n">
        <v>16</v>
      </c>
      <c r="U464" s="38" t="n">
        <v>17</v>
      </c>
      <c r="V464" s="38" t="n">
        <v>18</v>
      </c>
      <c r="W464" s="38" t="n">
        <v>19</v>
      </c>
      <c r="X464" s="38" t="n">
        <v>20</v>
      </c>
      <c r="Y464" s="38" t="n">
        <v>21</v>
      </c>
      <c r="Z464" s="38" t="n">
        <v>22</v>
      </c>
      <c r="AA464" s="38" t="n">
        <v>23</v>
      </c>
      <c r="AB464" s="38" t="n">
        <v>24</v>
      </c>
      <c r="AC464" s="38" t="n">
        <v>25</v>
      </c>
      <c r="AD464" s="38" t="n">
        <v>26</v>
      </c>
      <c r="AE464" s="38" t="n">
        <v>27</v>
      </c>
      <c r="AF464" s="38" t="n">
        <v>28</v>
      </c>
      <c r="AG464" s="38" t="n">
        <v>29</v>
      </c>
      <c r="AH464" s="38" t="n">
        <v>30</v>
      </c>
      <c r="AI464" s="38" t="n">
        <v>31</v>
      </c>
      <c r="AJ464" s="38" t="n">
        <v>32</v>
      </c>
      <c r="AK464" s="38" t="n">
        <v>33</v>
      </c>
      <c r="AL464" s="38" t="n">
        <v>34</v>
      </c>
      <c r="AM464" s="38" t="n">
        <v>35</v>
      </c>
      <c r="AN464" s="38" t="n">
        <v>36</v>
      </c>
      <c r="AO464" s="38" t="n">
        <v>37</v>
      </c>
      <c r="AP464" s="38" t="n">
        <v>38</v>
      </c>
      <c r="AQ464" s="38" t="n">
        <v>39</v>
      </c>
      <c r="AR464" s="38" t="n">
        <v>40</v>
      </c>
      <c r="AS464" s="38" t="n">
        <v>41</v>
      </c>
      <c r="AT464" s="38" t="n">
        <v>42</v>
      </c>
      <c r="AU464" s="38" t="n">
        <v>43</v>
      </c>
      <c r="AV464" s="38" t="n">
        <v>44</v>
      </c>
      <c r="AW464" s="38" t="n">
        <v>45</v>
      </c>
      <c r="AX464" s="38" t="n">
        <v>46</v>
      </c>
      <c r="AY464" s="38" t="n">
        <v>47</v>
      </c>
      <c r="AZ464" s="38" t="n">
        <v>48</v>
      </c>
      <c r="BA464" s="38" t="n">
        <v>49</v>
      </c>
      <c r="BB464" s="38" t="n">
        <v>50</v>
      </c>
      <c r="BC464" s="38" t="n">
        <v>51</v>
      </c>
      <c r="BD464" s="38" t="n">
        <v>52</v>
      </c>
    </row>
    <row r="465">
      <c r="A465" s="41" t="inlineStr">
        <is>
          <t>Spinach / Farmers Market — SOLD, every name that sells as Spinach</t>
        </is>
      </c>
      <c r="B465" s="2" t="inlineStr">
        <is>
          <t>lb</t>
        </is>
      </c>
      <c r="E465" s="42">
        <f>E334+E417</f>
        <v/>
      </c>
      <c r="F465" s="42">
        <f>F334+F417</f>
        <v/>
      </c>
      <c r="G465" s="42">
        <f>G334+G417</f>
        <v/>
      </c>
      <c r="H465" s="42">
        <f>H334+H417</f>
        <v/>
      </c>
      <c r="I465" s="42">
        <f>I334+I417</f>
        <v/>
      </c>
      <c r="J465" s="42">
        <f>J334+J417</f>
        <v/>
      </c>
      <c r="K465" s="42">
        <f>K334+K417</f>
        <v/>
      </c>
      <c r="L465" s="42">
        <f>L334+L417</f>
        <v/>
      </c>
      <c r="M465" s="42">
        <f>M334+M417</f>
        <v/>
      </c>
      <c r="N465" s="42">
        <f>N334+N417</f>
        <v/>
      </c>
      <c r="O465" s="42">
        <f>O334+O417</f>
        <v/>
      </c>
      <c r="P465" s="42">
        <f>P334+P417</f>
        <v/>
      </c>
      <c r="Q465" s="42">
        <f>Q334+Q417</f>
        <v/>
      </c>
      <c r="R465" s="42">
        <f>R334+R417</f>
        <v/>
      </c>
      <c r="S465" s="42">
        <f>S334+S417</f>
        <v/>
      </c>
      <c r="T465" s="42">
        <f>T334+T417</f>
        <v/>
      </c>
      <c r="U465" s="42">
        <f>U334+U417</f>
        <v/>
      </c>
      <c r="V465" s="42">
        <f>V334+V417</f>
        <v/>
      </c>
      <c r="W465" s="42">
        <f>W334+W417</f>
        <v/>
      </c>
      <c r="X465" s="42">
        <f>X334+X417</f>
        <v/>
      </c>
      <c r="Y465" s="42">
        <f>Y334+Y417</f>
        <v/>
      </c>
      <c r="Z465" s="42">
        <f>Z334+Z417</f>
        <v/>
      </c>
      <c r="AA465" s="42">
        <f>AA334+AA417</f>
        <v/>
      </c>
      <c r="AB465" s="42">
        <f>AB334+AB417</f>
        <v/>
      </c>
      <c r="AC465" s="42">
        <f>AC334+AC417</f>
        <v/>
      </c>
      <c r="AD465" s="42">
        <f>AD334+AD417</f>
        <v/>
      </c>
      <c r="AE465" s="42">
        <f>AE334+AE417</f>
        <v/>
      </c>
      <c r="AF465" s="42">
        <f>AF334+AF417</f>
        <v/>
      </c>
      <c r="AG465" s="42">
        <f>AG334+AG417</f>
        <v/>
      </c>
      <c r="AH465" s="42">
        <f>AH334+AH417</f>
        <v/>
      </c>
      <c r="AI465" s="42">
        <f>AI334+AI417</f>
        <v/>
      </c>
      <c r="AJ465" s="42">
        <f>AJ334+AJ417</f>
        <v/>
      </c>
      <c r="AK465" s="42">
        <f>AK334+AK417</f>
        <v/>
      </c>
      <c r="AL465" s="42">
        <f>AL334+AL417</f>
        <v/>
      </c>
      <c r="AM465" s="42">
        <f>AM334+AM417</f>
        <v/>
      </c>
      <c r="AN465" s="42">
        <f>AN334+AN417</f>
        <v/>
      </c>
      <c r="AO465" s="42">
        <f>AO334+AO417</f>
        <v/>
      </c>
      <c r="AP465" s="42">
        <f>AP334+AP417</f>
        <v/>
      </c>
      <c r="AQ465" s="42">
        <f>AQ334+AQ417</f>
        <v/>
      </c>
      <c r="AR465" s="42">
        <f>AR334+AR417</f>
        <v/>
      </c>
      <c r="AS465" s="42">
        <f>AS334+AS417</f>
        <v/>
      </c>
      <c r="AT465" s="42">
        <f>AT334+AT417</f>
        <v/>
      </c>
      <c r="AU465" s="42">
        <f>AU334+AU417</f>
        <v/>
      </c>
      <c r="AV465" s="42">
        <f>AV334+AV417</f>
        <v/>
      </c>
      <c r="AW465" s="42">
        <f>AW334+AW417</f>
        <v/>
      </c>
      <c r="AX465" s="42">
        <f>AX334+AX417</f>
        <v/>
      </c>
      <c r="AY465" s="42">
        <f>AY334+AY417</f>
        <v/>
      </c>
      <c r="AZ465" s="42">
        <f>AZ334+AZ417</f>
        <v/>
      </c>
      <c r="BA465" s="42">
        <f>BA334+BA417</f>
        <v/>
      </c>
      <c r="BB465" s="42">
        <f>BB334+BB417</f>
        <v/>
      </c>
      <c r="BC465" s="42">
        <f>BC334+BC417</f>
        <v/>
      </c>
      <c r="BD465" s="42">
        <f>BD334+BD417</f>
        <v/>
      </c>
    </row>
    <row r="466">
      <c r="A466" s="2" t="inlineStr">
        <is>
          <t xml:space="preserve">   Spinach, Tunnel Spinach — against the ceiling in the SPINACH block</t>
        </is>
      </c>
    </row>
    <row r="467">
      <c r="A467" s="41" t="inlineStr">
        <is>
          <t>Spinach / Wholesale — SOLD, every name that sells as Spinach</t>
        </is>
      </c>
      <c r="B467" s="2" t="inlineStr">
        <is>
          <t>lb</t>
        </is>
      </c>
      <c r="E467" s="42">
        <f>E340+E423</f>
        <v/>
      </c>
      <c r="F467" s="42">
        <f>F340+F423</f>
        <v/>
      </c>
      <c r="G467" s="42">
        <f>G340+G423</f>
        <v/>
      </c>
      <c r="H467" s="42">
        <f>H340+H423</f>
        <v/>
      </c>
      <c r="I467" s="42">
        <f>I340+I423</f>
        <v/>
      </c>
      <c r="J467" s="42">
        <f>J340+J423</f>
        <v/>
      </c>
      <c r="K467" s="42">
        <f>K340+K423</f>
        <v/>
      </c>
      <c r="L467" s="42">
        <f>L340+L423</f>
        <v/>
      </c>
      <c r="M467" s="42">
        <f>M340+M423</f>
        <v/>
      </c>
      <c r="N467" s="42">
        <f>N340+N423</f>
        <v/>
      </c>
      <c r="O467" s="42">
        <f>O340+O423</f>
        <v/>
      </c>
      <c r="P467" s="42">
        <f>P340+P423</f>
        <v/>
      </c>
      <c r="Q467" s="42">
        <f>Q340+Q423</f>
        <v/>
      </c>
      <c r="R467" s="42">
        <f>R340+R423</f>
        <v/>
      </c>
      <c r="S467" s="42">
        <f>S340+S423</f>
        <v/>
      </c>
      <c r="T467" s="42">
        <f>T340+T423</f>
        <v/>
      </c>
      <c r="U467" s="42">
        <f>U340+U423</f>
        <v/>
      </c>
      <c r="V467" s="42">
        <f>V340+V423</f>
        <v/>
      </c>
      <c r="W467" s="42">
        <f>W340+W423</f>
        <v/>
      </c>
      <c r="X467" s="42">
        <f>X340+X423</f>
        <v/>
      </c>
      <c r="Y467" s="42">
        <f>Y340+Y423</f>
        <v/>
      </c>
      <c r="Z467" s="42">
        <f>Z340+Z423</f>
        <v/>
      </c>
      <c r="AA467" s="42">
        <f>AA340+AA423</f>
        <v/>
      </c>
      <c r="AB467" s="42">
        <f>AB340+AB423</f>
        <v/>
      </c>
      <c r="AC467" s="42">
        <f>AC340+AC423</f>
        <v/>
      </c>
      <c r="AD467" s="42">
        <f>AD340+AD423</f>
        <v/>
      </c>
      <c r="AE467" s="42">
        <f>AE340+AE423</f>
        <v/>
      </c>
      <c r="AF467" s="42">
        <f>AF340+AF423</f>
        <v/>
      </c>
      <c r="AG467" s="42">
        <f>AG340+AG423</f>
        <v/>
      </c>
      <c r="AH467" s="42">
        <f>AH340+AH423</f>
        <v/>
      </c>
      <c r="AI467" s="42">
        <f>AI340+AI423</f>
        <v/>
      </c>
      <c r="AJ467" s="42">
        <f>AJ340+AJ423</f>
        <v/>
      </c>
      <c r="AK467" s="42">
        <f>AK340+AK423</f>
        <v/>
      </c>
      <c r="AL467" s="42">
        <f>AL340+AL423</f>
        <v/>
      </c>
      <c r="AM467" s="42">
        <f>AM340+AM423</f>
        <v/>
      </c>
      <c r="AN467" s="42">
        <f>AN340+AN423</f>
        <v/>
      </c>
      <c r="AO467" s="42">
        <f>AO340+AO423</f>
        <v/>
      </c>
      <c r="AP467" s="42">
        <f>AP340+AP423</f>
        <v/>
      </c>
      <c r="AQ467" s="42">
        <f>AQ340+AQ423</f>
        <v/>
      </c>
      <c r="AR467" s="42">
        <f>AR340+AR423</f>
        <v/>
      </c>
      <c r="AS467" s="42">
        <f>AS340+AS423</f>
        <v/>
      </c>
      <c r="AT467" s="42">
        <f>AT340+AT423</f>
        <v/>
      </c>
      <c r="AU467" s="42">
        <f>AU340+AU423</f>
        <v/>
      </c>
      <c r="AV467" s="42">
        <f>AV340+AV423</f>
        <v/>
      </c>
      <c r="AW467" s="42">
        <f>AW340+AW423</f>
        <v/>
      </c>
      <c r="AX467" s="42">
        <f>AX340+AX423</f>
        <v/>
      </c>
      <c r="AY467" s="42">
        <f>AY340+AY423</f>
        <v/>
      </c>
      <c r="AZ467" s="42">
        <f>AZ340+AZ423</f>
        <v/>
      </c>
      <c r="BA467" s="42">
        <f>BA340+BA423</f>
        <v/>
      </c>
      <c r="BB467" s="42">
        <f>BB340+BB423</f>
        <v/>
      </c>
      <c r="BC467" s="42">
        <f>BC340+BC423</f>
        <v/>
      </c>
      <c r="BD467" s="42">
        <f>BD340+BD423</f>
        <v/>
      </c>
    </row>
    <row r="468">
      <c r="A468" s="2" t="inlineStr">
        <is>
          <t xml:space="preserve">   Spinach, Tunnel Spinach — against the ceiling in the SPINACH block</t>
        </is>
      </c>
    </row>
    <row r="470">
      <c r="A470" s="3" t="inlineStr">
        <is>
          <t>5d — CONTRACTS  (what you have already promised to deliver)</t>
        </is>
      </c>
    </row>
    <row r="471">
      <c r="A471" s="12" t="inlineStr">
        <is>
          <t>Sells as</t>
        </is>
      </c>
      <c r="B471" s="12" t="inlineStr">
        <is>
          <t>Channel</t>
        </is>
      </c>
      <c r="C471" s="12" t="inlineStr">
        <is>
          <t>lb / week</t>
        </is>
      </c>
      <c r="D471" s="12" t="inlineStr">
        <is>
          <t>From wk</t>
        </is>
      </c>
      <c r="E471" s="12" t="inlineStr">
        <is>
          <t>To wk</t>
        </is>
      </c>
      <c r="F471" s="12" t="inlineStr">
        <is>
          <t>Penalty $/lb</t>
        </is>
      </c>
      <c r="G471" s="12" t="inlineStr">
        <is>
          <t>If short</t>
        </is>
      </c>
    </row>
    <row r="472">
      <c r="A472" s="13" t="inlineStr">
        <is>
          <t>Kale</t>
        </is>
      </c>
      <c r="B472" s="13" t="inlineStr">
        <is>
          <t>Wholesale</t>
        </is>
      </c>
      <c r="C472" s="10" t="n">
        <v>1500</v>
      </c>
      <c r="D472" s="27" t="n">
        <v>20</v>
      </c>
      <c r="E472" s="27" t="n">
        <v>40</v>
      </c>
      <c r="F472" s="21" t="n">
        <v>0.5</v>
      </c>
      <c r="G472" s="22" t="inlineStr">
        <is>
          <t>penalty</t>
        </is>
      </c>
      <c r="H472" s="2">
        <f>IF(AND(G472&lt;&gt;"penalty",G472&lt;&gt;"deliver"),"⚠️ If short must be penalty or deliver",IF(AND(G472="penalty",NOT(N(F472)&gt;0)),"⚠️ a penalty needs a price",""))</f>
        <v/>
      </c>
    </row>
    <row r="473">
      <c r="A473" s="13" t="inlineStr">
        <is>
          <t>Spinach</t>
        </is>
      </c>
      <c r="B473" s="13" t="inlineStr">
        <is>
          <t>Wholesale</t>
        </is>
      </c>
      <c r="C473" s="10" t="n">
        <v>2000</v>
      </c>
      <c r="D473" s="27" t="n">
        <v>28</v>
      </c>
      <c r="E473" s="27" t="n">
        <v>36</v>
      </c>
      <c r="F473" s="21" t="n">
        <v>0.5</v>
      </c>
      <c r="G473" s="22" t="inlineStr">
        <is>
          <t>penalty</t>
        </is>
      </c>
      <c r="H473" s="2">
        <f>IF(AND(G473&lt;&gt;"penalty",G473&lt;&gt;"deliver"),"⚠️ If short must be penalty or deliver",IF(AND(G473="penalty",NOT(N(F473)&gt;0)),"⚠️ a penalty needs a price",""))</f>
        <v/>
      </c>
    </row>
    <row r="474">
      <c r="A474" s="13" t="inlineStr">
        <is>
          <t>Asparagus</t>
        </is>
      </c>
      <c r="B474" s="13" t="inlineStr">
        <is>
          <t>Wholesale</t>
        </is>
      </c>
      <c r="C474" s="10" t="n">
        <v>500</v>
      </c>
      <c r="D474" s="27" t="n">
        <v>18</v>
      </c>
      <c r="E474" s="27" t="n">
        <v>25</v>
      </c>
      <c r="F474" s="23" t="inlineStr">
        <is>
          <t>-</t>
        </is>
      </c>
      <c r="G474" s="22" t="inlineStr">
        <is>
          <t>deliver</t>
        </is>
      </c>
      <c r="H474" s="2">
        <f>IF(AND(G474&lt;&gt;"penalty",G474&lt;&gt;"deliver"),"⚠️ If short must be penalty or deliver",IF(AND(G474="penalty",NOT(N(F474)&gt;0)),"⚠️ a penalty needs a price",""))</f>
        <v/>
      </c>
    </row>
    <row r="475">
      <c r="A475" s="2" t="inlineStr">
        <is>
          <t xml:space="preserve">   ⚠️ The penalty is per lb SHORT, on top of the sale you did not make. It is what a missed delivery costs you — cover purchases, a lost account. Set it low and the plan will short a contract it could have met.</t>
        </is>
      </c>
    </row>
    <row r="476">
      <c r="A476" s="2" t="inlineStr">
        <is>
          <t xml:space="preserve">   'If short' is REQUIRED: penalty (a price per lb short) or deliver (no shortfall at all — if no plan can fill it, there is no plan). A blank penalty would make the contract mean nothing.</t>
        </is>
      </c>
    </row>
    <row r="478">
      <c r="A478" s="36" t="inlineStr">
        <is>
          <t>Week</t>
        </is>
      </c>
      <c r="B478" s="37" t="inlineStr">
        <is>
          <t>lb</t>
        </is>
      </c>
      <c r="E478" s="38" t="n">
        <v>1</v>
      </c>
      <c r="F478" s="38" t="n">
        <v>2</v>
      </c>
      <c r="G478" s="38" t="n">
        <v>3</v>
      </c>
      <c r="H478" s="38" t="n">
        <v>4</v>
      </c>
      <c r="I478" s="38" t="n">
        <v>5</v>
      </c>
      <c r="J478" s="38" t="n">
        <v>6</v>
      </c>
      <c r="K478" s="38" t="n">
        <v>7</v>
      </c>
      <c r="L478" s="38" t="n">
        <v>8</v>
      </c>
      <c r="M478" s="38" t="n">
        <v>9</v>
      </c>
      <c r="N478" s="38" t="n">
        <v>10</v>
      </c>
      <c r="O478" s="38" t="n">
        <v>11</v>
      </c>
      <c r="P478" s="38" t="n">
        <v>12</v>
      </c>
      <c r="Q478" s="38" t="n">
        <v>13</v>
      </c>
      <c r="R478" s="38" t="n">
        <v>14</v>
      </c>
      <c r="S478" s="38" t="n">
        <v>15</v>
      </c>
      <c r="T478" s="38" t="n">
        <v>16</v>
      </c>
      <c r="U478" s="38" t="n">
        <v>17</v>
      </c>
      <c r="V478" s="38" t="n">
        <v>18</v>
      </c>
      <c r="W478" s="38" t="n">
        <v>19</v>
      </c>
      <c r="X478" s="38" t="n">
        <v>20</v>
      </c>
      <c r="Y478" s="38" t="n">
        <v>21</v>
      </c>
      <c r="Z478" s="38" t="n">
        <v>22</v>
      </c>
      <c r="AA478" s="38" t="n">
        <v>23</v>
      </c>
      <c r="AB478" s="38" t="n">
        <v>24</v>
      </c>
      <c r="AC478" s="38" t="n">
        <v>25</v>
      </c>
      <c r="AD478" s="38" t="n">
        <v>26</v>
      </c>
      <c r="AE478" s="38" t="n">
        <v>27</v>
      </c>
      <c r="AF478" s="38" t="n">
        <v>28</v>
      </c>
      <c r="AG478" s="38" t="n">
        <v>29</v>
      </c>
      <c r="AH478" s="38" t="n">
        <v>30</v>
      </c>
      <c r="AI478" s="38" t="n">
        <v>31</v>
      </c>
      <c r="AJ478" s="38" t="n">
        <v>32</v>
      </c>
      <c r="AK478" s="38" t="n">
        <v>33</v>
      </c>
      <c r="AL478" s="38" t="n">
        <v>34</v>
      </c>
      <c r="AM478" s="38" t="n">
        <v>35</v>
      </c>
      <c r="AN478" s="38" t="n">
        <v>36</v>
      </c>
      <c r="AO478" s="38" t="n">
        <v>37</v>
      </c>
      <c r="AP478" s="38" t="n">
        <v>38</v>
      </c>
      <c r="AQ478" s="38" t="n">
        <v>39</v>
      </c>
      <c r="AR478" s="38" t="n">
        <v>40</v>
      </c>
      <c r="AS478" s="38" t="n">
        <v>41</v>
      </c>
      <c r="AT478" s="38" t="n">
        <v>42</v>
      </c>
      <c r="AU478" s="38" t="n">
        <v>43</v>
      </c>
      <c r="AV478" s="38" t="n">
        <v>44</v>
      </c>
      <c r="AW478" s="38" t="n">
        <v>45</v>
      </c>
      <c r="AX478" s="38" t="n">
        <v>46</v>
      </c>
      <c r="AY478" s="38" t="n">
        <v>47</v>
      </c>
      <c r="AZ478" s="38" t="n">
        <v>48</v>
      </c>
      <c r="BA478" s="38" t="n">
        <v>49</v>
      </c>
      <c r="BB478" s="38" t="n">
        <v>50</v>
      </c>
      <c r="BC478" s="38" t="n">
        <v>51</v>
      </c>
      <c r="BD478" s="38" t="n">
        <v>52</v>
      </c>
    </row>
    <row r="479">
      <c r="A479" s="32" t="inlineStr">
        <is>
          <t>Kale / Wholesale — SHORTFALL</t>
        </is>
      </c>
      <c r="B479" s="2" t="inlineStr">
        <is>
          <t>lb &lt;-- SOLVER</t>
        </is>
      </c>
      <c r="E479" s="39" t="n">
        <v>0</v>
      </c>
      <c r="F479" s="39" t="n">
        <v>0</v>
      </c>
      <c r="G479" s="39" t="n">
        <v>0</v>
      </c>
      <c r="H479" s="39" t="n">
        <v>0</v>
      </c>
      <c r="I479" s="39" t="n">
        <v>0</v>
      </c>
      <c r="J479" s="39" t="n">
        <v>0</v>
      </c>
      <c r="K479" s="39" t="n">
        <v>0</v>
      </c>
      <c r="L479" s="39" t="n">
        <v>0</v>
      </c>
      <c r="M479" s="39" t="n">
        <v>0</v>
      </c>
      <c r="N479" s="39" t="n">
        <v>0</v>
      </c>
      <c r="O479" s="39" t="n">
        <v>0</v>
      </c>
      <c r="P479" s="39" t="n">
        <v>0</v>
      </c>
      <c r="Q479" s="39" t="n">
        <v>0</v>
      </c>
      <c r="R479" s="39" t="n">
        <v>0</v>
      </c>
      <c r="S479" s="39" t="n">
        <v>0</v>
      </c>
      <c r="T479" s="39" t="n">
        <v>0</v>
      </c>
      <c r="U479" s="39" t="n">
        <v>0</v>
      </c>
      <c r="V479" s="39" t="n">
        <v>0</v>
      </c>
      <c r="W479" s="39" t="n">
        <v>0</v>
      </c>
      <c r="X479" s="39" t="n">
        <v>0</v>
      </c>
      <c r="Y479" s="39" t="n">
        <v>0</v>
      </c>
      <c r="Z479" s="39" t="n">
        <v>0</v>
      </c>
      <c r="AA479" s="39" t="n">
        <v>0</v>
      </c>
      <c r="AB479" s="39" t="n">
        <v>0</v>
      </c>
      <c r="AC479" s="39" t="n">
        <v>0</v>
      </c>
      <c r="AD479" s="39" t="n">
        <v>0</v>
      </c>
      <c r="AE479" s="39" t="n">
        <v>0</v>
      </c>
      <c r="AF479" s="39" t="n">
        <v>0</v>
      </c>
      <c r="AG479" s="39" t="n">
        <v>0</v>
      </c>
      <c r="AH479" s="39" t="n">
        <v>0</v>
      </c>
      <c r="AI479" s="39" t="n">
        <v>0</v>
      </c>
      <c r="AJ479" s="39" t="n">
        <v>0</v>
      </c>
      <c r="AK479" s="39" t="n">
        <v>0</v>
      </c>
      <c r="AL479" s="39" t="n">
        <v>0</v>
      </c>
      <c r="AM479" s="39" t="n">
        <v>0</v>
      </c>
      <c r="AN479" s="39" t="n">
        <v>0</v>
      </c>
      <c r="AO479" s="39" t="n">
        <v>0</v>
      </c>
      <c r="AP479" s="39" t="n">
        <v>0</v>
      </c>
      <c r="AQ479" s="39" t="n">
        <v>0</v>
      </c>
      <c r="AR479" s="39" t="n">
        <v>0</v>
      </c>
      <c r="AS479" s="39" t="n">
        <v>0</v>
      </c>
      <c r="AT479" s="39" t="n">
        <v>0</v>
      </c>
      <c r="AU479" s="39" t="n">
        <v>0</v>
      </c>
      <c r="AV479" s="39" t="n">
        <v>0</v>
      </c>
      <c r="AW479" s="39" t="n">
        <v>0</v>
      </c>
      <c r="AX479" s="39" t="n">
        <v>0</v>
      </c>
      <c r="AY479" s="39" t="n">
        <v>0</v>
      </c>
      <c r="AZ479" s="39" t="n">
        <v>0</v>
      </c>
      <c r="BA479" s="39" t="n">
        <v>0</v>
      </c>
      <c r="BB479" s="39" t="n">
        <v>0</v>
      </c>
      <c r="BC479" s="39" t="n">
        <v>0</v>
      </c>
      <c r="BD479" s="39" t="n">
        <v>0</v>
      </c>
    </row>
    <row r="480">
      <c r="A480" s="41" t="inlineStr">
        <is>
          <t xml:space="preserve">  delivered + short</t>
        </is>
      </c>
      <c r="B480" s="2" t="inlineStr">
        <is>
          <t>lb</t>
        </is>
      </c>
      <c r="E480" s="42">
        <f>E369+E479</f>
        <v/>
      </c>
      <c r="F480" s="42">
        <f>F369+F479</f>
        <v/>
      </c>
      <c r="G480" s="42">
        <f>G369+G479</f>
        <v/>
      </c>
      <c r="H480" s="42">
        <f>H369+H479</f>
        <v/>
      </c>
      <c r="I480" s="42">
        <f>I369+I479</f>
        <v/>
      </c>
      <c r="J480" s="42">
        <f>J369+J479</f>
        <v/>
      </c>
      <c r="K480" s="42">
        <f>K369+K479</f>
        <v/>
      </c>
      <c r="L480" s="42">
        <f>L369+L479</f>
        <v/>
      </c>
      <c r="M480" s="42">
        <f>M369+M479</f>
        <v/>
      </c>
      <c r="N480" s="42">
        <f>N369+N479</f>
        <v/>
      </c>
      <c r="O480" s="42">
        <f>O369+O479</f>
        <v/>
      </c>
      <c r="P480" s="42">
        <f>P369+P479</f>
        <v/>
      </c>
      <c r="Q480" s="42">
        <f>Q369+Q479</f>
        <v/>
      </c>
      <c r="R480" s="42">
        <f>R369+R479</f>
        <v/>
      </c>
      <c r="S480" s="42">
        <f>S369+S479</f>
        <v/>
      </c>
      <c r="T480" s="42">
        <f>T369+T479</f>
        <v/>
      </c>
      <c r="U480" s="42">
        <f>U369+U479</f>
        <v/>
      </c>
      <c r="V480" s="42">
        <f>V369+V479</f>
        <v/>
      </c>
      <c r="W480" s="42">
        <f>W369+W479</f>
        <v/>
      </c>
      <c r="X480" s="42">
        <f>X369+X479</f>
        <v/>
      </c>
      <c r="Y480" s="42">
        <f>Y369+Y479</f>
        <v/>
      </c>
      <c r="Z480" s="42">
        <f>Z369+Z479</f>
        <v/>
      </c>
      <c r="AA480" s="42">
        <f>AA369+AA479</f>
        <v/>
      </c>
      <c r="AB480" s="42">
        <f>AB369+AB479</f>
        <v/>
      </c>
      <c r="AC480" s="42">
        <f>AC369+AC479</f>
        <v/>
      </c>
      <c r="AD480" s="42">
        <f>AD369+AD479</f>
        <v/>
      </c>
      <c r="AE480" s="42">
        <f>AE369+AE479</f>
        <v/>
      </c>
      <c r="AF480" s="42">
        <f>AF369+AF479</f>
        <v/>
      </c>
      <c r="AG480" s="42">
        <f>AG369+AG479</f>
        <v/>
      </c>
      <c r="AH480" s="42">
        <f>AH369+AH479</f>
        <v/>
      </c>
      <c r="AI480" s="42">
        <f>AI369+AI479</f>
        <v/>
      </c>
      <c r="AJ480" s="42">
        <f>AJ369+AJ479</f>
        <v/>
      </c>
      <c r="AK480" s="42">
        <f>AK369+AK479</f>
        <v/>
      </c>
      <c r="AL480" s="42">
        <f>AL369+AL479</f>
        <v/>
      </c>
      <c r="AM480" s="42">
        <f>AM369+AM479</f>
        <v/>
      </c>
      <c r="AN480" s="42">
        <f>AN369+AN479</f>
        <v/>
      </c>
      <c r="AO480" s="42">
        <f>AO369+AO479</f>
        <v/>
      </c>
      <c r="AP480" s="42">
        <f>AP369+AP479</f>
        <v/>
      </c>
      <c r="AQ480" s="42">
        <f>AQ369+AQ479</f>
        <v/>
      </c>
      <c r="AR480" s="42">
        <f>AR369+AR479</f>
        <v/>
      </c>
      <c r="AS480" s="42">
        <f>AS369+AS479</f>
        <v/>
      </c>
      <c r="AT480" s="42">
        <f>AT369+AT479</f>
        <v/>
      </c>
      <c r="AU480" s="42">
        <f>AU369+AU479</f>
        <v/>
      </c>
      <c r="AV480" s="42">
        <f>AV369+AV479</f>
        <v/>
      </c>
      <c r="AW480" s="42">
        <f>AW369+AW479</f>
        <v/>
      </c>
      <c r="AX480" s="42">
        <f>AX369+AX479</f>
        <v/>
      </c>
      <c r="AY480" s="42">
        <f>AY369+AY479</f>
        <v/>
      </c>
      <c r="AZ480" s="42">
        <f>AZ369+AZ479</f>
        <v/>
      </c>
      <c r="BA480" s="42">
        <f>BA369+BA479</f>
        <v/>
      </c>
      <c r="BB480" s="42">
        <f>BB369+BB479</f>
        <v/>
      </c>
      <c r="BC480" s="42">
        <f>BC369+BC479</f>
        <v/>
      </c>
      <c r="BD480" s="42">
        <f>BD369+BD479</f>
        <v/>
      </c>
    </row>
    <row r="481">
      <c r="A481" s="41" t="inlineStr">
        <is>
          <t xml:space="preserve">  owed (row 472)</t>
        </is>
      </c>
      <c r="B481" s="2" t="inlineStr">
        <is>
          <t>lb</t>
        </is>
      </c>
      <c r="E481" s="42">
        <f>IF(AND(1&gt;=$D$472,1&lt;=$E$472),$C$472,0)</f>
        <v/>
      </c>
      <c r="F481" s="42">
        <f>IF(AND(2&gt;=$D$472,2&lt;=$E$472),$C$472,0)</f>
        <v/>
      </c>
      <c r="G481" s="42">
        <f>IF(AND(3&gt;=$D$472,3&lt;=$E$472),$C$472,0)</f>
        <v/>
      </c>
      <c r="H481" s="42">
        <f>IF(AND(4&gt;=$D$472,4&lt;=$E$472),$C$472,0)</f>
        <v/>
      </c>
      <c r="I481" s="42">
        <f>IF(AND(5&gt;=$D$472,5&lt;=$E$472),$C$472,0)</f>
        <v/>
      </c>
      <c r="J481" s="42">
        <f>IF(AND(6&gt;=$D$472,6&lt;=$E$472),$C$472,0)</f>
        <v/>
      </c>
      <c r="K481" s="42">
        <f>IF(AND(7&gt;=$D$472,7&lt;=$E$472),$C$472,0)</f>
        <v/>
      </c>
      <c r="L481" s="42">
        <f>IF(AND(8&gt;=$D$472,8&lt;=$E$472),$C$472,0)</f>
        <v/>
      </c>
      <c r="M481" s="42">
        <f>IF(AND(9&gt;=$D$472,9&lt;=$E$472),$C$472,0)</f>
        <v/>
      </c>
      <c r="N481" s="42">
        <f>IF(AND(10&gt;=$D$472,10&lt;=$E$472),$C$472,0)</f>
        <v/>
      </c>
      <c r="O481" s="42">
        <f>IF(AND(11&gt;=$D$472,11&lt;=$E$472),$C$472,0)</f>
        <v/>
      </c>
      <c r="P481" s="42">
        <f>IF(AND(12&gt;=$D$472,12&lt;=$E$472),$C$472,0)</f>
        <v/>
      </c>
      <c r="Q481" s="42">
        <f>IF(AND(13&gt;=$D$472,13&lt;=$E$472),$C$472,0)</f>
        <v/>
      </c>
      <c r="R481" s="42">
        <f>IF(AND(14&gt;=$D$472,14&lt;=$E$472),$C$472,0)</f>
        <v/>
      </c>
      <c r="S481" s="42">
        <f>IF(AND(15&gt;=$D$472,15&lt;=$E$472),$C$472,0)</f>
        <v/>
      </c>
      <c r="T481" s="42">
        <f>IF(AND(16&gt;=$D$472,16&lt;=$E$472),$C$472,0)</f>
        <v/>
      </c>
      <c r="U481" s="42">
        <f>IF(AND(17&gt;=$D$472,17&lt;=$E$472),$C$472,0)</f>
        <v/>
      </c>
      <c r="V481" s="42">
        <f>IF(AND(18&gt;=$D$472,18&lt;=$E$472),$C$472,0)</f>
        <v/>
      </c>
      <c r="W481" s="42">
        <f>IF(AND(19&gt;=$D$472,19&lt;=$E$472),$C$472,0)</f>
        <v/>
      </c>
      <c r="X481" s="42">
        <f>IF(AND(20&gt;=$D$472,20&lt;=$E$472),$C$472,0)</f>
        <v/>
      </c>
      <c r="Y481" s="42">
        <f>IF(AND(21&gt;=$D$472,21&lt;=$E$472),$C$472,0)</f>
        <v/>
      </c>
      <c r="Z481" s="42">
        <f>IF(AND(22&gt;=$D$472,22&lt;=$E$472),$C$472,0)</f>
        <v/>
      </c>
      <c r="AA481" s="42">
        <f>IF(AND(23&gt;=$D$472,23&lt;=$E$472),$C$472,0)</f>
        <v/>
      </c>
      <c r="AB481" s="42">
        <f>IF(AND(24&gt;=$D$472,24&lt;=$E$472),$C$472,0)</f>
        <v/>
      </c>
      <c r="AC481" s="42">
        <f>IF(AND(25&gt;=$D$472,25&lt;=$E$472),$C$472,0)</f>
        <v/>
      </c>
      <c r="AD481" s="42">
        <f>IF(AND(26&gt;=$D$472,26&lt;=$E$472),$C$472,0)</f>
        <v/>
      </c>
      <c r="AE481" s="42">
        <f>IF(AND(27&gt;=$D$472,27&lt;=$E$472),$C$472,0)</f>
        <v/>
      </c>
      <c r="AF481" s="42">
        <f>IF(AND(28&gt;=$D$472,28&lt;=$E$472),$C$472,0)</f>
        <v/>
      </c>
      <c r="AG481" s="42">
        <f>IF(AND(29&gt;=$D$472,29&lt;=$E$472),$C$472,0)</f>
        <v/>
      </c>
      <c r="AH481" s="42">
        <f>IF(AND(30&gt;=$D$472,30&lt;=$E$472),$C$472,0)</f>
        <v/>
      </c>
      <c r="AI481" s="42">
        <f>IF(AND(31&gt;=$D$472,31&lt;=$E$472),$C$472,0)</f>
        <v/>
      </c>
      <c r="AJ481" s="42">
        <f>IF(AND(32&gt;=$D$472,32&lt;=$E$472),$C$472,0)</f>
        <v/>
      </c>
      <c r="AK481" s="42">
        <f>IF(AND(33&gt;=$D$472,33&lt;=$E$472),$C$472,0)</f>
        <v/>
      </c>
      <c r="AL481" s="42">
        <f>IF(AND(34&gt;=$D$472,34&lt;=$E$472),$C$472,0)</f>
        <v/>
      </c>
      <c r="AM481" s="42">
        <f>IF(AND(35&gt;=$D$472,35&lt;=$E$472),$C$472,0)</f>
        <v/>
      </c>
      <c r="AN481" s="42">
        <f>IF(AND(36&gt;=$D$472,36&lt;=$E$472),$C$472,0)</f>
        <v/>
      </c>
      <c r="AO481" s="42">
        <f>IF(AND(37&gt;=$D$472,37&lt;=$E$472),$C$472,0)</f>
        <v/>
      </c>
      <c r="AP481" s="42">
        <f>IF(AND(38&gt;=$D$472,38&lt;=$E$472),$C$472,0)</f>
        <v/>
      </c>
      <c r="AQ481" s="42">
        <f>IF(AND(39&gt;=$D$472,39&lt;=$E$472),$C$472,0)</f>
        <v/>
      </c>
      <c r="AR481" s="42">
        <f>IF(AND(40&gt;=$D$472,40&lt;=$E$472),$C$472,0)</f>
        <v/>
      </c>
      <c r="AS481" s="42">
        <f>IF(AND(41&gt;=$D$472,41&lt;=$E$472),$C$472,0)</f>
        <v/>
      </c>
      <c r="AT481" s="42">
        <f>IF(AND(42&gt;=$D$472,42&lt;=$E$472),$C$472,0)</f>
        <v/>
      </c>
      <c r="AU481" s="42">
        <f>IF(AND(43&gt;=$D$472,43&lt;=$E$472),$C$472,0)</f>
        <v/>
      </c>
      <c r="AV481" s="42">
        <f>IF(AND(44&gt;=$D$472,44&lt;=$E$472),$C$472,0)</f>
        <v/>
      </c>
      <c r="AW481" s="42">
        <f>IF(AND(45&gt;=$D$472,45&lt;=$E$472),$C$472,0)</f>
        <v/>
      </c>
      <c r="AX481" s="42">
        <f>IF(AND(46&gt;=$D$472,46&lt;=$E$472),$C$472,0)</f>
        <v/>
      </c>
      <c r="AY481" s="42">
        <f>IF(AND(47&gt;=$D$472,47&lt;=$E$472),$C$472,0)</f>
        <v/>
      </c>
      <c r="AZ481" s="42">
        <f>IF(AND(48&gt;=$D$472,48&lt;=$E$472),$C$472,0)</f>
        <v/>
      </c>
      <c r="BA481" s="42">
        <f>IF(AND(49&gt;=$D$472,49&lt;=$E$472),$C$472,0)</f>
        <v/>
      </c>
      <c r="BB481" s="42">
        <f>IF(AND(50&gt;=$D$472,50&lt;=$E$472),$C$472,0)</f>
        <v/>
      </c>
      <c r="BC481" s="42">
        <f>IF(AND(51&gt;=$D$472,51&lt;=$E$472),$C$472,0)</f>
        <v/>
      </c>
      <c r="BD481" s="42">
        <f>IF(AND(52&gt;=$D$472,52&lt;=$E$472),$C$472,0)</f>
        <v/>
      </c>
    </row>
    <row r="482">
      <c r="A482" s="41" t="inlineStr">
        <is>
          <t xml:space="preserve">  may be short (row 472)</t>
        </is>
      </c>
      <c r="B482" s="2" t="inlineStr">
        <is>
          <t>lb</t>
        </is>
      </c>
      <c r="E482" s="42">
        <f>IF($G$472="penalty",E481,0)</f>
        <v/>
      </c>
      <c r="F482" s="42">
        <f>IF($G$472="penalty",F481,0)</f>
        <v/>
      </c>
      <c r="G482" s="42">
        <f>IF($G$472="penalty",G481,0)</f>
        <v/>
      </c>
      <c r="H482" s="42">
        <f>IF($G$472="penalty",H481,0)</f>
        <v/>
      </c>
      <c r="I482" s="42">
        <f>IF($G$472="penalty",I481,0)</f>
        <v/>
      </c>
      <c r="J482" s="42">
        <f>IF($G$472="penalty",J481,0)</f>
        <v/>
      </c>
      <c r="K482" s="42">
        <f>IF($G$472="penalty",K481,0)</f>
        <v/>
      </c>
      <c r="L482" s="42">
        <f>IF($G$472="penalty",L481,0)</f>
        <v/>
      </c>
      <c r="M482" s="42">
        <f>IF($G$472="penalty",M481,0)</f>
        <v/>
      </c>
      <c r="N482" s="42">
        <f>IF($G$472="penalty",N481,0)</f>
        <v/>
      </c>
      <c r="O482" s="42">
        <f>IF($G$472="penalty",O481,0)</f>
        <v/>
      </c>
      <c r="P482" s="42">
        <f>IF($G$472="penalty",P481,0)</f>
        <v/>
      </c>
      <c r="Q482" s="42">
        <f>IF($G$472="penalty",Q481,0)</f>
        <v/>
      </c>
      <c r="R482" s="42">
        <f>IF($G$472="penalty",R481,0)</f>
        <v/>
      </c>
      <c r="S482" s="42">
        <f>IF($G$472="penalty",S481,0)</f>
        <v/>
      </c>
      <c r="T482" s="42">
        <f>IF($G$472="penalty",T481,0)</f>
        <v/>
      </c>
      <c r="U482" s="42">
        <f>IF($G$472="penalty",U481,0)</f>
        <v/>
      </c>
      <c r="V482" s="42">
        <f>IF($G$472="penalty",V481,0)</f>
        <v/>
      </c>
      <c r="W482" s="42">
        <f>IF($G$472="penalty",W481,0)</f>
        <v/>
      </c>
      <c r="X482" s="42">
        <f>IF($G$472="penalty",X481,0)</f>
        <v/>
      </c>
      <c r="Y482" s="42">
        <f>IF($G$472="penalty",Y481,0)</f>
        <v/>
      </c>
      <c r="Z482" s="42">
        <f>IF($G$472="penalty",Z481,0)</f>
        <v/>
      </c>
      <c r="AA482" s="42">
        <f>IF($G$472="penalty",AA481,0)</f>
        <v/>
      </c>
      <c r="AB482" s="42">
        <f>IF($G$472="penalty",AB481,0)</f>
        <v/>
      </c>
      <c r="AC482" s="42">
        <f>IF($G$472="penalty",AC481,0)</f>
        <v/>
      </c>
      <c r="AD482" s="42">
        <f>IF($G$472="penalty",AD481,0)</f>
        <v/>
      </c>
      <c r="AE482" s="42">
        <f>IF($G$472="penalty",AE481,0)</f>
        <v/>
      </c>
      <c r="AF482" s="42">
        <f>IF($G$472="penalty",AF481,0)</f>
        <v/>
      </c>
      <c r="AG482" s="42">
        <f>IF($G$472="penalty",AG481,0)</f>
        <v/>
      </c>
      <c r="AH482" s="42">
        <f>IF($G$472="penalty",AH481,0)</f>
        <v/>
      </c>
      <c r="AI482" s="42">
        <f>IF($G$472="penalty",AI481,0)</f>
        <v/>
      </c>
      <c r="AJ482" s="42">
        <f>IF($G$472="penalty",AJ481,0)</f>
        <v/>
      </c>
      <c r="AK482" s="42">
        <f>IF($G$472="penalty",AK481,0)</f>
        <v/>
      </c>
      <c r="AL482" s="42">
        <f>IF($G$472="penalty",AL481,0)</f>
        <v/>
      </c>
      <c r="AM482" s="42">
        <f>IF($G$472="penalty",AM481,0)</f>
        <v/>
      </c>
      <c r="AN482" s="42">
        <f>IF($G$472="penalty",AN481,0)</f>
        <v/>
      </c>
      <c r="AO482" s="42">
        <f>IF($G$472="penalty",AO481,0)</f>
        <v/>
      </c>
      <c r="AP482" s="42">
        <f>IF($G$472="penalty",AP481,0)</f>
        <v/>
      </c>
      <c r="AQ482" s="42">
        <f>IF($G$472="penalty",AQ481,0)</f>
        <v/>
      </c>
      <c r="AR482" s="42">
        <f>IF($G$472="penalty",AR481,0)</f>
        <v/>
      </c>
      <c r="AS482" s="42">
        <f>IF($G$472="penalty",AS481,0)</f>
        <v/>
      </c>
      <c r="AT482" s="42">
        <f>IF($G$472="penalty",AT481,0)</f>
        <v/>
      </c>
      <c r="AU482" s="42">
        <f>IF($G$472="penalty",AU481,0)</f>
        <v/>
      </c>
      <c r="AV482" s="42">
        <f>IF($G$472="penalty",AV481,0)</f>
        <v/>
      </c>
      <c r="AW482" s="42">
        <f>IF($G$472="penalty",AW481,0)</f>
        <v/>
      </c>
      <c r="AX482" s="42">
        <f>IF($G$472="penalty",AX481,0)</f>
        <v/>
      </c>
      <c r="AY482" s="42">
        <f>IF($G$472="penalty",AY481,0)</f>
        <v/>
      </c>
      <c r="AZ482" s="42">
        <f>IF($G$472="penalty",AZ481,0)</f>
        <v/>
      </c>
      <c r="BA482" s="42">
        <f>IF($G$472="penalty",BA481,0)</f>
        <v/>
      </c>
      <c r="BB482" s="42">
        <f>IF($G$472="penalty",BB481,0)</f>
        <v/>
      </c>
      <c r="BC482" s="42">
        <f>IF($G$472="penalty",BC481,0)</f>
        <v/>
      </c>
      <c r="BD482" s="42">
        <f>IF($G$472="penalty",BD481,0)</f>
        <v/>
      </c>
    </row>
    <row r="483">
      <c r="A483" s="33" t="inlineStr">
        <is>
          <t xml:space="preserve">  penalty</t>
        </is>
      </c>
      <c r="B483" s="2" t="inlineStr">
        <is>
          <t>$</t>
        </is>
      </c>
      <c r="E483" s="40">
        <f>E479*N($F$472)</f>
        <v/>
      </c>
      <c r="F483" s="40">
        <f>F479*N($F$472)</f>
        <v/>
      </c>
      <c r="G483" s="40">
        <f>G479*N($F$472)</f>
        <v/>
      </c>
      <c r="H483" s="40">
        <f>H479*N($F$472)</f>
        <v/>
      </c>
      <c r="I483" s="40">
        <f>I479*N($F$472)</f>
        <v/>
      </c>
      <c r="J483" s="40">
        <f>J479*N($F$472)</f>
        <v/>
      </c>
      <c r="K483" s="40">
        <f>K479*N($F$472)</f>
        <v/>
      </c>
      <c r="L483" s="40">
        <f>L479*N($F$472)</f>
        <v/>
      </c>
      <c r="M483" s="40">
        <f>M479*N($F$472)</f>
        <v/>
      </c>
      <c r="N483" s="40">
        <f>N479*N($F$472)</f>
        <v/>
      </c>
      <c r="O483" s="40">
        <f>O479*N($F$472)</f>
        <v/>
      </c>
      <c r="P483" s="40">
        <f>P479*N($F$472)</f>
        <v/>
      </c>
      <c r="Q483" s="40">
        <f>Q479*N($F$472)</f>
        <v/>
      </c>
      <c r="R483" s="40">
        <f>R479*N($F$472)</f>
        <v/>
      </c>
      <c r="S483" s="40">
        <f>S479*N($F$472)</f>
        <v/>
      </c>
      <c r="T483" s="40">
        <f>T479*N($F$472)</f>
        <v/>
      </c>
      <c r="U483" s="40">
        <f>U479*N($F$472)</f>
        <v/>
      </c>
      <c r="V483" s="40">
        <f>V479*N($F$472)</f>
        <v/>
      </c>
      <c r="W483" s="40">
        <f>W479*N($F$472)</f>
        <v/>
      </c>
      <c r="X483" s="40">
        <f>X479*N($F$472)</f>
        <v/>
      </c>
      <c r="Y483" s="40">
        <f>Y479*N($F$472)</f>
        <v/>
      </c>
      <c r="Z483" s="40">
        <f>Z479*N($F$472)</f>
        <v/>
      </c>
      <c r="AA483" s="40">
        <f>AA479*N($F$472)</f>
        <v/>
      </c>
      <c r="AB483" s="40">
        <f>AB479*N($F$472)</f>
        <v/>
      </c>
      <c r="AC483" s="40">
        <f>AC479*N($F$472)</f>
        <v/>
      </c>
      <c r="AD483" s="40">
        <f>AD479*N($F$472)</f>
        <v/>
      </c>
      <c r="AE483" s="40">
        <f>AE479*N($F$472)</f>
        <v/>
      </c>
      <c r="AF483" s="40">
        <f>AF479*N($F$472)</f>
        <v/>
      </c>
      <c r="AG483" s="40">
        <f>AG479*N($F$472)</f>
        <v/>
      </c>
      <c r="AH483" s="40">
        <f>AH479*N($F$472)</f>
        <v/>
      </c>
      <c r="AI483" s="40">
        <f>AI479*N($F$472)</f>
        <v/>
      </c>
      <c r="AJ483" s="40">
        <f>AJ479*N($F$472)</f>
        <v/>
      </c>
      <c r="AK483" s="40">
        <f>AK479*N($F$472)</f>
        <v/>
      </c>
      <c r="AL483" s="40">
        <f>AL479*N($F$472)</f>
        <v/>
      </c>
      <c r="AM483" s="40">
        <f>AM479*N($F$472)</f>
        <v/>
      </c>
      <c r="AN483" s="40">
        <f>AN479*N($F$472)</f>
        <v/>
      </c>
      <c r="AO483" s="40">
        <f>AO479*N($F$472)</f>
        <v/>
      </c>
      <c r="AP483" s="40">
        <f>AP479*N($F$472)</f>
        <v/>
      </c>
      <c r="AQ483" s="40">
        <f>AQ479*N($F$472)</f>
        <v/>
      </c>
      <c r="AR483" s="40">
        <f>AR479*N($F$472)</f>
        <v/>
      </c>
      <c r="AS483" s="40">
        <f>AS479*N($F$472)</f>
        <v/>
      </c>
      <c r="AT483" s="40">
        <f>AT479*N($F$472)</f>
        <v/>
      </c>
      <c r="AU483" s="40">
        <f>AU479*N($F$472)</f>
        <v/>
      </c>
      <c r="AV483" s="40">
        <f>AV479*N($F$472)</f>
        <v/>
      </c>
      <c r="AW483" s="40">
        <f>AW479*N($F$472)</f>
        <v/>
      </c>
      <c r="AX483" s="40">
        <f>AX479*N($F$472)</f>
        <v/>
      </c>
      <c r="AY483" s="40">
        <f>AY479*N($F$472)</f>
        <v/>
      </c>
      <c r="AZ483" s="40">
        <f>AZ479*N($F$472)</f>
        <v/>
      </c>
      <c r="BA483" s="40">
        <f>BA479*N($F$472)</f>
        <v/>
      </c>
      <c r="BB483" s="40">
        <f>BB479*N($F$472)</f>
        <v/>
      </c>
      <c r="BC483" s="40">
        <f>BC479*N($F$472)</f>
        <v/>
      </c>
      <c r="BD483" s="40">
        <f>BD479*N($F$472)</f>
        <v/>
      </c>
    </row>
    <row r="484">
      <c r="A484" s="2" t="inlineStr">
        <is>
          <t xml:space="preserve">   delivered + short &gt;= owed, and short &lt;= 'may be short': the order on a penalty contract (you cannot be short of an order nobody placed), 0 on a deliver one.</t>
        </is>
      </c>
    </row>
    <row r="486">
      <c r="A486" s="36" t="inlineStr">
        <is>
          <t>Week</t>
        </is>
      </c>
      <c r="B486" s="37" t="inlineStr">
        <is>
          <t>lb</t>
        </is>
      </c>
      <c r="E486" s="38" t="n">
        <v>1</v>
      </c>
      <c r="F486" s="38" t="n">
        <v>2</v>
      </c>
      <c r="G486" s="38" t="n">
        <v>3</v>
      </c>
      <c r="H486" s="38" t="n">
        <v>4</v>
      </c>
      <c r="I486" s="38" t="n">
        <v>5</v>
      </c>
      <c r="J486" s="38" t="n">
        <v>6</v>
      </c>
      <c r="K486" s="38" t="n">
        <v>7</v>
      </c>
      <c r="L486" s="38" t="n">
        <v>8</v>
      </c>
      <c r="M486" s="38" t="n">
        <v>9</v>
      </c>
      <c r="N486" s="38" t="n">
        <v>10</v>
      </c>
      <c r="O486" s="38" t="n">
        <v>11</v>
      </c>
      <c r="P486" s="38" t="n">
        <v>12</v>
      </c>
      <c r="Q486" s="38" t="n">
        <v>13</v>
      </c>
      <c r="R486" s="38" t="n">
        <v>14</v>
      </c>
      <c r="S486" s="38" t="n">
        <v>15</v>
      </c>
      <c r="T486" s="38" t="n">
        <v>16</v>
      </c>
      <c r="U486" s="38" t="n">
        <v>17</v>
      </c>
      <c r="V486" s="38" t="n">
        <v>18</v>
      </c>
      <c r="W486" s="38" t="n">
        <v>19</v>
      </c>
      <c r="X486" s="38" t="n">
        <v>20</v>
      </c>
      <c r="Y486" s="38" t="n">
        <v>21</v>
      </c>
      <c r="Z486" s="38" t="n">
        <v>22</v>
      </c>
      <c r="AA486" s="38" t="n">
        <v>23</v>
      </c>
      <c r="AB486" s="38" t="n">
        <v>24</v>
      </c>
      <c r="AC486" s="38" t="n">
        <v>25</v>
      </c>
      <c r="AD486" s="38" t="n">
        <v>26</v>
      </c>
      <c r="AE486" s="38" t="n">
        <v>27</v>
      </c>
      <c r="AF486" s="38" t="n">
        <v>28</v>
      </c>
      <c r="AG486" s="38" t="n">
        <v>29</v>
      </c>
      <c r="AH486" s="38" t="n">
        <v>30</v>
      </c>
      <c r="AI486" s="38" t="n">
        <v>31</v>
      </c>
      <c r="AJ486" s="38" t="n">
        <v>32</v>
      </c>
      <c r="AK486" s="38" t="n">
        <v>33</v>
      </c>
      <c r="AL486" s="38" t="n">
        <v>34</v>
      </c>
      <c r="AM486" s="38" t="n">
        <v>35</v>
      </c>
      <c r="AN486" s="38" t="n">
        <v>36</v>
      </c>
      <c r="AO486" s="38" t="n">
        <v>37</v>
      </c>
      <c r="AP486" s="38" t="n">
        <v>38</v>
      </c>
      <c r="AQ486" s="38" t="n">
        <v>39</v>
      </c>
      <c r="AR486" s="38" t="n">
        <v>40</v>
      </c>
      <c r="AS486" s="38" t="n">
        <v>41</v>
      </c>
      <c r="AT486" s="38" t="n">
        <v>42</v>
      </c>
      <c r="AU486" s="38" t="n">
        <v>43</v>
      </c>
      <c r="AV486" s="38" t="n">
        <v>44</v>
      </c>
      <c r="AW486" s="38" t="n">
        <v>45</v>
      </c>
      <c r="AX486" s="38" t="n">
        <v>46</v>
      </c>
      <c r="AY486" s="38" t="n">
        <v>47</v>
      </c>
      <c r="AZ486" s="38" t="n">
        <v>48</v>
      </c>
      <c r="BA486" s="38" t="n">
        <v>49</v>
      </c>
      <c r="BB486" s="38" t="n">
        <v>50</v>
      </c>
      <c r="BC486" s="38" t="n">
        <v>51</v>
      </c>
      <c r="BD486" s="38" t="n">
        <v>52</v>
      </c>
    </row>
    <row r="487">
      <c r="A487" s="32" t="inlineStr">
        <is>
          <t>Spinach / Wholesale — SHORTFALL</t>
        </is>
      </c>
      <c r="B487" s="2" t="inlineStr">
        <is>
          <t>lb &lt;-- SOLVER</t>
        </is>
      </c>
      <c r="E487" s="39" t="n">
        <v>0</v>
      </c>
      <c r="F487" s="39" t="n">
        <v>0</v>
      </c>
      <c r="G487" s="39" t="n">
        <v>0</v>
      </c>
      <c r="H487" s="39" t="n">
        <v>0</v>
      </c>
      <c r="I487" s="39" t="n">
        <v>0</v>
      </c>
      <c r="J487" s="39" t="n">
        <v>0</v>
      </c>
      <c r="K487" s="39" t="n">
        <v>0</v>
      </c>
      <c r="L487" s="39" t="n">
        <v>0</v>
      </c>
      <c r="M487" s="39" t="n">
        <v>0</v>
      </c>
      <c r="N487" s="39" t="n">
        <v>0</v>
      </c>
      <c r="O487" s="39" t="n">
        <v>0</v>
      </c>
      <c r="P487" s="39" t="n">
        <v>0</v>
      </c>
      <c r="Q487" s="39" t="n">
        <v>0</v>
      </c>
      <c r="R487" s="39" t="n">
        <v>0</v>
      </c>
      <c r="S487" s="39" t="n">
        <v>0</v>
      </c>
      <c r="T487" s="39" t="n">
        <v>0</v>
      </c>
      <c r="U487" s="39" t="n">
        <v>0</v>
      </c>
      <c r="V487" s="39" t="n">
        <v>0</v>
      </c>
      <c r="W487" s="39" t="n">
        <v>0</v>
      </c>
      <c r="X487" s="39" t="n">
        <v>0</v>
      </c>
      <c r="Y487" s="39" t="n">
        <v>0</v>
      </c>
      <c r="Z487" s="39" t="n">
        <v>0</v>
      </c>
      <c r="AA487" s="39" t="n">
        <v>0</v>
      </c>
      <c r="AB487" s="39" t="n">
        <v>0</v>
      </c>
      <c r="AC487" s="39" t="n">
        <v>0</v>
      </c>
      <c r="AD487" s="39" t="n">
        <v>0</v>
      </c>
      <c r="AE487" s="39" t="n">
        <v>0</v>
      </c>
      <c r="AF487" s="39" t="n">
        <v>0</v>
      </c>
      <c r="AG487" s="39" t="n">
        <v>0</v>
      </c>
      <c r="AH487" s="39" t="n">
        <v>0</v>
      </c>
      <c r="AI487" s="39" t="n">
        <v>0</v>
      </c>
      <c r="AJ487" s="39" t="n">
        <v>0</v>
      </c>
      <c r="AK487" s="39" t="n">
        <v>0</v>
      </c>
      <c r="AL487" s="39" t="n">
        <v>0</v>
      </c>
      <c r="AM487" s="39" t="n">
        <v>0</v>
      </c>
      <c r="AN487" s="39" t="n">
        <v>0</v>
      </c>
      <c r="AO487" s="39" t="n">
        <v>0</v>
      </c>
      <c r="AP487" s="39" t="n">
        <v>0</v>
      </c>
      <c r="AQ487" s="39" t="n">
        <v>0</v>
      </c>
      <c r="AR487" s="39" t="n">
        <v>0</v>
      </c>
      <c r="AS487" s="39" t="n">
        <v>0</v>
      </c>
      <c r="AT487" s="39" t="n">
        <v>0</v>
      </c>
      <c r="AU487" s="39" t="n">
        <v>0</v>
      </c>
      <c r="AV487" s="39" t="n">
        <v>0</v>
      </c>
      <c r="AW487" s="39" t="n">
        <v>0</v>
      </c>
      <c r="AX487" s="39" t="n">
        <v>0</v>
      </c>
      <c r="AY487" s="39" t="n">
        <v>0</v>
      </c>
      <c r="AZ487" s="39" t="n">
        <v>0</v>
      </c>
      <c r="BA487" s="39" t="n">
        <v>0</v>
      </c>
      <c r="BB487" s="39" t="n">
        <v>0</v>
      </c>
      <c r="BC487" s="39" t="n">
        <v>0</v>
      </c>
      <c r="BD487" s="39" t="n">
        <v>0</v>
      </c>
    </row>
    <row r="488">
      <c r="A488" s="41" t="inlineStr">
        <is>
          <t xml:space="preserve">  delivered + short</t>
        </is>
      </c>
      <c r="B488" s="2" t="inlineStr">
        <is>
          <t>lb</t>
        </is>
      </c>
      <c r="E488" s="42">
        <f>E467+E487</f>
        <v/>
      </c>
      <c r="F488" s="42">
        <f>F467+F487</f>
        <v/>
      </c>
      <c r="G488" s="42">
        <f>G467+G487</f>
        <v/>
      </c>
      <c r="H488" s="42">
        <f>H467+H487</f>
        <v/>
      </c>
      <c r="I488" s="42">
        <f>I467+I487</f>
        <v/>
      </c>
      <c r="J488" s="42">
        <f>J467+J487</f>
        <v/>
      </c>
      <c r="K488" s="42">
        <f>K467+K487</f>
        <v/>
      </c>
      <c r="L488" s="42">
        <f>L467+L487</f>
        <v/>
      </c>
      <c r="M488" s="42">
        <f>M467+M487</f>
        <v/>
      </c>
      <c r="N488" s="42">
        <f>N467+N487</f>
        <v/>
      </c>
      <c r="O488" s="42">
        <f>O467+O487</f>
        <v/>
      </c>
      <c r="P488" s="42">
        <f>P467+P487</f>
        <v/>
      </c>
      <c r="Q488" s="42">
        <f>Q467+Q487</f>
        <v/>
      </c>
      <c r="R488" s="42">
        <f>R467+R487</f>
        <v/>
      </c>
      <c r="S488" s="42">
        <f>S467+S487</f>
        <v/>
      </c>
      <c r="T488" s="42">
        <f>T467+T487</f>
        <v/>
      </c>
      <c r="U488" s="42">
        <f>U467+U487</f>
        <v/>
      </c>
      <c r="V488" s="42">
        <f>V467+V487</f>
        <v/>
      </c>
      <c r="W488" s="42">
        <f>W467+W487</f>
        <v/>
      </c>
      <c r="X488" s="42">
        <f>X467+X487</f>
        <v/>
      </c>
      <c r="Y488" s="42">
        <f>Y467+Y487</f>
        <v/>
      </c>
      <c r="Z488" s="42">
        <f>Z467+Z487</f>
        <v/>
      </c>
      <c r="AA488" s="42">
        <f>AA467+AA487</f>
        <v/>
      </c>
      <c r="AB488" s="42">
        <f>AB467+AB487</f>
        <v/>
      </c>
      <c r="AC488" s="42">
        <f>AC467+AC487</f>
        <v/>
      </c>
      <c r="AD488" s="42">
        <f>AD467+AD487</f>
        <v/>
      </c>
      <c r="AE488" s="42">
        <f>AE467+AE487</f>
        <v/>
      </c>
      <c r="AF488" s="42">
        <f>AF467+AF487</f>
        <v/>
      </c>
      <c r="AG488" s="42">
        <f>AG467+AG487</f>
        <v/>
      </c>
      <c r="AH488" s="42">
        <f>AH467+AH487</f>
        <v/>
      </c>
      <c r="AI488" s="42">
        <f>AI467+AI487</f>
        <v/>
      </c>
      <c r="AJ488" s="42">
        <f>AJ467+AJ487</f>
        <v/>
      </c>
      <c r="AK488" s="42">
        <f>AK467+AK487</f>
        <v/>
      </c>
      <c r="AL488" s="42">
        <f>AL467+AL487</f>
        <v/>
      </c>
      <c r="AM488" s="42">
        <f>AM467+AM487</f>
        <v/>
      </c>
      <c r="AN488" s="42">
        <f>AN467+AN487</f>
        <v/>
      </c>
      <c r="AO488" s="42">
        <f>AO467+AO487</f>
        <v/>
      </c>
      <c r="AP488" s="42">
        <f>AP467+AP487</f>
        <v/>
      </c>
      <c r="AQ488" s="42">
        <f>AQ467+AQ487</f>
        <v/>
      </c>
      <c r="AR488" s="42">
        <f>AR467+AR487</f>
        <v/>
      </c>
      <c r="AS488" s="42">
        <f>AS467+AS487</f>
        <v/>
      </c>
      <c r="AT488" s="42">
        <f>AT467+AT487</f>
        <v/>
      </c>
      <c r="AU488" s="42">
        <f>AU467+AU487</f>
        <v/>
      </c>
      <c r="AV488" s="42">
        <f>AV467+AV487</f>
        <v/>
      </c>
      <c r="AW488" s="42">
        <f>AW467+AW487</f>
        <v/>
      </c>
      <c r="AX488" s="42">
        <f>AX467+AX487</f>
        <v/>
      </c>
      <c r="AY488" s="42">
        <f>AY467+AY487</f>
        <v/>
      </c>
      <c r="AZ488" s="42">
        <f>AZ467+AZ487</f>
        <v/>
      </c>
      <c r="BA488" s="42">
        <f>BA467+BA487</f>
        <v/>
      </c>
      <c r="BB488" s="42">
        <f>BB467+BB487</f>
        <v/>
      </c>
      <c r="BC488" s="42">
        <f>BC467+BC487</f>
        <v/>
      </c>
      <c r="BD488" s="42">
        <f>BD467+BD487</f>
        <v/>
      </c>
    </row>
    <row r="489">
      <c r="A489" s="41" t="inlineStr">
        <is>
          <t xml:space="preserve">  owed (row 473)</t>
        </is>
      </c>
      <c r="B489" s="2" t="inlineStr">
        <is>
          <t>lb</t>
        </is>
      </c>
      <c r="E489" s="42">
        <f>IF(AND(1&gt;=$D$473,1&lt;=$E$473),$C$473,0)</f>
        <v/>
      </c>
      <c r="F489" s="42">
        <f>IF(AND(2&gt;=$D$473,2&lt;=$E$473),$C$473,0)</f>
        <v/>
      </c>
      <c r="G489" s="42">
        <f>IF(AND(3&gt;=$D$473,3&lt;=$E$473),$C$473,0)</f>
        <v/>
      </c>
      <c r="H489" s="42">
        <f>IF(AND(4&gt;=$D$473,4&lt;=$E$473),$C$473,0)</f>
        <v/>
      </c>
      <c r="I489" s="42">
        <f>IF(AND(5&gt;=$D$473,5&lt;=$E$473),$C$473,0)</f>
        <v/>
      </c>
      <c r="J489" s="42">
        <f>IF(AND(6&gt;=$D$473,6&lt;=$E$473),$C$473,0)</f>
        <v/>
      </c>
      <c r="K489" s="42">
        <f>IF(AND(7&gt;=$D$473,7&lt;=$E$473),$C$473,0)</f>
        <v/>
      </c>
      <c r="L489" s="42">
        <f>IF(AND(8&gt;=$D$473,8&lt;=$E$473),$C$473,0)</f>
        <v/>
      </c>
      <c r="M489" s="42">
        <f>IF(AND(9&gt;=$D$473,9&lt;=$E$473),$C$473,0)</f>
        <v/>
      </c>
      <c r="N489" s="42">
        <f>IF(AND(10&gt;=$D$473,10&lt;=$E$473),$C$473,0)</f>
        <v/>
      </c>
      <c r="O489" s="42">
        <f>IF(AND(11&gt;=$D$473,11&lt;=$E$473),$C$473,0)</f>
        <v/>
      </c>
      <c r="P489" s="42">
        <f>IF(AND(12&gt;=$D$473,12&lt;=$E$473),$C$473,0)</f>
        <v/>
      </c>
      <c r="Q489" s="42">
        <f>IF(AND(13&gt;=$D$473,13&lt;=$E$473),$C$473,0)</f>
        <v/>
      </c>
      <c r="R489" s="42">
        <f>IF(AND(14&gt;=$D$473,14&lt;=$E$473),$C$473,0)</f>
        <v/>
      </c>
      <c r="S489" s="42">
        <f>IF(AND(15&gt;=$D$473,15&lt;=$E$473),$C$473,0)</f>
        <v/>
      </c>
      <c r="T489" s="42">
        <f>IF(AND(16&gt;=$D$473,16&lt;=$E$473),$C$473,0)</f>
        <v/>
      </c>
      <c r="U489" s="42">
        <f>IF(AND(17&gt;=$D$473,17&lt;=$E$473),$C$473,0)</f>
        <v/>
      </c>
      <c r="V489" s="42">
        <f>IF(AND(18&gt;=$D$473,18&lt;=$E$473),$C$473,0)</f>
        <v/>
      </c>
      <c r="W489" s="42">
        <f>IF(AND(19&gt;=$D$473,19&lt;=$E$473),$C$473,0)</f>
        <v/>
      </c>
      <c r="X489" s="42">
        <f>IF(AND(20&gt;=$D$473,20&lt;=$E$473),$C$473,0)</f>
        <v/>
      </c>
      <c r="Y489" s="42">
        <f>IF(AND(21&gt;=$D$473,21&lt;=$E$473),$C$473,0)</f>
        <v/>
      </c>
      <c r="Z489" s="42">
        <f>IF(AND(22&gt;=$D$473,22&lt;=$E$473),$C$473,0)</f>
        <v/>
      </c>
      <c r="AA489" s="42">
        <f>IF(AND(23&gt;=$D$473,23&lt;=$E$473),$C$473,0)</f>
        <v/>
      </c>
      <c r="AB489" s="42">
        <f>IF(AND(24&gt;=$D$473,24&lt;=$E$473),$C$473,0)</f>
        <v/>
      </c>
      <c r="AC489" s="42">
        <f>IF(AND(25&gt;=$D$473,25&lt;=$E$473),$C$473,0)</f>
        <v/>
      </c>
      <c r="AD489" s="42">
        <f>IF(AND(26&gt;=$D$473,26&lt;=$E$473),$C$473,0)</f>
        <v/>
      </c>
      <c r="AE489" s="42">
        <f>IF(AND(27&gt;=$D$473,27&lt;=$E$473),$C$473,0)</f>
        <v/>
      </c>
      <c r="AF489" s="42">
        <f>IF(AND(28&gt;=$D$473,28&lt;=$E$473),$C$473,0)</f>
        <v/>
      </c>
      <c r="AG489" s="42">
        <f>IF(AND(29&gt;=$D$473,29&lt;=$E$473),$C$473,0)</f>
        <v/>
      </c>
      <c r="AH489" s="42">
        <f>IF(AND(30&gt;=$D$473,30&lt;=$E$473),$C$473,0)</f>
        <v/>
      </c>
      <c r="AI489" s="42">
        <f>IF(AND(31&gt;=$D$473,31&lt;=$E$473),$C$473,0)</f>
        <v/>
      </c>
      <c r="AJ489" s="42">
        <f>IF(AND(32&gt;=$D$473,32&lt;=$E$473),$C$473,0)</f>
        <v/>
      </c>
      <c r="AK489" s="42">
        <f>IF(AND(33&gt;=$D$473,33&lt;=$E$473),$C$473,0)</f>
        <v/>
      </c>
      <c r="AL489" s="42">
        <f>IF(AND(34&gt;=$D$473,34&lt;=$E$473),$C$473,0)</f>
        <v/>
      </c>
      <c r="AM489" s="42">
        <f>IF(AND(35&gt;=$D$473,35&lt;=$E$473),$C$473,0)</f>
        <v/>
      </c>
      <c r="AN489" s="42">
        <f>IF(AND(36&gt;=$D$473,36&lt;=$E$473),$C$473,0)</f>
        <v/>
      </c>
      <c r="AO489" s="42">
        <f>IF(AND(37&gt;=$D$473,37&lt;=$E$473),$C$473,0)</f>
        <v/>
      </c>
      <c r="AP489" s="42">
        <f>IF(AND(38&gt;=$D$473,38&lt;=$E$473),$C$473,0)</f>
        <v/>
      </c>
      <c r="AQ489" s="42">
        <f>IF(AND(39&gt;=$D$473,39&lt;=$E$473),$C$473,0)</f>
        <v/>
      </c>
      <c r="AR489" s="42">
        <f>IF(AND(40&gt;=$D$473,40&lt;=$E$473),$C$473,0)</f>
        <v/>
      </c>
      <c r="AS489" s="42">
        <f>IF(AND(41&gt;=$D$473,41&lt;=$E$473),$C$473,0)</f>
        <v/>
      </c>
      <c r="AT489" s="42">
        <f>IF(AND(42&gt;=$D$473,42&lt;=$E$473),$C$473,0)</f>
        <v/>
      </c>
      <c r="AU489" s="42">
        <f>IF(AND(43&gt;=$D$473,43&lt;=$E$473),$C$473,0)</f>
        <v/>
      </c>
      <c r="AV489" s="42">
        <f>IF(AND(44&gt;=$D$473,44&lt;=$E$473),$C$473,0)</f>
        <v/>
      </c>
      <c r="AW489" s="42">
        <f>IF(AND(45&gt;=$D$473,45&lt;=$E$473),$C$473,0)</f>
        <v/>
      </c>
      <c r="AX489" s="42">
        <f>IF(AND(46&gt;=$D$473,46&lt;=$E$473),$C$473,0)</f>
        <v/>
      </c>
      <c r="AY489" s="42">
        <f>IF(AND(47&gt;=$D$473,47&lt;=$E$473),$C$473,0)</f>
        <v/>
      </c>
      <c r="AZ489" s="42">
        <f>IF(AND(48&gt;=$D$473,48&lt;=$E$473),$C$473,0)</f>
        <v/>
      </c>
      <c r="BA489" s="42">
        <f>IF(AND(49&gt;=$D$473,49&lt;=$E$473),$C$473,0)</f>
        <v/>
      </c>
      <c r="BB489" s="42">
        <f>IF(AND(50&gt;=$D$473,50&lt;=$E$473),$C$473,0)</f>
        <v/>
      </c>
      <c r="BC489" s="42">
        <f>IF(AND(51&gt;=$D$473,51&lt;=$E$473),$C$473,0)</f>
        <v/>
      </c>
      <c r="BD489" s="42">
        <f>IF(AND(52&gt;=$D$473,52&lt;=$E$473),$C$473,0)</f>
        <v/>
      </c>
    </row>
    <row r="490">
      <c r="A490" s="41" t="inlineStr">
        <is>
          <t xml:space="preserve">  may be short (row 473)</t>
        </is>
      </c>
      <c r="B490" s="2" t="inlineStr">
        <is>
          <t>lb</t>
        </is>
      </c>
      <c r="E490" s="42">
        <f>IF($G$473="penalty",E489,0)</f>
        <v/>
      </c>
      <c r="F490" s="42">
        <f>IF($G$473="penalty",F489,0)</f>
        <v/>
      </c>
      <c r="G490" s="42">
        <f>IF($G$473="penalty",G489,0)</f>
        <v/>
      </c>
      <c r="H490" s="42">
        <f>IF($G$473="penalty",H489,0)</f>
        <v/>
      </c>
      <c r="I490" s="42">
        <f>IF($G$473="penalty",I489,0)</f>
        <v/>
      </c>
      <c r="J490" s="42">
        <f>IF($G$473="penalty",J489,0)</f>
        <v/>
      </c>
      <c r="K490" s="42">
        <f>IF($G$473="penalty",K489,0)</f>
        <v/>
      </c>
      <c r="L490" s="42">
        <f>IF($G$473="penalty",L489,0)</f>
        <v/>
      </c>
      <c r="M490" s="42">
        <f>IF($G$473="penalty",M489,0)</f>
        <v/>
      </c>
      <c r="N490" s="42">
        <f>IF($G$473="penalty",N489,0)</f>
        <v/>
      </c>
      <c r="O490" s="42">
        <f>IF($G$473="penalty",O489,0)</f>
        <v/>
      </c>
      <c r="P490" s="42">
        <f>IF($G$473="penalty",P489,0)</f>
        <v/>
      </c>
      <c r="Q490" s="42">
        <f>IF($G$473="penalty",Q489,0)</f>
        <v/>
      </c>
      <c r="R490" s="42">
        <f>IF($G$473="penalty",R489,0)</f>
        <v/>
      </c>
      <c r="S490" s="42">
        <f>IF($G$473="penalty",S489,0)</f>
        <v/>
      </c>
      <c r="T490" s="42">
        <f>IF($G$473="penalty",T489,0)</f>
        <v/>
      </c>
      <c r="U490" s="42">
        <f>IF($G$473="penalty",U489,0)</f>
        <v/>
      </c>
      <c r="V490" s="42">
        <f>IF($G$473="penalty",V489,0)</f>
        <v/>
      </c>
      <c r="W490" s="42">
        <f>IF($G$473="penalty",W489,0)</f>
        <v/>
      </c>
      <c r="X490" s="42">
        <f>IF($G$473="penalty",X489,0)</f>
        <v/>
      </c>
      <c r="Y490" s="42">
        <f>IF($G$473="penalty",Y489,0)</f>
        <v/>
      </c>
      <c r="Z490" s="42">
        <f>IF($G$473="penalty",Z489,0)</f>
        <v/>
      </c>
      <c r="AA490" s="42">
        <f>IF($G$473="penalty",AA489,0)</f>
        <v/>
      </c>
      <c r="AB490" s="42">
        <f>IF($G$473="penalty",AB489,0)</f>
        <v/>
      </c>
      <c r="AC490" s="42">
        <f>IF($G$473="penalty",AC489,0)</f>
        <v/>
      </c>
      <c r="AD490" s="42">
        <f>IF($G$473="penalty",AD489,0)</f>
        <v/>
      </c>
      <c r="AE490" s="42">
        <f>IF($G$473="penalty",AE489,0)</f>
        <v/>
      </c>
      <c r="AF490" s="42">
        <f>IF($G$473="penalty",AF489,0)</f>
        <v/>
      </c>
      <c r="AG490" s="42">
        <f>IF($G$473="penalty",AG489,0)</f>
        <v/>
      </c>
      <c r="AH490" s="42">
        <f>IF($G$473="penalty",AH489,0)</f>
        <v/>
      </c>
      <c r="AI490" s="42">
        <f>IF($G$473="penalty",AI489,0)</f>
        <v/>
      </c>
      <c r="AJ490" s="42">
        <f>IF($G$473="penalty",AJ489,0)</f>
        <v/>
      </c>
      <c r="AK490" s="42">
        <f>IF($G$473="penalty",AK489,0)</f>
        <v/>
      </c>
      <c r="AL490" s="42">
        <f>IF($G$473="penalty",AL489,0)</f>
        <v/>
      </c>
      <c r="AM490" s="42">
        <f>IF($G$473="penalty",AM489,0)</f>
        <v/>
      </c>
      <c r="AN490" s="42">
        <f>IF($G$473="penalty",AN489,0)</f>
        <v/>
      </c>
      <c r="AO490" s="42">
        <f>IF($G$473="penalty",AO489,0)</f>
        <v/>
      </c>
      <c r="AP490" s="42">
        <f>IF($G$473="penalty",AP489,0)</f>
        <v/>
      </c>
      <c r="AQ490" s="42">
        <f>IF($G$473="penalty",AQ489,0)</f>
        <v/>
      </c>
      <c r="AR490" s="42">
        <f>IF($G$473="penalty",AR489,0)</f>
        <v/>
      </c>
      <c r="AS490" s="42">
        <f>IF($G$473="penalty",AS489,0)</f>
        <v/>
      </c>
      <c r="AT490" s="42">
        <f>IF($G$473="penalty",AT489,0)</f>
        <v/>
      </c>
      <c r="AU490" s="42">
        <f>IF($G$473="penalty",AU489,0)</f>
        <v/>
      </c>
      <c r="AV490" s="42">
        <f>IF($G$473="penalty",AV489,0)</f>
        <v/>
      </c>
      <c r="AW490" s="42">
        <f>IF($G$473="penalty",AW489,0)</f>
        <v/>
      </c>
      <c r="AX490" s="42">
        <f>IF($G$473="penalty",AX489,0)</f>
        <v/>
      </c>
      <c r="AY490" s="42">
        <f>IF($G$473="penalty",AY489,0)</f>
        <v/>
      </c>
      <c r="AZ490" s="42">
        <f>IF($G$473="penalty",AZ489,0)</f>
        <v/>
      </c>
      <c r="BA490" s="42">
        <f>IF($G$473="penalty",BA489,0)</f>
        <v/>
      </c>
      <c r="BB490" s="42">
        <f>IF($G$473="penalty",BB489,0)</f>
        <v/>
      </c>
      <c r="BC490" s="42">
        <f>IF($G$473="penalty",BC489,0)</f>
        <v/>
      </c>
      <c r="BD490" s="42">
        <f>IF($G$473="penalty",BD489,0)</f>
        <v/>
      </c>
    </row>
    <row r="491">
      <c r="A491" s="33" t="inlineStr">
        <is>
          <t xml:space="preserve">  penalty</t>
        </is>
      </c>
      <c r="B491" s="2" t="inlineStr">
        <is>
          <t>$</t>
        </is>
      </c>
      <c r="E491" s="40">
        <f>E487*N($F$473)</f>
        <v/>
      </c>
      <c r="F491" s="40">
        <f>F487*N($F$473)</f>
        <v/>
      </c>
      <c r="G491" s="40">
        <f>G487*N($F$473)</f>
        <v/>
      </c>
      <c r="H491" s="40">
        <f>H487*N($F$473)</f>
        <v/>
      </c>
      <c r="I491" s="40">
        <f>I487*N($F$473)</f>
        <v/>
      </c>
      <c r="J491" s="40">
        <f>J487*N($F$473)</f>
        <v/>
      </c>
      <c r="K491" s="40">
        <f>K487*N($F$473)</f>
        <v/>
      </c>
      <c r="L491" s="40">
        <f>L487*N($F$473)</f>
        <v/>
      </c>
      <c r="M491" s="40">
        <f>M487*N($F$473)</f>
        <v/>
      </c>
      <c r="N491" s="40">
        <f>N487*N($F$473)</f>
        <v/>
      </c>
      <c r="O491" s="40">
        <f>O487*N($F$473)</f>
        <v/>
      </c>
      <c r="P491" s="40">
        <f>P487*N($F$473)</f>
        <v/>
      </c>
      <c r="Q491" s="40">
        <f>Q487*N($F$473)</f>
        <v/>
      </c>
      <c r="R491" s="40">
        <f>R487*N($F$473)</f>
        <v/>
      </c>
      <c r="S491" s="40">
        <f>S487*N($F$473)</f>
        <v/>
      </c>
      <c r="T491" s="40">
        <f>T487*N($F$473)</f>
        <v/>
      </c>
      <c r="U491" s="40">
        <f>U487*N($F$473)</f>
        <v/>
      </c>
      <c r="V491" s="40">
        <f>V487*N($F$473)</f>
        <v/>
      </c>
      <c r="W491" s="40">
        <f>W487*N($F$473)</f>
        <v/>
      </c>
      <c r="X491" s="40">
        <f>X487*N($F$473)</f>
        <v/>
      </c>
      <c r="Y491" s="40">
        <f>Y487*N($F$473)</f>
        <v/>
      </c>
      <c r="Z491" s="40">
        <f>Z487*N($F$473)</f>
        <v/>
      </c>
      <c r="AA491" s="40">
        <f>AA487*N($F$473)</f>
        <v/>
      </c>
      <c r="AB491" s="40">
        <f>AB487*N($F$473)</f>
        <v/>
      </c>
      <c r="AC491" s="40">
        <f>AC487*N($F$473)</f>
        <v/>
      </c>
      <c r="AD491" s="40">
        <f>AD487*N($F$473)</f>
        <v/>
      </c>
      <c r="AE491" s="40">
        <f>AE487*N($F$473)</f>
        <v/>
      </c>
      <c r="AF491" s="40">
        <f>AF487*N($F$473)</f>
        <v/>
      </c>
      <c r="AG491" s="40">
        <f>AG487*N($F$473)</f>
        <v/>
      </c>
      <c r="AH491" s="40">
        <f>AH487*N($F$473)</f>
        <v/>
      </c>
      <c r="AI491" s="40">
        <f>AI487*N($F$473)</f>
        <v/>
      </c>
      <c r="AJ491" s="40">
        <f>AJ487*N($F$473)</f>
        <v/>
      </c>
      <c r="AK491" s="40">
        <f>AK487*N($F$473)</f>
        <v/>
      </c>
      <c r="AL491" s="40">
        <f>AL487*N($F$473)</f>
        <v/>
      </c>
      <c r="AM491" s="40">
        <f>AM487*N($F$473)</f>
        <v/>
      </c>
      <c r="AN491" s="40">
        <f>AN487*N($F$473)</f>
        <v/>
      </c>
      <c r="AO491" s="40">
        <f>AO487*N($F$473)</f>
        <v/>
      </c>
      <c r="AP491" s="40">
        <f>AP487*N($F$473)</f>
        <v/>
      </c>
      <c r="AQ491" s="40">
        <f>AQ487*N($F$473)</f>
        <v/>
      </c>
      <c r="AR491" s="40">
        <f>AR487*N($F$473)</f>
        <v/>
      </c>
      <c r="AS491" s="40">
        <f>AS487*N($F$473)</f>
        <v/>
      </c>
      <c r="AT491" s="40">
        <f>AT487*N($F$473)</f>
        <v/>
      </c>
      <c r="AU491" s="40">
        <f>AU487*N($F$473)</f>
        <v/>
      </c>
      <c r="AV491" s="40">
        <f>AV487*N($F$473)</f>
        <v/>
      </c>
      <c r="AW491" s="40">
        <f>AW487*N($F$473)</f>
        <v/>
      </c>
      <c r="AX491" s="40">
        <f>AX487*N($F$473)</f>
        <v/>
      </c>
      <c r="AY491" s="40">
        <f>AY487*N($F$473)</f>
        <v/>
      </c>
      <c r="AZ491" s="40">
        <f>AZ487*N($F$473)</f>
        <v/>
      </c>
      <c r="BA491" s="40">
        <f>BA487*N($F$473)</f>
        <v/>
      </c>
      <c r="BB491" s="40">
        <f>BB487*N($F$473)</f>
        <v/>
      </c>
      <c r="BC491" s="40">
        <f>BC487*N($F$473)</f>
        <v/>
      </c>
      <c r="BD491" s="40">
        <f>BD487*N($F$473)</f>
        <v/>
      </c>
    </row>
    <row r="492">
      <c r="A492" s="2" t="inlineStr">
        <is>
          <t xml:space="preserve">   delivered + short &gt;= owed, and short &lt;= 'may be short': the order on a penalty contract (you cannot be short of an order nobody placed), 0 on a deliver one.</t>
        </is>
      </c>
    </row>
    <row r="494">
      <c r="A494" s="36" t="inlineStr">
        <is>
          <t>Week</t>
        </is>
      </c>
      <c r="B494" s="37" t="inlineStr">
        <is>
          <t>lb</t>
        </is>
      </c>
      <c r="E494" s="38" t="n">
        <v>1</v>
      </c>
      <c r="F494" s="38" t="n">
        <v>2</v>
      </c>
      <c r="G494" s="38" t="n">
        <v>3</v>
      </c>
      <c r="H494" s="38" t="n">
        <v>4</v>
      </c>
      <c r="I494" s="38" t="n">
        <v>5</v>
      </c>
      <c r="J494" s="38" t="n">
        <v>6</v>
      </c>
      <c r="K494" s="38" t="n">
        <v>7</v>
      </c>
      <c r="L494" s="38" t="n">
        <v>8</v>
      </c>
      <c r="M494" s="38" t="n">
        <v>9</v>
      </c>
      <c r="N494" s="38" t="n">
        <v>10</v>
      </c>
      <c r="O494" s="38" t="n">
        <v>11</v>
      </c>
      <c r="P494" s="38" t="n">
        <v>12</v>
      </c>
      <c r="Q494" s="38" t="n">
        <v>13</v>
      </c>
      <c r="R494" s="38" t="n">
        <v>14</v>
      </c>
      <c r="S494" s="38" t="n">
        <v>15</v>
      </c>
      <c r="T494" s="38" t="n">
        <v>16</v>
      </c>
      <c r="U494" s="38" t="n">
        <v>17</v>
      </c>
      <c r="V494" s="38" t="n">
        <v>18</v>
      </c>
      <c r="W494" s="38" t="n">
        <v>19</v>
      </c>
      <c r="X494" s="38" t="n">
        <v>20</v>
      </c>
      <c r="Y494" s="38" t="n">
        <v>21</v>
      </c>
      <c r="Z494" s="38" t="n">
        <v>22</v>
      </c>
      <c r="AA494" s="38" t="n">
        <v>23</v>
      </c>
      <c r="AB494" s="38" t="n">
        <v>24</v>
      </c>
      <c r="AC494" s="38" t="n">
        <v>25</v>
      </c>
      <c r="AD494" s="38" t="n">
        <v>26</v>
      </c>
      <c r="AE494" s="38" t="n">
        <v>27</v>
      </c>
      <c r="AF494" s="38" t="n">
        <v>28</v>
      </c>
      <c r="AG494" s="38" t="n">
        <v>29</v>
      </c>
      <c r="AH494" s="38" t="n">
        <v>30</v>
      </c>
      <c r="AI494" s="38" t="n">
        <v>31</v>
      </c>
      <c r="AJ494" s="38" t="n">
        <v>32</v>
      </c>
      <c r="AK494" s="38" t="n">
        <v>33</v>
      </c>
      <c r="AL494" s="38" t="n">
        <v>34</v>
      </c>
      <c r="AM494" s="38" t="n">
        <v>35</v>
      </c>
      <c r="AN494" s="38" t="n">
        <v>36</v>
      </c>
      <c r="AO494" s="38" t="n">
        <v>37</v>
      </c>
      <c r="AP494" s="38" t="n">
        <v>38</v>
      </c>
      <c r="AQ494" s="38" t="n">
        <v>39</v>
      </c>
      <c r="AR494" s="38" t="n">
        <v>40</v>
      </c>
      <c r="AS494" s="38" t="n">
        <v>41</v>
      </c>
      <c r="AT494" s="38" t="n">
        <v>42</v>
      </c>
      <c r="AU494" s="38" t="n">
        <v>43</v>
      </c>
      <c r="AV494" s="38" t="n">
        <v>44</v>
      </c>
      <c r="AW494" s="38" t="n">
        <v>45</v>
      </c>
      <c r="AX494" s="38" t="n">
        <v>46</v>
      </c>
      <c r="AY494" s="38" t="n">
        <v>47</v>
      </c>
      <c r="AZ494" s="38" t="n">
        <v>48</v>
      </c>
      <c r="BA494" s="38" t="n">
        <v>49</v>
      </c>
      <c r="BB494" s="38" t="n">
        <v>50</v>
      </c>
      <c r="BC494" s="38" t="n">
        <v>51</v>
      </c>
      <c r="BD494" s="38" t="n">
        <v>52</v>
      </c>
    </row>
    <row r="495">
      <c r="A495" s="32" t="inlineStr">
        <is>
          <t>Asparagus / Wholesale — SHORTFALL</t>
        </is>
      </c>
      <c r="B495" s="2" t="inlineStr">
        <is>
          <t>lb &lt;-- SOLVER</t>
        </is>
      </c>
      <c r="E495" s="39" t="n">
        <v>0</v>
      </c>
      <c r="F495" s="39" t="n">
        <v>0</v>
      </c>
      <c r="G495" s="39" t="n">
        <v>0</v>
      </c>
      <c r="H495" s="39" t="n">
        <v>0</v>
      </c>
      <c r="I495" s="39" t="n">
        <v>0</v>
      </c>
      <c r="J495" s="39" t="n">
        <v>0</v>
      </c>
      <c r="K495" s="39" t="n">
        <v>0</v>
      </c>
      <c r="L495" s="39" t="n">
        <v>0</v>
      </c>
      <c r="M495" s="39" t="n">
        <v>0</v>
      </c>
      <c r="N495" s="39" t="n">
        <v>0</v>
      </c>
      <c r="O495" s="39" t="n">
        <v>0</v>
      </c>
      <c r="P495" s="39" t="n">
        <v>0</v>
      </c>
      <c r="Q495" s="39" t="n">
        <v>0</v>
      </c>
      <c r="R495" s="39" t="n">
        <v>0</v>
      </c>
      <c r="S495" s="39" t="n">
        <v>0</v>
      </c>
      <c r="T495" s="39" t="n">
        <v>0</v>
      </c>
      <c r="U495" s="39" t="n">
        <v>0</v>
      </c>
      <c r="V495" s="39" t="n">
        <v>0</v>
      </c>
      <c r="W495" s="39" t="n">
        <v>0</v>
      </c>
      <c r="X495" s="39" t="n">
        <v>0</v>
      </c>
      <c r="Y495" s="39" t="n">
        <v>0</v>
      </c>
      <c r="Z495" s="39" t="n">
        <v>0</v>
      </c>
      <c r="AA495" s="39" t="n">
        <v>0</v>
      </c>
      <c r="AB495" s="39" t="n">
        <v>0</v>
      </c>
      <c r="AC495" s="39" t="n">
        <v>0</v>
      </c>
      <c r="AD495" s="39" t="n">
        <v>0</v>
      </c>
      <c r="AE495" s="39" t="n">
        <v>0</v>
      </c>
      <c r="AF495" s="39" t="n">
        <v>0</v>
      </c>
      <c r="AG495" s="39" t="n">
        <v>0</v>
      </c>
      <c r="AH495" s="39" t="n">
        <v>0</v>
      </c>
      <c r="AI495" s="39" t="n">
        <v>0</v>
      </c>
      <c r="AJ495" s="39" t="n">
        <v>0</v>
      </c>
      <c r="AK495" s="39" t="n">
        <v>0</v>
      </c>
      <c r="AL495" s="39" t="n">
        <v>0</v>
      </c>
      <c r="AM495" s="39" t="n">
        <v>0</v>
      </c>
      <c r="AN495" s="39" t="n">
        <v>0</v>
      </c>
      <c r="AO495" s="39" t="n">
        <v>0</v>
      </c>
      <c r="AP495" s="39" t="n">
        <v>0</v>
      </c>
      <c r="AQ495" s="39" t="n">
        <v>0</v>
      </c>
      <c r="AR495" s="39" t="n">
        <v>0</v>
      </c>
      <c r="AS495" s="39" t="n">
        <v>0</v>
      </c>
      <c r="AT495" s="39" t="n">
        <v>0</v>
      </c>
      <c r="AU495" s="39" t="n">
        <v>0</v>
      </c>
      <c r="AV495" s="39" t="n">
        <v>0</v>
      </c>
      <c r="AW495" s="39" t="n">
        <v>0</v>
      </c>
      <c r="AX495" s="39" t="n">
        <v>0</v>
      </c>
      <c r="AY495" s="39" t="n">
        <v>0</v>
      </c>
      <c r="AZ495" s="39" t="n">
        <v>0</v>
      </c>
      <c r="BA495" s="39" t="n">
        <v>0</v>
      </c>
      <c r="BB495" s="39" t="n">
        <v>0</v>
      </c>
      <c r="BC495" s="39" t="n">
        <v>0</v>
      </c>
      <c r="BD495" s="39" t="n">
        <v>0</v>
      </c>
    </row>
    <row r="496">
      <c r="A496" s="41" t="inlineStr">
        <is>
          <t xml:space="preserve">  delivered + short</t>
        </is>
      </c>
      <c r="B496" s="2" t="inlineStr">
        <is>
          <t>lb</t>
        </is>
      </c>
      <c r="E496" s="42">
        <f>E450+E495</f>
        <v/>
      </c>
      <c r="F496" s="42">
        <f>F450+F495</f>
        <v/>
      </c>
      <c r="G496" s="42">
        <f>G450+G495</f>
        <v/>
      </c>
      <c r="H496" s="42">
        <f>H450+H495</f>
        <v/>
      </c>
      <c r="I496" s="42">
        <f>I450+I495</f>
        <v/>
      </c>
      <c r="J496" s="42">
        <f>J450+J495</f>
        <v/>
      </c>
      <c r="K496" s="42">
        <f>K450+K495</f>
        <v/>
      </c>
      <c r="L496" s="42">
        <f>L450+L495</f>
        <v/>
      </c>
      <c r="M496" s="42">
        <f>M450+M495</f>
        <v/>
      </c>
      <c r="N496" s="42">
        <f>N450+N495</f>
        <v/>
      </c>
      <c r="O496" s="42">
        <f>O450+O495</f>
        <v/>
      </c>
      <c r="P496" s="42">
        <f>P450+P495</f>
        <v/>
      </c>
      <c r="Q496" s="42">
        <f>Q450+Q495</f>
        <v/>
      </c>
      <c r="R496" s="42">
        <f>R450+R495</f>
        <v/>
      </c>
      <c r="S496" s="42">
        <f>S450+S495</f>
        <v/>
      </c>
      <c r="T496" s="42">
        <f>T450+T495</f>
        <v/>
      </c>
      <c r="U496" s="42">
        <f>U450+U495</f>
        <v/>
      </c>
      <c r="V496" s="42">
        <f>V450+V495</f>
        <v/>
      </c>
      <c r="W496" s="42">
        <f>W450+W495</f>
        <v/>
      </c>
      <c r="X496" s="42">
        <f>X450+X495</f>
        <v/>
      </c>
      <c r="Y496" s="42">
        <f>Y450+Y495</f>
        <v/>
      </c>
      <c r="Z496" s="42">
        <f>Z450+Z495</f>
        <v/>
      </c>
      <c r="AA496" s="42">
        <f>AA450+AA495</f>
        <v/>
      </c>
      <c r="AB496" s="42">
        <f>AB450+AB495</f>
        <v/>
      </c>
      <c r="AC496" s="42">
        <f>AC450+AC495</f>
        <v/>
      </c>
      <c r="AD496" s="42">
        <f>AD450+AD495</f>
        <v/>
      </c>
      <c r="AE496" s="42">
        <f>AE450+AE495</f>
        <v/>
      </c>
      <c r="AF496" s="42">
        <f>AF450+AF495</f>
        <v/>
      </c>
      <c r="AG496" s="42">
        <f>AG450+AG495</f>
        <v/>
      </c>
      <c r="AH496" s="42">
        <f>AH450+AH495</f>
        <v/>
      </c>
      <c r="AI496" s="42">
        <f>AI450+AI495</f>
        <v/>
      </c>
      <c r="AJ496" s="42">
        <f>AJ450+AJ495</f>
        <v/>
      </c>
      <c r="AK496" s="42">
        <f>AK450+AK495</f>
        <v/>
      </c>
      <c r="AL496" s="42">
        <f>AL450+AL495</f>
        <v/>
      </c>
      <c r="AM496" s="42">
        <f>AM450+AM495</f>
        <v/>
      </c>
      <c r="AN496" s="42">
        <f>AN450+AN495</f>
        <v/>
      </c>
      <c r="AO496" s="42">
        <f>AO450+AO495</f>
        <v/>
      </c>
      <c r="AP496" s="42">
        <f>AP450+AP495</f>
        <v/>
      </c>
      <c r="AQ496" s="42">
        <f>AQ450+AQ495</f>
        <v/>
      </c>
      <c r="AR496" s="42">
        <f>AR450+AR495</f>
        <v/>
      </c>
      <c r="AS496" s="42">
        <f>AS450+AS495</f>
        <v/>
      </c>
      <c r="AT496" s="42">
        <f>AT450+AT495</f>
        <v/>
      </c>
      <c r="AU496" s="42">
        <f>AU450+AU495</f>
        <v/>
      </c>
      <c r="AV496" s="42">
        <f>AV450+AV495</f>
        <v/>
      </c>
      <c r="AW496" s="42">
        <f>AW450+AW495</f>
        <v/>
      </c>
      <c r="AX496" s="42">
        <f>AX450+AX495</f>
        <v/>
      </c>
      <c r="AY496" s="42">
        <f>AY450+AY495</f>
        <v/>
      </c>
      <c r="AZ496" s="42">
        <f>AZ450+AZ495</f>
        <v/>
      </c>
      <c r="BA496" s="42">
        <f>BA450+BA495</f>
        <v/>
      </c>
      <c r="BB496" s="42">
        <f>BB450+BB495</f>
        <v/>
      </c>
      <c r="BC496" s="42">
        <f>BC450+BC495</f>
        <v/>
      </c>
      <c r="BD496" s="42">
        <f>BD450+BD495</f>
        <v/>
      </c>
    </row>
    <row r="497">
      <c r="A497" s="41" t="inlineStr">
        <is>
          <t xml:space="preserve">  owed (row 474)</t>
        </is>
      </c>
      <c r="B497" s="2" t="inlineStr">
        <is>
          <t>lb</t>
        </is>
      </c>
      <c r="E497" s="42">
        <f>IF(AND(1&gt;=$D$474,1&lt;=$E$474),$C$474,0)</f>
        <v/>
      </c>
      <c r="F497" s="42">
        <f>IF(AND(2&gt;=$D$474,2&lt;=$E$474),$C$474,0)</f>
        <v/>
      </c>
      <c r="G497" s="42">
        <f>IF(AND(3&gt;=$D$474,3&lt;=$E$474),$C$474,0)</f>
        <v/>
      </c>
      <c r="H497" s="42">
        <f>IF(AND(4&gt;=$D$474,4&lt;=$E$474),$C$474,0)</f>
        <v/>
      </c>
      <c r="I497" s="42">
        <f>IF(AND(5&gt;=$D$474,5&lt;=$E$474),$C$474,0)</f>
        <v/>
      </c>
      <c r="J497" s="42">
        <f>IF(AND(6&gt;=$D$474,6&lt;=$E$474),$C$474,0)</f>
        <v/>
      </c>
      <c r="K497" s="42">
        <f>IF(AND(7&gt;=$D$474,7&lt;=$E$474),$C$474,0)</f>
        <v/>
      </c>
      <c r="L497" s="42">
        <f>IF(AND(8&gt;=$D$474,8&lt;=$E$474),$C$474,0)</f>
        <v/>
      </c>
      <c r="M497" s="42">
        <f>IF(AND(9&gt;=$D$474,9&lt;=$E$474),$C$474,0)</f>
        <v/>
      </c>
      <c r="N497" s="42">
        <f>IF(AND(10&gt;=$D$474,10&lt;=$E$474),$C$474,0)</f>
        <v/>
      </c>
      <c r="O497" s="42">
        <f>IF(AND(11&gt;=$D$474,11&lt;=$E$474),$C$474,0)</f>
        <v/>
      </c>
      <c r="P497" s="42">
        <f>IF(AND(12&gt;=$D$474,12&lt;=$E$474),$C$474,0)</f>
        <v/>
      </c>
      <c r="Q497" s="42">
        <f>IF(AND(13&gt;=$D$474,13&lt;=$E$474),$C$474,0)</f>
        <v/>
      </c>
      <c r="R497" s="42">
        <f>IF(AND(14&gt;=$D$474,14&lt;=$E$474),$C$474,0)</f>
        <v/>
      </c>
      <c r="S497" s="42">
        <f>IF(AND(15&gt;=$D$474,15&lt;=$E$474),$C$474,0)</f>
        <v/>
      </c>
      <c r="T497" s="42">
        <f>IF(AND(16&gt;=$D$474,16&lt;=$E$474),$C$474,0)</f>
        <v/>
      </c>
      <c r="U497" s="42">
        <f>IF(AND(17&gt;=$D$474,17&lt;=$E$474),$C$474,0)</f>
        <v/>
      </c>
      <c r="V497" s="42">
        <f>IF(AND(18&gt;=$D$474,18&lt;=$E$474),$C$474,0)</f>
        <v/>
      </c>
      <c r="W497" s="42">
        <f>IF(AND(19&gt;=$D$474,19&lt;=$E$474),$C$474,0)</f>
        <v/>
      </c>
      <c r="X497" s="42">
        <f>IF(AND(20&gt;=$D$474,20&lt;=$E$474),$C$474,0)</f>
        <v/>
      </c>
      <c r="Y497" s="42">
        <f>IF(AND(21&gt;=$D$474,21&lt;=$E$474),$C$474,0)</f>
        <v/>
      </c>
      <c r="Z497" s="42">
        <f>IF(AND(22&gt;=$D$474,22&lt;=$E$474),$C$474,0)</f>
        <v/>
      </c>
      <c r="AA497" s="42">
        <f>IF(AND(23&gt;=$D$474,23&lt;=$E$474),$C$474,0)</f>
        <v/>
      </c>
      <c r="AB497" s="42">
        <f>IF(AND(24&gt;=$D$474,24&lt;=$E$474),$C$474,0)</f>
        <v/>
      </c>
      <c r="AC497" s="42">
        <f>IF(AND(25&gt;=$D$474,25&lt;=$E$474),$C$474,0)</f>
        <v/>
      </c>
      <c r="AD497" s="42">
        <f>IF(AND(26&gt;=$D$474,26&lt;=$E$474),$C$474,0)</f>
        <v/>
      </c>
      <c r="AE497" s="42">
        <f>IF(AND(27&gt;=$D$474,27&lt;=$E$474),$C$474,0)</f>
        <v/>
      </c>
      <c r="AF497" s="42">
        <f>IF(AND(28&gt;=$D$474,28&lt;=$E$474),$C$474,0)</f>
        <v/>
      </c>
      <c r="AG497" s="42">
        <f>IF(AND(29&gt;=$D$474,29&lt;=$E$474),$C$474,0)</f>
        <v/>
      </c>
      <c r="AH497" s="42">
        <f>IF(AND(30&gt;=$D$474,30&lt;=$E$474),$C$474,0)</f>
        <v/>
      </c>
      <c r="AI497" s="42">
        <f>IF(AND(31&gt;=$D$474,31&lt;=$E$474),$C$474,0)</f>
        <v/>
      </c>
      <c r="AJ497" s="42">
        <f>IF(AND(32&gt;=$D$474,32&lt;=$E$474),$C$474,0)</f>
        <v/>
      </c>
      <c r="AK497" s="42">
        <f>IF(AND(33&gt;=$D$474,33&lt;=$E$474),$C$474,0)</f>
        <v/>
      </c>
      <c r="AL497" s="42">
        <f>IF(AND(34&gt;=$D$474,34&lt;=$E$474),$C$474,0)</f>
        <v/>
      </c>
      <c r="AM497" s="42">
        <f>IF(AND(35&gt;=$D$474,35&lt;=$E$474),$C$474,0)</f>
        <v/>
      </c>
      <c r="AN497" s="42">
        <f>IF(AND(36&gt;=$D$474,36&lt;=$E$474),$C$474,0)</f>
        <v/>
      </c>
      <c r="AO497" s="42">
        <f>IF(AND(37&gt;=$D$474,37&lt;=$E$474),$C$474,0)</f>
        <v/>
      </c>
      <c r="AP497" s="42">
        <f>IF(AND(38&gt;=$D$474,38&lt;=$E$474),$C$474,0)</f>
        <v/>
      </c>
      <c r="AQ497" s="42">
        <f>IF(AND(39&gt;=$D$474,39&lt;=$E$474),$C$474,0)</f>
        <v/>
      </c>
      <c r="AR497" s="42">
        <f>IF(AND(40&gt;=$D$474,40&lt;=$E$474),$C$474,0)</f>
        <v/>
      </c>
      <c r="AS497" s="42">
        <f>IF(AND(41&gt;=$D$474,41&lt;=$E$474),$C$474,0)</f>
        <v/>
      </c>
      <c r="AT497" s="42">
        <f>IF(AND(42&gt;=$D$474,42&lt;=$E$474),$C$474,0)</f>
        <v/>
      </c>
      <c r="AU497" s="42">
        <f>IF(AND(43&gt;=$D$474,43&lt;=$E$474),$C$474,0)</f>
        <v/>
      </c>
      <c r="AV497" s="42">
        <f>IF(AND(44&gt;=$D$474,44&lt;=$E$474),$C$474,0)</f>
        <v/>
      </c>
      <c r="AW497" s="42">
        <f>IF(AND(45&gt;=$D$474,45&lt;=$E$474),$C$474,0)</f>
        <v/>
      </c>
      <c r="AX497" s="42">
        <f>IF(AND(46&gt;=$D$474,46&lt;=$E$474),$C$474,0)</f>
        <v/>
      </c>
      <c r="AY497" s="42">
        <f>IF(AND(47&gt;=$D$474,47&lt;=$E$474),$C$474,0)</f>
        <v/>
      </c>
      <c r="AZ497" s="42">
        <f>IF(AND(48&gt;=$D$474,48&lt;=$E$474),$C$474,0)</f>
        <v/>
      </c>
      <c r="BA497" s="42">
        <f>IF(AND(49&gt;=$D$474,49&lt;=$E$474),$C$474,0)</f>
        <v/>
      </c>
      <c r="BB497" s="42">
        <f>IF(AND(50&gt;=$D$474,50&lt;=$E$474),$C$474,0)</f>
        <v/>
      </c>
      <c r="BC497" s="42">
        <f>IF(AND(51&gt;=$D$474,51&lt;=$E$474),$C$474,0)</f>
        <v/>
      </c>
      <c r="BD497" s="42">
        <f>IF(AND(52&gt;=$D$474,52&lt;=$E$474),$C$474,0)</f>
        <v/>
      </c>
    </row>
    <row r="498">
      <c r="A498" s="41" t="inlineStr">
        <is>
          <t xml:space="preserve">  may be short (row 474)</t>
        </is>
      </c>
      <c r="B498" s="2" t="inlineStr">
        <is>
          <t>lb</t>
        </is>
      </c>
      <c r="E498" s="42">
        <f>IF($G$474="penalty",E497,0)</f>
        <v/>
      </c>
      <c r="F498" s="42">
        <f>IF($G$474="penalty",F497,0)</f>
        <v/>
      </c>
      <c r="G498" s="42">
        <f>IF($G$474="penalty",G497,0)</f>
        <v/>
      </c>
      <c r="H498" s="42">
        <f>IF($G$474="penalty",H497,0)</f>
        <v/>
      </c>
      <c r="I498" s="42">
        <f>IF($G$474="penalty",I497,0)</f>
        <v/>
      </c>
      <c r="J498" s="42">
        <f>IF($G$474="penalty",J497,0)</f>
        <v/>
      </c>
      <c r="K498" s="42">
        <f>IF($G$474="penalty",K497,0)</f>
        <v/>
      </c>
      <c r="L498" s="42">
        <f>IF($G$474="penalty",L497,0)</f>
        <v/>
      </c>
      <c r="M498" s="42">
        <f>IF($G$474="penalty",M497,0)</f>
        <v/>
      </c>
      <c r="N498" s="42">
        <f>IF($G$474="penalty",N497,0)</f>
        <v/>
      </c>
      <c r="O498" s="42">
        <f>IF($G$474="penalty",O497,0)</f>
        <v/>
      </c>
      <c r="P498" s="42">
        <f>IF($G$474="penalty",P497,0)</f>
        <v/>
      </c>
      <c r="Q498" s="42">
        <f>IF($G$474="penalty",Q497,0)</f>
        <v/>
      </c>
      <c r="R498" s="42">
        <f>IF($G$474="penalty",R497,0)</f>
        <v/>
      </c>
      <c r="S498" s="42">
        <f>IF($G$474="penalty",S497,0)</f>
        <v/>
      </c>
      <c r="T498" s="42">
        <f>IF($G$474="penalty",T497,0)</f>
        <v/>
      </c>
      <c r="U498" s="42">
        <f>IF($G$474="penalty",U497,0)</f>
        <v/>
      </c>
      <c r="V498" s="42">
        <f>IF($G$474="penalty",V497,0)</f>
        <v/>
      </c>
      <c r="W498" s="42">
        <f>IF($G$474="penalty",W497,0)</f>
        <v/>
      </c>
      <c r="X498" s="42">
        <f>IF($G$474="penalty",X497,0)</f>
        <v/>
      </c>
      <c r="Y498" s="42">
        <f>IF($G$474="penalty",Y497,0)</f>
        <v/>
      </c>
      <c r="Z498" s="42">
        <f>IF($G$474="penalty",Z497,0)</f>
        <v/>
      </c>
      <c r="AA498" s="42">
        <f>IF($G$474="penalty",AA497,0)</f>
        <v/>
      </c>
      <c r="AB498" s="42">
        <f>IF($G$474="penalty",AB497,0)</f>
        <v/>
      </c>
      <c r="AC498" s="42">
        <f>IF($G$474="penalty",AC497,0)</f>
        <v/>
      </c>
      <c r="AD498" s="42">
        <f>IF($G$474="penalty",AD497,0)</f>
        <v/>
      </c>
      <c r="AE498" s="42">
        <f>IF($G$474="penalty",AE497,0)</f>
        <v/>
      </c>
      <c r="AF498" s="42">
        <f>IF($G$474="penalty",AF497,0)</f>
        <v/>
      </c>
      <c r="AG498" s="42">
        <f>IF($G$474="penalty",AG497,0)</f>
        <v/>
      </c>
      <c r="AH498" s="42">
        <f>IF($G$474="penalty",AH497,0)</f>
        <v/>
      </c>
      <c r="AI498" s="42">
        <f>IF($G$474="penalty",AI497,0)</f>
        <v/>
      </c>
      <c r="AJ498" s="42">
        <f>IF($G$474="penalty",AJ497,0)</f>
        <v/>
      </c>
      <c r="AK498" s="42">
        <f>IF($G$474="penalty",AK497,0)</f>
        <v/>
      </c>
      <c r="AL498" s="42">
        <f>IF($G$474="penalty",AL497,0)</f>
        <v/>
      </c>
      <c r="AM498" s="42">
        <f>IF($G$474="penalty",AM497,0)</f>
        <v/>
      </c>
      <c r="AN498" s="42">
        <f>IF($G$474="penalty",AN497,0)</f>
        <v/>
      </c>
      <c r="AO498" s="42">
        <f>IF($G$474="penalty",AO497,0)</f>
        <v/>
      </c>
      <c r="AP498" s="42">
        <f>IF($G$474="penalty",AP497,0)</f>
        <v/>
      </c>
      <c r="AQ498" s="42">
        <f>IF($G$474="penalty",AQ497,0)</f>
        <v/>
      </c>
      <c r="AR498" s="42">
        <f>IF($G$474="penalty",AR497,0)</f>
        <v/>
      </c>
      <c r="AS498" s="42">
        <f>IF($G$474="penalty",AS497,0)</f>
        <v/>
      </c>
      <c r="AT498" s="42">
        <f>IF($G$474="penalty",AT497,0)</f>
        <v/>
      </c>
      <c r="AU498" s="42">
        <f>IF($G$474="penalty",AU497,0)</f>
        <v/>
      </c>
      <c r="AV498" s="42">
        <f>IF($G$474="penalty",AV497,0)</f>
        <v/>
      </c>
      <c r="AW498" s="42">
        <f>IF($G$474="penalty",AW497,0)</f>
        <v/>
      </c>
      <c r="AX498" s="42">
        <f>IF($G$474="penalty",AX497,0)</f>
        <v/>
      </c>
      <c r="AY498" s="42">
        <f>IF($G$474="penalty",AY497,0)</f>
        <v/>
      </c>
      <c r="AZ498" s="42">
        <f>IF($G$474="penalty",AZ497,0)</f>
        <v/>
      </c>
      <c r="BA498" s="42">
        <f>IF($G$474="penalty",BA497,0)</f>
        <v/>
      </c>
      <c r="BB498" s="42">
        <f>IF($G$474="penalty",BB497,0)</f>
        <v/>
      </c>
      <c r="BC498" s="42">
        <f>IF($G$474="penalty",BC497,0)</f>
        <v/>
      </c>
      <c r="BD498" s="42">
        <f>IF($G$474="penalty",BD497,0)</f>
        <v/>
      </c>
    </row>
    <row r="499">
      <c r="A499" s="33" t="inlineStr">
        <is>
          <t xml:space="preserve">  penalty</t>
        </is>
      </c>
      <c r="B499" s="2" t="inlineStr">
        <is>
          <t>$</t>
        </is>
      </c>
      <c r="E499" s="40">
        <f>E495*N($F$474)</f>
        <v/>
      </c>
      <c r="F499" s="40">
        <f>F495*N($F$474)</f>
        <v/>
      </c>
      <c r="G499" s="40">
        <f>G495*N($F$474)</f>
        <v/>
      </c>
      <c r="H499" s="40">
        <f>H495*N($F$474)</f>
        <v/>
      </c>
      <c r="I499" s="40">
        <f>I495*N($F$474)</f>
        <v/>
      </c>
      <c r="J499" s="40">
        <f>J495*N($F$474)</f>
        <v/>
      </c>
      <c r="K499" s="40">
        <f>K495*N($F$474)</f>
        <v/>
      </c>
      <c r="L499" s="40">
        <f>L495*N($F$474)</f>
        <v/>
      </c>
      <c r="M499" s="40">
        <f>M495*N($F$474)</f>
        <v/>
      </c>
      <c r="N499" s="40">
        <f>N495*N($F$474)</f>
        <v/>
      </c>
      <c r="O499" s="40">
        <f>O495*N($F$474)</f>
        <v/>
      </c>
      <c r="P499" s="40">
        <f>P495*N($F$474)</f>
        <v/>
      </c>
      <c r="Q499" s="40">
        <f>Q495*N($F$474)</f>
        <v/>
      </c>
      <c r="R499" s="40">
        <f>R495*N($F$474)</f>
        <v/>
      </c>
      <c r="S499" s="40">
        <f>S495*N($F$474)</f>
        <v/>
      </c>
      <c r="T499" s="40">
        <f>T495*N($F$474)</f>
        <v/>
      </c>
      <c r="U499" s="40">
        <f>U495*N($F$474)</f>
        <v/>
      </c>
      <c r="V499" s="40">
        <f>V495*N($F$474)</f>
        <v/>
      </c>
      <c r="W499" s="40">
        <f>W495*N($F$474)</f>
        <v/>
      </c>
      <c r="X499" s="40">
        <f>X495*N($F$474)</f>
        <v/>
      </c>
      <c r="Y499" s="40">
        <f>Y495*N($F$474)</f>
        <v/>
      </c>
      <c r="Z499" s="40">
        <f>Z495*N($F$474)</f>
        <v/>
      </c>
      <c r="AA499" s="40">
        <f>AA495*N($F$474)</f>
        <v/>
      </c>
      <c r="AB499" s="40">
        <f>AB495*N($F$474)</f>
        <v/>
      </c>
      <c r="AC499" s="40">
        <f>AC495*N($F$474)</f>
        <v/>
      </c>
      <c r="AD499" s="40">
        <f>AD495*N($F$474)</f>
        <v/>
      </c>
      <c r="AE499" s="40">
        <f>AE495*N($F$474)</f>
        <v/>
      </c>
      <c r="AF499" s="40">
        <f>AF495*N($F$474)</f>
        <v/>
      </c>
      <c r="AG499" s="40">
        <f>AG495*N($F$474)</f>
        <v/>
      </c>
      <c r="AH499" s="40">
        <f>AH495*N($F$474)</f>
        <v/>
      </c>
      <c r="AI499" s="40">
        <f>AI495*N($F$474)</f>
        <v/>
      </c>
      <c r="AJ499" s="40">
        <f>AJ495*N($F$474)</f>
        <v/>
      </c>
      <c r="AK499" s="40">
        <f>AK495*N($F$474)</f>
        <v/>
      </c>
      <c r="AL499" s="40">
        <f>AL495*N($F$474)</f>
        <v/>
      </c>
      <c r="AM499" s="40">
        <f>AM495*N($F$474)</f>
        <v/>
      </c>
      <c r="AN499" s="40">
        <f>AN495*N($F$474)</f>
        <v/>
      </c>
      <c r="AO499" s="40">
        <f>AO495*N($F$474)</f>
        <v/>
      </c>
      <c r="AP499" s="40">
        <f>AP495*N($F$474)</f>
        <v/>
      </c>
      <c r="AQ499" s="40">
        <f>AQ495*N($F$474)</f>
        <v/>
      </c>
      <c r="AR499" s="40">
        <f>AR495*N($F$474)</f>
        <v/>
      </c>
      <c r="AS499" s="40">
        <f>AS495*N($F$474)</f>
        <v/>
      </c>
      <c r="AT499" s="40">
        <f>AT495*N($F$474)</f>
        <v/>
      </c>
      <c r="AU499" s="40">
        <f>AU495*N($F$474)</f>
        <v/>
      </c>
      <c r="AV499" s="40">
        <f>AV495*N($F$474)</f>
        <v/>
      </c>
      <c r="AW499" s="40">
        <f>AW495*N($F$474)</f>
        <v/>
      </c>
      <c r="AX499" s="40">
        <f>AX495*N($F$474)</f>
        <v/>
      </c>
      <c r="AY499" s="40">
        <f>AY495*N($F$474)</f>
        <v/>
      </c>
      <c r="AZ499" s="40">
        <f>AZ495*N($F$474)</f>
        <v/>
      </c>
      <c r="BA499" s="40">
        <f>BA495*N($F$474)</f>
        <v/>
      </c>
      <c r="BB499" s="40">
        <f>BB495*N($F$474)</f>
        <v/>
      </c>
      <c r="BC499" s="40">
        <f>BC495*N($F$474)</f>
        <v/>
      </c>
      <c r="BD499" s="40">
        <f>BD495*N($F$474)</f>
        <v/>
      </c>
    </row>
    <row r="500">
      <c r="A500" s="2" t="inlineStr">
        <is>
          <t xml:space="preserve">   delivered + short &gt;= owed, and short &lt;= 'may be short': the order on a penalty contract (you cannot be short of an order nobody placed), 0 on a deliver one.</t>
        </is>
      </c>
    </row>
    <row r="502">
      <c r="A502" s="3" t="inlineStr">
        <is>
          <t>6 — THE TWO STORES</t>
        </is>
      </c>
    </row>
    <row r="503">
      <c r="A503" s="36" t="inlineStr">
        <is>
          <t>Week</t>
        </is>
      </c>
      <c r="B503" s="37" t="inlineStr">
        <is>
          <t>m3</t>
        </is>
      </c>
      <c r="E503" s="38" t="n">
        <v>1</v>
      </c>
      <c r="F503" s="38" t="n">
        <v>2</v>
      </c>
      <c r="G503" s="38" t="n">
        <v>3</v>
      </c>
      <c r="H503" s="38" t="n">
        <v>4</v>
      </c>
      <c r="I503" s="38" t="n">
        <v>5</v>
      </c>
      <c r="J503" s="38" t="n">
        <v>6</v>
      </c>
      <c r="K503" s="38" t="n">
        <v>7</v>
      </c>
      <c r="L503" s="38" t="n">
        <v>8</v>
      </c>
      <c r="M503" s="38" t="n">
        <v>9</v>
      </c>
      <c r="N503" s="38" t="n">
        <v>10</v>
      </c>
      <c r="O503" s="38" t="n">
        <v>11</v>
      </c>
      <c r="P503" s="38" t="n">
        <v>12</v>
      </c>
      <c r="Q503" s="38" t="n">
        <v>13</v>
      </c>
      <c r="R503" s="38" t="n">
        <v>14</v>
      </c>
      <c r="S503" s="38" t="n">
        <v>15</v>
      </c>
      <c r="T503" s="38" t="n">
        <v>16</v>
      </c>
      <c r="U503" s="38" t="n">
        <v>17</v>
      </c>
      <c r="V503" s="38" t="n">
        <v>18</v>
      </c>
      <c r="W503" s="38" t="n">
        <v>19</v>
      </c>
      <c r="X503" s="38" t="n">
        <v>20</v>
      </c>
      <c r="Y503" s="38" t="n">
        <v>21</v>
      </c>
      <c r="Z503" s="38" t="n">
        <v>22</v>
      </c>
      <c r="AA503" s="38" t="n">
        <v>23</v>
      </c>
      <c r="AB503" s="38" t="n">
        <v>24</v>
      </c>
      <c r="AC503" s="38" t="n">
        <v>25</v>
      </c>
      <c r="AD503" s="38" t="n">
        <v>26</v>
      </c>
      <c r="AE503" s="38" t="n">
        <v>27</v>
      </c>
      <c r="AF503" s="38" t="n">
        <v>28</v>
      </c>
      <c r="AG503" s="38" t="n">
        <v>29</v>
      </c>
      <c r="AH503" s="38" t="n">
        <v>30</v>
      </c>
      <c r="AI503" s="38" t="n">
        <v>31</v>
      </c>
      <c r="AJ503" s="38" t="n">
        <v>32</v>
      </c>
      <c r="AK503" s="38" t="n">
        <v>33</v>
      </c>
      <c r="AL503" s="38" t="n">
        <v>34</v>
      </c>
      <c r="AM503" s="38" t="n">
        <v>35</v>
      </c>
      <c r="AN503" s="38" t="n">
        <v>36</v>
      </c>
      <c r="AO503" s="38" t="n">
        <v>37</v>
      </c>
      <c r="AP503" s="38" t="n">
        <v>38</v>
      </c>
      <c r="AQ503" s="38" t="n">
        <v>39</v>
      </c>
      <c r="AR503" s="38" t="n">
        <v>40</v>
      </c>
      <c r="AS503" s="38" t="n">
        <v>41</v>
      </c>
      <c r="AT503" s="38" t="n">
        <v>42</v>
      </c>
      <c r="AU503" s="38" t="n">
        <v>43</v>
      </c>
      <c r="AV503" s="38" t="n">
        <v>44</v>
      </c>
      <c r="AW503" s="38" t="n">
        <v>45</v>
      </c>
      <c r="AX503" s="38" t="n">
        <v>46</v>
      </c>
      <c r="AY503" s="38" t="n">
        <v>47</v>
      </c>
      <c r="AZ503" s="38" t="n">
        <v>48</v>
      </c>
      <c r="BA503" s="38" t="n">
        <v>49</v>
      </c>
      <c r="BB503" s="38" t="n">
        <v>50</v>
      </c>
      <c r="BC503" s="38" t="n">
        <v>51</v>
      </c>
      <c r="BD503" s="38" t="n">
        <v>52</v>
      </c>
    </row>
    <row r="504">
      <c r="A504" s="41" t="inlineStr">
        <is>
          <t>COLD STORE</t>
        </is>
      </c>
      <c r="B504" s="2" t="inlineStr">
        <is>
          <t>used</t>
        </is>
      </c>
      <c r="E504" s="51">
        <f>E351+E380+E434+E461</f>
        <v/>
      </c>
      <c r="F504" s="51">
        <f>F351+F380+F434+F461</f>
        <v/>
      </c>
      <c r="G504" s="51">
        <f>G351+G380+G434+G461</f>
        <v/>
      </c>
      <c r="H504" s="51">
        <f>H351+H380+H434+H461</f>
        <v/>
      </c>
      <c r="I504" s="51">
        <f>I351+I380+I434+I461</f>
        <v/>
      </c>
      <c r="J504" s="51">
        <f>J351+J380+J434+J461</f>
        <v/>
      </c>
      <c r="K504" s="51">
        <f>K351+K380+K434+K461</f>
        <v/>
      </c>
      <c r="L504" s="51">
        <f>L351+L380+L434+L461</f>
        <v/>
      </c>
      <c r="M504" s="51">
        <f>M351+M380+M434+M461</f>
        <v/>
      </c>
      <c r="N504" s="51">
        <f>N351+N380+N434+N461</f>
        <v/>
      </c>
      <c r="O504" s="51">
        <f>O351+O380+O434+O461</f>
        <v/>
      </c>
      <c r="P504" s="51">
        <f>P351+P380+P434+P461</f>
        <v/>
      </c>
      <c r="Q504" s="51">
        <f>Q351+Q380+Q434+Q461</f>
        <v/>
      </c>
      <c r="R504" s="51">
        <f>R351+R380+R434+R461</f>
        <v/>
      </c>
      <c r="S504" s="51">
        <f>S351+S380+S434+S461</f>
        <v/>
      </c>
      <c r="T504" s="51">
        <f>T351+T380+T434+T461</f>
        <v/>
      </c>
      <c r="U504" s="51">
        <f>U351+U380+U434+U461</f>
        <v/>
      </c>
      <c r="V504" s="51">
        <f>V351+V380+V434+V461</f>
        <v/>
      </c>
      <c r="W504" s="51">
        <f>W351+W380+W434+W461</f>
        <v/>
      </c>
      <c r="X504" s="51">
        <f>X351+X380+X434+X461</f>
        <v/>
      </c>
      <c r="Y504" s="51">
        <f>Y351+Y380+Y434+Y461</f>
        <v/>
      </c>
      <c r="Z504" s="51">
        <f>Z351+Z380+Z434+Z461</f>
        <v/>
      </c>
      <c r="AA504" s="51">
        <f>AA351+AA380+AA434+AA461</f>
        <v/>
      </c>
      <c r="AB504" s="51">
        <f>AB351+AB380+AB434+AB461</f>
        <v/>
      </c>
      <c r="AC504" s="51">
        <f>AC351+AC380+AC434+AC461</f>
        <v/>
      </c>
      <c r="AD504" s="51">
        <f>AD351+AD380+AD434+AD461</f>
        <v/>
      </c>
      <c r="AE504" s="51">
        <f>AE351+AE380+AE434+AE461</f>
        <v/>
      </c>
      <c r="AF504" s="51">
        <f>AF351+AF380+AF434+AF461</f>
        <v/>
      </c>
      <c r="AG504" s="51">
        <f>AG351+AG380+AG434+AG461</f>
        <v/>
      </c>
      <c r="AH504" s="51">
        <f>AH351+AH380+AH434+AH461</f>
        <v/>
      </c>
      <c r="AI504" s="51">
        <f>AI351+AI380+AI434+AI461</f>
        <v/>
      </c>
      <c r="AJ504" s="51">
        <f>AJ351+AJ380+AJ434+AJ461</f>
        <v/>
      </c>
      <c r="AK504" s="51">
        <f>AK351+AK380+AK434+AK461</f>
        <v/>
      </c>
      <c r="AL504" s="51">
        <f>AL351+AL380+AL434+AL461</f>
        <v/>
      </c>
      <c r="AM504" s="51">
        <f>AM351+AM380+AM434+AM461</f>
        <v/>
      </c>
      <c r="AN504" s="51">
        <f>AN351+AN380+AN434+AN461</f>
        <v/>
      </c>
      <c r="AO504" s="51">
        <f>AO351+AO380+AO434+AO461</f>
        <v/>
      </c>
      <c r="AP504" s="51">
        <f>AP351+AP380+AP434+AP461</f>
        <v/>
      </c>
      <c r="AQ504" s="51">
        <f>AQ351+AQ380+AQ434+AQ461</f>
        <v/>
      </c>
      <c r="AR504" s="51">
        <f>AR351+AR380+AR434+AR461</f>
        <v/>
      </c>
      <c r="AS504" s="51">
        <f>AS351+AS380+AS434+AS461</f>
        <v/>
      </c>
      <c r="AT504" s="51">
        <f>AT351+AT380+AT434+AT461</f>
        <v/>
      </c>
      <c r="AU504" s="51">
        <f>AU351+AU380+AU434+AU461</f>
        <v/>
      </c>
      <c r="AV504" s="51">
        <f>AV351+AV380+AV434+AV461</f>
        <v/>
      </c>
      <c r="AW504" s="51">
        <f>AW351+AW380+AW434+AW461</f>
        <v/>
      </c>
      <c r="AX504" s="51">
        <f>AX351+AX380+AX434+AX461</f>
        <v/>
      </c>
      <c r="AY504" s="51">
        <f>AY351+AY380+AY434+AY461</f>
        <v/>
      </c>
      <c r="AZ504" s="51">
        <f>AZ351+AZ380+AZ434+AZ461</f>
        <v/>
      </c>
      <c r="BA504" s="51">
        <f>BA351+BA380+BA434+BA461</f>
        <v/>
      </c>
      <c r="BB504" s="51">
        <f>BB351+BB380+BB434+BB461</f>
        <v/>
      </c>
      <c r="BC504" s="51">
        <f>BC351+BC380+BC434+BC461</f>
        <v/>
      </c>
      <c r="BD504" s="51">
        <f>BD351+BD380+BD434+BD461</f>
        <v/>
      </c>
    </row>
    <row r="505">
      <c r="A505" s="4" t="inlineStr"/>
      <c r="E505" s="52" t="inlineStr">
        <is>
          <t>&lt;=</t>
        </is>
      </c>
      <c r="F505" s="52" t="inlineStr">
        <is>
          <t>&lt;=</t>
        </is>
      </c>
      <c r="G505" s="52" t="inlineStr">
        <is>
          <t>&lt;=</t>
        </is>
      </c>
      <c r="H505" s="52" t="inlineStr">
        <is>
          <t>&lt;=</t>
        </is>
      </c>
      <c r="I505" s="52" t="inlineStr">
        <is>
          <t>&lt;=</t>
        </is>
      </c>
      <c r="J505" s="52" t="inlineStr">
        <is>
          <t>&lt;=</t>
        </is>
      </c>
      <c r="K505" s="52" t="inlineStr">
        <is>
          <t>&lt;=</t>
        </is>
      </c>
      <c r="L505" s="52" t="inlineStr">
        <is>
          <t>&lt;=</t>
        </is>
      </c>
      <c r="M505" s="52" t="inlineStr">
        <is>
          <t>&lt;=</t>
        </is>
      </c>
      <c r="N505" s="52" t="inlineStr">
        <is>
          <t>&lt;=</t>
        </is>
      </c>
      <c r="O505" s="52" t="inlineStr">
        <is>
          <t>&lt;=</t>
        </is>
      </c>
      <c r="P505" s="52" t="inlineStr">
        <is>
          <t>&lt;=</t>
        </is>
      </c>
      <c r="Q505" s="52" t="inlineStr">
        <is>
          <t>&lt;=</t>
        </is>
      </c>
      <c r="R505" s="52" t="inlineStr">
        <is>
          <t>&lt;=</t>
        </is>
      </c>
      <c r="S505" s="52" t="inlineStr">
        <is>
          <t>&lt;=</t>
        </is>
      </c>
      <c r="T505" s="52" t="inlineStr">
        <is>
          <t>&lt;=</t>
        </is>
      </c>
      <c r="U505" s="52" t="inlineStr">
        <is>
          <t>&lt;=</t>
        </is>
      </c>
      <c r="V505" s="52" t="inlineStr">
        <is>
          <t>&lt;=</t>
        </is>
      </c>
      <c r="W505" s="52" t="inlineStr">
        <is>
          <t>&lt;=</t>
        </is>
      </c>
      <c r="X505" s="52" t="inlineStr">
        <is>
          <t>&lt;=</t>
        </is>
      </c>
      <c r="Y505" s="52" t="inlineStr">
        <is>
          <t>&lt;=</t>
        </is>
      </c>
      <c r="Z505" s="52" t="inlineStr">
        <is>
          <t>&lt;=</t>
        </is>
      </c>
      <c r="AA505" s="52" t="inlineStr">
        <is>
          <t>&lt;=</t>
        </is>
      </c>
      <c r="AB505" s="52" t="inlineStr">
        <is>
          <t>&lt;=</t>
        </is>
      </c>
      <c r="AC505" s="52" t="inlineStr">
        <is>
          <t>&lt;=</t>
        </is>
      </c>
      <c r="AD505" s="52" t="inlineStr">
        <is>
          <t>&lt;=</t>
        </is>
      </c>
      <c r="AE505" s="52" t="inlineStr">
        <is>
          <t>&lt;=</t>
        </is>
      </c>
      <c r="AF505" s="52" t="inlineStr">
        <is>
          <t>&lt;=</t>
        </is>
      </c>
      <c r="AG505" s="52" t="inlineStr">
        <is>
          <t>&lt;=</t>
        </is>
      </c>
      <c r="AH505" s="52" t="inlineStr">
        <is>
          <t>&lt;=</t>
        </is>
      </c>
      <c r="AI505" s="52" t="inlineStr">
        <is>
          <t>&lt;=</t>
        </is>
      </c>
      <c r="AJ505" s="52" t="inlineStr">
        <is>
          <t>&lt;=</t>
        </is>
      </c>
      <c r="AK505" s="52" t="inlineStr">
        <is>
          <t>&lt;=</t>
        </is>
      </c>
      <c r="AL505" s="52" t="inlineStr">
        <is>
          <t>&lt;=</t>
        </is>
      </c>
      <c r="AM505" s="52" t="inlineStr">
        <is>
          <t>&lt;=</t>
        </is>
      </c>
      <c r="AN505" s="52" t="inlineStr">
        <is>
          <t>&lt;=</t>
        </is>
      </c>
      <c r="AO505" s="52" t="inlineStr">
        <is>
          <t>&lt;=</t>
        </is>
      </c>
      <c r="AP505" s="52" t="inlineStr">
        <is>
          <t>&lt;=</t>
        </is>
      </c>
      <c r="AQ505" s="52" t="inlineStr">
        <is>
          <t>&lt;=</t>
        </is>
      </c>
      <c r="AR505" s="52" t="inlineStr">
        <is>
          <t>&lt;=</t>
        </is>
      </c>
      <c r="AS505" s="52" t="inlineStr">
        <is>
          <t>&lt;=</t>
        </is>
      </c>
      <c r="AT505" s="52" t="inlineStr">
        <is>
          <t>&lt;=</t>
        </is>
      </c>
      <c r="AU505" s="52" t="inlineStr">
        <is>
          <t>&lt;=</t>
        </is>
      </c>
      <c r="AV505" s="52" t="inlineStr">
        <is>
          <t>&lt;=</t>
        </is>
      </c>
      <c r="AW505" s="52" t="inlineStr">
        <is>
          <t>&lt;=</t>
        </is>
      </c>
      <c r="AX505" s="52" t="inlineStr">
        <is>
          <t>&lt;=</t>
        </is>
      </c>
      <c r="AY505" s="52" t="inlineStr">
        <is>
          <t>&lt;=</t>
        </is>
      </c>
      <c r="AZ505" s="52" t="inlineStr">
        <is>
          <t>&lt;=</t>
        </is>
      </c>
      <c r="BA505" s="52" t="inlineStr">
        <is>
          <t>&lt;=</t>
        </is>
      </c>
      <c r="BB505" s="52" t="inlineStr">
        <is>
          <t>&lt;=</t>
        </is>
      </c>
      <c r="BC505" s="52" t="inlineStr">
        <is>
          <t>&lt;=</t>
        </is>
      </c>
      <c r="BD505" s="52" t="inlineStr">
        <is>
          <t>&lt;=</t>
        </is>
      </c>
    </row>
    <row r="506">
      <c r="A506" s="41" t="inlineStr">
        <is>
          <t xml:space="preserve">  limit</t>
        </is>
      </c>
      <c r="B506" s="2" t="inlineStr">
        <is>
          <t>cap</t>
        </is>
      </c>
      <c r="E506" s="51">
        <f>$B$7</f>
        <v/>
      </c>
      <c r="F506" s="51">
        <f>$B$7</f>
        <v/>
      </c>
      <c r="G506" s="51">
        <f>$B$7</f>
        <v/>
      </c>
      <c r="H506" s="51">
        <f>$B$7</f>
        <v/>
      </c>
      <c r="I506" s="51">
        <f>$B$7</f>
        <v/>
      </c>
      <c r="J506" s="51">
        <f>$B$7</f>
        <v/>
      </c>
      <c r="K506" s="51">
        <f>$B$7</f>
        <v/>
      </c>
      <c r="L506" s="51">
        <f>$B$7</f>
        <v/>
      </c>
      <c r="M506" s="51">
        <f>$B$7</f>
        <v/>
      </c>
      <c r="N506" s="51">
        <f>$B$7</f>
        <v/>
      </c>
      <c r="O506" s="51">
        <f>$B$7</f>
        <v/>
      </c>
      <c r="P506" s="51">
        <f>$B$7</f>
        <v/>
      </c>
      <c r="Q506" s="51">
        <f>$B$7</f>
        <v/>
      </c>
      <c r="R506" s="51">
        <f>$B$7</f>
        <v/>
      </c>
      <c r="S506" s="51">
        <f>$B$7</f>
        <v/>
      </c>
      <c r="T506" s="51">
        <f>$B$7</f>
        <v/>
      </c>
      <c r="U506" s="51">
        <f>$B$7</f>
        <v/>
      </c>
      <c r="V506" s="51">
        <f>$B$7</f>
        <v/>
      </c>
      <c r="W506" s="51">
        <f>$B$7</f>
        <v/>
      </c>
      <c r="X506" s="51">
        <f>$B$7</f>
        <v/>
      </c>
      <c r="Y506" s="51">
        <f>$B$7</f>
        <v/>
      </c>
      <c r="Z506" s="51">
        <f>$B$7</f>
        <v/>
      </c>
      <c r="AA506" s="51">
        <f>$B$7</f>
        <v/>
      </c>
      <c r="AB506" s="51">
        <f>$B$7</f>
        <v/>
      </c>
      <c r="AC506" s="51">
        <f>$B$7</f>
        <v/>
      </c>
      <c r="AD506" s="51">
        <f>$B$7</f>
        <v/>
      </c>
      <c r="AE506" s="51">
        <f>$B$7</f>
        <v/>
      </c>
      <c r="AF506" s="51">
        <f>$B$7</f>
        <v/>
      </c>
      <c r="AG506" s="51">
        <f>$B$7</f>
        <v/>
      </c>
      <c r="AH506" s="51">
        <f>$B$7</f>
        <v/>
      </c>
      <c r="AI506" s="51">
        <f>$B$7</f>
        <v/>
      </c>
      <c r="AJ506" s="51">
        <f>$B$7</f>
        <v/>
      </c>
      <c r="AK506" s="51">
        <f>$B$7</f>
        <v/>
      </c>
      <c r="AL506" s="51">
        <f>$B$7</f>
        <v/>
      </c>
      <c r="AM506" s="51">
        <f>$B$7</f>
        <v/>
      </c>
      <c r="AN506" s="51">
        <f>$B$7</f>
        <v/>
      </c>
      <c r="AO506" s="51">
        <f>$B$7</f>
        <v/>
      </c>
      <c r="AP506" s="51">
        <f>$B$7</f>
        <v/>
      </c>
      <c r="AQ506" s="51">
        <f>$B$7</f>
        <v/>
      </c>
      <c r="AR506" s="51">
        <f>$B$7</f>
        <v/>
      </c>
      <c r="AS506" s="51">
        <f>$B$7</f>
        <v/>
      </c>
      <c r="AT506" s="51">
        <f>$B$7</f>
        <v/>
      </c>
      <c r="AU506" s="51">
        <f>$B$7</f>
        <v/>
      </c>
      <c r="AV506" s="51">
        <f>$B$7</f>
        <v/>
      </c>
      <c r="AW506" s="51">
        <f>$B$7</f>
        <v/>
      </c>
      <c r="AX506" s="51">
        <f>$B$7</f>
        <v/>
      </c>
      <c r="AY506" s="51">
        <f>$B$7</f>
        <v/>
      </c>
      <c r="AZ506" s="51">
        <f>$B$7</f>
        <v/>
      </c>
      <c r="BA506" s="51">
        <f>$B$7</f>
        <v/>
      </c>
      <c r="BB506" s="51">
        <f>$B$7</f>
        <v/>
      </c>
      <c r="BC506" s="51">
        <f>$B$7</f>
        <v/>
      </c>
      <c r="BD506" s="51">
        <f>$B$7</f>
        <v/>
      </c>
    </row>
    <row r="507">
      <c r="A507" s="43" t="inlineStr">
        <is>
          <t xml:space="preserve">  room left</t>
        </is>
      </c>
      <c r="E507" s="51">
        <f>$B$7-E504</f>
        <v/>
      </c>
      <c r="F507" s="51">
        <f>$B$7-F504</f>
        <v/>
      </c>
      <c r="G507" s="51">
        <f>$B$7-G504</f>
        <v/>
      </c>
      <c r="H507" s="51">
        <f>$B$7-H504</f>
        <v/>
      </c>
      <c r="I507" s="51">
        <f>$B$7-I504</f>
        <v/>
      </c>
      <c r="J507" s="51">
        <f>$B$7-J504</f>
        <v/>
      </c>
      <c r="K507" s="51">
        <f>$B$7-K504</f>
        <v/>
      </c>
      <c r="L507" s="51">
        <f>$B$7-L504</f>
        <v/>
      </c>
      <c r="M507" s="51">
        <f>$B$7-M504</f>
        <v/>
      </c>
      <c r="N507" s="51">
        <f>$B$7-N504</f>
        <v/>
      </c>
      <c r="O507" s="51">
        <f>$B$7-O504</f>
        <v/>
      </c>
      <c r="P507" s="51">
        <f>$B$7-P504</f>
        <v/>
      </c>
      <c r="Q507" s="51">
        <f>$B$7-Q504</f>
        <v/>
      </c>
      <c r="R507" s="51">
        <f>$B$7-R504</f>
        <v/>
      </c>
      <c r="S507" s="51">
        <f>$B$7-S504</f>
        <v/>
      </c>
      <c r="T507" s="51">
        <f>$B$7-T504</f>
        <v/>
      </c>
      <c r="U507" s="51">
        <f>$B$7-U504</f>
        <v/>
      </c>
      <c r="V507" s="51">
        <f>$B$7-V504</f>
        <v/>
      </c>
      <c r="W507" s="51">
        <f>$B$7-W504</f>
        <v/>
      </c>
      <c r="X507" s="51">
        <f>$B$7-X504</f>
        <v/>
      </c>
      <c r="Y507" s="51">
        <f>$B$7-Y504</f>
        <v/>
      </c>
      <c r="Z507" s="51">
        <f>$B$7-Z504</f>
        <v/>
      </c>
      <c r="AA507" s="51">
        <f>$B$7-AA504</f>
        <v/>
      </c>
      <c r="AB507" s="51">
        <f>$B$7-AB504</f>
        <v/>
      </c>
      <c r="AC507" s="51">
        <f>$B$7-AC504</f>
        <v/>
      </c>
      <c r="AD507" s="51">
        <f>$B$7-AD504</f>
        <v/>
      </c>
      <c r="AE507" s="51">
        <f>$B$7-AE504</f>
        <v/>
      </c>
      <c r="AF507" s="51">
        <f>$B$7-AF504</f>
        <v/>
      </c>
      <c r="AG507" s="51">
        <f>$B$7-AG504</f>
        <v/>
      </c>
      <c r="AH507" s="51">
        <f>$B$7-AH504</f>
        <v/>
      </c>
      <c r="AI507" s="51">
        <f>$B$7-AI504</f>
        <v/>
      </c>
      <c r="AJ507" s="51">
        <f>$B$7-AJ504</f>
        <v/>
      </c>
      <c r="AK507" s="51">
        <f>$B$7-AK504</f>
        <v/>
      </c>
      <c r="AL507" s="51">
        <f>$B$7-AL504</f>
        <v/>
      </c>
      <c r="AM507" s="51">
        <f>$B$7-AM504</f>
        <v/>
      </c>
      <c r="AN507" s="51">
        <f>$B$7-AN504</f>
        <v/>
      </c>
      <c r="AO507" s="51">
        <f>$B$7-AO504</f>
        <v/>
      </c>
      <c r="AP507" s="51">
        <f>$B$7-AP504</f>
        <v/>
      </c>
      <c r="AQ507" s="51">
        <f>$B$7-AQ504</f>
        <v/>
      </c>
      <c r="AR507" s="51">
        <f>$B$7-AR504</f>
        <v/>
      </c>
      <c r="AS507" s="51">
        <f>$B$7-AS504</f>
        <v/>
      </c>
      <c r="AT507" s="51">
        <f>$B$7-AT504</f>
        <v/>
      </c>
      <c r="AU507" s="51">
        <f>$B$7-AU504</f>
        <v/>
      </c>
      <c r="AV507" s="51">
        <f>$B$7-AV504</f>
        <v/>
      </c>
      <c r="AW507" s="51">
        <f>$B$7-AW504</f>
        <v/>
      </c>
      <c r="AX507" s="51">
        <f>$B$7-AX504</f>
        <v/>
      </c>
      <c r="AY507" s="51">
        <f>$B$7-AY504</f>
        <v/>
      </c>
      <c r="AZ507" s="51">
        <f>$B$7-AZ504</f>
        <v/>
      </c>
      <c r="BA507" s="51">
        <f>$B$7-BA504</f>
        <v/>
      </c>
      <c r="BB507" s="51">
        <f>$B$7-BB504</f>
        <v/>
      </c>
      <c r="BC507" s="51">
        <f>$B$7-BC504</f>
        <v/>
      </c>
      <c r="BD507" s="51">
        <f>$B$7-BD504</f>
        <v/>
      </c>
    </row>
    <row r="508">
      <c r="A508" s="2" t="inlineStr">
        <is>
          <t xml:space="preserve">   Holds Spinach, Kale, Tunnel Spinach, Asparagus.</t>
        </is>
      </c>
    </row>
    <row r="510">
      <c r="A510" s="36" t="inlineStr">
        <is>
          <t>Week</t>
        </is>
      </c>
      <c r="B510" s="37" t="inlineStr">
        <is>
          <t>m3</t>
        </is>
      </c>
      <c r="E510" s="38" t="n">
        <v>1</v>
      </c>
      <c r="F510" s="38" t="n">
        <v>2</v>
      </c>
      <c r="G510" s="38" t="n">
        <v>3</v>
      </c>
      <c r="H510" s="38" t="n">
        <v>4</v>
      </c>
      <c r="I510" s="38" t="n">
        <v>5</v>
      </c>
      <c r="J510" s="38" t="n">
        <v>6</v>
      </c>
      <c r="K510" s="38" t="n">
        <v>7</v>
      </c>
      <c r="L510" s="38" t="n">
        <v>8</v>
      </c>
      <c r="M510" s="38" t="n">
        <v>9</v>
      </c>
      <c r="N510" s="38" t="n">
        <v>10</v>
      </c>
      <c r="O510" s="38" t="n">
        <v>11</v>
      </c>
      <c r="P510" s="38" t="n">
        <v>12</v>
      </c>
      <c r="Q510" s="38" t="n">
        <v>13</v>
      </c>
      <c r="R510" s="38" t="n">
        <v>14</v>
      </c>
      <c r="S510" s="38" t="n">
        <v>15</v>
      </c>
      <c r="T510" s="38" t="n">
        <v>16</v>
      </c>
      <c r="U510" s="38" t="n">
        <v>17</v>
      </c>
      <c r="V510" s="38" t="n">
        <v>18</v>
      </c>
      <c r="W510" s="38" t="n">
        <v>19</v>
      </c>
      <c r="X510" s="38" t="n">
        <v>20</v>
      </c>
      <c r="Y510" s="38" t="n">
        <v>21</v>
      </c>
      <c r="Z510" s="38" t="n">
        <v>22</v>
      </c>
      <c r="AA510" s="38" t="n">
        <v>23</v>
      </c>
      <c r="AB510" s="38" t="n">
        <v>24</v>
      </c>
      <c r="AC510" s="38" t="n">
        <v>25</v>
      </c>
      <c r="AD510" s="38" t="n">
        <v>26</v>
      </c>
      <c r="AE510" s="38" t="n">
        <v>27</v>
      </c>
      <c r="AF510" s="38" t="n">
        <v>28</v>
      </c>
      <c r="AG510" s="38" t="n">
        <v>29</v>
      </c>
      <c r="AH510" s="38" t="n">
        <v>30</v>
      </c>
      <c r="AI510" s="38" t="n">
        <v>31</v>
      </c>
      <c r="AJ510" s="38" t="n">
        <v>32</v>
      </c>
      <c r="AK510" s="38" t="n">
        <v>33</v>
      </c>
      <c r="AL510" s="38" t="n">
        <v>34</v>
      </c>
      <c r="AM510" s="38" t="n">
        <v>35</v>
      </c>
      <c r="AN510" s="38" t="n">
        <v>36</v>
      </c>
      <c r="AO510" s="38" t="n">
        <v>37</v>
      </c>
      <c r="AP510" s="38" t="n">
        <v>38</v>
      </c>
      <c r="AQ510" s="38" t="n">
        <v>39</v>
      </c>
      <c r="AR510" s="38" t="n">
        <v>40</v>
      </c>
      <c r="AS510" s="38" t="n">
        <v>41</v>
      </c>
      <c r="AT510" s="38" t="n">
        <v>42</v>
      </c>
      <c r="AU510" s="38" t="n">
        <v>43</v>
      </c>
      <c r="AV510" s="38" t="n">
        <v>44</v>
      </c>
      <c r="AW510" s="38" t="n">
        <v>45</v>
      </c>
      <c r="AX510" s="38" t="n">
        <v>46</v>
      </c>
      <c r="AY510" s="38" t="n">
        <v>47</v>
      </c>
      <c r="AZ510" s="38" t="n">
        <v>48</v>
      </c>
      <c r="BA510" s="38" t="n">
        <v>49</v>
      </c>
      <c r="BB510" s="38" t="n">
        <v>50</v>
      </c>
      <c r="BC510" s="38" t="n">
        <v>51</v>
      </c>
      <c r="BD510" s="38" t="n">
        <v>52</v>
      </c>
    </row>
    <row r="511">
      <c r="A511" s="41" t="inlineStr">
        <is>
          <t>AMBIENT STORE</t>
        </is>
      </c>
      <c r="B511" s="2" t="inlineStr">
        <is>
          <t>used</t>
        </is>
      </c>
      <c r="E511" s="51">
        <f>E407</f>
        <v/>
      </c>
      <c r="F511" s="51">
        <f>F407</f>
        <v/>
      </c>
      <c r="G511" s="51">
        <f>G407</f>
        <v/>
      </c>
      <c r="H511" s="51">
        <f>H407</f>
        <v/>
      </c>
      <c r="I511" s="51">
        <f>I407</f>
        <v/>
      </c>
      <c r="J511" s="51">
        <f>J407</f>
        <v/>
      </c>
      <c r="K511" s="51">
        <f>K407</f>
        <v/>
      </c>
      <c r="L511" s="51">
        <f>L407</f>
        <v/>
      </c>
      <c r="M511" s="51">
        <f>M407</f>
        <v/>
      </c>
      <c r="N511" s="51">
        <f>N407</f>
        <v/>
      </c>
      <c r="O511" s="51">
        <f>O407</f>
        <v/>
      </c>
      <c r="P511" s="51">
        <f>P407</f>
        <v/>
      </c>
      <c r="Q511" s="51">
        <f>Q407</f>
        <v/>
      </c>
      <c r="R511" s="51">
        <f>R407</f>
        <v/>
      </c>
      <c r="S511" s="51">
        <f>S407</f>
        <v/>
      </c>
      <c r="T511" s="51">
        <f>T407</f>
        <v/>
      </c>
      <c r="U511" s="51">
        <f>U407</f>
        <v/>
      </c>
      <c r="V511" s="51">
        <f>V407</f>
        <v/>
      </c>
      <c r="W511" s="51">
        <f>W407</f>
        <v/>
      </c>
      <c r="X511" s="51">
        <f>X407</f>
        <v/>
      </c>
      <c r="Y511" s="51">
        <f>Y407</f>
        <v/>
      </c>
      <c r="Z511" s="51">
        <f>Z407</f>
        <v/>
      </c>
      <c r="AA511" s="51">
        <f>AA407</f>
        <v/>
      </c>
      <c r="AB511" s="51">
        <f>AB407</f>
        <v/>
      </c>
      <c r="AC511" s="51">
        <f>AC407</f>
        <v/>
      </c>
      <c r="AD511" s="51">
        <f>AD407</f>
        <v/>
      </c>
      <c r="AE511" s="51">
        <f>AE407</f>
        <v/>
      </c>
      <c r="AF511" s="51">
        <f>AF407</f>
        <v/>
      </c>
      <c r="AG511" s="51">
        <f>AG407</f>
        <v/>
      </c>
      <c r="AH511" s="51">
        <f>AH407</f>
        <v/>
      </c>
      <c r="AI511" s="51">
        <f>AI407</f>
        <v/>
      </c>
      <c r="AJ511" s="51">
        <f>AJ407</f>
        <v/>
      </c>
      <c r="AK511" s="51">
        <f>AK407</f>
        <v/>
      </c>
      <c r="AL511" s="51">
        <f>AL407</f>
        <v/>
      </c>
      <c r="AM511" s="51">
        <f>AM407</f>
        <v/>
      </c>
      <c r="AN511" s="51">
        <f>AN407</f>
        <v/>
      </c>
      <c r="AO511" s="51">
        <f>AO407</f>
        <v/>
      </c>
      <c r="AP511" s="51">
        <f>AP407</f>
        <v/>
      </c>
      <c r="AQ511" s="51">
        <f>AQ407</f>
        <v/>
      </c>
      <c r="AR511" s="51">
        <f>AR407</f>
        <v/>
      </c>
      <c r="AS511" s="51">
        <f>AS407</f>
        <v/>
      </c>
      <c r="AT511" s="51">
        <f>AT407</f>
        <v/>
      </c>
      <c r="AU511" s="51">
        <f>AU407</f>
        <v/>
      </c>
      <c r="AV511" s="51">
        <f>AV407</f>
        <v/>
      </c>
      <c r="AW511" s="51">
        <f>AW407</f>
        <v/>
      </c>
      <c r="AX511" s="51">
        <f>AX407</f>
        <v/>
      </c>
      <c r="AY511" s="51">
        <f>AY407</f>
        <v/>
      </c>
      <c r="AZ511" s="51">
        <f>AZ407</f>
        <v/>
      </c>
      <c r="BA511" s="51">
        <f>BA407</f>
        <v/>
      </c>
      <c r="BB511" s="51">
        <f>BB407</f>
        <v/>
      </c>
      <c r="BC511" s="51">
        <f>BC407</f>
        <v/>
      </c>
      <c r="BD511" s="51">
        <f>BD407</f>
        <v/>
      </c>
    </row>
    <row r="512">
      <c r="A512" s="4" t="inlineStr"/>
      <c r="E512" s="52" t="inlineStr">
        <is>
          <t>&lt;=</t>
        </is>
      </c>
      <c r="F512" s="52" t="inlineStr">
        <is>
          <t>&lt;=</t>
        </is>
      </c>
      <c r="G512" s="52" t="inlineStr">
        <is>
          <t>&lt;=</t>
        </is>
      </c>
      <c r="H512" s="52" t="inlineStr">
        <is>
          <t>&lt;=</t>
        </is>
      </c>
      <c r="I512" s="52" t="inlineStr">
        <is>
          <t>&lt;=</t>
        </is>
      </c>
      <c r="J512" s="52" t="inlineStr">
        <is>
          <t>&lt;=</t>
        </is>
      </c>
      <c r="K512" s="52" t="inlineStr">
        <is>
          <t>&lt;=</t>
        </is>
      </c>
      <c r="L512" s="52" t="inlineStr">
        <is>
          <t>&lt;=</t>
        </is>
      </c>
      <c r="M512" s="52" t="inlineStr">
        <is>
          <t>&lt;=</t>
        </is>
      </c>
      <c r="N512" s="52" t="inlineStr">
        <is>
          <t>&lt;=</t>
        </is>
      </c>
      <c r="O512" s="52" t="inlineStr">
        <is>
          <t>&lt;=</t>
        </is>
      </c>
      <c r="P512" s="52" t="inlineStr">
        <is>
          <t>&lt;=</t>
        </is>
      </c>
      <c r="Q512" s="52" t="inlineStr">
        <is>
          <t>&lt;=</t>
        </is>
      </c>
      <c r="R512" s="52" t="inlineStr">
        <is>
          <t>&lt;=</t>
        </is>
      </c>
      <c r="S512" s="52" t="inlineStr">
        <is>
          <t>&lt;=</t>
        </is>
      </c>
      <c r="T512" s="52" t="inlineStr">
        <is>
          <t>&lt;=</t>
        </is>
      </c>
      <c r="U512" s="52" t="inlineStr">
        <is>
          <t>&lt;=</t>
        </is>
      </c>
      <c r="V512" s="52" t="inlineStr">
        <is>
          <t>&lt;=</t>
        </is>
      </c>
      <c r="W512" s="52" t="inlineStr">
        <is>
          <t>&lt;=</t>
        </is>
      </c>
      <c r="X512" s="52" t="inlineStr">
        <is>
          <t>&lt;=</t>
        </is>
      </c>
      <c r="Y512" s="52" t="inlineStr">
        <is>
          <t>&lt;=</t>
        </is>
      </c>
      <c r="Z512" s="52" t="inlineStr">
        <is>
          <t>&lt;=</t>
        </is>
      </c>
      <c r="AA512" s="52" t="inlineStr">
        <is>
          <t>&lt;=</t>
        </is>
      </c>
      <c r="AB512" s="52" t="inlineStr">
        <is>
          <t>&lt;=</t>
        </is>
      </c>
      <c r="AC512" s="52" t="inlineStr">
        <is>
          <t>&lt;=</t>
        </is>
      </c>
      <c r="AD512" s="52" t="inlineStr">
        <is>
          <t>&lt;=</t>
        </is>
      </c>
      <c r="AE512" s="52" t="inlineStr">
        <is>
          <t>&lt;=</t>
        </is>
      </c>
      <c r="AF512" s="52" t="inlineStr">
        <is>
          <t>&lt;=</t>
        </is>
      </c>
      <c r="AG512" s="52" t="inlineStr">
        <is>
          <t>&lt;=</t>
        </is>
      </c>
      <c r="AH512" s="52" t="inlineStr">
        <is>
          <t>&lt;=</t>
        </is>
      </c>
      <c r="AI512" s="52" t="inlineStr">
        <is>
          <t>&lt;=</t>
        </is>
      </c>
      <c r="AJ512" s="52" t="inlineStr">
        <is>
          <t>&lt;=</t>
        </is>
      </c>
      <c r="AK512" s="52" t="inlineStr">
        <is>
          <t>&lt;=</t>
        </is>
      </c>
      <c r="AL512" s="52" t="inlineStr">
        <is>
          <t>&lt;=</t>
        </is>
      </c>
      <c r="AM512" s="52" t="inlineStr">
        <is>
          <t>&lt;=</t>
        </is>
      </c>
      <c r="AN512" s="52" t="inlineStr">
        <is>
          <t>&lt;=</t>
        </is>
      </c>
      <c r="AO512" s="52" t="inlineStr">
        <is>
          <t>&lt;=</t>
        </is>
      </c>
      <c r="AP512" s="52" t="inlineStr">
        <is>
          <t>&lt;=</t>
        </is>
      </c>
      <c r="AQ512" s="52" t="inlineStr">
        <is>
          <t>&lt;=</t>
        </is>
      </c>
      <c r="AR512" s="52" t="inlineStr">
        <is>
          <t>&lt;=</t>
        </is>
      </c>
      <c r="AS512" s="52" t="inlineStr">
        <is>
          <t>&lt;=</t>
        </is>
      </c>
      <c r="AT512" s="52" t="inlineStr">
        <is>
          <t>&lt;=</t>
        </is>
      </c>
      <c r="AU512" s="52" t="inlineStr">
        <is>
          <t>&lt;=</t>
        </is>
      </c>
      <c r="AV512" s="52" t="inlineStr">
        <is>
          <t>&lt;=</t>
        </is>
      </c>
      <c r="AW512" s="52" t="inlineStr">
        <is>
          <t>&lt;=</t>
        </is>
      </c>
      <c r="AX512" s="52" t="inlineStr">
        <is>
          <t>&lt;=</t>
        </is>
      </c>
      <c r="AY512" s="52" t="inlineStr">
        <is>
          <t>&lt;=</t>
        </is>
      </c>
      <c r="AZ512" s="52" t="inlineStr">
        <is>
          <t>&lt;=</t>
        </is>
      </c>
      <c r="BA512" s="52" t="inlineStr">
        <is>
          <t>&lt;=</t>
        </is>
      </c>
      <c r="BB512" s="52" t="inlineStr">
        <is>
          <t>&lt;=</t>
        </is>
      </c>
      <c r="BC512" s="52" t="inlineStr">
        <is>
          <t>&lt;=</t>
        </is>
      </c>
      <c r="BD512" s="52" t="inlineStr">
        <is>
          <t>&lt;=</t>
        </is>
      </c>
    </row>
    <row r="513">
      <c r="A513" s="41" t="inlineStr">
        <is>
          <t xml:space="preserve">  limit</t>
        </is>
      </c>
      <c r="B513" s="2" t="inlineStr">
        <is>
          <t>cap</t>
        </is>
      </c>
      <c r="E513" s="51">
        <f>$B$8</f>
        <v/>
      </c>
      <c r="F513" s="51">
        <f>$B$8</f>
        <v/>
      </c>
      <c r="G513" s="51">
        <f>$B$8</f>
        <v/>
      </c>
      <c r="H513" s="51">
        <f>$B$8</f>
        <v/>
      </c>
      <c r="I513" s="51">
        <f>$B$8</f>
        <v/>
      </c>
      <c r="J513" s="51">
        <f>$B$8</f>
        <v/>
      </c>
      <c r="K513" s="51">
        <f>$B$8</f>
        <v/>
      </c>
      <c r="L513" s="51">
        <f>$B$8</f>
        <v/>
      </c>
      <c r="M513" s="51">
        <f>$B$8</f>
        <v/>
      </c>
      <c r="N513" s="51">
        <f>$B$8</f>
        <v/>
      </c>
      <c r="O513" s="51">
        <f>$B$8</f>
        <v/>
      </c>
      <c r="P513" s="51">
        <f>$B$8</f>
        <v/>
      </c>
      <c r="Q513" s="51">
        <f>$B$8</f>
        <v/>
      </c>
      <c r="R513" s="51">
        <f>$B$8</f>
        <v/>
      </c>
      <c r="S513" s="51">
        <f>$B$8</f>
        <v/>
      </c>
      <c r="T513" s="51">
        <f>$B$8</f>
        <v/>
      </c>
      <c r="U513" s="51">
        <f>$B$8</f>
        <v/>
      </c>
      <c r="V513" s="51">
        <f>$B$8</f>
        <v/>
      </c>
      <c r="W513" s="51">
        <f>$B$8</f>
        <v/>
      </c>
      <c r="X513" s="51">
        <f>$B$8</f>
        <v/>
      </c>
      <c r="Y513" s="51">
        <f>$B$8</f>
        <v/>
      </c>
      <c r="Z513" s="51">
        <f>$B$8</f>
        <v/>
      </c>
      <c r="AA513" s="51">
        <f>$B$8</f>
        <v/>
      </c>
      <c r="AB513" s="51">
        <f>$B$8</f>
        <v/>
      </c>
      <c r="AC513" s="51">
        <f>$B$8</f>
        <v/>
      </c>
      <c r="AD513" s="51">
        <f>$B$8</f>
        <v/>
      </c>
      <c r="AE513" s="51">
        <f>$B$8</f>
        <v/>
      </c>
      <c r="AF513" s="51">
        <f>$B$8</f>
        <v/>
      </c>
      <c r="AG513" s="51">
        <f>$B$8</f>
        <v/>
      </c>
      <c r="AH513" s="51">
        <f>$B$8</f>
        <v/>
      </c>
      <c r="AI513" s="51">
        <f>$B$8</f>
        <v/>
      </c>
      <c r="AJ513" s="51">
        <f>$B$8</f>
        <v/>
      </c>
      <c r="AK513" s="51">
        <f>$B$8</f>
        <v/>
      </c>
      <c r="AL513" s="51">
        <f>$B$8</f>
        <v/>
      </c>
      <c r="AM513" s="51">
        <f>$B$8</f>
        <v/>
      </c>
      <c r="AN513" s="51">
        <f>$B$8</f>
        <v/>
      </c>
      <c r="AO513" s="51">
        <f>$B$8</f>
        <v/>
      </c>
      <c r="AP513" s="51">
        <f>$B$8</f>
        <v/>
      </c>
      <c r="AQ513" s="51">
        <f>$B$8</f>
        <v/>
      </c>
      <c r="AR513" s="51">
        <f>$B$8</f>
        <v/>
      </c>
      <c r="AS513" s="51">
        <f>$B$8</f>
        <v/>
      </c>
      <c r="AT513" s="51">
        <f>$B$8</f>
        <v/>
      </c>
      <c r="AU513" s="51">
        <f>$B$8</f>
        <v/>
      </c>
      <c r="AV513" s="51">
        <f>$B$8</f>
        <v/>
      </c>
      <c r="AW513" s="51">
        <f>$B$8</f>
        <v/>
      </c>
      <c r="AX513" s="51">
        <f>$B$8</f>
        <v/>
      </c>
      <c r="AY513" s="51">
        <f>$B$8</f>
        <v/>
      </c>
      <c r="AZ513" s="51">
        <f>$B$8</f>
        <v/>
      </c>
      <c r="BA513" s="51">
        <f>$B$8</f>
        <v/>
      </c>
      <c r="BB513" s="51">
        <f>$B$8</f>
        <v/>
      </c>
      <c r="BC513" s="51">
        <f>$B$8</f>
        <v/>
      </c>
      <c r="BD513" s="51">
        <f>$B$8</f>
        <v/>
      </c>
    </row>
    <row r="514">
      <c r="A514" s="43" t="inlineStr">
        <is>
          <t xml:space="preserve">  room left</t>
        </is>
      </c>
      <c r="E514" s="51">
        <f>$B$8-E511</f>
        <v/>
      </c>
      <c r="F514" s="51">
        <f>$B$8-F511</f>
        <v/>
      </c>
      <c r="G514" s="51">
        <f>$B$8-G511</f>
        <v/>
      </c>
      <c r="H514" s="51">
        <f>$B$8-H511</f>
        <v/>
      </c>
      <c r="I514" s="51">
        <f>$B$8-I511</f>
        <v/>
      </c>
      <c r="J514" s="51">
        <f>$B$8-J511</f>
        <v/>
      </c>
      <c r="K514" s="51">
        <f>$B$8-K511</f>
        <v/>
      </c>
      <c r="L514" s="51">
        <f>$B$8-L511</f>
        <v/>
      </c>
      <c r="M514" s="51">
        <f>$B$8-M511</f>
        <v/>
      </c>
      <c r="N514" s="51">
        <f>$B$8-N511</f>
        <v/>
      </c>
      <c r="O514" s="51">
        <f>$B$8-O511</f>
        <v/>
      </c>
      <c r="P514" s="51">
        <f>$B$8-P511</f>
        <v/>
      </c>
      <c r="Q514" s="51">
        <f>$B$8-Q511</f>
        <v/>
      </c>
      <c r="R514" s="51">
        <f>$B$8-R511</f>
        <v/>
      </c>
      <c r="S514" s="51">
        <f>$B$8-S511</f>
        <v/>
      </c>
      <c r="T514" s="51">
        <f>$B$8-T511</f>
        <v/>
      </c>
      <c r="U514" s="51">
        <f>$B$8-U511</f>
        <v/>
      </c>
      <c r="V514" s="51">
        <f>$B$8-V511</f>
        <v/>
      </c>
      <c r="W514" s="51">
        <f>$B$8-W511</f>
        <v/>
      </c>
      <c r="X514" s="51">
        <f>$B$8-X511</f>
        <v/>
      </c>
      <c r="Y514" s="51">
        <f>$B$8-Y511</f>
        <v/>
      </c>
      <c r="Z514" s="51">
        <f>$B$8-Z511</f>
        <v/>
      </c>
      <c r="AA514" s="51">
        <f>$B$8-AA511</f>
        <v/>
      </c>
      <c r="AB514" s="51">
        <f>$B$8-AB511</f>
        <v/>
      </c>
      <c r="AC514" s="51">
        <f>$B$8-AC511</f>
        <v/>
      </c>
      <c r="AD514" s="51">
        <f>$B$8-AD511</f>
        <v/>
      </c>
      <c r="AE514" s="51">
        <f>$B$8-AE511</f>
        <v/>
      </c>
      <c r="AF514" s="51">
        <f>$B$8-AF511</f>
        <v/>
      </c>
      <c r="AG514" s="51">
        <f>$B$8-AG511</f>
        <v/>
      </c>
      <c r="AH514" s="51">
        <f>$B$8-AH511</f>
        <v/>
      </c>
      <c r="AI514" s="51">
        <f>$B$8-AI511</f>
        <v/>
      </c>
      <c r="AJ514" s="51">
        <f>$B$8-AJ511</f>
        <v/>
      </c>
      <c r="AK514" s="51">
        <f>$B$8-AK511</f>
        <v/>
      </c>
      <c r="AL514" s="51">
        <f>$B$8-AL511</f>
        <v/>
      </c>
      <c r="AM514" s="51">
        <f>$B$8-AM511</f>
        <v/>
      </c>
      <c r="AN514" s="51">
        <f>$B$8-AN511</f>
        <v/>
      </c>
      <c r="AO514" s="51">
        <f>$B$8-AO511</f>
        <v/>
      </c>
      <c r="AP514" s="51">
        <f>$B$8-AP511</f>
        <v/>
      </c>
      <c r="AQ514" s="51">
        <f>$B$8-AQ511</f>
        <v/>
      </c>
      <c r="AR514" s="51">
        <f>$B$8-AR511</f>
        <v/>
      </c>
      <c r="AS514" s="51">
        <f>$B$8-AS511</f>
        <v/>
      </c>
      <c r="AT514" s="51">
        <f>$B$8-AT511</f>
        <v/>
      </c>
      <c r="AU514" s="51">
        <f>$B$8-AU511</f>
        <v/>
      </c>
      <c r="AV514" s="51">
        <f>$B$8-AV511</f>
        <v/>
      </c>
      <c r="AW514" s="51">
        <f>$B$8-AW511</f>
        <v/>
      </c>
      <c r="AX514" s="51">
        <f>$B$8-AX511</f>
        <v/>
      </c>
      <c r="AY514" s="51">
        <f>$B$8-AY511</f>
        <v/>
      </c>
      <c r="AZ514" s="51">
        <f>$B$8-AZ511</f>
        <v/>
      </c>
      <c r="BA514" s="51">
        <f>$B$8-BA511</f>
        <v/>
      </c>
      <c r="BB514" s="51">
        <f>$B$8-BB511</f>
        <v/>
      </c>
      <c r="BC514" s="51">
        <f>$B$8-BC511</f>
        <v/>
      </c>
      <c r="BD514" s="51">
        <f>$B$8-BD511</f>
        <v/>
      </c>
    </row>
    <row r="515">
      <c r="A515" s="2" t="inlineStr">
        <is>
          <t xml:space="preserve">   Holds Garlic.</t>
        </is>
      </c>
    </row>
    <row r="517">
      <c r="A517" s="3" t="inlineStr">
        <is>
          <t>7 — CASH, WEEK BY WEEK</t>
        </is>
      </c>
    </row>
    <row r="518">
      <c r="A518" s="4" t="inlineStr">
        <is>
          <t>Opening cash</t>
        </is>
      </c>
      <c r="B518" s="19" t="n">
        <v>50000</v>
      </c>
      <c r="C518" s="2" t="inlineStr">
        <is>
          <t>what is in the bank on 1 January</t>
        </is>
      </c>
    </row>
    <row r="519">
      <c r="A519" s="4" t="inlineStr">
        <is>
          <t>Credit line</t>
        </is>
      </c>
      <c r="B519" s="19" t="n">
        <v>250000</v>
      </c>
      <c r="C519" s="2" t="inlineStr">
        <is>
          <t>how far below zero you may go</t>
        </is>
      </c>
    </row>
    <row r="520">
      <c r="A520" s="4" t="inlineStr">
        <is>
          <t>Fixed cost per week</t>
        </is>
      </c>
      <c r="B520" s="61">
        <f>$B$7*0.4807692307692308+$B$8*0.09615384615384616+$B$6*2.1367521367521367+1000+300*0.32051282051282054</f>
        <v/>
      </c>
      <c r="C520" s="2" t="inlineStr">
        <is>
          <t>cooler + barn depreciation, irrigation, machinery, equipment store — owed every week whether or not you plant</t>
        </is>
      </c>
    </row>
    <row r="521">
      <c r="A521" s="4" t="inlineStr">
        <is>
          <t>Overhead, % of revenue</t>
        </is>
      </c>
      <c r="B521" s="30" t="n">
        <v>0.16</v>
      </c>
      <c r="C521" s="2" t="inlineStr">
        <is>
          <t>insurance, admin, utilities — a share of what you sell</t>
        </is>
      </c>
    </row>
    <row r="522">
      <c r="A522" s="4" t="inlineStr">
        <is>
          <t>Interest APR on borrowing</t>
        </is>
      </c>
      <c r="B522" s="18" t="n">
        <v>0.07000000000000001</v>
      </c>
      <c r="C522" s="2" t="inlineStr">
        <is>
          <t>charged on what the credit line actually carries — reported below, not optimised over</t>
        </is>
      </c>
    </row>
    <row r="524">
      <c r="A524" s="36" t="inlineStr">
        <is>
          <t>Week</t>
        </is>
      </c>
      <c r="B524" s="37" t="inlineStr">
        <is>
          <t>$</t>
        </is>
      </c>
      <c r="E524" s="38" t="n">
        <v>1</v>
      </c>
      <c r="F524" s="38" t="n">
        <v>2</v>
      </c>
      <c r="G524" s="38" t="n">
        <v>3</v>
      </c>
      <c r="H524" s="38" t="n">
        <v>4</v>
      </c>
      <c r="I524" s="38" t="n">
        <v>5</v>
      </c>
      <c r="J524" s="38" t="n">
        <v>6</v>
      </c>
      <c r="K524" s="38" t="n">
        <v>7</v>
      </c>
      <c r="L524" s="38" t="n">
        <v>8</v>
      </c>
      <c r="M524" s="38" t="n">
        <v>9</v>
      </c>
      <c r="N524" s="38" t="n">
        <v>10</v>
      </c>
      <c r="O524" s="38" t="n">
        <v>11</v>
      </c>
      <c r="P524" s="38" t="n">
        <v>12</v>
      </c>
      <c r="Q524" s="38" t="n">
        <v>13</v>
      </c>
      <c r="R524" s="38" t="n">
        <v>14</v>
      </c>
      <c r="S524" s="38" t="n">
        <v>15</v>
      </c>
      <c r="T524" s="38" t="n">
        <v>16</v>
      </c>
      <c r="U524" s="38" t="n">
        <v>17</v>
      </c>
      <c r="V524" s="38" t="n">
        <v>18</v>
      </c>
      <c r="W524" s="38" t="n">
        <v>19</v>
      </c>
      <c r="X524" s="38" t="n">
        <v>20</v>
      </c>
      <c r="Y524" s="38" t="n">
        <v>21</v>
      </c>
      <c r="Z524" s="38" t="n">
        <v>22</v>
      </c>
      <c r="AA524" s="38" t="n">
        <v>23</v>
      </c>
      <c r="AB524" s="38" t="n">
        <v>24</v>
      </c>
      <c r="AC524" s="38" t="n">
        <v>25</v>
      </c>
      <c r="AD524" s="38" t="n">
        <v>26</v>
      </c>
      <c r="AE524" s="38" t="n">
        <v>27</v>
      </c>
      <c r="AF524" s="38" t="n">
        <v>28</v>
      </c>
      <c r="AG524" s="38" t="n">
        <v>29</v>
      </c>
      <c r="AH524" s="38" t="n">
        <v>30</v>
      </c>
      <c r="AI524" s="38" t="n">
        <v>31</v>
      </c>
      <c r="AJ524" s="38" t="n">
        <v>32</v>
      </c>
      <c r="AK524" s="38" t="n">
        <v>33</v>
      </c>
      <c r="AL524" s="38" t="n">
        <v>34</v>
      </c>
      <c r="AM524" s="38" t="n">
        <v>35</v>
      </c>
      <c r="AN524" s="38" t="n">
        <v>36</v>
      </c>
      <c r="AO524" s="38" t="n">
        <v>37</v>
      </c>
      <c r="AP524" s="38" t="n">
        <v>38</v>
      </c>
      <c r="AQ524" s="38" t="n">
        <v>39</v>
      </c>
      <c r="AR524" s="38" t="n">
        <v>40</v>
      </c>
      <c r="AS524" s="38" t="n">
        <v>41</v>
      </c>
      <c r="AT524" s="38" t="n">
        <v>42</v>
      </c>
      <c r="AU524" s="38" t="n">
        <v>43</v>
      </c>
      <c r="AV524" s="38" t="n">
        <v>44</v>
      </c>
      <c r="AW524" s="38" t="n">
        <v>45</v>
      </c>
      <c r="AX524" s="38" t="n">
        <v>46</v>
      </c>
      <c r="AY524" s="38" t="n">
        <v>47</v>
      </c>
      <c r="AZ524" s="38" t="n">
        <v>48</v>
      </c>
      <c r="BA524" s="38" t="n">
        <v>49</v>
      </c>
      <c r="BB524" s="38" t="n">
        <v>50</v>
      </c>
      <c r="BC524" s="38" t="n">
        <v>51</v>
      </c>
      <c r="BD524" s="38" t="n">
        <v>52</v>
      </c>
    </row>
    <row r="525">
      <c r="A525" s="4" t="inlineStr">
        <is>
          <t>Revenue</t>
        </is>
      </c>
      <c r="B525" s="2" t="inlineStr">
        <is>
          <t>$</t>
        </is>
      </c>
      <c r="E525" s="40">
        <f>E334*$I$36+E340*$I$37+E361*$I$38+E369*$I$39+E390*$I$40+E396*$I$41+E417*$I$42+E423*$I$43+E444*$I$44+E450*$I$45</f>
        <v/>
      </c>
      <c r="F525" s="40">
        <f>F334*$I$36+F340*$I$37+F361*$I$38+F369*$I$39+F390*$I$40+F396*$I$41+F417*$I$42+F423*$I$43+F444*$I$44+F450*$I$45</f>
        <v/>
      </c>
      <c r="G525" s="40">
        <f>G334*$I$36+G340*$I$37+G361*$I$38+G369*$I$39+G390*$I$40+G396*$I$41+G417*$I$42+G423*$I$43+G444*$I$44+G450*$I$45</f>
        <v/>
      </c>
      <c r="H525" s="40">
        <f>H334*$I$36+H340*$I$37+H361*$I$38+H369*$I$39+H390*$I$40+H396*$I$41+H417*$I$42+H423*$I$43+H444*$I$44+H450*$I$45</f>
        <v/>
      </c>
      <c r="I525" s="40">
        <f>I334*$I$36+I340*$I$37+I361*$I$38+I369*$I$39+I390*$I$40+I396*$I$41+I417*$I$42+I423*$I$43+I444*$I$44+I450*$I$45</f>
        <v/>
      </c>
      <c r="J525" s="40">
        <f>J334*$I$36+J340*$I$37+J361*$I$38+J369*$I$39+J390*$I$40+J396*$I$41+J417*$I$42+J423*$I$43+J444*$I$44+J450*$I$45</f>
        <v/>
      </c>
      <c r="K525" s="40">
        <f>K334*$I$36+K340*$I$37+K361*$I$38+K369*$I$39+K390*$I$40+K396*$I$41+K417*$I$42+K423*$I$43+K444*$I$44+K450*$I$45</f>
        <v/>
      </c>
      <c r="L525" s="40">
        <f>L334*$I$36+L340*$I$37+L361*$I$38+L369*$I$39+L390*$I$40+L396*$I$41+L417*$I$42+L423*$I$43+L444*$I$44+L450*$I$45</f>
        <v/>
      </c>
      <c r="M525" s="40">
        <f>M334*$I$36+M340*$I$37+M361*$I$38+M369*$I$39+M390*$I$40+M396*$I$41+M417*$I$42+M423*$I$43+M444*$I$44+M450*$I$45</f>
        <v/>
      </c>
      <c r="N525" s="40">
        <f>N334*$I$36+N340*$I$37+N361*$I$38+N369*$I$39+N390*$I$40+N396*$I$41+N417*$I$42+N423*$I$43+N444*$I$44+N450*$I$45</f>
        <v/>
      </c>
      <c r="O525" s="40">
        <f>O334*$I$36+O340*$I$37+O361*$I$38+O369*$I$39+O390*$I$40+O396*$I$41+O417*$I$42+O423*$I$43+O444*$I$44+O450*$I$45</f>
        <v/>
      </c>
      <c r="P525" s="40">
        <f>P334*$I$36+P340*$I$37+P361*$I$38+P369*$I$39+P390*$I$40+P396*$I$41+P417*$I$42+P423*$I$43+P444*$I$44+P450*$I$45</f>
        <v/>
      </c>
      <c r="Q525" s="40">
        <f>Q334*$I$36+Q340*$I$37+Q361*$I$38+Q369*$I$39+Q390*$I$40+Q396*$I$41+Q417*$I$42+Q423*$I$43+Q444*$I$44+Q450*$I$45</f>
        <v/>
      </c>
      <c r="R525" s="40">
        <f>R334*$I$36+R340*$I$37+R361*$I$38+R369*$I$39+R390*$I$40+R396*$I$41+R417*$I$42+R423*$I$43+R444*$I$44+R450*$I$45</f>
        <v/>
      </c>
      <c r="S525" s="40">
        <f>S334*$I$36+S340*$I$37+S361*$I$38+S369*$I$39+S390*$I$40+S396*$I$41+S417*$I$42+S423*$I$43+S444*$I$44+S450*$I$45</f>
        <v/>
      </c>
      <c r="T525" s="40">
        <f>T334*$I$36+T340*$I$37+T361*$I$38+T369*$I$39+T390*$I$40+T396*$I$41+T417*$I$42+T423*$I$43+T444*$I$44+T450*$I$45</f>
        <v/>
      </c>
      <c r="U525" s="40">
        <f>U334*$I$36+U340*$I$37+U361*$I$38+U369*$I$39+U390*$I$40+U396*$I$41+U417*$I$42+U423*$I$43+U444*$I$44+U450*$I$45</f>
        <v/>
      </c>
      <c r="V525" s="40">
        <f>V334*$I$36+V340*$I$37+V361*$I$38+V369*$I$39+V390*$I$40+V396*$I$41+V417*$I$42+V423*$I$43+V444*$I$44+V450*$I$45</f>
        <v/>
      </c>
      <c r="W525" s="40">
        <f>W334*$I$36+W340*$I$37+W361*$I$38+W369*$I$39+W390*$I$40+W396*$I$41+W417*$I$42+W423*$I$43+W444*$I$44+W450*$I$45</f>
        <v/>
      </c>
      <c r="X525" s="40">
        <f>X334*$I$36+X340*$I$37+X361*$I$38+X369*$I$39+X390*$I$40+X396*$I$41+X417*$I$42+X423*$I$43+X444*$I$44+X450*$I$45</f>
        <v/>
      </c>
      <c r="Y525" s="40">
        <f>Y334*$I$36+Y340*$I$37+Y361*$I$38+Y369*$I$39+Y390*$I$40+Y396*$I$41+Y417*$I$42+Y423*$I$43+Y444*$I$44+Y450*$I$45</f>
        <v/>
      </c>
      <c r="Z525" s="40">
        <f>Z334*$I$36+Z340*$I$37+Z361*$I$38+Z369*$I$39+Z390*$I$40+Z396*$I$41+Z417*$I$42+Z423*$I$43+Z444*$I$44+Z450*$I$45</f>
        <v/>
      </c>
      <c r="AA525" s="40">
        <f>AA334*$I$36+AA340*$I$37+AA361*$I$38+AA369*$I$39+AA390*$I$40+AA396*$I$41+AA417*$I$42+AA423*$I$43+AA444*$I$44+AA450*$I$45</f>
        <v/>
      </c>
      <c r="AB525" s="40">
        <f>AB334*$I$36+AB340*$I$37+AB361*$I$38+AB369*$I$39+AB390*$I$40+AB396*$I$41+AB417*$I$42+AB423*$I$43+AB444*$I$44+AB450*$I$45</f>
        <v/>
      </c>
      <c r="AC525" s="40">
        <f>AC334*$I$36+AC340*$I$37+AC361*$I$38+AC369*$I$39+AC390*$I$40+AC396*$I$41+AC417*$I$42+AC423*$I$43+AC444*$I$44+AC450*$I$45</f>
        <v/>
      </c>
      <c r="AD525" s="40">
        <f>AD334*$I$36+AD340*$I$37+AD361*$I$38+AD369*$I$39+AD390*$I$40+AD396*$I$41+AD417*$I$42+AD423*$I$43+AD444*$I$44+AD450*$I$45</f>
        <v/>
      </c>
      <c r="AE525" s="40">
        <f>AE334*$I$36+AE340*$I$37+AE361*$I$38+AE369*$I$39+AE390*$I$40+AE396*$I$41+AE417*$I$42+AE423*$I$43+AE444*$I$44+AE450*$I$45</f>
        <v/>
      </c>
      <c r="AF525" s="40">
        <f>AF334*$I$36+AF340*$I$37+AF361*$I$38+AF369*$I$39+AF390*$I$40+AF396*$I$41+AF417*$I$42+AF423*$I$43+AF444*$I$44+AF450*$I$45</f>
        <v/>
      </c>
      <c r="AG525" s="40">
        <f>AG334*$I$36+AG340*$I$37+AG361*$I$38+AG369*$I$39+AG390*$I$40+AG396*$I$41+AG417*$I$42+AG423*$I$43+AG444*$I$44+AG450*$I$45</f>
        <v/>
      </c>
      <c r="AH525" s="40">
        <f>AH334*$I$36+AH340*$I$37+AH361*$I$38+AH369*$I$39+AH390*$I$40+AH396*$I$41+AH417*$I$42+AH423*$I$43+AH444*$I$44+AH450*$I$45</f>
        <v/>
      </c>
      <c r="AI525" s="40">
        <f>AI334*$I$36+AI340*$I$37+AI361*$I$38+AI369*$I$39+AI390*$I$40+AI396*$I$41+AI417*$I$42+AI423*$I$43+AI444*$I$44+AI450*$I$45</f>
        <v/>
      </c>
      <c r="AJ525" s="40">
        <f>AJ334*$I$36+AJ340*$I$37+AJ361*$I$38+AJ369*$I$39+AJ390*$I$40+AJ396*$I$41+AJ417*$I$42+AJ423*$I$43+AJ444*$I$44+AJ450*$I$45</f>
        <v/>
      </c>
      <c r="AK525" s="40">
        <f>AK334*$I$36+AK340*$I$37+AK361*$I$38+AK369*$I$39+AK390*$I$40+AK396*$I$41+AK417*$I$42+AK423*$I$43+AK444*$I$44+AK450*$I$45</f>
        <v/>
      </c>
      <c r="AL525" s="40">
        <f>AL334*$I$36+AL340*$I$37+AL361*$I$38+AL369*$I$39+AL390*$I$40+AL396*$I$41+AL417*$I$42+AL423*$I$43+AL444*$I$44+AL450*$I$45</f>
        <v/>
      </c>
      <c r="AM525" s="40">
        <f>AM334*$I$36+AM340*$I$37+AM361*$I$38+AM369*$I$39+AM390*$I$40+AM396*$I$41+AM417*$I$42+AM423*$I$43+AM444*$I$44+AM450*$I$45</f>
        <v/>
      </c>
      <c r="AN525" s="40">
        <f>AN334*$I$36+AN340*$I$37+AN361*$I$38+AN369*$I$39+AN390*$I$40+AN396*$I$41+AN417*$I$42+AN423*$I$43+AN444*$I$44+AN450*$I$45</f>
        <v/>
      </c>
      <c r="AO525" s="40">
        <f>AO334*$I$36+AO340*$I$37+AO361*$I$38+AO369*$I$39+AO390*$I$40+AO396*$I$41+AO417*$I$42+AO423*$I$43+AO444*$I$44+AO450*$I$45</f>
        <v/>
      </c>
      <c r="AP525" s="40">
        <f>AP334*$I$36+AP340*$I$37+AP361*$I$38+AP369*$I$39+AP390*$I$40+AP396*$I$41+AP417*$I$42+AP423*$I$43+AP444*$I$44+AP450*$I$45</f>
        <v/>
      </c>
      <c r="AQ525" s="40">
        <f>AQ334*$I$36+AQ340*$I$37+AQ361*$I$38+AQ369*$I$39+AQ390*$I$40+AQ396*$I$41+AQ417*$I$42+AQ423*$I$43+AQ444*$I$44+AQ450*$I$45</f>
        <v/>
      </c>
      <c r="AR525" s="40">
        <f>AR334*$I$36+AR340*$I$37+AR361*$I$38+AR369*$I$39+AR390*$I$40+AR396*$I$41+AR417*$I$42+AR423*$I$43+AR444*$I$44+AR450*$I$45</f>
        <v/>
      </c>
      <c r="AS525" s="40">
        <f>AS334*$I$36+AS340*$I$37+AS361*$I$38+AS369*$I$39+AS390*$I$40+AS396*$I$41+AS417*$I$42+AS423*$I$43+AS444*$I$44+AS450*$I$45</f>
        <v/>
      </c>
      <c r="AT525" s="40">
        <f>AT334*$I$36+AT340*$I$37+AT361*$I$38+AT369*$I$39+AT390*$I$40+AT396*$I$41+AT417*$I$42+AT423*$I$43+AT444*$I$44+AT450*$I$45</f>
        <v/>
      </c>
      <c r="AU525" s="40">
        <f>AU334*$I$36+AU340*$I$37+AU361*$I$38+AU369*$I$39+AU390*$I$40+AU396*$I$41+AU417*$I$42+AU423*$I$43+AU444*$I$44+AU450*$I$45</f>
        <v/>
      </c>
      <c r="AV525" s="40">
        <f>AV334*$I$36+AV340*$I$37+AV361*$I$38+AV369*$I$39+AV390*$I$40+AV396*$I$41+AV417*$I$42+AV423*$I$43+AV444*$I$44+AV450*$I$45</f>
        <v/>
      </c>
      <c r="AW525" s="40">
        <f>AW334*$I$36+AW340*$I$37+AW361*$I$38+AW369*$I$39+AW390*$I$40+AW396*$I$41+AW417*$I$42+AW423*$I$43+AW444*$I$44+AW450*$I$45</f>
        <v/>
      </c>
      <c r="AX525" s="40">
        <f>AX334*$I$36+AX340*$I$37+AX361*$I$38+AX369*$I$39+AX390*$I$40+AX396*$I$41+AX417*$I$42+AX423*$I$43+AX444*$I$44+AX450*$I$45</f>
        <v/>
      </c>
      <c r="AY525" s="40">
        <f>AY334*$I$36+AY340*$I$37+AY361*$I$38+AY369*$I$39+AY390*$I$40+AY396*$I$41+AY417*$I$42+AY423*$I$43+AY444*$I$44+AY450*$I$45</f>
        <v/>
      </c>
      <c r="AZ525" s="40">
        <f>AZ334*$I$36+AZ340*$I$37+AZ361*$I$38+AZ369*$I$39+AZ390*$I$40+AZ396*$I$41+AZ417*$I$42+AZ423*$I$43+AZ444*$I$44+AZ450*$I$45</f>
        <v/>
      </c>
      <c r="BA525" s="40">
        <f>BA334*$I$36+BA340*$I$37+BA361*$I$38+BA369*$I$39+BA390*$I$40+BA396*$I$41+BA417*$I$42+BA423*$I$43+BA444*$I$44+BA450*$I$45</f>
        <v/>
      </c>
      <c r="BB525" s="40">
        <f>BB334*$I$36+BB340*$I$37+BB361*$I$38+BB369*$I$39+BB390*$I$40+BB396*$I$41+BB417*$I$42+BB423*$I$43+BB444*$I$44+BB450*$I$45</f>
        <v/>
      </c>
      <c r="BC525" s="40">
        <f>BC334*$I$36+BC340*$I$37+BC361*$I$38+BC369*$I$39+BC390*$I$40+BC396*$I$41+BC417*$I$42+BC423*$I$43+BC444*$I$44+BC450*$I$45</f>
        <v/>
      </c>
      <c r="BD525" s="40">
        <f>BD334*$I$36+BD340*$I$37+BD361*$I$38+BD369*$I$39+BD390*$I$40+BD396*$I$41+BD417*$I$42+BD423*$I$43+BD444*$I$44+BD450*$I$45</f>
        <v/>
      </c>
    </row>
    <row r="526">
      <c r="A526" s="33" t="inlineStr">
        <is>
          <t xml:space="preserve">  packaging</t>
        </is>
      </c>
      <c r="B526" s="2" t="inlineStr">
        <is>
          <t>$</t>
        </is>
      </c>
      <c r="E526" s="40">
        <f>E350+E379+E406+E433+E460</f>
        <v/>
      </c>
      <c r="F526" s="40">
        <f>F350+F379+F406+F433+F460</f>
        <v/>
      </c>
      <c r="G526" s="40">
        <f>G350+G379+G406+G433+G460</f>
        <v/>
      </c>
      <c r="H526" s="40">
        <f>H350+H379+H406+H433+H460</f>
        <v/>
      </c>
      <c r="I526" s="40">
        <f>I350+I379+I406+I433+I460</f>
        <v/>
      </c>
      <c r="J526" s="40">
        <f>J350+J379+J406+J433+J460</f>
        <v/>
      </c>
      <c r="K526" s="40">
        <f>K350+K379+K406+K433+K460</f>
        <v/>
      </c>
      <c r="L526" s="40">
        <f>L350+L379+L406+L433+L460</f>
        <v/>
      </c>
      <c r="M526" s="40">
        <f>M350+M379+M406+M433+M460</f>
        <v/>
      </c>
      <c r="N526" s="40">
        <f>N350+N379+N406+N433+N460</f>
        <v/>
      </c>
      <c r="O526" s="40">
        <f>O350+O379+O406+O433+O460</f>
        <v/>
      </c>
      <c r="P526" s="40">
        <f>P350+P379+P406+P433+P460</f>
        <v/>
      </c>
      <c r="Q526" s="40">
        <f>Q350+Q379+Q406+Q433+Q460</f>
        <v/>
      </c>
      <c r="R526" s="40">
        <f>R350+R379+R406+R433+R460</f>
        <v/>
      </c>
      <c r="S526" s="40">
        <f>S350+S379+S406+S433+S460</f>
        <v/>
      </c>
      <c r="T526" s="40">
        <f>T350+T379+T406+T433+T460</f>
        <v/>
      </c>
      <c r="U526" s="40">
        <f>U350+U379+U406+U433+U460</f>
        <v/>
      </c>
      <c r="V526" s="40">
        <f>V350+V379+V406+V433+V460</f>
        <v/>
      </c>
      <c r="W526" s="40">
        <f>W350+W379+W406+W433+W460</f>
        <v/>
      </c>
      <c r="X526" s="40">
        <f>X350+X379+X406+X433+X460</f>
        <v/>
      </c>
      <c r="Y526" s="40">
        <f>Y350+Y379+Y406+Y433+Y460</f>
        <v/>
      </c>
      <c r="Z526" s="40">
        <f>Z350+Z379+Z406+Z433+Z460</f>
        <v/>
      </c>
      <c r="AA526" s="40">
        <f>AA350+AA379+AA406+AA433+AA460</f>
        <v/>
      </c>
      <c r="AB526" s="40">
        <f>AB350+AB379+AB406+AB433+AB460</f>
        <v/>
      </c>
      <c r="AC526" s="40">
        <f>AC350+AC379+AC406+AC433+AC460</f>
        <v/>
      </c>
      <c r="AD526" s="40">
        <f>AD350+AD379+AD406+AD433+AD460</f>
        <v/>
      </c>
      <c r="AE526" s="40">
        <f>AE350+AE379+AE406+AE433+AE460</f>
        <v/>
      </c>
      <c r="AF526" s="40">
        <f>AF350+AF379+AF406+AF433+AF460</f>
        <v/>
      </c>
      <c r="AG526" s="40">
        <f>AG350+AG379+AG406+AG433+AG460</f>
        <v/>
      </c>
      <c r="AH526" s="40">
        <f>AH350+AH379+AH406+AH433+AH460</f>
        <v/>
      </c>
      <c r="AI526" s="40">
        <f>AI350+AI379+AI406+AI433+AI460</f>
        <v/>
      </c>
      <c r="AJ526" s="40">
        <f>AJ350+AJ379+AJ406+AJ433+AJ460</f>
        <v/>
      </c>
      <c r="AK526" s="40">
        <f>AK350+AK379+AK406+AK433+AK460</f>
        <v/>
      </c>
      <c r="AL526" s="40">
        <f>AL350+AL379+AL406+AL433+AL460</f>
        <v/>
      </c>
      <c r="AM526" s="40">
        <f>AM350+AM379+AM406+AM433+AM460</f>
        <v/>
      </c>
      <c r="AN526" s="40">
        <f>AN350+AN379+AN406+AN433+AN460</f>
        <v/>
      </c>
      <c r="AO526" s="40">
        <f>AO350+AO379+AO406+AO433+AO460</f>
        <v/>
      </c>
      <c r="AP526" s="40">
        <f>AP350+AP379+AP406+AP433+AP460</f>
        <v/>
      </c>
      <c r="AQ526" s="40">
        <f>AQ350+AQ379+AQ406+AQ433+AQ460</f>
        <v/>
      </c>
      <c r="AR526" s="40">
        <f>AR350+AR379+AR406+AR433+AR460</f>
        <v/>
      </c>
      <c r="AS526" s="40">
        <f>AS350+AS379+AS406+AS433+AS460</f>
        <v/>
      </c>
      <c r="AT526" s="40">
        <f>AT350+AT379+AT406+AT433+AT460</f>
        <v/>
      </c>
      <c r="AU526" s="40">
        <f>AU350+AU379+AU406+AU433+AU460</f>
        <v/>
      </c>
      <c r="AV526" s="40">
        <f>AV350+AV379+AV406+AV433+AV460</f>
        <v/>
      </c>
      <c r="AW526" s="40">
        <f>AW350+AW379+AW406+AW433+AW460</f>
        <v/>
      </c>
      <c r="AX526" s="40">
        <f>AX350+AX379+AX406+AX433+AX460</f>
        <v/>
      </c>
      <c r="AY526" s="40">
        <f>AY350+AY379+AY406+AY433+AY460</f>
        <v/>
      </c>
      <c r="AZ526" s="40">
        <f>AZ350+AZ379+AZ406+AZ433+AZ460</f>
        <v/>
      </c>
      <c r="BA526" s="40">
        <f>BA350+BA379+BA406+BA433+BA460</f>
        <v/>
      </c>
      <c r="BB526" s="40">
        <f>BB350+BB379+BB406+BB433+BB460</f>
        <v/>
      </c>
      <c r="BC526" s="40">
        <f>BC350+BC379+BC406+BC433+BC460</f>
        <v/>
      </c>
      <c r="BD526" s="40">
        <f>BD350+BD379+BD406+BD433+BD460</f>
        <v/>
      </c>
    </row>
    <row r="527">
      <c r="A527" s="33" t="inlineStr">
        <is>
          <t xml:space="preserve">  growing cost</t>
        </is>
      </c>
      <c r="B527" s="2" t="inlineStr">
        <is>
          <t>$</t>
        </is>
      </c>
      <c r="E527" s="40">
        <f>E349+E378+E405+E432</f>
        <v/>
      </c>
      <c r="F527" s="40">
        <f>F349+F378+F405+F432</f>
        <v/>
      </c>
      <c r="G527" s="40">
        <f>G349+G378+G405+G432</f>
        <v/>
      </c>
      <c r="H527" s="40">
        <f>H349+H378+H405+H432</f>
        <v/>
      </c>
      <c r="I527" s="40">
        <f>I349+I378+I405+I432</f>
        <v/>
      </c>
      <c r="J527" s="40">
        <f>J349+J378+J405+J432</f>
        <v/>
      </c>
      <c r="K527" s="40">
        <f>K349+K378+K405+K432</f>
        <v/>
      </c>
      <c r="L527" s="40">
        <f>L349+L378+L405+L432</f>
        <v/>
      </c>
      <c r="M527" s="40">
        <f>M349+M378+M405+M432</f>
        <v/>
      </c>
      <c r="N527" s="40">
        <f>N349+N378+N405+N432</f>
        <v/>
      </c>
      <c r="O527" s="40">
        <f>O349+O378+O405+O432</f>
        <v/>
      </c>
      <c r="P527" s="40">
        <f>P349+P378+P405+P432</f>
        <v/>
      </c>
      <c r="Q527" s="40">
        <f>Q349+Q378+Q405+Q432</f>
        <v/>
      </c>
      <c r="R527" s="40">
        <f>R349+R378+R405+R432</f>
        <v/>
      </c>
      <c r="S527" s="40">
        <f>S349+S378+S405+S432</f>
        <v/>
      </c>
      <c r="T527" s="40">
        <f>T349+T378+T405+T432</f>
        <v/>
      </c>
      <c r="U527" s="40">
        <f>U349+U378+U405+U432</f>
        <v/>
      </c>
      <c r="V527" s="40">
        <f>V349+V378+V405+V432</f>
        <v/>
      </c>
      <c r="W527" s="40">
        <f>W349+W378+W405+W432</f>
        <v/>
      </c>
      <c r="X527" s="40">
        <f>X349+X378+X405+X432</f>
        <v/>
      </c>
      <c r="Y527" s="40">
        <f>Y349+Y378+Y405+Y432</f>
        <v/>
      </c>
      <c r="Z527" s="40">
        <f>Z349+Z378+Z405+Z432</f>
        <v/>
      </c>
      <c r="AA527" s="40">
        <f>AA349+AA378+AA405+AA432</f>
        <v/>
      </c>
      <c r="AB527" s="40">
        <f>AB349+AB378+AB405+AB432</f>
        <v/>
      </c>
      <c r="AC527" s="40">
        <f>AC349+AC378+AC405+AC432</f>
        <v/>
      </c>
      <c r="AD527" s="40">
        <f>AD349+AD378+AD405+AD432</f>
        <v/>
      </c>
      <c r="AE527" s="40">
        <f>AE349+AE378+AE405+AE432</f>
        <v/>
      </c>
      <c r="AF527" s="40">
        <f>AF349+AF378+AF405+AF432</f>
        <v/>
      </c>
      <c r="AG527" s="40">
        <f>AG349+AG378+AG405+AG432</f>
        <v/>
      </c>
      <c r="AH527" s="40">
        <f>AH349+AH378+AH405+AH432</f>
        <v/>
      </c>
      <c r="AI527" s="40">
        <f>AI349+AI378+AI405+AI432</f>
        <v/>
      </c>
      <c r="AJ527" s="40">
        <f>AJ349+AJ378+AJ405+AJ432</f>
        <v/>
      </c>
      <c r="AK527" s="40">
        <f>AK349+AK378+AK405+AK432</f>
        <v/>
      </c>
      <c r="AL527" s="40">
        <f>AL349+AL378+AL405+AL432</f>
        <v/>
      </c>
      <c r="AM527" s="40">
        <f>AM349+AM378+AM405+AM432</f>
        <v/>
      </c>
      <c r="AN527" s="40">
        <f>AN349+AN378+AN405+AN432</f>
        <v/>
      </c>
      <c r="AO527" s="40">
        <f>AO349+AO378+AO405+AO432</f>
        <v/>
      </c>
      <c r="AP527" s="40">
        <f>AP349+AP378+AP405+AP432</f>
        <v/>
      </c>
      <c r="AQ527" s="40">
        <f>AQ349+AQ378+AQ405+AQ432</f>
        <v/>
      </c>
      <c r="AR527" s="40">
        <f>AR349+AR378+AR405+AR432</f>
        <v/>
      </c>
      <c r="AS527" s="40">
        <f>AS349+AS378+AS405+AS432</f>
        <v/>
      </c>
      <c r="AT527" s="40">
        <f>AT349+AT378+AT405+AT432</f>
        <v/>
      </c>
      <c r="AU527" s="40">
        <f>AU349+AU378+AU405+AU432</f>
        <v/>
      </c>
      <c r="AV527" s="40">
        <f>AV349+AV378+AV405+AV432</f>
        <v/>
      </c>
      <c r="AW527" s="40">
        <f>AW349+AW378+AW405+AW432</f>
        <v/>
      </c>
      <c r="AX527" s="40">
        <f>AX349+AX378+AX405+AX432</f>
        <v/>
      </c>
      <c r="AY527" s="40">
        <f>AY349+AY378+AY405+AY432</f>
        <v/>
      </c>
      <c r="AZ527" s="40">
        <f>AZ349+AZ378+AZ405+AZ432</f>
        <v/>
      </c>
      <c r="BA527" s="40">
        <f>BA349+BA378+BA405+BA432</f>
        <v/>
      </c>
      <c r="BB527" s="40">
        <f>BB349+BB378+BB405+BB432</f>
        <v/>
      </c>
      <c r="BC527" s="40">
        <f>BC349+BC378+BC405+BC432</f>
        <v/>
      </c>
      <c r="BD527" s="40">
        <f>BD349+BD378+BD405+BD432</f>
        <v/>
      </c>
    </row>
    <row r="528">
      <c r="A528" s="33" t="inlineStr">
        <is>
          <t xml:space="preserve">  perennial blocks (this year's cost)</t>
        </is>
      </c>
      <c r="B528" s="2" t="inlineStr">
        <is>
          <t>$</t>
        </is>
      </c>
      <c r="E528" s="40">
        <f>($C$231*$B$28+$C$232*$B$29)/52</f>
        <v/>
      </c>
      <c r="F528" s="40">
        <f>($C$231*$B$28+$C$232*$B$29)/52</f>
        <v/>
      </c>
      <c r="G528" s="40">
        <f>($C$231*$B$28+$C$232*$B$29)/52</f>
        <v/>
      </c>
      <c r="H528" s="40">
        <f>($C$231*$B$28+$C$232*$B$29)/52</f>
        <v/>
      </c>
      <c r="I528" s="40">
        <f>($C$231*$B$28+$C$232*$B$29)/52</f>
        <v/>
      </c>
      <c r="J528" s="40">
        <f>($C$231*$B$28+$C$232*$B$29)/52</f>
        <v/>
      </c>
      <c r="K528" s="40">
        <f>($C$231*$B$28+$C$232*$B$29)/52</f>
        <v/>
      </c>
      <c r="L528" s="40">
        <f>($C$231*$B$28+$C$232*$B$29)/52</f>
        <v/>
      </c>
      <c r="M528" s="40">
        <f>($C$231*$B$28+$C$232*$B$29)/52</f>
        <v/>
      </c>
      <c r="N528" s="40">
        <f>($C$231*$B$28+$C$232*$B$29)/52</f>
        <v/>
      </c>
      <c r="O528" s="40">
        <f>($C$231*$B$28+$C$232*$B$29)/52</f>
        <v/>
      </c>
      <c r="P528" s="40">
        <f>($C$231*$B$28+$C$232*$B$29)/52</f>
        <v/>
      </c>
      <c r="Q528" s="40">
        <f>($C$231*$B$28+$C$232*$B$29)/52</f>
        <v/>
      </c>
      <c r="R528" s="40">
        <f>($C$231*$B$28+$C$232*$B$29)/52</f>
        <v/>
      </c>
      <c r="S528" s="40">
        <f>($C$231*$B$28+$C$232*$B$29)/52</f>
        <v/>
      </c>
      <c r="T528" s="40">
        <f>($C$231*$B$28+$C$232*$B$29)/52</f>
        <v/>
      </c>
      <c r="U528" s="40">
        <f>($C$231*$B$28+$C$232*$B$29)/52</f>
        <v/>
      </c>
      <c r="V528" s="40">
        <f>($C$231*$B$28+$C$232*$B$29)/52</f>
        <v/>
      </c>
      <c r="W528" s="40">
        <f>($C$231*$B$28+$C$232*$B$29)/52</f>
        <v/>
      </c>
      <c r="X528" s="40">
        <f>($C$231*$B$28+$C$232*$B$29)/52</f>
        <v/>
      </c>
      <c r="Y528" s="40">
        <f>($C$231*$B$28+$C$232*$B$29)/52</f>
        <v/>
      </c>
      <c r="Z528" s="40">
        <f>($C$231*$B$28+$C$232*$B$29)/52</f>
        <v/>
      </c>
      <c r="AA528" s="40">
        <f>($C$231*$B$28+$C$232*$B$29)/52</f>
        <v/>
      </c>
      <c r="AB528" s="40">
        <f>($C$231*$B$28+$C$232*$B$29)/52</f>
        <v/>
      </c>
      <c r="AC528" s="40">
        <f>($C$231*$B$28+$C$232*$B$29)/52</f>
        <v/>
      </c>
      <c r="AD528" s="40">
        <f>($C$231*$B$28+$C$232*$B$29)/52</f>
        <v/>
      </c>
      <c r="AE528" s="40">
        <f>($C$231*$B$28+$C$232*$B$29)/52</f>
        <v/>
      </c>
      <c r="AF528" s="40">
        <f>($C$231*$B$28+$C$232*$B$29)/52</f>
        <v/>
      </c>
      <c r="AG528" s="40">
        <f>($C$231*$B$28+$C$232*$B$29)/52</f>
        <v/>
      </c>
      <c r="AH528" s="40">
        <f>($C$231*$B$28+$C$232*$B$29)/52</f>
        <v/>
      </c>
      <c r="AI528" s="40">
        <f>($C$231*$B$28+$C$232*$B$29)/52</f>
        <v/>
      </c>
      <c r="AJ528" s="40">
        <f>($C$231*$B$28+$C$232*$B$29)/52</f>
        <v/>
      </c>
      <c r="AK528" s="40">
        <f>($C$231*$B$28+$C$232*$B$29)/52</f>
        <v/>
      </c>
      <c r="AL528" s="40">
        <f>($C$231*$B$28+$C$232*$B$29)/52</f>
        <v/>
      </c>
      <c r="AM528" s="40">
        <f>($C$231*$B$28+$C$232*$B$29)/52</f>
        <v/>
      </c>
      <c r="AN528" s="40">
        <f>($C$231*$B$28+$C$232*$B$29)/52</f>
        <v/>
      </c>
      <c r="AO528" s="40">
        <f>($C$231*$B$28+$C$232*$B$29)/52</f>
        <v/>
      </c>
      <c r="AP528" s="40">
        <f>($C$231*$B$28+$C$232*$B$29)/52</f>
        <v/>
      </c>
      <c r="AQ528" s="40">
        <f>($C$231*$B$28+$C$232*$B$29)/52</f>
        <v/>
      </c>
      <c r="AR528" s="40">
        <f>($C$231*$B$28+$C$232*$B$29)/52</f>
        <v/>
      </c>
      <c r="AS528" s="40">
        <f>($C$231*$B$28+$C$232*$B$29)/52</f>
        <v/>
      </c>
      <c r="AT528" s="40">
        <f>($C$231*$B$28+$C$232*$B$29)/52</f>
        <v/>
      </c>
      <c r="AU528" s="40">
        <f>($C$231*$B$28+$C$232*$B$29)/52</f>
        <v/>
      </c>
      <c r="AV528" s="40">
        <f>($C$231*$B$28+$C$232*$B$29)/52</f>
        <v/>
      </c>
      <c r="AW528" s="40">
        <f>($C$231*$B$28+$C$232*$B$29)/52</f>
        <v/>
      </c>
      <c r="AX528" s="40">
        <f>($C$231*$B$28+$C$232*$B$29)/52</f>
        <v/>
      </c>
      <c r="AY528" s="40">
        <f>($C$231*$B$28+$C$232*$B$29)/52</f>
        <v/>
      </c>
      <c r="AZ528" s="40">
        <f>($C$231*$B$28+$C$232*$B$29)/52</f>
        <v/>
      </c>
      <c r="BA528" s="40">
        <f>($C$231*$B$28+$C$232*$B$29)/52</f>
        <v/>
      </c>
      <c r="BB528" s="40">
        <f>($C$231*$B$28+$C$232*$B$29)/52</f>
        <v/>
      </c>
      <c r="BC528" s="40">
        <f>($C$231*$B$28+$C$232*$B$29)/52</f>
        <v/>
      </c>
      <c r="BD528" s="40">
        <f>($C$231*$B$28+$C$232*$B$29)/52</f>
        <v/>
      </c>
    </row>
    <row r="529">
      <c r="A529" s="33" t="inlineStr">
        <is>
          <t xml:space="preserve">  contract shortfall penalty</t>
        </is>
      </c>
      <c r="B529" s="2" t="inlineStr">
        <is>
          <t>$</t>
        </is>
      </c>
      <c r="E529" s="40">
        <f>E483+E491+E499</f>
        <v/>
      </c>
      <c r="F529" s="40">
        <f>F483+F491+F499</f>
        <v/>
      </c>
      <c r="G529" s="40">
        <f>G483+G491+G499</f>
        <v/>
      </c>
      <c r="H529" s="40">
        <f>H483+H491+H499</f>
        <v/>
      </c>
      <c r="I529" s="40">
        <f>I483+I491+I499</f>
        <v/>
      </c>
      <c r="J529" s="40">
        <f>J483+J491+J499</f>
        <v/>
      </c>
      <c r="K529" s="40">
        <f>K483+K491+K499</f>
        <v/>
      </c>
      <c r="L529" s="40">
        <f>L483+L491+L499</f>
        <v/>
      </c>
      <c r="M529" s="40">
        <f>M483+M491+M499</f>
        <v/>
      </c>
      <c r="N529" s="40">
        <f>N483+N491+N499</f>
        <v/>
      </c>
      <c r="O529" s="40">
        <f>O483+O491+O499</f>
        <v/>
      </c>
      <c r="P529" s="40">
        <f>P483+P491+P499</f>
        <v/>
      </c>
      <c r="Q529" s="40">
        <f>Q483+Q491+Q499</f>
        <v/>
      </c>
      <c r="R529" s="40">
        <f>R483+R491+R499</f>
        <v/>
      </c>
      <c r="S529" s="40">
        <f>S483+S491+S499</f>
        <v/>
      </c>
      <c r="T529" s="40">
        <f>T483+T491+T499</f>
        <v/>
      </c>
      <c r="U529" s="40">
        <f>U483+U491+U499</f>
        <v/>
      </c>
      <c r="V529" s="40">
        <f>V483+V491+V499</f>
        <v/>
      </c>
      <c r="W529" s="40">
        <f>W483+W491+W499</f>
        <v/>
      </c>
      <c r="X529" s="40">
        <f>X483+X491+X499</f>
        <v/>
      </c>
      <c r="Y529" s="40">
        <f>Y483+Y491+Y499</f>
        <v/>
      </c>
      <c r="Z529" s="40">
        <f>Z483+Z491+Z499</f>
        <v/>
      </c>
      <c r="AA529" s="40">
        <f>AA483+AA491+AA499</f>
        <v/>
      </c>
      <c r="AB529" s="40">
        <f>AB483+AB491+AB499</f>
        <v/>
      </c>
      <c r="AC529" s="40">
        <f>AC483+AC491+AC499</f>
        <v/>
      </c>
      <c r="AD529" s="40">
        <f>AD483+AD491+AD499</f>
        <v/>
      </c>
      <c r="AE529" s="40">
        <f>AE483+AE491+AE499</f>
        <v/>
      </c>
      <c r="AF529" s="40">
        <f>AF483+AF491+AF499</f>
        <v/>
      </c>
      <c r="AG529" s="40">
        <f>AG483+AG491+AG499</f>
        <v/>
      </c>
      <c r="AH529" s="40">
        <f>AH483+AH491+AH499</f>
        <v/>
      </c>
      <c r="AI529" s="40">
        <f>AI483+AI491+AI499</f>
        <v/>
      </c>
      <c r="AJ529" s="40">
        <f>AJ483+AJ491+AJ499</f>
        <v/>
      </c>
      <c r="AK529" s="40">
        <f>AK483+AK491+AK499</f>
        <v/>
      </c>
      <c r="AL529" s="40">
        <f>AL483+AL491+AL499</f>
        <v/>
      </c>
      <c r="AM529" s="40">
        <f>AM483+AM491+AM499</f>
        <v/>
      </c>
      <c r="AN529" s="40">
        <f>AN483+AN491+AN499</f>
        <v/>
      </c>
      <c r="AO529" s="40">
        <f>AO483+AO491+AO499</f>
        <v/>
      </c>
      <c r="AP529" s="40">
        <f>AP483+AP491+AP499</f>
        <v/>
      </c>
      <c r="AQ529" s="40">
        <f>AQ483+AQ491+AQ499</f>
        <v/>
      </c>
      <c r="AR529" s="40">
        <f>AR483+AR491+AR499</f>
        <v/>
      </c>
      <c r="AS529" s="40">
        <f>AS483+AS491+AS499</f>
        <v/>
      </c>
      <c r="AT529" s="40">
        <f>AT483+AT491+AT499</f>
        <v/>
      </c>
      <c r="AU529" s="40">
        <f>AU483+AU491+AU499</f>
        <v/>
      </c>
      <c r="AV529" s="40">
        <f>AV483+AV491+AV499</f>
        <v/>
      </c>
      <c r="AW529" s="40">
        <f>AW483+AW491+AW499</f>
        <v/>
      </c>
      <c r="AX529" s="40">
        <f>AX483+AX491+AX499</f>
        <v/>
      </c>
      <c r="AY529" s="40">
        <f>AY483+AY491+AY499</f>
        <v/>
      </c>
      <c r="AZ529" s="40">
        <f>AZ483+AZ491+AZ499</f>
        <v/>
      </c>
      <c r="BA529" s="40">
        <f>BA483+BA491+BA499</f>
        <v/>
      </c>
      <c r="BB529" s="40">
        <f>BB483+BB491+BB499</f>
        <v/>
      </c>
      <c r="BC529" s="40">
        <f>BC483+BC491+BC499</f>
        <v/>
      </c>
      <c r="BD529" s="40">
        <f>BD483+BD491+BD499</f>
        <v/>
      </c>
    </row>
    <row r="530">
      <c r="A530" s="2" t="inlineStr">
        <is>
          <t xml:space="preserve">   ^ shown for its timing, but NOT in net cash: a penalty is settled with the buyer after the season. Charged against the weekly cash floor, an unavoidable shortfall at a big penalty made the whole plan INFEASIBLE — the very thing a priced shortfall exists to prevent.</t>
        </is>
      </c>
    </row>
    <row r="531">
      <c r="A531" s="33" t="inlineStr">
        <is>
          <t xml:space="preserve">  fixed cost</t>
        </is>
      </c>
      <c r="B531" s="2" t="inlineStr">
        <is>
          <t>$</t>
        </is>
      </c>
      <c r="E531" s="40">
        <f>$B$520</f>
        <v/>
      </c>
      <c r="F531" s="40">
        <f>$B$520</f>
        <v/>
      </c>
      <c r="G531" s="40">
        <f>$B$520</f>
        <v/>
      </c>
      <c r="H531" s="40">
        <f>$B$520</f>
        <v/>
      </c>
      <c r="I531" s="40">
        <f>$B$520</f>
        <v/>
      </c>
      <c r="J531" s="40">
        <f>$B$520</f>
        <v/>
      </c>
      <c r="K531" s="40">
        <f>$B$520</f>
        <v/>
      </c>
      <c r="L531" s="40">
        <f>$B$520</f>
        <v/>
      </c>
      <c r="M531" s="40">
        <f>$B$520</f>
        <v/>
      </c>
      <c r="N531" s="40">
        <f>$B$520</f>
        <v/>
      </c>
      <c r="O531" s="40">
        <f>$B$520</f>
        <v/>
      </c>
      <c r="P531" s="40">
        <f>$B$520</f>
        <v/>
      </c>
      <c r="Q531" s="40">
        <f>$B$520</f>
        <v/>
      </c>
      <c r="R531" s="40">
        <f>$B$520</f>
        <v/>
      </c>
      <c r="S531" s="40">
        <f>$B$520</f>
        <v/>
      </c>
      <c r="T531" s="40">
        <f>$B$520</f>
        <v/>
      </c>
      <c r="U531" s="40">
        <f>$B$520</f>
        <v/>
      </c>
      <c r="V531" s="40">
        <f>$B$520</f>
        <v/>
      </c>
      <c r="W531" s="40">
        <f>$B$520</f>
        <v/>
      </c>
      <c r="X531" s="40">
        <f>$B$520</f>
        <v/>
      </c>
      <c r="Y531" s="40">
        <f>$B$520</f>
        <v/>
      </c>
      <c r="Z531" s="40">
        <f>$B$520</f>
        <v/>
      </c>
      <c r="AA531" s="40">
        <f>$B$520</f>
        <v/>
      </c>
      <c r="AB531" s="40">
        <f>$B$520</f>
        <v/>
      </c>
      <c r="AC531" s="40">
        <f>$B$520</f>
        <v/>
      </c>
      <c r="AD531" s="40">
        <f>$B$520</f>
        <v/>
      </c>
      <c r="AE531" s="40">
        <f>$B$520</f>
        <v/>
      </c>
      <c r="AF531" s="40">
        <f>$B$520</f>
        <v/>
      </c>
      <c r="AG531" s="40">
        <f>$B$520</f>
        <v/>
      </c>
      <c r="AH531" s="40">
        <f>$B$520</f>
        <v/>
      </c>
      <c r="AI531" s="40">
        <f>$B$520</f>
        <v/>
      </c>
      <c r="AJ531" s="40">
        <f>$B$520</f>
        <v/>
      </c>
      <c r="AK531" s="40">
        <f>$B$520</f>
        <v/>
      </c>
      <c r="AL531" s="40">
        <f>$B$520</f>
        <v/>
      </c>
      <c r="AM531" s="40">
        <f>$B$520</f>
        <v/>
      </c>
      <c r="AN531" s="40">
        <f>$B$520</f>
        <v/>
      </c>
      <c r="AO531" s="40">
        <f>$B$520</f>
        <v/>
      </c>
      <c r="AP531" s="40">
        <f>$B$520</f>
        <v/>
      </c>
      <c r="AQ531" s="40">
        <f>$B$520</f>
        <v/>
      </c>
      <c r="AR531" s="40">
        <f>$B$520</f>
        <v/>
      </c>
      <c r="AS531" s="40">
        <f>$B$520</f>
        <v/>
      </c>
      <c r="AT531" s="40">
        <f>$B$520</f>
        <v/>
      </c>
      <c r="AU531" s="40">
        <f>$B$520</f>
        <v/>
      </c>
      <c r="AV531" s="40">
        <f>$B$520</f>
        <v/>
      </c>
      <c r="AW531" s="40">
        <f>$B$520</f>
        <v/>
      </c>
      <c r="AX531" s="40">
        <f>$B$520</f>
        <v/>
      </c>
      <c r="AY531" s="40">
        <f>$B$520</f>
        <v/>
      </c>
      <c r="AZ531" s="40">
        <f>$B$520</f>
        <v/>
      </c>
      <c r="BA531" s="40">
        <f>$B$520</f>
        <v/>
      </c>
      <c r="BB531" s="40">
        <f>$B$520</f>
        <v/>
      </c>
      <c r="BC531" s="40">
        <f>$B$520</f>
        <v/>
      </c>
      <c r="BD531" s="40">
        <f>$B$520</f>
        <v/>
      </c>
    </row>
    <row r="532">
      <c r="A532" s="33" t="inlineStr">
        <is>
          <t xml:space="preserve">  overhead</t>
        </is>
      </c>
      <c r="B532" s="2" t="inlineStr">
        <is>
          <t>$</t>
        </is>
      </c>
      <c r="E532" s="40">
        <f>E525*$B$521</f>
        <v/>
      </c>
      <c r="F532" s="40">
        <f>F525*$B$521</f>
        <v/>
      </c>
      <c r="G532" s="40">
        <f>G525*$B$521</f>
        <v/>
      </c>
      <c r="H532" s="40">
        <f>H525*$B$521</f>
        <v/>
      </c>
      <c r="I532" s="40">
        <f>I525*$B$521</f>
        <v/>
      </c>
      <c r="J532" s="40">
        <f>J525*$B$521</f>
        <v/>
      </c>
      <c r="K532" s="40">
        <f>K525*$B$521</f>
        <v/>
      </c>
      <c r="L532" s="40">
        <f>L525*$B$521</f>
        <v/>
      </c>
      <c r="M532" s="40">
        <f>M525*$B$521</f>
        <v/>
      </c>
      <c r="N532" s="40">
        <f>N525*$B$521</f>
        <v/>
      </c>
      <c r="O532" s="40">
        <f>O525*$B$521</f>
        <v/>
      </c>
      <c r="P532" s="40">
        <f>P525*$B$521</f>
        <v/>
      </c>
      <c r="Q532" s="40">
        <f>Q525*$B$521</f>
        <v/>
      </c>
      <c r="R532" s="40">
        <f>R525*$B$521</f>
        <v/>
      </c>
      <c r="S532" s="40">
        <f>S525*$B$521</f>
        <v/>
      </c>
      <c r="T532" s="40">
        <f>T525*$B$521</f>
        <v/>
      </c>
      <c r="U532" s="40">
        <f>U525*$B$521</f>
        <v/>
      </c>
      <c r="V532" s="40">
        <f>V525*$B$521</f>
        <v/>
      </c>
      <c r="W532" s="40">
        <f>W525*$B$521</f>
        <v/>
      </c>
      <c r="X532" s="40">
        <f>X525*$B$521</f>
        <v/>
      </c>
      <c r="Y532" s="40">
        <f>Y525*$B$521</f>
        <v/>
      </c>
      <c r="Z532" s="40">
        <f>Z525*$B$521</f>
        <v/>
      </c>
      <c r="AA532" s="40">
        <f>AA525*$B$521</f>
        <v/>
      </c>
      <c r="AB532" s="40">
        <f>AB525*$B$521</f>
        <v/>
      </c>
      <c r="AC532" s="40">
        <f>AC525*$B$521</f>
        <v/>
      </c>
      <c r="AD532" s="40">
        <f>AD525*$B$521</f>
        <v/>
      </c>
      <c r="AE532" s="40">
        <f>AE525*$B$521</f>
        <v/>
      </c>
      <c r="AF532" s="40">
        <f>AF525*$B$521</f>
        <v/>
      </c>
      <c r="AG532" s="40">
        <f>AG525*$B$521</f>
        <v/>
      </c>
      <c r="AH532" s="40">
        <f>AH525*$B$521</f>
        <v/>
      </c>
      <c r="AI532" s="40">
        <f>AI525*$B$521</f>
        <v/>
      </c>
      <c r="AJ532" s="40">
        <f>AJ525*$B$521</f>
        <v/>
      </c>
      <c r="AK532" s="40">
        <f>AK525*$B$521</f>
        <v/>
      </c>
      <c r="AL532" s="40">
        <f>AL525*$B$521</f>
        <v/>
      </c>
      <c r="AM532" s="40">
        <f>AM525*$B$521</f>
        <v/>
      </c>
      <c r="AN532" s="40">
        <f>AN525*$B$521</f>
        <v/>
      </c>
      <c r="AO532" s="40">
        <f>AO525*$B$521</f>
        <v/>
      </c>
      <c r="AP532" s="40">
        <f>AP525*$B$521</f>
        <v/>
      </c>
      <c r="AQ532" s="40">
        <f>AQ525*$B$521</f>
        <v/>
      </c>
      <c r="AR532" s="40">
        <f>AR525*$B$521</f>
        <v/>
      </c>
      <c r="AS532" s="40">
        <f>AS525*$B$521</f>
        <v/>
      </c>
      <c r="AT532" s="40">
        <f>AT525*$B$521</f>
        <v/>
      </c>
      <c r="AU532" s="40">
        <f>AU525*$B$521</f>
        <v/>
      </c>
      <c r="AV532" s="40">
        <f>AV525*$B$521</f>
        <v/>
      </c>
      <c r="AW532" s="40">
        <f>AW525*$B$521</f>
        <v/>
      </c>
      <c r="AX532" s="40">
        <f>AX525*$B$521</f>
        <v/>
      </c>
      <c r="AY532" s="40">
        <f>AY525*$B$521</f>
        <v/>
      </c>
      <c r="AZ532" s="40">
        <f>AZ525*$B$521</f>
        <v/>
      </c>
      <c r="BA532" s="40">
        <f>BA525*$B$521</f>
        <v/>
      </c>
      <c r="BB532" s="40">
        <f>BB525*$B$521</f>
        <v/>
      </c>
      <c r="BC532" s="40">
        <f>BC525*$B$521</f>
        <v/>
      </c>
      <c r="BD532" s="40">
        <f>BD525*$B$521</f>
        <v/>
      </c>
    </row>
    <row r="533">
      <c r="A533" s="33" t="inlineStr">
        <is>
          <t xml:space="preserve">  wages</t>
        </is>
      </c>
      <c r="B533" s="2" t="inlineStr">
        <is>
          <t>$</t>
        </is>
      </c>
      <c r="E533" s="40">
        <f>E317</f>
        <v/>
      </c>
      <c r="F533" s="40">
        <f>F317</f>
        <v/>
      </c>
      <c r="G533" s="40">
        <f>G317</f>
        <v/>
      </c>
      <c r="H533" s="40">
        <f>H317</f>
        <v/>
      </c>
      <c r="I533" s="40">
        <f>I317</f>
        <v/>
      </c>
      <c r="J533" s="40">
        <f>J317</f>
        <v/>
      </c>
      <c r="K533" s="40">
        <f>K317</f>
        <v/>
      </c>
      <c r="L533" s="40">
        <f>L317</f>
        <v/>
      </c>
      <c r="M533" s="40">
        <f>M317</f>
        <v/>
      </c>
      <c r="N533" s="40">
        <f>N317</f>
        <v/>
      </c>
      <c r="O533" s="40">
        <f>O317</f>
        <v/>
      </c>
      <c r="P533" s="40">
        <f>P317</f>
        <v/>
      </c>
      <c r="Q533" s="40">
        <f>Q317</f>
        <v/>
      </c>
      <c r="R533" s="40">
        <f>R317</f>
        <v/>
      </c>
      <c r="S533" s="40">
        <f>S317</f>
        <v/>
      </c>
      <c r="T533" s="40">
        <f>T317</f>
        <v/>
      </c>
      <c r="U533" s="40">
        <f>U317</f>
        <v/>
      </c>
      <c r="V533" s="40">
        <f>V317</f>
        <v/>
      </c>
      <c r="W533" s="40">
        <f>W317</f>
        <v/>
      </c>
      <c r="X533" s="40">
        <f>X317</f>
        <v/>
      </c>
      <c r="Y533" s="40">
        <f>Y317</f>
        <v/>
      </c>
      <c r="Z533" s="40">
        <f>Z317</f>
        <v/>
      </c>
      <c r="AA533" s="40">
        <f>AA317</f>
        <v/>
      </c>
      <c r="AB533" s="40">
        <f>AB317</f>
        <v/>
      </c>
      <c r="AC533" s="40">
        <f>AC317</f>
        <v/>
      </c>
      <c r="AD533" s="40">
        <f>AD317</f>
        <v/>
      </c>
      <c r="AE533" s="40">
        <f>AE317</f>
        <v/>
      </c>
      <c r="AF533" s="40">
        <f>AF317</f>
        <v/>
      </c>
      <c r="AG533" s="40">
        <f>AG317</f>
        <v/>
      </c>
      <c r="AH533" s="40">
        <f>AH317</f>
        <v/>
      </c>
      <c r="AI533" s="40">
        <f>AI317</f>
        <v/>
      </c>
      <c r="AJ533" s="40">
        <f>AJ317</f>
        <v/>
      </c>
      <c r="AK533" s="40">
        <f>AK317</f>
        <v/>
      </c>
      <c r="AL533" s="40">
        <f>AL317</f>
        <v/>
      </c>
      <c r="AM533" s="40">
        <f>AM317</f>
        <v/>
      </c>
      <c r="AN533" s="40">
        <f>AN317</f>
        <v/>
      </c>
      <c r="AO533" s="40">
        <f>AO317</f>
        <v/>
      </c>
      <c r="AP533" s="40">
        <f>AP317</f>
        <v/>
      </c>
      <c r="AQ533" s="40">
        <f>AQ317</f>
        <v/>
      </c>
      <c r="AR533" s="40">
        <f>AR317</f>
        <v/>
      </c>
      <c r="AS533" s="40">
        <f>AS317</f>
        <v/>
      </c>
      <c r="AT533" s="40">
        <f>AT317</f>
        <v/>
      </c>
      <c r="AU533" s="40">
        <f>AU317</f>
        <v/>
      </c>
      <c r="AV533" s="40">
        <f>AV317</f>
        <v/>
      </c>
      <c r="AW533" s="40">
        <f>AW317</f>
        <v/>
      </c>
      <c r="AX533" s="40">
        <f>AX317</f>
        <v/>
      </c>
      <c r="AY533" s="40">
        <f>AY317</f>
        <v/>
      </c>
      <c r="AZ533" s="40">
        <f>AZ317</f>
        <v/>
      </c>
      <c r="BA533" s="40">
        <f>BA317</f>
        <v/>
      </c>
      <c r="BB533" s="40">
        <f>BB317</f>
        <v/>
      </c>
      <c r="BC533" s="40">
        <f>BC317</f>
        <v/>
      </c>
      <c r="BD533" s="40">
        <f>BD317</f>
        <v/>
      </c>
    </row>
    <row r="534">
      <c r="A534" s="33" t="inlineStr">
        <is>
          <t xml:space="preserve">  overtime</t>
        </is>
      </c>
      <c r="B534" s="2" t="inlineStr">
        <is>
          <t>$</t>
        </is>
      </c>
      <c r="E534" s="40">
        <f>E321</f>
        <v/>
      </c>
      <c r="F534" s="40">
        <f>F321</f>
        <v/>
      </c>
      <c r="G534" s="40">
        <f>G321</f>
        <v/>
      </c>
      <c r="H534" s="40">
        <f>H321</f>
        <v/>
      </c>
      <c r="I534" s="40">
        <f>I321</f>
        <v/>
      </c>
      <c r="J534" s="40">
        <f>J321</f>
        <v/>
      </c>
      <c r="K534" s="40">
        <f>K321</f>
        <v/>
      </c>
      <c r="L534" s="40">
        <f>L321</f>
        <v/>
      </c>
      <c r="M534" s="40">
        <f>M321</f>
        <v/>
      </c>
      <c r="N534" s="40">
        <f>N321</f>
        <v/>
      </c>
      <c r="O534" s="40">
        <f>O321</f>
        <v/>
      </c>
      <c r="P534" s="40">
        <f>P321</f>
        <v/>
      </c>
      <c r="Q534" s="40">
        <f>Q321</f>
        <v/>
      </c>
      <c r="R534" s="40">
        <f>R321</f>
        <v/>
      </c>
      <c r="S534" s="40">
        <f>S321</f>
        <v/>
      </c>
      <c r="T534" s="40">
        <f>T321</f>
        <v/>
      </c>
      <c r="U534" s="40">
        <f>U321</f>
        <v/>
      </c>
      <c r="V534" s="40">
        <f>V321</f>
        <v/>
      </c>
      <c r="W534" s="40">
        <f>W321</f>
        <v/>
      </c>
      <c r="X534" s="40">
        <f>X321</f>
        <v/>
      </c>
      <c r="Y534" s="40">
        <f>Y321</f>
        <v/>
      </c>
      <c r="Z534" s="40">
        <f>Z321</f>
        <v/>
      </c>
      <c r="AA534" s="40">
        <f>AA321</f>
        <v/>
      </c>
      <c r="AB534" s="40">
        <f>AB321</f>
        <v/>
      </c>
      <c r="AC534" s="40">
        <f>AC321</f>
        <v/>
      </c>
      <c r="AD534" s="40">
        <f>AD321</f>
        <v/>
      </c>
      <c r="AE534" s="40">
        <f>AE321</f>
        <v/>
      </c>
      <c r="AF534" s="40">
        <f>AF321</f>
        <v/>
      </c>
      <c r="AG534" s="40">
        <f>AG321</f>
        <v/>
      </c>
      <c r="AH534" s="40">
        <f>AH321</f>
        <v/>
      </c>
      <c r="AI534" s="40">
        <f>AI321</f>
        <v/>
      </c>
      <c r="AJ534" s="40">
        <f>AJ321</f>
        <v/>
      </c>
      <c r="AK534" s="40">
        <f>AK321</f>
        <v/>
      </c>
      <c r="AL534" s="40">
        <f>AL321</f>
        <v/>
      </c>
      <c r="AM534" s="40">
        <f>AM321</f>
        <v/>
      </c>
      <c r="AN534" s="40">
        <f>AN321</f>
        <v/>
      </c>
      <c r="AO534" s="40">
        <f>AO321</f>
        <v/>
      </c>
      <c r="AP534" s="40">
        <f>AP321</f>
        <v/>
      </c>
      <c r="AQ534" s="40">
        <f>AQ321</f>
        <v/>
      </c>
      <c r="AR534" s="40">
        <f>AR321</f>
        <v/>
      </c>
      <c r="AS534" s="40">
        <f>AS321</f>
        <v/>
      </c>
      <c r="AT534" s="40">
        <f>AT321</f>
        <v/>
      </c>
      <c r="AU534" s="40">
        <f>AU321</f>
        <v/>
      </c>
      <c r="AV534" s="40">
        <f>AV321</f>
        <v/>
      </c>
      <c r="AW534" s="40">
        <f>AW321</f>
        <v/>
      </c>
      <c r="AX534" s="40">
        <f>AX321</f>
        <v/>
      </c>
      <c r="AY534" s="40">
        <f>AY321</f>
        <v/>
      </c>
      <c r="AZ534" s="40">
        <f>AZ321</f>
        <v/>
      </c>
      <c r="BA534" s="40">
        <f>BA321</f>
        <v/>
      </c>
      <c r="BB534" s="40">
        <f>BB321</f>
        <v/>
      </c>
      <c r="BC534" s="40">
        <f>BC321</f>
        <v/>
      </c>
      <c r="BD534" s="40">
        <f>BD321</f>
        <v/>
      </c>
    </row>
    <row r="535">
      <c r="A535" s="33" t="inlineStr">
        <is>
          <t xml:space="preserve">  new-head one-off</t>
        </is>
      </c>
      <c r="B535" s="2" t="inlineStr">
        <is>
          <t>$</t>
        </is>
      </c>
      <c r="E535" s="40">
        <f>E319</f>
        <v/>
      </c>
      <c r="F535" s="40">
        <f>F319</f>
        <v/>
      </c>
      <c r="G535" s="40">
        <f>G319</f>
        <v/>
      </c>
      <c r="H535" s="40">
        <f>H319</f>
        <v/>
      </c>
      <c r="I535" s="40">
        <f>I319</f>
        <v/>
      </c>
      <c r="J535" s="40">
        <f>J319</f>
        <v/>
      </c>
      <c r="K535" s="40">
        <f>K319</f>
        <v/>
      </c>
      <c r="L535" s="40">
        <f>L319</f>
        <v/>
      </c>
      <c r="M535" s="40">
        <f>M319</f>
        <v/>
      </c>
      <c r="N535" s="40">
        <f>N319</f>
        <v/>
      </c>
      <c r="O535" s="40">
        <f>O319</f>
        <v/>
      </c>
      <c r="P535" s="40">
        <f>P319</f>
        <v/>
      </c>
      <c r="Q535" s="40">
        <f>Q319</f>
        <v/>
      </c>
      <c r="R535" s="40">
        <f>R319</f>
        <v/>
      </c>
      <c r="S535" s="40">
        <f>S319</f>
        <v/>
      </c>
      <c r="T535" s="40">
        <f>T319</f>
        <v/>
      </c>
      <c r="U535" s="40">
        <f>U319</f>
        <v/>
      </c>
      <c r="V535" s="40">
        <f>V319</f>
        <v/>
      </c>
      <c r="W535" s="40">
        <f>W319</f>
        <v/>
      </c>
      <c r="X535" s="40">
        <f>X319</f>
        <v/>
      </c>
      <c r="Y535" s="40">
        <f>Y319</f>
        <v/>
      </c>
      <c r="Z535" s="40">
        <f>Z319</f>
        <v/>
      </c>
      <c r="AA535" s="40">
        <f>AA319</f>
        <v/>
      </c>
      <c r="AB535" s="40">
        <f>AB319</f>
        <v/>
      </c>
      <c r="AC535" s="40">
        <f>AC319</f>
        <v/>
      </c>
      <c r="AD535" s="40">
        <f>AD319</f>
        <v/>
      </c>
      <c r="AE535" s="40">
        <f>AE319</f>
        <v/>
      </c>
      <c r="AF535" s="40">
        <f>AF319</f>
        <v/>
      </c>
      <c r="AG535" s="40">
        <f>AG319</f>
        <v/>
      </c>
      <c r="AH535" s="40">
        <f>AH319</f>
        <v/>
      </c>
      <c r="AI535" s="40">
        <f>AI319</f>
        <v/>
      </c>
      <c r="AJ535" s="40">
        <f>AJ319</f>
        <v/>
      </c>
      <c r="AK535" s="40">
        <f>AK319</f>
        <v/>
      </c>
      <c r="AL535" s="40">
        <f>AL319</f>
        <v/>
      </c>
      <c r="AM535" s="40">
        <f>AM319</f>
        <v/>
      </c>
      <c r="AN535" s="40">
        <f>AN319</f>
        <v/>
      </c>
      <c r="AO535" s="40">
        <f>AO319</f>
        <v/>
      </c>
      <c r="AP535" s="40">
        <f>AP319</f>
        <v/>
      </c>
      <c r="AQ535" s="40">
        <f>AQ319</f>
        <v/>
      </c>
      <c r="AR535" s="40">
        <f>AR319</f>
        <v/>
      </c>
      <c r="AS535" s="40">
        <f>AS319</f>
        <v/>
      </c>
      <c r="AT535" s="40">
        <f>AT319</f>
        <v/>
      </c>
      <c r="AU535" s="40">
        <f>AU319</f>
        <v/>
      </c>
      <c r="AV535" s="40">
        <f>AV319</f>
        <v/>
      </c>
      <c r="AW535" s="40">
        <f>AW319</f>
        <v/>
      </c>
      <c r="AX535" s="40">
        <f>AX319</f>
        <v/>
      </c>
      <c r="AY535" s="40">
        <f>AY319</f>
        <v/>
      </c>
      <c r="AZ535" s="40">
        <f>AZ319</f>
        <v/>
      </c>
      <c r="BA535" s="40">
        <f>BA319</f>
        <v/>
      </c>
      <c r="BB535" s="40">
        <f>BB319</f>
        <v/>
      </c>
      <c r="BC535" s="40">
        <f>BC319</f>
        <v/>
      </c>
      <c r="BD535" s="40">
        <f>BD319</f>
        <v/>
      </c>
    </row>
    <row r="536">
      <c r="A536" s="33" t="inlineStr">
        <is>
          <t xml:space="preserve">  piece rate (COGS)</t>
        </is>
      </c>
      <c r="B536" s="2" t="inlineStr">
        <is>
          <t>$</t>
        </is>
      </c>
      <c r="E536" s="40">
        <f>E323</f>
        <v/>
      </c>
      <c r="F536" s="40">
        <f>F323</f>
        <v/>
      </c>
      <c r="G536" s="40">
        <f>G323</f>
        <v/>
      </c>
      <c r="H536" s="40">
        <f>H323</f>
        <v/>
      </c>
      <c r="I536" s="40">
        <f>I323</f>
        <v/>
      </c>
      <c r="J536" s="40">
        <f>J323</f>
        <v/>
      </c>
      <c r="K536" s="40">
        <f>K323</f>
        <v/>
      </c>
      <c r="L536" s="40">
        <f>L323</f>
        <v/>
      </c>
      <c r="M536" s="40">
        <f>M323</f>
        <v/>
      </c>
      <c r="N536" s="40">
        <f>N323</f>
        <v/>
      </c>
      <c r="O536" s="40">
        <f>O323</f>
        <v/>
      </c>
      <c r="P536" s="40">
        <f>P323</f>
        <v/>
      </c>
      <c r="Q536" s="40">
        <f>Q323</f>
        <v/>
      </c>
      <c r="R536" s="40">
        <f>R323</f>
        <v/>
      </c>
      <c r="S536" s="40">
        <f>S323</f>
        <v/>
      </c>
      <c r="T536" s="40">
        <f>T323</f>
        <v/>
      </c>
      <c r="U536" s="40">
        <f>U323</f>
        <v/>
      </c>
      <c r="V536" s="40">
        <f>V323</f>
        <v/>
      </c>
      <c r="W536" s="40">
        <f>W323</f>
        <v/>
      </c>
      <c r="X536" s="40">
        <f>X323</f>
        <v/>
      </c>
      <c r="Y536" s="40">
        <f>Y323</f>
        <v/>
      </c>
      <c r="Z536" s="40">
        <f>Z323</f>
        <v/>
      </c>
      <c r="AA536" s="40">
        <f>AA323</f>
        <v/>
      </c>
      <c r="AB536" s="40">
        <f>AB323</f>
        <v/>
      </c>
      <c r="AC536" s="40">
        <f>AC323</f>
        <v/>
      </c>
      <c r="AD536" s="40">
        <f>AD323</f>
        <v/>
      </c>
      <c r="AE536" s="40">
        <f>AE323</f>
        <v/>
      </c>
      <c r="AF536" s="40">
        <f>AF323</f>
        <v/>
      </c>
      <c r="AG536" s="40">
        <f>AG323</f>
        <v/>
      </c>
      <c r="AH536" s="40">
        <f>AH323</f>
        <v/>
      </c>
      <c r="AI536" s="40">
        <f>AI323</f>
        <v/>
      </c>
      <c r="AJ536" s="40">
        <f>AJ323</f>
        <v/>
      </c>
      <c r="AK536" s="40">
        <f>AK323</f>
        <v/>
      </c>
      <c r="AL536" s="40">
        <f>AL323</f>
        <v/>
      </c>
      <c r="AM536" s="40">
        <f>AM323</f>
        <v/>
      </c>
      <c r="AN536" s="40">
        <f>AN323</f>
        <v/>
      </c>
      <c r="AO536" s="40">
        <f>AO323</f>
        <v/>
      </c>
      <c r="AP536" s="40">
        <f>AP323</f>
        <v/>
      </c>
      <c r="AQ536" s="40">
        <f>AQ323</f>
        <v/>
      </c>
      <c r="AR536" s="40">
        <f>AR323</f>
        <v/>
      </c>
      <c r="AS536" s="40">
        <f>AS323</f>
        <v/>
      </c>
      <c r="AT536" s="40">
        <f>AT323</f>
        <v/>
      </c>
      <c r="AU536" s="40">
        <f>AU323</f>
        <v/>
      </c>
      <c r="AV536" s="40">
        <f>AV323</f>
        <v/>
      </c>
      <c r="AW536" s="40">
        <f>AW323</f>
        <v/>
      </c>
      <c r="AX536" s="40">
        <f>AX323</f>
        <v/>
      </c>
      <c r="AY536" s="40">
        <f>AY323</f>
        <v/>
      </c>
      <c r="AZ536" s="40">
        <f>AZ323</f>
        <v/>
      </c>
      <c r="BA536" s="40">
        <f>BA323</f>
        <v/>
      </c>
      <c r="BB536" s="40">
        <f>BB323</f>
        <v/>
      </c>
      <c r="BC536" s="40">
        <f>BC323</f>
        <v/>
      </c>
      <c r="BD536" s="40">
        <f>BD323</f>
        <v/>
      </c>
    </row>
    <row r="537">
      <c r="A537" s="4" t="inlineStr">
        <is>
          <t>NET CASH this week</t>
        </is>
      </c>
      <c r="B537" s="2" t="inlineStr">
        <is>
          <t>$</t>
        </is>
      </c>
      <c r="E537" s="40">
        <f>E525-E526-E527-E531-E532-E533-E534-E535-E536-E528</f>
        <v/>
      </c>
      <c r="F537" s="40">
        <f>F525-F526-F527-F531-F532-F533-F534-F535-F536-F528</f>
        <v/>
      </c>
      <c r="G537" s="40">
        <f>G525-G526-G527-G531-G532-G533-G534-G535-G536-G528</f>
        <v/>
      </c>
      <c r="H537" s="40">
        <f>H525-H526-H527-H531-H532-H533-H534-H535-H536-H528</f>
        <v/>
      </c>
      <c r="I537" s="40">
        <f>I525-I526-I527-I531-I532-I533-I534-I535-I536-I528</f>
        <v/>
      </c>
      <c r="J537" s="40">
        <f>J525-J526-J527-J531-J532-J533-J534-J535-J536-J528</f>
        <v/>
      </c>
      <c r="K537" s="40">
        <f>K525-K526-K527-K531-K532-K533-K534-K535-K536-K528</f>
        <v/>
      </c>
      <c r="L537" s="40">
        <f>L525-L526-L527-L531-L532-L533-L534-L535-L536-L528</f>
        <v/>
      </c>
      <c r="M537" s="40">
        <f>M525-M526-M527-M531-M532-M533-M534-M535-M536-M528</f>
        <v/>
      </c>
      <c r="N537" s="40">
        <f>N525-N526-N527-N531-N532-N533-N534-N535-N536-N528</f>
        <v/>
      </c>
      <c r="O537" s="40">
        <f>O525-O526-O527-O531-O532-O533-O534-O535-O536-O528</f>
        <v/>
      </c>
      <c r="P537" s="40">
        <f>P525-P526-P527-P531-P532-P533-P534-P535-P536-P528</f>
        <v/>
      </c>
      <c r="Q537" s="40">
        <f>Q525-Q526-Q527-Q531-Q532-Q533-Q534-Q535-Q536-Q528</f>
        <v/>
      </c>
      <c r="R537" s="40">
        <f>R525-R526-R527-R531-R532-R533-R534-R535-R536-R528</f>
        <v/>
      </c>
      <c r="S537" s="40">
        <f>S525-S526-S527-S531-S532-S533-S534-S535-S536-S528</f>
        <v/>
      </c>
      <c r="T537" s="40">
        <f>T525-T526-T527-T531-T532-T533-T534-T535-T536-T528</f>
        <v/>
      </c>
      <c r="U537" s="40">
        <f>U525-U526-U527-U531-U532-U533-U534-U535-U536-U528</f>
        <v/>
      </c>
      <c r="V537" s="40">
        <f>V525-V526-V527-V531-V532-V533-V534-V535-V536-V528</f>
        <v/>
      </c>
      <c r="W537" s="40">
        <f>W525-W526-W527-W531-W532-W533-W534-W535-W536-W528</f>
        <v/>
      </c>
      <c r="X537" s="40">
        <f>X525-X526-X527-X531-X532-X533-X534-X535-X536-X528</f>
        <v/>
      </c>
      <c r="Y537" s="40">
        <f>Y525-Y526-Y527-Y531-Y532-Y533-Y534-Y535-Y536-Y528</f>
        <v/>
      </c>
      <c r="Z537" s="40">
        <f>Z525-Z526-Z527-Z531-Z532-Z533-Z534-Z535-Z536-Z528</f>
        <v/>
      </c>
      <c r="AA537" s="40">
        <f>AA525-AA526-AA527-AA531-AA532-AA533-AA534-AA535-AA536-AA528</f>
        <v/>
      </c>
      <c r="AB537" s="40">
        <f>AB525-AB526-AB527-AB531-AB532-AB533-AB534-AB535-AB536-AB528</f>
        <v/>
      </c>
      <c r="AC537" s="40">
        <f>AC525-AC526-AC527-AC531-AC532-AC533-AC534-AC535-AC536-AC528</f>
        <v/>
      </c>
      <c r="AD537" s="40">
        <f>AD525-AD526-AD527-AD531-AD532-AD533-AD534-AD535-AD536-AD528</f>
        <v/>
      </c>
      <c r="AE537" s="40">
        <f>AE525-AE526-AE527-AE531-AE532-AE533-AE534-AE535-AE536-AE528</f>
        <v/>
      </c>
      <c r="AF537" s="40">
        <f>AF525-AF526-AF527-AF531-AF532-AF533-AF534-AF535-AF536-AF528</f>
        <v/>
      </c>
      <c r="AG537" s="40">
        <f>AG525-AG526-AG527-AG531-AG532-AG533-AG534-AG535-AG536-AG528</f>
        <v/>
      </c>
      <c r="AH537" s="40">
        <f>AH525-AH526-AH527-AH531-AH532-AH533-AH534-AH535-AH536-AH528</f>
        <v/>
      </c>
      <c r="AI537" s="40">
        <f>AI525-AI526-AI527-AI531-AI532-AI533-AI534-AI535-AI536-AI528</f>
        <v/>
      </c>
      <c r="AJ537" s="40">
        <f>AJ525-AJ526-AJ527-AJ531-AJ532-AJ533-AJ534-AJ535-AJ536-AJ528</f>
        <v/>
      </c>
      <c r="AK537" s="40">
        <f>AK525-AK526-AK527-AK531-AK532-AK533-AK534-AK535-AK536-AK528</f>
        <v/>
      </c>
      <c r="AL537" s="40">
        <f>AL525-AL526-AL527-AL531-AL532-AL533-AL534-AL535-AL536-AL528</f>
        <v/>
      </c>
      <c r="AM537" s="40">
        <f>AM525-AM526-AM527-AM531-AM532-AM533-AM534-AM535-AM536-AM528</f>
        <v/>
      </c>
      <c r="AN537" s="40">
        <f>AN525-AN526-AN527-AN531-AN532-AN533-AN534-AN535-AN536-AN528</f>
        <v/>
      </c>
      <c r="AO537" s="40">
        <f>AO525-AO526-AO527-AO531-AO532-AO533-AO534-AO535-AO536-AO528</f>
        <v/>
      </c>
      <c r="AP537" s="40">
        <f>AP525-AP526-AP527-AP531-AP532-AP533-AP534-AP535-AP536-AP528</f>
        <v/>
      </c>
      <c r="AQ537" s="40">
        <f>AQ525-AQ526-AQ527-AQ531-AQ532-AQ533-AQ534-AQ535-AQ536-AQ528</f>
        <v/>
      </c>
      <c r="AR537" s="40">
        <f>AR525-AR526-AR527-AR531-AR532-AR533-AR534-AR535-AR536-AR528</f>
        <v/>
      </c>
      <c r="AS537" s="40">
        <f>AS525-AS526-AS527-AS531-AS532-AS533-AS534-AS535-AS536-AS528</f>
        <v/>
      </c>
      <c r="AT537" s="40">
        <f>AT525-AT526-AT527-AT531-AT532-AT533-AT534-AT535-AT536-AT528</f>
        <v/>
      </c>
      <c r="AU537" s="40">
        <f>AU525-AU526-AU527-AU531-AU532-AU533-AU534-AU535-AU536-AU528</f>
        <v/>
      </c>
      <c r="AV537" s="40">
        <f>AV525-AV526-AV527-AV531-AV532-AV533-AV534-AV535-AV536-AV528</f>
        <v/>
      </c>
      <c r="AW537" s="40">
        <f>AW525-AW526-AW527-AW531-AW532-AW533-AW534-AW535-AW536-AW528</f>
        <v/>
      </c>
      <c r="AX537" s="40">
        <f>AX525-AX526-AX527-AX531-AX532-AX533-AX534-AX535-AX536-AX528</f>
        <v/>
      </c>
      <c r="AY537" s="40">
        <f>AY525-AY526-AY527-AY531-AY532-AY533-AY534-AY535-AY536-AY528</f>
        <v/>
      </c>
      <c r="AZ537" s="40">
        <f>AZ525-AZ526-AZ527-AZ531-AZ532-AZ533-AZ534-AZ535-AZ536-AZ528</f>
        <v/>
      </c>
      <c r="BA537" s="40">
        <f>BA525-BA526-BA527-BA531-BA532-BA533-BA534-BA535-BA536-BA528</f>
        <v/>
      </c>
      <c r="BB537" s="40">
        <f>BB525-BB526-BB527-BB531-BB532-BB533-BB534-BB535-BB536-BB528</f>
        <v/>
      </c>
      <c r="BC537" s="40">
        <f>BC525-BC526-BC527-BC531-BC532-BC533-BC534-BC535-BC536-BC528</f>
        <v/>
      </c>
      <c r="BD537" s="40">
        <f>BD525-BD526-BD527-BD531-BD532-BD533-BD534-BD535-BD536-BD528</f>
        <v/>
      </c>
    </row>
    <row r="539">
      <c r="A539" s="36" t="inlineStr">
        <is>
          <t>Week</t>
        </is>
      </c>
      <c r="B539" s="37" t="inlineStr">
        <is>
          <t>$</t>
        </is>
      </c>
      <c r="E539" s="38" t="n">
        <v>1</v>
      </c>
      <c r="F539" s="38" t="n">
        <v>2</v>
      </c>
      <c r="G539" s="38" t="n">
        <v>3</v>
      </c>
      <c r="H539" s="38" t="n">
        <v>4</v>
      </c>
      <c r="I539" s="38" t="n">
        <v>5</v>
      </c>
      <c r="J539" s="38" t="n">
        <v>6</v>
      </c>
      <c r="K539" s="38" t="n">
        <v>7</v>
      </c>
      <c r="L539" s="38" t="n">
        <v>8</v>
      </c>
      <c r="M539" s="38" t="n">
        <v>9</v>
      </c>
      <c r="N539" s="38" t="n">
        <v>10</v>
      </c>
      <c r="O539" s="38" t="n">
        <v>11</v>
      </c>
      <c r="P539" s="38" t="n">
        <v>12</v>
      </c>
      <c r="Q539" s="38" t="n">
        <v>13</v>
      </c>
      <c r="R539" s="38" t="n">
        <v>14</v>
      </c>
      <c r="S539" s="38" t="n">
        <v>15</v>
      </c>
      <c r="T539" s="38" t="n">
        <v>16</v>
      </c>
      <c r="U539" s="38" t="n">
        <v>17</v>
      </c>
      <c r="V539" s="38" t="n">
        <v>18</v>
      </c>
      <c r="W539" s="38" t="n">
        <v>19</v>
      </c>
      <c r="X539" s="38" t="n">
        <v>20</v>
      </c>
      <c r="Y539" s="38" t="n">
        <v>21</v>
      </c>
      <c r="Z539" s="38" t="n">
        <v>22</v>
      </c>
      <c r="AA539" s="38" t="n">
        <v>23</v>
      </c>
      <c r="AB539" s="38" t="n">
        <v>24</v>
      </c>
      <c r="AC539" s="38" t="n">
        <v>25</v>
      </c>
      <c r="AD539" s="38" t="n">
        <v>26</v>
      </c>
      <c r="AE539" s="38" t="n">
        <v>27</v>
      </c>
      <c r="AF539" s="38" t="n">
        <v>28</v>
      </c>
      <c r="AG539" s="38" t="n">
        <v>29</v>
      </c>
      <c r="AH539" s="38" t="n">
        <v>30</v>
      </c>
      <c r="AI539" s="38" t="n">
        <v>31</v>
      </c>
      <c r="AJ539" s="38" t="n">
        <v>32</v>
      </c>
      <c r="AK539" s="38" t="n">
        <v>33</v>
      </c>
      <c r="AL539" s="38" t="n">
        <v>34</v>
      </c>
      <c r="AM539" s="38" t="n">
        <v>35</v>
      </c>
      <c r="AN539" s="38" t="n">
        <v>36</v>
      </c>
      <c r="AO539" s="38" t="n">
        <v>37</v>
      </c>
      <c r="AP539" s="38" t="n">
        <v>38</v>
      </c>
      <c r="AQ539" s="38" t="n">
        <v>39</v>
      </c>
      <c r="AR539" s="38" t="n">
        <v>40</v>
      </c>
      <c r="AS539" s="38" t="n">
        <v>41</v>
      </c>
      <c r="AT539" s="38" t="n">
        <v>42</v>
      </c>
      <c r="AU539" s="38" t="n">
        <v>43</v>
      </c>
      <c r="AV539" s="38" t="n">
        <v>44</v>
      </c>
      <c r="AW539" s="38" t="n">
        <v>45</v>
      </c>
      <c r="AX539" s="38" t="n">
        <v>46</v>
      </c>
      <c r="AY539" s="38" t="n">
        <v>47</v>
      </c>
      <c r="AZ539" s="38" t="n">
        <v>48</v>
      </c>
      <c r="BA539" s="38" t="n">
        <v>49</v>
      </c>
      <c r="BB539" s="38" t="n">
        <v>50</v>
      </c>
      <c r="BC539" s="38" t="n">
        <v>51</v>
      </c>
      <c r="BD539" s="38" t="n">
        <v>52</v>
      </c>
    </row>
    <row r="540">
      <c r="A540" s="4" t="inlineStr">
        <is>
          <t>CASH IN THE BANK</t>
        </is>
      </c>
      <c r="B540" s="2" t="inlineStr">
        <is>
          <t>$</t>
        </is>
      </c>
      <c r="E540" s="39">
        <f>$B$518+E537</f>
        <v/>
      </c>
      <c r="F540" s="39">
        <f>E540+F537</f>
        <v/>
      </c>
      <c r="G540" s="39">
        <f>F540+G537</f>
        <v/>
      </c>
      <c r="H540" s="39">
        <f>G540+H537</f>
        <v/>
      </c>
      <c r="I540" s="39">
        <f>H540+I537</f>
        <v/>
      </c>
      <c r="J540" s="39">
        <f>I540+J537</f>
        <v/>
      </c>
      <c r="K540" s="39">
        <f>J540+K537</f>
        <v/>
      </c>
      <c r="L540" s="39">
        <f>K540+L537</f>
        <v/>
      </c>
      <c r="M540" s="39">
        <f>L540+M537</f>
        <v/>
      </c>
      <c r="N540" s="39">
        <f>M540+N537</f>
        <v/>
      </c>
      <c r="O540" s="39">
        <f>N540+O537</f>
        <v/>
      </c>
      <c r="P540" s="39">
        <f>O540+P537</f>
        <v/>
      </c>
      <c r="Q540" s="39">
        <f>P540+Q537</f>
        <v/>
      </c>
      <c r="R540" s="39">
        <f>Q540+R537</f>
        <v/>
      </c>
      <c r="S540" s="39">
        <f>R540+S537</f>
        <v/>
      </c>
      <c r="T540" s="39">
        <f>S540+T537</f>
        <v/>
      </c>
      <c r="U540" s="39">
        <f>T540+U537</f>
        <v/>
      </c>
      <c r="V540" s="39">
        <f>U540+V537</f>
        <v/>
      </c>
      <c r="W540" s="39">
        <f>V540+W537</f>
        <v/>
      </c>
      <c r="X540" s="39">
        <f>W540+X537</f>
        <v/>
      </c>
      <c r="Y540" s="39">
        <f>X540+Y537</f>
        <v/>
      </c>
      <c r="Z540" s="39">
        <f>Y540+Z537</f>
        <v/>
      </c>
      <c r="AA540" s="39">
        <f>Z540+AA537</f>
        <v/>
      </c>
      <c r="AB540" s="39">
        <f>AA540+AB537</f>
        <v/>
      </c>
      <c r="AC540" s="39">
        <f>AB540+AC537</f>
        <v/>
      </c>
      <c r="AD540" s="39">
        <f>AC540+AD537</f>
        <v/>
      </c>
      <c r="AE540" s="39">
        <f>AD540+AE537</f>
        <v/>
      </c>
      <c r="AF540" s="39">
        <f>AE540+AF537</f>
        <v/>
      </c>
      <c r="AG540" s="39">
        <f>AF540+AG537</f>
        <v/>
      </c>
      <c r="AH540" s="39">
        <f>AG540+AH537</f>
        <v/>
      </c>
      <c r="AI540" s="39">
        <f>AH540+AI537</f>
        <v/>
      </c>
      <c r="AJ540" s="39">
        <f>AI540+AJ537</f>
        <v/>
      </c>
      <c r="AK540" s="39">
        <f>AJ540+AK537</f>
        <v/>
      </c>
      <c r="AL540" s="39">
        <f>AK540+AL537</f>
        <v/>
      </c>
      <c r="AM540" s="39">
        <f>AL540+AM537</f>
        <v/>
      </c>
      <c r="AN540" s="39">
        <f>AM540+AN537</f>
        <v/>
      </c>
      <c r="AO540" s="39">
        <f>AN540+AO537</f>
        <v/>
      </c>
      <c r="AP540" s="39">
        <f>AO540+AP537</f>
        <v/>
      </c>
      <c r="AQ540" s="39">
        <f>AP540+AQ537</f>
        <v/>
      </c>
      <c r="AR540" s="39">
        <f>AQ540+AR537</f>
        <v/>
      </c>
      <c r="AS540" s="39">
        <f>AR540+AS537</f>
        <v/>
      </c>
      <c r="AT540" s="39">
        <f>AS540+AT537</f>
        <v/>
      </c>
      <c r="AU540" s="39">
        <f>AT540+AU537</f>
        <v/>
      </c>
      <c r="AV540" s="39">
        <f>AU540+AV537</f>
        <v/>
      </c>
      <c r="AW540" s="39">
        <f>AV540+AW537</f>
        <v/>
      </c>
      <c r="AX540" s="39">
        <f>AW540+AX537</f>
        <v/>
      </c>
      <c r="AY540" s="39">
        <f>AX540+AY537</f>
        <v/>
      </c>
      <c r="AZ540" s="39">
        <f>AY540+AZ537</f>
        <v/>
      </c>
      <c r="BA540" s="39">
        <f>AZ540+BA537</f>
        <v/>
      </c>
      <c r="BB540" s="39">
        <f>BA540+BB537</f>
        <v/>
      </c>
      <c r="BC540" s="39">
        <f>BB540+BC537</f>
        <v/>
      </c>
      <c r="BD540" s="39">
        <f>BC540+BD537</f>
        <v/>
      </c>
    </row>
    <row r="541">
      <c r="E541" s="52" t="inlineStr">
        <is>
          <t>&gt;=</t>
        </is>
      </c>
      <c r="F541" s="52" t="inlineStr">
        <is>
          <t>&gt;=</t>
        </is>
      </c>
      <c r="G541" s="52" t="inlineStr">
        <is>
          <t>&gt;=</t>
        </is>
      </c>
      <c r="H541" s="52" t="inlineStr">
        <is>
          <t>&gt;=</t>
        </is>
      </c>
      <c r="I541" s="52" t="inlineStr">
        <is>
          <t>&gt;=</t>
        </is>
      </c>
      <c r="J541" s="52" t="inlineStr">
        <is>
          <t>&gt;=</t>
        </is>
      </c>
      <c r="K541" s="52" t="inlineStr">
        <is>
          <t>&gt;=</t>
        </is>
      </c>
      <c r="L541" s="52" t="inlineStr">
        <is>
          <t>&gt;=</t>
        </is>
      </c>
      <c r="M541" s="52" t="inlineStr">
        <is>
          <t>&gt;=</t>
        </is>
      </c>
      <c r="N541" s="52" t="inlineStr">
        <is>
          <t>&gt;=</t>
        </is>
      </c>
      <c r="O541" s="52" t="inlineStr">
        <is>
          <t>&gt;=</t>
        </is>
      </c>
      <c r="P541" s="52" t="inlineStr">
        <is>
          <t>&gt;=</t>
        </is>
      </c>
      <c r="Q541" s="52" t="inlineStr">
        <is>
          <t>&gt;=</t>
        </is>
      </c>
      <c r="R541" s="52" t="inlineStr">
        <is>
          <t>&gt;=</t>
        </is>
      </c>
      <c r="S541" s="52" t="inlineStr">
        <is>
          <t>&gt;=</t>
        </is>
      </c>
      <c r="T541" s="52" t="inlineStr">
        <is>
          <t>&gt;=</t>
        </is>
      </c>
      <c r="U541" s="52" t="inlineStr">
        <is>
          <t>&gt;=</t>
        </is>
      </c>
      <c r="V541" s="52" t="inlineStr">
        <is>
          <t>&gt;=</t>
        </is>
      </c>
      <c r="W541" s="52" t="inlineStr">
        <is>
          <t>&gt;=</t>
        </is>
      </c>
      <c r="X541" s="52" t="inlineStr">
        <is>
          <t>&gt;=</t>
        </is>
      </c>
      <c r="Y541" s="52" t="inlineStr">
        <is>
          <t>&gt;=</t>
        </is>
      </c>
      <c r="Z541" s="52" t="inlineStr">
        <is>
          <t>&gt;=</t>
        </is>
      </c>
      <c r="AA541" s="52" t="inlineStr">
        <is>
          <t>&gt;=</t>
        </is>
      </c>
      <c r="AB541" s="52" t="inlineStr">
        <is>
          <t>&gt;=</t>
        </is>
      </c>
      <c r="AC541" s="52" t="inlineStr">
        <is>
          <t>&gt;=</t>
        </is>
      </c>
      <c r="AD541" s="52" t="inlineStr">
        <is>
          <t>&gt;=</t>
        </is>
      </c>
      <c r="AE541" s="52" t="inlineStr">
        <is>
          <t>&gt;=</t>
        </is>
      </c>
      <c r="AF541" s="52" t="inlineStr">
        <is>
          <t>&gt;=</t>
        </is>
      </c>
      <c r="AG541" s="52" t="inlineStr">
        <is>
          <t>&gt;=</t>
        </is>
      </c>
      <c r="AH541" s="52" t="inlineStr">
        <is>
          <t>&gt;=</t>
        </is>
      </c>
      <c r="AI541" s="52" t="inlineStr">
        <is>
          <t>&gt;=</t>
        </is>
      </c>
      <c r="AJ541" s="52" t="inlineStr">
        <is>
          <t>&gt;=</t>
        </is>
      </c>
      <c r="AK541" s="52" t="inlineStr">
        <is>
          <t>&gt;=</t>
        </is>
      </c>
      <c r="AL541" s="52" t="inlineStr">
        <is>
          <t>&gt;=</t>
        </is>
      </c>
      <c r="AM541" s="52" t="inlineStr">
        <is>
          <t>&gt;=</t>
        </is>
      </c>
      <c r="AN541" s="52" t="inlineStr">
        <is>
          <t>&gt;=</t>
        </is>
      </c>
      <c r="AO541" s="52" t="inlineStr">
        <is>
          <t>&gt;=</t>
        </is>
      </c>
      <c r="AP541" s="52" t="inlineStr">
        <is>
          <t>&gt;=</t>
        </is>
      </c>
      <c r="AQ541" s="52" t="inlineStr">
        <is>
          <t>&gt;=</t>
        </is>
      </c>
      <c r="AR541" s="52" t="inlineStr">
        <is>
          <t>&gt;=</t>
        </is>
      </c>
      <c r="AS541" s="52" t="inlineStr">
        <is>
          <t>&gt;=</t>
        </is>
      </c>
      <c r="AT541" s="52" t="inlineStr">
        <is>
          <t>&gt;=</t>
        </is>
      </c>
      <c r="AU541" s="52" t="inlineStr">
        <is>
          <t>&gt;=</t>
        </is>
      </c>
      <c r="AV541" s="52" t="inlineStr">
        <is>
          <t>&gt;=</t>
        </is>
      </c>
      <c r="AW541" s="52" t="inlineStr">
        <is>
          <t>&gt;=</t>
        </is>
      </c>
      <c r="AX541" s="52" t="inlineStr">
        <is>
          <t>&gt;=</t>
        </is>
      </c>
      <c r="AY541" s="52" t="inlineStr">
        <is>
          <t>&gt;=</t>
        </is>
      </c>
      <c r="AZ541" s="52" t="inlineStr">
        <is>
          <t>&gt;=</t>
        </is>
      </c>
      <c r="BA541" s="52" t="inlineStr">
        <is>
          <t>&gt;=</t>
        </is>
      </c>
      <c r="BB541" s="52" t="inlineStr">
        <is>
          <t>&gt;=</t>
        </is>
      </c>
      <c r="BC541" s="52" t="inlineStr">
        <is>
          <t>&gt;=</t>
        </is>
      </c>
      <c r="BD541" s="52" t="inlineStr">
        <is>
          <t>&gt;=</t>
        </is>
      </c>
    </row>
    <row r="542">
      <c r="A542" s="41" t="inlineStr">
        <is>
          <t xml:space="preserve">  floor</t>
        </is>
      </c>
      <c r="B542" s="2" t="inlineStr">
        <is>
          <t>$</t>
        </is>
      </c>
      <c r="E542" s="40">
        <f>-$B$519</f>
        <v/>
      </c>
      <c r="F542" s="40">
        <f>-$B$519</f>
        <v/>
      </c>
      <c r="G542" s="40">
        <f>-$B$519</f>
        <v/>
      </c>
      <c r="H542" s="40">
        <f>-$B$519</f>
        <v/>
      </c>
      <c r="I542" s="40">
        <f>-$B$519</f>
        <v/>
      </c>
      <c r="J542" s="40">
        <f>-$B$519</f>
        <v/>
      </c>
      <c r="K542" s="40">
        <f>-$B$519</f>
        <v/>
      </c>
      <c r="L542" s="40">
        <f>-$B$519</f>
        <v/>
      </c>
      <c r="M542" s="40">
        <f>-$B$519</f>
        <v/>
      </c>
      <c r="N542" s="40">
        <f>-$B$519</f>
        <v/>
      </c>
      <c r="O542" s="40">
        <f>-$B$519</f>
        <v/>
      </c>
      <c r="P542" s="40">
        <f>-$B$519</f>
        <v/>
      </c>
      <c r="Q542" s="40">
        <f>-$B$519</f>
        <v/>
      </c>
      <c r="R542" s="40">
        <f>-$B$519</f>
        <v/>
      </c>
      <c r="S542" s="40">
        <f>-$B$519</f>
        <v/>
      </c>
      <c r="T542" s="40">
        <f>-$B$519</f>
        <v/>
      </c>
      <c r="U542" s="40">
        <f>-$B$519</f>
        <v/>
      </c>
      <c r="V542" s="40">
        <f>-$B$519</f>
        <v/>
      </c>
      <c r="W542" s="40">
        <f>-$B$519</f>
        <v/>
      </c>
      <c r="X542" s="40">
        <f>-$B$519</f>
        <v/>
      </c>
      <c r="Y542" s="40">
        <f>-$B$519</f>
        <v/>
      </c>
      <c r="Z542" s="40">
        <f>-$B$519</f>
        <v/>
      </c>
      <c r="AA542" s="40">
        <f>-$B$519</f>
        <v/>
      </c>
      <c r="AB542" s="40">
        <f>-$B$519</f>
        <v/>
      </c>
      <c r="AC542" s="40">
        <f>-$B$519</f>
        <v/>
      </c>
      <c r="AD542" s="40">
        <f>-$B$519</f>
        <v/>
      </c>
      <c r="AE542" s="40">
        <f>-$B$519</f>
        <v/>
      </c>
      <c r="AF542" s="40">
        <f>-$B$519</f>
        <v/>
      </c>
      <c r="AG542" s="40">
        <f>-$B$519</f>
        <v/>
      </c>
      <c r="AH542" s="40">
        <f>-$B$519</f>
        <v/>
      </c>
      <c r="AI542" s="40">
        <f>-$B$519</f>
        <v/>
      </c>
      <c r="AJ542" s="40">
        <f>-$B$519</f>
        <v/>
      </c>
      <c r="AK542" s="40">
        <f>-$B$519</f>
        <v/>
      </c>
      <c r="AL542" s="40">
        <f>-$B$519</f>
        <v/>
      </c>
      <c r="AM542" s="40">
        <f>-$B$519</f>
        <v/>
      </c>
      <c r="AN542" s="40">
        <f>-$B$519</f>
        <v/>
      </c>
      <c r="AO542" s="40">
        <f>-$B$519</f>
        <v/>
      </c>
      <c r="AP542" s="40">
        <f>-$B$519</f>
        <v/>
      </c>
      <c r="AQ542" s="40">
        <f>-$B$519</f>
        <v/>
      </c>
      <c r="AR542" s="40">
        <f>-$B$519</f>
        <v/>
      </c>
      <c r="AS542" s="40">
        <f>-$B$519</f>
        <v/>
      </c>
      <c r="AT542" s="40">
        <f>-$B$519</f>
        <v/>
      </c>
      <c r="AU542" s="40">
        <f>-$B$519</f>
        <v/>
      </c>
      <c r="AV542" s="40">
        <f>-$B$519</f>
        <v/>
      </c>
      <c r="AW542" s="40">
        <f>-$B$519</f>
        <v/>
      </c>
      <c r="AX542" s="40">
        <f>-$B$519</f>
        <v/>
      </c>
      <c r="AY542" s="40">
        <f>-$B$519</f>
        <v/>
      </c>
      <c r="AZ542" s="40">
        <f>-$B$519</f>
        <v/>
      </c>
      <c r="BA542" s="40">
        <f>-$B$519</f>
        <v/>
      </c>
      <c r="BB542" s="40">
        <f>-$B$519</f>
        <v/>
      </c>
      <c r="BC542" s="40">
        <f>-$B$519</f>
        <v/>
      </c>
      <c r="BD542" s="40">
        <f>-$B$519</f>
        <v/>
      </c>
    </row>
    <row r="543">
      <c r="A543" s="33" t="inlineStr">
        <is>
          <t xml:space="preserve">  headroom</t>
        </is>
      </c>
      <c r="E543" s="40">
        <f>E540-E542</f>
        <v/>
      </c>
      <c r="F543" s="40">
        <f>F540-F542</f>
        <v/>
      </c>
      <c r="G543" s="40">
        <f>G540-G542</f>
        <v/>
      </c>
      <c r="H543" s="40">
        <f>H540-H542</f>
        <v/>
      </c>
      <c r="I543" s="40">
        <f>I540-I542</f>
        <v/>
      </c>
      <c r="J543" s="40">
        <f>J540-J542</f>
        <v/>
      </c>
      <c r="K543" s="40">
        <f>K540-K542</f>
        <v/>
      </c>
      <c r="L543" s="40">
        <f>L540-L542</f>
        <v/>
      </c>
      <c r="M543" s="40">
        <f>M540-M542</f>
        <v/>
      </c>
      <c r="N543" s="40">
        <f>N540-N542</f>
        <v/>
      </c>
      <c r="O543" s="40">
        <f>O540-O542</f>
        <v/>
      </c>
      <c r="P543" s="40">
        <f>P540-P542</f>
        <v/>
      </c>
      <c r="Q543" s="40">
        <f>Q540-Q542</f>
        <v/>
      </c>
      <c r="R543" s="40">
        <f>R540-R542</f>
        <v/>
      </c>
      <c r="S543" s="40">
        <f>S540-S542</f>
        <v/>
      </c>
      <c r="T543" s="40">
        <f>T540-T542</f>
        <v/>
      </c>
      <c r="U543" s="40">
        <f>U540-U542</f>
        <v/>
      </c>
      <c r="V543" s="40">
        <f>V540-V542</f>
        <v/>
      </c>
      <c r="W543" s="40">
        <f>W540-W542</f>
        <v/>
      </c>
      <c r="X543" s="40">
        <f>X540-X542</f>
        <v/>
      </c>
      <c r="Y543" s="40">
        <f>Y540-Y542</f>
        <v/>
      </c>
      <c r="Z543" s="40">
        <f>Z540-Z542</f>
        <v/>
      </c>
      <c r="AA543" s="40">
        <f>AA540-AA542</f>
        <v/>
      </c>
      <c r="AB543" s="40">
        <f>AB540-AB542</f>
        <v/>
      </c>
      <c r="AC543" s="40">
        <f>AC540-AC542</f>
        <v/>
      </c>
      <c r="AD543" s="40">
        <f>AD540-AD542</f>
        <v/>
      </c>
      <c r="AE543" s="40">
        <f>AE540-AE542</f>
        <v/>
      </c>
      <c r="AF543" s="40">
        <f>AF540-AF542</f>
        <v/>
      </c>
      <c r="AG543" s="40">
        <f>AG540-AG542</f>
        <v/>
      </c>
      <c r="AH543" s="40">
        <f>AH540-AH542</f>
        <v/>
      </c>
      <c r="AI543" s="40">
        <f>AI540-AI542</f>
        <v/>
      </c>
      <c r="AJ543" s="40">
        <f>AJ540-AJ542</f>
        <v/>
      </c>
      <c r="AK543" s="40">
        <f>AK540-AK542</f>
        <v/>
      </c>
      <c r="AL543" s="40">
        <f>AL540-AL542</f>
        <v/>
      </c>
      <c r="AM543" s="40">
        <f>AM540-AM542</f>
        <v/>
      </c>
      <c r="AN543" s="40">
        <f>AN540-AN542</f>
        <v/>
      </c>
      <c r="AO543" s="40">
        <f>AO540-AO542</f>
        <v/>
      </c>
      <c r="AP543" s="40">
        <f>AP540-AP542</f>
        <v/>
      </c>
      <c r="AQ543" s="40">
        <f>AQ540-AQ542</f>
        <v/>
      </c>
      <c r="AR543" s="40">
        <f>AR540-AR542</f>
        <v/>
      </c>
      <c r="AS543" s="40">
        <f>AS540-AS542</f>
        <v/>
      </c>
      <c r="AT543" s="40">
        <f>AT540-AT542</f>
        <v/>
      </c>
      <c r="AU543" s="40">
        <f>AU540-AU542</f>
        <v/>
      </c>
      <c r="AV543" s="40">
        <f>AV540-AV542</f>
        <v/>
      </c>
      <c r="AW543" s="40">
        <f>AW540-AW542</f>
        <v/>
      </c>
      <c r="AX543" s="40">
        <f>AX540-AX542</f>
        <v/>
      </c>
      <c r="AY543" s="40">
        <f>AY540-AY542</f>
        <v/>
      </c>
      <c r="AZ543" s="40">
        <f>AZ540-AZ542</f>
        <v/>
      </c>
      <c r="BA543" s="40">
        <f>BA540-BA542</f>
        <v/>
      </c>
      <c r="BB543" s="40">
        <f>BB540-BB542</f>
        <v/>
      </c>
      <c r="BC543" s="40">
        <f>BC540-BC542</f>
        <v/>
      </c>
      <c r="BD543" s="40">
        <f>BD540-BD542</f>
        <v/>
      </c>
    </row>
    <row r="544">
      <c r="A544" s="2" t="inlineStr">
        <is>
          <t xml:space="preserve">   This is the app's C13. Cash may go NEGATIVE — that is the credit line being drawn — but never below the floor, which is the line fully drawn.</t>
        </is>
      </c>
    </row>
    <row r="545">
      <c r="A545" s="2" t="inlineStr">
        <is>
          <t xml:space="preserve">   The app states the same rule the other way round: it constrains cumulative NET FLOW (which excludes</t>
        </is>
      </c>
    </row>
    <row r="546">
      <c r="A546" s="2" t="inlineStr">
        <is>
          <t xml:space="preserve">   opening cash) against -(opening + credit). Both are the same constraint; mixing them double-counts the opening balance.</t>
        </is>
      </c>
    </row>
    <row r="547">
      <c r="A547" s="2" t="inlineStr">
        <is>
          <t xml:space="preserve">   ⚠️ It barely binds here, because the biggest weekly outgoing a real farm has is PAYROLL, and labour is v7. Do not read this curve as realistic yet.</t>
        </is>
      </c>
    </row>
    <row r="549">
      <c r="A549" s="3" t="inlineStr">
        <is>
          <t>8 — THE OPTIMIZER</t>
        </is>
      </c>
    </row>
    <row r="550">
      <c r="A550" s="4" t="inlineStr">
        <is>
          <t>Revenue</t>
        </is>
      </c>
      <c r="B550" s="61">
        <f>SUM(E334:BD334)*$I$36+SUM(E340:BD340)*$I$37+SUM(E361:BD361)*$I$38+SUM(E369:BD369)*$I$39+SUM(E390:BD390)*$I$40+SUM(E396:BD396)*$I$41+SUM(E417:BD417)*$I$42+SUM(E423:BD423)*$I$43+SUM(E444:BD444)*$I$44+SUM(E450:BD450)*$I$45</f>
        <v/>
      </c>
    </row>
    <row r="551">
      <c r="A551" s="4" t="inlineStr">
        <is>
          <t>Growing cost</t>
        </is>
      </c>
      <c r="B551" s="61">
        <f>SUM(E527:BD527)</f>
        <v/>
      </c>
      <c r="C551" s="2" t="inlineStr">
        <is>
          <t>seed at planting + fertiliser and fuel every week in the ground</t>
        </is>
      </c>
    </row>
    <row r="552">
      <c r="A552" s="4" t="inlineStr">
        <is>
          <t>Packaging</t>
        </is>
      </c>
      <c r="B552" s="61">
        <f>SUM(E526:BD526)</f>
        <v/>
      </c>
    </row>
    <row r="553">
      <c r="A553" s="4" t="inlineStr">
        <is>
          <t>Fixed cost</t>
        </is>
      </c>
      <c r="B553" s="61">
        <f>SUM(E531:BD531)</f>
        <v/>
      </c>
      <c r="C553" s="2" t="inlineStr">
        <is>
          <t>owed all 52 weeks whatever you plant</t>
        </is>
      </c>
    </row>
    <row r="554">
      <c r="A554" s="4" t="inlineStr">
        <is>
          <t>Overhead</t>
        </is>
      </c>
      <c r="B554" s="61">
        <f>SUM(E532:BD532)</f>
        <v/>
      </c>
    </row>
    <row r="555">
      <c r="A555" s="4" t="inlineStr">
        <is>
          <t>Wages</t>
        </is>
      </c>
      <c r="B555" s="61">
        <f>SUM(E533:BD533)</f>
        <v/>
      </c>
      <c r="C555" s="2" t="inlineStr">
        <is>
          <t>committed — owed whether or not the crops need the hours</t>
        </is>
      </c>
    </row>
    <row r="556">
      <c r="A556" s="4" t="inlineStr">
        <is>
          <t>Overtime</t>
        </is>
      </c>
      <c r="B556" s="61">
        <f>SUM(E534:BD534)</f>
        <v/>
      </c>
      <c r="C556" s="2" t="inlineStr">
        <is>
          <t>at the FULL rate — not the premium above base pay</t>
        </is>
      </c>
    </row>
    <row r="557">
      <c r="A557" s="4" t="inlineStr">
        <is>
          <t>New heads</t>
        </is>
      </c>
      <c r="B557" s="61">
        <f>SUM(E535:BD535)</f>
        <v/>
      </c>
      <c r="C557" s="2" t="inlineStr">
        <is>
          <t>recruitment and onboarding, per person, once</t>
        </is>
      </c>
    </row>
    <row r="558">
      <c r="A558" s="4" t="inlineStr">
        <is>
          <t>Piece rate</t>
        </is>
      </c>
      <c r="B558" s="61">
        <f>SUM(E536:BD536)</f>
        <v/>
      </c>
      <c r="C558" s="2" t="inlineStr">
        <is>
          <t>paid per POUND picked — COGS, not payroll, and nothing owed when there is nothing to pick</t>
        </is>
      </c>
    </row>
    <row r="559">
      <c r="A559" s="4" t="inlineStr">
        <is>
          <t>Perennial</t>
        </is>
      </c>
      <c r="B559" s="61">
        <f>SUM(E528:BD528)</f>
        <v/>
      </c>
      <c r="C559" s="2" t="inlineStr">
        <is>
          <t>Asparagus blocks: this year's cost (upkeep; establishing for a new block) — a mature block's establishment is sunk, and none of it is seed</t>
        </is>
      </c>
    </row>
    <row r="560">
      <c r="A560" s="4" t="inlineStr">
        <is>
          <t>Contract shortfall</t>
        </is>
      </c>
      <c r="B560" s="61">
        <f>SUM(E529:BD529)</f>
        <v/>
      </c>
      <c r="C560" s="2" t="inlineStr">
        <is>
          <t>the penalty on every lb a contract went short — see 5d</t>
        </is>
      </c>
    </row>
    <row r="561">
      <c r="A561" s="4" t="inlineStr">
        <is>
          <t>Peak borrowing</t>
        </is>
      </c>
      <c r="B561" s="61">
        <f>MAX(0,-MIN(E540:BD540))</f>
        <v/>
      </c>
      <c r="C561" s="2" t="inlineStr">
        <is>
          <t>the deepest the credit line is ever drawn</t>
        </is>
      </c>
    </row>
    <row r="562">
      <c r="A562" s="4" t="inlineStr">
        <is>
          <t>Interest</t>
        </is>
      </c>
      <c r="B562" s="61">
        <f>$B$522*SUMPRODUCT((E540:BD540&lt;0)*-E540:BD540)/52</f>
        <v/>
      </c>
      <c r="C562" s="2" t="inlineStr">
        <is>
          <t>APR x the AVERAGE amount borrowed — the app's own post-solve formula</t>
        </is>
      </c>
    </row>
    <row r="563">
      <c r="A563" s="2" t="inlineStr">
        <is>
          <t xml:space="preserve">   ⚠️ Reported, NOT optimised over. The plan is chosen first and the borrowing it implies is priced afterwards,</t>
        </is>
      </c>
    </row>
    <row r="564">
      <c r="A564" s="2" t="inlineStr">
        <is>
          <t xml:space="preserve">     so the solver has no reason to shift sales earlier to borrow less. That is the app's simplification, inherited on purpose.</t>
        </is>
      </c>
    </row>
    <row r="565">
      <c r="A565" s="62" t="inlineStr">
        <is>
          <t>PROFIT  (the objective)</t>
        </is>
      </c>
      <c r="B565" s="63">
        <f>B550-SUM(B551:B560)-B562</f>
        <v/>
      </c>
      <c r="C565" s="4" t="inlineStr">
        <is>
          <t>&lt;-- MAXIMISE THIS CELL</t>
        </is>
      </c>
    </row>
    <row r="566">
      <c r="A566" s="4" t="inlineStr">
        <is>
          <t>Plantings chosen</t>
        </is>
      </c>
      <c r="B566" s="50">
        <f>SUM($D$92:$D$230)</f>
        <v/>
      </c>
      <c r="C566" s="2" t="inlineStr">
        <is>
          <t>of 139 offered (the committed perennial is not a planting decision)</t>
        </is>
      </c>
    </row>
    <row r="568">
      <c r="A568" s="4" t="inlineStr">
        <is>
          <t>Annual caps</t>
        </is>
      </c>
    </row>
    <row r="569">
      <c r="A569" s="33" t="inlineStr">
        <is>
          <t xml:space="preserve">   Kale / Wholesale — sold all year</t>
        </is>
      </c>
      <c r="B569" s="40">
        <f>SUM(E369:BD369)</f>
        <v/>
      </c>
      <c r="C569" s="52" t="inlineStr">
        <is>
          <t>&lt;=</t>
        </is>
      </c>
      <c r="D569" s="40">
        <f>$D$39</f>
        <v/>
      </c>
    </row>
    <row r="571">
      <c r="A571" s="3" t="inlineStr">
        <is>
          <t>SOLVER SETUP — Tools &gt; Solver</t>
        </is>
      </c>
    </row>
    <row r="572">
      <c r="A572" s="4" t="inlineStr">
        <is>
          <t>Target cell</t>
        </is>
      </c>
      <c r="B572" s="33" t="inlineStr">
        <is>
          <t>$B$565</t>
        </is>
      </c>
      <c r="G572" s="2" t="inlineStr">
        <is>
          <t>set to MAXIMUM</t>
        </is>
      </c>
    </row>
    <row r="573">
      <c r="A573" s="4" t="inlineStr">
        <is>
          <t>By changing cells</t>
        </is>
      </c>
      <c r="B573" s="33" t="inlineStr">
        <is>
          <t>$C$92:$D$230</t>
        </is>
      </c>
      <c r="G573" s="2" t="inlineStr">
        <is>
          <t>acres AND plant? together — NOT rows 231-232, the committed perennial blocks</t>
        </is>
      </c>
    </row>
    <row r="574">
      <c r="A574" s="33" t="inlineStr">
        <is>
          <t xml:space="preserve">  ...and</t>
        </is>
      </c>
      <c r="B574" s="33" t="inlineStr">
        <is>
          <t>$E$333:$BD$333;$E$339:$BD$339;$E$360:$BD$360;$E$368:$BD$368;$E$389:$BD$389;$E$395:$BD$395;$E$416:$BD$416;$E$422:$BD$422;$E$443:$BD$443;$E$449:$BD$449</t>
        </is>
      </c>
      <c r="G574" s="2" t="inlineStr">
        <is>
          <t>the OFFERED rows</t>
        </is>
      </c>
    </row>
    <row r="575">
      <c r="A575" s="33" t="inlineStr">
        <is>
          <t xml:space="preserve">  ...and</t>
        </is>
      </c>
      <c r="B575" s="33" t="inlineStr">
        <is>
          <t>$E$479:$BD$479;$E$487:$BD$487;$E$495:$BD$495</t>
        </is>
      </c>
      <c r="G575" s="2" t="inlineStr">
        <is>
          <t>the contract SHORTFALL rows</t>
        </is>
      </c>
    </row>
    <row r="576">
      <c r="A576" s="33" t="inlineStr">
        <is>
          <t>Constraint — PLANT? is binary</t>
        </is>
      </c>
      <c r="B576" s="33" t="inlineStr">
        <is>
          <t>$D$92:$D$230  =  Binary</t>
        </is>
      </c>
    </row>
    <row r="577">
      <c r="A577" s="33" t="inlineStr">
        <is>
          <t>Constraint — C9 acres &lt;= max</t>
        </is>
      </c>
      <c r="B577" s="33" t="inlineStr">
        <is>
          <t>$C$92:$C$230  &lt;=  $BE$92:$BE$230</t>
        </is>
      </c>
      <c r="G577" s="2" t="inlineStr">
        <is>
          <t>no acres without deciding to plant — and none in a zone the crop may not use</t>
        </is>
      </c>
    </row>
    <row r="578">
      <c r="A578" s="33" t="inlineStr">
        <is>
          <t>Constraint — C10 acres &gt;= min</t>
        </is>
      </c>
      <c r="B578" s="33" t="inlineStr">
        <is>
          <t>$C$92:$C$230  &gt;=  $BF$92:$BF$230</t>
        </is>
      </c>
      <c r="G578" s="2" t="inlineStr">
        <is>
          <t>planted means a real block</t>
        </is>
      </c>
    </row>
    <row r="579">
      <c r="A579" s="33" t="inlineStr">
        <is>
          <t>Constraint — Spinach/Farmers Market sold &lt;= ceiling</t>
        </is>
      </c>
      <c r="B579" s="33" t="inlineStr">
        <is>
          <t>$E$465:$BD$465  &lt;=  $E$332:$BD$332</t>
        </is>
      </c>
      <c r="G579" s="2" t="inlineStr">
        <is>
          <t>every name that sells as it</t>
        </is>
      </c>
    </row>
    <row r="580">
      <c r="A580" s="33" t="inlineStr">
        <is>
          <t>Constraint — Spinach/Wholesale sold &lt;= ceiling</t>
        </is>
      </c>
      <c r="B580" s="33" t="inlineStr">
        <is>
          <t>$E$467:$BD$467  &lt;=  $E$338:$BD$338</t>
        </is>
      </c>
      <c r="G580" s="2" t="inlineStr">
        <is>
          <t>every name that sells as it</t>
        </is>
      </c>
    </row>
    <row r="581">
      <c r="A581" s="33" t="inlineStr">
        <is>
          <t>Constraint — Kale/Farmers Market sold &lt;= ceiling</t>
        </is>
      </c>
      <c r="B581" s="33" t="inlineStr">
        <is>
          <t>$E$361:$BD$361  &lt;=  $E$359:$BD$359</t>
        </is>
      </c>
    </row>
    <row r="582">
      <c r="A582" s="33" t="inlineStr">
        <is>
          <t>Constraint — Kale/Wholesale sold &lt;= ceiling</t>
        </is>
      </c>
      <c r="B582" s="33" t="inlineStr">
        <is>
          <t>$E$369:$BD$369  &lt;=  $E$365:$BD$365</t>
        </is>
      </c>
    </row>
    <row r="583">
      <c r="A583" s="33" t="inlineStr">
        <is>
          <t>Constraint — Garlic/Farmers Market sold &lt;= ceiling</t>
        </is>
      </c>
      <c r="B583" s="33" t="inlineStr">
        <is>
          <t>$E$390:$BD$390  &lt;=  $E$388:$BD$388</t>
        </is>
      </c>
    </row>
    <row r="584">
      <c r="A584" s="33" t="inlineStr">
        <is>
          <t>Constraint — Garlic/Wholesale sold &lt;= ceiling</t>
        </is>
      </c>
      <c r="B584" s="33" t="inlineStr">
        <is>
          <t>$E$396:$BD$396  &lt;=  $E$394:$BD$394</t>
        </is>
      </c>
    </row>
    <row r="585">
      <c r="A585" s="33" t="inlineStr">
        <is>
          <t>Constraint — Asparagus/Farmers Market sold &lt;= ceiling</t>
        </is>
      </c>
      <c r="B585" s="33" t="inlineStr">
        <is>
          <t>$E$444:$BD$444  &lt;=  $E$442:$BD$442</t>
        </is>
      </c>
    </row>
    <row r="586">
      <c r="A586" s="33" t="inlineStr">
        <is>
          <t>Constraint — Asparagus/Wholesale sold &lt;= ceiling</t>
        </is>
      </c>
      <c r="B586" s="33" t="inlineStr">
        <is>
          <t>$E$450:$BD$450  &lt;=  $E$448:$BD$448</t>
        </is>
      </c>
    </row>
    <row r="587">
      <c r="A587" s="33" t="inlineStr">
        <is>
          <t>Constraint — must-plant STANDING (row 253)</t>
        </is>
      </c>
      <c r="B587" s="33" t="inlineStr">
        <is>
          <t>$E$261:$BD$261  &gt;=  $E$262:$BD$262</t>
        </is>
      </c>
      <c r="G587" s="2" t="inlineStr">
        <is>
          <t>unconditional — no PLANT? binary can switch it off</t>
        </is>
      </c>
    </row>
    <row r="588">
      <c r="A588" s="33" t="inlineStr">
        <is>
          <t>Constraint — must-plant ANNUAL</t>
        </is>
      </c>
      <c r="B588" s="33" t="inlineStr">
        <is>
          <t>$B$264  &gt;=  $D$264</t>
        </is>
      </c>
    </row>
    <row r="589">
      <c r="A589" s="33" t="inlineStr">
        <is>
          <t>Constraint — carry-in PINNED</t>
        </is>
      </c>
      <c r="B589" s="33" t="inlineStr">
        <is>
          <t>$B$265  =  $D$265</t>
        </is>
      </c>
      <c r="G589" s="2" t="inlineStr">
        <is>
          <t>equal, not at least — it also holds this fall's replant</t>
        </is>
      </c>
    </row>
    <row r="590">
      <c r="A590" s="33" t="inlineStr">
        <is>
          <t>Constraint — contract (row 472)</t>
        </is>
      </c>
      <c r="B590" s="33" t="inlineStr">
        <is>
          <t>$E$480:$BD$480  &gt;=  $E$481:$BD$481</t>
        </is>
      </c>
      <c r="G590" s="2" t="inlineStr">
        <is>
          <t>delivered + short &gt;= owed</t>
        </is>
      </c>
    </row>
    <row r="591">
      <c r="A591" s="33" t="inlineStr">
        <is>
          <t>Constraint — shortfall &lt;= may be short (row 472)</t>
        </is>
      </c>
      <c r="B591" s="33" t="inlineStr">
        <is>
          <t>$E$479:$BD$479  &lt;=  $E$482:$BD$482</t>
        </is>
      </c>
      <c r="G591" s="2" t="inlineStr">
        <is>
          <t>0 on a 'deliver' contract</t>
        </is>
      </c>
    </row>
    <row r="592">
      <c r="A592" s="33" t="inlineStr">
        <is>
          <t>Constraint — contract (row 473)</t>
        </is>
      </c>
      <c r="B592" s="33" t="inlineStr">
        <is>
          <t>$E$488:$BD$488  &gt;=  $E$489:$BD$489</t>
        </is>
      </c>
      <c r="G592" s="2" t="inlineStr">
        <is>
          <t>delivered + short &gt;= owed</t>
        </is>
      </c>
    </row>
    <row r="593">
      <c r="A593" s="33" t="inlineStr">
        <is>
          <t>Constraint — shortfall &lt;= may be short (row 473)</t>
        </is>
      </c>
      <c r="B593" s="33" t="inlineStr">
        <is>
          <t>$E$487:$BD$487  &lt;=  $E$490:$BD$490</t>
        </is>
      </c>
      <c r="G593" s="2" t="inlineStr">
        <is>
          <t>0 on a 'deliver' contract</t>
        </is>
      </c>
    </row>
    <row r="594">
      <c r="A594" s="33" t="inlineStr">
        <is>
          <t>Constraint — contract (row 474)</t>
        </is>
      </c>
      <c r="B594" s="33" t="inlineStr">
        <is>
          <t>$E$496:$BD$496  &gt;=  $E$497:$BD$497</t>
        </is>
      </c>
      <c r="G594" s="2" t="inlineStr">
        <is>
          <t>delivered + short &gt;= owed</t>
        </is>
      </c>
    </row>
    <row r="595">
      <c r="A595" s="33" t="inlineStr">
        <is>
          <t>Constraint — shortfall &lt;= may be short (row 474)</t>
        </is>
      </c>
      <c r="B595" s="33" t="inlineStr">
        <is>
          <t>$E$495:$BD$495  &lt;=  $E$498:$BD$498</t>
        </is>
      </c>
      <c r="G595" s="2" t="inlineStr">
        <is>
          <t>0 on a 'deliver' contract</t>
        </is>
      </c>
    </row>
    <row r="596">
      <c r="A596" s="33" t="inlineStr">
        <is>
          <t>Constraint — Spinach stock never negative</t>
        </is>
      </c>
      <c r="B596" s="33" t="inlineStr">
        <is>
          <t>$E$344:$BD$344  &gt;=  0</t>
        </is>
      </c>
    </row>
    <row r="597">
      <c r="A597" s="33" t="inlineStr">
        <is>
          <t>Constraint — Kale stock never negative</t>
        </is>
      </c>
      <c r="B597" s="33" t="inlineStr">
        <is>
          <t>$E$373:$BD$373  &gt;=  0</t>
        </is>
      </c>
    </row>
    <row r="598">
      <c r="A598" s="33" t="inlineStr">
        <is>
          <t>Constraint — Garlic stock never negative</t>
        </is>
      </c>
      <c r="B598" s="33" t="inlineStr">
        <is>
          <t>$E$400:$BD$400  &gt;=  0</t>
        </is>
      </c>
    </row>
    <row r="599">
      <c r="A599" s="33" t="inlineStr">
        <is>
          <t>Constraint — Tunnel Spinach stock never negative</t>
        </is>
      </c>
      <c r="B599" s="33" t="inlineStr">
        <is>
          <t>$E$427:$BD$427  &gt;=  0</t>
        </is>
      </c>
    </row>
    <row r="600">
      <c r="A600" s="33" t="inlineStr">
        <is>
          <t>Constraint — Asparagus stock never negative</t>
        </is>
      </c>
      <c r="B600" s="33" t="inlineStr">
        <is>
          <t>$E$454:$BD$454  &gt;=  0</t>
        </is>
      </c>
    </row>
    <row r="601">
      <c r="A601" s="33" t="inlineStr">
        <is>
          <t>Constraint — Spinach shelf life</t>
        </is>
      </c>
      <c r="B601" s="33" t="inlineStr">
        <is>
          <t>$E$344:$BD$344  &lt;=  $E$347:$BD$347</t>
        </is>
      </c>
      <c r="G601" s="2" t="inlineStr">
        <is>
          <t>nothing held longer than it keeps</t>
        </is>
      </c>
    </row>
    <row r="602">
      <c r="A602" s="33" t="inlineStr">
        <is>
          <t>Constraint — Kale shelf life</t>
        </is>
      </c>
      <c r="B602" s="33" t="inlineStr">
        <is>
          <t>$E$373:$BD$373  &lt;=  $E$376:$BD$376</t>
        </is>
      </c>
      <c r="G602" s="2" t="inlineStr">
        <is>
          <t>nothing held longer than it keeps</t>
        </is>
      </c>
    </row>
    <row r="603">
      <c r="A603" s="33" t="inlineStr">
        <is>
          <t>Constraint — Garlic shelf life</t>
        </is>
      </c>
      <c r="B603" s="33" t="inlineStr">
        <is>
          <t>$E$400:$BD$400  &lt;=  $E$403:$BD$403</t>
        </is>
      </c>
      <c r="G603" s="2" t="inlineStr">
        <is>
          <t>nothing held longer than it keeps</t>
        </is>
      </c>
    </row>
    <row r="604">
      <c r="A604" s="33" t="inlineStr">
        <is>
          <t>Constraint — Tunnel Spinach shelf life</t>
        </is>
      </c>
      <c r="B604" s="33" t="inlineStr">
        <is>
          <t>$E$427:$BD$427  &lt;=  $E$430:$BD$430</t>
        </is>
      </c>
      <c r="G604" s="2" t="inlineStr">
        <is>
          <t>nothing held longer than it keeps</t>
        </is>
      </c>
    </row>
    <row r="605">
      <c r="A605" s="33" t="inlineStr">
        <is>
          <t>Constraint — Asparagus shelf life</t>
        </is>
      </c>
      <c r="B605" s="33" t="inlineStr">
        <is>
          <t>$E$454:$BD$454  &lt;=  $E$457:$BD$457</t>
        </is>
      </c>
      <c r="G605" s="2" t="inlineStr">
        <is>
          <t>nothing held longer than it keeps</t>
        </is>
      </c>
    </row>
    <row r="606">
      <c r="A606" s="33" t="inlineStr">
        <is>
          <t>Constraint — cold store</t>
        </is>
      </c>
      <c r="B606" s="33" t="inlineStr">
        <is>
          <t>$E$504:$BD$504  &lt;=  $B$7</t>
        </is>
      </c>
    </row>
    <row r="607">
      <c r="A607" s="33" t="inlineStr">
        <is>
          <t>Constraint — ambient store</t>
        </is>
      </c>
      <c r="B607" s="33" t="inlineStr">
        <is>
          <t>$E$511:$BD$511  &lt;=  $B$8</t>
        </is>
      </c>
    </row>
    <row r="608">
      <c r="A608" s="33" t="inlineStr">
        <is>
          <t>Constraint — land, Open field</t>
        </is>
      </c>
      <c r="B608" s="33" t="inlineStr">
        <is>
          <t>$E$236:$BD$236  &lt;=  $B$11</t>
        </is>
      </c>
      <c r="G608" s="2" t="inlineStr">
        <is>
          <t>one pool per zone</t>
        </is>
      </c>
    </row>
    <row r="609">
      <c r="A609" s="33" t="inlineStr">
        <is>
          <t>Constraint — land, High tunnel</t>
        </is>
      </c>
      <c r="B609" s="33" t="inlineStr">
        <is>
          <t>$E$243:$BD$243  &lt;=  $B$12</t>
        </is>
      </c>
      <c r="G609" s="2" t="inlineStr">
        <is>
          <t>one pool per zone</t>
        </is>
      </c>
    </row>
    <row r="610">
      <c r="A610" s="33" t="inlineStr">
        <is>
          <t xml:space="preserve">  ...and</t>
        </is>
      </c>
      <c r="B610" s="33" t="inlineStr">
        <is>
          <t>$E$281:$BD$281;$E$283:$BD$283;$E$285:$BD$285</t>
        </is>
      </c>
      <c r="G610" s="2" t="inlineStr">
        <is>
          <t>one overtime row per hourly role — no blend</t>
        </is>
      </c>
    </row>
    <row r="611">
      <c r="A611" s="33" t="inlineStr">
        <is>
          <t xml:space="preserve">  ...and</t>
        </is>
      </c>
      <c r="B611" s="33" t="inlineStr">
        <is>
          <t>$K$49:$K$52;$B$69;$E$80:$BD$80;$E$81:$BD$81;$E$82:$BD$82</t>
        </is>
      </c>
      <c r="G611" s="2" t="inlineStr">
        <is>
          <t>extra heads, the engage switch, and the pounds picked</t>
        </is>
      </c>
    </row>
    <row r="612">
      <c r="A612" s="33" t="inlineStr">
        <is>
          <t>Constraint — CROP HOURS &lt;= available</t>
        </is>
      </c>
      <c r="B612" s="33" t="inlineStr">
        <is>
          <t>$E$294:$BD$294  &lt;=  $E$289:$BD$289</t>
        </is>
      </c>
      <c r="G612" s="2" t="inlineStr">
        <is>
          <t>the app's C2, less piece-rate relief</t>
        </is>
      </c>
    </row>
    <row r="613">
      <c r="A613" s="33" t="inlineStr">
        <is>
          <t>Constraint — overtime Equipment Operator</t>
        </is>
      </c>
      <c r="B613" s="33" t="inlineStr">
        <is>
          <t>$E$281:$BD$281  &lt;=  $E$280:$BD$280</t>
        </is>
      </c>
      <c r="G613" s="2" t="inlineStr">
        <is>
          <t>that role's own crew that week</t>
        </is>
      </c>
    </row>
    <row r="614">
      <c r="A614" s="33" t="inlineStr">
        <is>
          <t>Constraint — overtime Seasonal Field Crew</t>
        </is>
      </c>
      <c r="B614" s="33" t="inlineStr">
        <is>
          <t>$E$283:$BD$283  &lt;=  $E$282:$BD$282</t>
        </is>
      </c>
      <c r="G614" s="2" t="inlineStr">
        <is>
          <t>that role's own crew that week</t>
        </is>
      </c>
    </row>
    <row r="615">
      <c r="A615" s="33" t="inlineStr">
        <is>
          <t>Constraint — overtime Harvest Crew</t>
        </is>
      </c>
      <c r="B615" s="33" t="inlineStr">
        <is>
          <t>$E$285:$BD$285  &lt;=  $E$284:$BD$284</t>
        </is>
      </c>
      <c r="G615" s="2" t="inlineStr">
        <is>
          <t>that role's own crew that week</t>
        </is>
      </c>
    </row>
    <row r="616">
      <c r="A616" s="33" t="inlineStr">
        <is>
          <t>Constraint — relief &lt;= harvest hours</t>
        </is>
      </c>
      <c r="B616" s="33" t="inlineStr">
        <is>
          <t>$E$287:$BD$287  &lt;=  $E$301:$BD$301</t>
        </is>
      </c>
      <c r="G616" s="2" t="inlineStr">
        <is>
          <t>pickers cannot relieve the planting</t>
        </is>
      </c>
    </row>
    <row r="617">
      <c r="A617" s="33" t="inlineStr">
        <is>
          <t>Constraint — piece-rate capacity</t>
        </is>
      </c>
      <c r="B617" s="33" t="inlineStr">
        <is>
          <t>$E$83:$BD$83  &lt;=  $E$85:$BD$85</t>
        </is>
      </c>
      <c r="G617" s="2" t="inlineStr">
        <is>
          <t>and zero unless ENGAGED</t>
        </is>
      </c>
    </row>
    <row r="618">
      <c r="A618" s="33" t="inlineStr">
        <is>
          <t>Constraint — extra heads are whole people</t>
        </is>
      </c>
      <c r="B618" s="33" t="inlineStr">
        <is>
          <t>$K$49:$K$52 = integer</t>
        </is>
      </c>
      <c r="G618" s="2" t="inlineStr">
        <is>
          <t>you hire people, not fractions</t>
        </is>
      </c>
    </row>
    <row r="619">
      <c r="A619" s="33" t="inlineStr">
        <is>
          <t>Constraint — extra heads available</t>
        </is>
      </c>
      <c r="B619" s="33" t="inlineStr">
        <is>
          <t>$K$49:$K$52  &lt;=  $J$49:$J$52</t>
        </is>
      </c>
      <c r="G619" s="2" t="inlineStr">
        <is>
          <t>each role's own 'max more'</t>
        </is>
      </c>
    </row>
    <row r="620">
      <c r="A620" s="33" t="inlineStr">
        <is>
          <t>Constraint — ENGAGED is binary</t>
        </is>
      </c>
      <c r="B620" s="33" t="inlineStr">
        <is>
          <t>$B$69 = binary</t>
        </is>
      </c>
    </row>
    <row r="621">
      <c r="A621" s="33" t="inlineStr">
        <is>
          <t>Constraint — CASH FLOOR</t>
        </is>
      </c>
      <c r="B621" s="33" t="inlineStr">
        <is>
          <t>$E$540:$BD$540  &gt;=  $E$542:$BD$542</t>
        </is>
      </c>
      <c r="G621" s="2" t="inlineStr">
        <is>
          <t>the app's C13</t>
        </is>
      </c>
    </row>
    <row r="622">
      <c r="A622" s="4" t="inlineStr">
        <is>
          <t>Options</t>
        </is>
      </c>
      <c r="B622" s="33" t="inlineStr">
        <is>
          <t>engine = LibreOffice CoinMP Linear Solver</t>
        </is>
      </c>
      <c r="G622" s="2" t="inlineStr">
        <is>
          <t>tick 'Assume variables as non-negative'</t>
        </is>
      </c>
    </row>
  </sheetData>
  <conditionalFormatting sqref="E239:BD239">
    <cfRule type="cellIs" priority="1" operator="lessThan" dxfId="0">
      <formula>0</formula>
    </cfRule>
  </conditionalFormatting>
  <conditionalFormatting sqref="E236:BD236">
    <cfRule type="cellIs" priority="2" operator="greaterThan" dxfId="0">
      <formula>$B$11</formula>
    </cfRule>
  </conditionalFormatting>
  <conditionalFormatting sqref="E246:BD246">
    <cfRule type="cellIs" priority="3" operator="lessThan" dxfId="0">
      <formula>0</formula>
    </cfRule>
  </conditionalFormatting>
  <conditionalFormatting sqref="E243:BD243">
    <cfRule type="cellIs" priority="4" operator="greaterThan" dxfId="0">
      <formula>$B$12</formula>
    </cfRule>
  </conditionalFormatting>
  <conditionalFormatting sqref="E263:BD263">
    <cfRule type="cellIs" priority="5" operator="lessThan" dxfId="0">
      <formula>0</formula>
    </cfRule>
  </conditionalFormatting>
  <conditionalFormatting sqref="E297:BD297">
    <cfRule type="cellIs" priority="6" operator="lessThan" dxfId="0">
      <formula>0</formula>
    </cfRule>
  </conditionalFormatting>
  <conditionalFormatting sqref="E294:BD294">
    <cfRule type="cellIs" priority="7" operator="greaterThan" dxfId="0">
      <formula>E$289</formula>
    </cfRule>
  </conditionalFormatting>
  <conditionalFormatting sqref="E304:BD304">
    <cfRule type="cellIs" priority="8" operator="lessThan" dxfId="0">
      <formula>0</formula>
    </cfRule>
  </conditionalFormatting>
  <conditionalFormatting sqref="E305:BD305">
    <cfRule type="cellIs" priority="9" operator="lessThan" dxfId="0">
      <formula>0</formula>
    </cfRule>
  </conditionalFormatting>
  <conditionalFormatting sqref="E306:BD306">
    <cfRule type="cellIs" priority="10" operator="lessThan" dxfId="0">
      <formula>0</formula>
    </cfRule>
  </conditionalFormatting>
  <conditionalFormatting sqref="E507:BD507">
    <cfRule type="cellIs" priority="11" operator="lessThan" dxfId="0">
      <formula>0</formula>
    </cfRule>
  </conditionalFormatting>
  <conditionalFormatting sqref="E504:BD504">
    <cfRule type="cellIs" priority="12" operator="greaterThan" dxfId="0">
      <formula>$B$7</formula>
    </cfRule>
  </conditionalFormatting>
  <conditionalFormatting sqref="E514:BD514">
    <cfRule type="cellIs" priority="13" operator="lessThan" dxfId="0">
      <formula>0</formula>
    </cfRule>
  </conditionalFormatting>
  <conditionalFormatting sqref="E511:BD511">
    <cfRule type="cellIs" priority="14" operator="greaterThan" dxfId="0">
      <formula>$B$8</formula>
    </cfRule>
  </conditionalFormatting>
  <conditionalFormatting sqref="E543:BD543">
    <cfRule type="cellIs" priority="15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2026-10-25T02:46:17Z</dcterms:created>
  <dcterms:modified xsi:type="dcterms:W3CDTF">2026-10-25T02:47:45Z</dcterms:modified>
</cp:coreProperties>
</file>