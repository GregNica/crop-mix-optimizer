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0"/>
    <numFmt numFmtId="166" formatCode="0.0%"/>
    <numFmt numFmtId="167" formatCode="$#,##0"/>
    <numFmt numFmtId="168" formatCode="$0.0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1F4E79"/>
      <sz val="12"/>
    </font>
    <font>
      <b val="1"/>
    </font>
    <font>
      <sz val="9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EDF7ED"/>
      </patternFill>
    </fill>
    <fill>
      <patternFill patternType="solid">
        <fgColor rgb="00FDF2F8"/>
      </patternFill>
    </fill>
    <fill>
      <patternFill patternType="solid">
        <fgColor rgb="00D9EAD3"/>
      </patternFill>
    </fill>
    <fill>
      <patternFill patternType="solid">
        <fgColor rgb="00C9DAF8"/>
      </patternFill>
    </fill>
    <fill>
      <patternFill patternType="solid">
        <fgColor rgb="00F2F2F2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pivotButton="0" quotePrefix="0" xfId="0"/>
    <xf numFmtId="3" fontId="0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4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1" fontId="0" fillId="0" borderId="1" pivotButton="0" quotePrefix="0" xfId="0"/>
    <xf numFmtId="168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3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3" borderId="0" applyAlignment="1" pivotButton="0" quotePrefix="0" xfId="0">
      <alignment horizontal="center"/>
    </xf>
    <xf numFmtId="0" fontId="5" fillId="3" borderId="0" pivotButton="0" quotePrefix="0" xfId="0"/>
    <xf numFmtId="0" fontId="5" fillId="0" borderId="0" pivotButton="0" quotePrefix="0" xfId="0"/>
    <xf numFmtId="2" fontId="0" fillId="8" borderId="0" pivotButton="0" quotePrefix="0" xfId="0"/>
    <xf numFmtId="1" fontId="0" fillId="9" borderId="0" pivotButton="0" quotePrefix="0" xfId="0"/>
    <xf numFmtId="0" fontId="5" fillId="10" borderId="0" applyAlignment="1" pivotButton="0" quotePrefix="0" xfId="0">
      <alignment horizontal="center"/>
    </xf>
    <xf numFmtId="164" fontId="5" fillId="0" borderId="0" pivotButton="0" quotePrefix="0" xfId="0"/>
    <xf numFmtId="1" fontId="5" fillId="0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4" borderId="0" pivotButton="0" quotePrefix="0" xfId="0"/>
    <xf numFmtId="3" fontId="0" fillId="0" borderId="0" pivotButton="0" quotePrefix="0" xfId="0"/>
    <xf numFmtId="0" fontId="5" fillId="6" borderId="0" pivotButton="0" quotePrefix="0" xfId="0"/>
    <xf numFmtId="3" fontId="0" fillId="6" borderId="0" pivotButton="0" quotePrefix="0" xfId="0"/>
    <xf numFmtId="3" fontId="0" fillId="8" borderId="0" pivotButton="0" quotePrefix="0" xfId="0"/>
    <xf numFmtId="0" fontId="4" fillId="6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4" fillId="7" borderId="0" pivotButton="0" quotePrefix="0" xfId="0"/>
    <xf numFmtId="164" fontId="0" fillId="4" borderId="0" pivotButton="0" quotePrefix="0" xfId="0"/>
    <xf numFmtId="0" fontId="5" fillId="11" borderId="0" pivotButton="0" quotePrefix="0" xfId="0"/>
    <xf numFmtId="3" fontId="0" fillId="11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0" fontId="4" fillId="5" borderId="0" pivotButton="0" quotePrefix="0" xfId="0"/>
    <xf numFmtId="167" fontId="4" fillId="0" borderId="0" pivotButton="0" quotePrefix="0" xfId="0"/>
    <xf numFmtId="9" fontId="0" fillId="2" borderId="1" pivotButton="0" quotePrefix="0" xfId="0"/>
    <xf numFmtId="167" fontId="4" fillId="8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v6: REAL COSTS AND THE CASH FLOOR</t>
        </is>
      </c>
    </row>
    <row r="2">
      <c r="A2" s="2" t="inlineStr">
        <is>
          <t>BUILT 2026-08-30 14:05   (from source at commit 38a258a)</t>
        </is>
      </c>
    </row>
    <row r="3">
      <c r="A3" s="2" t="inlineStr">
        <is>
          <t>If that timestamp is older than the change you are looking for, you have a stale copy —</t>
        </is>
      </c>
    </row>
    <row r="4">
      <c r="A4" s="2" t="inlineStr">
        <is>
          <t>close the file and re-open it from WSL rather than from a recent-files list.</t>
        </is>
      </c>
    </row>
    <row r="5">
      <c r="A5" t="inlineStr"/>
    </row>
    <row r="6">
      <c r="A6" s="3" t="inlineStr">
        <is>
          <t>WHAT v6 ADDS — real costs, and the cash floor</t>
        </is>
      </c>
    </row>
    <row r="7">
      <c r="A7" t="inlineStr">
        <is>
          <t>These are one job, not two. A cash curve is meaningless without costs to spend, and v5's</t>
        </is>
      </c>
    </row>
    <row r="8">
      <c r="A8" t="inlineStr">
        <is>
          <t>profit was absurd precisely because seed was the only cost it charged.</t>
        </is>
      </c>
    </row>
    <row r="9">
      <c r="A9" t="inlineStr"/>
    </row>
    <row r="10">
      <c r="A10" t="inlineStr">
        <is>
          <t xml:space="preserve">  TIMED variable costs   seed in the PLANTING week; fertiliser and fuel every week in the</t>
        </is>
      </c>
    </row>
    <row r="11">
      <c r="A11" t="inlineStr">
        <is>
          <t xml:space="preserve">                         ground at that phase's rate; packaging per lb in the week of SALE.</t>
        </is>
      </c>
    </row>
    <row r="12">
      <c r="A12" t="inlineStr">
        <is>
          <t xml:space="preserve">                         Timing is the whole point — a cash floor cannot be honest if the</t>
        </is>
      </c>
    </row>
    <row r="13">
      <c r="A13" t="inlineStr">
        <is>
          <t xml:space="preserve">                         costs land in the wrong week.</t>
        </is>
      </c>
    </row>
    <row r="14">
      <c r="A14" t="inlineStr">
        <is>
          <t xml:space="preserve">  FIXED costs            cooler and barn depreciation, irrigation, machinery, equipment</t>
        </is>
      </c>
    </row>
    <row r="15">
      <c r="A15" t="inlineStr">
        <is>
          <t xml:space="preserve">                         store: $1,414 a week, owed whether or not you plant anything.</t>
        </is>
      </c>
    </row>
    <row r="16">
      <c r="A16" t="inlineStr">
        <is>
          <t xml:space="preserve">  OVERHEAD               a share of revenue, exactly as the app internalises it.</t>
        </is>
      </c>
    </row>
    <row r="17">
      <c r="A17" t="inlineStr">
        <is>
          <t xml:space="preserve">  CASH FLOOR             cumulative cash may go negative — that is the credit line being</t>
        </is>
      </c>
    </row>
    <row r="18">
      <c r="A18" t="inlineStr">
        <is>
          <t xml:space="preserve">                         drawn — but never below -(opening cash + credit line). The app's C13.</t>
        </is>
      </c>
    </row>
    <row r="19">
      <c r="A19" t="inlineStr"/>
    </row>
    <row r="20">
      <c r="A20" s="4" t="inlineStr">
        <is>
          <t>Profit falls $2,384,231 -&gt; $1,654,922 once those are charged.</t>
        </is>
      </c>
    </row>
    <row r="21">
      <c r="A21" t="inlineStr"/>
    </row>
    <row r="22">
      <c r="A22" s="3" t="inlineStr">
        <is>
          <t>!! AND IT IS STILL ABSURD: net margin 64.7%, against 5-15% for real diversified veg.</t>
        </is>
      </c>
    </row>
    <row r="23">
      <c r="A23" t="inlineStr">
        <is>
          <t>Because LABOUR IS NOT HERE. On the real farm wages are about 90% of fixed cost — the app's</t>
        </is>
      </c>
    </row>
    <row r="24">
      <c r="A24" t="inlineStr">
        <is>
          <t>own demo pays $855,150 a year against the $73,514 of fixed cost this sheet charges. So:</t>
        </is>
      </c>
    </row>
    <row r="25">
      <c r="A25" t="inlineStr"/>
    </row>
    <row r="26">
      <c r="A26" s="4" t="inlineStr">
        <is>
          <t xml:space="preserve">     THE CASH FLOOR BARELY BINDS, AND YOU SHOULD NOT TRUST THIS CURVE YET.</t>
        </is>
      </c>
    </row>
    <row r="27">
      <c r="A27" t="inlineStr"/>
    </row>
    <row r="28">
      <c r="A28" t="inlineStr">
        <is>
          <t>Measured: at 50,000 opening and a 250,000 credit line the floor never touches. It only bites</t>
        </is>
      </c>
    </row>
    <row r="29">
      <c r="A29" t="inlineStr">
        <is>
          <t>at about 10,000 + 10,000. The mechanism is real and checked; the farm it is checking is not</t>
        </is>
      </c>
    </row>
    <row r="30">
      <c r="A30" t="inlineStr">
        <is>
          <t>yet paying anybody. Labour is v7, and it is what makes cash mean something.</t>
        </is>
      </c>
    </row>
    <row r="31">
      <c r="A31" t="inlineStr"/>
    </row>
    <row r="32">
      <c r="A32" s="3" t="inlineStr">
        <is>
          <t>WHAT v5 ADDED — both of these you spotted missing from v4</t>
        </is>
      </c>
    </row>
    <row r="33">
      <c r="A33" t="inlineStr"/>
    </row>
    <row r="34">
      <c r="A34" s="4" t="inlineStr">
        <is>
          <t>1. IT CHOOSES WHEN TO PLANT.</t>
        </is>
      </c>
    </row>
    <row r="35">
      <c r="A35" t="inlineStr">
        <is>
          <t xml:space="preserve">   All 68 plantings the app's calendar generator offers are on the sheet, one row per legal</t>
        </is>
      </c>
    </row>
    <row r="36">
      <c r="A36" t="inlineStr">
        <is>
          <t xml:space="preserve">   start week. The solver puts acres on some and zero on others — and zero acres IS the</t>
        </is>
      </c>
    </row>
    <row r="37">
      <c r="A37" t="inlineStr">
        <is>
          <t xml:space="preserve">   decision not to plant that week. v4 offered five that I picked by hand.</t>
        </is>
      </c>
    </row>
    <row r="38">
      <c r="A38" t="inlineStr"/>
    </row>
    <row r="39">
      <c r="A39" s="4" t="inlineStr">
        <is>
          <t>2. IT CHOOSES WHETHER TO PLANT AT ALL.</t>
        </is>
      </c>
    </row>
    <row r="40">
      <c r="A40" t="inlineStr">
        <is>
          <t xml:space="preserve">   The BLUE column is a binary per planting, tied to the acres by two constraints that are</t>
        </is>
      </c>
    </row>
    <row r="41">
      <c r="A41" t="inlineStr">
        <is>
          <t xml:space="preserve">   the app's own C9 and C10:</t>
        </is>
      </c>
    </row>
    <row r="42">
      <c r="A42" t="inlineStr">
        <is>
          <t xml:space="preserve">        acres &lt;= 'max if planted'   you cannot plant acres without deciding to plant</t>
        </is>
      </c>
    </row>
    <row r="43">
      <c r="A43" t="inlineStr">
        <is>
          <t xml:space="preserve">        acres &gt;= 'min if planted'   if you plant at all, you plant a real block</t>
        </is>
      </c>
    </row>
    <row r="44">
      <c r="A44" t="inlineStr">
        <is>
          <t xml:space="preserve">   That is what stops it planting a third of an acre, and it makes this a MILP — which is</t>
        </is>
      </c>
    </row>
    <row r="45">
      <c r="A45" t="inlineStr">
        <is>
          <t xml:space="preserve">   what farm_v2/solver.py is. Its `integrality` array marks the very same y block.</t>
        </is>
      </c>
    </row>
    <row r="46">
      <c r="A46" t="inlineStr"/>
    </row>
    <row r="47">
      <c r="A47" s="3" t="inlineStr">
        <is>
          <t>WHAT THE TWO CHANGES ARE WORTH — measured, and they pull OPPOSITE ways</t>
        </is>
      </c>
    </row>
    <row r="48">
      <c r="A48" t="inlineStr">
        <is>
          <t xml:space="preserve">     v4, five hand-picked plantings          $1,094,831</t>
        </is>
      </c>
    </row>
    <row r="49">
      <c r="A49" t="inlineStr">
        <is>
          <t xml:space="preserve">     v5 without the minimum-acreage rule     $1,657,319   (40 plantings)</t>
        </is>
      </c>
    </row>
    <row r="50">
      <c r="A50" s="4" t="inlineStr">
        <is>
          <t xml:space="preserve">     v5 as it ships                          $1,654,922   (29 plantings)</t>
        </is>
      </c>
    </row>
    <row r="51">
      <c r="A51" t="inlineStr"/>
    </row>
    <row r="52">
      <c r="A52" t="inlineStr">
        <is>
          <t>Letting it choose the weeks more than doubles profit. Then the minimum-acreage rule takes</t>
        </is>
      </c>
    </row>
    <row r="53">
      <c r="A53" t="inlineStr">
        <is>
          <t>$2,397 back and drops the plan from 40 plantings to 29, because the</t>
        </is>
      </c>
    </row>
    <row r="54">
      <c r="A54" t="inlineStr">
        <is>
          <t>slivers are gone.</t>
        </is>
      </c>
    </row>
    <row r="55">
      <c r="A55" t="inlineStr"/>
    </row>
    <row r="56">
      <c r="A56" t="inlineStr">
        <is>
          <t>Neither number means anything alone. A fixed calendar UNDERSTATES; a missing minimum</t>
        </is>
      </c>
    </row>
    <row r="57">
      <c r="A57" t="inlineStr">
        <is>
          <t>acreage OVERSTATES. That is why the real model has both, and it is the reason it is a MILP</t>
        </is>
      </c>
    </row>
    <row r="58">
      <c r="A58" t="inlineStr">
        <is>
          <t>rather than a plain LP.</t>
        </is>
      </c>
    </row>
    <row r="59">
      <c r="A59" t="inlineStr"/>
    </row>
    <row r="60">
      <c r="A60" s="3" t="inlineStr">
        <is>
          <t>WHY IT PLANTS SO MANY — this is the finding worth keeping</t>
        </is>
      </c>
    </row>
    <row r="61">
      <c r="A61" t="inlineStr">
        <is>
          <t>29 plantings out of 68, staggered across the season rather than a few big</t>
        </is>
      </c>
    </row>
    <row r="62">
      <c r="A62" t="inlineStr">
        <is>
          <t>blocks. That is SUCCESSION PLANTING, and now you can see why it pays: spreading the harvest</t>
        </is>
      </c>
    </row>
    <row r="63">
      <c r="A63" t="inlineStr">
        <is>
          <t>is what lets you serve a WEEKLY demand cap continuously. Plant it all at once and one huge</t>
        </is>
      </c>
    </row>
    <row r="64">
      <c r="A64" t="inlineStr">
        <is>
          <t>harvest slams into the ceiling, the cooler fills, and the surplus is wasted or dumped cheap.</t>
        </is>
      </c>
    </row>
    <row r="65">
      <c r="A65" t="inlineStr"/>
    </row>
    <row r="66">
      <c r="A66" t="inlineStr">
        <is>
          <t>A model with a fixed planting calendar cannot express the thing the practice exists for.</t>
        </is>
      </c>
    </row>
    <row r="67">
      <c r="A67" t="inlineStr"/>
    </row>
    <row r="68">
      <c r="A68" s="3" t="inlineStr">
        <is>
          <t>!! IT NEEDS LIBREOFFICE, AND THIS ONE IS A REAL MILP</t>
        </is>
      </c>
    </row>
    <row r="69">
      <c r="A69" t="inlineStr">
        <is>
          <t>448 decision cells: 68 acres + 68 binaries + 312 offered. The engine MUST be</t>
        </is>
      </c>
    </row>
    <row r="70">
      <c r="A70" t="inlineStr">
        <is>
          <t>CoinMP — it does branch and bound over the integers. Expect it to take appreciably longer</t>
        </is>
      </c>
    </row>
    <row r="71">
      <c r="A71" t="inlineStr">
        <is>
          <t>than v4; integers are what make an optimizer work for its living.</t>
        </is>
      </c>
    </row>
    <row r="72">
      <c r="A72" t="inlineStr"/>
    </row>
    <row r="73">
      <c r="A73" s="3" t="inlineStr">
        <is>
          <t>WHERE THINGS ARE</t>
        </is>
      </c>
    </row>
    <row r="74">
      <c r="A74" t="inlineStr">
        <is>
          <t xml:space="preserve">  YELLOW   you type: the farm, the crop table, the crop x channel table.</t>
        </is>
      </c>
    </row>
    <row r="75">
      <c r="A75" t="inlineStr">
        <is>
          <t xml:space="preserve">  GREEN    the solver writes: the ACRES column (C28:C95), the six OFFERED rows, and</t>
        </is>
      </c>
    </row>
    <row r="76">
      <c r="A76" t="inlineStr">
        <is>
          <t xml:space="preserve">           the PROFIT cell (B231).</t>
        </is>
      </c>
    </row>
    <row r="77">
      <c r="A77" t="inlineStr">
        <is>
          <t xml:space="preserve">  BLUE     the solver writes: the PLANT? binaries (D28:D95).</t>
        </is>
      </c>
    </row>
    <row r="78">
      <c r="A78" t="inlineStr">
        <is>
          <t xml:space="preserve">  Everything else is a formula. Columns A-D stay put when you scroll right.</t>
        </is>
      </c>
    </row>
    <row r="79">
      <c r="A79" t="inlineStr"/>
    </row>
    <row r="80">
      <c r="A80" s="3" t="inlineStr">
        <is>
          <t>HOW TO RUN IT</t>
        </is>
      </c>
    </row>
    <row r="81">
      <c r="A81" t="inlineStr">
        <is>
          <t>Section 7 lists every entry with exact ranges. In short:</t>
        </is>
      </c>
    </row>
    <row r="82">
      <c r="A82" t="inlineStr">
        <is>
          <t xml:space="preserve">   Tools &gt; Solver, target the PROFIT cell, set to MAXIMUM</t>
        </is>
      </c>
    </row>
    <row r="83">
      <c r="A83" t="inlineStr">
        <is>
          <t xml:space="preserve">   Changing cells: C28:C95 and D28:D95 together, plus the six OFFERED rows</t>
        </is>
      </c>
    </row>
    <row r="84">
      <c r="A84" t="inlineStr">
        <is>
          <t xml:space="preserve">   Add the constraint  D28:D95 = Binary   — without it the binaries are just numbers</t>
        </is>
      </c>
    </row>
    <row r="85">
      <c r="A85" t="inlineStr">
        <is>
          <t xml:space="preserve">   and the minimum-acreage rule silently stops working</t>
        </is>
      </c>
    </row>
    <row r="86">
      <c r="A86" t="inlineStr">
        <is>
          <t xml:space="preserve">   Options: engine = LibreOffice CoinMP Linear Solver; tick non-negative</t>
        </is>
      </c>
    </row>
    <row r="87">
      <c r="A87" t="inlineStr"/>
    </row>
    <row r="88">
      <c r="A88" s="3" t="inlineStr">
        <is>
          <t>WHAT IT SHOULD FIND</t>
        </is>
      </c>
    </row>
    <row r="89">
      <c r="A89" s="4" t="inlineStr">
        <is>
          <t xml:space="preserve">     PROFIT   $1,654,922       net margin 64.7%</t>
        </is>
      </c>
    </row>
    <row r="90">
      <c r="A90" t="inlineStr">
        <is>
          <t xml:space="preserve">       revenue      $2,558,846</t>
        </is>
      </c>
    </row>
    <row r="91">
      <c r="A91" t="inlineStr">
        <is>
          <t xml:space="preserve">       growing      $217,302      seed at planting + fertiliser and fuel in the ground</t>
        </is>
      </c>
    </row>
    <row r="92">
      <c r="A92" t="inlineStr">
        <is>
          <t xml:space="preserve">       packaging    $203,693      per lb sold, in the week of sale</t>
        </is>
      </c>
    </row>
    <row r="93">
      <c r="A93" t="inlineStr">
        <is>
          <t xml:space="preserve">       fixed        $73,514      $1,414 a week, owed whether or not you plant</t>
        </is>
      </c>
    </row>
    <row r="94">
      <c r="A94" t="inlineStr">
        <is>
          <t xml:space="preserve">       overhead     $409,415      a share of revenue</t>
        </is>
      </c>
    </row>
    <row r="95">
      <c r="A95" s="4" t="inlineStr">
        <is>
          <t xml:space="preserve">     29 of 68 plantings used</t>
        </is>
      </c>
    </row>
    <row r="96">
      <c r="A96" t="inlineStr"/>
    </row>
    <row r="97">
      <c r="A97" t="inlineStr">
        <is>
          <t>Computed by solving the same MILP with scipy.milp — the same HiGHS solver your app runs. A</t>
        </is>
      </c>
    </row>
    <row r="98">
      <c r="A98" t="inlineStr">
        <is>
          <t>few dollars apart is tolerances. Materially different means one of the two models is not the</t>
        </is>
      </c>
    </row>
    <row r="99">
      <c r="A99" t="inlineStr">
        <is>
          <t>model we think it is.</t>
        </is>
      </c>
    </row>
    <row r="100">
      <c r="A100" t="inlineStr"/>
    </row>
    <row r="101">
      <c r="A101" s="3" t="inlineStr">
        <is>
          <t>WHAT SELL-THROUGH IS, AND WHY IT SHIPS AT 1.00</t>
        </is>
      </c>
    </row>
    <row r="102">
      <c r="A102" t="inlineStr">
        <is>
          <t>Every 'Sell-through' in section 3 is 1.00, matching the app since 30 Aug. The 85% it used to</t>
        </is>
      </c>
    </row>
    <row r="103">
      <c r="A103" t="inlineStr">
        <is>
          <t>carry had no source, and it was being charged on channels where a purchase order exists and</t>
        </is>
      </c>
    </row>
    <row r="104">
      <c r="A104" t="inlineStr">
        <is>
          <t>nothing goes unsold. So the market-loss and returned-to-store rows all read ZERO right now.</t>
        </is>
      </c>
    </row>
    <row r="105">
      <c r="A105" t="inlineStr">
        <is>
          <t>That is correct, not broken.</t>
        </is>
      </c>
    </row>
    <row r="106">
      <c r="A106" t="inlineStr"/>
    </row>
    <row r="107">
      <c r="A107" t="inlineStr">
        <is>
          <t>The narrow definition it now carries:</t>
        </is>
      </c>
    </row>
    <row r="108">
      <c r="A108" t="inlineStr"/>
    </row>
    <row r="109">
      <c r="A109" s="4" t="inlineStr">
        <is>
          <t xml:space="preserve">     Of what you TAKE TO MARKET, the share that converts to cash — display attrition at a</t>
        </is>
      </c>
    </row>
    <row r="110">
      <c r="A110" s="4" t="inlineStr">
        <is>
          <t xml:space="preserve">     stall, samples, transit damage, a rejected load.</t>
        </is>
      </c>
    </row>
    <row r="111">
      <c r="A111" t="inlineStr"/>
    </row>
    <row r="112">
      <c r="A112" t="inlineStr">
        <is>
          <t>NOT grade-out at harvest (that is pack-out, above the store). NOT spoilage in the store (that</t>
        </is>
      </c>
    </row>
    <row r="113">
      <c r="A113" t="inlineStr">
        <is>
          <t>is shrink). And NOT demand uncertainty — which is the one worth understanding, because it is</t>
        </is>
      </c>
    </row>
    <row r="114">
      <c r="A114" t="inlineStr">
        <is>
          <t>why the old wording could not be right:</t>
        </is>
      </c>
    </row>
    <row r="115">
      <c r="A115" t="inlineStr"/>
    </row>
    <row r="116">
      <c r="A116" t="inlineStr">
        <is>
          <t xml:space="preserve">     The demand ceiling is HARD. At a 6,000 lb cap and 0.85, selling 6,000 means bringing</t>
        </is>
      </c>
    </row>
    <row r="117">
      <c r="A117" t="inlineStr">
        <is>
          <t xml:space="preserve">     7,059 and losing 1,059 — every week, including the best Saturday of the year, because</t>
        </is>
      </c>
    </row>
    <row r="118">
      <c r="A118" t="inlineStr">
        <is>
          <t xml:space="preserve">     the model will never let you sell 6,001. That is the whole downside of bringing extra</t>
        </is>
      </c>
    </row>
    <row r="119">
      <c r="A119" t="inlineStr">
        <is>
          <t xml:space="preserve">     with none of the upside. It is not a model of uncertainty; it is a one-sided penalty.</t>
        </is>
      </c>
    </row>
    <row r="120">
      <c r="A120" t="inlineStr"/>
    </row>
    <row r="121">
      <c r="A121" t="inlineStr">
        <is>
          <t>So what it CAN mean is a display requirement: a picked-over stall sells less than a full one,</t>
        </is>
      </c>
    </row>
    <row r="122">
      <c r="A122" t="inlineStr">
        <is>
          <t>so moving 6,000 lb needs more than 6,000 lb on the table. Deterministic, and an input</t>
        </is>
      </c>
    </row>
    <row r="123">
      <c r="A123" t="inlineStr">
        <is>
          <t>requirement like seed. Real demand variance is a different problem (newsvendor) needing</t>
        </is>
      </c>
    </row>
    <row r="124">
      <c r="A124" t="inlineStr">
        <is>
          <t>machinery neither this sheet nor the app has yet.</t>
        </is>
      </c>
    </row>
    <row r="125">
      <c r="A125" t="inlineStr"/>
    </row>
    <row r="126">
      <c r="A126" s="3" t="inlineStr">
        <is>
          <t>THREE THINGS TO TRY</t>
        </is>
      </c>
    </row>
    <row r="127">
      <c r="A127" t="inlineStr"/>
    </row>
    <row r="128">
      <c r="A128" s="4" t="inlineStr">
        <is>
          <t>EXPERIMENT 1 — switch sell-through on, and watch the crop decide what happens.</t>
        </is>
      </c>
    </row>
    <row r="129">
      <c r="A129" s="4" t="inlineStr">
        <is>
          <t xml:space="preserve">   In section 3 set Spinach / {CH1} sell-through to 0.85, and Garlic / {CH1} to 0.85 too.</t>
        </is>
      </c>
    </row>
    <row r="130">
      <c r="A130" s="4" t="inlineStr">
        <is>
          <t xml:space="preserve">   Re-solve.</t>
        </is>
      </c>
    </row>
    <row r="131">
      <c r="A131" t="inlineStr">
        <is>
          <t xml:space="preserve">   Both now offer more than they sell. But look at the two 'market loss' rows: Spinach's is</t>
        </is>
      </c>
    </row>
    <row r="132">
      <c r="A132" t="inlineStr">
        <is>
          <t xml:space="preserve">   positive and Garlic's is ZERO, because garlic's 'Returns to store' is 1.00 — unsold garlic</t>
        </is>
      </c>
    </row>
    <row r="133">
      <c r="A133" t="inlineStr">
        <is>
          <t xml:space="preserve">   comes home and sells later, so the loss is a DELAY, not a loss.</t>
        </is>
      </c>
    </row>
    <row r="134">
      <c r="A134" t="inlineStr">
        <is>
          <t xml:space="preserve">   That is the grower's ruling in two cells: the same sell-through means different things on</t>
        </is>
      </c>
    </row>
    <row r="135">
      <c r="A135" t="inlineStr">
        <is>
          <t xml:space="preserve">   different crops, which is why it belongs on the crop x channel row and not on either one</t>
        </is>
      </c>
    </row>
    <row r="136">
      <c r="A136" t="inlineStr">
        <is>
          <t xml:space="preserve">   alone. Now set Garlic's 'Returns to store' to 0.00 and re-solve: the delay becomes a loss</t>
        </is>
      </c>
    </row>
    <row r="137">
      <c r="A137" t="inlineStr">
        <is>
          <t xml:space="preserve">   and the plan changes.</t>
        </is>
      </c>
    </row>
    <row r="138">
      <c r="A138" t="inlineStr"/>
    </row>
    <row r="139">
      <c r="A139" s="4" t="inlineStr">
        <is>
          <t>EXPERIMENT 2 — squeeze the cash.  Set the credit line to 10,000 and opening cash to 10,000,</t>
        </is>
      </c>
    </row>
    <row r="140">
      <c r="A140" s="4" t="inlineStr">
        <is>
          <t xml:space="preserve">   then re-solve.</t>
        </is>
      </c>
    </row>
    <row r="141">
      <c r="A141" t="inlineStr">
        <is>
          <t xml:space="preserve">   Now the floor bites. Watch WHICH plantings it drops: not the least profitable ones, but</t>
        </is>
      </c>
    </row>
    <row r="142">
      <c r="A142" t="inlineStr">
        <is>
          <t xml:space="preserve">   the ones whose costs land earliest relative to their revenue. Garlic goes in around week</t>
        </is>
      </c>
    </row>
    <row r="143">
      <c r="A143" t="inlineStr">
        <is>
          <t xml:space="preserve">   47 and is not sold until week 30 of the following year — nine months of money out before</t>
        </is>
      </c>
    </row>
    <row r="144">
      <c r="A144" t="inlineStr">
        <is>
          <t xml:space="preserve">   a dollar comes back. Cash does not rank crops by margin; it ranks them by TIMING, which no</t>
        </is>
      </c>
    </row>
    <row r="145">
      <c r="A145" t="inlineStr">
        <is>
          <t xml:space="preserve">   column on this sheet shows you.</t>
        </is>
      </c>
    </row>
    <row r="146">
      <c r="A146" t="inlineStr"/>
    </row>
    <row r="147">
      <c r="A147" s="4" t="inlineStr">
        <is>
          <t>EXPERIMENT 3 — drop the minimum acreage.  Set every 'Min acres if planted' in the crop</t>
        </is>
      </c>
    </row>
    <row r="148">
      <c r="A148" s="4" t="inlineStr">
        <is>
          <t xml:space="preserve">   table to 0 and re-solve.</t>
        </is>
      </c>
    </row>
    <row r="149">
      <c r="A149" t="inlineStr">
        <is>
          <t xml:space="preserve">   Expect $1,657,319 and 40 plantings. The extra profit is real but the plan is</t>
        </is>
      </c>
    </row>
    <row r="150">
      <c r="A150" t="inlineStr">
        <is>
          <t xml:space="preserve">   not: it plants fractions of an acre no one would drive a tractor out for. This is what</t>
        </is>
      </c>
    </row>
    <row r="151">
      <c r="A151" t="inlineStr">
        <is>
          <t xml:space="preserve">   the binaries are FOR, and it is why the app carries them.</t>
        </is>
      </c>
    </row>
    <row r="152">
      <c r="A152" t="inlineStr"/>
    </row>
    <row r="153">
      <c r="A153" s="4" t="inlineStr">
        <is>
          <t>EXPERIMENT 4 — take away the cooler.  Set the cold store to 40 m3 and re-solve.</t>
        </is>
      </c>
    </row>
    <row r="154">
      <c r="A154" t="inlineStr">
        <is>
          <t xml:space="preserve">   Watch WHICH WEEKS it abandons, not just which crop. With a full calendar it can retreat</t>
        </is>
      </c>
    </row>
    <row r="155">
      <c r="A155" t="inlineStr">
        <is>
          <t xml:space="preserve">   to a planting pattern that keeps the cooler under its ceiling — an answer v4 could not</t>
        </is>
      </c>
    </row>
    <row r="156">
      <c r="A156" t="inlineStr">
        <is>
          <t xml:space="preserve">   even represent.</t>
        </is>
      </c>
    </row>
    <row r="157">
      <c r="A157" t="inlineStr"/>
    </row>
    <row r="158">
      <c r="A158" s="3" t="inlineStr">
        <is>
          <t>WHAT v5 STILL DOES NOT CARRY</t>
        </is>
      </c>
    </row>
    <row r="159">
      <c r="A159" t="inlineStr">
        <is>
          <t xml:space="preserve">  - Costs are seed/transplant per acre ONLY: no labour, water, packaging, storage, overhead.</t>
        </is>
      </c>
    </row>
    <row r="160">
      <c r="A160" t="inlineStr">
        <is>
          <t xml:space="preserve">    Profit is therefore far too high. The cash layer is next.</t>
        </is>
      </c>
    </row>
    <row r="161">
      <c r="A161" t="inlineStr">
        <is>
          <t xml:space="preserve">  - No cash-flow constraint, so it can spend money it does not have.</t>
        </is>
      </c>
    </row>
    <row r="162">
      <c r="A162" t="inlineStr">
        <is>
          <t xml:space="preserve">  - Shelf life IS enforced now (a real constraint since you found it dead). Shrink is wired</t>
        </is>
      </c>
    </row>
    <row r="163">
      <c r="A163" t="inlineStr">
        <is>
          <t xml:space="preserve">    too, but defaults to 0%, so it stays invisible until you set it.</t>
        </is>
      </c>
    </row>
    <row r="164">
      <c r="A164" t="inlineStr">
        <is>
          <t xml:space="preserve">  - No water, labour, diversity or throughput limits.</t>
        </is>
      </c>
    </row>
    <row r="165">
      <c r="A165" t="inlineStr">
        <is>
          <t xml:space="preserve">  - Three crops, not seven.</t>
        </is>
      </c>
    </row>
    <row r="166">
      <c r="A166" t="inlineStr"/>
    </row>
    <row r="167">
      <c r="A167" s="3" t="inlineStr">
        <is>
          <t>!! THE SCALE WARNING</t>
        </is>
      </c>
    </row>
    <row r="168">
      <c r="A168" t="inlineStr">
        <is>
          <t>An optimizer's answer is far more scale-sensitive than a calculator's: which constraint binds,</t>
        </is>
      </c>
    </row>
    <row r="169">
      <c r="A169" t="inlineStr">
        <is>
          <t>and therefore which crop and which WEEK wins, can invert between 3 crops and 7. This teaches</t>
        </is>
      </c>
    </row>
    <row r="170">
      <c r="A170" t="inlineStr">
        <is>
          <t>the machinery. It is not advice about your farm.</t>
        </is>
      </c>
    </row>
    <row r="171">
      <c r="A171" t="inlineStr"/>
    </row>
    <row r="172">
      <c r="A172" s="3" t="inlineStr">
        <is>
          <t>HAS THIS SHEET BEEN CHECKED?</t>
        </is>
      </c>
    </row>
    <row r="173">
      <c r="A173" t="inlineStr">
        <is>
          <t>Yes. Crop data, the calendar and the demand caps are read from the app. The formulas are</t>
        </is>
      </c>
    </row>
    <row r="174">
      <c r="A174" t="inlineStr">
        <is>
          <t>calculated by an engine and compared cell by cell against an independent model under three</t>
        </is>
      </c>
    </row>
    <row r="175">
      <c r="A175" t="inlineStr">
        <is>
          <t>configurations. Every input is perturbed to prove it propagates. No number is frozen. And the</t>
        </is>
      </c>
    </row>
    <row r="176">
      <c r="A176" t="inlineStr">
        <is>
          <t>same MILP is solved with scipy.milp, its answer written into the decision cells, and the</t>
        </is>
      </c>
    </row>
    <row r="177">
      <c r="A177" t="inlineStr">
        <is>
          <t>sheet's own PROFIT cell must reproduce the optimum exactly.</t>
        </is>
      </c>
    </row>
    <row r="178">
      <c r="A178" t="inlineStr">
        <is>
          <t xml:space="preserve">     Run it yourself:   .venv/bin/python toy_models/verify_toy_v6.py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60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FARM TOY MODEL — v6: real costs and the cash floor</t>
        </is>
      </c>
      <c r="D1" s="2" t="inlineStr">
        <is>
          <t>BUILT 2026-08-30 14:05   (from source at 38a258a)</t>
        </is>
      </c>
    </row>
    <row r="2">
      <c r="A2" s="2" t="inlineStr">
        <is>
          <t>YELLOW = you type.  GREEN = the solver writes.  BLUE = the solver's plant/don't-plant switches.  Read the 'READ ME' sheet first.</t>
        </is>
      </c>
    </row>
    <row r="4">
      <c r="A4" s="3" t="inlineStr">
        <is>
          <t>1 — THE FARM</t>
        </is>
      </c>
    </row>
    <row r="5">
      <c r="A5" s="4" t="inlineStr">
        <is>
          <t>Land you have</t>
        </is>
      </c>
      <c r="B5" s="5" t="n">
        <v>80</v>
      </c>
      <c r="C5" s="2" t="inlineStr">
        <is>
          <t>acres</t>
        </is>
      </c>
    </row>
    <row r="6">
      <c r="A6" s="4" t="inlineStr">
        <is>
          <t>Cold store (cooler)</t>
        </is>
      </c>
      <c r="B6" s="6" t="n">
        <v>275</v>
      </c>
      <c r="C6" s="2" t="inlineStr">
        <is>
          <t>m3 — Spinach, Kale</t>
        </is>
      </c>
    </row>
    <row r="7">
      <c r="A7" s="4" t="inlineStr">
        <is>
          <t>Ambient store (barn)</t>
        </is>
      </c>
      <c r="B7" s="6" t="n">
        <v>150</v>
      </c>
      <c r="C7" s="2" t="inlineStr">
        <is>
          <t>m3 — Garlic</t>
        </is>
      </c>
    </row>
    <row r="9">
      <c r="A9" s="3" t="inlineStr">
        <is>
          <t>2 — HOW EACH CROP BEHAVES</t>
        </is>
      </c>
    </row>
    <row r="10">
      <c r="A10" s="7" t="inlineStr">
        <is>
          <t>Crop</t>
        </is>
      </c>
      <c r="B10" s="7" t="inlineStr">
        <is>
          <t>Yield lb/acre</t>
        </is>
      </c>
      <c r="C10" s="7" t="inlineStr">
        <is>
          <t>Pack-out</t>
        </is>
      </c>
      <c r="D10" s="7" t="inlineStr">
        <is>
          <t>m3 per lb</t>
        </is>
      </c>
      <c r="E10" s="7" t="inlineStr">
        <is>
          <t>Store</t>
        </is>
      </c>
      <c r="F10" s="7" t="inlineStr">
        <is>
          <t>Shelf life wk</t>
        </is>
      </c>
      <c r="G10" s="7" t="inlineStr">
        <is>
          <t>Shrink %/wk</t>
        </is>
      </c>
      <c r="H10" s="7" t="inlineStr">
        <is>
          <t>Seed $/acre</t>
        </is>
      </c>
      <c r="I10" s="7" t="inlineStr">
        <is>
          <t>Min acres if planted</t>
        </is>
      </c>
      <c r="J10" s="7" t="inlineStr">
        <is>
          <t>Harvest weeks</t>
        </is>
      </c>
      <c r="K10" s="7" t="inlineStr">
        <is>
          <t>$/ac plant wk</t>
        </is>
      </c>
      <c r="L10" s="7" t="inlineStr">
        <is>
          <t>$/ac grow wk</t>
        </is>
      </c>
      <c r="M10" s="7" t="inlineStr">
        <is>
          <t>$/ac harvest wk</t>
        </is>
      </c>
    </row>
    <row r="11">
      <c r="A11" s="8" t="inlineStr">
        <is>
          <t>Spinach</t>
        </is>
      </c>
      <c r="B11" s="6" t="n">
        <v>5000</v>
      </c>
      <c r="C11" s="9" t="n">
        <v>1</v>
      </c>
      <c r="D11" s="10" t="n">
        <v>0.002197967741935484</v>
      </c>
      <c r="E11" s="11" t="inlineStr">
        <is>
          <t>Cold</t>
        </is>
      </c>
      <c r="F11" s="12" t="n">
        <v>2</v>
      </c>
      <c r="G11" s="13" t="n">
        <v>0</v>
      </c>
      <c r="H11" s="14" t="n">
        <v>280</v>
      </c>
      <c r="I11" s="5" t="n">
        <v>2</v>
      </c>
      <c r="J11" s="15">
        <f>COUNTIF($E$28:$BD$28,"H")</f>
        <v/>
      </c>
      <c r="K11" s="16" t="n">
        <v>33.895</v>
      </c>
      <c r="L11" s="16" t="n">
        <v>13.32</v>
      </c>
      <c r="M11" s="16" t="n">
        <v>11.285</v>
      </c>
    </row>
    <row r="12">
      <c r="A12" s="8" t="inlineStr">
        <is>
          <t>Kale</t>
        </is>
      </c>
      <c r="B12" s="6" t="n">
        <v>8000</v>
      </c>
      <c r="C12" s="9" t="n">
        <v>1</v>
      </c>
      <c r="D12" s="10" t="n">
        <v>0.003785388888888889</v>
      </c>
      <c r="E12" s="11" t="inlineStr">
        <is>
          <t>Cold</t>
        </is>
      </c>
      <c r="F12" s="12" t="n">
        <v>2</v>
      </c>
      <c r="G12" s="13" t="n">
        <v>0</v>
      </c>
      <c r="H12" s="14" t="n">
        <v>1089</v>
      </c>
      <c r="I12" s="5" t="n">
        <v>2</v>
      </c>
      <c r="J12" s="15">
        <f>COUNTIF($E$63:$BD$63,"H")</f>
        <v/>
      </c>
      <c r="K12" s="16" t="n">
        <v>46.64</v>
      </c>
      <c r="L12" s="16" t="n">
        <v>11.469</v>
      </c>
      <c r="M12" s="16" t="n">
        <v>10.08</v>
      </c>
    </row>
    <row r="13">
      <c r="A13" s="8" t="inlineStr">
        <is>
          <t>Garlic</t>
        </is>
      </c>
      <c r="B13" s="6" t="n">
        <v>10000</v>
      </c>
      <c r="C13" s="9" t="n">
        <v>1</v>
      </c>
      <c r="D13" s="10" t="n">
        <v>0.001195385964912281</v>
      </c>
      <c r="E13" s="17" t="inlineStr">
        <is>
          <t>Ambient</t>
        </is>
      </c>
      <c r="F13" s="12" t="n">
        <v>16</v>
      </c>
      <c r="G13" s="13" t="n">
        <v>0</v>
      </c>
      <c r="H13" s="14" t="n">
        <v>2500</v>
      </c>
      <c r="I13" s="5" t="n">
        <v>2</v>
      </c>
      <c r="J13" s="15">
        <f>COUNTIF($E$93:$BD$93,"H")</f>
        <v/>
      </c>
      <c r="K13" s="16" t="n">
        <v>19.4194</v>
      </c>
      <c r="L13" s="16" t="n">
        <v>4.1688</v>
      </c>
      <c r="M13" s="16" t="n">
        <v>19.75</v>
      </c>
    </row>
    <row r="14">
      <c r="A14" s="2" t="inlineStr">
        <is>
          <t>'Min acres if planted' is what the plant/don't-plant switch enforces — see section 4.</t>
        </is>
      </c>
    </row>
    <row r="16">
      <c r="A16" s="3" t="inlineStr">
        <is>
          <t>3 — WHO BUYS IT   (one row per crop x channel — the grower's ruling)</t>
        </is>
      </c>
    </row>
    <row r="17">
      <c r="A17" s="7" t="inlineStr">
        <is>
          <t>Crop</t>
        </is>
      </c>
      <c r="B17" s="7" t="inlineStr">
        <is>
          <t>Channel</t>
        </is>
      </c>
      <c r="C17" s="7" t="inlineStr">
        <is>
          <t>Cap type</t>
        </is>
      </c>
      <c r="D17" s="7" t="inlineStr">
        <is>
          <t>Cap lb</t>
        </is>
      </c>
      <c r="E17" s="7" t="inlineStr">
        <is>
          <t>From wk</t>
        </is>
      </c>
      <c r="F17" s="7" t="inlineStr">
        <is>
          <t>To wk</t>
        </is>
      </c>
      <c r="G17" s="7" t="inlineStr">
        <is>
          <t>Sell-through</t>
        </is>
      </c>
      <c r="H17" s="7" t="inlineStr">
        <is>
          <t>Returns to store</t>
        </is>
      </c>
      <c r="I17" s="7" t="inlineStr">
        <is>
          <t>Price $/lb</t>
        </is>
      </c>
      <c r="J17" s="7" t="inlineStr">
        <is>
          <t>Packaging $/lb</t>
        </is>
      </c>
    </row>
    <row r="18">
      <c r="A18" s="8" t="inlineStr">
        <is>
          <t>Spinach</t>
        </is>
      </c>
      <c r="B18" s="18" t="inlineStr">
        <is>
          <t>Farmers Market</t>
        </is>
      </c>
      <c r="C18" s="12" t="inlineStr">
        <is>
          <t>Weekly</t>
        </is>
      </c>
      <c r="D18" s="6" t="n">
        <v>6000</v>
      </c>
      <c r="E18" s="12" t="n">
        <v>10</v>
      </c>
      <c r="F18" s="12" t="n">
        <v>48</v>
      </c>
      <c r="G18" s="9" t="n">
        <v>1</v>
      </c>
      <c r="H18" s="9" t="n">
        <v>0</v>
      </c>
      <c r="I18" s="16" t="n">
        <v>2.75</v>
      </c>
      <c r="J18" s="16" t="n">
        <v>0.18</v>
      </c>
    </row>
    <row r="19">
      <c r="A19" s="8" t="inlineStr">
        <is>
          <t>Spinach</t>
        </is>
      </c>
      <c r="B19" s="19" t="inlineStr">
        <is>
          <t>Wholesale</t>
        </is>
      </c>
      <c r="C19" s="12" t="inlineStr">
        <is>
          <t>Weekly</t>
        </is>
      </c>
      <c r="D19" s="6" t="n">
        <v>25000</v>
      </c>
      <c r="E19" s="12" t="n">
        <v>1</v>
      </c>
      <c r="F19" s="12" t="n">
        <v>52</v>
      </c>
      <c r="G19" s="9" t="n">
        <v>1</v>
      </c>
      <c r="H19" s="9" t="n">
        <v>0</v>
      </c>
      <c r="I19" s="16" t="n">
        <v>1</v>
      </c>
      <c r="J19" s="16" t="n">
        <v>0.09</v>
      </c>
    </row>
    <row r="20">
      <c r="A20" s="8" t="inlineStr">
        <is>
          <t>Kale</t>
        </is>
      </c>
      <c r="B20" s="18" t="inlineStr">
        <is>
          <t>Farmers Market</t>
        </is>
      </c>
      <c r="C20" s="12" t="inlineStr">
        <is>
          <t>Weekly</t>
        </is>
      </c>
      <c r="D20" s="6" t="n">
        <v>3500</v>
      </c>
      <c r="E20" s="12" t="n">
        <v>10</v>
      </c>
      <c r="F20" s="12" t="n">
        <v>50</v>
      </c>
      <c r="G20" s="9" t="n">
        <v>1</v>
      </c>
      <c r="H20" s="9" t="n">
        <v>0</v>
      </c>
      <c r="I20" s="16" t="n">
        <v>2</v>
      </c>
      <c r="J20" s="16" t="n">
        <v>0.14</v>
      </c>
    </row>
    <row r="21">
      <c r="A21" s="8" t="inlineStr">
        <is>
          <t>Kale</t>
        </is>
      </c>
      <c r="B21" s="19" t="inlineStr">
        <is>
          <t>Wholesale</t>
        </is>
      </c>
      <c r="C21" s="12" t="inlineStr">
        <is>
          <t>Annual</t>
        </is>
      </c>
      <c r="D21" s="6" t="n">
        <v>500000</v>
      </c>
      <c r="E21" s="12" t="n">
        <v>1</v>
      </c>
      <c r="F21" s="12" t="n">
        <v>52</v>
      </c>
      <c r="G21" s="9" t="n">
        <v>1</v>
      </c>
      <c r="H21" s="9" t="n">
        <v>0</v>
      </c>
      <c r="I21" s="16" t="n">
        <v>0.7</v>
      </c>
      <c r="J21" s="16" t="n">
        <v>0.07000000000000001</v>
      </c>
    </row>
    <row r="22">
      <c r="A22" s="8" t="inlineStr">
        <is>
          <t>Garlic</t>
        </is>
      </c>
      <c r="B22" s="18" t="inlineStr">
        <is>
          <t>Farmers Market</t>
        </is>
      </c>
      <c r="C22" s="12" t="inlineStr">
        <is>
          <t>Weekly</t>
        </is>
      </c>
      <c r="D22" s="6" t="n">
        <v>2000</v>
      </c>
      <c r="E22" s="12" t="n">
        <v>22</v>
      </c>
      <c r="F22" s="12" t="n">
        <v>35</v>
      </c>
      <c r="G22" s="9" t="n">
        <v>1</v>
      </c>
      <c r="H22" s="9" t="n">
        <v>1</v>
      </c>
      <c r="I22" s="16" t="n">
        <v>6</v>
      </c>
      <c r="J22" s="16" t="n">
        <v>0.4</v>
      </c>
    </row>
    <row r="23">
      <c r="A23" s="8" t="inlineStr">
        <is>
          <t>Garlic</t>
        </is>
      </c>
      <c r="B23" s="19" t="inlineStr">
        <is>
          <t>Wholesale</t>
        </is>
      </c>
      <c r="C23" s="12" t="inlineStr">
        <is>
          <t>Weekly</t>
        </is>
      </c>
      <c r="D23" s="6" t="n">
        <v>30000</v>
      </c>
      <c r="E23" s="12" t="n">
        <v>1</v>
      </c>
      <c r="F23" s="12" t="n">
        <v>52</v>
      </c>
      <c r="G23" s="9" t="n">
        <v>1</v>
      </c>
      <c r="H23" s="9" t="n">
        <v>0</v>
      </c>
      <c r="I23" s="16" t="n">
        <v>2.75</v>
      </c>
      <c r="J23" s="16" t="n">
        <v>0.2</v>
      </c>
    </row>
    <row r="25">
      <c r="A25" s="3" t="inlineStr">
        <is>
          <t>4 — THE PLANTING CALENDAR   (68 possible plantings — the solver picks)</t>
        </is>
      </c>
    </row>
    <row r="26">
      <c r="A26" s="2" t="inlineStr">
        <is>
          <t>One row per legal start week, exactly what the app's generator offers. ACRES and PLANT? are both decisions.</t>
        </is>
      </c>
    </row>
    <row r="27">
      <c r="A27" s="20" t="inlineStr">
        <is>
          <t>Succession</t>
        </is>
      </c>
      <c r="B27" s="20" t="inlineStr">
        <is>
          <t>Crop</t>
        </is>
      </c>
      <c r="C27" s="21" t="inlineStr">
        <is>
          <t>ACRES</t>
        </is>
      </c>
      <c r="D27" s="22" t="inlineStr">
        <is>
          <t>PLANT?</t>
        </is>
      </c>
      <c r="E27" s="23" t="n">
        <v>1</v>
      </c>
      <c r="F27" s="23" t="n">
        <v>2</v>
      </c>
      <c r="G27" s="23" t="n">
        <v>3</v>
      </c>
      <c r="H27" s="23" t="n">
        <v>4</v>
      </c>
      <c r="I27" s="23" t="n">
        <v>5</v>
      </c>
      <c r="J27" s="23" t="n">
        <v>6</v>
      </c>
      <c r="K27" s="23" t="n">
        <v>7</v>
      </c>
      <c r="L27" s="23" t="n">
        <v>8</v>
      </c>
      <c r="M27" s="23" t="n">
        <v>9</v>
      </c>
      <c r="N27" s="23" t="n">
        <v>10</v>
      </c>
      <c r="O27" s="23" t="n">
        <v>11</v>
      </c>
      <c r="P27" s="23" t="n">
        <v>12</v>
      </c>
      <c r="Q27" s="23" t="n">
        <v>13</v>
      </c>
      <c r="R27" s="23" t="n">
        <v>14</v>
      </c>
      <c r="S27" s="23" t="n">
        <v>15</v>
      </c>
      <c r="T27" s="23" t="n">
        <v>16</v>
      </c>
      <c r="U27" s="23" t="n">
        <v>17</v>
      </c>
      <c r="V27" s="23" t="n">
        <v>18</v>
      </c>
      <c r="W27" s="23" t="n">
        <v>19</v>
      </c>
      <c r="X27" s="23" t="n">
        <v>20</v>
      </c>
      <c r="Y27" s="23" t="n">
        <v>21</v>
      </c>
      <c r="Z27" s="23" t="n">
        <v>22</v>
      </c>
      <c r="AA27" s="23" t="n">
        <v>23</v>
      </c>
      <c r="AB27" s="23" t="n">
        <v>24</v>
      </c>
      <c r="AC27" s="23" t="n">
        <v>25</v>
      </c>
      <c r="AD27" s="23" t="n">
        <v>26</v>
      </c>
      <c r="AE27" s="23" t="n">
        <v>27</v>
      </c>
      <c r="AF27" s="23" t="n">
        <v>28</v>
      </c>
      <c r="AG27" s="23" t="n">
        <v>29</v>
      </c>
      <c r="AH27" s="23" t="n">
        <v>30</v>
      </c>
      <c r="AI27" s="23" t="n">
        <v>31</v>
      </c>
      <c r="AJ27" s="23" t="n">
        <v>32</v>
      </c>
      <c r="AK27" s="23" t="n">
        <v>33</v>
      </c>
      <c r="AL27" s="23" t="n">
        <v>34</v>
      </c>
      <c r="AM27" s="23" t="n">
        <v>35</v>
      </c>
      <c r="AN27" s="23" t="n">
        <v>36</v>
      </c>
      <c r="AO27" s="23" t="n">
        <v>37</v>
      </c>
      <c r="AP27" s="23" t="n">
        <v>38</v>
      </c>
      <c r="AQ27" s="23" t="n">
        <v>39</v>
      </c>
      <c r="AR27" s="23" t="n">
        <v>40</v>
      </c>
      <c r="AS27" s="23" t="n">
        <v>41</v>
      </c>
      <c r="AT27" s="23" t="n">
        <v>42</v>
      </c>
      <c r="AU27" s="23" t="n">
        <v>43</v>
      </c>
      <c r="AV27" s="23" t="n">
        <v>44</v>
      </c>
      <c r="AW27" s="23" t="n">
        <v>45</v>
      </c>
      <c r="AX27" s="23" t="n">
        <v>46</v>
      </c>
      <c r="AY27" s="23" t="n">
        <v>47</v>
      </c>
      <c r="AZ27" s="23" t="n">
        <v>48</v>
      </c>
      <c r="BA27" s="23" t="n">
        <v>49</v>
      </c>
      <c r="BB27" s="23" t="n">
        <v>50</v>
      </c>
      <c r="BC27" s="23" t="n">
        <v>51</v>
      </c>
      <c r="BD27" s="23" t="n">
        <v>52</v>
      </c>
      <c r="BE27" s="24" t="inlineStr">
        <is>
          <t>max if planted</t>
        </is>
      </c>
      <c r="BF27" s="24" t="inlineStr">
        <is>
          <t>min if planted</t>
        </is>
      </c>
      <c r="BG27" s="24" t="inlineStr">
        <is>
          <t>starts wk</t>
        </is>
      </c>
    </row>
    <row r="28">
      <c r="A28" s="25" t="inlineStr">
        <is>
          <t>Spinach W05</t>
        </is>
      </c>
      <c r="B28" s="25" t="inlineStr">
        <is>
          <t>Spinach</t>
        </is>
      </c>
      <c r="C28" s="26" t="n">
        <v>0</v>
      </c>
      <c r="D28" s="27" t="n">
        <v>0</v>
      </c>
      <c r="I28" s="28" t="inlineStr">
        <is>
          <t>P</t>
        </is>
      </c>
      <c r="J28" s="28" t="inlineStr">
        <is>
          <t>G</t>
        </is>
      </c>
      <c r="K28" s="28" t="inlineStr">
        <is>
          <t>G</t>
        </is>
      </c>
      <c r="L28" s="28" t="inlineStr">
        <is>
          <t>G</t>
        </is>
      </c>
      <c r="M28" s="28" t="inlineStr">
        <is>
          <t>G</t>
        </is>
      </c>
      <c r="N28" s="28" t="inlineStr">
        <is>
          <t>G</t>
        </is>
      </c>
      <c r="O28" s="28" t="inlineStr">
        <is>
          <t>H</t>
        </is>
      </c>
      <c r="P28" s="28" t="inlineStr">
        <is>
          <t>H</t>
        </is>
      </c>
      <c r="BE28" s="29">
        <f>D28*$B$5</f>
        <v/>
      </c>
      <c r="BF28" s="29">
        <f>D28*$I$11</f>
        <v/>
      </c>
      <c r="BG28" s="30">
        <f>MATCH("P",$E28:$BD28,0)</f>
        <v/>
      </c>
    </row>
    <row r="29">
      <c r="A29" s="25" t="inlineStr">
        <is>
          <t>Spinach W06</t>
        </is>
      </c>
      <c r="B29" s="25" t="inlineStr">
        <is>
          <t>Spinach</t>
        </is>
      </c>
      <c r="C29" s="26" t="n">
        <v>0</v>
      </c>
      <c r="D29" s="27" t="n">
        <v>0</v>
      </c>
      <c r="J29" s="28" t="inlineStr">
        <is>
          <t>P</t>
        </is>
      </c>
      <c r="K29" s="28" t="inlineStr">
        <is>
          <t>G</t>
        </is>
      </c>
      <c r="L29" s="28" t="inlineStr">
        <is>
          <t>G</t>
        </is>
      </c>
      <c r="M29" s="28" t="inlineStr">
        <is>
          <t>G</t>
        </is>
      </c>
      <c r="N29" s="28" t="inlineStr">
        <is>
          <t>G</t>
        </is>
      </c>
      <c r="O29" s="28" t="inlineStr">
        <is>
          <t>G</t>
        </is>
      </c>
      <c r="P29" s="28" t="inlineStr">
        <is>
          <t>H</t>
        </is>
      </c>
      <c r="Q29" s="28" t="inlineStr">
        <is>
          <t>H</t>
        </is>
      </c>
      <c r="BE29" s="29">
        <f>D29*$B$5</f>
        <v/>
      </c>
      <c r="BF29" s="29">
        <f>D29*$I$11</f>
        <v/>
      </c>
      <c r="BG29" s="30">
        <f>MATCH("P",$E29:$BD29,0)</f>
        <v/>
      </c>
    </row>
    <row r="30">
      <c r="A30" s="25" t="inlineStr">
        <is>
          <t>Spinach W07</t>
        </is>
      </c>
      <c r="B30" s="25" t="inlineStr">
        <is>
          <t>Spinach</t>
        </is>
      </c>
      <c r="C30" s="26" t="n">
        <v>0</v>
      </c>
      <c r="D30" s="27" t="n">
        <v>0</v>
      </c>
      <c r="K30" s="28" t="inlineStr">
        <is>
          <t>P</t>
        </is>
      </c>
      <c r="L30" s="28" t="inlineStr">
        <is>
          <t>G</t>
        </is>
      </c>
      <c r="M30" s="28" t="inlineStr">
        <is>
          <t>G</t>
        </is>
      </c>
      <c r="N30" s="28" t="inlineStr">
        <is>
          <t>G</t>
        </is>
      </c>
      <c r="O30" s="28" t="inlineStr">
        <is>
          <t>G</t>
        </is>
      </c>
      <c r="P30" s="28" t="inlineStr">
        <is>
          <t>G</t>
        </is>
      </c>
      <c r="Q30" s="28" t="inlineStr">
        <is>
          <t>H</t>
        </is>
      </c>
      <c r="R30" s="28" t="inlineStr">
        <is>
          <t>H</t>
        </is>
      </c>
      <c r="BE30" s="29">
        <f>D30*$B$5</f>
        <v/>
      </c>
      <c r="BF30" s="29">
        <f>D30*$I$11</f>
        <v/>
      </c>
      <c r="BG30" s="30">
        <f>MATCH("P",$E30:$BD30,0)</f>
        <v/>
      </c>
    </row>
    <row r="31">
      <c r="A31" s="25" t="inlineStr">
        <is>
          <t>Spinach W08</t>
        </is>
      </c>
      <c r="B31" s="25" t="inlineStr">
        <is>
          <t>Spinach</t>
        </is>
      </c>
      <c r="C31" s="26" t="n">
        <v>0</v>
      </c>
      <c r="D31" s="27" t="n">
        <v>0</v>
      </c>
      <c r="L31" s="28" t="inlineStr">
        <is>
          <t>P</t>
        </is>
      </c>
      <c r="M31" s="28" t="inlineStr">
        <is>
          <t>G</t>
        </is>
      </c>
      <c r="N31" s="28" t="inlineStr">
        <is>
          <t>G</t>
        </is>
      </c>
      <c r="O31" s="28" t="inlineStr">
        <is>
          <t>G</t>
        </is>
      </c>
      <c r="P31" s="28" t="inlineStr">
        <is>
          <t>G</t>
        </is>
      </c>
      <c r="Q31" s="28" t="inlineStr">
        <is>
          <t>G</t>
        </is>
      </c>
      <c r="R31" s="28" t="inlineStr">
        <is>
          <t>H</t>
        </is>
      </c>
      <c r="S31" s="28" t="inlineStr">
        <is>
          <t>H</t>
        </is>
      </c>
      <c r="BE31" s="29">
        <f>D31*$B$5</f>
        <v/>
      </c>
      <c r="BF31" s="29">
        <f>D31*$I$11</f>
        <v/>
      </c>
      <c r="BG31" s="30">
        <f>MATCH("P",$E31:$BD31,0)</f>
        <v/>
      </c>
    </row>
    <row r="32">
      <c r="A32" s="25" t="inlineStr">
        <is>
          <t>Spinach W09</t>
        </is>
      </c>
      <c r="B32" s="25" t="inlineStr">
        <is>
          <t>Spinach</t>
        </is>
      </c>
      <c r="C32" s="26" t="n">
        <v>0</v>
      </c>
      <c r="D32" s="27" t="n">
        <v>0</v>
      </c>
      <c r="M32" s="28" t="inlineStr">
        <is>
          <t>P</t>
        </is>
      </c>
      <c r="N32" s="28" t="inlineStr">
        <is>
          <t>G</t>
        </is>
      </c>
      <c r="O32" s="28" t="inlineStr">
        <is>
          <t>G</t>
        </is>
      </c>
      <c r="P32" s="28" t="inlineStr">
        <is>
          <t>G</t>
        </is>
      </c>
      <c r="Q32" s="28" t="inlineStr">
        <is>
          <t>G</t>
        </is>
      </c>
      <c r="R32" s="28" t="inlineStr">
        <is>
          <t>G</t>
        </is>
      </c>
      <c r="S32" s="28" t="inlineStr">
        <is>
          <t>H</t>
        </is>
      </c>
      <c r="T32" s="28" t="inlineStr">
        <is>
          <t>H</t>
        </is>
      </c>
      <c r="BE32" s="29">
        <f>D32*$B$5</f>
        <v/>
      </c>
      <c r="BF32" s="29">
        <f>D32*$I$11</f>
        <v/>
      </c>
      <c r="BG32" s="30">
        <f>MATCH("P",$E32:$BD32,0)</f>
        <v/>
      </c>
    </row>
    <row r="33">
      <c r="A33" s="25" t="inlineStr">
        <is>
          <t>Spinach W10</t>
        </is>
      </c>
      <c r="B33" s="25" t="inlineStr">
        <is>
          <t>Spinach</t>
        </is>
      </c>
      <c r="C33" s="26" t="n">
        <v>0</v>
      </c>
      <c r="D33" s="27" t="n">
        <v>0</v>
      </c>
      <c r="N33" s="28" t="inlineStr">
        <is>
          <t>P</t>
        </is>
      </c>
      <c r="O33" s="28" t="inlineStr">
        <is>
          <t>G</t>
        </is>
      </c>
      <c r="P33" s="28" t="inlineStr">
        <is>
          <t>G</t>
        </is>
      </c>
      <c r="Q33" s="28" t="inlineStr">
        <is>
          <t>G</t>
        </is>
      </c>
      <c r="R33" s="28" t="inlineStr">
        <is>
          <t>G</t>
        </is>
      </c>
      <c r="S33" s="28" t="inlineStr">
        <is>
          <t>G</t>
        </is>
      </c>
      <c r="T33" s="28" t="inlineStr">
        <is>
          <t>H</t>
        </is>
      </c>
      <c r="U33" s="28" t="inlineStr">
        <is>
          <t>H</t>
        </is>
      </c>
      <c r="BE33" s="29">
        <f>D33*$B$5</f>
        <v/>
      </c>
      <c r="BF33" s="29">
        <f>D33*$I$11</f>
        <v/>
      </c>
      <c r="BG33" s="30">
        <f>MATCH("P",$E33:$BD33,0)</f>
        <v/>
      </c>
    </row>
    <row r="34">
      <c r="A34" s="25" t="inlineStr">
        <is>
          <t>Spinach W11</t>
        </is>
      </c>
      <c r="B34" s="25" t="inlineStr">
        <is>
          <t>Spinach</t>
        </is>
      </c>
      <c r="C34" s="26" t="n">
        <v>0</v>
      </c>
      <c r="D34" s="27" t="n">
        <v>0</v>
      </c>
      <c r="O34" s="28" t="inlineStr">
        <is>
          <t>P</t>
        </is>
      </c>
      <c r="P34" s="28" t="inlineStr">
        <is>
          <t>G</t>
        </is>
      </c>
      <c r="Q34" s="28" t="inlineStr">
        <is>
          <t>G</t>
        </is>
      </c>
      <c r="R34" s="28" t="inlineStr">
        <is>
          <t>G</t>
        </is>
      </c>
      <c r="S34" s="28" t="inlineStr">
        <is>
          <t>G</t>
        </is>
      </c>
      <c r="T34" s="28" t="inlineStr">
        <is>
          <t>G</t>
        </is>
      </c>
      <c r="U34" s="28" t="inlineStr">
        <is>
          <t>H</t>
        </is>
      </c>
      <c r="V34" s="28" t="inlineStr">
        <is>
          <t>H</t>
        </is>
      </c>
      <c r="BE34" s="29">
        <f>D34*$B$5</f>
        <v/>
      </c>
      <c r="BF34" s="29">
        <f>D34*$I$11</f>
        <v/>
      </c>
      <c r="BG34" s="30">
        <f>MATCH("P",$E34:$BD34,0)</f>
        <v/>
      </c>
    </row>
    <row r="35">
      <c r="A35" s="25" t="inlineStr">
        <is>
          <t>Spinach W12</t>
        </is>
      </c>
      <c r="B35" s="25" t="inlineStr">
        <is>
          <t>Spinach</t>
        </is>
      </c>
      <c r="C35" s="26" t="n">
        <v>0</v>
      </c>
      <c r="D35" s="27" t="n">
        <v>0</v>
      </c>
      <c r="P35" s="28" t="inlineStr">
        <is>
          <t>P</t>
        </is>
      </c>
      <c r="Q35" s="28" t="inlineStr">
        <is>
          <t>G</t>
        </is>
      </c>
      <c r="R35" s="28" t="inlineStr">
        <is>
          <t>G</t>
        </is>
      </c>
      <c r="S35" s="28" t="inlineStr">
        <is>
          <t>G</t>
        </is>
      </c>
      <c r="T35" s="28" t="inlineStr">
        <is>
          <t>G</t>
        </is>
      </c>
      <c r="U35" s="28" t="inlineStr">
        <is>
          <t>G</t>
        </is>
      </c>
      <c r="V35" s="28" t="inlineStr">
        <is>
          <t>H</t>
        </is>
      </c>
      <c r="W35" s="28" t="inlineStr">
        <is>
          <t>H</t>
        </is>
      </c>
      <c r="BE35" s="29">
        <f>D35*$B$5</f>
        <v/>
      </c>
      <c r="BF35" s="29">
        <f>D35*$I$11</f>
        <v/>
      </c>
      <c r="BG35" s="30">
        <f>MATCH("P",$E35:$BD35,0)</f>
        <v/>
      </c>
    </row>
    <row r="36">
      <c r="A36" s="25" t="inlineStr">
        <is>
          <t>Spinach W13</t>
        </is>
      </c>
      <c r="B36" s="25" t="inlineStr">
        <is>
          <t>Spinach</t>
        </is>
      </c>
      <c r="C36" s="26" t="n">
        <v>0</v>
      </c>
      <c r="D36" s="27" t="n">
        <v>0</v>
      </c>
      <c r="Q36" s="28" t="inlineStr">
        <is>
          <t>P</t>
        </is>
      </c>
      <c r="R36" s="28" t="inlineStr">
        <is>
          <t>G</t>
        </is>
      </c>
      <c r="S36" s="28" t="inlineStr">
        <is>
          <t>G</t>
        </is>
      </c>
      <c r="T36" s="28" t="inlineStr">
        <is>
          <t>G</t>
        </is>
      </c>
      <c r="U36" s="28" t="inlineStr">
        <is>
          <t>G</t>
        </is>
      </c>
      <c r="V36" s="28" t="inlineStr">
        <is>
          <t>G</t>
        </is>
      </c>
      <c r="W36" s="28" t="inlineStr">
        <is>
          <t>H</t>
        </is>
      </c>
      <c r="X36" s="28" t="inlineStr">
        <is>
          <t>H</t>
        </is>
      </c>
      <c r="BE36" s="29">
        <f>D36*$B$5</f>
        <v/>
      </c>
      <c r="BF36" s="29">
        <f>D36*$I$11</f>
        <v/>
      </c>
      <c r="BG36" s="30">
        <f>MATCH("P",$E36:$BD36,0)</f>
        <v/>
      </c>
    </row>
    <row r="37">
      <c r="A37" s="25" t="inlineStr">
        <is>
          <t>Spinach W14</t>
        </is>
      </c>
      <c r="B37" s="25" t="inlineStr">
        <is>
          <t>Spinach</t>
        </is>
      </c>
      <c r="C37" s="26" t="n">
        <v>0</v>
      </c>
      <c r="D37" s="27" t="n">
        <v>0</v>
      </c>
      <c r="R37" s="28" t="inlineStr">
        <is>
          <t>P</t>
        </is>
      </c>
      <c r="S37" s="28" t="inlineStr">
        <is>
          <t>G</t>
        </is>
      </c>
      <c r="T37" s="28" t="inlineStr">
        <is>
          <t>G</t>
        </is>
      </c>
      <c r="U37" s="28" t="inlineStr">
        <is>
          <t>G</t>
        </is>
      </c>
      <c r="V37" s="28" t="inlineStr">
        <is>
          <t>G</t>
        </is>
      </c>
      <c r="W37" s="28" t="inlineStr">
        <is>
          <t>G</t>
        </is>
      </c>
      <c r="X37" s="28" t="inlineStr">
        <is>
          <t>H</t>
        </is>
      </c>
      <c r="Y37" s="28" t="inlineStr">
        <is>
          <t>H</t>
        </is>
      </c>
      <c r="BE37" s="29">
        <f>D37*$B$5</f>
        <v/>
      </c>
      <c r="BF37" s="29">
        <f>D37*$I$11</f>
        <v/>
      </c>
      <c r="BG37" s="30">
        <f>MATCH("P",$E37:$BD37,0)</f>
        <v/>
      </c>
    </row>
    <row r="38">
      <c r="A38" s="25" t="inlineStr">
        <is>
          <t>Spinach W15</t>
        </is>
      </c>
      <c r="B38" s="25" t="inlineStr">
        <is>
          <t>Spinach</t>
        </is>
      </c>
      <c r="C38" s="26" t="n">
        <v>0</v>
      </c>
      <c r="D38" s="27" t="n">
        <v>0</v>
      </c>
      <c r="S38" s="28" t="inlineStr">
        <is>
          <t>P</t>
        </is>
      </c>
      <c r="T38" s="28" t="inlineStr">
        <is>
          <t>G</t>
        </is>
      </c>
      <c r="U38" s="28" t="inlineStr">
        <is>
          <t>G</t>
        </is>
      </c>
      <c r="V38" s="28" t="inlineStr">
        <is>
          <t>G</t>
        </is>
      </c>
      <c r="W38" s="28" t="inlineStr">
        <is>
          <t>G</t>
        </is>
      </c>
      <c r="X38" s="28" t="inlineStr">
        <is>
          <t>G</t>
        </is>
      </c>
      <c r="Y38" s="28" t="inlineStr">
        <is>
          <t>H</t>
        </is>
      </c>
      <c r="Z38" s="28" t="inlineStr">
        <is>
          <t>H</t>
        </is>
      </c>
      <c r="BE38" s="29">
        <f>D38*$B$5</f>
        <v/>
      </c>
      <c r="BF38" s="29">
        <f>D38*$I$11</f>
        <v/>
      </c>
      <c r="BG38" s="30">
        <f>MATCH("P",$E38:$BD38,0)</f>
        <v/>
      </c>
    </row>
    <row r="39">
      <c r="A39" s="25" t="inlineStr">
        <is>
          <t>Spinach W16</t>
        </is>
      </c>
      <c r="B39" s="25" t="inlineStr">
        <is>
          <t>Spinach</t>
        </is>
      </c>
      <c r="C39" s="26" t="n">
        <v>0</v>
      </c>
      <c r="D39" s="27" t="n">
        <v>0</v>
      </c>
      <c r="T39" s="28" t="inlineStr">
        <is>
          <t>P</t>
        </is>
      </c>
      <c r="U39" s="28" t="inlineStr">
        <is>
          <t>G</t>
        </is>
      </c>
      <c r="V39" s="28" t="inlineStr">
        <is>
          <t>G</t>
        </is>
      </c>
      <c r="W39" s="28" t="inlineStr">
        <is>
          <t>G</t>
        </is>
      </c>
      <c r="X39" s="28" t="inlineStr">
        <is>
          <t>G</t>
        </is>
      </c>
      <c r="Y39" s="28" t="inlineStr">
        <is>
          <t>G</t>
        </is>
      </c>
      <c r="Z39" s="28" t="inlineStr">
        <is>
          <t>H</t>
        </is>
      </c>
      <c r="AA39" s="28" t="inlineStr">
        <is>
          <t>H</t>
        </is>
      </c>
      <c r="BE39" s="29">
        <f>D39*$B$5</f>
        <v/>
      </c>
      <c r="BF39" s="29">
        <f>D39*$I$11</f>
        <v/>
      </c>
      <c r="BG39" s="30">
        <f>MATCH("P",$E39:$BD39,0)</f>
        <v/>
      </c>
    </row>
    <row r="40">
      <c r="A40" s="25" t="inlineStr">
        <is>
          <t>Spinach W17</t>
        </is>
      </c>
      <c r="B40" s="25" t="inlineStr">
        <is>
          <t>Spinach</t>
        </is>
      </c>
      <c r="C40" s="26" t="n">
        <v>0</v>
      </c>
      <c r="D40" s="27" t="n">
        <v>0</v>
      </c>
      <c r="U40" s="28" t="inlineStr">
        <is>
          <t>P</t>
        </is>
      </c>
      <c r="V40" s="28" t="inlineStr">
        <is>
          <t>G</t>
        </is>
      </c>
      <c r="W40" s="28" t="inlineStr">
        <is>
          <t>G</t>
        </is>
      </c>
      <c r="X40" s="28" t="inlineStr">
        <is>
          <t>G</t>
        </is>
      </c>
      <c r="Y40" s="28" t="inlineStr">
        <is>
          <t>G</t>
        </is>
      </c>
      <c r="Z40" s="28" t="inlineStr">
        <is>
          <t>G</t>
        </is>
      </c>
      <c r="AA40" s="28" t="inlineStr">
        <is>
          <t>H</t>
        </is>
      </c>
      <c r="AB40" s="28" t="inlineStr">
        <is>
          <t>H</t>
        </is>
      </c>
      <c r="BE40" s="29">
        <f>D40*$B$5</f>
        <v/>
      </c>
      <c r="BF40" s="29">
        <f>D40*$I$11</f>
        <v/>
      </c>
      <c r="BG40" s="30">
        <f>MATCH("P",$E40:$BD40,0)</f>
        <v/>
      </c>
    </row>
    <row r="41">
      <c r="A41" s="25" t="inlineStr">
        <is>
          <t>Spinach W18</t>
        </is>
      </c>
      <c r="B41" s="25" t="inlineStr">
        <is>
          <t>Spinach</t>
        </is>
      </c>
      <c r="C41" s="26" t="n">
        <v>0</v>
      </c>
      <c r="D41" s="27" t="n">
        <v>0</v>
      </c>
      <c r="V41" s="28" t="inlineStr">
        <is>
          <t>P</t>
        </is>
      </c>
      <c r="W41" s="28" t="inlineStr">
        <is>
          <t>G</t>
        </is>
      </c>
      <c r="X41" s="28" t="inlineStr">
        <is>
          <t>G</t>
        </is>
      </c>
      <c r="Y41" s="28" t="inlineStr">
        <is>
          <t>G</t>
        </is>
      </c>
      <c r="Z41" s="28" t="inlineStr">
        <is>
          <t>G</t>
        </is>
      </c>
      <c r="AA41" s="28" t="inlineStr">
        <is>
          <t>G</t>
        </is>
      </c>
      <c r="AB41" s="28" t="inlineStr">
        <is>
          <t>H</t>
        </is>
      </c>
      <c r="AC41" s="28" t="inlineStr">
        <is>
          <t>H</t>
        </is>
      </c>
      <c r="BE41" s="29">
        <f>D41*$B$5</f>
        <v/>
      </c>
      <c r="BF41" s="29">
        <f>D41*$I$11</f>
        <v/>
      </c>
      <c r="BG41" s="30">
        <f>MATCH("P",$E41:$BD41,0)</f>
        <v/>
      </c>
    </row>
    <row r="42">
      <c r="A42" s="25" t="inlineStr">
        <is>
          <t>Spinach W19</t>
        </is>
      </c>
      <c r="B42" s="25" t="inlineStr">
        <is>
          <t>Spinach</t>
        </is>
      </c>
      <c r="C42" s="26" t="n">
        <v>0</v>
      </c>
      <c r="D42" s="27" t="n">
        <v>0</v>
      </c>
      <c r="W42" s="28" t="inlineStr">
        <is>
          <t>P</t>
        </is>
      </c>
      <c r="X42" s="28" t="inlineStr">
        <is>
          <t>G</t>
        </is>
      </c>
      <c r="Y42" s="28" t="inlineStr">
        <is>
          <t>G</t>
        </is>
      </c>
      <c r="Z42" s="28" t="inlineStr">
        <is>
          <t>G</t>
        </is>
      </c>
      <c r="AA42" s="28" t="inlineStr">
        <is>
          <t>G</t>
        </is>
      </c>
      <c r="AB42" s="28" t="inlineStr">
        <is>
          <t>G</t>
        </is>
      </c>
      <c r="AC42" s="28" t="inlineStr">
        <is>
          <t>H</t>
        </is>
      </c>
      <c r="AD42" s="28" t="inlineStr">
        <is>
          <t>H</t>
        </is>
      </c>
      <c r="BE42" s="29">
        <f>D42*$B$5</f>
        <v/>
      </c>
      <c r="BF42" s="29">
        <f>D42*$I$11</f>
        <v/>
      </c>
      <c r="BG42" s="30">
        <f>MATCH("P",$E42:$BD42,0)</f>
        <v/>
      </c>
    </row>
    <row r="43">
      <c r="A43" s="25" t="inlineStr">
        <is>
          <t>Spinach W20</t>
        </is>
      </c>
      <c r="B43" s="25" t="inlineStr">
        <is>
          <t>Spinach</t>
        </is>
      </c>
      <c r="C43" s="26" t="n">
        <v>0</v>
      </c>
      <c r="D43" s="27" t="n">
        <v>0</v>
      </c>
      <c r="X43" s="28" t="inlineStr">
        <is>
          <t>P</t>
        </is>
      </c>
      <c r="Y43" s="28" t="inlineStr">
        <is>
          <t>G</t>
        </is>
      </c>
      <c r="Z43" s="28" t="inlineStr">
        <is>
          <t>G</t>
        </is>
      </c>
      <c r="AA43" s="28" t="inlineStr">
        <is>
          <t>G</t>
        </is>
      </c>
      <c r="AB43" s="28" t="inlineStr">
        <is>
          <t>G</t>
        </is>
      </c>
      <c r="AC43" s="28" t="inlineStr">
        <is>
          <t>G</t>
        </is>
      </c>
      <c r="AD43" s="28" t="inlineStr">
        <is>
          <t>H</t>
        </is>
      </c>
      <c r="AE43" s="28" t="inlineStr">
        <is>
          <t>H</t>
        </is>
      </c>
      <c r="BE43" s="29">
        <f>D43*$B$5</f>
        <v/>
      </c>
      <c r="BF43" s="29">
        <f>D43*$I$11</f>
        <v/>
      </c>
      <c r="BG43" s="30">
        <f>MATCH("P",$E43:$BD43,0)</f>
        <v/>
      </c>
    </row>
    <row r="44">
      <c r="A44" s="25" t="inlineStr">
        <is>
          <t>Spinach W21</t>
        </is>
      </c>
      <c r="B44" s="25" t="inlineStr">
        <is>
          <t>Spinach</t>
        </is>
      </c>
      <c r="C44" s="26" t="n">
        <v>0</v>
      </c>
      <c r="D44" s="27" t="n">
        <v>0</v>
      </c>
      <c r="Y44" s="28" t="inlineStr">
        <is>
          <t>P</t>
        </is>
      </c>
      <c r="Z44" s="28" t="inlineStr">
        <is>
          <t>G</t>
        </is>
      </c>
      <c r="AA44" s="28" t="inlineStr">
        <is>
          <t>G</t>
        </is>
      </c>
      <c r="AB44" s="28" t="inlineStr">
        <is>
          <t>G</t>
        </is>
      </c>
      <c r="AC44" s="28" t="inlineStr">
        <is>
          <t>G</t>
        </is>
      </c>
      <c r="AD44" s="28" t="inlineStr">
        <is>
          <t>G</t>
        </is>
      </c>
      <c r="AE44" s="28" t="inlineStr">
        <is>
          <t>H</t>
        </is>
      </c>
      <c r="AF44" s="28" t="inlineStr">
        <is>
          <t>H</t>
        </is>
      </c>
      <c r="BE44" s="29">
        <f>D44*$B$5</f>
        <v/>
      </c>
      <c r="BF44" s="29">
        <f>D44*$I$11</f>
        <v/>
      </c>
      <c r="BG44" s="30">
        <f>MATCH("P",$E44:$BD44,0)</f>
        <v/>
      </c>
    </row>
    <row r="45">
      <c r="A45" s="25" t="inlineStr">
        <is>
          <t>Spinach W22</t>
        </is>
      </c>
      <c r="B45" s="25" t="inlineStr">
        <is>
          <t>Spinach</t>
        </is>
      </c>
      <c r="C45" s="26" t="n">
        <v>0</v>
      </c>
      <c r="D45" s="27" t="n">
        <v>0</v>
      </c>
      <c r="Z45" s="28" t="inlineStr">
        <is>
          <t>P</t>
        </is>
      </c>
      <c r="AA45" s="28" t="inlineStr">
        <is>
          <t>G</t>
        </is>
      </c>
      <c r="AB45" s="28" t="inlineStr">
        <is>
          <t>G</t>
        </is>
      </c>
      <c r="AC45" s="28" t="inlineStr">
        <is>
          <t>G</t>
        </is>
      </c>
      <c r="AD45" s="28" t="inlineStr">
        <is>
          <t>G</t>
        </is>
      </c>
      <c r="AE45" s="28" t="inlineStr">
        <is>
          <t>G</t>
        </is>
      </c>
      <c r="AF45" s="28" t="inlineStr">
        <is>
          <t>H</t>
        </is>
      </c>
      <c r="AG45" s="28" t="inlineStr">
        <is>
          <t>H</t>
        </is>
      </c>
      <c r="BE45" s="29">
        <f>D45*$B$5</f>
        <v/>
      </c>
      <c r="BF45" s="29">
        <f>D45*$I$11</f>
        <v/>
      </c>
      <c r="BG45" s="30">
        <f>MATCH("P",$E45:$BD45,0)</f>
        <v/>
      </c>
    </row>
    <row r="46">
      <c r="A46" s="25" t="inlineStr">
        <is>
          <t>Spinach W23</t>
        </is>
      </c>
      <c r="B46" s="25" t="inlineStr">
        <is>
          <t>Spinach</t>
        </is>
      </c>
      <c r="C46" s="26" t="n">
        <v>0</v>
      </c>
      <c r="D46" s="27" t="n">
        <v>0</v>
      </c>
      <c r="AA46" s="28" t="inlineStr">
        <is>
          <t>P</t>
        </is>
      </c>
      <c r="AB46" s="28" t="inlineStr">
        <is>
          <t>G</t>
        </is>
      </c>
      <c r="AC46" s="28" t="inlineStr">
        <is>
          <t>G</t>
        </is>
      </c>
      <c r="AD46" s="28" t="inlineStr">
        <is>
          <t>G</t>
        </is>
      </c>
      <c r="AE46" s="28" t="inlineStr">
        <is>
          <t>G</t>
        </is>
      </c>
      <c r="AF46" s="28" t="inlineStr">
        <is>
          <t>G</t>
        </is>
      </c>
      <c r="AG46" s="28" t="inlineStr">
        <is>
          <t>H</t>
        </is>
      </c>
      <c r="AH46" s="28" t="inlineStr">
        <is>
          <t>H</t>
        </is>
      </c>
      <c r="BE46" s="29">
        <f>D46*$B$5</f>
        <v/>
      </c>
      <c r="BF46" s="29">
        <f>D46*$I$11</f>
        <v/>
      </c>
      <c r="BG46" s="30">
        <f>MATCH("P",$E46:$BD46,0)</f>
        <v/>
      </c>
    </row>
    <row r="47">
      <c r="A47" s="25" t="inlineStr">
        <is>
          <t>Spinach W24</t>
        </is>
      </c>
      <c r="B47" s="25" t="inlineStr">
        <is>
          <t>Spinach</t>
        </is>
      </c>
      <c r="C47" s="26" t="n">
        <v>0</v>
      </c>
      <c r="D47" s="27" t="n">
        <v>0</v>
      </c>
      <c r="AB47" s="28" t="inlineStr">
        <is>
          <t>P</t>
        </is>
      </c>
      <c r="AC47" s="28" t="inlineStr">
        <is>
          <t>G</t>
        </is>
      </c>
      <c r="AD47" s="28" t="inlineStr">
        <is>
          <t>G</t>
        </is>
      </c>
      <c r="AE47" s="28" t="inlineStr">
        <is>
          <t>G</t>
        </is>
      </c>
      <c r="AF47" s="28" t="inlineStr">
        <is>
          <t>G</t>
        </is>
      </c>
      <c r="AG47" s="28" t="inlineStr">
        <is>
          <t>G</t>
        </is>
      </c>
      <c r="AH47" s="28" t="inlineStr">
        <is>
          <t>H</t>
        </is>
      </c>
      <c r="AI47" s="28" t="inlineStr">
        <is>
          <t>H</t>
        </is>
      </c>
      <c r="BE47" s="29">
        <f>D47*$B$5</f>
        <v/>
      </c>
      <c r="BF47" s="29">
        <f>D47*$I$11</f>
        <v/>
      </c>
      <c r="BG47" s="30">
        <f>MATCH("P",$E47:$BD47,0)</f>
        <v/>
      </c>
    </row>
    <row r="48">
      <c r="A48" s="25" t="inlineStr">
        <is>
          <t>Spinach W31</t>
        </is>
      </c>
      <c r="B48" s="25" t="inlineStr">
        <is>
          <t>Spinach</t>
        </is>
      </c>
      <c r="C48" s="26" t="n">
        <v>0</v>
      </c>
      <c r="D48" s="27" t="n">
        <v>0</v>
      </c>
      <c r="AI48" s="28" t="inlineStr">
        <is>
          <t>P</t>
        </is>
      </c>
      <c r="AJ48" s="28" t="inlineStr">
        <is>
          <t>G</t>
        </is>
      </c>
      <c r="AK48" s="28" t="inlineStr">
        <is>
          <t>G</t>
        </is>
      </c>
      <c r="AL48" s="28" t="inlineStr">
        <is>
          <t>G</t>
        </is>
      </c>
      <c r="AM48" s="28" t="inlineStr">
        <is>
          <t>G</t>
        </is>
      </c>
      <c r="AN48" s="28" t="inlineStr">
        <is>
          <t>G</t>
        </is>
      </c>
      <c r="AO48" s="28" t="inlineStr">
        <is>
          <t>H</t>
        </is>
      </c>
      <c r="AP48" s="28" t="inlineStr">
        <is>
          <t>H</t>
        </is>
      </c>
      <c r="BE48" s="29">
        <f>D48*$B$5</f>
        <v/>
      </c>
      <c r="BF48" s="29">
        <f>D48*$I$11</f>
        <v/>
      </c>
      <c r="BG48" s="30">
        <f>MATCH("P",$E48:$BD48,0)</f>
        <v/>
      </c>
    </row>
    <row r="49">
      <c r="A49" s="25" t="inlineStr">
        <is>
          <t>Spinach W32</t>
        </is>
      </c>
      <c r="B49" s="25" t="inlineStr">
        <is>
          <t>Spinach</t>
        </is>
      </c>
      <c r="C49" s="26" t="n">
        <v>0</v>
      </c>
      <c r="D49" s="27" t="n">
        <v>0</v>
      </c>
      <c r="AJ49" s="28" t="inlineStr">
        <is>
          <t>P</t>
        </is>
      </c>
      <c r="AK49" s="28" t="inlineStr">
        <is>
          <t>G</t>
        </is>
      </c>
      <c r="AL49" s="28" t="inlineStr">
        <is>
          <t>G</t>
        </is>
      </c>
      <c r="AM49" s="28" t="inlineStr">
        <is>
          <t>G</t>
        </is>
      </c>
      <c r="AN49" s="28" t="inlineStr">
        <is>
          <t>G</t>
        </is>
      </c>
      <c r="AO49" s="28" t="inlineStr">
        <is>
          <t>G</t>
        </is>
      </c>
      <c r="AP49" s="28" t="inlineStr">
        <is>
          <t>H</t>
        </is>
      </c>
      <c r="AQ49" s="28" t="inlineStr">
        <is>
          <t>H</t>
        </is>
      </c>
      <c r="BE49" s="29">
        <f>D49*$B$5</f>
        <v/>
      </c>
      <c r="BF49" s="29">
        <f>D49*$I$11</f>
        <v/>
      </c>
      <c r="BG49" s="30">
        <f>MATCH("P",$E49:$BD49,0)</f>
        <v/>
      </c>
    </row>
    <row r="50">
      <c r="A50" s="25" t="inlineStr">
        <is>
          <t>Spinach W33</t>
        </is>
      </c>
      <c r="B50" s="25" t="inlineStr">
        <is>
          <t>Spinach</t>
        </is>
      </c>
      <c r="C50" s="26" t="n">
        <v>0</v>
      </c>
      <c r="D50" s="27" t="n">
        <v>0</v>
      </c>
      <c r="AK50" s="28" t="inlineStr">
        <is>
          <t>P</t>
        </is>
      </c>
      <c r="AL50" s="28" t="inlineStr">
        <is>
          <t>G</t>
        </is>
      </c>
      <c r="AM50" s="28" t="inlineStr">
        <is>
          <t>G</t>
        </is>
      </c>
      <c r="AN50" s="28" t="inlineStr">
        <is>
          <t>G</t>
        </is>
      </c>
      <c r="AO50" s="28" t="inlineStr">
        <is>
          <t>G</t>
        </is>
      </c>
      <c r="AP50" s="28" t="inlineStr">
        <is>
          <t>G</t>
        </is>
      </c>
      <c r="AQ50" s="28" t="inlineStr">
        <is>
          <t>H</t>
        </is>
      </c>
      <c r="AR50" s="28" t="inlineStr">
        <is>
          <t>H</t>
        </is>
      </c>
      <c r="BE50" s="29">
        <f>D50*$B$5</f>
        <v/>
      </c>
      <c r="BF50" s="29">
        <f>D50*$I$11</f>
        <v/>
      </c>
      <c r="BG50" s="30">
        <f>MATCH("P",$E50:$BD50,0)</f>
        <v/>
      </c>
    </row>
    <row r="51">
      <c r="A51" s="25" t="inlineStr">
        <is>
          <t>Spinach W34</t>
        </is>
      </c>
      <c r="B51" s="25" t="inlineStr">
        <is>
          <t>Spinach</t>
        </is>
      </c>
      <c r="C51" s="26" t="n">
        <v>0</v>
      </c>
      <c r="D51" s="27" t="n">
        <v>0</v>
      </c>
      <c r="AL51" s="28" t="inlineStr">
        <is>
          <t>P</t>
        </is>
      </c>
      <c r="AM51" s="28" t="inlineStr">
        <is>
          <t>G</t>
        </is>
      </c>
      <c r="AN51" s="28" t="inlineStr">
        <is>
          <t>G</t>
        </is>
      </c>
      <c r="AO51" s="28" t="inlineStr">
        <is>
          <t>G</t>
        </is>
      </c>
      <c r="AP51" s="28" t="inlineStr">
        <is>
          <t>G</t>
        </is>
      </c>
      <c r="AQ51" s="28" t="inlineStr">
        <is>
          <t>G</t>
        </is>
      </c>
      <c r="AR51" s="28" t="inlineStr">
        <is>
          <t>H</t>
        </is>
      </c>
      <c r="AS51" s="28" t="inlineStr">
        <is>
          <t>H</t>
        </is>
      </c>
      <c r="BE51" s="29">
        <f>D51*$B$5</f>
        <v/>
      </c>
      <c r="BF51" s="29">
        <f>D51*$I$11</f>
        <v/>
      </c>
      <c r="BG51" s="30">
        <f>MATCH("P",$E51:$BD51,0)</f>
        <v/>
      </c>
    </row>
    <row r="52">
      <c r="A52" s="25" t="inlineStr">
        <is>
          <t>Spinach W35</t>
        </is>
      </c>
      <c r="B52" s="25" t="inlineStr">
        <is>
          <t>Spinach</t>
        </is>
      </c>
      <c r="C52" s="26" t="n">
        <v>0</v>
      </c>
      <c r="D52" s="27" t="n">
        <v>0</v>
      </c>
      <c r="AM52" s="28" t="inlineStr">
        <is>
          <t>P</t>
        </is>
      </c>
      <c r="AN52" s="28" t="inlineStr">
        <is>
          <t>G</t>
        </is>
      </c>
      <c r="AO52" s="28" t="inlineStr">
        <is>
          <t>G</t>
        </is>
      </c>
      <c r="AP52" s="28" t="inlineStr">
        <is>
          <t>G</t>
        </is>
      </c>
      <c r="AQ52" s="28" t="inlineStr">
        <is>
          <t>G</t>
        </is>
      </c>
      <c r="AR52" s="28" t="inlineStr">
        <is>
          <t>G</t>
        </is>
      </c>
      <c r="AS52" s="28" t="inlineStr">
        <is>
          <t>H</t>
        </is>
      </c>
      <c r="AT52" s="28" t="inlineStr">
        <is>
          <t>H</t>
        </is>
      </c>
      <c r="BE52" s="29">
        <f>D52*$B$5</f>
        <v/>
      </c>
      <c r="BF52" s="29">
        <f>D52*$I$11</f>
        <v/>
      </c>
      <c r="BG52" s="30">
        <f>MATCH("P",$E52:$BD52,0)</f>
        <v/>
      </c>
    </row>
    <row r="53">
      <c r="A53" s="25" t="inlineStr">
        <is>
          <t>Spinach W36</t>
        </is>
      </c>
      <c r="B53" s="25" t="inlineStr">
        <is>
          <t>Spinach</t>
        </is>
      </c>
      <c r="C53" s="26" t="n">
        <v>0</v>
      </c>
      <c r="D53" s="27" t="n">
        <v>0</v>
      </c>
      <c r="AN53" s="28" t="inlineStr">
        <is>
          <t>P</t>
        </is>
      </c>
      <c r="AO53" s="28" t="inlineStr">
        <is>
          <t>G</t>
        </is>
      </c>
      <c r="AP53" s="28" t="inlineStr">
        <is>
          <t>G</t>
        </is>
      </c>
      <c r="AQ53" s="28" t="inlineStr">
        <is>
          <t>G</t>
        </is>
      </c>
      <c r="AR53" s="28" t="inlineStr">
        <is>
          <t>G</t>
        </is>
      </c>
      <c r="AS53" s="28" t="inlineStr">
        <is>
          <t>G</t>
        </is>
      </c>
      <c r="AT53" s="28" t="inlineStr">
        <is>
          <t>H</t>
        </is>
      </c>
      <c r="AU53" s="28" t="inlineStr">
        <is>
          <t>H</t>
        </is>
      </c>
      <c r="BE53" s="29">
        <f>D53*$B$5</f>
        <v/>
      </c>
      <c r="BF53" s="29">
        <f>D53*$I$11</f>
        <v/>
      </c>
      <c r="BG53" s="30">
        <f>MATCH("P",$E53:$BD53,0)</f>
        <v/>
      </c>
    </row>
    <row r="54">
      <c r="A54" s="25" t="inlineStr">
        <is>
          <t>Spinach W37</t>
        </is>
      </c>
      <c r="B54" s="25" t="inlineStr">
        <is>
          <t>Spinach</t>
        </is>
      </c>
      <c r="C54" s="26" t="n">
        <v>0</v>
      </c>
      <c r="D54" s="27" t="n">
        <v>0</v>
      </c>
      <c r="AO54" s="28" t="inlineStr">
        <is>
          <t>P</t>
        </is>
      </c>
      <c r="AP54" s="28" t="inlineStr">
        <is>
          <t>G</t>
        </is>
      </c>
      <c r="AQ54" s="28" t="inlineStr">
        <is>
          <t>G</t>
        </is>
      </c>
      <c r="AR54" s="28" t="inlineStr">
        <is>
          <t>G</t>
        </is>
      </c>
      <c r="AS54" s="28" t="inlineStr">
        <is>
          <t>G</t>
        </is>
      </c>
      <c r="AT54" s="28" t="inlineStr">
        <is>
          <t>G</t>
        </is>
      </c>
      <c r="AU54" s="28" t="inlineStr">
        <is>
          <t>H</t>
        </is>
      </c>
      <c r="AV54" s="28" t="inlineStr">
        <is>
          <t>H</t>
        </is>
      </c>
      <c r="BE54" s="29">
        <f>D54*$B$5</f>
        <v/>
      </c>
      <c r="BF54" s="29">
        <f>D54*$I$11</f>
        <v/>
      </c>
      <c r="BG54" s="30">
        <f>MATCH("P",$E54:$BD54,0)</f>
        <v/>
      </c>
    </row>
    <row r="55">
      <c r="A55" s="25" t="inlineStr">
        <is>
          <t>Spinach W38</t>
        </is>
      </c>
      <c r="B55" s="25" t="inlineStr">
        <is>
          <t>Spinach</t>
        </is>
      </c>
      <c r="C55" s="26" t="n">
        <v>0</v>
      </c>
      <c r="D55" s="27" t="n">
        <v>0</v>
      </c>
      <c r="AP55" s="28" t="inlineStr">
        <is>
          <t>P</t>
        </is>
      </c>
      <c r="AQ55" s="28" t="inlineStr">
        <is>
          <t>G</t>
        </is>
      </c>
      <c r="AR55" s="28" t="inlineStr">
        <is>
          <t>G</t>
        </is>
      </c>
      <c r="AS55" s="28" t="inlineStr">
        <is>
          <t>G</t>
        </is>
      </c>
      <c r="AT55" s="28" t="inlineStr">
        <is>
          <t>G</t>
        </is>
      </c>
      <c r="AU55" s="28" t="inlineStr">
        <is>
          <t>G</t>
        </is>
      </c>
      <c r="AV55" s="28" t="inlineStr">
        <is>
          <t>H</t>
        </is>
      </c>
      <c r="AW55" s="28" t="inlineStr">
        <is>
          <t>H</t>
        </is>
      </c>
      <c r="BE55" s="29">
        <f>D55*$B$5</f>
        <v/>
      </c>
      <c r="BF55" s="29">
        <f>D55*$I$11</f>
        <v/>
      </c>
      <c r="BG55" s="30">
        <f>MATCH("P",$E55:$BD55,0)</f>
        <v/>
      </c>
    </row>
    <row r="56">
      <c r="A56" s="25" t="inlineStr">
        <is>
          <t>Spinach W39</t>
        </is>
      </c>
      <c r="B56" s="25" t="inlineStr">
        <is>
          <t>Spinach</t>
        </is>
      </c>
      <c r="C56" s="26" t="n">
        <v>0</v>
      </c>
      <c r="D56" s="27" t="n">
        <v>0</v>
      </c>
      <c r="AQ56" s="28" t="inlineStr">
        <is>
          <t>P</t>
        </is>
      </c>
      <c r="AR56" s="28" t="inlineStr">
        <is>
          <t>G</t>
        </is>
      </c>
      <c r="AS56" s="28" t="inlineStr">
        <is>
          <t>G</t>
        </is>
      </c>
      <c r="AT56" s="28" t="inlineStr">
        <is>
          <t>G</t>
        </is>
      </c>
      <c r="AU56" s="28" t="inlineStr">
        <is>
          <t>G</t>
        </is>
      </c>
      <c r="AV56" s="28" t="inlineStr">
        <is>
          <t>G</t>
        </is>
      </c>
      <c r="AW56" s="28" t="inlineStr">
        <is>
          <t>H</t>
        </is>
      </c>
      <c r="AX56" s="28" t="inlineStr">
        <is>
          <t>H</t>
        </is>
      </c>
      <c r="BE56" s="29">
        <f>D56*$B$5</f>
        <v/>
      </c>
      <c r="BF56" s="29">
        <f>D56*$I$11</f>
        <v/>
      </c>
      <c r="BG56" s="30">
        <f>MATCH("P",$E56:$BD56,0)</f>
        <v/>
      </c>
    </row>
    <row r="57">
      <c r="A57" s="25" t="inlineStr">
        <is>
          <t>Spinach W40</t>
        </is>
      </c>
      <c r="B57" s="25" t="inlineStr">
        <is>
          <t>Spinach</t>
        </is>
      </c>
      <c r="C57" s="26" t="n">
        <v>0</v>
      </c>
      <c r="D57" s="27" t="n">
        <v>0</v>
      </c>
      <c r="AR57" s="28" t="inlineStr">
        <is>
          <t>P</t>
        </is>
      </c>
      <c r="AS57" s="28" t="inlineStr">
        <is>
          <t>G</t>
        </is>
      </c>
      <c r="AT57" s="28" t="inlineStr">
        <is>
          <t>G</t>
        </is>
      </c>
      <c r="AU57" s="28" t="inlineStr">
        <is>
          <t>G</t>
        </is>
      </c>
      <c r="AV57" s="28" t="inlineStr">
        <is>
          <t>G</t>
        </is>
      </c>
      <c r="AW57" s="28" t="inlineStr">
        <is>
          <t>G</t>
        </is>
      </c>
      <c r="AX57" s="28" t="inlineStr">
        <is>
          <t>H</t>
        </is>
      </c>
      <c r="AY57" s="28" t="inlineStr">
        <is>
          <t>H</t>
        </is>
      </c>
      <c r="BE57" s="29">
        <f>D57*$B$5</f>
        <v/>
      </c>
      <c r="BF57" s="29">
        <f>D57*$I$11</f>
        <v/>
      </c>
      <c r="BG57" s="30">
        <f>MATCH("P",$E57:$BD57,0)</f>
        <v/>
      </c>
    </row>
    <row r="58">
      <c r="A58" s="25" t="inlineStr">
        <is>
          <t>Spinach W41</t>
        </is>
      </c>
      <c r="B58" s="25" t="inlineStr">
        <is>
          <t>Spinach</t>
        </is>
      </c>
      <c r="C58" s="26" t="n">
        <v>0</v>
      </c>
      <c r="D58" s="27" t="n">
        <v>0</v>
      </c>
      <c r="AS58" s="28" t="inlineStr">
        <is>
          <t>P</t>
        </is>
      </c>
      <c r="AT58" s="28" t="inlineStr">
        <is>
          <t>G</t>
        </is>
      </c>
      <c r="AU58" s="28" t="inlineStr">
        <is>
          <t>G</t>
        </is>
      </c>
      <c r="AV58" s="28" t="inlineStr">
        <is>
          <t>G</t>
        </is>
      </c>
      <c r="AW58" s="28" t="inlineStr">
        <is>
          <t>G</t>
        </is>
      </c>
      <c r="AX58" s="28" t="inlineStr">
        <is>
          <t>G</t>
        </is>
      </c>
      <c r="AY58" s="28" t="inlineStr">
        <is>
          <t>H</t>
        </is>
      </c>
      <c r="AZ58" s="28" t="inlineStr">
        <is>
          <t>H</t>
        </is>
      </c>
      <c r="BE58" s="29">
        <f>D58*$B$5</f>
        <v/>
      </c>
      <c r="BF58" s="29">
        <f>D58*$I$11</f>
        <v/>
      </c>
      <c r="BG58" s="30">
        <f>MATCH("P",$E58:$BD58,0)</f>
        <v/>
      </c>
    </row>
    <row r="59">
      <c r="A59" s="25" t="inlineStr">
        <is>
          <t>Spinach W42</t>
        </is>
      </c>
      <c r="B59" s="25" t="inlineStr">
        <is>
          <t>Spinach</t>
        </is>
      </c>
      <c r="C59" s="26" t="n">
        <v>0</v>
      </c>
      <c r="D59" s="27" t="n">
        <v>0</v>
      </c>
      <c r="AT59" s="28" t="inlineStr">
        <is>
          <t>P</t>
        </is>
      </c>
      <c r="AU59" s="28" t="inlineStr">
        <is>
          <t>G</t>
        </is>
      </c>
      <c r="AV59" s="28" t="inlineStr">
        <is>
          <t>G</t>
        </is>
      </c>
      <c r="AW59" s="28" t="inlineStr">
        <is>
          <t>G</t>
        </is>
      </c>
      <c r="AX59" s="28" t="inlineStr">
        <is>
          <t>G</t>
        </is>
      </c>
      <c r="AY59" s="28" t="inlineStr">
        <is>
          <t>G</t>
        </is>
      </c>
      <c r="AZ59" s="28" t="inlineStr">
        <is>
          <t>H</t>
        </is>
      </c>
      <c r="BA59" s="28" t="inlineStr">
        <is>
          <t>H</t>
        </is>
      </c>
      <c r="BE59" s="29">
        <f>D59*$B$5</f>
        <v/>
      </c>
      <c r="BF59" s="29">
        <f>D59*$I$11</f>
        <v/>
      </c>
      <c r="BG59" s="30">
        <f>MATCH("P",$E59:$BD59,0)</f>
        <v/>
      </c>
    </row>
    <row r="60">
      <c r="A60" s="25" t="inlineStr">
        <is>
          <t>Spinach W43</t>
        </is>
      </c>
      <c r="B60" s="25" t="inlineStr">
        <is>
          <t>Spinach</t>
        </is>
      </c>
      <c r="C60" s="26" t="n">
        <v>0</v>
      </c>
      <c r="D60" s="27" t="n">
        <v>0</v>
      </c>
      <c r="AU60" s="28" t="inlineStr">
        <is>
          <t>P</t>
        </is>
      </c>
      <c r="AV60" s="28" t="inlineStr">
        <is>
          <t>G</t>
        </is>
      </c>
      <c r="AW60" s="28" t="inlineStr">
        <is>
          <t>G</t>
        </is>
      </c>
      <c r="AX60" s="28" t="inlineStr">
        <is>
          <t>G</t>
        </is>
      </c>
      <c r="AY60" s="28" t="inlineStr">
        <is>
          <t>G</t>
        </is>
      </c>
      <c r="AZ60" s="28" t="inlineStr">
        <is>
          <t>G</t>
        </is>
      </c>
      <c r="BA60" s="28" t="inlineStr">
        <is>
          <t>H</t>
        </is>
      </c>
      <c r="BB60" s="28" t="inlineStr">
        <is>
          <t>H</t>
        </is>
      </c>
      <c r="BE60" s="29">
        <f>D60*$B$5</f>
        <v/>
      </c>
      <c r="BF60" s="29">
        <f>D60*$I$11</f>
        <v/>
      </c>
      <c r="BG60" s="30">
        <f>MATCH("P",$E60:$BD60,0)</f>
        <v/>
      </c>
    </row>
    <row r="61">
      <c r="A61" s="25" t="inlineStr">
        <is>
          <t>Spinach W44</t>
        </is>
      </c>
      <c r="B61" s="25" t="inlineStr">
        <is>
          <t>Spinach</t>
        </is>
      </c>
      <c r="C61" s="26" t="n">
        <v>0</v>
      </c>
      <c r="D61" s="27" t="n">
        <v>0</v>
      </c>
      <c r="AV61" s="28" t="inlineStr">
        <is>
          <t>P</t>
        </is>
      </c>
      <c r="AW61" s="28" t="inlineStr">
        <is>
          <t>G</t>
        </is>
      </c>
      <c r="AX61" s="28" t="inlineStr">
        <is>
          <t>G</t>
        </is>
      </c>
      <c r="AY61" s="28" t="inlineStr">
        <is>
          <t>G</t>
        </is>
      </c>
      <c r="AZ61" s="28" t="inlineStr">
        <is>
          <t>G</t>
        </is>
      </c>
      <c r="BA61" s="28" t="inlineStr">
        <is>
          <t>G</t>
        </is>
      </c>
      <c r="BB61" s="28" t="inlineStr">
        <is>
          <t>H</t>
        </is>
      </c>
      <c r="BC61" s="28" t="inlineStr">
        <is>
          <t>H</t>
        </is>
      </c>
      <c r="BE61" s="29">
        <f>D61*$B$5</f>
        <v/>
      </c>
      <c r="BF61" s="29">
        <f>D61*$I$11</f>
        <v/>
      </c>
      <c r="BG61" s="30">
        <f>MATCH("P",$E61:$BD61,0)</f>
        <v/>
      </c>
    </row>
    <row r="62">
      <c r="A62" s="25" t="inlineStr">
        <is>
          <t>Spinach W45</t>
        </is>
      </c>
      <c r="B62" s="25" t="inlineStr">
        <is>
          <t>Spinach</t>
        </is>
      </c>
      <c r="C62" s="26" t="n">
        <v>0</v>
      </c>
      <c r="D62" s="27" t="n">
        <v>0</v>
      </c>
      <c r="AW62" s="28" t="inlineStr">
        <is>
          <t>P</t>
        </is>
      </c>
      <c r="AX62" s="28" t="inlineStr">
        <is>
          <t>G</t>
        </is>
      </c>
      <c r="AY62" s="28" t="inlineStr">
        <is>
          <t>G</t>
        </is>
      </c>
      <c r="AZ62" s="28" t="inlineStr">
        <is>
          <t>G</t>
        </is>
      </c>
      <c r="BA62" s="28" t="inlineStr">
        <is>
          <t>G</t>
        </is>
      </c>
      <c r="BB62" s="28" t="inlineStr">
        <is>
          <t>G</t>
        </is>
      </c>
      <c r="BC62" s="28" t="inlineStr">
        <is>
          <t>H</t>
        </is>
      </c>
      <c r="BD62" s="28" t="inlineStr">
        <is>
          <t>H</t>
        </is>
      </c>
      <c r="BE62" s="29">
        <f>D62*$B$5</f>
        <v/>
      </c>
      <c r="BF62" s="29">
        <f>D62*$I$11</f>
        <v/>
      </c>
      <c r="BG62" s="30">
        <f>MATCH("P",$E62:$BD62,0)</f>
        <v/>
      </c>
    </row>
    <row r="63">
      <c r="A63" s="25" t="inlineStr">
        <is>
          <t>Kale W05</t>
        </is>
      </c>
      <c r="B63" s="25" t="inlineStr">
        <is>
          <t>Kale</t>
        </is>
      </c>
      <c r="C63" s="26" t="n">
        <v>0</v>
      </c>
      <c r="D63" s="27" t="n">
        <v>0</v>
      </c>
      <c r="I63" s="28" t="inlineStr">
        <is>
          <t>P</t>
        </is>
      </c>
      <c r="J63" s="28" t="inlineStr">
        <is>
          <t>G</t>
        </is>
      </c>
      <c r="K63" s="28" t="inlineStr">
        <is>
          <t>G</t>
        </is>
      </c>
      <c r="L63" s="28" t="inlineStr">
        <is>
          <t>G</t>
        </is>
      </c>
      <c r="M63" s="28" t="inlineStr">
        <is>
          <t>G</t>
        </is>
      </c>
      <c r="N63" s="28" t="inlineStr">
        <is>
          <t>G</t>
        </is>
      </c>
      <c r="O63" s="28" t="inlineStr">
        <is>
          <t>G</t>
        </is>
      </c>
      <c r="P63" s="28" t="inlineStr">
        <is>
          <t>G</t>
        </is>
      </c>
      <c r="Q63" s="28" t="inlineStr">
        <is>
          <t>G</t>
        </is>
      </c>
      <c r="R63" s="28" t="inlineStr">
        <is>
          <t>H</t>
        </is>
      </c>
      <c r="S63" s="28" t="inlineStr">
        <is>
          <t>H</t>
        </is>
      </c>
      <c r="T63" s="28" t="inlineStr">
        <is>
          <t>H</t>
        </is>
      </c>
      <c r="U63" s="28" t="inlineStr">
        <is>
          <t>H</t>
        </is>
      </c>
      <c r="BE63" s="29">
        <f>D63*$B$5</f>
        <v/>
      </c>
      <c r="BF63" s="29">
        <f>D63*$I$12</f>
        <v/>
      </c>
      <c r="BG63" s="30">
        <f>MATCH("P",$E63:$BD63,0)</f>
        <v/>
      </c>
    </row>
    <row r="64">
      <c r="A64" s="25" t="inlineStr">
        <is>
          <t>Kale W06</t>
        </is>
      </c>
      <c r="B64" s="25" t="inlineStr">
        <is>
          <t>Kale</t>
        </is>
      </c>
      <c r="C64" s="26" t="n">
        <v>0</v>
      </c>
      <c r="D64" s="27" t="n">
        <v>0</v>
      </c>
      <c r="J64" s="28" t="inlineStr">
        <is>
          <t>P</t>
        </is>
      </c>
      <c r="K64" s="28" t="inlineStr">
        <is>
          <t>G</t>
        </is>
      </c>
      <c r="L64" s="28" t="inlineStr">
        <is>
          <t>G</t>
        </is>
      </c>
      <c r="M64" s="28" t="inlineStr">
        <is>
          <t>G</t>
        </is>
      </c>
      <c r="N64" s="28" t="inlineStr">
        <is>
          <t>G</t>
        </is>
      </c>
      <c r="O64" s="28" t="inlineStr">
        <is>
          <t>G</t>
        </is>
      </c>
      <c r="P64" s="28" t="inlineStr">
        <is>
          <t>G</t>
        </is>
      </c>
      <c r="Q64" s="28" t="inlineStr">
        <is>
          <t>G</t>
        </is>
      </c>
      <c r="R64" s="28" t="inlineStr">
        <is>
          <t>G</t>
        </is>
      </c>
      <c r="S64" s="28" t="inlineStr">
        <is>
          <t>H</t>
        </is>
      </c>
      <c r="T64" s="28" t="inlineStr">
        <is>
          <t>H</t>
        </is>
      </c>
      <c r="U64" s="28" t="inlineStr">
        <is>
          <t>H</t>
        </is>
      </c>
      <c r="V64" s="28" t="inlineStr">
        <is>
          <t>H</t>
        </is>
      </c>
      <c r="BE64" s="29">
        <f>D64*$B$5</f>
        <v/>
      </c>
      <c r="BF64" s="29">
        <f>D64*$I$12</f>
        <v/>
      </c>
      <c r="BG64" s="30">
        <f>MATCH("P",$E64:$BD64,0)</f>
        <v/>
      </c>
    </row>
    <row r="65">
      <c r="A65" s="25" t="inlineStr">
        <is>
          <t>Kale W07</t>
        </is>
      </c>
      <c r="B65" s="25" t="inlineStr">
        <is>
          <t>Kale</t>
        </is>
      </c>
      <c r="C65" s="26" t="n">
        <v>0</v>
      </c>
      <c r="D65" s="27" t="n">
        <v>0</v>
      </c>
      <c r="K65" s="28" t="inlineStr">
        <is>
          <t>P</t>
        </is>
      </c>
      <c r="L65" s="28" t="inlineStr">
        <is>
          <t>G</t>
        </is>
      </c>
      <c r="M65" s="28" t="inlineStr">
        <is>
          <t>G</t>
        </is>
      </c>
      <c r="N65" s="28" t="inlineStr">
        <is>
          <t>G</t>
        </is>
      </c>
      <c r="O65" s="28" t="inlineStr">
        <is>
          <t>G</t>
        </is>
      </c>
      <c r="P65" s="28" t="inlineStr">
        <is>
          <t>G</t>
        </is>
      </c>
      <c r="Q65" s="28" t="inlineStr">
        <is>
          <t>G</t>
        </is>
      </c>
      <c r="R65" s="28" t="inlineStr">
        <is>
          <t>G</t>
        </is>
      </c>
      <c r="S65" s="28" t="inlineStr">
        <is>
          <t>G</t>
        </is>
      </c>
      <c r="T65" s="28" t="inlineStr">
        <is>
          <t>H</t>
        </is>
      </c>
      <c r="U65" s="28" t="inlineStr">
        <is>
          <t>H</t>
        </is>
      </c>
      <c r="V65" s="28" t="inlineStr">
        <is>
          <t>H</t>
        </is>
      </c>
      <c r="W65" s="28" t="inlineStr">
        <is>
          <t>H</t>
        </is>
      </c>
      <c r="BE65" s="29">
        <f>D65*$B$5</f>
        <v/>
      </c>
      <c r="BF65" s="29">
        <f>D65*$I$12</f>
        <v/>
      </c>
      <c r="BG65" s="30">
        <f>MATCH("P",$E65:$BD65,0)</f>
        <v/>
      </c>
    </row>
    <row r="66">
      <c r="A66" s="25" t="inlineStr">
        <is>
          <t>Kale W08</t>
        </is>
      </c>
      <c r="B66" s="25" t="inlineStr">
        <is>
          <t>Kale</t>
        </is>
      </c>
      <c r="C66" s="26" t="n">
        <v>0</v>
      </c>
      <c r="D66" s="27" t="n">
        <v>0</v>
      </c>
      <c r="L66" s="28" t="inlineStr">
        <is>
          <t>P</t>
        </is>
      </c>
      <c r="M66" s="28" t="inlineStr">
        <is>
          <t>G</t>
        </is>
      </c>
      <c r="N66" s="28" t="inlineStr">
        <is>
          <t>G</t>
        </is>
      </c>
      <c r="O66" s="28" t="inlineStr">
        <is>
          <t>G</t>
        </is>
      </c>
      <c r="P66" s="28" t="inlineStr">
        <is>
          <t>G</t>
        </is>
      </c>
      <c r="Q66" s="28" t="inlineStr">
        <is>
          <t>G</t>
        </is>
      </c>
      <c r="R66" s="28" t="inlineStr">
        <is>
          <t>G</t>
        </is>
      </c>
      <c r="S66" s="28" t="inlineStr">
        <is>
          <t>G</t>
        </is>
      </c>
      <c r="T66" s="28" t="inlineStr">
        <is>
          <t>G</t>
        </is>
      </c>
      <c r="U66" s="28" t="inlineStr">
        <is>
          <t>H</t>
        </is>
      </c>
      <c r="V66" s="28" t="inlineStr">
        <is>
          <t>H</t>
        </is>
      </c>
      <c r="W66" s="28" t="inlineStr">
        <is>
          <t>H</t>
        </is>
      </c>
      <c r="X66" s="28" t="inlineStr">
        <is>
          <t>H</t>
        </is>
      </c>
      <c r="BE66" s="29">
        <f>D66*$B$5</f>
        <v/>
      </c>
      <c r="BF66" s="29">
        <f>D66*$I$12</f>
        <v/>
      </c>
      <c r="BG66" s="30">
        <f>MATCH("P",$E66:$BD66,0)</f>
        <v/>
      </c>
    </row>
    <row r="67">
      <c r="A67" s="25" t="inlineStr">
        <is>
          <t>Kale W09</t>
        </is>
      </c>
      <c r="B67" s="25" t="inlineStr">
        <is>
          <t>Kale</t>
        </is>
      </c>
      <c r="C67" s="26" t="n">
        <v>0</v>
      </c>
      <c r="D67" s="27" t="n">
        <v>0</v>
      </c>
      <c r="M67" s="28" t="inlineStr">
        <is>
          <t>P</t>
        </is>
      </c>
      <c r="N67" s="28" t="inlineStr">
        <is>
          <t>G</t>
        </is>
      </c>
      <c r="O67" s="28" t="inlineStr">
        <is>
          <t>G</t>
        </is>
      </c>
      <c r="P67" s="28" t="inlineStr">
        <is>
          <t>G</t>
        </is>
      </c>
      <c r="Q67" s="28" t="inlineStr">
        <is>
          <t>G</t>
        </is>
      </c>
      <c r="R67" s="28" t="inlineStr">
        <is>
          <t>G</t>
        </is>
      </c>
      <c r="S67" s="28" t="inlineStr">
        <is>
          <t>G</t>
        </is>
      </c>
      <c r="T67" s="28" t="inlineStr">
        <is>
          <t>G</t>
        </is>
      </c>
      <c r="U67" s="28" t="inlineStr">
        <is>
          <t>G</t>
        </is>
      </c>
      <c r="V67" s="28" t="inlineStr">
        <is>
          <t>H</t>
        </is>
      </c>
      <c r="W67" s="28" t="inlineStr">
        <is>
          <t>H</t>
        </is>
      </c>
      <c r="X67" s="28" t="inlineStr">
        <is>
          <t>H</t>
        </is>
      </c>
      <c r="Y67" s="28" t="inlineStr">
        <is>
          <t>H</t>
        </is>
      </c>
      <c r="BE67" s="29">
        <f>D67*$B$5</f>
        <v/>
      </c>
      <c r="BF67" s="29">
        <f>D67*$I$12</f>
        <v/>
      </c>
      <c r="BG67" s="30">
        <f>MATCH("P",$E67:$BD67,0)</f>
        <v/>
      </c>
    </row>
    <row r="68">
      <c r="A68" s="25" t="inlineStr">
        <is>
          <t>Kale W10</t>
        </is>
      </c>
      <c r="B68" s="25" t="inlineStr">
        <is>
          <t>Kale</t>
        </is>
      </c>
      <c r="C68" s="26" t="n">
        <v>0</v>
      </c>
      <c r="D68" s="27" t="n">
        <v>0</v>
      </c>
      <c r="N68" s="28" t="inlineStr">
        <is>
          <t>P</t>
        </is>
      </c>
      <c r="O68" s="28" t="inlineStr">
        <is>
          <t>G</t>
        </is>
      </c>
      <c r="P68" s="28" t="inlineStr">
        <is>
          <t>G</t>
        </is>
      </c>
      <c r="Q68" s="28" t="inlineStr">
        <is>
          <t>G</t>
        </is>
      </c>
      <c r="R68" s="28" t="inlineStr">
        <is>
          <t>G</t>
        </is>
      </c>
      <c r="S68" s="28" t="inlineStr">
        <is>
          <t>G</t>
        </is>
      </c>
      <c r="T68" s="28" t="inlineStr">
        <is>
          <t>G</t>
        </is>
      </c>
      <c r="U68" s="28" t="inlineStr">
        <is>
          <t>G</t>
        </is>
      </c>
      <c r="V68" s="28" t="inlineStr">
        <is>
          <t>G</t>
        </is>
      </c>
      <c r="W68" s="28" t="inlineStr">
        <is>
          <t>H</t>
        </is>
      </c>
      <c r="X68" s="28" t="inlineStr">
        <is>
          <t>H</t>
        </is>
      </c>
      <c r="Y68" s="28" t="inlineStr">
        <is>
          <t>H</t>
        </is>
      </c>
      <c r="Z68" s="28" t="inlineStr">
        <is>
          <t>H</t>
        </is>
      </c>
      <c r="BE68" s="29">
        <f>D68*$B$5</f>
        <v/>
      </c>
      <c r="BF68" s="29">
        <f>D68*$I$12</f>
        <v/>
      </c>
      <c r="BG68" s="30">
        <f>MATCH("P",$E68:$BD68,0)</f>
        <v/>
      </c>
    </row>
    <row r="69">
      <c r="A69" s="25" t="inlineStr">
        <is>
          <t>Kale W11</t>
        </is>
      </c>
      <c r="B69" s="25" t="inlineStr">
        <is>
          <t>Kale</t>
        </is>
      </c>
      <c r="C69" s="26" t="n">
        <v>0</v>
      </c>
      <c r="D69" s="27" t="n">
        <v>0</v>
      </c>
      <c r="O69" s="28" t="inlineStr">
        <is>
          <t>P</t>
        </is>
      </c>
      <c r="P69" s="28" t="inlineStr">
        <is>
          <t>G</t>
        </is>
      </c>
      <c r="Q69" s="28" t="inlineStr">
        <is>
          <t>G</t>
        </is>
      </c>
      <c r="R69" s="28" t="inlineStr">
        <is>
          <t>G</t>
        </is>
      </c>
      <c r="S69" s="28" t="inlineStr">
        <is>
          <t>G</t>
        </is>
      </c>
      <c r="T69" s="28" t="inlineStr">
        <is>
          <t>G</t>
        </is>
      </c>
      <c r="U69" s="28" t="inlineStr">
        <is>
          <t>G</t>
        </is>
      </c>
      <c r="V69" s="28" t="inlineStr">
        <is>
          <t>G</t>
        </is>
      </c>
      <c r="W69" s="28" t="inlineStr">
        <is>
          <t>G</t>
        </is>
      </c>
      <c r="X69" s="28" t="inlineStr">
        <is>
          <t>H</t>
        </is>
      </c>
      <c r="Y69" s="28" t="inlineStr">
        <is>
          <t>H</t>
        </is>
      </c>
      <c r="Z69" s="28" t="inlineStr">
        <is>
          <t>H</t>
        </is>
      </c>
      <c r="AA69" s="28" t="inlineStr">
        <is>
          <t>H</t>
        </is>
      </c>
      <c r="BE69" s="29">
        <f>D69*$B$5</f>
        <v/>
      </c>
      <c r="BF69" s="29">
        <f>D69*$I$12</f>
        <v/>
      </c>
      <c r="BG69" s="30">
        <f>MATCH("P",$E69:$BD69,0)</f>
        <v/>
      </c>
    </row>
    <row r="70">
      <c r="A70" s="25" t="inlineStr">
        <is>
          <t>Kale W12</t>
        </is>
      </c>
      <c r="B70" s="25" t="inlineStr">
        <is>
          <t>Kale</t>
        </is>
      </c>
      <c r="C70" s="26" t="n">
        <v>0</v>
      </c>
      <c r="D70" s="27" t="n">
        <v>0</v>
      </c>
      <c r="P70" s="28" t="inlineStr">
        <is>
          <t>P</t>
        </is>
      </c>
      <c r="Q70" s="28" t="inlineStr">
        <is>
          <t>G</t>
        </is>
      </c>
      <c r="R70" s="28" t="inlineStr">
        <is>
          <t>G</t>
        </is>
      </c>
      <c r="S70" s="28" t="inlineStr">
        <is>
          <t>G</t>
        </is>
      </c>
      <c r="T70" s="28" t="inlineStr">
        <is>
          <t>G</t>
        </is>
      </c>
      <c r="U70" s="28" t="inlineStr">
        <is>
          <t>G</t>
        </is>
      </c>
      <c r="V70" s="28" t="inlineStr">
        <is>
          <t>G</t>
        </is>
      </c>
      <c r="W70" s="28" t="inlineStr">
        <is>
          <t>G</t>
        </is>
      </c>
      <c r="X70" s="28" t="inlineStr">
        <is>
          <t>G</t>
        </is>
      </c>
      <c r="Y70" s="28" t="inlineStr">
        <is>
          <t>H</t>
        </is>
      </c>
      <c r="Z70" s="28" t="inlineStr">
        <is>
          <t>H</t>
        </is>
      </c>
      <c r="AA70" s="28" t="inlineStr">
        <is>
          <t>H</t>
        </is>
      </c>
      <c r="AB70" s="28" t="inlineStr">
        <is>
          <t>H</t>
        </is>
      </c>
      <c r="BE70" s="29">
        <f>D70*$B$5</f>
        <v/>
      </c>
      <c r="BF70" s="29">
        <f>D70*$I$12</f>
        <v/>
      </c>
      <c r="BG70" s="30">
        <f>MATCH("P",$E70:$BD70,0)</f>
        <v/>
      </c>
    </row>
    <row r="71">
      <c r="A71" s="25" t="inlineStr">
        <is>
          <t>Kale W13</t>
        </is>
      </c>
      <c r="B71" s="25" t="inlineStr">
        <is>
          <t>Kale</t>
        </is>
      </c>
      <c r="C71" s="26" t="n">
        <v>0</v>
      </c>
      <c r="D71" s="27" t="n">
        <v>0</v>
      </c>
      <c r="Q71" s="28" t="inlineStr">
        <is>
          <t>P</t>
        </is>
      </c>
      <c r="R71" s="28" t="inlineStr">
        <is>
          <t>G</t>
        </is>
      </c>
      <c r="S71" s="28" t="inlineStr">
        <is>
          <t>G</t>
        </is>
      </c>
      <c r="T71" s="28" t="inlineStr">
        <is>
          <t>G</t>
        </is>
      </c>
      <c r="U71" s="28" t="inlineStr">
        <is>
          <t>G</t>
        </is>
      </c>
      <c r="V71" s="28" t="inlineStr">
        <is>
          <t>G</t>
        </is>
      </c>
      <c r="W71" s="28" t="inlineStr">
        <is>
          <t>G</t>
        </is>
      </c>
      <c r="X71" s="28" t="inlineStr">
        <is>
          <t>G</t>
        </is>
      </c>
      <c r="Y71" s="28" t="inlineStr">
        <is>
          <t>G</t>
        </is>
      </c>
      <c r="Z71" s="28" t="inlineStr">
        <is>
          <t>H</t>
        </is>
      </c>
      <c r="AA71" s="28" t="inlineStr">
        <is>
          <t>H</t>
        </is>
      </c>
      <c r="AB71" s="28" t="inlineStr">
        <is>
          <t>H</t>
        </is>
      </c>
      <c r="AC71" s="28" t="inlineStr">
        <is>
          <t>H</t>
        </is>
      </c>
      <c r="BE71" s="29">
        <f>D71*$B$5</f>
        <v/>
      </c>
      <c r="BF71" s="29">
        <f>D71*$I$12</f>
        <v/>
      </c>
      <c r="BG71" s="30">
        <f>MATCH("P",$E71:$BD71,0)</f>
        <v/>
      </c>
    </row>
    <row r="72">
      <c r="A72" s="25" t="inlineStr">
        <is>
          <t>Kale W14</t>
        </is>
      </c>
      <c r="B72" s="25" t="inlineStr">
        <is>
          <t>Kale</t>
        </is>
      </c>
      <c r="C72" s="26" t="n">
        <v>0</v>
      </c>
      <c r="D72" s="27" t="n">
        <v>0</v>
      </c>
      <c r="R72" s="28" t="inlineStr">
        <is>
          <t>P</t>
        </is>
      </c>
      <c r="S72" s="28" t="inlineStr">
        <is>
          <t>G</t>
        </is>
      </c>
      <c r="T72" s="28" t="inlineStr">
        <is>
          <t>G</t>
        </is>
      </c>
      <c r="U72" s="28" t="inlineStr">
        <is>
          <t>G</t>
        </is>
      </c>
      <c r="V72" s="28" t="inlineStr">
        <is>
          <t>G</t>
        </is>
      </c>
      <c r="W72" s="28" t="inlineStr">
        <is>
          <t>G</t>
        </is>
      </c>
      <c r="X72" s="28" t="inlineStr">
        <is>
          <t>G</t>
        </is>
      </c>
      <c r="Y72" s="28" t="inlineStr">
        <is>
          <t>G</t>
        </is>
      </c>
      <c r="Z72" s="28" t="inlineStr">
        <is>
          <t>G</t>
        </is>
      </c>
      <c r="AA72" s="28" t="inlineStr">
        <is>
          <t>H</t>
        </is>
      </c>
      <c r="AB72" s="28" t="inlineStr">
        <is>
          <t>H</t>
        </is>
      </c>
      <c r="AC72" s="28" t="inlineStr">
        <is>
          <t>H</t>
        </is>
      </c>
      <c r="AD72" s="28" t="inlineStr">
        <is>
          <t>H</t>
        </is>
      </c>
      <c r="BE72" s="29">
        <f>D72*$B$5</f>
        <v/>
      </c>
      <c r="BF72" s="29">
        <f>D72*$I$12</f>
        <v/>
      </c>
      <c r="BG72" s="30">
        <f>MATCH("P",$E72:$BD72,0)</f>
        <v/>
      </c>
    </row>
    <row r="73">
      <c r="A73" s="25" t="inlineStr">
        <is>
          <t>Kale W15</t>
        </is>
      </c>
      <c r="B73" s="25" t="inlineStr">
        <is>
          <t>Kale</t>
        </is>
      </c>
      <c r="C73" s="26" t="n">
        <v>0</v>
      </c>
      <c r="D73" s="27" t="n">
        <v>0</v>
      </c>
      <c r="S73" s="28" t="inlineStr">
        <is>
          <t>P</t>
        </is>
      </c>
      <c r="T73" s="28" t="inlineStr">
        <is>
          <t>G</t>
        </is>
      </c>
      <c r="U73" s="28" t="inlineStr">
        <is>
          <t>G</t>
        </is>
      </c>
      <c r="V73" s="28" t="inlineStr">
        <is>
          <t>G</t>
        </is>
      </c>
      <c r="W73" s="28" t="inlineStr">
        <is>
          <t>G</t>
        </is>
      </c>
      <c r="X73" s="28" t="inlineStr">
        <is>
          <t>G</t>
        </is>
      </c>
      <c r="Y73" s="28" t="inlineStr">
        <is>
          <t>G</t>
        </is>
      </c>
      <c r="Z73" s="28" t="inlineStr">
        <is>
          <t>G</t>
        </is>
      </c>
      <c r="AA73" s="28" t="inlineStr">
        <is>
          <t>G</t>
        </is>
      </c>
      <c r="AB73" s="28" t="inlineStr">
        <is>
          <t>H</t>
        </is>
      </c>
      <c r="AC73" s="28" t="inlineStr">
        <is>
          <t>H</t>
        </is>
      </c>
      <c r="AD73" s="28" t="inlineStr">
        <is>
          <t>H</t>
        </is>
      </c>
      <c r="AE73" s="28" t="inlineStr">
        <is>
          <t>H</t>
        </is>
      </c>
      <c r="BE73" s="29">
        <f>D73*$B$5</f>
        <v/>
      </c>
      <c r="BF73" s="29">
        <f>D73*$I$12</f>
        <v/>
      </c>
      <c r="BG73" s="30">
        <f>MATCH("P",$E73:$BD73,0)</f>
        <v/>
      </c>
    </row>
    <row r="74">
      <c r="A74" s="25" t="inlineStr">
        <is>
          <t>Kale W16</t>
        </is>
      </c>
      <c r="B74" s="25" t="inlineStr">
        <is>
          <t>Kale</t>
        </is>
      </c>
      <c r="C74" s="26" t="n">
        <v>0</v>
      </c>
      <c r="D74" s="27" t="n">
        <v>0</v>
      </c>
      <c r="T74" s="28" t="inlineStr">
        <is>
          <t>P</t>
        </is>
      </c>
      <c r="U74" s="28" t="inlineStr">
        <is>
          <t>G</t>
        </is>
      </c>
      <c r="V74" s="28" t="inlineStr">
        <is>
          <t>G</t>
        </is>
      </c>
      <c r="W74" s="28" t="inlineStr">
        <is>
          <t>G</t>
        </is>
      </c>
      <c r="X74" s="28" t="inlineStr">
        <is>
          <t>G</t>
        </is>
      </c>
      <c r="Y74" s="28" t="inlineStr">
        <is>
          <t>G</t>
        </is>
      </c>
      <c r="Z74" s="28" t="inlineStr">
        <is>
          <t>G</t>
        </is>
      </c>
      <c r="AA74" s="28" t="inlineStr">
        <is>
          <t>G</t>
        </is>
      </c>
      <c r="AB74" s="28" t="inlineStr">
        <is>
          <t>G</t>
        </is>
      </c>
      <c r="AC74" s="28" t="inlineStr">
        <is>
          <t>H</t>
        </is>
      </c>
      <c r="AD74" s="28" t="inlineStr">
        <is>
          <t>H</t>
        </is>
      </c>
      <c r="AE74" s="28" t="inlineStr">
        <is>
          <t>H</t>
        </is>
      </c>
      <c r="AF74" s="28" t="inlineStr">
        <is>
          <t>H</t>
        </is>
      </c>
      <c r="BE74" s="29">
        <f>D74*$B$5</f>
        <v/>
      </c>
      <c r="BF74" s="29">
        <f>D74*$I$12</f>
        <v/>
      </c>
      <c r="BG74" s="30">
        <f>MATCH("P",$E74:$BD74,0)</f>
        <v/>
      </c>
    </row>
    <row r="75">
      <c r="A75" s="25" t="inlineStr">
        <is>
          <t>Kale W17</t>
        </is>
      </c>
      <c r="B75" s="25" t="inlineStr">
        <is>
          <t>Kale</t>
        </is>
      </c>
      <c r="C75" s="26" t="n">
        <v>0</v>
      </c>
      <c r="D75" s="27" t="n">
        <v>0</v>
      </c>
      <c r="U75" s="28" t="inlineStr">
        <is>
          <t>P</t>
        </is>
      </c>
      <c r="V75" s="28" t="inlineStr">
        <is>
          <t>G</t>
        </is>
      </c>
      <c r="W75" s="28" t="inlineStr">
        <is>
          <t>G</t>
        </is>
      </c>
      <c r="X75" s="28" t="inlineStr">
        <is>
          <t>G</t>
        </is>
      </c>
      <c r="Y75" s="28" t="inlineStr">
        <is>
          <t>G</t>
        </is>
      </c>
      <c r="Z75" s="28" t="inlineStr">
        <is>
          <t>G</t>
        </is>
      </c>
      <c r="AA75" s="28" t="inlineStr">
        <is>
          <t>G</t>
        </is>
      </c>
      <c r="AB75" s="28" t="inlineStr">
        <is>
          <t>G</t>
        </is>
      </c>
      <c r="AC75" s="28" t="inlineStr">
        <is>
          <t>G</t>
        </is>
      </c>
      <c r="AD75" s="28" t="inlineStr">
        <is>
          <t>H</t>
        </is>
      </c>
      <c r="AE75" s="28" t="inlineStr">
        <is>
          <t>H</t>
        </is>
      </c>
      <c r="AF75" s="28" t="inlineStr">
        <is>
          <t>H</t>
        </is>
      </c>
      <c r="AG75" s="28" t="inlineStr">
        <is>
          <t>H</t>
        </is>
      </c>
      <c r="BE75" s="29">
        <f>D75*$B$5</f>
        <v/>
      </c>
      <c r="BF75" s="29">
        <f>D75*$I$12</f>
        <v/>
      </c>
      <c r="BG75" s="30">
        <f>MATCH("P",$E75:$BD75,0)</f>
        <v/>
      </c>
    </row>
    <row r="76">
      <c r="A76" s="25" t="inlineStr">
        <is>
          <t>Kale W18</t>
        </is>
      </c>
      <c r="B76" s="25" t="inlineStr">
        <is>
          <t>Kale</t>
        </is>
      </c>
      <c r="C76" s="26" t="n">
        <v>0</v>
      </c>
      <c r="D76" s="27" t="n">
        <v>0</v>
      </c>
      <c r="V76" s="28" t="inlineStr">
        <is>
          <t>P</t>
        </is>
      </c>
      <c r="W76" s="28" t="inlineStr">
        <is>
          <t>G</t>
        </is>
      </c>
      <c r="X76" s="28" t="inlineStr">
        <is>
          <t>G</t>
        </is>
      </c>
      <c r="Y76" s="28" t="inlineStr">
        <is>
          <t>G</t>
        </is>
      </c>
      <c r="Z76" s="28" t="inlineStr">
        <is>
          <t>G</t>
        </is>
      </c>
      <c r="AA76" s="28" t="inlineStr">
        <is>
          <t>G</t>
        </is>
      </c>
      <c r="AB76" s="28" t="inlineStr">
        <is>
          <t>G</t>
        </is>
      </c>
      <c r="AC76" s="28" t="inlineStr">
        <is>
          <t>G</t>
        </is>
      </c>
      <c r="AD76" s="28" t="inlineStr">
        <is>
          <t>G</t>
        </is>
      </c>
      <c r="AE76" s="28" t="inlineStr">
        <is>
          <t>H</t>
        </is>
      </c>
      <c r="AF76" s="28" t="inlineStr">
        <is>
          <t>H</t>
        </is>
      </c>
      <c r="AG76" s="28" t="inlineStr">
        <is>
          <t>H</t>
        </is>
      </c>
      <c r="AH76" s="28" t="inlineStr">
        <is>
          <t>H</t>
        </is>
      </c>
      <c r="BE76" s="29">
        <f>D76*$B$5</f>
        <v/>
      </c>
      <c r="BF76" s="29">
        <f>D76*$I$12</f>
        <v/>
      </c>
      <c r="BG76" s="30">
        <f>MATCH("P",$E76:$BD76,0)</f>
        <v/>
      </c>
    </row>
    <row r="77">
      <c r="A77" s="25" t="inlineStr">
        <is>
          <t>Kale W19</t>
        </is>
      </c>
      <c r="B77" s="25" t="inlineStr">
        <is>
          <t>Kale</t>
        </is>
      </c>
      <c r="C77" s="26" t="n">
        <v>0</v>
      </c>
      <c r="D77" s="27" t="n">
        <v>0</v>
      </c>
      <c r="W77" s="28" t="inlineStr">
        <is>
          <t>P</t>
        </is>
      </c>
      <c r="X77" s="28" t="inlineStr">
        <is>
          <t>G</t>
        </is>
      </c>
      <c r="Y77" s="28" t="inlineStr">
        <is>
          <t>G</t>
        </is>
      </c>
      <c r="Z77" s="28" t="inlineStr">
        <is>
          <t>G</t>
        </is>
      </c>
      <c r="AA77" s="28" t="inlineStr">
        <is>
          <t>G</t>
        </is>
      </c>
      <c r="AB77" s="28" t="inlineStr">
        <is>
          <t>G</t>
        </is>
      </c>
      <c r="AC77" s="28" t="inlineStr">
        <is>
          <t>G</t>
        </is>
      </c>
      <c r="AD77" s="28" t="inlineStr">
        <is>
          <t>G</t>
        </is>
      </c>
      <c r="AE77" s="28" t="inlineStr">
        <is>
          <t>G</t>
        </is>
      </c>
      <c r="AF77" s="28" t="inlineStr">
        <is>
          <t>H</t>
        </is>
      </c>
      <c r="AG77" s="28" t="inlineStr">
        <is>
          <t>H</t>
        </is>
      </c>
      <c r="AH77" s="28" t="inlineStr">
        <is>
          <t>H</t>
        </is>
      </c>
      <c r="AI77" s="28" t="inlineStr">
        <is>
          <t>H</t>
        </is>
      </c>
      <c r="BE77" s="29">
        <f>D77*$B$5</f>
        <v/>
      </c>
      <c r="BF77" s="29">
        <f>D77*$I$12</f>
        <v/>
      </c>
      <c r="BG77" s="30">
        <f>MATCH("P",$E77:$BD77,0)</f>
        <v/>
      </c>
    </row>
    <row r="78">
      <c r="A78" s="25" t="inlineStr">
        <is>
          <t>Kale W20</t>
        </is>
      </c>
      <c r="B78" s="25" t="inlineStr">
        <is>
          <t>Kale</t>
        </is>
      </c>
      <c r="C78" s="26" t="n">
        <v>0</v>
      </c>
      <c r="D78" s="27" t="n">
        <v>0</v>
      </c>
      <c r="X78" s="28" t="inlineStr">
        <is>
          <t>P</t>
        </is>
      </c>
      <c r="Y78" s="28" t="inlineStr">
        <is>
          <t>G</t>
        </is>
      </c>
      <c r="Z78" s="28" t="inlineStr">
        <is>
          <t>G</t>
        </is>
      </c>
      <c r="AA78" s="28" t="inlineStr">
        <is>
          <t>G</t>
        </is>
      </c>
      <c r="AB78" s="28" t="inlineStr">
        <is>
          <t>G</t>
        </is>
      </c>
      <c r="AC78" s="28" t="inlineStr">
        <is>
          <t>G</t>
        </is>
      </c>
      <c r="AD78" s="28" t="inlineStr">
        <is>
          <t>G</t>
        </is>
      </c>
      <c r="AE78" s="28" t="inlineStr">
        <is>
          <t>G</t>
        </is>
      </c>
      <c r="AF78" s="28" t="inlineStr">
        <is>
          <t>G</t>
        </is>
      </c>
      <c r="AG78" s="28" t="inlineStr">
        <is>
          <t>H</t>
        </is>
      </c>
      <c r="AH78" s="28" t="inlineStr">
        <is>
          <t>H</t>
        </is>
      </c>
      <c r="AI78" s="28" t="inlineStr">
        <is>
          <t>H</t>
        </is>
      </c>
      <c r="AJ78" s="28" t="inlineStr">
        <is>
          <t>H</t>
        </is>
      </c>
      <c r="BE78" s="29">
        <f>D78*$B$5</f>
        <v/>
      </c>
      <c r="BF78" s="29">
        <f>D78*$I$12</f>
        <v/>
      </c>
      <c r="BG78" s="30">
        <f>MATCH("P",$E78:$BD78,0)</f>
        <v/>
      </c>
    </row>
    <row r="79">
      <c r="A79" s="25" t="inlineStr">
        <is>
          <t>Kale W21</t>
        </is>
      </c>
      <c r="B79" s="25" t="inlineStr">
        <is>
          <t>Kale</t>
        </is>
      </c>
      <c r="C79" s="26" t="n">
        <v>0</v>
      </c>
      <c r="D79" s="27" t="n">
        <v>0</v>
      </c>
      <c r="Y79" s="28" t="inlineStr">
        <is>
          <t>P</t>
        </is>
      </c>
      <c r="Z79" s="28" t="inlineStr">
        <is>
          <t>G</t>
        </is>
      </c>
      <c r="AA79" s="28" t="inlineStr">
        <is>
          <t>G</t>
        </is>
      </c>
      <c r="AB79" s="28" t="inlineStr">
        <is>
          <t>G</t>
        </is>
      </c>
      <c r="AC79" s="28" t="inlineStr">
        <is>
          <t>G</t>
        </is>
      </c>
      <c r="AD79" s="28" t="inlineStr">
        <is>
          <t>G</t>
        </is>
      </c>
      <c r="AE79" s="28" t="inlineStr">
        <is>
          <t>G</t>
        </is>
      </c>
      <c r="AF79" s="28" t="inlineStr">
        <is>
          <t>G</t>
        </is>
      </c>
      <c r="AG79" s="28" t="inlineStr">
        <is>
          <t>G</t>
        </is>
      </c>
      <c r="AH79" s="28" t="inlineStr">
        <is>
          <t>H</t>
        </is>
      </c>
      <c r="AI79" s="28" t="inlineStr">
        <is>
          <t>H</t>
        </is>
      </c>
      <c r="AJ79" s="28" t="inlineStr">
        <is>
          <t>H</t>
        </is>
      </c>
      <c r="AK79" s="28" t="inlineStr">
        <is>
          <t>H</t>
        </is>
      </c>
      <c r="BE79" s="29">
        <f>D79*$B$5</f>
        <v/>
      </c>
      <c r="BF79" s="29">
        <f>D79*$I$12</f>
        <v/>
      </c>
      <c r="BG79" s="30">
        <f>MATCH("P",$E79:$BD79,0)</f>
        <v/>
      </c>
    </row>
    <row r="80">
      <c r="A80" s="25" t="inlineStr">
        <is>
          <t>Kale W22</t>
        </is>
      </c>
      <c r="B80" s="25" t="inlineStr">
        <is>
          <t>Kale</t>
        </is>
      </c>
      <c r="C80" s="26" t="n">
        <v>0</v>
      </c>
      <c r="D80" s="27" t="n">
        <v>0</v>
      </c>
      <c r="Z80" s="28" t="inlineStr">
        <is>
          <t>P</t>
        </is>
      </c>
      <c r="AA80" s="28" t="inlineStr">
        <is>
          <t>G</t>
        </is>
      </c>
      <c r="AB80" s="28" t="inlineStr">
        <is>
          <t>G</t>
        </is>
      </c>
      <c r="AC80" s="28" t="inlineStr">
        <is>
          <t>G</t>
        </is>
      </c>
      <c r="AD80" s="28" t="inlineStr">
        <is>
          <t>G</t>
        </is>
      </c>
      <c r="AE80" s="28" t="inlineStr">
        <is>
          <t>G</t>
        </is>
      </c>
      <c r="AF80" s="28" t="inlineStr">
        <is>
          <t>G</t>
        </is>
      </c>
      <c r="AG80" s="28" t="inlineStr">
        <is>
          <t>G</t>
        </is>
      </c>
      <c r="AH80" s="28" t="inlineStr">
        <is>
          <t>G</t>
        </is>
      </c>
      <c r="AI80" s="28" t="inlineStr">
        <is>
          <t>H</t>
        </is>
      </c>
      <c r="AJ80" s="28" t="inlineStr">
        <is>
          <t>H</t>
        </is>
      </c>
      <c r="AK80" s="28" t="inlineStr">
        <is>
          <t>H</t>
        </is>
      </c>
      <c r="AL80" s="28" t="inlineStr">
        <is>
          <t>H</t>
        </is>
      </c>
      <c r="BE80" s="29">
        <f>D80*$B$5</f>
        <v/>
      </c>
      <c r="BF80" s="29">
        <f>D80*$I$12</f>
        <v/>
      </c>
      <c r="BG80" s="30">
        <f>MATCH("P",$E80:$BD80,0)</f>
        <v/>
      </c>
    </row>
    <row r="81">
      <c r="A81" s="25" t="inlineStr">
        <is>
          <t>Kale W29</t>
        </is>
      </c>
      <c r="B81" s="25" t="inlineStr">
        <is>
          <t>Kale</t>
        </is>
      </c>
      <c r="C81" s="26" t="n">
        <v>0</v>
      </c>
      <c r="D81" s="27" t="n">
        <v>0</v>
      </c>
      <c r="AG81" s="28" t="inlineStr">
        <is>
          <t>P</t>
        </is>
      </c>
      <c r="AH81" s="28" t="inlineStr">
        <is>
          <t>G</t>
        </is>
      </c>
      <c r="AI81" s="28" t="inlineStr">
        <is>
          <t>G</t>
        </is>
      </c>
      <c r="AJ81" s="28" t="inlineStr">
        <is>
          <t>G</t>
        </is>
      </c>
      <c r="AK81" s="28" t="inlineStr">
        <is>
          <t>G</t>
        </is>
      </c>
      <c r="AL81" s="28" t="inlineStr">
        <is>
          <t>G</t>
        </is>
      </c>
      <c r="AM81" s="28" t="inlineStr">
        <is>
          <t>G</t>
        </is>
      </c>
      <c r="AN81" s="28" t="inlineStr">
        <is>
          <t>G</t>
        </is>
      </c>
      <c r="AO81" s="28" t="inlineStr">
        <is>
          <t>G</t>
        </is>
      </c>
      <c r="AP81" s="28" t="inlineStr">
        <is>
          <t>H</t>
        </is>
      </c>
      <c r="AQ81" s="28" t="inlineStr">
        <is>
          <t>H</t>
        </is>
      </c>
      <c r="AR81" s="28" t="inlineStr">
        <is>
          <t>H</t>
        </is>
      </c>
      <c r="AS81" s="28" t="inlineStr">
        <is>
          <t>H</t>
        </is>
      </c>
      <c r="BE81" s="29">
        <f>D81*$B$5</f>
        <v/>
      </c>
      <c r="BF81" s="29">
        <f>D81*$I$12</f>
        <v/>
      </c>
      <c r="BG81" s="30">
        <f>MATCH("P",$E81:$BD81,0)</f>
        <v/>
      </c>
    </row>
    <row r="82">
      <c r="A82" s="25" t="inlineStr">
        <is>
          <t>Kale W30</t>
        </is>
      </c>
      <c r="B82" s="25" t="inlineStr">
        <is>
          <t>Kale</t>
        </is>
      </c>
      <c r="C82" s="26" t="n">
        <v>0</v>
      </c>
      <c r="D82" s="27" t="n">
        <v>0</v>
      </c>
      <c r="AH82" s="28" t="inlineStr">
        <is>
          <t>P</t>
        </is>
      </c>
      <c r="AI82" s="28" t="inlineStr">
        <is>
          <t>G</t>
        </is>
      </c>
      <c r="AJ82" s="28" t="inlineStr">
        <is>
          <t>G</t>
        </is>
      </c>
      <c r="AK82" s="28" t="inlineStr">
        <is>
          <t>G</t>
        </is>
      </c>
      <c r="AL82" s="28" t="inlineStr">
        <is>
          <t>G</t>
        </is>
      </c>
      <c r="AM82" s="28" t="inlineStr">
        <is>
          <t>G</t>
        </is>
      </c>
      <c r="AN82" s="28" t="inlineStr">
        <is>
          <t>G</t>
        </is>
      </c>
      <c r="AO82" s="28" t="inlineStr">
        <is>
          <t>G</t>
        </is>
      </c>
      <c r="AP82" s="28" t="inlineStr">
        <is>
          <t>G</t>
        </is>
      </c>
      <c r="AQ82" s="28" t="inlineStr">
        <is>
          <t>H</t>
        </is>
      </c>
      <c r="AR82" s="28" t="inlineStr">
        <is>
          <t>H</t>
        </is>
      </c>
      <c r="AS82" s="28" t="inlineStr">
        <is>
          <t>H</t>
        </is>
      </c>
      <c r="AT82" s="28" t="inlineStr">
        <is>
          <t>H</t>
        </is>
      </c>
      <c r="BE82" s="29">
        <f>D82*$B$5</f>
        <v/>
      </c>
      <c r="BF82" s="29">
        <f>D82*$I$12</f>
        <v/>
      </c>
      <c r="BG82" s="30">
        <f>MATCH("P",$E82:$BD82,0)</f>
        <v/>
      </c>
    </row>
    <row r="83">
      <c r="A83" s="25" t="inlineStr">
        <is>
          <t>Kale W31</t>
        </is>
      </c>
      <c r="B83" s="25" t="inlineStr">
        <is>
          <t>Kale</t>
        </is>
      </c>
      <c r="C83" s="26" t="n">
        <v>0</v>
      </c>
      <c r="D83" s="27" t="n">
        <v>0</v>
      </c>
      <c r="AI83" s="28" t="inlineStr">
        <is>
          <t>P</t>
        </is>
      </c>
      <c r="AJ83" s="28" t="inlineStr">
        <is>
          <t>G</t>
        </is>
      </c>
      <c r="AK83" s="28" t="inlineStr">
        <is>
          <t>G</t>
        </is>
      </c>
      <c r="AL83" s="28" t="inlineStr">
        <is>
          <t>G</t>
        </is>
      </c>
      <c r="AM83" s="28" t="inlineStr">
        <is>
          <t>G</t>
        </is>
      </c>
      <c r="AN83" s="28" t="inlineStr">
        <is>
          <t>G</t>
        </is>
      </c>
      <c r="AO83" s="28" t="inlineStr">
        <is>
          <t>G</t>
        </is>
      </c>
      <c r="AP83" s="28" t="inlineStr">
        <is>
          <t>G</t>
        </is>
      </c>
      <c r="AQ83" s="28" t="inlineStr">
        <is>
          <t>G</t>
        </is>
      </c>
      <c r="AR83" s="28" t="inlineStr">
        <is>
          <t>H</t>
        </is>
      </c>
      <c r="AS83" s="28" t="inlineStr">
        <is>
          <t>H</t>
        </is>
      </c>
      <c r="AT83" s="28" t="inlineStr">
        <is>
          <t>H</t>
        </is>
      </c>
      <c r="AU83" s="28" t="inlineStr">
        <is>
          <t>H</t>
        </is>
      </c>
      <c r="BE83" s="29">
        <f>D83*$B$5</f>
        <v/>
      </c>
      <c r="BF83" s="29">
        <f>D83*$I$12</f>
        <v/>
      </c>
      <c r="BG83" s="30">
        <f>MATCH("P",$E83:$BD83,0)</f>
        <v/>
      </c>
    </row>
    <row r="84">
      <c r="A84" s="25" t="inlineStr">
        <is>
          <t>Kale W32</t>
        </is>
      </c>
      <c r="B84" s="25" t="inlineStr">
        <is>
          <t>Kale</t>
        </is>
      </c>
      <c r="C84" s="26" t="n">
        <v>0</v>
      </c>
      <c r="D84" s="27" t="n">
        <v>0</v>
      </c>
      <c r="AJ84" s="28" t="inlineStr">
        <is>
          <t>P</t>
        </is>
      </c>
      <c r="AK84" s="28" t="inlineStr">
        <is>
          <t>G</t>
        </is>
      </c>
      <c r="AL84" s="28" t="inlineStr">
        <is>
          <t>G</t>
        </is>
      </c>
      <c r="AM84" s="28" t="inlineStr">
        <is>
          <t>G</t>
        </is>
      </c>
      <c r="AN84" s="28" t="inlineStr">
        <is>
          <t>G</t>
        </is>
      </c>
      <c r="AO84" s="28" t="inlineStr">
        <is>
          <t>G</t>
        </is>
      </c>
      <c r="AP84" s="28" t="inlineStr">
        <is>
          <t>G</t>
        </is>
      </c>
      <c r="AQ84" s="28" t="inlineStr">
        <is>
          <t>G</t>
        </is>
      </c>
      <c r="AR84" s="28" t="inlineStr">
        <is>
          <t>G</t>
        </is>
      </c>
      <c r="AS84" s="28" t="inlineStr">
        <is>
          <t>H</t>
        </is>
      </c>
      <c r="AT84" s="28" t="inlineStr">
        <is>
          <t>H</t>
        </is>
      </c>
      <c r="AU84" s="28" t="inlineStr">
        <is>
          <t>H</t>
        </is>
      </c>
      <c r="AV84" s="28" t="inlineStr">
        <is>
          <t>H</t>
        </is>
      </c>
      <c r="BE84" s="29">
        <f>D84*$B$5</f>
        <v/>
      </c>
      <c r="BF84" s="29">
        <f>D84*$I$12</f>
        <v/>
      </c>
      <c r="BG84" s="30">
        <f>MATCH("P",$E84:$BD84,0)</f>
        <v/>
      </c>
    </row>
    <row r="85">
      <c r="A85" s="25" t="inlineStr">
        <is>
          <t>Kale W33</t>
        </is>
      </c>
      <c r="B85" s="25" t="inlineStr">
        <is>
          <t>Kale</t>
        </is>
      </c>
      <c r="C85" s="26" t="n">
        <v>0</v>
      </c>
      <c r="D85" s="27" t="n">
        <v>0</v>
      </c>
      <c r="AK85" s="28" t="inlineStr">
        <is>
          <t>P</t>
        </is>
      </c>
      <c r="AL85" s="28" t="inlineStr">
        <is>
          <t>G</t>
        </is>
      </c>
      <c r="AM85" s="28" t="inlineStr">
        <is>
          <t>G</t>
        </is>
      </c>
      <c r="AN85" s="28" t="inlineStr">
        <is>
          <t>G</t>
        </is>
      </c>
      <c r="AO85" s="28" t="inlineStr">
        <is>
          <t>G</t>
        </is>
      </c>
      <c r="AP85" s="28" t="inlineStr">
        <is>
          <t>G</t>
        </is>
      </c>
      <c r="AQ85" s="28" t="inlineStr">
        <is>
          <t>G</t>
        </is>
      </c>
      <c r="AR85" s="28" t="inlineStr">
        <is>
          <t>G</t>
        </is>
      </c>
      <c r="AS85" s="28" t="inlineStr">
        <is>
          <t>G</t>
        </is>
      </c>
      <c r="AT85" s="28" t="inlineStr">
        <is>
          <t>H</t>
        </is>
      </c>
      <c r="AU85" s="28" t="inlineStr">
        <is>
          <t>H</t>
        </is>
      </c>
      <c r="AV85" s="28" t="inlineStr">
        <is>
          <t>H</t>
        </is>
      </c>
      <c r="AW85" s="28" t="inlineStr">
        <is>
          <t>H</t>
        </is>
      </c>
      <c r="BE85" s="29">
        <f>D85*$B$5</f>
        <v/>
      </c>
      <c r="BF85" s="29">
        <f>D85*$I$12</f>
        <v/>
      </c>
      <c r="BG85" s="30">
        <f>MATCH("P",$E85:$BD85,0)</f>
        <v/>
      </c>
    </row>
    <row r="86">
      <c r="A86" s="25" t="inlineStr">
        <is>
          <t>Kale W34</t>
        </is>
      </c>
      <c r="B86" s="25" t="inlineStr">
        <is>
          <t>Kale</t>
        </is>
      </c>
      <c r="C86" s="26" t="n">
        <v>0</v>
      </c>
      <c r="D86" s="27" t="n">
        <v>0</v>
      </c>
      <c r="AL86" s="28" t="inlineStr">
        <is>
          <t>P</t>
        </is>
      </c>
      <c r="AM86" s="28" t="inlineStr">
        <is>
          <t>G</t>
        </is>
      </c>
      <c r="AN86" s="28" t="inlineStr">
        <is>
          <t>G</t>
        </is>
      </c>
      <c r="AO86" s="28" t="inlineStr">
        <is>
          <t>G</t>
        </is>
      </c>
      <c r="AP86" s="28" t="inlineStr">
        <is>
          <t>G</t>
        </is>
      </c>
      <c r="AQ86" s="28" t="inlineStr">
        <is>
          <t>G</t>
        </is>
      </c>
      <c r="AR86" s="28" t="inlineStr">
        <is>
          <t>G</t>
        </is>
      </c>
      <c r="AS86" s="28" t="inlineStr">
        <is>
          <t>G</t>
        </is>
      </c>
      <c r="AT86" s="28" t="inlineStr">
        <is>
          <t>G</t>
        </is>
      </c>
      <c r="AU86" s="28" t="inlineStr">
        <is>
          <t>H</t>
        </is>
      </c>
      <c r="AV86" s="28" t="inlineStr">
        <is>
          <t>H</t>
        </is>
      </c>
      <c r="AW86" s="28" t="inlineStr">
        <is>
          <t>H</t>
        </is>
      </c>
      <c r="AX86" s="28" t="inlineStr">
        <is>
          <t>H</t>
        </is>
      </c>
      <c r="BE86" s="29">
        <f>D86*$B$5</f>
        <v/>
      </c>
      <c r="BF86" s="29">
        <f>D86*$I$12</f>
        <v/>
      </c>
      <c r="BG86" s="30">
        <f>MATCH("P",$E86:$BD86,0)</f>
        <v/>
      </c>
    </row>
    <row r="87">
      <c r="A87" s="25" t="inlineStr">
        <is>
          <t>Kale W35</t>
        </is>
      </c>
      <c r="B87" s="25" t="inlineStr">
        <is>
          <t>Kale</t>
        </is>
      </c>
      <c r="C87" s="26" t="n">
        <v>0</v>
      </c>
      <c r="D87" s="27" t="n">
        <v>0</v>
      </c>
      <c r="AM87" s="28" t="inlineStr">
        <is>
          <t>P</t>
        </is>
      </c>
      <c r="AN87" s="28" t="inlineStr">
        <is>
          <t>G</t>
        </is>
      </c>
      <c r="AO87" s="28" t="inlineStr">
        <is>
          <t>G</t>
        </is>
      </c>
      <c r="AP87" s="28" t="inlineStr">
        <is>
          <t>G</t>
        </is>
      </c>
      <c r="AQ87" s="28" t="inlineStr">
        <is>
          <t>G</t>
        </is>
      </c>
      <c r="AR87" s="28" t="inlineStr">
        <is>
          <t>G</t>
        </is>
      </c>
      <c r="AS87" s="28" t="inlineStr">
        <is>
          <t>G</t>
        </is>
      </c>
      <c r="AT87" s="28" t="inlineStr">
        <is>
          <t>G</t>
        </is>
      </c>
      <c r="AU87" s="28" t="inlineStr">
        <is>
          <t>G</t>
        </is>
      </c>
      <c r="AV87" s="28" t="inlineStr">
        <is>
          <t>H</t>
        </is>
      </c>
      <c r="AW87" s="28" t="inlineStr">
        <is>
          <t>H</t>
        </is>
      </c>
      <c r="AX87" s="28" t="inlineStr">
        <is>
          <t>H</t>
        </is>
      </c>
      <c r="AY87" s="28" t="inlineStr">
        <is>
          <t>H</t>
        </is>
      </c>
      <c r="BE87" s="29">
        <f>D87*$B$5</f>
        <v/>
      </c>
      <c r="BF87" s="29">
        <f>D87*$I$12</f>
        <v/>
      </c>
      <c r="BG87" s="30">
        <f>MATCH("P",$E87:$BD87,0)</f>
        <v/>
      </c>
    </row>
    <row r="88">
      <c r="A88" s="25" t="inlineStr">
        <is>
          <t>Kale W36</t>
        </is>
      </c>
      <c r="B88" s="25" t="inlineStr">
        <is>
          <t>Kale</t>
        </is>
      </c>
      <c r="C88" s="26" t="n">
        <v>0</v>
      </c>
      <c r="D88" s="27" t="n">
        <v>0</v>
      </c>
      <c r="AN88" s="28" t="inlineStr">
        <is>
          <t>P</t>
        </is>
      </c>
      <c r="AO88" s="28" t="inlineStr">
        <is>
          <t>G</t>
        </is>
      </c>
      <c r="AP88" s="28" t="inlineStr">
        <is>
          <t>G</t>
        </is>
      </c>
      <c r="AQ88" s="28" t="inlineStr">
        <is>
          <t>G</t>
        </is>
      </c>
      <c r="AR88" s="28" t="inlineStr">
        <is>
          <t>G</t>
        </is>
      </c>
      <c r="AS88" s="28" t="inlineStr">
        <is>
          <t>G</t>
        </is>
      </c>
      <c r="AT88" s="28" t="inlineStr">
        <is>
          <t>G</t>
        </is>
      </c>
      <c r="AU88" s="28" t="inlineStr">
        <is>
          <t>G</t>
        </is>
      </c>
      <c r="AV88" s="28" t="inlineStr">
        <is>
          <t>G</t>
        </is>
      </c>
      <c r="AW88" s="28" t="inlineStr">
        <is>
          <t>H</t>
        </is>
      </c>
      <c r="AX88" s="28" t="inlineStr">
        <is>
          <t>H</t>
        </is>
      </c>
      <c r="AY88" s="28" t="inlineStr">
        <is>
          <t>H</t>
        </is>
      </c>
      <c r="AZ88" s="28" t="inlineStr">
        <is>
          <t>H</t>
        </is>
      </c>
      <c r="BE88" s="29">
        <f>D88*$B$5</f>
        <v/>
      </c>
      <c r="BF88" s="29">
        <f>D88*$I$12</f>
        <v/>
      </c>
      <c r="BG88" s="30">
        <f>MATCH("P",$E88:$BD88,0)</f>
        <v/>
      </c>
    </row>
    <row r="89">
      <c r="A89" s="25" t="inlineStr">
        <is>
          <t>Kale W37</t>
        </is>
      </c>
      <c r="B89" s="25" t="inlineStr">
        <is>
          <t>Kale</t>
        </is>
      </c>
      <c r="C89" s="26" t="n">
        <v>0</v>
      </c>
      <c r="D89" s="27" t="n">
        <v>0</v>
      </c>
      <c r="AO89" s="28" t="inlineStr">
        <is>
          <t>P</t>
        </is>
      </c>
      <c r="AP89" s="28" t="inlineStr">
        <is>
          <t>G</t>
        </is>
      </c>
      <c r="AQ89" s="28" t="inlineStr">
        <is>
          <t>G</t>
        </is>
      </c>
      <c r="AR89" s="28" t="inlineStr">
        <is>
          <t>G</t>
        </is>
      </c>
      <c r="AS89" s="28" t="inlineStr">
        <is>
          <t>G</t>
        </is>
      </c>
      <c r="AT89" s="28" t="inlineStr">
        <is>
          <t>G</t>
        </is>
      </c>
      <c r="AU89" s="28" t="inlineStr">
        <is>
          <t>G</t>
        </is>
      </c>
      <c r="AV89" s="28" t="inlineStr">
        <is>
          <t>G</t>
        </is>
      </c>
      <c r="AW89" s="28" t="inlineStr">
        <is>
          <t>G</t>
        </is>
      </c>
      <c r="AX89" s="28" t="inlineStr">
        <is>
          <t>H</t>
        </is>
      </c>
      <c r="AY89" s="28" t="inlineStr">
        <is>
          <t>H</t>
        </is>
      </c>
      <c r="AZ89" s="28" t="inlineStr">
        <is>
          <t>H</t>
        </is>
      </c>
      <c r="BA89" s="28" t="inlineStr">
        <is>
          <t>H</t>
        </is>
      </c>
      <c r="BE89" s="29">
        <f>D89*$B$5</f>
        <v/>
      </c>
      <c r="BF89" s="29">
        <f>D89*$I$12</f>
        <v/>
      </c>
      <c r="BG89" s="30">
        <f>MATCH("P",$E89:$BD89,0)</f>
        <v/>
      </c>
    </row>
    <row r="90">
      <c r="A90" s="25" t="inlineStr">
        <is>
          <t>Kale W38</t>
        </is>
      </c>
      <c r="B90" s="25" t="inlineStr">
        <is>
          <t>Kale</t>
        </is>
      </c>
      <c r="C90" s="26" t="n">
        <v>0</v>
      </c>
      <c r="D90" s="27" t="n">
        <v>0</v>
      </c>
      <c r="AP90" s="28" t="inlineStr">
        <is>
          <t>P</t>
        </is>
      </c>
      <c r="AQ90" s="28" t="inlineStr">
        <is>
          <t>G</t>
        </is>
      </c>
      <c r="AR90" s="28" t="inlineStr">
        <is>
          <t>G</t>
        </is>
      </c>
      <c r="AS90" s="28" t="inlineStr">
        <is>
          <t>G</t>
        </is>
      </c>
      <c r="AT90" s="28" t="inlineStr">
        <is>
          <t>G</t>
        </is>
      </c>
      <c r="AU90" s="28" t="inlineStr">
        <is>
          <t>G</t>
        </is>
      </c>
      <c r="AV90" s="28" t="inlineStr">
        <is>
          <t>G</t>
        </is>
      </c>
      <c r="AW90" s="28" t="inlineStr">
        <is>
          <t>G</t>
        </is>
      </c>
      <c r="AX90" s="28" t="inlineStr">
        <is>
          <t>G</t>
        </is>
      </c>
      <c r="AY90" s="28" t="inlineStr">
        <is>
          <t>H</t>
        </is>
      </c>
      <c r="AZ90" s="28" t="inlineStr">
        <is>
          <t>H</t>
        </is>
      </c>
      <c r="BA90" s="28" t="inlineStr">
        <is>
          <t>H</t>
        </is>
      </c>
      <c r="BB90" s="28" t="inlineStr">
        <is>
          <t>H</t>
        </is>
      </c>
      <c r="BE90" s="29">
        <f>D90*$B$5</f>
        <v/>
      </c>
      <c r="BF90" s="29">
        <f>D90*$I$12</f>
        <v/>
      </c>
      <c r="BG90" s="30">
        <f>MATCH("P",$E90:$BD90,0)</f>
        <v/>
      </c>
    </row>
    <row r="91">
      <c r="A91" s="25" t="inlineStr">
        <is>
          <t>Kale W39</t>
        </is>
      </c>
      <c r="B91" s="25" t="inlineStr">
        <is>
          <t>Kale</t>
        </is>
      </c>
      <c r="C91" s="26" t="n">
        <v>0</v>
      </c>
      <c r="D91" s="27" t="n">
        <v>0</v>
      </c>
      <c r="AQ91" s="28" t="inlineStr">
        <is>
          <t>P</t>
        </is>
      </c>
      <c r="AR91" s="28" t="inlineStr">
        <is>
          <t>G</t>
        </is>
      </c>
      <c r="AS91" s="28" t="inlineStr">
        <is>
          <t>G</t>
        </is>
      </c>
      <c r="AT91" s="28" t="inlineStr">
        <is>
          <t>G</t>
        </is>
      </c>
      <c r="AU91" s="28" t="inlineStr">
        <is>
          <t>G</t>
        </is>
      </c>
      <c r="AV91" s="28" t="inlineStr">
        <is>
          <t>G</t>
        </is>
      </c>
      <c r="AW91" s="28" t="inlineStr">
        <is>
          <t>G</t>
        </is>
      </c>
      <c r="AX91" s="28" t="inlineStr">
        <is>
          <t>G</t>
        </is>
      </c>
      <c r="AY91" s="28" t="inlineStr">
        <is>
          <t>G</t>
        </is>
      </c>
      <c r="AZ91" s="28" t="inlineStr">
        <is>
          <t>H</t>
        </is>
      </c>
      <c r="BA91" s="28" t="inlineStr">
        <is>
          <t>H</t>
        </is>
      </c>
      <c r="BB91" s="28" t="inlineStr">
        <is>
          <t>H</t>
        </is>
      </c>
      <c r="BC91" s="28" t="inlineStr">
        <is>
          <t>H</t>
        </is>
      </c>
      <c r="BE91" s="29">
        <f>D91*$B$5</f>
        <v/>
      </c>
      <c r="BF91" s="29">
        <f>D91*$I$12</f>
        <v/>
      </c>
      <c r="BG91" s="30">
        <f>MATCH("P",$E91:$BD91,0)</f>
        <v/>
      </c>
    </row>
    <row r="92">
      <c r="A92" s="25" t="inlineStr">
        <is>
          <t>Kale W40</t>
        </is>
      </c>
      <c r="B92" s="25" t="inlineStr">
        <is>
          <t>Kale</t>
        </is>
      </c>
      <c r="C92" s="26" t="n">
        <v>0</v>
      </c>
      <c r="D92" s="27" t="n">
        <v>0</v>
      </c>
      <c r="AR92" s="28" t="inlineStr">
        <is>
          <t>P</t>
        </is>
      </c>
      <c r="AS92" s="28" t="inlineStr">
        <is>
          <t>G</t>
        </is>
      </c>
      <c r="AT92" s="28" t="inlineStr">
        <is>
          <t>G</t>
        </is>
      </c>
      <c r="AU92" s="28" t="inlineStr">
        <is>
          <t>G</t>
        </is>
      </c>
      <c r="AV92" s="28" t="inlineStr">
        <is>
          <t>G</t>
        </is>
      </c>
      <c r="AW92" s="28" t="inlineStr">
        <is>
          <t>G</t>
        </is>
      </c>
      <c r="AX92" s="28" t="inlineStr">
        <is>
          <t>G</t>
        </is>
      </c>
      <c r="AY92" s="28" t="inlineStr">
        <is>
          <t>G</t>
        </is>
      </c>
      <c r="AZ92" s="28" t="inlineStr">
        <is>
          <t>G</t>
        </is>
      </c>
      <c r="BA92" s="28" t="inlineStr">
        <is>
          <t>H</t>
        </is>
      </c>
      <c r="BB92" s="28" t="inlineStr">
        <is>
          <t>H</t>
        </is>
      </c>
      <c r="BC92" s="28" t="inlineStr">
        <is>
          <t>H</t>
        </is>
      </c>
      <c r="BD92" s="28" t="inlineStr">
        <is>
          <t>H</t>
        </is>
      </c>
      <c r="BE92" s="29">
        <f>D92*$B$5</f>
        <v/>
      </c>
      <c r="BF92" s="29">
        <f>D92*$I$12</f>
        <v/>
      </c>
      <c r="BG92" s="30">
        <f>MATCH("P",$E92:$BD92,0)</f>
        <v/>
      </c>
    </row>
    <row r="93">
      <c r="A93" s="25" t="inlineStr">
        <is>
          <t>Garlic W46</t>
        </is>
      </c>
      <c r="B93" s="25" t="inlineStr">
        <is>
          <t>Garlic</t>
        </is>
      </c>
      <c r="C93" s="26" t="n">
        <v>0</v>
      </c>
      <c r="D93" s="27" t="n">
        <v>0</v>
      </c>
      <c r="E93" s="28" t="inlineStr">
        <is>
          <t>G</t>
        </is>
      </c>
      <c r="F93" s="28" t="inlineStr">
        <is>
          <t>G</t>
        </is>
      </c>
      <c r="G93" s="28" t="inlineStr">
        <is>
          <t>G</t>
        </is>
      </c>
      <c r="H93" s="28" t="inlineStr">
        <is>
          <t>G</t>
        </is>
      </c>
      <c r="I93" s="28" t="inlineStr">
        <is>
          <t>G</t>
        </is>
      </c>
      <c r="J93" s="28" t="inlineStr">
        <is>
          <t>G</t>
        </is>
      </c>
      <c r="K93" s="28" t="inlineStr">
        <is>
          <t>G</t>
        </is>
      </c>
      <c r="L93" s="28" t="inlineStr">
        <is>
          <t>G</t>
        </is>
      </c>
      <c r="M93" s="28" t="inlineStr">
        <is>
          <t>G</t>
        </is>
      </c>
      <c r="N93" s="28" t="inlineStr">
        <is>
          <t>G</t>
        </is>
      </c>
      <c r="O93" s="28" t="inlineStr">
        <is>
          <t>G</t>
        </is>
      </c>
      <c r="P93" s="28" t="inlineStr">
        <is>
          <t>G</t>
        </is>
      </c>
      <c r="Q93" s="28" t="inlineStr">
        <is>
          <t>G</t>
        </is>
      </c>
      <c r="R93" s="28" t="inlineStr">
        <is>
          <t>G</t>
        </is>
      </c>
      <c r="S93" s="28" t="inlineStr">
        <is>
          <t>G</t>
        </is>
      </c>
      <c r="T93" s="28" t="inlineStr">
        <is>
          <t>G</t>
        </is>
      </c>
      <c r="U93" s="28" t="inlineStr">
        <is>
          <t>G</t>
        </is>
      </c>
      <c r="V93" s="28" t="inlineStr">
        <is>
          <t>G</t>
        </is>
      </c>
      <c r="W93" s="28" t="inlineStr">
        <is>
          <t>G</t>
        </is>
      </c>
      <c r="X93" s="28" t="inlineStr">
        <is>
          <t>G</t>
        </is>
      </c>
      <c r="Y93" s="28" t="inlineStr">
        <is>
          <t>G</t>
        </is>
      </c>
      <c r="Z93" s="28" t="inlineStr">
        <is>
          <t>G</t>
        </is>
      </c>
      <c r="AA93" s="28" t="inlineStr">
        <is>
          <t>G</t>
        </is>
      </c>
      <c r="AB93" s="28" t="inlineStr">
        <is>
          <t>G</t>
        </is>
      </c>
      <c r="AC93" s="28" t="inlineStr">
        <is>
          <t>G</t>
        </is>
      </c>
      <c r="AD93" s="28" t="inlineStr">
        <is>
          <t>G</t>
        </is>
      </c>
      <c r="AE93" s="28" t="inlineStr">
        <is>
          <t>G</t>
        </is>
      </c>
      <c r="AF93" s="28" t="inlineStr">
        <is>
          <t>G</t>
        </is>
      </c>
      <c r="AG93" s="28" t="inlineStr">
        <is>
          <t>H</t>
        </is>
      </c>
      <c r="AX93" s="28" t="inlineStr">
        <is>
          <t>P</t>
        </is>
      </c>
      <c r="AY93" s="28" t="inlineStr">
        <is>
          <t>P</t>
        </is>
      </c>
      <c r="AZ93" s="28" t="inlineStr">
        <is>
          <t>P</t>
        </is>
      </c>
      <c r="BA93" s="28" t="inlineStr">
        <is>
          <t>G</t>
        </is>
      </c>
      <c r="BB93" s="28" t="inlineStr">
        <is>
          <t>G</t>
        </is>
      </c>
      <c r="BC93" s="28" t="inlineStr">
        <is>
          <t>G</t>
        </is>
      </c>
      <c r="BD93" s="28" t="inlineStr">
        <is>
          <t>G</t>
        </is>
      </c>
      <c r="BE93" s="29">
        <f>D93*$B$5</f>
        <v/>
      </c>
      <c r="BF93" s="29">
        <f>D93*$I$13</f>
        <v/>
      </c>
      <c r="BG93" s="30">
        <f>MATCH("P",$E93:$BD93,0)</f>
        <v/>
      </c>
    </row>
    <row r="94">
      <c r="A94" s="25" t="inlineStr">
        <is>
          <t>Garlic W47</t>
        </is>
      </c>
      <c r="B94" s="25" t="inlineStr">
        <is>
          <t>Garlic</t>
        </is>
      </c>
      <c r="C94" s="26" t="n">
        <v>0</v>
      </c>
      <c r="D94" s="27" t="n">
        <v>0</v>
      </c>
      <c r="E94" s="28" t="inlineStr">
        <is>
          <t>G</t>
        </is>
      </c>
      <c r="F94" s="28" t="inlineStr">
        <is>
          <t>G</t>
        </is>
      </c>
      <c r="G94" s="28" t="inlineStr">
        <is>
          <t>G</t>
        </is>
      </c>
      <c r="H94" s="28" t="inlineStr">
        <is>
          <t>G</t>
        </is>
      </c>
      <c r="I94" s="28" t="inlineStr">
        <is>
          <t>G</t>
        </is>
      </c>
      <c r="J94" s="28" t="inlineStr">
        <is>
          <t>G</t>
        </is>
      </c>
      <c r="K94" s="28" t="inlineStr">
        <is>
          <t>G</t>
        </is>
      </c>
      <c r="L94" s="28" t="inlineStr">
        <is>
          <t>G</t>
        </is>
      </c>
      <c r="M94" s="28" t="inlineStr">
        <is>
          <t>G</t>
        </is>
      </c>
      <c r="N94" s="28" t="inlineStr">
        <is>
          <t>G</t>
        </is>
      </c>
      <c r="O94" s="28" t="inlineStr">
        <is>
          <t>G</t>
        </is>
      </c>
      <c r="P94" s="28" t="inlineStr">
        <is>
          <t>G</t>
        </is>
      </c>
      <c r="Q94" s="28" t="inlineStr">
        <is>
          <t>G</t>
        </is>
      </c>
      <c r="R94" s="28" t="inlineStr">
        <is>
          <t>G</t>
        </is>
      </c>
      <c r="S94" s="28" t="inlineStr">
        <is>
          <t>G</t>
        </is>
      </c>
      <c r="T94" s="28" t="inlineStr">
        <is>
          <t>G</t>
        </is>
      </c>
      <c r="U94" s="28" t="inlineStr">
        <is>
          <t>G</t>
        </is>
      </c>
      <c r="V94" s="28" t="inlineStr">
        <is>
          <t>G</t>
        </is>
      </c>
      <c r="W94" s="28" t="inlineStr">
        <is>
          <t>G</t>
        </is>
      </c>
      <c r="X94" s="28" t="inlineStr">
        <is>
          <t>G</t>
        </is>
      </c>
      <c r="Y94" s="28" t="inlineStr">
        <is>
          <t>G</t>
        </is>
      </c>
      <c r="Z94" s="28" t="inlineStr">
        <is>
          <t>G</t>
        </is>
      </c>
      <c r="AA94" s="28" t="inlineStr">
        <is>
          <t>G</t>
        </is>
      </c>
      <c r="AB94" s="28" t="inlineStr">
        <is>
          <t>G</t>
        </is>
      </c>
      <c r="AC94" s="28" t="inlineStr">
        <is>
          <t>G</t>
        </is>
      </c>
      <c r="AD94" s="28" t="inlineStr">
        <is>
          <t>G</t>
        </is>
      </c>
      <c r="AE94" s="28" t="inlineStr">
        <is>
          <t>G</t>
        </is>
      </c>
      <c r="AF94" s="28" t="inlineStr">
        <is>
          <t>G</t>
        </is>
      </c>
      <c r="AG94" s="28" t="inlineStr">
        <is>
          <t>G</t>
        </is>
      </c>
      <c r="AH94" s="28" t="inlineStr">
        <is>
          <t>H</t>
        </is>
      </c>
      <c r="AY94" s="28" t="inlineStr">
        <is>
          <t>P</t>
        </is>
      </c>
      <c r="AZ94" s="28" t="inlineStr">
        <is>
          <t>P</t>
        </is>
      </c>
      <c r="BA94" s="28" t="inlineStr">
        <is>
          <t>P</t>
        </is>
      </c>
      <c r="BB94" s="28" t="inlineStr">
        <is>
          <t>G</t>
        </is>
      </c>
      <c r="BC94" s="28" t="inlineStr">
        <is>
          <t>G</t>
        </is>
      </c>
      <c r="BD94" s="28" t="inlineStr">
        <is>
          <t>G</t>
        </is>
      </c>
      <c r="BE94" s="29">
        <f>D94*$B$5</f>
        <v/>
      </c>
      <c r="BF94" s="29">
        <f>D94*$I$13</f>
        <v/>
      </c>
      <c r="BG94" s="30">
        <f>MATCH("P",$E94:$BD94,0)</f>
        <v/>
      </c>
    </row>
    <row r="95">
      <c r="A95" s="25" t="inlineStr">
        <is>
          <t>Garlic W48</t>
        </is>
      </c>
      <c r="B95" s="25" t="inlineStr">
        <is>
          <t>Garlic</t>
        </is>
      </c>
      <c r="C95" s="26" t="n">
        <v>0</v>
      </c>
      <c r="D95" s="27" t="n">
        <v>0</v>
      </c>
      <c r="E95" s="28" t="inlineStr">
        <is>
          <t>G</t>
        </is>
      </c>
      <c r="F95" s="28" t="inlineStr">
        <is>
          <t>G</t>
        </is>
      </c>
      <c r="G95" s="28" t="inlineStr">
        <is>
          <t>G</t>
        </is>
      </c>
      <c r="H95" s="28" t="inlineStr">
        <is>
          <t>G</t>
        </is>
      </c>
      <c r="I95" s="28" t="inlineStr">
        <is>
          <t>G</t>
        </is>
      </c>
      <c r="J95" s="28" t="inlineStr">
        <is>
          <t>G</t>
        </is>
      </c>
      <c r="K95" s="28" t="inlineStr">
        <is>
          <t>G</t>
        </is>
      </c>
      <c r="L95" s="28" t="inlineStr">
        <is>
          <t>G</t>
        </is>
      </c>
      <c r="M95" s="28" t="inlineStr">
        <is>
          <t>G</t>
        </is>
      </c>
      <c r="N95" s="28" t="inlineStr">
        <is>
          <t>G</t>
        </is>
      </c>
      <c r="O95" s="28" t="inlineStr">
        <is>
          <t>G</t>
        </is>
      </c>
      <c r="P95" s="28" t="inlineStr">
        <is>
          <t>G</t>
        </is>
      </c>
      <c r="Q95" s="28" t="inlineStr">
        <is>
          <t>G</t>
        </is>
      </c>
      <c r="R95" s="28" t="inlineStr">
        <is>
          <t>G</t>
        </is>
      </c>
      <c r="S95" s="28" t="inlineStr">
        <is>
          <t>G</t>
        </is>
      </c>
      <c r="T95" s="28" t="inlineStr">
        <is>
          <t>G</t>
        </is>
      </c>
      <c r="U95" s="28" t="inlineStr">
        <is>
          <t>G</t>
        </is>
      </c>
      <c r="V95" s="28" t="inlineStr">
        <is>
          <t>G</t>
        </is>
      </c>
      <c r="W95" s="28" t="inlineStr">
        <is>
          <t>G</t>
        </is>
      </c>
      <c r="X95" s="28" t="inlineStr">
        <is>
          <t>G</t>
        </is>
      </c>
      <c r="Y95" s="28" t="inlineStr">
        <is>
          <t>G</t>
        </is>
      </c>
      <c r="Z95" s="28" t="inlineStr">
        <is>
          <t>G</t>
        </is>
      </c>
      <c r="AA95" s="28" t="inlineStr">
        <is>
          <t>G</t>
        </is>
      </c>
      <c r="AB95" s="28" t="inlineStr">
        <is>
          <t>G</t>
        </is>
      </c>
      <c r="AC95" s="28" t="inlineStr">
        <is>
          <t>G</t>
        </is>
      </c>
      <c r="AD95" s="28" t="inlineStr">
        <is>
          <t>G</t>
        </is>
      </c>
      <c r="AE95" s="28" t="inlineStr">
        <is>
          <t>G</t>
        </is>
      </c>
      <c r="AF95" s="28" t="inlineStr">
        <is>
          <t>G</t>
        </is>
      </c>
      <c r="AG95" s="28" t="inlineStr">
        <is>
          <t>G</t>
        </is>
      </c>
      <c r="AH95" s="28" t="inlineStr">
        <is>
          <t>G</t>
        </is>
      </c>
      <c r="AI95" s="28" t="inlineStr">
        <is>
          <t>H</t>
        </is>
      </c>
      <c r="AZ95" s="28" t="inlineStr">
        <is>
          <t>P</t>
        </is>
      </c>
      <c r="BA95" s="28" t="inlineStr">
        <is>
          <t>P</t>
        </is>
      </c>
      <c r="BB95" s="28" t="inlineStr">
        <is>
          <t>P</t>
        </is>
      </c>
      <c r="BC95" s="28" t="inlineStr">
        <is>
          <t>G</t>
        </is>
      </c>
      <c r="BD95" s="28" t="inlineStr">
        <is>
          <t>G</t>
        </is>
      </c>
      <c r="BE95" s="29">
        <f>D95*$B$5</f>
        <v/>
      </c>
      <c r="BF95" s="29">
        <f>D95*$I$13</f>
        <v/>
      </c>
      <c r="BG95" s="30">
        <f>MATCH("P",$E95:$BD95,0)</f>
        <v/>
      </c>
    </row>
    <row r="96">
      <c r="A96" s="2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98">
      <c r="A98" s="20" t="inlineStr">
        <is>
          <t>Week</t>
        </is>
      </c>
      <c r="B98" s="31" t="inlineStr">
        <is>
          <t>acres</t>
        </is>
      </c>
      <c r="E98" s="23" t="n">
        <v>1</v>
      </c>
      <c r="F98" s="23" t="n">
        <v>2</v>
      </c>
      <c r="G98" s="23" t="n">
        <v>3</v>
      </c>
      <c r="H98" s="23" t="n">
        <v>4</v>
      </c>
      <c r="I98" s="23" t="n">
        <v>5</v>
      </c>
      <c r="J98" s="23" t="n">
        <v>6</v>
      </c>
      <c r="K98" s="23" t="n">
        <v>7</v>
      </c>
      <c r="L98" s="23" t="n">
        <v>8</v>
      </c>
      <c r="M98" s="23" t="n">
        <v>9</v>
      </c>
      <c r="N98" s="23" t="n">
        <v>10</v>
      </c>
      <c r="O98" s="23" t="n">
        <v>11</v>
      </c>
      <c r="P98" s="23" t="n">
        <v>12</v>
      </c>
      <c r="Q98" s="23" t="n">
        <v>13</v>
      </c>
      <c r="R98" s="23" t="n">
        <v>14</v>
      </c>
      <c r="S98" s="23" t="n">
        <v>15</v>
      </c>
      <c r="T98" s="23" t="n">
        <v>16</v>
      </c>
      <c r="U98" s="23" t="n">
        <v>17</v>
      </c>
      <c r="V98" s="23" t="n">
        <v>18</v>
      </c>
      <c r="W98" s="23" t="n">
        <v>19</v>
      </c>
      <c r="X98" s="23" t="n">
        <v>20</v>
      </c>
      <c r="Y98" s="23" t="n">
        <v>21</v>
      </c>
      <c r="Z98" s="23" t="n">
        <v>22</v>
      </c>
      <c r="AA98" s="23" t="n">
        <v>23</v>
      </c>
      <c r="AB98" s="23" t="n">
        <v>24</v>
      </c>
      <c r="AC98" s="23" t="n">
        <v>25</v>
      </c>
      <c r="AD98" s="23" t="n">
        <v>26</v>
      </c>
      <c r="AE98" s="23" t="n">
        <v>27</v>
      </c>
      <c r="AF98" s="23" t="n">
        <v>28</v>
      </c>
      <c r="AG98" s="23" t="n">
        <v>29</v>
      </c>
      <c r="AH98" s="23" t="n">
        <v>30</v>
      </c>
      <c r="AI98" s="23" t="n">
        <v>31</v>
      </c>
      <c r="AJ98" s="23" t="n">
        <v>32</v>
      </c>
      <c r="AK98" s="23" t="n">
        <v>33</v>
      </c>
      <c r="AL98" s="23" t="n">
        <v>34</v>
      </c>
      <c r="AM98" s="23" t="n">
        <v>35</v>
      </c>
      <c r="AN98" s="23" t="n">
        <v>36</v>
      </c>
      <c r="AO98" s="23" t="n">
        <v>37</v>
      </c>
      <c r="AP98" s="23" t="n">
        <v>38</v>
      </c>
      <c r="AQ98" s="23" t="n">
        <v>39</v>
      </c>
      <c r="AR98" s="23" t="n">
        <v>40</v>
      </c>
      <c r="AS98" s="23" t="n">
        <v>41</v>
      </c>
      <c r="AT98" s="23" t="n">
        <v>42</v>
      </c>
      <c r="AU98" s="23" t="n">
        <v>43</v>
      </c>
      <c r="AV98" s="23" t="n">
        <v>44</v>
      </c>
      <c r="AW98" s="23" t="n">
        <v>45</v>
      </c>
      <c r="AX98" s="23" t="n">
        <v>46</v>
      </c>
      <c r="AY98" s="23" t="n">
        <v>47</v>
      </c>
      <c r="AZ98" s="23" t="n">
        <v>48</v>
      </c>
      <c r="BA98" s="23" t="n">
        <v>49</v>
      </c>
      <c r="BB98" s="23" t="n">
        <v>50</v>
      </c>
      <c r="BC98" s="23" t="n">
        <v>51</v>
      </c>
      <c r="BD98" s="23" t="n">
        <v>52</v>
      </c>
    </row>
    <row r="99">
      <c r="A99" s="4" t="inlineStr">
        <is>
          <t>LAND in the ground</t>
        </is>
      </c>
      <c r="B99" s="2" t="inlineStr">
        <is>
          <t>used</t>
        </is>
      </c>
      <c r="E99" s="32">
        <f>SUMPRODUCT((E$28:E$95&lt;&gt;"")*$C$28:$C$95)</f>
        <v/>
      </c>
      <c r="F99" s="32">
        <f>SUMPRODUCT((F$28:F$95&lt;&gt;"")*$C$28:$C$95)</f>
        <v/>
      </c>
      <c r="G99" s="32">
        <f>SUMPRODUCT((G$28:G$95&lt;&gt;"")*$C$28:$C$95)</f>
        <v/>
      </c>
      <c r="H99" s="32">
        <f>SUMPRODUCT((H$28:H$95&lt;&gt;"")*$C$28:$C$95)</f>
        <v/>
      </c>
      <c r="I99" s="32">
        <f>SUMPRODUCT((I$28:I$95&lt;&gt;"")*$C$28:$C$95)</f>
        <v/>
      </c>
      <c r="J99" s="32">
        <f>SUMPRODUCT((J$28:J$95&lt;&gt;"")*$C$28:$C$95)</f>
        <v/>
      </c>
      <c r="K99" s="32">
        <f>SUMPRODUCT((K$28:K$95&lt;&gt;"")*$C$28:$C$95)</f>
        <v/>
      </c>
      <c r="L99" s="32">
        <f>SUMPRODUCT((L$28:L$95&lt;&gt;"")*$C$28:$C$95)</f>
        <v/>
      </c>
      <c r="M99" s="32">
        <f>SUMPRODUCT((M$28:M$95&lt;&gt;"")*$C$28:$C$95)</f>
        <v/>
      </c>
      <c r="N99" s="32">
        <f>SUMPRODUCT((N$28:N$95&lt;&gt;"")*$C$28:$C$95)</f>
        <v/>
      </c>
      <c r="O99" s="32">
        <f>SUMPRODUCT((O$28:O$95&lt;&gt;"")*$C$28:$C$95)</f>
        <v/>
      </c>
      <c r="P99" s="32">
        <f>SUMPRODUCT((P$28:P$95&lt;&gt;"")*$C$28:$C$95)</f>
        <v/>
      </c>
      <c r="Q99" s="32">
        <f>SUMPRODUCT((Q$28:Q$95&lt;&gt;"")*$C$28:$C$95)</f>
        <v/>
      </c>
      <c r="R99" s="32">
        <f>SUMPRODUCT((R$28:R$95&lt;&gt;"")*$C$28:$C$95)</f>
        <v/>
      </c>
      <c r="S99" s="32">
        <f>SUMPRODUCT((S$28:S$95&lt;&gt;"")*$C$28:$C$95)</f>
        <v/>
      </c>
      <c r="T99" s="32">
        <f>SUMPRODUCT((T$28:T$95&lt;&gt;"")*$C$28:$C$95)</f>
        <v/>
      </c>
      <c r="U99" s="32">
        <f>SUMPRODUCT((U$28:U$95&lt;&gt;"")*$C$28:$C$95)</f>
        <v/>
      </c>
      <c r="V99" s="32">
        <f>SUMPRODUCT((V$28:V$95&lt;&gt;"")*$C$28:$C$95)</f>
        <v/>
      </c>
      <c r="W99" s="32">
        <f>SUMPRODUCT((W$28:W$95&lt;&gt;"")*$C$28:$C$95)</f>
        <v/>
      </c>
      <c r="X99" s="32">
        <f>SUMPRODUCT((X$28:X$95&lt;&gt;"")*$C$28:$C$95)</f>
        <v/>
      </c>
      <c r="Y99" s="32">
        <f>SUMPRODUCT((Y$28:Y$95&lt;&gt;"")*$C$28:$C$95)</f>
        <v/>
      </c>
      <c r="Z99" s="32">
        <f>SUMPRODUCT((Z$28:Z$95&lt;&gt;"")*$C$28:$C$95)</f>
        <v/>
      </c>
      <c r="AA99" s="32">
        <f>SUMPRODUCT((AA$28:AA$95&lt;&gt;"")*$C$28:$C$95)</f>
        <v/>
      </c>
      <c r="AB99" s="32">
        <f>SUMPRODUCT((AB$28:AB$95&lt;&gt;"")*$C$28:$C$95)</f>
        <v/>
      </c>
      <c r="AC99" s="32">
        <f>SUMPRODUCT((AC$28:AC$95&lt;&gt;"")*$C$28:$C$95)</f>
        <v/>
      </c>
      <c r="AD99" s="32">
        <f>SUMPRODUCT((AD$28:AD$95&lt;&gt;"")*$C$28:$C$95)</f>
        <v/>
      </c>
      <c r="AE99" s="32">
        <f>SUMPRODUCT((AE$28:AE$95&lt;&gt;"")*$C$28:$C$95)</f>
        <v/>
      </c>
      <c r="AF99" s="32">
        <f>SUMPRODUCT((AF$28:AF$95&lt;&gt;"")*$C$28:$C$95)</f>
        <v/>
      </c>
      <c r="AG99" s="32">
        <f>SUMPRODUCT((AG$28:AG$95&lt;&gt;"")*$C$28:$C$95)</f>
        <v/>
      </c>
      <c r="AH99" s="32">
        <f>SUMPRODUCT((AH$28:AH$95&lt;&gt;"")*$C$28:$C$95)</f>
        <v/>
      </c>
      <c r="AI99" s="32">
        <f>SUMPRODUCT((AI$28:AI$95&lt;&gt;"")*$C$28:$C$95)</f>
        <v/>
      </c>
      <c r="AJ99" s="32">
        <f>SUMPRODUCT((AJ$28:AJ$95&lt;&gt;"")*$C$28:$C$95)</f>
        <v/>
      </c>
      <c r="AK99" s="32">
        <f>SUMPRODUCT((AK$28:AK$95&lt;&gt;"")*$C$28:$C$95)</f>
        <v/>
      </c>
      <c r="AL99" s="32">
        <f>SUMPRODUCT((AL$28:AL$95&lt;&gt;"")*$C$28:$C$95)</f>
        <v/>
      </c>
      <c r="AM99" s="32">
        <f>SUMPRODUCT((AM$28:AM$95&lt;&gt;"")*$C$28:$C$95)</f>
        <v/>
      </c>
      <c r="AN99" s="32">
        <f>SUMPRODUCT((AN$28:AN$95&lt;&gt;"")*$C$28:$C$95)</f>
        <v/>
      </c>
      <c r="AO99" s="32">
        <f>SUMPRODUCT((AO$28:AO$95&lt;&gt;"")*$C$28:$C$95)</f>
        <v/>
      </c>
      <c r="AP99" s="32">
        <f>SUMPRODUCT((AP$28:AP$95&lt;&gt;"")*$C$28:$C$95)</f>
        <v/>
      </c>
      <c r="AQ99" s="32">
        <f>SUMPRODUCT((AQ$28:AQ$95&lt;&gt;"")*$C$28:$C$95)</f>
        <v/>
      </c>
      <c r="AR99" s="32">
        <f>SUMPRODUCT((AR$28:AR$95&lt;&gt;"")*$C$28:$C$95)</f>
        <v/>
      </c>
      <c r="AS99" s="32">
        <f>SUMPRODUCT((AS$28:AS$95&lt;&gt;"")*$C$28:$C$95)</f>
        <v/>
      </c>
      <c r="AT99" s="32">
        <f>SUMPRODUCT((AT$28:AT$95&lt;&gt;"")*$C$28:$C$95)</f>
        <v/>
      </c>
      <c r="AU99" s="32">
        <f>SUMPRODUCT((AU$28:AU$95&lt;&gt;"")*$C$28:$C$95)</f>
        <v/>
      </c>
      <c r="AV99" s="32">
        <f>SUMPRODUCT((AV$28:AV$95&lt;&gt;"")*$C$28:$C$95)</f>
        <v/>
      </c>
      <c r="AW99" s="32">
        <f>SUMPRODUCT((AW$28:AW$95&lt;&gt;"")*$C$28:$C$95)</f>
        <v/>
      </c>
      <c r="AX99" s="32">
        <f>SUMPRODUCT((AX$28:AX$95&lt;&gt;"")*$C$28:$C$95)</f>
        <v/>
      </c>
      <c r="AY99" s="32">
        <f>SUMPRODUCT((AY$28:AY$95&lt;&gt;"")*$C$28:$C$95)</f>
        <v/>
      </c>
      <c r="AZ99" s="32">
        <f>SUMPRODUCT((AZ$28:AZ$95&lt;&gt;"")*$C$28:$C$95)</f>
        <v/>
      </c>
      <c r="BA99" s="32">
        <f>SUMPRODUCT((BA$28:BA$95&lt;&gt;"")*$C$28:$C$95)</f>
        <v/>
      </c>
      <c r="BB99" s="32">
        <f>SUMPRODUCT((BB$28:BB$95&lt;&gt;"")*$C$28:$C$95)</f>
        <v/>
      </c>
      <c r="BC99" s="32">
        <f>SUMPRODUCT((BC$28:BC$95&lt;&gt;"")*$C$28:$C$95)</f>
        <v/>
      </c>
      <c r="BD99" s="32">
        <f>SUMPRODUCT((BD$28:BD$95&lt;&gt;"")*$C$28:$C$95)</f>
        <v/>
      </c>
    </row>
    <row r="100">
      <c r="A100" s="4" t="inlineStr"/>
      <c r="E100" s="33" t="inlineStr">
        <is>
          <t>&lt;=</t>
        </is>
      </c>
      <c r="F100" s="33" t="inlineStr">
        <is>
          <t>&lt;=</t>
        </is>
      </c>
      <c r="G100" s="33" t="inlineStr">
        <is>
          <t>&lt;=</t>
        </is>
      </c>
      <c r="H100" s="33" t="inlineStr">
        <is>
          <t>&lt;=</t>
        </is>
      </c>
      <c r="I100" s="33" t="inlineStr">
        <is>
          <t>&lt;=</t>
        </is>
      </c>
      <c r="J100" s="33" t="inlineStr">
        <is>
          <t>&lt;=</t>
        </is>
      </c>
      <c r="K100" s="33" t="inlineStr">
        <is>
          <t>&lt;=</t>
        </is>
      </c>
      <c r="L100" s="33" t="inlineStr">
        <is>
          <t>&lt;=</t>
        </is>
      </c>
      <c r="M100" s="33" t="inlineStr">
        <is>
          <t>&lt;=</t>
        </is>
      </c>
      <c r="N100" s="33" t="inlineStr">
        <is>
          <t>&lt;=</t>
        </is>
      </c>
      <c r="O100" s="33" t="inlineStr">
        <is>
          <t>&lt;=</t>
        </is>
      </c>
      <c r="P100" s="33" t="inlineStr">
        <is>
          <t>&lt;=</t>
        </is>
      </c>
      <c r="Q100" s="33" t="inlineStr">
        <is>
          <t>&lt;=</t>
        </is>
      </c>
      <c r="R100" s="33" t="inlineStr">
        <is>
          <t>&lt;=</t>
        </is>
      </c>
      <c r="S100" s="33" t="inlineStr">
        <is>
          <t>&lt;=</t>
        </is>
      </c>
      <c r="T100" s="33" t="inlineStr">
        <is>
          <t>&lt;=</t>
        </is>
      </c>
      <c r="U100" s="33" t="inlineStr">
        <is>
          <t>&lt;=</t>
        </is>
      </c>
      <c r="V100" s="33" t="inlineStr">
        <is>
          <t>&lt;=</t>
        </is>
      </c>
      <c r="W100" s="33" t="inlineStr">
        <is>
          <t>&lt;=</t>
        </is>
      </c>
      <c r="X100" s="33" t="inlineStr">
        <is>
          <t>&lt;=</t>
        </is>
      </c>
      <c r="Y100" s="33" t="inlineStr">
        <is>
          <t>&lt;=</t>
        </is>
      </c>
      <c r="Z100" s="33" t="inlineStr">
        <is>
          <t>&lt;=</t>
        </is>
      </c>
      <c r="AA100" s="33" t="inlineStr">
        <is>
          <t>&lt;=</t>
        </is>
      </c>
      <c r="AB100" s="33" t="inlineStr">
        <is>
          <t>&lt;=</t>
        </is>
      </c>
      <c r="AC100" s="33" t="inlineStr">
        <is>
          <t>&lt;=</t>
        </is>
      </c>
      <c r="AD100" s="33" t="inlineStr">
        <is>
          <t>&lt;=</t>
        </is>
      </c>
      <c r="AE100" s="33" t="inlineStr">
        <is>
          <t>&lt;=</t>
        </is>
      </c>
      <c r="AF100" s="33" t="inlineStr">
        <is>
          <t>&lt;=</t>
        </is>
      </c>
      <c r="AG100" s="33" t="inlineStr">
        <is>
          <t>&lt;=</t>
        </is>
      </c>
      <c r="AH100" s="33" t="inlineStr">
        <is>
          <t>&lt;=</t>
        </is>
      </c>
      <c r="AI100" s="33" t="inlineStr">
        <is>
          <t>&lt;=</t>
        </is>
      </c>
      <c r="AJ100" s="33" t="inlineStr">
        <is>
          <t>&lt;=</t>
        </is>
      </c>
      <c r="AK100" s="33" t="inlineStr">
        <is>
          <t>&lt;=</t>
        </is>
      </c>
      <c r="AL100" s="33" t="inlineStr">
        <is>
          <t>&lt;=</t>
        </is>
      </c>
      <c r="AM100" s="33" t="inlineStr">
        <is>
          <t>&lt;=</t>
        </is>
      </c>
      <c r="AN100" s="33" t="inlineStr">
        <is>
          <t>&lt;=</t>
        </is>
      </c>
      <c r="AO100" s="33" t="inlineStr">
        <is>
          <t>&lt;=</t>
        </is>
      </c>
      <c r="AP100" s="33" t="inlineStr">
        <is>
          <t>&lt;=</t>
        </is>
      </c>
      <c r="AQ100" s="33" t="inlineStr">
        <is>
          <t>&lt;=</t>
        </is>
      </c>
      <c r="AR100" s="33" t="inlineStr">
        <is>
          <t>&lt;=</t>
        </is>
      </c>
      <c r="AS100" s="33" t="inlineStr">
        <is>
          <t>&lt;=</t>
        </is>
      </c>
      <c r="AT100" s="33" t="inlineStr">
        <is>
          <t>&lt;=</t>
        </is>
      </c>
      <c r="AU100" s="33" t="inlineStr">
        <is>
          <t>&lt;=</t>
        </is>
      </c>
      <c r="AV100" s="33" t="inlineStr">
        <is>
          <t>&lt;=</t>
        </is>
      </c>
      <c r="AW100" s="33" t="inlineStr">
        <is>
          <t>&lt;=</t>
        </is>
      </c>
      <c r="AX100" s="33" t="inlineStr">
        <is>
          <t>&lt;=</t>
        </is>
      </c>
      <c r="AY100" s="33" t="inlineStr">
        <is>
          <t>&lt;=</t>
        </is>
      </c>
      <c r="AZ100" s="33" t="inlineStr">
        <is>
          <t>&lt;=</t>
        </is>
      </c>
      <c r="BA100" s="33" t="inlineStr">
        <is>
          <t>&lt;=</t>
        </is>
      </c>
      <c r="BB100" s="33" t="inlineStr">
        <is>
          <t>&lt;=</t>
        </is>
      </c>
      <c r="BC100" s="33" t="inlineStr">
        <is>
          <t>&lt;=</t>
        </is>
      </c>
      <c r="BD100" s="33" t="inlineStr">
        <is>
          <t>&lt;=</t>
        </is>
      </c>
    </row>
    <row r="101">
      <c r="A101" s="4" t="inlineStr">
        <is>
          <t xml:space="preserve">  limit</t>
        </is>
      </c>
      <c r="B101" s="2" t="inlineStr">
        <is>
          <t>cap</t>
        </is>
      </c>
      <c r="E101" s="32">
        <f>$B$5</f>
        <v/>
      </c>
      <c r="F101" s="32">
        <f>$B$5</f>
        <v/>
      </c>
      <c r="G101" s="32">
        <f>$B$5</f>
        <v/>
      </c>
      <c r="H101" s="32">
        <f>$B$5</f>
        <v/>
      </c>
      <c r="I101" s="32">
        <f>$B$5</f>
        <v/>
      </c>
      <c r="J101" s="32">
        <f>$B$5</f>
        <v/>
      </c>
      <c r="K101" s="32">
        <f>$B$5</f>
        <v/>
      </c>
      <c r="L101" s="32">
        <f>$B$5</f>
        <v/>
      </c>
      <c r="M101" s="32">
        <f>$B$5</f>
        <v/>
      </c>
      <c r="N101" s="32">
        <f>$B$5</f>
        <v/>
      </c>
      <c r="O101" s="32">
        <f>$B$5</f>
        <v/>
      </c>
      <c r="P101" s="32">
        <f>$B$5</f>
        <v/>
      </c>
      <c r="Q101" s="32">
        <f>$B$5</f>
        <v/>
      </c>
      <c r="R101" s="32">
        <f>$B$5</f>
        <v/>
      </c>
      <c r="S101" s="32">
        <f>$B$5</f>
        <v/>
      </c>
      <c r="T101" s="32">
        <f>$B$5</f>
        <v/>
      </c>
      <c r="U101" s="32">
        <f>$B$5</f>
        <v/>
      </c>
      <c r="V101" s="32">
        <f>$B$5</f>
        <v/>
      </c>
      <c r="W101" s="32">
        <f>$B$5</f>
        <v/>
      </c>
      <c r="X101" s="32">
        <f>$B$5</f>
        <v/>
      </c>
      <c r="Y101" s="32">
        <f>$B$5</f>
        <v/>
      </c>
      <c r="Z101" s="32">
        <f>$B$5</f>
        <v/>
      </c>
      <c r="AA101" s="32">
        <f>$B$5</f>
        <v/>
      </c>
      <c r="AB101" s="32">
        <f>$B$5</f>
        <v/>
      </c>
      <c r="AC101" s="32">
        <f>$B$5</f>
        <v/>
      </c>
      <c r="AD101" s="32">
        <f>$B$5</f>
        <v/>
      </c>
      <c r="AE101" s="32">
        <f>$B$5</f>
        <v/>
      </c>
      <c r="AF101" s="32">
        <f>$B$5</f>
        <v/>
      </c>
      <c r="AG101" s="32">
        <f>$B$5</f>
        <v/>
      </c>
      <c r="AH101" s="32">
        <f>$B$5</f>
        <v/>
      </c>
      <c r="AI101" s="32">
        <f>$B$5</f>
        <v/>
      </c>
      <c r="AJ101" s="32">
        <f>$B$5</f>
        <v/>
      </c>
      <c r="AK101" s="32">
        <f>$B$5</f>
        <v/>
      </c>
      <c r="AL101" s="32">
        <f>$B$5</f>
        <v/>
      </c>
      <c r="AM101" s="32">
        <f>$B$5</f>
        <v/>
      </c>
      <c r="AN101" s="32">
        <f>$B$5</f>
        <v/>
      </c>
      <c r="AO101" s="32">
        <f>$B$5</f>
        <v/>
      </c>
      <c r="AP101" s="32">
        <f>$B$5</f>
        <v/>
      </c>
      <c r="AQ101" s="32">
        <f>$B$5</f>
        <v/>
      </c>
      <c r="AR101" s="32">
        <f>$B$5</f>
        <v/>
      </c>
      <c r="AS101" s="32">
        <f>$B$5</f>
        <v/>
      </c>
      <c r="AT101" s="32">
        <f>$B$5</f>
        <v/>
      </c>
      <c r="AU101" s="32">
        <f>$B$5</f>
        <v/>
      </c>
      <c r="AV101" s="32">
        <f>$B$5</f>
        <v/>
      </c>
      <c r="AW101" s="32">
        <f>$B$5</f>
        <v/>
      </c>
      <c r="AX101" s="32">
        <f>$B$5</f>
        <v/>
      </c>
      <c r="AY101" s="32">
        <f>$B$5</f>
        <v/>
      </c>
      <c r="AZ101" s="32">
        <f>$B$5</f>
        <v/>
      </c>
      <c r="BA101" s="32">
        <f>$B$5</f>
        <v/>
      </c>
      <c r="BB101" s="32">
        <f>$B$5</f>
        <v/>
      </c>
      <c r="BC101" s="32">
        <f>$B$5</f>
        <v/>
      </c>
      <c r="BD101" s="32">
        <f>$B$5</f>
        <v/>
      </c>
    </row>
    <row r="102">
      <c r="A102" s="25" t="inlineStr">
        <is>
          <t xml:space="preserve">  room left</t>
        </is>
      </c>
      <c r="E102" s="32">
        <f>$B$5-E99</f>
        <v/>
      </c>
      <c r="F102" s="32">
        <f>$B$5-F99</f>
        <v/>
      </c>
      <c r="G102" s="32">
        <f>$B$5-G99</f>
        <v/>
      </c>
      <c r="H102" s="32">
        <f>$B$5-H99</f>
        <v/>
      </c>
      <c r="I102" s="32">
        <f>$B$5-I99</f>
        <v/>
      </c>
      <c r="J102" s="32">
        <f>$B$5-J99</f>
        <v/>
      </c>
      <c r="K102" s="32">
        <f>$B$5-K99</f>
        <v/>
      </c>
      <c r="L102" s="32">
        <f>$B$5-L99</f>
        <v/>
      </c>
      <c r="M102" s="32">
        <f>$B$5-M99</f>
        <v/>
      </c>
      <c r="N102" s="32">
        <f>$B$5-N99</f>
        <v/>
      </c>
      <c r="O102" s="32">
        <f>$B$5-O99</f>
        <v/>
      </c>
      <c r="P102" s="32">
        <f>$B$5-P99</f>
        <v/>
      </c>
      <c r="Q102" s="32">
        <f>$B$5-Q99</f>
        <v/>
      </c>
      <c r="R102" s="32">
        <f>$B$5-R99</f>
        <v/>
      </c>
      <c r="S102" s="32">
        <f>$B$5-S99</f>
        <v/>
      </c>
      <c r="T102" s="32">
        <f>$B$5-T99</f>
        <v/>
      </c>
      <c r="U102" s="32">
        <f>$B$5-U99</f>
        <v/>
      </c>
      <c r="V102" s="32">
        <f>$B$5-V99</f>
        <v/>
      </c>
      <c r="W102" s="32">
        <f>$B$5-W99</f>
        <v/>
      </c>
      <c r="X102" s="32">
        <f>$B$5-X99</f>
        <v/>
      </c>
      <c r="Y102" s="32">
        <f>$B$5-Y99</f>
        <v/>
      </c>
      <c r="Z102" s="32">
        <f>$B$5-Z99</f>
        <v/>
      </c>
      <c r="AA102" s="32">
        <f>$B$5-AA99</f>
        <v/>
      </c>
      <c r="AB102" s="32">
        <f>$B$5-AB99</f>
        <v/>
      </c>
      <c r="AC102" s="32">
        <f>$B$5-AC99</f>
        <v/>
      </c>
      <c r="AD102" s="32">
        <f>$B$5-AD99</f>
        <v/>
      </c>
      <c r="AE102" s="32">
        <f>$B$5-AE99</f>
        <v/>
      </c>
      <c r="AF102" s="32">
        <f>$B$5-AF99</f>
        <v/>
      </c>
      <c r="AG102" s="32">
        <f>$B$5-AG99</f>
        <v/>
      </c>
      <c r="AH102" s="32">
        <f>$B$5-AH99</f>
        <v/>
      </c>
      <c r="AI102" s="32">
        <f>$B$5-AI99</f>
        <v/>
      </c>
      <c r="AJ102" s="32">
        <f>$B$5-AJ99</f>
        <v/>
      </c>
      <c r="AK102" s="32">
        <f>$B$5-AK99</f>
        <v/>
      </c>
      <c r="AL102" s="32">
        <f>$B$5-AL99</f>
        <v/>
      </c>
      <c r="AM102" s="32">
        <f>$B$5-AM99</f>
        <v/>
      </c>
      <c r="AN102" s="32">
        <f>$B$5-AN99</f>
        <v/>
      </c>
      <c r="AO102" s="32">
        <f>$B$5-AO99</f>
        <v/>
      </c>
      <c r="AP102" s="32">
        <f>$B$5-AP99</f>
        <v/>
      </c>
      <c r="AQ102" s="32">
        <f>$B$5-AQ99</f>
        <v/>
      </c>
      <c r="AR102" s="32">
        <f>$B$5-AR99</f>
        <v/>
      </c>
      <c r="AS102" s="32">
        <f>$B$5-AS99</f>
        <v/>
      </c>
      <c r="AT102" s="32">
        <f>$B$5-AT99</f>
        <v/>
      </c>
      <c r="AU102" s="32">
        <f>$B$5-AU99</f>
        <v/>
      </c>
      <c r="AV102" s="32">
        <f>$B$5-AV99</f>
        <v/>
      </c>
      <c r="AW102" s="32">
        <f>$B$5-AW99</f>
        <v/>
      </c>
      <c r="AX102" s="32">
        <f>$B$5-AX99</f>
        <v/>
      </c>
      <c r="AY102" s="32">
        <f>$B$5-AY99</f>
        <v/>
      </c>
      <c r="AZ102" s="32">
        <f>$B$5-AZ99</f>
        <v/>
      </c>
      <c r="BA102" s="32">
        <f>$B$5-BA99</f>
        <v/>
      </c>
      <c r="BB102" s="32">
        <f>$B$5-BB99</f>
        <v/>
      </c>
      <c r="BC102" s="32">
        <f>$B$5-BC99</f>
        <v/>
      </c>
      <c r="BD102" s="32">
        <f>$B$5-BD99</f>
        <v/>
      </c>
    </row>
    <row r="103">
      <c r="A103" s="2" t="inlineStr">
        <is>
          <t xml:space="preserve">   Acres standing that week, summed across every planting the solver chose.</t>
        </is>
      </c>
    </row>
    <row r="105">
      <c r="A105" s="3" t="inlineStr">
        <is>
          <t>SPINACH  —  cold store</t>
        </is>
      </c>
      <c r="B105" s="34" t="inlineStr"/>
    </row>
    <row r="106">
      <c r="A106" s="20" t="inlineStr">
        <is>
          <t>Week</t>
        </is>
      </c>
      <c r="B106" s="31" t="inlineStr"/>
      <c r="E106" s="23" t="n">
        <v>1</v>
      </c>
      <c r="F106" s="23" t="n">
        <v>2</v>
      </c>
      <c r="G106" s="23" t="n">
        <v>3</v>
      </c>
      <c r="H106" s="23" t="n">
        <v>4</v>
      </c>
      <c r="I106" s="23" t="n">
        <v>5</v>
      </c>
      <c r="J106" s="23" t="n">
        <v>6</v>
      </c>
      <c r="K106" s="23" t="n">
        <v>7</v>
      </c>
      <c r="L106" s="23" t="n">
        <v>8</v>
      </c>
      <c r="M106" s="23" t="n">
        <v>9</v>
      </c>
      <c r="N106" s="23" t="n">
        <v>10</v>
      </c>
      <c r="O106" s="23" t="n">
        <v>11</v>
      </c>
      <c r="P106" s="23" t="n">
        <v>12</v>
      </c>
      <c r="Q106" s="23" t="n">
        <v>13</v>
      </c>
      <c r="R106" s="23" t="n">
        <v>14</v>
      </c>
      <c r="S106" s="23" t="n">
        <v>15</v>
      </c>
      <c r="T106" s="23" t="n">
        <v>16</v>
      </c>
      <c r="U106" s="23" t="n">
        <v>17</v>
      </c>
      <c r="V106" s="23" t="n">
        <v>18</v>
      </c>
      <c r="W106" s="23" t="n">
        <v>19</v>
      </c>
      <c r="X106" s="23" t="n">
        <v>20</v>
      </c>
      <c r="Y106" s="23" t="n">
        <v>21</v>
      </c>
      <c r="Z106" s="23" t="n">
        <v>22</v>
      </c>
      <c r="AA106" s="23" t="n">
        <v>23</v>
      </c>
      <c r="AB106" s="23" t="n">
        <v>24</v>
      </c>
      <c r="AC106" s="23" t="n">
        <v>25</v>
      </c>
      <c r="AD106" s="23" t="n">
        <v>26</v>
      </c>
      <c r="AE106" s="23" t="n">
        <v>27</v>
      </c>
      <c r="AF106" s="23" t="n">
        <v>28</v>
      </c>
      <c r="AG106" s="23" t="n">
        <v>29</v>
      </c>
      <c r="AH106" s="23" t="n">
        <v>30</v>
      </c>
      <c r="AI106" s="23" t="n">
        <v>31</v>
      </c>
      <c r="AJ106" s="23" t="n">
        <v>32</v>
      </c>
      <c r="AK106" s="23" t="n">
        <v>33</v>
      </c>
      <c r="AL106" s="23" t="n">
        <v>34</v>
      </c>
      <c r="AM106" s="23" t="n">
        <v>35</v>
      </c>
      <c r="AN106" s="23" t="n">
        <v>36</v>
      </c>
      <c r="AO106" s="23" t="n">
        <v>37</v>
      </c>
      <c r="AP106" s="23" t="n">
        <v>38</v>
      </c>
      <c r="AQ106" s="23" t="n">
        <v>39</v>
      </c>
      <c r="AR106" s="23" t="n">
        <v>40</v>
      </c>
      <c r="AS106" s="23" t="n">
        <v>41</v>
      </c>
      <c r="AT106" s="23" t="n">
        <v>42</v>
      </c>
      <c r="AU106" s="23" t="n">
        <v>43</v>
      </c>
      <c r="AV106" s="23" t="n">
        <v>44</v>
      </c>
      <c r="AW106" s="23" t="n">
        <v>45</v>
      </c>
      <c r="AX106" s="23" t="n">
        <v>46</v>
      </c>
      <c r="AY106" s="23" t="n">
        <v>47</v>
      </c>
      <c r="AZ106" s="23" t="n">
        <v>48</v>
      </c>
      <c r="BA106" s="23" t="n">
        <v>49</v>
      </c>
      <c r="BB106" s="23" t="n">
        <v>50</v>
      </c>
      <c r="BC106" s="23" t="n">
        <v>51</v>
      </c>
      <c r="BD106" s="23" t="n">
        <v>52</v>
      </c>
    </row>
    <row r="107">
      <c r="A107" s="4" t="inlineStr">
        <is>
          <t>Packed out -&gt; INTO the store</t>
        </is>
      </c>
      <c r="B107" s="2" t="inlineStr">
        <is>
          <t>lb</t>
        </is>
      </c>
      <c r="E107" s="35">
        <f>SUMPRODUCT(($B$28:$B$95="Spinach")*(E$28:E$95="H")*$C$28:$C$95)*$B$11/$J$11*$C$11</f>
        <v/>
      </c>
      <c r="F107" s="35">
        <f>SUMPRODUCT(($B$28:$B$95="Spinach")*(F$28:F$95="H")*$C$28:$C$95)*$B$11/$J$11*$C$11</f>
        <v/>
      </c>
      <c r="G107" s="35">
        <f>SUMPRODUCT(($B$28:$B$95="Spinach")*(G$28:G$95="H")*$C$28:$C$95)*$B$11/$J$11*$C$11</f>
        <v/>
      </c>
      <c r="H107" s="35">
        <f>SUMPRODUCT(($B$28:$B$95="Spinach")*(H$28:H$95="H")*$C$28:$C$95)*$B$11/$J$11*$C$11</f>
        <v/>
      </c>
      <c r="I107" s="35">
        <f>SUMPRODUCT(($B$28:$B$95="Spinach")*(I$28:I$95="H")*$C$28:$C$95)*$B$11/$J$11*$C$11</f>
        <v/>
      </c>
      <c r="J107" s="35">
        <f>SUMPRODUCT(($B$28:$B$95="Spinach")*(J$28:J$95="H")*$C$28:$C$95)*$B$11/$J$11*$C$11</f>
        <v/>
      </c>
      <c r="K107" s="35">
        <f>SUMPRODUCT(($B$28:$B$95="Spinach")*(K$28:K$95="H")*$C$28:$C$95)*$B$11/$J$11*$C$11</f>
        <v/>
      </c>
      <c r="L107" s="35">
        <f>SUMPRODUCT(($B$28:$B$95="Spinach")*(L$28:L$95="H")*$C$28:$C$95)*$B$11/$J$11*$C$11</f>
        <v/>
      </c>
      <c r="M107" s="35">
        <f>SUMPRODUCT(($B$28:$B$95="Spinach")*(M$28:M$95="H")*$C$28:$C$95)*$B$11/$J$11*$C$11</f>
        <v/>
      </c>
      <c r="N107" s="35">
        <f>SUMPRODUCT(($B$28:$B$95="Spinach")*(N$28:N$95="H")*$C$28:$C$95)*$B$11/$J$11*$C$11</f>
        <v/>
      </c>
      <c r="O107" s="35">
        <f>SUMPRODUCT(($B$28:$B$95="Spinach")*(O$28:O$95="H")*$C$28:$C$95)*$B$11/$J$11*$C$11</f>
        <v/>
      </c>
      <c r="P107" s="35">
        <f>SUMPRODUCT(($B$28:$B$95="Spinach")*(P$28:P$95="H")*$C$28:$C$95)*$B$11/$J$11*$C$11</f>
        <v/>
      </c>
      <c r="Q107" s="35">
        <f>SUMPRODUCT(($B$28:$B$95="Spinach")*(Q$28:Q$95="H")*$C$28:$C$95)*$B$11/$J$11*$C$11</f>
        <v/>
      </c>
      <c r="R107" s="35">
        <f>SUMPRODUCT(($B$28:$B$95="Spinach")*(R$28:R$95="H")*$C$28:$C$95)*$B$11/$J$11*$C$11</f>
        <v/>
      </c>
      <c r="S107" s="35">
        <f>SUMPRODUCT(($B$28:$B$95="Spinach")*(S$28:S$95="H")*$C$28:$C$95)*$B$11/$J$11*$C$11</f>
        <v/>
      </c>
      <c r="T107" s="35">
        <f>SUMPRODUCT(($B$28:$B$95="Spinach")*(T$28:T$95="H")*$C$28:$C$95)*$B$11/$J$11*$C$11</f>
        <v/>
      </c>
      <c r="U107" s="35">
        <f>SUMPRODUCT(($B$28:$B$95="Spinach")*(U$28:U$95="H")*$C$28:$C$95)*$B$11/$J$11*$C$11</f>
        <v/>
      </c>
      <c r="V107" s="35">
        <f>SUMPRODUCT(($B$28:$B$95="Spinach")*(V$28:V$95="H")*$C$28:$C$95)*$B$11/$J$11*$C$11</f>
        <v/>
      </c>
      <c r="W107" s="35">
        <f>SUMPRODUCT(($B$28:$B$95="Spinach")*(W$28:W$95="H")*$C$28:$C$95)*$B$11/$J$11*$C$11</f>
        <v/>
      </c>
      <c r="X107" s="35">
        <f>SUMPRODUCT(($B$28:$B$95="Spinach")*(X$28:X$95="H")*$C$28:$C$95)*$B$11/$J$11*$C$11</f>
        <v/>
      </c>
      <c r="Y107" s="35">
        <f>SUMPRODUCT(($B$28:$B$95="Spinach")*(Y$28:Y$95="H")*$C$28:$C$95)*$B$11/$J$11*$C$11</f>
        <v/>
      </c>
      <c r="Z107" s="35">
        <f>SUMPRODUCT(($B$28:$B$95="Spinach")*(Z$28:Z$95="H")*$C$28:$C$95)*$B$11/$J$11*$C$11</f>
        <v/>
      </c>
      <c r="AA107" s="35">
        <f>SUMPRODUCT(($B$28:$B$95="Spinach")*(AA$28:AA$95="H")*$C$28:$C$95)*$B$11/$J$11*$C$11</f>
        <v/>
      </c>
      <c r="AB107" s="35">
        <f>SUMPRODUCT(($B$28:$B$95="Spinach")*(AB$28:AB$95="H")*$C$28:$C$95)*$B$11/$J$11*$C$11</f>
        <v/>
      </c>
      <c r="AC107" s="35">
        <f>SUMPRODUCT(($B$28:$B$95="Spinach")*(AC$28:AC$95="H")*$C$28:$C$95)*$B$11/$J$11*$C$11</f>
        <v/>
      </c>
      <c r="AD107" s="35">
        <f>SUMPRODUCT(($B$28:$B$95="Spinach")*(AD$28:AD$95="H")*$C$28:$C$95)*$B$11/$J$11*$C$11</f>
        <v/>
      </c>
      <c r="AE107" s="35">
        <f>SUMPRODUCT(($B$28:$B$95="Spinach")*(AE$28:AE$95="H")*$C$28:$C$95)*$B$11/$J$11*$C$11</f>
        <v/>
      </c>
      <c r="AF107" s="35">
        <f>SUMPRODUCT(($B$28:$B$95="Spinach")*(AF$28:AF$95="H")*$C$28:$C$95)*$B$11/$J$11*$C$11</f>
        <v/>
      </c>
      <c r="AG107" s="35">
        <f>SUMPRODUCT(($B$28:$B$95="Spinach")*(AG$28:AG$95="H")*$C$28:$C$95)*$B$11/$J$11*$C$11</f>
        <v/>
      </c>
      <c r="AH107" s="35">
        <f>SUMPRODUCT(($B$28:$B$95="Spinach")*(AH$28:AH$95="H")*$C$28:$C$95)*$B$11/$J$11*$C$11</f>
        <v/>
      </c>
      <c r="AI107" s="35">
        <f>SUMPRODUCT(($B$28:$B$95="Spinach")*(AI$28:AI$95="H")*$C$28:$C$95)*$B$11/$J$11*$C$11</f>
        <v/>
      </c>
      <c r="AJ107" s="35">
        <f>SUMPRODUCT(($B$28:$B$95="Spinach")*(AJ$28:AJ$95="H")*$C$28:$C$95)*$B$11/$J$11*$C$11</f>
        <v/>
      </c>
      <c r="AK107" s="35">
        <f>SUMPRODUCT(($B$28:$B$95="Spinach")*(AK$28:AK$95="H")*$C$28:$C$95)*$B$11/$J$11*$C$11</f>
        <v/>
      </c>
      <c r="AL107" s="35">
        <f>SUMPRODUCT(($B$28:$B$95="Spinach")*(AL$28:AL$95="H")*$C$28:$C$95)*$B$11/$J$11*$C$11</f>
        <v/>
      </c>
      <c r="AM107" s="35">
        <f>SUMPRODUCT(($B$28:$B$95="Spinach")*(AM$28:AM$95="H")*$C$28:$C$95)*$B$11/$J$11*$C$11</f>
        <v/>
      </c>
      <c r="AN107" s="35">
        <f>SUMPRODUCT(($B$28:$B$95="Spinach")*(AN$28:AN$95="H")*$C$28:$C$95)*$B$11/$J$11*$C$11</f>
        <v/>
      </c>
      <c r="AO107" s="35">
        <f>SUMPRODUCT(($B$28:$B$95="Spinach")*(AO$28:AO$95="H")*$C$28:$C$95)*$B$11/$J$11*$C$11</f>
        <v/>
      </c>
      <c r="AP107" s="35">
        <f>SUMPRODUCT(($B$28:$B$95="Spinach")*(AP$28:AP$95="H")*$C$28:$C$95)*$B$11/$J$11*$C$11</f>
        <v/>
      </c>
      <c r="AQ107" s="35">
        <f>SUMPRODUCT(($B$28:$B$95="Spinach")*(AQ$28:AQ$95="H")*$C$28:$C$95)*$B$11/$J$11*$C$11</f>
        <v/>
      </c>
      <c r="AR107" s="35">
        <f>SUMPRODUCT(($B$28:$B$95="Spinach")*(AR$28:AR$95="H")*$C$28:$C$95)*$B$11/$J$11*$C$11</f>
        <v/>
      </c>
      <c r="AS107" s="35">
        <f>SUMPRODUCT(($B$28:$B$95="Spinach")*(AS$28:AS$95="H")*$C$28:$C$95)*$B$11/$J$11*$C$11</f>
        <v/>
      </c>
      <c r="AT107" s="35">
        <f>SUMPRODUCT(($B$28:$B$95="Spinach")*(AT$28:AT$95="H")*$C$28:$C$95)*$B$11/$J$11*$C$11</f>
        <v/>
      </c>
      <c r="AU107" s="35">
        <f>SUMPRODUCT(($B$28:$B$95="Spinach")*(AU$28:AU$95="H")*$C$28:$C$95)*$B$11/$J$11*$C$11</f>
        <v/>
      </c>
      <c r="AV107" s="35">
        <f>SUMPRODUCT(($B$28:$B$95="Spinach")*(AV$28:AV$95="H")*$C$28:$C$95)*$B$11/$J$11*$C$11</f>
        <v/>
      </c>
      <c r="AW107" s="35">
        <f>SUMPRODUCT(($B$28:$B$95="Spinach")*(AW$28:AW$95="H")*$C$28:$C$95)*$B$11/$J$11*$C$11</f>
        <v/>
      </c>
      <c r="AX107" s="35">
        <f>SUMPRODUCT(($B$28:$B$95="Spinach")*(AX$28:AX$95="H")*$C$28:$C$95)*$B$11/$J$11*$C$11</f>
        <v/>
      </c>
      <c r="AY107" s="35">
        <f>SUMPRODUCT(($B$28:$B$95="Spinach")*(AY$28:AY$95="H")*$C$28:$C$95)*$B$11/$J$11*$C$11</f>
        <v/>
      </c>
      <c r="AZ107" s="35">
        <f>SUMPRODUCT(($B$28:$B$95="Spinach")*(AZ$28:AZ$95="H")*$C$28:$C$95)*$B$11/$J$11*$C$11</f>
        <v/>
      </c>
      <c r="BA107" s="35">
        <f>SUMPRODUCT(($B$28:$B$95="Spinach")*(BA$28:BA$95="H")*$C$28:$C$95)*$B$11/$J$11*$C$11</f>
        <v/>
      </c>
      <c r="BB107" s="35">
        <f>SUMPRODUCT(($B$28:$B$95="Spinach")*(BB$28:BB$95="H")*$C$28:$C$95)*$B$11/$J$11*$C$11</f>
        <v/>
      </c>
      <c r="BC107" s="35">
        <f>SUMPRODUCT(($B$28:$B$95="Spinach")*(BC$28:BC$95="H")*$C$28:$C$95)*$B$11/$J$11*$C$11</f>
        <v/>
      </c>
      <c r="BD107" s="35">
        <f>SUMPRODUCT(($B$28:$B$95="Spinach")*(BD$28:BD$95="H")*$C$28:$C$95)*$B$11/$J$11*$C$11</f>
        <v/>
      </c>
    </row>
    <row r="108">
      <c r="A108" s="25" t="inlineStr">
        <is>
          <t>Stock carried in</t>
        </is>
      </c>
      <c r="B108" s="2" t="inlineStr">
        <is>
          <t>lb</t>
        </is>
      </c>
      <c r="E108" s="35" t="n">
        <v>0</v>
      </c>
      <c r="F108" s="35">
        <f>E123</f>
        <v/>
      </c>
      <c r="G108" s="35">
        <f>F123</f>
        <v/>
      </c>
      <c r="H108" s="35">
        <f>G123</f>
        <v/>
      </c>
      <c r="I108" s="35">
        <f>H123</f>
        <v/>
      </c>
      <c r="J108" s="35">
        <f>I123</f>
        <v/>
      </c>
      <c r="K108" s="35">
        <f>J123</f>
        <v/>
      </c>
      <c r="L108" s="35">
        <f>K123</f>
        <v/>
      </c>
      <c r="M108" s="35">
        <f>L123</f>
        <v/>
      </c>
      <c r="N108" s="35">
        <f>M123</f>
        <v/>
      </c>
      <c r="O108" s="35">
        <f>N123</f>
        <v/>
      </c>
      <c r="P108" s="35">
        <f>O123</f>
        <v/>
      </c>
      <c r="Q108" s="35">
        <f>P123</f>
        <v/>
      </c>
      <c r="R108" s="35">
        <f>Q123</f>
        <v/>
      </c>
      <c r="S108" s="35">
        <f>R123</f>
        <v/>
      </c>
      <c r="T108" s="35">
        <f>S123</f>
        <v/>
      </c>
      <c r="U108" s="35">
        <f>T123</f>
        <v/>
      </c>
      <c r="V108" s="35">
        <f>U123</f>
        <v/>
      </c>
      <c r="W108" s="35">
        <f>V123</f>
        <v/>
      </c>
      <c r="X108" s="35">
        <f>W123</f>
        <v/>
      </c>
      <c r="Y108" s="35">
        <f>X123</f>
        <v/>
      </c>
      <c r="Z108" s="35">
        <f>Y123</f>
        <v/>
      </c>
      <c r="AA108" s="35">
        <f>Z123</f>
        <v/>
      </c>
      <c r="AB108" s="35">
        <f>AA123</f>
        <v/>
      </c>
      <c r="AC108" s="35">
        <f>AB123</f>
        <v/>
      </c>
      <c r="AD108" s="35">
        <f>AC123</f>
        <v/>
      </c>
      <c r="AE108" s="35">
        <f>AD123</f>
        <v/>
      </c>
      <c r="AF108" s="35">
        <f>AE123</f>
        <v/>
      </c>
      <c r="AG108" s="35">
        <f>AF123</f>
        <v/>
      </c>
      <c r="AH108" s="35">
        <f>AG123</f>
        <v/>
      </c>
      <c r="AI108" s="35">
        <f>AH123</f>
        <v/>
      </c>
      <c r="AJ108" s="35">
        <f>AI123</f>
        <v/>
      </c>
      <c r="AK108" s="35">
        <f>AJ123</f>
        <v/>
      </c>
      <c r="AL108" s="35">
        <f>AK123</f>
        <v/>
      </c>
      <c r="AM108" s="35">
        <f>AL123</f>
        <v/>
      </c>
      <c r="AN108" s="35">
        <f>AM123</f>
        <v/>
      </c>
      <c r="AO108" s="35">
        <f>AN123</f>
        <v/>
      </c>
      <c r="AP108" s="35">
        <f>AO123</f>
        <v/>
      </c>
      <c r="AQ108" s="35">
        <f>AP123</f>
        <v/>
      </c>
      <c r="AR108" s="35">
        <f>AQ123</f>
        <v/>
      </c>
      <c r="AS108" s="35">
        <f>AR123</f>
        <v/>
      </c>
      <c r="AT108" s="35">
        <f>AS123</f>
        <v/>
      </c>
      <c r="AU108" s="35">
        <f>AT123</f>
        <v/>
      </c>
      <c r="AV108" s="35">
        <f>AU123</f>
        <v/>
      </c>
      <c r="AW108" s="35">
        <f>AV123</f>
        <v/>
      </c>
      <c r="AX108" s="35">
        <f>AW123</f>
        <v/>
      </c>
      <c r="AY108" s="35">
        <f>AX123</f>
        <v/>
      </c>
      <c r="AZ108" s="35">
        <f>AY123</f>
        <v/>
      </c>
      <c r="BA108" s="35">
        <f>AZ123</f>
        <v/>
      </c>
      <c r="BB108" s="35">
        <f>BA123</f>
        <v/>
      </c>
      <c r="BC108" s="35">
        <f>BB123</f>
        <v/>
      </c>
      <c r="BD108" s="35">
        <f>BC123</f>
        <v/>
      </c>
    </row>
    <row r="109">
      <c r="A109" s="25" t="inlineStr">
        <is>
          <t xml:space="preserve">   lost to shrink</t>
        </is>
      </c>
      <c r="B109" s="2" t="inlineStr">
        <is>
          <t>lb</t>
        </is>
      </c>
      <c r="E109" s="35">
        <f>E108*$G$11</f>
        <v/>
      </c>
      <c r="F109" s="35">
        <f>F108*$G$11</f>
        <v/>
      </c>
      <c r="G109" s="35">
        <f>G108*$G$11</f>
        <v/>
      </c>
      <c r="H109" s="35">
        <f>H108*$G$11</f>
        <v/>
      </c>
      <c r="I109" s="35">
        <f>I108*$G$11</f>
        <v/>
      </c>
      <c r="J109" s="35">
        <f>J108*$G$11</f>
        <v/>
      </c>
      <c r="K109" s="35">
        <f>K108*$G$11</f>
        <v/>
      </c>
      <c r="L109" s="35">
        <f>L108*$G$11</f>
        <v/>
      </c>
      <c r="M109" s="35">
        <f>M108*$G$11</f>
        <v/>
      </c>
      <c r="N109" s="35">
        <f>N108*$G$11</f>
        <v/>
      </c>
      <c r="O109" s="35">
        <f>O108*$G$11</f>
        <v/>
      </c>
      <c r="P109" s="35">
        <f>P108*$G$11</f>
        <v/>
      </c>
      <c r="Q109" s="35">
        <f>Q108*$G$11</f>
        <v/>
      </c>
      <c r="R109" s="35">
        <f>R108*$G$11</f>
        <v/>
      </c>
      <c r="S109" s="35">
        <f>S108*$G$11</f>
        <v/>
      </c>
      <c r="T109" s="35">
        <f>T108*$G$11</f>
        <v/>
      </c>
      <c r="U109" s="35">
        <f>U108*$G$11</f>
        <v/>
      </c>
      <c r="V109" s="35">
        <f>V108*$G$11</f>
        <v/>
      </c>
      <c r="W109" s="35">
        <f>W108*$G$11</f>
        <v/>
      </c>
      <c r="X109" s="35">
        <f>X108*$G$11</f>
        <v/>
      </c>
      <c r="Y109" s="35">
        <f>Y108*$G$11</f>
        <v/>
      </c>
      <c r="Z109" s="35">
        <f>Z108*$G$11</f>
        <v/>
      </c>
      <c r="AA109" s="35">
        <f>AA108*$G$11</f>
        <v/>
      </c>
      <c r="AB109" s="35">
        <f>AB108*$G$11</f>
        <v/>
      </c>
      <c r="AC109" s="35">
        <f>AC108*$G$11</f>
        <v/>
      </c>
      <c r="AD109" s="35">
        <f>AD108*$G$11</f>
        <v/>
      </c>
      <c r="AE109" s="35">
        <f>AE108*$G$11</f>
        <v/>
      </c>
      <c r="AF109" s="35">
        <f>AF108*$G$11</f>
        <v/>
      </c>
      <c r="AG109" s="35">
        <f>AG108*$G$11</f>
        <v/>
      </c>
      <c r="AH109" s="35">
        <f>AH108*$G$11</f>
        <v/>
      </c>
      <c r="AI109" s="35">
        <f>AI108*$G$11</f>
        <v/>
      </c>
      <c r="AJ109" s="35">
        <f>AJ108*$G$11</f>
        <v/>
      </c>
      <c r="AK109" s="35">
        <f>AK108*$G$11</f>
        <v/>
      </c>
      <c r="AL109" s="35">
        <f>AL108*$G$11</f>
        <v/>
      </c>
      <c r="AM109" s="35">
        <f>AM108*$G$11</f>
        <v/>
      </c>
      <c r="AN109" s="35">
        <f>AN108*$G$11</f>
        <v/>
      </c>
      <c r="AO109" s="35">
        <f>AO108*$G$11</f>
        <v/>
      </c>
      <c r="AP109" s="35">
        <f>AP108*$G$11</f>
        <v/>
      </c>
      <c r="AQ109" s="35">
        <f>AQ108*$G$11</f>
        <v/>
      </c>
      <c r="AR109" s="35">
        <f>AR108*$G$11</f>
        <v/>
      </c>
      <c r="AS109" s="35">
        <f>AS108*$G$11</f>
        <v/>
      </c>
      <c r="AT109" s="35">
        <f>AT108*$G$11</f>
        <v/>
      </c>
      <c r="AU109" s="35">
        <f>AU108*$G$11</f>
        <v/>
      </c>
      <c r="AV109" s="35">
        <f>AV108*$G$11</f>
        <v/>
      </c>
      <c r="AW109" s="35">
        <f>AW108*$G$11</f>
        <v/>
      </c>
      <c r="AX109" s="35">
        <f>AX108*$G$11</f>
        <v/>
      </c>
      <c r="AY109" s="35">
        <f>AY108*$G$11</f>
        <v/>
      </c>
      <c r="AZ109" s="35">
        <f>AZ108*$G$11</f>
        <v/>
      </c>
      <c r="BA109" s="35">
        <f>BA108*$G$11</f>
        <v/>
      </c>
      <c r="BB109" s="35">
        <f>BB108*$G$11</f>
        <v/>
      </c>
      <c r="BC109" s="35">
        <f>BC108*$G$11</f>
        <v/>
      </c>
      <c r="BD109" s="35">
        <f>BD108*$G$11</f>
        <v/>
      </c>
    </row>
    <row r="110">
      <c r="A110" s="4" t="inlineStr">
        <is>
          <t>In store this week</t>
        </is>
      </c>
      <c r="B110" s="2" t="inlineStr">
        <is>
          <t>lb</t>
        </is>
      </c>
      <c r="E110" s="35">
        <f>E108-E109+E107</f>
        <v/>
      </c>
      <c r="F110" s="35">
        <f>F108-F109+F107</f>
        <v/>
      </c>
      <c r="G110" s="35">
        <f>G108-G109+G107</f>
        <v/>
      </c>
      <c r="H110" s="35">
        <f>H108-H109+H107</f>
        <v/>
      </c>
      <c r="I110" s="35">
        <f>I108-I109+I107</f>
        <v/>
      </c>
      <c r="J110" s="35">
        <f>J108-J109+J107</f>
        <v/>
      </c>
      <c r="K110" s="35">
        <f>K108-K109+K107</f>
        <v/>
      </c>
      <c r="L110" s="35">
        <f>L108-L109+L107</f>
        <v/>
      </c>
      <c r="M110" s="35">
        <f>M108-M109+M107</f>
        <v/>
      </c>
      <c r="N110" s="35">
        <f>N108-N109+N107</f>
        <v/>
      </c>
      <c r="O110" s="35">
        <f>O108-O109+O107</f>
        <v/>
      </c>
      <c r="P110" s="35">
        <f>P108-P109+P107</f>
        <v/>
      </c>
      <c r="Q110" s="35">
        <f>Q108-Q109+Q107</f>
        <v/>
      </c>
      <c r="R110" s="35">
        <f>R108-R109+R107</f>
        <v/>
      </c>
      <c r="S110" s="35">
        <f>S108-S109+S107</f>
        <v/>
      </c>
      <c r="T110" s="35">
        <f>T108-T109+T107</f>
        <v/>
      </c>
      <c r="U110" s="35">
        <f>U108-U109+U107</f>
        <v/>
      </c>
      <c r="V110" s="35">
        <f>V108-V109+V107</f>
        <v/>
      </c>
      <c r="W110" s="35">
        <f>W108-W109+W107</f>
        <v/>
      </c>
      <c r="X110" s="35">
        <f>X108-X109+X107</f>
        <v/>
      </c>
      <c r="Y110" s="35">
        <f>Y108-Y109+Y107</f>
        <v/>
      </c>
      <c r="Z110" s="35">
        <f>Z108-Z109+Z107</f>
        <v/>
      </c>
      <c r="AA110" s="35">
        <f>AA108-AA109+AA107</f>
        <v/>
      </c>
      <c r="AB110" s="35">
        <f>AB108-AB109+AB107</f>
        <v/>
      </c>
      <c r="AC110" s="35">
        <f>AC108-AC109+AC107</f>
        <v/>
      </c>
      <c r="AD110" s="35">
        <f>AD108-AD109+AD107</f>
        <v/>
      </c>
      <c r="AE110" s="35">
        <f>AE108-AE109+AE107</f>
        <v/>
      </c>
      <c r="AF110" s="35">
        <f>AF108-AF109+AF107</f>
        <v/>
      </c>
      <c r="AG110" s="35">
        <f>AG108-AG109+AG107</f>
        <v/>
      </c>
      <c r="AH110" s="35">
        <f>AH108-AH109+AH107</f>
        <v/>
      </c>
      <c r="AI110" s="35">
        <f>AI108-AI109+AI107</f>
        <v/>
      </c>
      <c r="AJ110" s="35">
        <f>AJ108-AJ109+AJ107</f>
        <v/>
      </c>
      <c r="AK110" s="35">
        <f>AK108-AK109+AK107</f>
        <v/>
      </c>
      <c r="AL110" s="35">
        <f>AL108-AL109+AL107</f>
        <v/>
      </c>
      <c r="AM110" s="35">
        <f>AM108-AM109+AM107</f>
        <v/>
      </c>
      <c r="AN110" s="35">
        <f>AN108-AN109+AN107</f>
        <v/>
      </c>
      <c r="AO110" s="35">
        <f>AO108-AO109+AO107</f>
        <v/>
      </c>
      <c r="AP110" s="35">
        <f>AP108-AP109+AP107</f>
        <v/>
      </c>
      <c r="AQ110" s="35">
        <f>AQ108-AQ109+AQ107</f>
        <v/>
      </c>
      <c r="AR110" s="35">
        <f>AR108-AR109+AR107</f>
        <v/>
      </c>
      <c r="AS110" s="35">
        <f>AS108-AS109+AS107</f>
        <v/>
      </c>
      <c r="AT110" s="35">
        <f>AT108-AT109+AT107</f>
        <v/>
      </c>
      <c r="AU110" s="35">
        <f>AU108-AU109+AU107</f>
        <v/>
      </c>
      <c r="AV110" s="35">
        <f>AV108-AV109+AV107</f>
        <v/>
      </c>
      <c r="AW110" s="35">
        <f>AW108-AW109+AW107</f>
        <v/>
      </c>
      <c r="AX110" s="35">
        <f>AX108-AX109+AX107</f>
        <v/>
      </c>
      <c r="AY110" s="35">
        <f>AY108-AY109+AY107</f>
        <v/>
      </c>
      <c r="AZ110" s="35">
        <f>AZ108-AZ109+AZ107</f>
        <v/>
      </c>
      <c r="BA110" s="35">
        <f>BA108-BA109+BA107</f>
        <v/>
      </c>
      <c r="BB110" s="35">
        <f>BB108-BB109+BB107</f>
        <v/>
      </c>
      <c r="BC110" s="35">
        <f>BC108-BC109+BC107</f>
        <v/>
      </c>
      <c r="BD110" s="35">
        <f>BD108-BD109+BD107</f>
        <v/>
      </c>
    </row>
    <row r="111">
      <c r="A111" s="36" t="inlineStr">
        <is>
          <t>Farmers Market — most you may sell this week</t>
        </is>
      </c>
      <c r="B111" s="2" t="inlineStr">
        <is>
          <t>lb</t>
        </is>
      </c>
      <c r="E111" s="37">
        <f>IF($C$18="Annual",$D$18-0,IF(AND(1&gt;=$E$18,1&lt;=$F$18),$D$18,0))</f>
        <v/>
      </c>
      <c r="F111" s="37">
        <f>IF($C$18="Annual",$D$18-SUM(E113:E113),IF(AND(2&gt;=$E$18,2&lt;=$F$18),$D$18,0))</f>
        <v/>
      </c>
      <c r="G111" s="37">
        <f>IF($C$18="Annual",$D$18-SUM(E113:F113),IF(AND(3&gt;=$E$18,3&lt;=$F$18),$D$18,0))</f>
        <v/>
      </c>
      <c r="H111" s="37">
        <f>IF($C$18="Annual",$D$18-SUM(E113:G113),IF(AND(4&gt;=$E$18,4&lt;=$F$18),$D$18,0))</f>
        <v/>
      </c>
      <c r="I111" s="37">
        <f>IF($C$18="Annual",$D$18-SUM(E113:H113),IF(AND(5&gt;=$E$18,5&lt;=$F$18),$D$18,0))</f>
        <v/>
      </c>
      <c r="J111" s="37">
        <f>IF($C$18="Annual",$D$18-SUM(E113:I113),IF(AND(6&gt;=$E$18,6&lt;=$F$18),$D$18,0))</f>
        <v/>
      </c>
      <c r="K111" s="37">
        <f>IF($C$18="Annual",$D$18-SUM(E113:J113),IF(AND(7&gt;=$E$18,7&lt;=$F$18),$D$18,0))</f>
        <v/>
      </c>
      <c r="L111" s="37">
        <f>IF($C$18="Annual",$D$18-SUM(E113:K113),IF(AND(8&gt;=$E$18,8&lt;=$F$18),$D$18,0))</f>
        <v/>
      </c>
      <c r="M111" s="37">
        <f>IF($C$18="Annual",$D$18-SUM(E113:L113),IF(AND(9&gt;=$E$18,9&lt;=$F$18),$D$18,0))</f>
        <v/>
      </c>
      <c r="N111" s="37">
        <f>IF($C$18="Annual",$D$18-SUM(E113:M113),IF(AND(10&gt;=$E$18,10&lt;=$F$18),$D$18,0))</f>
        <v/>
      </c>
      <c r="O111" s="37">
        <f>IF($C$18="Annual",$D$18-SUM(E113:N113),IF(AND(11&gt;=$E$18,11&lt;=$F$18),$D$18,0))</f>
        <v/>
      </c>
      <c r="P111" s="37">
        <f>IF($C$18="Annual",$D$18-SUM(E113:O113),IF(AND(12&gt;=$E$18,12&lt;=$F$18),$D$18,0))</f>
        <v/>
      </c>
      <c r="Q111" s="37">
        <f>IF($C$18="Annual",$D$18-SUM(E113:P113),IF(AND(13&gt;=$E$18,13&lt;=$F$18),$D$18,0))</f>
        <v/>
      </c>
      <c r="R111" s="37">
        <f>IF($C$18="Annual",$D$18-SUM(E113:Q113),IF(AND(14&gt;=$E$18,14&lt;=$F$18),$D$18,0))</f>
        <v/>
      </c>
      <c r="S111" s="37">
        <f>IF($C$18="Annual",$D$18-SUM(E113:R113),IF(AND(15&gt;=$E$18,15&lt;=$F$18),$D$18,0))</f>
        <v/>
      </c>
      <c r="T111" s="37">
        <f>IF($C$18="Annual",$D$18-SUM(E113:S113),IF(AND(16&gt;=$E$18,16&lt;=$F$18),$D$18,0))</f>
        <v/>
      </c>
      <c r="U111" s="37">
        <f>IF($C$18="Annual",$D$18-SUM(E113:T113),IF(AND(17&gt;=$E$18,17&lt;=$F$18),$D$18,0))</f>
        <v/>
      </c>
      <c r="V111" s="37">
        <f>IF($C$18="Annual",$D$18-SUM(E113:U113),IF(AND(18&gt;=$E$18,18&lt;=$F$18),$D$18,0))</f>
        <v/>
      </c>
      <c r="W111" s="37">
        <f>IF($C$18="Annual",$D$18-SUM(E113:V113),IF(AND(19&gt;=$E$18,19&lt;=$F$18),$D$18,0))</f>
        <v/>
      </c>
      <c r="X111" s="37">
        <f>IF($C$18="Annual",$D$18-SUM(E113:W113),IF(AND(20&gt;=$E$18,20&lt;=$F$18),$D$18,0))</f>
        <v/>
      </c>
      <c r="Y111" s="37">
        <f>IF($C$18="Annual",$D$18-SUM(E113:X113),IF(AND(21&gt;=$E$18,21&lt;=$F$18),$D$18,0))</f>
        <v/>
      </c>
      <c r="Z111" s="37">
        <f>IF($C$18="Annual",$D$18-SUM(E113:Y113),IF(AND(22&gt;=$E$18,22&lt;=$F$18),$D$18,0))</f>
        <v/>
      </c>
      <c r="AA111" s="37">
        <f>IF($C$18="Annual",$D$18-SUM(E113:Z113),IF(AND(23&gt;=$E$18,23&lt;=$F$18),$D$18,0))</f>
        <v/>
      </c>
      <c r="AB111" s="37">
        <f>IF($C$18="Annual",$D$18-SUM(E113:AA113),IF(AND(24&gt;=$E$18,24&lt;=$F$18),$D$18,0))</f>
        <v/>
      </c>
      <c r="AC111" s="37">
        <f>IF($C$18="Annual",$D$18-SUM(E113:AB113),IF(AND(25&gt;=$E$18,25&lt;=$F$18),$D$18,0))</f>
        <v/>
      </c>
      <c r="AD111" s="37">
        <f>IF($C$18="Annual",$D$18-SUM(E113:AC113),IF(AND(26&gt;=$E$18,26&lt;=$F$18),$D$18,0))</f>
        <v/>
      </c>
      <c r="AE111" s="37">
        <f>IF($C$18="Annual",$D$18-SUM(E113:AD113),IF(AND(27&gt;=$E$18,27&lt;=$F$18),$D$18,0))</f>
        <v/>
      </c>
      <c r="AF111" s="37">
        <f>IF($C$18="Annual",$D$18-SUM(E113:AE113),IF(AND(28&gt;=$E$18,28&lt;=$F$18),$D$18,0))</f>
        <v/>
      </c>
      <c r="AG111" s="37">
        <f>IF($C$18="Annual",$D$18-SUM(E113:AF113),IF(AND(29&gt;=$E$18,29&lt;=$F$18),$D$18,0))</f>
        <v/>
      </c>
      <c r="AH111" s="37">
        <f>IF($C$18="Annual",$D$18-SUM(E113:AG113),IF(AND(30&gt;=$E$18,30&lt;=$F$18),$D$18,0))</f>
        <v/>
      </c>
      <c r="AI111" s="37">
        <f>IF($C$18="Annual",$D$18-SUM(E113:AH113),IF(AND(31&gt;=$E$18,31&lt;=$F$18),$D$18,0))</f>
        <v/>
      </c>
      <c r="AJ111" s="37">
        <f>IF($C$18="Annual",$D$18-SUM(E113:AI113),IF(AND(32&gt;=$E$18,32&lt;=$F$18),$D$18,0))</f>
        <v/>
      </c>
      <c r="AK111" s="37">
        <f>IF($C$18="Annual",$D$18-SUM(E113:AJ113),IF(AND(33&gt;=$E$18,33&lt;=$F$18),$D$18,0))</f>
        <v/>
      </c>
      <c r="AL111" s="37">
        <f>IF($C$18="Annual",$D$18-SUM(E113:AK113),IF(AND(34&gt;=$E$18,34&lt;=$F$18),$D$18,0))</f>
        <v/>
      </c>
      <c r="AM111" s="37">
        <f>IF($C$18="Annual",$D$18-SUM(E113:AL113),IF(AND(35&gt;=$E$18,35&lt;=$F$18),$D$18,0))</f>
        <v/>
      </c>
      <c r="AN111" s="37">
        <f>IF($C$18="Annual",$D$18-SUM(E113:AM113),IF(AND(36&gt;=$E$18,36&lt;=$F$18),$D$18,0))</f>
        <v/>
      </c>
      <c r="AO111" s="37">
        <f>IF($C$18="Annual",$D$18-SUM(E113:AN113),IF(AND(37&gt;=$E$18,37&lt;=$F$18),$D$18,0))</f>
        <v/>
      </c>
      <c r="AP111" s="37">
        <f>IF($C$18="Annual",$D$18-SUM(E113:AO113),IF(AND(38&gt;=$E$18,38&lt;=$F$18),$D$18,0))</f>
        <v/>
      </c>
      <c r="AQ111" s="37">
        <f>IF($C$18="Annual",$D$18-SUM(E113:AP113),IF(AND(39&gt;=$E$18,39&lt;=$F$18),$D$18,0))</f>
        <v/>
      </c>
      <c r="AR111" s="37">
        <f>IF($C$18="Annual",$D$18-SUM(E113:AQ113),IF(AND(40&gt;=$E$18,40&lt;=$F$18),$D$18,0))</f>
        <v/>
      </c>
      <c r="AS111" s="37">
        <f>IF($C$18="Annual",$D$18-SUM(E113:AR113),IF(AND(41&gt;=$E$18,41&lt;=$F$18),$D$18,0))</f>
        <v/>
      </c>
      <c r="AT111" s="37">
        <f>IF($C$18="Annual",$D$18-SUM(E113:AS113),IF(AND(42&gt;=$E$18,42&lt;=$F$18),$D$18,0))</f>
        <v/>
      </c>
      <c r="AU111" s="37">
        <f>IF($C$18="Annual",$D$18-SUM(E113:AT113),IF(AND(43&gt;=$E$18,43&lt;=$F$18),$D$18,0))</f>
        <v/>
      </c>
      <c r="AV111" s="37">
        <f>IF($C$18="Annual",$D$18-SUM(E113:AU113),IF(AND(44&gt;=$E$18,44&lt;=$F$18),$D$18,0))</f>
        <v/>
      </c>
      <c r="AW111" s="37">
        <f>IF($C$18="Annual",$D$18-SUM(E113:AV113),IF(AND(45&gt;=$E$18,45&lt;=$F$18),$D$18,0))</f>
        <v/>
      </c>
      <c r="AX111" s="37">
        <f>IF($C$18="Annual",$D$18-SUM(E113:AW113),IF(AND(46&gt;=$E$18,46&lt;=$F$18),$D$18,0))</f>
        <v/>
      </c>
      <c r="AY111" s="37">
        <f>IF($C$18="Annual",$D$18-SUM(E113:AX113),IF(AND(47&gt;=$E$18,47&lt;=$F$18),$D$18,0))</f>
        <v/>
      </c>
      <c r="AZ111" s="37">
        <f>IF($C$18="Annual",$D$18-SUM(E113:AY113),IF(AND(48&gt;=$E$18,48&lt;=$F$18),$D$18,0))</f>
        <v/>
      </c>
      <c r="BA111" s="37">
        <f>IF($C$18="Annual",$D$18-SUM(E113:AZ113),IF(AND(49&gt;=$E$18,49&lt;=$F$18),$D$18,0))</f>
        <v/>
      </c>
      <c r="BB111" s="37">
        <f>IF($C$18="Annual",$D$18-SUM(E113:BA113),IF(AND(50&gt;=$E$18,50&lt;=$F$18),$D$18,0))</f>
        <v/>
      </c>
      <c r="BC111" s="37">
        <f>IF($C$18="Annual",$D$18-SUM(E113:BB113),IF(AND(51&gt;=$E$18,51&lt;=$F$18),$D$18,0))</f>
        <v/>
      </c>
      <c r="BD111" s="37">
        <f>IF($C$18="Annual",$D$18-SUM(E113:BC113),IF(AND(52&gt;=$E$18,52&lt;=$F$18),$D$18,0))</f>
        <v/>
      </c>
    </row>
    <row r="112">
      <c r="A112" s="21" t="inlineStr">
        <is>
          <t>Farmers Market — OFFERED</t>
        </is>
      </c>
      <c r="B112" s="2" t="inlineStr">
        <is>
          <t>lb  &lt;-- SOLVER</t>
        </is>
      </c>
      <c r="E112" s="38" t="n">
        <v>0</v>
      </c>
      <c r="F112" s="38" t="n">
        <v>0</v>
      </c>
      <c r="G112" s="38" t="n">
        <v>0</v>
      </c>
      <c r="H112" s="38" t="n">
        <v>0</v>
      </c>
      <c r="I112" s="38" t="n">
        <v>0</v>
      </c>
      <c r="J112" s="38" t="n">
        <v>0</v>
      </c>
      <c r="K112" s="38" t="n">
        <v>0</v>
      </c>
      <c r="L112" s="38" t="n">
        <v>0</v>
      </c>
      <c r="M112" s="38" t="n">
        <v>0</v>
      </c>
      <c r="N112" s="38" t="n">
        <v>0</v>
      </c>
      <c r="O112" s="38" t="n">
        <v>0</v>
      </c>
      <c r="P112" s="38" t="n">
        <v>0</v>
      </c>
      <c r="Q112" s="38" t="n">
        <v>0</v>
      </c>
      <c r="R112" s="38" t="n">
        <v>0</v>
      </c>
      <c r="S112" s="38" t="n">
        <v>0</v>
      </c>
      <c r="T112" s="38" t="n">
        <v>0</v>
      </c>
      <c r="U112" s="38" t="n">
        <v>0</v>
      </c>
      <c r="V112" s="38" t="n">
        <v>0</v>
      </c>
      <c r="W112" s="38" t="n">
        <v>0</v>
      </c>
      <c r="X112" s="38" t="n">
        <v>0</v>
      </c>
      <c r="Y112" s="38" t="n">
        <v>0</v>
      </c>
      <c r="Z112" s="38" t="n">
        <v>0</v>
      </c>
      <c r="AA112" s="38" t="n">
        <v>0</v>
      </c>
      <c r="AB112" s="38" t="n">
        <v>0</v>
      </c>
      <c r="AC112" s="38" t="n">
        <v>0</v>
      </c>
      <c r="AD112" s="38" t="n">
        <v>0</v>
      </c>
      <c r="AE112" s="38" t="n">
        <v>0</v>
      </c>
      <c r="AF112" s="38" t="n">
        <v>0</v>
      </c>
      <c r="AG112" s="38" t="n">
        <v>0</v>
      </c>
      <c r="AH112" s="38" t="n">
        <v>0</v>
      </c>
      <c r="AI112" s="38" t="n">
        <v>0</v>
      </c>
      <c r="AJ112" s="38" t="n">
        <v>0</v>
      </c>
      <c r="AK112" s="38" t="n">
        <v>0</v>
      </c>
      <c r="AL112" s="38" t="n">
        <v>0</v>
      </c>
      <c r="AM112" s="38" t="n">
        <v>0</v>
      </c>
      <c r="AN112" s="38" t="n">
        <v>0</v>
      </c>
      <c r="AO112" s="38" t="n">
        <v>0</v>
      </c>
      <c r="AP112" s="38" t="n">
        <v>0</v>
      </c>
      <c r="AQ112" s="38" t="n">
        <v>0</v>
      </c>
      <c r="AR112" s="38" t="n">
        <v>0</v>
      </c>
      <c r="AS112" s="38" t="n">
        <v>0</v>
      </c>
      <c r="AT112" s="38" t="n">
        <v>0</v>
      </c>
      <c r="AU112" s="38" t="n">
        <v>0</v>
      </c>
      <c r="AV112" s="38" t="n">
        <v>0</v>
      </c>
      <c r="AW112" s="38" t="n">
        <v>0</v>
      </c>
      <c r="AX112" s="38" t="n">
        <v>0</v>
      </c>
      <c r="AY112" s="38" t="n">
        <v>0</v>
      </c>
      <c r="AZ112" s="38" t="n">
        <v>0</v>
      </c>
      <c r="BA112" s="38" t="n">
        <v>0</v>
      </c>
      <c r="BB112" s="38" t="n">
        <v>0</v>
      </c>
      <c r="BC112" s="38" t="n">
        <v>0</v>
      </c>
      <c r="BD112" s="38" t="n">
        <v>0</v>
      </c>
    </row>
    <row r="113">
      <c r="A113" s="39" t="inlineStr">
        <is>
          <t>Farmers Market — SOLD</t>
        </is>
      </c>
      <c r="B113" s="2" t="inlineStr">
        <is>
          <t>lb</t>
        </is>
      </c>
      <c r="E113" s="37">
        <f>E112*$G$18</f>
        <v/>
      </c>
      <c r="F113" s="37">
        <f>F112*$G$18</f>
        <v/>
      </c>
      <c r="G113" s="37">
        <f>G112*$G$18</f>
        <v/>
      </c>
      <c r="H113" s="37">
        <f>H112*$G$18</f>
        <v/>
      </c>
      <c r="I113" s="37">
        <f>I112*$G$18</f>
        <v/>
      </c>
      <c r="J113" s="37">
        <f>J112*$G$18</f>
        <v/>
      </c>
      <c r="K113" s="37">
        <f>K112*$G$18</f>
        <v/>
      </c>
      <c r="L113" s="37">
        <f>L112*$G$18</f>
        <v/>
      </c>
      <c r="M113" s="37">
        <f>M112*$G$18</f>
        <v/>
      </c>
      <c r="N113" s="37">
        <f>N112*$G$18</f>
        <v/>
      </c>
      <c r="O113" s="37">
        <f>O112*$G$18</f>
        <v/>
      </c>
      <c r="P113" s="37">
        <f>P112*$G$18</f>
        <v/>
      </c>
      <c r="Q113" s="37">
        <f>Q112*$G$18</f>
        <v/>
      </c>
      <c r="R113" s="37">
        <f>R112*$G$18</f>
        <v/>
      </c>
      <c r="S113" s="37">
        <f>S112*$G$18</f>
        <v/>
      </c>
      <c r="T113" s="37">
        <f>T112*$G$18</f>
        <v/>
      </c>
      <c r="U113" s="37">
        <f>U112*$G$18</f>
        <v/>
      </c>
      <c r="V113" s="37">
        <f>V112*$G$18</f>
        <v/>
      </c>
      <c r="W113" s="37">
        <f>W112*$G$18</f>
        <v/>
      </c>
      <c r="X113" s="37">
        <f>X112*$G$18</f>
        <v/>
      </c>
      <c r="Y113" s="37">
        <f>Y112*$G$18</f>
        <v/>
      </c>
      <c r="Z113" s="37">
        <f>Z112*$G$18</f>
        <v/>
      </c>
      <c r="AA113" s="37">
        <f>AA112*$G$18</f>
        <v/>
      </c>
      <c r="AB113" s="37">
        <f>AB112*$G$18</f>
        <v/>
      </c>
      <c r="AC113" s="37">
        <f>AC112*$G$18</f>
        <v/>
      </c>
      <c r="AD113" s="37">
        <f>AD112*$G$18</f>
        <v/>
      </c>
      <c r="AE113" s="37">
        <f>AE112*$G$18</f>
        <v/>
      </c>
      <c r="AF113" s="37">
        <f>AF112*$G$18</f>
        <v/>
      </c>
      <c r="AG113" s="37">
        <f>AG112*$G$18</f>
        <v/>
      </c>
      <c r="AH113" s="37">
        <f>AH112*$G$18</f>
        <v/>
      </c>
      <c r="AI113" s="37">
        <f>AI112*$G$18</f>
        <v/>
      </c>
      <c r="AJ113" s="37">
        <f>AJ112*$G$18</f>
        <v/>
      </c>
      <c r="AK113" s="37">
        <f>AK112*$G$18</f>
        <v/>
      </c>
      <c r="AL113" s="37">
        <f>AL112*$G$18</f>
        <v/>
      </c>
      <c r="AM113" s="37">
        <f>AM112*$G$18</f>
        <v/>
      </c>
      <c r="AN113" s="37">
        <f>AN112*$G$18</f>
        <v/>
      </c>
      <c r="AO113" s="37">
        <f>AO112*$G$18</f>
        <v/>
      </c>
      <c r="AP113" s="37">
        <f>AP112*$G$18</f>
        <v/>
      </c>
      <c r="AQ113" s="37">
        <f>AQ112*$G$18</f>
        <v/>
      </c>
      <c r="AR113" s="37">
        <f>AR112*$G$18</f>
        <v/>
      </c>
      <c r="AS113" s="37">
        <f>AS112*$G$18</f>
        <v/>
      </c>
      <c r="AT113" s="37">
        <f>AT112*$G$18</f>
        <v/>
      </c>
      <c r="AU113" s="37">
        <f>AU112*$G$18</f>
        <v/>
      </c>
      <c r="AV113" s="37">
        <f>AV112*$G$18</f>
        <v/>
      </c>
      <c r="AW113" s="37">
        <f>AW112*$G$18</f>
        <v/>
      </c>
      <c r="AX113" s="37">
        <f>AX112*$G$18</f>
        <v/>
      </c>
      <c r="AY113" s="37">
        <f>AY112*$G$18</f>
        <v/>
      </c>
      <c r="AZ113" s="37">
        <f>AZ112*$G$18</f>
        <v/>
      </c>
      <c r="BA113" s="37">
        <f>BA112*$G$18</f>
        <v/>
      </c>
      <c r="BB113" s="37">
        <f>BB112*$G$18</f>
        <v/>
      </c>
      <c r="BC113" s="37">
        <f>BC112*$G$18</f>
        <v/>
      </c>
      <c r="BD113" s="37">
        <f>BD112*$G$18</f>
        <v/>
      </c>
    </row>
    <row r="114">
      <c r="A114" s="25" t="inlineStr">
        <is>
          <t xml:space="preserve">   market loss (gone)</t>
        </is>
      </c>
      <c r="B114" s="2" t="inlineStr">
        <is>
          <t>lb</t>
        </is>
      </c>
      <c r="E114" s="35">
        <f>(E112-E113)*(1-$H$18)</f>
        <v/>
      </c>
      <c r="F114" s="35">
        <f>(F112-F113)*(1-$H$18)</f>
        <v/>
      </c>
      <c r="G114" s="35">
        <f>(G112-G113)*(1-$H$18)</f>
        <v/>
      </c>
      <c r="H114" s="35">
        <f>(H112-H113)*(1-$H$18)</f>
        <v/>
      </c>
      <c r="I114" s="35">
        <f>(I112-I113)*(1-$H$18)</f>
        <v/>
      </c>
      <c r="J114" s="35">
        <f>(J112-J113)*(1-$H$18)</f>
        <v/>
      </c>
      <c r="K114" s="35">
        <f>(K112-K113)*(1-$H$18)</f>
        <v/>
      </c>
      <c r="L114" s="35">
        <f>(L112-L113)*(1-$H$18)</f>
        <v/>
      </c>
      <c r="M114" s="35">
        <f>(M112-M113)*(1-$H$18)</f>
        <v/>
      </c>
      <c r="N114" s="35">
        <f>(N112-N113)*(1-$H$18)</f>
        <v/>
      </c>
      <c r="O114" s="35">
        <f>(O112-O113)*(1-$H$18)</f>
        <v/>
      </c>
      <c r="P114" s="35">
        <f>(P112-P113)*(1-$H$18)</f>
        <v/>
      </c>
      <c r="Q114" s="35">
        <f>(Q112-Q113)*(1-$H$18)</f>
        <v/>
      </c>
      <c r="R114" s="35">
        <f>(R112-R113)*(1-$H$18)</f>
        <v/>
      </c>
      <c r="S114" s="35">
        <f>(S112-S113)*(1-$H$18)</f>
        <v/>
      </c>
      <c r="T114" s="35">
        <f>(T112-T113)*(1-$H$18)</f>
        <v/>
      </c>
      <c r="U114" s="35">
        <f>(U112-U113)*(1-$H$18)</f>
        <v/>
      </c>
      <c r="V114" s="35">
        <f>(V112-V113)*(1-$H$18)</f>
        <v/>
      </c>
      <c r="W114" s="35">
        <f>(W112-W113)*(1-$H$18)</f>
        <v/>
      </c>
      <c r="X114" s="35">
        <f>(X112-X113)*(1-$H$18)</f>
        <v/>
      </c>
      <c r="Y114" s="35">
        <f>(Y112-Y113)*(1-$H$18)</f>
        <v/>
      </c>
      <c r="Z114" s="35">
        <f>(Z112-Z113)*(1-$H$18)</f>
        <v/>
      </c>
      <c r="AA114" s="35">
        <f>(AA112-AA113)*(1-$H$18)</f>
        <v/>
      </c>
      <c r="AB114" s="35">
        <f>(AB112-AB113)*(1-$H$18)</f>
        <v/>
      </c>
      <c r="AC114" s="35">
        <f>(AC112-AC113)*(1-$H$18)</f>
        <v/>
      </c>
      <c r="AD114" s="35">
        <f>(AD112-AD113)*(1-$H$18)</f>
        <v/>
      </c>
      <c r="AE114" s="35">
        <f>(AE112-AE113)*(1-$H$18)</f>
        <v/>
      </c>
      <c r="AF114" s="35">
        <f>(AF112-AF113)*(1-$H$18)</f>
        <v/>
      </c>
      <c r="AG114" s="35">
        <f>(AG112-AG113)*(1-$H$18)</f>
        <v/>
      </c>
      <c r="AH114" s="35">
        <f>(AH112-AH113)*(1-$H$18)</f>
        <v/>
      </c>
      <c r="AI114" s="35">
        <f>(AI112-AI113)*(1-$H$18)</f>
        <v/>
      </c>
      <c r="AJ114" s="35">
        <f>(AJ112-AJ113)*(1-$H$18)</f>
        <v/>
      </c>
      <c r="AK114" s="35">
        <f>(AK112-AK113)*(1-$H$18)</f>
        <v/>
      </c>
      <c r="AL114" s="35">
        <f>(AL112-AL113)*(1-$H$18)</f>
        <v/>
      </c>
      <c r="AM114" s="35">
        <f>(AM112-AM113)*(1-$H$18)</f>
        <v/>
      </c>
      <c r="AN114" s="35">
        <f>(AN112-AN113)*(1-$H$18)</f>
        <v/>
      </c>
      <c r="AO114" s="35">
        <f>(AO112-AO113)*(1-$H$18)</f>
        <v/>
      </c>
      <c r="AP114" s="35">
        <f>(AP112-AP113)*(1-$H$18)</f>
        <v/>
      </c>
      <c r="AQ114" s="35">
        <f>(AQ112-AQ113)*(1-$H$18)</f>
        <v/>
      </c>
      <c r="AR114" s="35">
        <f>(AR112-AR113)*(1-$H$18)</f>
        <v/>
      </c>
      <c r="AS114" s="35">
        <f>(AS112-AS113)*(1-$H$18)</f>
        <v/>
      </c>
      <c r="AT114" s="35">
        <f>(AT112-AT113)*(1-$H$18)</f>
        <v/>
      </c>
      <c r="AU114" s="35">
        <f>(AU112-AU113)*(1-$H$18)</f>
        <v/>
      </c>
      <c r="AV114" s="35">
        <f>(AV112-AV113)*(1-$H$18)</f>
        <v/>
      </c>
      <c r="AW114" s="35">
        <f>(AW112-AW113)*(1-$H$18)</f>
        <v/>
      </c>
      <c r="AX114" s="35">
        <f>(AX112-AX113)*(1-$H$18)</f>
        <v/>
      </c>
      <c r="AY114" s="35">
        <f>(AY112-AY113)*(1-$H$18)</f>
        <v/>
      </c>
      <c r="AZ114" s="35">
        <f>(AZ112-AZ113)*(1-$H$18)</f>
        <v/>
      </c>
      <c r="BA114" s="35">
        <f>(BA112-BA113)*(1-$H$18)</f>
        <v/>
      </c>
      <c r="BB114" s="35">
        <f>(BB112-BB113)*(1-$H$18)</f>
        <v/>
      </c>
      <c r="BC114" s="35">
        <f>(BC112-BC113)*(1-$H$18)</f>
        <v/>
      </c>
      <c r="BD114" s="35">
        <f>(BD112-BD113)*(1-$H$18)</f>
        <v/>
      </c>
    </row>
    <row r="115">
      <c r="A115" s="25" t="inlineStr">
        <is>
          <t xml:space="preserve">   returned to store</t>
        </is>
      </c>
      <c r="B115" s="2" t="inlineStr">
        <is>
          <t>lb</t>
        </is>
      </c>
      <c r="E115" s="35">
        <f>(E112-E113)*$H$18</f>
        <v/>
      </c>
      <c r="F115" s="35">
        <f>(F112-F113)*$H$18</f>
        <v/>
      </c>
      <c r="G115" s="35">
        <f>(G112-G113)*$H$18</f>
        <v/>
      </c>
      <c r="H115" s="35">
        <f>(H112-H113)*$H$18</f>
        <v/>
      </c>
      <c r="I115" s="35">
        <f>(I112-I113)*$H$18</f>
        <v/>
      </c>
      <c r="J115" s="35">
        <f>(J112-J113)*$H$18</f>
        <v/>
      </c>
      <c r="K115" s="35">
        <f>(K112-K113)*$H$18</f>
        <v/>
      </c>
      <c r="L115" s="35">
        <f>(L112-L113)*$H$18</f>
        <v/>
      </c>
      <c r="M115" s="35">
        <f>(M112-M113)*$H$18</f>
        <v/>
      </c>
      <c r="N115" s="35">
        <f>(N112-N113)*$H$18</f>
        <v/>
      </c>
      <c r="O115" s="35">
        <f>(O112-O113)*$H$18</f>
        <v/>
      </c>
      <c r="P115" s="35">
        <f>(P112-P113)*$H$18</f>
        <v/>
      </c>
      <c r="Q115" s="35">
        <f>(Q112-Q113)*$H$18</f>
        <v/>
      </c>
      <c r="R115" s="35">
        <f>(R112-R113)*$H$18</f>
        <v/>
      </c>
      <c r="S115" s="35">
        <f>(S112-S113)*$H$18</f>
        <v/>
      </c>
      <c r="T115" s="35">
        <f>(T112-T113)*$H$18</f>
        <v/>
      </c>
      <c r="U115" s="35">
        <f>(U112-U113)*$H$18</f>
        <v/>
      </c>
      <c r="V115" s="35">
        <f>(V112-V113)*$H$18</f>
        <v/>
      </c>
      <c r="W115" s="35">
        <f>(W112-W113)*$H$18</f>
        <v/>
      </c>
      <c r="X115" s="35">
        <f>(X112-X113)*$H$18</f>
        <v/>
      </c>
      <c r="Y115" s="35">
        <f>(Y112-Y113)*$H$18</f>
        <v/>
      </c>
      <c r="Z115" s="35">
        <f>(Z112-Z113)*$H$18</f>
        <v/>
      </c>
      <c r="AA115" s="35">
        <f>(AA112-AA113)*$H$18</f>
        <v/>
      </c>
      <c r="AB115" s="35">
        <f>(AB112-AB113)*$H$18</f>
        <v/>
      </c>
      <c r="AC115" s="35">
        <f>(AC112-AC113)*$H$18</f>
        <v/>
      </c>
      <c r="AD115" s="35">
        <f>(AD112-AD113)*$H$18</f>
        <v/>
      </c>
      <c r="AE115" s="35">
        <f>(AE112-AE113)*$H$18</f>
        <v/>
      </c>
      <c r="AF115" s="35">
        <f>(AF112-AF113)*$H$18</f>
        <v/>
      </c>
      <c r="AG115" s="35">
        <f>(AG112-AG113)*$H$18</f>
        <v/>
      </c>
      <c r="AH115" s="35">
        <f>(AH112-AH113)*$H$18</f>
        <v/>
      </c>
      <c r="AI115" s="35">
        <f>(AI112-AI113)*$H$18</f>
        <v/>
      </c>
      <c r="AJ115" s="35">
        <f>(AJ112-AJ113)*$H$18</f>
        <v/>
      </c>
      <c r="AK115" s="35">
        <f>(AK112-AK113)*$H$18</f>
        <v/>
      </c>
      <c r="AL115" s="35">
        <f>(AL112-AL113)*$H$18</f>
        <v/>
      </c>
      <c r="AM115" s="35">
        <f>(AM112-AM113)*$H$18</f>
        <v/>
      </c>
      <c r="AN115" s="35">
        <f>(AN112-AN113)*$H$18</f>
        <v/>
      </c>
      <c r="AO115" s="35">
        <f>(AO112-AO113)*$H$18</f>
        <v/>
      </c>
      <c r="AP115" s="35">
        <f>(AP112-AP113)*$H$18</f>
        <v/>
      </c>
      <c r="AQ115" s="35">
        <f>(AQ112-AQ113)*$H$18</f>
        <v/>
      </c>
      <c r="AR115" s="35">
        <f>(AR112-AR113)*$H$18</f>
        <v/>
      </c>
      <c r="AS115" s="35">
        <f>(AS112-AS113)*$H$18</f>
        <v/>
      </c>
      <c r="AT115" s="35">
        <f>(AT112-AT113)*$H$18</f>
        <v/>
      </c>
      <c r="AU115" s="35">
        <f>(AU112-AU113)*$H$18</f>
        <v/>
      </c>
      <c r="AV115" s="35">
        <f>(AV112-AV113)*$H$18</f>
        <v/>
      </c>
      <c r="AW115" s="35">
        <f>(AW112-AW113)*$H$18</f>
        <v/>
      </c>
      <c r="AX115" s="35">
        <f>(AX112-AX113)*$H$18</f>
        <v/>
      </c>
      <c r="AY115" s="35">
        <f>(AY112-AY113)*$H$18</f>
        <v/>
      </c>
      <c r="AZ115" s="35">
        <f>(AZ112-AZ113)*$H$18</f>
        <v/>
      </c>
      <c r="BA115" s="35">
        <f>(BA112-BA113)*$H$18</f>
        <v/>
      </c>
      <c r="BB115" s="35">
        <f>(BB112-BB113)*$H$18</f>
        <v/>
      </c>
      <c r="BC115" s="35">
        <f>(BC112-BC113)*$H$18</f>
        <v/>
      </c>
      <c r="BD115" s="35">
        <f>(BD112-BD113)*$H$18</f>
        <v/>
      </c>
    </row>
    <row r="116">
      <c r="A116" s="25" t="inlineStr">
        <is>
          <t xml:space="preserve">   leaves the store (offered - returned)</t>
        </is>
      </c>
      <c r="B116" s="2" t="inlineStr">
        <is>
          <t>lb</t>
        </is>
      </c>
      <c r="E116" s="35">
        <f>E112-E115</f>
        <v/>
      </c>
      <c r="F116" s="35">
        <f>F112-F115</f>
        <v/>
      </c>
      <c r="G116" s="35">
        <f>G112-G115</f>
        <v/>
      </c>
      <c r="H116" s="35">
        <f>H112-H115</f>
        <v/>
      </c>
      <c r="I116" s="35">
        <f>I112-I115</f>
        <v/>
      </c>
      <c r="J116" s="35">
        <f>J112-J115</f>
        <v/>
      </c>
      <c r="K116" s="35">
        <f>K112-K115</f>
        <v/>
      </c>
      <c r="L116" s="35">
        <f>L112-L115</f>
        <v/>
      </c>
      <c r="M116" s="35">
        <f>M112-M115</f>
        <v/>
      </c>
      <c r="N116" s="35">
        <f>N112-N115</f>
        <v/>
      </c>
      <c r="O116" s="35">
        <f>O112-O115</f>
        <v/>
      </c>
      <c r="P116" s="35">
        <f>P112-P115</f>
        <v/>
      </c>
      <c r="Q116" s="35">
        <f>Q112-Q115</f>
        <v/>
      </c>
      <c r="R116" s="35">
        <f>R112-R115</f>
        <v/>
      </c>
      <c r="S116" s="35">
        <f>S112-S115</f>
        <v/>
      </c>
      <c r="T116" s="35">
        <f>T112-T115</f>
        <v/>
      </c>
      <c r="U116" s="35">
        <f>U112-U115</f>
        <v/>
      </c>
      <c r="V116" s="35">
        <f>V112-V115</f>
        <v/>
      </c>
      <c r="W116" s="35">
        <f>W112-W115</f>
        <v/>
      </c>
      <c r="X116" s="35">
        <f>X112-X115</f>
        <v/>
      </c>
      <c r="Y116" s="35">
        <f>Y112-Y115</f>
        <v/>
      </c>
      <c r="Z116" s="35">
        <f>Z112-Z115</f>
        <v/>
      </c>
      <c r="AA116" s="35">
        <f>AA112-AA115</f>
        <v/>
      </c>
      <c r="AB116" s="35">
        <f>AB112-AB115</f>
        <v/>
      </c>
      <c r="AC116" s="35">
        <f>AC112-AC115</f>
        <v/>
      </c>
      <c r="AD116" s="35">
        <f>AD112-AD115</f>
        <v/>
      </c>
      <c r="AE116" s="35">
        <f>AE112-AE115</f>
        <v/>
      </c>
      <c r="AF116" s="35">
        <f>AF112-AF115</f>
        <v/>
      </c>
      <c r="AG116" s="35">
        <f>AG112-AG115</f>
        <v/>
      </c>
      <c r="AH116" s="35">
        <f>AH112-AH115</f>
        <v/>
      </c>
      <c r="AI116" s="35">
        <f>AI112-AI115</f>
        <v/>
      </c>
      <c r="AJ116" s="35">
        <f>AJ112-AJ115</f>
        <v/>
      </c>
      <c r="AK116" s="35">
        <f>AK112-AK115</f>
        <v/>
      </c>
      <c r="AL116" s="35">
        <f>AL112-AL115</f>
        <v/>
      </c>
      <c r="AM116" s="35">
        <f>AM112-AM115</f>
        <v/>
      </c>
      <c r="AN116" s="35">
        <f>AN112-AN115</f>
        <v/>
      </c>
      <c r="AO116" s="35">
        <f>AO112-AO115</f>
        <v/>
      </c>
      <c r="AP116" s="35">
        <f>AP112-AP115</f>
        <v/>
      </c>
      <c r="AQ116" s="35">
        <f>AQ112-AQ115</f>
        <v/>
      </c>
      <c r="AR116" s="35">
        <f>AR112-AR115</f>
        <v/>
      </c>
      <c r="AS116" s="35">
        <f>AS112-AS115</f>
        <v/>
      </c>
      <c r="AT116" s="35">
        <f>AT112-AT115</f>
        <v/>
      </c>
      <c r="AU116" s="35">
        <f>AU112-AU115</f>
        <v/>
      </c>
      <c r="AV116" s="35">
        <f>AV112-AV115</f>
        <v/>
      </c>
      <c r="AW116" s="35">
        <f>AW112-AW115</f>
        <v/>
      </c>
      <c r="AX116" s="35">
        <f>AX112-AX115</f>
        <v/>
      </c>
      <c r="AY116" s="35">
        <f>AY112-AY115</f>
        <v/>
      </c>
      <c r="AZ116" s="35">
        <f>AZ112-AZ115</f>
        <v/>
      </c>
      <c r="BA116" s="35">
        <f>BA112-BA115</f>
        <v/>
      </c>
      <c r="BB116" s="35">
        <f>BB112-BB115</f>
        <v/>
      </c>
      <c r="BC116" s="35">
        <f>BC112-BC115</f>
        <v/>
      </c>
      <c r="BD116" s="35">
        <f>BD112-BD115</f>
        <v/>
      </c>
    </row>
    <row r="117">
      <c r="A117" s="40" t="inlineStr">
        <is>
          <t>Wholesale — most you may sell this week</t>
        </is>
      </c>
      <c r="B117" s="2" t="inlineStr">
        <is>
          <t>lb</t>
        </is>
      </c>
      <c r="E117" s="41">
        <f>IF($C$19="Annual",$D$19-0,IF(AND(1&gt;=$E$19,1&lt;=$F$19),$D$19,0))</f>
        <v/>
      </c>
      <c r="F117" s="41">
        <f>IF($C$19="Annual",$D$19-SUM(E119:E119),IF(AND(2&gt;=$E$19,2&lt;=$F$19),$D$19,0))</f>
        <v/>
      </c>
      <c r="G117" s="41">
        <f>IF($C$19="Annual",$D$19-SUM(E119:F119),IF(AND(3&gt;=$E$19,3&lt;=$F$19),$D$19,0))</f>
        <v/>
      </c>
      <c r="H117" s="41">
        <f>IF($C$19="Annual",$D$19-SUM(E119:G119),IF(AND(4&gt;=$E$19,4&lt;=$F$19),$D$19,0))</f>
        <v/>
      </c>
      <c r="I117" s="41">
        <f>IF($C$19="Annual",$D$19-SUM(E119:H119),IF(AND(5&gt;=$E$19,5&lt;=$F$19),$D$19,0))</f>
        <v/>
      </c>
      <c r="J117" s="41">
        <f>IF($C$19="Annual",$D$19-SUM(E119:I119),IF(AND(6&gt;=$E$19,6&lt;=$F$19),$D$19,0))</f>
        <v/>
      </c>
      <c r="K117" s="41">
        <f>IF($C$19="Annual",$D$19-SUM(E119:J119),IF(AND(7&gt;=$E$19,7&lt;=$F$19),$D$19,0))</f>
        <v/>
      </c>
      <c r="L117" s="41">
        <f>IF($C$19="Annual",$D$19-SUM(E119:K119),IF(AND(8&gt;=$E$19,8&lt;=$F$19),$D$19,0))</f>
        <v/>
      </c>
      <c r="M117" s="41">
        <f>IF($C$19="Annual",$D$19-SUM(E119:L119),IF(AND(9&gt;=$E$19,9&lt;=$F$19),$D$19,0))</f>
        <v/>
      </c>
      <c r="N117" s="41">
        <f>IF($C$19="Annual",$D$19-SUM(E119:M119),IF(AND(10&gt;=$E$19,10&lt;=$F$19),$D$19,0))</f>
        <v/>
      </c>
      <c r="O117" s="41">
        <f>IF($C$19="Annual",$D$19-SUM(E119:N119),IF(AND(11&gt;=$E$19,11&lt;=$F$19),$D$19,0))</f>
        <v/>
      </c>
      <c r="P117" s="41">
        <f>IF($C$19="Annual",$D$19-SUM(E119:O119),IF(AND(12&gt;=$E$19,12&lt;=$F$19),$D$19,0))</f>
        <v/>
      </c>
      <c r="Q117" s="41">
        <f>IF($C$19="Annual",$D$19-SUM(E119:P119),IF(AND(13&gt;=$E$19,13&lt;=$F$19),$D$19,0))</f>
        <v/>
      </c>
      <c r="R117" s="41">
        <f>IF($C$19="Annual",$D$19-SUM(E119:Q119),IF(AND(14&gt;=$E$19,14&lt;=$F$19),$D$19,0))</f>
        <v/>
      </c>
      <c r="S117" s="41">
        <f>IF($C$19="Annual",$D$19-SUM(E119:R119),IF(AND(15&gt;=$E$19,15&lt;=$F$19),$D$19,0))</f>
        <v/>
      </c>
      <c r="T117" s="41">
        <f>IF($C$19="Annual",$D$19-SUM(E119:S119),IF(AND(16&gt;=$E$19,16&lt;=$F$19),$D$19,0))</f>
        <v/>
      </c>
      <c r="U117" s="41">
        <f>IF($C$19="Annual",$D$19-SUM(E119:T119),IF(AND(17&gt;=$E$19,17&lt;=$F$19),$D$19,0))</f>
        <v/>
      </c>
      <c r="V117" s="41">
        <f>IF($C$19="Annual",$D$19-SUM(E119:U119),IF(AND(18&gt;=$E$19,18&lt;=$F$19),$D$19,0))</f>
        <v/>
      </c>
      <c r="W117" s="41">
        <f>IF($C$19="Annual",$D$19-SUM(E119:V119),IF(AND(19&gt;=$E$19,19&lt;=$F$19),$D$19,0))</f>
        <v/>
      </c>
      <c r="X117" s="41">
        <f>IF($C$19="Annual",$D$19-SUM(E119:W119),IF(AND(20&gt;=$E$19,20&lt;=$F$19),$D$19,0))</f>
        <v/>
      </c>
      <c r="Y117" s="41">
        <f>IF($C$19="Annual",$D$19-SUM(E119:X119),IF(AND(21&gt;=$E$19,21&lt;=$F$19),$D$19,0))</f>
        <v/>
      </c>
      <c r="Z117" s="41">
        <f>IF($C$19="Annual",$D$19-SUM(E119:Y119),IF(AND(22&gt;=$E$19,22&lt;=$F$19),$D$19,0))</f>
        <v/>
      </c>
      <c r="AA117" s="41">
        <f>IF($C$19="Annual",$D$19-SUM(E119:Z119),IF(AND(23&gt;=$E$19,23&lt;=$F$19),$D$19,0))</f>
        <v/>
      </c>
      <c r="AB117" s="41">
        <f>IF($C$19="Annual",$D$19-SUM(E119:AA119),IF(AND(24&gt;=$E$19,24&lt;=$F$19),$D$19,0))</f>
        <v/>
      </c>
      <c r="AC117" s="41">
        <f>IF($C$19="Annual",$D$19-SUM(E119:AB119),IF(AND(25&gt;=$E$19,25&lt;=$F$19),$D$19,0))</f>
        <v/>
      </c>
      <c r="AD117" s="41">
        <f>IF($C$19="Annual",$D$19-SUM(E119:AC119),IF(AND(26&gt;=$E$19,26&lt;=$F$19),$D$19,0))</f>
        <v/>
      </c>
      <c r="AE117" s="41">
        <f>IF($C$19="Annual",$D$19-SUM(E119:AD119),IF(AND(27&gt;=$E$19,27&lt;=$F$19),$D$19,0))</f>
        <v/>
      </c>
      <c r="AF117" s="41">
        <f>IF($C$19="Annual",$D$19-SUM(E119:AE119),IF(AND(28&gt;=$E$19,28&lt;=$F$19),$D$19,0))</f>
        <v/>
      </c>
      <c r="AG117" s="41">
        <f>IF($C$19="Annual",$D$19-SUM(E119:AF119),IF(AND(29&gt;=$E$19,29&lt;=$F$19),$D$19,0))</f>
        <v/>
      </c>
      <c r="AH117" s="41">
        <f>IF($C$19="Annual",$D$19-SUM(E119:AG119),IF(AND(30&gt;=$E$19,30&lt;=$F$19),$D$19,0))</f>
        <v/>
      </c>
      <c r="AI117" s="41">
        <f>IF($C$19="Annual",$D$19-SUM(E119:AH119),IF(AND(31&gt;=$E$19,31&lt;=$F$19),$D$19,0))</f>
        <v/>
      </c>
      <c r="AJ117" s="41">
        <f>IF($C$19="Annual",$D$19-SUM(E119:AI119),IF(AND(32&gt;=$E$19,32&lt;=$F$19),$D$19,0))</f>
        <v/>
      </c>
      <c r="AK117" s="41">
        <f>IF($C$19="Annual",$D$19-SUM(E119:AJ119),IF(AND(33&gt;=$E$19,33&lt;=$F$19),$D$19,0))</f>
        <v/>
      </c>
      <c r="AL117" s="41">
        <f>IF($C$19="Annual",$D$19-SUM(E119:AK119),IF(AND(34&gt;=$E$19,34&lt;=$F$19),$D$19,0))</f>
        <v/>
      </c>
      <c r="AM117" s="41">
        <f>IF($C$19="Annual",$D$19-SUM(E119:AL119),IF(AND(35&gt;=$E$19,35&lt;=$F$19),$D$19,0))</f>
        <v/>
      </c>
      <c r="AN117" s="41">
        <f>IF($C$19="Annual",$D$19-SUM(E119:AM119),IF(AND(36&gt;=$E$19,36&lt;=$F$19),$D$19,0))</f>
        <v/>
      </c>
      <c r="AO117" s="41">
        <f>IF($C$19="Annual",$D$19-SUM(E119:AN119),IF(AND(37&gt;=$E$19,37&lt;=$F$19),$D$19,0))</f>
        <v/>
      </c>
      <c r="AP117" s="41">
        <f>IF($C$19="Annual",$D$19-SUM(E119:AO119),IF(AND(38&gt;=$E$19,38&lt;=$F$19),$D$19,0))</f>
        <v/>
      </c>
      <c r="AQ117" s="41">
        <f>IF($C$19="Annual",$D$19-SUM(E119:AP119),IF(AND(39&gt;=$E$19,39&lt;=$F$19),$D$19,0))</f>
        <v/>
      </c>
      <c r="AR117" s="41">
        <f>IF($C$19="Annual",$D$19-SUM(E119:AQ119),IF(AND(40&gt;=$E$19,40&lt;=$F$19),$D$19,0))</f>
        <v/>
      </c>
      <c r="AS117" s="41">
        <f>IF($C$19="Annual",$D$19-SUM(E119:AR119),IF(AND(41&gt;=$E$19,41&lt;=$F$19),$D$19,0))</f>
        <v/>
      </c>
      <c r="AT117" s="41">
        <f>IF($C$19="Annual",$D$19-SUM(E119:AS119),IF(AND(42&gt;=$E$19,42&lt;=$F$19),$D$19,0))</f>
        <v/>
      </c>
      <c r="AU117" s="41">
        <f>IF($C$19="Annual",$D$19-SUM(E119:AT119),IF(AND(43&gt;=$E$19,43&lt;=$F$19),$D$19,0))</f>
        <v/>
      </c>
      <c r="AV117" s="41">
        <f>IF($C$19="Annual",$D$19-SUM(E119:AU119),IF(AND(44&gt;=$E$19,44&lt;=$F$19),$D$19,0))</f>
        <v/>
      </c>
      <c r="AW117" s="41">
        <f>IF($C$19="Annual",$D$19-SUM(E119:AV119),IF(AND(45&gt;=$E$19,45&lt;=$F$19),$D$19,0))</f>
        <v/>
      </c>
      <c r="AX117" s="41">
        <f>IF($C$19="Annual",$D$19-SUM(E119:AW119),IF(AND(46&gt;=$E$19,46&lt;=$F$19),$D$19,0))</f>
        <v/>
      </c>
      <c r="AY117" s="41">
        <f>IF($C$19="Annual",$D$19-SUM(E119:AX119),IF(AND(47&gt;=$E$19,47&lt;=$F$19),$D$19,0))</f>
        <v/>
      </c>
      <c r="AZ117" s="41">
        <f>IF($C$19="Annual",$D$19-SUM(E119:AY119),IF(AND(48&gt;=$E$19,48&lt;=$F$19),$D$19,0))</f>
        <v/>
      </c>
      <c r="BA117" s="41">
        <f>IF($C$19="Annual",$D$19-SUM(E119:AZ119),IF(AND(49&gt;=$E$19,49&lt;=$F$19),$D$19,0))</f>
        <v/>
      </c>
      <c r="BB117" s="41">
        <f>IF($C$19="Annual",$D$19-SUM(E119:BA119),IF(AND(50&gt;=$E$19,50&lt;=$F$19),$D$19,0))</f>
        <v/>
      </c>
      <c r="BC117" s="41">
        <f>IF($C$19="Annual",$D$19-SUM(E119:BB119),IF(AND(51&gt;=$E$19,51&lt;=$F$19),$D$19,0))</f>
        <v/>
      </c>
      <c r="BD117" s="41">
        <f>IF($C$19="Annual",$D$19-SUM(E119:BC119),IF(AND(52&gt;=$E$19,52&lt;=$F$19),$D$19,0))</f>
        <v/>
      </c>
    </row>
    <row r="118">
      <c r="A118" s="21" t="inlineStr">
        <is>
          <t>Wholesale — OFFERED</t>
        </is>
      </c>
      <c r="B118" s="2" t="inlineStr">
        <is>
          <t>lb  &lt;-- SOLVER</t>
        </is>
      </c>
      <c r="E118" s="38" t="n">
        <v>0</v>
      </c>
      <c r="F118" s="38" t="n">
        <v>0</v>
      </c>
      <c r="G118" s="38" t="n">
        <v>0</v>
      </c>
      <c r="H118" s="38" t="n">
        <v>0</v>
      </c>
      <c r="I118" s="38" t="n">
        <v>0</v>
      </c>
      <c r="J118" s="38" t="n">
        <v>0</v>
      </c>
      <c r="K118" s="38" t="n">
        <v>0</v>
      </c>
      <c r="L118" s="38" t="n">
        <v>0</v>
      </c>
      <c r="M118" s="38" t="n">
        <v>0</v>
      </c>
      <c r="N118" s="38" t="n">
        <v>0</v>
      </c>
      <c r="O118" s="38" t="n">
        <v>0</v>
      </c>
      <c r="P118" s="38" t="n">
        <v>0</v>
      </c>
      <c r="Q118" s="38" t="n">
        <v>0</v>
      </c>
      <c r="R118" s="38" t="n">
        <v>0</v>
      </c>
      <c r="S118" s="38" t="n">
        <v>0</v>
      </c>
      <c r="T118" s="38" t="n">
        <v>0</v>
      </c>
      <c r="U118" s="38" t="n">
        <v>0</v>
      </c>
      <c r="V118" s="38" t="n">
        <v>0</v>
      </c>
      <c r="W118" s="38" t="n">
        <v>0</v>
      </c>
      <c r="X118" s="38" t="n">
        <v>0</v>
      </c>
      <c r="Y118" s="38" t="n">
        <v>0</v>
      </c>
      <c r="Z118" s="38" t="n">
        <v>0</v>
      </c>
      <c r="AA118" s="38" t="n">
        <v>0</v>
      </c>
      <c r="AB118" s="38" t="n">
        <v>0</v>
      </c>
      <c r="AC118" s="38" t="n">
        <v>0</v>
      </c>
      <c r="AD118" s="38" t="n">
        <v>0</v>
      </c>
      <c r="AE118" s="38" t="n">
        <v>0</v>
      </c>
      <c r="AF118" s="38" t="n">
        <v>0</v>
      </c>
      <c r="AG118" s="38" t="n">
        <v>0</v>
      </c>
      <c r="AH118" s="38" t="n">
        <v>0</v>
      </c>
      <c r="AI118" s="38" t="n">
        <v>0</v>
      </c>
      <c r="AJ118" s="38" t="n">
        <v>0</v>
      </c>
      <c r="AK118" s="38" t="n">
        <v>0</v>
      </c>
      <c r="AL118" s="38" t="n">
        <v>0</v>
      </c>
      <c r="AM118" s="38" t="n">
        <v>0</v>
      </c>
      <c r="AN118" s="38" t="n">
        <v>0</v>
      </c>
      <c r="AO118" s="38" t="n">
        <v>0</v>
      </c>
      <c r="AP118" s="38" t="n">
        <v>0</v>
      </c>
      <c r="AQ118" s="38" t="n">
        <v>0</v>
      </c>
      <c r="AR118" s="38" t="n">
        <v>0</v>
      </c>
      <c r="AS118" s="38" t="n">
        <v>0</v>
      </c>
      <c r="AT118" s="38" t="n">
        <v>0</v>
      </c>
      <c r="AU118" s="38" t="n">
        <v>0</v>
      </c>
      <c r="AV118" s="38" t="n">
        <v>0</v>
      </c>
      <c r="AW118" s="38" t="n">
        <v>0</v>
      </c>
      <c r="AX118" s="38" t="n">
        <v>0</v>
      </c>
      <c r="AY118" s="38" t="n">
        <v>0</v>
      </c>
      <c r="AZ118" s="38" t="n">
        <v>0</v>
      </c>
      <c r="BA118" s="38" t="n">
        <v>0</v>
      </c>
      <c r="BB118" s="38" t="n">
        <v>0</v>
      </c>
      <c r="BC118" s="38" t="n">
        <v>0</v>
      </c>
      <c r="BD118" s="38" t="n">
        <v>0</v>
      </c>
    </row>
    <row r="119">
      <c r="A119" s="42" t="inlineStr">
        <is>
          <t>Wholesale — SOLD</t>
        </is>
      </c>
      <c r="B119" s="2" t="inlineStr">
        <is>
          <t>lb</t>
        </is>
      </c>
      <c r="E119" s="41">
        <f>E118*$G$19</f>
        <v/>
      </c>
      <c r="F119" s="41">
        <f>F118*$G$19</f>
        <v/>
      </c>
      <c r="G119" s="41">
        <f>G118*$G$19</f>
        <v/>
      </c>
      <c r="H119" s="41">
        <f>H118*$G$19</f>
        <v/>
      </c>
      <c r="I119" s="41">
        <f>I118*$G$19</f>
        <v/>
      </c>
      <c r="J119" s="41">
        <f>J118*$G$19</f>
        <v/>
      </c>
      <c r="K119" s="41">
        <f>K118*$G$19</f>
        <v/>
      </c>
      <c r="L119" s="41">
        <f>L118*$G$19</f>
        <v/>
      </c>
      <c r="M119" s="41">
        <f>M118*$G$19</f>
        <v/>
      </c>
      <c r="N119" s="41">
        <f>N118*$G$19</f>
        <v/>
      </c>
      <c r="O119" s="41">
        <f>O118*$G$19</f>
        <v/>
      </c>
      <c r="P119" s="41">
        <f>P118*$G$19</f>
        <v/>
      </c>
      <c r="Q119" s="41">
        <f>Q118*$G$19</f>
        <v/>
      </c>
      <c r="R119" s="41">
        <f>R118*$G$19</f>
        <v/>
      </c>
      <c r="S119" s="41">
        <f>S118*$G$19</f>
        <v/>
      </c>
      <c r="T119" s="41">
        <f>T118*$G$19</f>
        <v/>
      </c>
      <c r="U119" s="41">
        <f>U118*$G$19</f>
        <v/>
      </c>
      <c r="V119" s="41">
        <f>V118*$G$19</f>
        <v/>
      </c>
      <c r="W119" s="41">
        <f>W118*$G$19</f>
        <v/>
      </c>
      <c r="X119" s="41">
        <f>X118*$G$19</f>
        <v/>
      </c>
      <c r="Y119" s="41">
        <f>Y118*$G$19</f>
        <v/>
      </c>
      <c r="Z119" s="41">
        <f>Z118*$G$19</f>
        <v/>
      </c>
      <c r="AA119" s="41">
        <f>AA118*$G$19</f>
        <v/>
      </c>
      <c r="AB119" s="41">
        <f>AB118*$G$19</f>
        <v/>
      </c>
      <c r="AC119" s="41">
        <f>AC118*$G$19</f>
        <v/>
      </c>
      <c r="AD119" s="41">
        <f>AD118*$G$19</f>
        <v/>
      </c>
      <c r="AE119" s="41">
        <f>AE118*$G$19</f>
        <v/>
      </c>
      <c r="AF119" s="41">
        <f>AF118*$G$19</f>
        <v/>
      </c>
      <c r="AG119" s="41">
        <f>AG118*$G$19</f>
        <v/>
      </c>
      <c r="AH119" s="41">
        <f>AH118*$G$19</f>
        <v/>
      </c>
      <c r="AI119" s="41">
        <f>AI118*$G$19</f>
        <v/>
      </c>
      <c r="AJ119" s="41">
        <f>AJ118*$G$19</f>
        <v/>
      </c>
      <c r="AK119" s="41">
        <f>AK118*$G$19</f>
        <v/>
      </c>
      <c r="AL119" s="41">
        <f>AL118*$G$19</f>
        <v/>
      </c>
      <c r="AM119" s="41">
        <f>AM118*$G$19</f>
        <v/>
      </c>
      <c r="AN119" s="41">
        <f>AN118*$G$19</f>
        <v/>
      </c>
      <c r="AO119" s="41">
        <f>AO118*$G$19</f>
        <v/>
      </c>
      <c r="AP119" s="41">
        <f>AP118*$G$19</f>
        <v/>
      </c>
      <c r="AQ119" s="41">
        <f>AQ118*$G$19</f>
        <v/>
      </c>
      <c r="AR119" s="41">
        <f>AR118*$G$19</f>
        <v/>
      </c>
      <c r="AS119" s="41">
        <f>AS118*$G$19</f>
        <v/>
      </c>
      <c r="AT119" s="41">
        <f>AT118*$G$19</f>
        <v/>
      </c>
      <c r="AU119" s="41">
        <f>AU118*$G$19</f>
        <v/>
      </c>
      <c r="AV119" s="41">
        <f>AV118*$G$19</f>
        <v/>
      </c>
      <c r="AW119" s="41">
        <f>AW118*$G$19</f>
        <v/>
      </c>
      <c r="AX119" s="41">
        <f>AX118*$G$19</f>
        <v/>
      </c>
      <c r="AY119" s="41">
        <f>AY118*$G$19</f>
        <v/>
      </c>
      <c r="AZ119" s="41">
        <f>AZ118*$G$19</f>
        <v/>
      </c>
      <c r="BA119" s="41">
        <f>BA118*$G$19</f>
        <v/>
      </c>
      <c r="BB119" s="41">
        <f>BB118*$G$19</f>
        <v/>
      </c>
      <c r="BC119" s="41">
        <f>BC118*$G$19</f>
        <v/>
      </c>
      <c r="BD119" s="41">
        <f>BD118*$G$19</f>
        <v/>
      </c>
    </row>
    <row r="120">
      <c r="A120" s="25" t="inlineStr">
        <is>
          <t xml:space="preserve">   market loss (gone)</t>
        </is>
      </c>
      <c r="B120" s="2" t="inlineStr">
        <is>
          <t>lb</t>
        </is>
      </c>
      <c r="E120" s="35">
        <f>(E118-E119)*(1-$H$19)</f>
        <v/>
      </c>
      <c r="F120" s="35">
        <f>(F118-F119)*(1-$H$19)</f>
        <v/>
      </c>
      <c r="G120" s="35">
        <f>(G118-G119)*(1-$H$19)</f>
        <v/>
      </c>
      <c r="H120" s="35">
        <f>(H118-H119)*(1-$H$19)</f>
        <v/>
      </c>
      <c r="I120" s="35">
        <f>(I118-I119)*(1-$H$19)</f>
        <v/>
      </c>
      <c r="J120" s="35">
        <f>(J118-J119)*(1-$H$19)</f>
        <v/>
      </c>
      <c r="K120" s="35">
        <f>(K118-K119)*(1-$H$19)</f>
        <v/>
      </c>
      <c r="L120" s="35">
        <f>(L118-L119)*(1-$H$19)</f>
        <v/>
      </c>
      <c r="M120" s="35">
        <f>(M118-M119)*(1-$H$19)</f>
        <v/>
      </c>
      <c r="N120" s="35">
        <f>(N118-N119)*(1-$H$19)</f>
        <v/>
      </c>
      <c r="O120" s="35">
        <f>(O118-O119)*(1-$H$19)</f>
        <v/>
      </c>
      <c r="P120" s="35">
        <f>(P118-P119)*(1-$H$19)</f>
        <v/>
      </c>
      <c r="Q120" s="35">
        <f>(Q118-Q119)*(1-$H$19)</f>
        <v/>
      </c>
      <c r="R120" s="35">
        <f>(R118-R119)*(1-$H$19)</f>
        <v/>
      </c>
      <c r="S120" s="35">
        <f>(S118-S119)*(1-$H$19)</f>
        <v/>
      </c>
      <c r="T120" s="35">
        <f>(T118-T119)*(1-$H$19)</f>
        <v/>
      </c>
      <c r="U120" s="35">
        <f>(U118-U119)*(1-$H$19)</f>
        <v/>
      </c>
      <c r="V120" s="35">
        <f>(V118-V119)*(1-$H$19)</f>
        <v/>
      </c>
      <c r="W120" s="35">
        <f>(W118-W119)*(1-$H$19)</f>
        <v/>
      </c>
      <c r="X120" s="35">
        <f>(X118-X119)*(1-$H$19)</f>
        <v/>
      </c>
      <c r="Y120" s="35">
        <f>(Y118-Y119)*(1-$H$19)</f>
        <v/>
      </c>
      <c r="Z120" s="35">
        <f>(Z118-Z119)*(1-$H$19)</f>
        <v/>
      </c>
      <c r="AA120" s="35">
        <f>(AA118-AA119)*(1-$H$19)</f>
        <v/>
      </c>
      <c r="AB120" s="35">
        <f>(AB118-AB119)*(1-$H$19)</f>
        <v/>
      </c>
      <c r="AC120" s="35">
        <f>(AC118-AC119)*(1-$H$19)</f>
        <v/>
      </c>
      <c r="AD120" s="35">
        <f>(AD118-AD119)*(1-$H$19)</f>
        <v/>
      </c>
      <c r="AE120" s="35">
        <f>(AE118-AE119)*(1-$H$19)</f>
        <v/>
      </c>
      <c r="AF120" s="35">
        <f>(AF118-AF119)*(1-$H$19)</f>
        <v/>
      </c>
      <c r="AG120" s="35">
        <f>(AG118-AG119)*(1-$H$19)</f>
        <v/>
      </c>
      <c r="AH120" s="35">
        <f>(AH118-AH119)*(1-$H$19)</f>
        <v/>
      </c>
      <c r="AI120" s="35">
        <f>(AI118-AI119)*(1-$H$19)</f>
        <v/>
      </c>
      <c r="AJ120" s="35">
        <f>(AJ118-AJ119)*(1-$H$19)</f>
        <v/>
      </c>
      <c r="AK120" s="35">
        <f>(AK118-AK119)*(1-$H$19)</f>
        <v/>
      </c>
      <c r="AL120" s="35">
        <f>(AL118-AL119)*(1-$H$19)</f>
        <v/>
      </c>
      <c r="AM120" s="35">
        <f>(AM118-AM119)*(1-$H$19)</f>
        <v/>
      </c>
      <c r="AN120" s="35">
        <f>(AN118-AN119)*(1-$H$19)</f>
        <v/>
      </c>
      <c r="AO120" s="35">
        <f>(AO118-AO119)*(1-$H$19)</f>
        <v/>
      </c>
      <c r="AP120" s="35">
        <f>(AP118-AP119)*(1-$H$19)</f>
        <v/>
      </c>
      <c r="AQ120" s="35">
        <f>(AQ118-AQ119)*(1-$H$19)</f>
        <v/>
      </c>
      <c r="AR120" s="35">
        <f>(AR118-AR119)*(1-$H$19)</f>
        <v/>
      </c>
      <c r="AS120" s="35">
        <f>(AS118-AS119)*(1-$H$19)</f>
        <v/>
      </c>
      <c r="AT120" s="35">
        <f>(AT118-AT119)*(1-$H$19)</f>
        <v/>
      </c>
      <c r="AU120" s="35">
        <f>(AU118-AU119)*(1-$H$19)</f>
        <v/>
      </c>
      <c r="AV120" s="35">
        <f>(AV118-AV119)*(1-$H$19)</f>
        <v/>
      </c>
      <c r="AW120" s="35">
        <f>(AW118-AW119)*(1-$H$19)</f>
        <v/>
      </c>
      <c r="AX120" s="35">
        <f>(AX118-AX119)*(1-$H$19)</f>
        <v/>
      </c>
      <c r="AY120" s="35">
        <f>(AY118-AY119)*(1-$H$19)</f>
        <v/>
      </c>
      <c r="AZ120" s="35">
        <f>(AZ118-AZ119)*(1-$H$19)</f>
        <v/>
      </c>
      <c r="BA120" s="35">
        <f>(BA118-BA119)*(1-$H$19)</f>
        <v/>
      </c>
      <c r="BB120" s="35">
        <f>(BB118-BB119)*(1-$H$19)</f>
        <v/>
      </c>
      <c r="BC120" s="35">
        <f>(BC118-BC119)*(1-$H$19)</f>
        <v/>
      </c>
      <c r="BD120" s="35">
        <f>(BD118-BD119)*(1-$H$19)</f>
        <v/>
      </c>
    </row>
    <row r="121">
      <c r="A121" s="25" t="inlineStr">
        <is>
          <t xml:space="preserve">   returned to store</t>
        </is>
      </c>
      <c r="B121" s="2" t="inlineStr">
        <is>
          <t>lb</t>
        </is>
      </c>
      <c r="E121" s="35">
        <f>(E118-E119)*$H$19</f>
        <v/>
      </c>
      <c r="F121" s="35">
        <f>(F118-F119)*$H$19</f>
        <v/>
      </c>
      <c r="G121" s="35">
        <f>(G118-G119)*$H$19</f>
        <v/>
      </c>
      <c r="H121" s="35">
        <f>(H118-H119)*$H$19</f>
        <v/>
      </c>
      <c r="I121" s="35">
        <f>(I118-I119)*$H$19</f>
        <v/>
      </c>
      <c r="J121" s="35">
        <f>(J118-J119)*$H$19</f>
        <v/>
      </c>
      <c r="K121" s="35">
        <f>(K118-K119)*$H$19</f>
        <v/>
      </c>
      <c r="L121" s="35">
        <f>(L118-L119)*$H$19</f>
        <v/>
      </c>
      <c r="M121" s="35">
        <f>(M118-M119)*$H$19</f>
        <v/>
      </c>
      <c r="N121" s="35">
        <f>(N118-N119)*$H$19</f>
        <v/>
      </c>
      <c r="O121" s="35">
        <f>(O118-O119)*$H$19</f>
        <v/>
      </c>
      <c r="P121" s="35">
        <f>(P118-P119)*$H$19</f>
        <v/>
      </c>
      <c r="Q121" s="35">
        <f>(Q118-Q119)*$H$19</f>
        <v/>
      </c>
      <c r="R121" s="35">
        <f>(R118-R119)*$H$19</f>
        <v/>
      </c>
      <c r="S121" s="35">
        <f>(S118-S119)*$H$19</f>
        <v/>
      </c>
      <c r="T121" s="35">
        <f>(T118-T119)*$H$19</f>
        <v/>
      </c>
      <c r="U121" s="35">
        <f>(U118-U119)*$H$19</f>
        <v/>
      </c>
      <c r="V121" s="35">
        <f>(V118-V119)*$H$19</f>
        <v/>
      </c>
      <c r="W121" s="35">
        <f>(W118-W119)*$H$19</f>
        <v/>
      </c>
      <c r="X121" s="35">
        <f>(X118-X119)*$H$19</f>
        <v/>
      </c>
      <c r="Y121" s="35">
        <f>(Y118-Y119)*$H$19</f>
        <v/>
      </c>
      <c r="Z121" s="35">
        <f>(Z118-Z119)*$H$19</f>
        <v/>
      </c>
      <c r="AA121" s="35">
        <f>(AA118-AA119)*$H$19</f>
        <v/>
      </c>
      <c r="AB121" s="35">
        <f>(AB118-AB119)*$H$19</f>
        <v/>
      </c>
      <c r="AC121" s="35">
        <f>(AC118-AC119)*$H$19</f>
        <v/>
      </c>
      <c r="AD121" s="35">
        <f>(AD118-AD119)*$H$19</f>
        <v/>
      </c>
      <c r="AE121" s="35">
        <f>(AE118-AE119)*$H$19</f>
        <v/>
      </c>
      <c r="AF121" s="35">
        <f>(AF118-AF119)*$H$19</f>
        <v/>
      </c>
      <c r="AG121" s="35">
        <f>(AG118-AG119)*$H$19</f>
        <v/>
      </c>
      <c r="AH121" s="35">
        <f>(AH118-AH119)*$H$19</f>
        <v/>
      </c>
      <c r="AI121" s="35">
        <f>(AI118-AI119)*$H$19</f>
        <v/>
      </c>
      <c r="AJ121" s="35">
        <f>(AJ118-AJ119)*$H$19</f>
        <v/>
      </c>
      <c r="AK121" s="35">
        <f>(AK118-AK119)*$H$19</f>
        <v/>
      </c>
      <c r="AL121" s="35">
        <f>(AL118-AL119)*$H$19</f>
        <v/>
      </c>
      <c r="AM121" s="35">
        <f>(AM118-AM119)*$H$19</f>
        <v/>
      </c>
      <c r="AN121" s="35">
        <f>(AN118-AN119)*$H$19</f>
        <v/>
      </c>
      <c r="AO121" s="35">
        <f>(AO118-AO119)*$H$19</f>
        <v/>
      </c>
      <c r="AP121" s="35">
        <f>(AP118-AP119)*$H$19</f>
        <v/>
      </c>
      <c r="AQ121" s="35">
        <f>(AQ118-AQ119)*$H$19</f>
        <v/>
      </c>
      <c r="AR121" s="35">
        <f>(AR118-AR119)*$H$19</f>
        <v/>
      </c>
      <c r="AS121" s="35">
        <f>(AS118-AS119)*$H$19</f>
        <v/>
      </c>
      <c r="AT121" s="35">
        <f>(AT118-AT119)*$H$19</f>
        <v/>
      </c>
      <c r="AU121" s="35">
        <f>(AU118-AU119)*$H$19</f>
        <v/>
      </c>
      <c r="AV121" s="35">
        <f>(AV118-AV119)*$H$19</f>
        <v/>
      </c>
      <c r="AW121" s="35">
        <f>(AW118-AW119)*$H$19</f>
        <v/>
      </c>
      <c r="AX121" s="35">
        <f>(AX118-AX119)*$H$19</f>
        <v/>
      </c>
      <c r="AY121" s="35">
        <f>(AY118-AY119)*$H$19</f>
        <v/>
      </c>
      <c r="AZ121" s="35">
        <f>(AZ118-AZ119)*$H$19</f>
        <v/>
      </c>
      <c r="BA121" s="35">
        <f>(BA118-BA119)*$H$19</f>
        <v/>
      </c>
      <c r="BB121" s="35">
        <f>(BB118-BB119)*$H$19</f>
        <v/>
      </c>
      <c r="BC121" s="35">
        <f>(BC118-BC119)*$H$19</f>
        <v/>
      </c>
      <c r="BD121" s="35">
        <f>(BD118-BD119)*$H$19</f>
        <v/>
      </c>
    </row>
    <row r="122">
      <c r="A122" s="25" t="inlineStr">
        <is>
          <t xml:space="preserve">   leaves the store (offered - returned)</t>
        </is>
      </c>
      <c r="B122" s="2" t="inlineStr">
        <is>
          <t>lb</t>
        </is>
      </c>
      <c r="E122" s="35">
        <f>E118-E121</f>
        <v/>
      </c>
      <c r="F122" s="35">
        <f>F118-F121</f>
        <v/>
      </c>
      <c r="G122" s="35">
        <f>G118-G121</f>
        <v/>
      </c>
      <c r="H122" s="35">
        <f>H118-H121</f>
        <v/>
      </c>
      <c r="I122" s="35">
        <f>I118-I121</f>
        <v/>
      </c>
      <c r="J122" s="35">
        <f>J118-J121</f>
        <v/>
      </c>
      <c r="K122" s="35">
        <f>K118-K121</f>
        <v/>
      </c>
      <c r="L122" s="35">
        <f>L118-L121</f>
        <v/>
      </c>
      <c r="M122" s="35">
        <f>M118-M121</f>
        <v/>
      </c>
      <c r="N122" s="35">
        <f>N118-N121</f>
        <v/>
      </c>
      <c r="O122" s="35">
        <f>O118-O121</f>
        <v/>
      </c>
      <c r="P122" s="35">
        <f>P118-P121</f>
        <v/>
      </c>
      <c r="Q122" s="35">
        <f>Q118-Q121</f>
        <v/>
      </c>
      <c r="R122" s="35">
        <f>R118-R121</f>
        <v/>
      </c>
      <c r="S122" s="35">
        <f>S118-S121</f>
        <v/>
      </c>
      <c r="T122" s="35">
        <f>T118-T121</f>
        <v/>
      </c>
      <c r="U122" s="35">
        <f>U118-U121</f>
        <v/>
      </c>
      <c r="V122" s="35">
        <f>V118-V121</f>
        <v/>
      </c>
      <c r="W122" s="35">
        <f>W118-W121</f>
        <v/>
      </c>
      <c r="X122" s="35">
        <f>X118-X121</f>
        <v/>
      </c>
      <c r="Y122" s="35">
        <f>Y118-Y121</f>
        <v/>
      </c>
      <c r="Z122" s="35">
        <f>Z118-Z121</f>
        <v/>
      </c>
      <c r="AA122" s="35">
        <f>AA118-AA121</f>
        <v/>
      </c>
      <c r="AB122" s="35">
        <f>AB118-AB121</f>
        <v/>
      </c>
      <c r="AC122" s="35">
        <f>AC118-AC121</f>
        <v/>
      </c>
      <c r="AD122" s="35">
        <f>AD118-AD121</f>
        <v/>
      </c>
      <c r="AE122" s="35">
        <f>AE118-AE121</f>
        <v/>
      </c>
      <c r="AF122" s="35">
        <f>AF118-AF121</f>
        <v/>
      </c>
      <c r="AG122" s="35">
        <f>AG118-AG121</f>
        <v/>
      </c>
      <c r="AH122" s="35">
        <f>AH118-AH121</f>
        <v/>
      </c>
      <c r="AI122" s="35">
        <f>AI118-AI121</f>
        <v/>
      </c>
      <c r="AJ122" s="35">
        <f>AJ118-AJ121</f>
        <v/>
      </c>
      <c r="AK122" s="35">
        <f>AK118-AK121</f>
        <v/>
      </c>
      <c r="AL122" s="35">
        <f>AL118-AL121</f>
        <v/>
      </c>
      <c r="AM122" s="35">
        <f>AM118-AM121</f>
        <v/>
      </c>
      <c r="AN122" s="35">
        <f>AN118-AN121</f>
        <v/>
      </c>
      <c r="AO122" s="35">
        <f>AO118-AO121</f>
        <v/>
      </c>
      <c r="AP122" s="35">
        <f>AP118-AP121</f>
        <v/>
      </c>
      <c r="AQ122" s="35">
        <f>AQ118-AQ121</f>
        <v/>
      </c>
      <c r="AR122" s="35">
        <f>AR118-AR121</f>
        <v/>
      </c>
      <c r="AS122" s="35">
        <f>AS118-AS121</f>
        <v/>
      </c>
      <c r="AT122" s="35">
        <f>AT118-AT121</f>
        <v/>
      </c>
      <c r="AU122" s="35">
        <f>AU118-AU121</f>
        <v/>
      </c>
      <c r="AV122" s="35">
        <f>AV118-AV121</f>
        <v/>
      </c>
      <c r="AW122" s="35">
        <f>AW118-AW121</f>
        <v/>
      </c>
      <c r="AX122" s="35">
        <f>AX118-AX121</f>
        <v/>
      </c>
      <c r="AY122" s="35">
        <f>AY118-AY121</f>
        <v/>
      </c>
      <c r="AZ122" s="35">
        <f>AZ118-AZ121</f>
        <v/>
      </c>
      <c r="BA122" s="35">
        <f>BA118-BA121</f>
        <v/>
      </c>
      <c r="BB122" s="35">
        <f>BB118-BB121</f>
        <v/>
      </c>
      <c r="BC122" s="35">
        <f>BC118-BC121</f>
        <v/>
      </c>
      <c r="BD122" s="35">
        <f>BD118-BD121</f>
        <v/>
      </c>
    </row>
    <row r="123">
      <c r="A123" s="4" t="inlineStr">
        <is>
          <t>Stock carried out</t>
        </is>
      </c>
      <c r="B123" s="2" t="inlineStr">
        <is>
          <t>lb</t>
        </is>
      </c>
      <c r="E123" s="35">
        <f>E110-E116-E122</f>
        <v/>
      </c>
      <c r="F123" s="35">
        <f>F110-F116-F122</f>
        <v/>
      </c>
      <c r="G123" s="35">
        <f>G110-G116-G122</f>
        <v/>
      </c>
      <c r="H123" s="35">
        <f>H110-H116-H122</f>
        <v/>
      </c>
      <c r="I123" s="35">
        <f>I110-I116-I122</f>
        <v/>
      </c>
      <c r="J123" s="35">
        <f>J110-J116-J122</f>
        <v/>
      </c>
      <c r="K123" s="35">
        <f>K110-K116-K122</f>
        <v/>
      </c>
      <c r="L123" s="35">
        <f>L110-L116-L122</f>
        <v/>
      </c>
      <c r="M123" s="35">
        <f>M110-M116-M122</f>
        <v/>
      </c>
      <c r="N123" s="35">
        <f>N110-N116-N122</f>
        <v/>
      </c>
      <c r="O123" s="35">
        <f>O110-O116-O122</f>
        <v/>
      </c>
      <c r="P123" s="35">
        <f>P110-P116-P122</f>
        <v/>
      </c>
      <c r="Q123" s="35">
        <f>Q110-Q116-Q122</f>
        <v/>
      </c>
      <c r="R123" s="35">
        <f>R110-R116-R122</f>
        <v/>
      </c>
      <c r="S123" s="35">
        <f>S110-S116-S122</f>
        <v/>
      </c>
      <c r="T123" s="35">
        <f>T110-T116-T122</f>
        <v/>
      </c>
      <c r="U123" s="35">
        <f>U110-U116-U122</f>
        <v/>
      </c>
      <c r="V123" s="35">
        <f>V110-V116-V122</f>
        <v/>
      </c>
      <c r="W123" s="35">
        <f>W110-W116-W122</f>
        <v/>
      </c>
      <c r="X123" s="35">
        <f>X110-X116-X122</f>
        <v/>
      </c>
      <c r="Y123" s="35">
        <f>Y110-Y116-Y122</f>
        <v/>
      </c>
      <c r="Z123" s="35">
        <f>Z110-Z116-Z122</f>
        <v/>
      </c>
      <c r="AA123" s="35">
        <f>AA110-AA116-AA122</f>
        <v/>
      </c>
      <c r="AB123" s="35">
        <f>AB110-AB116-AB122</f>
        <v/>
      </c>
      <c r="AC123" s="35">
        <f>AC110-AC116-AC122</f>
        <v/>
      </c>
      <c r="AD123" s="35">
        <f>AD110-AD116-AD122</f>
        <v/>
      </c>
      <c r="AE123" s="35">
        <f>AE110-AE116-AE122</f>
        <v/>
      </c>
      <c r="AF123" s="35">
        <f>AF110-AF116-AF122</f>
        <v/>
      </c>
      <c r="AG123" s="35">
        <f>AG110-AG116-AG122</f>
        <v/>
      </c>
      <c r="AH123" s="35">
        <f>AH110-AH116-AH122</f>
        <v/>
      </c>
      <c r="AI123" s="35">
        <f>AI110-AI116-AI122</f>
        <v/>
      </c>
      <c r="AJ123" s="35">
        <f>AJ110-AJ116-AJ122</f>
        <v/>
      </c>
      <c r="AK123" s="35">
        <f>AK110-AK116-AK122</f>
        <v/>
      </c>
      <c r="AL123" s="35">
        <f>AL110-AL116-AL122</f>
        <v/>
      </c>
      <c r="AM123" s="35">
        <f>AM110-AM116-AM122</f>
        <v/>
      </c>
      <c r="AN123" s="35">
        <f>AN110-AN116-AN122</f>
        <v/>
      </c>
      <c r="AO123" s="35">
        <f>AO110-AO116-AO122</f>
        <v/>
      </c>
      <c r="AP123" s="35">
        <f>AP110-AP116-AP122</f>
        <v/>
      </c>
      <c r="AQ123" s="35">
        <f>AQ110-AQ116-AQ122</f>
        <v/>
      </c>
      <c r="AR123" s="35">
        <f>AR110-AR116-AR122</f>
        <v/>
      </c>
      <c r="AS123" s="35">
        <f>AS110-AS116-AS122</f>
        <v/>
      </c>
      <c r="AT123" s="35">
        <f>AT110-AT116-AT122</f>
        <v/>
      </c>
      <c r="AU123" s="35">
        <f>AU110-AU116-AU122</f>
        <v/>
      </c>
      <c r="AV123" s="35">
        <f>AV110-AV116-AV122</f>
        <v/>
      </c>
      <c r="AW123" s="35">
        <f>AW110-AW116-AW122</f>
        <v/>
      </c>
      <c r="AX123" s="35">
        <f>AX110-AX116-AX122</f>
        <v/>
      </c>
      <c r="AY123" s="35">
        <f>AY110-AY116-AY122</f>
        <v/>
      </c>
      <c r="AZ123" s="35">
        <f>AZ110-AZ116-AZ122</f>
        <v/>
      </c>
      <c r="BA123" s="35">
        <f>BA110-BA116-BA122</f>
        <v/>
      </c>
      <c r="BB123" s="35">
        <f>BB110-BB116-BB122</f>
        <v/>
      </c>
      <c r="BC123" s="35">
        <f>BC110-BC116-BC122</f>
        <v/>
      </c>
      <c r="BD123" s="35">
        <f>BD110-BD116-BD122</f>
        <v/>
      </c>
    </row>
    <row r="124">
      <c r="A124" s="2" t="inlineStr">
        <is>
          <t xml:space="preserve">   ^ subtracts what LEAVES, not what was offered — so 'returned to store' is</t>
        </is>
      </c>
    </row>
    <row r="125">
      <c r="A125" s="2" t="inlineStr">
        <is>
          <t xml:space="preserve">     never taken out at all, and shows up as next week's carried in.</t>
        </is>
      </c>
    </row>
    <row r="126">
      <c r="A126" s="25" t="inlineStr">
        <is>
          <t>Most stock its shelf life allows</t>
        </is>
      </c>
      <c r="B126" s="2" t="inlineStr">
        <is>
          <t>lb</t>
        </is>
      </c>
      <c r="E126" s="35">
        <f>SUMPRODUCT(($E$106:$BD$106&gt;=1-$F$11+2)*($E$106:$BD$106&lt;=1)*$E$107:$BD$107*POWER(1-$G$11,($E$106:$BD$106&lt;=1)*(1-$E$106:$BD$106)))</f>
        <v/>
      </c>
      <c r="F126" s="35">
        <f>SUMPRODUCT(($E$106:$BD$106&gt;=2-$F$11+2)*($E$106:$BD$106&lt;=2)*$E$107:$BD$107*POWER(1-$G$11,($E$106:$BD$106&lt;=2)*(2-$E$106:$BD$106)))</f>
        <v/>
      </c>
      <c r="G126" s="35">
        <f>SUMPRODUCT(($E$106:$BD$106&gt;=3-$F$11+2)*($E$106:$BD$106&lt;=3)*$E$107:$BD$107*POWER(1-$G$11,($E$106:$BD$106&lt;=3)*(3-$E$106:$BD$106)))</f>
        <v/>
      </c>
      <c r="H126" s="35">
        <f>SUMPRODUCT(($E$106:$BD$106&gt;=4-$F$11+2)*($E$106:$BD$106&lt;=4)*$E$107:$BD$107*POWER(1-$G$11,($E$106:$BD$106&lt;=4)*(4-$E$106:$BD$106)))</f>
        <v/>
      </c>
      <c r="I126" s="35">
        <f>SUMPRODUCT(($E$106:$BD$106&gt;=5-$F$11+2)*($E$106:$BD$106&lt;=5)*$E$107:$BD$107*POWER(1-$G$11,($E$106:$BD$106&lt;=5)*(5-$E$106:$BD$106)))</f>
        <v/>
      </c>
      <c r="J126" s="35">
        <f>SUMPRODUCT(($E$106:$BD$106&gt;=6-$F$11+2)*($E$106:$BD$106&lt;=6)*$E$107:$BD$107*POWER(1-$G$11,($E$106:$BD$106&lt;=6)*(6-$E$106:$BD$106)))</f>
        <v/>
      </c>
      <c r="K126" s="35">
        <f>SUMPRODUCT(($E$106:$BD$106&gt;=7-$F$11+2)*($E$106:$BD$106&lt;=7)*$E$107:$BD$107*POWER(1-$G$11,($E$106:$BD$106&lt;=7)*(7-$E$106:$BD$106)))</f>
        <v/>
      </c>
      <c r="L126" s="35">
        <f>SUMPRODUCT(($E$106:$BD$106&gt;=8-$F$11+2)*($E$106:$BD$106&lt;=8)*$E$107:$BD$107*POWER(1-$G$11,($E$106:$BD$106&lt;=8)*(8-$E$106:$BD$106)))</f>
        <v/>
      </c>
      <c r="M126" s="35">
        <f>SUMPRODUCT(($E$106:$BD$106&gt;=9-$F$11+2)*($E$106:$BD$106&lt;=9)*$E$107:$BD$107*POWER(1-$G$11,($E$106:$BD$106&lt;=9)*(9-$E$106:$BD$106)))</f>
        <v/>
      </c>
      <c r="N126" s="35">
        <f>SUMPRODUCT(($E$106:$BD$106&gt;=10-$F$11+2)*($E$106:$BD$106&lt;=10)*$E$107:$BD$107*POWER(1-$G$11,($E$106:$BD$106&lt;=10)*(10-$E$106:$BD$106)))</f>
        <v/>
      </c>
      <c r="O126" s="35">
        <f>SUMPRODUCT(($E$106:$BD$106&gt;=11-$F$11+2)*($E$106:$BD$106&lt;=11)*$E$107:$BD$107*POWER(1-$G$11,($E$106:$BD$106&lt;=11)*(11-$E$106:$BD$106)))</f>
        <v/>
      </c>
      <c r="P126" s="35">
        <f>SUMPRODUCT(($E$106:$BD$106&gt;=12-$F$11+2)*($E$106:$BD$106&lt;=12)*$E$107:$BD$107*POWER(1-$G$11,($E$106:$BD$106&lt;=12)*(12-$E$106:$BD$106)))</f>
        <v/>
      </c>
      <c r="Q126" s="35">
        <f>SUMPRODUCT(($E$106:$BD$106&gt;=13-$F$11+2)*($E$106:$BD$106&lt;=13)*$E$107:$BD$107*POWER(1-$G$11,($E$106:$BD$106&lt;=13)*(13-$E$106:$BD$106)))</f>
        <v/>
      </c>
      <c r="R126" s="35">
        <f>SUMPRODUCT(($E$106:$BD$106&gt;=14-$F$11+2)*($E$106:$BD$106&lt;=14)*$E$107:$BD$107*POWER(1-$G$11,($E$106:$BD$106&lt;=14)*(14-$E$106:$BD$106)))</f>
        <v/>
      </c>
      <c r="S126" s="35">
        <f>SUMPRODUCT(($E$106:$BD$106&gt;=15-$F$11+2)*($E$106:$BD$106&lt;=15)*$E$107:$BD$107*POWER(1-$G$11,($E$106:$BD$106&lt;=15)*(15-$E$106:$BD$106)))</f>
        <v/>
      </c>
      <c r="T126" s="35">
        <f>SUMPRODUCT(($E$106:$BD$106&gt;=16-$F$11+2)*($E$106:$BD$106&lt;=16)*$E$107:$BD$107*POWER(1-$G$11,($E$106:$BD$106&lt;=16)*(16-$E$106:$BD$106)))</f>
        <v/>
      </c>
      <c r="U126" s="35">
        <f>SUMPRODUCT(($E$106:$BD$106&gt;=17-$F$11+2)*($E$106:$BD$106&lt;=17)*$E$107:$BD$107*POWER(1-$G$11,($E$106:$BD$106&lt;=17)*(17-$E$106:$BD$106)))</f>
        <v/>
      </c>
      <c r="V126" s="35">
        <f>SUMPRODUCT(($E$106:$BD$106&gt;=18-$F$11+2)*($E$106:$BD$106&lt;=18)*$E$107:$BD$107*POWER(1-$G$11,($E$106:$BD$106&lt;=18)*(18-$E$106:$BD$106)))</f>
        <v/>
      </c>
      <c r="W126" s="35">
        <f>SUMPRODUCT(($E$106:$BD$106&gt;=19-$F$11+2)*($E$106:$BD$106&lt;=19)*$E$107:$BD$107*POWER(1-$G$11,($E$106:$BD$106&lt;=19)*(19-$E$106:$BD$106)))</f>
        <v/>
      </c>
      <c r="X126" s="35">
        <f>SUMPRODUCT(($E$106:$BD$106&gt;=20-$F$11+2)*($E$106:$BD$106&lt;=20)*$E$107:$BD$107*POWER(1-$G$11,($E$106:$BD$106&lt;=20)*(20-$E$106:$BD$106)))</f>
        <v/>
      </c>
      <c r="Y126" s="35">
        <f>SUMPRODUCT(($E$106:$BD$106&gt;=21-$F$11+2)*($E$106:$BD$106&lt;=21)*$E$107:$BD$107*POWER(1-$G$11,($E$106:$BD$106&lt;=21)*(21-$E$106:$BD$106)))</f>
        <v/>
      </c>
      <c r="Z126" s="35">
        <f>SUMPRODUCT(($E$106:$BD$106&gt;=22-$F$11+2)*($E$106:$BD$106&lt;=22)*$E$107:$BD$107*POWER(1-$G$11,($E$106:$BD$106&lt;=22)*(22-$E$106:$BD$106)))</f>
        <v/>
      </c>
      <c r="AA126" s="35">
        <f>SUMPRODUCT(($E$106:$BD$106&gt;=23-$F$11+2)*($E$106:$BD$106&lt;=23)*$E$107:$BD$107*POWER(1-$G$11,($E$106:$BD$106&lt;=23)*(23-$E$106:$BD$106)))</f>
        <v/>
      </c>
      <c r="AB126" s="35">
        <f>SUMPRODUCT(($E$106:$BD$106&gt;=24-$F$11+2)*($E$106:$BD$106&lt;=24)*$E$107:$BD$107*POWER(1-$G$11,($E$106:$BD$106&lt;=24)*(24-$E$106:$BD$106)))</f>
        <v/>
      </c>
      <c r="AC126" s="35">
        <f>SUMPRODUCT(($E$106:$BD$106&gt;=25-$F$11+2)*($E$106:$BD$106&lt;=25)*$E$107:$BD$107*POWER(1-$G$11,($E$106:$BD$106&lt;=25)*(25-$E$106:$BD$106)))</f>
        <v/>
      </c>
      <c r="AD126" s="35">
        <f>SUMPRODUCT(($E$106:$BD$106&gt;=26-$F$11+2)*($E$106:$BD$106&lt;=26)*$E$107:$BD$107*POWER(1-$G$11,($E$106:$BD$106&lt;=26)*(26-$E$106:$BD$106)))</f>
        <v/>
      </c>
      <c r="AE126" s="35">
        <f>SUMPRODUCT(($E$106:$BD$106&gt;=27-$F$11+2)*($E$106:$BD$106&lt;=27)*$E$107:$BD$107*POWER(1-$G$11,($E$106:$BD$106&lt;=27)*(27-$E$106:$BD$106)))</f>
        <v/>
      </c>
      <c r="AF126" s="35">
        <f>SUMPRODUCT(($E$106:$BD$106&gt;=28-$F$11+2)*($E$106:$BD$106&lt;=28)*$E$107:$BD$107*POWER(1-$G$11,($E$106:$BD$106&lt;=28)*(28-$E$106:$BD$106)))</f>
        <v/>
      </c>
      <c r="AG126" s="35">
        <f>SUMPRODUCT(($E$106:$BD$106&gt;=29-$F$11+2)*($E$106:$BD$106&lt;=29)*$E$107:$BD$107*POWER(1-$G$11,($E$106:$BD$106&lt;=29)*(29-$E$106:$BD$106)))</f>
        <v/>
      </c>
      <c r="AH126" s="35">
        <f>SUMPRODUCT(($E$106:$BD$106&gt;=30-$F$11+2)*($E$106:$BD$106&lt;=30)*$E$107:$BD$107*POWER(1-$G$11,($E$106:$BD$106&lt;=30)*(30-$E$106:$BD$106)))</f>
        <v/>
      </c>
      <c r="AI126" s="35">
        <f>SUMPRODUCT(($E$106:$BD$106&gt;=31-$F$11+2)*($E$106:$BD$106&lt;=31)*$E$107:$BD$107*POWER(1-$G$11,($E$106:$BD$106&lt;=31)*(31-$E$106:$BD$106)))</f>
        <v/>
      </c>
      <c r="AJ126" s="35">
        <f>SUMPRODUCT(($E$106:$BD$106&gt;=32-$F$11+2)*($E$106:$BD$106&lt;=32)*$E$107:$BD$107*POWER(1-$G$11,($E$106:$BD$106&lt;=32)*(32-$E$106:$BD$106)))</f>
        <v/>
      </c>
      <c r="AK126" s="35">
        <f>SUMPRODUCT(($E$106:$BD$106&gt;=33-$F$11+2)*($E$106:$BD$106&lt;=33)*$E$107:$BD$107*POWER(1-$G$11,($E$106:$BD$106&lt;=33)*(33-$E$106:$BD$106)))</f>
        <v/>
      </c>
      <c r="AL126" s="35">
        <f>SUMPRODUCT(($E$106:$BD$106&gt;=34-$F$11+2)*($E$106:$BD$106&lt;=34)*$E$107:$BD$107*POWER(1-$G$11,($E$106:$BD$106&lt;=34)*(34-$E$106:$BD$106)))</f>
        <v/>
      </c>
      <c r="AM126" s="35">
        <f>SUMPRODUCT(($E$106:$BD$106&gt;=35-$F$11+2)*($E$106:$BD$106&lt;=35)*$E$107:$BD$107*POWER(1-$G$11,($E$106:$BD$106&lt;=35)*(35-$E$106:$BD$106)))</f>
        <v/>
      </c>
      <c r="AN126" s="35">
        <f>SUMPRODUCT(($E$106:$BD$106&gt;=36-$F$11+2)*($E$106:$BD$106&lt;=36)*$E$107:$BD$107*POWER(1-$G$11,($E$106:$BD$106&lt;=36)*(36-$E$106:$BD$106)))</f>
        <v/>
      </c>
      <c r="AO126" s="35">
        <f>SUMPRODUCT(($E$106:$BD$106&gt;=37-$F$11+2)*($E$106:$BD$106&lt;=37)*$E$107:$BD$107*POWER(1-$G$11,($E$106:$BD$106&lt;=37)*(37-$E$106:$BD$106)))</f>
        <v/>
      </c>
      <c r="AP126" s="35">
        <f>SUMPRODUCT(($E$106:$BD$106&gt;=38-$F$11+2)*($E$106:$BD$106&lt;=38)*$E$107:$BD$107*POWER(1-$G$11,($E$106:$BD$106&lt;=38)*(38-$E$106:$BD$106)))</f>
        <v/>
      </c>
      <c r="AQ126" s="35">
        <f>SUMPRODUCT(($E$106:$BD$106&gt;=39-$F$11+2)*($E$106:$BD$106&lt;=39)*$E$107:$BD$107*POWER(1-$G$11,($E$106:$BD$106&lt;=39)*(39-$E$106:$BD$106)))</f>
        <v/>
      </c>
      <c r="AR126" s="35">
        <f>SUMPRODUCT(($E$106:$BD$106&gt;=40-$F$11+2)*($E$106:$BD$106&lt;=40)*$E$107:$BD$107*POWER(1-$G$11,($E$106:$BD$106&lt;=40)*(40-$E$106:$BD$106)))</f>
        <v/>
      </c>
      <c r="AS126" s="35">
        <f>SUMPRODUCT(($E$106:$BD$106&gt;=41-$F$11+2)*($E$106:$BD$106&lt;=41)*$E$107:$BD$107*POWER(1-$G$11,($E$106:$BD$106&lt;=41)*(41-$E$106:$BD$106)))</f>
        <v/>
      </c>
      <c r="AT126" s="35">
        <f>SUMPRODUCT(($E$106:$BD$106&gt;=42-$F$11+2)*($E$106:$BD$106&lt;=42)*$E$107:$BD$107*POWER(1-$G$11,($E$106:$BD$106&lt;=42)*(42-$E$106:$BD$106)))</f>
        <v/>
      </c>
      <c r="AU126" s="35">
        <f>SUMPRODUCT(($E$106:$BD$106&gt;=43-$F$11+2)*($E$106:$BD$106&lt;=43)*$E$107:$BD$107*POWER(1-$G$11,($E$106:$BD$106&lt;=43)*(43-$E$106:$BD$106)))</f>
        <v/>
      </c>
      <c r="AV126" s="35">
        <f>SUMPRODUCT(($E$106:$BD$106&gt;=44-$F$11+2)*($E$106:$BD$106&lt;=44)*$E$107:$BD$107*POWER(1-$G$11,($E$106:$BD$106&lt;=44)*(44-$E$106:$BD$106)))</f>
        <v/>
      </c>
      <c r="AW126" s="35">
        <f>SUMPRODUCT(($E$106:$BD$106&gt;=45-$F$11+2)*($E$106:$BD$106&lt;=45)*$E$107:$BD$107*POWER(1-$G$11,($E$106:$BD$106&lt;=45)*(45-$E$106:$BD$106)))</f>
        <v/>
      </c>
      <c r="AX126" s="35">
        <f>SUMPRODUCT(($E$106:$BD$106&gt;=46-$F$11+2)*($E$106:$BD$106&lt;=46)*$E$107:$BD$107*POWER(1-$G$11,($E$106:$BD$106&lt;=46)*(46-$E$106:$BD$106)))</f>
        <v/>
      </c>
      <c r="AY126" s="35">
        <f>SUMPRODUCT(($E$106:$BD$106&gt;=47-$F$11+2)*($E$106:$BD$106&lt;=47)*$E$107:$BD$107*POWER(1-$G$11,($E$106:$BD$106&lt;=47)*(47-$E$106:$BD$106)))</f>
        <v/>
      </c>
      <c r="AZ126" s="35">
        <f>SUMPRODUCT(($E$106:$BD$106&gt;=48-$F$11+2)*($E$106:$BD$106&lt;=48)*$E$107:$BD$107*POWER(1-$G$11,($E$106:$BD$106&lt;=48)*(48-$E$106:$BD$106)))</f>
        <v/>
      </c>
      <c r="BA126" s="35">
        <f>SUMPRODUCT(($E$106:$BD$106&gt;=49-$F$11+2)*($E$106:$BD$106&lt;=49)*$E$107:$BD$107*POWER(1-$G$11,($E$106:$BD$106&lt;=49)*(49-$E$106:$BD$106)))</f>
        <v/>
      </c>
      <c r="BB126" s="35">
        <f>SUMPRODUCT(($E$106:$BD$106&gt;=50-$F$11+2)*($E$106:$BD$106&lt;=50)*$E$107:$BD$107*POWER(1-$G$11,($E$106:$BD$106&lt;=50)*(50-$E$106:$BD$106)))</f>
        <v/>
      </c>
      <c r="BC126" s="35">
        <f>SUMPRODUCT(($E$106:$BD$106&gt;=51-$F$11+2)*($E$106:$BD$106&lt;=51)*$E$107:$BD$107*POWER(1-$G$11,($E$106:$BD$106&lt;=51)*(51-$E$106:$BD$106)))</f>
        <v/>
      </c>
      <c r="BD126" s="35">
        <f>SUMPRODUCT(($E$106:$BD$106&gt;=52-$F$11+2)*($E$106:$BD$106&lt;=52)*$E$107:$BD$107*POWER(1-$G$11,($E$106:$BD$106&lt;=52)*(52-$E$106:$BD$106)))</f>
        <v/>
      </c>
    </row>
    <row r="127">
      <c r="A127" s="2" t="inlineStr">
        <is>
          <t xml:space="preserve">   Stock carried out must stay at or below this row.</t>
        </is>
      </c>
    </row>
    <row r="128">
      <c r="A128" s="25" t="inlineStr">
        <is>
          <t>Growing cost this week</t>
        </is>
      </c>
      <c r="B128" s="2" t="inlineStr">
        <is>
          <t>$</t>
        </is>
      </c>
      <c r="E128" s="35">
        <f>SUMPRODUCT(($B$28:$B$95="Spinach")*(E$28:E$95="P")*$C$28:$C$95)*$K$11+SUMPRODUCT(($B$28:$B$95="Spinach")*(E$28:E$95="G")*$C$28:$C$95)*$L$11+SUMPRODUCT(($B$28:$B$95="Spinach")*(E$28:E$95="H")*$C$28:$C$95)*$M$11+SUMPRODUCT(($B$28:$B$95="Spinach")*($BG$28:$BG$95=1)*$C$28:$C$95)*$H$11</f>
        <v/>
      </c>
      <c r="F128" s="35">
        <f>SUMPRODUCT(($B$28:$B$95="Spinach")*(F$28:F$95="P")*$C$28:$C$95)*$K$11+SUMPRODUCT(($B$28:$B$95="Spinach")*(F$28:F$95="G")*$C$28:$C$95)*$L$11+SUMPRODUCT(($B$28:$B$95="Spinach")*(F$28:F$95="H")*$C$28:$C$95)*$M$11+SUMPRODUCT(($B$28:$B$95="Spinach")*($BG$28:$BG$95=2)*$C$28:$C$95)*$H$11</f>
        <v/>
      </c>
      <c r="G128" s="35">
        <f>SUMPRODUCT(($B$28:$B$95="Spinach")*(G$28:G$95="P")*$C$28:$C$95)*$K$11+SUMPRODUCT(($B$28:$B$95="Spinach")*(G$28:G$95="G")*$C$28:$C$95)*$L$11+SUMPRODUCT(($B$28:$B$95="Spinach")*(G$28:G$95="H")*$C$28:$C$95)*$M$11+SUMPRODUCT(($B$28:$B$95="Spinach")*($BG$28:$BG$95=3)*$C$28:$C$95)*$H$11</f>
        <v/>
      </c>
      <c r="H128" s="35">
        <f>SUMPRODUCT(($B$28:$B$95="Spinach")*(H$28:H$95="P")*$C$28:$C$95)*$K$11+SUMPRODUCT(($B$28:$B$95="Spinach")*(H$28:H$95="G")*$C$28:$C$95)*$L$11+SUMPRODUCT(($B$28:$B$95="Spinach")*(H$28:H$95="H")*$C$28:$C$95)*$M$11+SUMPRODUCT(($B$28:$B$95="Spinach")*($BG$28:$BG$95=4)*$C$28:$C$95)*$H$11</f>
        <v/>
      </c>
      <c r="I128" s="35">
        <f>SUMPRODUCT(($B$28:$B$95="Spinach")*(I$28:I$95="P")*$C$28:$C$95)*$K$11+SUMPRODUCT(($B$28:$B$95="Spinach")*(I$28:I$95="G")*$C$28:$C$95)*$L$11+SUMPRODUCT(($B$28:$B$95="Spinach")*(I$28:I$95="H")*$C$28:$C$95)*$M$11+SUMPRODUCT(($B$28:$B$95="Spinach")*($BG$28:$BG$95=5)*$C$28:$C$95)*$H$11</f>
        <v/>
      </c>
      <c r="J128" s="35">
        <f>SUMPRODUCT(($B$28:$B$95="Spinach")*(J$28:J$95="P")*$C$28:$C$95)*$K$11+SUMPRODUCT(($B$28:$B$95="Spinach")*(J$28:J$95="G")*$C$28:$C$95)*$L$11+SUMPRODUCT(($B$28:$B$95="Spinach")*(J$28:J$95="H")*$C$28:$C$95)*$M$11+SUMPRODUCT(($B$28:$B$95="Spinach")*($BG$28:$BG$95=6)*$C$28:$C$95)*$H$11</f>
        <v/>
      </c>
      <c r="K128" s="35">
        <f>SUMPRODUCT(($B$28:$B$95="Spinach")*(K$28:K$95="P")*$C$28:$C$95)*$K$11+SUMPRODUCT(($B$28:$B$95="Spinach")*(K$28:K$95="G")*$C$28:$C$95)*$L$11+SUMPRODUCT(($B$28:$B$95="Spinach")*(K$28:K$95="H")*$C$28:$C$95)*$M$11+SUMPRODUCT(($B$28:$B$95="Spinach")*($BG$28:$BG$95=7)*$C$28:$C$95)*$H$11</f>
        <v/>
      </c>
      <c r="L128" s="35">
        <f>SUMPRODUCT(($B$28:$B$95="Spinach")*(L$28:L$95="P")*$C$28:$C$95)*$K$11+SUMPRODUCT(($B$28:$B$95="Spinach")*(L$28:L$95="G")*$C$28:$C$95)*$L$11+SUMPRODUCT(($B$28:$B$95="Spinach")*(L$28:L$95="H")*$C$28:$C$95)*$M$11+SUMPRODUCT(($B$28:$B$95="Spinach")*($BG$28:$BG$95=8)*$C$28:$C$95)*$H$11</f>
        <v/>
      </c>
      <c r="M128" s="35">
        <f>SUMPRODUCT(($B$28:$B$95="Spinach")*(M$28:M$95="P")*$C$28:$C$95)*$K$11+SUMPRODUCT(($B$28:$B$95="Spinach")*(M$28:M$95="G")*$C$28:$C$95)*$L$11+SUMPRODUCT(($B$28:$B$95="Spinach")*(M$28:M$95="H")*$C$28:$C$95)*$M$11+SUMPRODUCT(($B$28:$B$95="Spinach")*($BG$28:$BG$95=9)*$C$28:$C$95)*$H$11</f>
        <v/>
      </c>
      <c r="N128" s="35">
        <f>SUMPRODUCT(($B$28:$B$95="Spinach")*(N$28:N$95="P")*$C$28:$C$95)*$K$11+SUMPRODUCT(($B$28:$B$95="Spinach")*(N$28:N$95="G")*$C$28:$C$95)*$L$11+SUMPRODUCT(($B$28:$B$95="Spinach")*(N$28:N$95="H")*$C$28:$C$95)*$M$11+SUMPRODUCT(($B$28:$B$95="Spinach")*($BG$28:$BG$95=10)*$C$28:$C$95)*$H$11</f>
        <v/>
      </c>
      <c r="O128" s="35">
        <f>SUMPRODUCT(($B$28:$B$95="Spinach")*(O$28:O$95="P")*$C$28:$C$95)*$K$11+SUMPRODUCT(($B$28:$B$95="Spinach")*(O$28:O$95="G")*$C$28:$C$95)*$L$11+SUMPRODUCT(($B$28:$B$95="Spinach")*(O$28:O$95="H")*$C$28:$C$95)*$M$11+SUMPRODUCT(($B$28:$B$95="Spinach")*($BG$28:$BG$95=11)*$C$28:$C$95)*$H$11</f>
        <v/>
      </c>
      <c r="P128" s="35">
        <f>SUMPRODUCT(($B$28:$B$95="Spinach")*(P$28:P$95="P")*$C$28:$C$95)*$K$11+SUMPRODUCT(($B$28:$B$95="Spinach")*(P$28:P$95="G")*$C$28:$C$95)*$L$11+SUMPRODUCT(($B$28:$B$95="Spinach")*(P$28:P$95="H")*$C$28:$C$95)*$M$11+SUMPRODUCT(($B$28:$B$95="Spinach")*($BG$28:$BG$95=12)*$C$28:$C$95)*$H$11</f>
        <v/>
      </c>
      <c r="Q128" s="35">
        <f>SUMPRODUCT(($B$28:$B$95="Spinach")*(Q$28:Q$95="P")*$C$28:$C$95)*$K$11+SUMPRODUCT(($B$28:$B$95="Spinach")*(Q$28:Q$95="G")*$C$28:$C$95)*$L$11+SUMPRODUCT(($B$28:$B$95="Spinach")*(Q$28:Q$95="H")*$C$28:$C$95)*$M$11+SUMPRODUCT(($B$28:$B$95="Spinach")*($BG$28:$BG$95=13)*$C$28:$C$95)*$H$11</f>
        <v/>
      </c>
      <c r="R128" s="35">
        <f>SUMPRODUCT(($B$28:$B$95="Spinach")*(R$28:R$95="P")*$C$28:$C$95)*$K$11+SUMPRODUCT(($B$28:$B$95="Spinach")*(R$28:R$95="G")*$C$28:$C$95)*$L$11+SUMPRODUCT(($B$28:$B$95="Spinach")*(R$28:R$95="H")*$C$28:$C$95)*$M$11+SUMPRODUCT(($B$28:$B$95="Spinach")*($BG$28:$BG$95=14)*$C$28:$C$95)*$H$11</f>
        <v/>
      </c>
      <c r="S128" s="35">
        <f>SUMPRODUCT(($B$28:$B$95="Spinach")*(S$28:S$95="P")*$C$28:$C$95)*$K$11+SUMPRODUCT(($B$28:$B$95="Spinach")*(S$28:S$95="G")*$C$28:$C$95)*$L$11+SUMPRODUCT(($B$28:$B$95="Spinach")*(S$28:S$95="H")*$C$28:$C$95)*$M$11+SUMPRODUCT(($B$28:$B$95="Spinach")*($BG$28:$BG$95=15)*$C$28:$C$95)*$H$11</f>
        <v/>
      </c>
      <c r="T128" s="35">
        <f>SUMPRODUCT(($B$28:$B$95="Spinach")*(T$28:T$95="P")*$C$28:$C$95)*$K$11+SUMPRODUCT(($B$28:$B$95="Spinach")*(T$28:T$95="G")*$C$28:$C$95)*$L$11+SUMPRODUCT(($B$28:$B$95="Spinach")*(T$28:T$95="H")*$C$28:$C$95)*$M$11+SUMPRODUCT(($B$28:$B$95="Spinach")*($BG$28:$BG$95=16)*$C$28:$C$95)*$H$11</f>
        <v/>
      </c>
      <c r="U128" s="35">
        <f>SUMPRODUCT(($B$28:$B$95="Spinach")*(U$28:U$95="P")*$C$28:$C$95)*$K$11+SUMPRODUCT(($B$28:$B$95="Spinach")*(U$28:U$95="G")*$C$28:$C$95)*$L$11+SUMPRODUCT(($B$28:$B$95="Spinach")*(U$28:U$95="H")*$C$28:$C$95)*$M$11+SUMPRODUCT(($B$28:$B$95="Spinach")*($BG$28:$BG$95=17)*$C$28:$C$95)*$H$11</f>
        <v/>
      </c>
      <c r="V128" s="35">
        <f>SUMPRODUCT(($B$28:$B$95="Spinach")*(V$28:V$95="P")*$C$28:$C$95)*$K$11+SUMPRODUCT(($B$28:$B$95="Spinach")*(V$28:V$95="G")*$C$28:$C$95)*$L$11+SUMPRODUCT(($B$28:$B$95="Spinach")*(V$28:V$95="H")*$C$28:$C$95)*$M$11+SUMPRODUCT(($B$28:$B$95="Spinach")*($BG$28:$BG$95=18)*$C$28:$C$95)*$H$11</f>
        <v/>
      </c>
      <c r="W128" s="35">
        <f>SUMPRODUCT(($B$28:$B$95="Spinach")*(W$28:W$95="P")*$C$28:$C$95)*$K$11+SUMPRODUCT(($B$28:$B$95="Spinach")*(W$28:W$95="G")*$C$28:$C$95)*$L$11+SUMPRODUCT(($B$28:$B$95="Spinach")*(W$28:W$95="H")*$C$28:$C$95)*$M$11+SUMPRODUCT(($B$28:$B$95="Spinach")*($BG$28:$BG$95=19)*$C$28:$C$95)*$H$11</f>
        <v/>
      </c>
      <c r="X128" s="35">
        <f>SUMPRODUCT(($B$28:$B$95="Spinach")*(X$28:X$95="P")*$C$28:$C$95)*$K$11+SUMPRODUCT(($B$28:$B$95="Spinach")*(X$28:X$95="G")*$C$28:$C$95)*$L$11+SUMPRODUCT(($B$28:$B$95="Spinach")*(X$28:X$95="H")*$C$28:$C$95)*$M$11+SUMPRODUCT(($B$28:$B$95="Spinach")*($BG$28:$BG$95=20)*$C$28:$C$95)*$H$11</f>
        <v/>
      </c>
      <c r="Y128" s="35">
        <f>SUMPRODUCT(($B$28:$B$95="Spinach")*(Y$28:Y$95="P")*$C$28:$C$95)*$K$11+SUMPRODUCT(($B$28:$B$95="Spinach")*(Y$28:Y$95="G")*$C$28:$C$95)*$L$11+SUMPRODUCT(($B$28:$B$95="Spinach")*(Y$28:Y$95="H")*$C$28:$C$95)*$M$11+SUMPRODUCT(($B$28:$B$95="Spinach")*($BG$28:$BG$95=21)*$C$28:$C$95)*$H$11</f>
        <v/>
      </c>
      <c r="Z128" s="35">
        <f>SUMPRODUCT(($B$28:$B$95="Spinach")*(Z$28:Z$95="P")*$C$28:$C$95)*$K$11+SUMPRODUCT(($B$28:$B$95="Spinach")*(Z$28:Z$95="G")*$C$28:$C$95)*$L$11+SUMPRODUCT(($B$28:$B$95="Spinach")*(Z$28:Z$95="H")*$C$28:$C$95)*$M$11+SUMPRODUCT(($B$28:$B$95="Spinach")*($BG$28:$BG$95=22)*$C$28:$C$95)*$H$11</f>
        <v/>
      </c>
      <c r="AA128" s="35">
        <f>SUMPRODUCT(($B$28:$B$95="Spinach")*(AA$28:AA$95="P")*$C$28:$C$95)*$K$11+SUMPRODUCT(($B$28:$B$95="Spinach")*(AA$28:AA$95="G")*$C$28:$C$95)*$L$11+SUMPRODUCT(($B$28:$B$95="Spinach")*(AA$28:AA$95="H")*$C$28:$C$95)*$M$11+SUMPRODUCT(($B$28:$B$95="Spinach")*($BG$28:$BG$95=23)*$C$28:$C$95)*$H$11</f>
        <v/>
      </c>
      <c r="AB128" s="35">
        <f>SUMPRODUCT(($B$28:$B$95="Spinach")*(AB$28:AB$95="P")*$C$28:$C$95)*$K$11+SUMPRODUCT(($B$28:$B$95="Spinach")*(AB$28:AB$95="G")*$C$28:$C$95)*$L$11+SUMPRODUCT(($B$28:$B$95="Spinach")*(AB$28:AB$95="H")*$C$28:$C$95)*$M$11+SUMPRODUCT(($B$28:$B$95="Spinach")*($BG$28:$BG$95=24)*$C$28:$C$95)*$H$11</f>
        <v/>
      </c>
      <c r="AC128" s="35">
        <f>SUMPRODUCT(($B$28:$B$95="Spinach")*(AC$28:AC$95="P")*$C$28:$C$95)*$K$11+SUMPRODUCT(($B$28:$B$95="Spinach")*(AC$28:AC$95="G")*$C$28:$C$95)*$L$11+SUMPRODUCT(($B$28:$B$95="Spinach")*(AC$28:AC$95="H")*$C$28:$C$95)*$M$11+SUMPRODUCT(($B$28:$B$95="Spinach")*($BG$28:$BG$95=25)*$C$28:$C$95)*$H$11</f>
        <v/>
      </c>
      <c r="AD128" s="35">
        <f>SUMPRODUCT(($B$28:$B$95="Spinach")*(AD$28:AD$95="P")*$C$28:$C$95)*$K$11+SUMPRODUCT(($B$28:$B$95="Spinach")*(AD$28:AD$95="G")*$C$28:$C$95)*$L$11+SUMPRODUCT(($B$28:$B$95="Spinach")*(AD$28:AD$95="H")*$C$28:$C$95)*$M$11+SUMPRODUCT(($B$28:$B$95="Spinach")*($BG$28:$BG$95=26)*$C$28:$C$95)*$H$11</f>
        <v/>
      </c>
      <c r="AE128" s="35">
        <f>SUMPRODUCT(($B$28:$B$95="Spinach")*(AE$28:AE$95="P")*$C$28:$C$95)*$K$11+SUMPRODUCT(($B$28:$B$95="Spinach")*(AE$28:AE$95="G")*$C$28:$C$95)*$L$11+SUMPRODUCT(($B$28:$B$95="Spinach")*(AE$28:AE$95="H")*$C$28:$C$95)*$M$11+SUMPRODUCT(($B$28:$B$95="Spinach")*($BG$28:$BG$95=27)*$C$28:$C$95)*$H$11</f>
        <v/>
      </c>
      <c r="AF128" s="35">
        <f>SUMPRODUCT(($B$28:$B$95="Spinach")*(AF$28:AF$95="P")*$C$28:$C$95)*$K$11+SUMPRODUCT(($B$28:$B$95="Spinach")*(AF$28:AF$95="G")*$C$28:$C$95)*$L$11+SUMPRODUCT(($B$28:$B$95="Spinach")*(AF$28:AF$95="H")*$C$28:$C$95)*$M$11+SUMPRODUCT(($B$28:$B$95="Spinach")*($BG$28:$BG$95=28)*$C$28:$C$95)*$H$11</f>
        <v/>
      </c>
      <c r="AG128" s="35">
        <f>SUMPRODUCT(($B$28:$B$95="Spinach")*(AG$28:AG$95="P")*$C$28:$C$95)*$K$11+SUMPRODUCT(($B$28:$B$95="Spinach")*(AG$28:AG$95="G")*$C$28:$C$95)*$L$11+SUMPRODUCT(($B$28:$B$95="Spinach")*(AG$28:AG$95="H")*$C$28:$C$95)*$M$11+SUMPRODUCT(($B$28:$B$95="Spinach")*($BG$28:$BG$95=29)*$C$28:$C$95)*$H$11</f>
        <v/>
      </c>
      <c r="AH128" s="35">
        <f>SUMPRODUCT(($B$28:$B$95="Spinach")*(AH$28:AH$95="P")*$C$28:$C$95)*$K$11+SUMPRODUCT(($B$28:$B$95="Spinach")*(AH$28:AH$95="G")*$C$28:$C$95)*$L$11+SUMPRODUCT(($B$28:$B$95="Spinach")*(AH$28:AH$95="H")*$C$28:$C$95)*$M$11+SUMPRODUCT(($B$28:$B$95="Spinach")*($BG$28:$BG$95=30)*$C$28:$C$95)*$H$11</f>
        <v/>
      </c>
      <c r="AI128" s="35">
        <f>SUMPRODUCT(($B$28:$B$95="Spinach")*(AI$28:AI$95="P")*$C$28:$C$95)*$K$11+SUMPRODUCT(($B$28:$B$95="Spinach")*(AI$28:AI$95="G")*$C$28:$C$95)*$L$11+SUMPRODUCT(($B$28:$B$95="Spinach")*(AI$28:AI$95="H")*$C$28:$C$95)*$M$11+SUMPRODUCT(($B$28:$B$95="Spinach")*($BG$28:$BG$95=31)*$C$28:$C$95)*$H$11</f>
        <v/>
      </c>
      <c r="AJ128" s="35">
        <f>SUMPRODUCT(($B$28:$B$95="Spinach")*(AJ$28:AJ$95="P")*$C$28:$C$95)*$K$11+SUMPRODUCT(($B$28:$B$95="Spinach")*(AJ$28:AJ$95="G")*$C$28:$C$95)*$L$11+SUMPRODUCT(($B$28:$B$95="Spinach")*(AJ$28:AJ$95="H")*$C$28:$C$95)*$M$11+SUMPRODUCT(($B$28:$B$95="Spinach")*($BG$28:$BG$95=32)*$C$28:$C$95)*$H$11</f>
        <v/>
      </c>
      <c r="AK128" s="35">
        <f>SUMPRODUCT(($B$28:$B$95="Spinach")*(AK$28:AK$95="P")*$C$28:$C$95)*$K$11+SUMPRODUCT(($B$28:$B$95="Spinach")*(AK$28:AK$95="G")*$C$28:$C$95)*$L$11+SUMPRODUCT(($B$28:$B$95="Spinach")*(AK$28:AK$95="H")*$C$28:$C$95)*$M$11+SUMPRODUCT(($B$28:$B$95="Spinach")*($BG$28:$BG$95=33)*$C$28:$C$95)*$H$11</f>
        <v/>
      </c>
      <c r="AL128" s="35">
        <f>SUMPRODUCT(($B$28:$B$95="Spinach")*(AL$28:AL$95="P")*$C$28:$C$95)*$K$11+SUMPRODUCT(($B$28:$B$95="Spinach")*(AL$28:AL$95="G")*$C$28:$C$95)*$L$11+SUMPRODUCT(($B$28:$B$95="Spinach")*(AL$28:AL$95="H")*$C$28:$C$95)*$M$11+SUMPRODUCT(($B$28:$B$95="Spinach")*($BG$28:$BG$95=34)*$C$28:$C$95)*$H$11</f>
        <v/>
      </c>
      <c r="AM128" s="35">
        <f>SUMPRODUCT(($B$28:$B$95="Spinach")*(AM$28:AM$95="P")*$C$28:$C$95)*$K$11+SUMPRODUCT(($B$28:$B$95="Spinach")*(AM$28:AM$95="G")*$C$28:$C$95)*$L$11+SUMPRODUCT(($B$28:$B$95="Spinach")*(AM$28:AM$95="H")*$C$28:$C$95)*$M$11+SUMPRODUCT(($B$28:$B$95="Spinach")*($BG$28:$BG$95=35)*$C$28:$C$95)*$H$11</f>
        <v/>
      </c>
      <c r="AN128" s="35">
        <f>SUMPRODUCT(($B$28:$B$95="Spinach")*(AN$28:AN$95="P")*$C$28:$C$95)*$K$11+SUMPRODUCT(($B$28:$B$95="Spinach")*(AN$28:AN$95="G")*$C$28:$C$95)*$L$11+SUMPRODUCT(($B$28:$B$95="Spinach")*(AN$28:AN$95="H")*$C$28:$C$95)*$M$11+SUMPRODUCT(($B$28:$B$95="Spinach")*($BG$28:$BG$95=36)*$C$28:$C$95)*$H$11</f>
        <v/>
      </c>
      <c r="AO128" s="35">
        <f>SUMPRODUCT(($B$28:$B$95="Spinach")*(AO$28:AO$95="P")*$C$28:$C$95)*$K$11+SUMPRODUCT(($B$28:$B$95="Spinach")*(AO$28:AO$95="G")*$C$28:$C$95)*$L$11+SUMPRODUCT(($B$28:$B$95="Spinach")*(AO$28:AO$95="H")*$C$28:$C$95)*$M$11+SUMPRODUCT(($B$28:$B$95="Spinach")*($BG$28:$BG$95=37)*$C$28:$C$95)*$H$11</f>
        <v/>
      </c>
      <c r="AP128" s="35">
        <f>SUMPRODUCT(($B$28:$B$95="Spinach")*(AP$28:AP$95="P")*$C$28:$C$95)*$K$11+SUMPRODUCT(($B$28:$B$95="Spinach")*(AP$28:AP$95="G")*$C$28:$C$95)*$L$11+SUMPRODUCT(($B$28:$B$95="Spinach")*(AP$28:AP$95="H")*$C$28:$C$95)*$M$11+SUMPRODUCT(($B$28:$B$95="Spinach")*($BG$28:$BG$95=38)*$C$28:$C$95)*$H$11</f>
        <v/>
      </c>
      <c r="AQ128" s="35">
        <f>SUMPRODUCT(($B$28:$B$95="Spinach")*(AQ$28:AQ$95="P")*$C$28:$C$95)*$K$11+SUMPRODUCT(($B$28:$B$95="Spinach")*(AQ$28:AQ$95="G")*$C$28:$C$95)*$L$11+SUMPRODUCT(($B$28:$B$95="Spinach")*(AQ$28:AQ$95="H")*$C$28:$C$95)*$M$11+SUMPRODUCT(($B$28:$B$95="Spinach")*($BG$28:$BG$95=39)*$C$28:$C$95)*$H$11</f>
        <v/>
      </c>
      <c r="AR128" s="35">
        <f>SUMPRODUCT(($B$28:$B$95="Spinach")*(AR$28:AR$95="P")*$C$28:$C$95)*$K$11+SUMPRODUCT(($B$28:$B$95="Spinach")*(AR$28:AR$95="G")*$C$28:$C$95)*$L$11+SUMPRODUCT(($B$28:$B$95="Spinach")*(AR$28:AR$95="H")*$C$28:$C$95)*$M$11+SUMPRODUCT(($B$28:$B$95="Spinach")*($BG$28:$BG$95=40)*$C$28:$C$95)*$H$11</f>
        <v/>
      </c>
      <c r="AS128" s="35">
        <f>SUMPRODUCT(($B$28:$B$95="Spinach")*(AS$28:AS$95="P")*$C$28:$C$95)*$K$11+SUMPRODUCT(($B$28:$B$95="Spinach")*(AS$28:AS$95="G")*$C$28:$C$95)*$L$11+SUMPRODUCT(($B$28:$B$95="Spinach")*(AS$28:AS$95="H")*$C$28:$C$95)*$M$11+SUMPRODUCT(($B$28:$B$95="Spinach")*($BG$28:$BG$95=41)*$C$28:$C$95)*$H$11</f>
        <v/>
      </c>
      <c r="AT128" s="35">
        <f>SUMPRODUCT(($B$28:$B$95="Spinach")*(AT$28:AT$95="P")*$C$28:$C$95)*$K$11+SUMPRODUCT(($B$28:$B$95="Spinach")*(AT$28:AT$95="G")*$C$28:$C$95)*$L$11+SUMPRODUCT(($B$28:$B$95="Spinach")*(AT$28:AT$95="H")*$C$28:$C$95)*$M$11+SUMPRODUCT(($B$28:$B$95="Spinach")*($BG$28:$BG$95=42)*$C$28:$C$95)*$H$11</f>
        <v/>
      </c>
      <c r="AU128" s="35">
        <f>SUMPRODUCT(($B$28:$B$95="Spinach")*(AU$28:AU$95="P")*$C$28:$C$95)*$K$11+SUMPRODUCT(($B$28:$B$95="Spinach")*(AU$28:AU$95="G")*$C$28:$C$95)*$L$11+SUMPRODUCT(($B$28:$B$95="Spinach")*(AU$28:AU$95="H")*$C$28:$C$95)*$M$11+SUMPRODUCT(($B$28:$B$95="Spinach")*($BG$28:$BG$95=43)*$C$28:$C$95)*$H$11</f>
        <v/>
      </c>
      <c r="AV128" s="35">
        <f>SUMPRODUCT(($B$28:$B$95="Spinach")*(AV$28:AV$95="P")*$C$28:$C$95)*$K$11+SUMPRODUCT(($B$28:$B$95="Spinach")*(AV$28:AV$95="G")*$C$28:$C$95)*$L$11+SUMPRODUCT(($B$28:$B$95="Spinach")*(AV$28:AV$95="H")*$C$28:$C$95)*$M$11+SUMPRODUCT(($B$28:$B$95="Spinach")*($BG$28:$BG$95=44)*$C$28:$C$95)*$H$11</f>
        <v/>
      </c>
      <c r="AW128" s="35">
        <f>SUMPRODUCT(($B$28:$B$95="Spinach")*(AW$28:AW$95="P")*$C$28:$C$95)*$K$11+SUMPRODUCT(($B$28:$B$95="Spinach")*(AW$28:AW$95="G")*$C$28:$C$95)*$L$11+SUMPRODUCT(($B$28:$B$95="Spinach")*(AW$28:AW$95="H")*$C$28:$C$95)*$M$11+SUMPRODUCT(($B$28:$B$95="Spinach")*($BG$28:$BG$95=45)*$C$28:$C$95)*$H$11</f>
        <v/>
      </c>
      <c r="AX128" s="35">
        <f>SUMPRODUCT(($B$28:$B$95="Spinach")*(AX$28:AX$95="P")*$C$28:$C$95)*$K$11+SUMPRODUCT(($B$28:$B$95="Spinach")*(AX$28:AX$95="G")*$C$28:$C$95)*$L$11+SUMPRODUCT(($B$28:$B$95="Spinach")*(AX$28:AX$95="H")*$C$28:$C$95)*$M$11+SUMPRODUCT(($B$28:$B$95="Spinach")*($BG$28:$BG$95=46)*$C$28:$C$95)*$H$11</f>
        <v/>
      </c>
      <c r="AY128" s="35">
        <f>SUMPRODUCT(($B$28:$B$95="Spinach")*(AY$28:AY$95="P")*$C$28:$C$95)*$K$11+SUMPRODUCT(($B$28:$B$95="Spinach")*(AY$28:AY$95="G")*$C$28:$C$95)*$L$11+SUMPRODUCT(($B$28:$B$95="Spinach")*(AY$28:AY$95="H")*$C$28:$C$95)*$M$11+SUMPRODUCT(($B$28:$B$95="Spinach")*($BG$28:$BG$95=47)*$C$28:$C$95)*$H$11</f>
        <v/>
      </c>
      <c r="AZ128" s="35">
        <f>SUMPRODUCT(($B$28:$B$95="Spinach")*(AZ$28:AZ$95="P")*$C$28:$C$95)*$K$11+SUMPRODUCT(($B$28:$B$95="Spinach")*(AZ$28:AZ$95="G")*$C$28:$C$95)*$L$11+SUMPRODUCT(($B$28:$B$95="Spinach")*(AZ$28:AZ$95="H")*$C$28:$C$95)*$M$11+SUMPRODUCT(($B$28:$B$95="Spinach")*($BG$28:$BG$95=48)*$C$28:$C$95)*$H$11</f>
        <v/>
      </c>
      <c r="BA128" s="35">
        <f>SUMPRODUCT(($B$28:$B$95="Spinach")*(BA$28:BA$95="P")*$C$28:$C$95)*$K$11+SUMPRODUCT(($B$28:$B$95="Spinach")*(BA$28:BA$95="G")*$C$28:$C$95)*$L$11+SUMPRODUCT(($B$28:$B$95="Spinach")*(BA$28:BA$95="H")*$C$28:$C$95)*$M$11+SUMPRODUCT(($B$28:$B$95="Spinach")*($BG$28:$BG$95=49)*$C$28:$C$95)*$H$11</f>
        <v/>
      </c>
      <c r="BB128" s="35">
        <f>SUMPRODUCT(($B$28:$B$95="Spinach")*(BB$28:BB$95="P")*$C$28:$C$95)*$K$11+SUMPRODUCT(($B$28:$B$95="Spinach")*(BB$28:BB$95="G")*$C$28:$C$95)*$L$11+SUMPRODUCT(($B$28:$B$95="Spinach")*(BB$28:BB$95="H")*$C$28:$C$95)*$M$11+SUMPRODUCT(($B$28:$B$95="Spinach")*($BG$28:$BG$95=50)*$C$28:$C$95)*$H$11</f>
        <v/>
      </c>
      <c r="BC128" s="35">
        <f>SUMPRODUCT(($B$28:$B$95="Spinach")*(BC$28:BC$95="P")*$C$28:$C$95)*$K$11+SUMPRODUCT(($B$28:$B$95="Spinach")*(BC$28:BC$95="G")*$C$28:$C$95)*$L$11+SUMPRODUCT(($B$28:$B$95="Spinach")*(BC$28:BC$95="H")*$C$28:$C$95)*$M$11+SUMPRODUCT(($B$28:$B$95="Spinach")*($BG$28:$BG$95=51)*$C$28:$C$95)*$H$11</f>
        <v/>
      </c>
      <c r="BD128" s="35">
        <f>SUMPRODUCT(($B$28:$B$95="Spinach")*(BD$28:BD$95="P")*$C$28:$C$95)*$K$11+SUMPRODUCT(($B$28:$B$95="Spinach")*(BD$28:BD$95="G")*$C$28:$C$95)*$L$11+SUMPRODUCT(($B$28:$B$95="Spinach")*(BD$28:BD$95="H")*$C$28:$C$95)*$M$11+SUMPRODUCT(($B$28:$B$95="Spinach")*($BG$28:$BG$95=52)*$C$28:$C$95)*$H$11</f>
        <v/>
      </c>
    </row>
    <row r="129">
      <c r="A129" s="25" t="inlineStr">
        <is>
          <t>Packaging this week</t>
        </is>
      </c>
      <c r="B129" s="2" t="inlineStr">
        <is>
          <t>$</t>
        </is>
      </c>
      <c r="E129" s="35">
        <f>E113*$J$18+E119*$J$19</f>
        <v/>
      </c>
      <c r="F129" s="35">
        <f>F113*$J$18+F119*$J$19</f>
        <v/>
      </c>
      <c r="G129" s="35">
        <f>G113*$J$18+G119*$J$19</f>
        <v/>
      </c>
      <c r="H129" s="35">
        <f>H113*$J$18+H119*$J$19</f>
        <v/>
      </c>
      <c r="I129" s="35">
        <f>I113*$J$18+I119*$J$19</f>
        <v/>
      </c>
      <c r="J129" s="35">
        <f>J113*$J$18+J119*$J$19</f>
        <v/>
      </c>
      <c r="K129" s="35">
        <f>K113*$J$18+K119*$J$19</f>
        <v/>
      </c>
      <c r="L129" s="35">
        <f>L113*$J$18+L119*$J$19</f>
        <v/>
      </c>
      <c r="M129" s="35">
        <f>M113*$J$18+M119*$J$19</f>
        <v/>
      </c>
      <c r="N129" s="35">
        <f>N113*$J$18+N119*$J$19</f>
        <v/>
      </c>
      <c r="O129" s="35">
        <f>O113*$J$18+O119*$J$19</f>
        <v/>
      </c>
      <c r="P129" s="35">
        <f>P113*$J$18+P119*$J$19</f>
        <v/>
      </c>
      <c r="Q129" s="35">
        <f>Q113*$J$18+Q119*$J$19</f>
        <v/>
      </c>
      <c r="R129" s="35">
        <f>R113*$J$18+R119*$J$19</f>
        <v/>
      </c>
      <c r="S129" s="35">
        <f>S113*$J$18+S119*$J$19</f>
        <v/>
      </c>
      <c r="T129" s="35">
        <f>T113*$J$18+T119*$J$19</f>
        <v/>
      </c>
      <c r="U129" s="35">
        <f>U113*$J$18+U119*$J$19</f>
        <v/>
      </c>
      <c r="V129" s="35">
        <f>V113*$J$18+V119*$J$19</f>
        <v/>
      </c>
      <c r="W129" s="35">
        <f>W113*$J$18+W119*$J$19</f>
        <v/>
      </c>
      <c r="X129" s="35">
        <f>X113*$J$18+X119*$J$19</f>
        <v/>
      </c>
      <c r="Y129" s="35">
        <f>Y113*$J$18+Y119*$J$19</f>
        <v/>
      </c>
      <c r="Z129" s="35">
        <f>Z113*$J$18+Z119*$J$19</f>
        <v/>
      </c>
      <c r="AA129" s="35">
        <f>AA113*$J$18+AA119*$J$19</f>
        <v/>
      </c>
      <c r="AB129" s="35">
        <f>AB113*$J$18+AB119*$J$19</f>
        <v/>
      </c>
      <c r="AC129" s="35">
        <f>AC113*$J$18+AC119*$J$19</f>
        <v/>
      </c>
      <c r="AD129" s="35">
        <f>AD113*$J$18+AD119*$J$19</f>
        <v/>
      </c>
      <c r="AE129" s="35">
        <f>AE113*$J$18+AE119*$J$19</f>
        <v/>
      </c>
      <c r="AF129" s="35">
        <f>AF113*$J$18+AF119*$J$19</f>
        <v/>
      </c>
      <c r="AG129" s="35">
        <f>AG113*$J$18+AG119*$J$19</f>
        <v/>
      </c>
      <c r="AH129" s="35">
        <f>AH113*$J$18+AH119*$J$19</f>
        <v/>
      </c>
      <c r="AI129" s="35">
        <f>AI113*$J$18+AI119*$J$19</f>
        <v/>
      </c>
      <c r="AJ129" s="35">
        <f>AJ113*$J$18+AJ119*$J$19</f>
        <v/>
      </c>
      <c r="AK129" s="35">
        <f>AK113*$J$18+AK119*$J$19</f>
        <v/>
      </c>
      <c r="AL129" s="35">
        <f>AL113*$J$18+AL119*$J$19</f>
        <v/>
      </c>
      <c r="AM129" s="35">
        <f>AM113*$J$18+AM119*$J$19</f>
        <v/>
      </c>
      <c r="AN129" s="35">
        <f>AN113*$J$18+AN119*$J$19</f>
        <v/>
      </c>
      <c r="AO129" s="35">
        <f>AO113*$J$18+AO119*$J$19</f>
        <v/>
      </c>
      <c r="AP129" s="35">
        <f>AP113*$J$18+AP119*$J$19</f>
        <v/>
      </c>
      <c r="AQ129" s="35">
        <f>AQ113*$J$18+AQ119*$J$19</f>
        <v/>
      </c>
      <c r="AR129" s="35">
        <f>AR113*$J$18+AR119*$J$19</f>
        <v/>
      </c>
      <c r="AS129" s="35">
        <f>AS113*$J$18+AS119*$J$19</f>
        <v/>
      </c>
      <c r="AT129" s="35">
        <f>AT113*$J$18+AT119*$J$19</f>
        <v/>
      </c>
      <c r="AU129" s="35">
        <f>AU113*$J$18+AU119*$J$19</f>
        <v/>
      </c>
      <c r="AV129" s="35">
        <f>AV113*$J$18+AV119*$J$19</f>
        <v/>
      </c>
      <c r="AW129" s="35">
        <f>AW113*$J$18+AW119*$J$19</f>
        <v/>
      </c>
      <c r="AX129" s="35">
        <f>AX113*$J$18+AX119*$J$19</f>
        <v/>
      </c>
      <c r="AY129" s="35">
        <f>AY113*$J$18+AY119*$J$19</f>
        <v/>
      </c>
      <c r="AZ129" s="35">
        <f>AZ113*$J$18+AZ119*$J$19</f>
        <v/>
      </c>
      <c r="BA129" s="35">
        <f>BA113*$J$18+BA119*$J$19</f>
        <v/>
      </c>
      <c r="BB129" s="35">
        <f>BB113*$J$18+BB119*$J$19</f>
        <v/>
      </c>
      <c r="BC129" s="35">
        <f>BC113*$J$18+BC119*$J$19</f>
        <v/>
      </c>
      <c r="BD129" s="35">
        <f>BD113*$J$18+BD119*$J$19</f>
        <v/>
      </c>
    </row>
    <row r="130">
      <c r="A130" s="4" t="inlineStr">
        <is>
          <t>ROOM OCCUPANCY</t>
        </is>
      </c>
      <c r="B130" s="2" t="inlineStr">
        <is>
          <t>m3</t>
        </is>
      </c>
      <c r="E130" s="43">
        <f>(E108+E107)*$D$11</f>
        <v/>
      </c>
      <c r="F130" s="43">
        <f>(F108+F107)*$D$11</f>
        <v/>
      </c>
      <c r="G130" s="43">
        <f>(G108+G107)*$D$11</f>
        <v/>
      </c>
      <c r="H130" s="43">
        <f>(H108+H107)*$D$11</f>
        <v/>
      </c>
      <c r="I130" s="43">
        <f>(I108+I107)*$D$11</f>
        <v/>
      </c>
      <c r="J130" s="43">
        <f>(J108+J107)*$D$11</f>
        <v/>
      </c>
      <c r="K130" s="43">
        <f>(K108+K107)*$D$11</f>
        <v/>
      </c>
      <c r="L130" s="43">
        <f>(L108+L107)*$D$11</f>
        <v/>
      </c>
      <c r="M130" s="43">
        <f>(M108+M107)*$D$11</f>
        <v/>
      </c>
      <c r="N130" s="43">
        <f>(N108+N107)*$D$11</f>
        <v/>
      </c>
      <c r="O130" s="43">
        <f>(O108+O107)*$D$11</f>
        <v/>
      </c>
      <c r="P130" s="43">
        <f>(P108+P107)*$D$11</f>
        <v/>
      </c>
      <c r="Q130" s="43">
        <f>(Q108+Q107)*$D$11</f>
        <v/>
      </c>
      <c r="R130" s="43">
        <f>(R108+R107)*$D$11</f>
        <v/>
      </c>
      <c r="S130" s="43">
        <f>(S108+S107)*$D$11</f>
        <v/>
      </c>
      <c r="T130" s="43">
        <f>(T108+T107)*$D$11</f>
        <v/>
      </c>
      <c r="U130" s="43">
        <f>(U108+U107)*$D$11</f>
        <v/>
      </c>
      <c r="V130" s="43">
        <f>(V108+V107)*$D$11</f>
        <v/>
      </c>
      <c r="W130" s="43">
        <f>(W108+W107)*$D$11</f>
        <v/>
      </c>
      <c r="X130" s="43">
        <f>(X108+X107)*$D$11</f>
        <v/>
      </c>
      <c r="Y130" s="43">
        <f>(Y108+Y107)*$D$11</f>
        <v/>
      </c>
      <c r="Z130" s="43">
        <f>(Z108+Z107)*$D$11</f>
        <v/>
      </c>
      <c r="AA130" s="43">
        <f>(AA108+AA107)*$D$11</f>
        <v/>
      </c>
      <c r="AB130" s="43">
        <f>(AB108+AB107)*$D$11</f>
        <v/>
      </c>
      <c r="AC130" s="43">
        <f>(AC108+AC107)*$D$11</f>
        <v/>
      </c>
      <c r="AD130" s="43">
        <f>(AD108+AD107)*$D$11</f>
        <v/>
      </c>
      <c r="AE130" s="43">
        <f>(AE108+AE107)*$D$11</f>
        <v/>
      </c>
      <c r="AF130" s="43">
        <f>(AF108+AF107)*$D$11</f>
        <v/>
      </c>
      <c r="AG130" s="43">
        <f>(AG108+AG107)*$D$11</f>
        <v/>
      </c>
      <c r="AH130" s="43">
        <f>(AH108+AH107)*$D$11</f>
        <v/>
      </c>
      <c r="AI130" s="43">
        <f>(AI108+AI107)*$D$11</f>
        <v/>
      </c>
      <c r="AJ130" s="43">
        <f>(AJ108+AJ107)*$D$11</f>
        <v/>
      </c>
      <c r="AK130" s="43">
        <f>(AK108+AK107)*$D$11</f>
        <v/>
      </c>
      <c r="AL130" s="43">
        <f>(AL108+AL107)*$D$11</f>
        <v/>
      </c>
      <c r="AM130" s="43">
        <f>(AM108+AM107)*$D$11</f>
        <v/>
      </c>
      <c r="AN130" s="43">
        <f>(AN108+AN107)*$D$11</f>
        <v/>
      </c>
      <c r="AO130" s="43">
        <f>(AO108+AO107)*$D$11</f>
        <v/>
      </c>
      <c r="AP130" s="43">
        <f>(AP108+AP107)*$D$11</f>
        <v/>
      </c>
      <c r="AQ130" s="43">
        <f>(AQ108+AQ107)*$D$11</f>
        <v/>
      </c>
      <c r="AR130" s="43">
        <f>(AR108+AR107)*$D$11</f>
        <v/>
      </c>
      <c r="AS130" s="43">
        <f>(AS108+AS107)*$D$11</f>
        <v/>
      </c>
      <c r="AT130" s="43">
        <f>(AT108+AT107)*$D$11</f>
        <v/>
      </c>
      <c r="AU130" s="43">
        <f>(AU108+AU107)*$D$11</f>
        <v/>
      </c>
      <c r="AV130" s="43">
        <f>(AV108+AV107)*$D$11</f>
        <v/>
      </c>
      <c r="AW130" s="43">
        <f>(AW108+AW107)*$D$11</f>
        <v/>
      </c>
      <c r="AX130" s="43">
        <f>(AX108+AX107)*$D$11</f>
        <v/>
      </c>
      <c r="AY130" s="43">
        <f>(AY108+AY107)*$D$11</f>
        <v/>
      </c>
      <c r="AZ130" s="43">
        <f>(AZ108+AZ107)*$D$11</f>
        <v/>
      </c>
      <c r="BA130" s="43">
        <f>(BA108+BA107)*$D$11</f>
        <v/>
      </c>
      <c r="BB130" s="43">
        <f>(BB108+BB107)*$D$11</f>
        <v/>
      </c>
      <c r="BC130" s="43">
        <f>(BC108+BC107)*$D$11</f>
        <v/>
      </c>
      <c r="BD130" s="43">
        <f>(BD108+BD107)*$D$11</f>
        <v/>
      </c>
    </row>
    <row r="132">
      <c r="A132" s="3" t="inlineStr">
        <is>
          <t>KALE  —  cold store</t>
        </is>
      </c>
      <c r="B132" s="34" t="inlineStr"/>
    </row>
    <row r="133">
      <c r="A133" s="20" t="inlineStr">
        <is>
          <t>Week</t>
        </is>
      </c>
      <c r="B133" s="31" t="inlineStr"/>
      <c r="E133" s="23" t="n">
        <v>1</v>
      </c>
      <c r="F133" s="23" t="n">
        <v>2</v>
      </c>
      <c r="G133" s="23" t="n">
        <v>3</v>
      </c>
      <c r="H133" s="23" t="n">
        <v>4</v>
      </c>
      <c r="I133" s="23" t="n">
        <v>5</v>
      </c>
      <c r="J133" s="23" t="n">
        <v>6</v>
      </c>
      <c r="K133" s="23" t="n">
        <v>7</v>
      </c>
      <c r="L133" s="23" t="n">
        <v>8</v>
      </c>
      <c r="M133" s="23" t="n">
        <v>9</v>
      </c>
      <c r="N133" s="23" t="n">
        <v>10</v>
      </c>
      <c r="O133" s="23" t="n">
        <v>11</v>
      </c>
      <c r="P133" s="23" t="n">
        <v>12</v>
      </c>
      <c r="Q133" s="23" t="n">
        <v>13</v>
      </c>
      <c r="R133" s="23" t="n">
        <v>14</v>
      </c>
      <c r="S133" s="23" t="n">
        <v>15</v>
      </c>
      <c r="T133" s="23" t="n">
        <v>16</v>
      </c>
      <c r="U133" s="23" t="n">
        <v>17</v>
      </c>
      <c r="V133" s="23" t="n">
        <v>18</v>
      </c>
      <c r="W133" s="23" t="n">
        <v>19</v>
      </c>
      <c r="X133" s="23" t="n">
        <v>20</v>
      </c>
      <c r="Y133" s="23" t="n">
        <v>21</v>
      </c>
      <c r="Z133" s="23" t="n">
        <v>22</v>
      </c>
      <c r="AA133" s="23" t="n">
        <v>23</v>
      </c>
      <c r="AB133" s="23" t="n">
        <v>24</v>
      </c>
      <c r="AC133" s="23" t="n">
        <v>25</v>
      </c>
      <c r="AD133" s="23" t="n">
        <v>26</v>
      </c>
      <c r="AE133" s="23" t="n">
        <v>27</v>
      </c>
      <c r="AF133" s="23" t="n">
        <v>28</v>
      </c>
      <c r="AG133" s="23" t="n">
        <v>29</v>
      </c>
      <c r="AH133" s="23" t="n">
        <v>30</v>
      </c>
      <c r="AI133" s="23" t="n">
        <v>31</v>
      </c>
      <c r="AJ133" s="23" t="n">
        <v>32</v>
      </c>
      <c r="AK133" s="23" t="n">
        <v>33</v>
      </c>
      <c r="AL133" s="23" t="n">
        <v>34</v>
      </c>
      <c r="AM133" s="23" t="n">
        <v>35</v>
      </c>
      <c r="AN133" s="23" t="n">
        <v>36</v>
      </c>
      <c r="AO133" s="23" t="n">
        <v>37</v>
      </c>
      <c r="AP133" s="23" t="n">
        <v>38</v>
      </c>
      <c r="AQ133" s="23" t="n">
        <v>39</v>
      </c>
      <c r="AR133" s="23" t="n">
        <v>40</v>
      </c>
      <c r="AS133" s="23" t="n">
        <v>41</v>
      </c>
      <c r="AT133" s="23" t="n">
        <v>42</v>
      </c>
      <c r="AU133" s="23" t="n">
        <v>43</v>
      </c>
      <c r="AV133" s="23" t="n">
        <v>44</v>
      </c>
      <c r="AW133" s="23" t="n">
        <v>45</v>
      </c>
      <c r="AX133" s="23" t="n">
        <v>46</v>
      </c>
      <c r="AY133" s="23" t="n">
        <v>47</v>
      </c>
      <c r="AZ133" s="23" t="n">
        <v>48</v>
      </c>
      <c r="BA133" s="23" t="n">
        <v>49</v>
      </c>
      <c r="BB133" s="23" t="n">
        <v>50</v>
      </c>
      <c r="BC133" s="23" t="n">
        <v>51</v>
      </c>
      <c r="BD133" s="23" t="n">
        <v>52</v>
      </c>
    </row>
    <row r="134">
      <c r="A134" s="4" t="inlineStr">
        <is>
          <t>Packed out -&gt; INTO the store</t>
        </is>
      </c>
      <c r="B134" s="2" t="inlineStr">
        <is>
          <t>lb</t>
        </is>
      </c>
      <c r="E134" s="35">
        <f>SUMPRODUCT(($B$28:$B$95="Kale")*(E$28:E$95="H")*$C$28:$C$95)*$B$12/$J$12*$C$12</f>
        <v/>
      </c>
      <c r="F134" s="35">
        <f>SUMPRODUCT(($B$28:$B$95="Kale")*(F$28:F$95="H")*$C$28:$C$95)*$B$12/$J$12*$C$12</f>
        <v/>
      </c>
      <c r="G134" s="35">
        <f>SUMPRODUCT(($B$28:$B$95="Kale")*(G$28:G$95="H")*$C$28:$C$95)*$B$12/$J$12*$C$12</f>
        <v/>
      </c>
      <c r="H134" s="35">
        <f>SUMPRODUCT(($B$28:$B$95="Kale")*(H$28:H$95="H")*$C$28:$C$95)*$B$12/$J$12*$C$12</f>
        <v/>
      </c>
      <c r="I134" s="35">
        <f>SUMPRODUCT(($B$28:$B$95="Kale")*(I$28:I$95="H")*$C$28:$C$95)*$B$12/$J$12*$C$12</f>
        <v/>
      </c>
      <c r="J134" s="35">
        <f>SUMPRODUCT(($B$28:$B$95="Kale")*(J$28:J$95="H")*$C$28:$C$95)*$B$12/$J$12*$C$12</f>
        <v/>
      </c>
      <c r="K134" s="35">
        <f>SUMPRODUCT(($B$28:$B$95="Kale")*(K$28:K$95="H")*$C$28:$C$95)*$B$12/$J$12*$C$12</f>
        <v/>
      </c>
      <c r="L134" s="35">
        <f>SUMPRODUCT(($B$28:$B$95="Kale")*(L$28:L$95="H")*$C$28:$C$95)*$B$12/$J$12*$C$12</f>
        <v/>
      </c>
      <c r="M134" s="35">
        <f>SUMPRODUCT(($B$28:$B$95="Kale")*(M$28:M$95="H")*$C$28:$C$95)*$B$12/$J$12*$C$12</f>
        <v/>
      </c>
      <c r="N134" s="35">
        <f>SUMPRODUCT(($B$28:$B$95="Kale")*(N$28:N$95="H")*$C$28:$C$95)*$B$12/$J$12*$C$12</f>
        <v/>
      </c>
      <c r="O134" s="35">
        <f>SUMPRODUCT(($B$28:$B$95="Kale")*(O$28:O$95="H")*$C$28:$C$95)*$B$12/$J$12*$C$12</f>
        <v/>
      </c>
      <c r="P134" s="35">
        <f>SUMPRODUCT(($B$28:$B$95="Kale")*(P$28:P$95="H")*$C$28:$C$95)*$B$12/$J$12*$C$12</f>
        <v/>
      </c>
      <c r="Q134" s="35">
        <f>SUMPRODUCT(($B$28:$B$95="Kale")*(Q$28:Q$95="H")*$C$28:$C$95)*$B$12/$J$12*$C$12</f>
        <v/>
      </c>
      <c r="R134" s="35">
        <f>SUMPRODUCT(($B$28:$B$95="Kale")*(R$28:R$95="H")*$C$28:$C$95)*$B$12/$J$12*$C$12</f>
        <v/>
      </c>
      <c r="S134" s="35">
        <f>SUMPRODUCT(($B$28:$B$95="Kale")*(S$28:S$95="H")*$C$28:$C$95)*$B$12/$J$12*$C$12</f>
        <v/>
      </c>
      <c r="T134" s="35">
        <f>SUMPRODUCT(($B$28:$B$95="Kale")*(T$28:T$95="H")*$C$28:$C$95)*$B$12/$J$12*$C$12</f>
        <v/>
      </c>
      <c r="U134" s="35">
        <f>SUMPRODUCT(($B$28:$B$95="Kale")*(U$28:U$95="H")*$C$28:$C$95)*$B$12/$J$12*$C$12</f>
        <v/>
      </c>
      <c r="V134" s="35">
        <f>SUMPRODUCT(($B$28:$B$95="Kale")*(V$28:V$95="H")*$C$28:$C$95)*$B$12/$J$12*$C$12</f>
        <v/>
      </c>
      <c r="W134" s="35">
        <f>SUMPRODUCT(($B$28:$B$95="Kale")*(W$28:W$95="H")*$C$28:$C$95)*$B$12/$J$12*$C$12</f>
        <v/>
      </c>
      <c r="X134" s="35">
        <f>SUMPRODUCT(($B$28:$B$95="Kale")*(X$28:X$95="H")*$C$28:$C$95)*$B$12/$J$12*$C$12</f>
        <v/>
      </c>
      <c r="Y134" s="35">
        <f>SUMPRODUCT(($B$28:$B$95="Kale")*(Y$28:Y$95="H")*$C$28:$C$95)*$B$12/$J$12*$C$12</f>
        <v/>
      </c>
      <c r="Z134" s="35">
        <f>SUMPRODUCT(($B$28:$B$95="Kale")*(Z$28:Z$95="H")*$C$28:$C$95)*$B$12/$J$12*$C$12</f>
        <v/>
      </c>
      <c r="AA134" s="35">
        <f>SUMPRODUCT(($B$28:$B$95="Kale")*(AA$28:AA$95="H")*$C$28:$C$95)*$B$12/$J$12*$C$12</f>
        <v/>
      </c>
      <c r="AB134" s="35">
        <f>SUMPRODUCT(($B$28:$B$95="Kale")*(AB$28:AB$95="H")*$C$28:$C$95)*$B$12/$J$12*$C$12</f>
        <v/>
      </c>
      <c r="AC134" s="35">
        <f>SUMPRODUCT(($B$28:$B$95="Kale")*(AC$28:AC$95="H")*$C$28:$C$95)*$B$12/$J$12*$C$12</f>
        <v/>
      </c>
      <c r="AD134" s="35">
        <f>SUMPRODUCT(($B$28:$B$95="Kale")*(AD$28:AD$95="H")*$C$28:$C$95)*$B$12/$J$12*$C$12</f>
        <v/>
      </c>
      <c r="AE134" s="35">
        <f>SUMPRODUCT(($B$28:$B$95="Kale")*(AE$28:AE$95="H")*$C$28:$C$95)*$B$12/$J$12*$C$12</f>
        <v/>
      </c>
      <c r="AF134" s="35">
        <f>SUMPRODUCT(($B$28:$B$95="Kale")*(AF$28:AF$95="H")*$C$28:$C$95)*$B$12/$J$12*$C$12</f>
        <v/>
      </c>
      <c r="AG134" s="35">
        <f>SUMPRODUCT(($B$28:$B$95="Kale")*(AG$28:AG$95="H")*$C$28:$C$95)*$B$12/$J$12*$C$12</f>
        <v/>
      </c>
      <c r="AH134" s="35">
        <f>SUMPRODUCT(($B$28:$B$95="Kale")*(AH$28:AH$95="H")*$C$28:$C$95)*$B$12/$J$12*$C$12</f>
        <v/>
      </c>
      <c r="AI134" s="35">
        <f>SUMPRODUCT(($B$28:$B$95="Kale")*(AI$28:AI$95="H")*$C$28:$C$95)*$B$12/$J$12*$C$12</f>
        <v/>
      </c>
      <c r="AJ134" s="35">
        <f>SUMPRODUCT(($B$28:$B$95="Kale")*(AJ$28:AJ$95="H")*$C$28:$C$95)*$B$12/$J$12*$C$12</f>
        <v/>
      </c>
      <c r="AK134" s="35">
        <f>SUMPRODUCT(($B$28:$B$95="Kale")*(AK$28:AK$95="H")*$C$28:$C$95)*$B$12/$J$12*$C$12</f>
        <v/>
      </c>
      <c r="AL134" s="35">
        <f>SUMPRODUCT(($B$28:$B$95="Kale")*(AL$28:AL$95="H")*$C$28:$C$95)*$B$12/$J$12*$C$12</f>
        <v/>
      </c>
      <c r="AM134" s="35">
        <f>SUMPRODUCT(($B$28:$B$95="Kale")*(AM$28:AM$95="H")*$C$28:$C$95)*$B$12/$J$12*$C$12</f>
        <v/>
      </c>
      <c r="AN134" s="35">
        <f>SUMPRODUCT(($B$28:$B$95="Kale")*(AN$28:AN$95="H")*$C$28:$C$95)*$B$12/$J$12*$C$12</f>
        <v/>
      </c>
      <c r="AO134" s="35">
        <f>SUMPRODUCT(($B$28:$B$95="Kale")*(AO$28:AO$95="H")*$C$28:$C$95)*$B$12/$J$12*$C$12</f>
        <v/>
      </c>
      <c r="AP134" s="35">
        <f>SUMPRODUCT(($B$28:$B$95="Kale")*(AP$28:AP$95="H")*$C$28:$C$95)*$B$12/$J$12*$C$12</f>
        <v/>
      </c>
      <c r="AQ134" s="35">
        <f>SUMPRODUCT(($B$28:$B$95="Kale")*(AQ$28:AQ$95="H")*$C$28:$C$95)*$B$12/$J$12*$C$12</f>
        <v/>
      </c>
      <c r="AR134" s="35">
        <f>SUMPRODUCT(($B$28:$B$95="Kale")*(AR$28:AR$95="H")*$C$28:$C$95)*$B$12/$J$12*$C$12</f>
        <v/>
      </c>
      <c r="AS134" s="35">
        <f>SUMPRODUCT(($B$28:$B$95="Kale")*(AS$28:AS$95="H")*$C$28:$C$95)*$B$12/$J$12*$C$12</f>
        <v/>
      </c>
      <c r="AT134" s="35">
        <f>SUMPRODUCT(($B$28:$B$95="Kale")*(AT$28:AT$95="H")*$C$28:$C$95)*$B$12/$J$12*$C$12</f>
        <v/>
      </c>
      <c r="AU134" s="35">
        <f>SUMPRODUCT(($B$28:$B$95="Kale")*(AU$28:AU$95="H")*$C$28:$C$95)*$B$12/$J$12*$C$12</f>
        <v/>
      </c>
      <c r="AV134" s="35">
        <f>SUMPRODUCT(($B$28:$B$95="Kale")*(AV$28:AV$95="H")*$C$28:$C$95)*$B$12/$J$12*$C$12</f>
        <v/>
      </c>
      <c r="AW134" s="35">
        <f>SUMPRODUCT(($B$28:$B$95="Kale")*(AW$28:AW$95="H")*$C$28:$C$95)*$B$12/$J$12*$C$12</f>
        <v/>
      </c>
      <c r="AX134" s="35">
        <f>SUMPRODUCT(($B$28:$B$95="Kale")*(AX$28:AX$95="H")*$C$28:$C$95)*$B$12/$J$12*$C$12</f>
        <v/>
      </c>
      <c r="AY134" s="35">
        <f>SUMPRODUCT(($B$28:$B$95="Kale")*(AY$28:AY$95="H")*$C$28:$C$95)*$B$12/$J$12*$C$12</f>
        <v/>
      </c>
      <c r="AZ134" s="35">
        <f>SUMPRODUCT(($B$28:$B$95="Kale")*(AZ$28:AZ$95="H")*$C$28:$C$95)*$B$12/$J$12*$C$12</f>
        <v/>
      </c>
      <c r="BA134" s="35">
        <f>SUMPRODUCT(($B$28:$B$95="Kale")*(BA$28:BA$95="H")*$C$28:$C$95)*$B$12/$J$12*$C$12</f>
        <v/>
      </c>
      <c r="BB134" s="35">
        <f>SUMPRODUCT(($B$28:$B$95="Kale")*(BB$28:BB$95="H")*$C$28:$C$95)*$B$12/$J$12*$C$12</f>
        <v/>
      </c>
      <c r="BC134" s="35">
        <f>SUMPRODUCT(($B$28:$B$95="Kale")*(BC$28:BC$95="H")*$C$28:$C$95)*$B$12/$J$12*$C$12</f>
        <v/>
      </c>
      <c r="BD134" s="35">
        <f>SUMPRODUCT(($B$28:$B$95="Kale")*(BD$28:BD$95="H")*$C$28:$C$95)*$B$12/$J$12*$C$12</f>
        <v/>
      </c>
    </row>
    <row r="135">
      <c r="A135" s="25" t="inlineStr">
        <is>
          <t>Stock carried in</t>
        </is>
      </c>
      <c r="B135" s="2" t="inlineStr">
        <is>
          <t>lb</t>
        </is>
      </c>
      <c r="E135" s="35" t="n">
        <v>0</v>
      </c>
      <c r="F135" s="35">
        <f>E152</f>
        <v/>
      </c>
      <c r="G135" s="35">
        <f>F152</f>
        <v/>
      </c>
      <c r="H135" s="35">
        <f>G152</f>
        <v/>
      </c>
      <c r="I135" s="35">
        <f>H152</f>
        <v/>
      </c>
      <c r="J135" s="35">
        <f>I152</f>
        <v/>
      </c>
      <c r="K135" s="35">
        <f>J152</f>
        <v/>
      </c>
      <c r="L135" s="35">
        <f>K152</f>
        <v/>
      </c>
      <c r="M135" s="35">
        <f>L152</f>
        <v/>
      </c>
      <c r="N135" s="35">
        <f>M152</f>
        <v/>
      </c>
      <c r="O135" s="35">
        <f>N152</f>
        <v/>
      </c>
      <c r="P135" s="35">
        <f>O152</f>
        <v/>
      </c>
      <c r="Q135" s="35">
        <f>P152</f>
        <v/>
      </c>
      <c r="R135" s="35">
        <f>Q152</f>
        <v/>
      </c>
      <c r="S135" s="35">
        <f>R152</f>
        <v/>
      </c>
      <c r="T135" s="35">
        <f>S152</f>
        <v/>
      </c>
      <c r="U135" s="35">
        <f>T152</f>
        <v/>
      </c>
      <c r="V135" s="35">
        <f>U152</f>
        <v/>
      </c>
      <c r="W135" s="35">
        <f>V152</f>
        <v/>
      </c>
      <c r="X135" s="35">
        <f>W152</f>
        <v/>
      </c>
      <c r="Y135" s="35">
        <f>X152</f>
        <v/>
      </c>
      <c r="Z135" s="35">
        <f>Y152</f>
        <v/>
      </c>
      <c r="AA135" s="35">
        <f>Z152</f>
        <v/>
      </c>
      <c r="AB135" s="35">
        <f>AA152</f>
        <v/>
      </c>
      <c r="AC135" s="35">
        <f>AB152</f>
        <v/>
      </c>
      <c r="AD135" s="35">
        <f>AC152</f>
        <v/>
      </c>
      <c r="AE135" s="35">
        <f>AD152</f>
        <v/>
      </c>
      <c r="AF135" s="35">
        <f>AE152</f>
        <v/>
      </c>
      <c r="AG135" s="35">
        <f>AF152</f>
        <v/>
      </c>
      <c r="AH135" s="35">
        <f>AG152</f>
        <v/>
      </c>
      <c r="AI135" s="35">
        <f>AH152</f>
        <v/>
      </c>
      <c r="AJ135" s="35">
        <f>AI152</f>
        <v/>
      </c>
      <c r="AK135" s="35">
        <f>AJ152</f>
        <v/>
      </c>
      <c r="AL135" s="35">
        <f>AK152</f>
        <v/>
      </c>
      <c r="AM135" s="35">
        <f>AL152</f>
        <v/>
      </c>
      <c r="AN135" s="35">
        <f>AM152</f>
        <v/>
      </c>
      <c r="AO135" s="35">
        <f>AN152</f>
        <v/>
      </c>
      <c r="AP135" s="35">
        <f>AO152</f>
        <v/>
      </c>
      <c r="AQ135" s="35">
        <f>AP152</f>
        <v/>
      </c>
      <c r="AR135" s="35">
        <f>AQ152</f>
        <v/>
      </c>
      <c r="AS135" s="35">
        <f>AR152</f>
        <v/>
      </c>
      <c r="AT135" s="35">
        <f>AS152</f>
        <v/>
      </c>
      <c r="AU135" s="35">
        <f>AT152</f>
        <v/>
      </c>
      <c r="AV135" s="35">
        <f>AU152</f>
        <v/>
      </c>
      <c r="AW135" s="35">
        <f>AV152</f>
        <v/>
      </c>
      <c r="AX135" s="35">
        <f>AW152</f>
        <v/>
      </c>
      <c r="AY135" s="35">
        <f>AX152</f>
        <v/>
      </c>
      <c r="AZ135" s="35">
        <f>AY152</f>
        <v/>
      </c>
      <c r="BA135" s="35">
        <f>AZ152</f>
        <v/>
      </c>
      <c r="BB135" s="35">
        <f>BA152</f>
        <v/>
      </c>
      <c r="BC135" s="35">
        <f>BB152</f>
        <v/>
      </c>
      <c r="BD135" s="35">
        <f>BC152</f>
        <v/>
      </c>
    </row>
    <row r="136">
      <c r="A136" s="25" t="inlineStr">
        <is>
          <t xml:space="preserve">   lost to shrink</t>
        </is>
      </c>
      <c r="B136" s="2" t="inlineStr">
        <is>
          <t>lb</t>
        </is>
      </c>
      <c r="E136" s="35">
        <f>E135*$G$12</f>
        <v/>
      </c>
      <c r="F136" s="35">
        <f>F135*$G$12</f>
        <v/>
      </c>
      <c r="G136" s="35">
        <f>G135*$G$12</f>
        <v/>
      </c>
      <c r="H136" s="35">
        <f>H135*$G$12</f>
        <v/>
      </c>
      <c r="I136" s="35">
        <f>I135*$G$12</f>
        <v/>
      </c>
      <c r="J136" s="35">
        <f>J135*$G$12</f>
        <v/>
      </c>
      <c r="K136" s="35">
        <f>K135*$G$12</f>
        <v/>
      </c>
      <c r="L136" s="35">
        <f>L135*$G$12</f>
        <v/>
      </c>
      <c r="M136" s="35">
        <f>M135*$G$12</f>
        <v/>
      </c>
      <c r="N136" s="35">
        <f>N135*$G$12</f>
        <v/>
      </c>
      <c r="O136" s="35">
        <f>O135*$G$12</f>
        <v/>
      </c>
      <c r="P136" s="35">
        <f>P135*$G$12</f>
        <v/>
      </c>
      <c r="Q136" s="35">
        <f>Q135*$G$12</f>
        <v/>
      </c>
      <c r="R136" s="35">
        <f>R135*$G$12</f>
        <v/>
      </c>
      <c r="S136" s="35">
        <f>S135*$G$12</f>
        <v/>
      </c>
      <c r="T136" s="35">
        <f>T135*$G$12</f>
        <v/>
      </c>
      <c r="U136" s="35">
        <f>U135*$G$12</f>
        <v/>
      </c>
      <c r="V136" s="35">
        <f>V135*$G$12</f>
        <v/>
      </c>
      <c r="W136" s="35">
        <f>W135*$G$12</f>
        <v/>
      </c>
      <c r="X136" s="35">
        <f>X135*$G$12</f>
        <v/>
      </c>
      <c r="Y136" s="35">
        <f>Y135*$G$12</f>
        <v/>
      </c>
      <c r="Z136" s="35">
        <f>Z135*$G$12</f>
        <v/>
      </c>
      <c r="AA136" s="35">
        <f>AA135*$G$12</f>
        <v/>
      </c>
      <c r="AB136" s="35">
        <f>AB135*$G$12</f>
        <v/>
      </c>
      <c r="AC136" s="35">
        <f>AC135*$G$12</f>
        <v/>
      </c>
      <c r="AD136" s="35">
        <f>AD135*$G$12</f>
        <v/>
      </c>
      <c r="AE136" s="35">
        <f>AE135*$G$12</f>
        <v/>
      </c>
      <c r="AF136" s="35">
        <f>AF135*$G$12</f>
        <v/>
      </c>
      <c r="AG136" s="35">
        <f>AG135*$G$12</f>
        <v/>
      </c>
      <c r="AH136" s="35">
        <f>AH135*$G$12</f>
        <v/>
      </c>
      <c r="AI136" s="35">
        <f>AI135*$G$12</f>
        <v/>
      </c>
      <c r="AJ136" s="35">
        <f>AJ135*$G$12</f>
        <v/>
      </c>
      <c r="AK136" s="35">
        <f>AK135*$G$12</f>
        <v/>
      </c>
      <c r="AL136" s="35">
        <f>AL135*$G$12</f>
        <v/>
      </c>
      <c r="AM136" s="35">
        <f>AM135*$G$12</f>
        <v/>
      </c>
      <c r="AN136" s="35">
        <f>AN135*$G$12</f>
        <v/>
      </c>
      <c r="AO136" s="35">
        <f>AO135*$G$12</f>
        <v/>
      </c>
      <c r="AP136" s="35">
        <f>AP135*$G$12</f>
        <v/>
      </c>
      <c r="AQ136" s="35">
        <f>AQ135*$G$12</f>
        <v/>
      </c>
      <c r="AR136" s="35">
        <f>AR135*$G$12</f>
        <v/>
      </c>
      <c r="AS136" s="35">
        <f>AS135*$G$12</f>
        <v/>
      </c>
      <c r="AT136" s="35">
        <f>AT135*$G$12</f>
        <v/>
      </c>
      <c r="AU136" s="35">
        <f>AU135*$G$12</f>
        <v/>
      </c>
      <c r="AV136" s="35">
        <f>AV135*$G$12</f>
        <v/>
      </c>
      <c r="AW136" s="35">
        <f>AW135*$G$12</f>
        <v/>
      </c>
      <c r="AX136" s="35">
        <f>AX135*$G$12</f>
        <v/>
      </c>
      <c r="AY136" s="35">
        <f>AY135*$G$12</f>
        <v/>
      </c>
      <c r="AZ136" s="35">
        <f>AZ135*$G$12</f>
        <v/>
      </c>
      <c r="BA136" s="35">
        <f>BA135*$G$12</f>
        <v/>
      </c>
      <c r="BB136" s="35">
        <f>BB135*$G$12</f>
        <v/>
      </c>
      <c r="BC136" s="35">
        <f>BC135*$G$12</f>
        <v/>
      </c>
      <c r="BD136" s="35">
        <f>BD135*$G$12</f>
        <v/>
      </c>
    </row>
    <row r="137">
      <c r="A137" s="4" t="inlineStr">
        <is>
          <t>In store this week</t>
        </is>
      </c>
      <c r="B137" s="2" t="inlineStr">
        <is>
          <t>lb</t>
        </is>
      </c>
      <c r="E137" s="35">
        <f>E135-E136+E134</f>
        <v/>
      </c>
      <c r="F137" s="35">
        <f>F135-F136+F134</f>
        <v/>
      </c>
      <c r="G137" s="35">
        <f>G135-G136+G134</f>
        <v/>
      </c>
      <c r="H137" s="35">
        <f>H135-H136+H134</f>
        <v/>
      </c>
      <c r="I137" s="35">
        <f>I135-I136+I134</f>
        <v/>
      </c>
      <c r="J137" s="35">
        <f>J135-J136+J134</f>
        <v/>
      </c>
      <c r="K137" s="35">
        <f>K135-K136+K134</f>
        <v/>
      </c>
      <c r="L137" s="35">
        <f>L135-L136+L134</f>
        <v/>
      </c>
      <c r="M137" s="35">
        <f>M135-M136+M134</f>
        <v/>
      </c>
      <c r="N137" s="35">
        <f>N135-N136+N134</f>
        <v/>
      </c>
      <c r="O137" s="35">
        <f>O135-O136+O134</f>
        <v/>
      </c>
      <c r="P137" s="35">
        <f>P135-P136+P134</f>
        <v/>
      </c>
      <c r="Q137" s="35">
        <f>Q135-Q136+Q134</f>
        <v/>
      </c>
      <c r="R137" s="35">
        <f>R135-R136+R134</f>
        <v/>
      </c>
      <c r="S137" s="35">
        <f>S135-S136+S134</f>
        <v/>
      </c>
      <c r="T137" s="35">
        <f>T135-T136+T134</f>
        <v/>
      </c>
      <c r="U137" s="35">
        <f>U135-U136+U134</f>
        <v/>
      </c>
      <c r="V137" s="35">
        <f>V135-V136+V134</f>
        <v/>
      </c>
      <c r="W137" s="35">
        <f>W135-W136+W134</f>
        <v/>
      </c>
      <c r="X137" s="35">
        <f>X135-X136+X134</f>
        <v/>
      </c>
      <c r="Y137" s="35">
        <f>Y135-Y136+Y134</f>
        <v/>
      </c>
      <c r="Z137" s="35">
        <f>Z135-Z136+Z134</f>
        <v/>
      </c>
      <c r="AA137" s="35">
        <f>AA135-AA136+AA134</f>
        <v/>
      </c>
      <c r="AB137" s="35">
        <f>AB135-AB136+AB134</f>
        <v/>
      </c>
      <c r="AC137" s="35">
        <f>AC135-AC136+AC134</f>
        <v/>
      </c>
      <c r="AD137" s="35">
        <f>AD135-AD136+AD134</f>
        <v/>
      </c>
      <c r="AE137" s="35">
        <f>AE135-AE136+AE134</f>
        <v/>
      </c>
      <c r="AF137" s="35">
        <f>AF135-AF136+AF134</f>
        <v/>
      </c>
      <c r="AG137" s="35">
        <f>AG135-AG136+AG134</f>
        <v/>
      </c>
      <c r="AH137" s="35">
        <f>AH135-AH136+AH134</f>
        <v/>
      </c>
      <c r="AI137" s="35">
        <f>AI135-AI136+AI134</f>
        <v/>
      </c>
      <c r="AJ137" s="35">
        <f>AJ135-AJ136+AJ134</f>
        <v/>
      </c>
      <c r="AK137" s="35">
        <f>AK135-AK136+AK134</f>
        <v/>
      </c>
      <c r="AL137" s="35">
        <f>AL135-AL136+AL134</f>
        <v/>
      </c>
      <c r="AM137" s="35">
        <f>AM135-AM136+AM134</f>
        <v/>
      </c>
      <c r="AN137" s="35">
        <f>AN135-AN136+AN134</f>
        <v/>
      </c>
      <c r="AO137" s="35">
        <f>AO135-AO136+AO134</f>
        <v/>
      </c>
      <c r="AP137" s="35">
        <f>AP135-AP136+AP134</f>
        <v/>
      </c>
      <c r="AQ137" s="35">
        <f>AQ135-AQ136+AQ134</f>
        <v/>
      </c>
      <c r="AR137" s="35">
        <f>AR135-AR136+AR134</f>
        <v/>
      </c>
      <c r="AS137" s="35">
        <f>AS135-AS136+AS134</f>
        <v/>
      </c>
      <c r="AT137" s="35">
        <f>AT135-AT136+AT134</f>
        <v/>
      </c>
      <c r="AU137" s="35">
        <f>AU135-AU136+AU134</f>
        <v/>
      </c>
      <c r="AV137" s="35">
        <f>AV135-AV136+AV134</f>
        <v/>
      </c>
      <c r="AW137" s="35">
        <f>AW135-AW136+AW134</f>
        <v/>
      </c>
      <c r="AX137" s="35">
        <f>AX135-AX136+AX134</f>
        <v/>
      </c>
      <c r="AY137" s="35">
        <f>AY135-AY136+AY134</f>
        <v/>
      </c>
      <c r="AZ137" s="35">
        <f>AZ135-AZ136+AZ134</f>
        <v/>
      </c>
      <c r="BA137" s="35">
        <f>BA135-BA136+BA134</f>
        <v/>
      </c>
      <c r="BB137" s="35">
        <f>BB135-BB136+BB134</f>
        <v/>
      </c>
      <c r="BC137" s="35">
        <f>BC135-BC136+BC134</f>
        <v/>
      </c>
      <c r="BD137" s="35">
        <f>BD135-BD136+BD134</f>
        <v/>
      </c>
    </row>
    <row r="138">
      <c r="A138" s="36" t="inlineStr">
        <is>
          <t>Farmers Market — most you may sell this week</t>
        </is>
      </c>
      <c r="B138" s="2" t="inlineStr">
        <is>
          <t>lb</t>
        </is>
      </c>
      <c r="E138" s="37">
        <f>IF($C$20="Annual",$D$20-0,IF(AND(1&gt;=$E$20,1&lt;=$F$20),$D$20,0))</f>
        <v/>
      </c>
      <c r="F138" s="37">
        <f>IF($C$20="Annual",$D$20-SUM(E140:E140),IF(AND(2&gt;=$E$20,2&lt;=$F$20),$D$20,0))</f>
        <v/>
      </c>
      <c r="G138" s="37">
        <f>IF($C$20="Annual",$D$20-SUM(E140:F140),IF(AND(3&gt;=$E$20,3&lt;=$F$20),$D$20,0))</f>
        <v/>
      </c>
      <c r="H138" s="37">
        <f>IF($C$20="Annual",$D$20-SUM(E140:G140),IF(AND(4&gt;=$E$20,4&lt;=$F$20),$D$20,0))</f>
        <v/>
      </c>
      <c r="I138" s="37">
        <f>IF($C$20="Annual",$D$20-SUM(E140:H140),IF(AND(5&gt;=$E$20,5&lt;=$F$20),$D$20,0))</f>
        <v/>
      </c>
      <c r="J138" s="37">
        <f>IF($C$20="Annual",$D$20-SUM(E140:I140),IF(AND(6&gt;=$E$20,6&lt;=$F$20),$D$20,0))</f>
        <v/>
      </c>
      <c r="K138" s="37">
        <f>IF($C$20="Annual",$D$20-SUM(E140:J140),IF(AND(7&gt;=$E$20,7&lt;=$F$20),$D$20,0))</f>
        <v/>
      </c>
      <c r="L138" s="37">
        <f>IF($C$20="Annual",$D$20-SUM(E140:K140),IF(AND(8&gt;=$E$20,8&lt;=$F$20),$D$20,0))</f>
        <v/>
      </c>
      <c r="M138" s="37">
        <f>IF($C$20="Annual",$D$20-SUM(E140:L140),IF(AND(9&gt;=$E$20,9&lt;=$F$20),$D$20,0))</f>
        <v/>
      </c>
      <c r="N138" s="37">
        <f>IF($C$20="Annual",$D$20-SUM(E140:M140),IF(AND(10&gt;=$E$20,10&lt;=$F$20),$D$20,0))</f>
        <v/>
      </c>
      <c r="O138" s="37">
        <f>IF($C$20="Annual",$D$20-SUM(E140:N140),IF(AND(11&gt;=$E$20,11&lt;=$F$20),$D$20,0))</f>
        <v/>
      </c>
      <c r="P138" s="37">
        <f>IF($C$20="Annual",$D$20-SUM(E140:O140),IF(AND(12&gt;=$E$20,12&lt;=$F$20),$D$20,0))</f>
        <v/>
      </c>
      <c r="Q138" s="37">
        <f>IF($C$20="Annual",$D$20-SUM(E140:P140),IF(AND(13&gt;=$E$20,13&lt;=$F$20),$D$20,0))</f>
        <v/>
      </c>
      <c r="R138" s="37">
        <f>IF($C$20="Annual",$D$20-SUM(E140:Q140),IF(AND(14&gt;=$E$20,14&lt;=$F$20),$D$20,0))</f>
        <v/>
      </c>
      <c r="S138" s="37">
        <f>IF($C$20="Annual",$D$20-SUM(E140:R140),IF(AND(15&gt;=$E$20,15&lt;=$F$20),$D$20,0))</f>
        <v/>
      </c>
      <c r="T138" s="37">
        <f>IF($C$20="Annual",$D$20-SUM(E140:S140),IF(AND(16&gt;=$E$20,16&lt;=$F$20),$D$20,0))</f>
        <v/>
      </c>
      <c r="U138" s="37">
        <f>IF($C$20="Annual",$D$20-SUM(E140:T140),IF(AND(17&gt;=$E$20,17&lt;=$F$20),$D$20,0))</f>
        <v/>
      </c>
      <c r="V138" s="37">
        <f>IF($C$20="Annual",$D$20-SUM(E140:U140),IF(AND(18&gt;=$E$20,18&lt;=$F$20),$D$20,0))</f>
        <v/>
      </c>
      <c r="W138" s="37">
        <f>IF($C$20="Annual",$D$20-SUM(E140:V140),IF(AND(19&gt;=$E$20,19&lt;=$F$20),$D$20,0))</f>
        <v/>
      </c>
      <c r="X138" s="37">
        <f>IF($C$20="Annual",$D$20-SUM(E140:W140),IF(AND(20&gt;=$E$20,20&lt;=$F$20),$D$20,0))</f>
        <v/>
      </c>
      <c r="Y138" s="37">
        <f>IF($C$20="Annual",$D$20-SUM(E140:X140),IF(AND(21&gt;=$E$20,21&lt;=$F$20),$D$20,0))</f>
        <v/>
      </c>
      <c r="Z138" s="37">
        <f>IF($C$20="Annual",$D$20-SUM(E140:Y140),IF(AND(22&gt;=$E$20,22&lt;=$F$20),$D$20,0))</f>
        <v/>
      </c>
      <c r="AA138" s="37">
        <f>IF($C$20="Annual",$D$20-SUM(E140:Z140),IF(AND(23&gt;=$E$20,23&lt;=$F$20),$D$20,0))</f>
        <v/>
      </c>
      <c r="AB138" s="37">
        <f>IF($C$20="Annual",$D$20-SUM(E140:AA140),IF(AND(24&gt;=$E$20,24&lt;=$F$20),$D$20,0))</f>
        <v/>
      </c>
      <c r="AC138" s="37">
        <f>IF($C$20="Annual",$D$20-SUM(E140:AB140),IF(AND(25&gt;=$E$20,25&lt;=$F$20),$D$20,0))</f>
        <v/>
      </c>
      <c r="AD138" s="37">
        <f>IF($C$20="Annual",$D$20-SUM(E140:AC140),IF(AND(26&gt;=$E$20,26&lt;=$F$20),$D$20,0))</f>
        <v/>
      </c>
      <c r="AE138" s="37">
        <f>IF($C$20="Annual",$D$20-SUM(E140:AD140),IF(AND(27&gt;=$E$20,27&lt;=$F$20),$D$20,0))</f>
        <v/>
      </c>
      <c r="AF138" s="37">
        <f>IF($C$20="Annual",$D$20-SUM(E140:AE140),IF(AND(28&gt;=$E$20,28&lt;=$F$20),$D$20,0))</f>
        <v/>
      </c>
      <c r="AG138" s="37">
        <f>IF($C$20="Annual",$D$20-SUM(E140:AF140),IF(AND(29&gt;=$E$20,29&lt;=$F$20),$D$20,0))</f>
        <v/>
      </c>
      <c r="AH138" s="37">
        <f>IF($C$20="Annual",$D$20-SUM(E140:AG140),IF(AND(30&gt;=$E$20,30&lt;=$F$20),$D$20,0))</f>
        <v/>
      </c>
      <c r="AI138" s="37">
        <f>IF($C$20="Annual",$D$20-SUM(E140:AH140),IF(AND(31&gt;=$E$20,31&lt;=$F$20),$D$20,0))</f>
        <v/>
      </c>
      <c r="AJ138" s="37">
        <f>IF($C$20="Annual",$D$20-SUM(E140:AI140),IF(AND(32&gt;=$E$20,32&lt;=$F$20),$D$20,0))</f>
        <v/>
      </c>
      <c r="AK138" s="37">
        <f>IF($C$20="Annual",$D$20-SUM(E140:AJ140),IF(AND(33&gt;=$E$20,33&lt;=$F$20),$D$20,0))</f>
        <v/>
      </c>
      <c r="AL138" s="37">
        <f>IF($C$20="Annual",$D$20-SUM(E140:AK140),IF(AND(34&gt;=$E$20,34&lt;=$F$20),$D$20,0))</f>
        <v/>
      </c>
      <c r="AM138" s="37">
        <f>IF($C$20="Annual",$D$20-SUM(E140:AL140),IF(AND(35&gt;=$E$20,35&lt;=$F$20),$D$20,0))</f>
        <v/>
      </c>
      <c r="AN138" s="37">
        <f>IF($C$20="Annual",$D$20-SUM(E140:AM140),IF(AND(36&gt;=$E$20,36&lt;=$F$20),$D$20,0))</f>
        <v/>
      </c>
      <c r="AO138" s="37">
        <f>IF($C$20="Annual",$D$20-SUM(E140:AN140),IF(AND(37&gt;=$E$20,37&lt;=$F$20),$D$20,0))</f>
        <v/>
      </c>
      <c r="AP138" s="37">
        <f>IF($C$20="Annual",$D$20-SUM(E140:AO140),IF(AND(38&gt;=$E$20,38&lt;=$F$20),$D$20,0))</f>
        <v/>
      </c>
      <c r="AQ138" s="37">
        <f>IF($C$20="Annual",$D$20-SUM(E140:AP140),IF(AND(39&gt;=$E$20,39&lt;=$F$20),$D$20,0))</f>
        <v/>
      </c>
      <c r="AR138" s="37">
        <f>IF($C$20="Annual",$D$20-SUM(E140:AQ140),IF(AND(40&gt;=$E$20,40&lt;=$F$20),$D$20,0))</f>
        <v/>
      </c>
      <c r="AS138" s="37">
        <f>IF($C$20="Annual",$D$20-SUM(E140:AR140),IF(AND(41&gt;=$E$20,41&lt;=$F$20),$D$20,0))</f>
        <v/>
      </c>
      <c r="AT138" s="37">
        <f>IF($C$20="Annual",$D$20-SUM(E140:AS140),IF(AND(42&gt;=$E$20,42&lt;=$F$20),$D$20,0))</f>
        <v/>
      </c>
      <c r="AU138" s="37">
        <f>IF($C$20="Annual",$D$20-SUM(E140:AT140),IF(AND(43&gt;=$E$20,43&lt;=$F$20),$D$20,0))</f>
        <v/>
      </c>
      <c r="AV138" s="37">
        <f>IF($C$20="Annual",$D$20-SUM(E140:AU140),IF(AND(44&gt;=$E$20,44&lt;=$F$20),$D$20,0))</f>
        <v/>
      </c>
      <c r="AW138" s="37">
        <f>IF($C$20="Annual",$D$20-SUM(E140:AV140),IF(AND(45&gt;=$E$20,45&lt;=$F$20),$D$20,0))</f>
        <v/>
      </c>
      <c r="AX138" s="37">
        <f>IF($C$20="Annual",$D$20-SUM(E140:AW140),IF(AND(46&gt;=$E$20,46&lt;=$F$20),$D$20,0))</f>
        <v/>
      </c>
      <c r="AY138" s="37">
        <f>IF($C$20="Annual",$D$20-SUM(E140:AX140),IF(AND(47&gt;=$E$20,47&lt;=$F$20),$D$20,0))</f>
        <v/>
      </c>
      <c r="AZ138" s="37">
        <f>IF($C$20="Annual",$D$20-SUM(E140:AY140),IF(AND(48&gt;=$E$20,48&lt;=$F$20),$D$20,0))</f>
        <v/>
      </c>
      <c r="BA138" s="37">
        <f>IF($C$20="Annual",$D$20-SUM(E140:AZ140),IF(AND(49&gt;=$E$20,49&lt;=$F$20),$D$20,0))</f>
        <v/>
      </c>
      <c r="BB138" s="37">
        <f>IF($C$20="Annual",$D$20-SUM(E140:BA140),IF(AND(50&gt;=$E$20,50&lt;=$F$20),$D$20,0))</f>
        <v/>
      </c>
      <c r="BC138" s="37">
        <f>IF($C$20="Annual",$D$20-SUM(E140:BB140),IF(AND(51&gt;=$E$20,51&lt;=$F$20),$D$20,0))</f>
        <v/>
      </c>
      <c r="BD138" s="37">
        <f>IF($C$20="Annual",$D$20-SUM(E140:BC140),IF(AND(52&gt;=$E$20,52&lt;=$F$20),$D$20,0))</f>
        <v/>
      </c>
    </row>
    <row r="139">
      <c r="A139" s="21" t="inlineStr">
        <is>
          <t>Farmers Market — OFFERED</t>
        </is>
      </c>
      <c r="B139" s="2" t="inlineStr">
        <is>
          <t>lb  &lt;-- SOLVER</t>
        </is>
      </c>
      <c r="E139" s="38" t="n">
        <v>0</v>
      </c>
      <c r="F139" s="38" t="n">
        <v>0</v>
      </c>
      <c r="G139" s="38" t="n">
        <v>0</v>
      </c>
      <c r="H139" s="38" t="n">
        <v>0</v>
      </c>
      <c r="I139" s="38" t="n">
        <v>0</v>
      </c>
      <c r="J139" s="38" t="n">
        <v>0</v>
      </c>
      <c r="K139" s="38" t="n">
        <v>0</v>
      </c>
      <c r="L139" s="38" t="n">
        <v>0</v>
      </c>
      <c r="M139" s="38" t="n">
        <v>0</v>
      </c>
      <c r="N139" s="38" t="n">
        <v>0</v>
      </c>
      <c r="O139" s="38" t="n">
        <v>0</v>
      </c>
      <c r="P139" s="38" t="n">
        <v>0</v>
      </c>
      <c r="Q139" s="38" t="n">
        <v>0</v>
      </c>
      <c r="R139" s="38" t="n">
        <v>0</v>
      </c>
      <c r="S139" s="38" t="n">
        <v>0</v>
      </c>
      <c r="T139" s="38" t="n">
        <v>0</v>
      </c>
      <c r="U139" s="38" t="n">
        <v>0</v>
      </c>
      <c r="V139" s="38" t="n">
        <v>0</v>
      </c>
      <c r="W139" s="38" t="n">
        <v>0</v>
      </c>
      <c r="X139" s="38" t="n">
        <v>0</v>
      </c>
      <c r="Y139" s="38" t="n">
        <v>0</v>
      </c>
      <c r="Z139" s="38" t="n">
        <v>0</v>
      </c>
      <c r="AA139" s="38" t="n">
        <v>0</v>
      </c>
      <c r="AB139" s="38" t="n">
        <v>0</v>
      </c>
      <c r="AC139" s="38" t="n">
        <v>0</v>
      </c>
      <c r="AD139" s="38" t="n">
        <v>0</v>
      </c>
      <c r="AE139" s="38" t="n">
        <v>0</v>
      </c>
      <c r="AF139" s="38" t="n">
        <v>0</v>
      </c>
      <c r="AG139" s="38" t="n">
        <v>0</v>
      </c>
      <c r="AH139" s="38" t="n">
        <v>0</v>
      </c>
      <c r="AI139" s="38" t="n">
        <v>0</v>
      </c>
      <c r="AJ139" s="38" t="n">
        <v>0</v>
      </c>
      <c r="AK139" s="38" t="n">
        <v>0</v>
      </c>
      <c r="AL139" s="38" t="n">
        <v>0</v>
      </c>
      <c r="AM139" s="38" t="n">
        <v>0</v>
      </c>
      <c r="AN139" s="38" t="n">
        <v>0</v>
      </c>
      <c r="AO139" s="38" t="n">
        <v>0</v>
      </c>
      <c r="AP139" s="38" t="n">
        <v>0</v>
      </c>
      <c r="AQ139" s="38" t="n">
        <v>0</v>
      </c>
      <c r="AR139" s="38" t="n">
        <v>0</v>
      </c>
      <c r="AS139" s="38" t="n">
        <v>0</v>
      </c>
      <c r="AT139" s="38" t="n">
        <v>0</v>
      </c>
      <c r="AU139" s="38" t="n">
        <v>0</v>
      </c>
      <c r="AV139" s="38" t="n">
        <v>0</v>
      </c>
      <c r="AW139" s="38" t="n">
        <v>0</v>
      </c>
      <c r="AX139" s="38" t="n">
        <v>0</v>
      </c>
      <c r="AY139" s="38" t="n">
        <v>0</v>
      </c>
      <c r="AZ139" s="38" t="n">
        <v>0</v>
      </c>
      <c r="BA139" s="38" t="n">
        <v>0</v>
      </c>
      <c r="BB139" s="38" t="n">
        <v>0</v>
      </c>
      <c r="BC139" s="38" t="n">
        <v>0</v>
      </c>
      <c r="BD139" s="38" t="n">
        <v>0</v>
      </c>
    </row>
    <row r="140">
      <c r="A140" s="39" t="inlineStr">
        <is>
          <t>Farmers Market — SOLD</t>
        </is>
      </c>
      <c r="B140" s="2" t="inlineStr">
        <is>
          <t>lb</t>
        </is>
      </c>
      <c r="E140" s="37">
        <f>E139*$G$20</f>
        <v/>
      </c>
      <c r="F140" s="37">
        <f>F139*$G$20</f>
        <v/>
      </c>
      <c r="G140" s="37">
        <f>G139*$G$20</f>
        <v/>
      </c>
      <c r="H140" s="37">
        <f>H139*$G$20</f>
        <v/>
      </c>
      <c r="I140" s="37">
        <f>I139*$G$20</f>
        <v/>
      </c>
      <c r="J140" s="37">
        <f>J139*$G$20</f>
        <v/>
      </c>
      <c r="K140" s="37">
        <f>K139*$G$20</f>
        <v/>
      </c>
      <c r="L140" s="37">
        <f>L139*$G$20</f>
        <v/>
      </c>
      <c r="M140" s="37">
        <f>M139*$G$20</f>
        <v/>
      </c>
      <c r="N140" s="37">
        <f>N139*$G$20</f>
        <v/>
      </c>
      <c r="O140" s="37">
        <f>O139*$G$20</f>
        <v/>
      </c>
      <c r="P140" s="37">
        <f>P139*$G$20</f>
        <v/>
      </c>
      <c r="Q140" s="37">
        <f>Q139*$G$20</f>
        <v/>
      </c>
      <c r="R140" s="37">
        <f>R139*$G$20</f>
        <v/>
      </c>
      <c r="S140" s="37">
        <f>S139*$G$20</f>
        <v/>
      </c>
      <c r="T140" s="37">
        <f>T139*$G$20</f>
        <v/>
      </c>
      <c r="U140" s="37">
        <f>U139*$G$20</f>
        <v/>
      </c>
      <c r="V140" s="37">
        <f>V139*$G$20</f>
        <v/>
      </c>
      <c r="W140" s="37">
        <f>W139*$G$20</f>
        <v/>
      </c>
      <c r="X140" s="37">
        <f>X139*$G$20</f>
        <v/>
      </c>
      <c r="Y140" s="37">
        <f>Y139*$G$20</f>
        <v/>
      </c>
      <c r="Z140" s="37">
        <f>Z139*$G$20</f>
        <v/>
      </c>
      <c r="AA140" s="37">
        <f>AA139*$G$20</f>
        <v/>
      </c>
      <c r="AB140" s="37">
        <f>AB139*$G$20</f>
        <v/>
      </c>
      <c r="AC140" s="37">
        <f>AC139*$G$20</f>
        <v/>
      </c>
      <c r="AD140" s="37">
        <f>AD139*$G$20</f>
        <v/>
      </c>
      <c r="AE140" s="37">
        <f>AE139*$G$20</f>
        <v/>
      </c>
      <c r="AF140" s="37">
        <f>AF139*$G$20</f>
        <v/>
      </c>
      <c r="AG140" s="37">
        <f>AG139*$G$20</f>
        <v/>
      </c>
      <c r="AH140" s="37">
        <f>AH139*$G$20</f>
        <v/>
      </c>
      <c r="AI140" s="37">
        <f>AI139*$G$20</f>
        <v/>
      </c>
      <c r="AJ140" s="37">
        <f>AJ139*$G$20</f>
        <v/>
      </c>
      <c r="AK140" s="37">
        <f>AK139*$G$20</f>
        <v/>
      </c>
      <c r="AL140" s="37">
        <f>AL139*$G$20</f>
        <v/>
      </c>
      <c r="AM140" s="37">
        <f>AM139*$G$20</f>
        <v/>
      </c>
      <c r="AN140" s="37">
        <f>AN139*$G$20</f>
        <v/>
      </c>
      <c r="AO140" s="37">
        <f>AO139*$G$20</f>
        <v/>
      </c>
      <c r="AP140" s="37">
        <f>AP139*$G$20</f>
        <v/>
      </c>
      <c r="AQ140" s="37">
        <f>AQ139*$G$20</f>
        <v/>
      </c>
      <c r="AR140" s="37">
        <f>AR139*$G$20</f>
        <v/>
      </c>
      <c r="AS140" s="37">
        <f>AS139*$G$20</f>
        <v/>
      </c>
      <c r="AT140" s="37">
        <f>AT139*$G$20</f>
        <v/>
      </c>
      <c r="AU140" s="37">
        <f>AU139*$G$20</f>
        <v/>
      </c>
      <c r="AV140" s="37">
        <f>AV139*$G$20</f>
        <v/>
      </c>
      <c r="AW140" s="37">
        <f>AW139*$G$20</f>
        <v/>
      </c>
      <c r="AX140" s="37">
        <f>AX139*$G$20</f>
        <v/>
      </c>
      <c r="AY140" s="37">
        <f>AY139*$G$20</f>
        <v/>
      </c>
      <c r="AZ140" s="37">
        <f>AZ139*$G$20</f>
        <v/>
      </c>
      <c r="BA140" s="37">
        <f>BA139*$G$20</f>
        <v/>
      </c>
      <c r="BB140" s="37">
        <f>BB139*$G$20</f>
        <v/>
      </c>
      <c r="BC140" s="37">
        <f>BC139*$G$20</f>
        <v/>
      </c>
      <c r="BD140" s="37">
        <f>BD139*$G$20</f>
        <v/>
      </c>
    </row>
    <row r="141">
      <c r="A141" s="25" t="inlineStr">
        <is>
          <t xml:space="preserve">   market loss (gone)</t>
        </is>
      </c>
      <c r="B141" s="2" t="inlineStr">
        <is>
          <t>lb</t>
        </is>
      </c>
      <c r="E141" s="35">
        <f>(E139-E140)*(1-$H$20)</f>
        <v/>
      </c>
      <c r="F141" s="35">
        <f>(F139-F140)*(1-$H$20)</f>
        <v/>
      </c>
      <c r="G141" s="35">
        <f>(G139-G140)*(1-$H$20)</f>
        <v/>
      </c>
      <c r="H141" s="35">
        <f>(H139-H140)*(1-$H$20)</f>
        <v/>
      </c>
      <c r="I141" s="35">
        <f>(I139-I140)*(1-$H$20)</f>
        <v/>
      </c>
      <c r="J141" s="35">
        <f>(J139-J140)*(1-$H$20)</f>
        <v/>
      </c>
      <c r="K141" s="35">
        <f>(K139-K140)*(1-$H$20)</f>
        <v/>
      </c>
      <c r="L141" s="35">
        <f>(L139-L140)*(1-$H$20)</f>
        <v/>
      </c>
      <c r="M141" s="35">
        <f>(M139-M140)*(1-$H$20)</f>
        <v/>
      </c>
      <c r="N141" s="35">
        <f>(N139-N140)*(1-$H$20)</f>
        <v/>
      </c>
      <c r="O141" s="35">
        <f>(O139-O140)*(1-$H$20)</f>
        <v/>
      </c>
      <c r="P141" s="35">
        <f>(P139-P140)*(1-$H$20)</f>
        <v/>
      </c>
      <c r="Q141" s="35">
        <f>(Q139-Q140)*(1-$H$20)</f>
        <v/>
      </c>
      <c r="R141" s="35">
        <f>(R139-R140)*(1-$H$20)</f>
        <v/>
      </c>
      <c r="S141" s="35">
        <f>(S139-S140)*(1-$H$20)</f>
        <v/>
      </c>
      <c r="T141" s="35">
        <f>(T139-T140)*(1-$H$20)</f>
        <v/>
      </c>
      <c r="U141" s="35">
        <f>(U139-U140)*(1-$H$20)</f>
        <v/>
      </c>
      <c r="V141" s="35">
        <f>(V139-V140)*(1-$H$20)</f>
        <v/>
      </c>
      <c r="W141" s="35">
        <f>(W139-W140)*(1-$H$20)</f>
        <v/>
      </c>
      <c r="X141" s="35">
        <f>(X139-X140)*(1-$H$20)</f>
        <v/>
      </c>
      <c r="Y141" s="35">
        <f>(Y139-Y140)*(1-$H$20)</f>
        <v/>
      </c>
      <c r="Z141" s="35">
        <f>(Z139-Z140)*(1-$H$20)</f>
        <v/>
      </c>
      <c r="AA141" s="35">
        <f>(AA139-AA140)*(1-$H$20)</f>
        <v/>
      </c>
      <c r="AB141" s="35">
        <f>(AB139-AB140)*(1-$H$20)</f>
        <v/>
      </c>
      <c r="AC141" s="35">
        <f>(AC139-AC140)*(1-$H$20)</f>
        <v/>
      </c>
      <c r="AD141" s="35">
        <f>(AD139-AD140)*(1-$H$20)</f>
        <v/>
      </c>
      <c r="AE141" s="35">
        <f>(AE139-AE140)*(1-$H$20)</f>
        <v/>
      </c>
      <c r="AF141" s="35">
        <f>(AF139-AF140)*(1-$H$20)</f>
        <v/>
      </c>
      <c r="AG141" s="35">
        <f>(AG139-AG140)*(1-$H$20)</f>
        <v/>
      </c>
      <c r="AH141" s="35">
        <f>(AH139-AH140)*(1-$H$20)</f>
        <v/>
      </c>
      <c r="AI141" s="35">
        <f>(AI139-AI140)*(1-$H$20)</f>
        <v/>
      </c>
      <c r="AJ141" s="35">
        <f>(AJ139-AJ140)*(1-$H$20)</f>
        <v/>
      </c>
      <c r="AK141" s="35">
        <f>(AK139-AK140)*(1-$H$20)</f>
        <v/>
      </c>
      <c r="AL141" s="35">
        <f>(AL139-AL140)*(1-$H$20)</f>
        <v/>
      </c>
      <c r="AM141" s="35">
        <f>(AM139-AM140)*(1-$H$20)</f>
        <v/>
      </c>
      <c r="AN141" s="35">
        <f>(AN139-AN140)*(1-$H$20)</f>
        <v/>
      </c>
      <c r="AO141" s="35">
        <f>(AO139-AO140)*(1-$H$20)</f>
        <v/>
      </c>
      <c r="AP141" s="35">
        <f>(AP139-AP140)*(1-$H$20)</f>
        <v/>
      </c>
      <c r="AQ141" s="35">
        <f>(AQ139-AQ140)*(1-$H$20)</f>
        <v/>
      </c>
      <c r="AR141" s="35">
        <f>(AR139-AR140)*(1-$H$20)</f>
        <v/>
      </c>
      <c r="AS141" s="35">
        <f>(AS139-AS140)*(1-$H$20)</f>
        <v/>
      </c>
      <c r="AT141" s="35">
        <f>(AT139-AT140)*(1-$H$20)</f>
        <v/>
      </c>
      <c r="AU141" s="35">
        <f>(AU139-AU140)*(1-$H$20)</f>
        <v/>
      </c>
      <c r="AV141" s="35">
        <f>(AV139-AV140)*(1-$H$20)</f>
        <v/>
      </c>
      <c r="AW141" s="35">
        <f>(AW139-AW140)*(1-$H$20)</f>
        <v/>
      </c>
      <c r="AX141" s="35">
        <f>(AX139-AX140)*(1-$H$20)</f>
        <v/>
      </c>
      <c r="AY141" s="35">
        <f>(AY139-AY140)*(1-$H$20)</f>
        <v/>
      </c>
      <c r="AZ141" s="35">
        <f>(AZ139-AZ140)*(1-$H$20)</f>
        <v/>
      </c>
      <c r="BA141" s="35">
        <f>(BA139-BA140)*(1-$H$20)</f>
        <v/>
      </c>
      <c r="BB141" s="35">
        <f>(BB139-BB140)*(1-$H$20)</f>
        <v/>
      </c>
      <c r="BC141" s="35">
        <f>(BC139-BC140)*(1-$H$20)</f>
        <v/>
      </c>
      <c r="BD141" s="35">
        <f>(BD139-BD140)*(1-$H$20)</f>
        <v/>
      </c>
    </row>
    <row r="142">
      <c r="A142" s="25" t="inlineStr">
        <is>
          <t xml:space="preserve">   returned to store</t>
        </is>
      </c>
      <c r="B142" s="2" t="inlineStr">
        <is>
          <t>lb</t>
        </is>
      </c>
      <c r="E142" s="35">
        <f>(E139-E140)*$H$20</f>
        <v/>
      </c>
      <c r="F142" s="35">
        <f>(F139-F140)*$H$20</f>
        <v/>
      </c>
      <c r="G142" s="35">
        <f>(G139-G140)*$H$20</f>
        <v/>
      </c>
      <c r="H142" s="35">
        <f>(H139-H140)*$H$20</f>
        <v/>
      </c>
      <c r="I142" s="35">
        <f>(I139-I140)*$H$20</f>
        <v/>
      </c>
      <c r="J142" s="35">
        <f>(J139-J140)*$H$20</f>
        <v/>
      </c>
      <c r="K142" s="35">
        <f>(K139-K140)*$H$20</f>
        <v/>
      </c>
      <c r="L142" s="35">
        <f>(L139-L140)*$H$20</f>
        <v/>
      </c>
      <c r="M142" s="35">
        <f>(M139-M140)*$H$20</f>
        <v/>
      </c>
      <c r="N142" s="35">
        <f>(N139-N140)*$H$20</f>
        <v/>
      </c>
      <c r="O142" s="35">
        <f>(O139-O140)*$H$20</f>
        <v/>
      </c>
      <c r="P142" s="35">
        <f>(P139-P140)*$H$20</f>
        <v/>
      </c>
      <c r="Q142" s="35">
        <f>(Q139-Q140)*$H$20</f>
        <v/>
      </c>
      <c r="R142" s="35">
        <f>(R139-R140)*$H$20</f>
        <v/>
      </c>
      <c r="S142" s="35">
        <f>(S139-S140)*$H$20</f>
        <v/>
      </c>
      <c r="T142" s="35">
        <f>(T139-T140)*$H$20</f>
        <v/>
      </c>
      <c r="U142" s="35">
        <f>(U139-U140)*$H$20</f>
        <v/>
      </c>
      <c r="V142" s="35">
        <f>(V139-V140)*$H$20</f>
        <v/>
      </c>
      <c r="W142" s="35">
        <f>(W139-W140)*$H$20</f>
        <v/>
      </c>
      <c r="X142" s="35">
        <f>(X139-X140)*$H$20</f>
        <v/>
      </c>
      <c r="Y142" s="35">
        <f>(Y139-Y140)*$H$20</f>
        <v/>
      </c>
      <c r="Z142" s="35">
        <f>(Z139-Z140)*$H$20</f>
        <v/>
      </c>
      <c r="AA142" s="35">
        <f>(AA139-AA140)*$H$20</f>
        <v/>
      </c>
      <c r="AB142" s="35">
        <f>(AB139-AB140)*$H$20</f>
        <v/>
      </c>
      <c r="AC142" s="35">
        <f>(AC139-AC140)*$H$20</f>
        <v/>
      </c>
      <c r="AD142" s="35">
        <f>(AD139-AD140)*$H$20</f>
        <v/>
      </c>
      <c r="AE142" s="35">
        <f>(AE139-AE140)*$H$20</f>
        <v/>
      </c>
      <c r="AF142" s="35">
        <f>(AF139-AF140)*$H$20</f>
        <v/>
      </c>
      <c r="AG142" s="35">
        <f>(AG139-AG140)*$H$20</f>
        <v/>
      </c>
      <c r="AH142" s="35">
        <f>(AH139-AH140)*$H$20</f>
        <v/>
      </c>
      <c r="AI142" s="35">
        <f>(AI139-AI140)*$H$20</f>
        <v/>
      </c>
      <c r="AJ142" s="35">
        <f>(AJ139-AJ140)*$H$20</f>
        <v/>
      </c>
      <c r="AK142" s="35">
        <f>(AK139-AK140)*$H$20</f>
        <v/>
      </c>
      <c r="AL142" s="35">
        <f>(AL139-AL140)*$H$20</f>
        <v/>
      </c>
      <c r="AM142" s="35">
        <f>(AM139-AM140)*$H$20</f>
        <v/>
      </c>
      <c r="AN142" s="35">
        <f>(AN139-AN140)*$H$20</f>
        <v/>
      </c>
      <c r="AO142" s="35">
        <f>(AO139-AO140)*$H$20</f>
        <v/>
      </c>
      <c r="AP142" s="35">
        <f>(AP139-AP140)*$H$20</f>
        <v/>
      </c>
      <c r="AQ142" s="35">
        <f>(AQ139-AQ140)*$H$20</f>
        <v/>
      </c>
      <c r="AR142" s="35">
        <f>(AR139-AR140)*$H$20</f>
        <v/>
      </c>
      <c r="AS142" s="35">
        <f>(AS139-AS140)*$H$20</f>
        <v/>
      </c>
      <c r="AT142" s="35">
        <f>(AT139-AT140)*$H$20</f>
        <v/>
      </c>
      <c r="AU142" s="35">
        <f>(AU139-AU140)*$H$20</f>
        <v/>
      </c>
      <c r="AV142" s="35">
        <f>(AV139-AV140)*$H$20</f>
        <v/>
      </c>
      <c r="AW142" s="35">
        <f>(AW139-AW140)*$H$20</f>
        <v/>
      </c>
      <c r="AX142" s="35">
        <f>(AX139-AX140)*$H$20</f>
        <v/>
      </c>
      <c r="AY142" s="35">
        <f>(AY139-AY140)*$H$20</f>
        <v/>
      </c>
      <c r="AZ142" s="35">
        <f>(AZ139-AZ140)*$H$20</f>
        <v/>
      </c>
      <c r="BA142" s="35">
        <f>(BA139-BA140)*$H$20</f>
        <v/>
      </c>
      <c r="BB142" s="35">
        <f>(BB139-BB140)*$H$20</f>
        <v/>
      </c>
      <c r="BC142" s="35">
        <f>(BC139-BC140)*$H$20</f>
        <v/>
      </c>
      <c r="BD142" s="35">
        <f>(BD139-BD140)*$H$20</f>
        <v/>
      </c>
    </row>
    <row r="143">
      <c r="A143" s="25" t="inlineStr">
        <is>
          <t xml:space="preserve">   leaves the store (offered - returned)</t>
        </is>
      </c>
      <c r="B143" s="2" t="inlineStr">
        <is>
          <t>lb</t>
        </is>
      </c>
      <c r="E143" s="35">
        <f>E139-E142</f>
        <v/>
      </c>
      <c r="F143" s="35">
        <f>F139-F142</f>
        <v/>
      </c>
      <c r="G143" s="35">
        <f>G139-G142</f>
        <v/>
      </c>
      <c r="H143" s="35">
        <f>H139-H142</f>
        <v/>
      </c>
      <c r="I143" s="35">
        <f>I139-I142</f>
        <v/>
      </c>
      <c r="J143" s="35">
        <f>J139-J142</f>
        <v/>
      </c>
      <c r="K143" s="35">
        <f>K139-K142</f>
        <v/>
      </c>
      <c r="L143" s="35">
        <f>L139-L142</f>
        <v/>
      </c>
      <c r="M143" s="35">
        <f>M139-M142</f>
        <v/>
      </c>
      <c r="N143" s="35">
        <f>N139-N142</f>
        <v/>
      </c>
      <c r="O143" s="35">
        <f>O139-O142</f>
        <v/>
      </c>
      <c r="P143" s="35">
        <f>P139-P142</f>
        <v/>
      </c>
      <c r="Q143" s="35">
        <f>Q139-Q142</f>
        <v/>
      </c>
      <c r="R143" s="35">
        <f>R139-R142</f>
        <v/>
      </c>
      <c r="S143" s="35">
        <f>S139-S142</f>
        <v/>
      </c>
      <c r="T143" s="35">
        <f>T139-T142</f>
        <v/>
      </c>
      <c r="U143" s="35">
        <f>U139-U142</f>
        <v/>
      </c>
      <c r="V143" s="35">
        <f>V139-V142</f>
        <v/>
      </c>
      <c r="W143" s="35">
        <f>W139-W142</f>
        <v/>
      </c>
      <c r="X143" s="35">
        <f>X139-X142</f>
        <v/>
      </c>
      <c r="Y143" s="35">
        <f>Y139-Y142</f>
        <v/>
      </c>
      <c r="Z143" s="35">
        <f>Z139-Z142</f>
        <v/>
      </c>
      <c r="AA143" s="35">
        <f>AA139-AA142</f>
        <v/>
      </c>
      <c r="AB143" s="35">
        <f>AB139-AB142</f>
        <v/>
      </c>
      <c r="AC143" s="35">
        <f>AC139-AC142</f>
        <v/>
      </c>
      <c r="AD143" s="35">
        <f>AD139-AD142</f>
        <v/>
      </c>
      <c r="AE143" s="35">
        <f>AE139-AE142</f>
        <v/>
      </c>
      <c r="AF143" s="35">
        <f>AF139-AF142</f>
        <v/>
      </c>
      <c r="AG143" s="35">
        <f>AG139-AG142</f>
        <v/>
      </c>
      <c r="AH143" s="35">
        <f>AH139-AH142</f>
        <v/>
      </c>
      <c r="AI143" s="35">
        <f>AI139-AI142</f>
        <v/>
      </c>
      <c r="AJ143" s="35">
        <f>AJ139-AJ142</f>
        <v/>
      </c>
      <c r="AK143" s="35">
        <f>AK139-AK142</f>
        <v/>
      </c>
      <c r="AL143" s="35">
        <f>AL139-AL142</f>
        <v/>
      </c>
      <c r="AM143" s="35">
        <f>AM139-AM142</f>
        <v/>
      </c>
      <c r="AN143" s="35">
        <f>AN139-AN142</f>
        <v/>
      </c>
      <c r="AO143" s="35">
        <f>AO139-AO142</f>
        <v/>
      </c>
      <c r="AP143" s="35">
        <f>AP139-AP142</f>
        <v/>
      </c>
      <c r="AQ143" s="35">
        <f>AQ139-AQ142</f>
        <v/>
      </c>
      <c r="AR143" s="35">
        <f>AR139-AR142</f>
        <v/>
      </c>
      <c r="AS143" s="35">
        <f>AS139-AS142</f>
        <v/>
      </c>
      <c r="AT143" s="35">
        <f>AT139-AT142</f>
        <v/>
      </c>
      <c r="AU143" s="35">
        <f>AU139-AU142</f>
        <v/>
      </c>
      <c r="AV143" s="35">
        <f>AV139-AV142</f>
        <v/>
      </c>
      <c r="AW143" s="35">
        <f>AW139-AW142</f>
        <v/>
      </c>
      <c r="AX143" s="35">
        <f>AX139-AX142</f>
        <v/>
      </c>
      <c r="AY143" s="35">
        <f>AY139-AY142</f>
        <v/>
      </c>
      <c r="AZ143" s="35">
        <f>AZ139-AZ142</f>
        <v/>
      </c>
      <c r="BA143" s="35">
        <f>BA139-BA142</f>
        <v/>
      </c>
      <c r="BB143" s="35">
        <f>BB139-BB142</f>
        <v/>
      </c>
      <c r="BC143" s="35">
        <f>BC139-BC142</f>
        <v/>
      </c>
      <c r="BD143" s="35">
        <f>BD139-BD142</f>
        <v/>
      </c>
    </row>
    <row r="144">
      <c r="A144" s="44" t="inlineStr">
        <is>
          <t>Wholesale — most you may sell this week</t>
        </is>
      </c>
      <c r="B144" s="2" t="inlineStr">
        <is>
          <t>lb</t>
        </is>
      </c>
      <c r="E144" s="45">
        <f>IF($C$21="Annual",$D$21-0,IF(AND(1&gt;=$E$21,1&lt;=$F$21),$D$21,0))</f>
        <v/>
      </c>
      <c r="F144" s="45">
        <f>IF($C$21="Annual",$D$21-SUM(E148:E148),IF(AND(2&gt;=$E$21,2&lt;=$F$21),$D$21,0))</f>
        <v/>
      </c>
      <c r="G144" s="45">
        <f>IF($C$21="Annual",$D$21-SUM(E148:F148),IF(AND(3&gt;=$E$21,3&lt;=$F$21),$D$21,0))</f>
        <v/>
      </c>
      <c r="H144" s="45">
        <f>IF($C$21="Annual",$D$21-SUM(E148:G148),IF(AND(4&gt;=$E$21,4&lt;=$F$21),$D$21,0))</f>
        <v/>
      </c>
      <c r="I144" s="45">
        <f>IF($C$21="Annual",$D$21-SUM(E148:H148),IF(AND(5&gt;=$E$21,5&lt;=$F$21),$D$21,0))</f>
        <v/>
      </c>
      <c r="J144" s="45">
        <f>IF($C$21="Annual",$D$21-SUM(E148:I148),IF(AND(6&gt;=$E$21,6&lt;=$F$21),$D$21,0))</f>
        <v/>
      </c>
      <c r="K144" s="45">
        <f>IF($C$21="Annual",$D$21-SUM(E148:J148),IF(AND(7&gt;=$E$21,7&lt;=$F$21),$D$21,0))</f>
        <v/>
      </c>
      <c r="L144" s="45">
        <f>IF($C$21="Annual",$D$21-SUM(E148:K148),IF(AND(8&gt;=$E$21,8&lt;=$F$21),$D$21,0))</f>
        <v/>
      </c>
      <c r="M144" s="45">
        <f>IF($C$21="Annual",$D$21-SUM(E148:L148),IF(AND(9&gt;=$E$21,9&lt;=$F$21),$D$21,0))</f>
        <v/>
      </c>
      <c r="N144" s="45">
        <f>IF($C$21="Annual",$D$21-SUM(E148:M148),IF(AND(10&gt;=$E$21,10&lt;=$F$21),$D$21,0))</f>
        <v/>
      </c>
      <c r="O144" s="45">
        <f>IF($C$21="Annual",$D$21-SUM(E148:N148),IF(AND(11&gt;=$E$21,11&lt;=$F$21),$D$21,0))</f>
        <v/>
      </c>
      <c r="P144" s="45">
        <f>IF($C$21="Annual",$D$21-SUM(E148:O148),IF(AND(12&gt;=$E$21,12&lt;=$F$21),$D$21,0))</f>
        <v/>
      </c>
      <c r="Q144" s="45">
        <f>IF($C$21="Annual",$D$21-SUM(E148:P148),IF(AND(13&gt;=$E$21,13&lt;=$F$21),$D$21,0))</f>
        <v/>
      </c>
      <c r="R144" s="45">
        <f>IF($C$21="Annual",$D$21-SUM(E148:Q148),IF(AND(14&gt;=$E$21,14&lt;=$F$21),$D$21,0))</f>
        <v/>
      </c>
      <c r="S144" s="45">
        <f>IF($C$21="Annual",$D$21-SUM(E148:R148),IF(AND(15&gt;=$E$21,15&lt;=$F$21),$D$21,0))</f>
        <v/>
      </c>
      <c r="T144" s="45">
        <f>IF($C$21="Annual",$D$21-SUM(E148:S148),IF(AND(16&gt;=$E$21,16&lt;=$F$21),$D$21,0))</f>
        <v/>
      </c>
      <c r="U144" s="45">
        <f>IF($C$21="Annual",$D$21-SUM(E148:T148),IF(AND(17&gt;=$E$21,17&lt;=$F$21),$D$21,0))</f>
        <v/>
      </c>
      <c r="V144" s="45">
        <f>IF($C$21="Annual",$D$21-SUM(E148:U148),IF(AND(18&gt;=$E$21,18&lt;=$F$21),$D$21,0))</f>
        <v/>
      </c>
      <c r="W144" s="45">
        <f>IF($C$21="Annual",$D$21-SUM(E148:V148),IF(AND(19&gt;=$E$21,19&lt;=$F$21),$D$21,0))</f>
        <v/>
      </c>
      <c r="X144" s="45">
        <f>IF($C$21="Annual",$D$21-SUM(E148:W148),IF(AND(20&gt;=$E$21,20&lt;=$F$21),$D$21,0))</f>
        <v/>
      </c>
      <c r="Y144" s="45">
        <f>IF($C$21="Annual",$D$21-SUM(E148:X148),IF(AND(21&gt;=$E$21,21&lt;=$F$21),$D$21,0))</f>
        <v/>
      </c>
      <c r="Z144" s="45">
        <f>IF($C$21="Annual",$D$21-SUM(E148:Y148),IF(AND(22&gt;=$E$21,22&lt;=$F$21),$D$21,0))</f>
        <v/>
      </c>
      <c r="AA144" s="45">
        <f>IF($C$21="Annual",$D$21-SUM(E148:Z148),IF(AND(23&gt;=$E$21,23&lt;=$F$21),$D$21,0))</f>
        <v/>
      </c>
      <c r="AB144" s="45">
        <f>IF($C$21="Annual",$D$21-SUM(E148:AA148),IF(AND(24&gt;=$E$21,24&lt;=$F$21),$D$21,0))</f>
        <v/>
      </c>
      <c r="AC144" s="45">
        <f>IF($C$21="Annual",$D$21-SUM(E148:AB148),IF(AND(25&gt;=$E$21,25&lt;=$F$21),$D$21,0))</f>
        <v/>
      </c>
      <c r="AD144" s="45">
        <f>IF($C$21="Annual",$D$21-SUM(E148:AC148),IF(AND(26&gt;=$E$21,26&lt;=$F$21),$D$21,0))</f>
        <v/>
      </c>
      <c r="AE144" s="45">
        <f>IF($C$21="Annual",$D$21-SUM(E148:AD148),IF(AND(27&gt;=$E$21,27&lt;=$F$21),$D$21,0))</f>
        <v/>
      </c>
      <c r="AF144" s="45">
        <f>IF($C$21="Annual",$D$21-SUM(E148:AE148),IF(AND(28&gt;=$E$21,28&lt;=$F$21),$D$21,0))</f>
        <v/>
      </c>
      <c r="AG144" s="45">
        <f>IF($C$21="Annual",$D$21-SUM(E148:AF148),IF(AND(29&gt;=$E$21,29&lt;=$F$21),$D$21,0))</f>
        <v/>
      </c>
      <c r="AH144" s="45">
        <f>IF($C$21="Annual",$D$21-SUM(E148:AG148),IF(AND(30&gt;=$E$21,30&lt;=$F$21),$D$21,0))</f>
        <v/>
      </c>
      <c r="AI144" s="45">
        <f>IF($C$21="Annual",$D$21-SUM(E148:AH148),IF(AND(31&gt;=$E$21,31&lt;=$F$21),$D$21,0))</f>
        <v/>
      </c>
      <c r="AJ144" s="45">
        <f>IF($C$21="Annual",$D$21-SUM(E148:AI148),IF(AND(32&gt;=$E$21,32&lt;=$F$21),$D$21,0))</f>
        <v/>
      </c>
      <c r="AK144" s="45">
        <f>IF($C$21="Annual",$D$21-SUM(E148:AJ148),IF(AND(33&gt;=$E$21,33&lt;=$F$21),$D$21,0))</f>
        <v/>
      </c>
      <c r="AL144" s="45">
        <f>IF($C$21="Annual",$D$21-SUM(E148:AK148),IF(AND(34&gt;=$E$21,34&lt;=$F$21),$D$21,0))</f>
        <v/>
      </c>
      <c r="AM144" s="45">
        <f>IF($C$21="Annual",$D$21-SUM(E148:AL148),IF(AND(35&gt;=$E$21,35&lt;=$F$21),$D$21,0))</f>
        <v/>
      </c>
      <c r="AN144" s="45">
        <f>IF($C$21="Annual",$D$21-SUM(E148:AM148),IF(AND(36&gt;=$E$21,36&lt;=$F$21),$D$21,0))</f>
        <v/>
      </c>
      <c r="AO144" s="45">
        <f>IF($C$21="Annual",$D$21-SUM(E148:AN148),IF(AND(37&gt;=$E$21,37&lt;=$F$21),$D$21,0))</f>
        <v/>
      </c>
      <c r="AP144" s="45">
        <f>IF($C$21="Annual",$D$21-SUM(E148:AO148),IF(AND(38&gt;=$E$21,38&lt;=$F$21),$D$21,0))</f>
        <v/>
      </c>
      <c r="AQ144" s="45">
        <f>IF($C$21="Annual",$D$21-SUM(E148:AP148),IF(AND(39&gt;=$E$21,39&lt;=$F$21),$D$21,0))</f>
        <v/>
      </c>
      <c r="AR144" s="45">
        <f>IF($C$21="Annual",$D$21-SUM(E148:AQ148),IF(AND(40&gt;=$E$21,40&lt;=$F$21),$D$21,0))</f>
        <v/>
      </c>
      <c r="AS144" s="45">
        <f>IF($C$21="Annual",$D$21-SUM(E148:AR148),IF(AND(41&gt;=$E$21,41&lt;=$F$21),$D$21,0))</f>
        <v/>
      </c>
      <c r="AT144" s="45">
        <f>IF($C$21="Annual",$D$21-SUM(E148:AS148),IF(AND(42&gt;=$E$21,42&lt;=$F$21),$D$21,0))</f>
        <v/>
      </c>
      <c r="AU144" s="45">
        <f>IF($C$21="Annual",$D$21-SUM(E148:AT148),IF(AND(43&gt;=$E$21,43&lt;=$F$21),$D$21,0))</f>
        <v/>
      </c>
      <c r="AV144" s="45">
        <f>IF($C$21="Annual",$D$21-SUM(E148:AU148),IF(AND(44&gt;=$E$21,44&lt;=$F$21),$D$21,0))</f>
        <v/>
      </c>
      <c r="AW144" s="45">
        <f>IF($C$21="Annual",$D$21-SUM(E148:AV148),IF(AND(45&gt;=$E$21,45&lt;=$F$21),$D$21,0))</f>
        <v/>
      </c>
      <c r="AX144" s="45">
        <f>IF($C$21="Annual",$D$21-SUM(E148:AW148),IF(AND(46&gt;=$E$21,46&lt;=$F$21),$D$21,0))</f>
        <v/>
      </c>
      <c r="AY144" s="45">
        <f>IF($C$21="Annual",$D$21-SUM(E148:AX148),IF(AND(47&gt;=$E$21,47&lt;=$F$21),$D$21,0))</f>
        <v/>
      </c>
      <c r="AZ144" s="45">
        <f>IF($C$21="Annual",$D$21-SUM(E148:AY148),IF(AND(48&gt;=$E$21,48&lt;=$F$21),$D$21,0))</f>
        <v/>
      </c>
      <c r="BA144" s="45">
        <f>IF($C$21="Annual",$D$21-SUM(E148:AZ148),IF(AND(49&gt;=$E$21,49&lt;=$F$21),$D$21,0))</f>
        <v/>
      </c>
      <c r="BB144" s="45">
        <f>IF($C$21="Annual",$D$21-SUM(E148:BA148),IF(AND(50&gt;=$E$21,50&lt;=$F$21),$D$21,0))</f>
        <v/>
      </c>
      <c r="BC144" s="45">
        <f>IF($C$21="Annual",$D$21-SUM(E148:BB148),IF(AND(51&gt;=$E$21,51&lt;=$F$21),$D$21,0))</f>
        <v/>
      </c>
      <c r="BD144" s="45">
        <f>IF($C$21="Annual",$D$21-SUM(E148:BC148),IF(AND(52&gt;=$E$21,52&lt;=$F$21),$D$21,0))</f>
        <v/>
      </c>
    </row>
    <row r="145">
      <c r="A145" s="2" t="inlineStr">
        <is>
          <t xml:space="preserve">   ^ Wholesale is an ANNUAL cap (500,000 lb a year), so there is NO weekly limit —</t>
        </is>
      </c>
    </row>
    <row r="146">
      <c r="A146" s="2" t="inlineStr">
        <is>
          <t xml:space="preserve">     this row is what is LEFT of the year, and it falls as you sell.</t>
        </is>
      </c>
    </row>
    <row r="147">
      <c r="A147" s="21" t="inlineStr">
        <is>
          <t>Wholesale — OFFERED</t>
        </is>
      </c>
      <c r="B147" s="2" t="inlineStr">
        <is>
          <t>lb  &lt;-- SOLVER</t>
        </is>
      </c>
      <c r="E147" s="38" t="n">
        <v>0</v>
      </c>
      <c r="F147" s="38" t="n">
        <v>0</v>
      </c>
      <c r="G147" s="38" t="n">
        <v>0</v>
      </c>
      <c r="H147" s="38" t="n">
        <v>0</v>
      </c>
      <c r="I147" s="38" t="n">
        <v>0</v>
      </c>
      <c r="J147" s="38" t="n">
        <v>0</v>
      </c>
      <c r="K147" s="38" t="n">
        <v>0</v>
      </c>
      <c r="L147" s="38" t="n">
        <v>0</v>
      </c>
      <c r="M147" s="38" t="n">
        <v>0</v>
      </c>
      <c r="N147" s="38" t="n">
        <v>0</v>
      </c>
      <c r="O147" s="38" t="n">
        <v>0</v>
      </c>
      <c r="P147" s="38" t="n">
        <v>0</v>
      </c>
      <c r="Q147" s="38" t="n">
        <v>0</v>
      </c>
      <c r="R147" s="38" t="n">
        <v>0</v>
      </c>
      <c r="S147" s="38" t="n">
        <v>0</v>
      </c>
      <c r="T147" s="38" t="n">
        <v>0</v>
      </c>
      <c r="U147" s="38" t="n">
        <v>0</v>
      </c>
      <c r="V147" s="38" t="n">
        <v>0</v>
      </c>
      <c r="W147" s="38" t="n">
        <v>0</v>
      </c>
      <c r="X147" s="38" t="n">
        <v>0</v>
      </c>
      <c r="Y147" s="38" t="n">
        <v>0</v>
      </c>
      <c r="Z147" s="38" t="n">
        <v>0</v>
      </c>
      <c r="AA147" s="38" t="n">
        <v>0</v>
      </c>
      <c r="AB147" s="38" t="n">
        <v>0</v>
      </c>
      <c r="AC147" s="38" t="n">
        <v>0</v>
      </c>
      <c r="AD147" s="38" t="n">
        <v>0</v>
      </c>
      <c r="AE147" s="38" t="n">
        <v>0</v>
      </c>
      <c r="AF147" s="38" t="n">
        <v>0</v>
      </c>
      <c r="AG147" s="38" t="n">
        <v>0</v>
      </c>
      <c r="AH147" s="38" t="n">
        <v>0</v>
      </c>
      <c r="AI147" s="38" t="n">
        <v>0</v>
      </c>
      <c r="AJ147" s="38" t="n">
        <v>0</v>
      </c>
      <c r="AK147" s="38" t="n">
        <v>0</v>
      </c>
      <c r="AL147" s="38" t="n">
        <v>0</v>
      </c>
      <c r="AM147" s="38" t="n">
        <v>0</v>
      </c>
      <c r="AN147" s="38" t="n">
        <v>0</v>
      </c>
      <c r="AO147" s="38" t="n">
        <v>0</v>
      </c>
      <c r="AP147" s="38" t="n">
        <v>0</v>
      </c>
      <c r="AQ147" s="38" t="n">
        <v>0</v>
      </c>
      <c r="AR147" s="38" t="n">
        <v>0</v>
      </c>
      <c r="AS147" s="38" t="n">
        <v>0</v>
      </c>
      <c r="AT147" s="38" t="n">
        <v>0</v>
      </c>
      <c r="AU147" s="38" t="n">
        <v>0</v>
      </c>
      <c r="AV147" s="38" t="n">
        <v>0</v>
      </c>
      <c r="AW147" s="38" t="n">
        <v>0</v>
      </c>
      <c r="AX147" s="38" t="n">
        <v>0</v>
      </c>
      <c r="AY147" s="38" t="n">
        <v>0</v>
      </c>
      <c r="AZ147" s="38" t="n">
        <v>0</v>
      </c>
      <c r="BA147" s="38" t="n">
        <v>0</v>
      </c>
      <c r="BB147" s="38" t="n">
        <v>0</v>
      </c>
      <c r="BC147" s="38" t="n">
        <v>0</v>
      </c>
      <c r="BD147" s="38" t="n">
        <v>0</v>
      </c>
    </row>
    <row r="148">
      <c r="A148" s="42" t="inlineStr">
        <is>
          <t>Wholesale — SOLD</t>
        </is>
      </c>
      <c r="B148" s="2" t="inlineStr">
        <is>
          <t>lb</t>
        </is>
      </c>
      <c r="E148" s="41">
        <f>E147*$G$21</f>
        <v/>
      </c>
      <c r="F148" s="41">
        <f>F147*$G$21</f>
        <v/>
      </c>
      <c r="G148" s="41">
        <f>G147*$G$21</f>
        <v/>
      </c>
      <c r="H148" s="41">
        <f>H147*$G$21</f>
        <v/>
      </c>
      <c r="I148" s="41">
        <f>I147*$G$21</f>
        <v/>
      </c>
      <c r="J148" s="41">
        <f>J147*$G$21</f>
        <v/>
      </c>
      <c r="K148" s="41">
        <f>K147*$G$21</f>
        <v/>
      </c>
      <c r="L148" s="41">
        <f>L147*$G$21</f>
        <v/>
      </c>
      <c r="M148" s="41">
        <f>M147*$G$21</f>
        <v/>
      </c>
      <c r="N148" s="41">
        <f>N147*$G$21</f>
        <v/>
      </c>
      <c r="O148" s="41">
        <f>O147*$G$21</f>
        <v/>
      </c>
      <c r="P148" s="41">
        <f>P147*$G$21</f>
        <v/>
      </c>
      <c r="Q148" s="41">
        <f>Q147*$G$21</f>
        <v/>
      </c>
      <c r="R148" s="41">
        <f>R147*$G$21</f>
        <v/>
      </c>
      <c r="S148" s="41">
        <f>S147*$G$21</f>
        <v/>
      </c>
      <c r="T148" s="41">
        <f>T147*$G$21</f>
        <v/>
      </c>
      <c r="U148" s="41">
        <f>U147*$G$21</f>
        <v/>
      </c>
      <c r="V148" s="41">
        <f>V147*$G$21</f>
        <v/>
      </c>
      <c r="W148" s="41">
        <f>W147*$G$21</f>
        <v/>
      </c>
      <c r="X148" s="41">
        <f>X147*$G$21</f>
        <v/>
      </c>
      <c r="Y148" s="41">
        <f>Y147*$G$21</f>
        <v/>
      </c>
      <c r="Z148" s="41">
        <f>Z147*$G$21</f>
        <v/>
      </c>
      <c r="AA148" s="41">
        <f>AA147*$G$21</f>
        <v/>
      </c>
      <c r="AB148" s="41">
        <f>AB147*$G$21</f>
        <v/>
      </c>
      <c r="AC148" s="41">
        <f>AC147*$G$21</f>
        <v/>
      </c>
      <c r="AD148" s="41">
        <f>AD147*$G$21</f>
        <v/>
      </c>
      <c r="AE148" s="41">
        <f>AE147*$G$21</f>
        <v/>
      </c>
      <c r="AF148" s="41">
        <f>AF147*$G$21</f>
        <v/>
      </c>
      <c r="AG148" s="41">
        <f>AG147*$G$21</f>
        <v/>
      </c>
      <c r="AH148" s="41">
        <f>AH147*$G$21</f>
        <v/>
      </c>
      <c r="AI148" s="41">
        <f>AI147*$G$21</f>
        <v/>
      </c>
      <c r="AJ148" s="41">
        <f>AJ147*$G$21</f>
        <v/>
      </c>
      <c r="AK148" s="41">
        <f>AK147*$G$21</f>
        <v/>
      </c>
      <c r="AL148" s="41">
        <f>AL147*$G$21</f>
        <v/>
      </c>
      <c r="AM148" s="41">
        <f>AM147*$G$21</f>
        <v/>
      </c>
      <c r="AN148" s="41">
        <f>AN147*$G$21</f>
        <v/>
      </c>
      <c r="AO148" s="41">
        <f>AO147*$G$21</f>
        <v/>
      </c>
      <c r="AP148" s="41">
        <f>AP147*$G$21</f>
        <v/>
      </c>
      <c r="AQ148" s="41">
        <f>AQ147*$G$21</f>
        <v/>
      </c>
      <c r="AR148" s="41">
        <f>AR147*$G$21</f>
        <v/>
      </c>
      <c r="AS148" s="41">
        <f>AS147*$G$21</f>
        <v/>
      </c>
      <c r="AT148" s="41">
        <f>AT147*$G$21</f>
        <v/>
      </c>
      <c r="AU148" s="41">
        <f>AU147*$G$21</f>
        <v/>
      </c>
      <c r="AV148" s="41">
        <f>AV147*$G$21</f>
        <v/>
      </c>
      <c r="AW148" s="41">
        <f>AW147*$G$21</f>
        <v/>
      </c>
      <c r="AX148" s="41">
        <f>AX147*$G$21</f>
        <v/>
      </c>
      <c r="AY148" s="41">
        <f>AY147*$G$21</f>
        <v/>
      </c>
      <c r="AZ148" s="41">
        <f>AZ147*$G$21</f>
        <v/>
      </c>
      <c r="BA148" s="41">
        <f>BA147*$G$21</f>
        <v/>
      </c>
      <c r="BB148" s="41">
        <f>BB147*$G$21</f>
        <v/>
      </c>
      <c r="BC148" s="41">
        <f>BC147*$G$21</f>
        <v/>
      </c>
      <c r="BD148" s="41">
        <f>BD147*$G$21</f>
        <v/>
      </c>
    </row>
    <row r="149">
      <c r="A149" s="25" t="inlineStr">
        <is>
          <t xml:space="preserve">   market loss (gone)</t>
        </is>
      </c>
      <c r="B149" s="2" t="inlineStr">
        <is>
          <t>lb</t>
        </is>
      </c>
      <c r="E149" s="35">
        <f>(E147-E148)*(1-$H$21)</f>
        <v/>
      </c>
      <c r="F149" s="35">
        <f>(F147-F148)*(1-$H$21)</f>
        <v/>
      </c>
      <c r="G149" s="35">
        <f>(G147-G148)*(1-$H$21)</f>
        <v/>
      </c>
      <c r="H149" s="35">
        <f>(H147-H148)*(1-$H$21)</f>
        <v/>
      </c>
      <c r="I149" s="35">
        <f>(I147-I148)*(1-$H$21)</f>
        <v/>
      </c>
      <c r="J149" s="35">
        <f>(J147-J148)*(1-$H$21)</f>
        <v/>
      </c>
      <c r="K149" s="35">
        <f>(K147-K148)*(1-$H$21)</f>
        <v/>
      </c>
      <c r="L149" s="35">
        <f>(L147-L148)*(1-$H$21)</f>
        <v/>
      </c>
      <c r="M149" s="35">
        <f>(M147-M148)*(1-$H$21)</f>
        <v/>
      </c>
      <c r="N149" s="35">
        <f>(N147-N148)*(1-$H$21)</f>
        <v/>
      </c>
      <c r="O149" s="35">
        <f>(O147-O148)*(1-$H$21)</f>
        <v/>
      </c>
      <c r="P149" s="35">
        <f>(P147-P148)*(1-$H$21)</f>
        <v/>
      </c>
      <c r="Q149" s="35">
        <f>(Q147-Q148)*(1-$H$21)</f>
        <v/>
      </c>
      <c r="R149" s="35">
        <f>(R147-R148)*(1-$H$21)</f>
        <v/>
      </c>
      <c r="S149" s="35">
        <f>(S147-S148)*(1-$H$21)</f>
        <v/>
      </c>
      <c r="T149" s="35">
        <f>(T147-T148)*(1-$H$21)</f>
        <v/>
      </c>
      <c r="U149" s="35">
        <f>(U147-U148)*(1-$H$21)</f>
        <v/>
      </c>
      <c r="V149" s="35">
        <f>(V147-V148)*(1-$H$21)</f>
        <v/>
      </c>
      <c r="W149" s="35">
        <f>(W147-W148)*(1-$H$21)</f>
        <v/>
      </c>
      <c r="X149" s="35">
        <f>(X147-X148)*(1-$H$21)</f>
        <v/>
      </c>
      <c r="Y149" s="35">
        <f>(Y147-Y148)*(1-$H$21)</f>
        <v/>
      </c>
      <c r="Z149" s="35">
        <f>(Z147-Z148)*(1-$H$21)</f>
        <v/>
      </c>
      <c r="AA149" s="35">
        <f>(AA147-AA148)*(1-$H$21)</f>
        <v/>
      </c>
      <c r="AB149" s="35">
        <f>(AB147-AB148)*(1-$H$21)</f>
        <v/>
      </c>
      <c r="AC149" s="35">
        <f>(AC147-AC148)*(1-$H$21)</f>
        <v/>
      </c>
      <c r="AD149" s="35">
        <f>(AD147-AD148)*(1-$H$21)</f>
        <v/>
      </c>
      <c r="AE149" s="35">
        <f>(AE147-AE148)*(1-$H$21)</f>
        <v/>
      </c>
      <c r="AF149" s="35">
        <f>(AF147-AF148)*(1-$H$21)</f>
        <v/>
      </c>
      <c r="AG149" s="35">
        <f>(AG147-AG148)*(1-$H$21)</f>
        <v/>
      </c>
      <c r="AH149" s="35">
        <f>(AH147-AH148)*(1-$H$21)</f>
        <v/>
      </c>
      <c r="AI149" s="35">
        <f>(AI147-AI148)*(1-$H$21)</f>
        <v/>
      </c>
      <c r="AJ149" s="35">
        <f>(AJ147-AJ148)*(1-$H$21)</f>
        <v/>
      </c>
      <c r="AK149" s="35">
        <f>(AK147-AK148)*(1-$H$21)</f>
        <v/>
      </c>
      <c r="AL149" s="35">
        <f>(AL147-AL148)*(1-$H$21)</f>
        <v/>
      </c>
      <c r="AM149" s="35">
        <f>(AM147-AM148)*(1-$H$21)</f>
        <v/>
      </c>
      <c r="AN149" s="35">
        <f>(AN147-AN148)*(1-$H$21)</f>
        <v/>
      </c>
      <c r="AO149" s="35">
        <f>(AO147-AO148)*(1-$H$21)</f>
        <v/>
      </c>
      <c r="AP149" s="35">
        <f>(AP147-AP148)*(1-$H$21)</f>
        <v/>
      </c>
      <c r="AQ149" s="35">
        <f>(AQ147-AQ148)*(1-$H$21)</f>
        <v/>
      </c>
      <c r="AR149" s="35">
        <f>(AR147-AR148)*(1-$H$21)</f>
        <v/>
      </c>
      <c r="AS149" s="35">
        <f>(AS147-AS148)*(1-$H$21)</f>
        <v/>
      </c>
      <c r="AT149" s="35">
        <f>(AT147-AT148)*(1-$H$21)</f>
        <v/>
      </c>
      <c r="AU149" s="35">
        <f>(AU147-AU148)*(1-$H$21)</f>
        <v/>
      </c>
      <c r="AV149" s="35">
        <f>(AV147-AV148)*(1-$H$21)</f>
        <v/>
      </c>
      <c r="AW149" s="35">
        <f>(AW147-AW148)*(1-$H$21)</f>
        <v/>
      </c>
      <c r="AX149" s="35">
        <f>(AX147-AX148)*(1-$H$21)</f>
        <v/>
      </c>
      <c r="AY149" s="35">
        <f>(AY147-AY148)*(1-$H$21)</f>
        <v/>
      </c>
      <c r="AZ149" s="35">
        <f>(AZ147-AZ148)*(1-$H$21)</f>
        <v/>
      </c>
      <c r="BA149" s="35">
        <f>(BA147-BA148)*(1-$H$21)</f>
        <v/>
      </c>
      <c r="BB149" s="35">
        <f>(BB147-BB148)*(1-$H$21)</f>
        <v/>
      </c>
      <c r="BC149" s="35">
        <f>(BC147-BC148)*(1-$H$21)</f>
        <v/>
      </c>
      <c r="BD149" s="35">
        <f>(BD147-BD148)*(1-$H$21)</f>
        <v/>
      </c>
    </row>
    <row r="150">
      <c r="A150" s="25" t="inlineStr">
        <is>
          <t xml:space="preserve">   returned to store</t>
        </is>
      </c>
      <c r="B150" s="2" t="inlineStr">
        <is>
          <t>lb</t>
        </is>
      </c>
      <c r="E150" s="35">
        <f>(E147-E148)*$H$21</f>
        <v/>
      </c>
      <c r="F150" s="35">
        <f>(F147-F148)*$H$21</f>
        <v/>
      </c>
      <c r="G150" s="35">
        <f>(G147-G148)*$H$21</f>
        <v/>
      </c>
      <c r="H150" s="35">
        <f>(H147-H148)*$H$21</f>
        <v/>
      </c>
      <c r="I150" s="35">
        <f>(I147-I148)*$H$21</f>
        <v/>
      </c>
      <c r="J150" s="35">
        <f>(J147-J148)*$H$21</f>
        <v/>
      </c>
      <c r="K150" s="35">
        <f>(K147-K148)*$H$21</f>
        <v/>
      </c>
      <c r="L150" s="35">
        <f>(L147-L148)*$H$21</f>
        <v/>
      </c>
      <c r="M150" s="35">
        <f>(M147-M148)*$H$21</f>
        <v/>
      </c>
      <c r="N150" s="35">
        <f>(N147-N148)*$H$21</f>
        <v/>
      </c>
      <c r="O150" s="35">
        <f>(O147-O148)*$H$21</f>
        <v/>
      </c>
      <c r="P150" s="35">
        <f>(P147-P148)*$H$21</f>
        <v/>
      </c>
      <c r="Q150" s="35">
        <f>(Q147-Q148)*$H$21</f>
        <v/>
      </c>
      <c r="R150" s="35">
        <f>(R147-R148)*$H$21</f>
        <v/>
      </c>
      <c r="S150" s="35">
        <f>(S147-S148)*$H$21</f>
        <v/>
      </c>
      <c r="T150" s="35">
        <f>(T147-T148)*$H$21</f>
        <v/>
      </c>
      <c r="U150" s="35">
        <f>(U147-U148)*$H$21</f>
        <v/>
      </c>
      <c r="V150" s="35">
        <f>(V147-V148)*$H$21</f>
        <v/>
      </c>
      <c r="W150" s="35">
        <f>(W147-W148)*$H$21</f>
        <v/>
      </c>
      <c r="X150" s="35">
        <f>(X147-X148)*$H$21</f>
        <v/>
      </c>
      <c r="Y150" s="35">
        <f>(Y147-Y148)*$H$21</f>
        <v/>
      </c>
      <c r="Z150" s="35">
        <f>(Z147-Z148)*$H$21</f>
        <v/>
      </c>
      <c r="AA150" s="35">
        <f>(AA147-AA148)*$H$21</f>
        <v/>
      </c>
      <c r="AB150" s="35">
        <f>(AB147-AB148)*$H$21</f>
        <v/>
      </c>
      <c r="AC150" s="35">
        <f>(AC147-AC148)*$H$21</f>
        <v/>
      </c>
      <c r="AD150" s="35">
        <f>(AD147-AD148)*$H$21</f>
        <v/>
      </c>
      <c r="AE150" s="35">
        <f>(AE147-AE148)*$H$21</f>
        <v/>
      </c>
      <c r="AF150" s="35">
        <f>(AF147-AF148)*$H$21</f>
        <v/>
      </c>
      <c r="AG150" s="35">
        <f>(AG147-AG148)*$H$21</f>
        <v/>
      </c>
      <c r="AH150" s="35">
        <f>(AH147-AH148)*$H$21</f>
        <v/>
      </c>
      <c r="AI150" s="35">
        <f>(AI147-AI148)*$H$21</f>
        <v/>
      </c>
      <c r="AJ150" s="35">
        <f>(AJ147-AJ148)*$H$21</f>
        <v/>
      </c>
      <c r="AK150" s="35">
        <f>(AK147-AK148)*$H$21</f>
        <v/>
      </c>
      <c r="AL150" s="35">
        <f>(AL147-AL148)*$H$21</f>
        <v/>
      </c>
      <c r="AM150" s="35">
        <f>(AM147-AM148)*$H$21</f>
        <v/>
      </c>
      <c r="AN150" s="35">
        <f>(AN147-AN148)*$H$21</f>
        <v/>
      </c>
      <c r="AO150" s="35">
        <f>(AO147-AO148)*$H$21</f>
        <v/>
      </c>
      <c r="AP150" s="35">
        <f>(AP147-AP148)*$H$21</f>
        <v/>
      </c>
      <c r="AQ150" s="35">
        <f>(AQ147-AQ148)*$H$21</f>
        <v/>
      </c>
      <c r="AR150" s="35">
        <f>(AR147-AR148)*$H$21</f>
        <v/>
      </c>
      <c r="AS150" s="35">
        <f>(AS147-AS148)*$H$21</f>
        <v/>
      </c>
      <c r="AT150" s="35">
        <f>(AT147-AT148)*$H$21</f>
        <v/>
      </c>
      <c r="AU150" s="35">
        <f>(AU147-AU148)*$H$21</f>
        <v/>
      </c>
      <c r="AV150" s="35">
        <f>(AV147-AV148)*$H$21</f>
        <v/>
      </c>
      <c r="AW150" s="35">
        <f>(AW147-AW148)*$H$21</f>
        <v/>
      </c>
      <c r="AX150" s="35">
        <f>(AX147-AX148)*$H$21</f>
        <v/>
      </c>
      <c r="AY150" s="35">
        <f>(AY147-AY148)*$H$21</f>
        <v/>
      </c>
      <c r="AZ150" s="35">
        <f>(AZ147-AZ148)*$H$21</f>
        <v/>
      </c>
      <c r="BA150" s="35">
        <f>(BA147-BA148)*$H$21</f>
        <v/>
      </c>
      <c r="BB150" s="35">
        <f>(BB147-BB148)*$H$21</f>
        <v/>
      </c>
      <c r="BC150" s="35">
        <f>(BC147-BC148)*$H$21</f>
        <v/>
      </c>
      <c r="BD150" s="35">
        <f>(BD147-BD148)*$H$21</f>
        <v/>
      </c>
    </row>
    <row r="151">
      <c r="A151" s="25" t="inlineStr">
        <is>
          <t xml:space="preserve">   leaves the store (offered - returned)</t>
        </is>
      </c>
      <c r="B151" s="2" t="inlineStr">
        <is>
          <t>lb</t>
        </is>
      </c>
      <c r="E151" s="35">
        <f>E147-E150</f>
        <v/>
      </c>
      <c r="F151" s="35">
        <f>F147-F150</f>
        <v/>
      </c>
      <c r="G151" s="35">
        <f>G147-G150</f>
        <v/>
      </c>
      <c r="H151" s="35">
        <f>H147-H150</f>
        <v/>
      </c>
      <c r="I151" s="35">
        <f>I147-I150</f>
        <v/>
      </c>
      <c r="J151" s="35">
        <f>J147-J150</f>
        <v/>
      </c>
      <c r="K151" s="35">
        <f>K147-K150</f>
        <v/>
      </c>
      <c r="L151" s="35">
        <f>L147-L150</f>
        <v/>
      </c>
      <c r="M151" s="35">
        <f>M147-M150</f>
        <v/>
      </c>
      <c r="N151" s="35">
        <f>N147-N150</f>
        <v/>
      </c>
      <c r="O151" s="35">
        <f>O147-O150</f>
        <v/>
      </c>
      <c r="P151" s="35">
        <f>P147-P150</f>
        <v/>
      </c>
      <c r="Q151" s="35">
        <f>Q147-Q150</f>
        <v/>
      </c>
      <c r="R151" s="35">
        <f>R147-R150</f>
        <v/>
      </c>
      <c r="S151" s="35">
        <f>S147-S150</f>
        <v/>
      </c>
      <c r="T151" s="35">
        <f>T147-T150</f>
        <v/>
      </c>
      <c r="U151" s="35">
        <f>U147-U150</f>
        <v/>
      </c>
      <c r="V151" s="35">
        <f>V147-V150</f>
        <v/>
      </c>
      <c r="W151" s="35">
        <f>W147-W150</f>
        <v/>
      </c>
      <c r="X151" s="35">
        <f>X147-X150</f>
        <v/>
      </c>
      <c r="Y151" s="35">
        <f>Y147-Y150</f>
        <v/>
      </c>
      <c r="Z151" s="35">
        <f>Z147-Z150</f>
        <v/>
      </c>
      <c r="AA151" s="35">
        <f>AA147-AA150</f>
        <v/>
      </c>
      <c r="AB151" s="35">
        <f>AB147-AB150</f>
        <v/>
      </c>
      <c r="AC151" s="35">
        <f>AC147-AC150</f>
        <v/>
      </c>
      <c r="AD151" s="35">
        <f>AD147-AD150</f>
        <v/>
      </c>
      <c r="AE151" s="35">
        <f>AE147-AE150</f>
        <v/>
      </c>
      <c r="AF151" s="35">
        <f>AF147-AF150</f>
        <v/>
      </c>
      <c r="AG151" s="35">
        <f>AG147-AG150</f>
        <v/>
      </c>
      <c r="AH151" s="35">
        <f>AH147-AH150</f>
        <v/>
      </c>
      <c r="AI151" s="35">
        <f>AI147-AI150</f>
        <v/>
      </c>
      <c r="AJ151" s="35">
        <f>AJ147-AJ150</f>
        <v/>
      </c>
      <c r="AK151" s="35">
        <f>AK147-AK150</f>
        <v/>
      </c>
      <c r="AL151" s="35">
        <f>AL147-AL150</f>
        <v/>
      </c>
      <c r="AM151" s="35">
        <f>AM147-AM150</f>
        <v/>
      </c>
      <c r="AN151" s="35">
        <f>AN147-AN150</f>
        <v/>
      </c>
      <c r="AO151" s="35">
        <f>AO147-AO150</f>
        <v/>
      </c>
      <c r="AP151" s="35">
        <f>AP147-AP150</f>
        <v/>
      </c>
      <c r="AQ151" s="35">
        <f>AQ147-AQ150</f>
        <v/>
      </c>
      <c r="AR151" s="35">
        <f>AR147-AR150</f>
        <v/>
      </c>
      <c r="AS151" s="35">
        <f>AS147-AS150</f>
        <v/>
      </c>
      <c r="AT151" s="35">
        <f>AT147-AT150</f>
        <v/>
      </c>
      <c r="AU151" s="35">
        <f>AU147-AU150</f>
        <v/>
      </c>
      <c r="AV151" s="35">
        <f>AV147-AV150</f>
        <v/>
      </c>
      <c r="AW151" s="35">
        <f>AW147-AW150</f>
        <v/>
      </c>
      <c r="AX151" s="35">
        <f>AX147-AX150</f>
        <v/>
      </c>
      <c r="AY151" s="35">
        <f>AY147-AY150</f>
        <v/>
      </c>
      <c r="AZ151" s="35">
        <f>AZ147-AZ150</f>
        <v/>
      </c>
      <c r="BA151" s="35">
        <f>BA147-BA150</f>
        <v/>
      </c>
      <c r="BB151" s="35">
        <f>BB147-BB150</f>
        <v/>
      </c>
      <c r="BC151" s="35">
        <f>BC147-BC150</f>
        <v/>
      </c>
      <c r="BD151" s="35">
        <f>BD147-BD150</f>
        <v/>
      </c>
    </row>
    <row r="152">
      <c r="A152" s="4" t="inlineStr">
        <is>
          <t>Stock carried out</t>
        </is>
      </c>
      <c r="B152" s="2" t="inlineStr">
        <is>
          <t>lb</t>
        </is>
      </c>
      <c r="E152" s="35">
        <f>E137-E143-E151</f>
        <v/>
      </c>
      <c r="F152" s="35">
        <f>F137-F143-F151</f>
        <v/>
      </c>
      <c r="G152" s="35">
        <f>G137-G143-G151</f>
        <v/>
      </c>
      <c r="H152" s="35">
        <f>H137-H143-H151</f>
        <v/>
      </c>
      <c r="I152" s="35">
        <f>I137-I143-I151</f>
        <v/>
      </c>
      <c r="J152" s="35">
        <f>J137-J143-J151</f>
        <v/>
      </c>
      <c r="K152" s="35">
        <f>K137-K143-K151</f>
        <v/>
      </c>
      <c r="L152" s="35">
        <f>L137-L143-L151</f>
        <v/>
      </c>
      <c r="M152" s="35">
        <f>M137-M143-M151</f>
        <v/>
      </c>
      <c r="N152" s="35">
        <f>N137-N143-N151</f>
        <v/>
      </c>
      <c r="O152" s="35">
        <f>O137-O143-O151</f>
        <v/>
      </c>
      <c r="P152" s="35">
        <f>P137-P143-P151</f>
        <v/>
      </c>
      <c r="Q152" s="35">
        <f>Q137-Q143-Q151</f>
        <v/>
      </c>
      <c r="R152" s="35">
        <f>R137-R143-R151</f>
        <v/>
      </c>
      <c r="S152" s="35">
        <f>S137-S143-S151</f>
        <v/>
      </c>
      <c r="T152" s="35">
        <f>T137-T143-T151</f>
        <v/>
      </c>
      <c r="U152" s="35">
        <f>U137-U143-U151</f>
        <v/>
      </c>
      <c r="V152" s="35">
        <f>V137-V143-V151</f>
        <v/>
      </c>
      <c r="W152" s="35">
        <f>W137-W143-W151</f>
        <v/>
      </c>
      <c r="X152" s="35">
        <f>X137-X143-X151</f>
        <v/>
      </c>
      <c r="Y152" s="35">
        <f>Y137-Y143-Y151</f>
        <v/>
      </c>
      <c r="Z152" s="35">
        <f>Z137-Z143-Z151</f>
        <v/>
      </c>
      <c r="AA152" s="35">
        <f>AA137-AA143-AA151</f>
        <v/>
      </c>
      <c r="AB152" s="35">
        <f>AB137-AB143-AB151</f>
        <v/>
      </c>
      <c r="AC152" s="35">
        <f>AC137-AC143-AC151</f>
        <v/>
      </c>
      <c r="AD152" s="35">
        <f>AD137-AD143-AD151</f>
        <v/>
      </c>
      <c r="AE152" s="35">
        <f>AE137-AE143-AE151</f>
        <v/>
      </c>
      <c r="AF152" s="35">
        <f>AF137-AF143-AF151</f>
        <v/>
      </c>
      <c r="AG152" s="35">
        <f>AG137-AG143-AG151</f>
        <v/>
      </c>
      <c r="AH152" s="35">
        <f>AH137-AH143-AH151</f>
        <v/>
      </c>
      <c r="AI152" s="35">
        <f>AI137-AI143-AI151</f>
        <v/>
      </c>
      <c r="AJ152" s="35">
        <f>AJ137-AJ143-AJ151</f>
        <v/>
      </c>
      <c r="AK152" s="35">
        <f>AK137-AK143-AK151</f>
        <v/>
      </c>
      <c r="AL152" s="35">
        <f>AL137-AL143-AL151</f>
        <v/>
      </c>
      <c r="AM152" s="35">
        <f>AM137-AM143-AM151</f>
        <v/>
      </c>
      <c r="AN152" s="35">
        <f>AN137-AN143-AN151</f>
        <v/>
      </c>
      <c r="AO152" s="35">
        <f>AO137-AO143-AO151</f>
        <v/>
      </c>
      <c r="AP152" s="35">
        <f>AP137-AP143-AP151</f>
        <v/>
      </c>
      <c r="AQ152" s="35">
        <f>AQ137-AQ143-AQ151</f>
        <v/>
      </c>
      <c r="AR152" s="35">
        <f>AR137-AR143-AR151</f>
        <v/>
      </c>
      <c r="AS152" s="35">
        <f>AS137-AS143-AS151</f>
        <v/>
      </c>
      <c r="AT152" s="35">
        <f>AT137-AT143-AT151</f>
        <v/>
      </c>
      <c r="AU152" s="35">
        <f>AU137-AU143-AU151</f>
        <v/>
      </c>
      <c r="AV152" s="35">
        <f>AV137-AV143-AV151</f>
        <v/>
      </c>
      <c r="AW152" s="35">
        <f>AW137-AW143-AW151</f>
        <v/>
      </c>
      <c r="AX152" s="35">
        <f>AX137-AX143-AX151</f>
        <v/>
      </c>
      <c r="AY152" s="35">
        <f>AY137-AY143-AY151</f>
        <v/>
      </c>
      <c r="AZ152" s="35">
        <f>AZ137-AZ143-AZ151</f>
        <v/>
      </c>
      <c r="BA152" s="35">
        <f>BA137-BA143-BA151</f>
        <v/>
      </c>
      <c r="BB152" s="35">
        <f>BB137-BB143-BB151</f>
        <v/>
      </c>
      <c r="BC152" s="35">
        <f>BC137-BC143-BC151</f>
        <v/>
      </c>
      <c r="BD152" s="35">
        <f>BD137-BD143-BD151</f>
        <v/>
      </c>
    </row>
    <row r="153">
      <c r="A153" s="2" t="inlineStr">
        <is>
          <t xml:space="preserve">   ^ subtracts what LEAVES, not what was offered — so 'returned to store' is</t>
        </is>
      </c>
    </row>
    <row r="154">
      <c r="A154" s="2" t="inlineStr">
        <is>
          <t xml:space="preserve">     never taken out at all, and shows up as next week's carried in.</t>
        </is>
      </c>
    </row>
    <row r="155">
      <c r="A155" s="25" t="inlineStr">
        <is>
          <t>Most stock its shelf life allows</t>
        </is>
      </c>
      <c r="B155" s="2" t="inlineStr">
        <is>
          <t>lb</t>
        </is>
      </c>
      <c r="E155" s="35">
        <f>SUMPRODUCT(($E$133:$BD$133&gt;=1-$F$12+2)*($E$133:$BD$133&lt;=1)*$E$134:$BD$134*POWER(1-$G$12,($E$133:$BD$133&lt;=1)*(1-$E$133:$BD$133)))</f>
        <v/>
      </c>
      <c r="F155" s="35">
        <f>SUMPRODUCT(($E$133:$BD$133&gt;=2-$F$12+2)*($E$133:$BD$133&lt;=2)*$E$134:$BD$134*POWER(1-$G$12,($E$133:$BD$133&lt;=2)*(2-$E$133:$BD$133)))</f>
        <v/>
      </c>
      <c r="G155" s="35">
        <f>SUMPRODUCT(($E$133:$BD$133&gt;=3-$F$12+2)*($E$133:$BD$133&lt;=3)*$E$134:$BD$134*POWER(1-$G$12,($E$133:$BD$133&lt;=3)*(3-$E$133:$BD$133)))</f>
        <v/>
      </c>
      <c r="H155" s="35">
        <f>SUMPRODUCT(($E$133:$BD$133&gt;=4-$F$12+2)*($E$133:$BD$133&lt;=4)*$E$134:$BD$134*POWER(1-$G$12,($E$133:$BD$133&lt;=4)*(4-$E$133:$BD$133)))</f>
        <v/>
      </c>
      <c r="I155" s="35">
        <f>SUMPRODUCT(($E$133:$BD$133&gt;=5-$F$12+2)*($E$133:$BD$133&lt;=5)*$E$134:$BD$134*POWER(1-$G$12,($E$133:$BD$133&lt;=5)*(5-$E$133:$BD$133)))</f>
        <v/>
      </c>
      <c r="J155" s="35">
        <f>SUMPRODUCT(($E$133:$BD$133&gt;=6-$F$12+2)*($E$133:$BD$133&lt;=6)*$E$134:$BD$134*POWER(1-$G$12,($E$133:$BD$133&lt;=6)*(6-$E$133:$BD$133)))</f>
        <v/>
      </c>
      <c r="K155" s="35">
        <f>SUMPRODUCT(($E$133:$BD$133&gt;=7-$F$12+2)*($E$133:$BD$133&lt;=7)*$E$134:$BD$134*POWER(1-$G$12,($E$133:$BD$133&lt;=7)*(7-$E$133:$BD$133)))</f>
        <v/>
      </c>
      <c r="L155" s="35">
        <f>SUMPRODUCT(($E$133:$BD$133&gt;=8-$F$12+2)*($E$133:$BD$133&lt;=8)*$E$134:$BD$134*POWER(1-$G$12,($E$133:$BD$133&lt;=8)*(8-$E$133:$BD$133)))</f>
        <v/>
      </c>
      <c r="M155" s="35">
        <f>SUMPRODUCT(($E$133:$BD$133&gt;=9-$F$12+2)*($E$133:$BD$133&lt;=9)*$E$134:$BD$134*POWER(1-$G$12,($E$133:$BD$133&lt;=9)*(9-$E$133:$BD$133)))</f>
        <v/>
      </c>
      <c r="N155" s="35">
        <f>SUMPRODUCT(($E$133:$BD$133&gt;=10-$F$12+2)*($E$133:$BD$133&lt;=10)*$E$134:$BD$134*POWER(1-$G$12,($E$133:$BD$133&lt;=10)*(10-$E$133:$BD$133)))</f>
        <v/>
      </c>
      <c r="O155" s="35">
        <f>SUMPRODUCT(($E$133:$BD$133&gt;=11-$F$12+2)*($E$133:$BD$133&lt;=11)*$E$134:$BD$134*POWER(1-$G$12,($E$133:$BD$133&lt;=11)*(11-$E$133:$BD$133)))</f>
        <v/>
      </c>
      <c r="P155" s="35">
        <f>SUMPRODUCT(($E$133:$BD$133&gt;=12-$F$12+2)*($E$133:$BD$133&lt;=12)*$E$134:$BD$134*POWER(1-$G$12,($E$133:$BD$133&lt;=12)*(12-$E$133:$BD$133)))</f>
        <v/>
      </c>
      <c r="Q155" s="35">
        <f>SUMPRODUCT(($E$133:$BD$133&gt;=13-$F$12+2)*($E$133:$BD$133&lt;=13)*$E$134:$BD$134*POWER(1-$G$12,($E$133:$BD$133&lt;=13)*(13-$E$133:$BD$133)))</f>
        <v/>
      </c>
      <c r="R155" s="35">
        <f>SUMPRODUCT(($E$133:$BD$133&gt;=14-$F$12+2)*($E$133:$BD$133&lt;=14)*$E$134:$BD$134*POWER(1-$G$12,($E$133:$BD$133&lt;=14)*(14-$E$133:$BD$133)))</f>
        <v/>
      </c>
      <c r="S155" s="35">
        <f>SUMPRODUCT(($E$133:$BD$133&gt;=15-$F$12+2)*($E$133:$BD$133&lt;=15)*$E$134:$BD$134*POWER(1-$G$12,($E$133:$BD$133&lt;=15)*(15-$E$133:$BD$133)))</f>
        <v/>
      </c>
      <c r="T155" s="35">
        <f>SUMPRODUCT(($E$133:$BD$133&gt;=16-$F$12+2)*($E$133:$BD$133&lt;=16)*$E$134:$BD$134*POWER(1-$G$12,($E$133:$BD$133&lt;=16)*(16-$E$133:$BD$133)))</f>
        <v/>
      </c>
      <c r="U155" s="35">
        <f>SUMPRODUCT(($E$133:$BD$133&gt;=17-$F$12+2)*($E$133:$BD$133&lt;=17)*$E$134:$BD$134*POWER(1-$G$12,($E$133:$BD$133&lt;=17)*(17-$E$133:$BD$133)))</f>
        <v/>
      </c>
      <c r="V155" s="35">
        <f>SUMPRODUCT(($E$133:$BD$133&gt;=18-$F$12+2)*($E$133:$BD$133&lt;=18)*$E$134:$BD$134*POWER(1-$G$12,($E$133:$BD$133&lt;=18)*(18-$E$133:$BD$133)))</f>
        <v/>
      </c>
      <c r="W155" s="35">
        <f>SUMPRODUCT(($E$133:$BD$133&gt;=19-$F$12+2)*($E$133:$BD$133&lt;=19)*$E$134:$BD$134*POWER(1-$G$12,($E$133:$BD$133&lt;=19)*(19-$E$133:$BD$133)))</f>
        <v/>
      </c>
      <c r="X155" s="35">
        <f>SUMPRODUCT(($E$133:$BD$133&gt;=20-$F$12+2)*($E$133:$BD$133&lt;=20)*$E$134:$BD$134*POWER(1-$G$12,($E$133:$BD$133&lt;=20)*(20-$E$133:$BD$133)))</f>
        <v/>
      </c>
      <c r="Y155" s="35">
        <f>SUMPRODUCT(($E$133:$BD$133&gt;=21-$F$12+2)*($E$133:$BD$133&lt;=21)*$E$134:$BD$134*POWER(1-$G$12,($E$133:$BD$133&lt;=21)*(21-$E$133:$BD$133)))</f>
        <v/>
      </c>
      <c r="Z155" s="35">
        <f>SUMPRODUCT(($E$133:$BD$133&gt;=22-$F$12+2)*($E$133:$BD$133&lt;=22)*$E$134:$BD$134*POWER(1-$G$12,($E$133:$BD$133&lt;=22)*(22-$E$133:$BD$133)))</f>
        <v/>
      </c>
      <c r="AA155" s="35">
        <f>SUMPRODUCT(($E$133:$BD$133&gt;=23-$F$12+2)*($E$133:$BD$133&lt;=23)*$E$134:$BD$134*POWER(1-$G$12,($E$133:$BD$133&lt;=23)*(23-$E$133:$BD$133)))</f>
        <v/>
      </c>
      <c r="AB155" s="35">
        <f>SUMPRODUCT(($E$133:$BD$133&gt;=24-$F$12+2)*($E$133:$BD$133&lt;=24)*$E$134:$BD$134*POWER(1-$G$12,($E$133:$BD$133&lt;=24)*(24-$E$133:$BD$133)))</f>
        <v/>
      </c>
      <c r="AC155" s="35">
        <f>SUMPRODUCT(($E$133:$BD$133&gt;=25-$F$12+2)*($E$133:$BD$133&lt;=25)*$E$134:$BD$134*POWER(1-$G$12,($E$133:$BD$133&lt;=25)*(25-$E$133:$BD$133)))</f>
        <v/>
      </c>
      <c r="AD155" s="35">
        <f>SUMPRODUCT(($E$133:$BD$133&gt;=26-$F$12+2)*($E$133:$BD$133&lt;=26)*$E$134:$BD$134*POWER(1-$G$12,($E$133:$BD$133&lt;=26)*(26-$E$133:$BD$133)))</f>
        <v/>
      </c>
      <c r="AE155" s="35">
        <f>SUMPRODUCT(($E$133:$BD$133&gt;=27-$F$12+2)*($E$133:$BD$133&lt;=27)*$E$134:$BD$134*POWER(1-$G$12,($E$133:$BD$133&lt;=27)*(27-$E$133:$BD$133)))</f>
        <v/>
      </c>
      <c r="AF155" s="35">
        <f>SUMPRODUCT(($E$133:$BD$133&gt;=28-$F$12+2)*($E$133:$BD$133&lt;=28)*$E$134:$BD$134*POWER(1-$G$12,($E$133:$BD$133&lt;=28)*(28-$E$133:$BD$133)))</f>
        <v/>
      </c>
      <c r="AG155" s="35">
        <f>SUMPRODUCT(($E$133:$BD$133&gt;=29-$F$12+2)*($E$133:$BD$133&lt;=29)*$E$134:$BD$134*POWER(1-$G$12,($E$133:$BD$133&lt;=29)*(29-$E$133:$BD$133)))</f>
        <v/>
      </c>
      <c r="AH155" s="35">
        <f>SUMPRODUCT(($E$133:$BD$133&gt;=30-$F$12+2)*($E$133:$BD$133&lt;=30)*$E$134:$BD$134*POWER(1-$G$12,($E$133:$BD$133&lt;=30)*(30-$E$133:$BD$133)))</f>
        <v/>
      </c>
      <c r="AI155" s="35">
        <f>SUMPRODUCT(($E$133:$BD$133&gt;=31-$F$12+2)*($E$133:$BD$133&lt;=31)*$E$134:$BD$134*POWER(1-$G$12,($E$133:$BD$133&lt;=31)*(31-$E$133:$BD$133)))</f>
        <v/>
      </c>
      <c r="AJ155" s="35">
        <f>SUMPRODUCT(($E$133:$BD$133&gt;=32-$F$12+2)*($E$133:$BD$133&lt;=32)*$E$134:$BD$134*POWER(1-$G$12,($E$133:$BD$133&lt;=32)*(32-$E$133:$BD$133)))</f>
        <v/>
      </c>
      <c r="AK155" s="35">
        <f>SUMPRODUCT(($E$133:$BD$133&gt;=33-$F$12+2)*($E$133:$BD$133&lt;=33)*$E$134:$BD$134*POWER(1-$G$12,($E$133:$BD$133&lt;=33)*(33-$E$133:$BD$133)))</f>
        <v/>
      </c>
      <c r="AL155" s="35">
        <f>SUMPRODUCT(($E$133:$BD$133&gt;=34-$F$12+2)*($E$133:$BD$133&lt;=34)*$E$134:$BD$134*POWER(1-$G$12,($E$133:$BD$133&lt;=34)*(34-$E$133:$BD$133)))</f>
        <v/>
      </c>
      <c r="AM155" s="35">
        <f>SUMPRODUCT(($E$133:$BD$133&gt;=35-$F$12+2)*($E$133:$BD$133&lt;=35)*$E$134:$BD$134*POWER(1-$G$12,($E$133:$BD$133&lt;=35)*(35-$E$133:$BD$133)))</f>
        <v/>
      </c>
      <c r="AN155" s="35">
        <f>SUMPRODUCT(($E$133:$BD$133&gt;=36-$F$12+2)*($E$133:$BD$133&lt;=36)*$E$134:$BD$134*POWER(1-$G$12,($E$133:$BD$133&lt;=36)*(36-$E$133:$BD$133)))</f>
        <v/>
      </c>
      <c r="AO155" s="35">
        <f>SUMPRODUCT(($E$133:$BD$133&gt;=37-$F$12+2)*($E$133:$BD$133&lt;=37)*$E$134:$BD$134*POWER(1-$G$12,($E$133:$BD$133&lt;=37)*(37-$E$133:$BD$133)))</f>
        <v/>
      </c>
      <c r="AP155" s="35">
        <f>SUMPRODUCT(($E$133:$BD$133&gt;=38-$F$12+2)*($E$133:$BD$133&lt;=38)*$E$134:$BD$134*POWER(1-$G$12,($E$133:$BD$133&lt;=38)*(38-$E$133:$BD$133)))</f>
        <v/>
      </c>
      <c r="AQ155" s="35">
        <f>SUMPRODUCT(($E$133:$BD$133&gt;=39-$F$12+2)*($E$133:$BD$133&lt;=39)*$E$134:$BD$134*POWER(1-$G$12,($E$133:$BD$133&lt;=39)*(39-$E$133:$BD$133)))</f>
        <v/>
      </c>
      <c r="AR155" s="35">
        <f>SUMPRODUCT(($E$133:$BD$133&gt;=40-$F$12+2)*($E$133:$BD$133&lt;=40)*$E$134:$BD$134*POWER(1-$G$12,($E$133:$BD$133&lt;=40)*(40-$E$133:$BD$133)))</f>
        <v/>
      </c>
      <c r="AS155" s="35">
        <f>SUMPRODUCT(($E$133:$BD$133&gt;=41-$F$12+2)*($E$133:$BD$133&lt;=41)*$E$134:$BD$134*POWER(1-$G$12,($E$133:$BD$133&lt;=41)*(41-$E$133:$BD$133)))</f>
        <v/>
      </c>
      <c r="AT155" s="35">
        <f>SUMPRODUCT(($E$133:$BD$133&gt;=42-$F$12+2)*($E$133:$BD$133&lt;=42)*$E$134:$BD$134*POWER(1-$G$12,($E$133:$BD$133&lt;=42)*(42-$E$133:$BD$133)))</f>
        <v/>
      </c>
      <c r="AU155" s="35">
        <f>SUMPRODUCT(($E$133:$BD$133&gt;=43-$F$12+2)*($E$133:$BD$133&lt;=43)*$E$134:$BD$134*POWER(1-$G$12,($E$133:$BD$133&lt;=43)*(43-$E$133:$BD$133)))</f>
        <v/>
      </c>
      <c r="AV155" s="35">
        <f>SUMPRODUCT(($E$133:$BD$133&gt;=44-$F$12+2)*($E$133:$BD$133&lt;=44)*$E$134:$BD$134*POWER(1-$G$12,($E$133:$BD$133&lt;=44)*(44-$E$133:$BD$133)))</f>
        <v/>
      </c>
      <c r="AW155" s="35">
        <f>SUMPRODUCT(($E$133:$BD$133&gt;=45-$F$12+2)*($E$133:$BD$133&lt;=45)*$E$134:$BD$134*POWER(1-$G$12,($E$133:$BD$133&lt;=45)*(45-$E$133:$BD$133)))</f>
        <v/>
      </c>
      <c r="AX155" s="35">
        <f>SUMPRODUCT(($E$133:$BD$133&gt;=46-$F$12+2)*($E$133:$BD$133&lt;=46)*$E$134:$BD$134*POWER(1-$G$12,($E$133:$BD$133&lt;=46)*(46-$E$133:$BD$133)))</f>
        <v/>
      </c>
      <c r="AY155" s="35">
        <f>SUMPRODUCT(($E$133:$BD$133&gt;=47-$F$12+2)*($E$133:$BD$133&lt;=47)*$E$134:$BD$134*POWER(1-$G$12,($E$133:$BD$133&lt;=47)*(47-$E$133:$BD$133)))</f>
        <v/>
      </c>
      <c r="AZ155" s="35">
        <f>SUMPRODUCT(($E$133:$BD$133&gt;=48-$F$12+2)*($E$133:$BD$133&lt;=48)*$E$134:$BD$134*POWER(1-$G$12,($E$133:$BD$133&lt;=48)*(48-$E$133:$BD$133)))</f>
        <v/>
      </c>
      <c r="BA155" s="35">
        <f>SUMPRODUCT(($E$133:$BD$133&gt;=49-$F$12+2)*($E$133:$BD$133&lt;=49)*$E$134:$BD$134*POWER(1-$G$12,($E$133:$BD$133&lt;=49)*(49-$E$133:$BD$133)))</f>
        <v/>
      </c>
      <c r="BB155" s="35">
        <f>SUMPRODUCT(($E$133:$BD$133&gt;=50-$F$12+2)*($E$133:$BD$133&lt;=50)*$E$134:$BD$134*POWER(1-$G$12,($E$133:$BD$133&lt;=50)*(50-$E$133:$BD$133)))</f>
        <v/>
      </c>
      <c r="BC155" s="35">
        <f>SUMPRODUCT(($E$133:$BD$133&gt;=51-$F$12+2)*($E$133:$BD$133&lt;=51)*$E$134:$BD$134*POWER(1-$G$12,($E$133:$BD$133&lt;=51)*(51-$E$133:$BD$133)))</f>
        <v/>
      </c>
      <c r="BD155" s="35">
        <f>SUMPRODUCT(($E$133:$BD$133&gt;=52-$F$12+2)*($E$133:$BD$133&lt;=52)*$E$134:$BD$134*POWER(1-$G$12,($E$133:$BD$133&lt;=52)*(52-$E$133:$BD$133)))</f>
        <v/>
      </c>
    </row>
    <row r="156">
      <c r="A156" s="2" t="inlineStr">
        <is>
          <t xml:space="preserve">   Stock carried out must stay at or below this row.</t>
        </is>
      </c>
    </row>
    <row r="157">
      <c r="A157" s="25" t="inlineStr">
        <is>
          <t>Growing cost this week</t>
        </is>
      </c>
      <c r="B157" s="2" t="inlineStr">
        <is>
          <t>$</t>
        </is>
      </c>
      <c r="E157" s="35">
        <f>SUMPRODUCT(($B$28:$B$95="Kale")*(E$28:E$95="P")*$C$28:$C$95)*$K$12+SUMPRODUCT(($B$28:$B$95="Kale")*(E$28:E$95="G")*$C$28:$C$95)*$L$12+SUMPRODUCT(($B$28:$B$95="Kale")*(E$28:E$95="H")*$C$28:$C$95)*$M$12+SUMPRODUCT(($B$28:$B$95="Kale")*($BG$28:$BG$95=1)*$C$28:$C$95)*$H$12</f>
        <v/>
      </c>
      <c r="F157" s="35">
        <f>SUMPRODUCT(($B$28:$B$95="Kale")*(F$28:F$95="P")*$C$28:$C$95)*$K$12+SUMPRODUCT(($B$28:$B$95="Kale")*(F$28:F$95="G")*$C$28:$C$95)*$L$12+SUMPRODUCT(($B$28:$B$95="Kale")*(F$28:F$95="H")*$C$28:$C$95)*$M$12+SUMPRODUCT(($B$28:$B$95="Kale")*($BG$28:$BG$95=2)*$C$28:$C$95)*$H$12</f>
        <v/>
      </c>
      <c r="G157" s="35">
        <f>SUMPRODUCT(($B$28:$B$95="Kale")*(G$28:G$95="P")*$C$28:$C$95)*$K$12+SUMPRODUCT(($B$28:$B$95="Kale")*(G$28:G$95="G")*$C$28:$C$95)*$L$12+SUMPRODUCT(($B$28:$B$95="Kale")*(G$28:G$95="H")*$C$28:$C$95)*$M$12+SUMPRODUCT(($B$28:$B$95="Kale")*($BG$28:$BG$95=3)*$C$28:$C$95)*$H$12</f>
        <v/>
      </c>
      <c r="H157" s="35">
        <f>SUMPRODUCT(($B$28:$B$95="Kale")*(H$28:H$95="P")*$C$28:$C$95)*$K$12+SUMPRODUCT(($B$28:$B$95="Kale")*(H$28:H$95="G")*$C$28:$C$95)*$L$12+SUMPRODUCT(($B$28:$B$95="Kale")*(H$28:H$95="H")*$C$28:$C$95)*$M$12+SUMPRODUCT(($B$28:$B$95="Kale")*($BG$28:$BG$95=4)*$C$28:$C$95)*$H$12</f>
        <v/>
      </c>
      <c r="I157" s="35">
        <f>SUMPRODUCT(($B$28:$B$95="Kale")*(I$28:I$95="P")*$C$28:$C$95)*$K$12+SUMPRODUCT(($B$28:$B$95="Kale")*(I$28:I$95="G")*$C$28:$C$95)*$L$12+SUMPRODUCT(($B$28:$B$95="Kale")*(I$28:I$95="H")*$C$28:$C$95)*$M$12+SUMPRODUCT(($B$28:$B$95="Kale")*($BG$28:$BG$95=5)*$C$28:$C$95)*$H$12</f>
        <v/>
      </c>
      <c r="J157" s="35">
        <f>SUMPRODUCT(($B$28:$B$95="Kale")*(J$28:J$95="P")*$C$28:$C$95)*$K$12+SUMPRODUCT(($B$28:$B$95="Kale")*(J$28:J$95="G")*$C$28:$C$95)*$L$12+SUMPRODUCT(($B$28:$B$95="Kale")*(J$28:J$95="H")*$C$28:$C$95)*$M$12+SUMPRODUCT(($B$28:$B$95="Kale")*($BG$28:$BG$95=6)*$C$28:$C$95)*$H$12</f>
        <v/>
      </c>
      <c r="K157" s="35">
        <f>SUMPRODUCT(($B$28:$B$95="Kale")*(K$28:K$95="P")*$C$28:$C$95)*$K$12+SUMPRODUCT(($B$28:$B$95="Kale")*(K$28:K$95="G")*$C$28:$C$95)*$L$12+SUMPRODUCT(($B$28:$B$95="Kale")*(K$28:K$95="H")*$C$28:$C$95)*$M$12+SUMPRODUCT(($B$28:$B$95="Kale")*($BG$28:$BG$95=7)*$C$28:$C$95)*$H$12</f>
        <v/>
      </c>
      <c r="L157" s="35">
        <f>SUMPRODUCT(($B$28:$B$95="Kale")*(L$28:L$95="P")*$C$28:$C$95)*$K$12+SUMPRODUCT(($B$28:$B$95="Kale")*(L$28:L$95="G")*$C$28:$C$95)*$L$12+SUMPRODUCT(($B$28:$B$95="Kale")*(L$28:L$95="H")*$C$28:$C$95)*$M$12+SUMPRODUCT(($B$28:$B$95="Kale")*($BG$28:$BG$95=8)*$C$28:$C$95)*$H$12</f>
        <v/>
      </c>
      <c r="M157" s="35">
        <f>SUMPRODUCT(($B$28:$B$95="Kale")*(M$28:M$95="P")*$C$28:$C$95)*$K$12+SUMPRODUCT(($B$28:$B$95="Kale")*(M$28:M$95="G")*$C$28:$C$95)*$L$12+SUMPRODUCT(($B$28:$B$95="Kale")*(M$28:M$95="H")*$C$28:$C$95)*$M$12+SUMPRODUCT(($B$28:$B$95="Kale")*($BG$28:$BG$95=9)*$C$28:$C$95)*$H$12</f>
        <v/>
      </c>
      <c r="N157" s="35">
        <f>SUMPRODUCT(($B$28:$B$95="Kale")*(N$28:N$95="P")*$C$28:$C$95)*$K$12+SUMPRODUCT(($B$28:$B$95="Kale")*(N$28:N$95="G")*$C$28:$C$95)*$L$12+SUMPRODUCT(($B$28:$B$95="Kale")*(N$28:N$95="H")*$C$28:$C$95)*$M$12+SUMPRODUCT(($B$28:$B$95="Kale")*($BG$28:$BG$95=10)*$C$28:$C$95)*$H$12</f>
        <v/>
      </c>
      <c r="O157" s="35">
        <f>SUMPRODUCT(($B$28:$B$95="Kale")*(O$28:O$95="P")*$C$28:$C$95)*$K$12+SUMPRODUCT(($B$28:$B$95="Kale")*(O$28:O$95="G")*$C$28:$C$95)*$L$12+SUMPRODUCT(($B$28:$B$95="Kale")*(O$28:O$95="H")*$C$28:$C$95)*$M$12+SUMPRODUCT(($B$28:$B$95="Kale")*($BG$28:$BG$95=11)*$C$28:$C$95)*$H$12</f>
        <v/>
      </c>
      <c r="P157" s="35">
        <f>SUMPRODUCT(($B$28:$B$95="Kale")*(P$28:P$95="P")*$C$28:$C$95)*$K$12+SUMPRODUCT(($B$28:$B$95="Kale")*(P$28:P$95="G")*$C$28:$C$95)*$L$12+SUMPRODUCT(($B$28:$B$95="Kale")*(P$28:P$95="H")*$C$28:$C$95)*$M$12+SUMPRODUCT(($B$28:$B$95="Kale")*($BG$28:$BG$95=12)*$C$28:$C$95)*$H$12</f>
        <v/>
      </c>
      <c r="Q157" s="35">
        <f>SUMPRODUCT(($B$28:$B$95="Kale")*(Q$28:Q$95="P")*$C$28:$C$95)*$K$12+SUMPRODUCT(($B$28:$B$95="Kale")*(Q$28:Q$95="G")*$C$28:$C$95)*$L$12+SUMPRODUCT(($B$28:$B$95="Kale")*(Q$28:Q$95="H")*$C$28:$C$95)*$M$12+SUMPRODUCT(($B$28:$B$95="Kale")*($BG$28:$BG$95=13)*$C$28:$C$95)*$H$12</f>
        <v/>
      </c>
      <c r="R157" s="35">
        <f>SUMPRODUCT(($B$28:$B$95="Kale")*(R$28:R$95="P")*$C$28:$C$95)*$K$12+SUMPRODUCT(($B$28:$B$95="Kale")*(R$28:R$95="G")*$C$28:$C$95)*$L$12+SUMPRODUCT(($B$28:$B$95="Kale")*(R$28:R$95="H")*$C$28:$C$95)*$M$12+SUMPRODUCT(($B$28:$B$95="Kale")*($BG$28:$BG$95=14)*$C$28:$C$95)*$H$12</f>
        <v/>
      </c>
      <c r="S157" s="35">
        <f>SUMPRODUCT(($B$28:$B$95="Kale")*(S$28:S$95="P")*$C$28:$C$95)*$K$12+SUMPRODUCT(($B$28:$B$95="Kale")*(S$28:S$95="G")*$C$28:$C$95)*$L$12+SUMPRODUCT(($B$28:$B$95="Kale")*(S$28:S$95="H")*$C$28:$C$95)*$M$12+SUMPRODUCT(($B$28:$B$95="Kale")*($BG$28:$BG$95=15)*$C$28:$C$95)*$H$12</f>
        <v/>
      </c>
      <c r="T157" s="35">
        <f>SUMPRODUCT(($B$28:$B$95="Kale")*(T$28:T$95="P")*$C$28:$C$95)*$K$12+SUMPRODUCT(($B$28:$B$95="Kale")*(T$28:T$95="G")*$C$28:$C$95)*$L$12+SUMPRODUCT(($B$28:$B$95="Kale")*(T$28:T$95="H")*$C$28:$C$95)*$M$12+SUMPRODUCT(($B$28:$B$95="Kale")*($BG$28:$BG$95=16)*$C$28:$C$95)*$H$12</f>
        <v/>
      </c>
      <c r="U157" s="35">
        <f>SUMPRODUCT(($B$28:$B$95="Kale")*(U$28:U$95="P")*$C$28:$C$95)*$K$12+SUMPRODUCT(($B$28:$B$95="Kale")*(U$28:U$95="G")*$C$28:$C$95)*$L$12+SUMPRODUCT(($B$28:$B$95="Kale")*(U$28:U$95="H")*$C$28:$C$95)*$M$12+SUMPRODUCT(($B$28:$B$95="Kale")*($BG$28:$BG$95=17)*$C$28:$C$95)*$H$12</f>
        <v/>
      </c>
      <c r="V157" s="35">
        <f>SUMPRODUCT(($B$28:$B$95="Kale")*(V$28:V$95="P")*$C$28:$C$95)*$K$12+SUMPRODUCT(($B$28:$B$95="Kale")*(V$28:V$95="G")*$C$28:$C$95)*$L$12+SUMPRODUCT(($B$28:$B$95="Kale")*(V$28:V$95="H")*$C$28:$C$95)*$M$12+SUMPRODUCT(($B$28:$B$95="Kale")*($BG$28:$BG$95=18)*$C$28:$C$95)*$H$12</f>
        <v/>
      </c>
      <c r="W157" s="35">
        <f>SUMPRODUCT(($B$28:$B$95="Kale")*(W$28:W$95="P")*$C$28:$C$95)*$K$12+SUMPRODUCT(($B$28:$B$95="Kale")*(W$28:W$95="G")*$C$28:$C$95)*$L$12+SUMPRODUCT(($B$28:$B$95="Kale")*(W$28:W$95="H")*$C$28:$C$95)*$M$12+SUMPRODUCT(($B$28:$B$95="Kale")*($BG$28:$BG$95=19)*$C$28:$C$95)*$H$12</f>
        <v/>
      </c>
      <c r="X157" s="35">
        <f>SUMPRODUCT(($B$28:$B$95="Kale")*(X$28:X$95="P")*$C$28:$C$95)*$K$12+SUMPRODUCT(($B$28:$B$95="Kale")*(X$28:X$95="G")*$C$28:$C$95)*$L$12+SUMPRODUCT(($B$28:$B$95="Kale")*(X$28:X$95="H")*$C$28:$C$95)*$M$12+SUMPRODUCT(($B$28:$B$95="Kale")*($BG$28:$BG$95=20)*$C$28:$C$95)*$H$12</f>
        <v/>
      </c>
      <c r="Y157" s="35">
        <f>SUMPRODUCT(($B$28:$B$95="Kale")*(Y$28:Y$95="P")*$C$28:$C$95)*$K$12+SUMPRODUCT(($B$28:$B$95="Kale")*(Y$28:Y$95="G")*$C$28:$C$95)*$L$12+SUMPRODUCT(($B$28:$B$95="Kale")*(Y$28:Y$95="H")*$C$28:$C$95)*$M$12+SUMPRODUCT(($B$28:$B$95="Kale")*($BG$28:$BG$95=21)*$C$28:$C$95)*$H$12</f>
        <v/>
      </c>
      <c r="Z157" s="35">
        <f>SUMPRODUCT(($B$28:$B$95="Kale")*(Z$28:Z$95="P")*$C$28:$C$95)*$K$12+SUMPRODUCT(($B$28:$B$95="Kale")*(Z$28:Z$95="G")*$C$28:$C$95)*$L$12+SUMPRODUCT(($B$28:$B$95="Kale")*(Z$28:Z$95="H")*$C$28:$C$95)*$M$12+SUMPRODUCT(($B$28:$B$95="Kale")*($BG$28:$BG$95=22)*$C$28:$C$95)*$H$12</f>
        <v/>
      </c>
      <c r="AA157" s="35">
        <f>SUMPRODUCT(($B$28:$B$95="Kale")*(AA$28:AA$95="P")*$C$28:$C$95)*$K$12+SUMPRODUCT(($B$28:$B$95="Kale")*(AA$28:AA$95="G")*$C$28:$C$95)*$L$12+SUMPRODUCT(($B$28:$B$95="Kale")*(AA$28:AA$95="H")*$C$28:$C$95)*$M$12+SUMPRODUCT(($B$28:$B$95="Kale")*($BG$28:$BG$95=23)*$C$28:$C$95)*$H$12</f>
        <v/>
      </c>
      <c r="AB157" s="35">
        <f>SUMPRODUCT(($B$28:$B$95="Kale")*(AB$28:AB$95="P")*$C$28:$C$95)*$K$12+SUMPRODUCT(($B$28:$B$95="Kale")*(AB$28:AB$95="G")*$C$28:$C$95)*$L$12+SUMPRODUCT(($B$28:$B$95="Kale")*(AB$28:AB$95="H")*$C$28:$C$95)*$M$12+SUMPRODUCT(($B$28:$B$95="Kale")*($BG$28:$BG$95=24)*$C$28:$C$95)*$H$12</f>
        <v/>
      </c>
      <c r="AC157" s="35">
        <f>SUMPRODUCT(($B$28:$B$95="Kale")*(AC$28:AC$95="P")*$C$28:$C$95)*$K$12+SUMPRODUCT(($B$28:$B$95="Kale")*(AC$28:AC$95="G")*$C$28:$C$95)*$L$12+SUMPRODUCT(($B$28:$B$95="Kale")*(AC$28:AC$95="H")*$C$28:$C$95)*$M$12+SUMPRODUCT(($B$28:$B$95="Kale")*($BG$28:$BG$95=25)*$C$28:$C$95)*$H$12</f>
        <v/>
      </c>
      <c r="AD157" s="35">
        <f>SUMPRODUCT(($B$28:$B$95="Kale")*(AD$28:AD$95="P")*$C$28:$C$95)*$K$12+SUMPRODUCT(($B$28:$B$95="Kale")*(AD$28:AD$95="G")*$C$28:$C$95)*$L$12+SUMPRODUCT(($B$28:$B$95="Kale")*(AD$28:AD$95="H")*$C$28:$C$95)*$M$12+SUMPRODUCT(($B$28:$B$95="Kale")*($BG$28:$BG$95=26)*$C$28:$C$95)*$H$12</f>
        <v/>
      </c>
      <c r="AE157" s="35">
        <f>SUMPRODUCT(($B$28:$B$95="Kale")*(AE$28:AE$95="P")*$C$28:$C$95)*$K$12+SUMPRODUCT(($B$28:$B$95="Kale")*(AE$28:AE$95="G")*$C$28:$C$95)*$L$12+SUMPRODUCT(($B$28:$B$95="Kale")*(AE$28:AE$95="H")*$C$28:$C$95)*$M$12+SUMPRODUCT(($B$28:$B$95="Kale")*($BG$28:$BG$95=27)*$C$28:$C$95)*$H$12</f>
        <v/>
      </c>
      <c r="AF157" s="35">
        <f>SUMPRODUCT(($B$28:$B$95="Kale")*(AF$28:AF$95="P")*$C$28:$C$95)*$K$12+SUMPRODUCT(($B$28:$B$95="Kale")*(AF$28:AF$95="G")*$C$28:$C$95)*$L$12+SUMPRODUCT(($B$28:$B$95="Kale")*(AF$28:AF$95="H")*$C$28:$C$95)*$M$12+SUMPRODUCT(($B$28:$B$95="Kale")*($BG$28:$BG$95=28)*$C$28:$C$95)*$H$12</f>
        <v/>
      </c>
      <c r="AG157" s="35">
        <f>SUMPRODUCT(($B$28:$B$95="Kale")*(AG$28:AG$95="P")*$C$28:$C$95)*$K$12+SUMPRODUCT(($B$28:$B$95="Kale")*(AG$28:AG$95="G")*$C$28:$C$95)*$L$12+SUMPRODUCT(($B$28:$B$95="Kale")*(AG$28:AG$95="H")*$C$28:$C$95)*$M$12+SUMPRODUCT(($B$28:$B$95="Kale")*($BG$28:$BG$95=29)*$C$28:$C$95)*$H$12</f>
        <v/>
      </c>
      <c r="AH157" s="35">
        <f>SUMPRODUCT(($B$28:$B$95="Kale")*(AH$28:AH$95="P")*$C$28:$C$95)*$K$12+SUMPRODUCT(($B$28:$B$95="Kale")*(AH$28:AH$95="G")*$C$28:$C$95)*$L$12+SUMPRODUCT(($B$28:$B$95="Kale")*(AH$28:AH$95="H")*$C$28:$C$95)*$M$12+SUMPRODUCT(($B$28:$B$95="Kale")*($BG$28:$BG$95=30)*$C$28:$C$95)*$H$12</f>
        <v/>
      </c>
      <c r="AI157" s="35">
        <f>SUMPRODUCT(($B$28:$B$95="Kale")*(AI$28:AI$95="P")*$C$28:$C$95)*$K$12+SUMPRODUCT(($B$28:$B$95="Kale")*(AI$28:AI$95="G")*$C$28:$C$95)*$L$12+SUMPRODUCT(($B$28:$B$95="Kale")*(AI$28:AI$95="H")*$C$28:$C$95)*$M$12+SUMPRODUCT(($B$28:$B$95="Kale")*($BG$28:$BG$95=31)*$C$28:$C$95)*$H$12</f>
        <v/>
      </c>
      <c r="AJ157" s="35">
        <f>SUMPRODUCT(($B$28:$B$95="Kale")*(AJ$28:AJ$95="P")*$C$28:$C$95)*$K$12+SUMPRODUCT(($B$28:$B$95="Kale")*(AJ$28:AJ$95="G")*$C$28:$C$95)*$L$12+SUMPRODUCT(($B$28:$B$95="Kale")*(AJ$28:AJ$95="H")*$C$28:$C$95)*$M$12+SUMPRODUCT(($B$28:$B$95="Kale")*($BG$28:$BG$95=32)*$C$28:$C$95)*$H$12</f>
        <v/>
      </c>
      <c r="AK157" s="35">
        <f>SUMPRODUCT(($B$28:$B$95="Kale")*(AK$28:AK$95="P")*$C$28:$C$95)*$K$12+SUMPRODUCT(($B$28:$B$95="Kale")*(AK$28:AK$95="G")*$C$28:$C$95)*$L$12+SUMPRODUCT(($B$28:$B$95="Kale")*(AK$28:AK$95="H")*$C$28:$C$95)*$M$12+SUMPRODUCT(($B$28:$B$95="Kale")*($BG$28:$BG$95=33)*$C$28:$C$95)*$H$12</f>
        <v/>
      </c>
      <c r="AL157" s="35">
        <f>SUMPRODUCT(($B$28:$B$95="Kale")*(AL$28:AL$95="P")*$C$28:$C$95)*$K$12+SUMPRODUCT(($B$28:$B$95="Kale")*(AL$28:AL$95="G")*$C$28:$C$95)*$L$12+SUMPRODUCT(($B$28:$B$95="Kale")*(AL$28:AL$95="H")*$C$28:$C$95)*$M$12+SUMPRODUCT(($B$28:$B$95="Kale")*($BG$28:$BG$95=34)*$C$28:$C$95)*$H$12</f>
        <v/>
      </c>
      <c r="AM157" s="35">
        <f>SUMPRODUCT(($B$28:$B$95="Kale")*(AM$28:AM$95="P")*$C$28:$C$95)*$K$12+SUMPRODUCT(($B$28:$B$95="Kale")*(AM$28:AM$95="G")*$C$28:$C$95)*$L$12+SUMPRODUCT(($B$28:$B$95="Kale")*(AM$28:AM$95="H")*$C$28:$C$95)*$M$12+SUMPRODUCT(($B$28:$B$95="Kale")*($BG$28:$BG$95=35)*$C$28:$C$95)*$H$12</f>
        <v/>
      </c>
      <c r="AN157" s="35">
        <f>SUMPRODUCT(($B$28:$B$95="Kale")*(AN$28:AN$95="P")*$C$28:$C$95)*$K$12+SUMPRODUCT(($B$28:$B$95="Kale")*(AN$28:AN$95="G")*$C$28:$C$95)*$L$12+SUMPRODUCT(($B$28:$B$95="Kale")*(AN$28:AN$95="H")*$C$28:$C$95)*$M$12+SUMPRODUCT(($B$28:$B$95="Kale")*($BG$28:$BG$95=36)*$C$28:$C$95)*$H$12</f>
        <v/>
      </c>
      <c r="AO157" s="35">
        <f>SUMPRODUCT(($B$28:$B$95="Kale")*(AO$28:AO$95="P")*$C$28:$C$95)*$K$12+SUMPRODUCT(($B$28:$B$95="Kale")*(AO$28:AO$95="G")*$C$28:$C$95)*$L$12+SUMPRODUCT(($B$28:$B$95="Kale")*(AO$28:AO$95="H")*$C$28:$C$95)*$M$12+SUMPRODUCT(($B$28:$B$95="Kale")*($BG$28:$BG$95=37)*$C$28:$C$95)*$H$12</f>
        <v/>
      </c>
      <c r="AP157" s="35">
        <f>SUMPRODUCT(($B$28:$B$95="Kale")*(AP$28:AP$95="P")*$C$28:$C$95)*$K$12+SUMPRODUCT(($B$28:$B$95="Kale")*(AP$28:AP$95="G")*$C$28:$C$95)*$L$12+SUMPRODUCT(($B$28:$B$95="Kale")*(AP$28:AP$95="H")*$C$28:$C$95)*$M$12+SUMPRODUCT(($B$28:$B$95="Kale")*($BG$28:$BG$95=38)*$C$28:$C$95)*$H$12</f>
        <v/>
      </c>
      <c r="AQ157" s="35">
        <f>SUMPRODUCT(($B$28:$B$95="Kale")*(AQ$28:AQ$95="P")*$C$28:$C$95)*$K$12+SUMPRODUCT(($B$28:$B$95="Kale")*(AQ$28:AQ$95="G")*$C$28:$C$95)*$L$12+SUMPRODUCT(($B$28:$B$95="Kale")*(AQ$28:AQ$95="H")*$C$28:$C$95)*$M$12+SUMPRODUCT(($B$28:$B$95="Kale")*($BG$28:$BG$95=39)*$C$28:$C$95)*$H$12</f>
        <v/>
      </c>
      <c r="AR157" s="35">
        <f>SUMPRODUCT(($B$28:$B$95="Kale")*(AR$28:AR$95="P")*$C$28:$C$95)*$K$12+SUMPRODUCT(($B$28:$B$95="Kale")*(AR$28:AR$95="G")*$C$28:$C$95)*$L$12+SUMPRODUCT(($B$28:$B$95="Kale")*(AR$28:AR$95="H")*$C$28:$C$95)*$M$12+SUMPRODUCT(($B$28:$B$95="Kale")*($BG$28:$BG$95=40)*$C$28:$C$95)*$H$12</f>
        <v/>
      </c>
      <c r="AS157" s="35">
        <f>SUMPRODUCT(($B$28:$B$95="Kale")*(AS$28:AS$95="P")*$C$28:$C$95)*$K$12+SUMPRODUCT(($B$28:$B$95="Kale")*(AS$28:AS$95="G")*$C$28:$C$95)*$L$12+SUMPRODUCT(($B$28:$B$95="Kale")*(AS$28:AS$95="H")*$C$28:$C$95)*$M$12+SUMPRODUCT(($B$28:$B$95="Kale")*($BG$28:$BG$95=41)*$C$28:$C$95)*$H$12</f>
        <v/>
      </c>
      <c r="AT157" s="35">
        <f>SUMPRODUCT(($B$28:$B$95="Kale")*(AT$28:AT$95="P")*$C$28:$C$95)*$K$12+SUMPRODUCT(($B$28:$B$95="Kale")*(AT$28:AT$95="G")*$C$28:$C$95)*$L$12+SUMPRODUCT(($B$28:$B$95="Kale")*(AT$28:AT$95="H")*$C$28:$C$95)*$M$12+SUMPRODUCT(($B$28:$B$95="Kale")*($BG$28:$BG$95=42)*$C$28:$C$95)*$H$12</f>
        <v/>
      </c>
      <c r="AU157" s="35">
        <f>SUMPRODUCT(($B$28:$B$95="Kale")*(AU$28:AU$95="P")*$C$28:$C$95)*$K$12+SUMPRODUCT(($B$28:$B$95="Kale")*(AU$28:AU$95="G")*$C$28:$C$95)*$L$12+SUMPRODUCT(($B$28:$B$95="Kale")*(AU$28:AU$95="H")*$C$28:$C$95)*$M$12+SUMPRODUCT(($B$28:$B$95="Kale")*($BG$28:$BG$95=43)*$C$28:$C$95)*$H$12</f>
        <v/>
      </c>
      <c r="AV157" s="35">
        <f>SUMPRODUCT(($B$28:$B$95="Kale")*(AV$28:AV$95="P")*$C$28:$C$95)*$K$12+SUMPRODUCT(($B$28:$B$95="Kale")*(AV$28:AV$95="G")*$C$28:$C$95)*$L$12+SUMPRODUCT(($B$28:$B$95="Kale")*(AV$28:AV$95="H")*$C$28:$C$95)*$M$12+SUMPRODUCT(($B$28:$B$95="Kale")*($BG$28:$BG$95=44)*$C$28:$C$95)*$H$12</f>
        <v/>
      </c>
      <c r="AW157" s="35">
        <f>SUMPRODUCT(($B$28:$B$95="Kale")*(AW$28:AW$95="P")*$C$28:$C$95)*$K$12+SUMPRODUCT(($B$28:$B$95="Kale")*(AW$28:AW$95="G")*$C$28:$C$95)*$L$12+SUMPRODUCT(($B$28:$B$95="Kale")*(AW$28:AW$95="H")*$C$28:$C$95)*$M$12+SUMPRODUCT(($B$28:$B$95="Kale")*($BG$28:$BG$95=45)*$C$28:$C$95)*$H$12</f>
        <v/>
      </c>
      <c r="AX157" s="35">
        <f>SUMPRODUCT(($B$28:$B$95="Kale")*(AX$28:AX$95="P")*$C$28:$C$95)*$K$12+SUMPRODUCT(($B$28:$B$95="Kale")*(AX$28:AX$95="G")*$C$28:$C$95)*$L$12+SUMPRODUCT(($B$28:$B$95="Kale")*(AX$28:AX$95="H")*$C$28:$C$95)*$M$12+SUMPRODUCT(($B$28:$B$95="Kale")*($BG$28:$BG$95=46)*$C$28:$C$95)*$H$12</f>
        <v/>
      </c>
      <c r="AY157" s="35">
        <f>SUMPRODUCT(($B$28:$B$95="Kale")*(AY$28:AY$95="P")*$C$28:$C$95)*$K$12+SUMPRODUCT(($B$28:$B$95="Kale")*(AY$28:AY$95="G")*$C$28:$C$95)*$L$12+SUMPRODUCT(($B$28:$B$95="Kale")*(AY$28:AY$95="H")*$C$28:$C$95)*$M$12+SUMPRODUCT(($B$28:$B$95="Kale")*($BG$28:$BG$95=47)*$C$28:$C$95)*$H$12</f>
        <v/>
      </c>
      <c r="AZ157" s="35">
        <f>SUMPRODUCT(($B$28:$B$95="Kale")*(AZ$28:AZ$95="P")*$C$28:$C$95)*$K$12+SUMPRODUCT(($B$28:$B$95="Kale")*(AZ$28:AZ$95="G")*$C$28:$C$95)*$L$12+SUMPRODUCT(($B$28:$B$95="Kale")*(AZ$28:AZ$95="H")*$C$28:$C$95)*$M$12+SUMPRODUCT(($B$28:$B$95="Kale")*($BG$28:$BG$95=48)*$C$28:$C$95)*$H$12</f>
        <v/>
      </c>
      <c r="BA157" s="35">
        <f>SUMPRODUCT(($B$28:$B$95="Kale")*(BA$28:BA$95="P")*$C$28:$C$95)*$K$12+SUMPRODUCT(($B$28:$B$95="Kale")*(BA$28:BA$95="G")*$C$28:$C$95)*$L$12+SUMPRODUCT(($B$28:$B$95="Kale")*(BA$28:BA$95="H")*$C$28:$C$95)*$M$12+SUMPRODUCT(($B$28:$B$95="Kale")*($BG$28:$BG$95=49)*$C$28:$C$95)*$H$12</f>
        <v/>
      </c>
      <c r="BB157" s="35">
        <f>SUMPRODUCT(($B$28:$B$95="Kale")*(BB$28:BB$95="P")*$C$28:$C$95)*$K$12+SUMPRODUCT(($B$28:$B$95="Kale")*(BB$28:BB$95="G")*$C$28:$C$95)*$L$12+SUMPRODUCT(($B$28:$B$95="Kale")*(BB$28:BB$95="H")*$C$28:$C$95)*$M$12+SUMPRODUCT(($B$28:$B$95="Kale")*($BG$28:$BG$95=50)*$C$28:$C$95)*$H$12</f>
        <v/>
      </c>
      <c r="BC157" s="35">
        <f>SUMPRODUCT(($B$28:$B$95="Kale")*(BC$28:BC$95="P")*$C$28:$C$95)*$K$12+SUMPRODUCT(($B$28:$B$95="Kale")*(BC$28:BC$95="G")*$C$28:$C$95)*$L$12+SUMPRODUCT(($B$28:$B$95="Kale")*(BC$28:BC$95="H")*$C$28:$C$95)*$M$12+SUMPRODUCT(($B$28:$B$95="Kale")*($BG$28:$BG$95=51)*$C$28:$C$95)*$H$12</f>
        <v/>
      </c>
      <c r="BD157" s="35">
        <f>SUMPRODUCT(($B$28:$B$95="Kale")*(BD$28:BD$95="P")*$C$28:$C$95)*$K$12+SUMPRODUCT(($B$28:$B$95="Kale")*(BD$28:BD$95="G")*$C$28:$C$95)*$L$12+SUMPRODUCT(($B$28:$B$95="Kale")*(BD$28:BD$95="H")*$C$28:$C$95)*$M$12+SUMPRODUCT(($B$28:$B$95="Kale")*($BG$28:$BG$95=52)*$C$28:$C$95)*$H$12</f>
        <v/>
      </c>
    </row>
    <row r="158">
      <c r="A158" s="25" t="inlineStr">
        <is>
          <t>Packaging this week</t>
        </is>
      </c>
      <c r="B158" s="2" t="inlineStr">
        <is>
          <t>$</t>
        </is>
      </c>
      <c r="E158" s="35">
        <f>E140*$J$20+E148*$J$21</f>
        <v/>
      </c>
      <c r="F158" s="35">
        <f>F140*$J$20+F148*$J$21</f>
        <v/>
      </c>
      <c r="G158" s="35">
        <f>G140*$J$20+G148*$J$21</f>
        <v/>
      </c>
      <c r="H158" s="35">
        <f>H140*$J$20+H148*$J$21</f>
        <v/>
      </c>
      <c r="I158" s="35">
        <f>I140*$J$20+I148*$J$21</f>
        <v/>
      </c>
      <c r="J158" s="35">
        <f>J140*$J$20+J148*$J$21</f>
        <v/>
      </c>
      <c r="K158" s="35">
        <f>K140*$J$20+K148*$J$21</f>
        <v/>
      </c>
      <c r="L158" s="35">
        <f>L140*$J$20+L148*$J$21</f>
        <v/>
      </c>
      <c r="M158" s="35">
        <f>M140*$J$20+M148*$J$21</f>
        <v/>
      </c>
      <c r="N158" s="35">
        <f>N140*$J$20+N148*$J$21</f>
        <v/>
      </c>
      <c r="O158" s="35">
        <f>O140*$J$20+O148*$J$21</f>
        <v/>
      </c>
      <c r="P158" s="35">
        <f>P140*$J$20+P148*$J$21</f>
        <v/>
      </c>
      <c r="Q158" s="35">
        <f>Q140*$J$20+Q148*$J$21</f>
        <v/>
      </c>
      <c r="R158" s="35">
        <f>R140*$J$20+R148*$J$21</f>
        <v/>
      </c>
      <c r="S158" s="35">
        <f>S140*$J$20+S148*$J$21</f>
        <v/>
      </c>
      <c r="T158" s="35">
        <f>T140*$J$20+T148*$J$21</f>
        <v/>
      </c>
      <c r="U158" s="35">
        <f>U140*$J$20+U148*$J$21</f>
        <v/>
      </c>
      <c r="V158" s="35">
        <f>V140*$J$20+V148*$J$21</f>
        <v/>
      </c>
      <c r="W158" s="35">
        <f>W140*$J$20+W148*$J$21</f>
        <v/>
      </c>
      <c r="X158" s="35">
        <f>X140*$J$20+X148*$J$21</f>
        <v/>
      </c>
      <c r="Y158" s="35">
        <f>Y140*$J$20+Y148*$J$21</f>
        <v/>
      </c>
      <c r="Z158" s="35">
        <f>Z140*$J$20+Z148*$J$21</f>
        <v/>
      </c>
      <c r="AA158" s="35">
        <f>AA140*$J$20+AA148*$J$21</f>
        <v/>
      </c>
      <c r="AB158" s="35">
        <f>AB140*$J$20+AB148*$J$21</f>
        <v/>
      </c>
      <c r="AC158" s="35">
        <f>AC140*$J$20+AC148*$J$21</f>
        <v/>
      </c>
      <c r="AD158" s="35">
        <f>AD140*$J$20+AD148*$J$21</f>
        <v/>
      </c>
      <c r="AE158" s="35">
        <f>AE140*$J$20+AE148*$J$21</f>
        <v/>
      </c>
      <c r="AF158" s="35">
        <f>AF140*$J$20+AF148*$J$21</f>
        <v/>
      </c>
      <c r="AG158" s="35">
        <f>AG140*$J$20+AG148*$J$21</f>
        <v/>
      </c>
      <c r="AH158" s="35">
        <f>AH140*$J$20+AH148*$J$21</f>
        <v/>
      </c>
      <c r="AI158" s="35">
        <f>AI140*$J$20+AI148*$J$21</f>
        <v/>
      </c>
      <c r="AJ158" s="35">
        <f>AJ140*$J$20+AJ148*$J$21</f>
        <v/>
      </c>
      <c r="AK158" s="35">
        <f>AK140*$J$20+AK148*$J$21</f>
        <v/>
      </c>
      <c r="AL158" s="35">
        <f>AL140*$J$20+AL148*$J$21</f>
        <v/>
      </c>
      <c r="AM158" s="35">
        <f>AM140*$J$20+AM148*$J$21</f>
        <v/>
      </c>
      <c r="AN158" s="35">
        <f>AN140*$J$20+AN148*$J$21</f>
        <v/>
      </c>
      <c r="AO158" s="35">
        <f>AO140*$J$20+AO148*$J$21</f>
        <v/>
      </c>
      <c r="AP158" s="35">
        <f>AP140*$J$20+AP148*$J$21</f>
        <v/>
      </c>
      <c r="AQ158" s="35">
        <f>AQ140*$J$20+AQ148*$J$21</f>
        <v/>
      </c>
      <c r="AR158" s="35">
        <f>AR140*$J$20+AR148*$J$21</f>
        <v/>
      </c>
      <c r="AS158" s="35">
        <f>AS140*$J$20+AS148*$J$21</f>
        <v/>
      </c>
      <c r="AT158" s="35">
        <f>AT140*$J$20+AT148*$J$21</f>
        <v/>
      </c>
      <c r="AU158" s="35">
        <f>AU140*$J$20+AU148*$J$21</f>
        <v/>
      </c>
      <c r="AV158" s="35">
        <f>AV140*$J$20+AV148*$J$21</f>
        <v/>
      </c>
      <c r="AW158" s="35">
        <f>AW140*$J$20+AW148*$J$21</f>
        <v/>
      </c>
      <c r="AX158" s="35">
        <f>AX140*$J$20+AX148*$J$21</f>
        <v/>
      </c>
      <c r="AY158" s="35">
        <f>AY140*$J$20+AY148*$J$21</f>
        <v/>
      </c>
      <c r="AZ158" s="35">
        <f>AZ140*$J$20+AZ148*$J$21</f>
        <v/>
      </c>
      <c r="BA158" s="35">
        <f>BA140*$J$20+BA148*$J$21</f>
        <v/>
      </c>
      <c r="BB158" s="35">
        <f>BB140*$J$20+BB148*$J$21</f>
        <v/>
      </c>
      <c r="BC158" s="35">
        <f>BC140*$J$20+BC148*$J$21</f>
        <v/>
      </c>
      <c r="BD158" s="35">
        <f>BD140*$J$20+BD148*$J$21</f>
        <v/>
      </c>
    </row>
    <row r="159">
      <c r="A159" s="4" t="inlineStr">
        <is>
          <t>ROOM OCCUPANCY</t>
        </is>
      </c>
      <c r="B159" s="2" t="inlineStr">
        <is>
          <t>m3</t>
        </is>
      </c>
      <c r="E159" s="43">
        <f>(E135+E134)*$D$12</f>
        <v/>
      </c>
      <c r="F159" s="43">
        <f>(F135+F134)*$D$12</f>
        <v/>
      </c>
      <c r="G159" s="43">
        <f>(G135+G134)*$D$12</f>
        <v/>
      </c>
      <c r="H159" s="43">
        <f>(H135+H134)*$D$12</f>
        <v/>
      </c>
      <c r="I159" s="43">
        <f>(I135+I134)*$D$12</f>
        <v/>
      </c>
      <c r="J159" s="43">
        <f>(J135+J134)*$D$12</f>
        <v/>
      </c>
      <c r="K159" s="43">
        <f>(K135+K134)*$D$12</f>
        <v/>
      </c>
      <c r="L159" s="43">
        <f>(L135+L134)*$D$12</f>
        <v/>
      </c>
      <c r="M159" s="43">
        <f>(M135+M134)*$D$12</f>
        <v/>
      </c>
      <c r="N159" s="43">
        <f>(N135+N134)*$D$12</f>
        <v/>
      </c>
      <c r="O159" s="43">
        <f>(O135+O134)*$D$12</f>
        <v/>
      </c>
      <c r="P159" s="43">
        <f>(P135+P134)*$D$12</f>
        <v/>
      </c>
      <c r="Q159" s="43">
        <f>(Q135+Q134)*$D$12</f>
        <v/>
      </c>
      <c r="R159" s="43">
        <f>(R135+R134)*$D$12</f>
        <v/>
      </c>
      <c r="S159" s="43">
        <f>(S135+S134)*$D$12</f>
        <v/>
      </c>
      <c r="T159" s="43">
        <f>(T135+T134)*$D$12</f>
        <v/>
      </c>
      <c r="U159" s="43">
        <f>(U135+U134)*$D$12</f>
        <v/>
      </c>
      <c r="V159" s="43">
        <f>(V135+V134)*$D$12</f>
        <v/>
      </c>
      <c r="W159" s="43">
        <f>(W135+W134)*$D$12</f>
        <v/>
      </c>
      <c r="X159" s="43">
        <f>(X135+X134)*$D$12</f>
        <v/>
      </c>
      <c r="Y159" s="43">
        <f>(Y135+Y134)*$D$12</f>
        <v/>
      </c>
      <c r="Z159" s="43">
        <f>(Z135+Z134)*$D$12</f>
        <v/>
      </c>
      <c r="AA159" s="43">
        <f>(AA135+AA134)*$D$12</f>
        <v/>
      </c>
      <c r="AB159" s="43">
        <f>(AB135+AB134)*$D$12</f>
        <v/>
      </c>
      <c r="AC159" s="43">
        <f>(AC135+AC134)*$D$12</f>
        <v/>
      </c>
      <c r="AD159" s="43">
        <f>(AD135+AD134)*$D$12</f>
        <v/>
      </c>
      <c r="AE159" s="43">
        <f>(AE135+AE134)*$D$12</f>
        <v/>
      </c>
      <c r="AF159" s="43">
        <f>(AF135+AF134)*$D$12</f>
        <v/>
      </c>
      <c r="AG159" s="43">
        <f>(AG135+AG134)*$D$12</f>
        <v/>
      </c>
      <c r="AH159" s="43">
        <f>(AH135+AH134)*$D$12</f>
        <v/>
      </c>
      <c r="AI159" s="43">
        <f>(AI135+AI134)*$D$12</f>
        <v/>
      </c>
      <c r="AJ159" s="43">
        <f>(AJ135+AJ134)*$D$12</f>
        <v/>
      </c>
      <c r="AK159" s="43">
        <f>(AK135+AK134)*$D$12</f>
        <v/>
      </c>
      <c r="AL159" s="43">
        <f>(AL135+AL134)*$D$12</f>
        <v/>
      </c>
      <c r="AM159" s="43">
        <f>(AM135+AM134)*$D$12</f>
        <v/>
      </c>
      <c r="AN159" s="43">
        <f>(AN135+AN134)*$D$12</f>
        <v/>
      </c>
      <c r="AO159" s="43">
        <f>(AO135+AO134)*$D$12</f>
        <v/>
      </c>
      <c r="AP159" s="43">
        <f>(AP135+AP134)*$D$12</f>
        <v/>
      </c>
      <c r="AQ159" s="43">
        <f>(AQ135+AQ134)*$D$12</f>
        <v/>
      </c>
      <c r="AR159" s="43">
        <f>(AR135+AR134)*$D$12</f>
        <v/>
      </c>
      <c r="AS159" s="43">
        <f>(AS135+AS134)*$D$12</f>
        <v/>
      </c>
      <c r="AT159" s="43">
        <f>(AT135+AT134)*$D$12</f>
        <v/>
      </c>
      <c r="AU159" s="43">
        <f>(AU135+AU134)*$D$12</f>
        <v/>
      </c>
      <c r="AV159" s="43">
        <f>(AV135+AV134)*$D$12</f>
        <v/>
      </c>
      <c r="AW159" s="43">
        <f>(AW135+AW134)*$D$12</f>
        <v/>
      </c>
      <c r="AX159" s="43">
        <f>(AX135+AX134)*$D$12</f>
        <v/>
      </c>
      <c r="AY159" s="43">
        <f>(AY135+AY134)*$D$12</f>
        <v/>
      </c>
      <c r="AZ159" s="43">
        <f>(AZ135+AZ134)*$D$12</f>
        <v/>
      </c>
      <c r="BA159" s="43">
        <f>(BA135+BA134)*$D$12</f>
        <v/>
      </c>
      <c r="BB159" s="43">
        <f>(BB135+BB134)*$D$12</f>
        <v/>
      </c>
      <c r="BC159" s="43">
        <f>(BC135+BC134)*$D$12</f>
        <v/>
      </c>
      <c r="BD159" s="43">
        <f>(BD135+BD134)*$D$12</f>
        <v/>
      </c>
    </row>
    <row r="161">
      <c r="A161" s="3" t="inlineStr">
        <is>
          <t>GARLIC  —  ambient store</t>
        </is>
      </c>
      <c r="B161" s="46" t="inlineStr"/>
    </row>
    <row r="162">
      <c r="A162" s="20" t="inlineStr">
        <is>
          <t>Week</t>
        </is>
      </c>
      <c r="B162" s="31" t="inlineStr"/>
      <c r="E162" s="23" t="n">
        <v>1</v>
      </c>
      <c r="F162" s="23" t="n">
        <v>2</v>
      </c>
      <c r="G162" s="23" t="n">
        <v>3</v>
      </c>
      <c r="H162" s="23" t="n">
        <v>4</v>
      </c>
      <c r="I162" s="23" t="n">
        <v>5</v>
      </c>
      <c r="J162" s="23" t="n">
        <v>6</v>
      </c>
      <c r="K162" s="23" t="n">
        <v>7</v>
      </c>
      <c r="L162" s="23" t="n">
        <v>8</v>
      </c>
      <c r="M162" s="23" t="n">
        <v>9</v>
      </c>
      <c r="N162" s="23" t="n">
        <v>10</v>
      </c>
      <c r="O162" s="23" t="n">
        <v>11</v>
      </c>
      <c r="P162" s="23" t="n">
        <v>12</v>
      </c>
      <c r="Q162" s="23" t="n">
        <v>13</v>
      </c>
      <c r="R162" s="23" t="n">
        <v>14</v>
      </c>
      <c r="S162" s="23" t="n">
        <v>15</v>
      </c>
      <c r="T162" s="23" t="n">
        <v>16</v>
      </c>
      <c r="U162" s="23" t="n">
        <v>17</v>
      </c>
      <c r="V162" s="23" t="n">
        <v>18</v>
      </c>
      <c r="W162" s="23" t="n">
        <v>19</v>
      </c>
      <c r="X162" s="23" t="n">
        <v>20</v>
      </c>
      <c r="Y162" s="23" t="n">
        <v>21</v>
      </c>
      <c r="Z162" s="23" t="n">
        <v>22</v>
      </c>
      <c r="AA162" s="23" t="n">
        <v>23</v>
      </c>
      <c r="AB162" s="23" t="n">
        <v>24</v>
      </c>
      <c r="AC162" s="23" t="n">
        <v>25</v>
      </c>
      <c r="AD162" s="23" t="n">
        <v>26</v>
      </c>
      <c r="AE162" s="23" t="n">
        <v>27</v>
      </c>
      <c r="AF162" s="23" t="n">
        <v>28</v>
      </c>
      <c r="AG162" s="23" t="n">
        <v>29</v>
      </c>
      <c r="AH162" s="23" t="n">
        <v>30</v>
      </c>
      <c r="AI162" s="23" t="n">
        <v>31</v>
      </c>
      <c r="AJ162" s="23" t="n">
        <v>32</v>
      </c>
      <c r="AK162" s="23" t="n">
        <v>33</v>
      </c>
      <c r="AL162" s="23" t="n">
        <v>34</v>
      </c>
      <c r="AM162" s="23" t="n">
        <v>35</v>
      </c>
      <c r="AN162" s="23" t="n">
        <v>36</v>
      </c>
      <c r="AO162" s="23" t="n">
        <v>37</v>
      </c>
      <c r="AP162" s="23" t="n">
        <v>38</v>
      </c>
      <c r="AQ162" s="23" t="n">
        <v>39</v>
      </c>
      <c r="AR162" s="23" t="n">
        <v>40</v>
      </c>
      <c r="AS162" s="23" t="n">
        <v>41</v>
      </c>
      <c r="AT162" s="23" t="n">
        <v>42</v>
      </c>
      <c r="AU162" s="23" t="n">
        <v>43</v>
      </c>
      <c r="AV162" s="23" t="n">
        <v>44</v>
      </c>
      <c r="AW162" s="23" t="n">
        <v>45</v>
      </c>
      <c r="AX162" s="23" t="n">
        <v>46</v>
      </c>
      <c r="AY162" s="23" t="n">
        <v>47</v>
      </c>
      <c r="AZ162" s="23" t="n">
        <v>48</v>
      </c>
      <c r="BA162" s="23" t="n">
        <v>49</v>
      </c>
      <c r="BB162" s="23" t="n">
        <v>50</v>
      </c>
      <c r="BC162" s="23" t="n">
        <v>51</v>
      </c>
      <c r="BD162" s="23" t="n">
        <v>52</v>
      </c>
    </row>
    <row r="163">
      <c r="A163" s="4" t="inlineStr">
        <is>
          <t>Packed out -&gt; INTO the store</t>
        </is>
      </c>
      <c r="B163" s="2" t="inlineStr">
        <is>
          <t>lb</t>
        </is>
      </c>
      <c r="E163" s="35">
        <f>SUMPRODUCT(($B$28:$B$95="Garlic")*(E$28:E$95="H")*$C$28:$C$95)*$B$13/$J$13*$C$13</f>
        <v/>
      </c>
      <c r="F163" s="35">
        <f>SUMPRODUCT(($B$28:$B$95="Garlic")*(F$28:F$95="H")*$C$28:$C$95)*$B$13/$J$13*$C$13</f>
        <v/>
      </c>
      <c r="G163" s="35">
        <f>SUMPRODUCT(($B$28:$B$95="Garlic")*(G$28:G$95="H")*$C$28:$C$95)*$B$13/$J$13*$C$13</f>
        <v/>
      </c>
      <c r="H163" s="35">
        <f>SUMPRODUCT(($B$28:$B$95="Garlic")*(H$28:H$95="H")*$C$28:$C$95)*$B$13/$J$13*$C$13</f>
        <v/>
      </c>
      <c r="I163" s="35">
        <f>SUMPRODUCT(($B$28:$B$95="Garlic")*(I$28:I$95="H")*$C$28:$C$95)*$B$13/$J$13*$C$13</f>
        <v/>
      </c>
      <c r="J163" s="35">
        <f>SUMPRODUCT(($B$28:$B$95="Garlic")*(J$28:J$95="H")*$C$28:$C$95)*$B$13/$J$13*$C$13</f>
        <v/>
      </c>
      <c r="K163" s="35">
        <f>SUMPRODUCT(($B$28:$B$95="Garlic")*(K$28:K$95="H")*$C$28:$C$95)*$B$13/$J$13*$C$13</f>
        <v/>
      </c>
      <c r="L163" s="35">
        <f>SUMPRODUCT(($B$28:$B$95="Garlic")*(L$28:L$95="H")*$C$28:$C$95)*$B$13/$J$13*$C$13</f>
        <v/>
      </c>
      <c r="M163" s="35">
        <f>SUMPRODUCT(($B$28:$B$95="Garlic")*(M$28:M$95="H")*$C$28:$C$95)*$B$13/$J$13*$C$13</f>
        <v/>
      </c>
      <c r="N163" s="35">
        <f>SUMPRODUCT(($B$28:$B$95="Garlic")*(N$28:N$95="H")*$C$28:$C$95)*$B$13/$J$13*$C$13</f>
        <v/>
      </c>
      <c r="O163" s="35">
        <f>SUMPRODUCT(($B$28:$B$95="Garlic")*(O$28:O$95="H")*$C$28:$C$95)*$B$13/$J$13*$C$13</f>
        <v/>
      </c>
      <c r="P163" s="35">
        <f>SUMPRODUCT(($B$28:$B$95="Garlic")*(P$28:P$95="H")*$C$28:$C$95)*$B$13/$J$13*$C$13</f>
        <v/>
      </c>
      <c r="Q163" s="35">
        <f>SUMPRODUCT(($B$28:$B$95="Garlic")*(Q$28:Q$95="H")*$C$28:$C$95)*$B$13/$J$13*$C$13</f>
        <v/>
      </c>
      <c r="R163" s="35">
        <f>SUMPRODUCT(($B$28:$B$95="Garlic")*(R$28:R$95="H")*$C$28:$C$95)*$B$13/$J$13*$C$13</f>
        <v/>
      </c>
      <c r="S163" s="35">
        <f>SUMPRODUCT(($B$28:$B$95="Garlic")*(S$28:S$95="H")*$C$28:$C$95)*$B$13/$J$13*$C$13</f>
        <v/>
      </c>
      <c r="T163" s="35">
        <f>SUMPRODUCT(($B$28:$B$95="Garlic")*(T$28:T$95="H")*$C$28:$C$95)*$B$13/$J$13*$C$13</f>
        <v/>
      </c>
      <c r="U163" s="35">
        <f>SUMPRODUCT(($B$28:$B$95="Garlic")*(U$28:U$95="H")*$C$28:$C$95)*$B$13/$J$13*$C$13</f>
        <v/>
      </c>
      <c r="V163" s="35">
        <f>SUMPRODUCT(($B$28:$B$95="Garlic")*(V$28:V$95="H")*$C$28:$C$95)*$B$13/$J$13*$C$13</f>
        <v/>
      </c>
      <c r="W163" s="35">
        <f>SUMPRODUCT(($B$28:$B$95="Garlic")*(W$28:W$95="H")*$C$28:$C$95)*$B$13/$J$13*$C$13</f>
        <v/>
      </c>
      <c r="X163" s="35">
        <f>SUMPRODUCT(($B$28:$B$95="Garlic")*(X$28:X$95="H")*$C$28:$C$95)*$B$13/$J$13*$C$13</f>
        <v/>
      </c>
      <c r="Y163" s="35">
        <f>SUMPRODUCT(($B$28:$B$95="Garlic")*(Y$28:Y$95="H")*$C$28:$C$95)*$B$13/$J$13*$C$13</f>
        <v/>
      </c>
      <c r="Z163" s="35">
        <f>SUMPRODUCT(($B$28:$B$95="Garlic")*(Z$28:Z$95="H")*$C$28:$C$95)*$B$13/$J$13*$C$13</f>
        <v/>
      </c>
      <c r="AA163" s="35">
        <f>SUMPRODUCT(($B$28:$B$95="Garlic")*(AA$28:AA$95="H")*$C$28:$C$95)*$B$13/$J$13*$C$13</f>
        <v/>
      </c>
      <c r="AB163" s="35">
        <f>SUMPRODUCT(($B$28:$B$95="Garlic")*(AB$28:AB$95="H")*$C$28:$C$95)*$B$13/$J$13*$C$13</f>
        <v/>
      </c>
      <c r="AC163" s="35">
        <f>SUMPRODUCT(($B$28:$B$95="Garlic")*(AC$28:AC$95="H")*$C$28:$C$95)*$B$13/$J$13*$C$13</f>
        <v/>
      </c>
      <c r="AD163" s="35">
        <f>SUMPRODUCT(($B$28:$B$95="Garlic")*(AD$28:AD$95="H")*$C$28:$C$95)*$B$13/$J$13*$C$13</f>
        <v/>
      </c>
      <c r="AE163" s="35">
        <f>SUMPRODUCT(($B$28:$B$95="Garlic")*(AE$28:AE$95="H")*$C$28:$C$95)*$B$13/$J$13*$C$13</f>
        <v/>
      </c>
      <c r="AF163" s="35">
        <f>SUMPRODUCT(($B$28:$B$95="Garlic")*(AF$28:AF$95="H")*$C$28:$C$95)*$B$13/$J$13*$C$13</f>
        <v/>
      </c>
      <c r="AG163" s="35">
        <f>SUMPRODUCT(($B$28:$B$95="Garlic")*(AG$28:AG$95="H")*$C$28:$C$95)*$B$13/$J$13*$C$13</f>
        <v/>
      </c>
      <c r="AH163" s="35">
        <f>SUMPRODUCT(($B$28:$B$95="Garlic")*(AH$28:AH$95="H")*$C$28:$C$95)*$B$13/$J$13*$C$13</f>
        <v/>
      </c>
      <c r="AI163" s="35">
        <f>SUMPRODUCT(($B$28:$B$95="Garlic")*(AI$28:AI$95="H")*$C$28:$C$95)*$B$13/$J$13*$C$13</f>
        <v/>
      </c>
      <c r="AJ163" s="35">
        <f>SUMPRODUCT(($B$28:$B$95="Garlic")*(AJ$28:AJ$95="H")*$C$28:$C$95)*$B$13/$J$13*$C$13</f>
        <v/>
      </c>
      <c r="AK163" s="35">
        <f>SUMPRODUCT(($B$28:$B$95="Garlic")*(AK$28:AK$95="H")*$C$28:$C$95)*$B$13/$J$13*$C$13</f>
        <v/>
      </c>
      <c r="AL163" s="35">
        <f>SUMPRODUCT(($B$28:$B$95="Garlic")*(AL$28:AL$95="H")*$C$28:$C$95)*$B$13/$J$13*$C$13</f>
        <v/>
      </c>
      <c r="AM163" s="35">
        <f>SUMPRODUCT(($B$28:$B$95="Garlic")*(AM$28:AM$95="H")*$C$28:$C$95)*$B$13/$J$13*$C$13</f>
        <v/>
      </c>
      <c r="AN163" s="35">
        <f>SUMPRODUCT(($B$28:$B$95="Garlic")*(AN$28:AN$95="H")*$C$28:$C$95)*$B$13/$J$13*$C$13</f>
        <v/>
      </c>
      <c r="AO163" s="35">
        <f>SUMPRODUCT(($B$28:$B$95="Garlic")*(AO$28:AO$95="H")*$C$28:$C$95)*$B$13/$J$13*$C$13</f>
        <v/>
      </c>
      <c r="AP163" s="35">
        <f>SUMPRODUCT(($B$28:$B$95="Garlic")*(AP$28:AP$95="H")*$C$28:$C$95)*$B$13/$J$13*$C$13</f>
        <v/>
      </c>
      <c r="AQ163" s="35">
        <f>SUMPRODUCT(($B$28:$B$95="Garlic")*(AQ$28:AQ$95="H")*$C$28:$C$95)*$B$13/$J$13*$C$13</f>
        <v/>
      </c>
      <c r="AR163" s="35">
        <f>SUMPRODUCT(($B$28:$B$95="Garlic")*(AR$28:AR$95="H")*$C$28:$C$95)*$B$13/$J$13*$C$13</f>
        <v/>
      </c>
      <c r="AS163" s="35">
        <f>SUMPRODUCT(($B$28:$B$95="Garlic")*(AS$28:AS$95="H")*$C$28:$C$95)*$B$13/$J$13*$C$13</f>
        <v/>
      </c>
      <c r="AT163" s="35">
        <f>SUMPRODUCT(($B$28:$B$95="Garlic")*(AT$28:AT$95="H")*$C$28:$C$95)*$B$13/$J$13*$C$13</f>
        <v/>
      </c>
      <c r="AU163" s="35">
        <f>SUMPRODUCT(($B$28:$B$95="Garlic")*(AU$28:AU$95="H")*$C$28:$C$95)*$B$13/$J$13*$C$13</f>
        <v/>
      </c>
      <c r="AV163" s="35">
        <f>SUMPRODUCT(($B$28:$B$95="Garlic")*(AV$28:AV$95="H")*$C$28:$C$95)*$B$13/$J$13*$C$13</f>
        <v/>
      </c>
      <c r="AW163" s="35">
        <f>SUMPRODUCT(($B$28:$B$95="Garlic")*(AW$28:AW$95="H")*$C$28:$C$95)*$B$13/$J$13*$C$13</f>
        <v/>
      </c>
      <c r="AX163" s="35">
        <f>SUMPRODUCT(($B$28:$B$95="Garlic")*(AX$28:AX$95="H")*$C$28:$C$95)*$B$13/$J$13*$C$13</f>
        <v/>
      </c>
      <c r="AY163" s="35">
        <f>SUMPRODUCT(($B$28:$B$95="Garlic")*(AY$28:AY$95="H")*$C$28:$C$95)*$B$13/$J$13*$C$13</f>
        <v/>
      </c>
      <c r="AZ163" s="35">
        <f>SUMPRODUCT(($B$28:$B$95="Garlic")*(AZ$28:AZ$95="H")*$C$28:$C$95)*$B$13/$J$13*$C$13</f>
        <v/>
      </c>
      <c r="BA163" s="35">
        <f>SUMPRODUCT(($B$28:$B$95="Garlic")*(BA$28:BA$95="H")*$C$28:$C$95)*$B$13/$J$13*$C$13</f>
        <v/>
      </c>
      <c r="BB163" s="35">
        <f>SUMPRODUCT(($B$28:$B$95="Garlic")*(BB$28:BB$95="H")*$C$28:$C$95)*$B$13/$J$13*$C$13</f>
        <v/>
      </c>
      <c r="BC163" s="35">
        <f>SUMPRODUCT(($B$28:$B$95="Garlic")*(BC$28:BC$95="H")*$C$28:$C$95)*$B$13/$J$13*$C$13</f>
        <v/>
      </c>
      <c r="BD163" s="35">
        <f>SUMPRODUCT(($B$28:$B$95="Garlic")*(BD$28:BD$95="H")*$C$28:$C$95)*$B$13/$J$13*$C$13</f>
        <v/>
      </c>
    </row>
    <row r="164">
      <c r="A164" s="25" t="inlineStr">
        <is>
          <t>Stock carried in</t>
        </is>
      </c>
      <c r="B164" s="2" t="inlineStr">
        <is>
          <t>lb</t>
        </is>
      </c>
      <c r="E164" s="35" t="n">
        <v>0</v>
      </c>
      <c r="F164" s="35">
        <f>E179</f>
        <v/>
      </c>
      <c r="G164" s="35">
        <f>F179</f>
        <v/>
      </c>
      <c r="H164" s="35">
        <f>G179</f>
        <v/>
      </c>
      <c r="I164" s="35">
        <f>H179</f>
        <v/>
      </c>
      <c r="J164" s="35">
        <f>I179</f>
        <v/>
      </c>
      <c r="K164" s="35">
        <f>J179</f>
        <v/>
      </c>
      <c r="L164" s="35">
        <f>K179</f>
        <v/>
      </c>
      <c r="M164" s="35">
        <f>L179</f>
        <v/>
      </c>
      <c r="N164" s="35">
        <f>M179</f>
        <v/>
      </c>
      <c r="O164" s="35">
        <f>N179</f>
        <v/>
      </c>
      <c r="P164" s="35">
        <f>O179</f>
        <v/>
      </c>
      <c r="Q164" s="35">
        <f>P179</f>
        <v/>
      </c>
      <c r="R164" s="35">
        <f>Q179</f>
        <v/>
      </c>
      <c r="S164" s="35">
        <f>R179</f>
        <v/>
      </c>
      <c r="T164" s="35">
        <f>S179</f>
        <v/>
      </c>
      <c r="U164" s="35">
        <f>T179</f>
        <v/>
      </c>
      <c r="V164" s="35">
        <f>U179</f>
        <v/>
      </c>
      <c r="W164" s="35">
        <f>V179</f>
        <v/>
      </c>
      <c r="X164" s="35">
        <f>W179</f>
        <v/>
      </c>
      <c r="Y164" s="35">
        <f>X179</f>
        <v/>
      </c>
      <c r="Z164" s="35">
        <f>Y179</f>
        <v/>
      </c>
      <c r="AA164" s="35">
        <f>Z179</f>
        <v/>
      </c>
      <c r="AB164" s="35">
        <f>AA179</f>
        <v/>
      </c>
      <c r="AC164" s="35">
        <f>AB179</f>
        <v/>
      </c>
      <c r="AD164" s="35">
        <f>AC179</f>
        <v/>
      </c>
      <c r="AE164" s="35">
        <f>AD179</f>
        <v/>
      </c>
      <c r="AF164" s="35">
        <f>AE179</f>
        <v/>
      </c>
      <c r="AG164" s="35">
        <f>AF179</f>
        <v/>
      </c>
      <c r="AH164" s="35">
        <f>AG179</f>
        <v/>
      </c>
      <c r="AI164" s="35">
        <f>AH179</f>
        <v/>
      </c>
      <c r="AJ164" s="35">
        <f>AI179</f>
        <v/>
      </c>
      <c r="AK164" s="35">
        <f>AJ179</f>
        <v/>
      </c>
      <c r="AL164" s="35">
        <f>AK179</f>
        <v/>
      </c>
      <c r="AM164" s="35">
        <f>AL179</f>
        <v/>
      </c>
      <c r="AN164" s="35">
        <f>AM179</f>
        <v/>
      </c>
      <c r="AO164" s="35">
        <f>AN179</f>
        <v/>
      </c>
      <c r="AP164" s="35">
        <f>AO179</f>
        <v/>
      </c>
      <c r="AQ164" s="35">
        <f>AP179</f>
        <v/>
      </c>
      <c r="AR164" s="35">
        <f>AQ179</f>
        <v/>
      </c>
      <c r="AS164" s="35">
        <f>AR179</f>
        <v/>
      </c>
      <c r="AT164" s="35">
        <f>AS179</f>
        <v/>
      </c>
      <c r="AU164" s="35">
        <f>AT179</f>
        <v/>
      </c>
      <c r="AV164" s="35">
        <f>AU179</f>
        <v/>
      </c>
      <c r="AW164" s="35">
        <f>AV179</f>
        <v/>
      </c>
      <c r="AX164" s="35">
        <f>AW179</f>
        <v/>
      </c>
      <c r="AY164" s="35">
        <f>AX179</f>
        <v/>
      </c>
      <c r="AZ164" s="35">
        <f>AY179</f>
        <v/>
      </c>
      <c r="BA164" s="35">
        <f>AZ179</f>
        <v/>
      </c>
      <c r="BB164" s="35">
        <f>BA179</f>
        <v/>
      </c>
      <c r="BC164" s="35">
        <f>BB179</f>
        <v/>
      </c>
      <c r="BD164" s="35">
        <f>BC179</f>
        <v/>
      </c>
    </row>
    <row r="165">
      <c r="A165" s="25" t="inlineStr">
        <is>
          <t xml:space="preserve">   lost to shrink</t>
        </is>
      </c>
      <c r="B165" s="2" t="inlineStr">
        <is>
          <t>lb</t>
        </is>
      </c>
      <c r="E165" s="35">
        <f>E164*$G$13</f>
        <v/>
      </c>
      <c r="F165" s="35">
        <f>F164*$G$13</f>
        <v/>
      </c>
      <c r="G165" s="35">
        <f>G164*$G$13</f>
        <v/>
      </c>
      <c r="H165" s="35">
        <f>H164*$G$13</f>
        <v/>
      </c>
      <c r="I165" s="35">
        <f>I164*$G$13</f>
        <v/>
      </c>
      <c r="J165" s="35">
        <f>J164*$G$13</f>
        <v/>
      </c>
      <c r="K165" s="35">
        <f>K164*$G$13</f>
        <v/>
      </c>
      <c r="L165" s="35">
        <f>L164*$G$13</f>
        <v/>
      </c>
      <c r="M165" s="35">
        <f>M164*$G$13</f>
        <v/>
      </c>
      <c r="N165" s="35">
        <f>N164*$G$13</f>
        <v/>
      </c>
      <c r="O165" s="35">
        <f>O164*$G$13</f>
        <v/>
      </c>
      <c r="P165" s="35">
        <f>P164*$G$13</f>
        <v/>
      </c>
      <c r="Q165" s="35">
        <f>Q164*$G$13</f>
        <v/>
      </c>
      <c r="R165" s="35">
        <f>R164*$G$13</f>
        <v/>
      </c>
      <c r="S165" s="35">
        <f>S164*$G$13</f>
        <v/>
      </c>
      <c r="T165" s="35">
        <f>T164*$G$13</f>
        <v/>
      </c>
      <c r="U165" s="35">
        <f>U164*$G$13</f>
        <v/>
      </c>
      <c r="V165" s="35">
        <f>V164*$G$13</f>
        <v/>
      </c>
      <c r="W165" s="35">
        <f>W164*$G$13</f>
        <v/>
      </c>
      <c r="X165" s="35">
        <f>X164*$G$13</f>
        <v/>
      </c>
      <c r="Y165" s="35">
        <f>Y164*$G$13</f>
        <v/>
      </c>
      <c r="Z165" s="35">
        <f>Z164*$G$13</f>
        <v/>
      </c>
      <c r="AA165" s="35">
        <f>AA164*$G$13</f>
        <v/>
      </c>
      <c r="AB165" s="35">
        <f>AB164*$G$13</f>
        <v/>
      </c>
      <c r="AC165" s="35">
        <f>AC164*$G$13</f>
        <v/>
      </c>
      <c r="AD165" s="35">
        <f>AD164*$G$13</f>
        <v/>
      </c>
      <c r="AE165" s="35">
        <f>AE164*$G$13</f>
        <v/>
      </c>
      <c r="AF165" s="35">
        <f>AF164*$G$13</f>
        <v/>
      </c>
      <c r="AG165" s="35">
        <f>AG164*$G$13</f>
        <v/>
      </c>
      <c r="AH165" s="35">
        <f>AH164*$G$13</f>
        <v/>
      </c>
      <c r="AI165" s="35">
        <f>AI164*$G$13</f>
        <v/>
      </c>
      <c r="AJ165" s="35">
        <f>AJ164*$G$13</f>
        <v/>
      </c>
      <c r="AK165" s="35">
        <f>AK164*$G$13</f>
        <v/>
      </c>
      <c r="AL165" s="35">
        <f>AL164*$G$13</f>
        <v/>
      </c>
      <c r="AM165" s="35">
        <f>AM164*$G$13</f>
        <v/>
      </c>
      <c r="AN165" s="35">
        <f>AN164*$G$13</f>
        <v/>
      </c>
      <c r="AO165" s="35">
        <f>AO164*$G$13</f>
        <v/>
      </c>
      <c r="AP165" s="35">
        <f>AP164*$G$13</f>
        <v/>
      </c>
      <c r="AQ165" s="35">
        <f>AQ164*$G$13</f>
        <v/>
      </c>
      <c r="AR165" s="35">
        <f>AR164*$G$13</f>
        <v/>
      </c>
      <c r="AS165" s="35">
        <f>AS164*$G$13</f>
        <v/>
      </c>
      <c r="AT165" s="35">
        <f>AT164*$G$13</f>
        <v/>
      </c>
      <c r="AU165" s="35">
        <f>AU164*$G$13</f>
        <v/>
      </c>
      <c r="AV165" s="35">
        <f>AV164*$G$13</f>
        <v/>
      </c>
      <c r="AW165" s="35">
        <f>AW164*$G$13</f>
        <v/>
      </c>
      <c r="AX165" s="35">
        <f>AX164*$G$13</f>
        <v/>
      </c>
      <c r="AY165" s="35">
        <f>AY164*$G$13</f>
        <v/>
      </c>
      <c r="AZ165" s="35">
        <f>AZ164*$G$13</f>
        <v/>
      </c>
      <c r="BA165" s="35">
        <f>BA164*$G$13</f>
        <v/>
      </c>
      <c r="BB165" s="35">
        <f>BB164*$G$13</f>
        <v/>
      </c>
      <c r="BC165" s="35">
        <f>BC164*$G$13</f>
        <v/>
      </c>
      <c r="BD165" s="35">
        <f>BD164*$G$13</f>
        <v/>
      </c>
    </row>
    <row r="166">
      <c r="A166" s="4" t="inlineStr">
        <is>
          <t>In store this week</t>
        </is>
      </c>
      <c r="B166" s="2" t="inlineStr">
        <is>
          <t>lb</t>
        </is>
      </c>
      <c r="E166" s="35">
        <f>E164-E165+E163</f>
        <v/>
      </c>
      <c r="F166" s="35">
        <f>F164-F165+F163</f>
        <v/>
      </c>
      <c r="G166" s="35">
        <f>G164-G165+G163</f>
        <v/>
      </c>
      <c r="H166" s="35">
        <f>H164-H165+H163</f>
        <v/>
      </c>
      <c r="I166" s="35">
        <f>I164-I165+I163</f>
        <v/>
      </c>
      <c r="J166" s="35">
        <f>J164-J165+J163</f>
        <v/>
      </c>
      <c r="K166" s="35">
        <f>K164-K165+K163</f>
        <v/>
      </c>
      <c r="L166" s="35">
        <f>L164-L165+L163</f>
        <v/>
      </c>
      <c r="M166" s="35">
        <f>M164-M165+M163</f>
        <v/>
      </c>
      <c r="N166" s="35">
        <f>N164-N165+N163</f>
        <v/>
      </c>
      <c r="O166" s="35">
        <f>O164-O165+O163</f>
        <v/>
      </c>
      <c r="P166" s="35">
        <f>P164-P165+P163</f>
        <v/>
      </c>
      <c r="Q166" s="35">
        <f>Q164-Q165+Q163</f>
        <v/>
      </c>
      <c r="R166" s="35">
        <f>R164-R165+R163</f>
        <v/>
      </c>
      <c r="S166" s="35">
        <f>S164-S165+S163</f>
        <v/>
      </c>
      <c r="T166" s="35">
        <f>T164-T165+T163</f>
        <v/>
      </c>
      <c r="U166" s="35">
        <f>U164-U165+U163</f>
        <v/>
      </c>
      <c r="V166" s="35">
        <f>V164-V165+V163</f>
        <v/>
      </c>
      <c r="W166" s="35">
        <f>W164-W165+W163</f>
        <v/>
      </c>
      <c r="X166" s="35">
        <f>X164-X165+X163</f>
        <v/>
      </c>
      <c r="Y166" s="35">
        <f>Y164-Y165+Y163</f>
        <v/>
      </c>
      <c r="Z166" s="35">
        <f>Z164-Z165+Z163</f>
        <v/>
      </c>
      <c r="AA166" s="35">
        <f>AA164-AA165+AA163</f>
        <v/>
      </c>
      <c r="AB166" s="35">
        <f>AB164-AB165+AB163</f>
        <v/>
      </c>
      <c r="AC166" s="35">
        <f>AC164-AC165+AC163</f>
        <v/>
      </c>
      <c r="AD166" s="35">
        <f>AD164-AD165+AD163</f>
        <v/>
      </c>
      <c r="AE166" s="35">
        <f>AE164-AE165+AE163</f>
        <v/>
      </c>
      <c r="AF166" s="35">
        <f>AF164-AF165+AF163</f>
        <v/>
      </c>
      <c r="AG166" s="35">
        <f>AG164-AG165+AG163</f>
        <v/>
      </c>
      <c r="AH166" s="35">
        <f>AH164-AH165+AH163</f>
        <v/>
      </c>
      <c r="AI166" s="35">
        <f>AI164-AI165+AI163</f>
        <v/>
      </c>
      <c r="AJ166" s="35">
        <f>AJ164-AJ165+AJ163</f>
        <v/>
      </c>
      <c r="AK166" s="35">
        <f>AK164-AK165+AK163</f>
        <v/>
      </c>
      <c r="AL166" s="35">
        <f>AL164-AL165+AL163</f>
        <v/>
      </c>
      <c r="AM166" s="35">
        <f>AM164-AM165+AM163</f>
        <v/>
      </c>
      <c r="AN166" s="35">
        <f>AN164-AN165+AN163</f>
        <v/>
      </c>
      <c r="AO166" s="35">
        <f>AO164-AO165+AO163</f>
        <v/>
      </c>
      <c r="AP166" s="35">
        <f>AP164-AP165+AP163</f>
        <v/>
      </c>
      <c r="AQ166" s="35">
        <f>AQ164-AQ165+AQ163</f>
        <v/>
      </c>
      <c r="AR166" s="35">
        <f>AR164-AR165+AR163</f>
        <v/>
      </c>
      <c r="AS166" s="35">
        <f>AS164-AS165+AS163</f>
        <v/>
      </c>
      <c r="AT166" s="35">
        <f>AT164-AT165+AT163</f>
        <v/>
      </c>
      <c r="AU166" s="35">
        <f>AU164-AU165+AU163</f>
        <v/>
      </c>
      <c r="AV166" s="35">
        <f>AV164-AV165+AV163</f>
        <v/>
      </c>
      <c r="AW166" s="35">
        <f>AW164-AW165+AW163</f>
        <v/>
      </c>
      <c r="AX166" s="35">
        <f>AX164-AX165+AX163</f>
        <v/>
      </c>
      <c r="AY166" s="35">
        <f>AY164-AY165+AY163</f>
        <v/>
      </c>
      <c r="AZ166" s="35">
        <f>AZ164-AZ165+AZ163</f>
        <v/>
      </c>
      <c r="BA166" s="35">
        <f>BA164-BA165+BA163</f>
        <v/>
      </c>
      <c r="BB166" s="35">
        <f>BB164-BB165+BB163</f>
        <v/>
      </c>
      <c r="BC166" s="35">
        <f>BC164-BC165+BC163</f>
        <v/>
      </c>
      <c r="BD166" s="35">
        <f>BD164-BD165+BD163</f>
        <v/>
      </c>
    </row>
    <row r="167">
      <c r="A167" s="36" t="inlineStr">
        <is>
          <t>Farmers Market — most you may sell this week</t>
        </is>
      </c>
      <c r="B167" s="2" t="inlineStr">
        <is>
          <t>lb</t>
        </is>
      </c>
      <c r="E167" s="37">
        <f>IF($C$22="Annual",$D$22-0,IF(AND(1&gt;=$E$22,1&lt;=$F$22),$D$22,0))</f>
        <v/>
      </c>
      <c r="F167" s="37">
        <f>IF($C$22="Annual",$D$22-SUM(E169:E169),IF(AND(2&gt;=$E$22,2&lt;=$F$22),$D$22,0))</f>
        <v/>
      </c>
      <c r="G167" s="37">
        <f>IF($C$22="Annual",$D$22-SUM(E169:F169),IF(AND(3&gt;=$E$22,3&lt;=$F$22),$D$22,0))</f>
        <v/>
      </c>
      <c r="H167" s="37">
        <f>IF($C$22="Annual",$D$22-SUM(E169:G169),IF(AND(4&gt;=$E$22,4&lt;=$F$22),$D$22,0))</f>
        <v/>
      </c>
      <c r="I167" s="37">
        <f>IF($C$22="Annual",$D$22-SUM(E169:H169),IF(AND(5&gt;=$E$22,5&lt;=$F$22),$D$22,0))</f>
        <v/>
      </c>
      <c r="J167" s="37">
        <f>IF($C$22="Annual",$D$22-SUM(E169:I169),IF(AND(6&gt;=$E$22,6&lt;=$F$22),$D$22,0))</f>
        <v/>
      </c>
      <c r="K167" s="37">
        <f>IF($C$22="Annual",$D$22-SUM(E169:J169),IF(AND(7&gt;=$E$22,7&lt;=$F$22),$D$22,0))</f>
        <v/>
      </c>
      <c r="L167" s="37">
        <f>IF($C$22="Annual",$D$22-SUM(E169:K169),IF(AND(8&gt;=$E$22,8&lt;=$F$22),$D$22,0))</f>
        <v/>
      </c>
      <c r="M167" s="37">
        <f>IF($C$22="Annual",$D$22-SUM(E169:L169),IF(AND(9&gt;=$E$22,9&lt;=$F$22),$D$22,0))</f>
        <v/>
      </c>
      <c r="N167" s="37">
        <f>IF($C$22="Annual",$D$22-SUM(E169:M169),IF(AND(10&gt;=$E$22,10&lt;=$F$22),$D$22,0))</f>
        <v/>
      </c>
      <c r="O167" s="37">
        <f>IF($C$22="Annual",$D$22-SUM(E169:N169),IF(AND(11&gt;=$E$22,11&lt;=$F$22),$D$22,0))</f>
        <v/>
      </c>
      <c r="P167" s="37">
        <f>IF($C$22="Annual",$D$22-SUM(E169:O169),IF(AND(12&gt;=$E$22,12&lt;=$F$22),$D$22,0))</f>
        <v/>
      </c>
      <c r="Q167" s="37">
        <f>IF($C$22="Annual",$D$22-SUM(E169:P169),IF(AND(13&gt;=$E$22,13&lt;=$F$22),$D$22,0))</f>
        <v/>
      </c>
      <c r="R167" s="37">
        <f>IF($C$22="Annual",$D$22-SUM(E169:Q169),IF(AND(14&gt;=$E$22,14&lt;=$F$22),$D$22,0))</f>
        <v/>
      </c>
      <c r="S167" s="37">
        <f>IF($C$22="Annual",$D$22-SUM(E169:R169),IF(AND(15&gt;=$E$22,15&lt;=$F$22),$D$22,0))</f>
        <v/>
      </c>
      <c r="T167" s="37">
        <f>IF($C$22="Annual",$D$22-SUM(E169:S169),IF(AND(16&gt;=$E$22,16&lt;=$F$22),$D$22,0))</f>
        <v/>
      </c>
      <c r="U167" s="37">
        <f>IF($C$22="Annual",$D$22-SUM(E169:T169),IF(AND(17&gt;=$E$22,17&lt;=$F$22),$D$22,0))</f>
        <v/>
      </c>
      <c r="V167" s="37">
        <f>IF($C$22="Annual",$D$22-SUM(E169:U169),IF(AND(18&gt;=$E$22,18&lt;=$F$22),$D$22,0))</f>
        <v/>
      </c>
      <c r="W167" s="37">
        <f>IF($C$22="Annual",$D$22-SUM(E169:V169),IF(AND(19&gt;=$E$22,19&lt;=$F$22),$D$22,0))</f>
        <v/>
      </c>
      <c r="X167" s="37">
        <f>IF($C$22="Annual",$D$22-SUM(E169:W169),IF(AND(20&gt;=$E$22,20&lt;=$F$22),$D$22,0))</f>
        <v/>
      </c>
      <c r="Y167" s="37">
        <f>IF($C$22="Annual",$D$22-SUM(E169:X169),IF(AND(21&gt;=$E$22,21&lt;=$F$22),$D$22,0))</f>
        <v/>
      </c>
      <c r="Z167" s="37">
        <f>IF($C$22="Annual",$D$22-SUM(E169:Y169),IF(AND(22&gt;=$E$22,22&lt;=$F$22),$D$22,0))</f>
        <v/>
      </c>
      <c r="AA167" s="37">
        <f>IF($C$22="Annual",$D$22-SUM(E169:Z169),IF(AND(23&gt;=$E$22,23&lt;=$F$22),$D$22,0))</f>
        <v/>
      </c>
      <c r="AB167" s="37">
        <f>IF($C$22="Annual",$D$22-SUM(E169:AA169),IF(AND(24&gt;=$E$22,24&lt;=$F$22),$D$22,0))</f>
        <v/>
      </c>
      <c r="AC167" s="37">
        <f>IF($C$22="Annual",$D$22-SUM(E169:AB169),IF(AND(25&gt;=$E$22,25&lt;=$F$22),$D$22,0))</f>
        <v/>
      </c>
      <c r="AD167" s="37">
        <f>IF($C$22="Annual",$D$22-SUM(E169:AC169),IF(AND(26&gt;=$E$22,26&lt;=$F$22),$D$22,0))</f>
        <v/>
      </c>
      <c r="AE167" s="37">
        <f>IF($C$22="Annual",$D$22-SUM(E169:AD169),IF(AND(27&gt;=$E$22,27&lt;=$F$22),$D$22,0))</f>
        <v/>
      </c>
      <c r="AF167" s="37">
        <f>IF($C$22="Annual",$D$22-SUM(E169:AE169),IF(AND(28&gt;=$E$22,28&lt;=$F$22),$D$22,0))</f>
        <v/>
      </c>
      <c r="AG167" s="37">
        <f>IF($C$22="Annual",$D$22-SUM(E169:AF169),IF(AND(29&gt;=$E$22,29&lt;=$F$22),$D$22,0))</f>
        <v/>
      </c>
      <c r="AH167" s="37">
        <f>IF($C$22="Annual",$D$22-SUM(E169:AG169),IF(AND(30&gt;=$E$22,30&lt;=$F$22),$D$22,0))</f>
        <v/>
      </c>
      <c r="AI167" s="37">
        <f>IF($C$22="Annual",$D$22-SUM(E169:AH169),IF(AND(31&gt;=$E$22,31&lt;=$F$22),$D$22,0))</f>
        <v/>
      </c>
      <c r="AJ167" s="37">
        <f>IF($C$22="Annual",$D$22-SUM(E169:AI169),IF(AND(32&gt;=$E$22,32&lt;=$F$22),$D$22,0))</f>
        <v/>
      </c>
      <c r="AK167" s="37">
        <f>IF($C$22="Annual",$D$22-SUM(E169:AJ169),IF(AND(33&gt;=$E$22,33&lt;=$F$22),$D$22,0))</f>
        <v/>
      </c>
      <c r="AL167" s="37">
        <f>IF($C$22="Annual",$D$22-SUM(E169:AK169),IF(AND(34&gt;=$E$22,34&lt;=$F$22),$D$22,0))</f>
        <v/>
      </c>
      <c r="AM167" s="37">
        <f>IF($C$22="Annual",$D$22-SUM(E169:AL169),IF(AND(35&gt;=$E$22,35&lt;=$F$22),$D$22,0))</f>
        <v/>
      </c>
      <c r="AN167" s="37">
        <f>IF($C$22="Annual",$D$22-SUM(E169:AM169),IF(AND(36&gt;=$E$22,36&lt;=$F$22),$D$22,0))</f>
        <v/>
      </c>
      <c r="AO167" s="37">
        <f>IF($C$22="Annual",$D$22-SUM(E169:AN169),IF(AND(37&gt;=$E$22,37&lt;=$F$22),$D$22,0))</f>
        <v/>
      </c>
      <c r="AP167" s="37">
        <f>IF($C$22="Annual",$D$22-SUM(E169:AO169),IF(AND(38&gt;=$E$22,38&lt;=$F$22),$D$22,0))</f>
        <v/>
      </c>
      <c r="AQ167" s="37">
        <f>IF($C$22="Annual",$D$22-SUM(E169:AP169),IF(AND(39&gt;=$E$22,39&lt;=$F$22),$D$22,0))</f>
        <v/>
      </c>
      <c r="AR167" s="37">
        <f>IF($C$22="Annual",$D$22-SUM(E169:AQ169),IF(AND(40&gt;=$E$22,40&lt;=$F$22),$D$22,0))</f>
        <v/>
      </c>
      <c r="AS167" s="37">
        <f>IF($C$22="Annual",$D$22-SUM(E169:AR169),IF(AND(41&gt;=$E$22,41&lt;=$F$22),$D$22,0))</f>
        <v/>
      </c>
      <c r="AT167" s="37">
        <f>IF($C$22="Annual",$D$22-SUM(E169:AS169),IF(AND(42&gt;=$E$22,42&lt;=$F$22),$D$22,0))</f>
        <v/>
      </c>
      <c r="AU167" s="37">
        <f>IF($C$22="Annual",$D$22-SUM(E169:AT169),IF(AND(43&gt;=$E$22,43&lt;=$F$22),$D$22,0))</f>
        <v/>
      </c>
      <c r="AV167" s="37">
        <f>IF($C$22="Annual",$D$22-SUM(E169:AU169),IF(AND(44&gt;=$E$22,44&lt;=$F$22),$D$22,0))</f>
        <v/>
      </c>
      <c r="AW167" s="37">
        <f>IF($C$22="Annual",$D$22-SUM(E169:AV169),IF(AND(45&gt;=$E$22,45&lt;=$F$22),$D$22,0))</f>
        <v/>
      </c>
      <c r="AX167" s="37">
        <f>IF($C$22="Annual",$D$22-SUM(E169:AW169),IF(AND(46&gt;=$E$22,46&lt;=$F$22),$D$22,0))</f>
        <v/>
      </c>
      <c r="AY167" s="37">
        <f>IF($C$22="Annual",$D$22-SUM(E169:AX169),IF(AND(47&gt;=$E$22,47&lt;=$F$22),$D$22,0))</f>
        <v/>
      </c>
      <c r="AZ167" s="37">
        <f>IF($C$22="Annual",$D$22-SUM(E169:AY169),IF(AND(48&gt;=$E$22,48&lt;=$F$22),$D$22,0))</f>
        <v/>
      </c>
      <c r="BA167" s="37">
        <f>IF($C$22="Annual",$D$22-SUM(E169:AZ169),IF(AND(49&gt;=$E$22,49&lt;=$F$22),$D$22,0))</f>
        <v/>
      </c>
      <c r="BB167" s="37">
        <f>IF($C$22="Annual",$D$22-SUM(E169:BA169),IF(AND(50&gt;=$E$22,50&lt;=$F$22),$D$22,0))</f>
        <v/>
      </c>
      <c r="BC167" s="37">
        <f>IF($C$22="Annual",$D$22-SUM(E169:BB169),IF(AND(51&gt;=$E$22,51&lt;=$F$22),$D$22,0))</f>
        <v/>
      </c>
      <c r="BD167" s="37">
        <f>IF($C$22="Annual",$D$22-SUM(E169:BC169),IF(AND(52&gt;=$E$22,52&lt;=$F$22),$D$22,0))</f>
        <v/>
      </c>
    </row>
    <row r="168">
      <c r="A168" s="21" t="inlineStr">
        <is>
          <t>Farmers Market — OFFERED</t>
        </is>
      </c>
      <c r="B168" s="2" t="inlineStr">
        <is>
          <t>lb  &lt;-- SOLVER</t>
        </is>
      </c>
      <c r="E168" s="38" t="n">
        <v>0</v>
      </c>
      <c r="F168" s="38" t="n">
        <v>0</v>
      </c>
      <c r="G168" s="38" t="n">
        <v>0</v>
      </c>
      <c r="H168" s="38" t="n">
        <v>0</v>
      </c>
      <c r="I168" s="38" t="n">
        <v>0</v>
      </c>
      <c r="J168" s="38" t="n">
        <v>0</v>
      </c>
      <c r="K168" s="38" t="n">
        <v>0</v>
      </c>
      <c r="L168" s="38" t="n">
        <v>0</v>
      </c>
      <c r="M168" s="38" t="n">
        <v>0</v>
      </c>
      <c r="N168" s="38" t="n">
        <v>0</v>
      </c>
      <c r="O168" s="38" t="n">
        <v>0</v>
      </c>
      <c r="P168" s="38" t="n">
        <v>0</v>
      </c>
      <c r="Q168" s="38" t="n">
        <v>0</v>
      </c>
      <c r="R168" s="38" t="n">
        <v>0</v>
      </c>
      <c r="S168" s="38" t="n">
        <v>0</v>
      </c>
      <c r="T168" s="38" t="n">
        <v>0</v>
      </c>
      <c r="U168" s="38" t="n">
        <v>0</v>
      </c>
      <c r="V168" s="38" t="n">
        <v>0</v>
      </c>
      <c r="W168" s="38" t="n">
        <v>0</v>
      </c>
      <c r="X168" s="38" t="n">
        <v>0</v>
      </c>
      <c r="Y168" s="38" t="n">
        <v>0</v>
      </c>
      <c r="Z168" s="38" t="n">
        <v>0</v>
      </c>
      <c r="AA168" s="38" t="n">
        <v>0</v>
      </c>
      <c r="AB168" s="38" t="n">
        <v>0</v>
      </c>
      <c r="AC168" s="38" t="n">
        <v>0</v>
      </c>
      <c r="AD168" s="38" t="n">
        <v>0</v>
      </c>
      <c r="AE168" s="38" t="n">
        <v>0</v>
      </c>
      <c r="AF168" s="38" t="n">
        <v>0</v>
      </c>
      <c r="AG168" s="38" t="n">
        <v>0</v>
      </c>
      <c r="AH168" s="38" t="n">
        <v>0</v>
      </c>
      <c r="AI168" s="38" t="n">
        <v>0</v>
      </c>
      <c r="AJ168" s="38" t="n">
        <v>0</v>
      </c>
      <c r="AK168" s="38" t="n">
        <v>0</v>
      </c>
      <c r="AL168" s="38" t="n">
        <v>0</v>
      </c>
      <c r="AM168" s="38" t="n">
        <v>0</v>
      </c>
      <c r="AN168" s="38" t="n">
        <v>0</v>
      </c>
      <c r="AO168" s="38" t="n">
        <v>0</v>
      </c>
      <c r="AP168" s="38" t="n">
        <v>0</v>
      </c>
      <c r="AQ168" s="38" t="n">
        <v>0</v>
      </c>
      <c r="AR168" s="38" t="n">
        <v>0</v>
      </c>
      <c r="AS168" s="38" t="n">
        <v>0</v>
      </c>
      <c r="AT168" s="38" t="n">
        <v>0</v>
      </c>
      <c r="AU168" s="38" t="n">
        <v>0</v>
      </c>
      <c r="AV168" s="38" t="n">
        <v>0</v>
      </c>
      <c r="AW168" s="38" t="n">
        <v>0</v>
      </c>
      <c r="AX168" s="38" t="n">
        <v>0</v>
      </c>
      <c r="AY168" s="38" t="n">
        <v>0</v>
      </c>
      <c r="AZ168" s="38" t="n">
        <v>0</v>
      </c>
      <c r="BA168" s="38" t="n">
        <v>0</v>
      </c>
      <c r="BB168" s="38" t="n">
        <v>0</v>
      </c>
      <c r="BC168" s="38" t="n">
        <v>0</v>
      </c>
      <c r="BD168" s="38" t="n">
        <v>0</v>
      </c>
    </row>
    <row r="169">
      <c r="A169" s="39" t="inlineStr">
        <is>
          <t>Farmers Market — SOLD</t>
        </is>
      </c>
      <c r="B169" s="2" t="inlineStr">
        <is>
          <t>lb</t>
        </is>
      </c>
      <c r="E169" s="37">
        <f>E168*$G$22</f>
        <v/>
      </c>
      <c r="F169" s="37">
        <f>F168*$G$22</f>
        <v/>
      </c>
      <c r="G169" s="37">
        <f>G168*$G$22</f>
        <v/>
      </c>
      <c r="H169" s="37">
        <f>H168*$G$22</f>
        <v/>
      </c>
      <c r="I169" s="37">
        <f>I168*$G$22</f>
        <v/>
      </c>
      <c r="J169" s="37">
        <f>J168*$G$22</f>
        <v/>
      </c>
      <c r="K169" s="37">
        <f>K168*$G$22</f>
        <v/>
      </c>
      <c r="L169" s="37">
        <f>L168*$G$22</f>
        <v/>
      </c>
      <c r="M169" s="37">
        <f>M168*$G$22</f>
        <v/>
      </c>
      <c r="N169" s="37">
        <f>N168*$G$22</f>
        <v/>
      </c>
      <c r="O169" s="37">
        <f>O168*$G$22</f>
        <v/>
      </c>
      <c r="P169" s="37">
        <f>P168*$G$22</f>
        <v/>
      </c>
      <c r="Q169" s="37">
        <f>Q168*$G$22</f>
        <v/>
      </c>
      <c r="R169" s="37">
        <f>R168*$G$22</f>
        <v/>
      </c>
      <c r="S169" s="37">
        <f>S168*$G$22</f>
        <v/>
      </c>
      <c r="T169" s="37">
        <f>T168*$G$22</f>
        <v/>
      </c>
      <c r="U169" s="37">
        <f>U168*$G$22</f>
        <v/>
      </c>
      <c r="V169" s="37">
        <f>V168*$G$22</f>
        <v/>
      </c>
      <c r="W169" s="37">
        <f>W168*$G$22</f>
        <v/>
      </c>
      <c r="X169" s="37">
        <f>X168*$G$22</f>
        <v/>
      </c>
      <c r="Y169" s="37">
        <f>Y168*$G$22</f>
        <v/>
      </c>
      <c r="Z169" s="37">
        <f>Z168*$G$22</f>
        <v/>
      </c>
      <c r="AA169" s="37">
        <f>AA168*$G$22</f>
        <v/>
      </c>
      <c r="AB169" s="37">
        <f>AB168*$G$22</f>
        <v/>
      </c>
      <c r="AC169" s="37">
        <f>AC168*$G$22</f>
        <v/>
      </c>
      <c r="AD169" s="37">
        <f>AD168*$G$22</f>
        <v/>
      </c>
      <c r="AE169" s="37">
        <f>AE168*$G$22</f>
        <v/>
      </c>
      <c r="AF169" s="37">
        <f>AF168*$G$22</f>
        <v/>
      </c>
      <c r="AG169" s="37">
        <f>AG168*$G$22</f>
        <v/>
      </c>
      <c r="AH169" s="37">
        <f>AH168*$G$22</f>
        <v/>
      </c>
      <c r="AI169" s="37">
        <f>AI168*$G$22</f>
        <v/>
      </c>
      <c r="AJ169" s="37">
        <f>AJ168*$G$22</f>
        <v/>
      </c>
      <c r="AK169" s="37">
        <f>AK168*$G$22</f>
        <v/>
      </c>
      <c r="AL169" s="37">
        <f>AL168*$G$22</f>
        <v/>
      </c>
      <c r="AM169" s="37">
        <f>AM168*$G$22</f>
        <v/>
      </c>
      <c r="AN169" s="37">
        <f>AN168*$G$22</f>
        <v/>
      </c>
      <c r="AO169" s="37">
        <f>AO168*$G$22</f>
        <v/>
      </c>
      <c r="AP169" s="37">
        <f>AP168*$G$22</f>
        <v/>
      </c>
      <c r="AQ169" s="37">
        <f>AQ168*$G$22</f>
        <v/>
      </c>
      <c r="AR169" s="37">
        <f>AR168*$G$22</f>
        <v/>
      </c>
      <c r="AS169" s="37">
        <f>AS168*$G$22</f>
        <v/>
      </c>
      <c r="AT169" s="37">
        <f>AT168*$G$22</f>
        <v/>
      </c>
      <c r="AU169" s="37">
        <f>AU168*$G$22</f>
        <v/>
      </c>
      <c r="AV169" s="37">
        <f>AV168*$G$22</f>
        <v/>
      </c>
      <c r="AW169" s="37">
        <f>AW168*$G$22</f>
        <v/>
      </c>
      <c r="AX169" s="37">
        <f>AX168*$G$22</f>
        <v/>
      </c>
      <c r="AY169" s="37">
        <f>AY168*$G$22</f>
        <v/>
      </c>
      <c r="AZ169" s="37">
        <f>AZ168*$G$22</f>
        <v/>
      </c>
      <c r="BA169" s="37">
        <f>BA168*$G$22</f>
        <v/>
      </c>
      <c r="BB169" s="37">
        <f>BB168*$G$22</f>
        <v/>
      </c>
      <c r="BC169" s="37">
        <f>BC168*$G$22</f>
        <v/>
      </c>
      <c r="BD169" s="37">
        <f>BD168*$G$22</f>
        <v/>
      </c>
    </row>
    <row r="170">
      <c r="A170" s="25" t="inlineStr">
        <is>
          <t xml:space="preserve">   market loss (gone)</t>
        </is>
      </c>
      <c r="B170" s="2" t="inlineStr">
        <is>
          <t>lb</t>
        </is>
      </c>
      <c r="E170" s="35">
        <f>(E168-E169)*(1-$H$22)</f>
        <v/>
      </c>
      <c r="F170" s="35">
        <f>(F168-F169)*(1-$H$22)</f>
        <v/>
      </c>
      <c r="G170" s="35">
        <f>(G168-G169)*(1-$H$22)</f>
        <v/>
      </c>
      <c r="H170" s="35">
        <f>(H168-H169)*(1-$H$22)</f>
        <v/>
      </c>
      <c r="I170" s="35">
        <f>(I168-I169)*(1-$H$22)</f>
        <v/>
      </c>
      <c r="J170" s="35">
        <f>(J168-J169)*(1-$H$22)</f>
        <v/>
      </c>
      <c r="K170" s="35">
        <f>(K168-K169)*(1-$H$22)</f>
        <v/>
      </c>
      <c r="L170" s="35">
        <f>(L168-L169)*(1-$H$22)</f>
        <v/>
      </c>
      <c r="M170" s="35">
        <f>(M168-M169)*(1-$H$22)</f>
        <v/>
      </c>
      <c r="N170" s="35">
        <f>(N168-N169)*(1-$H$22)</f>
        <v/>
      </c>
      <c r="O170" s="35">
        <f>(O168-O169)*(1-$H$22)</f>
        <v/>
      </c>
      <c r="P170" s="35">
        <f>(P168-P169)*(1-$H$22)</f>
        <v/>
      </c>
      <c r="Q170" s="35">
        <f>(Q168-Q169)*(1-$H$22)</f>
        <v/>
      </c>
      <c r="R170" s="35">
        <f>(R168-R169)*(1-$H$22)</f>
        <v/>
      </c>
      <c r="S170" s="35">
        <f>(S168-S169)*(1-$H$22)</f>
        <v/>
      </c>
      <c r="T170" s="35">
        <f>(T168-T169)*(1-$H$22)</f>
        <v/>
      </c>
      <c r="U170" s="35">
        <f>(U168-U169)*(1-$H$22)</f>
        <v/>
      </c>
      <c r="V170" s="35">
        <f>(V168-V169)*(1-$H$22)</f>
        <v/>
      </c>
      <c r="W170" s="35">
        <f>(W168-W169)*(1-$H$22)</f>
        <v/>
      </c>
      <c r="X170" s="35">
        <f>(X168-X169)*(1-$H$22)</f>
        <v/>
      </c>
      <c r="Y170" s="35">
        <f>(Y168-Y169)*(1-$H$22)</f>
        <v/>
      </c>
      <c r="Z170" s="35">
        <f>(Z168-Z169)*(1-$H$22)</f>
        <v/>
      </c>
      <c r="AA170" s="35">
        <f>(AA168-AA169)*(1-$H$22)</f>
        <v/>
      </c>
      <c r="AB170" s="35">
        <f>(AB168-AB169)*(1-$H$22)</f>
        <v/>
      </c>
      <c r="AC170" s="35">
        <f>(AC168-AC169)*(1-$H$22)</f>
        <v/>
      </c>
      <c r="AD170" s="35">
        <f>(AD168-AD169)*(1-$H$22)</f>
        <v/>
      </c>
      <c r="AE170" s="35">
        <f>(AE168-AE169)*(1-$H$22)</f>
        <v/>
      </c>
      <c r="AF170" s="35">
        <f>(AF168-AF169)*(1-$H$22)</f>
        <v/>
      </c>
      <c r="AG170" s="35">
        <f>(AG168-AG169)*(1-$H$22)</f>
        <v/>
      </c>
      <c r="AH170" s="35">
        <f>(AH168-AH169)*(1-$H$22)</f>
        <v/>
      </c>
      <c r="AI170" s="35">
        <f>(AI168-AI169)*(1-$H$22)</f>
        <v/>
      </c>
      <c r="AJ170" s="35">
        <f>(AJ168-AJ169)*(1-$H$22)</f>
        <v/>
      </c>
      <c r="AK170" s="35">
        <f>(AK168-AK169)*(1-$H$22)</f>
        <v/>
      </c>
      <c r="AL170" s="35">
        <f>(AL168-AL169)*(1-$H$22)</f>
        <v/>
      </c>
      <c r="AM170" s="35">
        <f>(AM168-AM169)*(1-$H$22)</f>
        <v/>
      </c>
      <c r="AN170" s="35">
        <f>(AN168-AN169)*(1-$H$22)</f>
        <v/>
      </c>
      <c r="AO170" s="35">
        <f>(AO168-AO169)*(1-$H$22)</f>
        <v/>
      </c>
      <c r="AP170" s="35">
        <f>(AP168-AP169)*(1-$H$22)</f>
        <v/>
      </c>
      <c r="AQ170" s="35">
        <f>(AQ168-AQ169)*(1-$H$22)</f>
        <v/>
      </c>
      <c r="AR170" s="35">
        <f>(AR168-AR169)*(1-$H$22)</f>
        <v/>
      </c>
      <c r="AS170" s="35">
        <f>(AS168-AS169)*(1-$H$22)</f>
        <v/>
      </c>
      <c r="AT170" s="35">
        <f>(AT168-AT169)*(1-$H$22)</f>
        <v/>
      </c>
      <c r="AU170" s="35">
        <f>(AU168-AU169)*(1-$H$22)</f>
        <v/>
      </c>
      <c r="AV170" s="35">
        <f>(AV168-AV169)*(1-$H$22)</f>
        <v/>
      </c>
      <c r="AW170" s="35">
        <f>(AW168-AW169)*(1-$H$22)</f>
        <v/>
      </c>
      <c r="AX170" s="35">
        <f>(AX168-AX169)*(1-$H$22)</f>
        <v/>
      </c>
      <c r="AY170" s="35">
        <f>(AY168-AY169)*(1-$H$22)</f>
        <v/>
      </c>
      <c r="AZ170" s="35">
        <f>(AZ168-AZ169)*(1-$H$22)</f>
        <v/>
      </c>
      <c r="BA170" s="35">
        <f>(BA168-BA169)*(1-$H$22)</f>
        <v/>
      </c>
      <c r="BB170" s="35">
        <f>(BB168-BB169)*(1-$H$22)</f>
        <v/>
      </c>
      <c r="BC170" s="35">
        <f>(BC168-BC169)*(1-$H$22)</f>
        <v/>
      </c>
      <c r="BD170" s="35">
        <f>(BD168-BD169)*(1-$H$22)</f>
        <v/>
      </c>
    </row>
    <row r="171">
      <c r="A171" s="25" t="inlineStr">
        <is>
          <t xml:space="preserve">   returned to store</t>
        </is>
      </c>
      <c r="B171" s="2" t="inlineStr">
        <is>
          <t>lb</t>
        </is>
      </c>
      <c r="E171" s="35">
        <f>(E168-E169)*$H$22</f>
        <v/>
      </c>
      <c r="F171" s="35">
        <f>(F168-F169)*$H$22</f>
        <v/>
      </c>
      <c r="G171" s="35">
        <f>(G168-G169)*$H$22</f>
        <v/>
      </c>
      <c r="H171" s="35">
        <f>(H168-H169)*$H$22</f>
        <v/>
      </c>
      <c r="I171" s="35">
        <f>(I168-I169)*$H$22</f>
        <v/>
      </c>
      <c r="J171" s="35">
        <f>(J168-J169)*$H$22</f>
        <v/>
      </c>
      <c r="K171" s="35">
        <f>(K168-K169)*$H$22</f>
        <v/>
      </c>
      <c r="L171" s="35">
        <f>(L168-L169)*$H$22</f>
        <v/>
      </c>
      <c r="M171" s="35">
        <f>(M168-M169)*$H$22</f>
        <v/>
      </c>
      <c r="N171" s="35">
        <f>(N168-N169)*$H$22</f>
        <v/>
      </c>
      <c r="O171" s="35">
        <f>(O168-O169)*$H$22</f>
        <v/>
      </c>
      <c r="P171" s="35">
        <f>(P168-P169)*$H$22</f>
        <v/>
      </c>
      <c r="Q171" s="35">
        <f>(Q168-Q169)*$H$22</f>
        <v/>
      </c>
      <c r="R171" s="35">
        <f>(R168-R169)*$H$22</f>
        <v/>
      </c>
      <c r="S171" s="35">
        <f>(S168-S169)*$H$22</f>
        <v/>
      </c>
      <c r="T171" s="35">
        <f>(T168-T169)*$H$22</f>
        <v/>
      </c>
      <c r="U171" s="35">
        <f>(U168-U169)*$H$22</f>
        <v/>
      </c>
      <c r="V171" s="35">
        <f>(V168-V169)*$H$22</f>
        <v/>
      </c>
      <c r="W171" s="35">
        <f>(W168-W169)*$H$22</f>
        <v/>
      </c>
      <c r="X171" s="35">
        <f>(X168-X169)*$H$22</f>
        <v/>
      </c>
      <c r="Y171" s="35">
        <f>(Y168-Y169)*$H$22</f>
        <v/>
      </c>
      <c r="Z171" s="35">
        <f>(Z168-Z169)*$H$22</f>
        <v/>
      </c>
      <c r="AA171" s="35">
        <f>(AA168-AA169)*$H$22</f>
        <v/>
      </c>
      <c r="AB171" s="35">
        <f>(AB168-AB169)*$H$22</f>
        <v/>
      </c>
      <c r="AC171" s="35">
        <f>(AC168-AC169)*$H$22</f>
        <v/>
      </c>
      <c r="AD171" s="35">
        <f>(AD168-AD169)*$H$22</f>
        <v/>
      </c>
      <c r="AE171" s="35">
        <f>(AE168-AE169)*$H$22</f>
        <v/>
      </c>
      <c r="AF171" s="35">
        <f>(AF168-AF169)*$H$22</f>
        <v/>
      </c>
      <c r="AG171" s="35">
        <f>(AG168-AG169)*$H$22</f>
        <v/>
      </c>
      <c r="AH171" s="35">
        <f>(AH168-AH169)*$H$22</f>
        <v/>
      </c>
      <c r="AI171" s="35">
        <f>(AI168-AI169)*$H$22</f>
        <v/>
      </c>
      <c r="AJ171" s="35">
        <f>(AJ168-AJ169)*$H$22</f>
        <v/>
      </c>
      <c r="AK171" s="35">
        <f>(AK168-AK169)*$H$22</f>
        <v/>
      </c>
      <c r="AL171" s="35">
        <f>(AL168-AL169)*$H$22</f>
        <v/>
      </c>
      <c r="AM171" s="35">
        <f>(AM168-AM169)*$H$22</f>
        <v/>
      </c>
      <c r="AN171" s="35">
        <f>(AN168-AN169)*$H$22</f>
        <v/>
      </c>
      <c r="AO171" s="35">
        <f>(AO168-AO169)*$H$22</f>
        <v/>
      </c>
      <c r="AP171" s="35">
        <f>(AP168-AP169)*$H$22</f>
        <v/>
      </c>
      <c r="AQ171" s="35">
        <f>(AQ168-AQ169)*$H$22</f>
        <v/>
      </c>
      <c r="AR171" s="35">
        <f>(AR168-AR169)*$H$22</f>
        <v/>
      </c>
      <c r="AS171" s="35">
        <f>(AS168-AS169)*$H$22</f>
        <v/>
      </c>
      <c r="AT171" s="35">
        <f>(AT168-AT169)*$H$22</f>
        <v/>
      </c>
      <c r="AU171" s="35">
        <f>(AU168-AU169)*$H$22</f>
        <v/>
      </c>
      <c r="AV171" s="35">
        <f>(AV168-AV169)*$H$22</f>
        <v/>
      </c>
      <c r="AW171" s="35">
        <f>(AW168-AW169)*$H$22</f>
        <v/>
      </c>
      <c r="AX171" s="35">
        <f>(AX168-AX169)*$H$22</f>
        <v/>
      </c>
      <c r="AY171" s="35">
        <f>(AY168-AY169)*$H$22</f>
        <v/>
      </c>
      <c r="AZ171" s="35">
        <f>(AZ168-AZ169)*$H$22</f>
        <v/>
      </c>
      <c r="BA171" s="35">
        <f>(BA168-BA169)*$H$22</f>
        <v/>
      </c>
      <c r="BB171" s="35">
        <f>(BB168-BB169)*$H$22</f>
        <v/>
      </c>
      <c r="BC171" s="35">
        <f>(BC168-BC169)*$H$22</f>
        <v/>
      </c>
      <c r="BD171" s="35">
        <f>(BD168-BD169)*$H$22</f>
        <v/>
      </c>
    </row>
    <row r="172">
      <c r="A172" s="25" t="inlineStr">
        <is>
          <t xml:space="preserve">   leaves the store (offered - returned)</t>
        </is>
      </c>
      <c r="B172" s="2" t="inlineStr">
        <is>
          <t>lb</t>
        </is>
      </c>
      <c r="E172" s="35">
        <f>E168-E171</f>
        <v/>
      </c>
      <c r="F172" s="35">
        <f>F168-F171</f>
        <v/>
      </c>
      <c r="G172" s="35">
        <f>G168-G171</f>
        <v/>
      </c>
      <c r="H172" s="35">
        <f>H168-H171</f>
        <v/>
      </c>
      <c r="I172" s="35">
        <f>I168-I171</f>
        <v/>
      </c>
      <c r="J172" s="35">
        <f>J168-J171</f>
        <v/>
      </c>
      <c r="K172" s="35">
        <f>K168-K171</f>
        <v/>
      </c>
      <c r="L172" s="35">
        <f>L168-L171</f>
        <v/>
      </c>
      <c r="M172" s="35">
        <f>M168-M171</f>
        <v/>
      </c>
      <c r="N172" s="35">
        <f>N168-N171</f>
        <v/>
      </c>
      <c r="O172" s="35">
        <f>O168-O171</f>
        <v/>
      </c>
      <c r="P172" s="35">
        <f>P168-P171</f>
        <v/>
      </c>
      <c r="Q172" s="35">
        <f>Q168-Q171</f>
        <v/>
      </c>
      <c r="R172" s="35">
        <f>R168-R171</f>
        <v/>
      </c>
      <c r="S172" s="35">
        <f>S168-S171</f>
        <v/>
      </c>
      <c r="T172" s="35">
        <f>T168-T171</f>
        <v/>
      </c>
      <c r="U172" s="35">
        <f>U168-U171</f>
        <v/>
      </c>
      <c r="V172" s="35">
        <f>V168-V171</f>
        <v/>
      </c>
      <c r="W172" s="35">
        <f>W168-W171</f>
        <v/>
      </c>
      <c r="X172" s="35">
        <f>X168-X171</f>
        <v/>
      </c>
      <c r="Y172" s="35">
        <f>Y168-Y171</f>
        <v/>
      </c>
      <c r="Z172" s="35">
        <f>Z168-Z171</f>
        <v/>
      </c>
      <c r="AA172" s="35">
        <f>AA168-AA171</f>
        <v/>
      </c>
      <c r="AB172" s="35">
        <f>AB168-AB171</f>
        <v/>
      </c>
      <c r="AC172" s="35">
        <f>AC168-AC171</f>
        <v/>
      </c>
      <c r="AD172" s="35">
        <f>AD168-AD171</f>
        <v/>
      </c>
      <c r="AE172" s="35">
        <f>AE168-AE171</f>
        <v/>
      </c>
      <c r="AF172" s="35">
        <f>AF168-AF171</f>
        <v/>
      </c>
      <c r="AG172" s="35">
        <f>AG168-AG171</f>
        <v/>
      </c>
      <c r="AH172" s="35">
        <f>AH168-AH171</f>
        <v/>
      </c>
      <c r="AI172" s="35">
        <f>AI168-AI171</f>
        <v/>
      </c>
      <c r="AJ172" s="35">
        <f>AJ168-AJ171</f>
        <v/>
      </c>
      <c r="AK172" s="35">
        <f>AK168-AK171</f>
        <v/>
      </c>
      <c r="AL172" s="35">
        <f>AL168-AL171</f>
        <v/>
      </c>
      <c r="AM172" s="35">
        <f>AM168-AM171</f>
        <v/>
      </c>
      <c r="AN172" s="35">
        <f>AN168-AN171</f>
        <v/>
      </c>
      <c r="AO172" s="35">
        <f>AO168-AO171</f>
        <v/>
      </c>
      <c r="AP172" s="35">
        <f>AP168-AP171</f>
        <v/>
      </c>
      <c r="AQ172" s="35">
        <f>AQ168-AQ171</f>
        <v/>
      </c>
      <c r="AR172" s="35">
        <f>AR168-AR171</f>
        <v/>
      </c>
      <c r="AS172" s="35">
        <f>AS168-AS171</f>
        <v/>
      </c>
      <c r="AT172" s="35">
        <f>AT168-AT171</f>
        <v/>
      </c>
      <c r="AU172" s="35">
        <f>AU168-AU171</f>
        <v/>
      </c>
      <c r="AV172" s="35">
        <f>AV168-AV171</f>
        <v/>
      </c>
      <c r="AW172" s="35">
        <f>AW168-AW171</f>
        <v/>
      </c>
      <c r="AX172" s="35">
        <f>AX168-AX171</f>
        <v/>
      </c>
      <c r="AY172" s="35">
        <f>AY168-AY171</f>
        <v/>
      </c>
      <c r="AZ172" s="35">
        <f>AZ168-AZ171</f>
        <v/>
      </c>
      <c r="BA172" s="35">
        <f>BA168-BA171</f>
        <v/>
      </c>
      <c r="BB172" s="35">
        <f>BB168-BB171</f>
        <v/>
      </c>
      <c r="BC172" s="35">
        <f>BC168-BC171</f>
        <v/>
      </c>
      <c r="BD172" s="35">
        <f>BD168-BD171</f>
        <v/>
      </c>
    </row>
    <row r="173">
      <c r="A173" s="40" t="inlineStr">
        <is>
          <t>Wholesale — most you may sell this week</t>
        </is>
      </c>
      <c r="B173" s="2" t="inlineStr">
        <is>
          <t>lb</t>
        </is>
      </c>
      <c r="E173" s="41">
        <f>IF($C$23="Annual",$D$23-0,IF(AND(1&gt;=$E$23,1&lt;=$F$23),$D$23,0))</f>
        <v/>
      </c>
      <c r="F173" s="41">
        <f>IF($C$23="Annual",$D$23-SUM(E175:E175),IF(AND(2&gt;=$E$23,2&lt;=$F$23),$D$23,0))</f>
        <v/>
      </c>
      <c r="G173" s="41">
        <f>IF($C$23="Annual",$D$23-SUM(E175:F175),IF(AND(3&gt;=$E$23,3&lt;=$F$23),$D$23,0))</f>
        <v/>
      </c>
      <c r="H173" s="41">
        <f>IF($C$23="Annual",$D$23-SUM(E175:G175),IF(AND(4&gt;=$E$23,4&lt;=$F$23),$D$23,0))</f>
        <v/>
      </c>
      <c r="I173" s="41">
        <f>IF($C$23="Annual",$D$23-SUM(E175:H175),IF(AND(5&gt;=$E$23,5&lt;=$F$23),$D$23,0))</f>
        <v/>
      </c>
      <c r="J173" s="41">
        <f>IF($C$23="Annual",$D$23-SUM(E175:I175),IF(AND(6&gt;=$E$23,6&lt;=$F$23),$D$23,0))</f>
        <v/>
      </c>
      <c r="K173" s="41">
        <f>IF($C$23="Annual",$D$23-SUM(E175:J175),IF(AND(7&gt;=$E$23,7&lt;=$F$23),$D$23,0))</f>
        <v/>
      </c>
      <c r="L173" s="41">
        <f>IF($C$23="Annual",$D$23-SUM(E175:K175),IF(AND(8&gt;=$E$23,8&lt;=$F$23),$D$23,0))</f>
        <v/>
      </c>
      <c r="M173" s="41">
        <f>IF($C$23="Annual",$D$23-SUM(E175:L175),IF(AND(9&gt;=$E$23,9&lt;=$F$23),$D$23,0))</f>
        <v/>
      </c>
      <c r="N173" s="41">
        <f>IF($C$23="Annual",$D$23-SUM(E175:M175),IF(AND(10&gt;=$E$23,10&lt;=$F$23),$D$23,0))</f>
        <v/>
      </c>
      <c r="O173" s="41">
        <f>IF($C$23="Annual",$D$23-SUM(E175:N175),IF(AND(11&gt;=$E$23,11&lt;=$F$23),$D$23,0))</f>
        <v/>
      </c>
      <c r="P173" s="41">
        <f>IF($C$23="Annual",$D$23-SUM(E175:O175),IF(AND(12&gt;=$E$23,12&lt;=$F$23),$D$23,0))</f>
        <v/>
      </c>
      <c r="Q173" s="41">
        <f>IF($C$23="Annual",$D$23-SUM(E175:P175),IF(AND(13&gt;=$E$23,13&lt;=$F$23),$D$23,0))</f>
        <v/>
      </c>
      <c r="R173" s="41">
        <f>IF($C$23="Annual",$D$23-SUM(E175:Q175),IF(AND(14&gt;=$E$23,14&lt;=$F$23),$D$23,0))</f>
        <v/>
      </c>
      <c r="S173" s="41">
        <f>IF($C$23="Annual",$D$23-SUM(E175:R175),IF(AND(15&gt;=$E$23,15&lt;=$F$23),$D$23,0))</f>
        <v/>
      </c>
      <c r="T173" s="41">
        <f>IF($C$23="Annual",$D$23-SUM(E175:S175),IF(AND(16&gt;=$E$23,16&lt;=$F$23),$D$23,0))</f>
        <v/>
      </c>
      <c r="U173" s="41">
        <f>IF($C$23="Annual",$D$23-SUM(E175:T175),IF(AND(17&gt;=$E$23,17&lt;=$F$23),$D$23,0))</f>
        <v/>
      </c>
      <c r="V173" s="41">
        <f>IF($C$23="Annual",$D$23-SUM(E175:U175),IF(AND(18&gt;=$E$23,18&lt;=$F$23),$D$23,0))</f>
        <v/>
      </c>
      <c r="W173" s="41">
        <f>IF($C$23="Annual",$D$23-SUM(E175:V175),IF(AND(19&gt;=$E$23,19&lt;=$F$23),$D$23,0))</f>
        <v/>
      </c>
      <c r="X173" s="41">
        <f>IF($C$23="Annual",$D$23-SUM(E175:W175),IF(AND(20&gt;=$E$23,20&lt;=$F$23),$D$23,0))</f>
        <v/>
      </c>
      <c r="Y173" s="41">
        <f>IF($C$23="Annual",$D$23-SUM(E175:X175),IF(AND(21&gt;=$E$23,21&lt;=$F$23),$D$23,0))</f>
        <v/>
      </c>
      <c r="Z173" s="41">
        <f>IF($C$23="Annual",$D$23-SUM(E175:Y175),IF(AND(22&gt;=$E$23,22&lt;=$F$23),$D$23,0))</f>
        <v/>
      </c>
      <c r="AA173" s="41">
        <f>IF($C$23="Annual",$D$23-SUM(E175:Z175),IF(AND(23&gt;=$E$23,23&lt;=$F$23),$D$23,0))</f>
        <v/>
      </c>
      <c r="AB173" s="41">
        <f>IF($C$23="Annual",$D$23-SUM(E175:AA175),IF(AND(24&gt;=$E$23,24&lt;=$F$23),$D$23,0))</f>
        <v/>
      </c>
      <c r="AC173" s="41">
        <f>IF($C$23="Annual",$D$23-SUM(E175:AB175),IF(AND(25&gt;=$E$23,25&lt;=$F$23),$D$23,0))</f>
        <v/>
      </c>
      <c r="AD173" s="41">
        <f>IF($C$23="Annual",$D$23-SUM(E175:AC175),IF(AND(26&gt;=$E$23,26&lt;=$F$23),$D$23,0))</f>
        <v/>
      </c>
      <c r="AE173" s="41">
        <f>IF($C$23="Annual",$D$23-SUM(E175:AD175),IF(AND(27&gt;=$E$23,27&lt;=$F$23),$D$23,0))</f>
        <v/>
      </c>
      <c r="AF173" s="41">
        <f>IF($C$23="Annual",$D$23-SUM(E175:AE175),IF(AND(28&gt;=$E$23,28&lt;=$F$23),$D$23,0))</f>
        <v/>
      </c>
      <c r="AG173" s="41">
        <f>IF($C$23="Annual",$D$23-SUM(E175:AF175),IF(AND(29&gt;=$E$23,29&lt;=$F$23),$D$23,0))</f>
        <v/>
      </c>
      <c r="AH173" s="41">
        <f>IF($C$23="Annual",$D$23-SUM(E175:AG175),IF(AND(30&gt;=$E$23,30&lt;=$F$23),$D$23,0))</f>
        <v/>
      </c>
      <c r="AI173" s="41">
        <f>IF($C$23="Annual",$D$23-SUM(E175:AH175),IF(AND(31&gt;=$E$23,31&lt;=$F$23),$D$23,0))</f>
        <v/>
      </c>
      <c r="AJ173" s="41">
        <f>IF($C$23="Annual",$D$23-SUM(E175:AI175),IF(AND(32&gt;=$E$23,32&lt;=$F$23),$D$23,0))</f>
        <v/>
      </c>
      <c r="AK173" s="41">
        <f>IF($C$23="Annual",$D$23-SUM(E175:AJ175),IF(AND(33&gt;=$E$23,33&lt;=$F$23),$D$23,0))</f>
        <v/>
      </c>
      <c r="AL173" s="41">
        <f>IF($C$23="Annual",$D$23-SUM(E175:AK175),IF(AND(34&gt;=$E$23,34&lt;=$F$23),$D$23,0))</f>
        <v/>
      </c>
      <c r="AM173" s="41">
        <f>IF($C$23="Annual",$D$23-SUM(E175:AL175),IF(AND(35&gt;=$E$23,35&lt;=$F$23),$D$23,0))</f>
        <v/>
      </c>
      <c r="AN173" s="41">
        <f>IF($C$23="Annual",$D$23-SUM(E175:AM175),IF(AND(36&gt;=$E$23,36&lt;=$F$23),$D$23,0))</f>
        <v/>
      </c>
      <c r="AO173" s="41">
        <f>IF($C$23="Annual",$D$23-SUM(E175:AN175),IF(AND(37&gt;=$E$23,37&lt;=$F$23),$D$23,0))</f>
        <v/>
      </c>
      <c r="AP173" s="41">
        <f>IF($C$23="Annual",$D$23-SUM(E175:AO175),IF(AND(38&gt;=$E$23,38&lt;=$F$23),$D$23,0))</f>
        <v/>
      </c>
      <c r="AQ173" s="41">
        <f>IF($C$23="Annual",$D$23-SUM(E175:AP175),IF(AND(39&gt;=$E$23,39&lt;=$F$23),$D$23,0))</f>
        <v/>
      </c>
      <c r="AR173" s="41">
        <f>IF($C$23="Annual",$D$23-SUM(E175:AQ175),IF(AND(40&gt;=$E$23,40&lt;=$F$23),$D$23,0))</f>
        <v/>
      </c>
      <c r="AS173" s="41">
        <f>IF($C$23="Annual",$D$23-SUM(E175:AR175),IF(AND(41&gt;=$E$23,41&lt;=$F$23),$D$23,0))</f>
        <v/>
      </c>
      <c r="AT173" s="41">
        <f>IF($C$23="Annual",$D$23-SUM(E175:AS175),IF(AND(42&gt;=$E$23,42&lt;=$F$23),$D$23,0))</f>
        <v/>
      </c>
      <c r="AU173" s="41">
        <f>IF($C$23="Annual",$D$23-SUM(E175:AT175),IF(AND(43&gt;=$E$23,43&lt;=$F$23),$D$23,0))</f>
        <v/>
      </c>
      <c r="AV173" s="41">
        <f>IF($C$23="Annual",$D$23-SUM(E175:AU175),IF(AND(44&gt;=$E$23,44&lt;=$F$23),$D$23,0))</f>
        <v/>
      </c>
      <c r="AW173" s="41">
        <f>IF($C$23="Annual",$D$23-SUM(E175:AV175),IF(AND(45&gt;=$E$23,45&lt;=$F$23),$D$23,0))</f>
        <v/>
      </c>
      <c r="AX173" s="41">
        <f>IF($C$23="Annual",$D$23-SUM(E175:AW175),IF(AND(46&gt;=$E$23,46&lt;=$F$23),$D$23,0))</f>
        <v/>
      </c>
      <c r="AY173" s="41">
        <f>IF($C$23="Annual",$D$23-SUM(E175:AX175),IF(AND(47&gt;=$E$23,47&lt;=$F$23),$D$23,0))</f>
        <v/>
      </c>
      <c r="AZ173" s="41">
        <f>IF($C$23="Annual",$D$23-SUM(E175:AY175),IF(AND(48&gt;=$E$23,48&lt;=$F$23),$D$23,0))</f>
        <v/>
      </c>
      <c r="BA173" s="41">
        <f>IF($C$23="Annual",$D$23-SUM(E175:AZ175),IF(AND(49&gt;=$E$23,49&lt;=$F$23),$D$23,0))</f>
        <v/>
      </c>
      <c r="BB173" s="41">
        <f>IF($C$23="Annual",$D$23-SUM(E175:BA175),IF(AND(50&gt;=$E$23,50&lt;=$F$23),$D$23,0))</f>
        <v/>
      </c>
      <c r="BC173" s="41">
        <f>IF($C$23="Annual",$D$23-SUM(E175:BB175),IF(AND(51&gt;=$E$23,51&lt;=$F$23),$D$23,0))</f>
        <v/>
      </c>
      <c r="BD173" s="41">
        <f>IF($C$23="Annual",$D$23-SUM(E175:BC175),IF(AND(52&gt;=$E$23,52&lt;=$F$23),$D$23,0))</f>
        <v/>
      </c>
    </row>
    <row r="174">
      <c r="A174" s="21" t="inlineStr">
        <is>
          <t>Wholesale — OFFERED</t>
        </is>
      </c>
      <c r="B174" s="2" t="inlineStr">
        <is>
          <t>lb  &lt;-- SOLVER</t>
        </is>
      </c>
      <c r="E174" s="38" t="n">
        <v>0</v>
      </c>
      <c r="F174" s="38" t="n">
        <v>0</v>
      </c>
      <c r="G174" s="38" t="n">
        <v>0</v>
      </c>
      <c r="H174" s="38" t="n">
        <v>0</v>
      </c>
      <c r="I174" s="38" t="n">
        <v>0</v>
      </c>
      <c r="J174" s="38" t="n">
        <v>0</v>
      </c>
      <c r="K174" s="38" t="n">
        <v>0</v>
      </c>
      <c r="L174" s="38" t="n">
        <v>0</v>
      </c>
      <c r="M174" s="38" t="n">
        <v>0</v>
      </c>
      <c r="N174" s="38" t="n">
        <v>0</v>
      </c>
      <c r="O174" s="38" t="n">
        <v>0</v>
      </c>
      <c r="P174" s="38" t="n">
        <v>0</v>
      </c>
      <c r="Q174" s="38" t="n">
        <v>0</v>
      </c>
      <c r="R174" s="38" t="n">
        <v>0</v>
      </c>
      <c r="S174" s="38" t="n">
        <v>0</v>
      </c>
      <c r="T174" s="38" t="n">
        <v>0</v>
      </c>
      <c r="U174" s="38" t="n">
        <v>0</v>
      </c>
      <c r="V174" s="38" t="n">
        <v>0</v>
      </c>
      <c r="W174" s="38" t="n">
        <v>0</v>
      </c>
      <c r="X174" s="38" t="n">
        <v>0</v>
      </c>
      <c r="Y174" s="38" t="n">
        <v>0</v>
      </c>
      <c r="Z174" s="38" t="n">
        <v>0</v>
      </c>
      <c r="AA174" s="38" t="n">
        <v>0</v>
      </c>
      <c r="AB174" s="38" t="n">
        <v>0</v>
      </c>
      <c r="AC174" s="38" t="n">
        <v>0</v>
      </c>
      <c r="AD174" s="38" t="n">
        <v>0</v>
      </c>
      <c r="AE174" s="38" t="n">
        <v>0</v>
      </c>
      <c r="AF174" s="38" t="n">
        <v>0</v>
      </c>
      <c r="AG174" s="38" t="n">
        <v>0</v>
      </c>
      <c r="AH174" s="38" t="n">
        <v>0</v>
      </c>
      <c r="AI174" s="38" t="n">
        <v>0</v>
      </c>
      <c r="AJ174" s="38" t="n">
        <v>0</v>
      </c>
      <c r="AK174" s="38" t="n">
        <v>0</v>
      </c>
      <c r="AL174" s="38" t="n">
        <v>0</v>
      </c>
      <c r="AM174" s="38" t="n">
        <v>0</v>
      </c>
      <c r="AN174" s="38" t="n">
        <v>0</v>
      </c>
      <c r="AO174" s="38" t="n">
        <v>0</v>
      </c>
      <c r="AP174" s="38" t="n">
        <v>0</v>
      </c>
      <c r="AQ174" s="38" t="n">
        <v>0</v>
      </c>
      <c r="AR174" s="38" t="n">
        <v>0</v>
      </c>
      <c r="AS174" s="38" t="n">
        <v>0</v>
      </c>
      <c r="AT174" s="38" t="n">
        <v>0</v>
      </c>
      <c r="AU174" s="38" t="n">
        <v>0</v>
      </c>
      <c r="AV174" s="38" t="n">
        <v>0</v>
      </c>
      <c r="AW174" s="38" t="n">
        <v>0</v>
      </c>
      <c r="AX174" s="38" t="n">
        <v>0</v>
      </c>
      <c r="AY174" s="38" t="n">
        <v>0</v>
      </c>
      <c r="AZ174" s="38" t="n">
        <v>0</v>
      </c>
      <c r="BA174" s="38" t="n">
        <v>0</v>
      </c>
      <c r="BB174" s="38" t="n">
        <v>0</v>
      </c>
      <c r="BC174" s="38" t="n">
        <v>0</v>
      </c>
      <c r="BD174" s="38" t="n">
        <v>0</v>
      </c>
    </row>
    <row r="175">
      <c r="A175" s="42" t="inlineStr">
        <is>
          <t>Wholesale — SOLD</t>
        </is>
      </c>
      <c r="B175" s="2" t="inlineStr">
        <is>
          <t>lb</t>
        </is>
      </c>
      <c r="E175" s="41">
        <f>E174*$G$23</f>
        <v/>
      </c>
      <c r="F175" s="41">
        <f>F174*$G$23</f>
        <v/>
      </c>
      <c r="G175" s="41">
        <f>G174*$G$23</f>
        <v/>
      </c>
      <c r="H175" s="41">
        <f>H174*$G$23</f>
        <v/>
      </c>
      <c r="I175" s="41">
        <f>I174*$G$23</f>
        <v/>
      </c>
      <c r="J175" s="41">
        <f>J174*$G$23</f>
        <v/>
      </c>
      <c r="K175" s="41">
        <f>K174*$G$23</f>
        <v/>
      </c>
      <c r="L175" s="41">
        <f>L174*$G$23</f>
        <v/>
      </c>
      <c r="M175" s="41">
        <f>M174*$G$23</f>
        <v/>
      </c>
      <c r="N175" s="41">
        <f>N174*$G$23</f>
        <v/>
      </c>
      <c r="O175" s="41">
        <f>O174*$G$23</f>
        <v/>
      </c>
      <c r="P175" s="41">
        <f>P174*$G$23</f>
        <v/>
      </c>
      <c r="Q175" s="41">
        <f>Q174*$G$23</f>
        <v/>
      </c>
      <c r="R175" s="41">
        <f>R174*$G$23</f>
        <v/>
      </c>
      <c r="S175" s="41">
        <f>S174*$G$23</f>
        <v/>
      </c>
      <c r="T175" s="41">
        <f>T174*$G$23</f>
        <v/>
      </c>
      <c r="U175" s="41">
        <f>U174*$G$23</f>
        <v/>
      </c>
      <c r="V175" s="41">
        <f>V174*$G$23</f>
        <v/>
      </c>
      <c r="W175" s="41">
        <f>W174*$G$23</f>
        <v/>
      </c>
      <c r="X175" s="41">
        <f>X174*$G$23</f>
        <v/>
      </c>
      <c r="Y175" s="41">
        <f>Y174*$G$23</f>
        <v/>
      </c>
      <c r="Z175" s="41">
        <f>Z174*$G$23</f>
        <v/>
      </c>
      <c r="AA175" s="41">
        <f>AA174*$G$23</f>
        <v/>
      </c>
      <c r="AB175" s="41">
        <f>AB174*$G$23</f>
        <v/>
      </c>
      <c r="AC175" s="41">
        <f>AC174*$G$23</f>
        <v/>
      </c>
      <c r="AD175" s="41">
        <f>AD174*$G$23</f>
        <v/>
      </c>
      <c r="AE175" s="41">
        <f>AE174*$G$23</f>
        <v/>
      </c>
      <c r="AF175" s="41">
        <f>AF174*$G$23</f>
        <v/>
      </c>
      <c r="AG175" s="41">
        <f>AG174*$G$23</f>
        <v/>
      </c>
      <c r="AH175" s="41">
        <f>AH174*$G$23</f>
        <v/>
      </c>
      <c r="AI175" s="41">
        <f>AI174*$G$23</f>
        <v/>
      </c>
      <c r="AJ175" s="41">
        <f>AJ174*$G$23</f>
        <v/>
      </c>
      <c r="AK175" s="41">
        <f>AK174*$G$23</f>
        <v/>
      </c>
      <c r="AL175" s="41">
        <f>AL174*$G$23</f>
        <v/>
      </c>
      <c r="AM175" s="41">
        <f>AM174*$G$23</f>
        <v/>
      </c>
      <c r="AN175" s="41">
        <f>AN174*$G$23</f>
        <v/>
      </c>
      <c r="AO175" s="41">
        <f>AO174*$G$23</f>
        <v/>
      </c>
      <c r="AP175" s="41">
        <f>AP174*$G$23</f>
        <v/>
      </c>
      <c r="AQ175" s="41">
        <f>AQ174*$G$23</f>
        <v/>
      </c>
      <c r="AR175" s="41">
        <f>AR174*$G$23</f>
        <v/>
      </c>
      <c r="AS175" s="41">
        <f>AS174*$G$23</f>
        <v/>
      </c>
      <c r="AT175" s="41">
        <f>AT174*$G$23</f>
        <v/>
      </c>
      <c r="AU175" s="41">
        <f>AU174*$G$23</f>
        <v/>
      </c>
      <c r="AV175" s="41">
        <f>AV174*$G$23</f>
        <v/>
      </c>
      <c r="AW175" s="41">
        <f>AW174*$G$23</f>
        <v/>
      </c>
      <c r="AX175" s="41">
        <f>AX174*$G$23</f>
        <v/>
      </c>
      <c r="AY175" s="41">
        <f>AY174*$G$23</f>
        <v/>
      </c>
      <c r="AZ175" s="41">
        <f>AZ174*$G$23</f>
        <v/>
      </c>
      <c r="BA175" s="41">
        <f>BA174*$G$23</f>
        <v/>
      </c>
      <c r="BB175" s="41">
        <f>BB174*$G$23</f>
        <v/>
      </c>
      <c r="BC175" s="41">
        <f>BC174*$G$23</f>
        <v/>
      </c>
      <c r="BD175" s="41">
        <f>BD174*$G$23</f>
        <v/>
      </c>
    </row>
    <row r="176">
      <c r="A176" s="25" t="inlineStr">
        <is>
          <t xml:space="preserve">   market loss (gone)</t>
        </is>
      </c>
      <c r="B176" s="2" t="inlineStr">
        <is>
          <t>lb</t>
        </is>
      </c>
      <c r="E176" s="35">
        <f>(E174-E175)*(1-$H$23)</f>
        <v/>
      </c>
      <c r="F176" s="35">
        <f>(F174-F175)*(1-$H$23)</f>
        <v/>
      </c>
      <c r="G176" s="35">
        <f>(G174-G175)*(1-$H$23)</f>
        <v/>
      </c>
      <c r="H176" s="35">
        <f>(H174-H175)*(1-$H$23)</f>
        <v/>
      </c>
      <c r="I176" s="35">
        <f>(I174-I175)*(1-$H$23)</f>
        <v/>
      </c>
      <c r="J176" s="35">
        <f>(J174-J175)*(1-$H$23)</f>
        <v/>
      </c>
      <c r="K176" s="35">
        <f>(K174-K175)*(1-$H$23)</f>
        <v/>
      </c>
      <c r="L176" s="35">
        <f>(L174-L175)*(1-$H$23)</f>
        <v/>
      </c>
      <c r="M176" s="35">
        <f>(M174-M175)*(1-$H$23)</f>
        <v/>
      </c>
      <c r="N176" s="35">
        <f>(N174-N175)*(1-$H$23)</f>
        <v/>
      </c>
      <c r="O176" s="35">
        <f>(O174-O175)*(1-$H$23)</f>
        <v/>
      </c>
      <c r="P176" s="35">
        <f>(P174-P175)*(1-$H$23)</f>
        <v/>
      </c>
      <c r="Q176" s="35">
        <f>(Q174-Q175)*(1-$H$23)</f>
        <v/>
      </c>
      <c r="R176" s="35">
        <f>(R174-R175)*(1-$H$23)</f>
        <v/>
      </c>
      <c r="S176" s="35">
        <f>(S174-S175)*(1-$H$23)</f>
        <v/>
      </c>
      <c r="T176" s="35">
        <f>(T174-T175)*(1-$H$23)</f>
        <v/>
      </c>
      <c r="U176" s="35">
        <f>(U174-U175)*(1-$H$23)</f>
        <v/>
      </c>
      <c r="V176" s="35">
        <f>(V174-V175)*(1-$H$23)</f>
        <v/>
      </c>
      <c r="W176" s="35">
        <f>(W174-W175)*(1-$H$23)</f>
        <v/>
      </c>
      <c r="X176" s="35">
        <f>(X174-X175)*(1-$H$23)</f>
        <v/>
      </c>
      <c r="Y176" s="35">
        <f>(Y174-Y175)*(1-$H$23)</f>
        <v/>
      </c>
      <c r="Z176" s="35">
        <f>(Z174-Z175)*(1-$H$23)</f>
        <v/>
      </c>
      <c r="AA176" s="35">
        <f>(AA174-AA175)*(1-$H$23)</f>
        <v/>
      </c>
      <c r="AB176" s="35">
        <f>(AB174-AB175)*(1-$H$23)</f>
        <v/>
      </c>
      <c r="AC176" s="35">
        <f>(AC174-AC175)*(1-$H$23)</f>
        <v/>
      </c>
      <c r="AD176" s="35">
        <f>(AD174-AD175)*(1-$H$23)</f>
        <v/>
      </c>
      <c r="AE176" s="35">
        <f>(AE174-AE175)*(1-$H$23)</f>
        <v/>
      </c>
      <c r="AF176" s="35">
        <f>(AF174-AF175)*(1-$H$23)</f>
        <v/>
      </c>
      <c r="AG176" s="35">
        <f>(AG174-AG175)*(1-$H$23)</f>
        <v/>
      </c>
      <c r="AH176" s="35">
        <f>(AH174-AH175)*(1-$H$23)</f>
        <v/>
      </c>
      <c r="AI176" s="35">
        <f>(AI174-AI175)*(1-$H$23)</f>
        <v/>
      </c>
      <c r="AJ176" s="35">
        <f>(AJ174-AJ175)*(1-$H$23)</f>
        <v/>
      </c>
      <c r="AK176" s="35">
        <f>(AK174-AK175)*(1-$H$23)</f>
        <v/>
      </c>
      <c r="AL176" s="35">
        <f>(AL174-AL175)*(1-$H$23)</f>
        <v/>
      </c>
      <c r="AM176" s="35">
        <f>(AM174-AM175)*(1-$H$23)</f>
        <v/>
      </c>
      <c r="AN176" s="35">
        <f>(AN174-AN175)*(1-$H$23)</f>
        <v/>
      </c>
      <c r="AO176" s="35">
        <f>(AO174-AO175)*(1-$H$23)</f>
        <v/>
      </c>
      <c r="AP176" s="35">
        <f>(AP174-AP175)*(1-$H$23)</f>
        <v/>
      </c>
      <c r="AQ176" s="35">
        <f>(AQ174-AQ175)*(1-$H$23)</f>
        <v/>
      </c>
      <c r="AR176" s="35">
        <f>(AR174-AR175)*(1-$H$23)</f>
        <v/>
      </c>
      <c r="AS176" s="35">
        <f>(AS174-AS175)*(1-$H$23)</f>
        <v/>
      </c>
      <c r="AT176" s="35">
        <f>(AT174-AT175)*(1-$H$23)</f>
        <v/>
      </c>
      <c r="AU176" s="35">
        <f>(AU174-AU175)*(1-$H$23)</f>
        <v/>
      </c>
      <c r="AV176" s="35">
        <f>(AV174-AV175)*(1-$H$23)</f>
        <v/>
      </c>
      <c r="AW176" s="35">
        <f>(AW174-AW175)*(1-$H$23)</f>
        <v/>
      </c>
      <c r="AX176" s="35">
        <f>(AX174-AX175)*(1-$H$23)</f>
        <v/>
      </c>
      <c r="AY176" s="35">
        <f>(AY174-AY175)*(1-$H$23)</f>
        <v/>
      </c>
      <c r="AZ176" s="35">
        <f>(AZ174-AZ175)*(1-$H$23)</f>
        <v/>
      </c>
      <c r="BA176" s="35">
        <f>(BA174-BA175)*(1-$H$23)</f>
        <v/>
      </c>
      <c r="BB176" s="35">
        <f>(BB174-BB175)*(1-$H$23)</f>
        <v/>
      </c>
      <c r="BC176" s="35">
        <f>(BC174-BC175)*(1-$H$23)</f>
        <v/>
      </c>
      <c r="BD176" s="35">
        <f>(BD174-BD175)*(1-$H$23)</f>
        <v/>
      </c>
    </row>
    <row r="177">
      <c r="A177" s="25" t="inlineStr">
        <is>
          <t xml:space="preserve">   returned to store</t>
        </is>
      </c>
      <c r="B177" s="2" t="inlineStr">
        <is>
          <t>lb</t>
        </is>
      </c>
      <c r="E177" s="35">
        <f>(E174-E175)*$H$23</f>
        <v/>
      </c>
      <c r="F177" s="35">
        <f>(F174-F175)*$H$23</f>
        <v/>
      </c>
      <c r="G177" s="35">
        <f>(G174-G175)*$H$23</f>
        <v/>
      </c>
      <c r="H177" s="35">
        <f>(H174-H175)*$H$23</f>
        <v/>
      </c>
      <c r="I177" s="35">
        <f>(I174-I175)*$H$23</f>
        <v/>
      </c>
      <c r="J177" s="35">
        <f>(J174-J175)*$H$23</f>
        <v/>
      </c>
      <c r="K177" s="35">
        <f>(K174-K175)*$H$23</f>
        <v/>
      </c>
      <c r="L177" s="35">
        <f>(L174-L175)*$H$23</f>
        <v/>
      </c>
      <c r="M177" s="35">
        <f>(M174-M175)*$H$23</f>
        <v/>
      </c>
      <c r="N177" s="35">
        <f>(N174-N175)*$H$23</f>
        <v/>
      </c>
      <c r="O177" s="35">
        <f>(O174-O175)*$H$23</f>
        <v/>
      </c>
      <c r="P177" s="35">
        <f>(P174-P175)*$H$23</f>
        <v/>
      </c>
      <c r="Q177" s="35">
        <f>(Q174-Q175)*$H$23</f>
        <v/>
      </c>
      <c r="R177" s="35">
        <f>(R174-R175)*$H$23</f>
        <v/>
      </c>
      <c r="S177" s="35">
        <f>(S174-S175)*$H$23</f>
        <v/>
      </c>
      <c r="T177" s="35">
        <f>(T174-T175)*$H$23</f>
        <v/>
      </c>
      <c r="U177" s="35">
        <f>(U174-U175)*$H$23</f>
        <v/>
      </c>
      <c r="V177" s="35">
        <f>(V174-V175)*$H$23</f>
        <v/>
      </c>
      <c r="W177" s="35">
        <f>(W174-W175)*$H$23</f>
        <v/>
      </c>
      <c r="X177" s="35">
        <f>(X174-X175)*$H$23</f>
        <v/>
      </c>
      <c r="Y177" s="35">
        <f>(Y174-Y175)*$H$23</f>
        <v/>
      </c>
      <c r="Z177" s="35">
        <f>(Z174-Z175)*$H$23</f>
        <v/>
      </c>
      <c r="AA177" s="35">
        <f>(AA174-AA175)*$H$23</f>
        <v/>
      </c>
      <c r="AB177" s="35">
        <f>(AB174-AB175)*$H$23</f>
        <v/>
      </c>
      <c r="AC177" s="35">
        <f>(AC174-AC175)*$H$23</f>
        <v/>
      </c>
      <c r="AD177" s="35">
        <f>(AD174-AD175)*$H$23</f>
        <v/>
      </c>
      <c r="AE177" s="35">
        <f>(AE174-AE175)*$H$23</f>
        <v/>
      </c>
      <c r="AF177" s="35">
        <f>(AF174-AF175)*$H$23</f>
        <v/>
      </c>
      <c r="AG177" s="35">
        <f>(AG174-AG175)*$H$23</f>
        <v/>
      </c>
      <c r="AH177" s="35">
        <f>(AH174-AH175)*$H$23</f>
        <v/>
      </c>
      <c r="AI177" s="35">
        <f>(AI174-AI175)*$H$23</f>
        <v/>
      </c>
      <c r="AJ177" s="35">
        <f>(AJ174-AJ175)*$H$23</f>
        <v/>
      </c>
      <c r="AK177" s="35">
        <f>(AK174-AK175)*$H$23</f>
        <v/>
      </c>
      <c r="AL177" s="35">
        <f>(AL174-AL175)*$H$23</f>
        <v/>
      </c>
      <c r="AM177" s="35">
        <f>(AM174-AM175)*$H$23</f>
        <v/>
      </c>
      <c r="AN177" s="35">
        <f>(AN174-AN175)*$H$23</f>
        <v/>
      </c>
      <c r="AO177" s="35">
        <f>(AO174-AO175)*$H$23</f>
        <v/>
      </c>
      <c r="AP177" s="35">
        <f>(AP174-AP175)*$H$23</f>
        <v/>
      </c>
      <c r="AQ177" s="35">
        <f>(AQ174-AQ175)*$H$23</f>
        <v/>
      </c>
      <c r="AR177" s="35">
        <f>(AR174-AR175)*$H$23</f>
        <v/>
      </c>
      <c r="AS177" s="35">
        <f>(AS174-AS175)*$H$23</f>
        <v/>
      </c>
      <c r="AT177" s="35">
        <f>(AT174-AT175)*$H$23</f>
        <v/>
      </c>
      <c r="AU177" s="35">
        <f>(AU174-AU175)*$H$23</f>
        <v/>
      </c>
      <c r="AV177" s="35">
        <f>(AV174-AV175)*$H$23</f>
        <v/>
      </c>
      <c r="AW177" s="35">
        <f>(AW174-AW175)*$H$23</f>
        <v/>
      </c>
      <c r="AX177" s="35">
        <f>(AX174-AX175)*$H$23</f>
        <v/>
      </c>
      <c r="AY177" s="35">
        <f>(AY174-AY175)*$H$23</f>
        <v/>
      </c>
      <c r="AZ177" s="35">
        <f>(AZ174-AZ175)*$H$23</f>
        <v/>
      </c>
      <c r="BA177" s="35">
        <f>(BA174-BA175)*$H$23</f>
        <v/>
      </c>
      <c r="BB177" s="35">
        <f>(BB174-BB175)*$H$23</f>
        <v/>
      </c>
      <c r="BC177" s="35">
        <f>(BC174-BC175)*$H$23</f>
        <v/>
      </c>
      <c r="BD177" s="35">
        <f>(BD174-BD175)*$H$23</f>
        <v/>
      </c>
    </row>
    <row r="178">
      <c r="A178" s="25" t="inlineStr">
        <is>
          <t xml:space="preserve">   leaves the store (offered - returned)</t>
        </is>
      </c>
      <c r="B178" s="2" t="inlineStr">
        <is>
          <t>lb</t>
        </is>
      </c>
      <c r="E178" s="35">
        <f>E174-E177</f>
        <v/>
      </c>
      <c r="F178" s="35">
        <f>F174-F177</f>
        <v/>
      </c>
      <c r="G178" s="35">
        <f>G174-G177</f>
        <v/>
      </c>
      <c r="H178" s="35">
        <f>H174-H177</f>
        <v/>
      </c>
      <c r="I178" s="35">
        <f>I174-I177</f>
        <v/>
      </c>
      <c r="J178" s="35">
        <f>J174-J177</f>
        <v/>
      </c>
      <c r="K178" s="35">
        <f>K174-K177</f>
        <v/>
      </c>
      <c r="L178" s="35">
        <f>L174-L177</f>
        <v/>
      </c>
      <c r="M178" s="35">
        <f>M174-M177</f>
        <v/>
      </c>
      <c r="N178" s="35">
        <f>N174-N177</f>
        <v/>
      </c>
      <c r="O178" s="35">
        <f>O174-O177</f>
        <v/>
      </c>
      <c r="P178" s="35">
        <f>P174-P177</f>
        <v/>
      </c>
      <c r="Q178" s="35">
        <f>Q174-Q177</f>
        <v/>
      </c>
      <c r="R178" s="35">
        <f>R174-R177</f>
        <v/>
      </c>
      <c r="S178" s="35">
        <f>S174-S177</f>
        <v/>
      </c>
      <c r="T178" s="35">
        <f>T174-T177</f>
        <v/>
      </c>
      <c r="U178" s="35">
        <f>U174-U177</f>
        <v/>
      </c>
      <c r="V178" s="35">
        <f>V174-V177</f>
        <v/>
      </c>
      <c r="W178" s="35">
        <f>W174-W177</f>
        <v/>
      </c>
      <c r="X178" s="35">
        <f>X174-X177</f>
        <v/>
      </c>
      <c r="Y178" s="35">
        <f>Y174-Y177</f>
        <v/>
      </c>
      <c r="Z178" s="35">
        <f>Z174-Z177</f>
        <v/>
      </c>
      <c r="AA178" s="35">
        <f>AA174-AA177</f>
        <v/>
      </c>
      <c r="AB178" s="35">
        <f>AB174-AB177</f>
        <v/>
      </c>
      <c r="AC178" s="35">
        <f>AC174-AC177</f>
        <v/>
      </c>
      <c r="AD178" s="35">
        <f>AD174-AD177</f>
        <v/>
      </c>
      <c r="AE178" s="35">
        <f>AE174-AE177</f>
        <v/>
      </c>
      <c r="AF178" s="35">
        <f>AF174-AF177</f>
        <v/>
      </c>
      <c r="AG178" s="35">
        <f>AG174-AG177</f>
        <v/>
      </c>
      <c r="AH178" s="35">
        <f>AH174-AH177</f>
        <v/>
      </c>
      <c r="AI178" s="35">
        <f>AI174-AI177</f>
        <v/>
      </c>
      <c r="AJ178" s="35">
        <f>AJ174-AJ177</f>
        <v/>
      </c>
      <c r="AK178" s="35">
        <f>AK174-AK177</f>
        <v/>
      </c>
      <c r="AL178" s="35">
        <f>AL174-AL177</f>
        <v/>
      </c>
      <c r="AM178" s="35">
        <f>AM174-AM177</f>
        <v/>
      </c>
      <c r="AN178" s="35">
        <f>AN174-AN177</f>
        <v/>
      </c>
      <c r="AO178" s="35">
        <f>AO174-AO177</f>
        <v/>
      </c>
      <c r="AP178" s="35">
        <f>AP174-AP177</f>
        <v/>
      </c>
      <c r="AQ178" s="35">
        <f>AQ174-AQ177</f>
        <v/>
      </c>
      <c r="AR178" s="35">
        <f>AR174-AR177</f>
        <v/>
      </c>
      <c r="AS178" s="35">
        <f>AS174-AS177</f>
        <v/>
      </c>
      <c r="AT178" s="35">
        <f>AT174-AT177</f>
        <v/>
      </c>
      <c r="AU178" s="35">
        <f>AU174-AU177</f>
        <v/>
      </c>
      <c r="AV178" s="35">
        <f>AV174-AV177</f>
        <v/>
      </c>
      <c r="AW178" s="35">
        <f>AW174-AW177</f>
        <v/>
      </c>
      <c r="AX178" s="35">
        <f>AX174-AX177</f>
        <v/>
      </c>
      <c r="AY178" s="35">
        <f>AY174-AY177</f>
        <v/>
      </c>
      <c r="AZ178" s="35">
        <f>AZ174-AZ177</f>
        <v/>
      </c>
      <c r="BA178" s="35">
        <f>BA174-BA177</f>
        <v/>
      </c>
      <c r="BB178" s="35">
        <f>BB174-BB177</f>
        <v/>
      </c>
      <c r="BC178" s="35">
        <f>BC174-BC177</f>
        <v/>
      </c>
      <c r="BD178" s="35">
        <f>BD174-BD177</f>
        <v/>
      </c>
    </row>
    <row r="179">
      <c r="A179" s="4" t="inlineStr">
        <is>
          <t>Stock carried out</t>
        </is>
      </c>
      <c r="B179" s="2" t="inlineStr">
        <is>
          <t>lb</t>
        </is>
      </c>
      <c r="E179" s="35">
        <f>E166-E172-E178</f>
        <v/>
      </c>
      <c r="F179" s="35">
        <f>F166-F172-F178</f>
        <v/>
      </c>
      <c r="G179" s="35">
        <f>G166-G172-G178</f>
        <v/>
      </c>
      <c r="H179" s="35">
        <f>H166-H172-H178</f>
        <v/>
      </c>
      <c r="I179" s="35">
        <f>I166-I172-I178</f>
        <v/>
      </c>
      <c r="J179" s="35">
        <f>J166-J172-J178</f>
        <v/>
      </c>
      <c r="K179" s="35">
        <f>K166-K172-K178</f>
        <v/>
      </c>
      <c r="L179" s="35">
        <f>L166-L172-L178</f>
        <v/>
      </c>
      <c r="M179" s="35">
        <f>M166-M172-M178</f>
        <v/>
      </c>
      <c r="N179" s="35">
        <f>N166-N172-N178</f>
        <v/>
      </c>
      <c r="O179" s="35">
        <f>O166-O172-O178</f>
        <v/>
      </c>
      <c r="P179" s="35">
        <f>P166-P172-P178</f>
        <v/>
      </c>
      <c r="Q179" s="35">
        <f>Q166-Q172-Q178</f>
        <v/>
      </c>
      <c r="R179" s="35">
        <f>R166-R172-R178</f>
        <v/>
      </c>
      <c r="S179" s="35">
        <f>S166-S172-S178</f>
        <v/>
      </c>
      <c r="T179" s="35">
        <f>T166-T172-T178</f>
        <v/>
      </c>
      <c r="U179" s="35">
        <f>U166-U172-U178</f>
        <v/>
      </c>
      <c r="V179" s="35">
        <f>V166-V172-V178</f>
        <v/>
      </c>
      <c r="W179" s="35">
        <f>W166-W172-W178</f>
        <v/>
      </c>
      <c r="X179" s="35">
        <f>X166-X172-X178</f>
        <v/>
      </c>
      <c r="Y179" s="35">
        <f>Y166-Y172-Y178</f>
        <v/>
      </c>
      <c r="Z179" s="35">
        <f>Z166-Z172-Z178</f>
        <v/>
      </c>
      <c r="AA179" s="35">
        <f>AA166-AA172-AA178</f>
        <v/>
      </c>
      <c r="AB179" s="35">
        <f>AB166-AB172-AB178</f>
        <v/>
      </c>
      <c r="AC179" s="35">
        <f>AC166-AC172-AC178</f>
        <v/>
      </c>
      <c r="AD179" s="35">
        <f>AD166-AD172-AD178</f>
        <v/>
      </c>
      <c r="AE179" s="35">
        <f>AE166-AE172-AE178</f>
        <v/>
      </c>
      <c r="AF179" s="35">
        <f>AF166-AF172-AF178</f>
        <v/>
      </c>
      <c r="AG179" s="35">
        <f>AG166-AG172-AG178</f>
        <v/>
      </c>
      <c r="AH179" s="35">
        <f>AH166-AH172-AH178</f>
        <v/>
      </c>
      <c r="AI179" s="35">
        <f>AI166-AI172-AI178</f>
        <v/>
      </c>
      <c r="AJ179" s="35">
        <f>AJ166-AJ172-AJ178</f>
        <v/>
      </c>
      <c r="AK179" s="35">
        <f>AK166-AK172-AK178</f>
        <v/>
      </c>
      <c r="AL179" s="35">
        <f>AL166-AL172-AL178</f>
        <v/>
      </c>
      <c r="AM179" s="35">
        <f>AM166-AM172-AM178</f>
        <v/>
      </c>
      <c r="AN179" s="35">
        <f>AN166-AN172-AN178</f>
        <v/>
      </c>
      <c r="AO179" s="35">
        <f>AO166-AO172-AO178</f>
        <v/>
      </c>
      <c r="AP179" s="35">
        <f>AP166-AP172-AP178</f>
        <v/>
      </c>
      <c r="AQ179" s="35">
        <f>AQ166-AQ172-AQ178</f>
        <v/>
      </c>
      <c r="AR179" s="35">
        <f>AR166-AR172-AR178</f>
        <v/>
      </c>
      <c r="AS179" s="35">
        <f>AS166-AS172-AS178</f>
        <v/>
      </c>
      <c r="AT179" s="35">
        <f>AT166-AT172-AT178</f>
        <v/>
      </c>
      <c r="AU179" s="35">
        <f>AU166-AU172-AU178</f>
        <v/>
      </c>
      <c r="AV179" s="35">
        <f>AV166-AV172-AV178</f>
        <v/>
      </c>
      <c r="AW179" s="35">
        <f>AW166-AW172-AW178</f>
        <v/>
      </c>
      <c r="AX179" s="35">
        <f>AX166-AX172-AX178</f>
        <v/>
      </c>
      <c r="AY179" s="35">
        <f>AY166-AY172-AY178</f>
        <v/>
      </c>
      <c r="AZ179" s="35">
        <f>AZ166-AZ172-AZ178</f>
        <v/>
      </c>
      <c r="BA179" s="35">
        <f>BA166-BA172-BA178</f>
        <v/>
      </c>
      <c r="BB179" s="35">
        <f>BB166-BB172-BB178</f>
        <v/>
      </c>
      <c r="BC179" s="35">
        <f>BC166-BC172-BC178</f>
        <v/>
      </c>
      <c r="BD179" s="35">
        <f>BD166-BD172-BD178</f>
        <v/>
      </c>
    </row>
    <row r="180">
      <c r="A180" s="2" t="inlineStr">
        <is>
          <t xml:space="preserve">   ^ subtracts what LEAVES, not what was offered — so 'returned to store' is</t>
        </is>
      </c>
    </row>
    <row r="181">
      <c r="A181" s="2" t="inlineStr">
        <is>
          <t xml:space="preserve">     never taken out at all, and shows up as next week's carried in.</t>
        </is>
      </c>
    </row>
    <row r="182">
      <c r="A182" s="25" t="inlineStr">
        <is>
          <t>Most stock its shelf life allows</t>
        </is>
      </c>
      <c r="B182" s="2" t="inlineStr">
        <is>
          <t>lb</t>
        </is>
      </c>
      <c r="E182" s="35">
        <f>SUMPRODUCT(($E$162:$BD$162&gt;=1-$F$13+2)*($E$162:$BD$162&lt;=1)*$E$163:$BD$163*POWER(1-$G$13,($E$162:$BD$162&lt;=1)*(1-$E$162:$BD$162)))</f>
        <v/>
      </c>
      <c r="F182" s="35">
        <f>SUMPRODUCT(($E$162:$BD$162&gt;=2-$F$13+2)*($E$162:$BD$162&lt;=2)*$E$163:$BD$163*POWER(1-$G$13,($E$162:$BD$162&lt;=2)*(2-$E$162:$BD$162)))</f>
        <v/>
      </c>
      <c r="G182" s="35">
        <f>SUMPRODUCT(($E$162:$BD$162&gt;=3-$F$13+2)*($E$162:$BD$162&lt;=3)*$E$163:$BD$163*POWER(1-$G$13,($E$162:$BD$162&lt;=3)*(3-$E$162:$BD$162)))</f>
        <v/>
      </c>
      <c r="H182" s="35">
        <f>SUMPRODUCT(($E$162:$BD$162&gt;=4-$F$13+2)*($E$162:$BD$162&lt;=4)*$E$163:$BD$163*POWER(1-$G$13,($E$162:$BD$162&lt;=4)*(4-$E$162:$BD$162)))</f>
        <v/>
      </c>
      <c r="I182" s="35">
        <f>SUMPRODUCT(($E$162:$BD$162&gt;=5-$F$13+2)*($E$162:$BD$162&lt;=5)*$E$163:$BD$163*POWER(1-$G$13,($E$162:$BD$162&lt;=5)*(5-$E$162:$BD$162)))</f>
        <v/>
      </c>
      <c r="J182" s="35">
        <f>SUMPRODUCT(($E$162:$BD$162&gt;=6-$F$13+2)*($E$162:$BD$162&lt;=6)*$E$163:$BD$163*POWER(1-$G$13,($E$162:$BD$162&lt;=6)*(6-$E$162:$BD$162)))</f>
        <v/>
      </c>
      <c r="K182" s="35">
        <f>SUMPRODUCT(($E$162:$BD$162&gt;=7-$F$13+2)*($E$162:$BD$162&lt;=7)*$E$163:$BD$163*POWER(1-$G$13,($E$162:$BD$162&lt;=7)*(7-$E$162:$BD$162)))</f>
        <v/>
      </c>
      <c r="L182" s="35">
        <f>SUMPRODUCT(($E$162:$BD$162&gt;=8-$F$13+2)*($E$162:$BD$162&lt;=8)*$E$163:$BD$163*POWER(1-$G$13,($E$162:$BD$162&lt;=8)*(8-$E$162:$BD$162)))</f>
        <v/>
      </c>
      <c r="M182" s="35">
        <f>SUMPRODUCT(($E$162:$BD$162&gt;=9-$F$13+2)*($E$162:$BD$162&lt;=9)*$E$163:$BD$163*POWER(1-$G$13,($E$162:$BD$162&lt;=9)*(9-$E$162:$BD$162)))</f>
        <v/>
      </c>
      <c r="N182" s="35">
        <f>SUMPRODUCT(($E$162:$BD$162&gt;=10-$F$13+2)*($E$162:$BD$162&lt;=10)*$E$163:$BD$163*POWER(1-$G$13,($E$162:$BD$162&lt;=10)*(10-$E$162:$BD$162)))</f>
        <v/>
      </c>
      <c r="O182" s="35">
        <f>SUMPRODUCT(($E$162:$BD$162&gt;=11-$F$13+2)*($E$162:$BD$162&lt;=11)*$E$163:$BD$163*POWER(1-$G$13,($E$162:$BD$162&lt;=11)*(11-$E$162:$BD$162)))</f>
        <v/>
      </c>
      <c r="P182" s="35">
        <f>SUMPRODUCT(($E$162:$BD$162&gt;=12-$F$13+2)*($E$162:$BD$162&lt;=12)*$E$163:$BD$163*POWER(1-$G$13,($E$162:$BD$162&lt;=12)*(12-$E$162:$BD$162)))</f>
        <v/>
      </c>
      <c r="Q182" s="35">
        <f>SUMPRODUCT(($E$162:$BD$162&gt;=13-$F$13+2)*($E$162:$BD$162&lt;=13)*$E$163:$BD$163*POWER(1-$G$13,($E$162:$BD$162&lt;=13)*(13-$E$162:$BD$162)))</f>
        <v/>
      </c>
      <c r="R182" s="35">
        <f>SUMPRODUCT(($E$162:$BD$162&gt;=14-$F$13+2)*($E$162:$BD$162&lt;=14)*$E$163:$BD$163*POWER(1-$G$13,($E$162:$BD$162&lt;=14)*(14-$E$162:$BD$162)))</f>
        <v/>
      </c>
      <c r="S182" s="35">
        <f>SUMPRODUCT(($E$162:$BD$162&gt;=15-$F$13+2)*($E$162:$BD$162&lt;=15)*$E$163:$BD$163*POWER(1-$G$13,($E$162:$BD$162&lt;=15)*(15-$E$162:$BD$162)))</f>
        <v/>
      </c>
      <c r="T182" s="35">
        <f>SUMPRODUCT(($E$162:$BD$162&gt;=16-$F$13+2)*($E$162:$BD$162&lt;=16)*$E$163:$BD$163*POWER(1-$G$13,($E$162:$BD$162&lt;=16)*(16-$E$162:$BD$162)))</f>
        <v/>
      </c>
      <c r="U182" s="35">
        <f>SUMPRODUCT(($E$162:$BD$162&gt;=17-$F$13+2)*($E$162:$BD$162&lt;=17)*$E$163:$BD$163*POWER(1-$G$13,($E$162:$BD$162&lt;=17)*(17-$E$162:$BD$162)))</f>
        <v/>
      </c>
      <c r="V182" s="35">
        <f>SUMPRODUCT(($E$162:$BD$162&gt;=18-$F$13+2)*($E$162:$BD$162&lt;=18)*$E$163:$BD$163*POWER(1-$G$13,($E$162:$BD$162&lt;=18)*(18-$E$162:$BD$162)))</f>
        <v/>
      </c>
      <c r="W182" s="35">
        <f>SUMPRODUCT(($E$162:$BD$162&gt;=19-$F$13+2)*($E$162:$BD$162&lt;=19)*$E$163:$BD$163*POWER(1-$G$13,($E$162:$BD$162&lt;=19)*(19-$E$162:$BD$162)))</f>
        <v/>
      </c>
      <c r="X182" s="35">
        <f>SUMPRODUCT(($E$162:$BD$162&gt;=20-$F$13+2)*($E$162:$BD$162&lt;=20)*$E$163:$BD$163*POWER(1-$G$13,($E$162:$BD$162&lt;=20)*(20-$E$162:$BD$162)))</f>
        <v/>
      </c>
      <c r="Y182" s="35">
        <f>SUMPRODUCT(($E$162:$BD$162&gt;=21-$F$13+2)*($E$162:$BD$162&lt;=21)*$E$163:$BD$163*POWER(1-$G$13,($E$162:$BD$162&lt;=21)*(21-$E$162:$BD$162)))</f>
        <v/>
      </c>
      <c r="Z182" s="35">
        <f>SUMPRODUCT(($E$162:$BD$162&gt;=22-$F$13+2)*($E$162:$BD$162&lt;=22)*$E$163:$BD$163*POWER(1-$G$13,($E$162:$BD$162&lt;=22)*(22-$E$162:$BD$162)))</f>
        <v/>
      </c>
      <c r="AA182" s="35">
        <f>SUMPRODUCT(($E$162:$BD$162&gt;=23-$F$13+2)*($E$162:$BD$162&lt;=23)*$E$163:$BD$163*POWER(1-$G$13,($E$162:$BD$162&lt;=23)*(23-$E$162:$BD$162)))</f>
        <v/>
      </c>
      <c r="AB182" s="35">
        <f>SUMPRODUCT(($E$162:$BD$162&gt;=24-$F$13+2)*($E$162:$BD$162&lt;=24)*$E$163:$BD$163*POWER(1-$G$13,($E$162:$BD$162&lt;=24)*(24-$E$162:$BD$162)))</f>
        <v/>
      </c>
      <c r="AC182" s="35">
        <f>SUMPRODUCT(($E$162:$BD$162&gt;=25-$F$13+2)*($E$162:$BD$162&lt;=25)*$E$163:$BD$163*POWER(1-$G$13,($E$162:$BD$162&lt;=25)*(25-$E$162:$BD$162)))</f>
        <v/>
      </c>
      <c r="AD182" s="35">
        <f>SUMPRODUCT(($E$162:$BD$162&gt;=26-$F$13+2)*($E$162:$BD$162&lt;=26)*$E$163:$BD$163*POWER(1-$G$13,($E$162:$BD$162&lt;=26)*(26-$E$162:$BD$162)))</f>
        <v/>
      </c>
      <c r="AE182" s="35">
        <f>SUMPRODUCT(($E$162:$BD$162&gt;=27-$F$13+2)*($E$162:$BD$162&lt;=27)*$E$163:$BD$163*POWER(1-$G$13,($E$162:$BD$162&lt;=27)*(27-$E$162:$BD$162)))</f>
        <v/>
      </c>
      <c r="AF182" s="35">
        <f>SUMPRODUCT(($E$162:$BD$162&gt;=28-$F$13+2)*($E$162:$BD$162&lt;=28)*$E$163:$BD$163*POWER(1-$G$13,($E$162:$BD$162&lt;=28)*(28-$E$162:$BD$162)))</f>
        <v/>
      </c>
      <c r="AG182" s="35">
        <f>SUMPRODUCT(($E$162:$BD$162&gt;=29-$F$13+2)*($E$162:$BD$162&lt;=29)*$E$163:$BD$163*POWER(1-$G$13,($E$162:$BD$162&lt;=29)*(29-$E$162:$BD$162)))</f>
        <v/>
      </c>
      <c r="AH182" s="35">
        <f>SUMPRODUCT(($E$162:$BD$162&gt;=30-$F$13+2)*($E$162:$BD$162&lt;=30)*$E$163:$BD$163*POWER(1-$G$13,($E$162:$BD$162&lt;=30)*(30-$E$162:$BD$162)))</f>
        <v/>
      </c>
      <c r="AI182" s="35">
        <f>SUMPRODUCT(($E$162:$BD$162&gt;=31-$F$13+2)*($E$162:$BD$162&lt;=31)*$E$163:$BD$163*POWER(1-$G$13,($E$162:$BD$162&lt;=31)*(31-$E$162:$BD$162)))</f>
        <v/>
      </c>
      <c r="AJ182" s="35">
        <f>SUMPRODUCT(($E$162:$BD$162&gt;=32-$F$13+2)*($E$162:$BD$162&lt;=32)*$E$163:$BD$163*POWER(1-$G$13,($E$162:$BD$162&lt;=32)*(32-$E$162:$BD$162)))</f>
        <v/>
      </c>
      <c r="AK182" s="35">
        <f>SUMPRODUCT(($E$162:$BD$162&gt;=33-$F$13+2)*($E$162:$BD$162&lt;=33)*$E$163:$BD$163*POWER(1-$G$13,($E$162:$BD$162&lt;=33)*(33-$E$162:$BD$162)))</f>
        <v/>
      </c>
      <c r="AL182" s="35">
        <f>SUMPRODUCT(($E$162:$BD$162&gt;=34-$F$13+2)*($E$162:$BD$162&lt;=34)*$E$163:$BD$163*POWER(1-$G$13,($E$162:$BD$162&lt;=34)*(34-$E$162:$BD$162)))</f>
        <v/>
      </c>
      <c r="AM182" s="35">
        <f>SUMPRODUCT(($E$162:$BD$162&gt;=35-$F$13+2)*($E$162:$BD$162&lt;=35)*$E$163:$BD$163*POWER(1-$G$13,($E$162:$BD$162&lt;=35)*(35-$E$162:$BD$162)))</f>
        <v/>
      </c>
      <c r="AN182" s="35">
        <f>SUMPRODUCT(($E$162:$BD$162&gt;=36-$F$13+2)*($E$162:$BD$162&lt;=36)*$E$163:$BD$163*POWER(1-$G$13,($E$162:$BD$162&lt;=36)*(36-$E$162:$BD$162)))</f>
        <v/>
      </c>
      <c r="AO182" s="35">
        <f>SUMPRODUCT(($E$162:$BD$162&gt;=37-$F$13+2)*($E$162:$BD$162&lt;=37)*$E$163:$BD$163*POWER(1-$G$13,($E$162:$BD$162&lt;=37)*(37-$E$162:$BD$162)))</f>
        <v/>
      </c>
      <c r="AP182" s="35">
        <f>SUMPRODUCT(($E$162:$BD$162&gt;=38-$F$13+2)*($E$162:$BD$162&lt;=38)*$E$163:$BD$163*POWER(1-$G$13,($E$162:$BD$162&lt;=38)*(38-$E$162:$BD$162)))</f>
        <v/>
      </c>
      <c r="AQ182" s="35">
        <f>SUMPRODUCT(($E$162:$BD$162&gt;=39-$F$13+2)*($E$162:$BD$162&lt;=39)*$E$163:$BD$163*POWER(1-$G$13,($E$162:$BD$162&lt;=39)*(39-$E$162:$BD$162)))</f>
        <v/>
      </c>
      <c r="AR182" s="35">
        <f>SUMPRODUCT(($E$162:$BD$162&gt;=40-$F$13+2)*($E$162:$BD$162&lt;=40)*$E$163:$BD$163*POWER(1-$G$13,($E$162:$BD$162&lt;=40)*(40-$E$162:$BD$162)))</f>
        <v/>
      </c>
      <c r="AS182" s="35">
        <f>SUMPRODUCT(($E$162:$BD$162&gt;=41-$F$13+2)*($E$162:$BD$162&lt;=41)*$E$163:$BD$163*POWER(1-$G$13,($E$162:$BD$162&lt;=41)*(41-$E$162:$BD$162)))</f>
        <v/>
      </c>
      <c r="AT182" s="35">
        <f>SUMPRODUCT(($E$162:$BD$162&gt;=42-$F$13+2)*($E$162:$BD$162&lt;=42)*$E$163:$BD$163*POWER(1-$G$13,($E$162:$BD$162&lt;=42)*(42-$E$162:$BD$162)))</f>
        <v/>
      </c>
      <c r="AU182" s="35">
        <f>SUMPRODUCT(($E$162:$BD$162&gt;=43-$F$13+2)*($E$162:$BD$162&lt;=43)*$E$163:$BD$163*POWER(1-$G$13,($E$162:$BD$162&lt;=43)*(43-$E$162:$BD$162)))</f>
        <v/>
      </c>
      <c r="AV182" s="35">
        <f>SUMPRODUCT(($E$162:$BD$162&gt;=44-$F$13+2)*($E$162:$BD$162&lt;=44)*$E$163:$BD$163*POWER(1-$G$13,($E$162:$BD$162&lt;=44)*(44-$E$162:$BD$162)))</f>
        <v/>
      </c>
      <c r="AW182" s="35">
        <f>SUMPRODUCT(($E$162:$BD$162&gt;=45-$F$13+2)*($E$162:$BD$162&lt;=45)*$E$163:$BD$163*POWER(1-$G$13,($E$162:$BD$162&lt;=45)*(45-$E$162:$BD$162)))</f>
        <v/>
      </c>
      <c r="AX182" s="35">
        <f>SUMPRODUCT(($E$162:$BD$162&gt;=46-$F$13+2)*($E$162:$BD$162&lt;=46)*$E$163:$BD$163*POWER(1-$G$13,($E$162:$BD$162&lt;=46)*(46-$E$162:$BD$162)))</f>
        <v/>
      </c>
      <c r="AY182" s="35">
        <f>SUMPRODUCT(($E$162:$BD$162&gt;=47-$F$13+2)*($E$162:$BD$162&lt;=47)*$E$163:$BD$163*POWER(1-$G$13,($E$162:$BD$162&lt;=47)*(47-$E$162:$BD$162)))</f>
        <v/>
      </c>
      <c r="AZ182" s="35">
        <f>SUMPRODUCT(($E$162:$BD$162&gt;=48-$F$13+2)*($E$162:$BD$162&lt;=48)*$E$163:$BD$163*POWER(1-$G$13,($E$162:$BD$162&lt;=48)*(48-$E$162:$BD$162)))</f>
        <v/>
      </c>
      <c r="BA182" s="35">
        <f>SUMPRODUCT(($E$162:$BD$162&gt;=49-$F$13+2)*($E$162:$BD$162&lt;=49)*$E$163:$BD$163*POWER(1-$G$13,($E$162:$BD$162&lt;=49)*(49-$E$162:$BD$162)))</f>
        <v/>
      </c>
      <c r="BB182" s="35">
        <f>SUMPRODUCT(($E$162:$BD$162&gt;=50-$F$13+2)*($E$162:$BD$162&lt;=50)*$E$163:$BD$163*POWER(1-$G$13,($E$162:$BD$162&lt;=50)*(50-$E$162:$BD$162)))</f>
        <v/>
      </c>
      <c r="BC182" s="35">
        <f>SUMPRODUCT(($E$162:$BD$162&gt;=51-$F$13+2)*($E$162:$BD$162&lt;=51)*$E$163:$BD$163*POWER(1-$G$13,($E$162:$BD$162&lt;=51)*(51-$E$162:$BD$162)))</f>
        <v/>
      </c>
      <c r="BD182" s="35">
        <f>SUMPRODUCT(($E$162:$BD$162&gt;=52-$F$13+2)*($E$162:$BD$162&lt;=52)*$E$163:$BD$163*POWER(1-$G$13,($E$162:$BD$162&lt;=52)*(52-$E$162:$BD$162)))</f>
        <v/>
      </c>
    </row>
    <row r="183">
      <c r="A183" s="2" t="inlineStr">
        <is>
          <t xml:space="preserve">   Stock carried out must stay at or below this row.</t>
        </is>
      </c>
    </row>
    <row r="184">
      <c r="A184" s="25" t="inlineStr">
        <is>
          <t>Growing cost this week</t>
        </is>
      </c>
      <c r="B184" s="2" t="inlineStr">
        <is>
          <t>$</t>
        </is>
      </c>
      <c r="E184" s="35">
        <f>SUMPRODUCT(($B$28:$B$95="Garlic")*(E$28:E$95="P")*$C$28:$C$95)*$K$13+SUMPRODUCT(($B$28:$B$95="Garlic")*(E$28:E$95="G")*$C$28:$C$95)*$L$13+SUMPRODUCT(($B$28:$B$95="Garlic")*(E$28:E$95="H")*$C$28:$C$95)*$M$13+SUMPRODUCT(($B$28:$B$95="Garlic")*($BG$28:$BG$95=1)*$C$28:$C$95)*$H$13</f>
        <v/>
      </c>
      <c r="F184" s="35">
        <f>SUMPRODUCT(($B$28:$B$95="Garlic")*(F$28:F$95="P")*$C$28:$C$95)*$K$13+SUMPRODUCT(($B$28:$B$95="Garlic")*(F$28:F$95="G")*$C$28:$C$95)*$L$13+SUMPRODUCT(($B$28:$B$95="Garlic")*(F$28:F$95="H")*$C$28:$C$95)*$M$13+SUMPRODUCT(($B$28:$B$95="Garlic")*($BG$28:$BG$95=2)*$C$28:$C$95)*$H$13</f>
        <v/>
      </c>
      <c r="G184" s="35">
        <f>SUMPRODUCT(($B$28:$B$95="Garlic")*(G$28:G$95="P")*$C$28:$C$95)*$K$13+SUMPRODUCT(($B$28:$B$95="Garlic")*(G$28:G$95="G")*$C$28:$C$95)*$L$13+SUMPRODUCT(($B$28:$B$95="Garlic")*(G$28:G$95="H")*$C$28:$C$95)*$M$13+SUMPRODUCT(($B$28:$B$95="Garlic")*($BG$28:$BG$95=3)*$C$28:$C$95)*$H$13</f>
        <v/>
      </c>
      <c r="H184" s="35">
        <f>SUMPRODUCT(($B$28:$B$95="Garlic")*(H$28:H$95="P")*$C$28:$C$95)*$K$13+SUMPRODUCT(($B$28:$B$95="Garlic")*(H$28:H$95="G")*$C$28:$C$95)*$L$13+SUMPRODUCT(($B$28:$B$95="Garlic")*(H$28:H$95="H")*$C$28:$C$95)*$M$13+SUMPRODUCT(($B$28:$B$95="Garlic")*($BG$28:$BG$95=4)*$C$28:$C$95)*$H$13</f>
        <v/>
      </c>
      <c r="I184" s="35">
        <f>SUMPRODUCT(($B$28:$B$95="Garlic")*(I$28:I$95="P")*$C$28:$C$95)*$K$13+SUMPRODUCT(($B$28:$B$95="Garlic")*(I$28:I$95="G")*$C$28:$C$95)*$L$13+SUMPRODUCT(($B$28:$B$95="Garlic")*(I$28:I$95="H")*$C$28:$C$95)*$M$13+SUMPRODUCT(($B$28:$B$95="Garlic")*($BG$28:$BG$95=5)*$C$28:$C$95)*$H$13</f>
        <v/>
      </c>
      <c r="J184" s="35">
        <f>SUMPRODUCT(($B$28:$B$95="Garlic")*(J$28:J$95="P")*$C$28:$C$95)*$K$13+SUMPRODUCT(($B$28:$B$95="Garlic")*(J$28:J$95="G")*$C$28:$C$95)*$L$13+SUMPRODUCT(($B$28:$B$95="Garlic")*(J$28:J$95="H")*$C$28:$C$95)*$M$13+SUMPRODUCT(($B$28:$B$95="Garlic")*($BG$28:$BG$95=6)*$C$28:$C$95)*$H$13</f>
        <v/>
      </c>
      <c r="K184" s="35">
        <f>SUMPRODUCT(($B$28:$B$95="Garlic")*(K$28:K$95="P")*$C$28:$C$95)*$K$13+SUMPRODUCT(($B$28:$B$95="Garlic")*(K$28:K$95="G")*$C$28:$C$95)*$L$13+SUMPRODUCT(($B$28:$B$95="Garlic")*(K$28:K$95="H")*$C$28:$C$95)*$M$13+SUMPRODUCT(($B$28:$B$95="Garlic")*($BG$28:$BG$95=7)*$C$28:$C$95)*$H$13</f>
        <v/>
      </c>
      <c r="L184" s="35">
        <f>SUMPRODUCT(($B$28:$B$95="Garlic")*(L$28:L$95="P")*$C$28:$C$95)*$K$13+SUMPRODUCT(($B$28:$B$95="Garlic")*(L$28:L$95="G")*$C$28:$C$95)*$L$13+SUMPRODUCT(($B$28:$B$95="Garlic")*(L$28:L$95="H")*$C$28:$C$95)*$M$13+SUMPRODUCT(($B$28:$B$95="Garlic")*($BG$28:$BG$95=8)*$C$28:$C$95)*$H$13</f>
        <v/>
      </c>
      <c r="M184" s="35">
        <f>SUMPRODUCT(($B$28:$B$95="Garlic")*(M$28:M$95="P")*$C$28:$C$95)*$K$13+SUMPRODUCT(($B$28:$B$95="Garlic")*(M$28:M$95="G")*$C$28:$C$95)*$L$13+SUMPRODUCT(($B$28:$B$95="Garlic")*(M$28:M$95="H")*$C$28:$C$95)*$M$13+SUMPRODUCT(($B$28:$B$95="Garlic")*($BG$28:$BG$95=9)*$C$28:$C$95)*$H$13</f>
        <v/>
      </c>
      <c r="N184" s="35">
        <f>SUMPRODUCT(($B$28:$B$95="Garlic")*(N$28:N$95="P")*$C$28:$C$95)*$K$13+SUMPRODUCT(($B$28:$B$95="Garlic")*(N$28:N$95="G")*$C$28:$C$95)*$L$13+SUMPRODUCT(($B$28:$B$95="Garlic")*(N$28:N$95="H")*$C$28:$C$95)*$M$13+SUMPRODUCT(($B$28:$B$95="Garlic")*($BG$28:$BG$95=10)*$C$28:$C$95)*$H$13</f>
        <v/>
      </c>
      <c r="O184" s="35">
        <f>SUMPRODUCT(($B$28:$B$95="Garlic")*(O$28:O$95="P")*$C$28:$C$95)*$K$13+SUMPRODUCT(($B$28:$B$95="Garlic")*(O$28:O$95="G")*$C$28:$C$95)*$L$13+SUMPRODUCT(($B$28:$B$95="Garlic")*(O$28:O$95="H")*$C$28:$C$95)*$M$13+SUMPRODUCT(($B$28:$B$95="Garlic")*($BG$28:$BG$95=11)*$C$28:$C$95)*$H$13</f>
        <v/>
      </c>
      <c r="P184" s="35">
        <f>SUMPRODUCT(($B$28:$B$95="Garlic")*(P$28:P$95="P")*$C$28:$C$95)*$K$13+SUMPRODUCT(($B$28:$B$95="Garlic")*(P$28:P$95="G")*$C$28:$C$95)*$L$13+SUMPRODUCT(($B$28:$B$95="Garlic")*(P$28:P$95="H")*$C$28:$C$95)*$M$13+SUMPRODUCT(($B$28:$B$95="Garlic")*($BG$28:$BG$95=12)*$C$28:$C$95)*$H$13</f>
        <v/>
      </c>
      <c r="Q184" s="35">
        <f>SUMPRODUCT(($B$28:$B$95="Garlic")*(Q$28:Q$95="P")*$C$28:$C$95)*$K$13+SUMPRODUCT(($B$28:$B$95="Garlic")*(Q$28:Q$95="G")*$C$28:$C$95)*$L$13+SUMPRODUCT(($B$28:$B$95="Garlic")*(Q$28:Q$95="H")*$C$28:$C$95)*$M$13+SUMPRODUCT(($B$28:$B$95="Garlic")*($BG$28:$BG$95=13)*$C$28:$C$95)*$H$13</f>
        <v/>
      </c>
      <c r="R184" s="35">
        <f>SUMPRODUCT(($B$28:$B$95="Garlic")*(R$28:R$95="P")*$C$28:$C$95)*$K$13+SUMPRODUCT(($B$28:$B$95="Garlic")*(R$28:R$95="G")*$C$28:$C$95)*$L$13+SUMPRODUCT(($B$28:$B$95="Garlic")*(R$28:R$95="H")*$C$28:$C$95)*$M$13+SUMPRODUCT(($B$28:$B$95="Garlic")*($BG$28:$BG$95=14)*$C$28:$C$95)*$H$13</f>
        <v/>
      </c>
      <c r="S184" s="35">
        <f>SUMPRODUCT(($B$28:$B$95="Garlic")*(S$28:S$95="P")*$C$28:$C$95)*$K$13+SUMPRODUCT(($B$28:$B$95="Garlic")*(S$28:S$95="G")*$C$28:$C$95)*$L$13+SUMPRODUCT(($B$28:$B$95="Garlic")*(S$28:S$95="H")*$C$28:$C$95)*$M$13+SUMPRODUCT(($B$28:$B$95="Garlic")*($BG$28:$BG$95=15)*$C$28:$C$95)*$H$13</f>
        <v/>
      </c>
      <c r="T184" s="35">
        <f>SUMPRODUCT(($B$28:$B$95="Garlic")*(T$28:T$95="P")*$C$28:$C$95)*$K$13+SUMPRODUCT(($B$28:$B$95="Garlic")*(T$28:T$95="G")*$C$28:$C$95)*$L$13+SUMPRODUCT(($B$28:$B$95="Garlic")*(T$28:T$95="H")*$C$28:$C$95)*$M$13+SUMPRODUCT(($B$28:$B$95="Garlic")*($BG$28:$BG$95=16)*$C$28:$C$95)*$H$13</f>
        <v/>
      </c>
      <c r="U184" s="35">
        <f>SUMPRODUCT(($B$28:$B$95="Garlic")*(U$28:U$95="P")*$C$28:$C$95)*$K$13+SUMPRODUCT(($B$28:$B$95="Garlic")*(U$28:U$95="G")*$C$28:$C$95)*$L$13+SUMPRODUCT(($B$28:$B$95="Garlic")*(U$28:U$95="H")*$C$28:$C$95)*$M$13+SUMPRODUCT(($B$28:$B$95="Garlic")*($BG$28:$BG$95=17)*$C$28:$C$95)*$H$13</f>
        <v/>
      </c>
      <c r="V184" s="35">
        <f>SUMPRODUCT(($B$28:$B$95="Garlic")*(V$28:V$95="P")*$C$28:$C$95)*$K$13+SUMPRODUCT(($B$28:$B$95="Garlic")*(V$28:V$95="G")*$C$28:$C$95)*$L$13+SUMPRODUCT(($B$28:$B$95="Garlic")*(V$28:V$95="H")*$C$28:$C$95)*$M$13+SUMPRODUCT(($B$28:$B$95="Garlic")*($BG$28:$BG$95=18)*$C$28:$C$95)*$H$13</f>
        <v/>
      </c>
      <c r="W184" s="35">
        <f>SUMPRODUCT(($B$28:$B$95="Garlic")*(W$28:W$95="P")*$C$28:$C$95)*$K$13+SUMPRODUCT(($B$28:$B$95="Garlic")*(W$28:W$95="G")*$C$28:$C$95)*$L$13+SUMPRODUCT(($B$28:$B$95="Garlic")*(W$28:W$95="H")*$C$28:$C$95)*$M$13+SUMPRODUCT(($B$28:$B$95="Garlic")*($BG$28:$BG$95=19)*$C$28:$C$95)*$H$13</f>
        <v/>
      </c>
      <c r="X184" s="35">
        <f>SUMPRODUCT(($B$28:$B$95="Garlic")*(X$28:X$95="P")*$C$28:$C$95)*$K$13+SUMPRODUCT(($B$28:$B$95="Garlic")*(X$28:X$95="G")*$C$28:$C$95)*$L$13+SUMPRODUCT(($B$28:$B$95="Garlic")*(X$28:X$95="H")*$C$28:$C$95)*$M$13+SUMPRODUCT(($B$28:$B$95="Garlic")*($BG$28:$BG$95=20)*$C$28:$C$95)*$H$13</f>
        <v/>
      </c>
      <c r="Y184" s="35">
        <f>SUMPRODUCT(($B$28:$B$95="Garlic")*(Y$28:Y$95="P")*$C$28:$C$95)*$K$13+SUMPRODUCT(($B$28:$B$95="Garlic")*(Y$28:Y$95="G")*$C$28:$C$95)*$L$13+SUMPRODUCT(($B$28:$B$95="Garlic")*(Y$28:Y$95="H")*$C$28:$C$95)*$M$13+SUMPRODUCT(($B$28:$B$95="Garlic")*($BG$28:$BG$95=21)*$C$28:$C$95)*$H$13</f>
        <v/>
      </c>
      <c r="Z184" s="35">
        <f>SUMPRODUCT(($B$28:$B$95="Garlic")*(Z$28:Z$95="P")*$C$28:$C$95)*$K$13+SUMPRODUCT(($B$28:$B$95="Garlic")*(Z$28:Z$95="G")*$C$28:$C$95)*$L$13+SUMPRODUCT(($B$28:$B$95="Garlic")*(Z$28:Z$95="H")*$C$28:$C$95)*$M$13+SUMPRODUCT(($B$28:$B$95="Garlic")*($BG$28:$BG$95=22)*$C$28:$C$95)*$H$13</f>
        <v/>
      </c>
      <c r="AA184" s="35">
        <f>SUMPRODUCT(($B$28:$B$95="Garlic")*(AA$28:AA$95="P")*$C$28:$C$95)*$K$13+SUMPRODUCT(($B$28:$B$95="Garlic")*(AA$28:AA$95="G")*$C$28:$C$95)*$L$13+SUMPRODUCT(($B$28:$B$95="Garlic")*(AA$28:AA$95="H")*$C$28:$C$95)*$M$13+SUMPRODUCT(($B$28:$B$95="Garlic")*($BG$28:$BG$95=23)*$C$28:$C$95)*$H$13</f>
        <v/>
      </c>
      <c r="AB184" s="35">
        <f>SUMPRODUCT(($B$28:$B$95="Garlic")*(AB$28:AB$95="P")*$C$28:$C$95)*$K$13+SUMPRODUCT(($B$28:$B$95="Garlic")*(AB$28:AB$95="G")*$C$28:$C$95)*$L$13+SUMPRODUCT(($B$28:$B$95="Garlic")*(AB$28:AB$95="H")*$C$28:$C$95)*$M$13+SUMPRODUCT(($B$28:$B$95="Garlic")*($BG$28:$BG$95=24)*$C$28:$C$95)*$H$13</f>
        <v/>
      </c>
      <c r="AC184" s="35">
        <f>SUMPRODUCT(($B$28:$B$95="Garlic")*(AC$28:AC$95="P")*$C$28:$C$95)*$K$13+SUMPRODUCT(($B$28:$B$95="Garlic")*(AC$28:AC$95="G")*$C$28:$C$95)*$L$13+SUMPRODUCT(($B$28:$B$95="Garlic")*(AC$28:AC$95="H")*$C$28:$C$95)*$M$13+SUMPRODUCT(($B$28:$B$95="Garlic")*($BG$28:$BG$95=25)*$C$28:$C$95)*$H$13</f>
        <v/>
      </c>
      <c r="AD184" s="35">
        <f>SUMPRODUCT(($B$28:$B$95="Garlic")*(AD$28:AD$95="P")*$C$28:$C$95)*$K$13+SUMPRODUCT(($B$28:$B$95="Garlic")*(AD$28:AD$95="G")*$C$28:$C$95)*$L$13+SUMPRODUCT(($B$28:$B$95="Garlic")*(AD$28:AD$95="H")*$C$28:$C$95)*$M$13+SUMPRODUCT(($B$28:$B$95="Garlic")*($BG$28:$BG$95=26)*$C$28:$C$95)*$H$13</f>
        <v/>
      </c>
      <c r="AE184" s="35">
        <f>SUMPRODUCT(($B$28:$B$95="Garlic")*(AE$28:AE$95="P")*$C$28:$C$95)*$K$13+SUMPRODUCT(($B$28:$B$95="Garlic")*(AE$28:AE$95="G")*$C$28:$C$95)*$L$13+SUMPRODUCT(($B$28:$B$95="Garlic")*(AE$28:AE$95="H")*$C$28:$C$95)*$M$13+SUMPRODUCT(($B$28:$B$95="Garlic")*($BG$28:$BG$95=27)*$C$28:$C$95)*$H$13</f>
        <v/>
      </c>
      <c r="AF184" s="35">
        <f>SUMPRODUCT(($B$28:$B$95="Garlic")*(AF$28:AF$95="P")*$C$28:$C$95)*$K$13+SUMPRODUCT(($B$28:$B$95="Garlic")*(AF$28:AF$95="G")*$C$28:$C$95)*$L$13+SUMPRODUCT(($B$28:$B$95="Garlic")*(AF$28:AF$95="H")*$C$28:$C$95)*$M$13+SUMPRODUCT(($B$28:$B$95="Garlic")*($BG$28:$BG$95=28)*$C$28:$C$95)*$H$13</f>
        <v/>
      </c>
      <c r="AG184" s="35">
        <f>SUMPRODUCT(($B$28:$B$95="Garlic")*(AG$28:AG$95="P")*$C$28:$C$95)*$K$13+SUMPRODUCT(($B$28:$B$95="Garlic")*(AG$28:AG$95="G")*$C$28:$C$95)*$L$13+SUMPRODUCT(($B$28:$B$95="Garlic")*(AG$28:AG$95="H")*$C$28:$C$95)*$M$13+SUMPRODUCT(($B$28:$B$95="Garlic")*($BG$28:$BG$95=29)*$C$28:$C$95)*$H$13</f>
        <v/>
      </c>
      <c r="AH184" s="35">
        <f>SUMPRODUCT(($B$28:$B$95="Garlic")*(AH$28:AH$95="P")*$C$28:$C$95)*$K$13+SUMPRODUCT(($B$28:$B$95="Garlic")*(AH$28:AH$95="G")*$C$28:$C$95)*$L$13+SUMPRODUCT(($B$28:$B$95="Garlic")*(AH$28:AH$95="H")*$C$28:$C$95)*$M$13+SUMPRODUCT(($B$28:$B$95="Garlic")*($BG$28:$BG$95=30)*$C$28:$C$95)*$H$13</f>
        <v/>
      </c>
      <c r="AI184" s="35">
        <f>SUMPRODUCT(($B$28:$B$95="Garlic")*(AI$28:AI$95="P")*$C$28:$C$95)*$K$13+SUMPRODUCT(($B$28:$B$95="Garlic")*(AI$28:AI$95="G")*$C$28:$C$95)*$L$13+SUMPRODUCT(($B$28:$B$95="Garlic")*(AI$28:AI$95="H")*$C$28:$C$95)*$M$13+SUMPRODUCT(($B$28:$B$95="Garlic")*($BG$28:$BG$95=31)*$C$28:$C$95)*$H$13</f>
        <v/>
      </c>
      <c r="AJ184" s="35">
        <f>SUMPRODUCT(($B$28:$B$95="Garlic")*(AJ$28:AJ$95="P")*$C$28:$C$95)*$K$13+SUMPRODUCT(($B$28:$B$95="Garlic")*(AJ$28:AJ$95="G")*$C$28:$C$95)*$L$13+SUMPRODUCT(($B$28:$B$95="Garlic")*(AJ$28:AJ$95="H")*$C$28:$C$95)*$M$13+SUMPRODUCT(($B$28:$B$95="Garlic")*($BG$28:$BG$95=32)*$C$28:$C$95)*$H$13</f>
        <v/>
      </c>
      <c r="AK184" s="35">
        <f>SUMPRODUCT(($B$28:$B$95="Garlic")*(AK$28:AK$95="P")*$C$28:$C$95)*$K$13+SUMPRODUCT(($B$28:$B$95="Garlic")*(AK$28:AK$95="G")*$C$28:$C$95)*$L$13+SUMPRODUCT(($B$28:$B$95="Garlic")*(AK$28:AK$95="H")*$C$28:$C$95)*$M$13+SUMPRODUCT(($B$28:$B$95="Garlic")*($BG$28:$BG$95=33)*$C$28:$C$95)*$H$13</f>
        <v/>
      </c>
      <c r="AL184" s="35">
        <f>SUMPRODUCT(($B$28:$B$95="Garlic")*(AL$28:AL$95="P")*$C$28:$C$95)*$K$13+SUMPRODUCT(($B$28:$B$95="Garlic")*(AL$28:AL$95="G")*$C$28:$C$95)*$L$13+SUMPRODUCT(($B$28:$B$95="Garlic")*(AL$28:AL$95="H")*$C$28:$C$95)*$M$13+SUMPRODUCT(($B$28:$B$95="Garlic")*($BG$28:$BG$95=34)*$C$28:$C$95)*$H$13</f>
        <v/>
      </c>
      <c r="AM184" s="35">
        <f>SUMPRODUCT(($B$28:$B$95="Garlic")*(AM$28:AM$95="P")*$C$28:$C$95)*$K$13+SUMPRODUCT(($B$28:$B$95="Garlic")*(AM$28:AM$95="G")*$C$28:$C$95)*$L$13+SUMPRODUCT(($B$28:$B$95="Garlic")*(AM$28:AM$95="H")*$C$28:$C$95)*$M$13+SUMPRODUCT(($B$28:$B$95="Garlic")*($BG$28:$BG$95=35)*$C$28:$C$95)*$H$13</f>
        <v/>
      </c>
      <c r="AN184" s="35">
        <f>SUMPRODUCT(($B$28:$B$95="Garlic")*(AN$28:AN$95="P")*$C$28:$C$95)*$K$13+SUMPRODUCT(($B$28:$B$95="Garlic")*(AN$28:AN$95="G")*$C$28:$C$95)*$L$13+SUMPRODUCT(($B$28:$B$95="Garlic")*(AN$28:AN$95="H")*$C$28:$C$95)*$M$13+SUMPRODUCT(($B$28:$B$95="Garlic")*($BG$28:$BG$95=36)*$C$28:$C$95)*$H$13</f>
        <v/>
      </c>
      <c r="AO184" s="35">
        <f>SUMPRODUCT(($B$28:$B$95="Garlic")*(AO$28:AO$95="P")*$C$28:$C$95)*$K$13+SUMPRODUCT(($B$28:$B$95="Garlic")*(AO$28:AO$95="G")*$C$28:$C$95)*$L$13+SUMPRODUCT(($B$28:$B$95="Garlic")*(AO$28:AO$95="H")*$C$28:$C$95)*$M$13+SUMPRODUCT(($B$28:$B$95="Garlic")*($BG$28:$BG$95=37)*$C$28:$C$95)*$H$13</f>
        <v/>
      </c>
      <c r="AP184" s="35">
        <f>SUMPRODUCT(($B$28:$B$95="Garlic")*(AP$28:AP$95="P")*$C$28:$C$95)*$K$13+SUMPRODUCT(($B$28:$B$95="Garlic")*(AP$28:AP$95="G")*$C$28:$C$95)*$L$13+SUMPRODUCT(($B$28:$B$95="Garlic")*(AP$28:AP$95="H")*$C$28:$C$95)*$M$13+SUMPRODUCT(($B$28:$B$95="Garlic")*($BG$28:$BG$95=38)*$C$28:$C$95)*$H$13</f>
        <v/>
      </c>
      <c r="AQ184" s="35">
        <f>SUMPRODUCT(($B$28:$B$95="Garlic")*(AQ$28:AQ$95="P")*$C$28:$C$95)*$K$13+SUMPRODUCT(($B$28:$B$95="Garlic")*(AQ$28:AQ$95="G")*$C$28:$C$95)*$L$13+SUMPRODUCT(($B$28:$B$95="Garlic")*(AQ$28:AQ$95="H")*$C$28:$C$95)*$M$13+SUMPRODUCT(($B$28:$B$95="Garlic")*($BG$28:$BG$95=39)*$C$28:$C$95)*$H$13</f>
        <v/>
      </c>
      <c r="AR184" s="35">
        <f>SUMPRODUCT(($B$28:$B$95="Garlic")*(AR$28:AR$95="P")*$C$28:$C$95)*$K$13+SUMPRODUCT(($B$28:$B$95="Garlic")*(AR$28:AR$95="G")*$C$28:$C$95)*$L$13+SUMPRODUCT(($B$28:$B$95="Garlic")*(AR$28:AR$95="H")*$C$28:$C$95)*$M$13+SUMPRODUCT(($B$28:$B$95="Garlic")*($BG$28:$BG$95=40)*$C$28:$C$95)*$H$13</f>
        <v/>
      </c>
      <c r="AS184" s="35">
        <f>SUMPRODUCT(($B$28:$B$95="Garlic")*(AS$28:AS$95="P")*$C$28:$C$95)*$K$13+SUMPRODUCT(($B$28:$B$95="Garlic")*(AS$28:AS$95="G")*$C$28:$C$95)*$L$13+SUMPRODUCT(($B$28:$B$95="Garlic")*(AS$28:AS$95="H")*$C$28:$C$95)*$M$13+SUMPRODUCT(($B$28:$B$95="Garlic")*($BG$28:$BG$95=41)*$C$28:$C$95)*$H$13</f>
        <v/>
      </c>
      <c r="AT184" s="35">
        <f>SUMPRODUCT(($B$28:$B$95="Garlic")*(AT$28:AT$95="P")*$C$28:$C$95)*$K$13+SUMPRODUCT(($B$28:$B$95="Garlic")*(AT$28:AT$95="G")*$C$28:$C$95)*$L$13+SUMPRODUCT(($B$28:$B$95="Garlic")*(AT$28:AT$95="H")*$C$28:$C$95)*$M$13+SUMPRODUCT(($B$28:$B$95="Garlic")*($BG$28:$BG$95=42)*$C$28:$C$95)*$H$13</f>
        <v/>
      </c>
      <c r="AU184" s="35">
        <f>SUMPRODUCT(($B$28:$B$95="Garlic")*(AU$28:AU$95="P")*$C$28:$C$95)*$K$13+SUMPRODUCT(($B$28:$B$95="Garlic")*(AU$28:AU$95="G")*$C$28:$C$95)*$L$13+SUMPRODUCT(($B$28:$B$95="Garlic")*(AU$28:AU$95="H")*$C$28:$C$95)*$M$13+SUMPRODUCT(($B$28:$B$95="Garlic")*($BG$28:$BG$95=43)*$C$28:$C$95)*$H$13</f>
        <v/>
      </c>
      <c r="AV184" s="35">
        <f>SUMPRODUCT(($B$28:$B$95="Garlic")*(AV$28:AV$95="P")*$C$28:$C$95)*$K$13+SUMPRODUCT(($B$28:$B$95="Garlic")*(AV$28:AV$95="G")*$C$28:$C$95)*$L$13+SUMPRODUCT(($B$28:$B$95="Garlic")*(AV$28:AV$95="H")*$C$28:$C$95)*$M$13+SUMPRODUCT(($B$28:$B$95="Garlic")*($BG$28:$BG$95=44)*$C$28:$C$95)*$H$13</f>
        <v/>
      </c>
      <c r="AW184" s="35">
        <f>SUMPRODUCT(($B$28:$B$95="Garlic")*(AW$28:AW$95="P")*$C$28:$C$95)*$K$13+SUMPRODUCT(($B$28:$B$95="Garlic")*(AW$28:AW$95="G")*$C$28:$C$95)*$L$13+SUMPRODUCT(($B$28:$B$95="Garlic")*(AW$28:AW$95="H")*$C$28:$C$95)*$M$13+SUMPRODUCT(($B$28:$B$95="Garlic")*($BG$28:$BG$95=45)*$C$28:$C$95)*$H$13</f>
        <v/>
      </c>
      <c r="AX184" s="35">
        <f>SUMPRODUCT(($B$28:$B$95="Garlic")*(AX$28:AX$95="P")*$C$28:$C$95)*$K$13+SUMPRODUCT(($B$28:$B$95="Garlic")*(AX$28:AX$95="G")*$C$28:$C$95)*$L$13+SUMPRODUCT(($B$28:$B$95="Garlic")*(AX$28:AX$95="H")*$C$28:$C$95)*$M$13+SUMPRODUCT(($B$28:$B$95="Garlic")*($BG$28:$BG$95=46)*$C$28:$C$95)*$H$13</f>
        <v/>
      </c>
      <c r="AY184" s="35">
        <f>SUMPRODUCT(($B$28:$B$95="Garlic")*(AY$28:AY$95="P")*$C$28:$C$95)*$K$13+SUMPRODUCT(($B$28:$B$95="Garlic")*(AY$28:AY$95="G")*$C$28:$C$95)*$L$13+SUMPRODUCT(($B$28:$B$95="Garlic")*(AY$28:AY$95="H")*$C$28:$C$95)*$M$13+SUMPRODUCT(($B$28:$B$95="Garlic")*($BG$28:$BG$95=47)*$C$28:$C$95)*$H$13</f>
        <v/>
      </c>
      <c r="AZ184" s="35">
        <f>SUMPRODUCT(($B$28:$B$95="Garlic")*(AZ$28:AZ$95="P")*$C$28:$C$95)*$K$13+SUMPRODUCT(($B$28:$B$95="Garlic")*(AZ$28:AZ$95="G")*$C$28:$C$95)*$L$13+SUMPRODUCT(($B$28:$B$95="Garlic")*(AZ$28:AZ$95="H")*$C$28:$C$95)*$M$13+SUMPRODUCT(($B$28:$B$95="Garlic")*($BG$28:$BG$95=48)*$C$28:$C$95)*$H$13</f>
        <v/>
      </c>
      <c r="BA184" s="35">
        <f>SUMPRODUCT(($B$28:$B$95="Garlic")*(BA$28:BA$95="P")*$C$28:$C$95)*$K$13+SUMPRODUCT(($B$28:$B$95="Garlic")*(BA$28:BA$95="G")*$C$28:$C$95)*$L$13+SUMPRODUCT(($B$28:$B$95="Garlic")*(BA$28:BA$95="H")*$C$28:$C$95)*$M$13+SUMPRODUCT(($B$28:$B$95="Garlic")*($BG$28:$BG$95=49)*$C$28:$C$95)*$H$13</f>
        <v/>
      </c>
      <c r="BB184" s="35">
        <f>SUMPRODUCT(($B$28:$B$95="Garlic")*(BB$28:BB$95="P")*$C$28:$C$95)*$K$13+SUMPRODUCT(($B$28:$B$95="Garlic")*(BB$28:BB$95="G")*$C$28:$C$95)*$L$13+SUMPRODUCT(($B$28:$B$95="Garlic")*(BB$28:BB$95="H")*$C$28:$C$95)*$M$13+SUMPRODUCT(($B$28:$B$95="Garlic")*($BG$28:$BG$95=50)*$C$28:$C$95)*$H$13</f>
        <v/>
      </c>
      <c r="BC184" s="35">
        <f>SUMPRODUCT(($B$28:$B$95="Garlic")*(BC$28:BC$95="P")*$C$28:$C$95)*$K$13+SUMPRODUCT(($B$28:$B$95="Garlic")*(BC$28:BC$95="G")*$C$28:$C$95)*$L$13+SUMPRODUCT(($B$28:$B$95="Garlic")*(BC$28:BC$95="H")*$C$28:$C$95)*$M$13+SUMPRODUCT(($B$28:$B$95="Garlic")*($BG$28:$BG$95=51)*$C$28:$C$95)*$H$13</f>
        <v/>
      </c>
      <c r="BD184" s="35">
        <f>SUMPRODUCT(($B$28:$B$95="Garlic")*(BD$28:BD$95="P")*$C$28:$C$95)*$K$13+SUMPRODUCT(($B$28:$B$95="Garlic")*(BD$28:BD$95="G")*$C$28:$C$95)*$L$13+SUMPRODUCT(($B$28:$B$95="Garlic")*(BD$28:BD$95="H")*$C$28:$C$95)*$M$13+SUMPRODUCT(($B$28:$B$95="Garlic")*($BG$28:$BG$95=52)*$C$28:$C$95)*$H$13</f>
        <v/>
      </c>
    </row>
    <row r="185">
      <c r="A185" s="25" t="inlineStr">
        <is>
          <t>Packaging this week</t>
        </is>
      </c>
      <c r="B185" s="2" t="inlineStr">
        <is>
          <t>$</t>
        </is>
      </c>
      <c r="E185" s="35">
        <f>E169*$J$22+E175*$J$23</f>
        <v/>
      </c>
      <c r="F185" s="35">
        <f>F169*$J$22+F175*$J$23</f>
        <v/>
      </c>
      <c r="G185" s="35">
        <f>G169*$J$22+G175*$J$23</f>
        <v/>
      </c>
      <c r="H185" s="35">
        <f>H169*$J$22+H175*$J$23</f>
        <v/>
      </c>
      <c r="I185" s="35">
        <f>I169*$J$22+I175*$J$23</f>
        <v/>
      </c>
      <c r="J185" s="35">
        <f>J169*$J$22+J175*$J$23</f>
        <v/>
      </c>
      <c r="K185" s="35">
        <f>K169*$J$22+K175*$J$23</f>
        <v/>
      </c>
      <c r="L185" s="35">
        <f>L169*$J$22+L175*$J$23</f>
        <v/>
      </c>
      <c r="M185" s="35">
        <f>M169*$J$22+M175*$J$23</f>
        <v/>
      </c>
      <c r="N185" s="35">
        <f>N169*$J$22+N175*$J$23</f>
        <v/>
      </c>
      <c r="O185" s="35">
        <f>O169*$J$22+O175*$J$23</f>
        <v/>
      </c>
      <c r="P185" s="35">
        <f>P169*$J$22+P175*$J$23</f>
        <v/>
      </c>
      <c r="Q185" s="35">
        <f>Q169*$J$22+Q175*$J$23</f>
        <v/>
      </c>
      <c r="R185" s="35">
        <f>R169*$J$22+R175*$J$23</f>
        <v/>
      </c>
      <c r="S185" s="35">
        <f>S169*$J$22+S175*$J$23</f>
        <v/>
      </c>
      <c r="T185" s="35">
        <f>T169*$J$22+T175*$J$23</f>
        <v/>
      </c>
      <c r="U185" s="35">
        <f>U169*$J$22+U175*$J$23</f>
        <v/>
      </c>
      <c r="V185" s="35">
        <f>V169*$J$22+V175*$J$23</f>
        <v/>
      </c>
      <c r="W185" s="35">
        <f>W169*$J$22+W175*$J$23</f>
        <v/>
      </c>
      <c r="X185" s="35">
        <f>X169*$J$22+X175*$J$23</f>
        <v/>
      </c>
      <c r="Y185" s="35">
        <f>Y169*$J$22+Y175*$J$23</f>
        <v/>
      </c>
      <c r="Z185" s="35">
        <f>Z169*$J$22+Z175*$J$23</f>
        <v/>
      </c>
      <c r="AA185" s="35">
        <f>AA169*$J$22+AA175*$J$23</f>
        <v/>
      </c>
      <c r="AB185" s="35">
        <f>AB169*$J$22+AB175*$J$23</f>
        <v/>
      </c>
      <c r="AC185" s="35">
        <f>AC169*$J$22+AC175*$J$23</f>
        <v/>
      </c>
      <c r="AD185" s="35">
        <f>AD169*$J$22+AD175*$J$23</f>
        <v/>
      </c>
      <c r="AE185" s="35">
        <f>AE169*$J$22+AE175*$J$23</f>
        <v/>
      </c>
      <c r="AF185" s="35">
        <f>AF169*$J$22+AF175*$J$23</f>
        <v/>
      </c>
      <c r="AG185" s="35">
        <f>AG169*$J$22+AG175*$J$23</f>
        <v/>
      </c>
      <c r="AH185" s="35">
        <f>AH169*$J$22+AH175*$J$23</f>
        <v/>
      </c>
      <c r="AI185" s="35">
        <f>AI169*$J$22+AI175*$J$23</f>
        <v/>
      </c>
      <c r="AJ185" s="35">
        <f>AJ169*$J$22+AJ175*$J$23</f>
        <v/>
      </c>
      <c r="AK185" s="35">
        <f>AK169*$J$22+AK175*$J$23</f>
        <v/>
      </c>
      <c r="AL185" s="35">
        <f>AL169*$J$22+AL175*$J$23</f>
        <v/>
      </c>
      <c r="AM185" s="35">
        <f>AM169*$J$22+AM175*$J$23</f>
        <v/>
      </c>
      <c r="AN185" s="35">
        <f>AN169*$J$22+AN175*$J$23</f>
        <v/>
      </c>
      <c r="AO185" s="35">
        <f>AO169*$J$22+AO175*$J$23</f>
        <v/>
      </c>
      <c r="AP185" s="35">
        <f>AP169*$J$22+AP175*$J$23</f>
        <v/>
      </c>
      <c r="AQ185" s="35">
        <f>AQ169*$J$22+AQ175*$J$23</f>
        <v/>
      </c>
      <c r="AR185" s="35">
        <f>AR169*$J$22+AR175*$J$23</f>
        <v/>
      </c>
      <c r="AS185" s="35">
        <f>AS169*$J$22+AS175*$J$23</f>
        <v/>
      </c>
      <c r="AT185" s="35">
        <f>AT169*$J$22+AT175*$J$23</f>
        <v/>
      </c>
      <c r="AU185" s="35">
        <f>AU169*$J$22+AU175*$J$23</f>
        <v/>
      </c>
      <c r="AV185" s="35">
        <f>AV169*$J$22+AV175*$J$23</f>
        <v/>
      </c>
      <c r="AW185" s="35">
        <f>AW169*$J$22+AW175*$J$23</f>
        <v/>
      </c>
      <c r="AX185" s="35">
        <f>AX169*$J$22+AX175*$J$23</f>
        <v/>
      </c>
      <c r="AY185" s="35">
        <f>AY169*$J$22+AY175*$J$23</f>
        <v/>
      </c>
      <c r="AZ185" s="35">
        <f>AZ169*$J$22+AZ175*$J$23</f>
        <v/>
      </c>
      <c r="BA185" s="35">
        <f>BA169*$J$22+BA175*$J$23</f>
        <v/>
      </c>
      <c r="BB185" s="35">
        <f>BB169*$J$22+BB175*$J$23</f>
        <v/>
      </c>
      <c r="BC185" s="35">
        <f>BC169*$J$22+BC175*$J$23</f>
        <v/>
      </c>
      <c r="BD185" s="35">
        <f>BD169*$J$22+BD175*$J$23</f>
        <v/>
      </c>
    </row>
    <row r="186">
      <c r="A186" s="4" t="inlineStr">
        <is>
          <t>ROOM OCCUPANCY</t>
        </is>
      </c>
      <c r="B186" s="2" t="inlineStr">
        <is>
          <t>m3</t>
        </is>
      </c>
      <c r="E186" s="47">
        <f>(E164+E163)*$D$13</f>
        <v/>
      </c>
      <c r="F186" s="47">
        <f>(F164+F163)*$D$13</f>
        <v/>
      </c>
      <c r="G186" s="47">
        <f>(G164+G163)*$D$13</f>
        <v/>
      </c>
      <c r="H186" s="47">
        <f>(H164+H163)*$D$13</f>
        <v/>
      </c>
      <c r="I186" s="47">
        <f>(I164+I163)*$D$13</f>
        <v/>
      </c>
      <c r="J186" s="47">
        <f>(J164+J163)*$D$13</f>
        <v/>
      </c>
      <c r="K186" s="47">
        <f>(K164+K163)*$D$13</f>
        <v/>
      </c>
      <c r="L186" s="47">
        <f>(L164+L163)*$D$13</f>
        <v/>
      </c>
      <c r="M186" s="47">
        <f>(M164+M163)*$D$13</f>
        <v/>
      </c>
      <c r="N186" s="47">
        <f>(N164+N163)*$D$13</f>
        <v/>
      </c>
      <c r="O186" s="47">
        <f>(O164+O163)*$D$13</f>
        <v/>
      </c>
      <c r="P186" s="47">
        <f>(P164+P163)*$D$13</f>
        <v/>
      </c>
      <c r="Q186" s="47">
        <f>(Q164+Q163)*$D$13</f>
        <v/>
      </c>
      <c r="R186" s="47">
        <f>(R164+R163)*$D$13</f>
        <v/>
      </c>
      <c r="S186" s="47">
        <f>(S164+S163)*$D$13</f>
        <v/>
      </c>
      <c r="T186" s="47">
        <f>(T164+T163)*$D$13</f>
        <v/>
      </c>
      <c r="U186" s="47">
        <f>(U164+U163)*$D$13</f>
        <v/>
      </c>
      <c r="V186" s="47">
        <f>(V164+V163)*$D$13</f>
        <v/>
      </c>
      <c r="W186" s="47">
        <f>(W164+W163)*$D$13</f>
        <v/>
      </c>
      <c r="X186" s="47">
        <f>(X164+X163)*$D$13</f>
        <v/>
      </c>
      <c r="Y186" s="47">
        <f>(Y164+Y163)*$D$13</f>
        <v/>
      </c>
      <c r="Z186" s="47">
        <f>(Z164+Z163)*$D$13</f>
        <v/>
      </c>
      <c r="AA186" s="47">
        <f>(AA164+AA163)*$D$13</f>
        <v/>
      </c>
      <c r="AB186" s="47">
        <f>(AB164+AB163)*$D$13</f>
        <v/>
      </c>
      <c r="AC186" s="47">
        <f>(AC164+AC163)*$D$13</f>
        <v/>
      </c>
      <c r="AD186" s="47">
        <f>(AD164+AD163)*$D$13</f>
        <v/>
      </c>
      <c r="AE186" s="47">
        <f>(AE164+AE163)*$D$13</f>
        <v/>
      </c>
      <c r="AF186" s="47">
        <f>(AF164+AF163)*$D$13</f>
        <v/>
      </c>
      <c r="AG186" s="47">
        <f>(AG164+AG163)*$D$13</f>
        <v/>
      </c>
      <c r="AH186" s="47">
        <f>(AH164+AH163)*$D$13</f>
        <v/>
      </c>
      <c r="AI186" s="47">
        <f>(AI164+AI163)*$D$13</f>
        <v/>
      </c>
      <c r="AJ186" s="47">
        <f>(AJ164+AJ163)*$D$13</f>
        <v/>
      </c>
      <c r="AK186" s="47">
        <f>(AK164+AK163)*$D$13</f>
        <v/>
      </c>
      <c r="AL186" s="47">
        <f>(AL164+AL163)*$D$13</f>
        <v/>
      </c>
      <c r="AM186" s="47">
        <f>(AM164+AM163)*$D$13</f>
        <v/>
      </c>
      <c r="AN186" s="47">
        <f>(AN164+AN163)*$D$13</f>
        <v/>
      </c>
      <c r="AO186" s="47">
        <f>(AO164+AO163)*$D$13</f>
        <v/>
      </c>
      <c r="AP186" s="47">
        <f>(AP164+AP163)*$D$13</f>
        <v/>
      </c>
      <c r="AQ186" s="47">
        <f>(AQ164+AQ163)*$D$13</f>
        <v/>
      </c>
      <c r="AR186" s="47">
        <f>(AR164+AR163)*$D$13</f>
        <v/>
      </c>
      <c r="AS186" s="47">
        <f>(AS164+AS163)*$D$13</f>
        <v/>
      </c>
      <c r="AT186" s="47">
        <f>(AT164+AT163)*$D$13</f>
        <v/>
      </c>
      <c r="AU186" s="47">
        <f>(AU164+AU163)*$D$13</f>
        <v/>
      </c>
      <c r="AV186" s="47">
        <f>(AV164+AV163)*$D$13</f>
        <v/>
      </c>
      <c r="AW186" s="47">
        <f>(AW164+AW163)*$D$13</f>
        <v/>
      </c>
      <c r="AX186" s="47">
        <f>(AX164+AX163)*$D$13</f>
        <v/>
      </c>
      <c r="AY186" s="47">
        <f>(AY164+AY163)*$D$13</f>
        <v/>
      </c>
      <c r="AZ186" s="47">
        <f>(AZ164+AZ163)*$D$13</f>
        <v/>
      </c>
      <c r="BA186" s="47">
        <f>(BA164+BA163)*$D$13</f>
        <v/>
      </c>
      <c r="BB186" s="47">
        <f>(BB164+BB163)*$D$13</f>
        <v/>
      </c>
      <c r="BC186" s="47">
        <f>(BC164+BC163)*$D$13</f>
        <v/>
      </c>
      <c r="BD186" s="47">
        <f>(BD164+BD163)*$D$13</f>
        <v/>
      </c>
    </row>
    <row r="188">
      <c r="A188" s="3" t="inlineStr">
        <is>
          <t>6 — THE TWO STORES</t>
        </is>
      </c>
    </row>
    <row r="189">
      <c r="A189" s="20" t="inlineStr">
        <is>
          <t>Week</t>
        </is>
      </c>
      <c r="B189" s="31" t="inlineStr">
        <is>
          <t>m3</t>
        </is>
      </c>
      <c r="E189" s="23" t="n">
        <v>1</v>
      </c>
      <c r="F189" s="23" t="n">
        <v>2</v>
      </c>
      <c r="G189" s="23" t="n">
        <v>3</v>
      </c>
      <c r="H189" s="23" t="n">
        <v>4</v>
      </c>
      <c r="I189" s="23" t="n">
        <v>5</v>
      </c>
      <c r="J189" s="23" t="n">
        <v>6</v>
      </c>
      <c r="K189" s="23" t="n">
        <v>7</v>
      </c>
      <c r="L189" s="23" t="n">
        <v>8</v>
      </c>
      <c r="M189" s="23" t="n">
        <v>9</v>
      </c>
      <c r="N189" s="23" t="n">
        <v>10</v>
      </c>
      <c r="O189" s="23" t="n">
        <v>11</v>
      </c>
      <c r="P189" s="23" t="n">
        <v>12</v>
      </c>
      <c r="Q189" s="23" t="n">
        <v>13</v>
      </c>
      <c r="R189" s="23" t="n">
        <v>14</v>
      </c>
      <c r="S189" s="23" t="n">
        <v>15</v>
      </c>
      <c r="T189" s="23" t="n">
        <v>16</v>
      </c>
      <c r="U189" s="23" t="n">
        <v>17</v>
      </c>
      <c r="V189" s="23" t="n">
        <v>18</v>
      </c>
      <c r="W189" s="23" t="n">
        <v>19</v>
      </c>
      <c r="X189" s="23" t="n">
        <v>20</v>
      </c>
      <c r="Y189" s="23" t="n">
        <v>21</v>
      </c>
      <c r="Z189" s="23" t="n">
        <v>22</v>
      </c>
      <c r="AA189" s="23" t="n">
        <v>23</v>
      </c>
      <c r="AB189" s="23" t="n">
        <v>24</v>
      </c>
      <c r="AC189" s="23" t="n">
        <v>25</v>
      </c>
      <c r="AD189" s="23" t="n">
        <v>26</v>
      </c>
      <c r="AE189" s="23" t="n">
        <v>27</v>
      </c>
      <c r="AF189" s="23" t="n">
        <v>28</v>
      </c>
      <c r="AG189" s="23" t="n">
        <v>29</v>
      </c>
      <c r="AH189" s="23" t="n">
        <v>30</v>
      </c>
      <c r="AI189" s="23" t="n">
        <v>31</v>
      </c>
      <c r="AJ189" s="23" t="n">
        <v>32</v>
      </c>
      <c r="AK189" s="23" t="n">
        <v>33</v>
      </c>
      <c r="AL189" s="23" t="n">
        <v>34</v>
      </c>
      <c r="AM189" s="23" t="n">
        <v>35</v>
      </c>
      <c r="AN189" s="23" t="n">
        <v>36</v>
      </c>
      <c r="AO189" s="23" t="n">
        <v>37</v>
      </c>
      <c r="AP189" s="23" t="n">
        <v>38</v>
      </c>
      <c r="AQ189" s="23" t="n">
        <v>39</v>
      </c>
      <c r="AR189" s="23" t="n">
        <v>40</v>
      </c>
      <c r="AS189" s="23" t="n">
        <v>41</v>
      </c>
      <c r="AT189" s="23" t="n">
        <v>42</v>
      </c>
      <c r="AU189" s="23" t="n">
        <v>43</v>
      </c>
      <c r="AV189" s="23" t="n">
        <v>44</v>
      </c>
      <c r="AW189" s="23" t="n">
        <v>45</v>
      </c>
      <c r="AX189" s="23" t="n">
        <v>46</v>
      </c>
      <c r="AY189" s="23" t="n">
        <v>47</v>
      </c>
      <c r="AZ189" s="23" t="n">
        <v>48</v>
      </c>
      <c r="BA189" s="23" t="n">
        <v>49</v>
      </c>
      <c r="BB189" s="23" t="n">
        <v>50</v>
      </c>
      <c r="BC189" s="23" t="n">
        <v>51</v>
      </c>
      <c r="BD189" s="23" t="n">
        <v>52</v>
      </c>
    </row>
    <row r="190">
      <c r="A190" s="48" t="inlineStr">
        <is>
          <t>COLD STORE</t>
        </is>
      </c>
      <c r="B190" s="2" t="inlineStr">
        <is>
          <t>used</t>
        </is>
      </c>
      <c r="E190" s="43">
        <f>E130+E159</f>
        <v/>
      </c>
      <c r="F190" s="43">
        <f>F130+F159</f>
        <v/>
      </c>
      <c r="G190" s="43">
        <f>G130+G159</f>
        <v/>
      </c>
      <c r="H190" s="43">
        <f>H130+H159</f>
        <v/>
      </c>
      <c r="I190" s="43">
        <f>I130+I159</f>
        <v/>
      </c>
      <c r="J190" s="43">
        <f>J130+J159</f>
        <v/>
      </c>
      <c r="K190" s="43">
        <f>K130+K159</f>
        <v/>
      </c>
      <c r="L190" s="43">
        <f>L130+L159</f>
        <v/>
      </c>
      <c r="M190" s="43">
        <f>M130+M159</f>
        <v/>
      </c>
      <c r="N190" s="43">
        <f>N130+N159</f>
        <v/>
      </c>
      <c r="O190" s="43">
        <f>O130+O159</f>
        <v/>
      </c>
      <c r="P190" s="43">
        <f>P130+P159</f>
        <v/>
      </c>
      <c r="Q190" s="43">
        <f>Q130+Q159</f>
        <v/>
      </c>
      <c r="R190" s="43">
        <f>R130+R159</f>
        <v/>
      </c>
      <c r="S190" s="43">
        <f>S130+S159</f>
        <v/>
      </c>
      <c r="T190" s="43">
        <f>T130+T159</f>
        <v/>
      </c>
      <c r="U190" s="43">
        <f>U130+U159</f>
        <v/>
      </c>
      <c r="V190" s="43">
        <f>V130+V159</f>
        <v/>
      </c>
      <c r="W190" s="43">
        <f>W130+W159</f>
        <v/>
      </c>
      <c r="X190" s="43">
        <f>X130+X159</f>
        <v/>
      </c>
      <c r="Y190" s="43">
        <f>Y130+Y159</f>
        <v/>
      </c>
      <c r="Z190" s="43">
        <f>Z130+Z159</f>
        <v/>
      </c>
      <c r="AA190" s="43">
        <f>AA130+AA159</f>
        <v/>
      </c>
      <c r="AB190" s="43">
        <f>AB130+AB159</f>
        <v/>
      </c>
      <c r="AC190" s="43">
        <f>AC130+AC159</f>
        <v/>
      </c>
      <c r="AD190" s="43">
        <f>AD130+AD159</f>
        <v/>
      </c>
      <c r="AE190" s="43">
        <f>AE130+AE159</f>
        <v/>
      </c>
      <c r="AF190" s="43">
        <f>AF130+AF159</f>
        <v/>
      </c>
      <c r="AG190" s="43">
        <f>AG130+AG159</f>
        <v/>
      </c>
      <c r="AH190" s="43">
        <f>AH130+AH159</f>
        <v/>
      </c>
      <c r="AI190" s="43">
        <f>AI130+AI159</f>
        <v/>
      </c>
      <c r="AJ190" s="43">
        <f>AJ130+AJ159</f>
        <v/>
      </c>
      <c r="AK190" s="43">
        <f>AK130+AK159</f>
        <v/>
      </c>
      <c r="AL190" s="43">
        <f>AL130+AL159</f>
        <v/>
      </c>
      <c r="AM190" s="43">
        <f>AM130+AM159</f>
        <v/>
      </c>
      <c r="AN190" s="43">
        <f>AN130+AN159</f>
        <v/>
      </c>
      <c r="AO190" s="43">
        <f>AO130+AO159</f>
        <v/>
      </c>
      <c r="AP190" s="43">
        <f>AP130+AP159</f>
        <v/>
      </c>
      <c r="AQ190" s="43">
        <f>AQ130+AQ159</f>
        <v/>
      </c>
      <c r="AR190" s="43">
        <f>AR130+AR159</f>
        <v/>
      </c>
      <c r="AS190" s="43">
        <f>AS130+AS159</f>
        <v/>
      </c>
      <c r="AT190" s="43">
        <f>AT130+AT159</f>
        <v/>
      </c>
      <c r="AU190" s="43">
        <f>AU130+AU159</f>
        <v/>
      </c>
      <c r="AV190" s="43">
        <f>AV130+AV159</f>
        <v/>
      </c>
      <c r="AW190" s="43">
        <f>AW130+AW159</f>
        <v/>
      </c>
      <c r="AX190" s="43">
        <f>AX130+AX159</f>
        <v/>
      </c>
      <c r="AY190" s="43">
        <f>AY130+AY159</f>
        <v/>
      </c>
      <c r="AZ190" s="43">
        <f>AZ130+AZ159</f>
        <v/>
      </c>
      <c r="BA190" s="43">
        <f>BA130+BA159</f>
        <v/>
      </c>
      <c r="BB190" s="43">
        <f>BB130+BB159</f>
        <v/>
      </c>
      <c r="BC190" s="43">
        <f>BC130+BC159</f>
        <v/>
      </c>
      <c r="BD190" s="43">
        <f>BD130+BD159</f>
        <v/>
      </c>
    </row>
    <row r="191">
      <c r="A191" s="4" t="inlineStr"/>
      <c r="E191" s="33" t="inlineStr">
        <is>
          <t>&lt;=</t>
        </is>
      </c>
      <c r="F191" s="33" t="inlineStr">
        <is>
          <t>&lt;=</t>
        </is>
      </c>
      <c r="G191" s="33" t="inlineStr">
        <is>
          <t>&lt;=</t>
        </is>
      </c>
      <c r="H191" s="33" t="inlineStr">
        <is>
          <t>&lt;=</t>
        </is>
      </c>
      <c r="I191" s="33" t="inlineStr">
        <is>
          <t>&lt;=</t>
        </is>
      </c>
      <c r="J191" s="33" t="inlineStr">
        <is>
          <t>&lt;=</t>
        </is>
      </c>
      <c r="K191" s="33" t="inlineStr">
        <is>
          <t>&lt;=</t>
        </is>
      </c>
      <c r="L191" s="33" t="inlineStr">
        <is>
          <t>&lt;=</t>
        </is>
      </c>
      <c r="M191" s="33" t="inlineStr">
        <is>
          <t>&lt;=</t>
        </is>
      </c>
      <c r="N191" s="33" t="inlineStr">
        <is>
          <t>&lt;=</t>
        </is>
      </c>
      <c r="O191" s="33" t="inlineStr">
        <is>
          <t>&lt;=</t>
        </is>
      </c>
      <c r="P191" s="33" t="inlineStr">
        <is>
          <t>&lt;=</t>
        </is>
      </c>
      <c r="Q191" s="33" t="inlineStr">
        <is>
          <t>&lt;=</t>
        </is>
      </c>
      <c r="R191" s="33" t="inlineStr">
        <is>
          <t>&lt;=</t>
        </is>
      </c>
      <c r="S191" s="33" t="inlineStr">
        <is>
          <t>&lt;=</t>
        </is>
      </c>
      <c r="T191" s="33" t="inlineStr">
        <is>
          <t>&lt;=</t>
        </is>
      </c>
      <c r="U191" s="33" t="inlineStr">
        <is>
          <t>&lt;=</t>
        </is>
      </c>
      <c r="V191" s="33" t="inlineStr">
        <is>
          <t>&lt;=</t>
        </is>
      </c>
      <c r="W191" s="33" t="inlineStr">
        <is>
          <t>&lt;=</t>
        </is>
      </c>
      <c r="X191" s="33" t="inlineStr">
        <is>
          <t>&lt;=</t>
        </is>
      </c>
      <c r="Y191" s="33" t="inlineStr">
        <is>
          <t>&lt;=</t>
        </is>
      </c>
      <c r="Z191" s="33" t="inlineStr">
        <is>
          <t>&lt;=</t>
        </is>
      </c>
      <c r="AA191" s="33" t="inlineStr">
        <is>
          <t>&lt;=</t>
        </is>
      </c>
      <c r="AB191" s="33" t="inlineStr">
        <is>
          <t>&lt;=</t>
        </is>
      </c>
      <c r="AC191" s="33" t="inlineStr">
        <is>
          <t>&lt;=</t>
        </is>
      </c>
      <c r="AD191" s="33" t="inlineStr">
        <is>
          <t>&lt;=</t>
        </is>
      </c>
      <c r="AE191" s="33" t="inlineStr">
        <is>
          <t>&lt;=</t>
        </is>
      </c>
      <c r="AF191" s="33" t="inlineStr">
        <is>
          <t>&lt;=</t>
        </is>
      </c>
      <c r="AG191" s="33" t="inlineStr">
        <is>
          <t>&lt;=</t>
        </is>
      </c>
      <c r="AH191" s="33" t="inlineStr">
        <is>
          <t>&lt;=</t>
        </is>
      </c>
      <c r="AI191" s="33" t="inlineStr">
        <is>
          <t>&lt;=</t>
        </is>
      </c>
      <c r="AJ191" s="33" t="inlineStr">
        <is>
          <t>&lt;=</t>
        </is>
      </c>
      <c r="AK191" s="33" t="inlineStr">
        <is>
          <t>&lt;=</t>
        </is>
      </c>
      <c r="AL191" s="33" t="inlineStr">
        <is>
          <t>&lt;=</t>
        </is>
      </c>
      <c r="AM191" s="33" t="inlineStr">
        <is>
          <t>&lt;=</t>
        </is>
      </c>
      <c r="AN191" s="33" t="inlineStr">
        <is>
          <t>&lt;=</t>
        </is>
      </c>
      <c r="AO191" s="33" t="inlineStr">
        <is>
          <t>&lt;=</t>
        </is>
      </c>
      <c r="AP191" s="33" t="inlineStr">
        <is>
          <t>&lt;=</t>
        </is>
      </c>
      <c r="AQ191" s="33" t="inlineStr">
        <is>
          <t>&lt;=</t>
        </is>
      </c>
      <c r="AR191" s="33" t="inlineStr">
        <is>
          <t>&lt;=</t>
        </is>
      </c>
      <c r="AS191" s="33" t="inlineStr">
        <is>
          <t>&lt;=</t>
        </is>
      </c>
      <c r="AT191" s="33" t="inlineStr">
        <is>
          <t>&lt;=</t>
        </is>
      </c>
      <c r="AU191" s="33" t="inlineStr">
        <is>
          <t>&lt;=</t>
        </is>
      </c>
      <c r="AV191" s="33" t="inlineStr">
        <is>
          <t>&lt;=</t>
        </is>
      </c>
      <c r="AW191" s="33" t="inlineStr">
        <is>
          <t>&lt;=</t>
        </is>
      </c>
      <c r="AX191" s="33" t="inlineStr">
        <is>
          <t>&lt;=</t>
        </is>
      </c>
      <c r="AY191" s="33" t="inlineStr">
        <is>
          <t>&lt;=</t>
        </is>
      </c>
      <c r="AZ191" s="33" t="inlineStr">
        <is>
          <t>&lt;=</t>
        </is>
      </c>
      <c r="BA191" s="33" t="inlineStr">
        <is>
          <t>&lt;=</t>
        </is>
      </c>
      <c r="BB191" s="33" t="inlineStr">
        <is>
          <t>&lt;=</t>
        </is>
      </c>
      <c r="BC191" s="33" t="inlineStr">
        <is>
          <t>&lt;=</t>
        </is>
      </c>
      <c r="BD191" s="33" t="inlineStr">
        <is>
          <t>&lt;=</t>
        </is>
      </c>
    </row>
    <row r="192">
      <c r="A192" s="4" t="inlineStr">
        <is>
          <t xml:space="preserve">  limit</t>
        </is>
      </c>
      <c r="B192" s="2" t="inlineStr">
        <is>
          <t>cap</t>
        </is>
      </c>
      <c r="E192" s="32">
        <f>$B$6</f>
        <v/>
      </c>
      <c r="F192" s="32">
        <f>$B$6</f>
        <v/>
      </c>
      <c r="G192" s="32">
        <f>$B$6</f>
        <v/>
      </c>
      <c r="H192" s="32">
        <f>$B$6</f>
        <v/>
      </c>
      <c r="I192" s="32">
        <f>$B$6</f>
        <v/>
      </c>
      <c r="J192" s="32">
        <f>$B$6</f>
        <v/>
      </c>
      <c r="K192" s="32">
        <f>$B$6</f>
        <v/>
      </c>
      <c r="L192" s="32">
        <f>$B$6</f>
        <v/>
      </c>
      <c r="M192" s="32">
        <f>$B$6</f>
        <v/>
      </c>
      <c r="N192" s="32">
        <f>$B$6</f>
        <v/>
      </c>
      <c r="O192" s="32">
        <f>$B$6</f>
        <v/>
      </c>
      <c r="P192" s="32">
        <f>$B$6</f>
        <v/>
      </c>
      <c r="Q192" s="32">
        <f>$B$6</f>
        <v/>
      </c>
      <c r="R192" s="32">
        <f>$B$6</f>
        <v/>
      </c>
      <c r="S192" s="32">
        <f>$B$6</f>
        <v/>
      </c>
      <c r="T192" s="32">
        <f>$B$6</f>
        <v/>
      </c>
      <c r="U192" s="32">
        <f>$B$6</f>
        <v/>
      </c>
      <c r="V192" s="32">
        <f>$B$6</f>
        <v/>
      </c>
      <c r="W192" s="32">
        <f>$B$6</f>
        <v/>
      </c>
      <c r="X192" s="32">
        <f>$B$6</f>
        <v/>
      </c>
      <c r="Y192" s="32">
        <f>$B$6</f>
        <v/>
      </c>
      <c r="Z192" s="32">
        <f>$B$6</f>
        <v/>
      </c>
      <c r="AA192" s="32">
        <f>$B$6</f>
        <v/>
      </c>
      <c r="AB192" s="32">
        <f>$B$6</f>
        <v/>
      </c>
      <c r="AC192" s="32">
        <f>$B$6</f>
        <v/>
      </c>
      <c r="AD192" s="32">
        <f>$B$6</f>
        <v/>
      </c>
      <c r="AE192" s="32">
        <f>$B$6</f>
        <v/>
      </c>
      <c r="AF192" s="32">
        <f>$B$6</f>
        <v/>
      </c>
      <c r="AG192" s="32">
        <f>$B$6</f>
        <v/>
      </c>
      <c r="AH192" s="32">
        <f>$B$6</f>
        <v/>
      </c>
      <c r="AI192" s="32">
        <f>$B$6</f>
        <v/>
      </c>
      <c r="AJ192" s="32">
        <f>$B$6</f>
        <v/>
      </c>
      <c r="AK192" s="32">
        <f>$B$6</f>
        <v/>
      </c>
      <c r="AL192" s="32">
        <f>$B$6</f>
        <v/>
      </c>
      <c r="AM192" s="32">
        <f>$B$6</f>
        <v/>
      </c>
      <c r="AN192" s="32">
        <f>$B$6</f>
        <v/>
      </c>
      <c r="AO192" s="32">
        <f>$B$6</f>
        <v/>
      </c>
      <c r="AP192" s="32">
        <f>$B$6</f>
        <v/>
      </c>
      <c r="AQ192" s="32">
        <f>$B$6</f>
        <v/>
      </c>
      <c r="AR192" s="32">
        <f>$B$6</f>
        <v/>
      </c>
      <c r="AS192" s="32">
        <f>$B$6</f>
        <v/>
      </c>
      <c r="AT192" s="32">
        <f>$B$6</f>
        <v/>
      </c>
      <c r="AU192" s="32">
        <f>$B$6</f>
        <v/>
      </c>
      <c r="AV192" s="32">
        <f>$B$6</f>
        <v/>
      </c>
      <c r="AW192" s="32">
        <f>$B$6</f>
        <v/>
      </c>
      <c r="AX192" s="32">
        <f>$B$6</f>
        <v/>
      </c>
      <c r="AY192" s="32">
        <f>$B$6</f>
        <v/>
      </c>
      <c r="AZ192" s="32">
        <f>$B$6</f>
        <v/>
      </c>
      <c r="BA192" s="32">
        <f>$B$6</f>
        <v/>
      </c>
      <c r="BB192" s="32">
        <f>$B$6</f>
        <v/>
      </c>
      <c r="BC192" s="32">
        <f>$B$6</f>
        <v/>
      </c>
      <c r="BD192" s="32">
        <f>$B$6</f>
        <v/>
      </c>
    </row>
    <row r="193">
      <c r="A193" s="25" t="inlineStr">
        <is>
          <t xml:space="preserve">  room left</t>
        </is>
      </c>
      <c r="E193" s="32">
        <f>$B$6-E190</f>
        <v/>
      </c>
      <c r="F193" s="32">
        <f>$B$6-F190</f>
        <v/>
      </c>
      <c r="G193" s="32">
        <f>$B$6-G190</f>
        <v/>
      </c>
      <c r="H193" s="32">
        <f>$B$6-H190</f>
        <v/>
      </c>
      <c r="I193" s="32">
        <f>$B$6-I190</f>
        <v/>
      </c>
      <c r="J193" s="32">
        <f>$B$6-J190</f>
        <v/>
      </c>
      <c r="K193" s="32">
        <f>$B$6-K190</f>
        <v/>
      </c>
      <c r="L193" s="32">
        <f>$B$6-L190</f>
        <v/>
      </c>
      <c r="M193" s="32">
        <f>$B$6-M190</f>
        <v/>
      </c>
      <c r="N193" s="32">
        <f>$B$6-N190</f>
        <v/>
      </c>
      <c r="O193" s="32">
        <f>$B$6-O190</f>
        <v/>
      </c>
      <c r="P193" s="32">
        <f>$B$6-P190</f>
        <v/>
      </c>
      <c r="Q193" s="32">
        <f>$B$6-Q190</f>
        <v/>
      </c>
      <c r="R193" s="32">
        <f>$B$6-R190</f>
        <v/>
      </c>
      <c r="S193" s="32">
        <f>$B$6-S190</f>
        <v/>
      </c>
      <c r="T193" s="32">
        <f>$B$6-T190</f>
        <v/>
      </c>
      <c r="U193" s="32">
        <f>$B$6-U190</f>
        <v/>
      </c>
      <c r="V193" s="32">
        <f>$B$6-V190</f>
        <v/>
      </c>
      <c r="W193" s="32">
        <f>$B$6-W190</f>
        <v/>
      </c>
      <c r="X193" s="32">
        <f>$B$6-X190</f>
        <v/>
      </c>
      <c r="Y193" s="32">
        <f>$B$6-Y190</f>
        <v/>
      </c>
      <c r="Z193" s="32">
        <f>$B$6-Z190</f>
        <v/>
      </c>
      <c r="AA193" s="32">
        <f>$B$6-AA190</f>
        <v/>
      </c>
      <c r="AB193" s="32">
        <f>$B$6-AB190</f>
        <v/>
      </c>
      <c r="AC193" s="32">
        <f>$B$6-AC190</f>
        <v/>
      </c>
      <c r="AD193" s="32">
        <f>$B$6-AD190</f>
        <v/>
      </c>
      <c r="AE193" s="32">
        <f>$B$6-AE190</f>
        <v/>
      </c>
      <c r="AF193" s="32">
        <f>$B$6-AF190</f>
        <v/>
      </c>
      <c r="AG193" s="32">
        <f>$B$6-AG190</f>
        <v/>
      </c>
      <c r="AH193" s="32">
        <f>$B$6-AH190</f>
        <v/>
      </c>
      <c r="AI193" s="32">
        <f>$B$6-AI190</f>
        <v/>
      </c>
      <c r="AJ193" s="32">
        <f>$B$6-AJ190</f>
        <v/>
      </c>
      <c r="AK193" s="32">
        <f>$B$6-AK190</f>
        <v/>
      </c>
      <c r="AL193" s="32">
        <f>$B$6-AL190</f>
        <v/>
      </c>
      <c r="AM193" s="32">
        <f>$B$6-AM190</f>
        <v/>
      </c>
      <c r="AN193" s="32">
        <f>$B$6-AN190</f>
        <v/>
      </c>
      <c r="AO193" s="32">
        <f>$B$6-AO190</f>
        <v/>
      </c>
      <c r="AP193" s="32">
        <f>$B$6-AP190</f>
        <v/>
      </c>
      <c r="AQ193" s="32">
        <f>$B$6-AQ190</f>
        <v/>
      </c>
      <c r="AR193" s="32">
        <f>$B$6-AR190</f>
        <v/>
      </c>
      <c r="AS193" s="32">
        <f>$B$6-AS190</f>
        <v/>
      </c>
      <c r="AT193" s="32">
        <f>$B$6-AT190</f>
        <v/>
      </c>
      <c r="AU193" s="32">
        <f>$B$6-AU190</f>
        <v/>
      </c>
      <c r="AV193" s="32">
        <f>$B$6-AV190</f>
        <v/>
      </c>
      <c r="AW193" s="32">
        <f>$B$6-AW190</f>
        <v/>
      </c>
      <c r="AX193" s="32">
        <f>$B$6-AX190</f>
        <v/>
      </c>
      <c r="AY193" s="32">
        <f>$B$6-AY190</f>
        <v/>
      </c>
      <c r="AZ193" s="32">
        <f>$B$6-AZ190</f>
        <v/>
      </c>
      <c r="BA193" s="32">
        <f>$B$6-BA190</f>
        <v/>
      </c>
      <c r="BB193" s="32">
        <f>$B$6-BB190</f>
        <v/>
      </c>
      <c r="BC193" s="32">
        <f>$B$6-BC190</f>
        <v/>
      </c>
      <c r="BD193" s="32">
        <f>$B$6-BD190</f>
        <v/>
      </c>
    </row>
    <row r="194">
      <c r="A194" s="2" t="inlineStr">
        <is>
          <t xml:space="preserve">   Holds Spinach, Kale.</t>
        </is>
      </c>
    </row>
    <row r="196">
      <c r="A196" s="20" t="inlineStr">
        <is>
          <t>Week</t>
        </is>
      </c>
      <c r="B196" s="31" t="inlineStr">
        <is>
          <t>m3</t>
        </is>
      </c>
      <c r="E196" s="23" t="n">
        <v>1</v>
      </c>
      <c r="F196" s="23" t="n">
        <v>2</v>
      </c>
      <c r="G196" s="23" t="n">
        <v>3</v>
      </c>
      <c r="H196" s="23" t="n">
        <v>4</v>
      </c>
      <c r="I196" s="23" t="n">
        <v>5</v>
      </c>
      <c r="J196" s="23" t="n">
        <v>6</v>
      </c>
      <c r="K196" s="23" t="n">
        <v>7</v>
      </c>
      <c r="L196" s="23" t="n">
        <v>8</v>
      </c>
      <c r="M196" s="23" t="n">
        <v>9</v>
      </c>
      <c r="N196" s="23" t="n">
        <v>10</v>
      </c>
      <c r="O196" s="23" t="n">
        <v>11</v>
      </c>
      <c r="P196" s="23" t="n">
        <v>12</v>
      </c>
      <c r="Q196" s="23" t="n">
        <v>13</v>
      </c>
      <c r="R196" s="23" t="n">
        <v>14</v>
      </c>
      <c r="S196" s="23" t="n">
        <v>15</v>
      </c>
      <c r="T196" s="23" t="n">
        <v>16</v>
      </c>
      <c r="U196" s="23" t="n">
        <v>17</v>
      </c>
      <c r="V196" s="23" t="n">
        <v>18</v>
      </c>
      <c r="W196" s="23" t="n">
        <v>19</v>
      </c>
      <c r="X196" s="23" t="n">
        <v>20</v>
      </c>
      <c r="Y196" s="23" t="n">
        <v>21</v>
      </c>
      <c r="Z196" s="23" t="n">
        <v>22</v>
      </c>
      <c r="AA196" s="23" t="n">
        <v>23</v>
      </c>
      <c r="AB196" s="23" t="n">
        <v>24</v>
      </c>
      <c r="AC196" s="23" t="n">
        <v>25</v>
      </c>
      <c r="AD196" s="23" t="n">
        <v>26</v>
      </c>
      <c r="AE196" s="23" t="n">
        <v>27</v>
      </c>
      <c r="AF196" s="23" t="n">
        <v>28</v>
      </c>
      <c r="AG196" s="23" t="n">
        <v>29</v>
      </c>
      <c r="AH196" s="23" t="n">
        <v>30</v>
      </c>
      <c r="AI196" s="23" t="n">
        <v>31</v>
      </c>
      <c r="AJ196" s="23" t="n">
        <v>32</v>
      </c>
      <c r="AK196" s="23" t="n">
        <v>33</v>
      </c>
      <c r="AL196" s="23" t="n">
        <v>34</v>
      </c>
      <c r="AM196" s="23" t="n">
        <v>35</v>
      </c>
      <c r="AN196" s="23" t="n">
        <v>36</v>
      </c>
      <c r="AO196" s="23" t="n">
        <v>37</v>
      </c>
      <c r="AP196" s="23" t="n">
        <v>38</v>
      </c>
      <c r="AQ196" s="23" t="n">
        <v>39</v>
      </c>
      <c r="AR196" s="23" t="n">
        <v>40</v>
      </c>
      <c r="AS196" s="23" t="n">
        <v>41</v>
      </c>
      <c r="AT196" s="23" t="n">
        <v>42</v>
      </c>
      <c r="AU196" s="23" t="n">
        <v>43</v>
      </c>
      <c r="AV196" s="23" t="n">
        <v>44</v>
      </c>
      <c r="AW196" s="23" t="n">
        <v>45</v>
      </c>
      <c r="AX196" s="23" t="n">
        <v>46</v>
      </c>
      <c r="AY196" s="23" t="n">
        <v>47</v>
      </c>
      <c r="AZ196" s="23" t="n">
        <v>48</v>
      </c>
      <c r="BA196" s="23" t="n">
        <v>49</v>
      </c>
      <c r="BB196" s="23" t="n">
        <v>50</v>
      </c>
      <c r="BC196" s="23" t="n">
        <v>51</v>
      </c>
      <c r="BD196" s="23" t="n">
        <v>52</v>
      </c>
    </row>
    <row r="197">
      <c r="A197" s="49" t="inlineStr">
        <is>
          <t>AMBIENT STORE</t>
        </is>
      </c>
      <c r="B197" s="2" t="inlineStr">
        <is>
          <t>used</t>
        </is>
      </c>
      <c r="E197" s="47">
        <f>E186</f>
        <v/>
      </c>
      <c r="F197" s="47">
        <f>F186</f>
        <v/>
      </c>
      <c r="G197" s="47">
        <f>G186</f>
        <v/>
      </c>
      <c r="H197" s="47">
        <f>H186</f>
        <v/>
      </c>
      <c r="I197" s="47">
        <f>I186</f>
        <v/>
      </c>
      <c r="J197" s="47">
        <f>J186</f>
        <v/>
      </c>
      <c r="K197" s="47">
        <f>K186</f>
        <v/>
      </c>
      <c r="L197" s="47">
        <f>L186</f>
        <v/>
      </c>
      <c r="M197" s="47">
        <f>M186</f>
        <v/>
      </c>
      <c r="N197" s="47">
        <f>N186</f>
        <v/>
      </c>
      <c r="O197" s="47">
        <f>O186</f>
        <v/>
      </c>
      <c r="P197" s="47">
        <f>P186</f>
        <v/>
      </c>
      <c r="Q197" s="47">
        <f>Q186</f>
        <v/>
      </c>
      <c r="R197" s="47">
        <f>R186</f>
        <v/>
      </c>
      <c r="S197" s="47">
        <f>S186</f>
        <v/>
      </c>
      <c r="T197" s="47">
        <f>T186</f>
        <v/>
      </c>
      <c r="U197" s="47">
        <f>U186</f>
        <v/>
      </c>
      <c r="V197" s="47">
        <f>V186</f>
        <v/>
      </c>
      <c r="W197" s="47">
        <f>W186</f>
        <v/>
      </c>
      <c r="X197" s="47">
        <f>X186</f>
        <v/>
      </c>
      <c r="Y197" s="47">
        <f>Y186</f>
        <v/>
      </c>
      <c r="Z197" s="47">
        <f>Z186</f>
        <v/>
      </c>
      <c r="AA197" s="47">
        <f>AA186</f>
        <v/>
      </c>
      <c r="AB197" s="47">
        <f>AB186</f>
        <v/>
      </c>
      <c r="AC197" s="47">
        <f>AC186</f>
        <v/>
      </c>
      <c r="AD197" s="47">
        <f>AD186</f>
        <v/>
      </c>
      <c r="AE197" s="47">
        <f>AE186</f>
        <v/>
      </c>
      <c r="AF197" s="47">
        <f>AF186</f>
        <v/>
      </c>
      <c r="AG197" s="47">
        <f>AG186</f>
        <v/>
      </c>
      <c r="AH197" s="47">
        <f>AH186</f>
        <v/>
      </c>
      <c r="AI197" s="47">
        <f>AI186</f>
        <v/>
      </c>
      <c r="AJ197" s="47">
        <f>AJ186</f>
        <v/>
      </c>
      <c r="AK197" s="47">
        <f>AK186</f>
        <v/>
      </c>
      <c r="AL197" s="47">
        <f>AL186</f>
        <v/>
      </c>
      <c r="AM197" s="47">
        <f>AM186</f>
        <v/>
      </c>
      <c r="AN197" s="47">
        <f>AN186</f>
        <v/>
      </c>
      <c r="AO197" s="47">
        <f>AO186</f>
        <v/>
      </c>
      <c r="AP197" s="47">
        <f>AP186</f>
        <v/>
      </c>
      <c r="AQ197" s="47">
        <f>AQ186</f>
        <v/>
      </c>
      <c r="AR197" s="47">
        <f>AR186</f>
        <v/>
      </c>
      <c r="AS197" s="47">
        <f>AS186</f>
        <v/>
      </c>
      <c r="AT197" s="47">
        <f>AT186</f>
        <v/>
      </c>
      <c r="AU197" s="47">
        <f>AU186</f>
        <v/>
      </c>
      <c r="AV197" s="47">
        <f>AV186</f>
        <v/>
      </c>
      <c r="AW197" s="47">
        <f>AW186</f>
        <v/>
      </c>
      <c r="AX197" s="47">
        <f>AX186</f>
        <v/>
      </c>
      <c r="AY197" s="47">
        <f>AY186</f>
        <v/>
      </c>
      <c r="AZ197" s="47">
        <f>AZ186</f>
        <v/>
      </c>
      <c r="BA197" s="47">
        <f>BA186</f>
        <v/>
      </c>
      <c r="BB197" s="47">
        <f>BB186</f>
        <v/>
      </c>
      <c r="BC197" s="47">
        <f>BC186</f>
        <v/>
      </c>
      <c r="BD197" s="47">
        <f>BD186</f>
        <v/>
      </c>
    </row>
    <row r="198">
      <c r="A198" s="4" t="inlineStr"/>
      <c r="E198" s="33" t="inlineStr">
        <is>
          <t>&lt;=</t>
        </is>
      </c>
      <c r="F198" s="33" t="inlineStr">
        <is>
          <t>&lt;=</t>
        </is>
      </c>
      <c r="G198" s="33" t="inlineStr">
        <is>
          <t>&lt;=</t>
        </is>
      </c>
      <c r="H198" s="33" t="inlineStr">
        <is>
          <t>&lt;=</t>
        </is>
      </c>
      <c r="I198" s="33" t="inlineStr">
        <is>
          <t>&lt;=</t>
        </is>
      </c>
      <c r="J198" s="33" t="inlineStr">
        <is>
          <t>&lt;=</t>
        </is>
      </c>
      <c r="K198" s="33" t="inlineStr">
        <is>
          <t>&lt;=</t>
        </is>
      </c>
      <c r="L198" s="33" t="inlineStr">
        <is>
          <t>&lt;=</t>
        </is>
      </c>
      <c r="M198" s="33" t="inlineStr">
        <is>
          <t>&lt;=</t>
        </is>
      </c>
      <c r="N198" s="33" t="inlineStr">
        <is>
          <t>&lt;=</t>
        </is>
      </c>
      <c r="O198" s="33" t="inlineStr">
        <is>
          <t>&lt;=</t>
        </is>
      </c>
      <c r="P198" s="33" t="inlineStr">
        <is>
          <t>&lt;=</t>
        </is>
      </c>
      <c r="Q198" s="33" t="inlineStr">
        <is>
          <t>&lt;=</t>
        </is>
      </c>
      <c r="R198" s="33" t="inlineStr">
        <is>
          <t>&lt;=</t>
        </is>
      </c>
      <c r="S198" s="33" t="inlineStr">
        <is>
          <t>&lt;=</t>
        </is>
      </c>
      <c r="T198" s="33" t="inlineStr">
        <is>
          <t>&lt;=</t>
        </is>
      </c>
      <c r="U198" s="33" t="inlineStr">
        <is>
          <t>&lt;=</t>
        </is>
      </c>
      <c r="V198" s="33" t="inlineStr">
        <is>
          <t>&lt;=</t>
        </is>
      </c>
      <c r="W198" s="33" t="inlineStr">
        <is>
          <t>&lt;=</t>
        </is>
      </c>
      <c r="X198" s="33" t="inlineStr">
        <is>
          <t>&lt;=</t>
        </is>
      </c>
      <c r="Y198" s="33" t="inlineStr">
        <is>
          <t>&lt;=</t>
        </is>
      </c>
      <c r="Z198" s="33" t="inlineStr">
        <is>
          <t>&lt;=</t>
        </is>
      </c>
      <c r="AA198" s="33" t="inlineStr">
        <is>
          <t>&lt;=</t>
        </is>
      </c>
      <c r="AB198" s="33" t="inlineStr">
        <is>
          <t>&lt;=</t>
        </is>
      </c>
      <c r="AC198" s="33" t="inlineStr">
        <is>
          <t>&lt;=</t>
        </is>
      </c>
      <c r="AD198" s="33" t="inlineStr">
        <is>
          <t>&lt;=</t>
        </is>
      </c>
      <c r="AE198" s="33" t="inlineStr">
        <is>
          <t>&lt;=</t>
        </is>
      </c>
      <c r="AF198" s="33" t="inlineStr">
        <is>
          <t>&lt;=</t>
        </is>
      </c>
      <c r="AG198" s="33" t="inlineStr">
        <is>
          <t>&lt;=</t>
        </is>
      </c>
      <c r="AH198" s="33" t="inlineStr">
        <is>
          <t>&lt;=</t>
        </is>
      </c>
      <c r="AI198" s="33" t="inlineStr">
        <is>
          <t>&lt;=</t>
        </is>
      </c>
      <c r="AJ198" s="33" t="inlineStr">
        <is>
          <t>&lt;=</t>
        </is>
      </c>
      <c r="AK198" s="33" t="inlineStr">
        <is>
          <t>&lt;=</t>
        </is>
      </c>
      <c r="AL198" s="33" t="inlineStr">
        <is>
          <t>&lt;=</t>
        </is>
      </c>
      <c r="AM198" s="33" t="inlineStr">
        <is>
          <t>&lt;=</t>
        </is>
      </c>
      <c r="AN198" s="33" t="inlineStr">
        <is>
          <t>&lt;=</t>
        </is>
      </c>
      <c r="AO198" s="33" t="inlineStr">
        <is>
          <t>&lt;=</t>
        </is>
      </c>
      <c r="AP198" s="33" t="inlineStr">
        <is>
          <t>&lt;=</t>
        </is>
      </c>
      <c r="AQ198" s="33" t="inlineStr">
        <is>
          <t>&lt;=</t>
        </is>
      </c>
      <c r="AR198" s="33" t="inlineStr">
        <is>
          <t>&lt;=</t>
        </is>
      </c>
      <c r="AS198" s="33" t="inlineStr">
        <is>
          <t>&lt;=</t>
        </is>
      </c>
      <c r="AT198" s="33" t="inlineStr">
        <is>
          <t>&lt;=</t>
        </is>
      </c>
      <c r="AU198" s="33" t="inlineStr">
        <is>
          <t>&lt;=</t>
        </is>
      </c>
      <c r="AV198" s="33" t="inlineStr">
        <is>
          <t>&lt;=</t>
        </is>
      </c>
      <c r="AW198" s="33" t="inlineStr">
        <is>
          <t>&lt;=</t>
        </is>
      </c>
      <c r="AX198" s="33" t="inlineStr">
        <is>
          <t>&lt;=</t>
        </is>
      </c>
      <c r="AY198" s="33" t="inlineStr">
        <is>
          <t>&lt;=</t>
        </is>
      </c>
      <c r="AZ198" s="33" t="inlineStr">
        <is>
          <t>&lt;=</t>
        </is>
      </c>
      <c r="BA198" s="33" t="inlineStr">
        <is>
          <t>&lt;=</t>
        </is>
      </c>
      <c r="BB198" s="33" t="inlineStr">
        <is>
          <t>&lt;=</t>
        </is>
      </c>
      <c r="BC198" s="33" t="inlineStr">
        <is>
          <t>&lt;=</t>
        </is>
      </c>
      <c r="BD198" s="33" t="inlineStr">
        <is>
          <t>&lt;=</t>
        </is>
      </c>
    </row>
    <row r="199">
      <c r="A199" s="4" t="inlineStr">
        <is>
          <t xml:space="preserve">  limit</t>
        </is>
      </c>
      <c r="B199" s="2" t="inlineStr">
        <is>
          <t>cap</t>
        </is>
      </c>
      <c r="E199" s="32">
        <f>$B$7</f>
        <v/>
      </c>
      <c r="F199" s="32">
        <f>$B$7</f>
        <v/>
      </c>
      <c r="G199" s="32">
        <f>$B$7</f>
        <v/>
      </c>
      <c r="H199" s="32">
        <f>$B$7</f>
        <v/>
      </c>
      <c r="I199" s="32">
        <f>$B$7</f>
        <v/>
      </c>
      <c r="J199" s="32">
        <f>$B$7</f>
        <v/>
      </c>
      <c r="K199" s="32">
        <f>$B$7</f>
        <v/>
      </c>
      <c r="L199" s="32">
        <f>$B$7</f>
        <v/>
      </c>
      <c r="M199" s="32">
        <f>$B$7</f>
        <v/>
      </c>
      <c r="N199" s="32">
        <f>$B$7</f>
        <v/>
      </c>
      <c r="O199" s="32">
        <f>$B$7</f>
        <v/>
      </c>
      <c r="P199" s="32">
        <f>$B$7</f>
        <v/>
      </c>
      <c r="Q199" s="32">
        <f>$B$7</f>
        <v/>
      </c>
      <c r="R199" s="32">
        <f>$B$7</f>
        <v/>
      </c>
      <c r="S199" s="32">
        <f>$B$7</f>
        <v/>
      </c>
      <c r="T199" s="32">
        <f>$B$7</f>
        <v/>
      </c>
      <c r="U199" s="32">
        <f>$B$7</f>
        <v/>
      </c>
      <c r="V199" s="32">
        <f>$B$7</f>
        <v/>
      </c>
      <c r="W199" s="32">
        <f>$B$7</f>
        <v/>
      </c>
      <c r="X199" s="32">
        <f>$B$7</f>
        <v/>
      </c>
      <c r="Y199" s="32">
        <f>$B$7</f>
        <v/>
      </c>
      <c r="Z199" s="32">
        <f>$B$7</f>
        <v/>
      </c>
      <c r="AA199" s="32">
        <f>$B$7</f>
        <v/>
      </c>
      <c r="AB199" s="32">
        <f>$B$7</f>
        <v/>
      </c>
      <c r="AC199" s="32">
        <f>$B$7</f>
        <v/>
      </c>
      <c r="AD199" s="32">
        <f>$B$7</f>
        <v/>
      </c>
      <c r="AE199" s="32">
        <f>$B$7</f>
        <v/>
      </c>
      <c r="AF199" s="32">
        <f>$B$7</f>
        <v/>
      </c>
      <c r="AG199" s="32">
        <f>$B$7</f>
        <v/>
      </c>
      <c r="AH199" s="32">
        <f>$B$7</f>
        <v/>
      </c>
      <c r="AI199" s="32">
        <f>$B$7</f>
        <v/>
      </c>
      <c r="AJ199" s="32">
        <f>$B$7</f>
        <v/>
      </c>
      <c r="AK199" s="32">
        <f>$B$7</f>
        <v/>
      </c>
      <c r="AL199" s="32">
        <f>$B$7</f>
        <v/>
      </c>
      <c r="AM199" s="32">
        <f>$B$7</f>
        <v/>
      </c>
      <c r="AN199" s="32">
        <f>$B$7</f>
        <v/>
      </c>
      <c r="AO199" s="32">
        <f>$B$7</f>
        <v/>
      </c>
      <c r="AP199" s="32">
        <f>$B$7</f>
        <v/>
      </c>
      <c r="AQ199" s="32">
        <f>$B$7</f>
        <v/>
      </c>
      <c r="AR199" s="32">
        <f>$B$7</f>
        <v/>
      </c>
      <c r="AS199" s="32">
        <f>$B$7</f>
        <v/>
      </c>
      <c r="AT199" s="32">
        <f>$B$7</f>
        <v/>
      </c>
      <c r="AU199" s="32">
        <f>$B$7</f>
        <v/>
      </c>
      <c r="AV199" s="32">
        <f>$B$7</f>
        <v/>
      </c>
      <c r="AW199" s="32">
        <f>$B$7</f>
        <v/>
      </c>
      <c r="AX199" s="32">
        <f>$B$7</f>
        <v/>
      </c>
      <c r="AY199" s="32">
        <f>$B$7</f>
        <v/>
      </c>
      <c r="AZ199" s="32">
        <f>$B$7</f>
        <v/>
      </c>
      <c r="BA199" s="32">
        <f>$B$7</f>
        <v/>
      </c>
      <c r="BB199" s="32">
        <f>$B$7</f>
        <v/>
      </c>
      <c r="BC199" s="32">
        <f>$B$7</f>
        <v/>
      </c>
      <c r="BD199" s="32">
        <f>$B$7</f>
        <v/>
      </c>
    </row>
    <row r="200">
      <c r="A200" s="25" t="inlineStr">
        <is>
          <t xml:space="preserve">  room left</t>
        </is>
      </c>
      <c r="E200" s="32">
        <f>$B$7-E197</f>
        <v/>
      </c>
      <c r="F200" s="32">
        <f>$B$7-F197</f>
        <v/>
      </c>
      <c r="G200" s="32">
        <f>$B$7-G197</f>
        <v/>
      </c>
      <c r="H200" s="32">
        <f>$B$7-H197</f>
        <v/>
      </c>
      <c r="I200" s="32">
        <f>$B$7-I197</f>
        <v/>
      </c>
      <c r="J200" s="32">
        <f>$B$7-J197</f>
        <v/>
      </c>
      <c r="K200" s="32">
        <f>$B$7-K197</f>
        <v/>
      </c>
      <c r="L200" s="32">
        <f>$B$7-L197</f>
        <v/>
      </c>
      <c r="M200" s="32">
        <f>$B$7-M197</f>
        <v/>
      </c>
      <c r="N200" s="32">
        <f>$B$7-N197</f>
        <v/>
      </c>
      <c r="O200" s="32">
        <f>$B$7-O197</f>
        <v/>
      </c>
      <c r="P200" s="32">
        <f>$B$7-P197</f>
        <v/>
      </c>
      <c r="Q200" s="32">
        <f>$B$7-Q197</f>
        <v/>
      </c>
      <c r="R200" s="32">
        <f>$B$7-R197</f>
        <v/>
      </c>
      <c r="S200" s="32">
        <f>$B$7-S197</f>
        <v/>
      </c>
      <c r="T200" s="32">
        <f>$B$7-T197</f>
        <v/>
      </c>
      <c r="U200" s="32">
        <f>$B$7-U197</f>
        <v/>
      </c>
      <c r="V200" s="32">
        <f>$B$7-V197</f>
        <v/>
      </c>
      <c r="W200" s="32">
        <f>$B$7-W197</f>
        <v/>
      </c>
      <c r="X200" s="32">
        <f>$B$7-X197</f>
        <v/>
      </c>
      <c r="Y200" s="32">
        <f>$B$7-Y197</f>
        <v/>
      </c>
      <c r="Z200" s="32">
        <f>$B$7-Z197</f>
        <v/>
      </c>
      <c r="AA200" s="32">
        <f>$B$7-AA197</f>
        <v/>
      </c>
      <c r="AB200" s="32">
        <f>$B$7-AB197</f>
        <v/>
      </c>
      <c r="AC200" s="32">
        <f>$B$7-AC197</f>
        <v/>
      </c>
      <c r="AD200" s="32">
        <f>$B$7-AD197</f>
        <v/>
      </c>
      <c r="AE200" s="32">
        <f>$B$7-AE197</f>
        <v/>
      </c>
      <c r="AF200" s="32">
        <f>$B$7-AF197</f>
        <v/>
      </c>
      <c r="AG200" s="32">
        <f>$B$7-AG197</f>
        <v/>
      </c>
      <c r="AH200" s="32">
        <f>$B$7-AH197</f>
        <v/>
      </c>
      <c r="AI200" s="32">
        <f>$B$7-AI197</f>
        <v/>
      </c>
      <c r="AJ200" s="32">
        <f>$B$7-AJ197</f>
        <v/>
      </c>
      <c r="AK200" s="32">
        <f>$B$7-AK197</f>
        <v/>
      </c>
      <c r="AL200" s="32">
        <f>$B$7-AL197</f>
        <v/>
      </c>
      <c r="AM200" s="32">
        <f>$B$7-AM197</f>
        <v/>
      </c>
      <c r="AN200" s="32">
        <f>$B$7-AN197</f>
        <v/>
      </c>
      <c r="AO200" s="32">
        <f>$B$7-AO197</f>
        <v/>
      </c>
      <c r="AP200" s="32">
        <f>$B$7-AP197</f>
        <v/>
      </c>
      <c r="AQ200" s="32">
        <f>$B$7-AQ197</f>
        <v/>
      </c>
      <c r="AR200" s="32">
        <f>$B$7-AR197</f>
        <v/>
      </c>
      <c r="AS200" s="32">
        <f>$B$7-AS197</f>
        <v/>
      </c>
      <c r="AT200" s="32">
        <f>$B$7-AT197</f>
        <v/>
      </c>
      <c r="AU200" s="32">
        <f>$B$7-AU197</f>
        <v/>
      </c>
      <c r="AV200" s="32">
        <f>$B$7-AV197</f>
        <v/>
      </c>
      <c r="AW200" s="32">
        <f>$B$7-AW197</f>
        <v/>
      </c>
      <c r="AX200" s="32">
        <f>$B$7-AX197</f>
        <v/>
      </c>
      <c r="AY200" s="32">
        <f>$B$7-AY197</f>
        <v/>
      </c>
      <c r="AZ200" s="32">
        <f>$B$7-AZ197</f>
        <v/>
      </c>
      <c r="BA200" s="32">
        <f>$B$7-BA197</f>
        <v/>
      </c>
      <c r="BB200" s="32">
        <f>$B$7-BB197</f>
        <v/>
      </c>
      <c r="BC200" s="32">
        <f>$B$7-BC197</f>
        <v/>
      </c>
      <c r="BD200" s="32">
        <f>$B$7-BD197</f>
        <v/>
      </c>
    </row>
    <row r="201">
      <c r="A201" s="2" t="inlineStr">
        <is>
          <t xml:space="preserve">   Holds Garlic.</t>
        </is>
      </c>
    </row>
    <row r="203">
      <c r="A203" s="3" t="inlineStr">
        <is>
          <t>7 — CASH, WEEK BY WEEK</t>
        </is>
      </c>
    </row>
    <row r="204">
      <c r="A204" s="4" t="inlineStr">
        <is>
          <t>Opening cash</t>
        </is>
      </c>
      <c r="B204" s="14" t="n">
        <v>50000</v>
      </c>
      <c r="C204" s="2" t="inlineStr">
        <is>
          <t>what is in the bank on 1 January</t>
        </is>
      </c>
    </row>
    <row r="205">
      <c r="A205" s="4" t="inlineStr">
        <is>
          <t>Credit line</t>
        </is>
      </c>
      <c r="B205" s="14" t="n">
        <v>250000</v>
      </c>
      <c r="C205" s="2" t="inlineStr">
        <is>
          <t>how far below zero you may go</t>
        </is>
      </c>
    </row>
    <row r="206">
      <c r="A206" s="4" t="inlineStr">
        <is>
          <t>Fixed cost per week</t>
        </is>
      </c>
      <c r="B206" s="50">
        <f>$B$6*0.4807692307692308+$B$7*0.09615384615384616+$B$5*2.1367521367521367+1000+300*0.32051282051282054</f>
        <v/>
      </c>
      <c r="C206" s="2" t="inlineStr">
        <is>
          <t>cooler + barn depreciation, irrigation, machinery, equipment store — owed every week whether or not you plant</t>
        </is>
      </c>
    </row>
    <row r="207">
      <c r="A207" s="4" t="inlineStr">
        <is>
          <t>Overhead, % of revenue</t>
        </is>
      </c>
      <c r="B207" s="51" t="n">
        <v>0.16</v>
      </c>
      <c r="C207" s="2" t="inlineStr">
        <is>
          <t>insurance, admin, utilities — a share of what you sell</t>
        </is>
      </c>
    </row>
    <row r="209">
      <c r="A209" s="20" t="inlineStr">
        <is>
          <t>Week</t>
        </is>
      </c>
      <c r="B209" s="31" t="inlineStr">
        <is>
          <t>$</t>
        </is>
      </c>
      <c r="E209" s="23" t="n">
        <v>1</v>
      </c>
      <c r="F209" s="23" t="n">
        <v>2</v>
      </c>
      <c r="G209" s="23" t="n">
        <v>3</v>
      </c>
      <c r="H209" s="23" t="n">
        <v>4</v>
      </c>
      <c r="I209" s="23" t="n">
        <v>5</v>
      </c>
      <c r="J209" s="23" t="n">
        <v>6</v>
      </c>
      <c r="K209" s="23" t="n">
        <v>7</v>
      </c>
      <c r="L209" s="23" t="n">
        <v>8</v>
      </c>
      <c r="M209" s="23" t="n">
        <v>9</v>
      </c>
      <c r="N209" s="23" t="n">
        <v>10</v>
      </c>
      <c r="O209" s="23" t="n">
        <v>11</v>
      </c>
      <c r="P209" s="23" t="n">
        <v>12</v>
      </c>
      <c r="Q209" s="23" t="n">
        <v>13</v>
      </c>
      <c r="R209" s="23" t="n">
        <v>14</v>
      </c>
      <c r="S209" s="23" t="n">
        <v>15</v>
      </c>
      <c r="T209" s="23" t="n">
        <v>16</v>
      </c>
      <c r="U209" s="23" t="n">
        <v>17</v>
      </c>
      <c r="V209" s="23" t="n">
        <v>18</v>
      </c>
      <c r="W209" s="23" t="n">
        <v>19</v>
      </c>
      <c r="X209" s="23" t="n">
        <v>20</v>
      </c>
      <c r="Y209" s="23" t="n">
        <v>21</v>
      </c>
      <c r="Z209" s="23" t="n">
        <v>22</v>
      </c>
      <c r="AA209" s="23" t="n">
        <v>23</v>
      </c>
      <c r="AB209" s="23" t="n">
        <v>24</v>
      </c>
      <c r="AC209" s="23" t="n">
        <v>25</v>
      </c>
      <c r="AD209" s="23" t="n">
        <v>26</v>
      </c>
      <c r="AE209" s="23" t="n">
        <v>27</v>
      </c>
      <c r="AF209" s="23" t="n">
        <v>28</v>
      </c>
      <c r="AG209" s="23" t="n">
        <v>29</v>
      </c>
      <c r="AH209" s="23" t="n">
        <v>30</v>
      </c>
      <c r="AI209" s="23" t="n">
        <v>31</v>
      </c>
      <c r="AJ209" s="23" t="n">
        <v>32</v>
      </c>
      <c r="AK209" s="23" t="n">
        <v>33</v>
      </c>
      <c r="AL209" s="23" t="n">
        <v>34</v>
      </c>
      <c r="AM209" s="23" t="n">
        <v>35</v>
      </c>
      <c r="AN209" s="23" t="n">
        <v>36</v>
      </c>
      <c r="AO209" s="23" t="n">
        <v>37</v>
      </c>
      <c r="AP209" s="23" t="n">
        <v>38</v>
      </c>
      <c r="AQ209" s="23" t="n">
        <v>39</v>
      </c>
      <c r="AR209" s="23" t="n">
        <v>40</v>
      </c>
      <c r="AS209" s="23" t="n">
        <v>41</v>
      </c>
      <c r="AT209" s="23" t="n">
        <v>42</v>
      </c>
      <c r="AU209" s="23" t="n">
        <v>43</v>
      </c>
      <c r="AV209" s="23" t="n">
        <v>44</v>
      </c>
      <c r="AW209" s="23" t="n">
        <v>45</v>
      </c>
      <c r="AX209" s="23" t="n">
        <v>46</v>
      </c>
      <c r="AY209" s="23" t="n">
        <v>47</v>
      </c>
      <c r="AZ209" s="23" t="n">
        <v>48</v>
      </c>
      <c r="BA209" s="23" t="n">
        <v>49</v>
      </c>
      <c r="BB209" s="23" t="n">
        <v>50</v>
      </c>
      <c r="BC209" s="23" t="n">
        <v>51</v>
      </c>
      <c r="BD209" s="23" t="n">
        <v>52</v>
      </c>
    </row>
    <row r="210">
      <c r="A210" s="4" t="inlineStr">
        <is>
          <t>Revenue</t>
        </is>
      </c>
      <c r="B210" s="2" t="inlineStr">
        <is>
          <t>$</t>
        </is>
      </c>
      <c r="E210" s="35">
        <f>E113*$I$18+E119*$I$19+E140*$I$20+E148*$I$21+E169*$I$22+E175*$I$23</f>
        <v/>
      </c>
      <c r="F210" s="35">
        <f>F113*$I$18+F119*$I$19+F140*$I$20+F148*$I$21+F169*$I$22+F175*$I$23</f>
        <v/>
      </c>
      <c r="G210" s="35">
        <f>G113*$I$18+G119*$I$19+G140*$I$20+G148*$I$21+G169*$I$22+G175*$I$23</f>
        <v/>
      </c>
      <c r="H210" s="35">
        <f>H113*$I$18+H119*$I$19+H140*$I$20+H148*$I$21+H169*$I$22+H175*$I$23</f>
        <v/>
      </c>
      <c r="I210" s="35">
        <f>I113*$I$18+I119*$I$19+I140*$I$20+I148*$I$21+I169*$I$22+I175*$I$23</f>
        <v/>
      </c>
      <c r="J210" s="35">
        <f>J113*$I$18+J119*$I$19+J140*$I$20+J148*$I$21+J169*$I$22+J175*$I$23</f>
        <v/>
      </c>
      <c r="K210" s="35">
        <f>K113*$I$18+K119*$I$19+K140*$I$20+K148*$I$21+K169*$I$22+K175*$I$23</f>
        <v/>
      </c>
      <c r="L210" s="35">
        <f>L113*$I$18+L119*$I$19+L140*$I$20+L148*$I$21+L169*$I$22+L175*$I$23</f>
        <v/>
      </c>
      <c r="M210" s="35">
        <f>M113*$I$18+M119*$I$19+M140*$I$20+M148*$I$21+M169*$I$22+M175*$I$23</f>
        <v/>
      </c>
      <c r="N210" s="35">
        <f>N113*$I$18+N119*$I$19+N140*$I$20+N148*$I$21+N169*$I$22+N175*$I$23</f>
        <v/>
      </c>
      <c r="O210" s="35">
        <f>O113*$I$18+O119*$I$19+O140*$I$20+O148*$I$21+O169*$I$22+O175*$I$23</f>
        <v/>
      </c>
      <c r="P210" s="35">
        <f>P113*$I$18+P119*$I$19+P140*$I$20+P148*$I$21+P169*$I$22+P175*$I$23</f>
        <v/>
      </c>
      <c r="Q210" s="35">
        <f>Q113*$I$18+Q119*$I$19+Q140*$I$20+Q148*$I$21+Q169*$I$22+Q175*$I$23</f>
        <v/>
      </c>
      <c r="R210" s="35">
        <f>R113*$I$18+R119*$I$19+R140*$I$20+R148*$I$21+R169*$I$22+R175*$I$23</f>
        <v/>
      </c>
      <c r="S210" s="35">
        <f>S113*$I$18+S119*$I$19+S140*$I$20+S148*$I$21+S169*$I$22+S175*$I$23</f>
        <v/>
      </c>
      <c r="T210" s="35">
        <f>T113*$I$18+T119*$I$19+T140*$I$20+T148*$I$21+T169*$I$22+T175*$I$23</f>
        <v/>
      </c>
      <c r="U210" s="35">
        <f>U113*$I$18+U119*$I$19+U140*$I$20+U148*$I$21+U169*$I$22+U175*$I$23</f>
        <v/>
      </c>
      <c r="V210" s="35">
        <f>V113*$I$18+V119*$I$19+V140*$I$20+V148*$I$21+V169*$I$22+V175*$I$23</f>
        <v/>
      </c>
      <c r="W210" s="35">
        <f>W113*$I$18+W119*$I$19+W140*$I$20+W148*$I$21+W169*$I$22+W175*$I$23</f>
        <v/>
      </c>
      <c r="X210" s="35">
        <f>X113*$I$18+X119*$I$19+X140*$I$20+X148*$I$21+X169*$I$22+X175*$I$23</f>
        <v/>
      </c>
      <c r="Y210" s="35">
        <f>Y113*$I$18+Y119*$I$19+Y140*$I$20+Y148*$I$21+Y169*$I$22+Y175*$I$23</f>
        <v/>
      </c>
      <c r="Z210" s="35">
        <f>Z113*$I$18+Z119*$I$19+Z140*$I$20+Z148*$I$21+Z169*$I$22+Z175*$I$23</f>
        <v/>
      </c>
      <c r="AA210" s="35">
        <f>AA113*$I$18+AA119*$I$19+AA140*$I$20+AA148*$I$21+AA169*$I$22+AA175*$I$23</f>
        <v/>
      </c>
      <c r="AB210" s="35">
        <f>AB113*$I$18+AB119*$I$19+AB140*$I$20+AB148*$I$21+AB169*$I$22+AB175*$I$23</f>
        <v/>
      </c>
      <c r="AC210" s="35">
        <f>AC113*$I$18+AC119*$I$19+AC140*$I$20+AC148*$I$21+AC169*$I$22+AC175*$I$23</f>
        <v/>
      </c>
      <c r="AD210" s="35">
        <f>AD113*$I$18+AD119*$I$19+AD140*$I$20+AD148*$I$21+AD169*$I$22+AD175*$I$23</f>
        <v/>
      </c>
      <c r="AE210" s="35">
        <f>AE113*$I$18+AE119*$I$19+AE140*$I$20+AE148*$I$21+AE169*$I$22+AE175*$I$23</f>
        <v/>
      </c>
      <c r="AF210" s="35">
        <f>AF113*$I$18+AF119*$I$19+AF140*$I$20+AF148*$I$21+AF169*$I$22+AF175*$I$23</f>
        <v/>
      </c>
      <c r="AG210" s="35">
        <f>AG113*$I$18+AG119*$I$19+AG140*$I$20+AG148*$I$21+AG169*$I$22+AG175*$I$23</f>
        <v/>
      </c>
      <c r="AH210" s="35">
        <f>AH113*$I$18+AH119*$I$19+AH140*$I$20+AH148*$I$21+AH169*$I$22+AH175*$I$23</f>
        <v/>
      </c>
      <c r="AI210" s="35">
        <f>AI113*$I$18+AI119*$I$19+AI140*$I$20+AI148*$I$21+AI169*$I$22+AI175*$I$23</f>
        <v/>
      </c>
      <c r="AJ210" s="35">
        <f>AJ113*$I$18+AJ119*$I$19+AJ140*$I$20+AJ148*$I$21+AJ169*$I$22+AJ175*$I$23</f>
        <v/>
      </c>
      <c r="AK210" s="35">
        <f>AK113*$I$18+AK119*$I$19+AK140*$I$20+AK148*$I$21+AK169*$I$22+AK175*$I$23</f>
        <v/>
      </c>
      <c r="AL210" s="35">
        <f>AL113*$I$18+AL119*$I$19+AL140*$I$20+AL148*$I$21+AL169*$I$22+AL175*$I$23</f>
        <v/>
      </c>
      <c r="AM210" s="35">
        <f>AM113*$I$18+AM119*$I$19+AM140*$I$20+AM148*$I$21+AM169*$I$22+AM175*$I$23</f>
        <v/>
      </c>
      <c r="AN210" s="35">
        <f>AN113*$I$18+AN119*$I$19+AN140*$I$20+AN148*$I$21+AN169*$I$22+AN175*$I$23</f>
        <v/>
      </c>
      <c r="AO210" s="35">
        <f>AO113*$I$18+AO119*$I$19+AO140*$I$20+AO148*$I$21+AO169*$I$22+AO175*$I$23</f>
        <v/>
      </c>
      <c r="AP210" s="35">
        <f>AP113*$I$18+AP119*$I$19+AP140*$I$20+AP148*$I$21+AP169*$I$22+AP175*$I$23</f>
        <v/>
      </c>
      <c r="AQ210" s="35">
        <f>AQ113*$I$18+AQ119*$I$19+AQ140*$I$20+AQ148*$I$21+AQ169*$I$22+AQ175*$I$23</f>
        <v/>
      </c>
      <c r="AR210" s="35">
        <f>AR113*$I$18+AR119*$I$19+AR140*$I$20+AR148*$I$21+AR169*$I$22+AR175*$I$23</f>
        <v/>
      </c>
      <c r="AS210" s="35">
        <f>AS113*$I$18+AS119*$I$19+AS140*$I$20+AS148*$I$21+AS169*$I$22+AS175*$I$23</f>
        <v/>
      </c>
      <c r="AT210" s="35">
        <f>AT113*$I$18+AT119*$I$19+AT140*$I$20+AT148*$I$21+AT169*$I$22+AT175*$I$23</f>
        <v/>
      </c>
      <c r="AU210" s="35">
        <f>AU113*$I$18+AU119*$I$19+AU140*$I$20+AU148*$I$21+AU169*$I$22+AU175*$I$23</f>
        <v/>
      </c>
      <c r="AV210" s="35">
        <f>AV113*$I$18+AV119*$I$19+AV140*$I$20+AV148*$I$21+AV169*$I$22+AV175*$I$23</f>
        <v/>
      </c>
      <c r="AW210" s="35">
        <f>AW113*$I$18+AW119*$I$19+AW140*$I$20+AW148*$I$21+AW169*$I$22+AW175*$I$23</f>
        <v/>
      </c>
      <c r="AX210" s="35">
        <f>AX113*$I$18+AX119*$I$19+AX140*$I$20+AX148*$I$21+AX169*$I$22+AX175*$I$23</f>
        <v/>
      </c>
      <c r="AY210" s="35">
        <f>AY113*$I$18+AY119*$I$19+AY140*$I$20+AY148*$I$21+AY169*$I$22+AY175*$I$23</f>
        <v/>
      </c>
      <c r="AZ210" s="35">
        <f>AZ113*$I$18+AZ119*$I$19+AZ140*$I$20+AZ148*$I$21+AZ169*$I$22+AZ175*$I$23</f>
        <v/>
      </c>
      <c r="BA210" s="35">
        <f>BA113*$I$18+BA119*$I$19+BA140*$I$20+BA148*$I$21+BA169*$I$22+BA175*$I$23</f>
        <v/>
      </c>
      <c r="BB210" s="35">
        <f>BB113*$I$18+BB119*$I$19+BB140*$I$20+BB148*$I$21+BB169*$I$22+BB175*$I$23</f>
        <v/>
      </c>
      <c r="BC210" s="35">
        <f>BC113*$I$18+BC119*$I$19+BC140*$I$20+BC148*$I$21+BC169*$I$22+BC175*$I$23</f>
        <v/>
      </c>
      <c r="BD210" s="35">
        <f>BD113*$I$18+BD119*$I$19+BD140*$I$20+BD148*$I$21+BD169*$I$22+BD175*$I$23</f>
        <v/>
      </c>
    </row>
    <row r="211">
      <c r="A211" s="25" t="inlineStr">
        <is>
          <t xml:space="preserve">  packaging</t>
        </is>
      </c>
      <c r="B211" s="2" t="inlineStr">
        <is>
          <t>$</t>
        </is>
      </c>
      <c r="E211" s="35">
        <f>E129+E158+E185</f>
        <v/>
      </c>
      <c r="F211" s="35">
        <f>F129+F158+F185</f>
        <v/>
      </c>
      <c r="G211" s="35">
        <f>G129+G158+G185</f>
        <v/>
      </c>
      <c r="H211" s="35">
        <f>H129+H158+H185</f>
        <v/>
      </c>
      <c r="I211" s="35">
        <f>I129+I158+I185</f>
        <v/>
      </c>
      <c r="J211" s="35">
        <f>J129+J158+J185</f>
        <v/>
      </c>
      <c r="K211" s="35">
        <f>K129+K158+K185</f>
        <v/>
      </c>
      <c r="L211" s="35">
        <f>L129+L158+L185</f>
        <v/>
      </c>
      <c r="M211" s="35">
        <f>M129+M158+M185</f>
        <v/>
      </c>
      <c r="N211" s="35">
        <f>N129+N158+N185</f>
        <v/>
      </c>
      <c r="O211" s="35">
        <f>O129+O158+O185</f>
        <v/>
      </c>
      <c r="P211" s="35">
        <f>P129+P158+P185</f>
        <v/>
      </c>
      <c r="Q211" s="35">
        <f>Q129+Q158+Q185</f>
        <v/>
      </c>
      <c r="R211" s="35">
        <f>R129+R158+R185</f>
        <v/>
      </c>
      <c r="S211" s="35">
        <f>S129+S158+S185</f>
        <v/>
      </c>
      <c r="T211" s="35">
        <f>T129+T158+T185</f>
        <v/>
      </c>
      <c r="U211" s="35">
        <f>U129+U158+U185</f>
        <v/>
      </c>
      <c r="V211" s="35">
        <f>V129+V158+V185</f>
        <v/>
      </c>
      <c r="W211" s="35">
        <f>W129+W158+W185</f>
        <v/>
      </c>
      <c r="X211" s="35">
        <f>X129+X158+X185</f>
        <v/>
      </c>
      <c r="Y211" s="35">
        <f>Y129+Y158+Y185</f>
        <v/>
      </c>
      <c r="Z211" s="35">
        <f>Z129+Z158+Z185</f>
        <v/>
      </c>
      <c r="AA211" s="35">
        <f>AA129+AA158+AA185</f>
        <v/>
      </c>
      <c r="AB211" s="35">
        <f>AB129+AB158+AB185</f>
        <v/>
      </c>
      <c r="AC211" s="35">
        <f>AC129+AC158+AC185</f>
        <v/>
      </c>
      <c r="AD211" s="35">
        <f>AD129+AD158+AD185</f>
        <v/>
      </c>
      <c r="AE211" s="35">
        <f>AE129+AE158+AE185</f>
        <v/>
      </c>
      <c r="AF211" s="35">
        <f>AF129+AF158+AF185</f>
        <v/>
      </c>
      <c r="AG211" s="35">
        <f>AG129+AG158+AG185</f>
        <v/>
      </c>
      <c r="AH211" s="35">
        <f>AH129+AH158+AH185</f>
        <v/>
      </c>
      <c r="AI211" s="35">
        <f>AI129+AI158+AI185</f>
        <v/>
      </c>
      <c r="AJ211" s="35">
        <f>AJ129+AJ158+AJ185</f>
        <v/>
      </c>
      <c r="AK211" s="35">
        <f>AK129+AK158+AK185</f>
        <v/>
      </c>
      <c r="AL211" s="35">
        <f>AL129+AL158+AL185</f>
        <v/>
      </c>
      <c r="AM211" s="35">
        <f>AM129+AM158+AM185</f>
        <v/>
      </c>
      <c r="AN211" s="35">
        <f>AN129+AN158+AN185</f>
        <v/>
      </c>
      <c r="AO211" s="35">
        <f>AO129+AO158+AO185</f>
        <v/>
      </c>
      <c r="AP211" s="35">
        <f>AP129+AP158+AP185</f>
        <v/>
      </c>
      <c r="AQ211" s="35">
        <f>AQ129+AQ158+AQ185</f>
        <v/>
      </c>
      <c r="AR211" s="35">
        <f>AR129+AR158+AR185</f>
        <v/>
      </c>
      <c r="AS211" s="35">
        <f>AS129+AS158+AS185</f>
        <v/>
      </c>
      <c r="AT211" s="35">
        <f>AT129+AT158+AT185</f>
        <v/>
      </c>
      <c r="AU211" s="35">
        <f>AU129+AU158+AU185</f>
        <v/>
      </c>
      <c r="AV211" s="35">
        <f>AV129+AV158+AV185</f>
        <v/>
      </c>
      <c r="AW211" s="35">
        <f>AW129+AW158+AW185</f>
        <v/>
      </c>
      <c r="AX211" s="35">
        <f>AX129+AX158+AX185</f>
        <v/>
      </c>
      <c r="AY211" s="35">
        <f>AY129+AY158+AY185</f>
        <v/>
      </c>
      <c r="AZ211" s="35">
        <f>AZ129+AZ158+AZ185</f>
        <v/>
      </c>
      <c r="BA211" s="35">
        <f>BA129+BA158+BA185</f>
        <v/>
      </c>
      <c r="BB211" s="35">
        <f>BB129+BB158+BB185</f>
        <v/>
      </c>
      <c r="BC211" s="35">
        <f>BC129+BC158+BC185</f>
        <v/>
      </c>
      <c r="BD211" s="35">
        <f>BD129+BD158+BD185</f>
        <v/>
      </c>
    </row>
    <row r="212">
      <c r="A212" s="25" t="inlineStr">
        <is>
          <t xml:space="preserve">  growing cost</t>
        </is>
      </c>
      <c r="B212" s="2" t="inlineStr">
        <is>
          <t>$</t>
        </is>
      </c>
      <c r="E212" s="35">
        <f>E128+E157+E184</f>
        <v/>
      </c>
      <c r="F212" s="35">
        <f>F128+F157+F184</f>
        <v/>
      </c>
      <c r="G212" s="35">
        <f>G128+G157+G184</f>
        <v/>
      </c>
      <c r="H212" s="35">
        <f>H128+H157+H184</f>
        <v/>
      </c>
      <c r="I212" s="35">
        <f>I128+I157+I184</f>
        <v/>
      </c>
      <c r="J212" s="35">
        <f>J128+J157+J184</f>
        <v/>
      </c>
      <c r="K212" s="35">
        <f>K128+K157+K184</f>
        <v/>
      </c>
      <c r="L212" s="35">
        <f>L128+L157+L184</f>
        <v/>
      </c>
      <c r="M212" s="35">
        <f>M128+M157+M184</f>
        <v/>
      </c>
      <c r="N212" s="35">
        <f>N128+N157+N184</f>
        <v/>
      </c>
      <c r="O212" s="35">
        <f>O128+O157+O184</f>
        <v/>
      </c>
      <c r="P212" s="35">
        <f>P128+P157+P184</f>
        <v/>
      </c>
      <c r="Q212" s="35">
        <f>Q128+Q157+Q184</f>
        <v/>
      </c>
      <c r="R212" s="35">
        <f>R128+R157+R184</f>
        <v/>
      </c>
      <c r="S212" s="35">
        <f>S128+S157+S184</f>
        <v/>
      </c>
      <c r="T212" s="35">
        <f>T128+T157+T184</f>
        <v/>
      </c>
      <c r="U212" s="35">
        <f>U128+U157+U184</f>
        <v/>
      </c>
      <c r="V212" s="35">
        <f>V128+V157+V184</f>
        <v/>
      </c>
      <c r="W212" s="35">
        <f>W128+W157+W184</f>
        <v/>
      </c>
      <c r="X212" s="35">
        <f>X128+X157+X184</f>
        <v/>
      </c>
      <c r="Y212" s="35">
        <f>Y128+Y157+Y184</f>
        <v/>
      </c>
      <c r="Z212" s="35">
        <f>Z128+Z157+Z184</f>
        <v/>
      </c>
      <c r="AA212" s="35">
        <f>AA128+AA157+AA184</f>
        <v/>
      </c>
      <c r="AB212" s="35">
        <f>AB128+AB157+AB184</f>
        <v/>
      </c>
      <c r="AC212" s="35">
        <f>AC128+AC157+AC184</f>
        <v/>
      </c>
      <c r="AD212" s="35">
        <f>AD128+AD157+AD184</f>
        <v/>
      </c>
      <c r="AE212" s="35">
        <f>AE128+AE157+AE184</f>
        <v/>
      </c>
      <c r="AF212" s="35">
        <f>AF128+AF157+AF184</f>
        <v/>
      </c>
      <c r="AG212" s="35">
        <f>AG128+AG157+AG184</f>
        <v/>
      </c>
      <c r="AH212" s="35">
        <f>AH128+AH157+AH184</f>
        <v/>
      </c>
      <c r="AI212" s="35">
        <f>AI128+AI157+AI184</f>
        <v/>
      </c>
      <c r="AJ212" s="35">
        <f>AJ128+AJ157+AJ184</f>
        <v/>
      </c>
      <c r="AK212" s="35">
        <f>AK128+AK157+AK184</f>
        <v/>
      </c>
      <c r="AL212" s="35">
        <f>AL128+AL157+AL184</f>
        <v/>
      </c>
      <c r="AM212" s="35">
        <f>AM128+AM157+AM184</f>
        <v/>
      </c>
      <c r="AN212" s="35">
        <f>AN128+AN157+AN184</f>
        <v/>
      </c>
      <c r="AO212" s="35">
        <f>AO128+AO157+AO184</f>
        <v/>
      </c>
      <c r="AP212" s="35">
        <f>AP128+AP157+AP184</f>
        <v/>
      </c>
      <c r="AQ212" s="35">
        <f>AQ128+AQ157+AQ184</f>
        <v/>
      </c>
      <c r="AR212" s="35">
        <f>AR128+AR157+AR184</f>
        <v/>
      </c>
      <c r="AS212" s="35">
        <f>AS128+AS157+AS184</f>
        <v/>
      </c>
      <c r="AT212" s="35">
        <f>AT128+AT157+AT184</f>
        <v/>
      </c>
      <c r="AU212" s="35">
        <f>AU128+AU157+AU184</f>
        <v/>
      </c>
      <c r="AV212" s="35">
        <f>AV128+AV157+AV184</f>
        <v/>
      </c>
      <c r="AW212" s="35">
        <f>AW128+AW157+AW184</f>
        <v/>
      </c>
      <c r="AX212" s="35">
        <f>AX128+AX157+AX184</f>
        <v/>
      </c>
      <c r="AY212" s="35">
        <f>AY128+AY157+AY184</f>
        <v/>
      </c>
      <c r="AZ212" s="35">
        <f>AZ128+AZ157+AZ184</f>
        <v/>
      </c>
      <c r="BA212" s="35">
        <f>BA128+BA157+BA184</f>
        <v/>
      </c>
      <c r="BB212" s="35">
        <f>BB128+BB157+BB184</f>
        <v/>
      </c>
      <c r="BC212" s="35">
        <f>BC128+BC157+BC184</f>
        <v/>
      </c>
      <c r="BD212" s="35">
        <f>BD128+BD157+BD184</f>
        <v/>
      </c>
    </row>
    <row r="213">
      <c r="A213" s="25" t="inlineStr">
        <is>
          <t xml:space="preserve">  fixed cost</t>
        </is>
      </c>
      <c r="B213" s="2" t="inlineStr">
        <is>
          <t>$</t>
        </is>
      </c>
      <c r="E213" s="35">
        <f>$B$206</f>
        <v/>
      </c>
      <c r="F213" s="35">
        <f>$B$206</f>
        <v/>
      </c>
      <c r="G213" s="35">
        <f>$B$206</f>
        <v/>
      </c>
      <c r="H213" s="35">
        <f>$B$206</f>
        <v/>
      </c>
      <c r="I213" s="35">
        <f>$B$206</f>
        <v/>
      </c>
      <c r="J213" s="35">
        <f>$B$206</f>
        <v/>
      </c>
      <c r="K213" s="35">
        <f>$B$206</f>
        <v/>
      </c>
      <c r="L213" s="35">
        <f>$B$206</f>
        <v/>
      </c>
      <c r="M213" s="35">
        <f>$B$206</f>
        <v/>
      </c>
      <c r="N213" s="35">
        <f>$B$206</f>
        <v/>
      </c>
      <c r="O213" s="35">
        <f>$B$206</f>
        <v/>
      </c>
      <c r="P213" s="35">
        <f>$B$206</f>
        <v/>
      </c>
      <c r="Q213" s="35">
        <f>$B$206</f>
        <v/>
      </c>
      <c r="R213" s="35">
        <f>$B$206</f>
        <v/>
      </c>
      <c r="S213" s="35">
        <f>$B$206</f>
        <v/>
      </c>
      <c r="T213" s="35">
        <f>$B$206</f>
        <v/>
      </c>
      <c r="U213" s="35">
        <f>$B$206</f>
        <v/>
      </c>
      <c r="V213" s="35">
        <f>$B$206</f>
        <v/>
      </c>
      <c r="W213" s="35">
        <f>$B$206</f>
        <v/>
      </c>
      <c r="X213" s="35">
        <f>$B$206</f>
        <v/>
      </c>
      <c r="Y213" s="35">
        <f>$B$206</f>
        <v/>
      </c>
      <c r="Z213" s="35">
        <f>$B$206</f>
        <v/>
      </c>
      <c r="AA213" s="35">
        <f>$B$206</f>
        <v/>
      </c>
      <c r="AB213" s="35">
        <f>$B$206</f>
        <v/>
      </c>
      <c r="AC213" s="35">
        <f>$B$206</f>
        <v/>
      </c>
      <c r="AD213" s="35">
        <f>$B$206</f>
        <v/>
      </c>
      <c r="AE213" s="35">
        <f>$B$206</f>
        <v/>
      </c>
      <c r="AF213" s="35">
        <f>$B$206</f>
        <v/>
      </c>
      <c r="AG213" s="35">
        <f>$B$206</f>
        <v/>
      </c>
      <c r="AH213" s="35">
        <f>$B$206</f>
        <v/>
      </c>
      <c r="AI213" s="35">
        <f>$B$206</f>
        <v/>
      </c>
      <c r="AJ213" s="35">
        <f>$B$206</f>
        <v/>
      </c>
      <c r="AK213" s="35">
        <f>$B$206</f>
        <v/>
      </c>
      <c r="AL213" s="35">
        <f>$B$206</f>
        <v/>
      </c>
      <c r="AM213" s="35">
        <f>$B$206</f>
        <v/>
      </c>
      <c r="AN213" s="35">
        <f>$B$206</f>
        <v/>
      </c>
      <c r="AO213" s="35">
        <f>$B$206</f>
        <v/>
      </c>
      <c r="AP213" s="35">
        <f>$B$206</f>
        <v/>
      </c>
      <c r="AQ213" s="35">
        <f>$B$206</f>
        <v/>
      </c>
      <c r="AR213" s="35">
        <f>$B$206</f>
        <v/>
      </c>
      <c r="AS213" s="35">
        <f>$B$206</f>
        <v/>
      </c>
      <c r="AT213" s="35">
        <f>$B$206</f>
        <v/>
      </c>
      <c r="AU213" s="35">
        <f>$B$206</f>
        <v/>
      </c>
      <c r="AV213" s="35">
        <f>$B$206</f>
        <v/>
      </c>
      <c r="AW213" s="35">
        <f>$B$206</f>
        <v/>
      </c>
      <c r="AX213" s="35">
        <f>$B$206</f>
        <v/>
      </c>
      <c r="AY213" s="35">
        <f>$B$206</f>
        <v/>
      </c>
      <c r="AZ213" s="35">
        <f>$B$206</f>
        <v/>
      </c>
      <c r="BA213" s="35">
        <f>$B$206</f>
        <v/>
      </c>
      <c r="BB213" s="35">
        <f>$B$206</f>
        <v/>
      </c>
      <c r="BC213" s="35">
        <f>$B$206</f>
        <v/>
      </c>
      <c r="BD213" s="35">
        <f>$B$206</f>
        <v/>
      </c>
    </row>
    <row r="214">
      <c r="A214" s="25" t="inlineStr">
        <is>
          <t xml:space="preserve">  overhead</t>
        </is>
      </c>
      <c r="B214" s="2" t="inlineStr">
        <is>
          <t>$</t>
        </is>
      </c>
      <c r="E214" s="35">
        <f>E210*$B$207</f>
        <v/>
      </c>
      <c r="F214" s="35">
        <f>F210*$B$207</f>
        <v/>
      </c>
      <c r="G214" s="35">
        <f>G210*$B$207</f>
        <v/>
      </c>
      <c r="H214" s="35">
        <f>H210*$B$207</f>
        <v/>
      </c>
      <c r="I214" s="35">
        <f>I210*$B$207</f>
        <v/>
      </c>
      <c r="J214" s="35">
        <f>J210*$B$207</f>
        <v/>
      </c>
      <c r="K214" s="35">
        <f>K210*$B$207</f>
        <v/>
      </c>
      <c r="L214" s="35">
        <f>L210*$B$207</f>
        <v/>
      </c>
      <c r="M214" s="35">
        <f>M210*$B$207</f>
        <v/>
      </c>
      <c r="N214" s="35">
        <f>N210*$B$207</f>
        <v/>
      </c>
      <c r="O214" s="35">
        <f>O210*$B$207</f>
        <v/>
      </c>
      <c r="P214" s="35">
        <f>P210*$B$207</f>
        <v/>
      </c>
      <c r="Q214" s="35">
        <f>Q210*$B$207</f>
        <v/>
      </c>
      <c r="R214" s="35">
        <f>R210*$B$207</f>
        <v/>
      </c>
      <c r="S214" s="35">
        <f>S210*$B$207</f>
        <v/>
      </c>
      <c r="T214" s="35">
        <f>T210*$B$207</f>
        <v/>
      </c>
      <c r="U214" s="35">
        <f>U210*$B$207</f>
        <v/>
      </c>
      <c r="V214" s="35">
        <f>V210*$B$207</f>
        <v/>
      </c>
      <c r="W214" s="35">
        <f>W210*$B$207</f>
        <v/>
      </c>
      <c r="X214" s="35">
        <f>X210*$B$207</f>
        <v/>
      </c>
      <c r="Y214" s="35">
        <f>Y210*$B$207</f>
        <v/>
      </c>
      <c r="Z214" s="35">
        <f>Z210*$B$207</f>
        <v/>
      </c>
      <c r="AA214" s="35">
        <f>AA210*$B$207</f>
        <v/>
      </c>
      <c r="AB214" s="35">
        <f>AB210*$B$207</f>
        <v/>
      </c>
      <c r="AC214" s="35">
        <f>AC210*$B$207</f>
        <v/>
      </c>
      <c r="AD214" s="35">
        <f>AD210*$B$207</f>
        <v/>
      </c>
      <c r="AE214" s="35">
        <f>AE210*$B$207</f>
        <v/>
      </c>
      <c r="AF214" s="35">
        <f>AF210*$B$207</f>
        <v/>
      </c>
      <c r="AG214" s="35">
        <f>AG210*$B$207</f>
        <v/>
      </c>
      <c r="AH214" s="35">
        <f>AH210*$B$207</f>
        <v/>
      </c>
      <c r="AI214" s="35">
        <f>AI210*$B$207</f>
        <v/>
      </c>
      <c r="AJ214" s="35">
        <f>AJ210*$B$207</f>
        <v/>
      </c>
      <c r="AK214" s="35">
        <f>AK210*$B$207</f>
        <v/>
      </c>
      <c r="AL214" s="35">
        <f>AL210*$B$207</f>
        <v/>
      </c>
      <c r="AM214" s="35">
        <f>AM210*$B$207</f>
        <v/>
      </c>
      <c r="AN214" s="35">
        <f>AN210*$B$207</f>
        <v/>
      </c>
      <c r="AO214" s="35">
        <f>AO210*$B$207</f>
        <v/>
      </c>
      <c r="AP214" s="35">
        <f>AP210*$B$207</f>
        <v/>
      </c>
      <c r="AQ214" s="35">
        <f>AQ210*$B$207</f>
        <v/>
      </c>
      <c r="AR214" s="35">
        <f>AR210*$B$207</f>
        <v/>
      </c>
      <c r="AS214" s="35">
        <f>AS210*$B$207</f>
        <v/>
      </c>
      <c r="AT214" s="35">
        <f>AT210*$B$207</f>
        <v/>
      </c>
      <c r="AU214" s="35">
        <f>AU210*$B$207</f>
        <v/>
      </c>
      <c r="AV214" s="35">
        <f>AV210*$B$207</f>
        <v/>
      </c>
      <c r="AW214" s="35">
        <f>AW210*$B$207</f>
        <v/>
      </c>
      <c r="AX214" s="35">
        <f>AX210*$B$207</f>
        <v/>
      </c>
      <c r="AY214" s="35">
        <f>AY210*$B$207</f>
        <v/>
      </c>
      <c r="AZ214" s="35">
        <f>AZ210*$B$207</f>
        <v/>
      </c>
      <c r="BA214" s="35">
        <f>BA210*$B$207</f>
        <v/>
      </c>
      <c r="BB214" s="35">
        <f>BB210*$B$207</f>
        <v/>
      </c>
      <c r="BC214" s="35">
        <f>BC210*$B$207</f>
        <v/>
      </c>
      <c r="BD214" s="35">
        <f>BD210*$B$207</f>
        <v/>
      </c>
    </row>
    <row r="215">
      <c r="A215" s="4" t="inlineStr">
        <is>
          <t>NET CASH this week</t>
        </is>
      </c>
      <c r="B215" s="2" t="inlineStr">
        <is>
          <t>$</t>
        </is>
      </c>
      <c r="E215" s="35">
        <f>E210-E211-E212-E213-E214</f>
        <v/>
      </c>
      <c r="F215" s="35">
        <f>F210-F211-F212-F213-F214</f>
        <v/>
      </c>
      <c r="G215" s="35">
        <f>G210-G211-G212-G213-G214</f>
        <v/>
      </c>
      <c r="H215" s="35">
        <f>H210-H211-H212-H213-H214</f>
        <v/>
      </c>
      <c r="I215" s="35">
        <f>I210-I211-I212-I213-I214</f>
        <v/>
      </c>
      <c r="J215" s="35">
        <f>J210-J211-J212-J213-J214</f>
        <v/>
      </c>
      <c r="K215" s="35">
        <f>K210-K211-K212-K213-K214</f>
        <v/>
      </c>
      <c r="L215" s="35">
        <f>L210-L211-L212-L213-L214</f>
        <v/>
      </c>
      <c r="M215" s="35">
        <f>M210-M211-M212-M213-M214</f>
        <v/>
      </c>
      <c r="N215" s="35">
        <f>N210-N211-N212-N213-N214</f>
        <v/>
      </c>
      <c r="O215" s="35">
        <f>O210-O211-O212-O213-O214</f>
        <v/>
      </c>
      <c r="P215" s="35">
        <f>P210-P211-P212-P213-P214</f>
        <v/>
      </c>
      <c r="Q215" s="35">
        <f>Q210-Q211-Q212-Q213-Q214</f>
        <v/>
      </c>
      <c r="R215" s="35">
        <f>R210-R211-R212-R213-R214</f>
        <v/>
      </c>
      <c r="S215" s="35">
        <f>S210-S211-S212-S213-S214</f>
        <v/>
      </c>
      <c r="T215" s="35">
        <f>T210-T211-T212-T213-T214</f>
        <v/>
      </c>
      <c r="U215" s="35">
        <f>U210-U211-U212-U213-U214</f>
        <v/>
      </c>
      <c r="V215" s="35">
        <f>V210-V211-V212-V213-V214</f>
        <v/>
      </c>
      <c r="W215" s="35">
        <f>W210-W211-W212-W213-W214</f>
        <v/>
      </c>
      <c r="X215" s="35">
        <f>X210-X211-X212-X213-X214</f>
        <v/>
      </c>
      <c r="Y215" s="35">
        <f>Y210-Y211-Y212-Y213-Y214</f>
        <v/>
      </c>
      <c r="Z215" s="35">
        <f>Z210-Z211-Z212-Z213-Z214</f>
        <v/>
      </c>
      <c r="AA215" s="35">
        <f>AA210-AA211-AA212-AA213-AA214</f>
        <v/>
      </c>
      <c r="AB215" s="35">
        <f>AB210-AB211-AB212-AB213-AB214</f>
        <v/>
      </c>
      <c r="AC215" s="35">
        <f>AC210-AC211-AC212-AC213-AC214</f>
        <v/>
      </c>
      <c r="AD215" s="35">
        <f>AD210-AD211-AD212-AD213-AD214</f>
        <v/>
      </c>
      <c r="AE215" s="35">
        <f>AE210-AE211-AE212-AE213-AE214</f>
        <v/>
      </c>
      <c r="AF215" s="35">
        <f>AF210-AF211-AF212-AF213-AF214</f>
        <v/>
      </c>
      <c r="AG215" s="35">
        <f>AG210-AG211-AG212-AG213-AG214</f>
        <v/>
      </c>
      <c r="AH215" s="35">
        <f>AH210-AH211-AH212-AH213-AH214</f>
        <v/>
      </c>
      <c r="AI215" s="35">
        <f>AI210-AI211-AI212-AI213-AI214</f>
        <v/>
      </c>
      <c r="AJ215" s="35">
        <f>AJ210-AJ211-AJ212-AJ213-AJ214</f>
        <v/>
      </c>
      <c r="AK215" s="35">
        <f>AK210-AK211-AK212-AK213-AK214</f>
        <v/>
      </c>
      <c r="AL215" s="35">
        <f>AL210-AL211-AL212-AL213-AL214</f>
        <v/>
      </c>
      <c r="AM215" s="35">
        <f>AM210-AM211-AM212-AM213-AM214</f>
        <v/>
      </c>
      <c r="AN215" s="35">
        <f>AN210-AN211-AN212-AN213-AN214</f>
        <v/>
      </c>
      <c r="AO215" s="35">
        <f>AO210-AO211-AO212-AO213-AO214</f>
        <v/>
      </c>
      <c r="AP215" s="35">
        <f>AP210-AP211-AP212-AP213-AP214</f>
        <v/>
      </c>
      <c r="AQ215" s="35">
        <f>AQ210-AQ211-AQ212-AQ213-AQ214</f>
        <v/>
      </c>
      <c r="AR215" s="35">
        <f>AR210-AR211-AR212-AR213-AR214</f>
        <v/>
      </c>
      <c r="AS215" s="35">
        <f>AS210-AS211-AS212-AS213-AS214</f>
        <v/>
      </c>
      <c r="AT215" s="35">
        <f>AT210-AT211-AT212-AT213-AT214</f>
        <v/>
      </c>
      <c r="AU215" s="35">
        <f>AU210-AU211-AU212-AU213-AU214</f>
        <v/>
      </c>
      <c r="AV215" s="35">
        <f>AV210-AV211-AV212-AV213-AV214</f>
        <v/>
      </c>
      <c r="AW215" s="35">
        <f>AW210-AW211-AW212-AW213-AW214</f>
        <v/>
      </c>
      <c r="AX215" s="35">
        <f>AX210-AX211-AX212-AX213-AX214</f>
        <v/>
      </c>
      <c r="AY215" s="35">
        <f>AY210-AY211-AY212-AY213-AY214</f>
        <v/>
      </c>
      <c r="AZ215" s="35">
        <f>AZ210-AZ211-AZ212-AZ213-AZ214</f>
        <v/>
      </c>
      <c r="BA215" s="35">
        <f>BA210-BA211-BA212-BA213-BA214</f>
        <v/>
      </c>
      <c r="BB215" s="35">
        <f>BB210-BB211-BB212-BB213-BB214</f>
        <v/>
      </c>
      <c r="BC215" s="35">
        <f>BC210-BC211-BC212-BC213-BC214</f>
        <v/>
      </c>
      <c r="BD215" s="35">
        <f>BD210-BD211-BD212-BD213-BD214</f>
        <v/>
      </c>
    </row>
    <row r="217">
      <c r="A217" s="20" t="inlineStr">
        <is>
          <t>Week</t>
        </is>
      </c>
      <c r="B217" s="31" t="inlineStr">
        <is>
          <t>$</t>
        </is>
      </c>
      <c r="E217" s="23" t="n">
        <v>1</v>
      </c>
      <c r="F217" s="23" t="n">
        <v>2</v>
      </c>
      <c r="G217" s="23" t="n">
        <v>3</v>
      </c>
      <c r="H217" s="23" t="n">
        <v>4</v>
      </c>
      <c r="I217" s="23" t="n">
        <v>5</v>
      </c>
      <c r="J217" s="23" t="n">
        <v>6</v>
      </c>
      <c r="K217" s="23" t="n">
        <v>7</v>
      </c>
      <c r="L217" s="23" t="n">
        <v>8</v>
      </c>
      <c r="M217" s="23" t="n">
        <v>9</v>
      </c>
      <c r="N217" s="23" t="n">
        <v>10</v>
      </c>
      <c r="O217" s="23" t="n">
        <v>11</v>
      </c>
      <c r="P217" s="23" t="n">
        <v>12</v>
      </c>
      <c r="Q217" s="23" t="n">
        <v>13</v>
      </c>
      <c r="R217" s="23" t="n">
        <v>14</v>
      </c>
      <c r="S217" s="23" t="n">
        <v>15</v>
      </c>
      <c r="T217" s="23" t="n">
        <v>16</v>
      </c>
      <c r="U217" s="23" t="n">
        <v>17</v>
      </c>
      <c r="V217" s="23" t="n">
        <v>18</v>
      </c>
      <c r="W217" s="23" t="n">
        <v>19</v>
      </c>
      <c r="X217" s="23" t="n">
        <v>20</v>
      </c>
      <c r="Y217" s="23" t="n">
        <v>21</v>
      </c>
      <c r="Z217" s="23" t="n">
        <v>22</v>
      </c>
      <c r="AA217" s="23" t="n">
        <v>23</v>
      </c>
      <c r="AB217" s="23" t="n">
        <v>24</v>
      </c>
      <c r="AC217" s="23" t="n">
        <v>25</v>
      </c>
      <c r="AD217" s="23" t="n">
        <v>26</v>
      </c>
      <c r="AE217" s="23" t="n">
        <v>27</v>
      </c>
      <c r="AF217" s="23" t="n">
        <v>28</v>
      </c>
      <c r="AG217" s="23" t="n">
        <v>29</v>
      </c>
      <c r="AH217" s="23" t="n">
        <v>30</v>
      </c>
      <c r="AI217" s="23" t="n">
        <v>31</v>
      </c>
      <c r="AJ217" s="23" t="n">
        <v>32</v>
      </c>
      <c r="AK217" s="23" t="n">
        <v>33</v>
      </c>
      <c r="AL217" s="23" t="n">
        <v>34</v>
      </c>
      <c r="AM217" s="23" t="n">
        <v>35</v>
      </c>
      <c r="AN217" s="23" t="n">
        <v>36</v>
      </c>
      <c r="AO217" s="23" t="n">
        <v>37</v>
      </c>
      <c r="AP217" s="23" t="n">
        <v>38</v>
      </c>
      <c r="AQ217" s="23" t="n">
        <v>39</v>
      </c>
      <c r="AR217" s="23" t="n">
        <v>40</v>
      </c>
      <c r="AS217" s="23" t="n">
        <v>41</v>
      </c>
      <c r="AT217" s="23" t="n">
        <v>42</v>
      </c>
      <c r="AU217" s="23" t="n">
        <v>43</v>
      </c>
      <c r="AV217" s="23" t="n">
        <v>44</v>
      </c>
      <c r="AW217" s="23" t="n">
        <v>45</v>
      </c>
      <c r="AX217" s="23" t="n">
        <v>46</v>
      </c>
      <c r="AY217" s="23" t="n">
        <v>47</v>
      </c>
      <c r="AZ217" s="23" t="n">
        <v>48</v>
      </c>
      <c r="BA217" s="23" t="n">
        <v>49</v>
      </c>
      <c r="BB217" s="23" t="n">
        <v>50</v>
      </c>
      <c r="BC217" s="23" t="n">
        <v>51</v>
      </c>
      <c r="BD217" s="23" t="n">
        <v>52</v>
      </c>
    </row>
    <row r="218">
      <c r="A218" s="21" t="inlineStr">
        <is>
          <t>CASH IN THE BANK</t>
        </is>
      </c>
      <c r="B218" s="2" t="inlineStr">
        <is>
          <t>$</t>
        </is>
      </c>
      <c r="E218" s="38">
        <f>$B$204+E215</f>
        <v/>
      </c>
      <c r="F218" s="38">
        <f>E218+F215</f>
        <v/>
      </c>
      <c r="G218" s="38">
        <f>F218+G215</f>
        <v/>
      </c>
      <c r="H218" s="38">
        <f>G218+H215</f>
        <v/>
      </c>
      <c r="I218" s="38">
        <f>H218+I215</f>
        <v/>
      </c>
      <c r="J218" s="38">
        <f>I218+J215</f>
        <v/>
      </c>
      <c r="K218" s="38">
        <f>J218+K215</f>
        <v/>
      </c>
      <c r="L218" s="38">
        <f>K218+L215</f>
        <v/>
      </c>
      <c r="M218" s="38">
        <f>L218+M215</f>
        <v/>
      </c>
      <c r="N218" s="38">
        <f>M218+N215</f>
        <v/>
      </c>
      <c r="O218" s="38">
        <f>N218+O215</f>
        <v/>
      </c>
      <c r="P218" s="38">
        <f>O218+P215</f>
        <v/>
      </c>
      <c r="Q218" s="38">
        <f>P218+Q215</f>
        <v/>
      </c>
      <c r="R218" s="38">
        <f>Q218+R215</f>
        <v/>
      </c>
      <c r="S218" s="38">
        <f>R218+S215</f>
        <v/>
      </c>
      <c r="T218" s="38">
        <f>S218+T215</f>
        <v/>
      </c>
      <c r="U218" s="38">
        <f>T218+U215</f>
        <v/>
      </c>
      <c r="V218" s="38">
        <f>U218+V215</f>
        <v/>
      </c>
      <c r="W218" s="38">
        <f>V218+W215</f>
        <v/>
      </c>
      <c r="X218" s="38">
        <f>W218+X215</f>
        <v/>
      </c>
      <c r="Y218" s="38">
        <f>X218+Y215</f>
        <v/>
      </c>
      <c r="Z218" s="38">
        <f>Y218+Z215</f>
        <v/>
      </c>
      <c r="AA218" s="38">
        <f>Z218+AA215</f>
        <v/>
      </c>
      <c r="AB218" s="38">
        <f>AA218+AB215</f>
        <v/>
      </c>
      <c r="AC218" s="38">
        <f>AB218+AC215</f>
        <v/>
      </c>
      <c r="AD218" s="38">
        <f>AC218+AD215</f>
        <v/>
      </c>
      <c r="AE218" s="38">
        <f>AD218+AE215</f>
        <v/>
      </c>
      <c r="AF218" s="38">
        <f>AE218+AF215</f>
        <v/>
      </c>
      <c r="AG218" s="38">
        <f>AF218+AG215</f>
        <v/>
      </c>
      <c r="AH218" s="38">
        <f>AG218+AH215</f>
        <v/>
      </c>
      <c r="AI218" s="38">
        <f>AH218+AI215</f>
        <v/>
      </c>
      <c r="AJ218" s="38">
        <f>AI218+AJ215</f>
        <v/>
      </c>
      <c r="AK218" s="38">
        <f>AJ218+AK215</f>
        <v/>
      </c>
      <c r="AL218" s="38">
        <f>AK218+AL215</f>
        <v/>
      </c>
      <c r="AM218" s="38">
        <f>AL218+AM215</f>
        <v/>
      </c>
      <c r="AN218" s="38">
        <f>AM218+AN215</f>
        <v/>
      </c>
      <c r="AO218" s="38">
        <f>AN218+AO215</f>
        <v/>
      </c>
      <c r="AP218" s="38">
        <f>AO218+AP215</f>
        <v/>
      </c>
      <c r="AQ218" s="38">
        <f>AP218+AQ215</f>
        <v/>
      </c>
      <c r="AR218" s="38">
        <f>AQ218+AR215</f>
        <v/>
      </c>
      <c r="AS218" s="38">
        <f>AR218+AS215</f>
        <v/>
      </c>
      <c r="AT218" s="38">
        <f>AS218+AT215</f>
        <v/>
      </c>
      <c r="AU218" s="38">
        <f>AT218+AU215</f>
        <v/>
      </c>
      <c r="AV218" s="38">
        <f>AU218+AV215</f>
        <v/>
      </c>
      <c r="AW218" s="38">
        <f>AV218+AW215</f>
        <v/>
      </c>
      <c r="AX218" s="38">
        <f>AW218+AX215</f>
        <v/>
      </c>
      <c r="AY218" s="38">
        <f>AX218+AY215</f>
        <v/>
      </c>
      <c r="AZ218" s="38">
        <f>AY218+AZ215</f>
        <v/>
      </c>
      <c r="BA218" s="38">
        <f>AZ218+BA215</f>
        <v/>
      </c>
      <c r="BB218" s="38">
        <f>BA218+BB215</f>
        <v/>
      </c>
      <c r="BC218" s="38">
        <f>BB218+BC215</f>
        <v/>
      </c>
      <c r="BD218" s="38">
        <f>BC218+BD215</f>
        <v/>
      </c>
    </row>
    <row r="219">
      <c r="E219" s="33" t="inlineStr">
        <is>
          <t>&gt;=</t>
        </is>
      </c>
      <c r="F219" s="33" t="inlineStr">
        <is>
          <t>&gt;=</t>
        </is>
      </c>
      <c r="G219" s="33" t="inlineStr">
        <is>
          <t>&gt;=</t>
        </is>
      </c>
      <c r="H219" s="33" t="inlineStr">
        <is>
          <t>&gt;=</t>
        </is>
      </c>
      <c r="I219" s="33" t="inlineStr">
        <is>
          <t>&gt;=</t>
        </is>
      </c>
      <c r="J219" s="33" t="inlineStr">
        <is>
          <t>&gt;=</t>
        </is>
      </c>
      <c r="K219" s="33" t="inlineStr">
        <is>
          <t>&gt;=</t>
        </is>
      </c>
      <c r="L219" s="33" t="inlineStr">
        <is>
          <t>&gt;=</t>
        </is>
      </c>
      <c r="M219" s="33" t="inlineStr">
        <is>
          <t>&gt;=</t>
        </is>
      </c>
      <c r="N219" s="33" t="inlineStr">
        <is>
          <t>&gt;=</t>
        </is>
      </c>
      <c r="O219" s="33" t="inlineStr">
        <is>
          <t>&gt;=</t>
        </is>
      </c>
      <c r="P219" s="33" t="inlineStr">
        <is>
          <t>&gt;=</t>
        </is>
      </c>
      <c r="Q219" s="33" t="inlineStr">
        <is>
          <t>&gt;=</t>
        </is>
      </c>
      <c r="R219" s="33" t="inlineStr">
        <is>
          <t>&gt;=</t>
        </is>
      </c>
      <c r="S219" s="33" t="inlineStr">
        <is>
          <t>&gt;=</t>
        </is>
      </c>
      <c r="T219" s="33" t="inlineStr">
        <is>
          <t>&gt;=</t>
        </is>
      </c>
      <c r="U219" s="33" t="inlineStr">
        <is>
          <t>&gt;=</t>
        </is>
      </c>
      <c r="V219" s="33" t="inlineStr">
        <is>
          <t>&gt;=</t>
        </is>
      </c>
      <c r="W219" s="33" t="inlineStr">
        <is>
          <t>&gt;=</t>
        </is>
      </c>
      <c r="X219" s="33" t="inlineStr">
        <is>
          <t>&gt;=</t>
        </is>
      </c>
      <c r="Y219" s="33" t="inlineStr">
        <is>
          <t>&gt;=</t>
        </is>
      </c>
      <c r="Z219" s="33" t="inlineStr">
        <is>
          <t>&gt;=</t>
        </is>
      </c>
      <c r="AA219" s="33" t="inlineStr">
        <is>
          <t>&gt;=</t>
        </is>
      </c>
      <c r="AB219" s="33" t="inlineStr">
        <is>
          <t>&gt;=</t>
        </is>
      </c>
      <c r="AC219" s="33" t="inlineStr">
        <is>
          <t>&gt;=</t>
        </is>
      </c>
      <c r="AD219" s="33" t="inlineStr">
        <is>
          <t>&gt;=</t>
        </is>
      </c>
      <c r="AE219" s="33" t="inlineStr">
        <is>
          <t>&gt;=</t>
        </is>
      </c>
      <c r="AF219" s="33" t="inlineStr">
        <is>
          <t>&gt;=</t>
        </is>
      </c>
      <c r="AG219" s="33" t="inlineStr">
        <is>
          <t>&gt;=</t>
        </is>
      </c>
      <c r="AH219" s="33" t="inlineStr">
        <is>
          <t>&gt;=</t>
        </is>
      </c>
      <c r="AI219" s="33" t="inlineStr">
        <is>
          <t>&gt;=</t>
        </is>
      </c>
      <c r="AJ219" s="33" t="inlineStr">
        <is>
          <t>&gt;=</t>
        </is>
      </c>
      <c r="AK219" s="33" t="inlineStr">
        <is>
          <t>&gt;=</t>
        </is>
      </c>
      <c r="AL219" s="33" t="inlineStr">
        <is>
          <t>&gt;=</t>
        </is>
      </c>
      <c r="AM219" s="33" t="inlineStr">
        <is>
          <t>&gt;=</t>
        </is>
      </c>
      <c r="AN219" s="33" t="inlineStr">
        <is>
          <t>&gt;=</t>
        </is>
      </c>
      <c r="AO219" s="33" t="inlineStr">
        <is>
          <t>&gt;=</t>
        </is>
      </c>
      <c r="AP219" s="33" t="inlineStr">
        <is>
          <t>&gt;=</t>
        </is>
      </c>
      <c r="AQ219" s="33" t="inlineStr">
        <is>
          <t>&gt;=</t>
        </is>
      </c>
      <c r="AR219" s="33" t="inlineStr">
        <is>
          <t>&gt;=</t>
        </is>
      </c>
      <c r="AS219" s="33" t="inlineStr">
        <is>
          <t>&gt;=</t>
        </is>
      </c>
      <c r="AT219" s="33" t="inlineStr">
        <is>
          <t>&gt;=</t>
        </is>
      </c>
      <c r="AU219" s="33" t="inlineStr">
        <is>
          <t>&gt;=</t>
        </is>
      </c>
      <c r="AV219" s="33" t="inlineStr">
        <is>
          <t>&gt;=</t>
        </is>
      </c>
      <c r="AW219" s="33" t="inlineStr">
        <is>
          <t>&gt;=</t>
        </is>
      </c>
      <c r="AX219" s="33" t="inlineStr">
        <is>
          <t>&gt;=</t>
        </is>
      </c>
      <c r="AY219" s="33" t="inlineStr">
        <is>
          <t>&gt;=</t>
        </is>
      </c>
      <c r="AZ219" s="33" t="inlineStr">
        <is>
          <t>&gt;=</t>
        </is>
      </c>
      <c r="BA219" s="33" t="inlineStr">
        <is>
          <t>&gt;=</t>
        </is>
      </c>
      <c r="BB219" s="33" t="inlineStr">
        <is>
          <t>&gt;=</t>
        </is>
      </c>
      <c r="BC219" s="33" t="inlineStr">
        <is>
          <t>&gt;=</t>
        </is>
      </c>
      <c r="BD219" s="33" t="inlineStr">
        <is>
          <t>&gt;=</t>
        </is>
      </c>
    </row>
    <row r="220">
      <c r="A220" s="4" t="inlineStr">
        <is>
          <t xml:space="preserve">  floor</t>
        </is>
      </c>
      <c r="B220" s="2" t="inlineStr">
        <is>
          <t>$</t>
        </is>
      </c>
      <c r="E220" s="35">
        <f>-($B$204+$B$205)</f>
        <v/>
      </c>
      <c r="F220" s="35">
        <f>-($B$204+$B$205)</f>
        <v/>
      </c>
      <c r="G220" s="35">
        <f>-($B$204+$B$205)</f>
        <v/>
      </c>
      <c r="H220" s="35">
        <f>-($B$204+$B$205)</f>
        <v/>
      </c>
      <c r="I220" s="35">
        <f>-($B$204+$B$205)</f>
        <v/>
      </c>
      <c r="J220" s="35">
        <f>-($B$204+$B$205)</f>
        <v/>
      </c>
      <c r="K220" s="35">
        <f>-($B$204+$B$205)</f>
        <v/>
      </c>
      <c r="L220" s="35">
        <f>-($B$204+$B$205)</f>
        <v/>
      </c>
      <c r="M220" s="35">
        <f>-($B$204+$B$205)</f>
        <v/>
      </c>
      <c r="N220" s="35">
        <f>-($B$204+$B$205)</f>
        <v/>
      </c>
      <c r="O220" s="35">
        <f>-($B$204+$B$205)</f>
        <v/>
      </c>
      <c r="P220" s="35">
        <f>-($B$204+$B$205)</f>
        <v/>
      </c>
      <c r="Q220" s="35">
        <f>-($B$204+$B$205)</f>
        <v/>
      </c>
      <c r="R220" s="35">
        <f>-($B$204+$B$205)</f>
        <v/>
      </c>
      <c r="S220" s="35">
        <f>-($B$204+$B$205)</f>
        <v/>
      </c>
      <c r="T220" s="35">
        <f>-($B$204+$B$205)</f>
        <v/>
      </c>
      <c r="U220" s="35">
        <f>-($B$204+$B$205)</f>
        <v/>
      </c>
      <c r="V220" s="35">
        <f>-($B$204+$B$205)</f>
        <v/>
      </c>
      <c r="W220" s="35">
        <f>-($B$204+$B$205)</f>
        <v/>
      </c>
      <c r="X220" s="35">
        <f>-($B$204+$B$205)</f>
        <v/>
      </c>
      <c r="Y220" s="35">
        <f>-($B$204+$B$205)</f>
        <v/>
      </c>
      <c r="Z220" s="35">
        <f>-($B$204+$B$205)</f>
        <v/>
      </c>
      <c r="AA220" s="35">
        <f>-($B$204+$B$205)</f>
        <v/>
      </c>
      <c r="AB220" s="35">
        <f>-($B$204+$B$205)</f>
        <v/>
      </c>
      <c r="AC220" s="35">
        <f>-($B$204+$B$205)</f>
        <v/>
      </c>
      <c r="AD220" s="35">
        <f>-($B$204+$B$205)</f>
        <v/>
      </c>
      <c r="AE220" s="35">
        <f>-($B$204+$B$205)</f>
        <v/>
      </c>
      <c r="AF220" s="35">
        <f>-($B$204+$B$205)</f>
        <v/>
      </c>
      <c r="AG220" s="35">
        <f>-($B$204+$B$205)</f>
        <v/>
      </c>
      <c r="AH220" s="35">
        <f>-($B$204+$B$205)</f>
        <v/>
      </c>
      <c r="AI220" s="35">
        <f>-($B$204+$B$205)</f>
        <v/>
      </c>
      <c r="AJ220" s="35">
        <f>-($B$204+$B$205)</f>
        <v/>
      </c>
      <c r="AK220" s="35">
        <f>-($B$204+$B$205)</f>
        <v/>
      </c>
      <c r="AL220" s="35">
        <f>-($B$204+$B$205)</f>
        <v/>
      </c>
      <c r="AM220" s="35">
        <f>-($B$204+$B$205)</f>
        <v/>
      </c>
      <c r="AN220" s="35">
        <f>-($B$204+$B$205)</f>
        <v/>
      </c>
      <c r="AO220" s="35">
        <f>-($B$204+$B$205)</f>
        <v/>
      </c>
      <c r="AP220" s="35">
        <f>-($B$204+$B$205)</f>
        <v/>
      </c>
      <c r="AQ220" s="35">
        <f>-($B$204+$B$205)</f>
        <v/>
      </c>
      <c r="AR220" s="35">
        <f>-($B$204+$B$205)</f>
        <v/>
      </c>
      <c r="AS220" s="35">
        <f>-($B$204+$B$205)</f>
        <v/>
      </c>
      <c r="AT220" s="35">
        <f>-($B$204+$B$205)</f>
        <v/>
      </c>
      <c r="AU220" s="35">
        <f>-($B$204+$B$205)</f>
        <v/>
      </c>
      <c r="AV220" s="35">
        <f>-($B$204+$B$205)</f>
        <v/>
      </c>
      <c r="AW220" s="35">
        <f>-($B$204+$B$205)</f>
        <v/>
      </c>
      <c r="AX220" s="35">
        <f>-($B$204+$B$205)</f>
        <v/>
      </c>
      <c r="AY220" s="35">
        <f>-($B$204+$B$205)</f>
        <v/>
      </c>
      <c r="AZ220" s="35">
        <f>-($B$204+$B$205)</f>
        <v/>
      </c>
      <c r="BA220" s="35">
        <f>-($B$204+$B$205)</f>
        <v/>
      </c>
      <c r="BB220" s="35">
        <f>-($B$204+$B$205)</f>
        <v/>
      </c>
      <c r="BC220" s="35">
        <f>-($B$204+$B$205)</f>
        <v/>
      </c>
      <c r="BD220" s="35">
        <f>-($B$204+$B$205)</f>
        <v/>
      </c>
    </row>
    <row r="221">
      <c r="A221" s="25" t="inlineStr">
        <is>
          <t xml:space="preserve">  headroom</t>
        </is>
      </c>
      <c r="E221" s="35">
        <f>E218-E220</f>
        <v/>
      </c>
      <c r="F221" s="35">
        <f>F218-F220</f>
        <v/>
      </c>
      <c r="G221" s="35">
        <f>G218-G220</f>
        <v/>
      </c>
      <c r="H221" s="35">
        <f>H218-H220</f>
        <v/>
      </c>
      <c r="I221" s="35">
        <f>I218-I220</f>
        <v/>
      </c>
      <c r="J221" s="35">
        <f>J218-J220</f>
        <v/>
      </c>
      <c r="K221" s="35">
        <f>K218-K220</f>
        <v/>
      </c>
      <c r="L221" s="35">
        <f>L218-L220</f>
        <v/>
      </c>
      <c r="M221" s="35">
        <f>M218-M220</f>
        <v/>
      </c>
      <c r="N221" s="35">
        <f>N218-N220</f>
        <v/>
      </c>
      <c r="O221" s="35">
        <f>O218-O220</f>
        <v/>
      </c>
      <c r="P221" s="35">
        <f>P218-P220</f>
        <v/>
      </c>
      <c r="Q221" s="35">
        <f>Q218-Q220</f>
        <v/>
      </c>
      <c r="R221" s="35">
        <f>R218-R220</f>
        <v/>
      </c>
      <c r="S221" s="35">
        <f>S218-S220</f>
        <v/>
      </c>
      <c r="T221" s="35">
        <f>T218-T220</f>
        <v/>
      </c>
      <c r="U221" s="35">
        <f>U218-U220</f>
        <v/>
      </c>
      <c r="V221" s="35">
        <f>V218-V220</f>
        <v/>
      </c>
      <c r="W221" s="35">
        <f>W218-W220</f>
        <v/>
      </c>
      <c r="X221" s="35">
        <f>X218-X220</f>
        <v/>
      </c>
      <c r="Y221" s="35">
        <f>Y218-Y220</f>
        <v/>
      </c>
      <c r="Z221" s="35">
        <f>Z218-Z220</f>
        <v/>
      </c>
      <c r="AA221" s="35">
        <f>AA218-AA220</f>
        <v/>
      </c>
      <c r="AB221" s="35">
        <f>AB218-AB220</f>
        <v/>
      </c>
      <c r="AC221" s="35">
        <f>AC218-AC220</f>
        <v/>
      </c>
      <c r="AD221" s="35">
        <f>AD218-AD220</f>
        <v/>
      </c>
      <c r="AE221" s="35">
        <f>AE218-AE220</f>
        <v/>
      </c>
      <c r="AF221" s="35">
        <f>AF218-AF220</f>
        <v/>
      </c>
      <c r="AG221" s="35">
        <f>AG218-AG220</f>
        <v/>
      </c>
      <c r="AH221" s="35">
        <f>AH218-AH220</f>
        <v/>
      </c>
      <c r="AI221" s="35">
        <f>AI218-AI220</f>
        <v/>
      </c>
      <c r="AJ221" s="35">
        <f>AJ218-AJ220</f>
        <v/>
      </c>
      <c r="AK221" s="35">
        <f>AK218-AK220</f>
        <v/>
      </c>
      <c r="AL221" s="35">
        <f>AL218-AL220</f>
        <v/>
      </c>
      <c r="AM221" s="35">
        <f>AM218-AM220</f>
        <v/>
      </c>
      <c r="AN221" s="35">
        <f>AN218-AN220</f>
        <v/>
      </c>
      <c r="AO221" s="35">
        <f>AO218-AO220</f>
        <v/>
      </c>
      <c r="AP221" s="35">
        <f>AP218-AP220</f>
        <v/>
      </c>
      <c r="AQ221" s="35">
        <f>AQ218-AQ220</f>
        <v/>
      </c>
      <c r="AR221" s="35">
        <f>AR218-AR220</f>
        <v/>
      </c>
      <c r="AS221" s="35">
        <f>AS218-AS220</f>
        <v/>
      </c>
      <c r="AT221" s="35">
        <f>AT218-AT220</f>
        <v/>
      </c>
      <c r="AU221" s="35">
        <f>AU218-AU220</f>
        <v/>
      </c>
      <c r="AV221" s="35">
        <f>AV218-AV220</f>
        <v/>
      </c>
      <c r="AW221" s="35">
        <f>AW218-AW220</f>
        <v/>
      </c>
      <c r="AX221" s="35">
        <f>AX218-AX220</f>
        <v/>
      </c>
      <c r="AY221" s="35">
        <f>AY218-AY220</f>
        <v/>
      </c>
      <c r="AZ221" s="35">
        <f>AZ218-AZ220</f>
        <v/>
      </c>
      <c r="BA221" s="35">
        <f>BA218-BA220</f>
        <v/>
      </c>
      <c r="BB221" s="35">
        <f>BB218-BB220</f>
        <v/>
      </c>
      <c r="BC221" s="35">
        <f>BC218-BC220</f>
        <v/>
      </c>
      <c r="BD221" s="35">
        <f>BD218-BD220</f>
        <v/>
      </c>
    </row>
    <row r="222">
      <c r="A222" s="2" t="inlineStr">
        <is>
          <t xml:space="preserve">   This is the app's C13. Cash may go NEGATIVE — that is the credit line being drawn — but never below the floor.</t>
        </is>
      </c>
    </row>
    <row r="223">
      <c r="A223" s="2" t="inlineStr">
        <is>
          <t xml:space="preserve">   ⚠️ It barely binds here, because the biggest weekly outgoing a real farm has is PAYROLL, and labour is v7. Do not read this curve as realistic yet.</t>
        </is>
      </c>
    </row>
    <row r="225">
      <c r="A225" s="3" t="inlineStr">
        <is>
          <t>8 — THE OPTIMIZER</t>
        </is>
      </c>
    </row>
    <row r="226">
      <c r="A226" s="4" t="inlineStr">
        <is>
          <t>Revenue</t>
        </is>
      </c>
      <c r="B226" s="50">
        <f>SUM(E113:BD113)*$I$18+SUM(E119:BD119)*$I$19+SUM(E140:BD140)*$I$20+SUM(E148:BD148)*$I$21+SUM(E169:BD169)*$I$22+SUM(E175:BD175)*$I$23</f>
        <v/>
      </c>
    </row>
    <row r="227">
      <c r="A227" s="4" t="inlineStr">
        <is>
          <t>Growing cost</t>
        </is>
      </c>
      <c r="B227" s="50">
        <f>SUM(E212:BD212)</f>
        <v/>
      </c>
      <c r="C227" s="2" t="inlineStr">
        <is>
          <t>seed at planting + fertiliser and fuel every week in the ground</t>
        </is>
      </c>
    </row>
    <row r="228">
      <c r="A228" s="4" t="inlineStr">
        <is>
          <t>Packaging</t>
        </is>
      </c>
      <c r="B228" s="50">
        <f>SUM(E211:BD211)</f>
        <v/>
      </c>
    </row>
    <row r="229">
      <c r="A229" s="4" t="inlineStr">
        <is>
          <t>Fixed cost</t>
        </is>
      </c>
      <c r="B229" s="50">
        <f>SUM(E213:BD213)</f>
        <v/>
      </c>
      <c r="C229" s="2" t="inlineStr">
        <is>
          <t>owed all 52 weeks whatever you plant</t>
        </is>
      </c>
    </row>
    <row r="230">
      <c r="A230" s="4" t="inlineStr">
        <is>
          <t>Overhead</t>
        </is>
      </c>
      <c r="B230" s="50">
        <f>SUM(E214:BD214)</f>
        <v/>
      </c>
    </row>
    <row r="231">
      <c r="A231" s="21" t="inlineStr">
        <is>
          <t>PROFIT  (the objective)</t>
        </is>
      </c>
      <c r="B231" s="52">
        <f>B226-SUM(B227:B230)</f>
        <v/>
      </c>
      <c r="C231" s="4" t="inlineStr">
        <is>
          <t>&lt;-- MAXIMISE THIS CELL</t>
        </is>
      </c>
    </row>
    <row r="232">
      <c r="A232" s="4" t="inlineStr">
        <is>
          <t>Plantings chosen</t>
        </is>
      </c>
      <c r="B232" s="53">
        <f>SUM($D$28:$D$95)</f>
        <v/>
      </c>
      <c r="C232" s="2" t="inlineStr">
        <is>
          <t>of 68 offered</t>
        </is>
      </c>
    </row>
    <row r="234">
      <c r="A234" s="4" t="inlineStr">
        <is>
          <t>Annual caps</t>
        </is>
      </c>
    </row>
    <row r="235">
      <c r="A235" s="25" t="inlineStr">
        <is>
          <t xml:space="preserve">   Kale / Wholesale — sold all year</t>
        </is>
      </c>
      <c r="B235" s="35">
        <f>SUM(E148:BD148)</f>
        <v/>
      </c>
      <c r="C235" s="33" t="inlineStr">
        <is>
          <t>&lt;=</t>
        </is>
      </c>
      <c r="D235" s="35">
        <f>$D$21</f>
        <v/>
      </c>
    </row>
    <row r="237">
      <c r="A237" s="3" t="inlineStr">
        <is>
          <t>SOLVER SETUP — Tools &gt; Solver</t>
        </is>
      </c>
    </row>
    <row r="238">
      <c r="A238" s="4" t="inlineStr">
        <is>
          <t>Target cell</t>
        </is>
      </c>
      <c r="B238" s="25" t="inlineStr">
        <is>
          <t>$B$231</t>
        </is>
      </c>
      <c r="G238" s="2" t="inlineStr">
        <is>
          <t>set to MAXIMUM</t>
        </is>
      </c>
    </row>
    <row r="239">
      <c r="A239" s="4" t="inlineStr">
        <is>
          <t>By changing cells</t>
        </is>
      </c>
      <c r="B239" s="25" t="inlineStr">
        <is>
          <t>$C$28:$D$95</t>
        </is>
      </c>
      <c r="G239" s="2" t="inlineStr">
        <is>
          <t>acres AND plant? together</t>
        </is>
      </c>
    </row>
    <row r="240">
      <c r="A240" s="25" t="inlineStr">
        <is>
          <t xml:space="preserve">  ...and</t>
        </is>
      </c>
      <c r="B240" s="25" t="inlineStr">
        <is>
          <t>$E$112:$BD$112;$E$118:$BD$118;$E$139:$BD$139;$E$147:$BD$147;$E$168:$BD$168;$E$174:$BD$174</t>
        </is>
      </c>
      <c r="G240" s="2" t="inlineStr">
        <is>
          <t>the OFFERED rows</t>
        </is>
      </c>
    </row>
    <row r="241">
      <c r="A241" s="25" t="inlineStr">
        <is>
          <t>Constraint — PLANT? is binary</t>
        </is>
      </c>
      <c r="B241" s="25" t="inlineStr">
        <is>
          <t>$D$28:$D$95  =  Binary</t>
        </is>
      </c>
    </row>
    <row r="242">
      <c r="A242" s="25" t="inlineStr">
        <is>
          <t>Constraint — C9 acres &lt;= max</t>
        </is>
      </c>
      <c r="B242" s="25" t="inlineStr">
        <is>
          <t>$C$28:$C$95  &lt;=  $BE$28:$BE$95</t>
        </is>
      </c>
      <c r="G242" s="2" t="inlineStr">
        <is>
          <t>no acres without deciding to plant</t>
        </is>
      </c>
    </row>
    <row r="243">
      <c r="A243" s="25" t="inlineStr">
        <is>
          <t>Constraint — C10 acres &gt;= min</t>
        </is>
      </c>
      <c r="B243" s="25" t="inlineStr">
        <is>
          <t>$C$28:$C$95  &gt;=  $BF$28:$BF$95</t>
        </is>
      </c>
      <c r="G243" s="2" t="inlineStr">
        <is>
          <t>planted means a real block</t>
        </is>
      </c>
    </row>
    <row r="244">
      <c r="A244" s="25" t="inlineStr">
        <is>
          <t>Constraint — Spinach/Farmers Market sold &lt;= ceiling</t>
        </is>
      </c>
      <c r="B244" s="25" t="inlineStr">
        <is>
          <t>$E$113:$BD$113  &lt;=  $E$111:$BD$111</t>
        </is>
      </c>
    </row>
    <row r="245">
      <c r="A245" s="25" t="inlineStr">
        <is>
          <t>Constraint — Spinach/Wholesale sold &lt;= ceiling</t>
        </is>
      </c>
      <c r="B245" s="25" t="inlineStr">
        <is>
          <t>$E$119:$BD$119  &lt;=  $E$117:$BD$117</t>
        </is>
      </c>
    </row>
    <row r="246">
      <c r="A246" s="25" t="inlineStr">
        <is>
          <t>Constraint — Kale/Farmers Market sold &lt;= ceiling</t>
        </is>
      </c>
      <c r="B246" s="25" t="inlineStr">
        <is>
          <t>$E$140:$BD$140  &lt;=  $E$138:$BD$138</t>
        </is>
      </c>
    </row>
    <row r="247">
      <c r="A247" s="25" t="inlineStr">
        <is>
          <t>Constraint — Kale/Wholesale sold &lt;= ceiling</t>
        </is>
      </c>
      <c r="B247" s="25" t="inlineStr">
        <is>
          <t>$E$148:$BD$148  &lt;=  $E$144:$BD$144</t>
        </is>
      </c>
    </row>
    <row r="248">
      <c r="A248" s="25" t="inlineStr">
        <is>
          <t>Constraint — Garlic/Farmers Market sold &lt;= ceiling</t>
        </is>
      </c>
      <c r="B248" s="25" t="inlineStr">
        <is>
          <t>$E$169:$BD$169  &lt;=  $E$167:$BD$167</t>
        </is>
      </c>
    </row>
    <row r="249">
      <c r="A249" s="25" t="inlineStr">
        <is>
          <t>Constraint — Garlic/Wholesale sold &lt;= ceiling</t>
        </is>
      </c>
      <c r="B249" s="25" t="inlineStr">
        <is>
          <t>$E$175:$BD$175  &lt;=  $E$173:$BD$173</t>
        </is>
      </c>
    </row>
    <row r="250">
      <c r="A250" s="25" t="inlineStr">
        <is>
          <t>Constraint — Spinach stock never negative</t>
        </is>
      </c>
      <c r="B250" s="25" t="inlineStr">
        <is>
          <t>$E$123:$BD$123  &gt;=  0</t>
        </is>
      </c>
    </row>
    <row r="251">
      <c r="A251" s="25" t="inlineStr">
        <is>
          <t>Constraint — Kale stock never negative</t>
        </is>
      </c>
      <c r="B251" s="25" t="inlineStr">
        <is>
          <t>$E$152:$BD$152  &gt;=  0</t>
        </is>
      </c>
    </row>
    <row r="252">
      <c r="A252" s="25" t="inlineStr">
        <is>
          <t>Constraint — Garlic stock never negative</t>
        </is>
      </c>
      <c r="B252" s="25" t="inlineStr">
        <is>
          <t>$E$179:$BD$179  &gt;=  0</t>
        </is>
      </c>
    </row>
    <row r="253">
      <c r="A253" s="25" t="inlineStr">
        <is>
          <t>Constraint — Spinach shelf life</t>
        </is>
      </c>
      <c r="B253" s="25" t="inlineStr">
        <is>
          <t>$E$123:$BD$123  &lt;=  $E$126:$BD$126</t>
        </is>
      </c>
      <c r="G253" s="2" t="inlineStr">
        <is>
          <t>nothing held longer than it keeps</t>
        </is>
      </c>
    </row>
    <row r="254">
      <c r="A254" s="25" t="inlineStr">
        <is>
          <t>Constraint — Kale shelf life</t>
        </is>
      </c>
      <c r="B254" s="25" t="inlineStr">
        <is>
          <t>$E$152:$BD$152  &lt;=  $E$155:$BD$155</t>
        </is>
      </c>
      <c r="G254" s="2" t="inlineStr">
        <is>
          <t>nothing held longer than it keeps</t>
        </is>
      </c>
    </row>
    <row r="255">
      <c r="A255" s="25" t="inlineStr">
        <is>
          <t>Constraint — Garlic shelf life</t>
        </is>
      </c>
      <c r="B255" s="25" t="inlineStr">
        <is>
          <t>$E$179:$BD$179  &lt;=  $E$182:$BD$182</t>
        </is>
      </c>
      <c r="G255" s="2" t="inlineStr">
        <is>
          <t>nothing held longer than it keeps</t>
        </is>
      </c>
    </row>
    <row r="256">
      <c r="A256" s="25" t="inlineStr">
        <is>
          <t>Constraint — cold store</t>
        </is>
      </c>
      <c r="B256" s="25" t="inlineStr">
        <is>
          <t>$E$190:$BD$190  &lt;=  $B$6</t>
        </is>
      </c>
    </row>
    <row r="257">
      <c r="A257" s="25" t="inlineStr">
        <is>
          <t>Constraint — ambient store</t>
        </is>
      </c>
      <c r="B257" s="25" t="inlineStr">
        <is>
          <t>$E$197:$BD$197  &lt;=  $B$7</t>
        </is>
      </c>
    </row>
    <row r="258">
      <c r="A258" s="25" t="inlineStr">
        <is>
          <t>Constraint — land</t>
        </is>
      </c>
      <c r="B258" s="25" t="inlineStr">
        <is>
          <t>$E$99:$BD$99  &lt;=  $B$5</t>
        </is>
      </c>
    </row>
    <row r="259">
      <c r="A259" s="25" t="inlineStr">
        <is>
          <t>Constraint — CASH FLOOR</t>
        </is>
      </c>
      <c r="B259" s="25" t="inlineStr">
        <is>
          <t>$E$218:$BD$218  &gt;=  $E$220:$BD$220</t>
        </is>
      </c>
      <c r="G259" s="2" t="inlineStr">
        <is>
          <t>the app's C13</t>
        </is>
      </c>
    </row>
    <row r="260">
      <c r="A260" s="4" t="inlineStr">
        <is>
          <t>Options</t>
        </is>
      </c>
      <c r="B260" s="25" t="inlineStr">
        <is>
          <t>engine = LibreOffice CoinMP Linear Solver</t>
        </is>
      </c>
      <c r="G260" s="2" t="inlineStr">
        <is>
          <t>tick 'Assume variables as non-negative'</t>
        </is>
      </c>
    </row>
  </sheetData>
  <conditionalFormatting sqref="E102:BD102">
    <cfRule type="cellIs" priority="1" operator="lessThan" dxfId="0">
      <formula>0</formula>
    </cfRule>
  </conditionalFormatting>
  <conditionalFormatting sqref="E99:BD99">
    <cfRule type="cellIs" priority="2" operator="greaterThan" dxfId="0">
      <formula>$B$5</formula>
    </cfRule>
  </conditionalFormatting>
  <conditionalFormatting sqref="E193:BD193">
    <cfRule type="cellIs" priority="3" operator="lessThan" dxfId="0">
      <formula>0</formula>
    </cfRule>
  </conditionalFormatting>
  <conditionalFormatting sqref="E190:BD190">
    <cfRule type="cellIs" priority="4" operator="greaterThan" dxfId="0">
      <formula>$B$6</formula>
    </cfRule>
  </conditionalFormatting>
  <conditionalFormatting sqref="E200:BD200">
    <cfRule type="cellIs" priority="5" operator="lessThan" dxfId="0">
      <formula>0</formula>
    </cfRule>
  </conditionalFormatting>
  <conditionalFormatting sqref="E197:BD197">
    <cfRule type="cellIs" priority="6" operator="greaterThan" dxfId="0">
      <formula>$B$7</formula>
    </cfRule>
  </conditionalFormatting>
  <conditionalFormatting sqref="E221:BD221">
    <cfRule type="cellIs" priority="7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2026-08-30T05:05:58Z</dcterms:created>
  <dcterms:modified xsi:type="dcterms:W3CDTF">2026-08-30T05:05:58Z</dcterms:modified>
</cp:coreProperties>
</file>