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000000"/>
    <numFmt numFmtId="166" formatCode="0.0%"/>
    <numFmt numFmtId="167" formatCode="$#,##0"/>
    <numFmt numFmtId="168" formatCode="$0.00"/>
  </numFmts>
  <fonts count="6">
    <font>
      <name val="Calibri"/>
      <family val="2"/>
      <color theme="1"/>
      <sz val="11"/>
      <scheme val="minor"/>
    </font>
    <font>
      <b val="1"/>
      <sz val="15"/>
    </font>
    <font>
      <i val="1"/>
      <color rgb="00666666"/>
      <sz val="9"/>
    </font>
    <font>
      <b val="1"/>
      <color rgb="001F4E79"/>
      <sz val="12"/>
    </font>
    <font>
      <b val="1"/>
    </font>
    <font>
      <sz val="9"/>
    </font>
  </fonts>
  <fills count="12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8F0FE"/>
      </patternFill>
    </fill>
    <fill>
      <patternFill patternType="solid">
        <fgColor rgb="00FFF0E6"/>
      </patternFill>
    </fill>
    <fill>
      <patternFill patternType="solid">
        <fgColor rgb="00EDF7ED"/>
      </patternFill>
    </fill>
    <fill>
      <patternFill patternType="solid">
        <fgColor rgb="00FDF2F8"/>
      </patternFill>
    </fill>
    <fill>
      <patternFill patternType="solid">
        <fgColor rgb="00D9EAD3"/>
      </patternFill>
    </fill>
    <fill>
      <patternFill patternType="solid">
        <fgColor rgb="00C9DAF8"/>
      </patternFill>
    </fill>
    <fill>
      <patternFill patternType="solid">
        <fgColor rgb="00F2F2F2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164" fontId="0" fillId="2" borderId="1" pivotButton="0" quotePrefix="0" xfId="0"/>
    <xf numFmtId="3" fontId="0" fillId="2" borderId="1" pivotButton="0" quotePrefix="0" xfId="0"/>
    <xf numFmtId="0" fontId="4" fillId="3" borderId="1" pivotButton="0" quotePrefix="0" xfId="0"/>
    <xf numFmtId="0" fontId="0" fillId="0" borderId="1" pivotButton="0" quotePrefix="0" xfId="0"/>
    <xf numFmtId="2" fontId="0" fillId="2" borderId="1" pivotButton="0" quotePrefix="0" xfId="0"/>
    <xf numFmtId="165" fontId="0" fillId="2" borderId="1" pivotButton="0" quotePrefix="0" xfId="0"/>
    <xf numFmtId="0" fontId="0" fillId="4" borderId="1" pivotButton="0" quotePrefix="0" xfId="0"/>
    <xf numFmtId="0" fontId="0" fillId="2" borderId="1" pivotButton="0" quotePrefix="0" xfId="0"/>
    <xf numFmtId="166" fontId="0" fillId="2" borderId="1" pivotButton="0" quotePrefix="0" xfId="0"/>
    <xf numFmtId="167" fontId="0" fillId="2" borderId="1" pivotButton="0" quotePrefix="0" xfId="0"/>
    <xf numFmtId="0" fontId="0" fillId="5" borderId="1" pivotButton="0" quotePrefix="0" xfId="0"/>
    <xf numFmtId="0" fontId="0" fillId="6" borderId="1" pivotButton="0" quotePrefix="0" xfId="0"/>
    <xf numFmtId="168" fontId="0" fillId="2" borderId="1" pivotButton="0" quotePrefix="0" xfId="0"/>
    <xf numFmtId="0" fontId="0" fillId="7" borderId="1" pivotButton="0" quotePrefix="0" xfId="0"/>
    <xf numFmtId="0" fontId="4" fillId="3" borderId="0" pivotButton="0" quotePrefix="0" xfId="0"/>
    <xf numFmtId="0" fontId="4" fillId="8" borderId="0" pivotButton="0" quotePrefix="0" xfId="0"/>
    <xf numFmtId="0" fontId="4" fillId="9" borderId="0" pivotButton="0" quotePrefix="0" xfId="0"/>
    <xf numFmtId="0" fontId="4" fillId="3" borderId="0" applyAlignment="1" pivotButton="0" quotePrefix="0" xfId="0">
      <alignment horizontal="center"/>
    </xf>
    <xf numFmtId="0" fontId="5" fillId="3" borderId="0" pivotButton="0" quotePrefix="0" xfId="0"/>
    <xf numFmtId="0" fontId="5" fillId="0" borderId="0" pivotButton="0" quotePrefix="0" xfId="0"/>
    <xf numFmtId="2" fontId="0" fillId="8" borderId="0" pivotButton="0" quotePrefix="0" xfId="0"/>
    <xf numFmtId="1" fontId="0" fillId="9" borderId="0" pivotButton="0" quotePrefix="0" xfId="0"/>
    <xf numFmtId="0" fontId="5" fillId="10" borderId="0" applyAlignment="1" pivotButton="0" quotePrefix="0" xfId="0">
      <alignment horizontal="center"/>
    </xf>
    <xf numFmtId="164" fontId="5" fillId="0" borderId="0" pivotButton="0" quotePrefix="0" xfId="0"/>
    <xf numFmtId="3" fontId="5" fillId="0" borderId="0" pivotButton="0" quotePrefix="0" xfId="0"/>
    <xf numFmtId="0" fontId="2" fillId="3" borderId="0" pivotButton="0" quotePrefix="0" xfId="0"/>
    <xf numFmtId="164" fontId="0" fillId="0" borderId="0" pivotButton="0" quotePrefix="0" xfId="0"/>
    <xf numFmtId="0" fontId="4" fillId="0" borderId="0" applyAlignment="1" pivotButton="0" quotePrefix="0" xfId="0">
      <alignment horizontal="center"/>
    </xf>
    <xf numFmtId="0" fontId="0" fillId="4" borderId="0" pivotButton="0" quotePrefix="0" xfId="0"/>
    <xf numFmtId="3" fontId="0" fillId="0" borderId="0" pivotButton="0" quotePrefix="0" xfId="0"/>
    <xf numFmtId="0" fontId="5" fillId="6" borderId="0" pivotButton="0" quotePrefix="0" xfId="0"/>
    <xf numFmtId="3" fontId="0" fillId="6" borderId="0" pivotButton="0" quotePrefix="0" xfId="0"/>
    <xf numFmtId="3" fontId="0" fillId="8" borderId="0" pivotButton="0" quotePrefix="0" xfId="0"/>
    <xf numFmtId="0" fontId="4" fillId="6" borderId="0" pivotButton="0" quotePrefix="0" xfId="0"/>
    <xf numFmtId="0" fontId="5" fillId="7" borderId="0" pivotButton="0" quotePrefix="0" xfId="0"/>
    <xf numFmtId="3" fontId="0" fillId="7" borderId="0" pivotButton="0" quotePrefix="0" xfId="0"/>
    <xf numFmtId="0" fontId="4" fillId="7" borderId="0" pivotButton="0" quotePrefix="0" xfId="0"/>
    <xf numFmtId="164" fontId="0" fillId="4" borderId="0" pivotButton="0" quotePrefix="0" xfId="0"/>
    <xf numFmtId="0" fontId="5" fillId="11" borderId="0" pivotButton="0" quotePrefix="0" xfId="0"/>
    <xf numFmtId="3" fontId="0" fillId="11" borderId="0" pivotButton="0" quotePrefix="0" xfId="0"/>
    <xf numFmtId="0" fontId="0" fillId="5" borderId="0" pivotButton="0" quotePrefix="0" xfId="0"/>
    <xf numFmtId="164" fontId="0" fillId="5" borderId="0" pivotButton="0" quotePrefix="0" xfId="0"/>
    <xf numFmtId="0" fontId="4" fillId="4" borderId="0" pivotButton="0" quotePrefix="0" xfId="0"/>
    <xf numFmtId="0" fontId="4" fillId="5" borderId="0" pivotButton="0" quotePrefix="0" xfId="0"/>
    <xf numFmtId="167" fontId="4" fillId="0" borderId="0" pivotButton="0" quotePrefix="0" xfId="0"/>
    <xf numFmtId="167" fontId="4" fillId="8" borderId="0" pivotButton="0" quotePrefix="0" xfId="0"/>
    <xf numFmtId="1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6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Farm toy model — v5: THE FULL CALENDAR</t>
        </is>
      </c>
    </row>
    <row r="2">
      <c r="A2" t="inlineStr"/>
    </row>
    <row r="3">
      <c r="A3" s="2" t="inlineStr">
        <is>
          <t>WHAT v5 ADDS — both of these you spotted missing from v4</t>
        </is>
      </c>
    </row>
    <row r="4">
      <c r="A4" t="inlineStr"/>
    </row>
    <row r="5">
      <c r="A5" s="3" t="inlineStr">
        <is>
          <t>1. IT CHOOSES WHEN TO PLANT.</t>
        </is>
      </c>
    </row>
    <row r="6">
      <c r="A6" t="inlineStr">
        <is>
          <t xml:space="preserve">   All 68 plantings the app's calendar generator offers are on the sheet, one row per legal</t>
        </is>
      </c>
    </row>
    <row r="7">
      <c r="A7" t="inlineStr">
        <is>
          <t xml:space="preserve">   start week. The solver puts acres on some and zero on others — and zero acres IS the</t>
        </is>
      </c>
    </row>
    <row r="8">
      <c r="A8" t="inlineStr">
        <is>
          <t xml:space="preserve">   decision not to plant that week. v4 offered five that I picked by hand.</t>
        </is>
      </c>
    </row>
    <row r="9">
      <c r="A9" t="inlineStr"/>
    </row>
    <row r="10">
      <c r="A10" s="3" t="inlineStr">
        <is>
          <t>2. IT CHOOSES WHETHER TO PLANT AT ALL.</t>
        </is>
      </c>
    </row>
    <row r="11">
      <c r="A11" t="inlineStr">
        <is>
          <t xml:space="preserve">   The BLUE column is a binary per planting, tied to the acres by two constraints that are</t>
        </is>
      </c>
    </row>
    <row r="12">
      <c r="A12" t="inlineStr">
        <is>
          <t xml:space="preserve">   the app's own C9 and C10:</t>
        </is>
      </c>
    </row>
    <row r="13">
      <c r="A13" t="inlineStr">
        <is>
          <t xml:space="preserve">        acres &lt;= 'max if planted'   you cannot plant acres without deciding to plant</t>
        </is>
      </c>
    </row>
    <row r="14">
      <c r="A14" t="inlineStr">
        <is>
          <t xml:space="preserve">        acres &gt;= 'min if planted'   if you plant at all, you plant a real block</t>
        </is>
      </c>
    </row>
    <row r="15">
      <c r="A15" t="inlineStr">
        <is>
          <t xml:space="preserve">   That is what stops it planting a third of an acre, and it makes this a MILP — which is</t>
        </is>
      </c>
    </row>
    <row r="16">
      <c r="A16" t="inlineStr">
        <is>
          <t xml:space="preserve">   what farm_v2/solver.py is. Its `integrality` array marks the very same y block.</t>
        </is>
      </c>
    </row>
    <row r="17">
      <c r="A17" t="inlineStr"/>
    </row>
    <row r="18">
      <c r="A18" s="2" t="inlineStr">
        <is>
          <t>WHAT THE TWO CHANGES ARE WORTH — measured, and they pull OPPOSITE ways</t>
        </is>
      </c>
    </row>
    <row r="19">
      <c r="A19" t="inlineStr">
        <is>
          <t xml:space="preserve">     v4, five hand-picked plantings          $1,094,831</t>
        </is>
      </c>
    </row>
    <row r="20">
      <c r="A20" t="inlineStr">
        <is>
          <t xml:space="preserve">     v5 without the minimum-acreage rule     $2,387,990   (42 plantings)</t>
        </is>
      </c>
    </row>
    <row r="21">
      <c r="A21" s="3" t="inlineStr">
        <is>
          <t xml:space="preserve">     v5 as it ships                          $2,384,231   (33 plantings)</t>
        </is>
      </c>
    </row>
    <row r="22">
      <c r="A22" t="inlineStr"/>
    </row>
    <row r="23">
      <c r="A23" t="inlineStr">
        <is>
          <t>Letting it choose the weeks more than doubles profit. Then the minimum-acreage rule takes</t>
        </is>
      </c>
    </row>
    <row r="24">
      <c r="A24" t="inlineStr">
        <is>
          <t>$3,759 back and drops the plan from 42 plantings to 33, because the</t>
        </is>
      </c>
    </row>
    <row r="25">
      <c r="A25" t="inlineStr">
        <is>
          <t>slivers are gone.</t>
        </is>
      </c>
    </row>
    <row r="26">
      <c r="A26" t="inlineStr"/>
    </row>
    <row r="27">
      <c r="A27" t="inlineStr">
        <is>
          <t>Neither number means anything alone. A fixed calendar UNDERSTATES; a missing minimum</t>
        </is>
      </c>
    </row>
    <row r="28">
      <c r="A28" t="inlineStr">
        <is>
          <t>acreage OVERSTATES. That is why the real model has both, and it is the reason it is a MILP</t>
        </is>
      </c>
    </row>
    <row r="29">
      <c r="A29" t="inlineStr">
        <is>
          <t>rather than a plain LP.</t>
        </is>
      </c>
    </row>
    <row r="30">
      <c r="A30" t="inlineStr"/>
    </row>
    <row r="31">
      <c r="A31" s="2" t="inlineStr">
        <is>
          <t>WHY IT PLANTS SO MANY — this is the finding worth keeping</t>
        </is>
      </c>
    </row>
    <row r="32">
      <c r="A32" t="inlineStr">
        <is>
          <t>33 plantings out of 68, staggered across the season rather than a few big</t>
        </is>
      </c>
    </row>
    <row r="33">
      <c r="A33" t="inlineStr">
        <is>
          <t>blocks. That is SUCCESSION PLANTING, and now you can see why it pays: spreading the harvest</t>
        </is>
      </c>
    </row>
    <row r="34">
      <c r="A34" t="inlineStr">
        <is>
          <t>is what lets you serve a WEEKLY demand cap continuously. Plant it all at once and one huge</t>
        </is>
      </c>
    </row>
    <row r="35">
      <c r="A35" t="inlineStr">
        <is>
          <t>harvest slams into the ceiling, the cooler fills, and the surplus is wasted or dumped cheap.</t>
        </is>
      </c>
    </row>
    <row r="36">
      <c r="A36" t="inlineStr"/>
    </row>
    <row r="37">
      <c r="A37" t="inlineStr">
        <is>
          <t>A model with a fixed planting calendar cannot express the thing the practice exists for.</t>
        </is>
      </c>
    </row>
    <row r="38">
      <c r="A38" t="inlineStr"/>
    </row>
    <row r="39">
      <c r="A39" s="2" t="inlineStr">
        <is>
          <t>!! IT NEEDS LIBREOFFICE, AND THIS ONE IS A REAL MILP</t>
        </is>
      </c>
    </row>
    <row r="40">
      <c r="A40" t="inlineStr">
        <is>
          <t>448 decision cells: 68 acres + 68 binaries + 312 offered. The engine MUST be</t>
        </is>
      </c>
    </row>
    <row r="41">
      <c r="A41" t="inlineStr">
        <is>
          <t>CoinMP — it does branch and bound over the integers. Expect it to take appreciably longer</t>
        </is>
      </c>
    </row>
    <row r="42">
      <c r="A42" t="inlineStr">
        <is>
          <t>than v4; integers are what make an optimizer work for its living.</t>
        </is>
      </c>
    </row>
    <row r="43">
      <c r="A43" t="inlineStr"/>
    </row>
    <row r="44">
      <c r="A44" s="2" t="inlineStr">
        <is>
          <t>WHERE THINGS ARE</t>
        </is>
      </c>
    </row>
    <row r="45">
      <c r="A45" t="inlineStr">
        <is>
          <t xml:space="preserve">  YELLOW   you type: the farm, the crop table, the crop x channel table.</t>
        </is>
      </c>
    </row>
    <row r="46">
      <c r="A46" t="inlineStr">
        <is>
          <t xml:space="preserve">  GREEN    the solver writes: the ACRES column (C28:C95), the six OFFERED rows, and</t>
        </is>
      </c>
    </row>
    <row r="47">
      <c r="A47" t="inlineStr">
        <is>
          <t xml:space="preserve">           the PROFIT cell (B200).</t>
        </is>
      </c>
    </row>
    <row r="48">
      <c r="A48" t="inlineStr">
        <is>
          <t xml:space="preserve">  BLUE     the solver writes: the PLANT? binaries (D28:D95).</t>
        </is>
      </c>
    </row>
    <row r="49">
      <c r="A49" t="inlineStr">
        <is>
          <t xml:space="preserve">  Everything else is a formula. Columns A-D stay put when you scroll right.</t>
        </is>
      </c>
    </row>
    <row r="50">
      <c r="A50" t="inlineStr"/>
    </row>
    <row r="51">
      <c r="A51" s="2" t="inlineStr">
        <is>
          <t>HOW TO RUN IT</t>
        </is>
      </c>
    </row>
    <row r="52">
      <c r="A52" t="inlineStr">
        <is>
          <t>Section 7 lists every entry with exact ranges. In short:</t>
        </is>
      </c>
    </row>
    <row r="53">
      <c r="A53" t="inlineStr">
        <is>
          <t xml:space="preserve">   Tools &gt; Solver, target the PROFIT cell, set to MAXIMUM</t>
        </is>
      </c>
    </row>
    <row r="54">
      <c r="A54" t="inlineStr">
        <is>
          <t xml:space="preserve">   Changing cells: C28:C95 and D28:D95 together, plus the six OFFERED rows</t>
        </is>
      </c>
    </row>
    <row r="55">
      <c r="A55" t="inlineStr">
        <is>
          <t xml:space="preserve">   Add the constraint  D28:D95 = Binary   — without it the binaries are just numbers</t>
        </is>
      </c>
    </row>
    <row r="56">
      <c r="A56" t="inlineStr">
        <is>
          <t xml:space="preserve">   and the minimum-acreage rule silently stops working</t>
        </is>
      </c>
    </row>
    <row r="57">
      <c r="A57" t="inlineStr">
        <is>
          <t xml:space="preserve">   Options: engine = LibreOffice CoinMP Linear Solver; tick non-negative</t>
        </is>
      </c>
    </row>
    <row r="58">
      <c r="A58" t="inlineStr"/>
    </row>
    <row r="59">
      <c r="A59" s="2" t="inlineStr">
        <is>
          <t>WHAT IT SHOULD FIND</t>
        </is>
      </c>
    </row>
    <row r="60">
      <c r="A60" s="3" t="inlineStr">
        <is>
          <t xml:space="preserve">     PROFIT   $2,384,231      = revenue $2,558,846 - growing cost $174,616</t>
        </is>
      </c>
    </row>
    <row r="61">
      <c r="A61" s="3" t="inlineStr">
        <is>
          <t xml:space="preserve">     33 of 68 plantings used</t>
        </is>
      </c>
    </row>
    <row r="62">
      <c r="A62" t="inlineStr"/>
    </row>
    <row r="63">
      <c r="A63" t="inlineStr">
        <is>
          <t>Computed by solving the same MILP with scipy.milp — the same HiGHS solver your app runs. A</t>
        </is>
      </c>
    </row>
    <row r="64">
      <c r="A64" t="inlineStr">
        <is>
          <t>few dollars apart is tolerances. Materially different means one of the two models is not the</t>
        </is>
      </c>
    </row>
    <row r="65">
      <c r="A65" t="inlineStr">
        <is>
          <t>model we think it is.</t>
        </is>
      </c>
    </row>
    <row r="66">
      <c r="A66" t="inlineStr"/>
    </row>
    <row r="67">
      <c r="A67" s="2" t="inlineStr">
        <is>
          <t>WHAT SELL-THROUGH IS, AND WHY IT SHIPS AT 1.00</t>
        </is>
      </c>
    </row>
    <row r="68">
      <c r="A68" t="inlineStr">
        <is>
          <t>Every 'Sell-through' in section 3 is 1.00, matching the app since 30 Aug. The 85% it used to</t>
        </is>
      </c>
    </row>
    <row r="69">
      <c r="A69" t="inlineStr">
        <is>
          <t>carry had no source, and it was being charged on channels where a purchase order exists and</t>
        </is>
      </c>
    </row>
    <row r="70">
      <c r="A70" t="inlineStr">
        <is>
          <t>nothing goes unsold. So the market-loss and returned-to-store rows all read ZERO right now.</t>
        </is>
      </c>
    </row>
    <row r="71">
      <c r="A71" t="inlineStr">
        <is>
          <t>That is correct, not broken.</t>
        </is>
      </c>
    </row>
    <row r="72">
      <c r="A72" t="inlineStr"/>
    </row>
    <row r="73">
      <c r="A73" t="inlineStr">
        <is>
          <t>The narrow definition it now carries:</t>
        </is>
      </c>
    </row>
    <row r="74">
      <c r="A74" t="inlineStr"/>
    </row>
    <row r="75">
      <c r="A75" s="3" t="inlineStr">
        <is>
          <t xml:space="preserve">     Of what you TAKE TO MARKET, the share that converts to cash — display attrition at a</t>
        </is>
      </c>
    </row>
    <row r="76">
      <c r="A76" s="3" t="inlineStr">
        <is>
          <t xml:space="preserve">     stall, samples, transit damage, a rejected load.</t>
        </is>
      </c>
    </row>
    <row r="77">
      <c r="A77" t="inlineStr"/>
    </row>
    <row r="78">
      <c r="A78" t="inlineStr">
        <is>
          <t>NOT grade-out at harvest (that is pack-out, above the store). NOT spoilage in the store (that</t>
        </is>
      </c>
    </row>
    <row r="79">
      <c r="A79" t="inlineStr">
        <is>
          <t>is shrink). And NOT demand uncertainty — which is the one worth understanding, because it is</t>
        </is>
      </c>
    </row>
    <row r="80">
      <c r="A80" t="inlineStr">
        <is>
          <t>why the old wording could not be right:</t>
        </is>
      </c>
    </row>
    <row r="81">
      <c r="A81" t="inlineStr"/>
    </row>
    <row r="82">
      <c r="A82" t="inlineStr">
        <is>
          <t xml:space="preserve">     The demand ceiling is HARD. At a 6,000 lb cap and 0.85, selling 6,000 means bringing</t>
        </is>
      </c>
    </row>
    <row r="83">
      <c r="A83" t="inlineStr">
        <is>
          <t xml:space="preserve">     7,059 and losing 1,059 — every week, including the best Saturday of the year, because</t>
        </is>
      </c>
    </row>
    <row r="84">
      <c r="A84" t="inlineStr">
        <is>
          <t xml:space="preserve">     the model will never let you sell 6,001. That is the whole downside of bringing extra</t>
        </is>
      </c>
    </row>
    <row r="85">
      <c r="A85" t="inlineStr">
        <is>
          <t xml:space="preserve">     with none of the upside. It is not a model of uncertainty; it is a one-sided penalty.</t>
        </is>
      </c>
    </row>
    <row r="86">
      <c r="A86" t="inlineStr"/>
    </row>
    <row r="87">
      <c r="A87" t="inlineStr">
        <is>
          <t>So what it CAN mean is a display requirement: a picked-over stall sells less than a full one,</t>
        </is>
      </c>
    </row>
    <row r="88">
      <c r="A88" t="inlineStr">
        <is>
          <t>so moving 6,000 lb needs more than 6,000 lb on the table. Deterministic, and an input</t>
        </is>
      </c>
    </row>
    <row r="89">
      <c r="A89" t="inlineStr">
        <is>
          <t>requirement like seed. Real demand variance is a different problem (newsvendor) needing</t>
        </is>
      </c>
    </row>
    <row r="90">
      <c r="A90" t="inlineStr">
        <is>
          <t>machinery neither this sheet nor the app has yet.</t>
        </is>
      </c>
    </row>
    <row r="91">
      <c r="A91" t="inlineStr"/>
    </row>
    <row r="92">
      <c r="A92" s="2" t="inlineStr">
        <is>
          <t>THREE THINGS TO TRY</t>
        </is>
      </c>
    </row>
    <row r="93">
      <c r="A93" t="inlineStr"/>
    </row>
    <row r="94">
      <c r="A94" s="3" t="inlineStr">
        <is>
          <t>EXPERIMENT 1 — switch sell-through on, and watch the crop decide what happens.</t>
        </is>
      </c>
    </row>
    <row r="95">
      <c r="A95" s="3" t="inlineStr">
        <is>
          <t xml:space="preserve">   In section 3 set Spinach / {CH1} sell-through to 0.85, and Garlic / {CH1} to 0.85 too.</t>
        </is>
      </c>
    </row>
    <row r="96">
      <c r="A96" s="3" t="inlineStr">
        <is>
          <t xml:space="preserve">   Re-solve.</t>
        </is>
      </c>
    </row>
    <row r="97">
      <c r="A97" t="inlineStr">
        <is>
          <t xml:space="preserve">   Both now offer more than they sell. But look at the two 'market loss' rows: Spinach's is</t>
        </is>
      </c>
    </row>
    <row r="98">
      <c r="A98" t="inlineStr">
        <is>
          <t xml:space="preserve">   positive and Garlic's is ZERO, because garlic's 'Returns to store' is 1.00 — unsold garlic</t>
        </is>
      </c>
    </row>
    <row r="99">
      <c r="A99" t="inlineStr">
        <is>
          <t xml:space="preserve">   comes home and sells later, so the loss is a DELAY, not a loss.</t>
        </is>
      </c>
    </row>
    <row r="100">
      <c r="A100" t="inlineStr">
        <is>
          <t xml:space="preserve">   That is the grower's ruling in two cells: the same sell-through means different things on</t>
        </is>
      </c>
    </row>
    <row r="101">
      <c r="A101" t="inlineStr">
        <is>
          <t xml:space="preserve">   different crops, which is why it belongs on the crop x channel row and not on either one</t>
        </is>
      </c>
    </row>
    <row r="102">
      <c r="A102" t="inlineStr">
        <is>
          <t xml:space="preserve">   alone. Now set Garlic's 'Returns to store' to 0.00 and re-solve: the delay becomes a loss</t>
        </is>
      </c>
    </row>
    <row r="103">
      <c r="A103" t="inlineStr">
        <is>
          <t xml:space="preserve">   and the plan changes.</t>
        </is>
      </c>
    </row>
    <row r="104">
      <c r="A104" t="inlineStr"/>
    </row>
    <row r="105">
      <c r="A105" s="3" t="inlineStr">
        <is>
          <t>EXPERIMENT 2 — drop the minimum acreage.  Set every 'Min acres if planted' in the crop</t>
        </is>
      </c>
    </row>
    <row r="106">
      <c r="A106" s="3" t="inlineStr">
        <is>
          <t xml:space="preserve">   table to 0 and re-solve.</t>
        </is>
      </c>
    </row>
    <row r="107">
      <c r="A107" t="inlineStr">
        <is>
          <t xml:space="preserve">   Expect $2,387,990 and 42 plantings. The extra profit is real but the plan is</t>
        </is>
      </c>
    </row>
    <row r="108">
      <c r="A108" t="inlineStr">
        <is>
          <t xml:space="preserve">   not: it plants fractions of an acre no one would drive a tractor out for. This is what</t>
        </is>
      </c>
    </row>
    <row r="109">
      <c r="A109" t="inlineStr">
        <is>
          <t xml:space="preserve">   the binaries are FOR, and it is why the app carries them.</t>
        </is>
      </c>
    </row>
    <row r="110">
      <c r="A110" t="inlineStr"/>
    </row>
    <row r="111">
      <c r="A111" s="3" t="inlineStr">
        <is>
          <t>EXPERIMENT 3 — take away the cooler.  Set the cold store to 40 m3 and re-solve.</t>
        </is>
      </c>
    </row>
    <row r="112">
      <c r="A112" t="inlineStr">
        <is>
          <t xml:space="preserve">   Watch WHICH WEEKS it abandons, not just which crop. With a full calendar it can retreat</t>
        </is>
      </c>
    </row>
    <row r="113">
      <c r="A113" t="inlineStr">
        <is>
          <t xml:space="preserve">   to a planting pattern that keeps the cooler under its ceiling — an answer v4 could not</t>
        </is>
      </c>
    </row>
    <row r="114">
      <c r="A114" t="inlineStr">
        <is>
          <t xml:space="preserve">   even represent.</t>
        </is>
      </c>
    </row>
    <row r="115">
      <c r="A115" t="inlineStr"/>
    </row>
    <row r="116">
      <c r="A116" s="2" t="inlineStr">
        <is>
          <t>WHAT v5 STILL DOES NOT CARRY</t>
        </is>
      </c>
    </row>
    <row r="117">
      <c r="A117" t="inlineStr">
        <is>
          <t xml:space="preserve">  - Costs are seed/transplant per acre ONLY: no labour, water, packaging, storage, overhead.</t>
        </is>
      </c>
    </row>
    <row r="118">
      <c r="A118" t="inlineStr">
        <is>
          <t xml:space="preserve">    Profit is therefore far too high. The cash layer is next.</t>
        </is>
      </c>
    </row>
    <row r="119">
      <c r="A119" t="inlineStr">
        <is>
          <t xml:space="preserve">  - No cash-flow constraint, so it can spend money it does not have.</t>
        </is>
      </c>
    </row>
    <row r="120">
      <c r="A120" t="inlineStr">
        <is>
          <t xml:space="preserve">  - Shelf life IS enforced now (a real constraint since you found it dead). Shrink is wired</t>
        </is>
      </c>
    </row>
    <row r="121">
      <c r="A121" t="inlineStr">
        <is>
          <t xml:space="preserve">    too, but defaults to 0%, so it stays invisible until you set it.</t>
        </is>
      </c>
    </row>
    <row r="122">
      <c r="A122" t="inlineStr">
        <is>
          <t xml:space="preserve">  - No water, labour, diversity or throughput limits.</t>
        </is>
      </c>
    </row>
    <row r="123">
      <c r="A123" t="inlineStr">
        <is>
          <t xml:space="preserve">  - Three crops, not seven.</t>
        </is>
      </c>
    </row>
    <row r="124">
      <c r="A124" t="inlineStr"/>
    </row>
    <row r="125">
      <c r="A125" s="2" t="inlineStr">
        <is>
          <t>!! THE SCALE WARNING</t>
        </is>
      </c>
    </row>
    <row r="126">
      <c r="A126" t="inlineStr">
        <is>
          <t>An optimizer's answer is far more scale-sensitive than a calculator's: which constraint binds,</t>
        </is>
      </c>
    </row>
    <row r="127">
      <c r="A127" t="inlineStr">
        <is>
          <t>and therefore which crop and which WEEK wins, can invert between 3 crops and 7. This teaches</t>
        </is>
      </c>
    </row>
    <row r="128">
      <c r="A128" t="inlineStr">
        <is>
          <t>the machinery. It is not advice about your farm.</t>
        </is>
      </c>
    </row>
    <row r="129">
      <c r="A129" t="inlineStr"/>
    </row>
    <row r="130">
      <c r="A130" s="2" t="inlineStr">
        <is>
          <t>HAS THIS SHEET BEEN CHECKED?</t>
        </is>
      </c>
    </row>
    <row r="131">
      <c r="A131" t="inlineStr">
        <is>
          <t>Yes. Crop data, the calendar and the demand caps are read from the app. The formulas are</t>
        </is>
      </c>
    </row>
    <row r="132">
      <c r="A132" t="inlineStr">
        <is>
          <t>calculated by an engine and compared cell by cell against an independent model under three</t>
        </is>
      </c>
    </row>
    <row r="133">
      <c r="A133" t="inlineStr">
        <is>
          <t>configurations. Every input is perturbed to prove it propagates. No number is frozen. And the</t>
        </is>
      </c>
    </row>
    <row r="134">
      <c r="A134" t="inlineStr">
        <is>
          <t>same MILP is solved with scipy.milp, its answer written into the decision cells, and the</t>
        </is>
      </c>
    </row>
    <row r="135">
      <c r="A135" t="inlineStr">
        <is>
          <t>sheet's own PROFIT cell must reproduce the optimum exactly.</t>
        </is>
      </c>
    </row>
    <row r="136">
      <c r="A136" t="inlineStr">
        <is>
          <t xml:space="preserve">     Run it yourself:   .venv/bin/python toy_models/verify_toy_v5.py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28"/>
  <sheetViews>
    <sheetView workbookViewId="0">
      <pane xSplit="4" topLeftCell="E1" activePane="topRight" state="frozen"/>
      <selection pane="topRight" activeCell="A1" sqref="A1"/>
    </sheetView>
  </sheetViews>
  <sheetFormatPr baseColWidth="8" defaultRowHeight="15"/>
  <cols>
    <col width="30" customWidth="1" min="1" max="1"/>
    <col width="14" customWidth="1" min="2" max="2"/>
    <col width="8" customWidth="1" min="3" max="3"/>
    <col width="6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  <col width="7.5" customWidth="1" min="42" max="42"/>
    <col width="7.5" customWidth="1" min="43" max="43"/>
    <col width="7.5" customWidth="1" min="44" max="44"/>
    <col width="7.5" customWidth="1" min="45" max="45"/>
    <col width="7.5" customWidth="1" min="46" max="46"/>
    <col width="7.5" customWidth="1" min="47" max="47"/>
    <col width="7.5" customWidth="1" min="48" max="48"/>
    <col width="7.5" customWidth="1" min="49" max="49"/>
    <col width="7.5" customWidth="1" min="50" max="50"/>
    <col width="7.5" customWidth="1" min="51" max="51"/>
    <col width="7.5" customWidth="1" min="52" max="52"/>
    <col width="7.5" customWidth="1" min="53" max="53"/>
    <col width="7.5" customWidth="1" min="54" max="54"/>
    <col width="7.5" customWidth="1" min="55" max="55"/>
    <col width="7.5" customWidth="1" min="56" max="56"/>
    <col width="11" customWidth="1" min="57" max="57"/>
    <col width="11" customWidth="1" min="58" max="58"/>
    <col width="11" customWidth="1" min="59" max="59"/>
  </cols>
  <sheetData>
    <row r="1">
      <c r="A1" s="1" t="inlineStr">
        <is>
          <t>FARM TOY MODEL — v5: the full calendar (a MILP)</t>
        </is>
      </c>
    </row>
    <row r="2">
      <c r="A2" s="4" t="inlineStr">
        <is>
          <t>YELLOW = you type.  GREEN = the solver writes.  BLUE = the solver's plant/don't-plant switches.  Read the 'READ ME' sheet first.</t>
        </is>
      </c>
    </row>
    <row r="4">
      <c r="A4" s="2" t="inlineStr">
        <is>
          <t>1 — THE FARM</t>
        </is>
      </c>
    </row>
    <row r="5">
      <c r="A5" s="3" t="inlineStr">
        <is>
          <t>Land you have</t>
        </is>
      </c>
      <c r="B5" s="5" t="n">
        <v>80</v>
      </c>
      <c r="C5" s="4" t="inlineStr">
        <is>
          <t>acres</t>
        </is>
      </c>
    </row>
    <row r="6">
      <c r="A6" s="3" t="inlineStr">
        <is>
          <t>Cold store (cooler)</t>
        </is>
      </c>
      <c r="B6" s="6" t="n">
        <v>275</v>
      </c>
      <c r="C6" s="4" t="inlineStr">
        <is>
          <t>m3 — Spinach, Kale</t>
        </is>
      </c>
    </row>
    <row r="7">
      <c r="A7" s="3" t="inlineStr">
        <is>
          <t>Ambient store (barn)</t>
        </is>
      </c>
      <c r="B7" s="6" t="n">
        <v>150</v>
      </c>
      <c r="C7" s="4" t="inlineStr">
        <is>
          <t>m3 — Garlic</t>
        </is>
      </c>
    </row>
    <row r="9">
      <c r="A9" s="2" t="inlineStr">
        <is>
          <t>2 — HOW EACH CROP BEHAVES</t>
        </is>
      </c>
    </row>
    <row r="10">
      <c r="A10" s="7" t="inlineStr">
        <is>
          <t>Crop</t>
        </is>
      </c>
      <c r="B10" s="7" t="inlineStr">
        <is>
          <t>Yield lb/acre</t>
        </is>
      </c>
      <c r="C10" s="7" t="inlineStr">
        <is>
          <t>Pack-out</t>
        </is>
      </c>
      <c r="D10" s="7" t="inlineStr">
        <is>
          <t>m3 per lb</t>
        </is>
      </c>
      <c r="E10" s="7" t="inlineStr">
        <is>
          <t>Store</t>
        </is>
      </c>
      <c r="F10" s="7" t="inlineStr">
        <is>
          <t>Shelf life wk</t>
        </is>
      </c>
      <c r="G10" s="7" t="inlineStr">
        <is>
          <t>Shrink %/wk</t>
        </is>
      </c>
      <c r="H10" s="7" t="inlineStr">
        <is>
          <t>Growing $/acre</t>
        </is>
      </c>
      <c r="I10" s="7" t="inlineStr">
        <is>
          <t>Min acres if planted</t>
        </is>
      </c>
    </row>
    <row r="11">
      <c r="A11" s="8" t="inlineStr">
        <is>
          <t>Spinach</t>
        </is>
      </c>
      <c r="B11" s="6" t="n">
        <v>5000</v>
      </c>
      <c r="C11" s="9" t="n">
        <v>1</v>
      </c>
      <c r="D11" s="10" t="n">
        <v>0.002197967741935484</v>
      </c>
      <c r="E11" s="11" t="inlineStr">
        <is>
          <t>Cold</t>
        </is>
      </c>
      <c r="F11" s="12" t="n">
        <v>2</v>
      </c>
      <c r="G11" s="13" t="n">
        <v>0</v>
      </c>
      <c r="H11" s="14" t="n">
        <v>280</v>
      </c>
      <c r="I11" s="5" t="n">
        <v>2</v>
      </c>
    </row>
    <row r="12">
      <c r="A12" s="8" t="inlineStr">
        <is>
          <t>Kale</t>
        </is>
      </c>
      <c r="B12" s="6" t="n">
        <v>8000</v>
      </c>
      <c r="C12" s="9" t="n">
        <v>1</v>
      </c>
      <c r="D12" s="10" t="n">
        <v>0.003785388888888889</v>
      </c>
      <c r="E12" s="11" t="inlineStr">
        <is>
          <t>Cold</t>
        </is>
      </c>
      <c r="F12" s="12" t="n">
        <v>2</v>
      </c>
      <c r="G12" s="13" t="n">
        <v>0</v>
      </c>
      <c r="H12" s="14" t="n">
        <v>1089</v>
      </c>
      <c r="I12" s="5" t="n">
        <v>2</v>
      </c>
    </row>
    <row r="13">
      <c r="A13" s="8" t="inlineStr">
        <is>
          <t>Garlic</t>
        </is>
      </c>
      <c r="B13" s="6" t="n">
        <v>10000</v>
      </c>
      <c r="C13" s="9" t="n">
        <v>1</v>
      </c>
      <c r="D13" s="10" t="n">
        <v>0.001195385964912281</v>
      </c>
      <c r="E13" s="15" t="inlineStr">
        <is>
          <t>Ambient</t>
        </is>
      </c>
      <c r="F13" s="12" t="n">
        <v>16</v>
      </c>
      <c r="G13" s="13" t="n">
        <v>0</v>
      </c>
      <c r="H13" s="14" t="n">
        <v>2500</v>
      </c>
      <c r="I13" s="5" t="n">
        <v>2</v>
      </c>
    </row>
    <row r="14">
      <c r="A14" s="4" t="inlineStr">
        <is>
          <t>'Min acres if planted' is what the plant/don't-plant switch enforces — see section 4.</t>
        </is>
      </c>
    </row>
    <row r="16">
      <c r="A16" s="2" t="inlineStr">
        <is>
          <t>3 — WHO BUYS IT   (one row per crop x channel — the grower's ruling)</t>
        </is>
      </c>
    </row>
    <row r="17">
      <c r="A17" s="7" t="inlineStr">
        <is>
          <t>Crop</t>
        </is>
      </c>
      <c r="B17" s="7" t="inlineStr">
        <is>
          <t>Channel</t>
        </is>
      </c>
      <c r="C17" s="7" t="inlineStr">
        <is>
          <t>Cap type</t>
        </is>
      </c>
      <c r="D17" s="7" t="inlineStr">
        <is>
          <t>Cap lb</t>
        </is>
      </c>
      <c r="E17" s="7" t="inlineStr">
        <is>
          <t>From wk</t>
        </is>
      </c>
      <c r="F17" s="7" t="inlineStr">
        <is>
          <t>To wk</t>
        </is>
      </c>
      <c r="G17" s="7" t="inlineStr">
        <is>
          <t>Sell-through</t>
        </is>
      </c>
      <c r="H17" s="7" t="inlineStr">
        <is>
          <t>Returns to store</t>
        </is>
      </c>
      <c r="I17" s="7" t="inlineStr">
        <is>
          <t>Price $/lb</t>
        </is>
      </c>
    </row>
    <row r="18">
      <c r="A18" s="8" t="inlineStr">
        <is>
          <t>Spinach</t>
        </is>
      </c>
      <c r="B18" s="16" t="inlineStr">
        <is>
          <t>Farmers Market</t>
        </is>
      </c>
      <c r="C18" s="12" t="inlineStr">
        <is>
          <t>Weekly</t>
        </is>
      </c>
      <c r="D18" s="6" t="n">
        <v>6000</v>
      </c>
      <c r="E18" s="12" t="n">
        <v>10</v>
      </c>
      <c r="F18" s="12" t="n">
        <v>48</v>
      </c>
      <c r="G18" s="9" t="n">
        <v>1</v>
      </c>
      <c r="H18" s="9" t="n">
        <v>0</v>
      </c>
      <c r="I18" s="17" t="n">
        <v>2.75</v>
      </c>
    </row>
    <row r="19">
      <c r="A19" s="8" t="inlineStr">
        <is>
          <t>Spinach</t>
        </is>
      </c>
      <c r="B19" s="18" t="inlineStr">
        <is>
          <t>Wholesale</t>
        </is>
      </c>
      <c r="C19" s="12" t="inlineStr">
        <is>
          <t>Weekly</t>
        </is>
      </c>
      <c r="D19" s="6" t="n">
        <v>25000</v>
      </c>
      <c r="E19" s="12" t="n">
        <v>1</v>
      </c>
      <c r="F19" s="12" t="n">
        <v>52</v>
      </c>
      <c r="G19" s="9" t="n">
        <v>1</v>
      </c>
      <c r="H19" s="9" t="n">
        <v>0</v>
      </c>
      <c r="I19" s="17" t="n">
        <v>1</v>
      </c>
    </row>
    <row r="20">
      <c r="A20" s="8" t="inlineStr">
        <is>
          <t>Kale</t>
        </is>
      </c>
      <c r="B20" s="16" t="inlineStr">
        <is>
          <t>Farmers Market</t>
        </is>
      </c>
      <c r="C20" s="12" t="inlineStr">
        <is>
          <t>Weekly</t>
        </is>
      </c>
      <c r="D20" s="6" t="n">
        <v>3500</v>
      </c>
      <c r="E20" s="12" t="n">
        <v>10</v>
      </c>
      <c r="F20" s="12" t="n">
        <v>50</v>
      </c>
      <c r="G20" s="9" t="n">
        <v>1</v>
      </c>
      <c r="H20" s="9" t="n">
        <v>0</v>
      </c>
      <c r="I20" s="17" t="n">
        <v>2</v>
      </c>
    </row>
    <row r="21">
      <c r="A21" s="8" t="inlineStr">
        <is>
          <t>Kale</t>
        </is>
      </c>
      <c r="B21" s="18" t="inlineStr">
        <is>
          <t>Wholesale</t>
        </is>
      </c>
      <c r="C21" s="12" t="inlineStr">
        <is>
          <t>Annual</t>
        </is>
      </c>
      <c r="D21" s="6" t="n">
        <v>500000</v>
      </c>
      <c r="E21" s="12" t="n">
        <v>1</v>
      </c>
      <c r="F21" s="12" t="n">
        <v>52</v>
      </c>
      <c r="G21" s="9" t="n">
        <v>1</v>
      </c>
      <c r="H21" s="9" t="n">
        <v>0</v>
      </c>
      <c r="I21" s="17" t="n">
        <v>0.7</v>
      </c>
    </row>
    <row r="22">
      <c r="A22" s="8" t="inlineStr">
        <is>
          <t>Garlic</t>
        </is>
      </c>
      <c r="B22" s="16" t="inlineStr">
        <is>
          <t>Farmers Market</t>
        </is>
      </c>
      <c r="C22" s="12" t="inlineStr">
        <is>
          <t>Weekly</t>
        </is>
      </c>
      <c r="D22" s="6" t="n">
        <v>2000</v>
      </c>
      <c r="E22" s="12" t="n">
        <v>22</v>
      </c>
      <c r="F22" s="12" t="n">
        <v>35</v>
      </c>
      <c r="G22" s="9" t="n">
        <v>1</v>
      </c>
      <c r="H22" s="9" t="n">
        <v>1</v>
      </c>
      <c r="I22" s="17" t="n">
        <v>6</v>
      </c>
    </row>
    <row r="23">
      <c r="A23" s="8" t="inlineStr">
        <is>
          <t>Garlic</t>
        </is>
      </c>
      <c r="B23" s="18" t="inlineStr">
        <is>
          <t>Wholesale</t>
        </is>
      </c>
      <c r="C23" s="12" t="inlineStr">
        <is>
          <t>Weekly</t>
        </is>
      </c>
      <c r="D23" s="6" t="n">
        <v>30000</v>
      </c>
      <c r="E23" s="12" t="n">
        <v>1</v>
      </c>
      <c r="F23" s="12" t="n">
        <v>52</v>
      </c>
      <c r="G23" s="9" t="n">
        <v>1</v>
      </c>
      <c r="H23" s="9" t="n">
        <v>0</v>
      </c>
      <c r="I23" s="17" t="n">
        <v>2.75</v>
      </c>
    </row>
    <row r="25">
      <c r="A25" s="2" t="inlineStr">
        <is>
          <t>4 — THE PLANTING CALENDAR   (68 possible plantings — the solver picks)</t>
        </is>
      </c>
    </row>
    <row r="26">
      <c r="A26" s="4" t="inlineStr">
        <is>
          <t>One row per legal start week, exactly what the app's generator offers. ACRES and PLANT? are both decisions.</t>
        </is>
      </c>
    </row>
    <row r="27">
      <c r="A27" s="19" t="inlineStr">
        <is>
          <t>Succession</t>
        </is>
      </c>
      <c r="B27" s="19" t="inlineStr">
        <is>
          <t>Crop</t>
        </is>
      </c>
      <c r="C27" s="20" t="inlineStr">
        <is>
          <t>ACRES</t>
        </is>
      </c>
      <c r="D27" s="21" t="inlineStr">
        <is>
          <t>PLANT?</t>
        </is>
      </c>
      <c r="E27" s="22" t="n">
        <v>1</v>
      </c>
      <c r="F27" s="22" t="n">
        <v>2</v>
      </c>
      <c r="G27" s="22" t="n">
        <v>3</v>
      </c>
      <c r="H27" s="22" t="n">
        <v>4</v>
      </c>
      <c r="I27" s="22" t="n">
        <v>5</v>
      </c>
      <c r="J27" s="22" t="n">
        <v>6</v>
      </c>
      <c r="K27" s="22" t="n">
        <v>7</v>
      </c>
      <c r="L27" s="22" t="n">
        <v>8</v>
      </c>
      <c r="M27" s="22" t="n">
        <v>9</v>
      </c>
      <c r="N27" s="22" t="n">
        <v>10</v>
      </c>
      <c r="O27" s="22" t="n">
        <v>11</v>
      </c>
      <c r="P27" s="22" t="n">
        <v>12</v>
      </c>
      <c r="Q27" s="22" t="n">
        <v>13</v>
      </c>
      <c r="R27" s="22" t="n">
        <v>14</v>
      </c>
      <c r="S27" s="22" t="n">
        <v>15</v>
      </c>
      <c r="T27" s="22" t="n">
        <v>16</v>
      </c>
      <c r="U27" s="22" t="n">
        <v>17</v>
      </c>
      <c r="V27" s="22" t="n">
        <v>18</v>
      </c>
      <c r="W27" s="22" t="n">
        <v>19</v>
      </c>
      <c r="X27" s="22" t="n">
        <v>20</v>
      </c>
      <c r="Y27" s="22" t="n">
        <v>21</v>
      </c>
      <c r="Z27" s="22" t="n">
        <v>22</v>
      </c>
      <c r="AA27" s="22" t="n">
        <v>23</v>
      </c>
      <c r="AB27" s="22" t="n">
        <v>24</v>
      </c>
      <c r="AC27" s="22" t="n">
        <v>25</v>
      </c>
      <c r="AD27" s="22" t="n">
        <v>26</v>
      </c>
      <c r="AE27" s="22" t="n">
        <v>27</v>
      </c>
      <c r="AF27" s="22" t="n">
        <v>28</v>
      </c>
      <c r="AG27" s="22" t="n">
        <v>29</v>
      </c>
      <c r="AH27" s="22" t="n">
        <v>30</v>
      </c>
      <c r="AI27" s="22" t="n">
        <v>31</v>
      </c>
      <c r="AJ27" s="22" t="n">
        <v>32</v>
      </c>
      <c r="AK27" s="22" t="n">
        <v>33</v>
      </c>
      <c r="AL27" s="22" t="n">
        <v>34</v>
      </c>
      <c r="AM27" s="22" t="n">
        <v>35</v>
      </c>
      <c r="AN27" s="22" t="n">
        <v>36</v>
      </c>
      <c r="AO27" s="22" t="n">
        <v>37</v>
      </c>
      <c r="AP27" s="22" t="n">
        <v>38</v>
      </c>
      <c r="AQ27" s="22" t="n">
        <v>39</v>
      </c>
      <c r="AR27" s="22" t="n">
        <v>40</v>
      </c>
      <c r="AS27" s="22" t="n">
        <v>41</v>
      </c>
      <c r="AT27" s="22" t="n">
        <v>42</v>
      </c>
      <c r="AU27" s="22" t="n">
        <v>43</v>
      </c>
      <c r="AV27" s="22" t="n">
        <v>44</v>
      </c>
      <c r="AW27" s="22" t="n">
        <v>45</v>
      </c>
      <c r="AX27" s="22" t="n">
        <v>46</v>
      </c>
      <c r="AY27" s="22" t="n">
        <v>47</v>
      </c>
      <c r="AZ27" s="22" t="n">
        <v>48</v>
      </c>
      <c r="BA27" s="22" t="n">
        <v>49</v>
      </c>
      <c r="BB27" s="22" t="n">
        <v>50</v>
      </c>
      <c r="BC27" s="22" t="n">
        <v>51</v>
      </c>
      <c r="BD27" s="22" t="n">
        <v>52</v>
      </c>
      <c r="BE27" s="23" t="inlineStr">
        <is>
          <t>max if planted</t>
        </is>
      </c>
      <c r="BF27" s="23" t="inlineStr">
        <is>
          <t>min if planted</t>
        </is>
      </c>
      <c r="BG27" s="23" t="inlineStr">
        <is>
          <t>lb/harv wk/ac</t>
        </is>
      </c>
    </row>
    <row r="28">
      <c r="A28" s="24" t="inlineStr">
        <is>
          <t>Spinach W05</t>
        </is>
      </c>
      <c r="B28" s="24" t="inlineStr">
        <is>
          <t>Spinach</t>
        </is>
      </c>
      <c r="C28" s="25" t="n">
        <v>0</v>
      </c>
      <c r="D28" s="26" t="n">
        <v>0</v>
      </c>
      <c r="I28" s="27" t="inlineStr">
        <is>
          <t>P</t>
        </is>
      </c>
      <c r="J28" s="27" t="inlineStr">
        <is>
          <t>G</t>
        </is>
      </c>
      <c r="K28" s="27" t="inlineStr">
        <is>
          <t>G</t>
        </is>
      </c>
      <c r="L28" s="27" t="inlineStr">
        <is>
          <t>G</t>
        </is>
      </c>
      <c r="M28" s="27" t="inlineStr">
        <is>
          <t>G</t>
        </is>
      </c>
      <c r="N28" s="27" t="inlineStr">
        <is>
          <t>G</t>
        </is>
      </c>
      <c r="O28" s="27" t="inlineStr">
        <is>
          <t>H</t>
        </is>
      </c>
      <c r="P28" s="27" t="inlineStr">
        <is>
          <t>H</t>
        </is>
      </c>
      <c r="BE28" s="28">
        <f>D28*$B$5</f>
        <v/>
      </c>
      <c r="BF28" s="28">
        <f>D28*$I$11</f>
        <v/>
      </c>
      <c r="BG28" s="29">
        <f>$B$11/2</f>
        <v/>
      </c>
    </row>
    <row r="29">
      <c r="A29" s="24" t="inlineStr">
        <is>
          <t>Spinach W06</t>
        </is>
      </c>
      <c r="B29" s="24" t="inlineStr">
        <is>
          <t>Spinach</t>
        </is>
      </c>
      <c r="C29" s="25" t="n">
        <v>0</v>
      </c>
      <c r="D29" s="26" t="n">
        <v>0</v>
      </c>
      <c r="J29" s="27" t="inlineStr">
        <is>
          <t>P</t>
        </is>
      </c>
      <c r="K29" s="27" t="inlineStr">
        <is>
          <t>G</t>
        </is>
      </c>
      <c r="L29" s="27" t="inlineStr">
        <is>
          <t>G</t>
        </is>
      </c>
      <c r="M29" s="27" t="inlineStr">
        <is>
          <t>G</t>
        </is>
      </c>
      <c r="N29" s="27" t="inlineStr">
        <is>
          <t>G</t>
        </is>
      </c>
      <c r="O29" s="27" t="inlineStr">
        <is>
          <t>G</t>
        </is>
      </c>
      <c r="P29" s="27" t="inlineStr">
        <is>
          <t>H</t>
        </is>
      </c>
      <c r="Q29" s="27" t="inlineStr">
        <is>
          <t>H</t>
        </is>
      </c>
      <c r="BE29" s="28">
        <f>D29*$B$5</f>
        <v/>
      </c>
      <c r="BF29" s="28">
        <f>D29*$I$11</f>
        <v/>
      </c>
      <c r="BG29" s="29">
        <f>$B$11/2</f>
        <v/>
      </c>
    </row>
    <row r="30">
      <c r="A30" s="24" t="inlineStr">
        <is>
          <t>Spinach W07</t>
        </is>
      </c>
      <c r="B30" s="24" t="inlineStr">
        <is>
          <t>Spinach</t>
        </is>
      </c>
      <c r="C30" s="25" t="n">
        <v>0</v>
      </c>
      <c r="D30" s="26" t="n">
        <v>0</v>
      </c>
      <c r="K30" s="27" t="inlineStr">
        <is>
          <t>P</t>
        </is>
      </c>
      <c r="L30" s="27" t="inlineStr">
        <is>
          <t>G</t>
        </is>
      </c>
      <c r="M30" s="27" t="inlineStr">
        <is>
          <t>G</t>
        </is>
      </c>
      <c r="N30" s="27" t="inlineStr">
        <is>
          <t>G</t>
        </is>
      </c>
      <c r="O30" s="27" t="inlineStr">
        <is>
          <t>G</t>
        </is>
      </c>
      <c r="P30" s="27" t="inlineStr">
        <is>
          <t>G</t>
        </is>
      </c>
      <c r="Q30" s="27" t="inlineStr">
        <is>
          <t>H</t>
        </is>
      </c>
      <c r="R30" s="27" t="inlineStr">
        <is>
          <t>H</t>
        </is>
      </c>
      <c r="BE30" s="28">
        <f>D30*$B$5</f>
        <v/>
      </c>
      <c r="BF30" s="28">
        <f>D30*$I$11</f>
        <v/>
      </c>
      <c r="BG30" s="29">
        <f>$B$11/2</f>
        <v/>
      </c>
    </row>
    <row r="31">
      <c r="A31" s="24" t="inlineStr">
        <is>
          <t>Spinach W08</t>
        </is>
      </c>
      <c r="B31" s="24" t="inlineStr">
        <is>
          <t>Spinach</t>
        </is>
      </c>
      <c r="C31" s="25" t="n">
        <v>0</v>
      </c>
      <c r="D31" s="26" t="n">
        <v>0</v>
      </c>
      <c r="L31" s="27" t="inlineStr">
        <is>
          <t>P</t>
        </is>
      </c>
      <c r="M31" s="27" t="inlineStr">
        <is>
          <t>G</t>
        </is>
      </c>
      <c r="N31" s="27" t="inlineStr">
        <is>
          <t>G</t>
        </is>
      </c>
      <c r="O31" s="27" t="inlineStr">
        <is>
          <t>G</t>
        </is>
      </c>
      <c r="P31" s="27" t="inlineStr">
        <is>
          <t>G</t>
        </is>
      </c>
      <c r="Q31" s="27" t="inlineStr">
        <is>
          <t>G</t>
        </is>
      </c>
      <c r="R31" s="27" t="inlineStr">
        <is>
          <t>H</t>
        </is>
      </c>
      <c r="S31" s="27" t="inlineStr">
        <is>
          <t>H</t>
        </is>
      </c>
      <c r="BE31" s="28">
        <f>D31*$B$5</f>
        <v/>
      </c>
      <c r="BF31" s="28">
        <f>D31*$I$11</f>
        <v/>
      </c>
      <c r="BG31" s="29">
        <f>$B$11/2</f>
        <v/>
      </c>
    </row>
    <row r="32">
      <c r="A32" s="24" t="inlineStr">
        <is>
          <t>Spinach W09</t>
        </is>
      </c>
      <c r="B32" s="24" t="inlineStr">
        <is>
          <t>Spinach</t>
        </is>
      </c>
      <c r="C32" s="25" t="n">
        <v>0</v>
      </c>
      <c r="D32" s="26" t="n">
        <v>0</v>
      </c>
      <c r="M32" s="27" t="inlineStr">
        <is>
          <t>P</t>
        </is>
      </c>
      <c r="N32" s="27" t="inlineStr">
        <is>
          <t>G</t>
        </is>
      </c>
      <c r="O32" s="27" t="inlineStr">
        <is>
          <t>G</t>
        </is>
      </c>
      <c r="P32" s="27" t="inlineStr">
        <is>
          <t>G</t>
        </is>
      </c>
      <c r="Q32" s="27" t="inlineStr">
        <is>
          <t>G</t>
        </is>
      </c>
      <c r="R32" s="27" t="inlineStr">
        <is>
          <t>G</t>
        </is>
      </c>
      <c r="S32" s="27" t="inlineStr">
        <is>
          <t>H</t>
        </is>
      </c>
      <c r="T32" s="27" t="inlineStr">
        <is>
          <t>H</t>
        </is>
      </c>
      <c r="BE32" s="28">
        <f>D32*$B$5</f>
        <v/>
      </c>
      <c r="BF32" s="28">
        <f>D32*$I$11</f>
        <v/>
      </c>
      <c r="BG32" s="29">
        <f>$B$11/2</f>
        <v/>
      </c>
    </row>
    <row r="33">
      <c r="A33" s="24" t="inlineStr">
        <is>
          <t>Spinach W10</t>
        </is>
      </c>
      <c r="B33" s="24" t="inlineStr">
        <is>
          <t>Spinach</t>
        </is>
      </c>
      <c r="C33" s="25" t="n">
        <v>0</v>
      </c>
      <c r="D33" s="26" t="n">
        <v>0</v>
      </c>
      <c r="N33" s="27" t="inlineStr">
        <is>
          <t>P</t>
        </is>
      </c>
      <c r="O33" s="27" t="inlineStr">
        <is>
          <t>G</t>
        </is>
      </c>
      <c r="P33" s="27" t="inlineStr">
        <is>
          <t>G</t>
        </is>
      </c>
      <c r="Q33" s="27" t="inlineStr">
        <is>
          <t>G</t>
        </is>
      </c>
      <c r="R33" s="27" t="inlineStr">
        <is>
          <t>G</t>
        </is>
      </c>
      <c r="S33" s="27" t="inlineStr">
        <is>
          <t>G</t>
        </is>
      </c>
      <c r="T33" s="27" t="inlineStr">
        <is>
          <t>H</t>
        </is>
      </c>
      <c r="U33" s="27" t="inlineStr">
        <is>
          <t>H</t>
        </is>
      </c>
      <c r="BE33" s="28">
        <f>D33*$B$5</f>
        <v/>
      </c>
      <c r="BF33" s="28">
        <f>D33*$I$11</f>
        <v/>
      </c>
      <c r="BG33" s="29">
        <f>$B$11/2</f>
        <v/>
      </c>
    </row>
    <row r="34">
      <c r="A34" s="24" t="inlineStr">
        <is>
          <t>Spinach W11</t>
        </is>
      </c>
      <c r="B34" s="24" t="inlineStr">
        <is>
          <t>Spinach</t>
        </is>
      </c>
      <c r="C34" s="25" t="n">
        <v>0</v>
      </c>
      <c r="D34" s="26" t="n">
        <v>0</v>
      </c>
      <c r="O34" s="27" t="inlineStr">
        <is>
          <t>P</t>
        </is>
      </c>
      <c r="P34" s="27" t="inlineStr">
        <is>
          <t>G</t>
        </is>
      </c>
      <c r="Q34" s="27" t="inlineStr">
        <is>
          <t>G</t>
        </is>
      </c>
      <c r="R34" s="27" t="inlineStr">
        <is>
          <t>G</t>
        </is>
      </c>
      <c r="S34" s="27" t="inlineStr">
        <is>
          <t>G</t>
        </is>
      </c>
      <c r="T34" s="27" t="inlineStr">
        <is>
          <t>G</t>
        </is>
      </c>
      <c r="U34" s="27" t="inlineStr">
        <is>
          <t>H</t>
        </is>
      </c>
      <c r="V34" s="27" t="inlineStr">
        <is>
          <t>H</t>
        </is>
      </c>
      <c r="BE34" s="28">
        <f>D34*$B$5</f>
        <v/>
      </c>
      <c r="BF34" s="28">
        <f>D34*$I$11</f>
        <v/>
      </c>
      <c r="BG34" s="29">
        <f>$B$11/2</f>
        <v/>
      </c>
    </row>
    <row r="35">
      <c r="A35" s="24" t="inlineStr">
        <is>
          <t>Spinach W12</t>
        </is>
      </c>
      <c r="B35" s="24" t="inlineStr">
        <is>
          <t>Spinach</t>
        </is>
      </c>
      <c r="C35" s="25" t="n">
        <v>0</v>
      </c>
      <c r="D35" s="26" t="n">
        <v>0</v>
      </c>
      <c r="P35" s="27" t="inlineStr">
        <is>
          <t>P</t>
        </is>
      </c>
      <c r="Q35" s="27" t="inlineStr">
        <is>
          <t>G</t>
        </is>
      </c>
      <c r="R35" s="27" t="inlineStr">
        <is>
          <t>G</t>
        </is>
      </c>
      <c r="S35" s="27" t="inlineStr">
        <is>
          <t>G</t>
        </is>
      </c>
      <c r="T35" s="27" t="inlineStr">
        <is>
          <t>G</t>
        </is>
      </c>
      <c r="U35" s="27" t="inlineStr">
        <is>
          <t>G</t>
        </is>
      </c>
      <c r="V35" s="27" t="inlineStr">
        <is>
          <t>H</t>
        </is>
      </c>
      <c r="W35" s="27" t="inlineStr">
        <is>
          <t>H</t>
        </is>
      </c>
      <c r="BE35" s="28">
        <f>D35*$B$5</f>
        <v/>
      </c>
      <c r="BF35" s="28">
        <f>D35*$I$11</f>
        <v/>
      </c>
      <c r="BG35" s="29">
        <f>$B$11/2</f>
        <v/>
      </c>
    </row>
    <row r="36">
      <c r="A36" s="24" t="inlineStr">
        <is>
          <t>Spinach W13</t>
        </is>
      </c>
      <c r="B36" s="24" t="inlineStr">
        <is>
          <t>Spinach</t>
        </is>
      </c>
      <c r="C36" s="25" t="n">
        <v>0</v>
      </c>
      <c r="D36" s="26" t="n">
        <v>0</v>
      </c>
      <c r="Q36" s="27" t="inlineStr">
        <is>
          <t>P</t>
        </is>
      </c>
      <c r="R36" s="27" t="inlineStr">
        <is>
          <t>G</t>
        </is>
      </c>
      <c r="S36" s="27" t="inlineStr">
        <is>
          <t>G</t>
        </is>
      </c>
      <c r="T36" s="27" t="inlineStr">
        <is>
          <t>G</t>
        </is>
      </c>
      <c r="U36" s="27" t="inlineStr">
        <is>
          <t>G</t>
        </is>
      </c>
      <c r="V36" s="27" t="inlineStr">
        <is>
          <t>G</t>
        </is>
      </c>
      <c r="W36" s="27" t="inlineStr">
        <is>
          <t>H</t>
        </is>
      </c>
      <c r="X36" s="27" t="inlineStr">
        <is>
          <t>H</t>
        </is>
      </c>
      <c r="BE36" s="28">
        <f>D36*$B$5</f>
        <v/>
      </c>
      <c r="BF36" s="28">
        <f>D36*$I$11</f>
        <v/>
      </c>
      <c r="BG36" s="29">
        <f>$B$11/2</f>
        <v/>
      </c>
    </row>
    <row r="37">
      <c r="A37" s="24" t="inlineStr">
        <is>
          <t>Spinach W14</t>
        </is>
      </c>
      <c r="B37" s="24" t="inlineStr">
        <is>
          <t>Spinach</t>
        </is>
      </c>
      <c r="C37" s="25" t="n">
        <v>0</v>
      </c>
      <c r="D37" s="26" t="n">
        <v>0</v>
      </c>
      <c r="R37" s="27" t="inlineStr">
        <is>
          <t>P</t>
        </is>
      </c>
      <c r="S37" s="27" t="inlineStr">
        <is>
          <t>G</t>
        </is>
      </c>
      <c r="T37" s="27" t="inlineStr">
        <is>
          <t>G</t>
        </is>
      </c>
      <c r="U37" s="27" t="inlineStr">
        <is>
          <t>G</t>
        </is>
      </c>
      <c r="V37" s="27" t="inlineStr">
        <is>
          <t>G</t>
        </is>
      </c>
      <c r="W37" s="27" t="inlineStr">
        <is>
          <t>G</t>
        </is>
      </c>
      <c r="X37" s="27" t="inlineStr">
        <is>
          <t>H</t>
        </is>
      </c>
      <c r="Y37" s="27" t="inlineStr">
        <is>
          <t>H</t>
        </is>
      </c>
      <c r="BE37" s="28">
        <f>D37*$B$5</f>
        <v/>
      </c>
      <c r="BF37" s="28">
        <f>D37*$I$11</f>
        <v/>
      </c>
      <c r="BG37" s="29">
        <f>$B$11/2</f>
        <v/>
      </c>
    </row>
    <row r="38">
      <c r="A38" s="24" t="inlineStr">
        <is>
          <t>Spinach W15</t>
        </is>
      </c>
      <c r="B38" s="24" t="inlineStr">
        <is>
          <t>Spinach</t>
        </is>
      </c>
      <c r="C38" s="25" t="n">
        <v>0</v>
      </c>
      <c r="D38" s="26" t="n">
        <v>0</v>
      </c>
      <c r="S38" s="27" t="inlineStr">
        <is>
          <t>P</t>
        </is>
      </c>
      <c r="T38" s="27" t="inlineStr">
        <is>
          <t>G</t>
        </is>
      </c>
      <c r="U38" s="27" t="inlineStr">
        <is>
          <t>G</t>
        </is>
      </c>
      <c r="V38" s="27" t="inlineStr">
        <is>
          <t>G</t>
        </is>
      </c>
      <c r="W38" s="27" t="inlineStr">
        <is>
          <t>G</t>
        </is>
      </c>
      <c r="X38" s="27" t="inlineStr">
        <is>
          <t>G</t>
        </is>
      </c>
      <c r="Y38" s="27" t="inlineStr">
        <is>
          <t>H</t>
        </is>
      </c>
      <c r="Z38" s="27" t="inlineStr">
        <is>
          <t>H</t>
        </is>
      </c>
      <c r="BE38" s="28">
        <f>D38*$B$5</f>
        <v/>
      </c>
      <c r="BF38" s="28">
        <f>D38*$I$11</f>
        <v/>
      </c>
      <c r="BG38" s="29">
        <f>$B$11/2</f>
        <v/>
      </c>
    </row>
    <row r="39">
      <c r="A39" s="24" t="inlineStr">
        <is>
          <t>Spinach W16</t>
        </is>
      </c>
      <c r="B39" s="24" t="inlineStr">
        <is>
          <t>Spinach</t>
        </is>
      </c>
      <c r="C39" s="25" t="n">
        <v>0</v>
      </c>
      <c r="D39" s="26" t="n">
        <v>0</v>
      </c>
      <c r="T39" s="27" t="inlineStr">
        <is>
          <t>P</t>
        </is>
      </c>
      <c r="U39" s="27" t="inlineStr">
        <is>
          <t>G</t>
        </is>
      </c>
      <c r="V39" s="27" t="inlineStr">
        <is>
          <t>G</t>
        </is>
      </c>
      <c r="W39" s="27" t="inlineStr">
        <is>
          <t>G</t>
        </is>
      </c>
      <c r="X39" s="27" t="inlineStr">
        <is>
          <t>G</t>
        </is>
      </c>
      <c r="Y39" s="27" t="inlineStr">
        <is>
          <t>G</t>
        </is>
      </c>
      <c r="Z39" s="27" t="inlineStr">
        <is>
          <t>H</t>
        </is>
      </c>
      <c r="AA39" s="27" t="inlineStr">
        <is>
          <t>H</t>
        </is>
      </c>
      <c r="BE39" s="28">
        <f>D39*$B$5</f>
        <v/>
      </c>
      <c r="BF39" s="28">
        <f>D39*$I$11</f>
        <v/>
      </c>
      <c r="BG39" s="29">
        <f>$B$11/2</f>
        <v/>
      </c>
    </row>
    <row r="40">
      <c r="A40" s="24" t="inlineStr">
        <is>
          <t>Spinach W17</t>
        </is>
      </c>
      <c r="B40" s="24" t="inlineStr">
        <is>
          <t>Spinach</t>
        </is>
      </c>
      <c r="C40" s="25" t="n">
        <v>0</v>
      </c>
      <c r="D40" s="26" t="n">
        <v>0</v>
      </c>
      <c r="U40" s="27" t="inlineStr">
        <is>
          <t>P</t>
        </is>
      </c>
      <c r="V40" s="27" t="inlineStr">
        <is>
          <t>G</t>
        </is>
      </c>
      <c r="W40" s="27" t="inlineStr">
        <is>
          <t>G</t>
        </is>
      </c>
      <c r="X40" s="27" t="inlineStr">
        <is>
          <t>G</t>
        </is>
      </c>
      <c r="Y40" s="27" t="inlineStr">
        <is>
          <t>G</t>
        </is>
      </c>
      <c r="Z40" s="27" t="inlineStr">
        <is>
          <t>G</t>
        </is>
      </c>
      <c r="AA40" s="27" t="inlineStr">
        <is>
          <t>H</t>
        </is>
      </c>
      <c r="AB40" s="27" t="inlineStr">
        <is>
          <t>H</t>
        </is>
      </c>
      <c r="BE40" s="28">
        <f>D40*$B$5</f>
        <v/>
      </c>
      <c r="BF40" s="28">
        <f>D40*$I$11</f>
        <v/>
      </c>
      <c r="BG40" s="29">
        <f>$B$11/2</f>
        <v/>
      </c>
    </row>
    <row r="41">
      <c r="A41" s="24" t="inlineStr">
        <is>
          <t>Spinach W18</t>
        </is>
      </c>
      <c r="B41" s="24" t="inlineStr">
        <is>
          <t>Spinach</t>
        </is>
      </c>
      <c r="C41" s="25" t="n">
        <v>0</v>
      </c>
      <c r="D41" s="26" t="n">
        <v>0</v>
      </c>
      <c r="V41" s="27" t="inlineStr">
        <is>
          <t>P</t>
        </is>
      </c>
      <c r="W41" s="27" t="inlineStr">
        <is>
          <t>G</t>
        </is>
      </c>
      <c r="X41" s="27" t="inlineStr">
        <is>
          <t>G</t>
        </is>
      </c>
      <c r="Y41" s="27" t="inlineStr">
        <is>
          <t>G</t>
        </is>
      </c>
      <c r="Z41" s="27" t="inlineStr">
        <is>
          <t>G</t>
        </is>
      </c>
      <c r="AA41" s="27" t="inlineStr">
        <is>
          <t>G</t>
        </is>
      </c>
      <c r="AB41" s="27" t="inlineStr">
        <is>
          <t>H</t>
        </is>
      </c>
      <c r="AC41" s="27" t="inlineStr">
        <is>
          <t>H</t>
        </is>
      </c>
      <c r="BE41" s="28">
        <f>D41*$B$5</f>
        <v/>
      </c>
      <c r="BF41" s="28">
        <f>D41*$I$11</f>
        <v/>
      </c>
      <c r="BG41" s="29">
        <f>$B$11/2</f>
        <v/>
      </c>
    </row>
    <row r="42">
      <c r="A42" s="24" t="inlineStr">
        <is>
          <t>Spinach W19</t>
        </is>
      </c>
      <c r="B42" s="24" t="inlineStr">
        <is>
          <t>Spinach</t>
        </is>
      </c>
      <c r="C42" s="25" t="n">
        <v>0</v>
      </c>
      <c r="D42" s="26" t="n">
        <v>0</v>
      </c>
      <c r="W42" s="27" t="inlineStr">
        <is>
          <t>P</t>
        </is>
      </c>
      <c r="X42" s="27" t="inlineStr">
        <is>
          <t>G</t>
        </is>
      </c>
      <c r="Y42" s="27" t="inlineStr">
        <is>
          <t>G</t>
        </is>
      </c>
      <c r="Z42" s="27" t="inlineStr">
        <is>
          <t>G</t>
        </is>
      </c>
      <c r="AA42" s="27" t="inlineStr">
        <is>
          <t>G</t>
        </is>
      </c>
      <c r="AB42" s="27" t="inlineStr">
        <is>
          <t>G</t>
        </is>
      </c>
      <c r="AC42" s="27" t="inlineStr">
        <is>
          <t>H</t>
        </is>
      </c>
      <c r="AD42" s="27" t="inlineStr">
        <is>
          <t>H</t>
        </is>
      </c>
      <c r="BE42" s="28">
        <f>D42*$B$5</f>
        <v/>
      </c>
      <c r="BF42" s="28">
        <f>D42*$I$11</f>
        <v/>
      </c>
      <c r="BG42" s="29">
        <f>$B$11/2</f>
        <v/>
      </c>
    </row>
    <row r="43">
      <c r="A43" s="24" t="inlineStr">
        <is>
          <t>Spinach W20</t>
        </is>
      </c>
      <c r="B43" s="24" t="inlineStr">
        <is>
          <t>Spinach</t>
        </is>
      </c>
      <c r="C43" s="25" t="n">
        <v>0</v>
      </c>
      <c r="D43" s="26" t="n">
        <v>0</v>
      </c>
      <c r="X43" s="27" t="inlineStr">
        <is>
          <t>P</t>
        </is>
      </c>
      <c r="Y43" s="27" t="inlineStr">
        <is>
          <t>G</t>
        </is>
      </c>
      <c r="Z43" s="27" t="inlineStr">
        <is>
          <t>G</t>
        </is>
      </c>
      <c r="AA43" s="27" t="inlineStr">
        <is>
          <t>G</t>
        </is>
      </c>
      <c r="AB43" s="27" t="inlineStr">
        <is>
          <t>G</t>
        </is>
      </c>
      <c r="AC43" s="27" t="inlineStr">
        <is>
          <t>G</t>
        </is>
      </c>
      <c r="AD43" s="27" t="inlineStr">
        <is>
          <t>H</t>
        </is>
      </c>
      <c r="AE43" s="27" t="inlineStr">
        <is>
          <t>H</t>
        </is>
      </c>
      <c r="BE43" s="28">
        <f>D43*$B$5</f>
        <v/>
      </c>
      <c r="BF43" s="28">
        <f>D43*$I$11</f>
        <v/>
      </c>
      <c r="BG43" s="29">
        <f>$B$11/2</f>
        <v/>
      </c>
    </row>
    <row r="44">
      <c r="A44" s="24" t="inlineStr">
        <is>
          <t>Spinach W21</t>
        </is>
      </c>
      <c r="B44" s="24" t="inlineStr">
        <is>
          <t>Spinach</t>
        </is>
      </c>
      <c r="C44" s="25" t="n">
        <v>0</v>
      </c>
      <c r="D44" s="26" t="n">
        <v>0</v>
      </c>
      <c r="Y44" s="27" t="inlineStr">
        <is>
          <t>P</t>
        </is>
      </c>
      <c r="Z44" s="27" t="inlineStr">
        <is>
          <t>G</t>
        </is>
      </c>
      <c r="AA44" s="27" t="inlineStr">
        <is>
          <t>G</t>
        </is>
      </c>
      <c r="AB44" s="27" t="inlineStr">
        <is>
          <t>G</t>
        </is>
      </c>
      <c r="AC44" s="27" t="inlineStr">
        <is>
          <t>G</t>
        </is>
      </c>
      <c r="AD44" s="27" t="inlineStr">
        <is>
          <t>G</t>
        </is>
      </c>
      <c r="AE44" s="27" t="inlineStr">
        <is>
          <t>H</t>
        </is>
      </c>
      <c r="AF44" s="27" t="inlineStr">
        <is>
          <t>H</t>
        </is>
      </c>
      <c r="BE44" s="28">
        <f>D44*$B$5</f>
        <v/>
      </c>
      <c r="BF44" s="28">
        <f>D44*$I$11</f>
        <v/>
      </c>
      <c r="BG44" s="29">
        <f>$B$11/2</f>
        <v/>
      </c>
    </row>
    <row r="45">
      <c r="A45" s="24" t="inlineStr">
        <is>
          <t>Spinach W22</t>
        </is>
      </c>
      <c r="B45" s="24" t="inlineStr">
        <is>
          <t>Spinach</t>
        </is>
      </c>
      <c r="C45" s="25" t="n">
        <v>0</v>
      </c>
      <c r="D45" s="26" t="n">
        <v>0</v>
      </c>
      <c r="Z45" s="27" t="inlineStr">
        <is>
          <t>P</t>
        </is>
      </c>
      <c r="AA45" s="27" t="inlineStr">
        <is>
          <t>G</t>
        </is>
      </c>
      <c r="AB45" s="27" t="inlineStr">
        <is>
          <t>G</t>
        </is>
      </c>
      <c r="AC45" s="27" t="inlineStr">
        <is>
          <t>G</t>
        </is>
      </c>
      <c r="AD45" s="27" t="inlineStr">
        <is>
          <t>G</t>
        </is>
      </c>
      <c r="AE45" s="27" t="inlineStr">
        <is>
          <t>G</t>
        </is>
      </c>
      <c r="AF45" s="27" t="inlineStr">
        <is>
          <t>H</t>
        </is>
      </c>
      <c r="AG45" s="27" t="inlineStr">
        <is>
          <t>H</t>
        </is>
      </c>
      <c r="BE45" s="28">
        <f>D45*$B$5</f>
        <v/>
      </c>
      <c r="BF45" s="28">
        <f>D45*$I$11</f>
        <v/>
      </c>
      <c r="BG45" s="29">
        <f>$B$11/2</f>
        <v/>
      </c>
    </row>
    <row r="46">
      <c r="A46" s="24" t="inlineStr">
        <is>
          <t>Spinach W23</t>
        </is>
      </c>
      <c r="B46" s="24" t="inlineStr">
        <is>
          <t>Spinach</t>
        </is>
      </c>
      <c r="C46" s="25" t="n">
        <v>0</v>
      </c>
      <c r="D46" s="26" t="n">
        <v>0</v>
      </c>
      <c r="AA46" s="27" t="inlineStr">
        <is>
          <t>P</t>
        </is>
      </c>
      <c r="AB46" s="27" t="inlineStr">
        <is>
          <t>G</t>
        </is>
      </c>
      <c r="AC46" s="27" t="inlineStr">
        <is>
          <t>G</t>
        </is>
      </c>
      <c r="AD46" s="27" t="inlineStr">
        <is>
          <t>G</t>
        </is>
      </c>
      <c r="AE46" s="27" t="inlineStr">
        <is>
          <t>G</t>
        </is>
      </c>
      <c r="AF46" s="27" t="inlineStr">
        <is>
          <t>G</t>
        </is>
      </c>
      <c r="AG46" s="27" t="inlineStr">
        <is>
          <t>H</t>
        </is>
      </c>
      <c r="AH46" s="27" t="inlineStr">
        <is>
          <t>H</t>
        </is>
      </c>
      <c r="BE46" s="28">
        <f>D46*$B$5</f>
        <v/>
      </c>
      <c r="BF46" s="28">
        <f>D46*$I$11</f>
        <v/>
      </c>
      <c r="BG46" s="29">
        <f>$B$11/2</f>
        <v/>
      </c>
    </row>
    <row r="47">
      <c r="A47" s="24" t="inlineStr">
        <is>
          <t>Spinach W24</t>
        </is>
      </c>
      <c r="B47" s="24" t="inlineStr">
        <is>
          <t>Spinach</t>
        </is>
      </c>
      <c r="C47" s="25" t="n">
        <v>0</v>
      </c>
      <c r="D47" s="26" t="n">
        <v>0</v>
      </c>
      <c r="AB47" s="27" t="inlineStr">
        <is>
          <t>P</t>
        </is>
      </c>
      <c r="AC47" s="27" t="inlineStr">
        <is>
          <t>G</t>
        </is>
      </c>
      <c r="AD47" s="27" t="inlineStr">
        <is>
          <t>G</t>
        </is>
      </c>
      <c r="AE47" s="27" t="inlineStr">
        <is>
          <t>G</t>
        </is>
      </c>
      <c r="AF47" s="27" t="inlineStr">
        <is>
          <t>G</t>
        </is>
      </c>
      <c r="AG47" s="27" t="inlineStr">
        <is>
          <t>G</t>
        </is>
      </c>
      <c r="AH47" s="27" t="inlineStr">
        <is>
          <t>H</t>
        </is>
      </c>
      <c r="AI47" s="27" t="inlineStr">
        <is>
          <t>H</t>
        </is>
      </c>
      <c r="BE47" s="28">
        <f>D47*$B$5</f>
        <v/>
      </c>
      <c r="BF47" s="28">
        <f>D47*$I$11</f>
        <v/>
      </c>
      <c r="BG47" s="29">
        <f>$B$11/2</f>
        <v/>
      </c>
    </row>
    <row r="48">
      <c r="A48" s="24" t="inlineStr">
        <is>
          <t>Spinach W31</t>
        </is>
      </c>
      <c r="B48" s="24" t="inlineStr">
        <is>
          <t>Spinach</t>
        </is>
      </c>
      <c r="C48" s="25" t="n">
        <v>0</v>
      </c>
      <c r="D48" s="26" t="n">
        <v>0</v>
      </c>
      <c r="AI48" s="27" t="inlineStr">
        <is>
          <t>P</t>
        </is>
      </c>
      <c r="AJ48" s="27" t="inlineStr">
        <is>
          <t>G</t>
        </is>
      </c>
      <c r="AK48" s="27" t="inlineStr">
        <is>
          <t>G</t>
        </is>
      </c>
      <c r="AL48" s="27" t="inlineStr">
        <is>
          <t>G</t>
        </is>
      </c>
      <c r="AM48" s="27" t="inlineStr">
        <is>
          <t>G</t>
        </is>
      </c>
      <c r="AN48" s="27" t="inlineStr">
        <is>
          <t>G</t>
        </is>
      </c>
      <c r="AO48" s="27" t="inlineStr">
        <is>
          <t>H</t>
        </is>
      </c>
      <c r="AP48" s="27" t="inlineStr">
        <is>
          <t>H</t>
        </is>
      </c>
      <c r="BE48" s="28">
        <f>D48*$B$5</f>
        <v/>
      </c>
      <c r="BF48" s="28">
        <f>D48*$I$11</f>
        <v/>
      </c>
      <c r="BG48" s="29">
        <f>$B$11/2</f>
        <v/>
      </c>
    </row>
    <row r="49">
      <c r="A49" s="24" t="inlineStr">
        <is>
          <t>Spinach W32</t>
        </is>
      </c>
      <c r="B49" s="24" t="inlineStr">
        <is>
          <t>Spinach</t>
        </is>
      </c>
      <c r="C49" s="25" t="n">
        <v>0</v>
      </c>
      <c r="D49" s="26" t="n">
        <v>0</v>
      </c>
      <c r="AJ49" s="27" t="inlineStr">
        <is>
          <t>P</t>
        </is>
      </c>
      <c r="AK49" s="27" t="inlineStr">
        <is>
          <t>G</t>
        </is>
      </c>
      <c r="AL49" s="27" t="inlineStr">
        <is>
          <t>G</t>
        </is>
      </c>
      <c r="AM49" s="27" t="inlineStr">
        <is>
          <t>G</t>
        </is>
      </c>
      <c r="AN49" s="27" t="inlineStr">
        <is>
          <t>G</t>
        </is>
      </c>
      <c r="AO49" s="27" t="inlineStr">
        <is>
          <t>G</t>
        </is>
      </c>
      <c r="AP49" s="27" t="inlineStr">
        <is>
          <t>H</t>
        </is>
      </c>
      <c r="AQ49" s="27" t="inlineStr">
        <is>
          <t>H</t>
        </is>
      </c>
      <c r="BE49" s="28">
        <f>D49*$B$5</f>
        <v/>
      </c>
      <c r="BF49" s="28">
        <f>D49*$I$11</f>
        <v/>
      </c>
      <c r="BG49" s="29">
        <f>$B$11/2</f>
        <v/>
      </c>
    </row>
    <row r="50">
      <c r="A50" s="24" t="inlineStr">
        <is>
          <t>Spinach W33</t>
        </is>
      </c>
      <c r="B50" s="24" t="inlineStr">
        <is>
          <t>Spinach</t>
        </is>
      </c>
      <c r="C50" s="25" t="n">
        <v>0</v>
      </c>
      <c r="D50" s="26" t="n">
        <v>0</v>
      </c>
      <c r="AK50" s="27" t="inlineStr">
        <is>
          <t>P</t>
        </is>
      </c>
      <c r="AL50" s="27" t="inlineStr">
        <is>
          <t>G</t>
        </is>
      </c>
      <c r="AM50" s="27" t="inlineStr">
        <is>
          <t>G</t>
        </is>
      </c>
      <c r="AN50" s="27" t="inlineStr">
        <is>
          <t>G</t>
        </is>
      </c>
      <c r="AO50" s="27" t="inlineStr">
        <is>
          <t>G</t>
        </is>
      </c>
      <c r="AP50" s="27" t="inlineStr">
        <is>
          <t>G</t>
        </is>
      </c>
      <c r="AQ50" s="27" t="inlineStr">
        <is>
          <t>H</t>
        </is>
      </c>
      <c r="AR50" s="27" t="inlineStr">
        <is>
          <t>H</t>
        </is>
      </c>
      <c r="BE50" s="28">
        <f>D50*$B$5</f>
        <v/>
      </c>
      <c r="BF50" s="28">
        <f>D50*$I$11</f>
        <v/>
      </c>
      <c r="BG50" s="29">
        <f>$B$11/2</f>
        <v/>
      </c>
    </row>
    <row r="51">
      <c r="A51" s="24" t="inlineStr">
        <is>
          <t>Spinach W34</t>
        </is>
      </c>
      <c r="B51" s="24" t="inlineStr">
        <is>
          <t>Spinach</t>
        </is>
      </c>
      <c r="C51" s="25" t="n">
        <v>0</v>
      </c>
      <c r="D51" s="26" t="n">
        <v>0</v>
      </c>
      <c r="AL51" s="27" t="inlineStr">
        <is>
          <t>P</t>
        </is>
      </c>
      <c r="AM51" s="27" t="inlineStr">
        <is>
          <t>G</t>
        </is>
      </c>
      <c r="AN51" s="27" t="inlineStr">
        <is>
          <t>G</t>
        </is>
      </c>
      <c r="AO51" s="27" t="inlineStr">
        <is>
          <t>G</t>
        </is>
      </c>
      <c r="AP51" s="27" t="inlineStr">
        <is>
          <t>G</t>
        </is>
      </c>
      <c r="AQ51" s="27" t="inlineStr">
        <is>
          <t>G</t>
        </is>
      </c>
      <c r="AR51" s="27" t="inlineStr">
        <is>
          <t>H</t>
        </is>
      </c>
      <c r="AS51" s="27" t="inlineStr">
        <is>
          <t>H</t>
        </is>
      </c>
      <c r="BE51" s="28">
        <f>D51*$B$5</f>
        <v/>
      </c>
      <c r="BF51" s="28">
        <f>D51*$I$11</f>
        <v/>
      </c>
      <c r="BG51" s="29">
        <f>$B$11/2</f>
        <v/>
      </c>
    </row>
    <row r="52">
      <c r="A52" s="24" t="inlineStr">
        <is>
          <t>Spinach W35</t>
        </is>
      </c>
      <c r="B52" s="24" t="inlineStr">
        <is>
          <t>Spinach</t>
        </is>
      </c>
      <c r="C52" s="25" t="n">
        <v>0</v>
      </c>
      <c r="D52" s="26" t="n">
        <v>0</v>
      </c>
      <c r="AM52" s="27" t="inlineStr">
        <is>
          <t>P</t>
        </is>
      </c>
      <c r="AN52" s="27" t="inlineStr">
        <is>
          <t>G</t>
        </is>
      </c>
      <c r="AO52" s="27" t="inlineStr">
        <is>
          <t>G</t>
        </is>
      </c>
      <c r="AP52" s="27" t="inlineStr">
        <is>
          <t>G</t>
        </is>
      </c>
      <c r="AQ52" s="27" t="inlineStr">
        <is>
          <t>G</t>
        </is>
      </c>
      <c r="AR52" s="27" t="inlineStr">
        <is>
          <t>G</t>
        </is>
      </c>
      <c r="AS52" s="27" t="inlineStr">
        <is>
          <t>H</t>
        </is>
      </c>
      <c r="AT52" s="27" t="inlineStr">
        <is>
          <t>H</t>
        </is>
      </c>
      <c r="BE52" s="28">
        <f>D52*$B$5</f>
        <v/>
      </c>
      <c r="BF52" s="28">
        <f>D52*$I$11</f>
        <v/>
      </c>
      <c r="BG52" s="29">
        <f>$B$11/2</f>
        <v/>
      </c>
    </row>
    <row r="53">
      <c r="A53" s="24" t="inlineStr">
        <is>
          <t>Spinach W36</t>
        </is>
      </c>
      <c r="B53" s="24" t="inlineStr">
        <is>
          <t>Spinach</t>
        </is>
      </c>
      <c r="C53" s="25" t="n">
        <v>0</v>
      </c>
      <c r="D53" s="26" t="n">
        <v>0</v>
      </c>
      <c r="AN53" s="27" t="inlineStr">
        <is>
          <t>P</t>
        </is>
      </c>
      <c r="AO53" s="27" t="inlineStr">
        <is>
          <t>G</t>
        </is>
      </c>
      <c r="AP53" s="27" t="inlineStr">
        <is>
          <t>G</t>
        </is>
      </c>
      <c r="AQ53" s="27" t="inlineStr">
        <is>
          <t>G</t>
        </is>
      </c>
      <c r="AR53" s="27" t="inlineStr">
        <is>
          <t>G</t>
        </is>
      </c>
      <c r="AS53" s="27" t="inlineStr">
        <is>
          <t>G</t>
        </is>
      </c>
      <c r="AT53" s="27" t="inlineStr">
        <is>
          <t>H</t>
        </is>
      </c>
      <c r="AU53" s="27" t="inlineStr">
        <is>
          <t>H</t>
        </is>
      </c>
      <c r="BE53" s="28">
        <f>D53*$B$5</f>
        <v/>
      </c>
      <c r="BF53" s="28">
        <f>D53*$I$11</f>
        <v/>
      </c>
      <c r="BG53" s="29">
        <f>$B$11/2</f>
        <v/>
      </c>
    </row>
    <row r="54">
      <c r="A54" s="24" t="inlineStr">
        <is>
          <t>Spinach W37</t>
        </is>
      </c>
      <c r="B54" s="24" t="inlineStr">
        <is>
          <t>Spinach</t>
        </is>
      </c>
      <c r="C54" s="25" t="n">
        <v>0</v>
      </c>
      <c r="D54" s="26" t="n">
        <v>0</v>
      </c>
      <c r="AO54" s="27" t="inlineStr">
        <is>
          <t>P</t>
        </is>
      </c>
      <c r="AP54" s="27" t="inlineStr">
        <is>
          <t>G</t>
        </is>
      </c>
      <c r="AQ54" s="27" t="inlineStr">
        <is>
          <t>G</t>
        </is>
      </c>
      <c r="AR54" s="27" t="inlineStr">
        <is>
          <t>G</t>
        </is>
      </c>
      <c r="AS54" s="27" t="inlineStr">
        <is>
          <t>G</t>
        </is>
      </c>
      <c r="AT54" s="27" t="inlineStr">
        <is>
          <t>G</t>
        </is>
      </c>
      <c r="AU54" s="27" t="inlineStr">
        <is>
          <t>H</t>
        </is>
      </c>
      <c r="AV54" s="27" t="inlineStr">
        <is>
          <t>H</t>
        </is>
      </c>
      <c r="BE54" s="28">
        <f>D54*$B$5</f>
        <v/>
      </c>
      <c r="BF54" s="28">
        <f>D54*$I$11</f>
        <v/>
      </c>
      <c r="BG54" s="29">
        <f>$B$11/2</f>
        <v/>
      </c>
    </row>
    <row r="55">
      <c r="A55" s="24" t="inlineStr">
        <is>
          <t>Spinach W38</t>
        </is>
      </c>
      <c r="B55" s="24" t="inlineStr">
        <is>
          <t>Spinach</t>
        </is>
      </c>
      <c r="C55" s="25" t="n">
        <v>0</v>
      </c>
      <c r="D55" s="26" t="n">
        <v>0</v>
      </c>
      <c r="AP55" s="27" t="inlineStr">
        <is>
          <t>P</t>
        </is>
      </c>
      <c r="AQ55" s="27" t="inlineStr">
        <is>
          <t>G</t>
        </is>
      </c>
      <c r="AR55" s="27" t="inlineStr">
        <is>
          <t>G</t>
        </is>
      </c>
      <c r="AS55" s="27" t="inlineStr">
        <is>
          <t>G</t>
        </is>
      </c>
      <c r="AT55" s="27" t="inlineStr">
        <is>
          <t>G</t>
        </is>
      </c>
      <c r="AU55" s="27" t="inlineStr">
        <is>
          <t>G</t>
        </is>
      </c>
      <c r="AV55" s="27" t="inlineStr">
        <is>
          <t>H</t>
        </is>
      </c>
      <c r="AW55" s="27" t="inlineStr">
        <is>
          <t>H</t>
        </is>
      </c>
      <c r="BE55" s="28">
        <f>D55*$B$5</f>
        <v/>
      </c>
      <c r="BF55" s="28">
        <f>D55*$I$11</f>
        <v/>
      </c>
      <c r="BG55" s="29">
        <f>$B$11/2</f>
        <v/>
      </c>
    </row>
    <row r="56">
      <c r="A56" s="24" t="inlineStr">
        <is>
          <t>Spinach W39</t>
        </is>
      </c>
      <c r="B56" s="24" t="inlineStr">
        <is>
          <t>Spinach</t>
        </is>
      </c>
      <c r="C56" s="25" t="n">
        <v>0</v>
      </c>
      <c r="D56" s="26" t="n">
        <v>0</v>
      </c>
      <c r="AQ56" s="27" t="inlineStr">
        <is>
          <t>P</t>
        </is>
      </c>
      <c r="AR56" s="27" t="inlineStr">
        <is>
          <t>G</t>
        </is>
      </c>
      <c r="AS56" s="27" t="inlineStr">
        <is>
          <t>G</t>
        </is>
      </c>
      <c r="AT56" s="27" t="inlineStr">
        <is>
          <t>G</t>
        </is>
      </c>
      <c r="AU56" s="27" t="inlineStr">
        <is>
          <t>G</t>
        </is>
      </c>
      <c r="AV56" s="27" t="inlineStr">
        <is>
          <t>G</t>
        </is>
      </c>
      <c r="AW56" s="27" t="inlineStr">
        <is>
          <t>H</t>
        </is>
      </c>
      <c r="AX56" s="27" t="inlineStr">
        <is>
          <t>H</t>
        </is>
      </c>
      <c r="BE56" s="28">
        <f>D56*$B$5</f>
        <v/>
      </c>
      <c r="BF56" s="28">
        <f>D56*$I$11</f>
        <v/>
      </c>
      <c r="BG56" s="29">
        <f>$B$11/2</f>
        <v/>
      </c>
    </row>
    <row r="57">
      <c r="A57" s="24" t="inlineStr">
        <is>
          <t>Spinach W40</t>
        </is>
      </c>
      <c r="B57" s="24" t="inlineStr">
        <is>
          <t>Spinach</t>
        </is>
      </c>
      <c r="C57" s="25" t="n">
        <v>0</v>
      </c>
      <c r="D57" s="26" t="n">
        <v>0</v>
      </c>
      <c r="AR57" s="27" t="inlineStr">
        <is>
          <t>P</t>
        </is>
      </c>
      <c r="AS57" s="27" t="inlineStr">
        <is>
          <t>G</t>
        </is>
      </c>
      <c r="AT57" s="27" t="inlineStr">
        <is>
          <t>G</t>
        </is>
      </c>
      <c r="AU57" s="27" t="inlineStr">
        <is>
          <t>G</t>
        </is>
      </c>
      <c r="AV57" s="27" t="inlineStr">
        <is>
          <t>G</t>
        </is>
      </c>
      <c r="AW57" s="27" t="inlineStr">
        <is>
          <t>G</t>
        </is>
      </c>
      <c r="AX57" s="27" t="inlineStr">
        <is>
          <t>H</t>
        </is>
      </c>
      <c r="AY57" s="27" t="inlineStr">
        <is>
          <t>H</t>
        </is>
      </c>
      <c r="BE57" s="28">
        <f>D57*$B$5</f>
        <v/>
      </c>
      <c r="BF57" s="28">
        <f>D57*$I$11</f>
        <v/>
      </c>
      <c r="BG57" s="29">
        <f>$B$11/2</f>
        <v/>
      </c>
    </row>
    <row r="58">
      <c r="A58" s="24" t="inlineStr">
        <is>
          <t>Spinach W41</t>
        </is>
      </c>
      <c r="B58" s="24" t="inlineStr">
        <is>
          <t>Spinach</t>
        </is>
      </c>
      <c r="C58" s="25" t="n">
        <v>0</v>
      </c>
      <c r="D58" s="26" t="n">
        <v>0</v>
      </c>
      <c r="AS58" s="27" t="inlineStr">
        <is>
          <t>P</t>
        </is>
      </c>
      <c r="AT58" s="27" t="inlineStr">
        <is>
          <t>G</t>
        </is>
      </c>
      <c r="AU58" s="27" t="inlineStr">
        <is>
          <t>G</t>
        </is>
      </c>
      <c r="AV58" s="27" t="inlineStr">
        <is>
          <t>G</t>
        </is>
      </c>
      <c r="AW58" s="27" t="inlineStr">
        <is>
          <t>G</t>
        </is>
      </c>
      <c r="AX58" s="27" t="inlineStr">
        <is>
          <t>G</t>
        </is>
      </c>
      <c r="AY58" s="27" t="inlineStr">
        <is>
          <t>H</t>
        </is>
      </c>
      <c r="AZ58" s="27" t="inlineStr">
        <is>
          <t>H</t>
        </is>
      </c>
      <c r="BE58" s="28">
        <f>D58*$B$5</f>
        <v/>
      </c>
      <c r="BF58" s="28">
        <f>D58*$I$11</f>
        <v/>
      </c>
      <c r="BG58" s="29">
        <f>$B$11/2</f>
        <v/>
      </c>
    </row>
    <row r="59">
      <c r="A59" s="24" t="inlineStr">
        <is>
          <t>Spinach W42</t>
        </is>
      </c>
      <c r="B59" s="24" t="inlineStr">
        <is>
          <t>Spinach</t>
        </is>
      </c>
      <c r="C59" s="25" t="n">
        <v>0</v>
      </c>
      <c r="D59" s="26" t="n">
        <v>0</v>
      </c>
      <c r="AT59" s="27" t="inlineStr">
        <is>
          <t>P</t>
        </is>
      </c>
      <c r="AU59" s="27" t="inlineStr">
        <is>
          <t>G</t>
        </is>
      </c>
      <c r="AV59" s="27" t="inlineStr">
        <is>
          <t>G</t>
        </is>
      </c>
      <c r="AW59" s="27" t="inlineStr">
        <is>
          <t>G</t>
        </is>
      </c>
      <c r="AX59" s="27" t="inlineStr">
        <is>
          <t>G</t>
        </is>
      </c>
      <c r="AY59" s="27" t="inlineStr">
        <is>
          <t>G</t>
        </is>
      </c>
      <c r="AZ59" s="27" t="inlineStr">
        <is>
          <t>H</t>
        </is>
      </c>
      <c r="BA59" s="27" t="inlineStr">
        <is>
          <t>H</t>
        </is>
      </c>
      <c r="BE59" s="28">
        <f>D59*$B$5</f>
        <v/>
      </c>
      <c r="BF59" s="28">
        <f>D59*$I$11</f>
        <v/>
      </c>
      <c r="BG59" s="29">
        <f>$B$11/2</f>
        <v/>
      </c>
    </row>
    <row r="60">
      <c r="A60" s="24" t="inlineStr">
        <is>
          <t>Spinach W43</t>
        </is>
      </c>
      <c r="B60" s="24" t="inlineStr">
        <is>
          <t>Spinach</t>
        </is>
      </c>
      <c r="C60" s="25" t="n">
        <v>0</v>
      </c>
      <c r="D60" s="26" t="n">
        <v>0</v>
      </c>
      <c r="AU60" s="27" t="inlineStr">
        <is>
          <t>P</t>
        </is>
      </c>
      <c r="AV60" s="27" t="inlineStr">
        <is>
          <t>G</t>
        </is>
      </c>
      <c r="AW60" s="27" t="inlineStr">
        <is>
          <t>G</t>
        </is>
      </c>
      <c r="AX60" s="27" t="inlineStr">
        <is>
          <t>G</t>
        </is>
      </c>
      <c r="AY60" s="27" t="inlineStr">
        <is>
          <t>G</t>
        </is>
      </c>
      <c r="AZ60" s="27" t="inlineStr">
        <is>
          <t>G</t>
        </is>
      </c>
      <c r="BA60" s="27" t="inlineStr">
        <is>
          <t>H</t>
        </is>
      </c>
      <c r="BB60" s="27" t="inlineStr">
        <is>
          <t>H</t>
        </is>
      </c>
      <c r="BE60" s="28">
        <f>D60*$B$5</f>
        <v/>
      </c>
      <c r="BF60" s="28">
        <f>D60*$I$11</f>
        <v/>
      </c>
      <c r="BG60" s="29">
        <f>$B$11/2</f>
        <v/>
      </c>
    </row>
    <row r="61">
      <c r="A61" s="24" t="inlineStr">
        <is>
          <t>Spinach W44</t>
        </is>
      </c>
      <c r="B61" s="24" t="inlineStr">
        <is>
          <t>Spinach</t>
        </is>
      </c>
      <c r="C61" s="25" t="n">
        <v>0</v>
      </c>
      <c r="D61" s="26" t="n">
        <v>0</v>
      </c>
      <c r="AV61" s="27" t="inlineStr">
        <is>
          <t>P</t>
        </is>
      </c>
      <c r="AW61" s="27" t="inlineStr">
        <is>
          <t>G</t>
        </is>
      </c>
      <c r="AX61" s="27" t="inlineStr">
        <is>
          <t>G</t>
        </is>
      </c>
      <c r="AY61" s="27" t="inlineStr">
        <is>
          <t>G</t>
        </is>
      </c>
      <c r="AZ61" s="27" t="inlineStr">
        <is>
          <t>G</t>
        </is>
      </c>
      <c r="BA61" s="27" t="inlineStr">
        <is>
          <t>G</t>
        </is>
      </c>
      <c r="BB61" s="27" t="inlineStr">
        <is>
          <t>H</t>
        </is>
      </c>
      <c r="BC61" s="27" t="inlineStr">
        <is>
          <t>H</t>
        </is>
      </c>
      <c r="BE61" s="28">
        <f>D61*$B$5</f>
        <v/>
      </c>
      <c r="BF61" s="28">
        <f>D61*$I$11</f>
        <v/>
      </c>
      <c r="BG61" s="29">
        <f>$B$11/2</f>
        <v/>
      </c>
    </row>
    <row r="62">
      <c r="A62" s="24" t="inlineStr">
        <is>
          <t>Spinach W45</t>
        </is>
      </c>
      <c r="B62" s="24" t="inlineStr">
        <is>
          <t>Spinach</t>
        </is>
      </c>
      <c r="C62" s="25" t="n">
        <v>0</v>
      </c>
      <c r="D62" s="26" t="n">
        <v>0</v>
      </c>
      <c r="AW62" s="27" t="inlineStr">
        <is>
          <t>P</t>
        </is>
      </c>
      <c r="AX62" s="27" t="inlineStr">
        <is>
          <t>G</t>
        </is>
      </c>
      <c r="AY62" s="27" t="inlineStr">
        <is>
          <t>G</t>
        </is>
      </c>
      <c r="AZ62" s="27" t="inlineStr">
        <is>
          <t>G</t>
        </is>
      </c>
      <c r="BA62" s="27" t="inlineStr">
        <is>
          <t>G</t>
        </is>
      </c>
      <c r="BB62" s="27" t="inlineStr">
        <is>
          <t>G</t>
        </is>
      </c>
      <c r="BC62" s="27" t="inlineStr">
        <is>
          <t>H</t>
        </is>
      </c>
      <c r="BD62" s="27" t="inlineStr">
        <is>
          <t>H</t>
        </is>
      </c>
      <c r="BE62" s="28">
        <f>D62*$B$5</f>
        <v/>
      </c>
      <c r="BF62" s="28">
        <f>D62*$I$11</f>
        <v/>
      </c>
      <c r="BG62" s="29">
        <f>$B$11/2</f>
        <v/>
      </c>
    </row>
    <row r="63">
      <c r="A63" s="24" t="inlineStr">
        <is>
          <t>Kale W05</t>
        </is>
      </c>
      <c r="B63" s="24" t="inlineStr">
        <is>
          <t>Kale</t>
        </is>
      </c>
      <c r="C63" s="25" t="n">
        <v>0</v>
      </c>
      <c r="D63" s="26" t="n">
        <v>0</v>
      </c>
      <c r="I63" s="27" t="inlineStr">
        <is>
          <t>P</t>
        </is>
      </c>
      <c r="J63" s="27" t="inlineStr">
        <is>
          <t>G</t>
        </is>
      </c>
      <c r="K63" s="27" t="inlineStr">
        <is>
          <t>G</t>
        </is>
      </c>
      <c r="L63" s="27" t="inlineStr">
        <is>
          <t>G</t>
        </is>
      </c>
      <c r="M63" s="27" t="inlineStr">
        <is>
          <t>G</t>
        </is>
      </c>
      <c r="N63" s="27" t="inlineStr">
        <is>
          <t>G</t>
        </is>
      </c>
      <c r="O63" s="27" t="inlineStr">
        <is>
          <t>G</t>
        </is>
      </c>
      <c r="P63" s="27" t="inlineStr">
        <is>
          <t>G</t>
        </is>
      </c>
      <c r="Q63" s="27" t="inlineStr">
        <is>
          <t>G</t>
        </is>
      </c>
      <c r="R63" s="27" t="inlineStr">
        <is>
          <t>H</t>
        </is>
      </c>
      <c r="S63" s="27" t="inlineStr">
        <is>
          <t>H</t>
        </is>
      </c>
      <c r="T63" s="27" t="inlineStr">
        <is>
          <t>H</t>
        </is>
      </c>
      <c r="U63" s="27" t="inlineStr">
        <is>
          <t>H</t>
        </is>
      </c>
      <c r="BE63" s="28">
        <f>D63*$B$5</f>
        <v/>
      </c>
      <c r="BF63" s="28">
        <f>D63*$I$12</f>
        <v/>
      </c>
      <c r="BG63" s="29">
        <f>$B$12/4</f>
        <v/>
      </c>
    </row>
    <row r="64">
      <c r="A64" s="24" t="inlineStr">
        <is>
          <t>Kale W06</t>
        </is>
      </c>
      <c r="B64" s="24" t="inlineStr">
        <is>
          <t>Kale</t>
        </is>
      </c>
      <c r="C64" s="25" t="n">
        <v>0</v>
      </c>
      <c r="D64" s="26" t="n">
        <v>0</v>
      </c>
      <c r="J64" s="27" t="inlineStr">
        <is>
          <t>P</t>
        </is>
      </c>
      <c r="K64" s="27" t="inlineStr">
        <is>
          <t>G</t>
        </is>
      </c>
      <c r="L64" s="27" t="inlineStr">
        <is>
          <t>G</t>
        </is>
      </c>
      <c r="M64" s="27" t="inlineStr">
        <is>
          <t>G</t>
        </is>
      </c>
      <c r="N64" s="27" t="inlineStr">
        <is>
          <t>G</t>
        </is>
      </c>
      <c r="O64" s="27" t="inlineStr">
        <is>
          <t>G</t>
        </is>
      </c>
      <c r="P64" s="27" t="inlineStr">
        <is>
          <t>G</t>
        </is>
      </c>
      <c r="Q64" s="27" t="inlineStr">
        <is>
          <t>G</t>
        </is>
      </c>
      <c r="R64" s="27" t="inlineStr">
        <is>
          <t>G</t>
        </is>
      </c>
      <c r="S64" s="27" t="inlineStr">
        <is>
          <t>H</t>
        </is>
      </c>
      <c r="T64" s="27" t="inlineStr">
        <is>
          <t>H</t>
        </is>
      </c>
      <c r="U64" s="27" t="inlineStr">
        <is>
          <t>H</t>
        </is>
      </c>
      <c r="V64" s="27" t="inlineStr">
        <is>
          <t>H</t>
        </is>
      </c>
      <c r="BE64" s="28">
        <f>D64*$B$5</f>
        <v/>
      </c>
      <c r="BF64" s="28">
        <f>D64*$I$12</f>
        <v/>
      </c>
      <c r="BG64" s="29">
        <f>$B$12/4</f>
        <v/>
      </c>
    </row>
    <row r="65">
      <c r="A65" s="24" t="inlineStr">
        <is>
          <t>Kale W07</t>
        </is>
      </c>
      <c r="B65" s="24" t="inlineStr">
        <is>
          <t>Kale</t>
        </is>
      </c>
      <c r="C65" s="25" t="n">
        <v>0</v>
      </c>
      <c r="D65" s="26" t="n">
        <v>0</v>
      </c>
      <c r="K65" s="27" t="inlineStr">
        <is>
          <t>P</t>
        </is>
      </c>
      <c r="L65" s="27" t="inlineStr">
        <is>
          <t>G</t>
        </is>
      </c>
      <c r="M65" s="27" t="inlineStr">
        <is>
          <t>G</t>
        </is>
      </c>
      <c r="N65" s="27" t="inlineStr">
        <is>
          <t>G</t>
        </is>
      </c>
      <c r="O65" s="27" t="inlineStr">
        <is>
          <t>G</t>
        </is>
      </c>
      <c r="P65" s="27" t="inlineStr">
        <is>
          <t>G</t>
        </is>
      </c>
      <c r="Q65" s="27" t="inlineStr">
        <is>
          <t>G</t>
        </is>
      </c>
      <c r="R65" s="27" t="inlineStr">
        <is>
          <t>G</t>
        </is>
      </c>
      <c r="S65" s="27" t="inlineStr">
        <is>
          <t>G</t>
        </is>
      </c>
      <c r="T65" s="27" t="inlineStr">
        <is>
          <t>H</t>
        </is>
      </c>
      <c r="U65" s="27" t="inlineStr">
        <is>
          <t>H</t>
        </is>
      </c>
      <c r="V65" s="27" t="inlineStr">
        <is>
          <t>H</t>
        </is>
      </c>
      <c r="W65" s="27" t="inlineStr">
        <is>
          <t>H</t>
        </is>
      </c>
      <c r="BE65" s="28">
        <f>D65*$B$5</f>
        <v/>
      </c>
      <c r="BF65" s="28">
        <f>D65*$I$12</f>
        <v/>
      </c>
      <c r="BG65" s="29">
        <f>$B$12/4</f>
        <v/>
      </c>
    </row>
    <row r="66">
      <c r="A66" s="24" t="inlineStr">
        <is>
          <t>Kale W08</t>
        </is>
      </c>
      <c r="B66" s="24" t="inlineStr">
        <is>
          <t>Kale</t>
        </is>
      </c>
      <c r="C66" s="25" t="n">
        <v>0</v>
      </c>
      <c r="D66" s="26" t="n">
        <v>0</v>
      </c>
      <c r="L66" s="27" t="inlineStr">
        <is>
          <t>P</t>
        </is>
      </c>
      <c r="M66" s="27" t="inlineStr">
        <is>
          <t>G</t>
        </is>
      </c>
      <c r="N66" s="27" t="inlineStr">
        <is>
          <t>G</t>
        </is>
      </c>
      <c r="O66" s="27" t="inlineStr">
        <is>
          <t>G</t>
        </is>
      </c>
      <c r="P66" s="27" t="inlineStr">
        <is>
          <t>G</t>
        </is>
      </c>
      <c r="Q66" s="27" t="inlineStr">
        <is>
          <t>G</t>
        </is>
      </c>
      <c r="R66" s="27" t="inlineStr">
        <is>
          <t>G</t>
        </is>
      </c>
      <c r="S66" s="27" t="inlineStr">
        <is>
          <t>G</t>
        </is>
      </c>
      <c r="T66" s="27" t="inlineStr">
        <is>
          <t>G</t>
        </is>
      </c>
      <c r="U66" s="27" t="inlineStr">
        <is>
          <t>H</t>
        </is>
      </c>
      <c r="V66" s="27" t="inlineStr">
        <is>
          <t>H</t>
        </is>
      </c>
      <c r="W66" s="27" t="inlineStr">
        <is>
          <t>H</t>
        </is>
      </c>
      <c r="X66" s="27" t="inlineStr">
        <is>
          <t>H</t>
        </is>
      </c>
      <c r="BE66" s="28">
        <f>D66*$B$5</f>
        <v/>
      </c>
      <c r="BF66" s="28">
        <f>D66*$I$12</f>
        <v/>
      </c>
      <c r="BG66" s="29">
        <f>$B$12/4</f>
        <v/>
      </c>
    </row>
    <row r="67">
      <c r="A67" s="24" t="inlineStr">
        <is>
          <t>Kale W09</t>
        </is>
      </c>
      <c r="B67" s="24" t="inlineStr">
        <is>
          <t>Kale</t>
        </is>
      </c>
      <c r="C67" s="25" t="n">
        <v>0</v>
      </c>
      <c r="D67" s="26" t="n">
        <v>0</v>
      </c>
      <c r="M67" s="27" t="inlineStr">
        <is>
          <t>P</t>
        </is>
      </c>
      <c r="N67" s="27" t="inlineStr">
        <is>
          <t>G</t>
        </is>
      </c>
      <c r="O67" s="27" t="inlineStr">
        <is>
          <t>G</t>
        </is>
      </c>
      <c r="P67" s="27" t="inlineStr">
        <is>
          <t>G</t>
        </is>
      </c>
      <c r="Q67" s="27" t="inlineStr">
        <is>
          <t>G</t>
        </is>
      </c>
      <c r="R67" s="27" t="inlineStr">
        <is>
          <t>G</t>
        </is>
      </c>
      <c r="S67" s="27" t="inlineStr">
        <is>
          <t>G</t>
        </is>
      </c>
      <c r="T67" s="27" t="inlineStr">
        <is>
          <t>G</t>
        </is>
      </c>
      <c r="U67" s="27" t="inlineStr">
        <is>
          <t>G</t>
        </is>
      </c>
      <c r="V67" s="27" t="inlineStr">
        <is>
          <t>H</t>
        </is>
      </c>
      <c r="W67" s="27" t="inlineStr">
        <is>
          <t>H</t>
        </is>
      </c>
      <c r="X67" s="27" t="inlineStr">
        <is>
          <t>H</t>
        </is>
      </c>
      <c r="Y67" s="27" t="inlineStr">
        <is>
          <t>H</t>
        </is>
      </c>
      <c r="BE67" s="28">
        <f>D67*$B$5</f>
        <v/>
      </c>
      <c r="BF67" s="28">
        <f>D67*$I$12</f>
        <v/>
      </c>
      <c r="BG67" s="29">
        <f>$B$12/4</f>
        <v/>
      </c>
    </row>
    <row r="68">
      <c r="A68" s="24" t="inlineStr">
        <is>
          <t>Kale W10</t>
        </is>
      </c>
      <c r="B68" s="24" t="inlineStr">
        <is>
          <t>Kale</t>
        </is>
      </c>
      <c r="C68" s="25" t="n">
        <v>0</v>
      </c>
      <c r="D68" s="26" t="n">
        <v>0</v>
      </c>
      <c r="N68" s="27" t="inlineStr">
        <is>
          <t>P</t>
        </is>
      </c>
      <c r="O68" s="27" t="inlineStr">
        <is>
          <t>G</t>
        </is>
      </c>
      <c r="P68" s="27" t="inlineStr">
        <is>
          <t>G</t>
        </is>
      </c>
      <c r="Q68" s="27" t="inlineStr">
        <is>
          <t>G</t>
        </is>
      </c>
      <c r="R68" s="27" t="inlineStr">
        <is>
          <t>G</t>
        </is>
      </c>
      <c r="S68" s="27" t="inlineStr">
        <is>
          <t>G</t>
        </is>
      </c>
      <c r="T68" s="27" t="inlineStr">
        <is>
          <t>G</t>
        </is>
      </c>
      <c r="U68" s="27" t="inlineStr">
        <is>
          <t>G</t>
        </is>
      </c>
      <c r="V68" s="27" t="inlineStr">
        <is>
          <t>G</t>
        </is>
      </c>
      <c r="W68" s="27" t="inlineStr">
        <is>
          <t>H</t>
        </is>
      </c>
      <c r="X68" s="27" t="inlineStr">
        <is>
          <t>H</t>
        </is>
      </c>
      <c r="Y68" s="27" t="inlineStr">
        <is>
          <t>H</t>
        </is>
      </c>
      <c r="Z68" s="27" t="inlineStr">
        <is>
          <t>H</t>
        </is>
      </c>
      <c r="BE68" s="28">
        <f>D68*$B$5</f>
        <v/>
      </c>
      <c r="BF68" s="28">
        <f>D68*$I$12</f>
        <v/>
      </c>
      <c r="BG68" s="29">
        <f>$B$12/4</f>
        <v/>
      </c>
    </row>
    <row r="69">
      <c r="A69" s="24" t="inlineStr">
        <is>
          <t>Kale W11</t>
        </is>
      </c>
      <c r="B69" s="24" t="inlineStr">
        <is>
          <t>Kale</t>
        </is>
      </c>
      <c r="C69" s="25" t="n">
        <v>0</v>
      </c>
      <c r="D69" s="26" t="n">
        <v>0</v>
      </c>
      <c r="O69" s="27" t="inlineStr">
        <is>
          <t>P</t>
        </is>
      </c>
      <c r="P69" s="27" t="inlineStr">
        <is>
          <t>G</t>
        </is>
      </c>
      <c r="Q69" s="27" t="inlineStr">
        <is>
          <t>G</t>
        </is>
      </c>
      <c r="R69" s="27" t="inlineStr">
        <is>
          <t>G</t>
        </is>
      </c>
      <c r="S69" s="27" t="inlineStr">
        <is>
          <t>G</t>
        </is>
      </c>
      <c r="T69" s="27" t="inlineStr">
        <is>
          <t>G</t>
        </is>
      </c>
      <c r="U69" s="27" t="inlineStr">
        <is>
          <t>G</t>
        </is>
      </c>
      <c r="V69" s="27" t="inlineStr">
        <is>
          <t>G</t>
        </is>
      </c>
      <c r="W69" s="27" t="inlineStr">
        <is>
          <t>G</t>
        </is>
      </c>
      <c r="X69" s="27" t="inlineStr">
        <is>
          <t>H</t>
        </is>
      </c>
      <c r="Y69" s="27" t="inlineStr">
        <is>
          <t>H</t>
        </is>
      </c>
      <c r="Z69" s="27" t="inlineStr">
        <is>
          <t>H</t>
        </is>
      </c>
      <c r="AA69" s="27" t="inlineStr">
        <is>
          <t>H</t>
        </is>
      </c>
      <c r="BE69" s="28">
        <f>D69*$B$5</f>
        <v/>
      </c>
      <c r="BF69" s="28">
        <f>D69*$I$12</f>
        <v/>
      </c>
      <c r="BG69" s="29">
        <f>$B$12/4</f>
        <v/>
      </c>
    </row>
    <row r="70">
      <c r="A70" s="24" t="inlineStr">
        <is>
          <t>Kale W12</t>
        </is>
      </c>
      <c r="B70" s="24" t="inlineStr">
        <is>
          <t>Kale</t>
        </is>
      </c>
      <c r="C70" s="25" t="n">
        <v>0</v>
      </c>
      <c r="D70" s="26" t="n">
        <v>0</v>
      </c>
      <c r="P70" s="27" t="inlineStr">
        <is>
          <t>P</t>
        </is>
      </c>
      <c r="Q70" s="27" t="inlineStr">
        <is>
          <t>G</t>
        </is>
      </c>
      <c r="R70" s="27" t="inlineStr">
        <is>
          <t>G</t>
        </is>
      </c>
      <c r="S70" s="27" t="inlineStr">
        <is>
          <t>G</t>
        </is>
      </c>
      <c r="T70" s="27" t="inlineStr">
        <is>
          <t>G</t>
        </is>
      </c>
      <c r="U70" s="27" t="inlineStr">
        <is>
          <t>G</t>
        </is>
      </c>
      <c r="V70" s="27" t="inlineStr">
        <is>
          <t>G</t>
        </is>
      </c>
      <c r="W70" s="27" t="inlineStr">
        <is>
          <t>G</t>
        </is>
      </c>
      <c r="X70" s="27" t="inlineStr">
        <is>
          <t>G</t>
        </is>
      </c>
      <c r="Y70" s="27" t="inlineStr">
        <is>
          <t>H</t>
        </is>
      </c>
      <c r="Z70" s="27" t="inlineStr">
        <is>
          <t>H</t>
        </is>
      </c>
      <c r="AA70" s="27" t="inlineStr">
        <is>
          <t>H</t>
        </is>
      </c>
      <c r="AB70" s="27" t="inlineStr">
        <is>
          <t>H</t>
        </is>
      </c>
      <c r="BE70" s="28">
        <f>D70*$B$5</f>
        <v/>
      </c>
      <c r="BF70" s="28">
        <f>D70*$I$12</f>
        <v/>
      </c>
      <c r="BG70" s="29">
        <f>$B$12/4</f>
        <v/>
      </c>
    </row>
    <row r="71">
      <c r="A71" s="24" t="inlineStr">
        <is>
          <t>Kale W13</t>
        </is>
      </c>
      <c r="B71" s="24" t="inlineStr">
        <is>
          <t>Kale</t>
        </is>
      </c>
      <c r="C71" s="25" t="n">
        <v>0</v>
      </c>
      <c r="D71" s="26" t="n">
        <v>0</v>
      </c>
      <c r="Q71" s="27" t="inlineStr">
        <is>
          <t>P</t>
        </is>
      </c>
      <c r="R71" s="27" t="inlineStr">
        <is>
          <t>G</t>
        </is>
      </c>
      <c r="S71" s="27" t="inlineStr">
        <is>
          <t>G</t>
        </is>
      </c>
      <c r="T71" s="27" t="inlineStr">
        <is>
          <t>G</t>
        </is>
      </c>
      <c r="U71" s="27" t="inlineStr">
        <is>
          <t>G</t>
        </is>
      </c>
      <c r="V71" s="27" t="inlineStr">
        <is>
          <t>G</t>
        </is>
      </c>
      <c r="W71" s="27" t="inlineStr">
        <is>
          <t>G</t>
        </is>
      </c>
      <c r="X71" s="27" t="inlineStr">
        <is>
          <t>G</t>
        </is>
      </c>
      <c r="Y71" s="27" t="inlineStr">
        <is>
          <t>G</t>
        </is>
      </c>
      <c r="Z71" s="27" t="inlineStr">
        <is>
          <t>H</t>
        </is>
      </c>
      <c r="AA71" s="27" t="inlineStr">
        <is>
          <t>H</t>
        </is>
      </c>
      <c r="AB71" s="27" t="inlineStr">
        <is>
          <t>H</t>
        </is>
      </c>
      <c r="AC71" s="27" t="inlineStr">
        <is>
          <t>H</t>
        </is>
      </c>
      <c r="BE71" s="28">
        <f>D71*$B$5</f>
        <v/>
      </c>
      <c r="BF71" s="28">
        <f>D71*$I$12</f>
        <v/>
      </c>
      <c r="BG71" s="29">
        <f>$B$12/4</f>
        <v/>
      </c>
    </row>
    <row r="72">
      <c r="A72" s="24" t="inlineStr">
        <is>
          <t>Kale W14</t>
        </is>
      </c>
      <c r="B72" s="24" t="inlineStr">
        <is>
          <t>Kale</t>
        </is>
      </c>
      <c r="C72" s="25" t="n">
        <v>0</v>
      </c>
      <c r="D72" s="26" t="n">
        <v>0</v>
      </c>
      <c r="R72" s="27" t="inlineStr">
        <is>
          <t>P</t>
        </is>
      </c>
      <c r="S72" s="27" t="inlineStr">
        <is>
          <t>G</t>
        </is>
      </c>
      <c r="T72" s="27" t="inlineStr">
        <is>
          <t>G</t>
        </is>
      </c>
      <c r="U72" s="27" t="inlineStr">
        <is>
          <t>G</t>
        </is>
      </c>
      <c r="V72" s="27" t="inlineStr">
        <is>
          <t>G</t>
        </is>
      </c>
      <c r="W72" s="27" t="inlineStr">
        <is>
          <t>G</t>
        </is>
      </c>
      <c r="X72" s="27" t="inlineStr">
        <is>
          <t>G</t>
        </is>
      </c>
      <c r="Y72" s="27" t="inlineStr">
        <is>
          <t>G</t>
        </is>
      </c>
      <c r="Z72" s="27" t="inlineStr">
        <is>
          <t>G</t>
        </is>
      </c>
      <c r="AA72" s="27" t="inlineStr">
        <is>
          <t>H</t>
        </is>
      </c>
      <c r="AB72" s="27" t="inlineStr">
        <is>
          <t>H</t>
        </is>
      </c>
      <c r="AC72" s="27" t="inlineStr">
        <is>
          <t>H</t>
        </is>
      </c>
      <c r="AD72" s="27" t="inlineStr">
        <is>
          <t>H</t>
        </is>
      </c>
      <c r="BE72" s="28">
        <f>D72*$B$5</f>
        <v/>
      </c>
      <c r="BF72" s="28">
        <f>D72*$I$12</f>
        <v/>
      </c>
      <c r="BG72" s="29">
        <f>$B$12/4</f>
        <v/>
      </c>
    </row>
    <row r="73">
      <c r="A73" s="24" t="inlineStr">
        <is>
          <t>Kale W15</t>
        </is>
      </c>
      <c r="B73" s="24" t="inlineStr">
        <is>
          <t>Kale</t>
        </is>
      </c>
      <c r="C73" s="25" t="n">
        <v>0</v>
      </c>
      <c r="D73" s="26" t="n">
        <v>0</v>
      </c>
      <c r="S73" s="27" t="inlineStr">
        <is>
          <t>P</t>
        </is>
      </c>
      <c r="T73" s="27" t="inlineStr">
        <is>
          <t>G</t>
        </is>
      </c>
      <c r="U73" s="27" t="inlineStr">
        <is>
          <t>G</t>
        </is>
      </c>
      <c r="V73" s="27" t="inlineStr">
        <is>
          <t>G</t>
        </is>
      </c>
      <c r="W73" s="27" t="inlineStr">
        <is>
          <t>G</t>
        </is>
      </c>
      <c r="X73" s="27" t="inlineStr">
        <is>
          <t>G</t>
        </is>
      </c>
      <c r="Y73" s="27" t="inlineStr">
        <is>
          <t>G</t>
        </is>
      </c>
      <c r="Z73" s="27" t="inlineStr">
        <is>
          <t>G</t>
        </is>
      </c>
      <c r="AA73" s="27" t="inlineStr">
        <is>
          <t>G</t>
        </is>
      </c>
      <c r="AB73" s="27" t="inlineStr">
        <is>
          <t>H</t>
        </is>
      </c>
      <c r="AC73" s="27" t="inlineStr">
        <is>
          <t>H</t>
        </is>
      </c>
      <c r="AD73" s="27" t="inlineStr">
        <is>
          <t>H</t>
        </is>
      </c>
      <c r="AE73" s="27" t="inlineStr">
        <is>
          <t>H</t>
        </is>
      </c>
      <c r="BE73" s="28">
        <f>D73*$B$5</f>
        <v/>
      </c>
      <c r="BF73" s="28">
        <f>D73*$I$12</f>
        <v/>
      </c>
      <c r="BG73" s="29">
        <f>$B$12/4</f>
        <v/>
      </c>
    </row>
    <row r="74">
      <c r="A74" s="24" t="inlineStr">
        <is>
          <t>Kale W16</t>
        </is>
      </c>
      <c r="B74" s="24" t="inlineStr">
        <is>
          <t>Kale</t>
        </is>
      </c>
      <c r="C74" s="25" t="n">
        <v>0</v>
      </c>
      <c r="D74" s="26" t="n">
        <v>0</v>
      </c>
      <c r="T74" s="27" t="inlineStr">
        <is>
          <t>P</t>
        </is>
      </c>
      <c r="U74" s="27" t="inlineStr">
        <is>
          <t>G</t>
        </is>
      </c>
      <c r="V74" s="27" t="inlineStr">
        <is>
          <t>G</t>
        </is>
      </c>
      <c r="W74" s="27" t="inlineStr">
        <is>
          <t>G</t>
        </is>
      </c>
      <c r="X74" s="27" t="inlineStr">
        <is>
          <t>G</t>
        </is>
      </c>
      <c r="Y74" s="27" t="inlineStr">
        <is>
          <t>G</t>
        </is>
      </c>
      <c r="Z74" s="27" t="inlineStr">
        <is>
          <t>G</t>
        </is>
      </c>
      <c r="AA74" s="27" t="inlineStr">
        <is>
          <t>G</t>
        </is>
      </c>
      <c r="AB74" s="27" t="inlineStr">
        <is>
          <t>G</t>
        </is>
      </c>
      <c r="AC74" s="27" t="inlineStr">
        <is>
          <t>H</t>
        </is>
      </c>
      <c r="AD74" s="27" t="inlineStr">
        <is>
          <t>H</t>
        </is>
      </c>
      <c r="AE74" s="27" t="inlineStr">
        <is>
          <t>H</t>
        </is>
      </c>
      <c r="AF74" s="27" t="inlineStr">
        <is>
          <t>H</t>
        </is>
      </c>
      <c r="BE74" s="28">
        <f>D74*$B$5</f>
        <v/>
      </c>
      <c r="BF74" s="28">
        <f>D74*$I$12</f>
        <v/>
      </c>
      <c r="BG74" s="29">
        <f>$B$12/4</f>
        <v/>
      </c>
    </row>
    <row r="75">
      <c r="A75" s="24" t="inlineStr">
        <is>
          <t>Kale W17</t>
        </is>
      </c>
      <c r="B75" s="24" t="inlineStr">
        <is>
          <t>Kale</t>
        </is>
      </c>
      <c r="C75" s="25" t="n">
        <v>0</v>
      </c>
      <c r="D75" s="26" t="n">
        <v>0</v>
      </c>
      <c r="U75" s="27" t="inlineStr">
        <is>
          <t>P</t>
        </is>
      </c>
      <c r="V75" s="27" t="inlineStr">
        <is>
          <t>G</t>
        </is>
      </c>
      <c r="W75" s="27" t="inlineStr">
        <is>
          <t>G</t>
        </is>
      </c>
      <c r="X75" s="27" t="inlineStr">
        <is>
          <t>G</t>
        </is>
      </c>
      <c r="Y75" s="27" t="inlineStr">
        <is>
          <t>G</t>
        </is>
      </c>
      <c r="Z75" s="27" t="inlineStr">
        <is>
          <t>G</t>
        </is>
      </c>
      <c r="AA75" s="27" t="inlineStr">
        <is>
          <t>G</t>
        </is>
      </c>
      <c r="AB75" s="27" t="inlineStr">
        <is>
          <t>G</t>
        </is>
      </c>
      <c r="AC75" s="27" t="inlineStr">
        <is>
          <t>G</t>
        </is>
      </c>
      <c r="AD75" s="27" t="inlineStr">
        <is>
          <t>H</t>
        </is>
      </c>
      <c r="AE75" s="27" t="inlineStr">
        <is>
          <t>H</t>
        </is>
      </c>
      <c r="AF75" s="27" t="inlineStr">
        <is>
          <t>H</t>
        </is>
      </c>
      <c r="AG75" s="27" t="inlineStr">
        <is>
          <t>H</t>
        </is>
      </c>
      <c r="BE75" s="28">
        <f>D75*$B$5</f>
        <v/>
      </c>
      <c r="BF75" s="28">
        <f>D75*$I$12</f>
        <v/>
      </c>
      <c r="BG75" s="29">
        <f>$B$12/4</f>
        <v/>
      </c>
    </row>
    <row r="76">
      <c r="A76" s="24" t="inlineStr">
        <is>
          <t>Kale W18</t>
        </is>
      </c>
      <c r="B76" s="24" t="inlineStr">
        <is>
          <t>Kale</t>
        </is>
      </c>
      <c r="C76" s="25" t="n">
        <v>0</v>
      </c>
      <c r="D76" s="26" t="n">
        <v>0</v>
      </c>
      <c r="V76" s="27" t="inlineStr">
        <is>
          <t>P</t>
        </is>
      </c>
      <c r="W76" s="27" t="inlineStr">
        <is>
          <t>G</t>
        </is>
      </c>
      <c r="X76" s="27" t="inlineStr">
        <is>
          <t>G</t>
        </is>
      </c>
      <c r="Y76" s="27" t="inlineStr">
        <is>
          <t>G</t>
        </is>
      </c>
      <c r="Z76" s="27" t="inlineStr">
        <is>
          <t>G</t>
        </is>
      </c>
      <c r="AA76" s="27" t="inlineStr">
        <is>
          <t>G</t>
        </is>
      </c>
      <c r="AB76" s="27" t="inlineStr">
        <is>
          <t>G</t>
        </is>
      </c>
      <c r="AC76" s="27" t="inlineStr">
        <is>
          <t>G</t>
        </is>
      </c>
      <c r="AD76" s="27" t="inlineStr">
        <is>
          <t>G</t>
        </is>
      </c>
      <c r="AE76" s="27" t="inlineStr">
        <is>
          <t>H</t>
        </is>
      </c>
      <c r="AF76" s="27" t="inlineStr">
        <is>
          <t>H</t>
        </is>
      </c>
      <c r="AG76" s="27" t="inlineStr">
        <is>
          <t>H</t>
        </is>
      </c>
      <c r="AH76" s="27" t="inlineStr">
        <is>
          <t>H</t>
        </is>
      </c>
      <c r="BE76" s="28">
        <f>D76*$B$5</f>
        <v/>
      </c>
      <c r="BF76" s="28">
        <f>D76*$I$12</f>
        <v/>
      </c>
      <c r="BG76" s="29">
        <f>$B$12/4</f>
        <v/>
      </c>
    </row>
    <row r="77">
      <c r="A77" s="24" t="inlineStr">
        <is>
          <t>Kale W19</t>
        </is>
      </c>
      <c r="B77" s="24" t="inlineStr">
        <is>
          <t>Kale</t>
        </is>
      </c>
      <c r="C77" s="25" t="n">
        <v>0</v>
      </c>
      <c r="D77" s="26" t="n">
        <v>0</v>
      </c>
      <c r="W77" s="27" t="inlineStr">
        <is>
          <t>P</t>
        </is>
      </c>
      <c r="X77" s="27" t="inlineStr">
        <is>
          <t>G</t>
        </is>
      </c>
      <c r="Y77" s="27" t="inlineStr">
        <is>
          <t>G</t>
        </is>
      </c>
      <c r="Z77" s="27" t="inlineStr">
        <is>
          <t>G</t>
        </is>
      </c>
      <c r="AA77" s="27" t="inlineStr">
        <is>
          <t>G</t>
        </is>
      </c>
      <c r="AB77" s="27" t="inlineStr">
        <is>
          <t>G</t>
        </is>
      </c>
      <c r="AC77" s="27" t="inlineStr">
        <is>
          <t>G</t>
        </is>
      </c>
      <c r="AD77" s="27" t="inlineStr">
        <is>
          <t>G</t>
        </is>
      </c>
      <c r="AE77" s="27" t="inlineStr">
        <is>
          <t>G</t>
        </is>
      </c>
      <c r="AF77" s="27" t="inlineStr">
        <is>
          <t>H</t>
        </is>
      </c>
      <c r="AG77" s="27" t="inlineStr">
        <is>
          <t>H</t>
        </is>
      </c>
      <c r="AH77" s="27" t="inlineStr">
        <is>
          <t>H</t>
        </is>
      </c>
      <c r="AI77" s="27" t="inlineStr">
        <is>
          <t>H</t>
        </is>
      </c>
      <c r="BE77" s="28">
        <f>D77*$B$5</f>
        <v/>
      </c>
      <c r="BF77" s="28">
        <f>D77*$I$12</f>
        <v/>
      </c>
      <c r="BG77" s="29">
        <f>$B$12/4</f>
        <v/>
      </c>
    </row>
    <row r="78">
      <c r="A78" s="24" t="inlineStr">
        <is>
          <t>Kale W20</t>
        </is>
      </c>
      <c r="B78" s="24" t="inlineStr">
        <is>
          <t>Kale</t>
        </is>
      </c>
      <c r="C78" s="25" t="n">
        <v>0</v>
      </c>
      <c r="D78" s="26" t="n">
        <v>0</v>
      </c>
      <c r="X78" s="27" t="inlineStr">
        <is>
          <t>P</t>
        </is>
      </c>
      <c r="Y78" s="27" t="inlineStr">
        <is>
          <t>G</t>
        </is>
      </c>
      <c r="Z78" s="27" t="inlineStr">
        <is>
          <t>G</t>
        </is>
      </c>
      <c r="AA78" s="27" t="inlineStr">
        <is>
          <t>G</t>
        </is>
      </c>
      <c r="AB78" s="27" t="inlineStr">
        <is>
          <t>G</t>
        </is>
      </c>
      <c r="AC78" s="27" t="inlineStr">
        <is>
          <t>G</t>
        </is>
      </c>
      <c r="AD78" s="27" t="inlineStr">
        <is>
          <t>G</t>
        </is>
      </c>
      <c r="AE78" s="27" t="inlineStr">
        <is>
          <t>G</t>
        </is>
      </c>
      <c r="AF78" s="27" t="inlineStr">
        <is>
          <t>G</t>
        </is>
      </c>
      <c r="AG78" s="27" t="inlineStr">
        <is>
          <t>H</t>
        </is>
      </c>
      <c r="AH78" s="27" t="inlineStr">
        <is>
          <t>H</t>
        </is>
      </c>
      <c r="AI78" s="27" t="inlineStr">
        <is>
          <t>H</t>
        </is>
      </c>
      <c r="AJ78" s="27" t="inlineStr">
        <is>
          <t>H</t>
        </is>
      </c>
      <c r="BE78" s="28">
        <f>D78*$B$5</f>
        <v/>
      </c>
      <c r="BF78" s="28">
        <f>D78*$I$12</f>
        <v/>
      </c>
      <c r="BG78" s="29">
        <f>$B$12/4</f>
        <v/>
      </c>
    </row>
    <row r="79">
      <c r="A79" s="24" t="inlineStr">
        <is>
          <t>Kale W21</t>
        </is>
      </c>
      <c r="B79" s="24" t="inlineStr">
        <is>
          <t>Kale</t>
        </is>
      </c>
      <c r="C79" s="25" t="n">
        <v>0</v>
      </c>
      <c r="D79" s="26" t="n">
        <v>0</v>
      </c>
      <c r="Y79" s="27" t="inlineStr">
        <is>
          <t>P</t>
        </is>
      </c>
      <c r="Z79" s="27" t="inlineStr">
        <is>
          <t>G</t>
        </is>
      </c>
      <c r="AA79" s="27" t="inlineStr">
        <is>
          <t>G</t>
        </is>
      </c>
      <c r="AB79" s="27" t="inlineStr">
        <is>
          <t>G</t>
        </is>
      </c>
      <c r="AC79" s="27" t="inlineStr">
        <is>
          <t>G</t>
        </is>
      </c>
      <c r="AD79" s="27" t="inlineStr">
        <is>
          <t>G</t>
        </is>
      </c>
      <c r="AE79" s="27" t="inlineStr">
        <is>
          <t>G</t>
        </is>
      </c>
      <c r="AF79" s="27" t="inlineStr">
        <is>
          <t>G</t>
        </is>
      </c>
      <c r="AG79" s="27" t="inlineStr">
        <is>
          <t>G</t>
        </is>
      </c>
      <c r="AH79" s="27" t="inlineStr">
        <is>
          <t>H</t>
        </is>
      </c>
      <c r="AI79" s="27" t="inlineStr">
        <is>
          <t>H</t>
        </is>
      </c>
      <c r="AJ79" s="27" t="inlineStr">
        <is>
          <t>H</t>
        </is>
      </c>
      <c r="AK79" s="27" t="inlineStr">
        <is>
          <t>H</t>
        </is>
      </c>
      <c r="BE79" s="28">
        <f>D79*$B$5</f>
        <v/>
      </c>
      <c r="BF79" s="28">
        <f>D79*$I$12</f>
        <v/>
      </c>
      <c r="BG79" s="29">
        <f>$B$12/4</f>
        <v/>
      </c>
    </row>
    <row r="80">
      <c r="A80" s="24" t="inlineStr">
        <is>
          <t>Kale W22</t>
        </is>
      </c>
      <c r="B80" s="24" t="inlineStr">
        <is>
          <t>Kale</t>
        </is>
      </c>
      <c r="C80" s="25" t="n">
        <v>0</v>
      </c>
      <c r="D80" s="26" t="n">
        <v>0</v>
      </c>
      <c r="Z80" s="27" t="inlineStr">
        <is>
          <t>P</t>
        </is>
      </c>
      <c r="AA80" s="27" t="inlineStr">
        <is>
          <t>G</t>
        </is>
      </c>
      <c r="AB80" s="27" t="inlineStr">
        <is>
          <t>G</t>
        </is>
      </c>
      <c r="AC80" s="27" t="inlineStr">
        <is>
          <t>G</t>
        </is>
      </c>
      <c r="AD80" s="27" t="inlineStr">
        <is>
          <t>G</t>
        </is>
      </c>
      <c r="AE80" s="27" t="inlineStr">
        <is>
          <t>G</t>
        </is>
      </c>
      <c r="AF80" s="27" t="inlineStr">
        <is>
          <t>G</t>
        </is>
      </c>
      <c r="AG80" s="27" t="inlineStr">
        <is>
          <t>G</t>
        </is>
      </c>
      <c r="AH80" s="27" t="inlineStr">
        <is>
          <t>G</t>
        </is>
      </c>
      <c r="AI80" s="27" t="inlineStr">
        <is>
          <t>H</t>
        </is>
      </c>
      <c r="AJ80" s="27" t="inlineStr">
        <is>
          <t>H</t>
        </is>
      </c>
      <c r="AK80" s="27" t="inlineStr">
        <is>
          <t>H</t>
        </is>
      </c>
      <c r="AL80" s="27" t="inlineStr">
        <is>
          <t>H</t>
        </is>
      </c>
      <c r="BE80" s="28">
        <f>D80*$B$5</f>
        <v/>
      </c>
      <c r="BF80" s="28">
        <f>D80*$I$12</f>
        <v/>
      </c>
      <c r="BG80" s="29">
        <f>$B$12/4</f>
        <v/>
      </c>
    </row>
    <row r="81">
      <c r="A81" s="24" t="inlineStr">
        <is>
          <t>Kale W29</t>
        </is>
      </c>
      <c r="B81" s="24" t="inlineStr">
        <is>
          <t>Kale</t>
        </is>
      </c>
      <c r="C81" s="25" t="n">
        <v>0</v>
      </c>
      <c r="D81" s="26" t="n">
        <v>0</v>
      </c>
      <c r="AG81" s="27" t="inlineStr">
        <is>
          <t>P</t>
        </is>
      </c>
      <c r="AH81" s="27" t="inlineStr">
        <is>
          <t>G</t>
        </is>
      </c>
      <c r="AI81" s="27" t="inlineStr">
        <is>
          <t>G</t>
        </is>
      </c>
      <c r="AJ81" s="27" t="inlineStr">
        <is>
          <t>G</t>
        </is>
      </c>
      <c r="AK81" s="27" t="inlineStr">
        <is>
          <t>G</t>
        </is>
      </c>
      <c r="AL81" s="27" t="inlineStr">
        <is>
          <t>G</t>
        </is>
      </c>
      <c r="AM81" s="27" t="inlineStr">
        <is>
          <t>G</t>
        </is>
      </c>
      <c r="AN81" s="27" t="inlineStr">
        <is>
          <t>G</t>
        </is>
      </c>
      <c r="AO81" s="27" t="inlineStr">
        <is>
          <t>G</t>
        </is>
      </c>
      <c r="AP81" s="27" t="inlineStr">
        <is>
          <t>H</t>
        </is>
      </c>
      <c r="AQ81" s="27" t="inlineStr">
        <is>
          <t>H</t>
        </is>
      </c>
      <c r="AR81" s="27" t="inlineStr">
        <is>
          <t>H</t>
        </is>
      </c>
      <c r="AS81" s="27" t="inlineStr">
        <is>
          <t>H</t>
        </is>
      </c>
      <c r="BE81" s="28">
        <f>D81*$B$5</f>
        <v/>
      </c>
      <c r="BF81" s="28">
        <f>D81*$I$12</f>
        <v/>
      </c>
      <c r="BG81" s="29">
        <f>$B$12/4</f>
        <v/>
      </c>
    </row>
    <row r="82">
      <c r="A82" s="24" t="inlineStr">
        <is>
          <t>Kale W30</t>
        </is>
      </c>
      <c r="B82" s="24" t="inlineStr">
        <is>
          <t>Kale</t>
        </is>
      </c>
      <c r="C82" s="25" t="n">
        <v>0</v>
      </c>
      <c r="D82" s="26" t="n">
        <v>0</v>
      </c>
      <c r="AH82" s="27" t="inlineStr">
        <is>
          <t>P</t>
        </is>
      </c>
      <c r="AI82" s="27" t="inlineStr">
        <is>
          <t>G</t>
        </is>
      </c>
      <c r="AJ82" s="27" t="inlineStr">
        <is>
          <t>G</t>
        </is>
      </c>
      <c r="AK82" s="27" t="inlineStr">
        <is>
          <t>G</t>
        </is>
      </c>
      <c r="AL82" s="27" t="inlineStr">
        <is>
          <t>G</t>
        </is>
      </c>
      <c r="AM82" s="27" t="inlineStr">
        <is>
          <t>G</t>
        </is>
      </c>
      <c r="AN82" s="27" t="inlineStr">
        <is>
          <t>G</t>
        </is>
      </c>
      <c r="AO82" s="27" t="inlineStr">
        <is>
          <t>G</t>
        </is>
      </c>
      <c r="AP82" s="27" t="inlineStr">
        <is>
          <t>G</t>
        </is>
      </c>
      <c r="AQ82" s="27" t="inlineStr">
        <is>
          <t>H</t>
        </is>
      </c>
      <c r="AR82" s="27" t="inlineStr">
        <is>
          <t>H</t>
        </is>
      </c>
      <c r="AS82" s="27" t="inlineStr">
        <is>
          <t>H</t>
        </is>
      </c>
      <c r="AT82" s="27" t="inlineStr">
        <is>
          <t>H</t>
        </is>
      </c>
      <c r="BE82" s="28">
        <f>D82*$B$5</f>
        <v/>
      </c>
      <c r="BF82" s="28">
        <f>D82*$I$12</f>
        <v/>
      </c>
      <c r="BG82" s="29">
        <f>$B$12/4</f>
        <v/>
      </c>
    </row>
    <row r="83">
      <c r="A83" s="24" t="inlineStr">
        <is>
          <t>Kale W31</t>
        </is>
      </c>
      <c r="B83" s="24" t="inlineStr">
        <is>
          <t>Kale</t>
        </is>
      </c>
      <c r="C83" s="25" t="n">
        <v>0</v>
      </c>
      <c r="D83" s="26" t="n">
        <v>0</v>
      </c>
      <c r="AI83" s="27" t="inlineStr">
        <is>
          <t>P</t>
        </is>
      </c>
      <c r="AJ83" s="27" t="inlineStr">
        <is>
          <t>G</t>
        </is>
      </c>
      <c r="AK83" s="27" t="inlineStr">
        <is>
          <t>G</t>
        </is>
      </c>
      <c r="AL83" s="27" t="inlineStr">
        <is>
          <t>G</t>
        </is>
      </c>
      <c r="AM83" s="27" t="inlineStr">
        <is>
          <t>G</t>
        </is>
      </c>
      <c r="AN83" s="27" t="inlineStr">
        <is>
          <t>G</t>
        </is>
      </c>
      <c r="AO83" s="27" t="inlineStr">
        <is>
          <t>G</t>
        </is>
      </c>
      <c r="AP83" s="27" t="inlineStr">
        <is>
          <t>G</t>
        </is>
      </c>
      <c r="AQ83" s="27" t="inlineStr">
        <is>
          <t>G</t>
        </is>
      </c>
      <c r="AR83" s="27" t="inlineStr">
        <is>
          <t>H</t>
        </is>
      </c>
      <c r="AS83" s="27" t="inlineStr">
        <is>
          <t>H</t>
        </is>
      </c>
      <c r="AT83" s="27" t="inlineStr">
        <is>
          <t>H</t>
        </is>
      </c>
      <c r="AU83" s="27" t="inlineStr">
        <is>
          <t>H</t>
        </is>
      </c>
      <c r="BE83" s="28">
        <f>D83*$B$5</f>
        <v/>
      </c>
      <c r="BF83" s="28">
        <f>D83*$I$12</f>
        <v/>
      </c>
      <c r="BG83" s="29">
        <f>$B$12/4</f>
        <v/>
      </c>
    </row>
    <row r="84">
      <c r="A84" s="24" t="inlineStr">
        <is>
          <t>Kale W32</t>
        </is>
      </c>
      <c r="B84" s="24" t="inlineStr">
        <is>
          <t>Kale</t>
        </is>
      </c>
      <c r="C84" s="25" t="n">
        <v>0</v>
      </c>
      <c r="D84" s="26" t="n">
        <v>0</v>
      </c>
      <c r="AJ84" s="27" t="inlineStr">
        <is>
          <t>P</t>
        </is>
      </c>
      <c r="AK84" s="27" t="inlineStr">
        <is>
          <t>G</t>
        </is>
      </c>
      <c r="AL84" s="27" t="inlineStr">
        <is>
          <t>G</t>
        </is>
      </c>
      <c r="AM84" s="27" t="inlineStr">
        <is>
          <t>G</t>
        </is>
      </c>
      <c r="AN84" s="27" t="inlineStr">
        <is>
          <t>G</t>
        </is>
      </c>
      <c r="AO84" s="27" t="inlineStr">
        <is>
          <t>G</t>
        </is>
      </c>
      <c r="AP84" s="27" t="inlineStr">
        <is>
          <t>G</t>
        </is>
      </c>
      <c r="AQ84" s="27" t="inlineStr">
        <is>
          <t>G</t>
        </is>
      </c>
      <c r="AR84" s="27" t="inlineStr">
        <is>
          <t>G</t>
        </is>
      </c>
      <c r="AS84" s="27" t="inlineStr">
        <is>
          <t>H</t>
        </is>
      </c>
      <c r="AT84" s="27" t="inlineStr">
        <is>
          <t>H</t>
        </is>
      </c>
      <c r="AU84" s="27" t="inlineStr">
        <is>
          <t>H</t>
        </is>
      </c>
      <c r="AV84" s="27" t="inlineStr">
        <is>
          <t>H</t>
        </is>
      </c>
      <c r="BE84" s="28">
        <f>D84*$B$5</f>
        <v/>
      </c>
      <c r="BF84" s="28">
        <f>D84*$I$12</f>
        <v/>
      </c>
      <c r="BG84" s="29">
        <f>$B$12/4</f>
        <v/>
      </c>
    </row>
    <row r="85">
      <c r="A85" s="24" t="inlineStr">
        <is>
          <t>Kale W33</t>
        </is>
      </c>
      <c r="B85" s="24" t="inlineStr">
        <is>
          <t>Kale</t>
        </is>
      </c>
      <c r="C85" s="25" t="n">
        <v>0</v>
      </c>
      <c r="D85" s="26" t="n">
        <v>0</v>
      </c>
      <c r="AK85" s="27" t="inlineStr">
        <is>
          <t>P</t>
        </is>
      </c>
      <c r="AL85" s="27" t="inlineStr">
        <is>
          <t>G</t>
        </is>
      </c>
      <c r="AM85" s="27" t="inlineStr">
        <is>
          <t>G</t>
        </is>
      </c>
      <c r="AN85" s="27" t="inlineStr">
        <is>
          <t>G</t>
        </is>
      </c>
      <c r="AO85" s="27" t="inlineStr">
        <is>
          <t>G</t>
        </is>
      </c>
      <c r="AP85" s="27" t="inlineStr">
        <is>
          <t>G</t>
        </is>
      </c>
      <c r="AQ85" s="27" t="inlineStr">
        <is>
          <t>G</t>
        </is>
      </c>
      <c r="AR85" s="27" t="inlineStr">
        <is>
          <t>G</t>
        </is>
      </c>
      <c r="AS85" s="27" t="inlineStr">
        <is>
          <t>G</t>
        </is>
      </c>
      <c r="AT85" s="27" t="inlineStr">
        <is>
          <t>H</t>
        </is>
      </c>
      <c r="AU85" s="27" t="inlineStr">
        <is>
          <t>H</t>
        </is>
      </c>
      <c r="AV85" s="27" t="inlineStr">
        <is>
          <t>H</t>
        </is>
      </c>
      <c r="AW85" s="27" t="inlineStr">
        <is>
          <t>H</t>
        </is>
      </c>
      <c r="BE85" s="28">
        <f>D85*$B$5</f>
        <v/>
      </c>
      <c r="BF85" s="28">
        <f>D85*$I$12</f>
        <v/>
      </c>
      <c r="BG85" s="29">
        <f>$B$12/4</f>
        <v/>
      </c>
    </row>
    <row r="86">
      <c r="A86" s="24" t="inlineStr">
        <is>
          <t>Kale W34</t>
        </is>
      </c>
      <c r="B86" s="24" t="inlineStr">
        <is>
          <t>Kale</t>
        </is>
      </c>
      <c r="C86" s="25" t="n">
        <v>0</v>
      </c>
      <c r="D86" s="26" t="n">
        <v>0</v>
      </c>
      <c r="AL86" s="27" t="inlineStr">
        <is>
          <t>P</t>
        </is>
      </c>
      <c r="AM86" s="27" t="inlineStr">
        <is>
          <t>G</t>
        </is>
      </c>
      <c r="AN86" s="27" t="inlineStr">
        <is>
          <t>G</t>
        </is>
      </c>
      <c r="AO86" s="27" t="inlineStr">
        <is>
          <t>G</t>
        </is>
      </c>
      <c r="AP86" s="27" t="inlineStr">
        <is>
          <t>G</t>
        </is>
      </c>
      <c r="AQ86" s="27" t="inlineStr">
        <is>
          <t>G</t>
        </is>
      </c>
      <c r="AR86" s="27" t="inlineStr">
        <is>
          <t>G</t>
        </is>
      </c>
      <c r="AS86" s="27" t="inlineStr">
        <is>
          <t>G</t>
        </is>
      </c>
      <c r="AT86" s="27" t="inlineStr">
        <is>
          <t>G</t>
        </is>
      </c>
      <c r="AU86" s="27" t="inlineStr">
        <is>
          <t>H</t>
        </is>
      </c>
      <c r="AV86" s="27" t="inlineStr">
        <is>
          <t>H</t>
        </is>
      </c>
      <c r="AW86" s="27" t="inlineStr">
        <is>
          <t>H</t>
        </is>
      </c>
      <c r="AX86" s="27" t="inlineStr">
        <is>
          <t>H</t>
        </is>
      </c>
      <c r="BE86" s="28">
        <f>D86*$B$5</f>
        <v/>
      </c>
      <c r="BF86" s="28">
        <f>D86*$I$12</f>
        <v/>
      </c>
      <c r="BG86" s="29">
        <f>$B$12/4</f>
        <v/>
      </c>
    </row>
    <row r="87">
      <c r="A87" s="24" t="inlineStr">
        <is>
          <t>Kale W35</t>
        </is>
      </c>
      <c r="B87" s="24" t="inlineStr">
        <is>
          <t>Kale</t>
        </is>
      </c>
      <c r="C87" s="25" t="n">
        <v>0</v>
      </c>
      <c r="D87" s="26" t="n">
        <v>0</v>
      </c>
      <c r="AM87" s="27" t="inlineStr">
        <is>
          <t>P</t>
        </is>
      </c>
      <c r="AN87" s="27" t="inlineStr">
        <is>
          <t>G</t>
        </is>
      </c>
      <c r="AO87" s="27" t="inlineStr">
        <is>
          <t>G</t>
        </is>
      </c>
      <c r="AP87" s="27" t="inlineStr">
        <is>
          <t>G</t>
        </is>
      </c>
      <c r="AQ87" s="27" t="inlineStr">
        <is>
          <t>G</t>
        </is>
      </c>
      <c r="AR87" s="27" t="inlineStr">
        <is>
          <t>G</t>
        </is>
      </c>
      <c r="AS87" s="27" t="inlineStr">
        <is>
          <t>G</t>
        </is>
      </c>
      <c r="AT87" s="27" t="inlineStr">
        <is>
          <t>G</t>
        </is>
      </c>
      <c r="AU87" s="27" t="inlineStr">
        <is>
          <t>G</t>
        </is>
      </c>
      <c r="AV87" s="27" t="inlineStr">
        <is>
          <t>H</t>
        </is>
      </c>
      <c r="AW87" s="27" t="inlineStr">
        <is>
          <t>H</t>
        </is>
      </c>
      <c r="AX87" s="27" t="inlineStr">
        <is>
          <t>H</t>
        </is>
      </c>
      <c r="AY87" s="27" t="inlineStr">
        <is>
          <t>H</t>
        </is>
      </c>
      <c r="BE87" s="28">
        <f>D87*$B$5</f>
        <v/>
      </c>
      <c r="BF87" s="28">
        <f>D87*$I$12</f>
        <v/>
      </c>
      <c r="BG87" s="29">
        <f>$B$12/4</f>
        <v/>
      </c>
    </row>
    <row r="88">
      <c r="A88" s="24" t="inlineStr">
        <is>
          <t>Kale W36</t>
        </is>
      </c>
      <c r="B88" s="24" t="inlineStr">
        <is>
          <t>Kale</t>
        </is>
      </c>
      <c r="C88" s="25" t="n">
        <v>0</v>
      </c>
      <c r="D88" s="26" t="n">
        <v>0</v>
      </c>
      <c r="AN88" s="27" t="inlineStr">
        <is>
          <t>P</t>
        </is>
      </c>
      <c r="AO88" s="27" t="inlineStr">
        <is>
          <t>G</t>
        </is>
      </c>
      <c r="AP88" s="27" t="inlineStr">
        <is>
          <t>G</t>
        </is>
      </c>
      <c r="AQ88" s="27" t="inlineStr">
        <is>
          <t>G</t>
        </is>
      </c>
      <c r="AR88" s="27" t="inlineStr">
        <is>
          <t>G</t>
        </is>
      </c>
      <c r="AS88" s="27" t="inlineStr">
        <is>
          <t>G</t>
        </is>
      </c>
      <c r="AT88" s="27" t="inlineStr">
        <is>
          <t>G</t>
        </is>
      </c>
      <c r="AU88" s="27" t="inlineStr">
        <is>
          <t>G</t>
        </is>
      </c>
      <c r="AV88" s="27" t="inlineStr">
        <is>
          <t>G</t>
        </is>
      </c>
      <c r="AW88" s="27" t="inlineStr">
        <is>
          <t>H</t>
        </is>
      </c>
      <c r="AX88" s="27" t="inlineStr">
        <is>
          <t>H</t>
        </is>
      </c>
      <c r="AY88" s="27" t="inlineStr">
        <is>
          <t>H</t>
        </is>
      </c>
      <c r="AZ88" s="27" t="inlineStr">
        <is>
          <t>H</t>
        </is>
      </c>
      <c r="BE88" s="28">
        <f>D88*$B$5</f>
        <v/>
      </c>
      <c r="BF88" s="28">
        <f>D88*$I$12</f>
        <v/>
      </c>
      <c r="BG88" s="29">
        <f>$B$12/4</f>
        <v/>
      </c>
    </row>
    <row r="89">
      <c r="A89" s="24" t="inlineStr">
        <is>
          <t>Kale W37</t>
        </is>
      </c>
      <c r="B89" s="24" t="inlineStr">
        <is>
          <t>Kale</t>
        </is>
      </c>
      <c r="C89" s="25" t="n">
        <v>0</v>
      </c>
      <c r="D89" s="26" t="n">
        <v>0</v>
      </c>
      <c r="AO89" s="27" t="inlineStr">
        <is>
          <t>P</t>
        </is>
      </c>
      <c r="AP89" s="27" t="inlineStr">
        <is>
          <t>G</t>
        </is>
      </c>
      <c r="AQ89" s="27" t="inlineStr">
        <is>
          <t>G</t>
        </is>
      </c>
      <c r="AR89" s="27" t="inlineStr">
        <is>
          <t>G</t>
        </is>
      </c>
      <c r="AS89" s="27" t="inlineStr">
        <is>
          <t>G</t>
        </is>
      </c>
      <c r="AT89" s="27" t="inlineStr">
        <is>
          <t>G</t>
        </is>
      </c>
      <c r="AU89" s="27" t="inlineStr">
        <is>
          <t>G</t>
        </is>
      </c>
      <c r="AV89" s="27" t="inlineStr">
        <is>
          <t>G</t>
        </is>
      </c>
      <c r="AW89" s="27" t="inlineStr">
        <is>
          <t>G</t>
        </is>
      </c>
      <c r="AX89" s="27" t="inlineStr">
        <is>
          <t>H</t>
        </is>
      </c>
      <c r="AY89" s="27" t="inlineStr">
        <is>
          <t>H</t>
        </is>
      </c>
      <c r="AZ89" s="27" t="inlineStr">
        <is>
          <t>H</t>
        </is>
      </c>
      <c r="BA89" s="27" t="inlineStr">
        <is>
          <t>H</t>
        </is>
      </c>
      <c r="BE89" s="28">
        <f>D89*$B$5</f>
        <v/>
      </c>
      <c r="BF89" s="28">
        <f>D89*$I$12</f>
        <v/>
      </c>
      <c r="BG89" s="29">
        <f>$B$12/4</f>
        <v/>
      </c>
    </row>
    <row r="90">
      <c r="A90" s="24" t="inlineStr">
        <is>
          <t>Kale W38</t>
        </is>
      </c>
      <c r="B90" s="24" t="inlineStr">
        <is>
          <t>Kale</t>
        </is>
      </c>
      <c r="C90" s="25" t="n">
        <v>0</v>
      </c>
      <c r="D90" s="26" t="n">
        <v>0</v>
      </c>
      <c r="AP90" s="27" t="inlineStr">
        <is>
          <t>P</t>
        </is>
      </c>
      <c r="AQ90" s="27" t="inlineStr">
        <is>
          <t>G</t>
        </is>
      </c>
      <c r="AR90" s="27" t="inlineStr">
        <is>
          <t>G</t>
        </is>
      </c>
      <c r="AS90" s="27" t="inlineStr">
        <is>
          <t>G</t>
        </is>
      </c>
      <c r="AT90" s="27" t="inlineStr">
        <is>
          <t>G</t>
        </is>
      </c>
      <c r="AU90" s="27" t="inlineStr">
        <is>
          <t>G</t>
        </is>
      </c>
      <c r="AV90" s="27" t="inlineStr">
        <is>
          <t>G</t>
        </is>
      </c>
      <c r="AW90" s="27" t="inlineStr">
        <is>
          <t>G</t>
        </is>
      </c>
      <c r="AX90" s="27" t="inlineStr">
        <is>
          <t>G</t>
        </is>
      </c>
      <c r="AY90" s="27" t="inlineStr">
        <is>
          <t>H</t>
        </is>
      </c>
      <c r="AZ90" s="27" t="inlineStr">
        <is>
          <t>H</t>
        </is>
      </c>
      <c r="BA90" s="27" t="inlineStr">
        <is>
          <t>H</t>
        </is>
      </c>
      <c r="BB90" s="27" t="inlineStr">
        <is>
          <t>H</t>
        </is>
      </c>
      <c r="BE90" s="28">
        <f>D90*$B$5</f>
        <v/>
      </c>
      <c r="BF90" s="28">
        <f>D90*$I$12</f>
        <v/>
      </c>
      <c r="BG90" s="29">
        <f>$B$12/4</f>
        <v/>
      </c>
    </row>
    <row r="91">
      <c r="A91" s="24" t="inlineStr">
        <is>
          <t>Kale W39</t>
        </is>
      </c>
      <c r="B91" s="24" t="inlineStr">
        <is>
          <t>Kale</t>
        </is>
      </c>
      <c r="C91" s="25" t="n">
        <v>0</v>
      </c>
      <c r="D91" s="26" t="n">
        <v>0</v>
      </c>
      <c r="AQ91" s="27" t="inlineStr">
        <is>
          <t>P</t>
        </is>
      </c>
      <c r="AR91" s="27" t="inlineStr">
        <is>
          <t>G</t>
        </is>
      </c>
      <c r="AS91" s="27" t="inlineStr">
        <is>
          <t>G</t>
        </is>
      </c>
      <c r="AT91" s="27" t="inlineStr">
        <is>
          <t>G</t>
        </is>
      </c>
      <c r="AU91" s="27" t="inlineStr">
        <is>
          <t>G</t>
        </is>
      </c>
      <c r="AV91" s="27" t="inlineStr">
        <is>
          <t>G</t>
        </is>
      </c>
      <c r="AW91" s="27" t="inlineStr">
        <is>
          <t>G</t>
        </is>
      </c>
      <c r="AX91" s="27" t="inlineStr">
        <is>
          <t>G</t>
        </is>
      </c>
      <c r="AY91" s="27" t="inlineStr">
        <is>
          <t>G</t>
        </is>
      </c>
      <c r="AZ91" s="27" t="inlineStr">
        <is>
          <t>H</t>
        </is>
      </c>
      <c r="BA91" s="27" t="inlineStr">
        <is>
          <t>H</t>
        </is>
      </c>
      <c r="BB91" s="27" t="inlineStr">
        <is>
          <t>H</t>
        </is>
      </c>
      <c r="BC91" s="27" t="inlineStr">
        <is>
          <t>H</t>
        </is>
      </c>
      <c r="BE91" s="28">
        <f>D91*$B$5</f>
        <v/>
      </c>
      <c r="BF91" s="28">
        <f>D91*$I$12</f>
        <v/>
      </c>
      <c r="BG91" s="29">
        <f>$B$12/4</f>
        <v/>
      </c>
    </row>
    <row r="92">
      <c r="A92" s="24" t="inlineStr">
        <is>
          <t>Kale W40</t>
        </is>
      </c>
      <c r="B92" s="24" t="inlineStr">
        <is>
          <t>Kale</t>
        </is>
      </c>
      <c r="C92" s="25" t="n">
        <v>0</v>
      </c>
      <c r="D92" s="26" t="n">
        <v>0</v>
      </c>
      <c r="AR92" s="27" t="inlineStr">
        <is>
          <t>P</t>
        </is>
      </c>
      <c r="AS92" s="27" t="inlineStr">
        <is>
          <t>G</t>
        </is>
      </c>
      <c r="AT92" s="27" t="inlineStr">
        <is>
          <t>G</t>
        </is>
      </c>
      <c r="AU92" s="27" t="inlineStr">
        <is>
          <t>G</t>
        </is>
      </c>
      <c r="AV92" s="27" t="inlineStr">
        <is>
          <t>G</t>
        </is>
      </c>
      <c r="AW92" s="27" t="inlineStr">
        <is>
          <t>G</t>
        </is>
      </c>
      <c r="AX92" s="27" t="inlineStr">
        <is>
          <t>G</t>
        </is>
      </c>
      <c r="AY92" s="27" t="inlineStr">
        <is>
          <t>G</t>
        </is>
      </c>
      <c r="AZ92" s="27" t="inlineStr">
        <is>
          <t>G</t>
        </is>
      </c>
      <c r="BA92" s="27" t="inlineStr">
        <is>
          <t>H</t>
        </is>
      </c>
      <c r="BB92" s="27" t="inlineStr">
        <is>
          <t>H</t>
        </is>
      </c>
      <c r="BC92" s="27" t="inlineStr">
        <is>
          <t>H</t>
        </is>
      </c>
      <c r="BD92" s="27" t="inlineStr">
        <is>
          <t>H</t>
        </is>
      </c>
      <c r="BE92" s="28">
        <f>D92*$B$5</f>
        <v/>
      </c>
      <c r="BF92" s="28">
        <f>D92*$I$12</f>
        <v/>
      </c>
      <c r="BG92" s="29">
        <f>$B$12/4</f>
        <v/>
      </c>
    </row>
    <row r="93">
      <c r="A93" s="24" t="inlineStr">
        <is>
          <t>Garlic W46</t>
        </is>
      </c>
      <c r="B93" s="24" t="inlineStr">
        <is>
          <t>Garlic</t>
        </is>
      </c>
      <c r="C93" s="25" t="n">
        <v>0</v>
      </c>
      <c r="D93" s="26" t="n">
        <v>0</v>
      </c>
      <c r="E93" s="27" t="inlineStr">
        <is>
          <t>G</t>
        </is>
      </c>
      <c r="F93" s="27" t="inlineStr">
        <is>
          <t>G</t>
        </is>
      </c>
      <c r="G93" s="27" t="inlineStr">
        <is>
          <t>G</t>
        </is>
      </c>
      <c r="H93" s="27" t="inlineStr">
        <is>
          <t>G</t>
        </is>
      </c>
      <c r="I93" s="27" t="inlineStr">
        <is>
          <t>G</t>
        </is>
      </c>
      <c r="J93" s="27" t="inlineStr">
        <is>
          <t>G</t>
        </is>
      </c>
      <c r="K93" s="27" t="inlineStr">
        <is>
          <t>G</t>
        </is>
      </c>
      <c r="L93" s="27" t="inlineStr">
        <is>
          <t>G</t>
        </is>
      </c>
      <c r="M93" s="27" t="inlineStr">
        <is>
          <t>G</t>
        </is>
      </c>
      <c r="N93" s="27" t="inlineStr">
        <is>
          <t>G</t>
        </is>
      </c>
      <c r="O93" s="27" t="inlineStr">
        <is>
          <t>G</t>
        </is>
      </c>
      <c r="P93" s="27" t="inlineStr">
        <is>
          <t>G</t>
        </is>
      </c>
      <c r="Q93" s="27" t="inlineStr">
        <is>
          <t>G</t>
        </is>
      </c>
      <c r="R93" s="27" t="inlineStr">
        <is>
          <t>G</t>
        </is>
      </c>
      <c r="S93" s="27" t="inlineStr">
        <is>
          <t>G</t>
        </is>
      </c>
      <c r="T93" s="27" t="inlineStr">
        <is>
          <t>G</t>
        </is>
      </c>
      <c r="U93" s="27" t="inlineStr">
        <is>
          <t>G</t>
        </is>
      </c>
      <c r="V93" s="27" t="inlineStr">
        <is>
          <t>G</t>
        </is>
      </c>
      <c r="W93" s="27" t="inlineStr">
        <is>
          <t>G</t>
        </is>
      </c>
      <c r="X93" s="27" t="inlineStr">
        <is>
          <t>G</t>
        </is>
      </c>
      <c r="Y93" s="27" t="inlineStr">
        <is>
          <t>G</t>
        </is>
      </c>
      <c r="Z93" s="27" t="inlineStr">
        <is>
          <t>G</t>
        </is>
      </c>
      <c r="AA93" s="27" t="inlineStr">
        <is>
          <t>G</t>
        </is>
      </c>
      <c r="AB93" s="27" t="inlineStr">
        <is>
          <t>G</t>
        </is>
      </c>
      <c r="AC93" s="27" t="inlineStr">
        <is>
          <t>G</t>
        </is>
      </c>
      <c r="AD93" s="27" t="inlineStr">
        <is>
          <t>G</t>
        </is>
      </c>
      <c r="AE93" s="27" t="inlineStr">
        <is>
          <t>G</t>
        </is>
      </c>
      <c r="AF93" s="27" t="inlineStr">
        <is>
          <t>G</t>
        </is>
      </c>
      <c r="AG93" s="27" t="inlineStr">
        <is>
          <t>H</t>
        </is>
      </c>
      <c r="AX93" s="27" t="inlineStr">
        <is>
          <t>P</t>
        </is>
      </c>
      <c r="AY93" s="27" t="inlineStr">
        <is>
          <t>P</t>
        </is>
      </c>
      <c r="AZ93" s="27" t="inlineStr">
        <is>
          <t>P</t>
        </is>
      </c>
      <c r="BA93" s="27" t="inlineStr">
        <is>
          <t>G</t>
        </is>
      </c>
      <c r="BB93" s="27" t="inlineStr">
        <is>
          <t>G</t>
        </is>
      </c>
      <c r="BC93" s="27" t="inlineStr">
        <is>
          <t>G</t>
        </is>
      </c>
      <c r="BD93" s="27" t="inlineStr">
        <is>
          <t>G</t>
        </is>
      </c>
      <c r="BE93" s="28">
        <f>D93*$B$5</f>
        <v/>
      </c>
      <c r="BF93" s="28">
        <f>D93*$I$13</f>
        <v/>
      </c>
      <c r="BG93" s="29">
        <f>$B$13/1</f>
        <v/>
      </c>
    </row>
    <row r="94">
      <c r="A94" s="24" t="inlineStr">
        <is>
          <t>Garlic W47</t>
        </is>
      </c>
      <c r="B94" s="24" t="inlineStr">
        <is>
          <t>Garlic</t>
        </is>
      </c>
      <c r="C94" s="25" t="n">
        <v>0</v>
      </c>
      <c r="D94" s="26" t="n">
        <v>0</v>
      </c>
      <c r="E94" s="27" t="inlineStr">
        <is>
          <t>G</t>
        </is>
      </c>
      <c r="F94" s="27" t="inlineStr">
        <is>
          <t>G</t>
        </is>
      </c>
      <c r="G94" s="27" t="inlineStr">
        <is>
          <t>G</t>
        </is>
      </c>
      <c r="H94" s="27" t="inlineStr">
        <is>
          <t>G</t>
        </is>
      </c>
      <c r="I94" s="27" t="inlineStr">
        <is>
          <t>G</t>
        </is>
      </c>
      <c r="J94" s="27" t="inlineStr">
        <is>
          <t>G</t>
        </is>
      </c>
      <c r="K94" s="27" t="inlineStr">
        <is>
          <t>G</t>
        </is>
      </c>
      <c r="L94" s="27" t="inlineStr">
        <is>
          <t>G</t>
        </is>
      </c>
      <c r="M94" s="27" t="inlineStr">
        <is>
          <t>G</t>
        </is>
      </c>
      <c r="N94" s="27" t="inlineStr">
        <is>
          <t>G</t>
        </is>
      </c>
      <c r="O94" s="27" t="inlineStr">
        <is>
          <t>G</t>
        </is>
      </c>
      <c r="P94" s="27" t="inlineStr">
        <is>
          <t>G</t>
        </is>
      </c>
      <c r="Q94" s="27" t="inlineStr">
        <is>
          <t>G</t>
        </is>
      </c>
      <c r="R94" s="27" t="inlineStr">
        <is>
          <t>G</t>
        </is>
      </c>
      <c r="S94" s="27" t="inlineStr">
        <is>
          <t>G</t>
        </is>
      </c>
      <c r="T94" s="27" t="inlineStr">
        <is>
          <t>G</t>
        </is>
      </c>
      <c r="U94" s="27" t="inlineStr">
        <is>
          <t>G</t>
        </is>
      </c>
      <c r="V94" s="27" t="inlineStr">
        <is>
          <t>G</t>
        </is>
      </c>
      <c r="W94" s="27" t="inlineStr">
        <is>
          <t>G</t>
        </is>
      </c>
      <c r="X94" s="27" t="inlineStr">
        <is>
          <t>G</t>
        </is>
      </c>
      <c r="Y94" s="27" t="inlineStr">
        <is>
          <t>G</t>
        </is>
      </c>
      <c r="Z94" s="27" t="inlineStr">
        <is>
          <t>G</t>
        </is>
      </c>
      <c r="AA94" s="27" t="inlineStr">
        <is>
          <t>G</t>
        </is>
      </c>
      <c r="AB94" s="27" t="inlineStr">
        <is>
          <t>G</t>
        </is>
      </c>
      <c r="AC94" s="27" t="inlineStr">
        <is>
          <t>G</t>
        </is>
      </c>
      <c r="AD94" s="27" t="inlineStr">
        <is>
          <t>G</t>
        </is>
      </c>
      <c r="AE94" s="27" t="inlineStr">
        <is>
          <t>G</t>
        </is>
      </c>
      <c r="AF94" s="27" t="inlineStr">
        <is>
          <t>G</t>
        </is>
      </c>
      <c r="AG94" s="27" t="inlineStr">
        <is>
          <t>G</t>
        </is>
      </c>
      <c r="AH94" s="27" t="inlineStr">
        <is>
          <t>H</t>
        </is>
      </c>
      <c r="AY94" s="27" t="inlineStr">
        <is>
          <t>P</t>
        </is>
      </c>
      <c r="AZ94" s="27" t="inlineStr">
        <is>
          <t>P</t>
        </is>
      </c>
      <c r="BA94" s="27" t="inlineStr">
        <is>
          <t>P</t>
        </is>
      </c>
      <c r="BB94" s="27" t="inlineStr">
        <is>
          <t>G</t>
        </is>
      </c>
      <c r="BC94" s="27" t="inlineStr">
        <is>
          <t>G</t>
        </is>
      </c>
      <c r="BD94" s="27" t="inlineStr">
        <is>
          <t>G</t>
        </is>
      </c>
      <c r="BE94" s="28">
        <f>D94*$B$5</f>
        <v/>
      </c>
      <c r="BF94" s="28">
        <f>D94*$I$13</f>
        <v/>
      </c>
      <c r="BG94" s="29">
        <f>$B$13/1</f>
        <v/>
      </c>
    </row>
    <row r="95">
      <c r="A95" s="24" t="inlineStr">
        <is>
          <t>Garlic W48</t>
        </is>
      </c>
      <c r="B95" s="24" t="inlineStr">
        <is>
          <t>Garlic</t>
        </is>
      </c>
      <c r="C95" s="25" t="n">
        <v>0</v>
      </c>
      <c r="D95" s="26" t="n">
        <v>0</v>
      </c>
      <c r="E95" s="27" t="inlineStr">
        <is>
          <t>G</t>
        </is>
      </c>
      <c r="F95" s="27" t="inlineStr">
        <is>
          <t>G</t>
        </is>
      </c>
      <c r="G95" s="27" t="inlineStr">
        <is>
          <t>G</t>
        </is>
      </c>
      <c r="H95" s="27" t="inlineStr">
        <is>
          <t>G</t>
        </is>
      </c>
      <c r="I95" s="27" t="inlineStr">
        <is>
          <t>G</t>
        </is>
      </c>
      <c r="J95" s="27" t="inlineStr">
        <is>
          <t>G</t>
        </is>
      </c>
      <c r="K95" s="27" t="inlineStr">
        <is>
          <t>G</t>
        </is>
      </c>
      <c r="L95" s="27" t="inlineStr">
        <is>
          <t>G</t>
        </is>
      </c>
      <c r="M95" s="27" t="inlineStr">
        <is>
          <t>G</t>
        </is>
      </c>
      <c r="N95" s="27" t="inlineStr">
        <is>
          <t>G</t>
        </is>
      </c>
      <c r="O95" s="27" t="inlineStr">
        <is>
          <t>G</t>
        </is>
      </c>
      <c r="P95" s="27" t="inlineStr">
        <is>
          <t>G</t>
        </is>
      </c>
      <c r="Q95" s="27" t="inlineStr">
        <is>
          <t>G</t>
        </is>
      </c>
      <c r="R95" s="27" t="inlineStr">
        <is>
          <t>G</t>
        </is>
      </c>
      <c r="S95" s="27" t="inlineStr">
        <is>
          <t>G</t>
        </is>
      </c>
      <c r="T95" s="27" t="inlineStr">
        <is>
          <t>G</t>
        </is>
      </c>
      <c r="U95" s="27" t="inlineStr">
        <is>
          <t>G</t>
        </is>
      </c>
      <c r="V95" s="27" t="inlineStr">
        <is>
          <t>G</t>
        </is>
      </c>
      <c r="W95" s="27" t="inlineStr">
        <is>
          <t>G</t>
        </is>
      </c>
      <c r="X95" s="27" t="inlineStr">
        <is>
          <t>G</t>
        </is>
      </c>
      <c r="Y95" s="27" t="inlineStr">
        <is>
          <t>G</t>
        </is>
      </c>
      <c r="Z95" s="27" t="inlineStr">
        <is>
          <t>G</t>
        </is>
      </c>
      <c r="AA95" s="27" t="inlineStr">
        <is>
          <t>G</t>
        </is>
      </c>
      <c r="AB95" s="27" t="inlineStr">
        <is>
          <t>G</t>
        </is>
      </c>
      <c r="AC95" s="27" t="inlineStr">
        <is>
          <t>G</t>
        </is>
      </c>
      <c r="AD95" s="27" t="inlineStr">
        <is>
          <t>G</t>
        </is>
      </c>
      <c r="AE95" s="27" t="inlineStr">
        <is>
          <t>G</t>
        </is>
      </c>
      <c r="AF95" s="27" t="inlineStr">
        <is>
          <t>G</t>
        </is>
      </c>
      <c r="AG95" s="27" t="inlineStr">
        <is>
          <t>G</t>
        </is>
      </c>
      <c r="AH95" s="27" t="inlineStr">
        <is>
          <t>G</t>
        </is>
      </c>
      <c r="AI95" s="27" t="inlineStr">
        <is>
          <t>H</t>
        </is>
      </c>
      <c r="AZ95" s="27" t="inlineStr">
        <is>
          <t>P</t>
        </is>
      </c>
      <c r="BA95" s="27" t="inlineStr">
        <is>
          <t>P</t>
        </is>
      </c>
      <c r="BB95" s="27" t="inlineStr">
        <is>
          <t>P</t>
        </is>
      </c>
      <c r="BC95" s="27" t="inlineStr">
        <is>
          <t>G</t>
        </is>
      </c>
      <c r="BD95" s="27" t="inlineStr">
        <is>
          <t>G</t>
        </is>
      </c>
      <c r="BE95" s="28">
        <f>D95*$B$5</f>
        <v/>
      </c>
      <c r="BF95" s="28">
        <f>D95*$I$13</f>
        <v/>
      </c>
      <c r="BG95" s="29">
        <f>$B$13/1</f>
        <v/>
      </c>
    </row>
    <row r="96">
      <c r="A96" s="4" t="inlineStr">
        <is>
          <t>ACRES &lt;= 'max if planted' and ACRES &gt;= 'min if planted' are the app's C9 and C10: you cannot plant acres without deciding to plant, and if you plant at all you plant a real block.</t>
        </is>
      </c>
    </row>
    <row r="98">
      <c r="A98" s="19" t="inlineStr">
        <is>
          <t>Week</t>
        </is>
      </c>
      <c r="B98" s="30" t="inlineStr">
        <is>
          <t>acres</t>
        </is>
      </c>
      <c r="E98" s="22" t="n">
        <v>1</v>
      </c>
      <c r="F98" s="22" t="n">
        <v>2</v>
      </c>
      <c r="G98" s="22" t="n">
        <v>3</v>
      </c>
      <c r="H98" s="22" t="n">
        <v>4</v>
      </c>
      <c r="I98" s="22" t="n">
        <v>5</v>
      </c>
      <c r="J98" s="22" t="n">
        <v>6</v>
      </c>
      <c r="K98" s="22" t="n">
        <v>7</v>
      </c>
      <c r="L98" s="22" t="n">
        <v>8</v>
      </c>
      <c r="M98" s="22" t="n">
        <v>9</v>
      </c>
      <c r="N98" s="22" t="n">
        <v>10</v>
      </c>
      <c r="O98" s="22" t="n">
        <v>11</v>
      </c>
      <c r="P98" s="22" t="n">
        <v>12</v>
      </c>
      <c r="Q98" s="22" t="n">
        <v>13</v>
      </c>
      <c r="R98" s="22" t="n">
        <v>14</v>
      </c>
      <c r="S98" s="22" t="n">
        <v>15</v>
      </c>
      <c r="T98" s="22" t="n">
        <v>16</v>
      </c>
      <c r="U98" s="22" t="n">
        <v>17</v>
      </c>
      <c r="V98" s="22" t="n">
        <v>18</v>
      </c>
      <c r="W98" s="22" t="n">
        <v>19</v>
      </c>
      <c r="X98" s="22" t="n">
        <v>20</v>
      </c>
      <c r="Y98" s="22" t="n">
        <v>21</v>
      </c>
      <c r="Z98" s="22" t="n">
        <v>22</v>
      </c>
      <c r="AA98" s="22" t="n">
        <v>23</v>
      </c>
      <c r="AB98" s="22" t="n">
        <v>24</v>
      </c>
      <c r="AC98" s="22" t="n">
        <v>25</v>
      </c>
      <c r="AD98" s="22" t="n">
        <v>26</v>
      </c>
      <c r="AE98" s="22" t="n">
        <v>27</v>
      </c>
      <c r="AF98" s="22" t="n">
        <v>28</v>
      </c>
      <c r="AG98" s="22" t="n">
        <v>29</v>
      </c>
      <c r="AH98" s="22" t="n">
        <v>30</v>
      </c>
      <c r="AI98" s="22" t="n">
        <v>31</v>
      </c>
      <c r="AJ98" s="22" t="n">
        <v>32</v>
      </c>
      <c r="AK98" s="22" t="n">
        <v>33</v>
      </c>
      <c r="AL98" s="22" t="n">
        <v>34</v>
      </c>
      <c r="AM98" s="22" t="n">
        <v>35</v>
      </c>
      <c r="AN98" s="22" t="n">
        <v>36</v>
      </c>
      <c r="AO98" s="22" t="n">
        <v>37</v>
      </c>
      <c r="AP98" s="22" t="n">
        <v>38</v>
      </c>
      <c r="AQ98" s="22" t="n">
        <v>39</v>
      </c>
      <c r="AR98" s="22" t="n">
        <v>40</v>
      </c>
      <c r="AS98" s="22" t="n">
        <v>41</v>
      </c>
      <c r="AT98" s="22" t="n">
        <v>42</v>
      </c>
      <c r="AU98" s="22" t="n">
        <v>43</v>
      </c>
      <c r="AV98" s="22" t="n">
        <v>44</v>
      </c>
      <c r="AW98" s="22" t="n">
        <v>45</v>
      </c>
      <c r="AX98" s="22" t="n">
        <v>46</v>
      </c>
      <c r="AY98" s="22" t="n">
        <v>47</v>
      </c>
      <c r="AZ98" s="22" t="n">
        <v>48</v>
      </c>
      <c r="BA98" s="22" t="n">
        <v>49</v>
      </c>
      <c r="BB98" s="22" t="n">
        <v>50</v>
      </c>
      <c r="BC98" s="22" t="n">
        <v>51</v>
      </c>
      <c r="BD98" s="22" t="n">
        <v>52</v>
      </c>
    </row>
    <row r="99">
      <c r="A99" s="3" t="inlineStr">
        <is>
          <t>LAND in the ground</t>
        </is>
      </c>
      <c r="B99" s="4" t="inlineStr">
        <is>
          <t>used</t>
        </is>
      </c>
      <c r="E99" s="31">
        <f>SUMPRODUCT((E$28:E$95&lt;&gt;"")*$C$28:$C$95)</f>
        <v/>
      </c>
      <c r="F99" s="31">
        <f>SUMPRODUCT((F$28:F$95&lt;&gt;"")*$C$28:$C$95)</f>
        <v/>
      </c>
      <c r="G99" s="31">
        <f>SUMPRODUCT((G$28:G$95&lt;&gt;"")*$C$28:$C$95)</f>
        <v/>
      </c>
      <c r="H99" s="31">
        <f>SUMPRODUCT((H$28:H$95&lt;&gt;"")*$C$28:$C$95)</f>
        <v/>
      </c>
      <c r="I99" s="31">
        <f>SUMPRODUCT((I$28:I$95&lt;&gt;"")*$C$28:$C$95)</f>
        <v/>
      </c>
      <c r="J99" s="31">
        <f>SUMPRODUCT((J$28:J$95&lt;&gt;"")*$C$28:$C$95)</f>
        <v/>
      </c>
      <c r="K99" s="31">
        <f>SUMPRODUCT((K$28:K$95&lt;&gt;"")*$C$28:$C$95)</f>
        <v/>
      </c>
      <c r="L99" s="31">
        <f>SUMPRODUCT((L$28:L$95&lt;&gt;"")*$C$28:$C$95)</f>
        <v/>
      </c>
      <c r="M99" s="31">
        <f>SUMPRODUCT((M$28:M$95&lt;&gt;"")*$C$28:$C$95)</f>
        <v/>
      </c>
      <c r="N99" s="31">
        <f>SUMPRODUCT((N$28:N$95&lt;&gt;"")*$C$28:$C$95)</f>
        <v/>
      </c>
      <c r="O99" s="31">
        <f>SUMPRODUCT((O$28:O$95&lt;&gt;"")*$C$28:$C$95)</f>
        <v/>
      </c>
      <c r="P99" s="31">
        <f>SUMPRODUCT((P$28:P$95&lt;&gt;"")*$C$28:$C$95)</f>
        <v/>
      </c>
      <c r="Q99" s="31">
        <f>SUMPRODUCT((Q$28:Q$95&lt;&gt;"")*$C$28:$C$95)</f>
        <v/>
      </c>
      <c r="R99" s="31">
        <f>SUMPRODUCT((R$28:R$95&lt;&gt;"")*$C$28:$C$95)</f>
        <v/>
      </c>
      <c r="S99" s="31">
        <f>SUMPRODUCT((S$28:S$95&lt;&gt;"")*$C$28:$C$95)</f>
        <v/>
      </c>
      <c r="T99" s="31">
        <f>SUMPRODUCT((T$28:T$95&lt;&gt;"")*$C$28:$C$95)</f>
        <v/>
      </c>
      <c r="U99" s="31">
        <f>SUMPRODUCT((U$28:U$95&lt;&gt;"")*$C$28:$C$95)</f>
        <v/>
      </c>
      <c r="V99" s="31">
        <f>SUMPRODUCT((V$28:V$95&lt;&gt;"")*$C$28:$C$95)</f>
        <v/>
      </c>
      <c r="W99" s="31">
        <f>SUMPRODUCT((W$28:W$95&lt;&gt;"")*$C$28:$C$95)</f>
        <v/>
      </c>
      <c r="X99" s="31">
        <f>SUMPRODUCT((X$28:X$95&lt;&gt;"")*$C$28:$C$95)</f>
        <v/>
      </c>
      <c r="Y99" s="31">
        <f>SUMPRODUCT((Y$28:Y$95&lt;&gt;"")*$C$28:$C$95)</f>
        <v/>
      </c>
      <c r="Z99" s="31">
        <f>SUMPRODUCT((Z$28:Z$95&lt;&gt;"")*$C$28:$C$95)</f>
        <v/>
      </c>
      <c r="AA99" s="31">
        <f>SUMPRODUCT((AA$28:AA$95&lt;&gt;"")*$C$28:$C$95)</f>
        <v/>
      </c>
      <c r="AB99" s="31">
        <f>SUMPRODUCT((AB$28:AB$95&lt;&gt;"")*$C$28:$C$95)</f>
        <v/>
      </c>
      <c r="AC99" s="31">
        <f>SUMPRODUCT((AC$28:AC$95&lt;&gt;"")*$C$28:$C$95)</f>
        <v/>
      </c>
      <c r="AD99" s="31">
        <f>SUMPRODUCT((AD$28:AD$95&lt;&gt;"")*$C$28:$C$95)</f>
        <v/>
      </c>
      <c r="AE99" s="31">
        <f>SUMPRODUCT((AE$28:AE$95&lt;&gt;"")*$C$28:$C$95)</f>
        <v/>
      </c>
      <c r="AF99" s="31">
        <f>SUMPRODUCT((AF$28:AF$95&lt;&gt;"")*$C$28:$C$95)</f>
        <v/>
      </c>
      <c r="AG99" s="31">
        <f>SUMPRODUCT((AG$28:AG$95&lt;&gt;"")*$C$28:$C$95)</f>
        <v/>
      </c>
      <c r="AH99" s="31">
        <f>SUMPRODUCT((AH$28:AH$95&lt;&gt;"")*$C$28:$C$95)</f>
        <v/>
      </c>
      <c r="AI99" s="31">
        <f>SUMPRODUCT((AI$28:AI$95&lt;&gt;"")*$C$28:$C$95)</f>
        <v/>
      </c>
      <c r="AJ99" s="31">
        <f>SUMPRODUCT((AJ$28:AJ$95&lt;&gt;"")*$C$28:$C$95)</f>
        <v/>
      </c>
      <c r="AK99" s="31">
        <f>SUMPRODUCT((AK$28:AK$95&lt;&gt;"")*$C$28:$C$95)</f>
        <v/>
      </c>
      <c r="AL99" s="31">
        <f>SUMPRODUCT((AL$28:AL$95&lt;&gt;"")*$C$28:$C$95)</f>
        <v/>
      </c>
      <c r="AM99" s="31">
        <f>SUMPRODUCT((AM$28:AM$95&lt;&gt;"")*$C$28:$C$95)</f>
        <v/>
      </c>
      <c r="AN99" s="31">
        <f>SUMPRODUCT((AN$28:AN$95&lt;&gt;"")*$C$28:$C$95)</f>
        <v/>
      </c>
      <c r="AO99" s="31">
        <f>SUMPRODUCT((AO$28:AO$95&lt;&gt;"")*$C$28:$C$95)</f>
        <v/>
      </c>
      <c r="AP99" s="31">
        <f>SUMPRODUCT((AP$28:AP$95&lt;&gt;"")*$C$28:$C$95)</f>
        <v/>
      </c>
      <c r="AQ99" s="31">
        <f>SUMPRODUCT((AQ$28:AQ$95&lt;&gt;"")*$C$28:$C$95)</f>
        <v/>
      </c>
      <c r="AR99" s="31">
        <f>SUMPRODUCT((AR$28:AR$95&lt;&gt;"")*$C$28:$C$95)</f>
        <v/>
      </c>
      <c r="AS99" s="31">
        <f>SUMPRODUCT((AS$28:AS$95&lt;&gt;"")*$C$28:$C$95)</f>
        <v/>
      </c>
      <c r="AT99" s="31">
        <f>SUMPRODUCT((AT$28:AT$95&lt;&gt;"")*$C$28:$C$95)</f>
        <v/>
      </c>
      <c r="AU99" s="31">
        <f>SUMPRODUCT((AU$28:AU$95&lt;&gt;"")*$C$28:$C$95)</f>
        <v/>
      </c>
      <c r="AV99" s="31">
        <f>SUMPRODUCT((AV$28:AV$95&lt;&gt;"")*$C$28:$C$95)</f>
        <v/>
      </c>
      <c r="AW99" s="31">
        <f>SUMPRODUCT((AW$28:AW$95&lt;&gt;"")*$C$28:$C$95)</f>
        <v/>
      </c>
      <c r="AX99" s="31">
        <f>SUMPRODUCT((AX$28:AX$95&lt;&gt;"")*$C$28:$C$95)</f>
        <v/>
      </c>
      <c r="AY99" s="31">
        <f>SUMPRODUCT((AY$28:AY$95&lt;&gt;"")*$C$28:$C$95)</f>
        <v/>
      </c>
      <c r="AZ99" s="31">
        <f>SUMPRODUCT((AZ$28:AZ$95&lt;&gt;"")*$C$28:$C$95)</f>
        <v/>
      </c>
      <c r="BA99" s="31">
        <f>SUMPRODUCT((BA$28:BA$95&lt;&gt;"")*$C$28:$C$95)</f>
        <v/>
      </c>
      <c r="BB99" s="31">
        <f>SUMPRODUCT((BB$28:BB$95&lt;&gt;"")*$C$28:$C$95)</f>
        <v/>
      </c>
      <c r="BC99" s="31">
        <f>SUMPRODUCT((BC$28:BC$95&lt;&gt;"")*$C$28:$C$95)</f>
        <v/>
      </c>
      <c r="BD99" s="31">
        <f>SUMPRODUCT((BD$28:BD$95&lt;&gt;"")*$C$28:$C$95)</f>
        <v/>
      </c>
    </row>
    <row r="100">
      <c r="A100" s="3" t="inlineStr"/>
      <c r="E100" s="32" t="inlineStr">
        <is>
          <t>&lt;=</t>
        </is>
      </c>
      <c r="F100" s="32" t="inlineStr">
        <is>
          <t>&lt;=</t>
        </is>
      </c>
      <c r="G100" s="32" t="inlineStr">
        <is>
          <t>&lt;=</t>
        </is>
      </c>
      <c r="H100" s="32" t="inlineStr">
        <is>
          <t>&lt;=</t>
        </is>
      </c>
      <c r="I100" s="32" t="inlineStr">
        <is>
          <t>&lt;=</t>
        </is>
      </c>
      <c r="J100" s="32" t="inlineStr">
        <is>
          <t>&lt;=</t>
        </is>
      </c>
      <c r="K100" s="32" t="inlineStr">
        <is>
          <t>&lt;=</t>
        </is>
      </c>
      <c r="L100" s="32" t="inlineStr">
        <is>
          <t>&lt;=</t>
        </is>
      </c>
      <c r="M100" s="32" t="inlineStr">
        <is>
          <t>&lt;=</t>
        </is>
      </c>
      <c r="N100" s="32" t="inlineStr">
        <is>
          <t>&lt;=</t>
        </is>
      </c>
      <c r="O100" s="32" t="inlineStr">
        <is>
          <t>&lt;=</t>
        </is>
      </c>
      <c r="P100" s="32" t="inlineStr">
        <is>
          <t>&lt;=</t>
        </is>
      </c>
      <c r="Q100" s="32" t="inlineStr">
        <is>
          <t>&lt;=</t>
        </is>
      </c>
      <c r="R100" s="32" t="inlineStr">
        <is>
          <t>&lt;=</t>
        </is>
      </c>
      <c r="S100" s="32" t="inlineStr">
        <is>
          <t>&lt;=</t>
        </is>
      </c>
      <c r="T100" s="32" t="inlineStr">
        <is>
          <t>&lt;=</t>
        </is>
      </c>
      <c r="U100" s="32" t="inlineStr">
        <is>
          <t>&lt;=</t>
        </is>
      </c>
      <c r="V100" s="32" t="inlineStr">
        <is>
          <t>&lt;=</t>
        </is>
      </c>
      <c r="W100" s="32" t="inlineStr">
        <is>
          <t>&lt;=</t>
        </is>
      </c>
      <c r="X100" s="32" t="inlineStr">
        <is>
          <t>&lt;=</t>
        </is>
      </c>
      <c r="Y100" s="32" t="inlineStr">
        <is>
          <t>&lt;=</t>
        </is>
      </c>
      <c r="Z100" s="32" t="inlineStr">
        <is>
          <t>&lt;=</t>
        </is>
      </c>
      <c r="AA100" s="32" t="inlineStr">
        <is>
          <t>&lt;=</t>
        </is>
      </c>
      <c r="AB100" s="32" t="inlineStr">
        <is>
          <t>&lt;=</t>
        </is>
      </c>
      <c r="AC100" s="32" t="inlineStr">
        <is>
          <t>&lt;=</t>
        </is>
      </c>
      <c r="AD100" s="32" t="inlineStr">
        <is>
          <t>&lt;=</t>
        </is>
      </c>
      <c r="AE100" s="32" t="inlineStr">
        <is>
          <t>&lt;=</t>
        </is>
      </c>
      <c r="AF100" s="32" t="inlineStr">
        <is>
          <t>&lt;=</t>
        </is>
      </c>
      <c r="AG100" s="32" t="inlineStr">
        <is>
          <t>&lt;=</t>
        </is>
      </c>
      <c r="AH100" s="32" t="inlineStr">
        <is>
          <t>&lt;=</t>
        </is>
      </c>
      <c r="AI100" s="32" t="inlineStr">
        <is>
          <t>&lt;=</t>
        </is>
      </c>
      <c r="AJ100" s="32" t="inlineStr">
        <is>
          <t>&lt;=</t>
        </is>
      </c>
      <c r="AK100" s="32" t="inlineStr">
        <is>
          <t>&lt;=</t>
        </is>
      </c>
      <c r="AL100" s="32" t="inlineStr">
        <is>
          <t>&lt;=</t>
        </is>
      </c>
      <c r="AM100" s="32" t="inlineStr">
        <is>
          <t>&lt;=</t>
        </is>
      </c>
      <c r="AN100" s="32" t="inlineStr">
        <is>
          <t>&lt;=</t>
        </is>
      </c>
      <c r="AO100" s="32" t="inlineStr">
        <is>
          <t>&lt;=</t>
        </is>
      </c>
      <c r="AP100" s="32" t="inlineStr">
        <is>
          <t>&lt;=</t>
        </is>
      </c>
      <c r="AQ100" s="32" t="inlineStr">
        <is>
          <t>&lt;=</t>
        </is>
      </c>
      <c r="AR100" s="32" t="inlineStr">
        <is>
          <t>&lt;=</t>
        </is>
      </c>
      <c r="AS100" s="32" t="inlineStr">
        <is>
          <t>&lt;=</t>
        </is>
      </c>
      <c r="AT100" s="32" t="inlineStr">
        <is>
          <t>&lt;=</t>
        </is>
      </c>
      <c r="AU100" s="32" t="inlineStr">
        <is>
          <t>&lt;=</t>
        </is>
      </c>
      <c r="AV100" s="32" t="inlineStr">
        <is>
          <t>&lt;=</t>
        </is>
      </c>
      <c r="AW100" s="32" t="inlineStr">
        <is>
          <t>&lt;=</t>
        </is>
      </c>
      <c r="AX100" s="32" t="inlineStr">
        <is>
          <t>&lt;=</t>
        </is>
      </c>
      <c r="AY100" s="32" t="inlineStr">
        <is>
          <t>&lt;=</t>
        </is>
      </c>
      <c r="AZ100" s="32" t="inlineStr">
        <is>
          <t>&lt;=</t>
        </is>
      </c>
      <c r="BA100" s="32" t="inlineStr">
        <is>
          <t>&lt;=</t>
        </is>
      </c>
      <c r="BB100" s="32" t="inlineStr">
        <is>
          <t>&lt;=</t>
        </is>
      </c>
      <c r="BC100" s="32" t="inlineStr">
        <is>
          <t>&lt;=</t>
        </is>
      </c>
      <c r="BD100" s="32" t="inlineStr">
        <is>
          <t>&lt;=</t>
        </is>
      </c>
    </row>
    <row r="101">
      <c r="A101" s="3" t="inlineStr">
        <is>
          <t xml:space="preserve">  limit</t>
        </is>
      </c>
      <c r="B101" s="4" t="inlineStr">
        <is>
          <t>cap</t>
        </is>
      </c>
      <c r="E101" s="31">
        <f>$B$5</f>
        <v/>
      </c>
      <c r="F101" s="31">
        <f>$B$5</f>
        <v/>
      </c>
      <c r="G101" s="31">
        <f>$B$5</f>
        <v/>
      </c>
      <c r="H101" s="31">
        <f>$B$5</f>
        <v/>
      </c>
      <c r="I101" s="31">
        <f>$B$5</f>
        <v/>
      </c>
      <c r="J101" s="31">
        <f>$B$5</f>
        <v/>
      </c>
      <c r="K101" s="31">
        <f>$B$5</f>
        <v/>
      </c>
      <c r="L101" s="31">
        <f>$B$5</f>
        <v/>
      </c>
      <c r="M101" s="31">
        <f>$B$5</f>
        <v/>
      </c>
      <c r="N101" s="31">
        <f>$B$5</f>
        <v/>
      </c>
      <c r="O101" s="31">
        <f>$B$5</f>
        <v/>
      </c>
      <c r="P101" s="31">
        <f>$B$5</f>
        <v/>
      </c>
      <c r="Q101" s="31">
        <f>$B$5</f>
        <v/>
      </c>
      <c r="R101" s="31">
        <f>$B$5</f>
        <v/>
      </c>
      <c r="S101" s="31">
        <f>$B$5</f>
        <v/>
      </c>
      <c r="T101" s="31">
        <f>$B$5</f>
        <v/>
      </c>
      <c r="U101" s="31">
        <f>$B$5</f>
        <v/>
      </c>
      <c r="V101" s="31">
        <f>$B$5</f>
        <v/>
      </c>
      <c r="W101" s="31">
        <f>$B$5</f>
        <v/>
      </c>
      <c r="X101" s="31">
        <f>$B$5</f>
        <v/>
      </c>
      <c r="Y101" s="31">
        <f>$B$5</f>
        <v/>
      </c>
      <c r="Z101" s="31">
        <f>$B$5</f>
        <v/>
      </c>
      <c r="AA101" s="31">
        <f>$B$5</f>
        <v/>
      </c>
      <c r="AB101" s="31">
        <f>$B$5</f>
        <v/>
      </c>
      <c r="AC101" s="31">
        <f>$B$5</f>
        <v/>
      </c>
      <c r="AD101" s="31">
        <f>$B$5</f>
        <v/>
      </c>
      <c r="AE101" s="31">
        <f>$B$5</f>
        <v/>
      </c>
      <c r="AF101" s="31">
        <f>$B$5</f>
        <v/>
      </c>
      <c r="AG101" s="31">
        <f>$B$5</f>
        <v/>
      </c>
      <c r="AH101" s="31">
        <f>$B$5</f>
        <v/>
      </c>
      <c r="AI101" s="31">
        <f>$B$5</f>
        <v/>
      </c>
      <c r="AJ101" s="31">
        <f>$B$5</f>
        <v/>
      </c>
      <c r="AK101" s="31">
        <f>$B$5</f>
        <v/>
      </c>
      <c r="AL101" s="31">
        <f>$B$5</f>
        <v/>
      </c>
      <c r="AM101" s="31">
        <f>$B$5</f>
        <v/>
      </c>
      <c r="AN101" s="31">
        <f>$B$5</f>
        <v/>
      </c>
      <c r="AO101" s="31">
        <f>$B$5</f>
        <v/>
      </c>
      <c r="AP101" s="31">
        <f>$B$5</f>
        <v/>
      </c>
      <c r="AQ101" s="31">
        <f>$B$5</f>
        <v/>
      </c>
      <c r="AR101" s="31">
        <f>$B$5</f>
        <v/>
      </c>
      <c r="AS101" s="31">
        <f>$B$5</f>
        <v/>
      </c>
      <c r="AT101" s="31">
        <f>$B$5</f>
        <v/>
      </c>
      <c r="AU101" s="31">
        <f>$B$5</f>
        <v/>
      </c>
      <c r="AV101" s="31">
        <f>$B$5</f>
        <v/>
      </c>
      <c r="AW101" s="31">
        <f>$B$5</f>
        <v/>
      </c>
      <c r="AX101" s="31">
        <f>$B$5</f>
        <v/>
      </c>
      <c r="AY101" s="31">
        <f>$B$5</f>
        <v/>
      </c>
      <c r="AZ101" s="31">
        <f>$B$5</f>
        <v/>
      </c>
      <c r="BA101" s="31">
        <f>$B$5</f>
        <v/>
      </c>
      <c r="BB101" s="31">
        <f>$B$5</f>
        <v/>
      </c>
      <c r="BC101" s="31">
        <f>$B$5</f>
        <v/>
      </c>
      <c r="BD101" s="31">
        <f>$B$5</f>
        <v/>
      </c>
    </row>
    <row r="102">
      <c r="A102" s="24" t="inlineStr">
        <is>
          <t xml:space="preserve">  room left</t>
        </is>
      </c>
      <c r="E102" s="31">
        <f>$B$5-E99</f>
        <v/>
      </c>
      <c r="F102" s="31">
        <f>$B$5-F99</f>
        <v/>
      </c>
      <c r="G102" s="31">
        <f>$B$5-G99</f>
        <v/>
      </c>
      <c r="H102" s="31">
        <f>$B$5-H99</f>
        <v/>
      </c>
      <c r="I102" s="31">
        <f>$B$5-I99</f>
        <v/>
      </c>
      <c r="J102" s="31">
        <f>$B$5-J99</f>
        <v/>
      </c>
      <c r="K102" s="31">
        <f>$B$5-K99</f>
        <v/>
      </c>
      <c r="L102" s="31">
        <f>$B$5-L99</f>
        <v/>
      </c>
      <c r="M102" s="31">
        <f>$B$5-M99</f>
        <v/>
      </c>
      <c r="N102" s="31">
        <f>$B$5-N99</f>
        <v/>
      </c>
      <c r="O102" s="31">
        <f>$B$5-O99</f>
        <v/>
      </c>
      <c r="P102" s="31">
        <f>$B$5-P99</f>
        <v/>
      </c>
      <c r="Q102" s="31">
        <f>$B$5-Q99</f>
        <v/>
      </c>
      <c r="R102" s="31">
        <f>$B$5-R99</f>
        <v/>
      </c>
      <c r="S102" s="31">
        <f>$B$5-S99</f>
        <v/>
      </c>
      <c r="T102" s="31">
        <f>$B$5-T99</f>
        <v/>
      </c>
      <c r="U102" s="31">
        <f>$B$5-U99</f>
        <v/>
      </c>
      <c r="V102" s="31">
        <f>$B$5-V99</f>
        <v/>
      </c>
      <c r="W102" s="31">
        <f>$B$5-W99</f>
        <v/>
      </c>
      <c r="X102" s="31">
        <f>$B$5-X99</f>
        <v/>
      </c>
      <c r="Y102" s="31">
        <f>$B$5-Y99</f>
        <v/>
      </c>
      <c r="Z102" s="31">
        <f>$B$5-Z99</f>
        <v/>
      </c>
      <c r="AA102" s="31">
        <f>$B$5-AA99</f>
        <v/>
      </c>
      <c r="AB102" s="31">
        <f>$B$5-AB99</f>
        <v/>
      </c>
      <c r="AC102" s="31">
        <f>$B$5-AC99</f>
        <v/>
      </c>
      <c r="AD102" s="31">
        <f>$B$5-AD99</f>
        <v/>
      </c>
      <c r="AE102" s="31">
        <f>$B$5-AE99</f>
        <v/>
      </c>
      <c r="AF102" s="31">
        <f>$B$5-AF99</f>
        <v/>
      </c>
      <c r="AG102" s="31">
        <f>$B$5-AG99</f>
        <v/>
      </c>
      <c r="AH102" s="31">
        <f>$B$5-AH99</f>
        <v/>
      </c>
      <c r="AI102" s="31">
        <f>$B$5-AI99</f>
        <v/>
      </c>
      <c r="AJ102" s="31">
        <f>$B$5-AJ99</f>
        <v/>
      </c>
      <c r="AK102" s="31">
        <f>$B$5-AK99</f>
        <v/>
      </c>
      <c r="AL102" s="31">
        <f>$B$5-AL99</f>
        <v/>
      </c>
      <c r="AM102" s="31">
        <f>$B$5-AM99</f>
        <v/>
      </c>
      <c r="AN102" s="31">
        <f>$B$5-AN99</f>
        <v/>
      </c>
      <c r="AO102" s="31">
        <f>$B$5-AO99</f>
        <v/>
      </c>
      <c r="AP102" s="31">
        <f>$B$5-AP99</f>
        <v/>
      </c>
      <c r="AQ102" s="31">
        <f>$B$5-AQ99</f>
        <v/>
      </c>
      <c r="AR102" s="31">
        <f>$B$5-AR99</f>
        <v/>
      </c>
      <c r="AS102" s="31">
        <f>$B$5-AS99</f>
        <v/>
      </c>
      <c r="AT102" s="31">
        <f>$B$5-AT99</f>
        <v/>
      </c>
      <c r="AU102" s="31">
        <f>$B$5-AU99</f>
        <v/>
      </c>
      <c r="AV102" s="31">
        <f>$B$5-AV99</f>
        <v/>
      </c>
      <c r="AW102" s="31">
        <f>$B$5-AW99</f>
        <v/>
      </c>
      <c r="AX102" s="31">
        <f>$B$5-AX99</f>
        <v/>
      </c>
      <c r="AY102" s="31">
        <f>$B$5-AY99</f>
        <v/>
      </c>
      <c r="AZ102" s="31">
        <f>$B$5-AZ99</f>
        <v/>
      </c>
      <c r="BA102" s="31">
        <f>$B$5-BA99</f>
        <v/>
      </c>
      <c r="BB102" s="31">
        <f>$B$5-BB99</f>
        <v/>
      </c>
      <c r="BC102" s="31">
        <f>$B$5-BC99</f>
        <v/>
      </c>
      <c r="BD102" s="31">
        <f>$B$5-BD99</f>
        <v/>
      </c>
    </row>
    <row r="103">
      <c r="A103" s="4" t="inlineStr">
        <is>
          <t xml:space="preserve">   Acres standing that week, summed across every planting the solver chose.</t>
        </is>
      </c>
    </row>
    <row r="105">
      <c r="A105" s="2" t="inlineStr">
        <is>
          <t>SPINACH  —  cold store</t>
        </is>
      </c>
      <c r="B105" s="33" t="inlineStr"/>
    </row>
    <row r="106">
      <c r="A106" s="19" t="inlineStr">
        <is>
          <t>Week</t>
        </is>
      </c>
      <c r="B106" s="30" t="inlineStr"/>
      <c r="E106" s="22" t="n">
        <v>1</v>
      </c>
      <c r="F106" s="22" t="n">
        <v>2</v>
      </c>
      <c r="G106" s="22" t="n">
        <v>3</v>
      </c>
      <c r="H106" s="22" t="n">
        <v>4</v>
      </c>
      <c r="I106" s="22" t="n">
        <v>5</v>
      </c>
      <c r="J106" s="22" t="n">
        <v>6</v>
      </c>
      <c r="K106" s="22" t="n">
        <v>7</v>
      </c>
      <c r="L106" s="22" t="n">
        <v>8</v>
      </c>
      <c r="M106" s="22" t="n">
        <v>9</v>
      </c>
      <c r="N106" s="22" t="n">
        <v>10</v>
      </c>
      <c r="O106" s="22" t="n">
        <v>11</v>
      </c>
      <c r="P106" s="22" t="n">
        <v>12</v>
      </c>
      <c r="Q106" s="22" t="n">
        <v>13</v>
      </c>
      <c r="R106" s="22" t="n">
        <v>14</v>
      </c>
      <c r="S106" s="22" t="n">
        <v>15</v>
      </c>
      <c r="T106" s="22" t="n">
        <v>16</v>
      </c>
      <c r="U106" s="22" t="n">
        <v>17</v>
      </c>
      <c r="V106" s="22" t="n">
        <v>18</v>
      </c>
      <c r="W106" s="22" t="n">
        <v>19</v>
      </c>
      <c r="X106" s="22" t="n">
        <v>20</v>
      </c>
      <c r="Y106" s="22" t="n">
        <v>21</v>
      </c>
      <c r="Z106" s="22" t="n">
        <v>22</v>
      </c>
      <c r="AA106" s="22" t="n">
        <v>23</v>
      </c>
      <c r="AB106" s="22" t="n">
        <v>24</v>
      </c>
      <c r="AC106" s="22" t="n">
        <v>25</v>
      </c>
      <c r="AD106" s="22" t="n">
        <v>26</v>
      </c>
      <c r="AE106" s="22" t="n">
        <v>27</v>
      </c>
      <c r="AF106" s="22" t="n">
        <v>28</v>
      </c>
      <c r="AG106" s="22" t="n">
        <v>29</v>
      </c>
      <c r="AH106" s="22" t="n">
        <v>30</v>
      </c>
      <c r="AI106" s="22" t="n">
        <v>31</v>
      </c>
      <c r="AJ106" s="22" t="n">
        <v>32</v>
      </c>
      <c r="AK106" s="22" t="n">
        <v>33</v>
      </c>
      <c r="AL106" s="22" t="n">
        <v>34</v>
      </c>
      <c r="AM106" s="22" t="n">
        <v>35</v>
      </c>
      <c r="AN106" s="22" t="n">
        <v>36</v>
      </c>
      <c r="AO106" s="22" t="n">
        <v>37</v>
      </c>
      <c r="AP106" s="22" t="n">
        <v>38</v>
      </c>
      <c r="AQ106" s="22" t="n">
        <v>39</v>
      </c>
      <c r="AR106" s="22" t="n">
        <v>40</v>
      </c>
      <c r="AS106" s="22" t="n">
        <v>41</v>
      </c>
      <c r="AT106" s="22" t="n">
        <v>42</v>
      </c>
      <c r="AU106" s="22" t="n">
        <v>43</v>
      </c>
      <c r="AV106" s="22" t="n">
        <v>44</v>
      </c>
      <c r="AW106" s="22" t="n">
        <v>45</v>
      </c>
      <c r="AX106" s="22" t="n">
        <v>46</v>
      </c>
      <c r="AY106" s="22" t="n">
        <v>47</v>
      </c>
      <c r="AZ106" s="22" t="n">
        <v>48</v>
      </c>
      <c r="BA106" s="22" t="n">
        <v>49</v>
      </c>
      <c r="BB106" s="22" t="n">
        <v>50</v>
      </c>
      <c r="BC106" s="22" t="n">
        <v>51</v>
      </c>
      <c r="BD106" s="22" t="n">
        <v>52</v>
      </c>
    </row>
    <row r="107">
      <c r="A107" s="3" t="inlineStr">
        <is>
          <t>Packed out -&gt; INTO the store</t>
        </is>
      </c>
      <c r="B107" s="4" t="inlineStr">
        <is>
          <t>lb</t>
        </is>
      </c>
      <c r="E107" s="34">
        <f>SUMPRODUCT(($B$28:$B$95="Spinach")*(E$28:E$95="H")*$C$28:$C$95*$BG$28:$BG$95)*$C$11</f>
        <v/>
      </c>
      <c r="F107" s="34">
        <f>SUMPRODUCT(($B$28:$B$95="Spinach")*(F$28:F$95="H")*$C$28:$C$95*$BG$28:$BG$95)*$C$11</f>
        <v/>
      </c>
      <c r="G107" s="34">
        <f>SUMPRODUCT(($B$28:$B$95="Spinach")*(G$28:G$95="H")*$C$28:$C$95*$BG$28:$BG$95)*$C$11</f>
        <v/>
      </c>
      <c r="H107" s="34">
        <f>SUMPRODUCT(($B$28:$B$95="Spinach")*(H$28:H$95="H")*$C$28:$C$95*$BG$28:$BG$95)*$C$11</f>
        <v/>
      </c>
      <c r="I107" s="34">
        <f>SUMPRODUCT(($B$28:$B$95="Spinach")*(I$28:I$95="H")*$C$28:$C$95*$BG$28:$BG$95)*$C$11</f>
        <v/>
      </c>
      <c r="J107" s="34">
        <f>SUMPRODUCT(($B$28:$B$95="Spinach")*(J$28:J$95="H")*$C$28:$C$95*$BG$28:$BG$95)*$C$11</f>
        <v/>
      </c>
      <c r="K107" s="34">
        <f>SUMPRODUCT(($B$28:$B$95="Spinach")*(K$28:K$95="H")*$C$28:$C$95*$BG$28:$BG$95)*$C$11</f>
        <v/>
      </c>
      <c r="L107" s="34">
        <f>SUMPRODUCT(($B$28:$B$95="Spinach")*(L$28:L$95="H")*$C$28:$C$95*$BG$28:$BG$95)*$C$11</f>
        <v/>
      </c>
      <c r="M107" s="34">
        <f>SUMPRODUCT(($B$28:$B$95="Spinach")*(M$28:M$95="H")*$C$28:$C$95*$BG$28:$BG$95)*$C$11</f>
        <v/>
      </c>
      <c r="N107" s="34">
        <f>SUMPRODUCT(($B$28:$B$95="Spinach")*(N$28:N$95="H")*$C$28:$C$95*$BG$28:$BG$95)*$C$11</f>
        <v/>
      </c>
      <c r="O107" s="34">
        <f>SUMPRODUCT(($B$28:$B$95="Spinach")*(O$28:O$95="H")*$C$28:$C$95*$BG$28:$BG$95)*$C$11</f>
        <v/>
      </c>
      <c r="P107" s="34">
        <f>SUMPRODUCT(($B$28:$B$95="Spinach")*(P$28:P$95="H")*$C$28:$C$95*$BG$28:$BG$95)*$C$11</f>
        <v/>
      </c>
      <c r="Q107" s="34">
        <f>SUMPRODUCT(($B$28:$B$95="Spinach")*(Q$28:Q$95="H")*$C$28:$C$95*$BG$28:$BG$95)*$C$11</f>
        <v/>
      </c>
      <c r="R107" s="34">
        <f>SUMPRODUCT(($B$28:$B$95="Spinach")*(R$28:R$95="H")*$C$28:$C$95*$BG$28:$BG$95)*$C$11</f>
        <v/>
      </c>
      <c r="S107" s="34">
        <f>SUMPRODUCT(($B$28:$B$95="Spinach")*(S$28:S$95="H")*$C$28:$C$95*$BG$28:$BG$95)*$C$11</f>
        <v/>
      </c>
      <c r="T107" s="34">
        <f>SUMPRODUCT(($B$28:$B$95="Spinach")*(T$28:T$95="H")*$C$28:$C$95*$BG$28:$BG$95)*$C$11</f>
        <v/>
      </c>
      <c r="U107" s="34">
        <f>SUMPRODUCT(($B$28:$B$95="Spinach")*(U$28:U$95="H")*$C$28:$C$95*$BG$28:$BG$95)*$C$11</f>
        <v/>
      </c>
      <c r="V107" s="34">
        <f>SUMPRODUCT(($B$28:$B$95="Spinach")*(V$28:V$95="H")*$C$28:$C$95*$BG$28:$BG$95)*$C$11</f>
        <v/>
      </c>
      <c r="W107" s="34">
        <f>SUMPRODUCT(($B$28:$B$95="Spinach")*(W$28:W$95="H")*$C$28:$C$95*$BG$28:$BG$95)*$C$11</f>
        <v/>
      </c>
      <c r="X107" s="34">
        <f>SUMPRODUCT(($B$28:$B$95="Spinach")*(X$28:X$95="H")*$C$28:$C$95*$BG$28:$BG$95)*$C$11</f>
        <v/>
      </c>
      <c r="Y107" s="34">
        <f>SUMPRODUCT(($B$28:$B$95="Spinach")*(Y$28:Y$95="H")*$C$28:$C$95*$BG$28:$BG$95)*$C$11</f>
        <v/>
      </c>
      <c r="Z107" s="34">
        <f>SUMPRODUCT(($B$28:$B$95="Spinach")*(Z$28:Z$95="H")*$C$28:$C$95*$BG$28:$BG$95)*$C$11</f>
        <v/>
      </c>
      <c r="AA107" s="34">
        <f>SUMPRODUCT(($B$28:$B$95="Spinach")*(AA$28:AA$95="H")*$C$28:$C$95*$BG$28:$BG$95)*$C$11</f>
        <v/>
      </c>
      <c r="AB107" s="34">
        <f>SUMPRODUCT(($B$28:$B$95="Spinach")*(AB$28:AB$95="H")*$C$28:$C$95*$BG$28:$BG$95)*$C$11</f>
        <v/>
      </c>
      <c r="AC107" s="34">
        <f>SUMPRODUCT(($B$28:$B$95="Spinach")*(AC$28:AC$95="H")*$C$28:$C$95*$BG$28:$BG$95)*$C$11</f>
        <v/>
      </c>
      <c r="AD107" s="34">
        <f>SUMPRODUCT(($B$28:$B$95="Spinach")*(AD$28:AD$95="H")*$C$28:$C$95*$BG$28:$BG$95)*$C$11</f>
        <v/>
      </c>
      <c r="AE107" s="34">
        <f>SUMPRODUCT(($B$28:$B$95="Spinach")*(AE$28:AE$95="H")*$C$28:$C$95*$BG$28:$BG$95)*$C$11</f>
        <v/>
      </c>
      <c r="AF107" s="34">
        <f>SUMPRODUCT(($B$28:$B$95="Spinach")*(AF$28:AF$95="H")*$C$28:$C$95*$BG$28:$BG$95)*$C$11</f>
        <v/>
      </c>
      <c r="AG107" s="34">
        <f>SUMPRODUCT(($B$28:$B$95="Spinach")*(AG$28:AG$95="H")*$C$28:$C$95*$BG$28:$BG$95)*$C$11</f>
        <v/>
      </c>
      <c r="AH107" s="34">
        <f>SUMPRODUCT(($B$28:$B$95="Spinach")*(AH$28:AH$95="H")*$C$28:$C$95*$BG$28:$BG$95)*$C$11</f>
        <v/>
      </c>
      <c r="AI107" s="34">
        <f>SUMPRODUCT(($B$28:$B$95="Spinach")*(AI$28:AI$95="H")*$C$28:$C$95*$BG$28:$BG$95)*$C$11</f>
        <v/>
      </c>
      <c r="AJ107" s="34">
        <f>SUMPRODUCT(($B$28:$B$95="Spinach")*(AJ$28:AJ$95="H")*$C$28:$C$95*$BG$28:$BG$95)*$C$11</f>
        <v/>
      </c>
      <c r="AK107" s="34">
        <f>SUMPRODUCT(($B$28:$B$95="Spinach")*(AK$28:AK$95="H")*$C$28:$C$95*$BG$28:$BG$95)*$C$11</f>
        <v/>
      </c>
      <c r="AL107" s="34">
        <f>SUMPRODUCT(($B$28:$B$95="Spinach")*(AL$28:AL$95="H")*$C$28:$C$95*$BG$28:$BG$95)*$C$11</f>
        <v/>
      </c>
      <c r="AM107" s="34">
        <f>SUMPRODUCT(($B$28:$B$95="Spinach")*(AM$28:AM$95="H")*$C$28:$C$95*$BG$28:$BG$95)*$C$11</f>
        <v/>
      </c>
      <c r="AN107" s="34">
        <f>SUMPRODUCT(($B$28:$B$95="Spinach")*(AN$28:AN$95="H")*$C$28:$C$95*$BG$28:$BG$95)*$C$11</f>
        <v/>
      </c>
      <c r="AO107" s="34">
        <f>SUMPRODUCT(($B$28:$B$95="Spinach")*(AO$28:AO$95="H")*$C$28:$C$95*$BG$28:$BG$95)*$C$11</f>
        <v/>
      </c>
      <c r="AP107" s="34">
        <f>SUMPRODUCT(($B$28:$B$95="Spinach")*(AP$28:AP$95="H")*$C$28:$C$95*$BG$28:$BG$95)*$C$11</f>
        <v/>
      </c>
      <c r="AQ107" s="34">
        <f>SUMPRODUCT(($B$28:$B$95="Spinach")*(AQ$28:AQ$95="H")*$C$28:$C$95*$BG$28:$BG$95)*$C$11</f>
        <v/>
      </c>
      <c r="AR107" s="34">
        <f>SUMPRODUCT(($B$28:$B$95="Spinach")*(AR$28:AR$95="H")*$C$28:$C$95*$BG$28:$BG$95)*$C$11</f>
        <v/>
      </c>
      <c r="AS107" s="34">
        <f>SUMPRODUCT(($B$28:$B$95="Spinach")*(AS$28:AS$95="H")*$C$28:$C$95*$BG$28:$BG$95)*$C$11</f>
        <v/>
      </c>
      <c r="AT107" s="34">
        <f>SUMPRODUCT(($B$28:$B$95="Spinach")*(AT$28:AT$95="H")*$C$28:$C$95*$BG$28:$BG$95)*$C$11</f>
        <v/>
      </c>
      <c r="AU107" s="34">
        <f>SUMPRODUCT(($B$28:$B$95="Spinach")*(AU$28:AU$95="H")*$C$28:$C$95*$BG$28:$BG$95)*$C$11</f>
        <v/>
      </c>
      <c r="AV107" s="34">
        <f>SUMPRODUCT(($B$28:$B$95="Spinach")*(AV$28:AV$95="H")*$C$28:$C$95*$BG$28:$BG$95)*$C$11</f>
        <v/>
      </c>
      <c r="AW107" s="34">
        <f>SUMPRODUCT(($B$28:$B$95="Spinach")*(AW$28:AW$95="H")*$C$28:$C$95*$BG$28:$BG$95)*$C$11</f>
        <v/>
      </c>
      <c r="AX107" s="34">
        <f>SUMPRODUCT(($B$28:$B$95="Spinach")*(AX$28:AX$95="H")*$C$28:$C$95*$BG$28:$BG$95)*$C$11</f>
        <v/>
      </c>
      <c r="AY107" s="34">
        <f>SUMPRODUCT(($B$28:$B$95="Spinach")*(AY$28:AY$95="H")*$C$28:$C$95*$BG$28:$BG$95)*$C$11</f>
        <v/>
      </c>
      <c r="AZ107" s="34">
        <f>SUMPRODUCT(($B$28:$B$95="Spinach")*(AZ$28:AZ$95="H")*$C$28:$C$95*$BG$28:$BG$95)*$C$11</f>
        <v/>
      </c>
      <c r="BA107" s="34">
        <f>SUMPRODUCT(($B$28:$B$95="Spinach")*(BA$28:BA$95="H")*$C$28:$C$95*$BG$28:$BG$95)*$C$11</f>
        <v/>
      </c>
      <c r="BB107" s="34">
        <f>SUMPRODUCT(($B$28:$B$95="Spinach")*(BB$28:BB$95="H")*$C$28:$C$95*$BG$28:$BG$95)*$C$11</f>
        <v/>
      </c>
      <c r="BC107" s="34">
        <f>SUMPRODUCT(($B$28:$B$95="Spinach")*(BC$28:BC$95="H")*$C$28:$C$95*$BG$28:$BG$95)*$C$11</f>
        <v/>
      </c>
      <c r="BD107" s="34">
        <f>SUMPRODUCT(($B$28:$B$95="Spinach")*(BD$28:BD$95="H")*$C$28:$C$95*$BG$28:$BG$95)*$C$11</f>
        <v/>
      </c>
    </row>
    <row r="108">
      <c r="A108" s="24" t="inlineStr">
        <is>
          <t>Stock carried in</t>
        </is>
      </c>
      <c r="B108" s="4" t="inlineStr">
        <is>
          <t>lb</t>
        </is>
      </c>
      <c r="E108" s="34" t="n">
        <v>0</v>
      </c>
      <c r="F108" s="34">
        <f>E123</f>
        <v/>
      </c>
      <c r="G108" s="34">
        <f>F123</f>
        <v/>
      </c>
      <c r="H108" s="34">
        <f>G123</f>
        <v/>
      </c>
      <c r="I108" s="34">
        <f>H123</f>
        <v/>
      </c>
      <c r="J108" s="34">
        <f>I123</f>
        <v/>
      </c>
      <c r="K108" s="34">
        <f>J123</f>
        <v/>
      </c>
      <c r="L108" s="34">
        <f>K123</f>
        <v/>
      </c>
      <c r="M108" s="34">
        <f>L123</f>
        <v/>
      </c>
      <c r="N108" s="34">
        <f>M123</f>
        <v/>
      </c>
      <c r="O108" s="34">
        <f>N123</f>
        <v/>
      </c>
      <c r="P108" s="34">
        <f>O123</f>
        <v/>
      </c>
      <c r="Q108" s="34">
        <f>P123</f>
        <v/>
      </c>
      <c r="R108" s="34">
        <f>Q123</f>
        <v/>
      </c>
      <c r="S108" s="34">
        <f>R123</f>
        <v/>
      </c>
      <c r="T108" s="34">
        <f>S123</f>
        <v/>
      </c>
      <c r="U108" s="34">
        <f>T123</f>
        <v/>
      </c>
      <c r="V108" s="34">
        <f>U123</f>
        <v/>
      </c>
      <c r="W108" s="34">
        <f>V123</f>
        <v/>
      </c>
      <c r="X108" s="34">
        <f>W123</f>
        <v/>
      </c>
      <c r="Y108" s="34">
        <f>X123</f>
        <v/>
      </c>
      <c r="Z108" s="34">
        <f>Y123</f>
        <v/>
      </c>
      <c r="AA108" s="34">
        <f>Z123</f>
        <v/>
      </c>
      <c r="AB108" s="34">
        <f>AA123</f>
        <v/>
      </c>
      <c r="AC108" s="34">
        <f>AB123</f>
        <v/>
      </c>
      <c r="AD108" s="34">
        <f>AC123</f>
        <v/>
      </c>
      <c r="AE108" s="34">
        <f>AD123</f>
        <v/>
      </c>
      <c r="AF108" s="34">
        <f>AE123</f>
        <v/>
      </c>
      <c r="AG108" s="34">
        <f>AF123</f>
        <v/>
      </c>
      <c r="AH108" s="34">
        <f>AG123</f>
        <v/>
      </c>
      <c r="AI108" s="34">
        <f>AH123</f>
        <v/>
      </c>
      <c r="AJ108" s="34">
        <f>AI123</f>
        <v/>
      </c>
      <c r="AK108" s="34">
        <f>AJ123</f>
        <v/>
      </c>
      <c r="AL108" s="34">
        <f>AK123</f>
        <v/>
      </c>
      <c r="AM108" s="34">
        <f>AL123</f>
        <v/>
      </c>
      <c r="AN108" s="34">
        <f>AM123</f>
        <v/>
      </c>
      <c r="AO108" s="34">
        <f>AN123</f>
        <v/>
      </c>
      <c r="AP108" s="34">
        <f>AO123</f>
        <v/>
      </c>
      <c r="AQ108" s="34">
        <f>AP123</f>
        <v/>
      </c>
      <c r="AR108" s="34">
        <f>AQ123</f>
        <v/>
      </c>
      <c r="AS108" s="34">
        <f>AR123</f>
        <v/>
      </c>
      <c r="AT108" s="34">
        <f>AS123</f>
        <v/>
      </c>
      <c r="AU108" s="34">
        <f>AT123</f>
        <v/>
      </c>
      <c r="AV108" s="34">
        <f>AU123</f>
        <v/>
      </c>
      <c r="AW108" s="34">
        <f>AV123</f>
        <v/>
      </c>
      <c r="AX108" s="34">
        <f>AW123</f>
        <v/>
      </c>
      <c r="AY108" s="34">
        <f>AX123</f>
        <v/>
      </c>
      <c r="AZ108" s="34">
        <f>AY123</f>
        <v/>
      </c>
      <c r="BA108" s="34">
        <f>AZ123</f>
        <v/>
      </c>
      <c r="BB108" s="34">
        <f>BA123</f>
        <v/>
      </c>
      <c r="BC108" s="34">
        <f>BB123</f>
        <v/>
      </c>
      <c r="BD108" s="34">
        <f>BC123</f>
        <v/>
      </c>
    </row>
    <row r="109">
      <c r="A109" s="24" t="inlineStr">
        <is>
          <t xml:space="preserve">   lost to shrink</t>
        </is>
      </c>
      <c r="B109" s="4" t="inlineStr">
        <is>
          <t>lb</t>
        </is>
      </c>
      <c r="E109" s="34">
        <f>E108*$G$11</f>
        <v/>
      </c>
      <c r="F109" s="34">
        <f>F108*$G$11</f>
        <v/>
      </c>
      <c r="G109" s="34">
        <f>G108*$G$11</f>
        <v/>
      </c>
      <c r="H109" s="34">
        <f>H108*$G$11</f>
        <v/>
      </c>
      <c r="I109" s="34">
        <f>I108*$G$11</f>
        <v/>
      </c>
      <c r="J109" s="34">
        <f>J108*$G$11</f>
        <v/>
      </c>
      <c r="K109" s="34">
        <f>K108*$G$11</f>
        <v/>
      </c>
      <c r="L109" s="34">
        <f>L108*$G$11</f>
        <v/>
      </c>
      <c r="M109" s="34">
        <f>M108*$G$11</f>
        <v/>
      </c>
      <c r="N109" s="34">
        <f>N108*$G$11</f>
        <v/>
      </c>
      <c r="O109" s="34">
        <f>O108*$G$11</f>
        <v/>
      </c>
      <c r="P109" s="34">
        <f>P108*$G$11</f>
        <v/>
      </c>
      <c r="Q109" s="34">
        <f>Q108*$G$11</f>
        <v/>
      </c>
      <c r="R109" s="34">
        <f>R108*$G$11</f>
        <v/>
      </c>
      <c r="S109" s="34">
        <f>S108*$G$11</f>
        <v/>
      </c>
      <c r="T109" s="34">
        <f>T108*$G$11</f>
        <v/>
      </c>
      <c r="U109" s="34">
        <f>U108*$G$11</f>
        <v/>
      </c>
      <c r="V109" s="34">
        <f>V108*$G$11</f>
        <v/>
      </c>
      <c r="W109" s="34">
        <f>W108*$G$11</f>
        <v/>
      </c>
      <c r="X109" s="34">
        <f>X108*$G$11</f>
        <v/>
      </c>
      <c r="Y109" s="34">
        <f>Y108*$G$11</f>
        <v/>
      </c>
      <c r="Z109" s="34">
        <f>Z108*$G$11</f>
        <v/>
      </c>
      <c r="AA109" s="34">
        <f>AA108*$G$11</f>
        <v/>
      </c>
      <c r="AB109" s="34">
        <f>AB108*$G$11</f>
        <v/>
      </c>
      <c r="AC109" s="34">
        <f>AC108*$G$11</f>
        <v/>
      </c>
      <c r="AD109" s="34">
        <f>AD108*$G$11</f>
        <v/>
      </c>
      <c r="AE109" s="34">
        <f>AE108*$G$11</f>
        <v/>
      </c>
      <c r="AF109" s="34">
        <f>AF108*$G$11</f>
        <v/>
      </c>
      <c r="AG109" s="34">
        <f>AG108*$G$11</f>
        <v/>
      </c>
      <c r="AH109" s="34">
        <f>AH108*$G$11</f>
        <v/>
      </c>
      <c r="AI109" s="34">
        <f>AI108*$G$11</f>
        <v/>
      </c>
      <c r="AJ109" s="34">
        <f>AJ108*$G$11</f>
        <v/>
      </c>
      <c r="AK109" s="34">
        <f>AK108*$G$11</f>
        <v/>
      </c>
      <c r="AL109" s="34">
        <f>AL108*$G$11</f>
        <v/>
      </c>
      <c r="AM109" s="34">
        <f>AM108*$G$11</f>
        <v/>
      </c>
      <c r="AN109" s="34">
        <f>AN108*$G$11</f>
        <v/>
      </c>
      <c r="AO109" s="34">
        <f>AO108*$G$11</f>
        <v/>
      </c>
      <c r="AP109" s="34">
        <f>AP108*$G$11</f>
        <v/>
      </c>
      <c r="AQ109" s="34">
        <f>AQ108*$G$11</f>
        <v/>
      </c>
      <c r="AR109" s="34">
        <f>AR108*$G$11</f>
        <v/>
      </c>
      <c r="AS109" s="34">
        <f>AS108*$G$11</f>
        <v/>
      </c>
      <c r="AT109" s="34">
        <f>AT108*$G$11</f>
        <v/>
      </c>
      <c r="AU109" s="34">
        <f>AU108*$G$11</f>
        <v/>
      </c>
      <c r="AV109" s="34">
        <f>AV108*$G$11</f>
        <v/>
      </c>
      <c r="AW109" s="34">
        <f>AW108*$G$11</f>
        <v/>
      </c>
      <c r="AX109" s="34">
        <f>AX108*$G$11</f>
        <v/>
      </c>
      <c r="AY109" s="34">
        <f>AY108*$G$11</f>
        <v/>
      </c>
      <c r="AZ109" s="34">
        <f>AZ108*$G$11</f>
        <v/>
      </c>
      <c r="BA109" s="34">
        <f>BA108*$G$11</f>
        <v/>
      </c>
      <c r="BB109" s="34">
        <f>BB108*$G$11</f>
        <v/>
      </c>
      <c r="BC109" s="34">
        <f>BC108*$G$11</f>
        <v/>
      </c>
      <c r="BD109" s="34">
        <f>BD108*$G$11</f>
        <v/>
      </c>
    </row>
    <row r="110">
      <c r="A110" s="3" t="inlineStr">
        <is>
          <t>In store this week</t>
        </is>
      </c>
      <c r="B110" s="4" t="inlineStr">
        <is>
          <t>lb</t>
        </is>
      </c>
      <c r="E110" s="34">
        <f>E108-E109+E107</f>
        <v/>
      </c>
      <c r="F110" s="34">
        <f>F108-F109+F107</f>
        <v/>
      </c>
      <c r="G110" s="34">
        <f>G108-G109+G107</f>
        <v/>
      </c>
      <c r="H110" s="34">
        <f>H108-H109+H107</f>
        <v/>
      </c>
      <c r="I110" s="34">
        <f>I108-I109+I107</f>
        <v/>
      </c>
      <c r="J110" s="34">
        <f>J108-J109+J107</f>
        <v/>
      </c>
      <c r="K110" s="34">
        <f>K108-K109+K107</f>
        <v/>
      </c>
      <c r="L110" s="34">
        <f>L108-L109+L107</f>
        <v/>
      </c>
      <c r="M110" s="34">
        <f>M108-M109+M107</f>
        <v/>
      </c>
      <c r="N110" s="34">
        <f>N108-N109+N107</f>
        <v/>
      </c>
      <c r="O110" s="34">
        <f>O108-O109+O107</f>
        <v/>
      </c>
      <c r="P110" s="34">
        <f>P108-P109+P107</f>
        <v/>
      </c>
      <c r="Q110" s="34">
        <f>Q108-Q109+Q107</f>
        <v/>
      </c>
      <c r="R110" s="34">
        <f>R108-R109+R107</f>
        <v/>
      </c>
      <c r="S110" s="34">
        <f>S108-S109+S107</f>
        <v/>
      </c>
      <c r="T110" s="34">
        <f>T108-T109+T107</f>
        <v/>
      </c>
      <c r="U110" s="34">
        <f>U108-U109+U107</f>
        <v/>
      </c>
      <c r="V110" s="34">
        <f>V108-V109+V107</f>
        <v/>
      </c>
      <c r="W110" s="34">
        <f>W108-W109+W107</f>
        <v/>
      </c>
      <c r="X110" s="34">
        <f>X108-X109+X107</f>
        <v/>
      </c>
      <c r="Y110" s="34">
        <f>Y108-Y109+Y107</f>
        <v/>
      </c>
      <c r="Z110" s="34">
        <f>Z108-Z109+Z107</f>
        <v/>
      </c>
      <c r="AA110" s="34">
        <f>AA108-AA109+AA107</f>
        <v/>
      </c>
      <c r="AB110" s="34">
        <f>AB108-AB109+AB107</f>
        <v/>
      </c>
      <c r="AC110" s="34">
        <f>AC108-AC109+AC107</f>
        <v/>
      </c>
      <c r="AD110" s="34">
        <f>AD108-AD109+AD107</f>
        <v/>
      </c>
      <c r="AE110" s="34">
        <f>AE108-AE109+AE107</f>
        <v/>
      </c>
      <c r="AF110" s="34">
        <f>AF108-AF109+AF107</f>
        <v/>
      </c>
      <c r="AG110" s="34">
        <f>AG108-AG109+AG107</f>
        <v/>
      </c>
      <c r="AH110" s="34">
        <f>AH108-AH109+AH107</f>
        <v/>
      </c>
      <c r="AI110" s="34">
        <f>AI108-AI109+AI107</f>
        <v/>
      </c>
      <c r="AJ110" s="34">
        <f>AJ108-AJ109+AJ107</f>
        <v/>
      </c>
      <c r="AK110" s="34">
        <f>AK108-AK109+AK107</f>
        <v/>
      </c>
      <c r="AL110" s="34">
        <f>AL108-AL109+AL107</f>
        <v/>
      </c>
      <c r="AM110" s="34">
        <f>AM108-AM109+AM107</f>
        <v/>
      </c>
      <c r="AN110" s="34">
        <f>AN108-AN109+AN107</f>
        <v/>
      </c>
      <c r="AO110" s="34">
        <f>AO108-AO109+AO107</f>
        <v/>
      </c>
      <c r="AP110" s="34">
        <f>AP108-AP109+AP107</f>
        <v/>
      </c>
      <c r="AQ110" s="34">
        <f>AQ108-AQ109+AQ107</f>
        <v/>
      </c>
      <c r="AR110" s="34">
        <f>AR108-AR109+AR107</f>
        <v/>
      </c>
      <c r="AS110" s="34">
        <f>AS108-AS109+AS107</f>
        <v/>
      </c>
      <c r="AT110" s="34">
        <f>AT108-AT109+AT107</f>
        <v/>
      </c>
      <c r="AU110" s="34">
        <f>AU108-AU109+AU107</f>
        <v/>
      </c>
      <c r="AV110" s="34">
        <f>AV108-AV109+AV107</f>
        <v/>
      </c>
      <c r="AW110" s="34">
        <f>AW108-AW109+AW107</f>
        <v/>
      </c>
      <c r="AX110" s="34">
        <f>AX108-AX109+AX107</f>
        <v/>
      </c>
      <c r="AY110" s="34">
        <f>AY108-AY109+AY107</f>
        <v/>
      </c>
      <c r="AZ110" s="34">
        <f>AZ108-AZ109+AZ107</f>
        <v/>
      </c>
      <c r="BA110" s="34">
        <f>BA108-BA109+BA107</f>
        <v/>
      </c>
      <c r="BB110" s="34">
        <f>BB108-BB109+BB107</f>
        <v/>
      </c>
      <c r="BC110" s="34">
        <f>BC108-BC109+BC107</f>
        <v/>
      </c>
      <c r="BD110" s="34">
        <f>BD108-BD109+BD107</f>
        <v/>
      </c>
    </row>
    <row r="111">
      <c r="A111" s="35" t="inlineStr">
        <is>
          <t>Farmers Market — most you may sell this week</t>
        </is>
      </c>
      <c r="B111" s="4" t="inlineStr">
        <is>
          <t>lb</t>
        </is>
      </c>
      <c r="E111" s="36">
        <f>IF($C$18="Annual",$D$18-0,IF(AND(1&gt;=$E$18,1&lt;=$F$18),$D$18,0))</f>
        <v/>
      </c>
      <c r="F111" s="36">
        <f>IF($C$18="Annual",$D$18-SUM(E113:E113),IF(AND(2&gt;=$E$18,2&lt;=$F$18),$D$18,0))</f>
        <v/>
      </c>
      <c r="G111" s="36">
        <f>IF($C$18="Annual",$D$18-SUM(E113:F113),IF(AND(3&gt;=$E$18,3&lt;=$F$18),$D$18,0))</f>
        <v/>
      </c>
      <c r="H111" s="36">
        <f>IF($C$18="Annual",$D$18-SUM(E113:G113),IF(AND(4&gt;=$E$18,4&lt;=$F$18),$D$18,0))</f>
        <v/>
      </c>
      <c r="I111" s="36">
        <f>IF($C$18="Annual",$D$18-SUM(E113:H113),IF(AND(5&gt;=$E$18,5&lt;=$F$18),$D$18,0))</f>
        <v/>
      </c>
      <c r="J111" s="36">
        <f>IF($C$18="Annual",$D$18-SUM(E113:I113),IF(AND(6&gt;=$E$18,6&lt;=$F$18),$D$18,0))</f>
        <v/>
      </c>
      <c r="K111" s="36">
        <f>IF($C$18="Annual",$D$18-SUM(E113:J113),IF(AND(7&gt;=$E$18,7&lt;=$F$18),$D$18,0))</f>
        <v/>
      </c>
      <c r="L111" s="36">
        <f>IF($C$18="Annual",$D$18-SUM(E113:K113),IF(AND(8&gt;=$E$18,8&lt;=$F$18),$D$18,0))</f>
        <v/>
      </c>
      <c r="M111" s="36">
        <f>IF($C$18="Annual",$D$18-SUM(E113:L113),IF(AND(9&gt;=$E$18,9&lt;=$F$18),$D$18,0))</f>
        <v/>
      </c>
      <c r="N111" s="36">
        <f>IF($C$18="Annual",$D$18-SUM(E113:M113),IF(AND(10&gt;=$E$18,10&lt;=$F$18),$D$18,0))</f>
        <v/>
      </c>
      <c r="O111" s="36">
        <f>IF($C$18="Annual",$D$18-SUM(E113:N113),IF(AND(11&gt;=$E$18,11&lt;=$F$18),$D$18,0))</f>
        <v/>
      </c>
      <c r="P111" s="36">
        <f>IF($C$18="Annual",$D$18-SUM(E113:O113),IF(AND(12&gt;=$E$18,12&lt;=$F$18),$D$18,0))</f>
        <v/>
      </c>
      <c r="Q111" s="36">
        <f>IF($C$18="Annual",$D$18-SUM(E113:P113),IF(AND(13&gt;=$E$18,13&lt;=$F$18),$D$18,0))</f>
        <v/>
      </c>
      <c r="R111" s="36">
        <f>IF($C$18="Annual",$D$18-SUM(E113:Q113),IF(AND(14&gt;=$E$18,14&lt;=$F$18),$D$18,0))</f>
        <v/>
      </c>
      <c r="S111" s="36">
        <f>IF($C$18="Annual",$D$18-SUM(E113:R113),IF(AND(15&gt;=$E$18,15&lt;=$F$18),$D$18,0))</f>
        <v/>
      </c>
      <c r="T111" s="36">
        <f>IF($C$18="Annual",$D$18-SUM(E113:S113),IF(AND(16&gt;=$E$18,16&lt;=$F$18),$D$18,0))</f>
        <v/>
      </c>
      <c r="U111" s="36">
        <f>IF($C$18="Annual",$D$18-SUM(E113:T113),IF(AND(17&gt;=$E$18,17&lt;=$F$18),$D$18,0))</f>
        <v/>
      </c>
      <c r="V111" s="36">
        <f>IF($C$18="Annual",$D$18-SUM(E113:U113),IF(AND(18&gt;=$E$18,18&lt;=$F$18),$D$18,0))</f>
        <v/>
      </c>
      <c r="W111" s="36">
        <f>IF($C$18="Annual",$D$18-SUM(E113:V113),IF(AND(19&gt;=$E$18,19&lt;=$F$18),$D$18,0))</f>
        <v/>
      </c>
      <c r="X111" s="36">
        <f>IF($C$18="Annual",$D$18-SUM(E113:W113),IF(AND(20&gt;=$E$18,20&lt;=$F$18),$D$18,0))</f>
        <v/>
      </c>
      <c r="Y111" s="36">
        <f>IF($C$18="Annual",$D$18-SUM(E113:X113),IF(AND(21&gt;=$E$18,21&lt;=$F$18),$D$18,0))</f>
        <v/>
      </c>
      <c r="Z111" s="36">
        <f>IF($C$18="Annual",$D$18-SUM(E113:Y113),IF(AND(22&gt;=$E$18,22&lt;=$F$18),$D$18,0))</f>
        <v/>
      </c>
      <c r="AA111" s="36">
        <f>IF($C$18="Annual",$D$18-SUM(E113:Z113),IF(AND(23&gt;=$E$18,23&lt;=$F$18),$D$18,0))</f>
        <v/>
      </c>
      <c r="AB111" s="36">
        <f>IF($C$18="Annual",$D$18-SUM(E113:AA113),IF(AND(24&gt;=$E$18,24&lt;=$F$18),$D$18,0))</f>
        <v/>
      </c>
      <c r="AC111" s="36">
        <f>IF($C$18="Annual",$D$18-SUM(E113:AB113),IF(AND(25&gt;=$E$18,25&lt;=$F$18),$D$18,0))</f>
        <v/>
      </c>
      <c r="AD111" s="36">
        <f>IF($C$18="Annual",$D$18-SUM(E113:AC113),IF(AND(26&gt;=$E$18,26&lt;=$F$18),$D$18,0))</f>
        <v/>
      </c>
      <c r="AE111" s="36">
        <f>IF($C$18="Annual",$D$18-SUM(E113:AD113),IF(AND(27&gt;=$E$18,27&lt;=$F$18),$D$18,0))</f>
        <v/>
      </c>
      <c r="AF111" s="36">
        <f>IF($C$18="Annual",$D$18-SUM(E113:AE113),IF(AND(28&gt;=$E$18,28&lt;=$F$18),$D$18,0))</f>
        <v/>
      </c>
      <c r="AG111" s="36">
        <f>IF($C$18="Annual",$D$18-SUM(E113:AF113),IF(AND(29&gt;=$E$18,29&lt;=$F$18),$D$18,0))</f>
        <v/>
      </c>
      <c r="AH111" s="36">
        <f>IF($C$18="Annual",$D$18-SUM(E113:AG113),IF(AND(30&gt;=$E$18,30&lt;=$F$18),$D$18,0))</f>
        <v/>
      </c>
      <c r="AI111" s="36">
        <f>IF($C$18="Annual",$D$18-SUM(E113:AH113),IF(AND(31&gt;=$E$18,31&lt;=$F$18),$D$18,0))</f>
        <v/>
      </c>
      <c r="AJ111" s="36">
        <f>IF($C$18="Annual",$D$18-SUM(E113:AI113),IF(AND(32&gt;=$E$18,32&lt;=$F$18),$D$18,0))</f>
        <v/>
      </c>
      <c r="AK111" s="36">
        <f>IF($C$18="Annual",$D$18-SUM(E113:AJ113),IF(AND(33&gt;=$E$18,33&lt;=$F$18),$D$18,0))</f>
        <v/>
      </c>
      <c r="AL111" s="36">
        <f>IF($C$18="Annual",$D$18-SUM(E113:AK113),IF(AND(34&gt;=$E$18,34&lt;=$F$18),$D$18,0))</f>
        <v/>
      </c>
      <c r="AM111" s="36">
        <f>IF($C$18="Annual",$D$18-SUM(E113:AL113),IF(AND(35&gt;=$E$18,35&lt;=$F$18),$D$18,0))</f>
        <v/>
      </c>
      <c r="AN111" s="36">
        <f>IF($C$18="Annual",$D$18-SUM(E113:AM113),IF(AND(36&gt;=$E$18,36&lt;=$F$18),$D$18,0))</f>
        <v/>
      </c>
      <c r="AO111" s="36">
        <f>IF($C$18="Annual",$D$18-SUM(E113:AN113),IF(AND(37&gt;=$E$18,37&lt;=$F$18),$D$18,0))</f>
        <v/>
      </c>
      <c r="AP111" s="36">
        <f>IF($C$18="Annual",$D$18-SUM(E113:AO113),IF(AND(38&gt;=$E$18,38&lt;=$F$18),$D$18,0))</f>
        <v/>
      </c>
      <c r="AQ111" s="36">
        <f>IF($C$18="Annual",$D$18-SUM(E113:AP113),IF(AND(39&gt;=$E$18,39&lt;=$F$18),$D$18,0))</f>
        <v/>
      </c>
      <c r="AR111" s="36">
        <f>IF($C$18="Annual",$D$18-SUM(E113:AQ113),IF(AND(40&gt;=$E$18,40&lt;=$F$18),$D$18,0))</f>
        <v/>
      </c>
      <c r="AS111" s="36">
        <f>IF($C$18="Annual",$D$18-SUM(E113:AR113),IF(AND(41&gt;=$E$18,41&lt;=$F$18),$D$18,0))</f>
        <v/>
      </c>
      <c r="AT111" s="36">
        <f>IF($C$18="Annual",$D$18-SUM(E113:AS113),IF(AND(42&gt;=$E$18,42&lt;=$F$18),$D$18,0))</f>
        <v/>
      </c>
      <c r="AU111" s="36">
        <f>IF($C$18="Annual",$D$18-SUM(E113:AT113),IF(AND(43&gt;=$E$18,43&lt;=$F$18),$D$18,0))</f>
        <v/>
      </c>
      <c r="AV111" s="36">
        <f>IF($C$18="Annual",$D$18-SUM(E113:AU113),IF(AND(44&gt;=$E$18,44&lt;=$F$18),$D$18,0))</f>
        <v/>
      </c>
      <c r="AW111" s="36">
        <f>IF($C$18="Annual",$D$18-SUM(E113:AV113),IF(AND(45&gt;=$E$18,45&lt;=$F$18),$D$18,0))</f>
        <v/>
      </c>
      <c r="AX111" s="36">
        <f>IF($C$18="Annual",$D$18-SUM(E113:AW113),IF(AND(46&gt;=$E$18,46&lt;=$F$18),$D$18,0))</f>
        <v/>
      </c>
      <c r="AY111" s="36">
        <f>IF($C$18="Annual",$D$18-SUM(E113:AX113),IF(AND(47&gt;=$E$18,47&lt;=$F$18),$D$18,0))</f>
        <v/>
      </c>
      <c r="AZ111" s="36">
        <f>IF($C$18="Annual",$D$18-SUM(E113:AY113),IF(AND(48&gt;=$E$18,48&lt;=$F$18),$D$18,0))</f>
        <v/>
      </c>
      <c r="BA111" s="36">
        <f>IF($C$18="Annual",$D$18-SUM(E113:AZ113),IF(AND(49&gt;=$E$18,49&lt;=$F$18),$D$18,0))</f>
        <v/>
      </c>
      <c r="BB111" s="36">
        <f>IF($C$18="Annual",$D$18-SUM(E113:BA113),IF(AND(50&gt;=$E$18,50&lt;=$F$18),$D$18,0))</f>
        <v/>
      </c>
      <c r="BC111" s="36">
        <f>IF($C$18="Annual",$D$18-SUM(E113:BB113),IF(AND(51&gt;=$E$18,51&lt;=$F$18),$D$18,0))</f>
        <v/>
      </c>
      <c r="BD111" s="36">
        <f>IF($C$18="Annual",$D$18-SUM(E113:BC113),IF(AND(52&gt;=$E$18,52&lt;=$F$18),$D$18,0))</f>
        <v/>
      </c>
    </row>
    <row r="112">
      <c r="A112" s="20" t="inlineStr">
        <is>
          <t>Farmers Market — OFFERED</t>
        </is>
      </c>
      <c r="B112" s="4" t="inlineStr">
        <is>
          <t>lb  &lt;-- SOLVER</t>
        </is>
      </c>
      <c r="E112" s="37" t="n">
        <v>0</v>
      </c>
      <c r="F112" s="37" t="n">
        <v>0</v>
      </c>
      <c r="G112" s="37" t="n">
        <v>0</v>
      </c>
      <c r="H112" s="37" t="n">
        <v>0</v>
      </c>
      <c r="I112" s="37" t="n">
        <v>0</v>
      </c>
      <c r="J112" s="37" t="n">
        <v>0</v>
      </c>
      <c r="K112" s="37" t="n">
        <v>0</v>
      </c>
      <c r="L112" s="37" t="n">
        <v>0</v>
      </c>
      <c r="M112" s="37" t="n">
        <v>0</v>
      </c>
      <c r="N112" s="37" t="n">
        <v>0</v>
      </c>
      <c r="O112" s="37" t="n">
        <v>0</v>
      </c>
      <c r="P112" s="37" t="n">
        <v>0</v>
      </c>
      <c r="Q112" s="37" t="n">
        <v>0</v>
      </c>
      <c r="R112" s="37" t="n">
        <v>0</v>
      </c>
      <c r="S112" s="37" t="n">
        <v>0</v>
      </c>
      <c r="T112" s="37" t="n">
        <v>0</v>
      </c>
      <c r="U112" s="37" t="n">
        <v>0</v>
      </c>
      <c r="V112" s="37" t="n">
        <v>0</v>
      </c>
      <c r="W112" s="37" t="n">
        <v>0</v>
      </c>
      <c r="X112" s="37" t="n">
        <v>0</v>
      </c>
      <c r="Y112" s="37" t="n">
        <v>0</v>
      </c>
      <c r="Z112" s="37" t="n">
        <v>0</v>
      </c>
      <c r="AA112" s="37" t="n">
        <v>0</v>
      </c>
      <c r="AB112" s="37" t="n">
        <v>0</v>
      </c>
      <c r="AC112" s="37" t="n">
        <v>0</v>
      </c>
      <c r="AD112" s="37" t="n">
        <v>0</v>
      </c>
      <c r="AE112" s="37" t="n">
        <v>0</v>
      </c>
      <c r="AF112" s="37" t="n">
        <v>0</v>
      </c>
      <c r="AG112" s="37" t="n">
        <v>0</v>
      </c>
      <c r="AH112" s="37" t="n">
        <v>0</v>
      </c>
      <c r="AI112" s="37" t="n">
        <v>0</v>
      </c>
      <c r="AJ112" s="37" t="n">
        <v>0</v>
      </c>
      <c r="AK112" s="37" t="n">
        <v>0</v>
      </c>
      <c r="AL112" s="37" t="n">
        <v>0</v>
      </c>
      <c r="AM112" s="37" t="n">
        <v>0</v>
      </c>
      <c r="AN112" s="37" t="n">
        <v>0</v>
      </c>
      <c r="AO112" s="37" t="n">
        <v>0</v>
      </c>
      <c r="AP112" s="37" t="n">
        <v>0</v>
      </c>
      <c r="AQ112" s="37" t="n">
        <v>0</v>
      </c>
      <c r="AR112" s="37" t="n">
        <v>0</v>
      </c>
      <c r="AS112" s="37" t="n">
        <v>0</v>
      </c>
      <c r="AT112" s="37" t="n">
        <v>0</v>
      </c>
      <c r="AU112" s="37" t="n">
        <v>0</v>
      </c>
      <c r="AV112" s="37" t="n">
        <v>0</v>
      </c>
      <c r="AW112" s="37" t="n">
        <v>0</v>
      </c>
      <c r="AX112" s="37" t="n">
        <v>0</v>
      </c>
      <c r="AY112" s="37" t="n">
        <v>0</v>
      </c>
      <c r="AZ112" s="37" t="n">
        <v>0</v>
      </c>
      <c r="BA112" s="37" t="n">
        <v>0</v>
      </c>
      <c r="BB112" s="37" t="n">
        <v>0</v>
      </c>
      <c r="BC112" s="37" t="n">
        <v>0</v>
      </c>
      <c r="BD112" s="37" t="n">
        <v>0</v>
      </c>
    </row>
    <row r="113">
      <c r="A113" s="38" t="inlineStr">
        <is>
          <t>Farmers Market — SOLD</t>
        </is>
      </c>
      <c r="B113" s="4" t="inlineStr">
        <is>
          <t>lb</t>
        </is>
      </c>
      <c r="E113" s="36">
        <f>E112*$G$18</f>
        <v/>
      </c>
      <c r="F113" s="36">
        <f>F112*$G$18</f>
        <v/>
      </c>
      <c r="G113" s="36">
        <f>G112*$G$18</f>
        <v/>
      </c>
      <c r="H113" s="36">
        <f>H112*$G$18</f>
        <v/>
      </c>
      <c r="I113" s="36">
        <f>I112*$G$18</f>
        <v/>
      </c>
      <c r="J113" s="36">
        <f>J112*$G$18</f>
        <v/>
      </c>
      <c r="K113" s="36">
        <f>K112*$G$18</f>
        <v/>
      </c>
      <c r="L113" s="36">
        <f>L112*$G$18</f>
        <v/>
      </c>
      <c r="M113" s="36">
        <f>M112*$G$18</f>
        <v/>
      </c>
      <c r="N113" s="36">
        <f>N112*$G$18</f>
        <v/>
      </c>
      <c r="O113" s="36">
        <f>O112*$G$18</f>
        <v/>
      </c>
      <c r="P113" s="36">
        <f>P112*$G$18</f>
        <v/>
      </c>
      <c r="Q113" s="36">
        <f>Q112*$G$18</f>
        <v/>
      </c>
      <c r="R113" s="36">
        <f>R112*$G$18</f>
        <v/>
      </c>
      <c r="S113" s="36">
        <f>S112*$G$18</f>
        <v/>
      </c>
      <c r="T113" s="36">
        <f>T112*$G$18</f>
        <v/>
      </c>
      <c r="U113" s="36">
        <f>U112*$G$18</f>
        <v/>
      </c>
      <c r="V113" s="36">
        <f>V112*$G$18</f>
        <v/>
      </c>
      <c r="W113" s="36">
        <f>W112*$G$18</f>
        <v/>
      </c>
      <c r="X113" s="36">
        <f>X112*$G$18</f>
        <v/>
      </c>
      <c r="Y113" s="36">
        <f>Y112*$G$18</f>
        <v/>
      </c>
      <c r="Z113" s="36">
        <f>Z112*$G$18</f>
        <v/>
      </c>
      <c r="AA113" s="36">
        <f>AA112*$G$18</f>
        <v/>
      </c>
      <c r="AB113" s="36">
        <f>AB112*$G$18</f>
        <v/>
      </c>
      <c r="AC113" s="36">
        <f>AC112*$G$18</f>
        <v/>
      </c>
      <c r="AD113" s="36">
        <f>AD112*$G$18</f>
        <v/>
      </c>
      <c r="AE113" s="36">
        <f>AE112*$G$18</f>
        <v/>
      </c>
      <c r="AF113" s="36">
        <f>AF112*$G$18</f>
        <v/>
      </c>
      <c r="AG113" s="36">
        <f>AG112*$G$18</f>
        <v/>
      </c>
      <c r="AH113" s="36">
        <f>AH112*$G$18</f>
        <v/>
      </c>
      <c r="AI113" s="36">
        <f>AI112*$G$18</f>
        <v/>
      </c>
      <c r="AJ113" s="36">
        <f>AJ112*$G$18</f>
        <v/>
      </c>
      <c r="AK113" s="36">
        <f>AK112*$G$18</f>
        <v/>
      </c>
      <c r="AL113" s="36">
        <f>AL112*$G$18</f>
        <v/>
      </c>
      <c r="AM113" s="36">
        <f>AM112*$G$18</f>
        <v/>
      </c>
      <c r="AN113" s="36">
        <f>AN112*$G$18</f>
        <v/>
      </c>
      <c r="AO113" s="36">
        <f>AO112*$G$18</f>
        <v/>
      </c>
      <c r="AP113" s="36">
        <f>AP112*$G$18</f>
        <v/>
      </c>
      <c r="AQ113" s="36">
        <f>AQ112*$G$18</f>
        <v/>
      </c>
      <c r="AR113" s="36">
        <f>AR112*$G$18</f>
        <v/>
      </c>
      <c r="AS113" s="36">
        <f>AS112*$G$18</f>
        <v/>
      </c>
      <c r="AT113" s="36">
        <f>AT112*$G$18</f>
        <v/>
      </c>
      <c r="AU113" s="36">
        <f>AU112*$G$18</f>
        <v/>
      </c>
      <c r="AV113" s="36">
        <f>AV112*$G$18</f>
        <v/>
      </c>
      <c r="AW113" s="36">
        <f>AW112*$G$18</f>
        <v/>
      </c>
      <c r="AX113" s="36">
        <f>AX112*$G$18</f>
        <v/>
      </c>
      <c r="AY113" s="36">
        <f>AY112*$G$18</f>
        <v/>
      </c>
      <c r="AZ113" s="36">
        <f>AZ112*$G$18</f>
        <v/>
      </c>
      <c r="BA113" s="36">
        <f>BA112*$G$18</f>
        <v/>
      </c>
      <c r="BB113" s="36">
        <f>BB112*$G$18</f>
        <v/>
      </c>
      <c r="BC113" s="36">
        <f>BC112*$G$18</f>
        <v/>
      </c>
      <c r="BD113" s="36">
        <f>BD112*$G$18</f>
        <v/>
      </c>
    </row>
    <row r="114">
      <c r="A114" s="24" t="inlineStr">
        <is>
          <t xml:space="preserve">   market loss (gone)</t>
        </is>
      </c>
      <c r="B114" s="4" t="inlineStr">
        <is>
          <t>lb</t>
        </is>
      </c>
      <c r="E114" s="34">
        <f>(E112-E113)*(1-$H$18)</f>
        <v/>
      </c>
      <c r="F114" s="34">
        <f>(F112-F113)*(1-$H$18)</f>
        <v/>
      </c>
      <c r="G114" s="34">
        <f>(G112-G113)*(1-$H$18)</f>
        <v/>
      </c>
      <c r="H114" s="34">
        <f>(H112-H113)*(1-$H$18)</f>
        <v/>
      </c>
      <c r="I114" s="34">
        <f>(I112-I113)*(1-$H$18)</f>
        <v/>
      </c>
      <c r="J114" s="34">
        <f>(J112-J113)*(1-$H$18)</f>
        <v/>
      </c>
      <c r="K114" s="34">
        <f>(K112-K113)*(1-$H$18)</f>
        <v/>
      </c>
      <c r="L114" s="34">
        <f>(L112-L113)*(1-$H$18)</f>
        <v/>
      </c>
      <c r="M114" s="34">
        <f>(M112-M113)*(1-$H$18)</f>
        <v/>
      </c>
      <c r="N114" s="34">
        <f>(N112-N113)*(1-$H$18)</f>
        <v/>
      </c>
      <c r="O114" s="34">
        <f>(O112-O113)*(1-$H$18)</f>
        <v/>
      </c>
      <c r="P114" s="34">
        <f>(P112-P113)*(1-$H$18)</f>
        <v/>
      </c>
      <c r="Q114" s="34">
        <f>(Q112-Q113)*(1-$H$18)</f>
        <v/>
      </c>
      <c r="R114" s="34">
        <f>(R112-R113)*(1-$H$18)</f>
        <v/>
      </c>
      <c r="S114" s="34">
        <f>(S112-S113)*(1-$H$18)</f>
        <v/>
      </c>
      <c r="T114" s="34">
        <f>(T112-T113)*(1-$H$18)</f>
        <v/>
      </c>
      <c r="U114" s="34">
        <f>(U112-U113)*(1-$H$18)</f>
        <v/>
      </c>
      <c r="V114" s="34">
        <f>(V112-V113)*(1-$H$18)</f>
        <v/>
      </c>
      <c r="W114" s="34">
        <f>(W112-W113)*(1-$H$18)</f>
        <v/>
      </c>
      <c r="X114" s="34">
        <f>(X112-X113)*(1-$H$18)</f>
        <v/>
      </c>
      <c r="Y114" s="34">
        <f>(Y112-Y113)*(1-$H$18)</f>
        <v/>
      </c>
      <c r="Z114" s="34">
        <f>(Z112-Z113)*(1-$H$18)</f>
        <v/>
      </c>
      <c r="AA114" s="34">
        <f>(AA112-AA113)*(1-$H$18)</f>
        <v/>
      </c>
      <c r="AB114" s="34">
        <f>(AB112-AB113)*(1-$H$18)</f>
        <v/>
      </c>
      <c r="AC114" s="34">
        <f>(AC112-AC113)*(1-$H$18)</f>
        <v/>
      </c>
      <c r="AD114" s="34">
        <f>(AD112-AD113)*(1-$H$18)</f>
        <v/>
      </c>
      <c r="AE114" s="34">
        <f>(AE112-AE113)*(1-$H$18)</f>
        <v/>
      </c>
      <c r="AF114" s="34">
        <f>(AF112-AF113)*(1-$H$18)</f>
        <v/>
      </c>
      <c r="AG114" s="34">
        <f>(AG112-AG113)*(1-$H$18)</f>
        <v/>
      </c>
      <c r="AH114" s="34">
        <f>(AH112-AH113)*(1-$H$18)</f>
        <v/>
      </c>
      <c r="AI114" s="34">
        <f>(AI112-AI113)*(1-$H$18)</f>
        <v/>
      </c>
      <c r="AJ114" s="34">
        <f>(AJ112-AJ113)*(1-$H$18)</f>
        <v/>
      </c>
      <c r="AK114" s="34">
        <f>(AK112-AK113)*(1-$H$18)</f>
        <v/>
      </c>
      <c r="AL114" s="34">
        <f>(AL112-AL113)*(1-$H$18)</f>
        <v/>
      </c>
      <c r="AM114" s="34">
        <f>(AM112-AM113)*(1-$H$18)</f>
        <v/>
      </c>
      <c r="AN114" s="34">
        <f>(AN112-AN113)*(1-$H$18)</f>
        <v/>
      </c>
      <c r="AO114" s="34">
        <f>(AO112-AO113)*(1-$H$18)</f>
        <v/>
      </c>
      <c r="AP114" s="34">
        <f>(AP112-AP113)*(1-$H$18)</f>
        <v/>
      </c>
      <c r="AQ114" s="34">
        <f>(AQ112-AQ113)*(1-$H$18)</f>
        <v/>
      </c>
      <c r="AR114" s="34">
        <f>(AR112-AR113)*(1-$H$18)</f>
        <v/>
      </c>
      <c r="AS114" s="34">
        <f>(AS112-AS113)*(1-$H$18)</f>
        <v/>
      </c>
      <c r="AT114" s="34">
        <f>(AT112-AT113)*(1-$H$18)</f>
        <v/>
      </c>
      <c r="AU114" s="34">
        <f>(AU112-AU113)*(1-$H$18)</f>
        <v/>
      </c>
      <c r="AV114" s="34">
        <f>(AV112-AV113)*(1-$H$18)</f>
        <v/>
      </c>
      <c r="AW114" s="34">
        <f>(AW112-AW113)*(1-$H$18)</f>
        <v/>
      </c>
      <c r="AX114" s="34">
        <f>(AX112-AX113)*(1-$H$18)</f>
        <v/>
      </c>
      <c r="AY114" s="34">
        <f>(AY112-AY113)*(1-$H$18)</f>
        <v/>
      </c>
      <c r="AZ114" s="34">
        <f>(AZ112-AZ113)*(1-$H$18)</f>
        <v/>
      </c>
      <c r="BA114" s="34">
        <f>(BA112-BA113)*(1-$H$18)</f>
        <v/>
      </c>
      <c r="BB114" s="34">
        <f>(BB112-BB113)*(1-$H$18)</f>
        <v/>
      </c>
      <c r="BC114" s="34">
        <f>(BC112-BC113)*(1-$H$18)</f>
        <v/>
      </c>
      <c r="BD114" s="34">
        <f>(BD112-BD113)*(1-$H$18)</f>
        <v/>
      </c>
    </row>
    <row r="115">
      <c r="A115" s="24" t="inlineStr">
        <is>
          <t xml:space="preserve">   returned to store</t>
        </is>
      </c>
      <c r="B115" s="4" t="inlineStr">
        <is>
          <t>lb</t>
        </is>
      </c>
      <c r="E115" s="34">
        <f>(E112-E113)*$H$18</f>
        <v/>
      </c>
      <c r="F115" s="34">
        <f>(F112-F113)*$H$18</f>
        <v/>
      </c>
      <c r="G115" s="34">
        <f>(G112-G113)*$H$18</f>
        <v/>
      </c>
      <c r="H115" s="34">
        <f>(H112-H113)*$H$18</f>
        <v/>
      </c>
      <c r="I115" s="34">
        <f>(I112-I113)*$H$18</f>
        <v/>
      </c>
      <c r="J115" s="34">
        <f>(J112-J113)*$H$18</f>
        <v/>
      </c>
      <c r="K115" s="34">
        <f>(K112-K113)*$H$18</f>
        <v/>
      </c>
      <c r="L115" s="34">
        <f>(L112-L113)*$H$18</f>
        <v/>
      </c>
      <c r="M115" s="34">
        <f>(M112-M113)*$H$18</f>
        <v/>
      </c>
      <c r="N115" s="34">
        <f>(N112-N113)*$H$18</f>
        <v/>
      </c>
      <c r="O115" s="34">
        <f>(O112-O113)*$H$18</f>
        <v/>
      </c>
      <c r="P115" s="34">
        <f>(P112-P113)*$H$18</f>
        <v/>
      </c>
      <c r="Q115" s="34">
        <f>(Q112-Q113)*$H$18</f>
        <v/>
      </c>
      <c r="R115" s="34">
        <f>(R112-R113)*$H$18</f>
        <v/>
      </c>
      <c r="S115" s="34">
        <f>(S112-S113)*$H$18</f>
        <v/>
      </c>
      <c r="T115" s="34">
        <f>(T112-T113)*$H$18</f>
        <v/>
      </c>
      <c r="U115" s="34">
        <f>(U112-U113)*$H$18</f>
        <v/>
      </c>
      <c r="V115" s="34">
        <f>(V112-V113)*$H$18</f>
        <v/>
      </c>
      <c r="W115" s="34">
        <f>(W112-W113)*$H$18</f>
        <v/>
      </c>
      <c r="X115" s="34">
        <f>(X112-X113)*$H$18</f>
        <v/>
      </c>
      <c r="Y115" s="34">
        <f>(Y112-Y113)*$H$18</f>
        <v/>
      </c>
      <c r="Z115" s="34">
        <f>(Z112-Z113)*$H$18</f>
        <v/>
      </c>
      <c r="AA115" s="34">
        <f>(AA112-AA113)*$H$18</f>
        <v/>
      </c>
      <c r="AB115" s="34">
        <f>(AB112-AB113)*$H$18</f>
        <v/>
      </c>
      <c r="AC115" s="34">
        <f>(AC112-AC113)*$H$18</f>
        <v/>
      </c>
      <c r="AD115" s="34">
        <f>(AD112-AD113)*$H$18</f>
        <v/>
      </c>
      <c r="AE115" s="34">
        <f>(AE112-AE113)*$H$18</f>
        <v/>
      </c>
      <c r="AF115" s="34">
        <f>(AF112-AF113)*$H$18</f>
        <v/>
      </c>
      <c r="AG115" s="34">
        <f>(AG112-AG113)*$H$18</f>
        <v/>
      </c>
      <c r="AH115" s="34">
        <f>(AH112-AH113)*$H$18</f>
        <v/>
      </c>
      <c r="AI115" s="34">
        <f>(AI112-AI113)*$H$18</f>
        <v/>
      </c>
      <c r="AJ115" s="34">
        <f>(AJ112-AJ113)*$H$18</f>
        <v/>
      </c>
      <c r="AK115" s="34">
        <f>(AK112-AK113)*$H$18</f>
        <v/>
      </c>
      <c r="AL115" s="34">
        <f>(AL112-AL113)*$H$18</f>
        <v/>
      </c>
      <c r="AM115" s="34">
        <f>(AM112-AM113)*$H$18</f>
        <v/>
      </c>
      <c r="AN115" s="34">
        <f>(AN112-AN113)*$H$18</f>
        <v/>
      </c>
      <c r="AO115" s="34">
        <f>(AO112-AO113)*$H$18</f>
        <v/>
      </c>
      <c r="AP115" s="34">
        <f>(AP112-AP113)*$H$18</f>
        <v/>
      </c>
      <c r="AQ115" s="34">
        <f>(AQ112-AQ113)*$H$18</f>
        <v/>
      </c>
      <c r="AR115" s="34">
        <f>(AR112-AR113)*$H$18</f>
        <v/>
      </c>
      <c r="AS115" s="34">
        <f>(AS112-AS113)*$H$18</f>
        <v/>
      </c>
      <c r="AT115" s="34">
        <f>(AT112-AT113)*$H$18</f>
        <v/>
      </c>
      <c r="AU115" s="34">
        <f>(AU112-AU113)*$H$18</f>
        <v/>
      </c>
      <c r="AV115" s="34">
        <f>(AV112-AV113)*$H$18</f>
        <v/>
      </c>
      <c r="AW115" s="34">
        <f>(AW112-AW113)*$H$18</f>
        <v/>
      </c>
      <c r="AX115" s="34">
        <f>(AX112-AX113)*$H$18</f>
        <v/>
      </c>
      <c r="AY115" s="34">
        <f>(AY112-AY113)*$H$18</f>
        <v/>
      </c>
      <c r="AZ115" s="34">
        <f>(AZ112-AZ113)*$H$18</f>
        <v/>
      </c>
      <c r="BA115" s="34">
        <f>(BA112-BA113)*$H$18</f>
        <v/>
      </c>
      <c r="BB115" s="34">
        <f>(BB112-BB113)*$H$18</f>
        <v/>
      </c>
      <c r="BC115" s="34">
        <f>(BC112-BC113)*$H$18</f>
        <v/>
      </c>
      <c r="BD115" s="34">
        <f>(BD112-BD113)*$H$18</f>
        <v/>
      </c>
    </row>
    <row r="116">
      <c r="A116" s="24" t="inlineStr">
        <is>
          <t xml:space="preserve">   leaves the store (offered - returned)</t>
        </is>
      </c>
      <c r="B116" s="4" t="inlineStr">
        <is>
          <t>lb</t>
        </is>
      </c>
      <c r="E116" s="34">
        <f>E112-E115</f>
        <v/>
      </c>
      <c r="F116" s="34">
        <f>F112-F115</f>
        <v/>
      </c>
      <c r="G116" s="34">
        <f>G112-G115</f>
        <v/>
      </c>
      <c r="H116" s="34">
        <f>H112-H115</f>
        <v/>
      </c>
      <c r="I116" s="34">
        <f>I112-I115</f>
        <v/>
      </c>
      <c r="J116" s="34">
        <f>J112-J115</f>
        <v/>
      </c>
      <c r="K116" s="34">
        <f>K112-K115</f>
        <v/>
      </c>
      <c r="L116" s="34">
        <f>L112-L115</f>
        <v/>
      </c>
      <c r="M116" s="34">
        <f>M112-M115</f>
        <v/>
      </c>
      <c r="N116" s="34">
        <f>N112-N115</f>
        <v/>
      </c>
      <c r="O116" s="34">
        <f>O112-O115</f>
        <v/>
      </c>
      <c r="P116" s="34">
        <f>P112-P115</f>
        <v/>
      </c>
      <c r="Q116" s="34">
        <f>Q112-Q115</f>
        <v/>
      </c>
      <c r="R116" s="34">
        <f>R112-R115</f>
        <v/>
      </c>
      <c r="S116" s="34">
        <f>S112-S115</f>
        <v/>
      </c>
      <c r="T116" s="34">
        <f>T112-T115</f>
        <v/>
      </c>
      <c r="U116" s="34">
        <f>U112-U115</f>
        <v/>
      </c>
      <c r="V116" s="34">
        <f>V112-V115</f>
        <v/>
      </c>
      <c r="W116" s="34">
        <f>W112-W115</f>
        <v/>
      </c>
      <c r="X116" s="34">
        <f>X112-X115</f>
        <v/>
      </c>
      <c r="Y116" s="34">
        <f>Y112-Y115</f>
        <v/>
      </c>
      <c r="Z116" s="34">
        <f>Z112-Z115</f>
        <v/>
      </c>
      <c r="AA116" s="34">
        <f>AA112-AA115</f>
        <v/>
      </c>
      <c r="AB116" s="34">
        <f>AB112-AB115</f>
        <v/>
      </c>
      <c r="AC116" s="34">
        <f>AC112-AC115</f>
        <v/>
      </c>
      <c r="AD116" s="34">
        <f>AD112-AD115</f>
        <v/>
      </c>
      <c r="AE116" s="34">
        <f>AE112-AE115</f>
        <v/>
      </c>
      <c r="AF116" s="34">
        <f>AF112-AF115</f>
        <v/>
      </c>
      <c r="AG116" s="34">
        <f>AG112-AG115</f>
        <v/>
      </c>
      <c r="AH116" s="34">
        <f>AH112-AH115</f>
        <v/>
      </c>
      <c r="AI116" s="34">
        <f>AI112-AI115</f>
        <v/>
      </c>
      <c r="AJ116" s="34">
        <f>AJ112-AJ115</f>
        <v/>
      </c>
      <c r="AK116" s="34">
        <f>AK112-AK115</f>
        <v/>
      </c>
      <c r="AL116" s="34">
        <f>AL112-AL115</f>
        <v/>
      </c>
      <c r="AM116" s="34">
        <f>AM112-AM115</f>
        <v/>
      </c>
      <c r="AN116" s="34">
        <f>AN112-AN115</f>
        <v/>
      </c>
      <c r="AO116" s="34">
        <f>AO112-AO115</f>
        <v/>
      </c>
      <c r="AP116" s="34">
        <f>AP112-AP115</f>
        <v/>
      </c>
      <c r="AQ116" s="34">
        <f>AQ112-AQ115</f>
        <v/>
      </c>
      <c r="AR116" s="34">
        <f>AR112-AR115</f>
        <v/>
      </c>
      <c r="AS116" s="34">
        <f>AS112-AS115</f>
        <v/>
      </c>
      <c r="AT116" s="34">
        <f>AT112-AT115</f>
        <v/>
      </c>
      <c r="AU116" s="34">
        <f>AU112-AU115</f>
        <v/>
      </c>
      <c r="AV116" s="34">
        <f>AV112-AV115</f>
        <v/>
      </c>
      <c r="AW116" s="34">
        <f>AW112-AW115</f>
        <v/>
      </c>
      <c r="AX116" s="34">
        <f>AX112-AX115</f>
        <v/>
      </c>
      <c r="AY116" s="34">
        <f>AY112-AY115</f>
        <v/>
      </c>
      <c r="AZ116" s="34">
        <f>AZ112-AZ115</f>
        <v/>
      </c>
      <c r="BA116" s="34">
        <f>BA112-BA115</f>
        <v/>
      </c>
      <c r="BB116" s="34">
        <f>BB112-BB115</f>
        <v/>
      </c>
      <c r="BC116" s="34">
        <f>BC112-BC115</f>
        <v/>
      </c>
      <c r="BD116" s="34">
        <f>BD112-BD115</f>
        <v/>
      </c>
    </row>
    <row r="117">
      <c r="A117" s="39" t="inlineStr">
        <is>
          <t>Wholesale — most you may sell this week</t>
        </is>
      </c>
      <c r="B117" s="4" t="inlineStr">
        <is>
          <t>lb</t>
        </is>
      </c>
      <c r="E117" s="40">
        <f>IF($C$19="Annual",$D$19-0,IF(AND(1&gt;=$E$19,1&lt;=$F$19),$D$19,0))</f>
        <v/>
      </c>
      <c r="F117" s="40">
        <f>IF($C$19="Annual",$D$19-SUM(E119:E119),IF(AND(2&gt;=$E$19,2&lt;=$F$19),$D$19,0))</f>
        <v/>
      </c>
      <c r="G117" s="40">
        <f>IF($C$19="Annual",$D$19-SUM(E119:F119),IF(AND(3&gt;=$E$19,3&lt;=$F$19),$D$19,0))</f>
        <v/>
      </c>
      <c r="H117" s="40">
        <f>IF($C$19="Annual",$D$19-SUM(E119:G119),IF(AND(4&gt;=$E$19,4&lt;=$F$19),$D$19,0))</f>
        <v/>
      </c>
      <c r="I117" s="40">
        <f>IF($C$19="Annual",$D$19-SUM(E119:H119),IF(AND(5&gt;=$E$19,5&lt;=$F$19),$D$19,0))</f>
        <v/>
      </c>
      <c r="J117" s="40">
        <f>IF($C$19="Annual",$D$19-SUM(E119:I119),IF(AND(6&gt;=$E$19,6&lt;=$F$19),$D$19,0))</f>
        <v/>
      </c>
      <c r="K117" s="40">
        <f>IF($C$19="Annual",$D$19-SUM(E119:J119),IF(AND(7&gt;=$E$19,7&lt;=$F$19),$D$19,0))</f>
        <v/>
      </c>
      <c r="L117" s="40">
        <f>IF($C$19="Annual",$D$19-SUM(E119:K119),IF(AND(8&gt;=$E$19,8&lt;=$F$19),$D$19,0))</f>
        <v/>
      </c>
      <c r="M117" s="40">
        <f>IF($C$19="Annual",$D$19-SUM(E119:L119),IF(AND(9&gt;=$E$19,9&lt;=$F$19),$D$19,0))</f>
        <v/>
      </c>
      <c r="N117" s="40">
        <f>IF($C$19="Annual",$D$19-SUM(E119:M119),IF(AND(10&gt;=$E$19,10&lt;=$F$19),$D$19,0))</f>
        <v/>
      </c>
      <c r="O117" s="40">
        <f>IF($C$19="Annual",$D$19-SUM(E119:N119),IF(AND(11&gt;=$E$19,11&lt;=$F$19),$D$19,0))</f>
        <v/>
      </c>
      <c r="P117" s="40">
        <f>IF($C$19="Annual",$D$19-SUM(E119:O119),IF(AND(12&gt;=$E$19,12&lt;=$F$19),$D$19,0))</f>
        <v/>
      </c>
      <c r="Q117" s="40">
        <f>IF($C$19="Annual",$D$19-SUM(E119:P119),IF(AND(13&gt;=$E$19,13&lt;=$F$19),$D$19,0))</f>
        <v/>
      </c>
      <c r="R117" s="40">
        <f>IF($C$19="Annual",$D$19-SUM(E119:Q119),IF(AND(14&gt;=$E$19,14&lt;=$F$19),$D$19,0))</f>
        <v/>
      </c>
      <c r="S117" s="40">
        <f>IF($C$19="Annual",$D$19-SUM(E119:R119),IF(AND(15&gt;=$E$19,15&lt;=$F$19),$D$19,0))</f>
        <v/>
      </c>
      <c r="T117" s="40">
        <f>IF($C$19="Annual",$D$19-SUM(E119:S119),IF(AND(16&gt;=$E$19,16&lt;=$F$19),$D$19,0))</f>
        <v/>
      </c>
      <c r="U117" s="40">
        <f>IF($C$19="Annual",$D$19-SUM(E119:T119),IF(AND(17&gt;=$E$19,17&lt;=$F$19),$D$19,0))</f>
        <v/>
      </c>
      <c r="V117" s="40">
        <f>IF($C$19="Annual",$D$19-SUM(E119:U119),IF(AND(18&gt;=$E$19,18&lt;=$F$19),$D$19,0))</f>
        <v/>
      </c>
      <c r="W117" s="40">
        <f>IF($C$19="Annual",$D$19-SUM(E119:V119),IF(AND(19&gt;=$E$19,19&lt;=$F$19),$D$19,0))</f>
        <v/>
      </c>
      <c r="X117" s="40">
        <f>IF($C$19="Annual",$D$19-SUM(E119:W119),IF(AND(20&gt;=$E$19,20&lt;=$F$19),$D$19,0))</f>
        <v/>
      </c>
      <c r="Y117" s="40">
        <f>IF($C$19="Annual",$D$19-SUM(E119:X119),IF(AND(21&gt;=$E$19,21&lt;=$F$19),$D$19,0))</f>
        <v/>
      </c>
      <c r="Z117" s="40">
        <f>IF($C$19="Annual",$D$19-SUM(E119:Y119),IF(AND(22&gt;=$E$19,22&lt;=$F$19),$D$19,0))</f>
        <v/>
      </c>
      <c r="AA117" s="40">
        <f>IF($C$19="Annual",$D$19-SUM(E119:Z119),IF(AND(23&gt;=$E$19,23&lt;=$F$19),$D$19,0))</f>
        <v/>
      </c>
      <c r="AB117" s="40">
        <f>IF($C$19="Annual",$D$19-SUM(E119:AA119),IF(AND(24&gt;=$E$19,24&lt;=$F$19),$D$19,0))</f>
        <v/>
      </c>
      <c r="AC117" s="40">
        <f>IF($C$19="Annual",$D$19-SUM(E119:AB119),IF(AND(25&gt;=$E$19,25&lt;=$F$19),$D$19,0))</f>
        <v/>
      </c>
      <c r="AD117" s="40">
        <f>IF($C$19="Annual",$D$19-SUM(E119:AC119),IF(AND(26&gt;=$E$19,26&lt;=$F$19),$D$19,0))</f>
        <v/>
      </c>
      <c r="AE117" s="40">
        <f>IF($C$19="Annual",$D$19-SUM(E119:AD119),IF(AND(27&gt;=$E$19,27&lt;=$F$19),$D$19,0))</f>
        <v/>
      </c>
      <c r="AF117" s="40">
        <f>IF($C$19="Annual",$D$19-SUM(E119:AE119),IF(AND(28&gt;=$E$19,28&lt;=$F$19),$D$19,0))</f>
        <v/>
      </c>
      <c r="AG117" s="40">
        <f>IF($C$19="Annual",$D$19-SUM(E119:AF119),IF(AND(29&gt;=$E$19,29&lt;=$F$19),$D$19,0))</f>
        <v/>
      </c>
      <c r="AH117" s="40">
        <f>IF($C$19="Annual",$D$19-SUM(E119:AG119),IF(AND(30&gt;=$E$19,30&lt;=$F$19),$D$19,0))</f>
        <v/>
      </c>
      <c r="AI117" s="40">
        <f>IF($C$19="Annual",$D$19-SUM(E119:AH119),IF(AND(31&gt;=$E$19,31&lt;=$F$19),$D$19,0))</f>
        <v/>
      </c>
      <c r="AJ117" s="40">
        <f>IF($C$19="Annual",$D$19-SUM(E119:AI119),IF(AND(32&gt;=$E$19,32&lt;=$F$19),$D$19,0))</f>
        <v/>
      </c>
      <c r="AK117" s="40">
        <f>IF($C$19="Annual",$D$19-SUM(E119:AJ119),IF(AND(33&gt;=$E$19,33&lt;=$F$19),$D$19,0))</f>
        <v/>
      </c>
      <c r="AL117" s="40">
        <f>IF($C$19="Annual",$D$19-SUM(E119:AK119),IF(AND(34&gt;=$E$19,34&lt;=$F$19),$D$19,0))</f>
        <v/>
      </c>
      <c r="AM117" s="40">
        <f>IF($C$19="Annual",$D$19-SUM(E119:AL119),IF(AND(35&gt;=$E$19,35&lt;=$F$19),$D$19,0))</f>
        <v/>
      </c>
      <c r="AN117" s="40">
        <f>IF($C$19="Annual",$D$19-SUM(E119:AM119),IF(AND(36&gt;=$E$19,36&lt;=$F$19),$D$19,0))</f>
        <v/>
      </c>
      <c r="AO117" s="40">
        <f>IF($C$19="Annual",$D$19-SUM(E119:AN119),IF(AND(37&gt;=$E$19,37&lt;=$F$19),$D$19,0))</f>
        <v/>
      </c>
      <c r="AP117" s="40">
        <f>IF($C$19="Annual",$D$19-SUM(E119:AO119),IF(AND(38&gt;=$E$19,38&lt;=$F$19),$D$19,0))</f>
        <v/>
      </c>
      <c r="AQ117" s="40">
        <f>IF($C$19="Annual",$D$19-SUM(E119:AP119),IF(AND(39&gt;=$E$19,39&lt;=$F$19),$D$19,0))</f>
        <v/>
      </c>
      <c r="AR117" s="40">
        <f>IF($C$19="Annual",$D$19-SUM(E119:AQ119),IF(AND(40&gt;=$E$19,40&lt;=$F$19),$D$19,0))</f>
        <v/>
      </c>
      <c r="AS117" s="40">
        <f>IF($C$19="Annual",$D$19-SUM(E119:AR119),IF(AND(41&gt;=$E$19,41&lt;=$F$19),$D$19,0))</f>
        <v/>
      </c>
      <c r="AT117" s="40">
        <f>IF($C$19="Annual",$D$19-SUM(E119:AS119),IF(AND(42&gt;=$E$19,42&lt;=$F$19),$D$19,0))</f>
        <v/>
      </c>
      <c r="AU117" s="40">
        <f>IF($C$19="Annual",$D$19-SUM(E119:AT119),IF(AND(43&gt;=$E$19,43&lt;=$F$19),$D$19,0))</f>
        <v/>
      </c>
      <c r="AV117" s="40">
        <f>IF($C$19="Annual",$D$19-SUM(E119:AU119),IF(AND(44&gt;=$E$19,44&lt;=$F$19),$D$19,0))</f>
        <v/>
      </c>
      <c r="AW117" s="40">
        <f>IF($C$19="Annual",$D$19-SUM(E119:AV119),IF(AND(45&gt;=$E$19,45&lt;=$F$19),$D$19,0))</f>
        <v/>
      </c>
      <c r="AX117" s="40">
        <f>IF($C$19="Annual",$D$19-SUM(E119:AW119),IF(AND(46&gt;=$E$19,46&lt;=$F$19),$D$19,0))</f>
        <v/>
      </c>
      <c r="AY117" s="40">
        <f>IF($C$19="Annual",$D$19-SUM(E119:AX119),IF(AND(47&gt;=$E$19,47&lt;=$F$19),$D$19,0))</f>
        <v/>
      </c>
      <c r="AZ117" s="40">
        <f>IF($C$19="Annual",$D$19-SUM(E119:AY119),IF(AND(48&gt;=$E$19,48&lt;=$F$19),$D$19,0))</f>
        <v/>
      </c>
      <c r="BA117" s="40">
        <f>IF($C$19="Annual",$D$19-SUM(E119:AZ119),IF(AND(49&gt;=$E$19,49&lt;=$F$19),$D$19,0))</f>
        <v/>
      </c>
      <c r="BB117" s="40">
        <f>IF($C$19="Annual",$D$19-SUM(E119:BA119),IF(AND(50&gt;=$E$19,50&lt;=$F$19),$D$19,0))</f>
        <v/>
      </c>
      <c r="BC117" s="40">
        <f>IF($C$19="Annual",$D$19-SUM(E119:BB119),IF(AND(51&gt;=$E$19,51&lt;=$F$19),$D$19,0))</f>
        <v/>
      </c>
      <c r="BD117" s="40">
        <f>IF($C$19="Annual",$D$19-SUM(E119:BC119),IF(AND(52&gt;=$E$19,52&lt;=$F$19),$D$19,0))</f>
        <v/>
      </c>
    </row>
    <row r="118">
      <c r="A118" s="20" t="inlineStr">
        <is>
          <t>Wholesale — OFFERED</t>
        </is>
      </c>
      <c r="B118" s="4" t="inlineStr">
        <is>
          <t>lb  &lt;-- SOLVER</t>
        </is>
      </c>
      <c r="E118" s="37" t="n">
        <v>0</v>
      </c>
      <c r="F118" s="37" t="n">
        <v>0</v>
      </c>
      <c r="G118" s="37" t="n">
        <v>0</v>
      </c>
      <c r="H118" s="37" t="n">
        <v>0</v>
      </c>
      <c r="I118" s="37" t="n">
        <v>0</v>
      </c>
      <c r="J118" s="37" t="n">
        <v>0</v>
      </c>
      <c r="K118" s="37" t="n">
        <v>0</v>
      </c>
      <c r="L118" s="37" t="n">
        <v>0</v>
      </c>
      <c r="M118" s="37" t="n">
        <v>0</v>
      </c>
      <c r="N118" s="37" t="n">
        <v>0</v>
      </c>
      <c r="O118" s="37" t="n">
        <v>0</v>
      </c>
      <c r="P118" s="37" t="n">
        <v>0</v>
      </c>
      <c r="Q118" s="37" t="n">
        <v>0</v>
      </c>
      <c r="R118" s="37" t="n">
        <v>0</v>
      </c>
      <c r="S118" s="37" t="n">
        <v>0</v>
      </c>
      <c r="T118" s="37" t="n">
        <v>0</v>
      </c>
      <c r="U118" s="37" t="n">
        <v>0</v>
      </c>
      <c r="V118" s="37" t="n">
        <v>0</v>
      </c>
      <c r="W118" s="37" t="n">
        <v>0</v>
      </c>
      <c r="X118" s="37" t="n">
        <v>0</v>
      </c>
      <c r="Y118" s="37" t="n">
        <v>0</v>
      </c>
      <c r="Z118" s="37" t="n">
        <v>0</v>
      </c>
      <c r="AA118" s="37" t="n">
        <v>0</v>
      </c>
      <c r="AB118" s="37" t="n">
        <v>0</v>
      </c>
      <c r="AC118" s="37" t="n">
        <v>0</v>
      </c>
      <c r="AD118" s="37" t="n">
        <v>0</v>
      </c>
      <c r="AE118" s="37" t="n">
        <v>0</v>
      </c>
      <c r="AF118" s="37" t="n">
        <v>0</v>
      </c>
      <c r="AG118" s="37" t="n">
        <v>0</v>
      </c>
      <c r="AH118" s="37" t="n">
        <v>0</v>
      </c>
      <c r="AI118" s="37" t="n">
        <v>0</v>
      </c>
      <c r="AJ118" s="37" t="n">
        <v>0</v>
      </c>
      <c r="AK118" s="37" t="n">
        <v>0</v>
      </c>
      <c r="AL118" s="37" t="n">
        <v>0</v>
      </c>
      <c r="AM118" s="37" t="n">
        <v>0</v>
      </c>
      <c r="AN118" s="37" t="n">
        <v>0</v>
      </c>
      <c r="AO118" s="37" t="n">
        <v>0</v>
      </c>
      <c r="AP118" s="37" t="n">
        <v>0</v>
      </c>
      <c r="AQ118" s="37" t="n">
        <v>0</v>
      </c>
      <c r="AR118" s="37" t="n">
        <v>0</v>
      </c>
      <c r="AS118" s="37" t="n">
        <v>0</v>
      </c>
      <c r="AT118" s="37" t="n">
        <v>0</v>
      </c>
      <c r="AU118" s="37" t="n">
        <v>0</v>
      </c>
      <c r="AV118" s="37" t="n">
        <v>0</v>
      </c>
      <c r="AW118" s="37" t="n">
        <v>0</v>
      </c>
      <c r="AX118" s="37" t="n">
        <v>0</v>
      </c>
      <c r="AY118" s="37" t="n">
        <v>0</v>
      </c>
      <c r="AZ118" s="37" t="n">
        <v>0</v>
      </c>
      <c r="BA118" s="37" t="n">
        <v>0</v>
      </c>
      <c r="BB118" s="37" t="n">
        <v>0</v>
      </c>
      <c r="BC118" s="37" t="n">
        <v>0</v>
      </c>
      <c r="BD118" s="37" t="n">
        <v>0</v>
      </c>
    </row>
    <row r="119">
      <c r="A119" s="41" t="inlineStr">
        <is>
          <t>Wholesale — SOLD</t>
        </is>
      </c>
      <c r="B119" s="4" t="inlineStr">
        <is>
          <t>lb</t>
        </is>
      </c>
      <c r="E119" s="40">
        <f>E118*$G$19</f>
        <v/>
      </c>
      <c r="F119" s="40">
        <f>F118*$G$19</f>
        <v/>
      </c>
      <c r="G119" s="40">
        <f>G118*$G$19</f>
        <v/>
      </c>
      <c r="H119" s="40">
        <f>H118*$G$19</f>
        <v/>
      </c>
      <c r="I119" s="40">
        <f>I118*$G$19</f>
        <v/>
      </c>
      <c r="J119" s="40">
        <f>J118*$G$19</f>
        <v/>
      </c>
      <c r="K119" s="40">
        <f>K118*$G$19</f>
        <v/>
      </c>
      <c r="L119" s="40">
        <f>L118*$G$19</f>
        <v/>
      </c>
      <c r="M119" s="40">
        <f>M118*$G$19</f>
        <v/>
      </c>
      <c r="N119" s="40">
        <f>N118*$G$19</f>
        <v/>
      </c>
      <c r="O119" s="40">
        <f>O118*$G$19</f>
        <v/>
      </c>
      <c r="P119" s="40">
        <f>P118*$G$19</f>
        <v/>
      </c>
      <c r="Q119" s="40">
        <f>Q118*$G$19</f>
        <v/>
      </c>
      <c r="R119" s="40">
        <f>R118*$G$19</f>
        <v/>
      </c>
      <c r="S119" s="40">
        <f>S118*$G$19</f>
        <v/>
      </c>
      <c r="T119" s="40">
        <f>T118*$G$19</f>
        <v/>
      </c>
      <c r="U119" s="40">
        <f>U118*$G$19</f>
        <v/>
      </c>
      <c r="V119" s="40">
        <f>V118*$G$19</f>
        <v/>
      </c>
      <c r="W119" s="40">
        <f>W118*$G$19</f>
        <v/>
      </c>
      <c r="X119" s="40">
        <f>X118*$G$19</f>
        <v/>
      </c>
      <c r="Y119" s="40">
        <f>Y118*$G$19</f>
        <v/>
      </c>
      <c r="Z119" s="40">
        <f>Z118*$G$19</f>
        <v/>
      </c>
      <c r="AA119" s="40">
        <f>AA118*$G$19</f>
        <v/>
      </c>
      <c r="AB119" s="40">
        <f>AB118*$G$19</f>
        <v/>
      </c>
      <c r="AC119" s="40">
        <f>AC118*$G$19</f>
        <v/>
      </c>
      <c r="AD119" s="40">
        <f>AD118*$G$19</f>
        <v/>
      </c>
      <c r="AE119" s="40">
        <f>AE118*$G$19</f>
        <v/>
      </c>
      <c r="AF119" s="40">
        <f>AF118*$G$19</f>
        <v/>
      </c>
      <c r="AG119" s="40">
        <f>AG118*$G$19</f>
        <v/>
      </c>
      <c r="AH119" s="40">
        <f>AH118*$G$19</f>
        <v/>
      </c>
      <c r="AI119" s="40">
        <f>AI118*$G$19</f>
        <v/>
      </c>
      <c r="AJ119" s="40">
        <f>AJ118*$G$19</f>
        <v/>
      </c>
      <c r="AK119" s="40">
        <f>AK118*$G$19</f>
        <v/>
      </c>
      <c r="AL119" s="40">
        <f>AL118*$G$19</f>
        <v/>
      </c>
      <c r="AM119" s="40">
        <f>AM118*$G$19</f>
        <v/>
      </c>
      <c r="AN119" s="40">
        <f>AN118*$G$19</f>
        <v/>
      </c>
      <c r="AO119" s="40">
        <f>AO118*$G$19</f>
        <v/>
      </c>
      <c r="AP119" s="40">
        <f>AP118*$G$19</f>
        <v/>
      </c>
      <c r="AQ119" s="40">
        <f>AQ118*$G$19</f>
        <v/>
      </c>
      <c r="AR119" s="40">
        <f>AR118*$G$19</f>
        <v/>
      </c>
      <c r="AS119" s="40">
        <f>AS118*$G$19</f>
        <v/>
      </c>
      <c r="AT119" s="40">
        <f>AT118*$G$19</f>
        <v/>
      </c>
      <c r="AU119" s="40">
        <f>AU118*$G$19</f>
        <v/>
      </c>
      <c r="AV119" s="40">
        <f>AV118*$G$19</f>
        <v/>
      </c>
      <c r="AW119" s="40">
        <f>AW118*$G$19</f>
        <v/>
      </c>
      <c r="AX119" s="40">
        <f>AX118*$G$19</f>
        <v/>
      </c>
      <c r="AY119" s="40">
        <f>AY118*$G$19</f>
        <v/>
      </c>
      <c r="AZ119" s="40">
        <f>AZ118*$G$19</f>
        <v/>
      </c>
      <c r="BA119" s="40">
        <f>BA118*$G$19</f>
        <v/>
      </c>
      <c r="BB119" s="40">
        <f>BB118*$G$19</f>
        <v/>
      </c>
      <c r="BC119" s="40">
        <f>BC118*$G$19</f>
        <v/>
      </c>
      <c r="BD119" s="40">
        <f>BD118*$G$19</f>
        <v/>
      </c>
    </row>
    <row r="120">
      <c r="A120" s="24" t="inlineStr">
        <is>
          <t xml:space="preserve">   market loss (gone)</t>
        </is>
      </c>
      <c r="B120" s="4" t="inlineStr">
        <is>
          <t>lb</t>
        </is>
      </c>
      <c r="E120" s="34">
        <f>(E118-E119)*(1-$H$19)</f>
        <v/>
      </c>
      <c r="F120" s="34">
        <f>(F118-F119)*(1-$H$19)</f>
        <v/>
      </c>
      <c r="G120" s="34">
        <f>(G118-G119)*(1-$H$19)</f>
        <v/>
      </c>
      <c r="H120" s="34">
        <f>(H118-H119)*(1-$H$19)</f>
        <v/>
      </c>
      <c r="I120" s="34">
        <f>(I118-I119)*(1-$H$19)</f>
        <v/>
      </c>
      <c r="J120" s="34">
        <f>(J118-J119)*(1-$H$19)</f>
        <v/>
      </c>
      <c r="K120" s="34">
        <f>(K118-K119)*(1-$H$19)</f>
        <v/>
      </c>
      <c r="L120" s="34">
        <f>(L118-L119)*(1-$H$19)</f>
        <v/>
      </c>
      <c r="M120" s="34">
        <f>(M118-M119)*(1-$H$19)</f>
        <v/>
      </c>
      <c r="N120" s="34">
        <f>(N118-N119)*(1-$H$19)</f>
        <v/>
      </c>
      <c r="O120" s="34">
        <f>(O118-O119)*(1-$H$19)</f>
        <v/>
      </c>
      <c r="P120" s="34">
        <f>(P118-P119)*(1-$H$19)</f>
        <v/>
      </c>
      <c r="Q120" s="34">
        <f>(Q118-Q119)*(1-$H$19)</f>
        <v/>
      </c>
      <c r="R120" s="34">
        <f>(R118-R119)*(1-$H$19)</f>
        <v/>
      </c>
      <c r="S120" s="34">
        <f>(S118-S119)*(1-$H$19)</f>
        <v/>
      </c>
      <c r="T120" s="34">
        <f>(T118-T119)*(1-$H$19)</f>
        <v/>
      </c>
      <c r="U120" s="34">
        <f>(U118-U119)*(1-$H$19)</f>
        <v/>
      </c>
      <c r="V120" s="34">
        <f>(V118-V119)*(1-$H$19)</f>
        <v/>
      </c>
      <c r="W120" s="34">
        <f>(W118-W119)*(1-$H$19)</f>
        <v/>
      </c>
      <c r="X120" s="34">
        <f>(X118-X119)*(1-$H$19)</f>
        <v/>
      </c>
      <c r="Y120" s="34">
        <f>(Y118-Y119)*(1-$H$19)</f>
        <v/>
      </c>
      <c r="Z120" s="34">
        <f>(Z118-Z119)*(1-$H$19)</f>
        <v/>
      </c>
      <c r="AA120" s="34">
        <f>(AA118-AA119)*(1-$H$19)</f>
        <v/>
      </c>
      <c r="AB120" s="34">
        <f>(AB118-AB119)*(1-$H$19)</f>
        <v/>
      </c>
      <c r="AC120" s="34">
        <f>(AC118-AC119)*(1-$H$19)</f>
        <v/>
      </c>
      <c r="AD120" s="34">
        <f>(AD118-AD119)*(1-$H$19)</f>
        <v/>
      </c>
      <c r="AE120" s="34">
        <f>(AE118-AE119)*(1-$H$19)</f>
        <v/>
      </c>
      <c r="AF120" s="34">
        <f>(AF118-AF119)*(1-$H$19)</f>
        <v/>
      </c>
      <c r="AG120" s="34">
        <f>(AG118-AG119)*(1-$H$19)</f>
        <v/>
      </c>
      <c r="AH120" s="34">
        <f>(AH118-AH119)*(1-$H$19)</f>
        <v/>
      </c>
      <c r="AI120" s="34">
        <f>(AI118-AI119)*(1-$H$19)</f>
        <v/>
      </c>
      <c r="AJ120" s="34">
        <f>(AJ118-AJ119)*(1-$H$19)</f>
        <v/>
      </c>
      <c r="AK120" s="34">
        <f>(AK118-AK119)*(1-$H$19)</f>
        <v/>
      </c>
      <c r="AL120" s="34">
        <f>(AL118-AL119)*(1-$H$19)</f>
        <v/>
      </c>
      <c r="AM120" s="34">
        <f>(AM118-AM119)*(1-$H$19)</f>
        <v/>
      </c>
      <c r="AN120" s="34">
        <f>(AN118-AN119)*(1-$H$19)</f>
        <v/>
      </c>
      <c r="AO120" s="34">
        <f>(AO118-AO119)*(1-$H$19)</f>
        <v/>
      </c>
      <c r="AP120" s="34">
        <f>(AP118-AP119)*(1-$H$19)</f>
        <v/>
      </c>
      <c r="AQ120" s="34">
        <f>(AQ118-AQ119)*(1-$H$19)</f>
        <v/>
      </c>
      <c r="AR120" s="34">
        <f>(AR118-AR119)*(1-$H$19)</f>
        <v/>
      </c>
      <c r="AS120" s="34">
        <f>(AS118-AS119)*(1-$H$19)</f>
        <v/>
      </c>
      <c r="AT120" s="34">
        <f>(AT118-AT119)*(1-$H$19)</f>
        <v/>
      </c>
      <c r="AU120" s="34">
        <f>(AU118-AU119)*(1-$H$19)</f>
        <v/>
      </c>
      <c r="AV120" s="34">
        <f>(AV118-AV119)*(1-$H$19)</f>
        <v/>
      </c>
      <c r="AW120" s="34">
        <f>(AW118-AW119)*(1-$H$19)</f>
        <v/>
      </c>
      <c r="AX120" s="34">
        <f>(AX118-AX119)*(1-$H$19)</f>
        <v/>
      </c>
      <c r="AY120" s="34">
        <f>(AY118-AY119)*(1-$H$19)</f>
        <v/>
      </c>
      <c r="AZ120" s="34">
        <f>(AZ118-AZ119)*(1-$H$19)</f>
        <v/>
      </c>
      <c r="BA120" s="34">
        <f>(BA118-BA119)*(1-$H$19)</f>
        <v/>
      </c>
      <c r="BB120" s="34">
        <f>(BB118-BB119)*(1-$H$19)</f>
        <v/>
      </c>
      <c r="BC120" s="34">
        <f>(BC118-BC119)*(1-$H$19)</f>
        <v/>
      </c>
      <c r="BD120" s="34">
        <f>(BD118-BD119)*(1-$H$19)</f>
        <v/>
      </c>
    </row>
    <row r="121">
      <c r="A121" s="24" t="inlineStr">
        <is>
          <t xml:space="preserve">   returned to store</t>
        </is>
      </c>
      <c r="B121" s="4" t="inlineStr">
        <is>
          <t>lb</t>
        </is>
      </c>
      <c r="E121" s="34">
        <f>(E118-E119)*$H$19</f>
        <v/>
      </c>
      <c r="F121" s="34">
        <f>(F118-F119)*$H$19</f>
        <v/>
      </c>
      <c r="G121" s="34">
        <f>(G118-G119)*$H$19</f>
        <v/>
      </c>
      <c r="H121" s="34">
        <f>(H118-H119)*$H$19</f>
        <v/>
      </c>
      <c r="I121" s="34">
        <f>(I118-I119)*$H$19</f>
        <v/>
      </c>
      <c r="J121" s="34">
        <f>(J118-J119)*$H$19</f>
        <v/>
      </c>
      <c r="K121" s="34">
        <f>(K118-K119)*$H$19</f>
        <v/>
      </c>
      <c r="L121" s="34">
        <f>(L118-L119)*$H$19</f>
        <v/>
      </c>
      <c r="M121" s="34">
        <f>(M118-M119)*$H$19</f>
        <v/>
      </c>
      <c r="N121" s="34">
        <f>(N118-N119)*$H$19</f>
        <v/>
      </c>
      <c r="O121" s="34">
        <f>(O118-O119)*$H$19</f>
        <v/>
      </c>
      <c r="P121" s="34">
        <f>(P118-P119)*$H$19</f>
        <v/>
      </c>
      <c r="Q121" s="34">
        <f>(Q118-Q119)*$H$19</f>
        <v/>
      </c>
      <c r="R121" s="34">
        <f>(R118-R119)*$H$19</f>
        <v/>
      </c>
      <c r="S121" s="34">
        <f>(S118-S119)*$H$19</f>
        <v/>
      </c>
      <c r="T121" s="34">
        <f>(T118-T119)*$H$19</f>
        <v/>
      </c>
      <c r="U121" s="34">
        <f>(U118-U119)*$H$19</f>
        <v/>
      </c>
      <c r="V121" s="34">
        <f>(V118-V119)*$H$19</f>
        <v/>
      </c>
      <c r="W121" s="34">
        <f>(W118-W119)*$H$19</f>
        <v/>
      </c>
      <c r="X121" s="34">
        <f>(X118-X119)*$H$19</f>
        <v/>
      </c>
      <c r="Y121" s="34">
        <f>(Y118-Y119)*$H$19</f>
        <v/>
      </c>
      <c r="Z121" s="34">
        <f>(Z118-Z119)*$H$19</f>
        <v/>
      </c>
      <c r="AA121" s="34">
        <f>(AA118-AA119)*$H$19</f>
        <v/>
      </c>
      <c r="AB121" s="34">
        <f>(AB118-AB119)*$H$19</f>
        <v/>
      </c>
      <c r="AC121" s="34">
        <f>(AC118-AC119)*$H$19</f>
        <v/>
      </c>
      <c r="AD121" s="34">
        <f>(AD118-AD119)*$H$19</f>
        <v/>
      </c>
      <c r="AE121" s="34">
        <f>(AE118-AE119)*$H$19</f>
        <v/>
      </c>
      <c r="AF121" s="34">
        <f>(AF118-AF119)*$H$19</f>
        <v/>
      </c>
      <c r="AG121" s="34">
        <f>(AG118-AG119)*$H$19</f>
        <v/>
      </c>
      <c r="AH121" s="34">
        <f>(AH118-AH119)*$H$19</f>
        <v/>
      </c>
      <c r="AI121" s="34">
        <f>(AI118-AI119)*$H$19</f>
        <v/>
      </c>
      <c r="AJ121" s="34">
        <f>(AJ118-AJ119)*$H$19</f>
        <v/>
      </c>
      <c r="AK121" s="34">
        <f>(AK118-AK119)*$H$19</f>
        <v/>
      </c>
      <c r="AL121" s="34">
        <f>(AL118-AL119)*$H$19</f>
        <v/>
      </c>
      <c r="AM121" s="34">
        <f>(AM118-AM119)*$H$19</f>
        <v/>
      </c>
      <c r="AN121" s="34">
        <f>(AN118-AN119)*$H$19</f>
        <v/>
      </c>
      <c r="AO121" s="34">
        <f>(AO118-AO119)*$H$19</f>
        <v/>
      </c>
      <c r="AP121" s="34">
        <f>(AP118-AP119)*$H$19</f>
        <v/>
      </c>
      <c r="AQ121" s="34">
        <f>(AQ118-AQ119)*$H$19</f>
        <v/>
      </c>
      <c r="AR121" s="34">
        <f>(AR118-AR119)*$H$19</f>
        <v/>
      </c>
      <c r="AS121" s="34">
        <f>(AS118-AS119)*$H$19</f>
        <v/>
      </c>
      <c r="AT121" s="34">
        <f>(AT118-AT119)*$H$19</f>
        <v/>
      </c>
      <c r="AU121" s="34">
        <f>(AU118-AU119)*$H$19</f>
        <v/>
      </c>
      <c r="AV121" s="34">
        <f>(AV118-AV119)*$H$19</f>
        <v/>
      </c>
      <c r="AW121" s="34">
        <f>(AW118-AW119)*$H$19</f>
        <v/>
      </c>
      <c r="AX121" s="34">
        <f>(AX118-AX119)*$H$19</f>
        <v/>
      </c>
      <c r="AY121" s="34">
        <f>(AY118-AY119)*$H$19</f>
        <v/>
      </c>
      <c r="AZ121" s="34">
        <f>(AZ118-AZ119)*$H$19</f>
        <v/>
      </c>
      <c r="BA121" s="34">
        <f>(BA118-BA119)*$H$19</f>
        <v/>
      </c>
      <c r="BB121" s="34">
        <f>(BB118-BB119)*$H$19</f>
        <v/>
      </c>
      <c r="BC121" s="34">
        <f>(BC118-BC119)*$H$19</f>
        <v/>
      </c>
      <c r="BD121" s="34">
        <f>(BD118-BD119)*$H$19</f>
        <v/>
      </c>
    </row>
    <row r="122">
      <c r="A122" s="24" t="inlineStr">
        <is>
          <t xml:space="preserve">   leaves the store (offered - returned)</t>
        </is>
      </c>
      <c r="B122" s="4" t="inlineStr">
        <is>
          <t>lb</t>
        </is>
      </c>
      <c r="E122" s="34">
        <f>E118-E121</f>
        <v/>
      </c>
      <c r="F122" s="34">
        <f>F118-F121</f>
        <v/>
      </c>
      <c r="G122" s="34">
        <f>G118-G121</f>
        <v/>
      </c>
      <c r="H122" s="34">
        <f>H118-H121</f>
        <v/>
      </c>
      <c r="I122" s="34">
        <f>I118-I121</f>
        <v/>
      </c>
      <c r="J122" s="34">
        <f>J118-J121</f>
        <v/>
      </c>
      <c r="K122" s="34">
        <f>K118-K121</f>
        <v/>
      </c>
      <c r="L122" s="34">
        <f>L118-L121</f>
        <v/>
      </c>
      <c r="M122" s="34">
        <f>M118-M121</f>
        <v/>
      </c>
      <c r="N122" s="34">
        <f>N118-N121</f>
        <v/>
      </c>
      <c r="O122" s="34">
        <f>O118-O121</f>
        <v/>
      </c>
      <c r="P122" s="34">
        <f>P118-P121</f>
        <v/>
      </c>
      <c r="Q122" s="34">
        <f>Q118-Q121</f>
        <v/>
      </c>
      <c r="R122" s="34">
        <f>R118-R121</f>
        <v/>
      </c>
      <c r="S122" s="34">
        <f>S118-S121</f>
        <v/>
      </c>
      <c r="T122" s="34">
        <f>T118-T121</f>
        <v/>
      </c>
      <c r="U122" s="34">
        <f>U118-U121</f>
        <v/>
      </c>
      <c r="V122" s="34">
        <f>V118-V121</f>
        <v/>
      </c>
      <c r="W122" s="34">
        <f>W118-W121</f>
        <v/>
      </c>
      <c r="X122" s="34">
        <f>X118-X121</f>
        <v/>
      </c>
      <c r="Y122" s="34">
        <f>Y118-Y121</f>
        <v/>
      </c>
      <c r="Z122" s="34">
        <f>Z118-Z121</f>
        <v/>
      </c>
      <c r="AA122" s="34">
        <f>AA118-AA121</f>
        <v/>
      </c>
      <c r="AB122" s="34">
        <f>AB118-AB121</f>
        <v/>
      </c>
      <c r="AC122" s="34">
        <f>AC118-AC121</f>
        <v/>
      </c>
      <c r="AD122" s="34">
        <f>AD118-AD121</f>
        <v/>
      </c>
      <c r="AE122" s="34">
        <f>AE118-AE121</f>
        <v/>
      </c>
      <c r="AF122" s="34">
        <f>AF118-AF121</f>
        <v/>
      </c>
      <c r="AG122" s="34">
        <f>AG118-AG121</f>
        <v/>
      </c>
      <c r="AH122" s="34">
        <f>AH118-AH121</f>
        <v/>
      </c>
      <c r="AI122" s="34">
        <f>AI118-AI121</f>
        <v/>
      </c>
      <c r="AJ122" s="34">
        <f>AJ118-AJ121</f>
        <v/>
      </c>
      <c r="AK122" s="34">
        <f>AK118-AK121</f>
        <v/>
      </c>
      <c r="AL122" s="34">
        <f>AL118-AL121</f>
        <v/>
      </c>
      <c r="AM122" s="34">
        <f>AM118-AM121</f>
        <v/>
      </c>
      <c r="AN122" s="34">
        <f>AN118-AN121</f>
        <v/>
      </c>
      <c r="AO122" s="34">
        <f>AO118-AO121</f>
        <v/>
      </c>
      <c r="AP122" s="34">
        <f>AP118-AP121</f>
        <v/>
      </c>
      <c r="AQ122" s="34">
        <f>AQ118-AQ121</f>
        <v/>
      </c>
      <c r="AR122" s="34">
        <f>AR118-AR121</f>
        <v/>
      </c>
      <c r="AS122" s="34">
        <f>AS118-AS121</f>
        <v/>
      </c>
      <c r="AT122" s="34">
        <f>AT118-AT121</f>
        <v/>
      </c>
      <c r="AU122" s="34">
        <f>AU118-AU121</f>
        <v/>
      </c>
      <c r="AV122" s="34">
        <f>AV118-AV121</f>
        <v/>
      </c>
      <c r="AW122" s="34">
        <f>AW118-AW121</f>
        <v/>
      </c>
      <c r="AX122" s="34">
        <f>AX118-AX121</f>
        <v/>
      </c>
      <c r="AY122" s="34">
        <f>AY118-AY121</f>
        <v/>
      </c>
      <c r="AZ122" s="34">
        <f>AZ118-AZ121</f>
        <v/>
      </c>
      <c r="BA122" s="34">
        <f>BA118-BA121</f>
        <v/>
      </c>
      <c r="BB122" s="34">
        <f>BB118-BB121</f>
        <v/>
      </c>
      <c r="BC122" s="34">
        <f>BC118-BC121</f>
        <v/>
      </c>
      <c r="BD122" s="34">
        <f>BD118-BD121</f>
        <v/>
      </c>
    </row>
    <row r="123">
      <c r="A123" s="3" t="inlineStr">
        <is>
          <t>Stock carried out</t>
        </is>
      </c>
      <c r="B123" s="4" t="inlineStr">
        <is>
          <t>lb</t>
        </is>
      </c>
      <c r="E123" s="34">
        <f>E110-E116-E122</f>
        <v/>
      </c>
      <c r="F123" s="34">
        <f>F110-F116-F122</f>
        <v/>
      </c>
      <c r="G123" s="34">
        <f>G110-G116-G122</f>
        <v/>
      </c>
      <c r="H123" s="34">
        <f>H110-H116-H122</f>
        <v/>
      </c>
      <c r="I123" s="34">
        <f>I110-I116-I122</f>
        <v/>
      </c>
      <c r="J123" s="34">
        <f>J110-J116-J122</f>
        <v/>
      </c>
      <c r="K123" s="34">
        <f>K110-K116-K122</f>
        <v/>
      </c>
      <c r="L123" s="34">
        <f>L110-L116-L122</f>
        <v/>
      </c>
      <c r="M123" s="34">
        <f>M110-M116-M122</f>
        <v/>
      </c>
      <c r="N123" s="34">
        <f>N110-N116-N122</f>
        <v/>
      </c>
      <c r="O123" s="34">
        <f>O110-O116-O122</f>
        <v/>
      </c>
      <c r="P123" s="34">
        <f>P110-P116-P122</f>
        <v/>
      </c>
      <c r="Q123" s="34">
        <f>Q110-Q116-Q122</f>
        <v/>
      </c>
      <c r="R123" s="34">
        <f>R110-R116-R122</f>
        <v/>
      </c>
      <c r="S123" s="34">
        <f>S110-S116-S122</f>
        <v/>
      </c>
      <c r="T123" s="34">
        <f>T110-T116-T122</f>
        <v/>
      </c>
      <c r="U123" s="34">
        <f>U110-U116-U122</f>
        <v/>
      </c>
      <c r="V123" s="34">
        <f>V110-V116-V122</f>
        <v/>
      </c>
      <c r="W123" s="34">
        <f>W110-W116-W122</f>
        <v/>
      </c>
      <c r="X123" s="34">
        <f>X110-X116-X122</f>
        <v/>
      </c>
      <c r="Y123" s="34">
        <f>Y110-Y116-Y122</f>
        <v/>
      </c>
      <c r="Z123" s="34">
        <f>Z110-Z116-Z122</f>
        <v/>
      </c>
      <c r="AA123" s="34">
        <f>AA110-AA116-AA122</f>
        <v/>
      </c>
      <c r="AB123" s="34">
        <f>AB110-AB116-AB122</f>
        <v/>
      </c>
      <c r="AC123" s="34">
        <f>AC110-AC116-AC122</f>
        <v/>
      </c>
      <c r="AD123" s="34">
        <f>AD110-AD116-AD122</f>
        <v/>
      </c>
      <c r="AE123" s="34">
        <f>AE110-AE116-AE122</f>
        <v/>
      </c>
      <c r="AF123" s="34">
        <f>AF110-AF116-AF122</f>
        <v/>
      </c>
      <c r="AG123" s="34">
        <f>AG110-AG116-AG122</f>
        <v/>
      </c>
      <c r="AH123" s="34">
        <f>AH110-AH116-AH122</f>
        <v/>
      </c>
      <c r="AI123" s="34">
        <f>AI110-AI116-AI122</f>
        <v/>
      </c>
      <c r="AJ123" s="34">
        <f>AJ110-AJ116-AJ122</f>
        <v/>
      </c>
      <c r="AK123" s="34">
        <f>AK110-AK116-AK122</f>
        <v/>
      </c>
      <c r="AL123" s="34">
        <f>AL110-AL116-AL122</f>
        <v/>
      </c>
      <c r="AM123" s="34">
        <f>AM110-AM116-AM122</f>
        <v/>
      </c>
      <c r="AN123" s="34">
        <f>AN110-AN116-AN122</f>
        <v/>
      </c>
      <c r="AO123" s="34">
        <f>AO110-AO116-AO122</f>
        <v/>
      </c>
      <c r="AP123" s="34">
        <f>AP110-AP116-AP122</f>
        <v/>
      </c>
      <c r="AQ123" s="34">
        <f>AQ110-AQ116-AQ122</f>
        <v/>
      </c>
      <c r="AR123" s="34">
        <f>AR110-AR116-AR122</f>
        <v/>
      </c>
      <c r="AS123" s="34">
        <f>AS110-AS116-AS122</f>
        <v/>
      </c>
      <c r="AT123" s="34">
        <f>AT110-AT116-AT122</f>
        <v/>
      </c>
      <c r="AU123" s="34">
        <f>AU110-AU116-AU122</f>
        <v/>
      </c>
      <c r="AV123" s="34">
        <f>AV110-AV116-AV122</f>
        <v/>
      </c>
      <c r="AW123" s="34">
        <f>AW110-AW116-AW122</f>
        <v/>
      </c>
      <c r="AX123" s="34">
        <f>AX110-AX116-AX122</f>
        <v/>
      </c>
      <c r="AY123" s="34">
        <f>AY110-AY116-AY122</f>
        <v/>
      </c>
      <c r="AZ123" s="34">
        <f>AZ110-AZ116-AZ122</f>
        <v/>
      </c>
      <c r="BA123" s="34">
        <f>BA110-BA116-BA122</f>
        <v/>
      </c>
      <c r="BB123" s="34">
        <f>BB110-BB116-BB122</f>
        <v/>
      </c>
      <c r="BC123" s="34">
        <f>BC110-BC116-BC122</f>
        <v/>
      </c>
      <c r="BD123" s="34">
        <f>BD110-BD116-BD122</f>
        <v/>
      </c>
    </row>
    <row r="124">
      <c r="A124" s="4" t="inlineStr">
        <is>
          <t xml:space="preserve">   ^ subtracts what LEAVES, not what was offered — so 'returned to store' is</t>
        </is>
      </c>
    </row>
    <row r="125">
      <c r="A125" s="4" t="inlineStr">
        <is>
          <t xml:space="preserve">     never taken out at all, and shows up as next week's carried in.</t>
        </is>
      </c>
    </row>
    <row r="126">
      <c r="A126" s="24" t="inlineStr">
        <is>
          <t>Most stock its shelf life allows</t>
        </is>
      </c>
      <c r="B126" s="4" t="inlineStr">
        <is>
          <t>lb</t>
        </is>
      </c>
      <c r="E126" s="34">
        <f>SUMIFS($E$107:$BD$107,$E$106:$BD$106,"&gt;="&amp;1-$F$11+2,$E$106:$BD$106,"&lt;="&amp;1)</f>
        <v/>
      </c>
      <c r="F126" s="34">
        <f>SUMIFS($E$107:$BD$107,$E$106:$BD$106,"&gt;="&amp;2-$F$11+2,$E$106:$BD$106,"&lt;="&amp;2)</f>
        <v/>
      </c>
      <c r="G126" s="34">
        <f>SUMIFS($E$107:$BD$107,$E$106:$BD$106,"&gt;="&amp;3-$F$11+2,$E$106:$BD$106,"&lt;="&amp;3)</f>
        <v/>
      </c>
      <c r="H126" s="34">
        <f>SUMIFS($E$107:$BD$107,$E$106:$BD$106,"&gt;="&amp;4-$F$11+2,$E$106:$BD$106,"&lt;="&amp;4)</f>
        <v/>
      </c>
      <c r="I126" s="34">
        <f>SUMIFS($E$107:$BD$107,$E$106:$BD$106,"&gt;="&amp;5-$F$11+2,$E$106:$BD$106,"&lt;="&amp;5)</f>
        <v/>
      </c>
      <c r="J126" s="34">
        <f>SUMIFS($E$107:$BD$107,$E$106:$BD$106,"&gt;="&amp;6-$F$11+2,$E$106:$BD$106,"&lt;="&amp;6)</f>
        <v/>
      </c>
      <c r="K126" s="34">
        <f>SUMIFS($E$107:$BD$107,$E$106:$BD$106,"&gt;="&amp;7-$F$11+2,$E$106:$BD$106,"&lt;="&amp;7)</f>
        <v/>
      </c>
      <c r="L126" s="34">
        <f>SUMIFS($E$107:$BD$107,$E$106:$BD$106,"&gt;="&amp;8-$F$11+2,$E$106:$BD$106,"&lt;="&amp;8)</f>
        <v/>
      </c>
      <c r="M126" s="34">
        <f>SUMIFS($E$107:$BD$107,$E$106:$BD$106,"&gt;="&amp;9-$F$11+2,$E$106:$BD$106,"&lt;="&amp;9)</f>
        <v/>
      </c>
      <c r="N126" s="34">
        <f>SUMIFS($E$107:$BD$107,$E$106:$BD$106,"&gt;="&amp;10-$F$11+2,$E$106:$BD$106,"&lt;="&amp;10)</f>
        <v/>
      </c>
      <c r="O126" s="34">
        <f>SUMIFS($E$107:$BD$107,$E$106:$BD$106,"&gt;="&amp;11-$F$11+2,$E$106:$BD$106,"&lt;="&amp;11)</f>
        <v/>
      </c>
      <c r="P126" s="34">
        <f>SUMIFS($E$107:$BD$107,$E$106:$BD$106,"&gt;="&amp;12-$F$11+2,$E$106:$BD$106,"&lt;="&amp;12)</f>
        <v/>
      </c>
      <c r="Q126" s="34">
        <f>SUMIFS($E$107:$BD$107,$E$106:$BD$106,"&gt;="&amp;13-$F$11+2,$E$106:$BD$106,"&lt;="&amp;13)</f>
        <v/>
      </c>
      <c r="R126" s="34">
        <f>SUMIFS($E$107:$BD$107,$E$106:$BD$106,"&gt;="&amp;14-$F$11+2,$E$106:$BD$106,"&lt;="&amp;14)</f>
        <v/>
      </c>
      <c r="S126" s="34">
        <f>SUMIFS($E$107:$BD$107,$E$106:$BD$106,"&gt;="&amp;15-$F$11+2,$E$106:$BD$106,"&lt;="&amp;15)</f>
        <v/>
      </c>
      <c r="T126" s="34">
        <f>SUMIFS($E$107:$BD$107,$E$106:$BD$106,"&gt;="&amp;16-$F$11+2,$E$106:$BD$106,"&lt;="&amp;16)</f>
        <v/>
      </c>
      <c r="U126" s="34">
        <f>SUMIFS($E$107:$BD$107,$E$106:$BD$106,"&gt;="&amp;17-$F$11+2,$E$106:$BD$106,"&lt;="&amp;17)</f>
        <v/>
      </c>
      <c r="V126" s="34">
        <f>SUMIFS($E$107:$BD$107,$E$106:$BD$106,"&gt;="&amp;18-$F$11+2,$E$106:$BD$106,"&lt;="&amp;18)</f>
        <v/>
      </c>
      <c r="W126" s="34">
        <f>SUMIFS($E$107:$BD$107,$E$106:$BD$106,"&gt;="&amp;19-$F$11+2,$E$106:$BD$106,"&lt;="&amp;19)</f>
        <v/>
      </c>
      <c r="X126" s="34">
        <f>SUMIFS($E$107:$BD$107,$E$106:$BD$106,"&gt;="&amp;20-$F$11+2,$E$106:$BD$106,"&lt;="&amp;20)</f>
        <v/>
      </c>
      <c r="Y126" s="34">
        <f>SUMIFS($E$107:$BD$107,$E$106:$BD$106,"&gt;="&amp;21-$F$11+2,$E$106:$BD$106,"&lt;="&amp;21)</f>
        <v/>
      </c>
      <c r="Z126" s="34">
        <f>SUMIFS($E$107:$BD$107,$E$106:$BD$106,"&gt;="&amp;22-$F$11+2,$E$106:$BD$106,"&lt;="&amp;22)</f>
        <v/>
      </c>
      <c r="AA126" s="34">
        <f>SUMIFS($E$107:$BD$107,$E$106:$BD$106,"&gt;="&amp;23-$F$11+2,$E$106:$BD$106,"&lt;="&amp;23)</f>
        <v/>
      </c>
      <c r="AB126" s="34">
        <f>SUMIFS($E$107:$BD$107,$E$106:$BD$106,"&gt;="&amp;24-$F$11+2,$E$106:$BD$106,"&lt;="&amp;24)</f>
        <v/>
      </c>
      <c r="AC126" s="34">
        <f>SUMIFS($E$107:$BD$107,$E$106:$BD$106,"&gt;="&amp;25-$F$11+2,$E$106:$BD$106,"&lt;="&amp;25)</f>
        <v/>
      </c>
      <c r="AD126" s="34">
        <f>SUMIFS($E$107:$BD$107,$E$106:$BD$106,"&gt;="&amp;26-$F$11+2,$E$106:$BD$106,"&lt;="&amp;26)</f>
        <v/>
      </c>
      <c r="AE126" s="34">
        <f>SUMIFS($E$107:$BD$107,$E$106:$BD$106,"&gt;="&amp;27-$F$11+2,$E$106:$BD$106,"&lt;="&amp;27)</f>
        <v/>
      </c>
      <c r="AF126" s="34">
        <f>SUMIFS($E$107:$BD$107,$E$106:$BD$106,"&gt;="&amp;28-$F$11+2,$E$106:$BD$106,"&lt;="&amp;28)</f>
        <v/>
      </c>
      <c r="AG126" s="34">
        <f>SUMIFS($E$107:$BD$107,$E$106:$BD$106,"&gt;="&amp;29-$F$11+2,$E$106:$BD$106,"&lt;="&amp;29)</f>
        <v/>
      </c>
      <c r="AH126" s="34">
        <f>SUMIFS($E$107:$BD$107,$E$106:$BD$106,"&gt;="&amp;30-$F$11+2,$E$106:$BD$106,"&lt;="&amp;30)</f>
        <v/>
      </c>
      <c r="AI126" s="34">
        <f>SUMIFS($E$107:$BD$107,$E$106:$BD$106,"&gt;="&amp;31-$F$11+2,$E$106:$BD$106,"&lt;="&amp;31)</f>
        <v/>
      </c>
      <c r="AJ126" s="34">
        <f>SUMIFS($E$107:$BD$107,$E$106:$BD$106,"&gt;="&amp;32-$F$11+2,$E$106:$BD$106,"&lt;="&amp;32)</f>
        <v/>
      </c>
      <c r="AK126" s="34">
        <f>SUMIFS($E$107:$BD$107,$E$106:$BD$106,"&gt;="&amp;33-$F$11+2,$E$106:$BD$106,"&lt;="&amp;33)</f>
        <v/>
      </c>
      <c r="AL126" s="34">
        <f>SUMIFS($E$107:$BD$107,$E$106:$BD$106,"&gt;="&amp;34-$F$11+2,$E$106:$BD$106,"&lt;="&amp;34)</f>
        <v/>
      </c>
      <c r="AM126" s="34">
        <f>SUMIFS($E$107:$BD$107,$E$106:$BD$106,"&gt;="&amp;35-$F$11+2,$E$106:$BD$106,"&lt;="&amp;35)</f>
        <v/>
      </c>
      <c r="AN126" s="34">
        <f>SUMIFS($E$107:$BD$107,$E$106:$BD$106,"&gt;="&amp;36-$F$11+2,$E$106:$BD$106,"&lt;="&amp;36)</f>
        <v/>
      </c>
      <c r="AO126" s="34">
        <f>SUMIFS($E$107:$BD$107,$E$106:$BD$106,"&gt;="&amp;37-$F$11+2,$E$106:$BD$106,"&lt;="&amp;37)</f>
        <v/>
      </c>
      <c r="AP126" s="34">
        <f>SUMIFS($E$107:$BD$107,$E$106:$BD$106,"&gt;="&amp;38-$F$11+2,$E$106:$BD$106,"&lt;="&amp;38)</f>
        <v/>
      </c>
      <c r="AQ126" s="34">
        <f>SUMIFS($E$107:$BD$107,$E$106:$BD$106,"&gt;="&amp;39-$F$11+2,$E$106:$BD$106,"&lt;="&amp;39)</f>
        <v/>
      </c>
      <c r="AR126" s="34">
        <f>SUMIFS($E$107:$BD$107,$E$106:$BD$106,"&gt;="&amp;40-$F$11+2,$E$106:$BD$106,"&lt;="&amp;40)</f>
        <v/>
      </c>
      <c r="AS126" s="34">
        <f>SUMIFS($E$107:$BD$107,$E$106:$BD$106,"&gt;="&amp;41-$F$11+2,$E$106:$BD$106,"&lt;="&amp;41)</f>
        <v/>
      </c>
      <c r="AT126" s="34">
        <f>SUMIFS($E$107:$BD$107,$E$106:$BD$106,"&gt;="&amp;42-$F$11+2,$E$106:$BD$106,"&lt;="&amp;42)</f>
        <v/>
      </c>
      <c r="AU126" s="34">
        <f>SUMIFS($E$107:$BD$107,$E$106:$BD$106,"&gt;="&amp;43-$F$11+2,$E$106:$BD$106,"&lt;="&amp;43)</f>
        <v/>
      </c>
      <c r="AV126" s="34">
        <f>SUMIFS($E$107:$BD$107,$E$106:$BD$106,"&gt;="&amp;44-$F$11+2,$E$106:$BD$106,"&lt;="&amp;44)</f>
        <v/>
      </c>
      <c r="AW126" s="34">
        <f>SUMIFS($E$107:$BD$107,$E$106:$BD$106,"&gt;="&amp;45-$F$11+2,$E$106:$BD$106,"&lt;="&amp;45)</f>
        <v/>
      </c>
      <c r="AX126" s="34">
        <f>SUMIFS($E$107:$BD$107,$E$106:$BD$106,"&gt;="&amp;46-$F$11+2,$E$106:$BD$106,"&lt;="&amp;46)</f>
        <v/>
      </c>
      <c r="AY126" s="34">
        <f>SUMIFS($E$107:$BD$107,$E$106:$BD$106,"&gt;="&amp;47-$F$11+2,$E$106:$BD$106,"&lt;="&amp;47)</f>
        <v/>
      </c>
      <c r="AZ126" s="34">
        <f>SUMIFS($E$107:$BD$107,$E$106:$BD$106,"&gt;="&amp;48-$F$11+2,$E$106:$BD$106,"&lt;="&amp;48)</f>
        <v/>
      </c>
      <c r="BA126" s="34">
        <f>SUMIFS($E$107:$BD$107,$E$106:$BD$106,"&gt;="&amp;49-$F$11+2,$E$106:$BD$106,"&lt;="&amp;49)</f>
        <v/>
      </c>
      <c r="BB126" s="34">
        <f>SUMIFS($E$107:$BD$107,$E$106:$BD$106,"&gt;="&amp;50-$F$11+2,$E$106:$BD$106,"&lt;="&amp;50)</f>
        <v/>
      </c>
      <c r="BC126" s="34">
        <f>SUMIFS($E$107:$BD$107,$E$106:$BD$106,"&gt;="&amp;51-$F$11+2,$E$106:$BD$106,"&lt;="&amp;51)</f>
        <v/>
      </c>
      <c r="BD126" s="34">
        <f>SUMIFS($E$107:$BD$107,$E$106:$BD$106,"&gt;="&amp;52-$F$11+2,$E$106:$BD$106,"&lt;="&amp;52)</f>
        <v/>
      </c>
    </row>
    <row r="127">
      <c r="A127" s="4" t="inlineStr">
        <is>
          <t xml:space="preserve">   Stock carried out must stay at or below this row.</t>
        </is>
      </c>
    </row>
    <row r="128">
      <c r="A128" s="3" t="inlineStr">
        <is>
          <t>ROOM OCCUPANCY</t>
        </is>
      </c>
      <c r="B128" s="4" t="inlineStr">
        <is>
          <t>m3</t>
        </is>
      </c>
      <c r="E128" s="42">
        <f>(E108+E107)*$D$11</f>
        <v/>
      </c>
      <c r="F128" s="42">
        <f>(F108+F107)*$D$11</f>
        <v/>
      </c>
      <c r="G128" s="42">
        <f>(G108+G107)*$D$11</f>
        <v/>
      </c>
      <c r="H128" s="42">
        <f>(H108+H107)*$D$11</f>
        <v/>
      </c>
      <c r="I128" s="42">
        <f>(I108+I107)*$D$11</f>
        <v/>
      </c>
      <c r="J128" s="42">
        <f>(J108+J107)*$D$11</f>
        <v/>
      </c>
      <c r="K128" s="42">
        <f>(K108+K107)*$D$11</f>
        <v/>
      </c>
      <c r="L128" s="42">
        <f>(L108+L107)*$D$11</f>
        <v/>
      </c>
      <c r="M128" s="42">
        <f>(M108+M107)*$D$11</f>
        <v/>
      </c>
      <c r="N128" s="42">
        <f>(N108+N107)*$D$11</f>
        <v/>
      </c>
      <c r="O128" s="42">
        <f>(O108+O107)*$D$11</f>
        <v/>
      </c>
      <c r="P128" s="42">
        <f>(P108+P107)*$D$11</f>
        <v/>
      </c>
      <c r="Q128" s="42">
        <f>(Q108+Q107)*$D$11</f>
        <v/>
      </c>
      <c r="R128" s="42">
        <f>(R108+R107)*$D$11</f>
        <v/>
      </c>
      <c r="S128" s="42">
        <f>(S108+S107)*$D$11</f>
        <v/>
      </c>
      <c r="T128" s="42">
        <f>(T108+T107)*$D$11</f>
        <v/>
      </c>
      <c r="U128" s="42">
        <f>(U108+U107)*$D$11</f>
        <v/>
      </c>
      <c r="V128" s="42">
        <f>(V108+V107)*$D$11</f>
        <v/>
      </c>
      <c r="W128" s="42">
        <f>(W108+W107)*$D$11</f>
        <v/>
      </c>
      <c r="X128" s="42">
        <f>(X108+X107)*$D$11</f>
        <v/>
      </c>
      <c r="Y128" s="42">
        <f>(Y108+Y107)*$D$11</f>
        <v/>
      </c>
      <c r="Z128" s="42">
        <f>(Z108+Z107)*$D$11</f>
        <v/>
      </c>
      <c r="AA128" s="42">
        <f>(AA108+AA107)*$D$11</f>
        <v/>
      </c>
      <c r="AB128" s="42">
        <f>(AB108+AB107)*$D$11</f>
        <v/>
      </c>
      <c r="AC128" s="42">
        <f>(AC108+AC107)*$D$11</f>
        <v/>
      </c>
      <c r="AD128" s="42">
        <f>(AD108+AD107)*$D$11</f>
        <v/>
      </c>
      <c r="AE128" s="42">
        <f>(AE108+AE107)*$D$11</f>
        <v/>
      </c>
      <c r="AF128" s="42">
        <f>(AF108+AF107)*$D$11</f>
        <v/>
      </c>
      <c r="AG128" s="42">
        <f>(AG108+AG107)*$D$11</f>
        <v/>
      </c>
      <c r="AH128" s="42">
        <f>(AH108+AH107)*$D$11</f>
        <v/>
      </c>
      <c r="AI128" s="42">
        <f>(AI108+AI107)*$D$11</f>
        <v/>
      </c>
      <c r="AJ128" s="42">
        <f>(AJ108+AJ107)*$D$11</f>
        <v/>
      </c>
      <c r="AK128" s="42">
        <f>(AK108+AK107)*$D$11</f>
        <v/>
      </c>
      <c r="AL128" s="42">
        <f>(AL108+AL107)*$D$11</f>
        <v/>
      </c>
      <c r="AM128" s="42">
        <f>(AM108+AM107)*$D$11</f>
        <v/>
      </c>
      <c r="AN128" s="42">
        <f>(AN108+AN107)*$D$11</f>
        <v/>
      </c>
      <c r="AO128" s="42">
        <f>(AO108+AO107)*$D$11</f>
        <v/>
      </c>
      <c r="AP128" s="42">
        <f>(AP108+AP107)*$D$11</f>
        <v/>
      </c>
      <c r="AQ128" s="42">
        <f>(AQ108+AQ107)*$D$11</f>
        <v/>
      </c>
      <c r="AR128" s="42">
        <f>(AR108+AR107)*$D$11</f>
        <v/>
      </c>
      <c r="AS128" s="42">
        <f>(AS108+AS107)*$D$11</f>
        <v/>
      </c>
      <c r="AT128" s="42">
        <f>(AT108+AT107)*$D$11</f>
        <v/>
      </c>
      <c r="AU128" s="42">
        <f>(AU108+AU107)*$D$11</f>
        <v/>
      </c>
      <c r="AV128" s="42">
        <f>(AV108+AV107)*$D$11</f>
        <v/>
      </c>
      <c r="AW128" s="42">
        <f>(AW108+AW107)*$D$11</f>
        <v/>
      </c>
      <c r="AX128" s="42">
        <f>(AX108+AX107)*$D$11</f>
        <v/>
      </c>
      <c r="AY128" s="42">
        <f>(AY108+AY107)*$D$11</f>
        <v/>
      </c>
      <c r="AZ128" s="42">
        <f>(AZ108+AZ107)*$D$11</f>
        <v/>
      </c>
      <c r="BA128" s="42">
        <f>(BA108+BA107)*$D$11</f>
        <v/>
      </c>
      <c r="BB128" s="42">
        <f>(BB108+BB107)*$D$11</f>
        <v/>
      </c>
      <c r="BC128" s="42">
        <f>(BC108+BC107)*$D$11</f>
        <v/>
      </c>
      <c r="BD128" s="42">
        <f>(BD108+BD107)*$D$11</f>
        <v/>
      </c>
    </row>
    <row r="130">
      <c r="A130" s="2" t="inlineStr">
        <is>
          <t>KALE  —  cold store</t>
        </is>
      </c>
      <c r="B130" s="33" t="inlineStr"/>
    </row>
    <row r="131">
      <c r="A131" s="19" t="inlineStr">
        <is>
          <t>Week</t>
        </is>
      </c>
      <c r="B131" s="30" t="inlineStr"/>
      <c r="E131" s="22" t="n">
        <v>1</v>
      </c>
      <c r="F131" s="22" t="n">
        <v>2</v>
      </c>
      <c r="G131" s="22" t="n">
        <v>3</v>
      </c>
      <c r="H131" s="22" t="n">
        <v>4</v>
      </c>
      <c r="I131" s="22" t="n">
        <v>5</v>
      </c>
      <c r="J131" s="22" t="n">
        <v>6</v>
      </c>
      <c r="K131" s="22" t="n">
        <v>7</v>
      </c>
      <c r="L131" s="22" t="n">
        <v>8</v>
      </c>
      <c r="M131" s="22" t="n">
        <v>9</v>
      </c>
      <c r="N131" s="22" t="n">
        <v>10</v>
      </c>
      <c r="O131" s="22" t="n">
        <v>11</v>
      </c>
      <c r="P131" s="22" t="n">
        <v>12</v>
      </c>
      <c r="Q131" s="22" t="n">
        <v>13</v>
      </c>
      <c r="R131" s="22" t="n">
        <v>14</v>
      </c>
      <c r="S131" s="22" t="n">
        <v>15</v>
      </c>
      <c r="T131" s="22" t="n">
        <v>16</v>
      </c>
      <c r="U131" s="22" t="n">
        <v>17</v>
      </c>
      <c r="V131" s="22" t="n">
        <v>18</v>
      </c>
      <c r="W131" s="22" t="n">
        <v>19</v>
      </c>
      <c r="X131" s="22" t="n">
        <v>20</v>
      </c>
      <c r="Y131" s="22" t="n">
        <v>21</v>
      </c>
      <c r="Z131" s="22" t="n">
        <v>22</v>
      </c>
      <c r="AA131" s="22" t="n">
        <v>23</v>
      </c>
      <c r="AB131" s="22" t="n">
        <v>24</v>
      </c>
      <c r="AC131" s="22" t="n">
        <v>25</v>
      </c>
      <c r="AD131" s="22" t="n">
        <v>26</v>
      </c>
      <c r="AE131" s="22" t="n">
        <v>27</v>
      </c>
      <c r="AF131" s="22" t="n">
        <v>28</v>
      </c>
      <c r="AG131" s="22" t="n">
        <v>29</v>
      </c>
      <c r="AH131" s="22" t="n">
        <v>30</v>
      </c>
      <c r="AI131" s="22" t="n">
        <v>31</v>
      </c>
      <c r="AJ131" s="22" t="n">
        <v>32</v>
      </c>
      <c r="AK131" s="22" t="n">
        <v>33</v>
      </c>
      <c r="AL131" s="22" t="n">
        <v>34</v>
      </c>
      <c r="AM131" s="22" t="n">
        <v>35</v>
      </c>
      <c r="AN131" s="22" t="n">
        <v>36</v>
      </c>
      <c r="AO131" s="22" t="n">
        <v>37</v>
      </c>
      <c r="AP131" s="22" t="n">
        <v>38</v>
      </c>
      <c r="AQ131" s="22" t="n">
        <v>39</v>
      </c>
      <c r="AR131" s="22" t="n">
        <v>40</v>
      </c>
      <c r="AS131" s="22" t="n">
        <v>41</v>
      </c>
      <c r="AT131" s="22" t="n">
        <v>42</v>
      </c>
      <c r="AU131" s="22" t="n">
        <v>43</v>
      </c>
      <c r="AV131" s="22" t="n">
        <v>44</v>
      </c>
      <c r="AW131" s="22" t="n">
        <v>45</v>
      </c>
      <c r="AX131" s="22" t="n">
        <v>46</v>
      </c>
      <c r="AY131" s="22" t="n">
        <v>47</v>
      </c>
      <c r="AZ131" s="22" t="n">
        <v>48</v>
      </c>
      <c r="BA131" s="22" t="n">
        <v>49</v>
      </c>
      <c r="BB131" s="22" t="n">
        <v>50</v>
      </c>
      <c r="BC131" s="22" t="n">
        <v>51</v>
      </c>
      <c r="BD131" s="22" t="n">
        <v>52</v>
      </c>
    </row>
    <row r="132">
      <c r="A132" s="3" t="inlineStr">
        <is>
          <t>Packed out -&gt; INTO the store</t>
        </is>
      </c>
      <c r="B132" s="4" t="inlineStr">
        <is>
          <t>lb</t>
        </is>
      </c>
      <c r="E132" s="34">
        <f>SUMPRODUCT(($B$28:$B$95="Kale")*(E$28:E$95="H")*$C$28:$C$95*$BG$28:$BG$95)*$C$12</f>
        <v/>
      </c>
      <c r="F132" s="34">
        <f>SUMPRODUCT(($B$28:$B$95="Kale")*(F$28:F$95="H")*$C$28:$C$95*$BG$28:$BG$95)*$C$12</f>
        <v/>
      </c>
      <c r="G132" s="34">
        <f>SUMPRODUCT(($B$28:$B$95="Kale")*(G$28:G$95="H")*$C$28:$C$95*$BG$28:$BG$95)*$C$12</f>
        <v/>
      </c>
      <c r="H132" s="34">
        <f>SUMPRODUCT(($B$28:$B$95="Kale")*(H$28:H$95="H")*$C$28:$C$95*$BG$28:$BG$95)*$C$12</f>
        <v/>
      </c>
      <c r="I132" s="34">
        <f>SUMPRODUCT(($B$28:$B$95="Kale")*(I$28:I$95="H")*$C$28:$C$95*$BG$28:$BG$95)*$C$12</f>
        <v/>
      </c>
      <c r="J132" s="34">
        <f>SUMPRODUCT(($B$28:$B$95="Kale")*(J$28:J$95="H")*$C$28:$C$95*$BG$28:$BG$95)*$C$12</f>
        <v/>
      </c>
      <c r="K132" s="34">
        <f>SUMPRODUCT(($B$28:$B$95="Kale")*(K$28:K$95="H")*$C$28:$C$95*$BG$28:$BG$95)*$C$12</f>
        <v/>
      </c>
      <c r="L132" s="34">
        <f>SUMPRODUCT(($B$28:$B$95="Kale")*(L$28:L$95="H")*$C$28:$C$95*$BG$28:$BG$95)*$C$12</f>
        <v/>
      </c>
      <c r="M132" s="34">
        <f>SUMPRODUCT(($B$28:$B$95="Kale")*(M$28:M$95="H")*$C$28:$C$95*$BG$28:$BG$95)*$C$12</f>
        <v/>
      </c>
      <c r="N132" s="34">
        <f>SUMPRODUCT(($B$28:$B$95="Kale")*(N$28:N$95="H")*$C$28:$C$95*$BG$28:$BG$95)*$C$12</f>
        <v/>
      </c>
      <c r="O132" s="34">
        <f>SUMPRODUCT(($B$28:$B$95="Kale")*(O$28:O$95="H")*$C$28:$C$95*$BG$28:$BG$95)*$C$12</f>
        <v/>
      </c>
      <c r="P132" s="34">
        <f>SUMPRODUCT(($B$28:$B$95="Kale")*(P$28:P$95="H")*$C$28:$C$95*$BG$28:$BG$95)*$C$12</f>
        <v/>
      </c>
      <c r="Q132" s="34">
        <f>SUMPRODUCT(($B$28:$B$95="Kale")*(Q$28:Q$95="H")*$C$28:$C$95*$BG$28:$BG$95)*$C$12</f>
        <v/>
      </c>
      <c r="R132" s="34">
        <f>SUMPRODUCT(($B$28:$B$95="Kale")*(R$28:R$95="H")*$C$28:$C$95*$BG$28:$BG$95)*$C$12</f>
        <v/>
      </c>
      <c r="S132" s="34">
        <f>SUMPRODUCT(($B$28:$B$95="Kale")*(S$28:S$95="H")*$C$28:$C$95*$BG$28:$BG$95)*$C$12</f>
        <v/>
      </c>
      <c r="T132" s="34">
        <f>SUMPRODUCT(($B$28:$B$95="Kale")*(T$28:T$95="H")*$C$28:$C$95*$BG$28:$BG$95)*$C$12</f>
        <v/>
      </c>
      <c r="U132" s="34">
        <f>SUMPRODUCT(($B$28:$B$95="Kale")*(U$28:U$95="H")*$C$28:$C$95*$BG$28:$BG$95)*$C$12</f>
        <v/>
      </c>
      <c r="V132" s="34">
        <f>SUMPRODUCT(($B$28:$B$95="Kale")*(V$28:V$95="H")*$C$28:$C$95*$BG$28:$BG$95)*$C$12</f>
        <v/>
      </c>
      <c r="W132" s="34">
        <f>SUMPRODUCT(($B$28:$B$95="Kale")*(W$28:W$95="H")*$C$28:$C$95*$BG$28:$BG$95)*$C$12</f>
        <v/>
      </c>
      <c r="X132" s="34">
        <f>SUMPRODUCT(($B$28:$B$95="Kale")*(X$28:X$95="H")*$C$28:$C$95*$BG$28:$BG$95)*$C$12</f>
        <v/>
      </c>
      <c r="Y132" s="34">
        <f>SUMPRODUCT(($B$28:$B$95="Kale")*(Y$28:Y$95="H")*$C$28:$C$95*$BG$28:$BG$95)*$C$12</f>
        <v/>
      </c>
      <c r="Z132" s="34">
        <f>SUMPRODUCT(($B$28:$B$95="Kale")*(Z$28:Z$95="H")*$C$28:$C$95*$BG$28:$BG$95)*$C$12</f>
        <v/>
      </c>
      <c r="AA132" s="34">
        <f>SUMPRODUCT(($B$28:$B$95="Kale")*(AA$28:AA$95="H")*$C$28:$C$95*$BG$28:$BG$95)*$C$12</f>
        <v/>
      </c>
      <c r="AB132" s="34">
        <f>SUMPRODUCT(($B$28:$B$95="Kale")*(AB$28:AB$95="H")*$C$28:$C$95*$BG$28:$BG$95)*$C$12</f>
        <v/>
      </c>
      <c r="AC132" s="34">
        <f>SUMPRODUCT(($B$28:$B$95="Kale")*(AC$28:AC$95="H")*$C$28:$C$95*$BG$28:$BG$95)*$C$12</f>
        <v/>
      </c>
      <c r="AD132" s="34">
        <f>SUMPRODUCT(($B$28:$B$95="Kale")*(AD$28:AD$95="H")*$C$28:$C$95*$BG$28:$BG$95)*$C$12</f>
        <v/>
      </c>
      <c r="AE132" s="34">
        <f>SUMPRODUCT(($B$28:$B$95="Kale")*(AE$28:AE$95="H")*$C$28:$C$95*$BG$28:$BG$95)*$C$12</f>
        <v/>
      </c>
      <c r="AF132" s="34">
        <f>SUMPRODUCT(($B$28:$B$95="Kale")*(AF$28:AF$95="H")*$C$28:$C$95*$BG$28:$BG$95)*$C$12</f>
        <v/>
      </c>
      <c r="AG132" s="34">
        <f>SUMPRODUCT(($B$28:$B$95="Kale")*(AG$28:AG$95="H")*$C$28:$C$95*$BG$28:$BG$95)*$C$12</f>
        <v/>
      </c>
      <c r="AH132" s="34">
        <f>SUMPRODUCT(($B$28:$B$95="Kale")*(AH$28:AH$95="H")*$C$28:$C$95*$BG$28:$BG$95)*$C$12</f>
        <v/>
      </c>
      <c r="AI132" s="34">
        <f>SUMPRODUCT(($B$28:$B$95="Kale")*(AI$28:AI$95="H")*$C$28:$C$95*$BG$28:$BG$95)*$C$12</f>
        <v/>
      </c>
      <c r="AJ132" s="34">
        <f>SUMPRODUCT(($B$28:$B$95="Kale")*(AJ$28:AJ$95="H")*$C$28:$C$95*$BG$28:$BG$95)*$C$12</f>
        <v/>
      </c>
      <c r="AK132" s="34">
        <f>SUMPRODUCT(($B$28:$B$95="Kale")*(AK$28:AK$95="H")*$C$28:$C$95*$BG$28:$BG$95)*$C$12</f>
        <v/>
      </c>
      <c r="AL132" s="34">
        <f>SUMPRODUCT(($B$28:$B$95="Kale")*(AL$28:AL$95="H")*$C$28:$C$95*$BG$28:$BG$95)*$C$12</f>
        <v/>
      </c>
      <c r="AM132" s="34">
        <f>SUMPRODUCT(($B$28:$B$95="Kale")*(AM$28:AM$95="H")*$C$28:$C$95*$BG$28:$BG$95)*$C$12</f>
        <v/>
      </c>
      <c r="AN132" s="34">
        <f>SUMPRODUCT(($B$28:$B$95="Kale")*(AN$28:AN$95="H")*$C$28:$C$95*$BG$28:$BG$95)*$C$12</f>
        <v/>
      </c>
      <c r="AO132" s="34">
        <f>SUMPRODUCT(($B$28:$B$95="Kale")*(AO$28:AO$95="H")*$C$28:$C$95*$BG$28:$BG$95)*$C$12</f>
        <v/>
      </c>
      <c r="AP132" s="34">
        <f>SUMPRODUCT(($B$28:$B$95="Kale")*(AP$28:AP$95="H")*$C$28:$C$95*$BG$28:$BG$95)*$C$12</f>
        <v/>
      </c>
      <c r="AQ132" s="34">
        <f>SUMPRODUCT(($B$28:$B$95="Kale")*(AQ$28:AQ$95="H")*$C$28:$C$95*$BG$28:$BG$95)*$C$12</f>
        <v/>
      </c>
      <c r="AR132" s="34">
        <f>SUMPRODUCT(($B$28:$B$95="Kale")*(AR$28:AR$95="H")*$C$28:$C$95*$BG$28:$BG$95)*$C$12</f>
        <v/>
      </c>
      <c r="AS132" s="34">
        <f>SUMPRODUCT(($B$28:$B$95="Kale")*(AS$28:AS$95="H")*$C$28:$C$95*$BG$28:$BG$95)*$C$12</f>
        <v/>
      </c>
      <c r="AT132" s="34">
        <f>SUMPRODUCT(($B$28:$B$95="Kale")*(AT$28:AT$95="H")*$C$28:$C$95*$BG$28:$BG$95)*$C$12</f>
        <v/>
      </c>
      <c r="AU132" s="34">
        <f>SUMPRODUCT(($B$28:$B$95="Kale")*(AU$28:AU$95="H")*$C$28:$C$95*$BG$28:$BG$95)*$C$12</f>
        <v/>
      </c>
      <c r="AV132" s="34">
        <f>SUMPRODUCT(($B$28:$B$95="Kale")*(AV$28:AV$95="H")*$C$28:$C$95*$BG$28:$BG$95)*$C$12</f>
        <v/>
      </c>
      <c r="AW132" s="34">
        <f>SUMPRODUCT(($B$28:$B$95="Kale")*(AW$28:AW$95="H")*$C$28:$C$95*$BG$28:$BG$95)*$C$12</f>
        <v/>
      </c>
      <c r="AX132" s="34">
        <f>SUMPRODUCT(($B$28:$B$95="Kale")*(AX$28:AX$95="H")*$C$28:$C$95*$BG$28:$BG$95)*$C$12</f>
        <v/>
      </c>
      <c r="AY132" s="34">
        <f>SUMPRODUCT(($B$28:$B$95="Kale")*(AY$28:AY$95="H")*$C$28:$C$95*$BG$28:$BG$95)*$C$12</f>
        <v/>
      </c>
      <c r="AZ132" s="34">
        <f>SUMPRODUCT(($B$28:$B$95="Kale")*(AZ$28:AZ$95="H")*$C$28:$C$95*$BG$28:$BG$95)*$C$12</f>
        <v/>
      </c>
      <c r="BA132" s="34">
        <f>SUMPRODUCT(($B$28:$B$95="Kale")*(BA$28:BA$95="H")*$C$28:$C$95*$BG$28:$BG$95)*$C$12</f>
        <v/>
      </c>
      <c r="BB132" s="34">
        <f>SUMPRODUCT(($B$28:$B$95="Kale")*(BB$28:BB$95="H")*$C$28:$C$95*$BG$28:$BG$95)*$C$12</f>
        <v/>
      </c>
      <c r="BC132" s="34">
        <f>SUMPRODUCT(($B$28:$B$95="Kale")*(BC$28:BC$95="H")*$C$28:$C$95*$BG$28:$BG$95)*$C$12</f>
        <v/>
      </c>
      <c r="BD132" s="34">
        <f>SUMPRODUCT(($B$28:$B$95="Kale")*(BD$28:BD$95="H")*$C$28:$C$95*$BG$28:$BG$95)*$C$12</f>
        <v/>
      </c>
    </row>
    <row r="133">
      <c r="A133" s="24" t="inlineStr">
        <is>
          <t>Stock carried in</t>
        </is>
      </c>
      <c r="B133" s="4" t="inlineStr">
        <is>
          <t>lb</t>
        </is>
      </c>
      <c r="E133" s="34" t="n">
        <v>0</v>
      </c>
      <c r="F133" s="34">
        <f>E150</f>
        <v/>
      </c>
      <c r="G133" s="34">
        <f>F150</f>
        <v/>
      </c>
      <c r="H133" s="34">
        <f>G150</f>
        <v/>
      </c>
      <c r="I133" s="34">
        <f>H150</f>
        <v/>
      </c>
      <c r="J133" s="34">
        <f>I150</f>
        <v/>
      </c>
      <c r="K133" s="34">
        <f>J150</f>
        <v/>
      </c>
      <c r="L133" s="34">
        <f>K150</f>
        <v/>
      </c>
      <c r="M133" s="34">
        <f>L150</f>
        <v/>
      </c>
      <c r="N133" s="34">
        <f>M150</f>
        <v/>
      </c>
      <c r="O133" s="34">
        <f>N150</f>
        <v/>
      </c>
      <c r="P133" s="34">
        <f>O150</f>
        <v/>
      </c>
      <c r="Q133" s="34">
        <f>P150</f>
        <v/>
      </c>
      <c r="R133" s="34">
        <f>Q150</f>
        <v/>
      </c>
      <c r="S133" s="34">
        <f>R150</f>
        <v/>
      </c>
      <c r="T133" s="34">
        <f>S150</f>
        <v/>
      </c>
      <c r="U133" s="34">
        <f>T150</f>
        <v/>
      </c>
      <c r="V133" s="34">
        <f>U150</f>
        <v/>
      </c>
      <c r="W133" s="34">
        <f>V150</f>
        <v/>
      </c>
      <c r="X133" s="34">
        <f>W150</f>
        <v/>
      </c>
      <c r="Y133" s="34">
        <f>X150</f>
        <v/>
      </c>
      <c r="Z133" s="34">
        <f>Y150</f>
        <v/>
      </c>
      <c r="AA133" s="34">
        <f>Z150</f>
        <v/>
      </c>
      <c r="AB133" s="34">
        <f>AA150</f>
        <v/>
      </c>
      <c r="AC133" s="34">
        <f>AB150</f>
        <v/>
      </c>
      <c r="AD133" s="34">
        <f>AC150</f>
        <v/>
      </c>
      <c r="AE133" s="34">
        <f>AD150</f>
        <v/>
      </c>
      <c r="AF133" s="34">
        <f>AE150</f>
        <v/>
      </c>
      <c r="AG133" s="34">
        <f>AF150</f>
        <v/>
      </c>
      <c r="AH133" s="34">
        <f>AG150</f>
        <v/>
      </c>
      <c r="AI133" s="34">
        <f>AH150</f>
        <v/>
      </c>
      <c r="AJ133" s="34">
        <f>AI150</f>
        <v/>
      </c>
      <c r="AK133" s="34">
        <f>AJ150</f>
        <v/>
      </c>
      <c r="AL133" s="34">
        <f>AK150</f>
        <v/>
      </c>
      <c r="AM133" s="34">
        <f>AL150</f>
        <v/>
      </c>
      <c r="AN133" s="34">
        <f>AM150</f>
        <v/>
      </c>
      <c r="AO133" s="34">
        <f>AN150</f>
        <v/>
      </c>
      <c r="AP133" s="34">
        <f>AO150</f>
        <v/>
      </c>
      <c r="AQ133" s="34">
        <f>AP150</f>
        <v/>
      </c>
      <c r="AR133" s="34">
        <f>AQ150</f>
        <v/>
      </c>
      <c r="AS133" s="34">
        <f>AR150</f>
        <v/>
      </c>
      <c r="AT133" s="34">
        <f>AS150</f>
        <v/>
      </c>
      <c r="AU133" s="34">
        <f>AT150</f>
        <v/>
      </c>
      <c r="AV133" s="34">
        <f>AU150</f>
        <v/>
      </c>
      <c r="AW133" s="34">
        <f>AV150</f>
        <v/>
      </c>
      <c r="AX133" s="34">
        <f>AW150</f>
        <v/>
      </c>
      <c r="AY133" s="34">
        <f>AX150</f>
        <v/>
      </c>
      <c r="AZ133" s="34">
        <f>AY150</f>
        <v/>
      </c>
      <c r="BA133" s="34">
        <f>AZ150</f>
        <v/>
      </c>
      <c r="BB133" s="34">
        <f>BA150</f>
        <v/>
      </c>
      <c r="BC133" s="34">
        <f>BB150</f>
        <v/>
      </c>
      <c r="BD133" s="34">
        <f>BC150</f>
        <v/>
      </c>
    </row>
    <row r="134">
      <c r="A134" s="24" t="inlineStr">
        <is>
          <t xml:space="preserve">   lost to shrink</t>
        </is>
      </c>
      <c r="B134" s="4" t="inlineStr">
        <is>
          <t>lb</t>
        </is>
      </c>
      <c r="E134" s="34">
        <f>E133*$G$12</f>
        <v/>
      </c>
      <c r="F134" s="34">
        <f>F133*$G$12</f>
        <v/>
      </c>
      <c r="G134" s="34">
        <f>G133*$G$12</f>
        <v/>
      </c>
      <c r="H134" s="34">
        <f>H133*$G$12</f>
        <v/>
      </c>
      <c r="I134" s="34">
        <f>I133*$G$12</f>
        <v/>
      </c>
      <c r="J134" s="34">
        <f>J133*$G$12</f>
        <v/>
      </c>
      <c r="K134" s="34">
        <f>K133*$G$12</f>
        <v/>
      </c>
      <c r="L134" s="34">
        <f>L133*$G$12</f>
        <v/>
      </c>
      <c r="M134" s="34">
        <f>M133*$G$12</f>
        <v/>
      </c>
      <c r="N134" s="34">
        <f>N133*$G$12</f>
        <v/>
      </c>
      <c r="O134" s="34">
        <f>O133*$G$12</f>
        <v/>
      </c>
      <c r="P134" s="34">
        <f>P133*$G$12</f>
        <v/>
      </c>
      <c r="Q134" s="34">
        <f>Q133*$G$12</f>
        <v/>
      </c>
      <c r="R134" s="34">
        <f>R133*$G$12</f>
        <v/>
      </c>
      <c r="S134" s="34">
        <f>S133*$G$12</f>
        <v/>
      </c>
      <c r="T134" s="34">
        <f>T133*$G$12</f>
        <v/>
      </c>
      <c r="U134" s="34">
        <f>U133*$G$12</f>
        <v/>
      </c>
      <c r="V134" s="34">
        <f>V133*$G$12</f>
        <v/>
      </c>
      <c r="W134" s="34">
        <f>W133*$G$12</f>
        <v/>
      </c>
      <c r="X134" s="34">
        <f>X133*$G$12</f>
        <v/>
      </c>
      <c r="Y134" s="34">
        <f>Y133*$G$12</f>
        <v/>
      </c>
      <c r="Z134" s="34">
        <f>Z133*$G$12</f>
        <v/>
      </c>
      <c r="AA134" s="34">
        <f>AA133*$G$12</f>
        <v/>
      </c>
      <c r="AB134" s="34">
        <f>AB133*$G$12</f>
        <v/>
      </c>
      <c r="AC134" s="34">
        <f>AC133*$G$12</f>
        <v/>
      </c>
      <c r="AD134" s="34">
        <f>AD133*$G$12</f>
        <v/>
      </c>
      <c r="AE134" s="34">
        <f>AE133*$G$12</f>
        <v/>
      </c>
      <c r="AF134" s="34">
        <f>AF133*$G$12</f>
        <v/>
      </c>
      <c r="AG134" s="34">
        <f>AG133*$G$12</f>
        <v/>
      </c>
      <c r="AH134" s="34">
        <f>AH133*$G$12</f>
        <v/>
      </c>
      <c r="AI134" s="34">
        <f>AI133*$G$12</f>
        <v/>
      </c>
      <c r="AJ134" s="34">
        <f>AJ133*$G$12</f>
        <v/>
      </c>
      <c r="AK134" s="34">
        <f>AK133*$G$12</f>
        <v/>
      </c>
      <c r="AL134" s="34">
        <f>AL133*$G$12</f>
        <v/>
      </c>
      <c r="AM134" s="34">
        <f>AM133*$G$12</f>
        <v/>
      </c>
      <c r="AN134" s="34">
        <f>AN133*$G$12</f>
        <v/>
      </c>
      <c r="AO134" s="34">
        <f>AO133*$G$12</f>
        <v/>
      </c>
      <c r="AP134" s="34">
        <f>AP133*$G$12</f>
        <v/>
      </c>
      <c r="AQ134" s="34">
        <f>AQ133*$G$12</f>
        <v/>
      </c>
      <c r="AR134" s="34">
        <f>AR133*$G$12</f>
        <v/>
      </c>
      <c r="AS134" s="34">
        <f>AS133*$G$12</f>
        <v/>
      </c>
      <c r="AT134" s="34">
        <f>AT133*$G$12</f>
        <v/>
      </c>
      <c r="AU134" s="34">
        <f>AU133*$G$12</f>
        <v/>
      </c>
      <c r="AV134" s="34">
        <f>AV133*$G$12</f>
        <v/>
      </c>
      <c r="AW134" s="34">
        <f>AW133*$G$12</f>
        <v/>
      </c>
      <c r="AX134" s="34">
        <f>AX133*$G$12</f>
        <v/>
      </c>
      <c r="AY134" s="34">
        <f>AY133*$G$12</f>
        <v/>
      </c>
      <c r="AZ134" s="34">
        <f>AZ133*$G$12</f>
        <v/>
      </c>
      <c r="BA134" s="34">
        <f>BA133*$G$12</f>
        <v/>
      </c>
      <c r="BB134" s="34">
        <f>BB133*$G$12</f>
        <v/>
      </c>
      <c r="BC134" s="34">
        <f>BC133*$G$12</f>
        <v/>
      </c>
      <c r="BD134" s="34">
        <f>BD133*$G$12</f>
        <v/>
      </c>
    </row>
    <row r="135">
      <c r="A135" s="3" t="inlineStr">
        <is>
          <t>In store this week</t>
        </is>
      </c>
      <c r="B135" s="4" t="inlineStr">
        <is>
          <t>lb</t>
        </is>
      </c>
      <c r="E135" s="34">
        <f>E133-E134+E132</f>
        <v/>
      </c>
      <c r="F135" s="34">
        <f>F133-F134+F132</f>
        <v/>
      </c>
      <c r="G135" s="34">
        <f>G133-G134+G132</f>
        <v/>
      </c>
      <c r="H135" s="34">
        <f>H133-H134+H132</f>
        <v/>
      </c>
      <c r="I135" s="34">
        <f>I133-I134+I132</f>
        <v/>
      </c>
      <c r="J135" s="34">
        <f>J133-J134+J132</f>
        <v/>
      </c>
      <c r="K135" s="34">
        <f>K133-K134+K132</f>
        <v/>
      </c>
      <c r="L135" s="34">
        <f>L133-L134+L132</f>
        <v/>
      </c>
      <c r="M135" s="34">
        <f>M133-M134+M132</f>
        <v/>
      </c>
      <c r="N135" s="34">
        <f>N133-N134+N132</f>
        <v/>
      </c>
      <c r="O135" s="34">
        <f>O133-O134+O132</f>
        <v/>
      </c>
      <c r="P135" s="34">
        <f>P133-P134+P132</f>
        <v/>
      </c>
      <c r="Q135" s="34">
        <f>Q133-Q134+Q132</f>
        <v/>
      </c>
      <c r="R135" s="34">
        <f>R133-R134+R132</f>
        <v/>
      </c>
      <c r="S135" s="34">
        <f>S133-S134+S132</f>
        <v/>
      </c>
      <c r="T135" s="34">
        <f>T133-T134+T132</f>
        <v/>
      </c>
      <c r="U135" s="34">
        <f>U133-U134+U132</f>
        <v/>
      </c>
      <c r="V135" s="34">
        <f>V133-V134+V132</f>
        <v/>
      </c>
      <c r="W135" s="34">
        <f>W133-W134+W132</f>
        <v/>
      </c>
      <c r="X135" s="34">
        <f>X133-X134+X132</f>
        <v/>
      </c>
      <c r="Y135" s="34">
        <f>Y133-Y134+Y132</f>
        <v/>
      </c>
      <c r="Z135" s="34">
        <f>Z133-Z134+Z132</f>
        <v/>
      </c>
      <c r="AA135" s="34">
        <f>AA133-AA134+AA132</f>
        <v/>
      </c>
      <c r="AB135" s="34">
        <f>AB133-AB134+AB132</f>
        <v/>
      </c>
      <c r="AC135" s="34">
        <f>AC133-AC134+AC132</f>
        <v/>
      </c>
      <c r="AD135" s="34">
        <f>AD133-AD134+AD132</f>
        <v/>
      </c>
      <c r="AE135" s="34">
        <f>AE133-AE134+AE132</f>
        <v/>
      </c>
      <c r="AF135" s="34">
        <f>AF133-AF134+AF132</f>
        <v/>
      </c>
      <c r="AG135" s="34">
        <f>AG133-AG134+AG132</f>
        <v/>
      </c>
      <c r="AH135" s="34">
        <f>AH133-AH134+AH132</f>
        <v/>
      </c>
      <c r="AI135" s="34">
        <f>AI133-AI134+AI132</f>
        <v/>
      </c>
      <c r="AJ135" s="34">
        <f>AJ133-AJ134+AJ132</f>
        <v/>
      </c>
      <c r="AK135" s="34">
        <f>AK133-AK134+AK132</f>
        <v/>
      </c>
      <c r="AL135" s="34">
        <f>AL133-AL134+AL132</f>
        <v/>
      </c>
      <c r="AM135" s="34">
        <f>AM133-AM134+AM132</f>
        <v/>
      </c>
      <c r="AN135" s="34">
        <f>AN133-AN134+AN132</f>
        <v/>
      </c>
      <c r="AO135" s="34">
        <f>AO133-AO134+AO132</f>
        <v/>
      </c>
      <c r="AP135" s="34">
        <f>AP133-AP134+AP132</f>
        <v/>
      </c>
      <c r="AQ135" s="34">
        <f>AQ133-AQ134+AQ132</f>
        <v/>
      </c>
      <c r="AR135" s="34">
        <f>AR133-AR134+AR132</f>
        <v/>
      </c>
      <c r="AS135" s="34">
        <f>AS133-AS134+AS132</f>
        <v/>
      </c>
      <c r="AT135" s="34">
        <f>AT133-AT134+AT132</f>
        <v/>
      </c>
      <c r="AU135" s="34">
        <f>AU133-AU134+AU132</f>
        <v/>
      </c>
      <c r="AV135" s="34">
        <f>AV133-AV134+AV132</f>
        <v/>
      </c>
      <c r="AW135" s="34">
        <f>AW133-AW134+AW132</f>
        <v/>
      </c>
      <c r="AX135" s="34">
        <f>AX133-AX134+AX132</f>
        <v/>
      </c>
      <c r="AY135" s="34">
        <f>AY133-AY134+AY132</f>
        <v/>
      </c>
      <c r="AZ135" s="34">
        <f>AZ133-AZ134+AZ132</f>
        <v/>
      </c>
      <c r="BA135" s="34">
        <f>BA133-BA134+BA132</f>
        <v/>
      </c>
      <c r="BB135" s="34">
        <f>BB133-BB134+BB132</f>
        <v/>
      </c>
      <c r="BC135" s="34">
        <f>BC133-BC134+BC132</f>
        <v/>
      </c>
      <c r="BD135" s="34">
        <f>BD133-BD134+BD132</f>
        <v/>
      </c>
    </row>
    <row r="136">
      <c r="A136" s="35" t="inlineStr">
        <is>
          <t>Farmers Market — most you may sell this week</t>
        </is>
      </c>
      <c r="B136" s="4" t="inlineStr">
        <is>
          <t>lb</t>
        </is>
      </c>
      <c r="E136" s="36">
        <f>IF($C$20="Annual",$D$20-0,IF(AND(1&gt;=$E$20,1&lt;=$F$20),$D$20,0))</f>
        <v/>
      </c>
      <c r="F136" s="36">
        <f>IF($C$20="Annual",$D$20-SUM(E138:E138),IF(AND(2&gt;=$E$20,2&lt;=$F$20),$D$20,0))</f>
        <v/>
      </c>
      <c r="G136" s="36">
        <f>IF($C$20="Annual",$D$20-SUM(E138:F138),IF(AND(3&gt;=$E$20,3&lt;=$F$20),$D$20,0))</f>
        <v/>
      </c>
      <c r="H136" s="36">
        <f>IF($C$20="Annual",$D$20-SUM(E138:G138),IF(AND(4&gt;=$E$20,4&lt;=$F$20),$D$20,0))</f>
        <v/>
      </c>
      <c r="I136" s="36">
        <f>IF($C$20="Annual",$D$20-SUM(E138:H138),IF(AND(5&gt;=$E$20,5&lt;=$F$20),$D$20,0))</f>
        <v/>
      </c>
      <c r="J136" s="36">
        <f>IF($C$20="Annual",$D$20-SUM(E138:I138),IF(AND(6&gt;=$E$20,6&lt;=$F$20),$D$20,0))</f>
        <v/>
      </c>
      <c r="K136" s="36">
        <f>IF($C$20="Annual",$D$20-SUM(E138:J138),IF(AND(7&gt;=$E$20,7&lt;=$F$20),$D$20,0))</f>
        <v/>
      </c>
      <c r="L136" s="36">
        <f>IF($C$20="Annual",$D$20-SUM(E138:K138),IF(AND(8&gt;=$E$20,8&lt;=$F$20),$D$20,0))</f>
        <v/>
      </c>
      <c r="M136" s="36">
        <f>IF($C$20="Annual",$D$20-SUM(E138:L138),IF(AND(9&gt;=$E$20,9&lt;=$F$20),$D$20,0))</f>
        <v/>
      </c>
      <c r="N136" s="36">
        <f>IF($C$20="Annual",$D$20-SUM(E138:M138),IF(AND(10&gt;=$E$20,10&lt;=$F$20),$D$20,0))</f>
        <v/>
      </c>
      <c r="O136" s="36">
        <f>IF($C$20="Annual",$D$20-SUM(E138:N138),IF(AND(11&gt;=$E$20,11&lt;=$F$20),$D$20,0))</f>
        <v/>
      </c>
      <c r="P136" s="36">
        <f>IF($C$20="Annual",$D$20-SUM(E138:O138),IF(AND(12&gt;=$E$20,12&lt;=$F$20),$D$20,0))</f>
        <v/>
      </c>
      <c r="Q136" s="36">
        <f>IF($C$20="Annual",$D$20-SUM(E138:P138),IF(AND(13&gt;=$E$20,13&lt;=$F$20),$D$20,0))</f>
        <v/>
      </c>
      <c r="R136" s="36">
        <f>IF($C$20="Annual",$D$20-SUM(E138:Q138),IF(AND(14&gt;=$E$20,14&lt;=$F$20),$D$20,0))</f>
        <v/>
      </c>
      <c r="S136" s="36">
        <f>IF($C$20="Annual",$D$20-SUM(E138:R138),IF(AND(15&gt;=$E$20,15&lt;=$F$20),$D$20,0))</f>
        <v/>
      </c>
      <c r="T136" s="36">
        <f>IF($C$20="Annual",$D$20-SUM(E138:S138),IF(AND(16&gt;=$E$20,16&lt;=$F$20),$D$20,0))</f>
        <v/>
      </c>
      <c r="U136" s="36">
        <f>IF($C$20="Annual",$D$20-SUM(E138:T138),IF(AND(17&gt;=$E$20,17&lt;=$F$20),$D$20,0))</f>
        <v/>
      </c>
      <c r="V136" s="36">
        <f>IF($C$20="Annual",$D$20-SUM(E138:U138),IF(AND(18&gt;=$E$20,18&lt;=$F$20),$D$20,0))</f>
        <v/>
      </c>
      <c r="W136" s="36">
        <f>IF($C$20="Annual",$D$20-SUM(E138:V138),IF(AND(19&gt;=$E$20,19&lt;=$F$20),$D$20,0))</f>
        <v/>
      </c>
      <c r="X136" s="36">
        <f>IF($C$20="Annual",$D$20-SUM(E138:W138),IF(AND(20&gt;=$E$20,20&lt;=$F$20),$D$20,0))</f>
        <v/>
      </c>
      <c r="Y136" s="36">
        <f>IF($C$20="Annual",$D$20-SUM(E138:X138),IF(AND(21&gt;=$E$20,21&lt;=$F$20),$D$20,0))</f>
        <v/>
      </c>
      <c r="Z136" s="36">
        <f>IF($C$20="Annual",$D$20-SUM(E138:Y138),IF(AND(22&gt;=$E$20,22&lt;=$F$20),$D$20,0))</f>
        <v/>
      </c>
      <c r="AA136" s="36">
        <f>IF($C$20="Annual",$D$20-SUM(E138:Z138),IF(AND(23&gt;=$E$20,23&lt;=$F$20),$D$20,0))</f>
        <v/>
      </c>
      <c r="AB136" s="36">
        <f>IF($C$20="Annual",$D$20-SUM(E138:AA138),IF(AND(24&gt;=$E$20,24&lt;=$F$20),$D$20,0))</f>
        <v/>
      </c>
      <c r="AC136" s="36">
        <f>IF($C$20="Annual",$D$20-SUM(E138:AB138),IF(AND(25&gt;=$E$20,25&lt;=$F$20),$D$20,0))</f>
        <v/>
      </c>
      <c r="AD136" s="36">
        <f>IF($C$20="Annual",$D$20-SUM(E138:AC138),IF(AND(26&gt;=$E$20,26&lt;=$F$20),$D$20,0))</f>
        <v/>
      </c>
      <c r="AE136" s="36">
        <f>IF($C$20="Annual",$D$20-SUM(E138:AD138),IF(AND(27&gt;=$E$20,27&lt;=$F$20),$D$20,0))</f>
        <v/>
      </c>
      <c r="AF136" s="36">
        <f>IF($C$20="Annual",$D$20-SUM(E138:AE138),IF(AND(28&gt;=$E$20,28&lt;=$F$20),$D$20,0))</f>
        <v/>
      </c>
      <c r="AG136" s="36">
        <f>IF($C$20="Annual",$D$20-SUM(E138:AF138),IF(AND(29&gt;=$E$20,29&lt;=$F$20),$D$20,0))</f>
        <v/>
      </c>
      <c r="AH136" s="36">
        <f>IF($C$20="Annual",$D$20-SUM(E138:AG138),IF(AND(30&gt;=$E$20,30&lt;=$F$20),$D$20,0))</f>
        <v/>
      </c>
      <c r="AI136" s="36">
        <f>IF($C$20="Annual",$D$20-SUM(E138:AH138),IF(AND(31&gt;=$E$20,31&lt;=$F$20),$D$20,0))</f>
        <v/>
      </c>
      <c r="AJ136" s="36">
        <f>IF($C$20="Annual",$D$20-SUM(E138:AI138),IF(AND(32&gt;=$E$20,32&lt;=$F$20),$D$20,0))</f>
        <v/>
      </c>
      <c r="AK136" s="36">
        <f>IF($C$20="Annual",$D$20-SUM(E138:AJ138),IF(AND(33&gt;=$E$20,33&lt;=$F$20),$D$20,0))</f>
        <v/>
      </c>
      <c r="AL136" s="36">
        <f>IF($C$20="Annual",$D$20-SUM(E138:AK138),IF(AND(34&gt;=$E$20,34&lt;=$F$20),$D$20,0))</f>
        <v/>
      </c>
      <c r="AM136" s="36">
        <f>IF($C$20="Annual",$D$20-SUM(E138:AL138),IF(AND(35&gt;=$E$20,35&lt;=$F$20),$D$20,0))</f>
        <v/>
      </c>
      <c r="AN136" s="36">
        <f>IF($C$20="Annual",$D$20-SUM(E138:AM138),IF(AND(36&gt;=$E$20,36&lt;=$F$20),$D$20,0))</f>
        <v/>
      </c>
      <c r="AO136" s="36">
        <f>IF($C$20="Annual",$D$20-SUM(E138:AN138),IF(AND(37&gt;=$E$20,37&lt;=$F$20),$D$20,0))</f>
        <v/>
      </c>
      <c r="AP136" s="36">
        <f>IF($C$20="Annual",$D$20-SUM(E138:AO138),IF(AND(38&gt;=$E$20,38&lt;=$F$20),$D$20,0))</f>
        <v/>
      </c>
      <c r="AQ136" s="36">
        <f>IF($C$20="Annual",$D$20-SUM(E138:AP138),IF(AND(39&gt;=$E$20,39&lt;=$F$20),$D$20,0))</f>
        <v/>
      </c>
      <c r="AR136" s="36">
        <f>IF($C$20="Annual",$D$20-SUM(E138:AQ138),IF(AND(40&gt;=$E$20,40&lt;=$F$20),$D$20,0))</f>
        <v/>
      </c>
      <c r="AS136" s="36">
        <f>IF($C$20="Annual",$D$20-SUM(E138:AR138),IF(AND(41&gt;=$E$20,41&lt;=$F$20),$D$20,0))</f>
        <v/>
      </c>
      <c r="AT136" s="36">
        <f>IF($C$20="Annual",$D$20-SUM(E138:AS138),IF(AND(42&gt;=$E$20,42&lt;=$F$20),$D$20,0))</f>
        <v/>
      </c>
      <c r="AU136" s="36">
        <f>IF($C$20="Annual",$D$20-SUM(E138:AT138),IF(AND(43&gt;=$E$20,43&lt;=$F$20),$D$20,0))</f>
        <v/>
      </c>
      <c r="AV136" s="36">
        <f>IF($C$20="Annual",$D$20-SUM(E138:AU138),IF(AND(44&gt;=$E$20,44&lt;=$F$20),$D$20,0))</f>
        <v/>
      </c>
      <c r="AW136" s="36">
        <f>IF($C$20="Annual",$D$20-SUM(E138:AV138),IF(AND(45&gt;=$E$20,45&lt;=$F$20),$D$20,0))</f>
        <v/>
      </c>
      <c r="AX136" s="36">
        <f>IF($C$20="Annual",$D$20-SUM(E138:AW138),IF(AND(46&gt;=$E$20,46&lt;=$F$20),$D$20,0))</f>
        <v/>
      </c>
      <c r="AY136" s="36">
        <f>IF($C$20="Annual",$D$20-SUM(E138:AX138),IF(AND(47&gt;=$E$20,47&lt;=$F$20),$D$20,0))</f>
        <v/>
      </c>
      <c r="AZ136" s="36">
        <f>IF($C$20="Annual",$D$20-SUM(E138:AY138),IF(AND(48&gt;=$E$20,48&lt;=$F$20),$D$20,0))</f>
        <v/>
      </c>
      <c r="BA136" s="36">
        <f>IF($C$20="Annual",$D$20-SUM(E138:AZ138),IF(AND(49&gt;=$E$20,49&lt;=$F$20),$D$20,0))</f>
        <v/>
      </c>
      <c r="BB136" s="36">
        <f>IF($C$20="Annual",$D$20-SUM(E138:BA138),IF(AND(50&gt;=$E$20,50&lt;=$F$20),$D$20,0))</f>
        <v/>
      </c>
      <c r="BC136" s="36">
        <f>IF($C$20="Annual",$D$20-SUM(E138:BB138),IF(AND(51&gt;=$E$20,51&lt;=$F$20),$D$20,0))</f>
        <v/>
      </c>
      <c r="BD136" s="36">
        <f>IF($C$20="Annual",$D$20-SUM(E138:BC138),IF(AND(52&gt;=$E$20,52&lt;=$F$20),$D$20,0))</f>
        <v/>
      </c>
    </row>
    <row r="137">
      <c r="A137" s="20" t="inlineStr">
        <is>
          <t>Farmers Market — OFFERED</t>
        </is>
      </c>
      <c r="B137" s="4" t="inlineStr">
        <is>
          <t>lb  &lt;-- SOLVER</t>
        </is>
      </c>
      <c r="E137" s="37" t="n">
        <v>0</v>
      </c>
      <c r="F137" s="37" t="n">
        <v>0</v>
      </c>
      <c r="G137" s="37" t="n">
        <v>0</v>
      </c>
      <c r="H137" s="37" t="n">
        <v>0</v>
      </c>
      <c r="I137" s="37" t="n">
        <v>0</v>
      </c>
      <c r="J137" s="37" t="n">
        <v>0</v>
      </c>
      <c r="K137" s="37" t="n">
        <v>0</v>
      </c>
      <c r="L137" s="37" t="n">
        <v>0</v>
      </c>
      <c r="M137" s="37" t="n">
        <v>0</v>
      </c>
      <c r="N137" s="37" t="n">
        <v>0</v>
      </c>
      <c r="O137" s="37" t="n">
        <v>0</v>
      </c>
      <c r="P137" s="37" t="n">
        <v>0</v>
      </c>
      <c r="Q137" s="37" t="n">
        <v>0</v>
      </c>
      <c r="R137" s="37" t="n">
        <v>0</v>
      </c>
      <c r="S137" s="37" t="n">
        <v>0</v>
      </c>
      <c r="T137" s="37" t="n">
        <v>0</v>
      </c>
      <c r="U137" s="37" t="n">
        <v>0</v>
      </c>
      <c r="V137" s="37" t="n">
        <v>0</v>
      </c>
      <c r="W137" s="37" t="n">
        <v>0</v>
      </c>
      <c r="X137" s="37" t="n">
        <v>0</v>
      </c>
      <c r="Y137" s="37" t="n">
        <v>0</v>
      </c>
      <c r="Z137" s="37" t="n">
        <v>0</v>
      </c>
      <c r="AA137" s="37" t="n">
        <v>0</v>
      </c>
      <c r="AB137" s="37" t="n">
        <v>0</v>
      </c>
      <c r="AC137" s="37" t="n">
        <v>0</v>
      </c>
      <c r="AD137" s="37" t="n">
        <v>0</v>
      </c>
      <c r="AE137" s="37" t="n">
        <v>0</v>
      </c>
      <c r="AF137" s="37" t="n">
        <v>0</v>
      </c>
      <c r="AG137" s="37" t="n">
        <v>0</v>
      </c>
      <c r="AH137" s="37" t="n">
        <v>0</v>
      </c>
      <c r="AI137" s="37" t="n">
        <v>0</v>
      </c>
      <c r="AJ137" s="37" t="n">
        <v>0</v>
      </c>
      <c r="AK137" s="37" t="n">
        <v>0</v>
      </c>
      <c r="AL137" s="37" t="n">
        <v>0</v>
      </c>
      <c r="AM137" s="37" t="n">
        <v>0</v>
      </c>
      <c r="AN137" s="37" t="n">
        <v>0</v>
      </c>
      <c r="AO137" s="37" t="n">
        <v>0</v>
      </c>
      <c r="AP137" s="37" t="n">
        <v>0</v>
      </c>
      <c r="AQ137" s="37" t="n">
        <v>0</v>
      </c>
      <c r="AR137" s="37" t="n">
        <v>0</v>
      </c>
      <c r="AS137" s="37" t="n">
        <v>0</v>
      </c>
      <c r="AT137" s="37" t="n">
        <v>0</v>
      </c>
      <c r="AU137" s="37" t="n">
        <v>0</v>
      </c>
      <c r="AV137" s="37" t="n">
        <v>0</v>
      </c>
      <c r="AW137" s="37" t="n">
        <v>0</v>
      </c>
      <c r="AX137" s="37" t="n">
        <v>0</v>
      </c>
      <c r="AY137" s="37" t="n">
        <v>0</v>
      </c>
      <c r="AZ137" s="37" t="n">
        <v>0</v>
      </c>
      <c r="BA137" s="37" t="n">
        <v>0</v>
      </c>
      <c r="BB137" s="37" t="n">
        <v>0</v>
      </c>
      <c r="BC137" s="37" t="n">
        <v>0</v>
      </c>
      <c r="BD137" s="37" t="n">
        <v>0</v>
      </c>
    </row>
    <row r="138">
      <c r="A138" s="38" t="inlineStr">
        <is>
          <t>Farmers Market — SOLD</t>
        </is>
      </c>
      <c r="B138" s="4" t="inlineStr">
        <is>
          <t>lb</t>
        </is>
      </c>
      <c r="E138" s="36">
        <f>E137*$G$20</f>
        <v/>
      </c>
      <c r="F138" s="36">
        <f>F137*$G$20</f>
        <v/>
      </c>
      <c r="G138" s="36">
        <f>G137*$G$20</f>
        <v/>
      </c>
      <c r="H138" s="36">
        <f>H137*$G$20</f>
        <v/>
      </c>
      <c r="I138" s="36">
        <f>I137*$G$20</f>
        <v/>
      </c>
      <c r="J138" s="36">
        <f>J137*$G$20</f>
        <v/>
      </c>
      <c r="K138" s="36">
        <f>K137*$G$20</f>
        <v/>
      </c>
      <c r="L138" s="36">
        <f>L137*$G$20</f>
        <v/>
      </c>
      <c r="M138" s="36">
        <f>M137*$G$20</f>
        <v/>
      </c>
      <c r="N138" s="36">
        <f>N137*$G$20</f>
        <v/>
      </c>
      <c r="O138" s="36">
        <f>O137*$G$20</f>
        <v/>
      </c>
      <c r="P138" s="36">
        <f>P137*$G$20</f>
        <v/>
      </c>
      <c r="Q138" s="36">
        <f>Q137*$G$20</f>
        <v/>
      </c>
      <c r="R138" s="36">
        <f>R137*$G$20</f>
        <v/>
      </c>
      <c r="S138" s="36">
        <f>S137*$G$20</f>
        <v/>
      </c>
      <c r="T138" s="36">
        <f>T137*$G$20</f>
        <v/>
      </c>
      <c r="U138" s="36">
        <f>U137*$G$20</f>
        <v/>
      </c>
      <c r="V138" s="36">
        <f>V137*$G$20</f>
        <v/>
      </c>
      <c r="W138" s="36">
        <f>W137*$G$20</f>
        <v/>
      </c>
      <c r="X138" s="36">
        <f>X137*$G$20</f>
        <v/>
      </c>
      <c r="Y138" s="36">
        <f>Y137*$G$20</f>
        <v/>
      </c>
      <c r="Z138" s="36">
        <f>Z137*$G$20</f>
        <v/>
      </c>
      <c r="AA138" s="36">
        <f>AA137*$G$20</f>
        <v/>
      </c>
      <c r="AB138" s="36">
        <f>AB137*$G$20</f>
        <v/>
      </c>
      <c r="AC138" s="36">
        <f>AC137*$G$20</f>
        <v/>
      </c>
      <c r="AD138" s="36">
        <f>AD137*$G$20</f>
        <v/>
      </c>
      <c r="AE138" s="36">
        <f>AE137*$G$20</f>
        <v/>
      </c>
      <c r="AF138" s="36">
        <f>AF137*$G$20</f>
        <v/>
      </c>
      <c r="AG138" s="36">
        <f>AG137*$G$20</f>
        <v/>
      </c>
      <c r="AH138" s="36">
        <f>AH137*$G$20</f>
        <v/>
      </c>
      <c r="AI138" s="36">
        <f>AI137*$G$20</f>
        <v/>
      </c>
      <c r="AJ138" s="36">
        <f>AJ137*$G$20</f>
        <v/>
      </c>
      <c r="AK138" s="36">
        <f>AK137*$G$20</f>
        <v/>
      </c>
      <c r="AL138" s="36">
        <f>AL137*$G$20</f>
        <v/>
      </c>
      <c r="AM138" s="36">
        <f>AM137*$G$20</f>
        <v/>
      </c>
      <c r="AN138" s="36">
        <f>AN137*$G$20</f>
        <v/>
      </c>
      <c r="AO138" s="36">
        <f>AO137*$G$20</f>
        <v/>
      </c>
      <c r="AP138" s="36">
        <f>AP137*$G$20</f>
        <v/>
      </c>
      <c r="AQ138" s="36">
        <f>AQ137*$G$20</f>
        <v/>
      </c>
      <c r="AR138" s="36">
        <f>AR137*$G$20</f>
        <v/>
      </c>
      <c r="AS138" s="36">
        <f>AS137*$G$20</f>
        <v/>
      </c>
      <c r="AT138" s="36">
        <f>AT137*$G$20</f>
        <v/>
      </c>
      <c r="AU138" s="36">
        <f>AU137*$G$20</f>
        <v/>
      </c>
      <c r="AV138" s="36">
        <f>AV137*$G$20</f>
        <v/>
      </c>
      <c r="AW138" s="36">
        <f>AW137*$G$20</f>
        <v/>
      </c>
      <c r="AX138" s="36">
        <f>AX137*$G$20</f>
        <v/>
      </c>
      <c r="AY138" s="36">
        <f>AY137*$G$20</f>
        <v/>
      </c>
      <c r="AZ138" s="36">
        <f>AZ137*$G$20</f>
        <v/>
      </c>
      <c r="BA138" s="36">
        <f>BA137*$G$20</f>
        <v/>
      </c>
      <c r="BB138" s="36">
        <f>BB137*$G$20</f>
        <v/>
      </c>
      <c r="BC138" s="36">
        <f>BC137*$G$20</f>
        <v/>
      </c>
      <c r="BD138" s="36">
        <f>BD137*$G$20</f>
        <v/>
      </c>
    </row>
    <row r="139">
      <c r="A139" s="24" t="inlineStr">
        <is>
          <t xml:space="preserve">   market loss (gone)</t>
        </is>
      </c>
      <c r="B139" s="4" t="inlineStr">
        <is>
          <t>lb</t>
        </is>
      </c>
      <c r="E139" s="34">
        <f>(E137-E138)*(1-$H$20)</f>
        <v/>
      </c>
      <c r="F139" s="34">
        <f>(F137-F138)*(1-$H$20)</f>
        <v/>
      </c>
      <c r="G139" s="34">
        <f>(G137-G138)*(1-$H$20)</f>
        <v/>
      </c>
      <c r="H139" s="34">
        <f>(H137-H138)*(1-$H$20)</f>
        <v/>
      </c>
      <c r="I139" s="34">
        <f>(I137-I138)*(1-$H$20)</f>
        <v/>
      </c>
      <c r="J139" s="34">
        <f>(J137-J138)*(1-$H$20)</f>
        <v/>
      </c>
      <c r="K139" s="34">
        <f>(K137-K138)*(1-$H$20)</f>
        <v/>
      </c>
      <c r="L139" s="34">
        <f>(L137-L138)*(1-$H$20)</f>
        <v/>
      </c>
      <c r="M139" s="34">
        <f>(M137-M138)*(1-$H$20)</f>
        <v/>
      </c>
      <c r="N139" s="34">
        <f>(N137-N138)*(1-$H$20)</f>
        <v/>
      </c>
      <c r="O139" s="34">
        <f>(O137-O138)*(1-$H$20)</f>
        <v/>
      </c>
      <c r="P139" s="34">
        <f>(P137-P138)*(1-$H$20)</f>
        <v/>
      </c>
      <c r="Q139" s="34">
        <f>(Q137-Q138)*(1-$H$20)</f>
        <v/>
      </c>
      <c r="R139" s="34">
        <f>(R137-R138)*(1-$H$20)</f>
        <v/>
      </c>
      <c r="S139" s="34">
        <f>(S137-S138)*(1-$H$20)</f>
        <v/>
      </c>
      <c r="T139" s="34">
        <f>(T137-T138)*(1-$H$20)</f>
        <v/>
      </c>
      <c r="U139" s="34">
        <f>(U137-U138)*(1-$H$20)</f>
        <v/>
      </c>
      <c r="V139" s="34">
        <f>(V137-V138)*(1-$H$20)</f>
        <v/>
      </c>
      <c r="W139" s="34">
        <f>(W137-W138)*(1-$H$20)</f>
        <v/>
      </c>
      <c r="X139" s="34">
        <f>(X137-X138)*(1-$H$20)</f>
        <v/>
      </c>
      <c r="Y139" s="34">
        <f>(Y137-Y138)*(1-$H$20)</f>
        <v/>
      </c>
      <c r="Z139" s="34">
        <f>(Z137-Z138)*(1-$H$20)</f>
        <v/>
      </c>
      <c r="AA139" s="34">
        <f>(AA137-AA138)*(1-$H$20)</f>
        <v/>
      </c>
      <c r="AB139" s="34">
        <f>(AB137-AB138)*(1-$H$20)</f>
        <v/>
      </c>
      <c r="AC139" s="34">
        <f>(AC137-AC138)*(1-$H$20)</f>
        <v/>
      </c>
      <c r="AD139" s="34">
        <f>(AD137-AD138)*(1-$H$20)</f>
        <v/>
      </c>
      <c r="AE139" s="34">
        <f>(AE137-AE138)*(1-$H$20)</f>
        <v/>
      </c>
      <c r="AF139" s="34">
        <f>(AF137-AF138)*(1-$H$20)</f>
        <v/>
      </c>
      <c r="AG139" s="34">
        <f>(AG137-AG138)*(1-$H$20)</f>
        <v/>
      </c>
      <c r="AH139" s="34">
        <f>(AH137-AH138)*(1-$H$20)</f>
        <v/>
      </c>
      <c r="AI139" s="34">
        <f>(AI137-AI138)*(1-$H$20)</f>
        <v/>
      </c>
      <c r="AJ139" s="34">
        <f>(AJ137-AJ138)*(1-$H$20)</f>
        <v/>
      </c>
      <c r="AK139" s="34">
        <f>(AK137-AK138)*(1-$H$20)</f>
        <v/>
      </c>
      <c r="AL139" s="34">
        <f>(AL137-AL138)*(1-$H$20)</f>
        <v/>
      </c>
      <c r="AM139" s="34">
        <f>(AM137-AM138)*(1-$H$20)</f>
        <v/>
      </c>
      <c r="AN139" s="34">
        <f>(AN137-AN138)*(1-$H$20)</f>
        <v/>
      </c>
      <c r="AO139" s="34">
        <f>(AO137-AO138)*(1-$H$20)</f>
        <v/>
      </c>
      <c r="AP139" s="34">
        <f>(AP137-AP138)*(1-$H$20)</f>
        <v/>
      </c>
      <c r="AQ139" s="34">
        <f>(AQ137-AQ138)*(1-$H$20)</f>
        <v/>
      </c>
      <c r="AR139" s="34">
        <f>(AR137-AR138)*(1-$H$20)</f>
        <v/>
      </c>
      <c r="AS139" s="34">
        <f>(AS137-AS138)*(1-$H$20)</f>
        <v/>
      </c>
      <c r="AT139" s="34">
        <f>(AT137-AT138)*(1-$H$20)</f>
        <v/>
      </c>
      <c r="AU139" s="34">
        <f>(AU137-AU138)*(1-$H$20)</f>
        <v/>
      </c>
      <c r="AV139" s="34">
        <f>(AV137-AV138)*(1-$H$20)</f>
        <v/>
      </c>
      <c r="AW139" s="34">
        <f>(AW137-AW138)*(1-$H$20)</f>
        <v/>
      </c>
      <c r="AX139" s="34">
        <f>(AX137-AX138)*(1-$H$20)</f>
        <v/>
      </c>
      <c r="AY139" s="34">
        <f>(AY137-AY138)*(1-$H$20)</f>
        <v/>
      </c>
      <c r="AZ139" s="34">
        <f>(AZ137-AZ138)*(1-$H$20)</f>
        <v/>
      </c>
      <c r="BA139" s="34">
        <f>(BA137-BA138)*(1-$H$20)</f>
        <v/>
      </c>
      <c r="BB139" s="34">
        <f>(BB137-BB138)*(1-$H$20)</f>
        <v/>
      </c>
      <c r="BC139" s="34">
        <f>(BC137-BC138)*(1-$H$20)</f>
        <v/>
      </c>
      <c r="BD139" s="34">
        <f>(BD137-BD138)*(1-$H$20)</f>
        <v/>
      </c>
    </row>
    <row r="140">
      <c r="A140" s="24" t="inlineStr">
        <is>
          <t xml:space="preserve">   returned to store</t>
        </is>
      </c>
      <c r="B140" s="4" t="inlineStr">
        <is>
          <t>lb</t>
        </is>
      </c>
      <c r="E140" s="34">
        <f>(E137-E138)*$H$20</f>
        <v/>
      </c>
      <c r="F140" s="34">
        <f>(F137-F138)*$H$20</f>
        <v/>
      </c>
      <c r="G140" s="34">
        <f>(G137-G138)*$H$20</f>
        <v/>
      </c>
      <c r="H140" s="34">
        <f>(H137-H138)*$H$20</f>
        <v/>
      </c>
      <c r="I140" s="34">
        <f>(I137-I138)*$H$20</f>
        <v/>
      </c>
      <c r="J140" s="34">
        <f>(J137-J138)*$H$20</f>
        <v/>
      </c>
      <c r="K140" s="34">
        <f>(K137-K138)*$H$20</f>
        <v/>
      </c>
      <c r="L140" s="34">
        <f>(L137-L138)*$H$20</f>
        <v/>
      </c>
      <c r="M140" s="34">
        <f>(M137-M138)*$H$20</f>
        <v/>
      </c>
      <c r="N140" s="34">
        <f>(N137-N138)*$H$20</f>
        <v/>
      </c>
      <c r="O140" s="34">
        <f>(O137-O138)*$H$20</f>
        <v/>
      </c>
      <c r="P140" s="34">
        <f>(P137-P138)*$H$20</f>
        <v/>
      </c>
      <c r="Q140" s="34">
        <f>(Q137-Q138)*$H$20</f>
        <v/>
      </c>
      <c r="R140" s="34">
        <f>(R137-R138)*$H$20</f>
        <v/>
      </c>
      <c r="S140" s="34">
        <f>(S137-S138)*$H$20</f>
        <v/>
      </c>
      <c r="T140" s="34">
        <f>(T137-T138)*$H$20</f>
        <v/>
      </c>
      <c r="U140" s="34">
        <f>(U137-U138)*$H$20</f>
        <v/>
      </c>
      <c r="V140" s="34">
        <f>(V137-V138)*$H$20</f>
        <v/>
      </c>
      <c r="W140" s="34">
        <f>(W137-W138)*$H$20</f>
        <v/>
      </c>
      <c r="X140" s="34">
        <f>(X137-X138)*$H$20</f>
        <v/>
      </c>
      <c r="Y140" s="34">
        <f>(Y137-Y138)*$H$20</f>
        <v/>
      </c>
      <c r="Z140" s="34">
        <f>(Z137-Z138)*$H$20</f>
        <v/>
      </c>
      <c r="AA140" s="34">
        <f>(AA137-AA138)*$H$20</f>
        <v/>
      </c>
      <c r="AB140" s="34">
        <f>(AB137-AB138)*$H$20</f>
        <v/>
      </c>
      <c r="AC140" s="34">
        <f>(AC137-AC138)*$H$20</f>
        <v/>
      </c>
      <c r="AD140" s="34">
        <f>(AD137-AD138)*$H$20</f>
        <v/>
      </c>
      <c r="AE140" s="34">
        <f>(AE137-AE138)*$H$20</f>
        <v/>
      </c>
      <c r="AF140" s="34">
        <f>(AF137-AF138)*$H$20</f>
        <v/>
      </c>
      <c r="AG140" s="34">
        <f>(AG137-AG138)*$H$20</f>
        <v/>
      </c>
      <c r="AH140" s="34">
        <f>(AH137-AH138)*$H$20</f>
        <v/>
      </c>
      <c r="AI140" s="34">
        <f>(AI137-AI138)*$H$20</f>
        <v/>
      </c>
      <c r="AJ140" s="34">
        <f>(AJ137-AJ138)*$H$20</f>
        <v/>
      </c>
      <c r="AK140" s="34">
        <f>(AK137-AK138)*$H$20</f>
        <v/>
      </c>
      <c r="AL140" s="34">
        <f>(AL137-AL138)*$H$20</f>
        <v/>
      </c>
      <c r="AM140" s="34">
        <f>(AM137-AM138)*$H$20</f>
        <v/>
      </c>
      <c r="AN140" s="34">
        <f>(AN137-AN138)*$H$20</f>
        <v/>
      </c>
      <c r="AO140" s="34">
        <f>(AO137-AO138)*$H$20</f>
        <v/>
      </c>
      <c r="AP140" s="34">
        <f>(AP137-AP138)*$H$20</f>
        <v/>
      </c>
      <c r="AQ140" s="34">
        <f>(AQ137-AQ138)*$H$20</f>
        <v/>
      </c>
      <c r="AR140" s="34">
        <f>(AR137-AR138)*$H$20</f>
        <v/>
      </c>
      <c r="AS140" s="34">
        <f>(AS137-AS138)*$H$20</f>
        <v/>
      </c>
      <c r="AT140" s="34">
        <f>(AT137-AT138)*$H$20</f>
        <v/>
      </c>
      <c r="AU140" s="34">
        <f>(AU137-AU138)*$H$20</f>
        <v/>
      </c>
      <c r="AV140" s="34">
        <f>(AV137-AV138)*$H$20</f>
        <v/>
      </c>
      <c r="AW140" s="34">
        <f>(AW137-AW138)*$H$20</f>
        <v/>
      </c>
      <c r="AX140" s="34">
        <f>(AX137-AX138)*$H$20</f>
        <v/>
      </c>
      <c r="AY140" s="34">
        <f>(AY137-AY138)*$H$20</f>
        <v/>
      </c>
      <c r="AZ140" s="34">
        <f>(AZ137-AZ138)*$H$20</f>
        <v/>
      </c>
      <c r="BA140" s="34">
        <f>(BA137-BA138)*$H$20</f>
        <v/>
      </c>
      <c r="BB140" s="34">
        <f>(BB137-BB138)*$H$20</f>
        <v/>
      </c>
      <c r="BC140" s="34">
        <f>(BC137-BC138)*$H$20</f>
        <v/>
      </c>
      <c r="BD140" s="34">
        <f>(BD137-BD138)*$H$20</f>
        <v/>
      </c>
    </row>
    <row r="141">
      <c r="A141" s="24" t="inlineStr">
        <is>
          <t xml:space="preserve">   leaves the store (offered - returned)</t>
        </is>
      </c>
      <c r="B141" s="4" t="inlineStr">
        <is>
          <t>lb</t>
        </is>
      </c>
      <c r="E141" s="34">
        <f>E137-E140</f>
        <v/>
      </c>
      <c r="F141" s="34">
        <f>F137-F140</f>
        <v/>
      </c>
      <c r="G141" s="34">
        <f>G137-G140</f>
        <v/>
      </c>
      <c r="H141" s="34">
        <f>H137-H140</f>
        <v/>
      </c>
      <c r="I141" s="34">
        <f>I137-I140</f>
        <v/>
      </c>
      <c r="J141" s="34">
        <f>J137-J140</f>
        <v/>
      </c>
      <c r="K141" s="34">
        <f>K137-K140</f>
        <v/>
      </c>
      <c r="L141" s="34">
        <f>L137-L140</f>
        <v/>
      </c>
      <c r="M141" s="34">
        <f>M137-M140</f>
        <v/>
      </c>
      <c r="N141" s="34">
        <f>N137-N140</f>
        <v/>
      </c>
      <c r="O141" s="34">
        <f>O137-O140</f>
        <v/>
      </c>
      <c r="P141" s="34">
        <f>P137-P140</f>
        <v/>
      </c>
      <c r="Q141" s="34">
        <f>Q137-Q140</f>
        <v/>
      </c>
      <c r="R141" s="34">
        <f>R137-R140</f>
        <v/>
      </c>
      <c r="S141" s="34">
        <f>S137-S140</f>
        <v/>
      </c>
      <c r="T141" s="34">
        <f>T137-T140</f>
        <v/>
      </c>
      <c r="U141" s="34">
        <f>U137-U140</f>
        <v/>
      </c>
      <c r="V141" s="34">
        <f>V137-V140</f>
        <v/>
      </c>
      <c r="W141" s="34">
        <f>W137-W140</f>
        <v/>
      </c>
      <c r="X141" s="34">
        <f>X137-X140</f>
        <v/>
      </c>
      <c r="Y141" s="34">
        <f>Y137-Y140</f>
        <v/>
      </c>
      <c r="Z141" s="34">
        <f>Z137-Z140</f>
        <v/>
      </c>
      <c r="AA141" s="34">
        <f>AA137-AA140</f>
        <v/>
      </c>
      <c r="AB141" s="34">
        <f>AB137-AB140</f>
        <v/>
      </c>
      <c r="AC141" s="34">
        <f>AC137-AC140</f>
        <v/>
      </c>
      <c r="AD141" s="34">
        <f>AD137-AD140</f>
        <v/>
      </c>
      <c r="AE141" s="34">
        <f>AE137-AE140</f>
        <v/>
      </c>
      <c r="AF141" s="34">
        <f>AF137-AF140</f>
        <v/>
      </c>
      <c r="AG141" s="34">
        <f>AG137-AG140</f>
        <v/>
      </c>
      <c r="AH141" s="34">
        <f>AH137-AH140</f>
        <v/>
      </c>
      <c r="AI141" s="34">
        <f>AI137-AI140</f>
        <v/>
      </c>
      <c r="AJ141" s="34">
        <f>AJ137-AJ140</f>
        <v/>
      </c>
      <c r="AK141" s="34">
        <f>AK137-AK140</f>
        <v/>
      </c>
      <c r="AL141" s="34">
        <f>AL137-AL140</f>
        <v/>
      </c>
      <c r="AM141" s="34">
        <f>AM137-AM140</f>
        <v/>
      </c>
      <c r="AN141" s="34">
        <f>AN137-AN140</f>
        <v/>
      </c>
      <c r="AO141" s="34">
        <f>AO137-AO140</f>
        <v/>
      </c>
      <c r="AP141" s="34">
        <f>AP137-AP140</f>
        <v/>
      </c>
      <c r="AQ141" s="34">
        <f>AQ137-AQ140</f>
        <v/>
      </c>
      <c r="AR141" s="34">
        <f>AR137-AR140</f>
        <v/>
      </c>
      <c r="AS141" s="34">
        <f>AS137-AS140</f>
        <v/>
      </c>
      <c r="AT141" s="34">
        <f>AT137-AT140</f>
        <v/>
      </c>
      <c r="AU141" s="34">
        <f>AU137-AU140</f>
        <v/>
      </c>
      <c r="AV141" s="34">
        <f>AV137-AV140</f>
        <v/>
      </c>
      <c r="AW141" s="34">
        <f>AW137-AW140</f>
        <v/>
      </c>
      <c r="AX141" s="34">
        <f>AX137-AX140</f>
        <v/>
      </c>
      <c r="AY141" s="34">
        <f>AY137-AY140</f>
        <v/>
      </c>
      <c r="AZ141" s="34">
        <f>AZ137-AZ140</f>
        <v/>
      </c>
      <c r="BA141" s="34">
        <f>BA137-BA140</f>
        <v/>
      </c>
      <c r="BB141" s="34">
        <f>BB137-BB140</f>
        <v/>
      </c>
      <c r="BC141" s="34">
        <f>BC137-BC140</f>
        <v/>
      </c>
      <c r="BD141" s="34">
        <f>BD137-BD140</f>
        <v/>
      </c>
    </row>
    <row r="142">
      <c r="A142" s="43" t="inlineStr">
        <is>
          <t>Wholesale — most you may sell this week</t>
        </is>
      </c>
      <c r="B142" s="4" t="inlineStr">
        <is>
          <t>lb</t>
        </is>
      </c>
      <c r="E142" s="44">
        <f>IF($C$21="Annual",$D$21-0,IF(AND(1&gt;=$E$21,1&lt;=$F$21),$D$21,0))</f>
        <v/>
      </c>
      <c r="F142" s="44">
        <f>IF($C$21="Annual",$D$21-SUM(E146:E146),IF(AND(2&gt;=$E$21,2&lt;=$F$21),$D$21,0))</f>
        <v/>
      </c>
      <c r="G142" s="44">
        <f>IF($C$21="Annual",$D$21-SUM(E146:F146),IF(AND(3&gt;=$E$21,3&lt;=$F$21),$D$21,0))</f>
        <v/>
      </c>
      <c r="H142" s="44">
        <f>IF($C$21="Annual",$D$21-SUM(E146:G146),IF(AND(4&gt;=$E$21,4&lt;=$F$21),$D$21,0))</f>
        <v/>
      </c>
      <c r="I142" s="44">
        <f>IF($C$21="Annual",$D$21-SUM(E146:H146),IF(AND(5&gt;=$E$21,5&lt;=$F$21),$D$21,0))</f>
        <v/>
      </c>
      <c r="J142" s="44">
        <f>IF($C$21="Annual",$D$21-SUM(E146:I146),IF(AND(6&gt;=$E$21,6&lt;=$F$21),$D$21,0))</f>
        <v/>
      </c>
      <c r="K142" s="44">
        <f>IF($C$21="Annual",$D$21-SUM(E146:J146),IF(AND(7&gt;=$E$21,7&lt;=$F$21),$D$21,0))</f>
        <v/>
      </c>
      <c r="L142" s="44">
        <f>IF($C$21="Annual",$D$21-SUM(E146:K146),IF(AND(8&gt;=$E$21,8&lt;=$F$21),$D$21,0))</f>
        <v/>
      </c>
      <c r="M142" s="44">
        <f>IF($C$21="Annual",$D$21-SUM(E146:L146),IF(AND(9&gt;=$E$21,9&lt;=$F$21),$D$21,0))</f>
        <v/>
      </c>
      <c r="N142" s="44">
        <f>IF($C$21="Annual",$D$21-SUM(E146:M146),IF(AND(10&gt;=$E$21,10&lt;=$F$21),$D$21,0))</f>
        <v/>
      </c>
      <c r="O142" s="44">
        <f>IF($C$21="Annual",$D$21-SUM(E146:N146),IF(AND(11&gt;=$E$21,11&lt;=$F$21),$D$21,0))</f>
        <v/>
      </c>
      <c r="P142" s="44">
        <f>IF($C$21="Annual",$D$21-SUM(E146:O146),IF(AND(12&gt;=$E$21,12&lt;=$F$21),$D$21,0))</f>
        <v/>
      </c>
      <c r="Q142" s="44">
        <f>IF($C$21="Annual",$D$21-SUM(E146:P146),IF(AND(13&gt;=$E$21,13&lt;=$F$21),$D$21,0))</f>
        <v/>
      </c>
      <c r="R142" s="44">
        <f>IF($C$21="Annual",$D$21-SUM(E146:Q146),IF(AND(14&gt;=$E$21,14&lt;=$F$21),$D$21,0))</f>
        <v/>
      </c>
      <c r="S142" s="44">
        <f>IF($C$21="Annual",$D$21-SUM(E146:R146),IF(AND(15&gt;=$E$21,15&lt;=$F$21),$D$21,0))</f>
        <v/>
      </c>
      <c r="T142" s="44">
        <f>IF($C$21="Annual",$D$21-SUM(E146:S146),IF(AND(16&gt;=$E$21,16&lt;=$F$21),$D$21,0))</f>
        <v/>
      </c>
      <c r="U142" s="44">
        <f>IF($C$21="Annual",$D$21-SUM(E146:T146),IF(AND(17&gt;=$E$21,17&lt;=$F$21),$D$21,0))</f>
        <v/>
      </c>
      <c r="V142" s="44">
        <f>IF($C$21="Annual",$D$21-SUM(E146:U146),IF(AND(18&gt;=$E$21,18&lt;=$F$21),$D$21,0))</f>
        <v/>
      </c>
      <c r="W142" s="44">
        <f>IF($C$21="Annual",$D$21-SUM(E146:V146),IF(AND(19&gt;=$E$21,19&lt;=$F$21),$D$21,0))</f>
        <v/>
      </c>
      <c r="X142" s="44">
        <f>IF($C$21="Annual",$D$21-SUM(E146:W146),IF(AND(20&gt;=$E$21,20&lt;=$F$21),$D$21,0))</f>
        <v/>
      </c>
      <c r="Y142" s="44">
        <f>IF($C$21="Annual",$D$21-SUM(E146:X146),IF(AND(21&gt;=$E$21,21&lt;=$F$21),$D$21,0))</f>
        <v/>
      </c>
      <c r="Z142" s="44">
        <f>IF($C$21="Annual",$D$21-SUM(E146:Y146),IF(AND(22&gt;=$E$21,22&lt;=$F$21),$D$21,0))</f>
        <v/>
      </c>
      <c r="AA142" s="44">
        <f>IF($C$21="Annual",$D$21-SUM(E146:Z146),IF(AND(23&gt;=$E$21,23&lt;=$F$21),$D$21,0))</f>
        <v/>
      </c>
      <c r="AB142" s="44">
        <f>IF($C$21="Annual",$D$21-SUM(E146:AA146),IF(AND(24&gt;=$E$21,24&lt;=$F$21),$D$21,0))</f>
        <v/>
      </c>
      <c r="AC142" s="44">
        <f>IF($C$21="Annual",$D$21-SUM(E146:AB146),IF(AND(25&gt;=$E$21,25&lt;=$F$21),$D$21,0))</f>
        <v/>
      </c>
      <c r="AD142" s="44">
        <f>IF($C$21="Annual",$D$21-SUM(E146:AC146),IF(AND(26&gt;=$E$21,26&lt;=$F$21),$D$21,0))</f>
        <v/>
      </c>
      <c r="AE142" s="44">
        <f>IF($C$21="Annual",$D$21-SUM(E146:AD146),IF(AND(27&gt;=$E$21,27&lt;=$F$21),$D$21,0))</f>
        <v/>
      </c>
      <c r="AF142" s="44">
        <f>IF($C$21="Annual",$D$21-SUM(E146:AE146),IF(AND(28&gt;=$E$21,28&lt;=$F$21),$D$21,0))</f>
        <v/>
      </c>
      <c r="AG142" s="44">
        <f>IF($C$21="Annual",$D$21-SUM(E146:AF146),IF(AND(29&gt;=$E$21,29&lt;=$F$21),$D$21,0))</f>
        <v/>
      </c>
      <c r="AH142" s="44">
        <f>IF($C$21="Annual",$D$21-SUM(E146:AG146),IF(AND(30&gt;=$E$21,30&lt;=$F$21),$D$21,0))</f>
        <v/>
      </c>
      <c r="AI142" s="44">
        <f>IF($C$21="Annual",$D$21-SUM(E146:AH146),IF(AND(31&gt;=$E$21,31&lt;=$F$21),$D$21,0))</f>
        <v/>
      </c>
      <c r="AJ142" s="44">
        <f>IF($C$21="Annual",$D$21-SUM(E146:AI146),IF(AND(32&gt;=$E$21,32&lt;=$F$21),$D$21,0))</f>
        <v/>
      </c>
      <c r="AK142" s="44">
        <f>IF($C$21="Annual",$D$21-SUM(E146:AJ146),IF(AND(33&gt;=$E$21,33&lt;=$F$21),$D$21,0))</f>
        <v/>
      </c>
      <c r="AL142" s="44">
        <f>IF($C$21="Annual",$D$21-SUM(E146:AK146),IF(AND(34&gt;=$E$21,34&lt;=$F$21),$D$21,0))</f>
        <v/>
      </c>
      <c r="AM142" s="44">
        <f>IF($C$21="Annual",$D$21-SUM(E146:AL146),IF(AND(35&gt;=$E$21,35&lt;=$F$21),$D$21,0))</f>
        <v/>
      </c>
      <c r="AN142" s="44">
        <f>IF($C$21="Annual",$D$21-SUM(E146:AM146),IF(AND(36&gt;=$E$21,36&lt;=$F$21),$D$21,0))</f>
        <v/>
      </c>
      <c r="AO142" s="44">
        <f>IF($C$21="Annual",$D$21-SUM(E146:AN146),IF(AND(37&gt;=$E$21,37&lt;=$F$21),$D$21,0))</f>
        <v/>
      </c>
      <c r="AP142" s="44">
        <f>IF($C$21="Annual",$D$21-SUM(E146:AO146),IF(AND(38&gt;=$E$21,38&lt;=$F$21),$D$21,0))</f>
        <v/>
      </c>
      <c r="AQ142" s="44">
        <f>IF($C$21="Annual",$D$21-SUM(E146:AP146),IF(AND(39&gt;=$E$21,39&lt;=$F$21),$D$21,0))</f>
        <v/>
      </c>
      <c r="AR142" s="44">
        <f>IF($C$21="Annual",$D$21-SUM(E146:AQ146),IF(AND(40&gt;=$E$21,40&lt;=$F$21),$D$21,0))</f>
        <v/>
      </c>
      <c r="AS142" s="44">
        <f>IF($C$21="Annual",$D$21-SUM(E146:AR146),IF(AND(41&gt;=$E$21,41&lt;=$F$21),$D$21,0))</f>
        <v/>
      </c>
      <c r="AT142" s="44">
        <f>IF($C$21="Annual",$D$21-SUM(E146:AS146),IF(AND(42&gt;=$E$21,42&lt;=$F$21),$D$21,0))</f>
        <v/>
      </c>
      <c r="AU142" s="44">
        <f>IF($C$21="Annual",$D$21-SUM(E146:AT146),IF(AND(43&gt;=$E$21,43&lt;=$F$21),$D$21,0))</f>
        <v/>
      </c>
      <c r="AV142" s="44">
        <f>IF($C$21="Annual",$D$21-SUM(E146:AU146),IF(AND(44&gt;=$E$21,44&lt;=$F$21),$D$21,0))</f>
        <v/>
      </c>
      <c r="AW142" s="44">
        <f>IF($C$21="Annual",$D$21-SUM(E146:AV146),IF(AND(45&gt;=$E$21,45&lt;=$F$21),$D$21,0))</f>
        <v/>
      </c>
      <c r="AX142" s="44">
        <f>IF($C$21="Annual",$D$21-SUM(E146:AW146),IF(AND(46&gt;=$E$21,46&lt;=$F$21),$D$21,0))</f>
        <v/>
      </c>
      <c r="AY142" s="44">
        <f>IF($C$21="Annual",$D$21-SUM(E146:AX146),IF(AND(47&gt;=$E$21,47&lt;=$F$21),$D$21,0))</f>
        <v/>
      </c>
      <c r="AZ142" s="44">
        <f>IF($C$21="Annual",$D$21-SUM(E146:AY146),IF(AND(48&gt;=$E$21,48&lt;=$F$21),$D$21,0))</f>
        <v/>
      </c>
      <c r="BA142" s="44">
        <f>IF($C$21="Annual",$D$21-SUM(E146:AZ146),IF(AND(49&gt;=$E$21,49&lt;=$F$21),$D$21,0))</f>
        <v/>
      </c>
      <c r="BB142" s="44">
        <f>IF($C$21="Annual",$D$21-SUM(E146:BA146),IF(AND(50&gt;=$E$21,50&lt;=$F$21),$D$21,0))</f>
        <v/>
      </c>
      <c r="BC142" s="44">
        <f>IF($C$21="Annual",$D$21-SUM(E146:BB146),IF(AND(51&gt;=$E$21,51&lt;=$F$21),$D$21,0))</f>
        <v/>
      </c>
      <c r="BD142" s="44">
        <f>IF($C$21="Annual",$D$21-SUM(E146:BC146),IF(AND(52&gt;=$E$21,52&lt;=$F$21),$D$21,0))</f>
        <v/>
      </c>
    </row>
    <row r="143">
      <c r="A143" s="4" t="inlineStr">
        <is>
          <t xml:space="preserve">   ^ Wholesale is an ANNUAL cap (500,000 lb a year), so there is NO weekly limit —</t>
        </is>
      </c>
    </row>
    <row r="144">
      <c r="A144" s="4" t="inlineStr">
        <is>
          <t xml:space="preserve">     this row is what is LEFT of the year, and it falls as you sell.</t>
        </is>
      </c>
    </row>
    <row r="145">
      <c r="A145" s="20" t="inlineStr">
        <is>
          <t>Wholesale — OFFERED</t>
        </is>
      </c>
      <c r="B145" s="4" t="inlineStr">
        <is>
          <t>lb  &lt;-- SOLVER</t>
        </is>
      </c>
      <c r="E145" s="37" t="n">
        <v>0</v>
      </c>
      <c r="F145" s="37" t="n">
        <v>0</v>
      </c>
      <c r="G145" s="37" t="n">
        <v>0</v>
      </c>
      <c r="H145" s="37" t="n">
        <v>0</v>
      </c>
      <c r="I145" s="37" t="n">
        <v>0</v>
      </c>
      <c r="J145" s="37" t="n">
        <v>0</v>
      </c>
      <c r="K145" s="37" t="n">
        <v>0</v>
      </c>
      <c r="L145" s="37" t="n">
        <v>0</v>
      </c>
      <c r="M145" s="37" t="n">
        <v>0</v>
      </c>
      <c r="N145" s="37" t="n">
        <v>0</v>
      </c>
      <c r="O145" s="37" t="n">
        <v>0</v>
      </c>
      <c r="P145" s="37" t="n">
        <v>0</v>
      </c>
      <c r="Q145" s="37" t="n">
        <v>0</v>
      </c>
      <c r="R145" s="37" t="n">
        <v>0</v>
      </c>
      <c r="S145" s="37" t="n">
        <v>0</v>
      </c>
      <c r="T145" s="37" t="n">
        <v>0</v>
      </c>
      <c r="U145" s="37" t="n">
        <v>0</v>
      </c>
      <c r="V145" s="37" t="n">
        <v>0</v>
      </c>
      <c r="W145" s="37" t="n">
        <v>0</v>
      </c>
      <c r="X145" s="37" t="n">
        <v>0</v>
      </c>
      <c r="Y145" s="37" t="n">
        <v>0</v>
      </c>
      <c r="Z145" s="37" t="n">
        <v>0</v>
      </c>
      <c r="AA145" s="37" t="n">
        <v>0</v>
      </c>
      <c r="AB145" s="37" t="n">
        <v>0</v>
      </c>
      <c r="AC145" s="37" t="n">
        <v>0</v>
      </c>
      <c r="AD145" s="37" t="n">
        <v>0</v>
      </c>
      <c r="AE145" s="37" t="n">
        <v>0</v>
      </c>
      <c r="AF145" s="37" t="n">
        <v>0</v>
      </c>
      <c r="AG145" s="37" t="n">
        <v>0</v>
      </c>
      <c r="AH145" s="37" t="n">
        <v>0</v>
      </c>
      <c r="AI145" s="37" t="n">
        <v>0</v>
      </c>
      <c r="AJ145" s="37" t="n">
        <v>0</v>
      </c>
      <c r="AK145" s="37" t="n">
        <v>0</v>
      </c>
      <c r="AL145" s="37" t="n">
        <v>0</v>
      </c>
      <c r="AM145" s="37" t="n">
        <v>0</v>
      </c>
      <c r="AN145" s="37" t="n">
        <v>0</v>
      </c>
      <c r="AO145" s="37" t="n">
        <v>0</v>
      </c>
      <c r="AP145" s="37" t="n">
        <v>0</v>
      </c>
      <c r="AQ145" s="37" t="n">
        <v>0</v>
      </c>
      <c r="AR145" s="37" t="n">
        <v>0</v>
      </c>
      <c r="AS145" s="37" t="n">
        <v>0</v>
      </c>
      <c r="AT145" s="37" t="n">
        <v>0</v>
      </c>
      <c r="AU145" s="37" t="n">
        <v>0</v>
      </c>
      <c r="AV145" s="37" t="n">
        <v>0</v>
      </c>
      <c r="AW145" s="37" t="n">
        <v>0</v>
      </c>
      <c r="AX145" s="37" t="n">
        <v>0</v>
      </c>
      <c r="AY145" s="37" t="n">
        <v>0</v>
      </c>
      <c r="AZ145" s="37" t="n">
        <v>0</v>
      </c>
      <c r="BA145" s="37" t="n">
        <v>0</v>
      </c>
      <c r="BB145" s="37" t="n">
        <v>0</v>
      </c>
      <c r="BC145" s="37" t="n">
        <v>0</v>
      </c>
      <c r="BD145" s="37" t="n">
        <v>0</v>
      </c>
    </row>
    <row r="146">
      <c r="A146" s="41" t="inlineStr">
        <is>
          <t>Wholesale — SOLD</t>
        </is>
      </c>
      <c r="B146" s="4" t="inlineStr">
        <is>
          <t>lb</t>
        </is>
      </c>
      <c r="E146" s="40">
        <f>E145*$G$21</f>
        <v/>
      </c>
      <c r="F146" s="40">
        <f>F145*$G$21</f>
        <v/>
      </c>
      <c r="G146" s="40">
        <f>G145*$G$21</f>
        <v/>
      </c>
      <c r="H146" s="40">
        <f>H145*$G$21</f>
        <v/>
      </c>
      <c r="I146" s="40">
        <f>I145*$G$21</f>
        <v/>
      </c>
      <c r="J146" s="40">
        <f>J145*$G$21</f>
        <v/>
      </c>
      <c r="K146" s="40">
        <f>K145*$G$21</f>
        <v/>
      </c>
      <c r="L146" s="40">
        <f>L145*$G$21</f>
        <v/>
      </c>
      <c r="M146" s="40">
        <f>M145*$G$21</f>
        <v/>
      </c>
      <c r="N146" s="40">
        <f>N145*$G$21</f>
        <v/>
      </c>
      <c r="O146" s="40">
        <f>O145*$G$21</f>
        <v/>
      </c>
      <c r="P146" s="40">
        <f>P145*$G$21</f>
        <v/>
      </c>
      <c r="Q146" s="40">
        <f>Q145*$G$21</f>
        <v/>
      </c>
      <c r="R146" s="40">
        <f>R145*$G$21</f>
        <v/>
      </c>
      <c r="S146" s="40">
        <f>S145*$G$21</f>
        <v/>
      </c>
      <c r="T146" s="40">
        <f>T145*$G$21</f>
        <v/>
      </c>
      <c r="U146" s="40">
        <f>U145*$G$21</f>
        <v/>
      </c>
      <c r="V146" s="40">
        <f>V145*$G$21</f>
        <v/>
      </c>
      <c r="W146" s="40">
        <f>W145*$G$21</f>
        <v/>
      </c>
      <c r="X146" s="40">
        <f>X145*$G$21</f>
        <v/>
      </c>
      <c r="Y146" s="40">
        <f>Y145*$G$21</f>
        <v/>
      </c>
      <c r="Z146" s="40">
        <f>Z145*$G$21</f>
        <v/>
      </c>
      <c r="AA146" s="40">
        <f>AA145*$G$21</f>
        <v/>
      </c>
      <c r="AB146" s="40">
        <f>AB145*$G$21</f>
        <v/>
      </c>
      <c r="AC146" s="40">
        <f>AC145*$G$21</f>
        <v/>
      </c>
      <c r="AD146" s="40">
        <f>AD145*$G$21</f>
        <v/>
      </c>
      <c r="AE146" s="40">
        <f>AE145*$G$21</f>
        <v/>
      </c>
      <c r="AF146" s="40">
        <f>AF145*$G$21</f>
        <v/>
      </c>
      <c r="AG146" s="40">
        <f>AG145*$G$21</f>
        <v/>
      </c>
      <c r="AH146" s="40">
        <f>AH145*$G$21</f>
        <v/>
      </c>
      <c r="AI146" s="40">
        <f>AI145*$G$21</f>
        <v/>
      </c>
      <c r="AJ146" s="40">
        <f>AJ145*$G$21</f>
        <v/>
      </c>
      <c r="AK146" s="40">
        <f>AK145*$G$21</f>
        <v/>
      </c>
      <c r="AL146" s="40">
        <f>AL145*$G$21</f>
        <v/>
      </c>
      <c r="AM146" s="40">
        <f>AM145*$G$21</f>
        <v/>
      </c>
      <c r="AN146" s="40">
        <f>AN145*$G$21</f>
        <v/>
      </c>
      <c r="AO146" s="40">
        <f>AO145*$G$21</f>
        <v/>
      </c>
      <c r="AP146" s="40">
        <f>AP145*$G$21</f>
        <v/>
      </c>
      <c r="AQ146" s="40">
        <f>AQ145*$G$21</f>
        <v/>
      </c>
      <c r="AR146" s="40">
        <f>AR145*$G$21</f>
        <v/>
      </c>
      <c r="AS146" s="40">
        <f>AS145*$G$21</f>
        <v/>
      </c>
      <c r="AT146" s="40">
        <f>AT145*$G$21</f>
        <v/>
      </c>
      <c r="AU146" s="40">
        <f>AU145*$G$21</f>
        <v/>
      </c>
      <c r="AV146" s="40">
        <f>AV145*$G$21</f>
        <v/>
      </c>
      <c r="AW146" s="40">
        <f>AW145*$G$21</f>
        <v/>
      </c>
      <c r="AX146" s="40">
        <f>AX145*$G$21</f>
        <v/>
      </c>
      <c r="AY146" s="40">
        <f>AY145*$G$21</f>
        <v/>
      </c>
      <c r="AZ146" s="40">
        <f>AZ145*$G$21</f>
        <v/>
      </c>
      <c r="BA146" s="40">
        <f>BA145*$G$21</f>
        <v/>
      </c>
      <c r="BB146" s="40">
        <f>BB145*$G$21</f>
        <v/>
      </c>
      <c r="BC146" s="40">
        <f>BC145*$G$21</f>
        <v/>
      </c>
      <c r="BD146" s="40">
        <f>BD145*$G$21</f>
        <v/>
      </c>
    </row>
    <row r="147">
      <c r="A147" s="24" t="inlineStr">
        <is>
          <t xml:space="preserve">   market loss (gone)</t>
        </is>
      </c>
      <c r="B147" s="4" t="inlineStr">
        <is>
          <t>lb</t>
        </is>
      </c>
      <c r="E147" s="34">
        <f>(E145-E146)*(1-$H$21)</f>
        <v/>
      </c>
      <c r="F147" s="34">
        <f>(F145-F146)*(1-$H$21)</f>
        <v/>
      </c>
      <c r="G147" s="34">
        <f>(G145-G146)*(1-$H$21)</f>
        <v/>
      </c>
      <c r="H147" s="34">
        <f>(H145-H146)*(1-$H$21)</f>
        <v/>
      </c>
      <c r="I147" s="34">
        <f>(I145-I146)*(1-$H$21)</f>
        <v/>
      </c>
      <c r="J147" s="34">
        <f>(J145-J146)*(1-$H$21)</f>
        <v/>
      </c>
      <c r="K147" s="34">
        <f>(K145-K146)*(1-$H$21)</f>
        <v/>
      </c>
      <c r="L147" s="34">
        <f>(L145-L146)*(1-$H$21)</f>
        <v/>
      </c>
      <c r="M147" s="34">
        <f>(M145-M146)*(1-$H$21)</f>
        <v/>
      </c>
      <c r="N147" s="34">
        <f>(N145-N146)*(1-$H$21)</f>
        <v/>
      </c>
      <c r="O147" s="34">
        <f>(O145-O146)*(1-$H$21)</f>
        <v/>
      </c>
      <c r="P147" s="34">
        <f>(P145-P146)*(1-$H$21)</f>
        <v/>
      </c>
      <c r="Q147" s="34">
        <f>(Q145-Q146)*(1-$H$21)</f>
        <v/>
      </c>
      <c r="R147" s="34">
        <f>(R145-R146)*(1-$H$21)</f>
        <v/>
      </c>
      <c r="S147" s="34">
        <f>(S145-S146)*(1-$H$21)</f>
        <v/>
      </c>
      <c r="T147" s="34">
        <f>(T145-T146)*(1-$H$21)</f>
        <v/>
      </c>
      <c r="U147" s="34">
        <f>(U145-U146)*(1-$H$21)</f>
        <v/>
      </c>
      <c r="V147" s="34">
        <f>(V145-V146)*(1-$H$21)</f>
        <v/>
      </c>
      <c r="W147" s="34">
        <f>(W145-W146)*(1-$H$21)</f>
        <v/>
      </c>
      <c r="X147" s="34">
        <f>(X145-X146)*(1-$H$21)</f>
        <v/>
      </c>
      <c r="Y147" s="34">
        <f>(Y145-Y146)*(1-$H$21)</f>
        <v/>
      </c>
      <c r="Z147" s="34">
        <f>(Z145-Z146)*(1-$H$21)</f>
        <v/>
      </c>
      <c r="AA147" s="34">
        <f>(AA145-AA146)*(1-$H$21)</f>
        <v/>
      </c>
      <c r="AB147" s="34">
        <f>(AB145-AB146)*(1-$H$21)</f>
        <v/>
      </c>
      <c r="AC147" s="34">
        <f>(AC145-AC146)*(1-$H$21)</f>
        <v/>
      </c>
      <c r="AD147" s="34">
        <f>(AD145-AD146)*(1-$H$21)</f>
        <v/>
      </c>
      <c r="AE147" s="34">
        <f>(AE145-AE146)*(1-$H$21)</f>
        <v/>
      </c>
      <c r="AF147" s="34">
        <f>(AF145-AF146)*(1-$H$21)</f>
        <v/>
      </c>
      <c r="AG147" s="34">
        <f>(AG145-AG146)*(1-$H$21)</f>
        <v/>
      </c>
      <c r="AH147" s="34">
        <f>(AH145-AH146)*(1-$H$21)</f>
        <v/>
      </c>
      <c r="AI147" s="34">
        <f>(AI145-AI146)*(1-$H$21)</f>
        <v/>
      </c>
      <c r="AJ147" s="34">
        <f>(AJ145-AJ146)*(1-$H$21)</f>
        <v/>
      </c>
      <c r="AK147" s="34">
        <f>(AK145-AK146)*(1-$H$21)</f>
        <v/>
      </c>
      <c r="AL147" s="34">
        <f>(AL145-AL146)*(1-$H$21)</f>
        <v/>
      </c>
      <c r="AM147" s="34">
        <f>(AM145-AM146)*(1-$H$21)</f>
        <v/>
      </c>
      <c r="AN147" s="34">
        <f>(AN145-AN146)*(1-$H$21)</f>
        <v/>
      </c>
      <c r="AO147" s="34">
        <f>(AO145-AO146)*(1-$H$21)</f>
        <v/>
      </c>
      <c r="AP147" s="34">
        <f>(AP145-AP146)*(1-$H$21)</f>
        <v/>
      </c>
      <c r="AQ147" s="34">
        <f>(AQ145-AQ146)*(1-$H$21)</f>
        <v/>
      </c>
      <c r="AR147" s="34">
        <f>(AR145-AR146)*(1-$H$21)</f>
        <v/>
      </c>
      <c r="AS147" s="34">
        <f>(AS145-AS146)*(1-$H$21)</f>
        <v/>
      </c>
      <c r="AT147" s="34">
        <f>(AT145-AT146)*(1-$H$21)</f>
        <v/>
      </c>
      <c r="AU147" s="34">
        <f>(AU145-AU146)*(1-$H$21)</f>
        <v/>
      </c>
      <c r="AV147" s="34">
        <f>(AV145-AV146)*(1-$H$21)</f>
        <v/>
      </c>
      <c r="AW147" s="34">
        <f>(AW145-AW146)*(1-$H$21)</f>
        <v/>
      </c>
      <c r="AX147" s="34">
        <f>(AX145-AX146)*(1-$H$21)</f>
        <v/>
      </c>
      <c r="AY147" s="34">
        <f>(AY145-AY146)*(1-$H$21)</f>
        <v/>
      </c>
      <c r="AZ147" s="34">
        <f>(AZ145-AZ146)*(1-$H$21)</f>
        <v/>
      </c>
      <c r="BA147" s="34">
        <f>(BA145-BA146)*(1-$H$21)</f>
        <v/>
      </c>
      <c r="BB147" s="34">
        <f>(BB145-BB146)*(1-$H$21)</f>
        <v/>
      </c>
      <c r="BC147" s="34">
        <f>(BC145-BC146)*(1-$H$21)</f>
        <v/>
      </c>
      <c r="BD147" s="34">
        <f>(BD145-BD146)*(1-$H$21)</f>
        <v/>
      </c>
    </row>
    <row r="148">
      <c r="A148" s="24" t="inlineStr">
        <is>
          <t xml:space="preserve">   returned to store</t>
        </is>
      </c>
      <c r="B148" s="4" t="inlineStr">
        <is>
          <t>lb</t>
        </is>
      </c>
      <c r="E148" s="34">
        <f>(E145-E146)*$H$21</f>
        <v/>
      </c>
      <c r="F148" s="34">
        <f>(F145-F146)*$H$21</f>
        <v/>
      </c>
      <c r="G148" s="34">
        <f>(G145-G146)*$H$21</f>
        <v/>
      </c>
      <c r="H148" s="34">
        <f>(H145-H146)*$H$21</f>
        <v/>
      </c>
      <c r="I148" s="34">
        <f>(I145-I146)*$H$21</f>
        <v/>
      </c>
      <c r="J148" s="34">
        <f>(J145-J146)*$H$21</f>
        <v/>
      </c>
      <c r="K148" s="34">
        <f>(K145-K146)*$H$21</f>
        <v/>
      </c>
      <c r="L148" s="34">
        <f>(L145-L146)*$H$21</f>
        <v/>
      </c>
      <c r="M148" s="34">
        <f>(M145-M146)*$H$21</f>
        <v/>
      </c>
      <c r="N148" s="34">
        <f>(N145-N146)*$H$21</f>
        <v/>
      </c>
      <c r="O148" s="34">
        <f>(O145-O146)*$H$21</f>
        <v/>
      </c>
      <c r="P148" s="34">
        <f>(P145-P146)*$H$21</f>
        <v/>
      </c>
      <c r="Q148" s="34">
        <f>(Q145-Q146)*$H$21</f>
        <v/>
      </c>
      <c r="R148" s="34">
        <f>(R145-R146)*$H$21</f>
        <v/>
      </c>
      <c r="S148" s="34">
        <f>(S145-S146)*$H$21</f>
        <v/>
      </c>
      <c r="T148" s="34">
        <f>(T145-T146)*$H$21</f>
        <v/>
      </c>
      <c r="U148" s="34">
        <f>(U145-U146)*$H$21</f>
        <v/>
      </c>
      <c r="V148" s="34">
        <f>(V145-V146)*$H$21</f>
        <v/>
      </c>
      <c r="W148" s="34">
        <f>(W145-W146)*$H$21</f>
        <v/>
      </c>
      <c r="X148" s="34">
        <f>(X145-X146)*$H$21</f>
        <v/>
      </c>
      <c r="Y148" s="34">
        <f>(Y145-Y146)*$H$21</f>
        <v/>
      </c>
      <c r="Z148" s="34">
        <f>(Z145-Z146)*$H$21</f>
        <v/>
      </c>
      <c r="AA148" s="34">
        <f>(AA145-AA146)*$H$21</f>
        <v/>
      </c>
      <c r="AB148" s="34">
        <f>(AB145-AB146)*$H$21</f>
        <v/>
      </c>
      <c r="AC148" s="34">
        <f>(AC145-AC146)*$H$21</f>
        <v/>
      </c>
      <c r="AD148" s="34">
        <f>(AD145-AD146)*$H$21</f>
        <v/>
      </c>
      <c r="AE148" s="34">
        <f>(AE145-AE146)*$H$21</f>
        <v/>
      </c>
      <c r="AF148" s="34">
        <f>(AF145-AF146)*$H$21</f>
        <v/>
      </c>
      <c r="AG148" s="34">
        <f>(AG145-AG146)*$H$21</f>
        <v/>
      </c>
      <c r="AH148" s="34">
        <f>(AH145-AH146)*$H$21</f>
        <v/>
      </c>
      <c r="AI148" s="34">
        <f>(AI145-AI146)*$H$21</f>
        <v/>
      </c>
      <c r="AJ148" s="34">
        <f>(AJ145-AJ146)*$H$21</f>
        <v/>
      </c>
      <c r="AK148" s="34">
        <f>(AK145-AK146)*$H$21</f>
        <v/>
      </c>
      <c r="AL148" s="34">
        <f>(AL145-AL146)*$H$21</f>
        <v/>
      </c>
      <c r="AM148" s="34">
        <f>(AM145-AM146)*$H$21</f>
        <v/>
      </c>
      <c r="AN148" s="34">
        <f>(AN145-AN146)*$H$21</f>
        <v/>
      </c>
      <c r="AO148" s="34">
        <f>(AO145-AO146)*$H$21</f>
        <v/>
      </c>
      <c r="AP148" s="34">
        <f>(AP145-AP146)*$H$21</f>
        <v/>
      </c>
      <c r="AQ148" s="34">
        <f>(AQ145-AQ146)*$H$21</f>
        <v/>
      </c>
      <c r="AR148" s="34">
        <f>(AR145-AR146)*$H$21</f>
        <v/>
      </c>
      <c r="AS148" s="34">
        <f>(AS145-AS146)*$H$21</f>
        <v/>
      </c>
      <c r="AT148" s="34">
        <f>(AT145-AT146)*$H$21</f>
        <v/>
      </c>
      <c r="AU148" s="34">
        <f>(AU145-AU146)*$H$21</f>
        <v/>
      </c>
      <c r="AV148" s="34">
        <f>(AV145-AV146)*$H$21</f>
        <v/>
      </c>
      <c r="AW148" s="34">
        <f>(AW145-AW146)*$H$21</f>
        <v/>
      </c>
      <c r="AX148" s="34">
        <f>(AX145-AX146)*$H$21</f>
        <v/>
      </c>
      <c r="AY148" s="34">
        <f>(AY145-AY146)*$H$21</f>
        <v/>
      </c>
      <c r="AZ148" s="34">
        <f>(AZ145-AZ146)*$H$21</f>
        <v/>
      </c>
      <c r="BA148" s="34">
        <f>(BA145-BA146)*$H$21</f>
        <v/>
      </c>
      <c r="BB148" s="34">
        <f>(BB145-BB146)*$H$21</f>
        <v/>
      </c>
      <c r="BC148" s="34">
        <f>(BC145-BC146)*$H$21</f>
        <v/>
      </c>
      <c r="BD148" s="34">
        <f>(BD145-BD146)*$H$21</f>
        <v/>
      </c>
    </row>
    <row r="149">
      <c r="A149" s="24" t="inlineStr">
        <is>
          <t xml:space="preserve">   leaves the store (offered - returned)</t>
        </is>
      </c>
      <c r="B149" s="4" t="inlineStr">
        <is>
          <t>lb</t>
        </is>
      </c>
      <c r="E149" s="34">
        <f>E145-E148</f>
        <v/>
      </c>
      <c r="F149" s="34">
        <f>F145-F148</f>
        <v/>
      </c>
      <c r="G149" s="34">
        <f>G145-G148</f>
        <v/>
      </c>
      <c r="H149" s="34">
        <f>H145-H148</f>
        <v/>
      </c>
      <c r="I149" s="34">
        <f>I145-I148</f>
        <v/>
      </c>
      <c r="J149" s="34">
        <f>J145-J148</f>
        <v/>
      </c>
      <c r="K149" s="34">
        <f>K145-K148</f>
        <v/>
      </c>
      <c r="L149" s="34">
        <f>L145-L148</f>
        <v/>
      </c>
      <c r="M149" s="34">
        <f>M145-M148</f>
        <v/>
      </c>
      <c r="N149" s="34">
        <f>N145-N148</f>
        <v/>
      </c>
      <c r="O149" s="34">
        <f>O145-O148</f>
        <v/>
      </c>
      <c r="P149" s="34">
        <f>P145-P148</f>
        <v/>
      </c>
      <c r="Q149" s="34">
        <f>Q145-Q148</f>
        <v/>
      </c>
      <c r="R149" s="34">
        <f>R145-R148</f>
        <v/>
      </c>
      <c r="S149" s="34">
        <f>S145-S148</f>
        <v/>
      </c>
      <c r="T149" s="34">
        <f>T145-T148</f>
        <v/>
      </c>
      <c r="U149" s="34">
        <f>U145-U148</f>
        <v/>
      </c>
      <c r="V149" s="34">
        <f>V145-V148</f>
        <v/>
      </c>
      <c r="W149" s="34">
        <f>W145-W148</f>
        <v/>
      </c>
      <c r="X149" s="34">
        <f>X145-X148</f>
        <v/>
      </c>
      <c r="Y149" s="34">
        <f>Y145-Y148</f>
        <v/>
      </c>
      <c r="Z149" s="34">
        <f>Z145-Z148</f>
        <v/>
      </c>
      <c r="AA149" s="34">
        <f>AA145-AA148</f>
        <v/>
      </c>
      <c r="AB149" s="34">
        <f>AB145-AB148</f>
        <v/>
      </c>
      <c r="AC149" s="34">
        <f>AC145-AC148</f>
        <v/>
      </c>
      <c r="AD149" s="34">
        <f>AD145-AD148</f>
        <v/>
      </c>
      <c r="AE149" s="34">
        <f>AE145-AE148</f>
        <v/>
      </c>
      <c r="AF149" s="34">
        <f>AF145-AF148</f>
        <v/>
      </c>
      <c r="AG149" s="34">
        <f>AG145-AG148</f>
        <v/>
      </c>
      <c r="AH149" s="34">
        <f>AH145-AH148</f>
        <v/>
      </c>
      <c r="AI149" s="34">
        <f>AI145-AI148</f>
        <v/>
      </c>
      <c r="AJ149" s="34">
        <f>AJ145-AJ148</f>
        <v/>
      </c>
      <c r="AK149" s="34">
        <f>AK145-AK148</f>
        <v/>
      </c>
      <c r="AL149" s="34">
        <f>AL145-AL148</f>
        <v/>
      </c>
      <c r="AM149" s="34">
        <f>AM145-AM148</f>
        <v/>
      </c>
      <c r="AN149" s="34">
        <f>AN145-AN148</f>
        <v/>
      </c>
      <c r="AO149" s="34">
        <f>AO145-AO148</f>
        <v/>
      </c>
      <c r="AP149" s="34">
        <f>AP145-AP148</f>
        <v/>
      </c>
      <c r="AQ149" s="34">
        <f>AQ145-AQ148</f>
        <v/>
      </c>
      <c r="AR149" s="34">
        <f>AR145-AR148</f>
        <v/>
      </c>
      <c r="AS149" s="34">
        <f>AS145-AS148</f>
        <v/>
      </c>
      <c r="AT149" s="34">
        <f>AT145-AT148</f>
        <v/>
      </c>
      <c r="AU149" s="34">
        <f>AU145-AU148</f>
        <v/>
      </c>
      <c r="AV149" s="34">
        <f>AV145-AV148</f>
        <v/>
      </c>
      <c r="AW149" s="34">
        <f>AW145-AW148</f>
        <v/>
      </c>
      <c r="AX149" s="34">
        <f>AX145-AX148</f>
        <v/>
      </c>
      <c r="AY149" s="34">
        <f>AY145-AY148</f>
        <v/>
      </c>
      <c r="AZ149" s="34">
        <f>AZ145-AZ148</f>
        <v/>
      </c>
      <c r="BA149" s="34">
        <f>BA145-BA148</f>
        <v/>
      </c>
      <c r="BB149" s="34">
        <f>BB145-BB148</f>
        <v/>
      </c>
      <c r="BC149" s="34">
        <f>BC145-BC148</f>
        <v/>
      </c>
      <c r="BD149" s="34">
        <f>BD145-BD148</f>
        <v/>
      </c>
    </row>
    <row r="150">
      <c r="A150" s="3" t="inlineStr">
        <is>
          <t>Stock carried out</t>
        </is>
      </c>
      <c r="B150" s="4" t="inlineStr">
        <is>
          <t>lb</t>
        </is>
      </c>
      <c r="E150" s="34">
        <f>E135-E141-E149</f>
        <v/>
      </c>
      <c r="F150" s="34">
        <f>F135-F141-F149</f>
        <v/>
      </c>
      <c r="G150" s="34">
        <f>G135-G141-G149</f>
        <v/>
      </c>
      <c r="H150" s="34">
        <f>H135-H141-H149</f>
        <v/>
      </c>
      <c r="I150" s="34">
        <f>I135-I141-I149</f>
        <v/>
      </c>
      <c r="J150" s="34">
        <f>J135-J141-J149</f>
        <v/>
      </c>
      <c r="K150" s="34">
        <f>K135-K141-K149</f>
        <v/>
      </c>
      <c r="L150" s="34">
        <f>L135-L141-L149</f>
        <v/>
      </c>
      <c r="M150" s="34">
        <f>M135-M141-M149</f>
        <v/>
      </c>
      <c r="N150" s="34">
        <f>N135-N141-N149</f>
        <v/>
      </c>
      <c r="O150" s="34">
        <f>O135-O141-O149</f>
        <v/>
      </c>
      <c r="P150" s="34">
        <f>P135-P141-P149</f>
        <v/>
      </c>
      <c r="Q150" s="34">
        <f>Q135-Q141-Q149</f>
        <v/>
      </c>
      <c r="R150" s="34">
        <f>R135-R141-R149</f>
        <v/>
      </c>
      <c r="S150" s="34">
        <f>S135-S141-S149</f>
        <v/>
      </c>
      <c r="T150" s="34">
        <f>T135-T141-T149</f>
        <v/>
      </c>
      <c r="U150" s="34">
        <f>U135-U141-U149</f>
        <v/>
      </c>
      <c r="V150" s="34">
        <f>V135-V141-V149</f>
        <v/>
      </c>
      <c r="W150" s="34">
        <f>W135-W141-W149</f>
        <v/>
      </c>
      <c r="X150" s="34">
        <f>X135-X141-X149</f>
        <v/>
      </c>
      <c r="Y150" s="34">
        <f>Y135-Y141-Y149</f>
        <v/>
      </c>
      <c r="Z150" s="34">
        <f>Z135-Z141-Z149</f>
        <v/>
      </c>
      <c r="AA150" s="34">
        <f>AA135-AA141-AA149</f>
        <v/>
      </c>
      <c r="AB150" s="34">
        <f>AB135-AB141-AB149</f>
        <v/>
      </c>
      <c r="AC150" s="34">
        <f>AC135-AC141-AC149</f>
        <v/>
      </c>
      <c r="AD150" s="34">
        <f>AD135-AD141-AD149</f>
        <v/>
      </c>
      <c r="AE150" s="34">
        <f>AE135-AE141-AE149</f>
        <v/>
      </c>
      <c r="AF150" s="34">
        <f>AF135-AF141-AF149</f>
        <v/>
      </c>
      <c r="AG150" s="34">
        <f>AG135-AG141-AG149</f>
        <v/>
      </c>
      <c r="AH150" s="34">
        <f>AH135-AH141-AH149</f>
        <v/>
      </c>
      <c r="AI150" s="34">
        <f>AI135-AI141-AI149</f>
        <v/>
      </c>
      <c r="AJ150" s="34">
        <f>AJ135-AJ141-AJ149</f>
        <v/>
      </c>
      <c r="AK150" s="34">
        <f>AK135-AK141-AK149</f>
        <v/>
      </c>
      <c r="AL150" s="34">
        <f>AL135-AL141-AL149</f>
        <v/>
      </c>
      <c r="AM150" s="34">
        <f>AM135-AM141-AM149</f>
        <v/>
      </c>
      <c r="AN150" s="34">
        <f>AN135-AN141-AN149</f>
        <v/>
      </c>
      <c r="AO150" s="34">
        <f>AO135-AO141-AO149</f>
        <v/>
      </c>
      <c r="AP150" s="34">
        <f>AP135-AP141-AP149</f>
        <v/>
      </c>
      <c r="AQ150" s="34">
        <f>AQ135-AQ141-AQ149</f>
        <v/>
      </c>
      <c r="AR150" s="34">
        <f>AR135-AR141-AR149</f>
        <v/>
      </c>
      <c r="AS150" s="34">
        <f>AS135-AS141-AS149</f>
        <v/>
      </c>
      <c r="AT150" s="34">
        <f>AT135-AT141-AT149</f>
        <v/>
      </c>
      <c r="AU150" s="34">
        <f>AU135-AU141-AU149</f>
        <v/>
      </c>
      <c r="AV150" s="34">
        <f>AV135-AV141-AV149</f>
        <v/>
      </c>
      <c r="AW150" s="34">
        <f>AW135-AW141-AW149</f>
        <v/>
      </c>
      <c r="AX150" s="34">
        <f>AX135-AX141-AX149</f>
        <v/>
      </c>
      <c r="AY150" s="34">
        <f>AY135-AY141-AY149</f>
        <v/>
      </c>
      <c r="AZ150" s="34">
        <f>AZ135-AZ141-AZ149</f>
        <v/>
      </c>
      <c r="BA150" s="34">
        <f>BA135-BA141-BA149</f>
        <v/>
      </c>
      <c r="BB150" s="34">
        <f>BB135-BB141-BB149</f>
        <v/>
      </c>
      <c r="BC150" s="34">
        <f>BC135-BC141-BC149</f>
        <v/>
      </c>
      <c r="BD150" s="34">
        <f>BD135-BD141-BD149</f>
        <v/>
      </c>
    </row>
    <row r="151">
      <c r="A151" s="4" t="inlineStr">
        <is>
          <t xml:space="preserve">   ^ subtracts what LEAVES, not what was offered — so 'returned to store' is</t>
        </is>
      </c>
    </row>
    <row r="152">
      <c r="A152" s="4" t="inlineStr">
        <is>
          <t xml:space="preserve">     never taken out at all, and shows up as next week's carried in.</t>
        </is>
      </c>
    </row>
    <row r="153">
      <c r="A153" s="24" t="inlineStr">
        <is>
          <t>Most stock its shelf life allows</t>
        </is>
      </c>
      <c r="B153" s="4" t="inlineStr">
        <is>
          <t>lb</t>
        </is>
      </c>
      <c r="E153" s="34">
        <f>SUMIFS($E$132:$BD$132,$E$131:$BD$131,"&gt;="&amp;1-$F$12+2,$E$131:$BD$131,"&lt;="&amp;1)</f>
        <v/>
      </c>
      <c r="F153" s="34">
        <f>SUMIFS($E$132:$BD$132,$E$131:$BD$131,"&gt;="&amp;2-$F$12+2,$E$131:$BD$131,"&lt;="&amp;2)</f>
        <v/>
      </c>
      <c r="G153" s="34">
        <f>SUMIFS($E$132:$BD$132,$E$131:$BD$131,"&gt;="&amp;3-$F$12+2,$E$131:$BD$131,"&lt;="&amp;3)</f>
        <v/>
      </c>
      <c r="H153" s="34">
        <f>SUMIFS($E$132:$BD$132,$E$131:$BD$131,"&gt;="&amp;4-$F$12+2,$E$131:$BD$131,"&lt;="&amp;4)</f>
        <v/>
      </c>
      <c r="I153" s="34">
        <f>SUMIFS($E$132:$BD$132,$E$131:$BD$131,"&gt;="&amp;5-$F$12+2,$E$131:$BD$131,"&lt;="&amp;5)</f>
        <v/>
      </c>
      <c r="J153" s="34">
        <f>SUMIFS($E$132:$BD$132,$E$131:$BD$131,"&gt;="&amp;6-$F$12+2,$E$131:$BD$131,"&lt;="&amp;6)</f>
        <v/>
      </c>
      <c r="K153" s="34">
        <f>SUMIFS($E$132:$BD$132,$E$131:$BD$131,"&gt;="&amp;7-$F$12+2,$E$131:$BD$131,"&lt;="&amp;7)</f>
        <v/>
      </c>
      <c r="L153" s="34">
        <f>SUMIFS($E$132:$BD$132,$E$131:$BD$131,"&gt;="&amp;8-$F$12+2,$E$131:$BD$131,"&lt;="&amp;8)</f>
        <v/>
      </c>
      <c r="M153" s="34">
        <f>SUMIFS($E$132:$BD$132,$E$131:$BD$131,"&gt;="&amp;9-$F$12+2,$E$131:$BD$131,"&lt;="&amp;9)</f>
        <v/>
      </c>
      <c r="N153" s="34">
        <f>SUMIFS($E$132:$BD$132,$E$131:$BD$131,"&gt;="&amp;10-$F$12+2,$E$131:$BD$131,"&lt;="&amp;10)</f>
        <v/>
      </c>
      <c r="O153" s="34">
        <f>SUMIFS($E$132:$BD$132,$E$131:$BD$131,"&gt;="&amp;11-$F$12+2,$E$131:$BD$131,"&lt;="&amp;11)</f>
        <v/>
      </c>
      <c r="P153" s="34">
        <f>SUMIFS($E$132:$BD$132,$E$131:$BD$131,"&gt;="&amp;12-$F$12+2,$E$131:$BD$131,"&lt;="&amp;12)</f>
        <v/>
      </c>
      <c r="Q153" s="34">
        <f>SUMIFS($E$132:$BD$132,$E$131:$BD$131,"&gt;="&amp;13-$F$12+2,$E$131:$BD$131,"&lt;="&amp;13)</f>
        <v/>
      </c>
      <c r="R153" s="34">
        <f>SUMIFS($E$132:$BD$132,$E$131:$BD$131,"&gt;="&amp;14-$F$12+2,$E$131:$BD$131,"&lt;="&amp;14)</f>
        <v/>
      </c>
      <c r="S153" s="34">
        <f>SUMIFS($E$132:$BD$132,$E$131:$BD$131,"&gt;="&amp;15-$F$12+2,$E$131:$BD$131,"&lt;="&amp;15)</f>
        <v/>
      </c>
      <c r="T153" s="34">
        <f>SUMIFS($E$132:$BD$132,$E$131:$BD$131,"&gt;="&amp;16-$F$12+2,$E$131:$BD$131,"&lt;="&amp;16)</f>
        <v/>
      </c>
      <c r="U153" s="34">
        <f>SUMIFS($E$132:$BD$132,$E$131:$BD$131,"&gt;="&amp;17-$F$12+2,$E$131:$BD$131,"&lt;="&amp;17)</f>
        <v/>
      </c>
      <c r="V153" s="34">
        <f>SUMIFS($E$132:$BD$132,$E$131:$BD$131,"&gt;="&amp;18-$F$12+2,$E$131:$BD$131,"&lt;="&amp;18)</f>
        <v/>
      </c>
      <c r="W153" s="34">
        <f>SUMIFS($E$132:$BD$132,$E$131:$BD$131,"&gt;="&amp;19-$F$12+2,$E$131:$BD$131,"&lt;="&amp;19)</f>
        <v/>
      </c>
      <c r="X153" s="34">
        <f>SUMIFS($E$132:$BD$132,$E$131:$BD$131,"&gt;="&amp;20-$F$12+2,$E$131:$BD$131,"&lt;="&amp;20)</f>
        <v/>
      </c>
      <c r="Y153" s="34">
        <f>SUMIFS($E$132:$BD$132,$E$131:$BD$131,"&gt;="&amp;21-$F$12+2,$E$131:$BD$131,"&lt;="&amp;21)</f>
        <v/>
      </c>
      <c r="Z153" s="34">
        <f>SUMIFS($E$132:$BD$132,$E$131:$BD$131,"&gt;="&amp;22-$F$12+2,$E$131:$BD$131,"&lt;="&amp;22)</f>
        <v/>
      </c>
      <c r="AA153" s="34">
        <f>SUMIFS($E$132:$BD$132,$E$131:$BD$131,"&gt;="&amp;23-$F$12+2,$E$131:$BD$131,"&lt;="&amp;23)</f>
        <v/>
      </c>
      <c r="AB153" s="34">
        <f>SUMIFS($E$132:$BD$132,$E$131:$BD$131,"&gt;="&amp;24-$F$12+2,$E$131:$BD$131,"&lt;="&amp;24)</f>
        <v/>
      </c>
      <c r="AC153" s="34">
        <f>SUMIFS($E$132:$BD$132,$E$131:$BD$131,"&gt;="&amp;25-$F$12+2,$E$131:$BD$131,"&lt;="&amp;25)</f>
        <v/>
      </c>
      <c r="AD153" s="34">
        <f>SUMIFS($E$132:$BD$132,$E$131:$BD$131,"&gt;="&amp;26-$F$12+2,$E$131:$BD$131,"&lt;="&amp;26)</f>
        <v/>
      </c>
      <c r="AE153" s="34">
        <f>SUMIFS($E$132:$BD$132,$E$131:$BD$131,"&gt;="&amp;27-$F$12+2,$E$131:$BD$131,"&lt;="&amp;27)</f>
        <v/>
      </c>
      <c r="AF153" s="34">
        <f>SUMIFS($E$132:$BD$132,$E$131:$BD$131,"&gt;="&amp;28-$F$12+2,$E$131:$BD$131,"&lt;="&amp;28)</f>
        <v/>
      </c>
      <c r="AG153" s="34">
        <f>SUMIFS($E$132:$BD$132,$E$131:$BD$131,"&gt;="&amp;29-$F$12+2,$E$131:$BD$131,"&lt;="&amp;29)</f>
        <v/>
      </c>
      <c r="AH153" s="34">
        <f>SUMIFS($E$132:$BD$132,$E$131:$BD$131,"&gt;="&amp;30-$F$12+2,$E$131:$BD$131,"&lt;="&amp;30)</f>
        <v/>
      </c>
      <c r="AI153" s="34">
        <f>SUMIFS($E$132:$BD$132,$E$131:$BD$131,"&gt;="&amp;31-$F$12+2,$E$131:$BD$131,"&lt;="&amp;31)</f>
        <v/>
      </c>
      <c r="AJ153" s="34">
        <f>SUMIFS($E$132:$BD$132,$E$131:$BD$131,"&gt;="&amp;32-$F$12+2,$E$131:$BD$131,"&lt;="&amp;32)</f>
        <v/>
      </c>
      <c r="AK153" s="34">
        <f>SUMIFS($E$132:$BD$132,$E$131:$BD$131,"&gt;="&amp;33-$F$12+2,$E$131:$BD$131,"&lt;="&amp;33)</f>
        <v/>
      </c>
      <c r="AL153" s="34">
        <f>SUMIFS($E$132:$BD$132,$E$131:$BD$131,"&gt;="&amp;34-$F$12+2,$E$131:$BD$131,"&lt;="&amp;34)</f>
        <v/>
      </c>
      <c r="AM153" s="34">
        <f>SUMIFS($E$132:$BD$132,$E$131:$BD$131,"&gt;="&amp;35-$F$12+2,$E$131:$BD$131,"&lt;="&amp;35)</f>
        <v/>
      </c>
      <c r="AN153" s="34">
        <f>SUMIFS($E$132:$BD$132,$E$131:$BD$131,"&gt;="&amp;36-$F$12+2,$E$131:$BD$131,"&lt;="&amp;36)</f>
        <v/>
      </c>
      <c r="AO153" s="34">
        <f>SUMIFS($E$132:$BD$132,$E$131:$BD$131,"&gt;="&amp;37-$F$12+2,$E$131:$BD$131,"&lt;="&amp;37)</f>
        <v/>
      </c>
      <c r="AP153" s="34">
        <f>SUMIFS($E$132:$BD$132,$E$131:$BD$131,"&gt;="&amp;38-$F$12+2,$E$131:$BD$131,"&lt;="&amp;38)</f>
        <v/>
      </c>
      <c r="AQ153" s="34">
        <f>SUMIFS($E$132:$BD$132,$E$131:$BD$131,"&gt;="&amp;39-$F$12+2,$E$131:$BD$131,"&lt;="&amp;39)</f>
        <v/>
      </c>
      <c r="AR153" s="34">
        <f>SUMIFS($E$132:$BD$132,$E$131:$BD$131,"&gt;="&amp;40-$F$12+2,$E$131:$BD$131,"&lt;="&amp;40)</f>
        <v/>
      </c>
      <c r="AS153" s="34">
        <f>SUMIFS($E$132:$BD$132,$E$131:$BD$131,"&gt;="&amp;41-$F$12+2,$E$131:$BD$131,"&lt;="&amp;41)</f>
        <v/>
      </c>
      <c r="AT153" s="34">
        <f>SUMIFS($E$132:$BD$132,$E$131:$BD$131,"&gt;="&amp;42-$F$12+2,$E$131:$BD$131,"&lt;="&amp;42)</f>
        <v/>
      </c>
      <c r="AU153" s="34">
        <f>SUMIFS($E$132:$BD$132,$E$131:$BD$131,"&gt;="&amp;43-$F$12+2,$E$131:$BD$131,"&lt;="&amp;43)</f>
        <v/>
      </c>
      <c r="AV153" s="34">
        <f>SUMIFS($E$132:$BD$132,$E$131:$BD$131,"&gt;="&amp;44-$F$12+2,$E$131:$BD$131,"&lt;="&amp;44)</f>
        <v/>
      </c>
      <c r="AW153" s="34">
        <f>SUMIFS($E$132:$BD$132,$E$131:$BD$131,"&gt;="&amp;45-$F$12+2,$E$131:$BD$131,"&lt;="&amp;45)</f>
        <v/>
      </c>
      <c r="AX153" s="34">
        <f>SUMIFS($E$132:$BD$132,$E$131:$BD$131,"&gt;="&amp;46-$F$12+2,$E$131:$BD$131,"&lt;="&amp;46)</f>
        <v/>
      </c>
      <c r="AY153" s="34">
        <f>SUMIFS($E$132:$BD$132,$E$131:$BD$131,"&gt;="&amp;47-$F$12+2,$E$131:$BD$131,"&lt;="&amp;47)</f>
        <v/>
      </c>
      <c r="AZ153" s="34">
        <f>SUMIFS($E$132:$BD$132,$E$131:$BD$131,"&gt;="&amp;48-$F$12+2,$E$131:$BD$131,"&lt;="&amp;48)</f>
        <v/>
      </c>
      <c r="BA153" s="34">
        <f>SUMIFS($E$132:$BD$132,$E$131:$BD$131,"&gt;="&amp;49-$F$12+2,$E$131:$BD$131,"&lt;="&amp;49)</f>
        <v/>
      </c>
      <c r="BB153" s="34">
        <f>SUMIFS($E$132:$BD$132,$E$131:$BD$131,"&gt;="&amp;50-$F$12+2,$E$131:$BD$131,"&lt;="&amp;50)</f>
        <v/>
      </c>
      <c r="BC153" s="34">
        <f>SUMIFS($E$132:$BD$132,$E$131:$BD$131,"&gt;="&amp;51-$F$12+2,$E$131:$BD$131,"&lt;="&amp;51)</f>
        <v/>
      </c>
      <c r="BD153" s="34">
        <f>SUMIFS($E$132:$BD$132,$E$131:$BD$131,"&gt;="&amp;52-$F$12+2,$E$131:$BD$131,"&lt;="&amp;52)</f>
        <v/>
      </c>
    </row>
    <row r="154">
      <c r="A154" s="4" t="inlineStr">
        <is>
          <t xml:space="preserve">   Stock carried out must stay at or below this row.</t>
        </is>
      </c>
    </row>
    <row r="155">
      <c r="A155" s="3" t="inlineStr">
        <is>
          <t>ROOM OCCUPANCY</t>
        </is>
      </c>
      <c r="B155" s="4" t="inlineStr">
        <is>
          <t>m3</t>
        </is>
      </c>
      <c r="E155" s="42">
        <f>(E133+E132)*$D$12</f>
        <v/>
      </c>
      <c r="F155" s="42">
        <f>(F133+F132)*$D$12</f>
        <v/>
      </c>
      <c r="G155" s="42">
        <f>(G133+G132)*$D$12</f>
        <v/>
      </c>
      <c r="H155" s="42">
        <f>(H133+H132)*$D$12</f>
        <v/>
      </c>
      <c r="I155" s="42">
        <f>(I133+I132)*$D$12</f>
        <v/>
      </c>
      <c r="J155" s="42">
        <f>(J133+J132)*$D$12</f>
        <v/>
      </c>
      <c r="K155" s="42">
        <f>(K133+K132)*$D$12</f>
        <v/>
      </c>
      <c r="L155" s="42">
        <f>(L133+L132)*$D$12</f>
        <v/>
      </c>
      <c r="M155" s="42">
        <f>(M133+M132)*$D$12</f>
        <v/>
      </c>
      <c r="N155" s="42">
        <f>(N133+N132)*$D$12</f>
        <v/>
      </c>
      <c r="O155" s="42">
        <f>(O133+O132)*$D$12</f>
        <v/>
      </c>
      <c r="P155" s="42">
        <f>(P133+P132)*$D$12</f>
        <v/>
      </c>
      <c r="Q155" s="42">
        <f>(Q133+Q132)*$D$12</f>
        <v/>
      </c>
      <c r="R155" s="42">
        <f>(R133+R132)*$D$12</f>
        <v/>
      </c>
      <c r="S155" s="42">
        <f>(S133+S132)*$D$12</f>
        <v/>
      </c>
      <c r="T155" s="42">
        <f>(T133+T132)*$D$12</f>
        <v/>
      </c>
      <c r="U155" s="42">
        <f>(U133+U132)*$D$12</f>
        <v/>
      </c>
      <c r="V155" s="42">
        <f>(V133+V132)*$D$12</f>
        <v/>
      </c>
      <c r="W155" s="42">
        <f>(W133+W132)*$D$12</f>
        <v/>
      </c>
      <c r="X155" s="42">
        <f>(X133+X132)*$D$12</f>
        <v/>
      </c>
      <c r="Y155" s="42">
        <f>(Y133+Y132)*$D$12</f>
        <v/>
      </c>
      <c r="Z155" s="42">
        <f>(Z133+Z132)*$D$12</f>
        <v/>
      </c>
      <c r="AA155" s="42">
        <f>(AA133+AA132)*$D$12</f>
        <v/>
      </c>
      <c r="AB155" s="42">
        <f>(AB133+AB132)*$D$12</f>
        <v/>
      </c>
      <c r="AC155" s="42">
        <f>(AC133+AC132)*$D$12</f>
        <v/>
      </c>
      <c r="AD155" s="42">
        <f>(AD133+AD132)*$D$12</f>
        <v/>
      </c>
      <c r="AE155" s="42">
        <f>(AE133+AE132)*$D$12</f>
        <v/>
      </c>
      <c r="AF155" s="42">
        <f>(AF133+AF132)*$D$12</f>
        <v/>
      </c>
      <c r="AG155" s="42">
        <f>(AG133+AG132)*$D$12</f>
        <v/>
      </c>
      <c r="AH155" s="42">
        <f>(AH133+AH132)*$D$12</f>
        <v/>
      </c>
      <c r="AI155" s="42">
        <f>(AI133+AI132)*$D$12</f>
        <v/>
      </c>
      <c r="AJ155" s="42">
        <f>(AJ133+AJ132)*$D$12</f>
        <v/>
      </c>
      <c r="AK155" s="42">
        <f>(AK133+AK132)*$D$12</f>
        <v/>
      </c>
      <c r="AL155" s="42">
        <f>(AL133+AL132)*$D$12</f>
        <v/>
      </c>
      <c r="AM155" s="42">
        <f>(AM133+AM132)*$D$12</f>
        <v/>
      </c>
      <c r="AN155" s="42">
        <f>(AN133+AN132)*$D$12</f>
        <v/>
      </c>
      <c r="AO155" s="42">
        <f>(AO133+AO132)*$D$12</f>
        <v/>
      </c>
      <c r="AP155" s="42">
        <f>(AP133+AP132)*$D$12</f>
        <v/>
      </c>
      <c r="AQ155" s="42">
        <f>(AQ133+AQ132)*$D$12</f>
        <v/>
      </c>
      <c r="AR155" s="42">
        <f>(AR133+AR132)*$D$12</f>
        <v/>
      </c>
      <c r="AS155" s="42">
        <f>(AS133+AS132)*$D$12</f>
        <v/>
      </c>
      <c r="AT155" s="42">
        <f>(AT133+AT132)*$D$12</f>
        <v/>
      </c>
      <c r="AU155" s="42">
        <f>(AU133+AU132)*$D$12</f>
        <v/>
      </c>
      <c r="AV155" s="42">
        <f>(AV133+AV132)*$D$12</f>
        <v/>
      </c>
      <c r="AW155" s="42">
        <f>(AW133+AW132)*$D$12</f>
        <v/>
      </c>
      <c r="AX155" s="42">
        <f>(AX133+AX132)*$D$12</f>
        <v/>
      </c>
      <c r="AY155" s="42">
        <f>(AY133+AY132)*$D$12</f>
        <v/>
      </c>
      <c r="AZ155" s="42">
        <f>(AZ133+AZ132)*$D$12</f>
        <v/>
      </c>
      <c r="BA155" s="42">
        <f>(BA133+BA132)*$D$12</f>
        <v/>
      </c>
      <c r="BB155" s="42">
        <f>(BB133+BB132)*$D$12</f>
        <v/>
      </c>
      <c r="BC155" s="42">
        <f>(BC133+BC132)*$D$12</f>
        <v/>
      </c>
      <c r="BD155" s="42">
        <f>(BD133+BD132)*$D$12</f>
        <v/>
      </c>
    </row>
    <row r="157">
      <c r="A157" s="2" t="inlineStr">
        <is>
          <t>GARLIC  —  ambient store</t>
        </is>
      </c>
      <c r="B157" s="45" t="inlineStr"/>
    </row>
    <row r="158">
      <c r="A158" s="19" t="inlineStr">
        <is>
          <t>Week</t>
        </is>
      </c>
      <c r="B158" s="30" t="inlineStr"/>
      <c r="E158" s="22" t="n">
        <v>1</v>
      </c>
      <c r="F158" s="22" t="n">
        <v>2</v>
      </c>
      <c r="G158" s="22" t="n">
        <v>3</v>
      </c>
      <c r="H158" s="22" t="n">
        <v>4</v>
      </c>
      <c r="I158" s="22" t="n">
        <v>5</v>
      </c>
      <c r="J158" s="22" t="n">
        <v>6</v>
      </c>
      <c r="K158" s="22" t="n">
        <v>7</v>
      </c>
      <c r="L158" s="22" t="n">
        <v>8</v>
      </c>
      <c r="M158" s="22" t="n">
        <v>9</v>
      </c>
      <c r="N158" s="22" t="n">
        <v>10</v>
      </c>
      <c r="O158" s="22" t="n">
        <v>11</v>
      </c>
      <c r="P158" s="22" t="n">
        <v>12</v>
      </c>
      <c r="Q158" s="22" t="n">
        <v>13</v>
      </c>
      <c r="R158" s="22" t="n">
        <v>14</v>
      </c>
      <c r="S158" s="22" t="n">
        <v>15</v>
      </c>
      <c r="T158" s="22" t="n">
        <v>16</v>
      </c>
      <c r="U158" s="22" t="n">
        <v>17</v>
      </c>
      <c r="V158" s="22" t="n">
        <v>18</v>
      </c>
      <c r="W158" s="22" t="n">
        <v>19</v>
      </c>
      <c r="X158" s="22" t="n">
        <v>20</v>
      </c>
      <c r="Y158" s="22" t="n">
        <v>21</v>
      </c>
      <c r="Z158" s="22" t="n">
        <v>22</v>
      </c>
      <c r="AA158" s="22" t="n">
        <v>23</v>
      </c>
      <c r="AB158" s="22" t="n">
        <v>24</v>
      </c>
      <c r="AC158" s="22" t="n">
        <v>25</v>
      </c>
      <c r="AD158" s="22" t="n">
        <v>26</v>
      </c>
      <c r="AE158" s="22" t="n">
        <v>27</v>
      </c>
      <c r="AF158" s="22" t="n">
        <v>28</v>
      </c>
      <c r="AG158" s="22" t="n">
        <v>29</v>
      </c>
      <c r="AH158" s="22" t="n">
        <v>30</v>
      </c>
      <c r="AI158" s="22" t="n">
        <v>31</v>
      </c>
      <c r="AJ158" s="22" t="n">
        <v>32</v>
      </c>
      <c r="AK158" s="22" t="n">
        <v>33</v>
      </c>
      <c r="AL158" s="22" t="n">
        <v>34</v>
      </c>
      <c r="AM158" s="22" t="n">
        <v>35</v>
      </c>
      <c r="AN158" s="22" t="n">
        <v>36</v>
      </c>
      <c r="AO158" s="22" t="n">
        <v>37</v>
      </c>
      <c r="AP158" s="22" t="n">
        <v>38</v>
      </c>
      <c r="AQ158" s="22" t="n">
        <v>39</v>
      </c>
      <c r="AR158" s="22" t="n">
        <v>40</v>
      </c>
      <c r="AS158" s="22" t="n">
        <v>41</v>
      </c>
      <c r="AT158" s="22" t="n">
        <v>42</v>
      </c>
      <c r="AU158" s="22" t="n">
        <v>43</v>
      </c>
      <c r="AV158" s="22" t="n">
        <v>44</v>
      </c>
      <c r="AW158" s="22" t="n">
        <v>45</v>
      </c>
      <c r="AX158" s="22" t="n">
        <v>46</v>
      </c>
      <c r="AY158" s="22" t="n">
        <v>47</v>
      </c>
      <c r="AZ158" s="22" t="n">
        <v>48</v>
      </c>
      <c r="BA158" s="22" t="n">
        <v>49</v>
      </c>
      <c r="BB158" s="22" t="n">
        <v>50</v>
      </c>
      <c r="BC158" s="22" t="n">
        <v>51</v>
      </c>
      <c r="BD158" s="22" t="n">
        <v>52</v>
      </c>
    </row>
    <row r="159">
      <c r="A159" s="3" t="inlineStr">
        <is>
          <t>Packed out -&gt; INTO the store</t>
        </is>
      </c>
      <c r="B159" s="4" t="inlineStr">
        <is>
          <t>lb</t>
        </is>
      </c>
      <c r="E159" s="34">
        <f>SUMPRODUCT(($B$28:$B$95="Garlic")*(E$28:E$95="H")*$C$28:$C$95*$BG$28:$BG$95)*$C$13</f>
        <v/>
      </c>
      <c r="F159" s="34">
        <f>SUMPRODUCT(($B$28:$B$95="Garlic")*(F$28:F$95="H")*$C$28:$C$95*$BG$28:$BG$95)*$C$13</f>
        <v/>
      </c>
      <c r="G159" s="34">
        <f>SUMPRODUCT(($B$28:$B$95="Garlic")*(G$28:G$95="H")*$C$28:$C$95*$BG$28:$BG$95)*$C$13</f>
        <v/>
      </c>
      <c r="H159" s="34">
        <f>SUMPRODUCT(($B$28:$B$95="Garlic")*(H$28:H$95="H")*$C$28:$C$95*$BG$28:$BG$95)*$C$13</f>
        <v/>
      </c>
      <c r="I159" s="34">
        <f>SUMPRODUCT(($B$28:$B$95="Garlic")*(I$28:I$95="H")*$C$28:$C$95*$BG$28:$BG$95)*$C$13</f>
        <v/>
      </c>
      <c r="J159" s="34">
        <f>SUMPRODUCT(($B$28:$B$95="Garlic")*(J$28:J$95="H")*$C$28:$C$95*$BG$28:$BG$95)*$C$13</f>
        <v/>
      </c>
      <c r="K159" s="34">
        <f>SUMPRODUCT(($B$28:$B$95="Garlic")*(K$28:K$95="H")*$C$28:$C$95*$BG$28:$BG$95)*$C$13</f>
        <v/>
      </c>
      <c r="L159" s="34">
        <f>SUMPRODUCT(($B$28:$B$95="Garlic")*(L$28:L$95="H")*$C$28:$C$95*$BG$28:$BG$95)*$C$13</f>
        <v/>
      </c>
      <c r="M159" s="34">
        <f>SUMPRODUCT(($B$28:$B$95="Garlic")*(M$28:M$95="H")*$C$28:$C$95*$BG$28:$BG$95)*$C$13</f>
        <v/>
      </c>
      <c r="N159" s="34">
        <f>SUMPRODUCT(($B$28:$B$95="Garlic")*(N$28:N$95="H")*$C$28:$C$95*$BG$28:$BG$95)*$C$13</f>
        <v/>
      </c>
      <c r="O159" s="34">
        <f>SUMPRODUCT(($B$28:$B$95="Garlic")*(O$28:O$95="H")*$C$28:$C$95*$BG$28:$BG$95)*$C$13</f>
        <v/>
      </c>
      <c r="P159" s="34">
        <f>SUMPRODUCT(($B$28:$B$95="Garlic")*(P$28:P$95="H")*$C$28:$C$95*$BG$28:$BG$95)*$C$13</f>
        <v/>
      </c>
      <c r="Q159" s="34">
        <f>SUMPRODUCT(($B$28:$B$95="Garlic")*(Q$28:Q$95="H")*$C$28:$C$95*$BG$28:$BG$95)*$C$13</f>
        <v/>
      </c>
      <c r="R159" s="34">
        <f>SUMPRODUCT(($B$28:$B$95="Garlic")*(R$28:R$95="H")*$C$28:$C$95*$BG$28:$BG$95)*$C$13</f>
        <v/>
      </c>
      <c r="S159" s="34">
        <f>SUMPRODUCT(($B$28:$B$95="Garlic")*(S$28:S$95="H")*$C$28:$C$95*$BG$28:$BG$95)*$C$13</f>
        <v/>
      </c>
      <c r="T159" s="34">
        <f>SUMPRODUCT(($B$28:$B$95="Garlic")*(T$28:T$95="H")*$C$28:$C$95*$BG$28:$BG$95)*$C$13</f>
        <v/>
      </c>
      <c r="U159" s="34">
        <f>SUMPRODUCT(($B$28:$B$95="Garlic")*(U$28:U$95="H")*$C$28:$C$95*$BG$28:$BG$95)*$C$13</f>
        <v/>
      </c>
      <c r="V159" s="34">
        <f>SUMPRODUCT(($B$28:$B$95="Garlic")*(V$28:V$95="H")*$C$28:$C$95*$BG$28:$BG$95)*$C$13</f>
        <v/>
      </c>
      <c r="W159" s="34">
        <f>SUMPRODUCT(($B$28:$B$95="Garlic")*(W$28:W$95="H")*$C$28:$C$95*$BG$28:$BG$95)*$C$13</f>
        <v/>
      </c>
      <c r="X159" s="34">
        <f>SUMPRODUCT(($B$28:$B$95="Garlic")*(X$28:X$95="H")*$C$28:$C$95*$BG$28:$BG$95)*$C$13</f>
        <v/>
      </c>
      <c r="Y159" s="34">
        <f>SUMPRODUCT(($B$28:$B$95="Garlic")*(Y$28:Y$95="H")*$C$28:$C$95*$BG$28:$BG$95)*$C$13</f>
        <v/>
      </c>
      <c r="Z159" s="34">
        <f>SUMPRODUCT(($B$28:$B$95="Garlic")*(Z$28:Z$95="H")*$C$28:$C$95*$BG$28:$BG$95)*$C$13</f>
        <v/>
      </c>
      <c r="AA159" s="34">
        <f>SUMPRODUCT(($B$28:$B$95="Garlic")*(AA$28:AA$95="H")*$C$28:$C$95*$BG$28:$BG$95)*$C$13</f>
        <v/>
      </c>
      <c r="AB159" s="34">
        <f>SUMPRODUCT(($B$28:$B$95="Garlic")*(AB$28:AB$95="H")*$C$28:$C$95*$BG$28:$BG$95)*$C$13</f>
        <v/>
      </c>
      <c r="AC159" s="34">
        <f>SUMPRODUCT(($B$28:$B$95="Garlic")*(AC$28:AC$95="H")*$C$28:$C$95*$BG$28:$BG$95)*$C$13</f>
        <v/>
      </c>
      <c r="AD159" s="34">
        <f>SUMPRODUCT(($B$28:$B$95="Garlic")*(AD$28:AD$95="H")*$C$28:$C$95*$BG$28:$BG$95)*$C$13</f>
        <v/>
      </c>
      <c r="AE159" s="34">
        <f>SUMPRODUCT(($B$28:$B$95="Garlic")*(AE$28:AE$95="H")*$C$28:$C$95*$BG$28:$BG$95)*$C$13</f>
        <v/>
      </c>
      <c r="AF159" s="34">
        <f>SUMPRODUCT(($B$28:$B$95="Garlic")*(AF$28:AF$95="H")*$C$28:$C$95*$BG$28:$BG$95)*$C$13</f>
        <v/>
      </c>
      <c r="AG159" s="34">
        <f>SUMPRODUCT(($B$28:$B$95="Garlic")*(AG$28:AG$95="H")*$C$28:$C$95*$BG$28:$BG$95)*$C$13</f>
        <v/>
      </c>
      <c r="AH159" s="34">
        <f>SUMPRODUCT(($B$28:$B$95="Garlic")*(AH$28:AH$95="H")*$C$28:$C$95*$BG$28:$BG$95)*$C$13</f>
        <v/>
      </c>
      <c r="AI159" s="34">
        <f>SUMPRODUCT(($B$28:$B$95="Garlic")*(AI$28:AI$95="H")*$C$28:$C$95*$BG$28:$BG$95)*$C$13</f>
        <v/>
      </c>
      <c r="AJ159" s="34">
        <f>SUMPRODUCT(($B$28:$B$95="Garlic")*(AJ$28:AJ$95="H")*$C$28:$C$95*$BG$28:$BG$95)*$C$13</f>
        <v/>
      </c>
      <c r="AK159" s="34">
        <f>SUMPRODUCT(($B$28:$B$95="Garlic")*(AK$28:AK$95="H")*$C$28:$C$95*$BG$28:$BG$95)*$C$13</f>
        <v/>
      </c>
      <c r="AL159" s="34">
        <f>SUMPRODUCT(($B$28:$B$95="Garlic")*(AL$28:AL$95="H")*$C$28:$C$95*$BG$28:$BG$95)*$C$13</f>
        <v/>
      </c>
      <c r="AM159" s="34">
        <f>SUMPRODUCT(($B$28:$B$95="Garlic")*(AM$28:AM$95="H")*$C$28:$C$95*$BG$28:$BG$95)*$C$13</f>
        <v/>
      </c>
      <c r="AN159" s="34">
        <f>SUMPRODUCT(($B$28:$B$95="Garlic")*(AN$28:AN$95="H")*$C$28:$C$95*$BG$28:$BG$95)*$C$13</f>
        <v/>
      </c>
      <c r="AO159" s="34">
        <f>SUMPRODUCT(($B$28:$B$95="Garlic")*(AO$28:AO$95="H")*$C$28:$C$95*$BG$28:$BG$95)*$C$13</f>
        <v/>
      </c>
      <c r="AP159" s="34">
        <f>SUMPRODUCT(($B$28:$B$95="Garlic")*(AP$28:AP$95="H")*$C$28:$C$95*$BG$28:$BG$95)*$C$13</f>
        <v/>
      </c>
      <c r="AQ159" s="34">
        <f>SUMPRODUCT(($B$28:$B$95="Garlic")*(AQ$28:AQ$95="H")*$C$28:$C$95*$BG$28:$BG$95)*$C$13</f>
        <v/>
      </c>
      <c r="AR159" s="34">
        <f>SUMPRODUCT(($B$28:$B$95="Garlic")*(AR$28:AR$95="H")*$C$28:$C$95*$BG$28:$BG$95)*$C$13</f>
        <v/>
      </c>
      <c r="AS159" s="34">
        <f>SUMPRODUCT(($B$28:$B$95="Garlic")*(AS$28:AS$95="H")*$C$28:$C$95*$BG$28:$BG$95)*$C$13</f>
        <v/>
      </c>
      <c r="AT159" s="34">
        <f>SUMPRODUCT(($B$28:$B$95="Garlic")*(AT$28:AT$95="H")*$C$28:$C$95*$BG$28:$BG$95)*$C$13</f>
        <v/>
      </c>
      <c r="AU159" s="34">
        <f>SUMPRODUCT(($B$28:$B$95="Garlic")*(AU$28:AU$95="H")*$C$28:$C$95*$BG$28:$BG$95)*$C$13</f>
        <v/>
      </c>
      <c r="AV159" s="34">
        <f>SUMPRODUCT(($B$28:$B$95="Garlic")*(AV$28:AV$95="H")*$C$28:$C$95*$BG$28:$BG$95)*$C$13</f>
        <v/>
      </c>
      <c r="AW159" s="34">
        <f>SUMPRODUCT(($B$28:$B$95="Garlic")*(AW$28:AW$95="H")*$C$28:$C$95*$BG$28:$BG$95)*$C$13</f>
        <v/>
      </c>
      <c r="AX159" s="34">
        <f>SUMPRODUCT(($B$28:$B$95="Garlic")*(AX$28:AX$95="H")*$C$28:$C$95*$BG$28:$BG$95)*$C$13</f>
        <v/>
      </c>
      <c r="AY159" s="34">
        <f>SUMPRODUCT(($B$28:$B$95="Garlic")*(AY$28:AY$95="H")*$C$28:$C$95*$BG$28:$BG$95)*$C$13</f>
        <v/>
      </c>
      <c r="AZ159" s="34">
        <f>SUMPRODUCT(($B$28:$B$95="Garlic")*(AZ$28:AZ$95="H")*$C$28:$C$95*$BG$28:$BG$95)*$C$13</f>
        <v/>
      </c>
      <c r="BA159" s="34">
        <f>SUMPRODUCT(($B$28:$B$95="Garlic")*(BA$28:BA$95="H")*$C$28:$C$95*$BG$28:$BG$95)*$C$13</f>
        <v/>
      </c>
      <c r="BB159" s="34">
        <f>SUMPRODUCT(($B$28:$B$95="Garlic")*(BB$28:BB$95="H")*$C$28:$C$95*$BG$28:$BG$95)*$C$13</f>
        <v/>
      </c>
      <c r="BC159" s="34">
        <f>SUMPRODUCT(($B$28:$B$95="Garlic")*(BC$28:BC$95="H")*$C$28:$C$95*$BG$28:$BG$95)*$C$13</f>
        <v/>
      </c>
      <c r="BD159" s="34">
        <f>SUMPRODUCT(($B$28:$B$95="Garlic")*(BD$28:BD$95="H")*$C$28:$C$95*$BG$28:$BG$95)*$C$13</f>
        <v/>
      </c>
    </row>
    <row r="160">
      <c r="A160" s="24" t="inlineStr">
        <is>
          <t>Stock carried in</t>
        </is>
      </c>
      <c r="B160" s="4" t="inlineStr">
        <is>
          <t>lb</t>
        </is>
      </c>
      <c r="E160" s="34" t="n">
        <v>0</v>
      </c>
      <c r="F160" s="34">
        <f>E175</f>
        <v/>
      </c>
      <c r="G160" s="34">
        <f>F175</f>
        <v/>
      </c>
      <c r="H160" s="34">
        <f>G175</f>
        <v/>
      </c>
      <c r="I160" s="34">
        <f>H175</f>
        <v/>
      </c>
      <c r="J160" s="34">
        <f>I175</f>
        <v/>
      </c>
      <c r="K160" s="34">
        <f>J175</f>
        <v/>
      </c>
      <c r="L160" s="34">
        <f>K175</f>
        <v/>
      </c>
      <c r="M160" s="34">
        <f>L175</f>
        <v/>
      </c>
      <c r="N160" s="34">
        <f>M175</f>
        <v/>
      </c>
      <c r="O160" s="34">
        <f>N175</f>
        <v/>
      </c>
      <c r="P160" s="34">
        <f>O175</f>
        <v/>
      </c>
      <c r="Q160" s="34">
        <f>P175</f>
        <v/>
      </c>
      <c r="R160" s="34">
        <f>Q175</f>
        <v/>
      </c>
      <c r="S160" s="34">
        <f>R175</f>
        <v/>
      </c>
      <c r="T160" s="34">
        <f>S175</f>
        <v/>
      </c>
      <c r="U160" s="34">
        <f>T175</f>
        <v/>
      </c>
      <c r="V160" s="34">
        <f>U175</f>
        <v/>
      </c>
      <c r="W160" s="34">
        <f>V175</f>
        <v/>
      </c>
      <c r="X160" s="34">
        <f>W175</f>
        <v/>
      </c>
      <c r="Y160" s="34">
        <f>X175</f>
        <v/>
      </c>
      <c r="Z160" s="34">
        <f>Y175</f>
        <v/>
      </c>
      <c r="AA160" s="34">
        <f>Z175</f>
        <v/>
      </c>
      <c r="AB160" s="34">
        <f>AA175</f>
        <v/>
      </c>
      <c r="AC160" s="34">
        <f>AB175</f>
        <v/>
      </c>
      <c r="AD160" s="34">
        <f>AC175</f>
        <v/>
      </c>
      <c r="AE160" s="34">
        <f>AD175</f>
        <v/>
      </c>
      <c r="AF160" s="34">
        <f>AE175</f>
        <v/>
      </c>
      <c r="AG160" s="34">
        <f>AF175</f>
        <v/>
      </c>
      <c r="AH160" s="34">
        <f>AG175</f>
        <v/>
      </c>
      <c r="AI160" s="34">
        <f>AH175</f>
        <v/>
      </c>
      <c r="AJ160" s="34">
        <f>AI175</f>
        <v/>
      </c>
      <c r="AK160" s="34">
        <f>AJ175</f>
        <v/>
      </c>
      <c r="AL160" s="34">
        <f>AK175</f>
        <v/>
      </c>
      <c r="AM160" s="34">
        <f>AL175</f>
        <v/>
      </c>
      <c r="AN160" s="34">
        <f>AM175</f>
        <v/>
      </c>
      <c r="AO160" s="34">
        <f>AN175</f>
        <v/>
      </c>
      <c r="AP160" s="34">
        <f>AO175</f>
        <v/>
      </c>
      <c r="AQ160" s="34">
        <f>AP175</f>
        <v/>
      </c>
      <c r="AR160" s="34">
        <f>AQ175</f>
        <v/>
      </c>
      <c r="AS160" s="34">
        <f>AR175</f>
        <v/>
      </c>
      <c r="AT160" s="34">
        <f>AS175</f>
        <v/>
      </c>
      <c r="AU160" s="34">
        <f>AT175</f>
        <v/>
      </c>
      <c r="AV160" s="34">
        <f>AU175</f>
        <v/>
      </c>
      <c r="AW160" s="34">
        <f>AV175</f>
        <v/>
      </c>
      <c r="AX160" s="34">
        <f>AW175</f>
        <v/>
      </c>
      <c r="AY160" s="34">
        <f>AX175</f>
        <v/>
      </c>
      <c r="AZ160" s="34">
        <f>AY175</f>
        <v/>
      </c>
      <c r="BA160" s="34">
        <f>AZ175</f>
        <v/>
      </c>
      <c r="BB160" s="34">
        <f>BA175</f>
        <v/>
      </c>
      <c r="BC160" s="34">
        <f>BB175</f>
        <v/>
      </c>
      <c r="BD160" s="34">
        <f>BC175</f>
        <v/>
      </c>
    </row>
    <row r="161">
      <c r="A161" s="24" t="inlineStr">
        <is>
          <t xml:space="preserve">   lost to shrink</t>
        </is>
      </c>
      <c r="B161" s="4" t="inlineStr">
        <is>
          <t>lb</t>
        </is>
      </c>
      <c r="E161" s="34">
        <f>E160*$G$13</f>
        <v/>
      </c>
      <c r="F161" s="34">
        <f>F160*$G$13</f>
        <v/>
      </c>
      <c r="G161" s="34">
        <f>G160*$G$13</f>
        <v/>
      </c>
      <c r="H161" s="34">
        <f>H160*$G$13</f>
        <v/>
      </c>
      <c r="I161" s="34">
        <f>I160*$G$13</f>
        <v/>
      </c>
      <c r="J161" s="34">
        <f>J160*$G$13</f>
        <v/>
      </c>
      <c r="K161" s="34">
        <f>K160*$G$13</f>
        <v/>
      </c>
      <c r="L161" s="34">
        <f>L160*$G$13</f>
        <v/>
      </c>
      <c r="M161" s="34">
        <f>M160*$G$13</f>
        <v/>
      </c>
      <c r="N161" s="34">
        <f>N160*$G$13</f>
        <v/>
      </c>
      <c r="O161" s="34">
        <f>O160*$G$13</f>
        <v/>
      </c>
      <c r="P161" s="34">
        <f>P160*$G$13</f>
        <v/>
      </c>
      <c r="Q161" s="34">
        <f>Q160*$G$13</f>
        <v/>
      </c>
      <c r="R161" s="34">
        <f>R160*$G$13</f>
        <v/>
      </c>
      <c r="S161" s="34">
        <f>S160*$G$13</f>
        <v/>
      </c>
      <c r="T161" s="34">
        <f>T160*$G$13</f>
        <v/>
      </c>
      <c r="U161" s="34">
        <f>U160*$G$13</f>
        <v/>
      </c>
      <c r="V161" s="34">
        <f>V160*$G$13</f>
        <v/>
      </c>
      <c r="W161" s="34">
        <f>W160*$G$13</f>
        <v/>
      </c>
      <c r="X161" s="34">
        <f>X160*$G$13</f>
        <v/>
      </c>
      <c r="Y161" s="34">
        <f>Y160*$G$13</f>
        <v/>
      </c>
      <c r="Z161" s="34">
        <f>Z160*$G$13</f>
        <v/>
      </c>
      <c r="AA161" s="34">
        <f>AA160*$G$13</f>
        <v/>
      </c>
      <c r="AB161" s="34">
        <f>AB160*$G$13</f>
        <v/>
      </c>
      <c r="AC161" s="34">
        <f>AC160*$G$13</f>
        <v/>
      </c>
      <c r="AD161" s="34">
        <f>AD160*$G$13</f>
        <v/>
      </c>
      <c r="AE161" s="34">
        <f>AE160*$G$13</f>
        <v/>
      </c>
      <c r="AF161" s="34">
        <f>AF160*$G$13</f>
        <v/>
      </c>
      <c r="AG161" s="34">
        <f>AG160*$G$13</f>
        <v/>
      </c>
      <c r="AH161" s="34">
        <f>AH160*$G$13</f>
        <v/>
      </c>
      <c r="AI161" s="34">
        <f>AI160*$G$13</f>
        <v/>
      </c>
      <c r="AJ161" s="34">
        <f>AJ160*$G$13</f>
        <v/>
      </c>
      <c r="AK161" s="34">
        <f>AK160*$G$13</f>
        <v/>
      </c>
      <c r="AL161" s="34">
        <f>AL160*$G$13</f>
        <v/>
      </c>
      <c r="AM161" s="34">
        <f>AM160*$G$13</f>
        <v/>
      </c>
      <c r="AN161" s="34">
        <f>AN160*$G$13</f>
        <v/>
      </c>
      <c r="AO161" s="34">
        <f>AO160*$G$13</f>
        <v/>
      </c>
      <c r="AP161" s="34">
        <f>AP160*$G$13</f>
        <v/>
      </c>
      <c r="AQ161" s="34">
        <f>AQ160*$G$13</f>
        <v/>
      </c>
      <c r="AR161" s="34">
        <f>AR160*$G$13</f>
        <v/>
      </c>
      <c r="AS161" s="34">
        <f>AS160*$G$13</f>
        <v/>
      </c>
      <c r="AT161" s="34">
        <f>AT160*$G$13</f>
        <v/>
      </c>
      <c r="AU161" s="34">
        <f>AU160*$G$13</f>
        <v/>
      </c>
      <c r="AV161" s="34">
        <f>AV160*$G$13</f>
        <v/>
      </c>
      <c r="AW161" s="34">
        <f>AW160*$G$13</f>
        <v/>
      </c>
      <c r="AX161" s="34">
        <f>AX160*$G$13</f>
        <v/>
      </c>
      <c r="AY161" s="34">
        <f>AY160*$G$13</f>
        <v/>
      </c>
      <c r="AZ161" s="34">
        <f>AZ160*$G$13</f>
        <v/>
      </c>
      <c r="BA161" s="34">
        <f>BA160*$G$13</f>
        <v/>
      </c>
      <c r="BB161" s="34">
        <f>BB160*$G$13</f>
        <v/>
      </c>
      <c r="BC161" s="34">
        <f>BC160*$G$13</f>
        <v/>
      </c>
      <c r="BD161" s="34">
        <f>BD160*$G$13</f>
        <v/>
      </c>
    </row>
    <row r="162">
      <c r="A162" s="3" t="inlineStr">
        <is>
          <t>In store this week</t>
        </is>
      </c>
      <c r="B162" s="4" t="inlineStr">
        <is>
          <t>lb</t>
        </is>
      </c>
      <c r="E162" s="34">
        <f>E160-E161+E159</f>
        <v/>
      </c>
      <c r="F162" s="34">
        <f>F160-F161+F159</f>
        <v/>
      </c>
      <c r="G162" s="34">
        <f>G160-G161+G159</f>
        <v/>
      </c>
      <c r="H162" s="34">
        <f>H160-H161+H159</f>
        <v/>
      </c>
      <c r="I162" s="34">
        <f>I160-I161+I159</f>
        <v/>
      </c>
      <c r="J162" s="34">
        <f>J160-J161+J159</f>
        <v/>
      </c>
      <c r="K162" s="34">
        <f>K160-K161+K159</f>
        <v/>
      </c>
      <c r="L162" s="34">
        <f>L160-L161+L159</f>
        <v/>
      </c>
      <c r="M162" s="34">
        <f>M160-M161+M159</f>
        <v/>
      </c>
      <c r="N162" s="34">
        <f>N160-N161+N159</f>
        <v/>
      </c>
      <c r="O162" s="34">
        <f>O160-O161+O159</f>
        <v/>
      </c>
      <c r="P162" s="34">
        <f>P160-P161+P159</f>
        <v/>
      </c>
      <c r="Q162" s="34">
        <f>Q160-Q161+Q159</f>
        <v/>
      </c>
      <c r="R162" s="34">
        <f>R160-R161+R159</f>
        <v/>
      </c>
      <c r="S162" s="34">
        <f>S160-S161+S159</f>
        <v/>
      </c>
      <c r="T162" s="34">
        <f>T160-T161+T159</f>
        <v/>
      </c>
      <c r="U162" s="34">
        <f>U160-U161+U159</f>
        <v/>
      </c>
      <c r="V162" s="34">
        <f>V160-V161+V159</f>
        <v/>
      </c>
      <c r="W162" s="34">
        <f>W160-W161+W159</f>
        <v/>
      </c>
      <c r="X162" s="34">
        <f>X160-X161+X159</f>
        <v/>
      </c>
      <c r="Y162" s="34">
        <f>Y160-Y161+Y159</f>
        <v/>
      </c>
      <c r="Z162" s="34">
        <f>Z160-Z161+Z159</f>
        <v/>
      </c>
      <c r="AA162" s="34">
        <f>AA160-AA161+AA159</f>
        <v/>
      </c>
      <c r="AB162" s="34">
        <f>AB160-AB161+AB159</f>
        <v/>
      </c>
      <c r="AC162" s="34">
        <f>AC160-AC161+AC159</f>
        <v/>
      </c>
      <c r="AD162" s="34">
        <f>AD160-AD161+AD159</f>
        <v/>
      </c>
      <c r="AE162" s="34">
        <f>AE160-AE161+AE159</f>
        <v/>
      </c>
      <c r="AF162" s="34">
        <f>AF160-AF161+AF159</f>
        <v/>
      </c>
      <c r="AG162" s="34">
        <f>AG160-AG161+AG159</f>
        <v/>
      </c>
      <c r="AH162" s="34">
        <f>AH160-AH161+AH159</f>
        <v/>
      </c>
      <c r="AI162" s="34">
        <f>AI160-AI161+AI159</f>
        <v/>
      </c>
      <c r="AJ162" s="34">
        <f>AJ160-AJ161+AJ159</f>
        <v/>
      </c>
      <c r="AK162" s="34">
        <f>AK160-AK161+AK159</f>
        <v/>
      </c>
      <c r="AL162" s="34">
        <f>AL160-AL161+AL159</f>
        <v/>
      </c>
      <c r="AM162" s="34">
        <f>AM160-AM161+AM159</f>
        <v/>
      </c>
      <c r="AN162" s="34">
        <f>AN160-AN161+AN159</f>
        <v/>
      </c>
      <c r="AO162" s="34">
        <f>AO160-AO161+AO159</f>
        <v/>
      </c>
      <c r="AP162" s="34">
        <f>AP160-AP161+AP159</f>
        <v/>
      </c>
      <c r="AQ162" s="34">
        <f>AQ160-AQ161+AQ159</f>
        <v/>
      </c>
      <c r="AR162" s="34">
        <f>AR160-AR161+AR159</f>
        <v/>
      </c>
      <c r="AS162" s="34">
        <f>AS160-AS161+AS159</f>
        <v/>
      </c>
      <c r="AT162" s="34">
        <f>AT160-AT161+AT159</f>
        <v/>
      </c>
      <c r="AU162" s="34">
        <f>AU160-AU161+AU159</f>
        <v/>
      </c>
      <c r="AV162" s="34">
        <f>AV160-AV161+AV159</f>
        <v/>
      </c>
      <c r="AW162" s="34">
        <f>AW160-AW161+AW159</f>
        <v/>
      </c>
      <c r="AX162" s="34">
        <f>AX160-AX161+AX159</f>
        <v/>
      </c>
      <c r="AY162" s="34">
        <f>AY160-AY161+AY159</f>
        <v/>
      </c>
      <c r="AZ162" s="34">
        <f>AZ160-AZ161+AZ159</f>
        <v/>
      </c>
      <c r="BA162" s="34">
        <f>BA160-BA161+BA159</f>
        <v/>
      </c>
      <c r="BB162" s="34">
        <f>BB160-BB161+BB159</f>
        <v/>
      </c>
      <c r="BC162" s="34">
        <f>BC160-BC161+BC159</f>
        <v/>
      </c>
      <c r="BD162" s="34">
        <f>BD160-BD161+BD159</f>
        <v/>
      </c>
    </row>
    <row r="163">
      <c r="A163" s="35" t="inlineStr">
        <is>
          <t>Farmers Market — most you may sell this week</t>
        </is>
      </c>
      <c r="B163" s="4" t="inlineStr">
        <is>
          <t>lb</t>
        </is>
      </c>
      <c r="E163" s="36">
        <f>IF($C$22="Annual",$D$22-0,IF(AND(1&gt;=$E$22,1&lt;=$F$22),$D$22,0))</f>
        <v/>
      </c>
      <c r="F163" s="36">
        <f>IF($C$22="Annual",$D$22-SUM(E165:E165),IF(AND(2&gt;=$E$22,2&lt;=$F$22),$D$22,0))</f>
        <v/>
      </c>
      <c r="G163" s="36">
        <f>IF($C$22="Annual",$D$22-SUM(E165:F165),IF(AND(3&gt;=$E$22,3&lt;=$F$22),$D$22,0))</f>
        <v/>
      </c>
      <c r="H163" s="36">
        <f>IF($C$22="Annual",$D$22-SUM(E165:G165),IF(AND(4&gt;=$E$22,4&lt;=$F$22),$D$22,0))</f>
        <v/>
      </c>
      <c r="I163" s="36">
        <f>IF($C$22="Annual",$D$22-SUM(E165:H165),IF(AND(5&gt;=$E$22,5&lt;=$F$22),$D$22,0))</f>
        <v/>
      </c>
      <c r="J163" s="36">
        <f>IF($C$22="Annual",$D$22-SUM(E165:I165),IF(AND(6&gt;=$E$22,6&lt;=$F$22),$D$22,0))</f>
        <v/>
      </c>
      <c r="K163" s="36">
        <f>IF($C$22="Annual",$D$22-SUM(E165:J165),IF(AND(7&gt;=$E$22,7&lt;=$F$22),$D$22,0))</f>
        <v/>
      </c>
      <c r="L163" s="36">
        <f>IF($C$22="Annual",$D$22-SUM(E165:K165),IF(AND(8&gt;=$E$22,8&lt;=$F$22),$D$22,0))</f>
        <v/>
      </c>
      <c r="M163" s="36">
        <f>IF($C$22="Annual",$D$22-SUM(E165:L165),IF(AND(9&gt;=$E$22,9&lt;=$F$22),$D$22,0))</f>
        <v/>
      </c>
      <c r="N163" s="36">
        <f>IF($C$22="Annual",$D$22-SUM(E165:M165),IF(AND(10&gt;=$E$22,10&lt;=$F$22),$D$22,0))</f>
        <v/>
      </c>
      <c r="O163" s="36">
        <f>IF($C$22="Annual",$D$22-SUM(E165:N165),IF(AND(11&gt;=$E$22,11&lt;=$F$22),$D$22,0))</f>
        <v/>
      </c>
      <c r="P163" s="36">
        <f>IF($C$22="Annual",$D$22-SUM(E165:O165),IF(AND(12&gt;=$E$22,12&lt;=$F$22),$D$22,0))</f>
        <v/>
      </c>
      <c r="Q163" s="36">
        <f>IF($C$22="Annual",$D$22-SUM(E165:P165),IF(AND(13&gt;=$E$22,13&lt;=$F$22),$D$22,0))</f>
        <v/>
      </c>
      <c r="R163" s="36">
        <f>IF($C$22="Annual",$D$22-SUM(E165:Q165),IF(AND(14&gt;=$E$22,14&lt;=$F$22),$D$22,0))</f>
        <v/>
      </c>
      <c r="S163" s="36">
        <f>IF($C$22="Annual",$D$22-SUM(E165:R165),IF(AND(15&gt;=$E$22,15&lt;=$F$22),$D$22,0))</f>
        <v/>
      </c>
      <c r="T163" s="36">
        <f>IF($C$22="Annual",$D$22-SUM(E165:S165),IF(AND(16&gt;=$E$22,16&lt;=$F$22),$D$22,0))</f>
        <v/>
      </c>
      <c r="U163" s="36">
        <f>IF($C$22="Annual",$D$22-SUM(E165:T165),IF(AND(17&gt;=$E$22,17&lt;=$F$22),$D$22,0))</f>
        <v/>
      </c>
      <c r="V163" s="36">
        <f>IF($C$22="Annual",$D$22-SUM(E165:U165),IF(AND(18&gt;=$E$22,18&lt;=$F$22),$D$22,0))</f>
        <v/>
      </c>
      <c r="W163" s="36">
        <f>IF($C$22="Annual",$D$22-SUM(E165:V165),IF(AND(19&gt;=$E$22,19&lt;=$F$22),$D$22,0))</f>
        <v/>
      </c>
      <c r="X163" s="36">
        <f>IF($C$22="Annual",$D$22-SUM(E165:W165),IF(AND(20&gt;=$E$22,20&lt;=$F$22),$D$22,0))</f>
        <v/>
      </c>
      <c r="Y163" s="36">
        <f>IF($C$22="Annual",$D$22-SUM(E165:X165),IF(AND(21&gt;=$E$22,21&lt;=$F$22),$D$22,0))</f>
        <v/>
      </c>
      <c r="Z163" s="36">
        <f>IF($C$22="Annual",$D$22-SUM(E165:Y165),IF(AND(22&gt;=$E$22,22&lt;=$F$22),$D$22,0))</f>
        <v/>
      </c>
      <c r="AA163" s="36">
        <f>IF($C$22="Annual",$D$22-SUM(E165:Z165),IF(AND(23&gt;=$E$22,23&lt;=$F$22),$D$22,0))</f>
        <v/>
      </c>
      <c r="AB163" s="36">
        <f>IF($C$22="Annual",$D$22-SUM(E165:AA165),IF(AND(24&gt;=$E$22,24&lt;=$F$22),$D$22,0))</f>
        <v/>
      </c>
      <c r="AC163" s="36">
        <f>IF($C$22="Annual",$D$22-SUM(E165:AB165),IF(AND(25&gt;=$E$22,25&lt;=$F$22),$D$22,0))</f>
        <v/>
      </c>
      <c r="AD163" s="36">
        <f>IF($C$22="Annual",$D$22-SUM(E165:AC165),IF(AND(26&gt;=$E$22,26&lt;=$F$22),$D$22,0))</f>
        <v/>
      </c>
      <c r="AE163" s="36">
        <f>IF($C$22="Annual",$D$22-SUM(E165:AD165),IF(AND(27&gt;=$E$22,27&lt;=$F$22),$D$22,0))</f>
        <v/>
      </c>
      <c r="AF163" s="36">
        <f>IF($C$22="Annual",$D$22-SUM(E165:AE165),IF(AND(28&gt;=$E$22,28&lt;=$F$22),$D$22,0))</f>
        <v/>
      </c>
      <c r="AG163" s="36">
        <f>IF($C$22="Annual",$D$22-SUM(E165:AF165),IF(AND(29&gt;=$E$22,29&lt;=$F$22),$D$22,0))</f>
        <v/>
      </c>
      <c r="AH163" s="36">
        <f>IF($C$22="Annual",$D$22-SUM(E165:AG165),IF(AND(30&gt;=$E$22,30&lt;=$F$22),$D$22,0))</f>
        <v/>
      </c>
      <c r="AI163" s="36">
        <f>IF($C$22="Annual",$D$22-SUM(E165:AH165),IF(AND(31&gt;=$E$22,31&lt;=$F$22),$D$22,0))</f>
        <v/>
      </c>
      <c r="AJ163" s="36">
        <f>IF($C$22="Annual",$D$22-SUM(E165:AI165),IF(AND(32&gt;=$E$22,32&lt;=$F$22),$D$22,0))</f>
        <v/>
      </c>
      <c r="AK163" s="36">
        <f>IF($C$22="Annual",$D$22-SUM(E165:AJ165),IF(AND(33&gt;=$E$22,33&lt;=$F$22),$D$22,0))</f>
        <v/>
      </c>
      <c r="AL163" s="36">
        <f>IF($C$22="Annual",$D$22-SUM(E165:AK165),IF(AND(34&gt;=$E$22,34&lt;=$F$22),$D$22,0))</f>
        <v/>
      </c>
      <c r="AM163" s="36">
        <f>IF($C$22="Annual",$D$22-SUM(E165:AL165),IF(AND(35&gt;=$E$22,35&lt;=$F$22),$D$22,0))</f>
        <v/>
      </c>
      <c r="AN163" s="36">
        <f>IF($C$22="Annual",$D$22-SUM(E165:AM165),IF(AND(36&gt;=$E$22,36&lt;=$F$22),$D$22,0))</f>
        <v/>
      </c>
      <c r="AO163" s="36">
        <f>IF($C$22="Annual",$D$22-SUM(E165:AN165),IF(AND(37&gt;=$E$22,37&lt;=$F$22),$D$22,0))</f>
        <v/>
      </c>
      <c r="AP163" s="36">
        <f>IF($C$22="Annual",$D$22-SUM(E165:AO165),IF(AND(38&gt;=$E$22,38&lt;=$F$22),$D$22,0))</f>
        <v/>
      </c>
      <c r="AQ163" s="36">
        <f>IF($C$22="Annual",$D$22-SUM(E165:AP165),IF(AND(39&gt;=$E$22,39&lt;=$F$22),$D$22,0))</f>
        <v/>
      </c>
      <c r="AR163" s="36">
        <f>IF($C$22="Annual",$D$22-SUM(E165:AQ165),IF(AND(40&gt;=$E$22,40&lt;=$F$22),$D$22,0))</f>
        <v/>
      </c>
      <c r="AS163" s="36">
        <f>IF($C$22="Annual",$D$22-SUM(E165:AR165),IF(AND(41&gt;=$E$22,41&lt;=$F$22),$D$22,0))</f>
        <v/>
      </c>
      <c r="AT163" s="36">
        <f>IF($C$22="Annual",$D$22-SUM(E165:AS165),IF(AND(42&gt;=$E$22,42&lt;=$F$22),$D$22,0))</f>
        <v/>
      </c>
      <c r="AU163" s="36">
        <f>IF($C$22="Annual",$D$22-SUM(E165:AT165),IF(AND(43&gt;=$E$22,43&lt;=$F$22),$D$22,0))</f>
        <v/>
      </c>
      <c r="AV163" s="36">
        <f>IF($C$22="Annual",$D$22-SUM(E165:AU165),IF(AND(44&gt;=$E$22,44&lt;=$F$22),$D$22,0))</f>
        <v/>
      </c>
      <c r="AW163" s="36">
        <f>IF($C$22="Annual",$D$22-SUM(E165:AV165),IF(AND(45&gt;=$E$22,45&lt;=$F$22),$D$22,0))</f>
        <v/>
      </c>
      <c r="AX163" s="36">
        <f>IF($C$22="Annual",$D$22-SUM(E165:AW165),IF(AND(46&gt;=$E$22,46&lt;=$F$22),$D$22,0))</f>
        <v/>
      </c>
      <c r="AY163" s="36">
        <f>IF($C$22="Annual",$D$22-SUM(E165:AX165),IF(AND(47&gt;=$E$22,47&lt;=$F$22),$D$22,0))</f>
        <v/>
      </c>
      <c r="AZ163" s="36">
        <f>IF($C$22="Annual",$D$22-SUM(E165:AY165),IF(AND(48&gt;=$E$22,48&lt;=$F$22),$D$22,0))</f>
        <v/>
      </c>
      <c r="BA163" s="36">
        <f>IF($C$22="Annual",$D$22-SUM(E165:AZ165),IF(AND(49&gt;=$E$22,49&lt;=$F$22),$D$22,0))</f>
        <v/>
      </c>
      <c r="BB163" s="36">
        <f>IF($C$22="Annual",$D$22-SUM(E165:BA165),IF(AND(50&gt;=$E$22,50&lt;=$F$22),$D$22,0))</f>
        <v/>
      </c>
      <c r="BC163" s="36">
        <f>IF($C$22="Annual",$D$22-SUM(E165:BB165),IF(AND(51&gt;=$E$22,51&lt;=$F$22),$D$22,0))</f>
        <v/>
      </c>
      <c r="BD163" s="36">
        <f>IF($C$22="Annual",$D$22-SUM(E165:BC165),IF(AND(52&gt;=$E$22,52&lt;=$F$22),$D$22,0))</f>
        <v/>
      </c>
    </row>
    <row r="164">
      <c r="A164" s="20" t="inlineStr">
        <is>
          <t>Farmers Market — OFFERED</t>
        </is>
      </c>
      <c r="B164" s="4" t="inlineStr">
        <is>
          <t>lb  &lt;-- SOLVER</t>
        </is>
      </c>
      <c r="E164" s="37" t="n">
        <v>0</v>
      </c>
      <c r="F164" s="37" t="n">
        <v>0</v>
      </c>
      <c r="G164" s="37" t="n">
        <v>0</v>
      </c>
      <c r="H164" s="37" t="n">
        <v>0</v>
      </c>
      <c r="I164" s="37" t="n">
        <v>0</v>
      </c>
      <c r="J164" s="37" t="n">
        <v>0</v>
      </c>
      <c r="K164" s="37" t="n">
        <v>0</v>
      </c>
      <c r="L164" s="37" t="n">
        <v>0</v>
      </c>
      <c r="M164" s="37" t="n">
        <v>0</v>
      </c>
      <c r="N164" s="37" t="n">
        <v>0</v>
      </c>
      <c r="O164" s="37" t="n">
        <v>0</v>
      </c>
      <c r="P164" s="37" t="n">
        <v>0</v>
      </c>
      <c r="Q164" s="37" t="n">
        <v>0</v>
      </c>
      <c r="R164" s="37" t="n">
        <v>0</v>
      </c>
      <c r="S164" s="37" t="n">
        <v>0</v>
      </c>
      <c r="T164" s="37" t="n">
        <v>0</v>
      </c>
      <c r="U164" s="37" t="n">
        <v>0</v>
      </c>
      <c r="V164" s="37" t="n">
        <v>0</v>
      </c>
      <c r="W164" s="37" t="n">
        <v>0</v>
      </c>
      <c r="X164" s="37" t="n">
        <v>0</v>
      </c>
      <c r="Y164" s="37" t="n">
        <v>0</v>
      </c>
      <c r="Z164" s="37" t="n">
        <v>0</v>
      </c>
      <c r="AA164" s="37" t="n">
        <v>0</v>
      </c>
      <c r="AB164" s="37" t="n">
        <v>0</v>
      </c>
      <c r="AC164" s="37" t="n">
        <v>0</v>
      </c>
      <c r="AD164" s="37" t="n">
        <v>0</v>
      </c>
      <c r="AE164" s="37" t="n">
        <v>0</v>
      </c>
      <c r="AF164" s="37" t="n">
        <v>0</v>
      </c>
      <c r="AG164" s="37" t="n">
        <v>0</v>
      </c>
      <c r="AH164" s="37" t="n">
        <v>0</v>
      </c>
      <c r="AI164" s="37" t="n">
        <v>0</v>
      </c>
      <c r="AJ164" s="37" t="n">
        <v>0</v>
      </c>
      <c r="AK164" s="37" t="n">
        <v>0</v>
      </c>
      <c r="AL164" s="37" t="n">
        <v>0</v>
      </c>
      <c r="AM164" s="37" t="n">
        <v>0</v>
      </c>
      <c r="AN164" s="37" t="n">
        <v>0</v>
      </c>
      <c r="AO164" s="37" t="n">
        <v>0</v>
      </c>
      <c r="AP164" s="37" t="n">
        <v>0</v>
      </c>
      <c r="AQ164" s="37" t="n">
        <v>0</v>
      </c>
      <c r="AR164" s="37" t="n">
        <v>0</v>
      </c>
      <c r="AS164" s="37" t="n">
        <v>0</v>
      </c>
      <c r="AT164" s="37" t="n">
        <v>0</v>
      </c>
      <c r="AU164" s="37" t="n">
        <v>0</v>
      </c>
      <c r="AV164" s="37" t="n">
        <v>0</v>
      </c>
      <c r="AW164" s="37" t="n">
        <v>0</v>
      </c>
      <c r="AX164" s="37" t="n">
        <v>0</v>
      </c>
      <c r="AY164" s="37" t="n">
        <v>0</v>
      </c>
      <c r="AZ164" s="37" t="n">
        <v>0</v>
      </c>
      <c r="BA164" s="37" t="n">
        <v>0</v>
      </c>
      <c r="BB164" s="37" t="n">
        <v>0</v>
      </c>
      <c r="BC164" s="37" t="n">
        <v>0</v>
      </c>
      <c r="BD164" s="37" t="n">
        <v>0</v>
      </c>
    </row>
    <row r="165">
      <c r="A165" s="38" t="inlineStr">
        <is>
          <t>Farmers Market — SOLD</t>
        </is>
      </c>
      <c r="B165" s="4" t="inlineStr">
        <is>
          <t>lb</t>
        </is>
      </c>
      <c r="E165" s="36">
        <f>E164*$G$22</f>
        <v/>
      </c>
      <c r="F165" s="36">
        <f>F164*$G$22</f>
        <v/>
      </c>
      <c r="G165" s="36">
        <f>G164*$G$22</f>
        <v/>
      </c>
      <c r="H165" s="36">
        <f>H164*$G$22</f>
        <v/>
      </c>
      <c r="I165" s="36">
        <f>I164*$G$22</f>
        <v/>
      </c>
      <c r="J165" s="36">
        <f>J164*$G$22</f>
        <v/>
      </c>
      <c r="K165" s="36">
        <f>K164*$G$22</f>
        <v/>
      </c>
      <c r="L165" s="36">
        <f>L164*$G$22</f>
        <v/>
      </c>
      <c r="M165" s="36">
        <f>M164*$G$22</f>
        <v/>
      </c>
      <c r="N165" s="36">
        <f>N164*$G$22</f>
        <v/>
      </c>
      <c r="O165" s="36">
        <f>O164*$G$22</f>
        <v/>
      </c>
      <c r="P165" s="36">
        <f>P164*$G$22</f>
        <v/>
      </c>
      <c r="Q165" s="36">
        <f>Q164*$G$22</f>
        <v/>
      </c>
      <c r="R165" s="36">
        <f>R164*$G$22</f>
        <v/>
      </c>
      <c r="S165" s="36">
        <f>S164*$G$22</f>
        <v/>
      </c>
      <c r="T165" s="36">
        <f>T164*$G$22</f>
        <v/>
      </c>
      <c r="U165" s="36">
        <f>U164*$G$22</f>
        <v/>
      </c>
      <c r="V165" s="36">
        <f>V164*$G$22</f>
        <v/>
      </c>
      <c r="W165" s="36">
        <f>W164*$G$22</f>
        <v/>
      </c>
      <c r="X165" s="36">
        <f>X164*$G$22</f>
        <v/>
      </c>
      <c r="Y165" s="36">
        <f>Y164*$G$22</f>
        <v/>
      </c>
      <c r="Z165" s="36">
        <f>Z164*$G$22</f>
        <v/>
      </c>
      <c r="AA165" s="36">
        <f>AA164*$G$22</f>
        <v/>
      </c>
      <c r="AB165" s="36">
        <f>AB164*$G$22</f>
        <v/>
      </c>
      <c r="AC165" s="36">
        <f>AC164*$G$22</f>
        <v/>
      </c>
      <c r="AD165" s="36">
        <f>AD164*$G$22</f>
        <v/>
      </c>
      <c r="AE165" s="36">
        <f>AE164*$G$22</f>
        <v/>
      </c>
      <c r="AF165" s="36">
        <f>AF164*$G$22</f>
        <v/>
      </c>
      <c r="AG165" s="36">
        <f>AG164*$G$22</f>
        <v/>
      </c>
      <c r="AH165" s="36">
        <f>AH164*$G$22</f>
        <v/>
      </c>
      <c r="AI165" s="36">
        <f>AI164*$G$22</f>
        <v/>
      </c>
      <c r="AJ165" s="36">
        <f>AJ164*$G$22</f>
        <v/>
      </c>
      <c r="AK165" s="36">
        <f>AK164*$G$22</f>
        <v/>
      </c>
      <c r="AL165" s="36">
        <f>AL164*$G$22</f>
        <v/>
      </c>
      <c r="AM165" s="36">
        <f>AM164*$G$22</f>
        <v/>
      </c>
      <c r="AN165" s="36">
        <f>AN164*$G$22</f>
        <v/>
      </c>
      <c r="AO165" s="36">
        <f>AO164*$G$22</f>
        <v/>
      </c>
      <c r="AP165" s="36">
        <f>AP164*$G$22</f>
        <v/>
      </c>
      <c r="AQ165" s="36">
        <f>AQ164*$G$22</f>
        <v/>
      </c>
      <c r="AR165" s="36">
        <f>AR164*$G$22</f>
        <v/>
      </c>
      <c r="AS165" s="36">
        <f>AS164*$G$22</f>
        <v/>
      </c>
      <c r="AT165" s="36">
        <f>AT164*$G$22</f>
        <v/>
      </c>
      <c r="AU165" s="36">
        <f>AU164*$G$22</f>
        <v/>
      </c>
      <c r="AV165" s="36">
        <f>AV164*$G$22</f>
        <v/>
      </c>
      <c r="AW165" s="36">
        <f>AW164*$G$22</f>
        <v/>
      </c>
      <c r="AX165" s="36">
        <f>AX164*$G$22</f>
        <v/>
      </c>
      <c r="AY165" s="36">
        <f>AY164*$G$22</f>
        <v/>
      </c>
      <c r="AZ165" s="36">
        <f>AZ164*$G$22</f>
        <v/>
      </c>
      <c r="BA165" s="36">
        <f>BA164*$G$22</f>
        <v/>
      </c>
      <c r="BB165" s="36">
        <f>BB164*$G$22</f>
        <v/>
      </c>
      <c r="BC165" s="36">
        <f>BC164*$G$22</f>
        <v/>
      </c>
      <c r="BD165" s="36">
        <f>BD164*$G$22</f>
        <v/>
      </c>
    </row>
    <row r="166">
      <c r="A166" s="24" t="inlineStr">
        <is>
          <t xml:space="preserve">   market loss (gone)</t>
        </is>
      </c>
      <c r="B166" s="4" t="inlineStr">
        <is>
          <t>lb</t>
        </is>
      </c>
      <c r="E166" s="34">
        <f>(E164-E165)*(1-$H$22)</f>
        <v/>
      </c>
      <c r="F166" s="34">
        <f>(F164-F165)*(1-$H$22)</f>
        <v/>
      </c>
      <c r="G166" s="34">
        <f>(G164-G165)*(1-$H$22)</f>
        <v/>
      </c>
      <c r="H166" s="34">
        <f>(H164-H165)*(1-$H$22)</f>
        <v/>
      </c>
      <c r="I166" s="34">
        <f>(I164-I165)*(1-$H$22)</f>
        <v/>
      </c>
      <c r="J166" s="34">
        <f>(J164-J165)*(1-$H$22)</f>
        <v/>
      </c>
      <c r="K166" s="34">
        <f>(K164-K165)*(1-$H$22)</f>
        <v/>
      </c>
      <c r="L166" s="34">
        <f>(L164-L165)*(1-$H$22)</f>
        <v/>
      </c>
      <c r="M166" s="34">
        <f>(M164-M165)*(1-$H$22)</f>
        <v/>
      </c>
      <c r="N166" s="34">
        <f>(N164-N165)*(1-$H$22)</f>
        <v/>
      </c>
      <c r="O166" s="34">
        <f>(O164-O165)*(1-$H$22)</f>
        <v/>
      </c>
      <c r="P166" s="34">
        <f>(P164-P165)*(1-$H$22)</f>
        <v/>
      </c>
      <c r="Q166" s="34">
        <f>(Q164-Q165)*(1-$H$22)</f>
        <v/>
      </c>
      <c r="R166" s="34">
        <f>(R164-R165)*(1-$H$22)</f>
        <v/>
      </c>
      <c r="S166" s="34">
        <f>(S164-S165)*(1-$H$22)</f>
        <v/>
      </c>
      <c r="T166" s="34">
        <f>(T164-T165)*(1-$H$22)</f>
        <v/>
      </c>
      <c r="U166" s="34">
        <f>(U164-U165)*(1-$H$22)</f>
        <v/>
      </c>
      <c r="V166" s="34">
        <f>(V164-V165)*(1-$H$22)</f>
        <v/>
      </c>
      <c r="W166" s="34">
        <f>(W164-W165)*(1-$H$22)</f>
        <v/>
      </c>
      <c r="X166" s="34">
        <f>(X164-X165)*(1-$H$22)</f>
        <v/>
      </c>
      <c r="Y166" s="34">
        <f>(Y164-Y165)*(1-$H$22)</f>
        <v/>
      </c>
      <c r="Z166" s="34">
        <f>(Z164-Z165)*(1-$H$22)</f>
        <v/>
      </c>
      <c r="AA166" s="34">
        <f>(AA164-AA165)*(1-$H$22)</f>
        <v/>
      </c>
      <c r="AB166" s="34">
        <f>(AB164-AB165)*(1-$H$22)</f>
        <v/>
      </c>
      <c r="AC166" s="34">
        <f>(AC164-AC165)*(1-$H$22)</f>
        <v/>
      </c>
      <c r="AD166" s="34">
        <f>(AD164-AD165)*(1-$H$22)</f>
        <v/>
      </c>
      <c r="AE166" s="34">
        <f>(AE164-AE165)*(1-$H$22)</f>
        <v/>
      </c>
      <c r="AF166" s="34">
        <f>(AF164-AF165)*(1-$H$22)</f>
        <v/>
      </c>
      <c r="AG166" s="34">
        <f>(AG164-AG165)*(1-$H$22)</f>
        <v/>
      </c>
      <c r="AH166" s="34">
        <f>(AH164-AH165)*(1-$H$22)</f>
        <v/>
      </c>
      <c r="AI166" s="34">
        <f>(AI164-AI165)*(1-$H$22)</f>
        <v/>
      </c>
      <c r="AJ166" s="34">
        <f>(AJ164-AJ165)*(1-$H$22)</f>
        <v/>
      </c>
      <c r="AK166" s="34">
        <f>(AK164-AK165)*(1-$H$22)</f>
        <v/>
      </c>
      <c r="AL166" s="34">
        <f>(AL164-AL165)*(1-$H$22)</f>
        <v/>
      </c>
      <c r="AM166" s="34">
        <f>(AM164-AM165)*(1-$H$22)</f>
        <v/>
      </c>
      <c r="AN166" s="34">
        <f>(AN164-AN165)*(1-$H$22)</f>
        <v/>
      </c>
      <c r="AO166" s="34">
        <f>(AO164-AO165)*(1-$H$22)</f>
        <v/>
      </c>
      <c r="AP166" s="34">
        <f>(AP164-AP165)*(1-$H$22)</f>
        <v/>
      </c>
      <c r="AQ166" s="34">
        <f>(AQ164-AQ165)*(1-$H$22)</f>
        <v/>
      </c>
      <c r="AR166" s="34">
        <f>(AR164-AR165)*(1-$H$22)</f>
        <v/>
      </c>
      <c r="AS166" s="34">
        <f>(AS164-AS165)*(1-$H$22)</f>
        <v/>
      </c>
      <c r="AT166" s="34">
        <f>(AT164-AT165)*(1-$H$22)</f>
        <v/>
      </c>
      <c r="AU166" s="34">
        <f>(AU164-AU165)*(1-$H$22)</f>
        <v/>
      </c>
      <c r="AV166" s="34">
        <f>(AV164-AV165)*(1-$H$22)</f>
        <v/>
      </c>
      <c r="AW166" s="34">
        <f>(AW164-AW165)*(1-$H$22)</f>
        <v/>
      </c>
      <c r="AX166" s="34">
        <f>(AX164-AX165)*(1-$H$22)</f>
        <v/>
      </c>
      <c r="AY166" s="34">
        <f>(AY164-AY165)*(1-$H$22)</f>
        <v/>
      </c>
      <c r="AZ166" s="34">
        <f>(AZ164-AZ165)*(1-$H$22)</f>
        <v/>
      </c>
      <c r="BA166" s="34">
        <f>(BA164-BA165)*(1-$H$22)</f>
        <v/>
      </c>
      <c r="BB166" s="34">
        <f>(BB164-BB165)*(1-$H$22)</f>
        <v/>
      </c>
      <c r="BC166" s="34">
        <f>(BC164-BC165)*(1-$H$22)</f>
        <v/>
      </c>
      <c r="BD166" s="34">
        <f>(BD164-BD165)*(1-$H$22)</f>
        <v/>
      </c>
    </row>
    <row r="167">
      <c r="A167" s="24" t="inlineStr">
        <is>
          <t xml:space="preserve">   returned to store</t>
        </is>
      </c>
      <c r="B167" s="4" t="inlineStr">
        <is>
          <t>lb</t>
        </is>
      </c>
      <c r="E167" s="34">
        <f>(E164-E165)*$H$22</f>
        <v/>
      </c>
      <c r="F167" s="34">
        <f>(F164-F165)*$H$22</f>
        <v/>
      </c>
      <c r="G167" s="34">
        <f>(G164-G165)*$H$22</f>
        <v/>
      </c>
      <c r="H167" s="34">
        <f>(H164-H165)*$H$22</f>
        <v/>
      </c>
      <c r="I167" s="34">
        <f>(I164-I165)*$H$22</f>
        <v/>
      </c>
      <c r="J167" s="34">
        <f>(J164-J165)*$H$22</f>
        <v/>
      </c>
      <c r="K167" s="34">
        <f>(K164-K165)*$H$22</f>
        <v/>
      </c>
      <c r="L167" s="34">
        <f>(L164-L165)*$H$22</f>
        <v/>
      </c>
      <c r="M167" s="34">
        <f>(M164-M165)*$H$22</f>
        <v/>
      </c>
      <c r="N167" s="34">
        <f>(N164-N165)*$H$22</f>
        <v/>
      </c>
      <c r="O167" s="34">
        <f>(O164-O165)*$H$22</f>
        <v/>
      </c>
      <c r="P167" s="34">
        <f>(P164-P165)*$H$22</f>
        <v/>
      </c>
      <c r="Q167" s="34">
        <f>(Q164-Q165)*$H$22</f>
        <v/>
      </c>
      <c r="R167" s="34">
        <f>(R164-R165)*$H$22</f>
        <v/>
      </c>
      <c r="S167" s="34">
        <f>(S164-S165)*$H$22</f>
        <v/>
      </c>
      <c r="T167" s="34">
        <f>(T164-T165)*$H$22</f>
        <v/>
      </c>
      <c r="U167" s="34">
        <f>(U164-U165)*$H$22</f>
        <v/>
      </c>
      <c r="V167" s="34">
        <f>(V164-V165)*$H$22</f>
        <v/>
      </c>
      <c r="W167" s="34">
        <f>(W164-W165)*$H$22</f>
        <v/>
      </c>
      <c r="X167" s="34">
        <f>(X164-X165)*$H$22</f>
        <v/>
      </c>
      <c r="Y167" s="34">
        <f>(Y164-Y165)*$H$22</f>
        <v/>
      </c>
      <c r="Z167" s="34">
        <f>(Z164-Z165)*$H$22</f>
        <v/>
      </c>
      <c r="AA167" s="34">
        <f>(AA164-AA165)*$H$22</f>
        <v/>
      </c>
      <c r="AB167" s="34">
        <f>(AB164-AB165)*$H$22</f>
        <v/>
      </c>
      <c r="AC167" s="34">
        <f>(AC164-AC165)*$H$22</f>
        <v/>
      </c>
      <c r="AD167" s="34">
        <f>(AD164-AD165)*$H$22</f>
        <v/>
      </c>
      <c r="AE167" s="34">
        <f>(AE164-AE165)*$H$22</f>
        <v/>
      </c>
      <c r="AF167" s="34">
        <f>(AF164-AF165)*$H$22</f>
        <v/>
      </c>
      <c r="AG167" s="34">
        <f>(AG164-AG165)*$H$22</f>
        <v/>
      </c>
      <c r="AH167" s="34">
        <f>(AH164-AH165)*$H$22</f>
        <v/>
      </c>
      <c r="AI167" s="34">
        <f>(AI164-AI165)*$H$22</f>
        <v/>
      </c>
      <c r="AJ167" s="34">
        <f>(AJ164-AJ165)*$H$22</f>
        <v/>
      </c>
      <c r="AK167" s="34">
        <f>(AK164-AK165)*$H$22</f>
        <v/>
      </c>
      <c r="AL167" s="34">
        <f>(AL164-AL165)*$H$22</f>
        <v/>
      </c>
      <c r="AM167" s="34">
        <f>(AM164-AM165)*$H$22</f>
        <v/>
      </c>
      <c r="AN167" s="34">
        <f>(AN164-AN165)*$H$22</f>
        <v/>
      </c>
      <c r="AO167" s="34">
        <f>(AO164-AO165)*$H$22</f>
        <v/>
      </c>
      <c r="AP167" s="34">
        <f>(AP164-AP165)*$H$22</f>
        <v/>
      </c>
      <c r="AQ167" s="34">
        <f>(AQ164-AQ165)*$H$22</f>
        <v/>
      </c>
      <c r="AR167" s="34">
        <f>(AR164-AR165)*$H$22</f>
        <v/>
      </c>
      <c r="AS167" s="34">
        <f>(AS164-AS165)*$H$22</f>
        <v/>
      </c>
      <c r="AT167" s="34">
        <f>(AT164-AT165)*$H$22</f>
        <v/>
      </c>
      <c r="AU167" s="34">
        <f>(AU164-AU165)*$H$22</f>
        <v/>
      </c>
      <c r="AV167" s="34">
        <f>(AV164-AV165)*$H$22</f>
        <v/>
      </c>
      <c r="AW167" s="34">
        <f>(AW164-AW165)*$H$22</f>
        <v/>
      </c>
      <c r="AX167" s="34">
        <f>(AX164-AX165)*$H$22</f>
        <v/>
      </c>
      <c r="AY167" s="34">
        <f>(AY164-AY165)*$H$22</f>
        <v/>
      </c>
      <c r="AZ167" s="34">
        <f>(AZ164-AZ165)*$H$22</f>
        <v/>
      </c>
      <c r="BA167" s="34">
        <f>(BA164-BA165)*$H$22</f>
        <v/>
      </c>
      <c r="BB167" s="34">
        <f>(BB164-BB165)*$H$22</f>
        <v/>
      </c>
      <c r="BC167" s="34">
        <f>(BC164-BC165)*$H$22</f>
        <v/>
      </c>
      <c r="BD167" s="34">
        <f>(BD164-BD165)*$H$22</f>
        <v/>
      </c>
    </row>
    <row r="168">
      <c r="A168" s="24" t="inlineStr">
        <is>
          <t xml:space="preserve">   leaves the store (offered - returned)</t>
        </is>
      </c>
      <c r="B168" s="4" t="inlineStr">
        <is>
          <t>lb</t>
        </is>
      </c>
      <c r="E168" s="34">
        <f>E164-E167</f>
        <v/>
      </c>
      <c r="F168" s="34">
        <f>F164-F167</f>
        <v/>
      </c>
      <c r="G168" s="34">
        <f>G164-G167</f>
        <v/>
      </c>
      <c r="H168" s="34">
        <f>H164-H167</f>
        <v/>
      </c>
      <c r="I168" s="34">
        <f>I164-I167</f>
        <v/>
      </c>
      <c r="J168" s="34">
        <f>J164-J167</f>
        <v/>
      </c>
      <c r="K168" s="34">
        <f>K164-K167</f>
        <v/>
      </c>
      <c r="L168" s="34">
        <f>L164-L167</f>
        <v/>
      </c>
      <c r="M168" s="34">
        <f>M164-M167</f>
        <v/>
      </c>
      <c r="N168" s="34">
        <f>N164-N167</f>
        <v/>
      </c>
      <c r="O168" s="34">
        <f>O164-O167</f>
        <v/>
      </c>
      <c r="P168" s="34">
        <f>P164-P167</f>
        <v/>
      </c>
      <c r="Q168" s="34">
        <f>Q164-Q167</f>
        <v/>
      </c>
      <c r="R168" s="34">
        <f>R164-R167</f>
        <v/>
      </c>
      <c r="S168" s="34">
        <f>S164-S167</f>
        <v/>
      </c>
      <c r="T168" s="34">
        <f>T164-T167</f>
        <v/>
      </c>
      <c r="U168" s="34">
        <f>U164-U167</f>
        <v/>
      </c>
      <c r="V168" s="34">
        <f>V164-V167</f>
        <v/>
      </c>
      <c r="W168" s="34">
        <f>W164-W167</f>
        <v/>
      </c>
      <c r="X168" s="34">
        <f>X164-X167</f>
        <v/>
      </c>
      <c r="Y168" s="34">
        <f>Y164-Y167</f>
        <v/>
      </c>
      <c r="Z168" s="34">
        <f>Z164-Z167</f>
        <v/>
      </c>
      <c r="AA168" s="34">
        <f>AA164-AA167</f>
        <v/>
      </c>
      <c r="AB168" s="34">
        <f>AB164-AB167</f>
        <v/>
      </c>
      <c r="AC168" s="34">
        <f>AC164-AC167</f>
        <v/>
      </c>
      <c r="AD168" s="34">
        <f>AD164-AD167</f>
        <v/>
      </c>
      <c r="AE168" s="34">
        <f>AE164-AE167</f>
        <v/>
      </c>
      <c r="AF168" s="34">
        <f>AF164-AF167</f>
        <v/>
      </c>
      <c r="AG168" s="34">
        <f>AG164-AG167</f>
        <v/>
      </c>
      <c r="AH168" s="34">
        <f>AH164-AH167</f>
        <v/>
      </c>
      <c r="AI168" s="34">
        <f>AI164-AI167</f>
        <v/>
      </c>
      <c r="AJ168" s="34">
        <f>AJ164-AJ167</f>
        <v/>
      </c>
      <c r="AK168" s="34">
        <f>AK164-AK167</f>
        <v/>
      </c>
      <c r="AL168" s="34">
        <f>AL164-AL167</f>
        <v/>
      </c>
      <c r="AM168" s="34">
        <f>AM164-AM167</f>
        <v/>
      </c>
      <c r="AN168" s="34">
        <f>AN164-AN167</f>
        <v/>
      </c>
      <c r="AO168" s="34">
        <f>AO164-AO167</f>
        <v/>
      </c>
      <c r="AP168" s="34">
        <f>AP164-AP167</f>
        <v/>
      </c>
      <c r="AQ168" s="34">
        <f>AQ164-AQ167</f>
        <v/>
      </c>
      <c r="AR168" s="34">
        <f>AR164-AR167</f>
        <v/>
      </c>
      <c r="AS168" s="34">
        <f>AS164-AS167</f>
        <v/>
      </c>
      <c r="AT168" s="34">
        <f>AT164-AT167</f>
        <v/>
      </c>
      <c r="AU168" s="34">
        <f>AU164-AU167</f>
        <v/>
      </c>
      <c r="AV168" s="34">
        <f>AV164-AV167</f>
        <v/>
      </c>
      <c r="AW168" s="34">
        <f>AW164-AW167</f>
        <v/>
      </c>
      <c r="AX168" s="34">
        <f>AX164-AX167</f>
        <v/>
      </c>
      <c r="AY168" s="34">
        <f>AY164-AY167</f>
        <v/>
      </c>
      <c r="AZ168" s="34">
        <f>AZ164-AZ167</f>
        <v/>
      </c>
      <c r="BA168" s="34">
        <f>BA164-BA167</f>
        <v/>
      </c>
      <c r="BB168" s="34">
        <f>BB164-BB167</f>
        <v/>
      </c>
      <c r="BC168" s="34">
        <f>BC164-BC167</f>
        <v/>
      </c>
      <c r="BD168" s="34">
        <f>BD164-BD167</f>
        <v/>
      </c>
    </row>
    <row r="169">
      <c r="A169" s="39" t="inlineStr">
        <is>
          <t>Wholesale — most you may sell this week</t>
        </is>
      </c>
      <c r="B169" s="4" t="inlineStr">
        <is>
          <t>lb</t>
        </is>
      </c>
      <c r="E169" s="40">
        <f>IF($C$23="Annual",$D$23-0,IF(AND(1&gt;=$E$23,1&lt;=$F$23),$D$23,0))</f>
        <v/>
      </c>
      <c r="F169" s="40">
        <f>IF($C$23="Annual",$D$23-SUM(E171:E171),IF(AND(2&gt;=$E$23,2&lt;=$F$23),$D$23,0))</f>
        <v/>
      </c>
      <c r="G169" s="40">
        <f>IF($C$23="Annual",$D$23-SUM(E171:F171),IF(AND(3&gt;=$E$23,3&lt;=$F$23),$D$23,0))</f>
        <v/>
      </c>
      <c r="H169" s="40">
        <f>IF($C$23="Annual",$D$23-SUM(E171:G171),IF(AND(4&gt;=$E$23,4&lt;=$F$23),$D$23,0))</f>
        <v/>
      </c>
      <c r="I169" s="40">
        <f>IF($C$23="Annual",$D$23-SUM(E171:H171),IF(AND(5&gt;=$E$23,5&lt;=$F$23),$D$23,0))</f>
        <v/>
      </c>
      <c r="J169" s="40">
        <f>IF($C$23="Annual",$D$23-SUM(E171:I171),IF(AND(6&gt;=$E$23,6&lt;=$F$23),$D$23,0))</f>
        <v/>
      </c>
      <c r="K169" s="40">
        <f>IF($C$23="Annual",$D$23-SUM(E171:J171),IF(AND(7&gt;=$E$23,7&lt;=$F$23),$D$23,0))</f>
        <v/>
      </c>
      <c r="L169" s="40">
        <f>IF($C$23="Annual",$D$23-SUM(E171:K171),IF(AND(8&gt;=$E$23,8&lt;=$F$23),$D$23,0))</f>
        <v/>
      </c>
      <c r="M169" s="40">
        <f>IF($C$23="Annual",$D$23-SUM(E171:L171),IF(AND(9&gt;=$E$23,9&lt;=$F$23),$D$23,0))</f>
        <v/>
      </c>
      <c r="N169" s="40">
        <f>IF($C$23="Annual",$D$23-SUM(E171:M171),IF(AND(10&gt;=$E$23,10&lt;=$F$23),$D$23,0))</f>
        <v/>
      </c>
      <c r="O169" s="40">
        <f>IF($C$23="Annual",$D$23-SUM(E171:N171),IF(AND(11&gt;=$E$23,11&lt;=$F$23),$D$23,0))</f>
        <v/>
      </c>
      <c r="P169" s="40">
        <f>IF($C$23="Annual",$D$23-SUM(E171:O171),IF(AND(12&gt;=$E$23,12&lt;=$F$23),$D$23,0))</f>
        <v/>
      </c>
      <c r="Q169" s="40">
        <f>IF($C$23="Annual",$D$23-SUM(E171:P171),IF(AND(13&gt;=$E$23,13&lt;=$F$23),$D$23,0))</f>
        <v/>
      </c>
      <c r="R169" s="40">
        <f>IF($C$23="Annual",$D$23-SUM(E171:Q171),IF(AND(14&gt;=$E$23,14&lt;=$F$23),$D$23,0))</f>
        <v/>
      </c>
      <c r="S169" s="40">
        <f>IF($C$23="Annual",$D$23-SUM(E171:R171),IF(AND(15&gt;=$E$23,15&lt;=$F$23),$D$23,0))</f>
        <v/>
      </c>
      <c r="T169" s="40">
        <f>IF($C$23="Annual",$D$23-SUM(E171:S171),IF(AND(16&gt;=$E$23,16&lt;=$F$23),$D$23,0))</f>
        <v/>
      </c>
      <c r="U169" s="40">
        <f>IF($C$23="Annual",$D$23-SUM(E171:T171),IF(AND(17&gt;=$E$23,17&lt;=$F$23),$D$23,0))</f>
        <v/>
      </c>
      <c r="V169" s="40">
        <f>IF($C$23="Annual",$D$23-SUM(E171:U171),IF(AND(18&gt;=$E$23,18&lt;=$F$23),$D$23,0))</f>
        <v/>
      </c>
      <c r="W169" s="40">
        <f>IF($C$23="Annual",$D$23-SUM(E171:V171),IF(AND(19&gt;=$E$23,19&lt;=$F$23),$D$23,0))</f>
        <v/>
      </c>
      <c r="X169" s="40">
        <f>IF($C$23="Annual",$D$23-SUM(E171:W171),IF(AND(20&gt;=$E$23,20&lt;=$F$23),$D$23,0))</f>
        <v/>
      </c>
      <c r="Y169" s="40">
        <f>IF($C$23="Annual",$D$23-SUM(E171:X171),IF(AND(21&gt;=$E$23,21&lt;=$F$23),$D$23,0))</f>
        <v/>
      </c>
      <c r="Z169" s="40">
        <f>IF($C$23="Annual",$D$23-SUM(E171:Y171),IF(AND(22&gt;=$E$23,22&lt;=$F$23),$D$23,0))</f>
        <v/>
      </c>
      <c r="AA169" s="40">
        <f>IF($C$23="Annual",$D$23-SUM(E171:Z171),IF(AND(23&gt;=$E$23,23&lt;=$F$23),$D$23,0))</f>
        <v/>
      </c>
      <c r="AB169" s="40">
        <f>IF($C$23="Annual",$D$23-SUM(E171:AA171),IF(AND(24&gt;=$E$23,24&lt;=$F$23),$D$23,0))</f>
        <v/>
      </c>
      <c r="AC169" s="40">
        <f>IF($C$23="Annual",$D$23-SUM(E171:AB171),IF(AND(25&gt;=$E$23,25&lt;=$F$23),$D$23,0))</f>
        <v/>
      </c>
      <c r="AD169" s="40">
        <f>IF($C$23="Annual",$D$23-SUM(E171:AC171),IF(AND(26&gt;=$E$23,26&lt;=$F$23),$D$23,0))</f>
        <v/>
      </c>
      <c r="AE169" s="40">
        <f>IF($C$23="Annual",$D$23-SUM(E171:AD171),IF(AND(27&gt;=$E$23,27&lt;=$F$23),$D$23,0))</f>
        <v/>
      </c>
      <c r="AF169" s="40">
        <f>IF($C$23="Annual",$D$23-SUM(E171:AE171),IF(AND(28&gt;=$E$23,28&lt;=$F$23),$D$23,0))</f>
        <v/>
      </c>
      <c r="AG169" s="40">
        <f>IF($C$23="Annual",$D$23-SUM(E171:AF171),IF(AND(29&gt;=$E$23,29&lt;=$F$23),$D$23,0))</f>
        <v/>
      </c>
      <c r="AH169" s="40">
        <f>IF($C$23="Annual",$D$23-SUM(E171:AG171),IF(AND(30&gt;=$E$23,30&lt;=$F$23),$D$23,0))</f>
        <v/>
      </c>
      <c r="AI169" s="40">
        <f>IF($C$23="Annual",$D$23-SUM(E171:AH171),IF(AND(31&gt;=$E$23,31&lt;=$F$23),$D$23,0))</f>
        <v/>
      </c>
      <c r="AJ169" s="40">
        <f>IF($C$23="Annual",$D$23-SUM(E171:AI171),IF(AND(32&gt;=$E$23,32&lt;=$F$23),$D$23,0))</f>
        <v/>
      </c>
      <c r="AK169" s="40">
        <f>IF($C$23="Annual",$D$23-SUM(E171:AJ171),IF(AND(33&gt;=$E$23,33&lt;=$F$23),$D$23,0))</f>
        <v/>
      </c>
      <c r="AL169" s="40">
        <f>IF($C$23="Annual",$D$23-SUM(E171:AK171),IF(AND(34&gt;=$E$23,34&lt;=$F$23),$D$23,0))</f>
        <v/>
      </c>
      <c r="AM169" s="40">
        <f>IF($C$23="Annual",$D$23-SUM(E171:AL171),IF(AND(35&gt;=$E$23,35&lt;=$F$23),$D$23,0))</f>
        <v/>
      </c>
      <c r="AN169" s="40">
        <f>IF($C$23="Annual",$D$23-SUM(E171:AM171),IF(AND(36&gt;=$E$23,36&lt;=$F$23),$D$23,0))</f>
        <v/>
      </c>
      <c r="AO169" s="40">
        <f>IF($C$23="Annual",$D$23-SUM(E171:AN171),IF(AND(37&gt;=$E$23,37&lt;=$F$23),$D$23,0))</f>
        <v/>
      </c>
      <c r="AP169" s="40">
        <f>IF($C$23="Annual",$D$23-SUM(E171:AO171),IF(AND(38&gt;=$E$23,38&lt;=$F$23),$D$23,0))</f>
        <v/>
      </c>
      <c r="AQ169" s="40">
        <f>IF($C$23="Annual",$D$23-SUM(E171:AP171),IF(AND(39&gt;=$E$23,39&lt;=$F$23),$D$23,0))</f>
        <v/>
      </c>
      <c r="AR169" s="40">
        <f>IF($C$23="Annual",$D$23-SUM(E171:AQ171),IF(AND(40&gt;=$E$23,40&lt;=$F$23),$D$23,0))</f>
        <v/>
      </c>
      <c r="AS169" s="40">
        <f>IF($C$23="Annual",$D$23-SUM(E171:AR171),IF(AND(41&gt;=$E$23,41&lt;=$F$23),$D$23,0))</f>
        <v/>
      </c>
      <c r="AT169" s="40">
        <f>IF($C$23="Annual",$D$23-SUM(E171:AS171),IF(AND(42&gt;=$E$23,42&lt;=$F$23),$D$23,0))</f>
        <v/>
      </c>
      <c r="AU169" s="40">
        <f>IF($C$23="Annual",$D$23-SUM(E171:AT171),IF(AND(43&gt;=$E$23,43&lt;=$F$23),$D$23,0))</f>
        <v/>
      </c>
      <c r="AV169" s="40">
        <f>IF($C$23="Annual",$D$23-SUM(E171:AU171),IF(AND(44&gt;=$E$23,44&lt;=$F$23),$D$23,0))</f>
        <v/>
      </c>
      <c r="AW169" s="40">
        <f>IF($C$23="Annual",$D$23-SUM(E171:AV171),IF(AND(45&gt;=$E$23,45&lt;=$F$23),$D$23,0))</f>
        <v/>
      </c>
      <c r="AX169" s="40">
        <f>IF($C$23="Annual",$D$23-SUM(E171:AW171),IF(AND(46&gt;=$E$23,46&lt;=$F$23),$D$23,0))</f>
        <v/>
      </c>
      <c r="AY169" s="40">
        <f>IF($C$23="Annual",$D$23-SUM(E171:AX171),IF(AND(47&gt;=$E$23,47&lt;=$F$23),$D$23,0))</f>
        <v/>
      </c>
      <c r="AZ169" s="40">
        <f>IF($C$23="Annual",$D$23-SUM(E171:AY171),IF(AND(48&gt;=$E$23,48&lt;=$F$23),$D$23,0))</f>
        <v/>
      </c>
      <c r="BA169" s="40">
        <f>IF($C$23="Annual",$D$23-SUM(E171:AZ171),IF(AND(49&gt;=$E$23,49&lt;=$F$23),$D$23,0))</f>
        <v/>
      </c>
      <c r="BB169" s="40">
        <f>IF($C$23="Annual",$D$23-SUM(E171:BA171),IF(AND(50&gt;=$E$23,50&lt;=$F$23),$D$23,0))</f>
        <v/>
      </c>
      <c r="BC169" s="40">
        <f>IF($C$23="Annual",$D$23-SUM(E171:BB171),IF(AND(51&gt;=$E$23,51&lt;=$F$23),$D$23,0))</f>
        <v/>
      </c>
      <c r="BD169" s="40">
        <f>IF($C$23="Annual",$D$23-SUM(E171:BC171),IF(AND(52&gt;=$E$23,52&lt;=$F$23),$D$23,0))</f>
        <v/>
      </c>
    </row>
    <row r="170">
      <c r="A170" s="20" t="inlineStr">
        <is>
          <t>Wholesale — OFFERED</t>
        </is>
      </c>
      <c r="B170" s="4" t="inlineStr">
        <is>
          <t>lb  &lt;-- SOLVER</t>
        </is>
      </c>
      <c r="E170" s="37" t="n">
        <v>0</v>
      </c>
      <c r="F170" s="37" t="n">
        <v>0</v>
      </c>
      <c r="G170" s="37" t="n">
        <v>0</v>
      </c>
      <c r="H170" s="37" t="n">
        <v>0</v>
      </c>
      <c r="I170" s="37" t="n">
        <v>0</v>
      </c>
      <c r="J170" s="37" t="n">
        <v>0</v>
      </c>
      <c r="K170" s="37" t="n">
        <v>0</v>
      </c>
      <c r="L170" s="37" t="n">
        <v>0</v>
      </c>
      <c r="M170" s="37" t="n">
        <v>0</v>
      </c>
      <c r="N170" s="37" t="n">
        <v>0</v>
      </c>
      <c r="O170" s="37" t="n">
        <v>0</v>
      </c>
      <c r="P170" s="37" t="n">
        <v>0</v>
      </c>
      <c r="Q170" s="37" t="n">
        <v>0</v>
      </c>
      <c r="R170" s="37" t="n">
        <v>0</v>
      </c>
      <c r="S170" s="37" t="n">
        <v>0</v>
      </c>
      <c r="T170" s="37" t="n">
        <v>0</v>
      </c>
      <c r="U170" s="37" t="n">
        <v>0</v>
      </c>
      <c r="V170" s="37" t="n">
        <v>0</v>
      </c>
      <c r="W170" s="37" t="n">
        <v>0</v>
      </c>
      <c r="X170" s="37" t="n">
        <v>0</v>
      </c>
      <c r="Y170" s="37" t="n">
        <v>0</v>
      </c>
      <c r="Z170" s="37" t="n">
        <v>0</v>
      </c>
      <c r="AA170" s="37" t="n">
        <v>0</v>
      </c>
      <c r="AB170" s="37" t="n">
        <v>0</v>
      </c>
      <c r="AC170" s="37" t="n">
        <v>0</v>
      </c>
      <c r="AD170" s="37" t="n">
        <v>0</v>
      </c>
      <c r="AE170" s="37" t="n">
        <v>0</v>
      </c>
      <c r="AF170" s="37" t="n">
        <v>0</v>
      </c>
      <c r="AG170" s="37" t="n">
        <v>0</v>
      </c>
      <c r="AH170" s="37" t="n">
        <v>0</v>
      </c>
      <c r="AI170" s="37" t="n">
        <v>0</v>
      </c>
      <c r="AJ170" s="37" t="n">
        <v>0</v>
      </c>
      <c r="AK170" s="37" t="n">
        <v>0</v>
      </c>
      <c r="AL170" s="37" t="n">
        <v>0</v>
      </c>
      <c r="AM170" s="37" t="n">
        <v>0</v>
      </c>
      <c r="AN170" s="37" t="n">
        <v>0</v>
      </c>
      <c r="AO170" s="37" t="n">
        <v>0</v>
      </c>
      <c r="AP170" s="37" t="n">
        <v>0</v>
      </c>
      <c r="AQ170" s="37" t="n">
        <v>0</v>
      </c>
      <c r="AR170" s="37" t="n">
        <v>0</v>
      </c>
      <c r="AS170" s="37" t="n">
        <v>0</v>
      </c>
      <c r="AT170" s="37" t="n">
        <v>0</v>
      </c>
      <c r="AU170" s="37" t="n">
        <v>0</v>
      </c>
      <c r="AV170" s="37" t="n">
        <v>0</v>
      </c>
      <c r="AW170" s="37" t="n">
        <v>0</v>
      </c>
      <c r="AX170" s="37" t="n">
        <v>0</v>
      </c>
      <c r="AY170" s="37" t="n">
        <v>0</v>
      </c>
      <c r="AZ170" s="37" t="n">
        <v>0</v>
      </c>
      <c r="BA170" s="37" t="n">
        <v>0</v>
      </c>
      <c r="BB170" s="37" t="n">
        <v>0</v>
      </c>
      <c r="BC170" s="37" t="n">
        <v>0</v>
      </c>
      <c r="BD170" s="37" t="n">
        <v>0</v>
      </c>
    </row>
    <row r="171">
      <c r="A171" s="41" t="inlineStr">
        <is>
          <t>Wholesale — SOLD</t>
        </is>
      </c>
      <c r="B171" s="4" t="inlineStr">
        <is>
          <t>lb</t>
        </is>
      </c>
      <c r="E171" s="40">
        <f>E170*$G$23</f>
        <v/>
      </c>
      <c r="F171" s="40">
        <f>F170*$G$23</f>
        <v/>
      </c>
      <c r="G171" s="40">
        <f>G170*$G$23</f>
        <v/>
      </c>
      <c r="H171" s="40">
        <f>H170*$G$23</f>
        <v/>
      </c>
      <c r="I171" s="40">
        <f>I170*$G$23</f>
        <v/>
      </c>
      <c r="J171" s="40">
        <f>J170*$G$23</f>
        <v/>
      </c>
      <c r="K171" s="40">
        <f>K170*$G$23</f>
        <v/>
      </c>
      <c r="L171" s="40">
        <f>L170*$G$23</f>
        <v/>
      </c>
      <c r="M171" s="40">
        <f>M170*$G$23</f>
        <v/>
      </c>
      <c r="N171" s="40">
        <f>N170*$G$23</f>
        <v/>
      </c>
      <c r="O171" s="40">
        <f>O170*$G$23</f>
        <v/>
      </c>
      <c r="P171" s="40">
        <f>P170*$G$23</f>
        <v/>
      </c>
      <c r="Q171" s="40">
        <f>Q170*$G$23</f>
        <v/>
      </c>
      <c r="R171" s="40">
        <f>R170*$G$23</f>
        <v/>
      </c>
      <c r="S171" s="40">
        <f>S170*$G$23</f>
        <v/>
      </c>
      <c r="T171" s="40">
        <f>T170*$G$23</f>
        <v/>
      </c>
      <c r="U171" s="40">
        <f>U170*$G$23</f>
        <v/>
      </c>
      <c r="V171" s="40">
        <f>V170*$G$23</f>
        <v/>
      </c>
      <c r="W171" s="40">
        <f>W170*$G$23</f>
        <v/>
      </c>
      <c r="X171" s="40">
        <f>X170*$G$23</f>
        <v/>
      </c>
      <c r="Y171" s="40">
        <f>Y170*$G$23</f>
        <v/>
      </c>
      <c r="Z171" s="40">
        <f>Z170*$G$23</f>
        <v/>
      </c>
      <c r="AA171" s="40">
        <f>AA170*$G$23</f>
        <v/>
      </c>
      <c r="AB171" s="40">
        <f>AB170*$G$23</f>
        <v/>
      </c>
      <c r="AC171" s="40">
        <f>AC170*$G$23</f>
        <v/>
      </c>
      <c r="AD171" s="40">
        <f>AD170*$G$23</f>
        <v/>
      </c>
      <c r="AE171" s="40">
        <f>AE170*$G$23</f>
        <v/>
      </c>
      <c r="AF171" s="40">
        <f>AF170*$G$23</f>
        <v/>
      </c>
      <c r="AG171" s="40">
        <f>AG170*$G$23</f>
        <v/>
      </c>
      <c r="AH171" s="40">
        <f>AH170*$G$23</f>
        <v/>
      </c>
      <c r="AI171" s="40">
        <f>AI170*$G$23</f>
        <v/>
      </c>
      <c r="AJ171" s="40">
        <f>AJ170*$G$23</f>
        <v/>
      </c>
      <c r="AK171" s="40">
        <f>AK170*$G$23</f>
        <v/>
      </c>
      <c r="AL171" s="40">
        <f>AL170*$G$23</f>
        <v/>
      </c>
      <c r="AM171" s="40">
        <f>AM170*$G$23</f>
        <v/>
      </c>
      <c r="AN171" s="40">
        <f>AN170*$G$23</f>
        <v/>
      </c>
      <c r="AO171" s="40">
        <f>AO170*$G$23</f>
        <v/>
      </c>
      <c r="AP171" s="40">
        <f>AP170*$G$23</f>
        <v/>
      </c>
      <c r="AQ171" s="40">
        <f>AQ170*$G$23</f>
        <v/>
      </c>
      <c r="AR171" s="40">
        <f>AR170*$G$23</f>
        <v/>
      </c>
      <c r="AS171" s="40">
        <f>AS170*$G$23</f>
        <v/>
      </c>
      <c r="AT171" s="40">
        <f>AT170*$G$23</f>
        <v/>
      </c>
      <c r="AU171" s="40">
        <f>AU170*$G$23</f>
        <v/>
      </c>
      <c r="AV171" s="40">
        <f>AV170*$G$23</f>
        <v/>
      </c>
      <c r="AW171" s="40">
        <f>AW170*$G$23</f>
        <v/>
      </c>
      <c r="AX171" s="40">
        <f>AX170*$G$23</f>
        <v/>
      </c>
      <c r="AY171" s="40">
        <f>AY170*$G$23</f>
        <v/>
      </c>
      <c r="AZ171" s="40">
        <f>AZ170*$G$23</f>
        <v/>
      </c>
      <c r="BA171" s="40">
        <f>BA170*$G$23</f>
        <v/>
      </c>
      <c r="BB171" s="40">
        <f>BB170*$G$23</f>
        <v/>
      </c>
      <c r="BC171" s="40">
        <f>BC170*$G$23</f>
        <v/>
      </c>
      <c r="BD171" s="40">
        <f>BD170*$G$23</f>
        <v/>
      </c>
    </row>
    <row r="172">
      <c r="A172" s="24" t="inlineStr">
        <is>
          <t xml:space="preserve">   market loss (gone)</t>
        </is>
      </c>
      <c r="B172" s="4" t="inlineStr">
        <is>
          <t>lb</t>
        </is>
      </c>
      <c r="E172" s="34">
        <f>(E170-E171)*(1-$H$23)</f>
        <v/>
      </c>
      <c r="F172" s="34">
        <f>(F170-F171)*(1-$H$23)</f>
        <v/>
      </c>
      <c r="G172" s="34">
        <f>(G170-G171)*(1-$H$23)</f>
        <v/>
      </c>
      <c r="H172" s="34">
        <f>(H170-H171)*(1-$H$23)</f>
        <v/>
      </c>
      <c r="I172" s="34">
        <f>(I170-I171)*(1-$H$23)</f>
        <v/>
      </c>
      <c r="J172" s="34">
        <f>(J170-J171)*(1-$H$23)</f>
        <v/>
      </c>
      <c r="K172" s="34">
        <f>(K170-K171)*(1-$H$23)</f>
        <v/>
      </c>
      <c r="L172" s="34">
        <f>(L170-L171)*(1-$H$23)</f>
        <v/>
      </c>
      <c r="M172" s="34">
        <f>(M170-M171)*(1-$H$23)</f>
        <v/>
      </c>
      <c r="N172" s="34">
        <f>(N170-N171)*(1-$H$23)</f>
        <v/>
      </c>
      <c r="O172" s="34">
        <f>(O170-O171)*(1-$H$23)</f>
        <v/>
      </c>
      <c r="P172" s="34">
        <f>(P170-P171)*(1-$H$23)</f>
        <v/>
      </c>
      <c r="Q172" s="34">
        <f>(Q170-Q171)*(1-$H$23)</f>
        <v/>
      </c>
      <c r="R172" s="34">
        <f>(R170-R171)*(1-$H$23)</f>
        <v/>
      </c>
      <c r="S172" s="34">
        <f>(S170-S171)*(1-$H$23)</f>
        <v/>
      </c>
      <c r="T172" s="34">
        <f>(T170-T171)*(1-$H$23)</f>
        <v/>
      </c>
      <c r="U172" s="34">
        <f>(U170-U171)*(1-$H$23)</f>
        <v/>
      </c>
      <c r="V172" s="34">
        <f>(V170-V171)*(1-$H$23)</f>
        <v/>
      </c>
      <c r="W172" s="34">
        <f>(W170-W171)*(1-$H$23)</f>
        <v/>
      </c>
      <c r="X172" s="34">
        <f>(X170-X171)*(1-$H$23)</f>
        <v/>
      </c>
      <c r="Y172" s="34">
        <f>(Y170-Y171)*(1-$H$23)</f>
        <v/>
      </c>
      <c r="Z172" s="34">
        <f>(Z170-Z171)*(1-$H$23)</f>
        <v/>
      </c>
      <c r="AA172" s="34">
        <f>(AA170-AA171)*(1-$H$23)</f>
        <v/>
      </c>
      <c r="AB172" s="34">
        <f>(AB170-AB171)*(1-$H$23)</f>
        <v/>
      </c>
      <c r="AC172" s="34">
        <f>(AC170-AC171)*(1-$H$23)</f>
        <v/>
      </c>
      <c r="AD172" s="34">
        <f>(AD170-AD171)*(1-$H$23)</f>
        <v/>
      </c>
      <c r="AE172" s="34">
        <f>(AE170-AE171)*(1-$H$23)</f>
        <v/>
      </c>
      <c r="AF172" s="34">
        <f>(AF170-AF171)*(1-$H$23)</f>
        <v/>
      </c>
      <c r="AG172" s="34">
        <f>(AG170-AG171)*(1-$H$23)</f>
        <v/>
      </c>
      <c r="AH172" s="34">
        <f>(AH170-AH171)*(1-$H$23)</f>
        <v/>
      </c>
      <c r="AI172" s="34">
        <f>(AI170-AI171)*(1-$H$23)</f>
        <v/>
      </c>
      <c r="AJ172" s="34">
        <f>(AJ170-AJ171)*(1-$H$23)</f>
        <v/>
      </c>
      <c r="AK172" s="34">
        <f>(AK170-AK171)*(1-$H$23)</f>
        <v/>
      </c>
      <c r="AL172" s="34">
        <f>(AL170-AL171)*(1-$H$23)</f>
        <v/>
      </c>
      <c r="AM172" s="34">
        <f>(AM170-AM171)*(1-$H$23)</f>
        <v/>
      </c>
      <c r="AN172" s="34">
        <f>(AN170-AN171)*(1-$H$23)</f>
        <v/>
      </c>
      <c r="AO172" s="34">
        <f>(AO170-AO171)*(1-$H$23)</f>
        <v/>
      </c>
      <c r="AP172" s="34">
        <f>(AP170-AP171)*(1-$H$23)</f>
        <v/>
      </c>
      <c r="AQ172" s="34">
        <f>(AQ170-AQ171)*(1-$H$23)</f>
        <v/>
      </c>
      <c r="AR172" s="34">
        <f>(AR170-AR171)*(1-$H$23)</f>
        <v/>
      </c>
      <c r="AS172" s="34">
        <f>(AS170-AS171)*(1-$H$23)</f>
        <v/>
      </c>
      <c r="AT172" s="34">
        <f>(AT170-AT171)*(1-$H$23)</f>
        <v/>
      </c>
      <c r="AU172" s="34">
        <f>(AU170-AU171)*(1-$H$23)</f>
        <v/>
      </c>
      <c r="AV172" s="34">
        <f>(AV170-AV171)*(1-$H$23)</f>
        <v/>
      </c>
      <c r="AW172" s="34">
        <f>(AW170-AW171)*(1-$H$23)</f>
        <v/>
      </c>
      <c r="AX172" s="34">
        <f>(AX170-AX171)*(1-$H$23)</f>
        <v/>
      </c>
      <c r="AY172" s="34">
        <f>(AY170-AY171)*(1-$H$23)</f>
        <v/>
      </c>
      <c r="AZ172" s="34">
        <f>(AZ170-AZ171)*(1-$H$23)</f>
        <v/>
      </c>
      <c r="BA172" s="34">
        <f>(BA170-BA171)*(1-$H$23)</f>
        <v/>
      </c>
      <c r="BB172" s="34">
        <f>(BB170-BB171)*(1-$H$23)</f>
        <v/>
      </c>
      <c r="BC172" s="34">
        <f>(BC170-BC171)*(1-$H$23)</f>
        <v/>
      </c>
      <c r="BD172" s="34">
        <f>(BD170-BD171)*(1-$H$23)</f>
        <v/>
      </c>
    </row>
    <row r="173">
      <c r="A173" s="24" t="inlineStr">
        <is>
          <t xml:space="preserve">   returned to store</t>
        </is>
      </c>
      <c r="B173" s="4" t="inlineStr">
        <is>
          <t>lb</t>
        </is>
      </c>
      <c r="E173" s="34">
        <f>(E170-E171)*$H$23</f>
        <v/>
      </c>
      <c r="F173" s="34">
        <f>(F170-F171)*$H$23</f>
        <v/>
      </c>
      <c r="G173" s="34">
        <f>(G170-G171)*$H$23</f>
        <v/>
      </c>
      <c r="H173" s="34">
        <f>(H170-H171)*$H$23</f>
        <v/>
      </c>
      <c r="I173" s="34">
        <f>(I170-I171)*$H$23</f>
        <v/>
      </c>
      <c r="J173" s="34">
        <f>(J170-J171)*$H$23</f>
        <v/>
      </c>
      <c r="K173" s="34">
        <f>(K170-K171)*$H$23</f>
        <v/>
      </c>
      <c r="L173" s="34">
        <f>(L170-L171)*$H$23</f>
        <v/>
      </c>
      <c r="M173" s="34">
        <f>(M170-M171)*$H$23</f>
        <v/>
      </c>
      <c r="N173" s="34">
        <f>(N170-N171)*$H$23</f>
        <v/>
      </c>
      <c r="O173" s="34">
        <f>(O170-O171)*$H$23</f>
        <v/>
      </c>
      <c r="P173" s="34">
        <f>(P170-P171)*$H$23</f>
        <v/>
      </c>
      <c r="Q173" s="34">
        <f>(Q170-Q171)*$H$23</f>
        <v/>
      </c>
      <c r="R173" s="34">
        <f>(R170-R171)*$H$23</f>
        <v/>
      </c>
      <c r="S173" s="34">
        <f>(S170-S171)*$H$23</f>
        <v/>
      </c>
      <c r="T173" s="34">
        <f>(T170-T171)*$H$23</f>
        <v/>
      </c>
      <c r="U173" s="34">
        <f>(U170-U171)*$H$23</f>
        <v/>
      </c>
      <c r="V173" s="34">
        <f>(V170-V171)*$H$23</f>
        <v/>
      </c>
      <c r="W173" s="34">
        <f>(W170-W171)*$H$23</f>
        <v/>
      </c>
      <c r="X173" s="34">
        <f>(X170-X171)*$H$23</f>
        <v/>
      </c>
      <c r="Y173" s="34">
        <f>(Y170-Y171)*$H$23</f>
        <v/>
      </c>
      <c r="Z173" s="34">
        <f>(Z170-Z171)*$H$23</f>
        <v/>
      </c>
      <c r="AA173" s="34">
        <f>(AA170-AA171)*$H$23</f>
        <v/>
      </c>
      <c r="AB173" s="34">
        <f>(AB170-AB171)*$H$23</f>
        <v/>
      </c>
      <c r="AC173" s="34">
        <f>(AC170-AC171)*$H$23</f>
        <v/>
      </c>
      <c r="AD173" s="34">
        <f>(AD170-AD171)*$H$23</f>
        <v/>
      </c>
      <c r="AE173" s="34">
        <f>(AE170-AE171)*$H$23</f>
        <v/>
      </c>
      <c r="AF173" s="34">
        <f>(AF170-AF171)*$H$23</f>
        <v/>
      </c>
      <c r="AG173" s="34">
        <f>(AG170-AG171)*$H$23</f>
        <v/>
      </c>
      <c r="AH173" s="34">
        <f>(AH170-AH171)*$H$23</f>
        <v/>
      </c>
      <c r="AI173" s="34">
        <f>(AI170-AI171)*$H$23</f>
        <v/>
      </c>
      <c r="AJ173" s="34">
        <f>(AJ170-AJ171)*$H$23</f>
        <v/>
      </c>
      <c r="AK173" s="34">
        <f>(AK170-AK171)*$H$23</f>
        <v/>
      </c>
      <c r="AL173" s="34">
        <f>(AL170-AL171)*$H$23</f>
        <v/>
      </c>
      <c r="AM173" s="34">
        <f>(AM170-AM171)*$H$23</f>
        <v/>
      </c>
      <c r="AN173" s="34">
        <f>(AN170-AN171)*$H$23</f>
        <v/>
      </c>
      <c r="AO173" s="34">
        <f>(AO170-AO171)*$H$23</f>
        <v/>
      </c>
      <c r="AP173" s="34">
        <f>(AP170-AP171)*$H$23</f>
        <v/>
      </c>
      <c r="AQ173" s="34">
        <f>(AQ170-AQ171)*$H$23</f>
        <v/>
      </c>
      <c r="AR173" s="34">
        <f>(AR170-AR171)*$H$23</f>
        <v/>
      </c>
      <c r="AS173" s="34">
        <f>(AS170-AS171)*$H$23</f>
        <v/>
      </c>
      <c r="AT173" s="34">
        <f>(AT170-AT171)*$H$23</f>
        <v/>
      </c>
      <c r="AU173" s="34">
        <f>(AU170-AU171)*$H$23</f>
        <v/>
      </c>
      <c r="AV173" s="34">
        <f>(AV170-AV171)*$H$23</f>
        <v/>
      </c>
      <c r="AW173" s="34">
        <f>(AW170-AW171)*$H$23</f>
        <v/>
      </c>
      <c r="AX173" s="34">
        <f>(AX170-AX171)*$H$23</f>
        <v/>
      </c>
      <c r="AY173" s="34">
        <f>(AY170-AY171)*$H$23</f>
        <v/>
      </c>
      <c r="AZ173" s="34">
        <f>(AZ170-AZ171)*$H$23</f>
        <v/>
      </c>
      <c r="BA173" s="34">
        <f>(BA170-BA171)*$H$23</f>
        <v/>
      </c>
      <c r="BB173" s="34">
        <f>(BB170-BB171)*$H$23</f>
        <v/>
      </c>
      <c r="BC173" s="34">
        <f>(BC170-BC171)*$H$23</f>
        <v/>
      </c>
      <c r="BD173" s="34">
        <f>(BD170-BD171)*$H$23</f>
        <v/>
      </c>
    </row>
    <row r="174">
      <c r="A174" s="24" t="inlineStr">
        <is>
          <t xml:space="preserve">   leaves the store (offered - returned)</t>
        </is>
      </c>
      <c r="B174" s="4" t="inlineStr">
        <is>
          <t>lb</t>
        </is>
      </c>
      <c r="E174" s="34">
        <f>E170-E173</f>
        <v/>
      </c>
      <c r="F174" s="34">
        <f>F170-F173</f>
        <v/>
      </c>
      <c r="G174" s="34">
        <f>G170-G173</f>
        <v/>
      </c>
      <c r="H174" s="34">
        <f>H170-H173</f>
        <v/>
      </c>
      <c r="I174" s="34">
        <f>I170-I173</f>
        <v/>
      </c>
      <c r="J174" s="34">
        <f>J170-J173</f>
        <v/>
      </c>
      <c r="K174" s="34">
        <f>K170-K173</f>
        <v/>
      </c>
      <c r="L174" s="34">
        <f>L170-L173</f>
        <v/>
      </c>
      <c r="M174" s="34">
        <f>M170-M173</f>
        <v/>
      </c>
      <c r="N174" s="34">
        <f>N170-N173</f>
        <v/>
      </c>
      <c r="O174" s="34">
        <f>O170-O173</f>
        <v/>
      </c>
      <c r="P174" s="34">
        <f>P170-P173</f>
        <v/>
      </c>
      <c r="Q174" s="34">
        <f>Q170-Q173</f>
        <v/>
      </c>
      <c r="R174" s="34">
        <f>R170-R173</f>
        <v/>
      </c>
      <c r="S174" s="34">
        <f>S170-S173</f>
        <v/>
      </c>
      <c r="T174" s="34">
        <f>T170-T173</f>
        <v/>
      </c>
      <c r="U174" s="34">
        <f>U170-U173</f>
        <v/>
      </c>
      <c r="V174" s="34">
        <f>V170-V173</f>
        <v/>
      </c>
      <c r="W174" s="34">
        <f>W170-W173</f>
        <v/>
      </c>
      <c r="X174" s="34">
        <f>X170-X173</f>
        <v/>
      </c>
      <c r="Y174" s="34">
        <f>Y170-Y173</f>
        <v/>
      </c>
      <c r="Z174" s="34">
        <f>Z170-Z173</f>
        <v/>
      </c>
      <c r="AA174" s="34">
        <f>AA170-AA173</f>
        <v/>
      </c>
      <c r="AB174" s="34">
        <f>AB170-AB173</f>
        <v/>
      </c>
      <c r="AC174" s="34">
        <f>AC170-AC173</f>
        <v/>
      </c>
      <c r="AD174" s="34">
        <f>AD170-AD173</f>
        <v/>
      </c>
      <c r="AE174" s="34">
        <f>AE170-AE173</f>
        <v/>
      </c>
      <c r="AF174" s="34">
        <f>AF170-AF173</f>
        <v/>
      </c>
      <c r="AG174" s="34">
        <f>AG170-AG173</f>
        <v/>
      </c>
      <c r="AH174" s="34">
        <f>AH170-AH173</f>
        <v/>
      </c>
      <c r="AI174" s="34">
        <f>AI170-AI173</f>
        <v/>
      </c>
      <c r="AJ174" s="34">
        <f>AJ170-AJ173</f>
        <v/>
      </c>
      <c r="AK174" s="34">
        <f>AK170-AK173</f>
        <v/>
      </c>
      <c r="AL174" s="34">
        <f>AL170-AL173</f>
        <v/>
      </c>
      <c r="AM174" s="34">
        <f>AM170-AM173</f>
        <v/>
      </c>
      <c r="AN174" s="34">
        <f>AN170-AN173</f>
        <v/>
      </c>
      <c r="AO174" s="34">
        <f>AO170-AO173</f>
        <v/>
      </c>
      <c r="AP174" s="34">
        <f>AP170-AP173</f>
        <v/>
      </c>
      <c r="AQ174" s="34">
        <f>AQ170-AQ173</f>
        <v/>
      </c>
      <c r="AR174" s="34">
        <f>AR170-AR173</f>
        <v/>
      </c>
      <c r="AS174" s="34">
        <f>AS170-AS173</f>
        <v/>
      </c>
      <c r="AT174" s="34">
        <f>AT170-AT173</f>
        <v/>
      </c>
      <c r="AU174" s="34">
        <f>AU170-AU173</f>
        <v/>
      </c>
      <c r="AV174" s="34">
        <f>AV170-AV173</f>
        <v/>
      </c>
      <c r="AW174" s="34">
        <f>AW170-AW173</f>
        <v/>
      </c>
      <c r="AX174" s="34">
        <f>AX170-AX173</f>
        <v/>
      </c>
      <c r="AY174" s="34">
        <f>AY170-AY173</f>
        <v/>
      </c>
      <c r="AZ174" s="34">
        <f>AZ170-AZ173</f>
        <v/>
      </c>
      <c r="BA174" s="34">
        <f>BA170-BA173</f>
        <v/>
      </c>
      <c r="BB174" s="34">
        <f>BB170-BB173</f>
        <v/>
      </c>
      <c r="BC174" s="34">
        <f>BC170-BC173</f>
        <v/>
      </c>
      <c r="BD174" s="34">
        <f>BD170-BD173</f>
        <v/>
      </c>
    </row>
    <row r="175">
      <c r="A175" s="3" t="inlineStr">
        <is>
          <t>Stock carried out</t>
        </is>
      </c>
      <c r="B175" s="4" t="inlineStr">
        <is>
          <t>lb</t>
        </is>
      </c>
      <c r="E175" s="34">
        <f>E162-E168-E174</f>
        <v/>
      </c>
      <c r="F175" s="34">
        <f>F162-F168-F174</f>
        <v/>
      </c>
      <c r="G175" s="34">
        <f>G162-G168-G174</f>
        <v/>
      </c>
      <c r="H175" s="34">
        <f>H162-H168-H174</f>
        <v/>
      </c>
      <c r="I175" s="34">
        <f>I162-I168-I174</f>
        <v/>
      </c>
      <c r="J175" s="34">
        <f>J162-J168-J174</f>
        <v/>
      </c>
      <c r="K175" s="34">
        <f>K162-K168-K174</f>
        <v/>
      </c>
      <c r="L175" s="34">
        <f>L162-L168-L174</f>
        <v/>
      </c>
      <c r="M175" s="34">
        <f>M162-M168-M174</f>
        <v/>
      </c>
      <c r="N175" s="34">
        <f>N162-N168-N174</f>
        <v/>
      </c>
      <c r="O175" s="34">
        <f>O162-O168-O174</f>
        <v/>
      </c>
      <c r="P175" s="34">
        <f>P162-P168-P174</f>
        <v/>
      </c>
      <c r="Q175" s="34">
        <f>Q162-Q168-Q174</f>
        <v/>
      </c>
      <c r="R175" s="34">
        <f>R162-R168-R174</f>
        <v/>
      </c>
      <c r="S175" s="34">
        <f>S162-S168-S174</f>
        <v/>
      </c>
      <c r="T175" s="34">
        <f>T162-T168-T174</f>
        <v/>
      </c>
      <c r="U175" s="34">
        <f>U162-U168-U174</f>
        <v/>
      </c>
      <c r="V175" s="34">
        <f>V162-V168-V174</f>
        <v/>
      </c>
      <c r="W175" s="34">
        <f>W162-W168-W174</f>
        <v/>
      </c>
      <c r="X175" s="34">
        <f>X162-X168-X174</f>
        <v/>
      </c>
      <c r="Y175" s="34">
        <f>Y162-Y168-Y174</f>
        <v/>
      </c>
      <c r="Z175" s="34">
        <f>Z162-Z168-Z174</f>
        <v/>
      </c>
      <c r="AA175" s="34">
        <f>AA162-AA168-AA174</f>
        <v/>
      </c>
      <c r="AB175" s="34">
        <f>AB162-AB168-AB174</f>
        <v/>
      </c>
      <c r="AC175" s="34">
        <f>AC162-AC168-AC174</f>
        <v/>
      </c>
      <c r="AD175" s="34">
        <f>AD162-AD168-AD174</f>
        <v/>
      </c>
      <c r="AE175" s="34">
        <f>AE162-AE168-AE174</f>
        <v/>
      </c>
      <c r="AF175" s="34">
        <f>AF162-AF168-AF174</f>
        <v/>
      </c>
      <c r="AG175" s="34">
        <f>AG162-AG168-AG174</f>
        <v/>
      </c>
      <c r="AH175" s="34">
        <f>AH162-AH168-AH174</f>
        <v/>
      </c>
      <c r="AI175" s="34">
        <f>AI162-AI168-AI174</f>
        <v/>
      </c>
      <c r="AJ175" s="34">
        <f>AJ162-AJ168-AJ174</f>
        <v/>
      </c>
      <c r="AK175" s="34">
        <f>AK162-AK168-AK174</f>
        <v/>
      </c>
      <c r="AL175" s="34">
        <f>AL162-AL168-AL174</f>
        <v/>
      </c>
      <c r="AM175" s="34">
        <f>AM162-AM168-AM174</f>
        <v/>
      </c>
      <c r="AN175" s="34">
        <f>AN162-AN168-AN174</f>
        <v/>
      </c>
      <c r="AO175" s="34">
        <f>AO162-AO168-AO174</f>
        <v/>
      </c>
      <c r="AP175" s="34">
        <f>AP162-AP168-AP174</f>
        <v/>
      </c>
      <c r="AQ175" s="34">
        <f>AQ162-AQ168-AQ174</f>
        <v/>
      </c>
      <c r="AR175" s="34">
        <f>AR162-AR168-AR174</f>
        <v/>
      </c>
      <c r="AS175" s="34">
        <f>AS162-AS168-AS174</f>
        <v/>
      </c>
      <c r="AT175" s="34">
        <f>AT162-AT168-AT174</f>
        <v/>
      </c>
      <c r="AU175" s="34">
        <f>AU162-AU168-AU174</f>
        <v/>
      </c>
      <c r="AV175" s="34">
        <f>AV162-AV168-AV174</f>
        <v/>
      </c>
      <c r="AW175" s="34">
        <f>AW162-AW168-AW174</f>
        <v/>
      </c>
      <c r="AX175" s="34">
        <f>AX162-AX168-AX174</f>
        <v/>
      </c>
      <c r="AY175" s="34">
        <f>AY162-AY168-AY174</f>
        <v/>
      </c>
      <c r="AZ175" s="34">
        <f>AZ162-AZ168-AZ174</f>
        <v/>
      </c>
      <c r="BA175" s="34">
        <f>BA162-BA168-BA174</f>
        <v/>
      </c>
      <c r="BB175" s="34">
        <f>BB162-BB168-BB174</f>
        <v/>
      </c>
      <c r="BC175" s="34">
        <f>BC162-BC168-BC174</f>
        <v/>
      </c>
      <c r="BD175" s="34">
        <f>BD162-BD168-BD174</f>
        <v/>
      </c>
    </row>
    <row r="176">
      <c r="A176" s="4" t="inlineStr">
        <is>
          <t xml:space="preserve">   ^ subtracts what LEAVES, not what was offered — so 'returned to store' is</t>
        </is>
      </c>
    </row>
    <row r="177">
      <c r="A177" s="4" t="inlineStr">
        <is>
          <t xml:space="preserve">     never taken out at all, and shows up as next week's carried in.</t>
        </is>
      </c>
    </row>
    <row r="178">
      <c r="A178" s="24" t="inlineStr">
        <is>
          <t>Most stock its shelf life allows</t>
        </is>
      </c>
      <c r="B178" s="4" t="inlineStr">
        <is>
          <t>lb</t>
        </is>
      </c>
      <c r="E178" s="34">
        <f>SUMIFS($E$159:$BD$159,$E$158:$BD$158,"&gt;="&amp;1-$F$13+2,$E$158:$BD$158,"&lt;="&amp;1)</f>
        <v/>
      </c>
      <c r="F178" s="34">
        <f>SUMIFS($E$159:$BD$159,$E$158:$BD$158,"&gt;="&amp;2-$F$13+2,$E$158:$BD$158,"&lt;="&amp;2)</f>
        <v/>
      </c>
      <c r="G178" s="34">
        <f>SUMIFS($E$159:$BD$159,$E$158:$BD$158,"&gt;="&amp;3-$F$13+2,$E$158:$BD$158,"&lt;="&amp;3)</f>
        <v/>
      </c>
      <c r="H178" s="34">
        <f>SUMIFS($E$159:$BD$159,$E$158:$BD$158,"&gt;="&amp;4-$F$13+2,$E$158:$BD$158,"&lt;="&amp;4)</f>
        <v/>
      </c>
      <c r="I178" s="34">
        <f>SUMIFS($E$159:$BD$159,$E$158:$BD$158,"&gt;="&amp;5-$F$13+2,$E$158:$BD$158,"&lt;="&amp;5)</f>
        <v/>
      </c>
      <c r="J178" s="34">
        <f>SUMIFS($E$159:$BD$159,$E$158:$BD$158,"&gt;="&amp;6-$F$13+2,$E$158:$BD$158,"&lt;="&amp;6)</f>
        <v/>
      </c>
      <c r="K178" s="34">
        <f>SUMIFS($E$159:$BD$159,$E$158:$BD$158,"&gt;="&amp;7-$F$13+2,$E$158:$BD$158,"&lt;="&amp;7)</f>
        <v/>
      </c>
      <c r="L178" s="34">
        <f>SUMIFS($E$159:$BD$159,$E$158:$BD$158,"&gt;="&amp;8-$F$13+2,$E$158:$BD$158,"&lt;="&amp;8)</f>
        <v/>
      </c>
      <c r="M178" s="34">
        <f>SUMIFS($E$159:$BD$159,$E$158:$BD$158,"&gt;="&amp;9-$F$13+2,$E$158:$BD$158,"&lt;="&amp;9)</f>
        <v/>
      </c>
      <c r="N178" s="34">
        <f>SUMIFS($E$159:$BD$159,$E$158:$BD$158,"&gt;="&amp;10-$F$13+2,$E$158:$BD$158,"&lt;="&amp;10)</f>
        <v/>
      </c>
      <c r="O178" s="34">
        <f>SUMIFS($E$159:$BD$159,$E$158:$BD$158,"&gt;="&amp;11-$F$13+2,$E$158:$BD$158,"&lt;="&amp;11)</f>
        <v/>
      </c>
      <c r="P178" s="34">
        <f>SUMIFS($E$159:$BD$159,$E$158:$BD$158,"&gt;="&amp;12-$F$13+2,$E$158:$BD$158,"&lt;="&amp;12)</f>
        <v/>
      </c>
      <c r="Q178" s="34">
        <f>SUMIFS($E$159:$BD$159,$E$158:$BD$158,"&gt;="&amp;13-$F$13+2,$E$158:$BD$158,"&lt;="&amp;13)</f>
        <v/>
      </c>
      <c r="R178" s="34">
        <f>SUMIFS($E$159:$BD$159,$E$158:$BD$158,"&gt;="&amp;14-$F$13+2,$E$158:$BD$158,"&lt;="&amp;14)</f>
        <v/>
      </c>
      <c r="S178" s="34">
        <f>SUMIFS($E$159:$BD$159,$E$158:$BD$158,"&gt;="&amp;15-$F$13+2,$E$158:$BD$158,"&lt;="&amp;15)</f>
        <v/>
      </c>
      <c r="T178" s="34">
        <f>SUMIFS($E$159:$BD$159,$E$158:$BD$158,"&gt;="&amp;16-$F$13+2,$E$158:$BD$158,"&lt;="&amp;16)</f>
        <v/>
      </c>
      <c r="U178" s="34">
        <f>SUMIFS($E$159:$BD$159,$E$158:$BD$158,"&gt;="&amp;17-$F$13+2,$E$158:$BD$158,"&lt;="&amp;17)</f>
        <v/>
      </c>
      <c r="V178" s="34">
        <f>SUMIFS($E$159:$BD$159,$E$158:$BD$158,"&gt;="&amp;18-$F$13+2,$E$158:$BD$158,"&lt;="&amp;18)</f>
        <v/>
      </c>
      <c r="W178" s="34">
        <f>SUMIFS($E$159:$BD$159,$E$158:$BD$158,"&gt;="&amp;19-$F$13+2,$E$158:$BD$158,"&lt;="&amp;19)</f>
        <v/>
      </c>
      <c r="X178" s="34">
        <f>SUMIFS($E$159:$BD$159,$E$158:$BD$158,"&gt;="&amp;20-$F$13+2,$E$158:$BD$158,"&lt;="&amp;20)</f>
        <v/>
      </c>
      <c r="Y178" s="34">
        <f>SUMIFS($E$159:$BD$159,$E$158:$BD$158,"&gt;="&amp;21-$F$13+2,$E$158:$BD$158,"&lt;="&amp;21)</f>
        <v/>
      </c>
      <c r="Z178" s="34">
        <f>SUMIFS($E$159:$BD$159,$E$158:$BD$158,"&gt;="&amp;22-$F$13+2,$E$158:$BD$158,"&lt;="&amp;22)</f>
        <v/>
      </c>
      <c r="AA178" s="34">
        <f>SUMIFS($E$159:$BD$159,$E$158:$BD$158,"&gt;="&amp;23-$F$13+2,$E$158:$BD$158,"&lt;="&amp;23)</f>
        <v/>
      </c>
      <c r="AB178" s="34">
        <f>SUMIFS($E$159:$BD$159,$E$158:$BD$158,"&gt;="&amp;24-$F$13+2,$E$158:$BD$158,"&lt;="&amp;24)</f>
        <v/>
      </c>
      <c r="AC178" s="34">
        <f>SUMIFS($E$159:$BD$159,$E$158:$BD$158,"&gt;="&amp;25-$F$13+2,$E$158:$BD$158,"&lt;="&amp;25)</f>
        <v/>
      </c>
      <c r="AD178" s="34">
        <f>SUMIFS($E$159:$BD$159,$E$158:$BD$158,"&gt;="&amp;26-$F$13+2,$E$158:$BD$158,"&lt;="&amp;26)</f>
        <v/>
      </c>
      <c r="AE178" s="34">
        <f>SUMIFS($E$159:$BD$159,$E$158:$BD$158,"&gt;="&amp;27-$F$13+2,$E$158:$BD$158,"&lt;="&amp;27)</f>
        <v/>
      </c>
      <c r="AF178" s="34">
        <f>SUMIFS($E$159:$BD$159,$E$158:$BD$158,"&gt;="&amp;28-$F$13+2,$E$158:$BD$158,"&lt;="&amp;28)</f>
        <v/>
      </c>
      <c r="AG178" s="34">
        <f>SUMIFS($E$159:$BD$159,$E$158:$BD$158,"&gt;="&amp;29-$F$13+2,$E$158:$BD$158,"&lt;="&amp;29)</f>
        <v/>
      </c>
      <c r="AH178" s="34">
        <f>SUMIFS($E$159:$BD$159,$E$158:$BD$158,"&gt;="&amp;30-$F$13+2,$E$158:$BD$158,"&lt;="&amp;30)</f>
        <v/>
      </c>
      <c r="AI178" s="34">
        <f>SUMIFS($E$159:$BD$159,$E$158:$BD$158,"&gt;="&amp;31-$F$13+2,$E$158:$BD$158,"&lt;="&amp;31)</f>
        <v/>
      </c>
      <c r="AJ178" s="34">
        <f>SUMIFS($E$159:$BD$159,$E$158:$BD$158,"&gt;="&amp;32-$F$13+2,$E$158:$BD$158,"&lt;="&amp;32)</f>
        <v/>
      </c>
      <c r="AK178" s="34">
        <f>SUMIFS($E$159:$BD$159,$E$158:$BD$158,"&gt;="&amp;33-$F$13+2,$E$158:$BD$158,"&lt;="&amp;33)</f>
        <v/>
      </c>
      <c r="AL178" s="34">
        <f>SUMIFS($E$159:$BD$159,$E$158:$BD$158,"&gt;="&amp;34-$F$13+2,$E$158:$BD$158,"&lt;="&amp;34)</f>
        <v/>
      </c>
      <c r="AM178" s="34">
        <f>SUMIFS($E$159:$BD$159,$E$158:$BD$158,"&gt;="&amp;35-$F$13+2,$E$158:$BD$158,"&lt;="&amp;35)</f>
        <v/>
      </c>
      <c r="AN178" s="34">
        <f>SUMIFS($E$159:$BD$159,$E$158:$BD$158,"&gt;="&amp;36-$F$13+2,$E$158:$BD$158,"&lt;="&amp;36)</f>
        <v/>
      </c>
      <c r="AO178" s="34">
        <f>SUMIFS($E$159:$BD$159,$E$158:$BD$158,"&gt;="&amp;37-$F$13+2,$E$158:$BD$158,"&lt;="&amp;37)</f>
        <v/>
      </c>
      <c r="AP178" s="34">
        <f>SUMIFS($E$159:$BD$159,$E$158:$BD$158,"&gt;="&amp;38-$F$13+2,$E$158:$BD$158,"&lt;="&amp;38)</f>
        <v/>
      </c>
      <c r="AQ178" s="34">
        <f>SUMIFS($E$159:$BD$159,$E$158:$BD$158,"&gt;="&amp;39-$F$13+2,$E$158:$BD$158,"&lt;="&amp;39)</f>
        <v/>
      </c>
      <c r="AR178" s="34">
        <f>SUMIFS($E$159:$BD$159,$E$158:$BD$158,"&gt;="&amp;40-$F$13+2,$E$158:$BD$158,"&lt;="&amp;40)</f>
        <v/>
      </c>
      <c r="AS178" s="34">
        <f>SUMIFS($E$159:$BD$159,$E$158:$BD$158,"&gt;="&amp;41-$F$13+2,$E$158:$BD$158,"&lt;="&amp;41)</f>
        <v/>
      </c>
      <c r="AT178" s="34">
        <f>SUMIFS($E$159:$BD$159,$E$158:$BD$158,"&gt;="&amp;42-$F$13+2,$E$158:$BD$158,"&lt;="&amp;42)</f>
        <v/>
      </c>
      <c r="AU178" s="34">
        <f>SUMIFS($E$159:$BD$159,$E$158:$BD$158,"&gt;="&amp;43-$F$13+2,$E$158:$BD$158,"&lt;="&amp;43)</f>
        <v/>
      </c>
      <c r="AV178" s="34">
        <f>SUMIFS($E$159:$BD$159,$E$158:$BD$158,"&gt;="&amp;44-$F$13+2,$E$158:$BD$158,"&lt;="&amp;44)</f>
        <v/>
      </c>
      <c r="AW178" s="34">
        <f>SUMIFS($E$159:$BD$159,$E$158:$BD$158,"&gt;="&amp;45-$F$13+2,$E$158:$BD$158,"&lt;="&amp;45)</f>
        <v/>
      </c>
      <c r="AX178" s="34">
        <f>SUMIFS($E$159:$BD$159,$E$158:$BD$158,"&gt;="&amp;46-$F$13+2,$E$158:$BD$158,"&lt;="&amp;46)</f>
        <v/>
      </c>
      <c r="AY178" s="34">
        <f>SUMIFS($E$159:$BD$159,$E$158:$BD$158,"&gt;="&amp;47-$F$13+2,$E$158:$BD$158,"&lt;="&amp;47)</f>
        <v/>
      </c>
      <c r="AZ178" s="34">
        <f>SUMIFS($E$159:$BD$159,$E$158:$BD$158,"&gt;="&amp;48-$F$13+2,$E$158:$BD$158,"&lt;="&amp;48)</f>
        <v/>
      </c>
      <c r="BA178" s="34">
        <f>SUMIFS($E$159:$BD$159,$E$158:$BD$158,"&gt;="&amp;49-$F$13+2,$E$158:$BD$158,"&lt;="&amp;49)</f>
        <v/>
      </c>
      <c r="BB178" s="34">
        <f>SUMIFS($E$159:$BD$159,$E$158:$BD$158,"&gt;="&amp;50-$F$13+2,$E$158:$BD$158,"&lt;="&amp;50)</f>
        <v/>
      </c>
      <c r="BC178" s="34">
        <f>SUMIFS($E$159:$BD$159,$E$158:$BD$158,"&gt;="&amp;51-$F$13+2,$E$158:$BD$158,"&lt;="&amp;51)</f>
        <v/>
      </c>
      <c r="BD178" s="34">
        <f>SUMIFS($E$159:$BD$159,$E$158:$BD$158,"&gt;="&amp;52-$F$13+2,$E$158:$BD$158,"&lt;="&amp;52)</f>
        <v/>
      </c>
    </row>
    <row r="179">
      <c r="A179" s="4" t="inlineStr">
        <is>
          <t xml:space="preserve">   Stock carried out must stay at or below this row.</t>
        </is>
      </c>
    </row>
    <row r="180">
      <c r="A180" s="3" t="inlineStr">
        <is>
          <t>ROOM OCCUPANCY</t>
        </is>
      </c>
      <c r="B180" s="4" t="inlineStr">
        <is>
          <t>m3</t>
        </is>
      </c>
      <c r="E180" s="46">
        <f>(E160+E159)*$D$13</f>
        <v/>
      </c>
      <c r="F180" s="46">
        <f>(F160+F159)*$D$13</f>
        <v/>
      </c>
      <c r="G180" s="46">
        <f>(G160+G159)*$D$13</f>
        <v/>
      </c>
      <c r="H180" s="46">
        <f>(H160+H159)*$D$13</f>
        <v/>
      </c>
      <c r="I180" s="46">
        <f>(I160+I159)*$D$13</f>
        <v/>
      </c>
      <c r="J180" s="46">
        <f>(J160+J159)*$D$13</f>
        <v/>
      </c>
      <c r="K180" s="46">
        <f>(K160+K159)*$D$13</f>
        <v/>
      </c>
      <c r="L180" s="46">
        <f>(L160+L159)*$D$13</f>
        <v/>
      </c>
      <c r="M180" s="46">
        <f>(M160+M159)*$D$13</f>
        <v/>
      </c>
      <c r="N180" s="46">
        <f>(N160+N159)*$D$13</f>
        <v/>
      </c>
      <c r="O180" s="46">
        <f>(O160+O159)*$D$13</f>
        <v/>
      </c>
      <c r="P180" s="46">
        <f>(P160+P159)*$D$13</f>
        <v/>
      </c>
      <c r="Q180" s="46">
        <f>(Q160+Q159)*$D$13</f>
        <v/>
      </c>
      <c r="R180" s="46">
        <f>(R160+R159)*$D$13</f>
        <v/>
      </c>
      <c r="S180" s="46">
        <f>(S160+S159)*$D$13</f>
        <v/>
      </c>
      <c r="T180" s="46">
        <f>(T160+T159)*$D$13</f>
        <v/>
      </c>
      <c r="U180" s="46">
        <f>(U160+U159)*$D$13</f>
        <v/>
      </c>
      <c r="V180" s="46">
        <f>(V160+V159)*$D$13</f>
        <v/>
      </c>
      <c r="W180" s="46">
        <f>(W160+W159)*$D$13</f>
        <v/>
      </c>
      <c r="X180" s="46">
        <f>(X160+X159)*$D$13</f>
        <v/>
      </c>
      <c r="Y180" s="46">
        <f>(Y160+Y159)*$D$13</f>
        <v/>
      </c>
      <c r="Z180" s="46">
        <f>(Z160+Z159)*$D$13</f>
        <v/>
      </c>
      <c r="AA180" s="46">
        <f>(AA160+AA159)*$D$13</f>
        <v/>
      </c>
      <c r="AB180" s="46">
        <f>(AB160+AB159)*$D$13</f>
        <v/>
      </c>
      <c r="AC180" s="46">
        <f>(AC160+AC159)*$D$13</f>
        <v/>
      </c>
      <c r="AD180" s="46">
        <f>(AD160+AD159)*$D$13</f>
        <v/>
      </c>
      <c r="AE180" s="46">
        <f>(AE160+AE159)*$D$13</f>
        <v/>
      </c>
      <c r="AF180" s="46">
        <f>(AF160+AF159)*$D$13</f>
        <v/>
      </c>
      <c r="AG180" s="46">
        <f>(AG160+AG159)*$D$13</f>
        <v/>
      </c>
      <c r="AH180" s="46">
        <f>(AH160+AH159)*$D$13</f>
        <v/>
      </c>
      <c r="AI180" s="46">
        <f>(AI160+AI159)*$D$13</f>
        <v/>
      </c>
      <c r="AJ180" s="46">
        <f>(AJ160+AJ159)*$D$13</f>
        <v/>
      </c>
      <c r="AK180" s="46">
        <f>(AK160+AK159)*$D$13</f>
        <v/>
      </c>
      <c r="AL180" s="46">
        <f>(AL160+AL159)*$D$13</f>
        <v/>
      </c>
      <c r="AM180" s="46">
        <f>(AM160+AM159)*$D$13</f>
        <v/>
      </c>
      <c r="AN180" s="46">
        <f>(AN160+AN159)*$D$13</f>
        <v/>
      </c>
      <c r="AO180" s="46">
        <f>(AO160+AO159)*$D$13</f>
        <v/>
      </c>
      <c r="AP180" s="46">
        <f>(AP160+AP159)*$D$13</f>
        <v/>
      </c>
      <c r="AQ180" s="46">
        <f>(AQ160+AQ159)*$D$13</f>
        <v/>
      </c>
      <c r="AR180" s="46">
        <f>(AR160+AR159)*$D$13</f>
        <v/>
      </c>
      <c r="AS180" s="46">
        <f>(AS160+AS159)*$D$13</f>
        <v/>
      </c>
      <c r="AT180" s="46">
        <f>(AT160+AT159)*$D$13</f>
        <v/>
      </c>
      <c r="AU180" s="46">
        <f>(AU160+AU159)*$D$13</f>
        <v/>
      </c>
      <c r="AV180" s="46">
        <f>(AV160+AV159)*$D$13</f>
        <v/>
      </c>
      <c r="AW180" s="46">
        <f>(AW160+AW159)*$D$13</f>
        <v/>
      </c>
      <c r="AX180" s="46">
        <f>(AX160+AX159)*$D$13</f>
        <v/>
      </c>
      <c r="AY180" s="46">
        <f>(AY160+AY159)*$D$13</f>
        <v/>
      </c>
      <c r="AZ180" s="46">
        <f>(AZ160+AZ159)*$D$13</f>
        <v/>
      </c>
      <c r="BA180" s="46">
        <f>(BA160+BA159)*$D$13</f>
        <v/>
      </c>
      <c r="BB180" s="46">
        <f>(BB160+BB159)*$D$13</f>
        <v/>
      </c>
      <c r="BC180" s="46">
        <f>(BC160+BC159)*$D$13</f>
        <v/>
      </c>
      <c r="BD180" s="46">
        <f>(BD160+BD159)*$D$13</f>
        <v/>
      </c>
    </row>
    <row r="182">
      <c r="A182" s="2" t="inlineStr">
        <is>
          <t>6 — THE TWO STORES</t>
        </is>
      </c>
    </row>
    <row r="183">
      <c r="A183" s="19" t="inlineStr">
        <is>
          <t>Week</t>
        </is>
      </c>
      <c r="B183" s="30" t="inlineStr">
        <is>
          <t>m3</t>
        </is>
      </c>
      <c r="E183" s="22" t="n">
        <v>1</v>
      </c>
      <c r="F183" s="22" t="n">
        <v>2</v>
      </c>
      <c r="G183" s="22" t="n">
        <v>3</v>
      </c>
      <c r="H183" s="22" t="n">
        <v>4</v>
      </c>
      <c r="I183" s="22" t="n">
        <v>5</v>
      </c>
      <c r="J183" s="22" t="n">
        <v>6</v>
      </c>
      <c r="K183" s="22" t="n">
        <v>7</v>
      </c>
      <c r="L183" s="22" t="n">
        <v>8</v>
      </c>
      <c r="M183" s="22" t="n">
        <v>9</v>
      </c>
      <c r="N183" s="22" t="n">
        <v>10</v>
      </c>
      <c r="O183" s="22" t="n">
        <v>11</v>
      </c>
      <c r="P183" s="22" t="n">
        <v>12</v>
      </c>
      <c r="Q183" s="22" t="n">
        <v>13</v>
      </c>
      <c r="R183" s="22" t="n">
        <v>14</v>
      </c>
      <c r="S183" s="22" t="n">
        <v>15</v>
      </c>
      <c r="T183" s="22" t="n">
        <v>16</v>
      </c>
      <c r="U183" s="22" t="n">
        <v>17</v>
      </c>
      <c r="V183" s="22" t="n">
        <v>18</v>
      </c>
      <c r="W183" s="22" t="n">
        <v>19</v>
      </c>
      <c r="X183" s="22" t="n">
        <v>20</v>
      </c>
      <c r="Y183" s="22" t="n">
        <v>21</v>
      </c>
      <c r="Z183" s="22" t="n">
        <v>22</v>
      </c>
      <c r="AA183" s="22" t="n">
        <v>23</v>
      </c>
      <c r="AB183" s="22" t="n">
        <v>24</v>
      </c>
      <c r="AC183" s="22" t="n">
        <v>25</v>
      </c>
      <c r="AD183" s="22" t="n">
        <v>26</v>
      </c>
      <c r="AE183" s="22" t="n">
        <v>27</v>
      </c>
      <c r="AF183" s="22" t="n">
        <v>28</v>
      </c>
      <c r="AG183" s="22" t="n">
        <v>29</v>
      </c>
      <c r="AH183" s="22" t="n">
        <v>30</v>
      </c>
      <c r="AI183" s="22" t="n">
        <v>31</v>
      </c>
      <c r="AJ183" s="22" t="n">
        <v>32</v>
      </c>
      <c r="AK183" s="22" t="n">
        <v>33</v>
      </c>
      <c r="AL183" s="22" t="n">
        <v>34</v>
      </c>
      <c r="AM183" s="22" t="n">
        <v>35</v>
      </c>
      <c r="AN183" s="22" t="n">
        <v>36</v>
      </c>
      <c r="AO183" s="22" t="n">
        <v>37</v>
      </c>
      <c r="AP183" s="22" t="n">
        <v>38</v>
      </c>
      <c r="AQ183" s="22" t="n">
        <v>39</v>
      </c>
      <c r="AR183" s="22" t="n">
        <v>40</v>
      </c>
      <c r="AS183" s="22" t="n">
        <v>41</v>
      </c>
      <c r="AT183" s="22" t="n">
        <v>42</v>
      </c>
      <c r="AU183" s="22" t="n">
        <v>43</v>
      </c>
      <c r="AV183" s="22" t="n">
        <v>44</v>
      </c>
      <c r="AW183" s="22" t="n">
        <v>45</v>
      </c>
      <c r="AX183" s="22" t="n">
        <v>46</v>
      </c>
      <c r="AY183" s="22" t="n">
        <v>47</v>
      </c>
      <c r="AZ183" s="22" t="n">
        <v>48</v>
      </c>
      <c r="BA183" s="22" t="n">
        <v>49</v>
      </c>
      <c r="BB183" s="22" t="n">
        <v>50</v>
      </c>
      <c r="BC183" s="22" t="n">
        <v>51</v>
      </c>
      <c r="BD183" s="22" t="n">
        <v>52</v>
      </c>
    </row>
    <row r="184">
      <c r="A184" s="47" t="inlineStr">
        <is>
          <t>COLD STORE</t>
        </is>
      </c>
      <c r="B184" s="4" t="inlineStr">
        <is>
          <t>used</t>
        </is>
      </c>
      <c r="E184" s="42">
        <f>E128+E155</f>
        <v/>
      </c>
      <c r="F184" s="42">
        <f>F128+F155</f>
        <v/>
      </c>
      <c r="G184" s="42">
        <f>G128+G155</f>
        <v/>
      </c>
      <c r="H184" s="42">
        <f>H128+H155</f>
        <v/>
      </c>
      <c r="I184" s="42">
        <f>I128+I155</f>
        <v/>
      </c>
      <c r="J184" s="42">
        <f>J128+J155</f>
        <v/>
      </c>
      <c r="K184" s="42">
        <f>K128+K155</f>
        <v/>
      </c>
      <c r="L184" s="42">
        <f>L128+L155</f>
        <v/>
      </c>
      <c r="M184" s="42">
        <f>M128+M155</f>
        <v/>
      </c>
      <c r="N184" s="42">
        <f>N128+N155</f>
        <v/>
      </c>
      <c r="O184" s="42">
        <f>O128+O155</f>
        <v/>
      </c>
      <c r="P184" s="42">
        <f>P128+P155</f>
        <v/>
      </c>
      <c r="Q184" s="42">
        <f>Q128+Q155</f>
        <v/>
      </c>
      <c r="R184" s="42">
        <f>R128+R155</f>
        <v/>
      </c>
      <c r="S184" s="42">
        <f>S128+S155</f>
        <v/>
      </c>
      <c r="T184" s="42">
        <f>T128+T155</f>
        <v/>
      </c>
      <c r="U184" s="42">
        <f>U128+U155</f>
        <v/>
      </c>
      <c r="V184" s="42">
        <f>V128+V155</f>
        <v/>
      </c>
      <c r="W184" s="42">
        <f>W128+W155</f>
        <v/>
      </c>
      <c r="X184" s="42">
        <f>X128+X155</f>
        <v/>
      </c>
      <c r="Y184" s="42">
        <f>Y128+Y155</f>
        <v/>
      </c>
      <c r="Z184" s="42">
        <f>Z128+Z155</f>
        <v/>
      </c>
      <c r="AA184" s="42">
        <f>AA128+AA155</f>
        <v/>
      </c>
      <c r="AB184" s="42">
        <f>AB128+AB155</f>
        <v/>
      </c>
      <c r="AC184" s="42">
        <f>AC128+AC155</f>
        <v/>
      </c>
      <c r="AD184" s="42">
        <f>AD128+AD155</f>
        <v/>
      </c>
      <c r="AE184" s="42">
        <f>AE128+AE155</f>
        <v/>
      </c>
      <c r="AF184" s="42">
        <f>AF128+AF155</f>
        <v/>
      </c>
      <c r="AG184" s="42">
        <f>AG128+AG155</f>
        <v/>
      </c>
      <c r="AH184" s="42">
        <f>AH128+AH155</f>
        <v/>
      </c>
      <c r="AI184" s="42">
        <f>AI128+AI155</f>
        <v/>
      </c>
      <c r="AJ184" s="42">
        <f>AJ128+AJ155</f>
        <v/>
      </c>
      <c r="AK184" s="42">
        <f>AK128+AK155</f>
        <v/>
      </c>
      <c r="AL184" s="42">
        <f>AL128+AL155</f>
        <v/>
      </c>
      <c r="AM184" s="42">
        <f>AM128+AM155</f>
        <v/>
      </c>
      <c r="AN184" s="42">
        <f>AN128+AN155</f>
        <v/>
      </c>
      <c r="AO184" s="42">
        <f>AO128+AO155</f>
        <v/>
      </c>
      <c r="AP184" s="42">
        <f>AP128+AP155</f>
        <v/>
      </c>
      <c r="AQ184" s="42">
        <f>AQ128+AQ155</f>
        <v/>
      </c>
      <c r="AR184" s="42">
        <f>AR128+AR155</f>
        <v/>
      </c>
      <c r="AS184" s="42">
        <f>AS128+AS155</f>
        <v/>
      </c>
      <c r="AT184" s="42">
        <f>AT128+AT155</f>
        <v/>
      </c>
      <c r="AU184" s="42">
        <f>AU128+AU155</f>
        <v/>
      </c>
      <c r="AV184" s="42">
        <f>AV128+AV155</f>
        <v/>
      </c>
      <c r="AW184" s="42">
        <f>AW128+AW155</f>
        <v/>
      </c>
      <c r="AX184" s="42">
        <f>AX128+AX155</f>
        <v/>
      </c>
      <c r="AY184" s="42">
        <f>AY128+AY155</f>
        <v/>
      </c>
      <c r="AZ184" s="42">
        <f>AZ128+AZ155</f>
        <v/>
      </c>
      <c r="BA184" s="42">
        <f>BA128+BA155</f>
        <v/>
      </c>
      <c r="BB184" s="42">
        <f>BB128+BB155</f>
        <v/>
      </c>
      <c r="BC184" s="42">
        <f>BC128+BC155</f>
        <v/>
      </c>
      <c r="BD184" s="42">
        <f>BD128+BD155</f>
        <v/>
      </c>
    </row>
    <row r="185">
      <c r="A185" s="3" t="inlineStr"/>
      <c r="E185" s="32" t="inlineStr">
        <is>
          <t>&lt;=</t>
        </is>
      </c>
      <c r="F185" s="32" t="inlineStr">
        <is>
          <t>&lt;=</t>
        </is>
      </c>
      <c r="G185" s="32" t="inlineStr">
        <is>
          <t>&lt;=</t>
        </is>
      </c>
      <c r="H185" s="32" t="inlineStr">
        <is>
          <t>&lt;=</t>
        </is>
      </c>
      <c r="I185" s="32" t="inlineStr">
        <is>
          <t>&lt;=</t>
        </is>
      </c>
      <c r="J185" s="32" t="inlineStr">
        <is>
          <t>&lt;=</t>
        </is>
      </c>
      <c r="K185" s="32" t="inlineStr">
        <is>
          <t>&lt;=</t>
        </is>
      </c>
      <c r="L185" s="32" t="inlineStr">
        <is>
          <t>&lt;=</t>
        </is>
      </c>
      <c r="M185" s="32" t="inlineStr">
        <is>
          <t>&lt;=</t>
        </is>
      </c>
      <c r="N185" s="32" t="inlineStr">
        <is>
          <t>&lt;=</t>
        </is>
      </c>
      <c r="O185" s="32" t="inlineStr">
        <is>
          <t>&lt;=</t>
        </is>
      </c>
      <c r="P185" s="32" t="inlineStr">
        <is>
          <t>&lt;=</t>
        </is>
      </c>
      <c r="Q185" s="32" t="inlineStr">
        <is>
          <t>&lt;=</t>
        </is>
      </c>
      <c r="R185" s="32" t="inlineStr">
        <is>
          <t>&lt;=</t>
        </is>
      </c>
      <c r="S185" s="32" t="inlineStr">
        <is>
          <t>&lt;=</t>
        </is>
      </c>
      <c r="T185" s="32" t="inlineStr">
        <is>
          <t>&lt;=</t>
        </is>
      </c>
      <c r="U185" s="32" t="inlineStr">
        <is>
          <t>&lt;=</t>
        </is>
      </c>
      <c r="V185" s="32" t="inlineStr">
        <is>
          <t>&lt;=</t>
        </is>
      </c>
      <c r="W185" s="32" t="inlineStr">
        <is>
          <t>&lt;=</t>
        </is>
      </c>
      <c r="X185" s="32" t="inlineStr">
        <is>
          <t>&lt;=</t>
        </is>
      </c>
      <c r="Y185" s="32" t="inlineStr">
        <is>
          <t>&lt;=</t>
        </is>
      </c>
      <c r="Z185" s="32" t="inlineStr">
        <is>
          <t>&lt;=</t>
        </is>
      </c>
      <c r="AA185" s="32" t="inlineStr">
        <is>
          <t>&lt;=</t>
        </is>
      </c>
      <c r="AB185" s="32" t="inlineStr">
        <is>
          <t>&lt;=</t>
        </is>
      </c>
      <c r="AC185" s="32" t="inlineStr">
        <is>
          <t>&lt;=</t>
        </is>
      </c>
      <c r="AD185" s="32" t="inlineStr">
        <is>
          <t>&lt;=</t>
        </is>
      </c>
      <c r="AE185" s="32" t="inlineStr">
        <is>
          <t>&lt;=</t>
        </is>
      </c>
      <c r="AF185" s="32" t="inlineStr">
        <is>
          <t>&lt;=</t>
        </is>
      </c>
      <c r="AG185" s="32" t="inlineStr">
        <is>
          <t>&lt;=</t>
        </is>
      </c>
      <c r="AH185" s="32" t="inlineStr">
        <is>
          <t>&lt;=</t>
        </is>
      </c>
      <c r="AI185" s="32" t="inlineStr">
        <is>
          <t>&lt;=</t>
        </is>
      </c>
      <c r="AJ185" s="32" t="inlineStr">
        <is>
          <t>&lt;=</t>
        </is>
      </c>
      <c r="AK185" s="32" t="inlineStr">
        <is>
          <t>&lt;=</t>
        </is>
      </c>
      <c r="AL185" s="32" t="inlineStr">
        <is>
          <t>&lt;=</t>
        </is>
      </c>
      <c r="AM185" s="32" t="inlineStr">
        <is>
          <t>&lt;=</t>
        </is>
      </c>
      <c r="AN185" s="32" t="inlineStr">
        <is>
          <t>&lt;=</t>
        </is>
      </c>
      <c r="AO185" s="32" t="inlineStr">
        <is>
          <t>&lt;=</t>
        </is>
      </c>
      <c r="AP185" s="32" t="inlineStr">
        <is>
          <t>&lt;=</t>
        </is>
      </c>
      <c r="AQ185" s="32" t="inlineStr">
        <is>
          <t>&lt;=</t>
        </is>
      </c>
      <c r="AR185" s="32" t="inlineStr">
        <is>
          <t>&lt;=</t>
        </is>
      </c>
      <c r="AS185" s="32" t="inlineStr">
        <is>
          <t>&lt;=</t>
        </is>
      </c>
      <c r="AT185" s="32" t="inlineStr">
        <is>
          <t>&lt;=</t>
        </is>
      </c>
      <c r="AU185" s="32" t="inlineStr">
        <is>
          <t>&lt;=</t>
        </is>
      </c>
      <c r="AV185" s="32" t="inlineStr">
        <is>
          <t>&lt;=</t>
        </is>
      </c>
      <c r="AW185" s="32" t="inlineStr">
        <is>
          <t>&lt;=</t>
        </is>
      </c>
      <c r="AX185" s="32" t="inlineStr">
        <is>
          <t>&lt;=</t>
        </is>
      </c>
      <c r="AY185" s="32" t="inlineStr">
        <is>
          <t>&lt;=</t>
        </is>
      </c>
      <c r="AZ185" s="32" t="inlineStr">
        <is>
          <t>&lt;=</t>
        </is>
      </c>
      <c r="BA185" s="32" t="inlineStr">
        <is>
          <t>&lt;=</t>
        </is>
      </c>
      <c r="BB185" s="32" t="inlineStr">
        <is>
          <t>&lt;=</t>
        </is>
      </c>
      <c r="BC185" s="32" t="inlineStr">
        <is>
          <t>&lt;=</t>
        </is>
      </c>
      <c r="BD185" s="32" t="inlineStr">
        <is>
          <t>&lt;=</t>
        </is>
      </c>
    </row>
    <row r="186">
      <c r="A186" s="3" t="inlineStr">
        <is>
          <t xml:space="preserve">  limit</t>
        </is>
      </c>
      <c r="B186" s="4" t="inlineStr">
        <is>
          <t>cap</t>
        </is>
      </c>
      <c r="E186" s="31">
        <f>$B$6</f>
        <v/>
      </c>
      <c r="F186" s="31">
        <f>$B$6</f>
        <v/>
      </c>
      <c r="G186" s="31">
        <f>$B$6</f>
        <v/>
      </c>
      <c r="H186" s="31">
        <f>$B$6</f>
        <v/>
      </c>
      <c r="I186" s="31">
        <f>$B$6</f>
        <v/>
      </c>
      <c r="J186" s="31">
        <f>$B$6</f>
        <v/>
      </c>
      <c r="K186" s="31">
        <f>$B$6</f>
        <v/>
      </c>
      <c r="L186" s="31">
        <f>$B$6</f>
        <v/>
      </c>
      <c r="M186" s="31">
        <f>$B$6</f>
        <v/>
      </c>
      <c r="N186" s="31">
        <f>$B$6</f>
        <v/>
      </c>
      <c r="O186" s="31">
        <f>$B$6</f>
        <v/>
      </c>
      <c r="P186" s="31">
        <f>$B$6</f>
        <v/>
      </c>
      <c r="Q186" s="31">
        <f>$B$6</f>
        <v/>
      </c>
      <c r="R186" s="31">
        <f>$B$6</f>
        <v/>
      </c>
      <c r="S186" s="31">
        <f>$B$6</f>
        <v/>
      </c>
      <c r="T186" s="31">
        <f>$B$6</f>
        <v/>
      </c>
      <c r="U186" s="31">
        <f>$B$6</f>
        <v/>
      </c>
      <c r="V186" s="31">
        <f>$B$6</f>
        <v/>
      </c>
      <c r="W186" s="31">
        <f>$B$6</f>
        <v/>
      </c>
      <c r="X186" s="31">
        <f>$B$6</f>
        <v/>
      </c>
      <c r="Y186" s="31">
        <f>$B$6</f>
        <v/>
      </c>
      <c r="Z186" s="31">
        <f>$B$6</f>
        <v/>
      </c>
      <c r="AA186" s="31">
        <f>$B$6</f>
        <v/>
      </c>
      <c r="AB186" s="31">
        <f>$B$6</f>
        <v/>
      </c>
      <c r="AC186" s="31">
        <f>$B$6</f>
        <v/>
      </c>
      <c r="AD186" s="31">
        <f>$B$6</f>
        <v/>
      </c>
      <c r="AE186" s="31">
        <f>$B$6</f>
        <v/>
      </c>
      <c r="AF186" s="31">
        <f>$B$6</f>
        <v/>
      </c>
      <c r="AG186" s="31">
        <f>$B$6</f>
        <v/>
      </c>
      <c r="AH186" s="31">
        <f>$B$6</f>
        <v/>
      </c>
      <c r="AI186" s="31">
        <f>$B$6</f>
        <v/>
      </c>
      <c r="AJ186" s="31">
        <f>$B$6</f>
        <v/>
      </c>
      <c r="AK186" s="31">
        <f>$B$6</f>
        <v/>
      </c>
      <c r="AL186" s="31">
        <f>$B$6</f>
        <v/>
      </c>
      <c r="AM186" s="31">
        <f>$B$6</f>
        <v/>
      </c>
      <c r="AN186" s="31">
        <f>$B$6</f>
        <v/>
      </c>
      <c r="AO186" s="31">
        <f>$B$6</f>
        <v/>
      </c>
      <c r="AP186" s="31">
        <f>$B$6</f>
        <v/>
      </c>
      <c r="AQ186" s="31">
        <f>$B$6</f>
        <v/>
      </c>
      <c r="AR186" s="31">
        <f>$B$6</f>
        <v/>
      </c>
      <c r="AS186" s="31">
        <f>$B$6</f>
        <v/>
      </c>
      <c r="AT186" s="31">
        <f>$B$6</f>
        <v/>
      </c>
      <c r="AU186" s="31">
        <f>$B$6</f>
        <v/>
      </c>
      <c r="AV186" s="31">
        <f>$B$6</f>
        <v/>
      </c>
      <c r="AW186" s="31">
        <f>$B$6</f>
        <v/>
      </c>
      <c r="AX186" s="31">
        <f>$B$6</f>
        <v/>
      </c>
      <c r="AY186" s="31">
        <f>$B$6</f>
        <v/>
      </c>
      <c r="AZ186" s="31">
        <f>$B$6</f>
        <v/>
      </c>
      <c r="BA186" s="31">
        <f>$B$6</f>
        <v/>
      </c>
      <c r="BB186" s="31">
        <f>$B$6</f>
        <v/>
      </c>
      <c r="BC186" s="31">
        <f>$B$6</f>
        <v/>
      </c>
      <c r="BD186" s="31">
        <f>$B$6</f>
        <v/>
      </c>
    </row>
    <row r="187">
      <c r="A187" s="24" t="inlineStr">
        <is>
          <t xml:space="preserve">  room left</t>
        </is>
      </c>
      <c r="E187" s="31">
        <f>$B$6-E184</f>
        <v/>
      </c>
      <c r="F187" s="31">
        <f>$B$6-F184</f>
        <v/>
      </c>
      <c r="G187" s="31">
        <f>$B$6-G184</f>
        <v/>
      </c>
      <c r="H187" s="31">
        <f>$B$6-H184</f>
        <v/>
      </c>
      <c r="I187" s="31">
        <f>$B$6-I184</f>
        <v/>
      </c>
      <c r="J187" s="31">
        <f>$B$6-J184</f>
        <v/>
      </c>
      <c r="K187" s="31">
        <f>$B$6-K184</f>
        <v/>
      </c>
      <c r="L187" s="31">
        <f>$B$6-L184</f>
        <v/>
      </c>
      <c r="M187" s="31">
        <f>$B$6-M184</f>
        <v/>
      </c>
      <c r="N187" s="31">
        <f>$B$6-N184</f>
        <v/>
      </c>
      <c r="O187" s="31">
        <f>$B$6-O184</f>
        <v/>
      </c>
      <c r="P187" s="31">
        <f>$B$6-P184</f>
        <v/>
      </c>
      <c r="Q187" s="31">
        <f>$B$6-Q184</f>
        <v/>
      </c>
      <c r="R187" s="31">
        <f>$B$6-R184</f>
        <v/>
      </c>
      <c r="S187" s="31">
        <f>$B$6-S184</f>
        <v/>
      </c>
      <c r="T187" s="31">
        <f>$B$6-T184</f>
        <v/>
      </c>
      <c r="U187" s="31">
        <f>$B$6-U184</f>
        <v/>
      </c>
      <c r="V187" s="31">
        <f>$B$6-V184</f>
        <v/>
      </c>
      <c r="W187" s="31">
        <f>$B$6-W184</f>
        <v/>
      </c>
      <c r="X187" s="31">
        <f>$B$6-X184</f>
        <v/>
      </c>
      <c r="Y187" s="31">
        <f>$B$6-Y184</f>
        <v/>
      </c>
      <c r="Z187" s="31">
        <f>$B$6-Z184</f>
        <v/>
      </c>
      <c r="AA187" s="31">
        <f>$B$6-AA184</f>
        <v/>
      </c>
      <c r="AB187" s="31">
        <f>$B$6-AB184</f>
        <v/>
      </c>
      <c r="AC187" s="31">
        <f>$B$6-AC184</f>
        <v/>
      </c>
      <c r="AD187" s="31">
        <f>$B$6-AD184</f>
        <v/>
      </c>
      <c r="AE187" s="31">
        <f>$B$6-AE184</f>
        <v/>
      </c>
      <c r="AF187" s="31">
        <f>$B$6-AF184</f>
        <v/>
      </c>
      <c r="AG187" s="31">
        <f>$B$6-AG184</f>
        <v/>
      </c>
      <c r="AH187" s="31">
        <f>$B$6-AH184</f>
        <v/>
      </c>
      <c r="AI187" s="31">
        <f>$B$6-AI184</f>
        <v/>
      </c>
      <c r="AJ187" s="31">
        <f>$B$6-AJ184</f>
        <v/>
      </c>
      <c r="AK187" s="31">
        <f>$B$6-AK184</f>
        <v/>
      </c>
      <c r="AL187" s="31">
        <f>$B$6-AL184</f>
        <v/>
      </c>
      <c r="AM187" s="31">
        <f>$B$6-AM184</f>
        <v/>
      </c>
      <c r="AN187" s="31">
        <f>$B$6-AN184</f>
        <v/>
      </c>
      <c r="AO187" s="31">
        <f>$B$6-AO184</f>
        <v/>
      </c>
      <c r="AP187" s="31">
        <f>$B$6-AP184</f>
        <v/>
      </c>
      <c r="AQ187" s="31">
        <f>$B$6-AQ184</f>
        <v/>
      </c>
      <c r="AR187" s="31">
        <f>$B$6-AR184</f>
        <v/>
      </c>
      <c r="AS187" s="31">
        <f>$B$6-AS184</f>
        <v/>
      </c>
      <c r="AT187" s="31">
        <f>$B$6-AT184</f>
        <v/>
      </c>
      <c r="AU187" s="31">
        <f>$B$6-AU184</f>
        <v/>
      </c>
      <c r="AV187" s="31">
        <f>$B$6-AV184</f>
        <v/>
      </c>
      <c r="AW187" s="31">
        <f>$B$6-AW184</f>
        <v/>
      </c>
      <c r="AX187" s="31">
        <f>$B$6-AX184</f>
        <v/>
      </c>
      <c r="AY187" s="31">
        <f>$B$6-AY184</f>
        <v/>
      </c>
      <c r="AZ187" s="31">
        <f>$B$6-AZ184</f>
        <v/>
      </c>
      <c r="BA187" s="31">
        <f>$B$6-BA184</f>
        <v/>
      </c>
      <c r="BB187" s="31">
        <f>$B$6-BB184</f>
        <v/>
      </c>
      <c r="BC187" s="31">
        <f>$B$6-BC184</f>
        <v/>
      </c>
      <c r="BD187" s="31">
        <f>$B$6-BD184</f>
        <v/>
      </c>
    </row>
    <row r="188">
      <c r="A188" s="4" t="inlineStr">
        <is>
          <t xml:space="preserve">   Holds Spinach, Kale.</t>
        </is>
      </c>
    </row>
    <row r="190">
      <c r="A190" s="19" t="inlineStr">
        <is>
          <t>Week</t>
        </is>
      </c>
      <c r="B190" s="30" t="inlineStr">
        <is>
          <t>m3</t>
        </is>
      </c>
      <c r="E190" s="22" t="n">
        <v>1</v>
      </c>
      <c r="F190" s="22" t="n">
        <v>2</v>
      </c>
      <c r="G190" s="22" t="n">
        <v>3</v>
      </c>
      <c r="H190" s="22" t="n">
        <v>4</v>
      </c>
      <c r="I190" s="22" t="n">
        <v>5</v>
      </c>
      <c r="J190" s="22" t="n">
        <v>6</v>
      </c>
      <c r="K190" s="22" t="n">
        <v>7</v>
      </c>
      <c r="L190" s="22" t="n">
        <v>8</v>
      </c>
      <c r="M190" s="22" t="n">
        <v>9</v>
      </c>
      <c r="N190" s="22" t="n">
        <v>10</v>
      </c>
      <c r="O190" s="22" t="n">
        <v>11</v>
      </c>
      <c r="P190" s="22" t="n">
        <v>12</v>
      </c>
      <c r="Q190" s="22" t="n">
        <v>13</v>
      </c>
      <c r="R190" s="22" t="n">
        <v>14</v>
      </c>
      <c r="S190" s="22" t="n">
        <v>15</v>
      </c>
      <c r="T190" s="22" t="n">
        <v>16</v>
      </c>
      <c r="U190" s="22" t="n">
        <v>17</v>
      </c>
      <c r="V190" s="22" t="n">
        <v>18</v>
      </c>
      <c r="W190" s="22" t="n">
        <v>19</v>
      </c>
      <c r="X190" s="22" t="n">
        <v>20</v>
      </c>
      <c r="Y190" s="22" t="n">
        <v>21</v>
      </c>
      <c r="Z190" s="22" t="n">
        <v>22</v>
      </c>
      <c r="AA190" s="22" t="n">
        <v>23</v>
      </c>
      <c r="AB190" s="22" t="n">
        <v>24</v>
      </c>
      <c r="AC190" s="22" t="n">
        <v>25</v>
      </c>
      <c r="AD190" s="22" t="n">
        <v>26</v>
      </c>
      <c r="AE190" s="22" t="n">
        <v>27</v>
      </c>
      <c r="AF190" s="22" t="n">
        <v>28</v>
      </c>
      <c r="AG190" s="22" t="n">
        <v>29</v>
      </c>
      <c r="AH190" s="22" t="n">
        <v>30</v>
      </c>
      <c r="AI190" s="22" t="n">
        <v>31</v>
      </c>
      <c r="AJ190" s="22" t="n">
        <v>32</v>
      </c>
      <c r="AK190" s="22" t="n">
        <v>33</v>
      </c>
      <c r="AL190" s="22" t="n">
        <v>34</v>
      </c>
      <c r="AM190" s="22" t="n">
        <v>35</v>
      </c>
      <c r="AN190" s="22" t="n">
        <v>36</v>
      </c>
      <c r="AO190" s="22" t="n">
        <v>37</v>
      </c>
      <c r="AP190" s="22" t="n">
        <v>38</v>
      </c>
      <c r="AQ190" s="22" t="n">
        <v>39</v>
      </c>
      <c r="AR190" s="22" t="n">
        <v>40</v>
      </c>
      <c r="AS190" s="22" t="n">
        <v>41</v>
      </c>
      <c r="AT190" s="22" t="n">
        <v>42</v>
      </c>
      <c r="AU190" s="22" t="n">
        <v>43</v>
      </c>
      <c r="AV190" s="22" t="n">
        <v>44</v>
      </c>
      <c r="AW190" s="22" t="n">
        <v>45</v>
      </c>
      <c r="AX190" s="22" t="n">
        <v>46</v>
      </c>
      <c r="AY190" s="22" t="n">
        <v>47</v>
      </c>
      <c r="AZ190" s="22" t="n">
        <v>48</v>
      </c>
      <c r="BA190" s="22" t="n">
        <v>49</v>
      </c>
      <c r="BB190" s="22" t="n">
        <v>50</v>
      </c>
      <c r="BC190" s="22" t="n">
        <v>51</v>
      </c>
      <c r="BD190" s="22" t="n">
        <v>52</v>
      </c>
    </row>
    <row r="191">
      <c r="A191" s="48" t="inlineStr">
        <is>
          <t>AMBIENT STORE</t>
        </is>
      </c>
      <c r="B191" s="4" t="inlineStr">
        <is>
          <t>used</t>
        </is>
      </c>
      <c r="E191" s="46">
        <f>E180</f>
        <v/>
      </c>
      <c r="F191" s="46">
        <f>F180</f>
        <v/>
      </c>
      <c r="G191" s="46">
        <f>G180</f>
        <v/>
      </c>
      <c r="H191" s="46">
        <f>H180</f>
        <v/>
      </c>
      <c r="I191" s="46">
        <f>I180</f>
        <v/>
      </c>
      <c r="J191" s="46">
        <f>J180</f>
        <v/>
      </c>
      <c r="K191" s="46">
        <f>K180</f>
        <v/>
      </c>
      <c r="L191" s="46">
        <f>L180</f>
        <v/>
      </c>
      <c r="M191" s="46">
        <f>M180</f>
        <v/>
      </c>
      <c r="N191" s="46">
        <f>N180</f>
        <v/>
      </c>
      <c r="O191" s="46">
        <f>O180</f>
        <v/>
      </c>
      <c r="P191" s="46">
        <f>P180</f>
        <v/>
      </c>
      <c r="Q191" s="46">
        <f>Q180</f>
        <v/>
      </c>
      <c r="R191" s="46">
        <f>R180</f>
        <v/>
      </c>
      <c r="S191" s="46">
        <f>S180</f>
        <v/>
      </c>
      <c r="T191" s="46">
        <f>T180</f>
        <v/>
      </c>
      <c r="U191" s="46">
        <f>U180</f>
        <v/>
      </c>
      <c r="V191" s="46">
        <f>V180</f>
        <v/>
      </c>
      <c r="W191" s="46">
        <f>W180</f>
        <v/>
      </c>
      <c r="X191" s="46">
        <f>X180</f>
        <v/>
      </c>
      <c r="Y191" s="46">
        <f>Y180</f>
        <v/>
      </c>
      <c r="Z191" s="46">
        <f>Z180</f>
        <v/>
      </c>
      <c r="AA191" s="46">
        <f>AA180</f>
        <v/>
      </c>
      <c r="AB191" s="46">
        <f>AB180</f>
        <v/>
      </c>
      <c r="AC191" s="46">
        <f>AC180</f>
        <v/>
      </c>
      <c r="AD191" s="46">
        <f>AD180</f>
        <v/>
      </c>
      <c r="AE191" s="46">
        <f>AE180</f>
        <v/>
      </c>
      <c r="AF191" s="46">
        <f>AF180</f>
        <v/>
      </c>
      <c r="AG191" s="46">
        <f>AG180</f>
        <v/>
      </c>
      <c r="AH191" s="46">
        <f>AH180</f>
        <v/>
      </c>
      <c r="AI191" s="46">
        <f>AI180</f>
        <v/>
      </c>
      <c r="AJ191" s="46">
        <f>AJ180</f>
        <v/>
      </c>
      <c r="AK191" s="46">
        <f>AK180</f>
        <v/>
      </c>
      <c r="AL191" s="46">
        <f>AL180</f>
        <v/>
      </c>
      <c r="AM191" s="46">
        <f>AM180</f>
        <v/>
      </c>
      <c r="AN191" s="46">
        <f>AN180</f>
        <v/>
      </c>
      <c r="AO191" s="46">
        <f>AO180</f>
        <v/>
      </c>
      <c r="AP191" s="46">
        <f>AP180</f>
        <v/>
      </c>
      <c r="AQ191" s="46">
        <f>AQ180</f>
        <v/>
      </c>
      <c r="AR191" s="46">
        <f>AR180</f>
        <v/>
      </c>
      <c r="AS191" s="46">
        <f>AS180</f>
        <v/>
      </c>
      <c r="AT191" s="46">
        <f>AT180</f>
        <v/>
      </c>
      <c r="AU191" s="46">
        <f>AU180</f>
        <v/>
      </c>
      <c r="AV191" s="46">
        <f>AV180</f>
        <v/>
      </c>
      <c r="AW191" s="46">
        <f>AW180</f>
        <v/>
      </c>
      <c r="AX191" s="46">
        <f>AX180</f>
        <v/>
      </c>
      <c r="AY191" s="46">
        <f>AY180</f>
        <v/>
      </c>
      <c r="AZ191" s="46">
        <f>AZ180</f>
        <v/>
      </c>
      <c r="BA191" s="46">
        <f>BA180</f>
        <v/>
      </c>
      <c r="BB191" s="46">
        <f>BB180</f>
        <v/>
      </c>
      <c r="BC191" s="46">
        <f>BC180</f>
        <v/>
      </c>
      <c r="BD191" s="46">
        <f>BD180</f>
        <v/>
      </c>
    </row>
    <row r="192">
      <c r="A192" s="3" t="inlineStr"/>
      <c r="E192" s="32" t="inlineStr">
        <is>
          <t>&lt;=</t>
        </is>
      </c>
      <c r="F192" s="32" t="inlineStr">
        <is>
          <t>&lt;=</t>
        </is>
      </c>
      <c r="G192" s="32" t="inlineStr">
        <is>
          <t>&lt;=</t>
        </is>
      </c>
      <c r="H192" s="32" t="inlineStr">
        <is>
          <t>&lt;=</t>
        </is>
      </c>
      <c r="I192" s="32" t="inlineStr">
        <is>
          <t>&lt;=</t>
        </is>
      </c>
      <c r="J192" s="32" t="inlineStr">
        <is>
          <t>&lt;=</t>
        </is>
      </c>
      <c r="K192" s="32" t="inlineStr">
        <is>
          <t>&lt;=</t>
        </is>
      </c>
      <c r="L192" s="32" t="inlineStr">
        <is>
          <t>&lt;=</t>
        </is>
      </c>
      <c r="M192" s="32" t="inlineStr">
        <is>
          <t>&lt;=</t>
        </is>
      </c>
      <c r="N192" s="32" t="inlineStr">
        <is>
          <t>&lt;=</t>
        </is>
      </c>
      <c r="O192" s="32" t="inlineStr">
        <is>
          <t>&lt;=</t>
        </is>
      </c>
      <c r="P192" s="32" t="inlineStr">
        <is>
          <t>&lt;=</t>
        </is>
      </c>
      <c r="Q192" s="32" t="inlineStr">
        <is>
          <t>&lt;=</t>
        </is>
      </c>
      <c r="R192" s="32" t="inlineStr">
        <is>
          <t>&lt;=</t>
        </is>
      </c>
      <c r="S192" s="32" t="inlineStr">
        <is>
          <t>&lt;=</t>
        </is>
      </c>
      <c r="T192" s="32" t="inlineStr">
        <is>
          <t>&lt;=</t>
        </is>
      </c>
      <c r="U192" s="32" t="inlineStr">
        <is>
          <t>&lt;=</t>
        </is>
      </c>
      <c r="V192" s="32" t="inlineStr">
        <is>
          <t>&lt;=</t>
        </is>
      </c>
      <c r="W192" s="32" t="inlineStr">
        <is>
          <t>&lt;=</t>
        </is>
      </c>
      <c r="X192" s="32" t="inlineStr">
        <is>
          <t>&lt;=</t>
        </is>
      </c>
      <c r="Y192" s="32" t="inlineStr">
        <is>
          <t>&lt;=</t>
        </is>
      </c>
      <c r="Z192" s="32" t="inlineStr">
        <is>
          <t>&lt;=</t>
        </is>
      </c>
      <c r="AA192" s="32" t="inlineStr">
        <is>
          <t>&lt;=</t>
        </is>
      </c>
      <c r="AB192" s="32" t="inlineStr">
        <is>
          <t>&lt;=</t>
        </is>
      </c>
      <c r="AC192" s="32" t="inlineStr">
        <is>
          <t>&lt;=</t>
        </is>
      </c>
      <c r="AD192" s="32" t="inlineStr">
        <is>
          <t>&lt;=</t>
        </is>
      </c>
      <c r="AE192" s="32" t="inlineStr">
        <is>
          <t>&lt;=</t>
        </is>
      </c>
      <c r="AF192" s="32" t="inlineStr">
        <is>
          <t>&lt;=</t>
        </is>
      </c>
      <c r="AG192" s="32" t="inlineStr">
        <is>
          <t>&lt;=</t>
        </is>
      </c>
      <c r="AH192" s="32" t="inlineStr">
        <is>
          <t>&lt;=</t>
        </is>
      </c>
      <c r="AI192" s="32" t="inlineStr">
        <is>
          <t>&lt;=</t>
        </is>
      </c>
      <c r="AJ192" s="32" t="inlineStr">
        <is>
          <t>&lt;=</t>
        </is>
      </c>
      <c r="AK192" s="32" t="inlineStr">
        <is>
          <t>&lt;=</t>
        </is>
      </c>
      <c r="AL192" s="32" t="inlineStr">
        <is>
          <t>&lt;=</t>
        </is>
      </c>
      <c r="AM192" s="32" t="inlineStr">
        <is>
          <t>&lt;=</t>
        </is>
      </c>
      <c r="AN192" s="32" t="inlineStr">
        <is>
          <t>&lt;=</t>
        </is>
      </c>
      <c r="AO192" s="32" t="inlineStr">
        <is>
          <t>&lt;=</t>
        </is>
      </c>
      <c r="AP192" s="32" t="inlineStr">
        <is>
          <t>&lt;=</t>
        </is>
      </c>
      <c r="AQ192" s="32" t="inlineStr">
        <is>
          <t>&lt;=</t>
        </is>
      </c>
      <c r="AR192" s="32" t="inlineStr">
        <is>
          <t>&lt;=</t>
        </is>
      </c>
      <c r="AS192" s="32" t="inlineStr">
        <is>
          <t>&lt;=</t>
        </is>
      </c>
      <c r="AT192" s="32" t="inlineStr">
        <is>
          <t>&lt;=</t>
        </is>
      </c>
      <c r="AU192" s="32" t="inlineStr">
        <is>
          <t>&lt;=</t>
        </is>
      </c>
      <c r="AV192" s="32" t="inlineStr">
        <is>
          <t>&lt;=</t>
        </is>
      </c>
      <c r="AW192" s="32" t="inlineStr">
        <is>
          <t>&lt;=</t>
        </is>
      </c>
      <c r="AX192" s="32" t="inlineStr">
        <is>
          <t>&lt;=</t>
        </is>
      </c>
      <c r="AY192" s="32" t="inlineStr">
        <is>
          <t>&lt;=</t>
        </is>
      </c>
      <c r="AZ192" s="32" t="inlineStr">
        <is>
          <t>&lt;=</t>
        </is>
      </c>
      <c r="BA192" s="32" t="inlineStr">
        <is>
          <t>&lt;=</t>
        </is>
      </c>
      <c r="BB192" s="32" t="inlineStr">
        <is>
          <t>&lt;=</t>
        </is>
      </c>
      <c r="BC192" s="32" t="inlineStr">
        <is>
          <t>&lt;=</t>
        </is>
      </c>
      <c r="BD192" s="32" t="inlineStr">
        <is>
          <t>&lt;=</t>
        </is>
      </c>
    </row>
    <row r="193">
      <c r="A193" s="3" t="inlineStr">
        <is>
          <t xml:space="preserve">  limit</t>
        </is>
      </c>
      <c r="B193" s="4" t="inlineStr">
        <is>
          <t>cap</t>
        </is>
      </c>
      <c r="E193" s="31">
        <f>$B$7</f>
        <v/>
      </c>
      <c r="F193" s="31">
        <f>$B$7</f>
        <v/>
      </c>
      <c r="G193" s="31">
        <f>$B$7</f>
        <v/>
      </c>
      <c r="H193" s="31">
        <f>$B$7</f>
        <v/>
      </c>
      <c r="I193" s="31">
        <f>$B$7</f>
        <v/>
      </c>
      <c r="J193" s="31">
        <f>$B$7</f>
        <v/>
      </c>
      <c r="K193" s="31">
        <f>$B$7</f>
        <v/>
      </c>
      <c r="L193" s="31">
        <f>$B$7</f>
        <v/>
      </c>
      <c r="M193" s="31">
        <f>$B$7</f>
        <v/>
      </c>
      <c r="N193" s="31">
        <f>$B$7</f>
        <v/>
      </c>
      <c r="O193" s="31">
        <f>$B$7</f>
        <v/>
      </c>
      <c r="P193" s="31">
        <f>$B$7</f>
        <v/>
      </c>
      <c r="Q193" s="31">
        <f>$B$7</f>
        <v/>
      </c>
      <c r="R193" s="31">
        <f>$B$7</f>
        <v/>
      </c>
      <c r="S193" s="31">
        <f>$B$7</f>
        <v/>
      </c>
      <c r="T193" s="31">
        <f>$B$7</f>
        <v/>
      </c>
      <c r="U193" s="31">
        <f>$B$7</f>
        <v/>
      </c>
      <c r="V193" s="31">
        <f>$B$7</f>
        <v/>
      </c>
      <c r="W193" s="31">
        <f>$B$7</f>
        <v/>
      </c>
      <c r="X193" s="31">
        <f>$B$7</f>
        <v/>
      </c>
      <c r="Y193" s="31">
        <f>$B$7</f>
        <v/>
      </c>
      <c r="Z193" s="31">
        <f>$B$7</f>
        <v/>
      </c>
      <c r="AA193" s="31">
        <f>$B$7</f>
        <v/>
      </c>
      <c r="AB193" s="31">
        <f>$B$7</f>
        <v/>
      </c>
      <c r="AC193" s="31">
        <f>$B$7</f>
        <v/>
      </c>
      <c r="AD193" s="31">
        <f>$B$7</f>
        <v/>
      </c>
      <c r="AE193" s="31">
        <f>$B$7</f>
        <v/>
      </c>
      <c r="AF193" s="31">
        <f>$B$7</f>
        <v/>
      </c>
      <c r="AG193" s="31">
        <f>$B$7</f>
        <v/>
      </c>
      <c r="AH193" s="31">
        <f>$B$7</f>
        <v/>
      </c>
      <c r="AI193" s="31">
        <f>$B$7</f>
        <v/>
      </c>
      <c r="AJ193" s="31">
        <f>$B$7</f>
        <v/>
      </c>
      <c r="AK193" s="31">
        <f>$B$7</f>
        <v/>
      </c>
      <c r="AL193" s="31">
        <f>$B$7</f>
        <v/>
      </c>
      <c r="AM193" s="31">
        <f>$B$7</f>
        <v/>
      </c>
      <c r="AN193" s="31">
        <f>$B$7</f>
        <v/>
      </c>
      <c r="AO193" s="31">
        <f>$B$7</f>
        <v/>
      </c>
      <c r="AP193" s="31">
        <f>$B$7</f>
        <v/>
      </c>
      <c r="AQ193" s="31">
        <f>$B$7</f>
        <v/>
      </c>
      <c r="AR193" s="31">
        <f>$B$7</f>
        <v/>
      </c>
      <c r="AS193" s="31">
        <f>$B$7</f>
        <v/>
      </c>
      <c r="AT193" s="31">
        <f>$B$7</f>
        <v/>
      </c>
      <c r="AU193" s="31">
        <f>$B$7</f>
        <v/>
      </c>
      <c r="AV193" s="31">
        <f>$B$7</f>
        <v/>
      </c>
      <c r="AW193" s="31">
        <f>$B$7</f>
        <v/>
      </c>
      <c r="AX193" s="31">
        <f>$B$7</f>
        <v/>
      </c>
      <c r="AY193" s="31">
        <f>$B$7</f>
        <v/>
      </c>
      <c r="AZ193" s="31">
        <f>$B$7</f>
        <v/>
      </c>
      <c r="BA193" s="31">
        <f>$B$7</f>
        <v/>
      </c>
      <c r="BB193" s="31">
        <f>$B$7</f>
        <v/>
      </c>
      <c r="BC193" s="31">
        <f>$B$7</f>
        <v/>
      </c>
      <c r="BD193" s="31">
        <f>$B$7</f>
        <v/>
      </c>
    </row>
    <row r="194">
      <c r="A194" s="24" t="inlineStr">
        <is>
          <t xml:space="preserve">  room left</t>
        </is>
      </c>
      <c r="E194" s="31">
        <f>$B$7-E191</f>
        <v/>
      </c>
      <c r="F194" s="31">
        <f>$B$7-F191</f>
        <v/>
      </c>
      <c r="G194" s="31">
        <f>$B$7-G191</f>
        <v/>
      </c>
      <c r="H194" s="31">
        <f>$B$7-H191</f>
        <v/>
      </c>
      <c r="I194" s="31">
        <f>$B$7-I191</f>
        <v/>
      </c>
      <c r="J194" s="31">
        <f>$B$7-J191</f>
        <v/>
      </c>
      <c r="K194" s="31">
        <f>$B$7-K191</f>
        <v/>
      </c>
      <c r="L194" s="31">
        <f>$B$7-L191</f>
        <v/>
      </c>
      <c r="M194" s="31">
        <f>$B$7-M191</f>
        <v/>
      </c>
      <c r="N194" s="31">
        <f>$B$7-N191</f>
        <v/>
      </c>
      <c r="O194" s="31">
        <f>$B$7-O191</f>
        <v/>
      </c>
      <c r="P194" s="31">
        <f>$B$7-P191</f>
        <v/>
      </c>
      <c r="Q194" s="31">
        <f>$B$7-Q191</f>
        <v/>
      </c>
      <c r="R194" s="31">
        <f>$B$7-R191</f>
        <v/>
      </c>
      <c r="S194" s="31">
        <f>$B$7-S191</f>
        <v/>
      </c>
      <c r="T194" s="31">
        <f>$B$7-T191</f>
        <v/>
      </c>
      <c r="U194" s="31">
        <f>$B$7-U191</f>
        <v/>
      </c>
      <c r="V194" s="31">
        <f>$B$7-V191</f>
        <v/>
      </c>
      <c r="W194" s="31">
        <f>$B$7-W191</f>
        <v/>
      </c>
      <c r="X194" s="31">
        <f>$B$7-X191</f>
        <v/>
      </c>
      <c r="Y194" s="31">
        <f>$B$7-Y191</f>
        <v/>
      </c>
      <c r="Z194" s="31">
        <f>$B$7-Z191</f>
        <v/>
      </c>
      <c r="AA194" s="31">
        <f>$B$7-AA191</f>
        <v/>
      </c>
      <c r="AB194" s="31">
        <f>$B$7-AB191</f>
        <v/>
      </c>
      <c r="AC194" s="31">
        <f>$B$7-AC191</f>
        <v/>
      </c>
      <c r="AD194" s="31">
        <f>$B$7-AD191</f>
        <v/>
      </c>
      <c r="AE194" s="31">
        <f>$B$7-AE191</f>
        <v/>
      </c>
      <c r="AF194" s="31">
        <f>$B$7-AF191</f>
        <v/>
      </c>
      <c r="AG194" s="31">
        <f>$B$7-AG191</f>
        <v/>
      </c>
      <c r="AH194" s="31">
        <f>$B$7-AH191</f>
        <v/>
      </c>
      <c r="AI194" s="31">
        <f>$B$7-AI191</f>
        <v/>
      </c>
      <c r="AJ194" s="31">
        <f>$B$7-AJ191</f>
        <v/>
      </c>
      <c r="AK194" s="31">
        <f>$B$7-AK191</f>
        <v/>
      </c>
      <c r="AL194" s="31">
        <f>$B$7-AL191</f>
        <v/>
      </c>
      <c r="AM194" s="31">
        <f>$B$7-AM191</f>
        <v/>
      </c>
      <c r="AN194" s="31">
        <f>$B$7-AN191</f>
        <v/>
      </c>
      <c r="AO194" s="31">
        <f>$B$7-AO191</f>
        <v/>
      </c>
      <c r="AP194" s="31">
        <f>$B$7-AP191</f>
        <v/>
      </c>
      <c r="AQ194" s="31">
        <f>$B$7-AQ191</f>
        <v/>
      </c>
      <c r="AR194" s="31">
        <f>$B$7-AR191</f>
        <v/>
      </c>
      <c r="AS194" s="31">
        <f>$B$7-AS191</f>
        <v/>
      </c>
      <c r="AT194" s="31">
        <f>$B$7-AT191</f>
        <v/>
      </c>
      <c r="AU194" s="31">
        <f>$B$7-AU191</f>
        <v/>
      </c>
      <c r="AV194" s="31">
        <f>$B$7-AV191</f>
        <v/>
      </c>
      <c r="AW194" s="31">
        <f>$B$7-AW191</f>
        <v/>
      </c>
      <c r="AX194" s="31">
        <f>$B$7-AX191</f>
        <v/>
      </c>
      <c r="AY194" s="31">
        <f>$B$7-AY191</f>
        <v/>
      </c>
      <c r="AZ194" s="31">
        <f>$B$7-AZ191</f>
        <v/>
      </c>
      <c r="BA194" s="31">
        <f>$B$7-BA191</f>
        <v/>
      </c>
      <c r="BB194" s="31">
        <f>$B$7-BB191</f>
        <v/>
      </c>
      <c r="BC194" s="31">
        <f>$B$7-BC191</f>
        <v/>
      </c>
      <c r="BD194" s="31">
        <f>$B$7-BD191</f>
        <v/>
      </c>
    </row>
    <row r="195">
      <c r="A195" s="4" t="inlineStr">
        <is>
          <t xml:space="preserve">   Holds Garlic.</t>
        </is>
      </c>
    </row>
    <row r="197">
      <c r="A197" s="2" t="inlineStr">
        <is>
          <t>7 — THE OPTIMIZER</t>
        </is>
      </c>
    </row>
    <row r="198">
      <c r="A198" s="3" t="inlineStr">
        <is>
          <t>Revenue</t>
        </is>
      </c>
      <c r="B198" s="49">
        <f>SUM(E113:BD113)*$I$18+SUM(E119:BD119)*$I$19+SUM(E138:BD138)*$I$20+SUM(E146:BD146)*$I$21+SUM(E165:BD165)*$I$22+SUM(E171:BD171)*$I$23</f>
        <v/>
      </c>
    </row>
    <row r="199">
      <c r="A199" s="3" t="inlineStr">
        <is>
          <t>Growing cost</t>
        </is>
      </c>
      <c r="B199" s="49">
        <f>SUMPRODUCT($C$28:$C$95,($B$28:$B$95="Spinach")*$H$11+($B$28:$B$95="Kale")*$H$12+($B$28:$B$95="Garlic")*$H$13)</f>
        <v/>
      </c>
      <c r="C199" s="4" t="inlineStr">
        <is>
          <t>acres x $/acre, across every planting</t>
        </is>
      </c>
    </row>
    <row r="200">
      <c r="A200" s="20" t="inlineStr">
        <is>
          <t>PROFIT  (the objective)</t>
        </is>
      </c>
      <c r="B200" s="50">
        <f>B198-B199</f>
        <v/>
      </c>
      <c r="C200" s="3" t="inlineStr">
        <is>
          <t>&lt;-- MAXIMISE THIS CELL</t>
        </is>
      </c>
    </row>
    <row r="201">
      <c r="A201" s="3" t="inlineStr">
        <is>
          <t>Plantings chosen</t>
        </is>
      </c>
      <c r="B201" s="51">
        <f>SUM($D$28:$D$95)</f>
        <v/>
      </c>
      <c r="C201" s="4" t="inlineStr">
        <is>
          <t>of 68 offered</t>
        </is>
      </c>
    </row>
    <row r="203">
      <c r="A203" s="3" t="inlineStr">
        <is>
          <t>Annual caps</t>
        </is>
      </c>
    </row>
    <row r="204">
      <c r="A204" s="24" t="inlineStr">
        <is>
          <t xml:space="preserve">   Kale / Wholesale — sold all year</t>
        </is>
      </c>
      <c r="B204" s="34">
        <f>SUM(E146:BD146)</f>
        <v/>
      </c>
      <c r="C204" s="32" t="inlineStr">
        <is>
          <t>&lt;=</t>
        </is>
      </c>
      <c r="D204" s="34">
        <f>$D$21</f>
        <v/>
      </c>
    </row>
    <row r="206">
      <c r="A206" s="2" t="inlineStr">
        <is>
          <t>SOLVER SETUP — Tools &gt; Solver</t>
        </is>
      </c>
    </row>
    <row r="207">
      <c r="A207" s="3" t="inlineStr">
        <is>
          <t>Target cell</t>
        </is>
      </c>
      <c r="B207" s="24" t="inlineStr">
        <is>
          <t>$B$200</t>
        </is>
      </c>
      <c r="G207" s="4" t="inlineStr">
        <is>
          <t>set to MAXIMUM</t>
        </is>
      </c>
    </row>
    <row r="208">
      <c r="A208" s="3" t="inlineStr">
        <is>
          <t>By changing cells</t>
        </is>
      </c>
      <c r="B208" s="24" t="inlineStr">
        <is>
          <t>$C$28:$D$95</t>
        </is>
      </c>
      <c r="G208" s="4" t="inlineStr">
        <is>
          <t>acres AND plant? together</t>
        </is>
      </c>
    </row>
    <row r="209">
      <c r="A209" s="24" t="inlineStr">
        <is>
          <t xml:space="preserve">  ...and</t>
        </is>
      </c>
      <c r="B209" s="24" t="inlineStr">
        <is>
          <t>$E$112:$BD$112;$E$118:$BD$118;$E$137:$BD$137;$E$145:$BD$145;$E$164:$BD$164;$E$170:$BD$170</t>
        </is>
      </c>
      <c r="G209" s="4" t="inlineStr">
        <is>
          <t>the OFFERED rows</t>
        </is>
      </c>
    </row>
    <row r="210">
      <c r="A210" s="24" t="inlineStr">
        <is>
          <t>Constraint — PLANT? is binary</t>
        </is>
      </c>
      <c r="B210" s="24" t="inlineStr">
        <is>
          <t>$D$28:$D$95  =  Binary</t>
        </is>
      </c>
    </row>
    <row r="211">
      <c r="A211" s="24" t="inlineStr">
        <is>
          <t>Constraint — C9 acres &lt;= max</t>
        </is>
      </c>
      <c r="B211" s="24" t="inlineStr">
        <is>
          <t>$C$28:$C$95  &lt;=  $BE$28:$BE$95</t>
        </is>
      </c>
      <c r="G211" s="4" t="inlineStr">
        <is>
          <t>no acres without deciding to plant</t>
        </is>
      </c>
    </row>
    <row r="212">
      <c r="A212" s="24" t="inlineStr">
        <is>
          <t>Constraint — C10 acres &gt;= min</t>
        </is>
      </c>
      <c r="B212" s="24" t="inlineStr">
        <is>
          <t>$C$28:$C$95  &gt;=  $BF$28:$BF$95</t>
        </is>
      </c>
      <c r="G212" s="4" t="inlineStr">
        <is>
          <t>planted means a real block</t>
        </is>
      </c>
    </row>
    <row r="213">
      <c r="A213" s="24" t="inlineStr">
        <is>
          <t>Constraint — Spinach/Farmers Market sold &lt;= ceiling</t>
        </is>
      </c>
      <c r="B213" s="24" t="inlineStr">
        <is>
          <t>$E$113:$BD$113  &lt;=  $E$111:$BD$111</t>
        </is>
      </c>
    </row>
    <row r="214">
      <c r="A214" s="24" t="inlineStr">
        <is>
          <t>Constraint — Spinach/Wholesale sold &lt;= ceiling</t>
        </is>
      </c>
      <c r="B214" s="24" t="inlineStr">
        <is>
          <t>$E$119:$BD$119  &lt;=  $E$117:$BD$117</t>
        </is>
      </c>
    </row>
    <row r="215">
      <c r="A215" s="24" t="inlineStr">
        <is>
          <t>Constraint — Kale/Farmers Market sold &lt;= ceiling</t>
        </is>
      </c>
      <c r="B215" s="24" t="inlineStr">
        <is>
          <t>$E$138:$BD$138  &lt;=  $E$136:$BD$136</t>
        </is>
      </c>
    </row>
    <row r="216">
      <c r="A216" s="24" t="inlineStr">
        <is>
          <t>Constraint — Kale/Wholesale sold &lt;= ceiling</t>
        </is>
      </c>
      <c r="B216" s="24" t="inlineStr">
        <is>
          <t>$E$146:$BD$146  &lt;=  $E$142:$BD$142</t>
        </is>
      </c>
    </row>
    <row r="217">
      <c r="A217" s="24" t="inlineStr">
        <is>
          <t>Constraint — Garlic/Farmers Market sold &lt;= ceiling</t>
        </is>
      </c>
      <c r="B217" s="24" t="inlineStr">
        <is>
          <t>$E$165:$BD$165  &lt;=  $E$163:$BD$163</t>
        </is>
      </c>
    </row>
    <row r="218">
      <c r="A218" s="24" t="inlineStr">
        <is>
          <t>Constraint — Garlic/Wholesale sold &lt;= ceiling</t>
        </is>
      </c>
      <c r="B218" s="24" t="inlineStr">
        <is>
          <t>$E$171:$BD$171  &lt;=  $E$169:$BD$169</t>
        </is>
      </c>
    </row>
    <row r="219">
      <c r="A219" s="24" t="inlineStr">
        <is>
          <t>Constraint — Spinach stock never negative</t>
        </is>
      </c>
      <c r="B219" s="24" t="inlineStr">
        <is>
          <t>$E$123:$BD$123  &gt;=  0</t>
        </is>
      </c>
    </row>
    <row r="220">
      <c r="A220" s="24" t="inlineStr">
        <is>
          <t>Constraint — Kale stock never negative</t>
        </is>
      </c>
      <c r="B220" s="24" t="inlineStr">
        <is>
          <t>$E$150:$BD$150  &gt;=  0</t>
        </is>
      </c>
    </row>
    <row r="221">
      <c r="A221" s="24" t="inlineStr">
        <is>
          <t>Constraint — Garlic stock never negative</t>
        </is>
      </c>
      <c r="B221" s="24" t="inlineStr">
        <is>
          <t>$E$175:$BD$175  &gt;=  0</t>
        </is>
      </c>
    </row>
    <row r="222">
      <c r="A222" s="24" t="inlineStr">
        <is>
          <t>Constraint — Spinach shelf life</t>
        </is>
      </c>
      <c r="B222" s="24" t="inlineStr">
        <is>
          <t>$E$123:$BD$123  &lt;=  $E$126:$BD$126</t>
        </is>
      </c>
      <c r="G222" s="4" t="inlineStr">
        <is>
          <t>nothing held longer than it keeps</t>
        </is>
      </c>
    </row>
    <row r="223">
      <c r="A223" s="24" t="inlineStr">
        <is>
          <t>Constraint — Kale shelf life</t>
        </is>
      </c>
      <c r="B223" s="24" t="inlineStr">
        <is>
          <t>$E$150:$BD$150  &lt;=  $E$153:$BD$153</t>
        </is>
      </c>
      <c r="G223" s="4" t="inlineStr">
        <is>
          <t>nothing held longer than it keeps</t>
        </is>
      </c>
    </row>
    <row r="224">
      <c r="A224" s="24" t="inlineStr">
        <is>
          <t>Constraint — Garlic shelf life</t>
        </is>
      </c>
      <c r="B224" s="24" t="inlineStr">
        <is>
          <t>$E$175:$BD$175  &lt;=  $E$178:$BD$178</t>
        </is>
      </c>
      <c r="G224" s="4" t="inlineStr">
        <is>
          <t>nothing held longer than it keeps</t>
        </is>
      </c>
    </row>
    <row r="225">
      <c r="A225" s="24" t="inlineStr">
        <is>
          <t>Constraint — cold store</t>
        </is>
      </c>
      <c r="B225" s="24" t="inlineStr">
        <is>
          <t>$E$184:$BD$184  &lt;=  $B$6</t>
        </is>
      </c>
    </row>
    <row r="226">
      <c r="A226" s="24" t="inlineStr">
        <is>
          <t>Constraint — ambient store</t>
        </is>
      </c>
      <c r="B226" s="24" t="inlineStr">
        <is>
          <t>$E$191:$BD$191  &lt;=  $B$7</t>
        </is>
      </c>
    </row>
    <row r="227">
      <c r="A227" s="24" t="inlineStr">
        <is>
          <t>Constraint — land</t>
        </is>
      </c>
      <c r="B227" s="24" t="inlineStr">
        <is>
          <t>$E$99:$BD$99  &lt;=  $B$5</t>
        </is>
      </c>
    </row>
    <row r="228">
      <c r="A228" s="3" t="inlineStr">
        <is>
          <t>Options</t>
        </is>
      </c>
      <c r="B228" s="24" t="inlineStr">
        <is>
          <t>engine = LibreOffice CoinMP Linear Solver</t>
        </is>
      </c>
      <c r="G228" s="4" t="inlineStr">
        <is>
          <t>tick 'Assume variables as non-negative'</t>
        </is>
      </c>
    </row>
  </sheetData>
  <conditionalFormatting sqref="E102:BD102">
    <cfRule type="cellIs" priority="1" operator="lessThan" dxfId="0">
      <formula>0</formula>
    </cfRule>
  </conditionalFormatting>
  <conditionalFormatting sqref="E99:BD99">
    <cfRule type="cellIs" priority="2" operator="greaterThan" dxfId="0">
      <formula>$B$5</formula>
    </cfRule>
  </conditionalFormatting>
  <conditionalFormatting sqref="E187:BD187">
    <cfRule type="cellIs" priority="3" operator="lessThan" dxfId="0">
      <formula>0</formula>
    </cfRule>
  </conditionalFormatting>
  <conditionalFormatting sqref="E184:BD184">
    <cfRule type="cellIs" priority="4" operator="greaterThan" dxfId="0">
      <formula>$B$6</formula>
    </cfRule>
  </conditionalFormatting>
  <conditionalFormatting sqref="E194:BD194">
    <cfRule type="cellIs" priority="5" operator="lessThan" dxfId="0">
      <formula>0</formula>
    </cfRule>
  </conditionalFormatting>
  <conditionalFormatting sqref="E191:BD191">
    <cfRule type="cellIs" priority="6" operator="greaterThan" dxfId="0">
      <formula>$B$7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2026-08-30T03:35:27Z</dcterms:created>
  <dcterms:modified xsi:type="dcterms:W3CDTF">2026-08-30T03:35:28Z</dcterms:modified>
</cp:coreProperties>
</file>