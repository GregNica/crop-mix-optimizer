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0000"/>
    <numFmt numFmtId="166" formatCode="0.0%"/>
    <numFmt numFmtId="167" formatCode="$#,##0"/>
    <numFmt numFmtId="168" formatCode="$0.00"/>
  </numFmts>
  <fonts count="7">
    <font>
      <name val="Calibri"/>
      <family val="2"/>
      <color theme="1"/>
      <sz val="11"/>
      <scheme val="minor"/>
    </font>
    <font>
      <b val="1"/>
      <sz val="15"/>
    </font>
    <font>
      <i val="1"/>
      <color rgb="00666666"/>
      <sz val="9"/>
    </font>
    <font>
      <b val="1"/>
    </font>
    <font>
      <b val="1"/>
      <color rgb="00404040"/>
      <sz val="9"/>
    </font>
    <font>
      <b val="1"/>
      <color rgb="00404040"/>
      <sz val="12"/>
    </font>
    <font>
      <sz val="9"/>
    </font>
  </fonts>
  <fills count="10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F7F7F7"/>
      </patternFill>
    </fill>
    <fill>
      <patternFill patternType="solid">
        <fgColor rgb="00EFEFE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164" fontId="0" fillId="2" borderId="1" pivotButton="0" quotePrefix="0" xfId="0"/>
    <xf numFmtId="3" fontId="0" fillId="2" borderId="1" pivotButton="0" quotePrefix="0" xfId="0"/>
    <xf numFmtId="0" fontId="3" fillId="6" borderId="1" pivotButton="0" quotePrefix="0" xfId="0"/>
    <xf numFmtId="0" fontId="0" fillId="0" borderId="1" pivotButton="0" quotePrefix="0" xfId="0"/>
    <xf numFmtId="2" fontId="0" fillId="2" borderId="1" pivotButton="0" quotePrefix="0" xfId="0"/>
    <xf numFmtId="165" fontId="0" fillId="2" borderId="1" pivotButton="0" quotePrefix="0" xfId="0"/>
    <xf numFmtId="0" fontId="0" fillId="7" borderId="1" pivotButton="0" quotePrefix="0" xfId="0"/>
    <xf numFmtId="0" fontId="0" fillId="2" borderId="1" pivotButton="0" quotePrefix="0" xfId="0"/>
    <xf numFmtId="166" fontId="0" fillId="2" borderId="1" pivotButton="0" quotePrefix="0" xfId="0"/>
    <xf numFmtId="167" fontId="0" fillId="2" borderId="1" pivotButton="0" quotePrefix="0" xfId="0"/>
    <xf numFmtId="1" fontId="0" fillId="0" borderId="1" pivotButton="0" quotePrefix="0" xfId="0"/>
    <xf numFmtId="168" fontId="0" fillId="2" borderId="1" pivotButton="0" quotePrefix="0" xfId="0"/>
    <xf numFmtId="0" fontId="0" fillId="8" borderId="1" pivotButton="0" quotePrefix="0" xfId="0"/>
    <xf numFmtId="1" fontId="0" fillId="2" borderId="1" pivotButton="0" quotePrefix="0" xfId="0"/>
    <xf numFmtId="9" fontId="0" fillId="2" borderId="1" pivotButton="0" quotePrefix="0" xfId="0"/>
    <xf numFmtId="0" fontId="3" fillId="3" borderId="0" pivotButton="0" quotePrefix="0" xfId="0"/>
    <xf numFmtId="1" fontId="0" fillId="3" borderId="1" pivotButton="0" quotePrefix="0" xfId="0"/>
    <xf numFmtId="0" fontId="6" fillId="0" borderId="0" pivotButton="0" quotePrefix="0" xfId="0"/>
    <xf numFmtId="167" fontId="0" fillId="0" borderId="1" pivotButton="0" quotePrefix="0" xfId="0"/>
    <xf numFmtId="0" fontId="6" fillId="4" borderId="0" pivotButton="0" quotePrefix="0" xfId="0"/>
    <xf numFmtId="1" fontId="0" fillId="4" borderId="1" pivotButton="0" quotePrefix="0" xfId="0"/>
    <xf numFmtId="0" fontId="3" fillId="6" borderId="0" pivotButton="0" quotePrefix="0" xfId="0"/>
    <xf numFmtId="0" fontId="3" fillId="6" borderId="0" applyAlignment="1" pivotButton="0" quotePrefix="0" xfId="0">
      <alignment horizontal="center"/>
    </xf>
    <xf numFmtId="0" fontId="6" fillId="6" borderId="0" pivotButton="0" quotePrefix="0" xfId="0"/>
    <xf numFmtId="2" fontId="0" fillId="3" borderId="0" pivotButton="0" quotePrefix="0" xfId="0"/>
    <xf numFmtId="1" fontId="0" fillId="3" borderId="0" pivotButton="0" quotePrefix="0" xfId="0"/>
    <xf numFmtId="0" fontId="6" fillId="9" borderId="0" applyAlignment="1" pivotButton="0" quotePrefix="0" xfId="0">
      <alignment horizontal="center"/>
    </xf>
    <xf numFmtId="164" fontId="6" fillId="0" borderId="0" pivotButton="0" quotePrefix="0" xfId="0"/>
    <xf numFmtId="1" fontId="6" fillId="0" borderId="0" pivotButton="0" quotePrefix="0" xfId="0"/>
    <xf numFmtId="0" fontId="2" fillId="6" borderId="0" pivotButton="0" quotePrefix="0" xfId="0"/>
    <xf numFmtId="0" fontId="3" fillId="4" borderId="0" pivotButton="0" quotePrefix="0" xfId="0"/>
    <xf numFmtId="164" fontId="0" fillId="4" borderId="0" pivotButton="0" quotePrefix="0" xfId="0"/>
    <xf numFmtId="0" fontId="3" fillId="0" borderId="0" applyAlignment="1" pivotButton="0" quotePrefix="0" xfId="0">
      <alignment horizontal="center"/>
    </xf>
    <xf numFmtId="3" fontId="0" fillId="0" borderId="0" pivotButton="0" quotePrefix="0" xfId="0"/>
    <xf numFmtId="3" fontId="0" fillId="3" borderId="0" pivotButton="0" quotePrefix="0" xfId="0"/>
    <xf numFmtId="3" fontId="0" fillId="4" borderId="0" pivotButton="0" quotePrefix="0" xfId="0"/>
    <xf numFmtId="0" fontId="0" fillId="7" borderId="0" pivotButton="0" quotePrefix="0" xfId="0"/>
    <xf numFmtId="3" fontId="0" fillId="7" borderId="0" pivotButton="0" quotePrefix="0" xfId="0"/>
    <xf numFmtId="0" fontId="3" fillId="7" borderId="0" pivotButton="0" quotePrefix="0" xfId="0"/>
    <xf numFmtId="3" fontId="0" fillId="8" borderId="0" pivotButton="0" quotePrefix="0" xfId="0"/>
    <xf numFmtId="0" fontId="3" fillId="8" borderId="0" pivotButton="0" quotePrefix="0" xfId="0"/>
    <xf numFmtId="164" fontId="0" fillId="7" borderId="0" pivotButton="0" quotePrefix="0" xfId="0"/>
    <xf numFmtId="0" fontId="0" fillId="8" borderId="0" pivotButton="0" quotePrefix="0" xfId="0"/>
    <xf numFmtId="164" fontId="0" fillId="8" borderId="0" pivotButton="0" quotePrefix="0" xfId="0"/>
    <xf numFmtId="167" fontId="3" fillId="0" borderId="0" pivotButton="0" quotePrefix="0" xfId="0"/>
    <xf numFmtId="0" fontId="3" fillId="5" borderId="0" pivotButton="0" quotePrefix="0" xfId="0"/>
    <xf numFmtId="167" fontId="3" fillId="5" borderId="0" pivotButton="0" quotePrefix="0" xfId="0"/>
    <xf numFmtId="1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7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Farm toy model — v10: LABOUR BY POSITION</t>
        </is>
      </c>
    </row>
    <row r="2">
      <c r="A2" s="2" t="inlineStr">
        <is>
          <t>BUILT 2026-09-01 00:53   (from source at commit 98ed569)</t>
        </is>
      </c>
    </row>
    <row r="3">
      <c r="A3" s="2" t="inlineStr">
        <is>
          <t>If that timestamp is older than the change you are looking for, you have a stale copy —</t>
        </is>
      </c>
    </row>
    <row r="4">
      <c r="A4" s="2" t="inlineStr">
        <is>
          <t>close the file and re-open it from WSL rather than from a recent-files list.</t>
        </is>
      </c>
    </row>
    <row r="5">
      <c r="A5" t="inlineStr"/>
    </row>
    <row r="6">
      <c r="A6" s="3" t="inlineStr">
        <is>
          <t>WHAT v9 CHANGES — the labour layer, rebuilt on three notes from the grower</t>
        </is>
      </c>
    </row>
    <row r="7">
      <c r="A7" t="inlineStr">
        <is>
          <t>This is the first version where a labour change makes the model SMALLER. 52 spot-hire</t>
        </is>
      </c>
    </row>
    <row r="8">
      <c r="A8" t="inlineStr">
        <is>
          <t>variables became ONE headcount, and a typed cap became a derived row.</t>
        </is>
      </c>
    </row>
    <row r="9">
      <c r="A9" t="inlineStr"/>
    </row>
    <row r="10">
      <c r="A10" s="4" t="inlineStr">
        <is>
          <t xml:space="preserve">     profit $514,774 (v8) -&gt; $472,091        revenue $2,076,360        margin 22.7%</t>
        </is>
      </c>
    </row>
    <row r="11">
      <c r="A11" s="4" t="inlineStr">
        <is>
          <t xml:space="preserve">     it hires 3 people for weeks 43-49 ($23,400) and works 212 overtime hours ($8,759)</t>
        </is>
      </c>
    </row>
    <row r="12">
      <c r="A12" t="inlineStr"/>
    </row>
    <row r="13">
      <c r="A13" t="inlineStr">
        <is>
          <t>Profit FALLS against v8 and that is the honest direction: v8 could buy an hour in any week</t>
        </is>
      </c>
    </row>
    <row r="14">
      <c r="A14" t="inlineStr">
        <is>
          <t>at a spot price and never pay for an hour it did not use.</t>
        </is>
      </c>
    </row>
    <row r="15">
      <c r="A15" t="inlineStr"/>
    </row>
    <row r="16">
      <c r="A16" s="4" t="inlineStr">
        <is>
          <t>1. THERE IS NO SPOT HIRE ANY MORE. You nominate a WINDOW; the solver picks the HEADCOUNT.</t>
        </is>
      </c>
    </row>
    <row r="17">
      <c r="A17" t="inlineStr">
        <is>
          <t xml:space="preserve">   v8's plan was unexecutable: 21 separate weeks of hiring in blocks of 2, 2, 2, 3 and 12</t>
        </is>
      </c>
    </row>
    <row r="18">
      <c r="A18" t="inlineStr">
        <is>
          <t xml:space="preserve">   weeks, and one week that bought TWO HOURS. No real hiring path works that way. H-2A wants</t>
        </is>
      </c>
    </row>
    <row r="19">
      <c r="A19" t="inlineStr">
        <is>
          <t xml:space="preserve">   60-75 days of lead and GUARANTEES the worker three-quarters of the contract's hours;</t>
        </is>
      </c>
    </row>
    <row r="20">
      <c r="A20" t="inlineStr">
        <is>
          <t xml:space="preserve">   domestic seasonal hiring wants 8-10 weeks and the good crews book out months ahead.</t>
        </is>
      </c>
    </row>
    <row r="21">
      <c r="A21" t="inlineStr">
        <is>
          <t xml:space="preserve">   Every path is a committed block decided before the season.</t>
        </is>
      </c>
    </row>
    <row r="22">
      <c r="A22" t="inlineStr"/>
    </row>
    <row r="23">
      <c r="A23" t="inlineStr">
        <is>
          <t xml:space="preserve">   So the advisory crew is CHARGED FOR ITS WHOLE WINDOW, used or not — the same treatment</t>
        </is>
      </c>
    </row>
    <row r="24">
      <c r="A24" t="inlineStr">
        <is>
          <t xml:space="preserve">   the standing crew already gets. Compare row 13 against row 10 in a week the plan does not</t>
        </is>
      </c>
    </row>
    <row r="25">
      <c r="A25" t="inlineStr">
        <is>
          <t xml:space="preserve">   need the hours: that gap is what committing to people actually costs, and v8 could not</t>
        </is>
      </c>
    </row>
    <row r="26">
      <c r="A26" t="inlineStr">
        <is>
          <t xml:space="preserve">   show it, because an hour it did not want was simply never bought.</t>
        </is>
      </c>
    </row>
    <row r="27">
      <c r="A27" t="inlineStr"/>
    </row>
    <row r="28">
      <c r="A28" t="inlineStr">
        <is>
          <t xml:space="preserve">   The answer is a ROSTER ROW: 'hire 3 people, weeks 43 to 49'. Type it into</t>
        </is>
      </c>
    </row>
    <row r="29">
      <c r="A29" t="inlineStr">
        <is>
          <t xml:space="preserve">   section 3b, set the advisory headcount back to 0, and re-solve. That round trip is the</t>
        </is>
      </c>
    </row>
    <row r="30">
      <c r="A30" t="inlineStr">
        <is>
          <t xml:space="preserve">   point — the recommendation is written in the same units as the input.</t>
        </is>
      </c>
    </row>
    <row r="31">
      <c r="A31" t="inlineStr"/>
    </row>
    <row r="32">
      <c r="A32" s="4" t="inlineStr">
        <is>
          <t>2. THE OVERTIME CAP IS DERIVED, NOT TYPED.</t>
        </is>
      </c>
    </row>
    <row r="33">
      <c r="A33" t="inlineStr">
        <is>
          <t xml:space="preserve">   v8 typed a flat 200 hrs/week. The crew on this farm swings from 0 to 872 hourly field</t>
        </is>
      </c>
    </row>
    <row r="34">
      <c r="A34" t="inlineStr">
        <is>
          <t xml:space="preserve">   hours across the year, so one number cannot express 'how much overtime will you allow'.</t>
        </is>
      </c>
    </row>
    <row r="35">
      <c r="A35" t="inlineStr">
        <is>
          <t xml:space="preserve">   On the app's own farm that flat cap let 15 of 52 weeks buy MORE overtime than the whole</t>
        </is>
      </c>
    </row>
    <row r="36">
      <c r="A36" t="inlineStr">
        <is>
          <t xml:space="preserve">   crew's regular hours — 185% in winter — and the app's solver took it, buying 191 overtime</t>
        </is>
      </c>
    </row>
    <row r="37">
      <c r="A37" t="inlineStr">
        <is>
          <t xml:space="preserve">   hours against 299 crew hours in one week. A 64% overtime rate is a 66-hour week for</t>
        </is>
      </c>
    </row>
    <row r="38">
      <c r="A38" t="inlineStr">
        <is>
          <t xml:space="preserve">   everybody on the crew.</t>
        </is>
      </c>
    </row>
    <row r="39">
      <c r="A39" t="inlineStr"/>
    </row>
    <row r="40">
      <c r="A40" t="inlineStr">
        <is>
          <t xml:space="preserve">   Now you type an ALLOWANCE (1.25 = 'up to 125% of normal hours') and row 8 computes</t>
        </is>
      </c>
    </row>
    <row r="41">
      <c r="A41" t="inlineStr">
        <is>
          <t xml:space="preserve">   (allowance - 1) x row 3, week by week. It peaks at 218 hrs and it is ZERO in a week</t>
        </is>
      </c>
    </row>
    <row r="42">
      <c r="A42" t="inlineStr">
        <is>
          <t xml:space="preserve">   with no hourly crew, which is the whole point: you cannot work overtime on people who are</t>
        </is>
      </c>
    </row>
    <row r="43">
      <c r="A43" t="inlineStr">
        <is>
          <t xml:space="preserve">   not there.</t>
        </is>
      </c>
    </row>
    <row r="44">
      <c r="A44" t="inlineStr"/>
    </row>
    <row r="45">
      <c r="A45" s="4" t="inlineStr">
        <is>
          <t>3. THE SECTION BUILDS UP IN NAMED ROWS.</t>
        </is>
      </c>
    </row>
    <row r="46">
      <c r="A46" t="inlineStr">
        <is>
          <t xml:space="preserve">   v8 computed the payroll mask — who is on this week, hourly, and paid — INSIDE the overtime</t>
        </is>
      </c>
    </row>
    <row r="47">
      <c r="A47" t="inlineStr">
        <is>
          <t xml:space="preserve">   rate formula, to answer a question the capacity row above had already answered. It was</t>
        </is>
      </c>
    </row>
    <row r="48">
      <c r="A48" t="inlineStr">
        <is>
          <t xml:space="preserve">   dense because an intermediate quantity had no row of its own.</t>
        </is>
      </c>
    </row>
    <row r="49">
      <c r="A49" t="inlineStr">
        <is>
          <t xml:space="preserve">   Rows 1-14 now each read only the rows above them. Row 3 (hourly FIELD hours) is the one</t>
        </is>
      </c>
    </row>
    <row r="50">
      <c r="A50" t="inlineStr">
        <is>
          <t xml:space="preserve">   v8 never wrote down — and it is exactly what the overtime cap needed, which is why the cap</t>
        </is>
      </c>
    </row>
    <row r="51">
      <c r="A51" t="inlineStr">
        <is>
          <t xml:space="preserve">   had to be a typed constant. Give the quantity a name and the defect has nowhere to live.</t>
        </is>
      </c>
    </row>
    <row r="52">
      <c r="A52" t="inlineStr"/>
    </row>
    <row r="53">
      <c r="A53" s="3" t="inlineStr">
        <is>
          <t>⚠️ THE WINDOW IS YOUR CALL, AND IT MATTERS MORE THAN THE HEADCOUNT</t>
        </is>
      </c>
    </row>
    <row r="54">
      <c r="A54" t="inlineStr">
        <is>
          <t>Labour binds in EIGHT separate blocks of weeks on this farm. Only one of them is worth</t>
        </is>
      </c>
    </row>
    <row r="55">
      <c r="A55" t="inlineStr">
        <is>
          <t>hiring into. Measured, same farm, same solver, only the window changes:</t>
        </is>
      </c>
    </row>
    <row r="56">
      <c r="A56" t="inlineStr"/>
    </row>
    <row r="57">
      <c r="A57" s="4" t="inlineStr">
        <is>
          <t xml:space="preserve">     weeks 16-21  (C2 binds all six weeks)      worth $5</t>
        </is>
      </c>
    </row>
    <row r="58">
      <c r="A58" s="4" t="inlineStr">
        <is>
          <t xml:space="preserve">     weeks 27-31  (C2 binds all five weeks)     worth $21</t>
        </is>
      </c>
    </row>
    <row r="59">
      <c r="A59" s="4" t="inlineStr">
        <is>
          <t xml:space="preserve">     weeks 43-49                                worth $58,253</t>
        </is>
      </c>
    </row>
    <row r="60">
      <c r="A60" t="inlineStr"/>
    </row>
    <row r="61">
      <c r="A61" t="inlineStr">
        <is>
          <t>A week where labour BINDS is not a week where more labour PAYS. In weeks 16-31 the crew is</t>
        </is>
      </c>
    </row>
    <row r="62">
      <c r="A62" t="inlineStr">
        <is>
          <t>already 908 hrs/wk and something else is holding the plan back; in weeks 43-49 the seasonal</t>
        </is>
      </c>
    </row>
    <row r="63">
      <c r="A63" t="inlineStr">
        <is>
          <t>crews have gone home to 108 hrs/wk and there is garlic in the ground.</t>
        </is>
      </c>
    </row>
    <row r="64">
      <c r="A64" t="inlineStr"/>
    </row>
    <row r="65">
      <c r="A65" t="inlineStr">
        <is>
          <t>That is worth stating plainly because the obvious report — 'here are your binding weeks' —</t>
        </is>
      </c>
    </row>
    <row r="66">
      <c r="A66" t="inlineStr">
        <is>
          <t>would send you to the wrong one. Try it: put 16 and 21 in the window and re-solve.</t>
        </is>
      </c>
    </row>
    <row r="67">
      <c r="A67" t="inlineStr"/>
    </row>
    <row r="68">
      <c r="A68" s="3" t="inlineStr">
        <is>
          <t>WHAT v7 ADDED — labour, which is TWO things at once</t>
        </is>
      </c>
    </row>
    <row r="69">
      <c r="A69" t="inlineStr"/>
    </row>
    <row r="70">
      <c r="A70" s="4" t="inlineStr">
        <is>
          <t>1. A COMMITTED COST. Every listed worker is paid for their stated hours whether or not the</t>
        </is>
      </c>
    </row>
    <row r="71">
      <c r="A71" t="inlineStr">
        <is>
          <t xml:space="preserve">   crops need them. So there is NO per-acre labour charge anywhere on this sheet — the</t>
        </is>
      </c>
    </row>
    <row r="72">
      <c r="A72" t="inlineStr">
        <is>
          <t xml:space="preserve">   marginal crop hour is FREE, and it is rationed by capacity instead of priced. That is the</t>
        </is>
      </c>
    </row>
    <row r="73">
      <c r="A73" t="inlineStr">
        <is>
          <t xml:space="preserve">   app's W12, and it is the single largest correction the real model has ever made.</t>
        </is>
      </c>
    </row>
    <row r="74">
      <c r="A74" t="inlineStr"/>
    </row>
    <row r="75">
      <c r="A75" s="4" t="inlineStr">
        <is>
          <t>2. A CAPACITY LIMIT. Crop hours in a week cannot exceed what the crew can give. The app's</t>
        </is>
      </c>
    </row>
    <row r="76">
      <c r="A76" t="inlineStr">
        <is>
          <t xml:space="preserve">   C2 — and on this farm it is the constraint that binds hardest, in 22 of 52 weeks.</t>
        </is>
      </c>
    </row>
    <row r="77">
      <c r="A77" t="inlineStr"/>
    </row>
    <row r="78">
      <c r="A78" s="3" t="inlineStr">
        <is>
          <t>AND THE WAGE BILL HAS A SHAPE</t>
        </is>
      </c>
    </row>
    <row r="79">
      <c r="A79" s="4" t="inlineStr">
        <is>
          <t xml:space="preserve">     winter $4,884/wk        peak $24,484/wk        $855,150 for the year</t>
        </is>
      </c>
    </row>
    <row r="80">
      <c r="A80" s="4" t="inlineStr">
        <is>
          <t xml:space="preserve">     crew capacity 108 hrs/wk in winter, 908 at peak</t>
        </is>
      </c>
    </row>
    <row r="81">
      <c r="A81" t="inlineStr">
        <is>
          <t>Flattening that to an annual average understated the app's own cash floor by $115,615, which</t>
        </is>
      </c>
    </row>
    <row r="82">
      <c r="A82" t="inlineStr">
        <is>
          <t>is why it is modelled week by week here rather than as one number.</t>
        </is>
      </c>
    </row>
    <row r="83">
      <c r="A83" t="inlineStr"/>
    </row>
    <row r="84">
      <c r="A84" s="3" t="inlineStr">
        <is>
          <t>WHAT IT DOES TO THE ANSWER</t>
        </is>
      </c>
    </row>
    <row r="85">
      <c r="A85" s="4" t="inlineStr">
        <is>
          <t xml:space="preserve">     profit $1,654,922 -&gt; $472,091        net margin 22.7%</t>
        </is>
      </c>
    </row>
    <row r="86">
      <c r="A86" t="inlineStr">
        <is>
          <t>Revenue falls too — $2,076,360 against v6's $2,558,846 — and that is the important half. Labour</t>
        </is>
      </c>
    </row>
    <row r="87">
      <c r="A87" t="inlineStr">
        <is>
          <t>does not merely TAX the plan, it RESHAPES it: the crew cannot pick everything the ground</t>
        </is>
      </c>
    </row>
    <row r="88">
      <c r="A88" t="inlineStr">
        <is>
          <t>could grow, so acres the land would happily carry are simply not worth planting.</t>
        </is>
      </c>
    </row>
    <row r="89">
      <c r="A89" t="inlineStr"/>
    </row>
    <row r="90">
      <c r="A90" t="inlineStr">
        <is>
          <t>Net margin 22.7% is finally in the same postcode as a real diversified-veg farm (5-15%),</t>
        </is>
      </c>
    </row>
    <row r="91">
      <c r="A91" t="inlineStr">
        <is>
          <t>having read 64.7% in v6. Labour was most of the gap.</t>
        </is>
      </c>
    </row>
    <row r="92">
      <c r="A92" t="inlineStr"/>
    </row>
    <row r="93">
      <c r="A93" s="3" t="inlineStr">
        <is>
          <t>!! THE FINDING WORTH TAKING AWAY</t>
        </is>
      </c>
    </row>
    <row r="94">
      <c r="A94" t="inlineStr">
        <is>
          <t>Committed wages create a MINIMUM CASH REQUIREMENT that no plan can avoid. This farm owes</t>
        </is>
      </c>
    </row>
    <row r="95">
      <c r="A95" t="inlineStr">
        <is>
          <t>$4,884 a week from January with nothing to sell until spring — $56,676 goes out before a</t>
        </is>
      </c>
    </row>
    <row r="96">
      <c r="A96" t="inlineStr">
        <is>
          <t>dollar comes in. Measured: below roughly $80,000-$100,000 of opening cash plus credit, there</t>
        </is>
      </c>
    </row>
    <row r="97">
      <c r="A97" t="inlineStr">
        <is>
          <t>is NO feasible plan at all. Not a worse plan — none.</t>
        </is>
      </c>
    </row>
    <row r="98">
      <c r="A98" t="inlineStr"/>
    </row>
    <row r="99">
      <c r="A99" t="inlineStr">
        <is>
          <t>And above that threshold profit is IDENTICAL at every cash level. So cash does not shape the</t>
        </is>
      </c>
    </row>
    <row r="100">
      <c r="A100" t="inlineStr">
        <is>
          <t>plan here; it decides whether you may have one. Those are different questions and a single</t>
        </is>
      </c>
    </row>
    <row r="101">
      <c r="A101" t="inlineStr">
        <is>
          <t>profit figure hides which one you are asking.</t>
        </is>
      </c>
    </row>
    <row r="102">
      <c r="A102" t="inlineStr"/>
    </row>
    <row r="103">
      <c r="A103" s="3" t="inlineStr">
        <is>
          <t>INTEREST IS REPORTED, NOT OPTIMISED OVER</t>
        </is>
      </c>
    </row>
    <row r="104">
      <c r="A104" t="inlineStr">
        <is>
          <t>Peak borrowing $48,820, interest $372 — APR on the AVERAGE amount the credit line</t>
        </is>
      </c>
    </row>
    <row r="105">
      <c r="A105" t="inlineStr">
        <is>
          <t>carries, which is the app's own post-solve formula.</t>
        </is>
      </c>
    </row>
    <row r="106">
      <c r="A106" t="inlineStr"/>
    </row>
    <row r="107">
      <c r="A107" t="inlineStr">
        <is>
          <t>It sits OUTSIDE the objective deliberately, because that is what the app does: the plan is</t>
        </is>
      </c>
    </row>
    <row r="108">
      <c r="A108" t="inlineStr">
        <is>
          <t>chosen first and the borrowing it implies is priced afterwards. The consequence is worth</t>
        </is>
      </c>
    </row>
    <row r="109">
      <c r="A109" t="inlineStr">
        <is>
          <t>knowing — the solver has no reason to shift sales earlier to borrow less, so interest is a</t>
        </is>
      </c>
    </row>
    <row r="110">
      <c r="A110" t="inlineStr">
        <is>
          <t>REPORT here rather than a lever. On this farm it is trivial ($372); on a farm that</t>
        </is>
      </c>
    </row>
    <row r="111">
      <c r="A111" t="inlineStr">
        <is>
          <t>borrows through a long winter it would not be.</t>
        </is>
      </c>
    </row>
    <row r="112">
      <c r="A112" t="inlineStr"/>
    </row>
    <row r="113">
      <c r="A113" s="3" t="inlineStr">
        <is>
          <t>INTEREST IS REPORTED, NOT OPTIMISED OVER</t>
        </is>
      </c>
    </row>
    <row r="114">
      <c r="A114" t="inlineStr">
        <is>
          <t>Peak borrowing $48,820, interest $372 — small here, and the reason is worth knowing.</t>
        </is>
      </c>
    </row>
    <row r="115">
      <c r="A115" t="inlineStr">
        <is>
          <t>The plan is chosen FIRST and the borrowing it implies is priced afterwards, so the solver has</t>
        </is>
      </c>
    </row>
    <row r="116">
      <c r="A116" t="inlineStr">
        <is>
          <t>no reason to shift sales earlier to borrow less. That is the app's own simplification and the</t>
        </is>
      </c>
    </row>
    <row r="117">
      <c r="A117" t="inlineStr">
        <is>
          <t>toy inherits it deliberately rather than diverging: a toy that models cash better than the</t>
        </is>
      </c>
    </row>
    <row r="118">
      <c r="A118" t="inlineStr">
        <is>
          <t>thing it is checking cannot check it.</t>
        </is>
      </c>
    </row>
    <row r="119">
      <c r="A119" t="inlineStr"/>
    </row>
    <row r="120">
      <c r="A120" s="3" t="inlineStr">
        <is>
          <t>WHAT v6 ADDED — real costs, and the cash floor</t>
        </is>
      </c>
    </row>
    <row r="121">
      <c r="A121" t="inlineStr">
        <is>
          <t>These are one job, not two. A cash curve is meaningless without costs to spend, and v5's</t>
        </is>
      </c>
    </row>
    <row r="122">
      <c r="A122" t="inlineStr">
        <is>
          <t>profit was absurd precisely because seed was the only cost it charged.</t>
        </is>
      </c>
    </row>
    <row r="123">
      <c r="A123" t="inlineStr"/>
    </row>
    <row r="124">
      <c r="A124" t="inlineStr">
        <is>
          <t xml:space="preserve">  TIMED variable costs   seed in the PLANTING week; fertiliser and fuel every week in the</t>
        </is>
      </c>
    </row>
    <row r="125">
      <c r="A125" t="inlineStr">
        <is>
          <t xml:space="preserve">                         ground at that phase's rate; packaging per lb in the week of SALE.</t>
        </is>
      </c>
    </row>
    <row r="126">
      <c r="A126" t="inlineStr">
        <is>
          <t xml:space="preserve">                         Timing is the whole point — a cash floor cannot be honest if the</t>
        </is>
      </c>
    </row>
    <row r="127">
      <c r="A127" t="inlineStr">
        <is>
          <t xml:space="preserve">                         costs land in the wrong week.</t>
        </is>
      </c>
    </row>
    <row r="128">
      <c r="A128" t="inlineStr">
        <is>
          <t xml:space="preserve">  FIXED costs            cooler and barn depreciation, irrigation, machinery, equipment</t>
        </is>
      </c>
    </row>
    <row r="129">
      <c r="A129" t="inlineStr">
        <is>
          <t xml:space="preserve">                         store: $1,414 a week, owed whether or not you plant anything.</t>
        </is>
      </c>
    </row>
    <row r="130">
      <c r="A130" t="inlineStr">
        <is>
          <t xml:space="preserve">  OVERHEAD               a share of revenue, exactly as the app internalises it.</t>
        </is>
      </c>
    </row>
    <row r="131">
      <c r="A131" t="inlineStr">
        <is>
          <t xml:space="preserve">  CASH FLOOR             cumulative cash may go negative — that is the credit line being</t>
        </is>
      </c>
    </row>
    <row r="132">
      <c r="A132" t="inlineStr">
        <is>
          <t xml:space="preserve">                         drawn — but never below -(opening cash + credit line). The app's C13.</t>
        </is>
      </c>
    </row>
    <row r="133">
      <c r="A133" t="inlineStr"/>
    </row>
    <row r="134">
      <c r="A134" s="4" t="inlineStr">
        <is>
          <t>Profit falls $2,384,231 -&gt; $472,091 once those are charged.</t>
        </is>
      </c>
    </row>
    <row r="135">
      <c r="A135" t="inlineStr"/>
    </row>
    <row r="136">
      <c r="A136" s="3" t="inlineStr">
        <is>
          <t>!! AND IT IS STILL ABSURD: net margin 22.7%, against 5-15% for real diversified veg.</t>
        </is>
      </c>
    </row>
    <row r="137">
      <c r="A137" t="inlineStr">
        <is>
          <t>Because LABOUR IS NOT HERE. On the real farm wages are about 90% of fixed cost — the app's</t>
        </is>
      </c>
    </row>
    <row r="138">
      <c r="A138" t="inlineStr">
        <is>
          <t>own demo pays $855,150 a year against the $73,514 of fixed cost this sheet charges. So:</t>
        </is>
      </c>
    </row>
    <row r="139">
      <c r="A139" t="inlineStr"/>
    </row>
    <row r="140">
      <c r="A140" s="4" t="inlineStr">
        <is>
          <t xml:space="preserve">     THE CASH FLOOR BARELY BINDS, AND YOU SHOULD NOT TRUST THIS CURVE YET.</t>
        </is>
      </c>
    </row>
    <row r="141">
      <c r="A141" t="inlineStr"/>
    </row>
    <row r="142">
      <c r="A142" t="inlineStr">
        <is>
          <t>Measured: at 50,000 opening and a 250,000 credit line the floor never touches. It only bites</t>
        </is>
      </c>
    </row>
    <row r="143">
      <c r="A143" t="inlineStr">
        <is>
          <t>at about 10,000 + 10,000. The mechanism is real and checked; the farm it is checking is not</t>
        </is>
      </c>
    </row>
    <row r="144">
      <c r="A144" t="inlineStr">
        <is>
          <t>yet paying anybody. Labour is v7, and it is what makes cash mean something.</t>
        </is>
      </c>
    </row>
    <row r="145">
      <c r="A145" t="inlineStr"/>
    </row>
    <row r="146">
      <c r="A146" s="3" t="inlineStr">
        <is>
          <t>WHAT v5 ADDED — both of these you spotted missing from v4</t>
        </is>
      </c>
    </row>
    <row r="147">
      <c r="A147" t="inlineStr"/>
    </row>
    <row r="148">
      <c r="A148" s="4" t="inlineStr">
        <is>
          <t>1. IT CHOOSES WHEN TO PLANT.</t>
        </is>
      </c>
    </row>
    <row r="149">
      <c r="A149" t="inlineStr">
        <is>
          <t xml:space="preserve">   All 68 plantings the app's calendar generator offers are on the sheet, one row per legal</t>
        </is>
      </c>
    </row>
    <row r="150">
      <c r="A150" t="inlineStr">
        <is>
          <t xml:space="preserve">   start week. The solver puts acres on some and zero on others — and zero acres IS the</t>
        </is>
      </c>
    </row>
    <row r="151">
      <c r="A151" t="inlineStr">
        <is>
          <t xml:space="preserve">   decision not to plant that week. v4 offered five that I picked by hand.</t>
        </is>
      </c>
    </row>
    <row r="152">
      <c r="A152" t="inlineStr"/>
    </row>
    <row r="153">
      <c r="A153" s="4" t="inlineStr">
        <is>
          <t>2. IT CHOOSES WHETHER TO PLANT AT ALL.</t>
        </is>
      </c>
    </row>
    <row r="154">
      <c r="A154" t="inlineStr">
        <is>
          <t xml:space="preserve">   The BLUE column is a binary per planting, tied to the acres by two constraints that are</t>
        </is>
      </c>
    </row>
    <row r="155">
      <c r="A155" t="inlineStr">
        <is>
          <t xml:space="preserve">   the app's own C9 and C10:</t>
        </is>
      </c>
    </row>
    <row r="156">
      <c r="A156" t="inlineStr">
        <is>
          <t xml:space="preserve">        acres &lt;= 'max if planted'   you cannot plant acres without deciding to plant</t>
        </is>
      </c>
    </row>
    <row r="157">
      <c r="A157" t="inlineStr">
        <is>
          <t xml:space="preserve">        acres &gt;= 'min if planted'   if you plant at all, you plant a real block</t>
        </is>
      </c>
    </row>
    <row r="158">
      <c r="A158" t="inlineStr">
        <is>
          <t xml:space="preserve">   That is what stops it planting a third of an acre, and it makes this a MILP — which is</t>
        </is>
      </c>
    </row>
    <row r="159">
      <c r="A159" t="inlineStr">
        <is>
          <t xml:space="preserve">   what farm_v2/solver.py is. Its `integrality` array marks the very same y block.</t>
        </is>
      </c>
    </row>
    <row r="160">
      <c r="A160" t="inlineStr"/>
    </row>
    <row r="161">
      <c r="A161" s="3" t="inlineStr">
        <is>
          <t>WHAT THE TWO CHANGES ARE WORTH — measured, and they pull OPPOSITE ways</t>
        </is>
      </c>
    </row>
    <row r="162">
      <c r="A162" t="inlineStr">
        <is>
          <t xml:space="preserve">     v4, five hand-picked plantings          $1,094,831</t>
        </is>
      </c>
    </row>
    <row r="163">
      <c r="A163" t="inlineStr">
        <is>
          <t xml:space="preserve">     v5 without the minimum-acreage rule     $480,306   (50 plantings)</t>
        </is>
      </c>
    </row>
    <row r="164">
      <c r="A164" s="4" t="inlineStr">
        <is>
          <t xml:space="preserve">     v5 as it ships                          $472,091   (35 plantings)</t>
        </is>
      </c>
    </row>
    <row r="165">
      <c r="A165" t="inlineStr"/>
    </row>
    <row r="166">
      <c r="A166" t="inlineStr">
        <is>
          <t>Letting it choose the weeks more than doubles profit. Then the minimum-acreage rule takes</t>
        </is>
      </c>
    </row>
    <row r="167">
      <c r="A167" t="inlineStr">
        <is>
          <t>$8,215 back and drops the plan from 50 plantings to 35, because the</t>
        </is>
      </c>
    </row>
    <row r="168">
      <c r="A168" t="inlineStr">
        <is>
          <t>slivers are gone.</t>
        </is>
      </c>
    </row>
    <row r="169">
      <c r="A169" t="inlineStr"/>
    </row>
    <row r="170">
      <c r="A170" t="inlineStr">
        <is>
          <t>Neither number means anything alone. A fixed calendar UNDERSTATES; a missing minimum</t>
        </is>
      </c>
    </row>
    <row r="171">
      <c r="A171" t="inlineStr">
        <is>
          <t>acreage OVERSTATES. That is why the real model has both, and it is the reason it is a MILP</t>
        </is>
      </c>
    </row>
    <row r="172">
      <c r="A172" t="inlineStr">
        <is>
          <t>rather than a plain LP.</t>
        </is>
      </c>
    </row>
    <row r="173">
      <c r="A173" t="inlineStr"/>
    </row>
    <row r="174">
      <c r="A174" s="3" t="inlineStr">
        <is>
          <t>WHY IT PLANTS SO MANY — this is the finding worth keeping</t>
        </is>
      </c>
    </row>
    <row r="175">
      <c r="A175" t="inlineStr">
        <is>
          <t>35 plantings out of 68, staggered across the season rather than a few big</t>
        </is>
      </c>
    </row>
    <row r="176">
      <c r="A176" t="inlineStr">
        <is>
          <t>blocks. That is SUCCESSION PLANTING, and now you can see why it pays: spreading the harvest</t>
        </is>
      </c>
    </row>
    <row r="177">
      <c r="A177" t="inlineStr">
        <is>
          <t>is what lets you serve a WEEKLY demand cap continuously. Plant it all at once and one huge</t>
        </is>
      </c>
    </row>
    <row r="178">
      <c r="A178" t="inlineStr">
        <is>
          <t>harvest slams into the ceiling, the cooler fills, and the surplus is wasted or dumped cheap.</t>
        </is>
      </c>
    </row>
    <row r="179">
      <c r="A179" t="inlineStr"/>
    </row>
    <row r="180">
      <c r="A180" t="inlineStr">
        <is>
          <t>A model with a fixed planting calendar cannot express the thing the practice exists for.</t>
        </is>
      </c>
    </row>
    <row r="181">
      <c r="A181" t="inlineStr"/>
    </row>
    <row r="182">
      <c r="A182" s="3" t="inlineStr">
        <is>
          <t>!! IT NEEDS LIBREOFFICE, AND THIS ONE IS A REAL MILP</t>
        </is>
      </c>
    </row>
    <row r="183">
      <c r="A183" t="inlineStr">
        <is>
          <t>501 decision cells: 68 acres + 68 binaries + 312 offered + 52 overtime + 1 proposed-hire headcount. The engine MUST be</t>
        </is>
      </c>
    </row>
    <row r="184">
      <c r="A184" t="inlineStr">
        <is>
          <t>CoinMP — it does branch and bound over the integers. Expect it to take appreciably longer</t>
        </is>
      </c>
    </row>
    <row r="185">
      <c r="A185" t="inlineStr">
        <is>
          <t>than v4; integers are what make an optimizer work for its living.</t>
        </is>
      </c>
    </row>
    <row r="186">
      <c r="A186" t="inlineStr"/>
    </row>
    <row r="187">
      <c r="A187" s="3" t="inlineStr">
        <is>
          <t>WHERE THINGS ARE</t>
        </is>
      </c>
    </row>
    <row r="188">
      <c r="A188" t="inlineStr">
        <is>
          <t xml:space="preserve">  YELLOW   you type: the farm, the crop table, the crop x channel table.</t>
        </is>
      </c>
    </row>
    <row r="189">
      <c r="A189" t="inlineStr">
        <is>
          <t xml:space="preserve">  GREEN    the solver writes: the ACRES column (C62:C129), the six OFFERED rows, and</t>
        </is>
      </c>
    </row>
    <row r="190">
      <c r="A190" t="inlineStr">
        <is>
          <t xml:space="preserve">           the PROFIT cell (B327).</t>
        </is>
      </c>
    </row>
    <row r="191">
      <c r="A191" t="inlineStr">
        <is>
          <t xml:space="preserve">  BLUE     the solver writes: the PLANT? binaries (D62:D129).</t>
        </is>
      </c>
    </row>
    <row r="192">
      <c r="A192" t="inlineStr">
        <is>
          <t xml:space="preserve">  Everything else is a formula. Columns A-D stay put when you scroll right.</t>
        </is>
      </c>
    </row>
    <row r="193">
      <c r="A193" t="inlineStr"/>
    </row>
    <row r="194">
      <c r="A194" s="3" t="inlineStr">
        <is>
          <t>HOW TO RUN IT</t>
        </is>
      </c>
    </row>
    <row r="195">
      <c r="A195" t="inlineStr">
        <is>
          <t>Section 7 lists every entry with exact ranges. In short:</t>
        </is>
      </c>
    </row>
    <row r="196">
      <c r="A196" t="inlineStr">
        <is>
          <t xml:space="preserve">   Tools &gt; Solver, target the PROFIT cell, set to MAXIMUM</t>
        </is>
      </c>
    </row>
    <row r="197">
      <c r="A197" t="inlineStr">
        <is>
          <t xml:space="preserve">   Changing cells: C62:C129 and D62:D129 together, plus the six OFFERED rows</t>
        </is>
      </c>
    </row>
    <row r="198">
      <c r="A198" t="inlineStr">
        <is>
          <t xml:space="preserve">   Add the constraint  D62:D129 = Binary   — without it the binaries are just numbers</t>
        </is>
      </c>
    </row>
    <row r="199">
      <c r="A199" t="inlineStr">
        <is>
          <t xml:space="preserve">   and the minimum-acreage rule silently stops working</t>
        </is>
      </c>
    </row>
    <row r="200">
      <c r="A200" t="inlineStr">
        <is>
          <t xml:space="preserve">   Options: engine = LibreOffice CoinMP Linear Solver; tick non-negative</t>
        </is>
      </c>
    </row>
    <row r="201">
      <c r="A201" t="inlineStr"/>
    </row>
    <row r="202">
      <c r="A202" s="3" t="inlineStr">
        <is>
          <t>WHAT IT SHOULD FIND</t>
        </is>
      </c>
    </row>
    <row r="203">
      <c r="A203" s="4" t="inlineStr">
        <is>
          <t xml:space="preserve">     PROFIT   $472,091       net margin 22.7%</t>
        </is>
      </c>
    </row>
    <row r="204">
      <c r="A204" t="inlineStr">
        <is>
          <t xml:space="preserve">       revenue      $2,076,360</t>
        </is>
      </c>
    </row>
    <row r="205">
      <c r="A205" t="inlineStr">
        <is>
          <t xml:space="preserve">       growing      $152,373      seed at planting + fertiliser and fuel in the ground</t>
        </is>
      </c>
    </row>
    <row r="206">
      <c r="A206" t="inlineStr">
        <is>
          <t xml:space="preserve">       packaging    $158,484      per lb sold, in the week of sale</t>
        </is>
      </c>
    </row>
    <row r="207">
      <c r="A207" t="inlineStr">
        <is>
          <t xml:space="preserve">       fixed        $73,514      $1,414 a week, owed whether or not you plant</t>
        </is>
      </c>
    </row>
    <row r="208">
      <c r="A208" t="inlineStr">
        <is>
          <t xml:space="preserve">       overhead     $332,218      a share of revenue</t>
        </is>
      </c>
    </row>
    <row r="209">
      <c r="A209" t="inlineStr">
        <is>
          <t xml:space="preserve">       wages        $855,150      committed — owed whether the crops need the hours or not</t>
        </is>
      </c>
    </row>
    <row r="210">
      <c r="A210" t="inlineStr">
        <is>
          <t xml:space="preserve">       interest     $372          APR on what the credit line actually carries</t>
        </is>
      </c>
    </row>
    <row r="211">
      <c r="A211" t="inlineStr">
        <is>
          <t xml:space="preserve">       overtime     $8,759       212 hours, capped by row 8 week by week</t>
        </is>
      </c>
    </row>
    <row r="212">
      <c r="A212" t="inlineStr">
        <is>
          <t xml:space="preserve">       advisory     $23,400      3 people, weeks 43-49 — 588 hrs committed</t>
        </is>
      </c>
    </row>
    <row r="213">
      <c r="A213" t="inlineStr">
        <is>
          <t xml:space="preserve">     peak borrowing $48,820 — the deepest the line is ever drawn</t>
        </is>
      </c>
    </row>
    <row r="214">
      <c r="A214" t="inlineStr">
        <is>
          <t xml:space="preserve">       interest     $372          on $48,820 of peak borrowing — reported, not optimised over</t>
        </is>
      </c>
    </row>
    <row r="215">
      <c r="A215" s="4" t="inlineStr">
        <is>
          <t xml:space="preserve">     35 of 68 plantings used</t>
        </is>
      </c>
    </row>
    <row r="216">
      <c r="A216" t="inlineStr"/>
    </row>
    <row r="217">
      <c r="A217" t="inlineStr">
        <is>
          <t>Computed by solving the same MILP with scipy.milp — the same HiGHS solver your app runs. A</t>
        </is>
      </c>
    </row>
    <row r="218">
      <c r="A218" t="inlineStr">
        <is>
          <t>few dollars apart is tolerances. Materially different means one of the two models is not the</t>
        </is>
      </c>
    </row>
    <row r="219">
      <c r="A219" t="inlineStr">
        <is>
          <t>model we think it is.</t>
        </is>
      </c>
    </row>
    <row r="220">
      <c r="A220" t="inlineStr"/>
    </row>
    <row r="221">
      <c r="A221" s="3" t="inlineStr">
        <is>
          <t>WHAT SELL-THROUGH IS, AND WHY IT SHIPS AT 1.00</t>
        </is>
      </c>
    </row>
    <row r="222">
      <c r="A222" t="inlineStr">
        <is>
          <t>Every 'Sell-through' in section 3 is 1.00, matching the app since 30 Aug. The 85% it used to</t>
        </is>
      </c>
    </row>
    <row r="223">
      <c r="A223" t="inlineStr">
        <is>
          <t>carry had no source, and it was being charged on channels where a purchase order exists and</t>
        </is>
      </c>
    </row>
    <row r="224">
      <c r="A224" t="inlineStr">
        <is>
          <t>nothing goes unsold. So the market-loss and returned-to-store rows all read ZERO right now.</t>
        </is>
      </c>
    </row>
    <row r="225">
      <c r="A225" t="inlineStr">
        <is>
          <t>That is correct, not broken.</t>
        </is>
      </c>
    </row>
    <row r="226">
      <c r="A226" t="inlineStr"/>
    </row>
    <row r="227">
      <c r="A227" t="inlineStr">
        <is>
          <t>The narrow definition it now carries:</t>
        </is>
      </c>
    </row>
    <row r="228">
      <c r="A228" t="inlineStr"/>
    </row>
    <row r="229">
      <c r="A229" s="4" t="inlineStr">
        <is>
          <t xml:space="preserve">     Of what you TAKE TO MARKET, the share that converts to cash — display attrition at a</t>
        </is>
      </c>
    </row>
    <row r="230">
      <c r="A230" s="4" t="inlineStr">
        <is>
          <t xml:space="preserve">     stall, samples, transit damage, a rejected load.</t>
        </is>
      </c>
    </row>
    <row r="231">
      <c r="A231" t="inlineStr"/>
    </row>
    <row r="232">
      <c r="A232" t="inlineStr">
        <is>
          <t>NOT grade-out at harvest (that is pack-out, above the store). NOT spoilage in the store (that</t>
        </is>
      </c>
    </row>
    <row r="233">
      <c r="A233" t="inlineStr">
        <is>
          <t>is shrink). And NOT demand uncertainty — which is the one worth understanding, because it is</t>
        </is>
      </c>
    </row>
    <row r="234">
      <c r="A234" t="inlineStr">
        <is>
          <t>why the old wording could not be right:</t>
        </is>
      </c>
    </row>
    <row r="235">
      <c r="A235" t="inlineStr"/>
    </row>
    <row r="236">
      <c r="A236" t="inlineStr">
        <is>
          <t xml:space="preserve">     The demand ceiling is HARD. At a 6,000 lb cap and 0.85, selling 6,000 means bringing</t>
        </is>
      </c>
    </row>
    <row r="237">
      <c r="A237" t="inlineStr">
        <is>
          <t xml:space="preserve">     7,059 and losing 1,059 — every week, including the best Saturday of the year, because</t>
        </is>
      </c>
    </row>
    <row r="238">
      <c r="A238" t="inlineStr">
        <is>
          <t xml:space="preserve">     the model will never let you sell 6,001. That is the whole downside of bringing extra</t>
        </is>
      </c>
    </row>
    <row r="239">
      <c r="A239" t="inlineStr">
        <is>
          <t xml:space="preserve">     with none of the upside. It is not a model of uncertainty; it is a one-sided penalty.</t>
        </is>
      </c>
    </row>
    <row r="240">
      <c r="A240" t="inlineStr"/>
    </row>
    <row r="241">
      <c r="A241" t="inlineStr">
        <is>
          <t>So what it CAN mean is a display requirement: a picked-over stall sells less than a full one,</t>
        </is>
      </c>
    </row>
    <row r="242">
      <c r="A242" t="inlineStr">
        <is>
          <t>so moving 6,000 lb needs more than 6,000 lb on the table. Deterministic, and an input</t>
        </is>
      </c>
    </row>
    <row r="243">
      <c r="A243" t="inlineStr">
        <is>
          <t>requirement like seed. Real demand variance is a different problem (newsvendor) needing</t>
        </is>
      </c>
    </row>
    <row r="244">
      <c r="A244" t="inlineStr">
        <is>
          <t>machinery neither this sheet nor the app has yet.</t>
        </is>
      </c>
    </row>
    <row r="245">
      <c r="A245" t="inlineStr"/>
    </row>
    <row r="246">
      <c r="A246" s="3" t="inlineStr">
        <is>
          <t>THREE THINGS TO TRY</t>
        </is>
      </c>
    </row>
    <row r="247">
      <c r="A247" t="inlineStr"/>
    </row>
    <row r="248">
      <c r="A248" s="4" t="inlineStr">
        <is>
          <t>EXPERIMENT 1 — switch sell-through on, and watch the crop decide what happens.</t>
        </is>
      </c>
    </row>
    <row r="249">
      <c r="A249" s="4" t="inlineStr">
        <is>
          <t xml:space="preserve">   In section 3 set Spinach / {CH1} sell-through to 0.85, and Garlic / {CH1} to 0.85 too.</t>
        </is>
      </c>
    </row>
    <row r="250">
      <c r="A250" s="4" t="inlineStr">
        <is>
          <t xml:space="preserve">   Re-solve.</t>
        </is>
      </c>
    </row>
    <row r="251">
      <c r="A251" t="inlineStr">
        <is>
          <t xml:space="preserve">   Both now offer more than they sell. But look at the two 'market loss' rows: Spinach's is</t>
        </is>
      </c>
    </row>
    <row r="252">
      <c r="A252" t="inlineStr">
        <is>
          <t xml:space="preserve">   positive and Garlic's is ZERO, because garlic's 'Returns to store' is 1.00 — unsold garlic</t>
        </is>
      </c>
    </row>
    <row r="253">
      <c r="A253" t="inlineStr">
        <is>
          <t xml:space="preserve">   comes home and sells later, so the loss is a DELAY, not a loss.</t>
        </is>
      </c>
    </row>
    <row r="254">
      <c r="A254" t="inlineStr">
        <is>
          <t xml:space="preserve">   That is the grower's ruling in two cells: the same sell-through means different things on</t>
        </is>
      </c>
    </row>
    <row r="255">
      <c r="A255" t="inlineStr">
        <is>
          <t xml:space="preserve">   different crops, which is why it belongs on the crop x channel row and not on either one</t>
        </is>
      </c>
    </row>
    <row r="256">
      <c r="A256" t="inlineStr">
        <is>
          <t xml:space="preserve">   alone. Now set Garlic's 'Returns to store' to 0.00 and re-solve: the delay becomes a loss</t>
        </is>
      </c>
    </row>
    <row r="257">
      <c r="A257" t="inlineStr">
        <is>
          <t xml:space="preserve">   and the plan changes.</t>
        </is>
      </c>
    </row>
    <row r="258">
      <c r="A258" t="inlineStr"/>
    </row>
    <row r="259">
      <c r="A259" s="4" t="inlineStr">
        <is>
          <t>EXPERIMENT 2 — move the hiring window.  Set the advisory window to 16 and 21, re-solve.</t>
        </is>
      </c>
    </row>
    <row r="260">
      <c r="A260" t="inlineStr">
        <is>
          <t xml:space="preserve">   C2 binds in all six of those weeks, so they LOOK like the place to add people. The solver</t>
        </is>
      </c>
    </row>
    <row r="261">
      <c r="A261" t="inlineStr">
        <is>
          <t xml:space="preserve">   hires nobody, and profit moves by about five dollars. Put it back to 43-49 and it hires</t>
        </is>
      </c>
    </row>
    <row r="262">
      <c r="A262" t="inlineStr">
        <is>
          <t xml:space="preserve">   3 for $23,400. Utilisation tells you where a constraint is tight; it does not tell</t>
        </is>
      </c>
    </row>
    <row r="263">
      <c r="A263" t="inlineStr">
        <is>
          <t xml:space="preserve">   you what relieving it is worth, and only one of those is a hiring decision.</t>
        </is>
      </c>
    </row>
    <row r="264">
      <c r="A264" t="inlineStr"/>
    </row>
    <row r="265">
      <c r="A265" s="4" t="inlineStr">
        <is>
          <t>EXPERIMENT 2b — tighten the overtime allowance.  Set it to 1.00 and re-solve.</t>
        </is>
      </c>
    </row>
    <row r="266">
      <c r="A266" t="inlineStr">
        <is>
          <t xml:space="preserve">   Row 8 goes to zero everywhere and overtime disappears — 1.00 means 'no hours beyond</t>
        </is>
      </c>
    </row>
    <row r="267">
      <c r="A267" t="inlineStr">
        <is>
          <t xml:space="preserve">   normal'. Then try 2.00: the cap doubles in every week, but it doubles PROPORTIONALLY, so</t>
        </is>
      </c>
    </row>
    <row r="268">
      <c r="A268" t="inlineStr">
        <is>
          <t xml:space="preserve">   winter still gets almost none. That is what a typed hours cap could never do.</t>
        </is>
      </c>
    </row>
    <row r="269">
      <c r="A269" t="inlineStr"/>
    </row>
    <row r="270">
      <c r="A270" s="4" t="inlineStr">
        <is>
          <t>EXPERIMENT 3 — sack the harvest crew.  Set the Harvest Crew count to 0 and re-solve.</t>
        </is>
      </c>
    </row>
    <row r="271">
      <c r="A271" t="inlineStr">
        <is>
          <t xml:space="preserve">   You save their whole wage bill. Watch what happens to profit anyway: with fewer hours in</t>
        </is>
      </c>
    </row>
    <row r="272">
      <c r="A272" t="inlineStr">
        <is>
          <t xml:space="preserve">   weeks 14-40 the crops that need picking most cannot be picked, and revenue falls further</t>
        </is>
      </c>
    </row>
    <row r="273">
      <c r="A273" t="inlineStr">
        <is>
          <t xml:space="preserve">   than the wages saved. Then try the opposite — double their count — and watch profit rise</t>
        </is>
      </c>
    </row>
    <row r="274">
      <c r="A274" t="inlineStr">
        <is>
          <t xml:space="preserve">   even though payroll rose too. That is the trade a per-acre labour charge cannot express,</t>
        </is>
      </c>
    </row>
    <row r="275">
      <c r="A275" t="inlineStr">
        <is>
          <t xml:space="preserve">   and it is why the app rations hours with a constraint rather than pricing them.</t>
        </is>
      </c>
    </row>
    <row r="276">
      <c r="A276" t="inlineStr"/>
    </row>
    <row r="277">
      <c r="A277" s="4" t="inlineStr">
        <is>
          <t>EXPERIMENT 4 — squeeze the cash.  Set the credit line to 10,000 and opening cash to 10,000,</t>
        </is>
      </c>
    </row>
    <row r="278">
      <c r="A278" s="4" t="inlineStr">
        <is>
          <t xml:space="preserve">   then re-solve.</t>
        </is>
      </c>
    </row>
    <row r="279">
      <c r="A279" t="inlineStr">
        <is>
          <t xml:space="preserve">   Below about $100,000 combined there is no feasible plan at all — see above. Just above</t>
        </is>
      </c>
    </row>
    <row r="280">
      <c r="A280" t="inlineStr">
        <is>
          <t xml:space="preserve">   it, watch WHICH plantings the floor drops: not the least profitable ones, but</t>
        </is>
      </c>
    </row>
    <row r="281">
      <c r="A281" t="inlineStr">
        <is>
          <t xml:space="preserve">   the ones whose costs land earliest relative to their revenue. Garlic goes in around week</t>
        </is>
      </c>
    </row>
    <row r="282">
      <c r="A282" t="inlineStr">
        <is>
          <t xml:space="preserve">   47 and is not sold until week 30 of the following year — nine months of money out before</t>
        </is>
      </c>
    </row>
    <row r="283">
      <c r="A283" t="inlineStr">
        <is>
          <t xml:space="preserve">   a dollar comes back. Cash does not rank crops by margin; it ranks them by TIMING, which no</t>
        </is>
      </c>
    </row>
    <row r="284">
      <c r="A284" t="inlineStr">
        <is>
          <t xml:space="preserve">   column on this sheet shows you.</t>
        </is>
      </c>
    </row>
    <row r="285">
      <c r="A285" t="inlineStr"/>
    </row>
    <row r="286">
      <c r="A286" s="4" t="inlineStr">
        <is>
          <t>EXPERIMENT 5 — drop the minimum acreage.  Set every 'Min acres if planted' in the crop</t>
        </is>
      </c>
    </row>
    <row r="287">
      <c r="A287" s="4" t="inlineStr">
        <is>
          <t xml:space="preserve">   table to 0 and re-solve.</t>
        </is>
      </c>
    </row>
    <row r="288">
      <c r="A288" t="inlineStr">
        <is>
          <t xml:space="preserve">   Expect $480,306 and 50 plantings. The extra profit is real but the plan is</t>
        </is>
      </c>
    </row>
    <row r="289">
      <c r="A289" t="inlineStr">
        <is>
          <t xml:space="preserve">   not: it plants fractions of an acre no one would drive a tractor out for. This is what</t>
        </is>
      </c>
    </row>
    <row r="290">
      <c r="A290" t="inlineStr">
        <is>
          <t xml:space="preserve">   the binaries are FOR, and it is why the app carries them.</t>
        </is>
      </c>
    </row>
    <row r="291">
      <c r="A291" t="inlineStr"/>
    </row>
    <row r="292">
      <c r="A292" s="4" t="inlineStr">
        <is>
          <t>EXPERIMENT 6 — take away the cooler.  Set the cold store to 40 m3 and re-solve.</t>
        </is>
      </c>
    </row>
    <row r="293">
      <c r="A293" t="inlineStr">
        <is>
          <t xml:space="preserve">   Watch WHICH WEEKS it abandons, not just which crop. With a full calendar it can retreat</t>
        </is>
      </c>
    </row>
    <row r="294">
      <c r="A294" t="inlineStr">
        <is>
          <t xml:space="preserve">   to a planting pattern that keeps the cooler under its ceiling — an answer v4 could not</t>
        </is>
      </c>
    </row>
    <row r="295">
      <c r="A295" t="inlineStr">
        <is>
          <t xml:space="preserve">   even represent.</t>
        </is>
      </c>
    </row>
    <row r="296">
      <c r="A296" t="inlineStr"/>
    </row>
    <row r="297">
      <c r="A297" s="3" t="inlineStr">
        <is>
          <t>WHAT v5 STILL DOES NOT CARRY</t>
        </is>
      </c>
    </row>
    <row r="298">
      <c r="A298" t="inlineStr">
        <is>
          <t xml:space="preserve">  - Costs are seed/transplant per acre ONLY: no labour, water, packaging, storage, overhead.</t>
        </is>
      </c>
    </row>
    <row r="299">
      <c r="A299" t="inlineStr">
        <is>
          <t xml:space="preserve">    Profit is therefore far too high. The cash layer is next.</t>
        </is>
      </c>
    </row>
    <row r="300">
      <c r="A300" t="inlineStr">
        <is>
          <t xml:space="preserve">  - No cash-flow constraint, so it can spend money it does not have.</t>
        </is>
      </c>
    </row>
    <row r="301">
      <c r="A301" t="inlineStr">
        <is>
          <t xml:space="preserve">  - Shelf life IS enforced now (a real constraint since you found it dead). Shrink is wired</t>
        </is>
      </c>
    </row>
    <row r="302">
      <c r="A302" t="inlineStr">
        <is>
          <t xml:space="preserve">    too, but defaults to 0%, so it stays invisible until you set it.</t>
        </is>
      </c>
    </row>
    <row r="303">
      <c r="A303" t="inlineStr">
        <is>
          <t xml:space="preserve">  - No water, labour, diversity or throughput limits.</t>
        </is>
      </c>
    </row>
    <row r="304">
      <c r="A304" t="inlineStr">
        <is>
          <t xml:space="preserve">  - Three crops, not seven.</t>
        </is>
      </c>
    </row>
    <row r="305">
      <c r="A305" t="inlineStr"/>
    </row>
    <row r="306">
      <c r="A306" s="3" t="inlineStr">
        <is>
          <t>!! THE SCALE WARNING</t>
        </is>
      </c>
    </row>
    <row r="307">
      <c r="A307" t="inlineStr">
        <is>
          <t>An optimizer's answer is far more scale-sensitive than a calculator's: which constraint binds,</t>
        </is>
      </c>
    </row>
    <row r="308">
      <c r="A308" t="inlineStr">
        <is>
          <t>and therefore which crop and which WEEK wins, can invert between 3 crops and 7. This teaches</t>
        </is>
      </c>
    </row>
    <row r="309">
      <c r="A309" t="inlineStr">
        <is>
          <t>the machinery. It is not advice about your farm.</t>
        </is>
      </c>
    </row>
    <row r="310">
      <c r="A310" t="inlineStr"/>
    </row>
    <row r="311">
      <c r="A311" s="3" t="inlineStr">
        <is>
          <t>HAS THIS SHEET BEEN CHECKED?</t>
        </is>
      </c>
    </row>
    <row r="312">
      <c r="A312" t="inlineStr">
        <is>
          <t>Yes. Crop data, the calendar and the demand caps are read from the app. The formulas are</t>
        </is>
      </c>
    </row>
    <row r="313">
      <c r="A313" t="inlineStr">
        <is>
          <t>calculated by an engine and compared cell by cell against an independent model under three</t>
        </is>
      </c>
    </row>
    <row r="314">
      <c r="A314" t="inlineStr">
        <is>
          <t>configurations. Every input is perturbed to prove it propagates. No number is frozen. And the</t>
        </is>
      </c>
    </row>
    <row r="315">
      <c r="A315" t="inlineStr">
        <is>
          <t>same MILP is solved with scipy.milp, its answer written into the decision cells, and the</t>
        </is>
      </c>
    </row>
    <row r="316">
      <c r="A316" t="inlineStr">
        <is>
          <t>sheet's own PROFIT cell must reproduce the optimum exactly.</t>
        </is>
      </c>
    </row>
    <row r="317">
      <c r="A317" t="inlineStr">
        <is>
          <t xml:space="preserve">     Run it yourself:   .venv/bin/python toy_models/verify_toy_v8.py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61"/>
  <sheetViews>
    <sheetView workbookViewId="0">
      <pane xSplit="4" topLeftCell="E1" activePane="topRight" state="frozen"/>
      <selection pane="topRight" activeCell="A1" sqref="A1"/>
    </sheetView>
  </sheetViews>
  <sheetFormatPr baseColWidth="8" defaultRowHeight="15"/>
  <cols>
    <col width="30" customWidth="1" min="1" max="1"/>
    <col width="14" customWidth="1" min="2" max="2"/>
    <col width="8" customWidth="1" min="3" max="3"/>
    <col width="6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11" customWidth="1" min="57" max="57"/>
    <col width="11" customWidth="1" min="58" max="58"/>
    <col width="11" customWidth="1" min="59" max="59"/>
  </cols>
  <sheetData>
    <row r="1">
      <c r="A1" s="1" t="inlineStr">
        <is>
          <t>FARM TOY MODEL — v10: labour by position</t>
        </is>
      </c>
      <c r="D1" s="2" t="inlineStr">
        <is>
          <t>BUILT 2026-09-01 00:53   (from source at 98ed569)</t>
        </is>
      </c>
    </row>
    <row r="2">
      <c r="A2" s="4" t="inlineStr">
        <is>
          <t>KEY:</t>
        </is>
      </c>
      <c r="B2" s="5" t="inlineStr">
        <is>
          <t>INPUT — you type here</t>
        </is>
      </c>
      <c r="F2" s="6" t="inlineStr">
        <is>
          <t>DECISION — the solver writes here</t>
        </is>
      </c>
      <c r="J2" s="7" t="inlineStr">
        <is>
          <t>CONSTRAINT — a limit and its room left</t>
        </is>
      </c>
      <c r="N2" s="8" t="inlineStr">
        <is>
          <t>OBJECTIVE — the cell being maximised</t>
        </is>
      </c>
    </row>
    <row r="3">
      <c r="A3" s="2" t="inlineStr">
        <is>
          <t>Everything else is grey. Read the 'READ ME' sheet first.</t>
        </is>
      </c>
    </row>
    <row r="5">
      <c r="A5" s="3" t="inlineStr">
        <is>
          <t>1 — THE FARM</t>
        </is>
      </c>
    </row>
    <row r="6">
      <c r="A6" s="4" t="inlineStr">
        <is>
          <t>Land you have</t>
        </is>
      </c>
      <c r="B6" s="9" t="n">
        <v>80</v>
      </c>
      <c r="C6" s="2" t="inlineStr">
        <is>
          <t>acres</t>
        </is>
      </c>
    </row>
    <row r="7">
      <c r="A7" s="4" t="inlineStr">
        <is>
          <t>Cold store (cooler)</t>
        </is>
      </c>
      <c r="B7" s="10" t="n">
        <v>275</v>
      </c>
      <c r="C7" s="2" t="inlineStr">
        <is>
          <t>m3 — Spinach, Kale</t>
        </is>
      </c>
    </row>
    <row r="8">
      <c r="A8" s="4" t="inlineStr">
        <is>
          <t>Ambient store (barn)</t>
        </is>
      </c>
      <c r="B8" s="10" t="n">
        <v>150</v>
      </c>
      <c r="C8" s="2" t="inlineStr">
        <is>
          <t>m3 — Garlic</t>
        </is>
      </c>
    </row>
    <row r="10">
      <c r="A10" s="3" t="inlineStr">
        <is>
          <t>2 — HOW EACH CROP BEHAVES</t>
        </is>
      </c>
    </row>
    <row r="11">
      <c r="A11" s="11" t="inlineStr">
        <is>
          <t>Crop</t>
        </is>
      </c>
      <c r="B11" s="11" t="inlineStr">
        <is>
          <t>Yield lb/acre</t>
        </is>
      </c>
      <c r="C11" s="11" t="inlineStr">
        <is>
          <t>Pack-out</t>
        </is>
      </c>
      <c r="D11" s="11" t="inlineStr">
        <is>
          <t>m3 per lb</t>
        </is>
      </c>
      <c r="E11" s="11" t="inlineStr">
        <is>
          <t>Store</t>
        </is>
      </c>
      <c r="F11" s="11" t="inlineStr">
        <is>
          <t>Shelf life wk</t>
        </is>
      </c>
      <c r="G11" s="11" t="inlineStr">
        <is>
          <t>Shrink %/wk</t>
        </is>
      </c>
      <c r="H11" s="11" t="inlineStr">
        <is>
          <t>Seed $/acre</t>
        </is>
      </c>
      <c r="I11" s="11" t="inlineStr">
        <is>
          <t>Min acres if planted</t>
        </is>
      </c>
      <c r="J11" s="11" t="inlineStr">
        <is>
          <t>Harvest weeks</t>
        </is>
      </c>
      <c r="K11" s="11" t="inlineStr">
        <is>
          <t>$/ac plant wk</t>
        </is>
      </c>
      <c r="L11" s="11" t="inlineStr">
        <is>
          <t>$/ac grow wk</t>
        </is>
      </c>
      <c r="M11" s="11" t="inlineStr">
        <is>
          <t>$/ac harvest wk</t>
        </is>
      </c>
      <c r="N11" s="11" t="inlineStr">
        <is>
          <t>hrs/ac plant</t>
        </is>
      </c>
      <c r="O11" s="11" t="inlineStr">
        <is>
          <t>hrs/ac grow</t>
        </is>
      </c>
      <c r="P11" s="11" t="inlineStr">
        <is>
          <t>hrs/ac harvest</t>
        </is>
      </c>
    </row>
    <row r="12">
      <c r="A12" s="12" t="inlineStr">
        <is>
          <t>Spinach</t>
        </is>
      </c>
      <c r="B12" s="10" t="n">
        <v>5000</v>
      </c>
      <c r="C12" s="13" t="n">
        <v>1</v>
      </c>
      <c r="D12" s="14" t="n">
        <v>0.002197967741935484</v>
      </c>
      <c r="E12" s="15" t="inlineStr">
        <is>
          <t>Cold</t>
        </is>
      </c>
      <c r="F12" s="16" t="n">
        <v>2</v>
      </c>
      <c r="G12" s="17" t="n">
        <v>0</v>
      </c>
      <c r="H12" s="18" t="n">
        <v>280</v>
      </c>
      <c r="I12" s="9" t="n">
        <v>2</v>
      </c>
      <c r="J12" s="19">
        <f>COUNTIF($E$62:$BD$62,"H")</f>
        <v/>
      </c>
      <c r="K12" s="20" t="n">
        <v>33.895</v>
      </c>
      <c r="L12" s="20" t="n">
        <v>13.32</v>
      </c>
      <c r="M12" s="20" t="n">
        <v>11.285</v>
      </c>
      <c r="N12" s="9" t="n">
        <v>2</v>
      </c>
      <c r="O12" s="9" t="n">
        <v>4</v>
      </c>
      <c r="P12" s="9" t="n">
        <v>50</v>
      </c>
    </row>
    <row r="13">
      <c r="A13" s="12" t="inlineStr">
        <is>
          <t>Kale</t>
        </is>
      </c>
      <c r="B13" s="10" t="n">
        <v>8000</v>
      </c>
      <c r="C13" s="13" t="n">
        <v>1</v>
      </c>
      <c r="D13" s="14" t="n">
        <v>0.003785388888888889</v>
      </c>
      <c r="E13" s="15" t="inlineStr">
        <is>
          <t>Cold</t>
        </is>
      </c>
      <c r="F13" s="16" t="n">
        <v>2</v>
      </c>
      <c r="G13" s="17" t="n">
        <v>0</v>
      </c>
      <c r="H13" s="18" t="n">
        <v>1089</v>
      </c>
      <c r="I13" s="9" t="n">
        <v>2</v>
      </c>
      <c r="J13" s="19">
        <f>COUNTIF($E$97:$BD$97,"H")</f>
        <v/>
      </c>
      <c r="K13" s="20" t="n">
        <v>46.64</v>
      </c>
      <c r="L13" s="20" t="n">
        <v>11.469</v>
      </c>
      <c r="M13" s="20" t="n">
        <v>10.08</v>
      </c>
      <c r="N13" s="9" t="n">
        <v>3</v>
      </c>
      <c r="O13" s="9" t="n">
        <v>2.5</v>
      </c>
      <c r="P13" s="9" t="n">
        <v>22</v>
      </c>
    </row>
    <row r="14">
      <c r="A14" s="12" t="inlineStr">
        <is>
          <t>Garlic</t>
        </is>
      </c>
      <c r="B14" s="10" t="n">
        <v>10000</v>
      </c>
      <c r="C14" s="13" t="n">
        <v>1</v>
      </c>
      <c r="D14" s="14" t="n">
        <v>0.001195385964912281</v>
      </c>
      <c r="E14" s="21" t="inlineStr">
        <is>
          <t>Ambient</t>
        </is>
      </c>
      <c r="F14" s="16" t="n">
        <v>16</v>
      </c>
      <c r="G14" s="17" t="n">
        <v>0</v>
      </c>
      <c r="H14" s="18" t="n">
        <v>2500</v>
      </c>
      <c r="I14" s="9" t="n">
        <v>2</v>
      </c>
      <c r="J14" s="19">
        <f>COUNTIF($E$127:$BD$127,"H")</f>
        <v/>
      </c>
      <c r="K14" s="20" t="n">
        <v>19.4194</v>
      </c>
      <c r="L14" s="20" t="n">
        <v>4.1688</v>
      </c>
      <c r="M14" s="20" t="n">
        <v>19.75</v>
      </c>
      <c r="N14" s="9" t="n">
        <v>6.7</v>
      </c>
      <c r="O14" s="9" t="n">
        <v>0.3</v>
      </c>
      <c r="P14" s="9" t="n">
        <v>75</v>
      </c>
    </row>
    <row r="15">
      <c r="A15" s="2" t="inlineStr">
        <is>
          <t>'Min acres if planted' is what the plant/don't-plant switch enforces — see section 4.</t>
        </is>
      </c>
    </row>
    <row r="17">
      <c r="A17" s="3" t="inlineStr">
        <is>
          <t>3 — WHO BUYS IT   (one row per crop x channel — the grower's ruling)</t>
        </is>
      </c>
    </row>
    <row r="18">
      <c r="A18" s="11" t="inlineStr">
        <is>
          <t>Crop</t>
        </is>
      </c>
      <c r="B18" s="11" t="inlineStr">
        <is>
          <t>Channel</t>
        </is>
      </c>
      <c r="C18" s="11" t="inlineStr">
        <is>
          <t>Cap type</t>
        </is>
      </c>
      <c r="D18" s="11" t="inlineStr">
        <is>
          <t>Cap lb</t>
        </is>
      </c>
      <c r="E18" s="11" t="inlineStr">
        <is>
          <t>From wk</t>
        </is>
      </c>
      <c r="F18" s="11" t="inlineStr">
        <is>
          <t>To wk</t>
        </is>
      </c>
      <c r="G18" s="11" t="inlineStr">
        <is>
          <t>Sell-through</t>
        </is>
      </c>
      <c r="H18" s="11" t="inlineStr">
        <is>
          <t>Returns to store</t>
        </is>
      </c>
      <c r="I18" s="11" t="inlineStr">
        <is>
          <t>Price $/lb</t>
        </is>
      </c>
      <c r="J18" s="11" t="inlineStr">
        <is>
          <t>Packaging $/lb</t>
        </is>
      </c>
    </row>
    <row r="19">
      <c r="A19" s="12" t="inlineStr">
        <is>
          <t>Spinach</t>
        </is>
      </c>
      <c r="B19" s="15" t="inlineStr">
        <is>
          <t>Farmers Market</t>
        </is>
      </c>
      <c r="C19" s="16" t="inlineStr">
        <is>
          <t>Weekly</t>
        </is>
      </c>
      <c r="D19" s="10" t="n">
        <v>6000</v>
      </c>
      <c r="E19" s="16" t="n">
        <v>10</v>
      </c>
      <c r="F19" s="16" t="n">
        <v>48</v>
      </c>
      <c r="G19" s="13" t="n">
        <v>1</v>
      </c>
      <c r="H19" s="13" t="n">
        <v>0</v>
      </c>
      <c r="I19" s="20" t="n">
        <v>2.75</v>
      </c>
      <c r="J19" s="20" t="n">
        <v>0.18</v>
      </c>
    </row>
    <row r="20">
      <c r="A20" s="12" t="inlineStr">
        <is>
          <t>Spinach</t>
        </is>
      </c>
      <c r="B20" s="21" t="inlineStr">
        <is>
          <t>Wholesale</t>
        </is>
      </c>
      <c r="C20" s="16" t="inlineStr">
        <is>
          <t>Weekly</t>
        </is>
      </c>
      <c r="D20" s="10" t="n">
        <v>25000</v>
      </c>
      <c r="E20" s="16" t="n">
        <v>1</v>
      </c>
      <c r="F20" s="16" t="n">
        <v>52</v>
      </c>
      <c r="G20" s="13" t="n">
        <v>1</v>
      </c>
      <c r="H20" s="13" t="n">
        <v>0</v>
      </c>
      <c r="I20" s="20" t="n">
        <v>1</v>
      </c>
      <c r="J20" s="20" t="n">
        <v>0.09</v>
      </c>
    </row>
    <row r="21">
      <c r="A21" s="12" t="inlineStr">
        <is>
          <t>Kale</t>
        </is>
      </c>
      <c r="B21" s="15" t="inlineStr">
        <is>
          <t>Farmers Market</t>
        </is>
      </c>
      <c r="C21" s="16" t="inlineStr">
        <is>
          <t>Weekly</t>
        </is>
      </c>
      <c r="D21" s="10" t="n">
        <v>3500</v>
      </c>
      <c r="E21" s="16" t="n">
        <v>10</v>
      </c>
      <c r="F21" s="16" t="n">
        <v>50</v>
      </c>
      <c r="G21" s="13" t="n">
        <v>1</v>
      </c>
      <c r="H21" s="13" t="n">
        <v>0</v>
      </c>
      <c r="I21" s="20" t="n">
        <v>2</v>
      </c>
      <c r="J21" s="20" t="n">
        <v>0.14</v>
      </c>
    </row>
    <row r="22">
      <c r="A22" s="12" t="inlineStr">
        <is>
          <t>Kale</t>
        </is>
      </c>
      <c r="B22" s="21" t="inlineStr">
        <is>
          <t>Wholesale</t>
        </is>
      </c>
      <c r="C22" s="16" t="inlineStr">
        <is>
          <t>Annual</t>
        </is>
      </c>
      <c r="D22" s="10" t="n">
        <v>500000</v>
      </c>
      <c r="E22" s="16" t="n">
        <v>1</v>
      </c>
      <c r="F22" s="16" t="n">
        <v>52</v>
      </c>
      <c r="G22" s="13" t="n">
        <v>1</v>
      </c>
      <c r="H22" s="13" t="n">
        <v>0</v>
      </c>
      <c r="I22" s="20" t="n">
        <v>0.7</v>
      </c>
      <c r="J22" s="20" t="n">
        <v>0.07000000000000001</v>
      </c>
    </row>
    <row r="23">
      <c r="A23" s="12" t="inlineStr">
        <is>
          <t>Garlic</t>
        </is>
      </c>
      <c r="B23" s="15" t="inlineStr">
        <is>
          <t>Farmers Market</t>
        </is>
      </c>
      <c r="C23" s="16" t="inlineStr">
        <is>
          <t>Weekly</t>
        </is>
      </c>
      <c r="D23" s="10" t="n">
        <v>2000</v>
      </c>
      <c r="E23" s="16" t="n">
        <v>22</v>
      </c>
      <c r="F23" s="16" t="n">
        <v>35</v>
      </c>
      <c r="G23" s="13" t="n">
        <v>1</v>
      </c>
      <c r="H23" s="13" t="n">
        <v>1</v>
      </c>
      <c r="I23" s="20" t="n">
        <v>6</v>
      </c>
      <c r="J23" s="20" t="n">
        <v>0.4</v>
      </c>
    </row>
    <row r="24">
      <c r="A24" s="12" t="inlineStr">
        <is>
          <t>Garlic</t>
        </is>
      </c>
      <c r="B24" s="21" t="inlineStr">
        <is>
          <t>Wholesale</t>
        </is>
      </c>
      <c r="C24" s="16" t="inlineStr">
        <is>
          <t>Weekly</t>
        </is>
      </c>
      <c r="D24" s="10" t="n">
        <v>30000</v>
      </c>
      <c r="E24" s="16" t="n">
        <v>1</v>
      </c>
      <c r="F24" s="16" t="n">
        <v>52</v>
      </c>
      <c r="G24" s="13" t="n">
        <v>1</v>
      </c>
      <c r="H24" s="13" t="n">
        <v>0</v>
      </c>
      <c r="I24" s="20" t="n">
        <v>2.75</v>
      </c>
      <c r="J24" s="20" t="n">
        <v>0.2</v>
      </c>
    </row>
    <row r="26">
      <c r="A26" s="3" t="inlineStr">
        <is>
          <t>3b — THE CREW</t>
        </is>
      </c>
    </row>
    <row r="27">
      <c r="A27" s="11" t="inlineStr">
        <is>
          <t>Position</t>
        </is>
      </c>
      <c r="B27" s="11" t="inlineStr">
        <is>
          <t>Count</t>
        </is>
      </c>
      <c r="C27" s="11" t="inlineStr">
        <is>
          <t>Type</t>
        </is>
      </c>
      <c r="D27" s="11" t="inlineStr">
        <is>
          <t>Wage</t>
        </is>
      </c>
      <c r="E27" s="11" t="inlineStr">
        <is>
          <t>Hours/wk</t>
        </is>
      </c>
      <c r="F27" s="11" t="inlineStr">
        <is>
          <t>Field time %</t>
        </is>
      </c>
      <c r="G27" s="11" t="inlineStr">
        <is>
          <t>From wk</t>
        </is>
      </c>
      <c r="H27" s="11" t="inlineStr">
        <is>
          <t>To wk</t>
        </is>
      </c>
    </row>
    <row r="28">
      <c r="A28" s="12" t="inlineStr">
        <is>
          <t>Farm Manager</t>
        </is>
      </c>
      <c r="B28" s="22" t="n">
        <v>1</v>
      </c>
      <c r="C28" s="12" t="inlineStr">
        <is>
          <t>salary</t>
        </is>
      </c>
      <c r="D28" s="18" t="n">
        <v>95000</v>
      </c>
      <c r="E28" s="22" t="n">
        <v>45</v>
      </c>
      <c r="F28" s="22" t="n">
        <v>80</v>
      </c>
      <c r="G28" s="22" t="n">
        <v>1</v>
      </c>
      <c r="H28" s="22" t="n">
        <v>52</v>
      </c>
    </row>
    <row r="29">
      <c r="A29" s="12" t="inlineStr">
        <is>
          <t>Equipment Operator</t>
        </is>
      </c>
      <c r="B29" s="22" t="n">
        <v>2</v>
      </c>
      <c r="C29" s="12" t="inlineStr">
        <is>
          <t>hourly</t>
        </is>
      </c>
      <c r="D29" s="18" t="n">
        <v>26</v>
      </c>
      <c r="E29" s="22" t="n">
        <v>40</v>
      </c>
      <c r="F29" s="22" t="n">
        <v>90</v>
      </c>
      <c r="G29" s="22" t="n">
        <v>1</v>
      </c>
      <c r="H29" s="22" t="n">
        <v>52</v>
      </c>
    </row>
    <row r="30">
      <c r="A30" s="12" t="inlineStr">
        <is>
          <t>Seasonal Field Crew</t>
        </is>
      </c>
      <c r="B30" s="22" t="n">
        <v>12</v>
      </c>
      <c r="C30" s="12" t="inlineStr">
        <is>
          <t>seasonal</t>
        </is>
      </c>
      <c r="D30" s="18" t="n">
        <v>20</v>
      </c>
      <c r="E30" s="22" t="n">
        <v>40</v>
      </c>
      <c r="F30" s="22" t="n">
        <v>100</v>
      </c>
      <c r="G30" s="22" t="n">
        <v>10</v>
      </c>
      <c r="H30" s="22" t="n">
        <v>42</v>
      </c>
    </row>
    <row r="31">
      <c r="A31" s="12" t="inlineStr">
        <is>
          <t>Harvest Crew</t>
        </is>
      </c>
      <c r="B31" s="22" t="n">
        <v>8</v>
      </c>
      <c r="C31" s="12" t="inlineStr">
        <is>
          <t>seasonal</t>
        </is>
      </c>
      <c r="D31" s="18" t="n">
        <v>19</v>
      </c>
      <c r="E31" s="22" t="n">
        <v>40</v>
      </c>
      <c r="F31" s="22" t="n">
        <v>100</v>
      </c>
      <c r="G31" s="22" t="n">
        <v>14</v>
      </c>
      <c r="H31" s="22" t="n">
        <v>40</v>
      </c>
    </row>
    <row r="32">
      <c r="A32" s="4" t="inlineStr">
        <is>
          <t>Payroll load %</t>
        </is>
      </c>
      <c r="B32" s="23" t="n">
        <v>0.25</v>
      </c>
      <c r="C32" s="2" t="inlineStr">
        <is>
          <t>employer taxes, workers' comp, benefits — applied to EVERY wage, salaried included</t>
        </is>
      </c>
    </row>
    <row r="33">
      <c r="A33" s="4" t="inlineStr">
        <is>
          <t>Overtime multiplier</t>
        </is>
      </c>
      <c r="B33" s="13" t="n">
        <v>1.5</v>
      </c>
      <c r="C33" s="2" t="inlineStr">
        <is>
          <t>your own crew staying late, on top of their blended hourly rate</t>
        </is>
      </c>
    </row>
    <row r="34">
      <c r="A34" s="4" t="inlineStr">
        <is>
          <t>Overtime ALLOWANCE</t>
        </is>
      </c>
      <c r="B34" s="13" t="n">
        <v>1.25</v>
      </c>
      <c r="C34" s="2" t="inlineStr">
        <is>
          <t>1.25 = 'I will let people work 125% of normal hours'. ⚠️ v9 REPLACED a typed hours cap with this. The cap is now DERIVED per week — see the Overtime cap row.</t>
        </is>
      </c>
    </row>
    <row r="35">
      <c r="A35" s="2" t="inlineStr">
        <is>
          <t xml:space="preserve">   v8 typed a flat 200 hrs/week here. On the app's own farm that let 15 of 52 weeks buy MORE overtime than the whole crew's regular hours (185% in winter), and the app's solver took it: 191 overtime hours against 299 crew hours in one week.</t>
        </is>
      </c>
    </row>
    <row r="36">
      <c r="A36" s="2" t="inlineStr">
        <is>
          <t xml:space="preserve">   No flat number can express the rule, because the crew swings 108 to 908 hrs/wk across the year. That is why it is an allowance and not an amount.</t>
        </is>
      </c>
    </row>
    <row r="38">
      <c r="A38" s="3" t="inlineStr">
        <is>
          <t>3c — PROPOSED HIRE  ("what should I take on, and when?")</t>
        </is>
      </c>
    </row>
    <row r="39">
      <c r="A39" s="2" t="inlineStr">
        <is>
          <t xml:space="preserve">   You nominate the WINDOW; the solver picks the HEADCOUNT. The answer is a roster row you can type into 3b above and re-solve.</t>
        </is>
      </c>
    </row>
    <row r="40">
      <c r="A40" s="2" t="inlineStr">
        <is>
          <t xml:space="preserve">   ⚠️ CHARGED FOR THE WHOLE WINDOW, used or not. That is what makes it a hire and not a spot purchase, and it is the same treatment the standing crew gets (W12).</t>
        </is>
      </c>
    </row>
    <row r="41">
      <c r="A41" s="2" t="inlineStr">
        <is>
          <t xml:space="preserve">   Real hiring is a committed block: H-2A wants 60-75 days of lead and guarantees the worker 3/4 of the contract's hours; domestic seasonal wants 8-10 weeks.</t>
        </is>
      </c>
    </row>
    <row r="42">
      <c r="B42" s="11" t="inlineStr">
        <is>
          <t>From wk</t>
        </is>
      </c>
      <c r="C42" s="11" t="inlineStr">
        <is>
          <t>To wk</t>
        </is>
      </c>
      <c r="D42" s="11" t="inlineStr">
        <is>
          <t>Hours/wk each</t>
        </is>
      </c>
      <c r="E42" s="11" t="inlineStr">
        <is>
          <t>Field time %</t>
        </is>
      </c>
      <c r="F42" s="11" t="inlineStr">
        <is>
          <t>Wage $/hr</t>
        </is>
      </c>
      <c r="G42" s="11" t="inlineStr">
        <is>
          <t>Max people available</t>
        </is>
      </c>
      <c r="H42" s="11" t="inlineStr">
        <is>
          <t>Productivity %</t>
        </is>
      </c>
      <c r="I42" s="11" t="inlineStr">
        <is>
          <t>$ per head</t>
        </is>
      </c>
    </row>
    <row r="43">
      <c r="A43" s="4" t="inlineStr">
        <is>
          <t>Proposed hire</t>
        </is>
      </c>
      <c r="B43" s="22" t="n">
        <v>43</v>
      </c>
      <c r="C43" s="22" t="n">
        <v>49</v>
      </c>
      <c r="D43" s="22" t="n">
        <v>40</v>
      </c>
      <c r="E43" s="22" t="n">
        <v>100</v>
      </c>
      <c r="F43" s="20" t="n">
        <v>20</v>
      </c>
      <c r="G43" s="22" t="n">
        <v>20</v>
      </c>
      <c r="H43" s="22" t="n">
        <v>70</v>
      </c>
      <c r="I43" s="18" t="n">
        <v>800</v>
      </c>
    </row>
    <row r="44">
      <c r="A44" s="2" t="inlineStr">
        <is>
          <t xml:space="preserve">   ⚠️ PRODUCTIVITY % and $ PER HEAD are new, and without them the hire was unbeatable: $25.00/hr all-in against overtime at $37.84-48.75, so the solver took 18 of the 20 heads on offer.</t>
        </is>
      </c>
    </row>
    <row r="45">
      <c r="A45" s="2" t="inlineStr">
        <is>
          <t xml:space="preserve">   A green seasonal picker is not as fast as your harvest crew. At 70% you pay for 40 hours and get 28 hours of trained-crew work — an effective $35.71/hr, which is a real contest with overtime. The two meet at about 65%.</t>
        </is>
      </c>
    </row>
    <row r="46">
      <c r="A46" s="2" t="inlineStr">
        <is>
          <t xml:space="preserve">   $ per head is recruitment, onboarding and transport: paid per PERSON, once, not per hour. It is what makes 18 casual hires cost more than 4 regardless of hours — and why H-2A, at ~$10,000/worker of non-wage cost, is not an 80-acre instrument.</t>
        </is>
      </c>
    </row>
    <row r="47">
      <c r="A47" s="24" t="inlineStr">
        <is>
          <t>PEOPLE TO HIRE</t>
        </is>
      </c>
      <c r="B47" s="25" t="n">
        <v>0</v>
      </c>
      <c r="C47" s="2" t="inlineStr">
        <is>
          <t>&lt;-- SOLVER (whole people, an INTEGER — 'hire 7.3 people' is not an instruction)</t>
        </is>
      </c>
    </row>
    <row r="48">
      <c r="A48" s="26" t="inlineStr">
        <is>
          <t>Cost per person per week</t>
        </is>
      </c>
      <c r="B48" s="27">
        <f>$D$43*$F$43*(1+$B$32)</f>
        <v/>
      </c>
    </row>
    <row r="49">
      <c r="A49" s="26" t="inlineStr">
        <is>
          <t>Weeks in the window</t>
        </is>
      </c>
      <c r="B49" s="19">
        <f>$C$43-$B$43+1</f>
        <v/>
      </c>
    </row>
    <row r="50">
      <c r="A50" s="4" t="inlineStr">
        <is>
          <t>TOTAL committed cost</t>
        </is>
      </c>
      <c r="B50" s="27">
        <f>$B$47*($B$48*$B$49+$I$43)</f>
        <v/>
      </c>
    </row>
    <row r="51">
      <c r="A51" s="2" t="inlineStr">
        <is>
          <t xml:space="preserve">   Weekly wage for every week of the window, plus $ per head once.</t>
        </is>
      </c>
    </row>
    <row r="52">
      <c r="A52" s="28" t="inlineStr">
        <is>
          <t>Room left to hire</t>
        </is>
      </c>
      <c r="B52" s="29">
        <f>$G$43-$B$47</f>
        <v/>
      </c>
      <c r="C52" s="2" t="inlineStr">
        <is>
          <t>how many more hands you said you could find — the availability question the research says is the real uncertainty</t>
        </is>
      </c>
    </row>
    <row r="53">
      <c r="A53" s="2" t="inlineStr">
        <is>
          <t xml:space="preserve">   ⚠️ The window is YOUR call and it matters more than the headcount. Measured on this farm: hiring into weeks 16-21, where C2 binds for six weeks straight, is worth $5. Weeks 43-49 are worth $58,253.</t>
        </is>
      </c>
    </row>
    <row r="54">
      <c r="A54" s="2" t="inlineStr">
        <is>
          <t xml:space="preserve">   A week where labour BINDS is not the same as a week where more labour PAYS, and reading the binding weeks off the sheet would send you to the wrong one.</t>
        </is>
      </c>
    </row>
    <row r="56">
      <c r="A56" s="2" t="inlineStr">
        <is>
          <t>A salary wage is $/YEAR; hourly and seasonal are $/HOUR. 'Field time %' is the share of paid hours available to the crops —</t>
        </is>
      </c>
    </row>
    <row r="57">
      <c r="A57" s="2" t="inlineStr">
        <is>
          <t>the rest is admin and maintenance. It reduces CAPACITY without reducing the WAGE.</t>
        </is>
      </c>
    </row>
    <row r="59">
      <c r="A59" s="3" t="inlineStr">
        <is>
          <t>4 — THE PLANTING CALENDAR   (68 possible plantings — the solver picks)</t>
        </is>
      </c>
    </row>
    <row r="60">
      <c r="A60" s="2" t="inlineStr">
        <is>
          <t>One row per legal start week, exactly what the app's generator offers. ACRES and PLANT? are both decisions.</t>
        </is>
      </c>
    </row>
    <row r="61">
      <c r="A61" s="30" t="inlineStr">
        <is>
          <t>Succession</t>
        </is>
      </c>
      <c r="B61" s="30" t="inlineStr">
        <is>
          <t>Crop</t>
        </is>
      </c>
      <c r="C61" s="24" t="inlineStr">
        <is>
          <t>ACRES</t>
        </is>
      </c>
      <c r="D61" s="24" t="inlineStr">
        <is>
          <t>PLANT?</t>
        </is>
      </c>
      <c r="E61" s="31" t="n">
        <v>1</v>
      </c>
      <c r="F61" s="31" t="n">
        <v>2</v>
      </c>
      <c r="G61" s="31" t="n">
        <v>3</v>
      </c>
      <c r="H61" s="31" t="n">
        <v>4</v>
      </c>
      <c r="I61" s="31" t="n">
        <v>5</v>
      </c>
      <c r="J61" s="31" t="n">
        <v>6</v>
      </c>
      <c r="K61" s="31" t="n">
        <v>7</v>
      </c>
      <c r="L61" s="31" t="n">
        <v>8</v>
      </c>
      <c r="M61" s="31" t="n">
        <v>9</v>
      </c>
      <c r="N61" s="31" t="n">
        <v>10</v>
      </c>
      <c r="O61" s="31" t="n">
        <v>11</v>
      </c>
      <c r="P61" s="31" t="n">
        <v>12</v>
      </c>
      <c r="Q61" s="31" t="n">
        <v>13</v>
      </c>
      <c r="R61" s="31" t="n">
        <v>14</v>
      </c>
      <c r="S61" s="31" t="n">
        <v>15</v>
      </c>
      <c r="T61" s="31" t="n">
        <v>16</v>
      </c>
      <c r="U61" s="31" t="n">
        <v>17</v>
      </c>
      <c r="V61" s="31" t="n">
        <v>18</v>
      </c>
      <c r="W61" s="31" t="n">
        <v>19</v>
      </c>
      <c r="X61" s="31" t="n">
        <v>20</v>
      </c>
      <c r="Y61" s="31" t="n">
        <v>21</v>
      </c>
      <c r="Z61" s="31" t="n">
        <v>22</v>
      </c>
      <c r="AA61" s="31" t="n">
        <v>23</v>
      </c>
      <c r="AB61" s="31" t="n">
        <v>24</v>
      </c>
      <c r="AC61" s="31" t="n">
        <v>25</v>
      </c>
      <c r="AD61" s="31" t="n">
        <v>26</v>
      </c>
      <c r="AE61" s="31" t="n">
        <v>27</v>
      </c>
      <c r="AF61" s="31" t="n">
        <v>28</v>
      </c>
      <c r="AG61" s="31" t="n">
        <v>29</v>
      </c>
      <c r="AH61" s="31" t="n">
        <v>30</v>
      </c>
      <c r="AI61" s="31" t="n">
        <v>31</v>
      </c>
      <c r="AJ61" s="31" t="n">
        <v>32</v>
      </c>
      <c r="AK61" s="31" t="n">
        <v>33</v>
      </c>
      <c r="AL61" s="31" t="n">
        <v>34</v>
      </c>
      <c r="AM61" s="31" t="n">
        <v>35</v>
      </c>
      <c r="AN61" s="31" t="n">
        <v>36</v>
      </c>
      <c r="AO61" s="31" t="n">
        <v>37</v>
      </c>
      <c r="AP61" s="31" t="n">
        <v>38</v>
      </c>
      <c r="AQ61" s="31" t="n">
        <v>39</v>
      </c>
      <c r="AR61" s="31" t="n">
        <v>40</v>
      </c>
      <c r="AS61" s="31" t="n">
        <v>41</v>
      </c>
      <c r="AT61" s="31" t="n">
        <v>42</v>
      </c>
      <c r="AU61" s="31" t="n">
        <v>43</v>
      </c>
      <c r="AV61" s="31" t="n">
        <v>44</v>
      </c>
      <c r="AW61" s="31" t="n">
        <v>45</v>
      </c>
      <c r="AX61" s="31" t="n">
        <v>46</v>
      </c>
      <c r="AY61" s="31" t="n">
        <v>47</v>
      </c>
      <c r="AZ61" s="31" t="n">
        <v>48</v>
      </c>
      <c r="BA61" s="31" t="n">
        <v>49</v>
      </c>
      <c r="BB61" s="31" t="n">
        <v>50</v>
      </c>
      <c r="BC61" s="31" t="n">
        <v>51</v>
      </c>
      <c r="BD61" s="31" t="n">
        <v>52</v>
      </c>
      <c r="BE61" s="32" t="inlineStr">
        <is>
          <t>max if planted</t>
        </is>
      </c>
      <c r="BF61" s="32" t="inlineStr">
        <is>
          <t>min if planted</t>
        </is>
      </c>
      <c r="BG61" s="32" t="inlineStr">
        <is>
          <t>starts wk</t>
        </is>
      </c>
    </row>
    <row r="62">
      <c r="A62" s="26" t="inlineStr">
        <is>
          <t>Spinach W05</t>
        </is>
      </c>
      <c r="B62" s="26" t="inlineStr">
        <is>
          <t>Spinach</t>
        </is>
      </c>
      <c r="C62" s="33" t="n">
        <v>0</v>
      </c>
      <c r="D62" s="34" t="n">
        <v>0</v>
      </c>
      <c r="I62" s="35" t="inlineStr">
        <is>
          <t>P</t>
        </is>
      </c>
      <c r="J62" s="35" t="inlineStr">
        <is>
          <t>G</t>
        </is>
      </c>
      <c r="K62" s="35" t="inlineStr">
        <is>
          <t>G</t>
        </is>
      </c>
      <c r="L62" s="35" t="inlineStr">
        <is>
          <t>G</t>
        </is>
      </c>
      <c r="M62" s="35" t="inlineStr">
        <is>
          <t>G</t>
        </is>
      </c>
      <c r="N62" s="35" t="inlineStr">
        <is>
          <t>G</t>
        </is>
      </c>
      <c r="O62" s="35" t="inlineStr">
        <is>
          <t>H</t>
        </is>
      </c>
      <c r="P62" s="35" t="inlineStr">
        <is>
          <t>H</t>
        </is>
      </c>
      <c r="BE62" s="36">
        <f>D62*$B$6</f>
        <v/>
      </c>
      <c r="BF62" s="36">
        <f>D62*$I$12</f>
        <v/>
      </c>
      <c r="BG62" s="37">
        <f>MATCH("P",$E62:$BD62,0)</f>
        <v/>
      </c>
    </row>
    <row r="63">
      <c r="A63" s="26" t="inlineStr">
        <is>
          <t>Spinach W06</t>
        </is>
      </c>
      <c r="B63" s="26" t="inlineStr">
        <is>
          <t>Spinach</t>
        </is>
      </c>
      <c r="C63" s="33" t="n">
        <v>0</v>
      </c>
      <c r="D63" s="34" t="n">
        <v>0</v>
      </c>
      <c r="J63" s="35" t="inlineStr">
        <is>
          <t>P</t>
        </is>
      </c>
      <c r="K63" s="35" t="inlineStr">
        <is>
          <t>G</t>
        </is>
      </c>
      <c r="L63" s="35" t="inlineStr">
        <is>
          <t>G</t>
        </is>
      </c>
      <c r="M63" s="35" t="inlineStr">
        <is>
          <t>G</t>
        </is>
      </c>
      <c r="N63" s="35" t="inlineStr">
        <is>
          <t>G</t>
        </is>
      </c>
      <c r="O63" s="35" t="inlineStr">
        <is>
          <t>G</t>
        </is>
      </c>
      <c r="P63" s="35" t="inlineStr">
        <is>
          <t>H</t>
        </is>
      </c>
      <c r="Q63" s="35" t="inlineStr">
        <is>
          <t>H</t>
        </is>
      </c>
      <c r="BE63" s="36">
        <f>D63*$B$6</f>
        <v/>
      </c>
      <c r="BF63" s="36">
        <f>D63*$I$12</f>
        <v/>
      </c>
      <c r="BG63" s="37">
        <f>MATCH("P",$E63:$BD63,0)</f>
        <v/>
      </c>
    </row>
    <row r="64">
      <c r="A64" s="26" t="inlineStr">
        <is>
          <t>Spinach W07</t>
        </is>
      </c>
      <c r="B64" s="26" t="inlineStr">
        <is>
          <t>Spinach</t>
        </is>
      </c>
      <c r="C64" s="33" t="n">
        <v>0</v>
      </c>
      <c r="D64" s="34" t="n">
        <v>0</v>
      </c>
      <c r="K64" s="35" t="inlineStr">
        <is>
          <t>P</t>
        </is>
      </c>
      <c r="L64" s="35" t="inlineStr">
        <is>
          <t>G</t>
        </is>
      </c>
      <c r="M64" s="35" t="inlineStr">
        <is>
          <t>G</t>
        </is>
      </c>
      <c r="N64" s="35" t="inlineStr">
        <is>
          <t>G</t>
        </is>
      </c>
      <c r="O64" s="35" t="inlineStr">
        <is>
          <t>G</t>
        </is>
      </c>
      <c r="P64" s="35" t="inlineStr">
        <is>
          <t>G</t>
        </is>
      </c>
      <c r="Q64" s="35" t="inlineStr">
        <is>
          <t>H</t>
        </is>
      </c>
      <c r="R64" s="35" t="inlineStr">
        <is>
          <t>H</t>
        </is>
      </c>
      <c r="BE64" s="36">
        <f>D64*$B$6</f>
        <v/>
      </c>
      <c r="BF64" s="36">
        <f>D64*$I$12</f>
        <v/>
      </c>
      <c r="BG64" s="37">
        <f>MATCH("P",$E64:$BD64,0)</f>
        <v/>
      </c>
    </row>
    <row r="65">
      <c r="A65" s="26" t="inlineStr">
        <is>
          <t>Spinach W08</t>
        </is>
      </c>
      <c r="B65" s="26" t="inlineStr">
        <is>
          <t>Spinach</t>
        </is>
      </c>
      <c r="C65" s="33" t="n">
        <v>0</v>
      </c>
      <c r="D65" s="34" t="n">
        <v>0</v>
      </c>
      <c r="L65" s="35" t="inlineStr">
        <is>
          <t>P</t>
        </is>
      </c>
      <c r="M65" s="35" t="inlineStr">
        <is>
          <t>G</t>
        </is>
      </c>
      <c r="N65" s="35" t="inlineStr">
        <is>
          <t>G</t>
        </is>
      </c>
      <c r="O65" s="35" t="inlineStr">
        <is>
          <t>G</t>
        </is>
      </c>
      <c r="P65" s="35" t="inlineStr">
        <is>
          <t>G</t>
        </is>
      </c>
      <c r="Q65" s="35" t="inlineStr">
        <is>
          <t>G</t>
        </is>
      </c>
      <c r="R65" s="35" t="inlineStr">
        <is>
          <t>H</t>
        </is>
      </c>
      <c r="S65" s="35" t="inlineStr">
        <is>
          <t>H</t>
        </is>
      </c>
      <c r="BE65" s="36">
        <f>D65*$B$6</f>
        <v/>
      </c>
      <c r="BF65" s="36">
        <f>D65*$I$12</f>
        <v/>
      </c>
      <c r="BG65" s="37">
        <f>MATCH("P",$E65:$BD65,0)</f>
        <v/>
      </c>
    </row>
    <row r="66">
      <c r="A66" s="26" t="inlineStr">
        <is>
          <t>Spinach W09</t>
        </is>
      </c>
      <c r="B66" s="26" t="inlineStr">
        <is>
          <t>Spinach</t>
        </is>
      </c>
      <c r="C66" s="33" t="n">
        <v>0</v>
      </c>
      <c r="D66" s="34" t="n">
        <v>0</v>
      </c>
      <c r="M66" s="35" t="inlineStr">
        <is>
          <t>P</t>
        </is>
      </c>
      <c r="N66" s="35" t="inlineStr">
        <is>
          <t>G</t>
        </is>
      </c>
      <c r="O66" s="35" t="inlineStr">
        <is>
          <t>G</t>
        </is>
      </c>
      <c r="P66" s="35" t="inlineStr">
        <is>
          <t>G</t>
        </is>
      </c>
      <c r="Q66" s="35" t="inlineStr">
        <is>
          <t>G</t>
        </is>
      </c>
      <c r="R66" s="35" t="inlineStr">
        <is>
          <t>G</t>
        </is>
      </c>
      <c r="S66" s="35" t="inlineStr">
        <is>
          <t>H</t>
        </is>
      </c>
      <c r="T66" s="35" t="inlineStr">
        <is>
          <t>H</t>
        </is>
      </c>
      <c r="BE66" s="36">
        <f>D66*$B$6</f>
        <v/>
      </c>
      <c r="BF66" s="36">
        <f>D66*$I$12</f>
        <v/>
      </c>
      <c r="BG66" s="37">
        <f>MATCH("P",$E66:$BD66,0)</f>
        <v/>
      </c>
    </row>
    <row r="67">
      <c r="A67" s="26" t="inlineStr">
        <is>
          <t>Spinach W10</t>
        </is>
      </c>
      <c r="B67" s="26" t="inlineStr">
        <is>
          <t>Spinach</t>
        </is>
      </c>
      <c r="C67" s="33" t="n">
        <v>0</v>
      </c>
      <c r="D67" s="34" t="n">
        <v>0</v>
      </c>
      <c r="N67" s="35" t="inlineStr">
        <is>
          <t>P</t>
        </is>
      </c>
      <c r="O67" s="35" t="inlineStr">
        <is>
          <t>G</t>
        </is>
      </c>
      <c r="P67" s="35" t="inlineStr">
        <is>
          <t>G</t>
        </is>
      </c>
      <c r="Q67" s="35" t="inlineStr">
        <is>
          <t>G</t>
        </is>
      </c>
      <c r="R67" s="35" t="inlineStr">
        <is>
          <t>G</t>
        </is>
      </c>
      <c r="S67" s="35" t="inlineStr">
        <is>
          <t>G</t>
        </is>
      </c>
      <c r="T67" s="35" t="inlineStr">
        <is>
          <t>H</t>
        </is>
      </c>
      <c r="U67" s="35" t="inlineStr">
        <is>
          <t>H</t>
        </is>
      </c>
      <c r="BE67" s="36">
        <f>D67*$B$6</f>
        <v/>
      </c>
      <c r="BF67" s="36">
        <f>D67*$I$12</f>
        <v/>
      </c>
      <c r="BG67" s="37">
        <f>MATCH("P",$E67:$BD67,0)</f>
        <v/>
      </c>
    </row>
    <row r="68">
      <c r="A68" s="26" t="inlineStr">
        <is>
          <t>Spinach W11</t>
        </is>
      </c>
      <c r="B68" s="26" t="inlineStr">
        <is>
          <t>Spinach</t>
        </is>
      </c>
      <c r="C68" s="33" t="n">
        <v>0</v>
      </c>
      <c r="D68" s="34" t="n">
        <v>0</v>
      </c>
      <c r="O68" s="35" t="inlineStr">
        <is>
          <t>P</t>
        </is>
      </c>
      <c r="P68" s="35" t="inlineStr">
        <is>
          <t>G</t>
        </is>
      </c>
      <c r="Q68" s="35" t="inlineStr">
        <is>
          <t>G</t>
        </is>
      </c>
      <c r="R68" s="35" t="inlineStr">
        <is>
          <t>G</t>
        </is>
      </c>
      <c r="S68" s="35" t="inlineStr">
        <is>
          <t>G</t>
        </is>
      </c>
      <c r="T68" s="35" t="inlineStr">
        <is>
          <t>G</t>
        </is>
      </c>
      <c r="U68" s="35" t="inlineStr">
        <is>
          <t>H</t>
        </is>
      </c>
      <c r="V68" s="35" t="inlineStr">
        <is>
          <t>H</t>
        </is>
      </c>
      <c r="BE68" s="36">
        <f>D68*$B$6</f>
        <v/>
      </c>
      <c r="BF68" s="36">
        <f>D68*$I$12</f>
        <v/>
      </c>
      <c r="BG68" s="37">
        <f>MATCH("P",$E68:$BD68,0)</f>
        <v/>
      </c>
    </row>
    <row r="69">
      <c r="A69" s="26" t="inlineStr">
        <is>
          <t>Spinach W12</t>
        </is>
      </c>
      <c r="B69" s="26" t="inlineStr">
        <is>
          <t>Spinach</t>
        </is>
      </c>
      <c r="C69" s="33" t="n">
        <v>0</v>
      </c>
      <c r="D69" s="34" t="n">
        <v>0</v>
      </c>
      <c r="P69" s="35" t="inlineStr">
        <is>
          <t>P</t>
        </is>
      </c>
      <c r="Q69" s="35" t="inlineStr">
        <is>
          <t>G</t>
        </is>
      </c>
      <c r="R69" s="35" t="inlineStr">
        <is>
          <t>G</t>
        </is>
      </c>
      <c r="S69" s="35" t="inlineStr">
        <is>
          <t>G</t>
        </is>
      </c>
      <c r="T69" s="35" t="inlineStr">
        <is>
          <t>G</t>
        </is>
      </c>
      <c r="U69" s="35" t="inlineStr">
        <is>
          <t>G</t>
        </is>
      </c>
      <c r="V69" s="35" t="inlineStr">
        <is>
          <t>H</t>
        </is>
      </c>
      <c r="W69" s="35" t="inlineStr">
        <is>
          <t>H</t>
        </is>
      </c>
      <c r="BE69" s="36">
        <f>D69*$B$6</f>
        <v/>
      </c>
      <c r="BF69" s="36">
        <f>D69*$I$12</f>
        <v/>
      </c>
      <c r="BG69" s="37">
        <f>MATCH("P",$E69:$BD69,0)</f>
        <v/>
      </c>
    </row>
    <row r="70">
      <c r="A70" s="26" t="inlineStr">
        <is>
          <t>Spinach W13</t>
        </is>
      </c>
      <c r="B70" s="26" t="inlineStr">
        <is>
          <t>Spinach</t>
        </is>
      </c>
      <c r="C70" s="33" t="n">
        <v>0</v>
      </c>
      <c r="D70" s="34" t="n">
        <v>0</v>
      </c>
      <c r="Q70" s="35" t="inlineStr">
        <is>
          <t>P</t>
        </is>
      </c>
      <c r="R70" s="35" t="inlineStr">
        <is>
          <t>G</t>
        </is>
      </c>
      <c r="S70" s="35" t="inlineStr">
        <is>
          <t>G</t>
        </is>
      </c>
      <c r="T70" s="35" t="inlineStr">
        <is>
          <t>G</t>
        </is>
      </c>
      <c r="U70" s="35" t="inlineStr">
        <is>
          <t>G</t>
        </is>
      </c>
      <c r="V70" s="35" t="inlineStr">
        <is>
          <t>G</t>
        </is>
      </c>
      <c r="W70" s="35" t="inlineStr">
        <is>
          <t>H</t>
        </is>
      </c>
      <c r="X70" s="35" t="inlineStr">
        <is>
          <t>H</t>
        </is>
      </c>
      <c r="BE70" s="36">
        <f>D70*$B$6</f>
        <v/>
      </c>
      <c r="BF70" s="36">
        <f>D70*$I$12</f>
        <v/>
      </c>
      <c r="BG70" s="37">
        <f>MATCH("P",$E70:$BD70,0)</f>
        <v/>
      </c>
    </row>
    <row r="71">
      <c r="A71" s="26" t="inlineStr">
        <is>
          <t>Spinach W14</t>
        </is>
      </c>
      <c r="B71" s="26" t="inlineStr">
        <is>
          <t>Spinach</t>
        </is>
      </c>
      <c r="C71" s="33" t="n">
        <v>0</v>
      </c>
      <c r="D71" s="34" t="n">
        <v>0</v>
      </c>
      <c r="R71" s="35" t="inlineStr">
        <is>
          <t>P</t>
        </is>
      </c>
      <c r="S71" s="35" t="inlineStr">
        <is>
          <t>G</t>
        </is>
      </c>
      <c r="T71" s="35" t="inlineStr">
        <is>
          <t>G</t>
        </is>
      </c>
      <c r="U71" s="35" t="inlineStr">
        <is>
          <t>G</t>
        </is>
      </c>
      <c r="V71" s="35" t="inlineStr">
        <is>
          <t>G</t>
        </is>
      </c>
      <c r="W71" s="35" t="inlineStr">
        <is>
          <t>G</t>
        </is>
      </c>
      <c r="X71" s="35" t="inlineStr">
        <is>
          <t>H</t>
        </is>
      </c>
      <c r="Y71" s="35" t="inlineStr">
        <is>
          <t>H</t>
        </is>
      </c>
      <c r="BE71" s="36">
        <f>D71*$B$6</f>
        <v/>
      </c>
      <c r="BF71" s="36">
        <f>D71*$I$12</f>
        <v/>
      </c>
      <c r="BG71" s="37">
        <f>MATCH("P",$E71:$BD71,0)</f>
        <v/>
      </c>
    </row>
    <row r="72">
      <c r="A72" s="26" t="inlineStr">
        <is>
          <t>Spinach W15</t>
        </is>
      </c>
      <c r="B72" s="26" t="inlineStr">
        <is>
          <t>Spinach</t>
        </is>
      </c>
      <c r="C72" s="33" t="n">
        <v>0</v>
      </c>
      <c r="D72" s="34" t="n">
        <v>0</v>
      </c>
      <c r="S72" s="35" t="inlineStr">
        <is>
          <t>P</t>
        </is>
      </c>
      <c r="T72" s="35" t="inlineStr">
        <is>
          <t>G</t>
        </is>
      </c>
      <c r="U72" s="35" t="inlineStr">
        <is>
          <t>G</t>
        </is>
      </c>
      <c r="V72" s="35" t="inlineStr">
        <is>
          <t>G</t>
        </is>
      </c>
      <c r="W72" s="35" t="inlineStr">
        <is>
          <t>G</t>
        </is>
      </c>
      <c r="X72" s="35" t="inlineStr">
        <is>
          <t>G</t>
        </is>
      </c>
      <c r="Y72" s="35" t="inlineStr">
        <is>
          <t>H</t>
        </is>
      </c>
      <c r="Z72" s="35" t="inlineStr">
        <is>
          <t>H</t>
        </is>
      </c>
      <c r="BE72" s="36">
        <f>D72*$B$6</f>
        <v/>
      </c>
      <c r="BF72" s="36">
        <f>D72*$I$12</f>
        <v/>
      </c>
      <c r="BG72" s="37">
        <f>MATCH("P",$E72:$BD72,0)</f>
        <v/>
      </c>
    </row>
    <row r="73">
      <c r="A73" s="26" t="inlineStr">
        <is>
          <t>Spinach W16</t>
        </is>
      </c>
      <c r="B73" s="26" t="inlineStr">
        <is>
          <t>Spinach</t>
        </is>
      </c>
      <c r="C73" s="33" t="n">
        <v>0</v>
      </c>
      <c r="D73" s="34" t="n">
        <v>0</v>
      </c>
      <c r="T73" s="35" t="inlineStr">
        <is>
          <t>P</t>
        </is>
      </c>
      <c r="U73" s="35" t="inlineStr">
        <is>
          <t>G</t>
        </is>
      </c>
      <c r="V73" s="35" t="inlineStr">
        <is>
          <t>G</t>
        </is>
      </c>
      <c r="W73" s="35" t="inlineStr">
        <is>
          <t>G</t>
        </is>
      </c>
      <c r="X73" s="35" t="inlineStr">
        <is>
          <t>G</t>
        </is>
      </c>
      <c r="Y73" s="35" t="inlineStr">
        <is>
          <t>G</t>
        </is>
      </c>
      <c r="Z73" s="35" t="inlineStr">
        <is>
          <t>H</t>
        </is>
      </c>
      <c r="AA73" s="35" t="inlineStr">
        <is>
          <t>H</t>
        </is>
      </c>
      <c r="BE73" s="36">
        <f>D73*$B$6</f>
        <v/>
      </c>
      <c r="BF73" s="36">
        <f>D73*$I$12</f>
        <v/>
      </c>
      <c r="BG73" s="37">
        <f>MATCH("P",$E73:$BD73,0)</f>
        <v/>
      </c>
    </row>
    <row r="74">
      <c r="A74" s="26" t="inlineStr">
        <is>
          <t>Spinach W17</t>
        </is>
      </c>
      <c r="B74" s="26" t="inlineStr">
        <is>
          <t>Spinach</t>
        </is>
      </c>
      <c r="C74" s="33" t="n">
        <v>0</v>
      </c>
      <c r="D74" s="34" t="n">
        <v>0</v>
      </c>
      <c r="U74" s="35" t="inlineStr">
        <is>
          <t>P</t>
        </is>
      </c>
      <c r="V74" s="35" t="inlineStr">
        <is>
          <t>G</t>
        </is>
      </c>
      <c r="W74" s="35" t="inlineStr">
        <is>
          <t>G</t>
        </is>
      </c>
      <c r="X74" s="35" t="inlineStr">
        <is>
          <t>G</t>
        </is>
      </c>
      <c r="Y74" s="35" t="inlineStr">
        <is>
          <t>G</t>
        </is>
      </c>
      <c r="Z74" s="35" t="inlineStr">
        <is>
          <t>G</t>
        </is>
      </c>
      <c r="AA74" s="35" t="inlineStr">
        <is>
          <t>H</t>
        </is>
      </c>
      <c r="AB74" s="35" t="inlineStr">
        <is>
          <t>H</t>
        </is>
      </c>
      <c r="BE74" s="36">
        <f>D74*$B$6</f>
        <v/>
      </c>
      <c r="BF74" s="36">
        <f>D74*$I$12</f>
        <v/>
      </c>
      <c r="BG74" s="37">
        <f>MATCH("P",$E74:$BD74,0)</f>
        <v/>
      </c>
    </row>
    <row r="75">
      <c r="A75" s="26" t="inlineStr">
        <is>
          <t>Spinach W18</t>
        </is>
      </c>
      <c r="B75" s="26" t="inlineStr">
        <is>
          <t>Spinach</t>
        </is>
      </c>
      <c r="C75" s="33" t="n">
        <v>0</v>
      </c>
      <c r="D75" s="34" t="n">
        <v>0</v>
      </c>
      <c r="V75" s="35" t="inlineStr">
        <is>
          <t>P</t>
        </is>
      </c>
      <c r="W75" s="35" t="inlineStr">
        <is>
          <t>G</t>
        </is>
      </c>
      <c r="X75" s="35" t="inlineStr">
        <is>
          <t>G</t>
        </is>
      </c>
      <c r="Y75" s="35" t="inlineStr">
        <is>
          <t>G</t>
        </is>
      </c>
      <c r="Z75" s="35" t="inlineStr">
        <is>
          <t>G</t>
        </is>
      </c>
      <c r="AA75" s="35" t="inlineStr">
        <is>
          <t>G</t>
        </is>
      </c>
      <c r="AB75" s="35" t="inlineStr">
        <is>
          <t>H</t>
        </is>
      </c>
      <c r="AC75" s="35" t="inlineStr">
        <is>
          <t>H</t>
        </is>
      </c>
      <c r="BE75" s="36">
        <f>D75*$B$6</f>
        <v/>
      </c>
      <c r="BF75" s="36">
        <f>D75*$I$12</f>
        <v/>
      </c>
      <c r="BG75" s="37">
        <f>MATCH("P",$E75:$BD75,0)</f>
        <v/>
      </c>
    </row>
    <row r="76">
      <c r="A76" s="26" t="inlineStr">
        <is>
          <t>Spinach W19</t>
        </is>
      </c>
      <c r="B76" s="26" t="inlineStr">
        <is>
          <t>Spinach</t>
        </is>
      </c>
      <c r="C76" s="33" t="n">
        <v>0</v>
      </c>
      <c r="D76" s="34" t="n">
        <v>0</v>
      </c>
      <c r="W76" s="35" t="inlineStr">
        <is>
          <t>P</t>
        </is>
      </c>
      <c r="X76" s="35" t="inlineStr">
        <is>
          <t>G</t>
        </is>
      </c>
      <c r="Y76" s="35" t="inlineStr">
        <is>
          <t>G</t>
        </is>
      </c>
      <c r="Z76" s="35" t="inlineStr">
        <is>
          <t>G</t>
        </is>
      </c>
      <c r="AA76" s="35" t="inlineStr">
        <is>
          <t>G</t>
        </is>
      </c>
      <c r="AB76" s="35" t="inlineStr">
        <is>
          <t>G</t>
        </is>
      </c>
      <c r="AC76" s="35" t="inlineStr">
        <is>
          <t>H</t>
        </is>
      </c>
      <c r="AD76" s="35" t="inlineStr">
        <is>
          <t>H</t>
        </is>
      </c>
      <c r="BE76" s="36">
        <f>D76*$B$6</f>
        <v/>
      </c>
      <c r="BF76" s="36">
        <f>D76*$I$12</f>
        <v/>
      </c>
      <c r="BG76" s="37">
        <f>MATCH("P",$E76:$BD76,0)</f>
        <v/>
      </c>
    </row>
    <row r="77">
      <c r="A77" s="26" t="inlineStr">
        <is>
          <t>Spinach W20</t>
        </is>
      </c>
      <c r="B77" s="26" t="inlineStr">
        <is>
          <t>Spinach</t>
        </is>
      </c>
      <c r="C77" s="33" t="n">
        <v>0</v>
      </c>
      <c r="D77" s="34" t="n">
        <v>0</v>
      </c>
      <c r="X77" s="35" t="inlineStr">
        <is>
          <t>P</t>
        </is>
      </c>
      <c r="Y77" s="35" t="inlineStr">
        <is>
          <t>G</t>
        </is>
      </c>
      <c r="Z77" s="35" t="inlineStr">
        <is>
          <t>G</t>
        </is>
      </c>
      <c r="AA77" s="35" t="inlineStr">
        <is>
          <t>G</t>
        </is>
      </c>
      <c r="AB77" s="35" t="inlineStr">
        <is>
          <t>G</t>
        </is>
      </c>
      <c r="AC77" s="35" t="inlineStr">
        <is>
          <t>G</t>
        </is>
      </c>
      <c r="AD77" s="35" t="inlineStr">
        <is>
          <t>H</t>
        </is>
      </c>
      <c r="AE77" s="35" t="inlineStr">
        <is>
          <t>H</t>
        </is>
      </c>
      <c r="BE77" s="36">
        <f>D77*$B$6</f>
        <v/>
      </c>
      <c r="BF77" s="36">
        <f>D77*$I$12</f>
        <v/>
      </c>
      <c r="BG77" s="37">
        <f>MATCH("P",$E77:$BD77,0)</f>
        <v/>
      </c>
    </row>
    <row r="78">
      <c r="A78" s="26" t="inlineStr">
        <is>
          <t>Spinach W21</t>
        </is>
      </c>
      <c r="B78" s="26" t="inlineStr">
        <is>
          <t>Spinach</t>
        </is>
      </c>
      <c r="C78" s="33" t="n">
        <v>0</v>
      </c>
      <c r="D78" s="34" t="n">
        <v>0</v>
      </c>
      <c r="Y78" s="35" t="inlineStr">
        <is>
          <t>P</t>
        </is>
      </c>
      <c r="Z78" s="35" t="inlineStr">
        <is>
          <t>G</t>
        </is>
      </c>
      <c r="AA78" s="35" t="inlineStr">
        <is>
          <t>G</t>
        </is>
      </c>
      <c r="AB78" s="35" t="inlineStr">
        <is>
          <t>G</t>
        </is>
      </c>
      <c r="AC78" s="35" t="inlineStr">
        <is>
          <t>G</t>
        </is>
      </c>
      <c r="AD78" s="35" t="inlineStr">
        <is>
          <t>G</t>
        </is>
      </c>
      <c r="AE78" s="35" t="inlineStr">
        <is>
          <t>H</t>
        </is>
      </c>
      <c r="AF78" s="35" t="inlineStr">
        <is>
          <t>H</t>
        </is>
      </c>
      <c r="BE78" s="36">
        <f>D78*$B$6</f>
        <v/>
      </c>
      <c r="BF78" s="36">
        <f>D78*$I$12</f>
        <v/>
      </c>
      <c r="BG78" s="37">
        <f>MATCH("P",$E78:$BD78,0)</f>
        <v/>
      </c>
    </row>
    <row r="79">
      <c r="A79" s="26" t="inlineStr">
        <is>
          <t>Spinach W22</t>
        </is>
      </c>
      <c r="B79" s="26" t="inlineStr">
        <is>
          <t>Spinach</t>
        </is>
      </c>
      <c r="C79" s="33" t="n">
        <v>0</v>
      </c>
      <c r="D79" s="34" t="n">
        <v>0</v>
      </c>
      <c r="Z79" s="35" t="inlineStr">
        <is>
          <t>P</t>
        </is>
      </c>
      <c r="AA79" s="35" t="inlineStr">
        <is>
          <t>G</t>
        </is>
      </c>
      <c r="AB79" s="35" t="inlineStr">
        <is>
          <t>G</t>
        </is>
      </c>
      <c r="AC79" s="35" t="inlineStr">
        <is>
          <t>G</t>
        </is>
      </c>
      <c r="AD79" s="35" t="inlineStr">
        <is>
          <t>G</t>
        </is>
      </c>
      <c r="AE79" s="35" t="inlineStr">
        <is>
          <t>G</t>
        </is>
      </c>
      <c r="AF79" s="35" t="inlineStr">
        <is>
          <t>H</t>
        </is>
      </c>
      <c r="AG79" s="35" t="inlineStr">
        <is>
          <t>H</t>
        </is>
      </c>
      <c r="BE79" s="36">
        <f>D79*$B$6</f>
        <v/>
      </c>
      <c r="BF79" s="36">
        <f>D79*$I$12</f>
        <v/>
      </c>
      <c r="BG79" s="37">
        <f>MATCH("P",$E79:$BD79,0)</f>
        <v/>
      </c>
    </row>
    <row r="80">
      <c r="A80" s="26" t="inlineStr">
        <is>
          <t>Spinach W23</t>
        </is>
      </c>
      <c r="B80" s="26" t="inlineStr">
        <is>
          <t>Spinach</t>
        </is>
      </c>
      <c r="C80" s="33" t="n">
        <v>0</v>
      </c>
      <c r="D80" s="34" t="n">
        <v>0</v>
      </c>
      <c r="AA80" s="35" t="inlineStr">
        <is>
          <t>P</t>
        </is>
      </c>
      <c r="AB80" s="35" t="inlineStr">
        <is>
          <t>G</t>
        </is>
      </c>
      <c r="AC80" s="35" t="inlineStr">
        <is>
          <t>G</t>
        </is>
      </c>
      <c r="AD80" s="35" t="inlineStr">
        <is>
          <t>G</t>
        </is>
      </c>
      <c r="AE80" s="35" t="inlineStr">
        <is>
          <t>G</t>
        </is>
      </c>
      <c r="AF80" s="35" t="inlineStr">
        <is>
          <t>G</t>
        </is>
      </c>
      <c r="AG80" s="35" t="inlineStr">
        <is>
          <t>H</t>
        </is>
      </c>
      <c r="AH80" s="35" t="inlineStr">
        <is>
          <t>H</t>
        </is>
      </c>
      <c r="BE80" s="36">
        <f>D80*$B$6</f>
        <v/>
      </c>
      <c r="BF80" s="36">
        <f>D80*$I$12</f>
        <v/>
      </c>
      <c r="BG80" s="37">
        <f>MATCH("P",$E80:$BD80,0)</f>
        <v/>
      </c>
    </row>
    <row r="81">
      <c r="A81" s="26" t="inlineStr">
        <is>
          <t>Spinach W24</t>
        </is>
      </c>
      <c r="B81" s="26" t="inlineStr">
        <is>
          <t>Spinach</t>
        </is>
      </c>
      <c r="C81" s="33" t="n">
        <v>0</v>
      </c>
      <c r="D81" s="34" t="n">
        <v>0</v>
      </c>
      <c r="AB81" s="35" t="inlineStr">
        <is>
          <t>P</t>
        </is>
      </c>
      <c r="AC81" s="35" t="inlineStr">
        <is>
          <t>G</t>
        </is>
      </c>
      <c r="AD81" s="35" t="inlineStr">
        <is>
          <t>G</t>
        </is>
      </c>
      <c r="AE81" s="35" t="inlineStr">
        <is>
          <t>G</t>
        </is>
      </c>
      <c r="AF81" s="35" t="inlineStr">
        <is>
          <t>G</t>
        </is>
      </c>
      <c r="AG81" s="35" t="inlineStr">
        <is>
          <t>G</t>
        </is>
      </c>
      <c r="AH81" s="35" t="inlineStr">
        <is>
          <t>H</t>
        </is>
      </c>
      <c r="AI81" s="35" t="inlineStr">
        <is>
          <t>H</t>
        </is>
      </c>
      <c r="BE81" s="36">
        <f>D81*$B$6</f>
        <v/>
      </c>
      <c r="BF81" s="36">
        <f>D81*$I$12</f>
        <v/>
      </c>
      <c r="BG81" s="37">
        <f>MATCH("P",$E81:$BD81,0)</f>
        <v/>
      </c>
    </row>
    <row r="82">
      <c r="A82" s="26" t="inlineStr">
        <is>
          <t>Spinach W31</t>
        </is>
      </c>
      <c r="B82" s="26" t="inlineStr">
        <is>
          <t>Spinach</t>
        </is>
      </c>
      <c r="C82" s="33" t="n">
        <v>0</v>
      </c>
      <c r="D82" s="34" t="n">
        <v>0</v>
      </c>
      <c r="AI82" s="35" t="inlineStr">
        <is>
          <t>P</t>
        </is>
      </c>
      <c r="AJ82" s="35" t="inlineStr">
        <is>
          <t>G</t>
        </is>
      </c>
      <c r="AK82" s="35" t="inlineStr">
        <is>
          <t>G</t>
        </is>
      </c>
      <c r="AL82" s="35" t="inlineStr">
        <is>
          <t>G</t>
        </is>
      </c>
      <c r="AM82" s="35" t="inlineStr">
        <is>
          <t>G</t>
        </is>
      </c>
      <c r="AN82" s="35" t="inlineStr">
        <is>
          <t>G</t>
        </is>
      </c>
      <c r="AO82" s="35" t="inlineStr">
        <is>
          <t>H</t>
        </is>
      </c>
      <c r="AP82" s="35" t="inlineStr">
        <is>
          <t>H</t>
        </is>
      </c>
      <c r="BE82" s="36">
        <f>D82*$B$6</f>
        <v/>
      </c>
      <c r="BF82" s="36">
        <f>D82*$I$12</f>
        <v/>
      </c>
      <c r="BG82" s="37">
        <f>MATCH("P",$E82:$BD82,0)</f>
        <v/>
      </c>
    </row>
    <row r="83">
      <c r="A83" s="26" t="inlineStr">
        <is>
          <t>Spinach W32</t>
        </is>
      </c>
      <c r="B83" s="26" t="inlineStr">
        <is>
          <t>Spinach</t>
        </is>
      </c>
      <c r="C83" s="33" t="n">
        <v>0</v>
      </c>
      <c r="D83" s="34" t="n">
        <v>0</v>
      </c>
      <c r="AJ83" s="35" t="inlineStr">
        <is>
          <t>P</t>
        </is>
      </c>
      <c r="AK83" s="35" t="inlineStr">
        <is>
          <t>G</t>
        </is>
      </c>
      <c r="AL83" s="35" t="inlineStr">
        <is>
          <t>G</t>
        </is>
      </c>
      <c r="AM83" s="35" t="inlineStr">
        <is>
          <t>G</t>
        </is>
      </c>
      <c r="AN83" s="35" t="inlineStr">
        <is>
          <t>G</t>
        </is>
      </c>
      <c r="AO83" s="35" t="inlineStr">
        <is>
          <t>G</t>
        </is>
      </c>
      <c r="AP83" s="35" t="inlineStr">
        <is>
          <t>H</t>
        </is>
      </c>
      <c r="AQ83" s="35" t="inlineStr">
        <is>
          <t>H</t>
        </is>
      </c>
      <c r="BE83" s="36">
        <f>D83*$B$6</f>
        <v/>
      </c>
      <c r="BF83" s="36">
        <f>D83*$I$12</f>
        <v/>
      </c>
      <c r="BG83" s="37">
        <f>MATCH("P",$E83:$BD83,0)</f>
        <v/>
      </c>
    </row>
    <row r="84">
      <c r="A84" s="26" t="inlineStr">
        <is>
          <t>Spinach W33</t>
        </is>
      </c>
      <c r="B84" s="26" t="inlineStr">
        <is>
          <t>Spinach</t>
        </is>
      </c>
      <c r="C84" s="33" t="n">
        <v>0</v>
      </c>
      <c r="D84" s="34" t="n">
        <v>0</v>
      </c>
      <c r="AK84" s="35" t="inlineStr">
        <is>
          <t>P</t>
        </is>
      </c>
      <c r="AL84" s="35" t="inlineStr">
        <is>
          <t>G</t>
        </is>
      </c>
      <c r="AM84" s="35" t="inlineStr">
        <is>
          <t>G</t>
        </is>
      </c>
      <c r="AN84" s="35" t="inlineStr">
        <is>
          <t>G</t>
        </is>
      </c>
      <c r="AO84" s="35" t="inlineStr">
        <is>
          <t>G</t>
        </is>
      </c>
      <c r="AP84" s="35" t="inlineStr">
        <is>
          <t>G</t>
        </is>
      </c>
      <c r="AQ84" s="35" t="inlineStr">
        <is>
          <t>H</t>
        </is>
      </c>
      <c r="AR84" s="35" t="inlineStr">
        <is>
          <t>H</t>
        </is>
      </c>
      <c r="BE84" s="36">
        <f>D84*$B$6</f>
        <v/>
      </c>
      <c r="BF84" s="36">
        <f>D84*$I$12</f>
        <v/>
      </c>
      <c r="BG84" s="37">
        <f>MATCH("P",$E84:$BD84,0)</f>
        <v/>
      </c>
    </row>
    <row r="85">
      <c r="A85" s="26" t="inlineStr">
        <is>
          <t>Spinach W34</t>
        </is>
      </c>
      <c r="B85" s="26" t="inlineStr">
        <is>
          <t>Spinach</t>
        </is>
      </c>
      <c r="C85" s="33" t="n">
        <v>0</v>
      </c>
      <c r="D85" s="34" t="n">
        <v>0</v>
      </c>
      <c r="AL85" s="35" t="inlineStr">
        <is>
          <t>P</t>
        </is>
      </c>
      <c r="AM85" s="35" t="inlineStr">
        <is>
          <t>G</t>
        </is>
      </c>
      <c r="AN85" s="35" t="inlineStr">
        <is>
          <t>G</t>
        </is>
      </c>
      <c r="AO85" s="35" t="inlineStr">
        <is>
          <t>G</t>
        </is>
      </c>
      <c r="AP85" s="35" t="inlineStr">
        <is>
          <t>G</t>
        </is>
      </c>
      <c r="AQ85" s="35" t="inlineStr">
        <is>
          <t>G</t>
        </is>
      </c>
      <c r="AR85" s="35" t="inlineStr">
        <is>
          <t>H</t>
        </is>
      </c>
      <c r="AS85" s="35" t="inlineStr">
        <is>
          <t>H</t>
        </is>
      </c>
      <c r="BE85" s="36">
        <f>D85*$B$6</f>
        <v/>
      </c>
      <c r="BF85" s="36">
        <f>D85*$I$12</f>
        <v/>
      </c>
      <c r="BG85" s="37">
        <f>MATCH("P",$E85:$BD85,0)</f>
        <v/>
      </c>
    </row>
    <row r="86">
      <c r="A86" s="26" t="inlineStr">
        <is>
          <t>Spinach W35</t>
        </is>
      </c>
      <c r="B86" s="26" t="inlineStr">
        <is>
          <t>Spinach</t>
        </is>
      </c>
      <c r="C86" s="33" t="n">
        <v>0</v>
      </c>
      <c r="D86" s="34" t="n">
        <v>0</v>
      </c>
      <c r="AM86" s="35" t="inlineStr">
        <is>
          <t>P</t>
        </is>
      </c>
      <c r="AN86" s="35" t="inlineStr">
        <is>
          <t>G</t>
        </is>
      </c>
      <c r="AO86" s="35" t="inlineStr">
        <is>
          <t>G</t>
        </is>
      </c>
      <c r="AP86" s="35" t="inlineStr">
        <is>
          <t>G</t>
        </is>
      </c>
      <c r="AQ86" s="35" t="inlineStr">
        <is>
          <t>G</t>
        </is>
      </c>
      <c r="AR86" s="35" t="inlineStr">
        <is>
          <t>G</t>
        </is>
      </c>
      <c r="AS86" s="35" t="inlineStr">
        <is>
          <t>H</t>
        </is>
      </c>
      <c r="AT86" s="35" t="inlineStr">
        <is>
          <t>H</t>
        </is>
      </c>
      <c r="BE86" s="36">
        <f>D86*$B$6</f>
        <v/>
      </c>
      <c r="BF86" s="36">
        <f>D86*$I$12</f>
        <v/>
      </c>
      <c r="BG86" s="37">
        <f>MATCH("P",$E86:$BD86,0)</f>
        <v/>
      </c>
    </row>
    <row r="87">
      <c r="A87" s="26" t="inlineStr">
        <is>
          <t>Spinach W36</t>
        </is>
      </c>
      <c r="B87" s="26" t="inlineStr">
        <is>
          <t>Spinach</t>
        </is>
      </c>
      <c r="C87" s="33" t="n">
        <v>0</v>
      </c>
      <c r="D87" s="34" t="n">
        <v>0</v>
      </c>
      <c r="AN87" s="35" t="inlineStr">
        <is>
          <t>P</t>
        </is>
      </c>
      <c r="AO87" s="35" t="inlineStr">
        <is>
          <t>G</t>
        </is>
      </c>
      <c r="AP87" s="35" t="inlineStr">
        <is>
          <t>G</t>
        </is>
      </c>
      <c r="AQ87" s="35" t="inlineStr">
        <is>
          <t>G</t>
        </is>
      </c>
      <c r="AR87" s="35" t="inlineStr">
        <is>
          <t>G</t>
        </is>
      </c>
      <c r="AS87" s="35" t="inlineStr">
        <is>
          <t>G</t>
        </is>
      </c>
      <c r="AT87" s="35" t="inlineStr">
        <is>
          <t>H</t>
        </is>
      </c>
      <c r="AU87" s="35" t="inlineStr">
        <is>
          <t>H</t>
        </is>
      </c>
      <c r="BE87" s="36">
        <f>D87*$B$6</f>
        <v/>
      </c>
      <c r="BF87" s="36">
        <f>D87*$I$12</f>
        <v/>
      </c>
      <c r="BG87" s="37">
        <f>MATCH("P",$E87:$BD87,0)</f>
        <v/>
      </c>
    </row>
    <row r="88">
      <c r="A88" s="26" t="inlineStr">
        <is>
          <t>Spinach W37</t>
        </is>
      </c>
      <c r="B88" s="26" t="inlineStr">
        <is>
          <t>Spinach</t>
        </is>
      </c>
      <c r="C88" s="33" t="n">
        <v>0</v>
      </c>
      <c r="D88" s="34" t="n">
        <v>0</v>
      </c>
      <c r="AO88" s="35" t="inlineStr">
        <is>
          <t>P</t>
        </is>
      </c>
      <c r="AP88" s="35" t="inlineStr">
        <is>
          <t>G</t>
        </is>
      </c>
      <c r="AQ88" s="35" t="inlineStr">
        <is>
          <t>G</t>
        </is>
      </c>
      <c r="AR88" s="35" t="inlineStr">
        <is>
          <t>G</t>
        </is>
      </c>
      <c r="AS88" s="35" t="inlineStr">
        <is>
          <t>G</t>
        </is>
      </c>
      <c r="AT88" s="35" t="inlineStr">
        <is>
          <t>G</t>
        </is>
      </c>
      <c r="AU88" s="35" t="inlineStr">
        <is>
          <t>H</t>
        </is>
      </c>
      <c r="AV88" s="35" t="inlineStr">
        <is>
          <t>H</t>
        </is>
      </c>
      <c r="BE88" s="36">
        <f>D88*$B$6</f>
        <v/>
      </c>
      <c r="BF88" s="36">
        <f>D88*$I$12</f>
        <v/>
      </c>
      <c r="BG88" s="37">
        <f>MATCH("P",$E88:$BD88,0)</f>
        <v/>
      </c>
    </row>
    <row r="89">
      <c r="A89" s="26" t="inlineStr">
        <is>
          <t>Spinach W38</t>
        </is>
      </c>
      <c r="B89" s="26" t="inlineStr">
        <is>
          <t>Spinach</t>
        </is>
      </c>
      <c r="C89" s="33" t="n">
        <v>0</v>
      </c>
      <c r="D89" s="34" t="n">
        <v>0</v>
      </c>
      <c r="AP89" s="35" t="inlineStr">
        <is>
          <t>P</t>
        </is>
      </c>
      <c r="AQ89" s="35" t="inlineStr">
        <is>
          <t>G</t>
        </is>
      </c>
      <c r="AR89" s="35" t="inlineStr">
        <is>
          <t>G</t>
        </is>
      </c>
      <c r="AS89" s="35" t="inlineStr">
        <is>
          <t>G</t>
        </is>
      </c>
      <c r="AT89" s="35" t="inlineStr">
        <is>
          <t>G</t>
        </is>
      </c>
      <c r="AU89" s="35" t="inlineStr">
        <is>
          <t>G</t>
        </is>
      </c>
      <c r="AV89" s="35" t="inlineStr">
        <is>
          <t>H</t>
        </is>
      </c>
      <c r="AW89" s="35" t="inlineStr">
        <is>
          <t>H</t>
        </is>
      </c>
      <c r="BE89" s="36">
        <f>D89*$B$6</f>
        <v/>
      </c>
      <c r="BF89" s="36">
        <f>D89*$I$12</f>
        <v/>
      </c>
      <c r="BG89" s="37">
        <f>MATCH("P",$E89:$BD89,0)</f>
        <v/>
      </c>
    </row>
    <row r="90">
      <c r="A90" s="26" t="inlineStr">
        <is>
          <t>Spinach W39</t>
        </is>
      </c>
      <c r="B90" s="26" t="inlineStr">
        <is>
          <t>Spinach</t>
        </is>
      </c>
      <c r="C90" s="33" t="n">
        <v>0</v>
      </c>
      <c r="D90" s="34" t="n">
        <v>0</v>
      </c>
      <c r="AQ90" s="35" t="inlineStr">
        <is>
          <t>P</t>
        </is>
      </c>
      <c r="AR90" s="35" t="inlineStr">
        <is>
          <t>G</t>
        </is>
      </c>
      <c r="AS90" s="35" t="inlineStr">
        <is>
          <t>G</t>
        </is>
      </c>
      <c r="AT90" s="35" t="inlineStr">
        <is>
          <t>G</t>
        </is>
      </c>
      <c r="AU90" s="35" t="inlineStr">
        <is>
          <t>G</t>
        </is>
      </c>
      <c r="AV90" s="35" t="inlineStr">
        <is>
          <t>G</t>
        </is>
      </c>
      <c r="AW90" s="35" t="inlineStr">
        <is>
          <t>H</t>
        </is>
      </c>
      <c r="AX90" s="35" t="inlineStr">
        <is>
          <t>H</t>
        </is>
      </c>
      <c r="BE90" s="36">
        <f>D90*$B$6</f>
        <v/>
      </c>
      <c r="BF90" s="36">
        <f>D90*$I$12</f>
        <v/>
      </c>
      <c r="BG90" s="37">
        <f>MATCH("P",$E90:$BD90,0)</f>
        <v/>
      </c>
    </row>
    <row r="91">
      <c r="A91" s="26" t="inlineStr">
        <is>
          <t>Spinach W40</t>
        </is>
      </c>
      <c r="B91" s="26" t="inlineStr">
        <is>
          <t>Spinach</t>
        </is>
      </c>
      <c r="C91" s="33" t="n">
        <v>0</v>
      </c>
      <c r="D91" s="34" t="n">
        <v>0</v>
      </c>
      <c r="AR91" s="35" t="inlineStr">
        <is>
          <t>P</t>
        </is>
      </c>
      <c r="AS91" s="35" t="inlineStr">
        <is>
          <t>G</t>
        </is>
      </c>
      <c r="AT91" s="35" t="inlineStr">
        <is>
          <t>G</t>
        </is>
      </c>
      <c r="AU91" s="35" t="inlineStr">
        <is>
          <t>G</t>
        </is>
      </c>
      <c r="AV91" s="35" t="inlineStr">
        <is>
          <t>G</t>
        </is>
      </c>
      <c r="AW91" s="35" t="inlineStr">
        <is>
          <t>G</t>
        </is>
      </c>
      <c r="AX91" s="35" t="inlineStr">
        <is>
          <t>H</t>
        </is>
      </c>
      <c r="AY91" s="35" t="inlineStr">
        <is>
          <t>H</t>
        </is>
      </c>
      <c r="BE91" s="36">
        <f>D91*$B$6</f>
        <v/>
      </c>
      <c r="BF91" s="36">
        <f>D91*$I$12</f>
        <v/>
      </c>
      <c r="BG91" s="37">
        <f>MATCH("P",$E91:$BD91,0)</f>
        <v/>
      </c>
    </row>
    <row r="92">
      <c r="A92" s="26" t="inlineStr">
        <is>
          <t>Spinach W41</t>
        </is>
      </c>
      <c r="B92" s="26" t="inlineStr">
        <is>
          <t>Spinach</t>
        </is>
      </c>
      <c r="C92" s="33" t="n">
        <v>0</v>
      </c>
      <c r="D92" s="34" t="n">
        <v>0</v>
      </c>
      <c r="AS92" s="35" t="inlineStr">
        <is>
          <t>P</t>
        </is>
      </c>
      <c r="AT92" s="35" t="inlineStr">
        <is>
          <t>G</t>
        </is>
      </c>
      <c r="AU92" s="35" t="inlineStr">
        <is>
          <t>G</t>
        </is>
      </c>
      <c r="AV92" s="35" t="inlineStr">
        <is>
          <t>G</t>
        </is>
      </c>
      <c r="AW92" s="35" t="inlineStr">
        <is>
          <t>G</t>
        </is>
      </c>
      <c r="AX92" s="35" t="inlineStr">
        <is>
          <t>G</t>
        </is>
      </c>
      <c r="AY92" s="35" t="inlineStr">
        <is>
          <t>H</t>
        </is>
      </c>
      <c r="AZ92" s="35" t="inlineStr">
        <is>
          <t>H</t>
        </is>
      </c>
      <c r="BE92" s="36">
        <f>D92*$B$6</f>
        <v/>
      </c>
      <c r="BF92" s="36">
        <f>D92*$I$12</f>
        <v/>
      </c>
      <c r="BG92" s="37">
        <f>MATCH("P",$E92:$BD92,0)</f>
        <v/>
      </c>
    </row>
    <row r="93">
      <c r="A93" s="26" t="inlineStr">
        <is>
          <t>Spinach W42</t>
        </is>
      </c>
      <c r="B93" s="26" t="inlineStr">
        <is>
          <t>Spinach</t>
        </is>
      </c>
      <c r="C93" s="33" t="n">
        <v>0</v>
      </c>
      <c r="D93" s="34" t="n">
        <v>0</v>
      </c>
      <c r="AT93" s="35" t="inlineStr">
        <is>
          <t>P</t>
        </is>
      </c>
      <c r="AU93" s="35" t="inlineStr">
        <is>
          <t>G</t>
        </is>
      </c>
      <c r="AV93" s="35" t="inlineStr">
        <is>
          <t>G</t>
        </is>
      </c>
      <c r="AW93" s="35" t="inlineStr">
        <is>
          <t>G</t>
        </is>
      </c>
      <c r="AX93" s="35" t="inlineStr">
        <is>
          <t>G</t>
        </is>
      </c>
      <c r="AY93" s="35" t="inlineStr">
        <is>
          <t>G</t>
        </is>
      </c>
      <c r="AZ93" s="35" t="inlineStr">
        <is>
          <t>H</t>
        </is>
      </c>
      <c r="BA93" s="35" t="inlineStr">
        <is>
          <t>H</t>
        </is>
      </c>
      <c r="BE93" s="36">
        <f>D93*$B$6</f>
        <v/>
      </c>
      <c r="BF93" s="36">
        <f>D93*$I$12</f>
        <v/>
      </c>
      <c r="BG93" s="37">
        <f>MATCH("P",$E93:$BD93,0)</f>
        <v/>
      </c>
    </row>
    <row r="94">
      <c r="A94" s="26" t="inlineStr">
        <is>
          <t>Spinach W43</t>
        </is>
      </c>
      <c r="B94" s="26" t="inlineStr">
        <is>
          <t>Spinach</t>
        </is>
      </c>
      <c r="C94" s="33" t="n">
        <v>0</v>
      </c>
      <c r="D94" s="34" t="n">
        <v>0</v>
      </c>
      <c r="AU94" s="35" t="inlineStr">
        <is>
          <t>P</t>
        </is>
      </c>
      <c r="AV94" s="35" t="inlineStr">
        <is>
          <t>G</t>
        </is>
      </c>
      <c r="AW94" s="35" t="inlineStr">
        <is>
          <t>G</t>
        </is>
      </c>
      <c r="AX94" s="35" t="inlineStr">
        <is>
          <t>G</t>
        </is>
      </c>
      <c r="AY94" s="35" t="inlineStr">
        <is>
          <t>G</t>
        </is>
      </c>
      <c r="AZ94" s="35" t="inlineStr">
        <is>
          <t>G</t>
        </is>
      </c>
      <c r="BA94" s="35" t="inlineStr">
        <is>
          <t>H</t>
        </is>
      </c>
      <c r="BB94" s="35" t="inlineStr">
        <is>
          <t>H</t>
        </is>
      </c>
      <c r="BE94" s="36">
        <f>D94*$B$6</f>
        <v/>
      </c>
      <c r="BF94" s="36">
        <f>D94*$I$12</f>
        <v/>
      </c>
      <c r="BG94" s="37">
        <f>MATCH("P",$E94:$BD94,0)</f>
        <v/>
      </c>
    </row>
    <row r="95">
      <c r="A95" s="26" t="inlineStr">
        <is>
          <t>Spinach W44</t>
        </is>
      </c>
      <c r="B95" s="26" t="inlineStr">
        <is>
          <t>Spinach</t>
        </is>
      </c>
      <c r="C95" s="33" t="n">
        <v>0</v>
      </c>
      <c r="D95" s="34" t="n">
        <v>0</v>
      </c>
      <c r="AV95" s="35" t="inlineStr">
        <is>
          <t>P</t>
        </is>
      </c>
      <c r="AW95" s="35" t="inlineStr">
        <is>
          <t>G</t>
        </is>
      </c>
      <c r="AX95" s="35" t="inlineStr">
        <is>
          <t>G</t>
        </is>
      </c>
      <c r="AY95" s="35" t="inlineStr">
        <is>
          <t>G</t>
        </is>
      </c>
      <c r="AZ95" s="35" t="inlineStr">
        <is>
          <t>G</t>
        </is>
      </c>
      <c r="BA95" s="35" t="inlineStr">
        <is>
          <t>G</t>
        </is>
      </c>
      <c r="BB95" s="35" t="inlineStr">
        <is>
          <t>H</t>
        </is>
      </c>
      <c r="BC95" s="35" t="inlineStr">
        <is>
          <t>H</t>
        </is>
      </c>
      <c r="BE95" s="36">
        <f>D95*$B$6</f>
        <v/>
      </c>
      <c r="BF95" s="36">
        <f>D95*$I$12</f>
        <v/>
      </c>
      <c r="BG95" s="37">
        <f>MATCH("P",$E95:$BD95,0)</f>
        <v/>
      </c>
    </row>
    <row r="96">
      <c r="A96" s="26" t="inlineStr">
        <is>
          <t>Spinach W45</t>
        </is>
      </c>
      <c r="B96" s="26" t="inlineStr">
        <is>
          <t>Spinach</t>
        </is>
      </c>
      <c r="C96" s="33" t="n">
        <v>0</v>
      </c>
      <c r="D96" s="34" t="n">
        <v>0</v>
      </c>
      <c r="AW96" s="35" t="inlineStr">
        <is>
          <t>P</t>
        </is>
      </c>
      <c r="AX96" s="35" t="inlineStr">
        <is>
          <t>G</t>
        </is>
      </c>
      <c r="AY96" s="35" t="inlineStr">
        <is>
          <t>G</t>
        </is>
      </c>
      <c r="AZ96" s="35" t="inlineStr">
        <is>
          <t>G</t>
        </is>
      </c>
      <c r="BA96" s="35" t="inlineStr">
        <is>
          <t>G</t>
        </is>
      </c>
      <c r="BB96" s="35" t="inlineStr">
        <is>
          <t>G</t>
        </is>
      </c>
      <c r="BC96" s="35" t="inlineStr">
        <is>
          <t>H</t>
        </is>
      </c>
      <c r="BD96" s="35" t="inlineStr">
        <is>
          <t>H</t>
        </is>
      </c>
      <c r="BE96" s="36">
        <f>D96*$B$6</f>
        <v/>
      </c>
      <c r="BF96" s="36">
        <f>D96*$I$12</f>
        <v/>
      </c>
      <c r="BG96" s="37">
        <f>MATCH("P",$E96:$BD96,0)</f>
        <v/>
      </c>
    </row>
    <row r="97">
      <c r="A97" s="26" t="inlineStr">
        <is>
          <t>Kale W05</t>
        </is>
      </c>
      <c r="B97" s="26" t="inlineStr">
        <is>
          <t>Kale</t>
        </is>
      </c>
      <c r="C97" s="33" t="n">
        <v>0</v>
      </c>
      <c r="D97" s="34" t="n">
        <v>0</v>
      </c>
      <c r="I97" s="35" t="inlineStr">
        <is>
          <t>P</t>
        </is>
      </c>
      <c r="J97" s="35" t="inlineStr">
        <is>
          <t>G</t>
        </is>
      </c>
      <c r="K97" s="35" t="inlineStr">
        <is>
          <t>G</t>
        </is>
      </c>
      <c r="L97" s="35" t="inlineStr">
        <is>
          <t>G</t>
        </is>
      </c>
      <c r="M97" s="35" t="inlineStr">
        <is>
          <t>G</t>
        </is>
      </c>
      <c r="N97" s="35" t="inlineStr">
        <is>
          <t>G</t>
        </is>
      </c>
      <c r="O97" s="35" t="inlineStr">
        <is>
          <t>G</t>
        </is>
      </c>
      <c r="P97" s="35" t="inlineStr">
        <is>
          <t>G</t>
        </is>
      </c>
      <c r="Q97" s="35" t="inlineStr">
        <is>
          <t>G</t>
        </is>
      </c>
      <c r="R97" s="35" t="inlineStr">
        <is>
          <t>H</t>
        </is>
      </c>
      <c r="S97" s="35" t="inlineStr">
        <is>
          <t>H</t>
        </is>
      </c>
      <c r="T97" s="35" t="inlineStr">
        <is>
          <t>H</t>
        </is>
      </c>
      <c r="U97" s="35" t="inlineStr">
        <is>
          <t>H</t>
        </is>
      </c>
      <c r="BE97" s="36">
        <f>D97*$B$6</f>
        <v/>
      </c>
      <c r="BF97" s="36">
        <f>D97*$I$13</f>
        <v/>
      </c>
      <c r="BG97" s="37">
        <f>MATCH("P",$E97:$BD97,0)</f>
        <v/>
      </c>
    </row>
    <row r="98">
      <c r="A98" s="26" t="inlineStr">
        <is>
          <t>Kale W06</t>
        </is>
      </c>
      <c r="B98" s="26" t="inlineStr">
        <is>
          <t>Kale</t>
        </is>
      </c>
      <c r="C98" s="33" t="n">
        <v>0</v>
      </c>
      <c r="D98" s="34" t="n">
        <v>0</v>
      </c>
      <c r="J98" s="35" t="inlineStr">
        <is>
          <t>P</t>
        </is>
      </c>
      <c r="K98" s="35" t="inlineStr">
        <is>
          <t>G</t>
        </is>
      </c>
      <c r="L98" s="35" t="inlineStr">
        <is>
          <t>G</t>
        </is>
      </c>
      <c r="M98" s="35" t="inlineStr">
        <is>
          <t>G</t>
        </is>
      </c>
      <c r="N98" s="35" t="inlineStr">
        <is>
          <t>G</t>
        </is>
      </c>
      <c r="O98" s="35" t="inlineStr">
        <is>
          <t>G</t>
        </is>
      </c>
      <c r="P98" s="35" t="inlineStr">
        <is>
          <t>G</t>
        </is>
      </c>
      <c r="Q98" s="35" t="inlineStr">
        <is>
          <t>G</t>
        </is>
      </c>
      <c r="R98" s="35" t="inlineStr">
        <is>
          <t>G</t>
        </is>
      </c>
      <c r="S98" s="35" t="inlineStr">
        <is>
          <t>H</t>
        </is>
      </c>
      <c r="T98" s="35" t="inlineStr">
        <is>
          <t>H</t>
        </is>
      </c>
      <c r="U98" s="35" t="inlineStr">
        <is>
          <t>H</t>
        </is>
      </c>
      <c r="V98" s="35" t="inlineStr">
        <is>
          <t>H</t>
        </is>
      </c>
      <c r="BE98" s="36">
        <f>D98*$B$6</f>
        <v/>
      </c>
      <c r="BF98" s="36">
        <f>D98*$I$13</f>
        <v/>
      </c>
      <c r="BG98" s="37">
        <f>MATCH("P",$E98:$BD98,0)</f>
        <v/>
      </c>
    </row>
    <row r="99">
      <c r="A99" s="26" t="inlineStr">
        <is>
          <t>Kale W07</t>
        </is>
      </c>
      <c r="B99" s="26" t="inlineStr">
        <is>
          <t>Kale</t>
        </is>
      </c>
      <c r="C99" s="33" t="n">
        <v>0</v>
      </c>
      <c r="D99" s="34" t="n">
        <v>0</v>
      </c>
      <c r="K99" s="35" t="inlineStr">
        <is>
          <t>P</t>
        </is>
      </c>
      <c r="L99" s="35" t="inlineStr">
        <is>
          <t>G</t>
        </is>
      </c>
      <c r="M99" s="35" t="inlineStr">
        <is>
          <t>G</t>
        </is>
      </c>
      <c r="N99" s="35" t="inlineStr">
        <is>
          <t>G</t>
        </is>
      </c>
      <c r="O99" s="35" t="inlineStr">
        <is>
          <t>G</t>
        </is>
      </c>
      <c r="P99" s="35" t="inlineStr">
        <is>
          <t>G</t>
        </is>
      </c>
      <c r="Q99" s="35" t="inlineStr">
        <is>
          <t>G</t>
        </is>
      </c>
      <c r="R99" s="35" t="inlineStr">
        <is>
          <t>G</t>
        </is>
      </c>
      <c r="S99" s="35" t="inlineStr">
        <is>
          <t>G</t>
        </is>
      </c>
      <c r="T99" s="35" t="inlineStr">
        <is>
          <t>H</t>
        </is>
      </c>
      <c r="U99" s="35" t="inlineStr">
        <is>
          <t>H</t>
        </is>
      </c>
      <c r="V99" s="35" t="inlineStr">
        <is>
          <t>H</t>
        </is>
      </c>
      <c r="W99" s="35" t="inlineStr">
        <is>
          <t>H</t>
        </is>
      </c>
      <c r="BE99" s="36">
        <f>D99*$B$6</f>
        <v/>
      </c>
      <c r="BF99" s="36">
        <f>D99*$I$13</f>
        <v/>
      </c>
      <c r="BG99" s="37">
        <f>MATCH("P",$E99:$BD99,0)</f>
        <v/>
      </c>
    </row>
    <row r="100">
      <c r="A100" s="26" t="inlineStr">
        <is>
          <t>Kale W08</t>
        </is>
      </c>
      <c r="B100" s="26" t="inlineStr">
        <is>
          <t>Kale</t>
        </is>
      </c>
      <c r="C100" s="33" t="n">
        <v>0</v>
      </c>
      <c r="D100" s="34" t="n">
        <v>0</v>
      </c>
      <c r="L100" s="35" t="inlineStr">
        <is>
          <t>P</t>
        </is>
      </c>
      <c r="M100" s="35" t="inlineStr">
        <is>
          <t>G</t>
        </is>
      </c>
      <c r="N100" s="35" t="inlineStr">
        <is>
          <t>G</t>
        </is>
      </c>
      <c r="O100" s="35" t="inlineStr">
        <is>
          <t>G</t>
        </is>
      </c>
      <c r="P100" s="35" t="inlineStr">
        <is>
          <t>G</t>
        </is>
      </c>
      <c r="Q100" s="35" t="inlineStr">
        <is>
          <t>G</t>
        </is>
      </c>
      <c r="R100" s="35" t="inlineStr">
        <is>
          <t>G</t>
        </is>
      </c>
      <c r="S100" s="35" t="inlineStr">
        <is>
          <t>G</t>
        </is>
      </c>
      <c r="T100" s="35" t="inlineStr">
        <is>
          <t>G</t>
        </is>
      </c>
      <c r="U100" s="35" t="inlineStr">
        <is>
          <t>H</t>
        </is>
      </c>
      <c r="V100" s="35" t="inlineStr">
        <is>
          <t>H</t>
        </is>
      </c>
      <c r="W100" s="35" t="inlineStr">
        <is>
          <t>H</t>
        </is>
      </c>
      <c r="X100" s="35" t="inlineStr">
        <is>
          <t>H</t>
        </is>
      </c>
      <c r="BE100" s="36">
        <f>D100*$B$6</f>
        <v/>
      </c>
      <c r="BF100" s="36">
        <f>D100*$I$13</f>
        <v/>
      </c>
      <c r="BG100" s="37">
        <f>MATCH("P",$E100:$BD100,0)</f>
        <v/>
      </c>
    </row>
    <row r="101">
      <c r="A101" s="26" t="inlineStr">
        <is>
          <t>Kale W09</t>
        </is>
      </c>
      <c r="B101" s="26" t="inlineStr">
        <is>
          <t>Kale</t>
        </is>
      </c>
      <c r="C101" s="33" t="n">
        <v>0</v>
      </c>
      <c r="D101" s="34" t="n">
        <v>0</v>
      </c>
      <c r="M101" s="35" t="inlineStr">
        <is>
          <t>P</t>
        </is>
      </c>
      <c r="N101" s="35" t="inlineStr">
        <is>
          <t>G</t>
        </is>
      </c>
      <c r="O101" s="35" t="inlineStr">
        <is>
          <t>G</t>
        </is>
      </c>
      <c r="P101" s="35" t="inlineStr">
        <is>
          <t>G</t>
        </is>
      </c>
      <c r="Q101" s="35" t="inlineStr">
        <is>
          <t>G</t>
        </is>
      </c>
      <c r="R101" s="35" t="inlineStr">
        <is>
          <t>G</t>
        </is>
      </c>
      <c r="S101" s="35" t="inlineStr">
        <is>
          <t>G</t>
        </is>
      </c>
      <c r="T101" s="35" t="inlineStr">
        <is>
          <t>G</t>
        </is>
      </c>
      <c r="U101" s="35" t="inlineStr">
        <is>
          <t>G</t>
        </is>
      </c>
      <c r="V101" s="35" t="inlineStr">
        <is>
          <t>H</t>
        </is>
      </c>
      <c r="W101" s="35" t="inlineStr">
        <is>
          <t>H</t>
        </is>
      </c>
      <c r="X101" s="35" t="inlineStr">
        <is>
          <t>H</t>
        </is>
      </c>
      <c r="Y101" s="35" t="inlineStr">
        <is>
          <t>H</t>
        </is>
      </c>
      <c r="BE101" s="36">
        <f>D101*$B$6</f>
        <v/>
      </c>
      <c r="BF101" s="36">
        <f>D101*$I$13</f>
        <v/>
      </c>
      <c r="BG101" s="37">
        <f>MATCH("P",$E101:$BD101,0)</f>
        <v/>
      </c>
    </row>
    <row r="102">
      <c r="A102" s="26" t="inlineStr">
        <is>
          <t>Kale W10</t>
        </is>
      </c>
      <c r="B102" s="26" t="inlineStr">
        <is>
          <t>Kale</t>
        </is>
      </c>
      <c r="C102" s="33" t="n">
        <v>0</v>
      </c>
      <c r="D102" s="34" t="n">
        <v>0</v>
      </c>
      <c r="N102" s="35" t="inlineStr">
        <is>
          <t>P</t>
        </is>
      </c>
      <c r="O102" s="35" t="inlineStr">
        <is>
          <t>G</t>
        </is>
      </c>
      <c r="P102" s="35" t="inlineStr">
        <is>
          <t>G</t>
        </is>
      </c>
      <c r="Q102" s="35" t="inlineStr">
        <is>
          <t>G</t>
        </is>
      </c>
      <c r="R102" s="35" t="inlineStr">
        <is>
          <t>G</t>
        </is>
      </c>
      <c r="S102" s="35" t="inlineStr">
        <is>
          <t>G</t>
        </is>
      </c>
      <c r="T102" s="35" t="inlineStr">
        <is>
          <t>G</t>
        </is>
      </c>
      <c r="U102" s="35" t="inlineStr">
        <is>
          <t>G</t>
        </is>
      </c>
      <c r="V102" s="35" t="inlineStr">
        <is>
          <t>G</t>
        </is>
      </c>
      <c r="W102" s="35" t="inlineStr">
        <is>
          <t>H</t>
        </is>
      </c>
      <c r="X102" s="35" t="inlineStr">
        <is>
          <t>H</t>
        </is>
      </c>
      <c r="Y102" s="35" t="inlineStr">
        <is>
          <t>H</t>
        </is>
      </c>
      <c r="Z102" s="35" t="inlineStr">
        <is>
          <t>H</t>
        </is>
      </c>
      <c r="BE102" s="36">
        <f>D102*$B$6</f>
        <v/>
      </c>
      <c r="BF102" s="36">
        <f>D102*$I$13</f>
        <v/>
      </c>
      <c r="BG102" s="37">
        <f>MATCH("P",$E102:$BD102,0)</f>
        <v/>
      </c>
    </row>
    <row r="103">
      <c r="A103" s="26" t="inlineStr">
        <is>
          <t>Kale W11</t>
        </is>
      </c>
      <c r="B103" s="26" t="inlineStr">
        <is>
          <t>Kale</t>
        </is>
      </c>
      <c r="C103" s="33" t="n">
        <v>0</v>
      </c>
      <c r="D103" s="34" t="n">
        <v>0</v>
      </c>
      <c r="O103" s="35" t="inlineStr">
        <is>
          <t>P</t>
        </is>
      </c>
      <c r="P103" s="35" t="inlineStr">
        <is>
          <t>G</t>
        </is>
      </c>
      <c r="Q103" s="35" t="inlineStr">
        <is>
          <t>G</t>
        </is>
      </c>
      <c r="R103" s="35" t="inlineStr">
        <is>
          <t>G</t>
        </is>
      </c>
      <c r="S103" s="35" t="inlineStr">
        <is>
          <t>G</t>
        </is>
      </c>
      <c r="T103" s="35" t="inlineStr">
        <is>
          <t>G</t>
        </is>
      </c>
      <c r="U103" s="35" t="inlineStr">
        <is>
          <t>G</t>
        </is>
      </c>
      <c r="V103" s="35" t="inlineStr">
        <is>
          <t>G</t>
        </is>
      </c>
      <c r="W103" s="35" t="inlineStr">
        <is>
          <t>G</t>
        </is>
      </c>
      <c r="X103" s="35" t="inlineStr">
        <is>
          <t>H</t>
        </is>
      </c>
      <c r="Y103" s="35" t="inlineStr">
        <is>
          <t>H</t>
        </is>
      </c>
      <c r="Z103" s="35" t="inlineStr">
        <is>
          <t>H</t>
        </is>
      </c>
      <c r="AA103" s="35" t="inlineStr">
        <is>
          <t>H</t>
        </is>
      </c>
      <c r="BE103" s="36">
        <f>D103*$B$6</f>
        <v/>
      </c>
      <c r="BF103" s="36">
        <f>D103*$I$13</f>
        <v/>
      </c>
      <c r="BG103" s="37">
        <f>MATCH("P",$E103:$BD103,0)</f>
        <v/>
      </c>
    </row>
    <row r="104">
      <c r="A104" s="26" t="inlineStr">
        <is>
          <t>Kale W12</t>
        </is>
      </c>
      <c r="B104" s="26" t="inlineStr">
        <is>
          <t>Kale</t>
        </is>
      </c>
      <c r="C104" s="33" t="n">
        <v>0</v>
      </c>
      <c r="D104" s="34" t="n">
        <v>0</v>
      </c>
      <c r="P104" s="35" t="inlineStr">
        <is>
          <t>P</t>
        </is>
      </c>
      <c r="Q104" s="35" t="inlineStr">
        <is>
          <t>G</t>
        </is>
      </c>
      <c r="R104" s="35" t="inlineStr">
        <is>
          <t>G</t>
        </is>
      </c>
      <c r="S104" s="35" t="inlineStr">
        <is>
          <t>G</t>
        </is>
      </c>
      <c r="T104" s="35" t="inlineStr">
        <is>
          <t>G</t>
        </is>
      </c>
      <c r="U104" s="35" t="inlineStr">
        <is>
          <t>G</t>
        </is>
      </c>
      <c r="V104" s="35" t="inlineStr">
        <is>
          <t>G</t>
        </is>
      </c>
      <c r="W104" s="35" t="inlineStr">
        <is>
          <t>G</t>
        </is>
      </c>
      <c r="X104" s="35" t="inlineStr">
        <is>
          <t>G</t>
        </is>
      </c>
      <c r="Y104" s="35" t="inlineStr">
        <is>
          <t>H</t>
        </is>
      </c>
      <c r="Z104" s="35" t="inlineStr">
        <is>
          <t>H</t>
        </is>
      </c>
      <c r="AA104" s="35" t="inlineStr">
        <is>
          <t>H</t>
        </is>
      </c>
      <c r="AB104" s="35" t="inlineStr">
        <is>
          <t>H</t>
        </is>
      </c>
      <c r="BE104" s="36">
        <f>D104*$B$6</f>
        <v/>
      </c>
      <c r="BF104" s="36">
        <f>D104*$I$13</f>
        <v/>
      </c>
      <c r="BG104" s="37">
        <f>MATCH("P",$E104:$BD104,0)</f>
        <v/>
      </c>
    </row>
    <row r="105">
      <c r="A105" s="26" t="inlineStr">
        <is>
          <t>Kale W13</t>
        </is>
      </c>
      <c r="B105" s="26" t="inlineStr">
        <is>
          <t>Kale</t>
        </is>
      </c>
      <c r="C105" s="33" t="n">
        <v>0</v>
      </c>
      <c r="D105" s="34" t="n">
        <v>0</v>
      </c>
      <c r="Q105" s="35" t="inlineStr">
        <is>
          <t>P</t>
        </is>
      </c>
      <c r="R105" s="35" t="inlineStr">
        <is>
          <t>G</t>
        </is>
      </c>
      <c r="S105" s="35" t="inlineStr">
        <is>
          <t>G</t>
        </is>
      </c>
      <c r="T105" s="35" t="inlineStr">
        <is>
          <t>G</t>
        </is>
      </c>
      <c r="U105" s="35" t="inlineStr">
        <is>
          <t>G</t>
        </is>
      </c>
      <c r="V105" s="35" t="inlineStr">
        <is>
          <t>G</t>
        </is>
      </c>
      <c r="W105" s="35" t="inlineStr">
        <is>
          <t>G</t>
        </is>
      </c>
      <c r="X105" s="35" t="inlineStr">
        <is>
          <t>G</t>
        </is>
      </c>
      <c r="Y105" s="35" t="inlineStr">
        <is>
          <t>G</t>
        </is>
      </c>
      <c r="Z105" s="35" t="inlineStr">
        <is>
          <t>H</t>
        </is>
      </c>
      <c r="AA105" s="35" t="inlineStr">
        <is>
          <t>H</t>
        </is>
      </c>
      <c r="AB105" s="35" t="inlineStr">
        <is>
          <t>H</t>
        </is>
      </c>
      <c r="AC105" s="35" t="inlineStr">
        <is>
          <t>H</t>
        </is>
      </c>
      <c r="BE105" s="36">
        <f>D105*$B$6</f>
        <v/>
      </c>
      <c r="BF105" s="36">
        <f>D105*$I$13</f>
        <v/>
      </c>
      <c r="BG105" s="37">
        <f>MATCH("P",$E105:$BD105,0)</f>
        <v/>
      </c>
    </row>
    <row r="106">
      <c r="A106" s="26" t="inlineStr">
        <is>
          <t>Kale W14</t>
        </is>
      </c>
      <c r="B106" s="26" t="inlineStr">
        <is>
          <t>Kale</t>
        </is>
      </c>
      <c r="C106" s="33" t="n">
        <v>0</v>
      </c>
      <c r="D106" s="34" t="n">
        <v>0</v>
      </c>
      <c r="R106" s="35" t="inlineStr">
        <is>
          <t>P</t>
        </is>
      </c>
      <c r="S106" s="35" t="inlineStr">
        <is>
          <t>G</t>
        </is>
      </c>
      <c r="T106" s="35" t="inlineStr">
        <is>
          <t>G</t>
        </is>
      </c>
      <c r="U106" s="35" t="inlineStr">
        <is>
          <t>G</t>
        </is>
      </c>
      <c r="V106" s="35" t="inlineStr">
        <is>
          <t>G</t>
        </is>
      </c>
      <c r="W106" s="35" t="inlineStr">
        <is>
          <t>G</t>
        </is>
      </c>
      <c r="X106" s="35" t="inlineStr">
        <is>
          <t>G</t>
        </is>
      </c>
      <c r="Y106" s="35" t="inlineStr">
        <is>
          <t>G</t>
        </is>
      </c>
      <c r="Z106" s="35" t="inlineStr">
        <is>
          <t>G</t>
        </is>
      </c>
      <c r="AA106" s="35" t="inlineStr">
        <is>
          <t>H</t>
        </is>
      </c>
      <c r="AB106" s="35" t="inlineStr">
        <is>
          <t>H</t>
        </is>
      </c>
      <c r="AC106" s="35" t="inlineStr">
        <is>
          <t>H</t>
        </is>
      </c>
      <c r="AD106" s="35" t="inlineStr">
        <is>
          <t>H</t>
        </is>
      </c>
      <c r="BE106" s="36">
        <f>D106*$B$6</f>
        <v/>
      </c>
      <c r="BF106" s="36">
        <f>D106*$I$13</f>
        <v/>
      </c>
      <c r="BG106" s="37">
        <f>MATCH("P",$E106:$BD106,0)</f>
        <v/>
      </c>
    </row>
    <row r="107">
      <c r="A107" s="26" t="inlineStr">
        <is>
          <t>Kale W15</t>
        </is>
      </c>
      <c r="B107" s="26" t="inlineStr">
        <is>
          <t>Kale</t>
        </is>
      </c>
      <c r="C107" s="33" t="n">
        <v>0</v>
      </c>
      <c r="D107" s="34" t="n">
        <v>0</v>
      </c>
      <c r="S107" s="35" t="inlineStr">
        <is>
          <t>P</t>
        </is>
      </c>
      <c r="T107" s="35" t="inlineStr">
        <is>
          <t>G</t>
        </is>
      </c>
      <c r="U107" s="35" t="inlineStr">
        <is>
          <t>G</t>
        </is>
      </c>
      <c r="V107" s="35" t="inlineStr">
        <is>
          <t>G</t>
        </is>
      </c>
      <c r="W107" s="35" t="inlineStr">
        <is>
          <t>G</t>
        </is>
      </c>
      <c r="X107" s="35" t="inlineStr">
        <is>
          <t>G</t>
        </is>
      </c>
      <c r="Y107" s="35" t="inlineStr">
        <is>
          <t>G</t>
        </is>
      </c>
      <c r="Z107" s="35" t="inlineStr">
        <is>
          <t>G</t>
        </is>
      </c>
      <c r="AA107" s="35" t="inlineStr">
        <is>
          <t>G</t>
        </is>
      </c>
      <c r="AB107" s="35" t="inlineStr">
        <is>
          <t>H</t>
        </is>
      </c>
      <c r="AC107" s="35" t="inlineStr">
        <is>
          <t>H</t>
        </is>
      </c>
      <c r="AD107" s="35" t="inlineStr">
        <is>
          <t>H</t>
        </is>
      </c>
      <c r="AE107" s="35" t="inlineStr">
        <is>
          <t>H</t>
        </is>
      </c>
      <c r="BE107" s="36">
        <f>D107*$B$6</f>
        <v/>
      </c>
      <c r="BF107" s="36">
        <f>D107*$I$13</f>
        <v/>
      </c>
      <c r="BG107" s="37">
        <f>MATCH("P",$E107:$BD107,0)</f>
        <v/>
      </c>
    </row>
    <row r="108">
      <c r="A108" s="26" t="inlineStr">
        <is>
          <t>Kale W16</t>
        </is>
      </c>
      <c r="B108" s="26" t="inlineStr">
        <is>
          <t>Kale</t>
        </is>
      </c>
      <c r="C108" s="33" t="n">
        <v>0</v>
      </c>
      <c r="D108" s="34" t="n">
        <v>0</v>
      </c>
      <c r="T108" s="35" t="inlineStr">
        <is>
          <t>P</t>
        </is>
      </c>
      <c r="U108" s="35" t="inlineStr">
        <is>
          <t>G</t>
        </is>
      </c>
      <c r="V108" s="35" t="inlineStr">
        <is>
          <t>G</t>
        </is>
      </c>
      <c r="W108" s="35" t="inlineStr">
        <is>
          <t>G</t>
        </is>
      </c>
      <c r="X108" s="35" t="inlineStr">
        <is>
          <t>G</t>
        </is>
      </c>
      <c r="Y108" s="35" t="inlineStr">
        <is>
          <t>G</t>
        </is>
      </c>
      <c r="Z108" s="35" t="inlineStr">
        <is>
          <t>G</t>
        </is>
      </c>
      <c r="AA108" s="35" t="inlineStr">
        <is>
          <t>G</t>
        </is>
      </c>
      <c r="AB108" s="35" t="inlineStr">
        <is>
          <t>G</t>
        </is>
      </c>
      <c r="AC108" s="35" t="inlineStr">
        <is>
          <t>H</t>
        </is>
      </c>
      <c r="AD108" s="35" t="inlineStr">
        <is>
          <t>H</t>
        </is>
      </c>
      <c r="AE108" s="35" t="inlineStr">
        <is>
          <t>H</t>
        </is>
      </c>
      <c r="AF108" s="35" t="inlineStr">
        <is>
          <t>H</t>
        </is>
      </c>
      <c r="BE108" s="36">
        <f>D108*$B$6</f>
        <v/>
      </c>
      <c r="BF108" s="36">
        <f>D108*$I$13</f>
        <v/>
      </c>
      <c r="BG108" s="37">
        <f>MATCH("P",$E108:$BD108,0)</f>
        <v/>
      </c>
    </row>
    <row r="109">
      <c r="A109" s="26" t="inlineStr">
        <is>
          <t>Kale W17</t>
        </is>
      </c>
      <c r="B109" s="26" t="inlineStr">
        <is>
          <t>Kale</t>
        </is>
      </c>
      <c r="C109" s="33" t="n">
        <v>0</v>
      </c>
      <c r="D109" s="34" t="n">
        <v>0</v>
      </c>
      <c r="U109" s="35" t="inlineStr">
        <is>
          <t>P</t>
        </is>
      </c>
      <c r="V109" s="35" t="inlineStr">
        <is>
          <t>G</t>
        </is>
      </c>
      <c r="W109" s="35" t="inlineStr">
        <is>
          <t>G</t>
        </is>
      </c>
      <c r="X109" s="35" t="inlineStr">
        <is>
          <t>G</t>
        </is>
      </c>
      <c r="Y109" s="35" t="inlineStr">
        <is>
          <t>G</t>
        </is>
      </c>
      <c r="Z109" s="35" t="inlineStr">
        <is>
          <t>G</t>
        </is>
      </c>
      <c r="AA109" s="35" t="inlineStr">
        <is>
          <t>G</t>
        </is>
      </c>
      <c r="AB109" s="35" t="inlineStr">
        <is>
          <t>G</t>
        </is>
      </c>
      <c r="AC109" s="35" t="inlineStr">
        <is>
          <t>G</t>
        </is>
      </c>
      <c r="AD109" s="35" t="inlineStr">
        <is>
          <t>H</t>
        </is>
      </c>
      <c r="AE109" s="35" t="inlineStr">
        <is>
          <t>H</t>
        </is>
      </c>
      <c r="AF109" s="35" t="inlineStr">
        <is>
          <t>H</t>
        </is>
      </c>
      <c r="AG109" s="35" t="inlineStr">
        <is>
          <t>H</t>
        </is>
      </c>
      <c r="BE109" s="36">
        <f>D109*$B$6</f>
        <v/>
      </c>
      <c r="BF109" s="36">
        <f>D109*$I$13</f>
        <v/>
      </c>
      <c r="BG109" s="37">
        <f>MATCH("P",$E109:$BD109,0)</f>
        <v/>
      </c>
    </row>
    <row r="110">
      <c r="A110" s="26" t="inlineStr">
        <is>
          <t>Kale W18</t>
        </is>
      </c>
      <c r="B110" s="26" t="inlineStr">
        <is>
          <t>Kale</t>
        </is>
      </c>
      <c r="C110" s="33" t="n">
        <v>0</v>
      </c>
      <c r="D110" s="34" t="n">
        <v>0</v>
      </c>
      <c r="V110" s="35" t="inlineStr">
        <is>
          <t>P</t>
        </is>
      </c>
      <c r="W110" s="35" t="inlineStr">
        <is>
          <t>G</t>
        </is>
      </c>
      <c r="X110" s="35" t="inlineStr">
        <is>
          <t>G</t>
        </is>
      </c>
      <c r="Y110" s="35" t="inlineStr">
        <is>
          <t>G</t>
        </is>
      </c>
      <c r="Z110" s="35" t="inlineStr">
        <is>
          <t>G</t>
        </is>
      </c>
      <c r="AA110" s="35" t="inlineStr">
        <is>
          <t>G</t>
        </is>
      </c>
      <c r="AB110" s="35" t="inlineStr">
        <is>
          <t>G</t>
        </is>
      </c>
      <c r="AC110" s="35" t="inlineStr">
        <is>
          <t>G</t>
        </is>
      </c>
      <c r="AD110" s="35" t="inlineStr">
        <is>
          <t>G</t>
        </is>
      </c>
      <c r="AE110" s="35" t="inlineStr">
        <is>
          <t>H</t>
        </is>
      </c>
      <c r="AF110" s="35" t="inlineStr">
        <is>
          <t>H</t>
        </is>
      </c>
      <c r="AG110" s="35" t="inlineStr">
        <is>
          <t>H</t>
        </is>
      </c>
      <c r="AH110" s="35" t="inlineStr">
        <is>
          <t>H</t>
        </is>
      </c>
      <c r="BE110" s="36">
        <f>D110*$B$6</f>
        <v/>
      </c>
      <c r="BF110" s="36">
        <f>D110*$I$13</f>
        <v/>
      </c>
      <c r="BG110" s="37">
        <f>MATCH("P",$E110:$BD110,0)</f>
        <v/>
      </c>
    </row>
    <row r="111">
      <c r="A111" s="26" t="inlineStr">
        <is>
          <t>Kale W19</t>
        </is>
      </c>
      <c r="B111" s="26" t="inlineStr">
        <is>
          <t>Kale</t>
        </is>
      </c>
      <c r="C111" s="33" t="n">
        <v>0</v>
      </c>
      <c r="D111" s="34" t="n">
        <v>0</v>
      </c>
      <c r="W111" s="35" t="inlineStr">
        <is>
          <t>P</t>
        </is>
      </c>
      <c r="X111" s="35" t="inlineStr">
        <is>
          <t>G</t>
        </is>
      </c>
      <c r="Y111" s="35" t="inlineStr">
        <is>
          <t>G</t>
        </is>
      </c>
      <c r="Z111" s="35" t="inlineStr">
        <is>
          <t>G</t>
        </is>
      </c>
      <c r="AA111" s="35" t="inlineStr">
        <is>
          <t>G</t>
        </is>
      </c>
      <c r="AB111" s="35" t="inlineStr">
        <is>
          <t>G</t>
        </is>
      </c>
      <c r="AC111" s="35" t="inlineStr">
        <is>
          <t>G</t>
        </is>
      </c>
      <c r="AD111" s="35" t="inlineStr">
        <is>
          <t>G</t>
        </is>
      </c>
      <c r="AE111" s="35" t="inlineStr">
        <is>
          <t>G</t>
        </is>
      </c>
      <c r="AF111" s="35" t="inlineStr">
        <is>
          <t>H</t>
        </is>
      </c>
      <c r="AG111" s="35" t="inlineStr">
        <is>
          <t>H</t>
        </is>
      </c>
      <c r="AH111" s="35" t="inlineStr">
        <is>
          <t>H</t>
        </is>
      </c>
      <c r="AI111" s="35" t="inlineStr">
        <is>
          <t>H</t>
        </is>
      </c>
      <c r="BE111" s="36">
        <f>D111*$B$6</f>
        <v/>
      </c>
      <c r="BF111" s="36">
        <f>D111*$I$13</f>
        <v/>
      </c>
      <c r="BG111" s="37">
        <f>MATCH("P",$E111:$BD111,0)</f>
        <v/>
      </c>
    </row>
    <row r="112">
      <c r="A112" s="26" t="inlineStr">
        <is>
          <t>Kale W20</t>
        </is>
      </c>
      <c r="B112" s="26" t="inlineStr">
        <is>
          <t>Kale</t>
        </is>
      </c>
      <c r="C112" s="33" t="n">
        <v>0</v>
      </c>
      <c r="D112" s="34" t="n">
        <v>0</v>
      </c>
      <c r="X112" s="35" t="inlineStr">
        <is>
          <t>P</t>
        </is>
      </c>
      <c r="Y112" s="35" t="inlineStr">
        <is>
          <t>G</t>
        </is>
      </c>
      <c r="Z112" s="35" t="inlineStr">
        <is>
          <t>G</t>
        </is>
      </c>
      <c r="AA112" s="35" t="inlineStr">
        <is>
          <t>G</t>
        </is>
      </c>
      <c r="AB112" s="35" t="inlineStr">
        <is>
          <t>G</t>
        </is>
      </c>
      <c r="AC112" s="35" t="inlineStr">
        <is>
          <t>G</t>
        </is>
      </c>
      <c r="AD112" s="35" t="inlineStr">
        <is>
          <t>G</t>
        </is>
      </c>
      <c r="AE112" s="35" t="inlineStr">
        <is>
          <t>G</t>
        </is>
      </c>
      <c r="AF112" s="35" t="inlineStr">
        <is>
          <t>G</t>
        </is>
      </c>
      <c r="AG112" s="35" t="inlineStr">
        <is>
          <t>H</t>
        </is>
      </c>
      <c r="AH112" s="35" t="inlineStr">
        <is>
          <t>H</t>
        </is>
      </c>
      <c r="AI112" s="35" t="inlineStr">
        <is>
          <t>H</t>
        </is>
      </c>
      <c r="AJ112" s="35" t="inlineStr">
        <is>
          <t>H</t>
        </is>
      </c>
      <c r="BE112" s="36">
        <f>D112*$B$6</f>
        <v/>
      </c>
      <c r="BF112" s="36">
        <f>D112*$I$13</f>
        <v/>
      </c>
      <c r="BG112" s="37">
        <f>MATCH("P",$E112:$BD112,0)</f>
        <v/>
      </c>
    </row>
    <row r="113">
      <c r="A113" s="26" t="inlineStr">
        <is>
          <t>Kale W21</t>
        </is>
      </c>
      <c r="B113" s="26" t="inlineStr">
        <is>
          <t>Kale</t>
        </is>
      </c>
      <c r="C113" s="33" t="n">
        <v>0</v>
      </c>
      <c r="D113" s="34" t="n">
        <v>0</v>
      </c>
      <c r="Y113" s="35" t="inlineStr">
        <is>
          <t>P</t>
        </is>
      </c>
      <c r="Z113" s="35" t="inlineStr">
        <is>
          <t>G</t>
        </is>
      </c>
      <c r="AA113" s="35" t="inlineStr">
        <is>
          <t>G</t>
        </is>
      </c>
      <c r="AB113" s="35" t="inlineStr">
        <is>
          <t>G</t>
        </is>
      </c>
      <c r="AC113" s="35" t="inlineStr">
        <is>
          <t>G</t>
        </is>
      </c>
      <c r="AD113" s="35" t="inlineStr">
        <is>
          <t>G</t>
        </is>
      </c>
      <c r="AE113" s="35" t="inlineStr">
        <is>
          <t>G</t>
        </is>
      </c>
      <c r="AF113" s="35" t="inlineStr">
        <is>
          <t>G</t>
        </is>
      </c>
      <c r="AG113" s="35" t="inlineStr">
        <is>
          <t>G</t>
        </is>
      </c>
      <c r="AH113" s="35" t="inlineStr">
        <is>
          <t>H</t>
        </is>
      </c>
      <c r="AI113" s="35" t="inlineStr">
        <is>
          <t>H</t>
        </is>
      </c>
      <c r="AJ113" s="35" t="inlineStr">
        <is>
          <t>H</t>
        </is>
      </c>
      <c r="AK113" s="35" t="inlineStr">
        <is>
          <t>H</t>
        </is>
      </c>
      <c r="BE113" s="36">
        <f>D113*$B$6</f>
        <v/>
      </c>
      <c r="BF113" s="36">
        <f>D113*$I$13</f>
        <v/>
      </c>
      <c r="BG113" s="37">
        <f>MATCH("P",$E113:$BD113,0)</f>
        <v/>
      </c>
    </row>
    <row r="114">
      <c r="A114" s="26" t="inlineStr">
        <is>
          <t>Kale W22</t>
        </is>
      </c>
      <c r="B114" s="26" t="inlineStr">
        <is>
          <t>Kale</t>
        </is>
      </c>
      <c r="C114" s="33" t="n">
        <v>0</v>
      </c>
      <c r="D114" s="34" t="n">
        <v>0</v>
      </c>
      <c r="Z114" s="35" t="inlineStr">
        <is>
          <t>P</t>
        </is>
      </c>
      <c r="AA114" s="35" t="inlineStr">
        <is>
          <t>G</t>
        </is>
      </c>
      <c r="AB114" s="35" t="inlineStr">
        <is>
          <t>G</t>
        </is>
      </c>
      <c r="AC114" s="35" t="inlineStr">
        <is>
          <t>G</t>
        </is>
      </c>
      <c r="AD114" s="35" t="inlineStr">
        <is>
          <t>G</t>
        </is>
      </c>
      <c r="AE114" s="35" t="inlineStr">
        <is>
          <t>G</t>
        </is>
      </c>
      <c r="AF114" s="35" t="inlineStr">
        <is>
          <t>G</t>
        </is>
      </c>
      <c r="AG114" s="35" t="inlineStr">
        <is>
          <t>G</t>
        </is>
      </c>
      <c r="AH114" s="35" t="inlineStr">
        <is>
          <t>G</t>
        </is>
      </c>
      <c r="AI114" s="35" t="inlineStr">
        <is>
          <t>H</t>
        </is>
      </c>
      <c r="AJ114" s="35" t="inlineStr">
        <is>
          <t>H</t>
        </is>
      </c>
      <c r="AK114" s="35" t="inlineStr">
        <is>
          <t>H</t>
        </is>
      </c>
      <c r="AL114" s="35" t="inlineStr">
        <is>
          <t>H</t>
        </is>
      </c>
      <c r="BE114" s="36">
        <f>D114*$B$6</f>
        <v/>
      </c>
      <c r="BF114" s="36">
        <f>D114*$I$13</f>
        <v/>
      </c>
      <c r="BG114" s="37">
        <f>MATCH("P",$E114:$BD114,0)</f>
        <v/>
      </c>
    </row>
    <row r="115">
      <c r="A115" s="26" t="inlineStr">
        <is>
          <t>Kale W29</t>
        </is>
      </c>
      <c r="B115" s="26" t="inlineStr">
        <is>
          <t>Kale</t>
        </is>
      </c>
      <c r="C115" s="33" t="n">
        <v>0</v>
      </c>
      <c r="D115" s="34" t="n">
        <v>0</v>
      </c>
      <c r="AG115" s="35" t="inlineStr">
        <is>
          <t>P</t>
        </is>
      </c>
      <c r="AH115" s="35" t="inlineStr">
        <is>
          <t>G</t>
        </is>
      </c>
      <c r="AI115" s="35" t="inlineStr">
        <is>
          <t>G</t>
        </is>
      </c>
      <c r="AJ115" s="35" t="inlineStr">
        <is>
          <t>G</t>
        </is>
      </c>
      <c r="AK115" s="35" t="inlineStr">
        <is>
          <t>G</t>
        </is>
      </c>
      <c r="AL115" s="35" t="inlineStr">
        <is>
          <t>G</t>
        </is>
      </c>
      <c r="AM115" s="35" t="inlineStr">
        <is>
          <t>G</t>
        </is>
      </c>
      <c r="AN115" s="35" t="inlineStr">
        <is>
          <t>G</t>
        </is>
      </c>
      <c r="AO115" s="35" t="inlineStr">
        <is>
          <t>G</t>
        </is>
      </c>
      <c r="AP115" s="35" t="inlineStr">
        <is>
          <t>H</t>
        </is>
      </c>
      <c r="AQ115" s="35" t="inlineStr">
        <is>
          <t>H</t>
        </is>
      </c>
      <c r="AR115" s="35" t="inlineStr">
        <is>
          <t>H</t>
        </is>
      </c>
      <c r="AS115" s="35" t="inlineStr">
        <is>
          <t>H</t>
        </is>
      </c>
      <c r="BE115" s="36">
        <f>D115*$B$6</f>
        <v/>
      </c>
      <c r="BF115" s="36">
        <f>D115*$I$13</f>
        <v/>
      </c>
      <c r="BG115" s="37">
        <f>MATCH("P",$E115:$BD115,0)</f>
        <v/>
      </c>
    </row>
    <row r="116">
      <c r="A116" s="26" t="inlineStr">
        <is>
          <t>Kale W30</t>
        </is>
      </c>
      <c r="B116" s="26" t="inlineStr">
        <is>
          <t>Kale</t>
        </is>
      </c>
      <c r="C116" s="33" t="n">
        <v>0</v>
      </c>
      <c r="D116" s="34" t="n">
        <v>0</v>
      </c>
      <c r="AH116" s="35" t="inlineStr">
        <is>
          <t>P</t>
        </is>
      </c>
      <c r="AI116" s="35" t="inlineStr">
        <is>
          <t>G</t>
        </is>
      </c>
      <c r="AJ116" s="35" t="inlineStr">
        <is>
          <t>G</t>
        </is>
      </c>
      <c r="AK116" s="35" t="inlineStr">
        <is>
          <t>G</t>
        </is>
      </c>
      <c r="AL116" s="35" t="inlineStr">
        <is>
          <t>G</t>
        </is>
      </c>
      <c r="AM116" s="35" t="inlineStr">
        <is>
          <t>G</t>
        </is>
      </c>
      <c r="AN116" s="35" t="inlineStr">
        <is>
          <t>G</t>
        </is>
      </c>
      <c r="AO116" s="35" t="inlineStr">
        <is>
          <t>G</t>
        </is>
      </c>
      <c r="AP116" s="35" t="inlineStr">
        <is>
          <t>G</t>
        </is>
      </c>
      <c r="AQ116" s="35" t="inlineStr">
        <is>
          <t>H</t>
        </is>
      </c>
      <c r="AR116" s="35" t="inlineStr">
        <is>
          <t>H</t>
        </is>
      </c>
      <c r="AS116" s="35" t="inlineStr">
        <is>
          <t>H</t>
        </is>
      </c>
      <c r="AT116" s="35" t="inlineStr">
        <is>
          <t>H</t>
        </is>
      </c>
      <c r="BE116" s="36">
        <f>D116*$B$6</f>
        <v/>
      </c>
      <c r="BF116" s="36">
        <f>D116*$I$13</f>
        <v/>
      </c>
      <c r="BG116" s="37">
        <f>MATCH("P",$E116:$BD116,0)</f>
        <v/>
      </c>
    </row>
    <row r="117">
      <c r="A117" s="26" t="inlineStr">
        <is>
          <t>Kale W31</t>
        </is>
      </c>
      <c r="B117" s="26" t="inlineStr">
        <is>
          <t>Kale</t>
        </is>
      </c>
      <c r="C117" s="33" t="n">
        <v>0</v>
      </c>
      <c r="D117" s="34" t="n">
        <v>0</v>
      </c>
      <c r="AI117" s="35" t="inlineStr">
        <is>
          <t>P</t>
        </is>
      </c>
      <c r="AJ117" s="35" t="inlineStr">
        <is>
          <t>G</t>
        </is>
      </c>
      <c r="AK117" s="35" t="inlineStr">
        <is>
          <t>G</t>
        </is>
      </c>
      <c r="AL117" s="35" t="inlineStr">
        <is>
          <t>G</t>
        </is>
      </c>
      <c r="AM117" s="35" t="inlineStr">
        <is>
          <t>G</t>
        </is>
      </c>
      <c r="AN117" s="35" t="inlineStr">
        <is>
          <t>G</t>
        </is>
      </c>
      <c r="AO117" s="35" t="inlineStr">
        <is>
          <t>G</t>
        </is>
      </c>
      <c r="AP117" s="35" t="inlineStr">
        <is>
          <t>G</t>
        </is>
      </c>
      <c r="AQ117" s="35" t="inlineStr">
        <is>
          <t>G</t>
        </is>
      </c>
      <c r="AR117" s="35" t="inlineStr">
        <is>
          <t>H</t>
        </is>
      </c>
      <c r="AS117" s="35" t="inlineStr">
        <is>
          <t>H</t>
        </is>
      </c>
      <c r="AT117" s="35" t="inlineStr">
        <is>
          <t>H</t>
        </is>
      </c>
      <c r="AU117" s="35" t="inlineStr">
        <is>
          <t>H</t>
        </is>
      </c>
      <c r="BE117" s="36">
        <f>D117*$B$6</f>
        <v/>
      </c>
      <c r="BF117" s="36">
        <f>D117*$I$13</f>
        <v/>
      </c>
      <c r="BG117" s="37">
        <f>MATCH("P",$E117:$BD117,0)</f>
        <v/>
      </c>
    </row>
    <row r="118">
      <c r="A118" s="26" t="inlineStr">
        <is>
          <t>Kale W32</t>
        </is>
      </c>
      <c r="B118" s="26" t="inlineStr">
        <is>
          <t>Kale</t>
        </is>
      </c>
      <c r="C118" s="33" t="n">
        <v>0</v>
      </c>
      <c r="D118" s="34" t="n">
        <v>0</v>
      </c>
      <c r="AJ118" s="35" t="inlineStr">
        <is>
          <t>P</t>
        </is>
      </c>
      <c r="AK118" s="35" t="inlineStr">
        <is>
          <t>G</t>
        </is>
      </c>
      <c r="AL118" s="35" t="inlineStr">
        <is>
          <t>G</t>
        </is>
      </c>
      <c r="AM118" s="35" t="inlineStr">
        <is>
          <t>G</t>
        </is>
      </c>
      <c r="AN118" s="35" t="inlineStr">
        <is>
          <t>G</t>
        </is>
      </c>
      <c r="AO118" s="35" t="inlineStr">
        <is>
          <t>G</t>
        </is>
      </c>
      <c r="AP118" s="35" t="inlineStr">
        <is>
          <t>G</t>
        </is>
      </c>
      <c r="AQ118" s="35" t="inlineStr">
        <is>
          <t>G</t>
        </is>
      </c>
      <c r="AR118" s="35" t="inlineStr">
        <is>
          <t>G</t>
        </is>
      </c>
      <c r="AS118" s="35" t="inlineStr">
        <is>
          <t>H</t>
        </is>
      </c>
      <c r="AT118" s="35" t="inlineStr">
        <is>
          <t>H</t>
        </is>
      </c>
      <c r="AU118" s="35" t="inlineStr">
        <is>
          <t>H</t>
        </is>
      </c>
      <c r="AV118" s="35" t="inlineStr">
        <is>
          <t>H</t>
        </is>
      </c>
      <c r="BE118" s="36">
        <f>D118*$B$6</f>
        <v/>
      </c>
      <c r="BF118" s="36">
        <f>D118*$I$13</f>
        <v/>
      </c>
      <c r="BG118" s="37">
        <f>MATCH("P",$E118:$BD118,0)</f>
        <v/>
      </c>
    </row>
    <row r="119">
      <c r="A119" s="26" t="inlineStr">
        <is>
          <t>Kale W33</t>
        </is>
      </c>
      <c r="B119" s="26" t="inlineStr">
        <is>
          <t>Kale</t>
        </is>
      </c>
      <c r="C119" s="33" t="n">
        <v>0</v>
      </c>
      <c r="D119" s="34" t="n">
        <v>0</v>
      </c>
      <c r="AK119" s="35" t="inlineStr">
        <is>
          <t>P</t>
        </is>
      </c>
      <c r="AL119" s="35" t="inlineStr">
        <is>
          <t>G</t>
        </is>
      </c>
      <c r="AM119" s="35" t="inlineStr">
        <is>
          <t>G</t>
        </is>
      </c>
      <c r="AN119" s="35" t="inlineStr">
        <is>
          <t>G</t>
        </is>
      </c>
      <c r="AO119" s="35" t="inlineStr">
        <is>
          <t>G</t>
        </is>
      </c>
      <c r="AP119" s="35" t="inlineStr">
        <is>
          <t>G</t>
        </is>
      </c>
      <c r="AQ119" s="35" t="inlineStr">
        <is>
          <t>G</t>
        </is>
      </c>
      <c r="AR119" s="35" t="inlineStr">
        <is>
          <t>G</t>
        </is>
      </c>
      <c r="AS119" s="35" t="inlineStr">
        <is>
          <t>G</t>
        </is>
      </c>
      <c r="AT119" s="35" t="inlineStr">
        <is>
          <t>H</t>
        </is>
      </c>
      <c r="AU119" s="35" t="inlineStr">
        <is>
          <t>H</t>
        </is>
      </c>
      <c r="AV119" s="35" t="inlineStr">
        <is>
          <t>H</t>
        </is>
      </c>
      <c r="AW119" s="35" t="inlineStr">
        <is>
          <t>H</t>
        </is>
      </c>
      <c r="BE119" s="36">
        <f>D119*$B$6</f>
        <v/>
      </c>
      <c r="BF119" s="36">
        <f>D119*$I$13</f>
        <v/>
      </c>
      <c r="BG119" s="37">
        <f>MATCH("P",$E119:$BD119,0)</f>
        <v/>
      </c>
    </row>
    <row r="120">
      <c r="A120" s="26" t="inlineStr">
        <is>
          <t>Kale W34</t>
        </is>
      </c>
      <c r="B120" s="26" t="inlineStr">
        <is>
          <t>Kale</t>
        </is>
      </c>
      <c r="C120" s="33" t="n">
        <v>0</v>
      </c>
      <c r="D120" s="34" t="n">
        <v>0</v>
      </c>
      <c r="AL120" s="35" t="inlineStr">
        <is>
          <t>P</t>
        </is>
      </c>
      <c r="AM120" s="35" t="inlineStr">
        <is>
          <t>G</t>
        </is>
      </c>
      <c r="AN120" s="35" t="inlineStr">
        <is>
          <t>G</t>
        </is>
      </c>
      <c r="AO120" s="35" t="inlineStr">
        <is>
          <t>G</t>
        </is>
      </c>
      <c r="AP120" s="35" t="inlineStr">
        <is>
          <t>G</t>
        </is>
      </c>
      <c r="AQ120" s="35" t="inlineStr">
        <is>
          <t>G</t>
        </is>
      </c>
      <c r="AR120" s="35" t="inlineStr">
        <is>
          <t>G</t>
        </is>
      </c>
      <c r="AS120" s="35" t="inlineStr">
        <is>
          <t>G</t>
        </is>
      </c>
      <c r="AT120" s="35" t="inlineStr">
        <is>
          <t>G</t>
        </is>
      </c>
      <c r="AU120" s="35" t="inlineStr">
        <is>
          <t>H</t>
        </is>
      </c>
      <c r="AV120" s="35" t="inlineStr">
        <is>
          <t>H</t>
        </is>
      </c>
      <c r="AW120" s="35" t="inlineStr">
        <is>
          <t>H</t>
        </is>
      </c>
      <c r="AX120" s="35" t="inlineStr">
        <is>
          <t>H</t>
        </is>
      </c>
      <c r="BE120" s="36">
        <f>D120*$B$6</f>
        <v/>
      </c>
      <c r="BF120" s="36">
        <f>D120*$I$13</f>
        <v/>
      </c>
      <c r="BG120" s="37">
        <f>MATCH("P",$E120:$BD120,0)</f>
        <v/>
      </c>
    </row>
    <row r="121">
      <c r="A121" s="26" t="inlineStr">
        <is>
          <t>Kale W35</t>
        </is>
      </c>
      <c r="B121" s="26" t="inlineStr">
        <is>
          <t>Kale</t>
        </is>
      </c>
      <c r="C121" s="33" t="n">
        <v>0</v>
      </c>
      <c r="D121" s="34" t="n">
        <v>0</v>
      </c>
      <c r="AM121" s="35" t="inlineStr">
        <is>
          <t>P</t>
        </is>
      </c>
      <c r="AN121" s="35" t="inlineStr">
        <is>
          <t>G</t>
        </is>
      </c>
      <c r="AO121" s="35" t="inlineStr">
        <is>
          <t>G</t>
        </is>
      </c>
      <c r="AP121" s="35" t="inlineStr">
        <is>
          <t>G</t>
        </is>
      </c>
      <c r="AQ121" s="35" t="inlineStr">
        <is>
          <t>G</t>
        </is>
      </c>
      <c r="AR121" s="35" t="inlineStr">
        <is>
          <t>G</t>
        </is>
      </c>
      <c r="AS121" s="35" t="inlineStr">
        <is>
          <t>G</t>
        </is>
      </c>
      <c r="AT121" s="35" t="inlineStr">
        <is>
          <t>G</t>
        </is>
      </c>
      <c r="AU121" s="35" t="inlineStr">
        <is>
          <t>G</t>
        </is>
      </c>
      <c r="AV121" s="35" t="inlineStr">
        <is>
          <t>H</t>
        </is>
      </c>
      <c r="AW121" s="35" t="inlineStr">
        <is>
          <t>H</t>
        </is>
      </c>
      <c r="AX121" s="35" t="inlineStr">
        <is>
          <t>H</t>
        </is>
      </c>
      <c r="AY121" s="35" t="inlineStr">
        <is>
          <t>H</t>
        </is>
      </c>
      <c r="BE121" s="36">
        <f>D121*$B$6</f>
        <v/>
      </c>
      <c r="BF121" s="36">
        <f>D121*$I$13</f>
        <v/>
      </c>
      <c r="BG121" s="37">
        <f>MATCH("P",$E121:$BD121,0)</f>
        <v/>
      </c>
    </row>
    <row r="122">
      <c r="A122" s="26" t="inlineStr">
        <is>
          <t>Kale W36</t>
        </is>
      </c>
      <c r="B122" s="26" t="inlineStr">
        <is>
          <t>Kale</t>
        </is>
      </c>
      <c r="C122" s="33" t="n">
        <v>0</v>
      </c>
      <c r="D122" s="34" t="n">
        <v>0</v>
      </c>
      <c r="AN122" s="35" t="inlineStr">
        <is>
          <t>P</t>
        </is>
      </c>
      <c r="AO122" s="35" t="inlineStr">
        <is>
          <t>G</t>
        </is>
      </c>
      <c r="AP122" s="35" t="inlineStr">
        <is>
          <t>G</t>
        </is>
      </c>
      <c r="AQ122" s="35" t="inlineStr">
        <is>
          <t>G</t>
        </is>
      </c>
      <c r="AR122" s="35" t="inlineStr">
        <is>
          <t>G</t>
        </is>
      </c>
      <c r="AS122" s="35" t="inlineStr">
        <is>
          <t>G</t>
        </is>
      </c>
      <c r="AT122" s="35" t="inlineStr">
        <is>
          <t>G</t>
        </is>
      </c>
      <c r="AU122" s="35" t="inlineStr">
        <is>
          <t>G</t>
        </is>
      </c>
      <c r="AV122" s="35" t="inlineStr">
        <is>
          <t>G</t>
        </is>
      </c>
      <c r="AW122" s="35" t="inlineStr">
        <is>
          <t>H</t>
        </is>
      </c>
      <c r="AX122" s="35" t="inlineStr">
        <is>
          <t>H</t>
        </is>
      </c>
      <c r="AY122" s="35" t="inlineStr">
        <is>
          <t>H</t>
        </is>
      </c>
      <c r="AZ122" s="35" t="inlineStr">
        <is>
          <t>H</t>
        </is>
      </c>
      <c r="BE122" s="36">
        <f>D122*$B$6</f>
        <v/>
      </c>
      <c r="BF122" s="36">
        <f>D122*$I$13</f>
        <v/>
      </c>
      <c r="BG122" s="37">
        <f>MATCH("P",$E122:$BD122,0)</f>
        <v/>
      </c>
    </row>
    <row r="123">
      <c r="A123" s="26" t="inlineStr">
        <is>
          <t>Kale W37</t>
        </is>
      </c>
      <c r="B123" s="26" t="inlineStr">
        <is>
          <t>Kale</t>
        </is>
      </c>
      <c r="C123" s="33" t="n">
        <v>0</v>
      </c>
      <c r="D123" s="34" t="n">
        <v>0</v>
      </c>
      <c r="AO123" s="35" t="inlineStr">
        <is>
          <t>P</t>
        </is>
      </c>
      <c r="AP123" s="35" t="inlineStr">
        <is>
          <t>G</t>
        </is>
      </c>
      <c r="AQ123" s="35" t="inlineStr">
        <is>
          <t>G</t>
        </is>
      </c>
      <c r="AR123" s="35" t="inlineStr">
        <is>
          <t>G</t>
        </is>
      </c>
      <c r="AS123" s="35" t="inlineStr">
        <is>
          <t>G</t>
        </is>
      </c>
      <c r="AT123" s="35" t="inlineStr">
        <is>
          <t>G</t>
        </is>
      </c>
      <c r="AU123" s="35" t="inlineStr">
        <is>
          <t>G</t>
        </is>
      </c>
      <c r="AV123" s="35" t="inlineStr">
        <is>
          <t>G</t>
        </is>
      </c>
      <c r="AW123" s="35" t="inlineStr">
        <is>
          <t>G</t>
        </is>
      </c>
      <c r="AX123" s="35" t="inlineStr">
        <is>
          <t>H</t>
        </is>
      </c>
      <c r="AY123" s="35" t="inlineStr">
        <is>
          <t>H</t>
        </is>
      </c>
      <c r="AZ123" s="35" t="inlineStr">
        <is>
          <t>H</t>
        </is>
      </c>
      <c r="BA123" s="35" t="inlineStr">
        <is>
          <t>H</t>
        </is>
      </c>
      <c r="BE123" s="36">
        <f>D123*$B$6</f>
        <v/>
      </c>
      <c r="BF123" s="36">
        <f>D123*$I$13</f>
        <v/>
      </c>
      <c r="BG123" s="37">
        <f>MATCH("P",$E123:$BD123,0)</f>
        <v/>
      </c>
    </row>
    <row r="124">
      <c r="A124" s="26" t="inlineStr">
        <is>
          <t>Kale W38</t>
        </is>
      </c>
      <c r="B124" s="26" t="inlineStr">
        <is>
          <t>Kale</t>
        </is>
      </c>
      <c r="C124" s="33" t="n">
        <v>0</v>
      </c>
      <c r="D124" s="34" t="n">
        <v>0</v>
      </c>
      <c r="AP124" s="35" t="inlineStr">
        <is>
          <t>P</t>
        </is>
      </c>
      <c r="AQ124" s="35" t="inlineStr">
        <is>
          <t>G</t>
        </is>
      </c>
      <c r="AR124" s="35" t="inlineStr">
        <is>
          <t>G</t>
        </is>
      </c>
      <c r="AS124" s="35" t="inlineStr">
        <is>
          <t>G</t>
        </is>
      </c>
      <c r="AT124" s="35" t="inlineStr">
        <is>
          <t>G</t>
        </is>
      </c>
      <c r="AU124" s="35" t="inlineStr">
        <is>
          <t>G</t>
        </is>
      </c>
      <c r="AV124" s="35" t="inlineStr">
        <is>
          <t>G</t>
        </is>
      </c>
      <c r="AW124" s="35" t="inlineStr">
        <is>
          <t>G</t>
        </is>
      </c>
      <c r="AX124" s="35" t="inlineStr">
        <is>
          <t>G</t>
        </is>
      </c>
      <c r="AY124" s="35" t="inlineStr">
        <is>
          <t>H</t>
        </is>
      </c>
      <c r="AZ124" s="35" t="inlineStr">
        <is>
          <t>H</t>
        </is>
      </c>
      <c r="BA124" s="35" t="inlineStr">
        <is>
          <t>H</t>
        </is>
      </c>
      <c r="BB124" s="35" t="inlineStr">
        <is>
          <t>H</t>
        </is>
      </c>
      <c r="BE124" s="36">
        <f>D124*$B$6</f>
        <v/>
      </c>
      <c r="BF124" s="36">
        <f>D124*$I$13</f>
        <v/>
      </c>
      <c r="BG124" s="37">
        <f>MATCH("P",$E124:$BD124,0)</f>
        <v/>
      </c>
    </row>
    <row r="125">
      <c r="A125" s="26" t="inlineStr">
        <is>
          <t>Kale W39</t>
        </is>
      </c>
      <c r="B125" s="26" t="inlineStr">
        <is>
          <t>Kale</t>
        </is>
      </c>
      <c r="C125" s="33" t="n">
        <v>0</v>
      </c>
      <c r="D125" s="34" t="n">
        <v>0</v>
      </c>
      <c r="AQ125" s="35" t="inlineStr">
        <is>
          <t>P</t>
        </is>
      </c>
      <c r="AR125" s="35" t="inlineStr">
        <is>
          <t>G</t>
        </is>
      </c>
      <c r="AS125" s="35" t="inlineStr">
        <is>
          <t>G</t>
        </is>
      </c>
      <c r="AT125" s="35" t="inlineStr">
        <is>
          <t>G</t>
        </is>
      </c>
      <c r="AU125" s="35" t="inlineStr">
        <is>
          <t>G</t>
        </is>
      </c>
      <c r="AV125" s="35" t="inlineStr">
        <is>
          <t>G</t>
        </is>
      </c>
      <c r="AW125" s="35" t="inlineStr">
        <is>
          <t>G</t>
        </is>
      </c>
      <c r="AX125" s="35" t="inlineStr">
        <is>
          <t>G</t>
        </is>
      </c>
      <c r="AY125" s="35" t="inlineStr">
        <is>
          <t>G</t>
        </is>
      </c>
      <c r="AZ125" s="35" t="inlineStr">
        <is>
          <t>H</t>
        </is>
      </c>
      <c r="BA125" s="35" t="inlineStr">
        <is>
          <t>H</t>
        </is>
      </c>
      <c r="BB125" s="35" t="inlineStr">
        <is>
          <t>H</t>
        </is>
      </c>
      <c r="BC125" s="35" t="inlineStr">
        <is>
          <t>H</t>
        </is>
      </c>
      <c r="BE125" s="36">
        <f>D125*$B$6</f>
        <v/>
      </c>
      <c r="BF125" s="36">
        <f>D125*$I$13</f>
        <v/>
      </c>
      <c r="BG125" s="37">
        <f>MATCH("P",$E125:$BD125,0)</f>
        <v/>
      </c>
    </row>
    <row r="126">
      <c r="A126" s="26" t="inlineStr">
        <is>
          <t>Kale W40</t>
        </is>
      </c>
      <c r="B126" s="26" t="inlineStr">
        <is>
          <t>Kale</t>
        </is>
      </c>
      <c r="C126" s="33" t="n">
        <v>0</v>
      </c>
      <c r="D126" s="34" t="n">
        <v>0</v>
      </c>
      <c r="AR126" s="35" t="inlineStr">
        <is>
          <t>P</t>
        </is>
      </c>
      <c r="AS126" s="35" t="inlineStr">
        <is>
          <t>G</t>
        </is>
      </c>
      <c r="AT126" s="35" t="inlineStr">
        <is>
          <t>G</t>
        </is>
      </c>
      <c r="AU126" s="35" t="inlineStr">
        <is>
          <t>G</t>
        </is>
      </c>
      <c r="AV126" s="35" t="inlineStr">
        <is>
          <t>G</t>
        </is>
      </c>
      <c r="AW126" s="35" t="inlineStr">
        <is>
          <t>G</t>
        </is>
      </c>
      <c r="AX126" s="35" t="inlineStr">
        <is>
          <t>G</t>
        </is>
      </c>
      <c r="AY126" s="35" t="inlineStr">
        <is>
          <t>G</t>
        </is>
      </c>
      <c r="AZ126" s="35" t="inlineStr">
        <is>
          <t>G</t>
        </is>
      </c>
      <c r="BA126" s="35" t="inlineStr">
        <is>
          <t>H</t>
        </is>
      </c>
      <c r="BB126" s="35" t="inlineStr">
        <is>
          <t>H</t>
        </is>
      </c>
      <c r="BC126" s="35" t="inlineStr">
        <is>
          <t>H</t>
        </is>
      </c>
      <c r="BD126" s="35" t="inlineStr">
        <is>
          <t>H</t>
        </is>
      </c>
      <c r="BE126" s="36">
        <f>D126*$B$6</f>
        <v/>
      </c>
      <c r="BF126" s="36">
        <f>D126*$I$13</f>
        <v/>
      </c>
      <c r="BG126" s="37">
        <f>MATCH("P",$E126:$BD126,0)</f>
        <v/>
      </c>
    </row>
    <row r="127">
      <c r="A127" s="26" t="inlineStr">
        <is>
          <t>Garlic W46</t>
        </is>
      </c>
      <c r="B127" s="26" t="inlineStr">
        <is>
          <t>Garlic</t>
        </is>
      </c>
      <c r="C127" s="33" t="n">
        <v>0</v>
      </c>
      <c r="D127" s="34" t="n">
        <v>0</v>
      </c>
      <c r="E127" s="35" t="inlineStr">
        <is>
          <t>G</t>
        </is>
      </c>
      <c r="F127" s="35" t="inlineStr">
        <is>
          <t>G</t>
        </is>
      </c>
      <c r="G127" s="35" t="inlineStr">
        <is>
          <t>G</t>
        </is>
      </c>
      <c r="H127" s="35" t="inlineStr">
        <is>
          <t>G</t>
        </is>
      </c>
      <c r="I127" s="35" t="inlineStr">
        <is>
          <t>G</t>
        </is>
      </c>
      <c r="J127" s="35" t="inlineStr">
        <is>
          <t>G</t>
        </is>
      </c>
      <c r="K127" s="35" t="inlineStr">
        <is>
          <t>G</t>
        </is>
      </c>
      <c r="L127" s="35" t="inlineStr">
        <is>
          <t>G</t>
        </is>
      </c>
      <c r="M127" s="35" t="inlineStr">
        <is>
          <t>G</t>
        </is>
      </c>
      <c r="N127" s="35" t="inlineStr">
        <is>
          <t>G</t>
        </is>
      </c>
      <c r="O127" s="35" t="inlineStr">
        <is>
          <t>G</t>
        </is>
      </c>
      <c r="P127" s="35" t="inlineStr">
        <is>
          <t>G</t>
        </is>
      </c>
      <c r="Q127" s="35" t="inlineStr">
        <is>
          <t>G</t>
        </is>
      </c>
      <c r="R127" s="35" t="inlineStr">
        <is>
          <t>G</t>
        </is>
      </c>
      <c r="S127" s="35" t="inlineStr">
        <is>
          <t>G</t>
        </is>
      </c>
      <c r="T127" s="35" t="inlineStr">
        <is>
          <t>G</t>
        </is>
      </c>
      <c r="U127" s="35" t="inlineStr">
        <is>
          <t>G</t>
        </is>
      </c>
      <c r="V127" s="35" t="inlineStr">
        <is>
          <t>G</t>
        </is>
      </c>
      <c r="W127" s="35" t="inlineStr">
        <is>
          <t>G</t>
        </is>
      </c>
      <c r="X127" s="35" t="inlineStr">
        <is>
          <t>G</t>
        </is>
      </c>
      <c r="Y127" s="35" t="inlineStr">
        <is>
          <t>G</t>
        </is>
      </c>
      <c r="Z127" s="35" t="inlineStr">
        <is>
          <t>G</t>
        </is>
      </c>
      <c r="AA127" s="35" t="inlineStr">
        <is>
          <t>G</t>
        </is>
      </c>
      <c r="AB127" s="35" t="inlineStr">
        <is>
          <t>G</t>
        </is>
      </c>
      <c r="AC127" s="35" t="inlineStr">
        <is>
          <t>G</t>
        </is>
      </c>
      <c r="AD127" s="35" t="inlineStr">
        <is>
          <t>G</t>
        </is>
      </c>
      <c r="AE127" s="35" t="inlineStr">
        <is>
          <t>G</t>
        </is>
      </c>
      <c r="AF127" s="35" t="inlineStr">
        <is>
          <t>G</t>
        </is>
      </c>
      <c r="AG127" s="35" t="inlineStr">
        <is>
          <t>H</t>
        </is>
      </c>
      <c r="AX127" s="35" t="inlineStr">
        <is>
          <t>P</t>
        </is>
      </c>
      <c r="AY127" s="35" t="inlineStr">
        <is>
          <t>P</t>
        </is>
      </c>
      <c r="AZ127" s="35" t="inlineStr">
        <is>
          <t>P</t>
        </is>
      </c>
      <c r="BA127" s="35" t="inlineStr">
        <is>
          <t>G</t>
        </is>
      </c>
      <c r="BB127" s="35" t="inlineStr">
        <is>
          <t>G</t>
        </is>
      </c>
      <c r="BC127" s="35" t="inlineStr">
        <is>
          <t>G</t>
        </is>
      </c>
      <c r="BD127" s="35" t="inlineStr">
        <is>
          <t>G</t>
        </is>
      </c>
      <c r="BE127" s="36">
        <f>D127*$B$6</f>
        <v/>
      </c>
      <c r="BF127" s="36">
        <f>D127*$I$14</f>
        <v/>
      </c>
      <c r="BG127" s="37">
        <f>MATCH("P",$E127:$BD127,0)</f>
        <v/>
      </c>
    </row>
    <row r="128">
      <c r="A128" s="26" t="inlineStr">
        <is>
          <t>Garlic W47</t>
        </is>
      </c>
      <c r="B128" s="26" t="inlineStr">
        <is>
          <t>Garlic</t>
        </is>
      </c>
      <c r="C128" s="33" t="n">
        <v>0</v>
      </c>
      <c r="D128" s="34" t="n">
        <v>0</v>
      </c>
      <c r="E128" s="35" t="inlineStr">
        <is>
          <t>G</t>
        </is>
      </c>
      <c r="F128" s="35" t="inlineStr">
        <is>
          <t>G</t>
        </is>
      </c>
      <c r="G128" s="35" t="inlineStr">
        <is>
          <t>G</t>
        </is>
      </c>
      <c r="H128" s="35" t="inlineStr">
        <is>
          <t>G</t>
        </is>
      </c>
      <c r="I128" s="35" t="inlineStr">
        <is>
          <t>G</t>
        </is>
      </c>
      <c r="J128" s="35" t="inlineStr">
        <is>
          <t>G</t>
        </is>
      </c>
      <c r="K128" s="35" t="inlineStr">
        <is>
          <t>G</t>
        </is>
      </c>
      <c r="L128" s="35" t="inlineStr">
        <is>
          <t>G</t>
        </is>
      </c>
      <c r="M128" s="35" t="inlineStr">
        <is>
          <t>G</t>
        </is>
      </c>
      <c r="N128" s="35" t="inlineStr">
        <is>
          <t>G</t>
        </is>
      </c>
      <c r="O128" s="35" t="inlineStr">
        <is>
          <t>G</t>
        </is>
      </c>
      <c r="P128" s="35" t="inlineStr">
        <is>
          <t>G</t>
        </is>
      </c>
      <c r="Q128" s="35" t="inlineStr">
        <is>
          <t>G</t>
        </is>
      </c>
      <c r="R128" s="35" t="inlineStr">
        <is>
          <t>G</t>
        </is>
      </c>
      <c r="S128" s="35" t="inlineStr">
        <is>
          <t>G</t>
        </is>
      </c>
      <c r="T128" s="35" t="inlineStr">
        <is>
          <t>G</t>
        </is>
      </c>
      <c r="U128" s="35" t="inlineStr">
        <is>
          <t>G</t>
        </is>
      </c>
      <c r="V128" s="35" t="inlineStr">
        <is>
          <t>G</t>
        </is>
      </c>
      <c r="W128" s="35" t="inlineStr">
        <is>
          <t>G</t>
        </is>
      </c>
      <c r="X128" s="35" t="inlineStr">
        <is>
          <t>G</t>
        </is>
      </c>
      <c r="Y128" s="35" t="inlineStr">
        <is>
          <t>G</t>
        </is>
      </c>
      <c r="Z128" s="35" t="inlineStr">
        <is>
          <t>G</t>
        </is>
      </c>
      <c r="AA128" s="35" t="inlineStr">
        <is>
          <t>G</t>
        </is>
      </c>
      <c r="AB128" s="35" t="inlineStr">
        <is>
          <t>G</t>
        </is>
      </c>
      <c r="AC128" s="35" t="inlineStr">
        <is>
          <t>G</t>
        </is>
      </c>
      <c r="AD128" s="35" t="inlineStr">
        <is>
          <t>G</t>
        </is>
      </c>
      <c r="AE128" s="35" t="inlineStr">
        <is>
          <t>G</t>
        </is>
      </c>
      <c r="AF128" s="35" t="inlineStr">
        <is>
          <t>G</t>
        </is>
      </c>
      <c r="AG128" s="35" t="inlineStr">
        <is>
          <t>G</t>
        </is>
      </c>
      <c r="AH128" s="35" t="inlineStr">
        <is>
          <t>H</t>
        </is>
      </c>
      <c r="AY128" s="35" t="inlineStr">
        <is>
          <t>P</t>
        </is>
      </c>
      <c r="AZ128" s="35" t="inlineStr">
        <is>
          <t>P</t>
        </is>
      </c>
      <c r="BA128" s="35" t="inlineStr">
        <is>
          <t>P</t>
        </is>
      </c>
      <c r="BB128" s="35" t="inlineStr">
        <is>
          <t>G</t>
        </is>
      </c>
      <c r="BC128" s="35" t="inlineStr">
        <is>
          <t>G</t>
        </is>
      </c>
      <c r="BD128" s="35" t="inlineStr">
        <is>
          <t>G</t>
        </is>
      </c>
      <c r="BE128" s="36">
        <f>D128*$B$6</f>
        <v/>
      </c>
      <c r="BF128" s="36">
        <f>D128*$I$14</f>
        <v/>
      </c>
      <c r="BG128" s="37">
        <f>MATCH("P",$E128:$BD128,0)</f>
        <v/>
      </c>
    </row>
    <row r="129">
      <c r="A129" s="26" t="inlineStr">
        <is>
          <t>Garlic W48</t>
        </is>
      </c>
      <c r="B129" s="26" t="inlineStr">
        <is>
          <t>Garlic</t>
        </is>
      </c>
      <c r="C129" s="33" t="n">
        <v>0</v>
      </c>
      <c r="D129" s="34" t="n">
        <v>0</v>
      </c>
      <c r="E129" s="35" t="inlineStr">
        <is>
          <t>G</t>
        </is>
      </c>
      <c r="F129" s="35" t="inlineStr">
        <is>
          <t>G</t>
        </is>
      </c>
      <c r="G129" s="35" t="inlineStr">
        <is>
          <t>G</t>
        </is>
      </c>
      <c r="H129" s="35" t="inlineStr">
        <is>
          <t>G</t>
        </is>
      </c>
      <c r="I129" s="35" t="inlineStr">
        <is>
          <t>G</t>
        </is>
      </c>
      <c r="J129" s="35" t="inlineStr">
        <is>
          <t>G</t>
        </is>
      </c>
      <c r="K129" s="35" t="inlineStr">
        <is>
          <t>G</t>
        </is>
      </c>
      <c r="L129" s="35" t="inlineStr">
        <is>
          <t>G</t>
        </is>
      </c>
      <c r="M129" s="35" t="inlineStr">
        <is>
          <t>G</t>
        </is>
      </c>
      <c r="N129" s="35" t="inlineStr">
        <is>
          <t>G</t>
        </is>
      </c>
      <c r="O129" s="35" t="inlineStr">
        <is>
          <t>G</t>
        </is>
      </c>
      <c r="P129" s="35" t="inlineStr">
        <is>
          <t>G</t>
        </is>
      </c>
      <c r="Q129" s="35" t="inlineStr">
        <is>
          <t>G</t>
        </is>
      </c>
      <c r="R129" s="35" t="inlineStr">
        <is>
          <t>G</t>
        </is>
      </c>
      <c r="S129" s="35" t="inlineStr">
        <is>
          <t>G</t>
        </is>
      </c>
      <c r="T129" s="35" t="inlineStr">
        <is>
          <t>G</t>
        </is>
      </c>
      <c r="U129" s="35" t="inlineStr">
        <is>
          <t>G</t>
        </is>
      </c>
      <c r="V129" s="35" t="inlineStr">
        <is>
          <t>G</t>
        </is>
      </c>
      <c r="W129" s="35" t="inlineStr">
        <is>
          <t>G</t>
        </is>
      </c>
      <c r="X129" s="35" t="inlineStr">
        <is>
          <t>G</t>
        </is>
      </c>
      <c r="Y129" s="35" t="inlineStr">
        <is>
          <t>G</t>
        </is>
      </c>
      <c r="Z129" s="35" t="inlineStr">
        <is>
          <t>G</t>
        </is>
      </c>
      <c r="AA129" s="35" t="inlineStr">
        <is>
          <t>G</t>
        </is>
      </c>
      <c r="AB129" s="35" t="inlineStr">
        <is>
          <t>G</t>
        </is>
      </c>
      <c r="AC129" s="35" t="inlineStr">
        <is>
          <t>G</t>
        </is>
      </c>
      <c r="AD129" s="35" t="inlineStr">
        <is>
          <t>G</t>
        </is>
      </c>
      <c r="AE129" s="35" t="inlineStr">
        <is>
          <t>G</t>
        </is>
      </c>
      <c r="AF129" s="35" t="inlineStr">
        <is>
          <t>G</t>
        </is>
      </c>
      <c r="AG129" s="35" t="inlineStr">
        <is>
          <t>G</t>
        </is>
      </c>
      <c r="AH129" s="35" t="inlineStr">
        <is>
          <t>G</t>
        </is>
      </c>
      <c r="AI129" s="35" t="inlineStr">
        <is>
          <t>H</t>
        </is>
      </c>
      <c r="AZ129" s="35" t="inlineStr">
        <is>
          <t>P</t>
        </is>
      </c>
      <c r="BA129" s="35" t="inlineStr">
        <is>
          <t>P</t>
        </is>
      </c>
      <c r="BB129" s="35" t="inlineStr">
        <is>
          <t>P</t>
        </is>
      </c>
      <c r="BC129" s="35" t="inlineStr">
        <is>
          <t>G</t>
        </is>
      </c>
      <c r="BD129" s="35" t="inlineStr">
        <is>
          <t>G</t>
        </is>
      </c>
      <c r="BE129" s="36">
        <f>D129*$B$6</f>
        <v/>
      </c>
      <c r="BF129" s="36">
        <f>D129*$I$14</f>
        <v/>
      </c>
      <c r="BG129" s="37">
        <f>MATCH("P",$E129:$BD129,0)</f>
        <v/>
      </c>
    </row>
    <row r="130">
      <c r="A130" s="2" t="inlineStr">
        <is>
          <t>ACRES &lt;= 'max if planted' and ACRES &gt;= 'min if planted' are the app's C9 and C10: you cannot plant acres without deciding to plant, and if you plant at all you plant a real block.</t>
        </is>
      </c>
    </row>
    <row r="132">
      <c r="A132" s="30" t="inlineStr">
        <is>
          <t>Week</t>
        </is>
      </c>
      <c r="B132" s="38" t="inlineStr">
        <is>
          <t>acres</t>
        </is>
      </c>
      <c r="E132" s="31" t="n">
        <v>1</v>
      </c>
      <c r="F132" s="31" t="n">
        <v>2</v>
      </c>
      <c r="G132" s="31" t="n">
        <v>3</v>
      </c>
      <c r="H132" s="31" t="n">
        <v>4</v>
      </c>
      <c r="I132" s="31" t="n">
        <v>5</v>
      </c>
      <c r="J132" s="31" t="n">
        <v>6</v>
      </c>
      <c r="K132" s="31" t="n">
        <v>7</v>
      </c>
      <c r="L132" s="31" t="n">
        <v>8</v>
      </c>
      <c r="M132" s="31" t="n">
        <v>9</v>
      </c>
      <c r="N132" s="31" t="n">
        <v>10</v>
      </c>
      <c r="O132" s="31" t="n">
        <v>11</v>
      </c>
      <c r="P132" s="31" t="n">
        <v>12</v>
      </c>
      <c r="Q132" s="31" t="n">
        <v>13</v>
      </c>
      <c r="R132" s="31" t="n">
        <v>14</v>
      </c>
      <c r="S132" s="31" t="n">
        <v>15</v>
      </c>
      <c r="T132" s="31" t="n">
        <v>16</v>
      </c>
      <c r="U132" s="31" t="n">
        <v>17</v>
      </c>
      <c r="V132" s="31" t="n">
        <v>18</v>
      </c>
      <c r="W132" s="31" t="n">
        <v>19</v>
      </c>
      <c r="X132" s="31" t="n">
        <v>20</v>
      </c>
      <c r="Y132" s="31" t="n">
        <v>21</v>
      </c>
      <c r="Z132" s="31" t="n">
        <v>22</v>
      </c>
      <c r="AA132" s="31" t="n">
        <v>23</v>
      </c>
      <c r="AB132" s="31" t="n">
        <v>24</v>
      </c>
      <c r="AC132" s="31" t="n">
        <v>25</v>
      </c>
      <c r="AD132" s="31" t="n">
        <v>26</v>
      </c>
      <c r="AE132" s="31" t="n">
        <v>27</v>
      </c>
      <c r="AF132" s="31" t="n">
        <v>28</v>
      </c>
      <c r="AG132" s="31" t="n">
        <v>29</v>
      </c>
      <c r="AH132" s="31" t="n">
        <v>30</v>
      </c>
      <c r="AI132" s="31" t="n">
        <v>31</v>
      </c>
      <c r="AJ132" s="31" t="n">
        <v>32</v>
      </c>
      <c r="AK132" s="31" t="n">
        <v>33</v>
      </c>
      <c r="AL132" s="31" t="n">
        <v>34</v>
      </c>
      <c r="AM132" s="31" t="n">
        <v>35</v>
      </c>
      <c r="AN132" s="31" t="n">
        <v>36</v>
      </c>
      <c r="AO132" s="31" t="n">
        <v>37</v>
      </c>
      <c r="AP132" s="31" t="n">
        <v>38</v>
      </c>
      <c r="AQ132" s="31" t="n">
        <v>39</v>
      </c>
      <c r="AR132" s="31" t="n">
        <v>40</v>
      </c>
      <c r="AS132" s="31" t="n">
        <v>41</v>
      </c>
      <c r="AT132" s="31" t="n">
        <v>42</v>
      </c>
      <c r="AU132" s="31" t="n">
        <v>43</v>
      </c>
      <c r="AV132" s="31" t="n">
        <v>44</v>
      </c>
      <c r="AW132" s="31" t="n">
        <v>45</v>
      </c>
      <c r="AX132" s="31" t="n">
        <v>46</v>
      </c>
      <c r="AY132" s="31" t="n">
        <v>47</v>
      </c>
      <c r="AZ132" s="31" t="n">
        <v>48</v>
      </c>
      <c r="BA132" s="31" t="n">
        <v>49</v>
      </c>
      <c r="BB132" s="31" t="n">
        <v>50</v>
      </c>
      <c r="BC132" s="31" t="n">
        <v>51</v>
      </c>
      <c r="BD132" s="31" t="n">
        <v>52</v>
      </c>
    </row>
    <row r="133">
      <c r="A133" s="39" t="inlineStr">
        <is>
          <t>LAND in the ground</t>
        </is>
      </c>
      <c r="B133" s="2" t="inlineStr">
        <is>
          <t>used</t>
        </is>
      </c>
      <c r="E133" s="40">
        <f>SUMPRODUCT((E$62:E$129&lt;&gt;"")*$C$62:$C$129)</f>
        <v/>
      </c>
      <c r="F133" s="40">
        <f>SUMPRODUCT((F$62:F$129&lt;&gt;"")*$C$62:$C$129)</f>
        <v/>
      </c>
      <c r="G133" s="40">
        <f>SUMPRODUCT((G$62:G$129&lt;&gt;"")*$C$62:$C$129)</f>
        <v/>
      </c>
      <c r="H133" s="40">
        <f>SUMPRODUCT((H$62:H$129&lt;&gt;"")*$C$62:$C$129)</f>
        <v/>
      </c>
      <c r="I133" s="40">
        <f>SUMPRODUCT((I$62:I$129&lt;&gt;"")*$C$62:$C$129)</f>
        <v/>
      </c>
      <c r="J133" s="40">
        <f>SUMPRODUCT((J$62:J$129&lt;&gt;"")*$C$62:$C$129)</f>
        <v/>
      </c>
      <c r="K133" s="40">
        <f>SUMPRODUCT((K$62:K$129&lt;&gt;"")*$C$62:$C$129)</f>
        <v/>
      </c>
      <c r="L133" s="40">
        <f>SUMPRODUCT((L$62:L$129&lt;&gt;"")*$C$62:$C$129)</f>
        <v/>
      </c>
      <c r="M133" s="40">
        <f>SUMPRODUCT((M$62:M$129&lt;&gt;"")*$C$62:$C$129)</f>
        <v/>
      </c>
      <c r="N133" s="40">
        <f>SUMPRODUCT((N$62:N$129&lt;&gt;"")*$C$62:$C$129)</f>
        <v/>
      </c>
      <c r="O133" s="40">
        <f>SUMPRODUCT((O$62:O$129&lt;&gt;"")*$C$62:$C$129)</f>
        <v/>
      </c>
      <c r="P133" s="40">
        <f>SUMPRODUCT((P$62:P$129&lt;&gt;"")*$C$62:$C$129)</f>
        <v/>
      </c>
      <c r="Q133" s="40">
        <f>SUMPRODUCT((Q$62:Q$129&lt;&gt;"")*$C$62:$C$129)</f>
        <v/>
      </c>
      <c r="R133" s="40">
        <f>SUMPRODUCT((R$62:R$129&lt;&gt;"")*$C$62:$C$129)</f>
        <v/>
      </c>
      <c r="S133" s="40">
        <f>SUMPRODUCT((S$62:S$129&lt;&gt;"")*$C$62:$C$129)</f>
        <v/>
      </c>
      <c r="T133" s="40">
        <f>SUMPRODUCT((T$62:T$129&lt;&gt;"")*$C$62:$C$129)</f>
        <v/>
      </c>
      <c r="U133" s="40">
        <f>SUMPRODUCT((U$62:U$129&lt;&gt;"")*$C$62:$C$129)</f>
        <v/>
      </c>
      <c r="V133" s="40">
        <f>SUMPRODUCT((V$62:V$129&lt;&gt;"")*$C$62:$C$129)</f>
        <v/>
      </c>
      <c r="W133" s="40">
        <f>SUMPRODUCT((W$62:W$129&lt;&gt;"")*$C$62:$C$129)</f>
        <v/>
      </c>
      <c r="X133" s="40">
        <f>SUMPRODUCT((X$62:X$129&lt;&gt;"")*$C$62:$C$129)</f>
        <v/>
      </c>
      <c r="Y133" s="40">
        <f>SUMPRODUCT((Y$62:Y$129&lt;&gt;"")*$C$62:$C$129)</f>
        <v/>
      </c>
      <c r="Z133" s="40">
        <f>SUMPRODUCT((Z$62:Z$129&lt;&gt;"")*$C$62:$C$129)</f>
        <v/>
      </c>
      <c r="AA133" s="40">
        <f>SUMPRODUCT((AA$62:AA$129&lt;&gt;"")*$C$62:$C$129)</f>
        <v/>
      </c>
      <c r="AB133" s="40">
        <f>SUMPRODUCT((AB$62:AB$129&lt;&gt;"")*$C$62:$C$129)</f>
        <v/>
      </c>
      <c r="AC133" s="40">
        <f>SUMPRODUCT((AC$62:AC$129&lt;&gt;"")*$C$62:$C$129)</f>
        <v/>
      </c>
      <c r="AD133" s="40">
        <f>SUMPRODUCT((AD$62:AD$129&lt;&gt;"")*$C$62:$C$129)</f>
        <v/>
      </c>
      <c r="AE133" s="40">
        <f>SUMPRODUCT((AE$62:AE$129&lt;&gt;"")*$C$62:$C$129)</f>
        <v/>
      </c>
      <c r="AF133" s="40">
        <f>SUMPRODUCT((AF$62:AF$129&lt;&gt;"")*$C$62:$C$129)</f>
        <v/>
      </c>
      <c r="AG133" s="40">
        <f>SUMPRODUCT((AG$62:AG$129&lt;&gt;"")*$C$62:$C$129)</f>
        <v/>
      </c>
      <c r="AH133" s="40">
        <f>SUMPRODUCT((AH$62:AH$129&lt;&gt;"")*$C$62:$C$129)</f>
        <v/>
      </c>
      <c r="AI133" s="40">
        <f>SUMPRODUCT((AI$62:AI$129&lt;&gt;"")*$C$62:$C$129)</f>
        <v/>
      </c>
      <c r="AJ133" s="40">
        <f>SUMPRODUCT((AJ$62:AJ$129&lt;&gt;"")*$C$62:$C$129)</f>
        <v/>
      </c>
      <c r="AK133" s="40">
        <f>SUMPRODUCT((AK$62:AK$129&lt;&gt;"")*$C$62:$C$129)</f>
        <v/>
      </c>
      <c r="AL133" s="40">
        <f>SUMPRODUCT((AL$62:AL$129&lt;&gt;"")*$C$62:$C$129)</f>
        <v/>
      </c>
      <c r="AM133" s="40">
        <f>SUMPRODUCT((AM$62:AM$129&lt;&gt;"")*$C$62:$C$129)</f>
        <v/>
      </c>
      <c r="AN133" s="40">
        <f>SUMPRODUCT((AN$62:AN$129&lt;&gt;"")*$C$62:$C$129)</f>
        <v/>
      </c>
      <c r="AO133" s="40">
        <f>SUMPRODUCT((AO$62:AO$129&lt;&gt;"")*$C$62:$C$129)</f>
        <v/>
      </c>
      <c r="AP133" s="40">
        <f>SUMPRODUCT((AP$62:AP$129&lt;&gt;"")*$C$62:$C$129)</f>
        <v/>
      </c>
      <c r="AQ133" s="40">
        <f>SUMPRODUCT((AQ$62:AQ$129&lt;&gt;"")*$C$62:$C$129)</f>
        <v/>
      </c>
      <c r="AR133" s="40">
        <f>SUMPRODUCT((AR$62:AR$129&lt;&gt;"")*$C$62:$C$129)</f>
        <v/>
      </c>
      <c r="AS133" s="40">
        <f>SUMPRODUCT((AS$62:AS$129&lt;&gt;"")*$C$62:$C$129)</f>
        <v/>
      </c>
      <c r="AT133" s="40">
        <f>SUMPRODUCT((AT$62:AT$129&lt;&gt;"")*$C$62:$C$129)</f>
        <v/>
      </c>
      <c r="AU133" s="40">
        <f>SUMPRODUCT((AU$62:AU$129&lt;&gt;"")*$C$62:$C$129)</f>
        <v/>
      </c>
      <c r="AV133" s="40">
        <f>SUMPRODUCT((AV$62:AV$129&lt;&gt;"")*$C$62:$C$129)</f>
        <v/>
      </c>
      <c r="AW133" s="40">
        <f>SUMPRODUCT((AW$62:AW$129&lt;&gt;"")*$C$62:$C$129)</f>
        <v/>
      </c>
      <c r="AX133" s="40">
        <f>SUMPRODUCT((AX$62:AX$129&lt;&gt;"")*$C$62:$C$129)</f>
        <v/>
      </c>
      <c r="AY133" s="40">
        <f>SUMPRODUCT((AY$62:AY$129&lt;&gt;"")*$C$62:$C$129)</f>
        <v/>
      </c>
      <c r="AZ133" s="40">
        <f>SUMPRODUCT((AZ$62:AZ$129&lt;&gt;"")*$C$62:$C$129)</f>
        <v/>
      </c>
      <c r="BA133" s="40">
        <f>SUMPRODUCT((BA$62:BA$129&lt;&gt;"")*$C$62:$C$129)</f>
        <v/>
      </c>
      <c r="BB133" s="40">
        <f>SUMPRODUCT((BB$62:BB$129&lt;&gt;"")*$C$62:$C$129)</f>
        <v/>
      </c>
      <c r="BC133" s="40">
        <f>SUMPRODUCT((BC$62:BC$129&lt;&gt;"")*$C$62:$C$129)</f>
        <v/>
      </c>
      <c r="BD133" s="40">
        <f>SUMPRODUCT((BD$62:BD$129&lt;&gt;"")*$C$62:$C$129)</f>
        <v/>
      </c>
    </row>
    <row r="134">
      <c r="A134" s="4" t="inlineStr"/>
      <c r="E134" s="41" t="inlineStr">
        <is>
          <t>&lt;=</t>
        </is>
      </c>
      <c r="F134" s="41" t="inlineStr">
        <is>
          <t>&lt;=</t>
        </is>
      </c>
      <c r="G134" s="41" t="inlineStr">
        <is>
          <t>&lt;=</t>
        </is>
      </c>
      <c r="H134" s="41" t="inlineStr">
        <is>
          <t>&lt;=</t>
        </is>
      </c>
      <c r="I134" s="41" t="inlineStr">
        <is>
          <t>&lt;=</t>
        </is>
      </c>
      <c r="J134" s="41" t="inlineStr">
        <is>
          <t>&lt;=</t>
        </is>
      </c>
      <c r="K134" s="41" t="inlineStr">
        <is>
          <t>&lt;=</t>
        </is>
      </c>
      <c r="L134" s="41" t="inlineStr">
        <is>
          <t>&lt;=</t>
        </is>
      </c>
      <c r="M134" s="41" t="inlineStr">
        <is>
          <t>&lt;=</t>
        </is>
      </c>
      <c r="N134" s="41" t="inlineStr">
        <is>
          <t>&lt;=</t>
        </is>
      </c>
      <c r="O134" s="41" t="inlineStr">
        <is>
          <t>&lt;=</t>
        </is>
      </c>
      <c r="P134" s="41" t="inlineStr">
        <is>
          <t>&lt;=</t>
        </is>
      </c>
      <c r="Q134" s="41" t="inlineStr">
        <is>
          <t>&lt;=</t>
        </is>
      </c>
      <c r="R134" s="41" t="inlineStr">
        <is>
          <t>&lt;=</t>
        </is>
      </c>
      <c r="S134" s="41" t="inlineStr">
        <is>
          <t>&lt;=</t>
        </is>
      </c>
      <c r="T134" s="41" t="inlineStr">
        <is>
          <t>&lt;=</t>
        </is>
      </c>
      <c r="U134" s="41" t="inlineStr">
        <is>
          <t>&lt;=</t>
        </is>
      </c>
      <c r="V134" s="41" t="inlineStr">
        <is>
          <t>&lt;=</t>
        </is>
      </c>
      <c r="W134" s="41" t="inlineStr">
        <is>
          <t>&lt;=</t>
        </is>
      </c>
      <c r="X134" s="41" t="inlineStr">
        <is>
          <t>&lt;=</t>
        </is>
      </c>
      <c r="Y134" s="41" t="inlineStr">
        <is>
          <t>&lt;=</t>
        </is>
      </c>
      <c r="Z134" s="41" t="inlineStr">
        <is>
          <t>&lt;=</t>
        </is>
      </c>
      <c r="AA134" s="41" t="inlineStr">
        <is>
          <t>&lt;=</t>
        </is>
      </c>
      <c r="AB134" s="41" t="inlineStr">
        <is>
          <t>&lt;=</t>
        </is>
      </c>
      <c r="AC134" s="41" t="inlineStr">
        <is>
          <t>&lt;=</t>
        </is>
      </c>
      <c r="AD134" s="41" t="inlineStr">
        <is>
          <t>&lt;=</t>
        </is>
      </c>
      <c r="AE134" s="41" t="inlineStr">
        <is>
          <t>&lt;=</t>
        </is>
      </c>
      <c r="AF134" s="41" t="inlineStr">
        <is>
          <t>&lt;=</t>
        </is>
      </c>
      <c r="AG134" s="41" t="inlineStr">
        <is>
          <t>&lt;=</t>
        </is>
      </c>
      <c r="AH134" s="41" t="inlineStr">
        <is>
          <t>&lt;=</t>
        </is>
      </c>
      <c r="AI134" s="41" t="inlineStr">
        <is>
          <t>&lt;=</t>
        </is>
      </c>
      <c r="AJ134" s="41" t="inlineStr">
        <is>
          <t>&lt;=</t>
        </is>
      </c>
      <c r="AK134" s="41" t="inlineStr">
        <is>
          <t>&lt;=</t>
        </is>
      </c>
      <c r="AL134" s="41" t="inlineStr">
        <is>
          <t>&lt;=</t>
        </is>
      </c>
      <c r="AM134" s="41" t="inlineStr">
        <is>
          <t>&lt;=</t>
        </is>
      </c>
      <c r="AN134" s="41" t="inlineStr">
        <is>
          <t>&lt;=</t>
        </is>
      </c>
      <c r="AO134" s="41" t="inlineStr">
        <is>
          <t>&lt;=</t>
        </is>
      </c>
      <c r="AP134" s="41" t="inlineStr">
        <is>
          <t>&lt;=</t>
        </is>
      </c>
      <c r="AQ134" s="41" t="inlineStr">
        <is>
          <t>&lt;=</t>
        </is>
      </c>
      <c r="AR134" s="41" t="inlineStr">
        <is>
          <t>&lt;=</t>
        </is>
      </c>
      <c r="AS134" s="41" t="inlineStr">
        <is>
          <t>&lt;=</t>
        </is>
      </c>
      <c r="AT134" s="41" t="inlineStr">
        <is>
          <t>&lt;=</t>
        </is>
      </c>
      <c r="AU134" s="41" t="inlineStr">
        <is>
          <t>&lt;=</t>
        </is>
      </c>
      <c r="AV134" s="41" t="inlineStr">
        <is>
          <t>&lt;=</t>
        </is>
      </c>
      <c r="AW134" s="41" t="inlineStr">
        <is>
          <t>&lt;=</t>
        </is>
      </c>
      <c r="AX134" s="41" t="inlineStr">
        <is>
          <t>&lt;=</t>
        </is>
      </c>
      <c r="AY134" s="41" t="inlineStr">
        <is>
          <t>&lt;=</t>
        </is>
      </c>
      <c r="AZ134" s="41" t="inlineStr">
        <is>
          <t>&lt;=</t>
        </is>
      </c>
      <c r="BA134" s="41" t="inlineStr">
        <is>
          <t>&lt;=</t>
        </is>
      </c>
      <c r="BB134" s="41" t="inlineStr">
        <is>
          <t>&lt;=</t>
        </is>
      </c>
      <c r="BC134" s="41" t="inlineStr">
        <is>
          <t>&lt;=</t>
        </is>
      </c>
      <c r="BD134" s="41" t="inlineStr">
        <is>
          <t>&lt;=</t>
        </is>
      </c>
    </row>
    <row r="135">
      <c r="A135" s="39" t="inlineStr">
        <is>
          <t xml:space="preserve">  limit</t>
        </is>
      </c>
      <c r="B135" s="2" t="inlineStr">
        <is>
          <t>cap</t>
        </is>
      </c>
      <c r="E135" s="40">
        <f>$B$6</f>
        <v/>
      </c>
      <c r="F135" s="40">
        <f>$B$6</f>
        <v/>
      </c>
      <c r="G135" s="40">
        <f>$B$6</f>
        <v/>
      </c>
      <c r="H135" s="40">
        <f>$B$6</f>
        <v/>
      </c>
      <c r="I135" s="40">
        <f>$B$6</f>
        <v/>
      </c>
      <c r="J135" s="40">
        <f>$B$6</f>
        <v/>
      </c>
      <c r="K135" s="40">
        <f>$B$6</f>
        <v/>
      </c>
      <c r="L135" s="40">
        <f>$B$6</f>
        <v/>
      </c>
      <c r="M135" s="40">
        <f>$B$6</f>
        <v/>
      </c>
      <c r="N135" s="40">
        <f>$B$6</f>
        <v/>
      </c>
      <c r="O135" s="40">
        <f>$B$6</f>
        <v/>
      </c>
      <c r="P135" s="40">
        <f>$B$6</f>
        <v/>
      </c>
      <c r="Q135" s="40">
        <f>$B$6</f>
        <v/>
      </c>
      <c r="R135" s="40">
        <f>$B$6</f>
        <v/>
      </c>
      <c r="S135" s="40">
        <f>$B$6</f>
        <v/>
      </c>
      <c r="T135" s="40">
        <f>$B$6</f>
        <v/>
      </c>
      <c r="U135" s="40">
        <f>$B$6</f>
        <v/>
      </c>
      <c r="V135" s="40">
        <f>$B$6</f>
        <v/>
      </c>
      <c r="W135" s="40">
        <f>$B$6</f>
        <v/>
      </c>
      <c r="X135" s="40">
        <f>$B$6</f>
        <v/>
      </c>
      <c r="Y135" s="40">
        <f>$B$6</f>
        <v/>
      </c>
      <c r="Z135" s="40">
        <f>$B$6</f>
        <v/>
      </c>
      <c r="AA135" s="40">
        <f>$B$6</f>
        <v/>
      </c>
      <c r="AB135" s="40">
        <f>$B$6</f>
        <v/>
      </c>
      <c r="AC135" s="40">
        <f>$B$6</f>
        <v/>
      </c>
      <c r="AD135" s="40">
        <f>$B$6</f>
        <v/>
      </c>
      <c r="AE135" s="40">
        <f>$B$6</f>
        <v/>
      </c>
      <c r="AF135" s="40">
        <f>$B$6</f>
        <v/>
      </c>
      <c r="AG135" s="40">
        <f>$B$6</f>
        <v/>
      </c>
      <c r="AH135" s="40">
        <f>$B$6</f>
        <v/>
      </c>
      <c r="AI135" s="40">
        <f>$B$6</f>
        <v/>
      </c>
      <c r="AJ135" s="40">
        <f>$B$6</f>
        <v/>
      </c>
      <c r="AK135" s="40">
        <f>$B$6</f>
        <v/>
      </c>
      <c r="AL135" s="40">
        <f>$B$6</f>
        <v/>
      </c>
      <c r="AM135" s="40">
        <f>$B$6</f>
        <v/>
      </c>
      <c r="AN135" s="40">
        <f>$B$6</f>
        <v/>
      </c>
      <c r="AO135" s="40">
        <f>$B$6</f>
        <v/>
      </c>
      <c r="AP135" s="40">
        <f>$B$6</f>
        <v/>
      </c>
      <c r="AQ135" s="40">
        <f>$B$6</f>
        <v/>
      </c>
      <c r="AR135" s="40">
        <f>$B$6</f>
        <v/>
      </c>
      <c r="AS135" s="40">
        <f>$B$6</f>
        <v/>
      </c>
      <c r="AT135" s="40">
        <f>$B$6</f>
        <v/>
      </c>
      <c r="AU135" s="40">
        <f>$B$6</f>
        <v/>
      </c>
      <c r="AV135" s="40">
        <f>$B$6</f>
        <v/>
      </c>
      <c r="AW135" s="40">
        <f>$B$6</f>
        <v/>
      </c>
      <c r="AX135" s="40">
        <f>$B$6</f>
        <v/>
      </c>
      <c r="AY135" s="40">
        <f>$B$6</f>
        <v/>
      </c>
      <c r="AZ135" s="40">
        <f>$B$6</f>
        <v/>
      </c>
      <c r="BA135" s="40">
        <f>$B$6</f>
        <v/>
      </c>
      <c r="BB135" s="40">
        <f>$B$6</f>
        <v/>
      </c>
      <c r="BC135" s="40">
        <f>$B$6</f>
        <v/>
      </c>
      <c r="BD135" s="40">
        <f>$B$6</f>
        <v/>
      </c>
    </row>
    <row r="136">
      <c r="A136" s="28" t="inlineStr">
        <is>
          <t xml:space="preserve">  room left</t>
        </is>
      </c>
      <c r="E136" s="40">
        <f>$B$6-E133</f>
        <v/>
      </c>
      <c r="F136" s="40">
        <f>$B$6-F133</f>
        <v/>
      </c>
      <c r="G136" s="40">
        <f>$B$6-G133</f>
        <v/>
      </c>
      <c r="H136" s="40">
        <f>$B$6-H133</f>
        <v/>
      </c>
      <c r="I136" s="40">
        <f>$B$6-I133</f>
        <v/>
      </c>
      <c r="J136" s="40">
        <f>$B$6-J133</f>
        <v/>
      </c>
      <c r="K136" s="40">
        <f>$B$6-K133</f>
        <v/>
      </c>
      <c r="L136" s="40">
        <f>$B$6-L133</f>
        <v/>
      </c>
      <c r="M136" s="40">
        <f>$B$6-M133</f>
        <v/>
      </c>
      <c r="N136" s="40">
        <f>$B$6-N133</f>
        <v/>
      </c>
      <c r="O136" s="40">
        <f>$B$6-O133</f>
        <v/>
      </c>
      <c r="P136" s="40">
        <f>$B$6-P133</f>
        <v/>
      </c>
      <c r="Q136" s="40">
        <f>$B$6-Q133</f>
        <v/>
      </c>
      <c r="R136" s="40">
        <f>$B$6-R133</f>
        <v/>
      </c>
      <c r="S136" s="40">
        <f>$B$6-S133</f>
        <v/>
      </c>
      <c r="T136" s="40">
        <f>$B$6-T133</f>
        <v/>
      </c>
      <c r="U136" s="40">
        <f>$B$6-U133</f>
        <v/>
      </c>
      <c r="V136" s="40">
        <f>$B$6-V133</f>
        <v/>
      </c>
      <c r="W136" s="40">
        <f>$B$6-W133</f>
        <v/>
      </c>
      <c r="X136" s="40">
        <f>$B$6-X133</f>
        <v/>
      </c>
      <c r="Y136" s="40">
        <f>$B$6-Y133</f>
        <v/>
      </c>
      <c r="Z136" s="40">
        <f>$B$6-Z133</f>
        <v/>
      </c>
      <c r="AA136" s="40">
        <f>$B$6-AA133</f>
        <v/>
      </c>
      <c r="AB136" s="40">
        <f>$B$6-AB133</f>
        <v/>
      </c>
      <c r="AC136" s="40">
        <f>$B$6-AC133</f>
        <v/>
      </c>
      <c r="AD136" s="40">
        <f>$B$6-AD133</f>
        <v/>
      </c>
      <c r="AE136" s="40">
        <f>$B$6-AE133</f>
        <v/>
      </c>
      <c r="AF136" s="40">
        <f>$B$6-AF133</f>
        <v/>
      </c>
      <c r="AG136" s="40">
        <f>$B$6-AG133</f>
        <v/>
      </c>
      <c r="AH136" s="40">
        <f>$B$6-AH133</f>
        <v/>
      </c>
      <c r="AI136" s="40">
        <f>$B$6-AI133</f>
        <v/>
      </c>
      <c r="AJ136" s="40">
        <f>$B$6-AJ133</f>
        <v/>
      </c>
      <c r="AK136" s="40">
        <f>$B$6-AK133</f>
        <v/>
      </c>
      <c r="AL136" s="40">
        <f>$B$6-AL133</f>
        <v/>
      </c>
      <c r="AM136" s="40">
        <f>$B$6-AM133</f>
        <v/>
      </c>
      <c r="AN136" s="40">
        <f>$B$6-AN133</f>
        <v/>
      </c>
      <c r="AO136" s="40">
        <f>$B$6-AO133</f>
        <v/>
      </c>
      <c r="AP136" s="40">
        <f>$B$6-AP133</f>
        <v/>
      </c>
      <c r="AQ136" s="40">
        <f>$B$6-AQ133</f>
        <v/>
      </c>
      <c r="AR136" s="40">
        <f>$B$6-AR133</f>
        <v/>
      </c>
      <c r="AS136" s="40">
        <f>$B$6-AS133</f>
        <v/>
      </c>
      <c r="AT136" s="40">
        <f>$B$6-AT133</f>
        <v/>
      </c>
      <c r="AU136" s="40">
        <f>$B$6-AU133</f>
        <v/>
      </c>
      <c r="AV136" s="40">
        <f>$B$6-AV133</f>
        <v/>
      </c>
      <c r="AW136" s="40">
        <f>$B$6-AW133</f>
        <v/>
      </c>
      <c r="AX136" s="40">
        <f>$B$6-AX133</f>
        <v/>
      </c>
      <c r="AY136" s="40">
        <f>$B$6-AY133</f>
        <v/>
      </c>
      <c r="AZ136" s="40">
        <f>$B$6-AZ133</f>
        <v/>
      </c>
      <c r="BA136" s="40">
        <f>$B$6-BA133</f>
        <v/>
      </c>
      <c r="BB136" s="40">
        <f>$B$6-BB133</f>
        <v/>
      </c>
      <c r="BC136" s="40">
        <f>$B$6-BC133</f>
        <v/>
      </c>
      <c r="BD136" s="40">
        <f>$B$6-BD133</f>
        <v/>
      </c>
    </row>
    <row r="137">
      <c r="A137" s="2" t="inlineStr">
        <is>
          <t xml:space="preserve">   Acres standing that week, summed across every planting the solver chose.</t>
        </is>
      </c>
    </row>
    <row r="139">
      <c r="A139" s="3" t="inlineStr">
        <is>
          <t>A — WHO IS ON, WEEK BY WEEK</t>
        </is>
      </c>
    </row>
    <row r="140">
      <c r="A140" s="2" t="inlineStr">
        <is>
          <t xml:space="preserve">   One row per position. Field hours = count x hours/wk x field time %, inside that position's own window.</t>
        </is>
      </c>
    </row>
    <row r="141">
      <c r="A141" s="30" t="inlineStr">
        <is>
          <t>Week</t>
        </is>
      </c>
      <c r="B141" s="38" t="inlineStr">
        <is>
          <t>hours</t>
        </is>
      </c>
      <c r="E141" s="31" t="n">
        <v>1</v>
      </c>
      <c r="F141" s="31" t="n">
        <v>2</v>
      </c>
      <c r="G141" s="31" t="n">
        <v>3</v>
      </c>
      <c r="H141" s="31" t="n">
        <v>4</v>
      </c>
      <c r="I141" s="31" t="n">
        <v>5</v>
      </c>
      <c r="J141" s="31" t="n">
        <v>6</v>
      </c>
      <c r="K141" s="31" t="n">
        <v>7</v>
      </c>
      <c r="L141" s="31" t="n">
        <v>8</v>
      </c>
      <c r="M141" s="31" t="n">
        <v>9</v>
      </c>
      <c r="N141" s="31" t="n">
        <v>10</v>
      </c>
      <c r="O141" s="31" t="n">
        <v>11</v>
      </c>
      <c r="P141" s="31" t="n">
        <v>12</v>
      </c>
      <c r="Q141" s="31" t="n">
        <v>13</v>
      </c>
      <c r="R141" s="31" t="n">
        <v>14</v>
      </c>
      <c r="S141" s="31" t="n">
        <v>15</v>
      </c>
      <c r="T141" s="31" t="n">
        <v>16</v>
      </c>
      <c r="U141" s="31" t="n">
        <v>17</v>
      </c>
      <c r="V141" s="31" t="n">
        <v>18</v>
      </c>
      <c r="W141" s="31" t="n">
        <v>19</v>
      </c>
      <c r="X141" s="31" t="n">
        <v>20</v>
      </c>
      <c r="Y141" s="31" t="n">
        <v>21</v>
      </c>
      <c r="Z141" s="31" t="n">
        <v>22</v>
      </c>
      <c r="AA141" s="31" t="n">
        <v>23</v>
      </c>
      <c r="AB141" s="31" t="n">
        <v>24</v>
      </c>
      <c r="AC141" s="31" t="n">
        <v>25</v>
      </c>
      <c r="AD141" s="31" t="n">
        <v>26</v>
      </c>
      <c r="AE141" s="31" t="n">
        <v>27</v>
      </c>
      <c r="AF141" s="31" t="n">
        <v>28</v>
      </c>
      <c r="AG141" s="31" t="n">
        <v>29</v>
      </c>
      <c r="AH141" s="31" t="n">
        <v>30</v>
      </c>
      <c r="AI141" s="31" t="n">
        <v>31</v>
      </c>
      <c r="AJ141" s="31" t="n">
        <v>32</v>
      </c>
      <c r="AK141" s="31" t="n">
        <v>33</v>
      </c>
      <c r="AL141" s="31" t="n">
        <v>34</v>
      </c>
      <c r="AM141" s="31" t="n">
        <v>35</v>
      </c>
      <c r="AN141" s="31" t="n">
        <v>36</v>
      </c>
      <c r="AO141" s="31" t="n">
        <v>37</v>
      </c>
      <c r="AP141" s="31" t="n">
        <v>38</v>
      </c>
      <c r="AQ141" s="31" t="n">
        <v>39</v>
      </c>
      <c r="AR141" s="31" t="n">
        <v>40</v>
      </c>
      <c r="AS141" s="31" t="n">
        <v>41</v>
      </c>
      <c r="AT141" s="31" t="n">
        <v>42</v>
      </c>
      <c r="AU141" s="31" t="n">
        <v>43</v>
      </c>
      <c r="AV141" s="31" t="n">
        <v>44</v>
      </c>
      <c r="AW141" s="31" t="n">
        <v>45</v>
      </c>
      <c r="AX141" s="31" t="n">
        <v>46</v>
      </c>
      <c r="AY141" s="31" t="n">
        <v>47</v>
      </c>
      <c r="AZ141" s="31" t="n">
        <v>48</v>
      </c>
      <c r="BA141" s="31" t="n">
        <v>49</v>
      </c>
      <c r="BB141" s="31" t="n">
        <v>50</v>
      </c>
      <c r="BC141" s="31" t="n">
        <v>51</v>
      </c>
      <c r="BD141" s="31" t="n">
        <v>52</v>
      </c>
    </row>
    <row r="142">
      <c r="A142" s="26" t="inlineStr">
        <is>
          <t xml:space="preserve">   Farm Manager</t>
        </is>
      </c>
      <c r="B142" s="2" t="inlineStr">
        <is>
          <t>hrs  (salaried)</t>
        </is>
      </c>
      <c r="E142" s="42">
        <f>IF(AND(1&gt;=$G$28,1&lt;=$H$28),$B$28*$E$28*$F$28/100,0)</f>
        <v/>
      </c>
      <c r="F142" s="42">
        <f>IF(AND(2&gt;=$G$28,2&lt;=$H$28),$B$28*$E$28*$F$28/100,0)</f>
        <v/>
      </c>
      <c r="G142" s="42">
        <f>IF(AND(3&gt;=$G$28,3&lt;=$H$28),$B$28*$E$28*$F$28/100,0)</f>
        <v/>
      </c>
      <c r="H142" s="42">
        <f>IF(AND(4&gt;=$G$28,4&lt;=$H$28),$B$28*$E$28*$F$28/100,0)</f>
        <v/>
      </c>
      <c r="I142" s="42">
        <f>IF(AND(5&gt;=$G$28,5&lt;=$H$28),$B$28*$E$28*$F$28/100,0)</f>
        <v/>
      </c>
      <c r="J142" s="42">
        <f>IF(AND(6&gt;=$G$28,6&lt;=$H$28),$B$28*$E$28*$F$28/100,0)</f>
        <v/>
      </c>
      <c r="K142" s="42">
        <f>IF(AND(7&gt;=$G$28,7&lt;=$H$28),$B$28*$E$28*$F$28/100,0)</f>
        <v/>
      </c>
      <c r="L142" s="42">
        <f>IF(AND(8&gt;=$G$28,8&lt;=$H$28),$B$28*$E$28*$F$28/100,0)</f>
        <v/>
      </c>
      <c r="M142" s="42">
        <f>IF(AND(9&gt;=$G$28,9&lt;=$H$28),$B$28*$E$28*$F$28/100,0)</f>
        <v/>
      </c>
      <c r="N142" s="42">
        <f>IF(AND(10&gt;=$G$28,10&lt;=$H$28),$B$28*$E$28*$F$28/100,0)</f>
        <v/>
      </c>
      <c r="O142" s="42">
        <f>IF(AND(11&gt;=$G$28,11&lt;=$H$28),$B$28*$E$28*$F$28/100,0)</f>
        <v/>
      </c>
      <c r="P142" s="42">
        <f>IF(AND(12&gt;=$G$28,12&lt;=$H$28),$B$28*$E$28*$F$28/100,0)</f>
        <v/>
      </c>
      <c r="Q142" s="42">
        <f>IF(AND(13&gt;=$G$28,13&lt;=$H$28),$B$28*$E$28*$F$28/100,0)</f>
        <v/>
      </c>
      <c r="R142" s="42">
        <f>IF(AND(14&gt;=$G$28,14&lt;=$H$28),$B$28*$E$28*$F$28/100,0)</f>
        <v/>
      </c>
      <c r="S142" s="42">
        <f>IF(AND(15&gt;=$G$28,15&lt;=$H$28),$B$28*$E$28*$F$28/100,0)</f>
        <v/>
      </c>
      <c r="T142" s="42">
        <f>IF(AND(16&gt;=$G$28,16&lt;=$H$28),$B$28*$E$28*$F$28/100,0)</f>
        <v/>
      </c>
      <c r="U142" s="42">
        <f>IF(AND(17&gt;=$G$28,17&lt;=$H$28),$B$28*$E$28*$F$28/100,0)</f>
        <v/>
      </c>
      <c r="V142" s="42">
        <f>IF(AND(18&gt;=$G$28,18&lt;=$H$28),$B$28*$E$28*$F$28/100,0)</f>
        <v/>
      </c>
      <c r="W142" s="42">
        <f>IF(AND(19&gt;=$G$28,19&lt;=$H$28),$B$28*$E$28*$F$28/100,0)</f>
        <v/>
      </c>
      <c r="X142" s="42">
        <f>IF(AND(20&gt;=$G$28,20&lt;=$H$28),$B$28*$E$28*$F$28/100,0)</f>
        <v/>
      </c>
      <c r="Y142" s="42">
        <f>IF(AND(21&gt;=$G$28,21&lt;=$H$28),$B$28*$E$28*$F$28/100,0)</f>
        <v/>
      </c>
      <c r="Z142" s="42">
        <f>IF(AND(22&gt;=$G$28,22&lt;=$H$28),$B$28*$E$28*$F$28/100,0)</f>
        <v/>
      </c>
      <c r="AA142" s="42">
        <f>IF(AND(23&gt;=$G$28,23&lt;=$H$28),$B$28*$E$28*$F$28/100,0)</f>
        <v/>
      </c>
      <c r="AB142" s="42">
        <f>IF(AND(24&gt;=$G$28,24&lt;=$H$28),$B$28*$E$28*$F$28/100,0)</f>
        <v/>
      </c>
      <c r="AC142" s="42">
        <f>IF(AND(25&gt;=$G$28,25&lt;=$H$28),$B$28*$E$28*$F$28/100,0)</f>
        <v/>
      </c>
      <c r="AD142" s="42">
        <f>IF(AND(26&gt;=$G$28,26&lt;=$H$28),$B$28*$E$28*$F$28/100,0)</f>
        <v/>
      </c>
      <c r="AE142" s="42">
        <f>IF(AND(27&gt;=$G$28,27&lt;=$H$28),$B$28*$E$28*$F$28/100,0)</f>
        <v/>
      </c>
      <c r="AF142" s="42">
        <f>IF(AND(28&gt;=$G$28,28&lt;=$H$28),$B$28*$E$28*$F$28/100,0)</f>
        <v/>
      </c>
      <c r="AG142" s="42">
        <f>IF(AND(29&gt;=$G$28,29&lt;=$H$28),$B$28*$E$28*$F$28/100,0)</f>
        <v/>
      </c>
      <c r="AH142" s="42">
        <f>IF(AND(30&gt;=$G$28,30&lt;=$H$28),$B$28*$E$28*$F$28/100,0)</f>
        <v/>
      </c>
      <c r="AI142" s="42">
        <f>IF(AND(31&gt;=$G$28,31&lt;=$H$28),$B$28*$E$28*$F$28/100,0)</f>
        <v/>
      </c>
      <c r="AJ142" s="42">
        <f>IF(AND(32&gt;=$G$28,32&lt;=$H$28),$B$28*$E$28*$F$28/100,0)</f>
        <v/>
      </c>
      <c r="AK142" s="42">
        <f>IF(AND(33&gt;=$G$28,33&lt;=$H$28),$B$28*$E$28*$F$28/100,0)</f>
        <v/>
      </c>
      <c r="AL142" s="42">
        <f>IF(AND(34&gt;=$G$28,34&lt;=$H$28),$B$28*$E$28*$F$28/100,0)</f>
        <v/>
      </c>
      <c r="AM142" s="42">
        <f>IF(AND(35&gt;=$G$28,35&lt;=$H$28),$B$28*$E$28*$F$28/100,0)</f>
        <v/>
      </c>
      <c r="AN142" s="42">
        <f>IF(AND(36&gt;=$G$28,36&lt;=$H$28),$B$28*$E$28*$F$28/100,0)</f>
        <v/>
      </c>
      <c r="AO142" s="42">
        <f>IF(AND(37&gt;=$G$28,37&lt;=$H$28),$B$28*$E$28*$F$28/100,0)</f>
        <v/>
      </c>
      <c r="AP142" s="42">
        <f>IF(AND(38&gt;=$G$28,38&lt;=$H$28),$B$28*$E$28*$F$28/100,0)</f>
        <v/>
      </c>
      <c r="AQ142" s="42">
        <f>IF(AND(39&gt;=$G$28,39&lt;=$H$28),$B$28*$E$28*$F$28/100,0)</f>
        <v/>
      </c>
      <c r="AR142" s="42">
        <f>IF(AND(40&gt;=$G$28,40&lt;=$H$28),$B$28*$E$28*$F$28/100,0)</f>
        <v/>
      </c>
      <c r="AS142" s="42">
        <f>IF(AND(41&gt;=$G$28,41&lt;=$H$28),$B$28*$E$28*$F$28/100,0)</f>
        <v/>
      </c>
      <c r="AT142" s="42">
        <f>IF(AND(42&gt;=$G$28,42&lt;=$H$28),$B$28*$E$28*$F$28/100,0)</f>
        <v/>
      </c>
      <c r="AU142" s="42">
        <f>IF(AND(43&gt;=$G$28,43&lt;=$H$28),$B$28*$E$28*$F$28/100,0)</f>
        <v/>
      </c>
      <c r="AV142" s="42">
        <f>IF(AND(44&gt;=$G$28,44&lt;=$H$28),$B$28*$E$28*$F$28/100,0)</f>
        <v/>
      </c>
      <c r="AW142" s="42">
        <f>IF(AND(45&gt;=$G$28,45&lt;=$H$28),$B$28*$E$28*$F$28/100,0)</f>
        <v/>
      </c>
      <c r="AX142" s="42">
        <f>IF(AND(46&gt;=$G$28,46&lt;=$H$28),$B$28*$E$28*$F$28/100,0)</f>
        <v/>
      </c>
      <c r="AY142" s="42">
        <f>IF(AND(47&gt;=$G$28,47&lt;=$H$28),$B$28*$E$28*$F$28/100,0)</f>
        <v/>
      </c>
      <c r="AZ142" s="42">
        <f>IF(AND(48&gt;=$G$28,48&lt;=$H$28),$B$28*$E$28*$F$28/100,0)</f>
        <v/>
      </c>
      <c r="BA142" s="42">
        <f>IF(AND(49&gt;=$G$28,49&lt;=$H$28),$B$28*$E$28*$F$28/100,0)</f>
        <v/>
      </c>
      <c r="BB142" s="42">
        <f>IF(AND(50&gt;=$G$28,50&lt;=$H$28),$B$28*$E$28*$F$28/100,0)</f>
        <v/>
      </c>
      <c r="BC142" s="42">
        <f>IF(AND(51&gt;=$G$28,51&lt;=$H$28),$B$28*$E$28*$F$28/100,0)</f>
        <v/>
      </c>
      <c r="BD142" s="42">
        <f>IF(AND(52&gt;=$G$28,52&lt;=$H$28),$B$28*$E$28*$F$28/100,0)</f>
        <v/>
      </c>
    </row>
    <row r="143">
      <c r="A143" s="26" t="inlineStr">
        <is>
          <t xml:space="preserve">   Equipment Operator</t>
        </is>
      </c>
      <c r="B143" s="2" t="inlineStr">
        <is>
          <t>hrs</t>
        </is>
      </c>
      <c r="E143" s="42">
        <f>IF(AND(1&gt;=$G$29,1&lt;=$H$29),$B$29*$E$29*$F$29/100,0)</f>
        <v/>
      </c>
      <c r="F143" s="42">
        <f>IF(AND(2&gt;=$G$29,2&lt;=$H$29),$B$29*$E$29*$F$29/100,0)</f>
        <v/>
      </c>
      <c r="G143" s="42">
        <f>IF(AND(3&gt;=$G$29,3&lt;=$H$29),$B$29*$E$29*$F$29/100,0)</f>
        <v/>
      </c>
      <c r="H143" s="42">
        <f>IF(AND(4&gt;=$G$29,4&lt;=$H$29),$B$29*$E$29*$F$29/100,0)</f>
        <v/>
      </c>
      <c r="I143" s="42">
        <f>IF(AND(5&gt;=$G$29,5&lt;=$H$29),$B$29*$E$29*$F$29/100,0)</f>
        <v/>
      </c>
      <c r="J143" s="42">
        <f>IF(AND(6&gt;=$G$29,6&lt;=$H$29),$B$29*$E$29*$F$29/100,0)</f>
        <v/>
      </c>
      <c r="K143" s="42">
        <f>IF(AND(7&gt;=$G$29,7&lt;=$H$29),$B$29*$E$29*$F$29/100,0)</f>
        <v/>
      </c>
      <c r="L143" s="42">
        <f>IF(AND(8&gt;=$G$29,8&lt;=$H$29),$B$29*$E$29*$F$29/100,0)</f>
        <v/>
      </c>
      <c r="M143" s="42">
        <f>IF(AND(9&gt;=$G$29,9&lt;=$H$29),$B$29*$E$29*$F$29/100,0)</f>
        <v/>
      </c>
      <c r="N143" s="42">
        <f>IF(AND(10&gt;=$G$29,10&lt;=$H$29),$B$29*$E$29*$F$29/100,0)</f>
        <v/>
      </c>
      <c r="O143" s="42">
        <f>IF(AND(11&gt;=$G$29,11&lt;=$H$29),$B$29*$E$29*$F$29/100,0)</f>
        <v/>
      </c>
      <c r="P143" s="42">
        <f>IF(AND(12&gt;=$G$29,12&lt;=$H$29),$B$29*$E$29*$F$29/100,0)</f>
        <v/>
      </c>
      <c r="Q143" s="42">
        <f>IF(AND(13&gt;=$G$29,13&lt;=$H$29),$B$29*$E$29*$F$29/100,0)</f>
        <v/>
      </c>
      <c r="R143" s="42">
        <f>IF(AND(14&gt;=$G$29,14&lt;=$H$29),$B$29*$E$29*$F$29/100,0)</f>
        <v/>
      </c>
      <c r="S143" s="42">
        <f>IF(AND(15&gt;=$G$29,15&lt;=$H$29),$B$29*$E$29*$F$29/100,0)</f>
        <v/>
      </c>
      <c r="T143" s="42">
        <f>IF(AND(16&gt;=$G$29,16&lt;=$H$29),$B$29*$E$29*$F$29/100,0)</f>
        <v/>
      </c>
      <c r="U143" s="42">
        <f>IF(AND(17&gt;=$G$29,17&lt;=$H$29),$B$29*$E$29*$F$29/100,0)</f>
        <v/>
      </c>
      <c r="V143" s="42">
        <f>IF(AND(18&gt;=$G$29,18&lt;=$H$29),$B$29*$E$29*$F$29/100,0)</f>
        <v/>
      </c>
      <c r="W143" s="42">
        <f>IF(AND(19&gt;=$G$29,19&lt;=$H$29),$B$29*$E$29*$F$29/100,0)</f>
        <v/>
      </c>
      <c r="X143" s="42">
        <f>IF(AND(20&gt;=$G$29,20&lt;=$H$29),$B$29*$E$29*$F$29/100,0)</f>
        <v/>
      </c>
      <c r="Y143" s="42">
        <f>IF(AND(21&gt;=$G$29,21&lt;=$H$29),$B$29*$E$29*$F$29/100,0)</f>
        <v/>
      </c>
      <c r="Z143" s="42">
        <f>IF(AND(22&gt;=$G$29,22&lt;=$H$29),$B$29*$E$29*$F$29/100,0)</f>
        <v/>
      </c>
      <c r="AA143" s="42">
        <f>IF(AND(23&gt;=$G$29,23&lt;=$H$29),$B$29*$E$29*$F$29/100,0)</f>
        <v/>
      </c>
      <c r="AB143" s="42">
        <f>IF(AND(24&gt;=$G$29,24&lt;=$H$29),$B$29*$E$29*$F$29/100,0)</f>
        <v/>
      </c>
      <c r="AC143" s="42">
        <f>IF(AND(25&gt;=$G$29,25&lt;=$H$29),$B$29*$E$29*$F$29/100,0)</f>
        <v/>
      </c>
      <c r="AD143" s="42">
        <f>IF(AND(26&gt;=$G$29,26&lt;=$H$29),$B$29*$E$29*$F$29/100,0)</f>
        <v/>
      </c>
      <c r="AE143" s="42">
        <f>IF(AND(27&gt;=$G$29,27&lt;=$H$29),$B$29*$E$29*$F$29/100,0)</f>
        <v/>
      </c>
      <c r="AF143" s="42">
        <f>IF(AND(28&gt;=$G$29,28&lt;=$H$29),$B$29*$E$29*$F$29/100,0)</f>
        <v/>
      </c>
      <c r="AG143" s="42">
        <f>IF(AND(29&gt;=$G$29,29&lt;=$H$29),$B$29*$E$29*$F$29/100,0)</f>
        <v/>
      </c>
      <c r="AH143" s="42">
        <f>IF(AND(30&gt;=$G$29,30&lt;=$H$29),$B$29*$E$29*$F$29/100,0)</f>
        <v/>
      </c>
      <c r="AI143" s="42">
        <f>IF(AND(31&gt;=$G$29,31&lt;=$H$29),$B$29*$E$29*$F$29/100,0)</f>
        <v/>
      </c>
      <c r="AJ143" s="42">
        <f>IF(AND(32&gt;=$G$29,32&lt;=$H$29),$B$29*$E$29*$F$29/100,0)</f>
        <v/>
      </c>
      <c r="AK143" s="42">
        <f>IF(AND(33&gt;=$G$29,33&lt;=$H$29),$B$29*$E$29*$F$29/100,0)</f>
        <v/>
      </c>
      <c r="AL143" s="42">
        <f>IF(AND(34&gt;=$G$29,34&lt;=$H$29),$B$29*$E$29*$F$29/100,0)</f>
        <v/>
      </c>
      <c r="AM143" s="42">
        <f>IF(AND(35&gt;=$G$29,35&lt;=$H$29),$B$29*$E$29*$F$29/100,0)</f>
        <v/>
      </c>
      <c r="AN143" s="42">
        <f>IF(AND(36&gt;=$G$29,36&lt;=$H$29),$B$29*$E$29*$F$29/100,0)</f>
        <v/>
      </c>
      <c r="AO143" s="42">
        <f>IF(AND(37&gt;=$G$29,37&lt;=$H$29),$B$29*$E$29*$F$29/100,0)</f>
        <v/>
      </c>
      <c r="AP143" s="42">
        <f>IF(AND(38&gt;=$G$29,38&lt;=$H$29),$B$29*$E$29*$F$29/100,0)</f>
        <v/>
      </c>
      <c r="AQ143" s="42">
        <f>IF(AND(39&gt;=$G$29,39&lt;=$H$29),$B$29*$E$29*$F$29/100,0)</f>
        <v/>
      </c>
      <c r="AR143" s="42">
        <f>IF(AND(40&gt;=$G$29,40&lt;=$H$29),$B$29*$E$29*$F$29/100,0)</f>
        <v/>
      </c>
      <c r="AS143" s="42">
        <f>IF(AND(41&gt;=$G$29,41&lt;=$H$29),$B$29*$E$29*$F$29/100,0)</f>
        <v/>
      </c>
      <c r="AT143" s="42">
        <f>IF(AND(42&gt;=$G$29,42&lt;=$H$29),$B$29*$E$29*$F$29/100,0)</f>
        <v/>
      </c>
      <c r="AU143" s="42">
        <f>IF(AND(43&gt;=$G$29,43&lt;=$H$29),$B$29*$E$29*$F$29/100,0)</f>
        <v/>
      </c>
      <c r="AV143" s="42">
        <f>IF(AND(44&gt;=$G$29,44&lt;=$H$29),$B$29*$E$29*$F$29/100,0)</f>
        <v/>
      </c>
      <c r="AW143" s="42">
        <f>IF(AND(45&gt;=$G$29,45&lt;=$H$29),$B$29*$E$29*$F$29/100,0)</f>
        <v/>
      </c>
      <c r="AX143" s="42">
        <f>IF(AND(46&gt;=$G$29,46&lt;=$H$29),$B$29*$E$29*$F$29/100,0)</f>
        <v/>
      </c>
      <c r="AY143" s="42">
        <f>IF(AND(47&gt;=$G$29,47&lt;=$H$29),$B$29*$E$29*$F$29/100,0)</f>
        <v/>
      </c>
      <c r="AZ143" s="42">
        <f>IF(AND(48&gt;=$G$29,48&lt;=$H$29),$B$29*$E$29*$F$29/100,0)</f>
        <v/>
      </c>
      <c r="BA143" s="42">
        <f>IF(AND(49&gt;=$G$29,49&lt;=$H$29),$B$29*$E$29*$F$29/100,0)</f>
        <v/>
      </c>
      <c r="BB143" s="42">
        <f>IF(AND(50&gt;=$G$29,50&lt;=$H$29),$B$29*$E$29*$F$29/100,0)</f>
        <v/>
      </c>
      <c r="BC143" s="42">
        <f>IF(AND(51&gt;=$G$29,51&lt;=$H$29),$B$29*$E$29*$F$29/100,0)</f>
        <v/>
      </c>
      <c r="BD143" s="42">
        <f>IF(AND(52&gt;=$G$29,52&lt;=$H$29),$B$29*$E$29*$F$29/100,0)</f>
        <v/>
      </c>
    </row>
    <row r="144">
      <c r="A144" s="26" t="inlineStr">
        <is>
          <t xml:space="preserve">   Seasonal Field Crew</t>
        </is>
      </c>
      <c r="B144" s="2" t="inlineStr">
        <is>
          <t>hrs</t>
        </is>
      </c>
      <c r="E144" s="42">
        <f>IF(AND(1&gt;=$G$30,1&lt;=$H$30),$B$30*$E$30*$F$30/100,0)</f>
        <v/>
      </c>
      <c r="F144" s="42">
        <f>IF(AND(2&gt;=$G$30,2&lt;=$H$30),$B$30*$E$30*$F$30/100,0)</f>
        <v/>
      </c>
      <c r="G144" s="42">
        <f>IF(AND(3&gt;=$G$30,3&lt;=$H$30),$B$30*$E$30*$F$30/100,0)</f>
        <v/>
      </c>
      <c r="H144" s="42">
        <f>IF(AND(4&gt;=$G$30,4&lt;=$H$30),$B$30*$E$30*$F$30/100,0)</f>
        <v/>
      </c>
      <c r="I144" s="42">
        <f>IF(AND(5&gt;=$G$30,5&lt;=$H$30),$B$30*$E$30*$F$30/100,0)</f>
        <v/>
      </c>
      <c r="J144" s="42">
        <f>IF(AND(6&gt;=$G$30,6&lt;=$H$30),$B$30*$E$30*$F$30/100,0)</f>
        <v/>
      </c>
      <c r="K144" s="42">
        <f>IF(AND(7&gt;=$G$30,7&lt;=$H$30),$B$30*$E$30*$F$30/100,0)</f>
        <v/>
      </c>
      <c r="L144" s="42">
        <f>IF(AND(8&gt;=$G$30,8&lt;=$H$30),$B$30*$E$30*$F$30/100,0)</f>
        <v/>
      </c>
      <c r="M144" s="42">
        <f>IF(AND(9&gt;=$G$30,9&lt;=$H$30),$B$30*$E$30*$F$30/100,0)</f>
        <v/>
      </c>
      <c r="N144" s="42">
        <f>IF(AND(10&gt;=$G$30,10&lt;=$H$30),$B$30*$E$30*$F$30/100,0)</f>
        <v/>
      </c>
      <c r="O144" s="42">
        <f>IF(AND(11&gt;=$G$30,11&lt;=$H$30),$B$30*$E$30*$F$30/100,0)</f>
        <v/>
      </c>
      <c r="P144" s="42">
        <f>IF(AND(12&gt;=$G$30,12&lt;=$H$30),$B$30*$E$30*$F$30/100,0)</f>
        <v/>
      </c>
      <c r="Q144" s="42">
        <f>IF(AND(13&gt;=$G$30,13&lt;=$H$30),$B$30*$E$30*$F$30/100,0)</f>
        <v/>
      </c>
      <c r="R144" s="42">
        <f>IF(AND(14&gt;=$G$30,14&lt;=$H$30),$B$30*$E$30*$F$30/100,0)</f>
        <v/>
      </c>
      <c r="S144" s="42">
        <f>IF(AND(15&gt;=$G$30,15&lt;=$H$30),$B$30*$E$30*$F$30/100,0)</f>
        <v/>
      </c>
      <c r="T144" s="42">
        <f>IF(AND(16&gt;=$G$30,16&lt;=$H$30),$B$30*$E$30*$F$30/100,0)</f>
        <v/>
      </c>
      <c r="U144" s="42">
        <f>IF(AND(17&gt;=$G$30,17&lt;=$H$30),$B$30*$E$30*$F$30/100,0)</f>
        <v/>
      </c>
      <c r="V144" s="42">
        <f>IF(AND(18&gt;=$G$30,18&lt;=$H$30),$B$30*$E$30*$F$30/100,0)</f>
        <v/>
      </c>
      <c r="W144" s="42">
        <f>IF(AND(19&gt;=$G$30,19&lt;=$H$30),$B$30*$E$30*$F$30/100,0)</f>
        <v/>
      </c>
      <c r="X144" s="42">
        <f>IF(AND(20&gt;=$G$30,20&lt;=$H$30),$B$30*$E$30*$F$30/100,0)</f>
        <v/>
      </c>
      <c r="Y144" s="42">
        <f>IF(AND(21&gt;=$G$30,21&lt;=$H$30),$B$30*$E$30*$F$30/100,0)</f>
        <v/>
      </c>
      <c r="Z144" s="42">
        <f>IF(AND(22&gt;=$G$30,22&lt;=$H$30),$B$30*$E$30*$F$30/100,0)</f>
        <v/>
      </c>
      <c r="AA144" s="42">
        <f>IF(AND(23&gt;=$G$30,23&lt;=$H$30),$B$30*$E$30*$F$30/100,0)</f>
        <v/>
      </c>
      <c r="AB144" s="42">
        <f>IF(AND(24&gt;=$G$30,24&lt;=$H$30),$B$30*$E$30*$F$30/100,0)</f>
        <v/>
      </c>
      <c r="AC144" s="42">
        <f>IF(AND(25&gt;=$G$30,25&lt;=$H$30),$B$30*$E$30*$F$30/100,0)</f>
        <v/>
      </c>
      <c r="AD144" s="42">
        <f>IF(AND(26&gt;=$G$30,26&lt;=$H$30),$B$30*$E$30*$F$30/100,0)</f>
        <v/>
      </c>
      <c r="AE144" s="42">
        <f>IF(AND(27&gt;=$G$30,27&lt;=$H$30),$B$30*$E$30*$F$30/100,0)</f>
        <v/>
      </c>
      <c r="AF144" s="42">
        <f>IF(AND(28&gt;=$G$30,28&lt;=$H$30),$B$30*$E$30*$F$30/100,0)</f>
        <v/>
      </c>
      <c r="AG144" s="42">
        <f>IF(AND(29&gt;=$G$30,29&lt;=$H$30),$B$30*$E$30*$F$30/100,0)</f>
        <v/>
      </c>
      <c r="AH144" s="42">
        <f>IF(AND(30&gt;=$G$30,30&lt;=$H$30),$B$30*$E$30*$F$30/100,0)</f>
        <v/>
      </c>
      <c r="AI144" s="42">
        <f>IF(AND(31&gt;=$G$30,31&lt;=$H$30),$B$30*$E$30*$F$30/100,0)</f>
        <v/>
      </c>
      <c r="AJ144" s="42">
        <f>IF(AND(32&gt;=$G$30,32&lt;=$H$30),$B$30*$E$30*$F$30/100,0)</f>
        <v/>
      </c>
      <c r="AK144" s="42">
        <f>IF(AND(33&gt;=$G$30,33&lt;=$H$30),$B$30*$E$30*$F$30/100,0)</f>
        <v/>
      </c>
      <c r="AL144" s="42">
        <f>IF(AND(34&gt;=$G$30,34&lt;=$H$30),$B$30*$E$30*$F$30/100,0)</f>
        <v/>
      </c>
      <c r="AM144" s="42">
        <f>IF(AND(35&gt;=$G$30,35&lt;=$H$30),$B$30*$E$30*$F$30/100,0)</f>
        <v/>
      </c>
      <c r="AN144" s="42">
        <f>IF(AND(36&gt;=$G$30,36&lt;=$H$30),$B$30*$E$30*$F$30/100,0)</f>
        <v/>
      </c>
      <c r="AO144" s="42">
        <f>IF(AND(37&gt;=$G$30,37&lt;=$H$30),$B$30*$E$30*$F$30/100,0)</f>
        <v/>
      </c>
      <c r="AP144" s="42">
        <f>IF(AND(38&gt;=$G$30,38&lt;=$H$30),$B$30*$E$30*$F$30/100,0)</f>
        <v/>
      </c>
      <c r="AQ144" s="42">
        <f>IF(AND(39&gt;=$G$30,39&lt;=$H$30),$B$30*$E$30*$F$30/100,0)</f>
        <v/>
      </c>
      <c r="AR144" s="42">
        <f>IF(AND(40&gt;=$G$30,40&lt;=$H$30),$B$30*$E$30*$F$30/100,0)</f>
        <v/>
      </c>
      <c r="AS144" s="42">
        <f>IF(AND(41&gt;=$G$30,41&lt;=$H$30),$B$30*$E$30*$F$30/100,0)</f>
        <v/>
      </c>
      <c r="AT144" s="42">
        <f>IF(AND(42&gt;=$G$30,42&lt;=$H$30),$B$30*$E$30*$F$30/100,0)</f>
        <v/>
      </c>
      <c r="AU144" s="42">
        <f>IF(AND(43&gt;=$G$30,43&lt;=$H$30),$B$30*$E$30*$F$30/100,0)</f>
        <v/>
      </c>
      <c r="AV144" s="42">
        <f>IF(AND(44&gt;=$G$30,44&lt;=$H$30),$B$30*$E$30*$F$30/100,0)</f>
        <v/>
      </c>
      <c r="AW144" s="42">
        <f>IF(AND(45&gt;=$G$30,45&lt;=$H$30),$B$30*$E$30*$F$30/100,0)</f>
        <v/>
      </c>
      <c r="AX144" s="42">
        <f>IF(AND(46&gt;=$G$30,46&lt;=$H$30),$B$30*$E$30*$F$30/100,0)</f>
        <v/>
      </c>
      <c r="AY144" s="42">
        <f>IF(AND(47&gt;=$G$30,47&lt;=$H$30),$B$30*$E$30*$F$30/100,0)</f>
        <v/>
      </c>
      <c r="AZ144" s="42">
        <f>IF(AND(48&gt;=$G$30,48&lt;=$H$30),$B$30*$E$30*$F$30/100,0)</f>
        <v/>
      </c>
      <c r="BA144" s="42">
        <f>IF(AND(49&gt;=$G$30,49&lt;=$H$30),$B$30*$E$30*$F$30/100,0)</f>
        <v/>
      </c>
      <c r="BB144" s="42">
        <f>IF(AND(50&gt;=$G$30,50&lt;=$H$30),$B$30*$E$30*$F$30/100,0)</f>
        <v/>
      </c>
      <c r="BC144" s="42">
        <f>IF(AND(51&gt;=$G$30,51&lt;=$H$30),$B$30*$E$30*$F$30/100,0)</f>
        <v/>
      </c>
      <c r="BD144" s="42">
        <f>IF(AND(52&gt;=$G$30,52&lt;=$H$30),$B$30*$E$30*$F$30/100,0)</f>
        <v/>
      </c>
    </row>
    <row r="145">
      <c r="A145" s="26" t="inlineStr">
        <is>
          <t xml:space="preserve">   Harvest Crew</t>
        </is>
      </c>
      <c r="B145" s="2" t="inlineStr">
        <is>
          <t>hrs</t>
        </is>
      </c>
      <c r="E145" s="42">
        <f>IF(AND(1&gt;=$G$31,1&lt;=$H$31),$B$31*$E$31*$F$31/100,0)</f>
        <v/>
      </c>
      <c r="F145" s="42">
        <f>IF(AND(2&gt;=$G$31,2&lt;=$H$31),$B$31*$E$31*$F$31/100,0)</f>
        <v/>
      </c>
      <c r="G145" s="42">
        <f>IF(AND(3&gt;=$G$31,3&lt;=$H$31),$B$31*$E$31*$F$31/100,0)</f>
        <v/>
      </c>
      <c r="H145" s="42">
        <f>IF(AND(4&gt;=$G$31,4&lt;=$H$31),$B$31*$E$31*$F$31/100,0)</f>
        <v/>
      </c>
      <c r="I145" s="42">
        <f>IF(AND(5&gt;=$G$31,5&lt;=$H$31),$B$31*$E$31*$F$31/100,0)</f>
        <v/>
      </c>
      <c r="J145" s="42">
        <f>IF(AND(6&gt;=$G$31,6&lt;=$H$31),$B$31*$E$31*$F$31/100,0)</f>
        <v/>
      </c>
      <c r="K145" s="42">
        <f>IF(AND(7&gt;=$G$31,7&lt;=$H$31),$B$31*$E$31*$F$31/100,0)</f>
        <v/>
      </c>
      <c r="L145" s="42">
        <f>IF(AND(8&gt;=$G$31,8&lt;=$H$31),$B$31*$E$31*$F$31/100,0)</f>
        <v/>
      </c>
      <c r="M145" s="42">
        <f>IF(AND(9&gt;=$G$31,9&lt;=$H$31),$B$31*$E$31*$F$31/100,0)</f>
        <v/>
      </c>
      <c r="N145" s="42">
        <f>IF(AND(10&gt;=$G$31,10&lt;=$H$31),$B$31*$E$31*$F$31/100,0)</f>
        <v/>
      </c>
      <c r="O145" s="42">
        <f>IF(AND(11&gt;=$G$31,11&lt;=$H$31),$B$31*$E$31*$F$31/100,0)</f>
        <v/>
      </c>
      <c r="P145" s="42">
        <f>IF(AND(12&gt;=$G$31,12&lt;=$H$31),$B$31*$E$31*$F$31/100,0)</f>
        <v/>
      </c>
      <c r="Q145" s="42">
        <f>IF(AND(13&gt;=$G$31,13&lt;=$H$31),$B$31*$E$31*$F$31/100,0)</f>
        <v/>
      </c>
      <c r="R145" s="42">
        <f>IF(AND(14&gt;=$G$31,14&lt;=$H$31),$B$31*$E$31*$F$31/100,0)</f>
        <v/>
      </c>
      <c r="S145" s="42">
        <f>IF(AND(15&gt;=$G$31,15&lt;=$H$31),$B$31*$E$31*$F$31/100,0)</f>
        <v/>
      </c>
      <c r="T145" s="42">
        <f>IF(AND(16&gt;=$G$31,16&lt;=$H$31),$B$31*$E$31*$F$31/100,0)</f>
        <v/>
      </c>
      <c r="U145" s="42">
        <f>IF(AND(17&gt;=$G$31,17&lt;=$H$31),$B$31*$E$31*$F$31/100,0)</f>
        <v/>
      </c>
      <c r="V145" s="42">
        <f>IF(AND(18&gt;=$G$31,18&lt;=$H$31),$B$31*$E$31*$F$31/100,0)</f>
        <v/>
      </c>
      <c r="W145" s="42">
        <f>IF(AND(19&gt;=$G$31,19&lt;=$H$31),$B$31*$E$31*$F$31/100,0)</f>
        <v/>
      </c>
      <c r="X145" s="42">
        <f>IF(AND(20&gt;=$G$31,20&lt;=$H$31),$B$31*$E$31*$F$31/100,0)</f>
        <v/>
      </c>
      <c r="Y145" s="42">
        <f>IF(AND(21&gt;=$G$31,21&lt;=$H$31),$B$31*$E$31*$F$31/100,0)</f>
        <v/>
      </c>
      <c r="Z145" s="42">
        <f>IF(AND(22&gt;=$G$31,22&lt;=$H$31),$B$31*$E$31*$F$31/100,0)</f>
        <v/>
      </c>
      <c r="AA145" s="42">
        <f>IF(AND(23&gt;=$G$31,23&lt;=$H$31),$B$31*$E$31*$F$31/100,0)</f>
        <v/>
      </c>
      <c r="AB145" s="42">
        <f>IF(AND(24&gt;=$G$31,24&lt;=$H$31),$B$31*$E$31*$F$31/100,0)</f>
        <v/>
      </c>
      <c r="AC145" s="42">
        <f>IF(AND(25&gt;=$G$31,25&lt;=$H$31),$B$31*$E$31*$F$31/100,0)</f>
        <v/>
      </c>
      <c r="AD145" s="42">
        <f>IF(AND(26&gt;=$G$31,26&lt;=$H$31),$B$31*$E$31*$F$31/100,0)</f>
        <v/>
      </c>
      <c r="AE145" s="42">
        <f>IF(AND(27&gt;=$G$31,27&lt;=$H$31),$B$31*$E$31*$F$31/100,0)</f>
        <v/>
      </c>
      <c r="AF145" s="42">
        <f>IF(AND(28&gt;=$G$31,28&lt;=$H$31),$B$31*$E$31*$F$31/100,0)</f>
        <v/>
      </c>
      <c r="AG145" s="42">
        <f>IF(AND(29&gt;=$G$31,29&lt;=$H$31),$B$31*$E$31*$F$31/100,0)</f>
        <v/>
      </c>
      <c r="AH145" s="42">
        <f>IF(AND(30&gt;=$G$31,30&lt;=$H$31),$B$31*$E$31*$F$31/100,0)</f>
        <v/>
      </c>
      <c r="AI145" s="42">
        <f>IF(AND(31&gt;=$G$31,31&lt;=$H$31),$B$31*$E$31*$F$31/100,0)</f>
        <v/>
      </c>
      <c r="AJ145" s="42">
        <f>IF(AND(32&gt;=$G$31,32&lt;=$H$31),$B$31*$E$31*$F$31/100,0)</f>
        <v/>
      </c>
      <c r="AK145" s="42">
        <f>IF(AND(33&gt;=$G$31,33&lt;=$H$31),$B$31*$E$31*$F$31/100,0)</f>
        <v/>
      </c>
      <c r="AL145" s="42">
        <f>IF(AND(34&gt;=$G$31,34&lt;=$H$31),$B$31*$E$31*$F$31/100,0)</f>
        <v/>
      </c>
      <c r="AM145" s="42">
        <f>IF(AND(35&gt;=$G$31,35&lt;=$H$31),$B$31*$E$31*$F$31/100,0)</f>
        <v/>
      </c>
      <c r="AN145" s="42">
        <f>IF(AND(36&gt;=$G$31,36&lt;=$H$31),$B$31*$E$31*$F$31/100,0)</f>
        <v/>
      </c>
      <c r="AO145" s="42">
        <f>IF(AND(37&gt;=$G$31,37&lt;=$H$31),$B$31*$E$31*$F$31/100,0)</f>
        <v/>
      </c>
      <c r="AP145" s="42">
        <f>IF(AND(38&gt;=$G$31,38&lt;=$H$31),$B$31*$E$31*$F$31/100,0)</f>
        <v/>
      </c>
      <c r="AQ145" s="42">
        <f>IF(AND(39&gt;=$G$31,39&lt;=$H$31),$B$31*$E$31*$F$31/100,0)</f>
        <v/>
      </c>
      <c r="AR145" s="42">
        <f>IF(AND(40&gt;=$G$31,40&lt;=$H$31),$B$31*$E$31*$F$31/100,0)</f>
        <v/>
      </c>
      <c r="AS145" s="42">
        <f>IF(AND(41&gt;=$G$31,41&lt;=$H$31),$B$31*$E$31*$F$31/100,0)</f>
        <v/>
      </c>
      <c r="AT145" s="42">
        <f>IF(AND(42&gt;=$G$31,42&lt;=$H$31),$B$31*$E$31*$F$31/100,0)</f>
        <v/>
      </c>
      <c r="AU145" s="42">
        <f>IF(AND(43&gt;=$G$31,43&lt;=$H$31),$B$31*$E$31*$F$31/100,0)</f>
        <v/>
      </c>
      <c r="AV145" s="42">
        <f>IF(AND(44&gt;=$G$31,44&lt;=$H$31),$B$31*$E$31*$F$31/100,0)</f>
        <v/>
      </c>
      <c r="AW145" s="42">
        <f>IF(AND(45&gt;=$G$31,45&lt;=$H$31),$B$31*$E$31*$F$31/100,0)</f>
        <v/>
      </c>
      <c r="AX145" s="42">
        <f>IF(AND(46&gt;=$G$31,46&lt;=$H$31),$B$31*$E$31*$F$31/100,0)</f>
        <v/>
      </c>
      <c r="AY145" s="42">
        <f>IF(AND(47&gt;=$G$31,47&lt;=$H$31),$B$31*$E$31*$F$31/100,0)</f>
        <v/>
      </c>
      <c r="AZ145" s="42">
        <f>IF(AND(48&gt;=$G$31,48&lt;=$H$31),$B$31*$E$31*$F$31/100,0)</f>
        <v/>
      </c>
      <c r="BA145" s="42">
        <f>IF(AND(49&gt;=$G$31,49&lt;=$H$31),$B$31*$E$31*$F$31/100,0)</f>
        <v/>
      </c>
      <c r="BB145" s="42">
        <f>IF(AND(50&gt;=$G$31,50&lt;=$H$31),$B$31*$E$31*$F$31/100,0)</f>
        <v/>
      </c>
      <c r="BC145" s="42">
        <f>IF(AND(51&gt;=$G$31,51&lt;=$H$31),$B$31*$E$31*$F$31/100,0)</f>
        <v/>
      </c>
      <c r="BD145" s="42">
        <f>IF(AND(52&gt;=$G$31,52&lt;=$H$31),$B$31*$E$31*$F$31/100,0)</f>
        <v/>
      </c>
    </row>
    <row r="146">
      <c r="A146" s="4" t="inlineStr">
        <is>
          <t>CREW CAPACITY</t>
        </is>
      </c>
      <c r="B146" s="2" t="inlineStr">
        <is>
          <t>hrs</t>
        </is>
      </c>
      <c r="E146" s="42">
        <f>E142+E143+E144+E145</f>
        <v/>
      </c>
      <c r="F146" s="42">
        <f>F142+F143+F144+F145</f>
        <v/>
      </c>
      <c r="G146" s="42">
        <f>G142+G143+G144+G145</f>
        <v/>
      </c>
      <c r="H146" s="42">
        <f>H142+H143+H144+H145</f>
        <v/>
      </c>
      <c r="I146" s="42">
        <f>I142+I143+I144+I145</f>
        <v/>
      </c>
      <c r="J146" s="42">
        <f>J142+J143+J144+J145</f>
        <v/>
      </c>
      <c r="K146" s="42">
        <f>K142+K143+K144+K145</f>
        <v/>
      </c>
      <c r="L146" s="42">
        <f>L142+L143+L144+L145</f>
        <v/>
      </c>
      <c r="M146" s="42">
        <f>M142+M143+M144+M145</f>
        <v/>
      </c>
      <c r="N146" s="42">
        <f>N142+N143+N144+N145</f>
        <v/>
      </c>
      <c r="O146" s="42">
        <f>O142+O143+O144+O145</f>
        <v/>
      </c>
      <c r="P146" s="42">
        <f>P142+P143+P144+P145</f>
        <v/>
      </c>
      <c r="Q146" s="42">
        <f>Q142+Q143+Q144+Q145</f>
        <v/>
      </c>
      <c r="R146" s="42">
        <f>R142+R143+R144+R145</f>
        <v/>
      </c>
      <c r="S146" s="42">
        <f>S142+S143+S144+S145</f>
        <v/>
      </c>
      <c r="T146" s="42">
        <f>T142+T143+T144+T145</f>
        <v/>
      </c>
      <c r="U146" s="42">
        <f>U142+U143+U144+U145</f>
        <v/>
      </c>
      <c r="V146" s="42">
        <f>V142+V143+V144+V145</f>
        <v/>
      </c>
      <c r="W146" s="42">
        <f>W142+W143+W144+W145</f>
        <v/>
      </c>
      <c r="X146" s="42">
        <f>X142+X143+X144+X145</f>
        <v/>
      </c>
      <c r="Y146" s="42">
        <f>Y142+Y143+Y144+Y145</f>
        <v/>
      </c>
      <c r="Z146" s="42">
        <f>Z142+Z143+Z144+Z145</f>
        <v/>
      </c>
      <c r="AA146" s="42">
        <f>AA142+AA143+AA144+AA145</f>
        <v/>
      </c>
      <c r="AB146" s="42">
        <f>AB142+AB143+AB144+AB145</f>
        <v/>
      </c>
      <c r="AC146" s="42">
        <f>AC142+AC143+AC144+AC145</f>
        <v/>
      </c>
      <c r="AD146" s="42">
        <f>AD142+AD143+AD144+AD145</f>
        <v/>
      </c>
      <c r="AE146" s="42">
        <f>AE142+AE143+AE144+AE145</f>
        <v/>
      </c>
      <c r="AF146" s="42">
        <f>AF142+AF143+AF144+AF145</f>
        <v/>
      </c>
      <c r="AG146" s="42">
        <f>AG142+AG143+AG144+AG145</f>
        <v/>
      </c>
      <c r="AH146" s="42">
        <f>AH142+AH143+AH144+AH145</f>
        <v/>
      </c>
      <c r="AI146" s="42">
        <f>AI142+AI143+AI144+AI145</f>
        <v/>
      </c>
      <c r="AJ146" s="42">
        <f>AJ142+AJ143+AJ144+AJ145</f>
        <v/>
      </c>
      <c r="AK146" s="42">
        <f>AK142+AK143+AK144+AK145</f>
        <v/>
      </c>
      <c r="AL146" s="42">
        <f>AL142+AL143+AL144+AL145</f>
        <v/>
      </c>
      <c r="AM146" s="42">
        <f>AM142+AM143+AM144+AM145</f>
        <v/>
      </c>
      <c r="AN146" s="42">
        <f>AN142+AN143+AN144+AN145</f>
        <v/>
      </c>
      <c r="AO146" s="42">
        <f>AO142+AO143+AO144+AO145</f>
        <v/>
      </c>
      <c r="AP146" s="42">
        <f>AP142+AP143+AP144+AP145</f>
        <v/>
      </c>
      <c r="AQ146" s="42">
        <f>AQ142+AQ143+AQ144+AQ145</f>
        <v/>
      </c>
      <c r="AR146" s="42">
        <f>AR142+AR143+AR144+AR145</f>
        <v/>
      </c>
      <c r="AS146" s="42">
        <f>AS142+AS143+AS144+AS145</f>
        <v/>
      </c>
      <c r="AT146" s="42">
        <f>AT142+AT143+AT144+AT145</f>
        <v/>
      </c>
      <c r="AU146" s="42">
        <f>AU142+AU143+AU144+AU145</f>
        <v/>
      </c>
      <c r="AV146" s="42">
        <f>AV142+AV143+AV144+AV145</f>
        <v/>
      </c>
      <c r="AW146" s="42">
        <f>AW142+AW143+AW144+AW145</f>
        <v/>
      </c>
      <c r="AX146" s="42">
        <f>AX142+AX143+AX144+AX145</f>
        <v/>
      </c>
      <c r="AY146" s="42">
        <f>AY142+AY143+AY144+AY145</f>
        <v/>
      </c>
      <c r="AZ146" s="42">
        <f>AZ142+AZ143+AZ144+AZ145</f>
        <v/>
      </c>
      <c r="BA146" s="42">
        <f>BA142+BA143+BA144+BA145</f>
        <v/>
      </c>
      <c r="BB146" s="42">
        <f>BB142+BB143+BB144+BB145</f>
        <v/>
      </c>
      <c r="BC146" s="42">
        <f>BC142+BC143+BC144+BC145</f>
        <v/>
      </c>
      <c r="BD146" s="42">
        <f>BD142+BD143+BD144+BD145</f>
        <v/>
      </c>
    </row>
    <row r="147">
      <c r="A147" s="2" t="inlineStr">
        <is>
          <t xml:space="preserve">   The sum of the rows above. No mask, no SUMPRODUCT — you can add them up by eye.</t>
        </is>
      </c>
    </row>
    <row r="148">
      <c r="A148" s="26" t="inlineStr">
        <is>
          <t>Hourly field hours</t>
        </is>
      </c>
      <c r="B148" s="2" t="inlineStr">
        <is>
          <t>hrs</t>
        </is>
      </c>
      <c r="E148" s="42">
        <f>E143+E144+E145</f>
        <v/>
      </c>
      <c r="F148" s="42">
        <f>F143+F144+F145</f>
        <v/>
      </c>
      <c r="G148" s="42">
        <f>G143+G144+G145</f>
        <v/>
      </c>
      <c r="H148" s="42">
        <f>H143+H144+H145</f>
        <v/>
      </c>
      <c r="I148" s="42">
        <f>I143+I144+I145</f>
        <v/>
      </c>
      <c r="J148" s="42">
        <f>J143+J144+J145</f>
        <v/>
      </c>
      <c r="K148" s="42">
        <f>K143+K144+K145</f>
        <v/>
      </c>
      <c r="L148" s="42">
        <f>L143+L144+L145</f>
        <v/>
      </c>
      <c r="M148" s="42">
        <f>M143+M144+M145</f>
        <v/>
      </c>
      <c r="N148" s="42">
        <f>N143+N144+N145</f>
        <v/>
      </c>
      <c r="O148" s="42">
        <f>O143+O144+O145</f>
        <v/>
      </c>
      <c r="P148" s="42">
        <f>P143+P144+P145</f>
        <v/>
      </c>
      <c r="Q148" s="42">
        <f>Q143+Q144+Q145</f>
        <v/>
      </c>
      <c r="R148" s="42">
        <f>R143+R144+R145</f>
        <v/>
      </c>
      <c r="S148" s="42">
        <f>S143+S144+S145</f>
        <v/>
      </c>
      <c r="T148" s="42">
        <f>T143+T144+T145</f>
        <v/>
      </c>
      <c r="U148" s="42">
        <f>U143+U144+U145</f>
        <v/>
      </c>
      <c r="V148" s="42">
        <f>V143+V144+V145</f>
        <v/>
      </c>
      <c r="W148" s="42">
        <f>W143+W144+W145</f>
        <v/>
      </c>
      <c r="X148" s="42">
        <f>X143+X144+X145</f>
        <v/>
      </c>
      <c r="Y148" s="42">
        <f>Y143+Y144+Y145</f>
        <v/>
      </c>
      <c r="Z148" s="42">
        <f>Z143+Z144+Z145</f>
        <v/>
      </c>
      <c r="AA148" s="42">
        <f>AA143+AA144+AA145</f>
        <v/>
      </c>
      <c r="AB148" s="42">
        <f>AB143+AB144+AB145</f>
        <v/>
      </c>
      <c r="AC148" s="42">
        <f>AC143+AC144+AC145</f>
        <v/>
      </c>
      <c r="AD148" s="42">
        <f>AD143+AD144+AD145</f>
        <v/>
      </c>
      <c r="AE148" s="42">
        <f>AE143+AE144+AE145</f>
        <v/>
      </c>
      <c r="AF148" s="42">
        <f>AF143+AF144+AF145</f>
        <v/>
      </c>
      <c r="AG148" s="42">
        <f>AG143+AG144+AG145</f>
        <v/>
      </c>
      <c r="AH148" s="42">
        <f>AH143+AH144+AH145</f>
        <v/>
      </c>
      <c r="AI148" s="42">
        <f>AI143+AI144+AI145</f>
        <v/>
      </c>
      <c r="AJ148" s="42">
        <f>AJ143+AJ144+AJ145</f>
        <v/>
      </c>
      <c r="AK148" s="42">
        <f>AK143+AK144+AK145</f>
        <v/>
      </c>
      <c r="AL148" s="42">
        <f>AL143+AL144+AL145</f>
        <v/>
      </c>
      <c r="AM148" s="42">
        <f>AM143+AM144+AM145</f>
        <v/>
      </c>
      <c r="AN148" s="42">
        <f>AN143+AN144+AN145</f>
        <v/>
      </c>
      <c r="AO148" s="42">
        <f>AO143+AO144+AO145</f>
        <v/>
      </c>
      <c r="AP148" s="42">
        <f>AP143+AP144+AP145</f>
        <v/>
      </c>
      <c r="AQ148" s="42">
        <f>AQ143+AQ144+AQ145</f>
        <v/>
      </c>
      <c r="AR148" s="42">
        <f>AR143+AR144+AR145</f>
        <v/>
      </c>
      <c r="AS148" s="42">
        <f>AS143+AS144+AS145</f>
        <v/>
      </c>
      <c r="AT148" s="42">
        <f>AT143+AT144+AT145</f>
        <v/>
      </c>
      <c r="AU148" s="42">
        <f>AU143+AU144+AU145</f>
        <v/>
      </c>
      <c r="AV148" s="42">
        <f>AV143+AV144+AV145</f>
        <v/>
      </c>
      <c r="AW148" s="42">
        <f>AW143+AW144+AW145</f>
        <v/>
      </c>
      <c r="AX148" s="42">
        <f>AX143+AX144+AX145</f>
        <v/>
      </c>
      <c r="AY148" s="42">
        <f>AY143+AY144+AY145</f>
        <v/>
      </c>
      <c r="AZ148" s="42">
        <f>AZ143+AZ144+AZ145</f>
        <v/>
      </c>
      <c r="BA148" s="42">
        <f>BA143+BA144+BA145</f>
        <v/>
      </c>
      <c r="BB148" s="42">
        <f>BB143+BB144+BB145</f>
        <v/>
      </c>
      <c r="BC148" s="42">
        <f>BC143+BC144+BC145</f>
        <v/>
      </c>
      <c r="BD148" s="42">
        <f>BD143+BD144+BD145</f>
        <v/>
      </c>
    </row>
    <row r="149">
      <c r="A149" s="2" t="inlineStr">
        <is>
          <t xml:space="preserve">   Only the HOURLY rows. Salaried staff give capacity but cannot be paid overtime, so they are in CREW CAPACITY and out of this one — and out of everything derived from it.</t>
        </is>
      </c>
    </row>
    <row r="151">
      <c r="A151" s="3" t="inlineStr">
        <is>
          <t>B — WHAT YOU CAN ADD</t>
        </is>
      </c>
    </row>
    <row r="152">
      <c r="A152" s="30" t="inlineStr">
        <is>
          <t>Week</t>
        </is>
      </c>
      <c r="B152" s="38" t="inlineStr">
        <is>
          <t>hours</t>
        </is>
      </c>
      <c r="E152" s="31" t="n">
        <v>1</v>
      </c>
      <c r="F152" s="31" t="n">
        <v>2</v>
      </c>
      <c r="G152" s="31" t="n">
        <v>3</v>
      </c>
      <c r="H152" s="31" t="n">
        <v>4</v>
      </c>
      <c r="I152" s="31" t="n">
        <v>5</v>
      </c>
      <c r="J152" s="31" t="n">
        <v>6</v>
      </c>
      <c r="K152" s="31" t="n">
        <v>7</v>
      </c>
      <c r="L152" s="31" t="n">
        <v>8</v>
      </c>
      <c r="M152" s="31" t="n">
        <v>9</v>
      </c>
      <c r="N152" s="31" t="n">
        <v>10</v>
      </c>
      <c r="O152" s="31" t="n">
        <v>11</v>
      </c>
      <c r="P152" s="31" t="n">
        <v>12</v>
      </c>
      <c r="Q152" s="31" t="n">
        <v>13</v>
      </c>
      <c r="R152" s="31" t="n">
        <v>14</v>
      </c>
      <c r="S152" s="31" t="n">
        <v>15</v>
      </c>
      <c r="T152" s="31" t="n">
        <v>16</v>
      </c>
      <c r="U152" s="31" t="n">
        <v>17</v>
      </c>
      <c r="V152" s="31" t="n">
        <v>18</v>
      </c>
      <c r="W152" s="31" t="n">
        <v>19</v>
      </c>
      <c r="X152" s="31" t="n">
        <v>20</v>
      </c>
      <c r="Y152" s="31" t="n">
        <v>21</v>
      </c>
      <c r="Z152" s="31" t="n">
        <v>22</v>
      </c>
      <c r="AA152" s="31" t="n">
        <v>23</v>
      </c>
      <c r="AB152" s="31" t="n">
        <v>24</v>
      </c>
      <c r="AC152" s="31" t="n">
        <v>25</v>
      </c>
      <c r="AD152" s="31" t="n">
        <v>26</v>
      </c>
      <c r="AE152" s="31" t="n">
        <v>27</v>
      </c>
      <c r="AF152" s="31" t="n">
        <v>28</v>
      </c>
      <c r="AG152" s="31" t="n">
        <v>29</v>
      </c>
      <c r="AH152" s="31" t="n">
        <v>30</v>
      </c>
      <c r="AI152" s="31" t="n">
        <v>31</v>
      </c>
      <c r="AJ152" s="31" t="n">
        <v>32</v>
      </c>
      <c r="AK152" s="31" t="n">
        <v>33</v>
      </c>
      <c r="AL152" s="31" t="n">
        <v>34</v>
      </c>
      <c r="AM152" s="31" t="n">
        <v>35</v>
      </c>
      <c r="AN152" s="31" t="n">
        <v>36</v>
      </c>
      <c r="AO152" s="31" t="n">
        <v>37</v>
      </c>
      <c r="AP152" s="31" t="n">
        <v>38</v>
      </c>
      <c r="AQ152" s="31" t="n">
        <v>39</v>
      </c>
      <c r="AR152" s="31" t="n">
        <v>40</v>
      </c>
      <c r="AS152" s="31" t="n">
        <v>41</v>
      </c>
      <c r="AT152" s="31" t="n">
        <v>42</v>
      </c>
      <c r="AU152" s="31" t="n">
        <v>43</v>
      </c>
      <c r="AV152" s="31" t="n">
        <v>44</v>
      </c>
      <c r="AW152" s="31" t="n">
        <v>45</v>
      </c>
      <c r="AX152" s="31" t="n">
        <v>46</v>
      </c>
      <c r="AY152" s="31" t="n">
        <v>47</v>
      </c>
      <c r="AZ152" s="31" t="n">
        <v>48</v>
      </c>
      <c r="BA152" s="31" t="n">
        <v>49</v>
      </c>
      <c r="BB152" s="31" t="n">
        <v>50</v>
      </c>
      <c r="BC152" s="31" t="n">
        <v>51</v>
      </c>
      <c r="BD152" s="31" t="n">
        <v>52</v>
      </c>
    </row>
    <row r="153">
      <c r="A153" s="26" t="inlineStr">
        <is>
          <t>Overtime CAP</t>
        </is>
      </c>
      <c r="B153" s="2" t="inlineStr">
        <is>
          <t>hrs</t>
        </is>
      </c>
      <c r="E153" s="42">
        <f>MAX(0,$B$34-1)*E148</f>
        <v/>
      </c>
      <c r="F153" s="42">
        <f>MAX(0,$B$34-1)*F148</f>
        <v/>
      </c>
      <c r="G153" s="42">
        <f>MAX(0,$B$34-1)*G148</f>
        <v/>
      </c>
      <c r="H153" s="42">
        <f>MAX(0,$B$34-1)*H148</f>
        <v/>
      </c>
      <c r="I153" s="42">
        <f>MAX(0,$B$34-1)*I148</f>
        <v/>
      </c>
      <c r="J153" s="42">
        <f>MAX(0,$B$34-1)*J148</f>
        <v/>
      </c>
      <c r="K153" s="42">
        <f>MAX(0,$B$34-1)*K148</f>
        <v/>
      </c>
      <c r="L153" s="42">
        <f>MAX(0,$B$34-1)*L148</f>
        <v/>
      </c>
      <c r="M153" s="42">
        <f>MAX(0,$B$34-1)*M148</f>
        <v/>
      </c>
      <c r="N153" s="42">
        <f>MAX(0,$B$34-1)*N148</f>
        <v/>
      </c>
      <c r="O153" s="42">
        <f>MAX(0,$B$34-1)*O148</f>
        <v/>
      </c>
      <c r="P153" s="42">
        <f>MAX(0,$B$34-1)*P148</f>
        <v/>
      </c>
      <c r="Q153" s="42">
        <f>MAX(0,$B$34-1)*Q148</f>
        <v/>
      </c>
      <c r="R153" s="42">
        <f>MAX(0,$B$34-1)*R148</f>
        <v/>
      </c>
      <c r="S153" s="42">
        <f>MAX(0,$B$34-1)*S148</f>
        <v/>
      </c>
      <c r="T153" s="42">
        <f>MAX(0,$B$34-1)*T148</f>
        <v/>
      </c>
      <c r="U153" s="42">
        <f>MAX(0,$B$34-1)*U148</f>
        <v/>
      </c>
      <c r="V153" s="42">
        <f>MAX(0,$B$34-1)*V148</f>
        <v/>
      </c>
      <c r="W153" s="42">
        <f>MAX(0,$B$34-1)*W148</f>
        <v/>
      </c>
      <c r="X153" s="42">
        <f>MAX(0,$B$34-1)*X148</f>
        <v/>
      </c>
      <c r="Y153" s="42">
        <f>MAX(0,$B$34-1)*Y148</f>
        <v/>
      </c>
      <c r="Z153" s="42">
        <f>MAX(0,$B$34-1)*Z148</f>
        <v/>
      </c>
      <c r="AA153" s="42">
        <f>MAX(0,$B$34-1)*AA148</f>
        <v/>
      </c>
      <c r="AB153" s="42">
        <f>MAX(0,$B$34-1)*AB148</f>
        <v/>
      </c>
      <c r="AC153" s="42">
        <f>MAX(0,$B$34-1)*AC148</f>
        <v/>
      </c>
      <c r="AD153" s="42">
        <f>MAX(0,$B$34-1)*AD148</f>
        <v/>
      </c>
      <c r="AE153" s="42">
        <f>MAX(0,$B$34-1)*AE148</f>
        <v/>
      </c>
      <c r="AF153" s="42">
        <f>MAX(0,$B$34-1)*AF148</f>
        <v/>
      </c>
      <c r="AG153" s="42">
        <f>MAX(0,$B$34-1)*AG148</f>
        <v/>
      </c>
      <c r="AH153" s="42">
        <f>MAX(0,$B$34-1)*AH148</f>
        <v/>
      </c>
      <c r="AI153" s="42">
        <f>MAX(0,$B$34-1)*AI148</f>
        <v/>
      </c>
      <c r="AJ153" s="42">
        <f>MAX(0,$B$34-1)*AJ148</f>
        <v/>
      </c>
      <c r="AK153" s="42">
        <f>MAX(0,$B$34-1)*AK148</f>
        <v/>
      </c>
      <c r="AL153" s="42">
        <f>MAX(0,$B$34-1)*AL148</f>
        <v/>
      </c>
      <c r="AM153" s="42">
        <f>MAX(0,$B$34-1)*AM148</f>
        <v/>
      </c>
      <c r="AN153" s="42">
        <f>MAX(0,$B$34-1)*AN148</f>
        <v/>
      </c>
      <c r="AO153" s="42">
        <f>MAX(0,$B$34-1)*AO148</f>
        <v/>
      </c>
      <c r="AP153" s="42">
        <f>MAX(0,$B$34-1)*AP148</f>
        <v/>
      </c>
      <c r="AQ153" s="42">
        <f>MAX(0,$B$34-1)*AQ148</f>
        <v/>
      </c>
      <c r="AR153" s="42">
        <f>MAX(0,$B$34-1)*AR148</f>
        <v/>
      </c>
      <c r="AS153" s="42">
        <f>MAX(0,$B$34-1)*AS148</f>
        <v/>
      </c>
      <c r="AT153" s="42">
        <f>MAX(0,$B$34-1)*AT148</f>
        <v/>
      </c>
      <c r="AU153" s="42">
        <f>MAX(0,$B$34-1)*AU148</f>
        <v/>
      </c>
      <c r="AV153" s="42">
        <f>MAX(0,$B$34-1)*AV148</f>
        <v/>
      </c>
      <c r="AW153" s="42">
        <f>MAX(0,$B$34-1)*AW148</f>
        <v/>
      </c>
      <c r="AX153" s="42">
        <f>MAX(0,$B$34-1)*AX148</f>
        <v/>
      </c>
      <c r="AY153" s="42">
        <f>MAX(0,$B$34-1)*AY148</f>
        <v/>
      </c>
      <c r="AZ153" s="42">
        <f>MAX(0,$B$34-1)*AZ148</f>
        <v/>
      </c>
      <c r="BA153" s="42">
        <f>MAX(0,$B$34-1)*BA148</f>
        <v/>
      </c>
      <c r="BB153" s="42">
        <f>MAX(0,$B$34-1)*BB148</f>
        <v/>
      </c>
      <c r="BC153" s="42">
        <f>MAX(0,$B$34-1)*BC148</f>
        <v/>
      </c>
      <c r="BD153" s="42">
        <f>MAX(0,$B$34-1)*BD148</f>
        <v/>
      </c>
    </row>
    <row r="154">
      <c r="A154" s="2" t="inlineStr">
        <is>
          <t xml:space="preserve">   (allowance - 1) x the hourly row above. ZERO in a week with no hourly crew — you cannot work overtime on people who are not there.</t>
        </is>
      </c>
    </row>
    <row r="155">
      <c r="A155" s="24" t="inlineStr">
        <is>
          <t>OVERTIME hours</t>
        </is>
      </c>
      <c r="B155" s="2" t="inlineStr">
        <is>
          <t>hrs &lt;-- SOLVER</t>
        </is>
      </c>
      <c r="E155" s="43" t="n">
        <v>0</v>
      </c>
      <c r="F155" s="43" t="n">
        <v>0</v>
      </c>
      <c r="G155" s="43" t="n">
        <v>0</v>
      </c>
      <c r="H155" s="43" t="n">
        <v>0</v>
      </c>
      <c r="I155" s="43" t="n">
        <v>0</v>
      </c>
      <c r="J155" s="43" t="n">
        <v>0</v>
      </c>
      <c r="K155" s="43" t="n">
        <v>0</v>
      </c>
      <c r="L155" s="43" t="n">
        <v>0</v>
      </c>
      <c r="M155" s="43" t="n">
        <v>0</v>
      </c>
      <c r="N155" s="43" t="n">
        <v>0</v>
      </c>
      <c r="O155" s="43" t="n">
        <v>0</v>
      </c>
      <c r="P155" s="43" t="n">
        <v>0</v>
      </c>
      <c r="Q155" s="43" t="n">
        <v>0</v>
      </c>
      <c r="R155" s="43" t="n">
        <v>0</v>
      </c>
      <c r="S155" s="43" t="n">
        <v>0</v>
      </c>
      <c r="T155" s="43" t="n">
        <v>0</v>
      </c>
      <c r="U155" s="43" t="n">
        <v>0</v>
      </c>
      <c r="V155" s="43" t="n">
        <v>0</v>
      </c>
      <c r="W155" s="43" t="n">
        <v>0</v>
      </c>
      <c r="X155" s="43" t="n">
        <v>0</v>
      </c>
      <c r="Y155" s="43" t="n">
        <v>0</v>
      </c>
      <c r="Z155" s="43" t="n">
        <v>0</v>
      </c>
      <c r="AA155" s="43" t="n">
        <v>0</v>
      </c>
      <c r="AB155" s="43" t="n">
        <v>0</v>
      </c>
      <c r="AC155" s="43" t="n">
        <v>0</v>
      </c>
      <c r="AD155" s="43" t="n">
        <v>0</v>
      </c>
      <c r="AE155" s="43" t="n">
        <v>0</v>
      </c>
      <c r="AF155" s="43" t="n">
        <v>0</v>
      </c>
      <c r="AG155" s="43" t="n">
        <v>0</v>
      </c>
      <c r="AH155" s="43" t="n">
        <v>0</v>
      </c>
      <c r="AI155" s="43" t="n">
        <v>0</v>
      </c>
      <c r="AJ155" s="43" t="n">
        <v>0</v>
      </c>
      <c r="AK155" s="43" t="n">
        <v>0</v>
      </c>
      <c r="AL155" s="43" t="n">
        <v>0</v>
      </c>
      <c r="AM155" s="43" t="n">
        <v>0</v>
      </c>
      <c r="AN155" s="43" t="n">
        <v>0</v>
      </c>
      <c r="AO155" s="43" t="n">
        <v>0</v>
      </c>
      <c r="AP155" s="43" t="n">
        <v>0</v>
      </c>
      <c r="AQ155" s="43" t="n">
        <v>0</v>
      </c>
      <c r="AR155" s="43" t="n">
        <v>0</v>
      </c>
      <c r="AS155" s="43" t="n">
        <v>0</v>
      </c>
      <c r="AT155" s="43" t="n">
        <v>0</v>
      </c>
      <c r="AU155" s="43" t="n">
        <v>0</v>
      </c>
      <c r="AV155" s="43" t="n">
        <v>0</v>
      </c>
      <c r="AW155" s="43" t="n">
        <v>0</v>
      </c>
      <c r="AX155" s="43" t="n">
        <v>0</v>
      </c>
      <c r="AY155" s="43" t="n">
        <v>0</v>
      </c>
      <c r="AZ155" s="43" t="n">
        <v>0</v>
      </c>
      <c r="BA155" s="43" t="n">
        <v>0</v>
      </c>
      <c r="BB155" s="43" t="n">
        <v>0</v>
      </c>
      <c r="BC155" s="43" t="n">
        <v>0</v>
      </c>
      <c r="BD155" s="43" t="n">
        <v>0</v>
      </c>
    </row>
    <row r="156">
      <c r="A156" s="26" t="inlineStr">
        <is>
          <t>Proposed hire hours</t>
        </is>
      </c>
      <c r="B156" s="2" t="inlineStr">
        <is>
          <t>hrs</t>
        </is>
      </c>
      <c r="E156" s="42">
        <f>IF(AND(1&gt;=$B$43,1&lt;=$C$43),$B$47*$D$43*$E$43/100*$H$43/100,0)</f>
        <v/>
      </c>
      <c r="F156" s="42">
        <f>IF(AND(2&gt;=$B$43,2&lt;=$C$43),$B$47*$D$43*$E$43/100*$H$43/100,0)</f>
        <v/>
      </c>
      <c r="G156" s="42">
        <f>IF(AND(3&gt;=$B$43,3&lt;=$C$43),$B$47*$D$43*$E$43/100*$H$43/100,0)</f>
        <v/>
      </c>
      <c r="H156" s="42">
        <f>IF(AND(4&gt;=$B$43,4&lt;=$C$43),$B$47*$D$43*$E$43/100*$H$43/100,0)</f>
        <v/>
      </c>
      <c r="I156" s="42">
        <f>IF(AND(5&gt;=$B$43,5&lt;=$C$43),$B$47*$D$43*$E$43/100*$H$43/100,0)</f>
        <v/>
      </c>
      <c r="J156" s="42">
        <f>IF(AND(6&gt;=$B$43,6&lt;=$C$43),$B$47*$D$43*$E$43/100*$H$43/100,0)</f>
        <v/>
      </c>
      <c r="K156" s="42">
        <f>IF(AND(7&gt;=$B$43,7&lt;=$C$43),$B$47*$D$43*$E$43/100*$H$43/100,0)</f>
        <v/>
      </c>
      <c r="L156" s="42">
        <f>IF(AND(8&gt;=$B$43,8&lt;=$C$43),$B$47*$D$43*$E$43/100*$H$43/100,0)</f>
        <v/>
      </c>
      <c r="M156" s="42">
        <f>IF(AND(9&gt;=$B$43,9&lt;=$C$43),$B$47*$D$43*$E$43/100*$H$43/100,0)</f>
        <v/>
      </c>
      <c r="N156" s="42">
        <f>IF(AND(10&gt;=$B$43,10&lt;=$C$43),$B$47*$D$43*$E$43/100*$H$43/100,0)</f>
        <v/>
      </c>
      <c r="O156" s="42">
        <f>IF(AND(11&gt;=$B$43,11&lt;=$C$43),$B$47*$D$43*$E$43/100*$H$43/100,0)</f>
        <v/>
      </c>
      <c r="P156" s="42">
        <f>IF(AND(12&gt;=$B$43,12&lt;=$C$43),$B$47*$D$43*$E$43/100*$H$43/100,0)</f>
        <v/>
      </c>
      <c r="Q156" s="42">
        <f>IF(AND(13&gt;=$B$43,13&lt;=$C$43),$B$47*$D$43*$E$43/100*$H$43/100,0)</f>
        <v/>
      </c>
      <c r="R156" s="42">
        <f>IF(AND(14&gt;=$B$43,14&lt;=$C$43),$B$47*$D$43*$E$43/100*$H$43/100,0)</f>
        <v/>
      </c>
      <c r="S156" s="42">
        <f>IF(AND(15&gt;=$B$43,15&lt;=$C$43),$B$47*$D$43*$E$43/100*$H$43/100,0)</f>
        <v/>
      </c>
      <c r="T156" s="42">
        <f>IF(AND(16&gt;=$B$43,16&lt;=$C$43),$B$47*$D$43*$E$43/100*$H$43/100,0)</f>
        <v/>
      </c>
      <c r="U156" s="42">
        <f>IF(AND(17&gt;=$B$43,17&lt;=$C$43),$B$47*$D$43*$E$43/100*$H$43/100,0)</f>
        <v/>
      </c>
      <c r="V156" s="42">
        <f>IF(AND(18&gt;=$B$43,18&lt;=$C$43),$B$47*$D$43*$E$43/100*$H$43/100,0)</f>
        <v/>
      </c>
      <c r="W156" s="42">
        <f>IF(AND(19&gt;=$B$43,19&lt;=$C$43),$B$47*$D$43*$E$43/100*$H$43/100,0)</f>
        <v/>
      </c>
      <c r="X156" s="42">
        <f>IF(AND(20&gt;=$B$43,20&lt;=$C$43),$B$47*$D$43*$E$43/100*$H$43/100,0)</f>
        <v/>
      </c>
      <c r="Y156" s="42">
        <f>IF(AND(21&gt;=$B$43,21&lt;=$C$43),$B$47*$D$43*$E$43/100*$H$43/100,0)</f>
        <v/>
      </c>
      <c r="Z156" s="42">
        <f>IF(AND(22&gt;=$B$43,22&lt;=$C$43),$B$47*$D$43*$E$43/100*$H$43/100,0)</f>
        <v/>
      </c>
      <c r="AA156" s="42">
        <f>IF(AND(23&gt;=$B$43,23&lt;=$C$43),$B$47*$D$43*$E$43/100*$H$43/100,0)</f>
        <v/>
      </c>
      <c r="AB156" s="42">
        <f>IF(AND(24&gt;=$B$43,24&lt;=$C$43),$B$47*$D$43*$E$43/100*$H$43/100,0)</f>
        <v/>
      </c>
      <c r="AC156" s="42">
        <f>IF(AND(25&gt;=$B$43,25&lt;=$C$43),$B$47*$D$43*$E$43/100*$H$43/100,0)</f>
        <v/>
      </c>
      <c r="AD156" s="42">
        <f>IF(AND(26&gt;=$B$43,26&lt;=$C$43),$B$47*$D$43*$E$43/100*$H$43/100,0)</f>
        <v/>
      </c>
      <c r="AE156" s="42">
        <f>IF(AND(27&gt;=$B$43,27&lt;=$C$43),$B$47*$D$43*$E$43/100*$H$43/100,0)</f>
        <v/>
      </c>
      <c r="AF156" s="42">
        <f>IF(AND(28&gt;=$B$43,28&lt;=$C$43),$B$47*$D$43*$E$43/100*$H$43/100,0)</f>
        <v/>
      </c>
      <c r="AG156" s="42">
        <f>IF(AND(29&gt;=$B$43,29&lt;=$C$43),$B$47*$D$43*$E$43/100*$H$43/100,0)</f>
        <v/>
      </c>
      <c r="AH156" s="42">
        <f>IF(AND(30&gt;=$B$43,30&lt;=$C$43),$B$47*$D$43*$E$43/100*$H$43/100,0)</f>
        <v/>
      </c>
      <c r="AI156" s="42">
        <f>IF(AND(31&gt;=$B$43,31&lt;=$C$43),$B$47*$D$43*$E$43/100*$H$43/100,0)</f>
        <v/>
      </c>
      <c r="AJ156" s="42">
        <f>IF(AND(32&gt;=$B$43,32&lt;=$C$43),$B$47*$D$43*$E$43/100*$H$43/100,0)</f>
        <v/>
      </c>
      <c r="AK156" s="42">
        <f>IF(AND(33&gt;=$B$43,33&lt;=$C$43),$B$47*$D$43*$E$43/100*$H$43/100,0)</f>
        <v/>
      </c>
      <c r="AL156" s="42">
        <f>IF(AND(34&gt;=$B$43,34&lt;=$C$43),$B$47*$D$43*$E$43/100*$H$43/100,0)</f>
        <v/>
      </c>
      <c r="AM156" s="42">
        <f>IF(AND(35&gt;=$B$43,35&lt;=$C$43),$B$47*$D$43*$E$43/100*$H$43/100,0)</f>
        <v/>
      </c>
      <c r="AN156" s="42">
        <f>IF(AND(36&gt;=$B$43,36&lt;=$C$43),$B$47*$D$43*$E$43/100*$H$43/100,0)</f>
        <v/>
      </c>
      <c r="AO156" s="42">
        <f>IF(AND(37&gt;=$B$43,37&lt;=$C$43),$B$47*$D$43*$E$43/100*$H$43/100,0)</f>
        <v/>
      </c>
      <c r="AP156" s="42">
        <f>IF(AND(38&gt;=$B$43,38&lt;=$C$43),$B$47*$D$43*$E$43/100*$H$43/100,0)</f>
        <v/>
      </c>
      <c r="AQ156" s="42">
        <f>IF(AND(39&gt;=$B$43,39&lt;=$C$43),$B$47*$D$43*$E$43/100*$H$43/100,0)</f>
        <v/>
      </c>
      <c r="AR156" s="42">
        <f>IF(AND(40&gt;=$B$43,40&lt;=$C$43),$B$47*$D$43*$E$43/100*$H$43/100,0)</f>
        <v/>
      </c>
      <c r="AS156" s="42">
        <f>IF(AND(41&gt;=$B$43,41&lt;=$C$43),$B$47*$D$43*$E$43/100*$H$43/100,0)</f>
        <v/>
      </c>
      <c r="AT156" s="42">
        <f>IF(AND(42&gt;=$B$43,42&lt;=$C$43),$B$47*$D$43*$E$43/100*$H$43/100,0)</f>
        <v/>
      </c>
      <c r="AU156" s="42">
        <f>IF(AND(43&gt;=$B$43,43&lt;=$C$43),$B$47*$D$43*$E$43/100*$H$43/100,0)</f>
        <v/>
      </c>
      <c r="AV156" s="42">
        <f>IF(AND(44&gt;=$B$43,44&lt;=$C$43),$B$47*$D$43*$E$43/100*$H$43/100,0)</f>
        <v/>
      </c>
      <c r="AW156" s="42">
        <f>IF(AND(45&gt;=$B$43,45&lt;=$C$43),$B$47*$D$43*$E$43/100*$H$43/100,0)</f>
        <v/>
      </c>
      <c r="AX156" s="42">
        <f>IF(AND(46&gt;=$B$43,46&lt;=$C$43),$B$47*$D$43*$E$43/100*$H$43/100,0)</f>
        <v/>
      </c>
      <c r="AY156" s="42">
        <f>IF(AND(47&gt;=$B$43,47&lt;=$C$43),$B$47*$D$43*$E$43/100*$H$43/100,0)</f>
        <v/>
      </c>
      <c r="AZ156" s="42">
        <f>IF(AND(48&gt;=$B$43,48&lt;=$C$43),$B$47*$D$43*$E$43/100*$H$43/100,0)</f>
        <v/>
      </c>
      <c r="BA156" s="42">
        <f>IF(AND(49&gt;=$B$43,49&lt;=$C$43),$B$47*$D$43*$E$43/100*$H$43/100,0)</f>
        <v/>
      </c>
      <c r="BB156" s="42">
        <f>IF(AND(50&gt;=$B$43,50&lt;=$C$43),$B$47*$D$43*$E$43/100*$H$43/100,0)</f>
        <v/>
      </c>
      <c r="BC156" s="42">
        <f>IF(AND(51&gt;=$B$43,51&lt;=$C$43),$B$47*$D$43*$E$43/100*$H$43/100,0)</f>
        <v/>
      </c>
      <c r="BD156" s="42">
        <f>IF(AND(52&gt;=$B$43,52&lt;=$C$43),$B$47*$D$43*$E$43/100*$H$43/100,0)</f>
        <v/>
      </c>
    </row>
    <row r="157">
      <c r="A157" s="4" t="inlineStr">
        <is>
          <t>HOURS AVAILABLE</t>
        </is>
      </c>
      <c r="B157" s="2" t="inlineStr">
        <is>
          <t>hrs</t>
        </is>
      </c>
      <c r="E157" s="42">
        <f>E146+E155+E156</f>
        <v/>
      </c>
      <c r="F157" s="42">
        <f>F146+F155+F156</f>
        <v/>
      </c>
      <c r="G157" s="42">
        <f>G146+G155+G156</f>
        <v/>
      </c>
      <c r="H157" s="42">
        <f>H146+H155+H156</f>
        <v/>
      </c>
      <c r="I157" s="42">
        <f>I146+I155+I156</f>
        <v/>
      </c>
      <c r="J157" s="42">
        <f>J146+J155+J156</f>
        <v/>
      </c>
      <c r="K157" s="42">
        <f>K146+K155+K156</f>
        <v/>
      </c>
      <c r="L157" s="42">
        <f>L146+L155+L156</f>
        <v/>
      </c>
      <c r="M157" s="42">
        <f>M146+M155+M156</f>
        <v/>
      </c>
      <c r="N157" s="42">
        <f>N146+N155+N156</f>
        <v/>
      </c>
      <c r="O157" s="42">
        <f>O146+O155+O156</f>
        <v/>
      </c>
      <c r="P157" s="42">
        <f>P146+P155+P156</f>
        <v/>
      </c>
      <c r="Q157" s="42">
        <f>Q146+Q155+Q156</f>
        <v/>
      </c>
      <c r="R157" s="42">
        <f>R146+R155+R156</f>
        <v/>
      </c>
      <c r="S157" s="42">
        <f>S146+S155+S156</f>
        <v/>
      </c>
      <c r="T157" s="42">
        <f>T146+T155+T156</f>
        <v/>
      </c>
      <c r="U157" s="42">
        <f>U146+U155+U156</f>
        <v/>
      </c>
      <c r="V157" s="42">
        <f>V146+V155+V156</f>
        <v/>
      </c>
      <c r="W157" s="42">
        <f>W146+W155+W156</f>
        <v/>
      </c>
      <c r="X157" s="42">
        <f>X146+X155+X156</f>
        <v/>
      </c>
      <c r="Y157" s="42">
        <f>Y146+Y155+Y156</f>
        <v/>
      </c>
      <c r="Z157" s="42">
        <f>Z146+Z155+Z156</f>
        <v/>
      </c>
      <c r="AA157" s="42">
        <f>AA146+AA155+AA156</f>
        <v/>
      </c>
      <c r="AB157" s="42">
        <f>AB146+AB155+AB156</f>
        <v/>
      </c>
      <c r="AC157" s="42">
        <f>AC146+AC155+AC156</f>
        <v/>
      </c>
      <c r="AD157" s="42">
        <f>AD146+AD155+AD156</f>
        <v/>
      </c>
      <c r="AE157" s="42">
        <f>AE146+AE155+AE156</f>
        <v/>
      </c>
      <c r="AF157" s="42">
        <f>AF146+AF155+AF156</f>
        <v/>
      </c>
      <c r="AG157" s="42">
        <f>AG146+AG155+AG156</f>
        <v/>
      </c>
      <c r="AH157" s="42">
        <f>AH146+AH155+AH156</f>
        <v/>
      </c>
      <c r="AI157" s="42">
        <f>AI146+AI155+AI156</f>
        <v/>
      </c>
      <c r="AJ157" s="42">
        <f>AJ146+AJ155+AJ156</f>
        <v/>
      </c>
      <c r="AK157" s="42">
        <f>AK146+AK155+AK156</f>
        <v/>
      </c>
      <c r="AL157" s="42">
        <f>AL146+AL155+AL156</f>
        <v/>
      </c>
      <c r="AM157" s="42">
        <f>AM146+AM155+AM156</f>
        <v/>
      </c>
      <c r="AN157" s="42">
        <f>AN146+AN155+AN156</f>
        <v/>
      </c>
      <c r="AO157" s="42">
        <f>AO146+AO155+AO156</f>
        <v/>
      </c>
      <c r="AP157" s="42">
        <f>AP146+AP155+AP156</f>
        <v/>
      </c>
      <c r="AQ157" s="42">
        <f>AQ146+AQ155+AQ156</f>
        <v/>
      </c>
      <c r="AR157" s="42">
        <f>AR146+AR155+AR156</f>
        <v/>
      </c>
      <c r="AS157" s="42">
        <f>AS146+AS155+AS156</f>
        <v/>
      </c>
      <c r="AT157" s="42">
        <f>AT146+AT155+AT156</f>
        <v/>
      </c>
      <c r="AU157" s="42">
        <f>AU146+AU155+AU156</f>
        <v/>
      </c>
      <c r="AV157" s="42">
        <f>AV146+AV155+AV156</f>
        <v/>
      </c>
      <c r="AW157" s="42">
        <f>AW146+AW155+AW156</f>
        <v/>
      </c>
      <c r="AX157" s="42">
        <f>AX146+AX155+AX156</f>
        <v/>
      </c>
      <c r="AY157" s="42">
        <f>AY146+AY155+AY156</f>
        <v/>
      </c>
      <c r="AZ157" s="42">
        <f>AZ146+AZ155+AZ156</f>
        <v/>
      </c>
      <c r="BA157" s="42">
        <f>BA146+BA155+BA156</f>
        <v/>
      </c>
      <c r="BB157" s="42">
        <f>BB146+BB155+BB156</f>
        <v/>
      </c>
      <c r="BC157" s="42">
        <f>BC146+BC155+BC156</f>
        <v/>
      </c>
      <c r="BD157" s="42">
        <f>BD146+BD155+BD156</f>
        <v/>
      </c>
    </row>
    <row r="158">
      <c r="A158" s="2" t="inlineStr">
        <is>
          <t xml:space="preserve">   Crew capacity, plus overtime, plus whatever the proposed hire really delivers.</t>
        </is>
      </c>
    </row>
    <row r="160">
      <c r="A160" s="3" t="inlineStr">
        <is>
          <t>C — THE LIMITS</t>
        </is>
      </c>
    </row>
    <row r="161">
      <c r="A161" s="30" t="inlineStr">
        <is>
          <t>Week</t>
        </is>
      </c>
      <c r="B161" s="38" t="inlineStr">
        <is>
          <t>hours</t>
        </is>
      </c>
      <c r="E161" s="31" t="n">
        <v>1</v>
      </c>
      <c r="F161" s="31" t="n">
        <v>2</v>
      </c>
      <c r="G161" s="31" t="n">
        <v>3</v>
      </c>
      <c r="H161" s="31" t="n">
        <v>4</v>
      </c>
      <c r="I161" s="31" t="n">
        <v>5</v>
      </c>
      <c r="J161" s="31" t="n">
        <v>6</v>
      </c>
      <c r="K161" s="31" t="n">
        <v>7</v>
      </c>
      <c r="L161" s="31" t="n">
        <v>8</v>
      </c>
      <c r="M161" s="31" t="n">
        <v>9</v>
      </c>
      <c r="N161" s="31" t="n">
        <v>10</v>
      </c>
      <c r="O161" s="31" t="n">
        <v>11</v>
      </c>
      <c r="P161" s="31" t="n">
        <v>12</v>
      </c>
      <c r="Q161" s="31" t="n">
        <v>13</v>
      </c>
      <c r="R161" s="31" t="n">
        <v>14</v>
      </c>
      <c r="S161" s="31" t="n">
        <v>15</v>
      </c>
      <c r="T161" s="31" t="n">
        <v>16</v>
      </c>
      <c r="U161" s="31" t="n">
        <v>17</v>
      </c>
      <c r="V161" s="31" t="n">
        <v>18</v>
      </c>
      <c r="W161" s="31" t="n">
        <v>19</v>
      </c>
      <c r="X161" s="31" t="n">
        <v>20</v>
      </c>
      <c r="Y161" s="31" t="n">
        <v>21</v>
      </c>
      <c r="Z161" s="31" t="n">
        <v>22</v>
      </c>
      <c r="AA161" s="31" t="n">
        <v>23</v>
      </c>
      <c r="AB161" s="31" t="n">
        <v>24</v>
      </c>
      <c r="AC161" s="31" t="n">
        <v>25</v>
      </c>
      <c r="AD161" s="31" t="n">
        <v>26</v>
      </c>
      <c r="AE161" s="31" t="n">
        <v>27</v>
      </c>
      <c r="AF161" s="31" t="n">
        <v>28</v>
      </c>
      <c r="AG161" s="31" t="n">
        <v>29</v>
      </c>
      <c r="AH161" s="31" t="n">
        <v>30</v>
      </c>
      <c r="AI161" s="31" t="n">
        <v>31</v>
      </c>
      <c r="AJ161" s="31" t="n">
        <v>32</v>
      </c>
      <c r="AK161" s="31" t="n">
        <v>33</v>
      </c>
      <c r="AL161" s="31" t="n">
        <v>34</v>
      </c>
      <c r="AM161" s="31" t="n">
        <v>35</v>
      </c>
      <c r="AN161" s="31" t="n">
        <v>36</v>
      </c>
      <c r="AO161" s="31" t="n">
        <v>37</v>
      </c>
      <c r="AP161" s="31" t="n">
        <v>38</v>
      </c>
      <c r="AQ161" s="31" t="n">
        <v>39</v>
      </c>
      <c r="AR161" s="31" t="n">
        <v>40</v>
      </c>
      <c r="AS161" s="31" t="n">
        <v>41</v>
      </c>
      <c r="AT161" s="31" t="n">
        <v>42</v>
      </c>
      <c r="AU161" s="31" t="n">
        <v>43</v>
      </c>
      <c r="AV161" s="31" t="n">
        <v>44</v>
      </c>
      <c r="AW161" s="31" t="n">
        <v>45</v>
      </c>
      <c r="AX161" s="31" t="n">
        <v>46</v>
      </c>
      <c r="AY161" s="31" t="n">
        <v>47</v>
      </c>
      <c r="AZ161" s="31" t="n">
        <v>48</v>
      </c>
      <c r="BA161" s="31" t="n">
        <v>49</v>
      </c>
      <c r="BB161" s="31" t="n">
        <v>50</v>
      </c>
      <c r="BC161" s="31" t="n">
        <v>51</v>
      </c>
      <c r="BD161" s="31" t="n">
        <v>52</v>
      </c>
    </row>
    <row r="162">
      <c r="A162" s="39" t="inlineStr">
        <is>
          <t>CROP HOURS needed</t>
        </is>
      </c>
      <c r="B162" s="2" t="inlineStr">
        <is>
          <t>used</t>
        </is>
      </c>
      <c r="E162" s="44">
        <f>SUMPRODUCT(($B$62:$B$129="Spinach")*(E$62:E$129="P")*$C$62:$C$129)*$N$12+SUMPRODUCT(($B$62:$B$129="Spinach")*(E$62:E$129="G")*$C$62:$C$129)*$O$12+SUMPRODUCT(($B$62:$B$129="Spinach")*(E$62:E$129="H")*$C$62:$C$129)*$P$12+SUMPRODUCT(($B$62:$B$129="Kale")*(E$62:E$129="P")*$C$62:$C$129)*$N$13+SUMPRODUCT(($B$62:$B$129="Kale")*(E$62:E$129="G")*$C$62:$C$129)*$O$13+SUMPRODUCT(($B$62:$B$129="Kale")*(E$62:E$129="H")*$C$62:$C$129)*$P$13+SUMPRODUCT(($B$62:$B$129="Garlic")*(E$62:E$129="P")*$C$62:$C$129)*$N$14+SUMPRODUCT(($B$62:$B$129="Garlic")*(E$62:E$129="G")*$C$62:$C$129)*$O$14+SUMPRODUCT(($B$62:$B$129="Garlic")*(E$62:E$129="H")*$C$62:$C$129)*$P$14</f>
        <v/>
      </c>
      <c r="F162" s="44">
        <f>SUMPRODUCT(($B$62:$B$129="Spinach")*(F$62:F$129="P")*$C$62:$C$129)*$N$12+SUMPRODUCT(($B$62:$B$129="Spinach")*(F$62:F$129="G")*$C$62:$C$129)*$O$12+SUMPRODUCT(($B$62:$B$129="Spinach")*(F$62:F$129="H")*$C$62:$C$129)*$P$12+SUMPRODUCT(($B$62:$B$129="Kale")*(F$62:F$129="P")*$C$62:$C$129)*$N$13+SUMPRODUCT(($B$62:$B$129="Kale")*(F$62:F$129="G")*$C$62:$C$129)*$O$13+SUMPRODUCT(($B$62:$B$129="Kale")*(F$62:F$129="H")*$C$62:$C$129)*$P$13+SUMPRODUCT(($B$62:$B$129="Garlic")*(F$62:F$129="P")*$C$62:$C$129)*$N$14+SUMPRODUCT(($B$62:$B$129="Garlic")*(F$62:F$129="G")*$C$62:$C$129)*$O$14+SUMPRODUCT(($B$62:$B$129="Garlic")*(F$62:F$129="H")*$C$62:$C$129)*$P$14</f>
        <v/>
      </c>
      <c r="G162" s="44">
        <f>SUMPRODUCT(($B$62:$B$129="Spinach")*(G$62:G$129="P")*$C$62:$C$129)*$N$12+SUMPRODUCT(($B$62:$B$129="Spinach")*(G$62:G$129="G")*$C$62:$C$129)*$O$12+SUMPRODUCT(($B$62:$B$129="Spinach")*(G$62:G$129="H")*$C$62:$C$129)*$P$12+SUMPRODUCT(($B$62:$B$129="Kale")*(G$62:G$129="P")*$C$62:$C$129)*$N$13+SUMPRODUCT(($B$62:$B$129="Kale")*(G$62:G$129="G")*$C$62:$C$129)*$O$13+SUMPRODUCT(($B$62:$B$129="Kale")*(G$62:G$129="H")*$C$62:$C$129)*$P$13+SUMPRODUCT(($B$62:$B$129="Garlic")*(G$62:G$129="P")*$C$62:$C$129)*$N$14+SUMPRODUCT(($B$62:$B$129="Garlic")*(G$62:G$129="G")*$C$62:$C$129)*$O$14+SUMPRODUCT(($B$62:$B$129="Garlic")*(G$62:G$129="H")*$C$62:$C$129)*$P$14</f>
        <v/>
      </c>
      <c r="H162" s="44">
        <f>SUMPRODUCT(($B$62:$B$129="Spinach")*(H$62:H$129="P")*$C$62:$C$129)*$N$12+SUMPRODUCT(($B$62:$B$129="Spinach")*(H$62:H$129="G")*$C$62:$C$129)*$O$12+SUMPRODUCT(($B$62:$B$129="Spinach")*(H$62:H$129="H")*$C$62:$C$129)*$P$12+SUMPRODUCT(($B$62:$B$129="Kale")*(H$62:H$129="P")*$C$62:$C$129)*$N$13+SUMPRODUCT(($B$62:$B$129="Kale")*(H$62:H$129="G")*$C$62:$C$129)*$O$13+SUMPRODUCT(($B$62:$B$129="Kale")*(H$62:H$129="H")*$C$62:$C$129)*$P$13+SUMPRODUCT(($B$62:$B$129="Garlic")*(H$62:H$129="P")*$C$62:$C$129)*$N$14+SUMPRODUCT(($B$62:$B$129="Garlic")*(H$62:H$129="G")*$C$62:$C$129)*$O$14+SUMPRODUCT(($B$62:$B$129="Garlic")*(H$62:H$129="H")*$C$62:$C$129)*$P$14</f>
        <v/>
      </c>
      <c r="I162" s="44">
        <f>SUMPRODUCT(($B$62:$B$129="Spinach")*(I$62:I$129="P")*$C$62:$C$129)*$N$12+SUMPRODUCT(($B$62:$B$129="Spinach")*(I$62:I$129="G")*$C$62:$C$129)*$O$12+SUMPRODUCT(($B$62:$B$129="Spinach")*(I$62:I$129="H")*$C$62:$C$129)*$P$12+SUMPRODUCT(($B$62:$B$129="Kale")*(I$62:I$129="P")*$C$62:$C$129)*$N$13+SUMPRODUCT(($B$62:$B$129="Kale")*(I$62:I$129="G")*$C$62:$C$129)*$O$13+SUMPRODUCT(($B$62:$B$129="Kale")*(I$62:I$129="H")*$C$62:$C$129)*$P$13+SUMPRODUCT(($B$62:$B$129="Garlic")*(I$62:I$129="P")*$C$62:$C$129)*$N$14+SUMPRODUCT(($B$62:$B$129="Garlic")*(I$62:I$129="G")*$C$62:$C$129)*$O$14+SUMPRODUCT(($B$62:$B$129="Garlic")*(I$62:I$129="H")*$C$62:$C$129)*$P$14</f>
        <v/>
      </c>
      <c r="J162" s="44">
        <f>SUMPRODUCT(($B$62:$B$129="Spinach")*(J$62:J$129="P")*$C$62:$C$129)*$N$12+SUMPRODUCT(($B$62:$B$129="Spinach")*(J$62:J$129="G")*$C$62:$C$129)*$O$12+SUMPRODUCT(($B$62:$B$129="Spinach")*(J$62:J$129="H")*$C$62:$C$129)*$P$12+SUMPRODUCT(($B$62:$B$129="Kale")*(J$62:J$129="P")*$C$62:$C$129)*$N$13+SUMPRODUCT(($B$62:$B$129="Kale")*(J$62:J$129="G")*$C$62:$C$129)*$O$13+SUMPRODUCT(($B$62:$B$129="Kale")*(J$62:J$129="H")*$C$62:$C$129)*$P$13+SUMPRODUCT(($B$62:$B$129="Garlic")*(J$62:J$129="P")*$C$62:$C$129)*$N$14+SUMPRODUCT(($B$62:$B$129="Garlic")*(J$62:J$129="G")*$C$62:$C$129)*$O$14+SUMPRODUCT(($B$62:$B$129="Garlic")*(J$62:J$129="H")*$C$62:$C$129)*$P$14</f>
        <v/>
      </c>
      <c r="K162" s="44">
        <f>SUMPRODUCT(($B$62:$B$129="Spinach")*(K$62:K$129="P")*$C$62:$C$129)*$N$12+SUMPRODUCT(($B$62:$B$129="Spinach")*(K$62:K$129="G")*$C$62:$C$129)*$O$12+SUMPRODUCT(($B$62:$B$129="Spinach")*(K$62:K$129="H")*$C$62:$C$129)*$P$12+SUMPRODUCT(($B$62:$B$129="Kale")*(K$62:K$129="P")*$C$62:$C$129)*$N$13+SUMPRODUCT(($B$62:$B$129="Kale")*(K$62:K$129="G")*$C$62:$C$129)*$O$13+SUMPRODUCT(($B$62:$B$129="Kale")*(K$62:K$129="H")*$C$62:$C$129)*$P$13+SUMPRODUCT(($B$62:$B$129="Garlic")*(K$62:K$129="P")*$C$62:$C$129)*$N$14+SUMPRODUCT(($B$62:$B$129="Garlic")*(K$62:K$129="G")*$C$62:$C$129)*$O$14+SUMPRODUCT(($B$62:$B$129="Garlic")*(K$62:K$129="H")*$C$62:$C$129)*$P$14</f>
        <v/>
      </c>
      <c r="L162" s="44">
        <f>SUMPRODUCT(($B$62:$B$129="Spinach")*(L$62:L$129="P")*$C$62:$C$129)*$N$12+SUMPRODUCT(($B$62:$B$129="Spinach")*(L$62:L$129="G")*$C$62:$C$129)*$O$12+SUMPRODUCT(($B$62:$B$129="Spinach")*(L$62:L$129="H")*$C$62:$C$129)*$P$12+SUMPRODUCT(($B$62:$B$129="Kale")*(L$62:L$129="P")*$C$62:$C$129)*$N$13+SUMPRODUCT(($B$62:$B$129="Kale")*(L$62:L$129="G")*$C$62:$C$129)*$O$13+SUMPRODUCT(($B$62:$B$129="Kale")*(L$62:L$129="H")*$C$62:$C$129)*$P$13+SUMPRODUCT(($B$62:$B$129="Garlic")*(L$62:L$129="P")*$C$62:$C$129)*$N$14+SUMPRODUCT(($B$62:$B$129="Garlic")*(L$62:L$129="G")*$C$62:$C$129)*$O$14+SUMPRODUCT(($B$62:$B$129="Garlic")*(L$62:L$129="H")*$C$62:$C$129)*$P$14</f>
        <v/>
      </c>
      <c r="M162" s="44">
        <f>SUMPRODUCT(($B$62:$B$129="Spinach")*(M$62:M$129="P")*$C$62:$C$129)*$N$12+SUMPRODUCT(($B$62:$B$129="Spinach")*(M$62:M$129="G")*$C$62:$C$129)*$O$12+SUMPRODUCT(($B$62:$B$129="Spinach")*(M$62:M$129="H")*$C$62:$C$129)*$P$12+SUMPRODUCT(($B$62:$B$129="Kale")*(M$62:M$129="P")*$C$62:$C$129)*$N$13+SUMPRODUCT(($B$62:$B$129="Kale")*(M$62:M$129="G")*$C$62:$C$129)*$O$13+SUMPRODUCT(($B$62:$B$129="Kale")*(M$62:M$129="H")*$C$62:$C$129)*$P$13+SUMPRODUCT(($B$62:$B$129="Garlic")*(M$62:M$129="P")*$C$62:$C$129)*$N$14+SUMPRODUCT(($B$62:$B$129="Garlic")*(M$62:M$129="G")*$C$62:$C$129)*$O$14+SUMPRODUCT(($B$62:$B$129="Garlic")*(M$62:M$129="H")*$C$62:$C$129)*$P$14</f>
        <v/>
      </c>
      <c r="N162" s="44">
        <f>SUMPRODUCT(($B$62:$B$129="Spinach")*(N$62:N$129="P")*$C$62:$C$129)*$N$12+SUMPRODUCT(($B$62:$B$129="Spinach")*(N$62:N$129="G")*$C$62:$C$129)*$O$12+SUMPRODUCT(($B$62:$B$129="Spinach")*(N$62:N$129="H")*$C$62:$C$129)*$P$12+SUMPRODUCT(($B$62:$B$129="Kale")*(N$62:N$129="P")*$C$62:$C$129)*$N$13+SUMPRODUCT(($B$62:$B$129="Kale")*(N$62:N$129="G")*$C$62:$C$129)*$O$13+SUMPRODUCT(($B$62:$B$129="Kale")*(N$62:N$129="H")*$C$62:$C$129)*$P$13+SUMPRODUCT(($B$62:$B$129="Garlic")*(N$62:N$129="P")*$C$62:$C$129)*$N$14+SUMPRODUCT(($B$62:$B$129="Garlic")*(N$62:N$129="G")*$C$62:$C$129)*$O$14+SUMPRODUCT(($B$62:$B$129="Garlic")*(N$62:N$129="H")*$C$62:$C$129)*$P$14</f>
        <v/>
      </c>
      <c r="O162" s="44">
        <f>SUMPRODUCT(($B$62:$B$129="Spinach")*(O$62:O$129="P")*$C$62:$C$129)*$N$12+SUMPRODUCT(($B$62:$B$129="Spinach")*(O$62:O$129="G")*$C$62:$C$129)*$O$12+SUMPRODUCT(($B$62:$B$129="Spinach")*(O$62:O$129="H")*$C$62:$C$129)*$P$12+SUMPRODUCT(($B$62:$B$129="Kale")*(O$62:O$129="P")*$C$62:$C$129)*$N$13+SUMPRODUCT(($B$62:$B$129="Kale")*(O$62:O$129="G")*$C$62:$C$129)*$O$13+SUMPRODUCT(($B$62:$B$129="Kale")*(O$62:O$129="H")*$C$62:$C$129)*$P$13+SUMPRODUCT(($B$62:$B$129="Garlic")*(O$62:O$129="P")*$C$62:$C$129)*$N$14+SUMPRODUCT(($B$62:$B$129="Garlic")*(O$62:O$129="G")*$C$62:$C$129)*$O$14+SUMPRODUCT(($B$62:$B$129="Garlic")*(O$62:O$129="H")*$C$62:$C$129)*$P$14</f>
        <v/>
      </c>
      <c r="P162" s="44">
        <f>SUMPRODUCT(($B$62:$B$129="Spinach")*(P$62:P$129="P")*$C$62:$C$129)*$N$12+SUMPRODUCT(($B$62:$B$129="Spinach")*(P$62:P$129="G")*$C$62:$C$129)*$O$12+SUMPRODUCT(($B$62:$B$129="Spinach")*(P$62:P$129="H")*$C$62:$C$129)*$P$12+SUMPRODUCT(($B$62:$B$129="Kale")*(P$62:P$129="P")*$C$62:$C$129)*$N$13+SUMPRODUCT(($B$62:$B$129="Kale")*(P$62:P$129="G")*$C$62:$C$129)*$O$13+SUMPRODUCT(($B$62:$B$129="Kale")*(P$62:P$129="H")*$C$62:$C$129)*$P$13+SUMPRODUCT(($B$62:$B$129="Garlic")*(P$62:P$129="P")*$C$62:$C$129)*$N$14+SUMPRODUCT(($B$62:$B$129="Garlic")*(P$62:P$129="G")*$C$62:$C$129)*$O$14+SUMPRODUCT(($B$62:$B$129="Garlic")*(P$62:P$129="H")*$C$62:$C$129)*$P$14</f>
        <v/>
      </c>
      <c r="Q162" s="44">
        <f>SUMPRODUCT(($B$62:$B$129="Spinach")*(Q$62:Q$129="P")*$C$62:$C$129)*$N$12+SUMPRODUCT(($B$62:$B$129="Spinach")*(Q$62:Q$129="G")*$C$62:$C$129)*$O$12+SUMPRODUCT(($B$62:$B$129="Spinach")*(Q$62:Q$129="H")*$C$62:$C$129)*$P$12+SUMPRODUCT(($B$62:$B$129="Kale")*(Q$62:Q$129="P")*$C$62:$C$129)*$N$13+SUMPRODUCT(($B$62:$B$129="Kale")*(Q$62:Q$129="G")*$C$62:$C$129)*$O$13+SUMPRODUCT(($B$62:$B$129="Kale")*(Q$62:Q$129="H")*$C$62:$C$129)*$P$13+SUMPRODUCT(($B$62:$B$129="Garlic")*(Q$62:Q$129="P")*$C$62:$C$129)*$N$14+SUMPRODUCT(($B$62:$B$129="Garlic")*(Q$62:Q$129="G")*$C$62:$C$129)*$O$14+SUMPRODUCT(($B$62:$B$129="Garlic")*(Q$62:Q$129="H")*$C$62:$C$129)*$P$14</f>
        <v/>
      </c>
      <c r="R162" s="44">
        <f>SUMPRODUCT(($B$62:$B$129="Spinach")*(R$62:R$129="P")*$C$62:$C$129)*$N$12+SUMPRODUCT(($B$62:$B$129="Spinach")*(R$62:R$129="G")*$C$62:$C$129)*$O$12+SUMPRODUCT(($B$62:$B$129="Spinach")*(R$62:R$129="H")*$C$62:$C$129)*$P$12+SUMPRODUCT(($B$62:$B$129="Kale")*(R$62:R$129="P")*$C$62:$C$129)*$N$13+SUMPRODUCT(($B$62:$B$129="Kale")*(R$62:R$129="G")*$C$62:$C$129)*$O$13+SUMPRODUCT(($B$62:$B$129="Kale")*(R$62:R$129="H")*$C$62:$C$129)*$P$13+SUMPRODUCT(($B$62:$B$129="Garlic")*(R$62:R$129="P")*$C$62:$C$129)*$N$14+SUMPRODUCT(($B$62:$B$129="Garlic")*(R$62:R$129="G")*$C$62:$C$129)*$O$14+SUMPRODUCT(($B$62:$B$129="Garlic")*(R$62:R$129="H")*$C$62:$C$129)*$P$14</f>
        <v/>
      </c>
      <c r="S162" s="44">
        <f>SUMPRODUCT(($B$62:$B$129="Spinach")*(S$62:S$129="P")*$C$62:$C$129)*$N$12+SUMPRODUCT(($B$62:$B$129="Spinach")*(S$62:S$129="G")*$C$62:$C$129)*$O$12+SUMPRODUCT(($B$62:$B$129="Spinach")*(S$62:S$129="H")*$C$62:$C$129)*$P$12+SUMPRODUCT(($B$62:$B$129="Kale")*(S$62:S$129="P")*$C$62:$C$129)*$N$13+SUMPRODUCT(($B$62:$B$129="Kale")*(S$62:S$129="G")*$C$62:$C$129)*$O$13+SUMPRODUCT(($B$62:$B$129="Kale")*(S$62:S$129="H")*$C$62:$C$129)*$P$13+SUMPRODUCT(($B$62:$B$129="Garlic")*(S$62:S$129="P")*$C$62:$C$129)*$N$14+SUMPRODUCT(($B$62:$B$129="Garlic")*(S$62:S$129="G")*$C$62:$C$129)*$O$14+SUMPRODUCT(($B$62:$B$129="Garlic")*(S$62:S$129="H")*$C$62:$C$129)*$P$14</f>
        <v/>
      </c>
      <c r="T162" s="44">
        <f>SUMPRODUCT(($B$62:$B$129="Spinach")*(T$62:T$129="P")*$C$62:$C$129)*$N$12+SUMPRODUCT(($B$62:$B$129="Spinach")*(T$62:T$129="G")*$C$62:$C$129)*$O$12+SUMPRODUCT(($B$62:$B$129="Spinach")*(T$62:T$129="H")*$C$62:$C$129)*$P$12+SUMPRODUCT(($B$62:$B$129="Kale")*(T$62:T$129="P")*$C$62:$C$129)*$N$13+SUMPRODUCT(($B$62:$B$129="Kale")*(T$62:T$129="G")*$C$62:$C$129)*$O$13+SUMPRODUCT(($B$62:$B$129="Kale")*(T$62:T$129="H")*$C$62:$C$129)*$P$13+SUMPRODUCT(($B$62:$B$129="Garlic")*(T$62:T$129="P")*$C$62:$C$129)*$N$14+SUMPRODUCT(($B$62:$B$129="Garlic")*(T$62:T$129="G")*$C$62:$C$129)*$O$14+SUMPRODUCT(($B$62:$B$129="Garlic")*(T$62:T$129="H")*$C$62:$C$129)*$P$14</f>
        <v/>
      </c>
      <c r="U162" s="44">
        <f>SUMPRODUCT(($B$62:$B$129="Spinach")*(U$62:U$129="P")*$C$62:$C$129)*$N$12+SUMPRODUCT(($B$62:$B$129="Spinach")*(U$62:U$129="G")*$C$62:$C$129)*$O$12+SUMPRODUCT(($B$62:$B$129="Spinach")*(U$62:U$129="H")*$C$62:$C$129)*$P$12+SUMPRODUCT(($B$62:$B$129="Kale")*(U$62:U$129="P")*$C$62:$C$129)*$N$13+SUMPRODUCT(($B$62:$B$129="Kale")*(U$62:U$129="G")*$C$62:$C$129)*$O$13+SUMPRODUCT(($B$62:$B$129="Kale")*(U$62:U$129="H")*$C$62:$C$129)*$P$13+SUMPRODUCT(($B$62:$B$129="Garlic")*(U$62:U$129="P")*$C$62:$C$129)*$N$14+SUMPRODUCT(($B$62:$B$129="Garlic")*(U$62:U$129="G")*$C$62:$C$129)*$O$14+SUMPRODUCT(($B$62:$B$129="Garlic")*(U$62:U$129="H")*$C$62:$C$129)*$P$14</f>
        <v/>
      </c>
      <c r="V162" s="44">
        <f>SUMPRODUCT(($B$62:$B$129="Spinach")*(V$62:V$129="P")*$C$62:$C$129)*$N$12+SUMPRODUCT(($B$62:$B$129="Spinach")*(V$62:V$129="G")*$C$62:$C$129)*$O$12+SUMPRODUCT(($B$62:$B$129="Spinach")*(V$62:V$129="H")*$C$62:$C$129)*$P$12+SUMPRODUCT(($B$62:$B$129="Kale")*(V$62:V$129="P")*$C$62:$C$129)*$N$13+SUMPRODUCT(($B$62:$B$129="Kale")*(V$62:V$129="G")*$C$62:$C$129)*$O$13+SUMPRODUCT(($B$62:$B$129="Kale")*(V$62:V$129="H")*$C$62:$C$129)*$P$13+SUMPRODUCT(($B$62:$B$129="Garlic")*(V$62:V$129="P")*$C$62:$C$129)*$N$14+SUMPRODUCT(($B$62:$B$129="Garlic")*(V$62:V$129="G")*$C$62:$C$129)*$O$14+SUMPRODUCT(($B$62:$B$129="Garlic")*(V$62:V$129="H")*$C$62:$C$129)*$P$14</f>
        <v/>
      </c>
      <c r="W162" s="44">
        <f>SUMPRODUCT(($B$62:$B$129="Spinach")*(W$62:W$129="P")*$C$62:$C$129)*$N$12+SUMPRODUCT(($B$62:$B$129="Spinach")*(W$62:W$129="G")*$C$62:$C$129)*$O$12+SUMPRODUCT(($B$62:$B$129="Spinach")*(W$62:W$129="H")*$C$62:$C$129)*$P$12+SUMPRODUCT(($B$62:$B$129="Kale")*(W$62:W$129="P")*$C$62:$C$129)*$N$13+SUMPRODUCT(($B$62:$B$129="Kale")*(W$62:W$129="G")*$C$62:$C$129)*$O$13+SUMPRODUCT(($B$62:$B$129="Kale")*(W$62:W$129="H")*$C$62:$C$129)*$P$13+SUMPRODUCT(($B$62:$B$129="Garlic")*(W$62:W$129="P")*$C$62:$C$129)*$N$14+SUMPRODUCT(($B$62:$B$129="Garlic")*(W$62:W$129="G")*$C$62:$C$129)*$O$14+SUMPRODUCT(($B$62:$B$129="Garlic")*(W$62:W$129="H")*$C$62:$C$129)*$P$14</f>
        <v/>
      </c>
      <c r="X162" s="44">
        <f>SUMPRODUCT(($B$62:$B$129="Spinach")*(X$62:X$129="P")*$C$62:$C$129)*$N$12+SUMPRODUCT(($B$62:$B$129="Spinach")*(X$62:X$129="G")*$C$62:$C$129)*$O$12+SUMPRODUCT(($B$62:$B$129="Spinach")*(X$62:X$129="H")*$C$62:$C$129)*$P$12+SUMPRODUCT(($B$62:$B$129="Kale")*(X$62:X$129="P")*$C$62:$C$129)*$N$13+SUMPRODUCT(($B$62:$B$129="Kale")*(X$62:X$129="G")*$C$62:$C$129)*$O$13+SUMPRODUCT(($B$62:$B$129="Kale")*(X$62:X$129="H")*$C$62:$C$129)*$P$13+SUMPRODUCT(($B$62:$B$129="Garlic")*(X$62:X$129="P")*$C$62:$C$129)*$N$14+SUMPRODUCT(($B$62:$B$129="Garlic")*(X$62:X$129="G")*$C$62:$C$129)*$O$14+SUMPRODUCT(($B$62:$B$129="Garlic")*(X$62:X$129="H")*$C$62:$C$129)*$P$14</f>
        <v/>
      </c>
      <c r="Y162" s="44">
        <f>SUMPRODUCT(($B$62:$B$129="Spinach")*(Y$62:Y$129="P")*$C$62:$C$129)*$N$12+SUMPRODUCT(($B$62:$B$129="Spinach")*(Y$62:Y$129="G")*$C$62:$C$129)*$O$12+SUMPRODUCT(($B$62:$B$129="Spinach")*(Y$62:Y$129="H")*$C$62:$C$129)*$P$12+SUMPRODUCT(($B$62:$B$129="Kale")*(Y$62:Y$129="P")*$C$62:$C$129)*$N$13+SUMPRODUCT(($B$62:$B$129="Kale")*(Y$62:Y$129="G")*$C$62:$C$129)*$O$13+SUMPRODUCT(($B$62:$B$129="Kale")*(Y$62:Y$129="H")*$C$62:$C$129)*$P$13+SUMPRODUCT(($B$62:$B$129="Garlic")*(Y$62:Y$129="P")*$C$62:$C$129)*$N$14+SUMPRODUCT(($B$62:$B$129="Garlic")*(Y$62:Y$129="G")*$C$62:$C$129)*$O$14+SUMPRODUCT(($B$62:$B$129="Garlic")*(Y$62:Y$129="H")*$C$62:$C$129)*$P$14</f>
        <v/>
      </c>
      <c r="Z162" s="44">
        <f>SUMPRODUCT(($B$62:$B$129="Spinach")*(Z$62:Z$129="P")*$C$62:$C$129)*$N$12+SUMPRODUCT(($B$62:$B$129="Spinach")*(Z$62:Z$129="G")*$C$62:$C$129)*$O$12+SUMPRODUCT(($B$62:$B$129="Spinach")*(Z$62:Z$129="H")*$C$62:$C$129)*$P$12+SUMPRODUCT(($B$62:$B$129="Kale")*(Z$62:Z$129="P")*$C$62:$C$129)*$N$13+SUMPRODUCT(($B$62:$B$129="Kale")*(Z$62:Z$129="G")*$C$62:$C$129)*$O$13+SUMPRODUCT(($B$62:$B$129="Kale")*(Z$62:Z$129="H")*$C$62:$C$129)*$P$13+SUMPRODUCT(($B$62:$B$129="Garlic")*(Z$62:Z$129="P")*$C$62:$C$129)*$N$14+SUMPRODUCT(($B$62:$B$129="Garlic")*(Z$62:Z$129="G")*$C$62:$C$129)*$O$14+SUMPRODUCT(($B$62:$B$129="Garlic")*(Z$62:Z$129="H")*$C$62:$C$129)*$P$14</f>
        <v/>
      </c>
      <c r="AA162" s="44">
        <f>SUMPRODUCT(($B$62:$B$129="Spinach")*(AA$62:AA$129="P")*$C$62:$C$129)*$N$12+SUMPRODUCT(($B$62:$B$129="Spinach")*(AA$62:AA$129="G")*$C$62:$C$129)*$O$12+SUMPRODUCT(($B$62:$B$129="Spinach")*(AA$62:AA$129="H")*$C$62:$C$129)*$P$12+SUMPRODUCT(($B$62:$B$129="Kale")*(AA$62:AA$129="P")*$C$62:$C$129)*$N$13+SUMPRODUCT(($B$62:$B$129="Kale")*(AA$62:AA$129="G")*$C$62:$C$129)*$O$13+SUMPRODUCT(($B$62:$B$129="Kale")*(AA$62:AA$129="H")*$C$62:$C$129)*$P$13+SUMPRODUCT(($B$62:$B$129="Garlic")*(AA$62:AA$129="P")*$C$62:$C$129)*$N$14+SUMPRODUCT(($B$62:$B$129="Garlic")*(AA$62:AA$129="G")*$C$62:$C$129)*$O$14+SUMPRODUCT(($B$62:$B$129="Garlic")*(AA$62:AA$129="H")*$C$62:$C$129)*$P$14</f>
        <v/>
      </c>
      <c r="AB162" s="44">
        <f>SUMPRODUCT(($B$62:$B$129="Spinach")*(AB$62:AB$129="P")*$C$62:$C$129)*$N$12+SUMPRODUCT(($B$62:$B$129="Spinach")*(AB$62:AB$129="G")*$C$62:$C$129)*$O$12+SUMPRODUCT(($B$62:$B$129="Spinach")*(AB$62:AB$129="H")*$C$62:$C$129)*$P$12+SUMPRODUCT(($B$62:$B$129="Kale")*(AB$62:AB$129="P")*$C$62:$C$129)*$N$13+SUMPRODUCT(($B$62:$B$129="Kale")*(AB$62:AB$129="G")*$C$62:$C$129)*$O$13+SUMPRODUCT(($B$62:$B$129="Kale")*(AB$62:AB$129="H")*$C$62:$C$129)*$P$13+SUMPRODUCT(($B$62:$B$129="Garlic")*(AB$62:AB$129="P")*$C$62:$C$129)*$N$14+SUMPRODUCT(($B$62:$B$129="Garlic")*(AB$62:AB$129="G")*$C$62:$C$129)*$O$14+SUMPRODUCT(($B$62:$B$129="Garlic")*(AB$62:AB$129="H")*$C$62:$C$129)*$P$14</f>
        <v/>
      </c>
      <c r="AC162" s="44">
        <f>SUMPRODUCT(($B$62:$B$129="Spinach")*(AC$62:AC$129="P")*$C$62:$C$129)*$N$12+SUMPRODUCT(($B$62:$B$129="Spinach")*(AC$62:AC$129="G")*$C$62:$C$129)*$O$12+SUMPRODUCT(($B$62:$B$129="Spinach")*(AC$62:AC$129="H")*$C$62:$C$129)*$P$12+SUMPRODUCT(($B$62:$B$129="Kale")*(AC$62:AC$129="P")*$C$62:$C$129)*$N$13+SUMPRODUCT(($B$62:$B$129="Kale")*(AC$62:AC$129="G")*$C$62:$C$129)*$O$13+SUMPRODUCT(($B$62:$B$129="Kale")*(AC$62:AC$129="H")*$C$62:$C$129)*$P$13+SUMPRODUCT(($B$62:$B$129="Garlic")*(AC$62:AC$129="P")*$C$62:$C$129)*$N$14+SUMPRODUCT(($B$62:$B$129="Garlic")*(AC$62:AC$129="G")*$C$62:$C$129)*$O$14+SUMPRODUCT(($B$62:$B$129="Garlic")*(AC$62:AC$129="H")*$C$62:$C$129)*$P$14</f>
        <v/>
      </c>
      <c r="AD162" s="44">
        <f>SUMPRODUCT(($B$62:$B$129="Spinach")*(AD$62:AD$129="P")*$C$62:$C$129)*$N$12+SUMPRODUCT(($B$62:$B$129="Spinach")*(AD$62:AD$129="G")*$C$62:$C$129)*$O$12+SUMPRODUCT(($B$62:$B$129="Spinach")*(AD$62:AD$129="H")*$C$62:$C$129)*$P$12+SUMPRODUCT(($B$62:$B$129="Kale")*(AD$62:AD$129="P")*$C$62:$C$129)*$N$13+SUMPRODUCT(($B$62:$B$129="Kale")*(AD$62:AD$129="G")*$C$62:$C$129)*$O$13+SUMPRODUCT(($B$62:$B$129="Kale")*(AD$62:AD$129="H")*$C$62:$C$129)*$P$13+SUMPRODUCT(($B$62:$B$129="Garlic")*(AD$62:AD$129="P")*$C$62:$C$129)*$N$14+SUMPRODUCT(($B$62:$B$129="Garlic")*(AD$62:AD$129="G")*$C$62:$C$129)*$O$14+SUMPRODUCT(($B$62:$B$129="Garlic")*(AD$62:AD$129="H")*$C$62:$C$129)*$P$14</f>
        <v/>
      </c>
      <c r="AE162" s="44">
        <f>SUMPRODUCT(($B$62:$B$129="Spinach")*(AE$62:AE$129="P")*$C$62:$C$129)*$N$12+SUMPRODUCT(($B$62:$B$129="Spinach")*(AE$62:AE$129="G")*$C$62:$C$129)*$O$12+SUMPRODUCT(($B$62:$B$129="Spinach")*(AE$62:AE$129="H")*$C$62:$C$129)*$P$12+SUMPRODUCT(($B$62:$B$129="Kale")*(AE$62:AE$129="P")*$C$62:$C$129)*$N$13+SUMPRODUCT(($B$62:$B$129="Kale")*(AE$62:AE$129="G")*$C$62:$C$129)*$O$13+SUMPRODUCT(($B$62:$B$129="Kale")*(AE$62:AE$129="H")*$C$62:$C$129)*$P$13+SUMPRODUCT(($B$62:$B$129="Garlic")*(AE$62:AE$129="P")*$C$62:$C$129)*$N$14+SUMPRODUCT(($B$62:$B$129="Garlic")*(AE$62:AE$129="G")*$C$62:$C$129)*$O$14+SUMPRODUCT(($B$62:$B$129="Garlic")*(AE$62:AE$129="H")*$C$62:$C$129)*$P$14</f>
        <v/>
      </c>
      <c r="AF162" s="44">
        <f>SUMPRODUCT(($B$62:$B$129="Spinach")*(AF$62:AF$129="P")*$C$62:$C$129)*$N$12+SUMPRODUCT(($B$62:$B$129="Spinach")*(AF$62:AF$129="G")*$C$62:$C$129)*$O$12+SUMPRODUCT(($B$62:$B$129="Spinach")*(AF$62:AF$129="H")*$C$62:$C$129)*$P$12+SUMPRODUCT(($B$62:$B$129="Kale")*(AF$62:AF$129="P")*$C$62:$C$129)*$N$13+SUMPRODUCT(($B$62:$B$129="Kale")*(AF$62:AF$129="G")*$C$62:$C$129)*$O$13+SUMPRODUCT(($B$62:$B$129="Kale")*(AF$62:AF$129="H")*$C$62:$C$129)*$P$13+SUMPRODUCT(($B$62:$B$129="Garlic")*(AF$62:AF$129="P")*$C$62:$C$129)*$N$14+SUMPRODUCT(($B$62:$B$129="Garlic")*(AF$62:AF$129="G")*$C$62:$C$129)*$O$14+SUMPRODUCT(($B$62:$B$129="Garlic")*(AF$62:AF$129="H")*$C$62:$C$129)*$P$14</f>
        <v/>
      </c>
      <c r="AG162" s="44">
        <f>SUMPRODUCT(($B$62:$B$129="Spinach")*(AG$62:AG$129="P")*$C$62:$C$129)*$N$12+SUMPRODUCT(($B$62:$B$129="Spinach")*(AG$62:AG$129="G")*$C$62:$C$129)*$O$12+SUMPRODUCT(($B$62:$B$129="Spinach")*(AG$62:AG$129="H")*$C$62:$C$129)*$P$12+SUMPRODUCT(($B$62:$B$129="Kale")*(AG$62:AG$129="P")*$C$62:$C$129)*$N$13+SUMPRODUCT(($B$62:$B$129="Kale")*(AG$62:AG$129="G")*$C$62:$C$129)*$O$13+SUMPRODUCT(($B$62:$B$129="Kale")*(AG$62:AG$129="H")*$C$62:$C$129)*$P$13+SUMPRODUCT(($B$62:$B$129="Garlic")*(AG$62:AG$129="P")*$C$62:$C$129)*$N$14+SUMPRODUCT(($B$62:$B$129="Garlic")*(AG$62:AG$129="G")*$C$62:$C$129)*$O$14+SUMPRODUCT(($B$62:$B$129="Garlic")*(AG$62:AG$129="H")*$C$62:$C$129)*$P$14</f>
        <v/>
      </c>
      <c r="AH162" s="44">
        <f>SUMPRODUCT(($B$62:$B$129="Spinach")*(AH$62:AH$129="P")*$C$62:$C$129)*$N$12+SUMPRODUCT(($B$62:$B$129="Spinach")*(AH$62:AH$129="G")*$C$62:$C$129)*$O$12+SUMPRODUCT(($B$62:$B$129="Spinach")*(AH$62:AH$129="H")*$C$62:$C$129)*$P$12+SUMPRODUCT(($B$62:$B$129="Kale")*(AH$62:AH$129="P")*$C$62:$C$129)*$N$13+SUMPRODUCT(($B$62:$B$129="Kale")*(AH$62:AH$129="G")*$C$62:$C$129)*$O$13+SUMPRODUCT(($B$62:$B$129="Kale")*(AH$62:AH$129="H")*$C$62:$C$129)*$P$13+SUMPRODUCT(($B$62:$B$129="Garlic")*(AH$62:AH$129="P")*$C$62:$C$129)*$N$14+SUMPRODUCT(($B$62:$B$129="Garlic")*(AH$62:AH$129="G")*$C$62:$C$129)*$O$14+SUMPRODUCT(($B$62:$B$129="Garlic")*(AH$62:AH$129="H")*$C$62:$C$129)*$P$14</f>
        <v/>
      </c>
      <c r="AI162" s="44">
        <f>SUMPRODUCT(($B$62:$B$129="Spinach")*(AI$62:AI$129="P")*$C$62:$C$129)*$N$12+SUMPRODUCT(($B$62:$B$129="Spinach")*(AI$62:AI$129="G")*$C$62:$C$129)*$O$12+SUMPRODUCT(($B$62:$B$129="Spinach")*(AI$62:AI$129="H")*$C$62:$C$129)*$P$12+SUMPRODUCT(($B$62:$B$129="Kale")*(AI$62:AI$129="P")*$C$62:$C$129)*$N$13+SUMPRODUCT(($B$62:$B$129="Kale")*(AI$62:AI$129="G")*$C$62:$C$129)*$O$13+SUMPRODUCT(($B$62:$B$129="Kale")*(AI$62:AI$129="H")*$C$62:$C$129)*$P$13+SUMPRODUCT(($B$62:$B$129="Garlic")*(AI$62:AI$129="P")*$C$62:$C$129)*$N$14+SUMPRODUCT(($B$62:$B$129="Garlic")*(AI$62:AI$129="G")*$C$62:$C$129)*$O$14+SUMPRODUCT(($B$62:$B$129="Garlic")*(AI$62:AI$129="H")*$C$62:$C$129)*$P$14</f>
        <v/>
      </c>
      <c r="AJ162" s="44">
        <f>SUMPRODUCT(($B$62:$B$129="Spinach")*(AJ$62:AJ$129="P")*$C$62:$C$129)*$N$12+SUMPRODUCT(($B$62:$B$129="Spinach")*(AJ$62:AJ$129="G")*$C$62:$C$129)*$O$12+SUMPRODUCT(($B$62:$B$129="Spinach")*(AJ$62:AJ$129="H")*$C$62:$C$129)*$P$12+SUMPRODUCT(($B$62:$B$129="Kale")*(AJ$62:AJ$129="P")*$C$62:$C$129)*$N$13+SUMPRODUCT(($B$62:$B$129="Kale")*(AJ$62:AJ$129="G")*$C$62:$C$129)*$O$13+SUMPRODUCT(($B$62:$B$129="Kale")*(AJ$62:AJ$129="H")*$C$62:$C$129)*$P$13+SUMPRODUCT(($B$62:$B$129="Garlic")*(AJ$62:AJ$129="P")*$C$62:$C$129)*$N$14+SUMPRODUCT(($B$62:$B$129="Garlic")*(AJ$62:AJ$129="G")*$C$62:$C$129)*$O$14+SUMPRODUCT(($B$62:$B$129="Garlic")*(AJ$62:AJ$129="H")*$C$62:$C$129)*$P$14</f>
        <v/>
      </c>
      <c r="AK162" s="44">
        <f>SUMPRODUCT(($B$62:$B$129="Spinach")*(AK$62:AK$129="P")*$C$62:$C$129)*$N$12+SUMPRODUCT(($B$62:$B$129="Spinach")*(AK$62:AK$129="G")*$C$62:$C$129)*$O$12+SUMPRODUCT(($B$62:$B$129="Spinach")*(AK$62:AK$129="H")*$C$62:$C$129)*$P$12+SUMPRODUCT(($B$62:$B$129="Kale")*(AK$62:AK$129="P")*$C$62:$C$129)*$N$13+SUMPRODUCT(($B$62:$B$129="Kale")*(AK$62:AK$129="G")*$C$62:$C$129)*$O$13+SUMPRODUCT(($B$62:$B$129="Kale")*(AK$62:AK$129="H")*$C$62:$C$129)*$P$13+SUMPRODUCT(($B$62:$B$129="Garlic")*(AK$62:AK$129="P")*$C$62:$C$129)*$N$14+SUMPRODUCT(($B$62:$B$129="Garlic")*(AK$62:AK$129="G")*$C$62:$C$129)*$O$14+SUMPRODUCT(($B$62:$B$129="Garlic")*(AK$62:AK$129="H")*$C$62:$C$129)*$P$14</f>
        <v/>
      </c>
      <c r="AL162" s="44">
        <f>SUMPRODUCT(($B$62:$B$129="Spinach")*(AL$62:AL$129="P")*$C$62:$C$129)*$N$12+SUMPRODUCT(($B$62:$B$129="Spinach")*(AL$62:AL$129="G")*$C$62:$C$129)*$O$12+SUMPRODUCT(($B$62:$B$129="Spinach")*(AL$62:AL$129="H")*$C$62:$C$129)*$P$12+SUMPRODUCT(($B$62:$B$129="Kale")*(AL$62:AL$129="P")*$C$62:$C$129)*$N$13+SUMPRODUCT(($B$62:$B$129="Kale")*(AL$62:AL$129="G")*$C$62:$C$129)*$O$13+SUMPRODUCT(($B$62:$B$129="Kale")*(AL$62:AL$129="H")*$C$62:$C$129)*$P$13+SUMPRODUCT(($B$62:$B$129="Garlic")*(AL$62:AL$129="P")*$C$62:$C$129)*$N$14+SUMPRODUCT(($B$62:$B$129="Garlic")*(AL$62:AL$129="G")*$C$62:$C$129)*$O$14+SUMPRODUCT(($B$62:$B$129="Garlic")*(AL$62:AL$129="H")*$C$62:$C$129)*$P$14</f>
        <v/>
      </c>
      <c r="AM162" s="44">
        <f>SUMPRODUCT(($B$62:$B$129="Spinach")*(AM$62:AM$129="P")*$C$62:$C$129)*$N$12+SUMPRODUCT(($B$62:$B$129="Spinach")*(AM$62:AM$129="G")*$C$62:$C$129)*$O$12+SUMPRODUCT(($B$62:$B$129="Spinach")*(AM$62:AM$129="H")*$C$62:$C$129)*$P$12+SUMPRODUCT(($B$62:$B$129="Kale")*(AM$62:AM$129="P")*$C$62:$C$129)*$N$13+SUMPRODUCT(($B$62:$B$129="Kale")*(AM$62:AM$129="G")*$C$62:$C$129)*$O$13+SUMPRODUCT(($B$62:$B$129="Kale")*(AM$62:AM$129="H")*$C$62:$C$129)*$P$13+SUMPRODUCT(($B$62:$B$129="Garlic")*(AM$62:AM$129="P")*$C$62:$C$129)*$N$14+SUMPRODUCT(($B$62:$B$129="Garlic")*(AM$62:AM$129="G")*$C$62:$C$129)*$O$14+SUMPRODUCT(($B$62:$B$129="Garlic")*(AM$62:AM$129="H")*$C$62:$C$129)*$P$14</f>
        <v/>
      </c>
      <c r="AN162" s="44">
        <f>SUMPRODUCT(($B$62:$B$129="Spinach")*(AN$62:AN$129="P")*$C$62:$C$129)*$N$12+SUMPRODUCT(($B$62:$B$129="Spinach")*(AN$62:AN$129="G")*$C$62:$C$129)*$O$12+SUMPRODUCT(($B$62:$B$129="Spinach")*(AN$62:AN$129="H")*$C$62:$C$129)*$P$12+SUMPRODUCT(($B$62:$B$129="Kale")*(AN$62:AN$129="P")*$C$62:$C$129)*$N$13+SUMPRODUCT(($B$62:$B$129="Kale")*(AN$62:AN$129="G")*$C$62:$C$129)*$O$13+SUMPRODUCT(($B$62:$B$129="Kale")*(AN$62:AN$129="H")*$C$62:$C$129)*$P$13+SUMPRODUCT(($B$62:$B$129="Garlic")*(AN$62:AN$129="P")*$C$62:$C$129)*$N$14+SUMPRODUCT(($B$62:$B$129="Garlic")*(AN$62:AN$129="G")*$C$62:$C$129)*$O$14+SUMPRODUCT(($B$62:$B$129="Garlic")*(AN$62:AN$129="H")*$C$62:$C$129)*$P$14</f>
        <v/>
      </c>
      <c r="AO162" s="44">
        <f>SUMPRODUCT(($B$62:$B$129="Spinach")*(AO$62:AO$129="P")*$C$62:$C$129)*$N$12+SUMPRODUCT(($B$62:$B$129="Spinach")*(AO$62:AO$129="G")*$C$62:$C$129)*$O$12+SUMPRODUCT(($B$62:$B$129="Spinach")*(AO$62:AO$129="H")*$C$62:$C$129)*$P$12+SUMPRODUCT(($B$62:$B$129="Kale")*(AO$62:AO$129="P")*$C$62:$C$129)*$N$13+SUMPRODUCT(($B$62:$B$129="Kale")*(AO$62:AO$129="G")*$C$62:$C$129)*$O$13+SUMPRODUCT(($B$62:$B$129="Kale")*(AO$62:AO$129="H")*$C$62:$C$129)*$P$13+SUMPRODUCT(($B$62:$B$129="Garlic")*(AO$62:AO$129="P")*$C$62:$C$129)*$N$14+SUMPRODUCT(($B$62:$B$129="Garlic")*(AO$62:AO$129="G")*$C$62:$C$129)*$O$14+SUMPRODUCT(($B$62:$B$129="Garlic")*(AO$62:AO$129="H")*$C$62:$C$129)*$P$14</f>
        <v/>
      </c>
      <c r="AP162" s="44">
        <f>SUMPRODUCT(($B$62:$B$129="Spinach")*(AP$62:AP$129="P")*$C$62:$C$129)*$N$12+SUMPRODUCT(($B$62:$B$129="Spinach")*(AP$62:AP$129="G")*$C$62:$C$129)*$O$12+SUMPRODUCT(($B$62:$B$129="Spinach")*(AP$62:AP$129="H")*$C$62:$C$129)*$P$12+SUMPRODUCT(($B$62:$B$129="Kale")*(AP$62:AP$129="P")*$C$62:$C$129)*$N$13+SUMPRODUCT(($B$62:$B$129="Kale")*(AP$62:AP$129="G")*$C$62:$C$129)*$O$13+SUMPRODUCT(($B$62:$B$129="Kale")*(AP$62:AP$129="H")*$C$62:$C$129)*$P$13+SUMPRODUCT(($B$62:$B$129="Garlic")*(AP$62:AP$129="P")*$C$62:$C$129)*$N$14+SUMPRODUCT(($B$62:$B$129="Garlic")*(AP$62:AP$129="G")*$C$62:$C$129)*$O$14+SUMPRODUCT(($B$62:$B$129="Garlic")*(AP$62:AP$129="H")*$C$62:$C$129)*$P$14</f>
        <v/>
      </c>
      <c r="AQ162" s="44">
        <f>SUMPRODUCT(($B$62:$B$129="Spinach")*(AQ$62:AQ$129="P")*$C$62:$C$129)*$N$12+SUMPRODUCT(($B$62:$B$129="Spinach")*(AQ$62:AQ$129="G")*$C$62:$C$129)*$O$12+SUMPRODUCT(($B$62:$B$129="Spinach")*(AQ$62:AQ$129="H")*$C$62:$C$129)*$P$12+SUMPRODUCT(($B$62:$B$129="Kale")*(AQ$62:AQ$129="P")*$C$62:$C$129)*$N$13+SUMPRODUCT(($B$62:$B$129="Kale")*(AQ$62:AQ$129="G")*$C$62:$C$129)*$O$13+SUMPRODUCT(($B$62:$B$129="Kale")*(AQ$62:AQ$129="H")*$C$62:$C$129)*$P$13+SUMPRODUCT(($B$62:$B$129="Garlic")*(AQ$62:AQ$129="P")*$C$62:$C$129)*$N$14+SUMPRODUCT(($B$62:$B$129="Garlic")*(AQ$62:AQ$129="G")*$C$62:$C$129)*$O$14+SUMPRODUCT(($B$62:$B$129="Garlic")*(AQ$62:AQ$129="H")*$C$62:$C$129)*$P$14</f>
        <v/>
      </c>
      <c r="AR162" s="44">
        <f>SUMPRODUCT(($B$62:$B$129="Spinach")*(AR$62:AR$129="P")*$C$62:$C$129)*$N$12+SUMPRODUCT(($B$62:$B$129="Spinach")*(AR$62:AR$129="G")*$C$62:$C$129)*$O$12+SUMPRODUCT(($B$62:$B$129="Spinach")*(AR$62:AR$129="H")*$C$62:$C$129)*$P$12+SUMPRODUCT(($B$62:$B$129="Kale")*(AR$62:AR$129="P")*$C$62:$C$129)*$N$13+SUMPRODUCT(($B$62:$B$129="Kale")*(AR$62:AR$129="G")*$C$62:$C$129)*$O$13+SUMPRODUCT(($B$62:$B$129="Kale")*(AR$62:AR$129="H")*$C$62:$C$129)*$P$13+SUMPRODUCT(($B$62:$B$129="Garlic")*(AR$62:AR$129="P")*$C$62:$C$129)*$N$14+SUMPRODUCT(($B$62:$B$129="Garlic")*(AR$62:AR$129="G")*$C$62:$C$129)*$O$14+SUMPRODUCT(($B$62:$B$129="Garlic")*(AR$62:AR$129="H")*$C$62:$C$129)*$P$14</f>
        <v/>
      </c>
      <c r="AS162" s="44">
        <f>SUMPRODUCT(($B$62:$B$129="Spinach")*(AS$62:AS$129="P")*$C$62:$C$129)*$N$12+SUMPRODUCT(($B$62:$B$129="Spinach")*(AS$62:AS$129="G")*$C$62:$C$129)*$O$12+SUMPRODUCT(($B$62:$B$129="Spinach")*(AS$62:AS$129="H")*$C$62:$C$129)*$P$12+SUMPRODUCT(($B$62:$B$129="Kale")*(AS$62:AS$129="P")*$C$62:$C$129)*$N$13+SUMPRODUCT(($B$62:$B$129="Kale")*(AS$62:AS$129="G")*$C$62:$C$129)*$O$13+SUMPRODUCT(($B$62:$B$129="Kale")*(AS$62:AS$129="H")*$C$62:$C$129)*$P$13+SUMPRODUCT(($B$62:$B$129="Garlic")*(AS$62:AS$129="P")*$C$62:$C$129)*$N$14+SUMPRODUCT(($B$62:$B$129="Garlic")*(AS$62:AS$129="G")*$C$62:$C$129)*$O$14+SUMPRODUCT(($B$62:$B$129="Garlic")*(AS$62:AS$129="H")*$C$62:$C$129)*$P$14</f>
        <v/>
      </c>
      <c r="AT162" s="44">
        <f>SUMPRODUCT(($B$62:$B$129="Spinach")*(AT$62:AT$129="P")*$C$62:$C$129)*$N$12+SUMPRODUCT(($B$62:$B$129="Spinach")*(AT$62:AT$129="G")*$C$62:$C$129)*$O$12+SUMPRODUCT(($B$62:$B$129="Spinach")*(AT$62:AT$129="H")*$C$62:$C$129)*$P$12+SUMPRODUCT(($B$62:$B$129="Kale")*(AT$62:AT$129="P")*$C$62:$C$129)*$N$13+SUMPRODUCT(($B$62:$B$129="Kale")*(AT$62:AT$129="G")*$C$62:$C$129)*$O$13+SUMPRODUCT(($B$62:$B$129="Kale")*(AT$62:AT$129="H")*$C$62:$C$129)*$P$13+SUMPRODUCT(($B$62:$B$129="Garlic")*(AT$62:AT$129="P")*$C$62:$C$129)*$N$14+SUMPRODUCT(($B$62:$B$129="Garlic")*(AT$62:AT$129="G")*$C$62:$C$129)*$O$14+SUMPRODUCT(($B$62:$B$129="Garlic")*(AT$62:AT$129="H")*$C$62:$C$129)*$P$14</f>
        <v/>
      </c>
      <c r="AU162" s="44">
        <f>SUMPRODUCT(($B$62:$B$129="Spinach")*(AU$62:AU$129="P")*$C$62:$C$129)*$N$12+SUMPRODUCT(($B$62:$B$129="Spinach")*(AU$62:AU$129="G")*$C$62:$C$129)*$O$12+SUMPRODUCT(($B$62:$B$129="Spinach")*(AU$62:AU$129="H")*$C$62:$C$129)*$P$12+SUMPRODUCT(($B$62:$B$129="Kale")*(AU$62:AU$129="P")*$C$62:$C$129)*$N$13+SUMPRODUCT(($B$62:$B$129="Kale")*(AU$62:AU$129="G")*$C$62:$C$129)*$O$13+SUMPRODUCT(($B$62:$B$129="Kale")*(AU$62:AU$129="H")*$C$62:$C$129)*$P$13+SUMPRODUCT(($B$62:$B$129="Garlic")*(AU$62:AU$129="P")*$C$62:$C$129)*$N$14+SUMPRODUCT(($B$62:$B$129="Garlic")*(AU$62:AU$129="G")*$C$62:$C$129)*$O$14+SUMPRODUCT(($B$62:$B$129="Garlic")*(AU$62:AU$129="H")*$C$62:$C$129)*$P$14</f>
        <v/>
      </c>
      <c r="AV162" s="44">
        <f>SUMPRODUCT(($B$62:$B$129="Spinach")*(AV$62:AV$129="P")*$C$62:$C$129)*$N$12+SUMPRODUCT(($B$62:$B$129="Spinach")*(AV$62:AV$129="G")*$C$62:$C$129)*$O$12+SUMPRODUCT(($B$62:$B$129="Spinach")*(AV$62:AV$129="H")*$C$62:$C$129)*$P$12+SUMPRODUCT(($B$62:$B$129="Kale")*(AV$62:AV$129="P")*$C$62:$C$129)*$N$13+SUMPRODUCT(($B$62:$B$129="Kale")*(AV$62:AV$129="G")*$C$62:$C$129)*$O$13+SUMPRODUCT(($B$62:$B$129="Kale")*(AV$62:AV$129="H")*$C$62:$C$129)*$P$13+SUMPRODUCT(($B$62:$B$129="Garlic")*(AV$62:AV$129="P")*$C$62:$C$129)*$N$14+SUMPRODUCT(($B$62:$B$129="Garlic")*(AV$62:AV$129="G")*$C$62:$C$129)*$O$14+SUMPRODUCT(($B$62:$B$129="Garlic")*(AV$62:AV$129="H")*$C$62:$C$129)*$P$14</f>
        <v/>
      </c>
      <c r="AW162" s="44">
        <f>SUMPRODUCT(($B$62:$B$129="Spinach")*(AW$62:AW$129="P")*$C$62:$C$129)*$N$12+SUMPRODUCT(($B$62:$B$129="Spinach")*(AW$62:AW$129="G")*$C$62:$C$129)*$O$12+SUMPRODUCT(($B$62:$B$129="Spinach")*(AW$62:AW$129="H")*$C$62:$C$129)*$P$12+SUMPRODUCT(($B$62:$B$129="Kale")*(AW$62:AW$129="P")*$C$62:$C$129)*$N$13+SUMPRODUCT(($B$62:$B$129="Kale")*(AW$62:AW$129="G")*$C$62:$C$129)*$O$13+SUMPRODUCT(($B$62:$B$129="Kale")*(AW$62:AW$129="H")*$C$62:$C$129)*$P$13+SUMPRODUCT(($B$62:$B$129="Garlic")*(AW$62:AW$129="P")*$C$62:$C$129)*$N$14+SUMPRODUCT(($B$62:$B$129="Garlic")*(AW$62:AW$129="G")*$C$62:$C$129)*$O$14+SUMPRODUCT(($B$62:$B$129="Garlic")*(AW$62:AW$129="H")*$C$62:$C$129)*$P$14</f>
        <v/>
      </c>
      <c r="AX162" s="44">
        <f>SUMPRODUCT(($B$62:$B$129="Spinach")*(AX$62:AX$129="P")*$C$62:$C$129)*$N$12+SUMPRODUCT(($B$62:$B$129="Spinach")*(AX$62:AX$129="G")*$C$62:$C$129)*$O$12+SUMPRODUCT(($B$62:$B$129="Spinach")*(AX$62:AX$129="H")*$C$62:$C$129)*$P$12+SUMPRODUCT(($B$62:$B$129="Kale")*(AX$62:AX$129="P")*$C$62:$C$129)*$N$13+SUMPRODUCT(($B$62:$B$129="Kale")*(AX$62:AX$129="G")*$C$62:$C$129)*$O$13+SUMPRODUCT(($B$62:$B$129="Kale")*(AX$62:AX$129="H")*$C$62:$C$129)*$P$13+SUMPRODUCT(($B$62:$B$129="Garlic")*(AX$62:AX$129="P")*$C$62:$C$129)*$N$14+SUMPRODUCT(($B$62:$B$129="Garlic")*(AX$62:AX$129="G")*$C$62:$C$129)*$O$14+SUMPRODUCT(($B$62:$B$129="Garlic")*(AX$62:AX$129="H")*$C$62:$C$129)*$P$14</f>
        <v/>
      </c>
      <c r="AY162" s="44">
        <f>SUMPRODUCT(($B$62:$B$129="Spinach")*(AY$62:AY$129="P")*$C$62:$C$129)*$N$12+SUMPRODUCT(($B$62:$B$129="Spinach")*(AY$62:AY$129="G")*$C$62:$C$129)*$O$12+SUMPRODUCT(($B$62:$B$129="Spinach")*(AY$62:AY$129="H")*$C$62:$C$129)*$P$12+SUMPRODUCT(($B$62:$B$129="Kale")*(AY$62:AY$129="P")*$C$62:$C$129)*$N$13+SUMPRODUCT(($B$62:$B$129="Kale")*(AY$62:AY$129="G")*$C$62:$C$129)*$O$13+SUMPRODUCT(($B$62:$B$129="Kale")*(AY$62:AY$129="H")*$C$62:$C$129)*$P$13+SUMPRODUCT(($B$62:$B$129="Garlic")*(AY$62:AY$129="P")*$C$62:$C$129)*$N$14+SUMPRODUCT(($B$62:$B$129="Garlic")*(AY$62:AY$129="G")*$C$62:$C$129)*$O$14+SUMPRODUCT(($B$62:$B$129="Garlic")*(AY$62:AY$129="H")*$C$62:$C$129)*$P$14</f>
        <v/>
      </c>
      <c r="AZ162" s="44">
        <f>SUMPRODUCT(($B$62:$B$129="Spinach")*(AZ$62:AZ$129="P")*$C$62:$C$129)*$N$12+SUMPRODUCT(($B$62:$B$129="Spinach")*(AZ$62:AZ$129="G")*$C$62:$C$129)*$O$12+SUMPRODUCT(($B$62:$B$129="Spinach")*(AZ$62:AZ$129="H")*$C$62:$C$129)*$P$12+SUMPRODUCT(($B$62:$B$129="Kale")*(AZ$62:AZ$129="P")*$C$62:$C$129)*$N$13+SUMPRODUCT(($B$62:$B$129="Kale")*(AZ$62:AZ$129="G")*$C$62:$C$129)*$O$13+SUMPRODUCT(($B$62:$B$129="Kale")*(AZ$62:AZ$129="H")*$C$62:$C$129)*$P$13+SUMPRODUCT(($B$62:$B$129="Garlic")*(AZ$62:AZ$129="P")*$C$62:$C$129)*$N$14+SUMPRODUCT(($B$62:$B$129="Garlic")*(AZ$62:AZ$129="G")*$C$62:$C$129)*$O$14+SUMPRODUCT(($B$62:$B$129="Garlic")*(AZ$62:AZ$129="H")*$C$62:$C$129)*$P$14</f>
        <v/>
      </c>
      <c r="BA162" s="44">
        <f>SUMPRODUCT(($B$62:$B$129="Spinach")*(BA$62:BA$129="P")*$C$62:$C$129)*$N$12+SUMPRODUCT(($B$62:$B$129="Spinach")*(BA$62:BA$129="G")*$C$62:$C$129)*$O$12+SUMPRODUCT(($B$62:$B$129="Spinach")*(BA$62:BA$129="H")*$C$62:$C$129)*$P$12+SUMPRODUCT(($B$62:$B$129="Kale")*(BA$62:BA$129="P")*$C$62:$C$129)*$N$13+SUMPRODUCT(($B$62:$B$129="Kale")*(BA$62:BA$129="G")*$C$62:$C$129)*$O$13+SUMPRODUCT(($B$62:$B$129="Kale")*(BA$62:BA$129="H")*$C$62:$C$129)*$P$13+SUMPRODUCT(($B$62:$B$129="Garlic")*(BA$62:BA$129="P")*$C$62:$C$129)*$N$14+SUMPRODUCT(($B$62:$B$129="Garlic")*(BA$62:BA$129="G")*$C$62:$C$129)*$O$14+SUMPRODUCT(($B$62:$B$129="Garlic")*(BA$62:BA$129="H")*$C$62:$C$129)*$P$14</f>
        <v/>
      </c>
      <c r="BB162" s="44">
        <f>SUMPRODUCT(($B$62:$B$129="Spinach")*(BB$62:BB$129="P")*$C$62:$C$129)*$N$12+SUMPRODUCT(($B$62:$B$129="Spinach")*(BB$62:BB$129="G")*$C$62:$C$129)*$O$12+SUMPRODUCT(($B$62:$B$129="Spinach")*(BB$62:BB$129="H")*$C$62:$C$129)*$P$12+SUMPRODUCT(($B$62:$B$129="Kale")*(BB$62:BB$129="P")*$C$62:$C$129)*$N$13+SUMPRODUCT(($B$62:$B$129="Kale")*(BB$62:BB$129="G")*$C$62:$C$129)*$O$13+SUMPRODUCT(($B$62:$B$129="Kale")*(BB$62:BB$129="H")*$C$62:$C$129)*$P$13+SUMPRODUCT(($B$62:$B$129="Garlic")*(BB$62:BB$129="P")*$C$62:$C$129)*$N$14+SUMPRODUCT(($B$62:$B$129="Garlic")*(BB$62:BB$129="G")*$C$62:$C$129)*$O$14+SUMPRODUCT(($B$62:$B$129="Garlic")*(BB$62:BB$129="H")*$C$62:$C$129)*$P$14</f>
        <v/>
      </c>
      <c r="BC162" s="44">
        <f>SUMPRODUCT(($B$62:$B$129="Spinach")*(BC$62:BC$129="P")*$C$62:$C$129)*$N$12+SUMPRODUCT(($B$62:$B$129="Spinach")*(BC$62:BC$129="G")*$C$62:$C$129)*$O$12+SUMPRODUCT(($B$62:$B$129="Spinach")*(BC$62:BC$129="H")*$C$62:$C$129)*$P$12+SUMPRODUCT(($B$62:$B$129="Kale")*(BC$62:BC$129="P")*$C$62:$C$129)*$N$13+SUMPRODUCT(($B$62:$B$129="Kale")*(BC$62:BC$129="G")*$C$62:$C$129)*$O$13+SUMPRODUCT(($B$62:$B$129="Kale")*(BC$62:BC$129="H")*$C$62:$C$129)*$P$13+SUMPRODUCT(($B$62:$B$129="Garlic")*(BC$62:BC$129="P")*$C$62:$C$129)*$N$14+SUMPRODUCT(($B$62:$B$129="Garlic")*(BC$62:BC$129="G")*$C$62:$C$129)*$O$14+SUMPRODUCT(($B$62:$B$129="Garlic")*(BC$62:BC$129="H")*$C$62:$C$129)*$P$14</f>
        <v/>
      </c>
      <c r="BD162" s="44">
        <f>SUMPRODUCT(($B$62:$B$129="Spinach")*(BD$62:BD$129="P")*$C$62:$C$129)*$N$12+SUMPRODUCT(($B$62:$B$129="Spinach")*(BD$62:BD$129="G")*$C$62:$C$129)*$O$12+SUMPRODUCT(($B$62:$B$129="Spinach")*(BD$62:BD$129="H")*$C$62:$C$129)*$P$12+SUMPRODUCT(($B$62:$B$129="Kale")*(BD$62:BD$129="P")*$C$62:$C$129)*$N$13+SUMPRODUCT(($B$62:$B$129="Kale")*(BD$62:BD$129="G")*$C$62:$C$129)*$O$13+SUMPRODUCT(($B$62:$B$129="Kale")*(BD$62:BD$129="H")*$C$62:$C$129)*$P$13+SUMPRODUCT(($B$62:$B$129="Garlic")*(BD$62:BD$129="P")*$C$62:$C$129)*$N$14+SUMPRODUCT(($B$62:$B$129="Garlic")*(BD$62:BD$129="G")*$C$62:$C$129)*$O$14+SUMPRODUCT(($B$62:$B$129="Garlic")*(BD$62:BD$129="H")*$C$62:$C$129)*$P$14</f>
        <v/>
      </c>
    </row>
    <row r="163">
      <c r="A163" s="4" t="inlineStr"/>
      <c r="E163" s="41" t="inlineStr">
        <is>
          <t>&lt;=</t>
        </is>
      </c>
      <c r="F163" s="41" t="inlineStr">
        <is>
          <t>&lt;=</t>
        </is>
      </c>
      <c r="G163" s="41" t="inlineStr">
        <is>
          <t>&lt;=</t>
        </is>
      </c>
      <c r="H163" s="41" t="inlineStr">
        <is>
          <t>&lt;=</t>
        </is>
      </c>
      <c r="I163" s="41" t="inlineStr">
        <is>
          <t>&lt;=</t>
        </is>
      </c>
      <c r="J163" s="41" t="inlineStr">
        <is>
          <t>&lt;=</t>
        </is>
      </c>
      <c r="K163" s="41" t="inlineStr">
        <is>
          <t>&lt;=</t>
        </is>
      </c>
      <c r="L163" s="41" t="inlineStr">
        <is>
          <t>&lt;=</t>
        </is>
      </c>
      <c r="M163" s="41" t="inlineStr">
        <is>
          <t>&lt;=</t>
        </is>
      </c>
      <c r="N163" s="41" t="inlineStr">
        <is>
          <t>&lt;=</t>
        </is>
      </c>
      <c r="O163" s="41" t="inlineStr">
        <is>
          <t>&lt;=</t>
        </is>
      </c>
      <c r="P163" s="41" t="inlineStr">
        <is>
          <t>&lt;=</t>
        </is>
      </c>
      <c r="Q163" s="41" t="inlineStr">
        <is>
          <t>&lt;=</t>
        </is>
      </c>
      <c r="R163" s="41" t="inlineStr">
        <is>
          <t>&lt;=</t>
        </is>
      </c>
      <c r="S163" s="41" t="inlineStr">
        <is>
          <t>&lt;=</t>
        </is>
      </c>
      <c r="T163" s="41" t="inlineStr">
        <is>
          <t>&lt;=</t>
        </is>
      </c>
      <c r="U163" s="41" t="inlineStr">
        <is>
          <t>&lt;=</t>
        </is>
      </c>
      <c r="V163" s="41" t="inlineStr">
        <is>
          <t>&lt;=</t>
        </is>
      </c>
      <c r="W163" s="41" t="inlineStr">
        <is>
          <t>&lt;=</t>
        </is>
      </c>
      <c r="X163" s="41" t="inlineStr">
        <is>
          <t>&lt;=</t>
        </is>
      </c>
      <c r="Y163" s="41" t="inlineStr">
        <is>
          <t>&lt;=</t>
        </is>
      </c>
      <c r="Z163" s="41" t="inlineStr">
        <is>
          <t>&lt;=</t>
        </is>
      </c>
      <c r="AA163" s="41" t="inlineStr">
        <is>
          <t>&lt;=</t>
        </is>
      </c>
      <c r="AB163" s="41" t="inlineStr">
        <is>
          <t>&lt;=</t>
        </is>
      </c>
      <c r="AC163" s="41" t="inlineStr">
        <is>
          <t>&lt;=</t>
        </is>
      </c>
      <c r="AD163" s="41" t="inlineStr">
        <is>
          <t>&lt;=</t>
        </is>
      </c>
      <c r="AE163" s="41" t="inlineStr">
        <is>
          <t>&lt;=</t>
        </is>
      </c>
      <c r="AF163" s="41" t="inlineStr">
        <is>
          <t>&lt;=</t>
        </is>
      </c>
      <c r="AG163" s="41" t="inlineStr">
        <is>
          <t>&lt;=</t>
        </is>
      </c>
      <c r="AH163" s="41" t="inlineStr">
        <is>
          <t>&lt;=</t>
        </is>
      </c>
      <c r="AI163" s="41" t="inlineStr">
        <is>
          <t>&lt;=</t>
        </is>
      </c>
      <c r="AJ163" s="41" t="inlineStr">
        <is>
          <t>&lt;=</t>
        </is>
      </c>
      <c r="AK163" s="41" t="inlineStr">
        <is>
          <t>&lt;=</t>
        </is>
      </c>
      <c r="AL163" s="41" t="inlineStr">
        <is>
          <t>&lt;=</t>
        </is>
      </c>
      <c r="AM163" s="41" t="inlineStr">
        <is>
          <t>&lt;=</t>
        </is>
      </c>
      <c r="AN163" s="41" t="inlineStr">
        <is>
          <t>&lt;=</t>
        </is>
      </c>
      <c r="AO163" s="41" t="inlineStr">
        <is>
          <t>&lt;=</t>
        </is>
      </c>
      <c r="AP163" s="41" t="inlineStr">
        <is>
          <t>&lt;=</t>
        </is>
      </c>
      <c r="AQ163" s="41" t="inlineStr">
        <is>
          <t>&lt;=</t>
        </is>
      </c>
      <c r="AR163" s="41" t="inlineStr">
        <is>
          <t>&lt;=</t>
        </is>
      </c>
      <c r="AS163" s="41" t="inlineStr">
        <is>
          <t>&lt;=</t>
        </is>
      </c>
      <c r="AT163" s="41" t="inlineStr">
        <is>
          <t>&lt;=</t>
        </is>
      </c>
      <c r="AU163" s="41" t="inlineStr">
        <is>
          <t>&lt;=</t>
        </is>
      </c>
      <c r="AV163" s="41" t="inlineStr">
        <is>
          <t>&lt;=</t>
        </is>
      </c>
      <c r="AW163" s="41" t="inlineStr">
        <is>
          <t>&lt;=</t>
        </is>
      </c>
      <c r="AX163" s="41" t="inlineStr">
        <is>
          <t>&lt;=</t>
        </is>
      </c>
      <c r="AY163" s="41" t="inlineStr">
        <is>
          <t>&lt;=</t>
        </is>
      </c>
      <c r="AZ163" s="41" t="inlineStr">
        <is>
          <t>&lt;=</t>
        </is>
      </c>
      <c r="BA163" s="41" t="inlineStr">
        <is>
          <t>&lt;=</t>
        </is>
      </c>
      <c r="BB163" s="41" t="inlineStr">
        <is>
          <t>&lt;=</t>
        </is>
      </c>
      <c r="BC163" s="41" t="inlineStr">
        <is>
          <t>&lt;=</t>
        </is>
      </c>
      <c r="BD163" s="41" t="inlineStr">
        <is>
          <t>&lt;=</t>
        </is>
      </c>
    </row>
    <row r="164">
      <c r="A164" s="39" t="inlineStr">
        <is>
          <t xml:space="preserve">  limit</t>
        </is>
      </c>
      <c r="B164" s="2" t="inlineStr">
        <is>
          <t>cap</t>
        </is>
      </c>
      <c r="E164" s="44">
        <f>E$157</f>
        <v/>
      </c>
      <c r="F164" s="44">
        <f>F$157</f>
        <v/>
      </c>
      <c r="G164" s="44">
        <f>G$157</f>
        <v/>
      </c>
      <c r="H164" s="44">
        <f>H$157</f>
        <v/>
      </c>
      <c r="I164" s="44">
        <f>I$157</f>
        <v/>
      </c>
      <c r="J164" s="44">
        <f>J$157</f>
        <v/>
      </c>
      <c r="K164" s="44">
        <f>K$157</f>
        <v/>
      </c>
      <c r="L164" s="44">
        <f>L$157</f>
        <v/>
      </c>
      <c r="M164" s="44">
        <f>M$157</f>
        <v/>
      </c>
      <c r="N164" s="44">
        <f>N$157</f>
        <v/>
      </c>
      <c r="O164" s="44">
        <f>O$157</f>
        <v/>
      </c>
      <c r="P164" s="44">
        <f>P$157</f>
        <v/>
      </c>
      <c r="Q164" s="44">
        <f>Q$157</f>
        <v/>
      </c>
      <c r="R164" s="44">
        <f>R$157</f>
        <v/>
      </c>
      <c r="S164" s="44">
        <f>S$157</f>
        <v/>
      </c>
      <c r="T164" s="44">
        <f>T$157</f>
        <v/>
      </c>
      <c r="U164" s="44">
        <f>U$157</f>
        <v/>
      </c>
      <c r="V164" s="44">
        <f>V$157</f>
        <v/>
      </c>
      <c r="W164" s="44">
        <f>W$157</f>
        <v/>
      </c>
      <c r="X164" s="44">
        <f>X$157</f>
        <v/>
      </c>
      <c r="Y164" s="44">
        <f>Y$157</f>
        <v/>
      </c>
      <c r="Z164" s="44">
        <f>Z$157</f>
        <v/>
      </c>
      <c r="AA164" s="44">
        <f>AA$157</f>
        <v/>
      </c>
      <c r="AB164" s="44">
        <f>AB$157</f>
        <v/>
      </c>
      <c r="AC164" s="44">
        <f>AC$157</f>
        <v/>
      </c>
      <c r="AD164" s="44">
        <f>AD$157</f>
        <v/>
      </c>
      <c r="AE164" s="44">
        <f>AE$157</f>
        <v/>
      </c>
      <c r="AF164" s="44">
        <f>AF$157</f>
        <v/>
      </c>
      <c r="AG164" s="44">
        <f>AG$157</f>
        <v/>
      </c>
      <c r="AH164" s="44">
        <f>AH$157</f>
        <v/>
      </c>
      <c r="AI164" s="44">
        <f>AI$157</f>
        <v/>
      </c>
      <c r="AJ164" s="44">
        <f>AJ$157</f>
        <v/>
      </c>
      <c r="AK164" s="44">
        <f>AK$157</f>
        <v/>
      </c>
      <c r="AL164" s="44">
        <f>AL$157</f>
        <v/>
      </c>
      <c r="AM164" s="44">
        <f>AM$157</f>
        <v/>
      </c>
      <c r="AN164" s="44">
        <f>AN$157</f>
        <v/>
      </c>
      <c r="AO164" s="44">
        <f>AO$157</f>
        <v/>
      </c>
      <c r="AP164" s="44">
        <f>AP$157</f>
        <v/>
      </c>
      <c r="AQ164" s="44">
        <f>AQ$157</f>
        <v/>
      </c>
      <c r="AR164" s="44">
        <f>AR$157</f>
        <v/>
      </c>
      <c r="AS164" s="44">
        <f>AS$157</f>
        <v/>
      </c>
      <c r="AT164" s="44">
        <f>AT$157</f>
        <v/>
      </c>
      <c r="AU164" s="44">
        <f>AU$157</f>
        <v/>
      </c>
      <c r="AV164" s="44">
        <f>AV$157</f>
        <v/>
      </c>
      <c r="AW164" s="44">
        <f>AW$157</f>
        <v/>
      </c>
      <c r="AX164" s="44">
        <f>AX$157</f>
        <v/>
      </c>
      <c r="AY164" s="44">
        <f>AY$157</f>
        <v/>
      </c>
      <c r="AZ164" s="44">
        <f>AZ$157</f>
        <v/>
      </c>
      <c r="BA164" s="44">
        <f>BA$157</f>
        <v/>
      </c>
      <c r="BB164" s="44">
        <f>BB$157</f>
        <v/>
      </c>
      <c r="BC164" s="44">
        <f>BC$157</f>
        <v/>
      </c>
      <c r="BD164" s="44">
        <f>BD$157</f>
        <v/>
      </c>
    </row>
    <row r="165">
      <c r="A165" s="28" t="inlineStr">
        <is>
          <t xml:space="preserve">  room left</t>
        </is>
      </c>
      <c r="E165" s="44">
        <f>E$157-E162</f>
        <v/>
      </c>
      <c r="F165" s="44">
        <f>F$157-F162</f>
        <v/>
      </c>
      <c r="G165" s="44">
        <f>G$157-G162</f>
        <v/>
      </c>
      <c r="H165" s="44">
        <f>H$157-H162</f>
        <v/>
      </c>
      <c r="I165" s="44">
        <f>I$157-I162</f>
        <v/>
      </c>
      <c r="J165" s="44">
        <f>J$157-J162</f>
        <v/>
      </c>
      <c r="K165" s="44">
        <f>K$157-K162</f>
        <v/>
      </c>
      <c r="L165" s="44">
        <f>L$157-L162</f>
        <v/>
      </c>
      <c r="M165" s="44">
        <f>M$157-M162</f>
        <v/>
      </c>
      <c r="N165" s="44">
        <f>N$157-N162</f>
        <v/>
      </c>
      <c r="O165" s="44">
        <f>O$157-O162</f>
        <v/>
      </c>
      <c r="P165" s="44">
        <f>P$157-P162</f>
        <v/>
      </c>
      <c r="Q165" s="44">
        <f>Q$157-Q162</f>
        <v/>
      </c>
      <c r="R165" s="44">
        <f>R$157-R162</f>
        <v/>
      </c>
      <c r="S165" s="44">
        <f>S$157-S162</f>
        <v/>
      </c>
      <c r="T165" s="44">
        <f>T$157-T162</f>
        <v/>
      </c>
      <c r="U165" s="44">
        <f>U$157-U162</f>
        <v/>
      </c>
      <c r="V165" s="44">
        <f>V$157-V162</f>
        <v/>
      </c>
      <c r="W165" s="44">
        <f>W$157-W162</f>
        <v/>
      </c>
      <c r="X165" s="44">
        <f>X$157-X162</f>
        <v/>
      </c>
      <c r="Y165" s="44">
        <f>Y$157-Y162</f>
        <v/>
      </c>
      <c r="Z165" s="44">
        <f>Z$157-Z162</f>
        <v/>
      </c>
      <c r="AA165" s="44">
        <f>AA$157-AA162</f>
        <v/>
      </c>
      <c r="AB165" s="44">
        <f>AB$157-AB162</f>
        <v/>
      </c>
      <c r="AC165" s="44">
        <f>AC$157-AC162</f>
        <v/>
      </c>
      <c r="AD165" s="44">
        <f>AD$157-AD162</f>
        <v/>
      </c>
      <c r="AE165" s="44">
        <f>AE$157-AE162</f>
        <v/>
      </c>
      <c r="AF165" s="44">
        <f>AF$157-AF162</f>
        <v/>
      </c>
      <c r="AG165" s="44">
        <f>AG$157-AG162</f>
        <v/>
      </c>
      <c r="AH165" s="44">
        <f>AH$157-AH162</f>
        <v/>
      </c>
      <c r="AI165" s="44">
        <f>AI$157-AI162</f>
        <v/>
      </c>
      <c r="AJ165" s="44">
        <f>AJ$157-AJ162</f>
        <v/>
      </c>
      <c r="AK165" s="44">
        <f>AK$157-AK162</f>
        <v/>
      </c>
      <c r="AL165" s="44">
        <f>AL$157-AL162</f>
        <v/>
      </c>
      <c r="AM165" s="44">
        <f>AM$157-AM162</f>
        <v/>
      </c>
      <c r="AN165" s="44">
        <f>AN$157-AN162</f>
        <v/>
      </c>
      <c r="AO165" s="44">
        <f>AO$157-AO162</f>
        <v/>
      </c>
      <c r="AP165" s="44">
        <f>AP$157-AP162</f>
        <v/>
      </c>
      <c r="AQ165" s="44">
        <f>AQ$157-AQ162</f>
        <v/>
      </c>
      <c r="AR165" s="44">
        <f>AR$157-AR162</f>
        <v/>
      </c>
      <c r="AS165" s="44">
        <f>AS$157-AS162</f>
        <v/>
      </c>
      <c r="AT165" s="44">
        <f>AT$157-AT162</f>
        <v/>
      </c>
      <c r="AU165" s="44">
        <f>AU$157-AU162</f>
        <v/>
      </c>
      <c r="AV165" s="44">
        <f>AV$157-AV162</f>
        <v/>
      </c>
      <c r="AW165" s="44">
        <f>AW$157-AW162</f>
        <v/>
      </c>
      <c r="AX165" s="44">
        <f>AX$157-AX162</f>
        <v/>
      </c>
      <c r="AY165" s="44">
        <f>AY$157-AY162</f>
        <v/>
      </c>
      <c r="AZ165" s="44">
        <f>AZ$157-AZ162</f>
        <v/>
      </c>
      <c r="BA165" s="44">
        <f>BA$157-BA162</f>
        <v/>
      </c>
      <c r="BB165" s="44">
        <f>BB$157-BB162</f>
        <v/>
      </c>
      <c r="BC165" s="44">
        <f>BC$157-BC162</f>
        <v/>
      </c>
      <c r="BD165" s="44">
        <f>BD$157-BD162</f>
        <v/>
      </c>
    </row>
    <row r="166">
      <c r="A166" s="2" t="inlineStr">
        <is>
          <t xml:space="preserve">   The app's C2. On this farm it is the constraint that binds hardest — in 8 separate blocks of weeks.</t>
        </is>
      </c>
    </row>
    <row r="168">
      <c r="A168" s="39" t="inlineStr">
        <is>
          <t>OVERTIME bought</t>
        </is>
      </c>
      <c r="B168" s="2" t="inlineStr">
        <is>
          <t>used</t>
        </is>
      </c>
      <c r="E168" s="44">
        <f>E155</f>
        <v/>
      </c>
      <c r="F168" s="44">
        <f>F155</f>
        <v/>
      </c>
      <c r="G168" s="44">
        <f>G155</f>
        <v/>
      </c>
      <c r="H168" s="44">
        <f>H155</f>
        <v/>
      </c>
      <c r="I168" s="44">
        <f>I155</f>
        <v/>
      </c>
      <c r="J168" s="44">
        <f>J155</f>
        <v/>
      </c>
      <c r="K168" s="44">
        <f>K155</f>
        <v/>
      </c>
      <c r="L168" s="44">
        <f>L155</f>
        <v/>
      </c>
      <c r="M168" s="44">
        <f>M155</f>
        <v/>
      </c>
      <c r="N168" s="44">
        <f>N155</f>
        <v/>
      </c>
      <c r="O168" s="44">
        <f>O155</f>
        <v/>
      </c>
      <c r="P168" s="44">
        <f>P155</f>
        <v/>
      </c>
      <c r="Q168" s="44">
        <f>Q155</f>
        <v/>
      </c>
      <c r="R168" s="44">
        <f>R155</f>
        <v/>
      </c>
      <c r="S168" s="44">
        <f>S155</f>
        <v/>
      </c>
      <c r="T168" s="44">
        <f>T155</f>
        <v/>
      </c>
      <c r="U168" s="44">
        <f>U155</f>
        <v/>
      </c>
      <c r="V168" s="44">
        <f>V155</f>
        <v/>
      </c>
      <c r="W168" s="44">
        <f>W155</f>
        <v/>
      </c>
      <c r="X168" s="44">
        <f>X155</f>
        <v/>
      </c>
      <c r="Y168" s="44">
        <f>Y155</f>
        <v/>
      </c>
      <c r="Z168" s="44">
        <f>Z155</f>
        <v/>
      </c>
      <c r="AA168" s="44">
        <f>AA155</f>
        <v/>
      </c>
      <c r="AB168" s="44">
        <f>AB155</f>
        <v/>
      </c>
      <c r="AC168" s="44">
        <f>AC155</f>
        <v/>
      </c>
      <c r="AD168" s="44">
        <f>AD155</f>
        <v/>
      </c>
      <c r="AE168" s="44">
        <f>AE155</f>
        <v/>
      </c>
      <c r="AF168" s="44">
        <f>AF155</f>
        <v/>
      </c>
      <c r="AG168" s="44">
        <f>AG155</f>
        <v/>
      </c>
      <c r="AH168" s="44">
        <f>AH155</f>
        <v/>
      </c>
      <c r="AI168" s="44">
        <f>AI155</f>
        <v/>
      </c>
      <c r="AJ168" s="44">
        <f>AJ155</f>
        <v/>
      </c>
      <c r="AK168" s="44">
        <f>AK155</f>
        <v/>
      </c>
      <c r="AL168" s="44">
        <f>AL155</f>
        <v/>
      </c>
      <c r="AM168" s="44">
        <f>AM155</f>
        <v/>
      </c>
      <c r="AN168" s="44">
        <f>AN155</f>
        <v/>
      </c>
      <c r="AO168" s="44">
        <f>AO155</f>
        <v/>
      </c>
      <c r="AP168" s="44">
        <f>AP155</f>
        <v/>
      </c>
      <c r="AQ168" s="44">
        <f>AQ155</f>
        <v/>
      </c>
      <c r="AR168" s="44">
        <f>AR155</f>
        <v/>
      </c>
      <c r="AS168" s="44">
        <f>AS155</f>
        <v/>
      </c>
      <c r="AT168" s="44">
        <f>AT155</f>
        <v/>
      </c>
      <c r="AU168" s="44">
        <f>AU155</f>
        <v/>
      </c>
      <c r="AV168" s="44">
        <f>AV155</f>
        <v/>
      </c>
      <c r="AW168" s="44">
        <f>AW155</f>
        <v/>
      </c>
      <c r="AX168" s="44">
        <f>AX155</f>
        <v/>
      </c>
      <c r="AY168" s="44">
        <f>AY155</f>
        <v/>
      </c>
      <c r="AZ168" s="44">
        <f>AZ155</f>
        <v/>
      </c>
      <c r="BA168" s="44">
        <f>BA155</f>
        <v/>
      </c>
      <c r="BB168" s="44">
        <f>BB155</f>
        <v/>
      </c>
      <c r="BC168" s="44">
        <f>BC155</f>
        <v/>
      </c>
      <c r="BD168" s="44">
        <f>BD155</f>
        <v/>
      </c>
    </row>
    <row r="169">
      <c r="A169" s="4" t="inlineStr"/>
      <c r="E169" s="41" t="inlineStr">
        <is>
          <t>&lt;=</t>
        </is>
      </c>
      <c r="F169" s="41" t="inlineStr">
        <is>
          <t>&lt;=</t>
        </is>
      </c>
      <c r="G169" s="41" t="inlineStr">
        <is>
          <t>&lt;=</t>
        </is>
      </c>
      <c r="H169" s="41" t="inlineStr">
        <is>
          <t>&lt;=</t>
        </is>
      </c>
      <c r="I169" s="41" t="inlineStr">
        <is>
          <t>&lt;=</t>
        </is>
      </c>
      <c r="J169" s="41" t="inlineStr">
        <is>
          <t>&lt;=</t>
        </is>
      </c>
      <c r="K169" s="41" t="inlineStr">
        <is>
          <t>&lt;=</t>
        </is>
      </c>
      <c r="L169" s="41" t="inlineStr">
        <is>
          <t>&lt;=</t>
        </is>
      </c>
      <c r="M169" s="41" t="inlineStr">
        <is>
          <t>&lt;=</t>
        </is>
      </c>
      <c r="N169" s="41" t="inlineStr">
        <is>
          <t>&lt;=</t>
        </is>
      </c>
      <c r="O169" s="41" t="inlineStr">
        <is>
          <t>&lt;=</t>
        </is>
      </c>
      <c r="P169" s="41" t="inlineStr">
        <is>
          <t>&lt;=</t>
        </is>
      </c>
      <c r="Q169" s="41" t="inlineStr">
        <is>
          <t>&lt;=</t>
        </is>
      </c>
      <c r="R169" s="41" t="inlineStr">
        <is>
          <t>&lt;=</t>
        </is>
      </c>
      <c r="S169" s="41" t="inlineStr">
        <is>
          <t>&lt;=</t>
        </is>
      </c>
      <c r="T169" s="41" t="inlineStr">
        <is>
          <t>&lt;=</t>
        </is>
      </c>
      <c r="U169" s="41" t="inlineStr">
        <is>
          <t>&lt;=</t>
        </is>
      </c>
      <c r="V169" s="41" t="inlineStr">
        <is>
          <t>&lt;=</t>
        </is>
      </c>
      <c r="W169" s="41" t="inlineStr">
        <is>
          <t>&lt;=</t>
        </is>
      </c>
      <c r="X169" s="41" t="inlineStr">
        <is>
          <t>&lt;=</t>
        </is>
      </c>
      <c r="Y169" s="41" t="inlineStr">
        <is>
          <t>&lt;=</t>
        </is>
      </c>
      <c r="Z169" s="41" t="inlineStr">
        <is>
          <t>&lt;=</t>
        </is>
      </c>
      <c r="AA169" s="41" t="inlineStr">
        <is>
          <t>&lt;=</t>
        </is>
      </c>
      <c r="AB169" s="41" t="inlineStr">
        <is>
          <t>&lt;=</t>
        </is>
      </c>
      <c r="AC169" s="41" t="inlineStr">
        <is>
          <t>&lt;=</t>
        </is>
      </c>
      <c r="AD169" s="41" t="inlineStr">
        <is>
          <t>&lt;=</t>
        </is>
      </c>
      <c r="AE169" s="41" t="inlineStr">
        <is>
          <t>&lt;=</t>
        </is>
      </c>
      <c r="AF169" s="41" t="inlineStr">
        <is>
          <t>&lt;=</t>
        </is>
      </c>
      <c r="AG169" s="41" t="inlineStr">
        <is>
          <t>&lt;=</t>
        </is>
      </c>
      <c r="AH169" s="41" t="inlineStr">
        <is>
          <t>&lt;=</t>
        </is>
      </c>
      <c r="AI169" s="41" t="inlineStr">
        <is>
          <t>&lt;=</t>
        </is>
      </c>
      <c r="AJ169" s="41" t="inlineStr">
        <is>
          <t>&lt;=</t>
        </is>
      </c>
      <c r="AK169" s="41" t="inlineStr">
        <is>
          <t>&lt;=</t>
        </is>
      </c>
      <c r="AL169" s="41" t="inlineStr">
        <is>
          <t>&lt;=</t>
        </is>
      </c>
      <c r="AM169" s="41" t="inlineStr">
        <is>
          <t>&lt;=</t>
        </is>
      </c>
      <c r="AN169" s="41" t="inlineStr">
        <is>
          <t>&lt;=</t>
        </is>
      </c>
      <c r="AO169" s="41" t="inlineStr">
        <is>
          <t>&lt;=</t>
        </is>
      </c>
      <c r="AP169" s="41" t="inlineStr">
        <is>
          <t>&lt;=</t>
        </is>
      </c>
      <c r="AQ169" s="41" t="inlineStr">
        <is>
          <t>&lt;=</t>
        </is>
      </c>
      <c r="AR169" s="41" t="inlineStr">
        <is>
          <t>&lt;=</t>
        </is>
      </c>
      <c r="AS169" s="41" t="inlineStr">
        <is>
          <t>&lt;=</t>
        </is>
      </c>
      <c r="AT169" s="41" t="inlineStr">
        <is>
          <t>&lt;=</t>
        </is>
      </c>
      <c r="AU169" s="41" t="inlineStr">
        <is>
          <t>&lt;=</t>
        </is>
      </c>
      <c r="AV169" s="41" t="inlineStr">
        <is>
          <t>&lt;=</t>
        </is>
      </c>
      <c r="AW169" s="41" t="inlineStr">
        <is>
          <t>&lt;=</t>
        </is>
      </c>
      <c r="AX169" s="41" t="inlineStr">
        <is>
          <t>&lt;=</t>
        </is>
      </c>
      <c r="AY169" s="41" t="inlineStr">
        <is>
          <t>&lt;=</t>
        </is>
      </c>
      <c r="AZ169" s="41" t="inlineStr">
        <is>
          <t>&lt;=</t>
        </is>
      </c>
      <c r="BA169" s="41" t="inlineStr">
        <is>
          <t>&lt;=</t>
        </is>
      </c>
      <c r="BB169" s="41" t="inlineStr">
        <is>
          <t>&lt;=</t>
        </is>
      </c>
      <c r="BC169" s="41" t="inlineStr">
        <is>
          <t>&lt;=</t>
        </is>
      </c>
      <c r="BD169" s="41" t="inlineStr">
        <is>
          <t>&lt;=</t>
        </is>
      </c>
    </row>
    <row r="170">
      <c r="A170" s="39" t="inlineStr">
        <is>
          <t xml:space="preserve">  limit</t>
        </is>
      </c>
      <c r="B170" s="2" t="inlineStr">
        <is>
          <t>cap</t>
        </is>
      </c>
      <c r="E170" s="44">
        <f>E$153</f>
        <v/>
      </c>
      <c r="F170" s="44">
        <f>F$153</f>
        <v/>
      </c>
      <c r="G170" s="44">
        <f>G$153</f>
        <v/>
      </c>
      <c r="H170" s="44">
        <f>H$153</f>
        <v/>
      </c>
      <c r="I170" s="44">
        <f>I$153</f>
        <v/>
      </c>
      <c r="J170" s="44">
        <f>J$153</f>
        <v/>
      </c>
      <c r="K170" s="44">
        <f>K$153</f>
        <v/>
      </c>
      <c r="L170" s="44">
        <f>L$153</f>
        <v/>
      </c>
      <c r="M170" s="44">
        <f>M$153</f>
        <v/>
      </c>
      <c r="N170" s="44">
        <f>N$153</f>
        <v/>
      </c>
      <c r="O170" s="44">
        <f>O$153</f>
        <v/>
      </c>
      <c r="P170" s="44">
        <f>P$153</f>
        <v/>
      </c>
      <c r="Q170" s="44">
        <f>Q$153</f>
        <v/>
      </c>
      <c r="R170" s="44">
        <f>R$153</f>
        <v/>
      </c>
      <c r="S170" s="44">
        <f>S$153</f>
        <v/>
      </c>
      <c r="T170" s="44">
        <f>T$153</f>
        <v/>
      </c>
      <c r="U170" s="44">
        <f>U$153</f>
        <v/>
      </c>
      <c r="V170" s="44">
        <f>V$153</f>
        <v/>
      </c>
      <c r="W170" s="44">
        <f>W$153</f>
        <v/>
      </c>
      <c r="X170" s="44">
        <f>X$153</f>
        <v/>
      </c>
      <c r="Y170" s="44">
        <f>Y$153</f>
        <v/>
      </c>
      <c r="Z170" s="44">
        <f>Z$153</f>
        <v/>
      </c>
      <c r="AA170" s="44">
        <f>AA$153</f>
        <v/>
      </c>
      <c r="AB170" s="44">
        <f>AB$153</f>
        <v/>
      </c>
      <c r="AC170" s="44">
        <f>AC$153</f>
        <v/>
      </c>
      <c r="AD170" s="44">
        <f>AD$153</f>
        <v/>
      </c>
      <c r="AE170" s="44">
        <f>AE$153</f>
        <v/>
      </c>
      <c r="AF170" s="44">
        <f>AF$153</f>
        <v/>
      </c>
      <c r="AG170" s="44">
        <f>AG$153</f>
        <v/>
      </c>
      <c r="AH170" s="44">
        <f>AH$153</f>
        <v/>
      </c>
      <c r="AI170" s="44">
        <f>AI$153</f>
        <v/>
      </c>
      <c r="AJ170" s="44">
        <f>AJ$153</f>
        <v/>
      </c>
      <c r="AK170" s="44">
        <f>AK$153</f>
        <v/>
      </c>
      <c r="AL170" s="44">
        <f>AL$153</f>
        <v/>
      </c>
      <c r="AM170" s="44">
        <f>AM$153</f>
        <v/>
      </c>
      <c r="AN170" s="44">
        <f>AN$153</f>
        <v/>
      </c>
      <c r="AO170" s="44">
        <f>AO$153</f>
        <v/>
      </c>
      <c r="AP170" s="44">
        <f>AP$153</f>
        <v/>
      </c>
      <c r="AQ170" s="44">
        <f>AQ$153</f>
        <v/>
      </c>
      <c r="AR170" s="44">
        <f>AR$153</f>
        <v/>
      </c>
      <c r="AS170" s="44">
        <f>AS$153</f>
        <v/>
      </c>
      <c r="AT170" s="44">
        <f>AT$153</f>
        <v/>
      </c>
      <c r="AU170" s="44">
        <f>AU$153</f>
        <v/>
      </c>
      <c r="AV170" s="44">
        <f>AV$153</f>
        <v/>
      </c>
      <c r="AW170" s="44">
        <f>AW$153</f>
        <v/>
      </c>
      <c r="AX170" s="44">
        <f>AX$153</f>
        <v/>
      </c>
      <c r="AY170" s="44">
        <f>AY$153</f>
        <v/>
      </c>
      <c r="AZ170" s="44">
        <f>AZ$153</f>
        <v/>
      </c>
      <c r="BA170" s="44">
        <f>BA$153</f>
        <v/>
      </c>
      <c r="BB170" s="44">
        <f>BB$153</f>
        <v/>
      </c>
      <c r="BC170" s="44">
        <f>BC$153</f>
        <v/>
      </c>
      <c r="BD170" s="44">
        <f>BD$153</f>
        <v/>
      </c>
    </row>
    <row r="171">
      <c r="A171" s="28" t="inlineStr">
        <is>
          <t xml:space="preserve">  room left</t>
        </is>
      </c>
      <c r="E171" s="44">
        <f>E$153-E168</f>
        <v/>
      </c>
      <c r="F171" s="44">
        <f>F$153-F168</f>
        <v/>
      </c>
      <c r="G171" s="44">
        <f>G$153-G168</f>
        <v/>
      </c>
      <c r="H171" s="44">
        <f>H$153-H168</f>
        <v/>
      </c>
      <c r="I171" s="44">
        <f>I$153-I168</f>
        <v/>
      </c>
      <c r="J171" s="44">
        <f>J$153-J168</f>
        <v/>
      </c>
      <c r="K171" s="44">
        <f>K$153-K168</f>
        <v/>
      </c>
      <c r="L171" s="44">
        <f>L$153-L168</f>
        <v/>
      </c>
      <c r="M171" s="44">
        <f>M$153-M168</f>
        <v/>
      </c>
      <c r="N171" s="44">
        <f>N$153-N168</f>
        <v/>
      </c>
      <c r="O171" s="44">
        <f>O$153-O168</f>
        <v/>
      </c>
      <c r="P171" s="44">
        <f>P$153-P168</f>
        <v/>
      </c>
      <c r="Q171" s="44">
        <f>Q$153-Q168</f>
        <v/>
      </c>
      <c r="R171" s="44">
        <f>R$153-R168</f>
        <v/>
      </c>
      <c r="S171" s="44">
        <f>S$153-S168</f>
        <v/>
      </c>
      <c r="T171" s="44">
        <f>T$153-T168</f>
        <v/>
      </c>
      <c r="U171" s="44">
        <f>U$153-U168</f>
        <v/>
      </c>
      <c r="V171" s="44">
        <f>V$153-V168</f>
        <v/>
      </c>
      <c r="W171" s="44">
        <f>W$153-W168</f>
        <v/>
      </c>
      <c r="X171" s="44">
        <f>X$153-X168</f>
        <v/>
      </c>
      <c r="Y171" s="44">
        <f>Y$153-Y168</f>
        <v/>
      </c>
      <c r="Z171" s="44">
        <f>Z$153-Z168</f>
        <v/>
      </c>
      <c r="AA171" s="44">
        <f>AA$153-AA168</f>
        <v/>
      </c>
      <c r="AB171" s="44">
        <f>AB$153-AB168</f>
        <v/>
      </c>
      <c r="AC171" s="44">
        <f>AC$153-AC168</f>
        <v/>
      </c>
      <c r="AD171" s="44">
        <f>AD$153-AD168</f>
        <v/>
      </c>
      <c r="AE171" s="44">
        <f>AE$153-AE168</f>
        <v/>
      </c>
      <c r="AF171" s="44">
        <f>AF$153-AF168</f>
        <v/>
      </c>
      <c r="AG171" s="44">
        <f>AG$153-AG168</f>
        <v/>
      </c>
      <c r="AH171" s="44">
        <f>AH$153-AH168</f>
        <v/>
      </c>
      <c r="AI171" s="44">
        <f>AI$153-AI168</f>
        <v/>
      </c>
      <c r="AJ171" s="44">
        <f>AJ$153-AJ168</f>
        <v/>
      </c>
      <c r="AK171" s="44">
        <f>AK$153-AK168</f>
        <v/>
      </c>
      <c r="AL171" s="44">
        <f>AL$153-AL168</f>
        <v/>
      </c>
      <c r="AM171" s="44">
        <f>AM$153-AM168</f>
        <v/>
      </c>
      <c r="AN171" s="44">
        <f>AN$153-AN168</f>
        <v/>
      </c>
      <c r="AO171" s="44">
        <f>AO$153-AO168</f>
        <v/>
      </c>
      <c r="AP171" s="44">
        <f>AP$153-AP168</f>
        <v/>
      </c>
      <c r="AQ171" s="44">
        <f>AQ$153-AQ168</f>
        <v/>
      </c>
      <c r="AR171" s="44">
        <f>AR$153-AR168</f>
        <v/>
      </c>
      <c r="AS171" s="44">
        <f>AS$153-AS168</f>
        <v/>
      </c>
      <c r="AT171" s="44">
        <f>AT$153-AT168</f>
        <v/>
      </c>
      <c r="AU171" s="44">
        <f>AU$153-AU168</f>
        <v/>
      </c>
      <c r="AV171" s="44">
        <f>AV$153-AV168</f>
        <v/>
      </c>
      <c r="AW171" s="44">
        <f>AW$153-AW168</f>
        <v/>
      </c>
      <c r="AX171" s="44">
        <f>AX$153-AX168</f>
        <v/>
      </c>
      <c r="AY171" s="44">
        <f>AY$153-AY168</f>
        <v/>
      </c>
      <c r="AZ171" s="44">
        <f>AZ$153-AZ168</f>
        <v/>
      </c>
      <c r="BA171" s="44">
        <f>BA$153-BA168</f>
        <v/>
      </c>
      <c r="BB171" s="44">
        <f>BB$153-BB168</f>
        <v/>
      </c>
      <c r="BC171" s="44">
        <f>BC$153-BC168</f>
        <v/>
      </c>
      <c r="BD171" s="44">
        <f>BD$153-BD168</f>
        <v/>
      </c>
    </row>
    <row r="172">
      <c r="A172" s="2" t="inlineStr">
        <is>
          <t xml:space="preserve">   The limit MOVES WITH THE CREW. No flat number could: the hourly crew runs 72 to 872 field hours across the year.</t>
        </is>
      </c>
    </row>
    <row r="174">
      <c r="A174" s="3" t="inlineStr">
        <is>
          <t>D — WHAT IT COSTS</t>
        </is>
      </c>
    </row>
    <row r="175">
      <c r="A175" s="2" t="inlineStr">
        <is>
          <t xml:space="preserve">   Nothing above this line is money. Nothing below it is a limit.</t>
        </is>
      </c>
    </row>
    <row r="176">
      <c r="A176" s="30" t="inlineStr">
        <is>
          <t>Week</t>
        </is>
      </c>
      <c r="B176" s="38" t="inlineStr">
        <is>
          <t>$</t>
        </is>
      </c>
      <c r="E176" s="31" t="n">
        <v>1</v>
      </c>
      <c r="F176" s="31" t="n">
        <v>2</v>
      </c>
      <c r="G176" s="31" t="n">
        <v>3</v>
      </c>
      <c r="H176" s="31" t="n">
        <v>4</v>
      </c>
      <c r="I176" s="31" t="n">
        <v>5</v>
      </c>
      <c r="J176" s="31" t="n">
        <v>6</v>
      </c>
      <c r="K176" s="31" t="n">
        <v>7</v>
      </c>
      <c r="L176" s="31" t="n">
        <v>8</v>
      </c>
      <c r="M176" s="31" t="n">
        <v>9</v>
      </c>
      <c r="N176" s="31" t="n">
        <v>10</v>
      </c>
      <c r="O176" s="31" t="n">
        <v>11</v>
      </c>
      <c r="P176" s="31" t="n">
        <v>12</v>
      </c>
      <c r="Q176" s="31" t="n">
        <v>13</v>
      </c>
      <c r="R176" s="31" t="n">
        <v>14</v>
      </c>
      <c r="S176" s="31" t="n">
        <v>15</v>
      </c>
      <c r="T176" s="31" t="n">
        <v>16</v>
      </c>
      <c r="U176" s="31" t="n">
        <v>17</v>
      </c>
      <c r="V176" s="31" t="n">
        <v>18</v>
      </c>
      <c r="W176" s="31" t="n">
        <v>19</v>
      </c>
      <c r="X176" s="31" t="n">
        <v>20</v>
      </c>
      <c r="Y176" s="31" t="n">
        <v>21</v>
      </c>
      <c r="Z176" s="31" t="n">
        <v>22</v>
      </c>
      <c r="AA176" s="31" t="n">
        <v>23</v>
      </c>
      <c r="AB176" s="31" t="n">
        <v>24</v>
      </c>
      <c r="AC176" s="31" t="n">
        <v>25</v>
      </c>
      <c r="AD176" s="31" t="n">
        <v>26</v>
      </c>
      <c r="AE176" s="31" t="n">
        <v>27</v>
      </c>
      <c r="AF176" s="31" t="n">
        <v>28</v>
      </c>
      <c r="AG176" s="31" t="n">
        <v>29</v>
      </c>
      <c r="AH176" s="31" t="n">
        <v>30</v>
      </c>
      <c r="AI176" s="31" t="n">
        <v>31</v>
      </c>
      <c r="AJ176" s="31" t="n">
        <v>32</v>
      </c>
      <c r="AK176" s="31" t="n">
        <v>33</v>
      </c>
      <c r="AL176" s="31" t="n">
        <v>34</v>
      </c>
      <c r="AM176" s="31" t="n">
        <v>35</v>
      </c>
      <c r="AN176" s="31" t="n">
        <v>36</v>
      </c>
      <c r="AO176" s="31" t="n">
        <v>37</v>
      </c>
      <c r="AP176" s="31" t="n">
        <v>38</v>
      </c>
      <c r="AQ176" s="31" t="n">
        <v>39</v>
      </c>
      <c r="AR176" s="31" t="n">
        <v>40</v>
      </c>
      <c r="AS176" s="31" t="n">
        <v>41</v>
      </c>
      <c r="AT176" s="31" t="n">
        <v>42</v>
      </c>
      <c r="AU176" s="31" t="n">
        <v>43</v>
      </c>
      <c r="AV176" s="31" t="n">
        <v>44</v>
      </c>
      <c r="AW176" s="31" t="n">
        <v>45</v>
      </c>
      <c r="AX176" s="31" t="n">
        <v>46</v>
      </c>
      <c r="AY176" s="31" t="n">
        <v>47</v>
      </c>
      <c r="AZ176" s="31" t="n">
        <v>48</v>
      </c>
      <c r="BA176" s="31" t="n">
        <v>49</v>
      </c>
      <c r="BB176" s="31" t="n">
        <v>50</v>
      </c>
      <c r="BC176" s="31" t="n">
        <v>51</v>
      </c>
      <c r="BD176" s="31" t="n">
        <v>52</v>
      </c>
    </row>
    <row r="177">
      <c r="A177" s="26" t="inlineStr">
        <is>
          <t xml:space="preserve">   Farm Manager</t>
        </is>
      </c>
      <c r="B177" s="2" t="inlineStr">
        <is>
          <t>$</t>
        </is>
      </c>
      <c r="E177" s="42">
        <f>IF(AND(1&gt;=$G$28,1&lt;=$H$28),$B$28*$D$28/52*(1+$B$32),0)</f>
        <v/>
      </c>
      <c r="F177" s="42">
        <f>IF(AND(2&gt;=$G$28,2&lt;=$H$28),$B$28*$D$28/52*(1+$B$32),0)</f>
        <v/>
      </c>
      <c r="G177" s="42">
        <f>IF(AND(3&gt;=$G$28,3&lt;=$H$28),$B$28*$D$28/52*(1+$B$32),0)</f>
        <v/>
      </c>
      <c r="H177" s="42">
        <f>IF(AND(4&gt;=$G$28,4&lt;=$H$28),$B$28*$D$28/52*(1+$B$32),0)</f>
        <v/>
      </c>
      <c r="I177" s="42">
        <f>IF(AND(5&gt;=$G$28,5&lt;=$H$28),$B$28*$D$28/52*(1+$B$32),0)</f>
        <v/>
      </c>
      <c r="J177" s="42">
        <f>IF(AND(6&gt;=$G$28,6&lt;=$H$28),$B$28*$D$28/52*(1+$B$32),0)</f>
        <v/>
      </c>
      <c r="K177" s="42">
        <f>IF(AND(7&gt;=$G$28,7&lt;=$H$28),$B$28*$D$28/52*(1+$B$32),0)</f>
        <v/>
      </c>
      <c r="L177" s="42">
        <f>IF(AND(8&gt;=$G$28,8&lt;=$H$28),$B$28*$D$28/52*(1+$B$32),0)</f>
        <v/>
      </c>
      <c r="M177" s="42">
        <f>IF(AND(9&gt;=$G$28,9&lt;=$H$28),$B$28*$D$28/52*(1+$B$32),0)</f>
        <v/>
      </c>
      <c r="N177" s="42">
        <f>IF(AND(10&gt;=$G$28,10&lt;=$H$28),$B$28*$D$28/52*(1+$B$32),0)</f>
        <v/>
      </c>
      <c r="O177" s="42">
        <f>IF(AND(11&gt;=$G$28,11&lt;=$H$28),$B$28*$D$28/52*(1+$B$32),0)</f>
        <v/>
      </c>
      <c r="P177" s="42">
        <f>IF(AND(12&gt;=$G$28,12&lt;=$H$28),$B$28*$D$28/52*(1+$B$32),0)</f>
        <v/>
      </c>
      <c r="Q177" s="42">
        <f>IF(AND(13&gt;=$G$28,13&lt;=$H$28),$B$28*$D$28/52*(1+$B$32),0)</f>
        <v/>
      </c>
      <c r="R177" s="42">
        <f>IF(AND(14&gt;=$G$28,14&lt;=$H$28),$B$28*$D$28/52*(1+$B$32),0)</f>
        <v/>
      </c>
      <c r="S177" s="42">
        <f>IF(AND(15&gt;=$G$28,15&lt;=$H$28),$B$28*$D$28/52*(1+$B$32),0)</f>
        <v/>
      </c>
      <c r="T177" s="42">
        <f>IF(AND(16&gt;=$G$28,16&lt;=$H$28),$B$28*$D$28/52*(1+$B$32),0)</f>
        <v/>
      </c>
      <c r="U177" s="42">
        <f>IF(AND(17&gt;=$G$28,17&lt;=$H$28),$B$28*$D$28/52*(1+$B$32),0)</f>
        <v/>
      </c>
      <c r="V177" s="42">
        <f>IF(AND(18&gt;=$G$28,18&lt;=$H$28),$B$28*$D$28/52*(1+$B$32),0)</f>
        <v/>
      </c>
      <c r="W177" s="42">
        <f>IF(AND(19&gt;=$G$28,19&lt;=$H$28),$B$28*$D$28/52*(1+$B$32),0)</f>
        <v/>
      </c>
      <c r="X177" s="42">
        <f>IF(AND(20&gt;=$G$28,20&lt;=$H$28),$B$28*$D$28/52*(1+$B$32),0)</f>
        <v/>
      </c>
      <c r="Y177" s="42">
        <f>IF(AND(21&gt;=$G$28,21&lt;=$H$28),$B$28*$D$28/52*(1+$B$32),0)</f>
        <v/>
      </c>
      <c r="Z177" s="42">
        <f>IF(AND(22&gt;=$G$28,22&lt;=$H$28),$B$28*$D$28/52*(1+$B$32),0)</f>
        <v/>
      </c>
      <c r="AA177" s="42">
        <f>IF(AND(23&gt;=$G$28,23&lt;=$H$28),$B$28*$D$28/52*(1+$B$32),0)</f>
        <v/>
      </c>
      <c r="AB177" s="42">
        <f>IF(AND(24&gt;=$G$28,24&lt;=$H$28),$B$28*$D$28/52*(1+$B$32),0)</f>
        <v/>
      </c>
      <c r="AC177" s="42">
        <f>IF(AND(25&gt;=$G$28,25&lt;=$H$28),$B$28*$D$28/52*(1+$B$32),0)</f>
        <v/>
      </c>
      <c r="AD177" s="42">
        <f>IF(AND(26&gt;=$G$28,26&lt;=$H$28),$B$28*$D$28/52*(1+$B$32),0)</f>
        <v/>
      </c>
      <c r="AE177" s="42">
        <f>IF(AND(27&gt;=$G$28,27&lt;=$H$28),$B$28*$D$28/52*(1+$B$32),0)</f>
        <v/>
      </c>
      <c r="AF177" s="42">
        <f>IF(AND(28&gt;=$G$28,28&lt;=$H$28),$B$28*$D$28/52*(1+$B$32),0)</f>
        <v/>
      </c>
      <c r="AG177" s="42">
        <f>IF(AND(29&gt;=$G$28,29&lt;=$H$28),$B$28*$D$28/52*(1+$B$32),0)</f>
        <v/>
      </c>
      <c r="AH177" s="42">
        <f>IF(AND(30&gt;=$G$28,30&lt;=$H$28),$B$28*$D$28/52*(1+$B$32),0)</f>
        <v/>
      </c>
      <c r="AI177" s="42">
        <f>IF(AND(31&gt;=$G$28,31&lt;=$H$28),$B$28*$D$28/52*(1+$B$32),0)</f>
        <v/>
      </c>
      <c r="AJ177" s="42">
        <f>IF(AND(32&gt;=$G$28,32&lt;=$H$28),$B$28*$D$28/52*(1+$B$32),0)</f>
        <v/>
      </c>
      <c r="AK177" s="42">
        <f>IF(AND(33&gt;=$G$28,33&lt;=$H$28),$B$28*$D$28/52*(1+$B$32),0)</f>
        <v/>
      </c>
      <c r="AL177" s="42">
        <f>IF(AND(34&gt;=$G$28,34&lt;=$H$28),$B$28*$D$28/52*(1+$B$32),0)</f>
        <v/>
      </c>
      <c r="AM177" s="42">
        <f>IF(AND(35&gt;=$G$28,35&lt;=$H$28),$B$28*$D$28/52*(1+$B$32),0)</f>
        <v/>
      </c>
      <c r="AN177" s="42">
        <f>IF(AND(36&gt;=$G$28,36&lt;=$H$28),$B$28*$D$28/52*(1+$B$32),0)</f>
        <v/>
      </c>
      <c r="AO177" s="42">
        <f>IF(AND(37&gt;=$G$28,37&lt;=$H$28),$B$28*$D$28/52*(1+$B$32),0)</f>
        <v/>
      </c>
      <c r="AP177" s="42">
        <f>IF(AND(38&gt;=$G$28,38&lt;=$H$28),$B$28*$D$28/52*(1+$B$32),0)</f>
        <v/>
      </c>
      <c r="AQ177" s="42">
        <f>IF(AND(39&gt;=$G$28,39&lt;=$H$28),$B$28*$D$28/52*(1+$B$32),0)</f>
        <v/>
      </c>
      <c r="AR177" s="42">
        <f>IF(AND(40&gt;=$G$28,40&lt;=$H$28),$B$28*$D$28/52*(1+$B$32),0)</f>
        <v/>
      </c>
      <c r="AS177" s="42">
        <f>IF(AND(41&gt;=$G$28,41&lt;=$H$28),$B$28*$D$28/52*(1+$B$32),0)</f>
        <v/>
      </c>
      <c r="AT177" s="42">
        <f>IF(AND(42&gt;=$G$28,42&lt;=$H$28),$B$28*$D$28/52*(1+$B$32),0)</f>
        <v/>
      </c>
      <c r="AU177" s="42">
        <f>IF(AND(43&gt;=$G$28,43&lt;=$H$28),$B$28*$D$28/52*(1+$B$32),0)</f>
        <v/>
      </c>
      <c r="AV177" s="42">
        <f>IF(AND(44&gt;=$G$28,44&lt;=$H$28),$B$28*$D$28/52*(1+$B$32),0)</f>
        <v/>
      </c>
      <c r="AW177" s="42">
        <f>IF(AND(45&gt;=$G$28,45&lt;=$H$28),$B$28*$D$28/52*(1+$B$32),0)</f>
        <v/>
      </c>
      <c r="AX177" s="42">
        <f>IF(AND(46&gt;=$G$28,46&lt;=$H$28),$B$28*$D$28/52*(1+$B$32),0)</f>
        <v/>
      </c>
      <c r="AY177" s="42">
        <f>IF(AND(47&gt;=$G$28,47&lt;=$H$28),$B$28*$D$28/52*(1+$B$32),0)</f>
        <v/>
      </c>
      <c r="AZ177" s="42">
        <f>IF(AND(48&gt;=$G$28,48&lt;=$H$28),$B$28*$D$28/52*(1+$B$32),0)</f>
        <v/>
      </c>
      <c r="BA177" s="42">
        <f>IF(AND(49&gt;=$G$28,49&lt;=$H$28),$B$28*$D$28/52*(1+$B$32),0)</f>
        <v/>
      </c>
      <c r="BB177" s="42">
        <f>IF(AND(50&gt;=$G$28,50&lt;=$H$28),$B$28*$D$28/52*(1+$B$32),0)</f>
        <v/>
      </c>
      <c r="BC177" s="42">
        <f>IF(AND(51&gt;=$G$28,51&lt;=$H$28),$B$28*$D$28/52*(1+$B$32),0)</f>
        <v/>
      </c>
      <c r="BD177" s="42">
        <f>IF(AND(52&gt;=$G$28,52&lt;=$H$28),$B$28*$D$28/52*(1+$B$32),0)</f>
        <v/>
      </c>
    </row>
    <row r="178">
      <c r="A178" s="26" t="inlineStr">
        <is>
          <t xml:space="preserve">   Equipment Operator</t>
        </is>
      </c>
      <c r="B178" s="2" t="inlineStr">
        <is>
          <t>$</t>
        </is>
      </c>
      <c r="E178" s="42">
        <f>IF(AND(1&gt;=$G$29,1&lt;=$H$29),$B$29*$D$29*$E$29*(1+$B$32),0)</f>
        <v/>
      </c>
      <c r="F178" s="42">
        <f>IF(AND(2&gt;=$G$29,2&lt;=$H$29),$B$29*$D$29*$E$29*(1+$B$32),0)</f>
        <v/>
      </c>
      <c r="G178" s="42">
        <f>IF(AND(3&gt;=$G$29,3&lt;=$H$29),$B$29*$D$29*$E$29*(1+$B$32),0)</f>
        <v/>
      </c>
      <c r="H178" s="42">
        <f>IF(AND(4&gt;=$G$29,4&lt;=$H$29),$B$29*$D$29*$E$29*(1+$B$32),0)</f>
        <v/>
      </c>
      <c r="I178" s="42">
        <f>IF(AND(5&gt;=$G$29,5&lt;=$H$29),$B$29*$D$29*$E$29*(1+$B$32),0)</f>
        <v/>
      </c>
      <c r="J178" s="42">
        <f>IF(AND(6&gt;=$G$29,6&lt;=$H$29),$B$29*$D$29*$E$29*(1+$B$32),0)</f>
        <v/>
      </c>
      <c r="K178" s="42">
        <f>IF(AND(7&gt;=$G$29,7&lt;=$H$29),$B$29*$D$29*$E$29*(1+$B$32),0)</f>
        <v/>
      </c>
      <c r="L178" s="42">
        <f>IF(AND(8&gt;=$G$29,8&lt;=$H$29),$B$29*$D$29*$E$29*(1+$B$32),0)</f>
        <v/>
      </c>
      <c r="M178" s="42">
        <f>IF(AND(9&gt;=$G$29,9&lt;=$H$29),$B$29*$D$29*$E$29*(1+$B$32),0)</f>
        <v/>
      </c>
      <c r="N178" s="42">
        <f>IF(AND(10&gt;=$G$29,10&lt;=$H$29),$B$29*$D$29*$E$29*(1+$B$32),0)</f>
        <v/>
      </c>
      <c r="O178" s="42">
        <f>IF(AND(11&gt;=$G$29,11&lt;=$H$29),$B$29*$D$29*$E$29*(1+$B$32),0)</f>
        <v/>
      </c>
      <c r="P178" s="42">
        <f>IF(AND(12&gt;=$G$29,12&lt;=$H$29),$B$29*$D$29*$E$29*(1+$B$32),0)</f>
        <v/>
      </c>
      <c r="Q178" s="42">
        <f>IF(AND(13&gt;=$G$29,13&lt;=$H$29),$B$29*$D$29*$E$29*(1+$B$32),0)</f>
        <v/>
      </c>
      <c r="R178" s="42">
        <f>IF(AND(14&gt;=$G$29,14&lt;=$H$29),$B$29*$D$29*$E$29*(1+$B$32),0)</f>
        <v/>
      </c>
      <c r="S178" s="42">
        <f>IF(AND(15&gt;=$G$29,15&lt;=$H$29),$B$29*$D$29*$E$29*(1+$B$32),0)</f>
        <v/>
      </c>
      <c r="T178" s="42">
        <f>IF(AND(16&gt;=$G$29,16&lt;=$H$29),$B$29*$D$29*$E$29*(1+$B$32),0)</f>
        <v/>
      </c>
      <c r="U178" s="42">
        <f>IF(AND(17&gt;=$G$29,17&lt;=$H$29),$B$29*$D$29*$E$29*(1+$B$32),0)</f>
        <v/>
      </c>
      <c r="V178" s="42">
        <f>IF(AND(18&gt;=$G$29,18&lt;=$H$29),$B$29*$D$29*$E$29*(1+$B$32),0)</f>
        <v/>
      </c>
      <c r="W178" s="42">
        <f>IF(AND(19&gt;=$G$29,19&lt;=$H$29),$B$29*$D$29*$E$29*(1+$B$32),0)</f>
        <v/>
      </c>
      <c r="X178" s="42">
        <f>IF(AND(20&gt;=$G$29,20&lt;=$H$29),$B$29*$D$29*$E$29*(1+$B$32),0)</f>
        <v/>
      </c>
      <c r="Y178" s="42">
        <f>IF(AND(21&gt;=$G$29,21&lt;=$H$29),$B$29*$D$29*$E$29*(1+$B$32),0)</f>
        <v/>
      </c>
      <c r="Z178" s="42">
        <f>IF(AND(22&gt;=$G$29,22&lt;=$H$29),$B$29*$D$29*$E$29*(1+$B$32),0)</f>
        <v/>
      </c>
      <c r="AA178" s="42">
        <f>IF(AND(23&gt;=$G$29,23&lt;=$H$29),$B$29*$D$29*$E$29*(1+$B$32),0)</f>
        <v/>
      </c>
      <c r="AB178" s="42">
        <f>IF(AND(24&gt;=$G$29,24&lt;=$H$29),$B$29*$D$29*$E$29*(1+$B$32),0)</f>
        <v/>
      </c>
      <c r="AC178" s="42">
        <f>IF(AND(25&gt;=$G$29,25&lt;=$H$29),$B$29*$D$29*$E$29*(1+$B$32),0)</f>
        <v/>
      </c>
      <c r="AD178" s="42">
        <f>IF(AND(26&gt;=$G$29,26&lt;=$H$29),$B$29*$D$29*$E$29*(1+$B$32),0)</f>
        <v/>
      </c>
      <c r="AE178" s="42">
        <f>IF(AND(27&gt;=$G$29,27&lt;=$H$29),$B$29*$D$29*$E$29*(1+$B$32),0)</f>
        <v/>
      </c>
      <c r="AF178" s="42">
        <f>IF(AND(28&gt;=$G$29,28&lt;=$H$29),$B$29*$D$29*$E$29*(1+$B$32),0)</f>
        <v/>
      </c>
      <c r="AG178" s="42">
        <f>IF(AND(29&gt;=$G$29,29&lt;=$H$29),$B$29*$D$29*$E$29*(1+$B$32),0)</f>
        <v/>
      </c>
      <c r="AH178" s="42">
        <f>IF(AND(30&gt;=$G$29,30&lt;=$H$29),$B$29*$D$29*$E$29*(1+$B$32),0)</f>
        <v/>
      </c>
      <c r="AI178" s="42">
        <f>IF(AND(31&gt;=$G$29,31&lt;=$H$29),$B$29*$D$29*$E$29*(1+$B$32),0)</f>
        <v/>
      </c>
      <c r="AJ178" s="42">
        <f>IF(AND(32&gt;=$G$29,32&lt;=$H$29),$B$29*$D$29*$E$29*(1+$B$32),0)</f>
        <v/>
      </c>
      <c r="AK178" s="42">
        <f>IF(AND(33&gt;=$G$29,33&lt;=$H$29),$B$29*$D$29*$E$29*(1+$B$32),0)</f>
        <v/>
      </c>
      <c r="AL178" s="42">
        <f>IF(AND(34&gt;=$G$29,34&lt;=$H$29),$B$29*$D$29*$E$29*(1+$B$32),0)</f>
        <v/>
      </c>
      <c r="AM178" s="42">
        <f>IF(AND(35&gt;=$G$29,35&lt;=$H$29),$B$29*$D$29*$E$29*(1+$B$32),0)</f>
        <v/>
      </c>
      <c r="AN178" s="42">
        <f>IF(AND(36&gt;=$G$29,36&lt;=$H$29),$B$29*$D$29*$E$29*(1+$B$32),0)</f>
        <v/>
      </c>
      <c r="AO178" s="42">
        <f>IF(AND(37&gt;=$G$29,37&lt;=$H$29),$B$29*$D$29*$E$29*(1+$B$32),0)</f>
        <v/>
      </c>
      <c r="AP178" s="42">
        <f>IF(AND(38&gt;=$G$29,38&lt;=$H$29),$B$29*$D$29*$E$29*(1+$B$32),0)</f>
        <v/>
      </c>
      <c r="AQ178" s="42">
        <f>IF(AND(39&gt;=$G$29,39&lt;=$H$29),$B$29*$D$29*$E$29*(1+$B$32),0)</f>
        <v/>
      </c>
      <c r="AR178" s="42">
        <f>IF(AND(40&gt;=$G$29,40&lt;=$H$29),$B$29*$D$29*$E$29*(1+$B$32),0)</f>
        <v/>
      </c>
      <c r="AS178" s="42">
        <f>IF(AND(41&gt;=$G$29,41&lt;=$H$29),$B$29*$D$29*$E$29*(1+$B$32),0)</f>
        <v/>
      </c>
      <c r="AT178" s="42">
        <f>IF(AND(42&gt;=$G$29,42&lt;=$H$29),$B$29*$D$29*$E$29*(1+$B$32),0)</f>
        <v/>
      </c>
      <c r="AU178" s="42">
        <f>IF(AND(43&gt;=$G$29,43&lt;=$H$29),$B$29*$D$29*$E$29*(1+$B$32),0)</f>
        <v/>
      </c>
      <c r="AV178" s="42">
        <f>IF(AND(44&gt;=$G$29,44&lt;=$H$29),$B$29*$D$29*$E$29*(1+$B$32),0)</f>
        <v/>
      </c>
      <c r="AW178" s="42">
        <f>IF(AND(45&gt;=$G$29,45&lt;=$H$29),$B$29*$D$29*$E$29*(1+$B$32),0)</f>
        <v/>
      </c>
      <c r="AX178" s="42">
        <f>IF(AND(46&gt;=$G$29,46&lt;=$H$29),$B$29*$D$29*$E$29*(1+$B$32),0)</f>
        <v/>
      </c>
      <c r="AY178" s="42">
        <f>IF(AND(47&gt;=$G$29,47&lt;=$H$29),$B$29*$D$29*$E$29*(1+$B$32),0)</f>
        <v/>
      </c>
      <c r="AZ178" s="42">
        <f>IF(AND(48&gt;=$G$29,48&lt;=$H$29),$B$29*$D$29*$E$29*(1+$B$32),0)</f>
        <v/>
      </c>
      <c r="BA178" s="42">
        <f>IF(AND(49&gt;=$G$29,49&lt;=$H$29),$B$29*$D$29*$E$29*(1+$B$32),0)</f>
        <v/>
      </c>
      <c r="BB178" s="42">
        <f>IF(AND(50&gt;=$G$29,50&lt;=$H$29),$B$29*$D$29*$E$29*(1+$B$32),0)</f>
        <v/>
      </c>
      <c r="BC178" s="42">
        <f>IF(AND(51&gt;=$G$29,51&lt;=$H$29),$B$29*$D$29*$E$29*(1+$B$32),0)</f>
        <v/>
      </c>
      <c r="BD178" s="42">
        <f>IF(AND(52&gt;=$G$29,52&lt;=$H$29),$B$29*$D$29*$E$29*(1+$B$32),0)</f>
        <v/>
      </c>
    </row>
    <row r="179">
      <c r="A179" s="26" t="inlineStr">
        <is>
          <t xml:space="preserve">   Seasonal Field Crew</t>
        </is>
      </c>
      <c r="B179" s="2" t="inlineStr">
        <is>
          <t>$</t>
        </is>
      </c>
      <c r="E179" s="42">
        <f>IF(AND(1&gt;=$G$30,1&lt;=$H$30),$B$30*$D$30*$E$30*(1+$B$32),0)</f>
        <v/>
      </c>
      <c r="F179" s="42">
        <f>IF(AND(2&gt;=$G$30,2&lt;=$H$30),$B$30*$D$30*$E$30*(1+$B$32),0)</f>
        <v/>
      </c>
      <c r="G179" s="42">
        <f>IF(AND(3&gt;=$G$30,3&lt;=$H$30),$B$30*$D$30*$E$30*(1+$B$32),0)</f>
        <v/>
      </c>
      <c r="H179" s="42">
        <f>IF(AND(4&gt;=$G$30,4&lt;=$H$30),$B$30*$D$30*$E$30*(1+$B$32),0)</f>
        <v/>
      </c>
      <c r="I179" s="42">
        <f>IF(AND(5&gt;=$G$30,5&lt;=$H$30),$B$30*$D$30*$E$30*(1+$B$32),0)</f>
        <v/>
      </c>
      <c r="J179" s="42">
        <f>IF(AND(6&gt;=$G$30,6&lt;=$H$30),$B$30*$D$30*$E$30*(1+$B$32),0)</f>
        <v/>
      </c>
      <c r="K179" s="42">
        <f>IF(AND(7&gt;=$G$30,7&lt;=$H$30),$B$30*$D$30*$E$30*(1+$B$32),0)</f>
        <v/>
      </c>
      <c r="L179" s="42">
        <f>IF(AND(8&gt;=$G$30,8&lt;=$H$30),$B$30*$D$30*$E$30*(1+$B$32),0)</f>
        <v/>
      </c>
      <c r="M179" s="42">
        <f>IF(AND(9&gt;=$G$30,9&lt;=$H$30),$B$30*$D$30*$E$30*(1+$B$32),0)</f>
        <v/>
      </c>
      <c r="N179" s="42">
        <f>IF(AND(10&gt;=$G$30,10&lt;=$H$30),$B$30*$D$30*$E$30*(1+$B$32),0)</f>
        <v/>
      </c>
      <c r="O179" s="42">
        <f>IF(AND(11&gt;=$G$30,11&lt;=$H$30),$B$30*$D$30*$E$30*(1+$B$32),0)</f>
        <v/>
      </c>
      <c r="P179" s="42">
        <f>IF(AND(12&gt;=$G$30,12&lt;=$H$30),$B$30*$D$30*$E$30*(1+$B$32),0)</f>
        <v/>
      </c>
      <c r="Q179" s="42">
        <f>IF(AND(13&gt;=$G$30,13&lt;=$H$30),$B$30*$D$30*$E$30*(1+$B$32),0)</f>
        <v/>
      </c>
      <c r="R179" s="42">
        <f>IF(AND(14&gt;=$G$30,14&lt;=$H$30),$B$30*$D$30*$E$30*(1+$B$32),0)</f>
        <v/>
      </c>
      <c r="S179" s="42">
        <f>IF(AND(15&gt;=$G$30,15&lt;=$H$30),$B$30*$D$30*$E$30*(1+$B$32),0)</f>
        <v/>
      </c>
      <c r="T179" s="42">
        <f>IF(AND(16&gt;=$G$30,16&lt;=$H$30),$B$30*$D$30*$E$30*(1+$B$32),0)</f>
        <v/>
      </c>
      <c r="U179" s="42">
        <f>IF(AND(17&gt;=$G$30,17&lt;=$H$30),$B$30*$D$30*$E$30*(1+$B$32),0)</f>
        <v/>
      </c>
      <c r="V179" s="42">
        <f>IF(AND(18&gt;=$G$30,18&lt;=$H$30),$B$30*$D$30*$E$30*(1+$B$32),0)</f>
        <v/>
      </c>
      <c r="W179" s="42">
        <f>IF(AND(19&gt;=$G$30,19&lt;=$H$30),$B$30*$D$30*$E$30*(1+$B$32),0)</f>
        <v/>
      </c>
      <c r="X179" s="42">
        <f>IF(AND(20&gt;=$G$30,20&lt;=$H$30),$B$30*$D$30*$E$30*(1+$B$32),0)</f>
        <v/>
      </c>
      <c r="Y179" s="42">
        <f>IF(AND(21&gt;=$G$30,21&lt;=$H$30),$B$30*$D$30*$E$30*(1+$B$32),0)</f>
        <v/>
      </c>
      <c r="Z179" s="42">
        <f>IF(AND(22&gt;=$G$30,22&lt;=$H$30),$B$30*$D$30*$E$30*(1+$B$32),0)</f>
        <v/>
      </c>
      <c r="AA179" s="42">
        <f>IF(AND(23&gt;=$G$30,23&lt;=$H$30),$B$30*$D$30*$E$30*(1+$B$32),0)</f>
        <v/>
      </c>
      <c r="AB179" s="42">
        <f>IF(AND(24&gt;=$G$30,24&lt;=$H$30),$B$30*$D$30*$E$30*(1+$B$32),0)</f>
        <v/>
      </c>
      <c r="AC179" s="42">
        <f>IF(AND(25&gt;=$G$30,25&lt;=$H$30),$B$30*$D$30*$E$30*(1+$B$32),0)</f>
        <v/>
      </c>
      <c r="AD179" s="42">
        <f>IF(AND(26&gt;=$G$30,26&lt;=$H$30),$B$30*$D$30*$E$30*(1+$B$32),0)</f>
        <v/>
      </c>
      <c r="AE179" s="42">
        <f>IF(AND(27&gt;=$G$30,27&lt;=$H$30),$B$30*$D$30*$E$30*(1+$B$32),0)</f>
        <v/>
      </c>
      <c r="AF179" s="42">
        <f>IF(AND(28&gt;=$G$30,28&lt;=$H$30),$B$30*$D$30*$E$30*(1+$B$32),0)</f>
        <v/>
      </c>
      <c r="AG179" s="42">
        <f>IF(AND(29&gt;=$G$30,29&lt;=$H$30),$B$30*$D$30*$E$30*(1+$B$32),0)</f>
        <v/>
      </c>
      <c r="AH179" s="42">
        <f>IF(AND(30&gt;=$G$30,30&lt;=$H$30),$B$30*$D$30*$E$30*(1+$B$32),0)</f>
        <v/>
      </c>
      <c r="AI179" s="42">
        <f>IF(AND(31&gt;=$G$30,31&lt;=$H$30),$B$30*$D$30*$E$30*(1+$B$32),0)</f>
        <v/>
      </c>
      <c r="AJ179" s="42">
        <f>IF(AND(32&gt;=$G$30,32&lt;=$H$30),$B$30*$D$30*$E$30*(1+$B$32),0)</f>
        <v/>
      </c>
      <c r="AK179" s="42">
        <f>IF(AND(33&gt;=$G$30,33&lt;=$H$30),$B$30*$D$30*$E$30*(1+$B$32),0)</f>
        <v/>
      </c>
      <c r="AL179" s="42">
        <f>IF(AND(34&gt;=$G$30,34&lt;=$H$30),$B$30*$D$30*$E$30*(1+$B$32),0)</f>
        <v/>
      </c>
      <c r="AM179" s="42">
        <f>IF(AND(35&gt;=$G$30,35&lt;=$H$30),$B$30*$D$30*$E$30*(1+$B$32),0)</f>
        <v/>
      </c>
      <c r="AN179" s="42">
        <f>IF(AND(36&gt;=$G$30,36&lt;=$H$30),$B$30*$D$30*$E$30*(1+$B$32),0)</f>
        <v/>
      </c>
      <c r="AO179" s="42">
        <f>IF(AND(37&gt;=$G$30,37&lt;=$H$30),$B$30*$D$30*$E$30*(1+$B$32),0)</f>
        <v/>
      </c>
      <c r="AP179" s="42">
        <f>IF(AND(38&gt;=$G$30,38&lt;=$H$30),$B$30*$D$30*$E$30*(1+$B$32),0)</f>
        <v/>
      </c>
      <c r="AQ179" s="42">
        <f>IF(AND(39&gt;=$G$30,39&lt;=$H$30),$B$30*$D$30*$E$30*(1+$B$32),0)</f>
        <v/>
      </c>
      <c r="AR179" s="42">
        <f>IF(AND(40&gt;=$G$30,40&lt;=$H$30),$B$30*$D$30*$E$30*(1+$B$32),0)</f>
        <v/>
      </c>
      <c r="AS179" s="42">
        <f>IF(AND(41&gt;=$G$30,41&lt;=$H$30),$B$30*$D$30*$E$30*(1+$B$32),0)</f>
        <v/>
      </c>
      <c r="AT179" s="42">
        <f>IF(AND(42&gt;=$G$30,42&lt;=$H$30),$B$30*$D$30*$E$30*(1+$B$32),0)</f>
        <v/>
      </c>
      <c r="AU179" s="42">
        <f>IF(AND(43&gt;=$G$30,43&lt;=$H$30),$B$30*$D$30*$E$30*(1+$B$32),0)</f>
        <v/>
      </c>
      <c r="AV179" s="42">
        <f>IF(AND(44&gt;=$G$30,44&lt;=$H$30),$B$30*$D$30*$E$30*(1+$B$32),0)</f>
        <v/>
      </c>
      <c r="AW179" s="42">
        <f>IF(AND(45&gt;=$G$30,45&lt;=$H$30),$B$30*$D$30*$E$30*(1+$B$32),0)</f>
        <v/>
      </c>
      <c r="AX179" s="42">
        <f>IF(AND(46&gt;=$G$30,46&lt;=$H$30),$B$30*$D$30*$E$30*(1+$B$32),0)</f>
        <v/>
      </c>
      <c r="AY179" s="42">
        <f>IF(AND(47&gt;=$G$30,47&lt;=$H$30),$B$30*$D$30*$E$30*(1+$B$32),0)</f>
        <v/>
      </c>
      <c r="AZ179" s="42">
        <f>IF(AND(48&gt;=$G$30,48&lt;=$H$30),$B$30*$D$30*$E$30*(1+$B$32),0)</f>
        <v/>
      </c>
      <c r="BA179" s="42">
        <f>IF(AND(49&gt;=$G$30,49&lt;=$H$30),$B$30*$D$30*$E$30*(1+$B$32),0)</f>
        <v/>
      </c>
      <c r="BB179" s="42">
        <f>IF(AND(50&gt;=$G$30,50&lt;=$H$30),$B$30*$D$30*$E$30*(1+$B$32),0)</f>
        <v/>
      </c>
      <c r="BC179" s="42">
        <f>IF(AND(51&gt;=$G$30,51&lt;=$H$30),$B$30*$D$30*$E$30*(1+$B$32),0)</f>
        <v/>
      </c>
      <c r="BD179" s="42">
        <f>IF(AND(52&gt;=$G$30,52&lt;=$H$30),$B$30*$D$30*$E$30*(1+$B$32),0)</f>
        <v/>
      </c>
    </row>
    <row r="180">
      <c r="A180" s="26" t="inlineStr">
        <is>
          <t xml:space="preserve">   Harvest Crew</t>
        </is>
      </c>
      <c r="B180" s="2" t="inlineStr">
        <is>
          <t>$</t>
        </is>
      </c>
      <c r="E180" s="42">
        <f>IF(AND(1&gt;=$G$31,1&lt;=$H$31),$B$31*$D$31*$E$31*(1+$B$32),0)</f>
        <v/>
      </c>
      <c r="F180" s="42">
        <f>IF(AND(2&gt;=$G$31,2&lt;=$H$31),$B$31*$D$31*$E$31*(1+$B$32),0)</f>
        <v/>
      </c>
      <c r="G180" s="42">
        <f>IF(AND(3&gt;=$G$31,3&lt;=$H$31),$B$31*$D$31*$E$31*(1+$B$32),0)</f>
        <v/>
      </c>
      <c r="H180" s="42">
        <f>IF(AND(4&gt;=$G$31,4&lt;=$H$31),$B$31*$D$31*$E$31*(1+$B$32),0)</f>
        <v/>
      </c>
      <c r="I180" s="42">
        <f>IF(AND(5&gt;=$G$31,5&lt;=$H$31),$B$31*$D$31*$E$31*(1+$B$32),0)</f>
        <v/>
      </c>
      <c r="J180" s="42">
        <f>IF(AND(6&gt;=$G$31,6&lt;=$H$31),$B$31*$D$31*$E$31*(1+$B$32),0)</f>
        <v/>
      </c>
      <c r="K180" s="42">
        <f>IF(AND(7&gt;=$G$31,7&lt;=$H$31),$B$31*$D$31*$E$31*(1+$B$32),0)</f>
        <v/>
      </c>
      <c r="L180" s="42">
        <f>IF(AND(8&gt;=$G$31,8&lt;=$H$31),$B$31*$D$31*$E$31*(1+$B$32),0)</f>
        <v/>
      </c>
      <c r="M180" s="42">
        <f>IF(AND(9&gt;=$G$31,9&lt;=$H$31),$B$31*$D$31*$E$31*(1+$B$32),0)</f>
        <v/>
      </c>
      <c r="N180" s="42">
        <f>IF(AND(10&gt;=$G$31,10&lt;=$H$31),$B$31*$D$31*$E$31*(1+$B$32),0)</f>
        <v/>
      </c>
      <c r="O180" s="42">
        <f>IF(AND(11&gt;=$G$31,11&lt;=$H$31),$B$31*$D$31*$E$31*(1+$B$32),0)</f>
        <v/>
      </c>
      <c r="P180" s="42">
        <f>IF(AND(12&gt;=$G$31,12&lt;=$H$31),$B$31*$D$31*$E$31*(1+$B$32),0)</f>
        <v/>
      </c>
      <c r="Q180" s="42">
        <f>IF(AND(13&gt;=$G$31,13&lt;=$H$31),$B$31*$D$31*$E$31*(1+$B$32),0)</f>
        <v/>
      </c>
      <c r="R180" s="42">
        <f>IF(AND(14&gt;=$G$31,14&lt;=$H$31),$B$31*$D$31*$E$31*(1+$B$32),0)</f>
        <v/>
      </c>
      <c r="S180" s="42">
        <f>IF(AND(15&gt;=$G$31,15&lt;=$H$31),$B$31*$D$31*$E$31*(1+$B$32),0)</f>
        <v/>
      </c>
      <c r="T180" s="42">
        <f>IF(AND(16&gt;=$G$31,16&lt;=$H$31),$B$31*$D$31*$E$31*(1+$B$32),0)</f>
        <v/>
      </c>
      <c r="U180" s="42">
        <f>IF(AND(17&gt;=$G$31,17&lt;=$H$31),$B$31*$D$31*$E$31*(1+$B$32),0)</f>
        <v/>
      </c>
      <c r="V180" s="42">
        <f>IF(AND(18&gt;=$G$31,18&lt;=$H$31),$B$31*$D$31*$E$31*(1+$B$32),0)</f>
        <v/>
      </c>
      <c r="W180" s="42">
        <f>IF(AND(19&gt;=$G$31,19&lt;=$H$31),$B$31*$D$31*$E$31*(1+$B$32),0)</f>
        <v/>
      </c>
      <c r="X180" s="42">
        <f>IF(AND(20&gt;=$G$31,20&lt;=$H$31),$B$31*$D$31*$E$31*(1+$B$32),0)</f>
        <v/>
      </c>
      <c r="Y180" s="42">
        <f>IF(AND(21&gt;=$G$31,21&lt;=$H$31),$B$31*$D$31*$E$31*(1+$B$32),0)</f>
        <v/>
      </c>
      <c r="Z180" s="42">
        <f>IF(AND(22&gt;=$G$31,22&lt;=$H$31),$B$31*$D$31*$E$31*(1+$B$32),0)</f>
        <v/>
      </c>
      <c r="AA180" s="42">
        <f>IF(AND(23&gt;=$G$31,23&lt;=$H$31),$B$31*$D$31*$E$31*(1+$B$32),0)</f>
        <v/>
      </c>
      <c r="AB180" s="42">
        <f>IF(AND(24&gt;=$G$31,24&lt;=$H$31),$B$31*$D$31*$E$31*(1+$B$32),0)</f>
        <v/>
      </c>
      <c r="AC180" s="42">
        <f>IF(AND(25&gt;=$G$31,25&lt;=$H$31),$B$31*$D$31*$E$31*(1+$B$32),0)</f>
        <v/>
      </c>
      <c r="AD180" s="42">
        <f>IF(AND(26&gt;=$G$31,26&lt;=$H$31),$B$31*$D$31*$E$31*(1+$B$32),0)</f>
        <v/>
      </c>
      <c r="AE180" s="42">
        <f>IF(AND(27&gt;=$G$31,27&lt;=$H$31),$B$31*$D$31*$E$31*(1+$B$32),0)</f>
        <v/>
      </c>
      <c r="AF180" s="42">
        <f>IF(AND(28&gt;=$G$31,28&lt;=$H$31),$B$31*$D$31*$E$31*(1+$B$32),0)</f>
        <v/>
      </c>
      <c r="AG180" s="42">
        <f>IF(AND(29&gt;=$G$31,29&lt;=$H$31),$B$31*$D$31*$E$31*(1+$B$32),0)</f>
        <v/>
      </c>
      <c r="AH180" s="42">
        <f>IF(AND(30&gt;=$G$31,30&lt;=$H$31),$B$31*$D$31*$E$31*(1+$B$32),0)</f>
        <v/>
      </c>
      <c r="AI180" s="42">
        <f>IF(AND(31&gt;=$G$31,31&lt;=$H$31),$B$31*$D$31*$E$31*(1+$B$32),0)</f>
        <v/>
      </c>
      <c r="AJ180" s="42">
        <f>IF(AND(32&gt;=$G$31,32&lt;=$H$31),$B$31*$D$31*$E$31*(1+$B$32),0)</f>
        <v/>
      </c>
      <c r="AK180" s="42">
        <f>IF(AND(33&gt;=$G$31,33&lt;=$H$31),$B$31*$D$31*$E$31*(1+$B$32),0)</f>
        <v/>
      </c>
      <c r="AL180" s="42">
        <f>IF(AND(34&gt;=$G$31,34&lt;=$H$31),$B$31*$D$31*$E$31*(1+$B$32),0)</f>
        <v/>
      </c>
      <c r="AM180" s="42">
        <f>IF(AND(35&gt;=$G$31,35&lt;=$H$31),$B$31*$D$31*$E$31*(1+$B$32),0)</f>
        <v/>
      </c>
      <c r="AN180" s="42">
        <f>IF(AND(36&gt;=$G$31,36&lt;=$H$31),$B$31*$D$31*$E$31*(1+$B$32),0)</f>
        <v/>
      </c>
      <c r="AO180" s="42">
        <f>IF(AND(37&gt;=$G$31,37&lt;=$H$31),$B$31*$D$31*$E$31*(1+$B$32),0)</f>
        <v/>
      </c>
      <c r="AP180" s="42">
        <f>IF(AND(38&gt;=$G$31,38&lt;=$H$31),$B$31*$D$31*$E$31*(1+$B$32),0)</f>
        <v/>
      </c>
      <c r="AQ180" s="42">
        <f>IF(AND(39&gt;=$G$31,39&lt;=$H$31),$B$31*$D$31*$E$31*(1+$B$32),0)</f>
        <v/>
      </c>
      <c r="AR180" s="42">
        <f>IF(AND(40&gt;=$G$31,40&lt;=$H$31),$B$31*$D$31*$E$31*(1+$B$32),0)</f>
        <v/>
      </c>
      <c r="AS180" s="42">
        <f>IF(AND(41&gt;=$G$31,41&lt;=$H$31),$B$31*$D$31*$E$31*(1+$B$32),0)</f>
        <v/>
      </c>
      <c r="AT180" s="42">
        <f>IF(AND(42&gt;=$G$31,42&lt;=$H$31),$B$31*$D$31*$E$31*(1+$B$32),0)</f>
        <v/>
      </c>
      <c r="AU180" s="42">
        <f>IF(AND(43&gt;=$G$31,43&lt;=$H$31),$B$31*$D$31*$E$31*(1+$B$32),0)</f>
        <v/>
      </c>
      <c r="AV180" s="42">
        <f>IF(AND(44&gt;=$G$31,44&lt;=$H$31),$B$31*$D$31*$E$31*(1+$B$32),0)</f>
        <v/>
      </c>
      <c r="AW180" s="42">
        <f>IF(AND(45&gt;=$G$31,45&lt;=$H$31),$B$31*$D$31*$E$31*(1+$B$32),0)</f>
        <v/>
      </c>
      <c r="AX180" s="42">
        <f>IF(AND(46&gt;=$G$31,46&lt;=$H$31),$B$31*$D$31*$E$31*(1+$B$32),0)</f>
        <v/>
      </c>
      <c r="AY180" s="42">
        <f>IF(AND(47&gt;=$G$31,47&lt;=$H$31),$B$31*$D$31*$E$31*(1+$B$32),0)</f>
        <v/>
      </c>
      <c r="AZ180" s="42">
        <f>IF(AND(48&gt;=$G$31,48&lt;=$H$31),$B$31*$D$31*$E$31*(1+$B$32),0)</f>
        <v/>
      </c>
      <c r="BA180" s="42">
        <f>IF(AND(49&gt;=$G$31,49&lt;=$H$31),$B$31*$D$31*$E$31*(1+$B$32),0)</f>
        <v/>
      </c>
      <c r="BB180" s="42">
        <f>IF(AND(50&gt;=$G$31,50&lt;=$H$31),$B$31*$D$31*$E$31*(1+$B$32),0)</f>
        <v/>
      </c>
      <c r="BC180" s="42">
        <f>IF(AND(51&gt;=$G$31,51&lt;=$H$31),$B$31*$D$31*$E$31*(1+$B$32),0)</f>
        <v/>
      </c>
      <c r="BD180" s="42">
        <f>IF(AND(52&gt;=$G$31,52&lt;=$H$31),$B$31*$D$31*$E$31*(1+$B$32),0)</f>
        <v/>
      </c>
    </row>
    <row r="181">
      <c r="A181" s="4" t="inlineStr">
        <is>
          <t>Wage bill this week</t>
        </is>
      </c>
      <c r="B181" s="2" t="inlineStr">
        <is>
          <t>$</t>
        </is>
      </c>
      <c r="E181" s="42">
        <f>E177+E178+E179+E180</f>
        <v/>
      </c>
      <c r="F181" s="42">
        <f>F177+F178+F179+F180</f>
        <v/>
      </c>
      <c r="G181" s="42">
        <f>G177+G178+G179+G180</f>
        <v/>
      </c>
      <c r="H181" s="42">
        <f>H177+H178+H179+H180</f>
        <v/>
      </c>
      <c r="I181" s="42">
        <f>I177+I178+I179+I180</f>
        <v/>
      </c>
      <c r="J181" s="42">
        <f>J177+J178+J179+J180</f>
        <v/>
      </c>
      <c r="K181" s="42">
        <f>K177+K178+K179+K180</f>
        <v/>
      </c>
      <c r="L181" s="42">
        <f>L177+L178+L179+L180</f>
        <v/>
      </c>
      <c r="M181" s="42">
        <f>M177+M178+M179+M180</f>
        <v/>
      </c>
      <c r="N181" s="42">
        <f>N177+N178+N179+N180</f>
        <v/>
      </c>
      <c r="O181" s="42">
        <f>O177+O178+O179+O180</f>
        <v/>
      </c>
      <c r="P181" s="42">
        <f>P177+P178+P179+P180</f>
        <v/>
      </c>
      <c r="Q181" s="42">
        <f>Q177+Q178+Q179+Q180</f>
        <v/>
      </c>
      <c r="R181" s="42">
        <f>R177+R178+R179+R180</f>
        <v/>
      </c>
      <c r="S181" s="42">
        <f>S177+S178+S179+S180</f>
        <v/>
      </c>
      <c r="T181" s="42">
        <f>T177+T178+T179+T180</f>
        <v/>
      </c>
      <c r="U181" s="42">
        <f>U177+U178+U179+U180</f>
        <v/>
      </c>
      <c r="V181" s="42">
        <f>V177+V178+V179+V180</f>
        <v/>
      </c>
      <c r="W181" s="42">
        <f>W177+W178+W179+W180</f>
        <v/>
      </c>
      <c r="X181" s="42">
        <f>X177+X178+X179+X180</f>
        <v/>
      </c>
      <c r="Y181" s="42">
        <f>Y177+Y178+Y179+Y180</f>
        <v/>
      </c>
      <c r="Z181" s="42">
        <f>Z177+Z178+Z179+Z180</f>
        <v/>
      </c>
      <c r="AA181" s="42">
        <f>AA177+AA178+AA179+AA180</f>
        <v/>
      </c>
      <c r="AB181" s="42">
        <f>AB177+AB178+AB179+AB180</f>
        <v/>
      </c>
      <c r="AC181" s="42">
        <f>AC177+AC178+AC179+AC180</f>
        <v/>
      </c>
      <c r="AD181" s="42">
        <f>AD177+AD178+AD179+AD180</f>
        <v/>
      </c>
      <c r="AE181" s="42">
        <f>AE177+AE178+AE179+AE180</f>
        <v/>
      </c>
      <c r="AF181" s="42">
        <f>AF177+AF178+AF179+AF180</f>
        <v/>
      </c>
      <c r="AG181" s="42">
        <f>AG177+AG178+AG179+AG180</f>
        <v/>
      </c>
      <c r="AH181" s="42">
        <f>AH177+AH178+AH179+AH180</f>
        <v/>
      </c>
      <c r="AI181" s="42">
        <f>AI177+AI178+AI179+AI180</f>
        <v/>
      </c>
      <c r="AJ181" s="42">
        <f>AJ177+AJ178+AJ179+AJ180</f>
        <v/>
      </c>
      <c r="AK181" s="42">
        <f>AK177+AK178+AK179+AK180</f>
        <v/>
      </c>
      <c r="AL181" s="42">
        <f>AL177+AL178+AL179+AL180</f>
        <v/>
      </c>
      <c r="AM181" s="42">
        <f>AM177+AM178+AM179+AM180</f>
        <v/>
      </c>
      <c r="AN181" s="42">
        <f>AN177+AN178+AN179+AN180</f>
        <v/>
      </c>
      <c r="AO181" s="42">
        <f>AO177+AO178+AO179+AO180</f>
        <v/>
      </c>
      <c r="AP181" s="42">
        <f>AP177+AP178+AP179+AP180</f>
        <v/>
      </c>
      <c r="AQ181" s="42">
        <f>AQ177+AQ178+AQ179+AQ180</f>
        <v/>
      </c>
      <c r="AR181" s="42">
        <f>AR177+AR178+AR179+AR180</f>
        <v/>
      </c>
      <c r="AS181" s="42">
        <f>AS177+AS178+AS179+AS180</f>
        <v/>
      </c>
      <c r="AT181" s="42">
        <f>AT177+AT178+AT179+AT180</f>
        <v/>
      </c>
      <c r="AU181" s="42">
        <f>AU177+AU178+AU179+AU180</f>
        <v/>
      </c>
      <c r="AV181" s="42">
        <f>AV177+AV178+AV179+AV180</f>
        <v/>
      </c>
      <c r="AW181" s="42">
        <f>AW177+AW178+AW179+AW180</f>
        <v/>
      </c>
      <c r="AX181" s="42">
        <f>AX177+AX178+AX179+AX180</f>
        <v/>
      </c>
      <c r="AY181" s="42">
        <f>AY177+AY178+AY179+AY180</f>
        <v/>
      </c>
      <c r="AZ181" s="42">
        <f>AZ177+AZ178+AZ179+AZ180</f>
        <v/>
      </c>
      <c r="BA181" s="42">
        <f>BA177+BA178+BA179+BA180</f>
        <v/>
      </c>
      <c r="BB181" s="42">
        <f>BB177+BB178+BB179+BB180</f>
        <v/>
      </c>
      <c r="BC181" s="42">
        <f>BC177+BC178+BC179+BC180</f>
        <v/>
      </c>
      <c r="BD181" s="42">
        <f>BD177+BD178+BD179+BD180</f>
        <v/>
      </c>
    </row>
    <row r="182">
      <c r="A182" s="2" t="inlineStr">
        <is>
          <t xml:space="preserve">   ⚠️ OWED WHETHER OR NOT THE CROPS NEED THEM (the app's W12). That is why no crop carries a per-acre labour charge anywhere on this sheet: the marginal crop hour is FREE, and it is rationed by block C instead of priced.</t>
        </is>
      </c>
    </row>
    <row r="183">
      <c r="A183" s="26" t="inlineStr">
        <is>
          <t>Overtime cost this week</t>
        </is>
      </c>
      <c r="B183" s="2" t="inlineStr">
        <is>
          <t>$</t>
        </is>
      </c>
      <c r="E183" s="42">
        <f>IFERROR(E155*(E143*$D$29+E144*$D$30+E145*$D$31)/(E143+E144+E145)*(1+$B$32)*$B$33,0)</f>
        <v/>
      </c>
      <c r="F183" s="42">
        <f>IFERROR(F155*(F143*$D$29+F144*$D$30+F145*$D$31)/(F143+F144+F145)*(1+$B$32)*$B$33,0)</f>
        <v/>
      </c>
      <c r="G183" s="42">
        <f>IFERROR(G155*(G143*$D$29+G144*$D$30+G145*$D$31)/(G143+G144+G145)*(1+$B$32)*$B$33,0)</f>
        <v/>
      </c>
      <c r="H183" s="42">
        <f>IFERROR(H155*(H143*$D$29+H144*$D$30+H145*$D$31)/(H143+H144+H145)*(1+$B$32)*$B$33,0)</f>
        <v/>
      </c>
      <c r="I183" s="42">
        <f>IFERROR(I155*(I143*$D$29+I144*$D$30+I145*$D$31)/(I143+I144+I145)*(1+$B$32)*$B$33,0)</f>
        <v/>
      </c>
      <c r="J183" s="42">
        <f>IFERROR(J155*(J143*$D$29+J144*$D$30+J145*$D$31)/(J143+J144+J145)*(1+$B$32)*$B$33,0)</f>
        <v/>
      </c>
      <c r="K183" s="42">
        <f>IFERROR(K155*(K143*$D$29+K144*$D$30+K145*$D$31)/(K143+K144+K145)*(1+$B$32)*$B$33,0)</f>
        <v/>
      </c>
      <c r="L183" s="42">
        <f>IFERROR(L155*(L143*$D$29+L144*$D$30+L145*$D$31)/(L143+L144+L145)*(1+$B$32)*$B$33,0)</f>
        <v/>
      </c>
      <c r="M183" s="42">
        <f>IFERROR(M155*(M143*$D$29+M144*$D$30+M145*$D$31)/(M143+M144+M145)*(1+$B$32)*$B$33,0)</f>
        <v/>
      </c>
      <c r="N183" s="42">
        <f>IFERROR(N155*(N143*$D$29+N144*$D$30+N145*$D$31)/(N143+N144+N145)*(1+$B$32)*$B$33,0)</f>
        <v/>
      </c>
      <c r="O183" s="42">
        <f>IFERROR(O155*(O143*$D$29+O144*$D$30+O145*$D$31)/(O143+O144+O145)*(1+$B$32)*$B$33,0)</f>
        <v/>
      </c>
      <c r="P183" s="42">
        <f>IFERROR(P155*(P143*$D$29+P144*$D$30+P145*$D$31)/(P143+P144+P145)*(1+$B$32)*$B$33,0)</f>
        <v/>
      </c>
      <c r="Q183" s="42">
        <f>IFERROR(Q155*(Q143*$D$29+Q144*$D$30+Q145*$D$31)/(Q143+Q144+Q145)*(1+$B$32)*$B$33,0)</f>
        <v/>
      </c>
      <c r="R183" s="42">
        <f>IFERROR(R155*(R143*$D$29+R144*$D$30+R145*$D$31)/(R143+R144+R145)*(1+$B$32)*$B$33,0)</f>
        <v/>
      </c>
      <c r="S183" s="42">
        <f>IFERROR(S155*(S143*$D$29+S144*$D$30+S145*$D$31)/(S143+S144+S145)*(1+$B$32)*$B$33,0)</f>
        <v/>
      </c>
      <c r="T183" s="42">
        <f>IFERROR(T155*(T143*$D$29+T144*$D$30+T145*$D$31)/(T143+T144+T145)*(1+$B$32)*$B$33,0)</f>
        <v/>
      </c>
      <c r="U183" s="42">
        <f>IFERROR(U155*(U143*$D$29+U144*$D$30+U145*$D$31)/(U143+U144+U145)*(1+$B$32)*$B$33,0)</f>
        <v/>
      </c>
      <c r="V183" s="42">
        <f>IFERROR(V155*(V143*$D$29+V144*$D$30+V145*$D$31)/(V143+V144+V145)*(1+$B$32)*$B$33,0)</f>
        <v/>
      </c>
      <c r="W183" s="42">
        <f>IFERROR(W155*(W143*$D$29+W144*$D$30+W145*$D$31)/(W143+W144+W145)*(1+$B$32)*$B$33,0)</f>
        <v/>
      </c>
      <c r="X183" s="42">
        <f>IFERROR(X155*(X143*$D$29+X144*$D$30+X145*$D$31)/(X143+X144+X145)*(1+$B$32)*$B$33,0)</f>
        <v/>
      </c>
      <c r="Y183" s="42">
        <f>IFERROR(Y155*(Y143*$D$29+Y144*$D$30+Y145*$D$31)/(Y143+Y144+Y145)*(1+$B$32)*$B$33,0)</f>
        <v/>
      </c>
      <c r="Z183" s="42">
        <f>IFERROR(Z155*(Z143*$D$29+Z144*$D$30+Z145*$D$31)/(Z143+Z144+Z145)*(1+$B$32)*$B$33,0)</f>
        <v/>
      </c>
      <c r="AA183" s="42">
        <f>IFERROR(AA155*(AA143*$D$29+AA144*$D$30+AA145*$D$31)/(AA143+AA144+AA145)*(1+$B$32)*$B$33,0)</f>
        <v/>
      </c>
      <c r="AB183" s="42">
        <f>IFERROR(AB155*(AB143*$D$29+AB144*$D$30+AB145*$D$31)/(AB143+AB144+AB145)*(1+$B$32)*$B$33,0)</f>
        <v/>
      </c>
      <c r="AC183" s="42">
        <f>IFERROR(AC155*(AC143*$D$29+AC144*$D$30+AC145*$D$31)/(AC143+AC144+AC145)*(1+$B$32)*$B$33,0)</f>
        <v/>
      </c>
      <c r="AD183" s="42">
        <f>IFERROR(AD155*(AD143*$D$29+AD144*$D$30+AD145*$D$31)/(AD143+AD144+AD145)*(1+$B$32)*$B$33,0)</f>
        <v/>
      </c>
      <c r="AE183" s="42">
        <f>IFERROR(AE155*(AE143*$D$29+AE144*$D$30+AE145*$D$31)/(AE143+AE144+AE145)*(1+$B$32)*$B$33,0)</f>
        <v/>
      </c>
      <c r="AF183" s="42">
        <f>IFERROR(AF155*(AF143*$D$29+AF144*$D$30+AF145*$D$31)/(AF143+AF144+AF145)*(1+$B$32)*$B$33,0)</f>
        <v/>
      </c>
      <c r="AG183" s="42">
        <f>IFERROR(AG155*(AG143*$D$29+AG144*$D$30+AG145*$D$31)/(AG143+AG144+AG145)*(1+$B$32)*$B$33,0)</f>
        <v/>
      </c>
      <c r="AH183" s="42">
        <f>IFERROR(AH155*(AH143*$D$29+AH144*$D$30+AH145*$D$31)/(AH143+AH144+AH145)*(1+$B$32)*$B$33,0)</f>
        <v/>
      </c>
      <c r="AI183" s="42">
        <f>IFERROR(AI155*(AI143*$D$29+AI144*$D$30+AI145*$D$31)/(AI143+AI144+AI145)*(1+$B$32)*$B$33,0)</f>
        <v/>
      </c>
      <c r="AJ183" s="42">
        <f>IFERROR(AJ155*(AJ143*$D$29+AJ144*$D$30+AJ145*$D$31)/(AJ143+AJ144+AJ145)*(1+$B$32)*$B$33,0)</f>
        <v/>
      </c>
      <c r="AK183" s="42">
        <f>IFERROR(AK155*(AK143*$D$29+AK144*$D$30+AK145*$D$31)/(AK143+AK144+AK145)*(1+$B$32)*$B$33,0)</f>
        <v/>
      </c>
      <c r="AL183" s="42">
        <f>IFERROR(AL155*(AL143*$D$29+AL144*$D$30+AL145*$D$31)/(AL143+AL144+AL145)*(1+$B$32)*$B$33,0)</f>
        <v/>
      </c>
      <c r="AM183" s="42">
        <f>IFERROR(AM155*(AM143*$D$29+AM144*$D$30+AM145*$D$31)/(AM143+AM144+AM145)*(1+$B$32)*$B$33,0)</f>
        <v/>
      </c>
      <c r="AN183" s="42">
        <f>IFERROR(AN155*(AN143*$D$29+AN144*$D$30+AN145*$D$31)/(AN143+AN144+AN145)*(1+$B$32)*$B$33,0)</f>
        <v/>
      </c>
      <c r="AO183" s="42">
        <f>IFERROR(AO155*(AO143*$D$29+AO144*$D$30+AO145*$D$31)/(AO143+AO144+AO145)*(1+$B$32)*$B$33,0)</f>
        <v/>
      </c>
      <c r="AP183" s="42">
        <f>IFERROR(AP155*(AP143*$D$29+AP144*$D$30+AP145*$D$31)/(AP143+AP144+AP145)*(1+$B$32)*$B$33,0)</f>
        <v/>
      </c>
      <c r="AQ183" s="42">
        <f>IFERROR(AQ155*(AQ143*$D$29+AQ144*$D$30+AQ145*$D$31)/(AQ143+AQ144+AQ145)*(1+$B$32)*$B$33,0)</f>
        <v/>
      </c>
      <c r="AR183" s="42">
        <f>IFERROR(AR155*(AR143*$D$29+AR144*$D$30+AR145*$D$31)/(AR143+AR144+AR145)*(1+$B$32)*$B$33,0)</f>
        <v/>
      </c>
      <c r="AS183" s="42">
        <f>IFERROR(AS155*(AS143*$D$29+AS144*$D$30+AS145*$D$31)/(AS143+AS144+AS145)*(1+$B$32)*$B$33,0)</f>
        <v/>
      </c>
      <c r="AT183" s="42">
        <f>IFERROR(AT155*(AT143*$D$29+AT144*$D$30+AT145*$D$31)/(AT143+AT144+AT145)*(1+$B$32)*$B$33,0)</f>
        <v/>
      </c>
      <c r="AU183" s="42">
        <f>IFERROR(AU155*(AU143*$D$29+AU144*$D$30+AU145*$D$31)/(AU143+AU144+AU145)*(1+$B$32)*$B$33,0)</f>
        <v/>
      </c>
      <c r="AV183" s="42">
        <f>IFERROR(AV155*(AV143*$D$29+AV144*$D$30+AV145*$D$31)/(AV143+AV144+AV145)*(1+$B$32)*$B$33,0)</f>
        <v/>
      </c>
      <c r="AW183" s="42">
        <f>IFERROR(AW155*(AW143*$D$29+AW144*$D$30+AW145*$D$31)/(AW143+AW144+AW145)*(1+$B$32)*$B$33,0)</f>
        <v/>
      </c>
      <c r="AX183" s="42">
        <f>IFERROR(AX155*(AX143*$D$29+AX144*$D$30+AX145*$D$31)/(AX143+AX144+AX145)*(1+$B$32)*$B$33,0)</f>
        <v/>
      </c>
      <c r="AY183" s="42">
        <f>IFERROR(AY155*(AY143*$D$29+AY144*$D$30+AY145*$D$31)/(AY143+AY144+AY145)*(1+$B$32)*$B$33,0)</f>
        <v/>
      </c>
      <c r="AZ183" s="42">
        <f>IFERROR(AZ155*(AZ143*$D$29+AZ144*$D$30+AZ145*$D$31)/(AZ143+AZ144+AZ145)*(1+$B$32)*$B$33,0)</f>
        <v/>
      </c>
      <c r="BA183" s="42">
        <f>IFERROR(BA155*(BA143*$D$29+BA144*$D$30+BA145*$D$31)/(BA143+BA144+BA145)*(1+$B$32)*$B$33,0)</f>
        <v/>
      </c>
      <c r="BB183" s="42">
        <f>IFERROR(BB155*(BB143*$D$29+BB144*$D$30+BB145*$D$31)/(BB143+BB144+BB145)*(1+$B$32)*$B$33,0)</f>
        <v/>
      </c>
      <c r="BC183" s="42">
        <f>IFERROR(BC155*(BC143*$D$29+BC144*$D$30+BC145*$D$31)/(BC143+BC144+BC145)*(1+$B$32)*$B$33,0)</f>
        <v/>
      </c>
      <c r="BD183" s="42">
        <f>IFERROR(BD155*(BD143*$D$29+BD144*$D$30+BD145*$D$31)/(BD143+BD144+BD145)*(1+$B$32)*$B$33,0)</f>
        <v/>
      </c>
    </row>
    <row r="184">
      <c r="A184" s="2" t="inlineStr">
        <is>
          <t xml:space="preserve">   ⚠️ Overtime hours cost their FULL rate, not the premium above base pay. The wage bill pays the crew's STATED hours; these are hours beyond it, so charging only the increment leaves the base wage charged nowhere. Measured in the app at 2,080 hours costing $0.00.</t>
        </is>
      </c>
    </row>
    <row r="185">
      <c r="A185" s="26" t="inlineStr">
        <is>
          <t>Proposed hire cost this week</t>
        </is>
      </c>
      <c r="B185" s="2" t="inlineStr">
        <is>
          <t>$</t>
        </is>
      </c>
      <c r="E185" s="42">
        <f>IF(AND(1&gt;=$B$43,1&lt;=$C$43),$B$47*$B$48,0)+IF(1=$B$43,$B$47*$I$43,0)</f>
        <v/>
      </c>
      <c r="F185" s="42">
        <f>IF(AND(2&gt;=$B$43,2&lt;=$C$43),$B$47*$B$48,0)+IF(2=$B$43,$B$47*$I$43,0)</f>
        <v/>
      </c>
      <c r="G185" s="42">
        <f>IF(AND(3&gt;=$B$43,3&lt;=$C$43),$B$47*$B$48,0)+IF(3=$B$43,$B$47*$I$43,0)</f>
        <v/>
      </c>
      <c r="H185" s="42">
        <f>IF(AND(4&gt;=$B$43,4&lt;=$C$43),$B$47*$B$48,0)+IF(4=$B$43,$B$47*$I$43,0)</f>
        <v/>
      </c>
      <c r="I185" s="42">
        <f>IF(AND(5&gt;=$B$43,5&lt;=$C$43),$B$47*$B$48,0)+IF(5=$B$43,$B$47*$I$43,0)</f>
        <v/>
      </c>
      <c r="J185" s="42">
        <f>IF(AND(6&gt;=$B$43,6&lt;=$C$43),$B$47*$B$48,0)+IF(6=$B$43,$B$47*$I$43,0)</f>
        <v/>
      </c>
      <c r="K185" s="42">
        <f>IF(AND(7&gt;=$B$43,7&lt;=$C$43),$B$47*$B$48,0)+IF(7=$B$43,$B$47*$I$43,0)</f>
        <v/>
      </c>
      <c r="L185" s="42">
        <f>IF(AND(8&gt;=$B$43,8&lt;=$C$43),$B$47*$B$48,0)+IF(8=$B$43,$B$47*$I$43,0)</f>
        <v/>
      </c>
      <c r="M185" s="42">
        <f>IF(AND(9&gt;=$B$43,9&lt;=$C$43),$B$47*$B$48,0)+IF(9=$B$43,$B$47*$I$43,0)</f>
        <v/>
      </c>
      <c r="N185" s="42">
        <f>IF(AND(10&gt;=$B$43,10&lt;=$C$43),$B$47*$B$48,0)+IF(10=$B$43,$B$47*$I$43,0)</f>
        <v/>
      </c>
      <c r="O185" s="42">
        <f>IF(AND(11&gt;=$B$43,11&lt;=$C$43),$B$47*$B$48,0)+IF(11=$B$43,$B$47*$I$43,0)</f>
        <v/>
      </c>
      <c r="P185" s="42">
        <f>IF(AND(12&gt;=$B$43,12&lt;=$C$43),$B$47*$B$48,0)+IF(12=$B$43,$B$47*$I$43,0)</f>
        <v/>
      </c>
      <c r="Q185" s="42">
        <f>IF(AND(13&gt;=$B$43,13&lt;=$C$43),$B$47*$B$48,0)+IF(13=$B$43,$B$47*$I$43,0)</f>
        <v/>
      </c>
      <c r="R185" s="42">
        <f>IF(AND(14&gt;=$B$43,14&lt;=$C$43),$B$47*$B$48,0)+IF(14=$B$43,$B$47*$I$43,0)</f>
        <v/>
      </c>
      <c r="S185" s="42">
        <f>IF(AND(15&gt;=$B$43,15&lt;=$C$43),$B$47*$B$48,0)+IF(15=$B$43,$B$47*$I$43,0)</f>
        <v/>
      </c>
      <c r="T185" s="42">
        <f>IF(AND(16&gt;=$B$43,16&lt;=$C$43),$B$47*$B$48,0)+IF(16=$B$43,$B$47*$I$43,0)</f>
        <v/>
      </c>
      <c r="U185" s="42">
        <f>IF(AND(17&gt;=$B$43,17&lt;=$C$43),$B$47*$B$48,0)+IF(17=$B$43,$B$47*$I$43,0)</f>
        <v/>
      </c>
      <c r="V185" s="42">
        <f>IF(AND(18&gt;=$B$43,18&lt;=$C$43),$B$47*$B$48,0)+IF(18=$B$43,$B$47*$I$43,0)</f>
        <v/>
      </c>
      <c r="W185" s="42">
        <f>IF(AND(19&gt;=$B$43,19&lt;=$C$43),$B$47*$B$48,0)+IF(19=$B$43,$B$47*$I$43,0)</f>
        <v/>
      </c>
      <c r="X185" s="42">
        <f>IF(AND(20&gt;=$B$43,20&lt;=$C$43),$B$47*$B$48,0)+IF(20=$B$43,$B$47*$I$43,0)</f>
        <v/>
      </c>
      <c r="Y185" s="42">
        <f>IF(AND(21&gt;=$B$43,21&lt;=$C$43),$B$47*$B$48,0)+IF(21=$B$43,$B$47*$I$43,0)</f>
        <v/>
      </c>
      <c r="Z185" s="42">
        <f>IF(AND(22&gt;=$B$43,22&lt;=$C$43),$B$47*$B$48,0)+IF(22=$B$43,$B$47*$I$43,0)</f>
        <v/>
      </c>
      <c r="AA185" s="42">
        <f>IF(AND(23&gt;=$B$43,23&lt;=$C$43),$B$47*$B$48,0)+IF(23=$B$43,$B$47*$I$43,0)</f>
        <v/>
      </c>
      <c r="AB185" s="42">
        <f>IF(AND(24&gt;=$B$43,24&lt;=$C$43),$B$47*$B$48,0)+IF(24=$B$43,$B$47*$I$43,0)</f>
        <v/>
      </c>
      <c r="AC185" s="42">
        <f>IF(AND(25&gt;=$B$43,25&lt;=$C$43),$B$47*$B$48,0)+IF(25=$B$43,$B$47*$I$43,0)</f>
        <v/>
      </c>
      <c r="AD185" s="42">
        <f>IF(AND(26&gt;=$B$43,26&lt;=$C$43),$B$47*$B$48,0)+IF(26=$B$43,$B$47*$I$43,0)</f>
        <v/>
      </c>
      <c r="AE185" s="42">
        <f>IF(AND(27&gt;=$B$43,27&lt;=$C$43),$B$47*$B$48,0)+IF(27=$B$43,$B$47*$I$43,0)</f>
        <v/>
      </c>
      <c r="AF185" s="42">
        <f>IF(AND(28&gt;=$B$43,28&lt;=$C$43),$B$47*$B$48,0)+IF(28=$B$43,$B$47*$I$43,0)</f>
        <v/>
      </c>
      <c r="AG185" s="42">
        <f>IF(AND(29&gt;=$B$43,29&lt;=$C$43),$B$47*$B$48,0)+IF(29=$B$43,$B$47*$I$43,0)</f>
        <v/>
      </c>
      <c r="AH185" s="42">
        <f>IF(AND(30&gt;=$B$43,30&lt;=$C$43),$B$47*$B$48,0)+IF(30=$B$43,$B$47*$I$43,0)</f>
        <v/>
      </c>
      <c r="AI185" s="42">
        <f>IF(AND(31&gt;=$B$43,31&lt;=$C$43),$B$47*$B$48,0)+IF(31=$B$43,$B$47*$I$43,0)</f>
        <v/>
      </c>
      <c r="AJ185" s="42">
        <f>IF(AND(32&gt;=$B$43,32&lt;=$C$43),$B$47*$B$48,0)+IF(32=$B$43,$B$47*$I$43,0)</f>
        <v/>
      </c>
      <c r="AK185" s="42">
        <f>IF(AND(33&gt;=$B$43,33&lt;=$C$43),$B$47*$B$48,0)+IF(33=$B$43,$B$47*$I$43,0)</f>
        <v/>
      </c>
      <c r="AL185" s="42">
        <f>IF(AND(34&gt;=$B$43,34&lt;=$C$43),$B$47*$B$48,0)+IF(34=$B$43,$B$47*$I$43,0)</f>
        <v/>
      </c>
      <c r="AM185" s="42">
        <f>IF(AND(35&gt;=$B$43,35&lt;=$C$43),$B$47*$B$48,0)+IF(35=$B$43,$B$47*$I$43,0)</f>
        <v/>
      </c>
      <c r="AN185" s="42">
        <f>IF(AND(36&gt;=$B$43,36&lt;=$C$43),$B$47*$B$48,0)+IF(36=$B$43,$B$47*$I$43,0)</f>
        <v/>
      </c>
      <c r="AO185" s="42">
        <f>IF(AND(37&gt;=$B$43,37&lt;=$C$43),$B$47*$B$48,0)+IF(37=$B$43,$B$47*$I$43,0)</f>
        <v/>
      </c>
      <c r="AP185" s="42">
        <f>IF(AND(38&gt;=$B$43,38&lt;=$C$43),$B$47*$B$48,0)+IF(38=$B$43,$B$47*$I$43,0)</f>
        <v/>
      </c>
      <c r="AQ185" s="42">
        <f>IF(AND(39&gt;=$B$43,39&lt;=$C$43),$B$47*$B$48,0)+IF(39=$B$43,$B$47*$I$43,0)</f>
        <v/>
      </c>
      <c r="AR185" s="42">
        <f>IF(AND(40&gt;=$B$43,40&lt;=$C$43),$B$47*$B$48,0)+IF(40=$B$43,$B$47*$I$43,0)</f>
        <v/>
      </c>
      <c r="AS185" s="42">
        <f>IF(AND(41&gt;=$B$43,41&lt;=$C$43),$B$47*$B$48,0)+IF(41=$B$43,$B$47*$I$43,0)</f>
        <v/>
      </c>
      <c r="AT185" s="42">
        <f>IF(AND(42&gt;=$B$43,42&lt;=$C$43),$B$47*$B$48,0)+IF(42=$B$43,$B$47*$I$43,0)</f>
        <v/>
      </c>
      <c r="AU185" s="42">
        <f>IF(AND(43&gt;=$B$43,43&lt;=$C$43),$B$47*$B$48,0)+IF(43=$B$43,$B$47*$I$43,0)</f>
        <v/>
      </c>
      <c r="AV185" s="42">
        <f>IF(AND(44&gt;=$B$43,44&lt;=$C$43),$B$47*$B$48,0)+IF(44=$B$43,$B$47*$I$43,0)</f>
        <v/>
      </c>
      <c r="AW185" s="42">
        <f>IF(AND(45&gt;=$B$43,45&lt;=$C$43),$B$47*$B$48,0)+IF(45=$B$43,$B$47*$I$43,0)</f>
        <v/>
      </c>
      <c r="AX185" s="42">
        <f>IF(AND(46&gt;=$B$43,46&lt;=$C$43),$B$47*$B$48,0)+IF(46=$B$43,$B$47*$I$43,0)</f>
        <v/>
      </c>
      <c r="AY185" s="42">
        <f>IF(AND(47&gt;=$B$43,47&lt;=$C$43),$B$47*$B$48,0)+IF(47=$B$43,$B$47*$I$43,0)</f>
        <v/>
      </c>
      <c r="AZ185" s="42">
        <f>IF(AND(48&gt;=$B$43,48&lt;=$C$43),$B$47*$B$48,0)+IF(48=$B$43,$B$47*$I$43,0)</f>
        <v/>
      </c>
      <c r="BA185" s="42">
        <f>IF(AND(49&gt;=$B$43,49&lt;=$C$43),$B$47*$B$48,0)+IF(49=$B$43,$B$47*$I$43,0)</f>
        <v/>
      </c>
      <c r="BB185" s="42">
        <f>IF(AND(50&gt;=$B$43,50&lt;=$C$43),$B$47*$B$48,0)+IF(50=$B$43,$B$47*$I$43,0)</f>
        <v/>
      </c>
      <c r="BC185" s="42">
        <f>IF(AND(51&gt;=$B$43,51&lt;=$C$43),$B$47*$B$48,0)+IF(51=$B$43,$B$47*$I$43,0)</f>
        <v/>
      </c>
      <c r="BD185" s="42">
        <f>IF(AND(52&gt;=$B$43,52&lt;=$C$43),$B$47*$B$48,0)+IF(52=$B$43,$B$47*$I$43,0)</f>
        <v/>
      </c>
    </row>
    <row r="186">
      <c r="A186" s="2" t="inlineStr">
        <is>
          <t xml:space="preserve">   ⚠️ CHARGED FOR THE WHOLE WINDOW, used or not — that is what makes it a hire and not a spot purchase, and it is the same treatment the standing crew gets. Compare this against 'Proposed hire hours' in a week the plan does not need them.</t>
        </is>
      </c>
    </row>
    <row r="188">
      <c r="A188" s="3" t="inlineStr">
        <is>
          <t>SPINACH  —  cold store</t>
        </is>
      </c>
      <c r="B188" s="45" t="inlineStr"/>
    </row>
    <row r="189">
      <c r="A189" s="30" t="inlineStr">
        <is>
          <t>Week</t>
        </is>
      </c>
      <c r="B189" s="38" t="inlineStr"/>
      <c r="E189" s="31" t="n">
        <v>1</v>
      </c>
      <c r="F189" s="31" t="n">
        <v>2</v>
      </c>
      <c r="G189" s="31" t="n">
        <v>3</v>
      </c>
      <c r="H189" s="31" t="n">
        <v>4</v>
      </c>
      <c r="I189" s="31" t="n">
        <v>5</v>
      </c>
      <c r="J189" s="31" t="n">
        <v>6</v>
      </c>
      <c r="K189" s="31" t="n">
        <v>7</v>
      </c>
      <c r="L189" s="31" t="n">
        <v>8</v>
      </c>
      <c r="M189" s="31" t="n">
        <v>9</v>
      </c>
      <c r="N189" s="31" t="n">
        <v>10</v>
      </c>
      <c r="O189" s="31" t="n">
        <v>11</v>
      </c>
      <c r="P189" s="31" t="n">
        <v>12</v>
      </c>
      <c r="Q189" s="31" t="n">
        <v>13</v>
      </c>
      <c r="R189" s="31" t="n">
        <v>14</v>
      </c>
      <c r="S189" s="31" t="n">
        <v>15</v>
      </c>
      <c r="T189" s="31" t="n">
        <v>16</v>
      </c>
      <c r="U189" s="31" t="n">
        <v>17</v>
      </c>
      <c r="V189" s="31" t="n">
        <v>18</v>
      </c>
      <c r="W189" s="31" t="n">
        <v>19</v>
      </c>
      <c r="X189" s="31" t="n">
        <v>20</v>
      </c>
      <c r="Y189" s="31" t="n">
        <v>21</v>
      </c>
      <c r="Z189" s="31" t="n">
        <v>22</v>
      </c>
      <c r="AA189" s="31" t="n">
        <v>23</v>
      </c>
      <c r="AB189" s="31" t="n">
        <v>24</v>
      </c>
      <c r="AC189" s="31" t="n">
        <v>25</v>
      </c>
      <c r="AD189" s="31" t="n">
        <v>26</v>
      </c>
      <c r="AE189" s="31" t="n">
        <v>27</v>
      </c>
      <c r="AF189" s="31" t="n">
        <v>28</v>
      </c>
      <c r="AG189" s="31" t="n">
        <v>29</v>
      </c>
      <c r="AH189" s="31" t="n">
        <v>30</v>
      </c>
      <c r="AI189" s="31" t="n">
        <v>31</v>
      </c>
      <c r="AJ189" s="31" t="n">
        <v>32</v>
      </c>
      <c r="AK189" s="31" t="n">
        <v>33</v>
      </c>
      <c r="AL189" s="31" t="n">
        <v>34</v>
      </c>
      <c r="AM189" s="31" t="n">
        <v>35</v>
      </c>
      <c r="AN189" s="31" t="n">
        <v>36</v>
      </c>
      <c r="AO189" s="31" t="n">
        <v>37</v>
      </c>
      <c r="AP189" s="31" t="n">
        <v>38</v>
      </c>
      <c r="AQ189" s="31" t="n">
        <v>39</v>
      </c>
      <c r="AR189" s="31" t="n">
        <v>40</v>
      </c>
      <c r="AS189" s="31" t="n">
        <v>41</v>
      </c>
      <c r="AT189" s="31" t="n">
        <v>42</v>
      </c>
      <c r="AU189" s="31" t="n">
        <v>43</v>
      </c>
      <c r="AV189" s="31" t="n">
        <v>44</v>
      </c>
      <c r="AW189" s="31" t="n">
        <v>45</v>
      </c>
      <c r="AX189" s="31" t="n">
        <v>46</v>
      </c>
      <c r="AY189" s="31" t="n">
        <v>47</v>
      </c>
      <c r="AZ189" s="31" t="n">
        <v>48</v>
      </c>
      <c r="BA189" s="31" t="n">
        <v>49</v>
      </c>
      <c r="BB189" s="31" t="n">
        <v>50</v>
      </c>
      <c r="BC189" s="31" t="n">
        <v>51</v>
      </c>
      <c r="BD189" s="31" t="n">
        <v>52</v>
      </c>
    </row>
    <row r="190">
      <c r="A190" s="4" t="inlineStr">
        <is>
          <t>Packed out -&gt; INTO the store</t>
        </is>
      </c>
      <c r="B190" s="2" t="inlineStr">
        <is>
          <t>lb</t>
        </is>
      </c>
      <c r="E190" s="42">
        <f>SUMPRODUCT(($B$62:$B$129="Spinach")*(E$62:E$129="H")*$C$62:$C$129)*$B$12/$J$12*$C$12</f>
        <v/>
      </c>
      <c r="F190" s="42">
        <f>SUMPRODUCT(($B$62:$B$129="Spinach")*(F$62:F$129="H")*$C$62:$C$129)*$B$12/$J$12*$C$12</f>
        <v/>
      </c>
      <c r="G190" s="42">
        <f>SUMPRODUCT(($B$62:$B$129="Spinach")*(G$62:G$129="H")*$C$62:$C$129)*$B$12/$J$12*$C$12</f>
        <v/>
      </c>
      <c r="H190" s="42">
        <f>SUMPRODUCT(($B$62:$B$129="Spinach")*(H$62:H$129="H")*$C$62:$C$129)*$B$12/$J$12*$C$12</f>
        <v/>
      </c>
      <c r="I190" s="42">
        <f>SUMPRODUCT(($B$62:$B$129="Spinach")*(I$62:I$129="H")*$C$62:$C$129)*$B$12/$J$12*$C$12</f>
        <v/>
      </c>
      <c r="J190" s="42">
        <f>SUMPRODUCT(($B$62:$B$129="Spinach")*(J$62:J$129="H")*$C$62:$C$129)*$B$12/$J$12*$C$12</f>
        <v/>
      </c>
      <c r="K190" s="42">
        <f>SUMPRODUCT(($B$62:$B$129="Spinach")*(K$62:K$129="H")*$C$62:$C$129)*$B$12/$J$12*$C$12</f>
        <v/>
      </c>
      <c r="L190" s="42">
        <f>SUMPRODUCT(($B$62:$B$129="Spinach")*(L$62:L$129="H")*$C$62:$C$129)*$B$12/$J$12*$C$12</f>
        <v/>
      </c>
      <c r="M190" s="42">
        <f>SUMPRODUCT(($B$62:$B$129="Spinach")*(M$62:M$129="H")*$C$62:$C$129)*$B$12/$J$12*$C$12</f>
        <v/>
      </c>
      <c r="N190" s="42">
        <f>SUMPRODUCT(($B$62:$B$129="Spinach")*(N$62:N$129="H")*$C$62:$C$129)*$B$12/$J$12*$C$12</f>
        <v/>
      </c>
      <c r="O190" s="42">
        <f>SUMPRODUCT(($B$62:$B$129="Spinach")*(O$62:O$129="H")*$C$62:$C$129)*$B$12/$J$12*$C$12</f>
        <v/>
      </c>
      <c r="P190" s="42">
        <f>SUMPRODUCT(($B$62:$B$129="Spinach")*(P$62:P$129="H")*$C$62:$C$129)*$B$12/$J$12*$C$12</f>
        <v/>
      </c>
      <c r="Q190" s="42">
        <f>SUMPRODUCT(($B$62:$B$129="Spinach")*(Q$62:Q$129="H")*$C$62:$C$129)*$B$12/$J$12*$C$12</f>
        <v/>
      </c>
      <c r="R190" s="42">
        <f>SUMPRODUCT(($B$62:$B$129="Spinach")*(R$62:R$129="H")*$C$62:$C$129)*$B$12/$J$12*$C$12</f>
        <v/>
      </c>
      <c r="S190" s="42">
        <f>SUMPRODUCT(($B$62:$B$129="Spinach")*(S$62:S$129="H")*$C$62:$C$129)*$B$12/$J$12*$C$12</f>
        <v/>
      </c>
      <c r="T190" s="42">
        <f>SUMPRODUCT(($B$62:$B$129="Spinach")*(T$62:T$129="H")*$C$62:$C$129)*$B$12/$J$12*$C$12</f>
        <v/>
      </c>
      <c r="U190" s="42">
        <f>SUMPRODUCT(($B$62:$B$129="Spinach")*(U$62:U$129="H")*$C$62:$C$129)*$B$12/$J$12*$C$12</f>
        <v/>
      </c>
      <c r="V190" s="42">
        <f>SUMPRODUCT(($B$62:$B$129="Spinach")*(V$62:V$129="H")*$C$62:$C$129)*$B$12/$J$12*$C$12</f>
        <v/>
      </c>
      <c r="W190" s="42">
        <f>SUMPRODUCT(($B$62:$B$129="Spinach")*(W$62:W$129="H")*$C$62:$C$129)*$B$12/$J$12*$C$12</f>
        <v/>
      </c>
      <c r="X190" s="42">
        <f>SUMPRODUCT(($B$62:$B$129="Spinach")*(X$62:X$129="H")*$C$62:$C$129)*$B$12/$J$12*$C$12</f>
        <v/>
      </c>
      <c r="Y190" s="42">
        <f>SUMPRODUCT(($B$62:$B$129="Spinach")*(Y$62:Y$129="H")*$C$62:$C$129)*$B$12/$J$12*$C$12</f>
        <v/>
      </c>
      <c r="Z190" s="42">
        <f>SUMPRODUCT(($B$62:$B$129="Spinach")*(Z$62:Z$129="H")*$C$62:$C$129)*$B$12/$J$12*$C$12</f>
        <v/>
      </c>
      <c r="AA190" s="42">
        <f>SUMPRODUCT(($B$62:$B$129="Spinach")*(AA$62:AA$129="H")*$C$62:$C$129)*$B$12/$J$12*$C$12</f>
        <v/>
      </c>
      <c r="AB190" s="42">
        <f>SUMPRODUCT(($B$62:$B$129="Spinach")*(AB$62:AB$129="H")*$C$62:$C$129)*$B$12/$J$12*$C$12</f>
        <v/>
      </c>
      <c r="AC190" s="42">
        <f>SUMPRODUCT(($B$62:$B$129="Spinach")*(AC$62:AC$129="H")*$C$62:$C$129)*$B$12/$J$12*$C$12</f>
        <v/>
      </c>
      <c r="AD190" s="42">
        <f>SUMPRODUCT(($B$62:$B$129="Spinach")*(AD$62:AD$129="H")*$C$62:$C$129)*$B$12/$J$12*$C$12</f>
        <v/>
      </c>
      <c r="AE190" s="42">
        <f>SUMPRODUCT(($B$62:$B$129="Spinach")*(AE$62:AE$129="H")*$C$62:$C$129)*$B$12/$J$12*$C$12</f>
        <v/>
      </c>
      <c r="AF190" s="42">
        <f>SUMPRODUCT(($B$62:$B$129="Spinach")*(AF$62:AF$129="H")*$C$62:$C$129)*$B$12/$J$12*$C$12</f>
        <v/>
      </c>
      <c r="AG190" s="42">
        <f>SUMPRODUCT(($B$62:$B$129="Spinach")*(AG$62:AG$129="H")*$C$62:$C$129)*$B$12/$J$12*$C$12</f>
        <v/>
      </c>
      <c r="AH190" s="42">
        <f>SUMPRODUCT(($B$62:$B$129="Spinach")*(AH$62:AH$129="H")*$C$62:$C$129)*$B$12/$J$12*$C$12</f>
        <v/>
      </c>
      <c r="AI190" s="42">
        <f>SUMPRODUCT(($B$62:$B$129="Spinach")*(AI$62:AI$129="H")*$C$62:$C$129)*$B$12/$J$12*$C$12</f>
        <v/>
      </c>
      <c r="AJ190" s="42">
        <f>SUMPRODUCT(($B$62:$B$129="Spinach")*(AJ$62:AJ$129="H")*$C$62:$C$129)*$B$12/$J$12*$C$12</f>
        <v/>
      </c>
      <c r="AK190" s="42">
        <f>SUMPRODUCT(($B$62:$B$129="Spinach")*(AK$62:AK$129="H")*$C$62:$C$129)*$B$12/$J$12*$C$12</f>
        <v/>
      </c>
      <c r="AL190" s="42">
        <f>SUMPRODUCT(($B$62:$B$129="Spinach")*(AL$62:AL$129="H")*$C$62:$C$129)*$B$12/$J$12*$C$12</f>
        <v/>
      </c>
      <c r="AM190" s="42">
        <f>SUMPRODUCT(($B$62:$B$129="Spinach")*(AM$62:AM$129="H")*$C$62:$C$129)*$B$12/$J$12*$C$12</f>
        <v/>
      </c>
      <c r="AN190" s="42">
        <f>SUMPRODUCT(($B$62:$B$129="Spinach")*(AN$62:AN$129="H")*$C$62:$C$129)*$B$12/$J$12*$C$12</f>
        <v/>
      </c>
      <c r="AO190" s="42">
        <f>SUMPRODUCT(($B$62:$B$129="Spinach")*(AO$62:AO$129="H")*$C$62:$C$129)*$B$12/$J$12*$C$12</f>
        <v/>
      </c>
      <c r="AP190" s="42">
        <f>SUMPRODUCT(($B$62:$B$129="Spinach")*(AP$62:AP$129="H")*$C$62:$C$129)*$B$12/$J$12*$C$12</f>
        <v/>
      </c>
      <c r="AQ190" s="42">
        <f>SUMPRODUCT(($B$62:$B$129="Spinach")*(AQ$62:AQ$129="H")*$C$62:$C$129)*$B$12/$J$12*$C$12</f>
        <v/>
      </c>
      <c r="AR190" s="42">
        <f>SUMPRODUCT(($B$62:$B$129="Spinach")*(AR$62:AR$129="H")*$C$62:$C$129)*$B$12/$J$12*$C$12</f>
        <v/>
      </c>
      <c r="AS190" s="42">
        <f>SUMPRODUCT(($B$62:$B$129="Spinach")*(AS$62:AS$129="H")*$C$62:$C$129)*$B$12/$J$12*$C$12</f>
        <v/>
      </c>
      <c r="AT190" s="42">
        <f>SUMPRODUCT(($B$62:$B$129="Spinach")*(AT$62:AT$129="H")*$C$62:$C$129)*$B$12/$J$12*$C$12</f>
        <v/>
      </c>
      <c r="AU190" s="42">
        <f>SUMPRODUCT(($B$62:$B$129="Spinach")*(AU$62:AU$129="H")*$C$62:$C$129)*$B$12/$J$12*$C$12</f>
        <v/>
      </c>
      <c r="AV190" s="42">
        <f>SUMPRODUCT(($B$62:$B$129="Spinach")*(AV$62:AV$129="H")*$C$62:$C$129)*$B$12/$J$12*$C$12</f>
        <v/>
      </c>
      <c r="AW190" s="42">
        <f>SUMPRODUCT(($B$62:$B$129="Spinach")*(AW$62:AW$129="H")*$C$62:$C$129)*$B$12/$J$12*$C$12</f>
        <v/>
      </c>
      <c r="AX190" s="42">
        <f>SUMPRODUCT(($B$62:$B$129="Spinach")*(AX$62:AX$129="H")*$C$62:$C$129)*$B$12/$J$12*$C$12</f>
        <v/>
      </c>
      <c r="AY190" s="42">
        <f>SUMPRODUCT(($B$62:$B$129="Spinach")*(AY$62:AY$129="H")*$C$62:$C$129)*$B$12/$J$12*$C$12</f>
        <v/>
      </c>
      <c r="AZ190" s="42">
        <f>SUMPRODUCT(($B$62:$B$129="Spinach")*(AZ$62:AZ$129="H")*$C$62:$C$129)*$B$12/$J$12*$C$12</f>
        <v/>
      </c>
      <c r="BA190" s="42">
        <f>SUMPRODUCT(($B$62:$B$129="Spinach")*(BA$62:BA$129="H")*$C$62:$C$129)*$B$12/$J$12*$C$12</f>
        <v/>
      </c>
      <c r="BB190" s="42">
        <f>SUMPRODUCT(($B$62:$B$129="Spinach")*(BB$62:BB$129="H")*$C$62:$C$129)*$B$12/$J$12*$C$12</f>
        <v/>
      </c>
      <c r="BC190" s="42">
        <f>SUMPRODUCT(($B$62:$B$129="Spinach")*(BC$62:BC$129="H")*$C$62:$C$129)*$B$12/$J$12*$C$12</f>
        <v/>
      </c>
      <c r="BD190" s="42">
        <f>SUMPRODUCT(($B$62:$B$129="Spinach")*(BD$62:BD$129="H")*$C$62:$C$129)*$B$12/$J$12*$C$12</f>
        <v/>
      </c>
    </row>
    <row r="191">
      <c r="A191" s="26" t="inlineStr">
        <is>
          <t>Stock carried in</t>
        </is>
      </c>
      <c r="B191" s="2" t="inlineStr">
        <is>
          <t>lb</t>
        </is>
      </c>
      <c r="E191" s="42" t="n">
        <v>0</v>
      </c>
      <c r="F191" s="42">
        <f>E206</f>
        <v/>
      </c>
      <c r="G191" s="42">
        <f>F206</f>
        <v/>
      </c>
      <c r="H191" s="42">
        <f>G206</f>
        <v/>
      </c>
      <c r="I191" s="42">
        <f>H206</f>
        <v/>
      </c>
      <c r="J191" s="42">
        <f>I206</f>
        <v/>
      </c>
      <c r="K191" s="42">
        <f>J206</f>
        <v/>
      </c>
      <c r="L191" s="42">
        <f>K206</f>
        <v/>
      </c>
      <c r="M191" s="42">
        <f>L206</f>
        <v/>
      </c>
      <c r="N191" s="42">
        <f>M206</f>
        <v/>
      </c>
      <c r="O191" s="42">
        <f>N206</f>
        <v/>
      </c>
      <c r="P191" s="42">
        <f>O206</f>
        <v/>
      </c>
      <c r="Q191" s="42">
        <f>P206</f>
        <v/>
      </c>
      <c r="R191" s="42">
        <f>Q206</f>
        <v/>
      </c>
      <c r="S191" s="42">
        <f>R206</f>
        <v/>
      </c>
      <c r="T191" s="42">
        <f>S206</f>
        <v/>
      </c>
      <c r="U191" s="42">
        <f>T206</f>
        <v/>
      </c>
      <c r="V191" s="42">
        <f>U206</f>
        <v/>
      </c>
      <c r="W191" s="42">
        <f>V206</f>
        <v/>
      </c>
      <c r="X191" s="42">
        <f>W206</f>
        <v/>
      </c>
      <c r="Y191" s="42">
        <f>X206</f>
        <v/>
      </c>
      <c r="Z191" s="42">
        <f>Y206</f>
        <v/>
      </c>
      <c r="AA191" s="42">
        <f>Z206</f>
        <v/>
      </c>
      <c r="AB191" s="42">
        <f>AA206</f>
        <v/>
      </c>
      <c r="AC191" s="42">
        <f>AB206</f>
        <v/>
      </c>
      <c r="AD191" s="42">
        <f>AC206</f>
        <v/>
      </c>
      <c r="AE191" s="42">
        <f>AD206</f>
        <v/>
      </c>
      <c r="AF191" s="42">
        <f>AE206</f>
        <v/>
      </c>
      <c r="AG191" s="42">
        <f>AF206</f>
        <v/>
      </c>
      <c r="AH191" s="42">
        <f>AG206</f>
        <v/>
      </c>
      <c r="AI191" s="42">
        <f>AH206</f>
        <v/>
      </c>
      <c r="AJ191" s="42">
        <f>AI206</f>
        <v/>
      </c>
      <c r="AK191" s="42">
        <f>AJ206</f>
        <v/>
      </c>
      <c r="AL191" s="42">
        <f>AK206</f>
        <v/>
      </c>
      <c r="AM191" s="42">
        <f>AL206</f>
        <v/>
      </c>
      <c r="AN191" s="42">
        <f>AM206</f>
        <v/>
      </c>
      <c r="AO191" s="42">
        <f>AN206</f>
        <v/>
      </c>
      <c r="AP191" s="42">
        <f>AO206</f>
        <v/>
      </c>
      <c r="AQ191" s="42">
        <f>AP206</f>
        <v/>
      </c>
      <c r="AR191" s="42">
        <f>AQ206</f>
        <v/>
      </c>
      <c r="AS191" s="42">
        <f>AR206</f>
        <v/>
      </c>
      <c r="AT191" s="42">
        <f>AS206</f>
        <v/>
      </c>
      <c r="AU191" s="42">
        <f>AT206</f>
        <v/>
      </c>
      <c r="AV191" s="42">
        <f>AU206</f>
        <v/>
      </c>
      <c r="AW191" s="42">
        <f>AV206</f>
        <v/>
      </c>
      <c r="AX191" s="42">
        <f>AW206</f>
        <v/>
      </c>
      <c r="AY191" s="42">
        <f>AX206</f>
        <v/>
      </c>
      <c r="AZ191" s="42">
        <f>AY206</f>
        <v/>
      </c>
      <c r="BA191" s="42">
        <f>AZ206</f>
        <v/>
      </c>
      <c r="BB191" s="42">
        <f>BA206</f>
        <v/>
      </c>
      <c r="BC191" s="42">
        <f>BB206</f>
        <v/>
      </c>
      <c r="BD191" s="42">
        <f>BC206</f>
        <v/>
      </c>
    </row>
    <row r="192">
      <c r="A192" s="26" t="inlineStr">
        <is>
          <t xml:space="preserve">   lost to shrink</t>
        </is>
      </c>
      <c r="B192" s="2" t="inlineStr">
        <is>
          <t>lb</t>
        </is>
      </c>
      <c r="E192" s="42">
        <f>E191*$G$12</f>
        <v/>
      </c>
      <c r="F192" s="42">
        <f>F191*$G$12</f>
        <v/>
      </c>
      <c r="G192" s="42">
        <f>G191*$G$12</f>
        <v/>
      </c>
      <c r="H192" s="42">
        <f>H191*$G$12</f>
        <v/>
      </c>
      <c r="I192" s="42">
        <f>I191*$G$12</f>
        <v/>
      </c>
      <c r="J192" s="42">
        <f>J191*$G$12</f>
        <v/>
      </c>
      <c r="K192" s="42">
        <f>K191*$G$12</f>
        <v/>
      </c>
      <c r="L192" s="42">
        <f>L191*$G$12</f>
        <v/>
      </c>
      <c r="M192" s="42">
        <f>M191*$G$12</f>
        <v/>
      </c>
      <c r="N192" s="42">
        <f>N191*$G$12</f>
        <v/>
      </c>
      <c r="O192" s="42">
        <f>O191*$G$12</f>
        <v/>
      </c>
      <c r="P192" s="42">
        <f>P191*$G$12</f>
        <v/>
      </c>
      <c r="Q192" s="42">
        <f>Q191*$G$12</f>
        <v/>
      </c>
      <c r="R192" s="42">
        <f>R191*$G$12</f>
        <v/>
      </c>
      <c r="S192" s="42">
        <f>S191*$G$12</f>
        <v/>
      </c>
      <c r="T192" s="42">
        <f>T191*$G$12</f>
        <v/>
      </c>
      <c r="U192" s="42">
        <f>U191*$G$12</f>
        <v/>
      </c>
      <c r="V192" s="42">
        <f>V191*$G$12</f>
        <v/>
      </c>
      <c r="W192" s="42">
        <f>W191*$G$12</f>
        <v/>
      </c>
      <c r="X192" s="42">
        <f>X191*$G$12</f>
        <v/>
      </c>
      <c r="Y192" s="42">
        <f>Y191*$G$12</f>
        <v/>
      </c>
      <c r="Z192" s="42">
        <f>Z191*$G$12</f>
        <v/>
      </c>
      <c r="AA192" s="42">
        <f>AA191*$G$12</f>
        <v/>
      </c>
      <c r="AB192" s="42">
        <f>AB191*$G$12</f>
        <v/>
      </c>
      <c r="AC192" s="42">
        <f>AC191*$G$12</f>
        <v/>
      </c>
      <c r="AD192" s="42">
        <f>AD191*$G$12</f>
        <v/>
      </c>
      <c r="AE192" s="42">
        <f>AE191*$G$12</f>
        <v/>
      </c>
      <c r="AF192" s="42">
        <f>AF191*$G$12</f>
        <v/>
      </c>
      <c r="AG192" s="42">
        <f>AG191*$G$12</f>
        <v/>
      </c>
      <c r="AH192" s="42">
        <f>AH191*$G$12</f>
        <v/>
      </c>
      <c r="AI192" s="42">
        <f>AI191*$G$12</f>
        <v/>
      </c>
      <c r="AJ192" s="42">
        <f>AJ191*$G$12</f>
        <v/>
      </c>
      <c r="AK192" s="42">
        <f>AK191*$G$12</f>
        <v/>
      </c>
      <c r="AL192" s="42">
        <f>AL191*$G$12</f>
        <v/>
      </c>
      <c r="AM192" s="42">
        <f>AM191*$G$12</f>
        <v/>
      </c>
      <c r="AN192" s="42">
        <f>AN191*$G$12</f>
        <v/>
      </c>
      <c r="AO192" s="42">
        <f>AO191*$G$12</f>
        <v/>
      </c>
      <c r="AP192" s="42">
        <f>AP191*$G$12</f>
        <v/>
      </c>
      <c r="AQ192" s="42">
        <f>AQ191*$G$12</f>
        <v/>
      </c>
      <c r="AR192" s="42">
        <f>AR191*$G$12</f>
        <v/>
      </c>
      <c r="AS192" s="42">
        <f>AS191*$G$12</f>
        <v/>
      </c>
      <c r="AT192" s="42">
        <f>AT191*$G$12</f>
        <v/>
      </c>
      <c r="AU192" s="42">
        <f>AU191*$G$12</f>
        <v/>
      </c>
      <c r="AV192" s="42">
        <f>AV191*$G$12</f>
        <v/>
      </c>
      <c r="AW192" s="42">
        <f>AW191*$G$12</f>
        <v/>
      </c>
      <c r="AX192" s="42">
        <f>AX191*$G$12</f>
        <v/>
      </c>
      <c r="AY192" s="42">
        <f>AY191*$G$12</f>
        <v/>
      </c>
      <c r="AZ192" s="42">
        <f>AZ191*$G$12</f>
        <v/>
      </c>
      <c r="BA192" s="42">
        <f>BA191*$G$12</f>
        <v/>
      </c>
      <c r="BB192" s="42">
        <f>BB191*$G$12</f>
        <v/>
      </c>
      <c r="BC192" s="42">
        <f>BC191*$G$12</f>
        <v/>
      </c>
      <c r="BD192" s="42">
        <f>BD191*$G$12</f>
        <v/>
      </c>
    </row>
    <row r="193">
      <c r="A193" s="4" t="inlineStr">
        <is>
          <t>In store this week</t>
        </is>
      </c>
      <c r="B193" s="2" t="inlineStr">
        <is>
          <t>lb</t>
        </is>
      </c>
      <c r="E193" s="42">
        <f>E191-E192+E190</f>
        <v/>
      </c>
      <c r="F193" s="42">
        <f>F191-F192+F190</f>
        <v/>
      </c>
      <c r="G193" s="42">
        <f>G191-G192+G190</f>
        <v/>
      </c>
      <c r="H193" s="42">
        <f>H191-H192+H190</f>
        <v/>
      </c>
      <c r="I193" s="42">
        <f>I191-I192+I190</f>
        <v/>
      </c>
      <c r="J193" s="42">
        <f>J191-J192+J190</f>
        <v/>
      </c>
      <c r="K193" s="42">
        <f>K191-K192+K190</f>
        <v/>
      </c>
      <c r="L193" s="42">
        <f>L191-L192+L190</f>
        <v/>
      </c>
      <c r="M193" s="42">
        <f>M191-M192+M190</f>
        <v/>
      </c>
      <c r="N193" s="42">
        <f>N191-N192+N190</f>
        <v/>
      </c>
      <c r="O193" s="42">
        <f>O191-O192+O190</f>
        <v/>
      </c>
      <c r="P193" s="42">
        <f>P191-P192+P190</f>
        <v/>
      </c>
      <c r="Q193" s="42">
        <f>Q191-Q192+Q190</f>
        <v/>
      </c>
      <c r="R193" s="42">
        <f>R191-R192+R190</f>
        <v/>
      </c>
      <c r="S193" s="42">
        <f>S191-S192+S190</f>
        <v/>
      </c>
      <c r="T193" s="42">
        <f>T191-T192+T190</f>
        <v/>
      </c>
      <c r="U193" s="42">
        <f>U191-U192+U190</f>
        <v/>
      </c>
      <c r="V193" s="42">
        <f>V191-V192+V190</f>
        <v/>
      </c>
      <c r="W193" s="42">
        <f>W191-W192+W190</f>
        <v/>
      </c>
      <c r="X193" s="42">
        <f>X191-X192+X190</f>
        <v/>
      </c>
      <c r="Y193" s="42">
        <f>Y191-Y192+Y190</f>
        <v/>
      </c>
      <c r="Z193" s="42">
        <f>Z191-Z192+Z190</f>
        <v/>
      </c>
      <c r="AA193" s="42">
        <f>AA191-AA192+AA190</f>
        <v/>
      </c>
      <c r="AB193" s="42">
        <f>AB191-AB192+AB190</f>
        <v/>
      </c>
      <c r="AC193" s="42">
        <f>AC191-AC192+AC190</f>
        <v/>
      </c>
      <c r="AD193" s="42">
        <f>AD191-AD192+AD190</f>
        <v/>
      </c>
      <c r="AE193" s="42">
        <f>AE191-AE192+AE190</f>
        <v/>
      </c>
      <c r="AF193" s="42">
        <f>AF191-AF192+AF190</f>
        <v/>
      </c>
      <c r="AG193" s="42">
        <f>AG191-AG192+AG190</f>
        <v/>
      </c>
      <c r="AH193" s="42">
        <f>AH191-AH192+AH190</f>
        <v/>
      </c>
      <c r="AI193" s="42">
        <f>AI191-AI192+AI190</f>
        <v/>
      </c>
      <c r="AJ193" s="42">
        <f>AJ191-AJ192+AJ190</f>
        <v/>
      </c>
      <c r="AK193" s="42">
        <f>AK191-AK192+AK190</f>
        <v/>
      </c>
      <c r="AL193" s="42">
        <f>AL191-AL192+AL190</f>
        <v/>
      </c>
      <c r="AM193" s="42">
        <f>AM191-AM192+AM190</f>
        <v/>
      </c>
      <c r="AN193" s="42">
        <f>AN191-AN192+AN190</f>
        <v/>
      </c>
      <c r="AO193" s="42">
        <f>AO191-AO192+AO190</f>
        <v/>
      </c>
      <c r="AP193" s="42">
        <f>AP191-AP192+AP190</f>
        <v/>
      </c>
      <c r="AQ193" s="42">
        <f>AQ191-AQ192+AQ190</f>
        <v/>
      </c>
      <c r="AR193" s="42">
        <f>AR191-AR192+AR190</f>
        <v/>
      </c>
      <c r="AS193" s="42">
        <f>AS191-AS192+AS190</f>
        <v/>
      </c>
      <c r="AT193" s="42">
        <f>AT191-AT192+AT190</f>
        <v/>
      </c>
      <c r="AU193" s="42">
        <f>AU191-AU192+AU190</f>
        <v/>
      </c>
      <c r="AV193" s="42">
        <f>AV191-AV192+AV190</f>
        <v/>
      </c>
      <c r="AW193" s="42">
        <f>AW191-AW192+AW190</f>
        <v/>
      </c>
      <c r="AX193" s="42">
        <f>AX191-AX192+AX190</f>
        <v/>
      </c>
      <c r="AY193" s="42">
        <f>AY191-AY192+AY190</f>
        <v/>
      </c>
      <c r="AZ193" s="42">
        <f>AZ191-AZ192+AZ190</f>
        <v/>
      </c>
      <c r="BA193" s="42">
        <f>BA191-BA192+BA190</f>
        <v/>
      </c>
      <c r="BB193" s="42">
        <f>BB191-BB192+BB190</f>
        <v/>
      </c>
      <c r="BC193" s="42">
        <f>BC191-BC192+BC190</f>
        <v/>
      </c>
      <c r="BD193" s="42">
        <f>BD191-BD192+BD190</f>
        <v/>
      </c>
    </row>
    <row r="194">
      <c r="A194" s="28" t="inlineStr">
        <is>
          <t>Farmers Market — most you may sell this week</t>
        </is>
      </c>
      <c r="B194" s="2" t="inlineStr">
        <is>
          <t>lb</t>
        </is>
      </c>
      <c r="E194" s="46">
        <f>IF($C$19="Annual",$D$19-0,IF(AND(1&gt;=$E$19,1&lt;=$F$19),$D$19,0))</f>
        <v/>
      </c>
      <c r="F194" s="46">
        <f>IF($C$19="Annual",$D$19-SUM(E196:E196),IF(AND(2&gt;=$E$19,2&lt;=$F$19),$D$19,0))</f>
        <v/>
      </c>
      <c r="G194" s="46">
        <f>IF($C$19="Annual",$D$19-SUM(E196:F196),IF(AND(3&gt;=$E$19,3&lt;=$F$19),$D$19,0))</f>
        <v/>
      </c>
      <c r="H194" s="46">
        <f>IF($C$19="Annual",$D$19-SUM(E196:G196),IF(AND(4&gt;=$E$19,4&lt;=$F$19),$D$19,0))</f>
        <v/>
      </c>
      <c r="I194" s="46">
        <f>IF($C$19="Annual",$D$19-SUM(E196:H196),IF(AND(5&gt;=$E$19,5&lt;=$F$19),$D$19,0))</f>
        <v/>
      </c>
      <c r="J194" s="46">
        <f>IF($C$19="Annual",$D$19-SUM(E196:I196),IF(AND(6&gt;=$E$19,6&lt;=$F$19),$D$19,0))</f>
        <v/>
      </c>
      <c r="K194" s="46">
        <f>IF($C$19="Annual",$D$19-SUM(E196:J196),IF(AND(7&gt;=$E$19,7&lt;=$F$19),$D$19,0))</f>
        <v/>
      </c>
      <c r="L194" s="46">
        <f>IF($C$19="Annual",$D$19-SUM(E196:K196),IF(AND(8&gt;=$E$19,8&lt;=$F$19),$D$19,0))</f>
        <v/>
      </c>
      <c r="M194" s="46">
        <f>IF($C$19="Annual",$D$19-SUM(E196:L196),IF(AND(9&gt;=$E$19,9&lt;=$F$19),$D$19,0))</f>
        <v/>
      </c>
      <c r="N194" s="46">
        <f>IF($C$19="Annual",$D$19-SUM(E196:M196),IF(AND(10&gt;=$E$19,10&lt;=$F$19),$D$19,0))</f>
        <v/>
      </c>
      <c r="O194" s="46">
        <f>IF($C$19="Annual",$D$19-SUM(E196:N196),IF(AND(11&gt;=$E$19,11&lt;=$F$19),$D$19,0))</f>
        <v/>
      </c>
      <c r="P194" s="46">
        <f>IF($C$19="Annual",$D$19-SUM(E196:O196),IF(AND(12&gt;=$E$19,12&lt;=$F$19),$D$19,0))</f>
        <v/>
      </c>
      <c r="Q194" s="46">
        <f>IF($C$19="Annual",$D$19-SUM(E196:P196),IF(AND(13&gt;=$E$19,13&lt;=$F$19),$D$19,0))</f>
        <v/>
      </c>
      <c r="R194" s="46">
        <f>IF($C$19="Annual",$D$19-SUM(E196:Q196),IF(AND(14&gt;=$E$19,14&lt;=$F$19),$D$19,0))</f>
        <v/>
      </c>
      <c r="S194" s="46">
        <f>IF($C$19="Annual",$D$19-SUM(E196:R196),IF(AND(15&gt;=$E$19,15&lt;=$F$19),$D$19,0))</f>
        <v/>
      </c>
      <c r="T194" s="46">
        <f>IF($C$19="Annual",$D$19-SUM(E196:S196),IF(AND(16&gt;=$E$19,16&lt;=$F$19),$D$19,0))</f>
        <v/>
      </c>
      <c r="U194" s="46">
        <f>IF($C$19="Annual",$D$19-SUM(E196:T196),IF(AND(17&gt;=$E$19,17&lt;=$F$19),$D$19,0))</f>
        <v/>
      </c>
      <c r="V194" s="46">
        <f>IF($C$19="Annual",$D$19-SUM(E196:U196),IF(AND(18&gt;=$E$19,18&lt;=$F$19),$D$19,0))</f>
        <v/>
      </c>
      <c r="W194" s="46">
        <f>IF($C$19="Annual",$D$19-SUM(E196:V196),IF(AND(19&gt;=$E$19,19&lt;=$F$19),$D$19,0))</f>
        <v/>
      </c>
      <c r="X194" s="46">
        <f>IF($C$19="Annual",$D$19-SUM(E196:W196),IF(AND(20&gt;=$E$19,20&lt;=$F$19),$D$19,0))</f>
        <v/>
      </c>
      <c r="Y194" s="46">
        <f>IF($C$19="Annual",$D$19-SUM(E196:X196),IF(AND(21&gt;=$E$19,21&lt;=$F$19),$D$19,0))</f>
        <v/>
      </c>
      <c r="Z194" s="46">
        <f>IF($C$19="Annual",$D$19-SUM(E196:Y196),IF(AND(22&gt;=$E$19,22&lt;=$F$19),$D$19,0))</f>
        <v/>
      </c>
      <c r="AA194" s="46">
        <f>IF($C$19="Annual",$D$19-SUM(E196:Z196),IF(AND(23&gt;=$E$19,23&lt;=$F$19),$D$19,0))</f>
        <v/>
      </c>
      <c r="AB194" s="46">
        <f>IF($C$19="Annual",$D$19-SUM(E196:AA196),IF(AND(24&gt;=$E$19,24&lt;=$F$19),$D$19,0))</f>
        <v/>
      </c>
      <c r="AC194" s="46">
        <f>IF($C$19="Annual",$D$19-SUM(E196:AB196),IF(AND(25&gt;=$E$19,25&lt;=$F$19),$D$19,0))</f>
        <v/>
      </c>
      <c r="AD194" s="46">
        <f>IF($C$19="Annual",$D$19-SUM(E196:AC196),IF(AND(26&gt;=$E$19,26&lt;=$F$19),$D$19,0))</f>
        <v/>
      </c>
      <c r="AE194" s="46">
        <f>IF($C$19="Annual",$D$19-SUM(E196:AD196),IF(AND(27&gt;=$E$19,27&lt;=$F$19),$D$19,0))</f>
        <v/>
      </c>
      <c r="AF194" s="46">
        <f>IF($C$19="Annual",$D$19-SUM(E196:AE196),IF(AND(28&gt;=$E$19,28&lt;=$F$19),$D$19,0))</f>
        <v/>
      </c>
      <c r="AG194" s="46">
        <f>IF($C$19="Annual",$D$19-SUM(E196:AF196),IF(AND(29&gt;=$E$19,29&lt;=$F$19),$D$19,0))</f>
        <v/>
      </c>
      <c r="AH194" s="46">
        <f>IF($C$19="Annual",$D$19-SUM(E196:AG196),IF(AND(30&gt;=$E$19,30&lt;=$F$19),$D$19,0))</f>
        <v/>
      </c>
      <c r="AI194" s="46">
        <f>IF($C$19="Annual",$D$19-SUM(E196:AH196),IF(AND(31&gt;=$E$19,31&lt;=$F$19),$D$19,0))</f>
        <v/>
      </c>
      <c r="AJ194" s="46">
        <f>IF($C$19="Annual",$D$19-SUM(E196:AI196),IF(AND(32&gt;=$E$19,32&lt;=$F$19),$D$19,0))</f>
        <v/>
      </c>
      <c r="AK194" s="46">
        <f>IF($C$19="Annual",$D$19-SUM(E196:AJ196),IF(AND(33&gt;=$E$19,33&lt;=$F$19),$D$19,0))</f>
        <v/>
      </c>
      <c r="AL194" s="46">
        <f>IF($C$19="Annual",$D$19-SUM(E196:AK196),IF(AND(34&gt;=$E$19,34&lt;=$F$19),$D$19,0))</f>
        <v/>
      </c>
      <c r="AM194" s="46">
        <f>IF($C$19="Annual",$D$19-SUM(E196:AL196),IF(AND(35&gt;=$E$19,35&lt;=$F$19),$D$19,0))</f>
        <v/>
      </c>
      <c r="AN194" s="46">
        <f>IF($C$19="Annual",$D$19-SUM(E196:AM196),IF(AND(36&gt;=$E$19,36&lt;=$F$19),$D$19,0))</f>
        <v/>
      </c>
      <c r="AO194" s="46">
        <f>IF($C$19="Annual",$D$19-SUM(E196:AN196),IF(AND(37&gt;=$E$19,37&lt;=$F$19),$D$19,0))</f>
        <v/>
      </c>
      <c r="AP194" s="46">
        <f>IF($C$19="Annual",$D$19-SUM(E196:AO196),IF(AND(38&gt;=$E$19,38&lt;=$F$19),$D$19,0))</f>
        <v/>
      </c>
      <c r="AQ194" s="46">
        <f>IF($C$19="Annual",$D$19-SUM(E196:AP196),IF(AND(39&gt;=$E$19,39&lt;=$F$19),$D$19,0))</f>
        <v/>
      </c>
      <c r="AR194" s="46">
        <f>IF($C$19="Annual",$D$19-SUM(E196:AQ196),IF(AND(40&gt;=$E$19,40&lt;=$F$19),$D$19,0))</f>
        <v/>
      </c>
      <c r="AS194" s="46">
        <f>IF($C$19="Annual",$D$19-SUM(E196:AR196),IF(AND(41&gt;=$E$19,41&lt;=$F$19),$D$19,0))</f>
        <v/>
      </c>
      <c r="AT194" s="46">
        <f>IF($C$19="Annual",$D$19-SUM(E196:AS196),IF(AND(42&gt;=$E$19,42&lt;=$F$19),$D$19,0))</f>
        <v/>
      </c>
      <c r="AU194" s="46">
        <f>IF($C$19="Annual",$D$19-SUM(E196:AT196),IF(AND(43&gt;=$E$19,43&lt;=$F$19),$D$19,0))</f>
        <v/>
      </c>
      <c r="AV194" s="46">
        <f>IF($C$19="Annual",$D$19-SUM(E196:AU196),IF(AND(44&gt;=$E$19,44&lt;=$F$19),$D$19,0))</f>
        <v/>
      </c>
      <c r="AW194" s="46">
        <f>IF($C$19="Annual",$D$19-SUM(E196:AV196),IF(AND(45&gt;=$E$19,45&lt;=$F$19),$D$19,0))</f>
        <v/>
      </c>
      <c r="AX194" s="46">
        <f>IF($C$19="Annual",$D$19-SUM(E196:AW196),IF(AND(46&gt;=$E$19,46&lt;=$F$19),$D$19,0))</f>
        <v/>
      </c>
      <c r="AY194" s="46">
        <f>IF($C$19="Annual",$D$19-SUM(E196:AX196),IF(AND(47&gt;=$E$19,47&lt;=$F$19),$D$19,0))</f>
        <v/>
      </c>
      <c r="AZ194" s="46">
        <f>IF($C$19="Annual",$D$19-SUM(E196:AY196),IF(AND(48&gt;=$E$19,48&lt;=$F$19),$D$19,0))</f>
        <v/>
      </c>
      <c r="BA194" s="46">
        <f>IF($C$19="Annual",$D$19-SUM(E196:AZ196),IF(AND(49&gt;=$E$19,49&lt;=$F$19),$D$19,0))</f>
        <v/>
      </c>
      <c r="BB194" s="46">
        <f>IF($C$19="Annual",$D$19-SUM(E196:BA196),IF(AND(50&gt;=$E$19,50&lt;=$F$19),$D$19,0))</f>
        <v/>
      </c>
      <c r="BC194" s="46">
        <f>IF($C$19="Annual",$D$19-SUM(E196:BB196),IF(AND(51&gt;=$E$19,51&lt;=$F$19),$D$19,0))</f>
        <v/>
      </c>
      <c r="BD194" s="46">
        <f>IF($C$19="Annual",$D$19-SUM(E196:BC196),IF(AND(52&gt;=$E$19,52&lt;=$F$19),$D$19,0))</f>
        <v/>
      </c>
    </row>
    <row r="195">
      <c r="A195" s="24" t="inlineStr">
        <is>
          <t>Farmers Market — OFFERED</t>
        </is>
      </c>
      <c r="B195" s="2" t="inlineStr">
        <is>
          <t>lb  &lt;-- SOLVER</t>
        </is>
      </c>
      <c r="E195" s="43" t="n">
        <v>0</v>
      </c>
      <c r="F195" s="43" t="n">
        <v>0</v>
      </c>
      <c r="G195" s="43" t="n">
        <v>0</v>
      </c>
      <c r="H195" s="43" t="n">
        <v>0</v>
      </c>
      <c r="I195" s="43" t="n">
        <v>0</v>
      </c>
      <c r="J195" s="43" t="n">
        <v>0</v>
      </c>
      <c r="K195" s="43" t="n">
        <v>0</v>
      </c>
      <c r="L195" s="43" t="n">
        <v>0</v>
      </c>
      <c r="M195" s="43" t="n">
        <v>0</v>
      </c>
      <c r="N195" s="43" t="n">
        <v>0</v>
      </c>
      <c r="O195" s="43" t="n">
        <v>0</v>
      </c>
      <c r="P195" s="43" t="n">
        <v>0</v>
      </c>
      <c r="Q195" s="43" t="n">
        <v>0</v>
      </c>
      <c r="R195" s="43" t="n">
        <v>0</v>
      </c>
      <c r="S195" s="43" t="n">
        <v>0</v>
      </c>
      <c r="T195" s="43" t="n">
        <v>0</v>
      </c>
      <c r="U195" s="43" t="n">
        <v>0</v>
      </c>
      <c r="V195" s="43" t="n">
        <v>0</v>
      </c>
      <c r="W195" s="43" t="n">
        <v>0</v>
      </c>
      <c r="X195" s="43" t="n">
        <v>0</v>
      </c>
      <c r="Y195" s="43" t="n">
        <v>0</v>
      </c>
      <c r="Z195" s="43" t="n">
        <v>0</v>
      </c>
      <c r="AA195" s="43" t="n">
        <v>0</v>
      </c>
      <c r="AB195" s="43" t="n">
        <v>0</v>
      </c>
      <c r="AC195" s="43" t="n">
        <v>0</v>
      </c>
      <c r="AD195" s="43" t="n">
        <v>0</v>
      </c>
      <c r="AE195" s="43" t="n">
        <v>0</v>
      </c>
      <c r="AF195" s="43" t="n">
        <v>0</v>
      </c>
      <c r="AG195" s="43" t="n">
        <v>0</v>
      </c>
      <c r="AH195" s="43" t="n">
        <v>0</v>
      </c>
      <c r="AI195" s="43" t="n">
        <v>0</v>
      </c>
      <c r="AJ195" s="43" t="n">
        <v>0</v>
      </c>
      <c r="AK195" s="43" t="n">
        <v>0</v>
      </c>
      <c r="AL195" s="43" t="n">
        <v>0</v>
      </c>
      <c r="AM195" s="43" t="n">
        <v>0</v>
      </c>
      <c r="AN195" s="43" t="n">
        <v>0</v>
      </c>
      <c r="AO195" s="43" t="n">
        <v>0</v>
      </c>
      <c r="AP195" s="43" t="n">
        <v>0</v>
      </c>
      <c r="AQ195" s="43" t="n">
        <v>0</v>
      </c>
      <c r="AR195" s="43" t="n">
        <v>0</v>
      </c>
      <c r="AS195" s="43" t="n">
        <v>0</v>
      </c>
      <c r="AT195" s="43" t="n">
        <v>0</v>
      </c>
      <c r="AU195" s="43" t="n">
        <v>0</v>
      </c>
      <c r="AV195" s="43" t="n">
        <v>0</v>
      </c>
      <c r="AW195" s="43" t="n">
        <v>0</v>
      </c>
      <c r="AX195" s="43" t="n">
        <v>0</v>
      </c>
      <c r="AY195" s="43" t="n">
        <v>0</v>
      </c>
      <c r="AZ195" s="43" t="n">
        <v>0</v>
      </c>
      <c r="BA195" s="43" t="n">
        <v>0</v>
      </c>
      <c r="BB195" s="43" t="n">
        <v>0</v>
      </c>
      <c r="BC195" s="43" t="n">
        <v>0</v>
      </c>
      <c r="BD195" s="43" t="n">
        <v>0</v>
      </c>
    </row>
    <row r="196">
      <c r="A196" s="47" t="inlineStr">
        <is>
          <t>Farmers Market — SOLD</t>
        </is>
      </c>
      <c r="B196" s="2" t="inlineStr">
        <is>
          <t>lb</t>
        </is>
      </c>
      <c r="E196" s="46">
        <f>E195*$G$19</f>
        <v/>
      </c>
      <c r="F196" s="46">
        <f>F195*$G$19</f>
        <v/>
      </c>
      <c r="G196" s="46">
        <f>G195*$G$19</f>
        <v/>
      </c>
      <c r="H196" s="46">
        <f>H195*$G$19</f>
        <v/>
      </c>
      <c r="I196" s="46">
        <f>I195*$G$19</f>
        <v/>
      </c>
      <c r="J196" s="46">
        <f>J195*$G$19</f>
        <v/>
      </c>
      <c r="K196" s="46">
        <f>K195*$G$19</f>
        <v/>
      </c>
      <c r="L196" s="46">
        <f>L195*$G$19</f>
        <v/>
      </c>
      <c r="M196" s="46">
        <f>M195*$G$19</f>
        <v/>
      </c>
      <c r="N196" s="46">
        <f>N195*$G$19</f>
        <v/>
      </c>
      <c r="O196" s="46">
        <f>O195*$G$19</f>
        <v/>
      </c>
      <c r="P196" s="46">
        <f>P195*$G$19</f>
        <v/>
      </c>
      <c r="Q196" s="46">
        <f>Q195*$G$19</f>
        <v/>
      </c>
      <c r="R196" s="46">
        <f>R195*$G$19</f>
        <v/>
      </c>
      <c r="S196" s="46">
        <f>S195*$G$19</f>
        <v/>
      </c>
      <c r="T196" s="46">
        <f>T195*$G$19</f>
        <v/>
      </c>
      <c r="U196" s="46">
        <f>U195*$G$19</f>
        <v/>
      </c>
      <c r="V196" s="46">
        <f>V195*$G$19</f>
        <v/>
      </c>
      <c r="W196" s="46">
        <f>W195*$G$19</f>
        <v/>
      </c>
      <c r="X196" s="46">
        <f>X195*$G$19</f>
        <v/>
      </c>
      <c r="Y196" s="46">
        <f>Y195*$G$19</f>
        <v/>
      </c>
      <c r="Z196" s="46">
        <f>Z195*$G$19</f>
        <v/>
      </c>
      <c r="AA196" s="46">
        <f>AA195*$G$19</f>
        <v/>
      </c>
      <c r="AB196" s="46">
        <f>AB195*$G$19</f>
        <v/>
      </c>
      <c r="AC196" s="46">
        <f>AC195*$G$19</f>
        <v/>
      </c>
      <c r="AD196" s="46">
        <f>AD195*$G$19</f>
        <v/>
      </c>
      <c r="AE196" s="46">
        <f>AE195*$G$19</f>
        <v/>
      </c>
      <c r="AF196" s="46">
        <f>AF195*$G$19</f>
        <v/>
      </c>
      <c r="AG196" s="46">
        <f>AG195*$G$19</f>
        <v/>
      </c>
      <c r="AH196" s="46">
        <f>AH195*$G$19</f>
        <v/>
      </c>
      <c r="AI196" s="46">
        <f>AI195*$G$19</f>
        <v/>
      </c>
      <c r="AJ196" s="46">
        <f>AJ195*$G$19</f>
        <v/>
      </c>
      <c r="AK196" s="46">
        <f>AK195*$G$19</f>
        <v/>
      </c>
      <c r="AL196" s="46">
        <f>AL195*$G$19</f>
        <v/>
      </c>
      <c r="AM196" s="46">
        <f>AM195*$G$19</f>
        <v/>
      </c>
      <c r="AN196" s="46">
        <f>AN195*$G$19</f>
        <v/>
      </c>
      <c r="AO196" s="46">
        <f>AO195*$G$19</f>
        <v/>
      </c>
      <c r="AP196" s="46">
        <f>AP195*$G$19</f>
        <v/>
      </c>
      <c r="AQ196" s="46">
        <f>AQ195*$G$19</f>
        <v/>
      </c>
      <c r="AR196" s="46">
        <f>AR195*$G$19</f>
        <v/>
      </c>
      <c r="AS196" s="46">
        <f>AS195*$G$19</f>
        <v/>
      </c>
      <c r="AT196" s="46">
        <f>AT195*$G$19</f>
        <v/>
      </c>
      <c r="AU196" s="46">
        <f>AU195*$G$19</f>
        <v/>
      </c>
      <c r="AV196" s="46">
        <f>AV195*$G$19</f>
        <v/>
      </c>
      <c r="AW196" s="46">
        <f>AW195*$G$19</f>
        <v/>
      </c>
      <c r="AX196" s="46">
        <f>AX195*$G$19</f>
        <v/>
      </c>
      <c r="AY196" s="46">
        <f>AY195*$G$19</f>
        <v/>
      </c>
      <c r="AZ196" s="46">
        <f>AZ195*$G$19</f>
        <v/>
      </c>
      <c r="BA196" s="46">
        <f>BA195*$G$19</f>
        <v/>
      </c>
      <c r="BB196" s="46">
        <f>BB195*$G$19</f>
        <v/>
      </c>
      <c r="BC196" s="46">
        <f>BC195*$G$19</f>
        <v/>
      </c>
      <c r="BD196" s="46">
        <f>BD195*$G$19</f>
        <v/>
      </c>
    </row>
    <row r="197">
      <c r="A197" s="26" t="inlineStr">
        <is>
          <t xml:space="preserve">   market loss (gone)</t>
        </is>
      </c>
      <c r="B197" s="2" t="inlineStr">
        <is>
          <t>lb</t>
        </is>
      </c>
      <c r="E197" s="42">
        <f>(E195-E196)*(1-$H$19)</f>
        <v/>
      </c>
      <c r="F197" s="42">
        <f>(F195-F196)*(1-$H$19)</f>
        <v/>
      </c>
      <c r="G197" s="42">
        <f>(G195-G196)*(1-$H$19)</f>
        <v/>
      </c>
      <c r="H197" s="42">
        <f>(H195-H196)*(1-$H$19)</f>
        <v/>
      </c>
      <c r="I197" s="42">
        <f>(I195-I196)*(1-$H$19)</f>
        <v/>
      </c>
      <c r="J197" s="42">
        <f>(J195-J196)*(1-$H$19)</f>
        <v/>
      </c>
      <c r="K197" s="42">
        <f>(K195-K196)*(1-$H$19)</f>
        <v/>
      </c>
      <c r="L197" s="42">
        <f>(L195-L196)*(1-$H$19)</f>
        <v/>
      </c>
      <c r="M197" s="42">
        <f>(M195-M196)*(1-$H$19)</f>
        <v/>
      </c>
      <c r="N197" s="42">
        <f>(N195-N196)*(1-$H$19)</f>
        <v/>
      </c>
      <c r="O197" s="42">
        <f>(O195-O196)*(1-$H$19)</f>
        <v/>
      </c>
      <c r="P197" s="42">
        <f>(P195-P196)*(1-$H$19)</f>
        <v/>
      </c>
      <c r="Q197" s="42">
        <f>(Q195-Q196)*(1-$H$19)</f>
        <v/>
      </c>
      <c r="R197" s="42">
        <f>(R195-R196)*(1-$H$19)</f>
        <v/>
      </c>
      <c r="S197" s="42">
        <f>(S195-S196)*(1-$H$19)</f>
        <v/>
      </c>
      <c r="T197" s="42">
        <f>(T195-T196)*(1-$H$19)</f>
        <v/>
      </c>
      <c r="U197" s="42">
        <f>(U195-U196)*(1-$H$19)</f>
        <v/>
      </c>
      <c r="V197" s="42">
        <f>(V195-V196)*(1-$H$19)</f>
        <v/>
      </c>
      <c r="W197" s="42">
        <f>(W195-W196)*(1-$H$19)</f>
        <v/>
      </c>
      <c r="X197" s="42">
        <f>(X195-X196)*(1-$H$19)</f>
        <v/>
      </c>
      <c r="Y197" s="42">
        <f>(Y195-Y196)*(1-$H$19)</f>
        <v/>
      </c>
      <c r="Z197" s="42">
        <f>(Z195-Z196)*(1-$H$19)</f>
        <v/>
      </c>
      <c r="AA197" s="42">
        <f>(AA195-AA196)*(1-$H$19)</f>
        <v/>
      </c>
      <c r="AB197" s="42">
        <f>(AB195-AB196)*(1-$H$19)</f>
        <v/>
      </c>
      <c r="AC197" s="42">
        <f>(AC195-AC196)*(1-$H$19)</f>
        <v/>
      </c>
      <c r="AD197" s="42">
        <f>(AD195-AD196)*(1-$H$19)</f>
        <v/>
      </c>
      <c r="AE197" s="42">
        <f>(AE195-AE196)*(1-$H$19)</f>
        <v/>
      </c>
      <c r="AF197" s="42">
        <f>(AF195-AF196)*(1-$H$19)</f>
        <v/>
      </c>
      <c r="AG197" s="42">
        <f>(AG195-AG196)*(1-$H$19)</f>
        <v/>
      </c>
      <c r="AH197" s="42">
        <f>(AH195-AH196)*(1-$H$19)</f>
        <v/>
      </c>
      <c r="AI197" s="42">
        <f>(AI195-AI196)*(1-$H$19)</f>
        <v/>
      </c>
      <c r="AJ197" s="42">
        <f>(AJ195-AJ196)*(1-$H$19)</f>
        <v/>
      </c>
      <c r="AK197" s="42">
        <f>(AK195-AK196)*(1-$H$19)</f>
        <v/>
      </c>
      <c r="AL197" s="42">
        <f>(AL195-AL196)*(1-$H$19)</f>
        <v/>
      </c>
      <c r="AM197" s="42">
        <f>(AM195-AM196)*(1-$H$19)</f>
        <v/>
      </c>
      <c r="AN197" s="42">
        <f>(AN195-AN196)*(1-$H$19)</f>
        <v/>
      </c>
      <c r="AO197" s="42">
        <f>(AO195-AO196)*(1-$H$19)</f>
        <v/>
      </c>
      <c r="AP197" s="42">
        <f>(AP195-AP196)*(1-$H$19)</f>
        <v/>
      </c>
      <c r="AQ197" s="42">
        <f>(AQ195-AQ196)*(1-$H$19)</f>
        <v/>
      </c>
      <c r="AR197" s="42">
        <f>(AR195-AR196)*(1-$H$19)</f>
        <v/>
      </c>
      <c r="AS197" s="42">
        <f>(AS195-AS196)*(1-$H$19)</f>
        <v/>
      </c>
      <c r="AT197" s="42">
        <f>(AT195-AT196)*(1-$H$19)</f>
        <v/>
      </c>
      <c r="AU197" s="42">
        <f>(AU195-AU196)*(1-$H$19)</f>
        <v/>
      </c>
      <c r="AV197" s="42">
        <f>(AV195-AV196)*(1-$H$19)</f>
        <v/>
      </c>
      <c r="AW197" s="42">
        <f>(AW195-AW196)*(1-$H$19)</f>
        <v/>
      </c>
      <c r="AX197" s="42">
        <f>(AX195-AX196)*(1-$H$19)</f>
        <v/>
      </c>
      <c r="AY197" s="42">
        <f>(AY195-AY196)*(1-$H$19)</f>
        <v/>
      </c>
      <c r="AZ197" s="42">
        <f>(AZ195-AZ196)*(1-$H$19)</f>
        <v/>
      </c>
      <c r="BA197" s="42">
        <f>(BA195-BA196)*(1-$H$19)</f>
        <v/>
      </c>
      <c r="BB197" s="42">
        <f>(BB195-BB196)*(1-$H$19)</f>
        <v/>
      </c>
      <c r="BC197" s="42">
        <f>(BC195-BC196)*(1-$H$19)</f>
        <v/>
      </c>
      <c r="BD197" s="42">
        <f>(BD195-BD196)*(1-$H$19)</f>
        <v/>
      </c>
    </row>
    <row r="198">
      <c r="A198" s="26" t="inlineStr">
        <is>
          <t xml:space="preserve">   returned to store</t>
        </is>
      </c>
      <c r="B198" s="2" t="inlineStr">
        <is>
          <t>lb</t>
        </is>
      </c>
      <c r="E198" s="42">
        <f>(E195-E196)*$H$19</f>
        <v/>
      </c>
      <c r="F198" s="42">
        <f>(F195-F196)*$H$19</f>
        <v/>
      </c>
      <c r="G198" s="42">
        <f>(G195-G196)*$H$19</f>
        <v/>
      </c>
      <c r="H198" s="42">
        <f>(H195-H196)*$H$19</f>
        <v/>
      </c>
      <c r="I198" s="42">
        <f>(I195-I196)*$H$19</f>
        <v/>
      </c>
      <c r="J198" s="42">
        <f>(J195-J196)*$H$19</f>
        <v/>
      </c>
      <c r="K198" s="42">
        <f>(K195-K196)*$H$19</f>
        <v/>
      </c>
      <c r="L198" s="42">
        <f>(L195-L196)*$H$19</f>
        <v/>
      </c>
      <c r="M198" s="42">
        <f>(M195-M196)*$H$19</f>
        <v/>
      </c>
      <c r="N198" s="42">
        <f>(N195-N196)*$H$19</f>
        <v/>
      </c>
      <c r="O198" s="42">
        <f>(O195-O196)*$H$19</f>
        <v/>
      </c>
      <c r="P198" s="42">
        <f>(P195-P196)*$H$19</f>
        <v/>
      </c>
      <c r="Q198" s="42">
        <f>(Q195-Q196)*$H$19</f>
        <v/>
      </c>
      <c r="R198" s="42">
        <f>(R195-R196)*$H$19</f>
        <v/>
      </c>
      <c r="S198" s="42">
        <f>(S195-S196)*$H$19</f>
        <v/>
      </c>
      <c r="T198" s="42">
        <f>(T195-T196)*$H$19</f>
        <v/>
      </c>
      <c r="U198" s="42">
        <f>(U195-U196)*$H$19</f>
        <v/>
      </c>
      <c r="V198" s="42">
        <f>(V195-V196)*$H$19</f>
        <v/>
      </c>
      <c r="W198" s="42">
        <f>(W195-W196)*$H$19</f>
        <v/>
      </c>
      <c r="X198" s="42">
        <f>(X195-X196)*$H$19</f>
        <v/>
      </c>
      <c r="Y198" s="42">
        <f>(Y195-Y196)*$H$19</f>
        <v/>
      </c>
      <c r="Z198" s="42">
        <f>(Z195-Z196)*$H$19</f>
        <v/>
      </c>
      <c r="AA198" s="42">
        <f>(AA195-AA196)*$H$19</f>
        <v/>
      </c>
      <c r="AB198" s="42">
        <f>(AB195-AB196)*$H$19</f>
        <v/>
      </c>
      <c r="AC198" s="42">
        <f>(AC195-AC196)*$H$19</f>
        <v/>
      </c>
      <c r="AD198" s="42">
        <f>(AD195-AD196)*$H$19</f>
        <v/>
      </c>
      <c r="AE198" s="42">
        <f>(AE195-AE196)*$H$19</f>
        <v/>
      </c>
      <c r="AF198" s="42">
        <f>(AF195-AF196)*$H$19</f>
        <v/>
      </c>
      <c r="AG198" s="42">
        <f>(AG195-AG196)*$H$19</f>
        <v/>
      </c>
      <c r="AH198" s="42">
        <f>(AH195-AH196)*$H$19</f>
        <v/>
      </c>
      <c r="AI198" s="42">
        <f>(AI195-AI196)*$H$19</f>
        <v/>
      </c>
      <c r="AJ198" s="42">
        <f>(AJ195-AJ196)*$H$19</f>
        <v/>
      </c>
      <c r="AK198" s="42">
        <f>(AK195-AK196)*$H$19</f>
        <v/>
      </c>
      <c r="AL198" s="42">
        <f>(AL195-AL196)*$H$19</f>
        <v/>
      </c>
      <c r="AM198" s="42">
        <f>(AM195-AM196)*$H$19</f>
        <v/>
      </c>
      <c r="AN198" s="42">
        <f>(AN195-AN196)*$H$19</f>
        <v/>
      </c>
      <c r="AO198" s="42">
        <f>(AO195-AO196)*$H$19</f>
        <v/>
      </c>
      <c r="AP198" s="42">
        <f>(AP195-AP196)*$H$19</f>
        <v/>
      </c>
      <c r="AQ198" s="42">
        <f>(AQ195-AQ196)*$H$19</f>
        <v/>
      </c>
      <c r="AR198" s="42">
        <f>(AR195-AR196)*$H$19</f>
        <v/>
      </c>
      <c r="AS198" s="42">
        <f>(AS195-AS196)*$H$19</f>
        <v/>
      </c>
      <c r="AT198" s="42">
        <f>(AT195-AT196)*$H$19</f>
        <v/>
      </c>
      <c r="AU198" s="42">
        <f>(AU195-AU196)*$H$19</f>
        <v/>
      </c>
      <c r="AV198" s="42">
        <f>(AV195-AV196)*$H$19</f>
        <v/>
      </c>
      <c r="AW198" s="42">
        <f>(AW195-AW196)*$H$19</f>
        <v/>
      </c>
      <c r="AX198" s="42">
        <f>(AX195-AX196)*$H$19</f>
        <v/>
      </c>
      <c r="AY198" s="42">
        <f>(AY195-AY196)*$H$19</f>
        <v/>
      </c>
      <c r="AZ198" s="42">
        <f>(AZ195-AZ196)*$H$19</f>
        <v/>
      </c>
      <c r="BA198" s="42">
        <f>(BA195-BA196)*$H$19</f>
        <v/>
      </c>
      <c r="BB198" s="42">
        <f>(BB195-BB196)*$H$19</f>
        <v/>
      </c>
      <c r="BC198" s="42">
        <f>(BC195-BC196)*$H$19</f>
        <v/>
      </c>
      <c r="BD198" s="42">
        <f>(BD195-BD196)*$H$19</f>
        <v/>
      </c>
    </row>
    <row r="199">
      <c r="A199" s="26" t="inlineStr">
        <is>
          <t xml:space="preserve">   leaves the store (offered - returned)</t>
        </is>
      </c>
      <c r="B199" s="2" t="inlineStr">
        <is>
          <t>lb</t>
        </is>
      </c>
      <c r="E199" s="42">
        <f>E195-E198</f>
        <v/>
      </c>
      <c r="F199" s="42">
        <f>F195-F198</f>
        <v/>
      </c>
      <c r="G199" s="42">
        <f>G195-G198</f>
        <v/>
      </c>
      <c r="H199" s="42">
        <f>H195-H198</f>
        <v/>
      </c>
      <c r="I199" s="42">
        <f>I195-I198</f>
        <v/>
      </c>
      <c r="J199" s="42">
        <f>J195-J198</f>
        <v/>
      </c>
      <c r="K199" s="42">
        <f>K195-K198</f>
        <v/>
      </c>
      <c r="L199" s="42">
        <f>L195-L198</f>
        <v/>
      </c>
      <c r="M199" s="42">
        <f>M195-M198</f>
        <v/>
      </c>
      <c r="N199" s="42">
        <f>N195-N198</f>
        <v/>
      </c>
      <c r="O199" s="42">
        <f>O195-O198</f>
        <v/>
      </c>
      <c r="P199" s="42">
        <f>P195-P198</f>
        <v/>
      </c>
      <c r="Q199" s="42">
        <f>Q195-Q198</f>
        <v/>
      </c>
      <c r="R199" s="42">
        <f>R195-R198</f>
        <v/>
      </c>
      <c r="S199" s="42">
        <f>S195-S198</f>
        <v/>
      </c>
      <c r="T199" s="42">
        <f>T195-T198</f>
        <v/>
      </c>
      <c r="U199" s="42">
        <f>U195-U198</f>
        <v/>
      </c>
      <c r="V199" s="42">
        <f>V195-V198</f>
        <v/>
      </c>
      <c r="W199" s="42">
        <f>W195-W198</f>
        <v/>
      </c>
      <c r="X199" s="42">
        <f>X195-X198</f>
        <v/>
      </c>
      <c r="Y199" s="42">
        <f>Y195-Y198</f>
        <v/>
      </c>
      <c r="Z199" s="42">
        <f>Z195-Z198</f>
        <v/>
      </c>
      <c r="AA199" s="42">
        <f>AA195-AA198</f>
        <v/>
      </c>
      <c r="AB199" s="42">
        <f>AB195-AB198</f>
        <v/>
      </c>
      <c r="AC199" s="42">
        <f>AC195-AC198</f>
        <v/>
      </c>
      <c r="AD199" s="42">
        <f>AD195-AD198</f>
        <v/>
      </c>
      <c r="AE199" s="42">
        <f>AE195-AE198</f>
        <v/>
      </c>
      <c r="AF199" s="42">
        <f>AF195-AF198</f>
        <v/>
      </c>
      <c r="AG199" s="42">
        <f>AG195-AG198</f>
        <v/>
      </c>
      <c r="AH199" s="42">
        <f>AH195-AH198</f>
        <v/>
      </c>
      <c r="AI199" s="42">
        <f>AI195-AI198</f>
        <v/>
      </c>
      <c r="AJ199" s="42">
        <f>AJ195-AJ198</f>
        <v/>
      </c>
      <c r="AK199" s="42">
        <f>AK195-AK198</f>
        <v/>
      </c>
      <c r="AL199" s="42">
        <f>AL195-AL198</f>
        <v/>
      </c>
      <c r="AM199" s="42">
        <f>AM195-AM198</f>
        <v/>
      </c>
      <c r="AN199" s="42">
        <f>AN195-AN198</f>
        <v/>
      </c>
      <c r="AO199" s="42">
        <f>AO195-AO198</f>
        <v/>
      </c>
      <c r="AP199" s="42">
        <f>AP195-AP198</f>
        <v/>
      </c>
      <c r="AQ199" s="42">
        <f>AQ195-AQ198</f>
        <v/>
      </c>
      <c r="AR199" s="42">
        <f>AR195-AR198</f>
        <v/>
      </c>
      <c r="AS199" s="42">
        <f>AS195-AS198</f>
        <v/>
      </c>
      <c r="AT199" s="42">
        <f>AT195-AT198</f>
        <v/>
      </c>
      <c r="AU199" s="42">
        <f>AU195-AU198</f>
        <v/>
      </c>
      <c r="AV199" s="42">
        <f>AV195-AV198</f>
        <v/>
      </c>
      <c r="AW199" s="42">
        <f>AW195-AW198</f>
        <v/>
      </c>
      <c r="AX199" s="42">
        <f>AX195-AX198</f>
        <v/>
      </c>
      <c r="AY199" s="42">
        <f>AY195-AY198</f>
        <v/>
      </c>
      <c r="AZ199" s="42">
        <f>AZ195-AZ198</f>
        <v/>
      </c>
      <c r="BA199" s="42">
        <f>BA195-BA198</f>
        <v/>
      </c>
      <c r="BB199" s="42">
        <f>BB195-BB198</f>
        <v/>
      </c>
      <c r="BC199" s="42">
        <f>BC195-BC198</f>
        <v/>
      </c>
      <c r="BD199" s="42">
        <f>BD195-BD198</f>
        <v/>
      </c>
    </row>
    <row r="200">
      <c r="A200" s="28" t="inlineStr">
        <is>
          <t>Wholesale — most you may sell this week</t>
        </is>
      </c>
      <c r="B200" s="2" t="inlineStr">
        <is>
          <t>lb</t>
        </is>
      </c>
      <c r="E200" s="48">
        <f>IF($C$20="Annual",$D$20-0,IF(AND(1&gt;=$E$20,1&lt;=$F$20),$D$20,0))</f>
        <v/>
      </c>
      <c r="F200" s="48">
        <f>IF($C$20="Annual",$D$20-SUM(E202:E202),IF(AND(2&gt;=$E$20,2&lt;=$F$20),$D$20,0))</f>
        <v/>
      </c>
      <c r="G200" s="48">
        <f>IF($C$20="Annual",$D$20-SUM(E202:F202),IF(AND(3&gt;=$E$20,3&lt;=$F$20),$D$20,0))</f>
        <v/>
      </c>
      <c r="H200" s="48">
        <f>IF($C$20="Annual",$D$20-SUM(E202:G202),IF(AND(4&gt;=$E$20,4&lt;=$F$20),$D$20,0))</f>
        <v/>
      </c>
      <c r="I200" s="48">
        <f>IF($C$20="Annual",$D$20-SUM(E202:H202),IF(AND(5&gt;=$E$20,5&lt;=$F$20),$D$20,0))</f>
        <v/>
      </c>
      <c r="J200" s="48">
        <f>IF($C$20="Annual",$D$20-SUM(E202:I202),IF(AND(6&gt;=$E$20,6&lt;=$F$20),$D$20,0))</f>
        <v/>
      </c>
      <c r="K200" s="48">
        <f>IF($C$20="Annual",$D$20-SUM(E202:J202),IF(AND(7&gt;=$E$20,7&lt;=$F$20),$D$20,0))</f>
        <v/>
      </c>
      <c r="L200" s="48">
        <f>IF($C$20="Annual",$D$20-SUM(E202:K202),IF(AND(8&gt;=$E$20,8&lt;=$F$20),$D$20,0))</f>
        <v/>
      </c>
      <c r="M200" s="48">
        <f>IF($C$20="Annual",$D$20-SUM(E202:L202),IF(AND(9&gt;=$E$20,9&lt;=$F$20),$D$20,0))</f>
        <v/>
      </c>
      <c r="N200" s="48">
        <f>IF($C$20="Annual",$D$20-SUM(E202:M202),IF(AND(10&gt;=$E$20,10&lt;=$F$20),$D$20,0))</f>
        <v/>
      </c>
      <c r="O200" s="48">
        <f>IF($C$20="Annual",$D$20-SUM(E202:N202),IF(AND(11&gt;=$E$20,11&lt;=$F$20),$D$20,0))</f>
        <v/>
      </c>
      <c r="P200" s="48">
        <f>IF($C$20="Annual",$D$20-SUM(E202:O202),IF(AND(12&gt;=$E$20,12&lt;=$F$20),$D$20,0))</f>
        <v/>
      </c>
      <c r="Q200" s="48">
        <f>IF($C$20="Annual",$D$20-SUM(E202:P202),IF(AND(13&gt;=$E$20,13&lt;=$F$20),$D$20,0))</f>
        <v/>
      </c>
      <c r="R200" s="48">
        <f>IF($C$20="Annual",$D$20-SUM(E202:Q202),IF(AND(14&gt;=$E$20,14&lt;=$F$20),$D$20,0))</f>
        <v/>
      </c>
      <c r="S200" s="48">
        <f>IF($C$20="Annual",$D$20-SUM(E202:R202),IF(AND(15&gt;=$E$20,15&lt;=$F$20),$D$20,0))</f>
        <v/>
      </c>
      <c r="T200" s="48">
        <f>IF($C$20="Annual",$D$20-SUM(E202:S202),IF(AND(16&gt;=$E$20,16&lt;=$F$20),$D$20,0))</f>
        <v/>
      </c>
      <c r="U200" s="48">
        <f>IF($C$20="Annual",$D$20-SUM(E202:T202),IF(AND(17&gt;=$E$20,17&lt;=$F$20),$D$20,0))</f>
        <v/>
      </c>
      <c r="V200" s="48">
        <f>IF($C$20="Annual",$D$20-SUM(E202:U202),IF(AND(18&gt;=$E$20,18&lt;=$F$20),$D$20,0))</f>
        <v/>
      </c>
      <c r="W200" s="48">
        <f>IF($C$20="Annual",$D$20-SUM(E202:V202),IF(AND(19&gt;=$E$20,19&lt;=$F$20),$D$20,0))</f>
        <v/>
      </c>
      <c r="X200" s="48">
        <f>IF($C$20="Annual",$D$20-SUM(E202:W202),IF(AND(20&gt;=$E$20,20&lt;=$F$20),$D$20,0))</f>
        <v/>
      </c>
      <c r="Y200" s="48">
        <f>IF($C$20="Annual",$D$20-SUM(E202:X202),IF(AND(21&gt;=$E$20,21&lt;=$F$20),$D$20,0))</f>
        <v/>
      </c>
      <c r="Z200" s="48">
        <f>IF($C$20="Annual",$D$20-SUM(E202:Y202),IF(AND(22&gt;=$E$20,22&lt;=$F$20),$D$20,0))</f>
        <v/>
      </c>
      <c r="AA200" s="48">
        <f>IF($C$20="Annual",$D$20-SUM(E202:Z202),IF(AND(23&gt;=$E$20,23&lt;=$F$20),$D$20,0))</f>
        <v/>
      </c>
      <c r="AB200" s="48">
        <f>IF($C$20="Annual",$D$20-SUM(E202:AA202),IF(AND(24&gt;=$E$20,24&lt;=$F$20),$D$20,0))</f>
        <v/>
      </c>
      <c r="AC200" s="48">
        <f>IF($C$20="Annual",$D$20-SUM(E202:AB202),IF(AND(25&gt;=$E$20,25&lt;=$F$20),$D$20,0))</f>
        <v/>
      </c>
      <c r="AD200" s="48">
        <f>IF($C$20="Annual",$D$20-SUM(E202:AC202),IF(AND(26&gt;=$E$20,26&lt;=$F$20),$D$20,0))</f>
        <v/>
      </c>
      <c r="AE200" s="48">
        <f>IF($C$20="Annual",$D$20-SUM(E202:AD202),IF(AND(27&gt;=$E$20,27&lt;=$F$20),$D$20,0))</f>
        <v/>
      </c>
      <c r="AF200" s="48">
        <f>IF($C$20="Annual",$D$20-SUM(E202:AE202),IF(AND(28&gt;=$E$20,28&lt;=$F$20),$D$20,0))</f>
        <v/>
      </c>
      <c r="AG200" s="48">
        <f>IF($C$20="Annual",$D$20-SUM(E202:AF202),IF(AND(29&gt;=$E$20,29&lt;=$F$20),$D$20,0))</f>
        <v/>
      </c>
      <c r="AH200" s="48">
        <f>IF($C$20="Annual",$D$20-SUM(E202:AG202),IF(AND(30&gt;=$E$20,30&lt;=$F$20),$D$20,0))</f>
        <v/>
      </c>
      <c r="AI200" s="48">
        <f>IF($C$20="Annual",$D$20-SUM(E202:AH202),IF(AND(31&gt;=$E$20,31&lt;=$F$20),$D$20,0))</f>
        <v/>
      </c>
      <c r="AJ200" s="48">
        <f>IF($C$20="Annual",$D$20-SUM(E202:AI202),IF(AND(32&gt;=$E$20,32&lt;=$F$20),$D$20,0))</f>
        <v/>
      </c>
      <c r="AK200" s="48">
        <f>IF($C$20="Annual",$D$20-SUM(E202:AJ202),IF(AND(33&gt;=$E$20,33&lt;=$F$20),$D$20,0))</f>
        <v/>
      </c>
      <c r="AL200" s="48">
        <f>IF($C$20="Annual",$D$20-SUM(E202:AK202),IF(AND(34&gt;=$E$20,34&lt;=$F$20),$D$20,0))</f>
        <v/>
      </c>
      <c r="AM200" s="48">
        <f>IF($C$20="Annual",$D$20-SUM(E202:AL202),IF(AND(35&gt;=$E$20,35&lt;=$F$20),$D$20,0))</f>
        <v/>
      </c>
      <c r="AN200" s="48">
        <f>IF($C$20="Annual",$D$20-SUM(E202:AM202),IF(AND(36&gt;=$E$20,36&lt;=$F$20),$D$20,0))</f>
        <v/>
      </c>
      <c r="AO200" s="48">
        <f>IF($C$20="Annual",$D$20-SUM(E202:AN202),IF(AND(37&gt;=$E$20,37&lt;=$F$20),$D$20,0))</f>
        <v/>
      </c>
      <c r="AP200" s="48">
        <f>IF($C$20="Annual",$D$20-SUM(E202:AO202),IF(AND(38&gt;=$E$20,38&lt;=$F$20),$D$20,0))</f>
        <v/>
      </c>
      <c r="AQ200" s="48">
        <f>IF($C$20="Annual",$D$20-SUM(E202:AP202),IF(AND(39&gt;=$E$20,39&lt;=$F$20),$D$20,0))</f>
        <v/>
      </c>
      <c r="AR200" s="48">
        <f>IF($C$20="Annual",$D$20-SUM(E202:AQ202),IF(AND(40&gt;=$E$20,40&lt;=$F$20),$D$20,0))</f>
        <v/>
      </c>
      <c r="AS200" s="48">
        <f>IF($C$20="Annual",$D$20-SUM(E202:AR202),IF(AND(41&gt;=$E$20,41&lt;=$F$20),$D$20,0))</f>
        <v/>
      </c>
      <c r="AT200" s="48">
        <f>IF($C$20="Annual",$D$20-SUM(E202:AS202),IF(AND(42&gt;=$E$20,42&lt;=$F$20),$D$20,0))</f>
        <v/>
      </c>
      <c r="AU200" s="48">
        <f>IF($C$20="Annual",$D$20-SUM(E202:AT202),IF(AND(43&gt;=$E$20,43&lt;=$F$20),$D$20,0))</f>
        <v/>
      </c>
      <c r="AV200" s="48">
        <f>IF($C$20="Annual",$D$20-SUM(E202:AU202),IF(AND(44&gt;=$E$20,44&lt;=$F$20),$D$20,0))</f>
        <v/>
      </c>
      <c r="AW200" s="48">
        <f>IF($C$20="Annual",$D$20-SUM(E202:AV202),IF(AND(45&gt;=$E$20,45&lt;=$F$20),$D$20,0))</f>
        <v/>
      </c>
      <c r="AX200" s="48">
        <f>IF($C$20="Annual",$D$20-SUM(E202:AW202),IF(AND(46&gt;=$E$20,46&lt;=$F$20),$D$20,0))</f>
        <v/>
      </c>
      <c r="AY200" s="48">
        <f>IF($C$20="Annual",$D$20-SUM(E202:AX202),IF(AND(47&gt;=$E$20,47&lt;=$F$20),$D$20,0))</f>
        <v/>
      </c>
      <c r="AZ200" s="48">
        <f>IF($C$20="Annual",$D$20-SUM(E202:AY202),IF(AND(48&gt;=$E$20,48&lt;=$F$20),$D$20,0))</f>
        <v/>
      </c>
      <c r="BA200" s="48">
        <f>IF($C$20="Annual",$D$20-SUM(E202:AZ202),IF(AND(49&gt;=$E$20,49&lt;=$F$20),$D$20,0))</f>
        <v/>
      </c>
      <c r="BB200" s="48">
        <f>IF($C$20="Annual",$D$20-SUM(E202:BA202),IF(AND(50&gt;=$E$20,50&lt;=$F$20),$D$20,0))</f>
        <v/>
      </c>
      <c r="BC200" s="48">
        <f>IF($C$20="Annual",$D$20-SUM(E202:BB202),IF(AND(51&gt;=$E$20,51&lt;=$F$20),$D$20,0))</f>
        <v/>
      </c>
      <c r="BD200" s="48">
        <f>IF($C$20="Annual",$D$20-SUM(E202:BC202),IF(AND(52&gt;=$E$20,52&lt;=$F$20),$D$20,0))</f>
        <v/>
      </c>
    </row>
    <row r="201">
      <c r="A201" s="24" t="inlineStr">
        <is>
          <t>Wholesale — OFFERED</t>
        </is>
      </c>
      <c r="B201" s="2" t="inlineStr">
        <is>
          <t>lb  &lt;-- SOLVER</t>
        </is>
      </c>
      <c r="E201" s="43" t="n">
        <v>0</v>
      </c>
      <c r="F201" s="43" t="n">
        <v>0</v>
      </c>
      <c r="G201" s="43" t="n">
        <v>0</v>
      </c>
      <c r="H201" s="43" t="n">
        <v>0</v>
      </c>
      <c r="I201" s="43" t="n">
        <v>0</v>
      </c>
      <c r="J201" s="43" t="n">
        <v>0</v>
      </c>
      <c r="K201" s="43" t="n">
        <v>0</v>
      </c>
      <c r="L201" s="43" t="n">
        <v>0</v>
      </c>
      <c r="M201" s="43" t="n">
        <v>0</v>
      </c>
      <c r="N201" s="43" t="n">
        <v>0</v>
      </c>
      <c r="O201" s="43" t="n">
        <v>0</v>
      </c>
      <c r="P201" s="43" t="n">
        <v>0</v>
      </c>
      <c r="Q201" s="43" t="n">
        <v>0</v>
      </c>
      <c r="R201" s="43" t="n">
        <v>0</v>
      </c>
      <c r="S201" s="43" t="n">
        <v>0</v>
      </c>
      <c r="T201" s="43" t="n">
        <v>0</v>
      </c>
      <c r="U201" s="43" t="n">
        <v>0</v>
      </c>
      <c r="V201" s="43" t="n">
        <v>0</v>
      </c>
      <c r="W201" s="43" t="n">
        <v>0</v>
      </c>
      <c r="X201" s="43" t="n">
        <v>0</v>
      </c>
      <c r="Y201" s="43" t="n">
        <v>0</v>
      </c>
      <c r="Z201" s="43" t="n">
        <v>0</v>
      </c>
      <c r="AA201" s="43" t="n">
        <v>0</v>
      </c>
      <c r="AB201" s="43" t="n">
        <v>0</v>
      </c>
      <c r="AC201" s="43" t="n">
        <v>0</v>
      </c>
      <c r="AD201" s="43" t="n">
        <v>0</v>
      </c>
      <c r="AE201" s="43" t="n">
        <v>0</v>
      </c>
      <c r="AF201" s="43" t="n">
        <v>0</v>
      </c>
      <c r="AG201" s="43" t="n">
        <v>0</v>
      </c>
      <c r="AH201" s="43" t="n">
        <v>0</v>
      </c>
      <c r="AI201" s="43" t="n">
        <v>0</v>
      </c>
      <c r="AJ201" s="43" t="n">
        <v>0</v>
      </c>
      <c r="AK201" s="43" t="n">
        <v>0</v>
      </c>
      <c r="AL201" s="43" t="n">
        <v>0</v>
      </c>
      <c r="AM201" s="43" t="n">
        <v>0</v>
      </c>
      <c r="AN201" s="43" t="n">
        <v>0</v>
      </c>
      <c r="AO201" s="43" t="n">
        <v>0</v>
      </c>
      <c r="AP201" s="43" t="n">
        <v>0</v>
      </c>
      <c r="AQ201" s="43" t="n">
        <v>0</v>
      </c>
      <c r="AR201" s="43" t="n">
        <v>0</v>
      </c>
      <c r="AS201" s="43" t="n">
        <v>0</v>
      </c>
      <c r="AT201" s="43" t="n">
        <v>0</v>
      </c>
      <c r="AU201" s="43" t="n">
        <v>0</v>
      </c>
      <c r="AV201" s="43" t="n">
        <v>0</v>
      </c>
      <c r="AW201" s="43" t="n">
        <v>0</v>
      </c>
      <c r="AX201" s="43" t="n">
        <v>0</v>
      </c>
      <c r="AY201" s="43" t="n">
        <v>0</v>
      </c>
      <c r="AZ201" s="43" t="n">
        <v>0</v>
      </c>
      <c r="BA201" s="43" t="n">
        <v>0</v>
      </c>
      <c r="BB201" s="43" t="n">
        <v>0</v>
      </c>
      <c r="BC201" s="43" t="n">
        <v>0</v>
      </c>
      <c r="BD201" s="43" t="n">
        <v>0</v>
      </c>
    </row>
    <row r="202">
      <c r="A202" s="49" t="inlineStr">
        <is>
          <t>Wholesale — SOLD</t>
        </is>
      </c>
      <c r="B202" s="2" t="inlineStr">
        <is>
          <t>lb</t>
        </is>
      </c>
      <c r="E202" s="48">
        <f>E201*$G$20</f>
        <v/>
      </c>
      <c r="F202" s="48">
        <f>F201*$G$20</f>
        <v/>
      </c>
      <c r="G202" s="48">
        <f>G201*$G$20</f>
        <v/>
      </c>
      <c r="H202" s="48">
        <f>H201*$G$20</f>
        <v/>
      </c>
      <c r="I202" s="48">
        <f>I201*$G$20</f>
        <v/>
      </c>
      <c r="J202" s="48">
        <f>J201*$G$20</f>
        <v/>
      </c>
      <c r="K202" s="48">
        <f>K201*$G$20</f>
        <v/>
      </c>
      <c r="L202" s="48">
        <f>L201*$G$20</f>
        <v/>
      </c>
      <c r="M202" s="48">
        <f>M201*$G$20</f>
        <v/>
      </c>
      <c r="N202" s="48">
        <f>N201*$G$20</f>
        <v/>
      </c>
      <c r="O202" s="48">
        <f>O201*$G$20</f>
        <v/>
      </c>
      <c r="P202" s="48">
        <f>P201*$G$20</f>
        <v/>
      </c>
      <c r="Q202" s="48">
        <f>Q201*$G$20</f>
        <v/>
      </c>
      <c r="R202" s="48">
        <f>R201*$G$20</f>
        <v/>
      </c>
      <c r="S202" s="48">
        <f>S201*$G$20</f>
        <v/>
      </c>
      <c r="T202" s="48">
        <f>T201*$G$20</f>
        <v/>
      </c>
      <c r="U202" s="48">
        <f>U201*$G$20</f>
        <v/>
      </c>
      <c r="V202" s="48">
        <f>V201*$G$20</f>
        <v/>
      </c>
      <c r="W202" s="48">
        <f>W201*$G$20</f>
        <v/>
      </c>
      <c r="X202" s="48">
        <f>X201*$G$20</f>
        <v/>
      </c>
      <c r="Y202" s="48">
        <f>Y201*$G$20</f>
        <v/>
      </c>
      <c r="Z202" s="48">
        <f>Z201*$G$20</f>
        <v/>
      </c>
      <c r="AA202" s="48">
        <f>AA201*$G$20</f>
        <v/>
      </c>
      <c r="AB202" s="48">
        <f>AB201*$G$20</f>
        <v/>
      </c>
      <c r="AC202" s="48">
        <f>AC201*$G$20</f>
        <v/>
      </c>
      <c r="AD202" s="48">
        <f>AD201*$G$20</f>
        <v/>
      </c>
      <c r="AE202" s="48">
        <f>AE201*$G$20</f>
        <v/>
      </c>
      <c r="AF202" s="48">
        <f>AF201*$G$20</f>
        <v/>
      </c>
      <c r="AG202" s="48">
        <f>AG201*$G$20</f>
        <v/>
      </c>
      <c r="AH202" s="48">
        <f>AH201*$G$20</f>
        <v/>
      </c>
      <c r="AI202" s="48">
        <f>AI201*$G$20</f>
        <v/>
      </c>
      <c r="AJ202" s="48">
        <f>AJ201*$G$20</f>
        <v/>
      </c>
      <c r="AK202" s="48">
        <f>AK201*$G$20</f>
        <v/>
      </c>
      <c r="AL202" s="48">
        <f>AL201*$G$20</f>
        <v/>
      </c>
      <c r="AM202" s="48">
        <f>AM201*$G$20</f>
        <v/>
      </c>
      <c r="AN202" s="48">
        <f>AN201*$G$20</f>
        <v/>
      </c>
      <c r="AO202" s="48">
        <f>AO201*$G$20</f>
        <v/>
      </c>
      <c r="AP202" s="48">
        <f>AP201*$G$20</f>
        <v/>
      </c>
      <c r="AQ202" s="48">
        <f>AQ201*$G$20</f>
        <v/>
      </c>
      <c r="AR202" s="48">
        <f>AR201*$G$20</f>
        <v/>
      </c>
      <c r="AS202" s="48">
        <f>AS201*$G$20</f>
        <v/>
      </c>
      <c r="AT202" s="48">
        <f>AT201*$G$20</f>
        <v/>
      </c>
      <c r="AU202" s="48">
        <f>AU201*$G$20</f>
        <v/>
      </c>
      <c r="AV202" s="48">
        <f>AV201*$G$20</f>
        <v/>
      </c>
      <c r="AW202" s="48">
        <f>AW201*$G$20</f>
        <v/>
      </c>
      <c r="AX202" s="48">
        <f>AX201*$G$20</f>
        <v/>
      </c>
      <c r="AY202" s="48">
        <f>AY201*$G$20</f>
        <v/>
      </c>
      <c r="AZ202" s="48">
        <f>AZ201*$G$20</f>
        <v/>
      </c>
      <c r="BA202" s="48">
        <f>BA201*$G$20</f>
        <v/>
      </c>
      <c r="BB202" s="48">
        <f>BB201*$G$20</f>
        <v/>
      </c>
      <c r="BC202" s="48">
        <f>BC201*$G$20</f>
        <v/>
      </c>
      <c r="BD202" s="48">
        <f>BD201*$G$20</f>
        <v/>
      </c>
    </row>
    <row r="203">
      <c r="A203" s="26" t="inlineStr">
        <is>
          <t xml:space="preserve">   market loss (gone)</t>
        </is>
      </c>
      <c r="B203" s="2" t="inlineStr">
        <is>
          <t>lb</t>
        </is>
      </c>
      <c r="E203" s="42">
        <f>(E201-E202)*(1-$H$20)</f>
        <v/>
      </c>
      <c r="F203" s="42">
        <f>(F201-F202)*(1-$H$20)</f>
        <v/>
      </c>
      <c r="G203" s="42">
        <f>(G201-G202)*(1-$H$20)</f>
        <v/>
      </c>
      <c r="H203" s="42">
        <f>(H201-H202)*(1-$H$20)</f>
        <v/>
      </c>
      <c r="I203" s="42">
        <f>(I201-I202)*(1-$H$20)</f>
        <v/>
      </c>
      <c r="J203" s="42">
        <f>(J201-J202)*(1-$H$20)</f>
        <v/>
      </c>
      <c r="K203" s="42">
        <f>(K201-K202)*(1-$H$20)</f>
        <v/>
      </c>
      <c r="L203" s="42">
        <f>(L201-L202)*(1-$H$20)</f>
        <v/>
      </c>
      <c r="M203" s="42">
        <f>(M201-M202)*(1-$H$20)</f>
        <v/>
      </c>
      <c r="N203" s="42">
        <f>(N201-N202)*(1-$H$20)</f>
        <v/>
      </c>
      <c r="O203" s="42">
        <f>(O201-O202)*(1-$H$20)</f>
        <v/>
      </c>
      <c r="P203" s="42">
        <f>(P201-P202)*(1-$H$20)</f>
        <v/>
      </c>
      <c r="Q203" s="42">
        <f>(Q201-Q202)*(1-$H$20)</f>
        <v/>
      </c>
      <c r="R203" s="42">
        <f>(R201-R202)*(1-$H$20)</f>
        <v/>
      </c>
      <c r="S203" s="42">
        <f>(S201-S202)*(1-$H$20)</f>
        <v/>
      </c>
      <c r="T203" s="42">
        <f>(T201-T202)*(1-$H$20)</f>
        <v/>
      </c>
      <c r="U203" s="42">
        <f>(U201-U202)*(1-$H$20)</f>
        <v/>
      </c>
      <c r="V203" s="42">
        <f>(V201-V202)*(1-$H$20)</f>
        <v/>
      </c>
      <c r="W203" s="42">
        <f>(W201-W202)*(1-$H$20)</f>
        <v/>
      </c>
      <c r="X203" s="42">
        <f>(X201-X202)*(1-$H$20)</f>
        <v/>
      </c>
      <c r="Y203" s="42">
        <f>(Y201-Y202)*(1-$H$20)</f>
        <v/>
      </c>
      <c r="Z203" s="42">
        <f>(Z201-Z202)*(1-$H$20)</f>
        <v/>
      </c>
      <c r="AA203" s="42">
        <f>(AA201-AA202)*(1-$H$20)</f>
        <v/>
      </c>
      <c r="AB203" s="42">
        <f>(AB201-AB202)*(1-$H$20)</f>
        <v/>
      </c>
      <c r="AC203" s="42">
        <f>(AC201-AC202)*(1-$H$20)</f>
        <v/>
      </c>
      <c r="AD203" s="42">
        <f>(AD201-AD202)*(1-$H$20)</f>
        <v/>
      </c>
      <c r="AE203" s="42">
        <f>(AE201-AE202)*(1-$H$20)</f>
        <v/>
      </c>
      <c r="AF203" s="42">
        <f>(AF201-AF202)*(1-$H$20)</f>
        <v/>
      </c>
      <c r="AG203" s="42">
        <f>(AG201-AG202)*(1-$H$20)</f>
        <v/>
      </c>
      <c r="AH203" s="42">
        <f>(AH201-AH202)*(1-$H$20)</f>
        <v/>
      </c>
      <c r="AI203" s="42">
        <f>(AI201-AI202)*(1-$H$20)</f>
        <v/>
      </c>
      <c r="AJ203" s="42">
        <f>(AJ201-AJ202)*(1-$H$20)</f>
        <v/>
      </c>
      <c r="AK203" s="42">
        <f>(AK201-AK202)*(1-$H$20)</f>
        <v/>
      </c>
      <c r="AL203" s="42">
        <f>(AL201-AL202)*(1-$H$20)</f>
        <v/>
      </c>
      <c r="AM203" s="42">
        <f>(AM201-AM202)*(1-$H$20)</f>
        <v/>
      </c>
      <c r="AN203" s="42">
        <f>(AN201-AN202)*(1-$H$20)</f>
        <v/>
      </c>
      <c r="AO203" s="42">
        <f>(AO201-AO202)*(1-$H$20)</f>
        <v/>
      </c>
      <c r="AP203" s="42">
        <f>(AP201-AP202)*(1-$H$20)</f>
        <v/>
      </c>
      <c r="AQ203" s="42">
        <f>(AQ201-AQ202)*(1-$H$20)</f>
        <v/>
      </c>
      <c r="AR203" s="42">
        <f>(AR201-AR202)*(1-$H$20)</f>
        <v/>
      </c>
      <c r="AS203" s="42">
        <f>(AS201-AS202)*(1-$H$20)</f>
        <v/>
      </c>
      <c r="AT203" s="42">
        <f>(AT201-AT202)*(1-$H$20)</f>
        <v/>
      </c>
      <c r="AU203" s="42">
        <f>(AU201-AU202)*(1-$H$20)</f>
        <v/>
      </c>
      <c r="AV203" s="42">
        <f>(AV201-AV202)*(1-$H$20)</f>
        <v/>
      </c>
      <c r="AW203" s="42">
        <f>(AW201-AW202)*(1-$H$20)</f>
        <v/>
      </c>
      <c r="AX203" s="42">
        <f>(AX201-AX202)*(1-$H$20)</f>
        <v/>
      </c>
      <c r="AY203" s="42">
        <f>(AY201-AY202)*(1-$H$20)</f>
        <v/>
      </c>
      <c r="AZ203" s="42">
        <f>(AZ201-AZ202)*(1-$H$20)</f>
        <v/>
      </c>
      <c r="BA203" s="42">
        <f>(BA201-BA202)*(1-$H$20)</f>
        <v/>
      </c>
      <c r="BB203" s="42">
        <f>(BB201-BB202)*(1-$H$20)</f>
        <v/>
      </c>
      <c r="BC203" s="42">
        <f>(BC201-BC202)*(1-$H$20)</f>
        <v/>
      </c>
      <c r="BD203" s="42">
        <f>(BD201-BD202)*(1-$H$20)</f>
        <v/>
      </c>
    </row>
    <row r="204">
      <c r="A204" s="26" t="inlineStr">
        <is>
          <t xml:space="preserve">   returned to store</t>
        </is>
      </c>
      <c r="B204" s="2" t="inlineStr">
        <is>
          <t>lb</t>
        </is>
      </c>
      <c r="E204" s="42">
        <f>(E201-E202)*$H$20</f>
        <v/>
      </c>
      <c r="F204" s="42">
        <f>(F201-F202)*$H$20</f>
        <v/>
      </c>
      <c r="G204" s="42">
        <f>(G201-G202)*$H$20</f>
        <v/>
      </c>
      <c r="H204" s="42">
        <f>(H201-H202)*$H$20</f>
        <v/>
      </c>
      <c r="I204" s="42">
        <f>(I201-I202)*$H$20</f>
        <v/>
      </c>
      <c r="J204" s="42">
        <f>(J201-J202)*$H$20</f>
        <v/>
      </c>
      <c r="K204" s="42">
        <f>(K201-K202)*$H$20</f>
        <v/>
      </c>
      <c r="L204" s="42">
        <f>(L201-L202)*$H$20</f>
        <v/>
      </c>
      <c r="M204" s="42">
        <f>(M201-M202)*$H$20</f>
        <v/>
      </c>
      <c r="N204" s="42">
        <f>(N201-N202)*$H$20</f>
        <v/>
      </c>
      <c r="O204" s="42">
        <f>(O201-O202)*$H$20</f>
        <v/>
      </c>
      <c r="P204" s="42">
        <f>(P201-P202)*$H$20</f>
        <v/>
      </c>
      <c r="Q204" s="42">
        <f>(Q201-Q202)*$H$20</f>
        <v/>
      </c>
      <c r="R204" s="42">
        <f>(R201-R202)*$H$20</f>
        <v/>
      </c>
      <c r="S204" s="42">
        <f>(S201-S202)*$H$20</f>
        <v/>
      </c>
      <c r="T204" s="42">
        <f>(T201-T202)*$H$20</f>
        <v/>
      </c>
      <c r="U204" s="42">
        <f>(U201-U202)*$H$20</f>
        <v/>
      </c>
      <c r="V204" s="42">
        <f>(V201-V202)*$H$20</f>
        <v/>
      </c>
      <c r="W204" s="42">
        <f>(W201-W202)*$H$20</f>
        <v/>
      </c>
      <c r="X204" s="42">
        <f>(X201-X202)*$H$20</f>
        <v/>
      </c>
      <c r="Y204" s="42">
        <f>(Y201-Y202)*$H$20</f>
        <v/>
      </c>
      <c r="Z204" s="42">
        <f>(Z201-Z202)*$H$20</f>
        <v/>
      </c>
      <c r="AA204" s="42">
        <f>(AA201-AA202)*$H$20</f>
        <v/>
      </c>
      <c r="AB204" s="42">
        <f>(AB201-AB202)*$H$20</f>
        <v/>
      </c>
      <c r="AC204" s="42">
        <f>(AC201-AC202)*$H$20</f>
        <v/>
      </c>
      <c r="AD204" s="42">
        <f>(AD201-AD202)*$H$20</f>
        <v/>
      </c>
      <c r="AE204" s="42">
        <f>(AE201-AE202)*$H$20</f>
        <v/>
      </c>
      <c r="AF204" s="42">
        <f>(AF201-AF202)*$H$20</f>
        <v/>
      </c>
      <c r="AG204" s="42">
        <f>(AG201-AG202)*$H$20</f>
        <v/>
      </c>
      <c r="AH204" s="42">
        <f>(AH201-AH202)*$H$20</f>
        <v/>
      </c>
      <c r="AI204" s="42">
        <f>(AI201-AI202)*$H$20</f>
        <v/>
      </c>
      <c r="AJ204" s="42">
        <f>(AJ201-AJ202)*$H$20</f>
        <v/>
      </c>
      <c r="AK204" s="42">
        <f>(AK201-AK202)*$H$20</f>
        <v/>
      </c>
      <c r="AL204" s="42">
        <f>(AL201-AL202)*$H$20</f>
        <v/>
      </c>
      <c r="AM204" s="42">
        <f>(AM201-AM202)*$H$20</f>
        <v/>
      </c>
      <c r="AN204" s="42">
        <f>(AN201-AN202)*$H$20</f>
        <v/>
      </c>
      <c r="AO204" s="42">
        <f>(AO201-AO202)*$H$20</f>
        <v/>
      </c>
      <c r="AP204" s="42">
        <f>(AP201-AP202)*$H$20</f>
        <v/>
      </c>
      <c r="AQ204" s="42">
        <f>(AQ201-AQ202)*$H$20</f>
        <v/>
      </c>
      <c r="AR204" s="42">
        <f>(AR201-AR202)*$H$20</f>
        <v/>
      </c>
      <c r="AS204" s="42">
        <f>(AS201-AS202)*$H$20</f>
        <v/>
      </c>
      <c r="AT204" s="42">
        <f>(AT201-AT202)*$H$20</f>
        <v/>
      </c>
      <c r="AU204" s="42">
        <f>(AU201-AU202)*$H$20</f>
        <v/>
      </c>
      <c r="AV204" s="42">
        <f>(AV201-AV202)*$H$20</f>
        <v/>
      </c>
      <c r="AW204" s="42">
        <f>(AW201-AW202)*$H$20</f>
        <v/>
      </c>
      <c r="AX204" s="42">
        <f>(AX201-AX202)*$H$20</f>
        <v/>
      </c>
      <c r="AY204" s="42">
        <f>(AY201-AY202)*$H$20</f>
        <v/>
      </c>
      <c r="AZ204" s="42">
        <f>(AZ201-AZ202)*$H$20</f>
        <v/>
      </c>
      <c r="BA204" s="42">
        <f>(BA201-BA202)*$H$20</f>
        <v/>
      </c>
      <c r="BB204" s="42">
        <f>(BB201-BB202)*$H$20</f>
        <v/>
      </c>
      <c r="BC204" s="42">
        <f>(BC201-BC202)*$H$20</f>
        <v/>
      </c>
      <c r="BD204" s="42">
        <f>(BD201-BD202)*$H$20</f>
        <v/>
      </c>
    </row>
    <row r="205">
      <c r="A205" s="26" t="inlineStr">
        <is>
          <t xml:space="preserve">   leaves the store (offered - returned)</t>
        </is>
      </c>
      <c r="B205" s="2" t="inlineStr">
        <is>
          <t>lb</t>
        </is>
      </c>
      <c r="E205" s="42">
        <f>E201-E204</f>
        <v/>
      </c>
      <c r="F205" s="42">
        <f>F201-F204</f>
        <v/>
      </c>
      <c r="G205" s="42">
        <f>G201-G204</f>
        <v/>
      </c>
      <c r="H205" s="42">
        <f>H201-H204</f>
        <v/>
      </c>
      <c r="I205" s="42">
        <f>I201-I204</f>
        <v/>
      </c>
      <c r="J205" s="42">
        <f>J201-J204</f>
        <v/>
      </c>
      <c r="K205" s="42">
        <f>K201-K204</f>
        <v/>
      </c>
      <c r="L205" s="42">
        <f>L201-L204</f>
        <v/>
      </c>
      <c r="M205" s="42">
        <f>M201-M204</f>
        <v/>
      </c>
      <c r="N205" s="42">
        <f>N201-N204</f>
        <v/>
      </c>
      <c r="O205" s="42">
        <f>O201-O204</f>
        <v/>
      </c>
      <c r="P205" s="42">
        <f>P201-P204</f>
        <v/>
      </c>
      <c r="Q205" s="42">
        <f>Q201-Q204</f>
        <v/>
      </c>
      <c r="R205" s="42">
        <f>R201-R204</f>
        <v/>
      </c>
      <c r="S205" s="42">
        <f>S201-S204</f>
        <v/>
      </c>
      <c r="T205" s="42">
        <f>T201-T204</f>
        <v/>
      </c>
      <c r="U205" s="42">
        <f>U201-U204</f>
        <v/>
      </c>
      <c r="V205" s="42">
        <f>V201-V204</f>
        <v/>
      </c>
      <c r="W205" s="42">
        <f>W201-W204</f>
        <v/>
      </c>
      <c r="X205" s="42">
        <f>X201-X204</f>
        <v/>
      </c>
      <c r="Y205" s="42">
        <f>Y201-Y204</f>
        <v/>
      </c>
      <c r="Z205" s="42">
        <f>Z201-Z204</f>
        <v/>
      </c>
      <c r="AA205" s="42">
        <f>AA201-AA204</f>
        <v/>
      </c>
      <c r="AB205" s="42">
        <f>AB201-AB204</f>
        <v/>
      </c>
      <c r="AC205" s="42">
        <f>AC201-AC204</f>
        <v/>
      </c>
      <c r="AD205" s="42">
        <f>AD201-AD204</f>
        <v/>
      </c>
      <c r="AE205" s="42">
        <f>AE201-AE204</f>
        <v/>
      </c>
      <c r="AF205" s="42">
        <f>AF201-AF204</f>
        <v/>
      </c>
      <c r="AG205" s="42">
        <f>AG201-AG204</f>
        <v/>
      </c>
      <c r="AH205" s="42">
        <f>AH201-AH204</f>
        <v/>
      </c>
      <c r="AI205" s="42">
        <f>AI201-AI204</f>
        <v/>
      </c>
      <c r="AJ205" s="42">
        <f>AJ201-AJ204</f>
        <v/>
      </c>
      <c r="AK205" s="42">
        <f>AK201-AK204</f>
        <v/>
      </c>
      <c r="AL205" s="42">
        <f>AL201-AL204</f>
        <v/>
      </c>
      <c r="AM205" s="42">
        <f>AM201-AM204</f>
        <v/>
      </c>
      <c r="AN205" s="42">
        <f>AN201-AN204</f>
        <v/>
      </c>
      <c r="AO205" s="42">
        <f>AO201-AO204</f>
        <v/>
      </c>
      <c r="AP205" s="42">
        <f>AP201-AP204</f>
        <v/>
      </c>
      <c r="AQ205" s="42">
        <f>AQ201-AQ204</f>
        <v/>
      </c>
      <c r="AR205" s="42">
        <f>AR201-AR204</f>
        <v/>
      </c>
      <c r="AS205" s="42">
        <f>AS201-AS204</f>
        <v/>
      </c>
      <c r="AT205" s="42">
        <f>AT201-AT204</f>
        <v/>
      </c>
      <c r="AU205" s="42">
        <f>AU201-AU204</f>
        <v/>
      </c>
      <c r="AV205" s="42">
        <f>AV201-AV204</f>
        <v/>
      </c>
      <c r="AW205" s="42">
        <f>AW201-AW204</f>
        <v/>
      </c>
      <c r="AX205" s="42">
        <f>AX201-AX204</f>
        <v/>
      </c>
      <c r="AY205" s="42">
        <f>AY201-AY204</f>
        <v/>
      </c>
      <c r="AZ205" s="42">
        <f>AZ201-AZ204</f>
        <v/>
      </c>
      <c r="BA205" s="42">
        <f>BA201-BA204</f>
        <v/>
      </c>
      <c r="BB205" s="42">
        <f>BB201-BB204</f>
        <v/>
      </c>
      <c r="BC205" s="42">
        <f>BC201-BC204</f>
        <v/>
      </c>
      <c r="BD205" s="42">
        <f>BD201-BD204</f>
        <v/>
      </c>
    </row>
    <row r="206">
      <c r="A206" s="39" t="inlineStr">
        <is>
          <t>Stock carried out</t>
        </is>
      </c>
      <c r="B206" s="2" t="inlineStr">
        <is>
          <t>lb</t>
        </is>
      </c>
      <c r="E206" s="42">
        <f>E193-E199-E205</f>
        <v/>
      </c>
      <c r="F206" s="42">
        <f>F193-F199-F205</f>
        <v/>
      </c>
      <c r="G206" s="42">
        <f>G193-G199-G205</f>
        <v/>
      </c>
      <c r="H206" s="42">
        <f>H193-H199-H205</f>
        <v/>
      </c>
      <c r="I206" s="42">
        <f>I193-I199-I205</f>
        <v/>
      </c>
      <c r="J206" s="42">
        <f>J193-J199-J205</f>
        <v/>
      </c>
      <c r="K206" s="42">
        <f>K193-K199-K205</f>
        <v/>
      </c>
      <c r="L206" s="42">
        <f>L193-L199-L205</f>
        <v/>
      </c>
      <c r="M206" s="42">
        <f>M193-M199-M205</f>
        <v/>
      </c>
      <c r="N206" s="42">
        <f>N193-N199-N205</f>
        <v/>
      </c>
      <c r="O206" s="42">
        <f>O193-O199-O205</f>
        <v/>
      </c>
      <c r="P206" s="42">
        <f>P193-P199-P205</f>
        <v/>
      </c>
      <c r="Q206" s="42">
        <f>Q193-Q199-Q205</f>
        <v/>
      </c>
      <c r="R206" s="42">
        <f>R193-R199-R205</f>
        <v/>
      </c>
      <c r="S206" s="42">
        <f>S193-S199-S205</f>
        <v/>
      </c>
      <c r="T206" s="42">
        <f>T193-T199-T205</f>
        <v/>
      </c>
      <c r="U206" s="42">
        <f>U193-U199-U205</f>
        <v/>
      </c>
      <c r="V206" s="42">
        <f>V193-V199-V205</f>
        <v/>
      </c>
      <c r="W206" s="42">
        <f>W193-W199-W205</f>
        <v/>
      </c>
      <c r="X206" s="42">
        <f>X193-X199-X205</f>
        <v/>
      </c>
      <c r="Y206" s="42">
        <f>Y193-Y199-Y205</f>
        <v/>
      </c>
      <c r="Z206" s="42">
        <f>Z193-Z199-Z205</f>
        <v/>
      </c>
      <c r="AA206" s="42">
        <f>AA193-AA199-AA205</f>
        <v/>
      </c>
      <c r="AB206" s="42">
        <f>AB193-AB199-AB205</f>
        <v/>
      </c>
      <c r="AC206" s="42">
        <f>AC193-AC199-AC205</f>
        <v/>
      </c>
      <c r="AD206" s="42">
        <f>AD193-AD199-AD205</f>
        <v/>
      </c>
      <c r="AE206" s="42">
        <f>AE193-AE199-AE205</f>
        <v/>
      </c>
      <c r="AF206" s="42">
        <f>AF193-AF199-AF205</f>
        <v/>
      </c>
      <c r="AG206" s="42">
        <f>AG193-AG199-AG205</f>
        <v/>
      </c>
      <c r="AH206" s="42">
        <f>AH193-AH199-AH205</f>
        <v/>
      </c>
      <c r="AI206" s="42">
        <f>AI193-AI199-AI205</f>
        <v/>
      </c>
      <c r="AJ206" s="42">
        <f>AJ193-AJ199-AJ205</f>
        <v/>
      </c>
      <c r="AK206" s="42">
        <f>AK193-AK199-AK205</f>
        <v/>
      </c>
      <c r="AL206" s="42">
        <f>AL193-AL199-AL205</f>
        <v/>
      </c>
      <c r="AM206" s="42">
        <f>AM193-AM199-AM205</f>
        <v/>
      </c>
      <c r="AN206" s="42">
        <f>AN193-AN199-AN205</f>
        <v/>
      </c>
      <c r="AO206" s="42">
        <f>AO193-AO199-AO205</f>
        <v/>
      </c>
      <c r="AP206" s="42">
        <f>AP193-AP199-AP205</f>
        <v/>
      </c>
      <c r="AQ206" s="42">
        <f>AQ193-AQ199-AQ205</f>
        <v/>
      </c>
      <c r="AR206" s="42">
        <f>AR193-AR199-AR205</f>
        <v/>
      </c>
      <c r="AS206" s="42">
        <f>AS193-AS199-AS205</f>
        <v/>
      </c>
      <c r="AT206" s="42">
        <f>AT193-AT199-AT205</f>
        <v/>
      </c>
      <c r="AU206" s="42">
        <f>AU193-AU199-AU205</f>
        <v/>
      </c>
      <c r="AV206" s="42">
        <f>AV193-AV199-AV205</f>
        <v/>
      </c>
      <c r="AW206" s="42">
        <f>AW193-AW199-AW205</f>
        <v/>
      </c>
      <c r="AX206" s="42">
        <f>AX193-AX199-AX205</f>
        <v/>
      </c>
      <c r="AY206" s="42">
        <f>AY193-AY199-AY205</f>
        <v/>
      </c>
      <c r="AZ206" s="42">
        <f>AZ193-AZ199-AZ205</f>
        <v/>
      </c>
      <c r="BA206" s="42">
        <f>BA193-BA199-BA205</f>
        <v/>
      </c>
      <c r="BB206" s="42">
        <f>BB193-BB199-BB205</f>
        <v/>
      </c>
      <c r="BC206" s="42">
        <f>BC193-BC199-BC205</f>
        <v/>
      </c>
      <c r="BD206" s="42">
        <f>BD193-BD199-BD205</f>
        <v/>
      </c>
    </row>
    <row r="207">
      <c r="A207" s="2" t="inlineStr">
        <is>
          <t xml:space="preserve">   ^ subtracts what LEAVES, not what was offered — so 'returned to store' is</t>
        </is>
      </c>
    </row>
    <row r="208">
      <c r="A208" s="2" t="inlineStr">
        <is>
          <t xml:space="preserve">     never taken out at all, and shows up as next week's carried in.</t>
        </is>
      </c>
    </row>
    <row r="209">
      <c r="A209" s="28" t="inlineStr">
        <is>
          <t>Most stock its shelf life allows</t>
        </is>
      </c>
      <c r="B209" s="2" t="inlineStr">
        <is>
          <t>lb</t>
        </is>
      </c>
      <c r="E209" s="44">
        <f>SUMPRODUCT(($E$189:$BD$189&gt;=1-$F$12+2)*($E$189:$BD$189&lt;=1)*$E$190:$BD$190*POWER(1-$G$12,($E$189:$BD$189&lt;=1)*(1-$E$189:$BD$189)))</f>
        <v/>
      </c>
      <c r="F209" s="44">
        <f>SUMPRODUCT(($E$189:$BD$189&gt;=2-$F$12+2)*($E$189:$BD$189&lt;=2)*$E$190:$BD$190*POWER(1-$G$12,($E$189:$BD$189&lt;=2)*(2-$E$189:$BD$189)))</f>
        <v/>
      </c>
      <c r="G209" s="44">
        <f>SUMPRODUCT(($E$189:$BD$189&gt;=3-$F$12+2)*($E$189:$BD$189&lt;=3)*$E$190:$BD$190*POWER(1-$G$12,($E$189:$BD$189&lt;=3)*(3-$E$189:$BD$189)))</f>
        <v/>
      </c>
      <c r="H209" s="44">
        <f>SUMPRODUCT(($E$189:$BD$189&gt;=4-$F$12+2)*($E$189:$BD$189&lt;=4)*$E$190:$BD$190*POWER(1-$G$12,($E$189:$BD$189&lt;=4)*(4-$E$189:$BD$189)))</f>
        <v/>
      </c>
      <c r="I209" s="44">
        <f>SUMPRODUCT(($E$189:$BD$189&gt;=5-$F$12+2)*($E$189:$BD$189&lt;=5)*$E$190:$BD$190*POWER(1-$G$12,($E$189:$BD$189&lt;=5)*(5-$E$189:$BD$189)))</f>
        <v/>
      </c>
      <c r="J209" s="44">
        <f>SUMPRODUCT(($E$189:$BD$189&gt;=6-$F$12+2)*($E$189:$BD$189&lt;=6)*$E$190:$BD$190*POWER(1-$G$12,($E$189:$BD$189&lt;=6)*(6-$E$189:$BD$189)))</f>
        <v/>
      </c>
      <c r="K209" s="44">
        <f>SUMPRODUCT(($E$189:$BD$189&gt;=7-$F$12+2)*($E$189:$BD$189&lt;=7)*$E$190:$BD$190*POWER(1-$G$12,($E$189:$BD$189&lt;=7)*(7-$E$189:$BD$189)))</f>
        <v/>
      </c>
      <c r="L209" s="44">
        <f>SUMPRODUCT(($E$189:$BD$189&gt;=8-$F$12+2)*($E$189:$BD$189&lt;=8)*$E$190:$BD$190*POWER(1-$G$12,($E$189:$BD$189&lt;=8)*(8-$E$189:$BD$189)))</f>
        <v/>
      </c>
      <c r="M209" s="44">
        <f>SUMPRODUCT(($E$189:$BD$189&gt;=9-$F$12+2)*($E$189:$BD$189&lt;=9)*$E$190:$BD$190*POWER(1-$G$12,($E$189:$BD$189&lt;=9)*(9-$E$189:$BD$189)))</f>
        <v/>
      </c>
      <c r="N209" s="44">
        <f>SUMPRODUCT(($E$189:$BD$189&gt;=10-$F$12+2)*($E$189:$BD$189&lt;=10)*$E$190:$BD$190*POWER(1-$G$12,($E$189:$BD$189&lt;=10)*(10-$E$189:$BD$189)))</f>
        <v/>
      </c>
      <c r="O209" s="44">
        <f>SUMPRODUCT(($E$189:$BD$189&gt;=11-$F$12+2)*($E$189:$BD$189&lt;=11)*$E$190:$BD$190*POWER(1-$G$12,($E$189:$BD$189&lt;=11)*(11-$E$189:$BD$189)))</f>
        <v/>
      </c>
      <c r="P209" s="44">
        <f>SUMPRODUCT(($E$189:$BD$189&gt;=12-$F$12+2)*($E$189:$BD$189&lt;=12)*$E$190:$BD$190*POWER(1-$G$12,($E$189:$BD$189&lt;=12)*(12-$E$189:$BD$189)))</f>
        <v/>
      </c>
      <c r="Q209" s="44">
        <f>SUMPRODUCT(($E$189:$BD$189&gt;=13-$F$12+2)*($E$189:$BD$189&lt;=13)*$E$190:$BD$190*POWER(1-$G$12,($E$189:$BD$189&lt;=13)*(13-$E$189:$BD$189)))</f>
        <v/>
      </c>
      <c r="R209" s="44">
        <f>SUMPRODUCT(($E$189:$BD$189&gt;=14-$F$12+2)*($E$189:$BD$189&lt;=14)*$E$190:$BD$190*POWER(1-$G$12,($E$189:$BD$189&lt;=14)*(14-$E$189:$BD$189)))</f>
        <v/>
      </c>
      <c r="S209" s="44">
        <f>SUMPRODUCT(($E$189:$BD$189&gt;=15-$F$12+2)*($E$189:$BD$189&lt;=15)*$E$190:$BD$190*POWER(1-$G$12,($E$189:$BD$189&lt;=15)*(15-$E$189:$BD$189)))</f>
        <v/>
      </c>
      <c r="T209" s="44">
        <f>SUMPRODUCT(($E$189:$BD$189&gt;=16-$F$12+2)*($E$189:$BD$189&lt;=16)*$E$190:$BD$190*POWER(1-$G$12,($E$189:$BD$189&lt;=16)*(16-$E$189:$BD$189)))</f>
        <v/>
      </c>
      <c r="U209" s="44">
        <f>SUMPRODUCT(($E$189:$BD$189&gt;=17-$F$12+2)*($E$189:$BD$189&lt;=17)*$E$190:$BD$190*POWER(1-$G$12,($E$189:$BD$189&lt;=17)*(17-$E$189:$BD$189)))</f>
        <v/>
      </c>
      <c r="V209" s="44">
        <f>SUMPRODUCT(($E$189:$BD$189&gt;=18-$F$12+2)*($E$189:$BD$189&lt;=18)*$E$190:$BD$190*POWER(1-$G$12,($E$189:$BD$189&lt;=18)*(18-$E$189:$BD$189)))</f>
        <v/>
      </c>
      <c r="W209" s="44">
        <f>SUMPRODUCT(($E$189:$BD$189&gt;=19-$F$12+2)*($E$189:$BD$189&lt;=19)*$E$190:$BD$190*POWER(1-$G$12,($E$189:$BD$189&lt;=19)*(19-$E$189:$BD$189)))</f>
        <v/>
      </c>
      <c r="X209" s="44">
        <f>SUMPRODUCT(($E$189:$BD$189&gt;=20-$F$12+2)*($E$189:$BD$189&lt;=20)*$E$190:$BD$190*POWER(1-$G$12,($E$189:$BD$189&lt;=20)*(20-$E$189:$BD$189)))</f>
        <v/>
      </c>
      <c r="Y209" s="44">
        <f>SUMPRODUCT(($E$189:$BD$189&gt;=21-$F$12+2)*($E$189:$BD$189&lt;=21)*$E$190:$BD$190*POWER(1-$G$12,($E$189:$BD$189&lt;=21)*(21-$E$189:$BD$189)))</f>
        <v/>
      </c>
      <c r="Z209" s="44">
        <f>SUMPRODUCT(($E$189:$BD$189&gt;=22-$F$12+2)*($E$189:$BD$189&lt;=22)*$E$190:$BD$190*POWER(1-$G$12,($E$189:$BD$189&lt;=22)*(22-$E$189:$BD$189)))</f>
        <v/>
      </c>
      <c r="AA209" s="44">
        <f>SUMPRODUCT(($E$189:$BD$189&gt;=23-$F$12+2)*($E$189:$BD$189&lt;=23)*$E$190:$BD$190*POWER(1-$G$12,($E$189:$BD$189&lt;=23)*(23-$E$189:$BD$189)))</f>
        <v/>
      </c>
      <c r="AB209" s="44">
        <f>SUMPRODUCT(($E$189:$BD$189&gt;=24-$F$12+2)*($E$189:$BD$189&lt;=24)*$E$190:$BD$190*POWER(1-$G$12,($E$189:$BD$189&lt;=24)*(24-$E$189:$BD$189)))</f>
        <v/>
      </c>
      <c r="AC209" s="44">
        <f>SUMPRODUCT(($E$189:$BD$189&gt;=25-$F$12+2)*($E$189:$BD$189&lt;=25)*$E$190:$BD$190*POWER(1-$G$12,($E$189:$BD$189&lt;=25)*(25-$E$189:$BD$189)))</f>
        <v/>
      </c>
      <c r="AD209" s="44">
        <f>SUMPRODUCT(($E$189:$BD$189&gt;=26-$F$12+2)*($E$189:$BD$189&lt;=26)*$E$190:$BD$190*POWER(1-$G$12,($E$189:$BD$189&lt;=26)*(26-$E$189:$BD$189)))</f>
        <v/>
      </c>
      <c r="AE209" s="44">
        <f>SUMPRODUCT(($E$189:$BD$189&gt;=27-$F$12+2)*($E$189:$BD$189&lt;=27)*$E$190:$BD$190*POWER(1-$G$12,($E$189:$BD$189&lt;=27)*(27-$E$189:$BD$189)))</f>
        <v/>
      </c>
      <c r="AF209" s="44">
        <f>SUMPRODUCT(($E$189:$BD$189&gt;=28-$F$12+2)*($E$189:$BD$189&lt;=28)*$E$190:$BD$190*POWER(1-$G$12,($E$189:$BD$189&lt;=28)*(28-$E$189:$BD$189)))</f>
        <v/>
      </c>
      <c r="AG209" s="44">
        <f>SUMPRODUCT(($E$189:$BD$189&gt;=29-$F$12+2)*($E$189:$BD$189&lt;=29)*$E$190:$BD$190*POWER(1-$G$12,($E$189:$BD$189&lt;=29)*(29-$E$189:$BD$189)))</f>
        <v/>
      </c>
      <c r="AH209" s="44">
        <f>SUMPRODUCT(($E$189:$BD$189&gt;=30-$F$12+2)*($E$189:$BD$189&lt;=30)*$E$190:$BD$190*POWER(1-$G$12,($E$189:$BD$189&lt;=30)*(30-$E$189:$BD$189)))</f>
        <v/>
      </c>
      <c r="AI209" s="44">
        <f>SUMPRODUCT(($E$189:$BD$189&gt;=31-$F$12+2)*($E$189:$BD$189&lt;=31)*$E$190:$BD$190*POWER(1-$G$12,($E$189:$BD$189&lt;=31)*(31-$E$189:$BD$189)))</f>
        <v/>
      </c>
      <c r="AJ209" s="44">
        <f>SUMPRODUCT(($E$189:$BD$189&gt;=32-$F$12+2)*($E$189:$BD$189&lt;=32)*$E$190:$BD$190*POWER(1-$G$12,($E$189:$BD$189&lt;=32)*(32-$E$189:$BD$189)))</f>
        <v/>
      </c>
      <c r="AK209" s="44">
        <f>SUMPRODUCT(($E$189:$BD$189&gt;=33-$F$12+2)*($E$189:$BD$189&lt;=33)*$E$190:$BD$190*POWER(1-$G$12,($E$189:$BD$189&lt;=33)*(33-$E$189:$BD$189)))</f>
        <v/>
      </c>
      <c r="AL209" s="44">
        <f>SUMPRODUCT(($E$189:$BD$189&gt;=34-$F$12+2)*($E$189:$BD$189&lt;=34)*$E$190:$BD$190*POWER(1-$G$12,($E$189:$BD$189&lt;=34)*(34-$E$189:$BD$189)))</f>
        <v/>
      </c>
      <c r="AM209" s="44">
        <f>SUMPRODUCT(($E$189:$BD$189&gt;=35-$F$12+2)*($E$189:$BD$189&lt;=35)*$E$190:$BD$190*POWER(1-$G$12,($E$189:$BD$189&lt;=35)*(35-$E$189:$BD$189)))</f>
        <v/>
      </c>
      <c r="AN209" s="44">
        <f>SUMPRODUCT(($E$189:$BD$189&gt;=36-$F$12+2)*($E$189:$BD$189&lt;=36)*$E$190:$BD$190*POWER(1-$G$12,($E$189:$BD$189&lt;=36)*(36-$E$189:$BD$189)))</f>
        <v/>
      </c>
      <c r="AO209" s="44">
        <f>SUMPRODUCT(($E$189:$BD$189&gt;=37-$F$12+2)*($E$189:$BD$189&lt;=37)*$E$190:$BD$190*POWER(1-$G$12,($E$189:$BD$189&lt;=37)*(37-$E$189:$BD$189)))</f>
        <v/>
      </c>
      <c r="AP209" s="44">
        <f>SUMPRODUCT(($E$189:$BD$189&gt;=38-$F$12+2)*($E$189:$BD$189&lt;=38)*$E$190:$BD$190*POWER(1-$G$12,($E$189:$BD$189&lt;=38)*(38-$E$189:$BD$189)))</f>
        <v/>
      </c>
      <c r="AQ209" s="44">
        <f>SUMPRODUCT(($E$189:$BD$189&gt;=39-$F$12+2)*($E$189:$BD$189&lt;=39)*$E$190:$BD$190*POWER(1-$G$12,($E$189:$BD$189&lt;=39)*(39-$E$189:$BD$189)))</f>
        <v/>
      </c>
      <c r="AR209" s="44">
        <f>SUMPRODUCT(($E$189:$BD$189&gt;=40-$F$12+2)*($E$189:$BD$189&lt;=40)*$E$190:$BD$190*POWER(1-$G$12,($E$189:$BD$189&lt;=40)*(40-$E$189:$BD$189)))</f>
        <v/>
      </c>
      <c r="AS209" s="44">
        <f>SUMPRODUCT(($E$189:$BD$189&gt;=41-$F$12+2)*($E$189:$BD$189&lt;=41)*$E$190:$BD$190*POWER(1-$G$12,($E$189:$BD$189&lt;=41)*(41-$E$189:$BD$189)))</f>
        <v/>
      </c>
      <c r="AT209" s="44">
        <f>SUMPRODUCT(($E$189:$BD$189&gt;=42-$F$12+2)*($E$189:$BD$189&lt;=42)*$E$190:$BD$190*POWER(1-$G$12,($E$189:$BD$189&lt;=42)*(42-$E$189:$BD$189)))</f>
        <v/>
      </c>
      <c r="AU209" s="44">
        <f>SUMPRODUCT(($E$189:$BD$189&gt;=43-$F$12+2)*($E$189:$BD$189&lt;=43)*$E$190:$BD$190*POWER(1-$G$12,($E$189:$BD$189&lt;=43)*(43-$E$189:$BD$189)))</f>
        <v/>
      </c>
      <c r="AV209" s="44">
        <f>SUMPRODUCT(($E$189:$BD$189&gt;=44-$F$12+2)*($E$189:$BD$189&lt;=44)*$E$190:$BD$190*POWER(1-$G$12,($E$189:$BD$189&lt;=44)*(44-$E$189:$BD$189)))</f>
        <v/>
      </c>
      <c r="AW209" s="44">
        <f>SUMPRODUCT(($E$189:$BD$189&gt;=45-$F$12+2)*($E$189:$BD$189&lt;=45)*$E$190:$BD$190*POWER(1-$G$12,($E$189:$BD$189&lt;=45)*(45-$E$189:$BD$189)))</f>
        <v/>
      </c>
      <c r="AX209" s="44">
        <f>SUMPRODUCT(($E$189:$BD$189&gt;=46-$F$12+2)*($E$189:$BD$189&lt;=46)*$E$190:$BD$190*POWER(1-$G$12,($E$189:$BD$189&lt;=46)*(46-$E$189:$BD$189)))</f>
        <v/>
      </c>
      <c r="AY209" s="44">
        <f>SUMPRODUCT(($E$189:$BD$189&gt;=47-$F$12+2)*($E$189:$BD$189&lt;=47)*$E$190:$BD$190*POWER(1-$G$12,($E$189:$BD$189&lt;=47)*(47-$E$189:$BD$189)))</f>
        <v/>
      </c>
      <c r="AZ209" s="44">
        <f>SUMPRODUCT(($E$189:$BD$189&gt;=48-$F$12+2)*($E$189:$BD$189&lt;=48)*$E$190:$BD$190*POWER(1-$G$12,($E$189:$BD$189&lt;=48)*(48-$E$189:$BD$189)))</f>
        <v/>
      </c>
      <c r="BA209" s="44">
        <f>SUMPRODUCT(($E$189:$BD$189&gt;=49-$F$12+2)*($E$189:$BD$189&lt;=49)*$E$190:$BD$190*POWER(1-$G$12,($E$189:$BD$189&lt;=49)*(49-$E$189:$BD$189)))</f>
        <v/>
      </c>
      <c r="BB209" s="44">
        <f>SUMPRODUCT(($E$189:$BD$189&gt;=50-$F$12+2)*($E$189:$BD$189&lt;=50)*$E$190:$BD$190*POWER(1-$G$12,($E$189:$BD$189&lt;=50)*(50-$E$189:$BD$189)))</f>
        <v/>
      </c>
      <c r="BC209" s="44">
        <f>SUMPRODUCT(($E$189:$BD$189&gt;=51-$F$12+2)*($E$189:$BD$189&lt;=51)*$E$190:$BD$190*POWER(1-$G$12,($E$189:$BD$189&lt;=51)*(51-$E$189:$BD$189)))</f>
        <v/>
      </c>
      <c r="BD209" s="44">
        <f>SUMPRODUCT(($E$189:$BD$189&gt;=52-$F$12+2)*($E$189:$BD$189&lt;=52)*$E$190:$BD$190*POWER(1-$G$12,($E$189:$BD$189&lt;=52)*(52-$E$189:$BD$189)))</f>
        <v/>
      </c>
    </row>
    <row r="210">
      <c r="A210" s="2" t="inlineStr">
        <is>
          <t xml:space="preserve">   Stock carried out must stay at or below this row.</t>
        </is>
      </c>
    </row>
    <row r="211">
      <c r="A211" s="26" t="inlineStr">
        <is>
          <t>Growing cost this week</t>
        </is>
      </c>
      <c r="B211" s="2" t="inlineStr">
        <is>
          <t>$</t>
        </is>
      </c>
      <c r="E211" s="42">
        <f>SUMPRODUCT(($B$62:$B$129="Spinach")*(E$62:E$129="P")*$C$62:$C$129)*$K$12+SUMPRODUCT(($B$62:$B$129="Spinach")*(E$62:E$129="G")*$C$62:$C$129)*$L$12+SUMPRODUCT(($B$62:$B$129="Spinach")*(E$62:E$129="H")*$C$62:$C$129)*$M$12+SUMPRODUCT(($B$62:$B$129="Spinach")*($BG$62:$BG$129=1)*$C$62:$C$129)*$H$12</f>
        <v/>
      </c>
      <c r="F211" s="42">
        <f>SUMPRODUCT(($B$62:$B$129="Spinach")*(F$62:F$129="P")*$C$62:$C$129)*$K$12+SUMPRODUCT(($B$62:$B$129="Spinach")*(F$62:F$129="G")*$C$62:$C$129)*$L$12+SUMPRODUCT(($B$62:$B$129="Spinach")*(F$62:F$129="H")*$C$62:$C$129)*$M$12+SUMPRODUCT(($B$62:$B$129="Spinach")*($BG$62:$BG$129=2)*$C$62:$C$129)*$H$12</f>
        <v/>
      </c>
      <c r="G211" s="42">
        <f>SUMPRODUCT(($B$62:$B$129="Spinach")*(G$62:G$129="P")*$C$62:$C$129)*$K$12+SUMPRODUCT(($B$62:$B$129="Spinach")*(G$62:G$129="G")*$C$62:$C$129)*$L$12+SUMPRODUCT(($B$62:$B$129="Spinach")*(G$62:G$129="H")*$C$62:$C$129)*$M$12+SUMPRODUCT(($B$62:$B$129="Spinach")*($BG$62:$BG$129=3)*$C$62:$C$129)*$H$12</f>
        <v/>
      </c>
      <c r="H211" s="42">
        <f>SUMPRODUCT(($B$62:$B$129="Spinach")*(H$62:H$129="P")*$C$62:$C$129)*$K$12+SUMPRODUCT(($B$62:$B$129="Spinach")*(H$62:H$129="G")*$C$62:$C$129)*$L$12+SUMPRODUCT(($B$62:$B$129="Spinach")*(H$62:H$129="H")*$C$62:$C$129)*$M$12+SUMPRODUCT(($B$62:$B$129="Spinach")*($BG$62:$BG$129=4)*$C$62:$C$129)*$H$12</f>
        <v/>
      </c>
      <c r="I211" s="42">
        <f>SUMPRODUCT(($B$62:$B$129="Spinach")*(I$62:I$129="P")*$C$62:$C$129)*$K$12+SUMPRODUCT(($B$62:$B$129="Spinach")*(I$62:I$129="G")*$C$62:$C$129)*$L$12+SUMPRODUCT(($B$62:$B$129="Spinach")*(I$62:I$129="H")*$C$62:$C$129)*$M$12+SUMPRODUCT(($B$62:$B$129="Spinach")*($BG$62:$BG$129=5)*$C$62:$C$129)*$H$12</f>
        <v/>
      </c>
      <c r="J211" s="42">
        <f>SUMPRODUCT(($B$62:$B$129="Spinach")*(J$62:J$129="P")*$C$62:$C$129)*$K$12+SUMPRODUCT(($B$62:$B$129="Spinach")*(J$62:J$129="G")*$C$62:$C$129)*$L$12+SUMPRODUCT(($B$62:$B$129="Spinach")*(J$62:J$129="H")*$C$62:$C$129)*$M$12+SUMPRODUCT(($B$62:$B$129="Spinach")*($BG$62:$BG$129=6)*$C$62:$C$129)*$H$12</f>
        <v/>
      </c>
      <c r="K211" s="42">
        <f>SUMPRODUCT(($B$62:$B$129="Spinach")*(K$62:K$129="P")*$C$62:$C$129)*$K$12+SUMPRODUCT(($B$62:$B$129="Spinach")*(K$62:K$129="G")*$C$62:$C$129)*$L$12+SUMPRODUCT(($B$62:$B$129="Spinach")*(K$62:K$129="H")*$C$62:$C$129)*$M$12+SUMPRODUCT(($B$62:$B$129="Spinach")*($BG$62:$BG$129=7)*$C$62:$C$129)*$H$12</f>
        <v/>
      </c>
      <c r="L211" s="42">
        <f>SUMPRODUCT(($B$62:$B$129="Spinach")*(L$62:L$129="P")*$C$62:$C$129)*$K$12+SUMPRODUCT(($B$62:$B$129="Spinach")*(L$62:L$129="G")*$C$62:$C$129)*$L$12+SUMPRODUCT(($B$62:$B$129="Spinach")*(L$62:L$129="H")*$C$62:$C$129)*$M$12+SUMPRODUCT(($B$62:$B$129="Spinach")*($BG$62:$BG$129=8)*$C$62:$C$129)*$H$12</f>
        <v/>
      </c>
      <c r="M211" s="42">
        <f>SUMPRODUCT(($B$62:$B$129="Spinach")*(M$62:M$129="P")*$C$62:$C$129)*$K$12+SUMPRODUCT(($B$62:$B$129="Spinach")*(M$62:M$129="G")*$C$62:$C$129)*$L$12+SUMPRODUCT(($B$62:$B$129="Spinach")*(M$62:M$129="H")*$C$62:$C$129)*$M$12+SUMPRODUCT(($B$62:$B$129="Spinach")*($BG$62:$BG$129=9)*$C$62:$C$129)*$H$12</f>
        <v/>
      </c>
      <c r="N211" s="42">
        <f>SUMPRODUCT(($B$62:$B$129="Spinach")*(N$62:N$129="P")*$C$62:$C$129)*$K$12+SUMPRODUCT(($B$62:$B$129="Spinach")*(N$62:N$129="G")*$C$62:$C$129)*$L$12+SUMPRODUCT(($B$62:$B$129="Spinach")*(N$62:N$129="H")*$C$62:$C$129)*$M$12+SUMPRODUCT(($B$62:$B$129="Spinach")*($BG$62:$BG$129=10)*$C$62:$C$129)*$H$12</f>
        <v/>
      </c>
      <c r="O211" s="42">
        <f>SUMPRODUCT(($B$62:$B$129="Spinach")*(O$62:O$129="P")*$C$62:$C$129)*$K$12+SUMPRODUCT(($B$62:$B$129="Spinach")*(O$62:O$129="G")*$C$62:$C$129)*$L$12+SUMPRODUCT(($B$62:$B$129="Spinach")*(O$62:O$129="H")*$C$62:$C$129)*$M$12+SUMPRODUCT(($B$62:$B$129="Spinach")*($BG$62:$BG$129=11)*$C$62:$C$129)*$H$12</f>
        <v/>
      </c>
      <c r="P211" s="42">
        <f>SUMPRODUCT(($B$62:$B$129="Spinach")*(P$62:P$129="P")*$C$62:$C$129)*$K$12+SUMPRODUCT(($B$62:$B$129="Spinach")*(P$62:P$129="G")*$C$62:$C$129)*$L$12+SUMPRODUCT(($B$62:$B$129="Spinach")*(P$62:P$129="H")*$C$62:$C$129)*$M$12+SUMPRODUCT(($B$62:$B$129="Spinach")*($BG$62:$BG$129=12)*$C$62:$C$129)*$H$12</f>
        <v/>
      </c>
      <c r="Q211" s="42">
        <f>SUMPRODUCT(($B$62:$B$129="Spinach")*(Q$62:Q$129="P")*$C$62:$C$129)*$K$12+SUMPRODUCT(($B$62:$B$129="Spinach")*(Q$62:Q$129="G")*$C$62:$C$129)*$L$12+SUMPRODUCT(($B$62:$B$129="Spinach")*(Q$62:Q$129="H")*$C$62:$C$129)*$M$12+SUMPRODUCT(($B$62:$B$129="Spinach")*($BG$62:$BG$129=13)*$C$62:$C$129)*$H$12</f>
        <v/>
      </c>
      <c r="R211" s="42">
        <f>SUMPRODUCT(($B$62:$B$129="Spinach")*(R$62:R$129="P")*$C$62:$C$129)*$K$12+SUMPRODUCT(($B$62:$B$129="Spinach")*(R$62:R$129="G")*$C$62:$C$129)*$L$12+SUMPRODUCT(($B$62:$B$129="Spinach")*(R$62:R$129="H")*$C$62:$C$129)*$M$12+SUMPRODUCT(($B$62:$B$129="Spinach")*($BG$62:$BG$129=14)*$C$62:$C$129)*$H$12</f>
        <v/>
      </c>
      <c r="S211" s="42">
        <f>SUMPRODUCT(($B$62:$B$129="Spinach")*(S$62:S$129="P")*$C$62:$C$129)*$K$12+SUMPRODUCT(($B$62:$B$129="Spinach")*(S$62:S$129="G")*$C$62:$C$129)*$L$12+SUMPRODUCT(($B$62:$B$129="Spinach")*(S$62:S$129="H")*$C$62:$C$129)*$M$12+SUMPRODUCT(($B$62:$B$129="Spinach")*($BG$62:$BG$129=15)*$C$62:$C$129)*$H$12</f>
        <v/>
      </c>
      <c r="T211" s="42">
        <f>SUMPRODUCT(($B$62:$B$129="Spinach")*(T$62:T$129="P")*$C$62:$C$129)*$K$12+SUMPRODUCT(($B$62:$B$129="Spinach")*(T$62:T$129="G")*$C$62:$C$129)*$L$12+SUMPRODUCT(($B$62:$B$129="Spinach")*(T$62:T$129="H")*$C$62:$C$129)*$M$12+SUMPRODUCT(($B$62:$B$129="Spinach")*($BG$62:$BG$129=16)*$C$62:$C$129)*$H$12</f>
        <v/>
      </c>
      <c r="U211" s="42">
        <f>SUMPRODUCT(($B$62:$B$129="Spinach")*(U$62:U$129="P")*$C$62:$C$129)*$K$12+SUMPRODUCT(($B$62:$B$129="Spinach")*(U$62:U$129="G")*$C$62:$C$129)*$L$12+SUMPRODUCT(($B$62:$B$129="Spinach")*(U$62:U$129="H")*$C$62:$C$129)*$M$12+SUMPRODUCT(($B$62:$B$129="Spinach")*($BG$62:$BG$129=17)*$C$62:$C$129)*$H$12</f>
        <v/>
      </c>
      <c r="V211" s="42">
        <f>SUMPRODUCT(($B$62:$B$129="Spinach")*(V$62:V$129="P")*$C$62:$C$129)*$K$12+SUMPRODUCT(($B$62:$B$129="Spinach")*(V$62:V$129="G")*$C$62:$C$129)*$L$12+SUMPRODUCT(($B$62:$B$129="Spinach")*(V$62:V$129="H")*$C$62:$C$129)*$M$12+SUMPRODUCT(($B$62:$B$129="Spinach")*($BG$62:$BG$129=18)*$C$62:$C$129)*$H$12</f>
        <v/>
      </c>
      <c r="W211" s="42">
        <f>SUMPRODUCT(($B$62:$B$129="Spinach")*(W$62:W$129="P")*$C$62:$C$129)*$K$12+SUMPRODUCT(($B$62:$B$129="Spinach")*(W$62:W$129="G")*$C$62:$C$129)*$L$12+SUMPRODUCT(($B$62:$B$129="Spinach")*(W$62:W$129="H")*$C$62:$C$129)*$M$12+SUMPRODUCT(($B$62:$B$129="Spinach")*($BG$62:$BG$129=19)*$C$62:$C$129)*$H$12</f>
        <v/>
      </c>
      <c r="X211" s="42">
        <f>SUMPRODUCT(($B$62:$B$129="Spinach")*(X$62:X$129="P")*$C$62:$C$129)*$K$12+SUMPRODUCT(($B$62:$B$129="Spinach")*(X$62:X$129="G")*$C$62:$C$129)*$L$12+SUMPRODUCT(($B$62:$B$129="Spinach")*(X$62:X$129="H")*$C$62:$C$129)*$M$12+SUMPRODUCT(($B$62:$B$129="Spinach")*($BG$62:$BG$129=20)*$C$62:$C$129)*$H$12</f>
        <v/>
      </c>
      <c r="Y211" s="42">
        <f>SUMPRODUCT(($B$62:$B$129="Spinach")*(Y$62:Y$129="P")*$C$62:$C$129)*$K$12+SUMPRODUCT(($B$62:$B$129="Spinach")*(Y$62:Y$129="G")*$C$62:$C$129)*$L$12+SUMPRODUCT(($B$62:$B$129="Spinach")*(Y$62:Y$129="H")*$C$62:$C$129)*$M$12+SUMPRODUCT(($B$62:$B$129="Spinach")*($BG$62:$BG$129=21)*$C$62:$C$129)*$H$12</f>
        <v/>
      </c>
      <c r="Z211" s="42">
        <f>SUMPRODUCT(($B$62:$B$129="Spinach")*(Z$62:Z$129="P")*$C$62:$C$129)*$K$12+SUMPRODUCT(($B$62:$B$129="Spinach")*(Z$62:Z$129="G")*$C$62:$C$129)*$L$12+SUMPRODUCT(($B$62:$B$129="Spinach")*(Z$62:Z$129="H")*$C$62:$C$129)*$M$12+SUMPRODUCT(($B$62:$B$129="Spinach")*($BG$62:$BG$129=22)*$C$62:$C$129)*$H$12</f>
        <v/>
      </c>
      <c r="AA211" s="42">
        <f>SUMPRODUCT(($B$62:$B$129="Spinach")*(AA$62:AA$129="P")*$C$62:$C$129)*$K$12+SUMPRODUCT(($B$62:$B$129="Spinach")*(AA$62:AA$129="G")*$C$62:$C$129)*$L$12+SUMPRODUCT(($B$62:$B$129="Spinach")*(AA$62:AA$129="H")*$C$62:$C$129)*$M$12+SUMPRODUCT(($B$62:$B$129="Spinach")*($BG$62:$BG$129=23)*$C$62:$C$129)*$H$12</f>
        <v/>
      </c>
      <c r="AB211" s="42">
        <f>SUMPRODUCT(($B$62:$B$129="Spinach")*(AB$62:AB$129="P")*$C$62:$C$129)*$K$12+SUMPRODUCT(($B$62:$B$129="Spinach")*(AB$62:AB$129="G")*$C$62:$C$129)*$L$12+SUMPRODUCT(($B$62:$B$129="Spinach")*(AB$62:AB$129="H")*$C$62:$C$129)*$M$12+SUMPRODUCT(($B$62:$B$129="Spinach")*($BG$62:$BG$129=24)*$C$62:$C$129)*$H$12</f>
        <v/>
      </c>
      <c r="AC211" s="42">
        <f>SUMPRODUCT(($B$62:$B$129="Spinach")*(AC$62:AC$129="P")*$C$62:$C$129)*$K$12+SUMPRODUCT(($B$62:$B$129="Spinach")*(AC$62:AC$129="G")*$C$62:$C$129)*$L$12+SUMPRODUCT(($B$62:$B$129="Spinach")*(AC$62:AC$129="H")*$C$62:$C$129)*$M$12+SUMPRODUCT(($B$62:$B$129="Spinach")*($BG$62:$BG$129=25)*$C$62:$C$129)*$H$12</f>
        <v/>
      </c>
      <c r="AD211" s="42">
        <f>SUMPRODUCT(($B$62:$B$129="Spinach")*(AD$62:AD$129="P")*$C$62:$C$129)*$K$12+SUMPRODUCT(($B$62:$B$129="Spinach")*(AD$62:AD$129="G")*$C$62:$C$129)*$L$12+SUMPRODUCT(($B$62:$B$129="Spinach")*(AD$62:AD$129="H")*$C$62:$C$129)*$M$12+SUMPRODUCT(($B$62:$B$129="Spinach")*($BG$62:$BG$129=26)*$C$62:$C$129)*$H$12</f>
        <v/>
      </c>
      <c r="AE211" s="42">
        <f>SUMPRODUCT(($B$62:$B$129="Spinach")*(AE$62:AE$129="P")*$C$62:$C$129)*$K$12+SUMPRODUCT(($B$62:$B$129="Spinach")*(AE$62:AE$129="G")*$C$62:$C$129)*$L$12+SUMPRODUCT(($B$62:$B$129="Spinach")*(AE$62:AE$129="H")*$C$62:$C$129)*$M$12+SUMPRODUCT(($B$62:$B$129="Spinach")*($BG$62:$BG$129=27)*$C$62:$C$129)*$H$12</f>
        <v/>
      </c>
      <c r="AF211" s="42">
        <f>SUMPRODUCT(($B$62:$B$129="Spinach")*(AF$62:AF$129="P")*$C$62:$C$129)*$K$12+SUMPRODUCT(($B$62:$B$129="Spinach")*(AF$62:AF$129="G")*$C$62:$C$129)*$L$12+SUMPRODUCT(($B$62:$B$129="Spinach")*(AF$62:AF$129="H")*$C$62:$C$129)*$M$12+SUMPRODUCT(($B$62:$B$129="Spinach")*($BG$62:$BG$129=28)*$C$62:$C$129)*$H$12</f>
        <v/>
      </c>
      <c r="AG211" s="42">
        <f>SUMPRODUCT(($B$62:$B$129="Spinach")*(AG$62:AG$129="P")*$C$62:$C$129)*$K$12+SUMPRODUCT(($B$62:$B$129="Spinach")*(AG$62:AG$129="G")*$C$62:$C$129)*$L$12+SUMPRODUCT(($B$62:$B$129="Spinach")*(AG$62:AG$129="H")*$C$62:$C$129)*$M$12+SUMPRODUCT(($B$62:$B$129="Spinach")*($BG$62:$BG$129=29)*$C$62:$C$129)*$H$12</f>
        <v/>
      </c>
      <c r="AH211" s="42">
        <f>SUMPRODUCT(($B$62:$B$129="Spinach")*(AH$62:AH$129="P")*$C$62:$C$129)*$K$12+SUMPRODUCT(($B$62:$B$129="Spinach")*(AH$62:AH$129="G")*$C$62:$C$129)*$L$12+SUMPRODUCT(($B$62:$B$129="Spinach")*(AH$62:AH$129="H")*$C$62:$C$129)*$M$12+SUMPRODUCT(($B$62:$B$129="Spinach")*($BG$62:$BG$129=30)*$C$62:$C$129)*$H$12</f>
        <v/>
      </c>
      <c r="AI211" s="42">
        <f>SUMPRODUCT(($B$62:$B$129="Spinach")*(AI$62:AI$129="P")*$C$62:$C$129)*$K$12+SUMPRODUCT(($B$62:$B$129="Spinach")*(AI$62:AI$129="G")*$C$62:$C$129)*$L$12+SUMPRODUCT(($B$62:$B$129="Spinach")*(AI$62:AI$129="H")*$C$62:$C$129)*$M$12+SUMPRODUCT(($B$62:$B$129="Spinach")*($BG$62:$BG$129=31)*$C$62:$C$129)*$H$12</f>
        <v/>
      </c>
      <c r="AJ211" s="42">
        <f>SUMPRODUCT(($B$62:$B$129="Spinach")*(AJ$62:AJ$129="P")*$C$62:$C$129)*$K$12+SUMPRODUCT(($B$62:$B$129="Spinach")*(AJ$62:AJ$129="G")*$C$62:$C$129)*$L$12+SUMPRODUCT(($B$62:$B$129="Spinach")*(AJ$62:AJ$129="H")*$C$62:$C$129)*$M$12+SUMPRODUCT(($B$62:$B$129="Spinach")*($BG$62:$BG$129=32)*$C$62:$C$129)*$H$12</f>
        <v/>
      </c>
      <c r="AK211" s="42">
        <f>SUMPRODUCT(($B$62:$B$129="Spinach")*(AK$62:AK$129="P")*$C$62:$C$129)*$K$12+SUMPRODUCT(($B$62:$B$129="Spinach")*(AK$62:AK$129="G")*$C$62:$C$129)*$L$12+SUMPRODUCT(($B$62:$B$129="Spinach")*(AK$62:AK$129="H")*$C$62:$C$129)*$M$12+SUMPRODUCT(($B$62:$B$129="Spinach")*($BG$62:$BG$129=33)*$C$62:$C$129)*$H$12</f>
        <v/>
      </c>
      <c r="AL211" s="42">
        <f>SUMPRODUCT(($B$62:$B$129="Spinach")*(AL$62:AL$129="P")*$C$62:$C$129)*$K$12+SUMPRODUCT(($B$62:$B$129="Spinach")*(AL$62:AL$129="G")*$C$62:$C$129)*$L$12+SUMPRODUCT(($B$62:$B$129="Spinach")*(AL$62:AL$129="H")*$C$62:$C$129)*$M$12+SUMPRODUCT(($B$62:$B$129="Spinach")*($BG$62:$BG$129=34)*$C$62:$C$129)*$H$12</f>
        <v/>
      </c>
      <c r="AM211" s="42">
        <f>SUMPRODUCT(($B$62:$B$129="Spinach")*(AM$62:AM$129="P")*$C$62:$C$129)*$K$12+SUMPRODUCT(($B$62:$B$129="Spinach")*(AM$62:AM$129="G")*$C$62:$C$129)*$L$12+SUMPRODUCT(($B$62:$B$129="Spinach")*(AM$62:AM$129="H")*$C$62:$C$129)*$M$12+SUMPRODUCT(($B$62:$B$129="Spinach")*($BG$62:$BG$129=35)*$C$62:$C$129)*$H$12</f>
        <v/>
      </c>
      <c r="AN211" s="42">
        <f>SUMPRODUCT(($B$62:$B$129="Spinach")*(AN$62:AN$129="P")*$C$62:$C$129)*$K$12+SUMPRODUCT(($B$62:$B$129="Spinach")*(AN$62:AN$129="G")*$C$62:$C$129)*$L$12+SUMPRODUCT(($B$62:$B$129="Spinach")*(AN$62:AN$129="H")*$C$62:$C$129)*$M$12+SUMPRODUCT(($B$62:$B$129="Spinach")*($BG$62:$BG$129=36)*$C$62:$C$129)*$H$12</f>
        <v/>
      </c>
      <c r="AO211" s="42">
        <f>SUMPRODUCT(($B$62:$B$129="Spinach")*(AO$62:AO$129="P")*$C$62:$C$129)*$K$12+SUMPRODUCT(($B$62:$B$129="Spinach")*(AO$62:AO$129="G")*$C$62:$C$129)*$L$12+SUMPRODUCT(($B$62:$B$129="Spinach")*(AO$62:AO$129="H")*$C$62:$C$129)*$M$12+SUMPRODUCT(($B$62:$B$129="Spinach")*($BG$62:$BG$129=37)*$C$62:$C$129)*$H$12</f>
        <v/>
      </c>
      <c r="AP211" s="42">
        <f>SUMPRODUCT(($B$62:$B$129="Spinach")*(AP$62:AP$129="P")*$C$62:$C$129)*$K$12+SUMPRODUCT(($B$62:$B$129="Spinach")*(AP$62:AP$129="G")*$C$62:$C$129)*$L$12+SUMPRODUCT(($B$62:$B$129="Spinach")*(AP$62:AP$129="H")*$C$62:$C$129)*$M$12+SUMPRODUCT(($B$62:$B$129="Spinach")*($BG$62:$BG$129=38)*$C$62:$C$129)*$H$12</f>
        <v/>
      </c>
      <c r="AQ211" s="42">
        <f>SUMPRODUCT(($B$62:$B$129="Spinach")*(AQ$62:AQ$129="P")*$C$62:$C$129)*$K$12+SUMPRODUCT(($B$62:$B$129="Spinach")*(AQ$62:AQ$129="G")*$C$62:$C$129)*$L$12+SUMPRODUCT(($B$62:$B$129="Spinach")*(AQ$62:AQ$129="H")*$C$62:$C$129)*$M$12+SUMPRODUCT(($B$62:$B$129="Spinach")*($BG$62:$BG$129=39)*$C$62:$C$129)*$H$12</f>
        <v/>
      </c>
      <c r="AR211" s="42">
        <f>SUMPRODUCT(($B$62:$B$129="Spinach")*(AR$62:AR$129="P")*$C$62:$C$129)*$K$12+SUMPRODUCT(($B$62:$B$129="Spinach")*(AR$62:AR$129="G")*$C$62:$C$129)*$L$12+SUMPRODUCT(($B$62:$B$129="Spinach")*(AR$62:AR$129="H")*$C$62:$C$129)*$M$12+SUMPRODUCT(($B$62:$B$129="Spinach")*($BG$62:$BG$129=40)*$C$62:$C$129)*$H$12</f>
        <v/>
      </c>
      <c r="AS211" s="42">
        <f>SUMPRODUCT(($B$62:$B$129="Spinach")*(AS$62:AS$129="P")*$C$62:$C$129)*$K$12+SUMPRODUCT(($B$62:$B$129="Spinach")*(AS$62:AS$129="G")*$C$62:$C$129)*$L$12+SUMPRODUCT(($B$62:$B$129="Spinach")*(AS$62:AS$129="H")*$C$62:$C$129)*$M$12+SUMPRODUCT(($B$62:$B$129="Spinach")*($BG$62:$BG$129=41)*$C$62:$C$129)*$H$12</f>
        <v/>
      </c>
      <c r="AT211" s="42">
        <f>SUMPRODUCT(($B$62:$B$129="Spinach")*(AT$62:AT$129="P")*$C$62:$C$129)*$K$12+SUMPRODUCT(($B$62:$B$129="Spinach")*(AT$62:AT$129="G")*$C$62:$C$129)*$L$12+SUMPRODUCT(($B$62:$B$129="Spinach")*(AT$62:AT$129="H")*$C$62:$C$129)*$M$12+SUMPRODUCT(($B$62:$B$129="Spinach")*($BG$62:$BG$129=42)*$C$62:$C$129)*$H$12</f>
        <v/>
      </c>
      <c r="AU211" s="42">
        <f>SUMPRODUCT(($B$62:$B$129="Spinach")*(AU$62:AU$129="P")*$C$62:$C$129)*$K$12+SUMPRODUCT(($B$62:$B$129="Spinach")*(AU$62:AU$129="G")*$C$62:$C$129)*$L$12+SUMPRODUCT(($B$62:$B$129="Spinach")*(AU$62:AU$129="H")*$C$62:$C$129)*$M$12+SUMPRODUCT(($B$62:$B$129="Spinach")*($BG$62:$BG$129=43)*$C$62:$C$129)*$H$12</f>
        <v/>
      </c>
      <c r="AV211" s="42">
        <f>SUMPRODUCT(($B$62:$B$129="Spinach")*(AV$62:AV$129="P")*$C$62:$C$129)*$K$12+SUMPRODUCT(($B$62:$B$129="Spinach")*(AV$62:AV$129="G")*$C$62:$C$129)*$L$12+SUMPRODUCT(($B$62:$B$129="Spinach")*(AV$62:AV$129="H")*$C$62:$C$129)*$M$12+SUMPRODUCT(($B$62:$B$129="Spinach")*($BG$62:$BG$129=44)*$C$62:$C$129)*$H$12</f>
        <v/>
      </c>
      <c r="AW211" s="42">
        <f>SUMPRODUCT(($B$62:$B$129="Spinach")*(AW$62:AW$129="P")*$C$62:$C$129)*$K$12+SUMPRODUCT(($B$62:$B$129="Spinach")*(AW$62:AW$129="G")*$C$62:$C$129)*$L$12+SUMPRODUCT(($B$62:$B$129="Spinach")*(AW$62:AW$129="H")*$C$62:$C$129)*$M$12+SUMPRODUCT(($B$62:$B$129="Spinach")*($BG$62:$BG$129=45)*$C$62:$C$129)*$H$12</f>
        <v/>
      </c>
      <c r="AX211" s="42">
        <f>SUMPRODUCT(($B$62:$B$129="Spinach")*(AX$62:AX$129="P")*$C$62:$C$129)*$K$12+SUMPRODUCT(($B$62:$B$129="Spinach")*(AX$62:AX$129="G")*$C$62:$C$129)*$L$12+SUMPRODUCT(($B$62:$B$129="Spinach")*(AX$62:AX$129="H")*$C$62:$C$129)*$M$12+SUMPRODUCT(($B$62:$B$129="Spinach")*($BG$62:$BG$129=46)*$C$62:$C$129)*$H$12</f>
        <v/>
      </c>
      <c r="AY211" s="42">
        <f>SUMPRODUCT(($B$62:$B$129="Spinach")*(AY$62:AY$129="P")*$C$62:$C$129)*$K$12+SUMPRODUCT(($B$62:$B$129="Spinach")*(AY$62:AY$129="G")*$C$62:$C$129)*$L$12+SUMPRODUCT(($B$62:$B$129="Spinach")*(AY$62:AY$129="H")*$C$62:$C$129)*$M$12+SUMPRODUCT(($B$62:$B$129="Spinach")*($BG$62:$BG$129=47)*$C$62:$C$129)*$H$12</f>
        <v/>
      </c>
      <c r="AZ211" s="42">
        <f>SUMPRODUCT(($B$62:$B$129="Spinach")*(AZ$62:AZ$129="P")*$C$62:$C$129)*$K$12+SUMPRODUCT(($B$62:$B$129="Spinach")*(AZ$62:AZ$129="G")*$C$62:$C$129)*$L$12+SUMPRODUCT(($B$62:$B$129="Spinach")*(AZ$62:AZ$129="H")*$C$62:$C$129)*$M$12+SUMPRODUCT(($B$62:$B$129="Spinach")*($BG$62:$BG$129=48)*$C$62:$C$129)*$H$12</f>
        <v/>
      </c>
      <c r="BA211" s="42">
        <f>SUMPRODUCT(($B$62:$B$129="Spinach")*(BA$62:BA$129="P")*$C$62:$C$129)*$K$12+SUMPRODUCT(($B$62:$B$129="Spinach")*(BA$62:BA$129="G")*$C$62:$C$129)*$L$12+SUMPRODUCT(($B$62:$B$129="Spinach")*(BA$62:BA$129="H")*$C$62:$C$129)*$M$12+SUMPRODUCT(($B$62:$B$129="Spinach")*($BG$62:$BG$129=49)*$C$62:$C$129)*$H$12</f>
        <v/>
      </c>
      <c r="BB211" s="42">
        <f>SUMPRODUCT(($B$62:$B$129="Spinach")*(BB$62:BB$129="P")*$C$62:$C$129)*$K$12+SUMPRODUCT(($B$62:$B$129="Spinach")*(BB$62:BB$129="G")*$C$62:$C$129)*$L$12+SUMPRODUCT(($B$62:$B$129="Spinach")*(BB$62:BB$129="H")*$C$62:$C$129)*$M$12+SUMPRODUCT(($B$62:$B$129="Spinach")*($BG$62:$BG$129=50)*$C$62:$C$129)*$H$12</f>
        <v/>
      </c>
      <c r="BC211" s="42">
        <f>SUMPRODUCT(($B$62:$B$129="Spinach")*(BC$62:BC$129="P")*$C$62:$C$129)*$K$12+SUMPRODUCT(($B$62:$B$129="Spinach")*(BC$62:BC$129="G")*$C$62:$C$129)*$L$12+SUMPRODUCT(($B$62:$B$129="Spinach")*(BC$62:BC$129="H")*$C$62:$C$129)*$M$12+SUMPRODUCT(($B$62:$B$129="Spinach")*($BG$62:$BG$129=51)*$C$62:$C$129)*$H$12</f>
        <v/>
      </c>
      <c r="BD211" s="42">
        <f>SUMPRODUCT(($B$62:$B$129="Spinach")*(BD$62:BD$129="P")*$C$62:$C$129)*$K$12+SUMPRODUCT(($B$62:$B$129="Spinach")*(BD$62:BD$129="G")*$C$62:$C$129)*$L$12+SUMPRODUCT(($B$62:$B$129="Spinach")*(BD$62:BD$129="H")*$C$62:$C$129)*$M$12+SUMPRODUCT(($B$62:$B$129="Spinach")*($BG$62:$BG$129=52)*$C$62:$C$129)*$H$12</f>
        <v/>
      </c>
    </row>
    <row r="212">
      <c r="A212" s="26" t="inlineStr">
        <is>
          <t>Packaging this week</t>
        </is>
      </c>
      <c r="B212" s="2" t="inlineStr">
        <is>
          <t>$</t>
        </is>
      </c>
      <c r="E212" s="42">
        <f>E196*$J$19+E202*$J$20</f>
        <v/>
      </c>
      <c r="F212" s="42">
        <f>F196*$J$19+F202*$J$20</f>
        <v/>
      </c>
      <c r="G212" s="42">
        <f>G196*$J$19+G202*$J$20</f>
        <v/>
      </c>
      <c r="H212" s="42">
        <f>H196*$J$19+H202*$J$20</f>
        <v/>
      </c>
      <c r="I212" s="42">
        <f>I196*$J$19+I202*$J$20</f>
        <v/>
      </c>
      <c r="J212" s="42">
        <f>J196*$J$19+J202*$J$20</f>
        <v/>
      </c>
      <c r="K212" s="42">
        <f>K196*$J$19+K202*$J$20</f>
        <v/>
      </c>
      <c r="L212" s="42">
        <f>L196*$J$19+L202*$J$20</f>
        <v/>
      </c>
      <c r="M212" s="42">
        <f>M196*$J$19+M202*$J$20</f>
        <v/>
      </c>
      <c r="N212" s="42">
        <f>N196*$J$19+N202*$J$20</f>
        <v/>
      </c>
      <c r="O212" s="42">
        <f>O196*$J$19+O202*$J$20</f>
        <v/>
      </c>
      <c r="P212" s="42">
        <f>P196*$J$19+P202*$J$20</f>
        <v/>
      </c>
      <c r="Q212" s="42">
        <f>Q196*$J$19+Q202*$J$20</f>
        <v/>
      </c>
      <c r="R212" s="42">
        <f>R196*$J$19+R202*$J$20</f>
        <v/>
      </c>
      <c r="S212" s="42">
        <f>S196*$J$19+S202*$J$20</f>
        <v/>
      </c>
      <c r="T212" s="42">
        <f>T196*$J$19+T202*$J$20</f>
        <v/>
      </c>
      <c r="U212" s="42">
        <f>U196*$J$19+U202*$J$20</f>
        <v/>
      </c>
      <c r="V212" s="42">
        <f>V196*$J$19+V202*$J$20</f>
        <v/>
      </c>
      <c r="W212" s="42">
        <f>W196*$J$19+W202*$J$20</f>
        <v/>
      </c>
      <c r="X212" s="42">
        <f>X196*$J$19+X202*$J$20</f>
        <v/>
      </c>
      <c r="Y212" s="42">
        <f>Y196*$J$19+Y202*$J$20</f>
        <v/>
      </c>
      <c r="Z212" s="42">
        <f>Z196*$J$19+Z202*$J$20</f>
        <v/>
      </c>
      <c r="AA212" s="42">
        <f>AA196*$J$19+AA202*$J$20</f>
        <v/>
      </c>
      <c r="AB212" s="42">
        <f>AB196*$J$19+AB202*$J$20</f>
        <v/>
      </c>
      <c r="AC212" s="42">
        <f>AC196*$J$19+AC202*$J$20</f>
        <v/>
      </c>
      <c r="AD212" s="42">
        <f>AD196*$J$19+AD202*$J$20</f>
        <v/>
      </c>
      <c r="AE212" s="42">
        <f>AE196*$J$19+AE202*$J$20</f>
        <v/>
      </c>
      <c r="AF212" s="42">
        <f>AF196*$J$19+AF202*$J$20</f>
        <v/>
      </c>
      <c r="AG212" s="42">
        <f>AG196*$J$19+AG202*$J$20</f>
        <v/>
      </c>
      <c r="AH212" s="42">
        <f>AH196*$J$19+AH202*$J$20</f>
        <v/>
      </c>
      <c r="AI212" s="42">
        <f>AI196*$J$19+AI202*$J$20</f>
        <v/>
      </c>
      <c r="AJ212" s="42">
        <f>AJ196*$J$19+AJ202*$J$20</f>
        <v/>
      </c>
      <c r="AK212" s="42">
        <f>AK196*$J$19+AK202*$J$20</f>
        <v/>
      </c>
      <c r="AL212" s="42">
        <f>AL196*$J$19+AL202*$J$20</f>
        <v/>
      </c>
      <c r="AM212" s="42">
        <f>AM196*$J$19+AM202*$J$20</f>
        <v/>
      </c>
      <c r="AN212" s="42">
        <f>AN196*$J$19+AN202*$J$20</f>
        <v/>
      </c>
      <c r="AO212" s="42">
        <f>AO196*$J$19+AO202*$J$20</f>
        <v/>
      </c>
      <c r="AP212" s="42">
        <f>AP196*$J$19+AP202*$J$20</f>
        <v/>
      </c>
      <c r="AQ212" s="42">
        <f>AQ196*$J$19+AQ202*$J$20</f>
        <v/>
      </c>
      <c r="AR212" s="42">
        <f>AR196*$J$19+AR202*$J$20</f>
        <v/>
      </c>
      <c r="AS212" s="42">
        <f>AS196*$J$19+AS202*$J$20</f>
        <v/>
      </c>
      <c r="AT212" s="42">
        <f>AT196*$J$19+AT202*$J$20</f>
        <v/>
      </c>
      <c r="AU212" s="42">
        <f>AU196*$J$19+AU202*$J$20</f>
        <v/>
      </c>
      <c r="AV212" s="42">
        <f>AV196*$J$19+AV202*$J$20</f>
        <v/>
      </c>
      <c r="AW212" s="42">
        <f>AW196*$J$19+AW202*$J$20</f>
        <v/>
      </c>
      <c r="AX212" s="42">
        <f>AX196*$J$19+AX202*$J$20</f>
        <v/>
      </c>
      <c r="AY212" s="42">
        <f>AY196*$J$19+AY202*$J$20</f>
        <v/>
      </c>
      <c r="AZ212" s="42">
        <f>AZ196*$J$19+AZ202*$J$20</f>
        <v/>
      </c>
      <c r="BA212" s="42">
        <f>BA196*$J$19+BA202*$J$20</f>
        <v/>
      </c>
      <c r="BB212" s="42">
        <f>BB196*$J$19+BB202*$J$20</f>
        <v/>
      </c>
      <c r="BC212" s="42">
        <f>BC196*$J$19+BC202*$J$20</f>
        <v/>
      </c>
      <c r="BD212" s="42">
        <f>BD196*$J$19+BD202*$J$20</f>
        <v/>
      </c>
    </row>
    <row r="213">
      <c r="A213" s="4" t="inlineStr">
        <is>
          <t>ROOM OCCUPANCY</t>
        </is>
      </c>
      <c r="B213" s="2" t="inlineStr">
        <is>
          <t>m3</t>
        </is>
      </c>
      <c r="E213" s="50">
        <f>(E191+E190)*$D$12</f>
        <v/>
      </c>
      <c r="F213" s="50">
        <f>(F191+F190)*$D$12</f>
        <v/>
      </c>
      <c r="G213" s="50">
        <f>(G191+G190)*$D$12</f>
        <v/>
      </c>
      <c r="H213" s="50">
        <f>(H191+H190)*$D$12</f>
        <v/>
      </c>
      <c r="I213" s="50">
        <f>(I191+I190)*$D$12</f>
        <v/>
      </c>
      <c r="J213" s="50">
        <f>(J191+J190)*$D$12</f>
        <v/>
      </c>
      <c r="K213" s="50">
        <f>(K191+K190)*$D$12</f>
        <v/>
      </c>
      <c r="L213" s="50">
        <f>(L191+L190)*$D$12</f>
        <v/>
      </c>
      <c r="M213" s="50">
        <f>(M191+M190)*$D$12</f>
        <v/>
      </c>
      <c r="N213" s="50">
        <f>(N191+N190)*$D$12</f>
        <v/>
      </c>
      <c r="O213" s="50">
        <f>(O191+O190)*$D$12</f>
        <v/>
      </c>
      <c r="P213" s="50">
        <f>(P191+P190)*$D$12</f>
        <v/>
      </c>
      <c r="Q213" s="50">
        <f>(Q191+Q190)*$D$12</f>
        <v/>
      </c>
      <c r="R213" s="50">
        <f>(R191+R190)*$D$12</f>
        <v/>
      </c>
      <c r="S213" s="50">
        <f>(S191+S190)*$D$12</f>
        <v/>
      </c>
      <c r="T213" s="50">
        <f>(T191+T190)*$D$12</f>
        <v/>
      </c>
      <c r="U213" s="50">
        <f>(U191+U190)*$D$12</f>
        <v/>
      </c>
      <c r="V213" s="50">
        <f>(V191+V190)*$D$12</f>
        <v/>
      </c>
      <c r="W213" s="50">
        <f>(W191+W190)*$D$12</f>
        <v/>
      </c>
      <c r="X213" s="50">
        <f>(X191+X190)*$D$12</f>
        <v/>
      </c>
      <c r="Y213" s="50">
        <f>(Y191+Y190)*$D$12</f>
        <v/>
      </c>
      <c r="Z213" s="50">
        <f>(Z191+Z190)*$D$12</f>
        <v/>
      </c>
      <c r="AA213" s="50">
        <f>(AA191+AA190)*$D$12</f>
        <v/>
      </c>
      <c r="AB213" s="50">
        <f>(AB191+AB190)*$D$12</f>
        <v/>
      </c>
      <c r="AC213" s="50">
        <f>(AC191+AC190)*$D$12</f>
        <v/>
      </c>
      <c r="AD213" s="50">
        <f>(AD191+AD190)*$D$12</f>
        <v/>
      </c>
      <c r="AE213" s="50">
        <f>(AE191+AE190)*$D$12</f>
        <v/>
      </c>
      <c r="AF213" s="50">
        <f>(AF191+AF190)*$D$12</f>
        <v/>
      </c>
      <c r="AG213" s="50">
        <f>(AG191+AG190)*$D$12</f>
        <v/>
      </c>
      <c r="AH213" s="50">
        <f>(AH191+AH190)*$D$12</f>
        <v/>
      </c>
      <c r="AI213" s="50">
        <f>(AI191+AI190)*$D$12</f>
        <v/>
      </c>
      <c r="AJ213" s="50">
        <f>(AJ191+AJ190)*$D$12</f>
        <v/>
      </c>
      <c r="AK213" s="50">
        <f>(AK191+AK190)*$D$12</f>
        <v/>
      </c>
      <c r="AL213" s="50">
        <f>(AL191+AL190)*$D$12</f>
        <v/>
      </c>
      <c r="AM213" s="50">
        <f>(AM191+AM190)*$D$12</f>
        <v/>
      </c>
      <c r="AN213" s="50">
        <f>(AN191+AN190)*$D$12</f>
        <v/>
      </c>
      <c r="AO213" s="50">
        <f>(AO191+AO190)*$D$12</f>
        <v/>
      </c>
      <c r="AP213" s="50">
        <f>(AP191+AP190)*$D$12</f>
        <v/>
      </c>
      <c r="AQ213" s="50">
        <f>(AQ191+AQ190)*$D$12</f>
        <v/>
      </c>
      <c r="AR213" s="50">
        <f>(AR191+AR190)*$D$12</f>
        <v/>
      </c>
      <c r="AS213" s="50">
        <f>(AS191+AS190)*$D$12</f>
        <v/>
      </c>
      <c r="AT213" s="50">
        <f>(AT191+AT190)*$D$12</f>
        <v/>
      </c>
      <c r="AU213" s="50">
        <f>(AU191+AU190)*$D$12</f>
        <v/>
      </c>
      <c r="AV213" s="50">
        <f>(AV191+AV190)*$D$12</f>
        <v/>
      </c>
      <c r="AW213" s="50">
        <f>(AW191+AW190)*$D$12</f>
        <v/>
      </c>
      <c r="AX213" s="50">
        <f>(AX191+AX190)*$D$12</f>
        <v/>
      </c>
      <c r="AY213" s="50">
        <f>(AY191+AY190)*$D$12</f>
        <v/>
      </c>
      <c r="AZ213" s="50">
        <f>(AZ191+AZ190)*$D$12</f>
        <v/>
      </c>
      <c r="BA213" s="50">
        <f>(BA191+BA190)*$D$12</f>
        <v/>
      </c>
      <c r="BB213" s="50">
        <f>(BB191+BB190)*$D$12</f>
        <v/>
      </c>
      <c r="BC213" s="50">
        <f>(BC191+BC190)*$D$12</f>
        <v/>
      </c>
      <c r="BD213" s="50">
        <f>(BD191+BD190)*$D$12</f>
        <v/>
      </c>
    </row>
    <row r="215">
      <c r="A215" s="3" t="inlineStr">
        <is>
          <t>KALE  —  cold store</t>
        </is>
      </c>
      <c r="B215" s="45" t="inlineStr"/>
    </row>
    <row r="216">
      <c r="A216" s="30" t="inlineStr">
        <is>
          <t>Week</t>
        </is>
      </c>
      <c r="B216" s="38" t="inlineStr"/>
      <c r="E216" s="31" t="n">
        <v>1</v>
      </c>
      <c r="F216" s="31" t="n">
        <v>2</v>
      </c>
      <c r="G216" s="31" t="n">
        <v>3</v>
      </c>
      <c r="H216" s="31" t="n">
        <v>4</v>
      </c>
      <c r="I216" s="31" t="n">
        <v>5</v>
      </c>
      <c r="J216" s="31" t="n">
        <v>6</v>
      </c>
      <c r="K216" s="31" t="n">
        <v>7</v>
      </c>
      <c r="L216" s="31" t="n">
        <v>8</v>
      </c>
      <c r="M216" s="31" t="n">
        <v>9</v>
      </c>
      <c r="N216" s="31" t="n">
        <v>10</v>
      </c>
      <c r="O216" s="31" t="n">
        <v>11</v>
      </c>
      <c r="P216" s="31" t="n">
        <v>12</v>
      </c>
      <c r="Q216" s="31" t="n">
        <v>13</v>
      </c>
      <c r="R216" s="31" t="n">
        <v>14</v>
      </c>
      <c r="S216" s="31" t="n">
        <v>15</v>
      </c>
      <c r="T216" s="31" t="n">
        <v>16</v>
      </c>
      <c r="U216" s="31" t="n">
        <v>17</v>
      </c>
      <c r="V216" s="31" t="n">
        <v>18</v>
      </c>
      <c r="W216" s="31" t="n">
        <v>19</v>
      </c>
      <c r="X216" s="31" t="n">
        <v>20</v>
      </c>
      <c r="Y216" s="31" t="n">
        <v>21</v>
      </c>
      <c r="Z216" s="31" t="n">
        <v>22</v>
      </c>
      <c r="AA216" s="31" t="n">
        <v>23</v>
      </c>
      <c r="AB216" s="31" t="n">
        <v>24</v>
      </c>
      <c r="AC216" s="31" t="n">
        <v>25</v>
      </c>
      <c r="AD216" s="31" t="n">
        <v>26</v>
      </c>
      <c r="AE216" s="31" t="n">
        <v>27</v>
      </c>
      <c r="AF216" s="31" t="n">
        <v>28</v>
      </c>
      <c r="AG216" s="31" t="n">
        <v>29</v>
      </c>
      <c r="AH216" s="31" t="n">
        <v>30</v>
      </c>
      <c r="AI216" s="31" t="n">
        <v>31</v>
      </c>
      <c r="AJ216" s="31" t="n">
        <v>32</v>
      </c>
      <c r="AK216" s="31" t="n">
        <v>33</v>
      </c>
      <c r="AL216" s="31" t="n">
        <v>34</v>
      </c>
      <c r="AM216" s="31" t="n">
        <v>35</v>
      </c>
      <c r="AN216" s="31" t="n">
        <v>36</v>
      </c>
      <c r="AO216" s="31" t="n">
        <v>37</v>
      </c>
      <c r="AP216" s="31" t="n">
        <v>38</v>
      </c>
      <c r="AQ216" s="31" t="n">
        <v>39</v>
      </c>
      <c r="AR216" s="31" t="n">
        <v>40</v>
      </c>
      <c r="AS216" s="31" t="n">
        <v>41</v>
      </c>
      <c r="AT216" s="31" t="n">
        <v>42</v>
      </c>
      <c r="AU216" s="31" t="n">
        <v>43</v>
      </c>
      <c r="AV216" s="31" t="n">
        <v>44</v>
      </c>
      <c r="AW216" s="31" t="n">
        <v>45</v>
      </c>
      <c r="AX216" s="31" t="n">
        <v>46</v>
      </c>
      <c r="AY216" s="31" t="n">
        <v>47</v>
      </c>
      <c r="AZ216" s="31" t="n">
        <v>48</v>
      </c>
      <c r="BA216" s="31" t="n">
        <v>49</v>
      </c>
      <c r="BB216" s="31" t="n">
        <v>50</v>
      </c>
      <c r="BC216" s="31" t="n">
        <v>51</v>
      </c>
      <c r="BD216" s="31" t="n">
        <v>52</v>
      </c>
    </row>
    <row r="217">
      <c r="A217" s="4" t="inlineStr">
        <is>
          <t>Packed out -&gt; INTO the store</t>
        </is>
      </c>
      <c r="B217" s="2" t="inlineStr">
        <is>
          <t>lb</t>
        </is>
      </c>
      <c r="E217" s="42">
        <f>SUMPRODUCT(($B$62:$B$129="Kale")*(E$62:E$129="H")*$C$62:$C$129)*$B$13/$J$13*$C$13</f>
        <v/>
      </c>
      <c r="F217" s="42">
        <f>SUMPRODUCT(($B$62:$B$129="Kale")*(F$62:F$129="H")*$C$62:$C$129)*$B$13/$J$13*$C$13</f>
        <v/>
      </c>
      <c r="G217" s="42">
        <f>SUMPRODUCT(($B$62:$B$129="Kale")*(G$62:G$129="H")*$C$62:$C$129)*$B$13/$J$13*$C$13</f>
        <v/>
      </c>
      <c r="H217" s="42">
        <f>SUMPRODUCT(($B$62:$B$129="Kale")*(H$62:H$129="H")*$C$62:$C$129)*$B$13/$J$13*$C$13</f>
        <v/>
      </c>
      <c r="I217" s="42">
        <f>SUMPRODUCT(($B$62:$B$129="Kale")*(I$62:I$129="H")*$C$62:$C$129)*$B$13/$J$13*$C$13</f>
        <v/>
      </c>
      <c r="J217" s="42">
        <f>SUMPRODUCT(($B$62:$B$129="Kale")*(J$62:J$129="H")*$C$62:$C$129)*$B$13/$J$13*$C$13</f>
        <v/>
      </c>
      <c r="K217" s="42">
        <f>SUMPRODUCT(($B$62:$B$129="Kale")*(K$62:K$129="H")*$C$62:$C$129)*$B$13/$J$13*$C$13</f>
        <v/>
      </c>
      <c r="L217" s="42">
        <f>SUMPRODUCT(($B$62:$B$129="Kale")*(L$62:L$129="H")*$C$62:$C$129)*$B$13/$J$13*$C$13</f>
        <v/>
      </c>
      <c r="M217" s="42">
        <f>SUMPRODUCT(($B$62:$B$129="Kale")*(M$62:M$129="H")*$C$62:$C$129)*$B$13/$J$13*$C$13</f>
        <v/>
      </c>
      <c r="N217" s="42">
        <f>SUMPRODUCT(($B$62:$B$129="Kale")*(N$62:N$129="H")*$C$62:$C$129)*$B$13/$J$13*$C$13</f>
        <v/>
      </c>
      <c r="O217" s="42">
        <f>SUMPRODUCT(($B$62:$B$129="Kale")*(O$62:O$129="H")*$C$62:$C$129)*$B$13/$J$13*$C$13</f>
        <v/>
      </c>
      <c r="P217" s="42">
        <f>SUMPRODUCT(($B$62:$B$129="Kale")*(P$62:P$129="H")*$C$62:$C$129)*$B$13/$J$13*$C$13</f>
        <v/>
      </c>
      <c r="Q217" s="42">
        <f>SUMPRODUCT(($B$62:$B$129="Kale")*(Q$62:Q$129="H")*$C$62:$C$129)*$B$13/$J$13*$C$13</f>
        <v/>
      </c>
      <c r="R217" s="42">
        <f>SUMPRODUCT(($B$62:$B$129="Kale")*(R$62:R$129="H")*$C$62:$C$129)*$B$13/$J$13*$C$13</f>
        <v/>
      </c>
      <c r="S217" s="42">
        <f>SUMPRODUCT(($B$62:$B$129="Kale")*(S$62:S$129="H")*$C$62:$C$129)*$B$13/$J$13*$C$13</f>
        <v/>
      </c>
      <c r="T217" s="42">
        <f>SUMPRODUCT(($B$62:$B$129="Kale")*(T$62:T$129="H")*$C$62:$C$129)*$B$13/$J$13*$C$13</f>
        <v/>
      </c>
      <c r="U217" s="42">
        <f>SUMPRODUCT(($B$62:$B$129="Kale")*(U$62:U$129="H")*$C$62:$C$129)*$B$13/$J$13*$C$13</f>
        <v/>
      </c>
      <c r="V217" s="42">
        <f>SUMPRODUCT(($B$62:$B$129="Kale")*(V$62:V$129="H")*$C$62:$C$129)*$B$13/$J$13*$C$13</f>
        <v/>
      </c>
      <c r="W217" s="42">
        <f>SUMPRODUCT(($B$62:$B$129="Kale")*(W$62:W$129="H")*$C$62:$C$129)*$B$13/$J$13*$C$13</f>
        <v/>
      </c>
      <c r="X217" s="42">
        <f>SUMPRODUCT(($B$62:$B$129="Kale")*(X$62:X$129="H")*$C$62:$C$129)*$B$13/$J$13*$C$13</f>
        <v/>
      </c>
      <c r="Y217" s="42">
        <f>SUMPRODUCT(($B$62:$B$129="Kale")*(Y$62:Y$129="H")*$C$62:$C$129)*$B$13/$J$13*$C$13</f>
        <v/>
      </c>
      <c r="Z217" s="42">
        <f>SUMPRODUCT(($B$62:$B$129="Kale")*(Z$62:Z$129="H")*$C$62:$C$129)*$B$13/$J$13*$C$13</f>
        <v/>
      </c>
      <c r="AA217" s="42">
        <f>SUMPRODUCT(($B$62:$B$129="Kale")*(AA$62:AA$129="H")*$C$62:$C$129)*$B$13/$J$13*$C$13</f>
        <v/>
      </c>
      <c r="AB217" s="42">
        <f>SUMPRODUCT(($B$62:$B$129="Kale")*(AB$62:AB$129="H")*$C$62:$C$129)*$B$13/$J$13*$C$13</f>
        <v/>
      </c>
      <c r="AC217" s="42">
        <f>SUMPRODUCT(($B$62:$B$129="Kale")*(AC$62:AC$129="H")*$C$62:$C$129)*$B$13/$J$13*$C$13</f>
        <v/>
      </c>
      <c r="AD217" s="42">
        <f>SUMPRODUCT(($B$62:$B$129="Kale")*(AD$62:AD$129="H")*$C$62:$C$129)*$B$13/$J$13*$C$13</f>
        <v/>
      </c>
      <c r="AE217" s="42">
        <f>SUMPRODUCT(($B$62:$B$129="Kale")*(AE$62:AE$129="H")*$C$62:$C$129)*$B$13/$J$13*$C$13</f>
        <v/>
      </c>
      <c r="AF217" s="42">
        <f>SUMPRODUCT(($B$62:$B$129="Kale")*(AF$62:AF$129="H")*$C$62:$C$129)*$B$13/$J$13*$C$13</f>
        <v/>
      </c>
      <c r="AG217" s="42">
        <f>SUMPRODUCT(($B$62:$B$129="Kale")*(AG$62:AG$129="H")*$C$62:$C$129)*$B$13/$J$13*$C$13</f>
        <v/>
      </c>
      <c r="AH217" s="42">
        <f>SUMPRODUCT(($B$62:$B$129="Kale")*(AH$62:AH$129="H")*$C$62:$C$129)*$B$13/$J$13*$C$13</f>
        <v/>
      </c>
      <c r="AI217" s="42">
        <f>SUMPRODUCT(($B$62:$B$129="Kale")*(AI$62:AI$129="H")*$C$62:$C$129)*$B$13/$J$13*$C$13</f>
        <v/>
      </c>
      <c r="AJ217" s="42">
        <f>SUMPRODUCT(($B$62:$B$129="Kale")*(AJ$62:AJ$129="H")*$C$62:$C$129)*$B$13/$J$13*$C$13</f>
        <v/>
      </c>
      <c r="AK217" s="42">
        <f>SUMPRODUCT(($B$62:$B$129="Kale")*(AK$62:AK$129="H")*$C$62:$C$129)*$B$13/$J$13*$C$13</f>
        <v/>
      </c>
      <c r="AL217" s="42">
        <f>SUMPRODUCT(($B$62:$B$129="Kale")*(AL$62:AL$129="H")*$C$62:$C$129)*$B$13/$J$13*$C$13</f>
        <v/>
      </c>
      <c r="AM217" s="42">
        <f>SUMPRODUCT(($B$62:$B$129="Kale")*(AM$62:AM$129="H")*$C$62:$C$129)*$B$13/$J$13*$C$13</f>
        <v/>
      </c>
      <c r="AN217" s="42">
        <f>SUMPRODUCT(($B$62:$B$129="Kale")*(AN$62:AN$129="H")*$C$62:$C$129)*$B$13/$J$13*$C$13</f>
        <v/>
      </c>
      <c r="AO217" s="42">
        <f>SUMPRODUCT(($B$62:$B$129="Kale")*(AO$62:AO$129="H")*$C$62:$C$129)*$B$13/$J$13*$C$13</f>
        <v/>
      </c>
      <c r="AP217" s="42">
        <f>SUMPRODUCT(($B$62:$B$129="Kale")*(AP$62:AP$129="H")*$C$62:$C$129)*$B$13/$J$13*$C$13</f>
        <v/>
      </c>
      <c r="AQ217" s="42">
        <f>SUMPRODUCT(($B$62:$B$129="Kale")*(AQ$62:AQ$129="H")*$C$62:$C$129)*$B$13/$J$13*$C$13</f>
        <v/>
      </c>
      <c r="AR217" s="42">
        <f>SUMPRODUCT(($B$62:$B$129="Kale")*(AR$62:AR$129="H")*$C$62:$C$129)*$B$13/$J$13*$C$13</f>
        <v/>
      </c>
      <c r="AS217" s="42">
        <f>SUMPRODUCT(($B$62:$B$129="Kale")*(AS$62:AS$129="H")*$C$62:$C$129)*$B$13/$J$13*$C$13</f>
        <v/>
      </c>
      <c r="AT217" s="42">
        <f>SUMPRODUCT(($B$62:$B$129="Kale")*(AT$62:AT$129="H")*$C$62:$C$129)*$B$13/$J$13*$C$13</f>
        <v/>
      </c>
      <c r="AU217" s="42">
        <f>SUMPRODUCT(($B$62:$B$129="Kale")*(AU$62:AU$129="H")*$C$62:$C$129)*$B$13/$J$13*$C$13</f>
        <v/>
      </c>
      <c r="AV217" s="42">
        <f>SUMPRODUCT(($B$62:$B$129="Kale")*(AV$62:AV$129="H")*$C$62:$C$129)*$B$13/$J$13*$C$13</f>
        <v/>
      </c>
      <c r="AW217" s="42">
        <f>SUMPRODUCT(($B$62:$B$129="Kale")*(AW$62:AW$129="H")*$C$62:$C$129)*$B$13/$J$13*$C$13</f>
        <v/>
      </c>
      <c r="AX217" s="42">
        <f>SUMPRODUCT(($B$62:$B$129="Kale")*(AX$62:AX$129="H")*$C$62:$C$129)*$B$13/$J$13*$C$13</f>
        <v/>
      </c>
      <c r="AY217" s="42">
        <f>SUMPRODUCT(($B$62:$B$129="Kale")*(AY$62:AY$129="H")*$C$62:$C$129)*$B$13/$J$13*$C$13</f>
        <v/>
      </c>
      <c r="AZ217" s="42">
        <f>SUMPRODUCT(($B$62:$B$129="Kale")*(AZ$62:AZ$129="H")*$C$62:$C$129)*$B$13/$J$13*$C$13</f>
        <v/>
      </c>
      <c r="BA217" s="42">
        <f>SUMPRODUCT(($B$62:$B$129="Kale")*(BA$62:BA$129="H")*$C$62:$C$129)*$B$13/$J$13*$C$13</f>
        <v/>
      </c>
      <c r="BB217" s="42">
        <f>SUMPRODUCT(($B$62:$B$129="Kale")*(BB$62:BB$129="H")*$C$62:$C$129)*$B$13/$J$13*$C$13</f>
        <v/>
      </c>
      <c r="BC217" s="42">
        <f>SUMPRODUCT(($B$62:$B$129="Kale")*(BC$62:BC$129="H")*$C$62:$C$129)*$B$13/$J$13*$C$13</f>
        <v/>
      </c>
      <c r="BD217" s="42">
        <f>SUMPRODUCT(($B$62:$B$129="Kale")*(BD$62:BD$129="H")*$C$62:$C$129)*$B$13/$J$13*$C$13</f>
        <v/>
      </c>
    </row>
    <row r="218">
      <c r="A218" s="26" t="inlineStr">
        <is>
          <t>Stock carried in</t>
        </is>
      </c>
      <c r="B218" s="2" t="inlineStr">
        <is>
          <t>lb</t>
        </is>
      </c>
      <c r="E218" s="42" t="n">
        <v>0</v>
      </c>
      <c r="F218" s="42">
        <f>E235</f>
        <v/>
      </c>
      <c r="G218" s="42">
        <f>F235</f>
        <v/>
      </c>
      <c r="H218" s="42">
        <f>G235</f>
        <v/>
      </c>
      <c r="I218" s="42">
        <f>H235</f>
        <v/>
      </c>
      <c r="J218" s="42">
        <f>I235</f>
        <v/>
      </c>
      <c r="K218" s="42">
        <f>J235</f>
        <v/>
      </c>
      <c r="L218" s="42">
        <f>K235</f>
        <v/>
      </c>
      <c r="M218" s="42">
        <f>L235</f>
        <v/>
      </c>
      <c r="N218" s="42">
        <f>M235</f>
        <v/>
      </c>
      <c r="O218" s="42">
        <f>N235</f>
        <v/>
      </c>
      <c r="P218" s="42">
        <f>O235</f>
        <v/>
      </c>
      <c r="Q218" s="42">
        <f>P235</f>
        <v/>
      </c>
      <c r="R218" s="42">
        <f>Q235</f>
        <v/>
      </c>
      <c r="S218" s="42">
        <f>R235</f>
        <v/>
      </c>
      <c r="T218" s="42">
        <f>S235</f>
        <v/>
      </c>
      <c r="U218" s="42">
        <f>T235</f>
        <v/>
      </c>
      <c r="V218" s="42">
        <f>U235</f>
        <v/>
      </c>
      <c r="W218" s="42">
        <f>V235</f>
        <v/>
      </c>
      <c r="X218" s="42">
        <f>W235</f>
        <v/>
      </c>
      <c r="Y218" s="42">
        <f>X235</f>
        <v/>
      </c>
      <c r="Z218" s="42">
        <f>Y235</f>
        <v/>
      </c>
      <c r="AA218" s="42">
        <f>Z235</f>
        <v/>
      </c>
      <c r="AB218" s="42">
        <f>AA235</f>
        <v/>
      </c>
      <c r="AC218" s="42">
        <f>AB235</f>
        <v/>
      </c>
      <c r="AD218" s="42">
        <f>AC235</f>
        <v/>
      </c>
      <c r="AE218" s="42">
        <f>AD235</f>
        <v/>
      </c>
      <c r="AF218" s="42">
        <f>AE235</f>
        <v/>
      </c>
      <c r="AG218" s="42">
        <f>AF235</f>
        <v/>
      </c>
      <c r="AH218" s="42">
        <f>AG235</f>
        <v/>
      </c>
      <c r="AI218" s="42">
        <f>AH235</f>
        <v/>
      </c>
      <c r="AJ218" s="42">
        <f>AI235</f>
        <v/>
      </c>
      <c r="AK218" s="42">
        <f>AJ235</f>
        <v/>
      </c>
      <c r="AL218" s="42">
        <f>AK235</f>
        <v/>
      </c>
      <c r="AM218" s="42">
        <f>AL235</f>
        <v/>
      </c>
      <c r="AN218" s="42">
        <f>AM235</f>
        <v/>
      </c>
      <c r="AO218" s="42">
        <f>AN235</f>
        <v/>
      </c>
      <c r="AP218" s="42">
        <f>AO235</f>
        <v/>
      </c>
      <c r="AQ218" s="42">
        <f>AP235</f>
        <v/>
      </c>
      <c r="AR218" s="42">
        <f>AQ235</f>
        <v/>
      </c>
      <c r="AS218" s="42">
        <f>AR235</f>
        <v/>
      </c>
      <c r="AT218" s="42">
        <f>AS235</f>
        <v/>
      </c>
      <c r="AU218" s="42">
        <f>AT235</f>
        <v/>
      </c>
      <c r="AV218" s="42">
        <f>AU235</f>
        <v/>
      </c>
      <c r="AW218" s="42">
        <f>AV235</f>
        <v/>
      </c>
      <c r="AX218" s="42">
        <f>AW235</f>
        <v/>
      </c>
      <c r="AY218" s="42">
        <f>AX235</f>
        <v/>
      </c>
      <c r="AZ218" s="42">
        <f>AY235</f>
        <v/>
      </c>
      <c r="BA218" s="42">
        <f>AZ235</f>
        <v/>
      </c>
      <c r="BB218" s="42">
        <f>BA235</f>
        <v/>
      </c>
      <c r="BC218" s="42">
        <f>BB235</f>
        <v/>
      </c>
      <c r="BD218" s="42">
        <f>BC235</f>
        <v/>
      </c>
    </row>
    <row r="219">
      <c r="A219" s="26" t="inlineStr">
        <is>
          <t xml:space="preserve">   lost to shrink</t>
        </is>
      </c>
      <c r="B219" s="2" t="inlineStr">
        <is>
          <t>lb</t>
        </is>
      </c>
      <c r="E219" s="42">
        <f>E218*$G$13</f>
        <v/>
      </c>
      <c r="F219" s="42">
        <f>F218*$G$13</f>
        <v/>
      </c>
      <c r="G219" s="42">
        <f>G218*$G$13</f>
        <v/>
      </c>
      <c r="H219" s="42">
        <f>H218*$G$13</f>
        <v/>
      </c>
      <c r="I219" s="42">
        <f>I218*$G$13</f>
        <v/>
      </c>
      <c r="J219" s="42">
        <f>J218*$G$13</f>
        <v/>
      </c>
      <c r="K219" s="42">
        <f>K218*$G$13</f>
        <v/>
      </c>
      <c r="L219" s="42">
        <f>L218*$G$13</f>
        <v/>
      </c>
      <c r="M219" s="42">
        <f>M218*$G$13</f>
        <v/>
      </c>
      <c r="N219" s="42">
        <f>N218*$G$13</f>
        <v/>
      </c>
      <c r="O219" s="42">
        <f>O218*$G$13</f>
        <v/>
      </c>
      <c r="P219" s="42">
        <f>P218*$G$13</f>
        <v/>
      </c>
      <c r="Q219" s="42">
        <f>Q218*$G$13</f>
        <v/>
      </c>
      <c r="R219" s="42">
        <f>R218*$G$13</f>
        <v/>
      </c>
      <c r="S219" s="42">
        <f>S218*$G$13</f>
        <v/>
      </c>
      <c r="T219" s="42">
        <f>T218*$G$13</f>
        <v/>
      </c>
      <c r="U219" s="42">
        <f>U218*$G$13</f>
        <v/>
      </c>
      <c r="V219" s="42">
        <f>V218*$G$13</f>
        <v/>
      </c>
      <c r="W219" s="42">
        <f>W218*$G$13</f>
        <v/>
      </c>
      <c r="X219" s="42">
        <f>X218*$G$13</f>
        <v/>
      </c>
      <c r="Y219" s="42">
        <f>Y218*$G$13</f>
        <v/>
      </c>
      <c r="Z219" s="42">
        <f>Z218*$G$13</f>
        <v/>
      </c>
      <c r="AA219" s="42">
        <f>AA218*$G$13</f>
        <v/>
      </c>
      <c r="AB219" s="42">
        <f>AB218*$G$13</f>
        <v/>
      </c>
      <c r="AC219" s="42">
        <f>AC218*$G$13</f>
        <v/>
      </c>
      <c r="AD219" s="42">
        <f>AD218*$G$13</f>
        <v/>
      </c>
      <c r="AE219" s="42">
        <f>AE218*$G$13</f>
        <v/>
      </c>
      <c r="AF219" s="42">
        <f>AF218*$G$13</f>
        <v/>
      </c>
      <c r="AG219" s="42">
        <f>AG218*$G$13</f>
        <v/>
      </c>
      <c r="AH219" s="42">
        <f>AH218*$G$13</f>
        <v/>
      </c>
      <c r="AI219" s="42">
        <f>AI218*$G$13</f>
        <v/>
      </c>
      <c r="AJ219" s="42">
        <f>AJ218*$G$13</f>
        <v/>
      </c>
      <c r="AK219" s="42">
        <f>AK218*$G$13</f>
        <v/>
      </c>
      <c r="AL219" s="42">
        <f>AL218*$G$13</f>
        <v/>
      </c>
      <c r="AM219" s="42">
        <f>AM218*$G$13</f>
        <v/>
      </c>
      <c r="AN219" s="42">
        <f>AN218*$G$13</f>
        <v/>
      </c>
      <c r="AO219" s="42">
        <f>AO218*$G$13</f>
        <v/>
      </c>
      <c r="AP219" s="42">
        <f>AP218*$G$13</f>
        <v/>
      </c>
      <c r="AQ219" s="42">
        <f>AQ218*$G$13</f>
        <v/>
      </c>
      <c r="AR219" s="42">
        <f>AR218*$G$13</f>
        <v/>
      </c>
      <c r="AS219" s="42">
        <f>AS218*$G$13</f>
        <v/>
      </c>
      <c r="AT219" s="42">
        <f>AT218*$G$13</f>
        <v/>
      </c>
      <c r="AU219" s="42">
        <f>AU218*$G$13</f>
        <v/>
      </c>
      <c r="AV219" s="42">
        <f>AV218*$G$13</f>
        <v/>
      </c>
      <c r="AW219" s="42">
        <f>AW218*$G$13</f>
        <v/>
      </c>
      <c r="AX219" s="42">
        <f>AX218*$G$13</f>
        <v/>
      </c>
      <c r="AY219" s="42">
        <f>AY218*$G$13</f>
        <v/>
      </c>
      <c r="AZ219" s="42">
        <f>AZ218*$G$13</f>
        <v/>
      </c>
      <c r="BA219" s="42">
        <f>BA218*$G$13</f>
        <v/>
      </c>
      <c r="BB219" s="42">
        <f>BB218*$G$13</f>
        <v/>
      </c>
      <c r="BC219" s="42">
        <f>BC218*$G$13</f>
        <v/>
      </c>
      <c r="BD219" s="42">
        <f>BD218*$G$13</f>
        <v/>
      </c>
    </row>
    <row r="220">
      <c r="A220" s="4" t="inlineStr">
        <is>
          <t>In store this week</t>
        </is>
      </c>
      <c r="B220" s="2" t="inlineStr">
        <is>
          <t>lb</t>
        </is>
      </c>
      <c r="E220" s="42">
        <f>E218-E219+E217</f>
        <v/>
      </c>
      <c r="F220" s="42">
        <f>F218-F219+F217</f>
        <v/>
      </c>
      <c r="G220" s="42">
        <f>G218-G219+G217</f>
        <v/>
      </c>
      <c r="H220" s="42">
        <f>H218-H219+H217</f>
        <v/>
      </c>
      <c r="I220" s="42">
        <f>I218-I219+I217</f>
        <v/>
      </c>
      <c r="J220" s="42">
        <f>J218-J219+J217</f>
        <v/>
      </c>
      <c r="K220" s="42">
        <f>K218-K219+K217</f>
        <v/>
      </c>
      <c r="L220" s="42">
        <f>L218-L219+L217</f>
        <v/>
      </c>
      <c r="M220" s="42">
        <f>M218-M219+M217</f>
        <v/>
      </c>
      <c r="N220" s="42">
        <f>N218-N219+N217</f>
        <v/>
      </c>
      <c r="O220" s="42">
        <f>O218-O219+O217</f>
        <v/>
      </c>
      <c r="P220" s="42">
        <f>P218-P219+P217</f>
        <v/>
      </c>
      <c r="Q220" s="42">
        <f>Q218-Q219+Q217</f>
        <v/>
      </c>
      <c r="R220" s="42">
        <f>R218-R219+R217</f>
        <v/>
      </c>
      <c r="S220" s="42">
        <f>S218-S219+S217</f>
        <v/>
      </c>
      <c r="T220" s="42">
        <f>T218-T219+T217</f>
        <v/>
      </c>
      <c r="U220" s="42">
        <f>U218-U219+U217</f>
        <v/>
      </c>
      <c r="V220" s="42">
        <f>V218-V219+V217</f>
        <v/>
      </c>
      <c r="W220" s="42">
        <f>W218-W219+W217</f>
        <v/>
      </c>
      <c r="X220" s="42">
        <f>X218-X219+X217</f>
        <v/>
      </c>
      <c r="Y220" s="42">
        <f>Y218-Y219+Y217</f>
        <v/>
      </c>
      <c r="Z220" s="42">
        <f>Z218-Z219+Z217</f>
        <v/>
      </c>
      <c r="AA220" s="42">
        <f>AA218-AA219+AA217</f>
        <v/>
      </c>
      <c r="AB220" s="42">
        <f>AB218-AB219+AB217</f>
        <v/>
      </c>
      <c r="AC220" s="42">
        <f>AC218-AC219+AC217</f>
        <v/>
      </c>
      <c r="AD220" s="42">
        <f>AD218-AD219+AD217</f>
        <v/>
      </c>
      <c r="AE220" s="42">
        <f>AE218-AE219+AE217</f>
        <v/>
      </c>
      <c r="AF220" s="42">
        <f>AF218-AF219+AF217</f>
        <v/>
      </c>
      <c r="AG220" s="42">
        <f>AG218-AG219+AG217</f>
        <v/>
      </c>
      <c r="AH220" s="42">
        <f>AH218-AH219+AH217</f>
        <v/>
      </c>
      <c r="AI220" s="42">
        <f>AI218-AI219+AI217</f>
        <v/>
      </c>
      <c r="AJ220" s="42">
        <f>AJ218-AJ219+AJ217</f>
        <v/>
      </c>
      <c r="AK220" s="42">
        <f>AK218-AK219+AK217</f>
        <v/>
      </c>
      <c r="AL220" s="42">
        <f>AL218-AL219+AL217</f>
        <v/>
      </c>
      <c r="AM220" s="42">
        <f>AM218-AM219+AM217</f>
        <v/>
      </c>
      <c r="AN220" s="42">
        <f>AN218-AN219+AN217</f>
        <v/>
      </c>
      <c r="AO220" s="42">
        <f>AO218-AO219+AO217</f>
        <v/>
      </c>
      <c r="AP220" s="42">
        <f>AP218-AP219+AP217</f>
        <v/>
      </c>
      <c r="AQ220" s="42">
        <f>AQ218-AQ219+AQ217</f>
        <v/>
      </c>
      <c r="AR220" s="42">
        <f>AR218-AR219+AR217</f>
        <v/>
      </c>
      <c r="AS220" s="42">
        <f>AS218-AS219+AS217</f>
        <v/>
      </c>
      <c r="AT220" s="42">
        <f>AT218-AT219+AT217</f>
        <v/>
      </c>
      <c r="AU220" s="42">
        <f>AU218-AU219+AU217</f>
        <v/>
      </c>
      <c r="AV220" s="42">
        <f>AV218-AV219+AV217</f>
        <v/>
      </c>
      <c r="AW220" s="42">
        <f>AW218-AW219+AW217</f>
        <v/>
      </c>
      <c r="AX220" s="42">
        <f>AX218-AX219+AX217</f>
        <v/>
      </c>
      <c r="AY220" s="42">
        <f>AY218-AY219+AY217</f>
        <v/>
      </c>
      <c r="AZ220" s="42">
        <f>AZ218-AZ219+AZ217</f>
        <v/>
      </c>
      <c r="BA220" s="42">
        <f>BA218-BA219+BA217</f>
        <v/>
      </c>
      <c r="BB220" s="42">
        <f>BB218-BB219+BB217</f>
        <v/>
      </c>
      <c r="BC220" s="42">
        <f>BC218-BC219+BC217</f>
        <v/>
      </c>
      <c r="BD220" s="42">
        <f>BD218-BD219+BD217</f>
        <v/>
      </c>
    </row>
    <row r="221">
      <c r="A221" s="28" t="inlineStr">
        <is>
          <t>Farmers Market — most you may sell this week</t>
        </is>
      </c>
      <c r="B221" s="2" t="inlineStr">
        <is>
          <t>lb</t>
        </is>
      </c>
      <c r="E221" s="46">
        <f>IF($C$21="Annual",$D$21-0,IF(AND(1&gt;=$E$21,1&lt;=$F$21),$D$21,0))</f>
        <v/>
      </c>
      <c r="F221" s="46">
        <f>IF($C$21="Annual",$D$21-SUM(E223:E223),IF(AND(2&gt;=$E$21,2&lt;=$F$21),$D$21,0))</f>
        <v/>
      </c>
      <c r="G221" s="46">
        <f>IF($C$21="Annual",$D$21-SUM(E223:F223),IF(AND(3&gt;=$E$21,3&lt;=$F$21),$D$21,0))</f>
        <v/>
      </c>
      <c r="H221" s="46">
        <f>IF($C$21="Annual",$D$21-SUM(E223:G223),IF(AND(4&gt;=$E$21,4&lt;=$F$21),$D$21,0))</f>
        <v/>
      </c>
      <c r="I221" s="46">
        <f>IF($C$21="Annual",$D$21-SUM(E223:H223),IF(AND(5&gt;=$E$21,5&lt;=$F$21),$D$21,0))</f>
        <v/>
      </c>
      <c r="J221" s="46">
        <f>IF($C$21="Annual",$D$21-SUM(E223:I223),IF(AND(6&gt;=$E$21,6&lt;=$F$21),$D$21,0))</f>
        <v/>
      </c>
      <c r="K221" s="46">
        <f>IF($C$21="Annual",$D$21-SUM(E223:J223),IF(AND(7&gt;=$E$21,7&lt;=$F$21),$D$21,0))</f>
        <v/>
      </c>
      <c r="L221" s="46">
        <f>IF($C$21="Annual",$D$21-SUM(E223:K223),IF(AND(8&gt;=$E$21,8&lt;=$F$21),$D$21,0))</f>
        <v/>
      </c>
      <c r="M221" s="46">
        <f>IF($C$21="Annual",$D$21-SUM(E223:L223),IF(AND(9&gt;=$E$21,9&lt;=$F$21),$D$21,0))</f>
        <v/>
      </c>
      <c r="N221" s="46">
        <f>IF($C$21="Annual",$D$21-SUM(E223:M223),IF(AND(10&gt;=$E$21,10&lt;=$F$21),$D$21,0))</f>
        <v/>
      </c>
      <c r="O221" s="46">
        <f>IF($C$21="Annual",$D$21-SUM(E223:N223),IF(AND(11&gt;=$E$21,11&lt;=$F$21),$D$21,0))</f>
        <v/>
      </c>
      <c r="P221" s="46">
        <f>IF($C$21="Annual",$D$21-SUM(E223:O223),IF(AND(12&gt;=$E$21,12&lt;=$F$21),$D$21,0))</f>
        <v/>
      </c>
      <c r="Q221" s="46">
        <f>IF($C$21="Annual",$D$21-SUM(E223:P223),IF(AND(13&gt;=$E$21,13&lt;=$F$21),$D$21,0))</f>
        <v/>
      </c>
      <c r="R221" s="46">
        <f>IF($C$21="Annual",$D$21-SUM(E223:Q223),IF(AND(14&gt;=$E$21,14&lt;=$F$21),$D$21,0))</f>
        <v/>
      </c>
      <c r="S221" s="46">
        <f>IF($C$21="Annual",$D$21-SUM(E223:R223),IF(AND(15&gt;=$E$21,15&lt;=$F$21),$D$21,0))</f>
        <v/>
      </c>
      <c r="T221" s="46">
        <f>IF($C$21="Annual",$D$21-SUM(E223:S223),IF(AND(16&gt;=$E$21,16&lt;=$F$21),$D$21,0))</f>
        <v/>
      </c>
      <c r="U221" s="46">
        <f>IF($C$21="Annual",$D$21-SUM(E223:T223),IF(AND(17&gt;=$E$21,17&lt;=$F$21),$D$21,0))</f>
        <v/>
      </c>
      <c r="V221" s="46">
        <f>IF($C$21="Annual",$D$21-SUM(E223:U223),IF(AND(18&gt;=$E$21,18&lt;=$F$21),$D$21,0))</f>
        <v/>
      </c>
      <c r="W221" s="46">
        <f>IF($C$21="Annual",$D$21-SUM(E223:V223),IF(AND(19&gt;=$E$21,19&lt;=$F$21),$D$21,0))</f>
        <v/>
      </c>
      <c r="X221" s="46">
        <f>IF($C$21="Annual",$D$21-SUM(E223:W223),IF(AND(20&gt;=$E$21,20&lt;=$F$21),$D$21,0))</f>
        <v/>
      </c>
      <c r="Y221" s="46">
        <f>IF($C$21="Annual",$D$21-SUM(E223:X223),IF(AND(21&gt;=$E$21,21&lt;=$F$21),$D$21,0))</f>
        <v/>
      </c>
      <c r="Z221" s="46">
        <f>IF($C$21="Annual",$D$21-SUM(E223:Y223),IF(AND(22&gt;=$E$21,22&lt;=$F$21),$D$21,0))</f>
        <v/>
      </c>
      <c r="AA221" s="46">
        <f>IF($C$21="Annual",$D$21-SUM(E223:Z223),IF(AND(23&gt;=$E$21,23&lt;=$F$21),$D$21,0))</f>
        <v/>
      </c>
      <c r="AB221" s="46">
        <f>IF($C$21="Annual",$D$21-SUM(E223:AA223),IF(AND(24&gt;=$E$21,24&lt;=$F$21),$D$21,0))</f>
        <v/>
      </c>
      <c r="AC221" s="46">
        <f>IF($C$21="Annual",$D$21-SUM(E223:AB223),IF(AND(25&gt;=$E$21,25&lt;=$F$21),$D$21,0))</f>
        <v/>
      </c>
      <c r="AD221" s="46">
        <f>IF($C$21="Annual",$D$21-SUM(E223:AC223),IF(AND(26&gt;=$E$21,26&lt;=$F$21),$D$21,0))</f>
        <v/>
      </c>
      <c r="AE221" s="46">
        <f>IF($C$21="Annual",$D$21-SUM(E223:AD223),IF(AND(27&gt;=$E$21,27&lt;=$F$21),$D$21,0))</f>
        <v/>
      </c>
      <c r="AF221" s="46">
        <f>IF($C$21="Annual",$D$21-SUM(E223:AE223),IF(AND(28&gt;=$E$21,28&lt;=$F$21),$D$21,0))</f>
        <v/>
      </c>
      <c r="AG221" s="46">
        <f>IF($C$21="Annual",$D$21-SUM(E223:AF223),IF(AND(29&gt;=$E$21,29&lt;=$F$21),$D$21,0))</f>
        <v/>
      </c>
      <c r="AH221" s="46">
        <f>IF($C$21="Annual",$D$21-SUM(E223:AG223),IF(AND(30&gt;=$E$21,30&lt;=$F$21),$D$21,0))</f>
        <v/>
      </c>
      <c r="AI221" s="46">
        <f>IF($C$21="Annual",$D$21-SUM(E223:AH223),IF(AND(31&gt;=$E$21,31&lt;=$F$21),$D$21,0))</f>
        <v/>
      </c>
      <c r="AJ221" s="46">
        <f>IF($C$21="Annual",$D$21-SUM(E223:AI223),IF(AND(32&gt;=$E$21,32&lt;=$F$21),$D$21,0))</f>
        <v/>
      </c>
      <c r="AK221" s="46">
        <f>IF($C$21="Annual",$D$21-SUM(E223:AJ223),IF(AND(33&gt;=$E$21,33&lt;=$F$21),$D$21,0))</f>
        <v/>
      </c>
      <c r="AL221" s="46">
        <f>IF($C$21="Annual",$D$21-SUM(E223:AK223),IF(AND(34&gt;=$E$21,34&lt;=$F$21),$D$21,0))</f>
        <v/>
      </c>
      <c r="AM221" s="46">
        <f>IF($C$21="Annual",$D$21-SUM(E223:AL223),IF(AND(35&gt;=$E$21,35&lt;=$F$21),$D$21,0))</f>
        <v/>
      </c>
      <c r="AN221" s="46">
        <f>IF($C$21="Annual",$D$21-SUM(E223:AM223),IF(AND(36&gt;=$E$21,36&lt;=$F$21),$D$21,0))</f>
        <v/>
      </c>
      <c r="AO221" s="46">
        <f>IF($C$21="Annual",$D$21-SUM(E223:AN223),IF(AND(37&gt;=$E$21,37&lt;=$F$21),$D$21,0))</f>
        <v/>
      </c>
      <c r="AP221" s="46">
        <f>IF($C$21="Annual",$D$21-SUM(E223:AO223),IF(AND(38&gt;=$E$21,38&lt;=$F$21),$D$21,0))</f>
        <v/>
      </c>
      <c r="AQ221" s="46">
        <f>IF($C$21="Annual",$D$21-SUM(E223:AP223),IF(AND(39&gt;=$E$21,39&lt;=$F$21),$D$21,0))</f>
        <v/>
      </c>
      <c r="AR221" s="46">
        <f>IF($C$21="Annual",$D$21-SUM(E223:AQ223),IF(AND(40&gt;=$E$21,40&lt;=$F$21),$D$21,0))</f>
        <v/>
      </c>
      <c r="AS221" s="46">
        <f>IF($C$21="Annual",$D$21-SUM(E223:AR223),IF(AND(41&gt;=$E$21,41&lt;=$F$21),$D$21,0))</f>
        <v/>
      </c>
      <c r="AT221" s="46">
        <f>IF($C$21="Annual",$D$21-SUM(E223:AS223),IF(AND(42&gt;=$E$21,42&lt;=$F$21),$D$21,0))</f>
        <v/>
      </c>
      <c r="AU221" s="46">
        <f>IF($C$21="Annual",$D$21-SUM(E223:AT223),IF(AND(43&gt;=$E$21,43&lt;=$F$21),$D$21,0))</f>
        <v/>
      </c>
      <c r="AV221" s="46">
        <f>IF($C$21="Annual",$D$21-SUM(E223:AU223),IF(AND(44&gt;=$E$21,44&lt;=$F$21),$D$21,0))</f>
        <v/>
      </c>
      <c r="AW221" s="46">
        <f>IF($C$21="Annual",$D$21-SUM(E223:AV223),IF(AND(45&gt;=$E$21,45&lt;=$F$21),$D$21,0))</f>
        <v/>
      </c>
      <c r="AX221" s="46">
        <f>IF($C$21="Annual",$D$21-SUM(E223:AW223),IF(AND(46&gt;=$E$21,46&lt;=$F$21),$D$21,0))</f>
        <v/>
      </c>
      <c r="AY221" s="46">
        <f>IF($C$21="Annual",$D$21-SUM(E223:AX223),IF(AND(47&gt;=$E$21,47&lt;=$F$21),$D$21,0))</f>
        <v/>
      </c>
      <c r="AZ221" s="46">
        <f>IF($C$21="Annual",$D$21-SUM(E223:AY223),IF(AND(48&gt;=$E$21,48&lt;=$F$21),$D$21,0))</f>
        <v/>
      </c>
      <c r="BA221" s="46">
        <f>IF($C$21="Annual",$D$21-SUM(E223:AZ223),IF(AND(49&gt;=$E$21,49&lt;=$F$21),$D$21,0))</f>
        <v/>
      </c>
      <c r="BB221" s="46">
        <f>IF($C$21="Annual",$D$21-SUM(E223:BA223),IF(AND(50&gt;=$E$21,50&lt;=$F$21),$D$21,0))</f>
        <v/>
      </c>
      <c r="BC221" s="46">
        <f>IF($C$21="Annual",$D$21-SUM(E223:BB223),IF(AND(51&gt;=$E$21,51&lt;=$F$21),$D$21,0))</f>
        <v/>
      </c>
      <c r="BD221" s="46">
        <f>IF($C$21="Annual",$D$21-SUM(E223:BC223),IF(AND(52&gt;=$E$21,52&lt;=$F$21),$D$21,0))</f>
        <v/>
      </c>
    </row>
    <row r="222">
      <c r="A222" s="24" t="inlineStr">
        <is>
          <t>Farmers Market — OFFERED</t>
        </is>
      </c>
      <c r="B222" s="2" t="inlineStr">
        <is>
          <t>lb  &lt;-- SOLVER</t>
        </is>
      </c>
      <c r="E222" s="43" t="n">
        <v>0</v>
      </c>
      <c r="F222" s="43" t="n">
        <v>0</v>
      </c>
      <c r="G222" s="43" t="n">
        <v>0</v>
      </c>
      <c r="H222" s="43" t="n">
        <v>0</v>
      </c>
      <c r="I222" s="43" t="n">
        <v>0</v>
      </c>
      <c r="J222" s="43" t="n">
        <v>0</v>
      </c>
      <c r="K222" s="43" t="n">
        <v>0</v>
      </c>
      <c r="L222" s="43" t="n">
        <v>0</v>
      </c>
      <c r="M222" s="43" t="n">
        <v>0</v>
      </c>
      <c r="N222" s="43" t="n">
        <v>0</v>
      </c>
      <c r="O222" s="43" t="n">
        <v>0</v>
      </c>
      <c r="P222" s="43" t="n">
        <v>0</v>
      </c>
      <c r="Q222" s="43" t="n">
        <v>0</v>
      </c>
      <c r="R222" s="43" t="n">
        <v>0</v>
      </c>
      <c r="S222" s="43" t="n">
        <v>0</v>
      </c>
      <c r="T222" s="43" t="n">
        <v>0</v>
      </c>
      <c r="U222" s="43" t="n">
        <v>0</v>
      </c>
      <c r="V222" s="43" t="n">
        <v>0</v>
      </c>
      <c r="W222" s="43" t="n">
        <v>0</v>
      </c>
      <c r="X222" s="43" t="n">
        <v>0</v>
      </c>
      <c r="Y222" s="43" t="n">
        <v>0</v>
      </c>
      <c r="Z222" s="43" t="n">
        <v>0</v>
      </c>
      <c r="AA222" s="43" t="n">
        <v>0</v>
      </c>
      <c r="AB222" s="43" t="n">
        <v>0</v>
      </c>
      <c r="AC222" s="43" t="n">
        <v>0</v>
      </c>
      <c r="AD222" s="43" t="n">
        <v>0</v>
      </c>
      <c r="AE222" s="43" t="n">
        <v>0</v>
      </c>
      <c r="AF222" s="43" t="n">
        <v>0</v>
      </c>
      <c r="AG222" s="43" t="n">
        <v>0</v>
      </c>
      <c r="AH222" s="43" t="n">
        <v>0</v>
      </c>
      <c r="AI222" s="43" t="n">
        <v>0</v>
      </c>
      <c r="AJ222" s="43" t="n">
        <v>0</v>
      </c>
      <c r="AK222" s="43" t="n">
        <v>0</v>
      </c>
      <c r="AL222" s="43" t="n">
        <v>0</v>
      </c>
      <c r="AM222" s="43" t="n">
        <v>0</v>
      </c>
      <c r="AN222" s="43" t="n">
        <v>0</v>
      </c>
      <c r="AO222" s="43" t="n">
        <v>0</v>
      </c>
      <c r="AP222" s="43" t="n">
        <v>0</v>
      </c>
      <c r="AQ222" s="43" t="n">
        <v>0</v>
      </c>
      <c r="AR222" s="43" t="n">
        <v>0</v>
      </c>
      <c r="AS222" s="43" t="n">
        <v>0</v>
      </c>
      <c r="AT222" s="43" t="n">
        <v>0</v>
      </c>
      <c r="AU222" s="43" t="n">
        <v>0</v>
      </c>
      <c r="AV222" s="43" t="n">
        <v>0</v>
      </c>
      <c r="AW222" s="43" t="n">
        <v>0</v>
      </c>
      <c r="AX222" s="43" t="n">
        <v>0</v>
      </c>
      <c r="AY222" s="43" t="n">
        <v>0</v>
      </c>
      <c r="AZ222" s="43" t="n">
        <v>0</v>
      </c>
      <c r="BA222" s="43" t="n">
        <v>0</v>
      </c>
      <c r="BB222" s="43" t="n">
        <v>0</v>
      </c>
      <c r="BC222" s="43" t="n">
        <v>0</v>
      </c>
      <c r="BD222" s="43" t="n">
        <v>0</v>
      </c>
    </row>
    <row r="223">
      <c r="A223" s="47" t="inlineStr">
        <is>
          <t>Farmers Market — SOLD</t>
        </is>
      </c>
      <c r="B223" s="2" t="inlineStr">
        <is>
          <t>lb</t>
        </is>
      </c>
      <c r="E223" s="46">
        <f>E222*$G$21</f>
        <v/>
      </c>
      <c r="F223" s="46">
        <f>F222*$G$21</f>
        <v/>
      </c>
      <c r="G223" s="46">
        <f>G222*$G$21</f>
        <v/>
      </c>
      <c r="H223" s="46">
        <f>H222*$G$21</f>
        <v/>
      </c>
      <c r="I223" s="46">
        <f>I222*$G$21</f>
        <v/>
      </c>
      <c r="J223" s="46">
        <f>J222*$G$21</f>
        <v/>
      </c>
      <c r="K223" s="46">
        <f>K222*$G$21</f>
        <v/>
      </c>
      <c r="L223" s="46">
        <f>L222*$G$21</f>
        <v/>
      </c>
      <c r="M223" s="46">
        <f>M222*$G$21</f>
        <v/>
      </c>
      <c r="N223" s="46">
        <f>N222*$G$21</f>
        <v/>
      </c>
      <c r="O223" s="46">
        <f>O222*$G$21</f>
        <v/>
      </c>
      <c r="P223" s="46">
        <f>P222*$G$21</f>
        <v/>
      </c>
      <c r="Q223" s="46">
        <f>Q222*$G$21</f>
        <v/>
      </c>
      <c r="R223" s="46">
        <f>R222*$G$21</f>
        <v/>
      </c>
      <c r="S223" s="46">
        <f>S222*$G$21</f>
        <v/>
      </c>
      <c r="T223" s="46">
        <f>T222*$G$21</f>
        <v/>
      </c>
      <c r="U223" s="46">
        <f>U222*$G$21</f>
        <v/>
      </c>
      <c r="V223" s="46">
        <f>V222*$G$21</f>
        <v/>
      </c>
      <c r="W223" s="46">
        <f>W222*$G$21</f>
        <v/>
      </c>
      <c r="X223" s="46">
        <f>X222*$G$21</f>
        <v/>
      </c>
      <c r="Y223" s="46">
        <f>Y222*$G$21</f>
        <v/>
      </c>
      <c r="Z223" s="46">
        <f>Z222*$G$21</f>
        <v/>
      </c>
      <c r="AA223" s="46">
        <f>AA222*$G$21</f>
        <v/>
      </c>
      <c r="AB223" s="46">
        <f>AB222*$G$21</f>
        <v/>
      </c>
      <c r="AC223" s="46">
        <f>AC222*$G$21</f>
        <v/>
      </c>
      <c r="AD223" s="46">
        <f>AD222*$G$21</f>
        <v/>
      </c>
      <c r="AE223" s="46">
        <f>AE222*$G$21</f>
        <v/>
      </c>
      <c r="AF223" s="46">
        <f>AF222*$G$21</f>
        <v/>
      </c>
      <c r="AG223" s="46">
        <f>AG222*$G$21</f>
        <v/>
      </c>
      <c r="AH223" s="46">
        <f>AH222*$G$21</f>
        <v/>
      </c>
      <c r="AI223" s="46">
        <f>AI222*$G$21</f>
        <v/>
      </c>
      <c r="AJ223" s="46">
        <f>AJ222*$G$21</f>
        <v/>
      </c>
      <c r="AK223" s="46">
        <f>AK222*$G$21</f>
        <v/>
      </c>
      <c r="AL223" s="46">
        <f>AL222*$G$21</f>
        <v/>
      </c>
      <c r="AM223" s="46">
        <f>AM222*$G$21</f>
        <v/>
      </c>
      <c r="AN223" s="46">
        <f>AN222*$G$21</f>
        <v/>
      </c>
      <c r="AO223" s="46">
        <f>AO222*$G$21</f>
        <v/>
      </c>
      <c r="AP223" s="46">
        <f>AP222*$G$21</f>
        <v/>
      </c>
      <c r="AQ223" s="46">
        <f>AQ222*$G$21</f>
        <v/>
      </c>
      <c r="AR223" s="46">
        <f>AR222*$G$21</f>
        <v/>
      </c>
      <c r="AS223" s="46">
        <f>AS222*$G$21</f>
        <v/>
      </c>
      <c r="AT223" s="46">
        <f>AT222*$G$21</f>
        <v/>
      </c>
      <c r="AU223" s="46">
        <f>AU222*$G$21</f>
        <v/>
      </c>
      <c r="AV223" s="46">
        <f>AV222*$G$21</f>
        <v/>
      </c>
      <c r="AW223" s="46">
        <f>AW222*$G$21</f>
        <v/>
      </c>
      <c r="AX223" s="46">
        <f>AX222*$G$21</f>
        <v/>
      </c>
      <c r="AY223" s="46">
        <f>AY222*$G$21</f>
        <v/>
      </c>
      <c r="AZ223" s="46">
        <f>AZ222*$G$21</f>
        <v/>
      </c>
      <c r="BA223" s="46">
        <f>BA222*$G$21</f>
        <v/>
      </c>
      <c r="BB223" s="46">
        <f>BB222*$G$21</f>
        <v/>
      </c>
      <c r="BC223" s="46">
        <f>BC222*$G$21</f>
        <v/>
      </c>
      <c r="BD223" s="46">
        <f>BD222*$G$21</f>
        <v/>
      </c>
    </row>
    <row r="224">
      <c r="A224" s="26" t="inlineStr">
        <is>
          <t xml:space="preserve">   market loss (gone)</t>
        </is>
      </c>
      <c r="B224" s="2" t="inlineStr">
        <is>
          <t>lb</t>
        </is>
      </c>
      <c r="E224" s="42">
        <f>(E222-E223)*(1-$H$21)</f>
        <v/>
      </c>
      <c r="F224" s="42">
        <f>(F222-F223)*(1-$H$21)</f>
        <v/>
      </c>
      <c r="G224" s="42">
        <f>(G222-G223)*(1-$H$21)</f>
        <v/>
      </c>
      <c r="H224" s="42">
        <f>(H222-H223)*(1-$H$21)</f>
        <v/>
      </c>
      <c r="I224" s="42">
        <f>(I222-I223)*(1-$H$21)</f>
        <v/>
      </c>
      <c r="J224" s="42">
        <f>(J222-J223)*(1-$H$21)</f>
        <v/>
      </c>
      <c r="K224" s="42">
        <f>(K222-K223)*(1-$H$21)</f>
        <v/>
      </c>
      <c r="L224" s="42">
        <f>(L222-L223)*(1-$H$21)</f>
        <v/>
      </c>
      <c r="M224" s="42">
        <f>(M222-M223)*(1-$H$21)</f>
        <v/>
      </c>
      <c r="N224" s="42">
        <f>(N222-N223)*(1-$H$21)</f>
        <v/>
      </c>
      <c r="O224" s="42">
        <f>(O222-O223)*(1-$H$21)</f>
        <v/>
      </c>
      <c r="P224" s="42">
        <f>(P222-P223)*(1-$H$21)</f>
        <v/>
      </c>
      <c r="Q224" s="42">
        <f>(Q222-Q223)*(1-$H$21)</f>
        <v/>
      </c>
      <c r="R224" s="42">
        <f>(R222-R223)*(1-$H$21)</f>
        <v/>
      </c>
      <c r="S224" s="42">
        <f>(S222-S223)*(1-$H$21)</f>
        <v/>
      </c>
      <c r="T224" s="42">
        <f>(T222-T223)*(1-$H$21)</f>
        <v/>
      </c>
      <c r="U224" s="42">
        <f>(U222-U223)*(1-$H$21)</f>
        <v/>
      </c>
      <c r="V224" s="42">
        <f>(V222-V223)*(1-$H$21)</f>
        <v/>
      </c>
      <c r="W224" s="42">
        <f>(W222-W223)*(1-$H$21)</f>
        <v/>
      </c>
      <c r="X224" s="42">
        <f>(X222-X223)*(1-$H$21)</f>
        <v/>
      </c>
      <c r="Y224" s="42">
        <f>(Y222-Y223)*(1-$H$21)</f>
        <v/>
      </c>
      <c r="Z224" s="42">
        <f>(Z222-Z223)*(1-$H$21)</f>
        <v/>
      </c>
      <c r="AA224" s="42">
        <f>(AA222-AA223)*(1-$H$21)</f>
        <v/>
      </c>
      <c r="AB224" s="42">
        <f>(AB222-AB223)*(1-$H$21)</f>
        <v/>
      </c>
      <c r="AC224" s="42">
        <f>(AC222-AC223)*(1-$H$21)</f>
        <v/>
      </c>
      <c r="AD224" s="42">
        <f>(AD222-AD223)*(1-$H$21)</f>
        <v/>
      </c>
      <c r="AE224" s="42">
        <f>(AE222-AE223)*(1-$H$21)</f>
        <v/>
      </c>
      <c r="AF224" s="42">
        <f>(AF222-AF223)*(1-$H$21)</f>
        <v/>
      </c>
      <c r="AG224" s="42">
        <f>(AG222-AG223)*(1-$H$21)</f>
        <v/>
      </c>
      <c r="AH224" s="42">
        <f>(AH222-AH223)*(1-$H$21)</f>
        <v/>
      </c>
      <c r="AI224" s="42">
        <f>(AI222-AI223)*(1-$H$21)</f>
        <v/>
      </c>
      <c r="AJ224" s="42">
        <f>(AJ222-AJ223)*(1-$H$21)</f>
        <v/>
      </c>
      <c r="AK224" s="42">
        <f>(AK222-AK223)*(1-$H$21)</f>
        <v/>
      </c>
      <c r="AL224" s="42">
        <f>(AL222-AL223)*(1-$H$21)</f>
        <v/>
      </c>
      <c r="AM224" s="42">
        <f>(AM222-AM223)*(1-$H$21)</f>
        <v/>
      </c>
      <c r="AN224" s="42">
        <f>(AN222-AN223)*(1-$H$21)</f>
        <v/>
      </c>
      <c r="AO224" s="42">
        <f>(AO222-AO223)*(1-$H$21)</f>
        <v/>
      </c>
      <c r="AP224" s="42">
        <f>(AP222-AP223)*(1-$H$21)</f>
        <v/>
      </c>
      <c r="AQ224" s="42">
        <f>(AQ222-AQ223)*(1-$H$21)</f>
        <v/>
      </c>
      <c r="AR224" s="42">
        <f>(AR222-AR223)*(1-$H$21)</f>
        <v/>
      </c>
      <c r="AS224" s="42">
        <f>(AS222-AS223)*(1-$H$21)</f>
        <v/>
      </c>
      <c r="AT224" s="42">
        <f>(AT222-AT223)*(1-$H$21)</f>
        <v/>
      </c>
      <c r="AU224" s="42">
        <f>(AU222-AU223)*(1-$H$21)</f>
        <v/>
      </c>
      <c r="AV224" s="42">
        <f>(AV222-AV223)*(1-$H$21)</f>
        <v/>
      </c>
      <c r="AW224" s="42">
        <f>(AW222-AW223)*(1-$H$21)</f>
        <v/>
      </c>
      <c r="AX224" s="42">
        <f>(AX222-AX223)*(1-$H$21)</f>
        <v/>
      </c>
      <c r="AY224" s="42">
        <f>(AY222-AY223)*(1-$H$21)</f>
        <v/>
      </c>
      <c r="AZ224" s="42">
        <f>(AZ222-AZ223)*(1-$H$21)</f>
        <v/>
      </c>
      <c r="BA224" s="42">
        <f>(BA222-BA223)*(1-$H$21)</f>
        <v/>
      </c>
      <c r="BB224" s="42">
        <f>(BB222-BB223)*(1-$H$21)</f>
        <v/>
      </c>
      <c r="BC224" s="42">
        <f>(BC222-BC223)*(1-$H$21)</f>
        <v/>
      </c>
      <c r="BD224" s="42">
        <f>(BD222-BD223)*(1-$H$21)</f>
        <v/>
      </c>
    </row>
    <row r="225">
      <c r="A225" s="26" t="inlineStr">
        <is>
          <t xml:space="preserve">   returned to store</t>
        </is>
      </c>
      <c r="B225" s="2" t="inlineStr">
        <is>
          <t>lb</t>
        </is>
      </c>
      <c r="E225" s="42">
        <f>(E222-E223)*$H$21</f>
        <v/>
      </c>
      <c r="F225" s="42">
        <f>(F222-F223)*$H$21</f>
        <v/>
      </c>
      <c r="G225" s="42">
        <f>(G222-G223)*$H$21</f>
        <v/>
      </c>
      <c r="H225" s="42">
        <f>(H222-H223)*$H$21</f>
        <v/>
      </c>
      <c r="I225" s="42">
        <f>(I222-I223)*$H$21</f>
        <v/>
      </c>
      <c r="J225" s="42">
        <f>(J222-J223)*$H$21</f>
        <v/>
      </c>
      <c r="K225" s="42">
        <f>(K222-K223)*$H$21</f>
        <v/>
      </c>
      <c r="L225" s="42">
        <f>(L222-L223)*$H$21</f>
        <v/>
      </c>
      <c r="M225" s="42">
        <f>(M222-M223)*$H$21</f>
        <v/>
      </c>
      <c r="N225" s="42">
        <f>(N222-N223)*$H$21</f>
        <v/>
      </c>
      <c r="O225" s="42">
        <f>(O222-O223)*$H$21</f>
        <v/>
      </c>
      <c r="P225" s="42">
        <f>(P222-P223)*$H$21</f>
        <v/>
      </c>
      <c r="Q225" s="42">
        <f>(Q222-Q223)*$H$21</f>
        <v/>
      </c>
      <c r="R225" s="42">
        <f>(R222-R223)*$H$21</f>
        <v/>
      </c>
      <c r="S225" s="42">
        <f>(S222-S223)*$H$21</f>
        <v/>
      </c>
      <c r="T225" s="42">
        <f>(T222-T223)*$H$21</f>
        <v/>
      </c>
      <c r="U225" s="42">
        <f>(U222-U223)*$H$21</f>
        <v/>
      </c>
      <c r="V225" s="42">
        <f>(V222-V223)*$H$21</f>
        <v/>
      </c>
      <c r="W225" s="42">
        <f>(W222-W223)*$H$21</f>
        <v/>
      </c>
      <c r="X225" s="42">
        <f>(X222-X223)*$H$21</f>
        <v/>
      </c>
      <c r="Y225" s="42">
        <f>(Y222-Y223)*$H$21</f>
        <v/>
      </c>
      <c r="Z225" s="42">
        <f>(Z222-Z223)*$H$21</f>
        <v/>
      </c>
      <c r="AA225" s="42">
        <f>(AA222-AA223)*$H$21</f>
        <v/>
      </c>
      <c r="AB225" s="42">
        <f>(AB222-AB223)*$H$21</f>
        <v/>
      </c>
      <c r="AC225" s="42">
        <f>(AC222-AC223)*$H$21</f>
        <v/>
      </c>
      <c r="AD225" s="42">
        <f>(AD222-AD223)*$H$21</f>
        <v/>
      </c>
      <c r="AE225" s="42">
        <f>(AE222-AE223)*$H$21</f>
        <v/>
      </c>
      <c r="AF225" s="42">
        <f>(AF222-AF223)*$H$21</f>
        <v/>
      </c>
      <c r="AG225" s="42">
        <f>(AG222-AG223)*$H$21</f>
        <v/>
      </c>
      <c r="AH225" s="42">
        <f>(AH222-AH223)*$H$21</f>
        <v/>
      </c>
      <c r="AI225" s="42">
        <f>(AI222-AI223)*$H$21</f>
        <v/>
      </c>
      <c r="AJ225" s="42">
        <f>(AJ222-AJ223)*$H$21</f>
        <v/>
      </c>
      <c r="AK225" s="42">
        <f>(AK222-AK223)*$H$21</f>
        <v/>
      </c>
      <c r="AL225" s="42">
        <f>(AL222-AL223)*$H$21</f>
        <v/>
      </c>
      <c r="AM225" s="42">
        <f>(AM222-AM223)*$H$21</f>
        <v/>
      </c>
      <c r="AN225" s="42">
        <f>(AN222-AN223)*$H$21</f>
        <v/>
      </c>
      <c r="AO225" s="42">
        <f>(AO222-AO223)*$H$21</f>
        <v/>
      </c>
      <c r="AP225" s="42">
        <f>(AP222-AP223)*$H$21</f>
        <v/>
      </c>
      <c r="AQ225" s="42">
        <f>(AQ222-AQ223)*$H$21</f>
        <v/>
      </c>
      <c r="AR225" s="42">
        <f>(AR222-AR223)*$H$21</f>
        <v/>
      </c>
      <c r="AS225" s="42">
        <f>(AS222-AS223)*$H$21</f>
        <v/>
      </c>
      <c r="AT225" s="42">
        <f>(AT222-AT223)*$H$21</f>
        <v/>
      </c>
      <c r="AU225" s="42">
        <f>(AU222-AU223)*$H$21</f>
        <v/>
      </c>
      <c r="AV225" s="42">
        <f>(AV222-AV223)*$H$21</f>
        <v/>
      </c>
      <c r="AW225" s="42">
        <f>(AW222-AW223)*$H$21</f>
        <v/>
      </c>
      <c r="AX225" s="42">
        <f>(AX222-AX223)*$H$21</f>
        <v/>
      </c>
      <c r="AY225" s="42">
        <f>(AY222-AY223)*$H$21</f>
        <v/>
      </c>
      <c r="AZ225" s="42">
        <f>(AZ222-AZ223)*$H$21</f>
        <v/>
      </c>
      <c r="BA225" s="42">
        <f>(BA222-BA223)*$H$21</f>
        <v/>
      </c>
      <c r="BB225" s="42">
        <f>(BB222-BB223)*$H$21</f>
        <v/>
      </c>
      <c r="BC225" s="42">
        <f>(BC222-BC223)*$H$21</f>
        <v/>
      </c>
      <c r="BD225" s="42">
        <f>(BD222-BD223)*$H$21</f>
        <v/>
      </c>
    </row>
    <row r="226">
      <c r="A226" s="26" t="inlineStr">
        <is>
          <t xml:space="preserve">   leaves the store (offered - returned)</t>
        </is>
      </c>
      <c r="B226" s="2" t="inlineStr">
        <is>
          <t>lb</t>
        </is>
      </c>
      <c r="E226" s="42">
        <f>E222-E225</f>
        <v/>
      </c>
      <c r="F226" s="42">
        <f>F222-F225</f>
        <v/>
      </c>
      <c r="G226" s="42">
        <f>G222-G225</f>
        <v/>
      </c>
      <c r="H226" s="42">
        <f>H222-H225</f>
        <v/>
      </c>
      <c r="I226" s="42">
        <f>I222-I225</f>
        <v/>
      </c>
      <c r="J226" s="42">
        <f>J222-J225</f>
        <v/>
      </c>
      <c r="K226" s="42">
        <f>K222-K225</f>
        <v/>
      </c>
      <c r="L226" s="42">
        <f>L222-L225</f>
        <v/>
      </c>
      <c r="M226" s="42">
        <f>M222-M225</f>
        <v/>
      </c>
      <c r="N226" s="42">
        <f>N222-N225</f>
        <v/>
      </c>
      <c r="O226" s="42">
        <f>O222-O225</f>
        <v/>
      </c>
      <c r="P226" s="42">
        <f>P222-P225</f>
        <v/>
      </c>
      <c r="Q226" s="42">
        <f>Q222-Q225</f>
        <v/>
      </c>
      <c r="R226" s="42">
        <f>R222-R225</f>
        <v/>
      </c>
      <c r="S226" s="42">
        <f>S222-S225</f>
        <v/>
      </c>
      <c r="T226" s="42">
        <f>T222-T225</f>
        <v/>
      </c>
      <c r="U226" s="42">
        <f>U222-U225</f>
        <v/>
      </c>
      <c r="V226" s="42">
        <f>V222-V225</f>
        <v/>
      </c>
      <c r="W226" s="42">
        <f>W222-W225</f>
        <v/>
      </c>
      <c r="X226" s="42">
        <f>X222-X225</f>
        <v/>
      </c>
      <c r="Y226" s="42">
        <f>Y222-Y225</f>
        <v/>
      </c>
      <c r="Z226" s="42">
        <f>Z222-Z225</f>
        <v/>
      </c>
      <c r="AA226" s="42">
        <f>AA222-AA225</f>
        <v/>
      </c>
      <c r="AB226" s="42">
        <f>AB222-AB225</f>
        <v/>
      </c>
      <c r="AC226" s="42">
        <f>AC222-AC225</f>
        <v/>
      </c>
      <c r="AD226" s="42">
        <f>AD222-AD225</f>
        <v/>
      </c>
      <c r="AE226" s="42">
        <f>AE222-AE225</f>
        <v/>
      </c>
      <c r="AF226" s="42">
        <f>AF222-AF225</f>
        <v/>
      </c>
      <c r="AG226" s="42">
        <f>AG222-AG225</f>
        <v/>
      </c>
      <c r="AH226" s="42">
        <f>AH222-AH225</f>
        <v/>
      </c>
      <c r="AI226" s="42">
        <f>AI222-AI225</f>
        <v/>
      </c>
      <c r="AJ226" s="42">
        <f>AJ222-AJ225</f>
        <v/>
      </c>
      <c r="AK226" s="42">
        <f>AK222-AK225</f>
        <v/>
      </c>
      <c r="AL226" s="42">
        <f>AL222-AL225</f>
        <v/>
      </c>
      <c r="AM226" s="42">
        <f>AM222-AM225</f>
        <v/>
      </c>
      <c r="AN226" s="42">
        <f>AN222-AN225</f>
        <v/>
      </c>
      <c r="AO226" s="42">
        <f>AO222-AO225</f>
        <v/>
      </c>
      <c r="AP226" s="42">
        <f>AP222-AP225</f>
        <v/>
      </c>
      <c r="AQ226" s="42">
        <f>AQ222-AQ225</f>
        <v/>
      </c>
      <c r="AR226" s="42">
        <f>AR222-AR225</f>
        <v/>
      </c>
      <c r="AS226" s="42">
        <f>AS222-AS225</f>
        <v/>
      </c>
      <c r="AT226" s="42">
        <f>AT222-AT225</f>
        <v/>
      </c>
      <c r="AU226" s="42">
        <f>AU222-AU225</f>
        <v/>
      </c>
      <c r="AV226" s="42">
        <f>AV222-AV225</f>
        <v/>
      </c>
      <c r="AW226" s="42">
        <f>AW222-AW225</f>
        <v/>
      </c>
      <c r="AX226" s="42">
        <f>AX222-AX225</f>
        <v/>
      </c>
      <c r="AY226" s="42">
        <f>AY222-AY225</f>
        <v/>
      </c>
      <c r="AZ226" s="42">
        <f>AZ222-AZ225</f>
        <v/>
      </c>
      <c r="BA226" s="42">
        <f>BA222-BA225</f>
        <v/>
      </c>
      <c r="BB226" s="42">
        <f>BB222-BB225</f>
        <v/>
      </c>
      <c r="BC226" s="42">
        <f>BC222-BC225</f>
        <v/>
      </c>
      <c r="BD226" s="42">
        <f>BD222-BD225</f>
        <v/>
      </c>
    </row>
    <row r="227">
      <c r="A227" s="28" t="inlineStr">
        <is>
          <t>Wholesale — most you may sell this week</t>
        </is>
      </c>
      <c r="B227" s="2" t="inlineStr">
        <is>
          <t>lb</t>
        </is>
      </c>
      <c r="E227" s="48">
        <f>IF($C$22="Annual",$D$22-0,IF(AND(1&gt;=$E$22,1&lt;=$F$22),$D$22,0))</f>
        <v/>
      </c>
      <c r="F227" s="48">
        <f>IF($C$22="Annual",$D$22-SUM(E231:E231),IF(AND(2&gt;=$E$22,2&lt;=$F$22),$D$22,0))</f>
        <v/>
      </c>
      <c r="G227" s="48">
        <f>IF($C$22="Annual",$D$22-SUM(E231:F231),IF(AND(3&gt;=$E$22,3&lt;=$F$22),$D$22,0))</f>
        <v/>
      </c>
      <c r="H227" s="48">
        <f>IF($C$22="Annual",$D$22-SUM(E231:G231),IF(AND(4&gt;=$E$22,4&lt;=$F$22),$D$22,0))</f>
        <v/>
      </c>
      <c r="I227" s="48">
        <f>IF($C$22="Annual",$D$22-SUM(E231:H231),IF(AND(5&gt;=$E$22,5&lt;=$F$22),$D$22,0))</f>
        <v/>
      </c>
      <c r="J227" s="48">
        <f>IF($C$22="Annual",$D$22-SUM(E231:I231),IF(AND(6&gt;=$E$22,6&lt;=$F$22),$D$22,0))</f>
        <v/>
      </c>
      <c r="K227" s="48">
        <f>IF($C$22="Annual",$D$22-SUM(E231:J231),IF(AND(7&gt;=$E$22,7&lt;=$F$22),$D$22,0))</f>
        <v/>
      </c>
      <c r="L227" s="48">
        <f>IF($C$22="Annual",$D$22-SUM(E231:K231),IF(AND(8&gt;=$E$22,8&lt;=$F$22),$D$22,0))</f>
        <v/>
      </c>
      <c r="M227" s="48">
        <f>IF($C$22="Annual",$D$22-SUM(E231:L231),IF(AND(9&gt;=$E$22,9&lt;=$F$22),$D$22,0))</f>
        <v/>
      </c>
      <c r="N227" s="48">
        <f>IF($C$22="Annual",$D$22-SUM(E231:M231),IF(AND(10&gt;=$E$22,10&lt;=$F$22),$D$22,0))</f>
        <v/>
      </c>
      <c r="O227" s="48">
        <f>IF($C$22="Annual",$D$22-SUM(E231:N231),IF(AND(11&gt;=$E$22,11&lt;=$F$22),$D$22,0))</f>
        <v/>
      </c>
      <c r="P227" s="48">
        <f>IF($C$22="Annual",$D$22-SUM(E231:O231),IF(AND(12&gt;=$E$22,12&lt;=$F$22),$D$22,0))</f>
        <v/>
      </c>
      <c r="Q227" s="48">
        <f>IF($C$22="Annual",$D$22-SUM(E231:P231),IF(AND(13&gt;=$E$22,13&lt;=$F$22),$D$22,0))</f>
        <v/>
      </c>
      <c r="R227" s="48">
        <f>IF($C$22="Annual",$D$22-SUM(E231:Q231),IF(AND(14&gt;=$E$22,14&lt;=$F$22),$D$22,0))</f>
        <v/>
      </c>
      <c r="S227" s="48">
        <f>IF($C$22="Annual",$D$22-SUM(E231:R231),IF(AND(15&gt;=$E$22,15&lt;=$F$22),$D$22,0))</f>
        <v/>
      </c>
      <c r="T227" s="48">
        <f>IF($C$22="Annual",$D$22-SUM(E231:S231),IF(AND(16&gt;=$E$22,16&lt;=$F$22),$D$22,0))</f>
        <v/>
      </c>
      <c r="U227" s="48">
        <f>IF($C$22="Annual",$D$22-SUM(E231:T231),IF(AND(17&gt;=$E$22,17&lt;=$F$22),$D$22,0))</f>
        <v/>
      </c>
      <c r="V227" s="48">
        <f>IF($C$22="Annual",$D$22-SUM(E231:U231),IF(AND(18&gt;=$E$22,18&lt;=$F$22),$D$22,0))</f>
        <v/>
      </c>
      <c r="W227" s="48">
        <f>IF($C$22="Annual",$D$22-SUM(E231:V231),IF(AND(19&gt;=$E$22,19&lt;=$F$22),$D$22,0))</f>
        <v/>
      </c>
      <c r="X227" s="48">
        <f>IF($C$22="Annual",$D$22-SUM(E231:W231),IF(AND(20&gt;=$E$22,20&lt;=$F$22),$D$22,0))</f>
        <v/>
      </c>
      <c r="Y227" s="48">
        <f>IF($C$22="Annual",$D$22-SUM(E231:X231),IF(AND(21&gt;=$E$22,21&lt;=$F$22),$D$22,0))</f>
        <v/>
      </c>
      <c r="Z227" s="48">
        <f>IF($C$22="Annual",$D$22-SUM(E231:Y231),IF(AND(22&gt;=$E$22,22&lt;=$F$22),$D$22,0))</f>
        <v/>
      </c>
      <c r="AA227" s="48">
        <f>IF($C$22="Annual",$D$22-SUM(E231:Z231),IF(AND(23&gt;=$E$22,23&lt;=$F$22),$D$22,0))</f>
        <v/>
      </c>
      <c r="AB227" s="48">
        <f>IF($C$22="Annual",$D$22-SUM(E231:AA231),IF(AND(24&gt;=$E$22,24&lt;=$F$22),$D$22,0))</f>
        <v/>
      </c>
      <c r="AC227" s="48">
        <f>IF($C$22="Annual",$D$22-SUM(E231:AB231),IF(AND(25&gt;=$E$22,25&lt;=$F$22),$D$22,0))</f>
        <v/>
      </c>
      <c r="AD227" s="48">
        <f>IF($C$22="Annual",$D$22-SUM(E231:AC231),IF(AND(26&gt;=$E$22,26&lt;=$F$22),$D$22,0))</f>
        <v/>
      </c>
      <c r="AE227" s="48">
        <f>IF($C$22="Annual",$D$22-SUM(E231:AD231),IF(AND(27&gt;=$E$22,27&lt;=$F$22),$D$22,0))</f>
        <v/>
      </c>
      <c r="AF227" s="48">
        <f>IF($C$22="Annual",$D$22-SUM(E231:AE231),IF(AND(28&gt;=$E$22,28&lt;=$F$22),$D$22,0))</f>
        <v/>
      </c>
      <c r="AG227" s="48">
        <f>IF($C$22="Annual",$D$22-SUM(E231:AF231),IF(AND(29&gt;=$E$22,29&lt;=$F$22),$D$22,0))</f>
        <v/>
      </c>
      <c r="AH227" s="48">
        <f>IF($C$22="Annual",$D$22-SUM(E231:AG231),IF(AND(30&gt;=$E$22,30&lt;=$F$22),$D$22,0))</f>
        <v/>
      </c>
      <c r="AI227" s="48">
        <f>IF($C$22="Annual",$D$22-SUM(E231:AH231),IF(AND(31&gt;=$E$22,31&lt;=$F$22),$D$22,0))</f>
        <v/>
      </c>
      <c r="AJ227" s="48">
        <f>IF($C$22="Annual",$D$22-SUM(E231:AI231),IF(AND(32&gt;=$E$22,32&lt;=$F$22),$D$22,0))</f>
        <v/>
      </c>
      <c r="AK227" s="48">
        <f>IF($C$22="Annual",$D$22-SUM(E231:AJ231),IF(AND(33&gt;=$E$22,33&lt;=$F$22),$D$22,0))</f>
        <v/>
      </c>
      <c r="AL227" s="48">
        <f>IF($C$22="Annual",$D$22-SUM(E231:AK231),IF(AND(34&gt;=$E$22,34&lt;=$F$22),$D$22,0))</f>
        <v/>
      </c>
      <c r="AM227" s="48">
        <f>IF($C$22="Annual",$D$22-SUM(E231:AL231),IF(AND(35&gt;=$E$22,35&lt;=$F$22),$D$22,0))</f>
        <v/>
      </c>
      <c r="AN227" s="48">
        <f>IF($C$22="Annual",$D$22-SUM(E231:AM231),IF(AND(36&gt;=$E$22,36&lt;=$F$22),$D$22,0))</f>
        <v/>
      </c>
      <c r="AO227" s="48">
        <f>IF($C$22="Annual",$D$22-SUM(E231:AN231),IF(AND(37&gt;=$E$22,37&lt;=$F$22),$D$22,0))</f>
        <v/>
      </c>
      <c r="AP227" s="48">
        <f>IF($C$22="Annual",$D$22-SUM(E231:AO231),IF(AND(38&gt;=$E$22,38&lt;=$F$22),$D$22,0))</f>
        <v/>
      </c>
      <c r="AQ227" s="48">
        <f>IF($C$22="Annual",$D$22-SUM(E231:AP231),IF(AND(39&gt;=$E$22,39&lt;=$F$22),$D$22,0))</f>
        <v/>
      </c>
      <c r="AR227" s="48">
        <f>IF($C$22="Annual",$D$22-SUM(E231:AQ231),IF(AND(40&gt;=$E$22,40&lt;=$F$22),$D$22,0))</f>
        <v/>
      </c>
      <c r="AS227" s="48">
        <f>IF($C$22="Annual",$D$22-SUM(E231:AR231),IF(AND(41&gt;=$E$22,41&lt;=$F$22),$D$22,0))</f>
        <v/>
      </c>
      <c r="AT227" s="48">
        <f>IF($C$22="Annual",$D$22-SUM(E231:AS231),IF(AND(42&gt;=$E$22,42&lt;=$F$22),$D$22,0))</f>
        <v/>
      </c>
      <c r="AU227" s="48">
        <f>IF($C$22="Annual",$D$22-SUM(E231:AT231),IF(AND(43&gt;=$E$22,43&lt;=$F$22),$D$22,0))</f>
        <v/>
      </c>
      <c r="AV227" s="48">
        <f>IF($C$22="Annual",$D$22-SUM(E231:AU231),IF(AND(44&gt;=$E$22,44&lt;=$F$22),$D$22,0))</f>
        <v/>
      </c>
      <c r="AW227" s="48">
        <f>IF($C$22="Annual",$D$22-SUM(E231:AV231),IF(AND(45&gt;=$E$22,45&lt;=$F$22),$D$22,0))</f>
        <v/>
      </c>
      <c r="AX227" s="48">
        <f>IF($C$22="Annual",$D$22-SUM(E231:AW231),IF(AND(46&gt;=$E$22,46&lt;=$F$22),$D$22,0))</f>
        <v/>
      </c>
      <c r="AY227" s="48">
        <f>IF($C$22="Annual",$D$22-SUM(E231:AX231),IF(AND(47&gt;=$E$22,47&lt;=$F$22),$D$22,0))</f>
        <v/>
      </c>
      <c r="AZ227" s="48">
        <f>IF($C$22="Annual",$D$22-SUM(E231:AY231),IF(AND(48&gt;=$E$22,48&lt;=$F$22),$D$22,0))</f>
        <v/>
      </c>
      <c r="BA227" s="48">
        <f>IF($C$22="Annual",$D$22-SUM(E231:AZ231),IF(AND(49&gt;=$E$22,49&lt;=$F$22),$D$22,0))</f>
        <v/>
      </c>
      <c r="BB227" s="48">
        <f>IF($C$22="Annual",$D$22-SUM(E231:BA231),IF(AND(50&gt;=$E$22,50&lt;=$F$22),$D$22,0))</f>
        <v/>
      </c>
      <c r="BC227" s="48">
        <f>IF($C$22="Annual",$D$22-SUM(E231:BB231),IF(AND(51&gt;=$E$22,51&lt;=$F$22),$D$22,0))</f>
        <v/>
      </c>
      <c r="BD227" s="48">
        <f>IF($C$22="Annual",$D$22-SUM(E231:BC231),IF(AND(52&gt;=$E$22,52&lt;=$F$22),$D$22,0))</f>
        <v/>
      </c>
    </row>
    <row r="228">
      <c r="A228" s="2" t="inlineStr">
        <is>
          <t xml:space="preserve">   ^ Wholesale is an ANNUAL cap (500,000 lb a year), so there is NO weekly limit —</t>
        </is>
      </c>
    </row>
    <row r="229">
      <c r="A229" s="2" t="inlineStr">
        <is>
          <t xml:space="preserve">     this row is what is LEFT of the year, and it falls as you sell.</t>
        </is>
      </c>
    </row>
    <row r="230">
      <c r="A230" s="24" t="inlineStr">
        <is>
          <t>Wholesale — OFFERED</t>
        </is>
      </c>
      <c r="B230" s="2" t="inlineStr">
        <is>
          <t>lb  &lt;-- SOLVER</t>
        </is>
      </c>
      <c r="E230" s="43" t="n">
        <v>0</v>
      </c>
      <c r="F230" s="43" t="n">
        <v>0</v>
      </c>
      <c r="G230" s="43" t="n">
        <v>0</v>
      </c>
      <c r="H230" s="43" t="n">
        <v>0</v>
      </c>
      <c r="I230" s="43" t="n">
        <v>0</v>
      </c>
      <c r="J230" s="43" t="n">
        <v>0</v>
      </c>
      <c r="K230" s="43" t="n">
        <v>0</v>
      </c>
      <c r="L230" s="43" t="n">
        <v>0</v>
      </c>
      <c r="M230" s="43" t="n">
        <v>0</v>
      </c>
      <c r="N230" s="43" t="n">
        <v>0</v>
      </c>
      <c r="O230" s="43" t="n">
        <v>0</v>
      </c>
      <c r="P230" s="43" t="n">
        <v>0</v>
      </c>
      <c r="Q230" s="43" t="n">
        <v>0</v>
      </c>
      <c r="R230" s="43" t="n">
        <v>0</v>
      </c>
      <c r="S230" s="43" t="n">
        <v>0</v>
      </c>
      <c r="T230" s="43" t="n">
        <v>0</v>
      </c>
      <c r="U230" s="43" t="n">
        <v>0</v>
      </c>
      <c r="V230" s="43" t="n">
        <v>0</v>
      </c>
      <c r="W230" s="43" t="n">
        <v>0</v>
      </c>
      <c r="X230" s="43" t="n">
        <v>0</v>
      </c>
      <c r="Y230" s="43" t="n">
        <v>0</v>
      </c>
      <c r="Z230" s="43" t="n">
        <v>0</v>
      </c>
      <c r="AA230" s="43" t="n">
        <v>0</v>
      </c>
      <c r="AB230" s="43" t="n">
        <v>0</v>
      </c>
      <c r="AC230" s="43" t="n">
        <v>0</v>
      </c>
      <c r="AD230" s="43" t="n">
        <v>0</v>
      </c>
      <c r="AE230" s="43" t="n">
        <v>0</v>
      </c>
      <c r="AF230" s="43" t="n">
        <v>0</v>
      </c>
      <c r="AG230" s="43" t="n">
        <v>0</v>
      </c>
      <c r="AH230" s="43" t="n">
        <v>0</v>
      </c>
      <c r="AI230" s="43" t="n">
        <v>0</v>
      </c>
      <c r="AJ230" s="43" t="n">
        <v>0</v>
      </c>
      <c r="AK230" s="43" t="n">
        <v>0</v>
      </c>
      <c r="AL230" s="43" t="n">
        <v>0</v>
      </c>
      <c r="AM230" s="43" t="n">
        <v>0</v>
      </c>
      <c r="AN230" s="43" t="n">
        <v>0</v>
      </c>
      <c r="AO230" s="43" t="n">
        <v>0</v>
      </c>
      <c r="AP230" s="43" t="n">
        <v>0</v>
      </c>
      <c r="AQ230" s="43" t="n">
        <v>0</v>
      </c>
      <c r="AR230" s="43" t="n">
        <v>0</v>
      </c>
      <c r="AS230" s="43" t="n">
        <v>0</v>
      </c>
      <c r="AT230" s="43" t="n">
        <v>0</v>
      </c>
      <c r="AU230" s="43" t="n">
        <v>0</v>
      </c>
      <c r="AV230" s="43" t="n">
        <v>0</v>
      </c>
      <c r="AW230" s="43" t="n">
        <v>0</v>
      </c>
      <c r="AX230" s="43" t="n">
        <v>0</v>
      </c>
      <c r="AY230" s="43" t="n">
        <v>0</v>
      </c>
      <c r="AZ230" s="43" t="n">
        <v>0</v>
      </c>
      <c r="BA230" s="43" t="n">
        <v>0</v>
      </c>
      <c r="BB230" s="43" t="n">
        <v>0</v>
      </c>
      <c r="BC230" s="43" t="n">
        <v>0</v>
      </c>
      <c r="BD230" s="43" t="n">
        <v>0</v>
      </c>
    </row>
    <row r="231">
      <c r="A231" s="49" t="inlineStr">
        <is>
          <t>Wholesale — SOLD</t>
        </is>
      </c>
      <c r="B231" s="2" t="inlineStr">
        <is>
          <t>lb</t>
        </is>
      </c>
      <c r="E231" s="48">
        <f>E230*$G$22</f>
        <v/>
      </c>
      <c r="F231" s="48">
        <f>F230*$G$22</f>
        <v/>
      </c>
      <c r="G231" s="48">
        <f>G230*$G$22</f>
        <v/>
      </c>
      <c r="H231" s="48">
        <f>H230*$G$22</f>
        <v/>
      </c>
      <c r="I231" s="48">
        <f>I230*$G$22</f>
        <v/>
      </c>
      <c r="J231" s="48">
        <f>J230*$G$22</f>
        <v/>
      </c>
      <c r="K231" s="48">
        <f>K230*$G$22</f>
        <v/>
      </c>
      <c r="L231" s="48">
        <f>L230*$G$22</f>
        <v/>
      </c>
      <c r="M231" s="48">
        <f>M230*$G$22</f>
        <v/>
      </c>
      <c r="N231" s="48">
        <f>N230*$G$22</f>
        <v/>
      </c>
      <c r="O231" s="48">
        <f>O230*$G$22</f>
        <v/>
      </c>
      <c r="P231" s="48">
        <f>P230*$G$22</f>
        <v/>
      </c>
      <c r="Q231" s="48">
        <f>Q230*$G$22</f>
        <v/>
      </c>
      <c r="R231" s="48">
        <f>R230*$G$22</f>
        <v/>
      </c>
      <c r="S231" s="48">
        <f>S230*$G$22</f>
        <v/>
      </c>
      <c r="T231" s="48">
        <f>T230*$G$22</f>
        <v/>
      </c>
      <c r="U231" s="48">
        <f>U230*$G$22</f>
        <v/>
      </c>
      <c r="V231" s="48">
        <f>V230*$G$22</f>
        <v/>
      </c>
      <c r="W231" s="48">
        <f>W230*$G$22</f>
        <v/>
      </c>
      <c r="X231" s="48">
        <f>X230*$G$22</f>
        <v/>
      </c>
      <c r="Y231" s="48">
        <f>Y230*$G$22</f>
        <v/>
      </c>
      <c r="Z231" s="48">
        <f>Z230*$G$22</f>
        <v/>
      </c>
      <c r="AA231" s="48">
        <f>AA230*$G$22</f>
        <v/>
      </c>
      <c r="AB231" s="48">
        <f>AB230*$G$22</f>
        <v/>
      </c>
      <c r="AC231" s="48">
        <f>AC230*$G$22</f>
        <v/>
      </c>
      <c r="AD231" s="48">
        <f>AD230*$G$22</f>
        <v/>
      </c>
      <c r="AE231" s="48">
        <f>AE230*$G$22</f>
        <v/>
      </c>
      <c r="AF231" s="48">
        <f>AF230*$G$22</f>
        <v/>
      </c>
      <c r="AG231" s="48">
        <f>AG230*$G$22</f>
        <v/>
      </c>
      <c r="AH231" s="48">
        <f>AH230*$G$22</f>
        <v/>
      </c>
      <c r="AI231" s="48">
        <f>AI230*$G$22</f>
        <v/>
      </c>
      <c r="AJ231" s="48">
        <f>AJ230*$G$22</f>
        <v/>
      </c>
      <c r="AK231" s="48">
        <f>AK230*$G$22</f>
        <v/>
      </c>
      <c r="AL231" s="48">
        <f>AL230*$G$22</f>
        <v/>
      </c>
      <c r="AM231" s="48">
        <f>AM230*$G$22</f>
        <v/>
      </c>
      <c r="AN231" s="48">
        <f>AN230*$G$22</f>
        <v/>
      </c>
      <c r="AO231" s="48">
        <f>AO230*$G$22</f>
        <v/>
      </c>
      <c r="AP231" s="48">
        <f>AP230*$G$22</f>
        <v/>
      </c>
      <c r="AQ231" s="48">
        <f>AQ230*$G$22</f>
        <v/>
      </c>
      <c r="AR231" s="48">
        <f>AR230*$G$22</f>
        <v/>
      </c>
      <c r="AS231" s="48">
        <f>AS230*$G$22</f>
        <v/>
      </c>
      <c r="AT231" s="48">
        <f>AT230*$G$22</f>
        <v/>
      </c>
      <c r="AU231" s="48">
        <f>AU230*$G$22</f>
        <v/>
      </c>
      <c r="AV231" s="48">
        <f>AV230*$G$22</f>
        <v/>
      </c>
      <c r="AW231" s="48">
        <f>AW230*$G$22</f>
        <v/>
      </c>
      <c r="AX231" s="48">
        <f>AX230*$G$22</f>
        <v/>
      </c>
      <c r="AY231" s="48">
        <f>AY230*$G$22</f>
        <v/>
      </c>
      <c r="AZ231" s="48">
        <f>AZ230*$G$22</f>
        <v/>
      </c>
      <c r="BA231" s="48">
        <f>BA230*$G$22</f>
        <v/>
      </c>
      <c r="BB231" s="48">
        <f>BB230*$G$22</f>
        <v/>
      </c>
      <c r="BC231" s="48">
        <f>BC230*$G$22</f>
        <v/>
      </c>
      <c r="BD231" s="48">
        <f>BD230*$G$22</f>
        <v/>
      </c>
    </row>
    <row r="232">
      <c r="A232" s="26" t="inlineStr">
        <is>
          <t xml:space="preserve">   market loss (gone)</t>
        </is>
      </c>
      <c r="B232" s="2" t="inlineStr">
        <is>
          <t>lb</t>
        </is>
      </c>
      <c r="E232" s="42">
        <f>(E230-E231)*(1-$H$22)</f>
        <v/>
      </c>
      <c r="F232" s="42">
        <f>(F230-F231)*(1-$H$22)</f>
        <v/>
      </c>
      <c r="G232" s="42">
        <f>(G230-G231)*(1-$H$22)</f>
        <v/>
      </c>
      <c r="H232" s="42">
        <f>(H230-H231)*(1-$H$22)</f>
        <v/>
      </c>
      <c r="I232" s="42">
        <f>(I230-I231)*(1-$H$22)</f>
        <v/>
      </c>
      <c r="J232" s="42">
        <f>(J230-J231)*(1-$H$22)</f>
        <v/>
      </c>
      <c r="K232" s="42">
        <f>(K230-K231)*(1-$H$22)</f>
        <v/>
      </c>
      <c r="L232" s="42">
        <f>(L230-L231)*(1-$H$22)</f>
        <v/>
      </c>
      <c r="M232" s="42">
        <f>(M230-M231)*(1-$H$22)</f>
        <v/>
      </c>
      <c r="N232" s="42">
        <f>(N230-N231)*(1-$H$22)</f>
        <v/>
      </c>
      <c r="O232" s="42">
        <f>(O230-O231)*(1-$H$22)</f>
        <v/>
      </c>
      <c r="P232" s="42">
        <f>(P230-P231)*(1-$H$22)</f>
        <v/>
      </c>
      <c r="Q232" s="42">
        <f>(Q230-Q231)*(1-$H$22)</f>
        <v/>
      </c>
      <c r="R232" s="42">
        <f>(R230-R231)*(1-$H$22)</f>
        <v/>
      </c>
      <c r="S232" s="42">
        <f>(S230-S231)*(1-$H$22)</f>
        <v/>
      </c>
      <c r="T232" s="42">
        <f>(T230-T231)*(1-$H$22)</f>
        <v/>
      </c>
      <c r="U232" s="42">
        <f>(U230-U231)*(1-$H$22)</f>
        <v/>
      </c>
      <c r="V232" s="42">
        <f>(V230-V231)*(1-$H$22)</f>
        <v/>
      </c>
      <c r="W232" s="42">
        <f>(W230-W231)*(1-$H$22)</f>
        <v/>
      </c>
      <c r="X232" s="42">
        <f>(X230-X231)*(1-$H$22)</f>
        <v/>
      </c>
      <c r="Y232" s="42">
        <f>(Y230-Y231)*(1-$H$22)</f>
        <v/>
      </c>
      <c r="Z232" s="42">
        <f>(Z230-Z231)*(1-$H$22)</f>
        <v/>
      </c>
      <c r="AA232" s="42">
        <f>(AA230-AA231)*(1-$H$22)</f>
        <v/>
      </c>
      <c r="AB232" s="42">
        <f>(AB230-AB231)*(1-$H$22)</f>
        <v/>
      </c>
      <c r="AC232" s="42">
        <f>(AC230-AC231)*(1-$H$22)</f>
        <v/>
      </c>
      <c r="AD232" s="42">
        <f>(AD230-AD231)*(1-$H$22)</f>
        <v/>
      </c>
      <c r="AE232" s="42">
        <f>(AE230-AE231)*(1-$H$22)</f>
        <v/>
      </c>
      <c r="AF232" s="42">
        <f>(AF230-AF231)*(1-$H$22)</f>
        <v/>
      </c>
      <c r="AG232" s="42">
        <f>(AG230-AG231)*(1-$H$22)</f>
        <v/>
      </c>
      <c r="AH232" s="42">
        <f>(AH230-AH231)*(1-$H$22)</f>
        <v/>
      </c>
      <c r="AI232" s="42">
        <f>(AI230-AI231)*(1-$H$22)</f>
        <v/>
      </c>
      <c r="AJ232" s="42">
        <f>(AJ230-AJ231)*(1-$H$22)</f>
        <v/>
      </c>
      <c r="AK232" s="42">
        <f>(AK230-AK231)*(1-$H$22)</f>
        <v/>
      </c>
      <c r="AL232" s="42">
        <f>(AL230-AL231)*(1-$H$22)</f>
        <v/>
      </c>
      <c r="AM232" s="42">
        <f>(AM230-AM231)*(1-$H$22)</f>
        <v/>
      </c>
      <c r="AN232" s="42">
        <f>(AN230-AN231)*(1-$H$22)</f>
        <v/>
      </c>
      <c r="AO232" s="42">
        <f>(AO230-AO231)*(1-$H$22)</f>
        <v/>
      </c>
      <c r="AP232" s="42">
        <f>(AP230-AP231)*(1-$H$22)</f>
        <v/>
      </c>
      <c r="AQ232" s="42">
        <f>(AQ230-AQ231)*(1-$H$22)</f>
        <v/>
      </c>
      <c r="AR232" s="42">
        <f>(AR230-AR231)*(1-$H$22)</f>
        <v/>
      </c>
      <c r="AS232" s="42">
        <f>(AS230-AS231)*(1-$H$22)</f>
        <v/>
      </c>
      <c r="AT232" s="42">
        <f>(AT230-AT231)*(1-$H$22)</f>
        <v/>
      </c>
      <c r="AU232" s="42">
        <f>(AU230-AU231)*(1-$H$22)</f>
        <v/>
      </c>
      <c r="AV232" s="42">
        <f>(AV230-AV231)*(1-$H$22)</f>
        <v/>
      </c>
      <c r="AW232" s="42">
        <f>(AW230-AW231)*(1-$H$22)</f>
        <v/>
      </c>
      <c r="AX232" s="42">
        <f>(AX230-AX231)*(1-$H$22)</f>
        <v/>
      </c>
      <c r="AY232" s="42">
        <f>(AY230-AY231)*(1-$H$22)</f>
        <v/>
      </c>
      <c r="AZ232" s="42">
        <f>(AZ230-AZ231)*(1-$H$22)</f>
        <v/>
      </c>
      <c r="BA232" s="42">
        <f>(BA230-BA231)*(1-$H$22)</f>
        <v/>
      </c>
      <c r="BB232" s="42">
        <f>(BB230-BB231)*(1-$H$22)</f>
        <v/>
      </c>
      <c r="BC232" s="42">
        <f>(BC230-BC231)*(1-$H$22)</f>
        <v/>
      </c>
      <c r="BD232" s="42">
        <f>(BD230-BD231)*(1-$H$22)</f>
        <v/>
      </c>
    </row>
    <row r="233">
      <c r="A233" s="26" t="inlineStr">
        <is>
          <t xml:space="preserve">   returned to store</t>
        </is>
      </c>
      <c r="B233" s="2" t="inlineStr">
        <is>
          <t>lb</t>
        </is>
      </c>
      <c r="E233" s="42">
        <f>(E230-E231)*$H$22</f>
        <v/>
      </c>
      <c r="F233" s="42">
        <f>(F230-F231)*$H$22</f>
        <v/>
      </c>
      <c r="G233" s="42">
        <f>(G230-G231)*$H$22</f>
        <v/>
      </c>
      <c r="H233" s="42">
        <f>(H230-H231)*$H$22</f>
        <v/>
      </c>
      <c r="I233" s="42">
        <f>(I230-I231)*$H$22</f>
        <v/>
      </c>
      <c r="J233" s="42">
        <f>(J230-J231)*$H$22</f>
        <v/>
      </c>
      <c r="K233" s="42">
        <f>(K230-K231)*$H$22</f>
        <v/>
      </c>
      <c r="L233" s="42">
        <f>(L230-L231)*$H$22</f>
        <v/>
      </c>
      <c r="M233" s="42">
        <f>(M230-M231)*$H$22</f>
        <v/>
      </c>
      <c r="N233" s="42">
        <f>(N230-N231)*$H$22</f>
        <v/>
      </c>
      <c r="O233" s="42">
        <f>(O230-O231)*$H$22</f>
        <v/>
      </c>
      <c r="P233" s="42">
        <f>(P230-P231)*$H$22</f>
        <v/>
      </c>
      <c r="Q233" s="42">
        <f>(Q230-Q231)*$H$22</f>
        <v/>
      </c>
      <c r="R233" s="42">
        <f>(R230-R231)*$H$22</f>
        <v/>
      </c>
      <c r="S233" s="42">
        <f>(S230-S231)*$H$22</f>
        <v/>
      </c>
      <c r="T233" s="42">
        <f>(T230-T231)*$H$22</f>
        <v/>
      </c>
      <c r="U233" s="42">
        <f>(U230-U231)*$H$22</f>
        <v/>
      </c>
      <c r="V233" s="42">
        <f>(V230-V231)*$H$22</f>
        <v/>
      </c>
      <c r="W233" s="42">
        <f>(W230-W231)*$H$22</f>
        <v/>
      </c>
      <c r="X233" s="42">
        <f>(X230-X231)*$H$22</f>
        <v/>
      </c>
      <c r="Y233" s="42">
        <f>(Y230-Y231)*$H$22</f>
        <v/>
      </c>
      <c r="Z233" s="42">
        <f>(Z230-Z231)*$H$22</f>
        <v/>
      </c>
      <c r="AA233" s="42">
        <f>(AA230-AA231)*$H$22</f>
        <v/>
      </c>
      <c r="AB233" s="42">
        <f>(AB230-AB231)*$H$22</f>
        <v/>
      </c>
      <c r="AC233" s="42">
        <f>(AC230-AC231)*$H$22</f>
        <v/>
      </c>
      <c r="AD233" s="42">
        <f>(AD230-AD231)*$H$22</f>
        <v/>
      </c>
      <c r="AE233" s="42">
        <f>(AE230-AE231)*$H$22</f>
        <v/>
      </c>
      <c r="AF233" s="42">
        <f>(AF230-AF231)*$H$22</f>
        <v/>
      </c>
      <c r="AG233" s="42">
        <f>(AG230-AG231)*$H$22</f>
        <v/>
      </c>
      <c r="AH233" s="42">
        <f>(AH230-AH231)*$H$22</f>
        <v/>
      </c>
      <c r="AI233" s="42">
        <f>(AI230-AI231)*$H$22</f>
        <v/>
      </c>
      <c r="AJ233" s="42">
        <f>(AJ230-AJ231)*$H$22</f>
        <v/>
      </c>
      <c r="AK233" s="42">
        <f>(AK230-AK231)*$H$22</f>
        <v/>
      </c>
      <c r="AL233" s="42">
        <f>(AL230-AL231)*$H$22</f>
        <v/>
      </c>
      <c r="AM233" s="42">
        <f>(AM230-AM231)*$H$22</f>
        <v/>
      </c>
      <c r="AN233" s="42">
        <f>(AN230-AN231)*$H$22</f>
        <v/>
      </c>
      <c r="AO233" s="42">
        <f>(AO230-AO231)*$H$22</f>
        <v/>
      </c>
      <c r="AP233" s="42">
        <f>(AP230-AP231)*$H$22</f>
        <v/>
      </c>
      <c r="AQ233" s="42">
        <f>(AQ230-AQ231)*$H$22</f>
        <v/>
      </c>
      <c r="AR233" s="42">
        <f>(AR230-AR231)*$H$22</f>
        <v/>
      </c>
      <c r="AS233" s="42">
        <f>(AS230-AS231)*$H$22</f>
        <v/>
      </c>
      <c r="AT233" s="42">
        <f>(AT230-AT231)*$H$22</f>
        <v/>
      </c>
      <c r="AU233" s="42">
        <f>(AU230-AU231)*$H$22</f>
        <v/>
      </c>
      <c r="AV233" s="42">
        <f>(AV230-AV231)*$H$22</f>
        <v/>
      </c>
      <c r="AW233" s="42">
        <f>(AW230-AW231)*$H$22</f>
        <v/>
      </c>
      <c r="AX233" s="42">
        <f>(AX230-AX231)*$H$22</f>
        <v/>
      </c>
      <c r="AY233" s="42">
        <f>(AY230-AY231)*$H$22</f>
        <v/>
      </c>
      <c r="AZ233" s="42">
        <f>(AZ230-AZ231)*$H$22</f>
        <v/>
      </c>
      <c r="BA233" s="42">
        <f>(BA230-BA231)*$H$22</f>
        <v/>
      </c>
      <c r="BB233" s="42">
        <f>(BB230-BB231)*$H$22</f>
        <v/>
      </c>
      <c r="BC233" s="42">
        <f>(BC230-BC231)*$H$22</f>
        <v/>
      </c>
      <c r="BD233" s="42">
        <f>(BD230-BD231)*$H$22</f>
        <v/>
      </c>
    </row>
    <row r="234">
      <c r="A234" s="26" t="inlineStr">
        <is>
          <t xml:space="preserve">   leaves the store (offered - returned)</t>
        </is>
      </c>
      <c r="B234" s="2" t="inlineStr">
        <is>
          <t>lb</t>
        </is>
      </c>
      <c r="E234" s="42">
        <f>E230-E233</f>
        <v/>
      </c>
      <c r="F234" s="42">
        <f>F230-F233</f>
        <v/>
      </c>
      <c r="G234" s="42">
        <f>G230-G233</f>
        <v/>
      </c>
      <c r="H234" s="42">
        <f>H230-H233</f>
        <v/>
      </c>
      <c r="I234" s="42">
        <f>I230-I233</f>
        <v/>
      </c>
      <c r="J234" s="42">
        <f>J230-J233</f>
        <v/>
      </c>
      <c r="K234" s="42">
        <f>K230-K233</f>
        <v/>
      </c>
      <c r="L234" s="42">
        <f>L230-L233</f>
        <v/>
      </c>
      <c r="M234" s="42">
        <f>M230-M233</f>
        <v/>
      </c>
      <c r="N234" s="42">
        <f>N230-N233</f>
        <v/>
      </c>
      <c r="O234" s="42">
        <f>O230-O233</f>
        <v/>
      </c>
      <c r="P234" s="42">
        <f>P230-P233</f>
        <v/>
      </c>
      <c r="Q234" s="42">
        <f>Q230-Q233</f>
        <v/>
      </c>
      <c r="R234" s="42">
        <f>R230-R233</f>
        <v/>
      </c>
      <c r="S234" s="42">
        <f>S230-S233</f>
        <v/>
      </c>
      <c r="T234" s="42">
        <f>T230-T233</f>
        <v/>
      </c>
      <c r="U234" s="42">
        <f>U230-U233</f>
        <v/>
      </c>
      <c r="V234" s="42">
        <f>V230-V233</f>
        <v/>
      </c>
      <c r="W234" s="42">
        <f>W230-W233</f>
        <v/>
      </c>
      <c r="X234" s="42">
        <f>X230-X233</f>
        <v/>
      </c>
      <c r="Y234" s="42">
        <f>Y230-Y233</f>
        <v/>
      </c>
      <c r="Z234" s="42">
        <f>Z230-Z233</f>
        <v/>
      </c>
      <c r="AA234" s="42">
        <f>AA230-AA233</f>
        <v/>
      </c>
      <c r="AB234" s="42">
        <f>AB230-AB233</f>
        <v/>
      </c>
      <c r="AC234" s="42">
        <f>AC230-AC233</f>
        <v/>
      </c>
      <c r="AD234" s="42">
        <f>AD230-AD233</f>
        <v/>
      </c>
      <c r="AE234" s="42">
        <f>AE230-AE233</f>
        <v/>
      </c>
      <c r="AF234" s="42">
        <f>AF230-AF233</f>
        <v/>
      </c>
      <c r="AG234" s="42">
        <f>AG230-AG233</f>
        <v/>
      </c>
      <c r="AH234" s="42">
        <f>AH230-AH233</f>
        <v/>
      </c>
      <c r="AI234" s="42">
        <f>AI230-AI233</f>
        <v/>
      </c>
      <c r="AJ234" s="42">
        <f>AJ230-AJ233</f>
        <v/>
      </c>
      <c r="AK234" s="42">
        <f>AK230-AK233</f>
        <v/>
      </c>
      <c r="AL234" s="42">
        <f>AL230-AL233</f>
        <v/>
      </c>
      <c r="AM234" s="42">
        <f>AM230-AM233</f>
        <v/>
      </c>
      <c r="AN234" s="42">
        <f>AN230-AN233</f>
        <v/>
      </c>
      <c r="AO234" s="42">
        <f>AO230-AO233</f>
        <v/>
      </c>
      <c r="AP234" s="42">
        <f>AP230-AP233</f>
        <v/>
      </c>
      <c r="AQ234" s="42">
        <f>AQ230-AQ233</f>
        <v/>
      </c>
      <c r="AR234" s="42">
        <f>AR230-AR233</f>
        <v/>
      </c>
      <c r="AS234" s="42">
        <f>AS230-AS233</f>
        <v/>
      </c>
      <c r="AT234" s="42">
        <f>AT230-AT233</f>
        <v/>
      </c>
      <c r="AU234" s="42">
        <f>AU230-AU233</f>
        <v/>
      </c>
      <c r="AV234" s="42">
        <f>AV230-AV233</f>
        <v/>
      </c>
      <c r="AW234" s="42">
        <f>AW230-AW233</f>
        <v/>
      </c>
      <c r="AX234" s="42">
        <f>AX230-AX233</f>
        <v/>
      </c>
      <c r="AY234" s="42">
        <f>AY230-AY233</f>
        <v/>
      </c>
      <c r="AZ234" s="42">
        <f>AZ230-AZ233</f>
        <v/>
      </c>
      <c r="BA234" s="42">
        <f>BA230-BA233</f>
        <v/>
      </c>
      <c r="BB234" s="42">
        <f>BB230-BB233</f>
        <v/>
      </c>
      <c r="BC234" s="42">
        <f>BC230-BC233</f>
        <v/>
      </c>
      <c r="BD234" s="42">
        <f>BD230-BD233</f>
        <v/>
      </c>
    </row>
    <row r="235">
      <c r="A235" s="39" t="inlineStr">
        <is>
          <t>Stock carried out</t>
        </is>
      </c>
      <c r="B235" s="2" t="inlineStr">
        <is>
          <t>lb</t>
        </is>
      </c>
      <c r="E235" s="42">
        <f>E220-E226-E234</f>
        <v/>
      </c>
      <c r="F235" s="42">
        <f>F220-F226-F234</f>
        <v/>
      </c>
      <c r="G235" s="42">
        <f>G220-G226-G234</f>
        <v/>
      </c>
      <c r="H235" s="42">
        <f>H220-H226-H234</f>
        <v/>
      </c>
      <c r="I235" s="42">
        <f>I220-I226-I234</f>
        <v/>
      </c>
      <c r="J235" s="42">
        <f>J220-J226-J234</f>
        <v/>
      </c>
      <c r="K235" s="42">
        <f>K220-K226-K234</f>
        <v/>
      </c>
      <c r="L235" s="42">
        <f>L220-L226-L234</f>
        <v/>
      </c>
      <c r="M235" s="42">
        <f>M220-M226-M234</f>
        <v/>
      </c>
      <c r="N235" s="42">
        <f>N220-N226-N234</f>
        <v/>
      </c>
      <c r="O235" s="42">
        <f>O220-O226-O234</f>
        <v/>
      </c>
      <c r="P235" s="42">
        <f>P220-P226-P234</f>
        <v/>
      </c>
      <c r="Q235" s="42">
        <f>Q220-Q226-Q234</f>
        <v/>
      </c>
      <c r="R235" s="42">
        <f>R220-R226-R234</f>
        <v/>
      </c>
      <c r="S235" s="42">
        <f>S220-S226-S234</f>
        <v/>
      </c>
      <c r="T235" s="42">
        <f>T220-T226-T234</f>
        <v/>
      </c>
      <c r="U235" s="42">
        <f>U220-U226-U234</f>
        <v/>
      </c>
      <c r="V235" s="42">
        <f>V220-V226-V234</f>
        <v/>
      </c>
      <c r="W235" s="42">
        <f>W220-W226-W234</f>
        <v/>
      </c>
      <c r="X235" s="42">
        <f>X220-X226-X234</f>
        <v/>
      </c>
      <c r="Y235" s="42">
        <f>Y220-Y226-Y234</f>
        <v/>
      </c>
      <c r="Z235" s="42">
        <f>Z220-Z226-Z234</f>
        <v/>
      </c>
      <c r="AA235" s="42">
        <f>AA220-AA226-AA234</f>
        <v/>
      </c>
      <c r="AB235" s="42">
        <f>AB220-AB226-AB234</f>
        <v/>
      </c>
      <c r="AC235" s="42">
        <f>AC220-AC226-AC234</f>
        <v/>
      </c>
      <c r="AD235" s="42">
        <f>AD220-AD226-AD234</f>
        <v/>
      </c>
      <c r="AE235" s="42">
        <f>AE220-AE226-AE234</f>
        <v/>
      </c>
      <c r="AF235" s="42">
        <f>AF220-AF226-AF234</f>
        <v/>
      </c>
      <c r="AG235" s="42">
        <f>AG220-AG226-AG234</f>
        <v/>
      </c>
      <c r="AH235" s="42">
        <f>AH220-AH226-AH234</f>
        <v/>
      </c>
      <c r="AI235" s="42">
        <f>AI220-AI226-AI234</f>
        <v/>
      </c>
      <c r="AJ235" s="42">
        <f>AJ220-AJ226-AJ234</f>
        <v/>
      </c>
      <c r="AK235" s="42">
        <f>AK220-AK226-AK234</f>
        <v/>
      </c>
      <c r="AL235" s="42">
        <f>AL220-AL226-AL234</f>
        <v/>
      </c>
      <c r="AM235" s="42">
        <f>AM220-AM226-AM234</f>
        <v/>
      </c>
      <c r="AN235" s="42">
        <f>AN220-AN226-AN234</f>
        <v/>
      </c>
      <c r="AO235" s="42">
        <f>AO220-AO226-AO234</f>
        <v/>
      </c>
      <c r="AP235" s="42">
        <f>AP220-AP226-AP234</f>
        <v/>
      </c>
      <c r="AQ235" s="42">
        <f>AQ220-AQ226-AQ234</f>
        <v/>
      </c>
      <c r="AR235" s="42">
        <f>AR220-AR226-AR234</f>
        <v/>
      </c>
      <c r="AS235" s="42">
        <f>AS220-AS226-AS234</f>
        <v/>
      </c>
      <c r="AT235" s="42">
        <f>AT220-AT226-AT234</f>
        <v/>
      </c>
      <c r="AU235" s="42">
        <f>AU220-AU226-AU234</f>
        <v/>
      </c>
      <c r="AV235" s="42">
        <f>AV220-AV226-AV234</f>
        <v/>
      </c>
      <c r="AW235" s="42">
        <f>AW220-AW226-AW234</f>
        <v/>
      </c>
      <c r="AX235" s="42">
        <f>AX220-AX226-AX234</f>
        <v/>
      </c>
      <c r="AY235" s="42">
        <f>AY220-AY226-AY234</f>
        <v/>
      </c>
      <c r="AZ235" s="42">
        <f>AZ220-AZ226-AZ234</f>
        <v/>
      </c>
      <c r="BA235" s="42">
        <f>BA220-BA226-BA234</f>
        <v/>
      </c>
      <c r="BB235" s="42">
        <f>BB220-BB226-BB234</f>
        <v/>
      </c>
      <c r="BC235" s="42">
        <f>BC220-BC226-BC234</f>
        <v/>
      </c>
      <c r="BD235" s="42">
        <f>BD220-BD226-BD234</f>
        <v/>
      </c>
    </row>
    <row r="236">
      <c r="A236" s="2" t="inlineStr">
        <is>
          <t xml:space="preserve">   ^ subtracts what LEAVES, not what was offered — so 'returned to store' is</t>
        </is>
      </c>
    </row>
    <row r="237">
      <c r="A237" s="2" t="inlineStr">
        <is>
          <t xml:space="preserve">     never taken out at all, and shows up as next week's carried in.</t>
        </is>
      </c>
    </row>
    <row r="238">
      <c r="A238" s="28" t="inlineStr">
        <is>
          <t>Most stock its shelf life allows</t>
        </is>
      </c>
      <c r="B238" s="2" t="inlineStr">
        <is>
          <t>lb</t>
        </is>
      </c>
      <c r="E238" s="44">
        <f>SUMPRODUCT(($E$216:$BD$216&gt;=1-$F$13+2)*($E$216:$BD$216&lt;=1)*$E$217:$BD$217*POWER(1-$G$13,($E$216:$BD$216&lt;=1)*(1-$E$216:$BD$216)))</f>
        <v/>
      </c>
      <c r="F238" s="44">
        <f>SUMPRODUCT(($E$216:$BD$216&gt;=2-$F$13+2)*($E$216:$BD$216&lt;=2)*$E$217:$BD$217*POWER(1-$G$13,($E$216:$BD$216&lt;=2)*(2-$E$216:$BD$216)))</f>
        <v/>
      </c>
      <c r="G238" s="44">
        <f>SUMPRODUCT(($E$216:$BD$216&gt;=3-$F$13+2)*($E$216:$BD$216&lt;=3)*$E$217:$BD$217*POWER(1-$G$13,($E$216:$BD$216&lt;=3)*(3-$E$216:$BD$216)))</f>
        <v/>
      </c>
      <c r="H238" s="44">
        <f>SUMPRODUCT(($E$216:$BD$216&gt;=4-$F$13+2)*($E$216:$BD$216&lt;=4)*$E$217:$BD$217*POWER(1-$G$13,($E$216:$BD$216&lt;=4)*(4-$E$216:$BD$216)))</f>
        <v/>
      </c>
      <c r="I238" s="44">
        <f>SUMPRODUCT(($E$216:$BD$216&gt;=5-$F$13+2)*($E$216:$BD$216&lt;=5)*$E$217:$BD$217*POWER(1-$G$13,($E$216:$BD$216&lt;=5)*(5-$E$216:$BD$216)))</f>
        <v/>
      </c>
      <c r="J238" s="44">
        <f>SUMPRODUCT(($E$216:$BD$216&gt;=6-$F$13+2)*($E$216:$BD$216&lt;=6)*$E$217:$BD$217*POWER(1-$G$13,($E$216:$BD$216&lt;=6)*(6-$E$216:$BD$216)))</f>
        <v/>
      </c>
      <c r="K238" s="44">
        <f>SUMPRODUCT(($E$216:$BD$216&gt;=7-$F$13+2)*($E$216:$BD$216&lt;=7)*$E$217:$BD$217*POWER(1-$G$13,($E$216:$BD$216&lt;=7)*(7-$E$216:$BD$216)))</f>
        <v/>
      </c>
      <c r="L238" s="44">
        <f>SUMPRODUCT(($E$216:$BD$216&gt;=8-$F$13+2)*($E$216:$BD$216&lt;=8)*$E$217:$BD$217*POWER(1-$G$13,($E$216:$BD$216&lt;=8)*(8-$E$216:$BD$216)))</f>
        <v/>
      </c>
      <c r="M238" s="44">
        <f>SUMPRODUCT(($E$216:$BD$216&gt;=9-$F$13+2)*($E$216:$BD$216&lt;=9)*$E$217:$BD$217*POWER(1-$G$13,($E$216:$BD$216&lt;=9)*(9-$E$216:$BD$216)))</f>
        <v/>
      </c>
      <c r="N238" s="44">
        <f>SUMPRODUCT(($E$216:$BD$216&gt;=10-$F$13+2)*($E$216:$BD$216&lt;=10)*$E$217:$BD$217*POWER(1-$G$13,($E$216:$BD$216&lt;=10)*(10-$E$216:$BD$216)))</f>
        <v/>
      </c>
      <c r="O238" s="44">
        <f>SUMPRODUCT(($E$216:$BD$216&gt;=11-$F$13+2)*($E$216:$BD$216&lt;=11)*$E$217:$BD$217*POWER(1-$G$13,($E$216:$BD$216&lt;=11)*(11-$E$216:$BD$216)))</f>
        <v/>
      </c>
      <c r="P238" s="44">
        <f>SUMPRODUCT(($E$216:$BD$216&gt;=12-$F$13+2)*($E$216:$BD$216&lt;=12)*$E$217:$BD$217*POWER(1-$G$13,($E$216:$BD$216&lt;=12)*(12-$E$216:$BD$216)))</f>
        <v/>
      </c>
      <c r="Q238" s="44">
        <f>SUMPRODUCT(($E$216:$BD$216&gt;=13-$F$13+2)*($E$216:$BD$216&lt;=13)*$E$217:$BD$217*POWER(1-$G$13,($E$216:$BD$216&lt;=13)*(13-$E$216:$BD$216)))</f>
        <v/>
      </c>
      <c r="R238" s="44">
        <f>SUMPRODUCT(($E$216:$BD$216&gt;=14-$F$13+2)*($E$216:$BD$216&lt;=14)*$E$217:$BD$217*POWER(1-$G$13,($E$216:$BD$216&lt;=14)*(14-$E$216:$BD$216)))</f>
        <v/>
      </c>
      <c r="S238" s="44">
        <f>SUMPRODUCT(($E$216:$BD$216&gt;=15-$F$13+2)*($E$216:$BD$216&lt;=15)*$E$217:$BD$217*POWER(1-$G$13,($E$216:$BD$216&lt;=15)*(15-$E$216:$BD$216)))</f>
        <v/>
      </c>
      <c r="T238" s="44">
        <f>SUMPRODUCT(($E$216:$BD$216&gt;=16-$F$13+2)*($E$216:$BD$216&lt;=16)*$E$217:$BD$217*POWER(1-$G$13,($E$216:$BD$216&lt;=16)*(16-$E$216:$BD$216)))</f>
        <v/>
      </c>
      <c r="U238" s="44">
        <f>SUMPRODUCT(($E$216:$BD$216&gt;=17-$F$13+2)*($E$216:$BD$216&lt;=17)*$E$217:$BD$217*POWER(1-$G$13,($E$216:$BD$216&lt;=17)*(17-$E$216:$BD$216)))</f>
        <v/>
      </c>
      <c r="V238" s="44">
        <f>SUMPRODUCT(($E$216:$BD$216&gt;=18-$F$13+2)*($E$216:$BD$216&lt;=18)*$E$217:$BD$217*POWER(1-$G$13,($E$216:$BD$216&lt;=18)*(18-$E$216:$BD$216)))</f>
        <v/>
      </c>
      <c r="W238" s="44">
        <f>SUMPRODUCT(($E$216:$BD$216&gt;=19-$F$13+2)*($E$216:$BD$216&lt;=19)*$E$217:$BD$217*POWER(1-$G$13,($E$216:$BD$216&lt;=19)*(19-$E$216:$BD$216)))</f>
        <v/>
      </c>
      <c r="X238" s="44">
        <f>SUMPRODUCT(($E$216:$BD$216&gt;=20-$F$13+2)*($E$216:$BD$216&lt;=20)*$E$217:$BD$217*POWER(1-$G$13,($E$216:$BD$216&lt;=20)*(20-$E$216:$BD$216)))</f>
        <v/>
      </c>
      <c r="Y238" s="44">
        <f>SUMPRODUCT(($E$216:$BD$216&gt;=21-$F$13+2)*($E$216:$BD$216&lt;=21)*$E$217:$BD$217*POWER(1-$G$13,($E$216:$BD$216&lt;=21)*(21-$E$216:$BD$216)))</f>
        <v/>
      </c>
      <c r="Z238" s="44">
        <f>SUMPRODUCT(($E$216:$BD$216&gt;=22-$F$13+2)*($E$216:$BD$216&lt;=22)*$E$217:$BD$217*POWER(1-$G$13,($E$216:$BD$216&lt;=22)*(22-$E$216:$BD$216)))</f>
        <v/>
      </c>
      <c r="AA238" s="44">
        <f>SUMPRODUCT(($E$216:$BD$216&gt;=23-$F$13+2)*($E$216:$BD$216&lt;=23)*$E$217:$BD$217*POWER(1-$G$13,($E$216:$BD$216&lt;=23)*(23-$E$216:$BD$216)))</f>
        <v/>
      </c>
      <c r="AB238" s="44">
        <f>SUMPRODUCT(($E$216:$BD$216&gt;=24-$F$13+2)*($E$216:$BD$216&lt;=24)*$E$217:$BD$217*POWER(1-$G$13,($E$216:$BD$216&lt;=24)*(24-$E$216:$BD$216)))</f>
        <v/>
      </c>
      <c r="AC238" s="44">
        <f>SUMPRODUCT(($E$216:$BD$216&gt;=25-$F$13+2)*($E$216:$BD$216&lt;=25)*$E$217:$BD$217*POWER(1-$G$13,($E$216:$BD$216&lt;=25)*(25-$E$216:$BD$216)))</f>
        <v/>
      </c>
      <c r="AD238" s="44">
        <f>SUMPRODUCT(($E$216:$BD$216&gt;=26-$F$13+2)*($E$216:$BD$216&lt;=26)*$E$217:$BD$217*POWER(1-$G$13,($E$216:$BD$216&lt;=26)*(26-$E$216:$BD$216)))</f>
        <v/>
      </c>
      <c r="AE238" s="44">
        <f>SUMPRODUCT(($E$216:$BD$216&gt;=27-$F$13+2)*($E$216:$BD$216&lt;=27)*$E$217:$BD$217*POWER(1-$G$13,($E$216:$BD$216&lt;=27)*(27-$E$216:$BD$216)))</f>
        <v/>
      </c>
      <c r="AF238" s="44">
        <f>SUMPRODUCT(($E$216:$BD$216&gt;=28-$F$13+2)*($E$216:$BD$216&lt;=28)*$E$217:$BD$217*POWER(1-$G$13,($E$216:$BD$216&lt;=28)*(28-$E$216:$BD$216)))</f>
        <v/>
      </c>
      <c r="AG238" s="44">
        <f>SUMPRODUCT(($E$216:$BD$216&gt;=29-$F$13+2)*($E$216:$BD$216&lt;=29)*$E$217:$BD$217*POWER(1-$G$13,($E$216:$BD$216&lt;=29)*(29-$E$216:$BD$216)))</f>
        <v/>
      </c>
      <c r="AH238" s="44">
        <f>SUMPRODUCT(($E$216:$BD$216&gt;=30-$F$13+2)*($E$216:$BD$216&lt;=30)*$E$217:$BD$217*POWER(1-$G$13,($E$216:$BD$216&lt;=30)*(30-$E$216:$BD$216)))</f>
        <v/>
      </c>
      <c r="AI238" s="44">
        <f>SUMPRODUCT(($E$216:$BD$216&gt;=31-$F$13+2)*($E$216:$BD$216&lt;=31)*$E$217:$BD$217*POWER(1-$G$13,($E$216:$BD$216&lt;=31)*(31-$E$216:$BD$216)))</f>
        <v/>
      </c>
      <c r="AJ238" s="44">
        <f>SUMPRODUCT(($E$216:$BD$216&gt;=32-$F$13+2)*($E$216:$BD$216&lt;=32)*$E$217:$BD$217*POWER(1-$G$13,($E$216:$BD$216&lt;=32)*(32-$E$216:$BD$216)))</f>
        <v/>
      </c>
      <c r="AK238" s="44">
        <f>SUMPRODUCT(($E$216:$BD$216&gt;=33-$F$13+2)*($E$216:$BD$216&lt;=33)*$E$217:$BD$217*POWER(1-$G$13,($E$216:$BD$216&lt;=33)*(33-$E$216:$BD$216)))</f>
        <v/>
      </c>
      <c r="AL238" s="44">
        <f>SUMPRODUCT(($E$216:$BD$216&gt;=34-$F$13+2)*($E$216:$BD$216&lt;=34)*$E$217:$BD$217*POWER(1-$G$13,($E$216:$BD$216&lt;=34)*(34-$E$216:$BD$216)))</f>
        <v/>
      </c>
      <c r="AM238" s="44">
        <f>SUMPRODUCT(($E$216:$BD$216&gt;=35-$F$13+2)*($E$216:$BD$216&lt;=35)*$E$217:$BD$217*POWER(1-$G$13,($E$216:$BD$216&lt;=35)*(35-$E$216:$BD$216)))</f>
        <v/>
      </c>
      <c r="AN238" s="44">
        <f>SUMPRODUCT(($E$216:$BD$216&gt;=36-$F$13+2)*($E$216:$BD$216&lt;=36)*$E$217:$BD$217*POWER(1-$G$13,($E$216:$BD$216&lt;=36)*(36-$E$216:$BD$216)))</f>
        <v/>
      </c>
      <c r="AO238" s="44">
        <f>SUMPRODUCT(($E$216:$BD$216&gt;=37-$F$13+2)*($E$216:$BD$216&lt;=37)*$E$217:$BD$217*POWER(1-$G$13,($E$216:$BD$216&lt;=37)*(37-$E$216:$BD$216)))</f>
        <v/>
      </c>
      <c r="AP238" s="44">
        <f>SUMPRODUCT(($E$216:$BD$216&gt;=38-$F$13+2)*($E$216:$BD$216&lt;=38)*$E$217:$BD$217*POWER(1-$G$13,($E$216:$BD$216&lt;=38)*(38-$E$216:$BD$216)))</f>
        <v/>
      </c>
      <c r="AQ238" s="44">
        <f>SUMPRODUCT(($E$216:$BD$216&gt;=39-$F$13+2)*($E$216:$BD$216&lt;=39)*$E$217:$BD$217*POWER(1-$G$13,($E$216:$BD$216&lt;=39)*(39-$E$216:$BD$216)))</f>
        <v/>
      </c>
      <c r="AR238" s="44">
        <f>SUMPRODUCT(($E$216:$BD$216&gt;=40-$F$13+2)*($E$216:$BD$216&lt;=40)*$E$217:$BD$217*POWER(1-$G$13,($E$216:$BD$216&lt;=40)*(40-$E$216:$BD$216)))</f>
        <v/>
      </c>
      <c r="AS238" s="44">
        <f>SUMPRODUCT(($E$216:$BD$216&gt;=41-$F$13+2)*($E$216:$BD$216&lt;=41)*$E$217:$BD$217*POWER(1-$G$13,($E$216:$BD$216&lt;=41)*(41-$E$216:$BD$216)))</f>
        <v/>
      </c>
      <c r="AT238" s="44">
        <f>SUMPRODUCT(($E$216:$BD$216&gt;=42-$F$13+2)*($E$216:$BD$216&lt;=42)*$E$217:$BD$217*POWER(1-$G$13,($E$216:$BD$216&lt;=42)*(42-$E$216:$BD$216)))</f>
        <v/>
      </c>
      <c r="AU238" s="44">
        <f>SUMPRODUCT(($E$216:$BD$216&gt;=43-$F$13+2)*($E$216:$BD$216&lt;=43)*$E$217:$BD$217*POWER(1-$G$13,($E$216:$BD$216&lt;=43)*(43-$E$216:$BD$216)))</f>
        <v/>
      </c>
      <c r="AV238" s="44">
        <f>SUMPRODUCT(($E$216:$BD$216&gt;=44-$F$13+2)*($E$216:$BD$216&lt;=44)*$E$217:$BD$217*POWER(1-$G$13,($E$216:$BD$216&lt;=44)*(44-$E$216:$BD$216)))</f>
        <v/>
      </c>
      <c r="AW238" s="44">
        <f>SUMPRODUCT(($E$216:$BD$216&gt;=45-$F$13+2)*($E$216:$BD$216&lt;=45)*$E$217:$BD$217*POWER(1-$G$13,($E$216:$BD$216&lt;=45)*(45-$E$216:$BD$216)))</f>
        <v/>
      </c>
      <c r="AX238" s="44">
        <f>SUMPRODUCT(($E$216:$BD$216&gt;=46-$F$13+2)*($E$216:$BD$216&lt;=46)*$E$217:$BD$217*POWER(1-$G$13,($E$216:$BD$216&lt;=46)*(46-$E$216:$BD$216)))</f>
        <v/>
      </c>
      <c r="AY238" s="44">
        <f>SUMPRODUCT(($E$216:$BD$216&gt;=47-$F$13+2)*($E$216:$BD$216&lt;=47)*$E$217:$BD$217*POWER(1-$G$13,($E$216:$BD$216&lt;=47)*(47-$E$216:$BD$216)))</f>
        <v/>
      </c>
      <c r="AZ238" s="44">
        <f>SUMPRODUCT(($E$216:$BD$216&gt;=48-$F$13+2)*($E$216:$BD$216&lt;=48)*$E$217:$BD$217*POWER(1-$G$13,($E$216:$BD$216&lt;=48)*(48-$E$216:$BD$216)))</f>
        <v/>
      </c>
      <c r="BA238" s="44">
        <f>SUMPRODUCT(($E$216:$BD$216&gt;=49-$F$13+2)*($E$216:$BD$216&lt;=49)*$E$217:$BD$217*POWER(1-$G$13,($E$216:$BD$216&lt;=49)*(49-$E$216:$BD$216)))</f>
        <v/>
      </c>
      <c r="BB238" s="44">
        <f>SUMPRODUCT(($E$216:$BD$216&gt;=50-$F$13+2)*($E$216:$BD$216&lt;=50)*$E$217:$BD$217*POWER(1-$G$13,($E$216:$BD$216&lt;=50)*(50-$E$216:$BD$216)))</f>
        <v/>
      </c>
      <c r="BC238" s="44">
        <f>SUMPRODUCT(($E$216:$BD$216&gt;=51-$F$13+2)*($E$216:$BD$216&lt;=51)*$E$217:$BD$217*POWER(1-$G$13,($E$216:$BD$216&lt;=51)*(51-$E$216:$BD$216)))</f>
        <v/>
      </c>
      <c r="BD238" s="44">
        <f>SUMPRODUCT(($E$216:$BD$216&gt;=52-$F$13+2)*($E$216:$BD$216&lt;=52)*$E$217:$BD$217*POWER(1-$G$13,($E$216:$BD$216&lt;=52)*(52-$E$216:$BD$216)))</f>
        <v/>
      </c>
    </row>
    <row r="239">
      <c r="A239" s="2" t="inlineStr">
        <is>
          <t xml:space="preserve">   Stock carried out must stay at or below this row.</t>
        </is>
      </c>
    </row>
    <row r="240">
      <c r="A240" s="26" t="inlineStr">
        <is>
          <t>Growing cost this week</t>
        </is>
      </c>
      <c r="B240" s="2" t="inlineStr">
        <is>
          <t>$</t>
        </is>
      </c>
      <c r="E240" s="42">
        <f>SUMPRODUCT(($B$62:$B$129="Kale")*(E$62:E$129="P")*$C$62:$C$129)*$K$13+SUMPRODUCT(($B$62:$B$129="Kale")*(E$62:E$129="G")*$C$62:$C$129)*$L$13+SUMPRODUCT(($B$62:$B$129="Kale")*(E$62:E$129="H")*$C$62:$C$129)*$M$13+SUMPRODUCT(($B$62:$B$129="Kale")*($BG$62:$BG$129=1)*$C$62:$C$129)*$H$13</f>
        <v/>
      </c>
      <c r="F240" s="42">
        <f>SUMPRODUCT(($B$62:$B$129="Kale")*(F$62:F$129="P")*$C$62:$C$129)*$K$13+SUMPRODUCT(($B$62:$B$129="Kale")*(F$62:F$129="G")*$C$62:$C$129)*$L$13+SUMPRODUCT(($B$62:$B$129="Kale")*(F$62:F$129="H")*$C$62:$C$129)*$M$13+SUMPRODUCT(($B$62:$B$129="Kale")*($BG$62:$BG$129=2)*$C$62:$C$129)*$H$13</f>
        <v/>
      </c>
      <c r="G240" s="42">
        <f>SUMPRODUCT(($B$62:$B$129="Kale")*(G$62:G$129="P")*$C$62:$C$129)*$K$13+SUMPRODUCT(($B$62:$B$129="Kale")*(G$62:G$129="G")*$C$62:$C$129)*$L$13+SUMPRODUCT(($B$62:$B$129="Kale")*(G$62:G$129="H")*$C$62:$C$129)*$M$13+SUMPRODUCT(($B$62:$B$129="Kale")*($BG$62:$BG$129=3)*$C$62:$C$129)*$H$13</f>
        <v/>
      </c>
      <c r="H240" s="42">
        <f>SUMPRODUCT(($B$62:$B$129="Kale")*(H$62:H$129="P")*$C$62:$C$129)*$K$13+SUMPRODUCT(($B$62:$B$129="Kale")*(H$62:H$129="G")*$C$62:$C$129)*$L$13+SUMPRODUCT(($B$62:$B$129="Kale")*(H$62:H$129="H")*$C$62:$C$129)*$M$13+SUMPRODUCT(($B$62:$B$129="Kale")*($BG$62:$BG$129=4)*$C$62:$C$129)*$H$13</f>
        <v/>
      </c>
      <c r="I240" s="42">
        <f>SUMPRODUCT(($B$62:$B$129="Kale")*(I$62:I$129="P")*$C$62:$C$129)*$K$13+SUMPRODUCT(($B$62:$B$129="Kale")*(I$62:I$129="G")*$C$62:$C$129)*$L$13+SUMPRODUCT(($B$62:$B$129="Kale")*(I$62:I$129="H")*$C$62:$C$129)*$M$13+SUMPRODUCT(($B$62:$B$129="Kale")*($BG$62:$BG$129=5)*$C$62:$C$129)*$H$13</f>
        <v/>
      </c>
      <c r="J240" s="42">
        <f>SUMPRODUCT(($B$62:$B$129="Kale")*(J$62:J$129="P")*$C$62:$C$129)*$K$13+SUMPRODUCT(($B$62:$B$129="Kale")*(J$62:J$129="G")*$C$62:$C$129)*$L$13+SUMPRODUCT(($B$62:$B$129="Kale")*(J$62:J$129="H")*$C$62:$C$129)*$M$13+SUMPRODUCT(($B$62:$B$129="Kale")*($BG$62:$BG$129=6)*$C$62:$C$129)*$H$13</f>
        <v/>
      </c>
      <c r="K240" s="42">
        <f>SUMPRODUCT(($B$62:$B$129="Kale")*(K$62:K$129="P")*$C$62:$C$129)*$K$13+SUMPRODUCT(($B$62:$B$129="Kale")*(K$62:K$129="G")*$C$62:$C$129)*$L$13+SUMPRODUCT(($B$62:$B$129="Kale")*(K$62:K$129="H")*$C$62:$C$129)*$M$13+SUMPRODUCT(($B$62:$B$129="Kale")*($BG$62:$BG$129=7)*$C$62:$C$129)*$H$13</f>
        <v/>
      </c>
      <c r="L240" s="42">
        <f>SUMPRODUCT(($B$62:$B$129="Kale")*(L$62:L$129="P")*$C$62:$C$129)*$K$13+SUMPRODUCT(($B$62:$B$129="Kale")*(L$62:L$129="G")*$C$62:$C$129)*$L$13+SUMPRODUCT(($B$62:$B$129="Kale")*(L$62:L$129="H")*$C$62:$C$129)*$M$13+SUMPRODUCT(($B$62:$B$129="Kale")*($BG$62:$BG$129=8)*$C$62:$C$129)*$H$13</f>
        <v/>
      </c>
      <c r="M240" s="42">
        <f>SUMPRODUCT(($B$62:$B$129="Kale")*(M$62:M$129="P")*$C$62:$C$129)*$K$13+SUMPRODUCT(($B$62:$B$129="Kale")*(M$62:M$129="G")*$C$62:$C$129)*$L$13+SUMPRODUCT(($B$62:$B$129="Kale")*(M$62:M$129="H")*$C$62:$C$129)*$M$13+SUMPRODUCT(($B$62:$B$129="Kale")*($BG$62:$BG$129=9)*$C$62:$C$129)*$H$13</f>
        <v/>
      </c>
      <c r="N240" s="42">
        <f>SUMPRODUCT(($B$62:$B$129="Kale")*(N$62:N$129="P")*$C$62:$C$129)*$K$13+SUMPRODUCT(($B$62:$B$129="Kale")*(N$62:N$129="G")*$C$62:$C$129)*$L$13+SUMPRODUCT(($B$62:$B$129="Kale")*(N$62:N$129="H")*$C$62:$C$129)*$M$13+SUMPRODUCT(($B$62:$B$129="Kale")*($BG$62:$BG$129=10)*$C$62:$C$129)*$H$13</f>
        <v/>
      </c>
      <c r="O240" s="42">
        <f>SUMPRODUCT(($B$62:$B$129="Kale")*(O$62:O$129="P")*$C$62:$C$129)*$K$13+SUMPRODUCT(($B$62:$B$129="Kale")*(O$62:O$129="G")*$C$62:$C$129)*$L$13+SUMPRODUCT(($B$62:$B$129="Kale")*(O$62:O$129="H")*$C$62:$C$129)*$M$13+SUMPRODUCT(($B$62:$B$129="Kale")*($BG$62:$BG$129=11)*$C$62:$C$129)*$H$13</f>
        <v/>
      </c>
      <c r="P240" s="42">
        <f>SUMPRODUCT(($B$62:$B$129="Kale")*(P$62:P$129="P")*$C$62:$C$129)*$K$13+SUMPRODUCT(($B$62:$B$129="Kale")*(P$62:P$129="G")*$C$62:$C$129)*$L$13+SUMPRODUCT(($B$62:$B$129="Kale")*(P$62:P$129="H")*$C$62:$C$129)*$M$13+SUMPRODUCT(($B$62:$B$129="Kale")*($BG$62:$BG$129=12)*$C$62:$C$129)*$H$13</f>
        <v/>
      </c>
      <c r="Q240" s="42">
        <f>SUMPRODUCT(($B$62:$B$129="Kale")*(Q$62:Q$129="P")*$C$62:$C$129)*$K$13+SUMPRODUCT(($B$62:$B$129="Kale")*(Q$62:Q$129="G")*$C$62:$C$129)*$L$13+SUMPRODUCT(($B$62:$B$129="Kale")*(Q$62:Q$129="H")*$C$62:$C$129)*$M$13+SUMPRODUCT(($B$62:$B$129="Kale")*($BG$62:$BG$129=13)*$C$62:$C$129)*$H$13</f>
        <v/>
      </c>
      <c r="R240" s="42">
        <f>SUMPRODUCT(($B$62:$B$129="Kale")*(R$62:R$129="P")*$C$62:$C$129)*$K$13+SUMPRODUCT(($B$62:$B$129="Kale")*(R$62:R$129="G")*$C$62:$C$129)*$L$13+SUMPRODUCT(($B$62:$B$129="Kale")*(R$62:R$129="H")*$C$62:$C$129)*$M$13+SUMPRODUCT(($B$62:$B$129="Kale")*($BG$62:$BG$129=14)*$C$62:$C$129)*$H$13</f>
        <v/>
      </c>
      <c r="S240" s="42">
        <f>SUMPRODUCT(($B$62:$B$129="Kale")*(S$62:S$129="P")*$C$62:$C$129)*$K$13+SUMPRODUCT(($B$62:$B$129="Kale")*(S$62:S$129="G")*$C$62:$C$129)*$L$13+SUMPRODUCT(($B$62:$B$129="Kale")*(S$62:S$129="H")*$C$62:$C$129)*$M$13+SUMPRODUCT(($B$62:$B$129="Kale")*($BG$62:$BG$129=15)*$C$62:$C$129)*$H$13</f>
        <v/>
      </c>
      <c r="T240" s="42">
        <f>SUMPRODUCT(($B$62:$B$129="Kale")*(T$62:T$129="P")*$C$62:$C$129)*$K$13+SUMPRODUCT(($B$62:$B$129="Kale")*(T$62:T$129="G")*$C$62:$C$129)*$L$13+SUMPRODUCT(($B$62:$B$129="Kale")*(T$62:T$129="H")*$C$62:$C$129)*$M$13+SUMPRODUCT(($B$62:$B$129="Kale")*($BG$62:$BG$129=16)*$C$62:$C$129)*$H$13</f>
        <v/>
      </c>
      <c r="U240" s="42">
        <f>SUMPRODUCT(($B$62:$B$129="Kale")*(U$62:U$129="P")*$C$62:$C$129)*$K$13+SUMPRODUCT(($B$62:$B$129="Kale")*(U$62:U$129="G")*$C$62:$C$129)*$L$13+SUMPRODUCT(($B$62:$B$129="Kale")*(U$62:U$129="H")*$C$62:$C$129)*$M$13+SUMPRODUCT(($B$62:$B$129="Kale")*($BG$62:$BG$129=17)*$C$62:$C$129)*$H$13</f>
        <v/>
      </c>
      <c r="V240" s="42">
        <f>SUMPRODUCT(($B$62:$B$129="Kale")*(V$62:V$129="P")*$C$62:$C$129)*$K$13+SUMPRODUCT(($B$62:$B$129="Kale")*(V$62:V$129="G")*$C$62:$C$129)*$L$13+SUMPRODUCT(($B$62:$B$129="Kale")*(V$62:V$129="H")*$C$62:$C$129)*$M$13+SUMPRODUCT(($B$62:$B$129="Kale")*($BG$62:$BG$129=18)*$C$62:$C$129)*$H$13</f>
        <v/>
      </c>
      <c r="W240" s="42">
        <f>SUMPRODUCT(($B$62:$B$129="Kale")*(W$62:W$129="P")*$C$62:$C$129)*$K$13+SUMPRODUCT(($B$62:$B$129="Kale")*(W$62:W$129="G")*$C$62:$C$129)*$L$13+SUMPRODUCT(($B$62:$B$129="Kale")*(W$62:W$129="H")*$C$62:$C$129)*$M$13+SUMPRODUCT(($B$62:$B$129="Kale")*($BG$62:$BG$129=19)*$C$62:$C$129)*$H$13</f>
        <v/>
      </c>
      <c r="X240" s="42">
        <f>SUMPRODUCT(($B$62:$B$129="Kale")*(X$62:X$129="P")*$C$62:$C$129)*$K$13+SUMPRODUCT(($B$62:$B$129="Kale")*(X$62:X$129="G")*$C$62:$C$129)*$L$13+SUMPRODUCT(($B$62:$B$129="Kale")*(X$62:X$129="H")*$C$62:$C$129)*$M$13+SUMPRODUCT(($B$62:$B$129="Kale")*($BG$62:$BG$129=20)*$C$62:$C$129)*$H$13</f>
        <v/>
      </c>
      <c r="Y240" s="42">
        <f>SUMPRODUCT(($B$62:$B$129="Kale")*(Y$62:Y$129="P")*$C$62:$C$129)*$K$13+SUMPRODUCT(($B$62:$B$129="Kale")*(Y$62:Y$129="G")*$C$62:$C$129)*$L$13+SUMPRODUCT(($B$62:$B$129="Kale")*(Y$62:Y$129="H")*$C$62:$C$129)*$M$13+SUMPRODUCT(($B$62:$B$129="Kale")*($BG$62:$BG$129=21)*$C$62:$C$129)*$H$13</f>
        <v/>
      </c>
      <c r="Z240" s="42">
        <f>SUMPRODUCT(($B$62:$B$129="Kale")*(Z$62:Z$129="P")*$C$62:$C$129)*$K$13+SUMPRODUCT(($B$62:$B$129="Kale")*(Z$62:Z$129="G")*$C$62:$C$129)*$L$13+SUMPRODUCT(($B$62:$B$129="Kale")*(Z$62:Z$129="H")*$C$62:$C$129)*$M$13+SUMPRODUCT(($B$62:$B$129="Kale")*($BG$62:$BG$129=22)*$C$62:$C$129)*$H$13</f>
        <v/>
      </c>
      <c r="AA240" s="42">
        <f>SUMPRODUCT(($B$62:$B$129="Kale")*(AA$62:AA$129="P")*$C$62:$C$129)*$K$13+SUMPRODUCT(($B$62:$B$129="Kale")*(AA$62:AA$129="G")*$C$62:$C$129)*$L$13+SUMPRODUCT(($B$62:$B$129="Kale")*(AA$62:AA$129="H")*$C$62:$C$129)*$M$13+SUMPRODUCT(($B$62:$B$129="Kale")*($BG$62:$BG$129=23)*$C$62:$C$129)*$H$13</f>
        <v/>
      </c>
      <c r="AB240" s="42">
        <f>SUMPRODUCT(($B$62:$B$129="Kale")*(AB$62:AB$129="P")*$C$62:$C$129)*$K$13+SUMPRODUCT(($B$62:$B$129="Kale")*(AB$62:AB$129="G")*$C$62:$C$129)*$L$13+SUMPRODUCT(($B$62:$B$129="Kale")*(AB$62:AB$129="H")*$C$62:$C$129)*$M$13+SUMPRODUCT(($B$62:$B$129="Kale")*($BG$62:$BG$129=24)*$C$62:$C$129)*$H$13</f>
        <v/>
      </c>
      <c r="AC240" s="42">
        <f>SUMPRODUCT(($B$62:$B$129="Kale")*(AC$62:AC$129="P")*$C$62:$C$129)*$K$13+SUMPRODUCT(($B$62:$B$129="Kale")*(AC$62:AC$129="G")*$C$62:$C$129)*$L$13+SUMPRODUCT(($B$62:$B$129="Kale")*(AC$62:AC$129="H")*$C$62:$C$129)*$M$13+SUMPRODUCT(($B$62:$B$129="Kale")*($BG$62:$BG$129=25)*$C$62:$C$129)*$H$13</f>
        <v/>
      </c>
      <c r="AD240" s="42">
        <f>SUMPRODUCT(($B$62:$B$129="Kale")*(AD$62:AD$129="P")*$C$62:$C$129)*$K$13+SUMPRODUCT(($B$62:$B$129="Kale")*(AD$62:AD$129="G")*$C$62:$C$129)*$L$13+SUMPRODUCT(($B$62:$B$129="Kale")*(AD$62:AD$129="H")*$C$62:$C$129)*$M$13+SUMPRODUCT(($B$62:$B$129="Kale")*($BG$62:$BG$129=26)*$C$62:$C$129)*$H$13</f>
        <v/>
      </c>
      <c r="AE240" s="42">
        <f>SUMPRODUCT(($B$62:$B$129="Kale")*(AE$62:AE$129="P")*$C$62:$C$129)*$K$13+SUMPRODUCT(($B$62:$B$129="Kale")*(AE$62:AE$129="G")*$C$62:$C$129)*$L$13+SUMPRODUCT(($B$62:$B$129="Kale")*(AE$62:AE$129="H")*$C$62:$C$129)*$M$13+SUMPRODUCT(($B$62:$B$129="Kale")*($BG$62:$BG$129=27)*$C$62:$C$129)*$H$13</f>
        <v/>
      </c>
      <c r="AF240" s="42">
        <f>SUMPRODUCT(($B$62:$B$129="Kale")*(AF$62:AF$129="P")*$C$62:$C$129)*$K$13+SUMPRODUCT(($B$62:$B$129="Kale")*(AF$62:AF$129="G")*$C$62:$C$129)*$L$13+SUMPRODUCT(($B$62:$B$129="Kale")*(AF$62:AF$129="H")*$C$62:$C$129)*$M$13+SUMPRODUCT(($B$62:$B$129="Kale")*($BG$62:$BG$129=28)*$C$62:$C$129)*$H$13</f>
        <v/>
      </c>
      <c r="AG240" s="42">
        <f>SUMPRODUCT(($B$62:$B$129="Kale")*(AG$62:AG$129="P")*$C$62:$C$129)*$K$13+SUMPRODUCT(($B$62:$B$129="Kale")*(AG$62:AG$129="G")*$C$62:$C$129)*$L$13+SUMPRODUCT(($B$62:$B$129="Kale")*(AG$62:AG$129="H")*$C$62:$C$129)*$M$13+SUMPRODUCT(($B$62:$B$129="Kale")*($BG$62:$BG$129=29)*$C$62:$C$129)*$H$13</f>
        <v/>
      </c>
      <c r="AH240" s="42">
        <f>SUMPRODUCT(($B$62:$B$129="Kale")*(AH$62:AH$129="P")*$C$62:$C$129)*$K$13+SUMPRODUCT(($B$62:$B$129="Kale")*(AH$62:AH$129="G")*$C$62:$C$129)*$L$13+SUMPRODUCT(($B$62:$B$129="Kale")*(AH$62:AH$129="H")*$C$62:$C$129)*$M$13+SUMPRODUCT(($B$62:$B$129="Kale")*($BG$62:$BG$129=30)*$C$62:$C$129)*$H$13</f>
        <v/>
      </c>
      <c r="AI240" s="42">
        <f>SUMPRODUCT(($B$62:$B$129="Kale")*(AI$62:AI$129="P")*$C$62:$C$129)*$K$13+SUMPRODUCT(($B$62:$B$129="Kale")*(AI$62:AI$129="G")*$C$62:$C$129)*$L$13+SUMPRODUCT(($B$62:$B$129="Kale")*(AI$62:AI$129="H")*$C$62:$C$129)*$M$13+SUMPRODUCT(($B$62:$B$129="Kale")*($BG$62:$BG$129=31)*$C$62:$C$129)*$H$13</f>
        <v/>
      </c>
      <c r="AJ240" s="42">
        <f>SUMPRODUCT(($B$62:$B$129="Kale")*(AJ$62:AJ$129="P")*$C$62:$C$129)*$K$13+SUMPRODUCT(($B$62:$B$129="Kale")*(AJ$62:AJ$129="G")*$C$62:$C$129)*$L$13+SUMPRODUCT(($B$62:$B$129="Kale")*(AJ$62:AJ$129="H")*$C$62:$C$129)*$M$13+SUMPRODUCT(($B$62:$B$129="Kale")*($BG$62:$BG$129=32)*$C$62:$C$129)*$H$13</f>
        <v/>
      </c>
      <c r="AK240" s="42">
        <f>SUMPRODUCT(($B$62:$B$129="Kale")*(AK$62:AK$129="P")*$C$62:$C$129)*$K$13+SUMPRODUCT(($B$62:$B$129="Kale")*(AK$62:AK$129="G")*$C$62:$C$129)*$L$13+SUMPRODUCT(($B$62:$B$129="Kale")*(AK$62:AK$129="H")*$C$62:$C$129)*$M$13+SUMPRODUCT(($B$62:$B$129="Kale")*($BG$62:$BG$129=33)*$C$62:$C$129)*$H$13</f>
        <v/>
      </c>
      <c r="AL240" s="42">
        <f>SUMPRODUCT(($B$62:$B$129="Kale")*(AL$62:AL$129="P")*$C$62:$C$129)*$K$13+SUMPRODUCT(($B$62:$B$129="Kale")*(AL$62:AL$129="G")*$C$62:$C$129)*$L$13+SUMPRODUCT(($B$62:$B$129="Kale")*(AL$62:AL$129="H")*$C$62:$C$129)*$M$13+SUMPRODUCT(($B$62:$B$129="Kale")*($BG$62:$BG$129=34)*$C$62:$C$129)*$H$13</f>
        <v/>
      </c>
      <c r="AM240" s="42">
        <f>SUMPRODUCT(($B$62:$B$129="Kale")*(AM$62:AM$129="P")*$C$62:$C$129)*$K$13+SUMPRODUCT(($B$62:$B$129="Kale")*(AM$62:AM$129="G")*$C$62:$C$129)*$L$13+SUMPRODUCT(($B$62:$B$129="Kale")*(AM$62:AM$129="H")*$C$62:$C$129)*$M$13+SUMPRODUCT(($B$62:$B$129="Kale")*($BG$62:$BG$129=35)*$C$62:$C$129)*$H$13</f>
        <v/>
      </c>
      <c r="AN240" s="42">
        <f>SUMPRODUCT(($B$62:$B$129="Kale")*(AN$62:AN$129="P")*$C$62:$C$129)*$K$13+SUMPRODUCT(($B$62:$B$129="Kale")*(AN$62:AN$129="G")*$C$62:$C$129)*$L$13+SUMPRODUCT(($B$62:$B$129="Kale")*(AN$62:AN$129="H")*$C$62:$C$129)*$M$13+SUMPRODUCT(($B$62:$B$129="Kale")*($BG$62:$BG$129=36)*$C$62:$C$129)*$H$13</f>
        <v/>
      </c>
      <c r="AO240" s="42">
        <f>SUMPRODUCT(($B$62:$B$129="Kale")*(AO$62:AO$129="P")*$C$62:$C$129)*$K$13+SUMPRODUCT(($B$62:$B$129="Kale")*(AO$62:AO$129="G")*$C$62:$C$129)*$L$13+SUMPRODUCT(($B$62:$B$129="Kale")*(AO$62:AO$129="H")*$C$62:$C$129)*$M$13+SUMPRODUCT(($B$62:$B$129="Kale")*($BG$62:$BG$129=37)*$C$62:$C$129)*$H$13</f>
        <v/>
      </c>
      <c r="AP240" s="42">
        <f>SUMPRODUCT(($B$62:$B$129="Kale")*(AP$62:AP$129="P")*$C$62:$C$129)*$K$13+SUMPRODUCT(($B$62:$B$129="Kale")*(AP$62:AP$129="G")*$C$62:$C$129)*$L$13+SUMPRODUCT(($B$62:$B$129="Kale")*(AP$62:AP$129="H")*$C$62:$C$129)*$M$13+SUMPRODUCT(($B$62:$B$129="Kale")*($BG$62:$BG$129=38)*$C$62:$C$129)*$H$13</f>
        <v/>
      </c>
      <c r="AQ240" s="42">
        <f>SUMPRODUCT(($B$62:$B$129="Kale")*(AQ$62:AQ$129="P")*$C$62:$C$129)*$K$13+SUMPRODUCT(($B$62:$B$129="Kale")*(AQ$62:AQ$129="G")*$C$62:$C$129)*$L$13+SUMPRODUCT(($B$62:$B$129="Kale")*(AQ$62:AQ$129="H")*$C$62:$C$129)*$M$13+SUMPRODUCT(($B$62:$B$129="Kale")*($BG$62:$BG$129=39)*$C$62:$C$129)*$H$13</f>
        <v/>
      </c>
      <c r="AR240" s="42">
        <f>SUMPRODUCT(($B$62:$B$129="Kale")*(AR$62:AR$129="P")*$C$62:$C$129)*$K$13+SUMPRODUCT(($B$62:$B$129="Kale")*(AR$62:AR$129="G")*$C$62:$C$129)*$L$13+SUMPRODUCT(($B$62:$B$129="Kale")*(AR$62:AR$129="H")*$C$62:$C$129)*$M$13+SUMPRODUCT(($B$62:$B$129="Kale")*($BG$62:$BG$129=40)*$C$62:$C$129)*$H$13</f>
        <v/>
      </c>
      <c r="AS240" s="42">
        <f>SUMPRODUCT(($B$62:$B$129="Kale")*(AS$62:AS$129="P")*$C$62:$C$129)*$K$13+SUMPRODUCT(($B$62:$B$129="Kale")*(AS$62:AS$129="G")*$C$62:$C$129)*$L$13+SUMPRODUCT(($B$62:$B$129="Kale")*(AS$62:AS$129="H")*$C$62:$C$129)*$M$13+SUMPRODUCT(($B$62:$B$129="Kale")*($BG$62:$BG$129=41)*$C$62:$C$129)*$H$13</f>
        <v/>
      </c>
      <c r="AT240" s="42">
        <f>SUMPRODUCT(($B$62:$B$129="Kale")*(AT$62:AT$129="P")*$C$62:$C$129)*$K$13+SUMPRODUCT(($B$62:$B$129="Kale")*(AT$62:AT$129="G")*$C$62:$C$129)*$L$13+SUMPRODUCT(($B$62:$B$129="Kale")*(AT$62:AT$129="H")*$C$62:$C$129)*$M$13+SUMPRODUCT(($B$62:$B$129="Kale")*($BG$62:$BG$129=42)*$C$62:$C$129)*$H$13</f>
        <v/>
      </c>
      <c r="AU240" s="42">
        <f>SUMPRODUCT(($B$62:$B$129="Kale")*(AU$62:AU$129="P")*$C$62:$C$129)*$K$13+SUMPRODUCT(($B$62:$B$129="Kale")*(AU$62:AU$129="G")*$C$62:$C$129)*$L$13+SUMPRODUCT(($B$62:$B$129="Kale")*(AU$62:AU$129="H")*$C$62:$C$129)*$M$13+SUMPRODUCT(($B$62:$B$129="Kale")*($BG$62:$BG$129=43)*$C$62:$C$129)*$H$13</f>
        <v/>
      </c>
      <c r="AV240" s="42">
        <f>SUMPRODUCT(($B$62:$B$129="Kale")*(AV$62:AV$129="P")*$C$62:$C$129)*$K$13+SUMPRODUCT(($B$62:$B$129="Kale")*(AV$62:AV$129="G")*$C$62:$C$129)*$L$13+SUMPRODUCT(($B$62:$B$129="Kale")*(AV$62:AV$129="H")*$C$62:$C$129)*$M$13+SUMPRODUCT(($B$62:$B$129="Kale")*($BG$62:$BG$129=44)*$C$62:$C$129)*$H$13</f>
        <v/>
      </c>
      <c r="AW240" s="42">
        <f>SUMPRODUCT(($B$62:$B$129="Kale")*(AW$62:AW$129="P")*$C$62:$C$129)*$K$13+SUMPRODUCT(($B$62:$B$129="Kale")*(AW$62:AW$129="G")*$C$62:$C$129)*$L$13+SUMPRODUCT(($B$62:$B$129="Kale")*(AW$62:AW$129="H")*$C$62:$C$129)*$M$13+SUMPRODUCT(($B$62:$B$129="Kale")*($BG$62:$BG$129=45)*$C$62:$C$129)*$H$13</f>
        <v/>
      </c>
      <c r="AX240" s="42">
        <f>SUMPRODUCT(($B$62:$B$129="Kale")*(AX$62:AX$129="P")*$C$62:$C$129)*$K$13+SUMPRODUCT(($B$62:$B$129="Kale")*(AX$62:AX$129="G")*$C$62:$C$129)*$L$13+SUMPRODUCT(($B$62:$B$129="Kale")*(AX$62:AX$129="H")*$C$62:$C$129)*$M$13+SUMPRODUCT(($B$62:$B$129="Kale")*($BG$62:$BG$129=46)*$C$62:$C$129)*$H$13</f>
        <v/>
      </c>
      <c r="AY240" s="42">
        <f>SUMPRODUCT(($B$62:$B$129="Kale")*(AY$62:AY$129="P")*$C$62:$C$129)*$K$13+SUMPRODUCT(($B$62:$B$129="Kale")*(AY$62:AY$129="G")*$C$62:$C$129)*$L$13+SUMPRODUCT(($B$62:$B$129="Kale")*(AY$62:AY$129="H")*$C$62:$C$129)*$M$13+SUMPRODUCT(($B$62:$B$129="Kale")*($BG$62:$BG$129=47)*$C$62:$C$129)*$H$13</f>
        <v/>
      </c>
      <c r="AZ240" s="42">
        <f>SUMPRODUCT(($B$62:$B$129="Kale")*(AZ$62:AZ$129="P")*$C$62:$C$129)*$K$13+SUMPRODUCT(($B$62:$B$129="Kale")*(AZ$62:AZ$129="G")*$C$62:$C$129)*$L$13+SUMPRODUCT(($B$62:$B$129="Kale")*(AZ$62:AZ$129="H")*$C$62:$C$129)*$M$13+SUMPRODUCT(($B$62:$B$129="Kale")*($BG$62:$BG$129=48)*$C$62:$C$129)*$H$13</f>
        <v/>
      </c>
      <c r="BA240" s="42">
        <f>SUMPRODUCT(($B$62:$B$129="Kale")*(BA$62:BA$129="P")*$C$62:$C$129)*$K$13+SUMPRODUCT(($B$62:$B$129="Kale")*(BA$62:BA$129="G")*$C$62:$C$129)*$L$13+SUMPRODUCT(($B$62:$B$129="Kale")*(BA$62:BA$129="H")*$C$62:$C$129)*$M$13+SUMPRODUCT(($B$62:$B$129="Kale")*($BG$62:$BG$129=49)*$C$62:$C$129)*$H$13</f>
        <v/>
      </c>
      <c r="BB240" s="42">
        <f>SUMPRODUCT(($B$62:$B$129="Kale")*(BB$62:BB$129="P")*$C$62:$C$129)*$K$13+SUMPRODUCT(($B$62:$B$129="Kale")*(BB$62:BB$129="G")*$C$62:$C$129)*$L$13+SUMPRODUCT(($B$62:$B$129="Kale")*(BB$62:BB$129="H")*$C$62:$C$129)*$M$13+SUMPRODUCT(($B$62:$B$129="Kale")*($BG$62:$BG$129=50)*$C$62:$C$129)*$H$13</f>
        <v/>
      </c>
      <c r="BC240" s="42">
        <f>SUMPRODUCT(($B$62:$B$129="Kale")*(BC$62:BC$129="P")*$C$62:$C$129)*$K$13+SUMPRODUCT(($B$62:$B$129="Kale")*(BC$62:BC$129="G")*$C$62:$C$129)*$L$13+SUMPRODUCT(($B$62:$B$129="Kale")*(BC$62:BC$129="H")*$C$62:$C$129)*$M$13+SUMPRODUCT(($B$62:$B$129="Kale")*($BG$62:$BG$129=51)*$C$62:$C$129)*$H$13</f>
        <v/>
      </c>
      <c r="BD240" s="42">
        <f>SUMPRODUCT(($B$62:$B$129="Kale")*(BD$62:BD$129="P")*$C$62:$C$129)*$K$13+SUMPRODUCT(($B$62:$B$129="Kale")*(BD$62:BD$129="G")*$C$62:$C$129)*$L$13+SUMPRODUCT(($B$62:$B$129="Kale")*(BD$62:BD$129="H")*$C$62:$C$129)*$M$13+SUMPRODUCT(($B$62:$B$129="Kale")*($BG$62:$BG$129=52)*$C$62:$C$129)*$H$13</f>
        <v/>
      </c>
    </row>
    <row r="241">
      <c r="A241" s="26" t="inlineStr">
        <is>
          <t>Packaging this week</t>
        </is>
      </c>
      <c r="B241" s="2" t="inlineStr">
        <is>
          <t>$</t>
        </is>
      </c>
      <c r="E241" s="42">
        <f>E223*$J$21+E231*$J$22</f>
        <v/>
      </c>
      <c r="F241" s="42">
        <f>F223*$J$21+F231*$J$22</f>
        <v/>
      </c>
      <c r="G241" s="42">
        <f>G223*$J$21+G231*$J$22</f>
        <v/>
      </c>
      <c r="H241" s="42">
        <f>H223*$J$21+H231*$J$22</f>
        <v/>
      </c>
      <c r="I241" s="42">
        <f>I223*$J$21+I231*$J$22</f>
        <v/>
      </c>
      <c r="J241" s="42">
        <f>J223*$J$21+J231*$J$22</f>
        <v/>
      </c>
      <c r="K241" s="42">
        <f>K223*$J$21+K231*$J$22</f>
        <v/>
      </c>
      <c r="L241" s="42">
        <f>L223*$J$21+L231*$J$22</f>
        <v/>
      </c>
      <c r="M241" s="42">
        <f>M223*$J$21+M231*$J$22</f>
        <v/>
      </c>
      <c r="N241" s="42">
        <f>N223*$J$21+N231*$J$22</f>
        <v/>
      </c>
      <c r="O241" s="42">
        <f>O223*$J$21+O231*$J$22</f>
        <v/>
      </c>
      <c r="P241" s="42">
        <f>P223*$J$21+P231*$J$22</f>
        <v/>
      </c>
      <c r="Q241" s="42">
        <f>Q223*$J$21+Q231*$J$22</f>
        <v/>
      </c>
      <c r="R241" s="42">
        <f>R223*$J$21+R231*$J$22</f>
        <v/>
      </c>
      <c r="S241" s="42">
        <f>S223*$J$21+S231*$J$22</f>
        <v/>
      </c>
      <c r="T241" s="42">
        <f>T223*$J$21+T231*$J$22</f>
        <v/>
      </c>
      <c r="U241" s="42">
        <f>U223*$J$21+U231*$J$22</f>
        <v/>
      </c>
      <c r="V241" s="42">
        <f>V223*$J$21+V231*$J$22</f>
        <v/>
      </c>
      <c r="W241" s="42">
        <f>W223*$J$21+W231*$J$22</f>
        <v/>
      </c>
      <c r="X241" s="42">
        <f>X223*$J$21+X231*$J$22</f>
        <v/>
      </c>
      <c r="Y241" s="42">
        <f>Y223*$J$21+Y231*$J$22</f>
        <v/>
      </c>
      <c r="Z241" s="42">
        <f>Z223*$J$21+Z231*$J$22</f>
        <v/>
      </c>
      <c r="AA241" s="42">
        <f>AA223*$J$21+AA231*$J$22</f>
        <v/>
      </c>
      <c r="AB241" s="42">
        <f>AB223*$J$21+AB231*$J$22</f>
        <v/>
      </c>
      <c r="AC241" s="42">
        <f>AC223*$J$21+AC231*$J$22</f>
        <v/>
      </c>
      <c r="AD241" s="42">
        <f>AD223*$J$21+AD231*$J$22</f>
        <v/>
      </c>
      <c r="AE241" s="42">
        <f>AE223*$J$21+AE231*$J$22</f>
        <v/>
      </c>
      <c r="AF241" s="42">
        <f>AF223*$J$21+AF231*$J$22</f>
        <v/>
      </c>
      <c r="AG241" s="42">
        <f>AG223*$J$21+AG231*$J$22</f>
        <v/>
      </c>
      <c r="AH241" s="42">
        <f>AH223*$J$21+AH231*$J$22</f>
        <v/>
      </c>
      <c r="AI241" s="42">
        <f>AI223*$J$21+AI231*$J$22</f>
        <v/>
      </c>
      <c r="AJ241" s="42">
        <f>AJ223*$J$21+AJ231*$J$22</f>
        <v/>
      </c>
      <c r="AK241" s="42">
        <f>AK223*$J$21+AK231*$J$22</f>
        <v/>
      </c>
      <c r="AL241" s="42">
        <f>AL223*$J$21+AL231*$J$22</f>
        <v/>
      </c>
      <c r="AM241" s="42">
        <f>AM223*$J$21+AM231*$J$22</f>
        <v/>
      </c>
      <c r="AN241" s="42">
        <f>AN223*$J$21+AN231*$J$22</f>
        <v/>
      </c>
      <c r="AO241" s="42">
        <f>AO223*$J$21+AO231*$J$22</f>
        <v/>
      </c>
      <c r="AP241" s="42">
        <f>AP223*$J$21+AP231*$J$22</f>
        <v/>
      </c>
      <c r="AQ241" s="42">
        <f>AQ223*$J$21+AQ231*$J$22</f>
        <v/>
      </c>
      <c r="AR241" s="42">
        <f>AR223*$J$21+AR231*$J$22</f>
        <v/>
      </c>
      <c r="AS241" s="42">
        <f>AS223*$J$21+AS231*$J$22</f>
        <v/>
      </c>
      <c r="AT241" s="42">
        <f>AT223*$J$21+AT231*$J$22</f>
        <v/>
      </c>
      <c r="AU241" s="42">
        <f>AU223*$J$21+AU231*$J$22</f>
        <v/>
      </c>
      <c r="AV241" s="42">
        <f>AV223*$J$21+AV231*$J$22</f>
        <v/>
      </c>
      <c r="AW241" s="42">
        <f>AW223*$J$21+AW231*$J$22</f>
        <v/>
      </c>
      <c r="AX241" s="42">
        <f>AX223*$J$21+AX231*$J$22</f>
        <v/>
      </c>
      <c r="AY241" s="42">
        <f>AY223*$J$21+AY231*$J$22</f>
        <v/>
      </c>
      <c r="AZ241" s="42">
        <f>AZ223*$J$21+AZ231*$J$22</f>
        <v/>
      </c>
      <c r="BA241" s="42">
        <f>BA223*$J$21+BA231*$J$22</f>
        <v/>
      </c>
      <c r="BB241" s="42">
        <f>BB223*$J$21+BB231*$J$22</f>
        <v/>
      </c>
      <c r="BC241" s="42">
        <f>BC223*$J$21+BC231*$J$22</f>
        <v/>
      </c>
      <c r="BD241" s="42">
        <f>BD223*$J$21+BD231*$J$22</f>
        <v/>
      </c>
    </row>
    <row r="242">
      <c r="A242" s="4" t="inlineStr">
        <is>
          <t>ROOM OCCUPANCY</t>
        </is>
      </c>
      <c r="B242" s="2" t="inlineStr">
        <is>
          <t>m3</t>
        </is>
      </c>
      <c r="E242" s="50">
        <f>(E218+E217)*$D$13</f>
        <v/>
      </c>
      <c r="F242" s="50">
        <f>(F218+F217)*$D$13</f>
        <v/>
      </c>
      <c r="G242" s="50">
        <f>(G218+G217)*$D$13</f>
        <v/>
      </c>
      <c r="H242" s="50">
        <f>(H218+H217)*$D$13</f>
        <v/>
      </c>
      <c r="I242" s="50">
        <f>(I218+I217)*$D$13</f>
        <v/>
      </c>
      <c r="J242" s="50">
        <f>(J218+J217)*$D$13</f>
        <v/>
      </c>
      <c r="K242" s="50">
        <f>(K218+K217)*$D$13</f>
        <v/>
      </c>
      <c r="L242" s="50">
        <f>(L218+L217)*$D$13</f>
        <v/>
      </c>
      <c r="M242" s="50">
        <f>(M218+M217)*$D$13</f>
        <v/>
      </c>
      <c r="N242" s="50">
        <f>(N218+N217)*$D$13</f>
        <v/>
      </c>
      <c r="O242" s="50">
        <f>(O218+O217)*$D$13</f>
        <v/>
      </c>
      <c r="P242" s="50">
        <f>(P218+P217)*$D$13</f>
        <v/>
      </c>
      <c r="Q242" s="50">
        <f>(Q218+Q217)*$D$13</f>
        <v/>
      </c>
      <c r="R242" s="50">
        <f>(R218+R217)*$D$13</f>
        <v/>
      </c>
      <c r="S242" s="50">
        <f>(S218+S217)*$D$13</f>
        <v/>
      </c>
      <c r="T242" s="50">
        <f>(T218+T217)*$D$13</f>
        <v/>
      </c>
      <c r="U242" s="50">
        <f>(U218+U217)*$D$13</f>
        <v/>
      </c>
      <c r="V242" s="50">
        <f>(V218+V217)*$D$13</f>
        <v/>
      </c>
      <c r="W242" s="50">
        <f>(W218+W217)*$D$13</f>
        <v/>
      </c>
      <c r="X242" s="50">
        <f>(X218+X217)*$D$13</f>
        <v/>
      </c>
      <c r="Y242" s="50">
        <f>(Y218+Y217)*$D$13</f>
        <v/>
      </c>
      <c r="Z242" s="50">
        <f>(Z218+Z217)*$D$13</f>
        <v/>
      </c>
      <c r="AA242" s="50">
        <f>(AA218+AA217)*$D$13</f>
        <v/>
      </c>
      <c r="AB242" s="50">
        <f>(AB218+AB217)*$D$13</f>
        <v/>
      </c>
      <c r="AC242" s="50">
        <f>(AC218+AC217)*$D$13</f>
        <v/>
      </c>
      <c r="AD242" s="50">
        <f>(AD218+AD217)*$D$13</f>
        <v/>
      </c>
      <c r="AE242" s="50">
        <f>(AE218+AE217)*$D$13</f>
        <v/>
      </c>
      <c r="AF242" s="50">
        <f>(AF218+AF217)*$D$13</f>
        <v/>
      </c>
      <c r="AG242" s="50">
        <f>(AG218+AG217)*$D$13</f>
        <v/>
      </c>
      <c r="AH242" s="50">
        <f>(AH218+AH217)*$D$13</f>
        <v/>
      </c>
      <c r="AI242" s="50">
        <f>(AI218+AI217)*$D$13</f>
        <v/>
      </c>
      <c r="AJ242" s="50">
        <f>(AJ218+AJ217)*$D$13</f>
        <v/>
      </c>
      <c r="AK242" s="50">
        <f>(AK218+AK217)*$D$13</f>
        <v/>
      </c>
      <c r="AL242" s="50">
        <f>(AL218+AL217)*$D$13</f>
        <v/>
      </c>
      <c r="AM242" s="50">
        <f>(AM218+AM217)*$D$13</f>
        <v/>
      </c>
      <c r="AN242" s="50">
        <f>(AN218+AN217)*$D$13</f>
        <v/>
      </c>
      <c r="AO242" s="50">
        <f>(AO218+AO217)*$D$13</f>
        <v/>
      </c>
      <c r="AP242" s="50">
        <f>(AP218+AP217)*$D$13</f>
        <v/>
      </c>
      <c r="AQ242" s="50">
        <f>(AQ218+AQ217)*$D$13</f>
        <v/>
      </c>
      <c r="AR242" s="50">
        <f>(AR218+AR217)*$D$13</f>
        <v/>
      </c>
      <c r="AS242" s="50">
        <f>(AS218+AS217)*$D$13</f>
        <v/>
      </c>
      <c r="AT242" s="50">
        <f>(AT218+AT217)*$D$13</f>
        <v/>
      </c>
      <c r="AU242" s="50">
        <f>(AU218+AU217)*$D$13</f>
        <v/>
      </c>
      <c r="AV242" s="50">
        <f>(AV218+AV217)*$D$13</f>
        <v/>
      </c>
      <c r="AW242" s="50">
        <f>(AW218+AW217)*$D$13</f>
        <v/>
      </c>
      <c r="AX242" s="50">
        <f>(AX218+AX217)*$D$13</f>
        <v/>
      </c>
      <c r="AY242" s="50">
        <f>(AY218+AY217)*$D$13</f>
        <v/>
      </c>
      <c r="AZ242" s="50">
        <f>(AZ218+AZ217)*$D$13</f>
        <v/>
      </c>
      <c r="BA242" s="50">
        <f>(BA218+BA217)*$D$13</f>
        <v/>
      </c>
      <c r="BB242" s="50">
        <f>(BB218+BB217)*$D$13</f>
        <v/>
      </c>
      <c r="BC242" s="50">
        <f>(BC218+BC217)*$D$13</f>
        <v/>
      </c>
      <c r="BD242" s="50">
        <f>(BD218+BD217)*$D$13</f>
        <v/>
      </c>
    </row>
    <row r="244">
      <c r="A244" s="3" t="inlineStr">
        <is>
          <t>GARLIC  —  ambient store</t>
        </is>
      </c>
      <c r="B244" s="51" t="inlineStr"/>
    </row>
    <row r="245">
      <c r="A245" s="30" t="inlineStr">
        <is>
          <t>Week</t>
        </is>
      </c>
      <c r="B245" s="38" t="inlineStr"/>
      <c r="E245" s="31" t="n">
        <v>1</v>
      </c>
      <c r="F245" s="31" t="n">
        <v>2</v>
      </c>
      <c r="G245" s="31" t="n">
        <v>3</v>
      </c>
      <c r="H245" s="31" t="n">
        <v>4</v>
      </c>
      <c r="I245" s="31" t="n">
        <v>5</v>
      </c>
      <c r="J245" s="31" t="n">
        <v>6</v>
      </c>
      <c r="K245" s="31" t="n">
        <v>7</v>
      </c>
      <c r="L245" s="31" t="n">
        <v>8</v>
      </c>
      <c r="M245" s="31" t="n">
        <v>9</v>
      </c>
      <c r="N245" s="31" t="n">
        <v>10</v>
      </c>
      <c r="O245" s="31" t="n">
        <v>11</v>
      </c>
      <c r="P245" s="31" t="n">
        <v>12</v>
      </c>
      <c r="Q245" s="31" t="n">
        <v>13</v>
      </c>
      <c r="R245" s="31" t="n">
        <v>14</v>
      </c>
      <c r="S245" s="31" t="n">
        <v>15</v>
      </c>
      <c r="T245" s="31" t="n">
        <v>16</v>
      </c>
      <c r="U245" s="31" t="n">
        <v>17</v>
      </c>
      <c r="V245" s="31" t="n">
        <v>18</v>
      </c>
      <c r="W245" s="31" t="n">
        <v>19</v>
      </c>
      <c r="X245" s="31" t="n">
        <v>20</v>
      </c>
      <c r="Y245" s="31" t="n">
        <v>21</v>
      </c>
      <c r="Z245" s="31" t="n">
        <v>22</v>
      </c>
      <c r="AA245" s="31" t="n">
        <v>23</v>
      </c>
      <c r="AB245" s="31" t="n">
        <v>24</v>
      </c>
      <c r="AC245" s="31" t="n">
        <v>25</v>
      </c>
      <c r="AD245" s="31" t="n">
        <v>26</v>
      </c>
      <c r="AE245" s="31" t="n">
        <v>27</v>
      </c>
      <c r="AF245" s="31" t="n">
        <v>28</v>
      </c>
      <c r="AG245" s="31" t="n">
        <v>29</v>
      </c>
      <c r="AH245" s="31" t="n">
        <v>30</v>
      </c>
      <c r="AI245" s="31" t="n">
        <v>31</v>
      </c>
      <c r="AJ245" s="31" t="n">
        <v>32</v>
      </c>
      <c r="AK245" s="31" t="n">
        <v>33</v>
      </c>
      <c r="AL245" s="31" t="n">
        <v>34</v>
      </c>
      <c r="AM245" s="31" t="n">
        <v>35</v>
      </c>
      <c r="AN245" s="31" t="n">
        <v>36</v>
      </c>
      <c r="AO245" s="31" t="n">
        <v>37</v>
      </c>
      <c r="AP245" s="31" t="n">
        <v>38</v>
      </c>
      <c r="AQ245" s="31" t="n">
        <v>39</v>
      </c>
      <c r="AR245" s="31" t="n">
        <v>40</v>
      </c>
      <c r="AS245" s="31" t="n">
        <v>41</v>
      </c>
      <c r="AT245" s="31" t="n">
        <v>42</v>
      </c>
      <c r="AU245" s="31" t="n">
        <v>43</v>
      </c>
      <c r="AV245" s="31" t="n">
        <v>44</v>
      </c>
      <c r="AW245" s="31" t="n">
        <v>45</v>
      </c>
      <c r="AX245" s="31" t="n">
        <v>46</v>
      </c>
      <c r="AY245" s="31" t="n">
        <v>47</v>
      </c>
      <c r="AZ245" s="31" t="n">
        <v>48</v>
      </c>
      <c r="BA245" s="31" t="n">
        <v>49</v>
      </c>
      <c r="BB245" s="31" t="n">
        <v>50</v>
      </c>
      <c r="BC245" s="31" t="n">
        <v>51</v>
      </c>
      <c r="BD245" s="31" t="n">
        <v>52</v>
      </c>
    </row>
    <row r="246">
      <c r="A246" s="4" t="inlineStr">
        <is>
          <t>Packed out -&gt; INTO the store</t>
        </is>
      </c>
      <c r="B246" s="2" t="inlineStr">
        <is>
          <t>lb</t>
        </is>
      </c>
      <c r="E246" s="42">
        <f>SUMPRODUCT(($B$62:$B$129="Garlic")*(E$62:E$129="H")*$C$62:$C$129)*$B$14/$J$14*$C$14</f>
        <v/>
      </c>
      <c r="F246" s="42">
        <f>SUMPRODUCT(($B$62:$B$129="Garlic")*(F$62:F$129="H")*$C$62:$C$129)*$B$14/$J$14*$C$14</f>
        <v/>
      </c>
      <c r="G246" s="42">
        <f>SUMPRODUCT(($B$62:$B$129="Garlic")*(G$62:G$129="H")*$C$62:$C$129)*$B$14/$J$14*$C$14</f>
        <v/>
      </c>
      <c r="H246" s="42">
        <f>SUMPRODUCT(($B$62:$B$129="Garlic")*(H$62:H$129="H")*$C$62:$C$129)*$B$14/$J$14*$C$14</f>
        <v/>
      </c>
      <c r="I246" s="42">
        <f>SUMPRODUCT(($B$62:$B$129="Garlic")*(I$62:I$129="H")*$C$62:$C$129)*$B$14/$J$14*$C$14</f>
        <v/>
      </c>
      <c r="J246" s="42">
        <f>SUMPRODUCT(($B$62:$B$129="Garlic")*(J$62:J$129="H")*$C$62:$C$129)*$B$14/$J$14*$C$14</f>
        <v/>
      </c>
      <c r="K246" s="42">
        <f>SUMPRODUCT(($B$62:$B$129="Garlic")*(K$62:K$129="H")*$C$62:$C$129)*$B$14/$J$14*$C$14</f>
        <v/>
      </c>
      <c r="L246" s="42">
        <f>SUMPRODUCT(($B$62:$B$129="Garlic")*(L$62:L$129="H")*$C$62:$C$129)*$B$14/$J$14*$C$14</f>
        <v/>
      </c>
      <c r="M246" s="42">
        <f>SUMPRODUCT(($B$62:$B$129="Garlic")*(M$62:M$129="H")*$C$62:$C$129)*$B$14/$J$14*$C$14</f>
        <v/>
      </c>
      <c r="N246" s="42">
        <f>SUMPRODUCT(($B$62:$B$129="Garlic")*(N$62:N$129="H")*$C$62:$C$129)*$B$14/$J$14*$C$14</f>
        <v/>
      </c>
      <c r="O246" s="42">
        <f>SUMPRODUCT(($B$62:$B$129="Garlic")*(O$62:O$129="H")*$C$62:$C$129)*$B$14/$J$14*$C$14</f>
        <v/>
      </c>
      <c r="P246" s="42">
        <f>SUMPRODUCT(($B$62:$B$129="Garlic")*(P$62:P$129="H")*$C$62:$C$129)*$B$14/$J$14*$C$14</f>
        <v/>
      </c>
      <c r="Q246" s="42">
        <f>SUMPRODUCT(($B$62:$B$129="Garlic")*(Q$62:Q$129="H")*$C$62:$C$129)*$B$14/$J$14*$C$14</f>
        <v/>
      </c>
      <c r="R246" s="42">
        <f>SUMPRODUCT(($B$62:$B$129="Garlic")*(R$62:R$129="H")*$C$62:$C$129)*$B$14/$J$14*$C$14</f>
        <v/>
      </c>
      <c r="S246" s="42">
        <f>SUMPRODUCT(($B$62:$B$129="Garlic")*(S$62:S$129="H")*$C$62:$C$129)*$B$14/$J$14*$C$14</f>
        <v/>
      </c>
      <c r="T246" s="42">
        <f>SUMPRODUCT(($B$62:$B$129="Garlic")*(T$62:T$129="H")*$C$62:$C$129)*$B$14/$J$14*$C$14</f>
        <v/>
      </c>
      <c r="U246" s="42">
        <f>SUMPRODUCT(($B$62:$B$129="Garlic")*(U$62:U$129="H")*$C$62:$C$129)*$B$14/$J$14*$C$14</f>
        <v/>
      </c>
      <c r="V246" s="42">
        <f>SUMPRODUCT(($B$62:$B$129="Garlic")*(V$62:V$129="H")*$C$62:$C$129)*$B$14/$J$14*$C$14</f>
        <v/>
      </c>
      <c r="W246" s="42">
        <f>SUMPRODUCT(($B$62:$B$129="Garlic")*(W$62:W$129="H")*$C$62:$C$129)*$B$14/$J$14*$C$14</f>
        <v/>
      </c>
      <c r="X246" s="42">
        <f>SUMPRODUCT(($B$62:$B$129="Garlic")*(X$62:X$129="H")*$C$62:$C$129)*$B$14/$J$14*$C$14</f>
        <v/>
      </c>
      <c r="Y246" s="42">
        <f>SUMPRODUCT(($B$62:$B$129="Garlic")*(Y$62:Y$129="H")*$C$62:$C$129)*$B$14/$J$14*$C$14</f>
        <v/>
      </c>
      <c r="Z246" s="42">
        <f>SUMPRODUCT(($B$62:$B$129="Garlic")*(Z$62:Z$129="H")*$C$62:$C$129)*$B$14/$J$14*$C$14</f>
        <v/>
      </c>
      <c r="AA246" s="42">
        <f>SUMPRODUCT(($B$62:$B$129="Garlic")*(AA$62:AA$129="H")*$C$62:$C$129)*$B$14/$J$14*$C$14</f>
        <v/>
      </c>
      <c r="AB246" s="42">
        <f>SUMPRODUCT(($B$62:$B$129="Garlic")*(AB$62:AB$129="H")*$C$62:$C$129)*$B$14/$J$14*$C$14</f>
        <v/>
      </c>
      <c r="AC246" s="42">
        <f>SUMPRODUCT(($B$62:$B$129="Garlic")*(AC$62:AC$129="H")*$C$62:$C$129)*$B$14/$J$14*$C$14</f>
        <v/>
      </c>
      <c r="AD246" s="42">
        <f>SUMPRODUCT(($B$62:$B$129="Garlic")*(AD$62:AD$129="H")*$C$62:$C$129)*$B$14/$J$14*$C$14</f>
        <v/>
      </c>
      <c r="AE246" s="42">
        <f>SUMPRODUCT(($B$62:$B$129="Garlic")*(AE$62:AE$129="H")*$C$62:$C$129)*$B$14/$J$14*$C$14</f>
        <v/>
      </c>
      <c r="AF246" s="42">
        <f>SUMPRODUCT(($B$62:$B$129="Garlic")*(AF$62:AF$129="H")*$C$62:$C$129)*$B$14/$J$14*$C$14</f>
        <v/>
      </c>
      <c r="AG246" s="42">
        <f>SUMPRODUCT(($B$62:$B$129="Garlic")*(AG$62:AG$129="H")*$C$62:$C$129)*$B$14/$J$14*$C$14</f>
        <v/>
      </c>
      <c r="AH246" s="42">
        <f>SUMPRODUCT(($B$62:$B$129="Garlic")*(AH$62:AH$129="H")*$C$62:$C$129)*$B$14/$J$14*$C$14</f>
        <v/>
      </c>
      <c r="AI246" s="42">
        <f>SUMPRODUCT(($B$62:$B$129="Garlic")*(AI$62:AI$129="H")*$C$62:$C$129)*$B$14/$J$14*$C$14</f>
        <v/>
      </c>
      <c r="AJ246" s="42">
        <f>SUMPRODUCT(($B$62:$B$129="Garlic")*(AJ$62:AJ$129="H")*$C$62:$C$129)*$B$14/$J$14*$C$14</f>
        <v/>
      </c>
      <c r="AK246" s="42">
        <f>SUMPRODUCT(($B$62:$B$129="Garlic")*(AK$62:AK$129="H")*$C$62:$C$129)*$B$14/$J$14*$C$14</f>
        <v/>
      </c>
      <c r="AL246" s="42">
        <f>SUMPRODUCT(($B$62:$B$129="Garlic")*(AL$62:AL$129="H")*$C$62:$C$129)*$B$14/$J$14*$C$14</f>
        <v/>
      </c>
      <c r="AM246" s="42">
        <f>SUMPRODUCT(($B$62:$B$129="Garlic")*(AM$62:AM$129="H")*$C$62:$C$129)*$B$14/$J$14*$C$14</f>
        <v/>
      </c>
      <c r="AN246" s="42">
        <f>SUMPRODUCT(($B$62:$B$129="Garlic")*(AN$62:AN$129="H")*$C$62:$C$129)*$B$14/$J$14*$C$14</f>
        <v/>
      </c>
      <c r="AO246" s="42">
        <f>SUMPRODUCT(($B$62:$B$129="Garlic")*(AO$62:AO$129="H")*$C$62:$C$129)*$B$14/$J$14*$C$14</f>
        <v/>
      </c>
      <c r="AP246" s="42">
        <f>SUMPRODUCT(($B$62:$B$129="Garlic")*(AP$62:AP$129="H")*$C$62:$C$129)*$B$14/$J$14*$C$14</f>
        <v/>
      </c>
      <c r="AQ246" s="42">
        <f>SUMPRODUCT(($B$62:$B$129="Garlic")*(AQ$62:AQ$129="H")*$C$62:$C$129)*$B$14/$J$14*$C$14</f>
        <v/>
      </c>
      <c r="AR246" s="42">
        <f>SUMPRODUCT(($B$62:$B$129="Garlic")*(AR$62:AR$129="H")*$C$62:$C$129)*$B$14/$J$14*$C$14</f>
        <v/>
      </c>
      <c r="AS246" s="42">
        <f>SUMPRODUCT(($B$62:$B$129="Garlic")*(AS$62:AS$129="H")*$C$62:$C$129)*$B$14/$J$14*$C$14</f>
        <v/>
      </c>
      <c r="AT246" s="42">
        <f>SUMPRODUCT(($B$62:$B$129="Garlic")*(AT$62:AT$129="H")*$C$62:$C$129)*$B$14/$J$14*$C$14</f>
        <v/>
      </c>
      <c r="AU246" s="42">
        <f>SUMPRODUCT(($B$62:$B$129="Garlic")*(AU$62:AU$129="H")*$C$62:$C$129)*$B$14/$J$14*$C$14</f>
        <v/>
      </c>
      <c r="AV246" s="42">
        <f>SUMPRODUCT(($B$62:$B$129="Garlic")*(AV$62:AV$129="H")*$C$62:$C$129)*$B$14/$J$14*$C$14</f>
        <v/>
      </c>
      <c r="AW246" s="42">
        <f>SUMPRODUCT(($B$62:$B$129="Garlic")*(AW$62:AW$129="H")*$C$62:$C$129)*$B$14/$J$14*$C$14</f>
        <v/>
      </c>
      <c r="AX246" s="42">
        <f>SUMPRODUCT(($B$62:$B$129="Garlic")*(AX$62:AX$129="H")*$C$62:$C$129)*$B$14/$J$14*$C$14</f>
        <v/>
      </c>
      <c r="AY246" s="42">
        <f>SUMPRODUCT(($B$62:$B$129="Garlic")*(AY$62:AY$129="H")*$C$62:$C$129)*$B$14/$J$14*$C$14</f>
        <v/>
      </c>
      <c r="AZ246" s="42">
        <f>SUMPRODUCT(($B$62:$B$129="Garlic")*(AZ$62:AZ$129="H")*$C$62:$C$129)*$B$14/$J$14*$C$14</f>
        <v/>
      </c>
      <c r="BA246" s="42">
        <f>SUMPRODUCT(($B$62:$B$129="Garlic")*(BA$62:BA$129="H")*$C$62:$C$129)*$B$14/$J$14*$C$14</f>
        <v/>
      </c>
      <c r="BB246" s="42">
        <f>SUMPRODUCT(($B$62:$B$129="Garlic")*(BB$62:BB$129="H")*$C$62:$C$129)*$B$14/$J$14*$C$14</f>
        <v/>
      </c>
      <c r="BC246" s="42">
        <f>SUMPRODUCT(($B$62:$B$129="Garlic")*(BC$62:BC$129="H")*$C$62:$C$129)*$B$14/$J$14*$C$14</f>
        <v/>
      </c>
      <c r="BD246" s="42">
        <f>SUMPRODUCT(($B$62:$B$129="Garlic")*(BD$62:BD$129="H")*$C$62:$C$129)*$B$14/$J$14*$C$14</f>
        <v/>
      </c>
    </row>
    <row r="247">
      <c r="A247" s="26" t="inlineStr">
        <is>
          <t>Stock carried in</t>
        </is>
      </c>
      <c r="B247" s="2" t="inlineStr">
        <is>
          <t>lb</t>
        </is>
      </c>
      <c r="E247" s="42" t="n">
        <v>0</v>
      </c>
      <c r="F247" s="42">
        <f>E262</f>
        <v/>
      </c>
      <c r="G247" s="42">
        <f>F262</f>
        <v/>
      </c>
      <c r="H247" s="42">
        <f>G262</f>
        <v/>
      </c>
      <c r="I247" s="42">
        <f>H262</f>
        <v/>
      </c>
      <c r="J247" s="42">
        <f>I262</f>
        <v/>
      </c>
      <c r="K247" s="42">
        <f>J262</f>
        <v/>
      </c>
      <c r="L247" s="42">
        <f>K262</f>
        <v/>
      </c>
      <c r="M247" s="42">
        <f>L262</f>
        <v/>
      </c>
      <c r="N247" s="42">
        <f>M262</f>
        <v/>
      </c>
      <c r="O247" s="42">
        <f>N262</f>
        <v/>
      </c>
      <c r="P247" s="42">
        <f>O262</f>
        <v/>
      </c>
      <c r="Q247" s="42">
        <f>P262</f>
        <v/>
      </c>
      <c r="R247" s="42">
        <f>Q262</f>
        <v/>
      </c>
      <c r="S247" s="42">
        <f>R262</f>
        <v/>
      </c>
      <c r="T247" s="42">
        <f>S262</f>
        <v/>
      </c>
      <c r="U247" s="42">
        <f>T262</f>
        <v/>
      </c>
      <c r="V247" s="42">
        <f>U262</f>
        <v/>
      </c>
      <c r="W247" s="42">
        <f>V262</f>
        <v/>
      </c>
      <c r="X247" s="42">
        <f>W262</f>
        <v/>
      </c>
      <c r="Y247" s="42">
        <f>X262</f>
        <v/>
      </c>
      <c r="Z247" s="42">
        <f>Y262</f>
        <v/>
      </c>
      <c r="AA247" s="42">
        <f>Z262</f>
        <v/>
      </c>
      <c r="AB247" s="42">
        <f>AA262</f>
        <v/>
      </c>
      <c r="AC247" s="42">
        <f>AB262</f>
        <v/>
      </c>
      <c r="AD247" s="42">
        <f>AC262</f>
        <v/>
      </c>
      <c r="AE247" s="42">
        <f>AD262</f>
        <v/>
      </c>
      <c r="AF247" s="42">
        <f>AE262</f>
        <v/>
      </c>
      <c r="AG247" s="42">
        <f>AF262</f>
        <v/>
      </c>
      <c r="AH247" s="42">
        <f>AG262</f>
        <v/>
      </c>
      <c r="AI247" s="42">
        <f>AH262</f>
        <v/>
      </c>
      <c r="AJ247" s="42">
        <f>AI262</f>
        <v/>
      </c>
      <c r="AK247" s="42">
        <f>AJ262</f>
        <v/>
      </c>
      <c r="AL247" s="42">
        <f>AK262</f>
        <v/>
      </c>
      <c r="AM247" s="42">
        <f>AL262</f>
        <v/>
      </c>
      <c r="AN247" s="42">
        <f>AM262</f>
        <v/>
      </c>
      <c r="AO247" s="42">
        <f>AN262</f>
        <v/>
      </c>
      <c r="AP247" s="42">
        <f>AO262</f>
        <v/>
      </c>
      <c r="AQ247" s="42">
        <f>AP262</f>
        <v/>
      </c>
      <c r="AR247" s="42">
        <f>AQ262</f>
        <v/>
      </c>
      <c r="AS247" s="42">
        <f>AR262</f>
        <v/>
      </c>
      <c r="AT247" s="42">
        <f>AS262</f>
        <v/>
      </c>
      <c r="AU247" s="42">
        <f>AT262</f>
        <v/>
      </c>
      <c r="AV247" s="42">
        <f>AU262</f>
        <v/>
      </c>
      <c r="AW247" s="42">
        <f>AV262</f>
        <v/>
      </c>
      <c r="AX247" s="42">
        <f>AW262</f>
        <v/>
      </c>
      <c r="AY247" s="42">
        <f>AX262</f>
        <v/>
      </c>
      <c r="AZ247" s="42">
        <f>AY262</f>
        <v/>
      </c>
      <c r="BA247" s="42">
        <f>AZ262</f>
        <v/>
      </c>
      <c r="BB247" s="42">
        <f>BA262</f>
        <v/>
      </c>
      <c r="BC247" s="42">
        <f>BB262</f>
        <v/>
      </c>
      <c r="BD247" s="42">
        <f>BC262</f>
        <v/>
      </c>
    </row>
    <row r="248">
      <c r="A248" s="26" t="inlineStr">
        <is>
          <t xml:space="preserve">   lost to shrink</t>
        </is>
      </c>
      <c r="B248" s="2" t="inlineStr">
        <is>
          <t>lb</t>
        </is>
      </c>
      <c r="E248" s="42">
        <f>E247*$G$14</f>
        <v/>
      </c>
      <c r="F248" s="42">
        <f>F247*$G$14</f>
        <v/>
      </c>
      <c r="G248" s="42">
        <f>G247*$G$14</f>
        <v/>
      </c>
      <c r="H248" s="42">
        <f>H247*$G$14</f>
        <v/>
      </c>
      <c r="I248" s="42">
        <f>I247*$G$14</f>
        <v/>
      </c>
      <c r="J248" s="42">
        <f>J247*$G$14</f>
        <v/>
      </c>
      <c r="K248" s="42">
        <f>K247*$G$14</f>
        <v/>
      </c>
      <c r="L248" s="42">
        <f>L247*$G$14</f>
        <v/>
      </c>
      <c r="M248" s="42">
        <f>M247*$G$14</f>
        <v/>
      </c>
      <c r="N248" s="42">
        <f>N247*$G$14</f>
        <v/>
      </c>
      <c r="O248" s="42">
        <f>O247*$G$14</f>
        <v/>
      </c>
      <c r="P248" s="42">
        <f>P247*$G$14</f>
        <v/>
      </c>
      <c r="Q248" s="42">
        <f>Q247*$G$14</f>
        <v/>
      </c>
      <c r="R248" s="42">
        <f>R247*$G$14</f>
        <v/>
      </c>
      <c r="S248" s="42">
        <f>S247*$G$14</f>
        <v/>
      </c>
      <c r="T248" s="42">
        <f>T247*$G$14</f>
        <v/>
      </c>
      <c r="U248" s="42">
        <f>U247*$G$14</f>
        <v/>
      </c>
      <c r="V248" s="42">
        <f>V247*$G$14</f>
        <v/>
      </c>
      <c r="W248" s="42">
        <f>W247*$G$14</f>
        <v/>
      </c>
      <c r="X248" s="42">
        <f>X247*$G$14</f>
        <v/>
      </c>
      <c r="Y248" s="42">
        <f>Y247*$G$14</f>
        <v/>
      </c>
      <c r="Z248" s="42">
        <f>Z247*$G$14</f>
        <v/>
      </c>
      <c r="AA248" s="42">
        <f>AA247*$G$14</f>
        <v/>
      </c>
      <c r="AB248" s="42">
        <f>AB247*$G$14</f>
        <v/>
      </c>
      <c r="AC248" s="42">
        <f>AC247*$G$14</f>
        <v/>
      </c>
      <c r="AD248" s="42">
        <f>AD247*$G$14</f>
        <v/>
      </c>
      <c r="AE248" s="42">
        <f>AE247*$G$14</f>
        <v/>
      </c>
      <c r="AF248" s="42">
        <f>AF247*$G$14</f>
        <v/>
      </c>
      <c r="AG248" s="42">
        <f>AG247*$G$14</f>
        <v/>
      </c>
      <c r="AH248" s="42">
        <f>AH247*$G$14</f>
        <v/>
      </c>
      <c r="AI248" s="42">
        <f>AI247*$G$14</f>
        <v/>
      </c>
      <c r="AJ248" s="42">
        <f>AJ247*$G$14</f>
        <v/>
      </c>
      <c r="AK248" s="42">
        <f>AK247*$G$14</f>
        <v/>
      </c>
      <c r="AL248" s="42">
        <f>AL247*$G$14</f>
        <v/>
      </c>
      <c r="AM248" s="42">
        <f>AM247*$G$14</f>
        <v/>
      </c>
      <c r="AN248" s="42">
        <f>AN247*$G$14</f>
        <v/>
      </c>
      <c r="AO248" s="42">
        <f>AO247*$G$14</f>
        <v/>
      </c>
      <c r="AP248" s="42">
        <f>AP247*$G$14</f>
        <v/>
      </c>
      <c r="AQ248" s="42">
        <f>AQ247*$G$14</f>
        <v/>
      </c>
      <c r="AR248" s="42">
        <f>AR247*$G$14</f>
        <v/>
      </c>
      <c r="AS248" s="42">
        <f>AS247*$G$14</f>
        <v/>
      </c>
      <c r="AT248" s="42">
        <f>AT247*$G$14</f>
        <v/>
      </c>
      <c r="AU248" s="42">
        <f>AU247*$G$14</f>
        <v/>
      </c>
      <c r="AV248" s="42">
        <f>AV247*$G$14</f>
        <v/>
      </c>
      <c r="AW248" s="42">
        <f>AW247*$G$14</f>
        <v/>
      </c>
      <c r="AX248" s="42">
        <f>AX247*$G$14</f>
        <v/>
      </c>
      <c r="AY248" s="42">
        <f>AY247*$G$14</f>
        <v/>
      </c>
      <c r="AZ248" s="42">
        <f>AZ247*$G$14</f>
        <v/>
      </c>
      <c r="BA248" s="42">
        <f>BA247*$G$14</f>
        <v/>
      </c>
      <c r="BB248" s="42">
        <f>BB247*$G$14</f>
        <v/>
      </c>
      <c r="BC248" s="42">
        <f>BC247*$G$14</f>
        <v/>
      </c>
      <c r="BD248" s="42">
        <f>BD247*$G$14</f>
        <v/>
      </c>
    </row>
    <row r="249">
      <c r="A249" s="4" t="inlineStr">
        <is>
          <t>In store this week</t>
        </is>
      </c>
      <c r="B249" s="2" t="inlineStr">
        <is>
          <t>lb</t>
        </is>
      </c>
      <c r="E249" s="42">
        <f>E247-E248+E246</f>
        <v/>
      </c>
      <c r="F249" s="42">
        <f>F247-F248+F246</f>
        <v/>
      </c>
      <c r="G249" s="42">
        <f>G247-G248+G246</f>
        <v/>
      </c>
      <c r="H249" s="42">
        <f>H247-H248+H246</f>
        <v/>
      </c>
      <c r="I249" s="42">
        <f>I247-I248+I246</f>
        <v/>
      </c>
      <c r="J249" s="42">
        <f>J247-J248+J246</f>
        <v/>
      </c>
      <c r="K249" s="42">
        <f>K247-K248+K246</f>
        <v/>
      </c>
      <c r="L249" s="42">
        <f>L247-L248+L246</f>
        <v/>
      </c>
      <c r="M249" s="42">
        <f>M247-M248+M246</f>
        <v/>
      </c>
      <c r="N249" s="42">
        <f>N247-N248+N246</f>
        <v/>
      </c>
      <c r="O249" s="42">
        <f>O247-O248+O246</f>
        <v/>
      </c>
      <c r="P249" s="42">
        <f>P247-P248+P246</f>
        <v/>
      </c>
      <c r="Q249" s="42">
        <f>Q247-Q248+Q246</f>
        <v/>
      </c>
      <c r="R249" s="42">
        <f>R247-R248+R246</f>
        <v/>
      </c>
      <c r="S249" s="42">
        <f>S247-S248+S246</f>
        <v/>
      </c>
      <c r="T249" s="42">
        <f>T247-T248+T246</f>
        <v/>
      </c>
      <c r="U249" s="42">
        <f>U247-U248+U246</f>
        <v/>
      </c>
      <c r="V249" s="42">
        <f>V247-V248+V246</f>
        <v/>
      </c>
      <c r="W249" s="42">
        <f>W247-W248+W246</f>
        <v/>
      </c>
      <c r="X249" s="42">
        <f>X247-X248+X246</f>
        <v/>
      </c>
      <c r="Y249" s="42">
        <f>Y247-Y248+Y246</f>
        <v/>
      </c>
      <c r="Z249" s="42">
        <f>Z247-Z248+Z246</f>
        <v/>
      </c>
      <c r="AA249" s="42">
        <f>AA247-AA248+AA246</f>
        <v/>
      </c>
      <c r="AB249" s="42">
        <f>AB247-AB248+AB246</f>
        <v/>
      </c>
      <c r="AC249" s="42">
        <f>AC247-AC248+AC246</f>
        <v/>
      </c>
      <c r="AD249" s="42">
        <f>AD247-AD248+AD246</f>
        <v/>
      </c>
      <c r="AE249" s="42">
        <f>AE247-AE248+AE246</f>
        <v/>
      </c>
      <c r="AF249" s="42">
        <f>AF247-AF248+AF246</f>
        <v/>
      </c>
      <c r="AG249" s="42">
        <f>AG247-AG248+AG246</f>
        <v/>
      </c>
      <c r="AH249" s="42">
        <f>AH247-AH248+AH246</f>
        <v/>
      </c>
      <c r="AI249" s="42">
        <f>AI247-AI248+AI246</f>
        <v/>
      </c>
      <c r="AJ249" s="42">
        <f>AJ247-AJ248+AJ246</f>
        <v/>
      </c>
      <c r="AK249" s="42">
        <f>AK247-AK248+AK246</f>
        <v/>
      </c>
      <c r="AL249" s="42">
        <f>AL247-AL248+AL246</f>
        <v/>
      </c>
      <c r="AM249" s="42">
        <f>AM247-AM248+AM246</f>
        <v/>
      </c>
      <c r="AN249" s="42">
        <f>AN247-AN248+AN246</f>
        <v/>
      </c>
      <c r="AO249" s="42">
        <f>AO247-AO248+AO246</f>
        <v/>
      </c>
      <c r="AP249" s="42">
        <f>AP247-AP248+AP246</f>
        <v/>
      </c>
      <c r="AQ249" s="42">
        <f>AQ247-AQ248+AQ246</f>
        <v/>
      </c>
      <c r="AR249" s="42">
        <f>AR247-AR248+AR246</f>
        <v/>
      </c>
      <c r="AS249" s="42">
        <f>AS247-AS248+AS246</f>
        <v/>
      </c>
      <c r="AT249" s="42">
        <f>AT247-AT248+AT246</f>
        <v/>
      </c>
      <c r="AU249" s="42">
        <f>AU247-AU248+AU246</f>
        <v/>
      </c>
      <c r="AV249" s="42">
        <f>AV247-AV248+AV246</f>
        <v/>
      </c>
      <c r="AW249" s="42">
        <f>AW247-AW248+AW246</f>
        <v/>
      </c>
      <c r="AX249" s="42">
        <f>AX247-AX248+AX246</f>
        <v/>
      </c>
      <c r="AY249" s="42">
        <f>AY247-AY248+AY246</f>
        <v/>
      </c>
      <c r="AZ249" s="42">
        <f>AZ247-AZ248+AZ246</f>
        <v/>
      </c>
      <c r="BA249" s="42">
        <f>BA247-BA248+BA246</f>
        <v/>
      </c>
      <c r="BB249" s="42">
        <f>BB247-BB248+BB246</f>
        <v/>
      </c>
      <c r="BC249" s="42">
        <f>BC247-BC248+BC246</f>
        <v/>
      </c>
      <c r="BD249" s="42">
        <f>BD247-BD248+BD246</f>
        <v/>
      </c>
    </row>
    <row r="250">
      <c r="A250" s="28" t="inlineStr">
        <is>
          <t>Farmers Market — most you may sell this week</t>
        </is>
      </c>
      <c r="B250" s="2" t="inlineStr">
        <is>
          <t>lb</t>
        </is>
      </c>
      <c r="E250" s="46">
        <f>IF($C$23="Annual",$D$23-0,IF(AND(1&gt;=$E$23,1&lt;=$F$23),$D$23,0))</f>
        <v/>
      </c>
      <c r="F250" s="46">
        <f>IF($C$23="Annual",$D$23-SUM(E252:E252),IF(AND(2&gt;=$E$23,2&lt;=$F$23),$D$23,0))</f>
        <v/>
      </c>
      <c r="G250" s="46">
        <f>IF($C$23="Annual",$D$23-SUM(E252:F252),IF(AND(3&gt;=$E$23,3&lt;=$F$23),$D$23,0))</f>
        <v/>
      </c>
      <c r="H250" s="46">
        <f>IF($C$23="Annual",$D$23-SUM(E252:G252),IF(AND(4&gt;=$E$23,4&lt;=$F$23),$D$23,0))</f>
        <v/>
      </c>
      <c r="I250" s="46">
        <f>IF($C$23="Annual",$D$23-SUM(E252:H252),IF(AND(5&gt;=$E$23,5&lt;=$F$23),$D$23,0))</f>
        <v/>
      </c>
      <c r="J250" s="46">
        <f>IF($C$23="Annual",$D$23-SUM(E252:I252),IF(AND(6&gt;=$E$23,6&lt;=$F$23),$D$23,0))</f>
        <v/>
      </c>
      <c r="K250" s="46">
        <f>IF($C$23="Annual",$D$23-SUM(E252:J252),IF(AND(7&gt;=$E$23,7&lt;=$F$23),$D$23,0))</f>
        <v/>
      </c>
      <c r="L250" s="46">
        <f>IF($C$23="Annual",$D$23-SUM(E252:K252),IF(AND(8&gt;=$E$23,8&lt;=$F$23),$D$23,0))</f>
        <v/>
      </c>
      <c r="M250" s="46">
        <f>IF($C$23="Annual",$D$23-SUM(E252:L252),IF(AND(9&gt;=$E$23,9&lt;=$F$23),$D$23,0))</f>
        <v/>
      </c>
      <c r="N250" s="46">
        <f>IF($C$23="Annual",$D$23-SUM(E252:M252),IF(AND(10&gt;=$E$23,10&lt;=$F$23),$D$23,0))</f>
        <v/>
      </c>
      <c r="O250" s="46">
        <f>IF($C$23="Annual",$D$23-SUM(E252:N252),IF(AND(11&gt;=$E$23,11&lt;=$F$23),$D$23,0))</f>
        <v/>
      </c>
      <c r="P250" s="46">
        <f>IF($C$23="Annual",$D$23-SUM(E252:O252),IF(AND(12&gt;=$E$23,12&lt;=$F$23),$D$23,0))</f>
        <v/>
      </c>
      <c r="Q250" s="46">
        <f>IF($C$23="Annual",$D$23-SUM(E252:P252),IF(AND(13&gt;=$E$23,13&lt;=$F$23),$D$23,0))</f>
        <v/>
      </c>
      <c r="R250" s="46">
        <f>IF($C$23="Annual",$D$23-SUM(E252:Q252),IF(AND(14&gt;=$E$23,14&lt;=$F$23),$D$23,0))</f>
        <v/>
      </c>
      <c r="S250" s="46">
        <f>IF($C$23="Annual",$D$23-SUM(E252:R252),IF(AND(15&gt;=$E$23,15&lt;=$F$23),$D$23,0))</f>
        <v/>
      </c>
      <c r="T250" s="46">
        <f>IF($C$23="Annual",$D$23-SUM(E252:S252),IF(AND(16&gt;=$E$23,16&lt;=$F$23),$D$23,0))</f>
        <v/>
      </c>
      <c r="U250" s="46">
        <f>IF($C$23="Annual",$D$23-SUM(E252:T252),IF(AND(17&gt;=$E$23,17&lt;=$F$23),$D$23,0))</f>
        <v/>
      </c>
      <c r="V250" s="46">
        <f>IF($C$23="Annual",$D$23-SUM(E252:U252),IF(AND(18&gt;=$E$23,18&lt;=$F$23),$D$23,0))</f>
        <v/>
      </c>
      <c r="W250" s="46">
        <f>IF($C$23="Annual",$D$23-SUM(E252:V252),IF(AND(19&gt;=$E$23,19&lt;=$F$23),$D$23,0))</f>
        <v/>
      </c>
      <c r="X250" s="46">
        <f>IF($C$23="Annual",$D$23-SUM(E252:W252),IF(AND(20&gt;=$E$23,20&lt;=$F$23),$D$23,0))</f>
        <v/>
      </c>
      <c r="Y250" s="46">
        <f>IF($C$23="Annual",$D$23-SUM(E252:X252),IF(AND(21&gt;=$E$23,21&lt;=$F$23),$D$23,0))</f>
        <v/>
      </c>
      <c r="Z250" s="46">
        <f>IF($C$23="Annual",$D$23-SUM(E252:Y252),IF(AND(22&gt;=$E$23,22&lt;=$F$23),$D$23,0))</f>
        <v/>
      </c>
      <c r="AA250" s="46">
        <f>IF($C$23="Annual",$D$23-SUM(E252:Z252),IF(AND(23&gt;=$E$23,23&lt;=$F$23),$D$23,0))</f>
        <v/>
      </c>
      <c r="AB250" s="46">
        <f>IF($C$23="Annual",$D$23-SUM(E252:AA252),IF(AND(24&gt;=$E$23,24&lt;=$F$23),$D$23,0))</f>
        <v/>
      </c>
      <c r="AC250" s="46">
        <f>IF($C$23="Annual",$D$23-SUM(E252:AB252),IF(AND(25&gt;=$E$23,25&lt;=$F$23),$D$23,0))</f>
        <v/>
      </c>
      <c r="AD250" s="46">
        <f>IF($C$23="Annual",$D$23-SUM(E252:AC252),IF(AND(26&gt;=$E$23,26&lt;=$F$23),$D$23,0))</f>
        <v/>
      </c>
      <c r="AE250" s="46">
        <f>IF($C$23="Annual",$D$23-SUM(E252:AD252),IF(AND(27&gt;=$E$23,27&lt;=$F$23),$D$23,0))</f>
        <v/>
      </c>
      <c r="AF250" s="46">
        <f>IF($C$23="Annual",$D$23-SUM(E252:AE252),IF(AND(28&gt;=$E$23,28&lt;=$F$23),$D$23,0))</f>
        <v/>
      </c>
      <c r="AG250" s="46">
        <f>IF($C$23="Annual",$D$23-SUM(E252:AF252),IF(AND(29&gt;=$E$23,29&lt;=$F$23),$D$23,0))</f>
        <v/>
      </c>
      <c r="AH250" s="46">
        <f>IF($C$23="Annual",$D$23-SUM(E252:AG252),IF(AND(30&gt;=$E$23,30&lt;=$F$23),$D$23,0))</f>
        <v/>
      </c>
      <c r="AI250" s="46">
        <f>IF($C$23="Annual",$D$23-SUM(E252:AH252),IF(AND(31&gt;=$E$23,31&lt;=$F$23),$D$23,0))</f>
        <v/>
      </c>
      <c r="AJ250" s="46">
        <f>IF($C$23="Annual",$D$23-SUM(E252:AI252),IF(AND(32&gt;=$E$23,32&lt;=$F$23),$D$23,0))</f>
        <v/>
      </c>
      <c r="AK250" s="46">
        <f>IF($C$23="Annual",$D$23-SUM(E252:AJ252),IF(AND(33&gt;=$E$23,33&lt;=$F$23),$D$23,0))</f>
        <v/>
      </c>
      <c r="AL250" s="46">
        <f>IF($C$23="Annual",$D$23-SUM(E252:AK252),IF(AND(34&gt;=$E$23,34&lt;=$F$23),$D$23,0))</f>
        <v/>
      </c>
      <c r="AM250" s="46">
        <f>IF($C$23="Annual",$D$23-SUM(E252:AL252),IF(AND(35&gt;=$E$23,35&lt;=$F$23),$D$23,0))</f>
        <v/>
      </c>
      <c r="AN250" s="46">
        <f>IF($C$23="Annual",$D$23-SUM(E252:AM252),IF(AND(36&gt;=$E$23,36&lt;=$F$23),$D$23,0))</f>
        <v/>
      </c>
      <c r="AO250" s="46">
        <f>IF($C$23="Annual",$D$23-SUM(E252:AN252),IF(AND(37&gt;=$E$23,37&lt;=$F$23),$D$23,0))</f>
        <v/>
      </c>
      <c r="AP250" s="46">
        <f>IF($C$23="Annual",$D$23-SUM(E252:AO252),IF(AND(38&gt;=$E$23,38&lt;=$F$23),$D$23,0))</f>
        <v/>
      </c>
      <c r="AQ250" s="46">
        <f>IF($C$23="Annual",$D$23-SUM(E252:AP252),IF(AND(39&gt;=$E$23,39&lt;=$F$23),$D$23,0))</f>
        <v/>
      </c>
      <c r="AR250" s="46">
        <f>IF($C$23="Annual",$D$23-SUM(E252:AQ252),IF(AND(40&gt;=$E$23,40&lt;=$F$23),$D$23,0))</f>
        <v/>
      </c>
      <c r="AS250" s="46">
        <f>IF($C$23="Annual",$D$23-SUM(E252:AR252),IF(AND(41&gt;=$E$23,41&lt;=$F$23),$D$23,0))</f>
        <v/>
      </c>
      <c r="AT250" s="46">
        <f>IF($C$23="Annual",$D$23-SUM(E252:AS252),IF(AND(42&gt;=$E$23,42&lt;=$F$23),$D$23,0))</f>
        <v/>
      </c>
      <c r="AU250" s="46">
        <f>IF($C$23="Annual",$D$23-SUM(E252:AT252),IF(AND(43&gt;=$E$23,43&lt;=$F$23),$D$23,0))</f>
        <v/>
      </c>
      <c r="AV250" s="46">
        <f>IF($C$23="Annual",$D$23-SUM(E252:AU252),IF(AND(44&gt;=$E$23,44&lt;=$F$23),$D$23,0))</f>
        <v/>
      </c>
      <c r="AW250" s="46">
        <f>IF($C$23="Annual",$D$23-SUM(E252:AV252),IF(AND(45&gt;=$E$23,45&lt;=$F$23),$D$23,0))</f>
        <v/>
      </c>
      <c r="AX250" s="46">
        <f>IF($C$23="Annual",$D$23-SUM(E252:AW252),IF(AND(46&gt;=$E$23,46&lt;=$F$23),$D$23,0))</f>
        <v/>
      </c>
      <c r="AY250" s="46">
        <f>IF($C$23="Annual",$D$23-SUM(E252:AX252),IF(AND(47&gt;=$E$23,47&lt;=$F$23),$D$23,0))</f>
        <v/>
      </c>
      <c r="AZ250" s="46">
        <f>IF($C$23="Annual",$D$23-SUM(E252:AY252),IF(AND(48&gt;=$E$23,48&lt;=$F$23),$D$23,0))</f>
        <v/>
      </c>
      <c r="BA250" s="46">
        <f>IF($C$23="Annual",$D$23-SUM(E252:AZ252),IF(AND(49&gt;=$E$23,49&lt;=$F$23),$D$23,0))</f>
        <v/>
      </c>
      <c r="BB250" s="46">
        <f>IF($C$23="Annual",$D$23-SUM(E252:BA252),IF(AND(50&gt;=$E$23,50&lt;=$F$23),$D$23,0))</f>
        <v/>
      </c>
      <c r="BC250" s="46">
        <f>IF($C$23="Annual",$D$23-SUM(E252:BB252),IF(AND(51&gt;=$E$23,51&lt;=$F$23),$D$23,0))</f>
        <v/>
      </c>
      <c r="BD250" s="46">
        <f>IF($C$23="Annual",$D$23-SUM(E252:BC252),IF(AND(52&gt;=$E$23,52&lt;=$F$23),$D$23,0))</f>
        <v/>
      </c>
    </row>
    <row r="251">
      <c r="A251" s="24" t="inlineStr">
        <is>
          <t>Farmers Market — OFFERED</t>
        </is>
      </c>
      <c r="B251" s="2" t="inlineStr">
        <is>
          <t>lb  &lt;-- SOLVER</t>
        </is>
      </c>
      <c r="E251" s="43" t="n">
        <v>0</v>
      </c>
      <c r="F251" s="43" t="n">
        <v>0</v>
      </c>
      <c r="G251" s="43" t="n">
        <v>0</v>
      </c>
      <c r="H251" s="43" t="n">
        <v>0</v>
      </c>
      <c r="I251" s="43" t="n">
        <v>0</v>
      </c>
      <c r="J251" s="43" t="n">
        <v>0</v>
      </c>
      <c r="K251" s="43" t="n">
        <v>0</v>
      </c>
      <c r="L251" s="43" t="n">
        <v>0</v>
      </c>
      <c r="M251" s="43" t="n">
        <v>0</v>
      </c>
      <c r="N251" s="43" t="n">
        <v>0</v>
      </c>
      <c r="O251" s="43" t="n">
        <v>0</v>
      </c>
      <c r="P251" s="43" t="n">
        <v>0</v>
      </c>
      <c r="Q251" s="43" t="n">
        <v>0</v>
      </c>
      <c r="R251" s="43" t="n">
        <v>0</v>
      </c>
      <c r="S251" s="43" t="n">
        <v>0</v>
      </c>
      <c r="T251" s="43" t="n">
        <v>0</v>
      </c>
      <c r="U251" s="43" t="n">
        <v>0</v>
      </c>
      <c r="V251" s="43" t="n">
        <v>0</v>
      </c>
      <c r="W251" s="43" t="n">
        <v>0</v>
      </c>
      <c r="X251" s="43" t="n">
        <v>0</v>
      </c>
      <c r="Y251" s="43" t="n">
        <v>0</v>
      </c>
      <c r="Z251" s="43" t="n">
        <v>0</v>
      </c>
      <c r="AA251" s="43" t="n">
        <v>0</v>
      </c>
      <c r="AB251" s="43" t="n">
        <v>0</v>
      </c>
      <c r="AC251" s="43" t="n">
        <v>0</v>
      </c>
      <c r="AD251" s="43" t="n">
        <v>0</v>
      </c>
      <c r="AE251" s="43" t="n">
        <v>0</v>
      </c>
      <c r="AF251" s="43" t="n">
        <v>0</v>
      </c>
      <c r="AG251" s="43" t="n">
        <v>0</v>
      </c>
      <c r="AH251" s="43" t="n">
        <v>0</v>
      </c>
      <c r="AI251" s="43" t="n">
        <v>0</v>
      </c>
      <c r="AJ251" s="43" t="n">
        <v>0</v>
      </c>
      <c r="AK251" s="43" t="n">
        <v>0</v>
      </c>
      <c r="AL251" s="43" t="n">
        <v>0</v>
      </c>
      <c r="AM251" s="43" t="n">
        <v>0</v>
      </c>
      <c r="AN251" s="43" t="n">
        <v>0</v>
      </c>
      <c r="AO251" s="43" t="n">
        <v>0</v>
      </c>
      <c r="AP251" s="43" t="n">
        <v>0</v>
      </c>
      <c r="AQ251" s="43" t="n">
        <v>0</v>
      </c>
      <c r="AR251" s="43" t="n">
        <v>0</v>
      </c>
      <c r="AS251" s="43" t="n">
        <v>0</v>
      </c>
      <c r="AT251" s="43" t="n">
        <v>0</v>
      </c>
      <c r="AU251" s="43" t="n">
        <v>0</v>
      </c>
      <c r="AV251" s="43" t="n">
        <v>0</v>
      </c>
      <c r="AW251" s="43" t="n">
        <v>0</v>
      </c>
      <c r="AX251" s="43" t="n">
        <v>0</v>
      </c>
      <c r="AY251" s="43" t="n">
        <v>0</v>
      </c>
      <c r="AZ251" s="43" t="n">
        <v>0</v>
      </c>
      <c r="BA251" s="43" t="n">
        <v>0</v>
      </c>
      <c r="BB251" s="43" t="n">
        <v>0</v>
      </c>
      <c r="BC251" s="43" t="n">
        <v>0</v>
      </c>
      <c r="BD251" s="43" t="n">
        <v>0</v>
      </c>
    </row>
    <row r="252">
      <c r="A252" s="47" t="inlineStr">
        <is>
          <t>Farmers Market — SOLD</t>
        </is>
      </c>
      <c r="B252" s="2" t="inlineStr">
        <is>
          <t>lb</t>
        </is>
      </c>
      <c r="E252" s="46">
        <f>E251*$G$23</f>
        <v/>
      </c>
      <c r="F252" s="46">
        <f>F251*$G$23</f>
        <v/>
      </c>
      <c r="G252" s="46">
        <f>G251*$G$23</f>
        <v/>
      </c>
      <c r="H252" s="46">
        <f>H251*$G$23</f>
        <v/>
      </c>
      <c r="I252" s="46">
        <f>I251*$G$23</f>
        <v/>
      </c>
      <c r="J252" s="46">
        <f>J251*$G$23</f>
        <v/>
      </c>
      <c r="K252" s="46">
        <f>K251*$G$23</f>
        <v/>
      </c>
      <c r="L252" s="46">
        <f>L251*$G$23</f>
        <v/>
      </c>
      <c r="M252" s="46">
        <f>M251*$G$23</f>
        <v/>
      </c>
      <c r="N252" s="46">
        <f>N251*$G$23</f>
        <v/>
      </c>
      <c r="O252" s="46">
        <f>O251*$G$23</f>
        <v/>
      </c>
      <c r="P252" s="46">
        <f>P251*$G$23</f>
        <v/>
      </c>
      <c r="Q252" s="46">
        <f>Q251*$G$23</f>
        <v/>
      </c>
      <c r="R252" s="46">
        <f>R251*$G$23</f>
        <v/>
      </c>
      <c r="S252" s="46">
        <f>S251*$G$23</f>
        <v/>
      </c>
      <c r="T252" s="46">
        <f>T251*$G$23</f>
        <v/>
      </c>
      <c r="U252" s="46">
        <f>U251*$G$23</f>
        <v/>
      </c>
      <c r="V252" s="46">
        <f>V251*$G$23</f>
        <v/>
      </c>
      <c r="W252" s="46">
        <f>W251*$G$23</f>
        <v/>
      </c>
      <c r="X252" s="46">
        <f>X251*$G$23</f>
        <v/>
      </c>
      <c r="Y252" s="46">
        <f>Y251*$G$23</f>
        <v/>
      </c>
      <c r="Z252" s="46">
        <f>Z251*$G$23</f>
        <v/>
      </c>
      <c r="AA252" s="46">
        <f>AA251*$G$23</f>
        <v/>
      </c>
      <c r="AB252" s="46">
        <f>AB251*$G$23</f>
        <v/>
      </c>
      <c r="AC252" s="46">
        <f>AC251*$G$23</f>
        <v/>
      </c>
      <c r="AD252" s="46">
        <f>AD251*$G$23</f>
        <v/>
      </c>
      <c r="AE252" s="46">
        <f>AE251*$G$23</f>
        <v/>
      </c>
      <c r="AF252" s="46">
        <f>AF251*$G$23</f>
        <v/>
      </c>
      <c r="AG252" s="46">
        <f>AG251*$G$23</f>
        <v/>
      </c>
      <c r="AH252" s="46">
        <f>AH251*$G$23</f>
        <v/>
      </c>
      <c r="AI252" s="46">
        <f>AI251*$G$23</f>
        <v/>
      </c>
      <c r="AJ252" s="46">
        <f>AJ251*$G$23</f>
        <v/>
      </c>
      <c r="AK252" s="46">
        <f>AK251*$G$23</f>
        <v/>
      </c>
      <c r="AL252" s="46">
        <f>AL251*$G$23</f>
        <v/>
      </c>
      <c r="AM252" s="46">
        <f>AM251*$G$23</f>
        <v/>
      </c>
      <c r="AN252" s="46">
        <f>AN251*$G$23</f>
        <v/>
      </c>
      <c r="AO252" s="46">
        <f>AO251*$G$23</f>
        <v/>
      </c>
      <c r="AP252" s="46">
        <f>AP251*$G$23</f>
        <v/>
      </c>
      <c r="AQ252" s="46">
        <f>AQ251*$G$23</f>
        <v/>
      </c>
      <c r="AR252" s="46">
        <f>AR251*$G$23</f>
        <v/>
      </c>
      <c r="AS252" s="46">
        <f>AS251*$G$23</f>
        <v/>
      </c>
      <c r="AT252" s="46">
        <f>AT251*$G$23</f>
        <v/>
      </c>
      <c r="AU252" s="46">
        <f>AU251*$G$23</f>
        <v/>
      </c>
      <c r="AV252" s="46">
        <f>AV251*$G$23</f>
        <v/>
      </c>
      <c r="AW252" s="46">
        <f>AW251*$G$23</f>
        <v/>
      </c>
      <c r="AX252" s="46">
        <f>AX251*$G$23</f>
        <v/>
      </c>
      <c r="AY252" s="46">
        <f>AY251*$G$23</f>
        <v/>
      </c>
      <c r="AZ252" s="46">
        <f>AZ251*$G$23</f>
        <v/>
      </c>
      <c r="BA252" s="46">
        <f>BA251*$G$23</f>
        <v/>
      </c>
      <c r="BB252" s="46">
        <f>BB251*$G$23</f>
        <v/>
      </c>
      <c r="BC252" s="46">
        <f>BC251*$G$23</f>
        <v/>
      </c>
      <c r="BD252" s="46">
        <f>BD251*$G$23</f>
        <v/>
      </c>
    </row>
    <row r="253">
      <c r="A253" s="26" t="inlineStr">
        <is>
          <t xml:space="preserve">   market loss (gone)</t>
        </is>
      </c>
      <c r="B253" s="2" t="inlineStr">
        <is>
          <t>lb</t>
        </is>
      </c>
      <c r="E253" s="42">
        <f>(E251-E252)*(1-$H$23)</f>
        <v/>
      </c>
      <c r="F253" s="42">
        <f>(F251-F252)*(1-$H$23)</f>
        <v/>
      </c>
      <c r="G253" s="42">
        <f>(G251-G252)*(1-$H$23)</f>
        <v/>
      </c>
      <c r="H253" s="42">
        <f>(H251-H252)*(1-$H$23)</f>
        <v/>
      </c>
      <c r="I253" s="42">
        <f>(I251-I252)*(1-$H$23)</f>
        <v/>
      </c>
      <c r="J253" s="42">
        <f>(J251-J252)*(1-$H$23)</f>
        <v/>
      </c>
      <c r="K253" s="42">
        <f>(K251-K252)*(1-$H$23)</f>
        <v/>
      </c>
      <c r="L253" s="42">
        <f>(L251-L252)*(1-$H$23)</f>
        <v/>
      </c>
      <c r="M253" s="42">
        <f>(M251-M252)*(1-$H$23)</f>
        <v/>
      </c>
      <c r="N253" s="42">
        <f>(N251-N252)*(1-$H$23)</f>
        <v/>
      </c>
      <c r="O253" s="42">
        <f>(O251-O252)*(1-$H$23)</f>
        <v/>
      </c>
      <c r="P253" s="42">
        <f>(P251-P252)*(1-$H$23)</f>
        <v/>
      </c>
      <c r="Q253" s="42">
        <f>(Q251-Q252)*(1-$H$23)</f>
        <v/>
      </c>
      <c r="R253" s="42">
        <f>(R251-R252)*(1-$H$23)</f>
        <v/>
      </c>
      <c r="S253" s="42">
        <f>(S251-S252)*(1-$H$23)</f>
        <v/>
      </c>
      <c r="T253" s="42">
        <f>(T251-T252)*(1-$H$23)</f>
        <v/>
      </c>
      <c r="U253" s="42">
        <f>(U251-U252)*(1-$H$23)</f>
        <v/>
      </c>
      <c r="V253" s="42">
        <f>(V251-V252)*(1-$H$23)</f>
        <v/>
      </c>
      <c r="W253" s="42">
        <f>(W251-W252)*(1-$H$23)</f>
        <v/>
      </c>
      <c r="X253" s="42">
        <f>(X251-X252)*(1-$H$23)</f>
        <v/>
      </c>
      <c r="Y253" s="42">
        <f>(Y251-Y252)*(1-$H$23)</f>
        <v/>
      </c>
      <c r="Z253" s="42">
        <f>(Z251-Z252)*(1-$H$23)</f>
        <v/>
      </c>
      <c r="AA253" s="42">
        <f>(AA251-AA252)*(1-$H$23)</f>
        <v/>
      </c>
      <c r="AB253" s="42">
        <f>(AB251-AB252)*(1-$H$23)</f>
        <v/>
      </c>
      <c r="AC253" s="42">
        <f>(AC251-AC252)*(1-$H$23)</f>
        <v/>
      </c>
      <c r="AD253" s="42">
        <f>(AD251-AD252)*(1-$H$23)</f>
        <v/>
      </c>
      <c r="AE253" s="42">
        <f>(AE251-AE252)*(1-$H$23)</f>
        <v/>
      </c>
      <c r="AF253" s="42">
        <f>(AF251-AF252)*(1-$H$23)</f>
        <v/>
      </c>
      <c r="AG253" s="42">
        <f>(AG251-AG252)*(1-$H$23)</f>
        <v/>
      </c>
      <c r="AH253" s="42">
        <f>(AH251-AH252)*(1-$H$23)</f>
        <v/>
      </c>
      <c r="AI253" s="42">
        <f>(AI251-AI252)*(1-$H$23)</f>
        <v/>
      </c>
      <c r="AJ253" s="42">
        <f>(AJ251-AJ252)*(1-$H$23)</f>
        <v/>
      </c>
      <c r="AK253" s="42">
        <f>(AK251-AK252)*(1-$H$23)</f>
        <v/>
      </c>
      <c r="AL253" s="42">
        <f>(AL251-AL252)*(1-$H$23)</f>
        <v/>
      </c>
      <c r="AM253" s="42">
        <f>(AM251-AM252)*(1-$H$23)</f>
        <v/>
      </c>
      <c r="AN253" s="42">
        <f>(AN251-AN252)*(1-$H$23)</f>
        <v/>
      </c>
      <c r="AO253" s="42">
        <f>(AO251-AO252)*(1-$H$23)</f>
        <v/>
      </c>
      <c r="AP253" s="42">
        <f>(AP251-AP252)*(1-$H$23)</f>
        <v/>
      </c>
      <c r="AQ253" s="42">
        <f>(AQ251-AQ252)*(1-$H$23)</f>
        <v/>
      </c>
      <c r="AR253" s="42">
        <f>(AR251-AR252)*(1-$H$23)</f>
        <v/>
      </c>
      <c r="AS253" s="42">
        <f>(AS251-AS252)*(1-$H$23)</f>
        <v/>
      </c>
      <c r="AT253" s="42">
        <f>(AT251-AT252)*(1-$H$23)</f>
        <v/>
      </c>
      <c r="AU253" s="42">
        <f>(AU251-AU252)*(1-$H$23)</f>
        <v/>
      </c>
      <c r="AV253" s="42">
        <f>(AV251-AV252)*(1-$H$23)</f>
        <v/>
      </c>
      <c r="AW253" s="42">
        <f>(AW251-AW252)*(1-$H$23)</f>
        <v/>
      </c>
      <c r="AX253" s="42">
        <f>(AX251-AX252)*(1-$H$23)</f>
        <v/>
      </c>
      <c r="AY253" s="42">
        <f>(AY251-AY252)*(1-$H$23)</f>
        <v/>
      </c>
      <c r="AZ253" s="42">
        <f>(AZ251-AZ252)*(1-$H$23)</f>
        <v/>
      </c>
      <c r="BA253" s="42">
        <f>(BA251-BA252)*(1-$H$23)</f>
        <v/>
      </c>
      <c r="BB253" s="42">
        <f>(BB251-BB252)*(1-$H$23)</f>
        <v/>
      </c>
      <c r="BC253" s="42">
        <f>(BC251-BC252)*(1-$H$23)</f>
        <v/>
      </c>
      <c r="BD253" s="42">
        <f>(BD251-BD252)*(1-$H$23)</f>
        <v/>
      </c>
    </row>
    <row r="254">
      <c r="A254" s="26" t="inlineStr">
        <is>
          <t xml:space="preserve">   returned to store</t>
        </is>
      </c>
      <c r="B254" s="2" t="inlineStr">
        <is>
          <t>lb</t>
        </is>
      </c>
      <c r="E254" s="42">
        <f>(E251-E252)*$H$23</f>
        <v/>
      </c>
      <c r="F254" s="42">
        <f>(F251-F252)*$H$23</f>
        <v/>
      </c>
      <c r="G254" s="42">
        <f>(G251-G252)*$H$23</f>
        <v/>
      </c>
      <c r="H254" s="42">
        <f>(H251-H252)*$H$23</f>
        <v/>
      </c>
      <c r="I254" s="42">
        <f>(I251-I252)*$H$23</f>
        <v/>
      </c>
      <c r="J254" s="42">
        <f>(J251-J252)*$H$23</f>
        <v/>
      </c>
      <c r="K254" s="42">
        <f>(K251-K252)*$H$23</f>
        <v/>
      </c>
      <c r="L254" s="42">
        <f>(L251-L252)*$H$23</f>
        <v/>
      </c>
      <c r="M254" s="42">
        <f>(M251-M252)*$H$23</f>
        <v/>
      </c>
      <c r="N254" s="42">
        <f>(N251-N252)*$H$23</f>
        <v/>
      </c>
      <c r="O254" s="42">
        <f>(O251-O252)*$H$23</f>
        <v/>
      </c>
      <c r="P254" s="42">
        <f>(P251-P252)*$H$23</f>
        <v/>
      </c>
      <c r="Q254" s="42">
        <f>(Q251-Q252)*$H$23</f>
        <v/>
      </c>
      <c r="R254" s="42">
        <f>(R251-R252)*$H$23</f>
        <v/>
      </c>
      <c r="S254" s="42">
        <f>(S251-S252)*$H$23</f>
        <v/>
      </c>
      <c r="T254" s="42">
        <f>(T251-T252)*$H$23</f>
        <v/>
      </c>
      <c r="U254" s="42">
        <f>(U251-U252)*$H$23</f>
        <v/>
      </c>
      <c r="V254" s="42">
        <f>(V251-V252)*$H$23</f>
        <v/>
      </c>
      <c r="W254" s="42">
        <f>(W251-W252)*$H$23</f>
        <v/>
      </c>
      <c r="X254" s="42">
        <f>(X251-X252)*$H$23</f>
        <v/>
      </c>
      <c r="Y254" s="42">
        <f>(Y251-Y252)*$H$23</f>
        <v/>
      </c>
      <c r="Z254" s="42">
        <f>(Z251-Z252)*$H$23</f>
        <v/>
      </c>
      <c r="AA254" s="42">
        <f>(AA251-AA252)*$H$23</f>
        <v/>
      </c>
      <c r="AB254" s="42">
        <f>(AB251-AB252)*$H$23</f>
        <v/>
      </c>
      <c r="AC254" s="42">
        <f>(AC251-AC252)*$H$23</f>
        <v/>
      </c>
      <c r="AD254" s="42">
        <f>(AD251-AD252)*$H$23</f>
        <v/>
      </c>
      <c r="AE254" s="42">
        <f>(AE251-AE252)*$H$23</f>
        <v/>
      </c>
      <c r="AF254" s="42">
        <f>(AF251-AF252)*$H$23</f>
        <v/>
      </c>
      <c r="AG254" s="42">
        <f>(AG251-AG252)*$H$23</f>
        <v/>
      </c>
      <c r="AH254" s="42">
        <f>(AH251-AH252)*$H$23</f>
        <v/>
      </c>
      <c r="AI254" s="42">
        <f>(AI251-AI252)*$H$23</f>
        <v/>
      </c>
      <c r="AJ254" s="42">
        <f>(AJ251-AJ252)*$H$23</f>
        <v/>
      </c>
      <c r="AK254" s="42">
        <f>(AK251-AK252)*$H$23</f>
        <v/>
      </c>
      <c r="AL254" s="42">
        <f>(AL251-AL252)*$H$23</f>
        <v/>
      </c>
      <c r="AM254" s="42">
        <f>(AM251-AM252)*$H$23</f>
        <v/>
      </c>
      <c r="AN254" s="42">
        <f>(AN251-AN252)*$H$23</f>
        <v/>
      </c>
      <c r="AO254" s="42">
        <f>(AO251-AO252)*$H$23</f>
        <v/>
      </c>
      <c r="AP254" s="42">
        <f>(AP251-AP252)*$H$23</f>
        <v/>
      </c>
      <c r="AQ254" s="42">
        <f>(AQ251-AQ252)*$H$23</f>
        <v/>
      </c>
      <c r="AR254" s="42">
        <f>(AR251-AR252)*$H$23</f>
        <v/>
      </c>
      <c r="AS254" s="42">
        <f>(AS251-AS252)*$H$23</f>
        <v/>
      </c>
      <c r="AT254" s="42">
        <f>(AT251-AT252)*$H$23</f>
        <v/>
      </c>
      <c r="AU254" s="42">
        <f>(AU251-AU252)*$H$23</f>
        <v/>
      </c>
      <c r="AV254" s="42">
        <f>(AV251-AV252)*$H$23</f>
        <v/>
      </c>
      <c r="AW254" s="42">
        <f>(AW251-AW252)*$H$23</f>
        <v/>
      </c>
      <c r="AX254" s="42">
        <f>(AX251-AX252)*$H$23</f>
        <v/>
      </c>
      <c r="AY254" s="42">
        <f>(AY251-AY252)*$H$23</f>
        <v/>
      </c>
      <c r="AZ254" s="42">
        <f>(AZ251-AZ252)*$H$23</f>
        <v/>
      </c>
      <c r="BA254" s="42">
        <f>(BA251-BA252)*$H$23</f>
        <v/>
      </c>
      <c r="BB254" s="42">
        <f>(BB251-BB252)*$H$23</f>
        <v/>
      </c>
      <c r="BC254" s="42">
        <f>(BC251-BC252)*$H$23</f>
        <v/>
      </c>
      <c r="BD254" s="42">
        <f>(BD251-BD252)*$H$23</f>
        <v/>
      </c>
    </row>
    <row r="255">
      <c r="A255" s="26" t="inlineStr">
        <is>
          <t xml:space="preserve">   leaves the store (offered - returned)</t>
        </is>
      </c>
      <c r="B255" s="2" t="inlineStr">
        <is>
          <t>lb</t>
        </is>
      </c>
      <c r="E255" s="42">
        <f>E251-E254</f>
        <v/>
      </c>
      <c r="F255" s="42">
        <f>F251-F254</f>
        <v/>
      </c>
      <c r="G255" s="42">
        <f>G251-G254</f>
        <v/>
      </c>
      <c r="H255" s="42">
        <f>H251-H254</f>
        <v/>
      </c>
      <c r="I255" s="42">
        <f>I251-I254</f>
        <v/>
      </c>
      <c r="J255" s="42">
        <f>J251-J254</f>
        <v/>
      </c>
      <c r="K255" s="42">
        <f>K251-K254</f>
        <v/>
      </c>
      <c r="L255" s="42">
        <f>L251-L254</f>
        <v/>
      </c>
      <c r="M255" s="42">
        <f>M251-M254</f>
        <v/>
      </c>
      <c r="N255" s="42">
        <f>N251-N254</f>
        <v/>
      </c>
      <c r="O255" s="42">
        <f>O251-O254</f>
        <v/>
      </c>
      <c r="P255" s="42">
        <f>P251-P254</f>
        <v/>
      </c>
      <c r="Q255" s="42">
        <f>Q251-Q254</f>
        <v/>
      </c>
      <c r="R255" s="42">
        <f>R251-R254</f>
        <v/>
      </c>
      <c r="S255" s="42">
        <f>S251-S254</f>
        <v/>
      </c>
      <c r="T255" s="42">
        <f>T251-T254</f>
        <v/>
      </c>
      <c r="U255" s="42">
        <f>U251-U254</f>
        <v/>
      </c>
      <c r="V255" s="42">
        <f>V251-V254</f>
        <v/>
      </c>
      <c r="W255" s="42">
        <f>W251-W254</f>
        <v/>
      </c>
      <c r="X255" s="42">
        <f>X251-X254</f>
        <v/>
      </c>
      <c r="Y255" s="42">
        <f>Y251-Y254</f>
        <v/>
      </c>
      <c r="Z255" s="42">
        <f>Z251-Z254</f>
        <v/>
      </c>
      <c r="AA255" s="42">
        <f>AA251-AA254</f>
        <v/>
      </c>
      <c r="AB255" s="42">
        <f>AB251-AB254</f>
        <v/>
      </c>
      <c r="AC255" s="42">
        <f>AC251-AC254</f>
        <v/>
      </c>
      <c r="AD255" s="42">
        <f>AD251-AD254</f>
        <v/>
      </c>
      <c r="AE255" s="42">
        <f>AE251-AE254</f>
        <v/>
      </c>
      <c r="AF255" s="42">
        <f>AF251-AF254</f>
        <v/>
      </c>
      <c r="AG255" s="42">
        <f>AG251-AG254</f>
        <v/>
      </c>
      <c r="AH255" s="42">
        <f>AH251-AH254</f>
        <v/>
      </c>
      <c r="AI255" s="42">
        <f>AI251-AI254</f>
        <v/>
      </c>
      <c r="AJ255" s="42">
        <f>AJ251-AJ254</f>
        <v/>
      </c>
      <c r="AK255" s="42">
        <f>AK251-AK254</f>
        <v/>
      </c>
      <c r="AL255" s="42">
        <f>AL251-AL254</f>
        <v/>
      </c>
      <c r="AM255" s="42">
        <f>AM251-AM254</f>
        <v/>
      </c>
      <c r="AN255" s="42">
        <f>AN251-AN254</f>
        <v/>
      </c>
      <c r="AO255" s="42">
        <f>AO251-AO254</f>
        <v/>
      </c>
      <c r="AP255" s="42">
        <f>AP251-AP254</f>
        <v/>
      </c>
      <c r="AQ255" s="42">
        <f>AQ251-AQ254</f>
        <v/>
      </c>
      <c r="AR255" s="42">
        <f>AR251-AR254</f>
        <v/>
      </c>
      <c r="AS255" s="42">
        <f>AS251-AS254</f>
        <v/>
      </c>
      <c r="AT255" s="42">
        <f>AT251-AT254</f>
        <v/>
      </c>
      <c r="AU255" s="42">
        <f>AU251-AU254</f>
        <v/>
      </c>
      <c r="AV255" s="42">
        <f>AV251-AV254</f>
        <v/>
      </c>
      <c r="AW255" s="42">
        <f>AW251-AW254</f>
        <v/>
      </c>
      <c r="AX255" s="42">
        <f>AX251-AX254</f>
        <v/>
      </c>
      <c r="AY255" s="42">
        <f>AY251-AY254</f>
        <v/>
      </c>
      <c r="AZ255" s="42">
        <f>AZ251-AZ254</f>
        <v/>
      </c>
      <c r="BA255" s="42">
        <f>BA251-BA254</f>
        <v/>
      </c>
      <c r="BB255" s="42">
        <f>BB251-BB254</f>
        <v/>
      </c>
      <c r="BC255" s="42">
        <f>BC251-BC254</f>
        <v/>
      </c>
      <c r="BD255" s="42">
        <f>BD251-BD254</f>
        <v/>
      </c>
    </row>
    <row r="256">
      <c r="A256" s="28" t="inlineStr">
        <is>
          <t>Wholesale — most you may sell this week</t>
        </is>
      </c>
      <c r="B256" s="2" t="inlineStr">
        <is>
          <t>lb</t>
        </is>
      </c>
      <c r="E256" s="48">
        <f>IF($C$24="Annual",$D$24-0,IF(AND(1&gt;=$E$24,1&lt;=$F$24),$D$24,0))</f>
        <v/>
      </c>
      <c r="F256" s="48">
        <f>IF($C$24="Annual",$D$24-SUM(E258:E258),IF(AND(2&gt;=$E$24,2&lt;=$F$24),$D$24,0))</f>
        <v/>
      </c>
      <c r="G256" s="48">
        <f>IF($C$24="Annual",$D$24-SUM(E258:F258),IF(AND(3&gt;=$E$24,3&lt;=$F$24),$D$24,0))</f>
        <v/>
      </c>
      <c r="H256" s="48">
        <f>IF($C$24="Annual",$D$24-SUM(E258:G258),IF(AND(4&gt;=$E$24,4&lt;=$F$24),$D$24,0))</f>
        <v/>
      </c>
      <c r="I256" s="48">
        <f>IF($C$24="Annual",$D$24-SUM(E258:H258),IF(AND(5&gt;=$E$24,5&lt;=$F$24),$D$24,0))</f>
        <v/>
      </c>
      <c r="J256" s="48">
        <f>IF($C$24="Annual",$D$24-SUM(E258:I258),IF(AND(6&gt;=$E$24,6&lt;=$F$24),$D$24,0))</f>
        <v/>
      </c>
      <c r="K256" s="48">
        <f>IF($C$24="Annual",$D$24-SUM(E258:J258),IF(AND(7&gt;=$E$24,7&lt;=$F$24),$D$24,0))</f>
        <v/>
      </c>
      <c r="L256" s="48">
        <f>IF($C$24="Annual",$D$24-SUM(E258:K258),IF(AND(8&gt;=$E$24,8&lt;=$F$24),$D$24,0))</f>
        <v/>
      </c>
      <c r="M256" s="48">
        <f>IF($C$24="Annual",$D$24-SUM(E258:L258),IF(AND(9&gt;=$E$24,9&lt;=$F$24),$D$24,0))</f>
        <v/>
      </c>
      <c r="N256" s="48">
        <f>IF($C$24="Annual",$D$24-SUM(E258:M258),IF(AND(10&gt;=$E$24,10&lt;=$F$24),$D$24,0))</f>
        <v/>
      </c>
      <c r="O256" s="48">
        <f>IF($C$24="Annual",$D$24-SUM(E258:N258),IF(AND(11&gt;=$E$24,11&lt;=$F$24),$D$24,0))</f>
        <v/>
      </c>
      <c r="P256" s="48">
        <f>IF($C$24="Annual",$D$24-SUM(E258:O258),IF(AND(12&gt;=$E$24,12&lt;=$F$24),$D$24,0))</f>
        <v/>
      </c>
      <c r="Q256" s="48">
        <f>IF($C$24="Annual",$D$24-SUM(E258:P258),IF(AND(13&gt;=$E$24,13&lt;=$F$24),$D$24,0))</f>
        <v/>
      </c>
      <c r="R256" s="48">
        <f>IF($C$24="Annual",$D$24-SUM(E258:Q258),IF(AND(14&gt;=$E$24,14&lt;=$F$24),$D$24,0))</f>
        <v/>
      </c>
      <c r="S256" s="48">
        <f>IF($C$24="Annual",$D$24-SUM(E258:R258),IF(AND(15&gt;=$E$24,15&lt;=$F$24),$D$24,0))</f>
        <v/>
      </c>
      <c r="T256" s="48">
        <f>IF($C$24="Annual",$D$24-SUM(E258:S258),IF(AND(16&gt;=$E$24,16&lt;=$F$24),$D$24,0))</f>
        <v/>
      </c>
      <c r="U256" s="48">
        <f>IF($C$24="Annual",$D$24-SUM(E258:T258),IF(AND(17&gt;=$E$24,17&lt;=$F$24),$D$24,0))</f>
        <v/>
      </c>
      <c r="V256" s="48">
        <f>IF($C$24="Annual",$D$24-SUM(E258:U258),IF(AND(18&gt;=$E$24,18&lt;=$F$24),$D$24,0))</f>
        <v/>
      </c>
      <c r="W256" s="48">
        <f>IF($C$24="Annual",$D$24-SUM(E258:V258),IF(AND(19&gt;=$E$24,19&lt;=$F$24),$D$24,0))</f>
        <v/>
      </c>
      <c r="X256" s="48">
        <f>IF($C$24="Annual",$D$24-SUM(E258:W258),IF(AND(20&gt;=$E$24,20&lt;=$F$24),$D$24,0))</f>
        <v/>
      </c>
      <c r="Y256" s="48">
        <f>IF($C$24="Annual",$D$24-SUM(E258:X258),IF(AND(21&gt;=$E$24,21&lt;=$F$24),$D$24,0))</f>
        <v/>
      </c>
      <c r="Z256" s="48">
        <f>IF($C$24="Annual",$D$24-SUM(E258:Y258),IF(AND(22&gt;=$E$24,22&lt;=$F$24),$D$24,0))</f>
        <v/>
      </c>
      <c r="AA256" s="48">
        <f>IF($C$24="Annual",$D$24-SUM(E258:Z258),IF(AND(23&gt;=$E$24,23&lt;=$F$24),$D$24,0))</f>
        <v/>
      </c>
      <c r="AB256" s="48">
        <f>IF($C$24="Annual",$D$24-SUM(E258:AA258),IF(AND(24&gt;=$E$24,24&lt;=$F$24),$D$24,0))</f>
        <v/>
      </c>
      <c r="AC256" s="48">
        <f>IF($C$24="Annual",$D$24-SUM(E258:AB258),IF(AND(25&gt;=$E$24,25&lt;=$F$24),$D$24,0))</f>
        <v/>
      </c>
      <c r="AD256" s="48">
        <f>IF($C$24="Annual",$D$24-SUM(E258:AC258),IF(AND(26&gt;=$E$24,26&lt;=$F$24),$D$24,0))</f>
        <v/>
      </c>
      <c r="AE256" s="48">
        <f>IF($C$24="Annual",$D$24-SUM(E258:AD258),IF(AND(27&gt;=$E$24,27&lt;=$F$24),$D$24,0))</f>
        <v/>
      </c>
      <c r="AF256" s="48">
        <f>IF($C$24="Annual",$D$24-SUM(E258:AE258),IF(AND(28&gt;=$E$24,28&lt;=$F$24),$D$24,0))</f>
        <v/>
      </c>
      <c r="AG256" s="48">
        <f>IF($C$24="Annual",$D$24-SUM(E258:AF258),IF(AND(29&gt;=$E$24,29&lt;=$F$24),$D$24,0))</f>
        <v/>
      </c>
      <c r="AH256" s="48">
        <f>IF($C$24="Annual",$D$24-SUM(E258:AG258),IF(AND(30&gt;=$E$24,30&lt;=$F$24),$D$24,0))</f>
        <v/>
      </c>
      <c r="AI256" s="48">
        <f>IF($C$24="Annual",$D$24-SUM(E258:AH258),IF(AND(31&gt;=$E$24,31&lt;=$F$24),$D$24,0))</f>
        <v/>
      </c>
      <c r="AJ256" s="48">
        <f>IF($C$24="Annual",$D$24-SUM(E258:AI258),IF(AND(32&gt;=$E$24,32&lt;=$F$24),$D$24,0))</f>
        <v/>
      </c>
      <c r="AK256" s="48">
        <f>IF($C$24="Annual",$D$24-SUM(E258:AJ258),IF(AND(33&gt;=$E$24,33&lt;=$F$24),$D$24,0))</f>
        <v/>
      </c>
      <c r="AL256" s="48">
        <f>IF($C$24="Annual",$D$24-SUM(E258:AK258),IF(AND(34&gt;=$E$24,34&lt;=$F$24),$D$24,0))</f>
        <v/>
      </c>
      <c r="AM256" s="48">
        <f>IF($C$24="Annual",$D$24-SUM(E258:AL258),IF(AND(35&gt;=$E$24,35&lt;=$F$24),$D$24,0))</f>
        <v/>
      </c>
      <c r="AN256" s="48">
        <f>IF($C$24="Annual",$D$24-SUM(E258:AM258),IF(AND(36&gt;=$E$24,36&lt;=$F$24),$D$24,0))</f>
        <v/>
      </c>
      <c r="AO256" s="48">
        <f>IF($C$24="Annual",$D$24-SUM(E258:AN258),IF(AND(37&gt;=$E$24,37&lt;=$F$24),$D$24,0))</f>
        <v/>
      </c>
      <c r="AP256" s="48">
        <f>IF($C$24="Annual",$D$24-SUM(E258:AO258),IF(AND(38&gt;=$E$24,38&lt;=$F$24),$D$24,0))</f>
        <v/>
      </c>
      <c r="AQ256" s="48">
        <f>IF($C$24="Annual",$D$24-SUM(E258:AP258),IF(AND(39&gt;=$E$24,39&lt;=$F$24),$D$24,0))</f>
        <v/>
      </c>
      <c r="AR256" s="48">
        <f>IF($C$24="Annual",$D$24-SUM(E258:AQ258),IF(AND(40&gt;=$E$24,40&lt;=$F$24),$D$24,0))</f>
        <v/>
      </c>
      <c r="AS256" s="48">
        <f>IF($C$24="Annual",$D$24-SUM(E258:AR258),IF(AND(41&gt;=$E$24,41&lt;=$F$24),$D$24,0))</f>
        <v/>
      </c>
      <c r="AT256" s="48">
        <f>IF($C$24="Annual",$D$24-SUM(E258:AS258),IF(AND(42&gt;=$E$24,42&lt;=$F$24),$D$24,0))</f>
        <v/>
      </c>
      <c r="AU256" s="48">
        <f>IF($C$24="Annual",$D$24-SUM(E258:AT258),IF(AND(43&gt;=$E$24,43&lt;=$F$24),$D$24,0))</f>
        <v/>
      </c>
      <c r="AV256" s="48">
        <f>IF($C$24="Annual",$D$24-SUM(E258:AU258),IF(AND(44&gt;=$E$24,44&lt;=$F$24),$D$24,0))</f>
        <v/>
      </c>
      <c r="AW256" s="48">
        <f>IF($C$24="Annual",$D$24-SUM(E258:AV258),IF(AND(45&gt;=$E$24,45&lt;=$F$24),$D$24,0))</f>
        <v/>
      </c>
      <c r="AX256" s="48">
        <f>IF($C$24="Annual",$D$24-SUM(E258:AW258),IF(AND(46&gt;=$E$24,46&lt;=$F$24),$D$24,0))</f>
        <v/>
      </c>
      <c r="AY256" s="48">
        <f>IF($C$24="Annual",$D$24-SUM(E258:AX258),IF(AND(47&gt;=$E$24,47&lt;=$F$24),$D$24,0))</f>
        <v/>
      </c>
      <c r="AZ256" s="48">
        <f>IF($C$24="Annual",$D$24-SUM(E258:AY258),IF(AND(48&gt;=$E$24,48&lt;=$F$24),$D$24,0))</f>
        <v/>
      </c>
      <c r="BA256" s="48">
        <f>IF($C$24="Annual",$D$24-SUM(E258:AZ258),IF(AND(49&gt;=$E$24,49&lt;=$F$24),$D$24,0))</f>
        <v/>
      </c>
      <c r="BB256" s="48">
        <f>IF($C$24="Annual",$D$24-SUM(E258:BA258),IF(AND(50&gt;=$E$24,50&lt;=$F$24),$D$24,0))</f>
        <v/>
      </c>
      <c r="BC256" s="48">
        <f>IF($C$24="Annual",$D$24-SUM(E258:BB258),IF(AND(51&gt;=$E$24,51&lt;=$F$24),$D$24,0))</f>
        <v/>
      </c>
      <c r="BD256" s="48">
        <f>IF($C$24="Annual",$D$24-SUM(E258:BC258),IF(AND(52&gt;=$E$24,52&lt;=$F$24),$D$24,0))</f>
        <v/>
      </c>
    </row>
    <row r="257">
      <c r="A257" s="24" t="inlineStr">
        <is>
          <t>Wholesale — OFFERED</t>
        </is>
      </c>
      <c r="B257" s="2" t="inlineStr">
        <is>
          <t>lb  &lt;-- SOLVER</t>
        </is>
      </c>
      <c r="E257" s="43" t="n">
        <v>0</v>
      </c>
      <c r="F257" s="43" t="n">
        <v>0</v>
      </c>
      <c r="G257" s="43" t="n">
        <v>0</v>
      </c>
      <c r="H257" s="43" t="n">
        <v>0</v>
      </c>
      <c r="I257" s="43" t="n">
        <v>0</v>
      </c>
      <c r="J257" s="43" t="n">
        <v>0</v>
      </c>
      <c r="K257" s="43" t="n">
        <v>0</v>
      </c>
      <c r="L257" s="43" t="n">
        <v>0</v>
      </c>
      <c r="M257" s="43" t="n">
        <v>0</v>
      </c>
      <c r="N257" s="43" t="n">
        <v>0</v>
      </c>
      <c r="O257" s="43" t="n">
        <v>0</v>
      </c>
      <c r="P257" s="43" t="n">
        <v>0</v>
      </c>
      <c r="Q257" s="43" t="n">
        <v>0</v>
      </c>
      <c r="R257" s="43" t="n">
        <v>0</v>
      </c>
      <c r="S257" s="43" t="n">
        <v>0</v>
      </c>
      <c r="T257" s="43" t="n">
        <v>0</v>
      </c>
      <c r="U257" s="43" t="n">
        <v>0</v>
      </c>
      <c r="V257" s="43" t="n">
        <v>0</v>
      </c>
      <c r="W257" s="43" t="n">
        <v>0</v>
      </c>
      <c r="X257" s="43" t="n">
        <v>0</v>
      </c>
      <c r="Y257" s="43" t="n">
        <v>0</v>
      </c>
      <c r="Z257" s="43" t="n">
        <v>0</v>
      </c>
      <c r="AA257" s="43" t="n">
        <v>0</v>
      </c>
      <c r="AB257" s="43" t="n">
        <v>0</v>
      </c>
      <c r="AC257" s="43" t="n">
        <v>0</v>
      </c>
      <c r="AD257" s="43" t="n">
        <v>0</v>
      </c>
      <c r="AE257" s="43" t="n">
        <v>0</v>
      </c>
      <c r="AF257" s="43" t="n">
        <v>0</v>
      </c>
      <c r="AG257" s="43" t="n">
        <v>0</v>
      </c>
      <c r="AH257" s="43" t="n">
        <v>0</v>
      </c>
      <c r="AI257" s="43" t="n">
        <v>0</v>
      </c>
      <c r="AJ257" s="43" t="n">
        <v>0</v>
      </c>
      <c r="AK257" s="43" t="n">
        <v>0</v>
      </c>
      <c r="AL257" s="43" t="n">
        <v>0</v>
      </c>
      <c r="AM257" s="43" t="n">
        <v>0</v>
      </c>
      <c r="AN257" s="43" t="n">
        <v>0</v>
      </c>
      <c r="AO257" s="43" t="n">
        <v>0</v>
      </c>
      <c r="AP257" s="43" t="n">
        <v>0</v>
      </c>
      <c r="AQ257" s="43" t="n">
        <v>0</v>
      </c>
      <c r="AR257" s="43" t="n">
        <v>0</v>
      </c>
      <c r="AS257" s="43" t="n">
        <v>0</v>
      </c>
      <c r="AT257" s="43" t="n">
        <v>0</v>
      </c>
      <c r="AU257" s="43" t="n">
        <v>0</v>
      </c>
      <c r="AV257" s="43" t="n">
        <v>0</v>
      </c>
      <c r="AW257" s="43" t="n">
        <v>0</v>
      </c>
      <c r="AX257" s="43" t="n">
        <v>0</v>
      </c>
      <c r="AY257" s="43" t="n">
        <v>0</v>
      </c>
      <c r="AZ257" s="43" t="n">
        <v>0</v>
      </c>
      <c r="BA257" s="43" t="n">
        <v>0</v>
      </c>
      <c r="BB257" s="43" t="n">
        <v>0</v>
      </c>
      <c r="BC257" s="43" t="n">
        <v>0</v>
      </c>
      <c r="BD257" s="43" t="n">
        <v>0</v>
      </c>
    </row>
    <row r="258">
      <c r="A258" s="49" t="inlineStr">
        <is>
          <t>Wholesale — SOLD</t>
        </is>
      </c>
      <c r="B258" s="2" t="inlineStr">
        <is>
          <t>lb</t>
        </is>
      </c>
      <c r="E258" s="48">
        <f>E257*$G$24</f>
        <v/>
      </c>
      <c r="F258" s="48">
        <f>F257*$G$24</f>
        <v/>
      </c>
      <c r="G258" s="48">
        <f>G257*$G$24</f>
        <v/>
      </c>
      <c r="H258" s="48">
        <f>H257*$G$24</f>
        <v/>
      </c>
      <c r="I258" s="48">
        <f>I257*$G$24</f>
        <v/>
      </c>
      <c r="J258" s="48">
        <f>J257*$G$24</f>
        <v/>
      </c>
      <c r="K258" s="48">
        <f>K257*$G$24</f>
        <v/>
      </c>
      <c r="L258" s="48">
        <f>L257*$G$24</f>
        <v/>
      </c>
      <c r="M258" s="48">
        <f>M257*$G$24</f>
        <v/>
      </c>
      <c r="N258" s="48">
        <f>N257*$G$24</f>
        <v/>
      </c>
      <c r="O258" s="48">
        <f>O257*$G$24</f>
        <v/>
      </c>
      <c r="P258" s="48">
        <f>P257*$G$24</f>
        <v/>
      </c>
      <c r="Q258" s="48">
        <f>Q257*$G$24</f>
        <v/>
      </c>
      <c r="R258" s="48">
        <f>R257*$G$24</f>
        <v/>
      </c>
      <c r="S258" s="48">
        <f>S257*$G$24</f>
        <v/>
      </c>
      <c r="T258" s="48">
        <f>T257*$G$24</f>
        <v/>
      </c>
      <c r="U258" s="48">
        <f>U257*$G$24</f>
        <v/>
      </c>
      <c r="V258" s="48">
        <f>V257*$G$24</f>
        <v/>
      </c>
      <c r="W258" s="48">
        <f>W257*$G$24</f>
        <v/>
      </c>
      <c r="X258" s="48">
        <f>X257*$G$24</f>
        <v/>
      </c>
      <c r="Y258" s="48">
        <f>Y257*$G$24</f>
        <v/>
      </c>
      <c r="Z258" s="48">
        <f>Z257*$G$24</f>
        <v/>
      </c>
      <c r="AA258" s="48">
        <f>AA257*$G$24</f>
        <v/>
      </c>
      <c r="AB258" s="48">
        <f>AB257*$G$24</f>
        <v/>
      </c>
      <c r="AC258" s="48">
        <f>AC257*$G$24</f>
        <v/>
      </c>
      <c r="AD258" s="48">
        <f>AD257*$G$24</f>
        <v/>
      </c>
      <c r="AE258" s="48">
        <f>AE257*$G$24</f>
        <v/>
      </c>
      <c r="AF258" s="48">
        <f>AF257*$G$24</f>
        <v/>
      </c>
      <c r="AG258" s="48">
        <f>AG257*$G$24</f>
        <v/>
      </c>
      <c r="AH258" s="48">
        <f>AH257*$G$24</f>
        <v/>
      </c>
      <c r="AI258" s="48">
        <f>AI257*$G$24</f>
        <v/>
      </c>
      <c r="AJ258" s="48">
        <f>AJ257*$G$24</f>
        <v/>
      </c>
      <c r="AK258" s="48">
        <f>AK257*$G$24</f>
        <v/>
      </c>
      <c r="AL258" s="48">
        <f>AL257*$G$24</f>
        <v/>
      </c>
      <c r="AM258" s="48">
        <f>AM257*$G$24</f>
        <v/>
      </c>
      <c r="AN258" s="48">
        <f>AN257*$G$24</f>
        <v/>
      </c>
      <c r="AO258" s="48">
        <f>AO257*$G$24</f>
        <v/>
      </c>
      <c r="AP258" s="48">
        <f>AP257*$G$24</f>
        <v/>
      </c>
      <c r="AQ258" s="48">
        <f>AQ257*$G$24</f>
        <v/>
      </c>
      <c r="AR258" s="48">
        <f>AR257*$G$24</f>
        <v/>
      </c>
      <c r="AS258" s="48">
        <f>AS257*$G$24</f>
        <v/>
      </c>
      <c r="AT258" s="48">
        <f>AT257*$G$24</f>
        <v/>
      </c>
      <c r="AU258" s="48">
        <f>AU257*$G$24</f>
        <v/>
      </c>
      <c r="AV258" s="48">
        <f>AV257*$G$24</f>
        <v/>
      </c>
      <c r="AW258" s="48">
        <f>AW257*$G$24</f>
        <v/>
      </c>
      <c r="AX258" s="48">
        <f>AX257*$G$24</f>
        <v/>
      </c>
      <c r="AY258" s="48">
        <f>AY257*$G$24</f>
        <v/>
      </c>
      <c r="AZ258" s="48">
        <f>AZ257*$G$24</f>
        <v/>
      </c>
      <c r="BA258" s="48">
        <f>BA257*$G$24</f>
        <v/>
      </c>
      <c r="BB258" s="48">
        <f>BB257*$G$24</f>
        <v/>
      </c>
      <c r="BC258" s="48">
        <f>BC257*$G$24</f>
        <v/>
      </c>
      <c r="BD258" s="48">
        <f>BD257*$G$24</f>
        <v/>
      </c>
    </row>
    <row r="259">
      <c r="A259" s="26" t="inlineStr">
        <is>
          <t xml:space="preserve">   market loss (gone)</t>
        </is>
      </c>
      <c r="B259" s="2" t="inlineStr">
        <is>
          <t>lb</t>
        </is>
      </c>
      <c r="E259" s="42">
        <f>(E257-E258)*(1-$H$24)</f>
        <v/>
      </c>
      <c r="F259" s="42">
        <f>(F257-F258)*(1-$H$24)</f>
        <v/>
      </c>
      <c r="G259" s="42">
        <f>(G257-G258)*(1-$H$24)</f>
        <v/>
      </c>
      <c r="H259" s="42">
        <f>(H257-H258)*(1-$H$24)</f>
        <v/>
      </c>
      <c r="I259" s="42">
        <f>(I257-I258)*(1-$H$24)</f>
        <v/>
      </c>
      <c r="J259" s="42">
        <f>(J257-J258)*(1-$H$24)</f>
        <v/>
      </c>
      <c r="K259" s="42">
        <f>(K257-K258)*(1-$H$24)</f>
        <v/>
      </c>
      <c r="L259" s="42">
        <f>(L257-L258)*(1-$H$24)</f>
        <v/>
      </c>
      <c r="M259" s="42">
        <f>(M257-M258)*(1-$H$24)</f>
        <v/>
      </c>
      <c r="N259" s="42">
        <f>(N257-N258)*(1-$H$24)</f>
        <v/>
      </c>
      <c r="O259" s="42">
        <f>(O257-O258)*(1-$H$24)</f>
        <v/>
      </c>
      <c r="P259" s="42">
        <f>(P257-P258)*(1-$H$24)</f>
        <v/>
      </c>
      <c r="Q259" s="42">
        <f>(Q257-Q258)*(1-$H$24)</f>
        <v/>
      </c>
      <c r="R259" s="42">
        <f>(R257-R258)*(1-$H$24)</f>
        <v/>
      </c>
      <c r="S259" s="42">
        <f>(S257-S258)*(1-$H$24)</f>
        <v/>
      </c>
      <c r="T259" s="42">
        <f>(T257-T258)*(1-$H$24)</f>
        <v/>
      </c>
      <c r="U259" s="42">
        <f>(U257-U258)*(1-$H$24)</f>
        <v/>
      </c>
      <c r="V259" s="42">
        <f>(V257-V258)*(1-$H$24)</f>
        <v/>
      </c>
      <c r="W259" s="42">
        <f>(W257-W258)*(1-$H$24)</f>
        <v/>
      </c>
      <c r="X259" s="42">
        <f>(X257-X258)*(1-$H$24)</f>
        <v/>
      </c>
      <c r="Y259" s="42">
        <f>(Y257-Y258)*(1-$H$24)</f>
        <v/>
      </c>
      <c r="Z259" s="42">
        <f>(Z257-Z258)*(1-$H$24)</f>
        <v/>
      </c>
      <c r="AA259" s="42">
        <f>(AA257-AA258)*(1-$H$24)</f>
        <v/>
      </c>
      <c r="AB259" s="42">
        <f>(AB257-AB258)*(1-$H$24)</f>
        <v/>
      </c>
      <c r="AC259" s="42">
        <f>(AC257-AC258)*(1-$H$24)</f>
        <v/>
      </c>
      <c r="AD259" s="42">
        <f>(AD257-AD258)*(1-$H$24)</f>
        <v/>
      </c>
      <c r="AE259" s="42">
        <f>(AE257-AE258)*(1-$H$24)</f>
        <v/>
      </c>
      <c r="AF259" s="42">
        <f>(AF257-AF258)*(1-$H$24)</f>
        <v/>
      </c>
      <c r="AG259" s="42">
        <f>(AG257-AG258)*(1-$H$24)</f>
        <v/>
      </c>
      <c r="AH259" s="42">
        <f>(AH257-AH258)*(1-$H$24)</f>
        <v/>
      </c>
      <c r="AI259" s="42">
        <f>(AI257-AI258)*(1-$H$24)</f>
        <v/>
      </c>
      <c r="AJ259" s="42">
        <f>(AJ257-AJ258)*(1-$H$24)</f>
        <v/>
      </c>
      <c r="AK259" s="42">
        <f>(AK257-AK258)*(1-$H$24)</f>
        <v/>
      </c>
      <c r="AL259" s="42">
        <f>(AL257-AL258)*(1-$H$24)</f>
        <v/>
      </c>
      <c r="AM259" s="42">
        <f>(AM257-AM258)*(1-$H$24)</f>
        <v/>
      </c>
      <c r="AN259" s="42">
        <f>(AN257-AN258)*(1-$H$24)</f>
        <v/>
      </c>
      <c r="AO259" s="42">
        <f>(AO257-AO258)*(1-$H$24)</f>
        <v/>
      </c>
      <c r="AP259" s="42">
        <f>(AP257-AP258)*(1-$H$24)</f>
        <v/>
      </c>
      <c r="AQ259" s="42">
        <f>(AQ257-AQ258)*(1-$H$24)</f>
        <v/>
      </c>
      <c r="AR259" s="42">
        <f>(AR257-AR258)*(1-$H$24)</f>
        <v/>
      </c>
      <c r="AS259" s="42">
        <f>(AS257-AS258)*(1-$H$24)</f>
        <v/>
      </c>
      <c r="AT259" s="42">
        <f>(AT257-AT258)*(1-$H$24)</f>
        <v/>
      </c>
      <c r="AU259" s="42">
        <f>(AU257-AU258)*(1-$H$24)</f>
        <v/>
      </c>
      <c r="AV259" s="42">
        <f>(AV257-AV258)*(1-$H$24)</f>
        <v/>
      </c>
      <c r="AW259" s="42">
        <f>(AW257-AW258)*(1-$H$24)</f>
        <v/>
      </c>
      <c r="AX259" s="42">
        <f>(AX257-AX258)*(1-$H$24)</f>
        <v/>
      </c>
      <c r="AY259" s="42">
        <f>(AY257-AY258)*(1-$H$24)</f>
        <v/>
      </c>
      <c r="AZ259" s="42">
        <f>(AZ257-AZ258)*(1-$H$24)</f>
        <v/>
      </c>
      <c r="BA259" s="42">
        <f>(BA257-BA258)*(1-$H$24)</f>
        <v/>
      </c>
      <c r="BB259" s="42">
        <f>(BB257-BB258)*(1-$H$24)</f>
        <v/>
      </c>
      <c r="BC259" s="42">
        <f>(BC257-BC258)*(1-$H$24)</f>
        <v/>
      </c>
      <c r="BD259" s="42">
        <f>(BD257-BD258)*(1-$H$24)</f>
        <v/>
      </c>
    </row>
    <row r="260">
      <c r="A260" s="26" t="inlineStr">
        <is>
          <t xml:space="preserve">   returned to store</t>
        </is>
      </c>
      <c r="B260" s="2" t="inlineStr">
        <is>
          <t>lb</t>
        </is>
      </c>
      <c r="E260" s="42">
        <f>(E257-E258)*$H$24</f>
        <v/>
      </c>
      <c r="F260" s="42">
        <f>(F257-F258)*$H$24</f>
        <v/>
      </c>
      <c r="G260" s="42">
        <f>(G257-G258)*$H$24</f>
        <v/>
      </c>
      <c r="H260" s="42">
        <f>(H257-H258)*$H$24</f>
        <v/>
      </c>
      <c r="I260" s="42">
        <f>(I257-I258)*$H$24</f>
        <v/>
      </c>
      <c r="J260" s="42">
        <f>(J257-J258)*$H$24</f>
        <v/>
      </c>
      <c r="K260" s="42">
        <f>(K257-K258)*$H$24</f>
        <v/>
      </c>
      <c r="L260" s="42">
        <f>(L257-L258)*$H$24</f>
        <v/>
      </c>
      <c r="M260" s="42">
        <f>(M257-M258)*$H$24</f>
        <v/>
      </c>
      <c r="N260" s="42">
        <f>(N257-N258)*$H$24</f>
        <v/>
      </c>
      <c r="O260" s="42">
        <f>(O257-O258)*$H$24</f>
        <v/>
      </c>
      <c r="P260" s="42">
        <f>(P257-P258)*$H$24</f>
        <v/>
      </c>
      <c r="Q260" s="42">
        <f>(Q257-Q258)*$H$24</f>
        <v/>
      </c>
      <c r="R260" s="42">
        <f>(R257-R258)*$H$24</f>
        <v/>
      </c>
      <c r="S260" s="42">
        <f>(S257-S258)*$H$24</f>
        <v/>
      </c>
      <c r="T260" s="42">
        <f>(T257-T258)*$H$24</f>
        <v/>
      </c>
      <c r="U260" s="42">
        <f>(U257-U258)*$H$24</f>
        <v/>
      </c>
      <c r="V260" s="42">
        <f>(V257-V258)*$H$24</f>
        <v/>
      </c>
      <c r="W260" s="42">
        <f>(W257-W258)*$H$24</f>
        <v/>
      </c>
      <c r="X260" s="42">
        <f>(X257-X258)*$H$24</f>
        <v/>
      </c>
      <c r="Y260" s="42">
        <f>(Y257-Y258)*$H$24</f>
        <v/>
      </c>
      <c r="Z260" s="42">
        <f>(Z257-Z258)*$H$24</f>
        <v/>
      </c>
      <c r="AA260" s="42">
        <f>(AA257-AA258)*$H$24</f>
        <v/>
      </c>
      <c r="AB260" s="42">
        <f>(AB257-AB258)*$H$24</f>
        <v/>
      </c>
      <c r="AC260" s="42">
        <f>(AC257-AC258)*$H$24</f>
        <v/>
      </c>
      <c r="AD260" s="42">
        <f>(AD257-AD258)*$H$24</f>
        <v/>
      </c>
      <c r="AE260" s="42">
        <f>(AE257-AE258)*$H$24</f>
        <v/>
      </c>
      <c r="AF260" s="42">
        <f>(AF257-AF258)*$H$24</f>
        <v/>
      </c>
      <c r="AG260" s="42">
        <f>(AG257-AG258)*$H$24</f>
        <v/>
      </c>
      <c r="AH260" s="42">
        <f>(AH257-AH258)*$H$24</f>
        <v/>
      </c>
      <c r="AI260" s="42">
        <f>(AI257-AI258)*$H$24</f>
        <v/>
      </c>
      <c r="AJ260" s="42">
        <f>(AJ257-AJ258)*$H$24</f>
        <v/>
      </c>
      <c r="AK260" s="42">
        <f>(AK257-AK258)*$H$24</f>
        <v/>
      </c>
      <c r="AL260" s="42">
        <f>(AL257-AL258)*$H$24</f>
        <v/>
      </c>
      <c r="AM260" s="42">
        <f>(AM257-AM258)*$H$24</f>
        <v/>
      </c>
      <c r="AN260" s="42">
        <f>(AN257-AN258)*$H$24</f>
        <v/>
      </c>
      <c r="AO260" s="42">
        <f>(AO257-AO258)*$H$24</f>
        <v/>
      </c>
      <c r="AP260" s="42">
        <f>(AP257-AP258)*$H$24</f>
        <v/>
      </c>
      <c r="AQ260" s="42">
        <f>(AQ257-AQ258)*$H$24</f>
        <v/>
      </c>
      <c r="AR260" s="42">
        <f>(AR257-AR258)*$H$24</f>
        <v/>
      </c>
      <c r="AS260" s="42">
        <f>(AS257-AS258)*$H$24</f>
        <v/>
      </c>
      <c r="AT260" s="42">
        <f>(AT257-AT258)*$H$24</f>
        <v/>
      </c>
      <c r="AU260" s="42">
        <f>(AU257-AU258)*$H$24</f>
        <v/>
      </c>
      <c r="AV260" s="42">
        <f>(AV257-AV258)*$H$24</f>
        <v/>
      </c>
      <c r="AW260" s="42">
        <f>(AW257-AW258)*$H$24</f>
        <v/>
      </c>
      <c r="AX260" s="42">
        <f>(AX257-AX258)*$H$24</f>
        <v/>
      </c>
      <c r="AY260" s="42">
        <f>(AY257-AY258)*$H$24</f>
        <v/>
      </c>
      <c r="AZ260" s="42">
        <f>(AZ257-AZ258)*$H$24</f>
        <v/>
      </c>
      <c r="BA260" s="42">
        <f>(BA257-BA258)*$H$24</f>
        <v/>
      </c>
      <c r="BB260" s="42">
        <f>(BB257-BB258)*$H$24</f>
        <v/>
      </c>
      <c r="BC260" s="42">
        <f>(BC257-BC258)*$H$24</f>
        <v/>
      </c>
      <c r="BD260" s="42">
        <f>(BD257-BD258)*$H$24</f>
        <v/>
      </c>
    </row>
    <row r="261">
      <c r="A261" s="26" t="inlineStr">
        <is>
          <t xml:space="preserve">   leaves the store (offered - returned)</t>
        </is>
      </c>
      <c r="B261" s="2" t="inlineStr">
        <is>
          <t>lb</t>
        </is>
      </c>
      <c r="E261" s="42">
        <f>E257-E260</f>
        <v/>
      </c>
      <c r="F261" s="42">
        <f>F257-F260</f>
        <v/>
      </c>
      <c r="G261" s="42">
        <f>G257-G260</f>
        <v/>
      </c>
      <c r="H261" s="42">
        <f>H257-H260</f>
        <v/>
      </c>
      <c r="I261" s="42">
        <f>I257-I260</f>
        <v/>
      </c>
      <c r="J261" s="42">
        <f>J257-J260</f>
        <v/>
      </c>
      <c r="K261" s="42">
        <f>K257-K260</f>
        <v/>
      </c>
      <c r="L261" s="42">
        <f>L257-L260</f>
        <v/>
      </c>
      <c r="M261" s="42">
        <f>M257-M260</f>
        <v/>
      </c>
      <c r="N261" s="42">
        <f>N257-N260</f>
        <v/>
      </c>
      <c r="O261" s="42">
        <f>O257-O260</f>
        <v/>
      </c>
      <c r="P261" s="42">
        <f>P257-P260</f>
        <v/>
      </c>
      <c r="Q261" s="42">
        <f>Q257-Q260</f>
        <v/>
      </c>
      <c r="R261" s="42">
        <f>R257-R260</f>
        <v/>
      </c>
      <c r="S261" s="42">
        <f>S257-S260</f>
        <v/>
      </c>
      <c r="T261" s="42">
        <f>T257-T260</f>
        <v/>
      </c>
      <c r="U261" s="42">
        <f>U257-U260</f>
        <v/>
      </c>
      <c r="V261" s="42">
        <f>V257-V260</f>
        <v/>
      </c>
      <c r="W261" s="42">
        <f>W257-W260</f>
        <v/>
      </c>
      <c r="X261" s="42">
        <f>X257-X260</f>
        <v/>
      </c>
      <c r="Y261" s="42">
        <f>Y257-Y260</f>
        <v/>
      </c>
      <c r="Z261" s="42">
        <f>Z257-Z260</f>
        <v/>
      </c>
      <c r="AA261" s="42">
        <f>AA257-AA260</f>
        <v/>
      </c>
      <c r="AB261" s="42">
        <f>AB257-AB260</f>
        <v/>
      </c>
      <c r="AC261" s="42">
        <f>AC257-AC260</f>
        <v/>
      </c>
      <c r="AD261" s="42">
        <f>AD257-AD260</f>
        <v/>
      </c>
      <c r="AE261" s="42">
        <f>AE257-AE260</f>
        <v/>
      </c>
      <c r="AF261" s="42">
        <f>AF257-AF260</f>
        <v/>
      </c>
      <c r="AG261" s="42">
        <f>AG257-AG260</f>
        <v/>
      </c>
      <c r="AH261" s="42">
        <f>AH257-AH260</f>
        <v/>
      </c>
      <c r="AI261" s="42">
        <f>AI257-AI260</f>
        <v/>
      </c>
      <c r="AJ261" s="42">
        <f>AJ257-AJ260</f>
        <v/>
      </c>
      <c r="AK261" s="42">
        <f>AK257-AK260</f>
        <v/>
      </c>
      <c r="AL261" s="42">
        <f>AL257-AL260</f>
        <v/>
      </c>
      <c r="AM261" s="42">
        <f>AM257-AM260</f>
        <v/>
      </c>
      <c r="AN261" s="42">
        <f>AN257-AN260</f>
        <v/>
      </c>
      <c r="AO261" s="42">
        <f>AO257-AO260</f>
        <v/>
      </c>
      <c r="AP261" s="42">
        <f>AP257-AP260</f>
        <v/>
      </c>
      <c r="AQ261" s="42">
        <f>AQ257-AQ260</f>
        <v/>
      </c>
      <c r="AR261" s="42">
        <f>AR257-AR260</f>
        <v/>
      </c>
      <c r="AS261" s="42">
        <f>AS257-AS260</f>
        <v/>
      </c>
      <c r="AT261" s="42">
        <f>AT257-AT260</f>
        <v/>
      </c>
      <c r="AU261" s="42">
        <f>AU257-AU260</f>
        <v/>
      </c>
      <c r="AV261" s="42">
        <f>AV257-AV260</f>
        <v/>
      </c>
      <c r="AW261" s="42">
        <f>AW257-AW260</f>
        <v/>
      </c>
      <c r="AX261" s="42">
        <f>AX257-AX260</f>
        <v/>
      </c>
      <c r="AY261" s="42">
        <f>AY257-AY260</f>
        <v/>
      </c>
      <c r="AZ261" s="42">
        <f>AZ257-AZ260</f>
        <v/>
      </c>
      <c r="BA261" s="42">
        <f>BA257-BA260</f>
        <v/>
      </c>
      <c r="BB261" s="42">
        <f>BB257-BB260</f>
        <v/>
      </c>
      <c r="BC261" s="42">
        <f>BC257-BC260</f>
        <v/>
      </c>
      <c r="BD261" s="42">
        <f>BD257-BD260</f>
        <v/>
      </c>
    </row>
    <row r="262">
      <c r="A262" s="39" t="inlineStr">
        <is>
          <t>Stock carried out</t>
        </is>
      </c>
      <c r="B262" s="2" t="inlineStr">
        <is>
          <t>lb</t>
        </is>
      </c>
      <c r="E262" s="42">
        <f>E249-E255-E261</f>
        <v/>
      </c>
      <c r="F262" s="42">
        <f>F249-F255-F261</f>
        <v/>
      </c>
      <c r="G262" s="42">
        <f>G249-G255-G261</f>
        <v/>
      </c>
      <c r="H262" s="42">
        <f>H249-H255-H261</f>
        <v/>
      </c>
      <c r="I262" s="42">
        <f>I249-I255-I261</f>
        <v/>
      </c>
      <c r="J262" s="42">
        <f>J249-J255-J261</f>
        <v/>
      </c>
      <c r="K262" s="42">
        <f>K249-K255-K261</f>
        <v/>
      </c>
      <c r="L262" s="42">
        <f>L249-L255-L261</f>
        <v/>
      </c>
      <c r="M262" s="42">
        <f>M249-M255-M261</f>
        <v/>
      </c>
      <c r="N262" s="42">
        <f>N249-N255-N261</f>
        <v/>
      </c>
      <c r="O262" s="42">
        <f>O249-O255-O261</f>
        <v/>
      </c>
      <c r="P262" s="42">
        <f>P249-P255-P261</f>
        <v/>
      </c>
      <c r="Q262" s="42">
        <f>Q249-Q255-Q261</f>
        <v/>
      </c>
      <c r="R262" s="42">
        <f>R249-R255-R261</f>
        <v/>
      </c>
      <c r="S262" s="42">
        <f>S249-S255-S261</f>
        <v/>
      </c>
      <c r="T262" s="42">
        <f>T249-T255-T261</f>
        <v/>
      </c>
      <c r="U262" s="42">
        <f>U249-U255-U261</f>
        <v/>
      </c>
      <c r="V262" s="42">
        <f>V249-V255-V261</f>
        <v/>
      </c>
      <c r="W262" s="42">
        <f>W249-W255-W261</f>
        <v/>
      </c>
      <c r="X262" s="42">
        <f>X249-X255-X261</f>
        <v/>
      </c>
      <c r="Y262" s="42">
        <f>Y249-Y255-Y261</f>
        <v/>
      </c>
      <c r="Z262" s="42">
        <f>Z249-Z255-Z261</f>
        <v/>
      </c>
      <c r="AA262" s="42">
        <f>AA249-AA255-AA261</f>
        <v/>
      </c>
      <c r="AB262" s="42">
        <f>AB249-AB255-AB261</f>
        <v/>
      </c>
      <c r="AC262" s="42">
        <f>AC249-AC255-AC261</f>
        <v/>
      </c>
      <c r="AD262" s="42">
        <f>AD249-AD255-AD261</f>
        <v/>
      </c>
      <c r="AE262" s="42">
        <f>AE249-AE255-AE261</f>
        <v/>
      </c>
      <c r="AF262" s="42">
        <f>AF249-AF255-AF261</f>
        <v/>
      </c>
      <c r="AG262" s="42">
        <f>AG249-AG255-AG261</f>
        <v/>
      </c>
      <c r="AH262" s="42">
        <f>AH249-AH255-AH261</f>
        <v/>
      </c>
      <c r="AI262" s="42">
        <f>AI249-AI255-AI261</f>
        <v/>
      </c>
      <c r="AJ262" s="42">
        <f>AJ249-AJ255-AJ261</f>
        <v/>
      </c>
      <c r="AK262" s="42">
        <f>AK249-AK255-AK261</f>
        <v/>
      </c>
      <c r="AL262" s="42">
        <f>AL249-AL255-AL261</f>
        <v/>
      </c>
      <c r="AM262" s="42">
        <f>AM249-AM255-AM261</f>
        <v/>
      </c>
      <c r="AN262" s="42">
        <f>AN249-AN255-AN261</f>
        <v/>
      </c>
      <c r="AO262" s="42">
        <f>AO249-AO255-AO261</f>
        <v/>
      </c>
      <c r="AP262" s="42">
        <f>AP249-AP255-AP261</f>
        <v/>
      </c>
      <c r="AQ262" s="42">
        <f>AQ249-AQ255-AQ261</f>
        <v/>
      </c>
      <c r="AR262" s="42">
        <f>AR249-AR255-AR261</f>
        <v/>
      </c>
      <c r="AS262" s="42">
        <f>AS249-AS255-AS261</f>
        <v/>
      </c>
      <c r="AT262" s="42">
        <f>AT249-AT255-AT261</f>
        <v/>
      </c>
      <c r="AU262" s="42">
        <f>AU249-AU255-AU261</f>
        <v/>
      </c>
      <c r="AV262" s="42">
        <f>AV249-AV255-AV261</f>
        <v/>
      </c>
      <c r="AW262" s="42">
        <f>AW249-AW255-AW261</f>
        <v/>
      </c>
      <c r="AX262" s="42">
        <f>AX249-AX255-AX261</f>
        <v/>
      </c>
      <c r="AY262" s="42">
        <f>AY249-AY255-AY261</f>
        <v/>
      </c>
      <c r="AZ262" s="42">
        <f>AZ249-AZ255-AZ261</f>
        <v/>
      </c>
      <c r="BA262" s="42">
        <f>BA249-BA255-BA261</f>
        <v/>
      </c>
      <c r="BB262" s="42">
        <f>BB249-BB255-BB261</f>
        <v/>
      </c>
      <c r="BC262" s="42">
        <f>BC249-BC255-BC261</f>
        <v/>
      </c>
      <c r="BD262" s="42">
        <f>BD249-BD255-BD261</f>
        <v/>
      </c>
    </row>
    <row r="263">
      <c r="A263" s="2" t="inlineStr">
        <is>
          <t xml:space="preserve">   ^ subtracts what LEAVES, not what was offered — so 'returned to store' is</t>
        </is>
      </c>
    </row>
    <row r="264">
      <c r="A264" s="2" t="inlineStr">
        <is>
          <t xml:space="preserve">     never taken out at all, and shows up as next week's carried in.</t>
        </is>
      </c>
    </row>
    <row r="265">
      <c r="A265" s="28" t="inlineStr">
        <is>
          <t>Most stock its shelf life allows</t>
        </is>
      </c>
      <c r="B265" s="2" t="inlineStr">
        <is>
          <t>lb</t>
        </is>
      </c>
      <c r="E265" s="44">
        <f>SUMPRODUCT(($E$245:$BD$245&gt;=1-$F$14+2)*($E$245:$BD$245&lt;=1)*$E$246:$BD$246*POWER(1-$G$14,($E$245:$BD$245&lt;=1)*(1-$E$245:$BD$245)))</f>
        <v/>
      </c>
      <c r="F265" s="44">
        <f>SUMPRODUCT(($E$245:$BD$245&gt;=2-$F$14+2)*($E$245:$BD$245&lt;=2)*$E$246:$BD$246*POWER(1-$G$14,($E$245:$BD$245&lt;=2)*(2-$E$245:$BD$245)))</f>
        <v/>
      </c>
      <c r="G265" s="44">
        <f>SUMPRODUCT(($E$245:$BD$245&gt;=3-$F$14+2)*($E$245:$BD$245&lt;=3)*$E$246:$BD$246*POWER(1-$G$14,($E$245:$BD$245&lt;=3)*(3-$E$245:$BD$245)))</f>
        <v/>
      </c>
      <c r="H265" s="44">
        <f>SUMPRODUCT(($E$245:$BD$245&gt;=4-$F$14+2)*($E$245:$BD$245&lt;=4)*$E$246:$BD$246*POWER(1-$G$14,($E$245:$BD$245&lt;=4)*(4-$E$245:$BD$245)))</f>
        <v/>
      </c>
      <c r="I265" s="44">
        <f>SUMPRODUCT(($E$245:$BD$245&gt;=5-$F$14+2)*($E$245:$BD$245&lt;=5)*$E$246:$BD$246*POWER(1-$G$14,($E$245:$BD$245&lt;=5)*(5-$E$245:$BD$245)))</f>
        <v/>
      </c>
      <c r="J265" s="44">
        <f>SUMPRODUCT(($E$245:$BD$245&gt;=6-$F$14+2)*($E$245:$BD$245&lt;=6)*$E$246:$BD$246*POWER(1-$G$14,($E$245:$BD$245&lt;=6)*(6-$E$245:$BD$245)))</f>
        <v/>
      </c>
      <c r="K265" s="44">
        <f>SUMPRODUCT(($E$245:$BD$245&gt;=7-$F$14+2)*($E$245:$BD$245&lt;=7)*$E$246:$BD$246*POWER(1-$G$14,($E$245:$BD$245&lt;=7)*(7-$E$245:$BD$245)))</f>
        <v/>
      </c>
      <c r="L265" s="44">
        <f>SUMPRODUCT(($E$245:$BD$245&gt;=8-$F$14+2)*($E$245:$BD$245&lt;=8)*$E$246:$BD$246*POWER(1-$G$14,($E$245:$BD$245&lt;=8)*(8-$E$245:$BD$245)))</f>
        <v/>
      </c>
      <c r="M265" s="44">
        <f>SUMPRODUCT(($E$245:$BD$245&gt;=9-$F$14+2)*($E$245:$BD$245&lt;=9)*$E$246:$BD$246*POWER(1-$G$14,($E$245:$BD$245&lt;=9)*(9-$E$245:$BD$245)))</f>
        <v/>
      </c>
      <c r="N265" s="44">
        <f>SUMPRODUCT(($E$245:$BD$245&gt;=10-$F$14+2)*($E$245:$BD$245&lt;=10)*$E$246:$BD$246*POWER(1-$G$14,($E$245:$BD$245&lt;=10)*(10-$E$245:$BD$245)))</f>
        <v/>
      </c>
      <c r="O265" s="44">
        <f>SUMPRODUCT(($E$245:$BD$245&gt;=11-$F$14+2)*($E$245:$BD$245&lt;=11)*$E$246:$BD$246*POWER(1-$G$14,($E$245:$BD$245&lt;=11)*(11-$E$245:$BD$245)))</f>
        <v/>
      </c>
      <c r="P265" s="44">
        <f>SUMPRODUCT(($E$245:$BD$245&gt;=12-$F$14+2)*($E$245:$BD$245&lt;=12)*$E$246:$BD$246*POWER(1-$G$14,($E$245:$BD$245&lt;=12)*(12-$E$245:$BD$245)))</f>
        <v/>
      </c>
      <c r="Q265" s="44">
        <f>SUMPRODUCT(($E$245:$BD$245&gt;=13-$F$14+2)*($E$245:$BD$245&lt;=13)*$E$246:$BD$246*POWER(1-$G$14,($E$245:$BD$245&lt;=13)*(13-$E$245:$BD$245)))</f>
        <v/>
      </c>
      <c r="R265" s="44">
        <f>SUMPRODUCT(($E$245:$BD$245&gt;=14-$F$14+2)*($E$245:$BD$245&lt;=14)*$E$246:$BD$246*POWER(1-$G$14,($E$245:$BD$245&lt;=14)*(14-$E$245:$BD$245)))</f>
        <v/>
      </c>
      <c r="S265" s="44">
        <f>SUMPRODUCT(($E$245:$BD$245&gt;=15-$F$14+2)*($E$245:$BD$245&lt;=15)*$E$246:$BD$246*POWER(1-$G$14,($E$245:$BD$245&lt;=15)*(15-$E$245:$BD$245)))</f>
        <v/>
      </c>
      <c r="T265" s="44">
        <f>SUMPRODUCT(($E$245:$BD$245&gt;=16-$F$14+2)*($E$245:$BD$245&lt;=16)*$E$246:$BD$246*POWER(1-$G$14,($E$245:$BD$245&lt;=16)*(16-$E$245:$BD$245)))</f>
        <v/>
      </c>
      <c r="U265" s="44">
        <f>SUMPRODUCT(($E$245:$BD$245&gt;=17-$F$14+2)*($E$245:$BD$245&lt;=17)*$E$246:$BD$246*POWER(1-$G$14,($E$245:$BD$245&lt;=17)*(17-$E$245:$BD$245)))</f>
        <v/>
      </c>
      <c r="V265" s="44">
        <f>SUMPRODUCT(($E$245:$BD$245&gt;=18-$F$14+2)*($E$245:$BD$245&lt;=18)*$E$246:$BD$246*POWER(1-$G$14,($E$245:$BD$245&lt;=18)*(18-$E$245:$BD$245)))</f>
        <v/>
      </c>
      <c r="W265" s="44">
        <f>SUMPRODUCT(($E$245:$BD$245&gt;=19-$F$14+2)*($E$245:$BD$245&lt;=19)*$E$246:$BD$246*POWER(1-$G$14,($E$245:$BD$245&lt;=19)*(19-$E$245:$BD$245)))</f>
        <v/>
      </c>
      <c r="X265" s="44">
        <f>SUMPRODUCT(($E$245:$BD$245&gt;=20-$F$14+2)*($E$245:$BD$245&lt;=20)*$E$246:$BD$246*POWER(1-$G$14,($E$245:$BD$245&lt;=20)*(20-$E$245:$BD$245)))</f>
        <v/>
      </c>
      <c r="Y265" s="44">
        <f>SUMPRODUCT(($E$245:$BD$245&gt;=21-$F$14+2)*($E$245:$BD$245&lt;=21)*$E$246:$BD$246*POWER(1-$G$14,($E$245:$BD$245&lt;=21)*(21-$E$245:$BD$245)))</f>
        <v/>
      </c>
      <c r="Z265" s="44">
        <f>SUMPRODUCT(($E$245:$BD$245&gt;=22-$F$14+2)*($E$245:$BD$245&lt;=22)*$E$246:$BD$246*POWER(1-$G$14,($E$245:$BD$245&lt;=22)*(22-$E$245:$BD$245)))</f>
        <v/>
      </c>
      <c r="AA265" s="44">
        <f>SUMPRODUCT(($E$245:$BD$245&gt;=23-$F$14+2)*($E$245:$BD$245&lt;=23)*$E$246:$BD$246*POWER(1-$G$14,($E$245:$BD$245&lt;=23)*(23-$E$245:$BD$245)))</f>
        <v/>
      </c>
      <c r="AB265" s="44">
        <f>SUMPRODUCT(($E$245:$BD$245&gt;=24-$F$14+2)*($E$245:$BD$245&lt;=24)*$E$246:$BD$246*POWER(1-$G$14,($E$245:$BD$245&lt;=24)*(24-$E$245:$BD$245)))</f>
        <v/>
      </c>
      <c r="AC265" s="44">
        <f>SUMPRODUCT(($E$245:$BD$245&gt;=25-$F$14+2)*($E$245:$BD$245&lt;=25)*$E$246:$BD$246*POWER(1-$G$14,($E$245:$BD$245&lt;=25)*(25-$E$245:$BD$245)))</f>
        <v/>
      </c>
      <c r="AD265" s="44">
        <f>SUMPRODUCT(($E$245:$BD$245&gt;=26-$F$14+2)*($E$245:$BD$245&lt;=26)*$E$246:$BD$246*POWER(1-$G$14,($E$245:$BD$245&lt;=26)*(26-$E$245:$BD$245)))</f>
        <v/>
      </c>
      <c r="AE265" s="44">
        <f>SUMPRODUCT(($E$245:$BD$245&gt;=27-$F$14+2)*($E$245:$BD$245&lt;=27)*$E$246:$BD$246*POWER(1-$G$14,($E$245:$BD$245&lt;=27)*(27-$E$245:$BD$245)))</f>
        <v/>
      </c>
      <c r="AF265" s="44">
        <f>SUMPRODUCT(($E$245:$BD$245&gt;=28-$F$14+2)*($E$245:$BD$245&lt;=28)*$E$246:$BD$246*POWER(1-$G$14,($E$245:$BD$245&lt;=28)*(28-$E$245:$BD$245)))</f>
        <v/>
      </c>
      <c r="AG265" s="44">
        <f>SUMPRODUCT(($E$245:$BD$245&gt;=29-$F$14+2)*($E$245:$BD$245&lt;=29)*$E$246:$BD$246*POWER(1-$G$14,($E$245:$BD$245&lt;=29)*(29-$E$245:$BD$245)))</f>
        <v/>
      </c>
      <c r="AH265" s="44">
        <f>SUMPRODUCT(($E$245:$BD$245&gt;=30-$F$14+2)*($E$245:$BD$245&lt;=30)*$E$246:$BD$246*POWER(1-$G$14,($E$245:$BD$245&lt;=30)*(30-$E$245:$BD$245)))</f>
        <v/>
      </c>
      <c r="AI265" s="44">
        <f>SUMPRODUCT(($E$245:$BD$245&gt;=31-$F$14+2)*($E$245:$BD$245&lt;=31)*$E$246:$BD$246*POWER(1-$G$14,($E$245:$BD$245&lt;=31)*(31-$E$245:$BD$245)))</f>
        <v/>
      </c>
      <c r="AJ265" s="44">
        <f>SUMPRODUCT(($E$245:$BD$245&gt;=32-$F$14+2)*($E$245:$BD$245&lt;=32)*$E$246:$BD$246*POWER(1-$G$14,($E$245:$BD$245&lt;=32)*(32-$E$245:$BD$245)))</f>
        <v/>
      </c>
      <c r="AK265" s="44">
        <f>SUMPRODUCT(($E$245:$BD$245&gt;=33-$F$14+2)*($E$245:$BD$245&lt;=33)*$E$246:$BD$246*POWER(1-$G$14,($E$245:$BD$245&lt;=33)*(33-$E$245:$BD$245)))</f>
        <v/>
      </c>
      <c r="AL265" s="44">
        <f>SUMPRODUCT(($E$245:$BD$245&gt;=34-$F$14+2)*($E$245:$BD$245&lt;=34)*$E$246:$BD$246*POWER(1-$G$14,($E$245:$BD$245&lt;=34)*(34-$E$245:$BD$245)))</f>
        <v/>
      </c>
      <c r="AM265" s="44">
        <f>SUMPRODUCT(($E$245:$BD$245&gt;=35-$F$14+2)*($E$245:$BD$245&lt;=35)*$E$246:$BD$246*POWER(1-$G$14,($E$245:$BD$245&lt;=35)*(35-$E$245:$BD$245)))</f>
        <v/>
      </c>
      <c r="AN265" s="44">
        <f>SUMPRODUCT(($E$245:$BD$245&gt;=36-$F$14+2)*($E$245:$BD$245&lt;=36)*$E$246:$BD$246*POWER(1-$G$14,($E$245:$BD$245&lt;=36)*(36-$E$245:$BD$245)))</f>
        <v/>
      </c>
      <c r="AO265" s="44">
        <f>SUMPRODUCT(($E$245:$BD$245&gt;=37-$F$14+2)*($E$245:$BD$245&lt;=37)*$E$246:$BD$246*POWER(1-$G$14,($E$245:$BD$245&lt;=37)*(37-$E$245:$BD$245)))</f>
        <v/>
      </c>
      <c r="AP265" s="44">
        <f>SUMPRODUCT(($E$245:$BD$245&gt;=38-$F$14+2)*($E$245:$BD$245&lt;=38)*$E$246:$BD$246*POWER(1-$G$14,($E$245:$BD$245&lt;=38)*(38-$E$245:$BD$245)))</f>
        <v/>
      </c>
      <c r="AQ265" s="44">
        <f>SUMPRODUCT(($E$245:$BD$245&gt;=39-$F$14+2)*($E$245:$BD$245&lt;=39)*$E$246:$BD$246*POWER(1-$G$14,($E$245:$BD$245&lt;=39)*(39-$E$245:$BD$245)))</f>
        <v/>
      </c>
      <c r="AR265" s="44">
        <f>SUMPRODUCT(($E$245:$BD$245&gt;=40-$F$14+2)*($E$245:$BD$245&lt;=40)*$E$246:$BD$246*POWER(1-$G$14,($E$245:$BD$245&lt;=40)*(40-$E$245:$BD$245)))</f>
        <v/>
      </c>
      <c r="AS265" s="44">
        <f>SUMPRODUCT(($E$245:$BD$245&gt;=41-$F$14+2)*($E$245:$BD$245&lt;=41)*$E$246:$BD$246*POWER(1-$G$14,($E$245:$BD$245&lt;=41)*(41-$E$245:$BD$245)))</f>
        <v/>
      </c>
      <c r="AT265" s="44">
        <f>SUMPRODUCT(($E$245:$BD$245&gt;=42-$F$14+2)*($E$245:$BD$245&lt;=42)*$E$246:$BD$246*POWER(1-$G$14,($E$245:$BD$245&lt;=42)*(42-$E$245:$BD$245)))</f>
        <v/>
      </c>
      <c r="AU265" s="44">
        <f>SUMPRODUCT(($E$245:$BD$245&gt;=43-$F$14+2)*($E$245:$BD$245&lt;=43)*$E$246:$BD$246*POWER(1-$G$14,($E$245:$BD$245&lt;=43)*(43-$E$245:$BD$245)))</f>
        <v/>
      </c>
      <c r="AV265" s="44">
        <f>SUMPRODUCT(($E$245:$BD$245&gt;=44-$F$14+2)*($E$245:$BD$245&lt;=44)*$E$246:$BD$246*POWER(1-$G$14,($E$245:$BD$245&lt;=44)*(44-$E$245:$BD$245)))</f>
        <v/>
      </c>
      <c r="AW265" s="44">
        <f>SUMPRODUCT(($E$245:$BD$245&gt;=45-$F$14+2)*($E$245:$BD$245&lt;=45)*$E$246:$BD$246*POWER(1-$G$14,($E$245:$BD$245&lt;=45)*(45-$E$245:$BD$245)))</f>
        <v/>
      </c>
      <c r="AX265" s="44">
        <f>SUMPRODUCT(($E$245:$BD$245&gt;=46-$F$14+2)*($E$245:$BD$245&lt;=46)*$E$246:$BD$246*POWER(1-$G$14,($E$245:$BD$245&lt;=46)*(46-$E$245:$BD$245)))</f>
        <v/>
      </c>
      <c r="AY265" s="44">
        <f>SUMPRODUCT(($E$245:$BD$245&gt;=47-$F$14+2)*($E$245:$BD$245&lt;=47)*$E$246:$BD$246*POWER(1-$G$14,($E$245:$BD$245&lt;=47)*(47-$E$245:$BD$245)))</f>
        <v/>
      </c>
      <c r="AZ265" s="44">
        <f>SUMPRODUCT(($E$245:$BD$245&gt;=48-$F$14+2)*($E$245:$BD$245&lt;=48)*$E$246:$BD$246*POWER(1-$G$14,($E$245:$BD$245&lt;=48)*(48-$E$245:$BD$245)))</f>
        <v/>
      </c>
      <c r="BA265" s="44">
        <f>SUMPRODUCT(($E$245:$BD$245&gt;=49-$F$14+2)*($E$245:$BD$245&lt;=49)*$E$246:$BD$246*POWER(1-$G$14,($E$245:$BD$245&lt;=49)*(49-$E$245:$BD$245)))</f>
        <v/>
      </c>
      <c r="BB265" s="44">
        <f>SUMPRODUCT(($E$245:$BD$245&gt;=50-$F$14+2)*($E$245:$BD$245&lt;=50)*$E$246:$BD$246*POWER(1-$G$14,($E$245:$BD$245&lt;=50)*(50-$E$245:$BD$245)))</f>
        <v/>
      </c>
      <c r="BC265" s="44">
        <f>SUMPRODUCT(($E$245:$BD$245&gt;=51-$F$14+2)*($E$245:$BD$245&lt;=51)*$E$246:$BD$246*POWER(1-$G$14,($E$245:$BD$245&lt;=51)*(51-$E$245:$BD$245)))</f>
        <v/>
      </c>
      <c r="BD265" s="44">
        <f>SUMPRODUCT(($E$245:$BD$245&gt;=52-$F$14+2)*($E$245:$BD$245&lt;=52)*$E$246:$BD$246*POWER(1-$G$14,($E$245:$BD$245&lt;=52)*(52-$E$245:$BD$245)))</f>
        <v/>
      </c>
    </row>
    <row r="266">
      <c r="A266" s="2" t="inlineStr">
        <is>
          <t xml:space="preserve">   Stock carried out must stay at or below this row.</t>
        </is>
      </c>
    </row>
    <row r="267">
      <c r="A267" s="26" t="inlineStr">
        <is>
          <t>Growing cost this week</t>
        </is>
      </c>
      <c r="B267" s="2" t="inlineStr">
        <is>
          <t>$</t>
        </is>
      </c>
      <c r="E267" s="42">
        <f>SUMPRODUCT(($B$62:$B$129="Garlic")*(E$62:E$129="P")*$C$62:$C$129)*$K$14+SUMPRODUCT(($B$62:$B$129="Garlic")*(E$62:E$129="G")*$C$62:$C$129)*$L$14+SUMPRODUCT(($B$62:$B$129="Garlic")*(E$62:E$129="H")*$C$62:$C$129)*$M$14+SUMPRODUCT(($B$62:$B$129="Garlic")*($BG$62:$BG$129=1)*$C$62:$C$129)*$H$14</f>
        <v/>
      </c>
      <c r="F267" s="42">
        <f>SUMPRODUCT(($B$62:$B$129="Garlic")*(F$62:F$129="P")*$C$62:$C$129)*$K$14+SUMPRODUCT(($B$62:$B$129="Garlic")*(F$62:F$129="G")*$C$62:$C$129)*$L$14+SUMPRODUCT(($B$62:$B$129="Garlic")*(F$62:F$129="H")*$C$62:$C$129)*$M$14+SUMPRODUCT(($B$62:$B$129="Garlic")*($BG$62:$BG$129=2)*$C$62:$C$129)*$H$14</f>
        <v/>
      </c>
      <c r="G267" s="42">
        <f>SUMPRODUCT(($B$62:$B$129="Garlic")*(G$62:G$129="P")*$C$62:$C$129)*$K$14+SUMPRODUCT(($B$62:$B$129="Garlic")*(G$62:G$129="G")*$C$62:$C$129)*$L$14+SUMPRODUCT(($B$62:$B$129="Garlic")*(G$62:G$129="H")*$C$62:$C$129)*$M$14+SUMPRODUCT(($B$62:$B$129="Garlic")*($BG$62:$BG$129=3)*$C$62:$C$129)*$H$14</f>
        <v/>
      </c>
      <c r="H267" s="42">
        <f>SUMPRODUCT(($B$62:$B$129="Garlic")*(H$62:H$129="P")*$C$62:$C$129)*$K$14+SUMPRODUCT(($B$62:$B$129="Garlic")*(H$62:H$129="G")*$C$62:$C$129)*$L$14+SUMPRODUCT(($B$62:$B$129="Garlic")*(H$62:H$129="H")*$C$62:$C$129)*$M$14+SUMPRODUCT(($B$62:$B$129="Garlic")*($BG$62:$BG$129=4)*$C$62:$C$129)*$H$14</f>
        <v/>
      </c>
      <c r="I267" s="42">
        <f>SUMPRODUCT(($B$62:$B$129="Garlic")*(I$62:I$129="P")*$C$62:$C$129)*$K$14+SUMPRODUCT(($B$62:$B$129="Garlic")*(I$62:I$129="G")*$C$62:$C$129)*$L$14+SUMPRODUCT(($B$62:$B$129="Garlic")*(I$62:I$129="H")*$C$62:$C$129)*$M$14+SUMPRODUCT(($B$62:$B$129="Garlic")*($BG$62:$BG$129=5)*$C$62:$C$129)*$H$14</f>
        <v/>
      </c>
      <c r="J267" s="42">
        <f>SUMPRODUCT(($B$62:$B$129="Garlic")*(J$62:J$129="P")*$C$62:$C$129)*$K$14+SUMPRODUCT(($B$62:$B$129="Garlic")*(J$62:J$129="G")*$C$62:$C$129)*$L$14+SUMPRODUCT(($B$62:$B$129="Garlic")*(J$62:J$129="H")*$C$62:$C$129)*$M$14+SUMPRODUCT(($B$62:$B$129="Garlic")*($BG$62:$BG$129=6)*$C$62:$C$129)*$H$14</f>
        <v/>
      </c>
      <c r="K267" s="42">
        <f>SUMPRODUCT(($B$62:$B$129="Garlic")*(K$62:K$129="P")*$C$62:$C$129)*$K$14+SUMPRODUCT(($B$62:$B$129="Garlic")*(K$62:K$129="G")*$C$62:$C$129)*$L$14+SUMPRODUCT(($B$62:$B$129="Garlic")*(K$62:K$129="H")*$C$62:$C$129)*$M$14+SUMPRODUCT(($B$62:$B$129="Garlic")*($BG$62:$BG$129=7)*$C$62:$C$129)*$H$14</f>
        <v/>
      </c>
      <c r="L267" s="42">
        <f>SUMPRODUCT(($B$62:$B$129="Garlic")*(L$62:L$129="P")*$C$62:$C$129)*$K$14+SUMPRODUCT(($B$62:$B$129="Garlic")*(L$62:L$129="G")*$C$62:$C$129)*$L$14+SUMPRODUCT(($B$62:$B$129="Garlic")*(L$62:L$129="H")*$C$62:$C$129)*$M$14+SUMPRODUCT(($B$62:$B$129="Garlic")*($BG$62:$BG$129=8)*$C$62:$C$129)*$H$14</f>
        <v/>
      </c>
      <c r="M267" s="42">
        <f>SUMPRODUCT(($B$62:$B$129="Garlic")*(M$62:M$129="P")*$C$62:$C$129)*$K$14+SUMPRODUCT(($B$62:$B$129="Garlic")*(M$62:M$129="G")*$C$62:$C$129)*$L$14+SUMPRODUCT(($B$62:$B$129="Garlic")*(M$62:M$129="H")*$C$62:$C$129)*$M$14+SUMPRODUCT(($B$62:$B$129="Garlic")*($BG$62:$BG$129=9)*$C$62:$C$129)*$H$14</f>
        <v/>
      </c>
      <c r="N267" s="42">
        <f>SUMPRODUCT(($B$62:$B$129="Garlic")*(N$62:N$129="P")*$C$62:$C$129)*$K$14+SUMPRODUCT(($B$62:$B$129="Garlic")*(N$62:N$129="G")*$C$62:$C$129)*$L$14+SUMPRODUCT(($B$62:$B$129="Garlic")*(N$62:N$129="H")*$C$62:$C$129)*$M$14+SUMPRODUCT(($B$62:$B$129="Garlic")*($BG$62:$BG$129=10)*$C$62:$C$129)*$H$14</f>
        <v/>
      </c>
      <c r="O267" s="42">
        <f>SUMPRODUCT(($B$62:$B$129="Garlic")*(O$62:O$129="P")*$C$62:$C$129)*$K$14+SUMPRODUCT(($B$62:$B$129="Garlic")*(O$62:O$129="G")*$C$62:$C$129)*$L$14+SUMPRODUCT(($B$62:$B$129="Garlic")*(O$62:O$129="H")*$C$62:$C$129)*$M$14+SUMPRODUCT(($B$62:$B$129="Garlic")*($BG$62:$BG$129=11)*$C$62:$C$129)*$H$14</f>
        <v/>
      </c>
      <c r="P267" s="42">
        <f>SUMPRODUCT(($B$62:$B$129="Garlic")*(P$62:P$129="P")*$C$62:$C$129)*$K$14+SUMPRODUCT(($B$62:$B$129="Garlic")*(P$62:P$129="G")*$C$62:$C$129)*$L$14+SUMPRODUCT(($B$62:$B$129="Garlic")*(P$62:P$129="H")*$C$62:$C$129)*$M$14+SUMPRODUCT(($B$62:$B$129="Garlic")*($BG$62:$BG$129=12)*$C$62:$C$129)*$H$14</f>
        <v/>
      </c>
      <c r="Q267" s="42">
        <f>SUMPRODUCT(($B$62:$B$129="Garlic")*(Q$62:Q$129="P")*$C$62:$C$129)*$K$14+SUMPRODUCT(($B$62:$B$129="Garlic")*(Q$62:Q$129="G")*$C$62:$C$129)*$L$14+SUMPRODUCT(($B$62:$B$129="Garlic")*(Q$62:Q$129="H")*$C$62:$C$129)*$M$14+SUMPRODUCT(($B$62:$B$129="Garlic")*($BG$62:$BG$129=13)*$C$62:$C$129)*$H$14</f>
        <v/>
      </c>
      <c r="R267" s="42">
        <f>SUMPRODUCT(($B$62:$B$129="Garlic")*(R$62:R$129="P")*$C$62:$C$129)*$K$14+SUMPRODUCT(($B$62:$B$129="Garlic")*(R$62:R$129="G")*$C$62:$C$129)*$L$14+SUMPRODUCT(($B$62:$B$129="Garlic")*(R$62:R$129="H")*$C$62:$C$129)*$M$14+SUMPRODUCT(($B$62:$B$129="Garlic")*($BG$62:$BG$129=14)*$C$62:$C$129)*$H$14</f>
        <v/>
      </c>
      <c r="S267" s="42">
        <f>SUMPRODUCT(($B$62:$B$129="Garlic")*(S$62:S$129="P")*$C$62:$C$129)*$K$14+SUMPRODUCT(($B$62:$B$129="Garlic")*(S$62:S$129="G")*$C$62:$C$129)*$L$14+SUMPRODUCT(($B$62:$B$129="Garlic")*(S$62:S$129="H")*$C$62:$C$129)*$M$14+SUMPRODUCT(($B$62:$B$129="Garlic")*($BG$62:$BG$129=15)*$C$62:$C$129)*$H$14</f>
        <v/>
      </c>
      <c r="T267" s="42">
        <f>SUMPRODUCT(($B$62:$B$129="Garlic")*(T$62:T$129="P")*$C$62:$C$129)*$K$14+SUMPRODUCT(($B$62:$B$129="Garlic")*(T$62:T$129="G")*$C$62:$C$129)*$L$14+SUMPRODUCT(($B$62:$B$129="Garlic")*(T$62:T$129="H")*$C$62:$C$129)*$M$14+SUMPRODUCT(($B$62:$B$129="Garlic")*($BG$62:$BG$129=16)*$C$62:$C$129)*$H$14</f>
        <v/>
      </c>
      <c r="U267" s="42">
        <f>SUMPRODUCT(($B$62:$B$129="Garlic")*(U$62:U$129="P")*$C$62:$C$129)*$K$14+SUMPRODUCT(($B$62:$B$129="Garlic")*(U$62:U$129="G")*$C$62:$C$129)*$L$14+SUMPRODUCT(($B$62:$B$129="Garlic")*(U$62:U$129="H")*$C$62:$C$129)*$M$14+SUMPRODUCT(($B$62:$B$129="Garlic")*($BG$62:$BG$129=17)*$C$62:$C$129)*$H$14</f>
        <v/>
      </c>
      <c r="V267" s="42">
        <f>SUMPRODUCT(($B$62:$B$129="Garlic")*(V$62:V$129="P")*$C$62:$C$129)*$K$14+SUMPRODUCT(($B$62:$B$129="Garlic")*(V$62:V$129="G")*$C$62:$C$129)*$L$14+SUMPRODUCT(($B$62:$B$129="Garlic")*(V$62:V$129="H")*$C$62:$C$129)*$M$14+SUMPRODUCT(($B$62:$B$129="Garlic")*($BG$62:$BG$129=18)*$C$62:$C$129)*$H$14</f>
        <v/>
      </c>
      <c r="W267" s="42">
        <f>SUMPRODUCT(($B$62:$B$129="Garlic")*(W$62:W$129="P")*$C$62:$C$129)*$K$14+SUMPRODUCT(($B$62:$B$129="Garlic")*(W$62:W$129="G")*$C$62:$C$129)*$L$14+SUMPRODUCT(($B$62:$B$129="Garlic")*(W$62:W$129="H")*$C$62:$C$129)*$M$14+SUMPRODUCT(($B$62:$B$129="Garlic")*($BG$62:$BG$129=19)*$C$62:$C$129)*$H$14</f>
        <v/>
      </c>
      <c r="X267" s="42">
        <f>SUMPRODUCT(($B$62:$B$129="Garlic")*(X$62:X$129="P")*$C$62:$C$129)*$K$14+SUMPRODUCT(($B$62:$B$129="Garlic")*(X$62:X$129="G")*$C$62:$C$129)*$L$14+SUMPRODUCT(($B$62:$B$129="Garlic")*(X$62:X$129="H")*$C$62:$C$129)*$M$14+SUMPRODUCT(($B$62:$B$129="Garlic")*($BG$62:$BG$129=20)*$C$62:$C$129)*$H$14</f>
        <v/>
      </c>
      <c r="Y267" s="42">
        <f>SUMPRODUCT(($B$62:$B$129="Garlic")*(Y$62:Y$129="P")*$C$62:$C$129)*$K$14+SUMPRODUCT(($B$62:$B$129="Garlic")*(Y$62:Y$129="G")*$C$62:$C$129)*$L$14+SUMPRODUCT(($B$62:$B$129="Garlic")*(Y$62:Y$129="H")*$C$62:$C$129)*$M$14+SUMPRODUCT(($B$62:$B$129="Garlic")*($BG$62:$BG$129=21)*$C$62:$C$129)*$H$14</f>
        <v/>
      </c>
      <c r="Z267" s="42">
        <f>SUMPRODUCT(($B$62:$B$129="Garlic")*(Z$62:Z$129="P")*$C$62:$C$129)*$K$14+SUMPRODUCT(($B$62:$B$129="Garlic")*(Z$62:Z$129="G")*$C$62:$C$129)*$L$14+SUMPRODUCT(($B$62:$B$129="Garlic")*(Z$62:Z$129="H")*$C$62:$C$129)*$M$14+SUMPRODUCT(($B$62:$B$129="Garlic")*($BG$62:$BG$129=22)*$C$62:$C$129)*$H$14</f>
        <v/>
      </c>
      <c r="AA267" s="42">
        <f>SUMPRODUCT(($B$62:$B$129="Garlic")*(AA$62:AA$129="P")*$C$62:$C$129)*$K$14+SUMPRODUCT(($B$62:$B$129="Garlic")*(AA$62:AA$129="G")*$C$62:$C$129)*$L$14+SUMPRODUCT(($B$62:$B$129="Garlic")*(AA$62:AA$129="H")*$C$62:$C$129)*$M$14+SUMPRODUCT(($B$62:$B$129="Garlic")*($BG$62:$BG$129=23)*$C$62:$C$129)*$H$14</f>
        <v/>
      </c>
      <c r="AB267" s="42">
        <f>SUMPRODUCT(($B$62:$B$129="Garlic")*(AB$62:AB$129="P")*$C$62:$C$129)*$K$14+SUMPRODUCT(($B$62:$B$129="Garlic")*(AB$62:AB$129="G")*$C$62:$C$129)*$L$14+SUMPRODUCT(($B$62:$B$129="Garlic")*(AB$62:AB$129="H")*$C$62:$C$129)*$M$14+SUMPRODUCT(($B$62:$B$129="Garlic")*($BG$62:$BG$129=24)*$C$62:$C$129)*$H$14</f>
        <v/>
      </c>
      <c r="AC267" s="42">
        <f>SUMPRODUCT(($B$62:$B$129="Garlic")*(AC$62:AC$129="P")*$C$62:$C$129)*$K$14+SUMPRODUCT(($B$62:$B$129="Garlic")*(AC$62:AC$129="G")*$C$62:$C$129)*$L$14+SUMPRODUCT(($B$62:$B$129="Garlic")*(AC$62:AC$129="H")*$C$62:$C$129)*$M$14+SUMPRODUCT(($B$62:$B$129="Garlic")*($BG$62:$BG$129=25)*$C$62:$C$129)*$H$14</f>
        <v/>
      </c>
      <c r="AD267" s="42">
        <f>SUMPRODUCT(($B$62:$B$129="Garlic")*(AD$62:AD$129="P")*$C$62:$C$129)*$K$14+SUMPRODUCT(($B$62:$B$129="Garlic")*(AD$62:AD$129="G")*$C$62:$C$129)*$L$14+SUMPRODUCT(($B$62:$B$129="Garlic")*(AD$62:AD$129="H")*$C$62:$C$129)*$M$14+SUMPRODUCT(($B$62:$B$129="Garlic")*($BG$62:$BG$129=26)*$C$62:$C$129)*$H$14</f>
        <v/>
      </c>
      <c r="AE267" s="42">
        <f>SUMPRODUCT(($B$62:$B$129="Garlic")*(AE$62:AE$129="P")*$C$62:$C$129)*$K$14+SUMPRODUCT(($B$62:$B$129="Garlic")*(AE$62:AE$129="G")*$C$62:$C$129)*$L$14+SUMPRODUCT(($B$62:$B$129="Garlic")*(AE$62:AE$129="H")*$C$62:$C$129)*$M$14+SUMPRODUCT(($B$62:$B$129="Garlic")*($BG$62:$BG$129=27)*$C$62:$C$129)*$H$14</f>
        <v/>
      </c>
      <c r="AF267" s="42">
        <f>SUMPRODUCT(($B$62:$B$129="Garlic")*(AF$62:AF$129="P")*$C$62:$C$129)*$K$14+SUMPRODUCT(($B$62:$B$129="Garlic")*(AF$62:AF$129="G")*$C$62:$C$129)*$L$14+SUMPRODUCT(($B$62:$B$129="Garlic")*(AF$62:AF$129="H")*$C$62:$C$129)*$M$14+SUMPRODUCT(($B$62:$B$129="Garlic")*($BG$62:$BG$129=28)*$C$62:$C$129)*$H$14</f>
        <v/>
      </c>
      <c r="AG267" s="42">
        <f>SUMPRODUCT(($B$62:$B$129="Garlic")*(AG$62:AG$129="P")*$C$62:$C$129)*$K$14+SUMPRODUCT(($B$62:$B$129="Garlic")*(AG$62:AG$129="G")*$C$62:$C$129)*$L$14+SUMPRODUCT(($B$62:$B$129="Garlic")*(AG$62:AG$129="H")*$C$62:$C$129)*$M$14+SUMPRODUCT(($B$62:$B$129="Garlic")*($BG$62:$BG$129=29)*$C$62:$C$129)*$H$14</f>
        <v/>
      </c>
      <c r="AH267" s="42">
        <f>SUMPRODUCT(($B$62:$B$129="Garlic")*(AH$62:AH$129="P")*$C$62:$C$129)*$K$14+SUMPRODUCT(($B$62:$B$129="Garlic")*(AH$62:AH$129="G")*$C$62:$C$129)*$L$14+SUMPRODUCT(($B$62:$B$129="Garlic")*(AH$62:AH$129="H")*$C$62:$C$129)*$M$14+SUMPRODUCT(($B$62:$B$129="Garlic")*($BG$62:$BG$129=30)*$C$62:$C$129)*$H$14</f>
        <v/>
      </c>
      <c r="AI267" s="42">
        <f>SUMPRODUCT(($B$62:$B$129="Garlic")*(AI$62:AI$129="P")*$C$62:$C$129)*$K$14+SUMPRODUCT(($B$62:$B$129="Garlic")*(AI$62:AI$129="G")*$C$62:$C$129)*$L$14+SUMPRODUCT(($B$62:$B$129="Garlic")*(AI$62:AI$129="H")*$C$62:$C$129)*$M$14+SUMPRODUCT(($B$62:$B$129="Garlic")*($BG$62:$BG$129=31)*$C$62:$C$129)*$H$14</f>
        <v/>
      </c>
      <c r="AJ267" s="42">
        <f>SUMPRODUCT(($B$62:$B$129="Garlic")*(AJ$62:AJ$129="P")*$C$62:$C$129)*$K$14+SUMPRODUCT(($B$62:$B$129="Garlic")*(AJ$62:AJ$129="G")*$C$62:$C$129)*$L$14+SUMPRODUCT(($B$62:$B$129="Garlic")*(AJ$62:AJ$129="H")*$C$62:$C$129)*$M$14+SUMPRODUCT(($B$62:$B$129="Garlic")*($BG$62:$BG$129=32)*$C$62:$C$129)*$H$14</f>
        <v/>
      </c>
      <c r="AK267" s="42">
        <f>SUMPRODUCT(($B$62:$B$129="Garlic")*(AK$62:AK$129="P")*$C$62:$C$129)*$K$14+SUMPRODUCT(($B$62:$B$129="Garlic")*(AK$62:AK$129="G")*$C$62:$C$129)*$L$14+SUMPRODUCT(($B$62:$B$129="Garlic")*(AK$62:AK$129="H")*$C$62:$C$129)*$M$14+SUMPRODUCT(($B$62:$B$129="Garlic")*($BG$62:$BG$129=33)*$C$62:$C$129)*$H$14</f>
        <v/>
      </c>
      <c r="AL267" s="42">
        <f>SUMPRODUCT(($B$62:$B$129="Garlic")*(AL$62:AL$129="P")*$C$62:$C$129)*$K$14+SUMPRODUCT(($B$62:$B$129="Garlic")*(AL$62:AL$129="G")*$C$62:$C$129)*$L$14+SUMPRODUCT(($B$62:$B$129="Garlic")*(AL$62:AL$129="H")*$C$62:$C$129)*$M$14+SUMPRODUCT(($B$62:$B$129="Garlic")*($BG$62:$BG$129=34)*$C$62:$C$129)*$H$14</f>
        <v/>
      </c>
      <c r="AM267" s="42">
        <f>SUMPRODUCT(($B$62:$B$129="Garlic")*(AM$62:AM$129="P")*$C$62:$C$129)*$K$14+SUMPRODUCT(($B$62:$B$129="Garlic")*(AM$62:AM$129="G")*$C$62:$C$129)*$L$14+SUMPRODUCT(($B$62:$B$129="Garlic")*(AM$62:AM$129="H")*$C$62:$C$129)*$M$14+SUMPRODUCT(($B$62:$B$129="Garlic")*($BG$62:$BG$129=35)*$C$62:$C$129)*$H$14</f>
        <v/>
      </c>
      <c r="AN267" s="42">
        <f>SUMPRODUCT(($B$62:$B$129="Garlic")*(AN$62:AN$129="P")*$C$62:$C$129)*$K$14+SUMPRODUCT(($B$62:$B$129="Garlic")*(AN$62:AN$129="G")*$C$62:$C$129)*$L$14+SUMPRODUCT(($B$62:$B$129="Garlic")*(AN$62:AN$129="H")*$C$62:$C$129)*$M$14+SUMPRODUCT(($B$62:$B$129="Garlic")*($BG$62:$BG$129=36)*$C$62:$C$129)*$H$14</f>
        <v/>
      </c>
      <c r="AO267" s="42">
        <f>SUMPRODUCT(($B$62:$B$129="Garlic")*(AO$62:AO$129="P")*$C$62:$C$129)*$K$14+SUMPRODUCT(($B$62:$B$129="Garlic")*(AO$62:AO$129="G")*$C$62:$C$129)*$L$14+SUMPRODUCT(($B$62:$B$129="Garlic")*(AO$62:AO$129="H")*$C$62:$C$129)*$M$14+SUMPRODUCT(($B$62:$B$129="Garlic")*($BG$62:$BG$129=37)*$C$62:$C$129)*$H$14</f>
        <v/>
      </c>
      <c r="AP267" s="42">
        <f>SUMPRODUCT(($B$62:$B$129="Garlic")*(AP$62:AP$129="P")*$C$62:$C$129)*$K$14+SUMPRODUCT(($B$62:$B$129="Garlic")*(AP$62:AP$129="G")*$C$62:$C$129)*$L$14+SUMPRODUCT(($B$62:$B$129="Garlic")*(AP$62:AP$129="H")*$C$62:$C$129)*$M$14+SUMPRODUCT(($B$62:$B$129="Garlic")*($BG$62:$BG$129=38)*$C$62:$C$129)*$H$14</f>
        <v/>
      </c>
      <c r="AQ267" s="42">
        <f>SUMPRODUCT(($B$62:$B$129="Garlic")*(AQ$62:AQ$129="P")*$C$62:$C$129)*$K$14+SUMPRODUCT(($B$62:$B$129="Garlic")*(AQ$62:AQ$129="G")*$C$62:$C$129)*$L$14+SUMPRODUCT(($B$62:$B$129="Garlic")*(AQ$62:AQ$129="H")*$C$62:$C$129)*$M$14+SUMPRODUCT(($B$62:$B$129="Garlic")*($BG$62:$BG$129=39)*$C$62:$C$129)*$H$14</f>
        <v/>
      </c>
      <c r="AR267" s="42">
        <f>SUMPRODUCT(($B$62:$B$129="Garlic")*(AR$62:AR$129="P")*$C$62:$C$129)*$K$14+SUMPRODUCT(($B$62:$B$129="Garlic")*(AR$62:AR$129="G")*$C$62:$C$129)*$L$14+SUMPRODUCT(($B$62:$B$129="Garlic")*(AR$62:AR$129="H")*$C$62:$C$129)*$M$14+SUMPRODUCT(($B$62:$B$129="Garlic")*($BG$62:$BG$129=40)*$C$62:$C$129)*$H$14</f>
        <v/>
      </c>
      <c r="AS267" s="42">
        <f>SUMPRODUCT(($B$62:$B$129="Garlic")*(AS$62:AS$129="P")*$C$62:$C$129)*$K$14+SUMPRODUCT(($B$62:$B$129="Garlic")*(AS$62:AS$129="G")*$C$62:$C$129)*$L$14+SUMPRODUCT(($B$62:$B$129="Garlic")*(AS$62:AS$129="H")*$C$62:$C$129)*$M$14+SUMPRODUCT(($B$62:$B$129="Garlic")*($BG$62:$BG$129=41)*$C$62:$C$129)*$H$14</f>
        <v/>
      </c>
      <c r="AT267" s="42">
        <f>SUMPRODUCT(($B$62:$B$129="Garlic")*(AT$62:AT$129="P")*$C$62:$C$129)*$K$14+SUMPRODUCT(($B$62:$B$129="Garlic")*(AT$62:AT$129="G")*$C$62:$C$129)*$L$14+SUMPRODUCT(($B$62:$B$129="Garlic")*(AT$62:AT$129="H")*$C$62:$C$129)*$M$14+SUMPRODUCT(($B$62:$B$129="Garlic")*($BG$62:$BG$129=42)*$C$62:$C$129)*$H$14</f>
        <v/>
      </c>
      <c r="AU267" s="42">
        <f>SUMPRODUCT(($B$62:$B$129="Garlic")*(AU$62:AU$129="P")*$C$62:$C$129)*$K$14+SUMPRODUCT(($B$62:$B$129="Garlic")*(AU$62:AU$129="G")*$C$62:$C$129)*$L$14+SUMPRODUCT(($B$62:$B$129="Garlic")*(AU$62:AU$129="H")*$C$62:$C$129)*$M$14+SUMPRODUCT(($B$62:$B$129="Garlic")*($BG$62:$BG$129=43)*$C$62:$C$129)*$H$14</f>
        <v/>
      </c>
      <c r="AV267" s="42">
        <f>SUMPRODUCT(($B$62:$B$129="Garlic")*(AV$62:AV$129="P")*$C$62:$C$129)*$K$14+SUMPRODUCT(($B$62:$B$129="Garlic")*(AV$62:AV$129="G")*$C$62:$C$129)*$L$14+SUMPRODUCT(($B$62:$B$129="Garlic")*(AV$62:AV$129="H")*$C$62:$C$129)*$M$14+SUMPRODUCT(($B$62:$B$129="Garlic")*($BG$62:$BG$129=44)*$C$62:$C$129)*$H$14</f>
        <v/>
      </c>
      <c r="AW267" s="42">
        <f>SUMPRODUCT(($B$62:$B$129="Garlic")*(AW$62:AW$129="P")*$C$62:$C$129)*$K$14+SUMPRODUCT(($B$62:$B$129="Garlic")*(AW$62:AW$129="G")*$C$62:$C$129)*$L$14+SUMPRODUCT(($B$62:$B$129="Garlic")*(AW$62:AW$129="H")*$C$62:$C$129)*$M$14+SUMPRODUCT(($B$62:$B$129="Garlic")*($BG$62:$BG$129=45)*$C$62:$C$129)*$H$14</f>
        <v/>
      </c>
      <c r="AX267" s="42">
        <f>SUMPRODUCT(($B$62:$B$129="Garlic")*(AX$62:AX$129="P")*$C$62:$C$129)*$K$14+SUMPRODUCT(($B$62:$B$129="Garlic")*(AX$62:AX$129="G")*$C$62:$C$129)*$L$14+SUMPRODUCT(($B$62:$B$129="Garlic")*(AX$62:AX$129="H")*$C$62:$C$129)*$M$14+SUMPRODUCT(($B$62:$B$129="Garlic")*($BG$62:$BG$129=46)*$C$62:$C$129)*$H$14</f>
        <v/>
      </c>
      <c r="AY267" s="42">
        <f>SUMPRODUCT(($B$62:$B$129="Garlic")*(AY$62:AY$129="P")*$C$62:$C$129)*$K$14+SUMPRODUCT(($B$62:$B$129="Garlic")*(AY$62:AY$129="G")*$C$62:$C$129)*$L$14+SUMPRODUCT(($B$62:$B$129="Garlic")*(AY$62:AY$129="H")*$C$62:$C$129)*$M$14+SUMPRODUCT(($B$62:$B$129="Garlic")*($BG$62:$BG$129=47)*$C$62:$C$129)*$H$14</f>
        <v/>
      </c>
      <c r="AZ267" s="42">
        <f>SUMPRODUCT(($B$62:$B$129="Garlic")*(AZ$62:AZ$129="P")*$C$62:$C$129)*$K$14+SUMPRODUCT(($B$62:$B$129="Garlic")*(AZ$62:AZ$129="G")*$C$62:$C$129)*$L$14+SUMPRODUCT(($B$62:$B$129="Garlic")*(AZ$62:AZ$129="H")*$C$62:$C$129)*$M$14+SUMPRODUCT(($B$62:$B$129="Garlic")*($BG$62:$BG$129=48)*$C$62:$C$129)*$H$14</f>
        <v/>
      </c>
      <c r="BA267" s="42">
        <f>SUMPRODUCT(($B$62:$B$129="Garlic")*(BA$62:BA$129="P")*$C$62:$C$129)*$K$14+SUMPRODUCT(($B$62:$B$129="Garlic")*(BA$62:BA$129="G")*$C$62:$C$129)*$L$14+SUMPRODUCT(($B$62:$B$129="Garlic")*(BA$62:BA$129="H")*$C$62:$C$129)*$M$14+SUMPRODUCT(($B$62:$B$129="Garlic")*($BG$62:$BG$129=49)*$C$62:$C$129)*$H$14</f>
        <v/>
      </c>
      <c r="BB267" s="42">
        <f>SUMPRODUCT(($B$62:$B$129="Garlic")*(BB$62:BB$129="P")*$C$62:$C$129)*$K$14+SUMPRODUCT(($B$62:$B$129="Garlic")*(BB$62:BB$129="G")*$C$62:$C$129)*$L$14+SUMPRODUCT(($B$62:$B$129="Garlic")*(BB$62:BB$129="H")*$C$62:$C$129)*$M$14+SUMPRODUCT(($B$62:$B$129="Garlic")*($BG$62:$BG$129=50)*$C$62:$C$129)*$H$14</f>
        <v/>
      </c>
      <c r="BC267" s="42">
        <f>SUMPRODUCT(($B$62:$B$129="Garlic")*(BC$62:BC$129="P")*$C$62:$C$129)*$K$14+SUMPRODUCT(($B$62:$B$129="Garlic")*(BC$62:BC$129="G")*$C$62:$C$129)*$L$14+SUMPRODUCT(($B$62:$B$129="Garlic")*(BC$62:BC$129="H")*$C$62:$C$129)*$M$14+SUMPRODUCT(($B$62:$B$129="Garlic")*($BG$62:$BG$129=51)*$C$62:$C$129)*$H$14</f>
        <v/>
      </c>
      <c r="BD267" s="42">
        <f>SUMPRODUCT(($B$62:$B$129="Garlic")*(BD$62:BD$129="P")*$C$62:$C$129)*$K$14+SUMPRODUCT(($B$62:$B$129="Garlic")*(BD$62:BD$129="G")*$C$62:$C$129)*$L$14+SUMPRODUCT(($B$62:$B$129="Garlic")*(BD$62:BD$129="H")*$C$62:$C$129)*$M$14+SUMPRODUCT(($B$62:$B$129="Garlic")*($BG$62:$BG$129=52)*$C$62:$C$129)*$H$14</f>
        <v/>
      </c>
    </row>
    <row r="268">
      <c r="A268" s="26" t="inlineStr">
        <is>
          <t>Packaging this week</t>
        </is>
      </c>
      <c r="B268" s="2" t="inlineStr">
        <is>
          <t>$</t>
        </is>
      </c>
      <c r="E268" s="42">
        <f>E252*$J$23+E258*$J$24</f>
        <v/>
      </c>
      <c r="F268" s="42">
        <f>F252*$J$23+F258*$J$24</f>
        <v/>
      </c>
      <c r="G268" s="42">
        <f>G252*$J$23+G258*$J$24</f>
        <v/>
      </c>
      <c r="H268" s="42">
        <f>H252*$J$23+H258*$J$24</f>
        <v/>
      </c>
      <c r="I268" s="42">
        <f>I252*$J$23+I258*$J$24</f>
        <v/>
      </c>
      <c r="J268" s="42">
        <f>J252*$J$23+J258*$J$24</f>
        <v/>
      </c>
      <c r="K268" s="42">
        <f>K252*$J$23+K258*$J$24</f>
        <v/>
      </c>
      <c r="L268" s="42">
        <f>L252*$J$23+L258*$J$24</f>
        <v/>
      </c>
      <c r="M268" s="42">
        <f>M252*$J$23+M258*$J$24</f>
        <v/>
      </c>
      <c r="N268" s="42">
        <f>N252*$J$23+N258*$J$24</f>
        <v/>
      </c>
      <c r="O268" s="42">
        <f>O252*$J$23+O258*$J$24</f>
        <v/>
      </c>
      <c r="P268" s="42">
        <f>P252*$J$23+P258*$J$24</f>
        <v/>
      </c>
      <c r="Q268" s="42">
        <f>Q252*$J$23+Q258*$J$24</f>
        <v/>
      </c>
      <c r="R268" s="42">
        <f>R252*$J$23+R258*$J$24</f>
        <v/>
      </c>
      <c r="S268" s="42">
        <f>S252*$J$23+S258*$J$24</f>
        <v/>
      </c>
      <c r="T268" s="42">
        <f>T252*$J$23+T258*$J$24</f>
        <v/>
      </c>
      <c r="U268" s="42">
        <f>U252*$J$23+U258*$J$24</f>
        <v/>
      </c>
      <c r="V268" s="42">
        <f>V252*$J$23+V258*$J$24</f>
        <v/>
      </c>
      <c r="W268" s="42">
        <f>W252*$J$23+W258*$J$24</f>
        <v/>
      </c>
      <c r="X268" s="42">
        <f>X252*$J$23+X258*$J$24</f>
        <v/>
      </c>
      <c r="Y268" s="42">
        <f>Y252*$J$23+Y258*$J$24</f>
        <v/>
      </c>
      <c r="Z268" s="42">
        <f>Z252*$J$23+Z258*$J$24</f>
        <v/>
      </c>
      <c r="AA268" s="42">
        <f>AA252*$J$23+AA258*$J$24</f>
        <v/>
      </c>
      <c r="AB268" s="42">
        <f>AB252*$J$23+AB258*$J$24</f>
        <v/>
      </c>
      <c r="AC268" s="42">
        <f>AC252*$J$23+AC258*$J$24</f>
        <v/>
      </c>
      <c r="AD268" s="42">
        <f>AD252*$J$23+AD258*$J$24</f>
        <v/>
      </c>
      <c r="AE268" s="42">
        <f>AE252*$J$23+AE258*$J$24</f>
        <v/>
      </c>
      <c r="AF268" s="42">
        <f>AF252*$J$23+AF258*$J$24</f>
        <v/>
      </c>
      <c r="AG268" s="42">
        <f>AG252*$J$23+AG258*$J$24</f>
        <v/>
      </c>
      <c r="AH268" s="42">
        <f>AH252*$J$23+AH258*$J$24</f>
        <v/>
      </c>
      <c r="AI268" s="42">
        <f>AI252*$J$23+AI258*$J$24</f>
        <v/>
      </c>
      <c r="AJ268" s="42">
        <f>AJ252*$J$23+AJ258*$J$24</f>
        <v/>
      </c>
      <c r="AK268" s="42">
        <f>AK252*$J$23+AK258*$J$24</f>
        <v/>
      </c>
      <c r="AL268" s="42">
        <f>AL252*$J$23+AL258*$J$24</f>
        <v/>
      </c>
      <c r="AM268" s="42">
        <f>AM252*$J$23+AM258*$J$24</f>
        <v/>
      </c>
      <c r="AN268" s="42">
        <f>AN252*$J$23+AN258*$J$24</f>
        <v/>
      </c>
      <c r="AO268" s="42">
        <f>AO252*$J$23+AO258*$J$24</f>
        <v/>
      </c>
      <c r="AP268" s="42">
        <f>AP252*$J$23+AP258*$J$24</f>
        <v/>
      </c>
      <c r="AQ268" s="42">
        <f>AQ252*$J$23+AQ258*$J$24</f>
        <v/>
      </c>
      <c r="AR268" s="42">
        <f>AR252*$J$23+AR258*$J$24</f>
        <v/>
      </c>
      <c r="AS268" s="42">
        <f>AS252*$J$23+AS258*$J$24</f>
        <v/>
      </c>
      <c r="AT268" s="42">
        <f>AT252*$J$23+AT258*$J$24</f>
        <v/>
      </c>
      <c r="AU268" s="42">
        <f>AU252*$J$23+AU258*$J$24</f>
        <v/>
      </c>
      <c r="AV268" s="42">
        <f>AV252*$J$23+AV258*$J$24</f>
        <v/>
      </c>
      <c r="AW268" s="42">
        <f>AW252*$J$23+AW258*$J$24</f>
        <v/>
      </c>
      <c r="AX268" s="42">
        <f>AX252*$J$23+AX258*$J$24</f>
        <v/>
      </c>
      <c r="AY268" s="42">
        <f>AY252*$J$23+AY258*$J$24</f>
        <v/>
      </c>
      <c r="AZ268" s="42">
        <f>AZ252*$J$23+AZ258*$J$24</f>
        <v/>
      </c>
      <c r="BA268" s="42">
        <f>BA252*$J$23+BA258*$J$24</f>
        <v/>
      </c>
      <c r="BB268" s="42">
        <f>BB252*$J$23+BB258*$J$24</f>
        <v/>
      </c>
      <c r="BC268" s="42">
        <f>BC252*$J$23+BC258*$J$24</f>
        <v/>
      </c>
      <c r="BD268" s="42">
        <f>BD252*$J$23+BD258*$J$24</f>
        <v/>
      </c>
    </row>
    <row r="269">
      <c r="A269" s="4" t="inlineStr">
        <is>
          <t>ROOM OCCUPANCY</t>
        </is>
      </c>
      <c r="B269" s="2" t="inlineStr">
        <is>
          <t>m3</t>
        </is>
      </c>
      <c r="E269" s="52">
        <f>(E247+E246)*$D$14</f>
        <v/>
      </c>
      <c r="F269" s="52">
        <f>(F247+F246)*$D$14</f>
        <v/>
      </c>
      <c r="G269" s="52">
        <f>(G247+G246)*$D$14</f>
        <v/>
      </c>
      <c r="H269" s="52">
        <f>(H247+H246)*$D$14</f>
        <v/>
      </c>
      <c r="I269" s="52">
        <f>(I247+I246)*$D$14</f>
        <v/>
      </c>
      <c r="J269" s="52">
        <f>(J247+J246)*$D$14</f>
        <v/>
      </c>
      <c r="K269" s="52">
        <f>(K247+K246)*$D$14</f>
        <v/>
      </c>
      <c r="L269" s="52">
        <f>(L247+L246)*$D$14</f>
        <v/>
      </c>
      <c r="M269" s="52">
        <f>(M247+M246)*$D$14</f>
        <v/>
      </c>
      <c r="N269" s="52">
        <f>(N247+N246)*$D$14</f>
        <v/>
      </c>
      <c r="O269" s="52">
        <f>(O247+O246)*$D$14</f>
        <v/>
      </c>
      <c r="P269" s="52">
        <f>(P247+P246)*$D$14</f>
        <v/>
      </c>
      <c r="Q269" s="52">
        <f>(Q247+Q246)*$D$14</f>
        <v/>
      </c>
      <c r="R269" s="52">
        <f>(R247+R246)*$D$14</f>
        <v/>
      </c>
      <c r="S269" s="52">
        <f>(S247+S246)*$D$14</f>
        <v/>
      </c>
      <c r="T269" s="52">
        <f>(T247+T246)*$D$14</f>
        <v/>
      </c>
      <c r="U269" s="52">
        <f>(U247+U246)*$D$14</f>
        <v/>
      </c>
      <c r="V269" s="52">
        <f>(V247+V246)*$D$14</f>
        <v/>
      </c>
      <c r="W269" s="52">
        <f>(W247+W246)*$D$14</f>
        <v/>
      </c>
      <c r="X269" s="52">
        <f>(X247+X246)*$D$14</f>
        <v/>
      </c>
      <c r="Y269" s="52">
        <f>(Y247+Y246)*$D$14</f>
        <v/>
      </c>
      <c r="Z269" s="52">
        <f>(Z247+Z246)*$D$14</f>
        <v/>
      </c>
      <c r="AA269" s="52">
        <f>(AA247+AA246)*$D$14</f>
        <v/>
      </c>
      <c r="AB269" s="52">
        <f>(AB247+AB246)*$D$14</f>
        <v/>
      </c>
      <c r="AC269" s="52">
        <f>(AC247+AC246)*$D$14</f>
        <v/>
      </c>
      <c r="AD269" s="52">
        <f>(AD247+AD246)*$D$14</f>
        <v/>
      </c>
      <c r="AE269" s="52">
        <f>(AE247+AE246)*$D$14</f>
        <v/>
      </c>
      <c r="AF269" s="52">
        <f>(AF247+AF246)*$D$14</f>
        <v/>
      </c>
      <c r="AG269" s="52">
        <f>(AG247+AG246)*$D$14</f>
        <v/>
      </c>
      <c r="AH269" s="52">
        <f>(AH247+AH246)*$D$14</f>
        <v/>
      </c>
      <c r="AI269" s="52">
        <f>(AI247+AI246)*$D$14</f>
        <v/>
      </c>
      <c r="AJ269" s="52">
        <f>(AJ247+AJ246)*$D$14</f>
        <v/>
      </c>
      <c r="AK269" s="52">
        <f>(AK247+AK246)*$D$14</f>
        <v/>
      </c>
      <c r="AL269" s="52">
        <f>(AL247+AL246)*$D$14</f>
        <v/>
      </c>
      <c r="AM269" s="52">
        <f>(AM247+AM246)*$D$14</f>
        <v/>
      </c>
      <c r="AN269" s="52">
        <f>(AN247+AN246)*$D$14</f>
        <v/>
      </c>
      <c r="AO269" s="52">
        <f>(AO247+AO246)*$D$14</f>
        <v/>
      </c>
      <c r="AP269" s="52">
        <f>(AP247+AP246)*$D$14</f>
        <v/>
      </c>
      <c r="AQ269" s="52">
        <f>(AQ247+AQ246)*$D$14</f>
        <v/>
      </c>
      <c r="AR269" s="52">
        <f>(AR247+AR246)*$D$14</f>
        <v/>
      </c>
      <c r="AS269" s="52">
        <f>(AS247+AS246)*$D$14</f>
        <v/>
      </c>
      <c r="AT269" s="52">
        <f>(AT247+AT246)*$D$14</f>
        <v/>
      </c>
      <c r="AU269" s="52">
        <f>(AU247+AU246)*$D$14</f>
        <v/>
      </c>
      <c r="AV269" s="52">
        <f>(AV247+AV246)*$D$14</f>
        <v/>
      </c>
      <c r="AW269" s="52">
        <f>(AW247+AW246)*$D$14</f>
        <v/>
      </c>
      <c r="AX269" s="52">
        <f>(AX247+AX246)*$D$14</f>
        <v/>
      </c>
      <c r="AY269" s="52">
        <f>(AY247+AY246)*$D$14</f>
        <v/>
      </c>
      <c r="AZ269" s="52">
        <f>(AZ247+AZ246)*$D$14</f>
        <v/>
      </c>
      <c r="BA269" s="52">
        <f>(BA247+BA246)*$D$14</f>
        <v/>
      </c>
      <c r="BB269" s="52">
        <f>(BB247+BB246)*$D$14</f>
        <v/>
      </c>
      <c r="BC269" s="52">
        <f>(BC247+BC246)*$D$14</f>
        <v/>
      </c>
      <c r="BD269" s="52">
        <f>(BD247+BD246)*$D$14</f>
        <v/>
      </c>
    </row>
    <row r="271">
      <c r="A271" s="3" t="inlineStr">
        <is>
          <t>6 — THE TWO STORES</t>
        </is>
      </c>
    </row>
    <row r="272">
      <c r="A272" s="30" t="inlineStr">
        <is>
          <t>Week</t>
        </is>
      </c>
      <c r="B272" s="38" t="inlineStr">
        <is>
          <t>m3</t>
        </is>
      </c>
      <c r="E272" s="31" t="n">
        <v>1</v>
      </c>
      <c r="F272" s="31" t="n">
        <v>2</v>
      </c>
      <c r="G272" s="31" t="n">
        <v>3</v>
      </c>
      <c r="H272" s="31" t="n">
        <v>4</v>
      </c>
      <c r="I272" s="31" t="n">
        <v>5</v>
      </c>
      <c r="J272" s="31" t="n">
        <v>6</v>
      </c>
      <c r="K272" s="31" t="n">
        <v>7</v>
      </c>
      <c r="L272" s="31" t="n">
        <v>8</v>
      </c>
      <c r="M272" s="31" t="n">
        <v>9</v>
      </c>
      <c r="N272" s="31" t="n">
        <v>10</v>
      </c>
      <c r="O272" s="31" t="n">
        <v>11</v>
      </c>
      <c r="P272" s="31" t="n">
        <v>12</v>
      </c>
      <c r="Q272" s="31" t="n">
        <v>13</v>
      </c>
      <c r="R272" s="31" t="n">
        <v>14</v>
      </c>
      <c r="S272" s="31" t="n">
        <v>15</v>
      </c>
      <c r="T272" s="31" t="n">
        <v>16</v>
      </c>
      <c r="U272" s="31" t="n">
        <v>17</v>
      </c>
      <c r="V272" s="31" t="n">
        <v>18</v>
      </c>
      <c r="W272" s="31" t="n">
        <v>19</v>
      </c>
      <c r="X272" s="31" t="n">
        <v>20</v>
      </c>
      <c r="Y272" s="31" t="n">
        <v>21</v>
      </c>
      <c r="Z272" s="31" t="n">
        <v>22</v>
      </c>
      <c r="AA272" s="31" t="n">
        <v>23</v>
      </c>
      <c r="AB272" s="31" t="n">
        <v>24</v>
      </c>
      <c r="AC272" s="31" t="n">
        <v>25</v>
      </c>
      <c r="AD272" s="31" t="n">
        <v>26</v>
      </c>
      <c r="AE272" s="31" t="n">
        <v>27</v>
      </c>
      <c r="AF272" s="31" t="n">
        <v>28</v>
      </c>
      <c r="AG272" s="31" t="n">
        <v>29</v>
      </c>
      <c r="AH272" s="31" t="n">
        <v>30</v>
      </c>
      <c r="AI272" s="31" t="n">
        <v>31</v>
      </c>
      <c r="AJ272" s="31" t="n">
        <v>32</v>
      </c>
      <c r="AK272" s="31" t="n">
        <v>33</v>
      </c>
      <c r="AL272" s="31" t="n">
        <v>34</v>
      </c>
      <c r="AM272" s="31" t="n">
        <v>35</v>
      </c>
      <c r="AN272" s="31" t="n">
        <v>36</v>
      </c>
      <c r="AO272" s="31" t="n">
        <v>37</v>
      </c>
      <c r="AP272" s="31" t="n">
        <v>38</v>
      </c>
      <c r="AQ272" s="31" t="n">
        <v>39</v>
      </c>
      <c r="AR272" s="31" t="n">
        <v>40</v>
      </c>
      <c r="AS272" s="31" t="n">
        <v>41</v>
      </c>
      <c r="AT272" s="31" t="n">
        <v>42</v>
      </c>
      <c r="AU272" s="31" t="n">
        <v>43</v>
      </c>
      <c r="AV272" s="31" t="n">
        <v>44</v>
      </c>
      <c r="AW272" s="31" t="n">
        <v>45</v>
      </c>
      <c r="AX272" s="31" t="n">
        <v>46</v>
      </c>
      <c r="AY272" s="31" t="n">
        <v>47</v>
      </c>
      <c r="AZ272" s="31" t="n">
        <v>48</v>
      </c>
      <c r="BA272" s="31" t="n">
        <v>49</v>
      </c>
      <c r="BB272" s="31" t="n">
        <v>50</v>
      </c>
      <c r="BC272" s="31" t="n">
        <v>51</v>
      </c>
      <c r="BD272" s="31" t="n">
        <v>52</v>
      </c>
    </row>
    <row r="273">
      <c r="A273" s="39" t="inlineStr">
        <is>
          <t>COLD STORE</t>
        </is>
      </c>
      <c r="B273" s="2" t="inlineStr">
        <is>
          <t>used</t>
        </is>
      </c>
      <c r="E273" s="40">
        <f>E213+E242</f>
        <v/>
      </c>
      <c r="F273" s="40">
        <f>F213+F242</f>
        <v/>
      </c>
      <c r="G273" s="40">
        <f>G213+G242</f>
        <v/>
      </c>
      <c r="H273" s="40">
        <f>H213+H242</f>
        <v/>
      </c>
      <c r="I273" s="40">
        <f>I213+I242</f>
        <v/>
      </c>
      <c r="J273" s="40">
        <f>J213+J242</f>
        <v/>
      </c>
      <c r="K273" s="40">
        <f>K213+K242</f>
        <v/>
      </c>
      <c r="L273" s="40">
        <f>L213+L242</f>
        <v/>
      </c>
      <c r="M273" s="40">
        <f>M213+M242</f>
        <v/>
      </c>
      <c r="N273" s="40">
        <f>N213+N242</f>
        <v/>
      </c>
      <c r="O273" s="40">
        <f>O213+O242</f>
        <v/>
      </c>
      <c r="P273" s="40">
        <f>P213+P242</f>
        <v/>
      </c>
      <c r="Q273" s="40">
        <f>Q213+Q242</f>
        <v/>
      </c>
      <c r="R273" s="40">
        <f>R213+R242</f>
        <v/>
      </c>
      <c r="S273" s="40">
        <f>S213+S242</f>
        <v/>
      </c>
      <c r="T273" s="40">
        <f>T213+T242</f>
        <v/>
      </c>
      <c r="U273" s="40">
        <f>U213+U242</f>
        <v/>
      </c>
      <c r="V273" s="40">
        <f>V213+V242</f>
        <v/>
      </c>
      <c r="W273" s="40">
        <f>W213+W242</f>
        <v/>
      </c>
      <c r="X273" s="40">
        <f>X213+X242</f>
        <v/>
      </c>
      <c r="Y273" s="40">
        <f>Y213+Y242</f>
        <v/>
      </c>
      <c r="Z273" s="40">
        <f>Z213+Z242</f>
        <v/>
      </c>
      <c r="AA273" s="40">
        <f>AA213+AA242</f>
        <v/>
      </c>
      <c r="AB273" s="40">
        <f>AB213+AB242</f>
        <v/>
      </c>
      <c r="AC273" s="40">
        <f>AC213+AC242</f>
        <v/>
      </c>
      <c r="AD273" s="40">
        <f>AD213+AD242</f>
        <v/>
      </c>
      <c r="AE273" s="40">
        <f>AE213+AE242</f>
        <v/>
      </c>
      <c r="AF273" s="40">
        <f>AF213+AF242</f>
        <v/>
      </c>
      <c r="AG273" s="40">
        <f>AG213+AG242</f>
        <v/>
      </c>
      <c r="AH273" s="40">
        <f>AH213+AH242</f>
        <v/>
      </c>
      <c r="AI273" s="40">
        <f>AI213+AI242</f>
        <v/>
      </c>
      <c r="AJ273" s="40">
        <f>AJ213+AJ242</f>
        <v/>
      </c>
      <c r="AK273" s="40">
        <f>AK213+AK242</f>
        <v/>
      </c>
      <c r="AL273" s="40">
        <f>AL213+AL242</f>
        <v/>
      </c>
      <c r="AM273" s="40">
        <f>AM213+AM242</f>
        <v/>
      </c>
      <c r="AN273" s="40">
        <f>AN213+AN242</f>
        <v/>
      </c>
      <c r="AO273" s="40">
        <f>AO213+AO242</f>
        <v/>
      </c>
      <c r="AP273" s="40">
        <f>AP213+AP242</f>
        <v/>
      </c>
      <c r="AQ273" s="40">
        <f>AQ213+AQ242</f>
        <v/>
      </c>
      <c r="AR273" s="40">
        <f>AR213+AR242</f>
        <v/>
      </c>
      <c r="AS273" s="40">
        <f>AS213+AS242</f>
        <v/>
      </c>
      <c r="AT273" s="40">
        <f>AT213+AT242</f>
        <v/>
      </c>
      <c r="AU273" s="40">
        <f>AU213+AU242</f>
        <v/>
      </c>
      <c r="AV273" s="40">
        <f>AV213+AV242</f>
        <v/>
      </c>
      <c r="AW273" s="40">
        <f>AW213+AW242</f>
        <v/>
      </c>
      <c r="AX273" s="40">
        <f>AX213+AX242</f>
        <v/>
      </c>
      <c r="AY273" s="40">
        <f>AY213+AY242</f>
        <v/>
      </c>
      <c r="AZ273" s="40">
        <f>AZ213+AZ242</f>
        <v/>
      </c>
      <c r="BA273" s="40">
        <f>BA213+BA242</f>
        <v/>
      </c>
      <c r="BB273" s="40">
        <f>BB213+BB242</f>
        <v/>
      </c>
      <c r="BC273" s="40">
        <f>BC213+BC242</f>
        <v/>
      </c>
      <c r="BD273" s="40">
        <f>BD213+BD242</f>
        <v/>
      </c>
    </row>
    <row r="274">
      <c r="A274" s="4" t="inlineStr"/>
      <c r="E274" s="41" t="inlineStr">
        <is>
          <t>&lt;=</t>
        </is>
      </c>
      <c r="F274" s="41" t="inlineStr">
        <is>
          <t>&lt;=</t>
        </is>
      </c>
      <c r="G274" s="41" t="inlineStr">
        <is>
          <t>&lt;=</t>
        </is>
      </c>
      <c r="H274" s="41" t="inlineStr">
        <is>
          <t>&lt;=</t>
        </is>
      </c>
      <c r="I274" s="41" t="inlineStr">
        <is>
          <t>&lt;=</t>
        </is>
      </c>
      <c r="J274" s="41" t="inlineStr">
        <is>
          <t>&lt;=</t>
        </is>
      </c>
      <c r="K274" s="41" t="inlineStr">
        <is>
          <t>&lt;=</t>
        </is>
      </c>
      <c r="L274" s="41" t="inlineStr">
        <is>
          <t>&lt;=</t>
        </is>
      </c>
      <c r="M274" s="41" t="inlineStr">
        <is>
          <t>&lt;=</t>
        </is>
      </c>
      <c r="N274" s="41" t="inlineStr">
        <is>
          <t>&lt;=</t>
        </is>
      </c>
      <c r="O274" s="41" t="inlineStr">
        <is>
          <t>&lt;=</t>
        </is>
      </c>
      <c r="P274" s="41" t="inlineStr">
        <is>
          <t>&lt;=</t>
        </is>
      </c>
      <c r="Q274" s="41" t="inlineStr">
        <is>
          <t>&lt;=</t>
        </is>
      </c>
      <c r="R274" s="41" t="inlineStr">
        <is>
          <t>&lt;=</t>
        </is>
      </c>
      <c r="S274" s="41" t="inlineStr">
        <is>
          <t>&lt;=</t>
        </is>
      </c>
      <c r="T274" s="41" t="inlineStr">
        <is>
          <t>&lt;=</t>
        </is>
      </c>
      <c r="U274" s="41" t="inlineStr">
        <is>
          <t>&lt;=</t>
        </is>
      </c>
      <c r="V274" s="41" t="inlineStr">
        <is>
          <t>&lt;=</t>
        </is>
      </c>
      <c r="W274" s="41" t="inlineStr">
        <is>
          <t>&lt;=</t>
        </is>
      </c>
      <c r="X274" s="41" t="inlineStr">
        <is>
          <t>&lt;=</t>
        </is>
      </c>
      <c r="Y274" s="41" t="inlineStr">
        <is>
          <t>&lt;=</t>
        </is>
      </c>
      <c r="Z274" s="41" t="inlineStr">
        <is>
          <t>&lt;=</t>
        </is>
      </c>
      <c r="AA274" s="41" t="inlineStr">
        <is>
          <t>&lt;=</t>
        </is>
      </c>
      <c r="AB274" s="41" t="inlineStr">
        <is>
          <t>&lt;=</t>
        </is>
      </c>
      <c r="AC274" s="41" t="inlineStr">
        <is>
          <t>&lt;=</t>
        </is>
      </c>
      <c r="AD274" s="41" t="inlineStr">
        <is>
          <t>&lt;=</t>
        </is>
      </c>
      <c r="AE274" s="41" t="inlineStr">
        <is>
          <t>&lt;=</t>
        </is>
      </c>
      <c r="AF274" s="41" t="inlineStr">
        <is>
          <t>&lt;=</t>
        </is>
      </c>
      <c r="AG274" s="41" t="inlineStr">
        <is>
          <t>&lt;=</t>
        </is>
      </c>
      <c r="AH274" s="41" t="inlineStr">
        <is>
          <t>&lt;=</t>
        </is>
      </c>
      <c r="AI274" s="41" t="inlineStr">
        <is>
          <t>&lt;=</t>
        </is>
      </c>
      <c r="AJ274" s="41" t="inlineStr">
        <is>
          <t>&lt;=</t>
        </is>
      </c>
      <c r="AK274" s="41" t="inlineStr">
        <is>
          <t>&lt;=</t>
        </is>
      </c>
      <c r="AL274" s="41" t="inlineStr">
        <is>
          <t>&lt;=</t>
        </is>
      </c>
      <c r="AM274" s="41" t="inlineStr">
        <is>
          <t>&lt;=</t>
        </is>
      </c>
      <c r="AN274" s="41" t="inlineStr">
        <is>
          <t>&lt;=</t>
        </is>
      </c>
      <c r="AO274" s="41" t="inlineStr">
        <is>
          <t>&lt;=</t>
        </is>
      </c>
      <c r="AP274" s="41" t="inlineStr">
        <is>
          <t>&lt;=</t>
        </is>
      </c>
      <c r="AQ274" s="41" t="inlineStr">
        <is>
          <t>&lt;=</t>
        </is>
      </c>
      <c r="AR274" s="41" t="inlineStr">
        <is>
          <t>&lt;=</t>
        </is>
      </c>
      <c r="AS274" s="41" t="inlineStr">
        <is>
          <t>&lt;=</t>
        </is>
      </c>
      <c r="AT274" s="41" t="inlineStr">
        <is>
          <t>&lt;=</t>
        </is>
      </c>
      <c r="AU274" s="41" t="inlineStr">
        <is>
          <t>&lt;=</t>
        </is>
      </c>
      <c r="AV274" s="41" t="inlineStr">
        <is>
          <t>&lt;=</t>
        </is>
      </c>
      <c r="AW274" s="41" t="inlineStr">
        <is>
          <t>&lt;=</t>
        </is>
      </c>
      <c r="AX274" s="41" t="inlineStr">
        <is>
          <t>&lt;=</t>
        </is>
      </c>
      <c r="AY274" s="41" t="inlineStr">
        <is>
          <t>&lt;=</t>
        </is>
      </c>
      <c r="AZ274" s="41" t="inlineStr">
        <is>
          <t>&lt;=</t>
        </is>
      </c>
      <c r="BA274" s="41" t="inlineStr">
        <is>
          <t>&lt;=</t>
        </is>
      </c>
      <c r="BB274" s="41" t="inlineStr">
        <is>
          <t>&lt;=</t>
        </is>
      </c>
      <c r="BC274" s="41" t="inlineStr">
        <is>
          <t>&lt;=</t>
        </is>
      </c>
      <c r="BD274" s="41" t="inlineStr">
        <is>
          <t>&lt;=</t>
        </is>
      </c>
    </row>
    <row r="275">
      <c r="A275" s="39" t="inlineStr">
        <is>
          <t xml:space="preserve">  limit</t>
        </is>
      </c>
      <c r="B275" s="2" t="inlineStr">
        <is>
          <t>cap</t>
        </is>
      </c>
      <c r="E275" s="40">
        <f>$B$7</f>
        <v/>
      </c>
      <c r="F275" s="40">
        <f>$B$7</f>
        <v/>
      </c>
      <c r="G275" s="40">
        <f>$B$7</f>
        <v/>
      </c>
      <c r="H275" s="40">
        <f>$B$7</f>
        <v/>
      </c>
      <c r="I275" s="40">
        <f>$B$7</f>
        <v/>
      </c>
      <c r="J275" s="40">
        <f>$B$7</f>
        <v/>
      </c>
      <c r="K275" s="40">
        <f>$B$7</f>
        <v/>
      </c>
      <c r="L275" s="40">
        <f>$B$7</f>
        <v/>
      </c>
      <c r="M275" s="40">
        <f>$B$7</f>
        <v/>
      </c>
      <c r="N275" s="40">
        <f>$B$7</f>
        <v/>
      </c>
      <c r="O275" s="40">
        <f>$B$7</f>
        <v/>
      </c>
      <c r="P275" s="40">
        <f>$B$7</f>
        <v/>
      </c>
      <c r="Q275" s="40">
        <f>$B$7</f>
        <v/>
      </c>
      <c r="R275" s="40">
        <f>$B$7</f>
        <v/>
      </c>
      <c r="S275" s="40">
        <f>$B$7</f>
        <v/>
      </c>
      <c r="T275" s="40">
        <f>$B$7</f>
        <v/>
      </c>
      <c r="U275" s="40">
        <f>$B$7</f>
        <v/>
      </c>
      <c r="V275" s="40">
        <f>$B$7</f>
        <v/>
      </c>
      <c r="W275" s="40">
        <f>$B$7</f>
        <v/>
      </c>
      <c r="X275" s="40">
        <f>$B$7</f>
        <v/>
      </c>
      <c r="Y275" s="40">
        <f>$B$7</f>
        <v/>
      </c>
      <c r="Z275" s="40">
        <f>$B$7</f>
        <v/>
      </c>
      <c r="AA275" s="40">
        <f>$B$7</f>
        <v/>
      </c>
      <c r="AB275" s="40">
        <f>$B$7</f>
        <v/>
      </c>
      <c r="AC275" s="40">
        <f>$B$7</f>
        <v/>
      </c>
      <c r="AD275" s="40">
        <f>$B$7</f>
        <v/>
      </c>
      <c r="AE275" s="40">
        <f>$B$7</f>
        <v/>
      </c>
      <c r="AF275" s="40">
        <f>$B$7</f>
        <v/>
      </c>
      <c r="AG275" s="40">
        <f>$B$7</f>
        <v/>
      </c>
      <c r="AH275" s="40">
        <f>$B$7</f>
        <v/>
      </c>
      <c r="AI275" s="40">
        <f>$B$7</f>
        <v/>
      </c>
      <c r="AJ275" s="40">
        <f>$B$7</f>
        <v/>
      </c>
      <c r="AK275" s="40">
        <f>$B$7</f>
        <v/>
      </c>
      <c r="AL275" s="40">
        <f>$B$7</f>
        <v/>
      </c>
      <c r="AM275" s="40">
        <f>$B$7</f>
        <v/>
      </c>
      <c r="AN275" s="40">
        <f>$B$7</f>
        <v/>
      </c>
      <c r="AO275" s="40">
        <f>$B$7</f>
        <v/>
      </c>
      <c r="AP275" s="40">
        <f>$B$7</f>
        <v/>
      </c>
      <c r="AQ275" s="40">
        <f>$B$7</f>
        <v/>
      </c>
      <c r="AR275" s="40">
        <f>$B$7</f>
        <v/>
      </c>
      <c r="AS275" s="40">
        <f>$B$7</f>
        <v/>
      </c>
      <c r="AT275" s="40">
        <f>$B$7</f>
        <v/>
      </c>
      <c r="AU275" s="40">
        <f>$B$7</f>
        <v/>
      </c>
      <c r="AV275" s="40">
        <f>$B$7</f>
        <v/>
      </c>
      <c r="AW275" s="40">
        <f>$B$7</f>
        <v/>
      </c>
      <c r="AX275" s="40">
        <f>$B$7</f>
        <v/>
      </c>
      <c r="AY275" s="40">
        <f>$B$7</f>
        <v/>
      </c>
      <c r="AZ275" s="40">
        <f>$B$7</f>
        <v/>
      </c>
      <c r="BA275" s="40">
        <f>$B$7</f>
        <v/>
      </c>
      <c r="BB275" s="40">
        <f>$B$7</f>
        <v/>
      </c>
      <c r="BC275" s="40">
        <f>$B$7</f>
        <v/>
      </c>
      <c r="BD275" s="40">
        <f>$B$7</f>
        <v/>
      </c>
    </row>
    <row r="276">
      <c r="A276" s="28" t="inlineStr">
        <is>
          <t xml:space="preserve">  room left</t>
        </is>
      </c>
      <c r="E276" s="40">
        <f>$B$7-E273</f>
        <v/>
      </c>
      <c r="F276" s="40">
        <f>$B$7-F273</f>
        <v/>
      </c>
      <c r="G276" s="40">
        <f>$B$7-G273</f>
        <v/>
      </c>
      <c r="H276" s="40">
        <f>$B$7-H273</f>
        <v/>
      </c>
      <c r="I276" s="40">
        <f>$B$7-I273</f>
        <v/>
      </c>
      <c r="J276" s="40">
        <f>$B$7-J273</f>
        <v/>
      </c>
      <c r="K276" s="40">
        <f>$B$7-K273</f>
        <v/>
      </c>
      <c r="L276" s="40">
        <f>$B$7-L273</f>
        <v/>
      </c>
      <c r="M276" s="40">
        <f>$B$7-M273</f>
        <v/>
      </c>
      <c r="N276" s="40">
        <f>$B$7-N273</f>
        <v/>
      </c>
      <c r="O276" s="40">
        <f>$B$7-O273</f>
        <v/>
      </c>
      <c r="P276" s="40">
        <f>$B$7-P273</f>
        <v/>
      </c>
      <c r="Q276" s="40">
        <f>$B$7-Q273</f>
        <v/>
      </c>
      <c r="R276" s="40">
        <f>$B$7-R273</f>
        <v/>
      </c>
      <c r="S276" s="40">
        <f>$B$7-S273</f>
        <v/>
      </c>
      <c r="T276" s="40">
        <f>$B$7-T273</f>
        <v/>
      </c>
      <c r="U276" s="40">
        <f>$B$7-U273</f>
        <v/>
      </c>
      <c r="V276" s="40">
        <f>$B$7-V273</f>
        <v/>
      </c>
      <c r="W276" s="40">
        <f>$B$7-W273</f>
        <v/>
      </c>
      <c r="X276" s="40">
        <f>$B$7-X273</f>
        <v/>
      </c>
      <c r="Y276" s="40">
        <f>$B$7-Y273</f>
        <v/>
      </c>
      <c r="Z276" s="40">
        <f>$B$7-Z273</f>
        <v/>
      </c>
      <c r="AA276" s="40">
        <f>$B$7-AA273</f>
        <v/>
      </c>
      <c r="AB276" s="40">
        <f>$B$7-AB273</f>
        <v/>
      </c>
      <c r="AC276" s="40">
        <f>$B$7-AC273</f>
        <v/>
      </c>
      <c r="AD276" s="40">
        <f>$B$7-AD273</f>
        <v/>
      </c>
      <c r="AE276" s="40">
        <f>$B$7-AE273</f>
        <v/>
      </c>
      <c r="AF276" s="40">
        <f>$B$7-AF273</f>
        <v/>
      </c>
      <c r="AG276" s="40">
        <f>$B$7-AG273</f>
        <v/>
      </c>
      <c r="AH276" s="40">
        <f>$B$7-AH273</f>
        <v/>
      </c>
      <c r="AI276" s="40">
        <f>$B$7-AI273</f>
        <v/>
      </c>
      <c r="AJ276" s="40">
        <f>$B$7-AJ273</f>
        <v/>
      </c>
      <c r="AK276" s="40">
        <f>$B$7-AK273</f>
        <v/>
      </c>
      <c r="AL276" s="40">
        <f>$B$7-AL273</f>
        <v/>
      </c>
      <c r="AM276" s="40">
        <f>$B$7-AM273</f>
        <v/>
      </c>
      <c r="AN276" s="40">
        <f>$B$7-AN273</f>
        <v/>
      </c>
      <c r="AO276" s="40">
        <f>$B$7-AO273</f>
        <v/>
      </c>
      <c r="AP276" s="40">
        <f>$B$7-AP273</f>
        <v/>
      </c>
      <c r="AQ276" s="40">
        <f>$B$7-AQ273</f>
        <v/>
      </c>
      <c r="AR276" s="40">
        <f>$B$7-AR273</f>
        <v/>
      </c>
      <c r="AS276" s="40">
        <f>$B$7-AS273</f>
        <v/>
      </c>
      <c r="AT276" s="40">
        <f>$B$7-AT273</f>
        <v/>
      </c>
      <c r="AU276" s="40">
        <f>$B$7-AU273</f>
        <v/>
      </c>
      <c r="AV276" s="40">
        <f>$B$7-AV273</f>
        <v/>
      </c>
      <c r="AW276" s="40">
        <f>$B$7-AW273</f>
        <v/>
      </c>
      <c r="AX276" s="40">
        <f>$B$7-AX273</f>
        <v/>
      </c>
      <c r="AY276" s="40">
        <f>$B$7-AY273</f>
        <v/>
      </c>
      <c r="AZ276" s="40">
        <f>$B$7-AZ273</f>
        <v/>
      </c>
      <c r="BA276" s="40">
        <f>$B$7-BA273</f>
        <v/>
      </c>
      <c r="BB276" s="40">
        <f>$B$7-BB273</f>
        <v/>
      </c>
      <c r="BC276" s="40">
        <f>$B$7-BC273</f>
        <v/>
      </c>
      <c r="BD276" s="40">
        <f>$B$7-BD273</f>
        <v/>
      </c>
    </row>
    <row r="277">
      <c r="A277" s="2" t="inlineStr">
        <is>
          <t xml:space="preserve">   Holds Spinach, Kale.</t>
        </is>
      </c>
    </row>
    <row r="279">
      <c r="A279" s="30" t="inlineStr">
        <is>
          <t>Week</t>
        </is>
      </c>
      <c r="B279" s="38" t="inlineStr">
        <is>
          <t>m3</t>
        </is>
      </c>
      <c r="E279" s="31" t="n">
        <v>1</v>
      </c>
      <c r="F279" s="31" t="n">
        <v>2</v>
      </c>
      <c r="G279" s="31" t="n">
        <v>3</v>
      </c>
      <c r="H279" s="31" t="n">
        <v>4</v>
      </c>
      <c r="I279" s="31" t="n">
        <v>5</v>
      </c>
      <c r="J279" s="31" t="n">
        <v>6</v>
      </c>
      <c r="K279" s="31" t="n">
        <v>7</v>
      </c>
      <c r="L279" s="31" t="n">
        <v>8</v>
      </c>
      <c r="M279" s="31" t="n">
        <v>9</v>
      </c>
      <c r="N279" s="31" t="n">
        <v>10</v>
      </c>
      <c r="O279" s="31" t="n">
        <v>11</v>
      </c>
      <c r="P279" s="31" t="n">
        <v>12</v>
      </c>
      <c r="Q279" s="31" t="n">
        <v>13</v>
      </c>
      <c r="R279" s="31" t="n">
        <v>14</v>
      </c>
      <c r="S279" s="31" t="n">
        <v>15</v>
      </c>
      <c r="T279" s="31" t="n">
        <v>16</v>
      </c>
      <c r="U279" s="31" t="n">
        <v>17</v>
      </c>
      <c r="V279" s="31" t="n">
        <v>18</v>
      </c>
      <c r="W279" s="31" t="n">
        <v>19</v>
      </c>
      <c r="X279" s="31" t="n">
        <v>20</v>
      </c>
      <c r="Y279" s="31" t="n">
        <v>21</v>
      </c>
      <c r="Z279" s="31" t="n">
        <v>22</v>
      </c>
      <c r="AA279" s="31" t="n">
        <v>23</v>
      </c>
      <c r="AB279" s="31" t="n">
        <v>24</v>
      </c>
      <c r="AC279" s="31" t="n">
        <v>25</v>
      </c>
      <c r="AD279" s="31" t="n">
        <v>26</v>
      </c>
      <c r="AE279" s="31" t="n">
        <v>27</v>
      </c>
      <c r="AF279" s="31" t="n">
        <v>28</v>
      </c>
      <c r="AG279" s="31" t="n">
        <v>29</v>
      </c>
      <c r="AH279" s="31" t="n">
        <v>30</v>
      </c>
      <c r="AI279" s="31" t="n">
        <v>31</v>
      </c>
      <c r="AJ279" s="31" t="n">
        <v>32</v>
      </c>
      <c r="AK279" s="31" t="n">
        <v>33</v>
      </c>
      <c r="AL279" s="31" t="n">
        <v>34</v>
      </c>
      <c r="AM279" s="31" t="n">
        <v>35</v>
      </c>
      <c r="AN279" s="31" t="n">
        <v>36</v>
      </c>
      <c r="AO279" s="31" t="n">
        <v>37</v>
      </c>
      <c r="AP279" s="31" t="n">
        <v>38</v>
      </c>
      <c r="AQ279" s="31" t="n">
        <v>39</v>
      </c>
      <c r="AR279" s="31" t="n">
        <v>40</v>
      </c>
      <c r="AS279" s="31" t="n">
        <v>41</v>
      </c>
      <c r="AT279" s="31" t="n">
        <v>42</v>
      </c>
      <c r="AU279" s="31" t="n">
        <v>43</v>
      </c>
      <c r="AV279" s="31" t="n">
        <v>44</v>
      </c>
      <c r="AW279" s="31" t="n">
        <v>45</v>
      </c>
      <c r="AX279" s="31" t="n">
        <v>46</v>
      </c>
      <c r="AY279" s="31" t="n">
        <v>47</v>
      </c>
      <c r="AZ279" s="31" t="n">
        <v>48</v>
      </c>
      <c r="BA279" s="31" t="n">
        <v>49</v>
      </c>
      <c r="BB279" s="31" t="n">
        <v>50</v>
      </c>
      <c r="BC279" s="31" t="n">
        <v>51</v>
      </c>
      <c r="BD279" s="31" t="n">
        <v>52</v>
      </c>
    </row>
    <row r="280">
      <c r="A280" s="39" t="inlineStr">
        <is>
          <t>AMBIENT STORE</t>
        </is>
      </c>
      <c r="B280" s="2" t="inlineStr">
        <is>
          <t>used</t>
        </is>
      </c>
      <c r="E280" s="40">
        <f>E269</f>
        <v/>
      </c>
      <c r="F280" s="40">
        <f>F269</f>
        <v/>
      </c>
      <c r="G280" s="40">
        <f>G269</f>
        <v/>
      </c>
      <c r="H280" s="40">
        <f>H269</f>
        <v/>
      </c>
      <c r="I280" s="40">
        <f>I269</f>
        <v/>
      </c>
      <c r="J280" s="40">
        <f>J269</f>
        <v/>
      </c>
      <c r="K280" s="40">
        <f>K269</f>
        <v/>
      </c>
      <c r="L280" s="40">
        <f>L269</f>
        <v/>
      </c>
      <c r="M280" s="40">
        <f>M269</f>
        <v/>
      </c>
      <c r="N280" s="40">
        <f>N269</f>
        <v/>
      </c>
      <c r="O280" s="40">
        <f>O269</f>
        <v/>
      </c>
      <c r="P280" s="40">
        <f>P269</f>
        <v/>
      </c>
      <c r="Q280" s="40">
        <f>Q269</f>
        <v/>
      </c>
      <c r="R280" s="40">
        <f>R269</f>
        <v/>
      </c>
      <c r="S280" s="40">
        <f>S269</f>
        <v/>
      </c>
      <c r="T280" s="40">
        <f>T269</f>
        <v/>
      </c>
      <c r="U280" s="40">
        <f>U269</f>
        <v/>
      </c>
      <c r="V280" s="40">
        <f>V269</f>
        <v/>
      </c>
      <c r="W280" s="40">
        <f>W269</f>
        <v/>
      </c>
      <c r="X280" s="40">
        <f>X269</f>
        <v/>
      </c>
      <c r="Y280" s="40">
        <f>Y269</f>
        <v/>
      </c>
      <c r="Z280" s="40">
        <f>Z269</f>
        <v/>
      </c>
      <c r="AA280" s="40">
        <f>AA269</f>
        <v/>
      </c>
      <c r="AB280" s="40">
        <f>AB269</f>
        <v/>
      </c>
      <c r="AC280" s="40">
        <f>AC269</f>
        <v/>
      </c>
      <c r="AD280" s="40">
        <f>AD269</f>
        <v/>
      </c>
      <c r="AE280" s="40">
        <f>AE269</f>
        <v/>
      </c>
      <c r="AF280" s="40">
        <f>AF269</f>
        <v/>
      </c>
      <c r="AG280" s="40">
        <f>AG269</f>
        <v/>
      </c>
      <c r="AH280" s="40">
        <f>AH269</f>
        <v/>
      </c>
      <c r="AI280" s="40">
        <f>AI269</f>
        <v/>
      </c>
      <c r="AJ280" s="40">
        <f>AJ269</f>
        <v/>
      </c>
      <c r="AK280" s="40">
        <f>AK269</f>
        <v/>
      </c>
      <c r="AL280" s="40">
        <f>AL269</f>
        <v/>
      </c>
      <c r="AM280" s="40">
        <f>AM269</f>
        <v/>
      </c>
      <c r="AN280" s="40">
        <f>AN269</f>
        <v/>
      </c>
      <c r="AO280" s="40">
        <f>AO269</f>
        <v/>
      </c>
      <c r="AP280" s="40">
        <f>AP269</f>
        <v/>
      </c>
      <c r="AQ280" s="40">
        <f>AQ269</f>
        <v/>
      </c>
      <c r="AR280" s="40">
        <f>AR269</f>
        <v/>
      </c>
      <c r="AS280" s="40">
        <f>AS269</f>
        <v/>
      </c>
      <c r="AT280" s="40">
        <f>AT269</f>
        <v/>
      </c>
      <c r="AU280" s="40">
        <f>AU269</f>
        <v/>
      </c>
      <c r="AV280" s="40">
        <f>AV269</f>
        <v/>
      </c>
      <c r="AW280" s="40">
        <f>AW269</f>
        <v/>
      </c>
      <c r="AX280" s="40">
        <f>AX269</f>
        <v/>
      </c>
      <c r="AY280" s="40">
        <f>AY269</f>
        <v/>
      </c>
      <c r="AZ280" s="40">
        <f>AZ269</f>
        <v/>
      </c>
      <c r="BA280" s="40">
        <f>BA269</f>
        <v/>
      </c>
      <c r="BB280" s="40">
        <f>BB269</f>
        <v/>
      </c>
      <c r="BC280" s="40">
        <f>BC269</f>
        <v/>
      </c>
      <c r="BD280" s="40">
        <f>BD269</f>
        <v/>
      </c>
    </row>
    <row r="281">
      <c r="A281" s="4" t="inlineStr"/>
      <c r="E281" s="41" t="inlineStr">
        <is>
          <t>&lt;=</t>
        </is>
      </c>
      <c r="F281" s="41" t="inlineStr">
        <is>
          <t>&lt;=</t>
        </is>
      </c>
      <c r="G281" s="41" t="inlineStr">
        <is>
          <t>&lt;=</t>
        </is>
      </c>
      <c r="H281" s="41" t="inlineStr">
        <is>
          <t>&lt;=</t>
        </is>
      </c>
      <c r="I281" s="41" t="inlineStr">
        <is>
          <t>&lt;=</t>
        </is>
      </c>
      <c r="J281" s="41" t="inlineStr">
        <is>
          <t>&lt;=</t>
        </is>
      </c>
      <c r="K281" s="41" t="inlineStr">
        <is>
          <t>&lt;=</t>
        </is>
      </c>
      <c r="L281" s="41" t="inlineStr">
        <is>
          <t>&lt;=</t>
        </is>
      </c>
      <c r="M281" s="41" t="inlineStr">
        <is>
          <t>&lt;=</t>
        </is>
      </c>
      <c r="N281" s="41" t="inlineStr">
        <is>
          <t>&lt;=</t>
        </is>
      </c>
      <c r="O281" s="41" t="inlineStr">
        <is>
          <t>&lt;=</t>
        </is>
      </c>
      <c r="P281" s="41" t="inlineStr">
        <is>
          <t>&lt;=</t>
        </is>
      </c>
      <c r="Q281" s="41" t="inlineStr">
        <is>
          <t>&lt;=</t>
        </is>
      </c>
      <c r="R281" s="41" t="inlineStr">
        <is>
          <t>&lt;=</t>
        </is>
      </c>
      <c r="S281" s="41" t="inlineStr">
        <is>
          <t>&lt;=</t>
        </is>
      </c>
      <c r="T281" s="41" t="inlineStr">
        <is>
          <t>&lt;=</t>
        </is>
      </c>
      <c r="U281" s="41" t="inlineStr">
        <is>
          <t>&lt;=</t>
        </is>
      </c>
      <c r="V281" s="41" t="inlineStr">
        <is>
          <t>&lt;=</t>
        </is>
      </c>
      <c r="W281" s="41" t="inlineStr">
        <is>
          <t>&lt;=</t>
        </is>
      </c>
      <c r="X281" s="41" t="inlineStr">
        <is>
          <t>&lt;=</t>
        </is>
      </c>
      <c r="Y281" s="41" t="inlineStr">
        <is>
          <t>&lt;=</t>
        </is>
      </c>
      <c r="Z281" s="41" t="inlineStr">
        <is>
          <t>&lt;=</t>
        </is>
      </c>
      <c r="AA281" s="41" t="inlineStr">
        <is>
          <t>&lt;=</t>
        </is>
      </c>
      <c r="AB281" s="41" t="inlineStr">
        <is>
          <t>&lt;=</t>
        </is>
      </c>
      <c r="AC281" s="41" t="inlineStr">
        <is>
          <t>&lt;=</t>
        </is>
      </c>
      <c r="AD281" s="41" t="inlineStr">
        <is>
          <t>&lt;=</t>
        </is>
      </c>
      <c r="AE281" s="41" t="inlineStr">
        <is>
          <t>&lt;=</t>
        </is>
      </c>
      <c r="AF281" s="41" t="inlineStr">
        <is>
          <t>&lt;=</t>
        </is>
      </c>
      <c r="AG281" s="41" t="inlineStr">
        <is>
          <t>&lt;=</t>
        </is>
      </c>
      <c r="AH281" s="41" t="inlineStr">
        <is>
          <t>&lt;=</t>
        </is>
      </c>
      <c r="AI281" s="41" t="inlineStr">
        <is>
          <t>&lt;=</t>
        </is>
      </c>
      <c r="AJ281" s="41" t="inlineStr">
        <is>
          <t>&lt;=</t>
        </is>
      </c>
      <c r="AK281" s="41" t="inlineStr">
        <is>
          <t>&lt;=</t>
        </is>
      </c>
      <c r="AL281" s="41" t="inlineStr">
        <is>
          <t>&lt;=</t>
        </is>
      </c>
      <c r="AM281" s="41" t="inlineStr">
        <is>
          <t>&lt;=</t>
        </is>
      </c>
      <c r="AN281" s="41" t="inlineStr">
        <is>
          <t>&lt;=</t>
        </is>
      </c>
      <c r="AO281" s="41" t="inlineStr">
        <is>
          <t>&lt;=</t>
        </is>
      </c>
      <c r="AP281" s="41" t="inlineStr">
        <is>
          <t>&lt;=</t>
        </is>
      </c>
      <c r="AQ281" s="41" t="inlineStr">
        <is>
          <t>&lt;=</t>
        </is>
      </c>
      <c r="AR281" s="41" t="inlineStr">
        <is>
          <t>&lt;=</t>
        </is>
      </c>
      <c r="AS281" s="41" t="inlineStr">
        <is>
          <t>&lt;=</t>
        </is>
      </c>
      <c r="AT281" s="41" t="inlineStr">
        <is>
          <t>&lt;=</t>
        </is>
      </c>
      <c r="AU281" s="41" t="inlineStr">
        <is>
          <t>&lt;=</t>
        </is>
      </c>
      <c r="AV281" s="41" t="inlineStr">
        <is>
          <t>&lt;=</t>
        </is>
      </c>
      <c r="AW281" s="41" t="inlineStr">
        <is>
          <t>&lt;=</t>
        </is>
      </c>
      <c r="AX281" s="41" t="inlineStr">
        <is>
          <t>&lt;=</t>
        </is>
      </c>
      <c r="AY281" s="41" t="inlineStr">
        <is>
          <t>&lt;=</t>
        </is>
      </c>
      <c r="AZ281" s="41" t="inlineStr">
        <is>
          <t>&lt;=</t>
        </is>
      </c>
      <c r="BA281" s="41" t="inlineStr">
        <is>
          <t>&lt;=</t>
        </is>
      </c>
      <c r="BB281" s="41" t="inlineStr">
        <is>
          <t>&lt;=</t>
        </is>
      </c>
      <c r="BC281" s="41" t="inlineStr">
        <is>
          <t>&lt;=</t>
        </is>
      </c>
      <c r="BD281" s="41" t="inlineStr">
        <is>
          <t>&lt;=</t>
        </is>
      </c>
    </row>
    <row r="282">
      <c r="A282" s="39" t="inlineStr">
        <is>
          <t xml:space="preserve">  limit</t>
        </is>
      </c>
      <c r="B282" s="2" t="inlineStr">
        <is>
          <t>cap</t>
        </is>
      </c>
      <c r="E282" s="40">
        <f>$B$8</f>
        <v/>
      </c>
      <c r="F282" s="40">
        <f>$B$8</f>
        <v/>
      </c>
      <c r="G282" s="40">
        <f>$B$8</f>
        <v/>
      </c>
      <c r="H282" s="40">
        <f>$B$8</f>
        <v/>
      </c>
      <c r="I282" s="40">
        <f>$B$8</f>
        <v/>
      </c>
      <c r="J282" s="40">
        <f>$B$8</f>
        <v/>
      </c>
      <c r="K282" s="40">
        <f>$B$8</f>
        <v/>
      </c>
      <c r="L282" s="40">
        <f>$B$8</f>
        <v/>
      </c>
      <c r="M282" s="40">
        <f>$B$8</f>
        <v/>
      </c>
      <c r="N282" s="40">
        <f>$B$8</f>
        <v/>
      </c>
      <c r="O282" s="40">
        <f>$B$8</f>
        <v/>
      </c>
      <c r="P282" s="40">
        <f>$B$8</f>
        <v/>
      </c>
      <c r="Q282" s="40">
        <f>$B$8</f>
        <v/>
      </c>
      <c r="R282" s="40">
        <f>$B$8</f>
        <v/>
      </c>
      <c r="S282" s="40">
        <f>$B$8</f>
        <v/>
      </c>
      <c r="T282" s="40">
        <f>$B$8</f>
        <v/>
      </c>
      <c r="U282" s="40">
        <f>$B$8</f>
        <v/>
      </c>
      <c r="V282" s="40">
        <f>$B$8</f>
        <v/>
      </c>
      <c r="W282" s="40">
        <f>$B$8</f>
        <v/>
      </c>
      <c r="X282" s="40">
        <f>$B$8</f>
        <v/>
      </c>
      <c r="Y282" s="40">
        <f>$B$8</f>
        <v/>
      </c>
      <c r="Z282" s="40">
        <f>$B$8</f>
        <v/>
      </c>
      <c r="AA282" s="40">
        <f>$B$8</f>
        <v/>
      </c>
      <c r="AB282" s="40">
        <f>$B$8</f>
        <v/>
      </c>
      <c r="AC282" s="40">
        <f>$B$8</f>
        <v/>
      </c>
      <c r="AD282" s="40">
        <f>$B$8</f>
        <v/>
      </c>
      <c r="AE282" s="40">
        <f>$B$8</f>
        <v/>
      </c>
      <c r="AF282" s="40">
        <f>$B$8</f>
        <v/>
      </c>
      <c r="AG282" s="40">
        <f>$B$8</f>
        <v/>
      </c>
      <c r="AH282" s="40">
        <f>$B$8</f>
        <v/>
      </c>
      <c r="AI282" s="40">
        <f>$B$8</f>
        <v/>
      </c>
      <c r="AJ282" s="40">
        <f>$B$8</f>
        <v/>
      </c>
      <c r="AK282" s="40">
        <f>$B$8</f>
        <v/>
      </c>
      <c r="AL282" s="40">
        <f>$B$8</f>
        <v/>
      </c>
      <c r="AM282" s="40">
        <f>$B$8</f>
        <v/>
      </c>
      <c r="AN282" s="40">
        <f>$B$8</f>
        <v/>
      </c>
      <c r="AO282" s="40">
        <f>$B$8</f>
        <v/>
      </c>
      <c r="AP282" s="40">
        <f>$B$8</f>
        <v/>
      </c>
      <c r="AQ282" s="40">
        <f>$B$8</f>
        <v/>
      </c>
      <c r="AR282" s="40">
        <f>$B$8</f>
        <v/>
      </c>
      <c r="AS282" s="40">
        <f>$B$8</f>
        <v/>
      </c>
      <c r="AT282" s="40">
        <f>$B$8</f>
        <v/>
      </c>
      <c r="AU282" s="40">
        <f>$B$8</f>
        <v/>
      </c>
      <c r="AV282" s="40">
        <f>$B$8</f>
        <v/>
      </c>
      <c r="AW282" s="40">
        <f>$B$8</f>
        <v/>
      </c>
      <c r="AX282" s="40">
        <f>$B$8</f>
        <v/>
      </c>
      <c r="AY282" s="40">
        <f>$B$8</f>
        <v/>
      </c>
      <c r="AZ282" s="40">
        <f>$B$8</f>
        <v/>
      </c>
      <c r="BA282" s="40">
        <f>$B$8</f>
        <v/>
      </c>
      <c r="BB282" s="40">
        <f>$B$8</f>
        <v/>
      </c>
      <c r="BC282" s="40">
        <f>$B$8</f>
        <v/>
      </c>
      <c r="BD282" s="40">
        <f>$B$8</f>
        <v/>
      </c>
    </row>
    <row r="283">
      <c r="A283" s="28" t="inlineStr">
        <is>
          <t xml:space="preserve">  room left</t>
        </is>
      </c>
      <c r="E283" s="40">
        <f>$B$8-E280</f>
        <v/>
      </c>
      <c r="F283" s="40">
        <f>$B$8-F280</f>
        <v/>
      </c>
      <c r="G283" s="40">
        <f>$B$8-G280</f>
        <v/>
      </c>
      <c r="H283" s="40">
        <f>$B$8-H280</f>
        <v/>
      </c>
      <c r="I283" s="40">
        <f>$B$8-I280</f>
        <v/>
      </c>
      <c r="J283" s="40">
        <f>$B$8-J280</f>
        <v/>
      </c>
      <c r="K283" s="40">
        <f>$B$8-K280</f>
        <v/>
      </c>
      <c r="L283" s="40">
        <f>$B$8-L280</f>
        <v/>
      </c>
      <c r="M283" s="40">
        <f>$B$8-M280</f>
        <v/>
      </c>
      <c r="N283" s="40">
        <f>$B$8-N280</f>
        <v/>
      </c>
      <c r="O283" s="40">
        <f>$B$8-O280</f>
        <v/>
      </c>
      <c r="P283" s="40">
        <f>$B$8-P280</f>
        <v/>
      </c>
      <c r="Q283" s="40">
        <f>$B$8-Q280</f>
        <v/>
      </c>
      <c r="R283" s="40">
        <f>$B$8-R280</f>
        <v/>
      </c>
      <c r="S283" s="40">
        <f>$B$8-S280</f>
        <v/>
      </c>
      <c r="T283" s="40">
        <f>$B$8-T280</f>
        <v/>
      </c>
      <c r="U283" s="40">
        <f>$B$8-U280</f>
        <v/>
      </c>
      <c r="V283" s="40">
        <f>$B$8-V280</f>
        <v/>
      </c>
      <c r="W283" s="40">
        <f>$B$8-W280</f>
        <v/>
      </c>
      <c r="X283" s="40">
        <f>$B$8-X280</f>
        <v/>
      </c>
      <c r="Y283" s="40">
        <f>$B$8-Y280</f>
        <v/>
      </c>
      <c r="Z283" s="40">
        <f>$B$8-Z280</f>
        <v/>
      </c>
      <c r="AA283" s="40">
        <f>$B$8-AA280</f>
        <v/>
      </c>
      <c r="AB283" s="40">
        <f>$B$8-AB280</f>
        <v/>
      </c>
      <c r="AC283" s="40">
        <f>$B$8-AC280</f>
        <v/>
      </c>
      <c r="AD283" s="40">
        <f>$B$8-AD280</f>
        <v/>
      </c>
      <c r="AE283" s="40">
        <f>$B$8-AE280</f>
        <v/>
      </c>
      <c r="AF283" s="40">
        <f>$B$8-AF280</f>
        <v/>
      </c>
      <c r="AG283" s="40">
        <f>$B$8-AG280</f>
        <v/>
      </c>
      <c r="AH283" s="40">
        <f>$B$8-AH280</f>
        <v/>
      </c>
      <c r="AI283" s="40">
        <f>$B$8-AI280</f>
        <v/>
      </c>
      <c r="AJ283" s="40">
        <f>$B$8-AJ280</f>
        <v/>
      </c>
      <c r="AK283" s="40">
        <f>$B$8-AK280</f>
        <v/>
      </c>
      <c r="AL283" s="40">
        <f>$B$8-AL280</f>
        <v/>
      </c>
      <c r="AM283" s="40">
        <f>$B$8-AM280</f>
        <v/>
      </c>
      <c r="AN283" s="40">
        <f>$B$8-AN280</f>
        <v/>
      </c>
      <c r="AO283" s="40">
        <f>$B$8-AO280</f>
        <v/>
      </c>
      <c r="AP283" s="40">
        <f>$B$8-AP280</f>
        <v/>
      </c>
      <c r="AQ283" s="40">
        <f>$B$8-AQ280</f>
        <v/>
      </c>
      <c r="AR283" s="40">
        <f>$B$8-AR280</f>
        <v/>
      </c>
      <c r="AS283" s="40">
        <f>$B$8-AS280</f>
        <v/>
      </c>
      <c r="AT283" s="40">
        <f>$B$8-AT280</f>
        <v/>
      </c>
      <c r="AU283" s="40">
        <f>$B$8-AU280</f>
        <v/>
      </c>
      <c r="AV283" s="40">
        <f>$B$8-AV280</f>
        <v/>
      </c>
      <c r="AW283" s="40">
        <f>$B$8-AW280</f>
        <v/>
      </c>
      <c r="AX283" s="40">
        <f>$B$8-AX280</f>
        <v/>
      </c>
      <c r="AY283" s="40">
        <f>$B$8-AY280</f>
        <v/>
      </c>
      <c r="AZ283" s="40">
        <f>$B$8-AZ280</f>
        <v/>
      </c>
      <c r="BA283" s="40">
        <f>$B$8-BA280</f>
        <v/>
      </c>
      <c r="BB283" s="40">
        <f>$B$8-BB280</f>
        <v/>
      </c>
      <c r="BC283" s="40">
        <f>$B$8-BC280</f>
        <v/>
      </c>
      <c r="BD283" s="40">
        <f>$B$8-BD280</f>
        <v/>
      </c>
    </row>
    <row r="284">
      <c r="A284" s="2" t="inlineStr">
        <is>
          <t xml:space="preserve">   Holds Garlic.</t>
        </is>
      </c>
    </row>
    <row r="286">
      <c r="A286" s="3" t="inlineStr">
        <is>
          <t>7 — CASH, WEEK BY WEEK</t>
        </is>
      </c>
    </row>
    <row r="287">
      <c r="A287" s="4" t="inlineStr">
        <is>
          <t>Opening cash</t>
        </is>
      </c>
      <c r="B287" s="18" t="n">
        <v>50000</v>
      </c>
      <c r="C287" s="2" t="inlineStr">
        <is>
          <t>what is in the bank on 1 January</t>
        </is>
      </c>
    </row>
    <row r="288">
      <c r="A288" s="4" t="inlineStr">
        <is>
          <t>Credit line</t>
        </is>
      </c>
      <c r="B288" s="18" t="n">
        <v>250000</v>
      </c>
      <c r="C288" s="2" t="inlineStr">
        <is>
          <t>how far below zero you may go</t>
        </is>
      </c>
    </row>
    <row r="289">
      <c r="A289" s="4" t="inlineStr">
        <is>
          <t>Fixed cost per week</t>
        </is>
      </c>
      <c r="B289" s="53">
        <f>$B$7*0.4807692307692308+$B$8*0.09615384615384616+$B$6*2.1367521367521367+1000+300*0.32051282051282054</f>
        <v/>
      </c>
      <c r="C289" s="2" t="inlineStr">
        <is>
          <t>cooler + barn depreciation, irrigation, machinery, equipment store — owed every week whether or not you plant</t>
        </is>
      </c>
    </row>
    <row r="290">
      <c r="A290" s="4" t="inlineStr">
        <is>
          <t>Overhead, % of revenue</t>
        </is>
      </c>
      <c r="B290" s="23" t="n">
        <v>0.16</v>
      </c>
      <c r="C290" s="2" t="inlineStr">
        <is>
          <t>insurance, admin, utilities — a share of what you sell</t>
        </is>
      </c>
    </row>
    <row r="291">
      <c r="A291" s="4" t="inlineStr">
        <is>
          <t>Interest APR on borrowing</t>
        </is>
      </c>
      <c r="B291" s="17" t="n">
        <v>0.07000000000000001</v>
      </c>
      <c r="C291" s="2" t="inlineStr">
        <is>
          <t>charged on what the credit line actually carries — reported below, not optimised over</t>
        </is>
      </c>
    </row>
    <row r="293">
      <c r="A293" s="30" t="inlineStr">
        <is>
          <t>Week</t>
        </is>
      </c>
      <c r="B293" s="38" t="inlineStr">
        <is>
          <t>$</t>
        </is>
      </c>
      <c r="E293" s="31" t="n">
        <v>1</v>
      </c>
      <c r="F293" s="31" t="n">
        <v>2</v>
      </c>
      <c r="G293" s="31" t="n">
        <v>3</v>
      </c>
      <c r="H293" s="31" t="n">
        <v>4</v>
      </c>
      <c r="I293" s="31" t="n">
        <v>5</v>
      </c>
      <c r="J293" s="31" t="n">
        <v>6</v>
      </c>
      <c r="K293" s="31" t="n">
        <v>7</v>
      </c>
      <c r="L293" s="31" t="n">
        <v>8</v>
      </c>
      <c r="M293" s="31" t="n">
        <v>9</v>
      </c>
      <c r="N293" s="31" t="n">
        <v>10</v>
      </c>
      <c r="O293" s="31" t="n">
        <v>11</v>
      </c>
      <c r="P293" s="31" t="n">
        <v>12</v>
      </c>
      <c r="Q293" s="31" t="n">
        <v>13</v>
      </c>
      <c r="R293" s="31" t="n">
        <v>14</v>
      </c>
      <c r="S293" s="31" t="n">
        <v>15</v>
      </c>
      <c r="T293" s="31" t="n">
        <v>16</v>
      </c>
      <c r="U293" s="31" t="n">
        <v>17</v>
      </c>
      <c r="V293" s="31" t="n">
        <v>18</v>
      </c>
      <c r="W293" s="31" t="n">
        <v>19</v>
      </c>
      <c r="X293" s="31" t="n">
        <v>20</v>
      </c>
      <c r="Y293" s="31" t="n">
        <v>21</v>
      </c>
      <c r="Z293" s="31" t="n">
        <v>22</v>
      </c>
      <c r="AA293" s="31" t="n">
        <v>23</v>
      </c>
      <c r="AB293" s="31" t="n">
        <v>24</v>
      </c>
      <c r="AC293" s="31" t="n">
        <v>25</v>
      </c>
      <c r="AD293" s="31" t="n">
        <v>26</v>
      </c>
      <c r="AE293" s="31" t="n">
        <v>27</v>
      </c>
      <c r="AF293" s="31" t="n">
        <v>28</v>
      </c>
      <c r="AG293" s="31" t="n">
        <v>29</v>
      </c>
      <c r="AH293" s="31" t="n">
        <v>30</v>
      </c>
      <c r="AI293" s="31" t="n">
        <v>31</v>
      </c>
      <c r="AJ293" s="31" t="n">
        <v>32</v>
      </c>
      <c r="AK293" s="31" t="n">
        <v>33</v>
      </c>
      <c r="AL293" s="31" t="n">
        <v>34</v>
      </c>
      <c r="AM293" s="31" t="n">
        <v>35</v>
      </c>
      <c r="AN293" s="31" t="n">
        <v>36</v>
      </c>
      <c r="AO293" s="31" t="n">
        <v>37</v>
      </c>
      <c r="AP293" s="31" t="n">
        <v>38</v>
      </c>
      <c r="AQ293" s="31" t="n">
        <v>39</v>
      </c>
      <c r="AR293" s="31" t="n">
        <v>40</v>
      </c>
      <c r="AS293" s="31" t="n">
        <v>41</v>
      </c>
      <c r="AT293" s="31" t="n">
        <v>42</v>
      </c>
      <c r="AU293" s="31" t="n">
        <v>43</v>
      </c>
      <c r="AV293" s="31" t="n">
        <v>44</v>
      </c>
      <c r="AW293" s="31" t="n">
        <v>45</v>
      </c>
      <c r="AX293" s="31" t="n">
        <v>46</v>
      </c>
      <c r="AY293" s="31" t="n">
        <v>47</v>
      </c>
      <c r="AZ293" s="31" t="n">
        <v>48</v>
      </c>
      <c r="BA293" s="31" t="n">
        <v>49</v>
      </c>
      <c r="BB293" s="31" t="n">
        <v>50</v>
      </c>
      <c r="BC293" s="31" t="n">
        <v>51</v>
      </c>
      <c r="BD293" s="31" t="n">
        <v>52</v>
      </c>
    </row>
    <row r="294">
      <c r="A294" s="4" t="inlineStr">
        <is>
          <t>Revenue</t>
        </is>
      </c>
      <c r="B294" s="2" t="inlineStr">
        <is>
          <t>$</t>
        </is>
      </c>
      <c r="E294" s="42">
        <f>E196*$I$19+E202*$I$20+E223*$I$21+E231*$I$22+E252*$I$23+E258*$I$24</f>
        <v/>
      </c>
      <c r="F294" s="42">
        <f>F196*$I$19+F202*$I$20+F223*$I$21+F231*$I$22+F252*$I$23+F258*$I$24</f>
        <v/>
      </c>
      <c r="G294" s="42">
        <f>G196*$I$19+G202*$I$20+G223*$I$21+G231*$I$22+G252*$I$23+G258*$I$24</f>
        <v/>
      </c>
      <c r="H294" s="42">
        <f>H196*$I$19+H202*$I$20+H223*$I$21+H231*$I$22+H252*$I$23+H258*$I$24</f>
        <v/>
      </c>
      <c r="I294" s="42">
        <f>I196*$I$19+I202*$I$20+I223*$I$21+I231*$I$22+I252*$I$23+I258*$I$24</f>
        <v/>
      </c>
      <c r="J294" s="42">
        <f>J196*$I$19+J202*$I$20+J223*$I$21+J231*$I$22+J252*$I$23+J258*$I$24</f>
        <v/>
      </c>
      <c r="K294" s="42">
        <f>K196*$I$19+K202*$I$20+K223*$I$21+K231*$I$22+K252*$I$23+K258*$I$24</f>
        <v/>
      </c>
      <c r="L294" s="42">
        <f>L196*$I$19+L202*$I$20+L223*$I$21+L231*$I$22+L252*$I$23+L258*$I$24</f>
        <v/>
      </c>
      <c r="M294" s="42">
        <f>M196*$I$19+M202*$I$20+M223*$I$21+M231*$I$22+M252*$I$23+M258*$I$24</f>
        <v/>
      </c>
      <c r="N294" s="42">
        <f>N196*$I$19+N202*$I$20+N223*$I$21+N231*$I$22+N252*$I$23+N258*$I$24</f>
        <v/>
      </c>
      <c r="O294" s="42">
        <f>O196*$I$19+O202*$I$20+O223*$I$21+O231*$I$22+O252*$I$23+O258*$I$24</f>
        <v/>
      </c>
      <c r="P294" s="42">
        <f>P196*$I$19+P202*$I$20+P223*$I$21+P231*$I$22+P252*$I$23+P258*$I$24</f>
        <v/>
      </c>
      <c r="Q294" s="42">
        <f>Q196*$I$19+Q202*$I$20+Q223*$I$21+Q231*$I$22+Q252*$I$23+Q258*$I$24</f>
        <v/>
      </c>
      <c r="R294" s="42">
        <f>R196*$I$19+R202*$I$20+R223*$I$21+R231*$I$22+R252*$I$23+R258*$I$24</f>
        <v/>
      </c>
      <c r="S294" s="42">
        <f>S196*$I$19+S202*$I$20+S223*$I$21+S231*$I$22+S252*$I$23+S258*$I$24</f>
        <v/>
      </c>
      <c r="T294" s="42">
        <f>T196*$I$19+T202*$I$20+T223*$I$21+T231*$I$22+T252*$I$23+T258*$I$24</f>
        <v/>
      </c>
      <c r="U294" s="42">
        <f>U196*$I$19+U202*$I$20+U223*$I$21+U231*$I$22+U252*$I$23+U258*$I$24</f>
        <v/>
      </c>
      <c r="V294" s="42">
        <f>V196*$I$19+V202*$I$20+V223*$I$21+V231*$I$22+V252*$I$23+V258*$I$24</f>
        <v/>
      </c>
      <c r="W294" s="42">
        <f>W196*$I$19+W202*$I$20+W223*$I$21+W231*$I$22+W252*$I$23+W258*$I$24</f>
        <v/>
      </c>
      <c r="X294" s="42">
        <f>X196*$I$19+X202*$I$20+X223*$I$21+X231*$I$22+X252*$I$23+X258*$I$24</f>
        <v/>
      </c>
      <c r="Y294" s="42">
        <f>Y196*$I$19+Y202*$I$20+Y223*$I$21+Y231*$I$22+Y252*$I$23+Y258*$I$24</f>
        <v/>
      </c>
      <c r="Z294" s="42">
        <f>Z196*$I$19+Z202*$I$20+Z223*$I$21+Z231*$I$22+Z252*$I$23+Z258*$I$24</f>
        <v/>
      </c>
      <c r="AA294" s="42">
        <f>AA196*$I$19+AA202*$I$20+AA223*$I$21+AA231*$I$22+AA252*$I$23+AA258*$I$24</f>
        <v/>
      </c>
      <c r="AB294" s="42">
        <f>AB196*$I$19+AB202*$I$20+AB223*$I$21+AB231*$I$22+AB252*$I$23+AB258*$I$24</f>
        <v/>
      </c>
      <c r="AC294" s="42">
        <f>AC196*$I$19+AC202*$I$20+AC223*$I$21+AC231*$I$22+AC252*$I$23+AC258*$I$24</f>
        <v/>
      </c>
      <c r="AD294" s="42">
        <f>AD196*$I$19+AD202*$I$20+AD223*$I$21+AD231*$I$22+AD252*$I$23+AD258*$I$24</f>
        <v/>
      </c>
      <c r="AE294" s="42">
        <f>AE196*$I$19+AE202*$I$20+AE223*$I$21+AE231*$I$22+AE252*$I$23+AE258*$I$24</f>
        <v/>
      </c>
      <c r="AF294" s="42">
        <f>AF196*$I$19+AF202*$I$20+AF223*$I$21+AF231*$I$22+AF252*$I$23+AF258*$I$24</f>
        <v/>
      </c>
      <c r="AG294" s="42">
        <f>AG196*$I$19+AG202*$I$20+AG223*$I$21+AG231*$I$22+AG252*$I$23+AG258*$I$24</f>
        <v/>
      </c>
      <c r="AH294" s="42">
        <f>AH196*$I$19+AH202*$I$20+AH223*$I$21+AH231*$I$22+AH252*$I$23+AH258*$I$24</f>
        <v/>
      </c>
      <c r="AI294" s="42">
        <f>AI196*$I$19+AI202*$I$20+AI223*$I$21+AI231*$I$22+AI252*$I$23+AI258*$I$24</f>
        <v/>
      </c>
      <c r="AJ294" s="42">
        <f>AJ196*$I$19+AJ202*$I$20+AJ223*$I$21+AJ231*$I$22+AJ252*$I$23+AJ258*$I$24</f>
        <v/>
      </c>
      <c r="AK294" s="42">
        <f>AK196*$I$19+AK202*$I$20+AK223*$I$21+AK231*$I$22+AK252*$I$23+AK258*$I$24</f>
        <v/>
      </c>
      <c r="AL294" s="42">
        <f>AL196*$I$19+AL202*$I$20+AL223*$I$21+AL231*$I$22+AL252*$I$23+AL258*$I$24</f>
        <v/>
      </c>
      <c r="AM294" s="42">
        <f>AM196*$I$19+AM202*$I$20+AM223*$I$21+AM231*$I$22+AM252*$I$23+AM258*$I$24</f>
        <v/>
      </c>
      <c r="AN294" s="42">
        <f>AN196*$I$19+AN202*$I$20+AN223*$I$21+AN231*$I$22+AN252*$I$23+AN258*$I$24</f>
        <v/>
      </c>
      <c r="AO294" s="42">
        <f>AO196*$I$19+AO202*$I$20+AO223*$I$21+AO231*$I$22+AO252*$I$23+AO258*$I$24</f>
        <v/>
      </c>
      <c r="AP294" s="42">
        <f>AP196*$I$19+AP202*$I$20+AP223*$I$21+AP231*$I$22+AP252*$I$23+AP258*$I$24</f>
        <v/>
      </c>
      <c r="AQ294" s="42">
        <f>AQ196*$I$19+AQ202*$I$20+AQ223*$I$21+AQ231*$I$22+AQ252*$I$23+AQ258*$I$24</f>
        <v/>
      </c>
      <c r="AR294" s="42">
        <f>AR196*$I$19+AR202*$I$20+AR223*$I$21+AR231*$I$22+AR252*$I$23+AR258*$I$24</f>
        <v/>
      </c>
      <c r="AS294" s="42">
        <f>AS196*$I$19+AS202*$I$20+AS223*$I$21+AS231*$I$22+AS252*$I$23+AS258*$I$24</f>
        <v/>
      </c>
      <c r="AT294" s="42">
        <f>AT196*$I$19+AT202*$I$20+AT223*$I$21+AT231*$I$22+AT252*$I$23+AT258*$I$24</f>
        <v/>
      </c>
      <c r="AU294" s="42">
        <f>AU196*$I$19+AU202*$I$20+AU223*$I$21+AU231*$I$22+AU252*$I$23+AU258*$I$24</f>
        <v/>
      </c>
      <c r="AV294" s="42">
        <f>AV196*$I$19+AV202*$I$20+AV223*$I$21+AV231*$I$22+AV252*$I$23+AV258*$I$24</f>
        <v/>
      </c>
      <c r="AW294" s="42">
        <f>AW196*$I$19+AW202*$I$20+AW223*$I$21+AW231*$I$22+AW252*$I$23+AW258*$I$24</f>
        <v/>
      </c>
      <c r="AX294" s="42">
        <f>AX196*$I$19+AX202*$I$20+AX223*$I$21+AX231*$I$22+AX252*$I$23+AX258*$I$24</f>
        <v/>
      </c>
      <c r="AY294" s="42">
        <f>AY196*$I$19+AY202*$I$20+AY223*$I$21+AY231*$I$22+AY252*$I$23+AY258*$I$24</f>
        <v/>
      </c>
      <c r="AZ294" s="42">
        <f>AZ196*$I$19+AZ202*$I$20+AZ223*$I$21+AZ231*$I$22+AZ252*$I$23+AZ258*$I$24</f>
        <v/>
      </c>
      <c r="BA294" s="42">
        <f>BA196*$I$19+BA202*$I$20+BA223*$I$21+BA231*$I$22+BA252*$I$23+BA258*$I$24</f>
        <v/>
      </c>
      <c r="BB294" s="42">
        <f>BB196*$I$19+BB202*$I$20+BB223*$I$21+BB231*$I$22+BB252*$I$23+BB258*$I$24</f>
        <v/>
      </c>
      <c r="BC294" s="42">
        <f>BC196*$I$19+BC202*$I$20+BC223*$I$21+BC231*$I$22+BC252*$I$23+BC258*$I$24</f>
        <v/>
      </c>
      <c r="BD294" s="42">
        <f>BD196*$I$19+BD202*$I$20+BD223*$I$21+BD231*$I$22+BD252*$I$23+BD258*$I$24</f>
        <v/>
      </c>
    </row>
    <row r="295">
      <c r="A295" s="26" t="inlineStr">
        <is>
          <t xml:space="preserve">  packaging</t>
        </is>
      </c>
      <c r="B295" s="2" t="inlineStr">
        <is>
          <t>$</t>
        </is>
      </c>
      <c r="E295" s="42">
        <f>E212+E241+E268</f>
        <v/>
      </c>
      <c r="F295" s="42">
        <f>F212+F241+F268</f>
        <v/>
      </c>
      <c r="G295" s="42">
        <f>G212+G241+G268</f>
        <v/>
      </c>
      <c r="H295" s="42">
        <f>H212+H241+H268</f>
        <v/>
      </c>
      <c r="I295" s="42">
        <f>I212+I241+I268</f>
        <v/>
      </c>
      <c r="J295" s="42">
        <f>J212+J241+J268</f>
        <v/>
      </c>
      <c r="K295" s="42">
        <f>K212+K241+K268</f>
        <v/>
      </c>
      <c r="L295" s="42">
        <f>L212+L241+L268</f>
        <v/>
      </c>
      <c r="M295" s="42">
        <f>M212+M241+M268</f>
        <v/>
      </c>
      <c r="N295" s="42">
        <f>N212+N241+N268</f>
        <v/>
      </c>
      <c r="O295" s="42">
        <f>O212+O241+O268</f>
        <v/>
      </c>
      <c r="P295" s="42">
        <f>P212+P241+P268</f>
        <v/>
      </c>
      <c r="Q295" s="42">
        <f>Q212+Q241+Q268</f>
        <v/>
      </c>
      <c r="R295" s="42">
        <f>R212+R241+R268</f>
        <v/>
      </c>
      <c r="S295" s="42">
        <f>S212+S241+S268</f>
        <v/>
      </c>
      <c r="T295" s="42">
        <f>T212+T241+T268</f>
        <v/>
      </c>
      <c r="U295" s="42">
        <f>U212+U241+U268</f>
        <v/>
      </c>
      <c r="V295" s="42">
        <f>V212+V241+V268</f>
        <v/>
      </c>
      <c r="W295" s="42">
        <f>W212+W241+W268</f>
        <v/>
      </c>
      <c r="X295" s="42">
        <f>X212+X241+X268</f>
        <v/>
      </c>
      <c r="Y295" s="42">
        <f>Y212+Y241+Y268</f>
        <v/>
      </c>
      <c r="Z295" s="42">
        <f>Z212+Z241+Z268</f>
        <v/>
      </c>
      <c r="AA295" s="42">
        <f>AA212+AA241+AA268</f>
        <v/>
      </c>
      <c r="AB295" s="42">
        <f>AB212+AB241+AB268</f>
        <v/>
      </c>
      <c r="AC295" s="42">
        <f>AC212+AC241+AC268</f>
        <v/>
      </c>
      <c r="AD295" s="42">
        <f>AD212+AD241+AD268</f>
        <v/>
      </c>
      <c r="AE295" s="42">
        <f>AE212+AE241+AE268</f>
        <v/>
      </c>
      <c r="AF295" s="42">
        <f>AF212+AF241+AF268</f>
        <v/>
      </c>
      <c r="AG295" s="42">
        <f>AG212+AG241+AG268</f>
        <v/>
      </c>
      <c r="AH295" s="42">
        <f>AH212+AH241+AH268</f>
        <v/>
      </c>
      <c r="AI295" s="42">
        <f>AI212+AI241+AI268</f>
        <v/>
      </c>
      <c r="AJ295" s="42">
        <f>AJ212+AJ241+AJ268</f>
        <v/>
      </c>
      <c r="AK295" s="42">
        <f>AK212+AK241+AK268</f>
        <v/>
      </c>
      <c r="AL295" s="42">
        <f>AL212+AL241+AL268</f>
        <v/>
      </c>
      <c r="AM295" s="42">
        <f>AM212+AM241+AM268</f>
        <v/>
      </c>
      <c r="AN295" s="42">
        <f>AN212+AN241+AN268</f>
        <v/>
      </c>
      <c r="AO295" s="42">
        <f>AO212+AO241+AO268</f>
        <v/>
      </c>
      <c r="AP295" s="42">
        <f>AP212+AP241+AP268</f>
        <v/>
      </c>
      <c r="AQ295" s="42">
        <f>AQ212+AQ241+AQ268</f>
        <v/>
      </c>
      <c r="AR295" s="42">
        <f>AR212+AR241+AR268</f>
        <v/>
      </c>
      <c r="AS295" s="42">
        <f>AS212+AS241+AS268</f>
        <v/>
      </c>
      <c r="AT295" s="42">
        <f>AT212+AT241+AT268</f>
        <v/>
      </c>
      <c r="AU295" s="42">
        <f>AU212+AU241+AU268</f>
        <v/>
      </c>
      <c r="AV295" s="42">
        <f>AV212+AV241+AV268</f>
        <v/>
      </c>
      <c r="AW295" s="42">
        <f>AW212+AW241+AW268</f>
        <v/>
      </c>
      <c r="AX295" s="42">
        <f>AX212+AX241+AX268</f>
        <v/>
      </c>
      <c r="AY295" s="42">
        <f>AY212+AY241+AY268</f>
        <v/>
      </c>
      <c r="AZ295" s="42">
        <f>AZ212+AZ241+AZ268</f>
        <v/>
      </c>
      <c r="BA295" s="42">
        <f>BA212+BA241+BA268</f>
        <v/>
      </c>
      <c r="BB295" s="42">
        <f>BB212+BB241+BB268</f>
        <v/>
      </c>
      <c r="BC295" s="42">
        <f>BC212+BC241+BC268</f>
        <v/>
      </c>
      <c r="BD295" s="42">
        <f>BD212+BD241+BD268</f>
        <v/>
      </c>
    </row>
    <row r="296">
      <c r="A296" s="26" t="inlineStr">
        <is>
          <t xml:space="preserve">  growing cost</t>
        </is>
      </c>
      <c r="B296" s="2" t="inlineStr">
        <is>
          <t>$</t>
        </is>
      </c>
      <c r="E296" s="42">
        <f>E211+E240+E267</f>
        <v/>
      </c>
      <c r="F296" s="42">
        <f>F211+F240+F267</f>
        <v/>
      </c>
      <c r="G296" s="42">
        <f>G211+G240+G267</f>
        <v/>
      </c>
      <c r="H296" s="42">
        <f>H211+H240+H267</f>
        <v/>
      </c>
      <c r="I296" s="42">
        <f>I211+I240+I267</f>
        <v/>
      </c>
      <c r="J296" s="42">
        <f>J211+J240+J267</f>
        <v/>
      </c>
      <c r="K296" s="42">
        <f>K211+K240+K267</f>
        <v/>
      </c>
      <c r="L296" s="42">
        <f>L211+L240+L267</f>
        <v/>
      </c>
      <c r="M296" s="42">
        <f>M211+M240+M267</f>
        <v/>
      </c>
      <c r="N296" s="42">
        <f>N211+N240+N267</f>
        <v/>
      </c>
      <c r="O296" s="42">
        <f>O211+O240+O267</f>
        <v/>
      </c>
      <c r="P296" s="42">
        <f>P211+P240+P267</f>
        <v/>
      </c>
      <c r="Q296" s="42">
        <f>Q211+Q240+Q267</f>
        <v/>
      </c>
      <c r="R296" s="42">
        <f>R211+R240+R267</f>
        <v/>
      </c>
      <c r="S296" s="42">
        <f>S211+S240+S267</f>
        <v/>
      </c>
      <c r="T296" s="42">
        <f>T211+T240+T267</f>
        <v/>
      </c>
      <c r="U296" s="42">
        <f>U211+U240+U267</f>
        <v/>
      </c>
      <c r="V296" s="42">
        <f>V211+V240+V267</f>
        <v/>
      </c>
      <c r="W296" s="42">
        <f>W211+W240+W267</f>
        <v/>
      </c>
      <c r="X296" s="42">
        <f>X211+X240+X267</f>
        <v/>
      </c>
      <c r="Y296" s="42">
        <f>Y211+Y240+Y267</f>
        <v/>
      </c>
      <c r="Z296" s="42">
        <f>Z211+Z240+Z267</f>
        <v/>
      </c>
      <c r="AA296" s="42">
        <f>AA211+AA240+AA267</f>
        <v/>
      </c>
      <c r="AB296" s="42">
        <f>AB211+AB240+AB267</f>
        <v/>
      </c>
      <c r="AC296" s="42">
        <f>AC211+AC240+AC267</f>
        <v/>
      </c>
      <c r="AD296" s="42">
        <f>AD211+AD240+AD267</f>
        <v/>
      </c>
      <c r="AE296" s="42">
        <f>AE211+AE240+AE267</f>
        <v/>
      </c>
      <c r="AF296" s="42">
        <f>AF211+AF240+AF267</f>
        <v/>
      </c>
      <c r="AG296" s="42">
        <f>AG211+AG240+AG267</f>
        <v/>
      </c>
      <c r="AH296" s="42">
        <f>AH211+AH240+AH267</f>
        <v/>
      </c>
      <c r="AI296" s="42">
        <f>AI211+AI240+AI267</f>
        <v/>
      </c>
      <c r="AJ296" s="42">
        <f>AJ211+AJ240+AJ267</f>
        <v/>
      </c>
      <c r="AK296" s="42">
        <f>AK211+AK240+AK267</f>
        <v/>
      </c>
      <c r="AL296" s="42">
        <f>AL211+AL240+AL267</f>
        <v/>
      </c>
      <c r="AM296" s="42">
        <f>AM211+AM240+AM267</f>
        <v/>
      </c>
      <c r="AN296" s="42">
        <f>AN211+AN240+AN267</f>
        <v/>
      </c>
      <c r="AO296" s="42">
        <f>AO211+AO240+AO267</f>
        <v/>
      </c>
      <c r="AP296" s="42">
        <f>AP211+AP240+AP267</f>
        <v/>
      </c>
      <c r="AQ296" s="42">
        <f>AQ211+AQ240+AQ267</f>
        <v/>
      </c>
      <c r="AR296" s="42">
        <f>AR211+AR240+AR267</f>
        <v/>
      </c>
      <c r="AS296" s="42">
        <f>AS211+AS240+AS267</f>
        <v/>
      </c>
      <c r="AT296" s="42">
        <f>AT211+AT240+AT267</f>
        <v/>
      </c>
      <c r="AU296" s="42">
        <f>AU211+AU240+AU267</f>
        <v/>
      </c>
      <c r="AV296" s="42">
        <f>AV211+AV240+AV267</f>
        <v/>
      </c>
      <c r="AW296" s="42">
        <f>AW211+AW240+AW267</f>
        <v/>
      </c>
      <c r="AX296" s="42">
        <f>AX211+AX240+AX267</f>
        <v/>
      </c>
      <c r="AY296" s="42">
        <f>AY211+AY240+AY267</f>
        <v/>
      </c>
      <c r="AZ296" s="42">
        <f>AZ211+AZ240+AZ267</f>
        <v/>
      </c>
      <c r="BA296" s="42">
        <f>BA211+BA240+BA267</f>
        <v/>
      </c>
      <c r="BB296" s="42">
        <f>BB211+BB240+BB267</f>
        <v/>
      </c>
      <c r="BC296" s="42">
        <f>BC211+BC240+BC267</f>
        <v/>
      </c>
      <c r="BD296" s="42">
        <f>BD211+BD240+BD267</f>
        <v/>
      </c>
    </row>
    <row r="297">
      <c r="A297" s="26" t="inlineStr">
        <is>
          <t xml:space="preserve">  fixed cost</t>
        </is>
      </c>
      <c r="B297" s="2" t="inlineStr">
        <is>
          <t>$</t>
        </is>
      </c>
      <c r="E297" s="42">
        <f>$B$289</f>
        <v/>
      </c>
      <c r="F297" s="42">
        <f>$B$289</f>
        <v/>
      </c>
      <c r="G297" s="42">
        <f>$B$289</f>
        <v/>
      </c>
      <c r="H297" s="42">
        <f>$B$289</f>
        <v/>
      </c>
      <c r="I297" s="42">
        <f>$B$289</f>
        <v/>
      </c>
      <c r="J297" s="42">
        <f>$B$289</f>
        <v/>
      </c>
      <c r="K297" s="42">
        <f>$B$289</f>
        <v/>
      </c>
      <c r="L297" s="42">
        <f>$B$289</f>
        <v/>
      </c>
      <c r="M297" s="42">
        <f>$B$289</f>
        <v/>
      </c>
      <c r="N297" s="42">
        <f>$B$289</f>
        <v/>
      </c>
      <c r="O297" s="42">
        <f>$B$289</f>
        <v/>
      </c>
      <c r="P297" s="42">
        <f>$B$289</f>
        <v/>
      </c>
      <c r="Q297" s="42">
        <f>$B$289</f>
        <v/>
      </c>
      <c r="R297" s="42">
        <f>$B$289</f>
        <v/>
      </c>
      <c r="S297" s="42">
        <f>$B$289</f>
        <v/>
      </c>
      <c r="T297" s="42">
        <f>$B$289</f>
        <v/>
      </c>
      <c r="U297" s="42">
        <f>$B$289</f>
        <v/>
      </c>
      <c r="V297" s="42">
        <f>$B$289</f>
        <v/>
      </c>
      <c r="W297" s="42">
        <f>$B$289</f>
        <v/>
      </c>
      <c r="X297" s="42">
        <f>$B$289</f>
        <v/>
      </c>
      <c r="Y297" s="42">
        <f>$B$289</f>
        <v/>
      </c>
      <c r="Z297" s="42">
        <f>$B$289</f>
        <v/>
      </c>
      <c r="AA297" s="42">
        <f>$B$289</f>
        <v/>
      </c>
      <c r="AB297" s="42">
        <f>$B$289</f>
        <v/>
      </c>
      <c r="AC297" s="42">
        <f>$B$289</f>
        <v/>
      </c>
      <c r="AD297" s="42">
        <f>$B$289</f>
        <v/>
      </c>
      <c r="AE297" s="42">
        <f>$B$289</f>
        <v/>
      </c>
      <c r="AF297" s="42">
        <f>$B$289</f>
        <v/>
      </c>
      <c r="AG297" s="42">
        <f>$B$289</f>
        <v/>
      </c>
      <c r="AH297" s="42">
        <f>$B$289</f>
        <v/>
      </c>
      <c r="AI297" s="42">
        <f>$B$289</f>
        <v/>
      </c>
      <c r="AJ297" s="42">
        <f>$B$289</f>
        <v/>
      </c>
      <c r="AK297" s="42">
        <f>$B$289</f>
        <v/>
      </c>
      <c r="AL297" s="42">
        <f>$B$289</f>
        <v/>
      </c>
      <c r="AM297" s="42">
        <f>$B$289</f>
        <v/>
      </c>
      <c r="AN297" s="42">
        <f>$B$289</f>
        <v/>
      </c>
      <c r="AO297" s="42">
        <f>$B$289</f>
        <v/>
      </c>
      <c r="AP297" s="42">
        <f>$B$289</f>
        <v/>
      </c>
      <c r="AQ297" s="42">
        <f>$B$289</f>
        <v/>
      </c>
      <c r="AR297" s="42">
        <f>$B$289</f>
        <v/>
      </c>
      <c r="AS297" s="42">
        <f>$B$289</f>
        <v/>
      </c>
      <c r="AT297" s="42">
        <f>$B$289</f>
        <v/>
      </c>
      <c r="AU297" s="42">
        <f>$B$289</f>
        <v/>
      </c>
      <c r="AV297" s="42">
        <f>$B$289</f>
        <v/>
      </c>
      <c r="AW297" s="42">
        <f>$B$289</f>
        <v/>
      </c>
      <c r="AX297" s="42">
        <f>$B$289</f>
        <v/>
      </c>
      <c r="AY297" s="42">
        <f>$B$289</f>
        <v/>
      </c>
      <c r="AZ297" s="42">
        <f>$B$289</f>
        <v/>
      </c>
      <c r="BA297" s="42">
        <f>$B$289</f>
        <v/>
      </c>
      <c r="BB297" s="42">
        <f>$B$289</f>
        <v/>
      </c>
      <c r="BC297" s="42">
        <f>$B$289</f>
        <v/>
      </c>
      <c r="BD297" s="42">
        <f>$B$289</f>
        <v/>
      </c>
    </row>
    <row r="298">
      <c r="A298" s="26" t="inlineStr">
        <is>
          <t xml:space="preserve">  overhead</t>
        </is>
      </c>
      <c r="B298" s="2" t="inlineStr">
        <is>
          <t>$</t>
        </is>
      </c>
      <c r="E298" s="42">
        <f>E294*$B$290</f>
        <v/>
      </c>
      <c r="F298" s="42">
        <f>F294*$B$290</f>
        <v/>
      </c>
      <c r="G298" s="42">
        <f>G294*$B$290</f>
        <v/>
      </c>
      <c r="H298" s="42">
        <f>H294*$B$290</f>
        <v/>
      </c>
      <c r="I298" s="42">
        <f>I294*$B$290</f>
        <v/>
      </c>
      <c r="J298" s="42">
        <f>J294*$B$290</f>
        <v/>
      </c>
      <c r="K298" s="42">
        <f>K294*$B$290</f>
        <v/>
      </c>
      <c r="L298" s="42">
        <f>L294*$B$290</f>
        <v/>
      </c>
      <c r="M298" s="42">
        <f>M294*$B$290</f>
        <v/>
      </c>
      <c r="N298" s="42">
        <f>N294*$B$290</f>
        <v/>
      </c>
      <c r="O298" s="42">
        <f>O294*$B$290</f>
        <v/>
      </c>
      <c r="P298" s="42">
        <f>P294*$B$290</f>
        <v/>
      </c>
      <c r="Q298" s="42">
        <f>Q294*$B$290</f>
        <v/>
      </c>
      <c r="R298" s="42">
        <f>R294*$B$290</f>
        <v/>
      </c>
      <c r="S298" s="42">
        <f>S294*$B$290</f>
        <v/>
      </c>
      <c r="T298" s="42">
        <f>T294*$B$290</f>
        <v/>
      </c>
      <c r="U298" s="42">
        <f>U294*$B$290</f>
        <v/>
      </c>
      <c r="V298" s="42">
        <f>V294*$B$290</f>
        <v/>
      </c>
      <c r="W298" s="42">
        <f>W294*$B$290</f>
        <v/>
      </c>
      <c r="X298" s="42">
        <f>X294*$B$290</f>
        <v/>
      </c>
      <c r="Y298" s="42">
        <f>Y294*$B$290</f>
        <v/>
      </c>
      <c r="Z298" s="42">
        <f>Z294*$B$290</f>
        <v/>
      </c>
      <c r="AA298" s="42">
        <f>AA294*$B$290</f>
        <v/>
      </c>
      <c r="AB298" s="42">
        <f>AB294*$B$290</f>
        <v/>
      </c>
      <c r="AC298" s="42">
        <f>AC294*$B$290</f>
        <v/>
      </c>
      <c r="AD298" s="42">
        <f>AD294*$B$290</f>
        <v/>
      </c>
      <c r="AE298" s="42">
        <f>AE294*$B$290</f>
        <v/>
      </c>
      <c r="AF298" s="42">
        <f>AF294*$B$290</f>
        <v/>
      </c>
      <c r="AG298" s="42">
        <f>AG294*$B$290</f>
        <v/>
      </c>
      <c r="AH298" s="42">
        <f>AH294*$B$290</f>
        <v/>
      </c>
      <c r="AI298" s="42">
        <f>AI294*$B$290</f>
        <v/>
      </c>
      <c r="AJ298" s="42">
        <f>AJ294*$B$290</f>
        <v/>
      </c>
      <c r="AK298" s="42">
        <f>AK294*$B$290</f>
        <v/>
      </c>
      <c r="AL298" s="42">
        <f>AL294*$B$290</f>
        <v/>
      </c>
      <c r="AM298" s="42">
        <f>AM294*$B$290</f>
        <v/>
      </c>
      <c r="AN298" s="42">
        <f>AN294*$B$290</f>
        <v/>
      </c>
      <c r="AO298" s="42">
        <f>AO294*$B$290</f>
        <v/>
      </c>
      <c r="AP298" s="42">
        <f>AP294*$B$290</f>
        <v/>
      </c>
      <c r="AQ298" s="42">
        <f>AQ294*$B$290</f>
        <v/>
      </c>
      <c r="AR298" s="42">
        <f>AR294*$B$290</f>
        <v/>
      </c>
      <c r="AS298" s="42">
        <f>AS294*$B$290</f>
        <v/>
      </c>
      <c r="AT298" s="42">
        <f>AT294*$B$290</f>
        <v/>
      </c>
      <c r="AU298" s="42">
        <f>AU294*$B$290</f>
        <v/>
      </c>
      <c r="AV298" s="42">
        <f>AV294*$B$290</f>
        <v/>
      </c>
      <c r="AW298" s="42">
        <f>AW294*$B$290</f>
        <v/>
      </c>
      <c r="AX298" s="42">
        <f>AX294*$B$290</f>
        <v/>
      </c>
      <c r="AY298" s="42">
        <f>AY294*$B$290</f>
        <v/>
      </c>
      <c r="AZ298" s="42">
        <f>AZ294*$B$290</f>
        <v/>
      </c>
      <c r="BA298" s="42">
        <f>BA294*$B$290</f>
        <v/>
      </c>
      <c r="BB298" s="42">
        <f>BB294*$B$290</f>
        <v/>
      </c>
      <c r="BC298" s="42">
        <f>BC294*$B$290</f>
        <v/>
      </c>
      <c r="BD298" s="42">
        <f>BD294*$B$290</f>
        <v/>
      </c>
    </row>
    <row r="299">
      <c r="A299" s="26" t="inlineStr">
        <is>
          <t xml:space="preserve">  wages</t>
        </is>
      </c>
      <c r="B299" s="2" t="inlineStr">
        <is>
          <t>$</t>
        </is>
      </c>
      <c r="E299" s="42">
        <f>E181</f>
        <v/>
      </c>
      <c r="F299" s="42">
        <f>F181</f>
        <v/>
      </c>
      <c r="G299" s="42">
        <f>G181</f>
        <v/>
      </c>
      <c r="H299" s="42">
        <f>H181</f>
        <v/>
      </c>
      <c r="I299" s="42">
        <f>I181</f>
        <v/>
      </c>
      <c r="J299" s="42">
        <f>J181</f>
        <v/>
      </c>
      <c r="K299" s="42">
        <f>K181</f>
        <v/>
      </c>
      <c r="L299" s="42">
        <f>L181</f>
        <v/>
      </c>
      <c r="M299" s="42">
        <f>M181</f>
        <v/>
      </c>
      <c r="N299" s="42">
        <f>N181</f>
        <v/>
      </c>
      <c r="O299" s="42">
        <f>O181</f>
        <v/>
      </c>
      <c r="P299" s="42">
        <f>P181</f>
        <v/>
      </c>
      <c r="Q299" s="42">
        <f>Q181</f>
        <v/>
      </c>
      <c r="R299" s="42">
        <f>R181</f>
        <v/>
      </c>
      <c r="S299" s="42">
        <f>S181</f>
        <v/>
      </c>
      <c r="T299" s="42">
        <f>T181</f>
        <v/>
      </c>
      <c r="U299" s="42">
        <f>U181</f>
        <v/>
      </c>
      <c r="V299" s="42">
        <f>V181</f>
        <v/>
      </c>
      <c r="W299" s="42">
        <f>W181</f>
        <v/>
      </c>
      <c r="X299" s="42">
        <f>X181</f>
        <v/>
      </c>
      <c r="Y299" s="42">
        <f>Y181</f>
        <v/>
      </c>
      <c r="Z299" s="42">
        <f>Z181</f>
        <v/>
      </c>
      <c r="AA299" s="42">
        <f>AA181</f>
        <v/>
      </c>
      <c r="AB299" s="42">
        <f>AB181</f>
        <v/>
      </c>
      <c r="AC299" s="42">
        <f>AC181</f>
        <v/>
      </c>
      <c r="AD299" s="42">
        <f>AD181</f>
        <v/>
      </c>
      <c r="AE299" s="42">
        <f>AE181</f>
        <v/>
      </c>
      <c r="AF299" s="42">
        <f>AF181</f>
        <v/>
      </c>
      <c r="AG299" s="42">
        <f>AG181</f>
        <v/>
      </c>
      <c r="AH299" s="42">
        <f>AH181</f>
        <v/>
      </c>
      <c r="AI299" s="42">
        <f>AI181</f>
        <v/>
      </c>
      <c r="AJ299" s="42">
        <f>AJ181</f>
        <v/>
      </c>
      <c r="AK299" s="42">
        <f>AK181</f>
        <v/>
      </c>
      <c r="AL299" s="42">
        <f>AL181</f>
        <v/>
      </c>
      <c r="AM299" s="42">
        <f>AM181</f>
        <v/>
      </c>
      <c r="AN299" s="42">
        <f>AN181</f>
        <v/>
      </c>
      <c r="AO299" s="42">
        <f>AO181</f>
        <v/>
      </c>
      <c r="AP299" s="42">
        <f>AP181</f>
        <v/>
      </c>
      <c r="AQ299" s="42">
        <f>AQ181</f>
        <v/>
      </c>
      <c r="AR299" s="42">
        <f>AR181</f>
        <v/>
      </c>
      <c r="AS299" s="42">
        <f>AS181</f>
        <v/>
      </c>
      <c r="AT299" s="42">
        <f>AT181</f>
        <v/>
      </c>
      <c r="AU299" s="42">
        <f>AU181</f>
        <v/>
      </c>
      <c r="AV299" s="42">
        <f>AV181</f>
        <v/>
      </c>
      <c r="AW299" s="42">
        <f>AW181</f>
        <v/>
      </c>
      <c r="AX299" s="42">
        <f>AX181</f>
        <v/>
      </c>
      <c r="AY299" s="42">
        <f>AY181</f>
        <v/>
      </c>
      <c r="AZ299" s="42">
        <f>AZ181</f>
        <v/>
      </c>
      <c r="BA299" s="42">
        <f>BA181</f>
        <v/>
      </c>
      <c r="BB299" s="42">
        <f>BB181</f>
        <v/>
      </c>
      <c r="BC299" s="42">
        <f>BC181</f>
        <v/>
      </c>
      <c r="BD299" s="42">
        <f>BD181</f>
        <v/>
      </c>
    </row>
    <row r="300">
      <c r="A300" s="26" t="inlineStr">
        <is>
          <t xml:space="preserve">  overtime</t>
        </is>
      </c>
      <c r="B300" s="2" t="inlineStr">
        <is>
          <t>$</t>
        </is>
      </c>
      <c r="E300" s="42">
        <f>E183</f>
        <v/>
      </c>
      <c r="F300" s="42">
        <f>F183</f>
        <v/>
      </c>
      <c r="G300" s="42">
        <f>G183</f>
        <v/>
      </c>
      <c r="H300" s="42">
        <f>H183</f>
        <v/>
      </c>
      <c r="I300" s="42">
        <f>I183</f>
        <v/>
      </c>
      <c r="J300" s="42">
        <f>J183</f>
        <v/>
      </c>
      <c r="K300" s="42">
        <f>K183</f>
        <v/>
      </c>
      <c r="L300" s="42">
        <f>L183</f>
        <v/>
      </c>
      <c r="M300" s="42">
        <f>M183</f>
        <v/>
      </c>
      <c r="N300" s="42">
        <f>N183</f>
        <v/>
      </c>
      <c r="O300" s="42">
        <f>O183</f>
        <v/>
      </c>
      <c r="P300" s="42">
        <f>P183</f>
        <v/>
      </c>
      <c r="Q300" s="42">
        <f>Q183</f>
        <v/>
      </c>
      <c r="R300" s="42">
        <f>R183</f>
        <v/>
      </c>
      <c r="S300" s="42">
        <f>S183</f>
        <v/>
      </c>
      <c r="T300" s="42">
        <f>T183</f>
        <v/>
      </c>
      <c r="U300" s="42">
        <f>U183</f>
        <v/>
      </c>
      <c r="V300" s="42">
        <f>V183</f>
        <v/>
      </c>
      <c r="W300" s="42">
        <f>W183</f>
        <v/>
      </c>
      <c r="X300" s="42">
        <f>X183</f>
        <v/>
      </c>
      <c r="Y300" s="42">
        <f>Y183</f>
        <v/>
      </c>
      <c r="Z300" s="42">
        <f>Z183</f>
        <v/>
      </c>
      <c r="AA300" s="42">
        <f>AA183</f>
        <v/>
      </c>
      <c r="AB300" s="42">
        <f>AB183</f>
        <v/>
      </c>
      <c r="AC300" s="42">
        <f>AC183</f>
        <v/>
      </c>
      <c r="AD300" s="42">
        <f>AD183</f>
        <v/>
      </c>
      <c r="AE300" s="42">
        <f>AE183</f>
        <v/>
      </c>
      <c r="AF300" s="42">
        <f>AF183</f>
        <v/>
      </c>
      <c r="AG300" s="42">
        <f>AG183</f>
        <v/>
      </c>
      <c r="AH300" s="42">
        <f>AH183</f>
        <v/>
      </c>
      <c r="AI300" s="42">
        <f>AI183</f>
        <v/>
      </c>
      <c r="AJ300" s="42">
        <f>AJ183</f>
        <v/>
      </c>
      <c r="AK300" s="42">
        <f>AK183</f>
        <v/>
      </c>
      <c r="AL300" s="42">
        <f>AL183</f>
        <v/>
      </c>
      <c r="AM300" s="42">
        <f>AM183</f>
        <v/>
      </c>
      <c r="AN300" s="42">
        <f>AN183</f>
        <v/>
      </c>
      <c r="AO300" s="42">
        <f>AO183</f>
        <v/>
      </c>
      <c r="AP300" s="42">
        <f>AP183</f>
        <v/>
      </c>
      <c r="AQ300" s="42">
        <f>AQ183</f>
        <v/>
      </c>
      <c r="AR300" s="42">
        <f>AR183</f>
        <v/>
      </c>
      <c r="AS300" s="42">
        <f>AS183</f>
        <v/>
      </c>
      <c r="AT300" s="42">
        <f>AT183</f>
        <v/>
      </c>
      <c r="AU300" s="42">
        <f>AU183</f>
        <v/>
      </c>
      <c r="AV300" s="42">
        <f>AV183</f>
        <v/>
      </c>
      <c r="AW300" s="42">
        <f>AW183</f>
        <v/>
      </c>
      <c r="AX300" s="42">
        <f>AX183</f>
        <v/>
      </c>
      <c r="AY300" s="42">
        <f>AY183</f>
        <v/>
      </c>
      <c r="AZ300" s="42">
        <f>AZ183</f>
        <v/>
      </c>
      <c r="BA300" s="42">
        <f>BA183</f>
        <v/>
      </c>
      <c r="BB300" s="42">
        <f>BB183</f>
        <v/>
      </c>
      <c r="BC300" s="42">
        <f>BC183</f>
        <v/>
      </c>
      <c r="BD300" s="42">
        <f>BD183</f>
        <v/>
      </c>
    </row>
    <row r="301">
      <c r="A301" s="26" t="inlineStr">
        <is>
          <t xml:space="preserve">  advisory crew</t>
        </is>
      </c>
      <c r="B301" s="2" t="inlineStr">
        <is>
          <t>$</t>
        </is>
      </c>
      <c r="E301" s="42">
        <f>E185</f>
        <v/>
      </c>
      <c r="F301" s="42">
        <f>F185</f>
        <v/>
      </c>
      <c r="G301" s="42">
        <f>G185</f>
        <v/>
      </c>
      <c r="H301" s="42">
        <f>H185</f>
        <v/>
      </c>
      <c r="I301" s="42">
        <f>I185</f>
        <v/>
      </c>
      <c r="J301" s="42">
        <f>J185</f>
        <v/>
      </c>
      <c r="K301" s="42">
        <f>K185</f>
        <v/>
      </c>
      <c r="L301" s="42">
        <f>L185</f>
        <v/>
      </c>
      <c r="M301" s="42">
        <f>M185</f>
        <v/>
      </c>
      <c r="N301" s="42">
        <f>N185</f>
        <v/>
      </c>
      <c r="O301" s="42">
        <f>O185</f>
        <v/>
      </c>
      <c r="P301" s="42">
        <f>P185</f>
        <v/>
      </c>
      <c r="Q301" s="42">
        <f>Q185</f>
        <v/>
      </c>
      <c r="R301" s="42">
        <f>R185</f>
        <v/>
      </c>
      <c r="S301" s="42">
        <f>S185</f>
        <v/>
      </c>
      <c r="T301" s="42">
        <f>T185</f>
        <v/>
      </c>
      <c r="U301" s="42">
        <f>U185</f>
        <v/>
      </c>
      <c r="V301" s="42">
        <f>V185</f>
        <v/>
      </c>
      <c r="W301" s="42">
        <f>W185</f>
        <v/>
      </c>
      <c r="X301" s="42">
        <f>X185</f>
        <v/>
      </c>
      <c r="Y301" s="42">
        <f>Y185</f>
        <v/>
      </c>
      <c r="Z301" s="42">
        <f>Z185</f>
        <v/>
      </c>
      <c r="AA301" s="42">
        <f>AA185</f>
        <v/>
      </c>
      <c r="AB301" s="42">
        <f>AB185</f>
        <v/>
      </c>
      <c r="AC301" s="42">
        <f>AC185</f>
        <v/>
      </c>
      <c r="AD301" s="42">
        <f>AD185</f>
        <v/>
      </c>
      <c r="AE301" s="42">
        <f>AE185</f>
        <v/>
      </c>
      <c r="AF301" s="42">
        <f>AF185</f>
        <v/>
      </c>
      <c r="AG301" s="42">
        <f>AG185</f>
        <v/>
      </c>
      <c r="AH301" s="42">
        <f>AH185</f>
        <v/>
      </c>
      <c r="AI301" s="42">
        <f>AI185</f>
        <v/>
      </c>
      <c r="AJ301" s="42">
        <f>AJ185</f>
        <v/>
      </c>
      <c r="AK301" s="42">
        <f>AK185</f>
        <v/>
      </c>
      <c r="AL301" s="42">
        <f>AL185</f>
        <v/>
      </c>
      <c r="AM301" s="42">
        <f>AM185</f>
        <v/>
      </c>
      <c r="AN301" s="42">
        <f>AN185</f>
        <v/>
      </c>
      <c r="AO301" s="42">
        <f>AO185</f>
        <v/>
      </c>
      <c r="AP301" s="42">
        <f>AP185</f>
        <v/>
      </c>
      <c r="AQ301" s="42">
        <f>AQ185</f>
        <v/>
      </c>
      <c r="AR301" s="42">
        <f>AR185</f>
        <v/>
      </c>
      <c r="AS301" s="42">
        <f>AS185</f>
        <v/>
      </c>
      <c r="AT301" s="42">
        <f>AT185</f>
        <v/>
      </c>
      <c r="AU301" s="42">
        <f>AU185</f>
        <v/>
      </c>
      <c r="AV301" s="42">
        <f>AV185</f>
        <v/>
      </c>
      <c r="AW301" s="42">
        <f>AW185</f>
        <v/>
      </c>
      <c r="AX301" s="42">
        <f>AX185</f>
        <v/>
      </c>
      <c r="AY301" s="42">
        <f>AY185</f>
        <v/>
      </c>
      <c r="AZ301" s="42">
        <f>AZ185</f>
        <v/>
      </c>
      <c r="BA301" s="42">
        <f>BA185</f>
        <v/>
      </c>
      <c r="BB301" s="42">
        <f>BB185</f>
        <v/>
      </c>
      <c r="BC301" s="42">
        <f>BC185</f>
        <v/>
      </c>
      <c r="BD301" s="42">
        <f>BD185</f>
        <v/>
      </c>
    </row>
    <row r="302">
      <c r="A302" s="4" t="inlineStr">
        <is>
          <t>NET CASH this week</t>
        </is>
      </c>
      <c r="B302" s="2" t="inlineStr">
        <is>
          <t>$</t>
        </is>
      </c>
      <c r="E302" s="42">
        <f>E294-E295-E296-E297-E298-E299-E300-E301</f>
        <v/>
      </c>
      <c r="F302" s="42">
        <f>F294-F295-F296-F297-F298-F299-F300-F301</f>
        <v/>
      </c>
      <c r="G302" s="42">
        <f>G294-G295-G296-G297-G298-G299-G300-G301</f>
        <v/>
      </c>
      <c r="H302" s="42">
        <f>H294-H295-H296-H297-H298-H299-H300-H301</f>
        <v/>
      </c>
      <c r="I302" s="42">
        <f>I294-I295-I296-I297-I298-I299-I300-I301</f>
        <v/>
      </c>
      <c r="J302" s="42">
        <f>J294-J295-J296-J297-J298-J299-J300-J301</f>
        <v/>
      </c>
      <c r="K302" s="42">
        <f>K294-K295-K296-K297-K298-K299-K300-K301</f>
        <v/>
      </c>
      <c r="L302" s="42">
        <f>L294-L295-L296-L297-L298-L299-L300-L301</f>
        <v/>
      </c>
      <c r="M302" s="42">
        <f>M294-M295-M296-M297-M298-M299-M300-M301</f>
        <v/>
      </c>
      <c r="N302" s="42">
        <f>N294-N295-N296-N297-N298-N299-N300-N301</f>
        <v/>
      </c>
      <c r="O302" s="42">
        <f>O294-O295-O296-O297-O298-O299-O300-O301</f>
        <v/>
      </c>
      <c r="P302" s="42">
        <f>P294-P295-P296-P297-P298-P299-P300-P301</f>
        <v/>
      </c>
      <c r="Q302" s="42">
        <f>Q294-Q295-Q296-Q297-Q298-Q299-Q300-Q301</f>
        <v/>
      </c>
      <c r="R302" s="42">
        <f>R294-R295-R296-R297-R298-R299-R300-R301</f>
        <v/>
      </c>
      <c r="S302" s="42">
        <f>S294-S295-S296-S297-S298-S299-S300-S301</f>
        <v/>
      </c>
      <c r="T302" s="42">
        <f>T294-T295-T296-T297-T298-T299-T300-T301</f>
        <v/>
      </c>
      <c r="U302" s="42">
        <f>U294-U295-U296-U297-U298-U299-U300-U301</f>
        <v/>
      </c>
      <c r="V302" s="42">
        <f>V294-V295-V296-V297-V298-V299-V300-V301</f>
        <v/>
      </c>
      <c r="W302" s="42">
        <f>W294-W295-W296-W297-W298-W299-W300-W301</f>
        <v/>
      </c>
      <c r="X302" s="42">
        <f>X294-X295-X296-X297-X298-X299-X300-X301</f>
        <v/>
      </c>
      <c r="Y302" s="42">
        <f>Y294-Y295-Y296-Y297-Y298-Y299-Y300-Y301</f>
        <v/>
      </c>
      <c r="Z302" s="42">
        <f>Z294-Z295-Z296-Z297-Z298-Z299-Z300-Z301</f>
        <v/>
      </c>
      <c r="AA302" s="42">
        <f>AA294-AA295-AA296-AA297-AA298-AA299-AA300-AA301</f>
        <v/>
      </c>
      <c r="AB302" s="42">
        <f>AB294-AB295-AB296-AB297-AB298-AB299-AB300-AB301</f>
        <v/>
      </c>
      <c r="AC302" s="42">
        <f>AC294-AC295-AC296-AC297-AC298-AC299-AC300-AC301</f>
        <v/>
      </c>
      <c r="AD302" s="42">
        <f>AD294-AD295-AD296-AD297-AD298-AD299-AD300-AD301</f>
        <v/>
      </c>
      <c r="AE302" s="42">
        <f>AE294-AE295-AE296-AE297-AE298-AE299-AE300-AE301</f>
        <v/>
      </c>
      <c r="AF302" s="42">
        <f>AF294-AF295-AF296-AF297-AF298-AF299-AF300-AF301</f>
        <v/>
      </c>
      <c r="AG302" s="42">
        <f>AG294-AG295-AG296-AG297-AG298-AG299-AG300-AG301</f>
        <v/>
      </c>
      <c r="AH302" s="42">
        <f>AH294-AH295-AH296-AH297-AH298-AH299-AH300-AH301</f>
        <v/>
      </c>
      <c r="AI302" s="42">
        <f>AI294-AI295-AI296-AI297-AI298-AI299-AI300-AI301</f>
        <v/>
      </c>
      <c r="AJ302" s="42">
        <f>AJ294-AJ295-AJ296-AJ297-AJ298-AJ299-AJ300-AJ301</f>
        <v/>
      </c>
      <c r="AK302" s="42">
        <f>AK294-AK295-AK296-AK297-AK298-AK299-AK300-AK301</f>
        <v/>
      </c>
      <c r="AL302" s="42">
        <f>AL294-AL295-AL296-AL297-AL298-AL299-AL300-AL301</f>
        <v/>
      </c>
      <c r="AM302" s="42">
        <f>AM294-AM295-AM296-AM297-AM298-AM299-AM300-AM301</f>
        <v/>
      </c>
      <c r="AN302" s="42">
        <f>AN294-AN295-AN296-AN297-AN298-AN299-AN300-AN301</f>
        <v/>
      </c>
      <c r="AO302" s="42">
        <f>AO294-AO295-AO296-AO297-AO298-AO299-AO300-AO301</f>
        <v/>
      </c>
      <c r="AP302" s="42">
        <f>AP294-AP295-AP296-AP297-AP298-AP299-AP300-AP301</f>
        <v/>
      </c>
      <c r="AQ302" s="42">
        <f>AQ294-AQ295-AQ296-AQ297-AQ298-AQ299-AQ300-AQ301</f>
        <v/>
      </c>
      <c r="AR302" s="42">
        <f>AR294-AR295-AR296-AR297-AR298-AR299-AR300-AR301</f>
        <v/>
      </c>
      <c r="AS302" s="42">
        <f>AS294-AS295-AS296-AS297-AS298-AS299-AS300-AS301</f>
        <v/>
      </c>
      <c r="AT302" s="42">
        <f>AT294-AT295-AT296-AT297-AT298-AT299-AT300-AT301</f>
        <v/>
      </c>
      <c r="AU302" s="42">
        <f>AU294-AU295-AU296-AU297-AU298-AU299-AU300-AU301</f>
        <v/>
      </c>
      <c r="AV302" s="42">
        <f>AV294-AV295-AV296-AV297-AV298-AV299-AV300-AV301</f>
        <v/>
      </c>
      <c r="AW302" s="42">
        <f>AW294-AW295-AW296-AW297-AW298-AW299-AW300-AW301</f>
        <v/>
      </c>
      <c r="AX302" s="42">
        <f>AX294-AX295-AX296-AX297-AX298-AX299-AX300-AX301</f>
        <v/>
      </c>
      <c r="AY302" s="42">
        <f>AY294-AY295-AY296-AY297-AY298-AY299-AY300-AY301</f>
        <v/>
      </c>
      <c r="AZ302" s="42">
        <f>AZ294-AZ295-AZ296-AZ297-AZ298-AZ299-AZ300-AZ301</f>
        <v/>
      </c>
      <c r="BA302" s="42">
        <f>BA294-BA295-BA296-BA297-BA298-BA299-BA300-BA301</f>
        <v/>
      </c>
      <c r="BB302" s="42">
        <f>BB294-BB295-BB296-BB297-BB298-BB299-BB300-BB301</f>
        <v/>
      </c>
      <c r="BC302" s="42">
        <f>BC294-BC295-BC296-BC297-BC298-BC299-BC300-BC301</f>
        <v/>
      </c>
      <c r="BD302" s="42">
        <f>BD294-BD295-BD296-BD297-BD298-BD299-BD300-BD301</f>
        <v/>
      </c>
    </row>
    <row r="304">
      <c r="A304" s="30" t="inlineStr">
        <is>
          <t>Week</t>
        </is>
      </c>
      <c r="B304" s="38" t="inlineStr">
        <is>
          <t>$</t>
        </is>
      </c>
      <c r="E304" s="31" t="n">
        <v>1</v>
      </c>
      <c r="F304" s="31" t="n">
        <v>2</v>
      </c>
      <c r="G304" s="31" t="n">
        <v>3</v>
      </c>
      <c r="H304" s="31" t="n">
        <v>4</v>
      </c>
      <c r="I304" s="31" t="n">
        <v>5</v>
      </c>
      <c r="J304" s="31" t="n">
        <v>6</v>
      </c>
      <c r="K304" s="31" t="n">
        <v>7</v>
      </c>
      <c r="L304" s="31" t="n">
        <v>8</v>
      </c>
      <c r="M304" s="31" t="n">
        <v>9</v>
      </c>
      <c r="N304" s="31" t="n">
        <v>10</v>
      </c>
      <c r="O304" s="31" t="n">
        <v>11</v>
      </c>
      <c r="P304" s="31" t="n">
        <v>12</v>
      </c>
      <c r="Q304" s="31" t="n">
        <v>13</v>
      </c>
      <c r="R304" s="31" t="n">
        <v>14</v>
      </c>
      <c r="S304" s="31" t="n">
        <v>15</v>
      </c>
      <c r="T304" s="31" t="n">
        <v>16</v>
      </c>
      <c r="U304" s="31" t="n">
        <v>17</v>
      </c>
      <c r="V304" s="31" t="n">
        <v>18</v>
      </c>
      <c r="W304" s="31" t="n">
        <v>19</v>
      </c>
      <c r="X304" s="31" t="n">
        <v>20</v>
      </c>
      <c r="Y304" s="31" t="n">
        <v>21</v>
      </c>
      <c r="Z304" s="31" t="n">
        <v>22</v>
      </c>
      <c r="AA304" s="31" t="n">
        <v>23</v>
      </c>
      <c r="AB304" s="31" t="n">
        <v>24</v>
      </c>
      <c r="AC304" s="31" t="n">
        <v>25</v>
      </c>
      <c r="AD304" s="31" t="n">
        <v>26</v>
      </c>
      <c r="AE304" s="31" t="n">
        <v>27</v>
      </c>
      <c r="AF304" s="31" t="n">
        <v>28</v>
      </c>
      <c r="AG304" s="31" t="n">
        <v>29</v>
      </c>
      <c r="AH304" s="31" t="n">
        <v>30</v>
      </c>
      <c r="AI304" s="31" t="n">
        <v>31</v>
      </c>
      <c r="AJ304" s="31" t="n">
        <v>32</v>
      </c>
      <c r="AK304" s="31" t="n">
        <v>33</v>
      </c>
      <c r="AL304" s="31" t="n">
        <v>34</v>
      </c>
      <c r="AM304" s="31" t="n">
        <v>35</v>
      </c>
      <c r="AN304" s="31" t="n">
        <v>36</v>
      </c>
      <c r="AO304" s="31" t="n">
        <v>37</v>
      </c>
      <c r="AP304" s="31" t="n">
        <v>38</v>
      </c>
      <c r="AQ304" s="31" t="n">
        <v>39</v>
      </c>
      <c r="AR304" s="31" t="n">
        <v>40</v>
      </c>
      <c r="AS304" s="31" t="n">
        <v>41</v>
      </c>
      <c r="AT304" s="31" t="n">
        <v>42</v>
      </c>
      <c r="AU304" s="31" t="n">
        <v>43</v>
      </c>
      <c r="AV304" s="31" t="n">
        <v>44</v>
      </c>
      <c r="AW304" s="31" t="n">
        <v>45</v>
      </c>
      <c r="AX304" s="31" t="n">
        <v>46</v>
      </c>
      <c r="AY304" s="31" t="n">
        <v>47</v>
      </c>
      <c r="AZ304" s="31" t="n">
        <v>48</v>
      </c>
      <c r="BA304" s="31" t="n">
        <v>49</v>
      </c>
      <c r="BB304" s="31" t="n">
        <v>50</v>
      </c>
      <c r="BC304" s="31" t="n">
        <v>51</v>
      </c>
      <c r="BD304" s="31" t="n">
        <v>52</v>
      </c>
    </row>
    <row r="305">
      <c r="A305" s="4" t="inlineStr">
        <is>
          <t>CASH IN THE BANK</t>
        </is>
      </c>
      <c r="B305" s="2" t="inlineStr">
        <is>
          <t>$</t>
        </is>
      </c>
      <c r="E305" s="43">
        <f>$B$287+E302</f>
        <v/>
      </c>
      <c r="F305" s="43">
        <f>E305+F302</f>
        <v/>
      </c>
      <c r="G305" s="43">
        <f>F305+G302</f>
        <v/>
      </c>
      <c r="H305" s="43">
        <f>G305+H302</f>
        <v/>
      </c>
      <c r="I305" s="43">
        <f>H305+I302</f>
        <v/>
      </c>
      <c r="J305" s="43">
        <f>I305+J302</f>
        <v/>
      </c>
      <c r="K305" s="43">
        <f>J305+K302</f>
        <v/>
      </c>
      <c r="L305" s="43">
        <f>K305+L302</f>
        <v/>
      </c>
      <c r="M305" s="43">
        <f>L305+M302</f>
        <v/>
      </c>
      <c r="N305" s="43">
        <f>M305+N302</f>
        <v/>
      </c>
      <c r="O305" s="43">
        <f>N305+O302</f>
        <v/>
      </c>
      <c r="P305" s="43">
        <f>O305+P302</f>
        <v/>
      </c>
      <c r="Q305" s="43">
        <f>P305+Q302</f>
        <v/>
      </c>
      <c r="R305" s="43">
        <f>Q305+R302</f>
        <v/>
      </c>
      <c r="S305" s="43">
        <f>R305+S302</f>
        <v/>
      </c>
      <c r="T305" s="43">
        <f>S305+T302</f>
        <v/>
      </c>
      <c r="U305" s="43">
        <f>T305+U302</f>
        <v/>
      </c>
      <c r="V305" s="43">
        <f>U305+V302</f>
        <v/>
      </c>
      <c r="W305" s="43">
        <f>V305+W302</f>
        <v/>
      </c>
      <c r="X305" s="43">
        <f>W305+X302</f>
        <v/>
      </c>
      <c r="Y305" s="43">
        <f>X305+Y302</f>
        <v/>
      </c>
      <c r="Z305" s="43">
        <f>Y305+Z302</f>
        <v/>
      </c>
      <c r="AA305" s="43">
        <f>Z305+AA302</f>
        <v/>
      </c>
      <c r="AB305" s="43">
        <f>AA305+AB302</f>
        <v/>
      </c>
      <c r="AC305" s="43">
        <f>AB305+AC302</f>
        <v/>
      </c>
      <c r="AD305" s="43">
        <f>AC305+AD302</f>
        <v/>
      </c>
      <c r="AE305" s="43">
        <f>AD305+AE302</f>
        <v/>
      </c>
      <c r="AF305" s="43">
        <f>AE305+AF302</f>
        <v/>
      </c>
      <c r="AG305" s="43">
        <f>AF305+AG302</f>
        <v/>
      </c>
      <c r="AH305" s="43">
        <f>AG305+AH302</f>
        <v/>
      </c>
      <c r="AI305" s="43">
        <f>AH305+AI302</f>
        <v/>
      </c>
      <c r="AJ305" s="43">
        <f>AI305+AJ302</f>
        <v/>
      </c>
      <c r="AK305" s="43">
        <f>AJ305+AK302</f>
        <v/>
      </c>
      <c r="AL305" s="43">
        <f>AK305+AL302</f>
        <v/>
      </c>
      <c r="AM305" s="43">
        <f>AL305+AM302</f>
        <v/>
      </c>
      <c r="AN305" s="43">
        <f>AM305+AN302</f>
        <v/>
      </c>
      <c r="AO305" s="43">
        <f>AN305+AO302</f>
        <v/>
      </c>
      <c r="AP305" s="43">
        <f>AO305+AP302</f>
        <v/>
      </c>
      <c r="AQ305" s="43">
        <f>AP305+AQ302</f>
        <v/>
      </c>
      <c r="AR305" s="43">
        <f>AQ305+AR302</f>
        <v/>
      </c>
      <c r="AS305" s="43">
        <f>AR305+AS302</f>
        <v/>
      </c>
      <c r="AT305" s="43">
        <f>AS305+AT302</f>
        <v/>
      </c>
      <c r="AU305" s="43">
        <f>AT305+AU302</f>
        <v/>
      </c>
      <c r="AV305" s="43">
        <f>AU305+AV302</f>
        <v/>
      </c>
      <c r="AW305" s="43">
        <f>AV305+AW302</f>
        <v/>
      </c>
      <c r="AX305" s="43">
        <f>AW305+AX302</f>
        <v/>
      </c>
      <c r="AY305" s="43">
        <f>AX305+AY302</f>
        <v/>
      </c>
      <c r="AZ305" s="43">
        <f>AY305+AZ302</f>
        <v/>
      </c>
      <c r="BA305" s="43">
        <f>AZ305+BA302</f>
        <v/>
      </c>
      <c r="BB305" s="43">
        <f>BA305+BB302</f>
        <v/>
      </c>
      <c r="BC305" s="43">
        <f>BB305+BC302</f>
        <v/>
      </c>
      <c r="BD305" s="43">
        <f>BC305+BD302</f>
        <v/>
      </c>
    </row>
    <row r="306">
      <c r="E306" s="41" t="inlineStr">
        <is>
          <t>&gt;=</t>
        </is>
      </c>
      <c r="F306" s="41" t="inlineStr">
        <is>
          <t>&gt;=</t>
        </is>
      </c>
      <c r="G306" s="41" t="inlineStr">
        <is>
          <t>&gt;=</t>
        </is>
      </c>
      <c r="H306" s="41" t="inlineStr">
        <is>
          <t>&gt;=</t>
        </is>
      </c>
      <c r="I306" s="41" t="inlineStr">
        <is>
          <t>&gt;=</t>
        </is>
      </c>
      <c r="J306" s="41" t="inlineStr">
        <is>
          <t>&gt;=</t>
        </is>
      </c>
      <c r="K306" s="41" t="inlineStr">
        <is>
          <t>&gt;=</t>
        </is>
      </c>
      <c r="L306" s="41" t="inlineStr">
        <is>
          <t>&gt;=</t>
        </is>
      </c>
      <c r="M306" s="41" t="inlineStr">
        <is>
          <t>&gt;=</t>
        </is>
      </c>
      <c r="N306" s="41" t="inlineStr">
        <is>
          <t>&gt;=</t>
        </is>
      </c>
      <c r="O306" s="41" t="inlineStr">
        <is>
          <t>&gt;=</t>
        </is>
      </c>
      <c r="P306" s="41" t="inlineStr">
        <is>
          <t>&gt;=</t>
        </is>
      </c>
      <c r="Q306" s="41" t="inlineStr">
        <is>
          <t>&gt;=</t>
        </is>
      </c>
      <c r="R306" s="41" t="inlineStr">
        <is>
          <t>&gt;=</t>
        </is>
      </c>
      <c r="S306" s="41" t="inlineStr">
        <is>
          <t>&gt;=</t>
        </is>
      </c>
      <c r="T306" s="41" t="inlineStr">
        <is>
          <t>&gt;=</t>
        </is>
      </c>
      <c r="U306" s="41" t="inlineStr">
        <is>
          <t>&gt;=</t>
        </is>
      </c>
      <c r="V306" s="41" t="inlineStr">
        <is>
          <t>&gt;=</t>
        </is>
      </c>
      <c r="W306" s="41" t="inlineStr">
        <is>
          <t>&gt;=</t>
        </is>
      </c>
      <c r="X306" s="41" t="inlineStr">
        <is>
          <t>&gt;=</t>
        </is>
      </c>
      <c r="Y306" s="41" t="inlineStr">
        <is>
          <t>&gt;=</t>
        </is>
      </c>
      <c r="Z306" s="41" t="inlineStr">
        <is>
          <t>&gt;=</t>
        </is>
      </c>
      <c r="AA306" s="41" t="inlineStr">
        <is>
          <t>&gt;=</t>
        </is>
      </c>
      <c r="AB306" s="41" t="inlineStr">
        <is>
          <t>&gt;=</t>
        </is>
      </c>
      <c r="AC306" s="41" t="inlineStr">
        <is>
          <t>&gt;=</t>
        </is>
      </c>
      <c r="AD306" s="41" t="inlineStr">
        <is>
          <t>&gt;=</t>
        </is>
      </c>
      <c r="AE306" s="41" t="inlineStr">
        <is>
          <t>&gt;=</t>
        </is>
      </c>
      <c r="AF306" s="41" t="inlineStr">
        <is>
          <t>&gt;=</t>
        </is>
      </c>
      <c r="AG306" s="41" t="inlineStr">
        <is>
          <t>&gt;=</t>
        </is>
      </c>
      <c r="AH306" s="41" t="inlineStr">
        <is>
          <t>&gt;=</t>
        </is>
      </c>
      <c r="AI306" s="41" t="inlineStr">
        <is>
          <t>&gt;=</t>
        </is>
      </c>
      <c r="AJ306" s="41" t="inlineStr">
        <is>
          <t>&gt;=</t>
        </is>
      </c>
      <c r="AK306" s="41" t="inlineStr">
        <is>
          <t>&gt;=</t>
        </is>
      </c>
      <c r="AL306" s="41" t="inlineStr">
        <is>
          <t>&gt;=</t>
        </is>
      </c>
      <c r="AM306" s="41" t="inlineStr">
        <is>
          <t>&gt;=</t>
        </is>
      </c>
      <c r="AN306" s="41" t="inlineStr">
        <is>
          <t>&gt;=</t>
        </is>
      </c>
      <c r="AO306" s="41" t="inlineStr">
        <is>
          <t>&gt;=</t>
        </is>
      </c>
      <c r="AP306" s="41" t="inlineStr">
        <is>
          <t>&gt;=</t>
        </is>
      </c>
      <c r="AQ306" s="41" t="inlineStr">
        <is>
          <t>&gt;=</t>
        </is>
      </c>
      <c r="AR306" s="41" t="inlineStr">
        <is>
          <t>&gt;=</t>
        </is>
      </c>
      <c r="AS306" s="41" t="inlineStr">
        <is>
          <t>&gt;=</t>
        </is>
      </c>
      <c r="AT306" s="41" t="inlineStr">
        <is>
          <t>&gt;=</t>
        </is>
      </c>
      <c r="AU306" s="41" t="inlineStr">
        <is>
          <t>&gt;=</t>
        </is>
      </c>
      <c r="AV306" s="41" t="inlineStr">
        <is>
          <t>&gt;=</t>
        </is>
      </c>
      <c r="AW306" s="41" t="inlineStr">
        <is>
          <t>&gt;=</t>
        </is>
      </c>
      <c r="AX306" s="41" t="inlineStr">
        <is>
          <t>&gt;=</t>
        </is>
      </c>
      <c r="AY306" s="41" t="inlineStr">
        <is>
          <t>&gt;=</t>
        </is>
      </c>
      <c r="AZ306" s="41" t="inlineStr">
        <is>
          <t>&gt;=</t>
        </is>
      </c>
      <c r="BA306" s="41" t="inlineStr">
        <is>
          <t>&gt;=</t>
        </is>
      </c>
      <c r="BB306" s="41" t="inlineStr">
        <is>
          <t>&gt;=</t>
        </is>
      </c>
      <c r="BC306" s="41" t="inlineStr">
        <is>
          <t>&gt;=</t>
        </is>
      </c>
      <c r="BD306" s="41" t="inlineStr">
        <is>
          <t>&gt;=</t>
        </is>
      </c>
    </row>
    <row r="307">
      <c r="A307" s="39" t="inlineStr">
        <is>
          <t xml:space="preserve">  floor</t>
        </is>
      </c>
      <c r="B307" s="2" t="inlineStr">
        <is>
          <t>$</t>
        </is>
      </c>
      <c r="E307" s="42">
        <f>-$B$288</f>
        <v/>
      </c>
      <c r="F307" s="42">
        <f>-$B$288</f>
        <v/>
      </c>
      <c r="G307" s="42">
        <f>-$B$288</f>
        <v/>
      </c>
      <c r="H307" s="42">
        <f>-$B$288</f>
        <v/>
      </c>
      <c r="I307" s="42">
        <f>-$B$288</f>
        <v/>
      </c>
      <c r="J307" s="42">
        <f>-$B$288</f>
        <v/>
      </c>
      <c r="K307" s="42">
        <f>-$B$288</f>
        <v/>
      </c>
      <c r="L307" s="42">
        <f>-$B$288</f>
        <v/>
      </c>
      <c r="M307" s="42">
        <f>-$B$288</f>
        <v/>
      </c>
      <c r="N307" s="42">
        <f>-$B$288</f>
        <v/>
      </c>
      <c r="O307" s="42">
        <f>-$B$288</f>
        <v/>
      </c>
      <c r="P307" s="42">
        <f>-$B$288</f>
        <v/>
      </c>
      <c r="Q307" s="42">
        <f>-$B$288</f>
        <v/>
      </c>
      <c r="R307" s="42">
        <f>-$B$288</f>
        <v/>
      </c>
      <c r="S307" s="42">
        <f>-$B$288</f>
        <v/>
      </c>
      <c r="T307" s="42">
        <f>-$B$288</f>
        <v/>
      </c>
      <c r="U307" s="42">
        <f>-$B$288</f>
        <v/>
      </c>
      <c r="V307" s="42">
        <f>-$B$288</f>
        <v/>
      </c>
      <c r="W307" s="42">
        <f>-$B$288</f>
        <v/>
      </c>
      <c r="X307" s="42">
        <f>-$B$288</f>
        <v/>
      </c>
      <c r="Y307" s="42">
        <f>-$B$288</f>
        <v/>
      </c>
      <c r="Z307" s="42">
        <f>-$B$288</f>
        <v/>
      </c>
      <c r="AA307" s="42">
        <f>-$B$288</f>
        <v/>
      </c>
      <c r="AB307" s="42">
        <f>-$B$288</f>
        <v/>
      </c>
      <c r="AC307" s="42">
        <f>-$B$288</f>
        <v/>
      </c>
      <c r="AD307" s="42">
        <f>-$B$288</f>
        <v/>
      </c>
      <c r="AE307" s="42">
        <f>-$B$288</f>
        <v/>
      </c>
      <c r="AF307" s="42">
        <f>-$B$288</f>
        <v/>
      </c>
      <c r="AG307" s="42">
        <f>-$B$288</f>
        <v/>
      </c>
      <c r="AH307" s="42">
        <f>-$B$288</f>
        <v/>
      </c>
      <c r="AI307" s="42">
        <f>-$B$288</f>
        <v/>
      </c>
      <c r="AJ307" s="42">
        <f>-$B$288</f>
        <v/>
      </c>
      <c r="AK307" s="42">
        <f>-$B$288</f>
        <v/>
      </c>
      <c r="AL307" s="42">
        <f>-$B$288</f>
        <v/>
      </c>
      <c r="AM307" s="42">
        <f>-$B$288</f>
        <v/>
      </c>
      <c r="AN307" s="42">
        <f>-$B$288</f>
        <v/>
      </c>
      <c r="AO307" s="42">
        <f>-$B$288</f>
        <v/>
      </c>
      <c r="AP307" s="42">
        <f>-$B$288</f>
        <v/>
      </c>
      <c r="AQ307" s="42">
        <f>-$B$288</f>
        <v/>
      </c>
      <c r="AR307" s="42">
        <f>-$B$288</f>
        <v/>
      </c>
      <c r="AS307" s="42">
        <f>-$B$288</f>
        <v/>
      </c>
      <c r="AT307" s="42">
        <f>-$B$288</f>
        <v/>
      </c>
      <c r="AU307" s="42">
        <f>-$B$288</f>
        <v/>
      </c>
      <c r="AV307" s="42">
        <f>-$B$288</f>
        <v/>
      </c>
      <c r="AW307" s="42">
        <f>-$B$288</f>
        <v/>
      </c>
      <c r="AX307" s="42">
        <f>-$B$288</f>
        <v/>
      </c>
      <c r="AY307" s="42">
        <f>-$B$288</f>
        <v/>
      </c>
      <c r="AZ307" s="42">
        <f>-$B$288</f>
        <v/>
      </c>
      <c r="BA307" s="42">
        <f>-$B$288</f>
        <v/>
      </c>
      <c r="BB307" s="42">
        <f>-$B$288</f>
        <v/>
      </c>
      <c r="BC307" s="42">
        <f>-$B$288</f>
        <v/>
      </c>
      <c r="BD307" s="42">
        <f>-$B$288</f>
        <v/>
      </c>
    </row>
    <row r="308">
      <c r="A308" s="26" t="inlineStr">
        <is>
          <t xml:space="preserve">  headroom</t>
        </is>
      </c>
      <c r="E308" s="42">
        <f>E305-E307</f>
        <v/>
      </c>
      <c r="F308" s="42">
        <f>F305-F307</f>
        <v/>
      </c>
      <c r="G308" s="42">
        <f>G305-G307</f>
        <v/>
      </c>
      <c r="H308" s="42">
        <f>H305-H307</f>
        <v/>
      </c>
      <c r="I308" s="42">
        <f>I305-I307</f>
        <v/>
      </c>
      <c r="J308" s="42">
        <f>J305-J307</f>
        <v/>
      </c>
      <c r="K308" s="42">
        <f>K305-K307</f>
        <v/>
      </c>
      <c r="L308" s="42">
        <f>L305-L307</f>
        <v/>
      </c>
      <c r="M308" s="42">
        <f>M305-M307</f>
        <v/>
      </c>
      <c r="N308" s="42">
        <f>N305-N307</f>
        <v/>
      </c>
      <c r="O308" s="42">
        <f>O305-O307</f>
        <v/>
      </c>
      <c r="P308" s="42">
        <f>P305-P307</f>
        <v/>
      </c>
      <c r="Q308" s="42">
        <f>Q305-Q307</f>
        <v/>
      </c>
      <c r="R308" s="42">
        <f>R305-R307</f>
        <v/>
      </c>
      <c r="S308" s="42">
        <f>S305-S307</f>
        <v/>
      </c>
      <c r="T308" s="42">
        <f>T305-T307</f>
        <v/>
      </c>
      <c r="U308" s="42">
        <f>U305-U307</f>
        <v/>
      </c>
      <c r="V308" s="42">
        <f>V305-V307</f>
        <v/>
      </c>
      <c r="W308" s="42">
        <f>W305-W307</f>
        <v/>
      </c>
      <c r="X308" s="42">
        <f>X305-X307</f>
        <v/>
      </c>
      <c r="Y308" s="42">
        <f>Y305-Y307</f>
        <v/>
      </c>
      <c r="Z308" s="42">
        <f>Z305-Z307</f>
        <v/>
      </c>
      <c r="AA308" s="42">
        <f>AA305-AA307</f>
        <v/>
      </c>
      <c r="AB308" s="42">
        <f>AB305-AB307</f>
        <v/>
      </c>
      <c r="AC308" s="42">
        <f>AC305-AC307</f>
        <v/>
      </c>
      <c r="AD308" s="42">
        <f>AD305-AD307</f>
        <v/>
      </c>
      <c r="AE308" s="42">
        <f>AE305-AE307</f>
        <v/>
      </c>
      <c r="AF308" s="42">
        <f>AF305-AF307</f>
        <v/>
      </c>
      <c r="AG308" s="42">
        <f>AG305-AG307</f>
        <v/>
      </c>
      <c r="AH308" s="42">
        <f>AH305-AH307</f>
        <v/>
      </c>
      <c r="AI308" s="42">
        <f>AI305-AI307</f>
        <v/>
      </c>
      <c r="AJ308" s="42">
        <f>AJ305-AJ307</f>
        <v/>
      </c>
      <c r="AK308" s="42">
        <f>AK305-AK307</f>
        <v/>
      </c>
      <c r="AL308" s="42">
        <f>AL305-AL307</f>
        <v/>
      </c>
      <c r="AM308" s="42">
        <f>AM305-AM307</f>
        <v/>
      </c>
      <c r="AN308" s="42">
        <f>AN305-AN307</f>
        <v/>
      </c>
      <c r="AO308" s="42">
        <f>AO305-AO307</f>
        <v/>
      </c>
      <c r="AP308" s="42">
        <f>AP305-AP307</f>
        <v/>
      </c>
      <c r="AQ308" s="42">
        <f>AQ305-AQ307</f>
        <v/>
      </c>
      <c r="AR308" s="42">
        <f>AR305-AR307</f>
        <v/>
      </c>
      <c r="AS308" s="42">
        <f>AS305-AS307</f>
        <v/>
      </c>
      <c r="AT308" s="42">
        <f>AT305-AT307</f>
        <v/>
      </c>
      <c r="AU308" s="42">
        <f>AU305-AU307</f>
        <v/>
      </c>
      <c r="AV308" s="42">
        <f>AV305-AV307</f>
        <v/>
      </c>
      <c r="AW308" s="42">
        <f>AW305-AW307</f>
        <v/>
      </c>
      <c r="AX308" s="42">
        <f>AX305-AX307</f>
        <v/>
      </c>
      <c r="AY308" s="42">
        <f>AY305-AY307</f>
        <v/>
      </c>
      <c r="AZ308" s="42">
        <f>AZ305-AZ307</f>
        <v/>
      </c>
      <c r="BA308" s="42">
        <f>BA305-BA307</f>
        <v/>
      </c>
      <c r="BB308" s="42">
        <f>BB305-BB307</f>
        <v/>
      </c>
      <c r="BC308" s="42">
        <f>BC305-BC307</f>
        <v/>
      </c>
      <c r="BD308" s="42">
        <f>BD305-BD307</f>
        <v/>
      </c>
    </row>
    <row r="309">
      <c r="A309" s="2" t="inlineStr">
        <is>
          <t xml:space="preserve">   This is the app's C13. Cash may go NEGATIVE — that is the credit line being drawn — but never below the floor, which is the line fully drawn.</t>
        </is>
      </c>
    </row>
    <row r="310">
      <c r="A310" s="2" t="inlineStr">
        <is>
          <t xml:space="preserve">   The app states the same rule the other way round: it constrains cumulative NET FLOW (which excludes</t>
        </is>
      </c>
    </row>
    <row r="311">
      <c r="A311" s="2" t="inlineStr">
        <is>
          <t xml:space="preserve">   opening cash) against -(opening + credit). Both are the same constraint; mixing them double-counts the opening balance.</t>
        </is>
      </c>
    </row>
    <row r="312">
      <c r="A312" s="2" t="inlineStr">
        <is>
          <t xml:space="preserve">   ⚠️ It barely binds here, because the biggest weekly outgoing a real farm has is PAYROLL, and labour is v7. Do not read this curve as realistic yet.</t>
        </is>
      </c>
    </row>
    <row r="314">
      <c r="A314" s="3" t="inlineStr">
        <is>
          <t>8 — THE OPTIMIZER</t>
        </is>
      </c>
    </row>
    <row r="315">
      <c r="A315" s="4" t="inlineStr">
        <is>
          <t>Revenue</t>
        </is>
      </c>
      <c r="B315" s="53">
        <f>SUM(E196:BD196)*$I$19+SUM(E202:BD202)*$I$20+SUM(E223:BD223)*$I$21+SUM(E231:BD231)*$I$22+SUM(E252:BD252)*$I$23+SUM(E258:BD258)*$I$24</f>
        <v/>
      </c>
    </row>
    <row r="316">
      <c r="A316" s="4" t="inlineStr">
        <is>
          <t>Growing cost</t>
        </is>
      </c>
      <c r="B316" s="53">
        <f>SUM(E296:BD296)</f>
        <v/>
      </c>
      <c r="C316" s="2" t="inlineStr">
        <is>
          <t>seed at planting + fertiliser and fuel every week in the ground</t>
        </is>
      </c>
    </row>
    <row r="317">
      <c r="A317" s="4" t="inlineStr">
        <is>
          <t>Packaging</t>
        </is>
      </c>
      <c r="B317" s="53">
        <f>SUM(E295:BD295)</f>
        <v/>
      </c>
    </row>
    <row r="318">
      <c r="A318" s="4" t="inlineStr">
        <is>
          <t>Fixed cost</t>
        </is>
      </c>
      <c r="B318" s="53">
        <f>SUM(E297:BD297)</f>
        <v/>
      </c>
      <c r="C318" s="2" t="inlineStr">
        <is>
          <t>owed all 52 weeks whatever you plant</t>
        </is>
      </c>
    </row>
    <row r="319">
      <c r="A319" s="4" t="inlineStr">
        <is>
          <t>Overhead</t>
        </is>
      </c>
      <c r="B319" s="53">
        <f>SUM(E298:BD298)</f>
        <v/>
      </c>
    </row>
    <row r="320">
      <c r="A320" s="4" t="inlineStr">
        <is>
          <t>Wages</t>
        </is>
      </c>
      <c r="B320" s="53">
        <f>SUM(E299:BD299)</f>
        <v/>
      </c>
      <c r="C320" s="2" t="inlineStr">
        <is>
          <t>committed — owed whether or not the crops need the hours</t>
        </is>
      </c>
    </row>
    <row r="321">
      <c r="A321" s="4" t="inlineStr">
        <is>
          <t>Overtime</t>
        </is>
      </c>
      <c r="B321" s="53">
        <f>SUM(E300:BD300)</f>
        <v/>
      </c>
      <c r="C321" s="2" t="inlineStr">
        <is>
          <t>at the FULL rate — not the premium above base pay</t>
        </is>
      </c>
    </row>
    <row r="322">
      <c r="A322" s="4" t="inlineStr">
        <is>
          <t>Advisory crew</t>
        </is>
      </c>
      <c r="B322" s="53">
        <f>SUM(E301:BD301)</f>
        <v/>
      </c>
      <c r="C322" s="2" t="inlineStr">
        <is>
          <t>committed for the whole window, used or not — same basis as Wages above</t>
        </is>
      </c>
    </row>
    <row r="323">
      <c r="A323" s="4" t="inlineStr">
        <is>
          <t>Peak borrowing</t>
        </is>
      </c>
      <c r="B323" s="53">
        <f>MAX(0,-MIN(E305:BD305))</f>
        <v/>
      </c>
      <c r="C323" s="2" t="inlineStr">
        <is>
          <t>the deepest the credit line is ever drawn</t>
        </is>
      </c>
    </row>
    <row r="324">
      <c r="A324" s="4" t="inlineStr">
        <is>
          <t>Interest</t>
        </is>
      </c>
      <c r="B324" s="53">
        <f>$B$291*SUMPRODUCT((E305:BD305&lt;0)*-E305:BD305)/52</f>
        <v/>
      </c>
      <c r="C324" s="2" t="inlineStr">
        <is>
          <t>APR x the AVERAGE amount borrowed — the app's own post-solve formula</t>
        </is>
      </c>
    </row>
    <row r="325">
      <c r="A325" s="2" t="inlineStr">
        <is>
          <t xml:space="preserve">   ⚠️ Reported, NOT optimised over. The plan is chosen first and the borrowing it implies is priced afterwards,</t>
        </is>
      </c>
    </row>
    <row r="326">
      <c r="A326" s="2" t="inlineStr">
        <is>
          <t xml:space="preserve">     so the solver has no reason to shift sales earlier to borrow less. That is the app's simplification, inherited on purpose.</t>
        </is>
      </c>
    </row>
    <row r="327">
      <c r="A327" s="54" t="inlineStr">
        <is>
          <t>PROFIT  (the objective)</t>
        </is>
      </c>
      <c r="B327" s="55">
        <f>B315-SUM(B316:B322)-B324</f>
        <v/>
      </c>
      <c r="C327" s="4" t="inlineStr">
        <is>
          <t>&lt;-- MAXIMISE THIS CELL</t>
        </is>
      </c>
    </row>
    <row r="328">
      <c r="A328" s="4" t="inlineStr">
        <is>
          <t>Plantings chosen</t>
        </is>
      </c>
      <c r="B328" s="56">
        <f>SUM($D$62:$D$129)</f>
        <v/>
      </c>
      <c r="C328" s="2" t="inlineStr">
        <is>
          <t>of 68 offered</t>
        </is>
      </c>
    </row>
    <row r="330">
      <c r="A330" s="4" t="inlineStr">
        <is>
          <t>Annual caps</t>
        </is>
      </c>
    </row>
    <row r="331">
      <c r="A331" s="26" t="inlineStr">
        <is>
          <t xml:space="preserve">   Kale / Wholesale — sold all year</t>
        </is>
      </c>
      <c r="B331" s="42">
        <f>SUM(E231:BD231)</f>
        <v/>
      </c>
      <c r="C331" s="41" t="inlineStr">
        <is>
          <t>&lt;=</t>
        </is>
      </c>
      <c r="D331" s="42">
        <f>$D$22</f>
        <v/>
      </c>
    </row>
    <row r="333">
      <c r="A333" s="3" t="inlineStr">
        <is>
          <t>SOLVER SETUP — Tools &gt; Solver</t>
        </is>
      </c>
    </row>
    <row r="334">
      <c r="A334" s="4" t="inlineStr">
        <is>
          <t>Target cell</t>
        </is>
      </c>
      <c r="B334" s="26" t="inlineStr">
        <is>
          <t>$B$327</t>
        </is>
      </c>
      <c r="G334" s="2" t="inlineStr">
        <is>
          <t>set to MAXIMUM</t>
        </is>
      </c>
    </row>
    <row r="335">
      <c r="A335" s="4" t="inlineStr">
        <is>
          <t>By changing cells</t>
        </is>
      </c>
      <c r="B335" s="26" t="inlineStr">
        <is>
          <t>$C$62:$D$129</t>
        </is>
      </c>
      <c r="G335" s="2" t="inlineStr">
        <is>
          <t>acres AND plant? together</t>
        </is>
      </c>
    </row>
    <row r="336">
      <c r="A336" s="26" t="inlineStr">
        <is>
          <t xml:space="preserve">  ...and</t>
        </is>
      </c>
      <c r="B336" s="26" t="inlineStr">
        <is>
          <t>$E$195:$BD$195;$E$201:$BD$201;$E$222:$BD$222;$E$230:$BD$230;$E$251:$BD$251;$E$257:$BD$257</t>
        </is>
      </c>
      <c r="G336" s="2" t="inlineStr">
        <is>
          <t>the OFFERED rows</t>
        </is>
      </c>
    </row>
    <row r="337">
      <c r="A337" s="26" t="inlineStr">
        <is>
          <t>Constraint — PLANT? is binary</t>
        </is>
      </c>
      <c r="B337" s="26" t="inlineStr">
        <is>
          <t>$D$62:$D$129  =  Binary</t>
        </is>
      </c>
    </row>
    <row r="338">
      <c r="A338" s="26" t="inlineStr">
        <is>
          <t>Constraint — C9 acres &lt;= max</t>
        </is>
      </c>
      <c r="B338" s="26" t="inlineStr">
        <is>
          <t>$C$62:$C$129  &lt;=  $BE$62:$BE$129</t>
        </is>
      </c>
      <c r="G338" s="2" t="inlineStr">
        <is>
          <t>no acres without deciding to plant</t>
        </is>
      </c>
    </row>
    <row r="339">
      <c r="A339" s="26" t="inlineStr">
        <is>
          <t>Constraint — C10 acres &gt;= min</t>
        </is>
      </c>
      <c r="B339" s="26" t="inlineStr">
        <is>
          <t>$C$62:$C$129  &gt;=  $BF$62:$BF$129</t>
        </is>
      </c>
      <c r="G339" s="2" t="inlineStr">
        <is>
          <t>planted means a real block</t>
        </is>
      </c>
    </row>
    <row r="340">
      <c r="A340" s="26" t="inlineStr">
        <is>
          <t>Constraint — Spinach/Farmers Market sold &lt;= ceiling</t>
        </is>
      </c>
      <c r="B340" s="26" t="inlineStr">
        <is>
          <t>$E$196:$BD$196  &lt;=  $E$194:$BD$194</t>
        </is>
      </c>
    </row>
    <row r="341">
      <c r="A341" s="26" t="inlineStr">
        <is>
          <t>Constraint — Spinach/Wholesale sold &lt;= ceiling</t>
        </is>
      </c>
      <c r="B341" s="26" t="inlineStr">
        <is>
          <t>$E$202:$BD$202  &lt;=  $E$200:$BD$200</t>
        </is>
      </c>
    </row>
    <row r="342">
      <c r="A342" s="26" t="inlineStr">
        <is>
          <t>Constraint — Kale/Farmers Market sold &lt;= ceiling</t>
        </is>
      </c>
      <c r="B342" s="26" t="inlineStr">
        <is>
          <t>$E$223:$BD$223  &lt;=  $E$221:$BD$221</t>
        </is>
      </c>
    </row>
    <row r="343">
      <c r="A343" s="26" t="inlineStr">
        <is>
          <t>Constraint — Kale/Wholesale sold &lt;= ceiling</t>
        </is>
      </c>
      <c r="B343" s="26" t="inlineStr">
        <is>
          <t>$E$231:$BD$231  &lt;=  $E$227:$BD$227</t>
        </is>
      </c>
    </row>
    <row r="344">
      <c r="A344" s="26" t="inlineStr">
        <is>
          <t>Constraint — Garlic/Farmers Market sold &lt;= ceiling</t>
        </is>
      </c>
      <c r="B344" s="26" t="inlineStr">
        <is>
          <t>$E$252:$BD$252  &lt;=  $E$250:$BD$250</t>
        </is>
      </c>
    </row>
    <row r="345">
      <c r="A345" s="26" t="inlineStr">
        <is>
          <t>Constraint — Garlic/Wholesale sold &lt;= ceiling</t>
        </is>
      </c>
      <c r="B345" s="26" t="inlineStr">
        <is>
          <t>$E$258:$BD$258  &lt;=  $E$256:$BD$256</t>
        </is>
      </c>
    </row>
    <row r="346">
      <c r="A346" s="26" t="inlineStr">
        <is>
          <t>Constraint — Spinach stock never negative</t>
        </is>
      </c>
      <c r="B346" s="26" t="inlineStr">
        <is>
          <t>$E$206:$BD$206  &gt;=  0</t>
        </is>
      </c>
    </row>
    <row r="347">
      <c r="A347" s="26" t="inlineStr">
        <is>
          <t>Constraint — Kale stock never negative</t>
        </is>
      </c>
      <c r="B347" s="26" t="inlineStr">
        <is>
          <t>$E$235:$BD$235  &gt;=  0</t>
        </is>
      </c>
    </row>
    <row r="348">
      <c r="A348" s="26" t="inlineStr">
        <is>
          <t>Constraint — Garlic stock never negative</t>
        </is>
      </c>
      <c r="B348" s="26" t="inlineStr">
        <is>
          <t>$E$262:$BD$262  &gt;=  0</t>
        </is>
      </c>
    </row>
    <row r="349">
      <c r="A349" s="26" t="inlineStr">
        <is>
          <t>Constraint — Spinach shelf life</t>
        </is>
      </c>
      <c r="B349" s="26" t="inlineStr">
        <is>
          <t>$E$206:$BD$206  &lt;=  $E$209:$BD$209</t>
        </is>
      </c>
      <c r="G349" s="2" t="inlineStr">
        <is>
          <t>nothing held longer than it keeps</t>
        </is>
      </c>
    </row>
    <row r="350">
      <c r="A350" s="26" t="inlineStr">
        <is>
          <t>Constraint — Kale shelf life</t>
        </is>
      </c>
      <c r="B350" s="26" t="inlineStr">
        <is>
          <t>$E$235:$BD$235  &lt;=  $E$238:$BD$238</t>
        </is>
      </c>
      <c r="G350" s="2" t="inlineStr">
        <is>
          <t>nothing held longer than it keeps</t>
        </is>
      </c>
    </row>
    <row r="351">
      <c r="A351" s="26" t="inlineStr">
        <is>
          <t>Constraint — Garlic shelf life</t>
        </is>
      </c>
      <c r="B351" s="26" t="inlineStr">
        <is>
          <t>$E$262:$BD$262  &lt;=  $E$265:$BD$265</t>
        </is>
      </c>
      <c r="G351" s="2" t="inlineStr">
        <is>
          <t>nothing held longer than it keeps</t>
        </is>
      </c>
    </row>
    <row r="352">
      <c r="A352" s="26" t="inlineStr">
        <is>
          <t>Constraint — cold store</t>
        </is>
      </c>
      <c r="B352" s="26" t="inlineStr">
        <is>
          <t>$E$273:$BD$273  &lt;=  $B$7</t>
        </is>
      </c>
    </row>
    <row r="353">
      <c r="A353" s="26" t="inlineStr">
        <is>
          <t>Constraint — ambient store</t>
        </is>
      </c>
      <c r="B353" s="26" t="inlineStr">
        <is>
          <t>$E$280:$BD$280  &lt;=  $B$8</t>
        </is>
      </c>
    </row>
    <row r="354">
      <c r="A354" s="26" t="inlineStr">
        <is>
          <t>Constraint — land</t>
        </is>
      </c>
      <c r="B354" s="26" t="inlineStr">
        <is>
          <t>$E$133:$BD$133  &lt;=  $B$6</t>
        </is>
      </c>
    </row>
    <row r="355">
      <c r="A355" s="26" t="inlineStr">
        <is>
          <t xml:space="preserve">  ...and</t>
        </is>
      </c>
      <c r="B355" s="26" t="inlineStr">
        <is>
          <t>$E$155:$BD$155;$B$47</t>
        </is>
      </c>
      <c r="G355" s="2" t="inlineStr">
        <is>
          <t>the overtime row and the advisory headcount</t>
        </is>
      </c>
    </row>
    <row r="356">
      <c r="A356" s="26" t="inlineStr">
        <is>
          <t>Constraint — CROP HOURS &lt;= available</t>
        </is>
      </c>
      <c r="B356" s="26" t="inlineStr">
        <is>
          <t>$E$162:$BD$162  &lt;=  $E$157:$BD$157</t>
        </is>
      </c>
      <c r="G356" s="2" t="inlineStr">
        <is>
          <t>the app's C2, with bought hours</t>
        </is>
      </c>
    </row>
    <row r="357">
      <c r="A357" s="26" t="inlineStr">
        <is>
          <t>Constraint — overtime cap</t>
        </is>
      </c>
      <c r="B357" s="26" t="inlineStr">
        <is>
          <t>$E$168:$BD$168;&lt;=;$E$170:$BD$170</t>
        </is>
      </c>
      <c r="G357" s="2" t="inlineStr">
        <is>
          <t>DERIVED per week from the hourly crew — not a typed number (L2)</t>
        </is>
      </c>
    </row>
    <row r="358">
      <c r="A358" s="26" t="inlineStr">
        <is>
          <t>Constraint — advisory crew is a whole number</t>
        </is>
      </c>
      <c r="B358" s="26" t="inlineStr">
        <is>
          <t>$B$47 = integer</t>
        </is>
      </c>
      <c r="G358" s="2" t="inlineStr">
        <is>
          <t>you hire people, not fractions of people</t>
        </is>
      </c>
    </row>
    <row r="359">
      <c r="A359" s="26" t="inlineStr">
        <is>
          <t>Constraint — advisory crew available</t>
        </is>
      </c>
      <c r="B359" s="26" t="inlineStr">
        <is>
          <t>$B$47  &lt;=  $G$43</t>
        </is>
      </c>
      <c r="G359" s="2" t="inlineStr">
        <is>
          <t>how many hands you could actually find</t>
        </is>
      </c>
    </row>
    <row r="360">
      <c r="A360" s="26" t="inlineStr">
        <is>
          <t>Constraint — CASH FLOOR</t>
        </is>
      </c>
      <c r="B360" s="26" t="inlineStr">
        <is>
          <t>$E$305:$BD$305  &gt;=  $E$307:$BD$307</t>
        </is>
      </c>
      <c r="G360" s="2" t="inlineStr">
        <is>
          <t>the app's C13</t>
        </is>
      </c>
    </row>
    <row r="361">
      <c r="A361" s="4" t="inlineStr">
        <is>
          <t>Options</t>
        </is>
      </c>
      <c r="B361" s="26" t="inlineStr">
        <is>
          <t>engine = LibreOffice CoinMP Linear Solver</t>
        </is>
      </c>
      <c r="G361" s="2" t="inlineStr">
        <is>
          <t>tick 'Assume variables as non-negative'</t>
        </is>
      </c>
    </row>
  </sheetData>
  <conditionalFormatting sqref="E136:BD136">
    <cfRule type="cellIs" priority="1" operator="lessThan" dxfId="0">
      <formula>0</formula>
    </cfRule>
  </conditionalFormatting>
  <conditionalFormatting sqref="E133:BD133">
    <cfRule type="cellIs" priority="2" operator="greaterThan" dxfId="0">
      <formula>$B$6</formula>
    </cfRule>
  </conditionalFormatting>
  <conditionalFormatting sqref="E165:BD165">
    <cfRule type="cellIs" priority="3" operator="lessThan" dxfId="0">
      <formula>0</formula>
    </cfRule>
  </conditionalFormatting>
  <conditionalFormatting sqref="E162:BD162">
    <cfRule type="cellIs" priority="4" operator="greaterThan" dxfId="0">
      <formula>E$157</formula>
    </cfRule>
  </conditionalFormatting>
  <conditionalFormatting sqref="E171:BD171">
    <cfRule type="cellIs" priority="5" operator="lessThan" dxfId="0">
      <formula>0</formula>
    </cfRule>
  </conditionalFormatting>
  <conditionalFormatting sqref="E168:BD168">
    <cfRule type="cellIs" priority="6" operator="greaterThan" dxfId="0">
      <formula>E$153</formula>
    </cfRule>
  </conditionalFormatting>
  <conditionalFormatting sqref="E276:BD276">
    <cfRule type="cellIs" priority="7" operator="lessThan" dxfId="0">
      <formula>0</formula>
    </cfRule>
  </conditionalFormatting>
  <conditionalFormatting sqref="E273:BD273">
    <cfRule type="cellIs" priority="8" operator="greaterThan" dxfId="0">
      <formula>$B$7</formula>
    </cfRule>
  </conditionalFormatting>
  <conditionalFormatting sqref="E283:BD283">
    <cfRule type="cellIs" priority="9" operator="lessThan" dxfId="0">
      <formula>0</formula>
    </cfRule>
  </conditionalFormatting>
  <conditionalFormatting sqref="E280:BD280">
    <cfRule type="cellIs" priority="10" operator="greaterThan" dxfId="0">
      <formula>$B$8</formula>
    </cfRule>
  </conditionalFormatting>
  <conditionalFormatting sqref="E308:BD308">
    <cfRule type="cellIs" priority="1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2026-08-31T15:53:21Z</dcterms:created>
  <dcterms:modified xsi:type="dcterms:W3CDTF">2026-08-31T15:53:23Z</dcterms:modified>
</cp:coreProperties>
</file>