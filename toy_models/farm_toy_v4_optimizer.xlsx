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  <sheet name="Crop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4" fontId="4" fillId="0" borderId="0" pivotButton="0" quotePrefix="0" xfId="0"/>
    <xf numFmtId="3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168" fontId="0" fillId="3" borderId="1" pivotButton="0" quotePrefix="0" xfId="0"/>
    <xf numFmtId="0" fontId="0" fillId="7" borderId="1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8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pivotButton="0" quotePrefix="0" xfId="0"/>
    <xf numFmtId="0" fontId="5" fillId="6" borderId="0" pivotButton="0" quotePrefix="0" xfId="0"/>
    <xf numFmtId="3" fontId="0" fillId="6" borderId="0" pivotButton="0" quotePrefix="0" xfId="0"/>
    <xf numFmtId="0" fontId="4" fillId="9" borderId="0" pivotButton="0" quotePrefix="0" xfId="0"/>
    <xf numFmtId="3" fontId="0" fillId="9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3" fontId="4" fillId="0" borderId="0" pivotButton="0" quotePrefix="0" xfId="0"/>
    <xf numFmtId="9" fontId="0" fillId="0" borderId="0" pivotButton="0" quotePrefix="0" xfId="0"/>
    <xf numFmtId="167" fontId="4" fillId="0" borderId="0" pivotButton="0" quotePrefix="0" xfId="0"/>
    <xf numFmtId="167" fontId="4" fillId="9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v4: THE OPTIMIZER</t>
        </is>
      </c>
    </row>
    <row r="2">
      <c r="A2" t="inlineStr"/>
    </row>
    <row r="3">
      <c r="A3" s="2" t="inlineStr">
        <is>
          <t>!! THIS ONE NEEDS LIBREOFFICE CALC, NOT EXCEL</t>
        </is>
      </c>
    </row>
    <row r="4">
      <c r="A4" t="inlineStr">
        <is>
          <t>317 decision cells and about 780 constraints. Excel's Solver stops at 200 and 100 — over</t>
        </is>
      </c>
    </row>
    <row r="5">
      <c r="A5" t="inlineStr">
        <is>
          <t>by 1.6x and 7.8x. LibreOffice's CoinMP engine has no such ceiling.</t>
        </is>
      </c>
    </row>
    <row r="6">
      <c r="A6" t="inlineStr">
        <is>
          <t>Right-click the file, Open with &gt; LibreOffice Calc. Excel stays your default for everything</t>
        </is>
      </c>
    </row>
    <row r="7">
      <c r="A7" t="inlineStr">
        <is>
          <t>else.</t>
        </is>
      </c>
    </row>
    <row r="8">
      <c r="A8" t="inlineStr"/>
    </row>
    <row r="9">
      <c r="A9" s="2" t="inlineStr">
        <is>
          <t>WHAT CHANGED, AND WHY IT IS THE WHOLE POINT</t>
        </is>
      </c>
    </row>
    <row r="10">
      <c r="A10" t="inlineStr">
        <is>
          <t>v1 to v3 were CALCULATORS. You typed the acres and I applied a fixed rule for who gets served</t>
        </is>
      </c>
    </row>
    <row r="11">
      <c r="A11" t="inlineStr">
        <is>
          <t>first: highest price, up to that channel's weekly ceiling, then the next. Every allocation</t>
        </is>
      </c>
    </row>
    <row r="12">
      <c r="A12" t="inlineStr">
        <is>
          <t>number you have seen so far was MY RULE, not the model's answer.</t>
        </is>
      </c>
    </row>
    <row r="13">
      <c r="A13" t="inlineStr"/>
    </row>
    <row r="14">
      <c r="A14" t="inlineStr">
        <is>
          <t>v4 hands both decisions to a solver: how many acres of each planting, and how many pounds go</t>
        </is>
      </c>
    </row>
    <row r="15">
      <c r="A15" t="inlineStr">
        <is>
          <t>to each channel in each of the 52 weeks.</t>
        </is>
      </c>
    </row>
    <row r="16">
      <c r="A16" t="inlineStr"/>
    </row>
    <row r="17">
      <c r="A17" t="inlineStr">
        <is>
          <t>Two things had to change to make that possible.</t>
        </is>
      </c>
    </row>
    <row r="18">
      <c r="A18" t="inlineStr"/>
    </row>
    <row r="19">
      <c r="A19" s="3" t="inlineStr">
        <is>
          <t>1. EVERY MIN() IS GONE. 'Offered' used to be MIN(what is in store, what the buyer will take).</t>
        </is>
      </c>
    </row>
    <row r="20">
      <c r="A20" t="inlineStr">
        <is>
          <t xml:space="preserve">   MIN is not linear, so no linear solver can use it. Those rows are now GREEN — they are</t>
        </is>
      </c>
    </row>
    <row r="21">
      <c r="A21" t="inlineStr">
        <is>
          <t xml:space="preserve">   decision cells the solver writes into, bounded by constraints instead of by a formula.</t>
        </is>
      </c>
    </row>
    <row r="22">
      <c r="A22" t="inlineStr">
        <is>
          <t xml:space="preserve">   This is exactly why farm_v2 has no 'sold' formula anywhere: it makes pounds sold a</t>
        </is>
      </c>
    </row>
    <row r="23">
      <c r="A23" t="inlineStr">
        <is>
          <t xml:space="preserve">   variable and bounds it with C6/C6b. The footnote in the last two READ MEs is now the</t>
        </is>
      </c>
    </row>
    <row r="24">
      <c r="A24" t="inlineStr">
        <is>
          <t xml:space="preserve">   design.</t>
        </is>
      </c>
    </row>
    <row r="25">
      <c r="A25" t="inlineStr"/>
    </row>
    <row r="26">
      <c r="A26" s="3" t="inlineStr">
        <is>
          <t>2. THERE IS MONEY NOW. A solver needs something to maximise. Prices per crop x channel and a</t>
        </is>
      </c>
    </row>
    <row r="27">
      <c r="A27" t="inlineStr">
        <is>
          <t xml:space="preserve">   growing cost per acre come from your app. Objective = revenue - growing cost.</t>
        </is>
      </c>
    </row>
    <row r="28">
      <c r="A28" t="inlineStr"/>
    </row>
    <row r="29">
      <c r="A29" s="2" t="inlineStr">
        <is>
          <t>WHERE THINGS ARE</t>
        </is>
      </c>
    </row>
    <row r="30">
      <c r="A30" t="inlineStr">
        <is>
          <t xml:space="preserve">  YELLOW cells   things you type: the acre cells (B6:B10), the crop settings, and the</t>
        </is>
      </c>
    </row>
    <row r="31">
      <c r="A31" t="inlineStr">
        <is>
          <t xml:space="preserve">                 crop x channel table (A23:I28) where sell-through and returns live.</t>
        </is>
      </c>
    </row>
    <row r="32">
      <c r="A32" t="inlineStr">
        <is>
          <t xml:space="preserve">  GREEN cells    the OFFERED rows and the PROFIT cell (B196) — the solver writes these.</t>
        </is>
      </c>
    </row>
    <row r="33">
      <c r="A33" t="inlineStr">
        <is>
          <t xml:space="preserve">                 Do not type in them; whatever you put there is overwritten on the next run.</t>
        </is>
      </c>
    </row>
    <row r="34">
      <c r="A34" t="inlineStr">
        <is>
          <t xml:space="preserve">  Everything else is a formula.</t>
        </is>
      </c>
    </row>
    <row r="35">
      <c r="A35" t="inlineStr"/>
    </row>
    <row r="36">
      <c r="A36" s="2" t="inlineStr">
        <is>
          <t>WHAT YOU WILL SEE WHEN YOU OPEN IT</t>
        </is>
      </c>
    </row>
    <row r="37">
      <c r="A37" t="inlineStr">
        <is>
          <t>Every OFFERED cell is 0, so nothing sells and the PROFIT cell is negative — it is just the</t>
        </is>
      </c>
    </row>
    <row r="38">
      <c r="A38" t="inlineStr">
        <is>
          <t>growing cost of whatever acres are typed in. That is correct and expected. The sheet is a</t>
        </is>
      </c>
    </row>
    <row r="39">
      <c r="A39" t="inlineStr">
        <is>
          <t>QUESTION until you run the Solver.</t>
        </is>
      </c>
    </row>
    <row r="40">
      <c r="A40" t="inlineStr"/>
    </row>
    <row r="41">
      <c r="A41" s="2" t="inlineStr">
        <is>
          <t>HOW TO RUN IT</t>
        </is>
      </c>
    </row>
    <row r="42">
      <c r="A42" t="inlineStr">
        <is>
          <t>Section 8 of the Model sheet lists every entry, with the exact ranges. In short:</t>
        </is>
      </c>
    </row>
    <row r="43">
      <c r="A43" t="inlineStr">
        <is>
          <t xml:space="preserve">   Tools &gt; Solver</t>
        </is>
      </c>
    </row>
    <row r="44">
      <c r="A44" t="inlineStr">
        <is>
          <t xml:space="preserve">   Target cell     the PROFIT cell in section 8, set to MAXIMUM</t>
        </is>
      </c>
    </row>
    <row r="45">
      <c r="A45" t="inlineStr">
        <is>
          <t xml:space="preserve">   Changing cells  the acres, plus all six green OFFERED rows</t>
        </is>
      </c>
    </row>
    <row r="46">
      <c r="A46" t="inlineStr">
        <is>
          <t xml:space="preserve">   Constraints     about 15 entries, each a RANGE (the 780 underlying rows collapse into</t>
        </is>
      </c>
    </row>
    <row r="47">
      <c r="A47" t="inlineStr">
        <is>
          <t xml:space="preserve">                   ranges, so this is a five-minute dialog fill, not 780 of anything)</t>
        </is>
      </c>
    </row>
    <row r="48">
      <c r="A48" t="inlineStr">
        <is>
          <t xml:space="preserve">   Options         engine = LibreOffice CoinMP Linear Solver</t>
        </is>
      </c>
    </row>
    <row r="49">
      <c r="A49" t="inlineStr">
        <is>
          <t xml:space="preserve">                   tick 'Assume variables as non-negative'</t>
        </is>
      </c>
    </row>
    <row r="50">
      <c r="A50" t="inlineStr"/>
    </row>
    <row r="51">
      <c r="A51" s="2" t="inlineStr">
        <is>
          <t>WHAT IT SHOULD FIND</t>
        </is>
      </c>
    </row>
    <row r="52">
      <c r="A52" s="3" t="inlineStr">
        <is>
          <t xml:space="preserve">     PROFIT   $1,094,831      = revenue $1,193,084 - growing cost $98,253</t>
        </is>
      </c>
    </row>
    <row r="53">
      <c r="A53" t="inlineStr">
        <is>
          <t xml:space="preserve">     Acres    Spinach 49.1   Kale 48.8   Garlic 12.5</t>
        </is>
      </c>
    </row>
    <row r="54">
      <c r="A54" t="inlineStr">
        <is>
          <t xml:space="preserve">     Peak land in the ground 72.8 acres</t>
        </is>
      </c>
    </row>
    <row r="55">
      <c r="A55" t="inlineStr"/>
    </row>
    <row r="56">
      <c r="A56" t="inlineStr">
        <is>
          <t xml:space="preserve">     sold, lb        Farmers Market      Wholesale</t>
        </is>
      </c>
    </row>
    <row r="57">
      <c r="A57" t="inlineStr">
        <is>
          <t xml:space="preserve">       Spinach       105,876          121,144</t>
        </is>
      </c>
    </row>
    <row r="58">
      <c r="A58" t="inlineStr">
        <is>
          <t xml:space="preserve">       Kale          105,000          266,720</t>
        </is>
      </c>
    </row>
    <row r="59">
      <c r="A59" t="inlineStr">
        <is>
          <t xml:space="preserve">       Garlic        12,000          113,482</t>
        </is>
      </c>
    </row>
    <row r="60">
      <c r="A60" t="inlineStr"/>
    </row>
    <row r="61">
      <c r="A61" t="inlineStr">
        <is>
          <t>These come from solving the SAME model in Python with scipy.milp — the identical HiGHS</t>
        </is>
      </c>
    </row>
    <row r="62">
      <c r="A62" t="inlineStr">
        <is>
          <t>solver your app runs. If CoinMP lands somewhere materially different, one of the two models</t>
        </is>
      </c>
    </row>
    <row r="63">
      <c r="A63" t="inlineStr">
        <is>
          <t>is not the model we think it is, and that is worth knowing. A few dollars apart is just</t>
        </is>
      </c>
    </row>
    <row r="64">
      <c r="A64" t="inlineStr">
        <is>
          <t>tolerances.</t>
        </is>
      </c>
    </row>
    <row r="65">
      <c r="A65" t="inlineStr"/>
    </row>
    <row r="66">
      <c r="A66" s="2" t="inlineStr">
        <is>
          <t>!! WHAT MY FILL RULE WAS COSTING — the reason v4 exists</t>
        </is>
      </c>
    </row>
    <row r="67">
      <c r="A67" t="inlineStr">
        <is>
          <t>Hold the acres at 6 per planting, exactly as in v3, and change NOTHING except who decides</t>
        </is>
      </c>
    </row>
    <row r="68">
      <c r="A68" t="inlineStr">
        <is>
          <t>the allocation:</t>
        </is>
      </c>
    </row>
    <row r="69">
      <c r="A69" t="inlineStr"/>
    </row>
    <row r="70">
      <c r="A70" s="3" t="inlineStr">
        <is>
          <t xml:space="preserve">     my fixed rule      $344,478</t>
        </is>
      </c>
    </row>
    <row r="71">
      <c r="A71" s="3" t="inlineStr">
        <is>
          <t xml:space="preserve">     the optimizer      $469,198       +$124,721  (36%)</t>
        </is>
      </c>
    </row>
    <row r="72">
      <c r="A72" t="inlineStr"/>
    </row>
    <row r="73">
      <c r="A73" t="inlineStr">
        <is>
          <t>Same plan, same crops, same stock, same caps. The allocation alone is worth 36%.</t>
        </is>
      </c>
    </row>
    <row r="74">
      <c r="A74" t="inlineStr"/>
    </row>
    <row r="75">
      <c r="A75" s="3" t="inlineStr">
        <is>
          <t>And here is the part I did not expect. The optimizer sells FEWER total pounds than my rule</t>
        </is>
      </c>
    </row>
    <row r="76">
      <c r="A76" s="3" t="inlineStr">
        <is>
          <t>and still makes more money.</t>
        </is>
      </c>
    </row>
    <row r="77">
      <c r="A77" t="inlineStr"/>
    </row>
    <row r="78">
      <c r="A78" t="inlineStr">
        <is>
          <t xml:space="preserve">     Garlic at Farmers Market     my rule 4,000 lb   -&gt;   optimizer 12,000 lb</t>
        </is>
      </c>
    </row>
    <row r="79">
      <c r="A79" t="inlineStr">
        <is>
          <t xml:space="preserve">     Kale at Farmers Market        my rule 28,000 lb   -&gt;   optimizer 75,800 lb</t>
        </is>
      </c>
    </row>
    <row r="80">
      <c r="A80" t="inlineStr">
        <is>
          <t xml:space="preserve">     Spinach at Farmers Market     my rule 24,000 lb   -&gt;   optimizer 51,000 lb</t>
        </is>
      </c>
    </row>
    <row r="81">
      <c r="A81" t="inlineStr"/>
    </row>
    <row r="82">
      <c r="A82" t="inlineStr">
        <is>
          <t>My rule served the expensive channel FIRST, which is the obvious right priority — and it</t>
        </is>
      </c>
    </row>
    <row r="83">
      <c r="A83" t="inlineStr">
        <is>
          <t>still lost, because the real choice is not only WHO to serve. It is whether to serve anyone</t>
        </is>
      </c>
    </row>
    <row r="84">
      <c r="A84" t="inlineStr">
        <is>
          <t>THIS week at all. A greedy rule dumps the surplus into the cheap channel now; the optimizer</t>
        </is>
      </c>
    </row>
    <row r="85">
      <c r="A85" t="inlineStr">
        <is>
          <t>holds it in store and sells it to the expensive one later. No fixed rule can see that,</t>
        </is>
      </c>
    </row>
    <row r="86">
      <c r="A86" t="inlineStr">
        <is>
          <t>because it depends on what happens in weeks that have not arrived yet.</t>
        </is>
      </c>
    </row>
    <row r="87">
      <c r="A87" t="inlineStr"/>
    </row>
    <row r="88">
      <c r="A88" t="inlineStr">
        <is>
          <t>That is what an optimizer buys you, and it is why the app has one.</t>
        </is>
      </c>
    </row>
    <row r="89">
      <c r="A89" t="inlineStr"/>
    </row>
    <row r="90">
      <c r="A90" t="inlineStr">
        <is>
          <t>Then let it choose the acres as well and profit goes to $1,094,831 — another $625,632.</t>
        </is>
      </c>
    </row>
    <row r="91">
      <c r="A91" t="inlineStr">
        <is>
          <t>But treat that number with suspicion: with no land rent, no labour, no water and no cash</t>
        </is>
      </c>
    </row>
    <row r="92">
      <c r="A92" t="inlineStr">
        <is>
          <t>limit, growing more is nearly free here. Which is precisely the M1 problem in your real app,</t>
        </is>
      </c>
    </row>
    <row r="93">
      <c r="A93" t="inlineStr">
        <is>
          <t>reproduced in miniature.</t>
        </is>
      </c>
    </row>
    <row r="94">
      <c r="A94" t="inlineStr"/>
    </row>
    <row r="95">
      <c r="A95" s="2" t="inlineStr">
        <is>
          <t>THREE THINGS TO TRY — each one, re-solve and watch the PLAN change</t>
        </is>
      </c>
    </row>
    <row r="96">
      <c r="A96" t="inlineStr">
        <is>
          <t>This is the part a calculator could never do. You are not changing an answer now; you are</t>
        </is>
      </c>
    </row>
    <row r="97">
      <c r="A97" t="inlineStr">
        <is>
          <t>changing the QUESTION and getting a different answer back.</t>
        </is>
      </c>
    </row>
    <row r="98">
      <c r="A98" t="inlineStr"/>
    </row>
    <row r="99">
      <c r="A99" s="3" t="inlineStr">
        <is>
          <t>EXPERIMENT 1 — make garlic perishable.  Set Garlic's 'Returns to store' at Farmers Market (H27)</t>
        </is>
      </c>
    </row>
    <row r="100">
      <c r="A100" s="3" t="inlineStr">
        <is>
          <t xml:space="preserve">   from 1.00 to 0.00, then re-run the Solver.</t>
        </is>
      </c>
    </row>
    <row r="101">
      <c r="A101" t="inlineStr">
        <is>
          <t xml:space="preserve">   In v3 this changed some totals. Here it changes the FARM: unsold garlic is no longer</t>
        </is>
      </c>
    </row>
    <row r="102">
      <c r="A102" t="inlineStr">
        <is>
          <t xml:space="preserve">   recoverable, so offering it at the stall becomes a gamble and the optimizer rebalances</t>
        </is>
      </c>
    </row>
    <row r="103">
      <c r="A103" t="inlineStr">
        <is>
          <t xml:space="preserve">   how much garlic to plant at all. Compare acres before and after.</t>
        </is>
      </c>
    </row>
    <row r="104">
      <c r="A104" t="inlineStr"/>
    </row>
    <row r="105">
      <c r="A105" s="3" t="inlineStr">
        <is>
          <t>EXPERIMENT 2 — take the cooler away.  Set the cold store capacity (B33) to 40 m3 and</t>
        </is>
      </c>
    </row>
    <row r="106">
      <c r="A106" s="3" t="inlineStr">
        <is>
          <t xml:space="preserve">   re-solve.</t>
        </is>
      </c>
    </row>
    <row r="107">
      <c r="A107" t="inlineStr">
        <is>
          <t xml:space="preserve">   Watch which crop it abandons. It will not be the least profitable one — it will be the one</t>
        </is>
      </c>
    </row>
    <row r="108">
      <c r="A108" t="inlineStr">
        <is>
          <t xml:space="preserve">   whose profit per CUBIC METRE OF COOLER is worst. That is a ranking no spreadsheet column</t>
        </is>
      </c>
    </row>
    <row r="109">
      <c r="A109" t="inlineStr">
        <is>
          <t xml:space="preserve">   shows you, and it is why 'which crop is most profitable' is the wrong question.</t>
        </is>
      </c>
    </row>
    <row r="110">
      <c r="A110" t="inlineStr"/>
    </row>
    <row r="111">
      <c r="A111" s="3" t="inlineStr">
        <is>
          <t>EXPERIMENT 3 — pay more at the stall.  Raise Garlic's price at Farmers Market (I27) and re-solve.</t>
        </is>
      </c>
    </row>
    <row r="112">
      <c r="A112" t="inlineStr">
        <is>
          <t xml:space="preserve">   Nothing happens for a while, then the whole plan jumps. Constraints are cliffs, not slopes:</t>
        </is>
      </c>
    </row>
    <row r="113">
      <c r="A113" t="inlineStr">
        <is>
          <t xml:space="preserve">   right up until the moment garlic outbids something for the same acre-week, the answer is</t>
        </is>
      </c>
    </row>
    <row r="114">
      <c r="A114" t="inlineStr">
        <is>
          <t xml:space="preserve">   identical. This is why sensitivity has to be MEASURED and cannot be reasoned about.</t>
        </is>
      </c>
    </row>
    <row r="115">
      <c r="A115" t="inlineStr"/>
    </row>
    <row r="116">
      <c r="A116" t="inlineStr">
        <is>
          <t>If a run comes back with everything zero, the Solver did not find a feasible plan — check</t>
        </is>
      </c>
    </row>
    <row r="117">
      <c r="A117" t="inlineStr">
        <is>
          <t>that 'Assume variables as non-negative' is ticked and that the engine is CoinMP.</t>
        </is>
      </c>
    </row>
    <row r="118">
      <c r="A118" t="inlineStr"/>
    </row>
    <row r="119">
      <c r="A119" s="2" t="inlineStr">
        <is>
          <t>!! THE TWO BIGGEST THINGS v4 DOES NOT DO — and one of them dwarfs the rest</t>
        </is>
      </c>
    </row>
    <row r="120">
      <c r="A120" t="inlineStr">
        <is>
          <t>Raised by the grower on first reading, and both were missing from this list. Measured before</t>
        </is>
      </c>
    </row>
    <row r="121">
      <c r="A121" t="inlineStr">
        <is>
          <t>being written down.</t>
        </is>
      </c>
    </row>
    <row r="122">
      <c r="A122" t="inlineStr"/>
    </row>
    <row r="123">
      <c r="A123" s="3" t="inlineStr">
        <is>
          <t>1. IT DOES NOT CHOOSE WHEN TO PLANT.</t>
        </is>
      </c>
    </row>
    <row r="124">
      <c r="A124" t="inlineStr">
        <is>
          <t xml:space="preserve">   The app's calendar generator offers 68 possible plantings for these three crops — one per</t>
        </is>
      </c>
    </row>
    <row r="125">
      <c r="A125" t="inlineStr">
        <is>
          <t xml:space="preserve">   legal start week — and the real solver allocates acres across ALL of them, so choosing the</t>
        </is>
      </c>
    </row>
    <row r="126">
      <c r="A126" t="inlineStr">
        <is>
          <t xml:space="preserve">   planting weeks is part of what it decides. v4 offers five, which I picked by hand.</t>
        </is>
      </c>
    </row>
    <row r="127">
      <c r="A127" t="inlineStr"/>
    </row>
    <row r="128">
      <c r="A128" s="3" t="inlineStr">
        <is>
          <t xml:space="preserve">   Freeing that one restriction: profit $1,094,831 -&gt; $2,493,974. +128%.</t>
        </is>
      </c>
    </row>
    <row r="129">
      <c r="A129" t="inlineStr"/>
    </row>
    <row r="130">
      <c r="A130" t="inlineStr">
        <is>
          <t xml:space="preserve">   It plants 42 of the 68, staggered thinly across many start weeks — which is succession</t>
        </is>
      </c>
    </row>
    <row r="131">
      <c r="A131" t="inlineStr">
        <is>
          <t xml:space="preserve">   planting, and the reason the practice exists. Spreading the harvest lets you serve a</t>
        </is>
      </c>
    </row>
    <row r="132">
      <c r="A132" t="inlineStr">
        <is>
          <t xml:space="preserve">   WEEKLY demand cap continuously instead of dumping one big harvest into a few weeks and</t>
        </is>
      </c>
    </row>
    <row r="133">
      <c r="A133" t="inlineStr">
        <is>
          <t xml:space="preserve">   hitting the ceiling. My five-succession sheet cannot express that at all, so it understates</t>
        </is>
      </c>
    </row>
    <row r="134">
      <c r="A134" t="inlineStr">
        <is>
          <t xml:space="preserve">   by more than every missing cost line combined.</t>
        </is>
      </c>
    </row>
    <row r="135">
      <c r="A135" t="inlineStr"/>
    </row>
    <row r="136">
      <c r="A136" s="3" t="inlineStr">
        <is>
          <t>2. IT HAS NO PLANT / DO-NOT-PLANT DECISION.</t>
        </is>
      </c>
    </row>
    <row r="137">
      <c r="A137" t="inlineStr">
        <is>
          <t xml:space="preserve">   The real model is a MILP: a binary y per succession, tied to x by C9 and C10, so a crop</t>
        </is>
      </c>
    </row>
    <row r="138">
      <c r="A138" t="inlineStr">
        <is>
          <t xml:space="preserve">   that IS planted must meet its minimum acreage. v4 is a pure LP with no binaries, which</t>
        </is>
      </c>
    </row>
    <row r="139">
      <c r="A139" t="inlineStr">
        <is>
          <t xml:space="preserve">   leaves it free to plant a third of an acre. Of the 42 plantings above, TEN are below the</t>
        </is>
      </c>
    </row>
    <row r="140">
      <c r="A140" t="inlineStr">
        <is>
          <t xml:space="preserve">   app's own 2-acre minimum, totalling 12.7 acres of slivers the real model forbids.</t>
        </is>
      </c>
    </row>
    <row r="141">
      <c r="A141" t="inlineStr"/>
    </row>
    <row r="142">
      <c r="A142" t="inlineStr">
        <is>
          <t>These two pull in OPPOSITE directions — the fixed calendar understates, the missing binaries</t>
        </is>
      </c>
    </row>
    <row r="143">
      <c r="A143" t="inlineStr">
        <is>
          <t>overstate — so neither number can be quoted on its own. Both land in v5.</t>
        </is>
      </c>
    </row>
    <row r="144">
      <c r="A144" t="inlineStr"/>
    </row>
    <row r="145">
      <c r="A145" s="2" t="inlineStr">
        <is>
          <t>WHAT v4 STILL DOES NOT CARRY</t>
        </is>
      </c>
    </row>
    <row r="146">
      <c r="A146" t="inlineStr">
        <is>
          <t xml:space="preserve">  - Costs are seed/transplant per acre ONLY. No labour, water, fuel, packaging, storage or</t>
        </is>
      </c>
    </row>
    <row r="147">
      <c r="A147" t="inlineStr">
        <is>
          <t xml:space="preserve">    overhead. So the profit figure is far too high, deliberately — v5 adds the cash layer.</t>
        </is>
      </c>
    </row>
    <row r="148">
      <c r="A148" t="inlineStr">
        <is>
          <t xml:space="preserve">  - No cash-flow constraint, so it can spend money it does not have.</t>
        </is>
      </c>
    </row>
    <row r="149">
      <c r="A149" t="inlineStr">
        <is>
          <t xml:space="preserve">  - Shelf life is still a WARNING, not enforced.</t>
        </is>
      </c>
    </row>
    <row r="150">
      <c r="A150" t="inlineStr">
        <is>
          <t xml:space="preserve">  - Three crops and five plantings, against seven and 220 on the real farm.</t>
        </is>
      </c>
    </row>
    <row r="151">
      <c r="A151" t="inlineStr"/>
    </row>
    <row r="152">
      <c r="A152" s="2" t="inlineStr">
        <is>
          <t>!! THE SCALE WARNING — it matters more here than anywhere</t>
        </is>
      </c>
    </row>
    <row r="153">
      <c r="A153" t="inlineStr">
        <is>
          <t>Small models are TIGHT, large ones LOOSE. An optimizer's answer is far more scale-sensitive</t>
        </is>
      </c>
    </row>
    <row r="154">
      <c r="A154" t="inlineStr">
        <is>
          <t>than a calculator's: which constraints bind, and therefore which crop wins, can invert</t>
        </is>
      </c>
    </row>
    <row r="155">
      <c r="A155" t="inlineStr">
        <is>
          <t>entirely between 3 crops and 7. Do not read this plan as advice about your farm. Read it as</t>
        </is>
      </c>
    </row>
    <row r="156">
      <c r="A156" t="inlineStr">
        <is>
          <t>a demonstration of what the machinery does.</t>
        </is>
      </c>
    </row>
    <row r="157">
      <c r="A157" t="inlineStr"/>
    </row>
    <row r="158">
      <c r="A158" s="2" t="inlineStr">
        <is>
          <t>HAS THIS SHEET BEEN CHECKED?</t>
        </is>
      </c>
    </row>
    <row r="159">
      <c r="A159" t="inlineStr">
        <is>
          <t>Yes, and v4 adds a check the others could not have. Crop constants, planting dates and demand</t>
        </is>
      </c>
    </row>
    <row r="160">
      <c r="A160" t="inlineStr">
        <is>
          <t>caps are read from the app. The formulas are calculated by an engine and compared cell by</t>
        </is>
      </c>
    </row>
    <row r="161">
      <c r="A161" t="inlineStr">
        <is>
          <t>cell against an independent model. Every input is perturbed to prove it propagates. No number</t>
        </is>
      </c>
    </row>
    <row r="162">
      <c r="A162" t="inlineStr">
        <is>
          <t>is frozen. AND: the same LP is solved with scipy.milp, its answer written into the OFFERED</t>
        </is>
      </c>
    </row>
    <row r="163">
      <c r="A163" t="inlineStr">
        <is>
          <t>cells, and the sheet's own PROFIT cell must reproduce the optimum exactly — which proves the</t>
        </is>
      </c>
    </row>
    <row r="164">
      <c r="A164" t="inlineStr">
        <is>
          <t>spreadsheet and the solver are the same problem.</t>
        </is>
      </c>
    </row>
    <row r="165">
      <c r="A165" t="inlineStr">
        <is>
          <t xml:space="preserve">     Run it yourself:   .venv/bin/python toy_models/verify_toy_v4.py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  <col width="8.5" customWidth="1" min="47" max="47"/>
    <col width="8.5" customWidth="1" min="48" max="48"/>
    <col width="8.5" customWidth="1" min="49" max="49"/>
    <col width="8.5" customWidth="1" min="50" max="50"/>
    <col width="8.5" customWidth="1" min="51" max="51"/>
    <col width="8.5" customWidth="1" min="52" max="52"/>
    <col width="8.5" customWidth="1" min="53" max="53"/>
    <col width="8.5" customWidth="1" min="54" max="54"/>
  </cols>
  <sheetData>
    <row r="1">
      <c r="A1" s="1" t="inlineStr">
        <is>
          <t>FARM TOY MODEL — v3: channels + demand</t>
        </is>
      </c>
    </row>
    <row r="2">
      <c r="A2" s="4" t="inlineStr">
        <is>
          <t>Type in the YELLOW cells only. Read the 'READ ME' sheet first.</t>
        </is>
      </c>
    </row>
    <row r="4">
      <c r="A4" s="2" t="inlineStr">
        <is>
          <t>1 — WHAT YOU PLANT   (acres)</t>
        </is>
      </c>
    </row>
    <row r="5">
      <c r="A5" s="5" t="inlineStr">
        <is>
          <t>Succession</t>
        </is>
      </c>
      <c r="B5" s="5" t="inlineStr">
        <is>
          <t>Acres</t>
        </is>
      </c>
      <c r="C5" s="5" t="inlineStr">
        <is>
          <t>Crop</t>
        </is>
      </c>
      <c r="D5" s="5" t="inlineStr">
        <is>
          <t>Harvest weeks</t>
        </is>
      </c>
      <c r="E5" s="5" t="inlineStr">
        <is>
          <t>gross lb/harvest wk per acre</t>
        </is>
      </c>
    </row>
    <row r="6">
      <c r="A6" s="6" t="inlineStr">
        <is>
          <t>Spinach W10</t>
        </is>
      </c>
      <c r="B6" s="7" t="n">
        <v>6</v>
      </c>
      <c r="C6" s="6" t="inlineStr">
        <is>
          <t>Spinach</t>
        </is>
      </c>
      <c r="D6" s="8" t="inlineStr">
        <is>
          <t>W16, W17</t>
        </is>
      </c>
      <c r="E6" s="9">
        <f>$B$16/2</f>
        <v/>
      </c>
    </row>
    <row r="7">
      <c r="A7" s="6" t="inlineStr">
        <is>
          <t>Spinach W34</t>
        </is>
      </c>
      <c r="B7" s="7" t="n">
        <v>6</v>
      </c>
      <c r="C7" s="6" t="inlineStr">
        <is>
          <t>Spinach</t>
        </is>
      </c>
      <c r="D7" s="8" t="inlineStr">
        <is>
          <t>W40, W41</t>
        </is>
      </c>
      <c r="E7" s="9">
        <f>$B$16/2</f>
        <v/>
      </c>
    </row>
    <row r="8">
      <c r="A8" s="6" t="inlineStr">
        <is>
          <t>Kale W12</t>
        </is>
      </c>
      <c r="B8" s="7" t="n">
        <v>6</v>
      </c>
      <c r="C8" s="6" t="inlineStr">
        <is>
          <t>Kale</t>
        </is>
      </c>
      <c r="D8" s="8" t="inlineStr">
        <is>
          <t>W21, W22, W23, W24</t>
        </is>
      </c>
      <c r="E8" s="9">
        <f>$B$17/4</f>
        <v/>
      </c>
    </row>
    <row r="9">
      <c r="A9" s="6" t="inlineStr">
        <is>
          <t>Kale W32</t>
        </is>
      </c>
      <c r="B9" s="7" t="n">
        <v>6</v>
      </c>
      <c r="C9" s="6" t="inlineStr">
        <is>
          <t>Kale</t>
        </is>
      </c>
      <c r="D9" s="8" t="inlineStr">
        <is>
          <t>W41, W42, W43, W44</t>
        </is>
      </c>
      <c r="E9" s="9">
        <f>$B$17/4</f>
        <v/>
      </c>
    </row>
    <row r="10">
      <c r="A10" s="6" t="inlineStr">
        <is>
          <t>Garlic W47</t>
        </is>
      </c>
      <c r="B10" s="7" t="n">
        <v>6</v>
      </c>
      <c r="C10" s="6" t="inlineStr">
        <is>
          <t>Garlic</t>
        </is>
      </c>
      <c r="D10" s="8" t="inlineStr">
        <is>
          <t>W30</t>
        </is>
      </c>
      <c r="E10" s="9">
        <f>$B$18/1</f>
        <v/>
      </c>
    </row>
    <row r="11">
      <c r="A11" s="3" t="inlineStr">
        <is>
          <t>Total acres planted</t>
        </is>
      </c>
      <c r="B11" s="10">
        <f>SUM(B6:B10)</f>
        <v/>
      </c>
      <c r="C11" s="4" t="inlineStr">
        <is>
          <t>sum of the five above — they overlap in time, so this is NOT peak land use</t>
        </is>
      </c>
    </row>
    <row r="12">
      <c r="A12" s="3" t="inlineStr">
        <is>
          <t>Land you have</t>
        </is>
      </c>
      <c r="B12" s="7" t="n">
        <v>80</v>
      </c>
      <c r="C12" s="4" t="inlineStr">
        <is>
          <t>acres</t>
        </is>
      </c>
    </row>
    <row r="14">
      <c r="A14" s="2" t="inlineStr">
        <is>
          <t>2 — HOW EACH CROP BEHAVES</t>
        </is>
      </c>
    </row>
    <row r="15">
      <c r="A15" s="5" t="inlineStr">
        <is>
          <t>Crop</t>
        </is>
      </c>
      <c r="B15" s="5" t="inlineStr">
        <is>
          <t>Yield lb/acre</t>
        </is>
      </c>
      <c r="C15" s="5" t="inlineStr">
        <is>
          <t>Pack-out</t>
        </is>
      </c>
      <c r="D15" s="5" t="inlineStr">
        <is>
          <t>m3 per lb</t>
        </is>
      </c>
      <c r="E15" s="5" t="inlineStr">
        <is>
          <t>Store</t>
        </is>
      </c>
      <c r="F15" s="5" t="inlineStr">
        <is>
          <t>Shelf life wk</t>
        </is>
      </c>
      <c r="G15" s="5" t="inlineStr">
        <is>
          <t>Shrink %/wk</t>
        </is>
      </c>
      <c r="H15" s="5" t="inlineStr">
        <is>
          <t>Growing cost $/acre</t>
        </is>
      </c>
    </row>
    <row r="16">
      <c r="A16" s="6" t="inlineStr">
        <is>
          <t>Spinach</t>
        </is>
      </c>
      <c r="B16" s="11" t="n">
        <v>5000</v>
      </c>
      <c r="C16" s="12" t="n">
        <v>1</v>
      </c>
      <c r="D16" s="13" t="n">
        <v>0.002197967741935484</v>
      </c>
      <c r="E16" s="14" t="inlineStr">
        <is>
          <t>Cold</t>
        </is>
      </c>
      <c r="F16" s="15" t="n">
        <v>2</v>
      </c>
      <c r="G16" s="16" t="n">
        <v>0</v>
      </c>
      <c r="H16" s="17" t="n">
        <v>280</v>
      </c>
    </row>
    <row r="17">
      <c r="A17" s="6" t="inlineStr">
        <is>
          <t>Kale</t>
        </is>
      </c>
      <c r="B17" s="11" t="n">
        <v>8000</v>
      </c>
      <c r="C17" s="12" t="n">
        <v>1</v>
      </c>
      <c r="D17" s="13" t="n">
        <v>0.003785388888888889</v>
      </c>
      <c r="E17" s="14" t="inlineStr">
        <is>
          <t>Cold</t>
        </is>
      </c>
      <c r="F17" s="15" t="n">
        <v>2</v>
      </c>
      <c r="G17" s="16" t="n">
        <v>0</v>
      </c>
      <c r="H17" s="17" t="n">
        <v>1089</v>
      </c>
    </row>
    <row r="18">
      <c r="A18" s="6" t="inlineStr">
        <is>
          <t>Garlic</t>
        </is>
      </c>
      <c r="B18" s="11" t="n">
        <v>10000</v>
      </c>
      <c r="C18" s="12" t="n">
        <v>1</v>
      </c>
      <c r="D18" s="13" t="n">
        <v>0.001195385964912281</v>
      </c>
      <c r="E18" s="18" t="inlineStr">
        <is>
          <t>Ambient</t>
        </is>
      </c>
      <c r="F18" s="15" t="n">
        <v>16</v>
      </c>
      <c r="G18" s="16" t="n">
        <v>0</v>
      </c>
      <c r="H18" s="17" t="n">
        <v>2500</v>
      </c>
    </row>
    <row r="19">
      <c r="A19" s="4" t="inlineStr">
        <is>
          <t>SELL-THROUGH IS NOT HERE — it is per crop x CHANNEL, in section 3. Grower ruling, 2026-08-29.</t>
        </is>
      </c>
    </row>
    <row r="21">
      <c r="A21" s="2" t="inlineStr">
        <is>
          <t>3 — WHO BUYS IT, AND HOW MUCH   (one row per crop x channel)</t>
        </is>
      </c>
    </row>
    <row r="22">
      <c r="A22" s="5" t="inlineStr">
        <is>
          <t>Crop</t>
        </is>
      </c>
      <c r="B22" s="5" t="inlineStr">
        <is>
          <t>Channel</t>
        </is>
      </c>
      <c r="C22" s="5" t="inlineStr">
        <is>
          <t>Cap type</t>
        </is>
      </c>
      <c r="D22" s="5" t="inlineStr">
        <is>
          <t>Cap lb</t>
        </is>
      </c>
      <c r="E22" s="5" t="inlineStr">
        <is>
          <t>From wk</t>
        </is>
      </c>
      <c r="F22" s="5" t="inlineStr">
        <is>
          <t>To wk</t>
        </is>
      </c>
      <c r="G22" s="5" t="inlineStr">
        <is>
          <t>Sell-through</t>
        </is>
      </c>
      <c r="H22" s="5" t="inlineStr">
        <is>
          <t>Returns to store</t>
        </is>
      </c>
      <c r="I22" s="5" t="inlineStr">
        <is>
          <t>Price $/lb</t>
        </is>
      </c>
    </row>
    <row r="23">
      <c r="A23" s="6" t="inlineStr">
        <is>
          <t>Spinach</t>
        </is>
      </c>
      <c r="B23" s="19" t="inlineStr">
        <is>
          <t>Farmers Market</t>
        </is>
      </c>
      <c r="C23" s="15" t="inlineStr">
        <is>
          <t>Weekly</t>
        </is>
      </c>
      <c r="D23" s="11" t="n">
        <v>6000</v>
      </c>
      <c r="E23" s="15" t="n">
        <v>10</v>
      </c>
      <c r="F23" s="15" t="n">
        <v>48</v>
      </c>
      <c r="G23" s="12" t="n">
        <v>0.85</v>
      </c>
      <c r="H23" s="12" t="n">
        <v>0</v>
      </c>
      <c r="I23" s="20" t="n">
        <v>2.75</v>
      </c>
    </row>
    <row r="24">
      <c r="A24" s="6" t="inlineStr">
        <is>
          <t>Spinach</t>
        </is>
      </c>
      <c r="B24" s="21" t="inlineStr">
        <is>
          <t>Wholesale</t>
        </is>
      </c>
      <c r="C24" s="15" t="inlineStr">
        <is>
          <t>Weekly</t>
        </is>
      </c>
      <c r="D24" s="11" t="n">
        <v>25000</v>
      </c>
      <c r="E24" s="15" t="n">
        <v>1</v>
      </c>
      <c r="F24" s="15" t="n">
        <v>52</v>
      </c>
      <c r="G24" s="12" t="n">
        <v>1</v>
      </c>
      <c r="H24" s="12" t="n">
        <v>0</v>
      </c>
      <c r="I24" s="20" t="n">
        <v>1</v>
      </c>
    </row>
    <row r="25">
      <c r="A25" s="6" t="inlineStr">
        <is>
          <t>Kale</t>
        </is>
      </c>
      <c r="B25" s="19" t="inlineStr">
        <is>
          <t>Farmers Market</t>
        </is>
      </c>
      <c r="C25" s="15" t="inlineStr">
        <is>
          <t>Weekly</t>
        </is>
      </c>
      <c r="D25" s="11" t="n">
        <v>3500</v>
      </c>
      <c r="E25" s="15" t="n">
        <v>10</v>
      </c>
      <c r="F25" s="15" t="n">
        <v>50</v>
      </c>
      <c r="G25" s="12" t="n">
        <v>0.85</v>
      </c>
      <c r="H25" s="12" t="n">
        <v>0</v>
      </c>
      <c r="I25" s="20" t="n">
        <v>2</v>
      </c>
    </row>
    <row r="26">
      <c r="A26" s="6" t="inlineStr">
        <is>
          <t>Kale</t>
        </is>
      </c>
      <c r="B26" s="21" t="inlineStr">
        <is>
          <t>Wholesale</t>
        </is>
      </c>
      <c r="C26" s="15" t="inlineStr">
        <is>
          <t>Annual</t>
        </is>
      </c>
      <c r="D26" s="11" t="n">
        <v>500000</v>
      </c>
      <c r="E26" s="15" t="n">
        <v>1</v>
      </c>
      <c r="F26" s="15" t="n">
        <v>52</v>
      </c>
      <c r="G26" s="12" t="n">
        <v>1</v>
      </c>
      <c r="H26" s="12" t="n">
        <v>0</v>
      </c>
      <c r="I26" s="20" t="n">
        <v>0.7</v>
      </c>
    </row>
    <row r="27">
      <c r="A27" s="6" t="inlineStr">
        <is>
          <t>Garlic</t>
        </is>
      </c>
      <c r="B27" s="19" t="inlineStr">
        <is>
          <t>Farmers Market</t>
        </is>
      </c>
      <c r="C27" s="15" t="inlineStr">
        <is>
          <t>Weekly</t>
        </is>
      </c>
      <c r="D27" s="11" t="n">
        <v>2000</v>
      </c>
      <c r="E27" s="15" t="n">
        <v>22</v>
      </c>
      <c r="F27" s="15" t="n">
        <v>35</v>
      </c>
      <c r="G27" s="12" t="n">
        <v>0.85</v>
      </c>
      <c r="H27" s="12" t="n">
        <v>1</v>
      </c>
      <c r="I27" s="20" t="n">
        <v>6</v>
      </c>
    </row>
    <row r="28">
      <c r="A28" s="6" t="inlineStr">
        <is>
          <t>Garlic</t>
        </is>
      </c>
      <c r="B28" s="21" t="inlineStr">
        <is>
          <t>Wholesale</t>
        </is>
      </c>
      <c r="C28" s="15" t="inlineStr">
        <is>
          <t>Weekly</t>
        </is>
      </c>
      <c r="D28" s="11" t="n">
        <v>30000</v>
      </c>
      <c r="E28" s="15" t="n">
        <v>1</v>
      </c>
      <c r="F28" s="15" t="n">
        <v>52</v>
      </c>
      <c r="G28" s="12" t="n">
        <v>1</v>
      </c>
      <c r="H28" s="12" t="n">
        <v>0</v>
      </c>
      <c r="I28" s="20" t="n">
        <v>2.75</v>
      </c>
    </row>
    <row r="29">
      <c r="A29" s="4" t="inlineStr">
        <is>
          <t>Cap type 'Weekly' = that many lb every week between From and To. 'Annual' = that many lb across the whole year.</t>
        </is>
      </c>
    </row>
    <row r="30">
      <c r="A30" s="4" t="inlineStr">
        <is>
          <t>Channels are filled in this order: Farmers Market then Wholesale — highest price first. THE REAL MODEL DECIDES THIS BY MARGIN; a calculator needs a fixed rule.</t>
        </is>
      </c>
    </row>
    <row r="32">
      <c r="A32" s="2" t="inlineStr">
        <is>
          <t>4 — WHAT YOU CAN STORE</t>
        </is>
      </c>
    </row>
    <row r="33">
      <c r="A33" s="6" t="inlineStr">
        <is>
          <t>Cold store (cooler) capacity</t>
        </is>
      </c>
      <c r="B33" s="11" t="n">
        <v>275</v>
      </c>
      <c r="C33" s="4" t="inlineStr">
        <is>
          <t>m3   — Spinach, Kale</t>
        </is>
      </c>
    </row>
    <row r="34">
      <c r="A34" s="6" t="inlineStr">
        <is>
          <t>Ambient store (barn) capacity</t>
        </is>
      </c>
      <c r="B34" s="11" t="n">
        <v>150</v>
      </c>
      <c r="C34" s="4" t="inlineStr">
        <is>
          <t>m3   — Garlic</t>
        </is>
      </c>
    </row>
    <row r="36">
      <c r="A36" s="2" t="inlineStr">
        <is>
          <t>5 — THE YEAR, WEEK BY WEEK</t>
        </is>
      </c>
    </row>
    <row r="37">
      <c r="A37" s="22" t="inlineStr">
        <is>
          <t>Week</t>
        </is>
      </c>
      <c r="B37" s="23" t="inlineStr"/>
      <c r="C37" s="24" t="n">
        <v>1</v>
      </c>
      <c r="D37" s="24" t="n">
        <v>2</v>
      </c>
      <c r="E37" s="24" t="n">
        <v>3</v>
      </c>
      <c r="F37" s="24" t="n">
        <v>4</v>
      </c>
      <c r="G37" s="24" t="n">
        <v>5</v>
      </c>
      <c r="H37" s="24" t="n">
        <v>6</v>
      </c>
      <c r="I37" s="24" t="n">
        <v>7</v>
      </c>
      <c r="J37" s="24" t="n">
        <v>8</v>
      </c>
      <c r="K37" s="24" t="n">
        <v>9</v>
      </c>
      <c r="L37" s="24" t="n">
        <v>10</v>
      </c>
      <c r="M37" s="24" t="n">
        <v>11</v>
      </c>
      <c r="N37" s="24" t="n">
        <v>12</v>
      </c>
      <c r="O37" s="24" t="n">
        <v>13</v>
      </c>
      <c r="P37" s="24" t="n">
        <v>14</v>
      </c>
      <c r="Q37" s="24" t="n">
        <v>15</v>
      </c>
      <c r="R37" s="24" t="n">
        <v>16</v>
      </c>
      <c r="S37" s="24" t="n">
        <v>17</v>
      </c>
      <c r="T37" s="24" t="n">
        <v>18</v>
      </c>
      <c r="U37" s="24" t="n">
        <v>19</v>
      </c>
      <c r="V37" s="24" t="n">
        <v>20</v>
      </c>
      <c r="W37" s="24" t="n">
        <v>21</v>
      </c>
      <c r="X37" s="24" t="n">
        <v>22</v>
      </c>
      <c r="Y37" s="24" t="n">
        <v>23</v>
      </c>
      <c r="Z37" s="24" t="n">
        <v>24</v>
      </c>
      <c r="AA37" s="24" t="n">
        <v>25</v>
      </c>
      <c r="AB37" s="24" t="n">
        <v>26</v>
      </c>
      <c r="AC37" s="24" t="n">
        <v>27</v>
      </c>
      <c r="AD37" s="24" t="n">
        <v>28</v>
      </c>
      <c r="AE37" s="24" t="n">
        <v>29</v>
      </c>
      <c r="AF37" s="24" t="n">
        <v>30</v>
      </c>
      <c r="AG37" s="24" t="n">
        <v>31</v>
      </c>
      <c r="AH37" s="24" t="n">
        <v>32</v>
      </c>
      <c r="AI37" s="24" t="n">
        <v>33</v>
      </c>
      <c r="AJ37" s="24" t="n">
        <v>34</v>
      </c>
      <c r="AK37" s="24" t="n">
        <v>35</v>
      </c>
      <c r="AL37" s="24" t="n">
        <v>36</v>
      </c>
      <c r="AM37" s="24" t="n">
        <v>37</v>
      </c>
      <c r="AN37" s="24" t="n">
        <v>38</v>
      </c>
      <c r="AO37" s="24" t="n">
        <v>39</v>
      </c>
      <c r="AP37" s="24" t="n">
        <v>40</v>
      </c>
      <c r="AQ37" s="24" t="n">
        <v>41</v>
      </c>
      <c r="AR37" s="24" t="n">
        <v>42</v>
      </c>
      <c r="AS37" s="24" t="n">
        <v>43</v>
      </c>
      <c r="AT37" s="24" t="n">
        <v>44</v>
      </c>
      <c r="AU37" s="24" t="n">
        <v>45</v>
      </c>
      <c r="AV37" s="24" t="n">
        <v>46</v>
      </c>
      <c r="AW37" s="24" t="n">
        <v>47</v>
      </c>
      <c r="AX37" s="24" t="n">
        <v>48</v>
      </c>
      <c r="AY37" s="24" t="n">
        <v>49</v>
      </c>
      <c r="AZ37" s="24" t="n">
        <v>50</v>
      </c>
      <c r="BA37" s="24" t="n">
        <v>51</v>
      </c>
      <c r="BB37" s="24" t="n">
        <v>52</v>
      </c>
    </row>
    <row r="38">
      <c r="A38" s="3" t="inlineStr">
        <is>
          <t>PLANTING CALENDAR</t>
        </is>
      </c>
    </row>
    <row r="39">
      <c r="A39" s="25" t="inlineStr">
        <is>
          <t>Spinach W10</t>
        </is>
      </c>
      <c r="B39" s="4" t="inlineStr">
        <is>
          <t>P/G/H</t>
        </is>
      </c>
      <c r="L39" s="26" t="inlineStr">
        <is>
          <t>P</t>
        </is>
      </c>
      <c r="M39" s="26" t="inlineStr">
        <is>
          <t>G</t>
        </is>
      </c>
      <c r="N39" s="26" t="inlineStr">
        <is>
          <t>G</t>
        </is>
      </c>
      <c r="O39" s="26" t="inlineStr">
        <is>
          <t>G</t>
        </is>
      </c>
      <c r="P39" s="26" t="inlineStr">
        <is>
          <t>G</t>
        </is>
      </c>
      <c r="Q39" s="26" t="inlineStr">
        <is>
          <t>G</t>
        </is>
      </c>
      <c r="R39" s="26" t="inlineStr">
        <is>
          <t>H</t>
        </is>
      </c>
      <c r="S39" s="26" t="inlineStr">
        <is>
          <t>H</t>
        </is>
      </c>
    </row>
    <row r="40">
      <c r="A40" s="25" t="inlineStr">
        <is>
          <t xml:space="preserve">   lbs harvested (GROSS)</t>
        </is>
      </c>
      <c r="B40" s="4" t="inlineStr">
        <is>
          <t>lb</t>
        </is>
      </c>
      <c r="C40" s="27">
        <f>IF(C39="H",$B$6*$B$16/2,0)</f>
        <v/>
      </c>
      <c r="D40" s="27">
        <f>IF(D39="H",$B$6*$B$16/2,0)</f>
        <v/>
      </c>
      <c r="E40" s="27">
        <f>IF(E39="H",$B$6*$B$16/2,0)</f>
        <v/>
      </c>
      <c r="F40" s="27">
        <f>IF(F39="H",$B$6*$B$16/2,0)</f>
        <v/>
      </c>
      <c r="G40" s="27">
        <f>IF(G39="H",$B$6*$B$16/2,0)</f>
        <v/>
      </c>
      <c r="H40" s="27">
        <f>IF(H39="H",$B$6*$B$16/2,0)</f>
        <v/>
      </c>
      <c r="I40" s="27">
        <f>IF(I39="H",$B$6*$B$16/2,0)</f>
        <v/>
      </c>
      <c r="J40" s="27">
        <f>IF(J39="H",$B$6*$B$16/2,0)</f>
        <v/>
      </c>
      <c r="K40" s="27">
        <f>IF(K39="H",$B$6*$B$16/2,0)</f>
        <v/>
      </c>
      <c r="L40" s="27">
        <f>IF(L39="H",$B$6*$B$16/2,0)</f>
        <v/>
      </c>
      <c r="M40" s="27">
        <f>IF(M39="H",$B$6*$B$16/2,0)</f>
        <v/>
      </c>
      <c r="N40" s="27">
        <f>IF(N39="H",$B$6*$B$16/2,0)</f>
        <v/>
      </c>
      <c r="O40" s="27">
        <f>IF(O39="H",$B$6*$B$16/2,0)</f>
        <v/>
      </c>
      <c r="P40" s="27">
        <f>IF(P39="H",$B$6*$B$16/2,0)</f>
        <v/>
      </c>
      <c r="Q40" s="27">
        <f>IF(Q39="H",$B$6*$B$16/2,0)</f>
        <v/>
      </c>
      <c r="R40" s="27">
        <f>IF(R39="H",$B$6*$B$16/2,0)</f>
        <v/>
      </c>
      <c r="S40" s="27">
        <f>IF(S39="H",$B$6*$B$16/2,0)</f>
        <v/>
      </c>
      <c r="T40" s="27">
        <f>IF(T39="H",$B$6*$B$16/2,0)</f>
        <v/>
      </c>
      <c r="U40" s="27">
        <f>IF(U39="H",$B$6*$B$16/2,0)</f>
        <v/>
      </c>
      <c r="V40" s="27">
        <f>IF(V39="H",$B$6*$B$16/2,0)</f>
        <v/>
      </c>
      <c r="W40" s="27">
        <f>IF(W39="H",$B$6*$B$16/2,0)</f>
        <v/>
      </c>
      <c r="X40" s="27">
        <f>IF(X39="H",$B$6*$B$16/2,0)</f>
        <v/>
      </c>
      <c r="Y40" s="27">
        <f>IF(Y39="H",$B$6*$B$16/2,0)</f>
        <v/>
      </c>
      <c r="Z40" s="27">
        <f>IF(Z39="H",$B$6*$B$16/2,0)</f>
        <v/>
      </c>
      <c r="AA40" s="27">
        <f>IF(AA39="H",$B$6*$B$16/2,0)</f>
        <v/>
      </c>
      <c r="AB40" s="27">
        <f>IF(AB39="H",$B$6*$B$16/2,0)</f>
        <v/>
      </c>
      <c r="AC40" s="27">
        <f>IF(AC39="H",$B$6*$B$16/2,0)</f>
        <v/>
      </c>
      <c r="AD40" s="27">
        <f>IF(AD39="H",$B$6*$B$16/2,0)</f>
        <v/>
      </c>
      <c r="AE40" s="27">
        <f>IF(AE39="H",$B$6*$B$16/2,0)</f>
        <v/>
      </c>
      <c r="AF40" s="27">
        <f>IF(AF39="H",$B$6*$B$16/2,0)</f>
        <v/>
      </c>
      <c r="AG40" s="27">
        <f>IF(AG39="H",$B$6*$B$16/2,0)</f>
        <v/>
      </c>
      <c r="AH40" s="27">
        <f>IF(AH39="H",$B$6*$B$16/2,0)</f>
        <v/>
      </c>
      <c r="AI40" s="27">
        <f>IF(AI39="H",$B$6*$B$16/2,0)</f>
        <v/>
      </c>
      <c r="AJ40" s="27">
        <f>IF(AJ39="H",$B$6*$B$16/2,0)</f>
        <v/>
      </c>
      <c r="AK40" s="27">
        <f>IF(AK39="H",$B$6*$B$16/2,0)</f>
        <v/>
      </c>
      <c r="AL40" s="27">
        <f>IF(AL39="H",$B$6*$B$16/2,0)</f>
        <v/>
      </c>
      <c r="AM40" s="27">
        <f>IF(AM39="H",$B$6*$B$16/2,0)</f>
        <v/>
      </c>
      <c r="AN40" s="27">
        <f>IF(AN39="H",$B$6*$B$16/2,0)</f>
        <v/>
      </c>
      <c r="AO40" s="27">
        <f>IF(AO39="H",$B$6*$B$16/2,0)</f>
        <v/>
      </c>
      <c r="AP40" s="27">
        <f>IF(AP39="H",$B$6*$B$16/2,0)</f>
        <v/>
      </c>
      <c r="AQ40" s="27">
        <f>IF(AQ39="H",$B$6*$B$16/2,0)</f>
        <v/>
      </c>
      <c r="AR40" s="27">
        <f>IF(AR39="H",$B$6*$B$16/2,0)</f>
        <v/>
      </c>
      <c r="AS40" s="27">
        <f>IF(AS39="H",$B$6*$B$16/2,0)</f>
        <v/>
      </c>
      <c r="AT40" s="27">
        <f>IF(AT39="H",$B$6*$B$16/2,0)</f>
        <v/>
      </c>
      <c r="AU40" s="27">
        <f>IF(AU39="H",$B$6*$B$16/2,0)</f>
        <v/>
      </c>
      <c r="AV40" s="27">
        <f>IF(AV39="H",$B$6*$B$16/2,0)</f>
        <v/>
      </c>
      <c r="AW40" s="27">
        <f>IF(AW39="H",$B$6*$B$16/2,0)</f>
        <v/>
      </c>
      <c r="AX40" s="27">
        <f>IF(AX39="H",$B$6*$B$16/2,0)</f>
        <v/>
      </c>
      <c r="AY40" s="27">
        <f>IF(AY39="H",$B$6*$B$16/2,0)</f>
        <v/>
      </c>
      <c r="AZ40" s="27">
        <f>IF(AZ39="H",$B$6*$B$16/2,0)</f>
        <v/>
      </c>
      <c r="BA40" s="27">
        <f>IF(BA39="H",$B$6*$B$16/2,0)</f>
        <v/>
      </c>
      <c r="BB40" s="27">
        <f>IF(BB39="H",$B$6*$B$16/2,0)</f>
        <v/>
      </c>
    </row>
    <row r="41">
      <c r="A41" s="25" t="inlineStr">
        <is>
          <t>Spinach W34</t>
        </is>
      </c>
      <c r="B41" s="4" t="inlineStr">
        <is>
          <t>P/G/H</t>
        </is>
      </c>
      <c r="AJ41" s="26" t="inlineStr">
        <is>
          <t>P</t>
        </is>
      </c>
      <c r="AK41" s="26" t="inlineStr">
        <is>
          <t>G</t>
        </is>
      </c>
      <c r="AL41" s="26" t="inlineStr">
        <is>
          <t>G</t>
        </is>
      </c>
      <c r="AM41" s="26" t="inlineStr">
        <is>
          <t>G</t>
        </is>
      </c>
      <c r="AN41" s="26" t="inlineStr">
        <is>
          <t>G</t>
        </is>
      </c>
      <c r="AO41" s="26" t="inlineStr">
        <is>
          <t>G</t>
        </is>
      </c>
      <c r="AP41" s="26" t="inlineStr">
        <is>
          <t>H</t>
        </is>
      </c>
      <c r="AQ41" s="26" t="inlineStr">
        <is>
          <t>H</t>
        </is>
      </c>
    </row>
    <row r="42">
      <c r="A42" s="25" t="inlineStr">
        <is>
          <t xml:space="preserve">   lbs harvested (GROSS)</t>
        </is>
      </c>
      <c r="B42" s="4" t="inlineStr">
        <is>
          <t>lb</t>
        </is>
      </c>
      <c r="C42" s="27">
        <f>IF(C41="H",$B$7*$B$16/2,0)</f>
        <v/>
      </c>
      <c r="D42" s="27">
        <f>IF(D41="H",$B$7*$B$16/2,0)</f>
        <v/>
      </c>
      <c r="E42" s="27">
        <f>IF(E41="H",$B$7*$B$16/2,0)</f>
        <v/>
      </c>
      <c r="F42" s="27">
        <f>IF(F41="H",$B$7*$B$16/2,0)</f>
        <v/>
      </c>
      <c r="G42" s="27">
        <f>IF(G41="H",$B$7*$B$16/2,0)</f>
        <v/>
      </c>
      <c r="H42" s="27">
        <f>IF(H41="H",$B$7*$B$16/2,0)</f>
        <v/>
      </c>
      <c r="I42" s="27">
        <f>IF(I41="H",$B$7*$B$16/2,0)</f>
        <v/>
      </c>
      <c r="J42" s="27">
        <f>IF(J41="H",$B$7*$B$16/2,0)</f>
        <v/>
      </c>
      <c r="K42" s="27">
        <f>IF(K41="H",$B$7*$B$16/2,0)</f>
        <v/>
      </c>
      <c r="L42" s="27">
        <f>IF(L41="H",$B$7*$B$16/2,0)</f>
        <v/>
      </c>
      <c r="M42" s="27">
        <f>IF(M41="H",$B$7*$B$16/2,0)</f>
        <v/>
      </c>
      <c r="N42" s="27">
        <f>IF(N41="H",$B$7*$B$16/2,0)</f>
        <v/>
      </c>
      <c r="O42" s="27">
        <f>IF(O41="H",$B$7*$B$16/2,0)</f>
        <v/>
      </c>
      <c r="P42" s="27">
        <f>IF(P41="H",$B$7*$B$16/2,0)</f>
        <v/>
      </c>
      <c r="Q42" s="27">
        <f>IF(Q41="H",$B$7*$B$16/2,0)</f>
        <v/>
      </c>
      <c r="R42" s="27">
        <f>IF(R41="H",$B$7*$B$16/2,0)</f>
        <v/>
      </c>
      <c r="S42" s="27">
        <f>IF(S41="H",$B$7*$B$16/2,0)</f>
        <v/>
      </c>
      <c r="T42" s="27">
        <f>IF(T41="H",$B$7*$B$16/2,0)</f>
        <v/>
      </c>
      <c r="U42" s="27">
        <f>IF(U41="H",$B$7*$B$16/2,0)</f>
        <v/>
      </c>
      <c r="V42" s="27">
        <f>IF(V41="H",$B$7*$B$16/2,0)</f>
        <v/>
      </c>
      <c r="W42" s="27">
        <f>IF(W41="H",$B$7*$B$16/2,0)</f>
        <v/>
      </c>
      <c r="X42" s="27">
        <f>IF(X41="H",$B$7*$B$16/2,0)</f>
        <v/>
      </c>
      <c r="Y42" s="27">
        <f>IF(Y41="H",$B$7*$B$16/2,0)</f>
        <v/>
      </c>
      <c r="Z42" s="27">
        <f>IF(Z41="H",$B$7*$B$16/2,0)</f>
        <v/>
      </c>
      <c r="AA42" s="27">
        <f>IF(AA41="H",$B$7*$B$16/2,0)</f>
        <v/>
      </c>
      <c r="AB42" s="27">
        <f>IF(AB41="H",$B$7*$B$16/2,0)</f>
        <v/>
      </c>
      <c r="AC42" s="27">
        <f>IF(AC41="H",$B$7*$B$16/2,0)</f>
        <v/>
      </c>
      <c r="AD42" s="27">
        <f>IF(AD41="H",$B$7*$B$16/2,0)</f>
        <v/>
      </c>
      <c r="AE42" s="27">
        <f>IF(AE41="H",$B$7*$B$16/2,0)</f>
        <v/>
      </c>
      <c r="AF42" s="27">
        <f>IF(AF41="H",$B$7*$B$16/2,0)</f>
        <v/>
      </c>
      <c r="AG42" s="27">
        <f>IF(AG41="H",$B$7*$B$16/2,0)</f>
        <v/>
      </c>
      <c r="AH42" s="27">
        <f>IF(AH41="H",$B$7*$B$16/2,0)</f>
        <v/>
      </c>
      <c r="AI42" s="27">
        <f>IF(AI41="H",$B$7*$B$16/2,0)</f>
        <v/>
      </c>
      <c r="AJ42" s="27">
        <f>IF(AJ41="H",$B$7*$B$16/2,0)</f>
        <v/>
      </c>
      <c r="AK42" s="27">
        <f>IF(AK41="H",$B$7*$B$16/2,0)</f>
        <v/>
      </c>
      <c r="AL42" s="27">
        <f>IF(AL41="H",$B$7*$B$16/2,0)</f>
        <v/>
      </c>
      <c r="AM42" s="27">
        <f>IF(AM41="H",$B$7*$B$16/2,0)</f>
        <v/>
      </c>
      <c r="AN42" s="27">
        <f>IF(AN41="H",$B$7*$B$16/2,0)</f>
        <v/>
      </c>
      <c r="AO42" s="27">
        <f>IF(AO41="H",$B$7*$B$16/2,0)</f>
        <v/>
      </c>
      <c r="AP42" s="27">
        <f>IF(AP41="H",$B$7*$B$16/2,0)</f>
        <v/>
      </c>
      <c r="AQ42" s="27">
        <f>IF(AQ41="H",$B$7*$B$16/2,0)</f>
        <v/>
      </c>
      <c r="AR42" s="27">
        <f>IF(AR41="H",$B$7*$B$16/2,0)</f>
        <v/>
      </c>
      <c r="AS42" s="27">
        <f>IF(AS41="H",$B$7*$B$16/2,0)</f>
        <v/>
      </c>
      <c r="AT42" s="27">
        <f>IF(AT41="H",$B$7*$B$16/2,0)</f>
        <v/>
      </c>
      <c r="AU42" s="27">
        <f>IF(AU41="H",$B$7*$B$16/2,0)</f>
        <v/>
      </c>
      <c r="AV42" s="27">
        <f>IF(AV41="H",$B$7*$B$16/2,0)</f>
        <v/>
      </c>
      <c r="AW42" s="27">
        <f>IF(AW41="H",$B$7*$B$16/2,0)</f>
        <v/>
      </c>
      <c r="AX42" s="27">
        <f>IF(AX41="H",$B$7*$B$16/2,0)</f>
        <v/>
      </c>
      <c r="AY42" s="27">
        <f>IF(AY41="H",$B$7*$B$16/2,0)</f>
        <v/>
      </c>
      <c r="AZ42" s="27">
        <f>IF(AZ41="H",$B$7*$B$16/2,0)</f>
        <v/>
      </c>
      <c r="BA42" s="27">
        <f>IF(BA41="H",$B$7*$B$16/2,0)</f>
        <v/>
      </c>
      <c r="BB42" s="27">
        <f>IF(BB41="H",$B$7*$B$16/2,0)</f>
        <v/>
      </c>
    </row>
    <row r="43">
      <c r="A43" s="25" t="inlineStr">
        <is>
          <t>Kale W12</t>
        </is>
      </c>
      <c r="B43" s="4" t="inlineStr">
        <is>
          <t>P/G/H</t>
        </is>
      </c>
      <c r="N43" s="26" t="inlineStr">
        <is>
          <t>P</t>
        </is>
      </c>
      <c r="O43" s="26" t="inlineStr">
        <is>
          <t>G</t>
        </is>
      </c>
      <c r="P43" s="26" t="inlineStr">
        <is>
          <t>G</t>
        </is>
      </c>
      <c r="Q43" s="26" t="inlineStr">
        <is>
          <t>G</t>
        </is>
      </c>
      <c r="R43" s="26" t="inlineStr">
        <is>
          <t>G</t>
        </is>
      </c>
      <c r="S43" s="26" t="inlineStr">
        <is>
          <t>G</t>
        </is>
      </c>
      <c r="T43" s="26" t="inlineStr">
        <is>
          <t>G</t>
        </is>
      </c>
      <c r="U43" s="26" t="inlineStr">
        <is>
          <t>G</t>
        </is>
      </c>
      <c r="V43" s="26" t="inlineStr">
        <is>
          <t>G</t>
        </is>
      </c>
      <c r="W43" s="26" t="inlineStr">
        <is>
          <t>H</t>
        </is>
      </c>
      <c r="X43" s="26" t="inlineStr">
        <is>
          <t>H</t>
        </is>
      </c>
      <c r="Y43" s="26" t="inlineStr">
        <is>
          <t>H</t>
        </is>
      </c>
      <c r="Z43" s="26" t="inlineStr">
        <is>
          <t>H</t>
        </is>
      </c>
    </row>
    <row r="44">
      <c r="A44" s="25" t="inlineStr">
        <is>
          <t xml:space="preserve">   lbs harvested (GROSS)</t>
        </is>
      </c>
      <c r="B44" s="4" t="inlineStr">
        <is>
          <t>lb</t>
        </is>
      </c>
      <c r="C44" s="27">
        <f>IF(C43="H",$B$8*$B$17/4,0)</f>
        <v/>
      </c>
      <c r="D44" s="27">
        <f>IF(D43="H",$B$8*$B$17/4,0)</f>
        <v/>
      </c>
      <c r="E44" s="27">
        <f>IF(E43="H",$B$8*$B$17/4,0)</f>
        <v/>
      </c>
      <c r="F44" s="27">
        <f>IF(F43="H",$B$8*$B$17/4,0)</f>
        <v/>
      </c>
      <c r="G44" s="27">
        <f>IF(G43="H",$B$8*$B$17/4,0)</f>
        <v/>
      </c>
      <c r="H44" s="27">
        <f>IF(H43="H",$B$8*$B$17/4,0)</f>
        <v/>
      </c>
      <c r="I44" s="27">
        <f>IF(I43="H",$B$8*$B$17/4,0)</f>
        <v/>
      </c>
      <c r="J44" s="27">
        <f>IF(J43="H",$B$8*$B$17/4,0)</f>
        <v/>
      </c>
      <c r="K44" s="27">
        <f>IF(K43="H",$B$8*$B$17/4,0)</f>
        <v/>
      </c>
      <c r="L44" s="27">
        <f>IF(L43="H",$B$8*$B$17/4,0)</f>
        <v/>
      </c>
      <c r="M44" s="27">
        <f>IF(M43="H",$B$8*$B$17/4,0)</f>
        <v/>
      </c>
      <c r="N44" s="27">
        <f>IF(N43="H",$B$8*$B$17/4,0)</f>
        <v/>
      </c>
      <c r="O44" s="27">
        <f>IF(O43="H",$B$8*$B$17/4,0)</f>
        <v/>
      </c>
      <c r="P44" s="27">
        <f>IF(P43="H",$B$8*$B$17/4,0)</f>
        <v/>
      </c>
      <c r="Q44" s="27">
        <f>IF(Q43="H",$B$8*$B$17/4,0)</f>
        <v/>
      </c>
      <c r="R44" s="27">
        <f>IF(R43="H",$B$8*$B$17/4,0)</f>
        <v/>
      </c>
      <c r="S44" s="27">
        <f>IF(S43="H",$B$8*$B$17/4,0)</f>
        <v/>
      </c>
      <c r="T44" s="27">
        <f>IF(T43="H",$B$8*$B$17/4,0)</f>
        <v/>
      </c>
      <c r="U44" s="27">
        <f>IF(U43="H",$B$8*$B$17/4,0)</f>
        <v/>
      </c>
      <c r="V44" s="27">
        <f>IF(V43="H",$B$8*$B$17/4,0)</f>
        <v/>
      </c>
      <c r="W44" s="27">
        <f>IF(W43="H",$B$8*$B$17/4,0)</f>
        <v/>
      </c>
      <c r="X44" s="27">
        <f>IF(X43="H",$B$8*$B$17/4,0)</f>
        <v/>
      </c>
      <c r="Y44" s="27">
        <f>IF(Y43="H",$B$8*$B$17/4,0)</f>
        <v/>
      </c>
      <c r="Z44" s="27">
        <f>IF(Z43="H",$B$8*$B$17/4,0)</f>
        <v/>
      </c>
      <c r="AA44" s="27">
        <f>IF(AA43="H",$B$8*$B$17/4,0)</f>
        <v/>
      </c>
      <c r="AB44" s="27">
        <f>IF(AB43="H",$B$8*$B$17/4,0)</f>
        <v/>
      </c>
      <c r="AC44" s="27">
        <f>IF(AC43="H",$B$8*$B$17/4,0)</f>
        <v/>
      </c>
      <c r="AD44" s="27">
        <f>IF(AD43="H",$B$8*$B$17/4,0)</f>
        <v/>
      </c>
      <c r="AE44" s="27">
        <f>IF(AE43="H",$B$8*$B$17/4,0)</f>
        <v/>
      </c>
      <c r="AF44" s="27">
        <f>IF(AF43="H",$B$8*$B$17/4,0)</f>
        <v/>
      </c>
      <c r="AG44" s="27">
        <f>IF(AG43="H",$B$8*$B$17/4,0)</f>
        <v/>
      </c>
      <c r="AH44" s="27">
        <f>IF(AH43="H",$B$8*$B$17/4,0)</f>
        <v/>
      </c>
      <c r="AI44" s="27">
        <f>IF(AI43="H",$B$8*$B$17/4,0)</f>
        <v/>
      </c>
      <c r="AJ44" s="27">
        <f>IF(AJ43="H",$B$8*$B$17/4,0)</f>
        <v/>
      </c>
      <c r="AK44" s="27">
        <f>IF(AK43="H",$B$8*$B$17/4,0)</f>
        <v/>
      </c>
      <c r="AL44" s="27">
        <f>IF(AL43="H",$B$8*$B$17/4,0)</f>
        <v/>
      </c>
      <c r="AM44" s="27">
        <f>IF(AM43="H",$B$8*$B$17/4,0)</f>
        <v/>
      </c>
      <c r="AN44" s="27">
        <f>IF(AN43="H",$B$8*$B$17/4,0)</f>
        <v/>
      </c>
      <c r="AO44" s="27">
        <f>IF(AO43="H",$B$8*$B$17/4,0)</f>
        <v/>
      </c>
      <c r="AP44" s="27">
        <f>IF(AP43="H",$B$8*$B$17/4,0)</f>
        <v/>
      </c>
      <c r="AQ44" s="27">
        <f>IF(AQ43="H",$B$8*$B$17/4,0)</f>
        <v/>
      </c>
      <c r="AR44" s="27">
        <f>IF(AR43="H",$B$8*$B$17/4,0)</f>
        <v/>
      </c>
      <c r="AS44" s="27">
        <f>IF(AS43="H",$B$8*$B$17/4,0)</f>
        <v/>
      </c>
      <c r="AT44" s="27">
        <f>IF(AT43="H",$B$8*$B$17/4,0)</f>
        <v/>
      </c>
      <c r="AU44" s="27">
        <f>IF(AU43="H",$B$8*$B$17/4,0)</f>
        <v/>
      </c>
      <c r="AV44" s="27">
        <f>IF(AV43="H",$B$8*$B$17/4,0)</f>
        <v/>
      </c>
      <c r="AW44" s="27">
        <f>IF(AW43="H",$B$8*$B$17/4,0)</f>
        <v/>
      </c>
      <c r="AX44" s="27">
        <f>IF(AX43="H",$B$8*$B$17/4,0)</f>
        <v/>
      </c>
      <c r="AY44" s="27">
        <f>IF(AY43="H",$B$8*$B$17/4,0)</f>
        <v/>
      </c>
      <c r="AZ44" s="27">
        <f>IF(AZ43="H",$B$8*$B$17/4,0)</f>
        <v/>
      </c>
      <c r="BA44" s="27">
        <f>IF(BA43="H",$B$8*$B$17/4,0)</f>
        <v/>
      </c>
      <c r="BB44" s="27">
        <f>IF(BB43="H",$B$8*$B$17/4,0)</f>
        <v/>
      </c>
    </row>
    <row r="45">
      <c r="A45" s="25" t="inlineStr">
        <is>
          <t>Kale W32</t>
        </is>
      </c>
      <c r="B45" s="4" t="inlineStr">
        <is>
          <t>P/G/H</t>
        </is>
      </c>
      <c r="AH45" s="26" t="inlineStr">
        <is>
          <t>P</t>
        </is>
      </c>
      <c r="AI45" s="26" t="inlineStr">
        <is>
          <t>G</t>
        </is>
      </c>
      <c r="AJ45" s="26" t="inlineStr">
        <is>
          <t>G</t>
        </is>
      </c>
      <c r="AK45" s="26" t="inlineStr">
        <is>
          <t>G</t>
        </is>
      </c>
      <c r="AL45" s="26" t="inlineStr">
        <is>
          <t>G</t>
        </is>
      </c>
      <c r="AM45" s="26" t="inlineStr">
        <is>
          <t>G</t>
        </is>
      </c>
      <c r="AN45" s="26" t="inlineStr">
        <is>
          <t>G</t>
        </is>
      </c>
      <c r="AO45" s="26" t="inlineStr">
        <is>
          <t>G</t>
        </is>
      </c>
      <c r="AP45" s="26" t="inlineStr">
        <is>
          <t>G</t>
        </is>
      </c>
      <c r="AQ45" s="26" t="inlineStr">
        <is>
          <t>H</t>
        </is>
      </c>
      <c r="AR45" s="26" t="inlineStr">
        <is>
          <t>H</t>
        </is>
      </c>
      <c r="AS45" s="26" t="inlineStr">
        <is>
          <t>H</t>
        </is>
      </c>
      <c r="AT45" s="26" t="inlineStr">
        <is>
          <t>H</t>
        </is>
      </c>
    </row>
    <row r="46">
      <c r="A46" s="25" t="inlineStr">
        <is>
          <t xml:space="preserve">   lbs harvested (GROSS)</t>
        </is>
      </c>
      <c r="B46" s="4" t="inlineStr">
        <is>
          <t>lb</t>
        </is>
      </c>
      <c r="C46" s="27">
        <f>IF(C45="H",$B$9*$B$17/4,0)</f>
        <v/>
      </c>
      <c r="D46" s="27">
        <f>IF(D45="H",$B$9*$B$17/4,0)</f>
        <v/>
      </c>
      <c r="E46" s="27">
        <f>IF(E45="H",$B$9*$B$17/4,0)</f>
        <v/>
      </c>
      <c r="F46" s="27">
        <f>IF(F45="H",$B$9*$B$17/4,0)</f>
        <v/>
      </c>
      <c r="G46" s="27">
        <f>IF(G45="H",$B$9*$B$17/4,0)</f>
        <v/>
      </c>
      <c r="H46" s="27">
        <f>IF(H45="H",$B$9*$B$17/4,0)</f>
        <v/>
      </c>
      <c r="I46" s="27">
        <f>IF(I45="H",$B$9*$B$17/4,0)</f>
        <v/>
      </c>
      <c r="J46" s="27">
        <f>IF(J45="H",$B$9*$B$17/4,0)</f>
        <v/>
      </c>
      <c r="K46" s="27">
        <f>IF(K45="H",$B$9*$B$17/4,0)</f>
        <v/>
      </c>
      <c r="L46" s="27">
        <f>IF(L45="H",$B$9*$B$17/4,0)</f>
        <v/>
      </c>
      <c r="M46" s="27">
        <f>IF(M45="H",$B$9*$B$17/4,0)</f>
        <v/>
      </c>
      <c r="N46" s="27">
        <f>IF(N45="H",$B$9*$B$17/4,0)</f>
        <v/>
      </c>
      <c r="O46" s="27">
        <f>IF(O45="H",$B$9*$B$17/4,0)</f>
        <v/>
      </c>
      <c r="P46" s="27">
        <f>IF(P45="H",$B$9*$B$17/4,0)</f>
        <v/>
      </c>
      <c r="Q46" s="27">
        <f>IF(Q45="H",$B$9*$B$17/4,0)</f>
        <v/>
      </c>
      <c r="R46" s="27">
        <f>IF(R45="H",$B$9*$B$17/4,0)</f>
        <v/>
      </c>
      <c r="S46" s="27">
        <f>IF(S45="H",$B$9*$B$17/4,0)</f>
        <v/>
      </c>
      <c r="T46" s="27">
        <f>IF(T45="H",$B$9*$B$17/4,0)</f>
        <v/>
      </c>
      <c r="U46" s="27">
        <f>IF(U45="H",$B$9*$B$17/4,0)</f>
        <v/>
      </c>
      <c r="V46" s="27">
        <f>IF(V45="H",$B$9*$B$17/4,0)</f>
        <v/>
      </c>
      <c r="W46" s="27">
        <f>IF(W45="H",$B$9*$B$17/4,0)</f>
        <v/>
      </c>
      <c r="X46" s="27">
        <f>IF(X45="H",$B$9*$B$17/4,0)</f>
        <v/>
      </c>
      <c r="Y46" s="27">
        <f>IF(Y45="H",$B$9*$B$17/4,0)</f>
        <v/>
      </c>
      <c r="Z46" s="27">
        <f>IF(Z45="H",$B$9*$B$17/4,0)</f>
        <v/>
      </c>
      <c r="AA46" s="27">
        <f>IF(AA45="H",$B$9*$B$17/4,0)</f>
        <v/>
      </c>
      <c r="AB46" s="27">
        <f>IF(AB45="H",$B$9*$B$17/4,0)</f>
        <v/>
      </c>
      <c r="AC46" s="27">
        <f>IF(AC45="H",$B$9*$B$17/4,0)</f>
        <v/>
      </c>
      <c r="AD46" s="27">
        <f>IF(AD45="H",$B$9*$B$17/4,0)</f>
        <v/>
      </c>
      <c r="AE46" s="27">
        <f>IF(AE45="H",$B$9*$B$17/4,0)</f>
        <v/>
      </c>
      <c r="AF46" s="27">
        <f>IF(AF45="H",$B$9*$B$17/4,0)</f>
        <v/>
      </c>
      <c r="AG46" s="27">
        <f>IF(AG45="H",$B$9*$B$17/4,0)</f>
        <v/>
      </c>
      <c r="AH46" s="27">
        <f>IF(AH45="H",$B$9*$B$17/4,0)</f>
        <v/>
      </c>
      <c r="AI46" s="27">
        <f>IF(AI45="H",$B$9*$B$17/4,0)</f>
        <v/>
      </c>
      <c r="AJ46" s="27">
        <f>IF(AJ45="H",$B$9*$B$17/4,0)</f>
        <v/>
      </c>
      <c r="AK46" s="27">
        <f>IF(AK45="H",$B$9*$B$17/4,0)</f>
        <v/>
      </c>
      <c r="AL46" s="27">
        <f>IF(AL45="H",$B$9*$B$17/4,0)</f>
        <v/>
      </c>
      <c r="AM46" s="27">
        <f>IF(AM45="H",$B$9*$B$17/4,0)</f>
        <v/>
      </c>
      <c r="AN46" s="27">
        <f>IF(AN45="H",$B$9*$B$17/4,0)</f>
        <v/>
      </c>
      <c r="AO46" s="27">
        <f>IF(AO45="H",$B$9*$B$17/4,0)</f>
        <v/>
      </c>
      <c r="AP46" s="27">
        <f>IF(AP45="H",$B$9*$B$17/4,0)</f>
        <v/>
      </c>
      <c r="AQ46" s="27">
        <f>IF(AQ45="H",$B$9*$B$17/4,0)</f>
        <v/>
      </c>
      <c r="AR46" s="27">
        <f>IF(AR45="H",$B$9*$B$17/4,0)</f>
        <v/>
      </c>
      <c r="AS46" s="27">
        <f>IF(AS45="H",$B$9*$B$17/4,0)</f>
        <v/>
      </c>
      <c r="AT46" s="27">
        <f>IF(AT45="H",$B$9*$B$17/4,0)</f>
        <v/>
      </c>
      <c r="AU46" s="27">
        <f>IF(AU45="H",$B$9*$B$17/4,0)</f>
        <v/>
      </c>
      <c r="AV46" s="27">
        <f>IF(AV45="H",$B$9*$B$17/4,0)</f>
        <v/>
      </c>
      <c r="AW46" s="27">
        <f>IF(AW45="H",$B$9*$B$17/4,0)</f>
        <v/>
      </c>
      <c r="AX46" s="27">
        <f>IF(AX45="H",$B$9*$B$17/4,0)</f>
        <v/>
      </c>
      <c r="AY46" s="27">
        <f>IF(AY45="H",$B$9*$B$17/4,0)</f>
        <v/>
      </c>
      <c r="AZ46" s="27">
        <f>IF(AZ45="H",$B$9*$B$17/4,0)</f>
        <v/>
      </c>
      <c r="BA46" s="27">
        <f>IF(BA45="H",$B$9*$B$17/4,0)</f>
        <v/>
      </c>
      <c r="BB46" s="27">
        <f>IF(BB45="H",$B$9*$B$17/4,0)</f>
        <v/>
      </c>
    </row>
    <row r="47">
      <c r="A47" s="25" t="inlineStr">
        <is>
          <t>Garlic W47</t>
        </is>
      </c>
      <c r="B47" s="4" t="inlineStr">
        <is>
          <t>P/G/H</t>
        </is>
      </c>
      <c r="C47" s="26" t="inlineStr">
        <is>
          <t>G</t>
        </is>
      </c>
      <c r="D47" s="26" t="inlineStr">
        <is>
          <t>G</t>
        </is>
      </c>
      <c r="E47" s="26" t="inlineStr">
        <is>
          <t>G</t>
        </is>
      </c>
      <c r="F47" s="26" t="inlineStr">
        <is>
          <t>G</t>
        </is>
      </c>
      <c r="G47" s="26" t="inlineStr">
        <is>
          <t>G</t>
        </is>
      </c>
      <c r="H47" s="26" t="inlineStr">
        <is>
          <t>G</t>
        </is>
      </c>
      <c r="I47" s="26" t="inlineStr">
        <is>
          <t>G</t>
        </is>
      </c>
      <c r="J47" s="26" t="inlineStr">
        <is>
          <t>G</t>
        </is>
      </c>
      <c r="K47" s="26" t="inlineStr">
        <is>
          <t>G</t>
        </is>
      </c>
      <c r="L47" s="26" t="inlineStr">
        <is>
          <t>G</t>
        </is>
      </c>
      <c r="M47" s="26" t="inlineStr">
        <is>
          <t>G</t>
        </is>
      </c>
      <c r="N47" s="26" t="inlineStr">
        <is>
          <t>G</t>
        </is>
      </c>
      <c r="O47" s="26" t="inlineStr">
        <is>
          <t>G</t>
        </is>
      </c>
      <c r="P47" s="26" t="inlineStr">
        <is>
          <t>G</t>
        </is>
      </c>
      <c r="Q47" s="26" t="inlineStr">
        <is>
          <t>G</t>
        </is>
      </c>
      <c r="R47" s="26" t="inlineStr">
        <is>
          <t>G</t>
        </is>
      </c>
      <c r="S47" s="26" t="inlineStr">
        <is>
          <t>G</t>
        </is>
      </c>
      <c r="T47" s="26" t="inlineStr">
        <is>
          <t>G</t>
        </is>
      </c>
      <c r="U47" s="26" t="inlineStr">
        <is>
          <t>G</t>
        </is>
      </c>
      <c r="V47" s="26" t="inlineStr">
        <is>
          <t>G</t>
        </is>
      </c>
      <c r="W47" s="26" t="inlineStr">
        <is>
          <t>G</t>
        </is>
      </c>
      <c r="X47" s="26" t="inlineStr">
        <is>
          <t>G</t>
        </is>
      </c>
      <c r="Y47" s="26" t="inlineStr">
        <is>
          <t>G</t>
        </is>
      </c>
      <c r="Z47" s="26" t="inlineStr">
        <is>
          <t>G</t>
        </is>
      </c>
      <c r="AA47" s="26" t="inlineStr">
        <is>
          <t>G</t>
        </is>
      </c>
      <c r="AB47" s="26" t="inlineStr">
        <is>
          <t>G</t>
        </is>
      </c>
      <c r="AC47" s="26" t="inlineStr">
        <is>
          <t>G</t>
        </is>
      </c>
      <c r="AD47" s="26" t="inlineStr">
        <is>
          <t>G</t>
        </is>
      </c>
      <c r="AE47" s="26" t="inlineStr">
        <is>
          <t>G</t>
        </is>
      </c>
      <c r="AF47" s="26" t="inlineStr">
        <is>
          <t>H</t>
        </is>
      </c>
      <c r="AW47" s="26" t="inlineStr">
        <is>
          <t>P</t>
        </is>
      </c>
      <c r="AX47" s="26" t="inlineStr">
        <is>
          <t>P</t>
        </is>
      </c>
      <c r="AY47" s="26" t="inlineStr">
        <is>
          <t>P</t>
        </is>
      </c>
      <c r="AZ47" s="26" t="inlineStr">
        <is>
          <t>G</t>
        </is>
      </c>
      <c r="BA47" s="26" t="inlineStr">
        <is>
          <t>G</t>
        </is>
      </c>
      <c r="BB47" s="26" t="inlineStr">
        <is>
          <t>G</t>
        </is>
      </c>
    </row>
    <row r="48">
      <c r="A48" s="25" t="inlineStr">
        <is>
          <t xml:space="preserve">   lbs harvested (GROSS)</t>
        </is>
      </c>
      <c r="B48" s="4" t="inlineStr">
        <is>
          <t>lb</t>
        </is>
      </c>
      <c r="C48" s="27">
        <f>IF(C47="H",$B$10*$B$18/1,0)</f>
        <v/>
      </c>
      <c r="D48" s="27">
        <f>IF(D47="H",$B$10*$B$18/1,0)</f>
        <v/>
      </c>
      <c r="E48" s="27">
        <f>IF(E47="H",$B$10*$B$18/1,0)</f>
        <v/>
      </c>
      <c r="F48" s="27">
        <f>IF(F47="H",$B$10*$B$18/1,0)</f>
        <v/>
      </c>
      <c r="G48" s="27">
        <f>IF(G47="H",$B$10*$B$18/1,0)</f>
        <v/>
      </c>
      <c r="H48" s="27">
        <f>IF(H47="H",$B$10*$B$18/1,0)</f>
        <v/>
      </c>
      <c r="I48" s="27">
        <f>IF(I47="H",$B$10*$B$18/1,0)</f>
        <v/>
      </c>
      <c r="J48" s="27">
        <f>IF(J47="H",$B$10*$B$18/1,0)</f>
        <v/>
      </c>
      <c r="K48" s="27">
        <f>IF(K47="H",$B$10*$B$18/1,0)</f>
        <v/>
      </c>
      <c r="L48" s="27">
        <f>IF(L47="H",$B$10*$B$18/1,0)</f>
        <v/>
      </c>
      <c r="M48" s="27">
        <f>IF(M47="H",$B$10*$B$18/1,0)</f>
        <v/>
      </c>
      <c r="N48" s="27">
        <f>IF(N47="H",$B$10*$B$18/1,0)</f>
        <v/>
      </c>
      <c r="O48" s="27">
        <f>IF(O47="H",$B$10*$B$18/1,0)</f>
        <v/>
      </c>
      <c r="P48" s="27">
        <f>IF(P47="H",$B$10*$B$18/1,0)</f>
        <v/>
      </c>
      <c r="Q48" s="27">
        <f>IF(Q47="H",$B$10*$B$18/1,0)</f>
        <v/>
      </c>
      <c r="R48" s="27">
        <f>IF(R47="H",$B$10*$B$18/1,0)</f>
        <v/>
      </c>
      <c r="S48" s="27">
        <f>IF(S47="H",$B$10*$B$18/1,0)</f>
        <v/>
      </c>
      <c r="T48" s="27">
        <f>IF(T47="H",$B$10*$B$18/1,0)</f>
        <v/>
      </c>
      <c r="U48" s="27">
        <f>IF(U47="H",$B$10*$B$18/1,0)</f>
        <v/>
      </c>
      <c r="V48" s="27">
        <f>IF(V47="H",$B$10*$B$18/1,0)</f>
        <v/>
      </c>
      <c r="W48" s="27">
        <f>IF(W47="H",$B$10*$B$18/1,0)</f>
        <v/>
      </c>
      <c r="X48" s="27">
        <f>IF(X47="H",$B$10*$B$18/1,0)</f>
        <v/>
      </c>
      <c r="Y48" s="27">
        <f>IF(Y47="H",$B$10*$B$18/1,0)</f>
        <v/>
      </c>
      <c r="Z48" s="27">
        <f>IF(Z47="H",$B$10*$B$18/1,0)</f>
        <v/>
      </c>
      <c r="AA48" s="27">
        <f>IF(AA47="H",$B$10*$B$18/1,0)</f>
        <v/>
      </c>
      <c r="AB48" s="27">
        <f>IF(AB47="H",$B$10*$B$18/1,0)</f>
        <v/>
      </c>
      <c r="AC48" s="27">
        <f>IF(AC47="H",$B$10*$B$18/1,0)</f>
        <v/>
      </c>
      <c r="AD48" s="27">
        <f>IF(AD47="H",$B$10*$B$18/1,0)</f>
        <v/>
      </c>
      <c r="AE48" s="27">
        <f>IF(AE47="H",$B$10*$B$18/1,0)</f>
        <v/>
      </c>
      <c r="AF48" s="27">
        <f>IF(AF47="H",$B$10*$B$18/1,0)</f>
        <v/>
      </c>
      <c r="AG48" s="27">
        <f>IF(AG47="H",$B$10*$B$18/1,0)</f>
        <v/>
      </c>
      <c r="AH48" s="27">
        <f>IF(AH47="H",$B$10*$B$18/1,0)</f>
        <v/>
      </c>
      <c r="AI48" s="27">
        <f>IF(AI47="H",$B$10*$B$18/1,0)</f>
        <v/>
      </c>
      <c r="AJ48" s="27">
        <f>IF(AJ47="H",$B$10*$B$18/1,0)</f>
        <v/>
      </c>
      <c r="AK48" s="27">
        <f>IF(AK47="H",$B$10*$B$18/1,0)</f>
        <v/>
      </c>
      <c r="AL48" s="27">
        <f>IF(AL47="H",$B$10*$B$18/1,0)</f>
        <v/>
      </c>
      <c r="AM48" s="27">
        <f>IF(AM47="H",$B$10*$B$18/1,0)</f>
        <v/>
      </c>
      <c r="AN48" s="27">
        <f>IF(AN47="H",$B$10*$B$18/1,0)</f>
        <v/>
      </c>
      <c r="AO48" s="27">
        <f>IF(AO47="H",$B$10*$B$18/1,0)</f>
        <v/>
      </c>
      <c r="AP48" s="27">
        <f>IF(AP47="H",$B$10*$B$18/1,0)</f>
        <v/>
      </c>
      <c r="AQ48" s="27">
        <f>IF(AQ47="H",$B$10*$B$18/1,0)</f>
        <v/>
      </c>
      <c r="AR48" s="27">
        <f>IF(AR47="H",$B$10*$B$18/1,0)</f>
        <v/>
      </c>
      <c r="AS48" s="27">
        <f>IF(AS47="H",$B$10*$B$18/1,0)</f>
        <v/>
      </c>
      <c r="AT48" s="27">
        <f>IF(AT47="H",$B$10*$B$18/1,0)</f>
        <v/>
      </c>
      <c r="AU48" s="27">
        <f>IF(AU47="H",$B$10*$B$18/1,0)</f>
        <v/>
      </c>
      <c r="AV48" s="27">
        <f>IF(AV47="H",$B$10*$B$18/1,0)</f>
        <v/>
      </c>
      <c r="AW48" s="27">
        <f>IF(AW47="H",$B$10*$B$18/1,0)</f>
        <v/>
      </c>
      <c r="AX48" s="27">
        <f>IF(AX47="H",$B$10*$B$18/1,0)</f>
        <v/>
      </c>
      <c r="AY48" s="27">
        <f>IF(AY47="H",$B$10*$B$18/1,0)</f>
        <v/>
      </c>
      <c r="AZ48" s="27">
        <f>IF(AZ47="H",$B$10*$B$18/1,0)</f>
        <v/>
      </c>
      <c r="BA48" s="27">
        <f>IF(BA47="H",$B$10*$B$18/1,0)</f>
        <v/>
      </c>
      <c r="BB48" s="27">
        <f>IF(BB47="H",$B$10*$B$18/1,0)</f>
        <v/>
      </c>
    </row>
    <row r="49">
      <c r="A49" s="4" t="inlineStr">
        <is>
          <t>P = planting   G = growing   H = harvesting.  GROSS pounds off the field.</t>
        </is>
      </c>
    </row>
    <row r="51">
      <c r="A51" s="22" t="inlineStr">
        <is>
          <t>Week</t>
        </is>
      </c>
      <c r="B51" s="23" t="inlineStr">
        <is>
          <t>acres</t>
        </is>
      </c>
      <c r="C51" s="24" t="n">
        <v>1</v>
      </c>
      <c r="D51" s="24" t="n">
        <v>2</v>
      </c>
      <c r="E51" s="24" t="n">
        <v>3</v>
      </c>
      <c r="F51" s="24" t="n">
        <v>4</v>
      </c>
      <c r="G51" s="24" t="n">
        <v>5</v>
      </c>
      <c r="H51" s="24" t="n">
        <v>6</v>
      </c>
      <c r="I51" s="24" t="n">
        <v>7</v>
      </c>
      <c r="J51" s="24" t="n">
        <v>8</v>
      </c>
      <c r="K51" s="24" t="n">
        <v>9</v>
      </c>
      <c r="L51" s="24" t="n">
        <v>10</v>
      </c>
      <c r="M51" s="24" t="n">
        <v>11</v>
      </c>
      <c r="N51" s="24" t="n">
        <v>12</v>
      </c>
      <c r="O51" s="24" t="n">
        <v>13</v>
      </c>
      <c r="P51" s="24" t="n">
        <v>14</v>
      </c>
      <c r="Q51" s="24" t="n">
        <v>15</v>
      </c>
      <c r="R51" s="24" t="n">
        <v>16</v>
      </c>
      <c r="S51" s="24" t="n">
        <v>17</v>
      </c>
      <c r="T51" s="24" t="n">
        <v>18</v>
      </c>
      <c r="U51" s="24" t="n">
        <v>19</v>
      </c>
      <c r="V51" s="24" t="n">
        <v>20</v>
      </c>
      <c r="W51" s="24" t="n">
        <v>21</v>
      </c>
      <c r="X51" s="24" t="n">
        <v>22</v>
      </c>
      <c r="Y51" s="24" t="n">
        <v>23</v>
      </c>
      <c r="Z51" s="24" t="n">
        <v>24</v>
      </c>
      <c r="AA51" s="24" t="n">
        <v>25</v>
      </c>
      <c r="AB51" s="24" t="n">
        <v>26</v>
      </c>
      <c r="AC51" s="24" t="n">
        <v>27</v>
      </c>
      <c r="AD51" s="24" t="n">
        <v>28</v>
      </c>
      <c r="AE51" s="24" t="n">
        <v>29</v>
      </c>
      <c r="AF51" s="24" t="n">
        <v>30</v>
      </c>
      <c r="AG51" s="24" t="n">
        <v>31</v>
      </c>
      <c r="AH51" s="24" t="n">
        <v>32</v>
      </c>
      <c r="AI51" s="24" t="n">
        <v>33</v>
      </c>
      <c r="AJ51" s="24" t="n">
        <v>34</v>
      </c>
      <c r="AK51" s="24" t="n">
        <v>35</v>
      </c>
      <c r="AL51" s="24" t="n">
        <v>36</v>
      </c>
      <c r="AM51" s="24" t="n">
        <v>37</v>
      </c>
      <c r="AN51" s="24" t="n">
        <v>38</v>
      </c>
      <c r="AO51" s="24" t="n">
        <v>39</v>
      </c>
      <c r="AP51" s="24" t="n">
        <v>40</v>
      </c>
      <c r="AQ51" s="24" t="n">
        <v>41</v>
      </c>
      <c r="AR51" s="24" t="n">
        <v>42</v>
      </c>
      <c r="AS51" s="24" t="n">
        <v>43</v>
      </c>
      <c r="AT51" s="24" t="n">
        <v>44</v>
      </c>
      <c r="AU51" s="24" t="n">
        <v>45</v>
      </c>
      <c r="AV51" s="24" t="n">
        <v>46</v>
      </c>
      <c r="AW51" s="24" t="n">
        <v>47</v>
      </c>
      <c r="AX51" s="24" t="n">
        <v>48</v>
      </c>
      <c r="AY51" s="24" t="n">
        <v>49</v>
      </c>
      <c r="AZ51" s="24" t="n">
        <v>50</v>
      </c>
      <c r="BA51" s="24" t="n">
        <v>51</v>
      </c>
      <c r="BB51" s="24" t="n">
        <v>52</v>
      </c>
    </row>
    <row r="52">
      <c r="A52" s="3" t="inlineStr">
        <is>
          <t>LAND in the ground</t>
        </is>
      </c>
      <c r="B52" s="4" t="inlineStr">
        <is>
          <t>used</t>
        </is>
      </c>
      <c r="C52" s="28">
        <f>IF(C39&lt;&gt;"",$B$6,0)+IF(C41&lt;&gt;"",$B$7,0)+IF(C43&lt;&gt;"",$B$8,0)+IF(C45&lt;&gt;"",$B$9,0)+IF(C47&lt;&gt;"",$B$10,0)</f>
        <v/>
      </c>
      <c r="D52" s="28">
        <f>IF(D39&lt;&gt;"",$B$6,0)+IF(D41&lt;&gt;"",$B$7,0)+IF(D43&lt;&gt;"",$B$8,0)+IF(D45&lt;&gt;"",$B$9,0)+IF(D47&lt;&gt;"",$B$10,0)</f>
        <v/>
      </c>
      <c r="E52" s="28">
        <f>IF(E39&lt;&gt;"",$B$6,0)+IF(E41&lt;&gt;"",$B$7,0)+IF(E43&lt;&gt;"",$B$8,0)+IF(E45&lt;&gt;"",$B$9,0)+IF(E47&lt;&gt;"",$B$10,0)</f>
        <v/>
      </c>
      <c r="F52" s="28">
        <f>IF(F39&lt;&gt;"",$B$6,0)+IF(F41&lt;&gt;"",$B$7,0)+IF(F43&lt;&gt;"",$B$8,0)+IF(F45&lt;&gt;"",$B$9,0)+IF(F47&lt;&gt;"",$B$10,0)</f>
        <v/>
      </c>
      <c r="G52" s="28">
        <f>IF(G39&lt;&gt;"",$B$6,0)+IF(G41&lt;&gt;"",$B$7,0)+IF(G43&lt;&gt;"",$B$8,0)+IF(G45&lt;&gt;"",$B$9,0)+IF(G47&lt;&gt;"",$B$10,0)</f>
        <v/>
      </c>
      <c r="H52" s="28">
        <f>IF(H39&lt;&gt;"",$B$6,0)+IF(H41&lt;&gt;"",$B$7,0)+IF(H43&lt;&gt;"",$B$8,0)+IF(H45&lt;&gt;"",$B$9,0)+IF(H47&lt;&gt;"",$B$10,0)</f>
        <v/>
      </c>
      <c r="I52" s="28">
        <f>IF(I39&lt;&gt;"",$B$6,0)+IF(I41&lt;&gt;"",$B$7,0)+IF(I43&lt;&gt;"",$B$8,0)+IF(I45&lt;&gt;"",$B$9,0)+IF(I47&lt;&gt;"",$B$10,0)</f>
        <v/>
      </c>
      <c r="J52" s="28">
        <f>IF(J39&lt;&gt;"",$B$6,0)+IF(J41&lt;&gt;"",$B$7,0)+IF(J43&lt;&gt;"",$B$8,0)+IF(J45&lt;&gt;"",$B$9,0)+IF(J47&lt;&gt;"",$B$10,0)</f>
        <v/>
      </c>
      <c r="K52" s="28">
        <f>IF(K39&lt;&gt;"",$B$6,0)+IF(K41&lt;&gt;"",$B$7,0)+IF(K43&lt;&gt;"",$B$8,0)+IF(K45&lt;&gt;"",$B$9,0)+IF(K47&lt;&gt;"",$B$10,0)</f>
        <v/>
      </c>
      <c r="L52" s="28">
        <f>IF(L39&lt;&gt;"",$B$6,0)+IF(L41&lt;&gt;"",$B$7,0)+IF(L43&lt;&gt;"",$B$8,0)+IF(L45&lt;&gt;"",$B$9,0)+IF(L47&lt;&gt;"",$B$10,0)</f>
        <v/>
      </c>
      <c r="M52" s="28">
        <f>IF(M39&lt;&gt;"",$B$6,0)+IF(M41&lt;&gt;"",$B$7,0)+IF(M43&lt;&gt;"",$B$8,0)+IF(M45&lt;&gt;"",$B$9,0)+IF(M47&lt;&gt;"",$B$10,0)</f>
        <v/>
      </c>
      <c r="N52" s="28">
        <f>IF(N39&lt;&gt;"",$B$6,0)+IF(N41&lt;&gt;"",$B$7,0)+IF(N43&lt;&gt;"",$B$8,0)+IF(N45&lt;&gt;"",$B$9,0)+IF(N47&lt;&gt;"",$B$10,0)</f>
        <v/>
      </c>
      <c r="O52" s="28">
        <f>IF(O39&lt;&gt;"",$B$6,0)+IF(O41&lt;&gt;"",$B$7,0)+IF(O43&lt;&gt;"",$B$8,0)+IF(O45&lt;&gt;"",$B$9,0)+IF(O47&lt;&gt;"",$B$10,0)</f>
        <v/>
      </c>
      <c r="P52" s="28">
        <f>IF(P39&lt;&gt;"",$B$6,0)+IF(P41&lt;&gt;"",$B$7,0)+IF(P43&lt;&gt;"",$B$8,0)+IF(P45&lt;&gt;"",$B$9,0)+IF(P47&lt;&gt;"",$B$10,0)</f>
        <v/>
      </c>
      <c r="Q52" s="28">
        <f>IF(Q39&lt;&gt;"",$B$6,0)+IF(Q41&lt;&gt;"",$B$7,0)+IF(Q43&lt;&gt;"",$B$8,0)+IF(Q45&lt;&gt;"",$B$9,0)+IF(Q47&lt;&gt;"",$B$10,0)</f>
        <v/>
      </c>
      <c r="R52" s="28">
        <f>IF(R39&lt;&gt;"",$B$6,0)+IF(R41&lt;&gt;"",$B$7,0)+IF(R43&lt;&gt;"",$B$8,0)+IF(R45&lt;&gt;"",$B$9,0)+IF(R47&lt;&gt;"",$B$10,0)</f>
        <v/>
      </c>
      <c r="S52" s="28">
        <f>IF(S39&lt;&gt;"",$B$6,0)+IF(S41&lt;&gt;"",$B$7,0)+IF(S43&lt;&gt;"",$B$8,0)+IF(S45&lt;&gt;"",$B$9,0)+IF(S47&lt;&gt;"",$B$10,0)</f>
        <v/>
      </c>
      <c r="T52" s="28">
        <f>IF(T39&lt;&gt;"",$B$6,0)+IF(T41&lt;&gt;"",$B$7,0)+IF(T43&lt;&gt;"",$B$8,0)+IF(T45&lt;&gt;"",$B$9,0)+IF(T47&lt;&gt;"",$B$10,0)</f>
        <v/>
      </c>
      <c r="U52" s="28">
        <f>IF(U39&lt;&gt;"",$B$6,0)+IF(U41&lt;&gt;"",$B$7,0)+IF(U43&lt;&gt;"",$B$8,0)+IF(U45&lt;&gt;"",$B$9,0)+IF(U47&lt;&gt;"",$B$10,0)</f>
        <v/>
      </c>
      <c r="V52" s="28">
        <f>IF(V39&lt;&gt;"",$B$6,0)+IF(V41&lt;&gt;"",$B$7,0)+IF(V43&lt;&gt;"",$B$8,0)+IF(V45&lt;&gt;"",$B$9,0)+IF(V47&lt;&gt;"",$B$10,0)</f>
        <v/>
      </c>
      <c r="W52" s="28">
        <f>IF(W39&lt;&gt;"",$B$6,0)+IF(W41&lt;&gt;"",$B$7,0)+IF(W43&lt;&gt;"",$B$8,0)+IF(W45&lt;&gt;"",$B$9,0)+IF(W47&lt;&gt;"",$B$10,0)</f>
        <v/>
      </c>
      <c r="X52" s="28">
        <f>IF(X39&lt;&gt;"",$B$6,0)+IF(X41&lt;&gt;"",$B$7,0)+IF(X43&lt;&gt;"",$B$8,0)+IF(X45&lt;&gt;"",$B$9,0)+IF(X47&lt;&gt;"",$B$10,0)</f>
        <v/>
      </c>
      <c r="Y52" s="28">
        <f>IF(Y39&lt;&gt;"",$B$6,0)+IF(Y41&lt;&gt;"",$B$7,0)+IF(Y43&lt;&gt;"",$B$8,0)+IF(Y45&lt;&gt;"",$B$9,0)+IF(Y47&lt;&gt;"",$B$10,0)</f>
        <v/>
      </c>
      <c r="Z52" s="28">
        <f>IF(Z39&lt;&gt;"",$B$6,0)+IF(Z41&lt;&gt;"",$B$7,0)+IF(Z43&lt;&gt;"",$B$8,0)+IF(Z45&lt;&gt;"",$B$9,0)+IF(Z47&lt;&gt;"",$B$10,0)</f>
        <v/>
      </c>
      <c r="AA52" s="28">
        <f>IF(AA39&lt;&gt;"",$B$6,0)+IF(AA41&lt;&gt;"",$B$7,0)+IF(AA43&lt;&gt;"",$B$8,0)+IF(AA45&lt;&gt;"",$B$9,0)+IF(AA47&lt;&gt;"",$B$10,0)</f>
        <v/>
      </c>
      <c r="AB52" s="28">
        <f>IF(AB39&lt;&gt;"",$B$6,0)+IF(AB41&lt;&gt;"",$B$7,0)+IF(AB43&lt;&gt;"",$B$8,0)+IF(AB45&lt;&gt;"",$B$9,0)+IF(AB47&lt;&gt;"",$B$10,0)</f>
        <v/>
      </c>
      <c r="AC52" s="28">
        <f>IF(AC39&lt;&gt;"",$B$6,0)+IF(AC41&lt;&gt;"",$B$7,0)+IF(AC43&lt;&gt;"",$B$8,0)+IF(AC45&lt;&gt;"",$B$9,0)+IF(AC47&lt;&gt;"",$B$10,0)</f>
        <v/>
      </c>
      <c r="AD52" s="28">
        <f>IF(AD39&lt;&gt;"",$B$6,0)+IF(AD41&lt;&gt;"",$B$7,0)+IF(AD43&lt;&gt;"",$B$8,0)+IF(AD45&lt;&gt;"",$B$9,0)+IF(AD47&lt;&gt;"",$B$10,0)</f>
        <v/>
      </c>
      <c r="AE52" s="28">
        <f>IF(AE39&lt;&gt;"",$B$6,0)+IF(AE41&lt;&gt;"",$B$7,0)+IF(AE43&lt;&gt;"",$B$8,0)+IF(AE45&lt;&gt;"",$B$9,0)+IF(AE47&lt;&gt;"",$B$10,0)</f>
        <v/>
      </c>
      <c r="AF52" s="28">
        <f>IF(AF39&lt;&gt;"",$B$6,0)+IF(AF41&lt;&gt;"",$B$7,0)+IF(AF43&lt;&gt;"",$B$8,0)+IF(AF45&lt;&gt;"",$B$9,0)+IF(AF47&lt;&gt;"",$B$10,0)</f>
        <v/>
      </c>
      <c r="AG52" s="28">
        <f>IF(AG39&lt;&gt;"",$B$6,0)+IF(AG41&lt;&gt;"",$B$7,0)+IF(AG43&lt;&gt;"",$B$8,0)+IF(AG45&lt;&gt;"",$B$9,0)+IF(AG47&lt;&gt;"",$B$10,0)</f>
        <v/>
      </c>
      <c r="AH52" s="28">
        <f>IF(AH39&lt;&gt;"",$B$6,0)+IF(AH41&lt;&gt;"",$B$7,0)+IF(AH43&lt;&gt;"",$B$8,0)+IF(AH45&lt;&gt;"",$B$9,0)+IF(AH47&lt;&gt;"",$B$10,0)</f>
        <v/>
      </c>
      <c r="AI52" s="28">
        <f>IF(AI39&lt;&gt;"",$B$6,0)+IF(AI41&lt;&gt;"",$B$7,0)+IF(AI43&lt;&gt;"",$B$8,0)+IF(AI45&lt;&gt;"",$B$9,0)+IF(AI47&lt;&gt;"",$B$10,0)</f>
        <v/>
      </c>
      <c r="AJ52" s="28">
        <f>IF(AJ39&lt;&gt;"",$B$6,0)+IF(AJ41&lt;&gt;"",$B$7,0)+IF(AJ43&lt;&gt;"",$B$8,0)+IF(AJ45&lt;&gt;"",$B$9,0)+IF(AJ47&lt;&gt;"",$B$10,0)</f>
        <v/>
      </c>
      <c r="AK52" s="28">
        <f>IF(AK39&lt;&gt;"",$B$6,0)+IF(AK41&lt;&gt;"",$B$7,0)+IF(AK43&lt;&gt;"",$B$8,0)+IF(AK45&lt;&gt;"",$B$9,0)+IF(AK47&lt;&gt;"",$B$10,0)</f>
        <v/>
      </c>
      <c r="AL52" s="28">
        <f>IF(AL39&lt;&gt;"",$B$6,0)+IF(AL41&lt;&gt;"",$B$7,0)+IF(AL43&lt;&gt;"",$B$8,0)+IF(AL45&lt;&gt;"",$B$9,0)+IF(AL47&lt;&gt;"",$B$10,0)</f>
        <v/>
      </c>
      <c r="AM52" s="28">
        <f>IF(AM39&lt;&gt;"",$B$6,0)+IF(AM41&lt;&gt;"",$B$7,0)+IF(AM43&lt;&gt;"",$B$8,0)+IF(AM45&lt;&gt;"",$B$9,0)+IF(AM47&lt;&gt;"",$B$10,0)</f>
        <v/>
      </c>
      <c r="AN52" s="28">
        <f>IF(AN39&lt;&gt;"",$B$6,0)+IF(AN41&lt;&gt;"",$B$7,0)+IF(AN43&lt;&gt;"",$B$8,0)+IF(AN45&lt;&gt;"",$B$9,0)+IF(AN47&lt;&gt;"",$B$10,0)</f>
        <v/>
      </c>
      <c r="AO52" s="28">
        <f>IF(AO39&lt;&gt;"",$B$6,0)+IF(AO41&lt;&gt;"",$B$7,0)+IF(AO43&lt;&gt;"",$B$8,0)+IF(AO45&lt;&gt;"",$B$9,0)+IF(AO47&lt;&gt;"",$B$10,0)</f>
        <v/>
      </c>
      <c r="AP52" s="28">
        <f>IF(AP39&lt;&gt;"",$B$6,0)+IF(AP41&lt;&gt;"",$B$7,0)+IF(AP43&lt;&gt;"",$B$8,0)+IF(AP45&lt;&gt;"",$B$9,0)+IF(AP47&lt;&gt;"",$B$10,0)</f>
        <v/>
      </c>
      <c r="AQ52" s="28">
        <f>IF(AQ39&lt;&gt;"",$B$6,0)+IF(AQ41&lt;&gt;"",$B$7,0)+IF(AQ43&lt;&gt;"",$B$8,0)+IF(AQ45&lt;&gt;"",$B$9,0)+IF(AQ47&lt;&gt;"",$B$10,0)</f>
        <v/>
      </c>
      <c r="AR52" s="28">
        <f>IF(AR39&lt;&gt;"",$B$6,0)+IF(AR41&lt;&gt;"",$B$7,0)+IF(AR43&lt;&gt;"",$B$8,0)+IF(AR45&lt;&gt;"",$B$9,0)+IF(AR47&lt;&gt;"",$B$10,0)</f>
        <v/>
      </c>
      <c r="AS52" s="28">
        <f>IF(AS39&lt;&gt;"",$B$6,0)+IF(AS41&lt;&gt;"",$B$7,0)+IF(AS43&lt;&gt;"",$B$8,0)+IF(AS45&lt;&gt;"",$B$9,0)+IF(AS47&lt;&gt;"",$B$10,0)</f>
        <v/>
      </c>
      <c r="AT52" s="28">
        <f>IF(AT39&lt;&gt;"",$B$6,0)+IF(AT41&lt;&gt;"",$B$7,0)+IF(AT43&lt;&gt;"",$B$8,0)+IF(AT45&lt;&gt;"",$B$9,0)+IF(AT47&lt;&gt;"",$B$10,0)</f>
        <v/>
      </c>
      <c r="AU52" s="28">
        <f>IF(AU39&lt;&gt;"",$B$6,0)+IF(AU41&lt;&gt;"",$B$7,0)+IF(AU43&lt;&gt;"",$B$8,0)+IF(AU45&lt;&gt;"",$B$9,0)+IF(AU47&lt;&gt;"",$B$10,0)</f>
        <v/>
      </c>
      <c r="AV52" s="28">
        <f>IF(AV39&lt;&gt;"",$B$6,0)+IF(AV41&lt;&gt;"",$B$7,0)+IF(AV43&lt;&gt;"",$B$8,0)+IF(AV45&lt;&gt;"",$B$9,0)+IF(AV47&lt;&gt;"",$B$10,0)</f>
        <v/>
      </c>
      <c r="AW52" s="28">
        <f>IF(AW39&lt;&gt;"",$B$6,0)+IF(AW41&lt;&gt;"",$B$7,0)+IF(AW43&lt;&gt;"",$B$8,0)+IF(AW45&lt;&gt;"",$B$9,0)+IF(AW47&lt;&gt;"",$B$10,0)</f>
        <v/>
      </c>
      <c r="AX52" s="28">
        <f>IF(AX39&lt;&gt;"",$B$6,0)+IF(AX41&lt;&gt;"",$B$7,0)+IF(AX43&lt;&gt;"",$B$8,0)+IF(AX45&lt;&gt;"",$B$9,0)+IF(AX47&lt;&gt;"",$B$10,0)</f>
        <v/>
      </c>
      <c r="AY52" s="28">
        <f>IF(AY39&lt;&gt;"",$B$6,0)+IF(AY41&lt;&gt;"",$B$7,0)+IF(AY43&lt;&gt;"",$B$8,0)+IF(AY45&lt;&gt;"",$B$9,0)+IF(AY47&lt;&gt;"",$B$10,0)</f>
        <v/>
      </c>
      <c r="AZ52" s="28">
        <f>IF(AZ39&lt;&gt;"",$B$6,0)+IF(AZ41&lt;&gt;"",$B$7,0)+IF(AZ43&lt;&gt;"",$B$8,0)+IF(AZ45&lt;&gt;"",$B$9,0)+IF(AZ47&lt;&gt;"",$B$10,0)</f>
        <v/>
      </c>
      <c r="BA52" s="28">
        <f>IF(BA39&lt;&gt;"",$B$6,0)+IF(BA41&lt;&gt;"",$B$7,0)+IF(BA43&lt;&gt;"",$B$8,0)+IF(BA45&lt;&gt;"",$B$9,0)+IF(BA47&lt;&gt;"",$B$10,0)</f>
        <v/>
      </c>
      <c r="BB52" s="28">
        <f>IF(BB39&lt;&gt;"",$B$6,0)+IF(BB41&lt;&gt;"",$B$7,0)+IF(BB43&lt;&gt;"",$B$8,0)+IF(BB45&lt;&gt;"",$B$9,0)+IF(BB47&lt;&gt;"",$B$10,0)</f>
        <v/>
      </c>
    </row>
    <row r="53">
      <c r="A53" s="3" t="inlineStr"/>
      <c r="C53" s="29" t="inlineStr">
        <is>
          <t>&lt;=</t>
        </is>
      </c>
      <c r="D53" s="29" t="inlineStr">
        <is>
          <t>&lt;=</t>
        </is>
      </c>
      <c r="E53" s="29" t="inlineStr">
        <is>
          <t>&lt;=</t>
        </is>
      </c>
      <c r="F53" s="29" t="inlineStr">
        <is>
          <t>&lt;=</t>
        </is>
      </c>
      <c r="G53" s="29" t="inlineStr">
        <is>
          <t>&lt;=</t>
        </is>
      </c>
      <c r="H53" s="29" t="inlineStr">
        <is>
          <t>&lt;=</t>
        </is>
      </c>
      <c r="I53" s="29" t="inlineStr">
        <is>
          <t>&lt;=</t>
        </is>
      </c>
      <c r="J53" s="29" t="inlineStr">
        <is>
          <t>&lt;=</t>
        </is>
      </c>
      <c r="K53" s="29" t="inlineStr">
        <is>
          <t>&lt;=</t>
        </is>
      </c>
      <c r="L53" s="29" t="inlineStr">
        <is>
          <t>&lt;=</t>
        </is>
      </c>
      <c r="M53" s="29" t="inlineStr">
        <is>
          <t>&lt;=</t>
        </is>
      </c>
      <c r="N53" s="29" t="inlineStr">
        <is>
          <t>&lt;=</t>
        </is>
      </c>
      <c r="O53" s="29" t="inlineStr">
        <is>
          <t>&lt;=</t>
        </is>
      </c>
      <c r="P53" s="29" t="inlineStr">
        <is>
          <t>&lt;=</t>
        </is>
      </c>
      <c r="Q53" s="29" t="inlineStr">
        <is>
          <t>&lt;=</t>
        </is>
      </c>
      <c r="R53" s="29" t="inlineStr">
        <is>
          <t>&lt;=</t>
        </is>
      </c>
      <c r="S53" s="29" t="inlineStr">
        <is>
          <t>&lt;=</t>
        </is>
      </c>
      <c r="T53" s="29" t="inlineStr">
        <is>
          <t>&lt;=</t>
        </is>
      </c>
      <c r="U53" s="29" t="inlineStr">
        <is>
          <t>&lt;=</t>
        </is>
      </c>
      <c r="V53" s="29" t="inlineStr">
        <is>
          <t>&lt;=</t>
        </is>
      </c>
      <c r="W53" s="29" t="inlineStr">
        <is>
          <t>&lt;=</t>
        </is>
      </c>
      <c r="X53" s="29" t="inlineStr">
        <is>
          <t>&lt;=</t>
        </is>
      </c>
      <c r="Y53" s="29" t="inlineStr">
        <is>
          <t>&lt;=</t>
        </is>
      </c>
      <c r="Z53" s="29" t="inlineStr">
        <is>
          <t>&lt;=</t>
        </is>
      </c>
      <c r="AA53" s="29" t="inlineStr">
        <is>
          <t>&lt;=</t>
        </is>
      </c>
      <c r="AB53" s="29" t="inlineStr">
        <is>
          <t>&lt;=</t>
        </is>
      </c>
      <c r="AC53" s="29" t="inlineStr">
        <is>
          <t>&lt;=</t>
        </is>
      </c>
      <c r="AD53" s="29" t="inlineStr">
        <is>
          <t>&lt;=</t>
        </is>
      </c>
      <c r="AE53" s="29" t="inlineStr">
        <is>
          <t>&lt;=</t>
        </is>
      </c>
      <c r="AF53" s="29" t="inlineStr">
        <is>
          <t>&lt;=</t>
        </is>
      </c>
      <c r="AG53" s="29" t="inlineStr">
        <is>
          <t>&lt;=</t>
        </is>
      </c>
      <c r="AH53" s="29" t="inlineStr">
        <is>
          <t>&lt;=</t>
        </is>
      </c>
      <c r="AI53" s="29" t="inlineStr">
        <is>
          <t>&lt;=</t>
        </is>
      </c>
      <c r="AJ53" s="29" t="inlineStr">
        <is>
          <t>&lt;=</t>
        </is>
      </c>
      <c r="AK53" s="29" t="inlineStr">
        <is>
          <t>&lt;=</t>
        </is>
      </c>
      <c r="AL53" s="29" t="inlineStr">
        <is>
          <t>&lt;=</t>
        </is>
      </c>
      <c r="AM53" s="29" t="inlineStr">
        <is>
          <t>&lt;=</t>
        </is>
      </c>
      <c r="AN53" s="29" t="inlineStr">
        <is>
          <t>&lt;=</t>
        </is>
      </c>
      <c r="AO53" s="29" t="inlineStr">
        <is>
          <t>&lt;=</t>
        </is>
      </c>
      <c r="AP53" s="29" t="inlineStr">
        <is>
          <t>&lt;=</t>
        </is>
      </c>
      <c r="AQ53" s="29" t="inlineStr">
        <is>
          <t>&lt;=</t>
        </is>
      </c>
      <c r="AR53" s="29" t="inlineStr">
        <is>
          <t>&lt;=</t>
        </is>
      </c>
      <c r="AS53" s="29" t="inlineStr">
        <is>
          <t>&lt;=</t>
        </is>
      </c>
      <c r="AT53" s="29" t="inlineStr">
        <is>
          <t>&lt;=</t>
        </is>
      </c>
      <c r="AU53" s="29" t="inlineStr">
        <is>
          <t>&lt;=</t>
        </is>
      </c>
      <c r="AV53" s="29" t="inlineStr">
        <is>
          <t>&lt;=</t>
        </is>
      </c>
      <c r="AW53" s="29" t="inlineStr">
        <is>
          <t>&lt;=</t>
        </is>
      </c>
      <c r="AX53" s="29" t="inlineStr">
        <is>
          <t>&lt;=</t>
        </is>
      </c>
      <c r="AY53" s="29" t="inlineStr">
        <is>
          <t>&lt;=</t>
        </is>
      </c>
      <c r="AZ53" s="29" t="inlineStr">
        <is>
          <t>&lt;=</t>
        </is>
      </c>
      <c r="BA53" s="29" t="inlineStr">
        <is>
          <t>&lt;=</t>
        </is>
      </c>
      <c r="BB53" s="29" t="inlineStr">
        <is>
          <t>&lt;=</t>
        </is>
      </c>
    </row>
    <row r="54">
      <c r="A54" s="3" t="inlineStr">
        <is>
          <t xml:space="preserve">  limit</t>
        </is>
      </c>
      <c r="B54" s="4" t="inlineStr">
        <is>
          <t>cap</t>
        </is>
      </c>
      <c r="C54" s="28">
        <f>$B$12</f>
        <v/>
      </c>
      <c r="D54" s="28">
        <f>$B$12</f>
        <v/>
      </c>
      <c r="E54" s="28">
        <f>$B$12</f>
        <v/>
      </c>
      <c r="F54" s="28">
        <f>$B$12</f>
        <v/>
      </c>
      <c r="G54" s="28">
        <f>$B$12</f>
        <v/>
      </c>
      <c r="H54" s="28">
        <f>$B$12</f>
        <v/>
      </c>
      <c r="I54" s="28">
        <f>$B$12</f>
        <v/>
      </c>
      <c r="J54" s="28">
        <f>$B$12</f>
        <v/>
      </c>
      <c r="K54" s="28">
        <f>$B$12</f>
        <v/>
      </c>
      <c r="L54" s="28">
        <f>$B$12</f>
        <v/>
      </c>
      <c r="M54" s="28">
        <f>$B$12</f>
        <v/>
      </c>
      <c r="N54" s="28">
        <f>$B$12</f>
        <v/>
      </c>
      <c r="O54" s="28">
        <f>$B$12</f>
        <v/>
      </c>
      <c r="P54" s="28">
        <f>$B$12</f>
        <v/>
      </c>
      <c r="Q54" s="28">
        <f>$B$12</f>
        <v/>
      </c>
      <c r="R54" s="28">
        <f>$B$12</f>
        <v/>
      </c>
      <c r="S54" s="28">
        <f>$B$12</f>
        <v/>
      </c>
      <c r="T54" s="28">
        <f>$B$12</f>
        <v/>
      </c>
      <c r="U54" s="28">
        <f>$B$12</f>
        <v/>
      </c>
      <c r="V54" s="28">
        <f>$B$12</f>
        <v/>
      </c>
      <c r="W54" s="28">
        <f>$B$12</f>
        <v/>
      </c>
      <c r="X54" s="28">
        <f>$B$12</f>
        <v/>
      </c>
      <c r="Y54" s="28">
        <f>$B$12</f>
        <v/>
      </c>
      <c r="Z54" s="28">
        <f>$B$12</f>
        <v/>
      </c>
      <c r="AA54" s="28">
        <f>$B$12</f>
        <v/>
      </c>
      <c r="AB54" s="28">
        <f>$B$12</f>
        <v/>
      </c>
      <c r="AC54" s="28">
        <f>$B$12</f>
        <v/>
      </c>
      <c r="AD54" s="28">
        <f>$B$12</f>
        <v/>
      </c>
      <c r="AE54" s="28">
        <f>$B$12</f>
        <v/>
      </c>
      <c r="AF54" s="28">
        <f>$B$12</f>
        <v/>
      </c>
      <c r="AG54" s="28">
        <f>$B$12</f>
        <v/>
      </c>
      <c r="AH54" s="28">
        <f>$B$12</f>
        <v/>
      </c>
      <c r="AI54" s="28">
        <f>$B$12</f>
        <v/>
      </c>
      <c r="AJ54" s="28">
        <f>$B$12</f>
        <v/>
      </c>
      <c r="AK54" s="28">
        <f>$B$12</f>
        <v/>
      </c>
      <c r="AL54" s="28">
        <f>$B$12</f>
        <v/>
      </c>
      <c r="AM54" s="28">
        <f>$B$12</f>
        <v/>
      </c>
      <c r="AN54" s="28">
        <f>$B$12</f>
        <v/>
      </c>
      <c r="AO54" s="28">
        <f>$B$12</f>
        <v/>
      </c>
      <c r="AP54" s="28">
        <f>$B$12</f>
        <v/>
      </c>
      <c r="AQ54" s="28">
        <f>$B$12</f>
        <v/>
      </c>
      <c r="AR54" s="28">
        <f>$B$12</f>
        <v/>
      </c>
      <c r="AS54" s="28">
        <f>$B$12</f>
        <v/>
      </c>
      <c r="AT54" s="28">
        <f>$B$12</f>
        <v/>
      </c>
      <c r="AU54" s="28">
        <f>$B$12</f>
        <v/>
      </c>
      <c r="AV54" s="28">
        <f>$B$12</f>
        <v/>
      </c>
      <c r="AW54" s="28">
        <f>$B$12</f>
        <v/>
      </c>
      <c r="AX54" s="28">
        <f>$B$12</f>
        <v/>
      </c>
      <c r="AY54" s="28">
        <f>$B$12</f>
        <v/>
      </c>
      <c r="AZ54" s="28">
        <f>$B$12</f>
        <v/>
      </c>
      <c r="BA54" s="28">
        <f>$B$12</f>
        <v/>
      </c>
      <c r="BB54" s="28">
        <f>$B$12</f>
        <v/>
      </c>
    </row>
    <row r="55">
      <c r="A55" s="25" t="inlineStr">
        <is>
          <t xml:space="preserve">  room left</t>
        </is>
      </c>
      <c r="C55" s="28">
        <f>$B$12-C52</f>
        <v/>
      </c>
      <c r="D55" s="28">
        <f>$B$12-D52</f>
        <v/>
      </c>
      <c r="E55" s="28">
        <f>$B$12-E52</f>
        <v/>
      </c>
      <c r="F55" s="28">
        <f>$B$12-F52</f>
        <v/>
      </c>
      <c r="G55" s="28">
        <f>$B$12-G52</f>
        <v/>
      </c>
      <c r="H55" s="28">
        <f>$B$12-H52</f>
        <v/>
      </c>
      <c r="I55" s="28">
        <f>$B$12-I52</f>
        <v/>
      </c>
      <c r="J55" s="28">
        <f>$B$12-J52</f>
        <v/>
      </c>
      <c r="K55" s="28">
        <f>$B$12-K52</f>
        <v/>
      </c>
      <c r="L55" s="28">
        <f>$B$12-L52</f>
        <v/>
      </c>
      <c r="M55" s="28">
        <f>$B$12-M52</f>
        <v/>
      </c>
      <c r="N55" s="28">
        <f>$B$12-N52</f>
        <v/>
      </c>
      <c r="O55" s="28">
        <f>$B$12-O52</f>
        <v/>
      </c>
      <c r="P55" s="28">
        <f>$B$12-P52</f>
        <v/>
      </c>
      <c r="Q55" s="28">
        <f>$B$12-Q52</f>
        <v/>
      </c>
      <c r="R55" s="28">
        <f>$B$12-R52</f>
        <v/>
      </c>
      <c r="S55" s="28">
        <f>$B$12-S52</f>
        <v/>
      </c>
      <c r="T55" s="28">
        <f>$B$12-T52</f>
        <v/>
      </c>
      <c r="U55" s="28">
        <f>$B$12-U52</f>
        <v/>
      </c>
      <c r="V55" s="28">
        <f>$B$12-V52</f>
        <v/>
      </c>
      <c r="W55" s="28">
        <f>$B$12-W52</f>
        <v/>
      </c>
      <c r="X55" s="28">
        <f>$B$12-X52</f>
        <v/>
      </c>
      <c r="Y55" s="28">
        <f>$B$12-Y52</f>
        <v/>
      </c>
      <c r="Z55" s="28">
        <f>$B$12-Z52</f>
        <v/>
      </c>
      <c r="AA55" s="28">
        <f>$B$12-AA52</f>
        <v/>
      </c>
      <c r="AB55" s="28">
        <f>$B$12-AB52</f>
        <v/>
      </c>
      <c r="AC55" s="28">
        <f>$B$12-AC52</f>
        <v/>
      </c>
      <c r="AD55" s="28">
        <f>$B$12-AD52</f>
        <v/>
      </c>
      <c r="AE55" s="28">
        <f>$B$12-AE52</f>
        <v/>
      </c>
      <c r="AF55" s="28">
        <f>$B$12-AF52</f>
        <v/>
      </c>
      <c r="AG55" s="28">
        <f>$B$12-AG52</f>
        <v/>
      </c>
      <c r="AH55" s="28">
        <f>$B$12-AH52</f>
        <v/>
      </c>
      <c r="AI55" s="28">
        <f>$B$12-AI52</f>
        <v/>
      </c>
      <c r="AJ55" s="28">
        <f>$B$12-AJ52</f>
        <v/>
      </c>
      <c r="AK55" s="28">
        <f>$B$12-AK52</f>
        <v/>
      </c>
      <c r="AL55" s="28">
        <f>$B$12-AL52</f>
        <v/>
      </c>
      <c r="AM55" s="28">
        <f>$B$12-AM52</f>
        <v/>
      </c>
      <c r="AN55" s="28">
        <f>$B$12-AN52</f>
        <v/>
      </c>
      <c r="AO55" s="28">
        <f>$B$12-AO52</f>
        <v/>
      </c>
      <c r="AP55" s="28">
        <f>$B$12-AP52</f>
        <v/>
      </c>
      <c r="AQ55" s="28">
        <f>$B$12-AQ52</f>
        <v/>
      </c>
      <c r="AR55" s="28">
        <f>$B$12-AR52</f>
        <v/>
      </c>
      <c r="AS55" s="28">
        <f>$B$12-AS52</f>
        <v/>
      </c>
      <c r="AT55" s="28">
        <f>$B$12-AT52</f>
        <v/>
      </c>
      <c r="AU55" s="28">
        <f>$B$12-AU52</f>
        <v/>
      </c>
      <c r="AV55" s="28">
        <f>$B$12-AV52</f>
        <v/>
      </c>
      <c r="AW55" s="28">
        <f>$B$12-AW52</f>
        <v/>
      </c>
      <c r="AX55" s="28">
        <f>$B$12-AX52</f>
        <v/>
      </c>
      <c r="AY55" s="28">
        <f>$B$12-AY52</f>
        <v/>
      </c>
      <c r="AZ55" s="28">
        <f>$B$12-AZ52</f>
        <v/>
      </c>
      <c r="BA55" s="28">
        <f>$B$12-BA52</f>
        <v/>
      </c>
      <c r="BB55" s="28">
        <f>$B$12-BB52</f>
        <v/>
      </c>
    </row>
    <row r="56">
      <c r="A56" s="4" t="inlineStr">
        <is>
          <t xml:space="preserve">   Acres standing that week. Plantings overlap, so the five acre figures can sum past your land and still be legal — only a single WEEK can break it.</t>
        </is>
      </c>
    </row>
    <row r="58">
      <c r="A58" s="2" t="inlineStr">
        <is>
          <t>SPINACH  —  cold store</t>
        </is>
      </c>
      <c r="B58" s="30" t="inlineStr"/>
    </row>
    <row r="59">
      <c r="A59" s="22" t="inlineStr">
        <is>
          <t>Week</t>
        </is>
      </c>
      <c r="B59" s="23" t="inlineStr"/>
      <c r="C59" s="24" t="n">
        <v>1</v>
      </c>
      <c r="D59" s="24" t="n">
        <v>2</v>
      </c>
      <c r="E59" s="24" t="n">
        <v>3</v>
      </c>
      <c r="F59" s="24" t="n">
        <v>4</v>
      </c>
      <c r="G59" s="24" t="n">
        <v>5</v>
      </c>
      <c r="H59" s="24" t="n">
        <v>6</v>
      </c>
      <c r="I59" s="24" t="n">
        <v>7</v>
      </c>
      <c r="J59" s="24" t="n">
        <v>8</v>
      </c>
      <c r="K59" s="24" t="n">
        <v>9</v>
      </c>
      <c r="L59" s="24" t="n">
        <v>10</v>
      </c>
      <c r="M59" s="24" t="n">
        <v>11</v>
      </c>
      <c r="N59" s="24" t="n">
        <v>12</v>
      </c>
      <c r="O59" s="24" t="n">
        <v>13</v>
      </c>
      <c r="P59" s="24" t="n">
        <v>14</v>
      </c>
      <c r="Q59" s="24" t="n">
        <v>15</v>
      </c>
      <c r="R59" s="24" t="n">
        <v>16</v>
      </c>
      <c r="S59" s="24" t="n">
        <v>17</v>
      </c>
      <c r="T59" s="24" t="n">
        <v>18</v>
      </c>
      <c r="U59" s="24" t="n">
        <v>19</v>
      </c>
      <c r="V59" s="24" t="n">
        <v>20</v>
      </c>
      <c r="W59" s="24" t="n">
        <v>21</v>
      </c>
      <c r="X59" s="24" t="n">
        <v>22</v>
      </c>
      <c r="Y59" s="24" t="n">
        <v>23</v>
      </c>
      <c r="Z59" s="24" t="n">
        <v>24</v>
      </c>
      <c r="AA59" s="24" t="n">
        <v>25</v>
      </c>
      <c r="AB59" s="24" t="n">
        <v>26</v>
      </c>
      <c r="AC59" s="24" t="n">
        <v>27</v>
      </c>
      <c r="AD59" s="24" t="n">
        <v>28</v>
      </c>
      <c r="AE59" s="24" t="n">
        <v>29</v>
      </c>
      <c r="AF59" s="24" t="n">
        <v>30</v>
      </c>
      <c r="AG59" s="24" t="n">
        <v>31</v>
      </c>
      <c r="AH59" s="24" t="n">
        <v>32</v>
      </c>
      <c r="AI59" s="24" t="n">
        <v>33</v>
      </c>
      <c r="AJ59" s="24" t="n">
        <v>34</v>
      </c>
      <c r="AK59" s="24" t="n">
        <v>35</v>
      </c>
      <c r="AL59" s="24" t="n">
        <v>36</v>
      </c>
      <c r="AM59" s="24" t="n">
        <v>37</v>
      </c>
      <c r="AN59" s="24" t="n">
        <v>38</v>
      </c>
      <c r="AO59" s="24" t="n">
        <v>39</v>
      </c>
      <c r="AP59" s="24" t="n">
        <v>40</v>
      </c>
      <c r="AQ59" s="24" t="n">
        <v>41</v>
      </c>
      <c r="AR59" s="24" t="n">
        <v>42</v>
      </c>
      <c r="AS59" s="24" t="n">
        <v>43</v>
      </c>
      <c r="AT59" s="24" t="n">
        <v>44</v>
      </c>
      <c r="AU59" s="24" t="n">
        <v>45</v>
      </c>
      <c r="AV59" s="24" t="n">
        <v>46</v>
      </c>
      <c r="AW59" s="24" t="n">
        <v>47</v>
      </c>
      <c r="AX59" s="24" t="n">
        <v>48</v>
      </c>
      <c r="AY59" s="24" t="n">
        <v>49</v>
      </c>
      <c r="AZ59" s="24" t="n">
        <v>50</v>
      </c>
      <c r="BA59" s="24" t="n">
        <v>51</v>
      </c>
      <c r="BB59" s="24" t="n">
        <v>52</v>
      </c>
    </row>
    <row r="60">
      <c r="A60" s="25" t="inlineStr">
        <is>
          <t>Harvested (gross)</t>
        </is>
      </c>
      <c r="B60" s="4" t="inlineStr">
        <is>
          <t>lb</t>
        </is>
      </c>
      <c r="C60" s="27">
        <f>C40+C42</f>
        <v/>
      </c>
      <c r="D60" s="27">
        <f>D40+D42</f>
        <v/>
      </c>
      <c r="E60" s="27">
        <f>E40+E42</f>
        <v/>
      </c>
      <c r="F60" s="27">
        <f>F40+F42</f>
        <v/>
      </c>
      <c r="G60" s="27">
        <f>G40+G42</f>
        <v/>
      </c>
      <c r="H60" s="27">
        <f>H40+H42</f>
        <v/>
      </c>
      <c r="I60" s="27">
        <f>I40+I42</f>
        <v/>
      </c>
      <c r="J60" s="27">
        <f>J40+J42</f>
        <v/>
      </c>
      <c r="K60" s="27">
        <f>K40+K42</f>
        <v/>
      </c>
      <c r="L60" s="27">
        <f>L40+L42</f>
        <v/>
      </c>
      <c r="M60" s="27">
        <f>M40+M42</f>
        <v/>
      </c>
      <c r="N60" s="27">
        <f>N40+N42</f>
        <v/>
      </c>
      <c r="O60" s="27">
        <f>O40+O42</f>
        <v/>
      </c>
      <c r="P60" s="27">
        <f>P40+P42</f>
        <v/>
      </c>
      <c r="Q60" s="27">
        <f>Q40+Q42</f>
        <v/>
      </c>
      <c r="R60" s="27">
        <f>R40+R42</f>
        <v/>
      </c>
      <c r="S60" s="27">
        <f>S40+S42</f>
        <v/>
      </c>
      <c r="T60" s="27">
        <f>T40+T42</f>
        <v/>
      </c>
      <c r="U60" s="27">
        <f>U40+U42</f>
        <v/>
      </c>
      <c r="V60" s="27">
        <f>V40+V42</f>
        <v/>
      </c>
      <c r="W60" s="27">
        <f>W40+W42</f>
        <v/>
      </c>
      <c r="X60" s="27">
        <f>X40+X42</f>
        <v/>
      </c>
      <c r="Y60" s="27">
        <f>Y40+Y42</f>
        <v/>
      </c>
      <c r="Z60" s="27">
        <f>Z40+Z42</f>
        <v/>
      </c>
      <c r="AA60" s="27">
        <f>AA40+AA42</f>
        <v/>
      </c>
      <c r="AB60" s="27">
        <f>AB40+AB42</f>
        <v/>
      </c>
      <c r="AC60" s="27">
        <f>AC40+AC42</f>
        <v/>
      </c>
      <c r="AD60" s="27">
        <f>AD40+AD42</f>
        <v/>
      </c>
      <c r="AE60" s="27">
        <f>AE40+AE42</f>
        <v/>
      </c>
      <c r="AF60" s="27">
        <f>AF40+AF42</f>
        <v/>
      </c>
      <c r="AG60" s="27">
        <f>AG40+AG42</f>
        <v/>
      </c>
      <c r="AH60" s="27">
        <f>AH40+AH42</f>
        <v/>
      </c>
      <c r="AI60" s="27">
        <f>AI40+AI42</f>
        <v/>
      </c>
      <c r="AJ60" s="27">
        <f>AJ40+AJ42</f>
        <v/>
      </c>
      <c r="AK60" s="27">
        <f>AK40+AK42</f>
        <v/>
      </c>
      <c r="AL60" s="27">
        <f>AL40+AL42</f>
        <v/>
      </c>
      <c r="AM60" s="27">
        <f>AM40+AM42</f>
        <v/>
      </c>
      <c r="AN60" s="27">
        <f>AN40+AN42</f>
        <v/>
      </c>
      <c r="AO60" s="27">
        <f>AO40+AO42</f>
        <v/>
      </c>
      <c r="AP60" s="27">
        <f>AP40+AP42</f>
        <v/>
      </c>
      <c r="AQ60" s="27">
        <f>AQ40+AQ42</f>
        <v/>
      </c>
      <c r="AR60" s="27">
        <f>AR40+AR42</f>
        <v/>
      </c>
      <c r="AS60" s="27">
        <f>AS40+AS42</f>
        <v/>
      </c>
      <c r="AT60" s="27">
        <f>AT40+AT42</f>
        <v/>
      </c>
      <c r="AU60" s="27">
        <f>AU40+AU42</f>
        <v/>
      </c>
      <c r="AV60" s="27">
        <f>AV40+AV42</f>
        <v/>
      </c>
      <c r="AW60" s="27">
        <f>AW40+AW42</f>
        <v/>
      </c>
      <c r="AX60" s="27">
        <f>AX40+AX42</f>
        <v/>
      </c>
      <c r="AY60" s="27">
        <f>AY40+AY42</f>
        <v/>
      </c>
      <c r="AZ60" s="27">
        <f>AZ40+AZ42</f>
        <v/>
      </c>
      <c r="BA60" s="27">
        <f>BA40+BA42</f>
        <v/>
      </c>
      <c r="BB60" s="27">
        <f>BB40+BB42</f>
        <v/>
      </c>
    </row>
    <row r="61">
      <c r="A61" s="25" t="inlineStr">
        <is>
          <t xml:space="preserve">   field cull (never cooled)</t>
        </is>
      </c>
      <c r="B61" s="4" t="inlineStr">
        <is>
          <t>lb</t>
        </is>
      </c>
      <c r="C61" s="27">
        <f>C60*(1-$C$16)</f>
        <v/>
      </c>
      <c r="D61" s="27">
        <f>D60*(1-$C$16)</f>
        <v/>
      </c>
      <c r="E61" s="27">
        <f>E60*(1-$C$16)</f>
        <v/>
      </c>
      <c r="F61" s="27">
        <f>F60*(1-$C$16)</f>
        <v/>
      </c>
      <c r="G61" s="27">
        <f>G60*(1-$C$16)</f>
        <v/>
      </c>
      <c r="H61" s="27">
        <f>H60*(1-$C$16)</f>
        <v/>
      </c>
      <c r="I61" s="27">
        <f>I60*(1-$C$16)</f>
        <v/>
      </c>
      <c r="J61" s="27">
        <f>J60*(1-$C$16)</f>
        <v/>
      </c>
      <c r="K61" s="27">
        <f>K60*(1-$C$16)</f>
        <v/>
      </c>
      <c r="L61" s="27">
        <f>L60*(1-$C$16)</f>
        <v/>
      </c>
      <c r="M61" s="27">
        <f>M60*(1-$C$16)</f>
        <v/>
      </c>
      <c r="N61" s="27">
        <f>N60*(1-$C$16)</f>
        <v/>
      </c>
      <c r="O61" s="27">
        <f>O60*(1-$C$16)</f>
        <v/>
      </c>
      <c r="P61" s="27">
        <f>P60*(1-$C$16)</f>
        <v/>
      </c>
      <c r="Q61" s="27">
        <f>Q60*(1-$C$16)</f>
        <v/>
      </c>
      <c r="R61" s="27">
        <f>R60*(1-$C$16)</f>
        <v/>
      </c>
      <c r="S61" s="27">
        <f>S60*(1-$C$16)</f>
        <v/>
      </c>
      <c r="T61" s="27">
        <f>T60*(1-$C$16)</f>
        <v/>
      </c>
      <c r="U61" s="27">
        <f>U60*(1-$C$16)</f>
        <v/>
      </c>
      <c r="V61" s="27">
        <f>V60*(1-$C$16)</f>
        <v/>
      </c>
      <c r="W61" s="27">
        <f>W60*(1-$C$16)</f>
        <v/>
      </c>
      <c r="X61" s="27">
        <f>X60*(1-$C$16)</f>
        <v/>
      </c>
      <c r="Y61" s="27">
        <f>Y60*(1-$C$16)</f>
        <v/>
      </c>
      <c r="Z61" s="27">
        <f>Z60*(1-$C$16)</f>
        <v/>
      </c>
      <c r="AA61" s="27">
        <f>AA60*(1-$C$16)</f>
        <v/>
      </c>
      <c r="AB61" s="27">
        <f>AB60*(1-$C$16)</f>
        <v/>
      </c>
      <c r="AC61" s="27">
        <f>AC60*(1-$C$16)</f>
        <v/>
      </c>
      <c r="AD61" s="27">
        <f>AD60*(1-$C$16)</f>
        <v/>
      </c>
      <c r="AE61" s="27">
        <f>AE60*(1-$C$16)</f>
        <v/>
      </c>
      <c r="AF61" s="27">
        <f>AF60*(1-$C$16)</f>
        <v/>
      </c>
      <c r="AG61" s="27">
        <f>AG60*(1-$C$16)</f>
        <v/>
      </c>
      <c r="AH61" s="27">
        <f>AH60*(1-$C$16)</f>
        <v/>
      </c>
      <c r="AI61" s="27">
        <f>AI60*(1-$C$16)</f>
        <v/>
      </c>
      <c r="AJ61" s="27">
        <f>AJ60*(1-$C$16)</f>
        <v/>
      </c>
      <c r="AK61" s="27">
        <f>AK60*(1-$C$16)</f>
        <v/>
      </c>
      <c r="AL61" s="27">
        <f>AL60*(1-$C$16)</f>
        <v/>
      </c>
      <c r="AM61" s="27">
        <f>AM60*(1-$C$16)</f>
        <v/>
      </c>
      <c r="AN61" s="27">
        <f>AN60*(1-$C$16)</f>
        <v/>
      </c>
      <c r="AO61" s="27">
        <f>AO60*(1-$C$16)</f>
        <v/>
      </c>
      <c r="AP61" s="27">
        <f>AP60*(1-$C$16)</f>
        <v/>
      </c>
      <c r="AQ61" s="27">
        <f>AQ60*(1-$C$16)</f>
        <v/>
      </c>
      <c r="AR61" s="27">
        <f>AR60*(1-$C$16)</f>
        <v/>
      </c>
      <c r="AS61" s="27">
        <f>AS60*(1-$C$16)</f>
        <v/>
      </c>
      <c r="AT61" s="27">
        <f>AT60*(1-$C$16)</f>
        <v/>
      </c>
      <c r="AU61" s="27">
        <f>AU60*(1-$C$16)</f>
        <v/>
      </c>
      <c r="AV61" s="27">
        <f>AV60*(1-$C$16)</f>
        <v/>
      </c>
      <c r="AW61" s="27">
        <f>AW60*(1-$C$16)</f>
        <v/>
      </c>
      <c r="AX61" s="27">
        <f>AX60*(1-$C$16)</f>
        <v/>
      </c>
      <c r="AY61" s="27">
        <f>AY60*(1-$C$16)</f>
        <v/>
      </c>
      <c r="AZ61" s="27">
        <f>AZ60*(1-$C$16)</f>
        <v/>
      </c>
      <c r="BA61" s="27">
        <f>BA60*(1-$C$16)</f>
        <v/>
      </c>
      <c r="BB61" s="27">
        <f>BB60*(1-$C$16)</f>
        <v/>
      </c>
    </row>
    <row r="62">
      <c r="A62" s="3" t="inlineStr">
        <is>
          <t>Packed out -&gt; INTO the store</t>
        </is>
      </c>
      <c r="B62" s="4" t="inlineStr">
        <is>
          <t>lb</t>
        </is>
      </c>
      <c r="C62" s="27">
        <f>C60*$C$16</f>
        <v/>
      </c>
      <c r="D62" s="27">
        <f>D60*$C$16</f>
        <v/>
      </c>
      <c r="E62" s="27">
        <f>E60*$C$16</f>
        <v/>
      </c>
      <c r="F62" s="27">
        <f>F60*$C$16</f>
        <v/>
      </c>
      <c r="G62" s="27">
        <f>G60*$C$16</f>
        <v/>
      </c>
      <c r="H62" s="27">
        <f>H60*$C$16</f>
        <v/>
      </c>
      <c r="I62" s="27">
        <f>I60*$C$16</f>
        <v/>
      </c>
      <c r="J62" s="27">
        <f>J60*$C$16</f>
        <v/>
      </c>
      <c r="K62" s="27">
        <f>K60*$C$16</f>
        <v/>
      </c>
      <c r="L62" s="27">
        <f>L60*$C$16</f>
        <v/>
      </c>
      <c r="M62" s="27">
        <f>M60*$C$16</f>
        <v/>
      </c>
      <c r="N62" s="27">
        <f>N60*$C$16</f>
        <v/>
      </c>
      <c r="O62" s="27">
        <f>O60*$C$16</f>
        <v/>
      </c>
      <c r="P62" s="27">
        <f>P60*$C$16</f>
        <v/>
      </c>
      <c r="Q62" s="27">
        <f>Q60*$C$16</f>
        <v/>
      </c>
      <c r="R62" s="27">
        <f>R60*$C$16</f>
        <v/>
      </c>
      <c r="S62" s="27">
        <f>S60*$C$16</f>
        <v/>
      </c>
      <c r="T62" s="27">
        <f>T60*$C$16</f>
        <v/>
      </c>
      <c r="U62" s="27">
        <f>U60*$C$16</f>
        <v/>
      </c>
      <c r="V62" s="27">
        <f>V60*$C$16</f>
        <v/>
      </c>
      <c r="W62" s="27">
        <f>W60*$C$16</f>
        <v/>
      </c>
      <c r="X62" s="27">
        <f>X60*$C$16</f>
        <v/>
      </c>
      <c r="Y62" s="27">
        <f>Y60*$C$16</f>
        <v/>
      </c>
      <c r="Z62" s="27">
        <f>Z60*$C$16</f>
        <v/>
      </c>
      <c r="AA62" s="27">
        <f>AA60*$C$16</f>
        <v/>
      </c>
      <c r="AB62" s="27">
        <f>AB60*$C$16</f>
        <v/>
      </c>
      <c r="AC62" s="27">
        <f>AC60*$C$16</f>
        <v/>
      </c>
      <c r="AD62" s="27">
        <f>AD60*$C$16</f>
        <v/>
      </c>
      <c r="AE62" s="27">
        <f>AE60*$C$16</f>
        <v/>
      </c>
      <c r="AF62" s="27">
        <f>AF60*$C$16</f>
        <v/>
      </c>
      <c r="AG62" s="27">
        <f>AG60*$C$16</f>
        <v/>
      </c>
      <c r="AH62" s="27">
        <f>AH60*$C$16</f>
        <v/>
      </c>
      <c r="AI62" s="27">
        <f>AI60*$C$16</f>
        <v/>
      </c>
      <c r="AJ62" s="27">
        <f>AJ60*$C$16</f>
        <v/>
      </c>
      <c r="AK62" s="27">
        <f>AK60*$C$16</f>
        <v/>
      </c>
      <c r="AL62" s="27">
        <f>AL60*$C$16</f>
        <v/>
      </c>
      <c r="AM62" s="27">
        <f>AM60*$C$16</f>
        <v/>
      </c>
      <c r="AN62" s="27">
        <f>AN60*$C$16</f>
        <v/>
      </c>
      <c r="AO62" s="27">
        <f>AO60*$C$16</f>
        <v/>
      </c>
      <c r="AP62" s="27">
        <f>AP60*$C$16</f>
        <v/>
      </c>
      <c r="AQ62" s="27">
        <f>AQ60*$C$16</f>
        <v/>
      </c>
      <c r="AR62" s="27">
        <f>AR60*$C$16</f>
        <v/>
      </c>
      <c r="AS62" s="27">
        <f>AS60*$C$16</f>
        <v/>
      </c>
      <c r="AT62" s="27">
        <f>AT60*$C$16</f>
        <v/>
      </c>
      <c r="AU62" s="27">
        <f>AU60*$C$16</f>
        <v/>
      </c>
      <c r="AV62" s="27">
        <f>AV60*$C$16</f>
        <v/>
      </c>
      <c r="AW62" s="27">
        <f>AW60*$C$16</f>
        <v/>
      </c>
      <c r="AX62" s="27">
        <f>AX60*$C$16</f>
        <v/>
      </c>
      <c r="AY62" s="27">
        <f>AY60*$C$16</f>
        <v/>
      </c>
      <c r="AZ62" s="27">
        <f>AZ60*$C$16</f>
        <v/>
      </c>
      <c r="BA62" s="27">
        <f>BA60*$C$16</f>
        <v/>
      </c>
      <c r="BB62" s="27">
        <f>BB60*$C$16</f>
        <v/>
      </c>
    </row>
    <row r="63">
      <c r="A63" s="25" t="inlineStr">
        <is>
          <t>Stock carried in</t>
        </is>
      </c>
      <c r="B63" s="4" t="inlineStr">
        <is>
          <t>lb</t>
        </is>
      </c>
      <c r="C63" s="27" t="n">
        <v>0</v>
      </c>
      <c r="D63" s="27">
        <f>C78</f>
        <v/>
      </c>
      <c r="E63" s="27">
        <f>D78</f>
        <v/>
      </c>
      <c r="F63" s="27">
        <f>E78</f>
        <v/>
      </c>
      <c r="G63" s="27">
        <f>F78</f>
        <v/>
      </c>
      <c r="H63" s="27">
        <f>G78</f>
        <v/>
      </c>
      <c r="I63" s="27">
        <f>H78</f>
        <v/>
      </c>
      <c r="J63" s="27">
        <f>I78</f>
        <v/>
      </c>
      <c r="K63" s="27">
        <f>J78</f>
        <v/>
      </c>
      <c r="L63" s="27">
        <f>K78</f>
        <v/>
      </c>
      <c r="M63" s="27">
        <f>L78</f>
        <v/>
      </c>
      <c r="N63" s="27">
        <f>M78</f>
        <v/>
      </c>
      <c r="O63" s="27">
        <f>N78</f>
        <v/>
      </c>
      <c r="P63" s="27">
        <f>O78</f>
        <v/>
      </c>
      <c r="Q63" s="27">
        <f>P78</f>
        <v/>
      </c>
      <c r="R63" s="27">
        <f>Q78</f>
        <v/>
      </c>
      <c r="S63" s="27">
        <f>R78</f>
        <v/>
      </c>
      <c r="T63" s="27">
        <f>S78</f>
        <v/>
      </c>
      <c r="U63" s="27">
        <f>T78</f>
        <v/>
      </c>
      <c r="V63" s="27">
        <f>U78</f>
        <v/>
      </c>
      <c r="W63" s="27">
        <f>V78</f>
        <v/>
      </c>
      <c r="X63" s="27">
        <f>W78</f>
        <v/>
      </c>
      <c r="Y63" s="27">
        <f>X78</f>
        <v/>
      </c>
      <c r="Z63" s="27">
        <f>Y78</f>
        <v/>
      </c>
      <c r="AA63" s="27">
        <f>Z78</f>
        <v/>
      </c>
      <c r="AB63" s="27">
        <f>AA78</f>
        <v/>
      </c>
      <c r="AC63" s="27">
        <f>AB78</f>
        <v/>
      </c>
      <c r="AD63" s="27">
        <f>AC78</f>
        <v/>
      </c>
      <c r="AE63" s="27">
        <f>AD78</f>
        <v/>
      </c>
      <c r="AF63" s="27">
        <f>AE78</f>
        <v/>
      </c>
      <c r="AG63" s="27">
        <f>AF78</f>
        <v/>
      </c>
      <c r="AH63" s="27">
        <f>AG78</f>
        <v/>
      </c>
      <c r="AI63" s="27">
        <f>AH78</f>
        <v/>
      </c>
      <c r="AJ63" s="27">
        <f>AI78</f>
        <v/>
      </c>
      <c r="AK63" s="27">
        <f>AJ78</f>
        <v/>
      </c>
      <c r="AL63" s="27">
        <f>AK78</f>
        <v/>
      </c>
      <c r="AM63" s="27">
        <f>AL78</f>
        <v/>
      </c>
      <c r="AN63" s="27">
        <f>AM78</f>
        <v/>
      </c>
      <c r="AO63" s="27">
        <f>AN78</f>
        <v/>
      </c>
      <c r="AP63" s="27">
        <f>AO78</f>
        <v/>
      </c>
      <c r="AQ63" s="27">
        <f>AP78</f>
        <v/>
      </c>
      <c r="AR63" s="27">
        <f>AQ78</f>
        <v/>
      </c>
      <c r="AS63" s="27">
        <f>AR78</f>
        <v/>
      </c>
      <c r="AT63" s="27">
        <f>AS78</f>
        <v/>
      </c>
      <c r="AU63" s="27">
        <f>AT78</f>
        <v/>
      </c>
      <c r="AV63" s="27">
        <f>AU78</f>
        <v/>
      </c>
      <c r="AW63" s="27">
        <f>AV78</f>
        <v/>
      </c>
      <c r="AX63" s="27">
        <f>AW78</f>
        <v/>
      </c>
      <c r="AY63" s="27">
        <f>AX78</f>
        <v/>
      </c>
      <c r="AZ63" s="27">
        <f>AY78</f>
        <v/>
      </c>
      <c r="BA63" s="27">
        <f>AZ78</f>
        <v/>
      </c>
      <c r="BB63" s="27">
        <f>BA78</f>
        <v/>
      </c>
    </row>
    <row r="64">
      <c r="A64" s="25" t="inlineStr">
        <is>
          <t xml:space="preserve">   lost to shrink</t>
        </is>
      </c>
      <c r="B64" s="4" t="inlineStr">
        <is>
          <t>lb</t>
        </is>
      </c>
      <c r="C64" s="27">
        <f>C63*$G$16</f>
        <v/>
      </c>
      <c r="D64" s="27">
        <f>D63*$G$16</f>
        <v/>
      </c>
      <c r="E64" s="27">
        <f>E63*$G$16</f>
        <v/>
      </c>
      <c r="F64" s="27">
        <f>F63*$G$16</f>
        <v/>
      </c>
      <c r="G64" s="27">
        <f>G63*$G$16</f>
        <v/>
      </c>
      <c r="H64" s="27">
        <f>H63*$G$16</f>
        <v/>
      </c>
      <c r="I64" s="27">
        <f>I63*$G$16</f>
        <v/>
      </c>
      <c r="J64" s="27">
        <f>J63*$G$16</f>
        <v/>
      </c>
      <c r="K64" s="27">
        <f>K63*$G$16</f>
        <v/>
      </c>
      <c r="L64" s="27">
        <f>L63*$G$16</f>
        <v/>
      </c>
      <c r="M64" s="27">
        <f>M63*$G$16</f>
        <v/>
      </c>
      <c r="N64" s="27">
        <f>N63*$G$16</f>
        <v/>
      </c>
      <c r="O64" s="27">
        <f>O63*$G$16</f>
        <v/>
      </c>
      <c r="P64" s="27">
        <f>P63*$G$16</f>
        <v/>
      </c>
      <c r="Q64" s="27">
        <f>Q63*$G$16</f>
        <v/>
      </c>
      <c r="R64" s="27">
        <f>R63*$G$16</f>
        <v/>
      </c>
      <c r="S64" s="27">
        <f>S63*$G$16</f>
        <v/>
      </c>
      <c r="T64" s="27">
        <f>T63*$G$16</f>
        <v/>
      </c>
      <c r="U64" s="27">
        <f>U63*$G$16</f>
        <v/>
      </c>
      <c r="V64" s="27">
        <f>V63*$G$16</f>
        <v/>
      </c>
      <c r="W64" s="27">
        <f>W63*$G$16</f>
        <v/>
      </c>
      <c r="X64" s="27">
        <f>X63*$G$16</f>
        <v/>
      </c>
      <c r="Y64" s="27">
        <f>Y63*$G$16</f>
        <v/>
      </c>
      <c r="Z64" s="27">
        <f>Z63*$G$16</f>
        <v/>
      </c>
      <c r="AA64" s="27">
        <f>AA63*$G$16</f>
        <v/>
      </c>
      <c r="AB64" s="27">
        <f>AB63*$G$16</f>
        <v/>
      </c>
      <c r="AC64" s="27">
        <f>AC63*$G$16</f>
        <v/>
      </c>
      <c r="AD64" s="27">
        <f>AD63*$G$16</f>
        <v/>
      </c>
      <c r="AE64" s="27">
        <f>AE63*$G$16</f>
        <v/>
      </c>
      <c r="AF64" s="27">
        <f>AF63*$G$16</f>
        <v/>
      </c>
      <c r="AG64" s="27">
        <f>AG63*$G$16</f>
        <v/>
      </c>
      <c r="AH64" s="27">
        <f>AH63*$G$16</f>
        <v/>
      </c>
      <c r="AI64" s="27">
        <f>AI63*$G$16</f>
        <v/>
      </c>
      <c r="AJ64" s="27">
        <f>AJ63*$G$16</f>
        <v/>
      </c>
      <c r="AK64" s="27">
        <f>AK63*$G$16</f>
        <v/>
      </c>
      <c r="AL64" s="27">
        <f>AL63*$G$16</f>
        <v/>
      </c>
      <c r="AM64" s="27">
        <f>AM63*$G$16</f>
        <v/>
      </c>
      <c r="AN64" s="27">
        <f>AN63*$G$16</f>
        <v/>
      </c>
      <c r="AO64" s="27">
        <f>AO63*$G$16</f>
        <v/>
      </c>
      <c r="AP64" s="27">
        <f>AP63*$G$16</f>
        <v/>
      </c>
      <c r="AQ64" s="27">
        <f>AQ63*$G$16</f>
        <v/>
      </c>
      <c r="AR64" s="27">
        <f>AR63*$G$16</f>
        <v/>
      </c>
      <c r="AS64" s="27">
        <f>AS63*$G$16</f>
        <v/>
      </c>
      <c r="AT64" s="27">
        <f>AT63*$G$16</f>
        <v/>
      </c>
      <c r="AU64" s="27">
        <f>AU63*$G$16</f>
        <v/>
      </c>
      <c r="AV64" s="27">
        <f>AV63*$G$16</f>
        <v/>
      </c>
      <c r="AW64" s="27">
        <f>AW63*$G$16</f>
        <v/>
      </c>
      <c r="AX64" s="27">
        <f>AX63*$G$16</f>
        <v/>
      </c>
      <c r="AY64" s="27">
        <f>AY63*$G$16</f>
        <v/>
      </c>
      <c r="AZ64" s="27">
        <f>AZ63*$G$16</f>
        <v/>
      </c>
      <c r="BA64" s="27">
        <f>BA63*$G$16</f>
        <v/>
      </c>
      <c r="BB64" s="27">
        <f>BB63*$G$16</f>
        <v/>
      </c>
    </row>
    <row r="65">
      <c r="A65" s="3" t="inlineStr">
        <is>
          <t>In store this week</t>
        </is>
      </c>
      <c r="B65" s="4" t="inlineStr">
        <is>
          <t>lb</t>
        </is>
      </c>
      <c r="C65" s="27">
        <f>C63-C64+C62</f>
        <v/>
      </c>
      <c r="D65" s="27">
        <f>D63-D64+D62</f>
        <v/>
      </c>
      <c r="E65" s="27">
        <f>E63-E64+E62</f>
        <v/>
      </c>
      <c r="F65" s="27">
        <f>F63-F64+F62</f>
        <v/>
      </c>
      <c r="G65" s="27">
        <f>G63-G64+G62</f>
        <v/>
      </c>
      <c r="H65" s="27">
        <f>H63-H64+H62</f>
        <v/>
      </c>
      <c r="I65" s="27">
        <f>I63-I64+I62</f>
        <v/>
      </c>
      <c r="J65" s="27">
        <f>J63-J64+J62</f>
        <v/>
      </c>
      <c r="K65" s="27">
        <f>K63-K64+K62</f>
        <v/>
      </c>
      <c r="L65" s="27">
        <f>L63-L64+L62</f>
        <v/>
      </c>
      <c r="M65" s="27">
        <f>M63-M64+M62</f>
        <v/>
      </c>
      <c r="N65" s="27">
        <f>N63-N64+N62</f>
        <v/>
      </c>
      <c r="O65" s="27">
        <f>O63-O64+O62</f>
        <v/>
      </c>
      <c r="P65" s="27">
        <f>P63-P64+P62</f>
        <v/>
      </c>
      <c r="Q65" s="27">
        <f>Q63-Q64+Q62</f>
        <v/>
      </c>
      <c r="R65" s="27">
        <f>R63-R64+R62</f>
        <v/>
      </c>
      <c r="S65" s="27">
        <f>S63-S64+S62</f>
        <v/>
      </c>
      <c r="T65" s="27">
        <f>T63-T64+T62</f>
        <v/>
      </c>
      <c r="U65" s="27">
        <f>U63-U64+U62</f>
        <v/>
      </c>
      <c r="V65" s="27">
        <f>V63-V64+V62</f>
        <v/>
      </c>
      <c r="W65" s="27">
        <f>W63-W64+W62</f>
        <v/>
      </c>
      <c r="X65" s="27">
        <f>X63-X64+X62</f>
        <v/>
      </c>
      <c r="Y65" s="27">
        <f>Y63-Y64+Y62</f>
        <v/>
      </c>
      <c r="Z65" s="27">
        <f>Z63-Z64+Z62</f>
        <v/>
      </c>
      <c r="AA65" s="27">
        <f>AA63-AA64+AA62</f>
        <v/>
      </c>
      <c r="AB65" s="27">
        <f>AB63-AB64+AB62</f>
        <v/>
      </c>
      <c r="AC65" s="27">
        <f>AC63-AC64+AC62</f>
        <v/>
      </c>
      <c r="AD65" s="27">
        <f>AD63-AD64+AD62</f>
        <v/>
      </c>
      <c r="AE65" s="27">
        <f>AE63-AE64+AE62</f>
        <v/>
      </c>
      <c r="AF65" s="27">
        <f>AF63-AF64+AF62</f>
        <v/>
      </c>
      <c r="AG65" s="27">
        <f>AG63-AG64+AG62</f>
        <v/>
      </c>
      <c r="AH65" s="27">
        <f>AH63-AH64+AH62</f>
        <v/>
      </c>
      <c r="AI65" s="27">
        <f>AI63-AI64+AI62</f>
        <v/>
      </c>
      <c r="AJ65" s="27">
        <f>AJ63-AJ64+AJ62</f>
        <v/>
      </c>
      <c r="AK65" s="27">
        <f>AK63-AK64+AK62</f>
        <v/>
      </c>
      <c r="AL65" s="27">
        <f>AL63-AL64+AL62</f>
        <v/>
      </c>
      <c r="AM65" s="27">
        <f>AM63-AM64+AM62</f>
        <v/>
      </c>
      <c r="AN65" s="27">
        <f>AN63-AN64+AN62</f>
        <v/>
      </c>
      <c r="AO65" s="27">
        <f>AO63-AO64+AO62</f>
        <v/>
      </c>
      <c r="AP65" s="27">
        <f>AP63-AP64+AP62</f>
        <v/>
      </c>
      <c r="AQ65" s="27">
        <f>AQ63-AQ64+AQ62</f>
        <v/>
      </c>
      <c r="AR65" s="27">
        <f>AR63-AR64+AR62</f>
        <v/>
      </c>
      <c r="AS65" s="27">
        <f>AS63-AS64+AS62</f>
        <v/>
      </c>
      <c r="AT65" s="27">
        <f>AT63-AT64+AT62</f>
        <v/>
      </c>
      <c r="AU65" s="27">
        <f>AU63-AU64+AU62</f>
        <v/>
      </c>
      <c r="AV65" s="27">
        <f>AV63-AV64+AV62</f>
        <v/>
      </c>
      <c r="AW65" s="27">
        <f>AW63-AW64+AW62</f>
        <v/>
      </c>
      <c r="AX65" s="27">
        <f>AX63-AX64+AX62</f>
        <v/>
      </c>
      <c r="AY65" s="27">
        <f>AY63-AY64+AY62</f>
        <v/>
      </c>
      <c r="AZ65" s="27">
        <f>AZ63-AZ64+AZ62</f>
        <v/>
      </c>
      <c r="BA65" s="27">
        <f>BA63-BA64+BA62</f>
        <v/>
      </c>
      <c r="BB65" s="27">
        <f>BB63-BB64+BB62</f>
        <v/>
      </c>
    </row>
    <row r="66">
      <c r="A66" s="31" t="inlineStr">
        <is>
          <t>Farmers Market — weekly ceiling</t>
        </is>
      </c>
      <c r="B66" s="4" t="inlineStr">
        <is>
          <t>lb</t>
        </is>
      </c>
      <c r="C66" s="32">
        <f>IF($C$23="Annual",$D$23,IF(AND(C$37&gt;=$E$23,C$37&lt;=$F$23),$D$23,0))</f>
        <v/>
      </c>
      <c r="D66" s="32">
        <f>IF($C$23="Annual",$D$23,IF(AND(D$37&gt;=$E$23,D$37&lt;=$F$23),$D$23,0))</f>
        <v/>
      </c>
      <c r="E66" s="32">
        <f>IF($C$23="Annual",$D$23,IF(AND(E$37&gt;=$E$23,E$37&lt;=$F$23),$D$23,0))</f>
        <v/>
      </c>
      <c r="F66" s="32">
        <f>IF($C$23="Annual",$D$23,IF(AND(F$37&gt;=$E$23,F$37&lt;=$F$23),$D$23,0))</f>
        <v/>
      </c>
      <c r="G66" s="32">
        <f>IF($C$23="Annual",$D$23,IF(AND(G$37&gt;=$E$23,G$37&lt;=$F$23),$D$23,0))</f>
        <v/>
      </c>
      <c r="H66" s="32">
        <f>IF($C$23="Annual",$D$23,IF(AND(H$37&gt;=$E$23,H$37&lt;=$F$23),$D$23,0))</f>
        <v/>
      </c>
      <c r="I66" s="32">
        <f>IF($C$23="Annual",$D$23,IF(AND(I$37&gt;=$E$23,I$37&lt;=$F$23),$D$23,0))</f>
        <v/>
      </c>
      <c r="J66" s="32">
        <f>IF($C$23="Annual",$D$23,IF(AND(J$37&gt;=$E$23,J$37&lt;=$F$23),$D$23,0))</f>
        <v/>
      </c>
      <c r="K66" s="32">
        <f>IF($C$23="Annual",$D$23,IF(AND(K$37&gt;=$E$23,K$37&lt;=$F$23),$D$23,0))</f>
        <v/>
      </c>
      <c r="L66" s="32">
        <f>IF($C$23="Annual",$D$23,IF(AND(L$37&gt;=$E$23,L$37&lt;=$F$23),$D$23,0))</f>
        <v/>
      </c>
      <c r="M66" s="32">
        <f>IF($C$23="Annual",$D$23,IF(AND(M$37&gt;=$E$23,M$37&lt;=$F$23),$D$23,0))</f>
        <v/>
      </c>
      <c r="N66" s="32">
        <f>IF($C$23="Annual",$D$23,IF(AND(N$37&gt;=$E$23,N$37&lt;=$F$23),$D$23,0))</f>
        <v/>
      </c>
      <c r="O66" s="32">
        <f>IF($C$23="Annual",$D$23,IF(AND(O$37&gt;=$E$23,O$37&lt;=$F$23),$D$23,0))</f>
        <v/>
      </c>
      <c r="P66" s="32">
        <f>IF($C$23="Annual",$D$23,IF(AND(P$37&gt;=$E$23,P$37&lt;=$F$23),$D$23,0))</f>
        <v/>
      </c>
      <c r="Q66" s="32">
        <f>IF($C$23="Annual",$D$23,IF(AND(Q$37&gt;=$E$23,Q$37&lt;=$F$23),$D$23,0))</f>
        <v/>
      </c>
      <c r="R66" s="32">
        <f>IF($C$23="Annual",$D$23,IF(AND(R$37&gt;=$E$23,R$37&lt;=$F$23),$D$23,0))</f>
        <v/>
      </c>
      <c r="S66" s="32">
        <f>IF($C$23="Annual",$D$23,IF(AND(S$37&gt;=$E$23,S$37&lt;=$F$23),$D$23,0))</f>
        <v/>
      </c>
      <c r="T66" s="32">
        <f>IF($C$23="Annual",$D$23,IF(AND(T$37&gt;=$E$23,T$37&lt;=$F$23),$D$23,0))</f>
        <v/>
      </c>
      <c r="U66" s="32">
        <f>IF($C$23="Annual",$D$23,IF(AND(U$37&gt;=$E$23,U$37&lt;=$F$23),$D$23,0))</f>
        <v/>
      </c>
      <c r="V66" s="32">
        <f>IF($C$23="Annual",$D$23,IF(AND(V$37&gt;=$E$23,V$37&lt;=$F$23),$D$23,0))</f>
        <v/>
      </c>
      <c r="W66" s="32">
        <f>IF($C$23="Annual",$D$23,IF(AND(W$37&gt;=$E$23,W$37&lt;=$F$23),$D$23,0))</f>
        <v/>
      </c>
      <c r="X66" s="32">
        <f>IF($C$23="Annual",$D$23,IF(AND(X$37&gt;=$E$23,X$37&lt;=$F$23),$D$23,0))</f>
        <v/>
      </c>
      <c r="Y66" s="32">
        <f>IF($C$23="Annual",$D$23,IF(AND(Y$37&gt;=$E$23,Y$37&lt;=$F$23),$D$23,0))</f>
        <v/>
      </c>
      <c r="Z66" s="32">
        <f>IF($C$23="Annual",$D$23,IF(AND(Z$37&gt;=$E$23,Z$37&lt;=$F$23),$D$23,0))</f>
        <v/>
      </c>
      <c r="AA66" s="32">
        <f>IF($C$23="Annual",$D$23,IF(AND(AA$37&gt;=$E$23,AA$37&lt;=$F$23),$D$23,0))</f>
        <v/>
      </c>
      <c r="AB66" s="32">
        <f>IF($C$23="Annual",$D$23,IF(AND(AB$37&gt;=$E$23,AB$37&lt;=$F$23),$D$23,0))</f>
        <v/>
      </c>
      <c r="AC66" s="32">
        <f>IF($C$23="Annual",$D$23,IF(AND(AC$37&gt;=$E$23,AC$37&lt;=$F$23),$D$23,0))</f>
        <v/>
      </c>
      <c r="AD66" s="32">
        <f>IF($C$23="Annual",$D$23,IF(AND(AD$37&gt;=$E$23,AD$37&lt;=$F$23),$D$23,0))</f>
        <v/>
      </c>
      <c r="AE66" s="32">
        <f>IF($C$23="Annual",$D$23,IF(AND(AE$37&gt;=$E$23,AE$37&lt;=$F$23),$D$23,0))</f>
        <v/>
      </c>
      <c r="AF66" s="32">
        <f>IF($C$23="Annual",$D$23,IF(AND(AF$37&gt;=$E$23,AF$37&lt;=$F$23),$D$23,0))</f>
        <v/>
      </c>
      <c r="AG66" s="32">
        <f>IF($C$23="Annual",$D$23,IF(AND(AG$37&gt;=$E$23,AG$37&lt;=$F$23),$D$23,0))</f>
        <v/>
      </c>
      <c r="AH66" s="32">
        <f>IF($C$23="Annual",$D$23,IF(AND(AH$37&gt;=$E$23,AH$37&lt;=$F$23),$D$23,0))</f>
        <v/>
      </c>
      <c r="AI66" s="32">
        <f>IF($C$23="Annual",$D$23,IF(AND(AI$37&gt;=$E$23,AI$37&lt;=$F$23),$D$23,0))</f>
        <v/>
      </c>
      <c r="AJ66" s="32">
        <f>IF($C$23="Annual",$D$23,IF(AND(AJ$37&gt;=$E$23,AJ$37&lt;=$F$23),$D$23,0))</f>
        <v/>
      </c>
      <c r="AK66" s="32">
        <f>IF($C$23="Annual",$D$23,IF(AND(AK$37&gt;=$E$23,AK$37&lt;=$F$23),$D$23,0))</f>
        <v/>
      </c>
      <c r="AL66" s="32">
        <f>IF($C$23="Annual",$D$23,IF(AND(AL$37&gt;=$E$23,AL$37&lt;=$F$23),$D$23,0))</f>
        <v/>
      </c>
      <c r="AM66" s="32">
        <f>IF($C$23="Annual",$D$23,IF(AND(AM$37&gt;=$E$23,AM$37&lt;=$F$23),$D$23,0))</f>
        <v/>
      </c>
      <c r="AN66" s="32">
        <f>IF($C$23="Annual",$D$23,IF(AND(AN$37&gt;=$E$23,AN$37&lt;=$F$23),$D$23,0))</f>
        <v/>
      </c>
      <c r="AO66" s="32">
        <f>IF($C$23="Annual",$D$23,IF(AND(AO$37&gt;=$E$23,AO$37&lt;=$F$23),$D$23,0))</f>
        <v/>
      </c>
      <c r="AP66" s="32">
        <f>IF($C$23="Annual",$D$23,IF(AND(AP$37&gt;=$E$23,AP$37&lt;=$F$23),$D$23,0))</f>
        <v/>
      </c>
      <c r="AQ66" s="32">
        <f>IF($C$23="Annual",$D$23,IF(AND(AQ$37&gt;=$E$23,AQ$37&lt;=$F$23),$D$23,0))</f>
        <v/>
      </c>
      <c r="AR66" s="32">
        <f>IF($C$23="Annual",$D$23,IF(AND(AR$37&gt;=$E$23,AR$37&lt;=$F$23),$D$23,0))</f>
        <v/>
      </c>
      <c r="AS66" s="32">
        <f>IF($C$23="Annual",$D$23,IF(AND(AS$37&gt;=$E$23,AS$37&lt;=$F$23),$D$23,0))</f>
        <v/>
      </c>
      <c r="AT66" s="32">
        <f>IF($C$23="Annual",$D$23,IF(AND(AT$37&gt;=$E$23,AT$37&lt;=$F$23),$D$23,0))</f>
        <v/>
      </c>
      <c r="AU66" s="32">
        <f>IF($C$23="Annual",$D$23,IF(AND(AU$37&gt;=$E$23,AU$37&lt;=$F$23),$D$23,0))</f>
        <v/>
      </c>
      <c r="AV66" s="32">
        <f>IF($C$23="Annual",$D$23,IF(AND(AV$37&gt;=$E$23,AV$37&lt;=$F$23),$D$23,0))</f>
        <v/>
      </c>
      <c r="AW66" s="32">
        <f>IF($C$23="Annual",$D$23,IF(AND(AW$37&gt;=$E$23,AW$37&lt;=$F$23),$D$23,0))</f>
        <v/>
      </c>
      <c r="AX66" s="32">
        <f>IF($C$23="Annual",$D$23,IF(AND(AX$37&gt;=$E$23,AX$37&lt;=$F$23),$D$23,0))</f>
        <v/>
      </c>
      <c r="AY66" s="32">
        <f>IF($C$23="Annual",$D$23,IF(AND(AY$37&gt;=$E$23,AY$37&lt;=$F$23),$D$23,0))</f>
        <v/>
      </c>
      <c r="AZ66" s="32">
        <f>IF($C$23="Annual",$D$23,IF(AND(AZ$37&gt;=$E$23,AZ$37&lt;=$F$23),$D$23,0))</f>
        <v/>
      </c>
      <c r="BA66" s="32">
        <f>IF($C$23="Annual",$D$23,IF(AND(BA$37&gt;=$E$23,BA$37&lt;=$F$23),$D$23,0))</f>
        <v/>
      </c>
      <c r="BB66" s="32">
        <f>IF($C$23="Annual",$D$23,IF(AND(BB$37&gt;=$E$23,BB$37&lt;=$F$23),$D$23,0))</f>
        <v/>
      </c>
    </row>
    <row r="67">
      <c r="A67" s="33" t="inlineStr">
        <is>
          <t>Farmers Market — OFFERED</t>
        </is>
      </c>
      <c r="B67" s="4" t="inlineStr">
        <is>
          <t>lb  &lt;-- SOLVER</t>
        </is>
      </c>
      <c r="C67" s="34" t="n">
        <v>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0</v>
      </c>
      <c r="N67" s="34" t="n">
        <v>0</v>
      </c>
      <c r="O67" s="34" t="n">
        <v>0</v>
      </c>
      <c r="P67" s="34" t="n">
        <v>0</v>
      </c>
      <c r="Q67" s="34" t="n">
        <v>0</v>
      </c>
      <c r="R67" s="34" t="n">
        <v>0</v>
      </c>
      <c r="S67" s="34" t="n">
        <v>0</v>
      </c>
      <c r="T67" s="34" t="n">
        <v>0</v>
      </c>
      <c r="U67" s="34" t="n">
        <v>0</v>
      </c>
      <c r="V67" s="34" t="n">
        <v>0</v>
      </c>
      <c r="W67" s="34" t="n">
        <v>0</v>
      </c>
      <c r="X67" s="34" t="n">
        <v>0</v>
      </c>
      <c r="Y67" s="34" t="n">
        <v>0</v>
      </c>
      <c r="Z67" s="34" t="n">
        <v>0</v>
      </c>
      <c r="AA67" s="34" t="n">
        <v>0</v>
      </c>
      <c r="AB67" s="34" t="n">
        <v>0</v>
      </c>
      <c r="AC67" s="34" t="n">
        <v>0</v>
      </c>
      <c r="AD67" s="34" t="n">
        <v>0</v>
      </c>
      <c r="AE67" s="34" t="n">
        <v>0</v>
      </c>
      <c r="AF67" s="34" t="n">
        <v>0</v>
      </c>
      <c r="AG67" s="34" t="n">
        <v>0</v>
      </c>
      <c r="AH67" s="34" t="n">
        <v>0</v>
      </c>
      <c r="AI67" s="34" t="n">
        <v>0</v>
      </c>
      <c r="AJ67" s="34" t="n">
        <v>0</v>
      </c>
      <c r="AK67" s="34" t="n">
        <v>0</v>
      </c>
      <c r="AL67" s="34" t="n">
        <v>0</v>
      </c>
      <c r="AM67" s="34" t="n">
        <v>0</v>
      </c>
      <c r="AN67" s="34" t="n">
        <v>0</v>
      </c>
      <c r="AO67" s="34" t="n">
        <v>0</v>
      </c>
      <c r="AP67" s="34" t="n">
        <v>0</v>
      </c>
      <c r="AQ67" s="34" t="n">
        <v>0</v>
      </c>
      <c r="AR67" s="34" t="n">
        <v>0</v>
      </c>
      <c r="AS67" s="34" t="n">
        <v>0</v>
      </c>
      <c r="AT67" s="34" t="n">
        <v>0</v>
      </c>
      <c r="AU67" s="34" t="n">
        <v>0</v>
      </c>
      <c r="AV67" s="34" t="n">
        <v>0</v>
      </c>
      <c r="AW67" s="34" t="n">
        <v>0</v>
      </c>
      <c r="AX67" s="34" t="n">
        <v>0</v>
      </c>
      <c r="AY67" s="34" t="n">
        <v>0</v>
      </c>
      <c r="AZ67" s="34" t="n">
        <v>0</v>
      </c>
      <c r="BA67" s="34" t="n">
        <v>0</v>
      </c>
      <c r="BB67" s="34" t="n">
        <v>0</v>
      </c>
    </row>
    <row r="68">
      <c r="A68" s="35" t="inlineStr">
        <is>
          <t>Farmers Market — SOLD</t>
        </is>
      </c>
      <c r="B68" s="4" t="inlineStr">
        <is>
          <t>lb</t>
        </is>
      </c>
      <c r="C68" s="32">
        <f>C67*$G$23</f>
        <v/>
      </c>
      <c r="D68" s="32">
        <f>D67*$G$23</f>
        <v/>
      </c>
      <c r="E68" s="32">
        <f>E67*$G$23</f>
        <v/>
      </c>
      <c r="F68" s="32">
        <f>F67*$G$23</f>
        <v/>
      </c>
      <c r="G68" s="32">
        <f>G67*$G$23</f>
        <v/>
      </c>
      <c r="H68" s="32">
        <f>H67*$G$23</f>
        <v/>
      </c>
      <c r="I68" s="32">
        <f>I67*$G$23</f>
        <v/>
      </c>
      <c r="J68" s="32">
        <f>J67*$G$23</f>
        <v/>
      </c>
      <c r="K68" s="32">
        <f>K67*$G$23</f>
        <v/>
      </c>
      <c r="L68" s="32">
        <f>L67*$G$23</f>
        <v/>
      </c>
      <c r="M68" s="32">
        <f>M67*$G$23</f>
        <v/>
      </c>
      <c r="N68" s="32">
        <f>N67*$G$23</f>
        <v/>
      </c>
      <c r="O68" s="32">
        <f>O67*$G$23</f>
        <v/>
      </c>
      <c r="P68" s="32">
        <f>P67*$G$23</f>
        <v/>
      </c>
      <c r="Q68" s="32">
        <f>Q67*$G$23</f>
        <v/>
      </c>
      <c r="R68" s="32">
        <f>R67*$G$23</f>
        <v/>
      </c>
      <c r="S68" s="32">
        <f>S67*$G$23</f>
        <v/>
      </c>
      <c r="T68" s="32">
        <f>T67*$G$23</f>
        <v/>
      </c>
      <c r="U68" s="32">
        <f>U67*$G$23</f>
        <v/>
      </c>
      <c r="V68" s="32">
        <f>V67*$G$23</f>
        <v/>
      </c>
      <c r="W68" s="32">
        <f>W67*$G$23</f>
        <v/>
      </c>
      <c r="X68" s="32">
        <f>X67*$G$23</f>
        <v/>
      </c>
      <c r="Y68" s="32">
        <f>Y67*$G$23</f>
        <v/>
      </c>
      <c r="Z68" s="32">
        <f>Z67*$G$23</f>
        <v/>
      </c>
      <c r="AA68" s="32">
        <f>AA67*$G$23</f>
        <v/>
      </c>
      <c r="AB68" s="32">
        <f>AB67*$G$23</f>
        <v/>
      </c>
      <c r="AC68" s="32">
        <f>AC67*$G$23</f>
        <v/>
      </c>
      <c r="AD68" s="32">
        <f>AD67*$G$23</f>
        <v/>
      </c>
      <c r="AE68" s="32">
        <f>AE67*$G$23</f>
        <v/>
      </c>
      <c r="AF68" s="32">
        <f>AF67*$G$23</f>
        <v/>
      </c>
      <c r="AG68" s="32">
        <f>AG67*$G$23</f>
        <v/>
      </c>
      <c r="AH68" s="32">
        <f>AH67*$G$23</f>
        <v/>
      </c>
      <c r="AI68" s="32">
        <f>AI67*$G$23</f>
        <v/>
      </c>
      <c r="AJ68" s="32">
        <f>AJ67*$G$23</f>
        <v/>
      </c>
      <c r="AK68" s="32">
        <f>AK67*$G$23</f>
        <v/>
      </c>
      <c r="AL68" s="32">
        <f>AL67*$G$23</f>
        <v/>
      </c>
      <c r="AM68" s="32">
        <f>AM67*$G$23</f>
        <v/>
      </c>
      <c r="AN68" s="32">
        <f>AN67*$G$23</f>
        <v/>
      </c>
      <c r="AO68" s="32">
        <f>AO67*$G$23</f>
        <v/>
      </c>
      <c r="AP68" s="32">
        <f>AP67*$G$23</f>
        <v/>
      </c>
      <c r="AQ68" s="32">
        <f>AQ67*$G$23</f>
        <v/>
      </c>
      <c r="AR68" s="32">
        <f>AR67*$G$23</f>
        <v/>
      </c>
      <c r="AS68" s="32">
        <f>AS67*$G$23</f>
        <v/>
      </c>
      <c r="AT68" s="32">
        <f>AT67*$G$23</f>
        <v/>
      </c>
      <c r="AU68" s="32">
        <f>AU67*$G$23</f>
        <v/>
      </c>
      <c r="AV68" s="32">
        <f>AV67*$G$23</f>
        <v/>
      </c>
      <c r="AW68" s="32">
        <f>AW67*$G$23</f>
        <v/>
      </c>
      <c r="AX68" s="32">
        <f>AX67*$G$23</f>
        <v/>
      </c>
      <c r="AY68" s="32">
        <f>AY67*$G$23</f>
        <v/>
      </c>
      <c r="AZ68" s="32">
        <f>AZ67*$G$23</f>
        <v/>
      </c>
      <c r="BA68" s="32">
        <f>BA67*$G$23</f>
        <v/>
      </c>
      <c r="BB68" s="32">
        <f>BB67*$G$23</f>
        <v/>
      </c>
    </row>
    <row r="69">
      <c r="A69" s="25" t="inlineStr">
        <is>
          <t xml:space="preserve">   market loss (gone)</t>
        </is>
      </c>
      <c r="B69" s="4" t="inlineStr">
        <is>
          <t>lb</t>
        </is>
      </c>
      <c r="C69" s="27">
        <f>(C67-C68)*(1-$H$23)</f>
        <v/>
      </c>
      <c r="D69" s="27">
        <f>(D67-D68)*(1-$H$23)</f>
        <v/>
      </c>
      <c r="E69" s="27">
        <f>(E67-E68)*(1-$H$23)</f>
        <v/>
      </c>
      <c r="F69" s="27">
        <f>(F67-F68)*(1-$H$23)</f>
        <v/>
      </c>
      <c r="G69" s="27">
        <f>(G67-G68)*(1-$H$23)</f>
        <v/>
      </c>
      <c r="H69" s="27">
        <f>(H67-H68)*(1-$H$23)</f>
        <v/>
      </c>
      <c r="I69" s="27">
        <f>(I67-I68)*(1-$H$23)</f>
        <v/>
      </c>
      <c r="J69" s="27">
        <f>(J67-J68)*(1-$H$23)</f>
        <v/>
      </c>
      <c r="K69" s="27">
        <f>(K67-K68)*(1-$H$23)</f>
        <v/>
      </c>
      <c r="L69" s="27">
        <f>(L67-L68)*(1-$H$23)</f>
        <v/>
      </c>
      <c r="M69" s="27">
        <f>(M67-M68)*(1-$H$23)</f>
        <v/>
      </c>
      <c r="N69" s="27">
        <f>(N67-N68)*(1-$H$23)</f>
        <v/>
      </c>
      <c r="O69" s="27">
        <f>(O67-O68)*(1-$H$23)</f>
        <v/>
      </c>
      <c r="P69" s="27">
        <f>(P67-P68)*(1-$H$23)</f>
        <v/>
      </c>
      <c r="Q69" s="27">
        <f>(Q67-Q68)*(1-$H$23)</f>
        <v/>
      </c>
      <c r="R69" s="27">
        <f>(R67-R68)*(1-$H$23)</f>
        <v/>
      </c>
      <c r="S69" s="27">
        <f>(S67-S68)*(1-$H$23)</f>
        <v/>
      </c>
      <c r="T69" s="27">
        <f>(T67-T68)*(1-$H$23)</f>
        <v/>
      </c>
      <c r="U69" s="27">
        <f>(U67-U68)*(1-$H$23)</f>
        <v/>
      </c>
      <c r="V69" s="27">
        <f>(V67-V68)*(1-$H$23)</f>
        <v/>
      </c>
      <c r="W69" s="27">
        <f>(W67-W68)*(1-$H$23)</f>
        <v/>
      </c>
      <c r="X69" s="27">
        <f>(X67-X68)*(1-$H$23)</f>
        <v/>
      </c>
      <c r="Y69" s="27">
        <f>(Y67-Y68)*(1-$H$23)</f>
        <v/>
      </c>
      <c r="Z69" s="27">
        <f>(Z67-Z68)*(1-$H$23)</f>
        <v/>
      </c>
      <c r="AA69" s="27">
        <f>(AA67-AA68)*(1-$H$23)</f>
        <v/>
      </c>
      <c r="AB69" s="27">
        <f>(AB67-AB68)*(1-$H$23)</f>
        <v/>
      </c>
      <c r="AC69" s="27">
        <f>(AC67-AC68)*(1-$H$23)</f>
        <v/>
      </c>
      <c r="AD69" s="27">
        <f>(AD67-AD68)*(1-$H$23)</f>
        <v/>
      </c>
      <c r="AE69" s="27">
        <f>(AE67-AE68)*(1-$H$23)</f>
        <v/>
      </c>
      <c r="AF69" s="27">
        <f>(AF67-AF68)*(1-$H$23)</f>
        <v/>
      </c>
      <c r="AG69" s="27">
        <f>(AG67-AG68)*(1-$H$23)</f>
        <v/>
      </c>
      <c r="AH69" s="27">
        <f>(AH67-AH68)*(1-$H$23)</f>
        <v/>
      </c>
      <c r="AI69" s="27">
        <f>(AI67-AI68)*(1-$H$23)</f>
        <v/>
      </c>
      <c r="AJ69" s="27">
        <f>(AJ67-AJ68)*(1-$H$23)</f>
        <v/>
      </c>
      <c r="AK69" s="27">
        <f>(AK67-AK68)*(1-$H$23)</f>
        <v/>
      </c>
      <c r="AL69" s="27">
        <f>(AL67-AL68)*(1-$H$23)</f>
        <v/>
      </c>
      <c r="AM69" s="27">
        <f>(AM67-AM68)*(1-$H$23)</f>
        <v/>
      </c>
      <c r="AN69" s="27">
        <f>(AN67-AN68)*(1-$H$23)</f>
        <v/>
      </c>
      <c r="AO69" s="27">
        <f>(AO67-AO68)*(1-$H$23)</f>
        <v/>
      </c>
      <c r="AP69" s="27">
        <f>(AP67-AP68)*(1-$H$23)</f>
        <v/>
      </c>
      <c r="AQ69" s="27">
        <f>(AQ67-AQ68)*(1-$H$23)</f>
        <v/>
      </c>
      <c r="AR69" s="27">
        <f>(AR67-AR68)*(1-$H$23)</f>
        <v/>
      </c>
      <c r="AS69" s="27">
        <f>(AS67-AS68)*(1-$H$23)</f>
        <v/>
      </c>
      <c r="AT69" s="27">
        <f>(AT67-AT68)*(1-$H$23)</f>
        <v/>
      </c>
      <c r="AU69" s="27">
        <f>(AU67-AU68)*(1-$H$23)</f>
        <v/>
      </c>
      <c r="AV69" s="27">
        <f>(AV67-AV68)*(1-$H$23)</f>
        <v/>
      </c>
      <c r="AW69" s="27">
        <f>(AW67-AW68)*(1-$H$23)</f>
        <v/>
      </c>
      <c r="AX69" s="27">
        <f>(AX67-AX68)*(1-$H$23)</f>
        <v/>
      </c>
      <c r="AY69" s="27">
        <f>(AY67-AY68)*(1-$H$23)</f>
        <v/>
      </c>
      <c r="AZ69" s="27">
        <f>(AZ67-AZ68)*(1-$H$23)</f>
        <v/>
      </c>
      <c r="BA69" s="27">
        <f>(BA67-BA68)*(1-$H$23)</f>
        <v/>
      </c>
      <c r="BB69" s="27">
        <f>(BB67-BB68)*(1-$H$23)</f>
        <v/>
      </c>
    </row>
    <row r="70">
      <c r="A70" s="25" t="inlineStr">
        <is>
          <t xml:space="preserve">   returned to store</t>
        </is>
      </c>
      <c r="B70" s="4" t="inlineStr">
        <is>
          <t>lb</t>
        </is>
      </c>
      <c r="C70" s="27">
        <f>(C67-C68)*$H$23</f>
        <v/>
      </c>
      <c r="D70" s="27">
        <f>(D67-D68)*$H$23</f>
        <v/>
      </c>
      <c r="E70" s="27">
        <f>(E67-E68)*$H$23</f>
        <v/>
      </c>
      <c r="F70" s="27">
        <f>(F67-F68)*$H$23</f>
        <v/>
      </c>
      <c r="G70" s="27">
        <f>(G67-G68)*$H$23</f>
        <v/>
      </c>
      <c r="H70" s="27">
        <f>(H67-H68)*$H$23</f>
        <v/>
      </c>
      <c r="I70" s="27">
        <f>(I67-I68)*$H$23</f>
        <v/>
      </c>
      <c r="J70" s="27">
        <f>(J67-J68)*$H$23</f>
        <v/>
      </c>
      <c r="K70" s="27">
        <f>(K67-K68)*$H$23</f>
        <v/>
      </c>
      <c r="L70" s="27">
        <f>(L67-L68)*$H$23</f>
        <v/>
      </c>
      <c r="M70" s="27">
        <f>(M67-M68)*$H$23</f>
        <v/>
      </c>
      <c r="N70" s="27">
        <f>(N67-N68)*$H$23</f>
        <v/>
      </c>
      <c r="O70" s="27">
        <f>(O67-O68)*$H$23</f>
        <v/>
      </c>
      <c r="P70" s="27">
        <f>(P67-P68)*$H$23</f>
        <v/>
      </c>
      <c r="Q70" s="27">
        <f>(Q67-Q68)*$H$23</f>
        <v/>
      </c>
      <c r="R70" s="27">
        <f>(R67-R68)*$H$23</f>
        <v/>
      </c>
      <c r="S70" s="27">
        <f>(S67-S68)*$H$23</f>
        <v/>
      </c>
      <c r="T70" s="27">
        <f>(T67-T68)*$H$23</f>
        <v/>
      </c>
      <c r="U70" s="27">
        <f>(U67-U68)*$H$23</f>
        <v/>
      </c>
      <c r="V70" s="27">
        <f>(V67-V68)*$H$23</f>
        <v/>
      </c>
      <c r="W70" s="27">
        <f>(W67-W68)*$H$23</f>
        <v/>
      </c>
      <c r="X70" s="27">
        <f>(X67-X68)*$H$23</f>
        <v/>
      </c>
      <c r="Y70" s="27">
        <f>(Y67-Y68)*$H$23</f>
        <v/>
      </c>
      <c r="Z70" s="27">
        <f>(Z67-Z68)*$H$23</f>
        <v/>
      </c>
      <c r="AA70" s="27">
        <f>(AA67-AA68)*$H$23</f>
        <v/>
      </c>
      <c r="AB70" s="27">
        <f>(AB67-AB68)*$H$23</f>
        <v/>
      </c>
      <c r="AC70" s="27">
        <f>(AC67-AC68)*$H$23</f>
        <v/>
      </c>
      <c r="AD70" s="27">
        <f>(AD67-AD68)*$H$23</f>
        <v/>
      </c>
      <c r="AE70" s="27">
        <f>(AE67-AE68)*$H$23</f>
        <v/>
      </c>
      <c r="AF70" s="27">
        <f>(AF67-AF68)*$H$23</f>
        <v/>
      </c>
      <c r="AG70" s="27">
        <f>(AG67-AG68)*$H$23</f>
        <v/>
      </c>
      <c r="AH70" s="27">
        <f>(AH67-AH68)*$H$23</f>
        <v/>
      </c>
      <c r="AI70" s="27">
        <f>(AI67-AI68)*$H$23</f>
        <v/>
      </c>
      <c r="AJ70" s="27">
        <f>(AJ67-AJ68)*$H$23</f>
        <v/>
      </c>
      <c r="AK70" s="27">
        <f>(AK67-AK68)*$H$23</f>
        <v/>
      </c>
      <c r="AL70" s="27">
        <f>(AL67-AL68)*$H$23</f>
        <v/>
      </c>
      <c r="AM70" s="27">
        <f>(AM67-AM68)*$H$23</f>
        <v/>
      </c>
      <c r="AN70" s="27">
        <f>(AN67-AN68)*$H$23</f>
        <v/>
      </c>
      <c r="AO70" s="27">
        <f>(AO67-AO68)*$H$23</f>
        <v/>
      </c>
      <c r="AP70" s="27">
        <f>(AP67-AP68)*$H$23</f>
        <v/>
      </c>
      <c r="AQ70" s="27">
        <f>(AQ67-AQ68)*$H$23</f>
        <v/>
      </c>
      <c r="AR70" s="27">
        <f>(AR67-AR68)*$H$23</f>
        <v/>
      </c>
      <c r="AS70" s="27">
        <f>(AS67-AS68)*$H$23</f>
        <v/>
      </c>
      <c r="AT70" s="27">
        <f>(AT67-AT68)*$H$23</f>
        <v/>
      </c>
      <c r="AU70" s="27">
        <f>(AU67-AU68)*$H$23</f>
        <v/>
      </c>
      <c r="AV70" s="27">
        <f>(AV67-AV68)*$H$23</f>
        <v/>
      </c>
      <c r="AW70" s="27">
        <f>(AW67-AW68)*$H$23</f>
        <v/>
      </c>
      <c r="AX70" s="27">
        <f>(AX67-AX68)*$H$23</f>
        <v/>
      </c>
      <c r="AY70" s="27">
        <f>(AY67-AY68)*$H$23</f>
        <v/>
      </c>
      <c r="AZ70" s="27">
        <f>(AZ67-AZ68)*$H$23</f>
        <v/>
      </c>
      <c r="BA70" s="27">
        <f>(BA67-BA68)*$H$23</f>
        <v/>
      </c>
      <c r="BB70" s="27">
        <f>(BB67-BB68)*$H$23</f>
        <v/>
      </c>
    </row>
    <row r="71">
      <c r="A71" s="25" t="inlineStr">
        <is>
          <t xml:space="preserve">   consumed from store</t>
        </is>
      </c>
      <c r="B71" s="4" t="inlineStr">
        <is>
          <t>lb</t>
        </is>
      </c>
      <c r="C71" s="27">
        <f>C67-C70</f>
        <v/>
      </c>
      <c r="D71" s="27">
        <f>D67-D70</f>
        <v/>
      </c>
      <c r="E71" s="27">
        <f>E67-E70</f>
        <v/>
      </c>
      <c r="F71" s="27">
        <f>F67-F70</f>
        <v/>
      </c>
      <c r="G71" s="27">
        <f>G67-G70</f>
        <v/>
      </c>
      <c r="H71" s="27">
        <f>H67-H70</f>
        <v/>
      </c>
      <c r="I71" s="27">
        <f>I67-I70</f>
        <v/>
      </c>
      <c r="J71" s="27">
        <f>J67-J70</f>
        <v/>
      </c>
      <c r="K71" s="27">
        <f>K67-K70</f>
        <v/>
      </c>
      <c r="L71" s="27">
        <f>L67-L70</f>
        <v/>
      </c>
      <c r="M71" s="27">
        <f>M67-M70</f>
        <v/>
      </c>
      <c r="N71" s="27">
        <f>N67-N70</f>
        <v/>
      </c>
      <c r="O71" s="27">
        <f>O67-O70</f>
        <v/>
      </c>
      <c r="P71" s="27">
        <f>P67-P70</f>
        <v/>
      </c>
      <c r="Q71" s="27">
        <f>Q67-Q70</f>
        <v/>
      </c>
      <c r="R71" s="27">
        <f>R67-R70</f>
        <v/>
      </c>
      <c r="S71" s="27">
        <f>S67-S70</f>
        <v/>
      </c>
      <c r="T71" s="27">
        <f>T67-T70</f>
        <v/>
      </c>
      <c r="U71" s="27">
        <f>U67-U70</f>
        <v/>
      </c>
      <c r="V71" s="27">
        <f>V67-V70</f>
        <v/>
      </c>
      <c r="W71" s="27">
        <f>W67-W70</f>
        <v/>
      </c>
      <c r="X71" s="27">
        <f>X67-X70</f>
        <v/>
      </c>
      <c r="Y71" s="27">
        <f>Y67-Y70</f>
        <v/>
      </c>
      <c r="Z71" s="27">
        <f>Z67-Z70</f>
        <v/>
      </c>
      <c r="AA71" s="27">
        <f>AA67-AA70</f>
        <v/>
      </c>
      <c r="AB71" s="27">
        <f>AB67-AB70</f>
        <v/>
      </c>
      <c r="AC71" s="27">
        <f>AC67-AC70</f>
        <v/>
      </c>
      <c r="AD71" s="27">
        <f>AD67-AD70</f>
        <v/>
      </c>
      <c r="AE71" s="27">
        <f>AE67-AE70</f>
        <v/>
      </c>
      <c r="AF71" s="27">
        <f>AF67-AF70</f>
        <v/>
      </c>
      <c r="AG71" s="27">
        <f>AG67-AG70</f>
        <v/>
      </c>
      <c r="AH71" s="27">
        <f>AH67-AH70</f>
        <v/>
      </c>
      <c r="AI71" s="27">
        <f>AI67-AI70</f>
        <v/>
      </c>
      <c r="AJ71" s="27">
        <f>AJ67-AJ70</f>
        <v/>
      </c>
      <c r="AK71" s="27">
        <f>AK67-AK70</f>
        <v/>
      </c>
      <c r="AL71" s="27">
        <f>AL67-AL70</f>
        <v/>
      </c>
      <c r="AM71" s="27">
        <f>AM67-AM70</f>
        <v/>
      </c>
      <c r="AN71" s="27">
        <f>AN67-AN70</f>
        <v/>
      </c>
      <c r="AO71" s="27">
        <f>AO67-AO70</f>
        <v/>
      </c>
      <c r="AP71" s="27">
        <f>AP67-AP70</f>
        <v/>
      </c>
      <c r="AQ71" s="27">
        <f>AQ67-AQ70</f>
        <v/>
      </c>
      <c r="AR71" s="27">
        <f>AR67-AR70</f>
        <v/>
      </c>
      <c r="AS71" s="27">
        <f>AS67-AS70</f>
        <v/>
      </c>
      <c r="AT71" s="27">
        <f>AT67-AT70</f>
        <v/>
      </c>
      <c r="AU71" s="27">
        <f>AU67-AU70</f>
        <v/>
      </c>
      <c r="AV71" s="27">
        <f>AV67-AV70</f>
        <v/>
      </c>
      <c r="AW71" s="27">
        <f>AW67-AW70</f>
        <v/>
      </c>
      <c r="AX71" s="27">
        <f>AX67-AX70</f>
        <v/>
      </c>
      <c r="AY71" s="27">
        <f>AY67-AY70</f>
        <v/>
      </c>
      <c r="AZ71" s="27">
        <f>AZ67-AZ70</f>
        <v/>
      </c>
      <c r="BA71" s="27">
        <f>BA67-BA70</f>
        <v/>
      </c>
      <c r="BB71" s="27">
        <f>BB67-BB70</f>
        <v/>
      </c>
    </row>
    <row r="72">
      <c r="A72" s="36" t="inlineStr">
        <is>
          <t>Wholesale — weekly ceiling</t>
        </is>
      </c>
      <c r="B72" s="4" t="inlineStr">
        <is>
          <t>lb</t>
        </is>
      </c>
      <c r="C72" s="37">
        <f>IF($C$24="Annual",$D$24,IF(AND(C$37&gt;=$E$24,C$37&lt;=$F$24),$D$24,0))</f>
        <v/>
      </c>
      <c r="D72" s="37">
        <f>IF($C$24="Annual",$D$24,IF(AND(D$37&gt;=$E$24,D$37&lt;=$F$24),$D$24,0))</f>
        <v/>
      </c>
      <c r="E72" s="37">
        <f>IF($C$24="Annual",$D$24,IF(AND(E$37&gt;=$E$24,E$37&lt;=$F$24),$D$24,0))</f>
        <v/>
      </c>
      <c r="F72" s="37">
        <f>IF($C$24="Annual",$D$24,IF(AND(F$37&gt;=$E$24,F$37&lt;=$F$24),$D$24,0))</f>
        <v/>
      </c>
      <c r="G72" s="37">
        <f>IF($C$24="Annual",$D$24,IF(AND(G$37&gt;=$E$24,G$37&lt;=$F$24),$D$24,0))</f>
        <v/>
      </c>
      <c r="H72" s="37">
        <f>IF($C$24="Annual",$D$24,IF(AND(H$37&gt;=$E$24,H$37&lt;=$F$24),$D$24,0))</f>
        <v/>
      </c>
      <c r="I72" s="37">
        <f>IF($C$24="Annual",$D$24,IF(AND(I$37&gt;=$E$24,I$37&lt;=$F$24),$D$24,0))</f>
        <v/>
      </c>
      <c r="J72" s="37">
        <f>IF($C$24="Annual",$D$24,IF(AND(J$37&gt;=$E$24,J$37&lt;=$F$24),$D$24,0))</f>
        <v/>
      </c>
      <c r="K72" s="37">
        <f>IF($C$24="Annual",$D$24,IF(AND(K$37&gt;=$E$24,K$37&lt;=$F$24),$D$24,0))</f>
        <v/>
      </c>
      <c r="L72" s="37">
        <f>IF($C$24="Annual",$D$24,IF(AND(L$37&gt;=$E$24,L$37&lt;=$F$24),$D$24,0))</f>
        <v/>
      </c>
      <c r="M72" s="37">
        <f>IF($C$24="Annual",$D$24,IF(AND(M$37&gt;=$E$24,M$37&lt;=$F$24),$D$24,0))</f>
        <v/>
      </c>
      <c r="N72" s="37">
        <f>IF($C$24="Annual",$D$24,IF(AND(N$37&gt;=$E$24,N$37&lt;=$F$24),$D$24,0))</f>
        <v/>
      </c>
      <c r="O72" s="37">
        <f>IF($C$24="Annual",$D$24,IF(AND(O$37&gt;=$E$24,O$37&lt;=$F$24),$D$24,0))</f>
        <v/>
      </c>
      <c r="P72" s="37">
        <f>IF($C$24="Annual",$D$24,IF(AND(P$37&gt;=$E$24,P$37&lt;=$F$24),$D$24,0))</f>
        <v/>
      </c>
      <c r="Q72" s="37">
        <f>IF($C$24="Annual",$D$24,IF(AND(Q$37&gt;=$E$24,Q$37&lt;=$F$24),$D$24,0))</f>
        <v/>
      </c>
      <c r="R72" s="37">
        <f>IF($C$24="Annual",$D$24,IF(AND(R$37&gt;=$E$24,R$37&lt;=$F$24),$D$24,0))</f>
        <v/>
      </c>
      <c r="S72" s="37">
        <f>IF($C$24="Annual",$D$24,IF(AND(S$37&gt;=$E$24,S$37&lt;=$F$24),$D$24,0))</f>
        <v/>
      </c>
      <c r="T72" s="37">
        <f>IF($C$24="Annual",$D$24,IF(AND(T$37&gt;=$E$24,T$37&lt;=$F$24),$D$24,0))</f>
        <v/>
      </c>
      <c r="U72" s="37">
        <f>IF($C$24="Annual",$D$24,IF(AND(U$37&gt;=$E$24,U$37&lt;=$F$24),$D$24,0))</f>
        <v/>
      </c>
      <c r="V72" s="37">
        <f>IF($C$24="Annual",$D$24,IF(AND(V$37&gt;=$E$24,V$37&lt;=$F$24),$D$24,0))</f>
        <v/>
      </c>
      <c r="W72" s="37">
        <f>IF($C$24="Annual",$D$24,IF(AND(W$37&gt;=$E$24,W$37&lt;=$F$24),$D$24,0))</f>
        <v/>
      </c>
      <c r="X72" s="37">
        <f>IF($C$24="Annual",$D$24,IF(AND(X$37&gt;=$E$24,X$37&lt;=$F$24),$D$24,0))</f>
        <v/>
      </c>
      <c r="Y72" s="37">
        <f>IF($C$24="Annual",$D$24,IF(AND(Y$37&gt;=$E$24,Y$37&lt;=$F$24),$D$24,0))</f>
        <v/>
      </c>
      <c r="Z72" s="37">
        <f>IF($C$24="Annual",$D$24,IF(AND(Z$37&gt;=$E$24,Z$37&lt;=$F$24),$D$24,0))</f>
        <v/>
      </c>
      <c r="AA72" s="37">
        <f>IF($C$24="Annual",$D$24,IF(AND(AA$37&gt;=$E$24,AA$37&lt;=$F$24),$D$24,0))</f>
        <v/>
      </c>
      <c r="AB72" s="37">
        <f>IF($C$24="Annual",$D$24,IF(AND(AB$37&gt;=$E$24,AB$37&lt;=$F$24),$D$24,0))</f>
        <v/>
      </c>
      <c r="AC72" s="37">
        <f>IF($C$24="Annual",$D$24,IF(AND(AC$37&gt;=$E$24,AC$37&lt;=$F$24),$D$24,0))</f>
        <v/>
      </c>
      <c r="AD72" s="37">
        <f>IF($C$24="Annual",$D$24,IF(AND(AD$37&gt;=$E$24,AD$37&lt;=$F$24),$D$24,0))</f>
        <v/>
      </c>
      <c r="AE72" s="37">
        <f>IF($C$24="Annual",$D$24,IF(AND(AE$37&gt;=$E$24,AE$37&lt;=$F$24),$D$24,0))</f>
        <v/>
      </c>
      <c r="AF72" s="37">
        <f>IF($C$24="Annual",$D$24,IF(AND(AF$37&gt;=$E$24,AF$37&lt;=$F$24),$D$24,0))</f>
        <v/>
      </c>
      <c r="AG72" s="37">
        <f>IF($C$24="Annual",$D$24,IF(AND(AG$37&gt;=$E$24,AG$37&lt;=$F$24),$D$24,0))</f>
        <v/>
      </c>
      <c r="AH72" s="37">
        <f>IF($C$24="Annual",$D$24,IF(AND(AH$37&gt;=$E$24,AH$37&lt;=$F$24),$D$24,0))</f>
        <v/>
      </c>
      <c r="AI72" s="37">
        <f>IF($C$24="Annual",$D$24,IF(AND(AI$37&gt;=$E$24,AI$37&lt;=$F$24),$D$24,0))</f>
        <v/>
      </c>
      <c r="AJ72" s="37">
        <f>IF($C$24="Annual",$D$24,IF(AND(AJ$37&gt;=$E$24,AJ$37&lt;=$F$24),$D$24,0))</f>
        <v/>
      </c>
      <c r="AK72" s="37">
        <f>IF($C$24="Annual",$D$24,IF(AND(AK$37&gt;=$E$24,AK$37&lt;=$F$24),$D$24,0))</f>
        <v/>
      </c>
      <c r="AL72" s="37">
        <f>IF($C$24="Annual",$D$24,IF(AND(AL$37&gt;=$E$24,AL$37&lt;=$F$24),$D$24,0))</f>
        <v/>
      </c>
      <c r="AM72" s="37">
        <f>IF($C$24="Annual",$D$24,IF(AND(AM$37&gt;=$E$24,AM$37&lt;=$F$24),$D$24,0))</f>
        <v/>
      </c>
      <c r="AN72" s="37">
        <f>IF($C$24="Annual",$D$24,IF(AND(AN$37&gt;=$E$24,AN$37&lt;=$F$24),$D$24,0))</f>
        <v/>
      </c>
      <c r="AO72" s="37">
        <f>IF($C$24="Annual",$D$24,IF(AND(AO$37&gt;=$E$24,AO$37&lt;=$F$24),$D$24,0))</f>
        <v/>
      </c>
      <c r="AP72" s="37">
        <f>IF($C$24="Annual",$D$24,IF(AND(AP$37&gt;=$E$24,AP$37&lt;=$F$24),$D$24,0))</f>
        <v/>
      </c>
      <c r="AQ72" s="37">
        <f>IF($C$24="Annual",$D$24,IF(AND(AQ$37&gt;=$E$24,AQ$37&lt;=$F$24),$D$24,0))</f>
        <v/>
      </c>
      <c r="AR72" s="37">
        <f>IF($C$24="Annual",$D$24,IF(AND(AR$37&gt;=$E$24,AR$37&lt;=$F$24),$D$24,0))</f>
        <v/>
      </c>
      <c r="AS72" s="37">
        <f>IF($C$24="Annual",$D$24,IF(AND(AS$37&gt;=$E$24,AS$37&lt;=$F$24),$D$24,0))</f>
        <v/>
      </c>
      <c r="AT72" s="37">
        <f>IF($C$24="Annual",$D$24,IF(AND(AT$37&gt;=$E$24,AT$37&lt;=$F$24),$D$24,0))</f>
        <v/>
      </c>
      <c r="AU72" s="37">
        <f>IF($C$24="Annual",$D$24,IF(AND(AU$37&gt;=$E$24,AU$37&lt;=$F$24),$D$24,0))</f>
        <v/>
      </c>
      <c r="AV72" s="37">
        <f>IF($C$24="Annual",$D$24,IF(AND(AV$37&gt;=$E$24,AV$37&lt;=$F$24),$D$24,0))</f>
        <v/>
      </c>
      <c r="AW72" s="37">
        <f>IF($C$24="Annual",$D$24,IF(AND(AW$37&gt;=$E$24,AW$37&lt;=$F$24),$D$24,0))</f>
        <v/>
      </c>
      <c r="AX72" s="37">
        <f>IF($C$24="Annual",$D$24,IF(AND(AX$37&gt;=$E$24,AX$37&lt;=$F$24),$D$24,0))</f>
        <v/>
      </c>
      <c r="AY72" s="37">
        <f>IF($C$24="Annual",$D$24,IF(AND(AY$37&gt;=$E$24,AY$37&lt;=$F$24),$D$24,0))</f>
        <v/>
      </c>
      <c r="AZ72" s="37">
        <f>IF($C$24="Annual",$D$24,IF(AND(AZ$37&gt;=$E$24,AZ$37&lt;=$F$24),$D$24,0))</f>
        <v/>
      </c>
      <c r="BA72" s="37">
        <f>IF($C$24="Annual",$D$24,IF(AND(BA$37&gt;=$E$24,BA$37&lt;=$F$24),$D$24,0))</f>
        <v/>
      </c>
      <c r="BB72" s="37">
        <f>IF($C$24="Annual",$D$24,IF(AND(BB$37&gt;=$E$24,BB$37&lt;=$F$24),$D$24,0))</f>
        <v/>
      </c>
    </row>
    <row r="73">
      <c r="A73" s="33" t="inlineStr">
        <is>
          <t>Wholesale — OFFERED</t>
        </is>
      </c>
      <c r="B73" s="4" t="inlineStr">
        <is>
          <t>lb  &lt;-- SOLVER</t>
        </is>
      </c>
      <c r="C73" s="34" t="n">
        <v>0</v>
      </c>
      <c r="D73" s="34" t="n">
        <v>0</v>
      </c>
      <c r="E73" s="34" t="n">
        <v>0</v>
      </c>
      <c r="F73" s="34" t="n">
        <v>0</v>
      </c>
      <c r="G73" s="34" t="n">
        <v>0</v>
      </c>
      <c r="H73" s="34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34" t="n">
        <v>0</v>
      </c>
      <c r="O73" s="34" t="n">
        <v>0</v>
      </c>
      <c r="P73" s="34" t="n">
        <v>0</v>
      </c>
      <c r="Q73" s="34" t="n">
        <v>0</v>
      </c>
      <c r="R73" s="34" t="n">
        <v>0</v>
      </c>
      <c r="S73" s="34" t="n">
        <v>0</v>
      </c>
      <c r="T73" s="34" t="n">
        <v>0</v>
      </c>
      <c r="U73" s="34" t="n">
        <v>0</v>
      </c>
      <c r="V73" s="34" t="n">
        <v>0</v>
      </c>
      <c r="W73" s="34" t="n">
        <v>0</v>
      </c>
      <c r="X73" s="34" t="n">
        <v>0</v>
      </c>
      <c r="Y73" s="34" t="n">
        <v>0</v>
      </c>
      <c r="Z73" s="34" t="n">
        <v>0</v>
      </c>
      <c r="AA73" s="34" t="n">
        <v>0</v>
      </c>
      <c r="AB73" s="34" t="n">
        <v>0</v>
      </c>
      <c r="AC73" s="34" t="n">
        <v>0</v>
      </c>
      <c r="AD73" s="34" t="n">
        <v>0</v>
      </c>
      <c r="AE73" s="34" t="n">
        <v>0</v>
      </c>
      <c r="AF73" s="34" t="n">
        <v>0</v>
      </c>
      <c r="AG73" s="34" t="n">
        <v>0</v>
      </c>
      <c r="AH73" s="34" t="n">
        <v>0</v>
      </c>
      <c r="AI73" s="34" t="n">
        <v>0</v>
      </c>
      <c r="AJ73" s="34" t="n">
        <v>0</v>
      </c>
      <c r="AK73" s="34" t="n">
        <v>0</v>
      </c>
      <c r="AL73" s="34" t="n">
        <v>0</v>
      </c>
      <c r="AM73" s="34" t="n">
        <v>0</v>
      </c>
      <c r="AN73" s="34" t="n">
        <v>0</v>
      </c>
      <c r="AO73" s="34" t="n">
        <v>0</v>
      </c>
      <c r="AP73" s="34" t="n">
        <v>0</v>
      </c>
      <c r="AQ73" s="34" t="n">
        <v>0</v>
      </c>
      <c r="AR73" s="34" t="n">
        <v>0</v>
      </c>
      <c r="AS73" s="34" t="n">
        <v>0</v>
      </c>
      <c r="AT73" s="34" t="n">
        <v>0</v>
      </c>
      <c r="AU73" s="34" t="n">
        <v>0</v>
      </c>
      <c r="AV73" s="34" t="n">
        <v>0</v>
      </c>
      <c r="AW73" s="34" t="n">
        <v>0</v>
      </c>
      <c r="AX73" s="34" t="n">
        <v>0</v>
      </c>
      <c r="AY73" s="34" t="n">
        <v>0</v>
      </c>
      <c r="AZ73" s="34" t="n">
        <v>0</v>
      </c>
      <c r="BA73" s="34" t="n">
        <v>0</v>
      </c>
      <c r="BB73" s="34" t="n">
        <v>0</v>
      </c>
    </row>
    <row r="74">
      <c r="A74" s="38" t="inlineStr">
        <is>
          <t>Wholesale — SOLD</t>
        </is>
      </c>
      <c r="B74" s="4" t="inlineStr">
        <is>
          <t>lb</t>
        </is>
      </c>
      <c r="C74" s="37">
        <f>C73*$G$24</f>
        <v/>
      </c>
      <c r="D74" s="37">
        <f>D73*$G$24</f>
        <v/>
      </c>
      <c r="E74" s="37">
        <f>E73*$G$24</f>
        <v/>
      </c>
      <c r="F74" s="37">
        <f>F73*$G$24</f>
        <v/>
      </c>
      <c r="G74" s="37">
        <f>G73*$G$24</f>
        <v/>
      </c>
      <c r="H74" s="37">
        <f>H73*$G$24</f>
        <v/>
      </c>
      <c r="I74" s="37">
        <f>I73*$G$24</f>
        <v/>
      </c>
      <c r="J74" s="37">
        <f>J73*$G$24</f>
        <v/>
      </c>
      <c r="K74" s="37">
        <f>K73*$G$24</f>
        <v/>
      </c>
      <c r="L74" s="37">
        <f>L73*$G$24</f>
        <v/>
      </c>
      <c r="M74" s="37">
        <f>M73*$G$24</f>
        <v/>
      </c>
      <c r="N74" s="37">
        <f>N73*$G$24</f>
        <v/>
      </c>
      <c r="O74" s="37">
        <f>O73*$G$24</f>
        <v/>
      </c>
      <c r="P74" s="37">
        <f>P73*$G$24</f>
        <v/>
      </c>
      <c r="Q74" s="37">
        <f>Q73*$G$24</f>
        <v/>
      </c>
      <c r="R74" s="37">
        <f>R73*$G$24</f>
        <v/>
      </c>
      <c r="S74" s="37">
        <f>S73*$G$24</f>
        <v/>
      </c>
      <c r="T74" s="37">
        <f>T73*$G$24</f>
        <v/>
      </c>
      <c r="U74" s="37">
        <f>U73*$G$24</f>
        <v/>
      </c>
      <c r="V74" s="37">
        <f>V73*$G$24</f>
        <v/>
      </c>
      <c r="W74" s="37">
        <f>W73*$G$24</f>
        <v/>
      </c>
      <c r="X74" s="37">
        <f>X73*$G$24</f>
        <v/>
      </c>
      <c r="Y74" s="37">
        <f>Y73*$G$24</f>
        <v/>
      </c>
      <c r="Z74" s="37">
        <f>Z73*$G$24</f>
        <v/>
      </c>
      <c r="AA74" s="37">
        <f>AA73*$G$24</f>
        <v/>
      </c>
      <c r="AB74" s="37">
        <f>AB73*$G$24</f>
        <v/>
      </c>
      <c r="AC74" s="37">
        <f>AC73*$G$24</f>
        <v/>
      </c>
      <c r="AD74" s="37">
        <f>AD73*$G$24</f>
        <v/>
      </c>
      <c r="AE74" s="37">
        <f>AE73*$G$24</f>
        <v/>
      </c>
      <c r="AF74" s="37">
        <f>AF73*$G$24</f>
        <v/>
      </c>
      <c r="AG74" s="37">
        <f>AG73*$G$24</f>
        <v/>
      </c>
      <c r="AH74" s="37">
        <f>AH73*$G$24</f>
        <v/>
      </c>
      <c r="AI74" s="37">
        <f>AI73*$G$24</f>
        <v/>
      </c>
      <c r="AJ74" s="37">
        <f>AJ73*$G$24</f>
        <v/>
      </c>
      <c r="AK74" s="37">
        <f>AK73*$G$24</f>
        <v/>
      </c>
      <c r="AL74" s="37">
        <f>AL73*$G$24</f>
        <v/>
      </c>
      <c r="AM74" s="37">
        <f>AM73*$G$24</f>
        <v/>
      </c>
      <c r="AN74" s="37">
        <f>AN73*$G$24</f>
        <v/>
      </c>
      <c r="AO74" s="37">
        <f>AO73*$G$24</f>
        <v/>
      </c>
      <c r="AP74" s="37">
        <f>AP73*$G$24</f>
        <v/>
      </c>
      <c r="AQ74" s="37">
        <f>AQ73*$G$24</f>
        <v/>
      </c>
      <c r="AR74" s="37">
        <f>AR73*$G$24</f>
        <v/>
      </c>
      <c r="AS74" s="37">
        <f>AS73*$G$24</f>
        <v/>
      </c>
      <c r="AT74" s="37">
        <f>AT73*$G$24</f>
        <v/>
      </c>
      <c r="AU74" s="37">
        <f>AU73*$G$24</f>
        <v/>
      </c>
      <c r="AV74" s="37">
        <f>AV73*$G$24</f>
        <v/>
      </c>
      <c r="AW74" s="37">
        <f>AW73*$G$24</f>
        <v/>
      </c>
      <c r="AX74" s="37">
        <f>AX73*$G$24</f>
        <v/>
      </c>
      <c r="AY74" s="37">
        <f>AY73*$G$24</f>
        <v/>
      </c>
      <c r="AZ74" s="37">
        <f>AZ73*$G$24</f>
        <v/>
      </c>
      <c r="BA74" s="37">
        <f>BA73*$G$24</f>
        <v/>
      </c>
      <c r="BB74" s="37">
        <f>BB73*$G$24</f>
        <v/>
      </c>
    </row>
    <row r="75">
      <c r="A75" s="25" t="inlineStr">
        <is>
          <t xml:space="preserve">   market loss (gone)</t>
        </is>
      </c>
      <c r="B75" s="4" t="inlineStr">
        <is>
          <t>lb</t>
        </is>
      </c>
      <c r="C75" s="27">
        <f>(C73-C74)*(1-$H$24)</f>
        <v/>
      </c>
      <c r="D75" s="27">
        <f>(D73-D74)*(1-$H$24)</f>
        <v/>
      </c>
      <c r="E75" s="27">
        <f>(E73-E74)*(1-$H$24)</f>
        <v/>
      </c>
      <c r="F75" s="27">
        <f>(F73-F74)*(1-$H$24)</f>
        <v/>
      </c>
      <c r="G75" s="27">
        <f>(G73-G74)*(1-$H$24)</f>
        <v/>
      </c>
      <c r="H75" s="27">
        <f>(H73-H74)*(1-$H$24)</f>
        <v/>
      </c>
      <c r="I75" s="27">
        <f>(I73-I74)*(1-$H$24)</f>
        <v/>
      </c>
      <c r="J75" s="27">
        <f>(J73-J74)*(1-$H$24)</f>
        <v/>
      </c>
      <c r="K75" s="27">
        <f>(K73-K74)*(1-$H$24)</f>
        <v/>
      </c>
      <c r="L75" s="27">
        <f>(L73-L74)*(1-$H$24)</f>
        <v/>
      </c>
      <c r="M75" s="27">
        <f>(M73-M74)*(1-$H$24)</f>
        <v/>
      </c>
      <c r="N75" s="27">
        <f>(N73-N74)*(1-$H$24)</f>
        <v/>
      </c>
      <c r="O75" s="27">
        <f>(O73-O74)*(1-$H$24)</f>
        <v/>
      </c>
      <c r="P75" s="27">
        <f>(P73-P74)*(1-$H$24)</f>
        <v/>
      </c>
      <c r="Q75" s="27">
        <f>(Q73-Q74)*(1-$H$24)</f>
        <v/>
      </c>
      <c r="R75" s="27">
        <f>(R73-R74)*(1-$H$24)</f>
        <v/>
      </c>
      <c r="S75" s="27">
        <f>(S73-S74)*(1-$H$24)</f>
        <v/>
      </c>
      <c r="T75" s="27">
        <f>(T73-T74)*(1-$H$24)</f>
        <v/>
      </c>
      <c r="U75" s="27">
        <f>(U73-U74)*(1-$H$24)</f>
        <v/>
      </c>
      <c r="V75" s="27">
        <f>(V73-V74)*(1-$H$24)</f>
        <v/>
      </c>
      <c r="W75" s="27">
        <f>(W73-W74)*(1-$H$24)</f>
        <v/>
      </c>
      <c r="X75" s="27">
        <f>(X73-X74)*(1-$H$24)</f>
        <v/>
      </c>
      <c r="Y75" s="27">
        <f>(Y73-Y74)*(1-$H$24)</f>
        <v/>
      </c>
      <c r="Z75" s="27">
        <f>(Z73-Z74)*(1-$H$24)</f>
        <v/>
      </c>
      <c r="AA75" s="27">
        <f>(AA73-AA74)*(1-$H$24)</f>
        <v/>
      </c>
      <c r="AB75" s="27">
        <f>(AB73-AB74)*(1-$H$24)</f>
        <v/>
      </c>
      <c r="AC75" s="27">
        <f>(AC73-AC74)*(1-$H$24)</f>
        <v/>
      </c>
      <c r="AD75" s="27">
        <f>(AD73-AD74)*(1-$H$24)</f>
        <v/>
      </c>
      <c r="AE75" s="27">
        <f>(AE73-AE74)*(1-$H$24)</f>
        <v/>
      </c>
      <c r="AF75" s="27">
        <f>(AF73-AF74)*(1-$H$24)</f>
        <v/>
      </c>
      <c r="AG75" s="27">
        <f>(AG73-AG74)*(1-$H$24)</f>
        <v/>
      </c>
      <c r="AH75" s="27">
        <f>(AH73-AH74)*(1-$H$24)</f>
        <v/>
      </c>
      <c r="AI75" s="27">
        <f>(AI73-AI74)*(1-$H$24)</f>
        <v/>
      </c>
      <c r="AJ75" s="27">
        <f>(AJ73-AJ74)*(1-$H$24)</f>
        <v/>
      </c>
      <c r="AK75" s="27">
        <f>(AK73-AK74)*(1-$H$24)</f>
        <v/>
      </c>
      <c r="AL75" s="27">
        <f>(AL73-AL74)*(1-$H$24)</f>
        <v/>
      </c>
      <c r="AM75" s="27">
        <f>(AM73-AM74)*(1-$H$24)</f>
        <v/>
      </c>
      <c r="AN75" s="27">
        <f>(AN73-AN74)*(1-$H$24)</f>
        <v/>
      </c>
      <c r="AO75" s="27">
        <f>(AO73-AO74)*(1-$H$24)</f>
        <v/>
      </c>
      <c r="AP75" s="27">
        <f>(AP73-AP74)*(1-$H$24)</f>
        <v/>
      </c>
      <c r="AQ75" s="27">
        <f>(AQ73-AQ74)*(1-$H$24)</f>
        <v/>
      </c>
      <c r="AR75" s="27">
        <f>(AR73-AR74)*(1-$H$24)</f>
        <v/>
      </c>
      <c r="AS75" s="27">
        <f>(AS73-AS74)*(1-$H$24)</f>
        <v/>
      </c>
      <c r="AT75" s="27">
        <f>(AT73-AT74)*(1-$H$24)</f>
        <v/>
      </c>
      <c r="AU75" s="27">
        <f>(AU73-AU74)*(1-$H$24)</f>
        <v/>
      </c>
      <c r="AV75" s="27">
        <f>(AV73-AV74)*(1-$H$24)</f>
        <v/>
      </c>
      <c r="AW75" s="27">
        <f>(AW73-AW74)*(1-$H$24)</f>
        <v/>
      </c>
      <c r="AX75" s="27">
        <f>(AX73-AX74)*(1-$H$24)</f>
        <v/>
      </c>
      <c r="AY75" s="27">
        <f>(AY73-AY74)*(1-$H$24)</f>
        <v/>
      </c>
      <c r="AZ75" s="27">
        <f>(AZ73-AZ74)*(1-$H$24)</f>
        <v/>
      </c>
      <c r="BA75" s="27">
        <f>(BA73-BA74)*(1-$H$24)</f>
        <v/>
      </c>
      <c r="BB75" s="27">
        <f>(BB73-BB74)*(1-$H$24)</f>
        <v/>
      </c>
    </row>
    <row r="76">
      <c r="A76" s="25" t="inlineStr">
        <is>
          <t xml:space="preserve">   returned to store</t>
        </is>
      </c>
      <c r="B76" s="4" t="inlineStr">
        <is>
          <t>lb</t>
        </is>
      </c>
      <c r="C76" s="27">
        <f>(C73-C74)*$H$24</f>
        <v/>
      </c>
      <c r="D76" s="27">
        <f>(D73-D74)*$H$24</f>
        <v/>
      </c>
      <c r="E76" s="27">
        <f>(E73-E74)*$H$24</f>
        <v/>
      </c>
      <c r="F76" s="27">
        <f>(F73-F74)*$H$24</f>
        <v/>
      </c>
      <c r="G76" s="27">
        <f>(G73-G74)*$H$24</f>
        <v/>
      </c>
      <c r="H76" s="27">
        <f>(H73-H74)*$H$24</f>
        <v/>
      </c>
      <c r="I76" s="27">
        <f>(I73-I74)*$H$24</f>
        <v/>
      </c>
      <c r="J76" s="27">
        <f>(J73-J74)*$H$24</f>
        <v/>
      </c>
      <c r="K76" s="27">
        <f>(K73-K74)*$H$24</f>
        <v/>
      </c>
      <c r="L76" s="27">
        <f>(L73-L74)*$H$24</f>
        <v/>
      </c>
      <c r="M76" s="27">
        <f>(M73-M74)*$H$24</f>
        <v/>
      </c>
      <c r="N76" s="27">
        <f>(N73-N74)*$H$24</f>
        <v/>
      </c>
      <c r="O76" s="27">
        <f>(O73-O74)*$H$24</f>
        <v/>
      </c>
      <c r="P76" s="27">
        <f>(P73-P74)*$H$24</f>
        <v/>
      </c>
      <c r="Q76" s="27">
        <f>(Q73-Q74)*$H$24</f>
        <v/>
      </c>
      <c r="R76" s="27">
        <f>(R73-R74)*$H$24</f>
        <v/>
      </c>
      <c r="S76" s="27">
        <f>(S73-S74)*$H$24</f>
        <v/>
      </c>
      <c r="T76" s="27">
        <f>(T73-T74)*$H$24</f>
        <v/>
      </c>
      <c r="U76" s="27">
        <f>(U73-U74)*$H$24</f>
        <v/>
      </c>
      <c r="V76" s="27">
        <f>(V73-V74)*$H$24</f>
        <v/>
      </c>
      <c r="W76" s="27">
        <f>(W73-W74)*$H$24</f>
        <v/>
      </c>
      <c r="X76" s="27">
        <f>(X73-X74)*$H$24</f>
        <v/>
      </c>
      <c r="Y76" s="27">
        <f>(Y73-Y74)*$H$24</f>
        <v/>
      </c>
      <c r="Z76" s="27">
        <f>(Z73-Z74)*$H$24</f>
        <v/>
      </c>
      <c r="AA76" s="27">
        <f>(AA73-AA74)*$H$24</f>
        <v/>
      </c>
      <c r="AB76" s="27">
        <f>(AB73-AB74)*$H$24</f>
        <v/>
      </c>
      <c r="AC76" s="27">
        <f>(AC73-AC74)*$H$24</f>
        <v/>
      </c>
      <c r="AD76" s="27">
        <f>(AD73-AD74)*$H$24</f>
        <v/>
      </c>
      <c r="AE76" s="27">
        <f>(AE73-AE74)*$H$24</f>
        <v/>
      </c>
      <c r="AF76" s="27">
        <f>(AF73-AF74)*$H$24</f>
        <v/>
      </c>
      <c r="AG76" s="27">
        <f>(AG73-AG74)*$H$24</f>
        <v/>
      </c>
      <c r="AH76" s="27">
        <f>(AH73-AH74)*$H$24</f>
        <v/>
      </c>
      <c r="AI76" s="27">
        <f>(AI73-AI74)*$H$24</f>
        <v/>
      </c>
      <c r="AJ76" s="27">
        <f>(AJ73-AJ74)*$H$24</f>
        <v/>
      </c>
      <c r="AK76" s="27">
        <f>(AK73-AK74)*$H$24</f>
        <v/>
      </c>
      <c r="AL76" s="27">
        <f>(AL73-AL74)*$H$24</f>
        <v/>
      </c>
      <c r="AM76" s="27">
        <f>(AM73-AM74)*$H$24</f>
        <v/>
      </c>
      <c r="AN76" s="27">
        <f>(AN73-AN74)*$H$24</f>
        <v/>
      </c>
      <c r="AO76" s="27">
        <f>(AO73-AO74)*$H$24</f>
        <v/>
      </c>
      <c r="AP76" s="27">
        <f>(AP73-AP74)*$H$24</f>
        <v/>
      </c>
      <c r="AQ76" s="27">
        <f>(AQ73-AQ74)*$H$24</f>
        <v/>
      </c>
      <c r="AR76" s="27">
        <f>(AR73-AR74)*$H$24</f>
        <v/>
      </c>
      <c r="AS76" s="27">
        <f>(AS73-AS74)*$H$24</f>
        <v/>
      </c>
      <c r="AT76" s="27">
        <f>(AT73-AT74)*$H$24</f>
        <v/>
      </c>
      <c r="AU76" s="27">
        <f>(AU73-AU74)*$H$24</f>
        <v/>
      </c>
      <c r="AV76" s="27">
        <f>(AV73-AV74)*$H$24</f>
        <v/>
      </c>
      <c r="AW76" s="27">
        <f>(AW73-AW74)*$H$24</f>
        <v/>
      </c>
      <c r="AX76" s="27">
        <f>(AX73-AX74)*$H$24</f>
        <v/>
      </c>
      <c r="AY76" s="27">
        <f>(AY73-AY74)*$H$24</f>
        <v/>
      </c>
      <c r="AZ76" s="27">
        <f>(AZ73-AZ74)*$H$24</f>
        <v/>
      </c>
      <c r="BA76" s="27">
        <f>(BA73-BA74)*$H$24</f>
        <v/>
      </c>
      <c r="BB76" s="27">
        <f>(BB73-BB74)*$H$24</f>
        <v/>
      </c>
    </row>
    <row r="77">
      <c r="A77" s="25" t="inlineStr">
        <is>
          <t xml:space="preserve">   consumed from store</t>
        </is>
      </c>
      <c r="B77" s="4" t="inlineStr">
        <is>
          <t>lb</t>
        </is>
      </c>
      <c r="C77" s="27">
        <f>C73-C76</f>
        <v/>
      </c>
      <c r="D77" s="27">
        <f>D73-D76</f>
        <v/>
      </c>
      <c r="E77" s="27">
        <f>E73-E76</f>
        <v/>
      </c>
      <c r="F77" s="27">
        <f>F73-F76</f>
        <v/>
      </c>
      <c r="G77" s="27">
        <f>G73-G76</f>
        <v/>
      </c>
      <c r="H77" s="27">
        <f>H73-H76</f>
        <v/>
      </c>
      <c r="I77" s="27">
        <f>I73-I76</f>
        <v/>
      </c>
      <c r="J77" s="27">
        <f>J73-J76</f>
        <v/>
      </c>
      <c r="K77" s="27">
        <f>K73-K76</f>
        <v/>
      </c>
      <c r="L77" s="27">
        <f>L73-L76</f>
        <v/>
      </c>
      <c r="M77" s="27">
        <f>M73-M76</f>
        <v/>
      </c>
      <c r="N77" s="27">
        <f>N73-N76</f>
        <v/>
      </c>
      <c r="O77" s="27">
        <f>O73-O76</f>
        <v/>
      </c>
      <c r="P77" s="27">
        <f>P73-P76</f>
        <v/>
      </c>
      <c r="Q77" s="27">
        <f>Q73-Q76</f>
        <v/>
      </c>
      <c r="R77" s="27">
        <f>R73-R76</f>
        <v/>
      </c>
      <c r="S77" s="27">
        <f>S73-S76</f>
        <v/>
      </c>
      <c r="T77" s="27">
        <f>T73-T76</f>
        <v/>
      </c>
      <c r="U77" s="27">
        <f>U73-U76</f>
        <v/>
      </c>
      <c r="V77" s="27">
        <f>V73-V76</f>
        <v/>
      </c>
      <c r="W77" s="27">
        <f>W73-W76</f>
        <v/>
      </c>
      <c r="X77" s="27">
        <f>X73-X76</f>
        <v/>
      </c>
      <c r="Y77" s="27">
        <f>Y73-Y76</f>
        <v/>
      </c>
      <c r="Z77" s="27">
        <f>Z73-Z76</f>
        <v/>
      </c>
      <c r="AA77" s="27">
        <f>AA73-AA76</f>
        <v/>
      </c>
      <c r="AB77" s="27">
        <f>AB73-AB76</f>
        <v/>
      </c>
      <c r="AC77" s="27">
        <f>AC73-AC76</f>
        <v/>
      </c>
      <c r="AD77" s="27">
        <f>AD73-AD76</f>
        <v/>
      </c>
      <c r="AE77" s="27">
        <f>AE73-AE76</f>
        <v/>
      </c>
      <c r="AF77" s="27">
        <f>AF73-AF76</f>
        <v/>
      </c>
      <c r="AG77" s="27">
        <f>AG73-AG76</f>
        <v/>
      </c>
      <c r="AH77" s="27">
        <f>AH73-AH76</f>
        <v/>
      </c>
      <c r="AI77" s="27">
        <f>AI73-AI76</f>
        <v/>
      </c>
      <c r="AJ77" s="27">
        <f>AJ73-AJ76</f>
        <v/>
      </c>
      <c r="AK77" s="27">
        <f>AK73-AK76</f>
        <v/>
      </c>
      <c r="AL77" s="27">
        <f>AL73-AL76</f>
        <v/>
      </c>
      <c r="AM77" s="27">
        <f>AM73-AM76</f>
        <v/>
      </c>
      <c r="AN77" s="27">
        <f>AN73-AN76</f>
        <v/>
      </c>
      <c r="AO77" s="27">
        <f>AO73-AO76</f>
        <v/>
      </c>
      <c r="AP77" s="27">
        <f>AP73-AP76</f>
        <v/>
      </c>
      <c r="AQ77" s="27">
        <f>AQ73-AQ76</f>
        <v/>
      </c>
      <c r="AR77" s="27">
        <f>AR73-AR76</f>
        <v/>
      </c>
      <c r="AS77" s="27">
        <f>AS73-AS76</f>
        <v/>
      </c>
      <c r="AT77" s="27">
        <f>AT73-AT76</f>
        <v/>
      </c>
      <c r="AU77" s="27">
        <f>AU73-AU76</f>
        <v/>
      </c>
      <c r="AV77" s="27">
        <f>AV73-AV76</f>
        <v/>
      </c>
      <c r="AW77" s="27">
        <f>AW73-AW76</f>
        <v/>
      </c>
      <c r="AX77" s="27">
        <f>AX73-AX76</f>
        <v/>
      </c>
      <c r="AY77" s="27">
        <f>AY73-AY76</f>
        <v/>
      </c>
      <c r="AZ77" s="27">
        <f>AZ73-AZ76</f>
        <v/>
      </c>
      <c r="BA77" s="27">
        <f>BA73-BA76</f>
        <v/>
      </c>
      <c r="BB77" s="27">
        <f>BB73-BB76</f>
        <v/>
      </c>
    </row>
    <row r="78">
      <c r="A78" s="3" t="inlineStr">
        <is>
          <t>Stock carried out</t>
        </is>
      </c>
      <c r="B78" s="4" t="inlineStr">
        <is>
          <t>lb</t>
        </is>
      </c>
      <c r="C78" s="27">
        <f>C65-C71-C77</f>
        <v/>
      </c>
      <c r="D78" s="27">
        <f>D65-D71-D77</f>
        <v/>
      </c>
      <c r="E78" s="27">
        <f>E65-E71-E77</f>
        <v/>
      </c>
      <c r="F78" s="27">
        <f>F65-F71-F77</f>
        <v/>
      </c>
      <c r="G78" s="27">
        <f>G65-G71-G77</f>
        <v/>
      </c>
      <c r="H78" s="27">
        <f>H65-H71-H77</f>
        <v/>
      </c>
      <c r="I78" s="27">
        <f>I65-I71-I77</f>
        <v/>
      </c>
      <c r="J78" s="27">
        <f>J65-J71-J77</f>
        <v/>
      </c>
      <c r="K78" s="27">
        <f>K65-K71-K77</f>
        <v/>
      </c>
      <c r="L78" s="27">
        <f>L65-L71-L77</f>
        <v/>
      </c>
      <c r="M78" s="27">
        <f>M65-M71-M77</f>
        <v/>
      </c>
      <c r="N78" s="27">
        <f>N65-N71-N77</f>
        <v/>
      </c>
      <c r="O78" s="27">
        <f>O65-O71-O77</f>
        <v/>
      </c>
      <c r="P78" s="27">
        <f>P65-P71-P77</f>
        <v/>
      </c>
      <c r="Q78" s="27">
        <f>Q65-Q71-Q77</f>
        <v/>
      </c>
      <c r="R78" s="27">
        <f>R65-R71-R77</f>
        <v/>
      </c>
      <c r="S78" s="27">
        <f>S65-S71-S77</f>
        <v/>
      </c>
      <c r="T78" s="27">
        <f>T65-T71-T77</f>
        <v/>
      </c>
      <c r="U78" s="27">
        <f>U65-U71-U77</f>
        <v/>
      </c>
      <c r="V78" s="27">
        <f>V65-V71-V77</f>
        <v/>
      </c>
      <c r="W78" s="27">
        <f>W65-W71-W77</f>
        <v/>
      </c>
      <c r="X78" s="27">
        <f>X65-X71-X77</f>
        <v/>
      </c>
      <c r="Y78" s="27">
        <f>Y65-Y71-Y77</f>
        <v/>
      </c>
      <c r="Z78" s="27">
        <f>Z65-Z71-Z77</f>
        <v/>
      </c>
      <c r="AA78" s="27">
        <f>AA65-AA71-AA77</f>
        <v/>
      </c>
      <c r="AB78" s="27">
        <f>AB65-AB71-AB77</f>
        <v/>
      </c>
      <c r="AC78" s="27">
        <f>AC65-AC71-AC77</f>
        <v/>
      </c>
      <c r="AD78" s="27">
        <f>AD65-AD71-AD77</f>
        <v/>
      </c>
      <c r="AE78" s="27">
        <f>AE65-AE71-AE77</f>
        <v/>
      </c>
      <c r="AF78" s="27">
        <f>AF65-AF71-AF77</f>
        <v/>
      </c>
      <c r="AG78" s="27">
        <f>AG65-AG71-AG77</f>
        <v/>
      </c>
      <c r="AH78" s="27">
        <f>AH65-AH71-AH77</f>
        <v/>
      </c>
      <c r="AI78" s="27">
        <f>AI65-AI71-AI77</f>
        <v/>
      </c>
      <c r="AJ78" s="27">
        <f>AJ65-AJ71-AJ77</f>
        <v/>
      </c>
      <c r="AK78" s="27">
        <f>AK65-AK71-AK77</f>
        <v/>
      </c>
      <c r="AL78" s="27">
        <f>AL65-AL71-AL77</f>
        <v/>
      </c>
      <c r="AM78" s="27">
        <f>AM65-AM71-AM77</f>
        <v/>
      </c>
      <c r="AN78" s="27">
        <f>AN65-AN71-AN77</f>
        <v/>
      </c>
      <c r="AO78" s="27">
        <f>AO65-AO71-AO77</f>
        <v/>
      </c>
      <c r="AP78" s="27">
        <f>AP65-AP71-AP77</f>
        <v/>
      </c>
      <c r="AQ78" s="27">
        <f>AQ65-AQ71-AQ77</f>
        <v/>
      </c>
      <c r="AR78" s="27">
        <f>AR65-AR71-AR77</f>
        <v/>
      </c>
      <c r="AS78" s="27">
        <f>AS65-AS71-AS77</f>
        <v/>
      </c>
      <c r="AT78" s="27">
        <f>AT65-AT71-AT77</f>
        <v/>
      </c>
      <c r="AU78" s="27">
        <f>AU65-AU71-AU77</f>
        <v/>
      </c>
      <c r="AV78" s="27">
        <f>AV65-AV71-AV77</f>
        <v/>
      </c>
      <c r="AW78" s="27">
        <f>AW65-AW71-AW77</f>
        <v/>
      </c>
      <c r="AX78" s="27">
        <f>AX65-AX71-AX77</f>
        <v/>
      </c>
      <c r="AY78" s="27">
        <f>AY65-AY71-AY77</f>
        <v/>
      </c>
      <c r="AZ78" s="27">
        <f>AZ65-AZ71-AZ77</f>
        <v/>
      </c>
      <c r="BA78" s="27">
        <f>BA65-BA71-BA77</f>
        <v/>
      </c>
      <c r="BB78" s="27">
        <f>BB65-BB71-BB77</f>
        <v/>
      </c>
    </row>
    <row r="79">
      <c r="A79" s="3" t="inlineStr">
        <is>
          <t>ROOM OCCUPANCY</t>
        </is>
      </c>
      <c r="B79" s="4" t="inlineStr">
        <is>
          <t>m3</t>
        </is>
      </c>
      <c r="C79" s="39">
        <f>(C63+C62)*$D$16</f>
        <v/>
      </c>
      <c r="D79" s="39">
        <f>(D63+D62)*$D$16</f>
        <v/>
      </c>
      <c r="E79" s="39">
        <f>(E63+E62)*$D$16</f>
        <v/>
      </c>
      <c r="F79" s="39">
        <f>(F63+F62)*$D$16</f>
        <v/>
      </c>
      <c r="G79" s="39">
        <f>(G63+G62)*$D$16</f>
        <v/>
      </c>
      <c r="H79" s="39">
        <f>(H63+H62)*$D$16</f>
        <v/>
      </c>
      <c r="I79" s="39">
        <f>(I63+I62)*$D$16</f>
        <v/>
      </c>
      <c r="J79" s="39">
        <f>(J63+J62)*$D$16</f>
        <v/>
      </c>
      <c r="K79" s="39">
        <f>(K63+K62)*$D$16</f>
        <v/>
      </c>
      <c r="L79" s="39">
        <f>(L63+L62)*$D$16</f>
        <v/>
      </c>
      <c r="M79" s="39">
        <f>(M63+M62)*$D$16</f>
        <v/>
      </c>
      <c r="N79" s="39">
        <f>(N63+N62)*$D$16</f>
        <v/>
      </c>
      <c r="O79" s="39">
        <f>(O63+O62)*$D$16</f>
        <v/>
      </c>
      <c r="P79" s="39">
        <f>(P63+P62)*$D$16</f>
        <v/>
      </c>
      <c r="Q79" s="39">
        <f>(Q63+Q62)*$D$16</f>
        <v/>
      </c>
      <c r="R79" s="39">
        <f>(R63+R62)*$D$16</f>
        <v/>
      </c>
      <c r="S79" s="39">
        <f>(S63+S62)*$D$16</f>
        <v/>
      </c>
      <c r="T79" s="39">
        <f>(T63+T62)*$D$16</f>
        <v/>
      </c>
      <c r="U79" s="39">
        <f>(U63+U62)*$D$16</f>
        <v/>
      </c>
      <c r="V79" s="39">
        <f>(V63+V62)*$D$16</f>
        <v/>
      </c>
      <c r="W79" s="39">
        <f>(W63+W62)*$D$16</f>
        <v/>
      </c>
      <c r="X79" s="39">
        <f>(X63+X62)*$D$16</f>
        <v/>
      </c>
      <c r="Y79" s="39">
        <f>(Y63+Y62)*$D$16</f>
        <v/>
      </c>
      <c r="Z79" s="39">
        <f>(Z63+Z62)*$D$16</f>
        <v/>
      </c>
      <c r="AA79" s="39">
        <f>(AA63+AA62)*$D$16</f>
        <v/>
      </c>
      <c r="AB79" s="39">
        <f>(AB63+AB62)*$D$16</f>
        <v/>
      </c>
      <c r="AC79" s="39">
        <f>(AC63+AC62)*$D$16</f>
        <v/>
      </c>
      <c r="AD79" s="39">
        <f>(AD63+AD62)*$D$16</f>
        <v/>
      </c>
      <c r="AE79" s="39">
        <f>(AE63+AE62)*$D$16</f>
        <v/>
      </c>
      <c r="AF79" s="39">
        <f>(AF63+AF62)*$D$16</f>
        <v/>
      </c>
      <c r="AG79" s="39">
        <f>(AG63+AG62)*$D$16</f>
        <v/>
      </c>
      <c r="AH79" s="39">
        <f>(AH63+AH62)*$D$16</f>
        <v/>
      </c>
      <c r="AI79" s="39">
        <f>(AI63+AI62)*$D$16</f>
        <v/>
      </c>
      <c r="AJ79" s="39">
        <f>(AJ63+AJ62)*$D$16</f>
        <v/>
      </c>
      <c r="AK79" s="39">
        <f>(AK63+AK62)*$D$16</f>
        <v/>
      </c>
      <c r="AL79" s="39">
        <f>(AL63+AL62)*$D$16</f>
        <v/>
      </c>
      <c r="AM79" s="39">
        <f>(AM63+AM62)*$D$16</f>
        <v/>
      </c>
      <c r="AN79" s="39">
        <f>(AN63+AN62)*$D$16</f>
        <v/>
      </c>
      <c r="AO79" s="39">
        <f>(AO63+AO62)*$D$16</f>
        <v/>
      </c>
      <c r="AP79" s="39">
        <f>(AP63+AP62)*$D$16</f>
        <v/>
      </c>
      <c r="AQ79" s="39">
        <f>(AQ63+AQ62)*$D$16</f>
        <v/>
      </c>
      <c r="AR79" s="39">
        <f>(AR63+AR62)*$D$16</f>
        <v/>
      </c>
      <c r="AS79" s="39">
        <f>(AS63+AS62)*$D$16</f>
        <v/>
      </c>
      <c r="AT79" s="39">
        <f>(AT63+AT62)*$D$16</f>
        <v/>
      </c>
      <c r="AU79" s="39">
        <f>(AU63+AU62)*$D$16</f>
        <v/>
      </c>
      <c r="AV79" s="39">
        <f>(AV63+AV62)*$D$16</f>
        <v/>
      </c>
      <c r="AW79" s="39">
        <f>(AW63+AW62)*$D$16</f>
        <v/>
      </c>
      <c r="AX79" s="39">
        <f>(AX63+AX62)*$D$16</f>
        <v/>
      </c>
      <c r="AY79" s="39">
        <f>(AY63+AY62)*$D$16</f>
        <v/>
      </c>
      <c r="AZ79" s="39">
        <f>(AZ63+AZ62)*$D$16</f>
        <v/>
      </c>
      <c r="BA79" s="39">
        <f>(BA63+BA62)*$D$16</f>
        <v/>
      </c>
      <c r="BB79" s="39">
        <f>(BB63+BB62)*$D$16</f>
        <v/>
      </c>
    </row>
    <row r="80">
      <c r="A80" s="4" t="inlineStr">
        <is>
          <t xml:space="preserve">   = carried in + everything PACKED OUT this week, before any of it ships.</t>
        </is>
      </c>
    </row>
    <row r="81">
      <c r="A81" s="25" t="inlineStr">
        <is>
          <t>Over shelf life?</t>
        </is>
      </c>
      <c r="B81" s="4" t="inlineStr">
        <is>
          <t>lb</t>
        </is>
      </c>
      <c r="C81" s="27">
        <f>MAX(0,C78-SUMIFS($C$62:$BB$62,$C$37:$BB$37,"&gt;="&amp;C$37-$F$16+2,$C$37:$BB$37,"&lt;="&amp;C$37))</f>
        <v/>
      </c>
      <c r="D81" s="27">
        <f>MAX(0,D78-SUMIFS($C$62:$BB$62,$C$37:$BB$37,"&gt;="&amp;D$37-$F$16+2,$C$37:$BB$37,"&lt;="&amp;D$37))</f>
        <v/>
      </c>
      <c r="E81" s="27">
        <f>MAX(0,E78-SUMIFS($C$62:$BB$62,$C$37:$BB$37,"&gt;="&amp;E$37-$F$16+2,$C$37:$BB$37,"&lt;="&amp;E$37))</f>
        <v/>
      </c>
      <c r="F81" s="27">
        <f>MAX(0,F78-SUMIFS($C$62:$BB$62,$C$37:$BB$37,"&gt;="&amp;F$37-$F$16+2,$C$37:$BB$37,"&lt;="&amp;F$37))</f>
        <v/>
      </c>
      <c r="G81" s="27">
        <f>MAX(0,G78-SUMIFS($C$62:$BB$62,$C$37:$BB$37,"&gt;="&amp;G$37-$F$16+2,$C$37:$BB$37,"&lt;="&amp;G$37))</f>
        <v/>
      </c>
      <c r="H81" s="27">
        <f>MAX(0,H78-SUMIFS($C$62:$BB$62,$C$37:$BB$37,"&gt;="&amp;H$37-$F$16+2,$C$37:$BB$37,"&lt;="&amp;H$37))</f>
        <v/>
      </c>
      <c r="I81" s="27">
        <f>MAX(0,I78-SUMIFS($C$62:$BB$62,$C$37:$BB$37,"&gt;="&amp;I$37-$F$16+2,$C$37:$BB$37,"&lt;="&amp;I$37))</f>
        <v/>
      </c>
      <c r="J81" s="27">
        <f>MAX(0,J78-SUMIFS($C$62:$BB$62,$C$37:$BB$37,"&gt;="&amp;J$37-$F$16+2,$C$37:$BB$37,"&lt;="&amp;J$37))</f>
        <v/>
      </c>
      <c r="K81" s="27">
        <f>MAX(0,K78-SUMIFS($C$62:$BB$62,$C$37:$BB$37,"&gt;="&amp;K$37-$F$16+2,$C$37:$BB$37,"&lt;="&amp;K$37))</f>
        <v/>
      </c>
      <c r="L81" s="27">
        <f>MAX(0,L78-SUMIFS($C$62:$BB$62,$C$37:$BB$37,"&gt;="&amp;L$37-$F$16+2,$C$37:$BB$37,"&lt;="&amp;L$37))</f>
        <v/>
      </c>
      <c r="M81" s="27">
        <f>MAX(0,M78-SUMIFS($C$62:$BB$62,$C$37:$BB$37,"&gt;="&amp;M$37-$F$16+2,$C$37:$BB$37,"&lt;="&amp;M$37))</f>
        <v/>
      </c>
      <c r="N81" s="27">
        <f>MAX(0,N78-SUMIFS($C$62:$BB$62,$C$37:$BB$37,"&gt;="&amp;N$37-$F$16+2,$C$37:$BB$37,"&lt;="&amp;N$37))</f>
        <v/>
      </c>
      <c r="O81" s="27">
        <f>MAX(0,O78-SUMIFS($C$62:$BB$62,$C$37:$BB$37,"&gt;="&amp;O$37-$F$16+2,$C$37:$BB$37,"&lt;="&amp;O$37))</f>
        <v/>
      </c>
      <c r="P81" s="27">
        <f>MAX(0,P78-SUMIFS($C$62:$BB$62,$C$37:$BB$37,"&gt;="&amp;P$37-$F$16+2,$C$37:$BB$37,"&lt;="&amp;P$37))</f>
        <v/>
      </c>
      <c r="Q81" s="27">
        <f>MAX(0,Q78-SUMIFS($C$62:$BB$62,$C$37:$BB$37,"&gt;="&amp;Q$37-$F$16+2,$C$37:$BB$37,"&lt;="&amp;Q$37))</f>
        <v/>
      </c>
      <c r="R81" s="27">
        <f>MAX(0,R78-SUMIFS($C$62:$BB$62,$C$37:$BB$37,"&gt;="&amp;R$37-$F$16+2,$C$37:$BB$37,"&lt;="&amp;R$37))</f>
        <v/>
      </c>
      <c r="S81" s="27">
        <f>MAX(0,S78-SUMIFS($C$62:$BB$62,$C$37:$BB$37,"&gt;="&amp;S$37-$F$16+2,$C$37:$BB$37,"&lt;="&amp;S$37))</f>
        <v/>
      </c>
      <c r="T81" s="27">
        <f>MAX(0,T78-SUMIFS($C$62:$BB$62,$C$37:$BB$37,"&gt;="&amp;T$37-$F$16+2,$C$37:$BB$37,"&lt;="&amp;T$37))</f>
        <v/>
      </c>
      <c r="U81" s="27">
        <f>MAX(0,U78-SUMIFS($C$62:$BB$62,$C$37:$BB$37,"&gt;="&amp;U$37-$F$16+2,$C$37:$BB$37,"&lt;="&amp;U$37))</f>
        <v/>
      </c>
      <c r="V81" s="27">
        <f>MAX(0,V78-SUMIFS($C$62:$BB$62,$C$37:$BB$37,"&gt;="&amp;V$37-$F$16+2,$C$37:$BB$37,"&lt;="&amp;V$37))</f>
        <v/>
      </c>
      <c r="W81" s="27">
        <f>MAX(0,W78-SUMIFS($C$62:$BB$62,$C$37:$BB$37,"&gt;="&amp;W$37-$F$16+2,$C$37:$BB$37,"&lt;="&amp;W$37))</f>
        <v/>
      </c>
      <c r="X81" s="27">
        <f>MAX(0,X78-SUMIFS($C$62:$BB$62,$C$37:$BB$37,"&gt;="&amp;X$37-$F$16+2,$C$37:$BB$37,"&lt;="&amp;X$37))</f>
        <v/>
      </c>
      <c r="Y81" s="27">
        <f>MAX(0,Y78-SUMIFS($C$62:$BB$62,$C$37:$BB$37,"&gt;="&amp;Y$37-$F$16+2,$C$37:$BB$37,"&lt;="&amp;Y$37))</f>
        <v/>
      </c>
      <c r="Z81" s="27">
        <f>MAX(0,Z78-SUMIFS($C$62:$BB$62,$C$37:$BB$37,"&gt;="&amp;Z$37-$F$16+2,$C$37:$BB$37,"&lt;="&amp;Z$37))</f>
        <v/>
      </c>
      <c r="AA81" s="27">
        <f>MAX(0,AA78-SUMIFS($C$62:$BB$62,$C$37:$BB$37,"&gt;="&amp;AA$37-$F$16+2,$C$37:$BB$37,"&lt;="&amp;AA$37))</f>
        <v/>
      </c>
      <c r="AB81" s="27">
        <f>MAX(0,AB78-SUMIFS($C$62:$BB$62,$C$37:$BB$37,"&gt;="&amp;AB$37-$F$16+2,$C$37:$BB$37,"&lt;="&amp;AB$37))</f>
        <v/>
      </c>
      <c r="AC81" s="27">
        <f>MAX(0,AC78-SUMIFS($C$62:$BB$62,$C$37:$BB$37,"&gt;="&amp;AC$37-$F$16+2,$C$37:$BB$37,"&lt;="&amp;AC$37))</f>
        <v/>
      </c>
      <c r="AD81" s="27">
        <f>MAX(0,AD78-SUMIFS($C$62:$BB$62,$C$37:$BB$37,"&gt;="&amp;AD$37-$F$16+2,$C$37:$BB$37,"&lt;="&amp;AD$37))</f>
        <v/>
      </c>
      <c r="AE81" s="27">
        <f>MAX(0,AE78-SUMIFS($C$62:$BB$62,$C$37:$BB$37,"&gt;="&amp;AE$37-$F$16+2,$C$37:$BB$37,"&lt;="&amp;AE$37))</f>
        <v/>
      </c>
      <c r="AF81" s="27">
        <f>MAX(0,AF78-SUMIFS($C$62:$BB$62,$C$37:$BB$37,"&gt;="&amp;AF$37-$F$16+2,$C$37:$BB$37,"&lt;="&amp;AF$37))</f>
        <v/>
      </c>
      <c r="AG81" s="27">
        <f>MAX(0,AG78-SUMIFS($C$62:$BB$62,$C$37:$BB$37,"&gt;="&amp;AG$37-$F$16+2,$C$37:$BB$37,"&lt;="&amp;AG$37))</f>
        <v/>
      </c>
      <c r="AH81" s="27">
        <f>MAX(0,AH78-SUMIFS($C$62:$BB$62,$C$37:$BB$37,"&gt;="&amp;AH$37-$F$16+2,$C$37:$BB$37,"&lt;="&amp;AH$37))</f>
        <v/>
      </c>
      <c r="AI81" s="27">
        <f>MAX(0,AI78-SUMIFS($C$62:$BB$62,$C$37:$BB$37,"&gt;="&amp;AI$37-$F$16+2,$C$37:$BB$37,"&lt;="&amp;AI$37))</f>
        <v/>
      </c>
      <c r="AJ81" s="27">
        <f>MAX(0,AJ78-SUMIFS($C$62:$BB$62,$C$37:$BB$37,"&gt;="&amp;AJ$37-$F$16+2,$C$37:$BB$37,"&lt;="&amp;AJ$37))</f>
        <v/>
      </c>
      <c r="AK81" s="27">
        <f>MAX(0,AK78-SUMIFS($C$62:$BB$62,$C$37:$BB$37,"&gt;="&amp;AK$37-$F$16+2,$C$37:$BB$37,"&lt;="&amp;AK$37))</f>
        <v/>
      </c>
      <c r="AL81" s="27">
        <f>MAX(0,AL78-SUMIFS($C$62:$BB$62,$C$37:$BB$37,"&gt;="&amp;AL$37-$F$16+2,$C$37:$BB$37,"&lt;="&amp;AL$37))</f>
        <v/>
      </c>
      <c r="AM81" s="27">
        <f>MAX(0,AM78-SUMIFS($C$62:$BB$62,$C$37:$BB$37,"&gt;="&amp;AM$37-$F$16+2,$C$37:$BB$37,"&lt;="&amp;AM$37))</f>
        <v/>
      </c>
      <c r="AN81" s="27">
        <f>MAX(0,AN78-SUMIFS($C$62:$BB$62,$C$37:$BB$37,"&gt;="&amp;AN$37-$F$16+2,$C$37:$BB$37,"&lt;="&amp;AN$37))</f>
        <v/>
      </c>
      <c r="AO81" s="27">
        <f>MAX(0,AO78-SUMIFS($C$62:$BB$62,$C$37:$BB$37,"&gt;="&amp;AO$37-$F$16+2,$C$37:$BB$37,"&lt;="&amp;AO$37))</f>
        <v/>
      </c>
      <c r="AP81" s="27">
        <f>MAX(0,AP78-SUMIFS($C$62:$BB$62,$C$37:$BB$37,"&gt;="&amp;AP$37-$F$16+2,$C$37:$BB$37,"&lt;="&amp;AP$37))</f>
        <v/>
      </c>
      <c r="AQ81" s="27">
        <f>MAX(0,AQ78-SUMIFS($C$62:$BB$62,$C$37:$BB$37,"&gt;="&amp;AQ$37-$F$16+2,$C$37:$BB$37,"&lt;="&amp;AQ$37))</f>
        <v/>
      </c>
      <c r="AR81" s="27">
        <f>MAX(0,AR78-SUMIFS($C$62:$BB$62,$C$37:$BB$37,"&gt;="&amp;AR$37-$F$16+2,$C$37:$BB$37,"&lt;="&amp;AR$37))</f>
        <v/>
      </c>
      <c r="AS81" s="27">
        <f>MAX(0,AS78-SUMIFS($C$62:$BB$62,$C$37:$BB$37,"&gt;="&amp;AS$37-$F$16+2,$C$37:$BB$37,"&lt;="&amp;AS$37))</f>
        <v/>
      </c>
      <c r="AT81" s="27">
        <f>MAX(0,AT78-SUMIFS($C$62:$BB$62,$C$37:$BB$37,"&gt;="&amp;AT$37-$F$16+2,$C$37:$BB$37,"&lt;="&amp;AT$37))</f>
        <v/>
      </c>
      <c r="AU81" s="27">
        <f>MAX(0,AU78-SUMIFS($C$62:$BB$62,$C$37:$BB$37,"&gt;="&amp;AU$37-$F$16+2,$C$37:$BB$37,"&lt;="&amp;AU$37))</f>
        <v/>
      </c>
      <c r="AV81" s="27">
        <f>MAX(0,AV78-SUMIFS($C$62:$BB$62,$C$37:$BB$37,"&gt;="&amp;AV$37-$F$16+2,$C$37:$BB$37,"&lt;="&amp;AV$37))</f>
        <v/>
      </c>
      <c r="AW81" s="27">
        <f>MAX(0,AW78-SUMIFS($C$62:$BB$62,$C$37:$BB$37,"&gt;="&amp;AW$37-$F$16+2,$C$37:$BB$37,"&lt;="&amp;AW$37))</f>
        <v/>
      </c>
      <c r="AX81" s="27">
        <f>MAX(0,AX78-SUMIFS($C$62:$BB$62,$C$37:$BB$37,"&gt;="&amp;AX$37-$F$16+2,$C$37:$BB$37,"&lt;="&amp;AX$37))</f>
        <v/>
      </c>
      <c r="AY81" s="27">
        <f>MAX(0,AY78-SUMIFS($C$62:$BB$62,$C$37:$BB$37,"&gt;="&amp;AY$37-$F$16+2,$C$37:$BB$37,"&lt;="&amp;AY$37))</f>
        <v/>
      </c>
      <c r="AZ81" s="27">
        <f>MAX(0,AZ78-SUMIFS($C$62:$BB$62,$C$37:$BB$37,"&gt;="&amp;AZ$37-$F$16+2,$C$37:$BB$37,"&lt;="&amp;AZ$37))</f>
        <v/>
      </c>
      <c r="BA81" s="27">
        <f>MAX(0,BA78-SUMIFS($C$62:$BB$62,$C$37:$BB$37,"&gt;="&amp;BA$37-$F$16+2,$C$37:$BB$37,"&lt;="&amp;BA$37))</f>
        <v/>
      </c>
      <c r="BB81" s="27">
        <f>MAX(0,BB78-SUMIFS($C$62:$BB$62,$C$37:$BB$37,"&gt;="&amp;BB$37-$F$16+2,$C$37:$BB$37,"&lt;="&amp;BB$37))</f>
        <v/>
      </c>
    </row>
    <row r="82">
      <c r="A82" s="4" t="inlineStr">
        <is>
          <t xml:space="preserve">   stock older than its shelf life — WARNING here, a hard constraint in the app</t>
        </is>
      </c>
    </row>
    <row r="84">
      <c r="A84" s="2" t="inlineStr">
        <is>
          <t>KALE  —  cold store</t>
        </is>
      </c>
      <c r="B84" s="30" t="inlineStr"/>
    </row>
    <row r="85">
      <c r="A85" s="22" t="inlineStr">
        <is>
          <t>Week</t>
        </is>
      </c>
      <c r="B85" s="23" t="inlineStr"/>
      <c r="C85" s="24" t="n">
        <v>1</v>
      </c>
      <c r="D85" s="24" t="n">
        <v>2</v>
      </c>
      <c r="E85" s="24" t="n">
        <v>3</v>
      </c>
      <c r="F85" s="24" t="n">
        <v>4</v>
      </c>
      <c r="G85" s="24" t="n">
        <v>5</v>
      </c>
      <c r="H85" s="24" t="n">
        <v>6</v>
      </c>
      <c r="I85" s="24" t="n">
        <v>7</v>
      </c>
      <c r="J85" s="24" t="n">
        <v>8</v>
      </c>
      <c r="K85" s="24" t="n">
        <v>9</v>
      </c>
      <c r="L85" s="24" t="n">
        <v>10</v>
      </c>
      <c r="M85" s="24" t="n">
        <v>11</v>
      </c>
      <c r="N85" s="24" t="n">
        <v>12</v>
      </c>
      <c r="O85" s="24" t="n">
        <v>13</v>
      </c>
      <c r="P85" s="24" t="n">
        <v>14</v>
      </c>
      <c r="Q85" s="24" t="n">
        <v>15</v>
      </c>
      <c r="R85" s="24" t="n">
        <v>16</v>
      </c>
      <c r="S85" s="24" t="n">
        <v>17</v>
      </c>
      <c r="T85" s="24" t="n">
        <v>18</v>
      </c>
      <c r="U85" s="24" t="n">
        <v>19</v>
      </c>
      <c r="V85" s="24" t="n">
        <v>20</v>
      </c>
      <c r="W85" s="24" t="n">
        <v>21</v>
      </c>
      <c r="X85" s="24" t="n">
        <v>22</v>
      </c>
      <c r="Y85" s="24" t="n">
        <v>23</v>
      </c>
      <c r="Z85" s="24" t="n">
        <v>24</v>
      </c>
      <c r="AA85" s="24" t="n">
        <v>25</v>
      </c>
      <c r="AB85" s="24" t="n">
        <v>26</v>
      </c>
      <c r="AC85" s="24" t="n">
        <v>27</v>
      </c>
      <c r="AD85" s="24" t="n">
        <v>28</v>
      </c>
      <c r="AE85" s="24" t="n">
        <v>29</v>
      </c>
      <c r="AF85" s="24" t="n">
        <v>30</v>
      </c>
      <c r="AG85" s="24" t="n">
        <v>31</v>
      </c>
      <c r="AH85" s="24" t="n">
        <v>32</v>
      </c>
      <c r="AI85" s="24" t="n">
        <v>33</v>
      </c>
      <c r="AJ85" s="24" t="n">
        <v>34</v>
      </c>
      <c r="AK85" s="24" t="n">
        <v>35</v>
      </c>
      <c r="AL85" s="24" t="n">
        <v>36</v>
      </c>
      <c r="AM85" s="24" t="n">
        <v>37</v>
      </c>
      <c r="AN85" s="24" t="n">
        <v>38</v>
      </c>
      <c r="AO85" s="24" t="n">
        <v>39</v>
      </c>
      <c r="AP85" s="24" t="n">
        <v>40</v>
      </c>
      <c r="AQ85" s="24" t="n">
        <v>41</v>
      </c>
      <c r="AR85" s="24" t="n">
        <v>42</v>
      </c>
      <c r="AS85" s="24" t="n">
        <v>43</v>
      </c>
      <c r="AT85" s="24" t="n">
        <v>44</v>
      </c>
      <c r="AU85" s="24" t="n">
        <v>45</v>
      </c>
      <c r="AV85" s="24" t="n">
        <v>46</v>
      </c>
      <c r="AW85" s="24" t="n">
        <v>47</v>
      </c>
      <c r="AX85" s="24" t="n">
        <v>48</v>
      </c>
      <c r="AY85" s="24" t="n">
        <v>49</v>
      </c>
      <c r="AZ85" s="24" t="n">
        <v>50</v>
      </c>
      <c r="BA85" s="24" t="n">
        <v>51</v>
      </c>
      <c r="BB85" s="24" t="n">
        <v>52</v>
      </c>
    </row>
    <row r="86">
      <c r="A86" s="25" t="inlineStr">
        <is>
          <t>Harvested (gross)</t>
        </is>
      </c>
      <c r="B86" s="4" t="inlineStr">
        <is>
          <t>lb</t>
        </is>
      </c>
      <c r="C86" s="27">
        <f>C44+C46</f>
        <v/>
      </c>
      <c r="D86" s="27">
        <f>D44+D46</f>
        <v/>
      </c>
      <c r="E86" s="27">
        <f>E44+E46</f>
        <v/>
      </c>
      <c r="F86" s="27">
        <f>F44+F46</f>
        <v/>
      </c>
      <c r="G86" s="27">
        <f>G44+G46</f>
        <v/>
      </c>
      <c r="H86" s="27">
        <f>H44+H46</f>
        <v/>
      </c>
      <c r="I86" s="27">
        <f>I44+I46</f>
        <v/>
      </c>
      <c r="J86" s="27">
        <f>J44+J46</f>
        <v/>
      </c>
      <c r="K86" s="27">
        <f>K44+K46</f>
        <v/>
      </c>
      <c r="L86" s="27">
        <f>L44+L46</f>
        <v/>
      </c>
      <c r="M86" s="27">
        <f>M44+M46</f>
        <v/>
      </c>
      <c r="N86" s="27">
        <f>N44+N46</f>
        <v/>
      </c>
      <c r="O86" s="27">
        <f>O44+O46</f>
        <v/>
      </c>
      <c r="P86" s="27">
        <f>P44+P46</f>
        <v/>
      </c>
      <c r="Q86" s="27">
        <f>Q44+Q46</f>
        <v/>
      </c>
      <c r="R86" s="27">
        <f>R44+R46</f>
        <v/>
      </c>
      <c r="S86" s="27">
        <f>S44+S46</f>
        <v/>
      </c>
      <c r="T86" s="27">
        <f>T44+T46</f>
        <v/>
      </c>
      <c r="U86" s="27">
        <f>U44+U46</f>
        <v/>
      </c>
      <c r="V86" s="27">
        <f>V44+V46</f>
        <v/>
      </c>
      <c r="W86" s="27">
        <f>W44+W46</f>
        <v/>
      </c>
      <c r="X86" s="27">
        <f>X44+X46</f>
        <v/>
      </c>
      <c r="Y86" s="27">
        <f>Y44+Y46</f>
        <v/>
      </c>
      <c r="Z86" s="27">
        <f>Z44+Z46</f>
        <v/>
      </c>
      <c r="AA86" s="27">
        <f>AA44+AA46</f>
        <v/>
      </c>
      <c r="AB86" s="27">
        <f>AB44+AB46</f>
        <v/>
      </c>
      <c r="AC86" s="27">
        <f>AC44+AC46</f>
        <v/>
      </c>
      <c r="AD86" s="27">
        <f>AD44+AD46</f>
        <v/>
      </c>
      <c r="AE86" s="27">
        <f>AE44+AE46</f>
        <v/>
      </c>
      <c r="AF86" s="27">
        <f>AF44+AF46</f>
        <v/>
      </c>
      <c r="AG86" s="27">
        <f>AG44+AG46</f>
        <v/>
      </c>
      <c r="AH86" s="27">
        <f>AH44+AH46</f>
        <v/>
      </c>
      <c r="AI86" s="27">
        <f>AI44+AI46</f>
        <v/>
      </c>
      <c r="AJ86" s="27">
        <f>AJ44+AJ46</f>
        <v/>
      </c>
      <c r="AK86" s="27">
        <f>AK44+AK46</f>
        <v/>
      </c>
      <c r="AL86" s="27">
        <f>AL44+AL46</f>
        <v/>
      </c>
      <c r="AM86" s="27">
        <f>AM44+AM46</f>
        <v/>
      </c>
      <c r="AN86" s="27">
        <f>AN44+AN46</f>
        <v/>
      </c>
      <c r="AO86" s="27">
        <f>AO44+AO46</f>
        <v/>
      </c>
      <c r="AP86" s="27">
        <f>AP44+AP46</f>
        <v/>
      </c>
      <c r="AQ86" s="27">
        <f>AQ44+AQ46</f>
        <v/>
      </c>
      <c r="AR86" s="27">
        <f>AR44+AR46</f>
        <v/>
      </c>
      <c r="AS86" s="27">
        <f>AS44+AS46</f>
        <v/>
      </c>
      <c r="AT86" s="27">
        <f>AT44+AT46</f>
        <v/>
      </c>
      <c r="AU86" s="27">
        <f>AU44+AU46</f>
        <v/>
      </c>
      <c r="AV86" s="27">
        <f>AV44+AV46</f>
        <v/>
      </c>
      <c r="AW86" s="27">
        <f>AW44+AW46</f>
        <v/>
      </c>
      <c r="AX86" s="27">
        <f>AX44+AX46</f>
        <v/>
      </c>
      <c r="AY86" s="27">
        <f>AY44+AY46</f>
        <v/>
      </c>
      <c r="AZ86" s="27">
        <f>AZ44+AZ46</f>
        <v/>
      </c>
      <c r="BA86" s="27">
        <f>BA44+BA46</f>
        <v/>
      </c>
      <c r="BB86" s="27">
        <f>BB44+BB46</f>
        <v/>
      </c>
    </row>
    <row r="87">
      <c r="A87" s="25" t="inlineStr">
        <is>
          <t xml:space="preserve">   field cull (never cooled)</t>
        </is>
      </c>
      <c r="B87" s="4" t="inlineStr">
        <is>
          <t>lb</t>
        </is>
      </c>
      <c r="C87" s="27">
        <f>C86*(1-$C$17)</f>
        <v/>
      </c>
      <c r="D87" s="27">
        <f>D86*(1-$C$17)</f>
        <v/>
      </c>
      <c r="E87" s="27">
        <f>E86*(1-$C$17)</f>
        <v/>
      </c>
      <c r="F87" s="27">
        <f>F86*(1-$C$17)</f>
        <v/>
      </c>
      <c r="G87" s="27">
        <f>G86*(1-$C$17)</f>
        <v/>
      </c>
      <c r="H87" s="27">
        <f>H86*(1-$C$17)</f>
        <v/>
      </c>
      <c r="I87" s="27">
        <f>I86*(1-$C$17)</f>
        <v/>
      </c>
      <c r="J87" s="27">
        <f>J86*(1-$C$17)</f>
        <v/>
      </c>
      <c r="K87" s="27">
        <f>K86*(1-$C$17)</f>
        <v/>
      </c>
      <c r="L87" s="27">
        <f>L86*(1-$C$17)</f>
        <v/>
      </c>
      <c r="M87" s="27">
        <f>M86*(1-$C$17)</f>
        <v/>
      </c>
      <c r="N87" s="27">
        <f>N86*(1-$C$17)</f>
        <v/>
      </c>
      <c r="O87" s="27">
        <f>O86*(1-$C$17)</f>
        <v/>
      </c>
      <c r="P87" s="27">
        <f>P86*(1-$C$17)</f>
        <v/>
      </c>
      <c r="Q87" s="27">
        <f>Q86*(1-$C$17)</f>
        <v/>
      </c>
      <c r="R87" s="27">
        <f>R86*(1-$C$17)</f>
        <v/>
      </c>
      <c r="S87" s="27">
        <f>S86*(1-$C$17)</f>
        <v/>
      </c>
      <c r="T87" s="27">
        <f>T86*(1-$C$17)</f>
        <v/>
      </c>
      <c r="U87" s="27">
        <f>U86*(1-$C$17)</f>
        <v/>
      </c>
      <c r="V87" s="27">
        <f>V86*(1-$C$17)</f>
        <v/>
      </c>
      <c r="W87" s="27">
        <f>W86*(1-$C$17)</f>
        <v/>
      </c>
      <c r="X87" s="27">
        <f>X86*(1-$C$17)</f>
        <v/>
      </c>
      <c r="Y87" s="27">
        <f>Y86*(1-$C$17)</f>
        <v/>
      </c>
      <c r="Z87" s="27">
        <f>Z86*(1-$C$17)</f>
        <v/>
      </c>
      <c r="AA87" s="27">
        <f>AA86*(1-$C$17)</f>
        <v/>
      </c>
      <c r="AB87" s="27">
        <f>AB86*(1-$C$17)</f>
        <v/>
      </c>
      <c r="AC87" s="27">
        <f>AC86*(1-$C$17)</f>
        <v/>
      </c>
      <c r="AD87" s="27">
        <f>AD86*(1-$C$17)</f>
        <v/>
      </c>
      <c r="AE87" s="27">
        <f>AE86*(1-$C$17)</f>
        <v/>
      </c>
      <c r="AF87" s="27">
        <f>AF86*(1-$C$17)</f>
        <v/>
      </c>
      <c r="AG87" s="27">
        <f>AG86*(1-$C$17)</f>
        <v/>
      </c>
      <c r="AH87" s="27">
        <f>AH86*(1-$C$17)</f>
        <v/>
      </c>
      <c r="AI87" s="27">
        <f>AI86*(1-$C$17)</f>
        <v/>
      </c>
      <c r="AJ87" s="27">
        <f>AJ86*(1-$C$17)</f>
        <v/>
      </c>
      <c r="AK87" s="27">
        <f>AK86*(1-$C$17)</f>
        <v/>
      </c>
      <c r="AL87" s="27">
        <f>AL86*(1-$C$17)</f>
        <v/>
      </c>
      <c r="AM87" s="27">
        <f>AM86*(1-$C$17)</f>
        <v/>
      </c>
      <c r="AN87" s="27">
        <f>AN86*(1-$C$17)</f>
        <v/>
      </c>
      <c r="AO87" s="27">
        <f>AO86*(1-$C$17)</f>
        <v/>
      </c>
      <c r="AP87" s="27">
        <f>AP86*(1-$C$17)</f>
        <v/>
      </c>
      <c r="AQ87" s="27">
        <f>AQ86*(1-$C$17)</f>
        <v/>
      </c>
      <c r="AR87" s="27">
        <f>AR86*(1-$C$17)</f>
        <v/>
      </c>
      <c r="AS87" s="27">
        <f>AS86*(1-$C$17)</f>
        <v/>
      </c>
      <c r="AT87" s="27">
        <f>AT86*(1-$C$17)</f>
        <v/>
      </c>
      <c r="AU87" s="27">
        <f>AU86*(1-$C$17)</f>
        <v/>
      </c>
      <c r="AV87" s="27">
        <f>AV86*(1-$C$17)</f>
        <v/>
      </c>
      <c r="AW87" s="27">
        <f>AW86*(1-$C$17)</f>
        <v/>
      </c>
      <c r="AX87" s="27">
        <f>AX86*(1-$C$17)</f>
        <v/>
      </c>
      <c r="AY87" s="27">
        <f>AY86*(1-$C$17)</f>
        <v/>
      </c>
      <c r="AZ87" s="27">
        <f>AZ86*(1-$C$17)</f>
        <v/>
      </c>
      <c r="BA87" s="27">
        <f>BA86*(1-$C$17)</f>
        <v/>
      </c>
      <c r="BB87" s="27">
        <f>BB86*(1-$C$17)</f>
        <v/>
      </c>
    </row>
    <row r="88">
      <c r="A88" s="3" t="inlineStr">
        <is>
          <t>Packed out -&gt; INTO the store</t>
        </is>
      </c>
      <c r="B88" s="4" t="inlineStr">
        <is>
          <t>lb</t>
        </is>
      </c>
      <c r="C88" s="27">
        <f>C86*$C$17</f>
        <v/>
      </c>
      <c r="D88" s="27">
        <f>D86*$C$17</f>
        <v/>
      </c>
      <c r="E88" s="27">
        <f>E86*$C$17</f>
        <v/>
      </c>
      <c r="F88" s="27">
        <f>F86*$C$17</f>
        <v/>
      </c>
      <c r="G88" s="27">
        <f>G86*$C$17</f>
        <v/>
      </c>
      <c r="H88" s="27">
        <f>H86*$C$17</f>
        <v/>
      </c>
      <c r="I88" s="27">
        <f>I86*$C$17</f>
        <v/>
      </c>
      <c r="J88" s="27">
        <f>J86*$C$17</f>
        <v/>
      </c>
      <c r="K88" s="27">
        <f>K86*$C$17</f>
        <v/>
      </c>
      <c r="L88" s="27">
        <f>L86*$C$17</f>
        <v/>
      </c>
      <c r="M88" s="27">
        <f>M86*$C$17</f>
        <v/>
      </c>
      <c r="N88" s="27">
        <f>N86*$C$17</f>
        <v/>
      </c>
      <c r="O88" s="27">
        <f>O86*$C$17</f>
        <v/>
      </c>
      <c r="P88" s="27">
        <f>P86*$C$17</f>
        <v/>
      </c>
      <c r="Q88" s="27">
        <f>Q86*$C$17</f>
        <v/>
      </c>
      <c r="R88" s="27">
        <f>R86*$C$17</f>
        <v/>
      </c>
      <c r="S88" s="27">
        <f>S86*$C$17</f>
        <v/>
      </c>
      <c r="T88" s="27">
        <f>T86*$C$17</f>
        <v/>
      </c>
      <c r="U88" s="27">
        <f>U86*$C$17</f>
        <v/>
      </c>
      <c r="V88" s="27">
        <f>V86*$C$17</f>
        <v/>
      </c>
      <c r="W88" s="27">
        <f>W86*$C$17</f>
        <v/>
      </c>
      <c r="X88" s="27">
        <f>X86*$C$17</f>
        <v/>
      </c>
      <c r="Y88" s="27">
        <f>Y86*$C$17</f>
        <v/>
      </c>
      <c r="Z88" s="27">
        <f>Z86*$C$17</f>
        <v/>
      </c>
      <c r="AA88" s="27">
        <f>AA86*$C$17</f>
        <v/>
      </c>
      <c r="AB88" s="27">
        <f>AB86*$C$17</f>
        <v/>
      </c>
      <c r="AC88" s="27">
        <f>AC86*$C$17</f>
        <v/>
      </c>
      <c r="AD88" s="27">
        <f>AD86*$C$17</f>
        <v/>
      </c>
      <c r="AE88" s="27">
        <f>AE86*$C$17</f>
        <v/>
      </c>
      <c r="AF88" s="27">
        <f>AF86*$C$17</f>
        <v/>
      </c>
      <c r="AG88" s="27">
        <f>AG86*$C$17</f>
        <v/>
      </c>
      <c r="AH88" s="27">
        <f>AH86*$C$17</f>
        <v/>
      </c>
      <c r="AI88" s="27">
        <f>AI86*$C$17</f>
        <v/>
      </c>
      <c r="AJ88" s="27">
        <f>AJ86*$C$17</f>
        <v/>
      </c>
      <c r="AK88" s="27">
        <f>AK86*$C$17</f>
        <v/>
      </c>
      <c r="AL88" s="27">
        <f>AL86*$C$17</f>
        <v/>
      </c>
      <c r="AM88" s="27">
        <f>AM86*$C$17</f>
        <v/>
      </c>
      <c r="AN88" s="27">
        <f>AN86*$C$17</f>
        <v/>
      </c>
      <c r="AO88" s="27">
        <f>AO86*$C$17</f>
        <v/>
      </c>
      <c r="AP88" s="27">
        <f>AP86*$C$17</f>
        <v/>
      </c>
      <c r="AQ88" s="27">
        <f>AQ86*$C$17</f>
        <v/>
      </c>
      <c r="AR88" s="27">
        <f>AR86*$C$17</f>
        <v/>
      </c>
      <c r="AS88" s="27">
        <f>AS86*$C$17</f>
        <v/>
      </c>
      <c r="AT88" s="27">
        <f>AT86*$C$17</f>
        <v/>
      </c>
      <c r="AU88" s="27">
        <f>AU86*$C$17</f>
        <v/>
      </c>
      <c r="AV88" s="27">
        <f>AV86*$C$17</f>
        <v/>
      </c>
      <c r="AW88" s="27">
        <f>AW86*$C$17</f>
        <v/>
      </c>
      <c r="AX88" s="27">
        <f>AX86*$C$17</f>
        <v/>
      </c>
      <c r="AY88" s="27">
        <f>AY86*$C$17</f>
        <v/>
      </c>
      <c r="AZ88" s="27">
        <f>AZ86*$C$17</f>
        <v/>
      </c>
      <c r="BA88" s="27">
        <f>BA86*$C$17</f>
        <v/>
      </c>
      <c r="BB88" s="27">
        <f>BB86*$C$17</f>
        <v/>
      </c>
    </row>
    <row r="89">
      <c r="A89" s="25" t="inlineStr">
        <is>
          <t>Stock carried in</t>
        </is>
      </c>
      <c r="B89" s="4" t="inlineStr">
        <is>
          <t>lb</t>
        </is>
      </c>
      <c r="C89" s="27" t="n">
        <v>0</v>
      </c>
      <c r="D89" s="27">
        <f>C104</f>
        <v/>
      </c>
      <c r="E89" s="27">
        <f>D104</f>
        <v/>
      </c>
      <c r="F89" s="27">
        <f>E104</f>
        <v/>
      </c>
      <c r="G89" s="27">
        <f>F104</f>
        <v/>
      </c>
      <c r="H89" s="27">
        <f>G104</f>
        <v/>
      </c>
      <c r="I89" s="27">
        <f>H104</f>
        <v/>
      </c>
      <c r="J89" s="27">
        <f>I104</f>
        <v/>
      </c>
      <c r="K89" s="27">
        <f>J104</f>
        <v/>
      </c>
      <c r="L89" s="27">
        <f>K104</f>
        <v/>
      </c>
      <c r="M89" s="27">
        <f>L104</f>
        <v/>
      </c>
      <c r="N89" s="27">
        <f>M104</f>
        <v/>
      </c>
      <c r="O89" s="27">
        <f>N104</f>
        <v/>
      </c>
      <c r="P89" s="27">
        <f>O104</f>
        <v/>
      </c>
      <c r="Q89" s="27">
        <f>P104</f>
        <v/>
      </c>
      <c r="R89" s="27">
        <f>Q104</f>
        <v/>
      </c>
      <c r="S89" s="27">
        <f>R104</f>
        <v/>
      </c>
      <c r="T89" s="27">
        <f>S104</f>
        <v/>
      </c>
      <c r="U89" s="27">
        <f>T104</f>
        <v/>
      </c>
      <c r="V89" s="27">
        <f>U104</f>
        <v/>
      </c>
      <c r="W89" s="27">
        <f>V104</f>
        <v/>
      </c>
      <c r="X89" s="27">
        <f>W104</f>
        <v/>
      </c>
      <c r="Y89" s="27">
        <f>X104</f>
        <v/>
      </c>
      <c r="Z89" s="27">
        <f>Y104</f>
        <v/>
      </c>
      <c r="AA89" s="27">
        <f>Z104</f>
        <v/>
      </c>
      <c r="AB89" s="27">
        <f>AA104</f>
        <v/>
      </c>
      <c r="AC89" s="27">
        <f>AB104</f>
        <v/>
      </c>
      <c r="AD89" s="27">
        <f>AC104</f>
        <v/>
      </c>
      <c r="AE89" s="27">
        <f>AD104</f>
        <v/>
      </c>
      <c r="AF89" s="27">
        <f>AE104</f>
        <v/>
      </c>
      <c r="AG89" s="27">
        <f>AF104</f>
        <v/>
      </c>
      <c r="AH89" s="27">
        <f>AG104</f>
        <v/>
      </c>
      <c r="AI89" s="27">
        <f>AH104</f>
        <v/>
      </c>
      <c r="AJ89" s="27">
        <f>AI104</f>
        <v/>
      </c>
      <c r="AK89" s="27">
        <f>AJ104</f>
        <v/>
      </c>
      <c r="AL89" s="27">
        <f>AK104</f>
        <v/>
      </c>
      <c r="AM89" s="27">
        <f>AL104</f>
        <v/>
      </c>
      <c r="AN89" s="27">
        <f>AM104</f>
        <v/>
      </c>
      <c r="AO89" s="27">
        <f>AN104</f>
        <v/>
      </c>
      <c r="AP89" s="27">
        <f>AO104</f>
        <v/>
      </c>
      <c r="AQ89" s="27">
        <f>AP104</f>
        <v/>
      </c>
      <c r="AR89" s="27">
        <f>AQ104</f>
        <v/>
      </c>
      <c r="AS89" s="27">
        <f>AR104</f>
        <v/>
      </c>
      <c r="AT89" s="27">
        <f>AS104</f>
        <v/>
      </c>
      <c r="AU89" s="27">
        <f>AT104</f>
        <v/>
      </c>
      <c r="AV89" s="27">
        <f>AU104</f>
        <v/>
      </c>
      <c r="AW89" s="27">
        <f>AV104</f>
        <v/>
      </c>
      <c r="AX89" s="27">
        <f>AW104</f>
        <v/>
      </c>
      <c r="AY89" s="27">
        <f>AX104</f>
        <v/>
      </c>
      <c r="AZ89" s="27">
        <f>AY104</f>
        <v/>
      </c>
      <c r="BA89" s="27">
        <f>AZ104</f>
        <v/>
      </c>
      <c r="BB89" s="27">
        <f>BA104</f>
        <v/>
      </c>
    </row>
    <row r="90">
      <c r="A90" s="25" t="inlineStr">
        <is>
          <t xml:space="preserve">   lost to shrink</t>
        </is>
      </c>
      <c r="B90" s="4" t="inlineStr">
        <is>
          <t>lb</t>
        </is>
      </c>
      <c r="C90" s="27">
        <f>C89*$G$17</f>
        <v/>
      </c>
      <c r="D90" s="27">
        <f>D89*$G$17</f>
        <v/>
      </c>
      <c r="E90" s="27">
        <f>E89*$G$17</f>
        <v/>
      </c>
      <c r="F90" s="27">
        <f>F89*$G$17</f>
        <v/>
      </c>
      <c r="G90" s="27">
        <f>G89*$G$17</f>
        <v/>
      </c>
      <c r="H90" s="27">
        <f>H89*$G$17</f>
        <v/>
      </c>
      <c r="I90" s="27">
        <f>I89*$G$17</f>
        <v/>
      </c>
      <c r="J90" s="27">
        <f>J89*$G$17</f>
        <v/>
      </c>
      <c r="K90" s="27">
        <f>K89*$G$17</f>
        <v/>
      </c>
      <c r="L90" s="27">
        <f>L89*$G$17</f>
        <v/>
      </c>
      <c r="M90" s="27">
        <f>M89*$G$17</f>
        <v/>
      </c>
      <c r="N90" s="27">
        <f>N89*$G$17</f>
        <v/>
      </c>
      <c r="O90" s="27">
        <f>O89*$G$17</f>
        <v/>
      </c>
      <c r="P90" s="27">
        <f>P89*$G$17</f>
        <v/>
      </c>
      <c r="Q90" s="27">
        <f>Q89*$G$17</f>
        <v/>
      </c>
      <c r="R90" s="27">
        <f>R89*$G$17</f>
        <v/>
      </c>
      <c r="S90" s="27">
        <f>S89*$G$17</f>
        <v/>
      </c>
      <c r="T90" s="27">
        <f>T89*$G$17</f>
        <v/>
      </c>
      <c r="U90" s="27">
        <f>U89*$G$17</f>
        <v/>
      </c>
      <c r="V90" s="27">
        <f>V89*$G$17</f>
        <v/>
      </c>
      <c r="W90" s="27">
        <f>W89*$G$17</f>
        <v/>
      </c>
      <c r="X90" s="27">
        <f>X89*$G$17</f>
        <v/>
      </c>
      <c r="Y90" s="27">
        <f>Y89*$G$17</f>
        <v/>
      </c>
      <c r="Z90" s="27">
        <f>Z89*$G$17</f>
        <v/>
      </c>
      <c r="AA90" s="27">
        <f>AA89*$G$17</f>
        <v/>
      </c>
      <c r="AB90" s="27">
        <f>AB89*$G$17</f>
        <v/>
      </c>
      <c r="AC90" s="27">
        <f>AC89*$G$17</f>
        <v/>
      </c>
      <c r="AD90" s="27">
        <f>AD89*$G$17</f>
        <v/>
      </c>
      <c r="AE90" s="27">
        <f>AE89*$G$17</f>
        <v/>
      </c>
      <c r="AF90" s="27">
        <f>AF89*$G$17</f>
        <v/>
      </c>
      <c r="AG90" s="27">
        <f>AG89*$G$17</f>
        <v/>
      </c>
      <c r="AH90" s="27">
        <f>AH89*$G$17</f>
        <v/>
      </c>
      <c r="AI90" s="27">
        <f>AI89*$G$17</f>
        <v/>
      </c>
      <c r="AJ90" s="27">
        <f>AJ89*$G$17</f>
        <v/>
      </c>
      <c r="AK90" s="27">
        <f>AK89*$G$17</f>
        <v/>
      </c>
      <c r="AL90" s="27">
        <f>AL89*$G$17</f>
        <v/>
      </c>
      <c r="AM90" s="27">
        <f>AM89*$G$17</f>
        <v/>
      </c>
      <c r="AN90" s="27">
        <f>AN89*$G$17</f>
        <v/>
      </c>
      <c r="AO90" s="27">
        <f>AO89*$G$17</f>
        <v/>
      </c>
      <c r="AP90" s="27">
        <f>AP89*$G$17</f>
        <v/>
      </c>
      <c r="AQ90" s="27">
        <f>AQ89*$G$17</f>
        <v/>
      </c>
      <c r="AR90" s="27">
        <f>AR89*$G$17</f>
        <v/>
      </c>
      <c r="AS90" s="27">
        <f>AS89*$G$17</f>
        <v/>
      </c>
      <c r="AT90" s="27">
        <f>AT89*$G$17</f>
        <v/>
      </c>
      <c r="AU90" s="27">
        <f>AU89*$G$17</f>
        <v/>
      </c>
      <c r="AV90" s="27">
        <f>AV89*$G$17</f>
        <v/>
      </c>
      <c r="AW90" s="27">
        <f>AW89*$G$17</f>
        <v/>
      </c>
      <c r="AX90" s="27">
        <f>AX89*$G$17</f>
        <v/>
      </c>
      <c r="AY90" s="27">
        <f>AY89*$G$17</f>
        <v/>
      </c>
      <c r="AZ90" s="27">
        <f>AZ89*$G$17</f>
        <v/>
      </c>
      <c r="BA90" s="27">
        <f>BA89*$G$17</f>
        <v/>
      </c>
      <c r="BB90" s="27">
        <f>BB89*$G$17</f>
        <v/>
      </c>
    </row>
    <row r="91">
      <c r="A91" s="3" t="inlineStr">
        <is>
          <t>In store this week</t>
        </is>
      </c>
      <c r="B91" s="4" t="inlineStr">
        <is>
          <t>lb</t>
        </is>
      </c>
      <c r="C91" s="27">
        <f>C89-C90+C88</f>
        <v/>
      </c>
      <c r="D91" s="27">
        <f>D89-D90+D88</f>
        <v/>
      </c>
      <c r="E91" s="27">
        <f>E89-E90+E88</f>
        <v/>
      </c>
      <c r="F91" s="27">
        <f>F89-F90+F88</f>
        <v/>
      </c>
      <c r="G91" s="27">
        <f>G89-G90+G88</f>
        <v/>
      </c>
      <c r="H91" s="27">
        <f>H89-H90+H88</f>
        <v/>
      </c>
      <c r="I91" s="27">
        <f>I89-I90+I88</f>
        <v/>
      </c>
      <c r="J91" s="27">
        <f>J89-J90+J88</f>
        <v/>
      </c>
      <c r="K91" s="27">
        <f>K89-K90+K88</f>
        <v/>
      </c>
      <c r="L91" s="27">
        <f>L89-L90+L88</f>
        <v/>
      </c>
      <c r="M91" s="27">
        <f>M89-M90+M88</f>
        <v/>
      </c>
      <c r="N91" s="27">
        <f>N89-N90+N88</f>
        <v/>
      </c>
      <c r="O91" s="27">
        <f>O89-O90+O88</f>
        <v/>
      </c>
      <c r="P91" s="27">
        <f>P89-P90+P88</f>
        <v/>
      </c>
      <c r="Q91" s="27">
        <f>Q89-Q90+Q88</f>
        <v/>
      </c>
      <c r="R91" s="27">
        <f>R89-R90+R88</f>
        <v/>
      </c>
      <c r="S91" s="27">
        <f>S89-S90+S88</f>
        <v/>
      </c>
      <c r="T91" s="27">
        <f>T89-T90+T88</f>
        <v/>
      </c>
      <c r="U91" s="27">
        <f>U89-U90+U88</f>
        <v/>
      </c>
      <c r="V91" s="27">
        <f>V89-V90+V88</f>
        <v/>
      </c>
      <c r="W91" s="27">
        <f>W89-W90+W88</f>
        <v/>
      </c>
      <c r="X91" s="27">
        <f>X89-X90+X88</f>
        <v/>
      </c>
      <c r="Y91" s="27">
        <f>Y89-Y90+Y88</f>
        <v/>
      </c>
      <c r="Z91" s="27">
        <f>Z89-Z90+Z88</f>
        <v/>
      </c>
      <c r="AA91" s="27">
        <f>AA89-AA90+AA88</f>
        <v/>
      </c>
      <c r="AB91" s="27">
        <f>AB89-AB90+AB88</f>
        <v/>
      </c>
      <c r="AC91" s="27">
        <f>AC89-AC90+AC88</f>
        <v/>
      </c>
      <c r="AD91" s="27">
        <f>AD89-AD90+AD88</f>
        <v/>
      </c>
      <c r="AE91" s="27">
        <f>AE89-AE90+AE88</f>
        <v/>
      </c>
      <c r="AF91" s="27">
        <f>AF89-AF90+AF88</f>
        <v/>
      </c>
      <c r="AG91" s="27">
        <f>AG89-AG90+AG88</f>
        <v/>
      </c>
      <c r="AH91" s="27">
        <f>AH89-AH90+AH88</f>
        <v/>
      </c>
      <c r="AI91" s="27">
        <f>AI89-AI90+AI88</f>
        <v/>
      </c>
      <c r="AJ91" s="27">
        <f>AJ89-AJ90+AJ88</f>
        <v/>
      </c>
      <c r="AK91" s="27">
        <f>AK89-AK90+AK88</f>
        <v/>
      </c>
      <c r="AL91" s="27">
        <f>AL89-AL90+AL88</f>
        <v/>
      </c>
      <c r="AM91" s="27">
        <f>AM89-AM90+AM88</f>
        <v/>
      </c>
      <c r="AN91" s="27">
        <f>AN89-AN90+AN88</f>
        <v/>
      </c>
      <c r="AO91" s="27">
        <f>AO89-AO90+AO88</f>
        <v/>
      </c>
      <c r="AP91" s="27">
        <f>AP89-AP90+AP88</f>
        <v/>
      </c>
      <c r="AQ91" s="27">
        <f>AQ89-AQ90+AQ88</f>
        <v/>
      </c>
      <c r="AR91" s="27">
        <f>AR89-AR90+AR88</f>
        <v/>
      </c>
      <c r="AS91" s="27">
        <f>AS89-AS90+AS88</f>
        <v/>
      </c>
      <c r="AT91" s="27">
        <f>AT89-AT90+AT88</f>
        <v/>
      </c>
      <c r="AU91" s="27">
        <f>AU89-AU90+AU88</f>
        <v/>
      </c>
      <c r="AV91" s="27">
        <f>AV89-AV90+AV88</f>
        <v/>
      </c>
      <c r="AW91" s="27">
        <f>AW89-AW90+AW88</f>
        <v/>
      </c>
      <c r="AX91" s="27">
        <f>AX89-AX90+AX88</f>
        <v/>
      </c>
      <c r="AY91" s="27">
        <f>AY89-AY90+AY88</f>
        <v/>
      </c>
      <c r="AZ91" s="27">
        <f>AZ89-AZ90+AZ88</f>
        <v/>
      </c>
      <c r="BA91" s="27">
        <f>BA89-BA90+BA88</f>
        <v/>
      </c>
      <c r="BB91" s="27">
        <f>BB89-BB90+BB88</f>
        <v/>
      </c>
    </row>
    <row r="92">
      <c r="A92" s="31" t="inlineStr">
        <is>
          <t>Farmers Market — weekly ceiling</t>
        </is>
      </c>
      <c r="B92" s="4" t="inlineStr">
        <is>
          <t>lb</t>
        </is>
      </c>
      <c r="C92" s="32">
        <f>IF($C$25="Annual",$D$25,IF(AND(C$37&gt;=$E$25,C$37&lt;=$F$25),$D$25,0))</f>
        <v/>
      </c>
      <c r="D92" s="32">
        <f>IF($C$25="Annual",$D$25,IF(AND(D$37&gt;=$E$25,D$37&lt;=$F$25),$D$25,0))</f>
        <v/>
      </c>
      <c r="E92" s="32">
        <f>IF($C$25="Annual",$D$25,IF(AND(E$37&gt;=$E$25,E$37&lt;=$F$25),$D$25,0))</f>
        <v/>
      </c>
      <c r="F92" s="32">
        <f>IF($C$25="Annual",$D$25,IF(AND(F$37&gt;=$E$25,F$37&lt;=$F$25),$D$25,0))</f>
        <v/>
      </c>
      <c r="G92" s="32">
        <f>IF($C$25="Annual",$D$25,IF(AND(G$37&gt;=$E$25,G$37&lt;=$F$25),$D$25,0))</f>
        <v/>
      </c>
      <c r="H92" s="32">
        <f>IF($C$25="Annual",$D$25,IF(AND(H$37&gt;=$E$25,H$37&lt;=$F$25),$D$25,0))</f>
        <v/>
      </c>
      <c r="I92" s="32">
        <f>IF($C$25="Annual",$D$25,IF(AND(I$37&gt;=$E$25,I$37&lt;=$F$25),$D$25,0))</f>
        <v/>
      </c>
      <c r="J92" s="32">
        <f>IF($C$25="Annual",$D$25,IF(AND(J$37&gt;=$E$25,J$37&lt;=$F$25),$D$25,0))</f>
        <v/>
      </c>
      <c r="K92" s="32">
        <f>IF($C$25="Annual",$D$25,IF(AND(K$37&gt;=$E$25,K$37&lt;=$F$25),$D$25,0))</f>
        <v/>
      </c>
      <c r="L92" s="32">
        <f>IF($C$25="Annual",$D$25,IF(AND(L$37&gt;=$E$25,L$37&lt;=$F$25),$D$25,0))</f>
        <v/>
      </c>
      <c r="M92" s="32">
        <f>IF($C$25="Annual",$D$25,IF(AND(M$37&gt;=$E$25,M$37&lt;=$F$25),$D$25,0))</f>
        <v/>
      </c>
      <c r="N92" s="32">
        <f>IF($C$25="Annual",$D$25,IF(AND(N$37&gt;=$E$25,N$37&lt;=$F$25),$D$25,0))</f>
        <v/>
      </c>
      <c r="O92" s="32">
        <f>IF($C$25="Annual",$D$25,IF(AND(O$37&gt;=$E$25,O$37&lt;=$F$25),$D$25,0))</f>
        <v/>
      </c>
      <c r="P92" s="32">
        <f>IF($C$25="Annual",$D$25,IF(AND(P$37&gt;=$E$25,P$37&lt;=$F$25),$D$25,0))</f>
        <v/>
      </c>
      <c r="Q92" s="32">
        <f>IF($C$25="Annual",$D$25,IF(AND(Q$37&gt;=$E$25,Q$37&lt;=$F$25),$D$25,0))</f>
        <v/>
      </c>
      <c r="R92" s="32">
        <f>IF($C$25="Annual",$D$25,IF(AND(R$37&gt;=$E$25,R$37&lt;=$F$25),$D$25,0))</f>
        <v/>
      </c>
      <c r="S92" s="32">
        <f>IF($C$25="Annual",$D$25,IF(AND(S$37&gt;=$E$25,S$37&lt;=$F$25),$D$25,0))</f>
        <v/>
      </c>
      <c r="T92" s="32">
        <f>IF($C$25="Annual",$D$25,IF(AND(T$37&gt;=$E$25,T$37&lt;=$F$25),$D$25,0))</f>
        <v/>
      </c>
      <c r="U92" s="32">
        <f>IF($C$25="Annual",$D$25,IF(AND(U$37&gt;=$E$25,U$37&lt;=$F$25),$D$25,0))</f>
        <v/>
      </c>
      <c r="V92" s="32">
        <f>IF($C$25="Annual",$D$25,IF(AND(V$37&gt;=$E$25,V$37&lt;=$F$25),$D$25,0))</f>
        <v/>
      </c>
      <c r="W92" s="32">
        <f>IF($C$25="Annual",$D$25,IF(AND(W$37&gt;=$E$25,W$37&lt;=$F$25),$D$25,0))</f>
        <v/>
      </c>
      <c r="X92" s="32">
        <f>IF($C$25="Annual",$D$25,IF(AND(X$37&gt;=$E$25,X$37&lt;=$F$25),$D$25,0))</f>
        <v/>
      </c>
      <c r="Y92" s="32">
        <f>IF($C$25="Annual",$D$25,IF(AND(Y$37&gt;=$E$25,Y$37&lt;=$F$25),$D$25,0))</f>
        <v/>
      </c>
      <c r="Z92" s="32">
        <f>IF($C$25="Annual",$D$25,IF(AND(Z$37&gt;=$E$25,Z$37&lt;=$F$25),$D$25,0))</f>
        <v/>
      </c>
      <c r="AA92" s="32">
        <f>IF($C$25="Annual",$D$25,IF(AND(AA$37&gt;=$E$25,AA$37&lt;=$F$25),$D$25,0))</f>
        <v/>
      </c>
      <c r="AB92" s="32">
        <f>IF($C$25="Annual",$D$25,IF(AND(AB$37&gt;=$E$25,AB$37&lt;=$F$25),$D$25,0))</f>
        <v/>
      </c>
      <c r="AC92" s="32">
        <f>IF($C$25="Annual",$D$25,IF(AND(AC$37&gt;=$E$25,AC$37&lt;=$F$25),$D$25,0))</f>
        <v/>
      </c>
      <c r="AD92" s="32">
        <f>IF($C$25="Annual",$D$25,IF(AND(AD$37&gt;=$E$25,AD$37&lt;=$F$25),$D$25,0))</f>
        <v/>
      </c>
      <c r="AE92" s="32">
        <f>IF($C$25="Annual",$D$25,IF(AND(AE$37&gt;=$E$25,AE$37&lt;=$F$25),$D$25,0))</f>
        <v/>
      </c>
      <c r="AF92" s="32">
        <f>IF($C$25="Annual",$D$25,IF(AND(AF$37&gt;=$E$25,AF$37&lt;=$F$25),$D$25,0))</f>
        <v/>
      </c>
      <c r="AG92" s="32">
        <f>IF($C$25="Annual",$D$25,IF(AND(AG$37&gt;=$E$25,AG$37&lt;=$F$25),$D$25,0))</f>
        <v/>
      </c>
      <c r="AH92" s="32">
        <f>IF($C$25="Annual",$D$25,IF(AND(AH$37&gt;=$E$25,AH$37&lt;=$F$25),$D$25,0))</f>
        <v/>
      </c>
      <c r="AI92" s="32">
        <f>IF($C$25="Annual",$D$25,IF(AND(AI$37&gt;=$E$25,AI$37&lt;=$F$25),$D$25,0))</f>
        <v/>
      </c>
      <c r="AJ92" s="32">
        <f>IF($C$25="Annual",$D$25,IF(AND(AJ$37&gt;=$E$25,AJ$37&lt;=$F$25),$D$25,0))</f>
        <v/>
      </c>
      <c r="AK92" s="32">
        <f>IF($C$25="Annual",$D$25,IF(AND(AK$37&gt;=$E$25,AK$37&lt;=$F$25),$D$25,0))</f>
        <v/>
      </c>
      <c r="AL92" s="32">
        <f>IF($C$25="Annual",$D$25,IF(AND(AL$37&gt;=$E$25,AL$37&lt;=$F$25),$D$25,0))</f>
        <v/>
      </c>
      <c r="AM92" s="32">
        <f>IF($C$25="Annual",$D$25,IF(AND(AM$37&gt;=$E$25,AM$37&lt;=$F$25),$D$25,0))</f>
        <v/>
      </c>
      <c r="AN92" s="32">
        <f>IF($C$25="Annual",$D$25,IF(AND(AN$37&gt;=$E$25,AN$37&lt;=$F$25),$D$25,0))</f>
        <v/>
      </c>
      <c r="AO92" s="32">
        <f>IF($C$25="Annual",$D$25,IF(AND(AO$37&gt;=$E$25,AO$37&lt;=$F$25),$D$25,0))</f>
        <v/>
      </c>
      <c r="AP92" s="32">
        <f>IF($C$25="Annual",$D$25,IF(AND(AP$37&gt;=$E$25,AP$37&lt;=$F$25),$D$25,0))</f>
        <v/>
      </c>
      <c r="AQ92" s="32">
        <f>IF($C$25="Annual",$D$25,IF(AND(AQ$37&gt;=$E$25,AQ$37&lt;=$F$25),$D$25,0))</f>
        <v/>
      </c>
      <c r="AR92" s="32">
        <f>IF($C$25="Annual",$D$25,IF(AND(AR$37&gt;=$E$25,AR$37&lt;=$F$25),$D$25,0))</f>
        <v/>
      </c>
      <c r="AS92" s="32">
        <f>IF($C$25="Annual",$D$25,IF(AND(AS$37&gt;=$E$25,AS$37&lt;=$F$25),$D$25,0))</f>
        <v/>
      </c>
      <c r="AT92" s="32">
        <f>IF($C$25="Annual",$D$25,IF(AND(AT$37&gt;=$E$25,AT$37&lt;=$F$25),$D$25,0))</f>
        <v/>
      </c>
      <c r="AU92" s="32">
        <f>IF($C$25="Annual",$D$25,IF(AND(AU$37&gt;=$E$25,AU$37&lt;=$F$25),$D$25,0))</f>
        <v/>
      </c>
      <c r="AV92" s="32">
        <f>IF($C$25="Annual",$D$25,IF(AND(AV$37&gt;=$E$25,AV$37&lt;=$F$25),$D$25,0))</f>
        <v/>
      </c>
      <c r="AW92" s="32">
        <f>IF($C$25="Annual",$D$25,IF(AND(AW$37&gt;=$E$25,AW$37&lt;=$F$25),$D$25,0))</f>
        <v/>
      </c>
      <c r="AX92" s="32">
        <f>IF($C$25="Annual",$D$25,IF(AND(AX$37&gt;=$E$25,AX$37&lt;=$F$25),$D$25,0))</f>
        <v/>
      </c>
      <c r="AY92" s="32">
        <f>IF($C$25="Annual",$D$25,IF(AND(AY$37&gt;=$E$25,AY$37&lt;=$F$25),$D$25,0))</f>
        <v/>
      </c>
      <c r="AZ92" s="32">
        <f>IF($C$25="Annual",$D$25,IF(AND(AZ$37&gt;=$E$25,AZ$37&lt;=$F$25),$D$25,0))</f>
        <v/>
      </c>
      <c r="BA92" s="32">
        <f>IF($C$25="Annual",$D$25,IF(AND(BA$37&gt;=$E$25,BA$37&lt;=$F$25),$D$25,0))</f>
        <v/>
      </c>
      <c r="BB92" s="32">
        <f>IF($C$25="Annual",$D$25,IF(AND(BB$37&gt;=$E$25,BB$37&lt;=$F$25),$D$25,0))</f>
        <v/>
      </c>
    </row>
    <row r="93">
      <c r="A93" s="33" t="inlineStr">
        <is>
          <t>Farmers Market — OFFERED</t>
        </is>
      </c>
      <c r="B93" s="4" t="inlineStr">
        <is>
          <t>lb  &lt;-- SOLVER</t>
        </is>
      </c>
      <c r="C93" s="34" t="n">
        <v>0</v>
      </c>
      <c r="D93" s="34" t="n">
        <v>0</v>
      </c>
      <c r="E93" s="34" t="n">
        <v>0</v>
      </c>
      <c r="F93" s="34" t="n">
        <v>0</v>
      </c>
      <c r="G93" s="34" t="n">
        <v>0</v>
      </c>
      <c r="H93" s="34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</v>
      </c>
      <c r="R93" s="34" t="n">
        <v>0</v>
      </c>
      <c r="S93" s="34" t="n">
        <v>0</v>
      </c>
      <c r="T93" s="34" t="n">
        <v>0</v>
      </c>
      <c r="U93" s="34" t="n">
        <v>0</v>
      </c>
      <c r="V93" s="34" t="n">
        <v>0</v>
      </c>
      <c r="W93" s="34" t="n">
        <v>0</v>
      </c>
      <c r="X93" s="34" t="n">
        <v>0</v>
      </c>
      <c r="Y93" s="34" t="n">
        <v>0</v>
      </c>
      <c r="Z93" s="34" t="n">
        <v>0</v>
      </c>
      <c r="AA93" s="34" t="n">
        <v>0</v>
      </c>
      <c r="AB93" s="34" t="n">
        <v>0</v>
      </c>
      <c r="AC93" s="34" t="n">
        <v>0</v>
      </c>
      <c r="AD93" s="34" t="n">
        <v>0</v>
      </c>
      <c r="AE93" s="34" t="n">
        <v>0</v>
      </c>
      <c r="AF93" s="34" t="n">
        <v>0</v>
      </c>
      <c r="AG93" s="34" t="n">
        <v>0</v>
      </c>
      <c r="AH93" s="34" t="n">
        <v>0</v>
      </c>
      <c r="AI93" s="34" t="n">
        <v>0</v>
      </c>
      <c r="AJ93" s="34" t="n">
        <v>0</v>
      </c>
      <c r="AK93" s="34" t="n">
        <v>0</v>
      </c>
      <c r="AL93" s="34" t="n">
        <v>0</v>
      </c>
      <c r="AM93" s="34" t="n">
        <v>0</v>
      </c>
      <c r="AN93" s="34" t="n">
        <v>0</v>
      </c>
      <c r="AO93" s="34" t="n">
        <v>0</v>
      </c>
      <c r="AP93" s="34" t="n">
        <v>0</v>
      </c>
      <c r="AQ93" s="34" t="n">
        <v>0</v>
      </c>
      <c r="AR93" s="34" t="n">
        <v>0</v>
      </c>
      <c r="AS93" s="34" t="n">
        <v>0</v>
      </c>
      <c r="AT93" s="34" t="n">
        <v>0</v>
      </c>
      <c r="AU93" s="34" t="n">
        <v>0</v>
      </c>
      <c r="AV93" s="34" t="n">
        <v>0</v>
      </c>
      <c r="AW93" s="34" t="n">
        <v>0</v>
      </c>
      <c r="AX93" s="34" t="n">
        <v>0</v>
      </c>
      <c r="AY93" s="34" t="n">
        <v>0</v>
      </c>
      <c r="AZ93" s="34" t="n">
        <v>0</v>
      </c>
      <c r="BA93" s="34" t="n">
        <v>0</v>
      </c>
      <c r="BB93" s="34" t="n">
        <v>0</v>
      </c>
    </row>
    <row r="94">
      <c r="A94" s="35" t="inlineStr">
        <is>
          <t>Farmers Market — SOLD</t>
        </is>
      </c>
      <c r="B94" s="4" t="inlineStr">
        <is>
          <t>lb</t>
        </is>
      </c>
      <c r="C94" s="32">
        <f>C93*$G$25</f>
        <v/>
      </c>
      <c r="D94" s="32">
        <f>D93*$G$25</f>
        <v/>
      </c>
      <c r="E94" s="32">
        <f>E93*$G$25</f>
        <v/>
      </c>
      <c r="F94" s="32">
        <f>F93*$G$25</f>
        <v/>
      </c>
      <c r="G94" s="32">
        <f>G93*$G$25</f>
        <v/>
      </c>
      <c r="H94" s="32">
        <f>H93*$G$25</f>
        <v/>
      </c>
      <c r="I94" s="32">
        <f>I93*$G$25</f>
        <v/>
      </c>
      <c r="J94" s="32">
        <f>J93*$G$25</f>
        <v/>
      </c>
      <c r="K94" s="32">
        <f>K93*$G$25</f>
        <v/>
      </c>
      <c r="L94" s="32">
        <f>L93*$G$25</f>
        <v/>
      </c>
      <c r="M94" s="32">
        <f>M93*$G$25</f>
        <v/>
      </c>
      <c r="N94" s="32">
        <f>N93*$G$25</f>
        <v/>
      </c>
      <c r="O94" s="32">
        <f>O93*$G$25</f>
        <v/>
      </c>
      <c r="P94" s="32">
        <f>P93*$G$25</f>
        <v/>
      </c>
      <c r="Q94" s="32">
        <f>Q93*$G$25</f>
        <v/>
      </c>
      <c r="R94" s="32">
        <f>R93*$G$25</f>
        <v/>
      </c>
      <c r="S94" s="32">
        <f>S93*$G$25</f>
        <v/>
      </c>
      <c r="T94" s="32">
        <f>T93*$G$25</f>
        <v/>
      </c>
      <c r="U94" s="32">
        <f>U93*$G$25</f>
        <v/>
      </c>
      <c r="V94" s="32">
        <f>V93*$G$25</f>
        <v/>
      </c>
      <c r="W94" s="32">
        <f>W93*$G$25</f>
        <v/>
      </c>
      <c r="X94" s="32">
        <f>X93*$G$25</f>
        <v/>
      </c>
      <c r="Y94" s="32">
        <f>Y93*$G$25</f>
        <v/>
      </c>
      <c r="Z94" s="32">
        <f>Z93*$G$25</f>
        <v/>
      </c>
      <c r="AA94" s="32">
        <f>AA93*$G$25</f>
        <v/>
      </c>
      <c r="AB94" s="32">
        <f>AB93*$G$25</f>
        <v/>
      </c>
      <c r="AC94" s="32">
        <f>AC93*$G$25</f>
        <v/>
      </c>
      <c r="AD94" s="32">
        <f>AD93*$G$25</f>
        <v/>
      </c>
      <c r="AE94" s="32">
        <f>AE93*$G$25</f>
        <v/>
      </c>
      <c r="AF94" s="32">
        <f>AF93*$G$25</f>
        <v/>
      </c>
      <c r="AG94" s="32">
        <f>AG93*$G$25</f>
        <v/>
      </c>
      <c r="AH94" s="32">
        <f>AH93*$G$25</f>
        <v/>
      </c>
      <c r="AI94" s="32">
        <f>AI93*$G$25</f>
        <v/>
      </c>
      <c r="AJ94" s="32">
        <f>AJ93*$G$25</f>
        <v/>
      </c>
      <c r="AK94" s="32">
        <f>AK93*$G$25</f>
        <v/>
      </c>
      <c r="AL94" s="32">
        <f>AL93*$G$25</f>
        <v/>
      </c>
      <c r="AM94" s="32">
        <f>AM93*$G$25</f>
        <v/>
      </c>
      <c r="AN94" s="32">
        <f>AN93*$G$25</f>
        <v/>
      </c>
      <c r="AO94" s="32">
        <f>AO93*$G$25</f>
        <v/>
      </c>
      <c r="AP94" s="32">
        <f>AP93*$G$25</f>
        <v/>
      </c>
      <c r="AQ94" s="32">
        <f>AQ93*$G$25</f>
        <v/>
      </c>
      <c r="AR94" s="32">
        <f>AR93*$G$25</f>
        <v/>
      </c>
      <c r="AS94" s="32">
        <f>AS93*$G$25</f>
        <v/>
      </c>
      <c r="AT94" s="32">
        <f>AT93*$G$25</f>
        <v/>
      </c>
      <c r="AU94" s="32">
        <f>AU93*$G$25</f>
        <v/>
      </c>
      <c r="AV94" s="32">
        <f>AV93*$G$25</f>
        <v/>
      </c>
      <c r="AW94" s="32">
        <f>AW93*$G$25</f>
        <v/>
      </c>
      <c r="AX94" s="32">
        <f>AX93*$G$25</f>
        <v/>
      </c>
      <c r="AY94" s="32">
        <f>AY93*$G$25</f>
        <v/>
      </c>
      <c r="AZ94" s="32">
        <f>AZ93*$G$25</f>
        <v/>
      </c>
      <c r="BA94" s="32">
        <f>BA93*$G$25</f>
        <v/>
      </c>
      <c r="BB94" s="32">
        <f>BB93*$G$25</f>
        <v/>
      </c>
    </row>
    <row r="95">
      <c r="A95" s="25" t="inlineStr">
        <is>
          <t xml:space="preserve">   market loss (gone)</t>
        </is>
      </c>
      <c r="B95" s="4" t="inlineStr">
        <is>
          <t>lb</t>
        </is>
      </c>
      <c r="C95" s="27">
        <f>(C93-C94)*(1-$H$25)</f>
        <v/>
      </c>
      <c r="D95" s="27">
        <f>(D93-D94)*(1-$H$25)</f>
        <v/>
      </c>
      <c r="E95" s="27">
        <f>(E93-E94)*(1-$H$25)</f>
        <v/>
      </c>
      <c r="F95" s="27">
        <f>(F93-F94)*(1-$H$25)</f>
        <v/>
      </c>
      <c r="G95" s="27">
        <f>(G93-G94)*(1-$H$25)</f>
        <v/>
      </c>
      <c r="H95" s="27">
        <f>(H93-H94)*(1-$H$25)</f>
        <v/>
      </c>
      <c r="I95" s="27">
        <f>(I93-I94)*(1-$H$25)</f>
        <v/>
      </c>
      <c r="J95" s="27">
        <f>(J93-J94)*(1-$H$25)</f>
        <v/>
      </c>
      <c r="K95" s="27">
        <f>(K93-K94)*(1-$H$25)</f>
        <v/>
      </c>
      <c r="L95" s="27">
        <f>(L93-L94)*(1-$H$25)</f>
        <v/>
      </c>
      <c r="M95" s="27">
        <f>(M93-M94)*(1-$H$25)</f>
        <v/>
      </c>
      <c r="N95" s="27">
        <f>(N93-N94)*(1-$H$25)</f>
        <v/>
      </c>
      <c r="O95" s="27">
        <f>(O93-O94)*(1-$H$25)</f>
        <v/>
      </c>
      <c r="P95" s="27">
        <f>(P93-P94)*(1-$H$25)</f>
        <v/>
      </c>
      <c r="Q95" s="27">
        <f>(Q93-Q94)*(1-$H$25)</f>
        <v/>
      </c>
      <c r="R95" s="27">
        <f>(R93-R94)*(1-$H$25)</f>
        <v/>
      </c>
      <c r="S95" s="27">
        <f>(S93-S94)*(1-$H$25)</f>
        <v/>
      </c>
      <c r="T95" s="27">
        <f>(T93-T94)*(1-$H$25)</f>
        <v/>
      </c>
      <c r="U95" s="27">
        <f>(U93-U94)*(1-$H$25)</f>
        <v/>
      </c>
      <c r="V95" s="27">
        <f>(V93-V94)*(1-$H$25)</f>
        <v/>
      </c>
      <c r="W95" s="27">
        <f>(W93-W94)*(1-$H$25)</f>
        <v/>
      </c>
      <c r="X95" s="27">
        <f>(X93-X94)*(1-$H$25)</f>
        <v/>
      </c>
      <c r="Y95" s="27">
        <f>(Y93-Y94)*(1-$H$25)</f>
        <v/>
      </c>
      <c r="Z95" s="27">
        <f>(Z93-Z94)*(1-$H$25)</f>
        <v/>
      </c>
      <c r="AA95" s="27">
        <f>(AA93-AA94)*(1-$H$25)</f>
        <v/>
      </c>
      <c r="AB95" s="27">
        <f>(AB93-AB94)*(1-$H$25)</f>
        <v/>
      </c>
      <c r="AC95" s="27">
        <f>(AC93-AC94)*(1-$H$25)</f>
        <v/>
      </c>
      <c r="AD95" s="27">
        <f>(AD93-AD94)*(1-$H$25)</f>
        <v/>
      </c>
      <c r="AE95" s="27">
        <f>(AE93-AE94)*(1-$H$25)</f>
        <v/>
      </c>
      <c r="AF95" s="27">
        <f>(AF93-AF94)*(1-$H$25)</f>
        <v/>
      </c>
      <c r="AG95" s="27">
        <f>(AG93-AG94)*(1-$H$25)</f>
        <v/>
      </c>
      <c r="AH95" s="27">
        <f>(AH93-AH94)*(1-$H$25)</f>
        <v/>
      </c>
      <c r="AI95" s="27">
        <f>(AI93-AI94)*(1-$H$25)</f>
        <v/>
      </c>
      <c r="AJ95" s="27">
        <f>(AJ93-AJ94)*(1-$H$25)</f>
        <v/>
      </c>
      <c r="AK95" s="27">
        <f>(AK93-AK94)*(1-$H$25)</f>
        <v/>
      </c>
      <c r="AL95" s="27">
        <f>(AL93-AL94)*(1-$H$25)</f>
        <v/>
      </c>
      <c r="AM95" s="27">
        <f>(AM93-AM94)*(1-$H$25)</f>
        <v/>
      </c>
      <c r="AN95" s="27">
        <f>(AN93-AN94)*(1-$H$25)</f>
        <v/>
      </c>
      <c r="AO95" s="27">
        <f>(AO93-AO94)*(1-$H$25)</f>
        <v/>
      </c>
      <c r="AP95" s="27">
        <f>(AP93-AP94)*(1-$H$25)</f>
        <v/>
      </c>
      <c r="AQ95" s="27">
        <f>(AQ93-AQ94)*(1-$H$25)</f>
        <v/>
      </c>
      <c r="AR95" s="27">
        <f>(AR93-AR94)*(1-$H$25)</f>
        <v/>
      </c>
      <c r="AS95" s="27">
        <f>(AS93-AS94)*(1-$H$25)</f>
        <v/>
      </c>
      <c r="AT95" s="27">
        <f>(AT93-AT94)*(1-$H$25)</f>
        <v/>
      </c>
      <c r="AU95" s="27">
        <f>(AU93-AU94)*(1-$H$25)</f>
        <v/>
      </c>
      <c r="AV95" s="27">
        <f>(AV93-AV94)*(1-$H$25)</f>
        <v/>
      </c>
      <c r="AW95" s="27">
        <f>(AW93-AW94)*(1-$H$25)</f>
        <v/>
      </c>
      <c r="AX95" s="27">
        <f>(AX93-AX94)*(1-$H$25)</f>
        <v/>
      </c>
      <c r="AY95" s="27">
        <f>(AY93-AY94)*(1-$H$25)</f>
        <v/>
      </c>
      <c r="AZ95" s="27">
        <f>(AZ93-AZ94)*(1-$H$25)</f>
        <v/>
      </c>
      <c r="BA95" s="27">
        <f>(BA93-BA94)*(1-$H$25)</f>
        <v/>
      </c>
      <c r="BB95" s="27">
        <f>(BB93-BB94)*(1-$H$25)</f>
        <v/>
      </c>
    </row>
    <row r="96">
      <c r="A96" s="25" t="inlineStr">
        <is>
          <t xml:space="preserve">   returned to store</t>
        </is>
      </c>
      <c r="B96" s="4" t="inlineStr">
        <is>
          <t>lb</t>
        </is>
      </c>
      <c r="C96" s="27">
        <f>(C93-C94)*$H$25</f>
        <v/>
      </c>
      <c r="D96" s="27">
        <f>(D93-D94)*$H$25</f>
        <v/>
      </c>
      <c r="E96" s="27">
        <f>(E93-E94)*$H$25</f>
        <v/>
      </c>
      <c r="F96" s="27">
        <f>(F93-F94)*$H$25</f>
        <v/>
      </c>
      <c r="G96" s="27">
        <f>(G93-G94)*$H$25</f>
        <v/>
      </c>
      <c r="H96" s="27">
        <f>(H93-H94)*$H$25</f>
        <v/>
      </c>
      <c r="I96" s="27">
        <f>(I93-I94)*$H$25</f>
        <v/>
      </c>
      <c r="J96" s="27">
        <f>(J93-J94)*$H$25</f>
        <v/>
      </c>
      <c r="K96" s="27">
        <f>(K93-K94)*$H$25</f>
        <v/>
      </c>
      <c r="L96" s="27">
        <f>(L93-L94)*$H$25</f>
        <v/>
      </c>
      <c r="M96" s="27">
        <f>(M93-M94)*$H$25</f>
        <v/>
      </c>
      <c r="N96" s="27">
        <f>(N93-N94)*$H$25</f>
        <v/>
      </c>
      <c r="O96" s="27">
        <f>(O93-O94)*$H$25</f>
        <v/>
      </c>
      <c r="P96" s="27">
        <f>(P93-P94)*$H$25</f>
        <v/>
      </c>
      <c r="Q96" s="27">
        <f>(Q93-Q94)*$H$25</f>
        <v/>
      </c>
      <c r="R96" s="27">
        <f>(R93-R94)*$H$25</f>
        <v/>
      </c>
      <c r="S96" s="27">
        <f>(S93-S94)*$H$25</f>
        <v/>
      </c>
      <c r="T96" s="27">
        <f>(T93-T94)*$H$25</f>
        <v/>
      </c>
      <c r="U96" s="27">
        <f>(U93-U94)*$H$25</f>
        <v/>
      </c>
      <c r="V96" s="27">
        <f>(V93-V94)*$H$25</f>
        <v/>
      </c>
      <c r="W96" s="27">
        <f>(W93-W94)*$H$25</f>
        <v/>
      </c>
      <c r="X96" s="27">
        <f>(X93-X94)*$H$25</f>
        <v/>
      </c>
      <c r="Y96" s="27">
        <f>(Y93-Y94)*$H$25</f>
        <v/>
      </c>
      <c r="Z96" s="27">
        <f>(Z93-Z94)*$H$25</f>
        <v/>
      </c>
      <c r="AA96" s="27">
        <f>(AA93-AA94)*$H$25</f>
        <v/>
      </c>
      <c r="AB96" s="27">
        <f>(AB93-AB94)*$H$25</f>
        <v/>
      </c>
      <c r="AC96" s="27">
        <f>(AC93-AC94)*$H$25</f>
        <v/>
      </c>
      <c r="AD96" s="27">
        <f>(AD93-AD94)*$H$25</f>
        <v/>
      </c>
      <c r="AE96" s="27">
        <f>(AE93-AE94)*$H$25</f>
        <v/>
      </c>
      <c r="AF96" s="27">
        <f>(AF93-AF94)*$H$25</f>
        <v/>
      </c>
      <c r="AG96" s="27">
        <f>(AG93-AG94)*$H$25</f>
        <v/>
      </c>
      <c r="AH96" s="27">
        <f>(AH93-AH94)*$H$25</f>
        <v/>
      </c>
      <c r="AI96" s="27">
        <f>(AI93-AI94)*$H$25</f>
        <v/>
      </c>
      <c r="AJ96" s="27">
        <f>(AJ93-AJ94)*$H$25</f>
        <v/>
      </c>
      <c r="AK96" s="27">
        <f>(AK93-AK94)*$H$25</f>
        <v/>
      </c>
      <c r="AL96" s="27">
        <f>(AL93-AL94)*$H$25</f>
        <v/>
      </c>
      <c r="AM96" s="27">
        <f>(AM93-AM94)*$H$25</f>
        <v/>
      </c>
      <c r="AN96" s="27">
        <f>(AN93-AN94)*$H$25</f>
        <v/>
      </c>
      <c r="AO96" s="27">
        <f>(AO93-AO94)*$H$25</f>
        <v/>
      </c>
      <c r="AP96" s="27">
        <f>(AP93-AP94)*$H$25</f>
        <v/>
      </c>
      <c r="AQ96" s="27">
        <f>(AQ93-AQ94)*$H$25</f>
        <v/>
      </c>
      <c r="AR96" s="27">
        <f>(AR93-AR94)*$H$25</f>
        <v/>
      </c>
      <c r="AS96" s="27">
        <f>(AS93-AS94)*$H$25</f>
        <v/>
      </c>
      <c r="AT96" s="27">
        <f>(AT93-AT94)*$H$25</f>
        <v/>
      </c>
      <c r="AU96" s="27">
        <f>(AU93-AU94)*$H$25</f>
        <v/>
      </c>
      <c r="AV96" s="27">
        <f>(AV93-AV94)*$H$25</f>
        <v/>
      </c>
      <c r="AW96" s="27">
        <f>(AW93-AW94)*$H$25</f>
        <v/>
      </c>
      <c r="AX96" s="27">
        <f>(AX93-AX94)*$H$25</f>
        <v/>
      </c>
      <c r="AY96" s="27">
        <f>(AY93-AY94)*$H$25</f>
        <v/>
      </c>
      <c r="AZ96" s="27">
        <f>(AZ93-AZ94)*$H$25</f>
        <v/>
      </c>
      <c r="BA96" s="27">
        <f>(BA93-BA94)*$H$25</f>
        <v/>
      </c>
      <c r="BB96" s="27">
        <f>(BB93-BB94)*$H$25</f>
        <v/>
      </c>
    </row>
    <row r="97">
      <c r="A97" s="25" t="inlineStr">
        <is>
          <t xml:space="preserve">   consumed from store</t>
        </is>
      </c>
      <c r="B97" s="4" t="inlineStr">
        <is>
          <t>lb</t>
        </is>
      </c>
      <c r="C97" s="27">
        <f>C93-C96</f>
        <v/>
      </c>
      <c r="D97" s="27">
        <f>D93-D96</f>
        <v/>
      </c>
      <c r="E97" s="27">
        <f>E93-E96</f>
        <v/>
      </c>
      <c r="F97" s="27">
        <f>F93-F96</f>
        <v/>
      </c>
      <c r="G97" s="27">
        <f>G93-G96</f>
        <v/>
      </c>
      <c r="H97" s="27">
        <f>H93-H96</f>
        <v/>
      </c>
      <c r="I97" s="27">
        <f>I93-I96</f>
        <v/>
      </c>
      <c r="J97" s="27">
        <f>J93-J96</f>
        <v/>
      </c>
      <c r="K97" s="27">
        <f>K93-K96</f>
        <v/>
      </c>
      <c r="L97" s="27">
        <f>L93-L96</f>
        <v/>
      </c>
      <c r="M97" s="27">
        <f>M93-M96</f>
        <v/>
      </c>
      <c r="N97" s="27">
        <f>N93-N96</f>
        <v/>
      </c>
      <c r="O97" s="27">
        <f>O93-O96</f>
        <v/>
      </c>
      <c r="P97" s="27">
        <f>P93-P96</f>
        <v/>
      </c>
      <c r="Q97" s="27">
        <f>Q93-Q96</f>
        <v/>
      </c>
      <c r="R97" s="27">
        <f>R93-R96</f>
        <v/>
      </c>
      <c r="S97" s="27">
        <f>S93-S96</f>
        <v/>
      </c>
      <c r="T97" s="27">
        <f>T93-T96</f>
        <v/>
      </c>
      <c r="U97" s="27">
        <f>U93-U96</f>
        <v/>
      </c>
      <c r="V97" s="27">
        <f>V93-V96</f>
        <v/>
      </c>
      <c r="W97" s="27">
        <f>W93-W96</f>
        <v/>
      </c>
      <c r="X97" s="27">
        <f>X93-X96</f>
        <v/>
      </c>
      <c r="Y97" s="27">
        <f>Y93-Y96</f>
        <v/>
      </c>
      <c r="Z97" s="27">
        <f>Z93-Z96</f>
        <v/>
      </c>
      <c r="AA97" s="27">
        <f>AA93-AA96</f>
        <v/>
      </c>
      <c r="AB97" s="27">
        <f>AB93-AB96</f>
        <v/>
      </c>
      <c r="AC97" s="27">
        <f>AC93-AC96</f>
        <v/>
      </c>
      <c r="AD97" s="27">
        <f>AD93-AD96</f>
        <v/>
      </c>
      <c r="AE97" s="27">
        <f>AE93-AE96</f>
        <v/>
      </c>
      <c r="AF97" s="27">
        <f>AF93-AF96</f>
        <v/>
      </c>
      <c r="AG97" s="27">
        <f>AG93-AG96</f>
        <v/>
      </c>
      <c r="AH97" s="27">
        <f>AH93-AH96</f>
        <v/>
      </c>
      <c r="AI97" s="27">
        <f>AI93-AI96</f>
        <v/>
      </c>
      <c r="AJ97" s="27">
        <f>AJ93-AJ96</f>
        <v/>
      </c>
      <c r="AK97" s="27">
        <f>AK93-AK96</f>
        <v/>
      </c>
      <c r="AL97" s="27">
        <f>AL93-AL96</f>
        <v/>
      </c>
      <c r="AM97" s="27">
        <f>AM93-AM96</f>
        <v/>
      </c>
      <c r="AN97" s="27">
        <f>AN93-AN96</f>
        <v/>
      </c>
      <c r="AO97" s="27">
        <f>AO93-AO96</f>
        <v/>
      </c>
      <c r="AP97" s="27">
        <f>AP93-AP96</f>
        <v/>
      </c>
      <c r="AQ97" s="27">
        <f>AQ93-AQ96</f>
        <v/>
      </c>
      <c r="AR97" s="27">
        <f>AR93-AR96</f>
        <v/>
      </c>
      <c r="AS97" s="27">
        <f>AS93-AS96</f>
        <v/>
      </c>
      <c r="AT97" s="27">
        <f>AT93-AT96</f>
        <v/>
      </c>
      <c r="AU97" s="27">
        <f>AU93-AU96</f>
        <v/>
      </c>
      <c r="AV97" s="27">
        <f>AV93-AV96</f>
        <v/>
      </c>
      <c r="AW97" s="27">
        <f>AW93-AW96</f>
        <v/>
      </c>
      <c r="AX97" s="27">
        <f>AX93-AX96</f>
        <v/>
      </c>
      <c r="AY97" s="27">
        <f>AY93-AY96</f>
        <v/>
      </c>
      <c r="AZ97" s="27">
        <f>AZ93-AZ96</f>
        <v/>
      </c>
      <c r="BA97" s="27">
        <f>BA93-BA96</f>
        <v/>
      </c>
      <c r="BB97" s="27">
        <f>BB93-BB96</f>
        <v/>
      </c>
    </row>
    <row r="98">
      <c r="A98" s="36" t="inlineStr">
        <is>
          <t>Wholesale — weekly ceiling</t>
        </is>
      </c>
      <c r="B98" s="4" t="inlineStr">
        <is>
          <t>lb</t>
        </is>
      </c>
      <c r="C98" s="37">
        <f>IF($C$26="Annual",$D$26,IF(AND(C$37&gt;=$E$26,C$37&lt;=$F$26),$D$26,0))</f>
        <v/>
      </c>
      <c r="D98" s="37">
        <f>IF($C$26="Annual",$D$26,IF(AND(D$37&gt;=$E$26,D$37&lt;=$F$26),$D$26,0))</f>
        <v/>
      </c>
      <c r="E98" s="37">
        <f>IF($C$26="Annual",$D$26,IF(AND(E$37&gt;=$E$26,E$37&lt;=$F$26),$D$26,0))</f>
        <v/>
      </c>
      <c r="F98" s="37">
        <f>IF($C$26="Annual",$D$26,IF(AND(F$37&gt;=$E$26,F$37&lt;=$F$26),$D$26,0))</f>
        <v/>
      </c>
      <c r="G98" s="37">
        <f>IF($C$26="Annual",$D$26,IF(AND(G$37&gt;=$E$26,G$37&lt;=$F$26),$D$26,0))</f>
        <v/>
      </c>
      <c r="H98" s="37">
        <f>IF($C$26="Annual",$D$26,IF(AND(H$37&gt;=$E$26,H$37&lt;=$F$26),$D$26,0))</f>
        <v/>
      </c>
      <c r="I98" s="37">
        <f>IF($C$26="Annual",$D$26,IF(AND(I$37&gt;=$E$26,I$37&lt;=$F$26),$D$26,0))</f>
        <v/>
      </c>
      <c r="J98" s="37">
        <f>IF($C$26="Annual",$D$26,IF(AND(J$37&gt;=$E$26,J$37&lt;=$F$26),$D$26,0))</f>
        <v/>
      </c>
      <c r="K98" s="37">
        <f>IF($C$26="Annual",$D$26,IF(AND(K$37&gt;=$E$26,K$37&lt;=$F$26),$D$26,0))</f>
        <v/>
      </c>
      <c r="L98" s="37">
        <f>IF($C$26="Annual",$D$26,IF(AND(L$37&gt;=$E$26,L$37&lt;=$F$26),$D$26,0))</f>
        <v/>
      </c>
      <c r="M98" s="37">
        <f>IF($C$26="Annual",$D$26,IF(AND(M$37&gt;=$E$26,M$37&lt;=$F$26),$D$26,0))</f>
        <v/>
      </c>
      <c r="N98" s="37">
        <f>IF($C$26="Annual",$D$26,IF(AND(N$37&gt;=$E$26,N$37&lt;=$F$26),$D$26,0))</f>
        <v/>
      </c>
      <c r="O98" s="37">
        <f>IF($C$26="Annual",$D$26,IF(AND(O$37&gt;=$E$26,O$37&lt;=$F$26),$D$26,0))</f>
        <v/>
      </c>
      <c r="P98" s="37">
        <f>IF($C$26="Annual",$D$26,IF(AND(P$37&gt;=$E$26,P$37&lt;=$F$26),$D$26,0))</f>
        <v/>
      </c>
      <c r="Q98" s="37">
        <f>IF($C$26="Annual",$D$26,IF(AND(Q$37&gt;=$E$26,Q$37&lt;=$F$26),$D$26,0))</f>
        <v/>
      </c>
      <c r="R98" s="37">
        <f>IF($C$26="Annual",$D$26,IF(AND(R$37&gt;=$E$26,R$37&lt;=$F$26),$D$26,0))</f>
        <v/>
      </c>
      <c r="S98" s="37">
        <f>IF($C$26="Annual",$D$26,IF(AND(S$37&gt;=$E$26,S$37&lt;=$F$26),$D$26,0))</f>
        <v/>
      </c>
      <c r="T98" s="37">
        <f>IF($C$26="Annual",$D$26,IF(AND(T$37&gt;=$E$26,T$37&lt;=$F$26),$D$26,0))</f>
        <v/>
      </c>
      <c r="U98" s="37">
        <f>IF($C$26="Annual",$D$26,IF(AND(U$37&gt;=$E$26,U$37&lt;=$F$26),$D$26,0))</f>
        <v/>
      </c>
      <c r="V98" s="37">
        <f>IF($C$26="Annual",$D$26,IF(AND(V$37&gt;=$E$26,V$37&lt;=$F$26),$D$26,0))</f>
        <v/>
      </c>
      <c r="W98" s="37">
        <f>IF($C$26="Annual",$D$26,IF(AND(W$37&gt;=$E$26,W$37&lt;=$F$26),$D$26,0))</f>
        <v/>
      </c>
      <c r="X98" s="37">
        <f>IF($C$26="Annual",$D$26,IF(AND(X$37&gt;=$E$26,X$37&lt;=$F$26),$D$26,0))</f>
        <v/>
      </c>
      <c r="Y98" s="37">
        <f>IF($C$26="Annual",$D$26,IF(AND(Y$37&gt;=$E$26,Y$37&lt;=$F$26),$D$26,0))</f>
        <v/>
      </c>
      <c r="Z98" s="37">
        <f>IF($C$26="Annual",$D$26,IF(AND(Z$37&gt;=$E$26,Z$37&lt;=$F$26),$D$26,0))</f>
        <v/>
      </c>
      <c r="AA98" s="37">
        <f>IF($C$26="Annual",$D$26,IF(AND(AA$37&gt;=$E$26,AA$37&lt;=$F$26),$D$26,0))</f>
        <v/>
      </c>
      <c r="AB98" s="37">
        <f>IF($C$26="Annual",$D$26,IF(AND(AB$37&gt;=$E$26,AB$37&lt;=$F$26),$D$26,0))</f>
        <v/>
      </c>
      <c r="AC98" s="37">
        <f>IF($C$26="Annual",$D$26,IF(AND(AC$37&gt;=$E$26,AC$37&lt;=$F$26),$D$26,0))</f>
        <v/>
      </c>
      <c r="AD98" s="37">
        <f>IF($C$26="Annual",$D$26,IF(AND(AD$37&gt;=$E$26,AD$37&lt;=$F$26),$D$26,0))</f>
        <v/>
      </c>
      <c r="AE98" s="37">
        <f>IF($C$26="Annual",$D$26,IF(AND(AE$37&gt;=$E$26,AE$37&lt;=$F$26),$D$26,0))</f>
        <v/>
      </c>
      <c r="AF98" s="37">
        <f>IF($C$26="Annual",$D$26,IF(AND(AF$37&gt;=$E$26,AF$37&lt;=$F$26),$D$26,0))</f>
        <v/>
      </c>
      <c r="AG98" s="37">
        <f>IF($C$26="Annual",$D$26,IF(AND(AG$37&gt;=$E$26,AG$37&lt;=$F$26),$D$26,0))</f>
        <v/>
      </c>
      <c r="AH98" s="37">
        <f>IF($C$26="Annual",$D$26,IF(AND(AH$37&gt;=$E$26,AH$37&lt;=$F$26),$D$26,0))</f>
        <v/>
      </c>
      <c r="AI98" s="37">
        <f>IF($C$26="Annual",$D$26,IF(AND(AI$37&gt;=$E$26,AI$37&lt;=$F$26),$D$26,0))</f>
        <v/>
      </c>
      <c r="AJ98" s="37">
        <f>IF($C$26="Annual",$D$26,IF(AND(AJ$37&gt;=$E$26,AJ$37&lt;=$F$26),$D$26,0))</f>
        <v/>
      </c>
      <c r="AK98" s="37">
        <f>IF($C$26="Annual",$D$26,IF(AND(AK$37&gt;=$E$26,AK$37&lt;=$F$26),$D$26,0))</f>
        <v/>
      </c>
      <c r="AL98" s="37">
        <f>IF($C$26="Annual",$D$26,IF(AND(AL$37&gt;=$E$26,AL$37&lt;=$F$26),$D$26,0))</f>
        <v/>
      </c>
      <c r="AM98" s="37">
        <f>IF($C$26="Annual",$D$26,IF(AND(AM$37&gt;=$E$26,AM$37&lt;=$F$26),$D$26,0))</f>
        <v/>
      </c>
      <c r="AN98" s="37">
        <f>IF($C$26="Annual",$D$26,IF(AND(AN$37&gt;=$E$26,AN$37&lt;=$F$26),$D$26,0))</f>
        <v/>
      </c>
      <c r="AO98" s="37">
        <f>IF($C$26="Annual",$D$26,IF(AND(AO$37&gt;=$E$26,AO$37&lt;=$F$26),$D$26,0))</f>
        <v/>
      </c>
      <c r="AP98" s="37">
        <f>IF($C$26="Annual",$D$26,IF(AND(AP$37&gt;=$E$26,AP$37&lt;=$F$26),$D$26,0))</f>
        <v/>
      </c>
      <c r="AQ98" s="37">
        <f>IF($C$26="Annual",$D$26,IF(AND(AQ$37&gt;=$E$26,AQ$37&lt;=$F$26),$D$26,0))</f>
        <v/>
      </c>
      <c r="AR98" s="37">
        <f>IF($C$26="Annual",$D$26,IF(AND(AR$37&gt;=$E$26,AR$37&lt;=$F$26),$D$26,0))</f>
        <v/>
      </c>
      <c r="AS98" s="37">
        <f>IF($C$26="Annual",$D$26,IF(AND(AS$37&gt;=$E$26,AS$37&lt;=$F$26),$D$26,0))</f>
        <v/>
      </c>
      <c r="AT98" s="37">
        <f>IF($C$26="Annual",$D$26,IF(AND(AT$37&gt;=$E$26,AT$37&lt;=$F$26),$D$26,0))</f>
        <v/>
      </c>
      <c r="AU98" s="37">
        <f>IF($C$26="Annual",$D$26,IF(AND(AU$37&gt;=$E$26,AU$37&lt;=$F$26),$D$26,0))</f>
        <v/>
      </c>
      <c r="AV98" s="37">
        <f>IF($C$26="Annual",$D$26,IF(AND(AV$37&gt;=$E$26,AV$37&lt;=$F$26),$D$26,0))</f>
        <v/>
      </c>
      <c r="AW98" s="37">
        <f>IF($C$26="Annual",$D$26,IF(AND(AW$37&gt;=$E$26,AW$37&lt;=$F$26),$D$26,0))</f>
        <v/>
      </c>
      <c r="AX98" s="37">
        <f>IF($C$26="Annual",$D$26,IF(AND(AX$37&gt;=$E$26,AX$37&lt;=$F$26),$D$26,0))</f>
        <v/>
      </c>
      <c r="AY98" s="37">
        <f>IF($C$26="Annual",$D$26,IF(AND(AY$37&gt;=$E$26,AY$37&lt;=$F$26),$D$26,0))</f>
        <v/>
      </c>
      <c r="AZ98" s="37">
        <f>IF($C$26="Annual",$D$26,IF(AND(AZ$37&gt;=$E$26,AZ$37&lt;=$F$26),$D$26,0))</f>
        <v/>
      </c>
      <c r="BA98" s="37">
        <f>IF($C$26="Annual",$D$26,IF(AND(BA$37&gt;=$E$26,BA$37&lt;=$F$26),$D$26,0))</f>
        <v/>
      </c>
      <c r="BB98" s="37">
        <f>IF($C$26="Annual",$D$26,IF(AND(BB$37&gt;=$E$26,BB$37&lt;=$F$26),$D$26,0))</f>
        <v/>
      </c>
    </row>
    <row r="99">
      <c r="A99" s="33" t="inlineStr">
        <is>
          <t>Wholesale — OFFERED</t>
        </is>
      </c>
      <c r="B99" s="4" t="inlineStr">
        <is>
          <t>lb  &lt;-- SOLVER</t>
        </is>
      </c>
      <c r="C99" s="34" t="n">
        <v>0</v>
      </c>
      <c r="D99" s="34" t="n">
        <v>0</v>
      </c>
      <c r="E99" s="34" t="n">
        <v>0</v>
      </c>
      <c r="F99" s="34" t="n">
        <v>0</v>
      </c>
      <c r="G99" s="34" t="n">
        <v>0</v>
      </c>
      <c r="H99" s="34" t="n">
        <v>0</v>
      </c>
      <c r="I99" s="34" t="n">
        <v>0</v>
      </c>
      <c r="J99" s="34" t="n">
        <v>0</v>
      </c>
      <c r="K99" s="34" t="n">
        <v>0</v>
      </c>
      <c r="L99" s="34" t="n">
        <v>0</v>
      </c>
      <c r="M99" s="34" t="n">
        <v>0</v>
      </c>
      <c r="N99" s="34" t="n">
        <v>0</v>
      </c>
      <c r="O99" s="34" t="n">
        <v>0</v>
      </c>
      <c r="P99" s="34" t="n">
        <v>0</v>
      </c>
      <c r="Q99" s="34" t="n">
        <v>0</v>
      </c>
      <c r="R99" s="34" t="n">
        <v>0</v>
      </c>
      <c r="S99" s="34" t="n">
        <v>0</v>
      </c>
      <c r="T99" s="34" t="n">
        <v>0</v>
      </c>
      <c r="U99" s="34" t="n">
        <v>0</v>
      </c>
      <c r="V99" s="34" t="n">
        <v>0</v>
      </c>
      <c r="W99" s="34" t="n">
        <v>0</v>
      </c>
      <c r="X99" s="34" t="n">
        <v>0</v>
      </c>
      <c r="Y99" s="34" t="n">
        <v>0</v>
      </c>
      <c r="Z99" s="34" t="n">
        <v>0</v>
      </c>
      <c r="AA99" s="34" t="n">
        <v>0</v>
      </c>
      <c r="AB99" s="34" t="n">
        <v>0</v>
      </c>
      <c r="AC99" s="34" t="n">
        <v>0</v>
      </c>
      <c r="AD99" s="34" t="n">
        <v>0</v>
      </c>
      <c r="AE99" s="34" t="n">
        <v>0</v>
      </c>
      <c r="AF99" s="34" t="n">
        <v>0</v>
      </c>
      <c r="AG99" s="34" t="n">
        <v>0</v>
      </c>
      <c r="AH99" s="34" t="n">
        <v>0</v>
      </c>
      <c r="AI99" s="34" t="n">
        <v>0</v>
      </c>
      <c r="AJ99" s="34" t="n">
        <v>0</v>
      </c>
      <c r="AK99" s="34" t="n">
        <v>0</v>
      </c>
      <c r="AL99" s="34" t="n">
        <v>0</v>
      </c>
      <c r="AM99" s="34" t="n">
        <v>0</v>
      </c>
      <c r="AN99" s="34" t="n">
        <v>0</v>
      </c>
      <c r="AO99" s="34" t="n">
        <v>0</v>
      </c>
      <c r="AP99" s="34" t="n">
        <v>0</v>
      </c>
      <c r="AQ99" s="34" t="n">
        <v>0</v>
      </c>
      <c r="AR99" s="34" t="n">
        <v>0</v>
      </c>
      <c r="AS99" s="34" t="n">
        <v>0</v>
      </c>
      <c r="AT99" s="34" t="n">
        <v>0</v>
      </c>
      <c r="AU99" s="34" t="n">
        <v>0</v>
      </c>
      <c r="AV99" s="34" t="n">
        <v>0</v>
      </c>
      <c r="AW99" s="34" t="n">
        <v>0</v>
      </c>
      <c r="AX99" s="34" t="n">
        <v>0</v>
      </c>
      <c r="AY99" s="34" t="n">
        <v>0</v>
      </c>
      <c r="AZ99" s="34" t="n">
        <v>0</v>
      </c>
      <c r="BA99" s="34" t="n">
        <v>0</v>
      </c>
      <c r="BB99" s="34" t="n">
        <v>0</v>
      </c>
    </row>
    <row r="100">
      <c r="A100" s="38" t="inlineStr">
        <is>
          <t>Wholesale — SOLD</t>
        </is>
      </c>
      <c r="B100" s="4" t="inlineStr">
        <is>
          <t>lb</t>
        </is>
      </c>
      <c r="C100" s="37">
        <f>C99*$G$26</f>
        <v/>
      </c>
      <c r="D100" s="37">
        <f>D99*$G$26</f>
        <v/>
      </c>
      <c r="E100" s="37">
        <f>E99*$G$26</f>
        <v/>
      </c>
      <c r="F100" s="37">
        <f>F99*$G$26</f>
        <v/>
      </c>
      <c r="G100" s="37">
        <f>G99*$G$26</f>
        <v/>
      </c>
      <c r="H100" s="37">
        <f>H99*$G$26</f>
        <v/>
      </c>
      <c r="I100" s="37">
        <f>I99*$G$26</f>
        <v/>
      </c>
      <c r="J100" s="37">
        <f>J99*$G$26</f>
        <v/>
      </c>
      <c r="K100" s="37">
        <f>K99*$G$26</f>
        <v/>
      </c>
      <c r="L100" s="37">
        <f>L99*$G$26</f>
        <v/>
      </c>
      <c r="M100" s="37">
        <f>M99*$G$26</f>
        <v/>
      </c>
      <c r="N100" s="37">
        <f>N99*$G$26</f>
        <v/>
      </c>
      <c r="O100" s="37">
        <f>O99*$G$26</f>
        <v/>
      </c>
      <c r="P100" s="37">
        <f>P99*$G$26</f>
        <v/>
      </c>
      <c r="Q100" s="37">
        <f>Q99*$G$26</f>
        <v/>
      </c>
      <c r="R100" s="37">
        <f>R99*$G$26</f>
        <v/>
      </c>
      <c r="S100" s="37">
        <f>S99*$G$26</f>
        <v/>
      </c>
      <c r="T100" s="37">
        <f>T99*$G$26</f>
        <v/>
      </c>
      <c r="U100" s="37">
        <f>U99*$G$26</f>
        <v/>
      </c>
      <c r="V100" s="37">
        <f>V99*$G$26</f>
        <v/>
      </c>
      <c r="W100" s="37">
        <f>W99*$G$26</f>
        <v/>
      </c>
      <c r="X100" s="37">
        <f>X99*$G$26</f>
        <v/>
      </c>
      <c r="Y100" s="37">
        <f>Y99*$G$26</f>
        <v/>
      </c>
      <c r="Z100" s="37">
        <f>Z99*$G$26</f>
        <v/>
      </c>
      <c r="AA100" s="37">
        <f>AA99*$G$26</f>
        <v/>
      </c>
      <c r="AB100" s="37">
        <f>AB99*$G$26</f>
        <v/>
      </c>
      <c r="AC100" s="37">
        <f>AC99*$G$26</f>
        <v/>
      </c>
      <c r="AD100" s="37">
        <f>AD99*$G$26</f>
        <v/>
      </c>
      <c r="AE100" s="37">
        <f>AE99*$G$26</f>
        <v/>
      </c>
      <c r="AF100" s="37">
        <f>AF99*$G$26</f>
        <v/>
      </c>
      <c r="AG100" s="37">
        <f>AG99*$G$26</f>
        <v/>
      </c>
      <c r="AH100" s="37">
        <f>AH99*$G$26</f>
        <v/>
      </c>
      <c r="AI100" s="37">
        <f>AI99*$G$26</f>
        <v/>
      </c>
      <c r="AJ100" s="37">
        <f>AJ99*$G$26</f>
        <v/>
      </c>
      <c r="AK100" s="37">
        <f>AK99*$G$26</f>
        <v/>
      </c>
      <c r="AL100" s="37">
        <f>AL99*$G$26</f>
        <v/>
      </c>
      <c r="AM100" s="37">
        <f>AM99*$G$26</f>
        <v/>
      </c>
      <c r="AN100" s="37">
        <f>AN99*$G$26</f>
        <v/>
      </c>
      <c r="AO100" s="37">
        <f>AO99*$G$26</f>
        <v/>
      </c>
      <c r="AP100" s="37">
        <f>AP99*$G$26</f>
        <v/>
      </c>
      <c r="AQ100" s="37">
        <f>AQ99*$G$26</f>
        <v/>
      </c>
      <c r="AR100" s="37">
        <f>AR99*$G$26</f>
        <v/>
      </c>
      <c r="AS100" s="37">
        <f>AS99*$G$26</f>
        <v/>
      </c>
      <c r="AT100" s="37">
        <f>AT99*$G$26</f>
        <v/>
      </c>
      <c r="AU100" s="37">
        <f>AU99*$G$26</f>
        <v/>
      </c>
      <c r="AV100" s="37">
        <f>AV99*$G$26</f>
        <v/>
      </c>
      <c r="AW100" s="37">
        <f>AW99*$G$26</f>
        <v/>
      </c>
      <c r="AX100" s="37">
        <f>AX99*$G$26</f>
        <v/>
      </c>
      <c r="AY100" s="37">
        <f>AY99*$G$26</f>
        <v/>
      </c>
      <c r="AZ100" s="37">
        <f>AZ99*$G$26</f>
        <v/>
      </c>
      <c r="BA100" s="37">
        <f>BA99*$G$26</f>
        <v/>
      </c>
      <c r="BB100" s="37">
        <f>BB99*$G$26</f>
        <v/>
      </c>
    </row>
    <row r="101">
      <c r="A101" s="25" t="inlineStr">
        <is>
          <t xml:space="preserve">   market loss (gone)</t>
        </is>
      </c>
      <c r="B101" s="4" t="inlineStr">
        <is>
          <t>lb</t>
        </is>
      </c>
      <c r="C101" s="27">
        <f>(C99-C100)*(1-$H$26)</f>
        <v/>
      </c>
      <c r="D101" s="27">
        <f>(D99-D100)*(1-$H$26)</f>
        <v/>
      </c>
      <c r="E101" s="27">
        <f>(E99-E100)*(1-$H$26)</f>
        <v/>
      </c>
      <c r="F101" s="27">
        <f>(F99-F100)*(1-$H$26)</f>
        <v/>
      </c>
      <c r="G101" s="27">
        <f>(G99-G100)*(1-$H$26)</f>
        <v/>
      </c>
      <c r="H101" s="27">
        <f>(H99-H100)*(1-$H$26)</f>
        <v/>
      </c>
      <c r="I101" s="27">
        <f>(I99-I100)*(1-$H$26)</f>
        <v/>
      </c>
      <c r="J101" s="27">
        <f>(J99-J100)*(1-$H$26)</f>
        <v/>
      </c>
      <c r="K101" s="27">
        <f>(K99-K100)*(1-$H$26)</f>
        <v/>
      </c>
      <c r="L101" s="27">
        <f>(L99-L100)*(1-$H$26)</f>
        <v/>
      </c>
      <c r="M101" s="27">
        <f>(M99-M100)*(1-$H$26)</f>
        <v/>
      </c>
      <c r="N101" s="27">
        <f>(N99-N100)*(1-$H$26)</f>
        <v/>
      </c>
      <c r="O101" s="27">
        <f>(O99-O100)*(1-$H$26)</f>
        <v/>
      </c>
      <c r="P101" s="27">
        <f>(P99-P100)*(1-$H$26)</f>
        <v/>
      </c>
      <c r="Q101" s="27">
        <f>(Q99-Q100)*(1-$H$26)</f>
        <v/>
      </c>
      <c r="R101" s="27">
        <f>(R99-R100)*(1-$H$26)</f>
        <v/>
      </c>
      <c r="S101" s="27">
        <f>(S99-S100)*(1-$H$26)</f>
        <v/>
      </c>
      <c r="T101" s="27">
        <f>(T99-T100)*(1-$H$26)</f>
        <v/>
      </c>
      <c r="U101" s="27">
        <f>(U99-U100)*(1-$H$26)</f>
        <v/>
      </c>
      <c r="V101" s="27">
        <f>(V99-V100)*(1-$H$26)</f>
        <v/>
      </c>
      <c r="W101" s="27">
        <f>(W99-W100)*(1-$H$26)</f>
        <v/>
      </c>
      <c r="X101" s="27">
        <f>(X99-X100)*(1-$H$26)</f>
        <v/>
      </c>
      <c r="Y101" s="27">
        <f>(Y99-Y100)*(1-$H$26)</f>
        <v/>
      </c>
      <c r="Z101" s="27">
        <f>(Z99-Z100)*(1-$H$26)</f>
        <v/>
      </c>
      <c r="AA101" s="27">
        <f>(AA99-AA100)*(1-$H$26)</f>
        <v/>
      </c>
      <c r="AB101" s="27">
        <f>(AB99-AB100)*(1-$H$26)</f>
        <v/>
      </c>
      <c r="AC101" s="27">
        <f>(AC99-AC100)*(1-$H$26)</f>
        <v/>
      </c>
      <c r="AD101" s="27">
        <f>(AD99-AD100)*(1-$H$26)</f>
        <v/>
      </c>
      <c r="AE101" s="27">
        <f>(AE99-AE100)*(1-$H$26)</f>
        <v/>
      </c>
      <c r="AF101" s="27">
        <f>(AF99-AF100)*(1-$H$26)</f>
        <v/>
      </c>
      <c r="AG101" s="27">
        <f>(AG99-AG100)*(1-$H$26)</f>
        <v/>
      </c>
      <c r="AH101" s="27">
        <f>(AH99-AH100)*(1-$H$26)</f>
        <v/>
      </c>
      <c r="AI101" s="27">
        <f>(AI99-AI100)*(1-$H$26)</f>
        <v/>
      </c>
      <c r="AJ101" s="27">
        <f>(AJ99-AJ100)*(1-$H$26)</f>
        <v/>
      </c>
      <c r="AK101" s="27">
        <f>(AK99-AK100)*(1-$H$26)</f>
        <v/>
      </c>
      <c r="AL101" s="27">
        <f>(AL99-AL100)*(1-$H$26)</f>
        <v/>
      </c>
      <c r="AM101" s="27">
        <f>(AM99-AM100)*(1-$H$26)</f>
        <v/>
      </c>
      <c r="AN101" s="27">
        <f>(AN99-AN100)*(1-$H$26)</f>
        <v/>
      </c>
      <c r="AO101" s="27">
        <f>(AO99-AO100)*(1-$H$26)</f>
        <v/>
      </c>
      <c r="AP101" s="27">
        <f>(AP99-AP100)*(1-$H$26)</f>
        <v/>
      </c>
      <c r="AQ101" s="27">
        <f>(AQ99-AQ100)*(1-$H$26)</f>
        <v/>
      </c>
      <c r="AR101" s="27">
        <f>(AR99-AR100)*(1-$H$26)</f>
        <v/>
      </c>
      <c r="AS101" s="27">
        <f>(AS99-AS100)*(1-$H$26)</f>
        <v/>
      </c>
      <c r="AT101" s="27">
        <f>(AT99-AT100)*(1-$H$26)</f>
        <v/>
      </c>
      <c r="AU101" s="27">
        <f>(AU99-AU100)*(1-$H$26)</f>
        <v/>
      </c>
      <c r="AV101" s="27">
        <f>(AV99-AV100)*(1-$H$26)</f>
        <v/>
      </c>
      <c r="AW101" s="27">
        <f>(AW99-AW100)*(1-$H$26)</f>
        <v/>
      </c>
      <c r="AX101" s="27">
        <f>(AX99-AX100)*(1-$H$26)</f>
        <v/>
      </c>
      <c r="AY101" s="27">
        <f>(AY99-AY100)*(1-$H$26)</f>
        <v/>
      </c>
      <c r="AZ101" s="27">
        <f>(AZ99-AZ100)*(1-$H$26)</f>
        <v/>
      </c>
      <c r="BA101" s="27">
        <f>(BA99-BA100)*(1-$H$26)</f>
        <v/>
      </c>
      <c r="BB101" s="27">
        <f>(BB99-BB100)*(1-$H$26)</f>
        <v/>
      </c>
    </row>
    <row r="102">
      <c r="A102" s="25" t="inlineStr">
        <is>
          <t xml:space="preserve">   returned to store</t>
        </is>
      </c>
      <c r="B102" s="4" t="inlineStr">
        <is>
          <t>lb</t>
        </is>
      </c>
      <c r="C102" s="27">
        <f>(C99-C100)*$H$26</f>
        <v/>
      </c>
      <c r="D102" s="27">
        <f>(D99-D100)*$H$26</f>
        <v/>
      </c>
      <c r="E102" s="27">
        <f>(E99-E100)*$H$26</f>
        <v/>
      </c>
      <c r="F102" s="27">
        <f>(F99-F100)*$H$26</f>
        <v/>
      </c>
      <c r="G102" s="27">
        <f>(G99-G100)*$H$26</f>
        <v/>
      </c>
      <c r="H102" s="27">
        <f>(H99-H100)*$H$26</f>
        <v/>
      </c>
      <c r="I102" s="27">
        <f>(I99-I100)*$H$26</f>
        <v/>
      </c>
      <c r="J102" s="27">
        <f>(J99-J100)*$H$26</f>
        <v/>
      </c>
      <c r="K102" s="27">
        <f>(K99-K100)*$H$26</f>
        <v/>
      </c>
      <c r="L102" s="27">
        <f>(L99-L100)*$H$26</f>
        <v/>
      </c>
      <c r="M102" s="27">
        <f>(M99-M100)*$H$26</f>
        <v/>
      </c>
      <c r="N102" s="27">
        <f>(N99-N100)*$H$26</f>
        <v/>
      </c>
      <c r="O102" s="27">
        <f>(O99-O100)*$H$26</f>
        <v/>
      </c>
      <c r="P102" s="27">
        <f>(P99-P100)*$H$26</f>
        <v/>
      </c>
      <c r="Q102" s="27">
        <f>(Q99-Q100)*$H$26</f>
        <v/>
      </c>
      <c r="R102" s="27">
        <f>(R99-R100)*$H$26</f>
        <v/>
      </c>
      <c r="S102" s="27">
        <f>(S99-S100)*$H$26</f>
        <v/>
      </c>
      <c r="T102" s="27">
        <f>(T99-T100)*$H$26</f>
        <v/>
      </c>
      <c r="U102" s="27">
        <f>(U99-U100)*$H$26</f>
        <v/>
      </c>
      <c r="V102" s="27">
        <f>(V99-V100)*$H$26</f>
        <v/>
      </c>
      <c r="W102" s="27">
        <f>(W99-W100)*$H$26</f>
        <v/>
      </c>
      <c r="X102" s="27">
        <f>(X99-X100)*$H$26</f>
        <v/>
      </c>
      <c r="Y102" s="27">
        <f>(Y99-Y100)*$H$26</f>
        <v/>
      </c>
      <c r="Z102" s="27">
        <f>(Z99-Z100)*$H$26</f>
        <v/>
      </c>
      <c r="AA102" s="27">
        <f>(AA99-AA100)*$H$26</f>
        <v/>
      </c>
      <c r="AB102" s="27">
        <f>(AB99-AB100)*$H$26</f>
        <v/>
      </c>
      <c r="AC102" s="27">
        <f>(AC99-AC100)*$H$26</f>
        <v/>
      </c>
      <c r="AD102" s="27">
        <f>(AD99-AD100)*$H$26</f>
        <v/>
      </c>
      <c r="AE102" s="27">
        <f>(AE99-AE100)*$H$26</f>
        <v/>
      </c>
      <c r="AF102" s="27">
        <f>(AF99-AF100)*$H$26</f>
        <v/>
      </c>
      <c r="AG102" s="27">
        <f>(AG99-AG100)*$H$26</f>
        <v/>
      </c>
      <c r="AH102" s="27">
        <f>(AH99-AH100)*$H$26</f>
        <v/>
      </c>
      <c r="AI102" s="27">
        <f>(AI99-AI100)*$H$26</f>
        <v/>
      </c>
      <c r="AJ102" s="27">
        <f>(AJ99-AJ100)*$H$26</f>
        <v/>
      </c>
      <c r="AK102" s="27">
        <f>(AK99-AK100)*$H$26</f>
        <v/>
      </c>
      <c r="AL102" s="27">
        <f>(AL99-AL100)*$H$26</f>
        <v/>
      </c>
      <c r="AM102" s="27">
        <f>(AM99-AM100)*$H$26</f>
        <v/>
      </c>
      <c r="AN102" s="27">
        <f>(AN99-AN100)*$H$26</f>
        <v/>
      </c>
      <c r="AO102" s="27">
        <f>(AO99-AO100)*$H$26</f>
        <v/>
      </c>
      <c r="AP102" s="27">
        <f>(AP99-AP100)*$H$26</f>
        <v/>
      </c>
      <c r="AQ102" s="27">
        <f>(AQ99-AQ100)*$H$26</f>
        <v/>
      </c>
      <c r="AR102" s="27">
        <f>(AR99-AR100)*$H$26</f>
        <v/>
      </c>
      <c r="AS102" s="27">
        <f>(AS99-AS100)*$H$26</f>
        <v/>
      </c>
      <c r="AT102" s="27">
        <f>(AT99-AT100)*$H$26</f>
        <v/>
      </c>
      <c r="AU102" s="27">
        <f>(AU99-AU100)*$H$26</f>
        <v/>
      </c>
      <c r="AV102" s="27">
        <f>(AV99-AV100)*$H$26</f>
        <v/>
      </c>
      <c r="AW102" s="27">
        <f>(AW99-AW100)*$H$26</f>
        <v/>
      </c>
      <c r="AX102" s="27">
        <f>(AX99-AX100)*$H$26</f>
        <v/>
      </c>
      <c r="AY102" s="27">
        <f>(AY99-AY100)*$H$26</f>
        <v/>
      </c>
      <c r="AZ102" s="27">
        <f>(AZ99-AZ100)*$H$26</f>
        <v/>
      </c>
      <c r="BA102" s="27">
        <f>(BA99-BA100)*$H$26</f>
        <v/>
      </c>
      <c r="BB102" s="27">
        <f>(BB99-BB100)*$H$26</f>
        <v/>
      </c>
    </row>
    <row r="103">
      <c r="A103" s="25" t="inlineStr">
        <is>
          <t xml:space="preserve">   consumed from store</t>
        </is>
      </c>
      <c r="B103" s="4" t="inlineStr">
        <is>
          <t>lb</t>
        </is>
      </c>
      <c r="C103" s="27">
        <f>C99-C102</f>
        <v/>
      </c>
      <c r="D103" s="27">
        <f>D99-D102</f>
        <v/>
      </c>
      <c r="E103" s="27">
        <f>E99-E102</f>
        <v/>
      </c>
      <c r="F103" s="27">
        <f>F99-F102</f>
        <v/>
      </c>
      <c r="G103" s="27">
        <f>G99-G102</f>
        <v/>
      </c>
      <c r="H103" s="27">
        <f>H99-H102</f>
        <v/>
      </c>
      <c r="I103" s="27">
        <f>I99-I102</f>
        <v/>
      </c>
      <c r="J103" s="27">
        <f>J99-J102</f>
        <v/>
      </c>
      <c r="K103" s="27">
        <f>K99-K102</f>
        <v/>
      </c>
      <c r="L103" s="27">
        <f>L99-L102</f>
        <v/>
      </c>
      <c r="M103" s="27">
        <f>M99-M102</f>
        <v/>
      </c>
      <c r="N103" s="27">
        <f>N99-N102</f>
        <v/>
      </c>
      <c r="O103" s="27">
        <f>O99-O102</f>
        <v/>
      </c>
      <c r="P103" s="27">
        <f>P99-P102</f>
        <v/>
      </c>
      <c r="Q103" s="27">
        <f>Q99-Q102</f>
        <v/>
      </c>
      <c r="R103" s="27">
        <f>R99-R102</f>
        <v/>
      </c>
      <c r="S103" s="27">
        <f>S99-S102</f>
        <v/>
      </c>
      <c r="T103" s="27">
        <f>T99-T102</f>
        <v/>
      </c>
      <c r="U103" s="27">
        <f>U99-U102</f>
        <v/>
      </c>
      <c r="V103" s="27">
        <f>V99-V102</f>
        <v/>
      </c>
      <c r="W103" s="27">
        <f>W99-W102</f>
        <v/>
      </c>
      <c r="X103" s="27">
        <f>X99-X102</f>
        <v/>
      </c>
      <c r="Y103" s="27">
        <f>Y99-Y102</f>
        <v/>
      </c>
      <c r="Z103" s="27">
        <f>Z99-Z102</f>
        <v/>
      </c>
      <c r="AA103" s="27">
        <f>AA99-AA102</f>
        <v/>
      </c>
      <c r="AB103" s="27">
        <f>AB99-AB102</f>
        <v/>
      </c>
      <c r="AC103" s="27">
        <f>AC99-AC102</f>
        <v/>
      </c>
      <c r="AD103" s="27">
        <f>AD99-AD102</f>
        <v/>
      </c>
      <c r="AE103" s="27">
        <f>AE99-AE102</f>
        <v/>
      </c>
      <c r="AF103" s="27">
        <f>AF99-AF102</f>
        <v/>
      </c>
      <c r="AG103" s="27">
        <f>AG99-AG102</f>
        <v/>
      </c>
      <c r="AH103" s="27">
        <f>AH99-AH102</f>
        <v/>
      </c>
      <c r="AI103" s="27">
        <f>AI99-AI102</f>
        <v/>
      </c>
      <c r="AJ103" s="27">
        <f>AJ99-AJ102</f>
        <v/>
      </c>
      <c r="AK103" s="27">
        <f>AK99-AK102</f>
        <v/>
      </c>
      <c r="AL103" s="27">
        <f>AL99-AL102</f>
        <v/>
      </c>
      <c r="AM103" s="27">
        <f>AM99-AM102</f>
        <v/>
      </c>
      <c r="AN103" s="27">
        <f>AN99-AN102</f>
        <v/>
      </c>
      <c r="AO103" s="27">
        <f>AO99-AO102</f>
        <v/>
      </c>
      <c r="AP103" s="27">
        <f>AP99-AP102</f>
        <v/>
      </c>
      <c r="AQ103" s="27">
        <f>AQ99-AQ102</f>
        <v/>
      </c>
      <c r="AR103" s="27">
        <f>AR99-AR102</f>
        <v/>
      </c>
      <c r="AS103" s="27">
        <f>AS99-AS102</f>
        <v/>
      </c>
      <c r="AT103" s="27">
        <f>AT99-AT102</f>
        <v/>
      </c>
      <c r="AU103" s="27">
        <f>AU99-AU102</f>
        <v/>
      </c>
      <c r="AV103" s="27">
        <f>AV99-AV102</f>
        <v/>
      </c>
      <c r="AW103" s="27">
        <f>AW99-AW102</f>
        <v/>
      </c>
      <c r="AX103" s="27">
        <f>AX99-AX102</f>
        <v/>
      </c>
      <c r="AY103" s="27">
        <f>AY99-AY102</f>
        <v/>
      </c>
      <c r="AZ103" s="27">
        <f>AZ99-AZ102</f>
        <v/>
      </c>
      <c r="BA103" s="27">
        <f>BA99-BA102</f>
        <v/>
      </c>
      <c r="BB103" s="27">
        <f>BB99-BB102</f>
        <v/>
      </c>
    </row>
    <row r="104">
      <c r="A104" s="3" t="inlineStr">
        <is>
          <t>Stock carried out</t>
        </is>
      </c>
      <c r="B104" s="4" t="inlineStr">
        <is>
          <t>lb</t>
        </is>
      </c>
      <c r="C104" s="27">
        <f>C91-C97-C103</f>
        <v/>
      </c>
      <c r="D104" s="27">
        <f>D91-D97-D103</f>
        <v/>
      </c>
      <c r="E104" s="27">
        <f>E91-E97-E103</f>
        <v/>
      </c>
      <c r="F104" s="27">
        <f>F91-F97-F103</f>
        <v/>
      </c>
      <c r="G104" s="27">
        <f>G91-G97-G103</f>
        <v/>
      </c>
      <c r="H104" s="27">
        <f>H91-H97-H103</f>
        <v/>
      </c>
      <c r="I104" s="27">
        <f>I91-I97-I103</f>
        <v/>
      </c>
      <c r="J104" s="27">
        <f>J91-J97-J103</f>
        <v/>
      </c>
      <c r="K104" s="27">
        <f>K91-K97-K103</f>
        <v/>
      </c>
      <c r="L104" s="27">
        <f>L91-L97-L103</f>
        <v/>
      </c>
      <c r="M104" s="27">
        <f>M91-M97-M103</f>
        <v/>
      </c>
      <c r="N104" s="27">
        <f>N91-N97-N103</f>
        <v/>
      </c>
      <c r="O104" s="27">
        <f>O91-O97-O103</f>
        <v/>
      </c>
      <c r="P104" s="27">
        <f>P91-P97-P103</f>
        <v/>
      </c>
      <c r="Q104" s="27">
        <f>Q91-Q97-Q103</f>
        <v/>
      </c>
      <c r="R104" s="27">
        <f>R91-R97-R103</f>
        <v/>
      </c>
      <c r="S104" s="27">
        <f>S91-S97-S103</f>
        <v/>
      </c>
      <c r="T104" s="27">
        <f>T91-T97-T103</f>
        <v/>
      </c>
      <c r="U104" s="27">
        <f>U91-U97-U103</f>
        <v/>
      </c>
      <c r="V104" s="27">
        <f>V91-V97-V103</f>
        <v/>
      </c>
      <c r="W104" s="27">
        <f>W91-W97-W103</f>
        <v/>
      </c>
      <c r="X104" s="27">
        <f>X91-X97-X103</f>
        <v/>
      </c>
      <c r="Y104" s="27">
        <f>Y91-Y97-Y103</f>
        <v/>
      </c>
      <c r="Z104" s="27">
        <f>Z91-Z97-Z103</f>
        <v/>
      </c>
      <c r="AA104" s="27">
        <f>AA91-AA97-AA103</f>
        <v/>
      </c>
      <c r="AB104" s="27">
        <f>AB91-AB97-AB103</f>
        <v/>
      </c>
      <c r="AC104" s="27">
        <f>AC91-AC97-AC103</f>
        <v/>
      </c>
      <c r="AD104" s="27">
        <f>AD91-AD97-AD103</f>
        <v/>
      </c>
      <c r="AE104" s="27">
        <f>AE91-AE97-AE103</f>
        <v/>
      </c>
      <c r="AF104" s="27">
        <f>AF91-AF97-AF103</f>
        <v/>
      </c>
      <c r="AG104" s="27">
        <f>AG91-AG97-AG103</f>
        <v/>
      </c>
      <c r="AH104" s="27">
        <f>AH91-AH97-AH103</f>
        <v/>
      </c>
      <c r="AI104" s="27">
        <f>AI91-AI97-AI103</f>
        <v/>
      </c>
      <c r="AJ104" s="27">
        <f>AJ91-AJ97-AJ103</f>
        <v/>
      </c>
      <c r="AK104" s="27">
        <f>AK91-AK97-AK103</f>
        <v/>
      </c>
      <c r="AL104" s="27">
        <f>AL91-AL97-AL103</f>
        <v/>
      </c>
      <c r="AM104" s="27">
        <f>AM91-AM97-AM103</f>
        <v/>
      </c>
      <c r="AN104" s="27">
        <f>AN91-AN97-AN103</f>
        <v/>
      </c>
      <c r="AO104" s="27">
        <f>AO91-AO97-AO103</f>
        <v/>
      </c>
      <c r="AP104" s="27">
        <f>AP91-AP97-AP103</f>
        <v/>
      </c>
      <c r="AQ104" s="27">
        <f>AQ91-AQ97-AQ103</f>
        <v/>
      </c>
      <c r="AR104" s="27">
        <f>AR91-AR97-AR103</f>
        <v/>
      </c>
      <c r="AS104" s="27">
        <f>AS91-AS97-AS103</f>
        <v/>
      </c>
      <c r="AT104" s="27">
        <f>AT91-AT97-AT103</f>
        <v/>
      </c>
      <c r="AU104" s="27">
        <f>AU91-AU97-AU103</f>
        <v/>
      </c>
      <c r="AV104" s="27">
        <f>AV91-AV97-AV103</f>
        <v/>
      </c>
      <c r="AW104" s="27">
        <f>AW91-AW97-AW103</f>
        <v/>
      </c>
      <c r="AX104" s="27">
        <f>AX91-AX97-AX103</f>
        <v/>
      </c>
      <c r="AY104" s="27">
        <f>AY91-AY97-AY103</f>
        <v/>
      </c>
      <c r="AZ104" s="27">
        <f>AZ91-AZ97-AZ103</f>
        <v/>
      </c>
      <c r="BA104" s="27">
        <f>BA91-BA97-BA103</f>
        <v/>
      </c>
      <c r="BB104" s="27">
        <f>BB91-BB97-BB103</f>
        <v/>
      </c>
    </row>
    <row r="105">
      <c r="A105" s="3" t="inlineStr">
        <is>
          <t>ROOM OCCUPANCY</t>
        </is>
      </c>
      <c r="B105" s="4" t="inlineStr">
        <is>
          <t>m3</t>
        </is>
      </c>
      <c r="C105" s="39">
        <f>(C89+C88)*$D$17</f>
        <v/>
      </c>
      <c r="D105" s="39">
        <f>(D89+D88)*$D$17</f>
        <v/>
      </c>
      <c r="E105" s="39">
        <f>(E89+E88)*$D$17</f>
        <v/>
      </c>
      <c r="F105" s="39">
        <f>(F89+F88)*$D$17</f>
        <v/>
      </c>
      <c r="G105" s="39">
        <f>(G89+G88)*$D$17</f>
        <v/>
      </c>
      <c r="H105" s="39">
        <f>(H89+H88)*$D$17</f>
        <v/>
      </c>
      <c r="I105" s="39">
        <f>(I89+I88)*$D$17</f>
        <v/>
      </c>
      <c r="J105" s="39">
        <f>(J89+J88)*$D$17</f>
        <v/>
      </c>
      <c r="K105" s="39">
        <f>(K89+K88)*$D$17</f>
        <v/>
      </c>
      <c r="L105" s="39">
        <f>(L89+L88)*$D$17</f>
        <v/>
      </c>
      <c r="M105" s="39">
        <f>(M89+M88)*$D$17</f>
        <v/>
      </c>
      <c r="N105" s="39">
        <f>(N89+N88)*$D$17</f>
        <v/>
      </c>
      <c r="O105" s="39">
        <f>(O89+O88)*$D$17</f>
        <v/>
      </c>
      <c r="P105" s="39">
        <f>(P89+P88)*$D$17</f>
        <v/>
      </c>
      <c r="Q105" s="39">
        <f>(Q89+Q88)*$D$17</f>
        <v/>
      </c>
      <c r="R105" s="39">
        <f>(R89+R88)*$D$17</f>
        <v/>
      </c>
      <c r="S105" s="39">
        <f>(S89+S88)*$D$17</f>
        <v/>
      </c>
      <c r="T105" s="39">
        <f>(T89+T88)*$D$17</f>
        <v/>
      </c>
      <c r="U105" s="39">
        <f>(U89+U88)*$D$17</f>
        <v/>
      </c>
      <c r="V105" s="39">
        <f>(V89+V88)*$D$17</f>
        <v/>
      </c>
      <c r="W105" s="39">
        <f>(W89+W88)*$D$17</f>
        <v/>
      </c>
      <c r="X105" s="39">
        <f>(X89+X88)*$D$17</f>
        <v/>
      </c>
      <c r="Y105" s="39">
        <f>(Y89+Y88)*$D$17</f>
        <v/>
      </c>
      <c r="Z105" s="39">
        <f>(Z89+Z88)*$D$17</f>
        <v/>
      </c>
      <c r="AA105" s="39">
        <f>(AA89+AA88)*$D$17</f>
        <v/>
      </c>
      <c r="AB105" s="39">
        <f>(AB89+AB88)*$D$17</f>
        <v/>
      </c>
      <c r="AC105" s="39">
        <f>(AC89+AC88)*$D$17</f>
        <v/>
      </c>
      <c r="AD105" s="39">
        <f>(AD89+AD88)*$D$17</f>
        <v/>
      </c>
      <c r="AE105" s="39">
        <f>(AE89+AE88)*$D$17</f>
        <v/>
      </c>
      <c r="AF105" s="39">
        <f>(AF89+AF88)*$D$17</f>
        <v/>
      </c>
      <c r="AG105" s="39">
        <f>(AG89+AG88)*$D$17</f>
        <v/>
      </c>
      <c r="AH105" s="39">
        <f>(AH89+AH88)*$D$17</f>
        <v/>
      </c>
      <c r="AI105" s="39">
        <f>(AI89+AI88)*$D$17</f>
        <v/>
      </c>
      <c r="AJ105" s="39">
        <f>(AJ89+AJ88)*$D$17</f>
        <v/>
      </c>
      <c r="AK105" s="39">
        <f>(AK89+AK88)*$D$17</f>
        <v/>
      </c>
      <c r="AL105" s="39">
        <f>(AL89+AL88)*$D$17</f>
        <v/>
      </c>
      <c r="AM105" s="39">
        <f>(AM89+AM88)*$D$17</f>
        <v/>
      </c>
      <c r="AN105" s="39">
        <f>(AN89+AN88)*$D$17</f>
        <v/>
      </c>
      <c r="AO105" s="39">
        <f>(AO89+AO88)*$D$17</f>
        <v/>
      </c>
      <c r="AP105" s="39">
        <f>(AP89+AP88)*$D$17</f>
        <v/>
      </c>
      <c r="AQ105" s="39">
        <f>(AQ89+AQ88)*$D$17</f>
        <v/>
      </c>
      <c r="AR105" s="39">
        <f>(AR89+AR88)*$D$17</f>
        <v/>
      </c>
      <c r="AS105" s="39">
        <f>(AS89+AS88)*$D$17</f>
        <v/>
      </c>
      <c r="AT105" s="39">
        <f>(AT89+AT88)*$D$17</f>
        <v/>
      </c>
      <c r="AU105" s="39">
        <f>(AU89+AU88)*$D$17</f>
        <v/>
      </c>
      <c r="AV105" s="39">
        <f>(AV89+AV88)*$D$17</f>
        <v/>
      </c>
      <c r="AW105" s="39">
        <f>(AW89+AW88)*$D$17</f>
        <v/>
      </c>
      <c r="AX105" s="39">
        <f>(AX89+AX88)*$D$17</f>
        <v/>
      </c>
      <c r="AY105" s="39">
        <f>(AY89+AY88)*$D$17</f>
        <v/>
      </c>
      <c r="AZ105" s="39">
        <f>(AZ89+AZ88)*$D$17</f>
        <v/>
      </c>
      <c r="BA105" s="39">
        <f>(BA89+BA88)*$D$17</f>
        <v/>
      </c>
      <c r="BB105" s="39">
        <f>(BB89+BB88)*$D$17</f>
        <v/>
      </c>
    </row>
    <row r="106">
      <c r="A106" s="4" t="inlineStr">
        <is>
          <t xml:space="preserve">   = carried in + everything PACKED OUT this week, before any of it ships.</t>
        </is>
      </c>
    </row>
    <row r="107">
      <c r="A107" s="25" t="inlineStr">
        <is>
          <t>Over shelf life?</t>
        </is>
      </c>
      <c r="B107" s="4" t="inlineStr">
        <is>
          <t>lb</t>
        </is>
      </c>
      <c r="C107" s="27">
        <f>MAX(0,C104-SUMIFS($C$88:$BB$88,$C$37:$BB$37,"&gt;="&amp;C$37-$F$17+2,$C$37:$BB$37,"&lt;="&amp;C$37))</f>
        <v/>
      </c>
      <c r="D107" s="27">
        <f>MAX(0,D104-SUMIFS($C$88:$BB$88,$C$37:$BB$37,"&gt;="&amp;D$37-$F$17+2,$C$37:$BB$37,"&lt;="&amp;D$37))</f>
        <v/>
      </c>
      <c r="E107" s="27">
        <f>MAX(0,E104-SUMIFS($C$88:$BB$88,$C$37:$BB$37,"&gt;="&amp;E$37-$F$17+2,$C$37:$BB$37,"&lt;="&amp;E$37))</f>
        <v/>
      </c>
      <c r="F107" s="27">
        <f>MAX(0,F104-SUMIFS($C$88:$BB$88,$C$37:$BB$37,"&gt;="&amp;F$37-$F$17+2,$C$37:$BB$37,"&lt;="&amp;F$37))</f>
        <v/>
      </c>
      <c r="G107" s="27">
        <f>MAX(0,G104-SUMIFS($C$88:$BB$88,$C$37:$BB$37,"&gt;="&amp;G$37-$F$17+2,$C$37:$BB$37,"&lt;="&amp;G$37))</f>
        <v/>
      </c>
      <c r="H107" s="27">
        <f>MAX(0,H104-SUMIFS($C$88:$BB$88,$C$37:$BB$37,"&gt;="&amp;H$37-$F$17+2,$C$37:$BB$37,"&lt;="&amp;H$37))</f>
        <v/>
      </c>
      <c r="I107" s="27">
        <f>MAX(0,I104-SUMIFS($C$88:$BB$88,$C$37:$BB$37,"&gt;="&amp;I$37-$F$17+2,$C$37:$BB$37,"&lt;="&amp;I$37))</f>
        <v/>
      </c>
      <c r="J107" s="27">
        <f>MAX(0,J104-SUMIFS($C$88:$BB$88,$C$37:$BB$37,"&gt;="&amp;J$37-$F$17+2,$C$37:$BB$37,"&lt;="&amp;J$37))</f>
        <v/>
      </c>
      <c r="K107" s="27">
        <f>MAX(0,K104-SUMIFS($C$88:$BB$88,$C$37:$BB$37,"&gt;="&amp;K$37-$F$17+2,$C$37:$BB$37,"&lt;="&amp;K$37))</f>
        <v/>
      </c>
      <c r="L107" s="27">
        <f>MAX(0,L104-SUMIFS($C$88:$BB$88,$C$37:$BB$37,"&gt;="&amp;L$37-$F$17+2,$C$37:$BB$37,"&lt;="&amp;L$37))</f>
        <v/>
      </c>
      <c r="M107" s="27">
        <f>MAX(0,M104-SUMIFS($C$88:$BB$88,$C$37:$BB$37,"&gt;="&amp;M$37-$F$17+2,$C$37:$BB$37,"&lt;="&amp;M$37))</f>
        <v/>
      </c>
      <c r="N107" s="27">
        <f>MAX(0,N104-SUMIFS($C$88:$BB$88,$C$37:$BB$37,"&gt;="&amp;N$37-$F$17+2,$C$37:$BB$37,"&lt;="&amp;N$37))</f>
        <v/>
      </c>
      <c r="O107" s="27">
        <f>MAX(0,O104-SUMIFS($C$88:$BB$88,$C$37:$BB$37,"&gt;="&amp;O$37-$F$17+2,$C$37:$BB$37,"&lt;="&amp;O$37))</f>
        <v/>
      </c>
      <c r="P107" s="27">
        <f>MAX(0,P104-SUMIFS($C$88:$BB$88,$C$37:$BB$37,"&gt;="&amp;P$37-$F$17+2,$C$37:$BB$37,"&lt;="&amp;P$37))</f>
        <v/>
      </c>
      <c r="Q107" s="27">
        <f>MAX(0,Q104-SUMIFS($C$88:$BB$88,$C$37:$BB$37,"&gt;="&amp;Q$37-$F$17+2,$C$37:$BB$37,"&lt;="&amp;Q$37))</f>
        <v/>
      </c>
      <c r="R107" s="27">
        <f>MAX(0,R104-SUMIFS($C$88:$BB$88,$C$37:$BB$37,"&gt;="&amp;R$37-$F$17+2,$C$37:$BB$37,"&lt;="&amp;R$37))</f>
        <v/>
      </c>
      <c r="S107" s="27">
        <f>MAX(0,S104-SUMIFS($C$88:$BB$88,$C$37:$BB$37,"&gt;="&amp;S$37-$F$17+2,$C$37:$BB$37,"&lt;="&amp;S$37))</f>
        <v/>
      </c>
      <c r="T107" s="27">
        <f>MAX(0,T104-SUMIFS($C$88:$BB$88,$C$37:$BB$37,"&gt;="&amp;T$37-$F$17+2,$C$37:$BB$37,"&lt;="&amp;T$37))</f>
        <v/>
      </c>
      <c r="U107" s="27">
        <f>MAX(0,U104-SUMIFS($C$88:$BB$88,$C$37:$BB$37,"&gt;="&amp;U$37-$F$17+2,$C$37:$BB$37,"&lt;="&amp;U$37))</f>
        <v/>
      </c>
      <c r="V107" s="27">
        <f>MAX(0,V104-SUMIFS($C$88:$BB$88,$C$37:$BB$37,"&gt;="&amp;V$37-$F$17+2,$C$37:$BB$37,"&lt;="&amp;V$37))</f>
        <v/>
      </c>
      <c r="W107" s="27">
        <f>MAX(0,W104-SUMIFS($C$88:$BB$88,$C$37:$BB$37,"&gt;="&amp;W$37-$F$17+2,$C$37:$BB$37,"&lt;="&amp;W$37))</f>
        <v/>
      </c>
      <c r="X107" s="27">
        <f>MAX(0,X104-SUMIFS($C$88:$BB$88,$C$37:$BB$37,"&gt;="&amp;X$37-$F$17+2,$C$37:$BB$37,"&lt;="&amp;X$37))</f>
        <v/>
      </c>
      <c r="Y107" s="27">
        <f>MAX(0,Y104-SUMIFS($C$88:$BB$88,$C$37:$BB$37,"&gt;="&amp;Y$37-$F$17+2,$C$37:$BB$37,"&lt;="&amp;Y$37))</f>
        <v/>
      </c>
      <c r="Z107" s="27">
        <f>MAX(0,Z104-SUMIFS($C$88:$BB$88,$C$37:$BB$37,"&gt;="&amp;Z$37-$F$17+2,$C$37:$BB$37,"&lt;="&amp;Z$37))</f>
        <v/>
      </c>
      <c r="AA107" s="27">
        <f>MAX(0,AA104-SUMIFS($C$88:$BB$88,$C$37:$BB$37,"&gt;="&amp;AA$37-$F$17+2,$C$37:$BB$37,"&lt;="&amp;AA$37))</f>
        <v/>
      </c>
      <c r="AB107" s="27">
        <f>MAX(0,AB104-SUMIFS($C$88:$BB$88,$C$37:$BB$37,"&gt;="&amp;AB$37-$F$17+2,$C$37:$BB$37,"&lt;="&amp;AB$37))</f>
        <v/>
      </c>
      <c r="AC107" s="27">
        <f>MAX(0,AC104-SUMIFS($C$88:$BB$88,$C$37:$BB$37,"&gt;="&amp;AC$37-$F$17+2,$C$37:$BB$37,"&lt;="&amp;AC$37))</f>
        <v/>
      </c>
      <c r="AD107" s="27">
        <f>MAX(0,AD104-SUMIFS($C$88:$BB$88,$C$37:$BB$37,"&gt;="&amp;AD$37-$F$17+2,$C$37:$BB$37,"&lt;="&amp;AD$37))</f>
        <v/>
      </c>
      <c r="AE107" s="27">
        <f>MAX(0,AE104-SUMIFS($C$88:$BB$88,$C$37:$BB$37,"&gt;="&amp;AE$37-$F$17+2,$C$37:$BB$37,"&lt;="&amp;AE$37))</f>
        <v/>
      </c>
      <c r="AF107" s="27">
        <f>MAX(0,AF104-SUMIFS($C$88:$BB$88,$C$37:$BB$37,"&gt;="&amp;AF$37-$F$17+2,$C$37:$BB$37,"&lt;="&amp;AF$37))</f>
        <v/>
      </c>
      <c r="AG107" s="27">
        <f>MAX(0,AG104-SUMIFS($C$88:$BB$88,$C$37:$BB$37,"&gt;="&amp;AG$37-$F$17+2,$C$37:$BB$37,"&lt;="&amp;AG$37))</f>
        <v/>
      </c>
      <c r="AH107" s="27">
        <f>MAX(0,AH104-SUMIFS($C$88:$BB$88,$C$37:$BB$37,"&gt;="&amp;AH$37-$F$17+2,$C$37:$BB$37,"&lt;="&amp;AH$37))</f>
        <v/>
      </c>
      <c r="AI107" s="27">
        <f>MAX(0,AI104-SUMIFS($C$88:$BB$88,$C$37:$BB$37,"&gt;="&amp;AI$37-$F$17+2,$C$37:$BB$37,"&lt;="&amp;AI$37))</f>
        <v/>
      </c>
      <c r="AJ107" s="27">
        <f>MAX(0,AJ104-SUMIFS($C$88:$BB$88,$C$37:$BB$37,"&gt;="&amp;AJ$37-$F$17+2,$C$37:$BB$37,"&lt;="&amp;AJ$37))</f>
        <v/>
      </c>
      <c r="AK107" s="27">
        <f>MAX(0,AK104-SUMIFS($C$88:$BB$88,$C$37:$BB$37,"&gt;="&amp;AK$37-$F$17+2,$C$37:$BB$37,"&lt;="&amp;AK$37))</f>
        <v/>
      </c>
      <c r="AL107" s="27">
        <f>MAX(0,AL104-SUMIFS($C$88:$BB$88,$C$37:$BB$37,"&gt;="&amp;AL$37-$F$17+2,$C$37:$BB$37,"&lt;="&amp;AL$37))</f>
        <v/>
      </c>
      <c r="AM107" s="27">
        <f>MAX(0,AM104-SUMIFS($C$88:$BB$88,$C$37:$BB$37,"&gt;="&amp;AM$37-$F$17+2,$C$37:$BB$37,"&lt;="&amp;AM$37))</f>
        <v/>
      </c>
      <c r="AN107" s="27">
        <f>MAX(0,AN104-SUMIFS($C$88:$BB$88,$C$37:$BB$37,"&gt;="&amp;AN$37-$F$17+2,$C$37:$BB$37,"&lt;="&amp;AN$37))</f>
        <v/>
      </c>
      <c r="AO107" s="27">
        <f>MAX(0,AO104-SUMIFS($C$88:$BB$88,$C$37:$BB$37,"&gt;="&amp;AO$37-$F$17+2,$C$37:$BB$37,"&lt;="&amp;AO$37))</f>
        <v/>
      </c>
      <c r="AP107" s="27">
        <f>MAX(0,AP104-SUMIFS($C$88:$BB$88,$C$37:$BB$37,"&gt;="&amp;AP$37-$F$17+2,$C$37:$BB$37,"&lt;="&amp;AP$37))</f>
        <v/>
      </c>
      <c r="AQ107" s="27">
        <f>MAX(0,AQ104-SUMIFS($C$88:$BB$88,$C$37:$BB$37,"&gt;="&amp;AQ$37-$F$17+2,$C$37:$BB$37,"&lt;="&amp;AQ$37))</f>
        <v/>
      </c>
      <c r="AR107" s="27">
        <f>MAX(0,AR104-SUMIFS($C$88:$BB$88,$C$37:$BB$37,"&gt;="&amp;AR$37-$F$17+2,$C$37:$BB$37,"&lt;="&amp;AR$37))</f>
        <v/>
      </c>
      <c r="AS107" s="27">
        <f>MAX(0,AS104-SUMIFS($C$88:$BB$88,$C$37:$BB$37,"&gt;="&amp;AS$37-$F$17+2,$C$37:$BB$37,"&lt;="&amp;AS$37))</f>
        <v/>
      </c>
      <c r="AT107" s="27">
        <f>MAX(0,AT104-SUMIFS($C$88:$BB$88,$C$37:$BB$37,"&gt;="&amp;AT$37-$F$17+2,$C$37:$BB$37,"&lt;="&amp;AT$37))</f>
        <v/>
      </c>
      <c r="AU107" s="27">
        <f>MAX(0,AU104-SUMIFS($C$88:$BB$88,$C$37:$BB$37,"&gt;="&amp;AU$37-$F$17+2,$C$37:$BB$37,"&lt;="&amp;AU$37))</f>
        <v/>
      </c>
      <c r="AV107" s="27">
        <f>MAX(0,AV104-SUMIFS($C$88:$BB$88,$C$37:$BB$37,"&gt;="&amp;AV$37-$F$17+2,$C$37:$BB$37,"&lt;="&amp;AV$37))</f>
        <v/>
      </c>
      <c r="AW107" s="27">
        <f>MAX(0,AW104-SUMIFS($C$88:$BB$88,$C$37:$BB$37,"&gt;="&amp;AW$37-$F$17+2,$C$37:$BB$37,"&lt;="&amp;AW$37))</f>
        <v/>
      </c>
      <c r="AX107" s="27">
        <f>MAX(0,AX104-SUMIFS($C$88:$BB$88,$C$37:$BB$37,"&gt;="&amp;AX$37-$F$17+2,$C$37:$BB$37,"&lt;="&amp;AX$37))</f>
        <v/>
      </c>
      <c r="AY107" s="27">
        <f>MAX(0,AY104-SUMIFS($C$88:$BB$88,$C$37:$BB$37,"&gt;="&amp;AY$37-$F$17+2,$C$37:$BB$37,"&lt;="&amp;AY$37))</f>
        <v/>
      </c>
      <c r="AZ107" s="27">
        <f>MAX(0,AZ104-SUMIFS($C$88:$BB$88,$C$37:$BB$37,"&gt;="&amp;AZ$37-$F$17+2,$C$37:$BB$37,"&lt;="&amp;AZ$37))</f>
        <v/>
      </c>
      <c r="BA107" s="27">
        <f>MAX(0,BA104-SUMIFS($C$88:$BB$88,$C$37:$BB$37,"&gt;="&amp;BA$37-$F$17+2,$C$37:$BB$37,"&lt;="&amp;BA$37))</f>
        <v/>
      </c>
      <c r="BB107" s="27">
        <f>MAX(0,BB104-SUMIFS($C$88:$BB$88,$C$37:$BB$37,"&gt;="&amp;BB$37-$F$17+2,$C$37:$BB$37,"&lt;="&amp;BB$37))</f>
        <v/>
      </c>
    </row>
    <row r="108">
      <c r="A108" s="4" t="inlineStr">
        <is>
          <t xml:space="preserve">   stock older than its shelf life — WARNING here, a hard constraint in the app</t>
        </is>
      </c>
    </row>
    <row r="110">
      <c r="A110" s="2" t="inlineStr">
        <is>
          <t>GARLIC  —  ambient store</t>
        </is>
      </c>
      <c r="B110" s="40" t="inlineStr"/>
    </row>
    <row r="111">
      <c r="A111" s="22" t="inlineStr">
        <is>
          <t>Week</t>
        </is>
      </c>
      <c r="B111" s="23" t="inlineStr"/>
      <c r="C111" s="24" t="n">
        <v>1</v>
      </c>
      <c r="D111" s="24" t="n">
        <v>2</v>
      </c>
      <c r="E111" s="24" t="n">
        <v>3</v>
      </c>
      <c r="F111" s="24" t="n">
        <v>4</v>
      </c>
      <c r="G111" s="24" t="n">
        <v>5</v>
      </c>
      <c r="H111" s="24" t="n">
        <v>6</v>
      </c>
      <c r="I111" s="24" t="n">
        <v>7</v>
      </c>
      <c r="J111" s="24" t="n">
        <v>8</v>
      </c>
      <c r="K111" s="24" t="n">
        <v>9</v>
      </c>
      <c r="L111" s="24" t="n">
        <v>10</v>
      </c>
      <c r="M111" s="24" t="n">
        <v>11</v>
      </c>
      <c r="N111" s="24" t="n">
        <v>12</v>
      </c>
      <c r="O111" s="24" t="n">
        <v>13</v>
      </c>
      <c r="P111" s="24" t="n">
        <v>14</v>
      </c>
      <c r="Q111" s="24" t="n">
        <v>15</v>
      </c>
      <c r="R111" s="24" t="n">
        <v>16</v>
      </c>
      <c r="S111" s="24" t="n">
        <v>17</v>
      </c>
      <c r="T111" s="24" t="n">
        <v>18</v>
      </c>
      <c r="U111" s="24" t="n">
        <v>19</v>
      </c>
      <c r="V111" s="24" t="n">
        <v>20</v>
      </c>
      <c r="W111" s="24" t="n">
        <v>21</v>
      </c>
      <c r="X111" s="24" t="n">
        <v>22</v>
      </c>
      <c r="Y111" s="24" t="n">
        <v>23</v>
      </c>
      <c r="Z111" s="24" t="n">
        <v>24</v>
      </c>
      <c r="AA111" s="24" t="n">
        <v>25</v>
      </c>
      <c r="AB111" s="24" t="n">
        <v>26</v>
      </c>
      <c r="AC111" s="24" t="n">
        <v>27</v>
      </c>
      <c r="AD111" s="24" t="n">
        <v>28</v>
      </c>
      <c r="AE111" s="24" t="n">
        <v>29</v>
      </c>
      <c r="AF111" s="24" t="n">
        <v>30</v>
      </c>
      <c r="AG111" s="24" t="n">
        <v>31</v>
      </c>
      <c r="AH111" s="24" t="n">
        <v>32</v>
      </c>
      <c r="AI111" s="24" t="n">
        <v>33</v>
      </c>
      <c r="AJ111" s="24" t="n">
        <v>34</v>
      </c>
      <c r="AK111" s="24" t="n">
        <v>35</v>
      </c>
      <c r="AL111" s="24" t="n">
        <v>36</v>
      </c>
      <c r="AM111" s="24" t="n">
        <v>37</v>
      </c>
      <c r="AN111" s="24" t="n">
        <v>38</v>
      </c>
      <c r="AO111" s="24" t="n">
        <v>39</v>
      </c>
      <c r="AP111" s="24" t="n">
        <v>40</v>
      </c>
      <c r="AQ111" s="24" t="n">
        <v>41</v>
      </c>
      <c r="AR111" s="24" t="n">
        <v>42</v>
      </c>
      <c r="AS111" s="24" t="n">
        <v>43</v>
      </c>
      <c r="AT111" s="24" t="n">
        <v>44</v>
      </c>
      <c r="AU111" s="24" t="n">
        <v>45</v>
      </c>
      <c r="AV111" s="24" t="n">
        <v>46</v>
      </c>
      <c r="AW111" s="24" t="n">
        <v>47</v>
      </c>
      <c r="AX111" s="24" t="n">
        <v>48</v>
      </c>
      <c r="AY111" s="24" t="n">
        <v>49</v>
      </c>
      <c r="AZ111" s="24" t="n">
        <v>50</v>
      </c>
      <c r="BA111" s="24" t="n">
        <v>51</v>
      </c>
      <c r="BB111" s="24" t="n">
        <v>52</v>
      </c>
    </row>
    <row r="112">
      <c r="A112" s="25" t="inlineStr">
        <is>
          <t>Harvested (gross)</t>
        </is>
      </c>
      <c r="B112" s="4" t="inlineStr">
        <is>
          <t>lb</t>
        </is>
      </c>
      <c r="C112" s="27">
        <f>C48</f>
        <v/>
      </c>
      <c r="D112" s="27">
        <f>D48</f>
        <v/>
      </c>
      <c r="E112" s="27">
        <f>E48</f>
        <v/>
      </c>
      <c r="F112" s="27">
        <f>F48</f>
        <v/>
      </c>
      <c r="G112" s="27">
        <f>G48</f>
        <v/>
      </c>
      <c r="H112" s="27">
        <f>H48</f>
        <v/>
      </c>
      <c r="I112" s="27">
        <f>I48</f>
        <v/>
      </c>
      <c r="J112" s="27">
        <f>J48</f>
        <v/>
      </c>
      <c r="K112" s="27">
        <f>K48</f>
        <v/>
      </c>
      <c r="L112" s="27">
        <f>L48</f>
        <v/>
      </c>
      <c r="M112" s="27">
        <f>M48</f>
        <v/>
      </c>
      <c r="N112" s="27">
        <f>N48</f>
        <v/>
      </c>
      <c r="O112" s="27">
        <f>O48</f>
        <v/>
      </c>
      <c r="P112" s="27">
        <f>P48</f>
        <v/>
      </c>
      <c r="Q112" s="27">
        <f>Q48</f>
        <v/>
      </c>
      <c r="R112" s="27">
        <f>R48</f>
        <v/>
      </c>
      <c r="S112" s="27">
        <f>S48</f>
        <v/>
      </c>
      <c r="T112" s="27">
        <f>T48</f>
        <v/>
      </c>
      <c r="U112" s="27">
        <f>U48</f>
        <v/>
      </c>
      <c r="V112" s="27">
        <f>V48</f>
        <v/>
      </c>
      <c r="W112" s="27">
        <f>W48</f>
        <v/>
      </c>
      <c r="X112" s="27">
        <f>X48</f>
        <v/>
      </c>
      <c r="Y112" s="27">
        <f>Y48</f>
        <v/>
      </c>
      <c r="Z112" s="27">
        <f>Z48</f>
        <v/>
      </c>
      <c r="AA112" s="27">
        <f>AA48</f>
        <v/>
      </c>
      <c r="AB112" s="27">
        <f>AB48</f>
        <v/>
      </c>
      <c r="AC112" s="27">
        <f>AC48</f>
        <v/>
      </c>
      <c r="AD112" s="27">
        <f>AD48</f>
        <v/>
      </c>
      <c r="AE112" s="27">
        <f>AE48</f>
        <v/>
      </c>
      <c r="AF112" s="27">
        <f>AF48</f>
        <v/>
      </c>
      <c r="AG112" s="27">
        <f>AG48</f>
        <v/>
      </c>
      <c r="AH112" s="27">
        <f>AH48</f>
        <v/>
      </c>
      <c r="AI112" s="27">
        <f>AI48</f>
        <v/>
      </c>
      <c r="AJ112" s="27">
        <f>AJ48</f>
        <v/>
      </c>
      <c r="AK112" s="27">
        <f>AK48</f>
        <v/>
      </c>
      <c r="AL112" s="27">
        <f>AL48</f>
        <v/>
      </c>
      <c r="AM112" s="27">
        <f>AM48</f>
        <v/>
      </c>
      <c r="AN112" s="27">
        <f>AN48</f>
        <v/>
      </c>
      <c r="AO112" s="27">
        <f>AO48</f>
        <v/>
      </c>
      <c r="AP112" s="27">
        <f>AP48</f>
        <v/>
      </c>
      <c r="AQ112" s="27">
        <f>AQ48</f>
        <v/>
      </c>
      <c r="AR112" s="27">
        <f>AR48</f>
        <v/>
      </c>
      <c r="AS112" s="27">
        <f>AS48</f>
        <v/>
      </c>
      <c r="AT112" s="27">
        <f>AT48</f>
        <v/>
      </c>
      <c r="AU112" s="27">
        <f>AU48</f>
        <v/>
      </c>
      <c r="AV112" s="27">
        <f>AV48</f>
        <v/>
      </c>
      <c r="AW112" s="27">
        <f>AW48</f>
        <v/>
      </c>
      <c r="AX112" s="27">
        <f>AX48</f>
        <v/>
      </c>
      <c r="AY112" s="27">
        <f>AY48</f>
        <v/>
      </c>
      <c r="AZ112" s="27">
        <f>AZ48</f>
        <v/>
      </c>
      <c r="BA112" s="27">
        <f>BA48</f>
        <v/>
      </c>
      <c r="BB112" s="27">
        <f>BB48</f>
        <v/>
      </c>
    </row>
    <row r="113">
      <c r="A113" s="25" t="inlineStr">
        <is>
          <t xml:space="preserve">   field cull (never cooled)</t>
        </is>
      </c>
      <c r="B113" s="4" t="inlineStr">
        <is>
          <t>lb</t>
        </is>
      </c>
      <c r="C113" s="27">
        <f>C112*(1-$C$18)</f>
        <v/>
      </c>
      <c r="D113" s="27">
        <f>D112*(1-$C$18)</f>
        <v/>
      </c>
      <c r="E113" s="27">
        <f>E112*(1-$C$18)</f>
        <v/>
      </c>
      <c r="F113" s="27">
        <f>F112*(1-$C$18)</f>
        <v/>
      </c>
      <c r="G113" s="27">
        <f>G112*(1-$C$18)</f>
        <v/>
      </c>
      <c r="H113" s="27">
        <f>H112*(1-$C$18)</f>
        <v/>
      </c>
      <c r="I113" s="27">
        <f>I112*(1-$C$18)</f>
        <v/>
      </c>
      <c r="J113" s="27">
        <f>J112*(1-$C$18)</f>
        <v/>
      </c>
      <c r="K113" s="27">
        <f>K112*(1-$C$18)</f>
        <v/>
      </c>
      <c r="L113" s="27">
        <f>L112*(1-$C$18)</f>
        <v/>
      </c>
      <c r="M113" s="27">
        <f>M112*(1-$C$18)</f>
        <v/>
      </c>
      <c r="N113" s="27">
        <f>N112*(1-$C$18)</f>
        <v/>
      </c>
      <c r="O113" s="27">
        <f>O112*(1-$C$18)</f>
        <v/>
      </c>
      <c r="P113" s="27">
        <f>P112*(1-$C$18)</f>
        <v/>
      </c>
      <c r="Q113" s="27">
        <f>Q112*(1-$C$18)</f>
        <v/>
      </c>
      <c r="R113" s="27">
        <f>R112*(1-$C$18)</f>
        <v/>
      </c>
      <c r="S113" s="27">
        <f>S112*(1-$C$18)</f>
        <v/>
      </c>
      <c r="T113" s="27">
        <f>T112*(1-$C$18)</f>
        <v/>
      </c>
      <c r="U113" s="27">
        <f>U112*(1-$C$18)</f>
        <v/>
      </c>
      <c r="V113" s="27">
        <f>V112*(1-$C$18)</f>
        <v/>
      </c>
      <c r="W113" s="27">
        <f>W112*(1-$C$18)</f>
        <v/>
      </c>
      <c r="X113" s="27">
        <f>X112*(1-$C$18)</f>
        <v/>
      </c>
      <c r="Y113" s="27">
        <f>Y112*(1-$C$18)</f>
        <v/>
      </c>
      <c r="Z113" s="27">
        <f>Z112*(1-$C$18)</f>
        <v/>
      </c>
      <c r="AA113" s="27">
        <f>AA112*(1-$C$18)</f>
        <v/>
      </c>
      <c r="AB113" s="27">
        <f>AB112*(1-$C$18)</f>
        <v/>
      </c>
      <c r="AC113" s="27">
        <f>AC112*(1-$C$18)</f>
        <v/>
      </c>
      <c r="AD113" s="27">
        <f>AD112*(1-$C$18)</f>
        <v/>
      </c>
      <c r="AE113" s="27">
        <f>AE112*(1-$C$18)</f>
        <v/>
      </c>
      <c r="AF113" s="27">
        <f>AF112*(1-$C$18)</f>
        <v/>
      </c>
      <c r="AG113" s="27">
        <f>AG112*(1-$C$18)</f>
        <v/>
      </c>
      <c r="AH113" s="27">
        <f>AH112*(1-$C$18)</f>
        <v/>
      </c>
      <c r="AI113" s="27">
        <f>AI112*(1-$C$18)</f>
        <v/>
      </c>
      <c r="AJ113" s="27">
        <f>AJ112*(1-$C$18)</f>
        <v/>
      </c>
      <c r="AK113" s="27">
        <f>AK112*(1-$C$18)</f>
        <v/>
      </c>
      <c r="AL113" s="27">
        <f>AL112*(1-$C$18)</f>
        <v/>
      </c>
      <c r="AM113" s="27">
        <f>AM112*(1-$C$18)</f>
        <v/>
      </c>
      <c r="AN113" s="27">
        <f>AN112*(1-$C$18)</f>
        <v/>
      </c>
      <c r="AO113" s="27">
        <f>AO112*(1-$C$18)</f>
        <v/>
      </c>
      <c r="AP113" s="27">
        <f>AP112*(1-$C$18)</f>
        <v/>
      </c>
      <c r="AQ113" s="27">
        <f>AQ112*(1-$C$18)</f>
        <v/>
      </c>
      <c r="AR113" s="27">
        <f>AR112*(1-$C$18)</f>
        <v/>
      </c>
      <c r="AS113" s="27">
        <f>AS112*(1-$C$18)</f>
        <v/>
      </c>
      <c r="AT113" s="27">
        <f>AT112*(1-$C$18)</f>
        <v/>
      </c>
      <c r="AU113" s="27">
        <f>AU112*(1-$C$18)</f>
        <v/>
      </c>
      <c r="AV113" s="27">
        <f>AV112*(1-$C$18)</f>
        <v/>
      </c>
      <c r="AW113" s="27">
        <f>AW112*(1-$C$18)</f>
        <v/>
      </c>
      <c r="AX113" s="27">
        <f>AX112*(1-$C$18)</f>
        <v/>
      </c>
      <c r="AY113" s="27">
        <f>AY112*(1-$C$18)</f>
        <v/>
      </c>
      <c r="AZ113" s="27">
        <f>AZ112*(1-$C$18)</f>
        <v/>
      </c>
      <c r="BA113" s="27">
        <f>BA112*(1-$C$18)</f>
        <v/>
      </c>
      <c r="BB113" s="27">
        <f>BB112*(1-$C$18)</f>
        <v/>
      </c>
    </row>
    <row r="114">
      <c r="A114" s="3" t="inlineStr">
        <is>
          <t>Packed out -&gt; INTO the store</t>
        </is>
      </c>
      <c r="B114" s="4" t="inlineStr">
        <is>
          <t>lb</t>
        </is>
      </c>
      <c r="C114" s="27">
        <f>C112*$C$18</f>
        <v/>
      </c>
      <c r="D114" s="27">
        <f>D112*$C$18</f>
        <v/>
      </c>
      <c r="E114" s="27">
        <f>E112*$C$18</f>
        <v/>
      </c>
      <c r="F114" s="27">
        <f>F112*$C$18</f>
        <v/>
      </c>
      <c r="G114" s="27">
        <f>G112*$C$18</f>
        <v/>
      </c>
      <c r="H114" s="27">
        <f>H112*$C$18</f>
        <v/>
      </c>
      <c r="I114" s="27">
        <f>I112*$C$18</f>
        <v/>
      </c>
      <c r="J114" s="27">
        <f>J112*$C$18</f>
        <v/>
      </c>
      <c r="K114" s="27">
        <f>K112*$C$18</f>
        <v/>
      </c>
      <c r="L114" s="27">
        <f>L112*$C$18</f>
        <v/>
      </c>
      <c r="M114" s="27">
        <f>M112*$C$18</f>
        <v/>
      </c>
      <c r="N114" s="27">
        <f>N112*$C$18</f>
        <v/>
      </c>
      <c r="O114" s="27">
        <f>O112*$C$18</f>
        <v/>
      </c>
      <c r="P114" s="27">
        <f>P112*$C$18</f>
        <v/>
      </c>
      <c r="Q114" s="27">
        <f>Q112*$C$18</f>
        <v/>
      </c>
      <c r="R114" s="27">
        <f>R112*$C$18</f>
        <v/>
      </c>
      <c r="S114" s="27">
        <f>S112*$C$18</f>
        <v/>
      </c>
      <c r="T114" s="27">
        <f>T112*$C$18</f>
        <v/>
      </c>
      <c r="U114" s="27">
        <f>U112*$C$18</f>
        <v/>
      </c>
      <c r="V114" s="27">
        <f>V112*$C$18</f>
        <v/>
      </c>
      <c r="W114" s="27">
        <f>W112*$C$18</f>
        <v/>
      </c>
      <c r="X114" s="27">
        <f>X112*$C$18</f>
        <v/>
      </c>
      <c r="Y114" s="27">
        <f>Y112*$C$18</f>
        <v/>
      </c>
      <c r="Z114" s="27">
        <f>Z112*$C$18</f>
        <v/>
      </c>
      <c r="AA114" s="27">
        <f>AA112*$C$18</f>
        <v/>
      </c>
      <c r="AB114" s="27">
        <f>AB112*$C$18</f>
        <v/>
      </c>
      <c r="AC114" s="27">
        <f>AC112*$C$18</f>
        <v/>
      </c>
      <c r="AD114" s="27">
        <f>AD112*$C$18</f>
        <v/>
      </c>
      <c r="AE114" s="27">
        <f>AE112*$C$18</f>
        <v/>
      </c>
      <c r="AF114" s="27">
        <f>AF112*$C$18</f>
        <v/>
      </c>
      <c r="AG114" s="27">
        <f>AG112*$C$18</f>
        <v/>
      </c>
      <c r="AH114" s="27">
        <f>AH112*$C$18</f>
        <v/>
      </c>
      <c r="AI114" s="27">
        <f>AI112*$C$18</f>
        <v/>
      </c>
      <c r="AJ114" s="27">
        <f>AJ112*$C$18</f>
        <v/>
      </c>
      <c r="AK114" s="27">
        <f>AK112*$C$18</f>
        <v/>
      </c>
      <c r="AL114" s="27">
        <f>AL112*$C$18</f>
        <v/>
      </c>
      <c r="AM114" s="27">
        <f>AM112*$C$18</f>
        <v/>
      </c>
      <c r="AN114" s="27">
        <f>AN112*$C$18</f>
        <v/>
      </c>
      <c r="AO114" s="27">
        <f>AO112*$C$18</f>
        <v/>
      </c>
      <c r="AP114" s="27">
        <f>AP112*$C$18</f>
        <v/>
      </c>
      <c r="AQ114" s="27">
        <f>AQ112*$C$18</f>
        <v/>
      </c>
      <c r="AR114" s="27">
        <f>AR112*$C$18</f>
        <v/>
      </c>
      <c r="AS114" s="27">
        <f>AS112*$C$18</f>
        <v/>
      </c>
      <c r="AT114" s="27">
        <f>AT112*$C$18</f>
        <v/>
      </c>
      <c r="AU114" s="27">
        <f>AU112*$C$18</f>
        <v/>
      </c>
      <c r="AV114" s="27">
        <f>AV112*$C$18</f>
        <v/>
      </c>
      <c r="AW114" s="27">
        <f>AW112*$C$18</f>
        <v/>
      </c>
      <c r="AX114" s="27">
        <f>AX112*$C$18</f>
        <v/>
      </c>
      <c r="AY114" s="27">
        <f>AY112*$C$18</f>
        <v/>
      </c>
      <c r="AZ114" s="27">
        <f>AZ112*$C$18</f>
        <v/>
      </c>
      <c r="BA114" s="27">
        <f>BA112*$C$18</f>
        <v/>
      </c>
      <c r="BB114" s="27">
        <f>BB112*$C$18</f>
        <v/>
      </c>
    </row>
    <row r="115">
      <c r="A115" s="25" t="inlineStr">
        <is>
          <t>Stock carried in</t>
        </is>
      </c>
      <c r="B115" s="4" t="inlineStr">
        <is>
          <t>lb</t>
        </is>
      </c>
      <c r="C115" s="27" t="n">
        <v>0</v>
      </c>
      <c r="D115" s="27">
        <f>C130</f>
        <v/>
      </c>
      <c r="E115" s="27">
        <f>D130</f>
        <v/>
      </c>
      <c r="F115" s="27">
        <f>E130</f>
        <v/>
      </c>
      <c r="G115" s="27">
        <f>F130</f>
        <v/>
      </c>
      <c r="H115" s="27">
        <f>G130</f>
        <v/>
      </c>
      <c r="I115" s="27">
        <f>H130</f>
        <v/>
      </c>
      <c r="J115" s="27">
        <f>I130</f>
        <v/>
      </c>
      <c r="K115" s="27">
        <f>J130</f>
        <v/>
      </c>
      <c r="L115" s="27">
        <f>K130</f>
        <v/>
      </c>
      <c r="M115" s="27">
        <f>L130</f>
        <v/>
      </c>
      <c r="N115" s="27">
        <f>M130</f>
        <v/>
      </c>
      <c r="O115" s="27">
        <f>N130</f>
        <v/>
      </c>
      <c r="P115" s="27">
        <f>O130</f>
        <v/>
      </c>
      <c r="Q115" s="27">
        <f>P130</f>
        <v/>
      </c>
      <c r="R115" s="27">
        <f>Q130</f>
        <v/>
      </c>
      <c r="S115" s="27">
        <f>R130</f>
        <v/>
      </c>
      <c r="T115" s="27">
        <f>S130</f>
        <v/>
      </c>
      <c r="U115" s="27">
        <f>T130</f>
        <v/>
      </c>
      <c r="V115" s="27">
        <f>U130</f>
        <v/>
      </c>
      <c r="W115" s="27">
        <f>V130</f>
        <v/>
      </c>
      <c r="X115" s="27">
        <f>W130</f>
        <v/>
      </c>
      <c r="Y115" s="27">
        <f>X130</f>
        <v/>
      </c>
      <c r="Z115" s="27">
        <f>Y130</f>
        <v/>
      </c>
      <c r="AA115" s="27">
        <f>Z130</f>
        <v/>
      </c>
      <c r="AB115" s="27">
        <f>AA130</f>
        <v/>
      </c>
      <c r="AC115" s="27">
        <f>AB130</f>
        <v/>
      </c>
      <c r="AD115" s="27">
        <f>AC130</f>
        <v/>
      </c>
      <c r="AE115" s="27">
        <f>AD130</f>
        <v/>
      </c>
      <c r="AF115" s="27">
        <f>AE130</f>
        <v/>
      </c>
      <c r="AG115" s="27">
        <f>AF130</f>
        <v/>
      </c>
      <c r="AH115" s="27">
        <f>AG130</f>
        <v/>
      </c>
      <c r="AI115" s="27">
        <f>AH130</f>
        <v/>
      </c>
      <c r="AJ115" s="27">
        <f>AI130</f>
        <v/>
      </c>
      <c r="AK115" s="27">
        <f>AJ130</f>
        <v/>
      </c>
      <c r="AL115" s="27">
        <f>AK130</f>
        <v/>
      </c>
      <c r="AM115" s="27">
        <f>AL130</f>
        <v/>
      </c>
      <c r="AN115" s="27">
        <f>AM130</f>
        <v/>
      </c>
      <c r="AO115" s="27">
        <f>AN130</f>
        <v/>
      </c>
      <c r="AP115" s="27">
        <f>AO130</f>
        <v/>
      </c>
      <c r="AQ115" s="27">
        <f>AP130</f>
        <v/>
      </c>
      <c r="AR115" s="27">
        <f>AQ130</f>
        <v/>
      </c>
      <c r="AS115" s="27">
        <f>AR130</f>
        <v/>
      </c>
      <c r="AT115" s="27">
        <f>AS130</f>
        <v/>
      </c>
      <c r="AU115" s="27">
        <f>AT130</f>
        <v/>
      </c>
      <c r="AV115" s="27">
        <f>AU130</f>
        <v/>
      </c>
      <c r="AW115" s="27">
        <f>AV130</f>
        <v/>
      </c>
      <c r="AX115" s="27">
        <f>AW130</f>
        <v/>
      </c>
      <c r="AY115" s="27">
        <f>AX130</f>
        <v/>
      </c>
      <c r="AZ115" s="27">
        <f>AY130</f>
        <v/>
      </c>
      <c r="BA115" s="27">
        <f>AZ130</f>
        <v/>
      </c>
      <c r="BB115" s="27">
        <f>BA130</f>
        <v/>
      </c>
    </row>
    <row r="116">
      <c r="A116" s="25" t="inlineStr">
        <is>
          <t xml:space="preserve">   lost to shrink</t>
        </is>
      </c>
      <c r="B116" s="4" t="inlineStr">
        <is>
          <t>lb</t>
        </is>
      </c>
      <c r="C116" s="27">
        <f>C115*$G$18</f>
        <v/>
      </c>
      <c r="D116" s="27">
        <f>D115*$G$18</f>
        <v/>
      </c>
      <c r="E116" s="27">
        <f>E115*$G$18</f>
        <v/>
      </c>
      <c r="F116" s="27">
        <f>F115*$G$18</f>
        <v/>
      </c>
      <c r="G116" s="27">
        <f>G115*$G$18</f>
        <v/>
      </c>
      <c r="H116" s="27">
        <f>H115*$G$18</f>
        <v/>
      </c>
      <c r="I116" s="27">
        <f>I115*$G$18</f>
        <v/>
      </c>
      <c r="J116" s="27">
        <f>J115*$G$18</f>
        <v/>
      </c>
      <c r="K116" s="27">
        <f>K115*$G$18</f>
        <v/>
      </c>
      <c r="L116" s="27">
        <f>L115*$G$18</f>
        <v/>
      </c>
      <c r="M116" s="27">
        <f>M115*$G$18</f>
        <v/>
      </c>
      <c r="N116" s="27">
        <f>N115*$G$18</f>
        <v/>
      </c>
      <c r="O116" s="27">
        <f>O115*$G$18</f>
        <v/>
      </c>
      <c r="P116" s="27">
        <f>P115*$G$18</f>
        <v/>
      </c>
      <c r="Q116" s="27">
        <f>Q115*$G$18</f>
        <v/>
      </c>
      <c r="R116" s="27">
        <f>R115*$G$18</f>
        <v/>
      </c>
      <c r="S116" s="27">
        <f>S115*$G$18</f>
        <v/>
      </c>
      <c r="T116" s="27">
        <f>T115*$G$18</f>
        <v/>
      </c>
      <c r="U116" s="27">
        <f>U115*$G$18</f>
        <v/>
      </c>
      <c r="V116" s="27">
        <f>V115*$G$18</f>
        <v/>
      </c>
      <c r="W116" s="27">
        <f>W115*$G$18</f>
        <v/>
      </c>
      <c r="X116" s="27">
        <f>X115*$G$18</f>
        <v/>
      </c>
      <c r="Y116" s="27">
        <f>Y115*$G$18</f>
        <v/>
      </c>
      <c r="Z116" s="27">
        <f>Z115*$G$18</f>
        <v/>
      </c>
      <c r="AA116" s="27">
        <f>AA115*$G$18</f>
        <v/>
      </c>
      <c r="AB116" s="27">
        <f>AB115*$G$18</f>
        <v/>
      </c>
      <c r="AC116" s="27">
        <f>AC115*$G$18</f>
        <v/>
      </c>
      <c r="AD116" s="27">
        <f>AD115*$G$18</f>
        <v/>
      </c>
      <c r="AE116" s="27">
        <f>AE115*$G$18</f>
        <v/>
      </c>
      <c r="AF116" s="27">
        <f>AF115*$G$18</f>
        <v/>
      </c>
      <c r="AG116" s="27">
        <f>AG115*$G$18</f>
        <v/>
      </c>
      <c r="AH116" s="27">
        <f>AH115*$G$18</f>
        <v/>
      </c>
      <c r="AI116" s="27">
        <f>AI115*$G$18</f>
        <v/>
      </c>
      <c r="AJ116" s="27">
        <f>AJ115*$G$18</f>
        <v/>
      </c>
      <c r="AK116" s="27">
        <f>AK115*$G$18</f>
        <v/>
      </c>
      <c r="AL116" s="27">
        <f>AL115*$G$18</f>
        <v/>
      </c>
      <c r="AM116" s="27">
        <f>AM115*$G$18</f>
        <v/>
      </c>
      <c r="AN116" s="27">
        <f>AN115*$G$18</f>
        <v/>
      </c>
      <c r="AO116" s="27">
        <f>AO115*$G$18</f>
        <v/>
      </c>
      <c r="AP116" s="27">
        <f>AP115*$G$18</f>
        <v/>
      </c>
      <c r="AQ116" s="27">
        <f>AQ115*$G$18</f>
        <v/>
      </c>
      <c r="AR116" s="27">
        <f>AR115*$G$18</f>
        <v/>
      </c>
      <c r="AS116" s="27">
        <f>AS115*$G$18</f>
        <v/>
      </c>
      <c r="AT116" s="27">
        <f>AT115*$G$18</f>
        <v/>
      </c>
      <c r="AU116" s="27">
        <f>AU115*$G$18</f>
        <v/>
      </c>
      <c r="AV116" s="27">
        <f>AV115*$G$18</f>
        <v/>
      </c>
      <c r="AW116" s="27">
        <f>AW115*$G$18</f>
        <v/>
      </c>
      <c r="AX116" s="27">
        <f>AX115*$G$18</f>
        <v/>
      </c>
      <c r="AY116" s="27">
        <f>AY115*$G$18</f>
        <v/>
      </c>
      <c r="AZ116" s="27">
        <f>AZ115*$G$18</f>
        <v/>
      </c>
      <c r="BA116" s="27">
        <f>BA115*$G$18</f>
        <v/>
      </c>
      <c r="BB116" s="27">
        <f>BB115*$G$18</f>
        <v/>
      </c>
    </row>
    <row r="117">
      <c r="A117" s="3" t="inlineStr">
        <is>
          <t>In store this week</t>
        </is>
      </c>
      <c r="B117" s="4" t="inlineStr">
        <is>
          <t>lb</t>
        </is>
      </c>
      <c r="C117" s="27">
        <f>C115-C116+C114</f>
        <v/>
      </c>
      <c r="D117" s="27">
        <f>D115-D116+D114</f>
        <v/>
      </c>
      <c r="E117" s="27">
        <f>E115-E116+E114</f>
        <v/>
      </c>
      <c r="F117" s="27">
        <f>F115-F116+F114</f>
        <v/>
      </c>
      <c r="G117" s="27">
        <f>G115-G116+G114</f>
        <v/>
      </c>
      <c r="H117" s="27">
        <f>H115-H116+H114</f>
        <v/>
      </c>
      <c r="I117" s="27">
        <f>I115-I116+I114</f>
        <v/>
      </c>
      <c r="J117" s="27">
        <f>J115-J116+J114</f>
        <v/>
      </c>
      <c r="K117" s="27">
        <f>K115-K116+K114</f>
        <v/>
      </c>
      <c r="L117" s="27">
        <f>L115-L116+L114</f>
        <v/>
      </c>
      <c r="M117" s="27">
        <f>M115-M116+M114</f>
        <v/>
      </c>
      <c r="N117" s="27">
        <f>N115-N116+N114</f>
        <v/>
      </c>
      <c r="O117" s="27">
        <f>O115-O116+O114</f>
        <v/>
      </c>
      <c r="P117" s="27">
        <f>P115-P116+P114</f>
        <v/>
      </c>
      <c r="Q117" s="27">
        <f>Q115-Q116+Q114</f>
        <v/>
      </c>
      <c r="R117" s="27">
        <f>R115-R116+R114</f>
        <v/>
      </c>
      <c r="S117" s="27">
        <f>S115-S116+S114</f>
        <v/>
      </c>
      <c r="T117" s="27">
        <f>T115-T116+T114</f>
        <v/>
      </c>
      <c r="U117" s="27">
        <f>U115-U116+U114</f>
        <v/>
      </c>
      <c r="V117" s="27">
        <f>V115-V116+V114</f>
        <v/>
      </c>
      <c r="W117" s="27">
        <f>W115-W116+W114</f>
        <v/>
      </c>
      <c r="X117" s="27">
        <f>X115-X116+X114</f>
        <v/>
      </c>
      <c r="Y117" s="27">
        <f>Y115-Y116+Y114</f>
        <v/>
      </c>
      <c r="Z117" s="27">
        <f>Z115-Z116+Z114</f>
        <v/>
      </c>
      <c r="AA117" s="27">
        <f>AA115-AA116+AA114</f>
        <v/>
      </c>
      <c r="AB117" s="27">
        <f>AB115-AB116+AB114</f>
        <v/>
      </c>
      <c r="AC117" s="27">
        <f>AC115-AC116+AC114</f>
        <v/>
      </c>
      <c r="AD117" s="27">
        <f>AD115-AD116+AD114</f>
        <v/>
      </c>
      <c r="AE117" s="27">
        <f>AE115-AE116+AE114</f>
        <v/>
      </c>
      <c r="AF117" s="27">
        <f>AF115-AF116+AF114</f>
        <v/>
      </c>
      <c r="AG117" s="27">
        <f>AG115-AG116+AG114</f>
        <v/>
      </c>
      <c r="AH117" s="27">
        <f>AH115-AH116+AH114</f>
        <v/>
      </c>
      <c r="AI117" s="27">
        <f>AI115-AI116+AI114</f>
        <v/>
      </c>
      <c r="AJ117" s="27">
        <f>AJ115-AJ116+AJ114</f>
        <v/>
      </c>
      <c r="AK117" s="27">
        <f>AK115-AK116+AK114</f>
        <v/>
      </c>
      <c r="AL117" s="27">
        <f>AL115-AL116+AL114</f>
        <v/>
      </c>
      <c r="AM117" s="27">
        <f>AM115-AM116+AM114</f>
        <v/>
      </c>
      <c r="AN117" s="27">
        <f>AN115-AN116+AN114</f>
        <v/>
      </c>
      <c r="AO117" s="27">
        <f>AO115-AO116+AO114</f>
        <v/>
      </c>
      <c r="AP117" s="27">
        <f>AP115-AP116+AP114</f>
        <v/>
      </c>
      <c r="AQ117" s="27">
        <f>AQ115-AQ116+AQ114</f>
        <v/>
      </c>
      <c r="AR117" s="27">
        <f>AR115-AR116+AR114</f>
        <v/>
      </c>
      <c r="AS117" s="27">
        <f>AS115-AS116+AS114</f>
        <v/>
      </c>
      <c r="AT117" s="27">
        <f>AT115-AT116+AT114</f>
        <v/>
      </c>
      <c r="AU117" s="27">
        <f>AU115-AU116+AU114</f>
        <v/>
      </c>
      <c r="AV117" s="27">
        <f>AV115-AV116+AV114</f>
        <v/>
      </c>
      <c r="AW117" s="27">
        <f>AW115-AW116+AW114</f>
        <v/>
      </c>
      <c r="AX117" s="27">
        <f>AX115-AX116+AX114</f>
        <v/>
      </c>
      <c r="AY117" s="27">
        <f>AY115-AY116+AY114</f>
        <v/>
      </c>
      <c r="AZ117" s="27">
        <f>AZ115-AZ116+AZ114</f>
        <v/>
      </c>
      <c r="BA117" s="27">
        <f>BA115-BA116+BA114</f>
        <v/>
      </c>
      <c r="BB117" s="27">
        <f>BB115-BB116+BB114</f>
        <v/>
      </c>
    </row>
    <row r="118">
      <c r="A118" s="31" t="inlineStr">
        <is>
          <t>Farmers Market — weekly ceiling</t>
        </is>
      </c>
      <c r="B118" s="4" t="inlineStr">
        <is>
          <t>lb</t>
        </is>
      </c>
      <c r="C118" s="32">
        <f>IF($C$27="Annual",$D$27,IF(AND(C$37&gt;=$E$27,C$37&lt;=$F$27),$D$27,0))</f>
        <v/>
      </c>
      <c r="D118" s="32">
        <f>IF($C$27="Annual",$D$27,IF(AND(D$37&gt;=$E$27,D$37&lt;=$F$27),$D$27,0))</f>
        <v/>
      </c>
      <c r="E118" s="32">
        <f>IF($C$27="Annual",$D$27,IF(AND(E$37&gt;=$E$27,E$37&lt;=$F$27),$D$27,0))</f>
        <v/>
      </c>
      <c r="F118" s="32">
        <f>IF($C$27="Annual",$D$27,IF(AND(F$37&gt;=$E$27,F$37&lt;=$F$27),$D$27,0))</f>
        <v/>
      </c>
      <c r="G118" s="32">
        <f>IF($C$27="Annual",$D$27,IF(AND(G$37&gt;=$E$27,G$37&lt;=$F$27),$D$27,0))</f>
        <v/>
      </c>
      <c r="H118" s="32">
        <f>IF($C$27="Annual",$D$27,IF(AND(H$37&gt;=$E$27,H$37&lt;=$F$27),$D$27,0))</f>
        <v/>
      </c>
      <c r="I118" s="32">
        <f>IF($C$27="Annual",$D$27,IF(AND(I$37&gt;=$E$27,I$37&lt;=$F$27),$D$27,0))</f>
        <v/>
      </c>
      <c r="J118" s="32">
        <f>IF($C$27="Annual",$D$27,IF(AND(J$37&gt;=$E$27,J$37&lt;=$F$27),$D$27,0))</f>
        <v/>
      </c>
      <c r="K118" s="32">
        <f>IF($C$27="Annual",$D$27,IF(AND(K$37&gt;=$E$27,K$37&lt;=$F$27),$D$27,0))</f>
        <v/>
      </c>
      <c r="L118" s="32">
        <f>IF($C$27="Annual",$D$27,IF(AND(L$37&gt;=$E$27,L$37&lt;=$F$27),$D$27,0))</f>
        <v/>
      </c>
      <c r="M118" s="32">
        <f>IF($C$27="Annual",$D$27,IF(AND(M$37&gt;=$E$27,M$37&lt;=$F$27),$D$27,0))</f>
        <v/>
      </c>
      <c r="N118" s="32">
        <f>IF($C$27="Annual",$D$27,IF(AND(N$37&gt;=$E$27,N$37&lt;=$F$27),$D$27,0))</f>
        <v/>
      </c>
      <c r="O118" s="32">
        <f>IF($C$27="Annual",$D$27,IF(AND(O$37&gt;=$E$27,O$37&lt;=$F$27),$D$27,0))</f>
        <v/>
      </c>
      <c r="P118" s="32">
        <f>IF($C$27="Annual",$D$27,IF(AND(P$37&gt;=$E$27,P$37&lt;=$F$27),$D$27,0))</f>
        <v/>
      </c>
      <c r="Q118" s="32">
        <f>IF($C$27="Annual",$D$27,IF(AND(Q$37&gt;=$E$27,Q$37&lt;=$F$27),$D$27,0))</f>
        <v/>
      </c>
      <c r="R118" s="32">
        <f>IF($C$27="Annual",$D$27,IF(AND(R$37&gt;=$E$27,R$37&lt;=$F$27),$D$27,0))</f>
        <v/>
      </c>
      <c r="S118" s="32">
        <f>IF($C$27="Annual",$D$27,IF(AND(S$37&gt;=$E$27,S$37&lt;=$F$27),$D$27,0))</f>
        <v/>
      </c>
      <c r="T118" s="32">
        <f>IF($C$27="Annual",$D$27,IF(AND(T$37&gt;=$E$27,T$37&lt;=$F$27),$D$27,0))</f>
        <v/>
      </c>
      <c r="U118" s="32">
        <f>IF($C$27="Annual",$D$27,IF(AND(U$37&gt;=$E$27,U$37&lt;=$F$27),$D$27,0))</f>
        <v/>
      </c>
      <c r="V118" s="32">
        <f>IF($C$27="Annual",$D$27,IF(AND(V$37&gt;=$E$27,V$37&lt;=$F$27),$D$27,0))</f>
        <v/>
      </c>
      <c r="W118" s="32">
        <f>IF($C$27="Annual",$D$27,IF(AND(W$37&gt;=$E$27,W$37&lt;=$F$27),$D$27,0))</f>
        <v/>
      </c>
      <c r="X118" s="32">
        <f>IF($C$27="Annual",$D$27,IF(AND(X$37&gt;=$E$27,X$37&lt;=$F$27),$D$27,0))</f>
        <v/>
      </c>
      <c r="Y118" s="32">
        <f>IF($C$27="Annual",$D$27,IF(AND(Y$37&gt;=$E$27,Y$37&lt;=$F$27),$D$27,0))</f>
        <v/>
      </c>
      <c r="Z118" s="32">
        <f>IF($C$27="Annual",$D$27,IF(AND(Z$37&gt;=$E$27,Z$37&lt;=$F$27),$D$27,0))</f>
        <v/>
      </c>
      <c r="AA118" s="32">
        <f>IF($C$27="Annual",$D$27,IF(AND(AA$37&gt;=$E$27,AA$37&lt;=$F$27),$D$27,0))</f>
        <v/>
      </c>
      <c r="AB118" s="32">
        <f>IF($C$27="Annual",$D$27,IF(AND(AB$37&gt;=$E$27,AB$37&lt;=$F$27),$D$27,0))</f>
        <v/>
      </c>
      <c r="AC118" s="32">
        <f>IF($C$27="Annual",$D$27,IF(AND(AC$37&gt;=$E$27,AC$37&lt;=$F$27),$D$27,0))</f>
        <v/>
      </c>
      <c r="AD118" s="32">
        <f>IF($C$27="Annual",$D$27,IF(AND(AD$37&gt;=$E$27,AD$37&lt;=$F$27),$D$27,0))</f>
        <v/>
      </c>
      <c r="AE118" s="32">
        <f>IF($C$27="Annual",$D$27,IF(AND(AE$37&gt;=$E$27,AE$37&lt;=$F$27),$D$27,0))</f>
        <v/>
      </c>
      <c r="AF118" s="32">
        <f>IF($C$27="Annual",$D$27,IF(AND(AF$37&gt;=$E$27,AF$37&lt;=$F$27),$D$27,0))</f>
        <v/>
      </c>
      <c r="AG118" s="32">
        <f>IF($C$27="Annual",$D$27,IF(AND(AG$37&gt;=$E$27,AG$37&lt;=$F$27),$D$27,0))</f>
        <v/>
      </c>
      <c r="AH118" s="32">
        <f>IF($C$27="Annual",$D$27,IF(AND(AH$37&gt;=$E$27,AH$37&lt;=$F$27),$D$27,0))</f>
        <v/>
      </c>
      <c r="AI118" s="32">
        <f>IF($C$27="Annual",$D$27,IF(AND(AI$37&gt;=$E$27,AI$37&lt;=$F$27),$D$27,0))</f>
        <v/>
      </c>
      <c r="AJ118" s="32">
        <f>IF($C$27="Annual",$D$27,IF(AND(AJ$37&gt;=$E$27,AJ$37&lt;=$F$27),$D$27,0))</f>
        <v/>
      </c>
      <c r="AK118" s="32">
        <f>IF($C$27="Annual",$D$27,IF(AND(AK$37&gt;=$E$27,AK$37&lt;=$F$27),$D$27,0))</f>
        <v/>
      </c>
      <c r="AL118" s="32">
        <f>IF($C$27="Annual",$D$27,IF(AND(AL$37&gt;=$E$27,AL$37&lt;=$F$27),$D$27,0))</f>
        <v/>
      </c>
      <c r="AM118" s="32">
        <f>IF($C$27="Annual",$D$27,IF(AND(AM$37&gt;=$E$27,AM$37&lt;=$F$27),$D$27,0))</f>
        <v/>
      </c>
      <c r="AN118" s="32">
        <f>IF($C$27="Annual",$D$27,IF(AND(AN$37&gt;=$E$27,AN$37&lt;=$F$27),$D$27,0))</f>
        <v/>
      </c>
      <c r="AO118" s="32">
        <f>IF($C$27="Annual",$D$27,IF(AND(AO$37&gt;=$E$27,AO$37&lt;=$F$27),$D$27,0))</f>
        <v/>
      </c>
      <c r="AP118" s="32">
        <f>IF($C$27="Annual",$D$27,IF(AND(AP$37&gt;=$E$27,AP$37&lt;=$F$27),$D$27,0))</f>
        <v/>
      </c>
      <c r="AQ118" s="32">
        <f>IF($C$27="Annual",$D$27,IF(AND(AQ$37&gt;=$E$27,AQ$37&lt;=$F$27),$D$27,0))</f>
        <v/>
      </c>
      <c r="AR118" s="32">
        <f>IF($C$27="Annual",$D$27,IF(AND(AR$37&gt;=$E$27,AR$37&lt;=$F$27),$D$27,0))</f>
        <v/>
      </c>
      <c r="AS118" s="32">
        <f>IF($C$27="Annual",$D$27,IF(AND(AS$37&gt;=$E$27,AS$37&lt;=$F$27),$D$27,0))</f>
        <v/>
      </c>
      <c r="AT118" s="32">
        <f>IF($C$27="Annual",$D$27,IF(AND(AT$37&gt;=$E$27,AT$37&lt;=$F$27),$D$27,0))</f>
        <v/>
      </c>
      <c r="AU118" s="32">
        <f>IF($C$27="Annual",$D$27,IF(AND(AU$37&gt;=$E$27,AU$37&lt;=$F$27),$D$27,0))</f>
        <v/>
      </c>
      <c r="AV118" s="32">
        <f>IF($C$27="Annual",$D$27,IF(AND(AV$37&gt;=$E$27,AV$37&lt;=$F$27),$D$27,0))</f>
        <v/>
      </c>
      <c r="AW118" s="32">
        <f>IF($C$27="Annual",$D$27,IF(AND(AW$37&gt;=$E$27,AW$37&lt;=$F$27),$D$27,0))</f>
        <v/>
      </c>
      <c r="AX118" s="32">
        <f>IF($C$27="Annual",$D$27,IF(AND(AX$37&gt;=$E$27,AX$37&lt;=$F$27),$D$27,0))</f>
        <v/>
      </c>
      <c r="AY118" s="32">
        <f>IF($C$27="Annual",$D$27,IF(AND(AY$37&gt;=$E$27,AY$37&lt;=$F$27),$D$27,0))</f>
        <v/>
      </c>
      <c r="AZ118" s="32">
        <f>IF($C$27="Annual",$D$27,IF(AND(AZ$37&gt;=$E$27,AZ$37&lt;=$F$27),$D$27,0))</f>
        <v/>
      </c>
      <c r="BA118" s="32">
        <f>IF($C$27="Annual",$D$27,IF(AND(BA$37&gt;=$E$27,BA$37&lt;=$F$27),$D$27,0))</f>
        <v/>
      </c>
      <c r="BB118" s="32">
        <f>IF($C$27="Annual",$D$27,IF(AND(BB$37&gt;=$E$27,BB$37&lt;=$F$27),$D$27,0))</f>
        <v/>
      </c>
    </row>
    <row r="119">
      <c r="A119" s="33" t="inlineStr">
        <is>
          <t>Farmers Market — OFFERED</t>
        </is>
      </c>
      <c r="B119" s="4" t="inlineStr">
        <is>
          <t>lb  &lt;-- SOLVER</t>
        </is>
      </c>
      <c r="C119" s="34" t="n">
        <v>0</v>
      </c>
      <c r="D119" s="34" t="n">
        <v>0</v>
      </c>
      <c r="E119" s="34" t="n">
        <v>0</v>
      </c>
      <c r="F119" s="34" t="n">
        <v>0</v>
      </c>
      <c r="G119" s="34" t="n">
        <v>0</v>
      </c>
      <c r="H119" s="34" t="n">
        <v>0</v>
      </c>
      <c r="I119" s="34" t="n">
        <v>0</v>
      </c>
      <c r="J119" s="34" t="n">
        <v>0</v>
      </c>
      <c r="K119" s="34" t="n">
        <v>0</v>
      </c>
      <c r="L119" s="34" t="n">
        <v>0</v>
      </c>
      <c r="M119" s="34" t="n">
        <v>0</v>
      </c>
      <c r="N119" s="34" t="n">
        <v>0</v>
      </c>
      <c r="O119" s="34" t="n">
        <v>0</v>
      </c>
      <c r="P119" s="34" t="n">
        <v>0</v>
      </c>
      <c r="Q119" s="34" t="n">
        <v>0</v>
      </c>
      <c r="R119" s="34" t="n">
        <v>0</v>
      </c>
      <c r="S119" s="34" t="n">
        <v>0</v>
      </c>
      <c r="T119" s="34" t="n">
        <v>0</v>
      </c>
      <c r="U119" s="34" t="n">
        <v>0</v>
      </c>
      <c r="V119" s="34" t="n">
        <v>0</v>
      </c>
      <c r="W119" s="34" t="n">
        <v>0</v>
      </c>
      <c r="X119" s="34" t="n">
        <v>0</v>
      </c>
      <c r="Y119" s="34" t="n">
        <v>0</v>
      </c>
      <c r="Z119" s="34" t="n">
        <v>0</v>
      </c>
      <c r="AA119" s="34" t="n">
        <v>0</v>
      </c>
      <c r="AB119" s="34" t="n">
        <v>0</v>
      </c>
      <c r="AC119" s="34" t="n">
        <v>0</v>
      </c>
      <c r="AD119" s="34" t="n">
        <v>0</v>
      </c>
      <c r="AE119" s="34" t="n">
        <v>0</v>
      </c>
      <c r="AF119" s="34" t="n">
        <v>0</v>
      </c>
      <c r="AG119" s="34" t="n">
        <v>0</v>
      </c>
      <c r="AH119" s="34" t="n">
        <v>0</v>
      </c>
      <c r="AI119" s="34" t="n">
        <v>0</v>
      </c>
      <c r="AJ119" s="34" t="n">
        <v>0</v>
      </c>
      <c r="AK119" s="34" t="n">
        <v>0</v>
      </c>
      <c r="AL119" s="34" t="n">
        <v>0</v>
      </c>
      <c r="AM119" s="34" t="n">
        <v>0</v>
      </c>
      <c r="AN119" s="34" t="n">
        <v>0</v>
      </c>
      <c r="AO119" s="34" t="n">
        <v>0</v>
      </c>
      <c r="AP119" s="34" t="n">
        <v>0</v>
      </c>
      <c r="AQ119" s="34" t="n">
        <v>0</v>
      </c>
      <c r="AR119" s="34" t="n">
        <v>0</v>
      </c>
      <c r="AS119" s="34" t="n">
        <v>0</v>
      </c>
      <c r="AT119" s="34" t="n">
        <v>0</v>
      </c>
      <c r="AU119" s="34" t="n">
        <v>0</v>
      </c>
      <c r="AV119" s="34" t="n">
        <v>0</v>
      </c>
      <c r="AW119" s="34" t="n">
        <v>0</v>
      </c>
      <c r="AX119" s="34" t="n">
        <v>0</v>
      </c>
      <c r="AY119" s="34" t="n">
        <v>0</v>
      </c>
      <c r="AZ119" s="34" t="n">
        <v>0</v>
      </c>
      <c r="BA119" s="34" t="n">
        <v>0</v>
      </c>
      <c r="BB119" s="34" t="n">
        <v>0</v>
      </c>
    </row>
    <row r="120">
      <c r="A120" s="35" t="inlineStr">
        <is>
          <t>Farmers Market — SOLD</t>
        </is>
      </c>
      <c r="B120" s="4" t="inlineStr">
        <is>
          <t>lb</t>
        </is>
      </c>
      <c r="C120" s="32">
        <f>C119*$G$27</f>
        <v/>
      </c>
      <c r="D120" s="32">
        <f>D119*$G$27</f>
        <v/>
      </c>
      <c r="E120" s="32">
        <f>E119*$G$27</f>
        <v/>
      </c>
      <c r="F120" s="32">
        <f>F119*$G$27</f>
        <v/>
      </c>
      <c r="G120" s="32">
        <f>G119*$G$27</f>
        <v/>
      </c>
      <c r="H120" s="32">
        <f>H119*$G$27</f>
        <v/>
      </c>
      <c r="I120" s="32">
        <f>I119*$G$27</f>
        <v/>
      </c>
      <c r="J120" s="32">
        <f>J119*$G$27</f>
        <v/>
      </c>
      <c r="K120" s="32">
        <f>K119*$G$27</f>
        <v/>
      </c>
      <c r="L120" s="32">
        <f>L119*$G$27</f>
        <v/>
      </c>
      <c r="M120" s="32">
        <f>M119*$G$27</f>
        <v/>
      </c>
      <c r="N120" s="32">
        <f>N119*$G$27</f>
        <v/>
      </c>
      <c r="O120" s="32">
        <f>O119*$G$27</f>
        <v/>
      </c>
      <c r="P120" s="32">
        <f>P119*$G$27</f>
        <v/>
      </c>
      <c r="Q120" s="32">
        <f>Q119*$G$27</f>
        <v/>
      </c>
      <c r="R120" s="32">
        <f>R119*$G$27</f>
        <v/>
      </c>
      <c r="S120" s="32">
        <f>S119*$G$27</f>
        <v/>
      </c>
      <c r="T120" s="32">
        <f>T119*$G$27</f>
        <v/>
      </c>
      <c r="U120" s="32">
        <f>U119*$G$27</f>
        <v/>
      </c>
      <c r="V120" s="32">
        <f>V119*$G$27</f>
        <v/>
      </c>
      <c r="W120" s="32">
        <f>W119*$G$27</f>
        <v/>
      </c>
      <c r="X120" s="32">
        <f>X119*$G$27</f>
        <v/>
      </c>
      <c r="Y120" s="32">
        <f>Y119*$G$27</f>
        <v/>
      </c>
      <c r="Z120" s="32">
        <f>Z119*$G$27</f>
        <v/>
      </c>
      <c r="AA120" s="32">
        <f>AA119*$G$27</f>
        <v/>
      </c>
      <c r="AB120" s="32">
        <f>AB119*$G$27</f>
        <v/>
      </c>
      <c r="AC120" s="32">
        <f>AC119*$G$27</f>
        <v/>
      </c>
      <c r="AD120" s="32">
        <f>AD119*$G$27</f>
        <v/>
      </c>
      <c r="AE120" s="32">
        <f>AE119*$G$27</f>
        <v/>
      </c>
      <c r="AF120" s="32">
        <f>AF119*$G$27</f>
        <v/>
      </c>
      <c r="AG120" s="32">
        <f>AG119*$G$27</f>
        <v/>
      </c>
      <c r="AH120" s="32">
        <f>AH119*$G$27</f>
        <v/>
      </c>
      <c r="AI120" s="32">
        <f>AI119*$G$27</f>
        <v/>
      </c>
      <c r="AJ120" s="32">
        <f>AJ119*$G$27</f>
        <v/>
      </c>
      <c r="AK120" s="32">
        <f>AK119*$G$27</f>
        <v/>
      </c>
      <c r="AL120" s="32">
        <f>AL119*$G$27</f>
        <v/>
      </c>
      <c r="AM120" s="32">
        <f>AM119*$G$27</f>
        <v/>
      </c>
      <c r="AN120" s="32">
        <f>AN119*$G$27</f>
        <v/>
      </c>
      <c r="AO120" s="32">
        <f>AO119*$G$27</f>
        <v/>
      </c>
      <c r="AP120" s="32">
        <f>AP119*$G$27</f>
        <v/>
      </c>
      <c r="AQ120" s="32">
        <f>AQ119*$G$27</f>
        <v/>
      </c>
      <c r="AR120" s="32">
        <f>AR119*$G$27</f>
        <v/>
      </c>
      <c r="AS120" s="32">
        <f>AS119*$G$27</f>
        <v/>
      </c>
      <c r="AT120" s="32">
        <f>AT119*$G$27</f>
        <v/>
      </c>
      <c r="AU120" s="32">
        <f>AU119*$G$27</f>
        <v/>
      </c>
      <c r="AV120" s="32">
        <f>AV119*$G$27</f>
        <v/>
      </c>
      <c r="AW120" s="32">
        <f>AW119*$G$27</f>
        <v/>
      </c>
      <c r="AX120" s="32">
        <f>AX119*$G$27</f>
        <v/>
      </c>
      <c r="AY120" s="32">
        <f>AY119*$G$27</f>
        <v/>
      </c>
      <c r="AZ120" s="32">
        <f>AZ119*$G$27</f>
        <v/>
      </c>
      <c r="BA120" s="32">
        <f>BA119*$G$27</f>
        <v/>
      </c>
      <c r="BB120" s="32">
        <f>BB119*$G$27</f>
        <v/>
      </c>
    </row>
    <row r="121">
      <c r="A121" s="25" t="inlineStr">
        <is>
          <t xml:space="preserve">   market loss (gone)</t>
        </is>
      </c>
      <c r="B121" s="4" t="inlineStr">
        <is>
          <t>lb</t>
        </is>
      </c>
      <c r="C121" s="27">
        <f>(C119-C120)*(1-$H$27)</f>
        <v/>
      </c>
      <c r="D121" s="27">
        <f>(D119-D120)*(1-$H$27)</f>
        <v/>
      </c>
      <c r="E121" s="27">
        <f>(E119-E120)*(1-$H$27)</f>
        <v/>
      </c>
      <c r="F121" s="27">
        <f>(F119-F120)*(1-$H$27)</f>
        <v/>
      </c>
      <c r="G121" s="27">
        <f>(G119-G120)*(1-$H$27)</f>
        <v/>
      </c>
      <c r="H121" s="27">
        <f>(H119-H120)*(1-$H$27)</f>
        <v/>
      </c>
      <c r="I121" s="27">
        <f>(I119-I120)*(1-$H$27)</f>
        <v/>
      </c>
      <c r="J121" s="27">
        <f>(J119-J120)*(1-$H$27)</f>
        <v/>
      </c>
      <c r="K121" s="27">
        <f>(K119-K120)*(1-$H$27)</f>
        <v/>
      </c>
      <c r="L121" s="27">
        <f>(L119-L120)*(1-$H$27)</f>
        <v/>
      </c>
      <c r="M121" s="27">
        <f>(M119-M120)*(1-$H$27)</f>
        <v/>
      </c>
      <c r="N121" s="27">
        <f>(N119-N120)*(1-$H$27)</f>
        <v/>
      </c>
      <c r="O121" s="27">
        <f>(O119-O120)*(1-$H$27)</f>
        <v/>
      </c>
      <c r="P121" s="27">
        <f>(P119-P120)*(1-$H$27)</f>
        <v/>
      </c>
      <c r="Q121" s="27">
        <f>(Q119-Q120)*(1-$H$27)</f>
        <v/>
      </c>
      <c r="R121" s="27">
        <f>(R119-R120)*(1-$H$27)</f>
        <v/>
      </c>
      <c r="S121" s="27">
        <f>(S119-S120)*(1-$H$27)</f>
        <v/>
      </c>
      <c r="T121" s="27">
        <f>(T119-T120)*(1-$H$27)</f>
        <v/>
      </c>
      <c r="U121" s="27">
        <f>(U119-U120)*(1-$H$27)</f>
        <v/>
      </c>
      <c r="V121" s="27">
        <f>(V119-V120)*(1-$H$27)</f>
        <v/>
      </c>
      <c r="W121" s="27">
        <f>(W119-W120)*(1-$H$27)</f>
        <v/>
      </c>
      <c r="X121" s="27">
        <f>(X119-X120)*(1-$H$27)</f>
        <v/>
      </c>
      <c r="Y121" s="27">
        <f>(Y119-Y120)*(1-$H$27)</f>
        <v/>
      </c>
      <c r="Z121" s="27">
        <f>(Z119-Z120)*(1-$H$27)</f>
        <v/>
      </c>
      <c r="AA121" s="27">
        <f>(AA119-AA120)*(1-$H$27)</f>
        <v/>
      </c>
      <c r="AB121" s="27">
        <f>(AB119-AB120)*(1-$H$27)</f>
        <v/>
      </c>
      <c r="AC121" s="27">
        <f>(AC119-AC120)*(1-$H$27)</f>
        <v/>
      </c>
      <c r="AD121" s="27">
        <f>(AD119-AD120)*(1-$H$27)</f>
        <v/>
      </c>
      <c r="AE121" s="27">
        <f>(AE119-AE120)*(1-$H$27)</f>
        <v/>
      </c>
      <c r="AF121" s="27">
        <f>(AF119-AF120)*(1-$H$27)</f>
        <v/>
      </c>
      <c r="AG121" s="27">
        <f>(AG119-AG120)*(1-$H$27)</f>
        <v/>
      </c>
      <c r="AH121" s="27">
        <f>(AH119-AH120)*(1-$H$27)</f>
        <v/>
      </c>
      <c r="AI121" s="27">
        <f>(AI119-AI120)*(1-$H$27)</f>
        <v/>
      </c>
      <c r="AJ121" s="27">
        <f>(AJ119-AJ120)*(1-$H$27)</f>
        <v/>
      </c>
      <c r="AK121" s="27">
        <f>(AK119-AK120)*(1-$H$27)</f>
        <v/>
      </c>
      <c r="AL121" s="27">
        <f>(AL119-AL120)*(1-$H$27)</f>
        <v/>
      </c>
      <c r="AM121" s="27">
        <f>(AM119-AM120)*(1-$H$27)</f>
        <v/>
      </c>
      <c r="AN121" s="27">
        <f>(AN119-AN120)*(1-$H$27)</f>
        <v/>
      </c>
      <c r="AO121" s="27">
        <f>(AO119-AO120)*(1-$H$27)</f>
        <v/>
      </c>
      <c r="AP121" s="27">
        <f>(AP119-AP120)*(1-$H$27)</f>
        <v/>
      </c>
      <c r="AQ121" s="27">
        <f>(AQ119-AQ120)*(1-$H$27)</f>
        <v/>
      </c>
      <c r="AR121" s="27">
        <f>(AR119-AR120)*(1-$H$27)</f>
        <v/>
      </c>
      <c r="AS121" s="27">
        <f>(AS119-AS120)*(1-$H$27)</f>
        <v/>
      </c>
      <c r="AT121" s="27">
        <f>(AT119-AT120)*(1-$H$27)</f>
        <v/>
      </c>
      <c r="AU121" s="27">
        <f>(AU119-AU120)*(1-$H$27)</f>
        <v/>
      </c>
      <c r="AV121" s="27">
        <f>(AV119-AV120)*(1-$H$27)</f>
        <v/>
      </c>
      <c r="AW121" s="27">
        <f>(AW119-AW120)*(1-$H$27)</f>
        <v/>
      </c>
      <c r="AX121" s="27">
        <f>(AX119-AX120)*(1-$H$27)</f>
        <v/>
      </c>
      <c r="AY121" s="27">
        <f>(AY119-AY120)*(1-$H$27)</f>
        <v/>
      </c>
      <c r="AZ121" s="27">
        <f>(AZ119-AZ120)*(1-$H$27)</f>
        <v/>
      </c>
      <c r="BA121" s="27">
        <f>(BA119-BA120)*(1-$H$27)</f>
        <v/>
      </c>
      <c r="BB121" s="27">
        <f>(BB119-BB120)*(1-$H$27)</f>
        <v/>
      </c>
    </row>
    <row r="122">
      <c r="A122" s="25" t="inlineStr">
        <is>
          <t xml:space="preserve">   returned to store</t>
        </is>
      </c>
      <c r="B122" s="4" t="inlineStr">
        <is>
          <t>lb</t>
        </is>
      </c>
      <c r="C122" s="27">
        <f>(C119-C120)*$H$27</f>
        <v/>
      </c>
      <c r="D122" s="27">
        <f>(D119-D120)*$H$27</f>
        <v/>
      </c>
      <c r="E122" s="27">
        <f>(E119-E120)*$H$27</f>
        <v/>
      </c>
      <c r="F122" s="27">
        <f>(F119-F120)*$H$27</f>
        <v/>
      </c>
      <c r="G122" s="27">
        <f>(G119-G120)*$H$27</f>
        <v/>
      </c>
      <c r="H122" s="27">
        <f>(H119-H120)*$H$27</f>
        <v/>
      </c>
      <c r="I122" s="27">
        <f>(I119-I120)*$H$27</f>
        <v/>
      </c>
      <c r="J122" s="27">
        <f>(J119-J120)*$H$27</f>
        <v/>
      </c>
      <c r="K122" s="27">
        <f>(K119-K120)*$H$27</f>
        <v/>
      </c>
      <c r="L122" s="27">
        <f>(L119-L120)*$H$27</f>
        <v/>
      </c>
      <c r="M122" s="27">
        <f>(M119-M120)*$H$27</f>
        <v/>
      </c>
      <c r="N122" s="27">
        <f>(N119-N120)*$H$27</f>
        <v/>
      </c>
      <c r="O122" s="27">
        <f>(O119-O120)*$H$27</f>
        <v/>
      </c>
      <c r="P122" s="27">
        <f>(P119-P120)*$H$27</f>
        <v/>
      </c>
      <c r="Q122" s="27">
        <f>(Q119-Q120)*$H$27</f>
        <v/>
      </c>
      <c r="R122" s="27">
        <f>(R119-R120)*$H$27</f>
        <v/>
      </c>
      <c r="S122" s="27">
        <f>(S119-S120)*$H$27</f>
        <v/>
      </c>
      <c r="T122" s="27">
        <f>(T119-T120)*$H$27</f>
        <v/>
      </c>
      <c r="U122" s="27">
        <f>(U119-U120)*$H$27</f>
        <v/>
      </c>
      <c r="V122" s="27">
        <f>(V119-V120)*$H$27</f>
        <v/>
      </c>
      <c r="W122" s="27">
        <f>(W119-W120)*$H$27</f>
        <v/>
      </c>
      <c r="X122" s="27">
        <f>(X119-X120)*$H$27</f>
        <v/>
      </c>
      <c r="Y122" s="27">
        <f>(Y119-Y120)*$H$27</f>
        <v/>
      </c>
      <c r="Z122" s="27">
        <f>(Z119-Z120)*$H$27</f>
        <v/>
      </c>
      <c r="AA122" s="27">
        <f>(AA119-AA120)*$H$27</f>
        <v/>
      </c>
      <c r="AB122" s="27">
        <f>(AB119-AB120)*$H$27</f>
        <v/>
      </c>
      <c r="AC122" s="27">
        <f>(AC119-AC120)*$H$27</f>
        <v/>
      </c>
      <c r="AD122" s="27">
        <f>(AD119-AD120)*$H$27</f>
        <v/>
      </c>
      <c r="AE122" s="27">
        <f>(AE119-AE120)*$H$27</f>
        <v/>
      </c>
      <c r="AF122" s="27">
        <f>(AF119-AF120)*$H$27</f>
        <v/>
      </c>
      <c r="AG122" s="27">
        <f>(AG119-AG120)*$H$27</f>
        <v/>
      </c>
      <c r="AH122" s="27">
        <f>(AH119-AH120)*$H$27</f>
        <v/>
      </c>
      <c r="AI122" s="27">
        <f>(AI119-AI120)*$H$27</f>
        <v/>
      </c>
      <c r="AJ122" s="27">
        <f>(AJ119-AJ120)*$H$27</f>
        <v/>
      </c>
      <c r="AK122" s="27">
        <f>(AK119-AK120)*$H$27</f>
        <v/>
      </c>
      <c r="AL122" s="27">
        <f>(AL119-AL120)*$H$27</f>
        <v/>
      </c>
      <c r="AM122" s="27">
        <f>(AM119-AM120)*$H$27</f>
        <v/>
      </c>
      <c r="AN122" s="27">
        <f>(AN119-AN120)*$H$27</f>
        <v/>
      </c>
      <c r="AO122" s="27">
        <f>(AO119-AO120)*$H$27</f>
        <v/>
      </c>
      <c r="AP122" s="27">
        <f>(AP119-AP120)*$H$27</f>
        <v/>
      </c>
      <c r="AQ122" s="27">
        <f>(AQ119-AQ120)*$H$27</f>
        <v/>
      </c>
      <c r="AR122" s="27">
        <f>(AR119-AR120)*$H$27</f>
        <v/>
      </c>
      <c r="AS122" s="27">
        <f>(AS119-AS120)*$H$27</f>
        <v/>
      </c>
      <c r="AT122" s="27">
        <f>(AT119-AT120)*$H$27</f>
        <v/>
      </c>
      <c r="AU122" s="27">
        <f>(AU119-AU120)*$H$27</f>
        <v/>
      </c>
      <c r="AV122" s="27">
        <f>(AV119-AV120)*$H$27</f>
        <v/>
      </c>
      <c r="AW122" s="27">
        <f>(AW119-AW120)*$H$27</f>
        <v/>
      </c>
      <c r="AX122" s="27">
        <f>(AX119-AX120)*$H$27</f>
        <v/>
      </c>
      <c r="AY122" s="27">
        <f>(AY119-AY120)*$H$27</f>
        <v/>
      </c>
      <c r="AZ122" s="27">
        <f>(AZ119-AZ120)*$H$27</f>
        <v/>
      </c>
      <c r="BA122" s="27">
        <f>(BA119-BA120)*$H$27</f>
        <v/>
      </c>
      <c r="BB122" s="27">
        <f>(BB119-BB120)*$H$27</f>
        <v/>
      </c>
    </row>
    <row r="123">
      <c r="A123" s="25" t="inlineStr">
        <is>
          <t xml:space="preserve">   consumed from store</t>
        </is>
      </c>
      <c r="B123" s="4" t="inlineStr">
        <is>
          <t>lb</t>
        </is>
      </c>
      <c r="C123" s="27">
        <f>C119-C122</f>
        <v/>
      </c>
      <c r="D123" s="27">
        <f>D119-D122</f>
        <v/>
      </c>
      <c r="E123" s="27">
        <f>E119-E122</f>
        <v/>
      </c>
      <c r="F123" s="27">
        <f>F119-F122</f>
        <v/>
      </c>
      <c r="G123" s="27">
        <f>G119-G122</f>
        <v/>
      </c>
      <c r="H123" s="27">
        <f>H119-H122</f>
        <v/>
      </c>
      <c r="I123" s="27">
        <f>I119-I122</f>
        <v/>
      </c>
      <c r="J123" s="27">
        <f>J119-J122</f>
        <v/>
      </c>
      <c r="K123" s="27">
        <f>K119-K122</f>
        <v/>
      </c>
      <c r="L123" s="27">
        <f>L119-L122</f>
        <v/>
      </c>
      <c r="M123" s="27">
        <f>M119-M122</f>
        <v/>
      </c>
      <c r="N123" s="27">
        <f>N119-N122</f>
        <v/>
      </c>
      <c r="O123" s="27">
        <f>O119-O122</f>
        <v/>
      </c>
      <c r="P123" s="27">
        <f>P119-P122</f>
        <v/>
      </c>
      <c r="Q123" s="27">
        <f>Q119-Q122</f>
        <v/>
      </c>
      <c r="R123" s="27">
        <f>R119-R122</f>
        <v/>
      </c>
      <c r="S123" s="27">
        <f>S119-S122</f>
        <v/>
      </c>
      <c r="T123" s="27">
        <f>T119-T122</f>
        <v/>
      </c>
      <c r="U123" s="27">
        <f>U119-U122</f>
        <v/>
      </c>
      <c r="V123" s="27">
        <f>V119-V122</f>
        <v/>
      </c>
      <c r="W123" s="27">
        <f>W119-W122</f>
        <v/>
      </c>
      <c r="X123" s="27">
        <f>X119-X122</f>
        <v/>
      </c>
      <c r="Y123" s="27">
        <f>Y119-Y122</f>
        <v/>
      </c>
      <c r="Z123" s="27">
        <f>Z119-Z122</f>
        <v/>
      </c>
      <c r="AA123" s="27">
        <f>AA119-AA122</f>
        <v/>
      </c>
      <c r="AB123" s="27">
        <f>AB119-AB122</f>
        <v/>
      </c>
      <c r="AC123" s="27">
        <f>AC119-AC122</f>
        <v/>
      </c>
      <c r="AD123" s="27">
        <f>AD119-AD122</f>
        <v/>
      </c>
      <c r="AE123" s="27">
        <f>AE119-AE122</f>
        <v/>
      </c>
      <c r="AF123" s="27">
        <f>AF119-AF122</f>
        <v/>
      </c>
      <c r="AG123" s="27">
        <f>AG119-AG122</f>
        <v/>
      </c>
      <c r="AH123" s="27">
        <f>AH119-AH122</f>
        <v/>
      </c>
      <c r="AI123" s="27">
        <f>AI119-AI122</f>
        <v/>
      </c>
      <c r="AJ123" s="27">
        <f>AJ119-AJ122</f>
        <v/>
      </c>
      <c r="AK123" s="27">
        <f>AK119-AK122</f>
        <v/>
      </c>
      <c r="AL123" s="27">
        <f>AL119-AL122</f>
        <v/>
      </c>
      <c r="AM123" s="27">
        <f>AM119-AM122</f>
        <v/>
      </c>
      <c r="AN123" s="27">
        <f>AN119-AN122</f>
        <v/>
      </c>
      <c r="AO123" s="27">
        <f>AO119-AO122</f>
        <v/>
      </c>
      <c r="AP123" s="27">
        <f>AP119-AP122</f>
        <v/>
      </c>
      <c r="AQ123" s="27">
        <f>AQ119-AQ122</f>
        <v/>
      </c>
      <c r="AR123" s="27">
        <f>AR119-AR122</f>
        <v/>
      </c>
      <c r="AS123" s="27">
        <f>AS119-AS122</f>
        <v/>
      </c>
      <c r="AT123" s="27">
        <f>AT119-AT122</f>
        <v/>
      </c>
      <c r="AU123" s="27">
        <f>AU119-AU122</f>
        <v/>
      </c>
      <c r="AV123" s="27">
        <f>AV119-AV122</f>
        <v/>
      </c>
      <c r="AW123" s="27">
        <f>AW119-AW122</f>
        <v/>
      </c>
      <c r="AX123" s="27">
        <f>AX119-AX122</f>
        <v/>
      </c>
      <c r="AY123" s="27">
        <f>AY119-AY122</f>
        <v/>
      </c>
      <c r="AZ123" s="27">
        <f>AZ119-AZ122</f>
        <v/>
      </c>
      <c r="BA123" s="27">
        <f>BA119-BA122</f>
        <v/>
      </c>
      <c r="BB123" s="27">
        <f>BB119-BB122</f>
        <v/>
      </c>
    </row>
    <row r="124">
      <c r="A124" s="36" t="inlineStr">
        <is>
          <t>Wholesale — weekly ceiling</t>
        </is>
      </c>
      <c r="B124" s="4" t="inlineStr">
        <is>
          <t>lb</t>
        </is>
      </c>
      <c r="C124" s="37">
        <f>IF($C$28="Annual",$D$28,IF(AND(C$37&gt;=$E$28,C$37&lt;=$F$28),$D$28,0))</f>
        <v/>
      </c>
      <c r="D124" s="37">
        <f>IF($C$28="Annual",$D$28,IF(AND(D$37&gt;=$E$28,D$37&lt;=$F$28),$D$28,0))</f>
        <v/>
      </c>
      <c r="E124" s="37">
        <f>IF($C$28="Annual",$D$28,IF(AND(E$37&gt;=$E$28,E$37&lt;=$F$28),$D$28,0))</f>
        <v/>
      </c>
      <c r="F124" s="37">
        <f>IF($C$28="Annual",$D$28,IF(AND(F$37&gt;=$E$28,F$37&lt;=$F$28),$D$28,0))</f>
        <v/>
      </c>
      <c r="G124" s="37">
        <f>IF($C$28="Annual",$D$28,IF(AND(G$37&gt;=$E$28,G$37&lt;=$F$28),$D$28,0))</f>
        <v/>
      </c>
      <c r="H124" s="37">
        <f>IF($C$28="Annual",$D$28,IF(AND(H$37&gt;=$E$28,H$37&lt;=$F$28),$D$28,0))</f>
        <v/>
      </c>
      <c r="I124" s="37">
        <f>IF($C$28="Annual",$D$28,IF(AND(I$37&gt;=$E$28,I$37&lt;=$F$28),$D$28,0))</f>
        <v/>
      </c>
      <c r="J124" s="37">
        <f>IF($C$28="Annual",$D$28,IF(AND(J$37&gt;=$E$28,J$37&lt;=$F$28),$D$28,0))</f>
        <v/>
      </c>
      <c r="K124" s="37">
        <f>IF($C$28="Annual",$D$28,IF(AND(K$37&gt;=$E$28,K$37&lt;=$F$28),$D$28,0))</f>
        <v/>
      </c>
      <c r="L124" s="37">
        <f>IF($C$28="Annual",$D$28,IF(AND(L$37&gt;=$E$28,L$37&lt;=$F$28),$D$28,0))</f>
        <v/>
      </c>
      <c r="M124" s="37">
        <f>IF($C$28="Annual",$D$28,IF(AND(M$37&gt;=$E$28,M$37&lt;=$F$28),$D$28,0))</f>
        <v/>
      </c>
      <c r="N124" s="37">
        <f>IF($C$28="Annual",$D$28,IF(AND(N$37&gt;=$E$28,N$37&lt;=$F$28),$D$28,0))</f>
        <v/>
      </c>
      <c r="O124" s="37">
        <f>IF($C$28="Annual",$D$28,IF(AND(O$37&gt;=$E$28,O$37&lt;=$F$28),$D$28,0))</f>
        <v/>
      </c>
      <c r="P124" s="37">
        <f>IF($C$28="Annual",$D$28,IF(AND(P$37&gt;=$E$28,P$37&lt;=$F$28),$D$28,0))</f>
        <v/>
      </c>
      <c r="Q124" s="37">
        <f>IF($C$28="Annual",$D$28,IF(AND(Q$37&gt;=$E$28,Q$37&lt;=$F$28),$D$28,0))</f>
        <v/>
      </c>
      <c r="R124" s="37">
        <f>IF($C$28="Annual",$D$28,IF(AND(R$37&gt;=$E$28,R$37&lt;=$F$28),$D$28,0))</f>
        <v/>
      </c>
      <c r="S124" s="37">
        <f>IF($C$28="Annual",$D$28,IF(AND(S$37&gt;=$E$28,S$37&lt;=$F$28),$D$28,0))</f>
        <v/>
      </c>
      <c r="T124" s="37">
        <f>IF($C$28="Annual",$D$28,IF(AND(T$37&gt;=$E$28,T$37&lt;=$F$28),$D$28,0))</f>
        <v/>
      </c>
      <c r="U124" s="37">
        <f>IF($C$28="Annual",$D$28,IF(AND(U$37&gt;=$E$28,U$37&lt;=$F$28),$D$28,0))</f>
        <v/>
      </c>
      <c r="V124" s="37">
        <f>IF($C$28="Annual",$D$28,IF(AND(V$37&gt;=$E$28,V$37&lt;=$F$28),$D$28,0))</f>
        <v/>
      </c>
      <c r="W124" s="37">
        <f>IF($C$28="Annual",$D$28,IF(AND(W$37&gt;=$E$28,W$37&lt;=$F$28),$D$28,0))</f>
        <v/>
      </c>
      <c r="X124" s="37">
        <f>IF($C$28="Annual",$D$28,IF(AND(X$37&gt;=$E$28,X$37&lt;=$F$28),$D$28,0))</f>
        <v/>
      </c>
      <c r="Y124" s="37">
        <f>IF($C$28="Annual",$D$28,IF(AND(Y$37&gt;=$E$28,Y$37&lt;=$F$28),$D$28,0))</f>
        <v/>
      </c>
      <c r="Z124" s="37">
        <f>IF($C$28="Annual",$D$28,IF(AND(Z$37&gt;=$E$28,Z$37&lt;=$F$28),$D$28,0))</f>
        <v/>
      </c>
      <c r="AA124" s="37">
        <f>IF($C$28="Annual",$D$28,IF(AND(AA$37&gt;=$E$28,AA$37&lt;=$F$28),$D$28,0))</f>
        <v/>
      </c>
      <c r="AB124" s="37">
        <f>IF($C$28="Annual",$D$28,IF(AND(AB$37&gt;=$E$28,AB$37&lt;=$F$28),$D$28,0))</f>
        <v/>
      </c>
      <c r="AC124" s="37">
        <f>IF($C$28="Annual",$D$28,IF(AND(AC$37&gt;=$E$28,AC$37&lt;=$F$28),$D$28,0))</f>
        <v/>
      </c>
      <c r="AD124" s="37">
        <f>IF($C$28="Annual",$D$28,IF(AND(AD$37&gt;=$E$28,AD$37&lt;=$F$28),$D$28,0))</f>
        <v/>
      </c>
      <c r="AE124" s="37">
        <f>IF($C$28="Annual",$D$28,IF(AND(AE$37&gt;=$E$28,AE$37&lt;=$F$28),$D$28,0))</f>
        <v/>
      </c>
      <c r="AF124" s="37">
        <f>IF($C$28="Annual",$D$28,IF(AND(AF$37&gt;=$E$28,AF$37&lt;=$F$28),$D$28,0))</f>
        <v/>
      </c>
      <c r="AG124" s="37">
        <f>IF($C$28="Annual",$D$28,IF(AND(AG$37&gt;=$E$28,AG$37&lt;=$F$28),$D$28,0))</f>
        <v/>
      </c>
      <c r="AH124" s="37">
        <f>IF($C$28="Annual",$D$28,IF(AND(AH$37&gt;=$E$28,AH$37&lt;=$F$28),$D$28,0))</f>
        <v/>
      </c>
      <c r="AI124" s="37">
        <f>IF($C$28="Annual",$D$28,IF(AND(AI$37&gt;=$E$28,AI$37&lt;=$F$28),$D$28,0))</f>
        <v/>
      </c>
      <c r="AJ124" s="37">
        <f>IF($C$28="Annual",$D$28,IF(AND(AJ$37&gt;=$E$28,AJ$37&lt;=$F$28),$D$28,0))</f>
        <v/>
      </c>
      <c r="AK124" s="37">
        <f>IF($C$28="Annual",$D$28,IF(AND(AK$37&gt;=$E$28,AK$37&lt;=$F$28),$D$28,0))</f>
        <v/>
      </c>
      <c r="AL124" s="37">
        <f>IF($C$28="Annual",$D$28,IF(AND(AL$37&gt;=$E$28,AL$37&lt;=$F$28),$D$28,0))</f>
        <v/>
      </c>
      <c r="AM124" s="37">
        <f>IF($C$28="Annual",$D$28,IF(AND(AM$37&gt;=$E$28,AM$37&lt;=$F$28),$D$28,0))</f>
        <v/>
      </c>
      <c r="AN124" s="37">
        <f>IF($C$28="Annual",$D$28,IF(AND(AN$37&gt;=$E$28,AN$37&lt;=$F$28),$D$28,0))</f>
        <v/>
      </c>
      <c r="AO124" s="37">
        <f>IF($C$28="Annual",$D$28,IF(AND(AO$37&gt;=$E$28,AO$37&lt;=$F$28),$D$28,0))</f>
        <v/>
      </c>
      <c r="AP124" s="37">
        <f>IF($C$28="Annual",$D$28,IF(AND(AP$37&gt;=$E$28,AP$37&lt;=$F$28),$D$28,0))</f>
        <v/>
      </c>
      <c r="AQ124" s="37">
        <f>IF($C$28="Annual",$D$28,IF(AND(AQ$37&gt;=$E$28,AQ$37&lt;=$F$28),$D$28,0))</f>
        <v/>
      </c>
      <c r="AR124" s="37">
        <f>IF($C$28="Annual",$D$28,IF(AND(AR$37&gt;=$E$28,AR$37&lt;=$F$28),$D$28,0))</f>
        <v/>
      </c>
      <c r="AS124" s="37">
        <f>IF($C$28="Annual",$D$28,IF(AND(AS$37&gt;=$E$28,AS$37&lt;=$F$28),$D$28,0))</f>
        <v/>
      </c>
      <c r="AT124" s="37">
        <f>IF($C$28="Annual",$D$28,IF(AND(AT$37&gt;=$E$28,AT$37&lt;=$F$28),$D$28,0))</f>
        <v/>
      </c>
      <c r="AU124" s="37">
        <f>IF($C$28="Annual",$D$28,IF(AND(AU$37&gt;=$E$28,AU$37&lt;=$F$28),$D$28,0))</f>
        <v/>
      </c>
      <c r="AV124" s="37">
        <f>IF($C$28="Annual",$D$28,IF(AND(AV$37&gt;=$E$28,AV$37&lt;=$F$28),$D$28,0))</f>
        <v/>
      </c>
      <c r="AW124" s="37">
        <f>IF($C$28="Annual",$D$28,IF(AND(AW$37&gt;=$E$28,AW$37&lt;=$F$28),$D$28,0))</f>
        <v/>
      </c>
      <c r="AX124" s="37">
        <f>IF($C$28="Annual",$D$28,IF(AND(AX$37&gt;=$E$28,AX$37&lt;=$F$28),$D$28,0))</f>
        <v/>
      </c>
      <c r="AY124" s="37">
        <f>IF($C$28="Annual",$D$28,IF(AND(AY$37&gt;=$E$28,AY$37&lt;=$F$28),$D$28,0))</f>
        <v/>
      </c>
      <c r="AZ124" s="37">
        <f>IF($C$28="Annual",$D$28,IF(AND(AZ$37&gt;=$E$28,AZ$37&lt;=$F$28),$D$28,0))</f>
        <v/>
      </c>
      <c r="BA124" s="37">
        <f>IF($C$28="Annual",$D$28,IF(AND(BA$37&gt;=$E$28,BA$37&lt;=$F$28),$D$28,0))</f>
        <v/>
      </c>
      <c r="BB124" s="37">
        <f>IF($C$28="Annual",$D$28,IF(AND(BB$37&gt;=$E$28,BB$37&lt;=$F$28),$D$28,0))</f>
        <v/>
      </c>
    </row>
    <row r="125">
      <c r="A125" s="33" t="inlineStr">
        <is>
          <t>Wholesale — OFFERED</t>
        </is>
      </c>
      <c r="B125" s="4" t="inlineStr">
        <is>
          <t>lb  &lt;-- SOLVER</t>
        </is>
      </c>
      <c r="C125" s="34" t="n">
        <v>0</v>
      </c>
      <c r="D125" s="34" t="n">
        <v>0</v>
      </c>
      <c r="E125" s="34" t="n">
        <v>0</v>
      </c>
      <c r="F125" s="34" t="n">
        <v>0</v>
      </c>
      <c r="G125" s="34" t="n">
        <v>0</v>
      </c>
      <c r="H125" s="34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0</v>
      </c>
      <c r="N125" s="34" t="n">
        <v>0</v>
      </c>
      <c r="O125" s="34" t="n">
        <v>0</v>
      </c>
      <c r="P125" s="34" t="n">
        <v>0</v>
      </c>
      <c r="Q125" s="34" t="n">
        <v>0</v>
      </c>
      <c r="R125" s="34" t="n">
        <v>0</v>
      </c>
      <c r="S125" s="34" t="n">
        <v>0</v>
      </c>
      <c r="T125" s="34" t="n">
        <v>0</v>
      </c>
      <c r="U125" s="34" t="n">
        <v>0</v>
      </c>
      <c r="V125" s="34" t="n">
        <v>0</v>
      </c>
      <c r="W125" s="34" t="n">
        <v>0</v>
      </c>
      <c r="X125" s="34" t="n">
        <v>0</v>
      </c>
      <c r="Y125" s="34" t="n">
        <v>0</v>
      </c>
      <c r="Z125" s="34" t="n">
        <v>0</v>
      </c>
      <c r="AA125" s="34" t="n">
        <v>0</v>
      </c>
      <c r="AB125" s="34" t="n">
        <v>0</v>
      </c>
      <c r="AC125" s="34" t="n">
        <v>0</v>
      </c>
      <c r="AD125" s="34" t="n">
        <v>0</v>
      </c>
      <c r="AE125" s="34" t="n">
        <v>0</v>
      </c>
      <c r="AF125" s="34" t="n">
        <v>0</v>
      </c>
      <c r="AG125" s="34" t="n">
        <v>0</v>
      </c>
      <c r="AH125" s="34" t="n">
        <v>0</v>
      </c>
      <c r="AI125" s="34" t="n">
        <v>0</v>
      </c>
      <c r="AJ125" s="34" t="n">
        <v>0</v>
      </c>
      <c r="AK125" s="34" t="n">
        <v>0</v>
      </c>
      <c r="AL125" s="34" t="n">
        <v>0</v>
      </c>
      <c r="AM125" s="34" t="n">
        <v>0</v>
      </c>
      <c r="AN125" s="34" t="n">
        <v>0</v>
      </c>
      <c r="AO125" s="34" t="n">
        <v>0</v>
      </c>
      <c r="AP125" s="34" t="n">
        <v>0</v>
      </c>
      <c r="AQ125" s="34" t="n">
        <v>0</v>
      </c>
      <c r="AR125" s="34" t="n">
        <v>0</v>
      </c>
      <c r="AS125" s="34" t="n">
        <v>0</v>
      </c>
      <c r="AT125" s="34" t="n">
        <v>0</v>
      </c>
      <c r="AU125" s="34" t="n">
        <v>0</v>
      </c>
      <c r="AV125" s="34" t="n">
        <v>0</v>
      </c>
      <c r="AW125" s="34" t="n">
        <v>0</v>
      </c>
      <c r="AX125" s="34" t="n">
        <v>0</v>
      </c>
      <c r="AY125" s="34" t="n">
        <v>0</v>
      </c>
      <c r="AZ125" s="34" t="n">
        <v>0</v>
      </c>
      <c r="BA125" s="34" t="n">
        <v>0</v>
      </c>
      <c r="BB125" s="34" t="n">
        <v>0</v>
      </c>
    </row>
    <row r="126">
      <c r="A126" s="38" t="inlineStr">
        <is>
          <t>Wholesale — SOLD</t>
        </is>
      </c>
      <c r="B126" s="4" t="inlineStr">
        <is>
          <t>lb</t>
        </is>
      </c>
      <c r="C126" s="37">
        <f>C125*$G$28</f>
        <v/>
      </c>
      <c r="D126" s="37">
        <f>D125*$G$28</f>
        <v/>
      </c>
      <c r="E126" s="37">
        <f>E125*$G$28</f>
        <v/>
      </c>
      <c r="F126" s="37">
        <f>F125*$G$28</f>
        <v/>
      </c>
      <c r="G126" s="37">
        <f>G125*$G$28</f>
        <v/>
      </c>
      <c r="H126" s="37">
        <f>H125*$G$28</f>
        <v/>
      </c>
      <c r="I126" s="37">
        <f>I125*$G$28</f>
        <v/>
      </c>
      <c r="J126" s="37">
        <f>J125*$G$28</f>
        <v/>
      </c>
      <c r="K126" s="37">
        <f>K125*$G$28</f>
        <v/>
      </c>
      <c r="L126" s="37">
        <f>L125*$G$28</f>
        <v/>
      </c>
      <c r="M126" s="37">
        <f>M125*$G$28</f>
        <v/>
      </c>
      <c r="N126" s="37">
        <f>N125*$G$28</f>
        <v/>
      </c>
      <c r="O126" s="37">
        <f>O125*$G$28</f>
        <v/>
      </c>
      <c r="P126" s="37">
        <f>P125*$G$28</f>
        <v/>
      </c>
      <c r="Q126" s="37">
        <f>Q125*$G$28</f>
        <v/>
      </c>
      <c r="R126" s="37">
        <f>R125*$G$28</f>
        <v/>
      </c>
      <c r="S126" s="37">
        <f>S125*$G$28</f>
        <v/>
      </c>
      <c r="T126" s="37">
        <f>T125*$G$28</f>
        <v/>
      </c>
      <c r="U126" s="37">
        <f>U125*$G$28</f>
        <v/>
      </c>
      <c r="V126" s="37">
        <f>V125*$G$28</f>
        <v/>
      </c>
      <c r="W126" s="37">
        <f>W125*$G$28</f>
        <v/>
      </c>
      <c r="X126" s="37">
        <f>X125*$G$28</f>
        <v/>
      </c>
      <c r="Y126" s="37">
        <f>Y125*$G$28</f>
        <v/>
      </c>
      <c r="Z126" s="37">
        <f>Z125*$G$28</f>
        <v/>
      </c>
      <c r="AA126" s="37">
        <f>AA125*$G$28</f>
        <v/>
      </c>
      <c r="AB126" s="37">
        <f>AB125*$G$28</f>
        <v/>
      </c>
      <c r="AC126" s="37">
        <f>AC125*$G$28</f>
        <v/>
      </c>
      <c r="AD126" s="37">
        <f>AD125*$G$28</f>
        <v/>
      </c>
      <c r="AE126" s="37">
        <f>AE125*$G$28</f>
        <v/>
      </c>
      <c r="AF126" s="37">
        <f>AF125*$G$28</f>
        <v/>
      </c>
      <c r="AG126" s="37">
        <f>AG125*$G$28</f>
        <v/>
      </c>
      <c r="AH126" s="37">
        <f>AH125*$G$28</f>
        <v/>
      </c>
      <c r="AI126" s="37">
        <f>AI125*$G$28</f>
        <v/>
      </c>
      <c r="AJ126" s="37">
        <f>AJ125*$G$28</f>
        <v/>
      </c>
      <c r="AK126" s="37">
        <f>AK125*$G$28</f>
        <v/>
      </c>
      <c r="AL126" s="37">
        <f>AL125*$G$28</f>
        <v/>
      </c>
      <c r="AM126" s="37">
        <f>AM125*$G$28</f>
        <v/>
      </c>
      <c r="AN126" s="37">
        <f>AN125*$G$28</f>
        <v/>
      </c>
      <c r="AO126" s="37">
        <f>AO125*$G$28</f>
        <v/>
      </c>
      <c r="AP126" s="37">
        <f>AP125*$G$28</f>
        <v/>
      </c>
      <c r="AQ126" s="37">
        <f>AQ125*$G$28</f>
        <v/>
      </c>
      <c r="AR126" s="37">
        <f>AR125*$G$28</f>
        <v/>
      </c>
      <c r="AS126" s="37">
        <f>AS125*$G$28</f>
        <v/>
      </c>
      <c r="AT126" s="37">
        <f>AT125*$G$28</f>
        <v/>
      </c>
      <c r="AU126" s="37">
        <f>AU125*$G$28</f>
        <v/>
      </c>
      <c r="AV126" s="37">
        <f>AV125*$G$28</f>
        <v/>
      </c>
      <c r="AW126" s="37">
        <f>AW125*$G$28</f>
        <v/>
      </c>
      <c r="AX126" s="37">
        <f>AX125*$G$28</f>
        <v/>
      </c>
      <c r="AY126" s="37">
        <f>AY125*$G$28</f>
        <v/>
      </c>
      <c r="AZ126" s="37">
        <f>AZ125*$G$28</f>
        <v/>
      </c>
      <c r="BA126" s="37">
        <f>BA125*$G$28</f>
        <v/>
      </c>
      <c r="BB126" s="37">
        <f>BB125*$G$28</f>
        <v/>
      </c>
    </row>
    <row r="127">
      <c r="A127" s="25" t="inlineStr">
        <is>
          <t xml:space="preserve">   market loss (gone)</t>
        </is>
      </c>
      <c r="B127" s="4" t="inlineStr">
        <is>
          <t>lb</t>
        </is>
      </c>
      <c r="C127" s="27">
        <f>(C125-C126)*(1-$H$28)</f>
        <v/>
      </c>
      <c r="D127" s="27">
        <f>(D125-D126)*(1-$H$28)</f>
        <v/>
      </c>
      <c r="E127" s="27">
        <f>(E125-E126)*(1-$H$28)</f>
        <v/>
      </c>
      <c r="F127" s="27">
        <f>(F125-F126)*(1-$H$28)</f>
        <v/>
      </c>
      <c r="G127" s="27">
        <f>(G125-G126)*(1-$H$28)</f>
        <v/>
      </c>
      <c r="H127" s="27">
        <f>(H125-H126)*(1-$H$28)</f>
        <v/>
      </c>
      <c r="I127" s="27">
        <f>(I125-I126)*(1-$H$28)</f>
        <v/>
      </c>
      <c r="J127" s="27">
        <f>(J125-J126)*(1-$H$28)</f>
        <v/>
      </c>
      <c r="K127" s="27">
        <f>(K125-K126)*(1-$H$28)</f>
        <v/>
      </c>
      <c r="L127" s="27">
        <f>(L125-L126)*(1-$H$28)</f>
        <v/>
      </c>
      <c r="M127" s="27">
        <f>(M125-M126)*(1-$H$28)</f>
        <v/>
      </c>
      <c r="N127" s="27">
        <f>(N125-N126)*(1-$H$28)</f>
        <v/>
      </c>
      <c r="O127" s="27">
        <f>(O125-O126)*(1-$H$28)</f>
        <v/>
      </c>
      <c r="P127" s="27">
        <f>(P125-P126)*(1-$H$28)</f>
        <v/>
      </c>
      <c r="Q127" s="27">
        <f>(Q125-Q126)*(1-$H$28)</f>
        <v/>
      </c>
      <c r="R127" s="27">
        <f>(R125-R126)*(1-$H$28)</f>
        <v/>
      </c>
      <c r="S127" s="27">
        <f>(S125-S126)*(1-$H$28)</f>
        <v/>
      </c>
      <c r="T127" s="27">
        <f>(T125-T126)*(1-$H$28)</f>
        <v/>
      </c>
      <c r="U127" s="27">
        <f>(U125-U126)*(1-$H$28)</f>
        <v/>
      </c>
      <c r="V127" s="27">
        <f>(V125-V126)*(1-$H$28)</f>
        <v/>
      </c>
      <c r="W127" s="27">
        <f>(W125-W126)*(1-$H$28)</f>
        <v/>
      </c>
      <c r="X127" s="27">
        <f>(X125-X126)*(1-$H$28)</f>
        <v/>
      </c>
      <c r="Y127" s="27">
        <f>(Y125-Y126)*(1-$H$28)</f>
        <v/>
      </c>
      <c r="Z127" s="27">
        <f>(Z125-Z126)*(1-$H$28)</f>
        <v/>
      </c>
      <c r="AA127" s="27">
        <f>(AA125-AA126)*(1-$H$28)</f>
        <v/>
      </c>
      <c r="AB127" s="27">
        <f>(AB125-AB126)*(1-$H$28)</f>
        <v/>
      </c>
      <c r="AC127" s="27">
        <f>(AC125-AC126)*(1-$H$28)</f>
        <v/>
      </c>
      <c r="AD127" s="27">
        <f>(AD125-AD126)*(1-$H$28)</f>
        <v/>
      </c>
      <c r="AE127" s="27">
        <f>(AE125-AE126)*(1-$H$28)</f>
        <v/>
      </c>
      <c r="AF127" s="27">
        <f>(AF125-AF126)*(1-$H$28)</f>
        <v/>
      </c>
      <c r="AG127" s="27">
        <f>(AG125-AG126)*(1-$H$28)</f>
        <v/>
      </c>
      <c r="AH127" s="27">
        <f>(AH125-AH126)*(1-$H$28)</f>
        <v/>
      </c>
      <c r="AI127" s="27">
        <f>(AI125-AI126)*(1-$H$28)</f>
        <v/>
      </c>
      <c r="AJ127" s="27">
        <f>(AJ125-AJ126)*(1-$H$28)</f>
        <v/>
      </c>
      <c r="AK127" s="27">
        <f>(AK125-AK126)*(1-$H$28)</f>
        <v/>
      </c>
      <c r="AL127" s="27">
        <f>(AL125-AL126)*(1-$H$28)</f>
        <v/>
      </c>
      <c r="AM127" s="27">
        <f>(AM125-AM126)*(1-$H$28)</f>
        <v/>
      </c>
      <c r="AN127" s="27">
        <f>(AN125-AN126)*(1-$H$28)</f>
        <v/>
      </c>
      <c r="AO127" s="27">
        <f>(AO125-AO126)*(1-$H$28)</f>
        <v/>
      </c>
      <c r="AP127" s="27">
        <f>(AP125-AP126)*(1-$H$28)</f>
        <v/>
      </c>
      <c r="AQ127" s="27">
        <f>(AQ125-AQ126)*(1-$H$28)</f>
        <v/>
      </c>
      <c r="AR127" s="27">
        <f>(AR125-AR126)*(1-$H$28)</f>
        <v/>
      </c>
      <c r="AS127" s="27">
        <f>(AS125-AS126)*(1-$H$28)</f>
        <v/>
      </c>
      <c r="AT127" s="27">
        <f>(AT125-AT126)*(1-$H$28)</f>
        <v/>
      </c>
      <c r="AU127" s="27">
        <f>(AU125-AU126)*(1-$H$28)</f>
        <v/>
      </c>
      <c r="AV127" s="27">
        <f>(AV125-AV126)*(1-$H$28)</f>
        <v/>
      </c>
      <c r="AW127" s="27">
        <f>(AW125-AW126)*(1-$H$28)</f>
        <v/>
      </c>
      <c r="AX127" s="27">
        <f>(AX125-AX126)*(1-$H$28)</f>
        <v/>
      </c>
      <c r="AY127" s="27">
        <f>(AY125-AY126)*(1-$H$28)</f>
        <v/>
      </c>
      <c r="AZ127" s="27">
        <f>(AZ125-AZ126)*(1-$H$28)</f>
        <v/>
      </c>
      <c r="BA127" s="27">
        <f>(BA125-BA126)*(1-$H$28)</f>
        <v/>
      </c>
      <c r="BB127" s="27">
        <f>(BB125-BB126)*(1-$H$28)</f>
        <v/>
      </c>
    </row>
    <row r="128">
      <c r="A128" s="25" t="inlineStr">
        <is>
          <t xml:space="preserve">   returned to store</t>
        </is>
      </c>
      <c r="B128" s="4" t="inlineStr">
        <is>
          <t>lb</t>
        </is>
      </c>
      <c r="C128" s="27">
        <f>(C125-C126)*$H$28</f>
        <v/>
      </c>
      <c r="D128" s="27">
        <f>(D125-D126)*$H$28</f>
        <v/>
      </c>
      <c r="E128" s="27">
        <f>(E125-E126)*$H$28</f>
        <v/>
      </c>
      <c r="F128" s="27">
        <f>(F125-F126)*$H$28</f>
        <v/>
      </c>
      <c r="G128" s="27">
        <f>(G125-G126)*$H$28</f>
        <v/>
      </c>
      <c r="H128" s="27">
        <f>(H125-H126)*$H$28</f>
        <v/>
      </c>
      <c r="I128" s="27">
        <f>(I125-I126)*$H$28</f>
        <v/>
      </c>
      <c r="J128" s="27">
        <f>(J125-J126)*$H$28</f>
        <v/>
      </c>
      <c r="K128" s="27">
        <f>(K125-K126)*$H$28</f>
        <v/>
      </c>
      <c r="L128" s="27">
        <f>(L125-L126)*$H$28</f>
        <v/>
      </c>
      <c r="M128" s="27">
        <f>(M125-M126)*$H$28</f>
        <v/>
      </c>
      <c r="N128" s="27">
        <f>(N125-N126)*$H$28</f>
        <v/>
      </c>
      <c r="O128" s="27">
        <f>(O125-O126)*$H$28</f>
        <v/>
      </c>
      <c r="P128" s="27">
        <f>(P125-P126)*$H$28</f>
        <v/>
      </c>
      <c r="Q128" s="27">
        <f>(Q125-Q126)*$H$28</f>
        <v/>
      </c>
      <c r="R128" s="27">
        <f>(R125-R126)*$H$28</f>
        <v/>
      </c>
      <c r="S128" s="27">
        <f>(S125-S126)*$H$28</f>
        <v/>
      </c>
      <c r="T128" s="27">
        <f>(T125-T126)*$H$28</f>
        <v/>
      </c>
      <c r="U128" s="27">
        <f>(U125-U126)*$H$28</f>
        <v/>
      </c>
      <c r="V128" s="27">
        <f>(V125-V126)*$H$28</f>
        <v/>
      </c>
      <c r="W128" s="27">
        <f>(W125-W126)*$H$28</f>
        <v/>
      </c>
      <c r="X128" s="27">
        <f>(X125-X126)*$H$28</f>
        <v/>
      </c>
      <c r="Y128" s="27">
        <f>(Y125-Y126)*$H$28</f>
        <v/>
      </c>
      <c r="Z128" s="27">
        <f>(Z125-Z126)*$H$28</f>
        <v/>
      </c>
      <c r="AA128" s="27">
        <f>(AA125-AA126)*$H$28</f>
        <v/>
      </c>
      <c r="AB128" s="27">
        <f>(AB125-AB126)*$H$28</f>
        <v/>
      </c>
      <c r="AC128" s="27">
        <f>(AC125-AC126)*$H$28</f>
        <v/>
      </c>
      <c r="AD128" s="27">
        <f>(AD125-AD126)*$H$28</f>
        <v/>
      </c>
      <c r="AE128" s="27">
        <f>(AE125-AE126)*$H$28</f>
        <v/>
      </c>
      <c r="AF128" s="27">
        <f>(AF125-AF126)*$H$28</f>
        <v/>
      </c>
      <c r="AG128" s="27">
        <f>(AG125-AG126)*$H$28</f>
        <v/>
      </c>
      <c r="AH128" s="27">
        <f>(AH125-AH126)*$H$28</f>
        <v/>
      </c>
      <c r="AI128" s="27">
        <f>(AI125-AI126)*$H$28</f>
        <v/>
      </c>
      <c r="AJ128" s="27">
        <f>(AJ125-AJ126)*$H$28</f>
        <v/>
      </c>
      <c r="AK128" s="27">
        <f>(AK125-AK126)*$H$28</f>
        <v/>
      </c>
      <c r="AL128" s="27">
        <f>(AL125-AL126)*$H$28</f>
        <v/>
      </c>
      <c r="AM128" s="27">
        <f>(AM125-AM126)*$H$28</f>
        <v/>
      </c>
      <c r="AN128" s="27">
        <f>(AN125-AN126)*$H$28</f>
        <v/>
      </c>
      <c r="AO128" s="27">
        <f>(AO125-AO126)*$H$28</f>
        <v/>
      </c>
      <c r="AP128" s="27">
        <f>(AP125-AP126)*$H$28</f>
        <v/>
      </c>
      <c r="AQ128" s="27">
        <f>(AQ125-AQ126)*$H$28</f>
        <v/>
      </c>
      <c r="AR128" s="27">
        <f>(AR125-AR126)*$H$28</f>
        <v/>
      </c>
      <c r="AS128" s="27">
        <f>(AS125-AS126)*$H$28</f>
        <v/>
      </c>
      <c r="AT128" s="27">
        <f>(AT125-AT126)*$H$28</f>
        <v/>
      </c>
      <c r="AU128" s="27">
        <f>(AU125-AU126)*$H$28</f>
        <v/>
      </c>
      <c r="AV128" s="27">
        <f>(AV125-AV126)*$H$28</f>
        <v/>
      </c>
      <c r="AW128" s="27">
        <f>(AW125-AW126)*$H$28</f>
        <v/>
      </c>
      <c r="AX128" s="27">
        <f>(AX125-AX126)*$H$28</f>
        <v/>
      </c>
      <c r="AY128" s="27">
        <f>(AY125-AY126)*$H$28</f>
        <v/>
      </c>
      <c r="AZ128" s="27">
        <f>(AZ125-AZ126)*$H$28</f>
        <v/>
      </c>
      <c r="BA128" s="27">
        <f>(BA125-BA126)*$H$28</f>
        <v/>
      </c>
      <c r="BB128" s="27">
        <f>(BB125-BB126)*$H$28</f>
        <v/>
      </c>
    </row>
    <row r="129">
      <c r="A129" s="25" t="inlineStr">
        <is>
          <t xml:space="preserve">   consumed from store</t>
        </is>
      </c>
      <c r="B129" s="4" t="inlineStr">
        <is>
          <t>lb</t>
        </is>
      </c>
      <c r="C129" s="27">
        <f>C125-C128</f>
        <v/>
      </c>
      <c r="D129" s="27">
        <f>D125-D128</f>
        <v/>
      </c>
      <c r="E129" s="27">
        <f>E125-E128</f>
        <v/>
      </c>
      <c r="F129" s="27">
        <f>F125-F128</f>
        <v/>
      </c>
      <c r="G129" s="27">
        <f>G125-G128</f>
        <v/>
      </c>
      <c r="H129" s="27">
        <f>H125-H128</f>
        <v/>
      </c>
      <c r="I129" s="27">
        <f>I125-I128</f>
        <v/>
      </c>
      <c r="J129" s="27">
        <f>J125-J128</f>
        <v/>
      </c>
      <c r="K129" s="27">
        <f>K125-K128</f>
        <v/>
      </c>
      <c r="L129" s="27">
        <f>L125-L128</f>
        <v/>
      </c>
      <c r="M129" s="27">
        <f>M125-M128</f>
        <v/>
      </c>
      <c r="N129" s="27">
        <f>N125-N128</f>
        <v/>
      </c>
      <c r="O129" s="27">
        <f>O125-O128</f>
        <v/>
      </c>
      <c r="P129" s="27">
        <f>P125-P128</f>
        <v/>
      </c>
      <c r="Q129" s="27">
        <f>Q125-Q128</f>
        <v/>
      </c>
      <c r="R129" s="27">
        <f>R125-R128</f>
        <v/>
      </c>
      <c r="S129" s="27">
        <f>S125-S128</f>
        <v/>
      </c>
      <c r="T129" s="27">
        <f>T125-T128</f>
        <v/>
      </c>
      <c r="U129" s="27">
        <f>U125-U128</f>
        <v/>
      </c>
      <c r="V129" s="27">
        <f>V125-V128</f>
        <v/>
      </c>
      <c r="W129" s="27">
        <f>W125-W128</f>
        <v/>
      </c>
      <c r="X129" s="27">
        <f>X125-X128</f>
        <v/>
      </c>
      <c r="Y129" s="27">
        <f>Y125-Y128</f>
        <v/>
      </c>
      <c r="Z129" s="27">
        <f>Z125-Z128</f>
        <v/>
      </c>
      <c r="AA129" s="27">
        <f>AA125-AA128</f>
        <v/>
      </c>
      <c r="AB129" s="27">
        <f>AB125-AB128</f>
        <v/>
      </c>
      <c r="AC129" s="27">
        <f>AC125-AC128</f>
        <v/>
      </c>
      <c r="AD129" s="27">
        <f>AD125-AD128</f>
        <v/>
      </c>
      <c r="AE129" s="27">
        <f>AE125-AE128</f>
        <v/>
      </c>
      <c r="AF129" s="27">
        <f>AF125-AF128</f>
        <v/>
      </c>
      <c r="AG129" s="27">
        <f>AG125-AG128</f>
        <v/>
      </c>
      <c r="AH129" s="27">
        <f>AH125-AH128</f>
        <v/>
      </c>
      <c r="AI129" s="27">
        <f>AI125-AI128</f>
        <v/>
      </c>
      <c r="AJ129" s="27">
        <f>AJ125-AJ128</f>
        <v/>
      </c>
      <c r="AK129" s="27">
        <f>AK125-AK128</f>
        <v/>
      </c>
      <c r="AL129" s="27">
        <f>AL125-AL128</f>
        <v/>
      </c>
      <c r="AM129" s="27">
        <f>AM125-AM128</f>
        <v/>
      </c>
      <c r="AN129" s="27">
        <f>AN125-AN128</f>
        <v/>
      </c>
      <c r="AO129" s="27">
        <f>AO125-AO128</f>
        <v/>
      </c>
      <c r="AP129" s="27">
        <f>AP125-AP128</f>
        <v/>
      </c>
      <c r="AQ129" s="27">
        <f>AQ125-AQ128</f>
        <v/>
      </c>
      <c r="AR129" s="27">
        <f>AR125-AR128</f>
        <v/>
      </c>
      <c r="AS129" s="27">
        <f>AS125-AS128</f>
        <v/>
      </c>
      <c r="AT129" s="27">
        <f>AT125-AT128</f>
        <v/>
      </c>
      <c r="AU129" s="27">
        <f>AU125-AU128</f>
        <v/>
      </c>
      <c r="AV129" s="27">
        <f>AV125-AV128</f>
        <v/>
      </c>
      <c r="AW129" s="27">
        <f>AW125-AW128</f>
        <v/>
      </c>
      <c r="AX129" s="27">
        <f>AX125-AX128</f>
        <v/>
      </c>
      <c r="AY129" s="27">
        <f>AY125-AY128</f>
        <v/>
      </c>
      <c r="AZ129" s="27">
        <f>AZ125-AZ128</f>
        <v/>
      </c>
      <c r="BA129" s="27">
        <f>BA125-BA128</f>
        <v/>
      </c>
      <c r="BB129" s="27">
        <f>BB125-BB128</f>
        <v/>
      </c>
    </row>
    <row r="130">
      <c r="A130" s="3" t="inlineStr">
        <is>
          <t>Stock carried out</t>
        </is>
      </c>
      <c r="B130" s="4" t="inlineStr">
        <is>
          <t>lb</t>
        </is>
      </c>
      <c r="C130" s="27">
        <f>C117-C123-C129</f>
        <v/>
      </c>
      <c r="D130" s="27">
        <f>D117-D123-D129</f>
        <v/>
      </c>
      <c r="E130" s="27">
        <f>E117-E123-E129</f>
        <v/>
      </c>
      <c r="F130" s="27">
        <f>F117-F123-F129</f>
        <v/>
      </c>
      <c r="G130" s="27">
        <f>G117-G123-G129</f>
        <v/>
      </c>
      <c r="H130" s="27">
        <f>H117-H123-H129</f>
        <v/>
      </c>
      <c r="I130" s="27">
        <f>I117-I123-I129</f>
        <v/>
      </c>
      <c r="J130" s="27">
        <f>J117-J123-J129</f>
        <v/>
      </c>
      <c r="K130" s="27">
        <f>K117-K123-K129</f>
        <v/>
      </c>
      <c r="L130" s="27">
        <f>L117-L123-L129</f>
        <v/>
      </c>
      <c r="M130" s="27">
        <f>M117-M123-M129</f>
        <v/>
      </c>
      <c r="N130" s="27">
        <f>N117-N123-N129</f>
        <v/>
      </c>
      <c r="O130" s="27">
        <f>O117-O123-O129</f>
        <v/>
      </c>
      <c r="P130" s="27">
        <f>P117-P123-P129</f>
        <v/>
      </c>
      <c r="Q130" s="27">
        <f>Q117-Q123-Q129</f>
        <v/>
      </c>
      <c r="R130" s="27">
        <f>R117-R123-R129</f>
        <v/>
      </c>
      <c r="S130" s="27">
        <f>S117-S123-S129</f>
        <v/>
      </c>
      <c r="T130" s="27">
        <f>T117-T123-T129</f>
        <v/>
      </c>
      <c r="U130" s="27">
        <f>U117-U123-U129</f>
        <v/>
      </c>
      <c r="V130" s="27">
        <f>V117-V123-V129</f>
        <v/>
      </c>
      <c r="W130" s="27">
        <f>W117-W123-W129</f>
        <v/>
      </c>
      <c r="X130" s="27">
        <f>X117-X123-X129</f>
        <v/>
      </c>
      <c r="Y130" s="27">
        <f>Y117-Y123-Y129</f>
        <v/>
      </c>
      <c r="Z130" s="27">
        <f>Z117-Z123-Z129</f>
        <v/>
      </c>
      <c r="AA130" s="27">
        <f>AA117-AA123-AA129</f>
        <v/>
      </c>
      <c r="AB130" s="27">
        <f>AB117-AB123-AB129</f>
        <v/>
      </c>
      <c r="AC130" s="27">
        <f>AC117-AC123-AC129</f>
        <v/>
      </c>
      <c r="AD130" s="27">
        <f>AD117-AD123-AD129</f>
        <v/>
      </c>
      <c r="AE130" s="27">
        <f>AE117-AE123-AE129</f>
        <v/>
      </c>
      <c r="AF130" s="27">
        <f>AF117-AF123-AF129</f>
        <v/>
      </c>
      <c r="AG130" s="27">
        <f>AG117-AG123-AG129</f>
        <v/>
      </c>
      <c r="AH130" s="27">
        <f>AH117-AH123-AH129</f>
        <v/>
      </c>
      <c r="AI130" s="27">
        <f>AI117-AI123-AI129</f>
        <v/>
      </c>
      <c r="AJ130" s="27">
        <f>AJ117-AJ123-AJ129</f>
        <v/>
      </c>
      <c r="AK130" s="27">
        <f>AK117-AK123-AK129</f>
        <v/>
      </c>
      <c r="AL130" s="27">
        <f>AL117-AL123-AL129</f>
        <v/>
      </c>
      <c r="AM130" s="27">
        <f>AM117-AM123-AM129</f>
        <v/>
      </c>
      <c r="AN130" s="27">
        <f>AN117-AN123-AN129</f>
        <v/>
      </c>
      <c r="AO130" s="27">
        <f>AO117-AO123-AO129</f>
        <v/>
      </c>
      <c r="AP130" s="27">
        <f>AP117-AP123-AP129</f>
        <v/>
      </c>
      <c r="AQ130" s="27">
        <f>AQ117-AQ123-AQ129</f>
        <v/>
      </c>
      <c r="AR130" s="27">
        <f>AR117-AR123-AR129</f>
        <v/>
      </c>
      <c r="AS130" s="27">
        <f>AS117-AS123-AS129</f>
        <v/>
      </c>
      <c r="AT130" s="27">
        <f>AT117-AT123-AT129</f>
        <v/>
      </c>
      <c r="AU130" s="27">
        <f>AU117-AU123-AU129</f>
        <v/>
      </c>
      <c r="AV130" s="27">
        <f>AV117-AV123-AV129</f>
        <v/>
      </c>
      <c r="AW130" s="27">
        <f>AW117-AW123-AW129</f>
        <v/>
      </c>
      <c r="AX130" s="27">
        <f>AX117-AX123-AX129</f>
        <v/>
      </c>
      <c r="AY130" s="27">
        <f>AY117-AY123-AY129</f>
        <v/>
      </c>
      <c r="AZ130" s="27">
        <f>AZ117-AZ123-AZ129</f>
        <v/>
      </c>
      <c r="BA130" s="27">
        <f>BA117-BA123-BA129</f>
        <v/>
      </c>
      <c r="BB130" s="27">
        <f>BB117-BB123-BB129</f>
        <v/>
      </c>
    </row>
    <row r="131">
      <c r="A131" s="3" t="inlineStr">
        <is>
          <t>ROOM OCCUPANCY</t>
        </is>
      </c>
      <c r="B131" s="4" t="inlineStr">
        <is>
          <t>m3</t>
        </is>
      </c>
      <c r="C131" s="41">
        <f>(C115+C114)*$D$18</f>
        <v/>
      </c>
      <c r="D131" s="41">
        <f>(D115+D114)*$D$18</f>
        <v/>
      </c>
      <c r="E131" s="41">
        <f>(E115+E114)*$D$18</f>
        <v/>
      </c>
      <c r="F131" s="41">
        <f>(F115+F114)*$D$18</f>
        <v/>
      </c>
      <c r="G131" s="41">
        <f>(G115+G114)*$D$18</f>
        <v/>
      </c>
      <c r="H131" s="41">
        <f>(H115+H114)*$D$18</f>
        <v/>
      </c>
      <c r="I131" s="41">
        <f>(I115+I114)*$D$18</f>
        <v/>
      </c>
      <c r="J131" s="41">
        <f>(J115+J114)*$D$18</f>
        <v/>
      </c>
      <c r="K131" s="41">
        <f>(K115+K114)*$D$18</f>
        <v/>
      </c>
      <c r="L131" s="41">
        <f>(L115+L114)*$D$18</f>
        <v/>
      </c>
      <c r="M131" s="41">
        <f>(M115+M114)*$D$18</f>
        <v/>
      </c>
      <c r="N131" s="41">
        <f>(N115+N114)*$D$18</f>
        <v/>
      </c>
      <c r="O131" s="41">
        <f>(O115+O114)*$D$18</f>
        <v/>
      </c>
      <c r="P131" s="41">
        <f>(P115+P114)*$D$18</f>
        <v/>
      </c>
      <c r="Q131" s="41">
        <f>(Q115+Q114)*$D$18</f>
        <v/>
      </c>
      <c r="R131" s="41">
        <f>(R115+R114)*$D$18</f>
        <v/>
      </c>
      <c r="S131" s="41">
        <f>(S115+S114)*$D$18</f>
        <v/>
      </c>
      <c r="T131" s="41">
        <f>(T115+T114)*$D$18</f>
        <v/>
      </c>
      <c r="U131" s="41">
        <f>(U115+U114)*$D$18</f>
        <v/>
      </c>
      <c r="V131" s="41">
        <f>(V115+V114)*$D$18</f>
        <v/>
      </c>
      <c r="W131" s="41">
        <f>(W115+W114)*$D$18</f>
        <v/>
      </c>
      <c r="X131" s="41">
        <f>(X115+X114)*$D$18</f>
        <v/>
      </c>
      <c r="Y131" s="41">
        <f>(Y115+Y114)*$D$18</f>
        <v/>
      </c>
      <c r="Z131" s="41">
        <f>(Z115+Z114)*$D$18</f>
        <v/>
      </c>
      <c r="AA131" s="41">
        <f>(AA115+AA114)*$D$18</f>
        <v/>
      </c>
      <c r="AB131" s="41">
        <f>(AB115+AB114)*$D$18</f>
        <v/>
      </c>
      <c r="AC131" s="41">
        <f>(AC115+AC114)*$D$18</f>
        <v/>
      </c>
      <c r="AD131" s="41">
        <f>(AD115+AD114)*$D$18</f>
        <v/>
      </c>
      <c r="AE131" s="41">
        <f>(AE115+AE114)*$D$18</f>
        <v/>
      </c>
      <c r="AF131" s="41">
        <f>(AF115+AF114)*$D$18</f>
        <v/>
      </c>
      <c r="AG131" s="41">
        <f>(AG115+AG114)*$D$18</f>
        <v/>
      </c>
      <c r="AH131" s="41">
        <f>(AH115+AH114)*$D$18</f>
        <v/>
      </c>
      <c r="AI131" s="41">
        <f>(AI115+AI114)*$D$18</f>
        <v/>
      </c>
      <c r="AJ131" s="41">
        <f>(AJ115+AJ114)*$D$18</f>
        <v/>
      </c>
      <c r="AK131" s="41">
        <f>(AK115+AK114)*$D$18</f>
        <v/>
      </c>
      <c r="AL131" s="41">
        <f>(AL115+AL114)*$D$18</f>
        <v/>
      </c>
      <c r="AM131" s="41">
        <f>(AM115+AM114)*$D$18</f>
        <v/>
      </c>
      <c r="AN131" s="41">
        <f>(AN115+AN114)*$D$18</f>
        <v/>
      </c>
      <c r="AO131" s="41">
        <f>(AO115+AO114)*$D$18</f>
        <v/>
      </c>
      <c r="AP131" s="41">
        <f>(AP115+AP114)*$D$18</f>
        <v/>
      </c>
      <c r="AQ131" s="41">
        <f>(AQ115+AQ114)*$D$18</f>
        <v/>
      </c>
      <c r="AR131" s="41">
        <f>(AR115+AR114)*$D$18</f>
        <v/>
      </c>
      <c r="AS131" s="41">
        <f>(AS115+AS114)*$D$18</f>
        <v/>
      </c>
      <c r="AT131" s="41">
        <f>(AT115+AT114)*$D$18</f>
        <v/>
      </c>
      <c r="AU131" s="41">
        <f>(AU115+AU114)*$D$18</f>
        <v/>
      </c>
      <c r="AV131" s="41">
        <f>(AV115+AV114)*$D$18</f>
        <v/>
      </c>
      <c r="AW131" s="41">
        <f>(AW115+AW114)*$D$18</f>
        <v/>
      </c>
      <c r="AX131" s="41">
        <f>(AX115+AX114)*$D$18</f>
        <v/>
      </c>
      <c r="AY131" s="41">
        <f>(AY115+AY114)*$D$18</f>
        <v/>
      </c>
      <c r="AZ131" s="41">
        <f>(AZ115+AZ114)*$D$18</f>
        <v/>
      </c>
      <c r="BA131" s="41">
        <f>(BA115+BA114)*$D$18</f>
        <v/>
      </c>
      <c r="BB131" s="41">
        <f>(BB115+BB114)*$D$18</f>
        <v/>
      </c>
    </row>
    <row r="132">
      <c r="A132" s="4" t="inlineStr">
        <is>
          <t xml:space="preserve">   = carried in + everything PACKED OUT this week, before any of it ships.</t>
        </is>
      </c>
    </row>
    <row r="133">
      <c r="A133" s="25" t="inlineStr">
        <is>
          <t>Over shelf life?</t>
        </is>
      </c>
      <c r="B133" s="4" t="inlineStr">
        <is>
          <t>lb</t>
        </is>
      </c>
      <c r="C133" s="27">
        <f>MAX(0,C130-SUMIFS($C$114:$BB$114,$C$37:$BB$37,"&gt;="&amp;C$37-$F$18+2,$C$37:$BB$37,"&lt;="&amp;C$37))</f>
        <v/>
      </c>
      <c r="D133" s="27">
        <f>MAX(0,D130-SUMIFS($C$114:$BB$114,$C$37:$BB$37,"&gt;="&amp;D$37-$F$18+2,$C$37:$BB$37,"&lt;="&amp;D$37))</f>
        <v/>
      </c>
      <c r="E133" s="27">
        <f>MAX(0,E130-SUMIFS($C$114:$BB$114,$C$37:$BB$37,"&gt;="&amp;E$37-$F$18+2,$C$37:$BB$37,"&lt;="&amp;E$37))</f>
        <v/>
      </c>
      <c r="F133" s="27">
        <f>MAX(0,F130-SUMIFS($C$114:$BB$114,$C$37:$BB$37,"&gt;="&amp;F$37-$F$18+2,$C$37:$BB$37,"&lt;="&amp;F$37))</f>
        <v/>
      </c>
      <c r="G133" s="27">
        <f>MAX(0,G130-SUMIFS($C$114:$BB$114,$C$37:$BB$37,"&gt;="&amp;G$37-$F$18+2,$C$37:$BB$37,"&lt;="&amp;G$37))</f>
        <v/>
      </c>
      <c r="H133" s="27">
        <f>MAX(0,H130-SUMIFS($C$114:$BB$114,$C$37:$BB$37,"&gt;="&amp;H$37-$F$18+2,$C$37:$BB$37,"&lt;="&amp;H$37))</f>
        <v/>
      </c>
      <c r="I133" s="27">
        <f>MAX(0,I130-SUMIFS($C$114:$BB$114,$C$37:$BB$37,"&gt;="&amp;I$37-$F$18+2,$C$37:$BB$37,"&lt;="&amp;I$37))</f>
        <v/>
      </c>
      <c r="J133" s="27">
        <f>MAX(0,J130-SUMIFS($C$114:$BB$114,$C$37:$BB$37,"&gt;="&amp;J$37-$F$18+2,$C$37:$BB$37,"&lt;="&amp;J$37))</f>
        <v/>
      </c>
      <c r="K133" s="27">
        <f>MAX(0,K130-SUMIFS($C$114:$BB$114,$C$37:$BB$37,"&gt;="&amp;K$37-$F$18+2,$C$37:$BB$37,"&lt;="&amp;K$37))</f>
        <v/>
      </c>
      <c r="L133" s="27">
        <f>MAX(0,L130-SUMIFS($C$114:$BB$114,$C$37:$BB$37,"&gt;="&amp;L$37-$F$18+2,$C$37:$BB$37,"&lt;="&amp;L$37))</f>
        <v/>
      </c>
      <c r="M133" s="27">
        <f>MAX(0,M130-SUMIFS($C$114:$BB$114,$C$37:$BB$37,"&gt;="&amp;M$37-$F$18+2,$C$37:$BB$37,"&lt;="&amp;M$37))</f>
        <v/>
      </c>
      <c r="N133" s="27">
        <f>MAX(0,N130-SUMIFS($C$114:$BB$114,$C$37:$BB$37,"&gt;="&amp;N$37-$F$18+2,$C$37:$BB$37,"&lt;="&amp;N$37))</f>
        <v/>
      </c>
      <c r="O133" s="27">
        <f>MAX(0,O130-SUMIFS($C$114:$BB$114,$C$37:$BB$37,"&gt;="&amp;O$37-$F$18+2,$C$37:$BB$37,"&lt;="&amp;O$37))</f>
        <v/>
      </c>
      <c r="P133" s="27">
        <f>MAX(0,P130-SUMIFS($C$114:$BB$114,$C$37:$BB$37,"&gt;="&amp;P$37-$F$18+2,$C$37:$BB$37,"&lt;="&amp;P$37))</f>
        <v/>
      </c>
      <c r="Q133" s="27">
        <f>MAX(0,Q130-SUMIFS($C$114:$BB$114,$C$37:$BB$37,"&gt;="&amp;Q$37-$F$18+2,$C$37:$BB$37,"&lt;="&amp;Q$37))</f>
        <v/>
      </c>
      <c r="R133" s="27">
        <f>MAX(0,R130-SUMIFS($C$114:$BB$114,$C$37:$BB$37,"&gt;="&amp;R$37-$F$18+2,$C$37:$BB$37,"&lt;="&amp;R$37))</f>
        <v/>
      </c>
      <c r="S133" s="27">
        <f>MAX(0,S130-SUMIFS($C$114:$BB$114,$C$37:$BB$37,"&gt;="&amp;S$37-$F$18+2,$C$37:$BB$37,"&lt;="&amp;S$37))</f>
        <v/>
      </c>
      <c r="T133" s="27">
        <f>MAX(0,T130-SUMIFS($C$114:$BB$114,$C$37:$BB$37,"&gt;="&amp;T$37-$F$18+2,$C$37:$BB$37,"&lt;="&amp;T$37))</f>
        <v/>
      </c>
      <c r="U133" s="27">
        <f>MAX(0,U130-SUMIFS($C$114:$BB$114,$C$37:$BB$37,"&gt;="&amp;U$37-$F$18+2,$C$37:$BB$37,"&lt;="&amp;U$37))</f>
        <v/>
      </c>
      <c r="V133" s="27">
        <f>MAX(0,V130-SUMIFS($C$114:$BB$114,$C$37:$BB$37,"&gt;="&amp;V$37-$F$18+2,$C$37:$BB$37,"&lt;="&amp;V$37))</f>
        <v/>
      </c>
      <c r="W133" s="27">
        <f>MAX(0,W130-SUMIFS($C$114:$BB$114,$C$37:$BB$37,"&gt;="&amp;W$37-$F$18+2,$C$37:$BB$37,"&lt;="&amp;W$37))</f>
        <v/>
      </c>
      <c r="X133" s="27">
        <f>MAX(0,X130-SUMIFS($C$114:$BB$114,$C$37:$BB$37,"&gt;="&amp;X$37-$F$18+2,$C$37:$BB$37,"&lt;="&amp;X$37))</f>
        <v/>
      </c>
      <c r="Y133" s="27">
        <f>MAX(0,Y130-SUMIFS($C$114:$BB$114,$C$37:$BB$37,"&gt;="&amp;Y$37-$F$18+2,$C$37:$BB$37,"&lt;="&amp;Y$37))</f>
        <v/>
      </c>
      <c r="Z133" s="27">
        <f>MAX(0,Z130-SUMIFS($C$114:$BB$114,$C$37:$BB$37,"&gt;="&amp;Z$37-$F$18+2,$C$37:$BB$37,"&lt;="&amp;Z$37))</f>
        <v/>
      </c>
      <c r="AA133" s="27">
        <f>MAX(0,AA130-SUMIFS($C$114:$BB$114,$C$37:$BB$37,"&gt;="&amp;AA$37-$F$18+2,$C$37:$BB$37,"&lt;="&amp;AA$37))</f>
        <v/>
      </c>
      <c r="AB133" s="27">
        <f>MAX(0,AB130-SUMIFS($C$114:$BB$114,$C$37:$BB$37,"&gt;="&amp;AB$37-$F$18+2,$C$37:$BB$37,"&lt;="&amp;AB$37))</f>
        <v/>
      </c>
      <c r="AC133" s="27">
        <f>MAX(0,AC130-SUMIFS($C$114:$BB$114,$C$37:$BB$37,"&gt;="&amp;AC$37-$F$18+2,$C$37:$BB$37,"&lt;="&amp;AC$37))</f>
        <v/>
      </c>
      <c r="AD133" s="27">
        <f>MAX(0,AD130-SUMIFS($C$114:$BB$114,$C$37:$BB$37,"&gt;="&amp;AD$37-$F$18+2,$C$37:$BB$37,"&lt;="&amp;AD$37))</f>
        <v/>
      </c>
      <c r="AE133" s="27">
        <f>MAX(0,AE130-SUMIFS($C$114:$BB$114,$C$37:$BB$37,"&gt;="&amp;AE$37-$F$18+2,$C$37:$BB$37,"&lt;="&amp;AE$37))</f>
        <v/>
      </c>
      <c r="AF133" s="27">
        <f>MAX(0,AF130-SUMIFS($C$114:$BB$114,$C$37:$BB$37,"&gt;="&amp;AF$37-$F$18+2,$C$37:$BB$37,"&lt;="&amp;AF$37))</f>
        <v/>
      </c>
      <c r="AG133" s="27">
        <f>MAX(0,AG130-SUMIFS($C$114:$BB$114,$C$37:$BB$37,"&gt;="&amp;AG$37-$F$18+2,$C$37:$BB$37,"&lt;="&amp;AG$37))</f>
        <v/>
      </c>
      <c r="AH133" s="27">
        <f>MAX(0,AH130-SUMIFS($C$114:$BB$114,$C$37:$BB$37,"&gt;="&amp;AH$37-$F$18+2,$C$37:$BB$37,"&lt;="&amp;AH$37))</f>
        <v/>
      </c>
      <c r="AI133" s="27">
        <f>MAX(0,AI130-SUMIFS($C$114:$BB$114,$C$37:$BB$37,"&gt;="&amp;AI$37-$F$18+2,$C$37:$BB$37,"&lt;="&amp;AI$37))</f>
        <v/>
      </c>
      <c r="AJ133" s="27">
        <f>MAX(0,AJ130-SUMIFS($C$114:$BB$114,$C$37:$BB$37,"&gt;="&amp;AJ$37-$F$18+2,$C$37:$BB$37,"&lt;="&amp;AJ$37))</f>
        <v/>
      </c>
      <c r="AK133" s="27">
        <f>MAX(0,AK130-SUMIFS($C$114:$BB$114,$C$37:$BB$37,"&gt;="&amp;AK$37-$F$18+2,$C$37:$BB$37,"&lt;="&amp;AK$37))</f>
        <v/>
      </c>
      <c r="AL133" s="27">
        <f>MAX(0,AL130-SUMIFS($C$114:$BB$114,$C$37:$BB$37,"&gt;="&amp;AL$37-$F$18+2,$C$37:$BB$37,"&lt;="&amp;AL$37))</f>
        <v/>
      </c>
      <c r="AM133" s="27">
        <f>MAX(0,AM130-SUMIFS($C$114:$BB$114,$C$37:$BB$37,"&gt;="&amp;AM$37-$F$18+2,$C$37:$BB$37,"&lt;="&amp;AM$37))</f>
        <v/>
      </c>
      <c r="AN133" s="27">
        <f>MAX(0,AN130-SUMIFS($C$114:$BB$114,$C$37:$BB$37,"&gt;="&amp;AN$37-$F$18+2,$C$37:$BB$37,"&lt;="&amp;AN$37))</f>
        <v/>
      </c>
      <c r="AO133" s="27">
        <f>MAX(0,AO130-SUMIFS($C$114:$BB$114,$C$37:$BB$37,"&gt;="&amp;AO$37-$F$18+2,$C$37:$BB$37,"&lt;="&amp;AO$37))</f>
        <v/>
      </c>
      <c r="AP133" s="27">
        <f>MAX(0,AP130-SUMIFS($C$114:$BB$114,$C$37:$BB$37,"&gt;="&amp;AP$37-$F$18+2,$C$37:$BB$37,"&lt;="&amp;AP$37))</f>
        <v/>
      </c>
      <c r="AQ133" s="27">
        <f>MAX(0,AQ130-SUMIFS($C$114:$BB$114,$C$37:$BB$37,"&gt;="&amp;AQ$37-$F$18+2,$C$37:$BB$37,"&lt;="&amp;AQ$37))</f>
        <v/>
      </c>
      <c r="AR133" s="27">
        <f>MAX(0,AR130-SUMIFS($C$114:$BB$114,$C$37:$BB$37,"&gt;="&amp;AR$37-$F$18+2,$C$37:$BB$37,"&lt;="&amp;AR$37))</f>
        <v/>
      </c>
      <c r="AS133" s="27">
        <f>MAX(0,AS130-SUMIFS($C$114:$BB$114,$C$37:$BB$37,"&gt;="&amp;AS$37-$F$18+2,$C$37:$BB$37,"&lt;="&amp;AS$37))</f>
        <v/>
      </c>
      <c r="AT133" s="27">
        <f>MAX(0,AT130-SUMIFS($C$114:$BB$114,$C$37:$BB$37,"&gt;="&amp;AT$37-$F$18+2,$C$37:$BB$37,"&lt;="&amp;AT$37))</f>
        <v/>
      </c>
      <c r="AU133" s="27">
        <f>MAX(0,AU130-SUMIFS($C$114:$BB$114,$C$37:$BB$37,"&gt;="&amp;AU$37-$F$18+2,$C$37:$BB$37,"&lt;="&amp;AU$37))</f>
        <v/>
      </c>
      <c r="AV133" s="27">
        <f>MAX(0,AV130-SUMIFS($C$114:$BB$114,$C$37:$BB$37,"&gt;="&amp;AV$37-$F$18+2,$C$37:$BB$37,"&lt;="&amp;AV$37))</f>
        <v/>
      </c>
      <c r="AW133" s="27">
        <f>MAX(0,AW130-SUMIFS($C$114:$BB$114,$C$37:$BB$37,"&gt;="&amp;AW$37-$F$18+2,$C$37:$BB$37,"&lt;="&amp;AW$37))</f>
        <v/>
      </c>
      <c r="AX133" s="27">
        <f>MAX(0,AX130-SUMIFS($C$114:$BB$114,$C$37:$BB$37,"&gt;="&amp;AX$37-$F$18+2,$C$37:$BB$37,"&lt;="&amp;AX$37))</f>
        <v/>
      </c>
      <c r="AY133" s="27">
        <f>MAX(0,AY130-SUMIFS($C$114:$BB$114,$C$37:$BB$37,"&gt;="&amp;AY$37-$F$18+2,$C$37:$BB$37,"&lt;="&amp;AY$37))</f>
        <v/>
      </c>
      <c r="AZ133" s="27">
        <f>MAX(0,AZ130-SUMIFS($C$114:$BB$114,$C$37:$BB$37,"&gt;="&amp;AZ$37-$F$18+2,$C$37:$BB$37,"&lt;="&amp;AZ$37))</f>
        <v/>
      </c>
      <c r="BA133" s="27">
        <f>MAX(0,BA130-SUMIFS($C$114:$BB$114,$C$37:$BB$37,"&gt;="&amp;BA$37-$F$18+2,$C$37:$BB$37,"&lt;="&amp;BA$37))</f>
        <v/>
      </c>
      <c r="BB133" s="27">
        <f>MAX(0,BB130-SUMIFS($C$114:$BB$114,$C$37:$BB$37,"&gt;="&amp;BB$37-$F$18+2,$C$37:$BB$37,"&lt;="&amp;BB$37))</f>
        <v/>
      </c>
    </row>
    <row r="134">
      <c r="A134" s="4" t="inlineStr">
        <is>
          <t xml:space="preserve">   stock older than its shelf life — WARNING here, a hard constraint in the app</t>
        </is>
      </c>
    </row>
    <row r="136">
      <c r="A136" s="2" t="inlineStr">
        <is>
          <t>6 — THE TWO STORES</t>
        </is>
      </c>
    </row>
    <row r="137">
      <c r="A137" s="22" t="inlineStr">
        <is>
          <t>Week</t>
        </is>
      </c>
      <c r="B137" s="23" t="inlineStr">
        <is>
          <t>m3</t>
        </is>
      </c>
      <c r="C137" s="24" t="n">
        <v>1</v>
      </c>
      <c r="D137" s="24" t="n">
        <v>2</v>
      </c>
      <c r="E137" s="24" t="n">
        <v>3</v>
      </c>
      <c r="F137" s="24" t="n">
        <v>4</v>
      </c>
      <c r="G137" s="24" t="n">
        <v>5</v>
      </c>
      <c r="H137" s="24" t="n">
        <v>6</v>
      </c>
      <c r="I137" s="24" t="n">
        <v>7</v>
      </c>
      <c r="J137" s="24" t="n">
        <v>8</v>
      </c>
      <c r="K137" s="24" t="n">
        <v>9</v>
      </c>
      <c r="L137" s="24" t="n">
        <v>10</v>
      </c>
      <c r="M137" s="24" t="n">
        <v>11</v>
      </c>
      <c r="N137" s="24" t="n">
        <v>12</v>
      </c>
      <c r="O137" s="24" t="n">
        <v>13</v>
      </c>
      <c r="P137" s="24" t="n">
        <v>14</v>
      </c>
      <c r="Q137" s="24" t="n">
        <v>15</v>
      </c>
      <c r="R137" s="24" t="n">
        <v>16</v>
      </c>
      <c r="S137" s="24" t="n">
        <v>17</v>
      </c>
      <c r="T137" s="24" t="n">
        <v>18</v>
      </c>
      <c r="U137" s="24" t="n">
        <v>19</v>
      </c>
      <c r="V137" s="24" t="n">
        <v>20</v>
      </c>
      <c r="W137" s="24" t="n">
        <v>21</v>
      </c>
      <c r="X137" s="24" t="n">
        <v>22</v>
      </c>
      <c r="Y137" s="24" t="n">
        <v>23</v>
      </c>
      <c r="Z137" s="24" t="n">
        <v>24</v>
      </c>
      <c r="AA137" s="24" t="n">
        <v>25</v>
      </c>
      <c r="AB137" s="24" t="n">
        <v>26</v>
      </c>
      <c r="AC137" s="24" t="n">
        <v>27</v>
      </c>
      <c r="AD137" s="24" t="n">
        <v>28</v>
      </c>
      <c r="AE137" s="24" t="n">
        <v>29</v>
      </c>
      <c r="AF137" s="24" t="n">
        <v>30</v>
      </c>
      <c r="AG137" s="24" t="n">
        <v>31</v>
      </c>
      <c r="AH137" s="24" t="n">
        <v>32</v>
      </c>
      <c r="AI137" s="24" t="n">
        <v>33</v>
      </c>
      <c r="AJ137" s="24" t="n">
        <v>34</v>
      </c>
      <c r="AK137" s="24" t="n">
        <v>35</v>
      </c>
      <c r="AL137" s="24" t="n">
        <v>36</v>
      </c>
      <c r="AM137" s="24" t="n">
        <v>37</v>
      </c>
      <c r="AN137" s="24" t="n">
        <v>38</v>
      </c>
      <c r="AO137" s="24" t="n">
        <v>39</v>
      </c>
      <c r="AP137" s="24" t="n">
        <v>40</v>
      </c>
      <c r="AQ137" s="24" t="n">
        <v>41</v>
      </c>
      <c r="AR137" s="24" t="n">
        <v>42</v>
      </c>
      <c r="AS137" s="24" t="n">
        <v>43</v>
      </c>
      <c r="AT137" s="24" t="n">
        <v>44</v>
      </c>
      <c r="AU137" s="24" t="n">
        <v>45</v>
      </c>
      <c r="AV137" s="24" t="n">
        <v>46</v>
      </c>
      <c r="AW137" s="24" t="n">
        <v>47</v>
      </c>
      <c r="AX137" s="24" t="n">
        <v>48</v>
      </c>
      <c r="AY137" s="24" t="n">
        <v>49</v>
      </c>
      <c r="AZ137" s="24" t="n">
        <v>50</v>
      </c>
      <c r="BA137" s="24" t="n">
        <v>51</v>
      </c>
      <c r="BB137" s="24" t="n">
        <v>52</v>
      </c>
    </row>
    <row r="138">
      <c r="A138" s="42" t="inlineStr">
        <is>
          <t>COLD STORE</t>
        </is>
      </c>
      <c r="B138" s="4" t="inlineStr">
        <is>
          <t>used</t>
        </is>
      </c>
      <c r="C138" s="39">
        <f>C79+C105</f>
        <v/>
      </c>
      <c r="D138" s="39">
        <f>D79+D105</f>
        <v/>
      </c>
      <c r="E138" s="39">
        <f>E79+E105</f>
        <v/>
      </c>
      <c r="F138" s="39">
        <f>F79+F105</f>
        <v/>
      </c>
      <c r="G138" s="39">
        <f>G79+G105</f>
        <v/>
      </c>
      <c r="H138" s="39">
        <f>H79+H105</f>
        <v/>
      </c>
      <c r="I138" s="39">
        <f>I79+I105</f>
        <v/>
      </c>
      <c r="J138" s="39">
        <f>J79+J105</f>
        <v/>
      </c>
      <c r="K138" s="39">
        <f>K79+K105</f>
        <v/>
      </c>
      <c r="L138" s="39">
        <f>L79+L105</f>
        <v/>
      </c>
      <c r="M138" s="39">
        <f>M79+M105</f>
        <v/>
      </c>
      <c r="N138" s="39">
        <f>N79+N105</f>
        <v/>
      </c>
      <c r="O138" s="39">
        <f>O79+O105</f>
        <v/>
      </c>
      <c r="P138" s="39">
        <f>P79+P105</f>
        <v/>
      </c>
      <c r="Q138" s="39">
        <f>Q79+Q105</f>
        <v/>
      </c>
      <c r="R138" s="39">
        <f>R79+R105</f>
        <v/>
      </c>
      <c r="S138" s="39">
        <f>S79+S105</f>
        <v/>
      </c>
      <c r="T138" s="39">
        <f>T79+T105</f>
        <v/>
      </c>
      <c r="U138" s="39">
        <f>U79+U105</f>
        <v/>
      </c>
      <c r="V138" s="39">
        <f>V79+V105</f>
        <v/>
      </c>
      <c r="W138" s="39">
        <f>W79+W105</f>
        <v/>
      </c>
      <c r="X138" s="39">
        <f>X79+X105</f>
        <v/>
      </c>
      <c r="Y138" s="39">
        <f>Y79+Y105</f>
        <v/>
      </c>
      <c r="Z138" s="39">
        <f>Z79+Z105</f>
        <v/>
      </c>
      <c r="AA138" s="39">
        <f>AA79+AA105</f>
        <v/>
      </c>
      <c r="AB138" s="39">
        <f>AB79+AB105</f>
        <v/>
      </c>
      <c r="AC138" s="39">
        <f>AC79+AC105</f>
        <v/>
      </c>
      <c r="AD138" s="39">
        <f>AD79+AD105</f>
        <v/>
      </c>
      <c r="AE138" s="39">
        <f>AE79+AE105</f>
        <v/>
      </c>
      <c r="AF138" s="39">
        <f>AF79+AF105</f>
        <v/>
      </c>
      <c r="AG138" s="39">
        <f>AG79+AG105</f>
        <v/>
      </c>
      <c r="AH138" s="39">
        <f>AH79+AH105</f>
        <v/>
      </c>
      <c r="AI138" s="39">
        <f>AI79+AI105</f>
        <v/>
      </c>
      <c r="AJ138" s="39">
        <f>AJ79+AJ105</f>
        <v/>
      </c>
      <c r="AK138" s="39">
        <f>AK79+AK105</f>
        <v/>
      </c>
      <c r="AL138" s="39">
        <f>AL79+AL105</f>
        <v/>
      </c>
      <c r="AM138" s="39">
        <f>AM79+AM105</f>
        <v/>
      </c>
      <c r="AN138" s="39">
        <f>AN79+AN105</f>
        <v/>
      </c>
      <c r="AO138" s="39">
        <f>AO79+AO105</f>
        <v/>
      </c>
      <c r="AP138" s="39">
        <f>AP79+AP105</f>
        <v/>
      </c>
      <c r="AQ138" s="39">
        <f>AQ79+AQ105</f>
        <v/>
      </c>
      <c r="AR138" s="39">
        <f>AR79+AR105</f>
        <v/>
      </c>
      <c r="AS138" s="39">
        <f>AS79+AS105</f>
        <v/>
      </c>
      <c r="AT138" s="39">
        <f>AT79+AT105</f>
        <v/>
      </c>
      <c r="AU138" s="39">
        <f>AU79+AU105</f>
        <v/>
      </c>
      <c r="AV138" s="39">
        <f>AV79+AV105</f>
        <v/>
      </c>
      <c r="AW138" s="39">
        <f>AW79+AW105</f>
        <v/>
      </c>
      <c r="AX138" s="39">
        <f>AX79+AX105</f>
        <v/>
      </c>
      <c r="AY138" s="39">
        <f>AY79+AY105</f>
        <v/>
      </c>
      <c r="AZ138" s="39">
        <f>AZ79+AZ105</f>
        <v/>
      </c>
      <c r="BA138" s="39">
        <f>BA79+BA105</f>
        <v/>
      </c>
      <c r="BB138" s="39">
        <f>BB79+BB105</f>
        <v/>
      </c>
    </row>
    <row r="139">
      <c r="A139" s="3" t="inlineStr"/>
      <c r="C139" s="29" t="inlineStr">
        <is>
          <t>&lt;=</t>
        </is>
      </c>
      <c r="D139" s="29" t="inlineStr">
        <is>
          <t>&lt;=</t>
        </is>
      </c>
      <c r="E139" s="29" t="inlineStr">
        <is>
          <t>&lt;=</t>
        </is>
      </c>
      <c r="F139" s="29" t="inlineStr">
        <is>
          <t>&lt;=</t>
        </is>
      </c>
      <c r="G139" s="29" t="inlineStr">
        <is>
          <t>&lt;=</t>
        </is>
      </c>
      <c r="H139" s="29" t="inlineStr">
        <is>
          <t>&lt;=</t>
        </is>
      </c>
      <c r="I139" s="29" t="inlineStr">
        <is>
          <t>&lt;=</t>
        </is>
      </c>
      <c r="J139" s="29" t="inlineStr">
        <is>
          <t>&lt;=</t>
        </is>
      </c>
      <c r="K139" s="29" t="inlineStr">
        <is>
          <t>&lt;=</t>
        </is>
      </c>
      <c r="L139" s="29" t="inlineStr">
        <is>
          <t>&lt;=</t>
        </is>
      </c>
      <c r="M139" s="29" t="inlineStr">
        <is>
          <t>&lt;=</t>
        </is>
      </c>
      <c r="N139" s="29" t="inlineStr">
        <is>
          <t>&lt;=</t>
        </is>
      </c>
      <c r="O139" s="29" t="inlineStr">
        <is>
          <t>&lt;=</t>
        </is>
      </c>
      <c r="P139" s="29" t="inlineStr">
        <is>
          <t>&lt;=</t>
        </is>
      </c>
      <c r="Q139" s="29" t="inlineStr">
        <is>
          <t>&lt;=</t>
        </is>
      </c>
      <c r="R139" s="29" t="inlineStr">
        <is>
          <t>&lt;=</t>
        </is>
      </c>
      <c r="S139" s="29" t="inlineStr">
        <is>
          <t>&lt;=</t>
        </is>
      </c>
      <c r="T139" s="29" t="inlineStr">
        <is>
          <t>&lt;=</t>
        </is>
      </c>
      <c r="U139" s="29" t="inlineStr">
        <is>
          <t>&lt;=</t>
        </is>
      </c>
      <c r="V139" s="29" t="inlineStr">
        <is>
          <t>&lt;=</t>
        </is>
      </c>
      <c r="W139" s="29" t="inlineStr">
        <is>
          <t>&lt;=</t>
        </is>
      </c>
      <c r="X139" s="29" t="inlineStr">
        <is>
          <t>&lt;=</t>
        </is>
      </c>
      <c r="Y139" s="29" t="inlineStr">
        <is>
          <t>&lt;=</t>
        </is>
      </c>
      <c r="Z139" s="29" t="inlineStr">
        <is>
          <t>&lt;=</t>
        </is>
      </c>
      <c r="AA139" s="29" t="inlineStr">
        <is>
          <t>&lt;=</t>
        </is>
      </c>
      <c r="AB139" s="29" t="inlineStr">
        <is>
          <t>&lt;=</t>
        </is>
      </c>
      <c r="AC139" s="29" t="inlineStr">
        <is>
          <t>&lt;=</t>
        </is>
      </c>
      <c r="AD139" s="29" t="inlineStr">
        <is>
          <t>&lt;=</t>
        </is>
      </c>
      <c r="AE139" s="29" t="inlineStr">
        <is>
          <t>&lt;=</t>
        </is>
      </c>
      <c r="AF139" s="29" t="inlineStr">
        <is>
          <t>&lt;=</t>
        </is>
      </c>
      <c r="AG139" s="29" t="inlineStr">
        <is>
          <t>&lt;=</t>
        </is>
      </c>
      <c r="AH139" s="29" t="inlineStr">
        <is>
          <t>&lt;=</t>
        </is>
      </c>
      <c r="AI139" s="29" t="inlineStr">
        <is>
          <t>&lt;=</t>
        </is>
      </c>
      <c r="AJ139" s="29" t="inlineStr">
        <is>
          <t>&lt;=</t>
        </is>
      </c>
      <c r="AK139" s="29" t="inlineStr">
        <is>
          <t>&lt;=</t>
        </is>
      </c>
      <c r="AL139" s="29" t="inlineStr">
        <is>
          <t>&lt;=</t>
        </is>
      </c>
      <c r="AM139" s="29" t="inlineStr">
        <is>
          <t>&lt;=</t>
        </is>
      </c>
      <c r="AN139" s="29" t="inlineStr">
        <is>
          <t>&lt;=</t>
        </is>
      </c>
      <c r="AO139" s="29" t="inlineStr">
        <is>
          <t>&lt;=</t>
        </is>
      </c>
      <c r="AP139" s="29" t="inlineStr">
        <is>
          <t>&lt;=</t>
        </is>
      </c>
      <c r="AQ139" s="29" t="inlineStr">
        <is>
          <t>&lt;=</t>
        </is>
      </c>
      <c r="AR139" s="29" t="inlineStr">
        <is>
          <t>&lt;=</t>
        </is>
      </c>
      <c r="AS139" s="29" t="inlineStr">
        <is>
          <t>&lt;=</t>
        </is>
      </c>
      <c r="AT139" s="29" t="inlineStr">
        <is>
          <t>&lt;=</t>
        </is>
      </c>
      <c r="AU139" s="29" t="inlineStr">
        <is>
          <t>&lt;=</t>
        </is>
      </c>
      <c r="AV139" s="29" t="inlineStr">
        <is>
          <t>&lt;=</t>
        </is>
      </c>
      <c r="AW139" s="29" t="inlineStr">
        <is>
          <t>&lt;=</t>
        </is>
      </c>
      <c r="AX139" s="29" t="inlineStr">
        <is>
          <t>&lt;=</t>
        </is>
      </c>
      <c r="AY139" s="29" t="inlineStr">
        <is>
          <t>&lt;=</t>
        </is>
      </c>
      <c r="AZ139" s="29" t="inlineStr">
        <is>
          <t>&lt;=</t>
        </is>
      </c>
      <c r="BA139" s="29" t="inlineStr">
        <is>
          <t>&lt;=</t>
        </is>
      </c>
      <c r="BB139" s="29" t="inlineStr">
        <is>
          <t>&lt;=</t>
        </is>
      </c>
    </row>
    <row r="140">
      <c r="A140" s="3" t="inlineStr">
        <is>
          <t xml:space="preserve">  limit</t>
        </is>
      </c>
      <c r="B140" s="4" t="inlineStr">
        <is>
          <t>cap</t>
        </is>
      </c>
      <c r="C140" s="28">
        <f>$B$33</f>
        <v/>
      </c>
      <c r="D140" s="28">
        <f>$B$33</f>
        <v/>
      </c>
      <c r="E140" s="28">
        <f>$B$33</f>
        <v/>
      </c>
      <c r="F140" s="28">
        <f>$B$33</f>
        <v/>
      </c>
      <c r="G140" s="28">
        <f>$B$33</f>
        <v/>
      </c>
      <c r="H140" s="28">
        <f>$B$33</f>
        <v/>
      </c>
      <c r="I140" s="28">
        <f>$B$33</f>
        <v/>
      </c>
      <c r="J140" s="28">
        <f>$B$33</f>
        <v/>
      </c>
      <c r="K140" s="28">
        <f>$B$33</f>
        <v/>
      </c>
      <c r="L140" s="28">
        <f>$B$33</f>
        <v/>
      </c>
      <c r="M140" s="28">
        <f>$B$33</f>
        <v/>
      </c>
      <c r="N140" s="28">
        <f>$B$33</f>
        <v/>
      </c>
      <c r="O140" s="28">
        <f>$B$33</f>
        <v/>
      </c>
      <c r="P140" s="28">
        <f>$B$33</f>
        <v/>
      </c>
      <c r="Q140" s="28">
        <f>$B$33</f>
        <v/>
      </c>
      <c r="R140" s="28">
        <f>$B$33</f>
        <v/>
      </c>
      <c r="S140" s="28">
        <f>$B$33</f>
        <v/>
      </c>
      <c r="T140" s="28">
        <f>$B$33</f>
        <v/>
      </c>
      <c r="U140" s="28">
        <f>$B$33</f>
        <v/>
      </c>
      <c r="V140" s="28">
        <f>$B$33</f>
        <v/>
      </c>
      <c r="W140" s="28">
        <f>$B$33</f>
        <v/>
      </c>
      <c r="X140" s="28">
        <f>$B$33</f>
        <v/>
      </c>
      <c r="Y140" s="28">
        <f>$B$33</f>
        <v/>
      </c>
      <c r="Z140" s="28">
        <f>$B$33</f>
        <v/>
      </c>
      <c r="AA140" s="28">
        <f>$B$33</f>
        <v/>
      </c>
      <c r="AB140" s="28">
        <f>$B$33</f>
        <v/>
      </c>
      <c r="AC140" s="28">
        <f>$B$33</f>
        <v/>
      </c>
      <c r="AD140" s="28">
        <f>$B$33</f>
        <v/>
      </c>
      <c r="AE140" s="28">
        <f>$B$33</f>
        <v/>
      </c>
      <c r="AF140" s="28">
        <f>$B$33</f>
        <v/>
      </c>
      <c r="AG140" s="28">
        <f>$B$33</f>
        <v/>
      </c>
      <c r="AH140" s="28">
        <f>$B$33</f>
        <v/>
      </c>
      <c r="AI140" s="28">
        <f>$B$33</f>
        <v/>
      </c>
      <c r="AJ140" s="28">
        <f>$B$33</f>
        <v/>
      </c>
      <c r="AK140" s="28">
        <f>$B$33</f>
        <v/>
      </c>
      <c r="AL140" s="28">
        <f>$B$33</f>
        <v/>
      </c>
      <c r="AM140" s="28">
        <f>$B$33</f>
        <v/>
      </c>
      <c r="AN140" s="28">
        <f>$B$33</f>
        <v/>
      </c>
      <c r="AO140" s="28">
        <f>$B$33</f>
        <v/>
      </c>
      <c r="AP140" s="28">
        <f>$B$33</f>
        <v/>
      </c>
      <c r="AQ140" s="28">
        <f>$B$33</f>
        <v/>
      </c>
      <c r="AR140" s="28">
        <f>$B$33</f>
        <v/>
      </c>
      <c r="AS140" s="28">
        <f>$B$33</f>
        <v/>
      </c>
      <c r="AT140" s="28">
        <f>$B$33</f>
        <v/>
      </c>
      <c r="AU140" s="28">
        <f>$B$33</f>
        <v/>
      </c>
      <c r="AV140" s="28">
        <f>$B$33</f>
        <v/>
      </c>
      <c r="AW140" s="28">
        <f>$B$33</f>
        <v/>
      </c>
      <c r="AX140" s="28">
        <f>$B$33</f>
        <v/>
      </c>
      <c r="AY140" s="28">
        <f>$B$33</f>
        <v/>
      </c>
      <c r="AZ140" s="28">
        <f>$B$33</f>
        <v/>
      </c>
      <c r="BA140" s="28">
        <f>$B$33</f>
        <v/>
      </c>
      <c r="BB140" s="28">
        <f>$B$33</f>
        <v/>
      </c>
    </row>
    <row r="141">
      <c r="A141" s="25" t="inlineStr">
        <is>
          <t xml:space="preserve">  room left</t>
        </is>
      </c>
      <c r="C141" s="28">
        <f>$B$33-C138</f>
        <v/>
      </c>
      <c r="D141" s="28">
        <f>$B$33-D138</f>
        <v/>
      </c>
      <c r="E141" s="28">
        <f>$B$33-E138</f>
        <v/>
      </c>
      <c r="F141" s="28">
        <f>$B$33-F138</f>
        <v/>
      </c>
      <c r="G141" s="28">
        <f>$B$33-G138</f>
        <v/>
      </c>
      <c r="H141" s="28">
        <f>$B$33-H138</f>
        <v/>
      </c>
      <c r="I141" s="28">
        <f>$B$33-I138</f>
        <v/>
      </c>
      <c r="J141" s="28">
        <f>$B$33-J138</f>
        <v/>
      </c>
      <c r="K141" s="28">
        <f>$B$33-K138</f>
        <v/>
      </c>
      <c r="L141" s="28">
        <f>$B$33-L138</f>
        <v/>
      </c>
      <c r="M141" s="28">
        <f>$B$33-M138</f>
        <v/>
      </c>
      <c r="N141" s="28">
        <f>$B$33-N138</f>
        <v/>
      </c>
      <c r="O141" s="28">
        <f>$B$33-O138</f>
        <v/>
      </c>
      <c r="P141" s="28">
        <f>$B$33-P138</f>
        <v/>
      </c>
      <c r="Q141" s="28">
        <f>$B$33-Q138</f>
        <v/>
      </c>
      <c r="R141" s="28">
        <f>$B$33-R138</f>
        <v/>
      </c>
      <c r="S141" s="28">
        <f>$B$33-S138</f>
        <v/>
      </c>
      <c r="T141" s="28">
        <f>$B$33-T138</f>
        <v/>
      </c>
      <c r="U141" s="28">
        <f>$B$33-U138</f>
        <v/>
      </c>
      <c r="V141" s="28">
        <f>$B$33-V138</f>
        <v/>
      </c>
      <c r="W141" s="28">
        <f>$B$33-W138</f>
        <v/>
      </c>
      <c r="X141" s="28">
        <f>$B$33-X138</f>
        <v/>
      </c>
      <c r="Y141" s="28">
        <f>$B$33-Y138</f>
        <v/>
      </c>
      <c r="Z141" s="28">
        <f>$B$33-Z138</f>
        <v/>
      </c>
      <c r="AA141" s="28">
        <f>$B$33-AA138</f>
        <v/>
      </c>
      <c r="AB141" s="28">
        <f>$B$33-AB138</f>
        <v/>
      </c>
      <c r="AC141" s="28">
        <f>$B$33-AC138</f>
        <v/>
      </c>
      <c r="AD141" s="28">
        <f>$B$33-AD138</f>
        <v/>
      </c>
      <c r="AE141" s="28">
        <f>$B$33-AE138</f>
        <v/>
      </c>
      <c r="AF141" s="28">
        <f>$B$33-AF138</f>
        <v/>
      </c>
      <c r="AG141" s="28">
        <f>$B$33-AG138</f>
        <v/>
      </c>
      <c r="AH141" s="28">
        <f>$B$33-AH138</f>
        <v/>
      </c>
      <c r="AI141" s="28">
        <f>$B$33-AI138</f>
        <v/>
      </c>
      <c r="AJ141" s="28">
        <f>$B$33-AJ138</f>
        <v/>
      </c>
      <c r="AK141" s="28">
        <f>$B$33-AK138</f>
        <v/>
      </c>
      <c r="AL141" s="28">
        <f>$B$33-AL138</f>
        <v/>
      </c>
      <c r="AM141" s="28">
        <f>$B$33-AM138</f>
        <v/>
      </c>
      <c r="AN141" s="28">
        <f>$B$33-AN138</f>
        <v/>
      </c>
      <c r="AO141" s="28">
        <f>$B$33-AO138</f>
        <v/>
      </c>
      <c r="AP141" s="28">
        <f>$B$33-AP138</f>
        <v/>
      </c>
      <c r="AQ141" s="28">
        <f>$B$33-AQ138</f>
        <v/>
      </c>
      <c r="AR141" s="28">
        <f>$B$33-AR138</f>
        <v/>
      </c>
      <c r="AS141" s="28">
        <f>$B$33-AS138</f>
        <v/>
      </c>
      <c r="AT141" s="28">
        <f>$B$33-AT138</f>
        <v/>
      </c>
      <c r="AU141" s="28">
        <f>$B$33-AU138</f>
        <v/>
      </c>
      <c r="AV141" s="28">
        <f>$B$33-AV138</f>
        <v/>
      </c>
      <c r="AW141" s="28">
        <f>$B$33-AW138</f>
        <v/>
      </c>
      <c r="AX141" s="28">
        <f>$B$33-AX138</f>
        <v/>
      </c>
      <c r="AY141" s="28">
        <f>$B$33-AY138</f>
        <v/>
      </c>
      <c r="AZ141" s="28">
        <f>$B$33-AZ138</f>
        <v/>
      </c>
      <c r="BA141" s="28">
        <f>$B$33-BA138</f>
        <v/>
      </c>
      <c r="BB141" s="28">
        <f>$B$33-BB138</f>
        <v/>
      </c>
    </row>
    <row r="142">
      <c r="A142" s="4" t="inlineStr">
        <is>
          <t xml:space="preserve">   Holds Spinach, Kale. RED = the app refuses this plan.</t>
        </is>
      </c>
    </row>
    <row r="144">
      <c r="A144" s="22" t="inlineStr">
        <is>
          <t>Week</t>
        </is>
      </c>
      <c r="B144" s="23" t="inlineStr">
        <is>
          <t>m3</t>
        </is>
      </c>
      <c r="C144" s="24" t="n">
        <v>1</v>
      </c>
      <c r="D144" s="24" t="n">
        <v>2</v>
      </c>
      <c r="E144" s="24" t="n">
        <v>3</v>
      </c>
      <c r="F144" s="24" t="n">
        <v>4</v>
      </c>
      <c r="G144" s="24" t="n">
        <v>5</v>
      </c>
      <c r="H144" s="24" t="n">
        <v>6</v>
      </c>
      <c r="I144" s="24" t="n">
        <v>7</v>
      </c>
      <c r="J144" s="24" t="n">
        <v>8</v>
      </c>
      <c r="K144" s="24" t="n">
        <v>9</v>
      </c>
      <c r="L144" s="24" t="n">
        <v>10</v>
      </c>
      <c r="M144" s="24" t="n">
        <v>11</v>
      </c>
      <c r="N144" s="24" t="n">
        <v>12</v>
      </c>
      <c r="O144" s="24" t="n">
        <v>13</v>
      </c>
      <c r="P144" s="24" t="n">
        <v>14</v>
      </c>
      <c r="Q144" s="24" t="n">
        <v>15</v>
      </c>
      <c r="R144" s="24" t="n">
        <v>16</v>
      </c>
      <c r="S144" s="24" t="n">
        <v>17</v>
      </c>
      <c r="T144" s="24" t="n">
        <v>18</v>
      </c>
      <c r="U144" s="24" t="n">
        <v>19</v>
      </c>
      <c r="V144" s="24" t="n">
        <v>20</v>
      </c>
      <c r="W144" s="24" t="n">
        <v>21</v>
      </c>
      <c r="X144" s="24" t="n">
        <v>22</v>
      </c>
      <c r="Y144" s="24" t="n">
        <v>23</v>
      </c>
      <c r="Z144" s="24" t="n">
        <v>24</v>
      </c>
      <c r="AA144" s="24" t="n">
        <v>25</v>
      </c>
      <c r="AB144" s="24" t="n">
        <v>26</v>
      </c>
      <c r="AC144" s="24" t="n">
        <v>27</v>
      </c>
      <c r="AD144" s="24" t="n">
        <v>28</v>
      </c>
      <c r="AE144" s="24" t="n">
        <v>29</v>
      </c>
      <c r="AF144" s="24" t="n">
        <v>30</v>
      </c>
      <c r="AG144" s="24" t="n">
        <v>31</v>
      </c>
      <c r="AH144" s="24" t="n">
        <v>32</v>
      </c>
      <c r="AI144" s="24" t="n">
        <v>33</v>
      </c>
      <c r="AJ144" s="24" t="n">
        <v>34</v>
      </c>
      <c r="AK144" s="24" t="n">
        <v>35</v>
      </c>
      <c r="AL144" s="24" t="n">
        <v>36</v>
      </c>
      <c r="AM144" s="24" t="n">
        <v>37</v>
      </c>
      <c r="AN144" s="24" t="n">
        <v>38</v>
      </c>
      <c r="AO144" s="24" t="n">
        <v>39</v>
      </c>
      <c r="AP144" s="24" t="n">
        <v>40</v>
      </c>
      <c r="AQ144" s="24" t="n">
        <v>41</v>
      </c>
      <c r="AR144" s="24" t="n">
        <v>42</v>
      </c>
      <c r="AS144" s="24" t="n">
        <v>43</v>
      </c>
      <c r="AT144" s="24" t="n">
        <v>44</v>
      </c>
      <c r="AU144" s="24" t="n">
        <v>45</v>
      </c>
      <c r="AV144" s="24" t="n">
        <v>46</v>
      </c>
      <c r="AW144" s="24" t="n">
        <v>47</v>
      </c>
      <c r="AX144" s="24" t="n">
        <v>48</v>
      </c>
      <c r="AY144" s="24" t="n">
        <v>49</v>
      </c>
      <c r="AZ144" s="24" t="n">
        <v>50</v>
      </c>
      <c r="BA144" s="24" t="n">
        <v>51</v>
      </c>
      <c r="BB144" s="24" t="n">
        <v>52</v>
      </c>
    </row>
    <row r="145">
      <c r="A145" s="43" t="inlineStr">
        <is>
          <t>AMBIENT STORE</t>
        </is>
      </c>
      <c r="B145" s="4" t="inlineStr">
        <is>
          <t>used</t>
        </is>
      </c>
      <c r="C145" s="41">
        <f>C131</f>
        <v/>
      </c>
      <c r="D145" s="41">
        <f>D131</f>
        <v/>
      </c>
      <c r="E145" s="41">
        <f>E131</f>
        <v/>
      </c>
      <c r="F145" s="41">
        <f>F131</f>
        <v/>
      </c>
      <c r="G145" s="41">
        <f>G131</f>
        <v/>
      </c>
      <c r="H145" s="41">
        <f>H131</f>
        <v/>
      </c>
      <c r="I145" s="41">
        <f>I131</f>
        <v/>
      </c>
      <c r="J145" s="41">
        <f>J131</f>
        <v/>
      </c>
      <c r="K145" s="41">
        <f>K131</f>
        <v/>
      </c>
      <c r="L145" s="41">
        <f>L131</f>
        <v/>
      </c>
      <c r="M145" s="41">
        <f>M131</f>
        <v/>
      </c>
      <c r="N145" s="41">
        <f>N131</f>
        <v/>
      </c>
      <c r="O145" s="41">
        <f>O131</f>
        <v/>
      </c>
      <c r="P145" s="41">
        <f>P131</f>
        <v/>
      </c>
      <c r="Q145" s="41">
        <f>Q131</f>
        <v/>
      </c>
      <c r="R145" s="41">
        <f>R131</f>
        <v/>
      </c>
      <c r="S145" s="41">
        <f>S131</f>
        <v/>
      </c>
      <c r="T145" s="41">
        <f>T131</f>
        <v/>
      </c>
      <c r="U145" s="41">
        <f>U131</f>
        <v/>
      </c>
      <c r="V145" s="41">
        <f>V131</f>
        <v/>
      </c>
      <c r="W145" s="41">
        <f>W131</f>
        <v/>
      </c>
      <c r="X145" s="41">
        <f>X131</f>
        <v/>
      </c>
      <c r="Y145" s="41">
        <f>Y131</f>
        <v/>
      </c>
      <c r="Z145" s="41">
        <f>Z131</f>
        <v/>
      </c>
      <c r="AA145" s="41">
        <f>AA131</f>
        <v/>
      </c>
      <c r="AB145" s="41">
        <f>AB131</f>
        <v/>
      </c>
      <c r="AC145" s="41">
        <f>AC131</f>
        <v/>
      </c>
      <c r="AD145" s="41">
        <f>AD131</f>
        <v/>
      </c>
      <c r="AE145" s="41">
        <f>AE131</f>
        <v/>
      </c>
      <c r="AF145" s="41">
        <f>AF131</f>
        <v/>
      </c>
      <c r="AG145" s="41">
        <f>AG131</f>
        <v/>
      </c>
      <c r="AH145" s="41">
        <f>AH131</f>
        <v/>
      </c>
      <c r="AI145" s="41">
        <f>AI131</f>
        <v/>
      </c>
      <c r="AJ145" s="41">
        <f>AJ131</f>
        <v/>
      </c>
      <c r="AK145" s="41">
        <f>AK131</f>
        <v/>
      </c>
      <c r="AL145" s="41">
        <f>AL131</f>
        <v/>
      </c>
      <c r="AM145" s="41">
        <f>AM131</f>
        <v/>
      </c>
      <c r="AN145" s="41">
        <f>AN131</f>
        <v/>
      </c>
      <c r="AO145" s="41">
        <f>AO131</f>
        <v/>
      </c>
      <c r="AP145" s="41">
        <f>AP131</f>
        <v/>
      </c>
      <c r="AQ145" s="41">
        <f>AQ131</f>
        <v/>
      </c>
      <c r="AR145" s="41">
        <f>AR131</f>
        <v/>
      </c>
      <c r="AS145" s="41">
        <f>AS131</f>
        <v/>
      </c>
      <c r="AT145" s="41">
        <f>AT131</f>
        <v/>
      </c>
      <c r="AU145" s="41">
        <f>AU131</f>
        <v/>
      </c>
      <c r="AV145" s="41">
        <f>AV131</f>
        <v/>
      </c>
      <c r="AW145" s="41">
        <f>AW131</f>
        <v/>
      </c>
      <c r="AX145" s="41">
        <f>AX131</f>
        <v/>
      </c>
      <c r="AY145" s="41">
        <f>AY131</f>
        <v/>
      </c>
      <c r="AZ145" s="41">
        <f>AZ131</f>
        <v/>
      </c>
      <c r="BA145" s="41">
        <f>BA131</f>
        <v/>
      </c>
      <c r="BB145" s="41">
        <f>BB131</f>
        <v/>
      </c>
    </row>
    <row r="146">
      <c r="A146" s="3" t="inlineStr"/>
      <c r="C146" s="29" t="inlineStr">
        <is>
          <t>&lt;=</t>
        </is>
      </c>
      <c r="D146" s="29" t="inlineStr">
        <is>
          <t>&lt;=</t>
        </is>
      </c>
      <c r="E146" s="29" t="inlineStr">
        <is>
          <t>&lt;=</t>
        </is>
      </c>
      <c r="F146" s="29" t="inlineStr">
        <is>
          <t>&lt;=</t>
        </is>
      </c>
      <c r="G146" s="29" t="inlineStr">
        <is>
          <t>&lt;=</t>
        </is>
      </c>
      <c r="H146" s="29" t="inlineStr">
        <is>
          <t>&lt;=</t>
        </is>
      </c>
      <c r="I146" s="29" t="inlineStr">
        <is>
          <t>&lt;=</t>
        </is>
      </c>
      <c r="J146" s="29" t="inlineStr">
        <is>
          <t>&lt;=</t>
        </is>
      </c>
      <c r="K146" s="29" t="inlineStr">
        <is>
          <t>&lt;=</t>
        </is>
      </c>
      <c r="L146" s="29" t="inlineStr">
        <is>
          <t>&lt;=</t>
        </is>
      </c>
      <c r="M146" s="29" t="inlineStr">
        <is>
          <t>&lt;=</t>
        </is>
      </c>
      <c r="N146" s="29" t="inlineStr">
        <is>
          <t>&lt;=</t>
        </is>
      </c>
      <c r="O146" s="29" t="inlineStr">
        <is>
          <t>&lt;=</t>
        </is>
      </c>
      <c r="P146" s="29" t="inlineStr">
        <is>
          <t>&lt;=</t>
        </is>
      </c>
      <c r="Q146" s="29" t="inlineStr">
        <is>
          <t>&lt;=</t>
        </is>
      </c>
      <c r="R146" s="29" t="inlineStr">
        <is>
          <t>&lt;=</t>
        </is>
      </c>
      <c r="S146" s="29" t="inlineStr">
        <is>
          <t>&lt;=</t>
        </is>
      </c>
      <c r="T146" s="29" t="inlineStr">
        <is>
          <t>&lt;=</t>
        </is>
      </c>
      <c r="U146" s="29" t="inlineStr">
        <is>
          <t>&lt;=</t>
        </is>
      </c>
      <c r="V146" s="29" t="inlineStr">
        <is>
          <t>&lt;=</t>
        </is>
      </c>
      <c r="W146" s="29" t="inlineStr">
        <is>
          <t>&lt;=</t>
        </is>
      </c>
      <c r="X146" s="29" t="inlineStr">
        <is>
          <t>&lt;=</t>
        </is>
      </c>
      <c r="Y146" s="29" t="inlineStr">
        <is>
          <t>&lt;=</t>
        </is>
      </c>
      <c r="Z146" s="29" t="inlineStr">
        <is>
          <t>&lt;=</t>
        </is>
      </c>
      <c r="AA146" s="29" t="inlineStr">
        <is>
          <t>&lt;=</t>
        </is>
      </c>
      <c r="AB146" s="29" t="inlineStr">
        <is>
          <t>&lt;=</t>
        </is>
      </c>
      <c r="AC146" s="29" t="inlineStr">
        <is>
          <t>&lt;=</t>
        </is>
      </c>
      <c r="AD146" s="29" t="inlineStr">
        <is>
          <t>&lt;=</t>
        </is>
      </c>
      <c r="AE146" s="29" t="inlineStr">
        <is>
          <t>&lt;=</t>
        </is>
      </c>
      <c r="AF146" s="29" t="inlineStr">
        <is>
          <t>&lt;=</t>
        </is>
      </c>
      <c r="AG146" s="29" t="inlineStr">
        <is>
          <t>&lt;=</t>
        </is>
      </c>
      <c r="AH146" s="29" t="inlineStr">
        <is>
          <t>&lt;=</t>
        </is>
      </c>
      <c r="AI146" s="29" t="inlineStr">
        <is>
          <t>&lt;=</t>
        </is>
      </c>
      <c r="AJ146" s="29" t="inlineStr">
        <is>
          <t>&lt;=</t>
        </is>
      </c>
      <c r="AK146" s="29" t="inlineStr">
        <is>
          <t>&lt;=</t>
        </is>
      </c>
      <c r="AL146" s="29" t="inlineStr">
        <is>
          <t>&lt;=</t>
        </is>
      </c>
      <c r="AM146" s="29" t="inlineStr">
        <is>
          <t>&lt;=</t>
        </is>
      </c>
      <c r="AN146" s="29" t="inlineStr">
        <is>
          <t>&lt;=</t>
        </is>
      </c>
      <c r="AO146" s="29" t="inlineStr">
        <is>
          <t>&lt;=</t>
        </is>
      </c>
      <c r="AP146" s="29" t="inlineStr">
        <is>
          <t>&lt;=</t>
        </is>
      </c>
      <c r="AQ146" s="29" t="inlineStr">
        <is>
          <t>&lt;=</t>
        </is>
      </c>
      <c r="AR146" s="29" t="inlineStr">
        <is>
          <t>&lt;=</t>
        </is>
      </c>
      <c r="AS146" s="29" t="inlineStr">
        <is>
          <t>&lt;=</t>
        </is>
      </c>
      <c r="AT146" s="29" t="inlineStr">
        <is>
          <t>&lt;=</t>
        </is>
      </c>
      <c r="AU146" s="29" t="inlineStr">
        <is>
          <t>&lt;=</t>
        </is>
      </c>
      <c r="AV146" s="29" t="inlineStr">
        <is>
          <t>&lt;=</t>
        </is>
      </c>
      <c r="AW146" s="29" t="inlineStr">
        <is>
          <t>&lt;=</t>
        </is>
      </c>
      <c r="AX146" s="29" t="inlineStr">
        <is>
          <t>&lt;=</t>
        </is>
      </c>
      <c r="AY146" s="29" t="inlineStr">
        <is>
          <t>&lt;=</t>
        </is>
      </c>
      <c r="AZ146" s="29" t="inlineStr">
        <is>
          <t>&lt;=</t>
        </is>
      </c>
      <c r="BA146" s="29" t="inlineStr">
        <is>
          <t>&lt;=</t>
        </is>
      </c>
      <c r="BB146" s="29" t="inlineStr">
        <is>
          <t>&lt;=</t>
        </is>
      </c>
    </row>
    <row r="147">
      <c r="A147" s="3" t="inlineStr">
        <is>
          <t xml:space="preserve">  limit</t>
        </is>
      </c>
      <c r="B147" s="4" t="inlineStr">
        <is>
          <t>cap</t>
        </is>
      </c>
      <c r="C147" s="28">
        <f>$B$34</f>
        <v/>
      </c>
      <c r="D147" s="28">
        <f>$B$34</f>
        <v/>
      </c>
      <c r="E147" s="28">
        <f>$B$34</f>
        <v/>
      </c>
      <c r="F147" s="28">
        <f>$B$34</f>
        <v/>
      </c>
      <c r="G147" s="28">
        <f>$B$34</f>
        <v/>
      </c>
      <c r="H147" s="28">
        <f>$B$34</f>
        <v/>
      </c>
      <c r="I147" s="28">
        <f>$B$34</f>
        <v/>
      </c>
      <c r="J147" s="28">
        <f>$B$34</f>
        <v/>
      </c>
      <c r="K147" s="28">
        <f>$B$34</f>
        <v/>
      </c>
      <c r="L147" s="28">
        <f>$B$34</f>
        <v/>
      </c>
      <c r="M147" s="28">
        <f>$B$34</f>
        <v/>
      </c>
      <c r="N147" s="28">
        <f>$B$34</f>
        <v/>
      </c>
      <c r="O147" s="28">
        <f>$B$34</f>
        <v/>
      </c>
      <c r="P147" s="28">
        <f>$B$34</f>
        <v/>
      </c>
      <c r="Q147" s="28">
        <f>$B$34</f>
        <v/>
      </c>
      <c r="R147" s="28">
        <f>$B$34</f>
        <v/>
      </c>
      <c r="S147" s="28">
        <f>$B$34</f>
        <v/>
      </c>
      <c r="T147" s="28">
        <f>$B$34</f>
        <v/>
      </c>
      <c r="U147" s="28">
        <f>$B$34</f>
        <v/>
      </c>
      <c r="V147" s="28">
        <f>$B$34</f>
        <v/>
      </c>
      <c r="W147" s="28">
        <f>$B$34</f>
        <v/>
      </c>
      <c r="X147" s="28">
        <f>$B$34</f>
        <v/>
      </c>
      <c r="Y147" s="28">
        <f>$B$34</f>
        <v/>
      </c>
      <c r="Z147" s="28">
        <f>$B$34</f>
        <v/>
      </c>
      <c r="AA147" s="28">
        <f>$B$34</f>
        <v/>
      </c>
      <c r="AB147" s="28">
        <f>$B$34</f>
        <v/>
      </c>
      <c r="AC147" s="28">
        <f>$B$34</f>
        <v/>
      </c>
      <c r="AD147" s="28">
        <f>$B$34</f>
        <v/>
      </c>
      <c r="AE147" s="28">
        <f>$B$34</f>
        <v/>
      </c>
      <c r="AF147" s="28">
        <f>$B$34</f>
        <v/>
      </c>
      <c r="AG147" s="28">
        <f>$B$34</f>
        <v/>
      </c>
      <c r="AH147" s="28">
        <f>$B$34</f>
        <v/>
      </c>
      <c r="AI147" s="28">
        <f>$B$34</f>
        <v/>
      </c>
      <c r="AJ147" s="28">
        <f>$B$34</f>
        <v/>
      </c>
      <c r="AK147" s="28">
        <f>$B$34</f>
        <v/>
      </c>
      <c r="AL147" s="28">
        <f>$B$34</f>
        <v/>
      </c>
      <c r="AM147" s="28">
        <f>$B$34</f>
        <v/>
      </c>
      <c r="AN147" s="28">
        <f>$B$34</f>
        <v/>
      </c>
      <c r="AO147" s="28">
        <f>$B$34</f>
        <v/>
      </c>
      <c r="AP147" s="28">
        <f>$B$34</f>
        <v/>
      </c>
      <c r="AQ147" s="28">
        <f>$B$34</f>
        <v/>
      </c>
      <c r="AR147" s="28">
        <f>$B$34</f>
        <v/>
      </c>
      <c r="AS147" s="28">
        <f>$B$34</f>
        <v/>
      </c>
      <c r="AT147" s="28">
        <f>$B$34</f>
        <v/>
      </c>
      <c r="AU147" s="28">
        <f>$B$34</f>
        <v/>
      </c>
      <c r="AV147" s="28">
        <f>$B$34</f>
        <v/>
      </c>
      <c r="AW147" s="28">
        <f>$B$34</f>
        <v/>
      </c>
      <c r="AX147" s="28">
        <f>$B$34</f>
        <v/>
      </c>
      <c r="AY147" s="28">
        <f>$B$34</f>
        <v/>
      </c>
      <c r="AZ147" s="28">
        <f>$B$34</f>
        <v/>
      </c>
      <c r="BA147" s="28">
        <f>$B$34</f>
        <v/>
      </c>
      <c r="BB147" s="28">
        <f>$B$34</f>
        <v/>
      </c>
    </row>
    <row r="148">
      <c r="A148" s="25" t="inlineStr">
        <is>
          <t xml:space="preserve">  room left</t>
        </is>
      </c>
      <c r="C148" s="28">
        <f>$B$34-C145</f>
        <v/>
      </c>
      <c r="D148" s="28">
        <f>$B$34-D145</f>
        <v/>
      </c>
      <c r="E148" s="28">
        <f>$B$34-E145</f>
        <v/>
      </c>
      <c r="F148" s="28">
        <f>$B$34-F145</f>
        <v/>
      </c>
      <c r="G148" s="28">
        <f>$B$34-G145</f>
        <v/>
      </c>
      <c r="H148" s="28">
        <f>$B$34-H145</f>
        <v/>
      </c>
      <c r="I148" s="28">
        <f>$B$34-I145</f>
        <v/>
      </c>
      <c r="J148" s="28">
        <f>$B$34-J145</f>
        <v/>
      </c>
      <c r="K148" s="28">
        <f>$B$34-K145</f>
        <v/>
      </c>
      <c r="L148" s="28">
        <f>$B$34-L145</f>
        <v/>
      </c>
      <c r="M148" s="28">
        <f>$B$34-M145</f>
        <v/>
      </c>
      <c r="N148" s="28">
        <f>$B$34-N145</f>
        <v/>
      </c>
      <c r="O148" s="28">
        <f>$B$34-O145</f>
        <v/>
      </c>
      <c r="P148" s="28">
        <f>$B$34-P145</f>
        <v/>
      </c>
      <c r="Q148" s="28">
        <f>$B$34-Q145</f>
        <v/>
      </c>
      <c r="R148" s="28">
        <f>$B$34-R145</f>
        <v/>
      </c>
      <c r="S148" s="28">
        <f>$B$34-S145</f>
        <v/>
      </c>
      <c r="T148" s="28">
        <f>$B$34-T145</f>
        <v/>
      </c>
      <c r="U148" s="28">
        <f>$B$34-U145</f>
        <v/>
      </c>
      <c r="V148" s="28">
        <f>$B$34-V145</f>
        <v/>
      </c>
      <c r="W148" s="28">
        <f>$B$34-W145</f>
        <v/>
      </c>
      <c r="X148" s="28">
        <f>$B$34-X145</f>
        <v/>
      </c>
      <c r="Y148" s="28">
        <f>$B$34-Y145</f>
        <v/>
      </c>
      <c r="Z148" s="28">
        <f>$B$34-Z145</f>
        <v/>
      </c>
      <c r="AA148" s="28">
        <f>$B$34-AA145</f>
        <v/>
      </c>
      <c r="AB148" s="28">
        <f>$B$34-AB145</f>
        <v/>
      </c>
      <c r="AC148" s="28">
        <f>$B$34-AC145</f>
        <v/>
      </c>
      <c r="AD148" s="28">
        <f>$B$34-AD145</f>
        <v/>
      </c>
      <c r="AE148" s="28">
        <f>$B$34-AE145</f>
        <v/>
      </c>
      <c r="AF148" s="28">
        <f>$B$34-AF145</f>
        <v/>
      </c>
      <c r="AG148" s="28">
        <f>$B$34-AG145</f>
        <v/>
      </c>
      <c r="AH148" s="28">
        <f>$B$34-AH145</f>
        <v/>
      </c>
      <c r="AI148" s="28">
        <f>$B$34-AI145</f>
        <v/>
      </c>
      <c r="AJ148" s="28">
        <f>$B$34-AJ145</f>
        <v/>
      </c>
      <c r="AK148" s="28">
        <f>$B$34-AK145</f>
        <v/>
      </c>
      <c r="AL148" s="28">
        <f>$B$34-AL145</f>
        <v/>
      </c>
      <c r="AM148" s="28">
        <f>$B$34-AM145</f>
        <v/>
      </c>
      <c r="AN148" s="28">
        <f>$B$34-AN145</f>
        <v/>
      </c>
      <c r="AO148" s="28">
        <f>$B$34-AO145</f>
        <v/>
      </c>
      <c r="AP148" s="28">
        <f>$B$34-AP145</f>
        <v/>
      </c>
      <c r="AQ148" s="28">
        <f>$B$34-AQ145</f>
        <v/>
      </c>
      <c r="AR148" s="28">
        <f>$B$34-AR145</f>
        <v/>
      </c>
      <c r="AS148" s="28">
        <f>$B$34-AS145</f>
        <v/>
      </c>
      <c r="AT148" s="28">
        <f>$B$34-AT145</f>
        <v/>
      </c>
      <c r="AU148" s="28">
        <f>$B$34-AU145</f>
        <v/>
      </c>
      <c r="AV148" s="28">
        <f>$B$34-AV145</f>
        <v/>
      </c>
      <c r="AW148" s="28">
        <f>$B$34-AW145</f>
        <v/>
      </c>
      <c r="AX148" s="28">
        <f>$B$34-AX145</f>
        <v/>
      </c>
      <c r="AY148" s="28">
        <f>$B$34-AY145</f>
        <v/>
      </c>
      <c r="AZ148" s="28">
        <f>$B$34-AZ145</f>
        <v/>
      </c>
      <c r="BA148" s="28">
        <f>$B$34-BA145</f>
        <v/>
      </c>
      <c r="BB148" s="28">
        <f>$B$34-BB145</f>
        <v/>
      </c>
    </row>
    <row r="149">
      <c r="A149" s="4" t="inlineStr">
        <is>
          <t xml:space="preserve">   Holds Garlic. RED = the app refuses this plan.</t>
        </is>
      </c>
    </row>
    <row r="151">
      <c r="A151" s="2" t="inlineStr">
        <is>
          <t>7 — WHAT THIS PLAN DOES</t>
        </is>
      </c>
    </row>
    <row r="152">
      <c r="A152" s="3" t="inlineStr">
        <is>
          <t>Peak COLD store used</t>
        </is>
      </c>
      <c r="B152" s="10">
        <f>MAX(C138:BB138)</f>
        <v/>
      </c>
      <c r="C152" s="4" t="inlineStr">
        <is>
          <t>m3 against 275</t>
        </is>
      </c>
    </row>
    <row r="153">
      <c r="A153" s="3" t="inlineStr">
        <is>
          <t>Peak AMBIENT store used</t>
        </is>
      </c>
      <c r="B153" s="10">
        <f>MAX(C145:BB145)</f>
        <v/>
      </c>
      <c r="C153" s="4" t="inlineStr">
        <is>
          <t>m3 against 150</t>
        </is>
      </c>
    </row>
    <row r="155">
      <c r="A155" t="inlineStr">
        <is>
          <t>Spinach — harvested (gross)</t>
        </is>
      </c>
      <c r="B155" s="27">
        <f>SUM(C60:BB60)</f>
        <v/>
      </c>
      <c r="C155" s="4" t="inlineStr">
        <is>
          <t>lb</t>
        </is>
      </c>
    </row>
    <row r="156">
      <c r="A156" t="inlineStr">
        <is>
          <t>Spinach — packed out</t>
        </is>
      </c>
      <c r="B156" s="27">
        <f>SUM(C62:BB62)</f>
        <v/>
      </c>
      <c r="C156" s="4" t="inlineStr">
        <is>
          <t>lb — what the store has to hold</t>
        </is>
      </c>
    </row>
    <row r="157">
      <c r="A157" s="3" t="inlineStr">
        <is>
          <t xml:space="preserve">   Farmers Market — SOLD</t>
        </is>
      </c>
      <c r="B157" s="44">
        <f>SUM(C68:BB68)</f>
        <v/>
      </c>
      <c r="C157" s="4" t="inlineStr">
        <is>
          <t>lb</t>
        </is>
      </c>
    </row>
    <row r="158">
      <c r="A158" t="inlineStr">
        <is>
          <t xml:space="preserve">   Farmers Market — fill of the cap</t>
        </is>
      </c>
      <c r="B158" s="45">
        <f>IF($C$23="Annual",SUM(C68:BB68)/$D$23,SUM(C68:BB68)/SUM(C66:BB66))</f>
        <v/>
      </c>
      <c r="C158" s="4" t="inlineStr">
        <is>
          <t>of the year's appetite</t>
        </is>
      </c>
    </row>
    <row r="159">
      <c r="A159" t="inlineStr">
        <is>
          <t xml:space="preserve">   Farmers Market — market loss</t>
        </is>
      </c>
      <c r="B159" s="27">
        <f>SUM(C69:BB69)</f>
        <v/>
      </c>
      <c r="C159" s="4" t="inlineStr">
        <is>
          <t>lb gone</t>
        </is>
      </c>
    </row>
    <row r="160">
      <c r="A160" t="inlineStr">
        <is>
          <t xml:space="preserve">   Farmers Market — returned to store</t>
        </is>
      </c>
      <c r="B160" s="27">
        <f>SUM(C70:BB70)</f>
        <v/>
      </c>
      <c r="C160" s="4" t="inlineStr">
        <is>
          <t>lb came home and sold later</t>
        </is>
      </c>
    </row>
    <row r="161">
      <c r="A161" s="3" t="inlineStr">
        <is>
          <t xml:space="preserve">   Wholesale — SOLD</t>
        </is>
      </c>
      <c r="B161" s="44">
        <f>SUM(C74:BB74)</f>
        <v/>
      </c>
      <c r="C161" s="4" t="inlineStr">
        <is>
          <t>lb</t>
        </is>
      </c>
    </row>
    <row r="162">
      <c r="A162" t="inlineStr">
        <is>
          <t xml:space="preserve">   Wholesale — fill of the cap</t>
        </is>
      </c>
      <c r="B162" s="45">
        <f>IF($C$24="Annual",SUM(C74:BB74)/$D$24,SUM(C74:BB74)/SUM(C72:BB72))</f>
        <v/>
      </c>
      <c r="C162" s="4" t="inlineStr">
        <is>
          <t>of the year's appetite</t>
        </is>
      </c>
    </row>
    <row r="163">
      <c r="A163" t="inlineStr">
        <is>
          <t xml:space="preserve">   Wholesale — market loss</t>
        </is>
      </c>
      <c r="B163" s="27">
        <f>SUM(C75:BB75)</f>
        <v/>
      </c>
      <c r="C163" s="4" t="inlineStr">
        <is>
          <t>lb gone</t>
        </is>
      </c>
    </row>
    <row r="164">
      <c r="A164" t="inlineStr">
        <is>
          <t xml:space="preserve">   Wholesale — returned to store</t>
        </is>
      </c>
      <c r="B164" s="27">
        <f>SUM(C76:BB76)</f>
        <v/>
      </c>
      <c r="C164" s="4" t="inlineStr">
        <is>
          <t>lb came home and sold later</t>
        </is>
      </c>
    </row>
    <row r="165">
      <c r="A165" t="inlineStr">
        <is>
          <t>Spinach — left at year end</t>
        </is>
      </c>
      <c r="B165" s="27">
        <f>BB78</f>
        <v/>
      </c>
      <c r="C165" s="4" t="inlineStr">
        <is>
          <t>lb stranded</t>
        </is>
      </c>
    </row>
    <row r="167">
      <c r="A167" t="inlineStr">
        <is>
          <t>Kale — harvested (gross)</t>
        </is>
      </c>
      <c r="B167" s="27">
        <f>SUM(C86:BB86)</f>
        <v/>
      </c>
      <c r="C167" s="4" t="inlineStr">
        <is>
          <t>lb</t>
        </is>
      </c>
    </row>
    <row r="168">
      <c r="A168" t="inlineStr">
        <is>
          <t>Kale — packed out</t>
        </is>
      </c>
      <c r="B168" s="27">
        <f>SUM(C88:BB88)</f>
        <v/>
      </c>
      <c r="C168" s="4" t="inlineStr">
        <is>
          <t>lb — what the store has to hold</t>
        </is>
      </c>
    </row>
    <row r="169">
      <c r="A169" s="3" t="inlineStr">
        <is>
          <t xml:space="preserve">   Farmers Market — SOLD</t>
        </is>
      </c>
      <c r="B169" s="44">
        <f>SUM(C94:BB94)</f>
        <v/>
      </c>
      <c r="C169" s="4" t="inlineStr">
        <is>
          <t>lb</t>
        </is>
      </c>
    </row>
    <row r="170">
      <c r="A170" t="inlineStr">
        <is>
          <t xml:space="preserve">   Farmers Market — fill of the cap</t>
        </is>
      </c>
      <c r="B170" s="45">
        <f>IF($C$25="Annual",SUM(C94:BB94)/$D$25,SUM(C94:BB94)/SUM(C92:BB92))</f>
        <v/>
      </c>
      <c r="C170" s="4" t="inlineStr">
        <is>
          <t>of the year's appetite</t>
        </is>
      </c>
    </row>
    <row r="171">
      <c r="A171" t="inlineStr">
        <is>
          <t xml:space="preserve">   Farmers Market — market loss</t>
        </is>
      </c>
      <c r="B171" s="27">
        <f>SUM(C95:BB95)</f>
        <v/>
      </c>
      <c r="C171" s="4" t="inlineStr">
        <is>
          <t>lb gone</t>
        </is>
      </c>
    </row>
    <row r="172">
      <c r="A172" t="inlineStr">
        <is>
          <t xml:space="preserve">   Farmers Market — returned to store</t>
        </is>
      </c>
      <c r="B172" s="27">
        <f>SUM(C96:BB96)</f>
        <v/>
      </c>
      <c r="C172" s="4" t="inlineStr">
        <is>
          <t>lb came home and sold later</t>
        </is>
      </c>
    </row>
    <row r="173">
      <c r="A173" s="3" t="inlineStr">
        <is>
          <t xml:space="preserve">   Wholesale — SOLD</t>
        </is>
      </c>
      <c r="B173" s="44">
        <f>SUM(C100:BB100)</f>
        <v/>
      </c>
      <c r="C173" s="4" t="inlineStr">
        <is>
          <t>lb</t>
        </is>
      </c>
    </row>
    <row r="174">
      <c r="A174" t="inlineStr">
        <is>
          <t xml:space="preserve">   Wholesale — fill of the cap</t>
        </is>
      </c>
      <c r="B174" s="45">
        <f>IF($C$26="Annual",SUM(C100:BB100)/$D$26,SUM(C100:BB100)/SUM(C98:BB98))</f>
        <v/>
      </c>
      <c r="C174" s="4" t="inlineStr">
        <is>
          <t>of the year's appetite</t>
        </is>
      </c>
    </row>
    <row r="175">
      <c r="A175" t="inlineStr">
        <is>
          <t xml:space="preserve">   Wholesale — market loss</t>
        </is>
      </c>
      <c r="B175" s="27">
        <f>SUM(C101:BB101)</f>
        <v/>
      </c>
      <c r="C175" s="4" t="inlineStr">
        <is>
          <t>lb gone</t>
        </is>
      </c>
    </row>
    <row r="176">
      <c r="A176" t="inlineStr">
        <is>
          <t xml:space="preserve">   Wholesale — returned to store</t>
        </is>
      </c>
      <c r="B176" s="27">
        <f>SUM(C102:BB102)</f>
        <v/>
      </c>
      <c r="C176" s="4" t="inlineStr">
        <is>
          <t>lb came home and sold later</t>
        </is>
      </c>
    </row>
    <row r="177">
      <c r="A177" t="inlineStr">
        <is>
          <t>Kale — left at year end</t>
        </is>
      </c>
      <c r="B177" s="27">
        <f>BB104</f>
        <v/>
      </c>
      <c r="C177" s="4" t="inlineStr">
        <is>
          <t>lb stranded</t>
        </is>
      </c>
    </row>
    <row r="179">
      <c r="A179" t="inlineStr">
        <is>
          <t>Garlic — harvested (gross)</t>
        </is>
      </c>
      <c r="B179" s="27">
        <f>SUM(C112:BB112)</f>
        <v/>
      </c>
      <c r="C179" s="4" t="inlineStr">
        <is>
          <t>lb</t>
        </is>
      </c>
    </row>
    <row r="180">
      <c r="A180" t="inlineStr">
        <is>
          <t>Garlic — packed out</t>
        </is>
      </c>
      <c r="B180" s="27">
        <f>SUM(C114:BB114)</f>
        <v/>
      </c>
      <c r="C180" s="4" t="inlineStr">
        <is>
          <t>lb — what the store has to hold</t>
        </is>
      </c>
    </row>
    <row r="181">
      <c r="A181" s="3" t="inlineStr">
        <is>
          <t xml:space="preserve">   Farmers Market — SOLD</t>
        </is>
      </c>
      <c r="B181" s="44">
        <f>SUM(C120:BB120)</f>
        <v/>
      </c>
      <c r="C181" s="4" t="inlineStr">
        <is>
          <t>lb</t>
        </is>
      </c>
    </row>
    <row r="182">
      <c r="A182" t="inlineStr">
        <is>
          <t xml:space="preserve">   Farmers Market — fill of the cap</t>
        </is>
      </c>
      <c r="B182" s="45">
        <f>IF($C$27="Annual",SUM(C120:BB120)/$D$27,SUM(C120:BB120)/SUM(C118:BB118))</f>
        <v/>
      </c>
      <c r="C182" s="4" t="inlineStr">
        <is>
          <t>of the year's appetite</t>
        </is>
      </c>
    </row>
    <row r="183">
      <c r="A183" t="inlineStr">
        <is>
          <t xml:space="preserve">   Farmers Market — market loss</t>
        </is>
      </c>
      <c r="B183" s="27">
        <f>SUM(C121:BB121)</f>
        <v/>
      </c>
      <c r="C183" s="4" t="inlineStr">
        <is>
          <t>lb gone</t>
        </is>
      </c>
    </row>
    <row r="184">
      <c r="A184" t="inlineStr">
        <is>
          <t xml:space="preserve">   Farmers Market — returned to store</t>
        </is>
      </c>
      <c r="B184" s="27">
        <f>SUM(C122:BB122)</f>
        <v/>
      </c>
      <c r="C184" s="4" t="inlineStr">
        <is>
          <t>lb came home and sold later</t>
        </is>
      </c>
    </row>
    <row r="185">
      <c r="A185" s="3" t="inlineStr">
        <is>
          <t xml:space="preserve">   Wholesale — SOLD</t>
        </is>
      </c>
      <c r="B185" s="44">
        <f>SUM(C126:BB126)</f>
        <v/>
      </c>
      <c r="C185" s="4" t="inlineStr">
        <is>
          <t>lb</t>
        </is>
      </c>
    </row>
    <row r="186">
      <c r="A186" t="inlineStr">
        <is>
          <t xml:space="preserve">   Wholesale — fill of the cap</t>
        </is>
      </c>
      <c r="B186" s="45">
        <f>IF($C$28="Annual",SUM(C126:BB126)/$D$28,SUM(C126:BB126)/SUM(C124:BB124))</f>
        <v/>
      </c>
      <c r="C186" s="4" t="inlineStr">
        <is>
          <t>of the year's appetite</t>
        </is>
      </c>
    </row>
    <row r="187">
      <c r="A187" t="inlineStr">
        <is>
          <t xml:space="preserve">   Wholesale — market loss</t>
        </is>
      </c>
      <c r="B187" s="27">
        <f>SUM(C127:BB127)</f>
        <v/>
      </c>
      <c r="C187" s="4" t="inlineStr">
        <is>
          <t>lb gone</t>
        </is>
      </c>
    </row>
    <row r="188">
      <c r="A188" t="inlineStr">
        <is>
          <t xml:space="preserve">   Wholesale — returned to store</t>
        </is>
      </c>
      <c r="B188" s="27">
        <f>SUM(C128:BB128)</f>
        <v/>
      </c>
      <c r="C188" s="4" t="inlineStr">
        <is>
          <t>lb came home and sold later</t>
        </is>
      </c>
    </row>
    <row r="189">
      <c r="A189" t="inlineStr">
        <is>
          <t>Garlic — left at year end</t>
        </is>
      </c>
      <c r="B189" s="27">
        <f>BB130</f>
        <v/>
      </c>
      <c r="C189" s="4" t="inlineStr">
        <is>
          <t>lb stranded</t>
        </is>
      </c>
    </row>
    <row r="191">
      <c r="A191" s="2" t="inlineStr">
        <is>
          <t>8 — THE OPTIMIZER</t>
        </is>
      </c>
    </row>
    <row r="192">
      <c r="A192" s="4" t="inlineStr">
        <is>
          <t>Everything below is what LibreOffice's Solver needs. Nothing here is typed by you.</t>
        </is>
      </c>
    </row>
    <row r="194">
      <c r="A194" s="3" t="inlineStr">
        <is>
          <t>Revenue</t>
        </is>
      </c>
      <c r="B194" s="46">
        <f>SUM(C68:BB68)*$I$23+SUM(C74:BB74)*$I$24+SUM(C94:BB94)*$I$25+SUM(C100:BB100)*$I$26+SUM(C120:BB120)*$I$27+SUM(C126:BB126)*$I$28</f>
        <v/>
      </c>
      <c r="C194" s="4" t="inlineStr">
        <is>
          <t>pounds sold x price, summed over every crop x channel</t>
        </is>
      </c>
    </row>
    <row r="195">
      <c r="A195" s="3" t="inlineStr">
        <is>
          <t>Growing cost</t>
        </is>
      </c>
      <c r="B195" s="46">
        <f>$B$6*$H$16+$B$7*$H$16+$B$8*$H$17+$B$9*$H$17+$B$10*$H$18</f>
        <v/>
      </c>
      <c r="C195" s="4" t="inlineStr">
        <is>
          <t>acres x growing cost per acre, for every planting</t>
        </is>
      </c>
    </row>
    <row r="196">
      <c r="A196" s="33" t="inlineStr">
        <is>
          <t>PROFIT  (the objective)</t>
        </is>
      </c>
      <c r="B196" s="47">
        <f>B194-B195</f>
        <v/>
      </c>
      <c r="C196" s="3" t="inlineStr">
        <is>
          <t>&lt;-- MAXIMISE THIS CELL</t>
        </is>
      </c>
    </row>
    <row r="198">
      <c r="A198" s="3" t="inlineStr">
        <is>
          <t>Annual caps — total sold vs the year's allowance</t>
        </is>
      </c>
    </row>
    <row r="199">
      <c r="A199" s="25" t="inlineStr">
        <is>
          <t xml:space="preserve">   Kale / Wholesale — sold all year</t>
        </is>
      </c>
      <c r="B199" s="27">
        <f>SUM(C100:BB100)</f>
        <v/>
      </c>
      <c r="C199" s="29" t="inlineStr">
        <is>
          <t>&lt;=</t>
        </is>
      </c>
      <c r="D199" s="27">
        <f>$D$26</f>
        <v/>
      </c>
      <c r="E199" s="4" t="inlineStr">
        <is>
          <t>lb  — this is the app's C6b, the only row an annual-cap pair gets</t>
        </is>
      </c>
    </row>
    <row r="201">
      <c r="A201" s="2" t="inlineStr">
        <is>
          <t>SOLVER SETUP — Tools &gt; Solver</t>
        </is>
      </c>
    </row>
    <row r="202">
      <c r="A202" s="3" t="inlineStr">
        <is>
          <t>Target cell</t>
        </is>
      </c>
      <c r="B202" s="25" t="inlineStr">
        <is>
          <t>$B$196</t>
        </is>
      </c>
      <c r="F202" s="4" t="inlineStr">
        <is>
          <t>set to MAXIMUM</t>
        </is>
      </c>
    </row>
    <row r="203">
      <c r="A203" s="3" t="inlineStr">
        <is>
          <t>By changing cells</t>
        </is>
      </c>
      <c r="B203" s="25" t="inlineStr">
        <is>
          <t>$B$6:$B$10</t>
        </is>
      </c>
      <c r="F203" s="4" t="inlineStr">
        <is>
          <t>the acres — one per planting</t>
        </is>
      </c>
    </row>
    <row r="204">
      <c r="A204" s="25" t="inlineStr">
        <is>
          <t xml:space="preserve">  ...and</t>
        </is>
      </c>
      <c r="B204" s="25" t="inlineStr">
        <is>
          <t>$C$67:$BB$67;$C$73:$BB$73;$C$93:$BB$93;$C$99:$BB$99;$C$119:$BB$119;$C$125:$BB$125</t>
        </is>
      </c>
      <c r="F204" s="4" t="inlineStr">
        <is>
          <t>every OFFERED row (the green cells)</t>
        </is>
      </c>
    </row>
    <row r="205">
      <c r="A205" s="25" t="inlineStr">
        <is>
          <t>Constraint — Spinach/Farmers Market sold &lt;= ceiling</t>
        </is>
      </c>
      <c r="B205" s="25" t="inlineStr">
        <is>
          <t>$C$68:$BB$68  &lt;=  $C$66:$BB$66</t>
        </is>
      </c>
    </row>
    <row r="206">
      <c r="A206" s="25" t="inlineStr">
        <is>
          <t>Constraint — Spinach/Wholesale sold &lt;= ceiling</t>
        </is>
      </c>
      <c r="B206" s="25" t="inlineStr">
        <is>
          <t>$C$74:$BB$74  &lt;=  $C$72:$BB$72</t>
        </is>
      </c>
    </row>
    <row r="207">
      <c r="A207" s="25" t="inlineStr">
        <is>
          <t>Constraint — Kale/Farmers Market sold &lt;= ceiling</t>
        </is>
      </c>
      <c r="B207" s="25" t="inlineStr">
        <is>
          <t>$C$94:$BB$94  &lt;=  $C$92:$BB$92</t>
        </is>
      </c>
    </row>
    <row r="208">
      <c r="A208" s="25" t="inlineStr">
        <is>
          <t>Constraint — Kale/Wholesale sold &lt;= ceiling</t>
        </is>
      </c>
      <c r="B208" s="25" t="inlineStr">
        <is>
          <t>$C$100:$BB$100  &lt;=  $C$98:$BB$98</t>
        </is>
      </c>
    </row>
    <row r="209">
      <c r="A209" s="25" t="inlineStr">
        <is>
          <t>Constraint — Garlic/Farmers Market sold &lt;= ceiling</t>
        </is>
      </c>
      <c r="B209" s="25" t="inlineStr">
        <is>
          <t>$C$120:$BB$120  &lt;=  $C$118:$BB$118</t>
        </is>
      </c>
    </row>
    <row r="210">
      <c r="A210" s="25" t="inlineStr">
        <is>
          <t>Constraint — Garlic/Wholesale sold &lt;= ceiling</t>
        </is>
      </c>
      <c r="B210" s="25" t="inlineStr">
        <is>
          <t>$C$126:$BB$126  &lt;=  $C$124:$BB$124</t>
        </is>
      </c>
    </row>
    <row r="211">
      <c r="A211" s="25" t="inlineStr">
        <is>
          <t>Constraint — Spinach stock never negative</t>
        </is>
      </c>
      <c r="B211" s="25" t="inlineStr">
        <is>
          <t>$C$78:$BB$78  &gt;=  0</t>
        </is>
      </c>
      <c r="F211" s="4" t="inlineStr">
        <is>
          <t>you cannot sell what you do not have</t>
        </is>
      </c>
    </row>
    <row r="212">
      <c r="A212" s="25" t="inlineStr">
        <is>
          <t>Constraint — Kale stock never negative</t>
        </is>
      </c>
      <c r="B212" s="25" t="inlineStr">
        <is>
          <t>$C$104:$BB$104  &gt;=  0</t>
        </is>
      </c>
      <c r="F212" s="4" t="inlineStr">
        <is>
          <t>you cannot sell what you do not have</t>
        </is>
      </c>
    </row>
    <row r="213">
      <c r="A213" s="25" t="inlineStr">
        <is>
          <t>Constraint — Garlic stock never negative</t>
        </is>
      </c>
      <c r="B213" s="25" t="inlineStr">
        <is>
          <t>$C$130:$BB$130  &gt;=  0</t>
        </is>
      </c>
      <c r="F213" s="4" t="inlineStr">
        <is>
          <t>you cannot sell what you do not have</t>
        </is>
      </c>
    </row>
    <row r="214">
      <c r="A214" s="25" t="inlineStr">
        <is>
          <t>Constraint — cold store</t>
        </is>
      </c>
      <c r="B214" s="25" t="inlineStr">
        <is>
          <t>$C$138:$BB$138  &lt;=  $B$33</t>
        </is>
      </c>
    </row>
    <row r="215">
      <c r="A215" s="25" t="inlineStr">
        <is>
          <t>Constraint — ambient store</t>
        </is>
      </c>
      <c r="B215" s="25" t="inlineStr">
        <is>
          <t>$C$145:$BB$145  &lt;=  $B$34</t>
        </is>
      </c>
    </row>
    <row r="216">
      <c r="A216" s="25" t="inlineStr">
        <is>
          <t>Constraint — land</t>
        </is>
      </c>
      <c r="B216" s="25" t="inlineStr">
        <is>
          <t>$C$52:$BB$52  &lt;=  $B$12</t>
        </is>
      </c>
    </row>
    <row r="217">
      <c r="A217" s="25" t="inlineStr">
        <is>
          <t>Constraint — annual cap</t>
        </is>
      </c>
      <c r="B217" s="25" t="inlineStr">
        <is>
          <t>$B$199  &lt;=  $D$199</t>
        </is>
      </c>
    </row>
    <row r="218">
      <c r="A218" s="3" t="inlineStr">
        <is>
          <t>Options</t>
        </is>
      </c>
      <c r="B218" s="25" t="inlineStr">
        <is>
          <t>engine = LibreOffice CoinMP Linear Solver</t>
        </is>
      </c>
      <c r="F218" s="4" t="inlineStr">
        <is>
          <t>tick 'Assume variables as non-negative'</t>
        </is>
      </c>
    </row>
    <row r="219">
      <c r="A219" s="4" t="inlineStr">
        <is>
          <t>16 entries in total — the 780 underlying constraints collapse into ranges.</t>
        </is>
      </c>
    </row>
  </sheetData>
  <conditionalFormatting sqref="C55:BB55">
    <cfRule type="cellIs" priority="1" operator="lessThan" dxfId="0">
      <formula>0</formula>
    </cfRule>
  </conditionalFormatting>
  <conditionalFormatting sqref="C52:BB52">
    <cfRule type="cellIs" priority="2" operator="greaterThan" dxfId="0">
      <formula>$B$12</formula>
    </cfRule>
  </conditionalFormatting>
  <conditionalFormatting sqref="C141:BB141">
    <cfRule type="cellIs" priority="3" operator="lessThan" dxfId="0">
      <formula>0</formula>
    </cfRule>
  </conditionalFormatting>
  <conditionalFormatting sqref="C138:BB138">
    <cfRule type="cellIs" priority="4" operator="greaterThan" dxfId="0">
      <formula>$B$33</formula>
    </cfRule>
  </conditionalFormatting>
  <conditionalFormatting sqref="C148:BB148">
    <cfRule type="cellIs" priority="5" operator="lessThan" dxfId="0">
      <formula>0</formula>
    </cfRule>
  </conditionalFormatting>
  <conditionalFormatting sqref="C145:BB145">
    <cfRule type="cellIs" priority="6" operator="greaterThan" dxfId="0">
      <formula>$B$34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Read from the app — nothing retyped</t>
        </is>
      </c>
    </row>
    <row r="2">
      <c r="A2" s="4" t="inlineStr">
        <is>
          <t>tests/golden/default_farm_payload.json + farm_v2.utils.calendar/demand</t>
        </is>
      </c>
    </row>
    <row r="4">
      <c r="A4" s="22" t="inlineStr">
        <is>
          <t>Field</t>
        </is>
      </c>
      <c r="B4" s="22" t="inlineStr">
        <is>
          <t>Spinach</t>
        </is>
      </c>
      <c r="C4" s="22" t="inlineStr">
        <is>
          <t>Kale</t>
        </is>
      </c>
      <c r="D4" s="22" t="inlineStr">
        <is>
          <t>Garlic</t>
        </is>
      </c>
    </row>
    <row r="5">
      <c r="A5" s="3" t="inlineStr">
        <is>
          <t>yield_per_acre</t>
        </is>
      </c>
      <c r="B5" t="inlineStr">
        <is>
          <t>5000</t>
        </is>
      </c>
      <c r="C5" t="inlineStr">
        <is>
          <t>8000</t>
        </is>
      </c>
      <c r="D5" t="inlineStr">
        <is>
          <t>10000</t>
        </is>
      </c>
    </row>
    <row r="6">
      <c r="A6" s="3" t="inlineStr">
        <is>
          <t>crop_size_m3_per_lb</t>
        </is>
      </c>
      <c r="B6" t="inlineStr">
        <is>
          <t>0.002197967741935484</t>
        </is>
      </c>
      <c r="C6" t="inlineStr">
        <is>
          <t>0.003785388888888889</t>
        </is>
      </c>
      <c r="D6" t="inlineStr">
        <is>
          <t>0.0011953859649122807</t>
        </is>
      </c>
    </row>
    <row r="7">
      <c r="A7" s="3" t="inlineStr">
        <is>
          <t>cold_storage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</row>
    <row r="8">
      <c r="A8" s="3" t="inlineStr">
        <is>
          <t>days_to_maturity</t>
        </is>
      </c>
      <c r="B8" t="inlineStr">
        <is>
          <t>42</t>
        </is>
      </c>
      <c r="C8" t="inlineStr">
        <is>
          <t>60</t>
        </is>
      </c>
      <c r="D8" t="inlineStr">
        <is>
          <t>240</t>
        </is>
      </c>
    </row>
    <row r="9">
      <c r="A9" s="3" t="inlineStr">
        <is>
          <t>planting_weeks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</row>
    <row r="10">
      <c r="A10" s="3" t="inlineStr">
        <is>
          <t>harvest_weeks</t>
        </is>
      </c>
      <c r="B10" t="inlineStr">
        <is>
          <t>2</t>
        </is>
      </c>
      <c r="C10" t="inlineStr">
        <is>
          <t>4</t>
        </is>
      </c>
      <c r="D10" t="inlineStr">
        <is>
          <t>1</t>
        </is>
      </c>
    </row>
    <row r="11">
      <c r="A11" s="3" t="inlineStr">
        <is>
          <t>overwinters</t>
        </is>
      </c>
      <c r="B11" t="inlineStr">
        <is>
          <t>False</t>
        </is>
      </c>
      <c r="C11" t="inlineStr">
        <is>
          <t>False</t>
        </is>
      </c>
      <c r="D11" t="inlineStr">
        <is>
          <t>True</t>
        </is>
      </c>
    </row>
    <row r="13">
      <c r="A13" s="2" t="inlineStr">
        <is>
          <t>Demand caps — via the app's own helpers</t>
        </is>
      </c>
    </row>
    <row r="14">
      <c r="A14" s="22" t="inlineStr">
        <is>
          <t>Crop</t>
        </is>
      </c>
      <c r="B14" s="22" t="inlineStr">
        <is>
          <t>Channel</t>
        </is>
      </c>
      <c r="C14" s="22" t="inlineStr">
        <is>
          <t>Type</t>
        </is>
      </c>
      <c r="D14" s="22" t="inlineStr">
        <is>
          <t>lb</t>
        </is>
      </c>
      <c r="E14" s="22" t="inlineStr">
        <is>
          <t>Weeks</t>
        </is>
      </c>
    </row>
    <row r="15">
      <c r="A15" t="inlineStr">
        <is>
          <t>Spinach</t>
        </is>
      </c>
      <c r="B15" t="inlineStr">
        <is>
          <t>Farmers Market</t>
        </is>
      </c>
      <c r="C15" t="inlineStr">
        <is>
          <t>Weekly</t>
        </is>
      </c>
      <c r="D15" t="n">
        <v>6000</v>
      </c>
      <c r="E15" t="inlineStr">
        <is>
          <t>W10-W48</t>
        </is>
      </c>
    </row>
    <row r="16">
      <c r="A16" t="inlineStr">
        <is>
          <t>Spinach</t>
        </is>
      </c>
      <c r="B16" t="inlineStr">
        <is>
          <t>Wholesale</t>
        </is>
      </c>
      <c r="C16" t="inlineStr">
        <is>
          <t>Weekly</t>
        </is>
      </c>
      <c r="D16" t="n">
        <v>25000</v>
      </c>
      <c r="E16" t="inlineStr">
        <is>
          <t>W1-W52</t>
        </is>
      </c>
    </row>
    <row r="17">
      <c r="A17" t="inlineStr">
        <is>
          <t>Kale</t>
        </is>
      </c>
      <c r="B17" t="inlineStr">
        <is>
          <t>Farmers Market</t>
        </is>
      </c>
      <c r="C17" t="inlineStr">
        <is>
          <t>Weekly</t>
        </is>
      </c>
      <c r="D17" t="n">
        <v>3500</v>
      </c>
      <c r="E17" t="inlineStr">
        <is>
          <t>W10-W50</t>
        </is>
      </c>
    </row>
    <row r="18">
      <c r="A18" t="inlineStr">
        <is>
          <t>Kale</t>
        </is>
      </c>
      <c r="B18" t="inlineStr">
        <is>
          <t>Wholesale</t>
        </is>
      </c>
      <c r="C18" t="inlineStr">
        <is>
          <t>Annual</t>
        </is>
      </c>
      <c r="D18" t="n">
        <v>500000</v>
      </c>
      <c r="E18" t="inlineStr">
        <is>
          <t>W1-W52</t>
        </is>
      </c>
    </row>
    <row r="19">
      <c r="A19" t="inlineStr">
        <is>
          <t>Garlic</t>
        </is>
      </c>
      <c r="B19" t="inlineStr">
        <is>
          <t>Farmers Market</t>
        </is>
      </c>
      <c r="C19" t="inlineStr">
        <is>
          <t>Weekly</t>
        </is>
      </c>
      <c r="D19" t="n">
        <v>2000</v>
      </c>
      <c r="E19" t="inlineStr">
        <is>
          <t>W22-W35</t>
        </is>
      </c>
    </row>
    <row r="20">
      <c r="A20" t="inlineStr">
        <is>
          <t>Garlic</t>
        </is>
      </c>
      <c r="B20" t="inlineStr">
        <is>
          <t>Wholesale</t>
        </is>
      </c>
      <c r="C20" t="inlineStr">
        <is>
          <t>Weekly</t>
        </is>
      </c>
      <c r="D20" t="n">
        <v>30000</v>
      </c>
      <c r="E20" t="inlineStr">
        <is>
          <t>W1-W52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2026-08-30T02:13:14Z</dcterms:created>
  <dcterms:modified xsi:type="dcterms:W3CDTF">2026-08-30T02:13:14Z</dcterms:modified>
</cp:coreProperties>
</file>