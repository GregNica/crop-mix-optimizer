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000000"/>
    <numFmt numFmtId="166" formatCode="0.0%"/>
    <numFmt numFmtId="167" formatCode="$#,##0"/>
    <numFmt numFmtId="168" formatCode="$0.00"/>
    <numFmt numFmtId="169" formatCode="$0.0000"/>
  </numFmts>
  <fonts count="7">
    <font>
      <name val="Calibri"/>
      <family val="2"/>
      <color theme="1"/>
      <sz val="11"/>
      <scheme val="minor"/>
    </font>
    <font>
      <b val="1"/>
      <sz val="15"/>
    </font>
    <font>
      <i val="1"/>
      <color rgb="00666666"/>
      <sz val="9"/>
    </font>
    <font>
      <b val="1"/>
    </font>
    <font>
      <b val="1"/>
      <color rgb="00404040"/>
      <sz val="9"/>
    </font>
    <font>
      <b val="1"/>
      <color rgb="00404040"/>
      <sz val="12"/>
    </font>
    <font>
      <sz val="9"/>
    </font>
  </fonts>
  <fills count="10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D9D2E9"/>
      </patternFill>
    </fill>
    <fill>
      <patternFill patternType="solid">
        <fgColor rgb="00D9D9D9"/>
      </patternFill>
    </fill>
    <fill>
      <patternFill patternType="solid">
        <fgColor rgb="00F7F7F7"/>
      </patternFill>
    </fill>
    <fill>
      <patternFill patternType="solid">
        <fgColor rgb="00EFEFE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164" fontId="0" fillId="2" borderId="1" pivotButton="0" quotePrefix="0" xfId="0"/>
    <xf numFmtId="3" fontId="0" fillId="2" borderId="1" pivotButton="0" quotePrefix="0" xfId="0"/>
    <xf numFmtId="0" fontId="3" fillId="6" borderId="1" pivotButton="0" quotePrefix="0" xfId="0"/>
    <xf numFmtId="0" fontId="0" fillId="0" borderId="1" pivotButton="0" quotePrefix="0" xfId="0"/>
    <xf numFmtId="2" fontId="0" fillId="2" borderId="1" pivotButton="0" quotePrefix="0" xfId="0"/>
    <xf numFmtId="165" fontId="0" fillId="2" borderId="1" pivotButton="0" quotePrefix="0" xfId="0"/>
    <xf numFmtId="0" fontId="0" fillId="7" borderId="1" pivotButton="0" quotePrefix="0" xfId="0"/>
    <xf numFmtId="0" fontId="0" fillId="2" borderId="1" pivotButton="0" quotePrefix="0" xfId="0"/>
    <xf numFmtId="166" fontId="0" fillId="2" borderId="1" pivotButton="0" quotePrefix="0" xfId="0"/>
    <xf numFmtId="167" fontId="0" fillId="2" borderId="1" pivotButton="0" quotePrefix="0" xfId="0"/>
    <xf numFmtId="1" fontId="0" fillId="0" borderId="1" pivotButton="0" quotePrefix="0" xfId="0"/>
    <xf numFmtId="168" fontId="0" fillId="2" borderId="1" pivotButton="0" quotePrefix="0" xfId="0"/>
    <xf numFmtId="0" fontId="0" fillId="8" borderId="1" pivotButton="0" quotePrefix="0" xfId="0"/>
    <xf numFmtId="1" fontId="0" fillId="2" borderId="1" pivotButton="0" quotePrefix="0" xfId="0"/>
    <xf numFmtId="1" fontId="0" fillId="3" borderId="1" pivotButton="0" quotePrefix="0" xfId="0"/>
    <xf numFmtId="1" fontId="0" fillId="4" borderId="1" pivotButton="0" quotePrefix="0" xfId="0"/>
    <xf numFmtId="9" fontId="0" fillId="2" borderId="1" pivotButton="0" quotePrefix="0" xfId="0"/>
    <xf numFmtId="169" fontId="0" fillId="2" borderId="1" pivotButton="0" quotePrefix="0" xfId="0"/>
    <xf numFmtId="0" fontId="3" fillId="3" borderId="0" pivotButton="0" quotePrefix="0" xfId="0"/>
    <xf numFmtId="0" fontId="6" fillId="0" borderId="0" pivotButton="0" quotePrefix="0" xfId="0"/>
    <xf numFmtId="164" fontId="0" fillId="0" borderId="1" pivotButton="0" quotePrefix="0" xfId="0"/>
    <xf numFmtId="169" fontId="0" fillId="0" borderId="1" pivotButton="0" quotePrefix="0" xfId="0"/>
    <xf numFmtId="169" fontId="0" fillId="4" borderId="1" pivotButton="0" quotePrefix="0" xfId="0"/>
    <xf numFmtId="0" fontId="3" fillId="6" borderId="0" pivotButton="0" quotePrefix="0" xfId="0"/>
    <xf numFmtId="0" fontId="2" fillId="6" borderId="0" pivotButton="0" quotePrefix="0" xfId="0"/>
    <xf numFmtId="0" fontId="3" fillId="6" borderId="0" applyAlignment="1" pivotButton="0" quotePrefix="0" xfId="0">
      <alignment horizontal="center"/>
    </xf>
    <xf numFmtId="3" fontId="0" fillId="3" borderId="0" pivotButton="0" quotePrefix="0" xfId="0"/>
    <xf numFmtId="3" fontId="0" fillId="0" borderId="0" pivotButton="0" quotePrefix="0" xfId="0"/>
    <xf numFmtId="0" fontId="3" fillId="4" borderId="0" pivotButton="0" quotePrefix="0" xfId="0"/>
    <xf numFmtId="3" fontId="0" fillId="4" borderId="0" pivotButton="0" quotePrefix="0" xfId="0"/>
    <xf numFmtId="0" fontId="6" fillId="4" borderId="0" pivotButton="0" quotePrefix="0" xfId="0"/>
    <xf numFmtId="0" fontId="6" fillId="6" borderId="0" pivotButton="0" quotePrefix="0" xfId="0"/>
    <xf numFmtId="2" fontId="0" fillId="3" borderId="0" pivotButton="0" quotePrefix="0" xfId="0"/>
    <xf numFmtId="1" fontId="0" fillId="3" borderId="0" pivotButton="0" quotePrefix="0" xfId="0"/>
    <xf numFmtId="0" fontId="6" fillId="9" borderId="0" applyAlignment="1" pivotButton="0" quotePrefix="0" xfId="0">
      <alignment horizontal="center"/>
    </xf>
    <xf numFmtId="164" fontId="6" fillId="0" borderId="0" pivotButton="0" quotePrefix="0" xfId="0"/>
    <xf numFmtId="1" fontId="6" fillId="0" borderId="0" pivotButton="0" quotePrefix="0" xfId="0"/>
    <xf numFmtId="164" fontId="0" fillId="4" borderId="0" pivotButton="0" quotePrefix="0" xfId="0"/>
    <xf numFmtId="0" fontId="3" fillId="0" borderId="0" applyAlignment="1" pivotButton="0" quotePrefix="0" xfId="0">
      <alignment horizontal="center"/>
    </xf>
    <xf numFmtId="0" fontId="0" fillId="7" borderId="0" pivotButton="0" quotePrefix="0" xfId="0"/>
    <xf numFmtId="3" fontId="0" fillId="7" borderId="0" pivotButton="0" quotePrefix="0" xfId="0"/>
    <xf numFmtId="0" fontId="3" fillId="7" borderId="0" pivotButton="0" quotePrefix="0" xfId="0"/>
    <xf numFmtId="3" fontId="0" fillId="8" borderId="0" pivotButton="0" quotePrefix="0" xfId="0"/>
    <xf numFmtId="0" fontId="3" fillId="8" borderId="0" pivotButton="0" quotePrefix="0" xfId="0"/>
    <xf numFmtId="164" fontId="0" fillId="7" borderId="0" pivotButton="0" quotePrefix="0" xfId="0"/>
    <xf numFmtId="0" fontId="0" fillId="8" borderId="0" pivotButton="0" quotePrefix="0" xfId="0"/>
    <xf numFmtId="164" fontId="0" fillId="8" borderId="0" pivotButton="0" quotePrefix="0" xfId="0"/>
    <xf numFmtId="167" fontId="3" fillId="0" borderId="0" pivotButton="0" quotePrefix="0" xfId="0"/>
    <xf numFmtId="0" fontId="3" fillId="5" borderId="0" pivotButton="0" quotePrefix="0" xfId="0"/>
    <xf numFmtId="167" fontId="3" fillId="5" borderId="0" pivotButton="0" quotePrefix="0" xfId="0"/>
    <xf numFmtId="1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Farm toy model — v11: ONE LABOUR MECHANISM — THE ROSTER</t>
        </is>
      </c>
    </row>
    <row r="2">
      <c r="A2" s="2" t="inlineStr">
        <is>
          <t>BUILT 2026-10-19 11:08   (from source at commit 49e9c65)</t>
        </is>
      </c>
    </row>
    <row r="3">
      <c r="A3" s="2" t="inlineStr">
        <is>
          <t>If that timestamp is older than the change you are looking for, you have a stale copy —</t>
        </is>
      </c>
    </row>
    <row r="4">
      <c r="A4" s="2" t="inlineStr">
        <is>
          <t>close the file and re-open it from WSL rather than from a recent-files list.</t>
        </is>
      </c>
    </row>
    <row r="5">
      <c r="A5" t="inlineStr"/>
    </row>
    <row r="6">
      <c r="A6" s="3" t="inlineStr">
        <is>
          <t>WHAT v11 CHANGES — labour is now ONE mechanism: the roster</t>
        </is>
      </c>
    </row>
    <row r="7">
      <c r="A7" t="inlineStr">
        <is>
          <t>v10 invented a separate 'proposed hire' block with its own window, wage, hours and field% —</t>
        </is>
      </c>
    </row>
    <row r="8">
      <c r="A8" t="inlineStr">
        <is>
          <t>eight inputs to re-describe something the roster already described. That was the same error</t>
        </is>
      </c>
    </row>
    <row r="9">
      <c r="A9" t="inlineStr">
        <is>
          <t>v9 made with spot hire, one version later. It is gone.</t>
        </is>
      </c>
    </row>
    <row r="10">
      <c r="A10" t="inlineStr"/>
    </row>
    <row r="11">
      <c r="A11" s="4" t="inlineStr">
        <is>
          <t xml:space="preserve">     profit $472,091 (v10) -&gt; $480,661      revenue $2,134,506      margin 22.5%</t>
        </is>
      </c>
    </row>
    <row r="12">
      <c r="A12" s="4" t="inlineStr">
        <is>
          <t xml:space="preserve">     overtime Equipment Operator 71 h / Seasonal Field Crew 15 h      extra heads: none</t>
        </is>
      </c>
    </row>
    <row r="13">
      <c r="A13" s="4" t="inlineStr">
        <is>
          <t xml:space="preserve">     piece rate $47,388 for 241,155 lb, relieving 2,162 harvest hours</t>
        </is>
      </c>
    </row>
    <row r="14">
      <c r="A14" t="inlineStr"/>
    </row>
    <row r="15">
      <c r="A15" s="4" t="inlineStr">
        <is>
          <t>1. HIRING IS 'MORE OF A ROLE YOU ALREADY LISTED'.</t>
        </is>
      </c>
    </row>
    <row r="16">
      <c r="A16" t="inlineStr">
        <is>
          <t xml:space="preserve">   Three columns on the crew table: Hire more? / Max more / EXTRA HIRED. Extra heads inherit</t>
        </is>
      </c>
    </row>
    <row r="17">
      <c r="A17" t="inlineStr">
        <is>
          <t xml:space="preserve">   that row's wage, hours, field% AND window — nothing new is entered anywhere. The answer</t>
        </is>
      </c>
    </row>
    <row r="18">
      <c r="A18" t="inlineStr">
        <is>
          <t xml:space="preserve">   is a roster edit: 'change this Count from 8 to 11'.</t>
        </is>
      </c>
    </row>
    <row r="19">
      <c r="A19" t="inlineStr">
        <is>
          <t xml:space="preserve">   Different weeks, or a different wage? Add a NEW ROW with the same title. A different</t>
        </is>
      </c>
    </row>
    <row r="20">
      <c r="A20" t="inlineStr">
        <is>
          <t xml:space="preserve">   window is a different job offer, not a variation on this one.</t>
        </is>
      </c>
    </row>
    <row r="21">
      <c r="A21" t="inlineStr">
        <is>
          <t xml:space="preserve">   No committed staff of a role but curious? Count 0, Hire more Y, set the weeks.</t>
        </is>
      </c>
    </row>
    <row r="22">
      <c r="A22" t="inlineStr">
        <is>
          <t xml:space="preserve">   ⚠️ The answer is often ZERO, and that is the finding: a head added to a 27-week crew is</t>
        </is>
      </c>
    </row>
    <row r="23">
      <c r="A23" t="inlineStr">
        <is>
          <t xml:space="preserve">   27 weeks of wages to buy hours you need in a handful of them.</t>
        </is>
      </c>
    </row>
    <row r="24">
      <c r="A24" t="inlineStr"/>
    </row>
    <row r="25">
      <c r="A25" s="4" t="inlineStr">
        <is>
          <t>2. OVERTIME IS PER ROLE. THERE IS NO BLENDED RATE ANYWHERE.</t>
        </is>
      </c>
    </row>
    <row r="26">
      <c r="A26" t="inlineStr">
        <is>
          <t xml:space="preserve">   Equipment Operator $48.75 / Seasonal Field Crew $37.50 / Harvest Crew $35.62</t>
        </is>
      </c>
    </row>
    <row r="27">
      <c r="A27" t="inlineStr">
        <is>
          <t xml:space="preserve">   Once the solver can also hire extra heads, a blended rate depends on a decision variable</t>
        </is>
      </c>
    </row>
    <row r="28">
      <c r="A28" t="inlineStr">
        <is>
          <t xml:space="preserve">   and 'hours x blend' stops being linear. Per role the rate is that role's own wage x load</t>
        </is>
      </c>
    </row>
    <row r="29">
      <c r="A29" t="inlineStr">
        <is>
          <t xml:space="preserve">   x multiplier — a constant, because the wage is an input. So the model stays an LP AND it</t>
        </is>
      </c>
    </row>
    <row r="30">
      <c r="A30" t="inlineStr">
        <is>
          <t xml:space="preserve">   gets better: with one blend an overtime hour costs the same whoever works it, so the plan</t>
        </is>
      </c>
    </row>
    <row r="31">
      <c r="A31" t="inlineStr">
        <is>
          <t xml:space="preserve">   could not prefer the cheap one, or tell you WHO to ask to stay late.</t>
        </is>
      </c>
    </row>
    <row r="32">
      <c r="A32" t="inlineStr"/>
    </row>
    <row r="33">
      <c r="A33" s="4" t="inlineStr">
        <is>
          <t>3. A PIECE-RATE HARVEST CREW, PAID PER POUND.</t>
        </is>
      </c>
    </row>
    <row r="34">
      <c r="A34" t="inlineStr">
        <is>
          <t xml:space="preserve">   Everything else here is COMMITTED labour — owed whether the crops need it or not. This is</t>
        </is>
      </c>
    </row>
    <row r="35">
      <c r="A35" t="inlineStr">
        <is>
          <t xml:space="preserve">   the opposite: you pay for what they pick and nothing when there is nothing to pick, which</t>
        </is>
      </c>
    </row>
    <row r="36">
      <c r="A36" t="inlineStr">
        <is>
          <t xml:space="preserve">   is why it lands in COGS and not the wage bill.</t>
        </is>
      </c>
    </row>
    <row r="37">
      <c r="A37" t="inlineStr">
        <is>
          <t xml:space="preserve">   You set the weeks, the crew's HOURS per week, and a rate PER CROP. The solver picks</t>
        </is>
      </c>
    </row>
    <row r="38">
      <c r="A38" t="inlineStr">
        <is>
          <t xml:space="preserve">   which crops, how much, and when.</t>
        </is>
      </c>
    </row>
    <row r="39">
      <c r="A39" t="inlineStr">
        <is>
          <t xml:space="preserve">   ⚠️ CAPACITY IS HOURS, NOT POUNDS, and the grower found why. A crew picks pounds at a rate</t>
        </is>
      </c>
    </row>
    <row r="40">
      <c r="A40" t="inlineStr">
        <is>
          <t xml:space="preserve">   that differs 3.6x by crop, so one pound number is a crew that resizes with the crop:</t>
        </is>
      </c>
    </row>
    <row r="41">
      <c r="A41" t="inlineStr">
        <is>
          <t xml:space="preserve">   20,000 lb/wk is 200 hours of spinach, 150 of garlic, 55 of kale. It distorted the answer</t>
        </is>
      </c>
    </row>
    <row r="42">
      <c r="A42" t="inlineStr">
        <is>
          <t xml:space="preserve">   too — a pound cap rewards hours-per-pound, so it picked spinach over the cheaper garlic</t>
        </is>
      </c>
    </row>
    <row r="43">
      <c r="A43" t="inlineStr">
        <is>
          <t xml:space="preserve">   relief ($18.74/hr against $20.71). Moving it to hours triples the garlic picked.</t>
        </is>
      </c>
    </row>
    <row r="44">
      <c r="A44" t="inlineStr"/>
    </row>
    <row r="45">
      <c r="A45" t="inlineStr">
        <is>
          <t xml:space="preserve">   ⚠️ RATES DIFFER BY CROP, AND THE LAW IS WHY. A piece-rate worker must still earn the</t>
        </is>
      </c>
    </row>
    <row r="46">
      <c r="A46" t="inlineStr">
        <is>
          <t xml:space="preserve">   minimum wage for the hours worked; if the rate falls short the employer makes up the</t>
        </is>
      </c>
    </row>
    <row r="47">
      <c r="A47" t="inlineStr">
        <is>
          <t xml:space="preserve">   difference (FLSA — the AEWR under H-2A). Converted to $/lb that floor depends entirely on</t>
        </is>
      </c>
    </row>
    <row r="48">
      <c r="A48" t="inlineStr">
        <is>
          <t xml:space="preserve">   how fast the crop picks: spinach $0.161/lb against kale $0.044/lb, a 3.6x spread from</t>
        </is>
      </c>
    </row>
    <row r="49">
      <c r="A49" t="inlineStr">
        <is>
          <t xml:space="preserve">   picking difficulty alone. A rate entered BELOW its floor is inoperative — you pay the</t>
        </is>
      </c>
    </row>
    <row r="50">
      <c r="A50" t="inlineStr">
        <is>
          <t xml:space="preserve">   floor — and the 'which binds' column says so. Garlic's shipped rate is below its floor on</t>
        </is>
      </c>
    </row>
    <row r="51">
      <c r="A51" t="inlineStr">
        <is>
          <t xml:space="preserve">   purpose, so you can see it happen.</t>
        </is>
      </c>
    </row>
    <row r="52">
      <c r="A52" t="inlineStr"/>
    </row>
    <row r="53">
      <c r="A53" t="inlineStr">
        <is>
          <t xml:space="preserve">   ⚠️ THE PIECE-RATE CREW CHANGES THE HOURS YOU NEED, NOT THE WAGES YOU OWE. The committed</t>
        </is>
      </c>
    </row>
    <row r="54">
      <c r="A54" t="inlineStr">
        <is>
          <t xml:space="preserve">   crew is paid either way. Pounds picked convert to harvest hours relieved at each crop's</t>
        </is>
      </c>
    </row>
    <row r="55">
      <c r="A55" t="inlineStr">
        <is>
          <t xml:space="preserve">   own yield / harvest-hours — and the relief is capped by the harvest hours actually</t>
        </is>
      </c>
    </row>
    <row r="56">
      <c r="A56" t="inlineStr">
        <is>
          <t xml:space="preserve">   needed, or pickers would be relieving the planting.</t>
        </is>
      </c>
    </row>
    <row r="57">
      <c r="A57" t="inlineStr"/>
    </row>
    <row r="58">
      <c r="A58" t="inlineStr">
        <is>
          <t xml:space="preserve">   Enter the rate as $ PER BUSHEL. The sheet converts with the crop's own m3-per-lb — the</t>
        </is>
      </c>
    </row>
    <row r="59">
      <c r="A59" t="inlineStr">
        <is>
          <t xml:space="preserve">   same number the storage rows use. ⚠️ That conversion is also a CHECK: 'lb per bushel' is</t>
        </is>
      </c>
    </row>
    <row r="60">
      <c r="A60" t="inlineStr">
        <is>
          <t xml:space="preserve">   something you can weigh, where m3-per-lb is not. A bushel of kale is about 18 lb in the</t>
        </is>
      </c>
    </row>
    <row r="61">
      <c r="A61" t="inlineStr">
        <is>
          <t xml:space="preserve">   trade; if this sheet says 9, the volume figure is wrong and the cooler is mis-sized too.</t>
        </is>
      </c>
    </row>
    <row r="62">
      <c r="A62" t="inlineStr">
        <is>
          <t xml:space="preserve">   See backlog L6.</t>
        </is>
      </c>
    </row>
    <row r="63">
      <c r="A63" t="inlineStr"/>
    </row>
    <row r="64">
      <c r="A64" s="3" t="inlineStr">
        <is>
          <t>WHAT v7 ADDED — labour, which is TWO things at once</t>
        </is>
      </c>
    </row>
    <row r="65">
      <c r="A65" t="inlineStr"/>
    </row>
    <row r="66">
      <c r="A66" s="4" t="inlineStr">
        <is>
          <t>1. A COMMITTED COST. Every listed worker is paid for their stated hours whether or not the</t>
        </is>
      </c>
    </row>
    <row r="67">
      <c r="A67" t="inlineStr">
        <is>
          <t xml:space="preserve">   crops need them. So there is NO per-acre labour charge anywhere on this sheet — the</t>
        </is>
      </c>
    </row>
    <row r="68">
      <c r="A68" t="inlineStr">
        <is>
          <t xml:space="preserve">   marginal crop hour is FREE, and it is rationed by capacity instead of priced. That is the</t>
        </is>
      </c>
    </row>
    <row r="69">
      <c r="A69" t="inlineStr">
        <is>
          <t xml:space="preserve">   app's W12, and it is the single largest correction the real model has ever made.</t>
        </is>
      </c>
    </row>
    <row r="70">
      <c r="A70" t="inlineStr"/>
    </row>
    <row r="71">
      <c r="A71" s="4" t="inlineStr">
        <is>
          <t>2. A CAPACITY LIMIT. Crop hours in a week cannot exceed what the crew can give. The app's</t>
        </is>
      </c>
    </row>
    <row r="72">
      <c r="A72" t="inlineStr">
        <is>
          <t xml:space="preserve">   C2 — and on this farm it is the constraint that binds hardest, in 22 of 52 weeks.</t>
        </is>
      </c>
    </row>
    <row r="73">
      <c r="A73" t="inlineStr"/>
    </row>
    <row r="74">
      <c r="A74" s="3" t="inlineStr">
        <is>
          <t>AND THE WAGE BILL HAS A SHAPE</t>
        </is>
      </c>
    </row>
    <row r="75">
      <c r="A75" s="4" t="inlineStr">
        <is>
          <t xml:space="preserve">     winter $4,884/wk        peak $24,484/wk        $855,150 for the year</t>
        </is>
      </c>
    </row>
    <row r="76">
      <c r="A76" s="4" t="inlineStr">
        <is>
          <t xml:space="preserve">     crew capacity 108 hrs/wk in winter, 908 at peak</t>
        </is>
      </c>
    </row>
    <row r="77">
      <c r="A77" t="inlineStr">
        <is>
          <t>Flattening that to an annual average understated the app's own cash floor by $115,615, which</t>
        </is>
      </c>
    </row>
    <row r="78">
      <c r="A78" t="inlineStr">
        <is>
          <t>is why it is modelled week by week here rather than as one number.</t>
        </is>
      </c>
    </row>
    <row r="79">
      <c r="A79" t="inlineStr"/>
    </row>
    <row r="80">
      <c r="A80" s="3" t="inlineStr">
        <is>
          <t>WHAT IT DOES TO THE ANSWER</t>
        </is>
      </c>
    </row>
    <row r="81">
      <c r="A81" s="4" t="inlineStr">
        <is>
          <t xml:space="preserve">     profit $1,654,922 -&gt; $480,661        net margin 22.5%</t>
        </is>
      </c>
    </row>
    <row r="82">
      <c r="A82" t="inlineStr">
        <is>
          <t>Revenue falls too — $2,134,506 against v6's $2,558,846 — and that is the important half. Labour</t>
        </is>
      </c>
    </row>
    <row r="83">
      <c r="A83" t="inlineStr">
        <is>
          <t>does not merely TAX the plan, it RESHAPES it: the crew cannot pick everything the ground</t>
        </is>
      </c>
    </row>
    <row r="84">
      <c r="A84" t="inlineStr">
        <is>
          <t>could grow, so acres the land would happily carry are simply not worth planting.</t>
        </is>
      </c>
    </row>
    <row r="85">
      <c r="A85" t="inlineStr"/>
    </row>
    <row r="86">
      <c r="A86" t="inlineStr">
        <is>
          <t>Net margin 22.5% is finally in the same postcode as a real diversified-veg farm (5-15%),</t>
        </is>
      </c>
    </row>
    <row r="87">
      <c r="A87" t="inlineStr">
        <is>
          <t>having read 64.7% in v6. Labour was most of the gap.</t>
        </is>
      </c>
    </row>
    <row r="88">
      <c r="A88" t="inlineStr"/>
    </row>
    <row r="89">
      <c r="A89" s="3" t="inlineStr">
        <is>
          <t>!! THE FINDING WORTH TAKING AWAY</t>
        </is>
      </c>
    </row>
    <row r="90">
      <c r="A90" t="inlineStr">
        <is>
          <t>Committed wages create a MINIMUM CASH REQUIREMENT that no plan can avoid. This farm owes</t>
        </is>
      </c>
    </row>
    <row r="91">
      <c r="A91" t="inlineStr">
        <is>
          <t>$4,884 a week from January with nothing to sell until spring — $56,676 goes out before a</t>
        </is>
      </c>
    </row>
    <row r="92">
      <c r="A92" t="inlineStr">
        <is>
          <t>dollar comes in. Measured: below roughly $80,000-$100,000 of opening cash plus credit, there</t>
        </is>
      </c>
    </row>
    <row r="93">
      <c r="A93" t="inlineStr">
        <is>
          <t>is NO feasible plan at all. Not a worse plan — none.</t>
        </is>
      </c>
    </row>
    <row r="94">
      <c r="A94" t="inlineStr"/>
    </row>
    <row r="95">
      <c r="A95" t="inlineStr">
        <is>
          <t>And above that threshold profit is IDENTICAL at every cash level. So cash does not shape the</t>
        </is>
      </c>
    </row>
    <row r="96">
      <c r="A96" t="inlineStr">
        <is>
          <t>plan here; it decides whether you may have one. Those are different questions and a single</t>
        </is>
      </c>
    </row>
    <row r="97">
      <c r="A97" t="inlineStr">
        <is>
          <t>profit figure hides which one you are asking.</t>
        </is>
      </c>
    </row>
    <row r="98">
      <c r="A98" t="inlineStr"/>
    </row>
    <row r="99">
      <c r="A99" s="3" t="inlineStr">
        <is>
          <t>INTEREST IS REPORTED, NOT OPTIMISED OVER</t>
        </is>
      </c>
    </row>
    <row r="100">
      <c r="A100" t="inlineStr">
        <is>
          <t>Peak borrowing $47,608, interest $366 — APR on the AVERAGE amount the credit line</t>
        </is>
      </c>
    </row>
    <row r="101">
      <c r="A101" t="inlineStr">
        <is>
          <t>carries, which is the app's own post-solve formula.</t>
        </is>
      </c>
    </row>
    <row r="102">
      <c r="A102" t="inlineStr"/>
    </row>
    <row r="103">
      <c r="A103" t="inlineStr">
        <is>
          <t>It sits OUTSIDE the objective deliberately, because that is what the app does: the plan is</t>
        </is>
      </c>
    </row>
    <row r="104">
      <c r="A104" t="inlineStr">
        <is>
          <t>chosen first and the borrowing it implies is priced afterwards. The consequence is worth</t>
        </is>
      </c>
    </row>
    <row r="105">
      <c r="A105" t="inlineStr">
        <is>
          <t>knowing — the solver has no reason to shift sales earlier to borrow less, so interest is a</t>
        </is>
      </c>
    </row>
    <row r="106">
      <c r="A106" t="inlineStr">
        <is>
          <t>REPORT here rather than a lever. On this farm it is trivial ($366); on a farm that</t>
        </is>
      </c>
    </row>
    <row r="107">
      <c r="A107" t="inlineStr">
        <is>
          <t>borrows through a long winter it would not be.</t>
        </is>
      </c>
    </row>
    <row r="108">
      <c r="A108" t="inlineStr"/>
    </row>
    <row r="109">
      <c r="A109" s="3" t="inlineStr">
        <is>
          <t>INTEREST IS REPORTED, NOT OPTIMISED OVER</t>
        </is>
      </c>
    </row>
    <row r="110">
      <c r="A110" t="inlineStr">
        <is>
          <t>Peak borrowing $47,608, interest $366 — small here, and the reason is worth knowing.</t>
        </is>
      </c>
    </row>
    <row r="111">
      <c r="A111" t="inlineStr">
        <is>
          <t>The plan is chosen FIRST and the borrowing it implies is priced afterwards, so the solver has</t>
        </is>
      </c>
    </row>
    <row r="112">
      <c r="A112" t="inlineStr">
        <is>
          <t>no reason to shift sales earlier to borrow less. That is the app's own simplification and the</t>
        </is>
      </c>
    </row>
    <row r="113">
      <c r="A113" t="inlineStr">
        <is>
          <t>toy inherits it deliberately rather than diverging: a toy that models cash better than the</t>
        </is>
      </c>
    </row>
    <row r="114">
      <c r="A114" t="inlineStr">
        <is>
          <t>thing it is checking cannot check it.</t>
        </is>
      </c>
    </row>
    <row r="115">
      <c r="A115" t="inlineStr"/>
    </row>
    <row r="116">
      <c r="A116" s="3" t="inlineStr">
        <is>
          <t>WHAT v6 ADDED — real costs, and the cash floor</t>
        </is>
      </c>
    </row>
    <row r="117">
      <c r="A117" t="inlineStr">
        <is>
          <t>These are one job, not two. A cash curve is meaningless without costs to spend, and v5's</t>
        </is>
      </c>
    </row>
    <row r="118">
      <c r="A118" t="inlineStr">
        <is>
          <t>profit was absurd precisely because seed was the only cost it charged.</t>
        </is>
      </c>
    </row>
    <row r="119">
      <c r="A119" t="inlineStr"/>
    </row>
    <row r="120">
      <c r="A120" t="inlineStr">
        <is>
          <t xml:space="preserve">  TIMED variable costs   seed in the PLANTING week; fertiliser and fuel every week in the</t>
        </is>
      </c>
    </row>
    <row r="121">
      <c r="A121" t="inlineStr">
        <is>
          <t xml:space="preserve">                         ground at that phase's rate; packaging per lb in the week of SALE.</t>
        </is>
      </c>
    </row>
    <row r="122">
      <c r="A122" t="inlineStr">
        <is>
          <t xml:space="preserve">                         Timing is the whole point — a cash floor cannot be honest if the</t>
        </is>
      </c>
    </row>
    <row r="123">
      <c r="A123" t="inlineStr">
        <is>
          <t xml:space="preserve">                         costs land in the wrong week.</t>
        </is>
      </c>
    </row>
    <row r="124">
      <c r="A124" t="inlineStr">
        <is>
          <t xml:space="preserve">  FIXED costs            cooler and barn depreciation, irrigation, machinery, equipment</t>
        </is>
      </c>
    </row>
    <row r="125">
      <c r="A125" t="inlineStr">
        <is>
          <t xml:space="preserve">                         store: $1,414 a week, owed whether or not you plant anything.</t>
        </is>
      </c>
    </row>
    <row r="126">
      <c r="A126" t="inlineStr">
        <is>
          <t xml:space="preserve">  OVERHEAD               a share of revenue, exactly as the app internalises it.</t>
        </is>
      </c>
    </row>
    <row r="127">
      <c r="A127" t="inlineStr">
        <is>
          <t xml:space="preserve">  CASH FLOOR             cumulative cash may go negative — that is the credit line being</t>
        </is>
      </c>
    </row>
    <row r="128">
      <c r="A128" t="inlineStr">
        <is>
          <t xml:space="preserve">                         drawn — but never below -(opening cash + credit line). The app's C13.</t>
        </is>
      </c>
    </row>
    <row r="129">
      <c r="A129" t="inlineStr"/>
    </row>
    <row r="130">
      <c r="A130" s="4" t="inlineStr">
        <is>
          <t>Profit falls $2,384,231 -&gt; $480,661 once those are charged.</t>
        </is>
      </c>
    </row>
    <row r="131">
      <c r="A131" t="inlineStr"/>
    </row>
    <row r="132">
      <c r="A132" s="3" t="inlineStr">
        <is>
          <t>!! AND IT IS STILL ABSURD: net margin 22.5%, against 5-15% for real diversified veg.</t>
        </is>
      </c>
    </row>
    <row r="133">
      <c r="A133" t="inlineStr">
        <is>
          <t>Because LABOUR IS NOT HERE. On the real farm wages are about 90% of fixed cost — the app's</t>
        </is>
      </c>
    </row>
    <row r="134">
      <c r="A134" t="inlineStr">
        <is>
          <t>own demo pays $855,150 a year against the $73,514 of fixed cost this sheet charges. So:</t>
        </is>
      </c>
    </row>
    <row r="135">
      <c r="A135" t="inlineStr"/>
    </row>
    <row r="136">
      <c r="A136" s="4" t="inlineStr">
        <is>
          <t xml:space="preserve">     THE CASH FLOOR BARELY BINDS, AND YOU SHOULD NOT TRUST THIS CURVE YET.</t>
        </is>
      </c>
    </row>
    <row r="137">
      <c r="A137" t="inlineStr"/>
    </row>
    <row r="138">
      <c r="A138" t="inlineStr">
        <is>
          <t>Measured: at 50,000 opening and a 250,000 credit line the floor never touches. It only bites</t>
        </is>
      </c>
    </row>
    <row r="139">
      <c r="A139" t="inlineStr">
        <is>
          <t>at about 10,000 + 10,000. The mechanism is real and checked; the farm it is checking is not</t>
        </is>
      </c>
    </row>
    <row r="140">
      <c r="A140" t="inlineStr">
        <is>
          <t>yet paying anybody. Labour is v7, and it is what makes cash mean something.</t>
        </is>
      </c>
    </row>
    <row r="141">
      <c r="A141" t="inlineStr"/>
    </row>
    <row r="142">
      <c r="A142" s="3" t="inlineStr">
        <is>
          <t>WHAT v5 ADDED — both of these you spotted missing from v4</t>
        </is>
      </c>
    </row>
    <row r="143">
      <c r="A143" t="inlineStr"/>
    </row>
    <row r="144">
      <c r="A144" s="4" t="inlineStr">
        <is>
          <t>1. IT CHOOSES WHEN TO PLANT.</t>
        </is>
      </c>
    </row>
    <row r="145">
      <c r="A145" t="inlineStr">
        <is>
          <t xml:space="preserve">   All 68 plantings the app's calendar generator offers are on the sheet, one row per legal</t>
        </is>
      </c>
    </row>
    <row r="146">
      <c r="A146" t="inlineStr">
        <is>
          <t xml:space="preserve">   start week. The solver puts acres on some and zero on others — and zero acres IS the</t>
        </is>
      </c>
    </row>
    <row r="147">
      <c r="A147" t="inlineStr">
        <is>
          <t xml:space="preserve">   decision not to plant that week. v4 offered five that I picked by hand.</t>
        </is>
      </c>
    </row>
    <row r="148">
      <c r="A148" t="inlineStr"/>
    </row>
    <row r="149">
      <c r="A149" s="4" t="inlineStr">
        <is>
          <t>2. IT CHOOSES WHETHER TO PLANT AT ALL.</t>
        </is>
      </c>
    </row>
    <row r="150">
      <c r="A150" t="inlineStr">
        <is>
          <t xml:space="preserve">   The BLUE column is a binary per planting, tied to the acres by two constraints that are</t>
        </is>
      </c>
    </row>
    <row r="151">
      <c r="A151" t="inlineStr">
        <is>
          <t xml:space="preserve">   the app's own C9 and C10:</t>
        </is>
      </c>
    </row>
    <row r="152">
      <c r="A152" t="inlineStr">
        <is>
          <t xml:space="preserve">        acres &lt;= 'max if planted'   you cannot plant acres without deciding to plant</t>
        </is>
      </c>
    </row>
    <row r="153">
      <c r="A153" t="inlineStr">
        <is>
          <t xml:space="preserve">        acres &gt;= 'min if planted'   if you plant at all, you plant a real block</t>
        </is>
      </c>
    </row>
    <row r="154">
      <c r="A154" t="inlineStr">
        <is>
          <t xml:space="preserve">   That is what stops it planting a third of an acre, and it makes this a MILP — which is</t>
        </is>
      </c>
    </row>
    <row r="155">
      <c r="A155" t="inlineStr">
        <is>
          <t xml:space="preserve">   what farm_v2/solver.py is. Its `integrality` array marks the very same y block.</t>
        </is>
      </c>
    </row>
    <row r="156">
      <c r="A156" t="inlineStr"/>
    </row>
    <row r="157">
      <c r="A157" s="3" t="inlineStr">
        <is>
          <t>WHAT THE TWO CHANGES ARE WORTH — measured, and they pull OPPOSITE ways</t>
        </is>
      </c>
    </row>
    <row r="158">
      <c r="A158" t="inlineStr">
        <is>
          <t xml:space="preserve">     v4, five hand-picked plantings          $1,094,831</t>
        </is>
      </c>
    </row>
    <row r="159">
      <c r="A159" t="inlineStr">
        <is>
          <t xml:space="preserve">     v5 without the minimum-acreage rule     $483,248   (39 plantings)</t>
        </is>
      </c>
    </row>
    <row r="160">
      <c r="A160" s="4" t="inlineStr">
        <is>
          <t xml:space="preserve">     v5 as it ships                          $480,661   (34 plantings)</t>
        </is>
      </c>
    </row>
    <row r="161">
      <c r="A161" t="inlineStr"/>
    </row>
    <row r="162">
      <c r="A162" t="inlineStr">
        <is>
          <t>Letting it choose the weeks more than doubles profit. Then the minimum-acreage rule takes</t>
        </is>
      </c>
    </row>
    <row r="163">
      <c r="A163" t="inlineStr">
        <is>
          <t>$2,588 back and drops the plan from 39 plantings to 34, because the</t>
        </is>
      </c>
    </row>
    <row r="164">
      <c r="A164" t="inlineStr">
        <is>
          <t>slivers are gone.</t>
        </is>
      </c>
    </row>
    <row r="165">
      <c r="A165" t="inlineStr"/>
    </row>
    <row r="166">
      <c r="A166" t="inlineStr">
        <is>
          <t>Neither number means anything alone. A fixed calendar UNDERSTATES; a missing minimum</t>
        </is>
      </c>
    </row>
    <row r="167">
      <c r="A167" t="inlineStr">
        <is>
          <t>acreage OVERSTATES. That is why the real model has both, and it is the reason it is a MILP</t>
        </is>
      </c>
    </row>
    <row r="168">
      <c r="A168" t="inlineStr">
        <is>
          <t>rather than a plain LP.</t>
        </is>
      </c>
    </row>
    <row r="169">
      <c r="A169" t="inlineStr"/>
    </row>
    <row r="170">
      <c r="A170" s="3" t="inlineStr">
        <is>
          <t>WHY IT PLANTS SO MANY — this is the finding worth keeping</t>
        </is>
      </c>
    </row>
    <row r="171">
      <c r="A171" t="inlineStr">
        <is>
          <t>34 plantings out of 68, staggered across the season rather than a few big</t>
        </is>
      </c>
    </row>
    <row r="172">
      <c r="A172" t="inlineStr">
        <is>
          <t>blocks. That is SUCCESSION PLANTING, and now you can see why it pays: spreading the harvest</t>
        </is>
      </c>
    </row>
    <row r="173">
      <c r="A173" t="inlineStr">
        <is>
          <t>is what lets you serve a WEEKLY demand cap continuously. Plant it all at once and one huge</t>
        </is>
      </c>
    </row>
    <row r="174">
      <c r="A174" t="inlineStr">
        <is>
          <t>harvest slams into the ceiling, the cooler fills, and the surplus is wasted or dumped cheap.</t>
        </is>
      </c>
    </row>
    <row r="175">
      <c r="A175" t="inlineStr"/>
    </row>
    <row r="176">
      <c r="A176" t="inlineStr">
        <is>
          <t>A model with a fixed planting calendar cannot express the thing the practice exists for.</t>
        </is>
      </c>
    </row>
    <row r="177">
      <c r="A177" t="inlineStr"/>
    </row>
    <row r="178">
      <c r="A178" s="3" t="inlineStr">
        <is>
          <t>!! IT NEEDS LIBREOFFICE, AND THIS ONE IS A REAL MILP</t>
        </is>
      </c>
    </row>
    <row r="179">
      <c r="A179" t="inlineStr">
        <is>
          <t>765 decision cells: 68 acres + 68 binaries + 312 offered + 156 overtime (3 roles x 52) + 4 extra heads + 157 piece-rate. The engine MUST be</t>
        </is>
      </c>
    </row>
    <row r="180">
      <c r="A180" t="inlineStr">
        <is>
          <t>CoinMP — it does branch and bound over the integers. Expect it to take appreciably longer</t>
        </is>
      </c>
    </row>
    <row r="181">
      <c r="A181" t="inlineStr">
        <is>
          <t>than v4; integers are what make an optimizer work for its living.</t>
        </is>
      </c>
    </row>
    <row r="182">
      <c r="A182" t="inlineStr"/>
    </row>
    <row r="183">
      <c r="A183" s="3" t="inlineStr">
        <is>
          <t>WHERE THINGS ARE</t>
        </is>
      </c>
    </row>
    <row r="184">
      <c r="A184" t="inlineStr">
        <is>
          <t xml:space="preserve">  YELLOW   you type: the farm, the crop table, the crop x channel table.</t>
        </is>
      </c>
    </row>
    <row r="185">
      <c r="A185" t="inlineStr">
        <is>
          <t xml:space="preserve">  GREEN    the solver writes: the ACRES column (C71:C138), the six OFFERED rows, and</t>
        </is>
      </c>
    </row>
    <row r="186">
      <c r="A186" t="inlineStr">
        <is>
          <t xml:space="preserve">           the PROFIT cell (B347).</t>
        </is>
      </c>
    </row>
    <row r="187">
      <c r="A187" t="inlineStr">
        <is>
          <t xml:space="preserve">  BLUE     the solver writes: the PLANT? binaries (D71:D138).</t>
        </is>
      </c>
    </row>
    <row r="188">
      <c r="A188" t="inlineStr">
        <is>
          <t xml:space="preserve">  Everything else is a formula. Columns A-D stay put when you scroll right.</t>
        </is>
      </c>
    </row>
    <row r="189">
      <c r="A189" t="inlineStr"/>
    </row>
    <row r="190">
      <c r="A190" s="3" t="inlineStr">
        <is>
          <t>HOW TO RUN IT</t>
        </is>
      </c>
    </row>
    <row r="191">
      <c r="A191" t="inlineStr">
        <is>
          <t>Section 7 lists every entry with exact ranges. In short:</t>
        </is>
      </c>
    </row>
    <row r="192">
      <c r="A192" t="inlineStr">
        <is>
          <t xml:space="preserve">   Tools &gt; Solver, target the PROFIT cell, set to MAXIMUM</t>
        </is>
      </c>
    </row>
    <row r="193">
      <c r="A193" t="inlineStr">
        <is>
          <t xml:space="preserve">   Changing cells: C71:C138 and D71:D138 together, plus the six OFFERED rows</t>
        </is>
      </c>
    </row>
    <row r="194">
      <c r="A194" t="inlineStr">
        <is>
          <t xml:space="preserve">   Add the constraint  D71:D138 = Binary   — without it the binaries are just numbers</t>
        </is>
      </c>
    </row>
    <row r="195">
      <c r="A195" t="inlineStr">
        <is>
          <t xml:space="preserve">   and the minimum-acreage rule silently stops working</t>
        </is>
      </c>
    </row>
    <row r="196">
      <c r="A196" t="inlineStr">
        <is>
          <t xml:space="preserve">   Options: engine = LibreOffice CoinMP Linear Solver; tick non-negative</t>
        </is>
      </c>
    </row>
    <row r="197">
      <c r="A197" t="inlineStr"/>
    </row>
    <row r="198">
      <c r="A198" s="3" t="inlineStr">
        <is>
          <t>WHAT IT SHOULD FIND</t>
        </is>
      </c>
    </row>
    <row r="199">
      <c r="A199" s="4" t="inlineStr">
        <is>
          <t xml:space="preserve">     PROFIT   $480,661       net margin 22.5%</t>
        </is>
      </c>
    </row>
    <row r="200">
      <c r="A200" t="inlineStr">
        <is>
          <t xml:space="preserve">       revenue      $2,134,506</t>
        </is>
      </c>
    </row>
    <row r="201">
      <c r="A201" t="inlineStr">
        <is>
          <t xml:space="preserve">       growing      $166,978      seed at planting + fertiliser and fuel in the ground</t>
        </is>
      </c>
    </row>
    <row r="202">
      <c r="A202" t="inlineStr">
        <is>
          <t xml:space="preserve">       packaging    $164,888      per lb sold, in the week of sale</t>
        </is>
      </c>
    </row>
    <row r="203">
      <c r="A203" t="inlineStr">
        <is>
          <t xml:space="preserve">       fixed        $73,514      $1,414 a week, owed whether or not you plant</t>
        </is>
      </c>
    </row>
    <row r="204">
      <c r="A204" t="inlineStr">
        <is>
          <t xml:space="preserve">       overhead     $341,521      a share of revenue</t>
        </is>
      </c>
    </row>
    <row r="205">
      <c r="A205" t="inlineStr">
        <is>
          <t xml:space="preserve">       wages        $855,150      committed — owed whether the crops need the hours or not</t>
        </is>
      </c>
    </row>
    <row r="206">
      <c r="A206" t="inlineStr">
        <is>
          <t xml:space="preserve">       interest     $366          APR on what the credit line actually carries</t>
        </is>
      </c>
    </row>
    <row r="207">
      <c r="A207" t="inlineStr">
        <is>
          <t xml:space="preserve">       overtime     $4,042       86 hours, capped by row 8 week by week</t>
        </is>
      </c>
    </row>
    <row r="208">
      <c r="A208" t="inlineStr">
        <is>
          <t xml:space="preserve">       advisory     {ADVCOST}      {ADVCREW} people, weeks {ADVFROM}-{ADVTO} — {ADVGIVEN} hrs committed</t>
        </is>
      </c>
    </row>
    <row r="209">
      <c r="A209" t="inlineStr">
        <is>
          <t xml:space="preserve">     peak borrowing $47,608 — the deepest the line is ever drawn</t>
        </is>
      </c>
    </row>
    <row r="210">
      <c r="A210" t="inlineStr">
        <is>
          <t xml:space="preserve">       interest     $366          on $47,608 of peak borrowing — reported, not optimised over</t>
        </is>
      </c>
    </row>
    <row r="211">
      <c r="A211" s="4" t="inlineStr">
        <is>
          <t xml:space="preserve">     34 of 68 plantings used</t>
        </is>
      </c>
    </row>
    <row r="212">
      <c r="A212" t="inlineStr"/>
    </row>
    <row r="213">
      <c r="A213" t="inlineStr">
        <is>
          <t>Computed by solving the same MILP with scipy.milp — the same HiGHS solver your app runs. A</t>
        </is>
      </c>
    </row>
    <row r="214">
      <c r="A214" t="inlineStr">
        <is>
          <t>few dollars apart is tolerances. Materially different means one of the two models is not the</t>
        </is>
      </c>
    </row>
    <row r="215">
      <c r="A215" t="inlineStr">
        <is>
          <t>model we think it is.</t>
        </is>
      </c>
    </row>
    <row r="216">
      <c r="A216" t="inlineStr"/>
    </row>
    <row r="217">
      <c r="A217" s="3" t="inlineStr">
        <is>
          <t>WHAT SELL-THROUGH IS, AND WHY IT SHIPS AT 1.00</t>
        </is>
      </c>
    </row>
    <row r="218">
      <c r="A218" t="inlineStr">
        <is>
          <t>Every 'Sell-through' in section 3 is 1.00, matching the app since 30 Aug. The 85% it used to</t>
        </is>
      </c>
    </row>
    <row r="219">
      <c r="A219" t="inlineStr">
        <is>
          <t>carry had no source, and it was being charged on channels where a purchase order exists and</t>
        </is>
      </c>
    </row>
    <row r="220">
      <c r="A220" t="inlineStr">
        <is>
          <t>nothing goes unsold. So the market-loss and returned-to-store rows all read ZERO right now.</t>
        </is>
      </c>
    </row>
    <row r="221">
      <c r="A221" t="inlineStr">
        <is>
          <t>That is correct, not broken.</t>
        </is>
      </c>
    </row>
    <row r="222">
      <c r="A222" t="inlineStr"/>
    </row>
    <row r="223">
      <c r="A223" t="inlineStr">
        <is>
          <t>The narrow definition it now carries:</t>
        </is>
      </c>
    </row>
    <row r="224">
      <c r="A224" t="inlineStr"/>
    </row>
    <row r="225">
      <c r="A225" s="4" t="inlineStr">
        <is>
          <t xml:space="preserve">     Of what you TAKE TO MARKET, the share that converts to cash — display attrition at a</t>
        </is>
      </c>
    </row>
    <row r="226">
      <c r="A226" s="4" t="inlineStr">
        <is>
          <t xml:space="preserve">     stall, samples, transit damage, a rejected load.</t>
        </is>
      </c>
    </row>
    <row r="227">
      <c r="A227" t="inlineStr"/>
    </row>
    <row r="228">
      <c r="A228" t="inlineStr">
        <is>
          <t>NOT grade-out at harvest (that is pack-out, above the store). NOT spoilage in the store (that</t>
        </is>
      </c>
    </row>
    <row r="229">
      <c r="A229" t="inlineStr">
        <is>
          <t>is shrink). And NOT demand uncertainty — which is the one worth understanding, because it is</t>
        </is>
      </c>
    </row>
    <row r="230">
      <c r="A230" t="inlineStr">
        <is>
          <t>why the old wording could not be right:</t>
        </is>
      </c>
    </row>
    <row r="231">
      <c r="A231" t="inlineStr"/>
    </row>
    <row r="232">
      <c r="A232" t="inlineStr">
        <is>
          <t xml:space="preserve">     The demand ceiling is HARD. At a 6,000 lb cap and 0.85, selling 6,000 means bringing</t>
        </is>
      </c>
    </row>
    <row r="233">
      <c r="A233" t="inlineStr">
        <is>
          <t xml:space="preserve">     7,059 and losing 1,059 — every week, including the best Saturday of the year, because</t>
        </is>
      </c>
    </row>
    <row r="234">
      <c r="A234" t="inlineStr">
        <is>
          <t xml:space="preserve">     the model will never let you sell 6,001. That is the whole downside of bringing extra</t>
        </is>
      </c>
    </row>
    <row r="235">
      <c r="A235" t="inlineStr">
        <is>
          <t xml:space="preserve">     with none of the upside. It is not a model of uncertainty; it is a one-sided penalty.</t>
        </is>
      </c>
    </row>
    <row r="236">
      <c r="A236" t="inlineStr"/>
    </row>
    <row r="237">
      <c r="A237" t="inlineStr">
        <is>
          <t>So what it CAN mean is a display requirement: a picked-over stall sells less than a full one,</t>
        </is>
      </c>
    </row>
    <row r="238">
      <c r="A238" t="inlineStr">
        <is>
          <t>so moving 6,000 lb needs more than 6,000 lb on the table. Deterministic, and an input</t>
        </is>
      </c>
    </row>
    <row r="239">
      <c r="A239" t="inlineStr">
        <is>
          <t>requirement like seed. Real demand variance is a different problem (newsvendor) needing</t>
        </is>
      </c>
    </row>
    <row r="240">
      <c r="A240" t="inlineStr">
        <is>
          <t>machinery neither this sheet nor the app has yet.</t>
        </is>
      </c>
    </row>
    <row r="241">
      <c r="A241" t="inlineStr"/>
    </row>
    <row r="242">
      <c r="A242" s="3" t="inlineStr">
        <is>
          <t>THREE THINGS TO TRY</t>
        </is>
      </c>
    </row>
    <row r="243">
      <c r="A243" t="inlineStr"/>
    </row>
    <row r="244">
      <c r="A244" s="4" t="inlineStr">
        <is>
          <t>EXPERIMENT 1 — switch sell-through on, and watch the crop decide what happens.</t>
        </is>
      </c>
    </row>
    <row r="245">
      <c r="A245" s="4" t="inlineStr">
        <is>
          <t xml:space="preserve">   In section 3 set Spinach / {CH1} sell-through to 0.85, and Garlic / {CH1} to 0.85 too.</t>
        </is>
      </c>
    </row>
    <row r="246">
      <c r="A246" s="4" t="inlineStr">
        <is>
          <t xml:space="preserve">   Re-solve.</t>
        </is>
      </c>
    </row>
    <row r="247">
      <c r="A247" t="inlineStr">
        <is>
          <t xml:space="preserve">   Both now offer more than they sell. But look at the two 'market loss' rows: Spinach's is</t>
        </is>
      </c>
    </row>
    <row r="248">
      <c r="A248" t="inlineStr">
        <is>
          <t xml:space="preserve">   positive and Garlic's is ZERO, because garlic's 'Returns to store' is 1.00 — unsold garlic</t>
        </is>
      </c>
    </row>
    <row r="249">
      <c r="A249" t="inlineStr">
        <is>
          <t xml:space="preserve">   comes home and sells later, so the loss is a DELAY, not a loss.</t>
        </is>
      </c>
    </row>
    <row r="250">
      <c r="A250" t="inlineStr">
        <is>
          <t xml:space="preserve">   That is the grower's ruling in two cells: the same sell-through means different things on</t>
        </is>
      </c>
    </row>
    <row r="251">
      <c r="A251" t="inlineStr">
        <is>
          <t xml:space="preserve">   different crops, which is why it belongs on the crop x channel row and not on either one</t>
        </is>
      </c>
    </row>
    <row r="252">
      <c r="A252" t="inlineStr">
        <is>
          <t xml:space="preserve">   alone. Now set Garlic's 'Returns to store' to 0.00 and re-solve: the delay becomes a loss</t>
        </is>
      </c>
    </row>
    <row r="253">
      <c r="A253" t="inlineStr">
        <is>
          <t xml:space="preserve">   and the plan changes.</t>
        </is>
      </c>
    </row>
    <row r="254">
      <c r="A254" t="inlineStr"/>
    </row>
    <row r="255">
      <c r="A255" s="4" t="inlineStr">
        <is>
          <t>EXPERIMENT 2 — move the hiring window.  Set the advisory window to 16 and 21, re-solve.</t>
        </is>
      </c>
    </row>
    <row r="256">
      <c r="A256" t="inlineStr">
        <is>
          <t xml:space="preserve">   C2 binds in all six of those weeks, so they LOOK like the place to add people. The solver</t>
        </is>
      </c>
    </row>
    <row r="257">
      <c r="A257" t="inlineStr">
        <is>
          <t xml:space="preserve">   hires nobody, and profit moves by about five dollars. Put it back to 43-49 and it hires</t>
        </is>
      </c>
    </row>
    <row r="258">
      <c r="A258" t="inlineStr">
        <is>
          <t xml:space="preserve">   {ADVCREW} for {ADVCOST}. Utilisation tells you where a constraint is tight; it does not tell</t>
        </is>
      </c>
    </row>
    <row r="259">
      <c r="A259" t="inlineStr">
        <is>
          <t xml:space="preserve">   you what relieving it is worth, and only one of those is a hiring decision.</t>
        </is>
      </c>
    </row>
    <row r="260">
      <c r="A260" t="inlineStr"/>
    </row>
    <row r="261">
      <c r="A261" s="4" t="inlineStr">
        <is>
          <t>EXPERIMENT 2b — tighten the overtime allowance.  Set it to 1.00 and re-solve.</t>
        </is>
      </c>
    </row>
    <row r="262">
      <c r="A262" t="inlineStr">
        <is>
          <t xml:space="preserve">   Row 8 goes to zero everywhere and overtime disappears — 1.00 means 'no hours beyond</t>
        </is>
      </c>
    </row>
    <row r="263">
      <c r="A263" t="inlineStr">
        <is>
          <t xml:space="preserve">   normal'. Then try 2.00: the cap doubles in every week, but it doubles PROPORTIONALLY, so</t>
        </is>
      </c>
    </row>
    <row r="264">
      <c r="A264" t="inlineStr">
        <is>
          <t xml:space="preserve">   winter still gets almost none. That is what a typed hours cap could never do.</t>
        </is>
      </c>
    </row>
    <row r="265">
      <c r="A265" t="inlineStr"/>
    </row>
    <row r="266">
      <c r="A266" s="4" t="inlineStr">
        <is>
          <t>EXPERIMENT 3 — sack the harvest crew.  Set the Harvest Crew count to 0 and re-solve.</t>
        </is>
      </c>
    </row>
    <row r="267">
      <c r="A267" t="inlineStr">
        <is>
          <t xml:space="preserve">   You save their whole wage bill. Watch what happens to profit anyway: with fewer hours in</t>
        </is>
      </c>
    </row>
    <row r="268">
      <c r="A268" t="inlineStr">
        <is>
          <t xml:space="preserve">   weeks 14-40 the crops that need picking most cannot be picked, and revenue falls further</t>
        </is>
      </c>
    </row>
    <row r="269">
      <c r="A269" t="inlineStr">
        <is>
          <t xml:space="preserve">   than the wages saved. Then try the opposite — double their count — and watch profit rise</t>
        </is>
      </c>
    </row>
    <row r="270">
      <c r="A270" t="inlineStr">
        <is>
          <t xml:space="preserve">   even though payroll rose too. That is the trade a per-acre labour charge cannot express,</t>
        </is>
      </c>
    </row>
    <row r="271">
      <c r="A271" t="inlineStr">
        <is>
          <t xml:space="preserve">   and it is why the app rations hours with a constraint rather than pricing them.</t>
        </is>
      </c>
    </row>
    <row r="272">
      <c r="A272" t="inlineStr"/>
    </row>
    <row r="273">
      <c r="A273" s="4" t="inlineStr">
        <is>
          <t>EXPERIMENT 4 — squeeze the cash.  Set the credit line to 10,000 and opening cash to 10,000,</t>
        </is>
      </c>
    </row>
    <row r="274">
      <c r="A274" s="4" t="inlineStr">
        <is>
          <t xml:space="preserve">   then re-solve.</t>
        </is>
      </c>
    </row>
    <row r="275">
      <c r="A275" t="inlineStr">
        <is>
          <t xml:space="preserve">   Below about $100,000 combined there is no feasible plan at all — see above. Just above</t>
        </is>
      </c>
    </row>
    <row r="276">
      <c r="A276" t="inlineStr">
        <is>
          <t xml:space="preserve">   it, watch WHICH plantings the floor drops: not the least profitable ones, but</t>
        </is>
      </c>
    </row>
    <row r="277">
      <c r="A277" t="inlineStr">
        <is>
          <t xml:space="preserve">   the ones whose costs land earliest relative to their revenue. Garlic goes in around week</t>
        </is>
      </c>
    </row>
    <row r="278">
      <c r="A278" t="inlineStr">
        <is>
          <t xml:space="preserve">   47 and is not sold until week 30 of the following year — nine months of money out before</t>
        </is>
      </c>
    </row>
    <row r="279">
      <c r="A279" t="inlineStr">
        <is>
          <t xml:space="preserve">   a dollar comes back. Cash does not rank crops by margin; it ranks them by TIMING, which no</t>
        </is>
      </c>
    </row>
    <row r="280">
      <c r="A280" t="inlineStr">
        <is>
          <t xml:space="preserve">   column on this sheet shows you.</t>
        </is>
      </c>
    </row>
    <row r="281">
      <c r="A281" t="inlineStr"/>
    </row>
    <row r="282">
      <c r="A282" s="4" t="inlineStr">
        <is>
          <t>EXPERIMENT 5 — drop the minimum acreage.  Set every 'Min acres if planted' in the crop</t>
        </is>
      </c>
    </row>
    <row r="283">
      <c r="A283" s="4" t="inlineStr">
        <is>
          <t xml:space="preserve">   table to 0 and re-solve.</t>
        </is>
      </c>
    </row>
    <row r="284">
      <c r="A284" t="inlineStr">
        <is>
          <t xml:space="preserve">   Expect $483,248 and 39 plantings. The extra profit is real but the plan is</t>
        </is>
      </c>
    </row>
    <row r="285">
      <c r="A285" t="inlineStr">
        <is>
          <t xml:space="preserve">   not: it plants fractions of an acre no one would drive a tractor out for. This is what</t>
        </is>
      </c>
    </row>
    <row r="286">
      <c r="A286" t="inlineStr">
        <is>
          <t xml:space="preserve">   the binaries are FOR, and it is why the app carries them.</t>
        </is>
      </c>
    </row>
    <row r="287">
      <c r="A287" t="inlineStr"/>
    </row>
    <row r="288">
      <c r="A288" s="4" t="inlineStr">
        <is>
          <t>EXPERIMENT 6 — take away the cooler.  Set the cold store to 40 m3 and re-solve.</t>
        </is>
      </c>
    </row>
    <row r="289">
      <c r="A289" t="inlineStr">
        <is>
          <t xml:space="preserve">   Watch WHICH WEEKS it abandons, not just which crop. With a full calendar it can retreat</t>
        </is>
      </c>
    </row>
    <row r="290">
      <c r="A290" t="inlineStr">
        <is>
          <t xml:space="preserve">   to a planting pattern that keeps the cooler under its ceiling — an answer v4 could not</t>
        </is>
      </c>
    </row>
    <row r="291">
      <c r="A291" t="inlineStr">
        <is>
          <t xml:space="preserve">   even represent.</t>
        </is>
      </c>
    </row>
    <row r="292">
      <c r="A292" t="inlineStr"/>
    </row>
    <row r="293">
      <c r="A293" s="3" t="inlineStr">
        <is>
          <t>WHAT v5 STILL DOES NOT CARRY</t>
        </is>
      </c>
    </row>
    <row r="294">
      <c r="A294" t="inlineStr">
        <is>
          <t xml:space="preserve">  - Costs are seed/transplant per acre ONLY: no labour, water, packaging, storage, overhead.</t>
        </is>
      </c>
    </row>
    <row r="295">
      <c r="A295" t="inlineStr">
        <is>
          <t xml:space="preserve">    Profit is therefore far too high. The cash layer is next.</t>
        </is>
      </c>
    </row>
    <row r="296">
      <c r="A296" t="inlineStr">
        <is>
          <t xml:space="preserve">  - No cash-flow constraint, so it can spend money it does not have.</t>
        </is>
      </c>
    </row>
    <row r="297">
      <c r="A297" t="inlineStr">
        <is>
          <t xml:space="preserve">  - Shelf life IS enforced now (a real constraint since you found it dead). Shrink is wired</t>
        </is>
      </c>
    </row>
    <row r="298">
      <c r="A298" t="inlineStr">
        <is>
          <t xml:space="preserve">    too, but defaults to 0%, so it stays invisible until you set it.</t>
        </is>
      </c>
    </row>
    <row r="299">
      <c r="A299" t="inlineStr">
        <is>
          <t xml:space="preserve">  - No water, labour, diversity or throughput limits.</t>
        </is>
      </c>
    </row>
    <row r="300">
      <c r="A300" t="inlineStr">
        <is>
          <t xml:space="preserve">  - Three crops, not seven.</t>
        </is>
      </c>
    </row>
    <row r="301">
      <c r="A301" t="inlineStr"/>
    </row>
    <row r="302">
      <c r="A302" s="3" t="inlineStr">
        <is>
          <t>!! THE SCALE WARNING</t>
        </is>
      </c>
    </row>
    <row r="303">
      <c r="A303" t="inlineStr">
        <is>
          <t>An optimizer's answer is far more scale-sensitive than a calculator's: which constraint binds,</t>
        </is>
      </c>
    </row>
    <row r="304">
      <c r="A304" t="inlineStr">
        <is>
          <t>and therefore which crop and which WEEK wins, can invert between 3 crops and 7. This teaches</t>
        </is>
      </c>
    </row>
    <row r="305">
      <c r="A305" t="inlineStr">
        <is>
          <t>the machinery. It is not advice about your farm.</t>
        </is>
      </c>
    </row>
    <row r="306">
      <c r="A306" t="inlineStr"/>
    </row>
    <row r="307">
      <c r="A307" s="3" t="inlineStr">
        <is>
          <t>HAS THIS SHEET BEEN CHECKED?</t>
        </is>
      </c>
    </row>
    <row r="308">
      <c r="A308" t="inlineStr">
        <is>
          <t>Yes. Crop data, the calendar and the demand caps are read from the app. The formulas are</t>
        </is>
      </c>
    </row>
    <row r="309">
      <c r="A309" t="inlineStr">
        <is>
          <t>calculated by an engine and compared cell by cell against an independent model under three</t>
        </is>
      </c>
    </row>
    <row r="310">
      <c r="A310" t="inlineStr">
        <is>
          <t>configurations. Every input is perturbed to prove it propagates. No number is frozen. And the</t>
        </is>
      </c>
    </row>
    <row r="311">
      <c r="A311" t="inlineStr">
        <is>
          <t>same MILP is solved with scipy.milp, its answer written into the decision cells, and the</t>
        </is>
      </c>
    </row>
    <row r="312">
      <c r="A312" t="inlineStr">
        <is>
          <t>sheet's own PROFIT cell must reproduce the optimum exactly.</t>
        </is>
      </c>
    </row>
    <row r="313">
      <c r="A313" t="inlineStr">
        <is>
          <t xml:space="preserve">     Run it yourself:   .venv/bin/python toy_models/verify_toy_v8.py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87"/>
  <sheetViews>
    <sheetView workbookViewId="0">
      <pane xSplit="4" topLeftCell="E1" activePane="topRight" state="frozen"/>
      <selection pane="topRight" activeCell="A1" sqref="A1"/>
    </sheetView>
  </sheetViews>
  <sheetFormatPr baseColWidth="8" defaultRowHeight="15"/>
  <cols>
    <col width="30" customWidth="1" min="1" max="1"/>
    <col width="14" customWidth="1" min="2" max="2"/>
    <col width="8" customWidth="1" min="3" max="3"/>
    <col width="6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11" customWidth="1" min="57" max="57"/>
    <col width="11" customWidth="1" min="58" max="58"/>
    <col width="11" customWidth="1" min="59" max="59"/>
  </cols>
  <sheetData>
    <row r="1">
      <c r="A1" s="1" t="inlineStr">
        <is>
          <t>FARM TOY MODEL — v11: labour by role, hire-more and piece rate</t>
        </is>
      </c>
      <c r="D1" s="2" t="inlineStr">
        <is>
          <t>BUILT 2026-10-19 11:08   (from source at 49e9c65)</t>
        </is>
      </c>
    </row>
    <row r="2">
      <c r="A2" s="4" t="inlineStr">
        <is>
          <t>KEY:</t>
        </is>
      </c>
      <c r="B2" s="5" t="inlineStr">
        <is>
          <t>INPUT — you type here</t>
        </is>
      </c>
      <c r="F2" s="6" t="inlineStr">
        <is>
          <t>DECISION — the solver writes here</t>
        </is>
      </c>
      <c r="J2" s="7" t="inlineStr">
        <is>
          <t>CONSTRAINT — a limit and its room left</t>
        </is>
      </c>
      <c r="N2" s="8" t="inlineStr">
        <is>
          <t>OBJECTIVE — the cell being maximised</t>
        </is>
      </c>
    </row>
    <row r="3">
      <c r="A3" s="2" t="inlineStr">
        <is>
          <t>Everything else is grey. Read the 'READ ME' sheet first.</t>
        </is>
      </c>
    </row>
    <row r="5">
      <c r="A5" s="3" t="inlineStr">
        <is>
          <t>1 — THE FARM</t>
        </is>
      </c>
    </row>
    <row r="6">
      <c r="A6" s="4" t="inlineStr">
        <is>
          <t>Land you have</t>
        </is>
      </c>
      <c r="B6" s="9" t="n">
        <v>80</v>
      </c>
      <c r="C6" s="2" t="inlineStr">
        <is>
          <t>acres</t>
        </is>
      </c>
    </row>
    <row r="7">
      <c r="A7" s="4" t="inlineStr">
        <is>
          <t>Cold store (cooler)</t>
        </is>
      </c>
      <c r="B7" s="10" t="n">
        <v>275</v>
      </c>
      <c r="C7" s="2" t="inlineStr">
        <is>
          <t>m3 — Spinach, Kale</t>
        </is>
      </c>
    </row>
    <row r="8">
      <c r="A8" s="4" t="inlineStr">
        <is>
          <t>Ambient store (barn)</t>
        </is>
      </c>
      <c r="B8" s="10" t="n">
        <v>150</v>
      </c>
      <c r="C8" s="2" t="inlineStr">
        <is>
          <t>m3 — Garlic</t>
        </is>
      </c>
    </row>
    <row r="10">
      <c r="A10" s="3" t="inlineStr">
        <is>
          <t>2 — HOW EACH CROP BEHAVES</t>
        </is>
      </c>
    </row>
    <row r="11">
      <c r="A11" s="11" t="inlineStr">
        <is>
          <t>Crop</t>
        </is>
      </c>
      <c r="B11" s="11" t="inlineStr">
        <is>
          <t>Yield lb/acre</t>
        </is>
      </c>
      <c r="C11" s="11" t="inlineStr">
        <is>
          <t>Pack-out</t>
        </is>
      </c>
      <c r="D11" s="11" t="inlineStr">
        <is>
          <t>m3 per lb</t>
        </is>
      </c>
      <c r="E11" s="11" t="inlineStr">
        <is>
          <t>Store</t>
        </is>
      </c>
      <c r="F11" s="11" t="inlineStr">
        <is>
          <t>Shelf life wk</t>
        </is>
      </c>
      <c r="G11" s="11" t="inlineStr">
        <is>
          <t>Shrink %/wk</t>
        </is>
      </c>
      <c r="H11" s="11" t="inlineStr">
        <is>
          <t>Seed $/acre</t>
        </is>
      </c>
      <c r="I11" s="11" t="inlineStr">
        <is>
          <t>Min acres if planted</t>
        </is>
      </c>
      <c r="J11" s="11" t="inlineStr">
        <is>
          <t>Harvest weeks</t>
        </is>
      </c>
      <c r="K11" s="11" t="inlineStr">
        <is>
          <t>$/ac plant wk</t>
        </is>
      </c>
      <c r="L11" s="11" t="inlineStr">
        <is>
          <t>$/ac grow wk</t>
        </is>
      </c>
      <c r="M11" s="11" t="inlineStr">
        <is>
          <t>$/ac harvest wk</t>
        </is>
      </c>
      <c r="N11" s="11" t="inlineStr">
        <is>
          <t>hrs/ac plant</t>
        </is>
      </c>
      <c r="O11" s="11" t="inlineStr">
        <is>
          <t>hrs/ac grow</t>
        </is>
      </c>
      <c r="P11" s="11" t="inlineStr">
        <is>
          <t>hrs/ac harvest</t>
        </is>
      </c>
    </row>
    <row r="12">
      <c r="A12" s="12" t="inlineStr">
        <is>
          <t>Spinach</t>
        </is>
      </c>
      <c r="B12" s="10" t="n">
        <v>5000</v>
      </c>
      <c r="C12" s="13" t="n">
        <v>1</v>
      </c>
      <c r="D12" s="14" t="n">
        <v>0.002197967741935484</v>
      </c>
      <c r="E12" s="15" t="inlineStr">
        <is>
          <t>Cold</t>
        </is>
      </c>
      <c r="F12" s="16" t="n">
        <v>2</v>
      </c>
      <c r="G12" s="17" t="n">
        <v>0</v>
      </c>
      <c r="H12" s="18" t="n">
        <v>280</v>
      </c>
      <c r="I12" s="9" t="n">
        <v>2</v>
      </c>
      <c r="J12" s="19">
        <f>COUNTIF($E$71:$BD$71,"H")</f>
        <v/>
      </c>
      <c r="K12" s="20" t="n">
        <v>33.895</v>
      </c>
      <c r="L12" s="20" t="n">
        <v>13.32</v>
      </c>
      <c r="M12" s="20" t="n">
        <v>11.285</v>
      </c>
      <c r="N12" s="9" t="n">
        <v>2</v>
      </c>
      <c r="O12" s="9" t="n">
        <v>4</v>
      </c>
      <c r="P12" s="9" t="n">
        <v>50</v>
      </c>
    </row>
    <row r="13">
      <c r="A13" s="12" t="inlineStr">
        <is>
          <t>Kale</t>
        </is>
      </c>
      <c r="B13" s="10" t="n">
        <v>8000</v>
      </c>
      <c r="C13" s="13" t="n">
        <v>1</v>
      </c>
      <c r="D13" s="14" t="n">
        <v>0.003785388888888889</v>
      </c>
      <c r="E13" s="15" t="inlineStr">
        <is>
          <t>Cold</t>
        </is>
      </c>
      <c r="F13" s="16" t="n">
        <v>2</v>
      </c>
      <c r="G13" s="17" t="n">
        <v>0</v>
      </c>
      <c r="H13" s="18" t="n">
        <v>1089</v>
      </c>
      <c r="I13" s="9" t="n">
        <v>2</v>
      </c>
      <c r="J13" s="19">
        <f>COUNTIF($E$106:$BD$106,"H")</f>
        <v/>
      </c>
      <c r="K13" s="20" t="n">
        <v>46.64</v>
      </c>
      <c r="L13" s="20" t="n">
        <v>11.469</v>
      </c>
      <c r="M13" s="20" t="n">
        <v>10.08</v>
      </c>
      <c r="N13" s="9" t="n">
        <v>3</v>
      </c>
      <c r="O13" s="9" t="n">
        <v>2.5</v>
      </c>
      <c r="P13" s="9" t="n">
        <v>22</v>
      </c>
    </row>
    <row r="14">
      <c r="A14" s="12" t="inlineStr">
        <is>
          <t>Garlic</t>
        </is>
      </c>
      <c r="B14" s="10" t="n">
        <v>10000</v>
      </c>
      <c r="C14" s="13" t="n">
        <v>1</v>
      </c>
      <c r="D14" s="14" t="n">
        <v>0.001195385964912281</v>
      </c>
      <c r="E14" s="21" t="inlineStr">
        <is>
          <t>Ambient</t>
        </is>
      </c>
      <c r="F14" s="16" t="n">
        <v>16</v>
      </c>
      <c r="G14" s="17" t="n">
        <v>0</v>
      </c>
      <c r="H14" s="18" t="n">
        <v>2500</v>
      </c>
      <c r="I14" s="9" t="n">
        <v>2</v>
      </c>
      <c r="J14" s="19">
        <f>COUNTIF($E$136:$BD$136,"H")</f>
        <v/>
      </c>
      <c r="K14" s="20" t="n">
        <v>19.4194</v>
      </c>
      <c r="L14" s="20" t="n">
        <v>4.1688</v>
      </c>
      <c r="M14" s="20" t="n">
        <v>19.75</v>
      </c>
      <c r="N14" s="9" t="n">
        <v>6.7</v>
      </c>
      <c r="O14" s="9" t="n">
        <v>0.3</v>
      </c>
      <c r="P14" s="9" t="n">
        <v>75</v>
      </c>
    </row>
    <row r="15">
      <c r="A15" s="2" t="inlineStr">
        <is>
          <t>'Min acres if planted' is what the plant/don't-plant switch enforces — see section 4.</t>
        </is>
      </c>
    </row>
    <row r="17">
      <c r="A17" s="3" t="inlineStr">
        <is>
          <t>3 — WHO BUYS IT   (one row per crop x channel — the grower's ruling)</t>
        </is>
      </c>
    </row>
    <row r="18">
      <c r="A18" s="11" t="inlineStr">
        <is>
          <t>Crop</t>
        </is>
      </c>
      <c r="B18" s="11" t="inlineStr">
        <is>
          <t>Channel</t>
        </is>
      </c>
      <c r="C18" s="11" t="inlineStr">
        <is>
          <t>Cap type</t>
        </is>
      </c>
      <c r="D18" s="11" t="inlineStr">
        <is>
          <t>Cap lb</t>
        </is>
      </c>
      <c r="E18" s="11" t="inlineStr">
        <is>
          <t>From wk</t>
        </is>
      </c>
      <c r="F18" s="11" t="inlineStr">
        <is>
          <t>To wk</t>
        </is>
      </c>
      <c r="G18" s="11" t="inlineStr">
        <is>
          <t>Sell-through</t>
        </is>
      </c>
      <c r="H18" s="11" t="inlineStr">
        <is>
          <t>Returns to store</t>
        </is>
      </c>
      <c r="I18" s="11" t="inlineStr">
        <is>
          <t>Price $/lb</t>
        </is>
      </c>
      <c r="J18" s="11" t="inlineStr">
        <is>
          <t>Packaging $/lb</t>
        </is>
      </c>
    </row>
    <row r="19">
      <c r="A19" s="12" t="inlineStr">
        <is>
          <t>Spinach</t>
        </is>
      </c>
      <c r="B19" s="15" t="inlineStr">
        <is>
          <t>Farmers Market</t>
        </is>
      </c>
      <c r="C19" s="16" t="inlineStr">
        <is>
          <t>Weekly</t>
        </is>
      </c>
      <c r="D19" s="10" t="n">
        <v>6000</v>
      </c>
      <c r="E19" s="16" t="n">
        <v>10</v>
      </c>
      <c r="F19" s="16" t="n">
        <v>48</v>
      </c>
      <c r="G19" s="13" t="n">
        <v>1</v>
      </c>
      <c r="H19" s="13" t="n">
        <v>0</v>
      </c>
      <c r="I19" s="20" t="n">
        <v>2.75</v>
      </c>
      <c r="J19" s="20" t="n">
        <v>0.18</v>
      </c>
    </row>
    <row r="20">
      <c r="A20" s="12" t="inlineStr">
        <is>
          <t>Spinach</t>
        </is>
      </c>
      <c r="B20" s="21" t="inlineStr">
        <is>
          <t>Wholesale</t>
        </is>
      </c>
      <c r="C20" s="16" t="inlineStr">
        <is>
          <t>Weekly</t>
        </is>
      </c>
      <c r="D20" s="10" t="n">
        <v>25000</v>
      </c>
      <c r="E20" s="16" t="n">
        <v>1</v>
      </c>
      <c r="F20" s="16" t="n">
        <v>52</v>
      </c>
      <c r="G20" s="13" t="n">
        <v>1</v>
      </c>
      <c r="H20" s="13" t="n">
        <v>0</v>
      </c>
      <c r="I20" s="20" t="n">
        <v>1</v>
      </c>
      <c r="J20" s="20" t="n">
        <v>0.09</v>
      </c>
    </row>
    <row r="21">
      <c r="A21" s="12" t="inlineStr">
        <is>
          <t>Kale</t>
        </is>
      </c>
      <c r="B21" s="15" t="inlineStr">
        <is>
          <t>Farmers Market</t>
        </is>
      </c>
      <c r="C21" s="16" t="inlineStr">
        <is>
          <t>Weekly</t>
        </is>
      </c>
      <c r="D21" s="10" t="n">
        <v>3500</v>
      </c>
      <c r="E21" s="16" t="n">
        <v>10</v>
      </c>
      <c r="F21" s="16" t="n">
        <v>50</v>
      </c>
      <c r="G21" s="13" t="n">
        <v>1</v>
      </c>
      <c r="H21" s="13" t="n">
        <v>0</v>
      </c>
      <c r="I21" s="20" t="n">
        <v>2</v>
      </c>
      <c r="J21" s="20" t="n">
        <v>0.14</v>
      </c>
    </row>
    <row r="22">
      <c r="A22" s="12" t="inlineStr">
        <is>
          <t>Kale</t>
        </is>
      </c>
      <c r="B22" s="21" t="inlineStr">
        <is>
          <t>Wholesale</t>
        </is>
      </c>
      <c r="C22" s="16" t="inlineStr">
        <is>
          <t>Annual</t>
        </is>
      </c>
      <c r="D22" s="10" t="n">
        <v>500000</v>
      </c>
      <c r="E22" s="16" t="n">
        <v>1</v>
      </c>
      <c r="F22" s="16" t="n">
        <v>52</v>
      </c>
      <c r="G22" s="13" t="n">
        <v>1</v>
      </c>
      <c r="H22" s="13" t="n">
        <v>0</v>
      </c>
      <c r="I22" s="20" t="n">
        <v>0.7</v>
      </c>
      <c r="J22" s="20" t="n">
        <v>0.07000000000000001</v>
      </c>
    </row>
    <row r="23">
      <c r="A23" s="12" t="inlineStr">
        <is>
          <t>Garlic</t>
        </is>
      </c>
      <c r="B23" s="15" t="inlineStr">
        <is>
          <t>Farmers Market</t>
        </is>
      </c>
      <c r="C23" s="16" t="inlineStr">
        <is>
          <t>Weekly</t>
        </is>
      </c>
      <c r="D23" s="10" t="n">
        <v>2000</v>
      </c>
      <c r="E23" s="16" t="n">
        <v>22</v>
      </c>
      <c r="F23" s="16" t="n">
        <v>35</v>
      </c>
      <c r="G23" s="13" t="n">
        <v>1</v>
      </c>
      <c r="H23" s="13" t="n">
        <v>1</v>
      </c>
      <c r="I23" s="20" t="n">
        <v>6</v>
      </c>
      <c r="J23" s="20" t="n">
        <v>0.4</v>
      </c>
    </row>
    <row r="24">
      <c r="A24" s="12" t="inlineStr">
        <is>
          <t>Garlic</t>
        </is>
      </c>
      <c r="B24" s="21" t="inlineStr">
        <is>
          <t>Wholesale</t>
        </is>
      </c>
      <c r="C24" s="16" t="inlineStr">
        <is>
          <t>Weekly</t>
        </is>
      </c>
      <c r="D24" s="10" t="n">
        <v>30000</v>
      </c>
      <c r="E24" s="16" t="n">
        <v>1</v>
      </c>
      <c r="F24" s="16" t="n">
        <v>52</v>
      </c>
      <c r="G24" s="13" t="n">
        <v>1</v>
      </c>
      <c r="H24" s="13" t="n">
        <v>0</v>
      </c>
      <c r="I24" s="20" t="n">
        <v>2.75</v>
      </c>
      <c r="J24" s="20" t="n">
        <v>0.2</v>
      </c>
    </row>
    <row r="26">
      <c r="A26" s="3" t="inlineStr">
        <is>
          <t>3b — THE CREW</t>
        </is>
      </c>
    </row>
    <row r="27">
      <c r="A27" s="11" t="inlineStr">
        <is>
          <t>Position</t>
        </is>
      </c>
      <c r="B27" s="11" t="inlineStr">
        <is>
          <t>Count</t>
        </is>
      </c>
      <c r="C27" s="11" t="inlineStr">
        <is>
          <t>Type</t>
        </is>
      </c>
      <c r="D27" s="11" t="inlineStr">
        <is>
          <t>Wage</t>
        </is>
      </c>
      <c r="E27" s="11" t="inlineStr">
        <is>
          <t>Hours/wk</t>
        </is>
      </c>
      <c r="F27" s="11" t="inlineStr">
        <is>
          <t>Field time %</t>
        </is>
      </c>
      <c r="G27" s="11" t="inlineStr">
        <is>
          <t>From wk</t>
        </is>
      </c>
      <c r="H27" s="11" t="inlineStr">
        <is>
          <t>To wk</t>
        </is>
      </c>
      <c r="I27" s="11" t="inlineStr">
        <is>
          <t>Hire more?</t>
        </is>
      </c>
      <c r="J27" s="11" t="inlineStr">
        <is>
          <t>Max more</t>
        </is>
      </c>
      <c r="K27" s="11" t="inlineStr">
        <is>
          <t>EXTRA HIRED</t>
        </is>
      </c>
      <c r="L27" s="11" t="inlineStr">
        <is>
          <t>Room left</t>
        </is>
      </c>
    </row>
    <row r="28">
      <c r="A28" s="12" t="inlineStr">
        <is>
          <t>Farm Manager</t>
        </is>
      </c>
      <c r="B28" s="22" t="n">
        <v>1</v>
      </c>
      <c r="C28" s="12" t="inlineStr">
        <is>
          <t>salary</t>
        </is>
      </c>
      <c r="D28" s="18" t="n">
        <v>95000</v>
      </c>
      <c r="E28" s="22" t="n">
        <v>45</v>
      </c>
      <c r="F28" s="22" t="n">
        <v>80</v>
      </c>
      <c r="G28" s="22" t="n">
        <v>1</v>
      </c>
      <c r="H28" s="22" t="n">
        <v>52</v>
      </c>
      <c r="I28" s="16" t="inlineStr">
        <is>
          <t>N</t>
        </is>
      </c>
      <c r="J28" s="22" t="n">
        <v>0</v>
      </c>
      <c r="K28" s="23" t="n">
        <v>0</v>
      </c>
      <c r="L28" s="24">
        <f>IF($I$28="Y",$J$28-$K$28,0)</f>
        <v/>
      </c>
    </row>
    <row r="29">
      <c r="A29" s="12" t="inlineStr">
        <is>
          <t>Equipment Operator</t>
        </is>
      </c>
      <c r="B29" s="22" t="n">
        <v>2</v>
      </c>
      <c r="C29" s="12" t="inlineStr">
        <is>
          <t>hourly</t>
        </is>
      </c>
      <c r="D29" s="18" t="n">
        <v>26</v>
      </c>
      <c r="E29" s="22" t="n">
        <v>40</v>
      </c>
      <c r="F29" s="22" t="n">
        <v>90</v>
      </c>
      <c r="G29" s="22" t="n">
        <v>1</v>
      </c>
      <c r="H29" s="22" t="n">
        <v>52</v>
      </c>
      <c r="I29" s="16" t="inlineStr">
        <is>
          <t>N</t>
        </is>
      </c>
      <c r="J29" s="22" t="n">
        <v>0</v>
      </c>
      <c r="K29" s="23" t="n">
        <v>0</v>
      </c>
      <c r="L29" s="24">
        <f>IF($I$29="Y",$J$29-$K$29,0)</f>
        <v/>
      </c>
    </row>
    <row r="30">
      <c r="A30" s="12" t="inlineStr">
        <is>
          <t>Seasonal Field Crew</t>
        </is>
      </c>
      <c r="B30" s="22" t="n">
        <v>12</v>
      </c>
      <c r="C30" s="12" t="inlineStr">
        <is>
          <t>seasonal</t>
        </is>
      </c>
      <c r="D30" s="18" t="n">
        <v>20</v>
      </c>
      <c r="E30" s="22" t="n">
        <v>40</v>
      </c>
      <c r="F30" s="22" t="n">
        <v>100</v>
      </c>
      <c r="G30" s="22" t="n">
        <v>10</v>
      </c>
      <c r="H30" s="22" t="n">
        <v>42</v>
      </c>
      <c r="I30" s="16" t="inlineStr">
        <is>
          <t>Y</t>
        </is>
      </c>
      <c r="J30" s="22" t="n">
        <v>10</v>
      </c>
      <c r="K30" s="23" t="n">
        <v>0</v>
      </c>
      <c r="L30" s="24">
        <f>IF($I$30="Y",$J$30-$K$30,0)</f>
        <v/>
      </c>
    </row>
    <row r="31">
      <c r="A31" s="12" t="inlineStr">
        <is>
          <t>Harvest Crew</t>
        </is>
      </c>
      <c r="B31" s="22" t="n">
        <v>8</v>
      </c>
      <c r="C31" s="12" t="inlineStr">
        <is>
          <t>seasonal</t>
        </is>
      </c>
      <c r="D31" s="18" t="n">
        <v>19</v>
      </c>
      <c r="E31" s="22" t="n">
        <v>40</v>
      </c>
      <c r="F31" s="22" t="n">
        <v>100</v>
      </c>
      <c r="G31" s="22" t="n">
        <v>14</v>
      </c>
      <c r="H31" s="22" t="n">
        <v>40</v>
      </c>
      <c r="I31" s="16" t="inlineStr">
        <is>
          <t>Y</t>
        </is>
      </c>
      <c r="J31" s="22" t="n">
        <v>10</v>
      </c>
      <c r="K31" s="23" t="n">
        <v>0</v>
      </c>
      <c r="L31" s="24">
        <f>IF($I$31="Y",$J$31-$K$31,0)</f>
        <v/>
      </c>
    </row>
    <row r="32">
      <c r="A32" s="2" t="inlineStr">
        <is>
          <t xml:space="preserve">   EXTRA HIRED is the solver's answer, in whole people: "change this row's Count from 8 to 11". It is committed for the ROLE'S window — a head you add to a 27-week crew is 27 weeks of wages, which is why the answer is often zero.</t>
        </is>
      </c>
    </row>
    <row r="33">
      <c r="A33" s="2" t="inlineStr">
        <is>
          <t xml:space="preserve">   ⚠️ If the weeks you could hire for DIFFER from this row's window, add a NEW row with the same title and its own weeks. A different window is a different job offer, not a variation on this one.</t>
        </is>
      </c>
    </row>
    <row r="34">
      <c r="A34" s="2" t="inlineStr">
        <is>
          <t xml:space="preserve">   No committed staff of a role, but curious? Put Count 0, Hire more Y, and set the weeks. That asks "should I have this crew at all?"</t>
        </is>
      </c>
    </row>
    <row r="35">
      <c r="A35" s="4" t="inlineStr">
        <is>
          <t>Payroll load %</t>
        </is>
      </c>
      <c r="B35" s="25" t="n">
        <v>0.25</v>
      </c>
      <c r="C35" s="2" t="inlineStr">
        <is>
          <t>employer taxes, workers' comp, benefits — applied to EVERY wage, salaried included</t>
        </is>
      </c>
    </row>
    <row r="36">
      <c r="A36" s="4" t="inlineStr">
        <is>
          <t>Overtime multiplier</t>
        </is>
      </c>
      <c r="B36" s="13" t="n">
        <v>1.5</v>
      </c>
      <c r="C36" s="2" t="inlineStr">
        <is>
          <t>your own crew staying late, on top of their blended hourly rate</t>
        </is>
      </c>
    </row>
    <row r="37">
      <c r="A37" s="4" t="inlineStr">
        <is>
          <t>Overtime ALLOWANCE</t>
        </is>
      </c>
      <c r="B37" s="13" t="n">
        <v>1.25</v>
      </c>
      <c r="C37" s="2" t="inlineStr">
        <is>
          <t>1.25 = 'I will let people work 125% of normal hours'. ⚠️ v9 REPLACED a typed hours cap with this. The cap is now DERIVED per week — see the Overtime cap row.</t>
        </is>
      </c>
    </row>
    <row r="38">
      <c r="A38" s="2" t="inlineStr">
        <is>
          <t xml:space="preserve">   v8 typed a flat 200 hrs/week here. On the app's own farm that let 15 of 52 weeks buy MORE overtime than the whole crew's regular hours (185% in winter), and the app's solver took it: 191 overtime hours against 299 crew hours in one week.</t>
        </is>
      </c>
    </row>
    <row r="39">
      <c r="A39" s="2" t="inlineStr">
        <is>
          <t xml:space="preserve">   No flat number can express the rule, because the crew swings 108 to 908 hrs/wk across the year. That is why it is an allowance and not an amount.</t>
        </is>
      </c>
    </row>
    <row r="41">
      <c r="A41" s="4" t="inlineStr">
        <is>
          <t>New-hire productivity %</t>
        </is>
      </c>
      <c r="B41" s="22" t="n">
        <v>70</v>
      </c>
      <c r="C41" s="2" t="inlineStr">
        <is>
          <t>a new hand is not as fast as the crew already doing the job — it multiplies their HOURS, not their wage</t>
        </is>
      </c>
    </row>
    <row r="42">
      <c r="A42" s="4" t="inlineStr">
        <is>
          <t>Cost per new head</t>
        </is>
      </c>
      <c r="B42" s="18" t="n">
        <v>800</v>
      </c>
      <c r="C42" s="2" t="inlineStr">
        <is>
          <t>recruitment, onboarding, transport — per PERSON, once</t>
        </is>
      </c>
    </row>
    <row r="44">
      <c r="A44" s="3" t="inlineStr">
        <is>
          <t>3c — PIECE-RATE HARVEST CREW  (paid per pound, not per hour)</t>
        </is>
      </c>
    </row>
    <row r="45">
      <c r="A45" s="2" t="inlineStr">
        <is>
          <t xml:space="preserve">   Everything else on this sheet is COMMITTED labour — owed whether the crops need it or not. This is the opposite: you pay for what they pick and nothing when there is nothing to pick, which is why it lands in COGS and not the wage bill.</t>
        </is>
      </c>
    </row>
    <row r="46">
      <c r="B46" s="11" t="inlineStr">
        <is>
          <t>From wk</t>
        </is>
      </c>
      <c r="C46" s="11" t="inlineStr">
        <is>
          <t>To wk</t>
        </is>
      </c>
      <c r="D46" s="11" t="inlineStr">
        <is>
          <t>Crew hrs/week</t>
        </is>
      </c>
      <c r="E46" s="11" t="inlineStr">
        <is>
          <t>Var cost $/lb</t>
        </is>
      </c>
      <c r="F46" s="11" t="inlineStr">
        <is>
          <t>Fixed cost $</t>
        </is>
      </c>
      <c r="G46" s="11" t="inlineStr">
        <is>
          <t>Pre-committed?</t>
        </is>
      </c>
    </row>
    <row r="47">
      <c r="A47" s="4" t="inlineStr">
        <is>
          <t>Piece-rate crew</t>
        </is>
      </c>
      <c r="B47" s="22" t="n">
        <v>1</v>
      </c>
      <c r="C47" s="22" t="n">
        <v>52</v>
      </c>
      <c r="D47" s="10" t="n">
        <v>200</v>
      </c>
      <c r="E47" s="26" t="n">
        <v>0.02</v>
      </c>
      <c r="F47" s="18" t="n">
        <v>2500</v>
      </c>
      <c r="G47" s="16" t="inlineStr">
        <is>
          <t>N</t>
        </is>
      </c>
    </row>
    <row r="48">
      <c r="A48" s="27" t="inlineStr">
        <is>
          <t>ENGAGED?</t>
        </is>
      </c>
      <c r="B48" s="23" t="n">
        <v>0</v>
      </c>
      <c r="C48" s="2" t="inlineStr">
        <is>
          <t>&lt;-- SOLVER (0 or 1). The fixed cost is charged only if they are engaged — or always, if Pre-committed is Y.</t>
        </is>
      </c>
    </row>
    <row r="49">
      <c r="A49" s="4" t="inlineStr">
        <is>
          <t>Minimum wage floor $/hr</t>
        </is>
      </c>
      <c r="B49" s="20" t="n">
        <v>16.07</v>
      </c>
      <c r="C49" s="2" t="inlineStr">
        <is>
          <t>AEWR Skill II, 2026. A piece-rate worker must still earn this for the hours worked; if the rate falls short the employer makes up the difference (FLSA).</t>
        </is>
      </c>
    </row>
    <row r="51">
      <c r="B51" s="11" t="inlineStr">
        <is>
          <t>$ per bushel</t>
        </is>
      </c>
      <c r="C51" s="11" t="inlineStr">
        <is>
          <t>lb per bushel</t>
        </is>
      </c>
      <c r="D51" s="11" t="inlineStr">
        <is>
          <t>-&gt; $/lb</t>
        </is>
      </c>
      <c r="E51" s="11" t="inlineStr">
        <is>
          <t>floor $/lb</t>
        </is>
      </c>
      <c r="F51" s="11" t="inlineStr">
        <is>
          <t>EFFECTIVE $/lb</t>
        </is>
      </c>
      <c r="G51" s="11" t="inlineStr">
        <is>
          <t>which binds</t>
        </is>
      </c>
    </row>
    <row r="52">
      <c r="A52" s="28" t="inlineStr">
        <is>
          <t xml:space="preserve">   Spinach</t>
        </is>
      </c>
      <c r="B52" s="20" t="n">
        <v>3</v>
      </c>
      <c r="C52" s="29">
        <f>0.035237425919999996/$D$12</f>
        <v/>
      </c>
      <c r="D52" s="30">
        <f>B52/C52</f>
        <v/>
      </c>
      <c r="E52" s="30">
        <f>$B$49/($B$12/$P$12)</f>
        <v/>
      </c>
      <c r="F52" s="31">
        <f>MAX(D52,E52)+$E$47</f>
        <v/>
      </c>
      <c r="G52" s="12">
        <f>IF(E52&gt;D52,"FLOOR","rate")</f>
        <v/>
      </c>
    </row>
    <row r="53">
      <c r="A53" s="28" t="inlineStr">
        <is>
          <t xml:space="preserve">   Kale</t>
        </is>
      </c>
      <c r="B53" s="20" t="n">
        <v>1</v>
      </c>
      <c r="C53" s="29">
        <f>0.035237425919999996/$D$13</f>
        <v/>
      </c>
      <c r="D53" s="30">
        <f>B53/C53</f>
        <v/>
      </c>
      <c r="E53" s="30">
        <f>$B$49/($B$13/$P$13)</f>
        <v/>
      </c>
      <c r="F53" s="31">
        <f>MAX(D53,E53)+$E$47</f>
        <v/>
      </c>
      <c r="G53" s="12">
        <f>IF(E53&gt;D53,"FLOOR","rate")</f>
        <v/>
      </c>
    </row>
    <row r="54">
      <c r="A54" s="28" t="inlineStr">
        <is>
          <t xml:space="preserve">   Garlic</t>
        </is>
      </c>
      <c r="B54" s="20" t="n">
        <v>2</v>
      </c>
      <c r="C54" s="29">
        <f>0.035237425919999996/$D$14</f>
        <v/>
      </c>
      <c r="D54" s="30">
        <f>B54/C54</f>
        <v/>
      </c>
      <c r="E54" s="30">
        <f>$B$49/($B$14/$P$14)</f>
        <v/>
      </c>
      <c r="F54" s="31">
        <f>MAX(D54,E54)+$E$47</f>
        <v/>
      </c>
      <c r="G54" s="12">
        <f>IF(E54&gt;D54,"FLOOR","rate")</f>
        <v/>
      </c>
    </row>
    <row r="55">
      <c r="A55" s="2" t="inlineStr">
        <is>
          <t xml:space="preserve">   A rate entered BELOW its floor is inoperative — you pay the floor. That is not a modelling choice, it is FLSA: the make-up pay is real money.</t>
        </is>
      </c>
    </row>
    <row r="56">
      <c r="A56" s="2" t="inlineStr">
        <is>
          <t xml:space="preserve">   ⚠️ 'lb per bushel' comes from the crop's own volume figure. Check it against what you can lift: a bushel of kale is about 18 lb in the trade. See backlog L6.</t>
        </is>
      </c>
    </row>
    <row r="58">
      <c r="A58" s="32" t="inlineStr">
        <is>
          <t>Week</t>
        </is>
      </c>
      <c r="B58" s="33" t="inlineStr">
        <is>
          <t>lb</t>
        </is>
      </c>
      <c r="E58" s="34" t="n">
        <v>1</v>
      </c>
      <c r="F58" s="34" t="n">
        <v>2</v>
      </c>
      <c r="G58" s="34" t="n">
        <v>3</v>
      </c>
      <c r="H58" s="34" t="n">
        <v>4</v>
      </c>
      <c r="I58" s="34" t="n">
        <v>5</v>
      </c>
      <c r="J58" s="34" t="n">
        <v>6</v>
      </c>
      <c r="K58" s="34" t="n">
        <v>7</v>
      </c>
      <c r="L58" s="34" t="n">
        <v>8</v>
      </c>
      <c r="M58" s="34" t="n">
        <v>9</v>
      </c>
      <c r="N58" s="34" t="n">
        <v>10</v>
      </c>
      <c r="O58" s="34" t="n">
        <v>11</v>
      </c>
      <c r="P58" s="34" t="n">
        <v>12</v>
      </c>
      <c r="Q58" s="34" t="n">
        <v>13</v>
      </c>
      <c r="R58" s="34" t="n">
        <v>14</v>
      </c>
      <c r="S58" s="34" t="n">
        <v>15</v>
      </c>
      <c r="T58" s="34" t="n">
        <v>16</v>
      </c>
      <c r="U58" s="34" t="n">
        <v>17</v>
      </c>
      <c r="V58" s="34" t="n">
        <v>18</v>
      </c>
      <c r="W58" s="34" t="n">
        <v>19</v>
      </c>
      <c r="X58" s="34" t="n">
        <v>20</v>
      </c>
      <c r="Y58" s="34" t="n">
        <v>21</v>
      </c>
      <c r="Z58" s="34" t="n">
        <v>22</v>
      </c>
      <c r="AA58" s="34" t="n">
        <v>23</v>
      </c>
      <c r="AB58" s="34" t="n">
        <v>24</v>
      </c>
      <c r="AC58" s="34" t="n">
        <v>25</v>
      </c>
      <c r="AD58" s="34" t="n">
        <v>26</v>
      </c>
      <c r="AE58" s="34" t="n">
        <v>27</v>
      </c>
      <c r="AF58" s="34" t="n">
        <v>28</v>
      </c>
      <c r="AG58" s="34" t="n">
        <v>29</v>
      </c>
      <c r="AH58" s="34" t="n">
        <v>30</v>
      </c>
      <c r="AI58" s="34" t="n">
        <v>31</v>
      </c>
      <c r="AJ58" s="34" t="n">
        <v>32</v>
      </c>
      <c r="AK58" s="34" t="n">
        <v>33</v>
      </c>
      <c r="AL58" s="34" t="n">
        <v>34</v>
      </c>
      <c r="AM58" s="34" t="n">
        <v>35</v>
      </c>
      <c r="AN58" s="34" t="n">
        <v>36</v>
      </c>
      <c r="AO58" s="34" t="n">
        <v>37</v>
      </c>
      <c r="AP58" s="34" t="n">
        <v>38</v>
      </c>
      <c r="AQ58" s="34" t="n">
        <v>39</v>
      </c>
      <c r="AR58" s="34" t="n">
        <v>40</v>
      </c>
      <c r="AS58" s="34" t="n">
        <v>41</v>
      </c>
      <c r="AT58" s="34" t="n">
        <v>42</v>
      </c>
      <c r="AU58" s="34" t="n">
        <v>43</v>
      </c>
      <c r="AV58" s="34" t="n">
        <v>44</v>
      </c>
      <c r="AW58" s="34" t="n">
        <v>45</v>
      </c>
      <c r="AX58" s="34" t="n">
        <v>46</v>
      </c>
      <c r="AY58" s="34" t="n">
        <v>47</v>
      </c>
      <c r="AZ58" s="34" t="n">
        <v>48</v>
      </c>
      <c r="BA58" s="34" t="n">
        <v>49</v>
      </c>
      <c r="BB58" s="34" t="n">
        <v>50</v>
      </c>
      <c r="BC58" s="34" t="n">
        <v>51</v>
      </c>
      <c r="BD58" s="34" t="n">
        <v>52</v>
      </c>
    </row>
    <row r="59">
      <c r="A59" s="27" t="inlineStr">
        <is>
          <t xml:space="preserve">   Spinach — picked by piece-rate crew</t>
        </is>
      </c>
      <c r="B59" s="2" t="inlineStr">
        <is>
          <t>lb &lt;-- SOLVER</t>
        </is>
      </c>
      <c r="E59" s="35" t="n">
        <v>0</v>
      </c>
      <c r="F59" s="35" t="n">
        <v>0</v>
      </c>
      <c r="G59" s="35" t="n">
        <v>0</v>
      </c>
      <c r="H59" s="35" t="n">
        <v>0</v>
      </c>
      <c r="I59" s="35" t="n">
        <v>0</v>
      </c>
      <c r="J59" s="35" t="n">
        <v>0</v>
      </c>
      <c r="K59" s="35" t="n">
        <v>0</v>
      </c>
      <c r="L59" s="35" t="n">
        <v>0</v>
      </c>
      <c r="M59" s="35" t="n">
        <v>0</v>
      </c>
      <c r="N59" s="35" t="n">
        <v>0</v>
      </c>
      <c r="O59" s="35" t="n">
        <v>0</v>
      </c>
      <c r="P59" s="35" t="n">
        <v>0</v>
      </c>
      <c r="Q59" s="35" t="n">
        <v>0</v>
      </c>
      <c r="R59" s="35" t="n">
        <v>0</v>
      </c>
      <c r="S59" s="35" t="n">
        <v>0</v>
      </c>
      <c r="T59" s="35" t="n">
        <v>0</v>
      </c>
      <c r="U59" s="35" t="n">
        <v>0</v>
      </c>
      <c r="V59" s="35" t="n">
        <v>0</v>
      </c>
      <c r="W59" s="35" t="n">
        <v>0</v>
      </c>
      <c r="X59" s="35" t="n">
        <v>0</v>
      </c>
      <c r="Y59" s="35" t="n">
        <v>0</v>
      </c>
      <c r="Z59" s="35" t="n">
        <v>0</v>
      </c>
      <c r="AA59" s="35" t="n">
        <v>0</v>
      </c>
      <c r="AB59" s="35" t="n">
        <v>0</v>
      </c>
      <c r="AC59" s="35" t="n">
        <v>0</v>
      </c>
      <c r="AD59" s="35" t="n">
        <v>0</v>
      </c>
      <c r="AE59" s="35" t="n">
        <v>0</v>
      </c>
      <c r="AF59" s="35" t="n">
        <v>0</v>
      </c>
      <c r="AG59" s="35" t="n">
        <v>0</v>
      </c>
      <c r="AH59" s="35" t="n">
        <v>0</v>
      </c>
      <c r="AI59" s="35" t="n">
        <v>0</v>
      </c>
      <c r="AJ59" s="35" t="n">
        <v>0</v>
      </c>
      <c r="AK59" s="35" t="n">
        <v>0</v>
      </c>
      <c r="AL59" s="35" t="n">
        <v>0</v>
      </c>
      <c r="AM59" s="35" t="n">
        <v>0</v>
      </c>
      <c r="AN59" s="35" t="n">
        <v>0</v>
      </c>
      <c r="AO59" s="35" t="n">
        <v>0</v>
      </c>
      <c r="AP59" s="35" t="n">
        <v>0</v>
      </c>
      <c r="AQ59" s="35" t="n">
        <v>0</v>
      </c>
      <c r="AR59" s="35" t="n">
        <v>0</v>
      </c>
      <c r="AS59" s="35" t="n">
        <v>0</v>
      </c>
      <c r="AT59" s="35" t="n">
        <v>0</v>
      </c>
      <c r="AU59" s="35" t="n">
        <v>0</v>
      </c>
      <c r="AV59" s="35" t="n">
        <v>0</v>
      </c>
      <c r="AW59" s="35" t="n">
        <v>0</v>
      </c>
      <c r="AX59" s="35" t="n">
        <v>0</v>
      </c>
      <c r="AY59" s="35" t="n">
        <v>0</v>
      </c>
      <c r="AZ59" s="35" t="n">
        <v>0</v>
      </c>
      <c r="BA59" s="35" t="n">
        <v>0</v>
      </c>
      <c r="BB59" s="35" t="n">
        <v>0</v>
      </c>
      <c r="BC59" s="35" t="n">
        <v>0</v>
      </c>
      <c r="BD59" s="35" t="n">
        <v>0</v>
      </c>
    </row>
    <row r="60">
      <c r="A60" s="27" t="inlineStr">
        <is>
          <t xml:space="preserve">   Kale — picked by piece-rate crew</t>
        </is>
      </c>
      <c r="B60" s="2" t="inlineStr">
        <is>
          <t>lb &lt;-- SOLVER</t>
        </is>
      </c>
      <c r="E60" s="35" t="n">
        <v>0</v>
      </c>
      <c r="F60" s="35" t="n">
        <v>0</v>
      </c>
      <c r="G60" s="35" t="n">
        <v>0</v>
      </c>
      <c r="H60" s="35" t="n">
        <v>0</v>
      </c>
      <c r="I60" s="35" t="n">
        <v>0</v>
      </c>
      <c r="J60" s="35" t="n">
        <v>0</v>
      </c>
      <c r="K60" s="35" t="n">
        <v>0</v>
      </c>
      <c r="L60" s="35" t="n">
        <v>0</v>
      </c>
      <c r="M60" s="35" t="n">
        <v>0</v>
      </c>
      <c r="N60" s="35" t="n">
        <v>0</v>
      </c>
      <c r="O60" s="35" t="n">
        <v>0</v>
      </c>
      <c r="P60" s="35" t="n">
        <v>0</v>
      </c>
      <c r="Q60" s="35" t="n">
        <v>0</v>
      </c>
      <c r="R60" s="35" t="n">
        <v>0</v>
      </c>
      <c r="S60" s="35" t="n">
        <v>0</v>
      </c>
      <c r="T60" s="35" t="n">
        <v>0</v>
      </c>
      <c r="U60" s="35" t="n">
        <v>0</v>
      </c>
      <c r="V60" s="35" t="n">
        <v>0</v>
      </c>
      <c r="W60" s="35" t="n">
        <v>0</v>
      </c>
      <c r="X60" s="35" t="n">
        <v>0</v>
      </c>
      <c r="Y60" s="35" t="n">
        <v>0</v>
      </c>
      <c r="Z60" s="35" t="n">
        <v>0</v>
      </c>
      <c r="AA60" s="35" t="n">
        <v>0</v>
      </c>
      <c r="AB60" s="35" t="n">
        <v>0</v>
      </c>
      <c r="AC60" s="35" t="n">
        <v>0</v>
      </c>
      <c r="AD60" s="35" t="n">
        <v>0</v>
      </c>
      <c r="AE60" s="35" t="n">
        <v>0</v>
      </c>
      <c r="AF60" s="35" t="n">
        <v>0</v>
      </c>
      <c r="AG60" s="35" t="n">
        <v>0</v>
      </c>
      <c r="AH60" s="35" t="n">
        <v>0</v>
      </c>
      <c r="AI60" s="35" t="n">
        <v>0</v>
      </c>
      <c r="AJ60" s="35" t="n">
        <v>0</v>
      </c>
      <c r="AK60" s="35" t="n">
        <v>0</v>
      </c>
      <c r="AL60" s="35" t="n">
        <v>0</v>
      </c>
      <c r="AM60" s="35" t="n">
        <v>0</v>
      </c>
      <c r="AN60" s="35" t="n">
        <v>0</v>
      </c>
      <c r="AO60" s="35" t="n">
        <v>0</v>
      </c>
      <c r="AP60" s="35" t="n">
        <v>0</v>
      </c>
      <c r="AQ60" s="35" t="n">
        <v>0</v>
      </c>
      <c r="AR60" s="35" t="n">
        <v>0</v>
      </c>
      <c r="AS60" s="35" t="n">
        <v>0</v>
      </c>
      <c r="AT60" s="35" t="n">
        <v>0</v>
      </c>
      <c r="AU60" s="35" t="n">
        <v>0</v>
      </c>
      <c r="AV60" s="35" t="n">
        <v>0</v>
      </c>
      <c r="AW60" s="35" t="n">
        <v>0</v>
      </c>
      <c r="AX60" s="35" t="n">
        <v>0</v>
      </c>
      <c r="AY60" s="35" t="n">
        <v>0</v>
      </c>
      <c r="AZ60" s="35" t="n">
        <v>0</v>
      </c>
      <c r="BA60" s="35" t="n">
        <v>0</v>
      </c>
      <c r="BB60" s="35" t="n">
        <v>0</v>
      </c>
      <c r="BC60" s="35" t="n">
        <v>0</v>
      </c>
      <c r="BD60" s="35" t="n">
        <v>0</v>
      </c>
    </row>
    <row r="61">
      <c r="A61" s="27" t="inlineStr">
        <is>
          <t xml:space="preserve">   Garlic — picked by piece-rate crew</t>
        </is>
      </c>
      <c r="B61" s="2" t="inlineStr">
        <is>
          <t>lb &lt;-- SOLVER</t>
        </is>
      </c>
      <c r="E61" s="35" t="n">
        <v>0</v>
      </c>
      <c r="F61" s="35" t="n">
        <v>0</v>
      </c>
      <c r="G61" s="35" t="n">
        <v>0</v>
      </c>
      <c r="H61" s="35" t="n">
        <v>0</v>
      </c>
      <c r="I61" s="35" t="n">
        <v>0</v>
      </c>
      <c r="J61" s="35" t="n">
        <v>0</v>
      </c>
      <c r="K61" s="35" t="n">
        <v>0</v>
      </c>
      <c r="L61" s="35" t="n">
        <v>0</v>
      </c>
      <c r="M61" s="35" t="n">
        <v>0</v>
      </c>
      <c r="N61" s="35" t="n">
        <v>0</v>
      </c>
      <c r="O61" s="35" t="n">
        <v>0</v>
      </c>
      <c r="P61" s="35" t="n">
        <v>0</v>
      </c>
      <c r="Q61" s="35" t="n">
        <v>0</v>
      </c>
      <c r="R61" s="35" t="n">
        <v>0</v>
      </c>
      <c r="S61" s="35" t="n">
        <v>0</v>
      </c>
      <c r="T61" s="35" t="n">
        <v>0</v>
      </c>
      <c r="U61" s="35" t="n">
        <v>0</v>
      </c>
      <c r="V61" s="35" t="n">
        <v>0</v>
      </c>
      <c r="W61" s="35" t="n">
        <v>0</v>
      </c>
      <c r="X61" s="35" t="n">
        <v>0</v>
      </c>
      <c r="Y61" s="35" t="n">
        <v>0</v>
      </c>
      <c r="Z61" s="35" t="n">
        <v>0</v>
      </c>
      <c r="AA61" s="35" t="n">
        <v>0</v>
      </c>
      <c r="AB61" s="35" t="n">
        <v>0</v>
      </c>
      <c r="AC61" s="35" t="n">
        <v>0</v>
      </c>
      <c r="AD61" s="35" t="n">
        <v>0</v>
      </c>
      <c r="AE61" s="35" t="n">
        <v>0</v>
      </c>
      <c r="AF61" s="35" t="n">
        <v>0</v>
      </c>
      <c r="AG61" s="35" t="n">
        <v>0</v>
      </c>
      <c r="AH61" s="35" t="n">
        <v>0</v>
      </c>
      <c r="AI61" s="35" t="n">
        <v>0</v>
      </c>
      <c r="AJ61" s="35" t="n">
        <v>0</v>
      </c>
      <c r="AK61" s="35" t="n">
        <v>0</v>
      </c>
      <c r="AL61" s="35" t="n">
        <v>0</v>
      </c>
      <c r="AM61" s="35" t="n">
        <v>0</v>
      </c>
      <c r="AN61" s="35" t="n">
        <v>0</v>
      </c>
      <c r="AO61" s="35" t="n">
        <v>0</v>
      </c>
      <c r="AP61" s="35" t="n">
        <v>0</v>
      </c>
      <c r="AQ61" s="35" t="n">
        <v>0</v>
      </c>
      <c r="AR61" s="35" t="n">
        <v>0</v>
      </c>
      <c r="AS61" s="35" t="n">
        <v>0</v>
      </c>
      <c r="AT61" s="35" t="n">
        <v>0</v>
      </c>
      <c r="AU61" s="35" t="n">
        <v>0</v>
      </c>
      <c r="AV61" s="35" t="n">
        <v>0</v>
      </c>
      <c r="AW61" s="35" t="n">
        <v>0</v>
      </c>
      <c r="AX61" s="35" t="n">
        <v>0</v>
      </c>
      <c r="AY61" s="35" t="n">
        <v>0</v>
      </c>
      <c r="AZ61" s="35" t="n">
        <v>0</v>
      </c>
      <c r="BA61" s="35" t="n">
        <v>0</v>
      </c>
      <c r="BB61" s="35" t="n">
        <v>0</v>
      </c>
      <c r="BC61" s="35" t="n">
        <v>0</v>
      </c>
      <c r="BD61" s="35" t="n">
        <v>0</v>
      </c>
    </row>
    <row r="62">
      <c r="A62" s="28" t="inlineStr">
        <is>
          <t>Piece-rate lb this week</t>
        </is>
      </c>
      <c r="B62" s="2" t="inlineStr">
        <is>
          <t>lb</t>
        </is>
      </c>
      <c r="E62" s="36">
        <f>E59+E60+E61</f>
        <v/>
      </c>
      <c r="F62" s="36">
        <f>F59+F60+F61</f>
        <v/>
      </c>
      <c r="G62" s="36">
        <f>G59+G60+G61</f>
        <v/>
      </c>
      <c r="H62" s="36">
        <f>H59+H60+H61</f>
        <v/>
      </c>
      <c r="I62" s="36">
        <f>I59+I60+I61</f>
        <v/>
      </c>
      <c r="J62" s="36">
        <f>J59+J60+J61</f>
        <v/>
      </c>
      <c r="K62" s="36">
        <f>K59+K60+K61</f>
        <v/>
      </c>
      <c r="L62" s="36">
        <f>L59+L60+L61</f>
        <v/>
      </c>
      <c r="M62" s="36">
        <f>M59+M60+M61</f>
        <v/>
      </c>
      <c r="N62" s="36">
        <f>N59+N60+N61</f>
        <v/>
      </c>
      <c r="O62" s="36">
        <f>O59+O60+O61</f>
        <v/>
      </c>
      <c r="P62" s="36">
        <f>P59+P60+P61</f>
        <v/>
      </c>
      <c r="Q62" s="36">
        <f>Q59+Q60+Q61</f>
        <v/>
      </c>
      <c r="R62" s="36">
        <f>R59+R60+R61</f>
        <v/>
      </c>
      <c r="S62" s="36">
        <f>S59+S60+S61</f>
        <v/>
      </c>
      <c r="T62" s="36">
        <f>T59+T60+T61</f>
        <v/>
      </c>
      <c r="U62" s="36">
        <f>U59+U60+U61</f>
        <v/>
      </c>
      <c r="V62" s="36">
        <f>V59+V60+V61</f>
        <v/>
      </c>
      <c r="W62" s="36">
        <f>W59+W60+W61</f>
        <v/>
      </c>
      <c r="X62" s="36">
        <f>X59+X60+X61</f>
        <v/>
      </c>
      <c r="Y62" s="36">
        <f>Y59+Y60+Y61</f>
        <v/>
      </c>
      <c r="Z62" s="36">
        <f>Z59+Z60+Z61</f>
        <v/>
      </c>
      <c r="AA62" s="36">
        <f>AA59+AA60+AA61</f>
        <v/>
      </c>
      <c r="AB62" s="36">
        <f>AB59+AB60+AB61</f>
        <v/>
      </c>
      <c r="AC62" s="36">
        <f>AC59+AC60+AC61</f>
        <v/>
      </c>
      <c r="AD62" s="36">
        <f>AD59+AD60+AD61</f>
        <v/>
      </c>
      <c r="AE62" s="36">
        <f>AE59+AE60+AE61</f>
        <v/>
      </c>
      <c r="AF62" s="36">
        <f>AF59+AF60+AF61</f>
        <v/>
      </c>
      <c r="AG62" s="36">
        <f>AG59+AG60+AG61</f>
        <v/>
      </c>
      <c r="AH62" s="36">
        <f>AH59+AH60+AH61</f>
        <v/>
      </c>
      <c r="AI62" s="36">
        <f>AI59+AI60+AI61</f>
        <v/>
      </c>
      <c r="AJ62" s="36">
        <f>AJ59+AJ60+AJ61</f>
        <v/>
      </c>
      <c r="AK62" s="36">
        <f>AK59+AK60+AK61</f>
        <v/>
      </c>
      <c r="AL62" s="36">
        <f>AL59+AL60+AL61</f>
        <v/>
      </c>
      <c r="AM62" s="36">
        <f>AM59+AM60+AM61</f>
        <v/>
      </c>
      <c r="AN62" s="36">
        <f>AN59+AN60+AN61</f>
        <v/>
      </c>
      <c r="AO62" s="36">
        <f>AO59+AO60+AO61</f>
        <v/>
      </c>
      <c r="AP62" s="36">
        <f>AP59+AP60+AP61</f>
        <v/>
      </c>
      <c r="AQ62" s="36">
        <f>AQ59+AQ60+AQ61</f>
        <v/>
      </c>
      <c r="AR62" s="36">
        <f>AR59+AR60+AR61</f>
        <v/>
      </c>
      <c r="AS62" s="36">
        <f>AS59+AS60+AS61</f>
        <v/>
      </c>
      <c r="AT62" s="36">
        <f>AT59+AT60+AT61</f>
        <v/>
      </c>
      <c r="AU62" s="36">
        <f>AU59+AU60+AU61</f>
        <v/>
      </c>
      <c r="AV62" s="36">
        <f>AV59+AV60+AV61</f>
        <v/>
      </c>
      <c r="AW62" s="36">
        <f>AW59+AW60+AW61</f>
        <v/>
      </c>
      <c r="AX62" s="36">
        <f>AX59+AX60+AX61</f>
        <v/>
      </c>
      <c r="AY62" s="36">
        <f>AY59+AY60+AY61</f>
        <v/>
      </c>
      <c r="AZ62" s="36">
        <f>AZ59+AZ60+AZ61</f>
        <v/>
      </c>
      <c r="BA62" s="36">
        <f>BA59+BA60+BA61</f>
        <v/>
      </c>
      <c r="BB62" s="36">
        <f>BB59+BB60+BB61</f>
        <v/>
      </c>
      <c r="BC62" s="36">
        <f>BC59+BC60+BC61</f>
        <v/>
      </c>
      <c r="BD62" s="36">
        <f>BD59+BD60+BD61</f>
        <v/>
      </c>
    </row>
    <row r="63">
      <c r="A63" s="37" t="inlineStr">
        <is>
          <t xml:space="preserve">  picking hours used</t>
        </is>
      </c>
      <c r="B63" s="2" t="inlineStr">
        <is>
          <t>hrs</t>
        </is>
      </c>
      <c r="E63" s="38">
        <f>E59/($B$12/$P$12)+E60/($B$13/$P$13)+E61/($B$14/$P$14)</f>
        <v/>
      </c>
      <c r="F63" s="38">
        <f>F59/($B$12/$P$12)+F60/($B$13/$P$13)+F61/($B$14/$P$14)</f>
        <v/>
      </c>
      <c r="G63" s="38">
        <f>G59/($B$12/$P$12)+G60/($B$13/$P$13)+G61/($B$14/$P$14)</f>
        <v/>
      </c>
      <c r="H63" s="38">
        <f>H59/($B$12/$P$12)+H60/($B$13/$P$13)+H61/($B$14/$P$14)</f>
        <v/>
      </c>
      <c r="I63" s="38">
        <f>I59/($B$12/$P$12)+I60/($B$13/$P$13)+I61/($B$14/$P$14)</f>
        <v/>
      </c>
      <c r="J63" s="38">
        <f>J59/($B$12/$P$12)+J60/($B$13/$P$13)+J61/($B$14/$P$14)</f>
        <v/>
      </c>
      <c r="K63" s="38">
        <f>K59/($B$12/$P$12)+K60/($B$13/$P$13)+K61/($B$14/$P$14)</f>
        <v/>
      </c>
      <c r="L63" s="38">
        <f>L59/($B$12/$P$12)+L60/($B$13/$P$13)+L61/($B$14/$P$14)</f>
        <v/>
      </c>
      <c r="M63" s="38">
        <f>M59/($B$12/$P$12)+M60/($B$13/$P$13)+M61/($B$14/$P$14)</f>
        <v/>
      </c>
      <c r="N63" s="38">
        <f>N59/($B$12/$P$12)+N60/($B$13/$P$13)+N61/($B$14/$P$14)</f>
        <v/>
      </c>
      <c r="O63" s="38">
        <f>O59/($B$12/$P$12)+O60/($B$13/$P$13)+O61/($B$14/$P$14)</f>
        <v/>
      </c>
      <c r="P63" s="38">
        <f>P59/($B$12/$P$12)+P60/($B$13/$P$13)+P61/($B$14/$P$14)</f>
        <v/>
      </c>
      <c r="Q63" s="38">
        <f>Q59/($B$12/$P$12)+Q60/($B$13/$P$13)+Q61/($B$14/$P$14)</f>
        <v/>
      </c>
      <c r="R63" s="38">
        <f>R59/($B$12/$P$12)+R60/($B$13/$P$13)+R61/($B$14/$P$14)</f>
        <v/>
      </c>
      <c r="S63" s="38">
        <f>S59/($B$12/$P$12)+S60/($B$13/$P$13)+S61/($B$14/$P$14)</f>
        <v/>
      </c>
      <c r="T63" s="38">
        <f>T59/($B$12/$P$12)+T60/($B$13/$P$13)+T61/($B$14/$P$14)</f>
        <v/>
      </c>
      <c r="U63" s="38">
        <f>U59/($B$12/$P$12)+U60/($B$13/$P$13)+U61/($B$14/$P$14)</f>
        <v/>
      </c>
      <c r="V63" s="38">
        <f>V59/($B$12/$P$12)+V60/($B$13/$P$13)+V61/($B$14/$P$14)</f>
        <v/>
      </c>
      <c r="W63" s="38">
        <f>W59/($B$12/$P$12)+W60/($B$13/$P$13)+W61/($B$14/$P$14)</f>
        <v/>
      </c>
      <c r="X63" s="38">
        <f>X59/($B$12/$P$12)+X60/($B$13/$P$13)+X61/($B$14/$P$14)</f>
        <v/>
      </c>
      <c r="Y63" s="38">
        <f>Y59/($B$12/$P$12)+Y60/($B$13/$P$13)+Y61/($B$14/$P$14)</f>
        <v/>
      </c>
      <c r="Z63" s="38">
        <f>Z59/($B$12/$P$12)+Z60/($B$13/$P$13)+Z61/($B$14/$P$14)</f>
        <v/>
      </c>
      <c r="AA63" s="38">
        <f>AA59/($B$12/$P$12)+AA60/($B$13/$P$13)+AA61/($B$14/$P$14)</f>
        <v/>
      </c>
      <c r="AB63" s="38">
        <f>AB59/($B$12/$P$12)+AB60/($B$13/$P$13)+AB61/($B$14/$P$14)</f>
        <v/>
      </c>
      <c r="AC63" s="38">
        <f>AC59/($B$12/$P$12)+AC60/($B$13/$P$13)+AC61/($B$14/$P$14)</f>
        <v/>
      </c>
      <c r="AD63" s="38">
        <f>AD59/($B$12/$P$12)+AD60/($B$13/$P$13)+AD61/($B$14/$P$14)</f>
        <v/>
      </c>
      <c r="AE63" s="38">
        <f>AE59/($B$12/$P$12)+AE60/($B$13/$P$13)+AE61/($B$14/$P$14)</f>
        <v/>
      </c>
      <c r="AF63" s="38">
        <f>AF59/($B$12/$P$12)+AF60/($B$13/$P$13)+AF61/($B$14/$P$14)</f>
        <v/>
      </c>
      <c r="AG63" s="38">
        <f>AG59/($B$12/$P$12)+AG60/($B$13/$P$13)+AG61/($B$14/$P$14)</f>
        <v/>
      </c>
      <c r="AH63" s="38">
        <f>AH59/($B$12/$P$12)+AH60/($B$13/$P$13)+AH61/($B$14/$P$14)</f>
        <v/>
      </c>
      <c r="AI63" s="38">
        <f>AI59/($B$12/$P$12)+AI60/($B$13/$P$13)+AI61/($B$14/$P$14)</f>
        <v/>
      </c>
      <c r="AJ63" s="38">
        <f>AJ59/($B$12/$P$12)+AJ60/($B$13/$P$13)+AJ61/($B$14/$P$14)</f>
        <v/>
      </c>
      <c r="AK63" s="38">
        <f>AK59/($B$12/$P$12)+AK60/($B$13/$P$13)+AK61/($B$14/$P$14)</f>
        <v/>
      </c>
      <c r="AL63" s="38">
        <f>AL59/($B$12/$P$12)+AL60/($B$13/$P$13)+AL61/($B$14/$P$14)</f>
        <v/>
      </c>
      <c r="AM63" s="38">
        <f>AM59/($B$12/$P$12)+AM60/($B$13/$P$13)+AM61/($B$14/$P$14)</f>
        <v/>
      </c>
      <c r="AN63" s="38">
        <f>AN59/($B$12/$P$12)+AN60/($B$13/$P$13)+AN61/($B$14/$P$14)</f>
        <v/>
      </c>
      <c r="AO63" s="38">
        <f>AO59/($B$12/$P$12)+AO60/($B$13/$P$13)+AO61/($B$14/$P$14)</f>
        <v/>
      </c>
      <c r="AP63" s="38">
        <f>AP59/($B$12/$P$12)+AP60/($B$13/$P$13)+AP61/($B$14/$P$14)</f>
        <v/>
      </c>
      <c r="AQ63" s="38">
        <f>AQ59/($B$12/$P$12)+AQ60/($B$13/$P$13)+AQ61/($B$14/$P$14)</f>
        <v/>
      </c>
      <c r="AR63" s="38">
        <f>AR59/($B$12/$P$12)+AR60/($B$13/$P$13)+AR61/($B$14/$P$14)</f>
        <v/>
      </c>
      <c r="AS63" s="38">
        <f>AS59/($B$12/$P$12)+AS60/($B$13/$P$13)+AS61/($B$14/$P$14)</f>
        <v/>
      </c>
      <c r="AT63" s="38">
        <f>AT59/($B$12/$P$12)+AT60/($B$13/$P$13)+AT61/($B$14/$P$14)</f>
        <v/>
      </c>
      <c r="AU63" s="38">
        <f>AU59/($B$12/$P$12)+AU60/($B$13/$P$13)+AU61/($B$14/$P$14)</f>
        <v/>
      </c>
      <c r="AV63" s="38">
        <f>AV59/($B$12/$P$12)+AV60/($B$13/$P$13)+AV61/($B$14/$P$14)</f>
        <v/>
      </c>
      <c r="AW63" s="38">
        <f>AW59/($B$12/$P$12)+AW60/($B$13/$P$13)+AW61/($B$14/$P$14)</f>
        <v/>
      </c>
      <c r="AX63" s="38">
        <f>AX59/($B$12/$P$12)+AX60/($B$13/$P$13)+AX61/($B$14/$P$14)</f>
        <v/>
      </c>
      <c r="AY63" s="38">
        <f>AY59/($B$12/$P$12)+AY60/($B$13/$P$13)+AY61/($B$14/$P$14)</f>
        <v/>
      </c>
      <c r="AZ63" s="38">
        <f>AZ59/($B$12/$P$12)+AZ60/($B$13/$P$13)+AZ61/($B$14/$P$14)</f>
        <v/>
      </c>
      <c r="BA63" s="38">
        <f>BA59/($B$12/$P$12)+BA60/($B$13/$P$13)+BA61/($B$14/$P$14)</f>
        <v/>
      </c>
      <c r="BB63" s="38">
        <f>BB59/($B$12/$P$12)+BB60/($B$13/$P$13)+BB61/($B$14/$P$14)</f>
        <v/>
      </c>
      <c r="BC63" s="38">
        <f>BC59/($B$12/$P$12)+BC60/($B$13/$P$13)+BC61/($B$14/$P$14)</f>
        <v/>
      </c>
      <c r="BD63" s="38">
        <f>BD59/($B$12/$P$12)+BD60/($B$13/$P$13)+BD61/($B$14/$P$14)</f>
        <v/>
      </c>
    </row>
    <row r="64">
      <c r="A64" s="37" t="inlineStr">
        <is>
          <t xml:space="preserve">  their weekly capacity</t>
        </is>
      </c>
      <c r="B64" s="2" t="inlineStr">
        <is>
          <t>hrs</t>
        </is>
      </c>
      <c r="E64" s="38">
        <f>IF(AND(1&gt;=$B$47,1&lt;=$C$47),$B$48*$D$47,0)</f>
        <v/>
      </c>
      <c r="F64" s="38">
        <f>IF(AND(2&gt;=$B$47,2&lt;=$C$47),$B$48*$D$47,0)</f>
        <v/>
      </c>
      <c r="G64" s="38">
        <f>IF(AND(3&gt;=$B$47,3&lt;=$C$47),$B$48*$D$47,0)</f>
        <v/>
      </c>
      <c r="H64" s="38">
        <f>IF(AND(4&gt;=$B$47,4&lt;=$C$47),$B$48*$D$47,0)</f>
        <v/>
      </c>
      <c r="I64" s="38">
        <f>IF(AND(5&gt;=$B$47,5&lt;=$C$47),$B$48*$D$47,0)</f>
        <v/>
      </c>
      <c r="J64" s="38">
        <f>IF(AND(6&gt;=$B$47,6&lt;=$C$47),$B$48*$D$47,0)</f>
        <v/>
      </c>
      <c r="K64" s="38">
        <f>IF(AND(7&gt;=$B$47,7&lt;=$C$47),$B$48*$D$47,0)</f>
        <v/>
      </c>
      <c r="L64" s="38">
        <f>IF(AND(8&gt;=$B$47,8&lt;=$C$47),$B$48*$D$47,0)</f>
        <v/>
      </c>
      <c r="M64" s="38">
        <f>IF(AND(9&gt;=$B$47,9&lt;=$C$47),$B$48*$D$47,0)</f>
        <v/>
      </c>
      <c r="N64" s="38">
        <f>IF(AND(10&gt;=$B$47,10&lt;=$C$47),$B$48*$D$47,0)</f>
        <v/>
      </c>
      <c r="O64" s="38">
        <f>IF(AND(11&gt;=$B$47,11&lt;=$C$47),$B$48*$D$47,0)</f>
        <v/>
      </c>
      <c r="P64" s="38">
        <f>IF(AND(12&gt;=$B$47,12&lt;=$C$47),$B$48*$D$47,0)</f>
        <v/>
      </c>
      <c r="Q64" s="38">
        <f>IF(AND(13&gt;=$B$47,13&lt;=$C$47),$B$48*$D$47,0)</f>
        <v/>
      </c>
      <c r="R64" s="38">
        <f>IF(AND(14&gt;=$B$47,14&lt;=$C$47),$B$48*$D$47,0)</f>
        <v/>
      </c>
      <c r="S64" s="38">
        <f>IF(AND(15&gt;=$B$47,15&lt;=$C$47),$B$48*$D$47,0)</f>
        <v/>
      </c>
      <c r="T64" s="38">
        <f>IF(AND(16&gt;=$B$47,16&lt;=$C$47),$B$48*$D$47,0)</f>
        <v/>
      </c>
      <c r="U64" s="38">
        <f>IF(AND(17&gt;=$B$47,17&lt;=$C$47),$B$48*$D$47,0)</f>
        <v/>
      </c>
      <c r="V64" s="38">
        <f>IF(AND(18&gt;=$B$47,18&lt;=$C$47),$B$48*$D$47,0)</f>
        <v/>
      </c>
      <c r="W64" s="38">
        <f>IF(AND(19&gt;=$B$47,19&lt;=$C$47),$B$48*$D$47,0)</f>
        <v/>
      </c>
      <c r="X64" s="38">
        <f>IF(AND(20&gt;=$B$47,20&lt;=$C$47),$B$48*$D$47,0)</f>
        <v/>
      </c>
      <c r="Y64" s="38">
        <f>IF(AND(21&gt;=$B$47,21&lt;=$C$47),$B$48*$D$47,0)</f>
        <v/>
      </c>
      <c r="Z64" s="38">
        <f>IF(AND(22&gt;=$B$47,22&lt;=$C$47),$B$48*$D$47,0)</f>
        <v/>
      </c>
      <c r="AA64" s="38">
        <f>IF(AND(23&gt;=$B$47,23&lt;=$C$47),$B$48*$D$47,0)</f>
        <v/>
      </c>
      <c r="AB64" s="38">
        <f>IF(AND(24&gt;=$B$47,24&lt;=$C$47),$B$48*$D$47,0)</f>
        <v/>
      </c>
      <c r="AC64" s="38">
        <f>IF(AND(25&gt;=$B$47,25&lt;=$C$47),$B$48*$D$47,0)</f>
        <v/>
      </c>
      <c r="AD64" s="38">
        <f>IF(AND(26&gt;=$B$47,26&lt;=$C$47),$B$48*$D$47,0)</f>
        <v/>
      </c>
      <c r="AE64" s="38">
        <f>IF(AND(27&gt;=$B$47,27&lt;=$C$47),$B$48*$D$47,0)</f>
        <v/>
      </c>
      <c r="AF64" s="38">
        <f>IF(AND(28&gt;=$B$47,28&lt;=$C$47),$B$48*$D$47,0)</f>
        <v/>
      </c>
      <c r="AG64" s="38">
        <f>IF(AND(29&gt;=$B$47,29&lt;=$C$47),$B$48*$D$47,0)</f>
        <v/>
      </c>
      <c r="AH64" s="38">
        <f>IF(AND(30&gt;=$B$47,30&lt;=$C$47),$B$48*$D$47,0)</f>
        <v/>
      </c>
      <c r="AI64" s="38">
        <f>IF(AND(31&gt;=$B$47,31&lt;=$C$47),$B$48*$D$47,0)</f>
        <v/>
      </c>
      <c r="AJ64" s="38">
        <f>IF(AND(32&gt;=$B$47,32&lt;=$C$47),$B$48*$D$47,0)</f>
        <v/>
      </c>
      <c r="AK64" s="38">
        <f>IF(AND(33&gt;=$B$47,33&lt;=$C$47),$B$48*$D$47,0)</f>
        <v/>
      </c>
      <c r="AL64" s="38">
        <f>IF(AND(34&gt;=$B$47,34&lt;=$C$47),$B$48*$D$47,0)</f>
        <v/>
      </c>
      <c r="AM64" s="38">
        <f>IF(AND(35&gt;=$B$47,35&lt;=$C$47),$B$48*$D$47,0)</f>
        <v/>
      </c>
      <c r="AN64" s="38">
        <f>IF(AND(36&gt;=$B$47,36&lt;=$C$47),$B$48*$D$47,0)</f>
        <v/>
      </c>
      <c r="AO64" s="38">
        <f>IF(AND(37&gt;=$B$47,37&lt;=$C$47),$B$48*$D$47,0)</f>
        <v/>
      </c>
      <c r="AP64" s="38">
        <f>IF(AND(38&gt;=$B$47,38&lt;=$C$47),$B$48*$D$47,0)</f>
        <v/>
      </c>
      <c r="AQ64" s="38">
        <f>IF(AND(39&gt;=$B$47,39&lt;=$C$47),$B$48*$D$47,0)</f>
        <v/>
      </c>
      <c r="AR64" s="38">
        <f>IF(AND(40&gt;=$B$47,40&lt;=$C$47),$B$48*$D$47,0)</f>
        <v/>
      </c>
      <c r="AS64" s="38">
        <f>IF(AND(41&gt;=$B$47,41&lt;=$C$47),$B$48*$D$47,0)</f>
        <v/>
      </c>
      <c r="AT64" s="38">
        <f>IF(AND(42&gt;=$B$47,42&lt;=$C$47),$B$48*$D$47,0)</f>
        <v/>
      </c>
      <c r="AU64" s="38">
        <f>IF(AND(43&gt;=$B$47,43&lt;=$C$47),$B$48*$D$47,0)</f>
        <v/>
      </c>
      <c r="AV64" s="38">
        <f>IF(AND(44&gt;=$B$47,44&lt;=$C$47),$B$48*$D$47,0)</f>
        <v/>
      </c>
      <c r="AW64" s="38">
        <f>IF(AND(45&gt;=$B$47,45&lt;=$C$47),$B$48*$D$47,0)</f>
        <v/>
      </c>
      <c r="AX64" s="38">
        <f>IF(AND(46&gt;=$B$47,46&lt;=$C$47),$B$48*$D$47,0)</f>
        <v/>
      </c>
      <c r="AY64" s="38">
        <f>IF(AND(47&gt;=$B$47,47&lt;=$C$47),$B$48*$D$47,0)</f>
        <v/>
      </c>
      <c r="AZ64" s="38">
        <f>IF(AND(48&gt;=$B$47,48&lt;=$C$47),$B$48*$D$47,0)</f>
        <v/>
      </c>
      <c r="BA64" s="38">
        <f>IF(AND(49&gt;=$B$47,49&lt;=$C$47),$B$48*$D$47,0)</f>
        <v/>
      </c>
      <c r="BB64" s="38">
        <f>IF(AND(50&gt;=$B$47,50&lt;=$C$47),$B$48*$D$47,0)</f>
        <v/>
      </c>
      <c r="BC64" s="38">
        <f>IF(AND(51&gt;=$B$47,51&lt;=$C$47),$B$48*$D$47,0)</f>
        <v/>
      </c>
      <c r="BD64" s="38">
        <f>IF(AND(52&gt;=$B$47,52&lt;=$C$47),$B$48*$D$47,0)</f>
        <v/>
      </c>
    </row>
    <row r="65">
      <c r="A65" s="39" t="inlineStr">
        <is>
          <t xml:space="preserve">  room left</t>
        </is>
      </c>
      <c r="B65" s="2" t="inlineStr">
        <is>
          <t>hrs</t>
        </is>
      </c>
      <c r="E65" s="38">
        <f>E64-E63</f>
        <v/>
      </c>
      <c r="F65" s="38">
        <f>F64-F63</f>
        <v/>
      </c>
      <c r="G65" s="38">
        <f>G64-G63</f>
        <v/>
      </c>
      <c r="H65" s="38">
        <f>H64-H63</f>
        <v/>
      </c>
      <c r="I65" s="38">
        <f>I64-I63</f>
        <v/>
      </c>
      <c r="J65" s="38">
        <f>J64-J63</f>
        <v/>
      </c>
      <c r="K65" s="38">
        <f>K64-K63</f>
        <v/>
      </c>
      <c r="L65" s="38">
        <f>L64-L63</f>
        <v/>
      </c>
      <c r="M65" s="38">
        <f>M64-M63</f>
        <v/>
      </c>
      <c r="N65" s="38">
        <f>N64-N63</f>
        <v/>
      </c>
      <c r="O65" s="38">
        <f>O64-O63</f>
        <v/>
      </c>
      <c r="P65" s="38">
        <f>P64-P63</f>
        <v/>
      </c>
      <c r="Q65" s="38">
        <f>Q64-Q63</f>
        <v/>
      </c>
      <c r="R65" s="38">
        <f>R64-R63</f>
        <v/>
      </c>
      <c r="S65" s="38">
        <f>S64-S63</f>
        <v/>
      </c>
      <c r="T65" s="38">
        <f>T64-T63</f>
        <v/>
      </c>
      <c r="U65" s="38">
        <f>U64-U63</f>
        <v/>
      </c>
      <c r="V65" s="38">
        <f>V64-V63</f>
        <v/>
      </c>
      <c r="W65" s="38">
        <f>W64-W63</f>
        <v/>
      </c>
      <c r="X65" s="38">
        <f>X64-X63</f>
        <v/>
      </c>
      <c r="Y65" s="38">
        <f>Y64-Y63</f>
        <v/>
      </c>
      <c r="Z65" s="38">
        <f>Z64-Z63</f>
        <v/>
      </c>
      <c r="AA65" s="38">
        <f>AA64-AA63</f>
        <v/>
      </c>
      <c r="AB65" s="38">
        <f>AB64-AB63</f>
        <v/>
      </c>
      <c r="AC65" s="38">
        <f>AC64-AC63</f>
        <v/>
      </c>
      <c r="AD65" s="38">
        <f>AD64-AD63</f>
        <v/>
      </c>
      <c r="AE65" s="38">
        <f>AE64-AE63</f>
        <v/>
      </c>
      <c r="AF65" s="38">
        <f>AF64-AF63</f>
        <v/>
      </c>
      <c r="AG65" s="38">
        <f>AG64-AG63</f>
        <v/>
      </c>
      <c r="AH65" s="38">
        <f>AH64-AH63</f>
        <v/>
      </c>
      <c r="AI65" s="38">
        <f>AI64-AI63</f>
        <v/>
      </c>
      <c r="AJ65" s="38">
        <f>AJ64-AJ63</f>
        <v/>
      </c>
      <c r="AK65" s="38">
        <f>AK64-AK63</f>
        <v/>
      </c>
      <c r="AL65" s="38">
        <f>AL64-AL63</f>
        <v/>
      </c>
      <c r="AM65" s="38">
        <f>AM64-AM63</f>
        <v/>
      </c>
      <c r="AN65" s="38">
        <f>AN64-AN63</f>
        <v/>
      </c>
      <c r="AO65" s="38">
        <f>AO64-AO63</f>
        <v/>
      </c>
      <c r="AP65" s="38">
        <f>AP64-AP63</f>
        <v/>
      </c>
      <c r="AQ65" s="38">
        <f>AQ64-AQ63</f>
        <v/>
      </c>
      <c r="AR65" s="38">
        <f>AR64-AR63</f>
        <v/>
      </c>
      <c r="AS65" s="38">
        <f>AS64-AS63</f>
        <v/>
      </c>
      <c r="AT65" s="38">
        <f>AT64-AT63</f>
        <v/>
      </c>
      <c r="AU65" s="38">
        <f>AU64-AU63</f>
        <v/>
      </c>
      <c r="AV65" s="38">
        <f>AV64-AV63</f>
        <v/>
      </c>
      <c r="AW65" s="38">
        <f>AW64-AW63</f>
        <v/>
      </c>
      <c r="AX65" s="38">
        <f>AX64-AX63</f>
        <v/>
      </c>
      <c r="AY65" s="38">
        <f>AY64-AY63</f>
        <v/>
      </c>
      <c r="AZ65" s="38">
        <f>AZ64-AZ63</f>
        <v/>
      </c>
      <c r="BA65" s="38">
        <f>BA64-BA63</f>
        <v/>
      </c>
      <c r="BB65" s="38">
        <f>BB64-BB63</f>
        <v/>
      </c>
      <c r="BC65" s="38">
        <f>BC64-BC63</f>
        <v/>
      </c>
      <c r="BD65" s="38">
        <f>BD64-BD63</f>
        <v/>
      </c>
    </row>
    <row r="66">
      <c r="A66" s="2" t="inlineStr">
        <is>
          <t xml:space="preserve">   Zero outside their weeks, and zero unless ENGAGED — that link is what makes the fixed cost conditional. Capacity is HOURS: 200 is five pickers at forty hours, and it buys whatever pounds that many hours picks of whichever crop they are on.</t>
        </is>
      </c>
    </row>
    <row r="68">
      <c r="A68" s="3" t="inlineStr">
        <is>
          <t>4 — THE PLANTING CALENDAR   (68 possible plantings — the solver picks)</t>
        </is>
      </c>
    </row>
    <row r="69">
      <c r="A69" s="2" t="inlineStr">
        <is>
          <t>One row per legal start week, exactly what the app's generator offers. ACRES and PLANT? are both decisions.</t>
        </is>
      </c>
    </row>
    <row r="70">
      <c r="A70" s="32" t="inlineStr">
        <is>
          <t>Succession</t>
        </is>
      </c>
      <c r="B70" s="32" t="inlineStr">
        <is>
          <t>Crop</t>
        </is>
      </c>
      <c r="C70" s="27" t="inlineStr">
        <is>
          <t>ACRES</t>
        </is>
      </c>
      <c r="D70" s="27" t="inlineStr">
        <is>
          <t>PLANT?</t>
        </is>
      </c>
      <c r="E70" s="34" t="n">
        <v>1</v>
      </c>
      <c r="F70" s="34" t="n">
        <v>2</v>
      </c>
      <c r="G70" s="34" t="n">
        <v>3</v>
      </c>
      <c r="H70" s="34" t="n">
        <v>4</v>
      </c>
      <c r="I70" s="34" t="n">
        <v>5</v>
      </c>
      <c r="J70" s="34" t="n">
        <v>6</v>
      </c>
      <c r="K70" s="34" t="n">
        <v>7</v>
      </c>
      <c r="L70" s="34" t="n">
        <v>8</v>
      </c>
      <c r="M70" s="34" t="n">
        <v>9</v>
      </c>
      <c r="N70" s="34" t="n">
        <v>10</v>
      </c>
      <c r="O70" s="34" t="n">
        <v>11</v>
      </c>
      <c r="P70" s="34" t="n">
        <v>12</v>
      </c>
      <c r="Q70" s="34" t="n">
        <v>13</v>
      </c>
      <c r="R70" s="34" t="n">
        <v>14</v>
      </c>
      <c r="S70" s="34" t="n">
        <v>15</v>
      </c>
      <c r="T70" s="34" t="n">
        <v>16</v>
      </c>
      <c r="U70" s="34" t="n">
        <v>17</v>
      </c>
      <c r="V70" s="34" t="n">
        <v>18</v>
      </c>
      <c r="W70" s="34" t="n">
        <v>19</v>
      </c>
      <c r="X70" s="34" t="n">
        <v>20</v>
      </c>
      <c r="Y70" s="34" t="n">
        <v>21</v>
      </c>
      <c r="Z70" s="34" t="n">
        <v>22</v>
      </c>
      <c r="AA70" s="34" t="n">
        <v>23</v>
      </c>
      <c r="AB70" s="34" t="n">
        <v>24</v>
      </c>
      <c r="AC70" s="34" t="n">
        <v>25</v>
      </c>
      <c r="AD70" s="34" t="n">
        <v>26</v>
      </c>
      <c r="AE70" s="34" t="n">
        <v>27</v>
      </c>
      <c r="AF70" s="34" t="n">
        <v>28</v>
      </c>
      <c r="AG70" s="34" t="n">
        <v>29</v>
      </c>
      <c r="AH70" s="34" t="n">
        <v>30</v>
      </c>
      <c r="AI70" s="34" t="n">
        <v>31</v>
      </c>
      <c r="AJ70" s="34" t="n">
        <v>32</v>
      </c>
      <c r="AK70" s="34" t="n">
        <v>33</v>
      </c>
      <c r="AL70" s="34" t="n">
        <v>34</v>
      </c>
      <c r="AM70" s="34" t="n">
        <v>35</v>
      </c>
      <c r="AN70" s="34" t="n">
        <v>36</v>
      </c>
      <c r="AO70" s="34" t="n">
        <v>37</v>
      </c>
      <c r="AP70" s="34" t="n">
        <v>38</v>
      </c>
      <c r="AQ70" s="34" t="n">
        <v>39</v>
      </c>
      <c r="AR70" s="34" t="n">
        <v>40</v>
      </c>
      <c r="AS70" s="34" t="n">
        <v>41</v>
      </c>
      <c r="AT70" s="34" t="n">
        <v>42</v>
      </c>
      <c r="AU70" s="34" t="n">
        <v>43</v>
      </c>
      <c r="AV70" s="34" t="n">
        <v>44</v>
      </c>
      <c r="AW70" s="34" t="n">
        <v>45</v>
      </c>
      <c r="AX70" s="34" t="n">
        <v>46</v>
      </c>
      <c r="AY70" s="34" t="n">
        <v>47</v>
      </c>
      <c r="AZ70" s="34" t="n">
        <v>48</v>
      </c>
      <c r="BA70" s="34" t="n">
        <v>49</v>
      </c>
      <c r="BB70" s="34" t="n">
        <v>50</v>
      </c>
      <c r="BC70" s="34" t="n">
        <v>51</v>
      </c>
      <c r="BD70" s="34" t="n">
        <v>52</v>
      </c>
      <c r="BE70" s="40" t="inlineStr">
        <is>
          <t>max if planted</t>
        </is>
      </c>
      <c r="BF70" s="40" t="inlineStr">
        <is>
          <t>min if planted</t>
        </is>
      </c>
      <c r="BG70" s="40" t="inlineStr">
        <is>
          <t>starts wk</t>
        </is>
      </c>
    </row>
    <row r="71">
      <c r="A71" s="28" t="inlineStr">
        <is>
          <t>Spinach W05</t>
        </is>
      </c>
      <c r="B71" s="28" t="inlineStr">
        <is>
          <t>Spinach</t>
        </is>
      </c>
      <c r="C71" s="41" t="n">
        <v>0</v>
      </c>
      <c r="D71" s="42" t="n">
        <v>0</v>
      </c>
      <c r="I71" s="43" t="inlineStr">
        <is>
          <t>P</t>
        </is>
      </c>
      <c r="J71" s="43" t="inlineStr">
        <is>
          <t>G</t>
        </is>
      </c>
      <c r="K71" s="43" t="inlineStr">
        <is>
          <t>G</t>
        </is>
      </c>
      <c r="L71" s="43" t="inlineStr">
        <is>
          <t>G</t>
        </is>
      </c>
      <c r="M71" s="43" t="inlineStr">
        <is>
          <t>G</t>
        </is>
      </c>
      <c r="N71" s="43" t="inlineStr">
        <is>
          <t>G</t>
        </is>
      </c>
      <c r="O71" s="43" t="inlineStr">
        <is>
          <t>H</t>
        </is>
      </c>
      <c r="P71" s="43" t="inlineStr">
        <is>
          <t>H</t>
        </is>
      </c>
      <c r="BE71" s="44">
        <f>D71*$B$6</f>
        <v/>
      </c>
      <c r="BF71" s="44">
        <f>D71*$I$12</f>
        <v/>
      </c>
      <c r="BG71" s="45">
        <f>MATCH("P",$E71:$BD71,0)</f>
        <v/>
      </c>
    </row>
    <row r="72">
      <c r="A72" s="28" t="inlineStr">
        <is>
          <t>Spinach W06</t>
        </is>
      </c>
      <c r="B72" s="28" t="inlineStr">
        <is>
          <t>Spinach</t>
        </is>
      </c>
      <c r="C72" s="41" t="n">
        <v>0</v>
      </c>
      <c r="D72" s="42" t="n">
        <v>0</v>
      </c>
      <c r="J72" s="43" t="inlineStr">
        <is>
          <t>P</t>
        </is>
      </c>
      <c r="K72" s="43" t="inlineStr">
        <is>
          <t>G</t>
        </is>
      </c>
      <c r="L72" s="43" t="inlineStr">
        <is>
          <t>G</t>
        </is>
      </c>
      <c r="M72" s="43" t="inlineStr">
        <is>
          <t>G</t>
        </is>
      </c>
      <c r="N72" s="43" t="inlineStr">
        <is>
          <t>G</t>
        </is>
      </c>
      <c r="O72" s="43" t="inlineStr">
        <is>
          <t>G</t>
        </is>
      </c>
      <c r="P72" s="43" t="inlineStr">
        <is>
          <t>H</t>
        </is>
      </c>
      <c r="Q72" s="43" t="inlineStr">
        <is>
          <t>H</t>
        </is>
      </c>
      <c r="BE72" s="44">
        <f>D72*$B$6</f>
        <v/>
      </c>
      <c r="BF72" s="44">
        <f>D72*$I$12</f>
        <v/>
      </c>
      <c r="BG72" s="45">
        <f>MATCH("P",$E72:$BD72,0)</f>
        <v/>
      </c>
    </row>
    <row r="73">
      <c r="A73" s="28" t="inlineStr">
        <is>
          <t>Spinach W07</t>
        </is>
      </c>
      <c r="B73" s="28" t="inlineStr">
        <is>
          <t>Spinach</t>
        </is>
      </c>
      <c r="C73" s="41" t="n">
        <v>0</v>
      </c>
      <c r="D73" s="42" t="n">
        <v>0</v>
      </c>
      <c r="K73" s="43" t="inlineStr">
        <is>
          <t>P</t>
        </is>
      </c>
      <c r="L73" s="43" t="inlineStr">
        <is>
          <t>G</t>
        </is>
      </c>
      <c r="M73" s="43" t="inlineStr">
        <is>
          <t>G</t>
        </is>
      </c>
      <c r="N73" s="43" t="inlineStr">
        <is>
          <t>G</t>
        </is>
      </c>
      <c r="O73" s="43" t="inlineStr">
        <is>
          <t>G</t>
        </is>
      </c>
      <c r="P73" s="43" t="inlineStr">
        <is>
          <t>G</t>
        </is>
      </c>
      <c r="Q73" s="43" t="inlineStr">
        <is>
          <t>H</t>
        </is>
      </c>
      <c r="R73" s="43" t="inlineStr">
        <is>
          <t>H</t>
        </is>
      </c>
      <c r="BE73" s="44">
        <f>D73*$B$6</f>
        <v/>
      </c>
      <c r="BF73" s="44">
        <f>D73*$I$12</f>
        <v/>
      </c>
      <c r="BG73" s="45">
        <f>MATCH("P",$E73:$BD73,0)</f>
        <v/>
      </c>
    </row>
    <row r="74">
      <c r="A74" s="28" t="inlineStr">
        <is>
          <t>Spinach W08</t>
        </is>
      </c>
      <c r="B74" s="28" t="inlineStr">
        <is>
          <t>Spinach</t>
        </is>
      </c>
      <c r="C74" s="41" t="n">
        <v>0</v>
      </c>
      <c r="D74" s="42" t="n">
        <v>0</v>
      </c>
      <c r="L74" s="43" t="inlineStr">
        <is>
          <t>P</t>
        </is>
      </c>
      <c r="M74" s="43" t="inlineStr">
        <is>
          <t>G</t>
        </is>
      </c>
      <c r="N74" s="43" t="inlineStr">
        <is>
          <t>G</t>
        </is>
      </c>
      <c r="O74" s="43" t="inlineStr">
        <is>
          <t>G</t>
        </is>
      </c>
      <c r="P74" s="43" t="inlineStr">
        <is>
          <t>G</t>
        </is>
      </c>
      <c r="Q74" s="43" t="inlineStr">
        <is>
          <t>G</t>
        </is>
      </c>
      <c r="R74" s="43" t="inlineStr">
        <is>
          <t>H</t>
        </is>
      </c>
      <c r="S74" s="43" t="inlineStr">
        <is>
          <t>H</t>
        </is>
      </c>
      <c r="BE74" s="44">
        <f>D74*$B$6</f>
        <v/>
      </c>
      <c r="BF74" s="44">
        <f>D74*$I$12</f>
        <v/>
      </c>
      <c r="BG74" s="45">
        <f>MATCH("P",$E74:$BD74,0)</f>
        <v/>
      </c>
    </row>
    <row r="75">
      <c r="A75" s="28" t="inlineStr">
        <is>
          <t>Spinach W09</t>
        </is>
      </c>
      <c r="B75" s="28" t="inlineStr">
        <is>
          <t>Spinach</t>
        </is>
      </c>
      <c r="C75" s="41" t="n">
        <v>0</v>
      </c>
      <c r="D75" s="42" t="n">
        <v>0</v>
      </c>
      <c r="M75" s="43" t="inlineStr">
        <is>
          <t>P</t>
        </is>
      </c>
      <c r="N75" s="43" t="inlineStr">
        <is>
          <t>G</t>
        </is>
      </c>
      <c r="O75" s="43" t="inlineStr">
        <is>
          <t>G</t>
        </is>
      </c>
      <c r="P75" s="43" t="inlineStr">
        <is>
          <t>G</t>
        </is>
      </c>
      <c r="Q75" s="43" t="inlineStr">
        <is>
          <t>G</t>
        </is>
      </c>
      <c r="R75" s="43" t="inlineStr">
        <is>
          <t>G</t>
        </is>
      </c>
      <c r="S75" s="43" t="inlineStr">
        <is>
          <t>H</t>
        </is>
      </c>
      <c r="T75" s="43" t="inlineStr">
        <is>
          <t>H</t>
        </is>
      </c>
      <c r="BE75" s="44">
        <f>D75*$B$6</f>
        <v/>
      </c>
      <c r="BF75" s="44">
        <f>D75*$I$12</f>
        <v/>
      </c>
      <c r="BG75" s="45">
        <f>MATCH("P",$E75:$BD75,0)</f>
        <v/>
      </c>
    </row>
    <row r="76">
      <c r="A76" s="28" t="inlineStr">
        <is>
          <t>Spinach W10</t>
        </is>
      </c>
      <c r="B76" s="28" t="inlineStr">
        <is>
          <t>Spinach</t>
        </is>
      </c>
      <c r="C76" s="41" t="n">
        <v>0</v>
      </c>
      <c r="D76" s="42" t="n">
        <v>0</v>
      </c>
      <c r="N76" s="43" t="inlineStr">
        <is>
          <t>P</t>
        </is>
      </c>
      <c r="O76" s="43" t="inlineStr">
        <is>
          <t>G</t>
        </is>
      </c>
      <c r="P76" s="43" t="inlineStr">
        <is>
          <t>G</t>
        </is>
      </c>
      <c r="Q76" s="43" t="inlineStr">
        <is>
          <t>G</t>
        </is>
      </c>
      <c r="R76" s="43" t="inlineStr">
        <is>
          <t>G</t>
        </is>
      </c>
      <c r="S76" s="43" t="inlineStr">
        <is>
          <t>G</t>
        </is>
      </c>
      <c r="T76" s="43" t="inlineStr">
        <is>
          <t>H</t>
        </is>
      </c>
      <c r="U76" s="43" t="inlineStr">
        <is>
          <t>H</t>
        </is>
      </c>
      <c r="BE76" s="44">
        <f>D76*$B$6</f>
        <v/>
      </c>
      <c r="BF76" s="44">
        <f>D76*$I$12</f>
        <v/>
      </c>
      <c r="BG76" s="45">
        <f>MATCH("P",$E76:$BD76,0)</f>
        <v/>
      </c>
    </row>
    <row r="77">
      <c r="A77" s="28" t="inlineStr">
        <is>
          <t>Spinach W11</t>
        </is>
      </c>
      <c r="B77" s="28" t="inlineStr">
        <is>
          <t>Spinach</t>
        </is>
      </c>
      <c r="C77" s="41" t="n">
        <v>0</v>
      </c>
      <c r="D77" s="42" t="n">
        <v>0</v>
      </c>
      <c r="O77" s="43" t="inlineStr">
        <is>
          <t>P</t>
        </is>
      </c>
      <c r="P77" s="43" t="inlineStr">
        <is>
          <t>G</t>
        </is>
      </c>
      <c r="Q77" s="43" t="inlineStr">
        <is>
          <t>G</t>
        </is>
      </c>
      <c r="R77" s="43" t="inlineStr">
        <is>
          <t>G</t>
        </is>
      </c>
      <c r="S77" s="43" t="inlineStr">
        <is>
          <t>G</t>
        </is>
      </c>
      <c r="T77" s="43" t="inlineStr">
        <is>
          <t>G</t>
        </is>
      </c>
      <c r="U77" s="43" t="inlineStr">
        <is>
          <t>H</t>
        </is>
      </c>
      <c r="V77" s="43" t="inlineStr">
        <is>
          <t>H</t>
        </is>
      </c>
      <c r="BE77" s="44">
        <f>D77*$B$6</f>
        <v/>
      </c>
      <c r="BF77" s="44">
        <f>D77*$I$12</f>
        <v/>
      </c>
      <c r="BG77" s="45">
        <f>MATCH("P",$E77:$BD77,0)</f>
        <v/>
      </c>
    </row>
    <row r="78">
      <c r="A78" s="28" t="inlineStr">
        <is>
          <t>Spinach W12</t>
        </is>
      </c>
      <c r="B78" s="28" t="inlineStr">
        <is>
          <t>Spinach</t>
        </is>
      </c>
      <c r="C78" s="41" t="n">
        <v>0</v>
      </c>
      <c r="D78" s="42" t="n">
        <v>0</v>
      </c>
      <c r="P78" s="43" t="inlineStr">
        <is>
          <t>P</t>
        </is>
      </c>
      <c r="Q78" s="43" t="inlineStr">
        <is>
          <t>G</t>
        </is>
      </c>
      <c r="R78" s="43" t="inlineStr">
        <is>
          <t>G</t>
        </is>
      </c>
      <c r="S78" s="43" t="inlineStr">
        <is>
          <t>G</t>
        </is>
      </c>
      <c r="T78" s="43" t="inlineStr">
        <is>
          <t>G</t>
        </is>
      </c>
      <c r="U78" s="43" t="inlineStr">
        <is>
          <t>G</t>
        </is>
      </c>
      <c r="V78" s="43" t="inlineStr">
        <is>
          <t>H</t>
        </is>
      </c>
      <c r="W78" s="43" t="inlineStr">
        <is>
          <t>H</t>
        </is>
      </c>
      <c r="BE78" s="44">
        <f>D78*$B$6</f>
        <v/>
      </c>
      <c r="BF78" s="44">
        <f>D78*$I$12</f>
        <v/>
      </c>
      <c r="BG78" s="45">
        <f>MATCH("P",$E78:$BD78,0)</f>
        <v/>
      </c>
    </row>
    <row r="79">
      <c r="A79" s="28" t="inlineStr">
        <is>
          <t>Spinach W13</t>
        </is>
      </c>
      <c r="B79" s="28" t="inlineStr">
        <is>
          <t>Spinach</t>
        </is>
      </c>
      <c r="C79" s="41" t="n">
        <v>0</v>
      </c>
      <c r="D79" s="42" t="n">
        <v>0</v>
      </c>
      <c r="Q79" s="43" t="inlineStr">
        <is>
          <t>P</t>
        </is>
      </c>
      <c r="R79" s="43" t="inlineStr">
        <is>
          <t>G</t>
        </is>
      </c>
      <c r="S79" s="43" t="inlineStr">
        <is>
          <t>G</t>
        </is>
      </c>
      <c r="T79" s="43" t="inlineStr">
        <is>
          <t>G</t>
        </is>
      </c>
      <c r="U79" s="43" t="inlineStr">
        <is>
          <t>G</t>
        </is>
      </c>
      <c r="V79" s="43" t="inlineStr">
        <is>
          <t>G</t>
        </is>
      </c>
      <c r="W79" s="43" t="inlineStr">
        <is>
          <t>H</t>
        </is>
      </c>
      <c r="X79" s="43" t="inlineStr">
        <is>
          <t>H</t>
        </is>
      </c>
      <c r="BE79" s="44">
        <f>D79*$B$6</f>
        <v/>
      </c>
      <c r="BF79" s="44">
        <f>D79*$I$12</f>
        <v/>
      </c>
      <c r="BG79" s="45">
        <f>MATCH("P",$E79:$BD79,0)</f>
        <v/>
      </c>
    </row>
    <row r="80">
      <c r="A80" s="28" t="inlineStr">
        <is>
          <t>Spinach W14</t>
        </is>
      </c>
      <c r="B80" s="28" t="inlineStr">
        <is>
          <t>Spinach</t>
        </is>
      </c>
      <c r="C80" s="41" t="n">
        <v>0</v>
      </c>
      <c r="D80" s="42" t="n">
        <v>0</v>
      </c>
      <c r="R80" s="43" t="inlineStr">
        <is>
          <t>P</t>
        </is>
      </c>
      <c r="S80" s="43" t="inlineStr">
        <is>
          <t>G</t>
        </is>
      </c>
      <c r="T80" s="43" t="inlineStr">
        <is>
          <t>G</t>
        </is>
      </c>
      <c r="U80" s="43" t="inlineStr">
        <is>
          <t>G</t>
        </is>
      </c>
      <c r="V80" s="43" t="inlineStr">
        <is>
          <t>G</t>
        </is>
      </c>
      <c r="W80" s="43" t="inlineStr">
        <is>
          <t>G</t>
        </is>
      </c>
      <c r="X80" s="43" t="inlineStr">
        <is>
          <t>H</t>
        </is>
      </c>
      <c r="Y80" s="43" t="inlineStr">
        <is>
          <t>H</t>
        </is>
      </c>
      <c r="BE80" s="44">
        <f>D80*$B$6</f>
        <v/>
      </c>
      <c r="BF80" s="44">
        <f>D80*$I$12</f>
        <v/>
      </c>
      <c r="BG80" s="45">
        <f>MATCH("P",$E80:$BD80,0)</f>
        <v/>
      </c>
    </row>
    <row r="81">
      <c r="A81" s="28" t="inlineStr">
        <is>
          <t>Spinach W15</t>
        </is>
      </c>
      <c r="B81" s="28" t="inlineStr">
        <is>
          <t>Spinach</t>
        </is>
      </c>
      <c r="C81" s="41" t="n">
        <v>0</v>
      </c>
      <c r="D81" s="42" t="n">
        <v>0</v>
      </c>
      <c r="S81" s="43" t="inlineStr">
        <is>
          <t>P</t>
        </is>
      </c>
      <c r="T81" s="43" t="inlineStr">
        <is>
          <t>G</t>
        </is>
      </c>
      <c r="U81" s="43" t="inlineStr">
        <is>
          <t>G</t>
        </is>
      </c>
      <c r="V81" s="43" t="inlineStr">
        <is>
          <t>G</t>
        </is>
      </c>
      <c r="W81" s="43" t="inlineStr">
        <is>
          <t>G</t>
        </is>
      </c>
      <c r="X81" s="43" t="inlineStr">
        <is>
          <t>G</t>
        </is>
      </c>
      <c r="Y81" s="43" t="inlineStr">
        <is>
          <t>H</t>
        </is>
      </c>
      <c r="Z81" s="43" t="inlineStr">
        <is>
          <t>H</t>
        </is>
      </c>
      <c r="BE81" s="44">
        <f>D81*$B$6</f>
        <v/>
      </c>
      <c r="BF81" s="44">
        <f>D81*$I$12</f>
        <v/>
      </c>
      <c r="BG81" s="45">
        <f>MATCH("P",$E81:$BD81,0)</f>
        <v/>
      </c>
    </row>
    <row r="82">
      <c r="A82" s="28" t="inlineStr">
        <is>
          <t>Spinach W16</t>
        </is>
      </c>
      <c r="B82" s="28" t="inlineStr">
        <is>
          <t>Spinach</t>
        </is>
      </c>
      <c r="C82" s="41" t="n">
        <v>0</v>
      </c>
      <c r="D82" s="42" t="n">
        <v>0</v>
      </c>
      <c r="T82" s="43" t="inlineStr">
        <is>
          <t>P</t>
        </is>
      </c>
      <c r="U82" s="43" t="inlineStr">
        <is>
          <t>G</t>
        </is>
      </c>
      <c r="V82" s="43" t="inlineStr">
        <is>
          <t>G</t>
        </is>
      </c>
      <c r="W82" s="43" t="inlineStr">
        <is>
          <t>G</t>
        </is>
      </c>
      <c r="X82" s="43" t="inlineStr">
        <is>
          <t>G</t>
        </is>
      </c>
      <c r="Y82" s="43" t="inlineStr">
        <is>
          <t>G</t>
        </is>
      </c>
      <c r="Z82" s="43" t="inlineStr">
        <is>
          <t>H</t>
        </is>
      </c>
      <c r="AA82" s="43" t="inlineStr">
        <is>
          <t>H</t>
        </is>
      </c>
      <c r="BE82" s="44">
        <f>D82*$B$6</f>
        <v/>
      </c>
      <c r="BF82" s="44">
        <f>D82*$I$12</f>
        <v/>
      </c>
      <c r="BG82" s="45">
        <f>MATCH("P",$E82:$BD82,0)</f>
        <v/>
      </c>
    </row>
    <row r="83">
      <c r="A83" s="28" t="inlineStr">
        <is>
          <t>Spinach W17</t>
        </is>
      </c>
      <c r="B83" s="28" t="inlineStr">
        <is>
          <t>Spinach</t>
        </is>
      </c>
      <c r="C83" s="41" t="n">
        <v>0</v>
      </c>
      <c r="D83" s="42" t="n">
        <v>0</v>
      </c>
      <c r="U83" s="43" t="inlineStr">
        <is>
          <t>P</t>
        </is>
      </c>
      <c r="V83" s="43" t="inlineStr">
        <is>
          <t>G</t>
        </is>
      </c>
      <c r="W83" s="43" t="inlineStr">
        <is>
          <t>G</t>
        </is>
      </c>
      <c r="X83" s="43" t="inlineStr">
        <is>
          <t>G</t>
        </is>
      </c>
      <c r="Y83" s="43" t="inlineStr">
        <is>
          <t>G</t>
        </is>
      </c>
      <c r="Z83" s="43" t="inlineStr">
        <is>
          <t>G</t>
        </is>
      </c>
      <c r="AA83" s="43" t="inlineStr">
        <is>
          <t>H</t>
        </is>
      </c>
      <c r="AB83" s="43" t="inlineStr">
        <is>
          <t>H</t>
        </is>
      </c>
      <c r="BE83" s="44">
        <f>D83*$B$6</f>
        <v/>
      </c>
      <c r="BF83" s="44">
        <f>D83*$I$12</f>
        <v/>
      </c>
      <c r="BG83" s="45">
        <f>MATCH("P",$E83:$BD83,0)</f>
        <v/>
      </c>
    </row>
    <row r="84">
      <c r="A84" s="28" t="inlineStr">
        <is>
          <t>Spinach W18</t>
        </is>
      </c>
      <c r="B84" s="28" t="inlineStr">
        <is>
          <t>Spinach</t>
        </is>
      </c>
      <c r="C84" s="41" t="n">
        <v>0</v>
      </c>
      <c r="D84" s="42" t="n">
        <v>0</v>
      </c>
      <c r="V84" s="43" t="inlineStr">
        <is>
          <t>P</t>
        </is>
      </c>
      <c r="W84" s="43" t="inlineStr">
        <is>
          <t>G</t>
        </is>
      </c>
      <c r="X84" s="43" t="inlineStr">
        <is>
          <t>G</t>
        </is>
      </c>
      <c r="Y84" s="43" t="inlineStr">
        <is>
          <t>G</t>
        </is>
      </c>
      <c r="Z84" s="43" t="inlineStr">
        <is>
          <t>G</t>
        </is>
      </c>
      <c r="AA84" s="43" t="inlineStr">
        <is>
          <t>G</t>
        </is>
      </c>
      <c r="AB84" s="43" t="inlineStr">
        <is>
          <t>H</t>
        </is>
      </c>
      <c r="AC84" s="43" t="inlineStr">
        <is>
          <t>H</t>
        </is>
      </c>
      <c r="BE84" s="44">
        <f>D84*$B$6</f>
        <v/>
      </c>
      <c r="BF84" s="44">
        <f>D84*$I$12</f>
        <v/>
      </c>
      <c r="BG84" s="45">
        <f>MATCH("P",$E84:$BD84,0)</f>
        <v/>
      </c>
    </row>
    <row r="85">
      <c r="A85" s="28" t="inlineStr">
        <is>
          <t>Spinach W19</t>
        </is>
      </c>
      <c r="B85" s="28" t="inlineStr">
        <is>
          <t>Spinach</t>
        </is>
      </c>
      <c r="C85" s="41" t="n">
        <v>0</v>
      </c>
      <c r="D85" s="42" t="n">
        <v>0</v>
      </c>
      <c r="W85" s="43" t="inlineStr">
        <is>
          <t>P</t>
        </is>
      </c>
      <c r="X85" s="43" t="inlineStr">
        <is>
          <t>G</t>
        </is>
      </c>
      <c r="Y85" s="43" t="inlineStr">
        <is>
          <t>G</t>
        </is>
      </c>
      <c r="Z85" s="43" t="inlineStr">
        <is>
          <t>G</t>
        </is>
      </c>
      <c r="AA85" s="43" t="inlineStr">
        <is>
          <t>G</t>
        </is>
      </c>
      <c r="AB85" s="43" t="inlineStr">
        <is>
          <t>G</t>
        </is>
      </c>
      <c r="AC85" s="43" t="inlineStr">
        <is>
          <t>H</t>
        </is>
      </c>
      <c r="AD85" s="43" t="inlineStr">
        <is>
          <t>H</t>
        </is>
      </c>
      <c r="BE85" s="44">
        <f>D85*$B$6</f>
        <v/>
      </c>
      <c r="BF85" s="44">
        <f>D85*$I$12</f>
        <v/>
      </c>
      <c r="BG85" s="45">
        <f>MATCH("P",$E85:$BD85,0)</f>
        <v/>
      </c>
    </row>
    <row r="86">
      <c r="A86" s="28" t="inlineStr">
        <is>
          <t>Spinach W20</t>
        </is>
      </c>
      <c r="B86" s="28" t="inlineStr">
        <is>
          <t>Spinach</t>
        </is>
      </c>
      <c r="C86" s="41" t="n">
        <v>0</v>
      </c>
      <c r="D86" s="42" t="n">
        <v>0</v>
      </c>
      <c r="X86" s="43" t="inlineStr">
        <is>
          <t>P</t>
        </is>
      </c>
      <c r="Y86" s="43" t="inlineStr">
        <is>
          <t>G</t>
        </is>
      </c>
      <c r="Z86" s="43" t="inlineStr">
        <is>
          <t>G</t>
        </is>
      </c>
      <c r="AA86" s="43" t="inlineStr">
        <is>
          <t>G</t>
        </is>
      </c>
      <c r="AB86" s="43" t="inlineStr">
        <is>
          <t>G</t>
        </is>
      </c>
      <c r="AC86" s="43" t="inlineStr">
        <is>
          <t>G</t>
        </is>
      </c>
      <c r="AD86" s="43" t="inlineStr">
        <is>
          <t>H</t>
        </is>
      </c>
      <c r="AE86" s="43" t="inlineStr">
        <is>
          <t>H</t>
        </is>
      </c>
      <c r="BE86" s="44">
        <f>D86*$B$6</f>
        <v/>
      </c>
      <c r="BF86" s="44">
        <f>D86*$I$12</f>
        <v/>
      </c>
      <c r="BG86" s="45">
        <f>MATCH("P",$E86:$BD86,0)</f>
        <v/>
      </c>
    </row>
    <row r="87">
      <c r="A87" s="28" t="inlineStr">
        <is>
          <t>Spinach W21</t>
        </is>
      </c>
      <c r="B87" s="28" t="inlineStr">
        <is>
          <t>Spinach</t>
        </is>
      </c>
      <c r="C87" s="41" t="n">
        <v>0</v>
      </c>
      <c r="D87" s="42" t="n">
        <v>0</v>
      </c>
      <c r="Y87" s="43" t="inlineStr">
        <is>
          <t>P</t>
        </is>
      </c>
      <c r="Z87" s="43" t="inlineStr">
        <is>
          <t>G</t>
        </is>
      </c>
      <c r="AA87" s="43" t="inlineStr">
        <is>
          <t>G</t>
        </is>
      </c>
      <c r="AB87" s="43" t="inlineStr">
        <is>
          <t>G</t>
        </is>
      </c>
      <c r="AC87" s="43" t="inlineStr">
        <is>
          <t>G</t>
        </is>
      </c>
      <c r="AD87" s="43" t="inlineStr">
        <is>
          <t>G</t>
        </is>
      </c>
      <c r="AE87" s="43" t="inlineStr">
        <is>
          <t>H</t>
        </is>
      </c>
      <c r="AF87" s="43" t="inlineStr">
        <is>
          <t>H</t>
        </is>
      </c>
      <c r="BE87" s="44">
        <f>D87*$B$6</f>
        <v/>
      </c>
      <c r="BF87" s="44">
        <f>D87*$I$12</f>
        <v/>
      </c>
      <c r="BG87" s="45">
        <f>MATCH("P",$E87:$BD87,0)</f>
        <v/>
      </c>
    </row>
    <row r="88">
      <c r="A88" s="28" t="inlineStr">
        <is>
          <t>Spinach W22</t>
        </is>
      </c>
      <c r="B88" s="28" t="inlineStr">
        <is>
          <t>Spinach</t>
        </is>
      </c>
      <c r="C88" s="41" t="n">
        <v>0</v>
      </c>
      <c r="D88" s="42" t="n">
        <v>0</v>
      </c>
      <c r="Z88" s="43" t="inlineStr">
        <is>
          <t>P</t>
        </is>
      </c>
      <c r="AA88" s="43" t="inlineStr">
        <is>
          <t>G</t>
        </is>
      </c>
      <c r="AB88" s="43" t="inlineStr">
        <is>
          <t>G</t>
        </is>
      </c>
      <c r="AC88" s="43" t="inlineStr">
        <is>
          <t>G</t>
        </is>
      </c>
      <c r="AD88" s="43" t="inlineStr">
        <is>
          <t>G</t>
        </is>
      </c>
      <c r="AE88" s="43" t="inlineStr">
        <is>
          <t>G</t>
        </is>
      </c>
      <c r="AF88" s="43" t="inlineStr">
        <is>
          <t>H</t>
        </is>
      </c>
      <c r="AG88" s="43" t="inlineStr">
        <is>
          <t>H</t>
        </is>
      </c>
      <c r="BE88" s="44">
        <f>D88*$B$6</f>
        <v/>
      </c>
      <c r="BF88" s="44">
        <f>D88*$I$12</f>
        <v/>
      </c>
      <c r="BG88" s="45">
        <f>MATCH("P",$E88:$BD88,0)</f>
        <v/>
      </c>
    </row>
    <row r="89">
      <c r="A89" s="28" t="inlineStr">
        <is>
          <t>Spinach W23</t>
        </is>
      </c>
      <c r="B89" s="28" t="inlineStr">
        <is>
          <t>Spinach</t>
        </is>
      </c>
      <c r="C89" s="41" t="n">
        <v>0</v>
      </c>
      <c r="D89" s="42" t="n">
        <v>0</v>
      </c>
      <c r="AA89" s="43" t="inlineStr">
        <is>
          <t>P</t>
        </is>
      </c>
      <c r="AB89" s="43" t="inlineStr">
        <is>
          <t>G</t>
        </is>
      </c>
      <c r="AC89" s="43" t="inlineStr">
        <is>
          <t>G</t>
        </is>
      </c>
      <c r="AD89" s="43" t="inlineStr">
        <is>
          <t>G</t>
        </is>
      </c>
      <c r="AE89" s="43" t="inlineStr">
        <is>
          <t>G</t>
        </is>
      </c>
      <c r="AF89" s="43" t="inlineStr">
        <is>
          <t>G</t>
        </is>
      </c>
      <c r="AG89" s="43" t="inlineStr">
        <is>
          <t>H</t>
        </is>
      </c>
      <c r="AH89" s="43" t="inlineStr">
        <is>
          <t>H</t>
        </is>
      </c>
      <c r="BE89" s="44">
        <f>D89*$B$6</f>
        <v/>
      </c>
      <c r="BF89" s="44">
        <f>D89*$I$12</f>
        <v/>
      </c>
      <c r="BG89" s="45">
        <f>MATCH("P",$E89:$BD89,0)</f>
        <v/>
      </c>
    </row>
    <row r="90">
      <c r="A90" s="28" t="inlineStr">
        <is>
          <t>Spinach W24</t>
        </is>
      </c>
      <c r="B90" s="28" t="inlineStr">
        <is>
          <t>Spinach</t>
        </is>
      </c>
      <c r="C90" s="41" t="n">
        <v>0</v>
      </c>
      <c r="D90" s="42" t="n">
        <v>0</v>
      </c>
      <c r="AB90" s="43" t="inlineStr">
        <is>
          <t>P</t>
        </is>
      </c>
      <c r="AC90" s="43" t="inlineStr">
        <is>
          <t>G</t>
        </is>
      </c>
      <c r="AD90" s="43" t="inlineStr">
        <is>
          <t>G</t>
        </is>
      </c>
      <c r="AE90" s="43" t="inlineStr">
        <is>
          <t>G</t>
        </is>
      </c>
      <c r="AF90" s="43" t="inlineStr">
        <is>
          <t>G</t>
        </is>
      </c>
      <c r="AG90" s="43" t="inlineStr">
        <is>
          <t>G</t>
        </is>
      </c>
      <c r="AH90" s="43" t="inlineStr">
        <is>
          <t>H</t>
        </is>
      </c>
      <c r="AI90" s="43" t="inlineStr">
        <is>
          <t>H</t>
        </is>
      </c>
      <c r="BE90" s="44">
        <f>D90*$B$6</f>
        <v/>
      </c>
      <c r="BF90" s="44">
        <f>D90*$I$12</f>
        <v/>
      </c>
      <c r="BG90" s="45">
        <f>MATCH("P",$E90:$BD90,0)</f>
        <v/>
      </c>
    </row>
    <row r="91">
      <c r="A91" s="28" t="inlineStr">
        <is>
          <t>Spinach W31</t>
        </is>
      </c>
      <c r="B91" s="28" t="inlineStr">
        <is>
          <t>Spinach</t>
        </is>
      </c>
      <c r="C91" s="41" t="n">
        <v>0</v>
      </c>
      <c r="D91" s="42" t="n">
        <v>0</v>
      </c>
      <c r="AI91" s="43" t="inlineStr">
        <is>
          <t>P</t>
        </is>
      </c>
      <c r="AJ91" s="43" t="inlineStr">
        <is>
          <t>G</t>
        </is>
      </c>
      <c r="AK91" s="43" t="inlineStr">
        <is>
          <t>G</t>
        </is>
      </c>
      <c r="AL91" s="43" t="inlineStr">
        <is>
          <t>G</t>
        </is>
      </c>
      <c r="AM91" s="43" t="inlineStr">
        <is>
          <t>G</t>
        </is>
      </c>
      <c r="AN91" s="43" t="inlineStr">
        <is>
          <t>G</t>
        </is>
      </c>
      <c r="AO91" s="43" t="inlineStr">
        <is>
          <t>H</t>
        </is>
      </c>
      <c r="AP91" s="43" t="inlineStr">
        <is>
          <t>H</t>
        </is>
      </c>
      <c r="BE91" s="44">
        <f>D91*$B$6</f>
        <v/>
      </c>
      <c r="BF91" s="44">
        <f>D91*$I$12</f>
        <v/>
      </c>
      <c r="BG91" s="45">
        <f>MATCH("P",$E91:$BD91,0)</f>
        <v/>
      </c>
    </row>
    <row r="92">
      <c r="A92" s="28" t="inlineStr">
        <is>
          <t>Spinach W32</t>
        </is>
      </c>
      <c r="B92" s="28" t="inlineStr">
        <is>
          <t>Spinach</t>
        </is>
      </c>
      <c r="C92" s="41" t="n">
        <v>0</v>
      </c>
      <c r="D92" s="42" t="n">
        <v>0</v>
      </c>
      <c r="AJ92" s="43" t="inlineStr">
        <is>
          <t>P</t>
        </is>
      </c>
      <c r="AK92" s="43" t="inlineStr">
        <is>
          <t>G</t>
        </is>
      </c>
      <c r="AL92" s="43" t="inlineStr">
        <is>
          <t>G</t>
        </is>
      </c>
      <c r="AM92" s="43" t="inlineStr">
        <is>
          <t>G</t>
        </is>
      </c>
      <c r="AN92" s="43" t="inlineStr">
        <is>
          <t>G</t>
        </is>
      </c>
      <c r="AO92" s="43" t="inlineStr">
        <is>
          <t>G</t>
        </is>
      </c>
      <c r="AP92" s="43" t="inlineStr">
        <is>
          <t>H</t>
        </is>
      </c>
      <c r="AQ92" s="43" t="inlineStr">
        <is>
          <t>H</t>
        </is>
      </c>
      <c r="BE92" s="44">
        <f>D92*$B$6</f>
        <v/>
      </c>
      <c r="BF92" s="44">
        <f>D92*$I$12</f>
        <v/>
      </c>
      <c r="BG92" s="45">
        <f>MATCH("P",$E92:$BD92,0)</f>
        <v/>
      </c>
    </row>
    <row r="93">
      <c r="A93" s="28" t="inlineStr">
        <is>
          <t>Spinach W33</t>
        </is>
      </c>
      <c r="B93" s="28" t="inlineStr">
        <is>
          <t>Spinach</t>
        </is>
      </c>
      <c r="C93" s="41" t="n">
        <v>0</v>
      </c>
      <c r="D93" s="42" t="n">
        <v>0</v>
      </c>
      <c r="AK93" s="43" t="inlineStr">
        <is>
          <t>P</t>
        </is>
      </c>
      <c r="AL93" s="43" t="inlineStr">
        <is>
          <t>G</t>
        </is>
      </c>
      <c r="AM93" s="43" t="inlineStr">
        <is>
          <t>G</t>
        </is>
      </c>
      <c r="AN93" s="43" t="inlineStr">
        <is>
          <t>G</t>
        </is>
      </c>
      <c r="AO93" s="43" t="inlineStr">
        <is>
          <t>G</t>
        </is>
      </c>
      <c r="AP93" s="43" t="inlineStr">
        <is>
          <t>G</t>
        </is>
      </c>
      <c r="AQ93" s="43" t="inlineStr">
        <is>
          <t>H</t>
        </is>
      </c>
      <c r="AR93" s="43" t="inlineStr">
        <is>
          <t>H</t>
        </is>
      </c>
      <c r="BE93" s="44">
        <f>D93*$B$6</f>
        <v/>
      </c>
      <c r="BF93" s="44">
        <f>D93*$I$12</f>
        <v/>
      </c>
      <c r="BG93" s="45">
        <f>MATCH("P",$E93:$BD93,0)</f>
        <v/>
      </c>
    </row>
    <row r="94">
      <c r="A94" s="28" t="inlineStr">
        <is>
          <t>Spinach W34</t>
        </is>
      </c>
      <c r="B94" s="28" t="inlineStr">
        <is>
          <t>Spinach</t>
        </is>
      </c>
      <c r="C94" s="41" t="n">
        <v>0</v>
      </c>
      <c r="D94" s="42" t="n">
        <v>0</v>
      </c>
      <c r="AL94" s="43" t="inlineStr">
        <is>
          <t>P</t>
        </is>
      </c>
      <c r="AM94" s="43" t="inlineStr">
        <is>
          <t>G</t>
        </is>
      </c>
      <c r="AN94" s="43" t="inlineStr">
        <is>
          <t>G</t>
        </is>
      </c>
      <c r="AO94" s="43" t="inlineStr">
        <is>
          <t>G</t>
        </is>
      </c>
      <c r="AP94" s="43" t="inlineStr">
        <is>
          <t>G</t>
        </is>
      </c>
      <c r="AQ94" s="43" t="inlineStr">
        <is>
          <t>G</t>
        </is>
      </c>
      <c r="AR94" s="43" t="inlineStr">
        <is>
          <t>H</t>
        </is>
      </c>
      <c r="AS94" s="43" t="inlineStr">
        <is>
          <t>H</t>
        </is>
      </c>
      <c r="BE94" s="44">
        <f>D94*$B$6</f>
        <v/>
      </c>
      <c r="BF94" s="44">
        <f>D94*$I$12</f>
        <v/>
      </c>
      <c r="BG94" s="45">
        <f>MATCH("P",$E94:$BD94,0)</f>
        <v/>
      </c>
    </row>
    <row r="95">
      <c r="A95" s="28" t="inlineStr">
        <is>
          <t>Spinach W35</t>
        </is>
      </c>
      <c r="B95" s="28" t="inlineStr">
        <is>
          <t>Spinach</t>
        </is>
      </c>
      <c r="C95" s="41" t="n">
        <v>0</v>
      </c>
      <c r="D95" s="42" t="n">
        <v>0</v>
      </c>
      <c r="AM95" s="43" t="inlineStr">
        <is>
          <t>P</t>
        </is>
      </c>
      <c r="AN95" s="43" t="inlineStr">
        <is>
          <t>G</t>
        </is>
      </c>
      <c r="AO95" s="43" t="inlineStr">
        <is>
          <t>G</t>
        </is>
      </c>
      <c r="AP95" s="43" t="inlineStr">
        <is>
          <t>G</t>
        </is>
      </c>
      <c r="AQ95" s="43" t="inlineStr">
        <is>
          <t>G</t>
        </is>
      </c>
      <c r="AR95" s="43" t="inlineStr">
        <is>
          <t>G</t>
        </is>
      </c>
      <c r="AS95" s="43" t="inlineStr">
        <is>
          <t>H</t>
        </is>
      </c>
      <c r="AT95" s="43" t="inlineStr">
        <is>
          <t>H</t>
        </is>
      </c>
      <c r="BE95" s="44">
        <f>D95*$B$6</f>
        <v/>
      </c>
      <c r="BF95" s="44">
        <f>D95*$I$12</f>
        <v/>
      </c>
      <c r="BG95" s="45">
        <f>MATCH("P",$E95:$BD95,0)</f>
        <v/>
      </c>
    </row>
    <row r="96">
      <c r="A96" s="28" t="inlineStr">
        <is>
          <t>Spinach W36</t>
        </is>
      </c>
      <c r="B96" s="28" t="inlineStr">
        <is>
          <t>Spinach</t>
        </is>
      </c>
      <c r="C96" s="41" t="n">
        <v>0</v>
      </c>
      <c r="D96" s="42" t="n">
        <v>0</v>
      </c>
      <c r="AN96" s="43" t="inlineStr">
        <is>
          <t>P</t>
        </is>
      </c>
      <c r="AO96" s="43" t="inlineStr">
        <is>
          <t>G</t>
        </is>
      </c>
      <c r="AP96" s="43" t="inlineStr">
        <is>
          <t>G</t>
        </is>
      </c>
      <c r="AQ96" s="43" t="inlineStr">
        <is>
          <t>G</t>
        </is>
      </c>
      <c r="AR96" s="43" t="inlineStr">
        <is>
          <t>G</t>
        </is>
      </c>
      <c r="AS96" s="43" t="inlineStr">
        <is>
          <t>G</t>
        </is>
      </c>
      <c r="AT96" s="43" t="inlineStr">
        <is>
          <t>H</t>
        </is>
      </c>
      <c r="AU96" s="43" t="inlineStr">
        <is>
          <t>H</t>
        </is>
      </c>
      <c r="BE96" s="44">
        <f>D96*$B$6</f>
        <v/>
      </c>
      <c r="BF96" s="44">
        <f>D96*$I$12</f>
        <v/>
      </c>
      <c r="BG96" s="45">
        <f>MATCH("P",$E96:$BD96,0)</f>
        <v/>
      </c>
    </row>
    <row r="97">
      <c r="A97" s="28" t="inlineStr">
        <is>
          <t>Spinach W37</t>
        </is>
      </c>
      <c r="B97" s="28" t="inlineStr">
        <is>
          <t>Spinach</t>
        </is>
      </c>
      <c r="C97" s="41" t="n">
        <v>0</v>
      </c>
      <c r="D97" s="42" t="n">
        <v>0</v>
      </c>
      <c r="AO97" s="43" t="inlineStr">
        <is>
          <t>P</t>
        </is>
      </c>
      <c r="AP97" s="43" t="inlineStr">
        <is>
          <t>G</t>
        </is>
      </c>
      <c r="AQ97" s="43" t="inlineStr">
        <is>
          <t>G</t>
        </is>
      </c>
      <c r="AR97" s="43" t="inlineStr">
        <is>
          <t>G</t>
        </is>
      </c>
      <c r="AS97" s="43" t="inlineStr">
        <is>
          <t>G</t>
        </is>
      </c>
      <c r="AT97" s="43" t="inlineStr">
        <is>
          <t>G</t>
        </is>
      </c>
      <c r="AU97" s="43" t="inlineStr">
        <is>
          <t>H</t>
        </is>
      </c>
      <c r="AV97" s="43" t="inlineStr">
        <is>
          <t>H</t>
        </is>
      </c>
      <c r="BE97" s="44">
        <f>D97*$B$6</f>
        <v/>
      </c>
      <c r="BF97" s="44">
        <f>D97*$I$12</f>
        <v/>
      </c>
      <c r="BG97" s="45">
        <f>MATCH("P",$E97:$BD97,0)</f>
        <v/>
      </c>
    </row>
    <row r="98">
      <c r="A98" s="28" t="inlineStr">
        <is>
          <t>Spinach W38</t>
        </is>
      </c>
      <c r="B98" s="28" t="inlineStr">
        <is>
          <t>Spinach</t>
        </is>
      </c>
      <c r="C98" s="41" t="n">
        <v>0</v>
      </c>
      <c r="D98" s="42" t="n">
        <v>0</v>
      </c>
      <c r="AP98" s="43" t="inlineStr">
        <is>
          <t>P</t>
        </is>
      </c>
      <c r="AQ98" s="43" t="inlineStr">
        <is>
          <t>G</t>
        </is>
      </c>
      <c r="AR98" s="43" t="inlineStr">
        <is>
          <t>G</t>
        </is>
      </c>
      <c r="AS98" s="43" t="inlineStr">
        <is>
          <t>G</t>
        </is>
      </c>
      <c r="AT98" s="43" t="inlineStr">
        <is>
          <t>G</t>
        </is>
      </c>
      <c r="AU98" s="43" t="inlineStr">
        <is>
          <t>G</t>
        </is>
      </c>
      <c r="AV98" s="43" t="inlineStr">
        <is>
          <t>H</t>
        </is>
      </c>
      <c r="AW98" s="43" t="inlineStr">
        <is>
          <t>H</t>
        </is>
      </c>
      <c r="BE98" s="44">
        <f>D98*$B$6</f>
        <v/>
      </c>
      <c r="BF98" s="44">
        <f>D98*$I$12</f>
        <v/>
      </c>
      <c r="BG98" s="45">
        <f>MATCH("P",$E98:$BD98,0)</f>
        <v/>
      </c>
    </row>
    <row r="99">
      <c r="A99" s="28" t="inlineStr">
        <is>
          <t>Spinach W39</t>
        </is>
      </c>
      <c r="B99" s="28" t="inlineStr">
        <is>
          <t>Spinach</t>
        </is>
      </c>
      <c r="C99" s="41" t="n">
        <v>0</v>
      </c>
      <c r="D99" s="42" t="n">
        <v>0</v>
      </c>
      <c r="AQ99" s="43" t="inlineStr">
        <is>
          <t>P</t>
        </is>
      </c>
      <c r="AR99" s="43" t="inlineStr">
        <is>
          <t>G</t>
        </is>
      </c>
      <c r="AS99" s="43" t="inlineStr">
        <is>
          <t>G</t>
        </is>
      </c>
      <c r="AT99" s="43" t="inlineStr">
        <is>
          <t>G</t>
        </is>
      </c>
      <c r="AU99" s="43" t="inlineStr">
        <is>
          <t>G</t>
        </is>
      </c>
      <c r="AV99" s="43" t="inlineStr">
        <is>
          <t>G</t>
        </is>
      </c>
      <c r="AW99" s="43" t="inlineStr">
        <is>
          <t>H</t>
        </is>
      </c>
      <c r="AX99" s="43" t="inlineStr">
        <is>
          <t>H</t>
        </is>
      </c>
      <c r="BE99" s="44">
        <f>D99*$B$6</f>
        <v/>
      </c>
      <c r="BF99" s="44">
        <f>D99*$I$12</f>
        <v/>
      </c>
      <c r="BG99" s="45">
        <f>MATCH("P",$E99:$BD99,0)</f>
        <v/>
      </c>
    </row>
    <row r="100">
      <c r="A100" s="28" t="inlineStr">
        <is>
          <t>Spinach W40</t>
        </is>
      </c>
      <c r="B100" s="28" t="inlineStr">
        <is>
          <t>Spinach</t>
        </is>
      </c>
      <c r="C100" s="41" t="n">
        <v>0</v>
      </c>
      <c r="D100" s="42" t="n">
        <v>0</v>
      </c>
      <c r="AR100" s="43" t="inlineStr">
        <is>
          <t>P</t>
        </is>
      </c>
      <c r="AS100" s="43" t="inlineStr">
        <is>
          <t>G</t>
        </is>
      </c>
      <c r="AT100" s="43" t="inlineStr">
        <is>
          <t>G</t>
        </is>
      </c>
      <c r="AU100" s="43" t="inlineStr">
        <is>
          <t>G</t>
        </is>
      </c>
      <c r="AV100" s="43" t="inlineStr">
        <is>
          <t>G</t>
        </is>
      </c>
      <c r="AW100" s="43" t="inlineStr">
        <is>
          <t>G</t>
        </is>
      </c>
      <c r="AX100" s="43" t="inlineStr">
        <is>
          <t>H</t>
        </is>
      </c>
      <c r="AY100" s="43" t="inlineStr">
        <is>
          <t>H</t>
        </is>
      </c>
      <c r="BE100" s="44">
        <f>D100*$B$6</f>
        <v/>
      </c>
      <c r="BF100" s="44">
        <f>D100*$I$12</f>
        <v/>
      </c>
      <c r="BG100" s="45">
        <f>MATCH("P",$E100:$BD100,0)</f>
        <v/>
      </c>
    </row>
    <row r="101">
      <c r="A101" s="28" t="inlineStr">
        <is>
          <t>Spinach W41</t>
        </is>
      </c>
      <c r="B101" s="28" t="inlineStr">
        <is>
          <t>Spinach</t>
        </is>
      </c>
      <c r="C101" s="41" t="n">
        <v>0</v>
      </c>
      <c r="D101" s="42" t="n">
        <v>0</v>
      </c>
      <c r="AS101" s="43" t="inlineStr">
        <is>
          <t>P</t>
        </is>
      </c>
      <c r="AT101" s="43" t="inlineStr">
        <is>
          <t>G</t>
        </is>
      </c>
      <c r="AU101" s="43" t="inlineStr">
        <is>
          <t>G</t>
        </is>
      </c>
      <c r="AV101" s="43" t="inlineStr">
        <is>
          <t>G</t>
        </is>
      </c>
      <c r="AW101" s="43" t="inlineStr">
        <is>
          <t>G</t>
        </is>
      </c>
      <c r="AX101" s="43" t="inlineStr">
        <is>
          <t>G</t>
        </is>
      </c>
      <c r="AY101" s="43" t="inlineStr">
        <is>
          <t>H</t>
        </is>
      </c>
      <c r="AZ101" s="43" t="inlineStr">
        <is>
          <t>H</t>
        </is>
      </c>
      <c r="BE101" s="44">
        <f>D101*$B$6</f>
        <v/>
      </c>
      <c r="BF101" s="44">
        <f>D101*$I$12</f>
        <v/>
      </c>
      <c r="BG101" s="45">
        <f>MATCH("P",$E101:$BD101,0)</f>
        <v/>
      </c>
    </row>
    <row r="102">
      <c r="A102" s="28" t="inlineStr">
        <is>
          <t>Spinach W42</t>
        </is>
      </c>
      <c r="B102" s="28" t="inlineStr">
        <is>
          <t>Spinach</t>
        </is>
      </c>
      <c r="C102" s="41" t="n">
        <v>0</v>
      </c>
      <c r="D102" s="42" t="n">
        <v>0</v>
      </c>
      <c r="AT102" s="43" t="inlineStr">
        <is>
          <t>P</t>
        </is>
      </c>
      <c r="AU102" s="43" t="inlineStr">
        <is>
          <t>G</t>
        </is>
      </c>
      <c r="AV102" s="43" t="inlineStr">
        <is>
          <t>G</t>
        </is>
      </c>
      <c r="AW102" s="43" t="inlineStr">
        <is>
          <t>G</t>
        </is>
      </c>
      <c r="AX102" s="43" t="inlineStr">
        <is>
          <t>G</t>
        </is>
      </c>
      <c r="AY102" s="43" t="inlineStr">
        <is>
          <t>G</t>
        </is>
      </c>
      <c r="AZ102" s="43" t="inlineStr">
        <is>
          <t>H</t>
        </is>
      </c>
      <c r="BA102" s="43" t="inlineStr">
        <is>
          <t>H</t>
        </is>
      </c>
      <c r="BE102" s="44">
        <f>D102*$B$6</f>
        <v/>
      </c>
      <c r="BF102" s="44">
        <f>D102*$I$12</f>
        <v/>
      </c>
      <c r="BG102" s="45">
        <f>MATCH("P",$E102:$BD102,0)</f>
        <v/>
      </c>
    </row>
    <row r="103">
      <c r="A103" s="28" t="inlineStr">
        <is>
          <t>Spinach W43</t>
        </is>
      </c>
      <c r="B103" s="28" t="inlineStr">
        <is>
          <t>Spinach</t>
        </is>
      </c>
      <c r="C103" s="41" t="n">
        <v>0</v>
      </c>
      <c r="D103" s="42" t="n">
        <v>0</v>
      </c>
      <c r="AU103" s="43" t="inlineStr">
        <is>
          <t>P</t>
        </is>
      </c>
      <c r="AV103" s="43" t="inlineStr">
        <is>
          <t>G</t>
        </is>
      </c>
      <c r="AW103" s="43" t="inlineStr">
        <is>
          <t>G</t>
        </is>
      </c>
      <c r="AX103" s="43" t="inlineStr">
        <is>
          <t>G</t>
        </is>
      </c>
      <c r="AY103" s="43" t="inlineStr">
        <is>
          <t>G</t>
        </is>
      </c>
      <c r="AZ103" s="43" t="inlineStr">
        <is>
          <t>G</t>
        </is>
      </c>
      <c r="BA103" s="43" t="inlineStr">
        <is>
          <t>H</t>
        </is>
      </c>
      <c r="BB103" s="43" t="inlineStr">
        <is>
          <t>H</t>
        </is>
      </c>
      <c r="BE103" s="44">
        <f>D103*$B$6</f>
        <v/>
      </c>
      <c r="BF103" s="44">
        <f>D103*$I$12</f>
        <v/>
      </c>
      <c r="BG103" s="45">
        <f>MATCH("P",$E103:$BD103,0)</f>
        <v/>
      </c>
    </row>
    <row r="104">
      <c r="A104" s="28" t="inlineStr">
        <is>
          <t>Spinach W44</t>
        </is>
      </c>
      <c r="B104" s="28" t="inlineStr">
        <is>
          <t>Spinach</t>
        </is>
      </c>
      <c r="C104" s="41" t="n">
        <v>0</v>
      </c>
      <c r="D104" s="42" t="n">
        <v>0</v>
      </c>
      <c r="AV104" s="43" t="inlineStr">
        <is>
          <t>P</t>
        </is>
      </c>
      <c r="AW104" s="43" t="inlineStr">
        <is>
          <t>G</t>
        </is>
      </c>
      <c r="AX104" s="43" t="inlineStr">
        <is>
          <t>G</t>
        </is>
      </c>
      <c r="AY104" s="43" t="inlineStr">
        <is>
          <t>G</t>
        </is>
      </c>
      <c r="AZ104" s="43" t="inlineStr">
        <is>
          <t>G</t>
        </is>
      </c>
      <c r="BA104" s="43" t="inlineStr">
        <is>
          <t>G</t>
        </is>
      </c>
      <c r="BB104" s="43" t="inlineStr">
        <is>
          <t>H</t>
        </is>
      </c>
      <c r="BC104" s="43" t="inlineStr">
        <is>
          <t>H</t>
        </is>
      </c>
      <c r="BE104" s="44">
        <f>D104*$B$6</f>
        <v/>
      </c>
      <c r="BF104" s="44">
        <f>D104*$I$12</f>
        <v/>
      </c>
      <c r="BG104" s="45">
        <f>MATCH("P",$E104:$BD104,0)</f>
        <v/>
      </c>
    </row>
    <row r="105">
      <c r="A105" s="28" t="inlineStr">
        <is>
          <t>Spinach W45</t>
        </is>
      </c>
      <c r="B105" s="28" t="inlineStr">
        <is>
          <t>Spinach</t>
        </is>
      </c>
      <c r="C105" s="41" t="n">
        <v>0</v>
      </c>
      <c r="D105" s="42" t="n">
        <v>0</v>
      </c>
      <c r="AW105" s="43" t="inlineStr">
        <is>
          <t>P</t>
        </is>
      </c>
      <c r="AX105" s="43" t="inlineStr">
        <is>
          <t>G</t>
        </is>
      </c>
      <c r="AY105" s="43" t="inlineStr">
        <is>
          <t>G</t>
        </is>
      </c>
      <c r="AZ105" s="43" t="inlineStr">
        <is>
          <t>G</t>
        </is>
      </c>
      <c r="BA105" s="43" t="inlineStr">
        <is>
          <t>G</t>
        </is>
      </c>
      <c r="BB105" s="43" t="inlineStr">
        <is>
          <t>G</t>
        </is>
      </c>
      <c r="BC105" s="43" t="inlineStr">
        <is>
          <t>H</t>
        </is>
      </c>
      <c r="BD105" s="43" t="inlineStr">
        <is>
          <t>H</t>
        </is>
      </c>
      <c r="BE105" s="44">
        <f>D105*$B$6</f>
        <v/>
      </c>
      <c r="BF105" s="44">
        <f>D105*$I$12</f>
        <v/>
      </c>
      <c r="BG105" s="45">
        <f>MATCH("P",$E105:$BD105,0)</f>
        <v/>
      </c>
    </row>
    <row r="106">
      <c r="A106" s="28" t="inlineStr">
        <is>
          <t>Kale W05</t>
        </is>
      </c>
      <c r="B106" s="28" t="inlineStr">
        <is>
          <t>Kale</t>
        </is>
      </c>
      <c r="C106" s="41" t="n">
        <v>0</v>
      </c>
      <c r="D106" s="42" t="n">
        <v>0</v>
      </c>
      <c r="I106" s="43" t="inlineStr">
        <is>
          <t>P</t>
        </is>
      </c>
      <c r="J106" s="43" t="inlineStr">
        <is>
          <t>G</t>
        </is>
      </c>
      <c r="K106" s="43" t="inlineStr">
        <is>
          <t>G</t>
        </is>
      </c>
      <c r="L106" s="43" t="inlineStr">
        <is>
          <t>G</t>
        </is>
      </c>
      <c r="M106" s="43" t="inlineStr">
        <is>
          <t>G</t>
        </is>
      </c>
      <c r="N106" s="43" t="inlineStr">
        <is>
          <t>G</t>
        </is>
      </c>
      <c r="O106" s="43" t="inlineStr">
        <is>
          <t>G</t>
        </is>
      </c>
      <c r="P106" s="43" t="inlineStr">
        <is>
          <t>G</t>
        </is>
      </c>
      <c r="Q106" s="43" t="inlineStr">
        <is>
          <t>G</t>
        </is>
      </c>
      <c r="R106" s="43" t="inlineStr">
        <is>
          <t>H</t>
        </is>
      </c>
      <c r="S106" s="43" t="inlineStr">
        <is>
          <t>H</t>
        </is>
      </c>
      <c r="T106" s="43" t="inlineStr">
        <is>
          <t>H</t>
        </is>
      </c>
      <c r="U106" s="43" t="inlineStr">
        <is>
          <t>H</t>
        </is>
      </c>
      <c r="BE106" s="44">
        <f>D106*$B$6</f>
        <v/>
      </c>
      <c r="BF106" s="44">
        <f>D106*$I$13</f>
        <v/>
      </c>
      <c r="BG106" s="45">
        <f>MATCH("P",$E106:$BD106,0)</f>
        <v/>
      </c>
    </row>
    <row r="107">
      <c r="A107" s="28" t="inlineStr">
        <is>
          <t>Kale W06</t>
        </is>
      </c>
      <c r="B107" s="28" t="inlineStr">
        <is>
          <t>Kale</t>
        </is>
      </c>
      <c r="C107" s="41" t="n">
        <v>0</v>
      </c>
      <c r="D107" s="42" t="n">
        <v>0</v>
      </c>
      <c r="J107" s="43" t="inlineStr">
        <is>
          <t>P</t>
        </is>
      </c>
      <c r="K107" s="43" t="inlineStr">
        <is>
          <t>G</t>
        </is>
      </c>
      <c r="L107" s="43" t="inlineStr">
        <is>
          <t>G</t>
        </is>
      </c>
      <c r="M107" s="43" t="inlineStr">
        <is>
          <t>G</t>
        </is>
      </c>
      <c r="N107" s="43" t="inlineStr">
        <is>
          <t>G</t>
        </is>
      </c>
      <c r="O107" s="43" t="inlineStr">
        <is>
          <t>G</t>
        </is>
      </c>
      <c r="P107" s="43" t="inlineStr">
        <is>
          <t>G</t>
        </is>
      </c>
      <c r="Q107" s="43" t="inlineStr">
        <is>
          <t>G</t>
        </is>
      </c>
      <c r="R107" s="43" t="inlineStr">
        <is>
          <t>G</t>
        </is>
      </c>
      <c r="S107" s="43" t="inlineStr">
        <is>
          <t>H</t>
        </is>
      </c>
      <c r="T107" s="43" t="inlineStr">
        <is>
          <t>H</t>
        </is>
      </c>
      <c r="U107" s="43" t="inlineStr">
        <is>
          <t>H</t>
        </is>
      </c>
      <c r="V107" s="43" t="inlineStr">
        <is>
          <t>H</t>
        </is>
      </c>
      <c r="BE107" s="44">
        <f>D107*$B$6</f>
        <v/>
      </c>
      <c r="BF107" s="44">
        <f>D107*$I$13</f>
        <v/>
      </c>
      <c r="BG107" s="45">
        <f>MATCH("P",$E107:$BD107,0)</f>
        <v/>
      </c>
    </row>
    <row r="108">
      <c r="A108" s="28" t="inlineStr">
        <is>
          <t>Kale W07</t>
        </is>
      </c>
      <c r="B108" s="28" t="inlineStr">
        <is>
          <t>Kale</t>
        </is>
      </c>
      <c r="C108" s="41" t="n">
        <v>0</v>
      </c>
      <c r="D108" s="42" t="n">
        <v>0</v>
      </c>
      <c r="K108" s="43" t="inlineStr">
        <is>
          <t>P</t>
        </is>
      </c>
      <c r="L108" s="43" t="inlineStr">
        <is>
          <t>G</t>
        </is>
      </c>
      <c r="M108" s="43" t="inlineStr">
        <is>
          <t>G</t>
        </is>
      </c>
      <c r="N108" s="43" t="inlineStr">
        <is>
          <t>G</t>
        </is>
      </c>
      <c r="O108" s="43" t="inlineStr">
        <is>
          <t>G</t>
        </is>
      </c>
      <c r="P108" s="43" t="inlineStr">
        <is>
          <t>G</t>
        </is>
      </c>
      <c r="Q108" s="43" t="inlineStr">
        <is>
          <t>G</t>
        </is>
      </c>
      <c r="R108" s="43" t="inlineStr">
        <is>
          <t>G</t>
        </is>
      </c>
      <c r="S108" s="43" t="inlineStr">
        <is>
          <t>G</t>
        </is>
      </c>
      <c r="T108" s="43" t="inlineStr">
        <is>
          <t>H</t>
        </is>
      </c>
      <c r="U108" s="43" t="inlineStr">
        <is>
          <t>H</t>
        </is>
      </c>
      <c r="V108" s="43" t="inlineStr">
        <is>
          <t>H</t>
        </is>
      </c>
      <c r="W108" s="43" t="inlineStr">
        <is>
          <t>H</t>
        </is>
      </c>
      <c r="BE108" s="44">
        <f>D108*$B$6</f>
        <v/>
      </c>
      <c r="BF108" s="44">
        <f>D108*$I$13</f>
        <v/>
      </c>
      <c r="BG108" s="45">
        <f>MATCH("P",$E108:$BD108,0)</f>
        <v/>
      </c>
    </row>
    <row r="109">
      <c r="A109" s="28" t="inlineStr">
        <is>
          <t>Kale W08</t>
        </is>
      </c>
      <c r="B109" s="28" t="inlineStr">
        <is>
          <t>Kale</t>
        </is>
      </c>
      <c r="C109" s="41" t="n">
        <v>0</v>
      </c>
      <c r="D109" s="42" t="n">
        <v>0</v>
      </c>
      <c r="L109" s="43" t="inlineStr">
        <is>
          <t>P</t>
        </is>
      </c>
      <c r="M109" s="43" t="inlineStr">
        <is>
          <t>G</t>
        </is>
      </c>
      <c r="N109" s="43" t="inlineStr">
        <is>
          <t>G</t>
        </is>
      </c>
      <c r="O109" s="43" t="inlineStr">
        <is>
          <t>G</t>
        </is>
      </c>
      <c r="P109" s="43" t="inlineStr">
        <is>
          <t>G</t>
        </is>
      </c>
      <c r="Q109" s="43" t="inlineStr">
        <is>
          <t>G</t>
        </is>
      </c>
      <c r="R109" s="43" t="inlineStr">
        <is>
          <t>G</t>
        </is>
      </c>
      <c r="S109" s="43" t="inlineStr">
        <is>
          <t>G</t>
        </is>
      </c>
      <c r="T109" s="43" t="inlineStr">
        <is>
          <t>G</t>
        </is>
      </c>
      <c r="U109" s="43" t="inlineStr">
        <is>
          <t>H</t>
        </is>
      </c>
      <c r="V109" s="43" t="inlineStr">
        <is>
          <t>H</t>
        </is>
      </c>
      <c r="W109" s="43" t="inlineStr">
        <is>
          <t>H</t>
        </is>
      </c>
      <c r="X109" s="43" t="inlineStr">
        <is>
          <t>H</t>
        </is>
      </c>
      <c r="BE109" s="44">
        <f>D109*$B$6</f>
        <v/>
      </c>
      <c r="BF109" s="44">
        <f>D109*$I$13</f>
        <v/>
      </c>
      <c r="BG109" s="45">
        <f>MATCH("P",$E109:$BD109,0)</f>
        <v/>
      </c>
    </row>
    <row r="110">
      <c r="A110" s="28" t="inlineStr">
        <is>
          <t>Kale W09</t>
        </is>
      </c>
      <c r="B110" s="28" t="inlineStr">
        <is>
          <t>Kale</t>
        </is>
      </c>
      <c r="C110" s="41" t="n">
        <v>0</v>
      </c>
      <c r="D110" s="42" t="n">
        <v>0</v>
      </c>
      <c r="M110" s="43" t="inlineStr">
        <is>
          <t>P</t>
        </is>
      </c>
      <c r="N110" s="43" t="inlineStr">
        <is>
          <t>G</t>
        </is>
      </c>
      <c r="O110" s="43" t="inlineStr">
        <is>
          <t>G</t>
        </is>
      </c>
      <c r="P110" s="43" t="inlineStr">
        <is>
          <t>G</t>
        </is>
      </c>
      <c r="Q110" s="43" t="inlineStr">
        <is>
          <t>G</t>
        </is>
      </c>
      <c r="R110" s="43" t="inlineStr">
        <is>
          <t>G</t>
        </is>
      </c>
      <c r="S110" s="43" t="inlineStr">
        <is>
          <t>G</t>
        </is>
      </c>
      <c r="T110" s="43" t="inlineStr">
        <is>
          <t>G</t>
        </is>
      </c>
      <c r="U110" s="43" t="inlineStr">
        <is>
          <t>G</t>
        </is>
      </c>
      <c r="V110" s="43" t="inlineStr">
        <is>
          <t>H</t>
        </is>
      </c>
      <c r="W110" s="43" t="inlineStr">
        <is>
          <t>H</t>
        </is>
      </c>
      <c r="X110" s="43" t="inlineStr">
        <is>
          <t>H</t>
        </is>
      </c>
      <c r="Y110" s="43" t="inlineStr">
        <is>
          <t>H</t>
        </is>
      </c>
      <c r="BE110" s="44">
        <f>D110*$B$6</f>
        <v/>
      </c>
      <c r="BF110" s="44">
        <f>D110*$I$13</f>
        <v/>
      </c>
      <c r="BG110" s="45">
        <f>MATCH("P",$E110:$BD110,0)</f>
        <v/>
      </c>
    </row>
    <row r="111">
      <c r="A111" s="28" t="inlineStr">
        <is>
          <t>Kale W10</t>
        </is>
      </c>
      <c r="B111" s="28" t="inlineStr">
        <is>
          <t>Kale</t>
        </is>
      </c>
      <c r="C111" s="41" t="n">
        <v>0</v>
      </c>
      <c r="D111" s="42" t="n">
        <v>0</v>
      </c>
      <c r="N111" s="43" t="inlineStr">
        <is>
          <t>P</t>
        </is>
      </c>
      <c r="O111" s="43" t="inlineStr">
        <is>
          <t>G</t>
        </is>
      </c>
      <c r="P111" s="43" t="inlineStr">
        <is>
          <t>G</t>
        </is>
      </c>
      <c r="Q111" s="43" t="inlineStr">
        <is>
          <t>G</t>
        </is>
      </c>
      <c r="R111" s="43" t="inlineStr">
        <is>
          <t>G</t>
        </is>
      </c>
      <c r="S111" s="43" t="inlineStr">
        <is>
          <t>G</t>
        </is>
      </c>
      <c r="T111" s="43" t="inlineStr">
        <is>
          <t>G</t>
        </is>
      </c>
      <c r="U111" s="43" t="inlineStr">
        <is>
          <t>G</t>
        </is>
      </c>
      <c r="V111" s="43" t="inlineStr">
        <is>
          <t>G</t>
        </is>
      </c>
      <c r="W111" s="43" t="inlineStr">
        <is>
          <t>H</t>
        </is>
      </c>
      <c r="X111" s="43" t="inlineStr">
        <is>
          <t>H</t>
        </is>
      </c>
      <c r="Y111" s="43" t="inlineStr">
        <is>
          <t>H</t>
        </is>
      </c>
      <c r="Z111" s="43" t="inlineStr">
        <is>
          <t>H</t>
        </is>
      </c>
      <c r="BE111" s="44">
        <f>D111*$B$6</f>
        <v/>
      </c>
      <c r="BF111" s="44">
        <f>D111*$I$13</f>
        <v/>
      </c>
      <c r="BG111" s="45">
        <f>MATCH("P",$E111:$BD111,0)</f>
        <v/>
      </c>
    </row>
    <row r="112">
      <c r="A112" s="28" t="inlineStr">
        <is>
          <t>Kale W11</t>
        </is>
      </c>
      <c r="B112" s="28" t="inlineStr">
        <is>
          <t>Kale</t>
        </is>
      </c>
      <c r="C112" s="41" t="n">
        <v>0</v>
      </c>
      <c r="D112" s="42" t="n">
        <v>0</v>
      </c>
      <c r="O112" s="43" t="inlineStr">
        <is>
          <t>P</t>
        </is>
      </c>
      <c r="P112" s="43" t="inlineStr">
        <is>
          <t>G</t>
        </is>
      </c>
      <c r="Q112" s="43" t="inlineStr">
        <is>
          <t>G</t>
        </is>
      </c>
      <c r="R112" s="43" t="inlineStr">
        <is>
          <t>G</t>
        </is>
      </c>
      <c r="S112" s="43" t="inlineStr">
        <is>
          <t>G</t>
        </is>
      </c>
      <c r="T112" s="43" t="inlineStr">
        <is>
          <t>G</t>
        </is>
      </c>
      <c r="U112" s="43" t="inlineStr">
        <is>
          <t>G</t>
        </is>
      </c>
      <c r="V112" s="43" t="inlineStr">
        <is>
          <t>G</t>
        </is>
      </c>
      <c r="W112" s="43" t="inlineStr">
        <is>
          <t>G</t>
        </is>
      </c>
      <c r="X112" s="43" t="inlineStr">
        <is>
          <t>H</t>
        </is>
      </c>
      <c r="Y112" s="43" t="inlineStr">
        <is>
          <t>H</t>
        </is>
      </c>
      <c r="Z112" s="43" t="inlineStr">
        <is>
          <t>H</t>
        </is>
      </c>
      <c r="AA112" s="43" t="inlineStr">
        <is>
          <t>H</t>
        </is>
      </c>
      <c r="BE112" s="44">
        <f>D112*$B$6</f>
        <v/>
      </c>
      <c r="BF112" s="44">
        <f>D112*$I$13</f>
        <v/>
      </c>
      <c r="BG112" s="45">
        <f>MATCH("P",$E112:$BD112,0)</f>
        <v/>
      </c>
    </row>
    <row r="113">
      <c r="A113" s="28" t="inlineStr">
        <is>
          <t>Kale W12</t>
        </is>
      </c>
      <c r="B113" s="28" t="inlineStr">
        <is>
          <t>Kale</t>
        </is>
      </c>
      <c r="C113" s="41" t="n">
        <v>0</v>
      </c>
      <c r="D113" s="42" t="n">
        <v>0</v>
      </c>
      <c r="P113" s="43" t="inlineStr">
        <is>
          <t>P</t>
        </is>
      </c>
      <c r="Q113" s="43" t="inlineStr">
        <is>
          <t>G</t>
        </is>
      </c>
      <c r="R113" s="43" t="inlineStr">
        <is>
          <t>G</t>
        </is>
      </c>
      <c r="S113" s="43" t="inlineStr">
        <is>
          <t>G</t>
        </is>
      </c>
      <c r="T113" s="43" t="inlineStr">
        <is>
          <t>G</t>
        </is>
      </c>
      <c r="U113" s="43" t="inlineStr">
        <is>
          <t>G</t>
        </is>
      </c>
      <c r="V113" s="43" t="inlineStr">
        <is>
          <t>G</t>
        </is>
      </c>
      <c r="W113" s="43" t="inlineStr">
        <is>
          <t>G</t>
        </is>
      </c>
      <c r="X113" s="43" t="inlineStr">
        <is>
          <t>G</t>
        </is>
      </c>
      <c r="Y113" s="43" t="inlineStr">
        <is>
          <t>H</t>
        </is>
      </c>
      <c r="Z113" s="43" t="inlineStr">
        <is>
          <t>H</t>
        </is>
      </c>
      <c r="AA113" s="43" t="inlineStr">
        <is>
          <t>H</t>
        </is>
      </c>
      <c r="AB113" s="43" t="inlineStr">
        <is>
          <t>H</t>
        </is>
      </c>
      <c r="BE113" s="44">
        <f>D113*$B$6</f>
        <v/>
      </c>
      <c r="BF113" s="44">
        <f>D113*$I$13</f>
        <v/>
      </c>
      <c r="BG113" s="45">
        <f>MATCH("P",$E113:$BD113,0)</f>
        <v/>
      </c>
    </row>
    <row r="114">
      <c r="A114" s="28" t="inlineStr">
        <is>
          <t>Kale W13</t>
        </is>
      </c>
      <c r="B114" s="28" t="inlineStr">
        <is>
          <t>Kale</t>
        </is>
      </c>
      <c r="C114" s="41" t="n">
        <v>0</v>
      </c>
      <c r="D114" s="42" t="n">
        <v>0</v>
      </c>
      <c r="Q114" s="43" t="inlineStr">
        <is>
          <t>P</t>
        </is>
      </c>
      <c r="R114" s="43" t="inlineStr">
        <is>
          <t>G</t>
        </is>
      </c>
      <c r="S114" s="43" t="inlineStr">
        <is>
          <t>G</t>
        </is>
      </c>
      <c r="T114" s="43" t="inlineStr">
        <is>
          <t>G</t>
        </is>
      </c>
      <c r="U114" s="43" t="inlineStr">
        <is>
          <t>G</t>
        </is>
      </c>
      <c r="V114" s="43" t="inlineStr">
        <is>
          <t>G</t>
        </is>
      </c>
      <c r="W114" s="43" t="inlineStr">
        <is>
          <t>G</t>
        </is>
      </c>
      <c r="X114" s="43" t="inlineStr">
        <is>
          <t>G</t>
        </is>
      </c>
      <c r="Y114" s="43" t="inlineStr">
        <is>
          <t>G</t>
        </is>
      </c>
      <c r="Z114" s="43" t="inlineStr">
        <is>
          <t>H</t>
        </is>
      </c>
      <c r="AA114" s="43" t="inlineStr">
        <is>
          <t>H</t>
        </is>
      </c>
      <c r="AB114" s="43" t="inlineStr">
        <is>
          <t>H</t>
        </is>
      </c>
      <c r="AC114" s="43" t="inlineStr">
        <is>
          <t>H</t>
        </is>
      </c>
      <c r="BE114" s="44">
        <f>D114*$B$6</f>
        <v/>
      </c>
      <c r="BF114" s="44">
        <f>D114*$I$13</f>
        <v/>
      </c>
      <c r="BG114" s="45">
        <f>MATCH("P",$E114:$BD114,0)</f>
        <v/>
      </c>
    </row>
    <row r="115">
      <c r="A115" s="28" t="inlineStr">
        <is>
          <t>Kale W14</t>
        </is>
      </c>
      <c r="B115" s="28" t="inlineStr">
        <is>
          <t>Kale</t>
        </is>
      </c>
      <c r="C115" s="41" t="n">
        <v>0</v>
      </c>
      <c r="D115" s="42" t="n">
        <v>0</v>
      </c>
      <c r="R115" s="43" t="inlineStr">
        <is>
          <t>P</t>
        </is>
      </c>
      <c r="S115" s="43" t="inlineStr">
        <is>
          <t>G</t>
        </is>
      </c>
      <c r="T115" s="43" t="inlineStr">
        <is>
          <t>G</t>
        </is>
      </c>
      <c r="U115" s="43" t="inlineStr">
        <is>
          <t>G</t>
        </is>
      </c>
      <c r="V115" s="43" t="inlineStr">
        <is>
          <t>G</t>
        </is>
      </c>
      <c r="W115" s="43" t="inlineStr">
        <is>
          <t>G</t>
        </is>
      </c>
      <c r="X115" s="43" t="inlineStr">
        <is>
          <t>G</t>
        </is>
      </c>
      <c r="Y115" s="43" t="inlineStr">
        <is>
          <t>G</t>
        </is>
      </c>
      <c r="Z115" s="43" t="inlineStr">
        <is>
          <t>G</t>
        </is>
      </c>
      <c r="AA115" s="43" t="inlineStr">
        <is>
          <t>H</t>
        </is>
      </c>
      <c r="AB115" s="43" t="inlineStr">
        <is>
          <t>H</t>
        </is>
      </c>
      <c r="AC115" s="43" t="inlineStr">
        <is>
          <t>H</t>
        </is>
      </c>
      <c r="AD115" s="43" t="inlineStr">
        <is>
          <t>H</t>
        </is>
      </c>
      <c r="BE115" s="44">
        <f>D115*$B$6</f>
        <v/>
      </c>
      <c r="BF115" s="44">
        <f>D115*$I$13</f>
        <v/>
      </c>
      <c r="BG115" s="45">
        <f>MATCH("P",$E115:$BD115,0)</f>
        <v/>
      </c>
    </row>
    <row r="116">
      <c r="A116" s="28" t="inlineStr">
        <is>
          <t>Kale W15</t>
        </is>
      </c>
      <c r="B116" s="28" t="inlineStr">
        <is>
          <t>Kale</t>
        </is>
      </c>
      <c r="C116" s="41" t="n">
        <v>0</v>
      </c>
      <c r="D116" s="42" t="n">
        <v>0</v>
      </c>
      <c r="S116" s="43" t="inlineStr">
        <is>
          <t>P</t>
        </is>
      </c>
      <c r="T116" s="43" t="inlineStr">
        <is>
          <t>G</t>
        </is>
      </c>
      <c r="U116" s="43" t="inlineStr">
        <is>
          <t>G</t>
        </is>
      </c>
      <c r="V116" s="43" t="inlineStr">
        <is>
          <t>G</t>
        </is>
      </c>
      <c r="W116" s="43" t="inlineStr">
        <is>
          <t>G</t>
        </is>
      </c>
      <c r="X116" s="43" t="inlineStr">
        <is>
          <t>G</t>
        </is>
      </c>
      <c r="Y116" s="43" t="inlineStr">
        <is>
          <t>G</t>
        </is>
      </c>
      <c r="Z116" s="43" t="inlineStr">
        <is>
          <t>G</t>
        </is>
      </c>
      <c r="AA116" s="43" t="inlineStr">
        <is>
          <t>G</t>
        </is>
      </c>
      <c r="AB116" s="43" t="inlineStr">
        <is>
          <t>H</t>
        </is>
      </c>
      <c r="AC116" s="43" t="inlineStr">
        <is>
          <t>H</t>
        </is>
      </c>
      <c r="AD116" s="43" t="inlineStr">
        <is>
          <t>H</t>
        </is>
      </c>
      <c r="AE116" s="43" t="inlineStr">
        <is>
          <t>H</t>
        </is>
      </c>
      <c r="BE116" s="44">
        <f>D116*$B$6</f>
        <v/>
      </c>
      <c r="BF116" s="44">
        <f>D116*$I$13</f>
        <v/>
      </c>
      <c r="BG116" s="45">
        <f>MATCH("P",$E116:$BD116,0)</f>
        <v/>
      </c>
    </row>
    <row r="117">
      <c r="A117" s="28" t="inlineStr">
        <is>
          <t>Kale W16</t>
        </is>
      </c>
      <c r="B117" s="28" t="inlineStr">
        <is>
          <t>Kale</t>
        </is>
      </c>
      <c r="C117" s="41" t="n">
        <v>0</v>
      </c>
      <c r="D117" s="42" t="n">
        <v>0</v>
      </c>
      <c r="T117" s="43" t="inlineStr">
        <is>
          <t>P</t>
        </is>
      </c>
      <c r="U117" s="43" t="inlineStr">
        <is>
          <t>G</t>
        </is>
      </c>
      <c r="V117" s="43" t="inlineStr">
        <is>
          <t>G</t>
        </is>
      </c>
      <c r="W117" s="43" t="inlineStr">
        <is>
          <t>G</t>
        </is>
      </c>
      <c r="X117" s="43" t="inlineStr">
        <is>
          <t>G</t>
        </is>
      </c>
      <c r="Y117" s="43" t="inlineStr">
        <is>
          <t>G</t>
        </is>
      </c>
      <c r="Z117" s="43" t="inlineStr">
        <is>
          <t>G</t>
        </is>
      </c>
      <c r="AA117" s="43" t="inlineStr">
        <is>
          <t>G</t>
        </is>
      </c>
      <c r="AB117" s="43" t="inlineStr">
        <is>
          <t>G</t>
        </is>
      </c>
      <c r="AC117" s="43" t="inlineStr">
        <is>
          <t>H</t>
        </is>
      </c>
      <c r="AD117" s="43" t="inlineStr">
        <is>
          <t>H</t>
        </is>
      </c>
      <c r="AE117" s="43" t="inlineStr">
        <is>
          <t>H</t>
        </is>
      </c>
      <c r="AF117" s="43" t="inlineStr">
        <is>
          <t>H</t>
        </is>
      </c>
      <c r="BE117" s="44">
        <f>D117*$B$6</f>
        <v/>
      </c>
      <c r="BF117" s="44">
        <f>D117*$I$13</f>
        <v/>
      </c>
      <c r="BG117" s="45">
        <f>MATCH("P",$E117:$BD117,0)</f>
        <v/>
      </c>
    </row>
    <row r="118">
      <c r="A118" s="28" t="inlineStr">
        <is>
          <t>Kale W17</t>
        </is>
      </c>
      <c r="B118" s="28" t="inlineStr">
        <is>
          <t>Kale</t>
        </is>
      </c>
      <c r="C118" s="41" t="n">
        <v>0</v>
      </c>
      <c r="D118" s="42" t="n">
        <v>0</v>
      </c>
      <c r="U118" s="43" t="inlineStr">
        <is>
          <t>P</t>
        </is>
      </c>
      <c r="V118" s="43" t="inlineStr">
        <is>
          <t>G</t>
        </is>
      </c>
      <c r="W118" s="43" t="inlineStr">
        <is>
          <t>G</t>
        </is>
      </c>
      <c r="X118" s="43" t="inlineStr">
        <is>
          <t>G</t>
        </is>
      </c>
      <c r="Y118" s="43" t="inlineStr">
        <is>
          <t>G</t>
        </is>
      </c>
      <c r="Z118" s="43" t="inlineStr">
        <is>
          <t>G</t>
        </is>
      </c>
      <c r="AA118" s="43" t="inlineStr">
        <is>
          <t>G</t>
        </is>
      </c>
      <c r="AB118" s="43" t="inlineStr">
        <is>
          <t>G</t>
        </is>
      </c>
      <c r="AC118" s="43" t="inlineStr">
        <is>
          <t>G</t>
        </is>
      </c>
      <c r="AD118" s="43" t="inlineStr">
        <is>
          <t>H</t>
        </is>
      </c>
      <c r="AE118" s="43" t="inlineStr">
        <is>
          <t>H</t>
        </is>
      </c>
      <c r="AF118" s="43" t="inlineStr">
        <is>
          <t>H</t>
        </is>
      </c>
      <c r="AG118" s="43" t="inlineStr">
        <is>
          <t>H</t>
        </is>
      </c>
      <c r="BE118" s="44">
        <f>D118*$B$6</f>
        <v/>
      </c>
      <c r="BF118" s="44">
        <f>D118*$I$13</f>
        <v/>
      </c>
      <c r="BG118" s="45">
        <f>MATCH("P",$E118:$BD118,0)</f>
        <v/>
      </c>
    </row>
    <row r="119">
      <c r="A119" s="28" t="inlineStr">
        <is>
          <t>Kale W18</t>
        </is>
      </c>
      <c r="B119" s="28" t="inlineStr">
        <is>
          <t>Kale</t>
        </is>
      </c>
      <c r="C119" s="41" t="n">
        <v>0</v>
      </c>
      <c r="D119" s="42" t="n">
        <v>0</v>
      </c>
      <c r="V119" s="43" t="inlineStr">
        <is>
          <t>P</t>
        </is>
      </c>
      <c r="W119" s="43" t="inlineStr">
        <is>
          <t>G</t>
        </is>
      </c>
      <c r="X119" s="43" t="inlineStr">
        <is>
          <t>G</t>
        </is>
      </c>
      <c r="Y119" s="43" t="inlineStr">
        <is>
          <t>G</t>
        </is>
      </c>
      <c r="Z119" s="43" t="inlineStr">
        <is>
          <t>G</t>
        </is>
      </c>
      <c r="AA119" s="43" t="inlineStr">
        <is>
          <t>G</t>
        </is>
      </c>
      <c r="AB119" s="43" t="inlineStr">
        <is>
          <t>G</t>
        </is>
      </c>
      <c r="AC119" s="43" t="inlineStr">
        <is>
          <t>G</t>
        </is>
      </c>
      <c r="AD119" s="43" t="inlineStr">
        <is>
          <t>G</t>
        </is>
      </c>
      <c r="AE119" s="43" t="inlineStr">
        <is>
          <t>H</t>
        </is>
      </c>
      <c r="AF119" s="43" t="inlineStr">
        <is>
          <t>H</t>
        </is>
      </c>
      <c r="AG119" s="43" t="inlineStr">
        <is>
          <t>H</t>
        </is>
      </c>
      <c r="AH119" s="43" t="inlineStr">
        <is>
          <t>H</t>
        </is>
      </c>
      <c r="BE119" s="44">
        <f>D119*$B$6</f>
        <v/>
      </c>
      <c r="BF119" s="44">
        <f>D119*$I$13</f>
        <v/>
      </c>
      <c r="BG119" s="45">
        <f>MATCH("P",$E119:$BD119,0)</f>
        <v/>
      </c>
    </row>
    <row r="120">
      <c r="A120" s="28" t="inlineStr">
        <is>
          <t>Kale W19</t>
        </is>
      </c>
      <c r="B120" s="28" t="inlineStr">
        <is>
          <t>Kale</t>
        </is>
      </c>
      <c r="C120" s="41" t="n">
        <v>0</v>
      </c>
      <c r="D120" s="42" t="n">
        <v>0</v>
      </c>
      <c r="W120" s="43" t="inlineStr">
        <is>
          <t>P</t>
        </is>
      </c>
      <c r="X120" s="43" t="inlineStr">
        <is>
          <t>G</t>
        </is>
      </c>
      <c r="Y120" s="43" t="inlineStr">
        <is>
          <t>G</t>
        </is>
      </c>
      <c r="Z120" s="43" t="inlineStr">
        <is>
          <t>G</t>
        </is>
      </c>
      <c r="AA120" s="43" t="inlineStr">
        <is>
          <t>G</t>
        </is>
      </c>
      <c r="AB120" s="43" t="inlineStr">
        <is>
          <t>G</t>
        </is>
      </c>
      <c r="AC120" s="43" t="inlineStr">
        <is>
          <t>G</t>
        </is>
      </c>
      <c r="AD120" s="43" t="inlineStr">
        <is>
          <t>G</t>
        </is>
      </c>
      <c r="AE120" s="43" t="inlineStr">
        <is>
          <t>G</t>
        </is>
      </c>
      <c r="AF120" s="43" t="inlineStr">
        <is>
          <t>H</t>
        </is>
      </c>
      <c r="AG120" s="43" t="inlineStr">
        <is>
          <t>H</t>
        </is>
      </c>
      <c r="AH120" s="43" t="inlineStr">
        <is>
          <t>H</t>
        </is>
      </c>
      <c r="AI120" s="43" t="inlineStr">
        <is>
          <t>H</t>
        </is>
      </c>
      <c r="BE120" s="44">
        <f>D120*$B$6</f>
        <v/>
      </c>
      <c r="BF120" s="44">
        <f>D120*$I$13</f>
        <v/>
      </c>
      <c r="BG120" s="45">
        <f>MATCH("P",$E120:$BD120,0)</f>
        <v/>
      </c>
    </row>
    <row r="121">
      <c r="A121" s="28" t="inlineStr">
        <is>
          <t>Kale W20</t>
        </is>
      </c>
      <c r="B121" s="28" t="inlineStr">
        <is>
          <t>Kale</t>
        </is>
      </c>
      <c r="C121" s="41" t="n">
        <v>0</v>
      </c>
      <c r="D121" s="42" t="n">
        <v>0</v>
      </c>
      <c r="X121" s="43" t="inlineStr">
        <is>
          <t>P</t>
        </is>
      </c>
      <c r="Y121" s="43" t="inlineStr">
        <is>
          <t>G</t>
        </is>
      </c>
      <c r="Z121" s="43" t="inlineStr">
        <is>
          <t>G</t>
        </is>
      </c>
      <c r="AA121" s="43" t="inlineStr">
        <is>
          <t>G</t>
        </is>
      </c>
      <c r="AB121" s="43" t="inlineStr">
        <is>
          <t>G</t>
        </is>
      </c>
      <c r="AC121" s="43" t="inlineStr">
        <is>
          <t>G</t>
        </is>
      </c>
      <c r="AD121" s="43" t="inlineStr">
        <is>
          <t>G</t>
        </is>
      </c>
      <c r="AE121" s="43" t="inlineStr">
        <is>
          <t>G</t>
        </is>
      </c>
      <c r="AF121" s="43" t="inlineStr">
        <is>
          <t>G</t>
        </is>
      </c>
      <c r="AG121" s="43" t="inlineStr">
        <is>
          <t>H</t>
        </is>
      </c>
      <c r="AH121" s="43" t="inlineStr">
        <is>
          <t>H</t>
        </is>
      </c>
      <c r="AI121" s="43" t="inlineStr">
        <is>
          <t>H</t>
        </is>
      </c>
      <c r="AJ121" s="43" t="inlineStr">
        <is>
          <t>H</t>
        </is>
      </c>
      <c r="BE121" s="44">
        <f>D121*$B$6</f>
        <v/>
      </c>
      <c r="BF121" s="44">
        <f>D121*$I$13</f>
        <v/>
      </c>
      <c r="BG121" s="45">
        <f>MATCH("P",$E121:$BD121,0)</f>
        <v/>
      </c>
    </row>
    <row r="122">
      <c r="A122" s="28" t="inlineStr">
        <is>
          <t>Kale W21</t>
        </is>
      </c>
      <c r="B122" s="28" t="inlineStr">
        <is>
          <t>Kale</t>
        </is>
      </c>
      <c r="C122" s="41" t="n">
        <v>0</v>
      </c>
      <c r="D122" s="42" t="n">
        <v>0</v>
      </c>
      <c r="Y122" s="43" t="inlineStr">
        <is>
          <t>P</t>
        </is>
      </c>
      <c r="Z122" s="43" t="inlineStr">
        <is>
          <t>G</t>
        </is>
      </c>
      <c r="AA122" s="43" t="inlineStr">
        <is>
          <t>G</t>
        </is>
      </c>
      <c r="AB122" s="43" t="inlineStr">
        <is>
          <t>G</t>
        </is>
      </c>
      <c r="AC122" s="43" t="inlineStr">
        <is>
          <t>G</t>
        </is>
      </c>
      <c r="AD122" s="43" t="inlineStr">
        <is>
          <t>G</t>
        </is>
      </c>
      <c r="AE122" s="43" t="inlineStr">
        <is>
          <t>G</t>
        </is>
      </c>
      <c r="AF122" s="43" t="inlineStr">
        <is>
          <t>G</t>
        </is>
      </c>
      <c r="AG122" s="43" t="inlineStr">
        <is>
          <t>G</t>
        </is>
      </c>
      <c r="AH122" s="43" t="inlineStr">
        <is>
          <t>H</t>
        </is>
      </c>
      <c r="AI122" s="43" t="inlineStr">
        <is>
          <t>H</t>
        </is>
      </c>
      <c r="AJ122" s="43" t="inlineStr">
        <is>
          <t>H</t>
        </is>
      </c>
      <c r="AK122" s="43" t="inlineStr">
        <is>
          <t>H</t>
        </is>
      </c>
      <c r="BE122" s="44">
        <f>D122*$B$6</f>
        <v/>
      </c>
      <c r="BF122" s="44">
        <f>D122*$I$13</f>
        <v/>
      </c>
      <c r="BG122" s="45">
        <f>MATCH("P",$E122:$BD122,0)</f>
        <v/>
      </c>
    </row>
    <row r="123">
      <c r="A123" s="28" t="inlineStr">
        <is>
          <t>Kale W22</t>
        </is>
      </c>
      <c r="B123" s="28" t="inlineStr">
        <is>
          <t>Kale</t>
        </is>
      </c>
      <c r="C123" s="41" t="n">
        <v>0</v>
      </c>
      <c r="D123" s="42" t="n">
        <v>0</v>
      </c>
      <c r="Z123" s="43" t="inlineStr">
        <is>
          <t>P</t>
        </is>
      </c>
      <c r="AA123" s="43" t="inlineStr">
        <is>
          <t>G</t>
        </is>
      </c>
      <c r="AB123" s="43" t="inlineStr">
        <is>
          <t>G</t>
        </is>
      </c>
      <c r="AC123" s="43" t="inlineStr">
        <is>
          <t>G</t>
        </is>
      </c>
      <c r="AD123" s="43" t="inlineStr">
        <is>
          <t>G</t>
        </is>
      </c>
      <c r="AE123" s="43" t="inlineStr">
        <is>
          <t>G</t>
        </is>
      </c>
      <c r="AF123" s="43" t="inlineStr">
        <is>
          <t>G</t>
        </is>
      </c>
      <c r="AG123" s="43" t="inlineStr">
        <is>
          <t>G</t>
        </is>
      </c>
      <c r="AH123" s="43" t="inlineStr">
        <is>
          <t>G</t>
        </is>
      </c>
      <c r="AI123" s="43" t="inlineStr">
        <is>
          <t>H</t>
        </is>
      </c>
      <c r="AJ123" s="43" t="inlineStr">
        <is>
          <t>H</t>
        </is>
      </c>
      <c r="AK123" s="43" t="inlineStr">
        <is>
          <t>H</t>
        </is>
      </c>
      <c r="AL123" s="43" t="inlineStr">
        <is>
          <t>H</t>
        </is>
      </c>
      <c r="BE123" s="44">
        <f>D123*$B$6</f>
        <v/>
      </c>
      <c r="BF123" s="44">
        <f>D123*$I$13</f>
        <v/>
      </c>
      <c r="BG123" s="45">
        <f>MATCH("P",$E123:$BD123,0)</f>
        <v/>
      </c>
    </row>
    <row r="124">
      <c r="A124" s="28" t="inlineStr">
        <is>
          <t>Kale W29</t>
        </is>
      </c>
      <c r="B124" s="28" t="inlineStr">
        <is>
          <t>Kale</t>
        </is>
      </c>
      <c r="C124" s="41" t="n">
        <v>0</v>
      </c>
      <c r="D124" s="42" t="n">
        <v>0</v>
      </c>
      <c r="AG124" s="43" t="inlineStr">
        <is>
          <t>P</t>
        </is>
      </c>
      <c r="AH124" s="43" t="inlineStr">
        <is>
          <t>G</t>
        </is>
      </c>
      <c r="AI124" s="43" t="inlineStr">
        <is>
          <t>G</t>
        </is>
      </c>
      <c r="AJ124" s="43" t="inlineStr">
        <is>
          <t>G</t>
        </is>
      </c>
      <c r="AK124" s="43" t="inlineStr">
        <is>
          <t>G</t>
        </is>
      </c>
      <c r="AL124" s="43" t="inlineStr">
        <is>
          <t>G</t>
        </is>
      </c>
      <c r="AM124" s="43" t="inlineStr">
        <is>
          <t>G</t>
        </is>
      </c>
      <c r="AN124" s="43" t="inlineStr">
        <is>
          <t>G</t>
        </is>
      </c>
      <c r="AO124" s="43" t="inlineStr">
        <is>
          <t>G</t>
        </is>
      </c>
      <c r="AP124" s="43" t="inlineStr">
        <is>
          <t>H</t>
        </is>
      </c>
      <c r="AQ124" s="43" t="inlineStr">
        <is>
          <t>H</t>
        </is>
      </c>
      <c r="AR124" s="43" t="inlineStr">
        <is>
          <t>H</t>
        </is>
      </c>
      <c r="AS124" s="43" t="inlineStr">
        <is>
          <t>H</t>
        </is>
      </c>
      <c r="BE124" s="44">
        <f>D124*$B$6</f>
        <v/>
      </c>
      <c r="BF124" s="44">
        <f>D124*$I$13</f>
        <v/>
      </c>
      <c r="BG124" s="45">
        <f>MATCH("P",$E124:$BD124,0)</f>
        <v/>
      </c>
    </row>
    <row r="125">
      <c r="A125" s="28" t="inlineStr">
        <is>
          <t>Kale W30</t>
        </is>
      </c>
      <c r="B125" s="28" t="inlineStr">
        <is>
          <t>Kale</t>
        </is>
      </c>
      <c r="C125" s="41" t="n">
        <v>0</v>
      </c>
      <c r="D125" s="42" t="n">
        <v>0</v>
      </c>
      <c r="AH125" s="43" t="inlineStr">
        <is>
          <t>P</t>
        </is>
      </c>
      <c r="AI125" s="43" t="inlineStr">
        <is>
          <t>G</t>
        </is>
      </c>
      <c r="AJ125" s="43" t="inlineStr">
        <is>
          <t>G</t>
        </is>
      </c>
      <c r="AK125" s="43" t="inlineStr">
        <is>
          <t>G</t>
        </is>
      </c>
      <c r="AL125" s="43" t="inlineStr">
        <is>
          <t>G</t>
        </is>
      </c>
      <c r="AM125" s="43" t="inlineStr">
        <is>
          <t>G</t>
        </is>
      </c>
      <c r="AN125" s="43" t="inlineStr">
        <is>
          <t>G</t>
        </is>
      </c>
      <c r="AO125" s="43" t="inlineStr">
        <is>
          <t>G</t>
        </is>
      </c>
      <c r="AP125" s="43" t="inlineStr">
        <is>
          <t>G</t>
        </is>
      </c>
      <c r="AQ125" s="43" t="inlineStr">
        <is>
          <t>H</t>
        </is>
      </c>
      <c r="AR125" s="43" t="inlineStr">
        <is>
          <t>H</t>
        </is>
      </c>
      <c r="AS125" s="43" t="inlineStr">
        <is>
          <t>H</t>
        </is>
      </c>
      <c r="AT125" s="43" t="inlineStr">
        <is>
          <t>H</t>
        </is>
      </c>
      <c r="BE125" s="44">
        <f>D125*$B$6</f>
        <v/>
      </c>
      <c r="BF125" s="44">
        <f>D125*$I$13</f>
        <v/>
      </c>
      <c r="BG125" s="45">
        <f>MATCH("P",$E125:$BD125,0)</f>
        <v/>
      </c>
    </row>
    <row r="126">
      <c r="A126" s="28" t="inlineStr">
        <is>
          <t>Kale W31</t>
        </is>
      </c>
      <c r="B126" s="28" t="inlineStr">
        <is>
          <t>Kale</t>
        </is>
      </c>
      <c r="C126" s="41" t="n">
        <v>0</v>
      </c>
      <c r="D126" s="42" t="n">
        <v>0</v>
      </c>
      <c r="AI126" s="43" t="inlineStr">
        <is>
          <t>P</t>
        </is>
      </c>
      <c r="AJ126" s="43" t="inlineStr">
        <is>
          <t>G</t>
        </is>
      </c>
      <c r="AK126" s="43" t="inlineStr">
        <is>
          <t>G</t>
        </is>
      </c>
      <c r="AL126" s="43" t="inlineStr">
        <is>
          <t>G</t>
        </is>
      </c>
      <c r="AM126" s="43" t="inlineStr">
        <is>
          <t>G</t>
        </is>
      </c>
      <c r="AN126" s="43" t="inlineStr">
        <is>
          <t>G</t>
        </is>
      </c>
      <c r="AO126" s="43" t="inlineStr">
        <is>
          <t>G</t>
        </is>
      </c>
      <c r="AP126" s="43" t="inlineStr">
        <is>
          <t>G</t>
        </is>
      </c>
      <c r="AQ126" s="43" t="inlineStr">
        <is>
          <t>G</t>
        </is>
      </c>
      <c r="AR126" s="43" t="inlineStr">
        <is>
          <t>H</t>
        </is>
      </c>
      <c r="AS126" s="43" t="inlineStr">
        <is>
          <t>H</t>
        </is>
      </c>
      <c r="AT126" s="43" t="inlineStr">
        <is>
          <t>H</t>
        </is>
      </c>
      <c r="AU126" s="43" t="inlineStr">
        <is>
          <t>H</t>
        </is>
      </c>
      <c r="BE126" s="44">
        <f>D126*$B$6</f>
        <v/>
      </c>
      <c r="BF126" s="44">
        <f>D126*$I$13</f>
        <v/>
      </c>
      <c r="BG126" s="45">
        <f>MATCH("P",$E126:$BD126,0)</f>
        <v/>
      </c>
    </row>
    <row r="127">
      <c r="A127" s="28" t="inlineStr">
        <is>
          <t>Kale W32</t>
        </is>
      </c>
      <c r="B127" s="28" t="inlineStr">
        <is>
          <t>Kale</t>
        </is>
      </c>
      <c r="C127" s="41" t="n">
        <v>0</v>
      </c>
      <c r="D127" s="42" t="n">
        <v>0</v>
      </c>
      <c r="AJ127" s="43" t="inlineStr">
        <is>
          <t>P</t>
        </is>
      </c>
      <c r="AK127" s="43" t="inlineStr">
        <is>
          <t>G</t>
        </is>
      </c>
      <c r="AL127" s="43" t="inlineStr">
        <is>
          <t>G</t>
        </is>
      </c>
      <c r="AM127" s="43" t="inlineStr">
        <is>
          <t>G</t>
        </is>
      </c>
      <c r="AN127" s="43" t="inlineStr">
        <is>
          <t>G</t>
        </is>
      </c>
      <c r="AO127" s="43" t="inlineStr">
        <is>
          <t>G</t>
        </is>
      </c>
      <c r="AP127" s="43" t="inlineStr">
        <is>
          <t>G</t>
        </is>
      </c>
      <c r="AQ127" s="43" t="inlineStr">
        <is>
          <t>G</t>
        </is>
      </c>
      <c r="AR127" s="43" t="inlineStr">
        <is>
          <t>G</t>
        </is>
      </c>
      <c r="AS127" s="43" t="inlineStr">
        <is>
          <t>H</t>
        </is>
      </c>
      <c r="AT127" s="43" t="inlineStr">
        <is>
          <t>H</t>
        </is>
      </c>
      <c r="AU127" s="43" t="inlineStr">
        <is>
          <t>H</t>
        </is>
      </c>
      <c r="AV127" s="43" t="inlineStr">
        <is>
          <t>H</t>
        </is>
      </c>
      <c r="BE127" s="44">
        <f>D127*$B$6</f>
        <v/>
      </c>
      <c r="BF127" s="44">
        <f>D127*$I$13</f>
        <v/>
      </c>
      <c r="BG127" s="45">
        <f>MATCH("P",$E127:$BD127,0)</f>
        <v/>
      </c>
    </row>
    <row r="128">
      <c r="A128" s="28" t="inlineStr">
        <is>
          <t>Kale W33</t>
        </is>
      </c>
      <c r="B128" s="28" t="inlineStr">
        <is>
          <t>Kale</t>
        </is>
      </c>
      <c r="C128" s="41" t="n">
        <v>0</v>
      </c>
      <c r="D128" s="42" t="n">
        <v>0</v>
      </c>
      <c r="AK128" s="43" t="inlineStr">
        <is>
          <t>P</t>
        </is>
      </c>
      <c r="AL128" s="43" t="inlineStr">
        <is>
          <t>G</t>
        </is>
      </c>
      <c r="AM128" s="43" t="inlineStr">
        <is>
          <t>G</t>
        </is>
      </c>
      <c r="AN128" s="43" t="inlineStr">
        <is>
          <t>G</t>
        </is>
      </c>
      <c r="AO128" s="43" t="inlineStr">
        <is>
          <t>G</t>
        </is>
      </c>
      <c r="AP128" s="43" t="inlineStr">
        <is>
          <t>G</t>
        </is>
      </c>
      <c r="AQ128" s="43" t="inlineStr">
        <is>
          <t>G</t>
        </is>
      </c>
      <c r="AR128" s="43" t="inlineStr">
        <is>
          <t>G</t>
        </is>
      </c>
      <c r="AS128" s="43" t="inlineStr">
        <is>
          <t>G</t>
        </is>
      </c>
      <c r="AT128" s="43" t="inlineStr">
        <is>
          <t>H</t>
        </is>
      </c>
      <c r="AU128" s="43" t="inlineStr">
        <is>
          <t>H</t>
        </is>
      </c>
      <c r="AV128" s="43" t="inlineStr">
        <is>
          <t>H</t>
        </is>
      </c>
      <c r="AW128" s="43" t="inlineStr">
        <is>
          <t>H</t>
        </is>
      </c>
      <c r="BE128" s="44">
        <f>D128*$B$6</f>
        <v/>
      </c>
      <c r="BF128" s="44">
        <f>D128*$I$13</f>
        <v/>
      </c>
      <c r="BG128" s="45">
        <f>MATCH("P",$E128:$BD128,0)</f>
        <v/>
      </c>
    </row>
    <row r="129">
      <c r="A129" s="28" t="inlineStr">
        <is>
          <t>Kale W34</t>
        </is>
      </c>
      <c r="B129" s="28" t="inlineStr">
        <is>
          <t>Kale</t>
        </is>
      </c>
      <c r="C129" s="41" t="n">
        <v>0</v>
      </c>
      <c r="D129" s="42" t="n">
        <v>0</v>
      </c>
      <c r="AL129" s="43" t="inlineStr">
        <is>
          <t>P</t>
        </is>
      </c>
      <c r="AM129" s="43" t="inlineStr">
        <is>
          <t>G</t>
        </is>
      </c>
      <c r="AN129" s="43" t="inlineStr">
        <is>
          <t>G</t>
        </is>
      </c>
      <c r="AO129" s="43" t="inlineStr">
        <is>
          <t>G</t>
        </is>
      </c>
      <c r="AP129" s="43" t="inlineStr">
        <is>
          <t>G</t>
        </is>
      </c>
      <c r="AQ129" s="43" t="inlineStr">
        <is>
          <t>G</t>
        </is>
      </c>
      <c r="AR129" s="43" t="inlineStr">
        <is>
          <t>G</t>
        </is>
      </c>
      <c r="AS129" s="43" t="inlineStr">
        <is>
          <t>G</t>
        </is>
      </c>
      <c r="AT129" s="43" t="inlineStr">
        <is>
          <t>G</t>
        </is>
      </c>
      <c r="AU129" s="43" t="inlineStr">
        <is>
          <t>H</t>
        </is>
      </c>
      <c r="AV129" s="43" t="inlineStr">
        <is>
          <t>H</t>
        </is>
      </c>
      <c r="AW129" s="43" t="inlineStr">
        <is>
          <t>H</t>
        </is>
      </c>
      <c r="AX129" s="43" t="inlineStr">
        <is>
          <t>H</t>
        </is>
      </c>
      <c r="BE129" s="44">
        <f>D129*$B$6</f>
        <v/>
      </c>
      <c r="BF129" s="44">
        <f>D129*$I$13</f>
        <v/>
      </c>
      <c r="BG129" s="45">
        <f>MATCH("P",$E129:$BD129,0)</f>
        <v/>
      </c>
    </row>
    <row r="130">
      <c r="A130" s="28" t="inlineStr">
        <is>
          <t>Kale W35</t>
        </is>
      </c>
      <c r="B130" s="28" t="inlineStr">
        <is>
          <t>Kale</t>
        </is>
      </c>
      <c r="C130" s="41" t="n">
        <v>0</v>
      </c>
      <c r="D130" s="42" t="n">
        <v>0</v>
      </c>
      <c r="AM130" s="43" t="inlineStr">
        <is>
          <t>P</t>
        </is>
      </c>
      <c r="AN130" s="43" t="inlineStr">
        <is>
          <t>G</t>
        </is>
      </c>
      <c r="AO130" s="43" t="inlineStr">
        <is>
          <t>G</t>
        </is>
      </c>
      <c r="AP130" s="43" t="inlineStr">
        <is>
          <t>G</t>
        </is>
      </c>
      <c r="AQ130" s="43" t="inlineStr">
        <is>
          <t>G</t>
        </is>
      </c>
      <c r="AR130" s="43" t="inlineStr">
        <is>
          <t>G</t>
        </is>
      </c>
      <c r="AS130" s="43" t="inlineStr">
        <is>
          <t>G</t>
        </is>
      </c>
      <c r="AT130" s="43" t="inlineStr">
        <is>
          <t>G</t>
        </is>
      </c>
      <c r="AU130" s="43" t="inlineStr">
        <is>
          <t>G</t>
        </is>
      </c>
      <c r="AV130" s="43" t="inlineStr">
        <is>
          <t>H</t>
        </is>
      </c>
      <c r="AW130" s="43" t="inlineStr">
        <is>
          <t>H</t>
        </is>
      </c>
      <c r="AX130" s="43" t="inlineStr">
        <is>
          <t>H</t>
        </is>
      </c>
      <c r="AY130" s="43" t="inlineStr">
        <is>
          <t>H</t>
        </is>
      </c>
      <c r="BE130" s="44">
        <f>D130*$B$6</f>
        <v/>
      </c>
      <c r="BF130" s="44">
        <f>D130*$I$13</f>
        <v/>
      </c>
      <c r="BG130" s="45">
        <f>MATCH("P",$E130:$BD130,0)</f>
        <v/>
      </c>
    </row>
    <row r="131">
      <c r="A131" s="28" t="inlineStr">
        <is>
          <t>Kale W36</t>
        </is>
      </c>
      <c r="B131" s="28" t="inlineStr">
        <is>
          <t>Kale</t>
        </is>
      </c>
      <c r="C131" s="41" t="n">
        <v>0</v>
      </c>
      <c r="D131" s="42" t="n">
        <v>0</v>
      </c>
      <c r="AN131" s="43" t="inlineStr">
        <is>
          <t>P</t>
        </is>
      </c>
      <c r="AO131" s="43" t="inlineStr">
        <is>
          <t>G</t>
        </is>
      </c>
      <c r="AP131" s="43" t="inlineStr">
        <is>
          <t>G</t>
        </is>
      </c>
      <c r="AQ131" s="43" t="inlineStr">
        <is>
          <t>G</t>
        </is>
      </c>
      <c r="AR131" s="43" t="inlineStr">
        <is>
          <t>G</t>
        </is>
      </c>
      <c r="AS131" s="43" t="inlineStr">
        <is>
          <t>G</t>
        </is>
      </c>
      <c r="AT131" s="43" t="inlineStr">
        <is>
          <t>G</t>
        </is>
      </c>
      <c r="AU131" s="43" t="inlineStr">
        <is>
          <t>G</t>
        </is>
      </c>
      <c r="AV131" s="43" t="inlineStr">
        <is>
          <t>G</t>
        </is>
      </c>
      <c r="AW131" s="43" t="inlineStr">
        <is>
          <t>H</t>
        </is>
      </c>
      <c r="AX131" s="43" t="inlineStr">
        <is>
          <t>H</t>
        </is>
      </c>
      <c r="AY131" s="43" t="inlineStr">
        <is>
          <t>H</t>
        </is>
      </c>
      <c r="AZ131" s="43" t="inlineStr">
        <is>
          <t>H</t>
        </is>
      </c>
      <c r="BE131" s="44">
        <f>D131*$B$6</f>
        <v/>
      </c>
      <c r="BF131" s="44">
        <f>D131*$I$13</f>
        <v/>
      </c>
      <c r="BG131" s="45">
        <f>MATCH("P",$E131:$BD131,0)</f>
        <v/>
      </c>
    </row>
    <row r="132">
      <c r="A132" s="28" t="inlineStr">
        <is>
          <t>Kale W37</t>
        </is>
      </c>
      <c r="B132" s="28" t="inlineStr">
        <is>
          <t>Kale</t>
        </is>
      </c>
      <c r="C132" s="41" t="n">
        <v>0</v>
      </c>
      <c r="D132" s="42" t="n">
        <v>0</v>
      </c>
      <c r="AO132" s="43" t="inlineStr">
        <is>
          <t>P</t>
        </is>
      </c>
      <c r="AP132" s="43" t="inlineStr">
        <is>
          <t>G</t>
        </is>
      </c>
      <c r="AQ132" s="43" t="inlineStr">
        <is>
          <t>G</t>
        </is>
      </c>
      <c r="AR132" s="43" t="inlineStr">
        <is>
          <t>G</t>
        </is>
      </c>
      <c r="AS132" s="43" t="inlineStr">
        <is>
          <t>G</t>
        </is>
      </c>
      <c r="AT132" s="43" t="inlineStr">
        <is>
          <t>G</t>
        </is>
      </c>
      <c r="AU132" s="43" t="inlineStr">
        <is>
          <t>G</t>
        </is>
      </c>
      <c r="AV132" s="43" t="inlineStr">
        <is>
          <t>G</t>
        </is>
      </c>
      <c r="AW132" s="43" t="inlineStr">
        <is>
          <t>G</t>
        </is>
      </c>
      <c r="AX132" s="43" t="inlineStr">
        <is>
          <t>H</t>
        </is>
      </c>
      <c r="AY132" s="43" t="inlineStr">
        <is>
          <t>H</t>
        </is>
      </c>
      <c r="AZ132" s="43" t="inlineStr">
        <is>
          <t>H</t>
        </is>
      </c>
      <c r="BA132" s="43" t="inlineStr">
        <is>
          <t>H</t>
        </is>
      </c>
      <c r="BE132" s="44">
        <f>D132*$B$6</f>
        <v/>
      </c>
      <c r="BF132" s="44">
        <f>D132*$I$13</f>
        <v/>
      </c>
      <c r="BG132" s="45">
        <f>MATCH("P",$E132:$BD132,0)</f>
        <v/>
      </c>
    </row>
    <row r="133">
      <c r="A133" s="28" t="inlineStr">
        <is>
          <t>Kale W38</t>
        </is>
      </c>
      <c r="B133" s="28" t="inlineStr">
        <is>
          <t>Kale</t>
        </is>
      </c>
      <c r="C133" s="41" t="n">
        <v>0</v>
      </c>
      <c r="D133" s="42" t="n">
        <v>0</v>
      </c>
      <c r="AP133" s="43" t="inlineStr">
        <is>
          <t>P</t>
        </is>
      </c>
      <c r="AQ133" s="43" t="inlineStr">
        <is>
          <t>G</t>
        </is>
      </c>
      <c r="AR133" s="43" t="inlineStr">
        <is>
          <t>G</t>
        </is>
      </c>
      <c r="AS133" s="43" t="inlineStr">
        <is>
          <t>G</t>
        </is>
      </c>
      <c r="AT133" s="43" t="inlineStr">
        <is>
          <t>G</t>
        </is>
      </c>
      <c r="AU133" s="43" t="inlineStr">
        <is>
          <t>G</t>
        </is>
      </c>
      <c r="AV133" s="43" t="inlineStr">
        <is>
          <t>G</t>
        </is>
      </c>
      <c r="AW133" s="43" t="inlineStr">
        <is>
          <t>G</t>
        </is>
      </c>
      <c r="AX133" s="43" t="inlineStr">
        <is>
          <t>G</t>
        </is>
      </c>
      <c r="AY133" s="43" t="inlineStr">
        <is>
          <t>H</t>
        </is>
      </c>
      <c r="AZ133" s="43" t="inlineStr">
        <is>
          <t>H</t>
        </is>
      </c>
      <c r="BA133" s="43" t="inlineStr">
        <is>
          <t>H</t>
        </is>
      </c>
      <c r="BB133" s="43" t="inlineStr">
        <is>
          <t>H</t>
        </is>
      </c>
      <c r="BE133" s="44">
        <f>D133*$B$6</f>
        <v/>
      </c>
      <c r="BF133" s="44">
        <f>D133*$I$13</f>
        <v/>
      </c>
      <c r="BG133" s="45">
        <f>MATCH("P",$E133:$BD133,0)</f>
        <v/>
      </c>
    </row>
    <row r="134">
      <c r="A134" s="28" t="inlineStr">
        <is>
          <t>Kale W39</t>
        </is>
      </c>
      <c r="B134" s="28" t="inlineStr">
        <is>
          <t>Kale</t>
        </is>
      </c>
      <c r="C134" s="41" t="n">
        <v>0</v>
      </c>
      <c r="D134" s="42" t="n">
        <v>0</v>
      </c>
      <c r="AQ134" s="43" t="inlineStr">
        <is>
          <t>P</t>
        </is>
      </c>
      <c r="AR134" s="43" t="inlineStr">
        <is>
          <t>G</t>
        </is>
      </c>
      <c r="AS134" s="43" t="inlineStr">
        <is>
          <t>G</t>
        </is>
      </c>
      <c r="AT134" s="43" t="inlineStr">
        <is>
          <t>G</t>
        </is>
      </c>
      <c r="AU134" s="43" t="inlineStr">
        <is>
          <t>G</t>
        </is>
      </c>
      <c r="AV134" s="43" t="inlineStr">
        <is>
          <t>G</t>
        </is>
      </c>
      <c r="AW134" s="43" t="inlineStr">
        <is>
          <t>G</t>
        </is>
      </c>
      <c r="AX134" s="43" t="inlineStr">
        <is>
          <t>G</t>
        </is>
      </c>
      <c r="AY134" s="43" t="inlineStr">
        <is>
          <t>G</t>
        </is>
      </c>
      <c r="AZ134" s="43" t="inlineStr">
        <is>
          <t>H</t>
        </is>
      </c>
      <c r="BA134" s="43" t="inlineStr">
        <is>
          <t>H</t>
        </is>
      </c>
      <c r="BB134" s="43" t="inlineStr">
        <is>
          <t>H</t>
        </is>
      </c>
      <c r="BC134" s="43" t="inlineStr">
        <is>
          <t>H</t>
        </is>
      </c>
      <c r="BE134" s="44">
        <f>D134*$B$6</f>
        <v/>
      </c>
      <c r="BF134" s="44">
        <f>D134*$I$13</f>
        <v/>
      </c>
      <c r="BG134" s="45">
        <f>MATCH("P",$E134:$BD134,0)</f>
        <v/>
      </c>
    </row>
    <row r="135">
      <c r="A135" s="28" t="inlineStr">
        <is>
          <t>Kale W40</t>
        </is>
      </c>
      <c r="B135" s="28" t="inlineStr">
        <is>
          <t>Kale</t>
        </is>
      </c>
      <c r="C135" s="41" t="n">
        <v>0</v>
      </c>
      <c r="D135" s="42" t="n">
        <v>0</v>
      </c>
      <c r="AR135" s="43" t="inlineStr">
        <is>
          <t>P</t>
        </is>
      </c>
      <c r="AS135" s="43" t="inlineStr">
        <is>
          <t>G</t>
        </is>
      </c>
      <c r="AT135" s="43" t="inlineStr">
        <is>
          <t>G</t>
        </is>
      </c>
      <c r="AU135" s="43" t="inlineStr">
        <is>
          <t>G</t>
        </is>
      </c>
      <c r="AV135" s="43" t="inlineStr">
        <is>
          <t>G</t>
        </is>
      </c>
      <c r="AW135" s="43" t="inlineStr">
        <is>
          <t>G</t>
        </is>
      </c>
      <c r="AX135" s="43" t="inlineStr">
        <is>
          <t>G</t>
        </is>
      </c>
      <c r="AY135" s="43" t="inlineStr">
        <is>
          <t>G</t>
        </is>
      </c>
      <c r="AZ135" s="43" t="inlineStr">
        <is>
          <t>G</t>
        </is>
      </c>
      <c r="BA135" s="43" t="inlineStr">
        <is>
          <t>H</t>
        </is>
      </c>
      <c r="BB135" s="43" t="inlineStr">
        <is>
          <t>H</t>
        </is>
      </c>
      <c r="BC135" s="43" t="inlineStr">
        <is>
          <t>H</t>
        </is>
      </c>
      <c r="BD135" s="43" t="inlineStr">
        <is>
          <t>H</t>
        </is>
      </c>
      <c r="BE135" s="44">
        <f>D135*$B$6</f>
        <v/>
      </c>
      <c r="BF135" s="44">
        <f>D135*$I$13</f>
        <v/>
      </c>
      <c r="BG135" s="45">
        <f>MATCH("P",$E135:$BD135,0)</f>
        <v/>
      </c>
    </row>
    <row r="136">
      <c r="A136" s="28" t="inlineStr">
        <is>
          <t>Garlic W46</t>
        </is>
      </c>
      <c r="B136" s="28" t="inlineStr">
        <is>
          <t>Garlic</t>
        </is>
      </c>
      <c r="C136" s="41" t="n">
        <v>0</v>
      </c>
      <c r="D136" s="42" t="n">
        <v>0</v>
      </c>
      <c r="E136" s="43" t="inlineStr">
        <is>
          <t>G</t>
        </is>
      </c>
      <c r="F136" s="43" t="inlineStr">
        <is>
          <t>G</t>
        </is>
      </c>
      <c r="G136" s="43" t="inlineStr">
        <is>
          <t>G</t>
        </is>
      </c>
      <c r="H136" s="43" t="inlineStr">
        <is>
          <t>G</t>
        </is>
      </c>
      <c r="I136" s="43" t="inlineStr">
        <is>
          <t>G</t>
        </is>
      </c>
      <c r="J136" s="43" t="inlineStr">
        <is>
          <t>G</t>
        </is>
      </c>
      <c r="K136" s="43" t="inlineStr">
        <is>
          <t>G</t>
        </is>
      </c>
      <c r="L136" s="43" t="inlineStr">
        <is>
          <t>G</t>
        </is>
      </c>
      <c r="M136" s="43" t="inlineStr">
        <is>
          <t>G</t>
        </is>
      </c>
      <c r="N136" s="43" t="inlineStr">
        <is>
          <t>G</t>
        </is>
      </c>
      <c r="O136" s="43" t="inlineStr">
        <is>
          <t>G</t>
        </is>
      </c>
      <c r="P136" s="43" t="inlineStr">
        <is>
          <t>G</t>
        </is>
      </c>
      <c r="Q136" s="43" t="inlineStr">
        <is>
          <t>G</t>
        </is>
      </c>
      <c r="R136" s="43" t="inlineStr">
        <is>
          <t>G</t>
        </is>
      </c>
      <c r="S136" s="43" t="inlineStr">
        <is>
          <t>G</t>
        </is>
      </c>
      <c r="T136" s="43" t="inlineStr">
        <is>
          <t>G</t>
        </is>
      </c>
      <c r="U136" s="43" t="inlineStr">
        <is>
          <t>G</t>
        </is>
      </c>
      <c r="V136" s="43" t="inlineStr">
        <is>
          <t>G</t>
        </is>
      </c>
      <c r="W136" s="43" t="inlineStr">
        <is>
          <t>G</t>
        </is>
      </c>
      <c r="X136" s="43" t="inlineStr">
        <is>
          <t>G</t>
        </is>
      </c>
      <c r="Y136" s="43" t="inlineStr">
        <is>
          <t>G</t>
        </is>
      </c>
      <c r="Z136" s="43" t="inlineStr">
        <is>
          <t>G</t>
        </is>
      </c>
      <c r="AA136" s="43" t="inlineStr">
        <is>
          <t>G</t>
        </is>
      </c>
      <c r="AB136" s="43" t="inlineStr">
        <is>
          <t>G</t>
        </is>
      </c>
      <c r="AC136" s="43" t="inlineStr">
        <is>
          <t>G</t>
        </is>
      </c>
      <c r="AD136" s="43" t="inlineStr">
        <is>
          <t>G</t>
        </is>
      </c>
      <c r="AE136" s="43" t="inlineStr">
        <is>
          <t>G</t>
        </is>
      </c>
      <c r="AF136" s="43" t="inlineStr">
        <is>
          <t>G</t>
        </is>
      </c>
      <c r="AG136" s="43" t="inlineStr">
        <is>
          <t>H</t>
        </is>
      </c>
      <c r="AX136" s="43" t="inlineStr">
        <is>
          <t>P</t>
        </is>
      </c>
      <c r="AY136" s="43" t="inlineStr">
        <is>
          <t>P</t>
        </is>
      </c>
      <c r="AZ136" s="43" t="inlineStr">
        <is>
          <t>P</t>
        </is>
      </c>
      <c r="BA136" s="43" t="inlineStr">
        <is>
          <t>G</t>
        </is>
      </c>
      <c r="BB136" s="43" t="inlineStr">
        <is>
          <t>G</t>
        </is>
      </c>
      <c r="BC136" s="43" t="inlineStr">
        <is>
          <t>G</t>
        </is>
      </c>
      <c r="BD136" s="43" t="inlineStr">
        <is>
          <t>G</t>
        </is>
      </c>
      <c r="BE136" s="44">
        <f>D136*$B$6</f>
        <v/>
      </c>
      <c r="BF136" s="44">
        <f>D136*$I$14</f>
        <v/>
      </c>
      <c r="BG136" s="45">
        <f>MATCH("P",$E136:$BD136,0)</f>
        <v/>
      </c>
    </row>
    <row r="137">
      <c r="A137" s="28" t="inlineStr">
        <is>
          <t>Garlic W47</t>
        </is>
      </c>
      <c r="B137" s="28" t="inlineStr">
        <is>
          <t>Garlic</t>
        </is>
      </c>
      <c r="C137" s="41" t="n">
        <v>0</v>
      </c>
      <c r="D137" s="42" t="n">
        <v>0</v>
      </c>
      <c r="E137" s="43" t="inlineStr">
        <is>
          <t>G</t>
        </is>
      </c>
      <c r="F137" s="43" t="inlineStr">
        <is>
          <t>G</t>
        </is>
      </c>
      <c r="G137" s="43" t="inlineStr">
        <is>
          <t>G</t>
        </is>
      </c>
      <c r="H137" s="43" t="inlineStr">
        <is>
          <t>G</t>
        </is>
      </c>
      <c r="I137" s="43" t="inlineStr">
        <is>
          <t>G</t>
        </is>
      </c>
      <c r="J137" s="43" t="inlineStr">
        <is>
          <t>G</t>
        </is>
      </c>
      <c r="K137" s="43" t="inlineStr">
        <is>
          <t>G</t>
        </is>
      </c>
      <c r="L137" s="43" t="inlineStr">
        <is>
          <t>G</t>
        </is>
      </c>
      <c r="M137" s="43" t="inlineStr">
        <is>
          <t>G</t>
        </is>
      </c>
      <c r="N137" s="43" t="inlineStr">
        <is>
          <t>G</t>
        </is>
      </c>
      <c r="O137" s="43" t="inlineStr">
        <is>
          <t>G</t>
        </is>
      </c>
      <c r="P137" s="43" t="inlineStr">
        <is>
          <t>G</t>
        </is>
      </c>
      <c r="Q137" s="43" t="inlineStr">
        <is>
          <t>G</t>
        </is>
      </c>
      <c r="R137" s="43" t="inlineStr">
        <is>
          <t>G</t>
        </is>
      </c>
      <c r="S137" s="43" t="inlineStr">
        <is>
          <t>G</t>
        </is>
      </c>
      <c r="T137" s="43" t="inlineStr">
        <is>
          <t>G</t>
        </is>
      </c>
      <c r="U137" s="43" t="inlineStr">
        <is>
          <t>G</t>
        </is>
      </c>
      <c r="V137" s="43" t="inlineStr">
        <is>
          <t>G</t>
        </is>
      </c>
      <c r="W137" s="43" t="inlineStr">
        <is>
          <t>G</t>
        </is>
      </c>
      <c r="X137" s="43" t="inlineStr">
        <is>
          <t>G</t>
        </is>
      </c>
      <c r="Y137" s="43" t="inlineStr">
        <is>
          <t>G</t>
        </is>
      </c>
      <c r="Z137" s="43" t="inlineStr">
        <is>
          <t>G</t>
        </is>
      </c>
      <c r="AA137" s="43" t="inlineStr">
        <is>
          <t>G</t>
        </is>
      </c>
      <c r="AB137" s="43" t="inlineStr">
        <is>
          <t>G</t>
        </is>
      </c>
      <c r="AC137" s="43" t="inlineStr">
        <is>
          <t>G</t>
        </is>
      </c>
      <c r="AD137" s="43" t="inlineStr">
        <is>
          <t>G</t>
        </is>
      </c>
      <c r="AE137" s="43" t="inlineStr">
        <is>
          <t>G</t>
        </is>
      </c>
      <c r="AF137" s="43" t="inlineStr">
        <is>
          <t>G</t>
        </is>
      </c>
      <c r="AG137" s="43" t="inlineStr">
        <is>
          <t>G</t>
        </is>
      </c>
      <c r="AH137" s="43" t="inlineStr">
        <is>
          <t>H</t>
        </is>
      </c>
      <c r="AY137" s="43" t="inlineStr">
        <is>
          <t>P</t>
        </is>
      </c>
      <c r="AZ137" s="43" t="inlineStr">
        <is>
          <t>P</t>
        </is>
      </c>
      <c r="BA137" s="43" t="inlineStr">
        <is>
          <t>P</t>
        </is>
      </c>
      <c r="BB137" s="43" t="inlineStr">
        <is>
          <t>G</t>
        </is>
      </c>
      <c r="BC137" s="43" t="inlineStr">
        <is>
          <t>G</t>
        </is>
      </c>
      <c r="BD137" s="43" t="inlineStr">
        <is>
          <t>G</t>
        </is>
      </c>
      <c r="BE137" s="44">
        <f>D137*$B$6</f>
        <v/>
      </c>
      <c r="BF137" s="44">
        <f>D137*$I$14</f>
        <v/>
      </c>
      <c r="BG137" s="45">
        <f>MATCH("P",$E137:$BD137,0)</f>
        <v/>
      </c>
    </row>
    <row r="138">
      <c r="A138" s="28" t="inlineStr">
        <is>
          <t>Garlic W48</t>
        </is>
      </c>
      <c r="B138" s="28" t="inlineStr">
        <is>
          <t>Garlic</t>
        </is>
      </c>
      <c r="C138" s="41" t="n">
        <v>0</v>
      </c>
      <c r="D138" s="42" t="n">
        <v>0</v>
      </c>
      <c r="E138" s="43" t="inlineStr">
        <is>
          <t>G</t>
        </is>
      </c>
      <c r="F138" s="43" t="inlineStr">
        <is>
          <t>G</t>
        </is>
      </c>
      <c r="G138" s="43" t="inlineStr">
        <is>
          <t>G</t>
        </is>
      </c>
      <c r="H138" s="43" t="inlineStr">
        <is>
          <t>G</t>
        </is>
      </c>
      <c r="I138" s="43" t="inlineStr">
        <is>
          <t>G</t>
        </is>
      </c>
      <c r="J138" s="43" t="inlineStr">
        <is>
          <t>G</t>
        </is>
      </c>
      <c r="K138" s="43" t="inlineStr">
        <is>
          <t>G</t>
        </is>
      </c>
      <c r="L138" s="43" t="inlineStr">
        <is>
          <t>G</t>
        </is>
      </c>
      <c r="M138" s="43" t="inlineStr">
        <is>
          <t>G</t>
        </is>
      </c>
      <c r="N138" s="43" t="inlineStr">
        <is>
          <t>G</t>
        </is>
      </c>
      <c r="O138" s="43" t="inlineStr">
        <is>
          <t>G</t>
        </is>
      </c>
      <c r="P138" s="43" t="inlineStr">
        <is>
          <t>G</t>
        </is>
      </c>
      <c r="Q138" s="43" t="inlineStr">
        <is>
          <t>G</t>
        </is>
      </c>
      <c r="R138" s="43" t="inlineStr">
        <is>
          <t>G</t>
        </is>
      </c>
      <c r="S138" s="43" t="inlineStr">
        <is>
          <t>G</t>
        </is>
      </c>
      <c r="T138" s="43" t="inlineStr">
        <is>
          <t>G</t>
        </is>
      </c>
      <c r="U138" s="43" t="inlineStr">
        <is>
          <t>G</t>
        </is>
      </c>
      <c r="V138" s="43" t="inlineStr">
        <is>
          <t>G</t>
        </is>
      </c>
      <c r="W138" s="43" t="inlineStr">
        <is>
          <t>G</t>
        </is>
      </c>
      <c r="X138" s="43" t="inlineStr">
        <is>
          <t>G</t>
        </is>
      </c>
      <c r="Y138" s="43" t="inlineStr">
        <is>
          <t>G</t>
        </is>
      </c>
      <c r="Z138" s="43" t="inlineStr">
        <is>
          <t>G</t>
        </is>
      </c>
      <c r="AA138" s="43" t="inlineStr">
        <is>
          <t>G</t>
        </is>
      </c>
      <c r="AB138" s="43" t="inlineStr">
        <is>
          <t>G</t>
        </is>
      </c>
      <c r="AC138" s="43" t="inlineStr">
        <is>
          <t>G</t>
        </is>
      </c>
      <c r="AD138" s="43" t="inlineStr">
        <is>
          <t>G</t>
        </is>
      </c>
      <c r="AE138" s="43" t="inlineStr">
        <is>
          <t>G</t>
        </is>
      </c>
      <c r="AF138" s="43" t="inlineStr">
        <is>
          <t>G</t>
        </is>
      </c>
      <c r="AG138" s="43" t="inlineStr">
        <is>
          <t>G</t>
        </is>
      </c>
      <c r="AH138" s="43" t="inlineStr">
        <is>
          <t>G</t>
        </is>
      </c>
      <c r="AI138" s="43" t="inlineStr">
        <is>
          <t>H</t>
        </is>
      </c>
      <c r="AZ138" s="43" t="inlineStr">
        <is>
          <t>P</t>
        </is>
      </c>
      <c r="BA138" s="43" t="inlineStr">
        <is>
          <t>P</t>
        </is>
      </c>
      <c r="BB138" s="43" t="inlineStr">
        <is>
          <t>P</t>
        </is>
      </c>
      <c r="BC138" s="43" t="inlineStr">
        <is>
          <t>G</t>
        </is>
      </c>
      <c r="BD138" s="43" t="inlineStr">
        <is>
          <t>G</t>
        </is>
      </c>
      <c r="BE138" s="44">
        <f>D138*$B$6</f>
        <v/>
      </c>
      <c r="BF138" s="44">
        <f>D138*$I$14</f>
        <v/>
      </c>
      <c r="BG138" s="45">
        <f>MATCH("P",$E138:$BD138,0)</f>
        <v/>
      </c>
    </row>
    <row r="139">
      <c r="A139" s="2" t="inlineStr">
        <is>
          <t>ACRES &lt;= 'max if planted' and ACRES &gt;= 'min if planted' are the app's C9 and C10: you cannot plant acres without deciding to plant, and if you plant at all you plant a real block.</t>
        </is>
      </c>
    </row>
    <row r="141">
      <c r="A141" s="32" t="inlineStr">
        <is>
          <t>Week</t>
        </is>
      </c>
      <c r="B141" s="33" t="inlineStr">
        <is>
          <t>acres</t>
        </is>
      </c>
      <c r="E141" s="34" t="n">
        <v>1</v>
      </c>
      <c r="F141" s="34" t="n">
        <v>2</v>
      </c>
      <c r="G141" s="34" t="n">
        <v>3</v>
      </c>
      <c r="H141" s="34" t="n">
        <v>4</v>
      </c>
      <c r="I141" s="34" t="n">
        <v>5</v>
      </c>
      <c r="J141" s="34" t="n">
        <v>6</v>
      </c>
      <c r="K141" s="34" t="n">
        <v>7</v>
      </c>
      <c r="L141" s="34" t="n">
        <v>8</v>
      </c>
      <c r="M141" s="34" t="n">
        <v>9</v>
      </c>
      <c r="N141" s="34" t="n">
        <v>10</v>
      </c>
      <c r="O141" s="34" t="n">
        <v>11</v>
      </c>
      <c r="P141" s="34" t="n">
        <v>12</v>
      </c>
      <c r="Q141" s="34" t="n">
        <v>13</v>
      </c>
      <c r="R141" s="34" t="n">
        <v>14</v>
      </c>
      <c r="S141" s="34" t="n">
        <v>15</v>
      </c>
      <c r="T141" s="34" t="n">
        <v>16</v>
      </c>
      <c r="U141" s="34" t="n">
        <v>17</v>
      </c>
      <c r="V141" s="34" t="n">
        <v>18</v>
      </c>
      <c r="W141" s="34" t="n">
        <v>19</v>
      </c>
      <c r="X141" s="34" t="n">
        <v>20</v>
      </c>
      <c r="Y141" s="34" t="n">
        <v>21</v>
      </c>
      <c r="Z141" s="34" t="n">
        <v>22</v>
      </c>
      <c r="AA141" s="34" t="n">
        <v>23</v>
      </c>
      <c r="AB141" s="34" t="n">
        <v>24</v>
      </c>
      <c r="AC141" s="34" t="n">
        <v>25</v>
      </c>
      <c r="AD141" s="34" t="n">
        <v>26</v>
      </c>
      <c r="AE141" s="34" t="n">
        <v>27</v>
      </c>
      <c r="AF141" s="34" t="n">
        <v>28</v>
      </c>
      <c r="AG141" s="34" t="n">
        <v>29</v>
      </c>
      <c r="AH141" s="34" t="n">
        <v>30</v>
      </c>
      <c r="AI141" s="34" t="n">
        <v>31</v>
      </c>
      <c r="AJ141" s="34" t="n">
        <v>32</v>
      </c>
      <c r="AK141" s="34" t="n">
        <v>33</v>
      </c>
      <c r="AL141" s="34" t="n">
        <v>34</v>
      </c>
      <c r="AM141" s="34" t="n">
        <v>35</v>
      </c>
      <c r="AN141" s="34" t="n">
        <v>36</v>
      </c>
      <c r="AO141" s="34" t="n">
        <v>37</v>
      </c>
      <c r="AP141" s="34" t="n">
        <v>38</v>
      </c>
      <c r="AQ141" s="34" t="n">
        <v>39</v>
      </c>
      <c r="AR141" s="34" t="n">
        <v>40</v>
      </c>
      <c r="AS141" s="34" t="n">
        <v>41</v>
      </c>
      <c r="AT141" s="34" t="n">
        <v>42</v>
      </c>
      <c r="AU141" s="34" t="n">
        <v>43</v>
      </c>
      <c r="AV141" s="34" t="n">
        <v>44</v>
      </c>
      <c r="AW141" s="34" t="n">
        <v>45</v>
      </c>
      <c r="AX141" s="34" t="n">
        <v>46</v>
      </c>
      <c r="AY141" s="34" t="n">
        <v>47</v>
      </c>
      <c r="AZ141" s="34" t="n">
        <v>48</v>
      </c>
      <c r="BA141" s="34" t="n">
        <v>49</v>
      </c>
      <c r="BB141" s="34" t="n">
        <v>50</v>
      </c>
      <c r="BC141" s="34" t="n">
        <v>51</v>
      </c>
      <c r="BD141" s="34" t="n">
        <v>52</v>
      </c>
    </row>
    <row r="142">
      <c r="A142" s="37" t="inlineStr">
        <is>
          <t>LAND in the ground</t>
        </is>
      </c>
      <c r="B142" s="2" t="inlineStr">
        <is>
          <t>used</t>
        </is>
      </c>
      <c r="E142" s="46">
        <f>SUMPRODUCT((E$71:E$138&lt;&gt;"")*$C$71:$C$138)</f>
        <v/>
      </c>
      <c r="F142" s="46">
        <f>SUMPRODUCT((F$71:F$138&lt;&gt;"")*$C$71:$C$138)</f>
        <v/>
      </c>
      <c r="G142" s="46">
        <f>SUMPRODUCT((G$71:G$138&lt;&gt;"")*$C$71:$C$138)</f>
        <v/>
      </c>
      <c r="H142" s="46">
        <f>SUMPRODUCT((H$71:H$138&lt;&gt;"")*$C$71:$C$138)</f>
        <v/>
      </c>
      <c r="I142" s="46">
        <f>SUMPRODUCT((I$71:I$138&lt;&gt;"")*$C$71:$C$138)</f>
        <v/>
      </c>
      <c r="J142" s="46">
        <f>SUMPRODUCT((J$71:J$138&lt;&gt;"")*$C$71:$C$138)</f>
        <v/>
      </c>
      <c r="K142" s="46">
        <f>SUMPRODUCT((K$71:K$138&lt;&gt;"")*$C$71:$C$138)</f>
        <v/>
      </c>
      <c r="L142" s="46">
        <f>SUMPRODUCT((L$71:L$138&lt;&gt;"")*$C$71:$C$138)</f>
        <v/>
      </c>
      <c r="M142" s="46">
        <f>SUMPRODUCT((M$71:M$138&lt;&gt;"")*$C$71:$C$138)</f>
        <v/>
      </c>
      <c r="N142" s="46">
        <f>SUMPRODUCT((N$71:N$138&lt;&gt;"")*$C$71:$C$138)</f>
        <v/>
      </c>
      <c r="O142" s="46">
        <f>SUMPRODUCT((O$71:O$138&lt;&gt;"")*$C$71:$C$138)</f>
        <v/>
      </c>
      <c r="P142" s="46">
        <f>SUMPRODUCT((P$71:P$138&lt;&gt;"")*$C$71:$C$138)</f>
        <v/>
      </c>
      <c r="Q142" s="46">
        <f>SUMPRODUCT((Q$71:Q$138&lt;&gt;"")*$C$71:$C$138)</f>
        <v/>
      </c>
      <c r="R142" s="46">
        <f>SUMPRODUCT((R$71:R$138&lt;&gt;"")*$C$71:$C$138)</f>
        <v/>
      </c>
      <c r="S142" s="46">
        <f>SUMPRODUCT((S$71:S$138&lt;&gt;"")*$C$71:$C$138)</f>
        <v/>
      </c>
      <c r="T142" s="46">
        <f>SUMPRODUCT((T$71:T$138&lt;&gt;"")*$C$71:$C$138)</f>
        <v/>
      </c>
      <c r="U142" s="46">
        <f>SUMPRODUCT((U$71:U$138&lt;&gt;"")*$C$71:$C$138)</f>
        <v/>
      </c>
      <c r="V142" s="46">
        <f>SUMPRODUCT((V$71:V$138&lt;&gt;"")*$C$71:$C$138)</f>
        <v/>
      </c>
      <c r="W142" s="46">
        <f>SUMPRODUCT((W$71:W$138&lt;&gt;"")*$C$71:$C$138)</f>
        <v/>
      </c>
      <c r="X142" s="46">
        <f>SUMPRODUCT((X$71:X$138&lt;&gt;"")*$C$71:$C$138)</f>
        <v/>
      </c>
      <c r="Y142" s="46">
        <f>SUMPRODUCT((Y$71:Y$138&lt;&gt;"")*$C$71:$C$138)</f>
        <v/>
      </c>
      <c r="Z142" s="46">
        <f>SUMPRODUCT((Z$71:Z$138&lt;&gt;"")*$C$71:$C$138)</f>
        <v/>
      </c>
      <c r="AA142" s="46">
        <f>SUMPRODUCT((AA$71:AA$138&lt;&gt;"")*$C$71:$C$138)</f>
        <v/>
      </c>
      <c r="AB142" s="46">
        <f>SUMPRODUCT((AB$71:AB$138&lt;&gt;"")*$C$71:$C$138)</f>
        <v/>
      </c>
      <c r="AC142" s="46">
        <f>SUMPRODUCT((AC$71:AC$138&lt;&gt;"")*$C$71:$C$138)</f>
        <v/>
      </c>
      <c r="AD142" s="46">
        <f>SUMPRODUCT((AD$71:AD$138&lt;&gt;"")*$C$71:$C$138)</f>
        <v/>
      </c>
      <c r="AE142" s="46">
        <f>SUMPRODUCT((AE$71:AE$138&lt;&gt;"")*$C$71:$C$138)</f>
        <v/>
      </c>
      <c r="AF142" s="46">
        <f>SUMPRODUCT((AF$71:AF$138&lt;&gt;"")*$C$71:$C$138)</f>
        <v/>
      </c>
      <c r="AG142" s="46">
        <f>SUMPRODUCT((AG$71:AG$138&lt;&gt;"")*$C$71:$C$138)</f>
        <v/>
      </c>
      <c r="AH142" s="46">
        <f>SUMPRODUCT((AH$71:AH$138&lt;&gt;"")*$C$71:$C$138)</f>
        <v/>
      </c>
      <c r="AI142" s="46">
        <f>SUMPRODUCT((AI$71:AI$138&lt;&gt;"")*$C$71:$C$138)</f>
        <v/>
      </c>
      <c r="AJ142" s="46">
        <f>SUMPRODUCT((AJ$71:AJ$138&lt;&gt;"")*$C$71:$C$138)</f>
        <v/>
      </c>
      <c r="AK142" s="46">
        <f>SUMPRODUCT((AK$71:AK$138&lt;&gt;"")*$C$71:$C$138)</f>
        <v/>
      </c>
      <c r="AL142" s="46">
        <f>SUMPRODUCT((AL$71:AL$138&lt;&gt;"")*$C$71:$C$138)</f>
        <v/>
      </c>
      <c r="AM142" s="46">
        <f>SUMPRODUCT((AM$71:AM$138&lt;&gt;"")*$C$71:$C$138)</f>
        <v/>
      </c>
      <c r="AN142" s="46">
        <f>SUMPRODUCT((AN$71:AN$138&lt;&gt;"")*$C$71:$C$138)</f>
        <v/>
      </c>
      <c r="AO142" s="46">
        <f>SUMPRODUCT((AO$71:AO$138&lt;&gt;"")*$C$71:$C$138)</f>
        <v/>
      </c>
      <c r="AP142" s="46">
        <f>SUMPRODUCT((AP$71:AP$138&lt;&gt;"")*$C$71:$C$138)</f>
        <v/>
      </c>
      <c r="AQ142" s="46">
        <f>SUMPRODUCT((AQ$71:AQ$138&lt;&gt;"")*$C$71:$C$138)</f>
        <v/>
      </c>
      <c r="AR142" s="46">
        <f>SUMPRODUCT((AR$71:AR$138&lt;&gt;"")*$C$71:$C$138)</f>
        <v/>
      </c>
      <c r="AS142" s="46">
        <f>SUMPRODUCT((AS$71:AS$138&lt;&gt;"")*$C$71:$C$138)</f>
        <v/>
      </c>
      <c r="AT142" s="46">
        <f>SUMPRODUCT((AT$71:AT$138&lt;&gt;"")*$C$71:$C$138)</f>
        <v/>
      </c>
      <c r="AU142" s="46">
        <f>SUMPRODUCT((AU$71:AU$138&lt;&gt;"")*$C$71:$C$138)</f>
        <v/>
      </c>
      <c r="AV142" s="46">
        <f>SUMPRODUCT((AV$71:AV$138&lt;&gt;"")*$C$71:$C$138)</f>
        <v/>
      </c>
      <c r="AW142" s="46">
        <f>SUMPRODUCT((AW$71:AW$138&lt;&gt;"")*$C$71:$C$138)</f>
        <v/>
      </c>
      <c r="AX142" s="46">
        <f>SUMPRODUCT((AX$71:AX$138&lt;&gt;"")*$C$71:$C$138)</f>
        <v/>
      </c>
      <c r="AY142" s="46">
        <f>SUMPRODUCT((AY$71:AY$138&lt;&gt;"")*$C$71:$C$138)</f>
        <v/>
      </c>
      <c r="AZ142" s="46">
        <f>SUMPRODUCT((AZ$71:AZ$138&lt;&gt;"")*$C$71:$C$138)</f>
        <v/>
      </c>
      <c r="BA142" s="46">
        <f>SUMPRODUCT((BA$71:BA$138&lt;&gt;"")*$C$71:$C$138)</f>
        <v/>
      </c>
      <c r="BB142" s="46">
        <f>SUMPRODUCT((BB$71:BB$138&lt;&gt;"")*$C$71:$C$138)</f>
        <v/>
      </c>
      <c r="BC142" s="46">
        <f>SUMPRODUCT((BC$71:BC$138&lt;&gt;"")*$C$71:$C$138)</f>
        <v/>
      </c>
      <c r="BD142" s="46">
        <f>SUMPRODUCT((BD$71:BD$138&lt;&gt;"")*$C$71:$C$138)</f>
        <v/>
      </c>
    </row>
    <row r="143">
      <c r="A143" s="4" t="inlineStr"/>
      <c r="E143" s="47" t="inlineStr">
        <is>
          <t>&lt;=</t>
        </is>
      </c>
      <c r="F143" s="47" t="inlineStr">
        <is>
          <t>&lt;=</t>
        </is>
      </c>
      <c r="G143" s="47" t="inlineStr">
        <is>
          <t>&lt;=</t>
        </is>
      </c>
      <c r="H143" s="47" t="inlineStr">
        <is>
          <t>&lt;=</t>
        </is>
      </c>
      <c r="I143" s="47" t="inlineStr">
        <is>
          <t>&lt;=</t>
        </is>
      </c>
      <c r="J143" s="47" t="inlineStr">
        <is>
          <t>&lt;=</t>
        </is>
      </c>
      <c r="K143" s="47" t="inlineStr">
        <is>
          <t>&lt;=</t>
        </is>
      </c>
      <c r="L143" s="47" t="inlineStr">
        <is>
          <t>&lt;=</t>
        </is>
      </c>
      <c r="M143" s="47" t="inlineStr">
        <is>
          <t>&lt;=</t>
        </is>
      </c>
      <c r="N143" s="47" t="inlineStr">
        <is>
          <t>&lt;=</t>
        </is>
      </c>
      <c r="O143" s="47" t="inlineStr">
        <is>
          <t>&lt;=</t>
        </is>
      </c>
      <c r="P143" s="47" t="inlineStr">
        <is>
          <t>&lt;=</t>
        </is>
      </c>
      <c r="Q143" s="47" t="inlineStr">
        <is>
          <t>&lt;=</t>
        </is>
      </c>
      <c r="R143" s="47" t="inlineStr">
        <is>
          <t>&lt;=</t>
        </is>
      </c>
      <c r="S143" s="47" t="inlineStr">
        <is>
          <t>&lt;=</t>
        </is>
      </c>
      <c r="T143" s="47" t="inlineStr">
        <is>
          <t>&lt;=</t>
        </is>
      </c>
      <c r="U143" s="47" t="inlineStr">
        <is>
          <t>&lt;=</t>
        </is>
      </c>
      <c r="V143" s="47" t="inlineStr">
        <is>
          <t>&lt;=</t>
        </is>
      </c>
      <c r="W143" s="47" t="inlineStr">
        <is>
          <t>&lt;=</t>
        </is>
      </c>
      <c r="X143" s="47" t="inlineStr">
        <is>
          <t>&lt;=</t>
        </is>
      </c>
      <c r="Y143" s="47" t="inlineStr">
        <is>
          <t>&lt;=</t>
        </is>
      </c>
      <c r="Z143" s="47" t="inlineStr">
        <is>
          <t>&lt;=</t>
        </is>
      </c>
      <c r="AA143" s="47" t="inlineStr">
        <is>
          <t>&lt;=</t>
        </is>
      </c>
      <c r="AB143" s="47" t="inlineStr">
        <is>
          <t>&lt;=</t>
        </is>
      </c>
      <c r="AC143" s="47" t="inlineStr">
        <is>
          <t>&lt;=</t>
        </is>
      </c>
      <c r="AD143" s="47" t="inlineStr">
        <is>
          <t>&lt;=</t>
        </is>
      </c>
      <c r="AE143" s="47" t="inlineStr">
        <is>
          <t>&lt;=</t>
        </is>
      </c>
      <c r="AF143" s="47" t="inlineStr">
        <is>
          <t>&lt;=</t>
        </is>
      </c>
      <c r="AG143" s="47" t="inlineStr">
        <is>
          <t>&lt;=</t>
        </is>
      </c>
      <c r="AH143" s="47" t="inlineStr">
        <is>
          <t>&lt;=</t>
        </is>
      </c>
      <c r="AI143" s="47" t="inlineStr">
        <is>
          <t>&lt;=</t>
        </is>
      </c>
      <c r="AJ143" s="47" t="inlineStr">
        <is>
          <t>&lt;=</t>
        </is>
      </c>
      <c r="AK143" s="47" t="inlineStr">
        <is>
          <t>&lt;=</t>
        </is>
      </c>
      <c r="AL143" s="47" t="inlineStr">
        <is>
          <t>&lt;=</t>
        </is>
      </c>
      <c r="AM143" s="47" t="inlineStr">
        <is>
          <t>&lt;=</t>
        </is>
      </c>
      <c r="AN143" s="47" t="inlineStr">
        <is>
          <t>&lt;=</t>
        </is>
      </c>
      <c r="AO143" s="47" t="inlineStr">
        <is>
          <t>&lt;=</t>
        </is>
      </c>
      <c r="AP143" s="47" t="inlineStr">
        <is>
          <t>&lt;=</t>
        </is>
      </c>
      <c r="AQ143" s="47" t="inlineStr">
        <is>
          <t>&lt;=</t>
        </is>
      </c>
      <c r="AR143" s="47" t="inlineStr">
        <is>
          <t>&lt;=</t>
        </is>
      </c>
      <c r="AS143" s="47" t="inlineStr">
        <is>
          <t>&lt;=</t>
        </is>
      </c>
      <c r="AT143" s="47" t="inlineStr">
        <is>
          <t>&lt;=</t>
        </is>
      </c>
      <c r="AU143" s="47" t="inlineStr">
        <is>
          <t>&lt;=</t>
        </is>
      </c>
      <c r="AV143" s="47" t="inlineStr">
        <is>
          <t>&lt;=</t>
        </is>
      </c>
      <c r="AW143" s="47" t="inlineStr">
        <is>
          <t>&lt;=</t>
        </is>
      </c>
      <c r="AX143" s="47" t="inlineStr">
        <is>
          <t>&lt;=</t>
        </is>
      </c>
      <c r="AY143" s="47" t="inlineStr">
        <is>
          <t>&lt;=</t>
        </is>
      </c>
      <c r="AZ143" s="47" t="inlineStr">
        <is>
          <t>&lt;=</t>
        </is>
      </c>
      <c r="BA143" s="47" t="inlineStr">
        <is>
          <t>&lt;=</t>
        </is>
      </c>
      <c r="BB143" s="47" t="inlineStr">
        <is>
          <t>&lt;=</t>
        </is>
      </c>
      <c r="BC143" s="47" t="inlineStr">
        <is>
          <t>&lt;=</t>
        </is>
      </c>
      <c r="BD143" s="47" t="inlineStr">
        <is>
          <t>&lt;=</t>
        </is>
      </c>
    </row>
    <row r="144">
      <c r="A144" s="37" t="inlineStr">
        <is>
          <t xml:space="preserve">  limit</t>
        </is>
      </c>
      <c r="B144" s="2" t="inlineStr">
        <is>
          <t>cap</t>
        </is>
      </c>
      <c r="E144" s="46">
        <f>$B$6</f>
        <v/>
      </c>
      <c r="F144" s="46">
        <f>$B$6</f>
        <v/>
      </c>
      <c r="G144" s="46">
        <f>$B$6</f>
        <v/>
      </c>
      <c r="H144" s="46">
        <f>$B$6</f>
        <v/>
      </c>
      <c r="I144" s="46">
        <f>$B$6</f>
        <v/>
      </c>
      <c r="J144" s="46">
        <f>$B$6</f>
        <v/>
      </c>
      <c r="K144" s="46">
        <f>$B$6</f>
        <v/>
      </c>
      <c r="L144" s="46">
        <f>$B$6</f>
        <v/>
      </c>
      <c r="M144" s="46">
        <f>$B$6</f>
        <v/>
      </c>
      <c r="N144" s="46">
        <f>$B$6</f>
        <v/>
      </c>
      <c r="O144" s="46">
        <f>$B$6</f>
        <v/>
      </c>
      <c r="P144" s="46">
        <f>$B$6</f>
        <v/>
      </c>
      <c r="Q144" s="46">
        <f>$B$6</f>
        <v/>
      </c>
      <c r="R144" s="46">
        <f>$B$6</f>
        <v/>
      </c>
      <c r="S144" s="46">
        <f>$B$6</f>
        <v/>
      </c>
      <c r="T144" s="46">
        <f>$B$6</f>
        <v/>
      </c>
      <c r="U144" s="46">
        <f>$B$6</f>
        <v/>
      </c>
      <c r="V144" s="46">
        <f>$B$6</f>
        <v/>
      </c>
      <c r="W144" s="46">
        <f>$B$6</f>
        <v/>
      </c>
      <c r="X144" s="46">
        <f>$B$6</f>
        <v/>
      </c>
      <c r="Y144" s="46">
        <f>$B$6</f>
        <v/>
      </c>
      <c r="Z144" s="46">
        <f>$B$6</f>
        <v/>
      </c>
      <c r="AA144" s="46">
        <f>$B$6</f>
        <v/>
      </c>
      <c r="AB144" s="46">
        <f>$B$6</f>
        <v/>
      </c>
      <c r="AC144" s="46">
        <f>$B$6</f>
        <v/>
      </c>
      <c r="AD144" s="46">
        <f>$B$6</f>
        <v/>
      </c>
      <c r="AE144" s="46">
        <f>$B$6</f>
        <v/>
      </c>
      <c r="AF144" s="46">
        <f>$B$6</f>
        <v/>
      </c>
      <c r="AG144" s="46">
        <f>$B$6</f>
        <v/>
      </c>
      <c r="AH144" s="46">
        <f>$B$6</f>
        <v/>
      </c>
      <c r="AI144" s="46">
        <f>$B$6</f>
        <v/>
      </c>
      <c r="AJ144" s="46">
        <f>$B$6</f>
        <v/>
      </c>
      <c r="AK144" s="46">
        <f>$B$6</f>
        <v/>
      </c>
      <c r="AL144" s="46">
        <f>$B$6</f>
        <v/>
      </c>
      <c r="AM144" s="46">
        <f>$B$6</f>
        <v/>
      </c>
      <c r="AN144" s="46">
        <f>$B$6</f>
        <v/>
      </c>
      <c r="AO144" s="46">
        <f>$B$6</f>
        <v/>
      </c>
      <c r="AP144" s="46">
        <f>$B$6</f>
        <v/>
      </c>
      <c r="AQ144" s="46">
        <f>$B$6</f>
        <v/>
      </c>
      <c r="AR144" s="46">
        <f>$B$6</f>
        <v/>
      </c>
      <c r="AS144" s="46">
        <f>$B$6</f>
        <v/>
      </c>
      <c r="AT144" s="46">
        <f>$B$6</f>
        <v/>
      </c>
      <c r="AU144" s="46">
        <f>$B$6</f>
        <v/>
      </c>
      <c r="AV144" s="46">
        <f>$B$6</f>
        <v/>
      </c>
      <c r="AW144" s="46">
        <f>$B$6</f>
        <v/>
      </c>
      <c r="AX144" s="46">
        <f>$B$6</f>
        <v/>
      </c>
      <c r="AY144" s="46">
        <f>$B$6</f>
        <v/>
      </c>
      <c r="AZ144" s="46">
        <f>$B$6</f>
        <v/>
      </c>
      <c r="BA144" s="46">
        <f>$B$6</f>
        <v/>
      </c>
      <c r="BB144" s="46">
        <f>$B$6</f>
        <v/>
      </c>
      <c r="BC144" s="46">
        <f>$B$6</f>
        <v/>
      </c>
      <c r="BD144" s="46">
        <f>$B$6</f>
        <v/>
      </c>
    </row>
    <row r="145">
      <c r="A145" s="39" t="inlineStr">
        <is>
          <t xml:space="preserve">  room left</t>
        </is>
      </c>
      <c r="E145" s="46">
        <f>$B$6-E142</f>
        <v/>
      </c>
      <c r="F145" s="46">
        <f>$B$6-F142</f>
        <v/>
      </c>
      <c r="G145" s="46">
        <f>$B$6-G142</f>
        <v/>
      </c>
      <c r="H145" s="46">
        <f>$B$6-H142</f>
        <v/>
      </c>
      <c r="I145" s="46">
        <f>$B$6-I142</f>
        <v/>
      </c>
      <c r="J145" s="46">
        <f>$B$6-J142</f>
        <v/>
      </c>
      <c r="K145" s="46">
        <f>$B$6-K142</f>
        <v/>
      </c>
      <c r="L145" s="46">
        <f>$B$6-L142</f>
        <v/>
      </c>
      <c r="M145" s="46">
        <f>$B$6-M142</f>
        <v/>
      </c>
      <c r="N145" s="46">
        <f>$B$6-N142</f>
        <v/>
      </c>
      <c r="O145" s="46">
        <f>$B$6-O142</f>
        <v/>
      </c>
      <c r="P145" s="46">
        <f>$B$6-P142</f>
        <v/>
      </c>
      <c r="Q145" s="46">
        <f>$B$6-Q142</f>
        <v/>
      </c>
      <c r="R145" s="46">
        <f>$B$6-R142</f>
        <v/>
      </c>
      <c r="S145" s="46">
        <f>$B$6-S142</f>
        <v/>
      </c>
      <c r="T145" s="46">
        <f>$B$6-T142</f>
        <v/>
      </c>
      <c r="U145" s="46">
        <f>$B$6-U142</f>
        <v/>
      </c>
      <c r="V145" s="46">
        <f>$B$6-V142</f>
        <v/>
      </c>
      <c r="W145" s="46">
        <f>$B$6-W142</f>
        <v/>
      </c>
      <c r="X145" s="46">
        <f>$B$6-X142</f>
        <v/>
      </c>
      <c r="Y145" s="46">
        <f>$B$6-Y142</f>
        <v/>
      </c>
      <c r="Z145" s="46">
        <f>$B$6-Z142</f>
        <v/>
      </c>
      <c r="AA145" s="46">
        <f>$B$6-AA142</f>
        <v/>
      </c>
      <c r="AB145" s="46">
        <f>$B$6-AB142</f>
        <v/>
      </c>
      <c r="AC145" s="46">
        <f>$B$6-AC142</f>
        <v/>
      </c>
      <c r="AD145" s="46">
        <f>$B$6-AD142</f>
        <v/>
      </c>
      <c r="AE145" s="46">
        <f>$B$6-AE142</f>
        <v/>
      </c>
      <c r="AF145" s="46">
        <f>$B$6-AF142</f>
        <v/>
      </c>
      <c r="AG145" s="46">
        <f>$B$6-AG142</f>
        <v/>
      </c>
      <c r="AH145" s="46">
        <f>$B$6-AH142</f>
        <v/>
      </c>
      <c r="AI145" s="46">
        <f>$B$6-AI142</f>
        <v/>
      </c>
      <c r="AJ145" s="46">
        <f>$B$6-AJ142</f>
        <v/>
      </c>
      <c r="AK145" s="46">
        <f>$B$6-AK142</f>
        <v/>
      </c>
      <c r="AL145" s="46">
        <f>$B$6-AL142</f>
        <v/>
      </c>
      <c r="AM145" s="46">
        <f>$B$6-AM142</f>
        <v/>
      </c>
      <c r="AN145" s="46">
        <f>$B$6-AN142</f>
        <v/>
      </c>
      <c r="AO145" s="46">
        <f>$B$6-AO142</f>
        <v/>
      </c>
      <c r="AP145" s="46">
        <f>$B$6-AP142</f>
        <v/>
      </c>
      <c r="AQ145" s="46">
        <f>$B$6-AQ142</f>
        <v/>
      </c>
      <c r="AR145" s="46">
        <f>$B$6-AR142</f>
        <v/>
      </c>
      <c r="AS145" s="46">
        <f>$B$6-AS142</f>
        <v/>
      </c>
      <c r="AT145" s="46">
        <f>$B$6-AT142</f>
        <v/>
      </c>
      <c r="AU145" s="46">
        <f>$B$6-AU142</f>
        <v/>
      </c>
      <c r="AV145" s="46">
        <f>$B$6-AV142</f>
        <v/>
      </c>
      <c r="AW145" s="46">
        <f>$B$6-AW142</f>
        <v/>
      </c>
      <c r="AX145" s="46">
        <f>$B$6-AX142</f>
        <v/>
      </c>
      <c r="AY145" s="46">
        <f>$B$6-AY142</f>
        <v/>
      </c>
      <c r="AZ145" s="46">
        <f>$B$6-AZ142</f>
        <v/>
      </c>
      <c r="BA145" s="46">
        <f>$B$6-BA142</f>
        <v/>
      </c>
      <c r="BB145" s="46">
        <f>$B$6-BB142</f>
        <v/>
      </c>
      <c r="BC145" s="46">
        <f>$B$6-BC142</f>
        <v/>
      </c>
      <c r="BD145" s="46">
        <f>$B$6-BD142</f>
        <v/>
      </c>
    </row>
    <row r="146">
      <c r="A146" s="2" t="inlineStr">
        <is>
          <t xml:space="preserve">   Acres standing that week, summed across every planting the solver chose.</t>
        </is>
      </c>
    </row>
    <row r="148">
      <c r="A148" s="3" t="inlineStr">
        <is>
          <t>A — WHO IS ON, WEEK BY WEEK</t>
        </is>
      </c>
    </row>
    <row r="149">
      <c r="A149" s="2" t="inlineStr">
        <is>
          <t xml:space="preserve">   Committed staff PLUS whatever the solver decided to hire, at that role's own hours and window. New heads count for less: they are multiplied by the new-hire productivity %.</t>
        </is>
      </c>
    </row>
    <row r="150">
      <c r="A150" s="32" t="inlineStr">
        <is>
          <t>Week</t>
        </is>
      </c>
      <c r="B150" s="33" t="inlineStr">
        <is>
          <t>hours</t>
        </is>
      </c>
      <c r="E150" s="34" t="n">
        <v>1</v>
      </c>
      <c r="F150" s="34" t="n">
        <v>2</v>
      </c>
      <c r="G150" s="34" t="n">
        <v>3</v>
      </c>
      <c r="H150" s="34" t="n">
        <v>4</v>
      </c>
      <c r="I150" s="34" t="n">
        <v>5</v>
      </c>
      <c r="J150" s="34" t="n">
        <v>6</v>
      </c>
      <c r="K150" s="34" t="n">
        <v>7</v>
      </c>
      <c r="L150" s="34" t="n">
        <v>8</v>
      </c>
      <c r="M150" s="34" t="n">
        <v>9</v>
      </c>
      <c r="N150" s="34" t="n">
        <v>10</v>
      </c>
      <c r="O150" s="34" t="n">
        <v>11</v>
      </c>
      <c r="P150" s="34" t="n">
        <v>12</v>
      </c>
      <c r="Q150" s="34" t="n">
        <v>13</v>
      </c>
      <c r="R150" s="34" t="n">
        <v>14</v>
      </c>
      <c r="S150" s="34" t="n">
        <v>15</v>
      </c>
      <c r="T150" s="34" t="n">
        <v>16</v>
      </c>
      <c r="U150" s="34" t="n">
        <v>17</v>
      </c>
      <c r="V150" s="34" t="n">
        <v>18</v>
      </c>
      <c r="W150" s="34" t="n">
        <v>19</v>
      </c>
      <c r="X150" s="34" t="n">
        <v>20</v>
      </c>
      <c r="Y150" s="34" t="n">
        <v>21</v>
      </c>
      <c r="Z150" s="34" t="n">
        <v>22</v>
      </c>
      <c r="AA150" s="34" t="n">
        <v>23</v>
      </c>
      <c r="AB150" s="34" t="n">
        <v>24</v>
      </c>
      <c r="AC150" s="34" t="n">
        <v>25</v>
      </c>
      <c r="AD150" s="34" t="n">
        <v>26</v>
      </c>
      <c r="AE150" s="34" t="n">
        <v>27</v>
      </c>
      <c r="AF150" s="34" t="n">
        <v>28</v>
      </c>
      <c r="AG150" s="34" t="n">
        <v>29</v>
      </c>
      <c r="AH150" s="34" t="n">
        <v>30</v>
      </c>
      <c r="AI150" s="34" t="n">
        <v>31</v>
      </c>
      <c r="AJ150" s="34" t="n">
        <v>32</v>
      </c>
      <c r="AK150" s="34" t="n">
        <v>33</v>
      </c>
      <c r="AL150" s="34" t="n">
        <v>34</v>
      </c>
      <c r="AM150" s="34" t="n">
        <v>35</v>
      </c>
      <c r="AN150" s="34" t="n">
        <v>36</v>
      </c>
      <c r="AO150" s="34" t="n">
        <v>37</v>
      </c>
      <c r="AP150" s="34" t="n">
        <v>38</v>
      </c>
      <c r="AQ150" s="34" t="n">
        <v>39</v>
      </c>
      <c r="AR150" s="34" t="n">
        <v>40</v>
      </c>
      <c r="AS150" s="34" t="n">
        <v>41</v>
      </c>
      <c r="AT150" s="34" t="n">
        <v>42</v>
      </c>
      <c r="AU150" s="34" t="n">
        <v>43</v>
      </c>
      <c r="AV150" s="34" t="n">
        <v>44</v>
      </c>
      <c r="AW150" s="34" t="n">
        <v>45</v>
      </c>
      <c r="AX150" s="34" t="n">
        <v>46</v>
      </c>
      <c r="AY150" s="34" t="n">
        <v>47</v>
      </c>
      <c r="AZ150" s="34" t="n">
        <v>48</v>
      </c>
      <c r="BA150" s="34" t="n">
        <v>49</v>
      </c>
      <c r="BB150" s="34" t="n">
        <v>50</v>
      </c>
      <c r="BC150" s="34" t="n">
        <v>51</v>
      </c>
      <c r="BD150" s="34" t="n">
        <v>52</v>
      </c>
    </row>
    <row r="151">
      <c r="A151" s="28" t="inlineStr">
        <is>
          <t xml:space="preserve">   Farm Manager</t>
        </is>
      </c>
      <c r="B151" s="2" t="inlineStr">
        <is>
          <t>hrs  (salaried)</t>
        </is>
      </c>
      <c r="E151" s="36">
        <f>IF(AND(1&gt;=$G$28,1&lt;=$H$28),($B$28+IF($I$28="Y",$K$28,0)*$B$41/100)*$E$28*$F$28/100,0)</f>
        <v/>
      </c>
      <c r="F151" s="36">
        <f>IF(AND(2&gt;=$G$28,2&lt;=$H$28),($B$28+IF($I$28="Y",$K$28,0)*$B$41/100)*$E$28*$F$28/100,0)</f>
        <v/>
      </c>
      <c r="G151" s="36">
        <f>IF(AND(3&gt;=$G$28,3&lt;=$H$28),($B$28+IF($I$28="Y",$K$28,0)*$B$41/100)*$E$28*$F$28/100,0)</f>
        <v/>
      </c>
      <c r="H151" s="36">
        <f>IF(AND(4&gt;=$G$28,4&lt;=$H$28),($B$28+IF($I$28="Y",$K$28,0)*$B$41/100)*$E$28*$F$28/100,0)</f>
        <v/>
      </c>
      <c r="I151" s="36">
        <f>IF(AND(5&gt;=$G$28,5&lt;=$H$28),($B$28+IF($I$28="Y",$K$28,0)*$B$41/100)*$E$28*$F$28/100,0)</f>
        <v/>
      </c>
      <c r="J151" s="36">
        <f>IF(AND(6&gt;=$G$28,6&lt;=$H$28),($B$28+IF($I$28="Y",$K$28,0)*$B$41/100)*$E$28*$F$28/100,0)</f>
        <v/>
      </c>
      <c r="K151" s="36">
        <f>IF(AND(7&gt;=$G$28,7&lt;=$H$28),($B$28+IF($I$28="Y",$K$28,0)*$B$41/100)*$E$28*$F$28/100,0)</f>
        <v/>
      </c>
      <c r="L151" s="36">
        <f>IF(AND(8&gt;=$G$28,8&lt;=$H$28),($B$28+IF($I$28="Y",$K$28,0)*$B$41/100)*$E$28*$F$28/100,0)</f>
        <v/>
      </c>
      <c r="M151" s="36">
        <f>IF(AND(9&gt;=$G$28,9&lt;=$H$28),($B$28+IF($I$28="Y",$K$28,0)*$B$41/100)*$E$28*$F$28/100,0)</f>
        <v/>
      </c>
      <c r="N151" s="36">
        <f>IF(AND(10&gt;=$G$28,10&lt;=$H$28),($B$28+IF($I$28="Y",$K$28,0)*$B$41/100)*$E$28*$F$28/100,0)</f>
        <v/>
      </c>
      <c r="O151" s="36">
        <f>IF(AND(11&gt;=$G$28,11&lt;=$H$28),($B$28+IF($I$28="Y",$K$28,0)*$B$41/100)*$E$28*$F$28/100,0)</f>
        <v/>
      </c>
      <c r="P151" s="36">
        <f>IF(AND(12&gt;=$G$28,12&lt;=$H$28),($B$28+IF($I$28="Y",$K$28,0)*$B$41/100)*$E$28*$F$28/100,0)</f>
        <v/>
      </c>
      <c r="Q151" s="36">
        <f>IF(AND(13&gt;=$G$28,13&lt;=$H$28),($B$28+IF($I$28="Y",$K$28,0)*$B$41/100)*$E$28*$F$28/100,0)</f>
        <v/>
      </c>
      <c r="R151" s="36">
        <f>IF(AND(14&gt;=$G$28,14&lt;=$H$28),($B$28+IF($I$28="Y",$K$28,0)*$B$41/100)*$E$28*$F$28/100,0)</f>
        <v/>
      </c>
      <c r="S151" s="36">
        <f>IF(AND(15&gt;=$G$28,15&lt;=$H$28),($B$28+IF($I$28="Y",$K$28,0)*$B$41/100)*$E$28*$F$28/100,0)</f>
        <v/>
      </c>
      <c r="T151" s="36">
        <f>IF(AND(16&gt;=$G$28,16&lt;=$H$28),($B$28+IF($I$28="Y",$K$28,0)*$B$41/100)*$E$28*$F$28/100,0)</f>
        <v/>
      </c>
      <c r="U151" s="36">
        <f>IF(AND(17&gt;=$G$28,17&lt;=$H$28),($B$28+IF($I$28="Y",$K$28,0)*$B$41/100)*$E$28*$F$28/100,0)</f>
        <v/>
      </c>
      <c r="V151" s="36">
        <f>IF(AND(18&gt;=$G$28,18&lt;=$H$28),($B$28+IF($I$28="Y",$K$28,0)*$B$41/100)*$E$28*$F$28/100,0)</f>
        <v/>
      </c>
      <c r="W151" s="36">
        <f>IF(AND(19&gt;=$G$28,19&lt;=$H$28),($B$28+IF($I$28="Y",$K$28,0)*$B$41/100)*$E$28*$F$28/100,0)</f>
        <v/>
      </c>
      <c r="X151" s="36">
        <f>IF(AND(20&gt;=$G$28,20&lt;=$H$28),($B$28+IF($I$28="Y",$K$28,0)*$B$41/100)*$E$28*$F$28/100,0)</f>
        <v/>
      </c>
      <c r="Y151" s="36">
        <f>IF(AND(21&gt;=$G$28,21&lt;=$H$28),($B$28+IF($I$28="Y",$K$28,0)*$B$41/100)*$E$28*$F$28/100,0)</f>
        <v/>
      </c>
      <c r="Z151" s="36">
        <f>IF(AND(22&gt;=$G$28,22&lt;=$H$28),($B$28+IF($I$28="Y",$K$28,0)*$B$41/100)*$E$28*$F$28/100,0)</f>
        <v/>
      </c>
      <c r="AA151" s="36">
        <f>IF(AND(23&gt;=$G$28,23&lt;=$H$28),($B$28+IF($I$28="Y",$K$28,0)*$B$41/100)*$E$28*$F$28/100,0)</f>
        <v/>
      </c>
      <c r="AB151" s="36">
        <f>IF(AND(24&gt;=$G$28,24&lt;=$H$28),($B$28+IF($I$28="Y",$K$28,0)*$B$41/100)*$E$28*$F$28/100,0)</f>
        <v/>
      </c>
      <c r="AC151" s="36">
        <f>IF(AND(25&gt;=$G$28,25&lt;=$H$28),($B$28+IF($I$28="Y",$K$28,0)*$B$41/100)*$E$28*$F$28/100,0)</f>
        <v/>
      </c>
      <c r="AD151" s="36">
        <f>IF(AND(26&gt;=$G$28,26&lt;=$H$28),($B$28+IF($I$28="Y",$K$28,0)*$B$41/100)*$E$28*$F$28/100,0)</f>
        <v/>
      </c>
      <c r="AE151" s="36">
        <f>IF(AND(27&gt;=$G$28,27&lt;=$H$28),($B$28+IF($I$28="Y",$K$28,0)*$B$41/100)*$E$28*$F$28/100,0)</f>
        <v/>
      </c>
      <c r="AF151" s="36">
        <f>IF(AND(28&gt;=$G$28,28&lt;=$H$28),($B$28+IF($I$28="Y",$K$28,0)*$B$41/100)*$E$28*$F$28/100,0)</f>
        <v/>
      </c>
      <c r="AG151" s="36">
        <f>IF(AND(29&gt;=$G$28,29&lt;=$H$28),($B$28+IF($I$28="Y",$K$28,0)*$B$41/100)*$E$28*$F$28/100,0)</f>
        <v/>
      </c>
      <c r="AH151" s="36">
        <f>IF(AND(30&gt;=$G$28,30&lt;=$H$28),($B$28+IF($I$28="Y",$K$28,0)*$B$41/100)*$E$28*$F$28/100,0)</f>
        <v/>
      </c>
      <c r="AI151" s="36">
        <f>IF(AND(31&gt;=$G$28,31&lt;=$H$28),($B$28+IF($I$28="Y",$K$28,0)*$B$41/100)*$E$28*$F$28/100,0)</f>
        <v/>
      </c>
      <c r="AJ151" s="36">
        <f>IF(AND(32&gt;=$G$28,32&lt;=$H$28),($B$28+IF($I$28="Y",$K$28,0)*$B$41/100)*$E$28*$F$28/100,0)</f>
        <v/>
      </c>
      <c r="AK151" s="36">
        <f>IF(AND(33&gt;=$G$28,33&lt;=$H$28),($B$28+IF($I$28="Y",$K$28,0)*$B$41/100)*$E$28*$F$28/100,0)</f>
        <v/>
      </c>
      <c r="AL151" s="36">
        <f>IF(AND(34&gt;=$G$28,34&lt;=$H$28),($B$28+IF($I$28="Y",$K$28,0)*$B$41/100)*$E$28*$F$28/100,0)</f>
        <v/>
      </c>
      <c r="AM151" s="36">
        <f>IF(AND(35&gt;=$G$28,35&lt;=$H$28),($B$28+IF($I$28="Y",$K$28,0)*$B$41/100)*$E$28*$F$28/100,0)</f>
        <v/>
      </c>
      <c r="AN151" s="36">
        <f>IF(AND(36&gt;=$G$28,36&lt;=$H$28),($B$28+IF($I$28="Y",$K$28,0)*$B$41/100)*$E$28*$F$28/100,0)</f>
        <v/>
      </c>
      <c r="AO151" s="36">
        <f>IF(AND(37&gt;=$G$28,37&lt;=$H$28),($B$28+IF($I$28="Y",$K$28,0)*$B$41/100)*$E$28*$F$28/100,0)</f>
        <v/>
      </c>
      <c r="AP151" s="36">
        <f>IF(AND(38&gt;=$G$28,38&lt;=$H$28),($B$28+IF($I$28="Y",$K$28,0)*$B$41/100)*$E$28*$F$28/100,0)</f>
        <v/>
      </c>
      <c r="AQ151" s="36">
        <f>IF(AND(39&gt;=$G$28,39&lt;=$H$28),($B$28+IF($I$28="Y",$K$28,0)*$B$41/100)*$E$28*$F$28/100,0)</f>
        <v/>
      </c>
      <c r="AR151" s="36">
        <f>IF(AND(40&gt;=$G$28,40&lt;=$H$28),($B$28+IF($I$28="Y",$K$28,0)*$B$41/100)*$E$28*$F$28/100,0)</f>
        <v/>
      </c>
      <c r="AS151" s="36">
        <f>IF(AND(41&gt;=$G$28,41&lt;=$H$28),($B$28+IF($I$28="Y",$K$28,0)*$B$41/100)*$E$28*$F$28/100,0)</f>
        <v/>
      </c>
      <c r="AT151" s="36">
        <f>IF(AND(42&gt;=$G$28,42&lt;=$H$28),($B$28+IF($I$28="Y",$K$28,0)*$B$41/100)*$E$28*$F$28/100,0)</f>
        <v/>
      </c>
      <c r="AU151" s="36">
        <f>IF(AND(43&gt;=$G$28,43&lt;=$H$28),($B$28+IF($I$28="Y",$K$28,0)*$B$41/100)*$E$28*$F$28/100,0)</f>
        <v/>
      </c>
      <c r="AV151" s="36">
        <f>IF(AND(44&gt;=$G$28,44&lt;=$H$28),($B$28+IF($I$28="Y",$K$28,0)*$B$41/100)*$E$28*$F$28/100,0)</f>
        <v/>
      </c>
      <c r="AW151" s="36">
        <f>IF(AND(45&gt;=$G$28,45&lt;=$H$28),($B$28+IF($I$28="Y",$K$28,0)*$B$41/100)*$E$28*$F$28/100,0)</f>
        <v/>
      </c>
      <c r="AX151" s="36">
        <f>IF(AND(46&gt;=$G$28,46&lt;=$H$28),($B$28+IF($I$28="Y",$K$28,0)*$B$41/100)*$E$28*$F$28/100,0)</f>
        <v/>
      </c>
      <c r="AY151" s="36">
        <f>IF(AND(47&gt;=$G$28,47&lt;=$H$28),($B$28+IF($I$28="Y",$K$28,0)*$B$41/100)*$E$28*$F$28/100,0)</f>
        <v/>
      </c>
      <c r="AZ151" s="36">
        <f>IF(AND(48&gt;=$G$28,48&lt;=$H$28),($B$28+IF($I$28="Y",$K$28,0)*$B$41/100)*$E$28*$F$28/100,0)</f>
        <v/>
      </c>
      <c r="BA151" s="36">
        <f>IF(AND(49&gt;=$G$28,49&lt;=$H$28),($B$28+IF($I$28="Y",$K$28,0)*$B$41/100)*$E$28*$F$28/100,0)</f>
        <v/>
      </c>
      <c r="BB151" s="36">
        <f>IF(AND(50&gt;=$G$28,50&lt;=$H$28),($B$28+IF($I$28="Y",$K$28,0)*$B$41/100)*$E$28*$F$28/100,0)</f>
        <v/>
      </c>
      <c r="BC151" s="36">
        <f>IF(AND(51&gt;=$G$28,51&lt;=$H$28),($B$28+IF($I$28="Y",$K$28,0)*$B$41/100)*$E$28*$F$28/100,0)</f>
        <v/>
      </c>
      <c r="BD151" s="36">
        <f>IF(AND(52&gt;=$G$28,52&lt;=$H$28),($B$28+IF($I$28="Y",$K$28,0)*$B$41/100)*$E$28*$F$28/100,0)</f>
        <v/>
      </c>
    </row>
    <row r="152">
      <c r="A152" s="28" t="inlineStr">
        <is>
          <t xml:space="preserve">   Equipment Operator</t>
        </is>
      </c>
      <c r="B152" s="2" t="inlineStr">
        <is>
          <t>hrs</t>
        </is>
      </c>
      <c r="E152" s="36">
        <f>IF(AND(1&gt;=$G$29,1&lt;=$H$29),($B$29+IF($I$29="Y",$K$29,0)*$B$41/100)*$E$29*$F$29/100,0)</f>
        <v/>
      </c>
      <c r="F152" s="36">
        <f>IF(AND(2&gt;=$G$29,2&lt;=$H$29),($B$29+IF($I$29="Y",$K$29,0)*$B$41/100)*$E$29*$F$29/100,0)</f>
        <v/>
      </c>
      <c r="G152" s="36">
        <f>IF(AND(3&gt;=$G$29,3&lt;=$H$29),($B$29+IF($I$29="Y",$K$29,0)*$B$41/100)*$E$29*$F$29/100,0)</f>
        <v/>
      </c>
      <c r="H152" s="36">
        <f>IF(AND(4&gt;=$G$29,4&lt;=$H$29),($B$29+IF($I$29="Y",$K$29,0)*$B$41/100)*$E$29*$F$29/100,0)</f>
        <v/>
      </c>
      <c r="I152" s="36">
        <f>IF(AND(5&gt;=$G$29,5&lt;=$H$29),($B$29+IF($I$29="Y",$K$29,0)*$B$41/100)*$E$29*$F$29/100,0)</f>
        <v/>
      </c>
      <c r="J152" s="36">
        <f>IF(AND(6&gt;=$G$29,6&lt;=$H$29),($B$29+IF($I$29="Y",$K$29,0)*$B$41/100)*$E$29*$F$29/100,0)</f>
        <v/>
      </c>
      <c r="K152" s="36">
        <f>IF(AND(7&gt;=$G$29,7&lt;=$H$29),($B$29+IF($I$29="Y",$K$29,0)*$B$41/100)*$E$29*$F$29/100,0)</f>
        <v/>
      </c>
      <c r="L152" s="36">
        <f>IF(AND(8&gt;=$G$29,8&lt;=$H$29),($B$29+IF($I$29="Y",$K$29,0)*$B$41/100)*$E$29*$F$29/100,0)</f>
        <v/>
      </c>
      <c r="M152" s="36">
        <f>IF(AND(9&gt;=$G$29,9&lt;=$H$29),($B$29+IF($I$29="Y",$K$29,0)*$B$41/100)*$E$29*$F$29/100,0)</f>
        <v/>
      </c>
      <c r="N152" s="36">
        <f>IF(AND(10&gt;=$G$29,10&lt;=$H$29),($B$29+IF($I$29="Y",$K$29,0)*$B$41/100)*$E$29*$F$29/100,0)</f>
        <v/>
      </c>
      <c r="O152" s="36">
        <f>IF(AND(11&gt;=$G$29,11&lt;=$H$29),($B$29+IF($I$29="Y",$K$29,0)*$B$41/100)*$E$29*$F$29/100,0)</f>
        <v/>
      </c>
      <c r="P152" s="36">
        <f>IF(AND(12&gt;=$G$29,12&lt;=$H$29),($B$29+IF($I$29="Y",$K$29,0)*$B$41/100)*$E$29*$F$29/100,0)</f>
        <v/>
      </c>
      <c r="Q152" s="36">
        <f>IF(AND(13&gt;=$G$29,13&lt;=$H$29),($B$29+IF($I$29="Y",$K$29,0)*$B$41/100)*$E$29*$F$29/100,0)</f>
        <v/>
      </c>
      <c r="R152" s="36">
        <f>IF(AND(14&gt;=$G$29,14&lt;=$H$29),($B$29+IF($I$29="Y",$K$29,0)*$B$41/100)*$E$29*$F$29/100,0)</f>
        <v/>
      </c>
      <c r="S152" s="36">
        <f>IF(AND(15&gt;=$G$29,15&lt;=$H$29),($B$29+IF($I$29="Y",$K$29,0)*$B$41/100)*$E$29*$F$29/100,0)</f>
        <v/>
      </c>
      <c r="T152" s="36">
        <f>IF(AND(16&gt;=$G$29,16&lt;=$H$29),($B$29+IF($I$29="Y",$K$29,0)*$B$41/100)*$E$29*$F$29/100,0)</f>
        <v/>
      </c>
      <c r="U152" s="36">
        <f>IF(AND(17&gt;=$G$29,17&lt;=$H$29),($B$29+IF($I$29="Y",$K$29,0)*$B$41/100)*$E$29*$F$29/100,0)</f>
        <v/>
      </c>
      <c r="V152" s="36">
        <f>IF(AND(18&gt;=$G$29,18&lt;=$H$29),($B$29+IF($I$29="Y",$K$29,0)*$B$41/100)*$E$29*$F$29/100,0)</f>
        <v/>
      </c>
      <c r="W152" s="36">
        <f>IF(AND(19&gt;=$G$29,19&lt;=$H$29),($B$29+IF($I$29="Y",$K$29,0)*$B$41/100)*$E$29*$F$29/100,0)</f>
        <v/>
      </c>
      <c r="X152" s="36">
        <f>IF(AND(20&gt;=$G$29,20&lt;=$H$29),($B$29+IF($I$29="Y",$K$29,0)*$B$41/100)*$E$29*$F$29/100,0)</f>
        <v/>
      </c>
      <c r="Y152" s="36">
        <f>IF(AND(21&gt;=$G$29,21&lt;=$H$29),($B$29+IF($I$29="Y",$K$29,0)*$B$41/100)*$E$29*$F$29/100,0)</f>
        <v/>
      </c>
      <c r="Z152" s="36">
        <f>IF(AND(22&gt;=$G$29,22&lt;=$H$29),($B$29+IF($I$29="Y",$K$29,0)*$B$41/100)*$E$29*$F$29/100,0)</f>
        <v/>
      </c>
      <c r="AA152" s="36">
        <f>IF(AND(23&gt;=$G$29,23&lt;=$H$29),($B$29+IF($I$29="Y",$K$29,0)*$B$41/100)*$E$29*$F$29/100,0)</f>
        <v/>
      </c>
      <c r="AB152" s="36">
        <f>IF(AND(24&gt;=$G$29,24&lt;=$H$29),($B$29+IF($I$29="Y",$K$29,0)*$B$41/100)*$E$29*$F$29/100,0)</f>
        <v/>
      </c>
      <c r="AC152" s="36">
        <f>IF(AND(25&gt;=$G$29,25&lt;=$H$29),($B$29+IF($I$29="Y",$K$29,0)*$B$41/100)*$E$29*$F$29/100,0)</f>
        <v/>
      </c>
      <c r="AD152" s="36">
        <f>IF(AND(26&gt;=$G$29,26&lt;=$H$29),($B$29+IF($I$29="Y",$K$29,0)*$B$41/100)*$E$29*$F$29/100,0)</f>
        <v/>
      </c>
      <c r="AE152" s="36">
        <f>IF(AND(27&gt;=$G$29,27&lt;=$H$29),($B$29+IF($I$29="Y",$K$29,0)*$B$41/100)*$E$29*$F$29/100,0)</f>
        <v/>
      </c>
      <c r="AF152" s="36">
        <f>IF(AND(28&gt;=$G$29,28&lt;=$H$29),($B$29+IF($I$29="Y",$K$29,0)*$B$41/100)*$E$29*$F$29/100,0)</f>
        <v/>
      </c>
      <c r="AG152" s="36">
        <f>IF(AND(29&gt;=$G$29,29&lt;=$H$29),($B$29+IF($I$29="Y",$K$29,0)*$B$41/100)*$E$29*$F$29/100,0)</f>
        <v/>
      </c>
      <c r="AH152" s="36">
        <f>IF(AND(30&gt;=$G$29,30&lt;=$H$29),($B$29+IF($I$29="Y",$K$29,0)*$B$41/100)*$E$29*$F$29/100,0)</f>
        <v/>
      </c>
      <c r="AI152" s="36">
        <f>IF(AND(31&gt;=$G$29,31&lt;=$H$29),($B$29+IF($I$29="Y",$K$29,0)*$B$41/100)*$E$29*$F$29/100,0)</f>
        <v/>
      </c>
      <c r="AJ152" s="36">
        <f>IF(AND(32&gt;=$G$29,32&lt;=$H$29),($B$29+IF($I$29="Y",$K$29,0)*$B$41/100)*$E$29*$F$29/100,0)</f>
        <v/>
      </c>
      <c r="AK152" s="36">
        <f>IF(AND(33&gt;=$G$29,33&lt;=$H$29),($B$29+IF($I$29="Y",$K$29,0)*$B$41/100)*$E$29*$F$29/100,0)</f>
        <v/>
      </c>
      <c r="AL152" s="36">
        <f>IF(AND(34&gt;=$G$29,34&lt;=$H$29),($B$29+IF($I$29="Y",$K$29,0)*$B$41/100)*$E$29*$F$29/100,0)</f>
        <v/>
      </c>
      <c r="AM152" s="36">
        <f>IF(AND(35&gt;=$G$29,35&lt;=$H$29),($B$29+IF($I$29="Y",$K$29,0)*$B$41/100)*$E$29*$F$29/100,0)</f>
        <v/>
      </c>
      <c r="AN152" s="36">
        <f>IF(AND(36&gt;=$G$29,36&lt;=$H$29),($B$29+IF($I$29="Y",$K$29,0)*$B$41/100)*$E$29*$F$29/100,0)</f>
        <v/>
      </c>
      <c r="AO152" s="36">
        <f>IF(AND(37&gt;=$G$29,37&lt;=$H$29),($B$29+IF($I$29="Y",$K$29,0)*$B$41/100)*$E$29*$F$29/100,0)</f>
        <v/>
      </c>
      <c r="AP152" s="36">
        <f>IF(AND(38&gt;=$G$29,38&lt;=$H$29),($B$29+IF($I$29="Y",$K$29,0)*$B$41/100)*$E$29*$F$29/100,0)</f>
        <v/>
      </c>
      <c r="AQ152" s="36">
        <f>IF(AND(39&gt;=$G$29,39&lt;=$H$29),($B$29+IF($I$29="Y",$K$29,0)*$B$41/100)*$E$29*$F$29/100,0)</f>
        <v/>
      </c>
      <c r="AR152" s="36">
        <f>IF(AND(40&gt;=$G$29,40&lt;=$H$29),($B$29+IF($I$29="Y",$K$29,0)*$B$41/100)*$E$29*$F$29/100,0)</f>
        <v/>
      </c>
      <c r="AS152" s="36">
        <f>IF(AND(41&gt;=$G$29,41&lt;=$H$29),($B$29+IF($I$29="Y",$K$29,0)*$B$41/100)*$E$29*$F$29/100,0)</f>
        <v/>
      </c>
      <c r="AT152" s="36">
        <f>IF(AND(42&gt;=$G$29,42&lt;=$H$29),($B$29+IF($I$29="Y",$K$29,0)*$B$41/100)*$E$29*$F$29/100,0)</f>
        <v/>
      </c>
      <c r="AU152" s="36">
        <f>IF(AND(43&gt;=$G$29,43&lt;=$H$29),($B$29+IF($I$29="Y",$K$29,0)*$B$41/100)*$E$29*$F$29/100,0)</f>
        <v/>
      </c>
      <c r="AV152" s="36">
        <f>IF(AND(44&gt;=$G$29,44&lt;=$H$29),($B$29+IF($I$29="Y",$K$29,0)*$B$41/100)*$E$29*$F$29/100,0)</f>
        <v/>
      </c>
      <c r="AW152" s="36">
        <f>IF(AND(45&gt;=$G$29,45&lt;=$H$29),($B$29+IF($I$29="Y",$K$29,0)*$B$41/100)*$E$29*$F$29/100,0)</f>
        <v/>
      </c>
      <c r="AX152" s="36">
        <f>IF(AND(46&gt;=$G$29,46&lt;=$H$29),($B$29+IF($I$29="Y",$K$29,0)*$B$41/100)*$E$29*$F$29/100,0)</f>
        <v/>
      </c>
      <c r="AY152" s="36">
        <f>IF(AND(47&gt;=$G$29,47&lt;=$H$29),($B$29+IF($I$29="Y",$K$29,0)*$B$41/100)*$E$29*$F$29/100,0)</f>
        <v/>
      </c>
      <c r="AZ152" s="36">
        <f>IF(AND(48&gt;=$G$29,48&lt;=$H$29),($B$29+IF($I$29="Y",$K$29,0)*$B$41/100)*$E$29*$F$29/100,0)</f>
        <v/>
      </c>
      <c r="BA152" s="36">
        <f>IF(AND(49&gt;=$G$29,49&lt;=$H$29),($B$29+IF($I$29="Y",$K$29,0)*$B$41/100)*$E$29*$F$29/100,0)</f>
        <v/>
      </c>
      <c r="BB152" s="36">
        <f>IF(AND(50&gt;=$G$29,50&lt;=$H$29),($B$29+IF($I$29="Y",$K$29,0)*$B$41/100)*$E$29*$F$29/100,0)</f>
        <v/>
      </c>
      <c r="BC152" s="36">
        <f>IF(AND(51&gt;=$G$29,51&lt;=$H$29),($B$29+IF($I$29="Y",$K$29,0)*$B$41/100)*$E$29*$F$29/100,0)</f>
        <v/>
      </c>
      <c r="BD152" s="36">
        <f>IF(AND(52&gt;=$G$29,52&lt;=$H$29),($B$29+IF($I$29="Y",$K$29,0)*$B$41/100)*$E$29*$F$29/100,0)</f>
        <v/>
      </c>
    </row>
    <row r="153">
      <c r="A153" s="28" t="inlineStr">
        <is>
          <t xml:space="preserve">   Seasonal Field Crew</t>
        </is>
      </c>
      <c r="B153" s="2" t="inlineStr">
        <is>
          <t>hrs</t>
        </is>
      </c>
      <c r="E153" s="36">
        <f>IF(AND(1&gt;=$G$30,1&lt;=$H$30),($B$30+IF($I$30="Y",$K$30,0)*$B$41/100)*$E$30*$F$30/100,0)</f>
        <v/>
      </c>
      <c r="F153" s="36">
        <f>IF(AND(2&gt;=$G$30,2&lt;=$H$30),($B$30+IF($I$30="Y",$K$30,0)*$B$41/100)*$E$30*$F$30/100,0)</f>
        <v/>
      </c>
      <c r="G153" s="36">
        <f>IF(AND(3&gt;=$G$30,3&lt;=$H$30),($B$30+IF($I$30="Y",$K$30,0)*$B$41/100)*$E$30*$F$30/100,0)</f>
        <v/>
      </c>
      <c r="H153" s="36">
        <f>IF(AND(4&gt;=$G$30,4&lt;=$H$30),($B$30+IF($I$30="Y",$K$30,0)*$B$41/100)*$E$30*$F$30/100,0)</f>
        <v/>
      </c>
      <c r="I153" s="36">
        <f>IF(AND(5&gt;=$G$30,5&lt;=$H$30),($B$30+IF($I$30="Y",$K$30,0)*$B$41/100)*$E$30*$F$30/100,0)</f>
        <v/>
      </c>
      <c r="J153" s="36">
        <f>IF(AND(6&gt;=$G$30,6&lt;=$H$30),($B$30+IF($I$30="Y",$K$30,0)*$B$41/100)*$E$30*$F$30/100,0)</f>
        <v/>
      </c>
      <c r="K153" s="36">
        <f>IF(AND(7&gt;=$G$30,7&lt;=$H$30),($B$30+IF($I$30="Y",$K$30,0)*$B$41/100)*$E$30*$F$30/100,0)</f>
        <v/>
      </c>
      <c r="L153" s="36">
        <f>IF(AND(8&gt;=$G$30,8&lt;=$H$30),($B$30+IF($I$30="Y",$K$30,0)*$B$41/100)*$E$30*$F$30/100,0)</f>
        <v/>
      </c>
      <c r="M153" s="36">
        <f>IF(AND(9&gt;=$G$30,9&lt;=$H$30),($B$30+IF($I$30="Y",$K$30,0)*$B$41/100)*$E$30*$F$30/100,0)</f>
        <v/>
      </c>
      <c r="N153" s="36">
        <f>IF(AND(10&gt;=$G$30,10&lt;=$H$30),($B$30+IF($I$30="Y",$K$30,0)*$B$41/100)*$E$30*$F$30/100,0)</f>
        <v/>
      </c>
      <c r="O153" s="36">
        <f>IF(AND(11&gt;=$G$30,11&lt;=$H$30),($B$30+IF($I$30="Y",$K$30,0)*$B$41/100)*$E$30*$F$30/100,0)</f>
        <v/>
      </c>
      <c r="P153" s="36">
        <f>IF(AND(12&gt;=$G$30,12&lt;=$H$30),($B$30+IF($I$30="Y",$K$30,0)*$B$41/100)*$E$30*$F$30/100,0)</f>
        <v/>
      </c>
      <c r="Q153" s="36">
        <f>IF(AND(13&gt;=$G$30,13&lt;=$H$30),($B$30+IF($I$30="Y",$K$30,0)*$B$41/100)*$E$30*$F$30/100,0)</f>
        <v/>
      </c>
      <c r="R153" s="36">
        <f>IF(AND(14&gt;=$G$30,14&lt;=$H$30),($B$30+IF($I$30="Y",$K$30,0)*$B$41/100)*$E$30*$F$30/100,0)</f>
        <v/>
      </c>
      <c r="S153" s="36">
        <f>IF(AND(15&gt;=$G$30,15&lt;=$H$30),($B$30+IF($I$30="Y",$K$30,0)*$B$41/100)*$E$30*$F$30/100,0)</f>
        <v/>
      </c>
      <c r="T153" s="36">
        <f>IF(AND(16&gt;=$G$30,16&lt;=$H$30),($B$30+IF($I$30="Y",$K$30,0)*$B$41/100)*$E$30*$F$30/100,0)</f>
        <v/>
      </c>
      <c r="U153" s="36">
        <f>IF(AND(17&gt;=$G$30,17&lt;=$H$30),($B$30+IF($I$30="Y",$K$30,0)*$B$41/100)*$E$30*$F$30/100,0)</f>
        <v/>
      </c>
      <c r="V153" s="36">
        <f>IF(AND(18&gt;=$G$30,18&lt;=$H$30),($B$30+IF($I$30="Y",$K$30,0)*$B$41/100)*$E$30*$F$30/100,0)</f>
        <v/>
      </c>
      <c r="W153" s="36">
        <f>IF(AND(19&gt;=$G$30,19&lt;=$H$30),($B$30+IF($I$30="Y",$K$30,0)*$B$41/100)*$E$30*$F$30/100,0)</f>
        <v/>
      </c>
      <c r="X153" s="36">
        <f>IF(AND(20&gt;=$G$30,20&lt;=$H$30),($B$30+IF($I$30="Y",$K$30,0)*$B$41/100)*$E$30*$F$30/100,0)</f>
        <v/>
      </c>
      <c r="Y153" s="36">
        <f>IF(AND(21&gt;=$G$30,21&lt;=$H$30),($B$30+IF($I$30="Y",$K$30,0)*$B$41/100)*$E$30*$F$30/100,0)</f>
        <v/>
      </c>
      <c r="Z153" s="36">
        <f>IF(AND(22&gt;=$G$30,22&lt;=$H$30),($B$30+IF($I$30="Y",$K$30,0)*$B$41/100)*$E$30*$F$30/100,0)</f>
        <v/>
      </c>
      <c r="AA153" s="36">
        <f>IF(AND(23&gt;=$G$30,23&lt;=$H$30),($B$30+IF($I$30="Y",$K$30,0)*$B$41/100)*$E$30*$F$30/100,0)</f>
        <v/>
      </c>
      <c r="AB153" s="36">
        <f>IF(AND(24&gt;=$G$30,24&lt;=$H$30),($B$30+IF($I$30="Y",$K$30,0)*$B$41/100)*$E$30*$F$30/100,0)</f>
        <v/>
      </c>
      <c r="AC153" s="36">
        <f>IF(AND(25&gt;=$G$30,25&lt;=$H$30),($B$30+IF($I$30="Y",$K$30,0)*$B$41/100)*$E$30*$F$30/100,0)</f>
        <v/>
      </c>
      <c r="AD153" s="36">
        <f>IF(AND(26&gt;=$G$30,26&lt;=$H$30),($B$30+IF($I$30="Y",$K$30,0)*$B$41/100)*$E$30*$F$30/100,0)</f>
        <v/>
      </c>
      <c r="AE153" s="36">
        <f>IF(AND(27&gt;=$G$30,27&lt;=$H$30),($B$30+IF($I$30="Y",$K$30,0)*$B$41/100)*$E$30*$F$30/100,0)</f>
        <v/>
      </c>
      <c r="AF153" s="36">
        <f>IF(AND(28&gt;=$G$30,28&lt;=$H$30),($B$30+IF($I$30="Y",$K$30,0)*$B$41/100)*$E$30*$F$30/100,0)</f>
        <v/>
      </c>
      <c r="AG153" s="36">
        <f>IF(AND(29&gt;=$G$30,29&lt;=$H$30),($B$30+IF($I$30="Y",$K$30,0)*$B$41/100)*$E$30*$F$30/100,0)</f>
        <v/>
      </c>
      <c r="AH153" s="36">
        <f>IF(AND(30&gt;=$G$30,30&lt;=$H$30),($B$30+IF($I$30="Y",$K$30,0)*$B$41/100)*$E$30*$F$30/100,0)</f>
        <v/>
      </c>
      <c r="AI153" s="36">
        <f>IF(AND(31&gt;=$G$30,31&lt;=$H$30),($B$30+IF($I$30="Y",$K$30,0)*$B$41/100)*$E$30*$F$30/100,0)</f>
        <v/>
      </c>
      <c r="AJ153" s="36">
        <f>IF(AND(32&gt;=$G$30,32&lt;=$H$30),($B$30+IF($I$30="Y",$K$30,0)*$B$41/100)*$E$30*$F$30/100,0)</f>
        <v/>
      </c>
      <c r="AK153" s="36">
        <f>IF(AND(33&gt;=$G$30,33&lt;=$H$30),($B$30+IF($I$30="Y",$K$30,0)*$B$41/100)*$E$30*$F$30/100,0)</f>
        <v/>
      </c>
      <c r="AL153" s="36">
        <f>IF(AND(34&gt;=$G$30,34&lt;=$H$30),($B$30+IF($I$30="Y",$K$30,0)*$B$41/100)*$E$30*$F$30/100,0)</f>
        <v/>
      </c>
      <c r="AM153" s="36">
        <f>IF(AND(35&gt;=$G$30,35&lt;=$H$30),($B$30+IF($I$30="Y",$K$30,0)*$B$41/100)*$E$30*$F$30/100,0)</f>
        <v/>
      </c>
      <c r="AN153" s="36">
        <f>IF(AND(36&gt;=$G$30,36&lt;=$H$30),($B$30+IF($I$30="Y",$K$30,0)*$B$41/100)*$E$30*$F$30/100,0)</f>
        <v/>
      </c>
      <c r="AO153" s="36">
        <f>IF(AND(37&gt;=$G$30,37&lt;=$H$30),($B$30+IF($I$30="Y",$K$30,0)*$B$41/100)*$E$30*$F$30/100,0)</f>
        <v/>
      </c>
      <c r="AP153" s="36">
        <f>IF(AND(38&gt;=$G$30,38&lt;=$H$30),($B$30+IF($I$30="Y",$K$30,0)*$B$41/100)*$E$30*$F$30/100,0)</f>
        <v/>
      </c>
      <c r="AQ153" s="36">
        <f>IF(AND(39&gt;=$G$30,39&lt;=$H$30),($B$30+IF($I$30="Y",$K$30,0)*$B$41/100)*$E$30*$F$30/100,0)</f>
        <v/>
      </c>
      <c r="AR153" s="36">
        <f>IF(AND(40&gt;=$G$30,40&lt;=$H$30),($B$30+IF($I$30="Y",$K$30,0)*$B$41/100)*$E$30*$F$30/100,0)</f>
        <v/>
      </c>
      <c r="AS153" s="36">
        <f>IF(AND(41&gt;=$G$30,41&lt;=$H$30),($B$30+IF($I$30="Y",$K$30,0)*$B$41/100)*$E$30*$F$30/100,0)</f>
        <v/>
      </c>
      <c r="AT153" s="36">
        <f>IF(AND(42&gt;=$G$30,42&lt;=$H$30),($B$30+IF($I$30="Y",$K$30,0)*$B$41/100)*$E$30*$F$30/100,0)</f>
        <v/>
      </c>
      <c r="AU153" s="36">
        <f>IF(AND(43&gt;=$G$30,43&lt;=$H$30),($B$30+IF($I$30="Y",$K$30,0)*$B$41/100)*$E$30*$F$30/100,0)</f>
        <v/>
      </c>
      <c r="AV153" s="36">
        <f>IF(AND(44&gt;=$G$30,44&lt;=$H$30),($B$30+IF($I$30="Y",$K$30,0)*$B$41/100)*$E$30*$F$30/100,0)</f>
        <v/>
      </c>
      <c r="AW153" s="36">
        <f>IF(AND(45&gt;=$G$30,45&lt;=$H$30),($B$30+IF($I$30="Y",$K$30,0)*$B$41/100)*$E$30*$F$30/100,0)</f>
        <v/>
      </c>
      <c r="AX153" s="36">
        <f>IF(AND(46&gt;=$G$30,46&lt;=$H$30),($B$30+IF($I$30="Y",$K$30,0)*$B$41/100)*$E$30*$F$30/100,0)</f>
        <v/>
      </c>
      <c r="AY153" s="36">
        <f>IF(AND(47&gt;=$G$30,47&lt;=$H$30),($B$30+IF($I$30="Y",$K$30,0)*$B$41/100)*$E$30*$F$30/100,0)</f>
        <v/>
      </c>
      <c r="AZ153" s="36">
        <f>IF(AND(48&gt;=$G$30,48&lt;=$H$30),($B$30+IF($I$30="Y",$K$30,0)*$B$41/100)*$E$30*$F$30/100,0)</f>
        <v/>
      </c>
      <c r="BA153" s="36">
        <f>IF(AND(49&gt;=$G$30,49&lt;=$H$30),($B$30+IF($I$30="Y",$K$30,0)*$B$41/100)*$E$30*$F$30/100,0)</f>
        <v/>
      </c>
      <c r="BB153" s="36">
        <f>IF(AND(50&gt;=$G$30,50&lt;=$H$30),($B$30+IF($I$30="Y",$K$30,0)*$B$41/100)*$E$30*$F$30/100,0)</f>
        <v/>
      </c>
      <c r="BC153" s="36">
        <f>IF(AND(51&gt;=$G$30,51&lt;=$H$30),($B$30+IF($I$30="Y",$K$30,0)*$B$41/100)*$E$30*$F$30/100,0)</f>
        <v/>
      </c>
      <c r="BD153" s="36">
        <f>IF(AND(52&gt;=$G$30,52&lt;=$H$30),($B$30+IF($I$30="Y",$K$30,0)*$B$41/100)*$E$30*$F$30/100,0)</f>
        <v/>
      </c>
    </row>
    <row r="154">
      <c r="A154" s="28" t="inlineStr">
        <is>
          <t xml:space="preserve">   Harvest Crew</t>
        </is>
      </c>
      <c r="B154" s="2" t="inlineStr">
        <is>
          <t>hrs</t>
        </is>
      </c>
      <c r="E154" s="36">
        <f>IF(AND(1&gt;=$G$31,1&lt;=$H$31),($B$31+IF($I$31="Y",$K$31,0)*$B$41/100)*$E$31*$F$31/100,0)</f>
        <v/>
      </c>
      <c r="F154" s="36">
        <f>IF(AND(2&gt;=$G$31,2&lt;=$H$31),($B$31+IF($I$31="Y",$K$31,0)*$B$41/100)*$E$31*$F$31/100,0)</f>
        <v/>
      </c>
      <c r="G154" s="36">
        <f>IF(AND(3&gt;=$G$31,3&lt;=$H$31),($B$31+IF($I$31="Y",$K$31,0)*$B$41/100)*$E$31*$F$31/100,0)</f>
        <v/>
      </c>
      <c r="H154" s="36">
        <f>IF(AND(4&gt;=$G$31,4&lt;=$H$31),($B$31+IF($I$31="Y",$K$31,0)*$B$41/100)*$E$31*$F$31/100,0)</f>
        <v/>
      </c>
      <c r="I154" s="36">
        <f>IF(AND(5&gt;=$G$31,5&lt;=$H$31),($B$31+IF($I$31="Y",$K$31,0)*$B$41/100)*$E$31*$F$31/100,0)</f>
        <v/>
      </c>
      <c r="J154" s="36">
        <f>IF(AND(6&gt;=$G$31,6&lt;=$H$31),($B$31+IF($I$31="Y",$K$31,0)*$B$41/100)*$E$31*$F$31/100,0)</f>
        <v/>
      </c>
      <c r="K154" s="36">
        <f>IF(AND(7&gt;=$G$31,7&lt;=$H$31),($B$31+IF($I$31="Y",$K$31,0)*$B$41/100)*$E$31*$F$31/100,0)</f>
        <v/>
      </c>
      <c r="L154" s="36">
        <f>IF(AND(8&gt;=$G$31,8&lt;=$H$31),($B$31+IF($I$31="Y",$K$31,0)*$B$41/100)*$E$31*$F$31/100,0)</f>
        <v/>
      </c>
      <c r="M154" s="36">
        <f>IF(AND(9&gt;=$G$31,9&lt;=$H$31),($B$31+IF($I$31="Y",$K$31,0)*$B$41/100)*$E$31*$F$31/100,0)</f>
        <v/>
      </c>
      <c r="N154" s="36">
        <f>IF(AND(10&gt;=$G$31,10&lt;=$H$31),($B$31+IF($I$31="Y",$K$31,0)*$B$41/100)*$E$31*$F$31/100,0)</f>
        <v/>
      </c>
      <c r="O154" s="36">
        <f>IF(AND(11&gt;=$G$31,11&lt;=$H$31),($B$31+IF($I$31="Y",$K$31,0)*$B$41/100)*$E$31*$F$31/100,0)</f>
        <v/>
      </c>
      <c r="P154" s="36">
        <f>IF(AND(12&gt;=$G$31,12&lt;=$H$31),($B$31+IF($I$31="Y",$K$31,0)*$B$41/100)*$E$31*$F$31/100,0)</f>
        <v/>
      </c>
      <c r="Q154" s="36">
        <f>IF(AND(13&gt;=$G$31,13&lt;=$H$31),($B$31+IF($I$31="Y",$K$31,0)*$B$41/100)*$E$31*$F$31/100,0)</f>
        <v/>
      </c>
      <c r="R154" s="36">
        <f>IF(AND(14&gt;=$G$31,14&lt;=$H$31),($B$31+IF($I$31="Y",$K$31,0)*$B$41/100)*$E$31*$F$31/100,0)</f>
        <v/>
      </c>
      <c r="S154" s="36">
        <f>IF(AND(15&gt;=$G$31,15&lt;=$H$31),($B$31+IF($I$31="Y",$K$31,0)*$B$41/100)*$E$31*$F$31/100,0)</f>
        <v/>
      </c>
      <c r="T154" s="36">
        <f>IF(AND(16&gt;=$G$31,16&lt;=$H$31),($B$31+IF($I$31="Y",$K$31,0)*$B$41/100)*$E$31*$F$31/100,0)</f>
        <v/>
      </c>
      <c r="U154" s="36">
        <f>IF(AND(17&gt;=$G$31,17&lt;=$H$31),($B$31+IF($I$31="Y",$K$31,0)*$B$41/100)*$E$31*$F$31/100,0)</f>
        <v/>
      </c>
      <c r="V154" s="36">
        <f>IF(AND(18&gt;=$G$31,18&lt;=$H$31),($B$31+IF($I$31="Y",$K$31,0)*$B$41/100)*$E$31*$F$31/100,0)</f>
        <v/>
      </c>
      <c r="W154" s="36">
        <f>IF(AND(19&gt;=$G$31,19&lt;=$H$31),($B$31+IF($I$31="Y",$K$31,0)*$B$41/100)*$E$31*$F$31/100,0)</f>
        <v/>
      </c>
      <c r="X154" s="36">
        <f>IF(AND(20&gt;=$G$31,20&lt;=$H$31),($B$31+IF($I$31="Y",$K$31,0)*$B$41/100)*$E$31*$F$31/100,0)</f>
        <v/>
      </c>
      <c r="Y154" s="36">
        <f>IF(AND(21&gt;=$G$31,21&lt;=$H$31),($B$31+IF($I$31="Y",$K$31,0)*$B$41/100)*$E$31*$F$31/100,0)</f>
        <v/>
      </c>
      <c r="Z154" s="36">
        <f>IF(AND(22&gt;=$G$31,22&lt;=$H$31),($B$31+IF($I$31="Y",$K$31,0)*$B$41/100)*$E$31*$F$31/100,0)</f>
        <v/>
      </c>
      <c r="AA154" s="36">
        <f>IF(AND(23&gt;=$G$31,23&lt;=$H$31),($B$31+IF($I$31="Y",$K$31,0)*$B$41/100)*$E$31*$F$31/100,0)</f>
        <v/>
      </c>
      <c r="AB154" s="36">
        <f>IF(AND(24&gt;=$G$31,24&lt;=$H$31),($B$31+IF($I$31="Y",$K$31,0)*$B$41/100)*$E$31*$F$31/100,0)</f>
        <v/>
      </c>
      <c r="AC154" s="36">
        <f>IF(AND(25&gt;=$G$31,25&lt;=$H$31),($B$31+IF($I$31="Y",$K$31,0)*$B$41/100)*$E$31*$F$31/100,0)</f>
        <v/>
      </c>
      <c r="AD154" s="36">
        <f>IF(AND(26&gt;=$G$31,26&lt;=$H$31),($B$31+IF($I$31="Y",$K$31,0)*$B$41/100)*$E$31*$F$31/100,0)</f>
        <v/>
      </c>
      <c r="AE154" s="36">
        <f>IF(AND(27&gt;=$G$31,27&lt;=$H$31),($B$31+IF($I$31="Y",$K$31,0)*$B$41/100)*$E$31*$F$31/100,0)</f>
        <v/>
      </c>
      <c r="AF154" s="36">
        <f>IF(AND(28&gt;=$G$31,28&lt;=$H$31),($B$31+IF($I$31="Y",$K$31,0)*$B$41/100)*$E$31*$F$31/100,0)</f>
        <v/>
      </c>
      <c r="AG154" s="36">
        <f>IF(AND(29&gt;=$G$31,29&lt;=$H$31),($B$31+IF($I$31="Y",$K$31,0)*$B$41/100)*$E$31*$F$31/100,0)</f>
        <v/>
      </c>
      <c r="AH154" s="36">
        <f>IF(AND(30&gt;=$G$31,30&lt;=$H$31),($B$31+IF($I$31="Y",$K$31,0)*$B$41/100)*$E$31*$F$31/100,0)</f>
        <v/>
      </c>
      <c r="AI154" s="36">
        <f>IF(AND(31&gt;=$G$31,31&lt;=$H$31),($B$31+IF($I$31="Y",$K$31,0)*$B$41/100)*$E$31*$F$31/100,0)</f>
        <v/>
      </c>
      <c r="AJ154" s="36">
        <f>IF(AND(32&gt;=$G$31,32&lt;=$H$31),($B$31+IF($I$31="Y",$K$31,0)*$B$41/100)*$E$31*$F$31/100,0)</f>
        <v/>
      </c>
      <c r="AK154" s="36">
        <f>IF(AND(33&gt;=$G$31,33&lt;=$H$31),($B$31+IF($I$31="Y",$K$31,0)*$B$41/100)*$E$31*$F$31/100,0)</f>
        <v/>
      </c>
      <c r="AL154" s="36">
        <f>IF(AND(34&gt;=$G$31,34&lt;=$H$31),($B$31+IF($I$31="Y",$K$31,0)*$B$41/100)*$E$31*$F$31/100,0)</f>
        <v/>
      </c>
      <c r="AM154" s="36">
        <f>IF(AND(35&gt;=$G$31,35&lt;=$H$31),($B$31+IF($I$31="Y",$K$31,0)*$B$41/100)*$E$31*$F$31/100,0)</f>
        <v/>
      </c>
      <c r="AN154" s="36">
        <f>IF(AND(36&gt;=$G$31,36&lt;=$H$31),($B$31+IF($I$31="Y",$K$31,0)*$B$41/100)*$E$31*$F$31/100,0)</f>
        <v/>
      </c>
      <c r="AO154" s="36">
        <f>IF(AND(37&gt;=$G$31,37&lt;=$H$31),($B$31+IF($I$31="Y",$K$31,0)*$B$41/100)*$E$31*$F$31/100,0)</f>
        <v/>
      </c>
      <c r="AP154" s="36">
        <f>IF(AND(38&gt;=$G$31,38&lt;=$H$31),($B$31+IF($I$31="Y",$K$31,0)*$B$41/100)*$E$31*$F$31/100,0)</f>
        <v/>
      </c>
      <c r="AQ154" s="36">
        <f>IF(AND(39&gt;=$G$31,39&lt;=$H$31),($B$31+IF($I$31="Y",$K$31,0)*$B$41/100)*$E$31*$F$31/100,0)</f>
        <v/>
      </c>
      <c r="AR154" s="36">
        <f>IF(AND(40&gt;=$G$31,40&lt;=$H$31),($B$31+IF($I$31="Y",$K$31,0)*$B$41/100)*$E$31*$F$31/100,0)</f>
        <v/>
      </c>
      <c r="AS154" s="36">
        <f>IF(AND(41&gt;=$G$31,41&lt;=$H$31),($B$31+IF($I$31="Y",$K$31,0)*$B$41/100)*$E$31*$F$31/100,0)</f>
        <v/>
      </c>
      <c r="AT154" s="36">
        <f>IF(AND(42&gt;=$G$31,42&lt;=$H$31),($B$31+IF($I$31="Y",$K$31,0)*$B$41/100)*$E$31*$F$31/100,0)</f>
        <v/>
      </c>
      <c r="AU154" s="36">
        <f>IF(AND(43&gt;=$G$31,43&lt;=$H$31),($B$31+IF($I$31="Y",$K$31,0)*$B$41/100)*$E$31*$F$31/100,0)</f>
        <v/>
      </c>
      <c r="AV154" s="36">
        <f>IF(AND(44&gt;=$G$31,44&lt;=$H$31),($B$31+IF($I$31="Y",$K$31,0)*$B$41/100)*$E$31*$F$31/100,0)</f>
        <v/>
      </c>
      <c r="AW154" s="36">
        <f>IF(AND(45&gt;=$G$31,45&lt;=$H$31),($B$31+IF($I$31="Y",$K$31,0)*$B$41/100)*$E$31*$F$31/100,0)</f>
        <v/>
      </c>
      <c r="AX154" s="36">
        <f>IF(AND(46&gt;=$G$31,46&lt;=$H$31),($B$31+IF($I$31="Y",$K$31,0)*$B$41/100)*$E$31*$F$31/100,0)</f>
        <v/>
      </c>
      <c r="AY154" s="36">
        <f>IF(AND(47&gt;=$G$31,47&lt;=$H$31),($B$31+IF($I$31="Y",$K$31,0)*$B$41/100)*$E$31*$F$31/100,0)</f>
        <v/>
      </c>
      <c r="AZ154" s="36">
        <f>IF(AND(48&gt;=$G$31,48&lt;=$H$31),($B$31+IF($I$31="Y",$K$31,0)*$B$41/100)*$E$31*$F$31/100,0)</f>
        <v/>
      </c>
      <c r="BA154" s="36">
        <f>IF(AND(49&gt;=$G$31,49&lt;=$H$31),($B$31+IF($I$31="Y",$K$31,0)*$B$41/100)*$E$31*$F$31/100,0)</f>
        <v/>
      </c>
      <c r="BB154" s="36">
        <f>IF(AND(50&gt;=$G$31,50&lt;=$H$31),($B$31+IF($I$31="Y",$K$31,0)*$B$41/100)*$E$31*$F$31/100,0)</f>
        <v/>
      </c>
      <c r="BC154" s="36">
        <f>IF(AND(51&gt;=$G$31,51&lt;=$H$31),($B$31+IF($I$31="Y",$K$31,0)*$B$41/100)*$E$31*$F$31/100,0)</f>
        <v/>
      </c>
      <c r="BD154" s="36">
        <f>IF(AND(52&gt;=$G$31,52&lt;=$H$31),($B$31+IF($I$31="Y",$K$31,0)*$B$41/100)*$E$31*$F$31/100,0)</f>
        <v/>
      </c>
    </row>
    <row r="155">
      <c r="A155" s="4" t="inlineStr">
        <is>
          <t>CREW CAPACITY</t>
        </is>
      </c>
      <c r="B155" s="2" t="inlineStr">
        <is>
          <t>hrs</t>
        </is>
      </c>
      <c r="E155" s="36">
        <f>E151+E152+E153+E154</f>
        <v/>
      </c>
      <c r="F155" s="36">
        <f>F151+F152+F153+F154</f>
        <v/>
      </c>
      <c r="G155" s="36">
        <f>G151+G152+G153+G154</f>
        <v/>
      </c>
      <c r="H155" s="36">
        <f>H151+H152+H153+H154</f>
        <v/>
      </c>
      <c r="I155" s="36">
        <f>I151+I152+I153+I154</f>
        <v/>
      </c>
      <c r="J155" s="36">
        <f>J151+J152+J153+J154</f>
        <v/>
      </c>
      <c r="K155" s="36">
        <f>K151+K152+K153+K154</f>
        <v/>
      </c>
      <c r="L155" s="36">
        <f>L151+L152+L153+L154</f>
        <v/>
      </c>
      <c r="M155" s="36">
        <f>M151+M152+M153+M154</f>
        <v/>
      </c>
      <c r="N155" s="36">
        <f>N151+N152+N153+N154</f>
        <v/>
      </c>
      <c r="O155" s="36">
        <f>O151+O152+O153+O154</f>
        <v/>
      </c>
      <c r="P155" s="36">
        <f>P151+P152+P153+P154</f>
        <v/>
      </c>
      <c r="Q155" s="36">
        <f>Q151+Q152+Q153+Q154</f>
        <v/>
      </c>
      <c r="R155" s="36">
        <f>R151+R152+R153+R154</f>
        <v/>
      </c>
      <c r="S155" s="36">
        <f>S151+S152+S153+S154</f>
        <v/>
      </c>
      <c r="T155" s="36">
        <f>T151+T152+T153+T154</f>
        <v/>
      </c>
      <c r="U155" s="36">
        <f>U151+U152+U153+U154</f>
        <v/>
      </c>
      <c r="V155" s="36">
        <f>V151+V152+V153+V154</f>
        <v/>
      </c>
      <c r="W155" s="36">
        <f>W151+W152+W153+W154</f>
        <v/>
      </c>
      <c r="X155" s="36">
        <f>X151+X152+X153+X154</f>
        <v/>
      </c>
      <c r="Y155" s="36">
        <f>Y151+Y152+Y153+Y154</f>
        <v/>
      </c>
      <c r="Z155" s="36">
        <f>Z151+Z152+Z153+Z154</f>
        <v/>
      </c>
      <c r="AA155" s="36">
        <f>AA151+AA152+AA153+AA154</f>
        <v/>
      </c>
      <c r="AB155" s="36">
        <f>AB151+AB152+AB153+AB154</f>
        <v/>
      </c>
      <c r="AC155" s="36">
        <f>AC151+AC152+AC153+AC154</f>
        <v/>
      </c>
      <c r="AD155" s="36">
        <f>AD151+AD152+AD153+AD154</f>
        <v/>
      </c>
      <c r="AE155" s="36">
        <f>AE151+AE152+AE153+AE154</f>
        <v/>
      </c>
      <c r="AF155" s="36">
        <f>AF151+AF152+AF153+AF154</f>
        <v/>
      </c>
      <c r="AG155" s="36">
        <f>AG151+AG152+AG153+AG154</f>
        <v/>
      </c>
      <c r="AH155" s="36">
        <f>AH151+AH152+AH153+AH154</f>
        <v/>
      </c>
      <c r="AI155" s="36">
        <f>AI151+AI152+AI153+AI154</f>
        <v/>
      </c>
      <c r="AJ155" s="36">
        <f>AJ151+AJ152+AJ153+AJ154</f>
        <v/>
      </c>
      <c r="AK155" s="36">
        <f>AK151+AK152+AK153+AK154</f>
        <v/>
      </c>
      <c r="AL155" s="36">
        <f>AL151+AL152+AL153+AL154</f>
        <v/>
      </c>
      <c r="AM155" s="36">
        <f>AM151+AM152+AM153+AM154</f>
        <v/>
      </c>
      <c r="AN155" s="36">
        <f>AN151+AN152+AN153+AN154</f>
        <v/>
      </c>
      <c r="AO155" s="36">
        <f>AO151+AO152+AO153+AO154</f>
        <v/>
      </c>
      <c r="AP155" s="36">
        <f>AP151+AP152+AP153+AP154</f>
        <v/>
      </c>
      <c r="AQ155" s="36">
        <f>AQ151+AQ152+AQ153+AQ154</f>
        <v/>
      </c>
      <c r="AR155" s="36">
        <f>AR151+AR152+AR153+AR154</f>
        <v/>
      </c>
      <c r="AS155" s="36">
        <f>AS151+AS152+AS153+AS154</f>
        <v/>
      </c>
      <c r="AT155" s="36">
        <f>AT151+AT152+AT153+AT154</f>
        <v/>
      </c>
      <c r="AU155" s="36">
        <f>AU151+AU152+AU153+AU154</f>
        <v/>
      </c>
      <c r="AV155" s="36">
        <f>AV151+AV152+AV153+AV154</f>
        <v/>
      </c>
      <c r="AW155" s="36">
        <f>AW151+AW152+AW153+AW154</f>
        <v/>
      </c>
      <c r="AX155" s="36">
        <f>AX151+AX152+AX153+AX154</f>
        <v/>
      </c>
      <c r="AY155" s="36">
        <f>AY151+AY152+AY153+AY154</f>
        <v/>
      </c>
      <c r="AZ155" s="36">
        <f>AZ151+AZ152+AZ153+AZ154</f>
        <v/>
      </c>
      <c r="BA155" s="36">
        <f>BA151+BA152+BA153+BA154</f>
        <v/>
      </c>
      <c r="BB155" s="36">
        <f>BB151+BB152+BB153+BB154</f>
        <v/>
      </c>
      <c r="BC155" s="36">
        <f>BC151+BC152+BC153+BC154</f>
        <v/>
      </c>
      <c r="BD155" s="36">
        <f>BD151+BD152+BD153+BD154</f>
        <v/>
      </c>
    </row>
    <row r="156">
      <c r="A156" s="2" t="inlineStr">
        <is>
          <t xml:space="preserve">   The sum of the rows above — no mask, no SUMPRODUCT. You can add them by eye.</t>
        </is>
      </c>
    </row>
    <row r="158">
      <c r="A158" s="3" t="inlineStr">
        <is>
          <t>B — WHAT YOU CAN ADD</t>
        </is>
      </c>
    </row>
    <row r="159">
      <c r="A159" s="32" t="inlineStr">
        <is>
          <t>Week</t>
        </is>
      </c>
      <c r="B159" s="33" t="inlineStr">
        <is>
          <t>hours</t>
        </is>
      </c>
      <c r="E159" s="34" t="n">
        <v>1</v>
      </c>
      <c r="F159" s="34" t="n">
        <v>2</v>
      </c>
      <c r="G159" s="34" t="n">
        <v>3</v>
      </c>
      <c r="H159" s="34" t="n">
        <v>4</v>
      </c>
      <c r="I159" s="34" t="n">
        <v>5</v>
      </c>
      <c r="J159" s="34" t="n">
        <v>6</v>
      </c>
      <c r="K159" s="34" t="n">
        <v>7</v>
      </c>
      <c r="L159" s="34" t="n">
        <v>8</v>
      </c>
      <c r="M159" s="34" t="n">
        <v>9</v>
      </c>
      <c r="N159" s="34" t="n">
        <v>10</v>
      </c>
      <c r="O159" s="34" t="n">
        <v>11</v>
      </c>
      <c r="P159" s="34" t="n">
        <v>12</v>
      </c>
      <c r="Q159" s="34" t="n">
        <v>13</v>
      </c>
      <c r="R159" s="34" t="n">
        <v>14</v>
      </c>
      <c r="S159" s="34" t="n">
        <v>15</v>
      </c>
      <c r="T159" s="34" t="n">
        <v>16</v>
      </c>
      <c r="U159" s="34" t="n">
        <v>17</v>
      </c>
      <c r="V159" s="34" t="n">
        <v>18</v>
      </c>
      <c r="W159" s="34" t="n">
        <v>19</v>
      </c>
      <c r="X159" s="34" t="n">
        <v>20</v>
      </c>
      <c r="Y159" s="34" t="n">
        <v>21</v>
      </c>
      <c r="Z159" s="34" t="n">
        <v>22</v>
      </c>
      <c r="AA159" s="34" t="n">
        <v>23</v>
      </c>
      <c r="AB159" s="34" t="n">
        <v>24</v>
      </c>
      <c r="AC159" s="34" t="n">
        <v>25</v>
      </c>
      <c r="AD159" s="34" t="n">
        <v>26</v>
      </c>
      <c r="AE159" s="34" t="n">
        <v>27</v>
      </c>
      <c r="AF159" s="34" t="n">
        <v>28</v>
      </c>
      <c r="AG159" s="34" t="n">
        <v>29</v>
      </c>
      <c r="AH159" s="34" t="n">
        <v>30</v>
      </c>
      <c r="AI159" s="34" t="n">
        <v>31</v>
      </c>
      <c r="AJ159" s="34" t="n">
        <v>32</v>
      </c>
      <c r="AK159" s="34" t="n">
        <v>33</v>
      </c>
      <c r="AL159" s="34" t="n">
        <v>34</v>
      </c>
      <c r="AM159" s="34" t="n">
        <v>35</v>
      </c>
      <c r="AN159" s="34" t="n">
        <v>36</v>
      </c>
      <c r="AO159" s="34" t="n">
        <v>37</v>
      </c>
      <c r="AP159" s="34" t="n">
        <v>38</v>
      </c>
      <c r="AQ159" s="34" t="n">
        <v>39</v>
      </c>
      <c r="AR159" s="34" t="n">
        <v>40</v>
      </c>
      <c r="AS159" s="34" t="n">
        <v>41</v>
      </c>
      <c r="AT159" s="34" t="n">
        <v>42</v>
      </c>
      <c r="AU159" s="34" t="n">
        <v>43</v>
      </c>
      <c r="AV159" s="34" t="n">
        <v>44</v>
      </c>
      <c r="AW159" s="34" t="n">
        <v>45</v>
      </c>
      <c r="AX159" s="34" t="n">
        <v>46</v>
      </c>
      <c r="AY159" s="34" t="n">
        <v>47</v>
      </c>
      <c r="AZ159" s="34" t="n">
        <v>48</v>
      </c>
      <c r="BA159" s="34" t="n">
        <v>49</v>
      </c>
      <c r="BB159" s="34" t="n">
        <v>50</v>
      </c>
      <c r="BC159" s="34" t="n">
        <v>51</v>
      </c>
      <c r="BD159" s="34" t="n">
        <v>52</v>
      </c>
    </row>
    <row r="160">
      <c r="A160" s="28" t="inlineStr">
        <is>
          <t xml:space="preserve">   Equipment Operator — overtime CAP</t>
        </is>
      </c>
      <c r="B160" s="2" t="inlineStr">
        <is>
          <t>hrs</t>
        </is>
      </c>
      <c r="E160" s="36">
        <f>MAX(0,$B$37-1)*E152</f>
        <v/>
      </c>
      <c r="F160" s="36">
        <f>MAX(0,$B$37-1)*F152</f>
        <v/>
      </c>
      <c r="G160" s="36">
        <f>MAX(0,$B$37-1)*G152</f>
        <v/>
      </c>
      <c r="H160" s="36">
        <f>MAX(0,$B$37-1)*H152</f>
        <v/>
      </c>
      <c r="I160" s="36">
        <f>MAX(0,$B$37-1)*I152</f>
        <v/>
      </c>
      <c r="J160" s="36">
        <f>MAX(0,$B$37-1)*J152</f>
        <v/>
      </c>
      <c r="K160" s="36">
        <f>MAX(0,$B$37-1)*K152</f>
        <v/>
      </c>
      <c r="L160" s="36">
        <f>MAX(0,$B$37-1)*L152</f>
        <v/>
      </c>
      <c r="M160" s="36">
        <f>MAX(0,$B$37-1)*M152</f>
        <v/>
      </c>
      <c r="N160" s="36">
        <f>MAX(0,$B$37-1)*N152</f>
        <v/>
      </c>
      <c r="O160" s="36">
        <f>MAX(0,$B$37-1)*O152</f>
        <v/>
      </c>
      <c r="P160" s="36">
        <f>MAX(0,$B$37-1)*P152</f>
        <v/>
      </c>
      <c r="Q160" s="36">
        <f>MAX(0,$B$37-1)*Q152</f>
        <v/>
      </c>
      <c r="R160" s="36">
        <f>MAX(0,$B$37-1)*R152</f>
        <v/>
      </c>
      <c r="S160" s="36">
        <f>MAX(0,$B$37-1)*S152</f>
        <v/>
      </c>
      <c r="T160" s="36">
        <f>MAX(0,$B$37-1)*T152</f>
        <v/>
      </c>
      <c r="U160" s="36">
        <f>MAX(0,$B$37-1)*U152</f>
        <v/>
      </c>
      <c r="V160" s="36">
        <f>MAX(0,$B$37-1)*V152</f>
        <v/>
      </c>
      <c r="W160" s="36">
        <f>MAX(0,$B$37-1)*W152</f>
        <v/>
      </c>
      <c r="X160" s="36">
        <f>MAX(0,$B$37-1)*X152</f>
        <v/>
      </c>
      <c r="Y160" s="36">
        <f>MAX(0,$B$37-1)*Y152</f>
        <v/>
      </c>
      <c r="Z160" s="36">
        <f>MAX(0,$B$37-1)*Z152</f>
        <v/>
      </c>
      <c r="AA160" s="36">
        <f>MAX(0,$B$37-1)*AA152</f>
        <v/>
      </c>
      <c r="AB160" s="36">
        <f>MAX(0,$B$37-1)*AB152</f>
        <v/>
      </c>
      <c r="AC160" s="36">
        <f>MAX(0,$B$37-1)*AC152</f>
        <v/>
      </c>
      <c r="AD160" s="36">
        <f>MAX(0,$B$37-1)*AD152</f>
        <v/>
      </c>
      <c r="AE160" s="36">
        <f>MAX(0,$B$37-1)*AE152</f>
        <v/>
      </c>
      <c r="AF160" s="36">
        <f>MAX(0,$B$37-1)*AF152</f>
        <v/>
      </c>
      <c r="AG160" s="36">
        <f>MAX(0,$B$37-1)*AG152</f>
        <v/>
      </c>
      <c r="AH160" s="36">
        <f>MAX(0,$B$37-1)*AH152</f>
        <v/>
      </c>
      <c r="AI160" s="36">
        <f>MAX(0,$B$37-1)*AI152</f>
        <v/>
      </c>
      <c r="AJ160" s="36">
        <f>MAX(0,$B$37-1)*AJ152</f>
        <v/>
      </c>
      <c r="AK160" s="36">
        <f>MAX(0,$B$37-1)*AK152</f>
        <v/>
      </c>
      <c r="AL160" s="36">
        <f>MAX(0,$B$37-1)*AL152</f>
        <v/>
      </c>
      <c r="AM160" s="36">
        <f>MAX(0,$B$37-1)*AM152</f>
        <v/>
      </c>
      <c r="AN160" s="36">
        <f>MAX(0,$B$37-1)*AN152</f>
        <v/>
      </c>
      <c r="AO160" s="36">
        <f>MAX(0,$B$37-1)*AO152</f>
        <v/>
      </c>
      <c r="AP160" s="36">
        <f>MAX(0,$B$37-1)*AP152</f>
        <v/>
      </c>
      <c r="AQ160" s="36">
        <f>MAX(0,$B$37-1)*AQ152</f>
        <v/>
      </c>
      <c r="AR160" s="36">
        <f>MAX(0,$B$37-1)*AR152</f>
        <v/>
      </c>
      <c r="AS160" s="36">
        <f>MAX(0,$B$37-1)*AS152</f>
        <v/>
      </c>
      <c r="AT160" s="36">
        <f>MAX(0,$B$37-1)*AT152</f>
        <v/>
      </c>
      <c r="AU160" s="36">
        <f>MAX(0,$B$37-1)*AU152</f>
        <v/>
      </c>
      <c r="AV160" s="36">
        <f>MAX(0,$B$37-1)*AV152</f>
        <v/>
      </c>
      <c r="AW160" s="36">
        <f>MAX(0,$B$37-1)*AW152</f>
        <v/>
      </c>
      <c r="AX160" s="36">
        <f>MAX(0,$B$37-1)*AX152</f>
        <v/>
      </c>
      <c r="AY160" s="36">
        <f>MAX(0,$B$37-1)*AY152</f>
        <v/>
      </c>
      <c r="AZ160" s="36">
        <f>MAX(0,$B$37-1)*AZ152</f>
        <v/>
      </c>
      <c r="BA160" s="36">
        <f>MAX(0,$B$37-1)*BA152</f>
        <v/>
      </c>
      <c r="BB160" s="36">
        <f>MAX(0,$B$37-1)*BB152</f>
        <v/>
      </c>
      <c r="BC160" s="36">
        <f>MAX(0,$B$37-1)*BC152</f>
        <v/>
      </c>
      <c r="BD160" s="36">
        <f>MAX(0,$B$37-1)*BD152</f>
        <v/>
      </c>
    </row>
    <row r="161">
      <c r="A161" s="27" t="inlineStr">
        <is>
          <t xml:space="preserve">   Equipment Operator — OVERTIME hrs</t>
        </is>
      </c>
      <c r="B161" s="2" t="inlineStr">
        <is>
          <t>hrs &lt;-- SOLVER</t>
        </is>
      </c>
      <c r="E161" s="35" t="n">
        <v>0</v>
      </c>
      <c r="F161" s="35" t="n">
        <v>0</v>
      </c>
      <c r="G161" s="35" t="n">
        <v>0</v>
      </c>
      <c r="H161" s="35" t="n">
        <v>0</v>
      </c>
      <c r="I161" s="35" t="n">
        <v>0</v>
      </c>
      <c r="J161" s="35" t="n">
        <v>0</v>
      </c>
      <c r="K161" s="35" t="n">
        <v>0</v>
      </c>
      <c r="L161" s="35" t="n">
        <v>0</v>
      </c>
      <c r="M161" s="35" t="n">
        <v>0</v>
      </c>
      <c r="N161" s="35" t="n">
        <v>0</v>
      </c>
      <c r="O161" s="35" t="n">
        <v>0</v>
      </c>
      <c r="P161" s="35" t="n">
        <v>0</v>
      </c>
      <c r="Q161" s="35" t="n">
        <v>0</v>
      </c>
      <c r="R161" s="35" t="n">
        <v>0</v>
      </c>
      <c r="S161" s="35" t="n">
        <v>0</v>
      </c>
      <c r="T161" s="35" t="n">
        <v>0</v>
      </c>
      <c r="U161" s="35" t="n">
        <v>0</v>
      </c>
      <c r="V161" s="35" t="n">
        <v>0</v>
      </c>
      <c r="W161" s="35" t="n">
        <v>0</v>
      </c>
      <c r="X161" s="35" t="n">
        <v>0</v>
      </c>
      <c r="Y161" s="35" t="n">
        <v>0</v>
      </c>
      <c r="Z161" s="35" t="n">
        <v>0</v>
      </c>
      <c r="AA161" s="35" t="n">
        <v>0</v>
      </c>
      <c r="AB161" s="35" t="n">
        <v>0</v>
      </c>
      <c r="AC161" s="35" t="n">
        <v>0</v>
      </c>
      <c r="AD161" s="35" t="n">
        <v>0</v>
      </c>
      <c r="AE161" s="35" t="n">
        <v>0</v>
      </c>
      <c r="AF161" s="35" t="n">
        <v>0</v>
      </c>
      <c r="AG161" s="35" t="n">
        <v>0</v>
      </c>
      <c r="AH161" s="35" t="n">
        <v>0</v>
      </c>
      <c r="AI161" s="35" t="n">
        <v>0</v>
      </c>
      <c r="AJ161" s="35" t="n">
        <v>0</v>
      </c>
      <c r="AK161" s="35" t="n">
        <v>0</v>
      </c>
      <c r="AL161" s="35" t="n">
        <v>0</v>
      </c>
      <c r="AM161" s="35" t="n">
        <v>0</v>
      </c>
      <c r="AN161" s="35" t="n">
        <v>0</v>
      </c>
      <c r="AO161" s="35" t="n">
        <v>0</v>
      </c>
      <c r="AP161" s="35" t="n">
        <v>0</v>
      </c>
      <c r="AQ161" s="35" t="n">
        <v>0</v>
      </c>
      <c r="AR161" s="35" t="n">
        <v>0</v>
      </c>
      <c r="AS161" s="35" t="n">
        <v>0</v>
      </c>
      <c r="AT161" s="35" t="n">
        <v>0</v>
      </c>
      <c r="AU161" s="35" t="n">
        <v>0</v>
      </c>
      <c r="AV161" s="35" t="n">
        <v>0</v>
      </c>
      <c r="AW161" s="35" t="n">
        <v>0</v>
      </c>
      <c r="AX161" s="35" t="n">
        <v>0</v>
      </c>
      <c r="AY161" s="35" t="n">
        <v>0</v>
      </c>
      <c r="AZ161" s="35" t="n">
        <v>0</v>
      </c>
      <c r="BA161" s="35" t="n">
        <v>0</v>
      </c>
      <c r="BB161" s="35" t="n">
        <v>0</v>
      </c>
      <c r="BC161" s="35" t="n">
        <v>0</v>
      </c>
      <c r="BD161" s="35" t="n">
        <v>0</v>
      </c>
    </row>
    <row r="162">
      <c r="A162" s="28" t="inlineStr">
        <is>
          <t xml:space="preserve">   Seasonal Field Crew — overtime CAP</t>
        </is>
      </c>
      <c r="B162" s="2" t="inlineStr">
        <is>
          <t>hrs</t>
        </is>
      </c>
      <c r="E162" s="36">
        <f>MAX(0,$B$37-1)*E153</f>
        <v/>
      </c>
      <c r="F162" s="36">
        <f>MAX(0,$B$37-1)*F153</f>
        <v/>
      </c>
      <c r="G162" s="36">
        <f>MAX(0,$B$37-1)*G153</f>
        <v/>
      </c>
      <c r="H162" s="36">
        <f>MAX(0,$B$37-1)*H153</f>
        <v/>
      </c>
      <c r="I162" s="36">
        <f>MAX(0,$B$37-1)*I153</f>
        <v/>
      </c>
      <c r="J162" s="36">
        <f>MAX(0,$B$37-1)*J153</f>
        <v/>
      </c>
      <c r="K162" s="36">
        <f>MAX(0,$B$37-1)*K153</f>
        <v/>
      </c>
      <c r="L162" s="36">
        <f>MAX(0,$B$37-1)*L153</f>
        <v/>
      </c>
      <c r="M162" s="36">
        <f>MAX(0,$B$37-1)*M153</f>
        <v/>
      </c>
      <c r="N162" s="36">
        <f>MAX(0,$B$37-1)*N153</f>
        <v/>
      </c>
      <c r="O162" s="36">
        <f>MAX(0,$B$37-1)*O153</f>
        <v/>
      </c>
      <c r="P162" s="36">
        <f>MAX(0,$B$37-1)*P153</f>
        <v/>
      </c>
      <c r="Q162" s="36">
        <f>MAX(0,$B$37-1)*Q153</f>
        <v/>
      </c>
      <c r="R162" s="36">
        <f>MAX(0,$B$37-1)*R153</f>
        <v/>
      </c>
      <c r="S162" s="36">
        <f>MAX(0,$B$37-1)*S153</f>
        <v/>
      </c>
      <c r="T162" s="36">
        <f>MAX(0,$B$37-1)*T153</f>
        <v/>
      </c>
      <c r="U162" s="36">
        <f>MAX(0,$B$37-1)*U153</f>
        <v/>
      </c>
      <c r="V162" s="36">
        <f>MAX(0,$B$37-1)*V153</f>
        <v/>
      </c>
      <c r="W162" s="36">
        <f>MAX(0,$B$37-1)*W153</f>
        <v/>
      </c>
      <c r="X162" s="36">
        <f>MAX(0,$B$37-1)*X153</f>
        <v/>
      </c>
      <c r="Y162" s="36">
        <f>MAX(0,$B$37-1)*Y153</f>
        <v/>
      </c>
      <c r="Z162" s="36">
        <f>MAX(0,$B$37-1)*Z153</f>
        <v/>
      </c>
      <c r="AA162" s="36">
        <f>MAX(0,$B$37-1)*AA153</f>
        <v/>
      </c>
      <c r="AB162" s="36">
        <f>MAX(0,$B$37-1)*AB153</f>
        <v/>
      </c>
      <c r="AC162" s="36">
        <f>MAX(0,$B$37-1)*AC153</f>
        <v/>
      </c>
      <c r="AD162" s="36">
        <f>MAX(0,$B$37-1)*AD153</f>
        <v/>
      </c>
      <c r="AE162" s="36">
        <f>MAX(0,$B$37-1)*AE153</f>
        <v/>
      </c>
      <c r="AF162" s="36">
        <f>MAX(0,$B$37-1)*AF153</f>
        <v/>
      </c>
      <c r="AG162" s="36">
        <f>MAX(0,$B$37-1)*AG153</f>
        <v/>
      </c>
      <c r="AH162" s="36">
        <f>MAX(0,$B$37-1)*AH153</f>
        <v/>
      </c>
      <c r="AI162" s="36">
        <f>MAX(0,$B$37-1)*AI153</f>
        <v/>
      </c>
      <c r="AJ162" s="36">
        <f>MAX(0,$B$37-1)*AJ153</f>
        <v/>
      </c>
      <c r="AK162" s="36">
        <f>MAX(0,$B$37-1)*AK153</f>
        <v/>
      </c>
      <c r="AL162" s="36">
        <f>MAX(0,$B$37-1)*AL153</f>
        <v/>
      </c>
      <c r="AM162" s="36">
        <f>MAX(0,$B$37-1)*AM153</f>
        <v/>
      </c>
      <c r="AN162" s="36">
        <f>MAX(0,$B$37-1)*AN153</f>
        <v/>
      </c>
      <c r="AO162" s="36">
        <f>MAX(0,$B$37-1)*AO153</f>
        <v/>
      </c>
      <c r="AP162" s="36">
        <f>MAX(0,$B$37-1)*AP153</f>
        <v/>
      </c>
      <c r="AQ162" s="36">
        <f>MAX(0,$B$37-1)*AQ153</f>
        <v/>
      </c>
      <c r="AR162" s="36">
        <f>MAX(0,$B$37-1)*AR153</f>
        <v/>
      </c>
      <c r="AS162" s="36">
        <f>MAX(0,$B$37-1)*AS153</f>
        <v/>
      </c>
      <c r="AT162" s="36">
        <f>MAX(0,$B$37-1)*AT153</f>
        <v/>
      </c>
      <c r="AU162" s="36">
        <f>MAX(0,$B$37-1)*AU153</f>
        <v/>
      </c>
      <c r="AV162" s="36">
        <f>MAX(0,$B$37-1)*AV153</f>
        <v/>
      </c>
      <c r="AW162" s="36">
        <f>MAX(0,$B$37-1)*AW153</f>
        <v/>
      </c>
      <c r="AX162" s="36">
        <f>MAX(0,$B$37-1)*AX153</f>
        <v/>
      </c>
      <c r="AY162" s="36">
        <f>MAX(0,$B$37-1)*AY153</f>
        <v/>
      </c>
      <c r="AZ162" s="36">
        <f>MAX(0,$B$37-1)*AZ153</f>
        <v/>
      </c>
      <c r="BA162" s="36">
        <f>MAX(0,$B$37-1)*BA153</f>
        <v/>
      </c>
      <c r="BB162" s="36">
        <f>MAX(0,$B$37-1)*BB153</f>
        <v/>
      </c>
      <c r="BC162" s="36">
        <f>MAX(0,$B$37-1)*BC153</f>
        <v/>
      </c>
      <c r="BD162" s="36">
        <f>MAX(0,$B$37-1)*BD153</f>
        <v/>
      </c>
    </row>
    <row r="163">
      <c r="A163" s="27" t="inlineStr">
        <is>
          <t xml:space="preserve">   Seasonal Field Crew — OVERTIME hrs</t>
        </is>
      </c>
      <c r="B163" s="2" t="inlineStr">
        <is>
          <t>hrs &lt;-- SOLVER</t>
        </is>
      </c>
      <c r="E163" s="35" t="n">
        <v>0</v>
      </c>
      <c r="F163" s="35" t="n">
        <v>0</v>
      </c>
      <c r="G163" s="35" t="n">
        <v>0</v>
      </c>
      <c r="H163" s="35" t="n">
        <v>0</v>
      </c>
      <c r="I163" s="35" t="n">
        <v>0</v>
      </c>
      <c r="J163" s="35" t="n">
        <v>0</v>
      </c>
      <c r="K163" s="35" t="n">
        <v>0</v>
      </c>
      <c r="L163" s="35" t="n">
        <v>0</v>
      </c>
      <c r="M163" s="35" t="n">
        <v>0</v>
      </c>
      <c r="N163" s="35" t="n">
        <v>0</v>
      </c>
      <c r="O163" s="35" t="n">
        <v>0</v>
      </c>
      <c r="P163" s="35" t="n">
        <v>0</v>
      </c>
      <c r="Q163" s="35" t="n">
        <v>0</v>
      </c>
      <c r="R163" s="35" t="n">
        <v>0</v>
      </c>
      <c r="S163" s="35" t="n">
        <v>0</v>
      </c>
      <c r="T163" s="35" t="n">
        <v>0</v>
      </c>
      <c r="U163" s="35" t="n">
        <v>0</v>
      </c>
      <c r="V163" s="35" t="n">
        <v>0</v>
      </c>
      <c r="W163" s="35" t="n">
        <v>0</v>
      </c>
      <c r="X163" s="35" t="n">
        <v>0</v>
      </c>
      <c r="Y163" s="35" t="n">
        <v>0</v>
      </c>
      <c r="Z163" s="35" t="n">
        <v>0</v>
      </c>
      <c r="AA163" s="35" t="n">
        <v>0</v>
      </c>
      <c r="AB163" s="35" t="n">
        <v>0</v>
      </c>
      <c r="AC163" s="35" t="n">
        <v>0</v>
      </c>
      <c r="AD163" s="35" t="n">
        <v>0</v>
      </c>
      <c r="AE163" s="35" t="n">
        <v>0</v>
      </c>
      <c r="AF163" s="35" t="n">
        <v>0</v>
      </c>
      <c r="AG163" s="35" t="n">
        <v>0</v>
      </c>
      <c r="AH163" s="35" t="n">
        <v>0</v>
      </c>
      <c r="AI163" s="35" t="n">
        <v>0</v>
      </c>
      <c r="AJ163" s="35" t="n">
        <v>0</v>
      </c>
      <c r="AK163" s="35" t="n">
        <v>0</v>
      </c>
      <c r="AL163" s="35" t="n">
        <v>0</v>
      </c>
      <c r="AM163" s="35" t="n">
        <v>0</v>
      </c>
      <c r="AN163" s="35" t="n">
        <v>0</v>
      </c>
      <c r="AO163" s="35" t="n">
        <v>0</v>
      </c>
      <c r="AP163" s="35" t="n">
        <v>0</v>
      </c>
      <c r="AQ163" s="35" t="n">
        <v>0</v>
      </c>
      <c r="AR163" s="35" t="n">
        <v>0</v>
      </c>
      <c r="AS163" s="35" t="n">
        <v>0</v>
      </c>
      <c r="AT163" s="35" t="n">
        <v>0</v>
      </c>
      <c r="AU163" s="35" t="n">
        <v>0</v>
      </c>
      <c r="AV163" s="35" t="n">
        <v>0</v>
      </c>
      <c r="AW163" s="35" t="n">
        <v>0</v>
      </c>
      <c r="AX163" s="35" t="n">
        <v>0</v>
      </c>
      <c r="AY163" s="35" t="n">
        <v>0</v>
      </c>
      <c r="AZ163" s="35" t="n">
        <v>0</v>
      </c>
      <c r="BA163" s="35" t="n">
        <v>0</v>
      </c>
      <c r="BB163" s="35" t="n">
        <v>0</v>
      </c>
      <c r="BC163" s="35" t="n">
        <v>0</v>
      </c>
      <c r="BD163" s="35" t="n">
        <v>0</v>
      </c>
    </row>
    <row r="164">
      <c r="A164" s="28" t="inlineStr">
        <is>
          <t xml:space="preserve">   Harvest Crew — overtime CAP</t>
        </is>
      </c>
      <c r="B164" s="2" t="inlineStr">
        <is>
          <t>hrs</t>
        </is>
      </c>
      <c r="E164" s="36">
        <f>MAX(0,$B$37-1)*E154</f>
        <v/>
      </c>
      <c r="F164" s="36">
        <f>MAX(0,$B$37-1)*F154</f>
        <v/>
      </c>
      <c r="G164" s="36">
        <f>MAX(0,$B$37-1)*G154</f>
        <v/>
      </c>
      <c r="H164" s="36">
        <f>MAX(0,$B$37-1)*H154</f>
        <v/>
      </c>
      <c r="I164" s="36">
        <f>MAX(0,$B$37-1)*I154</f>
        <v/>
      </c>
      <c r="J164" s="36">
        <f>MAX(0,$B$37-1)*J154</f>
        <v/>
      </c>
      <c r="K164" s="36">
        <f>MAX(0,$B$37-1)*K154</f>
        <v/>
      </c>
      <c r="L164" s="36">
        <f>MAX(0,$B$37-1)*L154</f>
        <v/>
      </c>
      <c r="M164" s="36">
        <f>MAX(0,$B$37-1)*M154</f>
        <v/>
      </c>
      <c r="N164" s="36">
        <f>MAX(0,$B$37-1)*N154</f>
        <v/>
      </c>
      <c r="O164" s="36">
        <f>MAX(0,$B$37-1)*O154</f>
        <v/>
      </c>
      <c r="P164" s="36">
        <f>MAX(0,$B$37-1)*P154</f>
        <v/>
      </c>
      <c r="Q164" s="36">
        <f>MAX(0,$B$37-1)*Q154</f>
        <v/>
      </c>
      <c r="R164" s="36">
        <f>MAX(0,$B$37-1)*R154</f>
        <v/>
      </c>
      <c r="S164" s="36">
        <f>MAX(0,$B$37-1)*S154</f>
        <v/>
      </c>
      <c r="T164" s="36">
        <f>MAX(0,$B$37-1)*T154</f>
        <v/>
      </c>
      <c r="U164" s="36">
        <f>MAX(0,$B$37-1)*U154</f>
        <v/>
      </c>
      <c r="V164" s="36">
        <f>MAX(0,$B$37-1)*V154</f>
        <v/>
      </c>
      <c r="W164" s="36">
        <f>MAX(0,$B$37-1)*W154</f>
        <v/>
      </c>
      <c r="X164" s="36">
        <f>MAX(0,$B$37-1)*X154</f>
        <v/>
      </c>
      <c r="Y164" s="36">
        <f>MAX(0,$B$37-1)*Y154</f>
        <v/>
      </c>
      <c r="Z164" s="36">
        <f>MAX(0,$B$37-1)*Z154</f>
        <v/>
      </c>
      <c r="AA164" s="36">
        <f>MAX(0,$B$37-1)*AA154</f>
        <v/>
      </c>
      <c r="AB164" s="36">
        <f>MAX(0,$B$37-1)*AB154</f>
        <v/>
      </c>
      <c r="AC164" s="36">
        <f>MAX(0,$B$37-1)*AC154</f>
        <v/>
      </c>
      <c r="AD164" s="36">
        <f>MAX(0,$B$37-1)*AD154</f>
        <v/>
      </c>
      <c r="AE164" s="36">
        <f>MAX(0,$B$37-1)*AE154</f>
        <v/>
      </c>
      <c r="AF164" s="36">
        <f>MAX(0,$B$37-1)*AF154</f>
        <v/>
      </c>
      <c r="AG164" s="36">
        <f>MAX(0,$B$37-1)*AG154</f>
        <v/>
      </c>
      <c r="AH164" s="36">
        <f>MAX(0,$B$37-1)*AH154</f>
        <v/>
      </c>
      <c r="AI164" s="36">
        <f>MAX(0,$B$37-1)*AI154</f>
        <v/>
      </c>
      <c r="AJ164" s="36">
        <f>MAX(0,$B$37-1)*AJ154</f>
        <v/>
      </c>
      <c r="AK164" s="36">
        <f>MAX(0,$B$37-1)*AK154</f>
        <v/>
      </c>
      <c r="AL164" s="36">
        <f>MAX(0,$B$37-1)*AL154</f>
        <v/>
      </c>
      <c r="AM164" s="36">
        <f>MAX(0,$B$37-1)*AM154</f>
        <v/>
      </c>
      <c r="AN164" s="36">
        <f>MAX(0,$B$37-1)*AN154</f>
        <v/>
      </c>
      <c r="AO164" s="36">
        <f>MAX(0,$B$37-1)*AO154</f>
        <v/>
      </c>
      <c r="AP164" s="36">
        <f>MAX(0,$B$37-1)*AP154</f>
        <v/>
      </c>
      <c r="AQ164" s="36">
        <f>MAX(0,$B$37-1)*AQ154</f>
        <v/>
      </c>
      <c r="AR164" s="36">
        <f>MAX(0,$B$37-1)*AR154</f>
        <v/>
      </c>
      <c r="AS164" s="36">
        <f>MAX(0,$B$37-1)*AS154</f>
        <v/>
      </c>
      <c r="AT164" s="36">
        <f>MAX(0,$B$37-1)*AT154</f>
        <v/>
      </c>
      <c r="AU164" s="36">
        <f>MAX(0,$B$37-1)*AU154</f>
        <v/>
      </c>
      <c r="AV164" s="36">
        <f>MAX(0,$B$37-1)*AV154</f>
        <v/>
      </c>
      <c r="AW164" s="36">
        <f>MAX(0,$B$37-1)*AW154</f>
        <v/>
      </c>
      <c r="AX164" s="36">
        <f>MAX(0,$B$37-1)*AX154</f>
        <v/>
      </c>
      <c r="AY164" s="36">
        <f>MAX(0,$B$37-1)*AY154</f>
        <v/>
      </c>
      <c r="AZ164" s="36">
        <f>MAX(0,$B$37-1)*AZ154</f>
        <v/>
      </c>
      <c r="BA164" s="36">
        <f>MAX(0,$B$37-1)*BA154</f>
        <v/>
      </c>
      <c r="BB164" s="36">
        <f>MAX(0,$B$37-1)*BB154</f>
        <v/>
      </c>
      <c r="BC164" s="36">
        <f>MAX(0,$B$37-1)*BC154</f>
        <v/>
      </c>
      <c r="BD164" s="36">
        <f>MAX(0,$B$37-1)*BD154</f>
        <v/>
      </c>
    </row>
    <row r="165">
      <c r="A165" s="27" t="inlineStr">
        <is>
          <t xml:space="preserve">   Harvest Crew — OVERTIME hrs</t>
        </is>
      </c>
      <c r="B165" s="2" t="inlineStr">
        <is>
          <t>hrs &lt;-- SOLVER</t>
        </is>
      </c>
      <c r="E165" s="35" t="n">
        <v>0</v>
      </c>
      <c r="F165" s="35" t="n">
        <v>0</v>
      </c>
      <c r="G165" s="35" t="n">
        <v>0</v>
      </c>
      <c r="H165" s="35" t="n">
        <v>0</v>
      </c>
      <c r="I165" s="35" t="n">
        <v>0</v>
      </c>
      <c r="J165" s="35" t="n">
        <v>0</v>
      </c>
      <c r="K165" s="35" t="n">
        <v>0</v>
      </c>
      <c r="L165" s="35" t="n">
        <v>0</v>
      </c>
      <c r="M165" s="35" t="n">
        <v>0</v>
      </c>
      <c r="N165" s="35" t="n">
        <v>0</v>
      </c>
      <c r="O165" s="35" t="n">
        <v>0</v>
      </c>
      <c r="P165" s="35" t="n">
        <v>0</v>
      </c>
      <c r="Q165" s="35" t="n">
        <v>0</v>
      </c>
      <c r="R165" s="35" t="n">
        <v>0</v>
      </c>
      <c r="S165" s="35" t="n">
        <v>0</v>
      </c>
      <c r="T165" s="35" t="n">
        <v>0</v>
      </c>
      <c r="U165" s="35" t="n">
        <v>0</v>
      </c>
      <c r="V165" s="35" t="n">
        <v>0</v>
      </c>
      <c r="W165" s="35" t="n">
        <v>0</v>
      </c>
      <c r="X165" s="35" t="n">
        <v>0</v>
      </c>
      <c r="Y165" s="35" t="n">
        <v>0</v>
      </c>
      <c r="Z165" s="35" t="n">
        <v>0</v>
      </c>
      <c r="AA165" s="35" t="n">
        <v>0</v>
      </c>
      <c r="AB165" s="35" t="n">
        <v>0</v>
      </c>
      <c r="AC165" s="35" t="n">
        <v>0</v>
      </c>
      <c r="AD165" s="35" t="n">
        <v>0</v>
      </c>
      <c r="AE165" s="35" t="n">
        <v>0</v>
      </c>
      <c r="AF165" s="35" t="n">
        <v>0</v>
      </c>
      <c r="AG165" s="35" t="n">
        <v>0</v>
      </c>
      <c r="AH165" s="35" t="n">
        <v>0</v>
      </c>
      <c r="AI165" s="35" t="n">
        <v>0</v>
      </c>
      <c r="AJ165" s="35" t="n">
        <v>0</v>
      </c>
      <c r="AK165" s="35" t="n">
        <v>0</v>
      </c>
      <c r="AL165" s="35" t="n">
        <v>0</v>
      </c>
      <c r="AM165" s="35" t="n">
        <v>0</v>
      </c>
      <c r="AN165" s="35" t="n">
        <v>0</v>
      </c>
      <c r="AO165" s="35" t="n">
        <v>0</v>
      </c>
      <c r="AP165" s="35" t="n">
        <v>0</v>
      </c>
      <c r="AQ165" s="35" t="n">
        <v>0</v>
      </c>
      <c r="AR165" s="35" t="n">
        <v>0</v>
      </c>
      <c r="AS165" s="35" t="n">
        <v>0</v>
      </c>
      <c r="AT165" s="35" t="n">
        <v>0</v>
      </c>
      <c r="AU165" s="35" t="n">
        <v>0</v>
      </c>
      <c r="AV165" s="35" t="n">
        <v>0</v>
      </c>
      <c r="AW165" s="35" t="n">
        <v>0</v>
      </c>
      <c r="AX165" s="35" t="n">
        <v>0</v>
      </c>
      <c r="AY165" s="35" t="n">
        <v>0</v>
      </c>
      <c r="AZ165" s="35" t="n">
        <v>0</v>
      </c>
      <c r="BA165" s="35" t="n">
        <v>0</v>
      </c>
      <c r="BB165" s="35" t="n">
        <v>0</v>
      </c>
      <c r="BC165" s="35" t="n">
        <v>0</v>
      </c>
      <c r="BD165" s="35" t="n">
        <v>0</v>
      </c>
    </row>
    <row r="166">
      <c r="A166" s="2" t="inlineStr">
        <is>
          <t xml:space="preserve">   One cap and one decision per role. The RATE is that role's own wage — see block D — so the plan can prefer the cheap overtime, which a single blended rate could never express.</t>
        </is>
      </c>
    </row>
    <row r="167">
      <c r="A167" s="28" t="inlineStr">
        <is>
          <t>Harvest hours relieved</t>
        </is>
      </c>
      <c r="B167" s="2" t="inlineStr">
        <is>
          <t>hrs</t>
        </is>
      </c>
      <c r="E167" s="36">
        <f>E63</f>
        <v/>
      </c>
      <c r="F167" s="36">
        <f>F63</f>
        <v/>
      </c>
      <c r="G167" s="36">
        <f>G63</f>
        <v/>
      </c>
      <c r="H167" s="36">
        <f>H63</f>
        <v/>
      </c>
      <c r="I167" s="36">
        <f>I63</f>
        <v/>
      </c>
      <c r="J167" s="36">
        <f>J63</f>
        <v/>
      </c>
      <c r="K167" s="36">
        <f>K63</f>
        <v/>
      </c>
      <c r="L167" s="36">
        <f>L63</f>
        <v/>
      </c>
      <c r="M167" s="36">
        <f>M63</f>
        <v/>
      </c>
      <c r="N167" s="36">
        <f>N63</f>
        <v/>
      </c>
      <c r="O167" s="36">
        <f>O63</f>
        <v/>
      </c>
      <c r="P167" s="36">
        <f>P63</f>
        <v/>
      </c>
      <c r="Q167" s="36">
        <f>Q63</f>
        <v/>
      </c>
      <c r="R167" s="36">
        <f>R63</f>
        <v/>
      </c>
      <c r="S167" s="36">
        <f>S63</f>
        <v/>
      </c>
      <c r="T167" s="36">
        <f>T63</f>
        <v/>
      </c>
      <c r="U167" s="36">
        <f>U63</f>
        <v/>
      </c>
      <c r="V167" s="36">
        <f>V63</f>
        <v/>
      </c>
      <c r="W167" s="36">
        <f>W63</f>
        <v/>
      </c>
      <c r="X167" s="36">
        <f>X63</f>
        <v/>
      </c>
      <c r="Y167" s="36">
        <f>Y63</f>
        <v/>
      </c>
      <c r="Z167" s="36">
        <f>Z63</f>
        <v/>
      </c>
      <c r="AA167" s="36">
        <f>AA63</f>
        <v/>
      </c>
      <c r="AB167" s="36">
        <f>AB63</f>
        <v/>
      </c>
      <c r="AC167" s="36">
        <f>AC63</f>
        <v/>
      </c>
      <c r="AD167" s="36">
        <f>AD63</f>
        <v/>
      </c>
      <c r="AE167" s="36">
        <f>AE63</f>
        <v/>
      </c>
      <c r="AF167" s="36">
        <f>AF63</f>
        <v/>
      </c>
      <c r="AG167" s="36">
        <f>AG63</f>
        <v/>
      </c>
      <c r="AH167" s="36">
        <f>AH63</f>
        <v/>
      </c>
      <c r="AI167" s="36">
        <f>AI63</f>
        <v/>
      </c>
      <c r="AJ167" s="36">
        <f>AJ63</f>
        <v/>
      </c>
      <c r="AK167" s="36">
        <f>AK63</f>
        <v/>
      </c>
      <c r="AL167" s="36">
        <f>AL63</f>
        <v/>
      </c>
      <c r="AM167" s="36">
        <f>AM63</f>
        <v/>
      </c>
      <c r="AN167" s="36">
        <f>AN63</f>
        <v/>
      </c>
      <c r="AO167" s="36">
        <f>AO63</f>
        <v/>
      </c>
      <c r="AP167" s="36">
        <f>AP63</f>
        <v/>
      </c>
      <c r="AQ167" s="36">
        <f>AQ63</f>
        <v/>
      </c>
      <c r="AR167" s="36">
        <f>AR63</f>
        <v/>
      </c>
      <c r="AS167" s="36">
        <f>AS63</f>
        <v/>
      </c>
      <c r="AT167" s="36">
        <f>AT63</f>
        <v/>
      </c>
      <c r="AU167" s="36">
        <f>AU63</f>
        <v/>
      </c>
      <c r="AV167" s="36">
        <f>AV63</f>
        <v/>
      </c>
      <c r="AW167" s="36">
        <f>AW63</f>
        <v/>
      </c>
      <c r="AX167" s="36">
        <f>AX63</f>
        <v/>
      </c>
      <c r="AY167" s="36">
        <f>AY63</f>
        <v/>
      </c>
      <c r="AZ167" s="36">
        <f>AZ63</f>
        <v/>
      </c>
      <c r="BA167" s="36">
        <f>BA63</f>
        <v/>
      </c>
      <c r="BB167" s="36">
        <f>BB63</f>
        <v/>
      </c>
      <c r="BC167" s="36">
        <f>BC63</f>
        <v/>
      </c>
      <c r="BD167" s="36">
        <f>BD63</f>
        <v/>
      </c>
    </row>
    <row r="168">
      <c r="A168" s="2" t="inlineStr">
        <is>
          <t xml:space="preserve">   ⚠️ The piece-rate crew changes the HOURS you need, not the wages you owe — the committed crew is paid either way. Bounded below by the harvest hours actually needed, or pickers would be relieving the planting.</t>
        </is>
      </c>
    </row>
    <row r="169">
      <c r="A169" s="4" t="inlineStr">
        <is>
          <t>HOURS AVAILABLE</t>
        </is>
      </c>
      <c r="B169" s="2" t="inlineStr">
        <is>
          <t>hrs</t>
        </is>
      </c>
      <c r="E169" s="36">
        <f>E155+E161+E163+E165</f>
        <v/>
      </c>
      <c r="F169" s="36">
        <f>F155+F161+F163+F165</f>
        <v/>
      </c>
      <c r="G169" s="36">
        <f>G155+G161+G163+G165</f>
        <v/>
      </c>
      <c r="H169" s="36">
        <f>H155+H161+H163+H165</f>
        <v/>
      </c>
      <c r="I169" s="36">
        <f>I155+I161+I163+I165</f>
        <v/>
      </c>
      <c r="J169" s="36">
        <f>J155+J161+J163+J165</f>
        <v/>
      </c>
      <c r="K169" s="36">
        <f>K155+K161+K163+K165</f>
        <v/>
      </c>
      <c r="L169" s="36">
        <f>L155+L161+L163+L165</f>
        <v/>
      </c>
      <c r="M169" s="36">
        <f>M155+M161+M163+M165</f>
        <v/>
      </c>
      <c r="N169" s="36">
        <f>N155+N161+N163+N165</f>
        <v/>
      </c>
      <c r="O169" s="36">
        <f>O155+O161+O163+O165</f>
        <v/>
      </c>
      <c r="P169" s="36">
        <f>P155+P161+P163+P165</f>
        <v/>
      </c>
      <c r="Q169" s="36">
        <f>Q155+Q161+Q163+Q165</f>
        <v/>
      </c>
      <c r="R169" s="36">
        <f>R155+R161+R163+R165</f>
        <v/>
      </c>
      <c r="S169" s="36">
        <f>S155+S161+S163+S165</f>
        <v/>
      </c>
      <c r="T169" s="36">
        <f>T155+T161+T163+T165</f>
        <v/>
      </c>
      <c r="U169" s="36">
        <f>U155+U161+U163+U165</f>
        <v/>
      </c>
      <c r="V169" s="36">
        <f>V155+V161+V163+V165</f>
        <v/>
      </c>
      <c r="W169" s="36">
        <f>W155+W161+W163+W165</f>
        <v/>
      </c>
      <c r="X169" s="36">
        <f>X155+X161+X163+X165</f>
        <v/>
      </c>
      <c r="Y169" s="36">
        <f>Y155+Y161+Y163+Y165</f>
        <v/>
      </c>
      <c r="Z169" s="36">
        <f>Z155+Z161+Z163+Z165</f>
        <v/>
      </c>
      <c r="AA169" s="36">
        <f>AA155+AA161+AA163+AA165</f>
        <v/>
      </c>
      <c r="AB169" s="36">
        <f>AB155+AB161+AB163+AB165</f>
        <v/>
      </c>
      <c r="AC169" s="36">
        <f>AC155+AC161+AC163+AC165</f>
        <v/>
      </c>
      <c r="AD169" s="36">
        <f>AD155+AD161+AD163+AD165</f>
        <v/>
      </c>
      <c r="AE169" s="36">
        <f>AE155+AE161+AE163+AE165</f>
        <v/>
      </c>
      <c r="AF169" s="36">
        <f>AF155+AF161+AF163+AF165</f>
        <v/>
      </c>
      <c r="AG169" s="36">
        <f>AG155+AG161+AG163+AG165</f>
        <v/>
      </c>
      <c r="AH169" s="36">
        <f>AH155+AH161+AH163+AH165</f>
        <v/>
      </c>
      <c r="AI169" s="36">
        <f>AI155+AI161+AI163+AI165</f>
        <v/>
      </c>
      <c r="AJ169" s="36">
        <f>AJ155+AJ161+AJ163+AJ165</f>
        <v/>
      </c>
      <c r="AK169" s="36">
        <f>AK155+AK161+AK163+AK165</f>
        <v/>
      </c>
      <c r="AL169" s="36">
        <f>AL155+AL161+AL163+AL165</f>
        <v/>
      </c>
      <c r="AM169" s="36">
        <f>AM155+AM161+AM163+AM165</f>
        <v/>
      </c>
      <c r="AN169" s="36">
        <f>AN155+AN161+AN163+AN165</f>
        <v/>
      </c>
      <c r="AO169" s="36">
        <f>AO155+AO161+AO163+AO165</f>
        <v/>
      </c>
      <c r="AP169" s="36">
        <f>AP155+AP161+AP163+AP165</f>
        <v/>
      </c>
      <c r="AQ169" s="36">
        <f>AQ155+AQ161+AQ163+AQ165</f>
        <v/>
      </c>
      <c r="AR169" s="36">
        <f>AR155+AR161+AR163+AR165</f>
        <v/>
      </c>
      <c r="AS169" s="36">
        <f>AS155+AS161+AS163+AS165</f>
        <v/>
      </c>
      <c r="AT169" s="36">
        <f>AT155+AT161+AT163+AT165</f>
        <v/>
      </c>
      <c r="AU169" s="36">
        <f>AU155+AU161+AU163+AU165</f>
        <v/>
      </c>
      <c r="AV169" s="36">
        <f>AV155+AV161+AV163+AV165</f>
        <v/>
      </c>
      <c r="AW169" s="36">
        <f>AW155+AW161+AW163+AW165</f>
        <v/>
      </c>
      <c r="AX169" s="36">
        <f>AX155+AX161+AX163+AX165</f>
        <v/>
      </c>
      <c r="AY169" s="36">
        <f>AY155+AY161+AY163+AY165</f>
        <v/>
      </c>
      <c r="AZ169" s="36">
        <f>AZ155+AZ161+AZ163+AZ165</f>
        <v/>
      </c>
      <c r="BA169" s="36">
        <f>BA155+BA161+BA163+BA165</f>
        <v/>
      </c>
      <c r="BB169" s="36">
        <f>BB155+BB161+BB163+BB165</f>
        <v/>
      </c>
      <c r="BC169" s="36">
        <f>BC155+BC161+BC163+BC165</f>
        <v/>
      </c>
      <c r="BD169" s="36">
        <f>BD155+BD161+BD163+BD165</f>
        <v/>
      </c>
    </row>
    <row r="170">
      <c r="A170" s="2" t="inlineStr">
        <is>
          <t xml:space="preserve">   Crew capacity plus every role's overtime. The piece-rate crew is NOT in here — it removes hours from the demand side instead, which is block C.</t>
        </is>
      </c>
    </row>
    <row r="172">
      <c r="A172" s="3" t="inlineStr">
        <is>
          <t>C — THE LIMITS</t>
        </is>
      </c>
    </row>
    <row r="173">
      <c r="A173" s="32" t="inlineStr">
        <is>
          <t>Week</t>
        </is>
      </c>
      <c r="B173" s="33" t="inlineStr">
        <is>
          <t>hours</t>
        </is>
      </c>
      <c r="E173" s="34" t="n">
        <v>1</v>
      </c>
      <c r="F173" s="34" t="n">
        <v>2</v>
      </c>
      <c r="G173" s="34" t="n">
        <v>3</v>
      </c>
      <c r="H173" s="34" t="n">
        <v>4</v>
      </c>
      <c r="I173" s="34" t="n">
        <v>5</v>
      </c>
      <c r="J173" s="34" t="n">
        <v>6</v>
      </c>
      <c r="K173" s="34" t="n">
        <v>7</v>
      </c>
      <c r="L173" s="34" t="n">
        <v>8</v>
      </c>
      <c r="M173" s="34" t="n">
        <v>9</v>
      </c>
      <c r="N173" s="34" t="n">
        <v>10</v>
      </c>
      <c r="O173" s="34" t="n">
        <v>11</v>
      </c>
      <c r="P173" s="34" t="n">
        <v>12</v>
      </c>
      <c r="Q173" s="34" t="n">
        <v>13</v>
      </c>
      <c r="R173" s="34" t="n">
        <v>14</v>
      </c>
      <c r="S173" s="34" t="n">
        <v>15</v>
      </c>
      <c r="T173" s="34" t="n">
        <v>16</v>
      </c>
      <c r="U173" s="34" t="n">
        <v>17</v>
      </c>
      <c r="V173" s="34" t="n">
        <v>18</v>
      </c>
      <c r="W173" s="34" t="n">
        <v>19</v>
      </c>
      <c r="X173" s="34" t="n">
        <v>20</v>
      </c>
      <c r="Y173" s="34" t="n">
        <v>21</v>
      </c>
      <c r="Z173" s="34" t="n">
        <v>22</v>
      </c>
      <c r="AA173" s="34" t="n">
        <v>23</v>
      </c>
      <c r="AB173" s="34" t="n">
        <v>24</v>
      </c>
      <c r="AC173" s="34" t="n">
        <v>25</v>
      </c>
      <c r="AD173" s="34" t="n">
        <v>26</v>
      </c>
      <c r="AE173" s="34" t="n">
        <v>27</v>
      </c>
      <c r="AF173" s="34" t="n">
        <v>28</v>
      </c>
      <c r="AG173" s="34" t="n">
        <v>29</v>
      </c>
      <c r="AH173" s="34" t="n">
        <v>30</v>
      </c>
      <c r="AI173" s="34" t="n">
        <v>31</v>
      </c>
      <c r="AJ173" s="34" t="n">
        <v>32</v>
      </c>
      <c r="AK173" s="34" t="n">
        <v>33</v>
      </c>
      <c r="AL173" s="34" t="n">
        <v>34</v>
      </c>
      <c r="AM173" s="34" t="n">
        <v>35</v>
      </c>
      <c r="AN173" s="34" t="n">
        <v>36</v>
      </c>
      <c r="AO173" s="34" t="n">
        <v>37</v>
      </c>
      <c r="AP173" s="34" t="n">
        <v>38</v>
      </c>
      <c r="AQ173" s="34" t="n">
        <v>39</v>
      </c>
      <c r="AR173" s="34" t="n">
        <v>40</v>
      </c>
      <c r="AS173" s="34" t="n">
        <v>41</v>
      </c>
      <c r="AT173" s="34" t="n">
        <v>42</v>
      </c>
      <c r="AU173" s="34" t="n">
        <v>43</v>
      </c>
      <c r="AV173" s="34" t="n">
        <v>44</v>
      </c>
      <c r="AW173" s="34" t="n">
        <v>45</v>
      </c>
      <c r="AX173" s="34" t="n">
        <v>46</v>
      </c>
      <c r="AY173" s="34" t="n">
        <v>47</v>
      </c>
      <c r="AZ173" s="34" t="n">
        <v>48</v>
      </c>
      <c r="BA173" s="34" t="n">
        <v>49</v>
      </c>
      <c r="BB173" s="34" t="n">
        <v>50</v>
      </c>
      <c r="BC173" s="34" t="n">
        <v>51</v>
      </c>
      <c r="BD173" s="34" t="n">
        <v>52</v>
      </c>
    </row>
    <row r="174">
      <c r="A174" s="37" t="inlineStr">
        <is>
          <t>CROP HOURS needed</t>
        </is>
      </c>
      <c r="B174" s="2" t="inlineStr">
        <is>
          <t>used</t>
        </is>
      </c>
      <c r="E174" s="38">
        <f>SUMPRODUCT(($B$71:$B$138="Spinach")*(E$71:E$138="P")*$C$71:$C$138)*$N$12+SUMPRODUCT(($B$71:$B$138="Spinach")*(E$71:E$138="G")*$C$71:$C$138)*$O$12+SUMPRODUCT(($B$71:$B$138="Spinach")*(E$71:E$138="H")*$C$71:$C$138)*$P$12+SUMPRODUCT(($B$71:$B$138="Kale")*(E$71:E$138="P")*$C$71:$C$138)*$N$13+SUMPRODUCT(($B$71:$B$138="Kale")*(E$71:E$138="G")*$C$71:$C$138)*$O$13+SUMPRODUCT(($B$71:$B$138="Kale")*(E$71:E$138="H")*$C$71:$C$138)*$P$13+SUMPRODUCT(($B$71:$B$138="Garlic")*(E$71:E$138="P")*$C$71:$C$138)*$N$14+SUMPRODUCT(($B$71:$B$138="Garlic")*(E$71:E$138="G")*$C$71:$C$138)*$O$14+SUMPRODUCT(($B$71:$B$138="Garlic")*(E$71:E$138="H")*$C$71:$C$138)*$P$14-E167</f>
        <v/>
      </c>
      <c r="F174" s="38">
        <f>SUMPRODUCT(($B$71:$B$138="Spinach")*(F$71:F$138="P")*$C$71:$C$138)*$N$12+SUMPRODUCT(($B$71:$B$138="Spinach")*(F$71:F$138="G")*$C$71:$C$138)*$O$12+SUMPRODUCT(($B$71:$B$138="Spinach")*(F$71:F$138="H")*$C$71:$C$138)*$P$12+SUMPRODUCT(($B$71:$B$138="Kale")*(F$71:F$138="P")*$C$71:$C$138)*$N$13+SUMPRODUCT(($B$71:$B$138="Kale")*(F$71:F$138="G")*$C$71:$C$138)*$O$13+SUMPRODUCT(($B$71:$B$138="Kale")*(F$71:F$138="H")*$C$71:$C$138)*$P$13+SUMPRODUCT(($B$71:$B$138="Garlic")*(F$71:F$138="P")*$C$71:$C$138)*$N$14+SUMPRODUCT(($B$71:$B$138="Garlic")*(F$71:F$138="G")*$C$71:$C$138)*$O$14+SUMPRODUCT(($B$71:$B$138="Garlic")*(F$71:F$138="H")*$C$71:$C$138)*$P$14-F167</f>
        <v/>
      </c>
      <c r="G174" s="38">
        <f>SUMPRODUCT(($B$71:$B$138="Spinach")*(G$71:G$138="P")*$C$71:$C$138)*$N$12+SUMPRODUCT(($B$71:$B$138="Spinach")*(G$71:G$138="G")*$C$71:$C$138)*$O$12+SUMPRODUCT(($B$71:$B$138="Spinach")*(G$71:G$138="H")*$C$71:$C$138)*$P$12+SUMPRODUCT(($B$71:$B$138="Kale")*(G$71:G$138="P")*$C$71:$C$138)*$N$13+SUMPRODUCT(($B$71:$B$138="Kale")*(G$71:G$138="G")*$C$71:$C$138)*$O$13+SUMPRODUCT(($B$71:$B$138="Kale")*(G$71:G$138="H")*$C$71:$C$138)*$P$13+SUMPRODUCT(($B$71:$B$138="Garlic")*(G$71:G$138="P")*$C$71:$C$138)*$N$14+SUMPRODUCT(($B$71:$B$138="Garlic")*(G$71:G$138="G")*$C$71:$C$138)*$O$14+SUMPRODUCT(($B$71:$B$138="Garlic")*(G$71:G$138="H")*$C$71:$C$138)*$P$14-G167</f>
        <v/>
      </c>
      <c r="H174" s="38">
        <f>SUMPRODUCT(($B$71:$B$138="Spinach")*(H$71:H$138="P")*$C$71:$C$138)*$N$12+SUMPRODUCT(($B$71:$B$138="Spinach")*(H$71:H$138="G")*$C$71:$C$138)*$O$12+SUMPRODUCT(($B$71:$B$138="Spinach")*(H$71:H$138="H")*$C$71:$C$138)*$P$12+SUMPRODUCT(($B$71:$B$138="Kale")*(H$71:H$138="P")*$C$71:$C$138)*$N$13+SUMPRODUCT(($B$71:$B$138="Kale")*(H$71:H$138="G")*$C$71:$C$138)*$O$13+SUMPRODUCT(($B$71:$B$138="Kale")*(H$71:H$138="H")*$C$71:$C$138)*$P$13+SUMPRODUCT(($B$71:$B$138="Garlic")*(H$71:H$138="P")*$C$71:$C$138)*$N$14+SUMPRODUCT(($B$71:$B$138="Garlic")*(H$71:H$138="G")*$C$71:$C$138)*$O$14+SUMPRODUCT(($B$71:$B$138="Garlic")*(H$71:H$138="H")*$C$71:$C$138)*$P$14-H167</f>
        <v/>
      </c>
      <c r="I174" s="38">
        <f>SUMPRODUCT(($B$71:$B$138="Spinach")*(I$71:I$138="P")*$C$71:$C$138)*$N$12+SUMPRODUCT(($B$71:$B$138="Spinach")*(I$71:I$138="G")*$C$71:$C$138)*$O$12+SUMPRODUCT(($B$71:$B$138="Spinach")*(I$71:I$138="H")*$C$71:$C$138)*$P$12+SUMPRODUCT(($B$71:$B$138="Kale")*(I$71:I$138="P")*$C$71:$C$138)*$N$13+SUMPRODUCT(($B$71:$B$138="Kale")*(I$71:I$138="G")*$C$71:$C$138)*$O$13+SUMPRODUCT(($B$71:$B$138="Kale")*(I$71:I$138="H")*$C$71:$C$138)*$P$13+SUMPRODUCT(($B$71:$B$138="Garlic")*(I$71:I$138="P")*$C$71:$C$138)*$N$14+SUMPRODUCT(($B$71:$B$138="Garlic")*(I$71:I$138="G")*$C$71:$C$138)*$O$14+SUMPRODUCT(($B$71:$B$138="Garlic")*(I$71:I$138="H")*$C$71:$C$138)*$P$14-I167</f>
        <v/>
      </c>
      <c r="J174" s="38">
        <f>SUMPRODUCT(($B$71:$B$138="Spinach")*(J$71:J$138="P")*$C$71:$C$138)*$N$12+SUMPRODUCT(($B$71:$B$138="Spinach")*(J$71:J$138="G")*$C$71:$C$138)*$O$12+SUMPRODUCT(($B$71:$B$138="Spinach")*(J$71:J$138="H")*$C$71:$C$138)*$P$12+SUMPRODUCT(($B$71:$B$138="Kale")*(J$71:J$138="P")*$C$71:$C$138)*$N$13+SUMPRODUCT(($B$71:$B$138="Kale")*(J$71:J$138="G")*$C$71:$C$138)*$O$13+SUMPRODUCT(($B$71:$B$138="Kale")*(J$71:J$138="H")*$C$71:$C$138)*$P$13+SUMPRODUCT(($B$71:$B$138="Garlic")*(J$71:J$138="P")*$C$71:$C$138)*$N$14+SUMPRODUCT(($B$71:$B$138="Garlic")*(J$71:J$138="G")*$C$71:$C$138)*$O$14+SUMPRODUCT(($B$71:$B$138="Garlic")*(J$71:J$138="H")*$C$71:$C$138)*$P$14-J167</f>
        <v/>
      </c>
      <c r="K174" s="38">
        <f>SUMPRODUCT(($B$71:$B$138="Spinach")*(K$71:K$138="P")*$C$71:$C$138)*$N$12+SUMPRODUCT(($B$71:$B$138="Spinach")*(K$71:K$138="G")*$C$71:$C$138)*$O$12+SUMPRODUCT(($B$71:$B$138="Spinach")*(K$71:K$138="H")*$C$71:$C$138)*$P$12+SUMPRODUCT(($B$71:$B$138="Kale")*(K$71:K$138="P")*$C$71:$C$138)*$N$13+SUMPRODUCT(($B$71:$B$138="Kale")*(K$71:K$138="G")*$C$71:$C$138)*$O$13+SUMPRODUCT(($B$71:$B$138="Kale")*(K$71:K$138="H")*$C$71:$C$138)*$P$13+SUMPRODUCT(($B$71:$B$138="Garlic")*(K$71:K$138="P")*$C$71:$C$138)*$N$14+SUMPRODUCT(($B$71:$B$138="Garlic")*(K$71:K$138="G")*$C$71:$C$138)*$O$14+SUMPRODUCT(($B$71:$B$138="Garlic")*(K$71:K$138="H")*$C$71:$C$138)*$P$14-K167</f>
        <v/>
      </c>
      <c r="L174" s="38">
        <f>SUMPRODUCT(($B$71:$B$138="Spinach")*(L$71:L$138="P")*$C$71:$C$138)*$N$12+SUMPRODUCT(($B$71:$B$138="Spinach")*(L$71:L$138="G")*$C$71:$C$138)*$O$12+SUMPRODUCT(($B$71:$B$138="Spinach")*(L$71:L$138="H")*$C$71:$C$138)*$P$12+SUMPRODUCT(($B$71:$B$138="Kale")*(L$71:L$138="P")*$C$71:$C$138)*$N$13+SUMPRODUCT(($B$71:$B$138="Kale")*(L$71:L$138="G")*$C$71:$C$138)*$O$13+SUMPRODUCT(($B$71:$B$138="Kale")*(L$71:L$138="H")*$C$71:$C$138)*$P$13+SUMPRODUCT(($B$71:$B$138="Garlic")*(L$71:L$138="P")*$C$71:$C$138)*$N$14+SUMPRODUCT(($B$71:$B$138="Garlic")*(L$71:L$138="G")*$C$71:$C$138)*$O$14+SUMPRODUCT(($B$71:$B$138="Garlic")*(L$71:L$138="H")*$C$71:$C$138)*$P$14-L167</f>
        <v/>
      </c>
      <c r="M174" s="38">
        <f>SUMPRODUCT(($B$71:$B$138="Spinach")*(M$71:M$138="P")*$C$71:$C$138)*$N$12+SUMPRODUCT(($B$71:$B$138="Spinach")*(M$71:M$138="G")*$C$71:$C$138)*$O$12+SUMPRODUCT(($B$71:$B$138="Spinach")*(M$71:M$138="H")*$C$71:$C$138)*$P$12+SUMPRODUCT(($B$71:$B$138="Kale")*(M$71:M$138="P")*$C$71:$C$138)*$N$13+SUMPRODUCT(($B$71:$B$138="Kale")*(M$71:M$138="G")*$C$71:$C$138)*$O$13+SUMPRODUCT(($B$71:$B$138="Kale")*(M$71:M$138="H")*$C$71:$C$138)*$P$13+SUMPRODUCT(($B$71:$B$138="Garlic")*(M$71:M$138="P")*$C$71:$C$138)*$N$14+SUMPRODUCT(($B$71:$B$138="Garlic")*(M$71:M$138="G")*$C$71:$C$138)*$O$14+SUMPRODUCT(($B$71:$B$138="Garlic")*(M$71:M$138="H")*$C$71:$C$138)*$P$14-M167</f>
        <v/>
      </c>
      <c r="N174" s="38">
        <f>SUMPRODUCT(($B$71:$B$138="Spinach")*(N$71:N$138="P")*$C$71:$C$138)*$N$12+SUMPRODUCT(($B$71:$B$138="Spinach")*(N$71:N$138="G")*$C$71:$C$138)*$O$12+SUMPRODUCT(($B$71:$B$138="Spinach")*(N$71:N$138="H")*$C$71:$C$138)*$P$12+SUMPRODUCT(($B$71:$B$138="Kale")*(N$71:N$138="P")*$C$71:$C$138)*$N$13+SUMPRODUCT(($B$71:$B$138="Kale")*(N$71:N$138="G")*$C$71:$C$138)*$O$13+SUMPRODUCT(($B$71:$B$138="Kale")*(N$71:N$138="H")*$C$71:$C$138)*$P$13+SUMPRODUCT(($B$71:$B$138="Garlic")*(N$71:N$138="P")*$C$71:$C$138)*$N$14+SUMPRODUCT(($B$71:$B$138="Garlic")*(N$71:N$138="G")*$C$71:$C$138)*$O$14+SUMPRODUCT(($B$71:$B$138="Garlic")*(N$71:N$138="H")*$C$71:$C$138)*$P$14-N167</f>
        <v/>
      </c>
      <c r="O174" s="38">
        <f>SUMPRODUCT(($B$71:$B$138="Spinach")*(O$71:O$138="P")*$C$71:$C$138)*$N$12+SUMPRODUCT(($B$71:$B$138="Spinach")*(O$71:O$138="G")*$C$71:$C$138)*$O$12+SUMPRODUCT(($B$71:$B$138="Spinach")*(O$71:O$138="H")*$C$71:$C$138)*$P$12+SUMPRODUCT(($B$71:$B$138="Kale")*(O$71:O$138="P")*$C$71:$C$138)*$N$13+SUMPRODUCT(($B$71:$B$138="Kale")*(O$71:O$138="G")*$C$71:$C$138)*$O$13+SUMPRODUCT(($B$71:$B$138="Kale")*(O$71:O$138="H")*$C$71:$C$138)*$P$13+SUMPRODUCT(($B$71:$B$138="Garlic")*(O$71:O$138="P")*$C$71:$C$138)*$N$14+SUMPRODUCT(($B$71:$B$138="Garlic")*(O$71:O$138="G")*$C$71:$C$138)*$O$14+SUMPRODUCT(($B$71:$B$138="Garlic")*(O$71:O$138="H")*$C$71:$C$138)*$P$14-O167</f>
        <v/>
      </c>
      <c r="P174" s="38">
        <f>SUMPRODUCT(($B$71:$B$138="Spinach")*(P$71:P$138="P")*$C$71:$C$138)*$N$12+SUMPRODUCT(($B$71:$B$138="Spinach")*(P$71:P$138="G")*$C$71:$C$138)*$O$12+SUMPRODUCT(($B$71:$B$138="Spinach")*(P$71:P$138="H")*$C$71:$C$138)*$P$12+SUMPRODUCT(($B$71:$B$138="Kale")*(P$71:P$138="P")*$C$71:$C$138)*$N$13+SUMPRODUCT(($B$71:$B$138="Kale")*(P$71:P$138="G")*$C$71:$C$138)*$O$13+SUMPRODUCT(($B$71:$B$138="Kale")*(P$71:P$138="H")*$C$71:$C$138)*$P$13+SUMPRODUCT(($B$71:$B$138="Garlic")*(P$71:P$138="P")*$C$71:$C$138)*$N$14+SUMPRODUCT(($B$71:$B$138="Garlic")*(P$71:P$138="G")*$C$71:$C$138)*$O$14+SUMPRODUCT(($B$71:$B$138="Garlic")*(P$71:P$138="H")*$C$71:$C$138)*$P$14-P167</f>
        <v/>
      </c>
      <c r="Q174" s="38">
        <f>SUMPRODUCT(($B$71:$B$138="Spinach")*(Q$71:Q$138="P")*$C$71:$C$138)*$N$12+SUMPRODUCT(($B$71:$B$138="Spinach")*(Q$71:Q$138="G")*$C$71:$C$138)*$O$12+SUMPRODUCT(($B$71:$B$138="Spinach")*(Q$71:Q$138="H")*$C$71:$C$138)*$P$12+SUMPRODUCT(($B$71:$B$138="Kale")*(Q$71:Q$138="P")*$C$71:$C$138)*$N$13+SUMPRODUCT(($B$71:$B$138="Kale")*(Q$71:Q$138="G")*$C$71:$C$138)*$O$13+SUMPRODUCT(($B$71:$B$138="Kale")*(Q$71:Q$138="H")*$C$71:$C$138)*$P$13+SUMPRODUCT(($B$71:$B$138="Garlic")*(Q$71:Q$138="P")*$C$71:$C$138)*$N$14+SUMPRODUCT(($B$71:$B$138="Garlic")*(Q$71:Q$138="G")*$C$71:$C$138)*$O$14+SUMPRODUCT(($B$71:$B$138="Garlic")*(Q$71:Q$138="H")*$C$71:$C$138)*$P$14-Q167</f>
        <v/>
      </c>
      <c r="R174" s="38">
        <f>SUMPRODUCT(($B$71:$B$138="Spinach")*(R$71:R$138="P")*$C$71:$C$138)*$N$12+SUMPRODUCT(($B$71:$B$138="Spinach")*(R$71:R$138="G")*$C$71:$C$138)*$O$12+SUMPRODUCT(($B$71:$B$138="Spinach")*(R$71:R$138="H")*$C$71:$C$138)*$P$12+SUMPRODUCT(($B$71:$B$138="Kale")*(R$71:R$138="P")*$C$71:$C$138)*$N$13+SUMPRODUCT(($B$71:$B$138="Kale")*(R$71:R$138="G")*$C$71:$C$138)*$O$13+SUMPRODUCT(($B$71:$B$138="Kale")*(R$71:R$138="H")*$C$71:$C$138)*$P$13+SUMPRODUCT(($B$71:$B$138="Garlic")*(R$71:R$138="P")*$C$71:$C$138)*$N$14+SUMPRODUCT(($B$71:$B$138="Garlic")*(R$71:R$138="G")*$C$71:$C$138)*$O$14+SUMPRODUCT(($B$71:$B$138="Garlic")*(R$71:R$138="H")*$C$71:$C$138)*$P$14-R167</f>
        <v/>
      </c>
      <c r="S174" s="38">
        <f>SUMPRODUCT(($B$71:$B$138="Spinach")*(S$71:S$138="P")*$C$71:$C$138)*$N$12+SUMPRODUCT(($B$71:$B$138="Spinach")*(S$71:S$138="G")*$C$71:$C$138)*$O$12+SUMPRODUCT(($B$71:$B$138="Spinach")*(S$71:S$138="H")*$C$71:$C$138)*$P$12+SUMPRODUCT(($B$71:$B$138="Kale")*(S$71:S$138="P")*$C$71:$C$138)*$N$13+SUMPRODUCT(($B$71:$B$138="Kale")*(S$71:S$138="G")*$C$71:$C$138)*$O$13+SUMPRODUCT(($B$71:$B$138="Kale")*(S$71:S$138="H")*$C$71:$C$138)*$P$13+SUMPRODUCT(($B$71:$B$138="Garlic")*(S$71:S$138="P")*$C$71:$C$138)*$N$14+SUMPRODUCT(($B$71:$B$138="Garlic")*(S$71:S$138="G")*$C$71:$C$138)*$O$14+SUMPRODUCT(($B$71:$B$138="Garlic")*(S$71:S$138="H")*$C$71:$C$138)*$P$14-S167</f>
        <v/>
      </c>
      <c r="T174" s="38">
        <f>SUMPRODUCT(($B$71:$B$138="Spinach")*(T$71:T$138="P")*$C$71:$C$138)*$N$12+SUMPRODUCT(($B$71:$B$138="Spinach")*(T$71:T$138="G")*$C$71:$C$138)*$O$12+SUMPRODUCT(($B$71:$B$138="Spinach")*(T$71:T$138="H")*$C$71:$C$138)*$P$12+SUMPRODUCT(($B$71:$B$138="Kale")*(T$71:T$138="P")*$C$71:$C$138)*$N$13+SUMPRODUCT(($B$71:$B$138="Kale")*(T$71:T$138="G")*$C$71:$C$138)*$O$13+SUMPRODUCT(($B$71:$B$138="Kale")*(T$71:T$138="H")*$C$71:$C$138)*$P$13+SUMPRODUCT(($B$71:$B$138="Garlic")*(T$71:T$138="P")*$C$71:$C$138)*$N$14+SUMPRODUCT(($B$71:$B$138="Garlic")*(T$71:T$138="G")*$C$71:$C$138)*$O$14+SUMPRODUCT(($B$71:$B$138="Garlic")*(T$71:T$138="H")*$C$71:$C$138)*$P$14-T167</f>
        <v/>
      </c>
      <c r="U174" s="38">
        <f>SUMPRODUCT(($B$71:$B$138="Spinach")*(U$71:U$138="P")*$C$71:$C$138)*$N$12+SUMPRODUCT(($B$71:$B$138="Spinach")*(U$71:U$138="G")*$C$71:$C$138)*$O$12+SUMPRODUCT(($B$71:$B$138="Spinach")*(U$71:U$138="H")*$C$71:$C$138)*$P$12+SUMPRODUCT(($B$71:$B$138="Kale")*(U$71:U$138="P")*$C$71:$C$138)*$N$13+SUMPRODUCT(($B$71:$B$138="Kale")*(U$71:U$138="G")*$C$71:$C$138)*$O$13+SUMPRODUCT(($B$71:$B$138="Kale")*(U$71:U$138="H")*$C$71:$C$138)*$P$13+SUMPRODUCT(($B$71:$B$138="Garlic")*(U$71:U$138="P")*$C$71:$C$138)*$N$14+SUMPRODUCT(($B$71:$B$138="Garlic")*(U$71:U$138="G")*$C$71:$C$138)*$O$14+SUMPRODUCT(($B$71:$B$138="Garlic")*(U$71:U$138="H")*$C$71:$C$138)*$P$14-U167</f>
        <v/>
      </c>
      <c r="V174" s="38">
        <f>SUMPRODUCT(($B$71:$B$138="Spinach")*(V$71:V$138="P")*$C$71:$C$138)*$N$12+SUMPRODUCT(($B$71:$B$138="Spinach")*(V$71:V$138="G")*$C$71:$C$138)*$O$12+SUMPRODUCT(($B$71:$B$138="Spinach")*(V$71:V$138="H")*$C$71:$C$138)*$P$12+SUMPRODUCT(($B$71:$B$138="Kale")*(V$71:V$138="P")*$C$71:$C$138)*$N$13+SUMPRODUCT(($B$71:$B$138="Kale")*(V$71:V$138="G")*$C$71:$C$138)*$O$13+SUMPRODUCT(($B$71:$B$138="Kale")*(V$71:V$138="H")*$C$71:$C$138)*$P$13+SUMPRODUCT(($B$71:$B$138="Garlic")*(V$71:V$138="P")*$C$71:$C$138)*$N$14+SUMPRODUCT(($B$71:$B$138="Garlic")*(V$71:V$138="G")*$C$71:$C$138)*$O$14+SUMPRODUCT(($B$71:$B$138="Garlic")*(V$71:V$138="H")*$C$71:$C$138)*$P$14-V167</f>
        <v/>
      </c>
      <c r="W174" s="38">
        <f>SUMPRODUCT(($B$71:$B$138="Spinach")*(W$71:W$138="P")*$C$71:$C$138)*$N$12+SUMPRODUCT(($B$71:$B$138="Spinach")*(W$71:W$138="G")*$C$71:$C$138)*$O$12+SUMPRODUCT(($B$71:$B$138="Spinach")*(W$71:W$138="H")*$C$71:$C$138)*$P$12+SUMPRODUCT(($B$71:$B$138="Kale")*(W$71:W$138="P")*$C$71:$C$138)*$N$13+SUMPRODUCT(($B$71:$B$138="Kale")*(W$71:W$138="G")*$C$71:$C$138)*$O$13+SUMPRODUCT(($B$71:$B$138="Kale")*(W$71:W$138="H")*$C$71:$C$138)*$P$13+SUMPRODUCT(($B$71:$B$138="Garlic")*(W$71:W$138="P")*$C$71:$C$138)*$N$14+SUMPRODUCT(($B$71:$B$138="Garlic")*(W$71:W$138="G")*$C$71:$C$138)*$O$14+SUMPRODUCT(($B$71:$B$138="Garlic")*(W$71:W$138="H")*$C$71:$C$138)*$P$14-W167</f>
        <v/>
      </c>
      <c r="X174" s="38">
        <f>SUMPRODUCT(($B$71:$B$138="Spinach")*(X$71:X$138="P")*$C$71:$C$138)*$N$12+SUMPRODUCT(($B$71:$B$138="Spinach")*(X$71:X$138="G")*$C$71:$C$138)*$O$12+SUMPRODUCT(($B$71:$B$138="Spinach")*(X$71:X$138="H")*$C$71:$C$138)*$P$12+SUMPRODUCT(($B$71:$B$138="Kale")*(X$71:X$138="P")*$C$71:$C$138)*$N$13+SUMPRODUCT(($B$71:$B$138="Kale")*(X$71:X$138="G")*$C$71:$C$138)*$O$13+SUMPRODUCT(($B$71:$B$138="Kale")*(X$71:X$138="H")*$C$71:$C$138)*$P$13+SUMPRODUCT(($B$71:$B$138="Garlic")*(X$71:X$138="P")*$C$71:$C$138)*$N$14+SUMPRODUCT(($B$71:$B$138="Garlic")*(X$71:X$138="G")*$C$71:$C$138)*$O$14+SUMPRODUCT(($B$71:$B$138="Garlic")*(X$71:X$138="H")*$C$71:$C$138)*$P$14-X167</f>
        <v/>
      </c>
      <c r="Y174" s="38">
        <f>SUMPRODUCT(($B$71:$B$138="Spinach")*(Y$71:Y$138="P")*$C$71:$C$138)*$N$12+SUMPRODUCT(($B$71:$B$138="Spinach")*(Y$71:Y$138="G")*$C$71:$C$138)*$O$12+SUMPRODUCT(($B$71:$B$138="Spinach")*(Y$71:Y$138="H")*$C$71:$C$138)*$P$12+SUMPRODUCT(($B$71:$B$138="Kale")*(Y$71:Y$138="P")*$C$71:$C$138)*$N$13+SUMPRODUCT(($B$71:$B$138="Kale")*(Y$71:Y$138="G")*$C$71:$C$138)*$O$13+SUMPRODUCT(($B$71:$B$138="Kale")*(Y$71:Y$138="H")*$C$71:$C$138)*$P$13+SUMPRODUCT(($B$71:$B$138="Garlic")*(Y$71:Y$138="P")*$C$71:$C$138)*$N$14+SUMPRODUCT(($B$71:$B$138="Garlic")*(Y$71:Y$138="G")*$C$71:$C$138)*$O$14+SUMPRODUCT(($B$71:$B$138="Garlic")*(Y$71:Y$138="H")*$C$71:$C$138)*$P$14-Y167</f>
        <v/>
      </c>
      <c r="Z174" s="38">
        <f>SUMPRODUCT(($B$71:$B$138="Spinach")*(Z$71:Z$138="P")*$C$71:$C$138)*$N$12+SUMPRODUCT(($B$71:$B$138="Spinach")*(Z$71:Z$138="G")*$C$71:$C$138)*$O$12+SUMPRODUCT(($B$71:$B$138="Spinach")*(Z$71:Z$138="H")*$C$71:$C$138)*$P$12+SUMPRODUCT(($B$71:$B$138="Kale")*(Z$71:Z$138="P")*$C$71:$C$138)*$N$13+SUMPRODUCT(($B$71:$B$138="Kale")*(Z$71:Z$138="G")*$C$71:$C$138)*$O$13+SUMPRODUCT(($B$71:$B$138="Kale")*(Z$71:Z$138="H")*$C$71:$C$138)*$P$13+SUMPRODUCT(($B$71:$B$138="Garlic")*(Z$71:Z$138="P")*$C$71:$C$138)*$N$14+SUMPRODUCT(($B$71:$B$138="Garlic")*(Z$71:Z$138="G")*$C$71:$C$138)*$O$14+SUMPRODUCT(($B$71:$B$138="Garlic")*(Z$71:Z$138="H")*$C$71:$C$138)*$P$14-Z167</f>
        <v/>
      </c>
      <c r="AA174" s="38">
        <f>SUMPRODUCT(($B$71:$B$138="Spinach")*(AA$71:AA$138="P")*$C$71:$C$138)*$N$12+SUMPRODUCT(($B$71:$B$138="Spinach")*(AA$71:AA$138="G")*$C$71:$C$138)*$O$12+SUMPRODUCT(($B$71:$B$138="Spinach")*(AA$71:AA$138="H")*$C$71:$C$138)*$P$12+SUMPRODUCT(($B$71:$B$138="Kale")*(AA$71:AA$138="P")*$C$71:$C$138)*$N$13+SUMPRODUCT(($B$71:$B$138="Kale")*(AA$71:AA$138="G")*$C$71:$C$138)*$O$13+SUMPRODUCT(($B$71:$B$138="Kale")*(AA$71:AA$138="H")*$C$71:$C$138)*$P$13+SUMPRODUCT(($B$71:$B$138="Garlic")*(AA$71:AA$138="P")*$C$71:$C$138)*$N$14+SUMPRODUCT(($B$71:$B$138="Garlic")*(AA$71:AA$138="G")*$C$71:$C$138)*$O$14+SUMPRODUCT(($B$71:$B$138="Garlic")*(AA$71:AA$138="H")*$C$71:$C$138)*$P$14-AA167</f>
        <v/>
      </c>
      <c r="AB174" s="38">
        <f>SUMPRODUCT(($B$71:$B$138="Spinach")*(AB$71:AB$138="P")*$C$71:$C$138)*$N$12+SUMPRODUCT(($B$71:$B$138="Spinach")*(AB$71:AB$138="G")*$C$71:$C$138)*$O$12+SUMPRODUCT(($B$71:$B$138="Spinach")*(AB$71:AB$138="H")*$C$71:$C$138)*$P$12+SUMPRODUCT(($B$71:$B$138="Kale")*(AB$71:AB$138="P")*$C$71:$C$138)*$N$13+SUMPRODUCT(($B$71:$B$138="Kale")*(AB$71:AB$138="G")*$C$71:$C$138)*$O$13+SUMPRODUCT(($B$71:$B$138="Kale")*(AB$71:AB$138="H")*$C$71:$C$138)*$P$13+SUMPRODUCT(($B$71:$B$138="Garlic")*(AB$71:AB$138="P")*$C$71:$C$138)*$N$14+SUMPRODUCT(($B$71:$B$138="Garlic")*(AB$71:AB$138="G")*$C$71:$C$138)*$O$14+SUMPRODUCT(($B$71:$B$138="Garlic")*(AB$71:AB$138="H")*$C$71:$C$138)*$P$14-AB167</f>
        <v/>
      </c>
      <c r="AC174" s="38">
        <f>SUMPRODUCT(($B$71:$B$138="Spinach")*(AC$71:AC$138="P")*$C$71:$C$138)*$N$12+SUMPRODUCT(($B$71:$B$138="Spinach")*(AC$71:AC$138="G")*$C$71:$C$138)*$O$12+SUMPRODUCT(($B$71:$B$138="Spinach")*(AC$71:AC$138="H")*$C$71:$C$138)*$P$12+SUMPRODUCT(($B$71:$B$138="Kale")*(AC$71:AC$138="P")*$C$71:$C$138)*$N$13+SUMPRODUCT(($B$71:$B$138="Kale")*(AC$71:AC$138="G")*$C$71:$C$138)*$O$13+SUMPRODUCT(($B$71:$B$138="Kale")*(AC$71:AC$138="H")*$C$71:$C$138)*$P$13+SUMPRODUCT(($B$71:$B$138="Garlic")*(AC$71:AC$138="P")*$C$71:$C$138)*$N$14+SUMPRODUCT(($B$71:$B$138="Garlic")*(AC$71:AC$138="G")*$C$71:$C$138)*$O$14+SUMPRODUCT(($B$71:$B$138="Garlic")*(AC$71:AC$138="H")*$C$71:$C$138)*$P$14-AC167</f>
        <v/>
      </c>
      <c r="AD174" s="38">
        <f>SUMPRODUCT(($B$71:$B$138="Spinach")*(AD$71:AD$138="P")*$C$71:$C$138)*$N$12+SUMPRODUCT(($B$71:$B$138="Spinach")*(AD$71:AD$138="G")*$C$71:$C$138)*$O$12+SUMPRODUCT(($B$71:$B$138="Spinach")*(AD$71:AD$138="H")*$C$71:$C$138)*$P$12+SUMPRODUCT(($B$71:$B$138="Kale")*(AD$71:AD$138="P")*$C$71:$C$138)*$N$13+SUMPRODUCT(($B$71:$B$138="Kale")*(AD$71:AD$138="G")*$C$71:$C$138)*$O$13+SUMPRODUCT(($B$71:$B$138="Kale")*(AD$71:AD$138="H")*$C$71:$C$138)*$P$13+SUMPRODUCT(($B$71:$B$138="Garlic")*(AD$71:AD$138="P")*$C$71:$C$138)*$N$14+SUMPRODUCT(($B$71:$B$138="Garlic")*(AD$71:AD$138="G")*$C$71:$C$138)*$O$14+SUMPRODUCT(($B$71:$B$138="Garlic")*(AD$71:AD$138="H")*$C$71:$C$138)*$P$14-AD167</f>
        <v/>
      </c>
      <c r="AE174" s="38">
        <f>SUMPRODUCT(($B$71:$B$138="Spinach")*(AE$71:AE$138="P")*$C$71:$C$138)*$N$12+SUMPRODUCT(($B$71:$B$138="Spinach")*(AE$71:AE$138="G")*$C$71:$C$138)*$O$12+SUMPRODUCT(($B$71:$B$138="Spinach")*(AE$71:AE$138="H")*$C$71:$C$138)*$P$12+SUMPRODUCT(($B$71:$B$138="Kale")*(AE$71:AE$138="P")*$C$71:$C$138)*$N$13+SUMPRODUCT(($B$71:$B$138="Kale")*(AE$71:AE$138="G")*$C$71:$C$138)*$O$13+SUMPRODUCT(($B$71:$B$138="Kale")*(AE$71:AE$138="H")*$C$71:$C$138)*$P$13+SUMPRODUCT(($B$71:$B$138="Garlic")*(AE$71:AE$138="P")*$C$71:$C$138)*$N$14+SUMPRODUCT(($B$71:$B$138="Garlic")*(AE$71:AE$138="G")*$C$71:$C$138)*$O$14+SUMPRODUCT(($B$71:$B$138="Garlic")*(AE$71:AE$138="H")*$C$71:$C$138)*$P$14-AE167</f>
        <v/>
      </c>
      <c r="AF174" s="38">
        <f>SUMPRODUCT(($B$71:$B$138="Spinach")*(AF$71:AF$138="P")*$C$71:$C$138)*$N$12+SUMPRODUCT(($B$71:$B$138="Spinach")*(AF$71:AF$138="G")*$C$71:$C$138)*$O$12+SUMPRODUCT(($B$71:$B$138="Spinach")*(AF$71:AF$138="H")*$C$71:$C$138)*$P$12+SUMPRODUCT(($B$71:$B$138="Kale")*(AF$71:AF$138="P")*$C$71:$C$138)*$N$13+SUMPRODUCT(($B$71:$B$138="Kale")*(AF$71:AF$138="G")*$C$71:$C$138)*$O$13+SUMPRODUCT(($B$71:$B$138="Kale")*(AF$71:AF$138="H")*$C$71:$C$138)*$P$13+SUMPRODUCT(($B$71:$B$138="Garlic")*(AF$71:AF$138="P")*$C$71:$C$138)*$N$14+SUMPRODUCT(($B$71:$B$138="Garlic")*(AF$71:AF$138="G")*$C$71:$C$138)*$O$14+SUMPRODUCT(($B$71:$B$138="Garlic")*(AF$71:AF$138="H")*$C$71:$C$138)*$P$14-AF167</f>
        <v/>
      </c>
      <c r="AG174" s="38">
        <f>SUMPRODUCT(($B$71:$B$138="Spinach")*(AG$71:AG$138="P")*$C$71:$C$138)*$N$12+SUMPRODUCT(($B$71:$B$138="Spinach")*(AG$71:AG$138="G")*$C$71:$C$138)*$O$12+SUMPRODUCT(($B$71:$B$138="Spinach")*(AG$71:AG$138="H")*$C$71:$C$138)*$P$12+SUMPRODUCT(($B$71:$B$138="Kale")*(AG$71:AG$138="P")*$C$71:$C$138)*$N$13+SUMPRODUCT(($B$71:$B$138="Kale")*(AG$71:AG$138="G")*$C$71:$C$138)*$O$13+SUMPRODUCT(($B$71:$B$138="Kale")*(AG$71:AG$138="H")*$C$71:$C$138)*$P$13+SUMPRODUCT(($B$71:$B$138="Garlic")*(AG$71:AG$138="P")*$C$71:$C$138)*$N$14+SUMPRODUCT(($B$71:$B$138="Garlic")*(AG$71:AG$138="G")*$C$71:$C$138)*$O$14+SUMPRODUCT(($B$71:$B$138="Garlic")*(AG$71:AG$138="H")*$C$71:$C$138)*$P$14-AG167</f>
        <v/>
      </c>
      <c r="AH174" s="38">
        <f>SUMPRODUCT(($B$71:$B$138="Spinach")*(AH$71:AH$138="P")*$C$71:$C$138)*$N$12+SUMPRODUCT(($B$71:$B$138="Spinach")*(AH$71:AH$138="G")*$C$71:$C$138)*$O$12+SUMPRODUCT(($B$71:$B$138="Spinach")*(AH$71:AH$138="H")*$C$71:$C$138)*$P$12+SUMPRODUCT(($B$71:$B$138="Kale")*(AH$71:AH$138="P")*$C$71:$C$138)*$N$13+SUMPRODUCT(($B$71:$B$138="Kale")*(AH$71:AH$138="G")*$C$71:$C$138)*$O$13+SUMPRODUCT(($B$71:$B$138="Kale")*(AH$71:AH$138="H")*$C$71:$C$138)*$P$13+SUMPRODUCT(($B$71:$B$138="Garlic")*(AH$71:AH$138="P")*$C$71:$C$138)*$N$14+SUMPRODUCT(($B$71:$B$138="Garlic")*(AH$71:AH$138="G")*$C$71:$C$138)*$O$14+SUMPRODUCT(($B$71:$B$138="Garlic")*(AH$71:AH$138="H")*$C$71:$C$138)*$P$14-AH167</f>
        <v/>
      </c>
      <c r="AI174" s="38">
        <f>SUMPRODUCT(($B$71:$B$138="Spinach")*(AI$71:AI$138="P")*$C$71:$C$138)*$N$12+SUMPRODUCT(($B$71:$B$138="Spinach")*(AI$71:AI$138="G")*$C$71:$C$138)*$O$12+SUMPRODUCT(($B$71:$B$138="Spinach")*(AI$71:AI$138="H")*$C$71:$C$138)*$P$12+SUMPRODUCT(($B$71:$B$138="Kale")*(AI$71:AI$138="P")*$C$71:$C$138)*$N$13+SUMPRODUCT(($B$71:$B$138="Kale")*(AI$71:AI$138="G")*$C$71:$C$138)*$O$13+SUMPRODUCT(($B$71:$B$138="Kale")*(AI$71:AI$138="H")*$C$71:$C$138)*$P$13+SUMPRODUCT(($B$71:$B$138="Garlic")*(AI$71:AI$138="P")*$C$71:$C$138)*$N$14+SUMPRODUCT(($B$71:$B$138="Garlic")*(AI$71:AI$138="G")*$C$71:$C$138)*$O$14+SUMPRODUCT(($B$71:$B$138="Garlic")*(AI$71:AI$138="H")*$C$71:$C$138)*$P$14-AI167</f>
        <v/>
      </c>
      <c r="AJ174" s="38">
        <f>SUMPRODUCT(($B$71:$B$138="Spinach")*(AJ$71:AJ$138="P")*$C$71:$C$138)*$N$12+SUMPRODUCT(($B$71:$B$138="Spinach")*(AJ$71:AJ$138="G")*$C$71:$C$138)*$O$12+SUMPRODUCT(($B$71:$B$138="Spinach")*(AJ$71:AJ$138="H")*$C$71:$C$138)*$P$12+SUMPRODUCT(($B$71:$B$138="Kale")*(AJ$71:AJ$138="P")*$C$71:$C$138)*$N$13+SUMPRODUCT(($B$71:$B$138="Kale")*(AJ$71:AJ$138="G")*$C$71:$C$138)*$O$13+SUMPRODUCT(($B$71:$B$138="Kale")*(AJ$71:AJ$138="H")*$C$71:$C$138)*$P$13+SUMPRODUCT(($B$71:$B$138="Garlic")*(AJ$71:AJ$138="P")*$C$71:$C$138)*$N$14+SUMPRODUCT(($B$71:$B$138="Garlic")*(AJ$71:AJ$138="G")*$C$71:$C$138)*$O$14+SUMPRODUCT(($B$71:$B$138="Garlic")*(AJ$71:AJ$138="H")*$C$71:$C$138)*$P$14-AJ167</f>
        <v/>
      </c>
      <c r="AK174" s="38">
        <f>SUMPRODUCT(($B$71:$B$138="Spinach")*(AK$71:AK$138="P")*$C$71:$C$138)*$N$12+SUMPRODUCT(($B$71:$B$138="Spinach")*(AK$71:AK$138="G")*$C$71:$C$138)*$O$12+SUMPRODUCT(($B$71:$B$138="Spinach")*(AK$71:AK$138="H")*$C$71:$C$138)*$P$12+SUMPRODUCT(($B$71:$B$138="Kale")*(AK$71:AK$138="P")*$C$71:$C$138)*$N$13+SUMPRODUCT(($B$71:$B$138="Kale")*(AK$71:AK$138="G")*$C$71:$C$138)*$O$13+SUMPRODUCT(($B$71:$B$138="Kale")*(AK$71:AK$138="H")*$C$71:$C$138)*$P$13+SUMPRODUCT(($B$71:$B$138="Garlic")*(AK$71:AK$138="P")*$C$71:$C$138)*$N$14+SUMPRODUCT(($B$71:$B$138="Garlic")*(AK$71:AK$138="G")*$C$71:$C$138)*$O$14+SUMPRODUCT(($B$71:$B$138="Garlic")*(AK$71:AK$138="H")*$C$71:$C$138)*$P$14-AK167</f>
        <v/>
      </c>
      <c r="AL174" s="38">
        <f>SUMPRODUCT(($B$71:$B$138="Spinach")*(AL$71:AL$138="P")*$C$71:$C$138)*$N$12+SUMPRODUCT(($B$71:$B$138="Spinach")*(AL$71:AL$138="G")*$C$71:$C$138)*$O$12+SUMPRODUCT(($B$71:$B$138="Spinach")*(AL$71:AL$138="H")*$C$71:$C$138)*$P$12+SUMPRODUCT(($B$71:$B$138="Kale")*(AL$71:AL$138="P")*$C$71:$C$138)*$N$13+SUMPRODUCT(($B$71:$B$138="Kale")*(AL$71:AL$138="G")*$C$71:$C$138)*$O$13+SUMPRODUCT(($B$71:$B$138="Kale")*(AL$71:AL$138="H")*$C$71:$C$138)*$P$13+SUMPRODUCT(($B$71:$B$138="Garlic")*(AL$71:AL$138="P")*$C$71:$C$138)*$N$14+SUMPRODUCT(($B$71:$B$138="Garlic")*(AL$71:AL$138="G")*$C$71:$C$138)*$O$14+SUMPRODUCT(($B$71:$B$138="Garlic")*(AL$71:AL$138="H")*$C$71:$C$138)*$P$14-AL167</f>
        <v/>
      </c>
      <c r="AM174" s="38">
        <f>SUMPRODUCT(($B$71:$B$138="Spinach")*(AM$71:AM$138="P")*$C$71:$C$138)*$N$12+SUMPRODUCT(($B$71:$B$138="Spinach")*(AM$71:AM$138="G")*$C$71:$C$138)*$O$12+SUMPRODUCT(($B$71:$B$138="Spinach")*(AM$71:AM$138="H")*$C$71:$C$138)*$P$12+SUMPRODUCT(($B$71:$B$138="Kale")*(AM$71:AM$138="P")*$C$71:$C$138)*$N$13+SUMPRODUCT(($B$71:$B$138="Kale")*(AM$71:AM$138="G")*$C$71:$C$138)*$O$13+SUMPRODUCT(($B$71:$B$138="Kale")*(AM$71:AM$138="H")*$C$71:$C$138)*$P$13+SUMPRODUCT(($B$71:$B$138="Garlic")*(AM$71:AM$138="P")*$C$71:$C$138)*$N$14+SUMPRODUCT(($B$71:$B$138="Garlic")*(AM$71:AM$138="G")*$C$71:$C$138)*$O$14+SUMPRODUCT(($B$71:$B$138="Garlic")*(AM$71:AM$138="H")*$C$71:$C$138)*$P$14-AM167</f>
        <v/>
      </c>
      <c r="AN174" s="38">
        <f>SUMPRODUCT(($B$71:$B$138="Spinach")*(AN$71:AN$138="P")*$C$71:$C$138)*$N$12+SUMPRODUCT(($B$71:$B$138="Spinach")*(AN$71:AN$138="G")*$C$71:$C$138)*$O$12+SUMPRODUCT(($B$71:$B$138="Spinach")*(AN$71:AN$138="H")*$C$71:$C$138)*$P$12+SUMPRODUCT(($B$71:$B$138="Kale")*(AN$71:AN$138="P")*$C$71:$C$138)*$N$13+SUMPRODUCT(($B$71:$B$138="Kale")*(AN$71:AN$138="G")*$C$71:$C$138)*$O$13+SUMPRODUCT(($B$71:$B$138="Kale")*(AN$71:AN$138="H")*$C$71:$C$138)*$P$13+SUMPRODUCT(($B$71:$B$138="Garlic")*(AN$71:AN$138="P")*$C$71:$C$138)*$N$14+SUMPRODUCT(($B$71:$B$138="Garlic")*(AN$71:AN$138="G")*$C$71:$C$138)*$O$14+SUMPRODUCT(($B$71:$B$138="Garlic")*(AN$71:AN$138="H")*$C$71:$C$138)*$P$14-AN167</f>
        <v/>
      </c>
      <c r="AO174" s="38">
        <f>SUMPRODUCT(($B$71:$B$138="Spinach")*(AO$71:AO$138="P")*$C$71:$C$138)*$N$12+SUMPRODUCT(($B$71:$B$138="Spinach")*(AO$71:AO$138="G")*$C$71:$C$138)*$O$12+SUMPRODUCT(($B$71:$B$138="Spinach")*(AO$71:AO$138="H")*$C$71:$C$138)*$P$12+SUMPRODUCT(($B$71:$B$138="Kale")*(AO$71:AO$138="P")*$C$71:$C$138)*$N$13+SUMPRODUCT(($B$71:$B$138="Kale")*(AO$71:AO$138="G")*$C$71:$C$138)*$O$13+SUMPRODUCT(($B$71:$B$138="Kale")*(AO$71:AO$138="H")*$C$71:$C$138)*$P$13+SUMPRODUCT(($B$71:$B$138="Garlic")*(AO$71:AO$138="P")*$C$71:$C$138)*$N$14+SUMPRODUCT(($B$71:$B$138="Garlic")*(AO$71:AO$138="G")*$C$71:$C$138)*$O$14+SUMPRODUCT(($B$71:$B$138="Garlic")*(AO$71:AO$138="H")*$C$71:$C$138)*$P$14-AO167</f>
        <v/>
      </c>
      <c r="AP174" s="38">
        <f>SUMPRODUCT(($B$71:$B$138="Spinach")*(AP$71:AP$138="P")*$C$71:$C$138)*$N$12+SUMPRODUCT(($B$71:$B$138="Spinach")*(AP$71:AP$138="G")*$C$71:$C$138)*$O$12+SUMPRODUCT(($B$71:$B$138="Spinach")*(AP$71:AP$138="H")*$C$71:$C$138)*$P$12+SUMPRODUCT(($B$71:$B$138="Kale")*(AP$71:AP$138="P")*$C$71:$C$138)*$N$13+SUMPRODUCT(($B$71:$B$138="Kale")*(AP$71:AP$138="G")*$C$71:$C$138)*$O$13+SUMPRODUCT(($B$71:$B$138="Kale")*(AP$71:AP$138="H")*$C$71:$C$138)*$P$13+SUMPRODUCT(($B$71:$B$138="Garlic")*(AP$71:AP$138="P")*$C$71:$C$138)*$N$14+SUMPRODUCT(($B$71:$B$138="Garlic")*(AP$71:AP$138="G")*$C$71:$C$138)*$O$14+SUMPRODUCT(($B$71:$B$138="Garlic")*(AP$71:AP$138="H")*$C$71:$C$138)*$P$14-AP167</f>
        <v/>
      </c>
      <c r="AQ174" s="38">
        <f>SUMPRODUCT(($B$71:$B$138="Spinach")*(AQ$71:AQ$138="P")*$C$71:$C$138)*$N$12+SUMPRODUCT(($B$71:$B$138="Spinach")*(AQ$71:AQ$138="G")*$C$71:$C$138)*$O$12+SUMPRODUCT(($B$71:$B$138="Spinach")*(AQ$71:AQ$138="H")*$C$71:$C$138)*$P$12+SUMPRODUCT(($B$71:$B$138="Kale")*(AQ$71:AQ$138="P")*$C$71:$C$138)*$N$13+SUMPRODUCT(($B$71:$B$138="Kale")*(AQ$71:AQ$138="G")*$C$71:$C$138)*$O$13+SUMPRODUCT(($B$71:$B$138="Kale")*(AQ$71:AQ$138="H")*$C$71:$C$138)*$P$13+SUMPRODUCT(($B$71:$B$138="Garlic")*(AQ$71:AQ$138="P")*$C$71:$C$138)*$N$14+SUMPRODUCT(($B$71:$B$138="Garlic")*(AQ$71:AQ$138="G")*$C$71:$C$138)*$O$14+SUMPRODUCT(($B$71:$B$138="Garlic")*(AQ$71:AQ$138="H")*$C$71:$C$138)*$P$14-AQ167</f>
        <v/>
      </c>
      <c r="AR174" s="38">
        <f>SUMPRODUCT(($B$71:$B$138="Spinach")*(AR$71:AR$138="P")*$C$71:$C$138)*$N$12+SUMPRODUCT(($B$71:$B$138="Spinach")*(AR$71:AR$138="G")*$C$71:$C$138)*$O$12+SUMPRODUCT(($B$71:$B$138="Spinach")*(AR$71:AR$138="H")*$C$71:$C$138)*$P$12+SUMPRODUCT(($B$71:$B$138="Kale")*(AR$71:AR$138="P")*$C$71:$C$138)*$N$13+SUMPRODUCT(($B$71:$B$138="Kale")*(AR$71:AR$138="G")*$C$71:$C$138)*$O$13+SUMPRODUCT(($B$71:$B$138="Kale")*(AR$71:AR$138="H")*$C$71:$C$138)*$P$13+SUMPRODUCT(($B$71:$B$138="Garlic")*(AR$71:AR$138="P")*$C$71:$C$138)*$N$14+SUMPRODUCT(($B$71:$B$138="Garlic")*(AR$71:AR$138="G")*$C$71:$C$138)*$O$14+SUMPRODUCT(($B$71:$B$138="Garlic")*(AR$71:AR$138="H")*$C$71:$C$138)*$P$14-AR167</f>
        <v/>
      </c>
      <c r="AS174" s="38">
        <f>SUMPRODUCT(($B$71:$B$138="Spinach")*(AS$71:AS$138="P")*$C$71:$C$138)*$N$12+SUMPRODUCT(($B$71:$B$138="Spinach")*(AS$71:AS$138="G")*$C$71:$C$138)*$O$12+SUMPRODUCT(($B$71:$B$138="Spinach")*(AS$71:AS$138="H")*$C$71:$C$138)*$P$12+SUMPRODUCT(($B$71:$B$138="Kale")*(AS$71:AS$138="P")*$C$71:$C$138)*$N$13+SUMPRODUCT(($B$71:$B$138="Kale")*(AS$71:AS$138="G")*$C$71:$C$138)*$O$13+SUMPRODUCT(($B$71:$B$138="Kale")*(AS$71:AS$138="H")*$C$71:$C$138)*$P$13+SUMPRODUCT(($B$71:$B$138="Garlic")*(AS$71:AS$138="P")*$C$71:$C$138)*$N$14+SUMPRODUCT(($B$71:$B$138="Garlic")*(AS$71:AS$138="G")*$C$71:$C$138)*$O$14+SUMPRODUCT(($B$71:$B$138="Garlic")*(AS$71:AS$138="H")*$C$71:$C$138)*$P$14-AS167</f>
        <v/>
      </c>
      <c r="AT174" s="38">
        <f>SUMPRODUCT(($B$71:$B$138="Spinach")*(AT$71:AT$138="P")*$C$71:$C$138)*$N$12+SUMPRODUCT(($B$71:$B$138="Spinach")*(AT$71:AT$138="G")*$C$71:$C$138)*$O$12+SUMPRODUCT(($B$71:$B$138="Spinach")*(AT$71:AT$138="H")*$C$71:$C$138)*$P$12+SUMPRODUCT(($B$71:$B$138="Kale")*(AT$71:AT$138="P")*$C$71:$C$138)*$N$13+SUMPRODUCT(($B$71:$B$138="Kale")*(AT$71:AT$138="G")*$C$71:$C$138)*$O$13+SUMPRODUCT(($B$71:$B$138="Kale")*(AT$71:AT$138="H")*$C$71:$C$138)*$P$13+SUMPRODUCT(($B$71:$B$138="Garlic")*(AT$71:AT$138="P")*$C$71:$C$138)*$N$14+SUMPRODUCT(($B$71:$B$138="Garlic")*(AT$71:AT$138="G")*$C$71:$C$138)*$O$14+SUMPRODUCT(($B$71:$B$138="Garlic")*(AT$71:AT$138="H")*$C$71:$C$138)*$P$14-AT167</f>
        <v/>
      </c>
      <c r="AU174" s="38">
        <f>SUMPRODUCT(($B$71:$B$138="Spinach")*(AU$71:AU$138="P")*$C$71:$C$138)*$N$12+SUMPRODUCT(($B$71:$B$138="Spinach")*(AU$71:AU$138="G")*$C$71:$C$138)*$O$12+SUMPRODUCT(($B$71:$B$138="Spinach")*(AU$71:AU$138="H")*$C$71:$C$138)*$P$12+SUMPRODUCT(($B$71:$B$138="Kale")*(AU$71:AU$138="P")*$C$71:$C$138)*$N$13+SUMPRODUCT(($B$71:$B$138="Kale")*(AU$71:AU$138="G")*$C$71:$C$138)*$O$13+SUMPRODUCT(($B$71:$B$138="Kale")*(AU$71:AU$138="H")*$C$71:$C$138)*$P$13+SUMPRODUCT(($B$71:$B$138="Garlic")*(AU$71:AU$138="P")*$C$71:$C$138)*$N$14+SUMPRODUCT(($B$71:$B$138="Garlic")*(AU$71:AU$138="G")*$C$71:$C$138)*$O$14+SUMPRODUCT(($B$71:$B$138="Garlic")*(AU$71:AU$138="H")*$C$71:$C$138)*$P$14-AU167</f>
        <v/>
      </c>
      <c r="AV174" s="38">
        <f>SUMPRODUCT(($B$71:$B$138="Spinach")*(AV$71:AV$138="P")*$C$71:$C$138)*$N$12+SUMPRODUCT(($B$71:$B$138="Spinach")*(AV$71:AV$138="G")*$C$71:$C$138)*$O$12+SUMPRODUCT(($B$71:$B$138="Spinach")*(AV$71:AV$138="H")*$C$71:$C$138)*$P$12+SUMPRODUCT(($B$71:$B$138="Kale")*(AV$71:AV$138="P")*$C$71:$C$138)*$N$13+SUMPRODUCT(($B$71:$B$138="Kale")*(AV$71:AV$138="G")*$C$71:$C$138)*$O$13+SUMPRODUCT(($B$71:$B$138="Kale")*(AV$71:AV$138="H")*$C$71:$C$138)*$P$13+SUMPRODUCT(($B$71:$B$138="Garlic")*(AV$71:AV$138="P")*$C$71:$C$138)*$N$14+SUMPRODUCT(($B$71:$B$138="Garlic")*(AV$71:AV$138="G")*$C$71:$C$138)*$O$14+SUMPRODUCT(($B$71:$B$138="Garlic")*(AV$71:AV$138="H")*$C$71:$C$138)*$P$14-AV167</f>
        <v/>
      </c>
      <c r="AW174" s="38">
        <f>SUMPRODUCT(($B$71:$B$138="Spinach")*(AW$71:AW$138="P")*$C$71:$C$138)*$N$12+SUMPRODUCT(($B$71:$B$138="Spinach")*(AW$71:AW$138="G")*$C$71:$C$138)*$O$12+SUMPRODUCT(($B$71:$B$138="Spinach")*(AW$71:AW$138="H")*$C$71:$C$138)*$P$12+SUMPRODUCT(($B$71:$B$138="Kale")*(AW$71:AW$138="P")*$C$71:$C$138)*$N$13+SUMPRODUCT(($B$71:$B$138="Kale")*(AW$71:AW$138="G")*$C$71:$C$138)*$O$13+SUMPRODUCT(($B$71:$B$138="Kale")*(AW$71:AW$138="H")*$C$71:$C$138)*$P$13+SUMPRODUCT(($B$71:$B$138="Garlic")*(AW$71:AW$138="P")*$C$71:$C$138)*$N$14+SUMPRODUCT(($B$71:$B$138="Garlic")*(AW$71:AW$138="G")*$C$71:$C$138)*$O$14+SUMPRODUCT(($B$71:$B$138="Garlic")*(AW$71:AW$138="H")*$C$71:$C$138)*$P$14-AW167</f>
        <v/>
      </c>
      <c r="AX174" s="38">
        <f>SUMPRODUCT(($B$71:$B$138="Spinach")*(AX$71:AX$138="P")*$C$71:$C$138)*$N$12+SUMPRODUCT(($B$71:$B$138="Spinach")*(AX$71:AX$138="G")*$C$71:$C$138)*$O$12+SUMPRODUCT(($B$71:$B$138="Spinach")*(AX$71:AX$138="H")*$C$71:$C$138)*$P$12+SUMPRODUCT(($B$71:$B$138="Kale")*(AX$71:AX$138="P")*$C$71:$C$138)*$N$13+SUMPRODUCT(($B$71:$B$138="Kale")*(AX$71:AX$138="G")*$C$71:$C$138)*$O$13+SUMPRODUCT(($B$71:$B$138="Kale")*(AX$71:AX$138="H")*$C$71:$C$138)*$P$13+SUMPRODUCT(($B$71:$B$138="Garlic")*(AX$71:AX$138="P")*$C$71:$C$138)*$N$14+SUMPRODUCT(($B$71:$B$138="Garlic")*(AX$71:AX$138="G")*$C$71:$C$138)*$O$14+SUMPRODUCT(($B$71:$B$138="Garlic")*(AX$71:AX$138="H")*$C$71:$C$138)*$P$14-AX167</f>
        <v/>
      </c>
      <c r="AY174" s="38">
        <f>SUMPRODUCT(($B$71:$B$138="Spinach")*(AY$71:AY$138="P")*$C$71:$C$138)*$N$12+SUMPRODUCT(($B$71:$B$138="Spinach")*(AY$71:AY$138="G")*$C$71:$C$138)*$O$12+SUMPRODUCT(($B$71:$B$138="Spinach")*(AY$71:AY$138="H")*$C$71:$C$138)*$P$12+SUMPRODUCT(($B$71:$B$138="Kale")*(AY$71:AY$138="P")*$C$71:$C$138)*$N$13+SUMPRODUCT(($B$71:$B$138="Kale")*(AY$71:AY$138="G")*$C$71:$C$138)*$O$13+SUMPRODUCT(($B$71:$B$138="Kale")*(AY$71:AY$138="H")*$C$71:$C$138)*$P$13+SUMPRODUCT(($B$71:$B$138="Garlic")*(AY$71:AY$138="P")*$C$71:$C$138)*$N$14+SUMPRODUCT(($B$71:$B$138="Garlic")*(AY$71:AY$138="G")*$C$71:$C$138)*$O$14+SUMPRODUCT(($B$71:$B$138="Garlic")*(AY$71:AY$138="H")*$C$71:$C$138)*$P$14-AY167</f>
        <v/>
      </c>
      <c r="AZ174" s="38">
        <f>SUMPRODUCT(($B$71:$B$138="Spinach")*(AZ$71:AZ$138="P")*$C$71:$C$138)*$N$12+SUMPRODUCT(($B$71:$B$138="Spinach")*(AZ$71:AZ$138="G")*$C$71:$C$138)*$O$12+SUMPRODUCT(($B$71:$B$138="Spinach")*(AZ$71:AZ$138="H")*$C$71:$C$138)*$P$12+SUMPRODUCT(($B$71:$B$138="Kale")*(AZ$71:AZ$138="P")*$C$71:$C$138)*$N$13+SUMPRODUCT(($B$71:$B$138="Kale")*(AZ$71:AZ$138="G")*$C$71:$C$138)*$O$13+SUMPRODUCT(($B$71:$B$138="Kale")*(AZ$71:AZ$138="H")*$C$71:$C$138)*$P$13+SUMPRODUCT(($B$71:$B$138="Garlic")*(AZ$71:AZ$138="P")*$C$71:$C$138)*$N$14+SUMPRODUCT(($B$71:$B$138="Garlic")*(AZ$71:AZ$138="G")*$C$71:$C$138)*$O$14+SUMPRODUCT(($B$71:$B$138="Garlic")*(AZ$71:AZ$138="H")*$C$71:$C$138)*$P$14-AZ167</f>
        <v/>
      </c>
      <c r="BA174" s="38">
        <f>SUMPRODUCT(($B$71:$B$138="Spinach")*(BA$71:BA$138="P")*$C$71:$C$138)*$N$12+SUMPRODUCT(($B$71:$B$138="Spinach")*(BA$71:BA$138="G")*$C$71:$C$138)*$O$12+SUMPRODUCT(($B$71:$B$138="Spinach")*(BA$71:BA$138="H")*$C$71:$C$138)*$P$12+SUMPRODUCT(($B$71:$B$138="Kale")*(BA$71:BA$138="P")*$C$71:$C$138)*$N$13+SUMPRODUCT(($B$71:$B$138="Kale")*(BA$71:BA$138="G")*$C$71:$C$138)*$O$13+SUMPRODUCT(($B$71:$B$138="Kale")*(BA$71:BA$138="H")*$C$71:$C$138)*$P$13+SUMPRODUCT(($B$71:$B$138="Garlic")*(BA$71:BA$138="P")*$C$71:$C$138)*$N$14+SUMPRODUCT(($B$71:$B$138="Garlic")*(BA$71:BA$138="G")*$C$71:$C$138)*$O$14+SUMPRODUCT(($B$71:$B$138="Garlic")*(BA$71:BA$138="H")*$C$71:$C$138)*$P$14-BA167</f>
        <v/>
      </c>
      <c r="BB174" s="38">
        <f>SUMPRODUCT(($B$71:$B$138="Spinach")*(BB$71:BB$138="P")*$C$71:$C$138)*$N$12+SUMPRODUCT(($B$71:$B$138="Spinach")*(BB$71:BB$138="G")*$C$71:$C$138)*$O$12+SUMPRODUCT(($B$71:$B$138="Spinach")*(BB$71:BB$138="H")*$C$71:$C$138)*$P$12+SUMPRODUCT(($B$71:$B$138="Kale")*(BB$71:BB$138="P")*$C$71:$C$138)*$N$13+SUMPRODUCT(($B$71:$B$138="Kale")*(BB$71:BB$138="G")*$C$71:$C$138)*$O$13+SUMPRODUCT(($B$71:$B$138="Kale")*(BB$71:BB$138="H")*$C$71:$C$138)*$P$13+SUMPRODUCT(($B$71:$B$138="Garlic")*(BB$71:BB$138="P")*$C$71:$C$138)*$N$14+SUMPRODUCT(($B$71:$B$138="Garlic")*(BB$71:BB$138="G")*$C$71:$C$138)*$O$14+SUMPRODUCT(($B$71:$B$138="Garlic")*(BB$71:BB$138="H")*$C$71:$C$138)*$P$14-BB167</f>
        <v/>
      </c>
      <c r="BC174" s="38">
        <f>SUMPRODUCT(($B$71:$B$138="Spinach")*(BC$71:BC$138="P")*$C$71:$C$138)*$N$12+SUMPRODUCT(($B$71:$B$138="Spinach")*(BC$71:BC$138="G")*$C$71:$C$138)*$O$12+SUMPRODUCT(($B$71:$B$138="Spinach")*(BC$71:BC$138="H")*$C$71:$C$138)*$P$12+SUMPRODUCT(($B$71:$B$138="Kale")*(BC$71:BC$138="P")*$C$71:$C$138)*$N$13+SUMPRODUCT(($B$71:$B$138="Kale")*(BC$71:BC$138="G")*$C$71:$C$138)*$O$13+SUMPRODUCT(($B$71:$B$138="Kale")*(BC$71:BC$138="H")*$C$71:$C$138)*$P$13+SUMPRODUCT(($B$71:$B$138="Garlic")*(BC$71:BC$138="P")*$C$71:$C$138)*$N$14+SUMPRODUCT(($B$71:$B$138="Garlic")*(BC$71:BC$138="G")*$C$71:$C$138)*$O$14+SUMPRODUCT(($B$71:$B$138="Garlic")*(BC$71:BC$138="H")*$C$71:$C$138)*$P$14-BC167</f>
        <v/>
      </c>
      <c r="BD174" s="38">
        <f>SUMPRODUCT(($B$71:$B$138="Spinach")*(BD$71:BD$138="P")*$C$71:$C$138)*$N$12+SUMPRODUCT(($B$71:$B$138="Spinach")*(BD$71:BD$138="G")*$C$71:$C$138)*$O$12+SUMPRODUCT(($B$71:$B$138="Spinach")*(BD$71:BD$138="H")*$C$71:$C$138)*$P$12+SUMPRODUCT(($B$71:$B$138="Kale")*(BD$71:BD$138="P")*$C$71:$C$138)*$N$13+SUMPRODUCT(($B$71:$B$138="Kale")*(BD$71:BD$138="G")*$C$71:$C$138)*$O$13+SUMPRODUCT(($B$71:$B$138="Kale")*(BD$71:BD$138="H")*$C$71:$C$138)*$P$13+SUMPRODUCT(($B$71:$B$138="Garlic")*(BD$71:BD$138="P")*$C$71:$C$138)*$N$14+SUMPRODUCT(($B$71:$B$138="Garlic")*(BD$71:BD$138="G")*$C$71:$C$138)*$O$14+SUMPRODUCT(($B$71:$B$138="Garlic")*(BD$71:BD$138="H")*$C$71:$C$138)*$P$14-BD167</f>
        <v/>
      </c>
    </row>
    <row r="175">
      <c r="A175" s="4" t="inlineStr"/>
      <c r="E175" s="47" t="inlineStr">
        <is>
          <t>&lt;=</t>
        </is>
      </c>
      <c r="F175" s="47" t="inlineStr">
        <is>
          <t>&lt;=</t>
        </is>
      </c>
      <c r="G175" s="47" t="inlineStr">
        <is>
          <t>&lt;=</t>
        </is>
      </c>
      <c r="H175" s="47" t="inlineStr">
        <is>
          <t>&lt;=</t>
        </is>
      </c>
      <c r="I175" s="47" t="inlineStr">
        <is>
          <t>&lt;=</t>
        </is>
      </c>
      <c r="J175" s="47" t="inlineStr">
        <is>
          <t>&lt;=</t>
        </is>
      </c>
      <c r="K175" s="47" t="inlineStr">
        <is>
          <t>&lt;=</t>
        </is>
      </c>
      <c r="L175" s="47" t="inlineStr">
        <is>
          <t>&lt;=</t>
        </is>
      </c>
      <c r="M175" s="47" t="inlineStr">
        <is>
          <t>&lt;=</t>
        </is>
      </c>
      <c r="N175" s="47" t="inlineStr">
        <is>
          <t>&lt;=</t>
        </is>
      </c>
      <c r="O175" s="47" t="inlineStr">
        <is>
          <t>&lt;=</t>
        </is>
      </c>
      <c r="P175" s="47" t="inlineStr">
        <is>
          <t>&lt;=</t>
        </is>
      </c>
      <c r="Q175" s="47" t="inlineStr">
        <is>
          <t>&lt;=</t>
        </is>
      </c>
      <c r="R175" s="47" t="inlineStr">
        <is>
          <t>&lt;=</t>
        </is>
      </c>
      <c r="S175" s="47" t="inlineStr">
        <is>
          <t>&lt;=</t>
        </is>
      </c>
      <c r="T175" s="47" t="inlineStr">
        <is>
          <t>&lt;=</t>
        </is>
      </c>
      <c r="U175" s="47" t="inlineStr">
        <is>
          <t>&lt;=</t>
        </is>
      </c>
      <c r="V175" s="47" t="inlineStr">
        <is>
          <t>&lt;=</t>
        </is>
      </c>
      <c r="W175" s="47" t="inlineStr">
        <is>
          <t>&lt;=</t>
        </is>
      </c>
      <c r="X175" s="47" t="inlineStr">
        <is>
          <t>&lt;=</t>
        </is>
      </c>
      <c r="Y175" s="47" t="inlineStr">
        <is>
          <t>&lt;=</t>
        </is>
      </c>
      <c r="Z175" s="47" t="inlineStr">
        <is>
          <t>&lt;=</t>
        </is>
      </c>
      <c r="AA175" s="47" t="inlineStr">
        <is>
          <t>&lt;=</t>
        </is>
      </c>
      <c r="AB175" s="47" t="inlineStr">
        <is>
          <t>&lt;=</t>
        </is>
      </c>
      <c r="AC175" s="47" t="inlineStr">
        <is>
          <t>&lt;=</t>
        </is>
      </c>
      <c r="AD175" s="47" t="inlineStr">
        <is>
          <t>&lt;=</t>
        </is>
      </c>
      <c r="AE175" s="47" t="inlineStr">
        <is>
          <t>&lt;=</t>
        </is>
      </c>
      <c r="AF175" s="47" t="inlineStr">
        <is>
          <t>&lt;=</t>
        </is>
      </c>
      <c r="AG175" s="47" t="inlineStr">
        <is>
          <t>&lt;=</t>
        </is>
      </c>
      <c r="AH175" s="47" t="inlineStr">
        <is>
          <t>&lt;=</t>
        </is>
      </c>
      <c r="AI175" s="47" t="inlineStr">
        <is>
          <t>&lt;=</t>
        </is>
      </c>
      <c r="AJ175" s="47" t="inlineStr">
        <is>
          <t>&lt;=</t>
        </is>
      </c>
      <c r="AK175" s="47" t="inlineStr">
        <is>
          <t>&lt;=</t>
        </is>
      </c>
      <c r="AL175" s="47" t="inlineStr">
        <is>
          <t>&lt;=</t>
        </is>
      </c>
      <c r="AM175" s="47" t="inlineStr">
        <is>
          <t>&lt;=</t>
        </is>
      </c>
      <c r="AN175" s="47" t="inlineStr">
        <is>
          <t>&lt;=</t>
        </is>
      </c>
      <c r="AO175" s="47" t="inlineStr">
        <is>
          <t>&lt;=</t>
        </is>
      </c>
      <c r="AP175" s="47" t="inlineStr">
        <is>
          <t>&lt;=</t>
        </is>
      </c>
      <c r="AQ175" s="47" t="inlineStr">
        <is>
          <t>&lt;=</t>
        </is>
      </c>
      <c r="AR175" s="47" t="inlineStr">
        <is>
          <t>&lt;=</t>
        </is>
      </c>
      <c r="AS175" s="47" t="inlineStr">
        <is>
          <t>&lt;=</t>
        </is>
      </c>
      <c r="AT175" s="47" t="inlineStr">
        <is>
          <t>&lt;=</t>
        </is>
      </c>
      <c r="AU175" s="47" t="inlineStr">
        <is>
          <t>&lt;=</t>
        </is>
      </c>
      <c r="AV175" s="47" t="inlineStr">
        <is>
          <t>&lt;=</t>
        </is>
      </c>
      <c r="AW175" s="47" t="inlineStr">
        <is>
          <t>&lt;=</t>
        </is>
      </c>
      <c r="AX175" s="47" t="inlineStr">
        <is>
          <t>&lt;=</t>
        </is>
      </c>
      <c r="AY175" s="47" t="inlineStr">
        <is>
          <t>&lt;=</t>
        </is>
      </c>
      <c r="AZ175" s="47" t="inlineStr">
        <is>
          <t>&lt;=</t>
        </is>
      </c>
      <c r="BA175" s="47" t="inlineStr">
        <is>
          <t>&lt;=</t>
        </is>
      </c>
      <c r="BB175" s="47" t="inlineStr">
        <is>
          <t>&lt;=</t>
        </is>
      </c>
      <c r="BC175" s="47" t="inlineStr">
        <is>
          <t>&lt;=</t>
        </is>
      </c>
      <c r="BD175" s="47" t="inlineStr">
        <is>
          <t>&lt;=</t>
        </is>
      </c>
    </row>
    <row r="176">
      <c r="A176" s="37" t="inlineStr">
        <is>
          <t xml:space="preserve">  limit</t>
        </is>
      </c>
      <c r="B176" s="2" t="inlineStr">
        <is>
          <t>cap</t>
        </is>
      </c>
      <c r="E176" s="38">
        <f>E$169</f>
        <v/>
      </c>
      <c r="F176" s="38">
        <f>F$169</f>
        <v/>
      </c>
      <c r="G176" s="38">
        <f>G$169</f>
        <v/>
      </c>
      <c r="H176" s="38">
        <f>H$169</f>
        <v/>
      </c>
      <c r="I176" s="38">
        <f>I$169</f>
        <v/>
      </c>
      <c r="J176" s="38">
        <f>J$169</f>
        <v/>
      </c>
      <c r="K176" s="38">
        <f>K$169</f>
        <v/>
      </c>
      <c r="L176" s="38">
        <f>L$169</f>
        <v/>
      </c>
      <c r="M176" s="38">
        <f>M$169</f>
        <v/>
      </c>
      <c r="N176" s="38">
        <f>N$169</f>
        <v/>
      </c>
      <c r="O176" s="38">
        <f>O$169</f>
        <v/>
      </c>
      <c r="P176" s="38">
        <f>P$169</f>
        <v/>
      </c>
      <c r="Q176" s="38">
        <f>Q$169</f>
        <v/>
      </c>
      <c r="R176" s="38">
        <f>R$169</f>
        <v/>
      </c>
      <c r="S176" s="38">
        <f>S$169</f>
        <v/>
      </c>
      <c r="T176" s="38">
        <f>T$169</f>
        <v/>
      </c>
      <c r="U176" s="38">
        <f>U$169</f>
        <v/>
      </c>
      <c r="V176" s="38">
        <f>V$169</f>
        <v/>
      </c>
      <c r="W176" s="38">
        <f>W$169</f>
        <v/>
      </c>
      <c r="X176" s="38">
        <f>X$169</f>
        <v/>
      </c>
      <c r="Y176" s="38">
        <f>Y$169</f>
        <v/>
      </c>
      <c r="Z176" s="38">
        <f>Z$169</f>
        <v/>
      </c>
      <c r="AA176" s="38">
        <f>AA$169</f>
        <v/>
      </c>
      <c r="AB176" s="38">
        <f>AB$169</f>
        <v/>
      </c>
      <c r="AC176" s="38">
        <f>AC$169</f>
        <v/>
      </c>
      <c r="AD176" s="38">
        <f>AD$169</f>
        <v/>
      </c>
      <c r="AE176" s="38">
        <f>AE$169</f>
        <v/>
      </c>
      <c r="AF176" s="38">
        <f>AF$169</f>
        <v/>
      </c>
      <c r="AG176" s="38">
        <f>AG$169</f>
        <v/>
      </c>
      <c r="AH176" s="38">
        <f>AH$169</f>
        <v/>
      </c>
      <c r="AI176" s="38">
        <f>AI$169</f>
        <v/>
      </c>
      <c r="AJ176" s="38">
        <f>AJ$169</f>
        <v/>
      </c>
      <c r="AK176" s="38">
        <f>AK$169</f>
        <v/>
      </c>
      <c r="AL176" s="38">
        <f>AL$169</f>
        <v/>
      </c>
      <c r="AM176" s="38">
        <f>AM$169</f>
        <v/>
      </c>
      <c r="AN176" s="38">
        <f>AN$169</f>
        <v/>
      </c>
      <c r="AO176" s="38">
        <f>AO$169</f>
        <v/>
      </c>
      <c r="AP176" s="38">
        <f>AP$169</f>
        <v/>
      </c>
      <c r="AQ176" s="38">
        <f>AQ$169</f>
        <v/>
      </c>
      <c r="AR176" s="38">
        <f>AR$169</f>
        <v/>
      </c>
      <c r="AS176" s="38">
        <f>AS$169</f>
        <v/>
      </c>
      <c r="AT176" s="38">
        <f>AT$169</f>
        <v/>
      </c>
      <c r="AU176" s="38">
        <f>AU$169</f>
        <v/>
      </c>
      <c r="AV176" s="38">
        <f>AV$169</f>
        <v/>
      </c>
      <c r="AW176" s="38">
        <f>AW$169</f>
        <v/>
      </c>
      <c r="AX176" s="38">
        <f>AX$169</f>
        <v/>
      </c>
      <c r="AY176" s="38">
        <f>AY$169</f>
        <v/>
      </c>
      <c r="AZ176" s="38">
        <f>AZ$169</f>
        <v/>
      </c>
      <c r="BA176" s="38">
        <f>BA$169</f>
        <v/>
      </c>
      <c r="BB176" s="38">
        <f>BB$169</f>
        <v/>
      </c>
      <c r="BC176" s="38">
        <f>BC$169</f>
        <v/>
      </c>
      <c r="BD176" s="38">
        <f>BD$169</f>
        <v/>
      </c>
    </row>
    <row r="177">
      <c r="A177" s="39" t="inlineStr">
        <is>
          <t xml:space="preserve">  room left</t>
        </is>
      </c>
      <c r="E177" s="38">
        <f>E$169-E174</f>
        <v/>
      </c>
      <c r="F177" s="38">
        <f>F$169-F174</f>
        <v/>
      </c>
      <c r="G177" s="38">
        <f>G$169-G174</f>
        <v/>
      </c>
      <c r="H177" s="38">
        <f>H$169-H174</f>
        <v/>
      </c>
      <c r="I177" s="38">
        <f>I$169-I174</f>
        <v/>
      </c>
      <c r="J177" s="38">
        <f>J$169-J174</f>
        <v/>
      </c>
      <c r="K177" s="38">
        <f>K$169-K174</f>
        <v/>
      </c>
      <c r="L177" s="38">
        <f>L$169-L174</f>
        <v/>
      </c>
      <c r="M177" s="38">
        <f>M$169-M174</f>
        <v/>
      </c>
      <c r="N177" s="38">
        <f>N$169-N174</f>
        <v/>
      </c>
      <c r="O177" s="38">
        <f>O$169-O174</f>
        <v/>
      </c>
      <c r="P177" s="38">
        <f>P$169-P174</f>
        <v/>
      </c>
      <c r="Q177" s="38">
        <f>Q$169-Q174</f>
        <v/>
      </c>
      <c r="R177" s="38">
        <f>R$169-R174</f>
        <v/>
      </c>
      <c r="S177" s="38">
        <f>S$169-S174</f>
        <v/>
      </c>
      <c r="T177" s="38">
        <f>T$169-T174</f>
        <v/>
      </c>
      <c r="U177" s="38">
        <f>U$169-U174</f>
        <v/>
      </c>
      <c r="V177" s="38">
        <f>V$169-V174</f>
        <v/>
      </c>
      <c r="W177" s="38">
        <f>W$169-W174</f>
        <v/>
      </c>
      <c r="X177" s="38">
        <f>X$169-X174</f>
        <v/>
      </c>
      <c r="Y177" s="38">
        <f>Y$169-Y174</f>
        <v/>
      </c>
      <c r="Z177" s="38">
        <f>Z$169-Z174</f>
        <v/>
      </c>
      <c r="AA177" s="38">
        <f>AA$169-AA174</f>
        <v/>
      </c>
      <c r="AB177" s="38">
        <f>AB$169-AB174</f>
        <v/>
      </c>
      <c r="AC177" s="38">
        <f>AC$169-AC174</f>
        <v/>
      </c>
      <c r="AD177" s="38">
        <f>AD$169-AD174</f>
        <v/>
      </c>
      <c r="AE177" s="38">
        <f>AE$169-AE174</f>
        <v/>
      </c>
      <c r="AF177" s="38">
        <f>AF$169-AF174</f>
        <v/>
      </c>
      <c r="AG177" s="38">
        <f>AG$169-AG174</f>
        <v/>
      </c>
      <c r="AH177" s="38">
        <f>AH$169-AH174</f>
        <v/>
      </c>
      <c r="AI177" s="38">
        <f>AI$169-AI174</f>
        <v/>
      </c>
      <c r="AJ177" s="38">
        <f>AJ$169-AJ174</f>
        <v/>
      </c>
      <c r="AK177" s="38">
        <f>AK$169-AK174</f>
        <v/>
      </c>
      <c r="AL177" s="38">
        <f>AL$169-AL174</f>
        <v/>
      </c>
      <c r="AM177" s="38">
        <f>AM$169-AM174</f>
        <v/>
      </c>
      <c r="AN177" s="38">
        <f>AN$169-AN174</f>
        <v/>
      </c>
      <c r="AO177" s="38">
        <f>AO$169-AO174</f>
        <v/>
      </c>
      <c r="AP177" s="38">
        <f>AP$169-AP174</f>
        <v/>
      </c>
      <c r="AQ177" s="38">
        <f>AQ$169-AQ174</f>
        <v/>
      </c>
      <c r="AR177" s="38">
        <f>AR$169-AR174</f>
        <v/>
      </c>
      <c r="AS177" s="38">
        <f>AS$169-AS174</f>
        <v/>
      </c>
      <c r="AT177" s="38">
        <f>AT$169-AT174</f>
        <v/>
      </c>
      <c r="AU177" s="38">
        <f>AU$169-AU174</f>
        <v/>
      </c>
      <c r="AV177" s="38">
        <f>AV$169-AV174</f>
        <v/>
      </c>
      <c r="AW177" s="38">
        <f>AW$169-AW174</f>
        <v/>
      </c>
      <c r="AX177" s="38">
        <f>AX$169-AX174</f>
        <v/>
      </c>
      <c r="AY177" s="38">
        <f>AY$169-AY174</f>
        <v/>
      </c>
      <c r="AZ177" s="38">
        <f>AZ$169-AZ174</f>
        <v/>
      </c>
      <c r="BA177" s="38">
        <f>BA$169-BA174</f>
        <v/>
      </c>
      <c r="BB177" s="38">
        <f>BB$169-BB174</f>
        <v/>
      </c>
      <c r="BC177" s="38">
        <f>BC$169-BC174</f>
        <v/>
      </c>
      <c r="BD177" s="38">
        <f>BD$169-BD174</f>
        <v/>
      </c>
    </row>
    <row r="178">
      <c r="A178" s="2" t="inlineStr">
        <is>
          <t xml:space="preserve">   The app's C2, less whatever the piece-rate crew picked. On this farm it is the constraint that binds hardest.</t>
        </is>
      </c>
    </row>
    <row r="180">
      <c r="A180" s="32" t="inlineStr">
        <is>
          <t>Week</t>
        </is>
      </c>
      <c r="B180" s="33" t="inlineStr">
        <is>
          <t>hours</t>
        </is>
      </c>
      <c r="E180" s="34" t="n">
        <v>1</v>
      </c>
      <c r="F180" s="34" t="n">
        <v>2</v>
      </c>
      <c r="G180" s="34" t="n">
        <v>3</v>
      </c>
      <c r="H180" s="34" t="n">
        <v>4</v>
      </c>
      <c r="I180" s="34" t="n">
        <v>5</v>
      </c>
      <c r="J180" s="34" t="n">
        <v>6</v>
      </c>
      <c r="K180" s="34" t="n">
        <v>7</v>
      </c>
      <c r="L180" s="34" t="n">
        <v>8</v>
      </c>
      <c r="M180" s="34" t="n">
        <v>9</v>
      </c>
      <c r="N180" s="34" t="n">
        <v>10</v>
      </c>
      <c r="O180" s="34" t="n">
        <v>11</v>
      </c>
      <c r="P180" s="34" t="n">
        <v>12</v>
      </c>
      <c r="Q180" s="34" t="n">
        <v>13</v>
      </c>
      <c r="R180" s="34" t="n">
        <v>14</v>
      </c>
      <c r="S180" s="34" t="n">
        <v>15</v>
      </c>
      <c r="T180" s="34" t="n">
        <v>16</v>
      </c>
      <c r="U180" s="34" t="n">
        <v>17</v>
      </c>
      <c r="V180" s="34" t="n">
        <v>18</v>
      </c>
      <c r="W180" s="34" t="n">
        <v>19</v>
      </c>
      <c r="X180" s="34" t="n">
        <v>20</v>
      </c>
      <c r="Y180" s="34" t="n">
        <v>21</v>
      </c>
      <c r="Z180" s="34" t="n">
        <v>22</v>
      </c>
      <c r="AA180" s="34" t="n">
        <v>23</v>
      </c>
      <c r="AB180" s="34" t="n">
        <v>24</v>
      </c>
      <c r="AC180" s="34" t="n">
        <v>25</v>
      </c>
      <c r="AD180" s="34" t="n">
        <v>26</v>
      </c>
      <c r="AE180" s="34" t="n">
        <v>27</v>
      </c>
      <c r="AF180" s="34" t="n">
        <v>28</v>
      </c>
      <c r="AG180" s="34" t="n">
        <v>29</v>
      </c>
      <c r="AH180" s="34" t="n">
        <v>30</v>
      </c>
      <c r="AI180" s="34" t="n">
        <v>31</v>
      </c>
      <c r="AJ180" s="34" t="n">
        <v>32</v>
      </c>
      <c r="AK180" s="34" t="n">
        <v>33</v>
      </c>
      <c r="AL180" s="34" t="n">
        <v>34</v>
      </c>
      <c r="AM180" s="34" t="n">
        <v>35</v>
      </c>
      <c r="AN180" s="34" t="n">
        <v>36</v>
      </c>
      <c r="AO180" s="34" t="n">
        <v>37</v>
      </c>
      <c r="AP180" s="34" t="n">
        <v>38</v>
      </c>
      <c r="AQ180" s="34" t="n">
        <v>39</v>
      </c>
      <c r="AR180" s="34" t="n">
        <v>40</v>
      </c>
      <c r="AS180" s="34" t="n">
        <v>41</v>
      </c>
      <c r="AT180" s="34" t="n">
        <v>42</v>
      </c>
      <c r="AU180" s="34" t="n">
        <v>43</v>
      </c>
      <c r="AV180" s="34" t="n">
        <v>44</v>
      </c>
      <c r="AW180" s="34" t="n">
        <v>45</v>
      </c>
      <c r="AX180" s="34" t="n">
        <v>46</v>
      </c>
      <c r="AY180" s="34" t="n">
        <v>47</v>
      </c>
      <c r="AZ180" s="34" t="n">
        <v>48</v>
      </c>
      <c r="BA180" s="34" t="n">
        <v>49</v>
      </c>
      <c r="BB180" s="34" t="n">
        <v>50</v>
      </c>
      <c r="BC180" s="34" t="n">
        <v>51</v>
      </c>
      <c r="BD180" s="34" t="n">
        <v>52</v>
      </c>
    </row>
    <row r="181">
      <c r="A181" s="28" t="inlineStr">
        <is>
          <t>HARVEST hours needed</t>
        </is>
      </c>
      <c r="B181" s="2" t="inlineStr">
        <is>
          <t>hrs</t>
        </is>
      </c>
      <c r="E181" s="36">
        <f>SUMPRODUCT(($B$71:$B$138="Spinach")*(E$71:E$138="H")*$C$71:$C$138)*$P$12+SUMPRODUCT(($B$71:$B$138="Kale")*(E$71:E$138="H")*$C$71:$C$138)*$P$13+SUMPRODUCT(($B$71:$B$138="Garlic")*(E$71:E$138="H")*$C$71:$C$138)*$P$14</f>
        <v/>
      </c>
      <c r="F181" s="36">
        <f>SUMPRODUCT(($B$71:$B$138="Spinach")*(F$71:F$138="H")*$C$71:$C$138)*$P$12+SUMPRODUCT(($B$71:$B$138="Kale")*(F$71:F$138="H")*$C$71:$C$138)*$P$13+SUMPRODUCT(($B$71:$B$138="Garlic")*(F$71:F$138="H")*$C$71:$C$138)*$P$14</f>
        <v/>
      </c>
      <c r="G181" s="36">
        <f>SUMPRODUCT(($B$71:$B$138="Spinach")*(G$71:G$138="H")*$C$71:$C$138)*$P$12+SUMPRODUCT(($B$71:$B$138="Kale")*(G$71:G$138="H")*$C$71:$C$138)*$P$13+SUMPRODUCT(($B$71:$B$138="Garlic")*(G$71:G$138="H")*$C$71:$C$138)*$P$14</f>
        <v/>
      </c>
      <c r="H181" s="36">
        <f>SUMPRODUCT(($B$71:$B$138="Spinach")*(H$71:H$138="H")*$C$71:$C$138)*$P$12+SUMPRODUCT(($B$71:$B$138="Kale")*(H$71:H$138="H")*$C$71:$C$138)*$P$13+SUMPRODUCT(($B$71:$B$138="Garlic")*(H$71:H$138="H")*$C$71:$C$138)*$P$14</f>
        <v/>
      </c>
      <c r="I181" s="36">
        <f>SUMPRODUCT(($B$71:$B$138="Spinach")*(I$71:I$138="H")*$C$71:$C$138)*$P$12+SUMPRODUCT(($B$71:$B$138="Kale")*(I$71:I$138="H")*$C$71:$C$138)*$P$13+SUMPRODUCT(($B$71:$B$138="Garlic")*(I$71:I$138="H")*$C$71:$C$138)*$P$14</f>
        <v/>
      </c>
      <c r="J181" s="36">
        <f>SUMPRODUCT(($B$71:$B$138="Spinach")*(J$71:J$138="H")*$C$71:$C$138)*$P$12+SUMPRODUCT(($B$71:$B$138="Kale")*(J$71:J$138="H")*$C$71:$C$138)*$P$13+SUMPRODUCT(($B$71:$B$138="Garlic")*(J$71:J$138="H")*$C$71:$C$138)*$P$14</f>
        <v/>
      </c>
      <c r="K181" s="36">
        <f>SUMPRODUCT(($B$71:$B$138="Spinach")*(K$71:K$138="H")*$C$71:$C$138)*$P$12+SUMPRODUCT(($B$71:$B$138="Kale")*(K$71:K$138="H")*$C$71:$C$138)*$P$13+SUMPRODUCT(($B$71:$B$138="Garlic")*(K$71:K$138="H")*$C$71:$C$138)*$P$14</f>
        <v/>
      </c>
      <c r="L181" s="36">
        <f>SUMPRODUCT(($B$71:$B$138="Spinach")*(L$71:L$138="H")*$C$71:$C$138)*$P$12+SUMPRODUCT(($B$71:$B$138="Kale")*(L$71:L$138="H")*$C$71:$C$138)*$P$13+SUMPRODUCT(($B$71:$B$138="Garlic")*(L$71:L$138="H")*$C$71:$C$138)*$P$14</f>
        <v/>
      </c>
      <c r="M181" s="36">
        <f>SUMPRODUCT(($B$71:$B$138="Spinach")*(M$71:M$138="H")*$C$71:$C$138)*$P$12+SUMPRODUCT(($B$71:$B$138="Kale")*(M$71:M$138="H")*$C$71:$C$138)*$P$13+SUMPRODUCT(($B$71:$B$138="Garlic")*(M$71:M$138="H")*$C$71:$C$138)*$P$14</f>
        <v/>
      </c>
      <c r="N181" s="36">
        <f>SUMPRODUCT(($B$71:$B$138="Spinach")*(N$71:N$138="H")*$C$71:$C$138)*$P$12+SUMPRODUCT(($B$71:$B$138="Kale")*(N$71:N$138="H")*$C$71:$C$138)*$P$13+SUMPRODUCT(($B$71:$B$138="Garlic")*(N$71:N$138="H")*$C$71:$C$138)*$P$14</f>
        <v/>
      </c>
      <c r="O181" s="36">
        <f>SUMPRODUCT(($B$71:$B$138="Spinach")*(O$71:O$138="H")*$C$71:$C$138)*$P$12+SUMPRODUCT(($B$71:$B$138="Kale")*(O$71:O$138="H")*$C$71:$C$138)*$P$13+SUMPRODUCT(($B$71:$B$138="Garlic")*(O$71:O$138="H")*$C$71:$C$138)*$P$14</f>
        <v/>
      </c>
      <c r="P181" s="36">
        <f>SUMPRODUCT(($B$71:$B$138="Spinach")*(P$71:P$138="H")*$C$71:$C$138)*$P$12+SUMPRODUCT(($B$71:$B$138="Kale")*(P$71:P$138="H")*$C$71:$C$138)*$P$13+SUMPRODUCT(($B$71:$B$138="Garlic")*(P$71:P$138="H")*$C$71:$C$138)*$P$14</f>
        <v/>
      </c>
      <c r="Q181" s="36">
        <f>SUMPRODUCT(($B$71:$B$138="Spinach")*(Q$71:Q$138="H")*$C$71:$C$138)*$P$12+SUMPRODUCT(($B$71:$B$138="Kale")*(Q$71:Q$138="H")*$C$71:$C$138)*$P$13+SUMPRODUCT(($B$71:$B$138="Garlic")*(Q$71:Q$138="H")*$C$71:$C$138)*$P$14</f>
        <v/>
      </c>
      <c r="R181" s="36">
        <f>SUMPRODUCT(($B$71:$B$138="Spinach")*(R$71:R$138="H")*$C$71:$C$138)*$P$12+SUMPRODUCT(($B$71:$B$138="Kale")*(R$71:R$138="H")*$C$71:$C$138)*$P$13+SUMPRODUCT(($B$71:$B$138="Garlic")*(R$71:R$138="H")*$C$71:$C$138)*$P$14</f>
        <v/>
      </c>
      <c r="S181" s="36">
        <f>SUMPRODUCT(($B$71:$B$138="Spinach")*(S$71:S$138="H")*$C$71:$C$138)*$P$12+SUMPRODUCT(($B$71:$B$138="Kale")*(S$71:S$138="H")*$C$71:$C$138)*$P$13+SUMPRODUCT(($B$71:$B$138="Garlic")*(S$71:S$138="H")*$C$71:$C$138)*$P$14</f>
        <v/>
      </c>
      <c r="T181" s="36">
        <f>SUMPRODUCT(($B$71:$B$138="Spinach")*(T$71:T$138="H")*$C$71:$C$138)*$P$12+SUMPRODUCT(($B$71:$B$138="Kale")*(T$71:T$138="H")*$C$71:$C$138)*$P$13+SUMPRODUCT(($B$71:$B$138="Garlic")*(T$71:T$138="H")*$C$71:$C$138)*$P$14</f>
        <v/>
      </c>
      <c r="U181" s="36">
        <f>SUMPRODUCT(($B$71:$B$138="Spinach")*(U$71:U$138="H")*$C$71:$C$138)*$P$12+SUMPRODUCT(($B$71:$B$138="Kale")*(U$71:U$138="H")*$C$71:$C$138)*$P$13+SUMPRODUCT(($B$71:$B$138="Garlic")*(U$71:U$138="H")*$C$71:$C$138)*$P$14</f>
        <v/>
      </c>
      <c r="V181" s="36">
        <f>SUMPRODUCT(($B$71:$B$138="Spinach")*(V$71:V$138="H")*$C$71:$C$138)*$P$12+SUMPRODUCT(($B$71:$B$138="Kale")*(V$71:V$138="H")*$C$71:$C$138)*$P$13+SUMPRODUCT(($B$71:$B$138="Garlic")*(V$71:V$138="H")*$C$71:$C$138)*$P$14</f>
        <v/>
      </c>
      <c r="W181" s="36">
        <f>SUMPRODUCT(($B$71:$B$138="Spinach")*(W$71:W$138="H")*$C$71:$C$138)*$P$12+SUMPRODUCT(($B$71:$B$138="Kale")*(W$71:W$138="H")*$C$71:$C$138)*$P$13+SUMPRODUCT(($B$71:$B$138="Garlic")*(W$71:W$138="H")*$C$71:$C$138)*$P$14</f>
        <v/>
      </c>
      <c r="X181" s="36">
        <f>SUMPRODUCT(($B$71:$B$138="Spinach")*(X$71:X$138="H")*$C$71:$C$138)*$P$12+SUMPRODUCT(($B$71:$B$138="Kale")*(X$71:X$138="H")*$C$71:$C$138)*$P$13+SUMPRODUCT(($B$71:$B$138="Garlic")*(X$71:X$138="H")*$C$71:$C$138)*$P$14</f>
        <v/>
      </c>
      <c r="Y181" s="36">
        <f>SUMPRODUCT(($B$71:$B$138="Spinach")*(Y$71:Y$138="H")*$C$71:$C$138)*$P$12+SUMPRODUCT(($B$71:$B$138="Kale")*(Y$71:Y$138="H")*$C$71:$C$138)*$P$13+SUMPRODUCT(($B$71:$B$138="Garlic")*(Y$71:Y$138="H")*$C$71:$C$138)*$P$14</f>
        <v/>
      </c>
      <c r="Z181" s="36">
        <f>SUMPRODUCT(($B$71:$B$138="Spinach")*(Z$71:Z$138="H")*$C$71:$C$138)*$P$12+SUMPRODUCT(($B$71:$B$138="Kale")*(Z$71:Z$138="H")*$C$71:$C$138)*$P$13+SUMPRODUCT(($B$71:$B$138="Garlic")*(Z$71:Z$138="H")*$C$71:$C$138)*$P$14</f>
        <v/>
      </c>
      <c r="AA181" s="36">
        <f>SUMPRODUCT(($B$71:$B$138="Spinach")*(AA$71:AA$138="H")*$C$71:$C$138)*$P$12+SUMPRODUCT(($B$71:$B$138="Kale")*(AA$71:AA$138="H")*$C$71:$C$138)*$P$13+SUMPRODUCT(($B$71:$B$138="Garlic")*(AA$71:AA$138="H")*$C$71:$C$138)*$P$14</f>
        <v/>
      </c>
      <c r="AB181" s="36">
        <f>SUMPRODUCT(($B$71:$B$138="Spinach")*(AB$71:AB$138="H")*$C$71:$C$138)*$P$12+SUMPRODUCT(($B$71:$B$138="Kale")*(AB$71:AB$138="H")*$C$71:$C$138)*$P$13+SUMPRODUCT(($B$71:$B$138="Garlic")*(AB$71:AB$138="H")*$C$71:$C$138)*$P$14</f>
        <v/>
      </c>
      <c r="AC181" s="36">
        <f>SUMPRODUCT(($B$71:$B$138="Spinach")*(AC$71:AC$138="H")*$C$71:$C$138)*$P$12+SUMPRODUCT(($B$71:$B$138="Kale")*(AC$71:AC$138="H")*$C$71:$C$138)*$P$13+SUMPRODUCT(($B$71:$B$138="Garlic")*(AC$71:AC$138="H")*$C$71:$C$138)*$P$14</f>
        <v/>
      </c>
      <c r="AD181" s="36">
        <f>SUMPRODUCT(($B$71:$B$138="Spinach")*(AD$71:AD$138="H")*$C$71:$C$138)*$P$12+SUMPRODUCT(($B$71:$B$138="Kale")*(AD$71:AD$138="H")*$C$71:$C$138)*$P$13+SUMPRODUCT(($B$71:$B$138="Garlic")*(AD$71:AD$138="H")*$C$71:$C$138)*$P$14</f>
        <v/>
      </c>
      <c r="AE181" s="36">
        <f>SUMPRODUCT(($B$71:$B$138="Spinach")*(AE$71:AE$138="H")*$C$71:$C$138)*$P$12+SUMPRODUCT(($B$71:$B$138="Kale")*(AE$71:AE$138="H")*$C$71:$C$138)*$P$13+SUMPRODUCT(($B$71:$B$138="Garlic")*(AE$71:AE$138="H")*$C$71:$C$138)*$P$14</f>
        <v/>
      </c>
      <c r="AF181" s="36">
        <f>SUMPRODUCT(($B$71:$B$138="Spinach")*(AF$71:AF$138="H")*$C$71:$C$138)*$P$12+SUMPRODUCT(($B$71:$B$138="Kale")*(AF$71:AF$138="H")*$C$71:$C$138)*$P$13+SUMPRODUCT(($B$71:$B$138="Garlic")*(AF$71:AF$138="H")*$C$71:$C$138)*$P$14</f>
        <v/>
      </c>
      <c r="AG181" s="36">
        <f>SUMPRODUCT(($B$71:$B$138="Spinach")*(AG$71:AG$138="H")*$C$71:$C$138)*$P$12+SUMPRODUCT(($B$71:$B$138="Kale")*(AG$71:AG$138="H")*$C$71:$C$138)*$P$13+SUMPRODUCT(($B$71:$B$138="Garlic")*(AG$71:AG$138="H")*$C$71:$C$138)*$P$14</f>
        <v/>
      </c>
      <c r="AH181" s="36">
        <f>SUMPRODUCT(($B$71:$B$138="Spinach")*(AH$71:AH$138="H")*$C$71:$C$138)*$P$12+SUMPRODUCT(($B$71:$B$138="Kale")*(AH$71:AH$138="H")*$C$71:$C$138)*$P$13+SUMPRODUCT(($B$71:$B$138="Garlic")*(AH$71:AH$138="H")*$C$71:$C$138)*$P$14</f>
        <v/>
      </c>
      <c r="AI181" s="36">
        <f>SUMPRODUCT(($B$71:$B$138="Spinach")*(AI$71:AI$138="H")*$C$71:$C$138)*$P$12+SUMPRODUCT(($B$71:$B$138="Kale")*(AI$71:AI$138="H")*$C$71:$C$138)*$P$13+SUMPRODUCT(($B$71:$B$138="Garlic")*(AI$71:AI$138="H")*$C$71:$C$138)*$P$14</f>
        <v/>
      </c>
      <c r="AJ181" s="36">
        <f>SUMPRODUCT(($B$71:$B$138="Spinach")*(AJ$71:AJ$138="H")*$C$71:$C$138)*$P$12+SUMPRODUCT(($B$71:$B$138="Kale")*(AJ$71:AJ$138="H")*$C$71:$C$138)*$P$13+SUMPRODUCT(($B$71:$B$138="Garlic")*(AJ$71:AJ$138="H")*$C$71:$C$138)*$P$14</f>
        <v/>
      </c>
      <c r="AK181" s="36">
        <f>SUMPRODUCT(($B$71:$B$138="Spinach")*(AK$71:AK$138="H")*$C$71:$C$138)*$P$12+SUMPRODUCT(($B$71:$B$138="Kale")*(AK$71:AK$138="H")*$C$71:$C$138)*$P$13+SUMPRODUCT(($B$71:$B$138="Garlic")*(AK$71:AK$138="H")*$C$71:$C$138)*$P$14</f>
        <v/>
      </c>
      <c r="AL181" s="36">
        <f>SUMPRODUCT(($B$71:$B$138="Spinach")*(AL$71:AL$138="H")*$C$71:$C$138)*$P$12+SUMPRODUCT(($B$71:$B$138="Kale")*(AL$71:AL$138="H")*$C$71:$C$138)*$P$13+SUMPRODUCT(($B$71:$B$138="Garlic")*(AL$71:AL$138="H")*$C$71:$C$138)*$P$14</f>
        <v/>
      </c>
      <c r="AM181" s="36">
        <f>SUMPRODUCT(($B$71:$B$138="Spinach")*(AM$71:AM$138="H")*$C$71:$C$138)*$P$12+SUMPRODUCT(($B$71:$B$138="Kale")*(AM$71:AM$138="H")*$C$71:$C$138)*$P$13+SUMPRODUCT(($B$71:$B$138="Garlic")*(AM$71:AM$138="H")*$C$71:$C$138)*$P$14</f>
        <v/>
      </c>
      <c r="AN181" s="36">
        <f>SUMPRODUCT(($B$71:$B$138="Spinach")*(AN$71:AN$138="H")*$C$71:$C$138)*$P$12+SUMPRODUCT(($B$71:$B$138="Kale")*(AN$71:AN$138="H")*$C$71:$C$138)*$P$13+SUMPRODUCT(($B$71:$B$138="Garlic")*(AN$71:AN$138="H")*$C$71:$C$138)*$P$14</f>
        <v/>
      </c>
      <c r="AO181" s="36">
        <f>SUMPRODUCT(($B$71:$B$138="Spinach")*(AO$71:AO$138="H")*$C$71:$C$138)*$P$12+SUMPRODUCT(($B$71:$B$138="Kale")*(AO$71:AO$138="H")*$C$71:$C$138)*$P$13+SUMPRODUCT(($B$71:$B$138="Garlic")*(AO$71:AO$138="H")*$C$71:$C$138)*$P$14</f>
        <v/>
      </c>
      <c r="AP181" s="36">
        <f>SUMPRODUCT(($B$71:$B$138="Spinach")*(AP$71:AP$138="H")*$C$71:$C$138)*$P$12+SUMPRODUCT(($B$71:$B$138="Kale")*(AP$71:AP$138="H")*$C$71:$C$138)*$P$13+SUMPRODUCT(($B$71:$B$138="Garlic")*(AP$71:AP$138="H")*$C$71:$C$138)*$P$14</f>
        <v/>
      </c>
      <c r="AQ181" s="36">
        <f>SUMPRODUCT(($B$71:$B$138="Spinach")*(AQ$71:AQ$138="H")*$C$71:$C$138)*$P$12+SUMPRODUCT(($B$71:$B$138="Kale")*(AQ$71:AQ$138="H")*$C$71:$C$138)*$P$13+SUMPRODUCT(($B$71:$B$138="Garlic")*(AQ$71:AQ$138="H")*$C$71:$C$138)*$P$14</f>
        <v/>
      </c>
      <c r="AR181" s="36">
        <f>SUMPRODUCT(($B$71:$B$138="Spinach")*(AR$71:AR$138="H")*$C$71:$C$138)*$P$12+SUMPRODUCT(($B$71:$B$138="Kale")*(AR$71:AR$138="H")*$C$71:$C$138)*$P$13+SUMPRODUCT(($B$71:$B$138="Garlic")*(AR$71:AR$138="H")*$C$71:$C$138)*$P$14</f>
        <v/>
      </c>
      <c r="AS181" s="36">
        <f>SUMPRODUCT(($B$71:$B$138="Spinach")*(AS$71:AS$138="H")*$C$71:$C$138)*$P$12+SUMPRODUCT(($B$71:$B$138="Kale")*(AS$71:AS$138="H")*$C$71:$C$138)*$P$13+SUMPRODUCT(($B$71:$B$138="Garlic")*(AS$71:AS$138="H")*$C$71:$C$138)*$P$14</f>
        <v/>
      </c>
      <c r="AT181" s="36">
        <f>SUMPRODUCT(($B$71:$B$138="Spinach")*(AT$71:AT$138="H")*$C$71:$C$138)*$P$12+SUMPRODUCT(($B$71:$B$138="Kale")*(AT$71:AT$138="H")*$C$71:$C$138)*$P$13+SUMPRODUCT(($B$71:$B$138="Garlic")*(AT$71:AT$138="H")*$C$71:$C$138)*$P$14</f>
        <v/>
      </c>
      <c r="AU181" s="36">
        <f>SUMPRODUCT(($B$71:$B$138="Spinach")*(AU$71:AU$138="H")*$C$71:$C$138)*$P$12+SUMPRODUCT(($B$71:$B$138="Kale")*(AU$71:AU$138="H")*$C$71:$C$138)*$P$13+SUMPRODUCT(($B$71:$B$138="Garlic")*(AU$71:AU$138="H")*$C$71:$C$138)*$P$14</f>
        <v/>
      </c>
      <c r="AV181" s="36">
        <f>SUMPRODUCT(($B$71:$B$138="Spinach")*(AV$71:AV$138="H")*$C$71:$C$138)*$P$12+SUMPRODUCT(($B$71:$B$138="Kale")*(AV$71:AV$138="H")*$C$71:$C$138)*$P$13+SUMPRODUCT(($B$71:$B$138="Garlic")*(AV$71:AV$138="H")*$C$71:$C$138)*$P$14</f>
        <v/>
      </c>
      <c r="AW181" s="36">
        <f>SUMPRODUCT(($B$71:$B$138="Spinach")*(AW$71:AW$138="H")*$C$71:$C$138)*$P$12+SUMPRODUCT(($B$71:$B$138="Kale")*(AW$71:AW$138="H")*$C$71:$C$138)*$P$13+SUMPRODUCT(($B$71:$B$138="Garlic")*(AW$71:AW$138="H")*$C$71:$C$138)*$P$14</f>
        <v/>
      </c>
      <c r="AX181" s="36">
        <f>SUMPRODUCT(($B$71:$B$138="Spinach")*(AX$71:AX$138="H")*$C$71:$C$138)*$P$12+SUMPRODUCT(($B$71:$B$138="Kale")*(AX$71:AX$138="H")*$C$71:$C$138)*$P$13+SUMPRODUCT(($B$71:$B$138="Garlic")*(AX$71:AX$138="H")*$C$71:$C$138)*$P$14</f>
        <v/>
      </c>
      <c r="AY181" s="36">
        <f>SUMPRODUCT(($B$71:$B$138="Spinach")*(AY$71:AY$138="H")*$C$71:$C$138)*$P$12+SUMPRODUCT(($B$71:$B$138="Kale")*(AY$71:AY$138="H")*$C$71:$C$138)*$P$13+SUMPRODUCT(($B$71:$B$138="Garlic")*(AY$71:AY$138="H")*$C$71:$C$138)*$P$14</f>
        <v/>
      </c>
      <c r="AZ181" s="36">
        <f>SUMPRODUCT(($B$71:$B$138="Spinach")*(AZ$71:AZ$138="H")*$C$71:$C$138)*$P$12+SUMPRODUCT(($B$71:$B$138="Kale")*(AZ$71:AZ$138="H")*$C$71:$C$138)*$P$13+SUMPRODUCT(($B$71:$B$138="Garlic")*(AZ$71:AZ$138="H")*$C$71:$C$138)*$P$14</f>
        <v/>
      </c>
      <c r="BA181" s="36">
        <f>SUMPRODUCT(($B$71:$B$138="Spinach")*(BA$71:BA$138="H")*$C$71:$C$138)*$P$12+SUMPRODUCT(($B$71:$B$138="Kale")*(BA$71:BA$138="H")*$C$71:$C$138)*$P$13+SUMPRODUCT(($B$71:$B$138="Garlic")*(BA$71:BA$138="H")*$C$71:$C$138)*$P$14</f>
        <v/>
      </c>
      <c r="BB181" s="36">
        <f>SUMPRODUCT(($B$71:$B$138="Spinach")*(BB$71:BB$138="H")*$C$71:$C$138)*$P$12+SUMPRODUCT(($B$71:$B$138="Kale")*(BB$71:BB$138="H")*$C$71:$C$138)*$P$13+SUMPRODUCT(($B$71:$B$138="Garlic")*(BB$71:BB$138="H")*$C$71:$C$138)*$P$14</f>
        <v/>
      </c>
      <c r="BC181" s="36">
        <f>SUMPRODUCT(($B$71:$B$138="Spinach")*(BC$71:BC$138="H")*$C$71:$C$138)*$P$12+SUMPRODUCT(($B$71:$B$138="Kale")*(BC$71:BC$138="H")*$C$71:$C$138)*$P$13+SUMPRODUCT(($B$71:$B$138="Garlic")*(BC$71:BC$138="H")*$C$71:$C$138)*$P$14</f>
        <v/>
      </c>
      <c r="BD181" s="36">
        <f>SUMPRODUCT(($B$71:$B$138="Spinach")*(BD$71:BD$138="H")*$C$71:$C$138)*$P$12+SUMPRODUCT(($B$71:$B$138="Kale")*(BD$71:BD$138="H")*$C$71:$C$138)*$P$13+SUMPRODUCT(($B$71:$B$138="Garlic")*(BD$71:BD$138="H")*$C$71:$C$138)*$P$14</f>
        <v/>
      </c>
    </row>
    <row r="182">
      <c r="A182" s="2" t="inlineStr">
        <is>
          <t xml:space="preserve">   Harvest-phase hours only. The relief above cannot exceed this row.</t>
        </is>
      </c>
    </row>
    <row r="183">
      <c r="A183" s="32" t="inlineStr">
        <is>
          <t>Week</t>
        </is>
      </c>
      <c r="B183" s="33" t="inlineStr">
        <is>
          <t>hours</t>
        </is>
      </c>
      <c r="E183" s="34" t="n">
        <v>1</v>
      </c>
      <c r="F183" s="34" t="n">
        <v>2</v>
      </c>
      <c r="G183" s="34" t="n">
        <v>3</v>
      </c>
      <c r="H183" s="34" t="n">
        <v>4</v>
      </c>
      <c r="I183" s="34" t="n">
        <v>5</v>
      </c>
      <c r="J183" s="34" t="n">
        <v>6</v>
      </c>
      <c r="K183" s="34" t="n">
        <v>7</v>
      </c>
      <c r="L183" s="34" t="n">
        <v>8</v>
      </c>
      <c r="M183" s="34" t="n">
        <v>9</v>
      </c>
      <c r="N183" s="34" t="n">
        <v>10</v>
      </c>
      <c r="O183" s="34" t="n">
        <v>11</v>
      </c>
      <c r="P183" s="34" t="n">
        <v>12</v>
      </c>
      <c r="Q183" s="34" t="n">
        <v>13</v>
      </c>
      <c r="R183" s="34" t="n">
        <v>14</v>
      </c>
      <c r="S183" s="34" t="n">
        <v>15</v>
      </c>
      <c r="T183" s="34" t="n">
        <v>16</v>
      </c>
      <c r="U183" s="34" t="n">
        <v>17</v>
      </c>
      <c r="V183" s="34" t="n">
        <v>18</v>
      </c>
      <c r="W183" s="34" t="n">
        <v>19</v>
      </c>
      <c r="X183" s="34" t="n">
        <v>20</v>
      </c>
      <c r="Y183" s="34" t="n">
        <v>21</v>
      </c>
      <c r="Z183" s="34" t="n">
        <v>22</v>
      </c>
      <c r="AA183" s="34" t="n">
        <v>23</v>
      </c>
      <c r="AB183" s="34" t="n">
        <v>24</v>
      </c>
      <c r="AC183" s="34" t="n">
        <v>25</v>
      </c>
      <c r="AD183" s="34" t="n">
        <v>26</v>
      </c>
      <c r="AE183" s="34" t="n">
        <v>27</v>
      </c>
      <c r="AF183" s="34" t="n">
        <v>28</v>
      </c>
      <c r="AG183" s="34" t="n">
        <v>29</v>
      </c>
      <c r="AH183" s="34" t="n">
        <v>30</v>
      </c>
      <c r="AI183" s="34" t="n">
        <v>31</v>
      </c>
      <c r="AJ183" s="34" t="n">
        <v>32</v>
      </c>
      <c r="AK183" s="34" t="n">
        <v>33</v>
      </c>
      <c r="AL183" s="34" t="n">
        <v>34</v>
      </c>
      <c r="AM183" s="34" t="n">
        <v>35</v>
      </c>
      <c r="AN183" s="34" t="n">
        <v>36</v>
      </c>
      <c r="AO183" s="34" t="n">
        <v>37</v>
      </c>
      <c r="AP183" s="34" t="n">
        <v>38</v>
      </c>
      <c r="AQ183" s="34" t="n">
        <v>39</v>
      </c>
      <c r="AR183" s="34" t="n">
        <v>40</v>
      </c>
      <c r="AS183" s="34" t="n">
        <v>41</v>
      </c>
      <c r="AT183" s="34" t="n">
        <v>42</v>
      </c>
      <c r="AU183" s="34" t="n">
        <v>43</v>
      </c>
      <c r="AV183" s="34" t="n">
        <v>44</v>
      </c>
      <c r="AW183" s="34" t="n">
        <v>45</v>
      </c>
      <c r="AX183" s="34" t="n">
        <v>46</v>
      </c>
      <c r="AY183" s="34" t="n">
        <v>47</v>
      </c>
      <c r="AZ183" s="34" t="n">
        <v>48</v>
      </c>
      <c r="BA183" s="34" t="n">
        <v>49</v>
      </c>
      <c r="BB183" s="34" t="n">
        <v>50</v>
      </c>
      <c r="BC183" s="34" t="n">
        <v>51</v>
      </c>
      <c r="BD183" s="34" t="n">
        <v>52</v>
      </c>
    </row>
    <row r="184">
      <c r="A184" s="39" t="inlineStr">
        <is>
          <t xml:space="preserve">   Equipment Operator — overtime room left</t>
        </is>
      </c>
      <c r="B184" s="2" t="inlineStr">
        <is>
          <t>hrs</t>
        </is>
      </c>
      <c r="E184" s="38">
        <f>E$160-E161</f>
        <v/>
      </c>
      <c r="F184" s="38">
        <f>F$160-F161</f>
        <v/>
      </c>
      <c r="G184" s="38">
        <f>G$160-G161</f>
        <v/>
      </c>
      <c r="H184" s="38">
        <f>H$160-H161</f>
        <v/>
      </c>
      <c r="I184" s="38">
        <f>I$160-I161</f>
        <v/>
      </c>
      <c r="J184" s="38">
        <f>J$160-J161</f>
        <v/>
      </c>
      <c r="K184" s="38">
        <f>K$160-K161</f>
        <v/>
      </c>
      <c r="L184" s="38">
        <f>L$160-L161</f>
        <v/>
      </c>
      <c r="M184" s="38">
        <f>M$160-M161</f>
        <v/>
      </c>
      <c r="N184" s="38">
        <f>N$160-N161</f>
        <v/>
      </c>
      <c r="O184" s="38">
        <f>O$160-O161</f>
        <v/>
      </c>
      <c r="P184" s="38">
        <f>P$160-P161</f>
        <v/>
      </c>
      <c r="Q184" s="38">
        <f>Q$160-Q161</f>
        <v/>
      </c>
      <c r="R184" s="38">
        <f>R$160-R161</f>
        <v/>
      </c>
      <c r="S184" s="38">
        <f>S$160-S161</f>
        <v/>
      </c>
      <c r="T184" s="38">
        <f>T$160-T161</f>
        <v/>
      </c>
      <c r="U184" s="38">
        <f>U$160-U161</f>
        <v/>
      </c>
      <c r="V184" s="38">
        <f>V$160-V161</f>
        <v/>
      </c>
      <c r="W184" s="38">
        <f>W$160-W161</f>
        <v/>
      </c>
      <c r="X184" s="38">
        <f>X$160-X161</f>
        <v/>
      </c>
      <c r="Y184" s="38">
        <f>Y$160-Y161</f>
        <v/>
      </c>
      <c r="Z184" s="38">
        <f>Z$160-Z161</f>
        <v/>
      </c>
      <c r="AA184" s="38">
        <f>AA$160-AA161</f>
        <v/>
      </c>
      <c r="AB184" s="38">
        <f>AB$160-AB161</f>
        <v/>
      </c>
      <c r="AC184" s="38">
        <f>AC$160-AC161</f>
        <v/>
      </c>
      <c r="AD184" s="38">
        <f>AD$160-AD161</f>
        <v/>
      </c>
      <c r="AE184" s="38">
        <f>AE$160-AE161</f>
        <v/>
      </c>
      <c r="AF184" s="38">
        <f>AF$160-AF161</f>
        <v/>
      </c>
      <c r="AG184" s="38">
        <f>AG$160-AG161</f>
        <v/>
      </c>
      <c r="AH184" s="38">
        <f>AH$160-AH161</f>
        <v/>
      </c>
      <c r="AI184" s="38">
        <f>AI$160-AI161</f>
        <v/>
      </c>
      <c r="AJ184" s="38">
        <f>AJ$160-AJ161</f>
        <v/>
      </c>
      <c r="AK184" s="38">
        <f>AK$160-AK161</f>
        <v/>
      </c>
      <c r="AL184" s="38">
        <f>AL$160-AL161</f>
        <v/>
      </c>
      <c r="AM184" s="38">
        <f>AM$160-AM161</f>
        <v/>
      </c>
      <c r="AN184" s="38">
        <f>AN$160-AN161</f>
        <v/>
      </c>
      <c r="AO184" s="38">
        <f>AO$160-AO161</f>
        <v/>
      </c>
      <c r="AP184" s="38">
        <f>AP$160-AP161</f>
        <v/>
      </c>
      <c r="AQ184" s="38">
        <f>AQ$160-AQ161</f>
        <v/>
      </c>
      <c r="AR184" s="38">
        <f>AR$160-AR161</f>
        <v/>
      </c>
      <c r="AS184" s="38">
        <f>AS$160-AS161</f>
        <v/>
      </c>
      <c r="AT184" s="38">
        <f>AT$160-AT161</f>
        <v/>
      </c>
      <c r="AU184" s="38">
        <f>AU$160-AU161</f>
        <v/>
      </c>
      <c r="AV184" s="38">
        <f>AV$160-AV161</f>
        <v/>
      </c>
      <c r="AW184" s="38">
        <f>AW$160-AW161</f>
        <v/>
      </c>
      <c r="AX184" s="38">
        <f>AX$160-AX161</f>
        <v/>
      </c>
      <c r="AY184" s="38">
        <f>AY$160-AY161</f>
        <v/>
      </c>
      <c r="AZ184" s="38">
        <f>AZ$160-AZ161</f>
        <v/>
      </c>
      <c r="BA184" s="38">
        <f>BA$160-BA161</f>
        <v/>
      </c>
      <c r="BB184" s="38">
        <f>BB$160-BB161</f>
        <v/>
      </c>
      <c r="BC184" s="38">
        <f>BC$160-BC161</f>
        <v/>
      </c>
      <c r="BD184" s="38">
        <f>BD$160-BD161</f>
        <v/>
      </c>
    </row>
    <row r="185">
      <c r="A185" s="39" t="inlineStr">
        <is>
          <t xml:space="preserve">   Seasonal Field Crew — overtime room left</t>
        </is>
      </c>
      <c r="B185" s="2" t="inlineStr">
        <is>
          <t>hrs</t>
        </is>
      </c>
      <c r="E185" s="38">
        <f>E$162-E163</f>
        <v/>
      </c>
      <c r="F185" s="38">
        <f>F$162-F163</f>
        <v/>
      </c>
      <c r="G185" s="38">
        <f>G$162-G163</f>
        <v/>
      </c>
      <c r="H185" s="38">
        <f>H$162-H163</f>
        <v/>
      </c>
      <c r="I185" s="38">
        <f>I$162-I163</f>
        <v/>
      </c>
      <c r="J185" s="38">
        <f>J$162-J163</f>
        <v/>
      </c>
      <c r="K185" s="38">
        <f>K$162-K163</f>
        <v/>
      </c>
      <c r="L185" s="38">
        <f>L$162-L163</f>
        <v/>
      </c>
      <c r="M185" s="38">
        <f>M$162-M163</f>
        <v/>
      </c>
      <c r="N185" s="38">
        <f>N$162-N163</f>
        <v/>
      </c>
      <c r="O185" s="38">
        <f>O$162-O163</f>
        <v/>
      </c>
      <c r="P185" s="38">
        <f>P$162-P163</f>
        <v/>
      </c>
      <c r="Q185" s="38">
        <f>Q$162-Q163</f>
        <v/>
      </c>
      <c r="R185" s="38">
        <f>R$162-R163</f>
        <v/>
      </c>
      <c r="S185" s="38">
        <f>S$162-S163</f>
        <v/>
      </c>
      <c r="T185" s="38">
        <f>T$162-T163</f>
        <v/>
      </c>
      <c r="U185" s="38">
        <f>U$162-U163</f>
        <v/>
      </c>
      <c r="V185" s="38">
        <f>V$162-V163</f>
        <v/>
      </c>
      <c r="W185" s="38">
        <f>W$162-W163</f>
        <v/>
      </c>
      <c r="X185" s="38">
        <f>X$162-X163</f>
        <v/>
      </c>
      <c r="Y185" s="38">
        <f>Y$162-Y163</f>
        <v/>
      </c>
      <c r="Z185" s="38">
        <f>Z$162-Z163</f>
        <v/>
      </c>
      <c r="AA185" s="38">
        <f>AA$162-AA163</f>
        <v/>
      </c>
      <c r="AB185" s="38">
        <f>AB$162-AB163</f>
        <v/>
      </c>
      <c r="AC185" s="38">
        <f>AC$162-AC163</f>
        <v/>
      </c>
      <c r="AD185" s="38">
        <f>AD$162-AD163</f>
        <v/>
      </c>
      <c r="AE185" s="38">
        <f>AE$162-AE163</f>
        <v/>
      </c>
      <c r="AF185" s="38">
        <f>AF$162-AF163</f>
        <v/>
      </c>
      <c r="AG185" s="38">
        <f>AG$162-AG163</f>
        <v/>
      </c>
      <c r="AH185" s="38">
        <f>AH$162-AH163</f>
        <v/>
      </c>
      <c r="AI185" s="38">
        <f>AI$162-AI163</f>
        <v/>
      </c>
      <c r="AJ185" s="38">
        <f>AJ$162-AJ163</f>
        <v/>
      </c>
      <c r="AK185" s="38">
        <f>AK$162-AK163</f>
        <v/>
      </c>
      <c r="AL185" s="38">
        <f>AL$162-AL163</f>
        <v/>
      </c>
      <c r="AM185" s="38">
        <f>AM$162-AM163</f>
        <v/>
      </c>
      <c r="AN185" s="38">
        <f>AN$162-AN163</f>
        <v/>
      </c>
      <c r="AO185" s="38">
        <f>AO$162-AO163</f>
        <v/>
      </c>
      <c r="AP185" s="38">
        <f>AP$162-AP163</f>
        <v/>
      </c>
      <c r="AQ185" s="38">
        <f>AQ$162-AQ163</f>
        <v/>
      </c>
      <c r="AR185" s="38">
        <f>AR$162-AR163</f>
        <v/>
      </c>
      <c r="AS185" s="38">
        <f>AS$162-AS163</f>
        <v/>
      </c>
      <c r="AT185" s="38">
        <f>AT$162-AT163</f>
        <v/>
      </c>
      <c r="AU185" s="38">
        <f>AU$162-AU163</f>
        <v/>
      </c>
      <c r="AV185" s="38">
        <f>AV$162-AV163</f>
        <v/>
      </c>
      <c r="AW185" s="38">
        <f>AW$162-AW163</f>
        <v/>
      </c>
      <c r="AX185" s="38">
        <f>AX$162-AX163</f>
        <v/>
      </c>
      <c r="AY185" s="38">
        <f>AY$162-AY163</f>
        <v/>
      </c>
      <c r="AZ185" s="38">
        <f>AZ$162-AZ163</f>
        <v/>
      </c>
      <c r="BA185" s="38">
        <f>BA$162-BA163</f>
        <v/>
      </c>
      <c r="BB185" s="38">
        <f>BB$162-BB163</f>
        <v/>
      </c>
      <c r="BC185" s="38">
        <f>BC$162-BC163</f>
        <v/>
      </c>
      <c r="BD185" s="38">
        <f>BD$162-BD163</f>
        <v/>
      </c>
    </row>
    <row r="186">
      <c r="A186" s="39" t="inlineStr">
        <is>
          <t xml:space="preserve">   Harvest Crew — overtime room left</t>
        </is>
      </c>
      <c r="B186" s="2" t="inlineStr">
        <is>
          <t>hrs</t>
        </is>
      </c>
      <c r="E186" s="38">
        <f>E$164-E165</f>
        <v/>
      </c>
      <c r="F186" s="38">
        <f>F$164-F165</f>
        <v/>
      </c>
      <c r="G186" s="38">
        <f>G$164-G165</f>
        <v/>
      </c>
      <c r="H186" s="38">
        <f>H$164-H165</f>
        <v/>
      </c>
      <c r="I186" s="38">
        <f>I$164-I165</f>
        <v/>
      </c>
      <c r="J186" s="38">
        <f>J$164-J165</f>
        <v/>
      </c>
      <c r="K186" s="38">
        <f>K$164-K165</f>
        <v/>
      </c>
      <c r="L186" s="38">
        <f>L$164-L165</f>
        <v/>
      </c>
      <c r="M186" s="38">
        <f>M$164-M165</f>
        <v/>
      </c>
      <c r="N186" s="38">
        <f>N$164-N165</f>
        <v/>
      </c>
      <c r="O186" s="38">
        <f>O$164-O165</f>
        <v/>
      </c>
      <c r="P186" s="38">
        <f>P$164-P165</f>
        <v/>
      </c>
      <c r="Q186" s="38">
        <f>Q$164-Q165</f>
        <v/>
      </c>
      <c r="R186" s="38">
        <f>R$164-R165</f>
        <v/>
      </c>
      <c r="S186" s="38">
        <f>S$164-S165</f>
        <v/>
      </c>
      <c r="T186" s="38">
        <f>T$164-T165</f>
        <v/>
      </c>
      <c r="U186" s="38">
        <f>U$164-U165</f>
        <v/>
      </c>
      <c r="V186" s="38">
        <f>V$164-V165</f>
        <v/>
      </c>
      <c r="W186" s="38">
        <f>W$164-W165</f>
        <v/>
      </c>
      <c r="X186" s="38">
        <f>X$164-X165</f>
        <v/>
      </c>
      <c r="Y186" s="38">
        <f>Y$164-Y165</f>
        <v/>
      </c>
      <c r="Z186" s="38">
        <f>Z$164-Z165</f>
        <v/>
      </c>
      <c r="AA186" s="38">
        <f>AA$164-AA165</f>
        <v/>
      </c>
      <c r="AB186" s="38">
        <f>AB$164-AB165</f>
        <v/>
      </c>
      <c r="AC186" s="38">
        <f>AC$164-AC165</f>
        <v/>
      </c>
      <c r="AD186" s="38">
        <f>AD$164-AD165</f>
        <v/>
      </c>
      <c r="AE186" s="38">
        <f>AE$164-AE165</f>
        <v/>
      </c>
      <c r="AF186" s="38">
        <f>AF$164-AF165</f>
        <v/>
      </c>
      <c r="AG186" s="38">
        <f>AG$164-AG165</f>
        <v/>
      </c>
      <c r="AH186" s="38">
        <f>AH$164-AH165</f>
        <v/>
      </c>
      <c r="AI186" s="38">
        <f>AI$164-AI165</f>
        <v/>
      </c>
      <c r="AJ186" s="38">
        <f>AJ$164-AJ165</f>
        <v/>
      </c>
      <c r="AK186" s="38">
        <f>AK$164-AK165</f>
        <v/>
      </c>
      <c r="AL186" s="38">
        <f>AL$164-AL165</f>
        <v/>
      </c>
      <c r="AM186" s="38">
        <f>AM$164-AM165</f>
        <v/>
      </c>
      <c r="AN186" s="38">
        <f>AN$164-AN165</f>
        <v/>
      </c>
      <c r="AO186" s="38">
        <f>AO$164-AO165</f>
        <v/>
      </c>
      <c r="AP186" s="38">
        <f>AP$164-AP165</f>
        <v/>
      </c>
      <c r="AQ186" s="38">
        <f>AQ$164-AQ165</f>
        <v/>
      </c>
      <c r="AR186" s="38">
        <f>AR$164-AR165</f>
        <v/>
      </c>
      <c r="AS186" s="38">
        <f>AS$164-AS165</f>
        <v/>
      </c>
      <c r="AT186" s="38">
        <f>AT$164-AT165</f>
        <v/>
      </c>
      <c r="AU186" s="38">
        <f>AU$164-AU165</f>
        <v/>
      </c>
      <c r="AV186" s="38">
        <f>AV$164-AV165</f>
        <v/>
      </c>
      <c r="AW186" s="38">
        <f>AW$164-AW165</f>
        <v/>
      </c>
      <c r="AX186" s="38">
        <f>AX$164-AX165</f>
        <v/>
      </c>
      <c r="AY186" s="38">
        <f>AY$164-AY165</f>
        <v/>
      </c>
      <c r="AZ186" s="38">
        <f>AZ$164-AZ165</f>
        <v/>
      </c>
      <c r="BA186" s="38">
        <f>BA$164-BA165</f>
        <v/>
      </c>
      <c r="BB186" s="38">
        <f>BB$164-BB165</f>
        <v/>
      </c>
      <c r="BC186" s="38">
        <f>BC$164-BC165</f>
        <v/>
      </c>
      <c r="BD186" s="38">
        <f>BD$164-BD165</f>
        <v/>
      </c>
    </row>
    <row r="187">
      <c r="A187" s="2" t="inlineStr">
        <is>
          <t xml:space="preserve">   Each role's overtime against its OWN crew that week — the cap is two rows above the decision in block B, and the Solver constrains them there. Zero means that role is at its limit; negative means the recipe is not loaded.</t>
        </is>
      </c>
    </row>
    <row r="189">
      <c r="A189" s="3" t="inlineStr">
        <is>
          <t>D — WHAT IT COSTS</t>
        </is>
      </c>
    </row>
    <row r="190">
      <c r="A190" s="2" t="inlineStr">
        <is>
          <t xml:space="preserve">   Nothing above this line is money. Nothing below it is a limit.</t>
        </is>
      </c>
    </row>
    <row r="191">
      <c r="A191" s="32" t="inlineStr">
        <is>
          <t>Week</t>
        </is>
      </c>
      <c r="B191" s="33" t="inlineStr">
        <is>
          <t>$</t>
        </is>
      </c>
      <c r="E191" s="34" t="n">
        <v>1</v>
      </c>
      <c r="F191" s="34" t="n">
        <v>2</v>
      </c>
      <c r="G191" s="34" t="n">
        <v>3</v>
      </c>
      <c r="H191" s="34" t="n">
        <v>4</v>
      </c>
      <c r="I191" s="34" t="n">
        <v>5</v>
      </c>
      <c r="J191" s="34" t="n">
        <v>6</v>
      </c>
      <c r="K191" s="34" t="n">
        <v>7</v>
      </c>
      <c r="L191" s="34" t="n">
        <v>8</v>
      </c>
      <c r="M191" s="34" t="n">
        <v>9</v>
      </c>
      <c r="N191" s="34" t="n">
        <v>10</v>
      </c>
      <c r="O191" s="34" t="n">
        <v>11</v>
      </c>
      <c r="P191" s="34" t="n">
        <v>12</v>
      </c>
      <c r="Q191" s="34" t="n">
        <v>13</v>
      </c>
      <c r="R191" s="34" t="n">
        <v>14</v>
      </c>
      <c r="S191" s="34" t="n">
        <v>15</v>
      </c>
      <c r="T191" s="34" t="n">
        <v>16</v>
      </c>
      <c r="U191" s="34" t="n">
        <v>17</v>
      </c>
      <c r="V191" s="34" t="n">
        <v>18</v>
      </c>
      <c r="W191" s="34" t="n">
        <v>19</v>
      </c>
      <c r="X191" s="34" t="n">
        <v>20</v>
      </c>
      <c r="Y191" s="34" t="n">
        <v>21</v>
      </c>
      <c r="Z191" s="34" t="n">
        <v>22</v>
      </c>
      <c r="AA191" s="34" t="n">
        <v>23</v>
      </c>
      <c r="AB191" s="34" t="n">
        <v>24</v>
      </c>
      <c r="AC191" s="34" t="n">
        <v>25</v>
      </c>
      <c r="AD191" s="34" t="n">
        <v>26</v>
      </c>
      <c r="AE191" s="34" t="n">
        <v>27</v>
      </c>
      <c r="AF191" s="34" t="n">
        <v>28</v>
      </c>
      <c r="AG191" s="34" t="n">
        <v>29</v>
      </c>
      <c r="AH191" s="34" t="n">
        <v>30</v>
      </c>
      <c r="AI191" s="34" t="n">
        <v>31</v>
      </c>
      <c r="AJ191" s="34" t="n">
        <v>32</v>
      </c>
      <c r="AK191" s="34" t="n">
        <v>33</v>
      </c>
      <c r="AL191" s="34" t="n">
        <v>34</v>
      </c>
      <c r="AM191" s="34" t="n">
        <v>35</v>
      </c>
      <c r="AN191" s="34" t="n">
        <v>36</v>
      </c>
      <c r="AO191" s="34" t="n">
        <v>37</v>
      </c>
      <c r="AP191" s="34" t="n">
        <v>38</v>
      </c>
      <c r="AQ191" s="34" t="n">
        <v>39</v>
      </c>
      <c r="AR191" s="34" t="n">
        <v>40</v>
      </c>
      <c r="AS191" s="34" t="n">
        <v>41</v>
      </c>
      <c r="AT191" s="34" t="n">
        <v>42</v>
      </c>
      <c r="AU191" s="34" t="n">
        <v>43</v>
      </c>
      <c r="AV191" s="34" t="n">
        <v>44</v>
      </c>
      <c r="AW191" s="34" t="n">
        <v>45</v>
      </c>
      <c r="AX191" s="34" t="n">
        <v>46</v>
      </c>
      <c r="AY191" s="34" t="n">
        <v>47</v>
      </c>
      <c r="AZ191" s="34" t="n">
        <v>48</v>
      </c>
      <c r="BA191" s="34" t="n">
        <v>49</v>
      </c>
      <c r="BB191" s="34" t="n">
        <v>50</v>
      </c>
      <c r="BC191" s="34" t="n">
        <v>51</v>
      </c>
      <c r="BD191" s="34" t="n">
        <v>52</v>
      </c>
    </row>
    <row r="192">
      <c r="A192" s="28" t="inlineStr">
        <is>
          <t xml:space="preserve">   Farm Manager</t>
        </is>
      </c>
      <c r="B192" s="2" t="inlineStr">
        <is>
          <t>$</t>
        </is>
      </c>
      <c r="E192" s="36">
        <f>IF(AND(1&gt;=$G$28,1&lt;=$H$28),($B$28+IF($I$28="Y",$K$28,0))*$D$28/52*(1+$B$35),0)</f>
        <v/>
      </c>
      <c r="F192" s="36">
        <f>IF(AND(2&gt;=$G$28,2&lt;=$H$28),($B$28+IF($I$28="Y",$K$28,0))*$D$28/52*(1+$B$35),0)</f>
        <v/>
      </c>
      <c r="G192" s="36">
        <f>IF(AND(3&gt;=$G$28,3&lt;=$H$28),($B$28+IF($I$28="Y",$K$28,0))*$D$28/52*(1+$B$35),0)</f>
        <v/>
      </c>
      <c r="H192" s="36">
        <f>IF(AND(4&gt;=$G$28,4&lt;=$H$28),($B$28+IF($I$28="Y",$K$28,0))*$D$28/52*(1+$B$35),0)</f>
        <v/>
      </c>
      <c r="I192" s="36">
        <f>IF(AND(5&gt;=$G$28,5&lt;=$H$28),($B$28+IF($I$28="Y",$K$28,0))*$D$28/52*(1+$B$35),0)</f>
        <v/>
      </c>
      <c r="J192" s="36">
        <f>IF(AND(6&gt;=$G$28,6&lt;=$H$28),($B$28+IF($I$28="Y",$K$28,0))*$D$28/52*(1+$B$35),0)</f>
        <v/>
      </c>
      <c r="K192" s="36">
        <f>IF(AND(7&gt;=$G$28,7&lt;=$H$28),($B$28+IF($I$28="Y",$K$28,0))*$D$28/52*(1+$B$35),0)</f>
        <v/>
      </c>
      <c r="L192" s="36">
        <f>IF(AND(8&gt;=$G$28,8&lt;=$H$28),($B$28+IF($I$28="Y",$K$28,0))*$D$28/52*(1+$B$35),0)</f>
        <v/>
      </c>
      <c r="M192" s="36">
        <f>IF(AND(9&gt;=$G$28,9&lt;=$H$28),($B$28+IF($I$28="Y",$K$28,0))*$D$28/52*(1+$B$35),0)</f>
        <v/>
      </c>
      <c r="N192" s="36">
        <f>IF(AND(10&gt;=$G$28,10&lt;=$H$28),($B$28+IF($I$28="Y",$K$28,0))*$D$28/52*(1+$B$35),0)</f>
        <v/>
      </c>
      <c r="O192" s="36">
        <f>IF(AND(11&gt;=$G$28,11&lt;=$H$28),($B$28+IF($I$28="Y",$K$28,0))*$D$28/52*(1+$B$35),0)</f>
        <v/>
      </c>
      <c r="P192" s="36">
        <f>IF(AND(12&gt;=$G$28,12&lt;=$H$28),($B$28+IF($I$28="Y",$K$28,0))*$D$28/52*(1+$B$35),0)</f>
        <v/>
      </c>
      <c r="Q192" s="36">
        <f>IF(AND(13&gt;=$G$28,13&lt;=$H$28),($B$28+IF($I$28="Y",$K$28,0))*$D$28/52*(1+$B$35),0)</f>
        <v/>
      </c>
      <c r="R192" s="36">
        <f>IF(AND(14&gt;=$G$28,14&lt;=$H$28),($B$28+IF($I$28="Y",$K$28,0))*$D$28/52*(1+$B$35),0)</f>
        <v/>
      </c>
      <c r="S192" s="36">
        <f>IF(AND(15&gt;=$G$28,15&lt;=$H$28),($B$28+IF($I$28="Y",$K$28,0))*$D$28/52*(1+$B$35),0)</f>
        <v/>
      </c>
      <c r="T192" s="36">
        <f>IF(AND(16&gt;=$G$28,16&lt;=$H$28),($B$28+IF($I$28="Y",$K$28,0))*$D$28/52*(1+$B$35),0)</f>
        <v/>
      </c>
      <c r="U192" s="36">
        <f>IF(AND(17&gt;=$G$28,17&lt;=$H$28),($B$28+IF($I$28="Y",$K$28,0))*$D$28/52*(1+$B$35),0)</f>
        <v/>
      </c>
      <c r="V192" s="36">
        <f>IF(AND(18&gt;=$G$28,18&lt;=$H$28),($B$28+IF($I$28="Y",$K$28,0))*$D$28/52*(1+$B$35),0)</f>
        <v/>
      </c>
      <c r="W192" s="36">
        <f>IF(AND(19&gt;=$G$28,19&lt;=$H$28),($B$28+IF($I$28="Y",$K$28,0))*$D$28/52*(1+$B$35),0)</f>
        <v/>
      </c>
      <c r="X192" s="36">
        <f>IF(AND(20&gt;=$G$28,20&lt;=$H$28),($B$28+IF($I$28="Y",$K$28,0))*$D$28/52*(1+$B$35),0)</f>
        <v/>
      </c>
      <c r="Y192" s="36">
        <f>IF(AND(21&gt;=$G$28,21&lt;=$H$28),($B$28+IF($I$28="Y",$K$28,0))*$D$28/52*(1+$B$35),0)</f>
        <v/>
      </c>
      <c r="Z192" s="36">
        <f>IF(AND(22&gt;=$G$28,22&lt;=$H$28),($B$28+IF($I$28="Y",$K$28,0))*$D$28/52*(1+$B$35),0)</f>
        <v/>
      </c>
      <c r="AA192" s="36">
        <f>IF(AND(23&gt;=$G$28,23&lt;=$H$28),($B$28+IF($I$28="Y",$K$28,0))*$D$28/52*(1+$B$35),0)</f>
        <v/>
      </c>
      <c r="AB192" s="36">
        <f>IF(AND(24&gt;=$G$28,24&lt;=$H$28),($B$28+IF($I$28="Y",$K$28,0))*$D$28/52*(1+$B$35),0)</f>
        <v/>
      </c>
      <c r="AC192" s="36">
        <f>IF(AND(25&gt;=$G$28,25&lt;=$H$28),($B$28+IF($I$28="Y",$K$28,0))*$D$28/52*(1+$B$35),0)</f>
        <v/>
      </c>
      <c r="AD192" s="36">
        <f>IF(AND(26&gt;=$G$28,26&lt;=$H$28),($B$28+IF($I$28="Y",$K$28,0))*$D$28/52*(1+$B$35),0)</f>
        <v/>
      </c>
      <c r="AE192" s="36">
        <f>IF(AND(27&gt;=$G$28,27&lt;=$H$28),($B$28+IF($I$28="Y",$K$28,0))*$D$28/52*(1+$B$35),0)</f>
        <v/>
      </c>
      <c r="AF192" s="36">
        <f>IF(AND(28&gt;=$G$28,28&lt;=$H$28),($B$28+IF($I$28="Y",$K$28,0))*$D$28/52*(1+$B$35),0)</f>
        <v/>
      </c>
      <c r="AG192" s="36">
        <f>IF(AND(29&gt;=$G$28,29&lt;=$H$28),($B$28+IF($I$28="Y",$K$28,0))*$D$28/52*(1+$B$35),0)</f>
        <v/>
      </c>
      <c r="AH192" s="36">
        <f>IF(AND(30&gt;=$G$28,30&lt;=$H$28),($B$28+IF($I$28="Y",$K$28,0))*$D$28/52*(1+$B$35),0)</f>
        <v/>
      </c>
      <c r="AI192" s="36">
        <f>IF(AND(31&gt;=$G$28,31&lt;=$H$28),($B$28+IF($I$28="Y",$K$28,0))*$D$28/52*(1+$B$35),0)</f>
        <v/>
      </c>
      <c r="AJ192" s="36">
        <f>IF(AND(32&gt;=$G$28,32&lt;=$H$28),($B$28+IF($I$28="Y",$K$28,0))*$D$28/52*(1+$B$35),0)</f>
        <v/>
      </c>
      <c r="AK192" s="36">
        <f>IF(AND(33&gt;=$G$28,33&lt;=$H$28),($B$28+IF($I$28="Y",$K$28,0))*$D$28/52*(1+$B$35),0)</f>
        <v/>
      </c>
      <c r="AL192" s="36">
        <f>IF(AND(34&gt;=$G$28,34&lt;=$H$28),($B$28+IF($I$28="Y",$K$28,0))*$D$28/52*(1+$B$35),0)</f>
        <v/>
      </c>
      <c r="AM192" s="36">
        <f>IF(AND(35&gt;=$G$28,35&lt;=$H$28),($B$28+IF($I$28="Y",$K$28,0))*$D$28/52*(1+$B$35),0)</f>
        <v/>
      </c>
      <c r="AN192" s="36">
        <f>IF(AND(36&gt;=$G$28,36&lt;=$H$28),($B$28+IF($I$28="Y",$K$28,0))*$D$28/52*(1+$B$35),0)</f>
        <v/>
      </c>
      <c r="AO192" s="36">
        <f>IF(AND(37&gt;=$G$28,37&lt;=$H$28),($B$28+IF($I$28="Y",$K$28,0))*$D$28/52*(1+$B$35),0)</f>
        <v/>
      </c>
      <c r="AP192" s="36">
        <f>IF(AND(38&gt;=$G$28,38&lt;=$H$28),($B$28+IF($I$28="Y",$K$28,0))*$D$28/52*(1+$B$35),0)</f>
        <v/>
      </c>
      <c r="AQ192" s="36">
        <f>IF(AND(39&gt;=$G$28,39&lt;=$H$28),($B$28+IF($I$28="Y",$K$28,0))*$D$28/52*(1+$B$35),0)</f>
        <v/>
      </c>
      <c r="AR192" s="36">
        <f>IF(AND(40&gt;=$G$28,40&lt;=$H$28),($B$28+IF($I$28="Y",$K$28,0))*$D$28/52*(1+$B$35),0)</f>
        <v/>
      </c>
      <c r="AS192" s="36">
        <f>IF(AND(41&gt;=$G$28,41&lt;=$H$28),($B$28+IF($I$28="Y",$K$28,0))*$D$28/52*(1+$B$35),0)</f>
        <v/>
      </c>
      <c r="AT192" s="36">
        <f>IF(AND(42&gt;=$G$28,42&lt;=$H$28),($B$28+IF($I$28="Y",$K$28,0))*$D$28/52*(1+$B$35),0)</f>
        <v/>
      </c>
      <c r="AU192" s="36">
        <f>IF(AND(43&gt;=$G$28,43&lt;=$H$28),($B$28+IF($I$28="Y",$K$28,0))*$D$28/52*(1+$B$35),0)</f>
        <v/>
      </c>
      <c r="AV192" s="36">
        <f>IF(AND(44&gt;=$G$28,44&lt;=$H$28),($B$28+IF($I$28="Y",$K$28,0))*$D$28/52*(1+$B$35),0)</f>
        <v/>
      </c>
      <c r="AW192" s="36">
        <f>IF(AND(45&gt;=$G$28,45&lt;=$H$28),($B$28+IF($I$28="Y",$K$28,0))*$D$28/52*(1+$B$35),0)</f>
        <v/>
      </c>
      <c r="AX192" s="36">
        <f>IF(AND(46&gt;=$G$28,46&lt;=$H$28),($B$28+IF($I$28="Y",$K$28,0))*$D$28/52*(1+$B$35),0)</f>
        <v/>
      </c>
      <c r="AY192" s="36">
        <f>IF(AND(47&gt;=$G$28,47&lt;=$H$28),($B$28+IF($I$28="Y",$K$28,0))*$D$28/52*(1+$B$35),0)</f>
        <v/>
      </c>
      <c r="AZ192" s="36">
        <f>IF(AND(48&gt;=$G$28,48&lt;=$H$28),($B$28+IF($I$28="Y",$K$28,0))*$D$28/52*(1+$B$35),0)</f>
        <v/>
      </c>
      <c r="BA192" s="36">
        <f>IF(AND(49&gt;=$G$28,49&lt;=$H$28),($B$28+IF($I$28="Y",$K$28,0))*$D$28/52*(1+$B$35),0)</f>
        <v/>
      </c>
      <c r="BB192" s="36">
        <f>IF(AND(50&gt;=$G$28,50&lt;=$H$28),($B$28+IF($I$28="Y",$K$28,0))*$D$28/52*(1+$B$35),0)</f>
        <v/>
      </c>
      <c r="BC192" s="36">
        <f>IF(AND(51&gt;=$G$28,51&lt;=$H$28),($B$28+IF($I$28="Y",$K$28,0))*$D$28/52*(1+$B$35),0)</f>
        <v/>
      </c>
      <c r="BD192" s="36">
        <f>IF(AND(52&gt;=$G$28,52&lt;=$H$28),($B$28+IF($I$28="Y",$K$28,0))*$D$28/52*(1+$B$35),0)</f>
        <v/>
      </c>
    </row>
    <row r="193">
      <c r="A193" s="28" t="inlineStr">
        <is>
          <t xml:space="preserve">   Equipment Operator</t>
        </is>
      </c>
      <c r="B193" s="2" t="inlineStr">
        <is>
          <t>$</t>
        </is>
      </c>
      <c r="E193" s="36">
        <f>IF(AND(1&gt;=$G$29,1&lt;=$H$29),($B$29+IF($I$29="Y",$K$29,0))*$D$29*$E$29*(1+$B$35),0)</f>
        <v/>
      </c>
      <c r="F193" s="36">
        <f>IF(AND(2&gt;=$G$29,2&lt;=$H$29),($B$29+IF($I$29="Y",$K$29,0))*$D$29*$E$29*(1+$B$35),0)</f>
        <v/>
      </c>
      <c r="G193" s="36">
        <f>IF(AND(3&gt;=$G$29,3&lt;=$H$29),($B$29+IF($I$29="Y",$K$29,0))*$D$29*$E$29*(1+$B$35),0)</f>
        <v/>
      </c>
      <c r="H193" s="36">
        <f>IF(AND(4&gt;=$G$29,4&lt;=$H$29),($B$29+IF($I$29="Y",$K$29,0))*$D$29*$E$29*(1+$B$35),0)</f>
        <v/>
      </c>
      <c r="I193" s="36">
        <f>IF(AND(5&gt;=$G$29,5&lt;=$H$29),($B$29+IF($I$29="Y",$K$29,0))*$D$29*$E$29*(1+$B$35),0)</f>
        <v/>
      </c>
      <c r="J193" s="36">
        <f>IF(AND(6&gt;=$G$29,6&lt;=$H$29),($B$29+IF($I$29="Y",$K$29,0))*$D$29*$E$29*(1+$B$35),0)</f>
        <v/>
      </c>
      <c r="K193" s="36">
        <f>IF(AND(7&gt;=$G$29,7&lt;=$H$29),($B$29+IF($I$29="Y",$K$29,0))*$D$29*$E$29*(1+$B$35),0)</f>
        <v/>
      </c>
      <c r="L193" s="36">
        <f>IF(AND(8&gt;=$G$29,8&lt;=$H$29),($B$29+IF($I$29="Y",$K$29,0))*$D$29*$E$29*(1+$B$35),0)</f>
        <v/>
      </c>
      <c r="M193" s="36">
        <f>IF(AND(9&gt;=$G$29,9&lt;=$H$29),($B$29+IF($I$29="Y",$K$29,0))*$D$29*$E$29*(1+$B$35),0)</f>
        <v/>
      </c>
      <c r="N193" s="36">
        <f>IF(AND(10&gt;=$G$29,10&lt;=$H$29),($B$29+IF($I$29="Y",$K$29,0))*$D$29*$E$29*(1+$B$35),0)</f>
        <v/>
      </c>
      <c r="O193" s="36">
        <f>IF(AND(11&gt;=$G$29,11&lt;=$H$29),($B$29+IF($I$29="Y",$K$29,0))*$D$29*$E$29*(1+$B$35),0)</f>
        <v/>
      </c>
      <c r="P193" s="36">
        <f>IF(AND(12&gt;=$G$29,12&lt;=$H$29),($B$29+IF($I$29="Y",$K$29,0))*$D$29*$E$29*(1+$B$35),0)</f>
        <v/>
      </c>
      <c r="Q193" s="36">
        <f>IF(AND(13&gt;=$G$29,13&lt;=$H$29),($B$29+IF($I$29="Y",$K$29,0))*$D$29*$E$29*(1+$B$35),0)</f>
        <v/>
      </c>
      <c r="R193" s="36">
        <f>IF(AND(14&gt;=$G$29,14&lt;=$H$29),($B$29+IF($I$29="Y",$K$29,0))*$D$29*$E$29*(1+$B$35),0)</f>
        <v/>
      </c>
      <c r="S193" s="36">
        <f>IF(AND(15&gt;=$G$29,15&lt;=$H$29),($B$29+IF($I$29="Y",$K$29,0))*$D$29*$E$29*(1+$B$35),0)</f>
        <v/>
      </c>
      <c r="T193" s="36">
        <f>IF(AND(16&gt;=$G$29,16&lt;=$H$29),($B$29+IF($I$29="Y",$K$29,0))*$D$29*$E$29*(1+$B$35),0)</f>
        <v/>
      </c>
      <c r="U193" s="36">
        <f>IF(AND(17&gt;=$G$29,17&lt;=$H$29),($B$29+IF($I$29="Y",$K$29,0))*$D$29*$E$29*(1+$B$35),0)</f>
        <v/>
      </c>
      <c r="V193" s="36">
        <f>IF(AND(18&gt;=$G$29,18&lt;=$H$29),($B$29+IF($I$29="Y",$K$29,0))*$D$29*$E$29*(1+$B$35),0)</f>
        <v/>
      </c>
      <c r="W193" s="36">
        <f>IF(AND(19&gt;=$G$29,19&lt;=$H$29),($B$29+IF($I$29="Y",$K$29,0))*$D$29*$E$29*(1+$B$35),0)</f>
        <v/>
      </c>
      <c r="X193" s="36">
        <f>IF(AND(20&gt;=$G$29,20&lt;=$H$29),($B$29+IF($I$29="Y",$K$29,0))*$D$29*$E$29*(1+$B$35),0)</f>
        <v/>
      </c>
      <c r="Y193" s="36">
        <f>IF(AND(21&gt;=$G$29,21&lt;=$H$29),($B$29+IF($I$29="Y",$K$29,0))*$D$29*$E$29*(1+$B$35),0)</f>
        <v/>
      </c>
      <c r="Z193" s="36">
        <f>IF(AND(22&gt;=$G$29,22&lt;=$H$29),($B$29+IF($I$29="Y",$K$29,0))*$D$29*$E$29*(1+$B$35),0)</f>
        <v/>
      </c>
      <c r="AA193" s="36">
        <f>IF(AND(23&gt;=$G$29,23&lt;=$H$29),($B$29+IF($I$29="Y",$K$29,0))*$D$29*$E$29*(1+$B$35),0)</f>
        <v/>
      </c>
      <c r="AB193" s="36">
        <f>IF(AND(24&gt;=$G$29,24&lt;=$H$29),($B$29+IF($I$29="Y",$K$29,0))*$D$29*$E$29*(1+$B$35),0)</f>
        <v/>
      </c>
      <c r="AC193" s="36">
        <f>IF(AND(25&gt;=$G$29,25&lt;=$H$29),($B$29+IF($I$29="Y",$K$29,0))*$D$29*$E$29*(1+$B$35),0)</f>
        <v/>
      </c>
      <c r="AD193" s="36">
        <f>IF(AND(26&gt;=$G$29,26&lt;=$H$29),($B$29+IF($I$29="Y",$K$29,0))*$D$29*$E$29*(1+$B$35),0)</f>
        <v/>
      </c>
      <c r="AE193" s="36">
        <f>IF(AND(27&gt;=$G$29,27&lt;=$H$29),($B$29+IF($I$29="Y",$K$29,0))*$D$29*$E$29*(1+$B$35),0)</f>
        <v/>
      </c>
      <c r="AF193" s="36">
        <f>IF(AND(28&gt;=$G$29,28&lt;=$H$29),($B$29+IF($I$29="Y",$K$29,0))*$D$29*$E$29*(1+$B$35),0)</f>
        <v/>
      </c>
      <c r="AG193" s="36">
        <f>IF(AND(29&gt;=$G$29,29&lt;=$H$29),($B$29+IF($I$29="Y",$K$29,0))*$D$29*$E$29*(1+$B$35),0)</f>
        <v/>
      </c>
      <c r="AH193" s="36">
        <f>IF(AND(30&gt;=$G$29,30&lt;=$H$29),($B$29+IF($I$29="Y",$K$29,0))*$D$29*$E$29*(1+$B$35),0)</f>
        <v/>
      </c>
      <c r="AI193" s="36">
        <f>IF(AND(31&gt;=$G$29,31&lt;=$H$29),($B$29+IF($I$29="Y",$K$29,0))*$D$29*$E$29*(1+$B$35),0)</f>
        <v/>
      </c>
      <c r="AJ193" s="36">
        <f>IF(AND(32&gt;=$G$29,32&lt;=$H$29),($B$29+IF($I$29="Y",$K$29,0))*$D$29*$E$29*(1+$B$35),0)</f>
        <v/>
      </c>
      <c r="AK193" s="36">
        <f>IF(AND(33&gt;=$G$29,33&lt;=$H$29),($B$29+IF($I$29="Y",$K$29,0))*$D$29*$E$29*(1+$B$35),0)</f>
        <v/>
      </c>
      <c r="AL193" s="36">
        <f>IF(AND(34&gt;=$G$29,34&lt;=$H$29),($B$29+IF($I$29="Y",$K$29,0))*$D$29*$E$29*(1+$B$35),0)</f>
        <v/>
      </c>
      <c r="AM193" s="36">
        <f>IF(AND(35&gt;=$G$29,35&lt;=$H$29),($B$29+IF($I$29="Y",$K$29,0))*$D$29*$E$29*(1+$B$35),0)</f>
        <v/>
      </c>
      <c r="AN193" s="36">
        <f>IF(AND(36&gt;=$G$29,36&lt;=$H$29),($B$29+IF($I$29="Y",$K$29,0))*$D$29*$E$29*(1+$B$35),0)</f>
        <v/>
      </c>
      <c r="AO193" s="36">
        <f>IF(AND(37&gt;=$G$29,37&lt;=$H$29),($B$29+IF($I$29="Y",$K$29,0))*$D$29*$E$29*(1+$B$35),0)</f>
        <v/>
      </c>
      <c r="AP193" s="36">
        <f>IF(AND(38&gt;=$G$29,38&lt;=$H$29),($B$29+IF($I$29="Y",$K$29,0))*$D$29*$E$29*(1+$B$35),0)</f>
        <v/>
      </c>
      <c r="AQ193" s="36">
        <f>IF(AND(39&gt;=$G$29,39&lt;=$H$29),($B$29+IF($I$29="Y",$K$29,0))*$D$29*$E$29*(1+$B$35),0)</f>
        <v/>
      </c>
      <c r="AR193" s="36">
        <f>IF(AND(40&gt;=$G$29,40&lt;=$H$29),($B$29+IF($I$29="Y",$K$29,0))*$D$29*$E$29*(1+$B$35),0)</f>
        <v/>
      </c>
      <c r="AS193" s="36">
        <f>IF(AND(41&gt;=$G$29,41&lt;=$H$29),($B$29+IF($I$29="Y",$K$29,0))*$D$29*$E$29*(1+$B$35),0)</f>
        <v/>
      </c>
      <c r="AT193" s="36">
        <f>IF(AND(42&gt;=$G$29,42&lt;=$H$29),($B$29+IF($I$29="Y",$K$29,0))*$D$29*$E$29*(1+$B$35),0)</f>
        <v/>
      </c>
      <c r="AU193" s="36">
        <f>IF(AND(43&gt;=$G$29,43&lt;=$H$29),($B$29+IF($I$29="Y",$K$29,0))*$D$29*$E$29*(1+$B$35),0)</f>
        <v/>
      </c>
      <c r="AV193" s="36">
        <f>IF(AND(44&gt;=$G$29,44&lt;=$H$29),($B$29+IF($I$29="Y",$K$29,0))*$D$29*$E$29*(1+$B$35),0)</f>
        <v/>
      </c>
      <c r="AW193" s="36">
        <f>IF(AND(45&gt;=$G$29,45&lt;=$H$29),($B$29+IF($I$29="Y",$K$29,0))*$D$29*$E$29*(1+$B$35),0)</f>
        <v/>
      </c>
      <c r="AX193" s="36">
        <f>IF(AND(46&gt;=$G$29,46&lt;=$H$29),($B$29+IF($I$29="Y",$K$29,0))*$D$29*$E$29*(1+$B$35),0)</f>
        <v/>
      </c>
      <c r="AY193" s="36">
        <f>IF(AND(47&gt;=$G$29,47&lt;=$H$29),($B$29+IF($I$29="Y",$K$29,0))*$D$29*$E$29*(1+$B$35),0)</f>
        <v/>
      </c>
      <c r="AZ193" s="36">
        <f>IF(AND(48&gt;=$G$29,48&lt;=$H$29),($B$29+IF($I$29="Y",$K$29,0))*$D$29*$E$29*(1+$B$35),0)</f>
        <v/>
      </c>
      <c r="BA193" s="36">
        <f>IF(AND(49&gt;=$G$29,49&lt;=$H$29),($B$29+IF($I$29="Y",$K$29,0))*$D$29*$E$29*(1+$B$35),0)</f>
        <v/>
      </c>
      <c r="BB193" s="36">
        <f>IF(AND(50&gt;=$G$29,50&lt;=$H$29),($B$29+IF($I$29="Y",$K$29,0))*$D$29*$E$29*(1+$B$35),0)</f>
        <v/>
      </c>
      <c r="BC193" s="36">
        <f>IF(AND(51&gt;=$G$29,51&lt;=$H$29),($B$29+IF($I$29="Y",$K$29,0))*$D$29*$E$29*(1+$B$35),0)</f>
        <v/>
      </c>
      <c r="BD193" s="36">
        <f>IF(AND(52&gt;=$G$29,52&lt;=$H$29),($B$29+IF($I$29="Y",$K$29,0))*$D$29*$E$29*(1+$B$35),0)</f>
        <v/>
      </c>
    </row>
    <row r="194">
      <c r="A194" s="28" t="inlineStr">
        <is>
          <t xml:space="preserve">   Seasonal Field Crew</t>
        </is>
      </c>
      <c r="B194" s="2" t="inlineStr">
        <is>
          <t>$</t>
        </is>
      </c>
      <c r="E194" s="36">
        <f>IF(AND(1&gt;=$G$30,1&lt;=$H$30),($B$30+IF($I$30="Y",$K$30,0))*$D$30*$E$30*(1+$B$35),0)</f>
        <v/>
      </c>
      <c r="F194" s="36">
        <f>IF(AND(2&gt;=$G$30,2&lt;=$H$30),($B$30+IF($I$30="Y",$K$30,0))*$D$30*$E$30*(1+$B$35),0)</f>
        <v/>
      </c>
      <c r="G194" s="36">
        <f>IF(AND(3&gt;=$G$30,3&lt;=$H$30),($B$30+IF($I$30="Y",$K$30,0))*$D$30*$E$30*(1+$B$35),0)</f>
        <v/>
      </c>
      <c r="H194" s="36">
        <f>IF(AND(4&gt;=$G$30,4&lt;=$H$30),($B$30+IF($I$30="Y",$K$30,0))*$D$30*$E$30*(1+$B$35),0)</f>
        <v/>
      </c>
      <c r="I194" s="36">
        <f>IF(AND(5&gt;=$G$30,5&lt;=$H$30),($B$30+IF($I$30="Y",$K$30,0))*$D$30*$E$30*(1+$B$35),0)</f>
        <v/>
      </c>
      <c r="J194" s="36">
        <f>IF(AND(6&gt;=$G$30,6&lt;=$H$30),($B$30+IF($I$30="Y",$K$30,0))*$D$30*$E$30*(1+$B$35),0)</f>
        <v/>
      </c>
      <c r="K194" s="36">
        <f>IF(AND(7&gt;=$G$30,7&lt;=$H$30),($B$30+IF($I$30="Y",$K$30,0))*$D$30*$E$30*(1+$B$35),0)</f>
        <v/>
      </c>
      <c r="L194" s="36">
        <f>IF(AND(8&gt;=$G$30,8&lt;=$H$30),($B$30+IF($I$30="Y",$K$30,0))*$D$30*$E$30*(1+$B$35),0)</f>
        <v/>
      </c>
      <c r="M194" s="36">
        <f>IF(AND(9&gt;=$G$30,9&lt;=$H$30),($B$30+IF($I$30="Y",$K$30,0))*$D$30*$E$30*(1+$B$35),0)</f>
        <v/>
      </c>
      <c r="N194" s="36">
        <f>IF(AND(10&gt;=$G$30,10&lt;=$H$30),($B$30+IF($I$30="Y",$K$30,0))*$D$30*$E$30*(1+$B$35),0)</f>
        <v/>
      </c>
      <c r="O194" s="36">
        <f>IF(AND(11&gt;=$G$30,11&lt;=$H$30),($B$30+IF($I$30="Y",$K$30,0))*$D$30*$E$30*(1+$B$35),0)</f>
        <v/>
      </c>
      <c r="P194" s="36">
        <f>IF(AND(12&gt;=$G$30,12&lt;=$H$30),($B$30+IF($I$30="Y",$K$30,0))*$D$30*$E$30*(1+$B$35),0)</f>
        <v/>
      </c>
      <c r="Q194" s="36">
        <f>IF(AND(13&gt;=$G$30,13&lt;=$H$30),($B$30+IF($I$30="Y",$K$30,0))*$D$30*$E$30*(1+$B$35),0)</f>
        <v/>
      </c>
      <c r="R194" s="36">
        <f>IF(AND(14&gt;=$G$30,14&lt;=$H$30),($B$30+IF($I$30="Y",$K$30,0))*$D$30*$E$30*(1+$B$35),0)</f>
        <v/>
      </c>
      <c r="S194" s="36">
        <f>IF(AND(15&gt;=$G$30,15&lt;=$H$30),($B$30+IF($I$30="Y",$K$30,0))*$D$30*$E$30*(1+$B$35),0)</f>
        <v/>
      </c>
      <c r="T194" s="36">
        <f>IF(AND(16&gt;=$G$30,16&lt;=$H$30),($B$30+IF($I$30="Y",$K$30,0))*$D$30*$E$30*(1+$B$35),0)</f>
        <v/>
      </c>
      <c r="U194" s="36">
        <f>IF(AND(17&gt;=$G$30,17&lt;=$H$30),($B$30+IF($I$30="Y",$K$30,0))*$D$30*$E$30*(1+$B$35),0)</f>
        <v/>
      </c>
      <c r="V194" s="36">
        <f>IF(AND(18&gt;=$G$30,18&lt;=$H$30),($B$30+IF($I$30="Y",$K$30,0))*$D$30*$E$30*(1+$B$35),0)</f>
        <v/>
      </c>
      <c r="W194" s="36">
        <f>IF(AND(19&gt;=$G$30,19&lt;=$H$30),($B$30+IF($I$30="Y",$K$30,0))*$D$30*$E$30*(1+$B$35),0)</f>
        <v/>
      </c>
      <c r="X194" s="36">
        <f>IF(AND(20&gt;=$G$30,20&lt;=$H$30),($B$30+IF($I$30="Y",$K$30,0))*$D$30*$E$30*(1+$B$35),0)</f>
        <v/>
      </c>
      <c r="Y194" s="36">
        <f>IF(AND(21&gt;=$G$30,21&lt;=$H$30),($B$30+IF($I$30="Y",$K$30,0))*$D$30*$E$30*(1+$B$35),0)</f>
        <v/>
      </c>
      <c r="Z194" s="36">
        <f>IF(AND(22&gt;=$G$30,22&lt;=$H$30),($B$30+IF($I$30="Y",$K$30,0))*$D$30*$E$30*(1+$B$35),0)</f>
        <v/>
      </c>
      <c r="AA194" s="36">
        <f>IF(AND(23&gt;=$G$30,23&lt;=$H$30),($B$30+IF($I$30="Y",$K$30,0))*$D$30*$E$30*(1+$B$35),0)</f>
        <v/>
      </c>
      <c r="AB194" s="36">
        <f>IF(AND(24&gt;=$G$30,24&lt;=$H$30),($B$30+IF($I$30="Y",$K$30,0))*$D$30*$E$30*(1+$B$35),0)</f>
        <v/>
      </c>
      <c r="AC194" s="36">
        <f>IF(AND(25&gt;=$G$30,25&lt;=$H$30),($B$30+IF($I$30="Y",$K$30,0))*$D$30*$E$30*(1+$B$35),0)</f>
        <v/>
      </c>
      <c r="AD194" s="36">
        <f>IF(AND(26&gt;=$G$30,26&lt;=$H$30),($B$30+IF($I$30="Y",$K$30,0))*$D$30*$E$30*(1+$B$35),0)</f>
        <v/>
      </c>
      <c r="AE194" s="36">
        <f>IF(AND(27&gt;=$G$30,27&lt;=$H$30),($B$30+IF($I$30="Y",$K$30,0))*$D$30*$E$30*(1+$B$35),0)</f>
        <v/>
      </c>
      <c r="AF194" s="36">
        <f>IF(AND(28&gt;=$G$30,28&lt;=$H$30),($B$30+IF($I$30="Y",$K$30,0))*$D$30*$E$30*(1+$B$35),0)</f>
        <v/>
      </c>
      <c r="AG194" s="36">
        <f>IF(AND(29&gt;=$G$30,29&lt;=$H$30),($B$30+IF($I$30="Y",$K$30,0))*$D$30*$E$30*(1+$B$35),0)</f>
        <v/>
      </c>
      <c r="AH194" s="36">
        <f>IF(AND(30&gt;=$G$30,30&lt;=$H$30),($B$30+IF($I$30="Y",$K$30,0))*$D$30*$E$30*(1+$B$35),0)</f>
        <v/>
      </c>
      <c r="AI194" s="36">
        <f>IF(AND(31&gt;=$G$30,31&lt;=$H$30),($B$30+IF($I$30="Y",$K$30,0))*$D$30*$E$30*(1+$B$35),0)</f>
        <v/>
      </c>
      <c r="AJ194" s="36">
        <f>IF(AND(32&gt;=$G$30,32&lt;=$H$30),($B$30+IF($I$30="Y",$K$30,0))*$D$30*$E$30*(1+$B$35),0)</f>
        <v/>
      </c>
      <c r="AK194" s="36">
        <f>IF(AND(33&gt;=$G$30,33&lt;=$H$30),($B$30+IF($I$30="Y",$K$30,0))*$D$30*$E$30*(1+$B$35),0)</f>
        <v/>
      </c>
      <c r="AL194" s="36">
        <f>IF(AND(34&gt;=$G$30,34&lt;=$H$30),($B$30+IF($I$30="Y",$K$30,0))*$D$30*$E$30*(1+$B$35),0)</f>
        <v/>
      </c>
      <c r="AM194" s="36">
        <f>IF(AND(35&gt;=$G$30,35&lt;=$H$30),($B$30+IF($I$30="Y",$K$30,0))*$D$30*$E$30*(1+$B$35),0)</f>
        <v/>
      </c>
      <c r="AN194" s="36">
        <f>IF(AND(36&gt;=$G$30,36&lt;=$H$30),($B$30+IF($I$30="Y",$K$30,0))*$D$30*$E$30*(1+$B$35),0)</f>
        <v/>
      </c>
      <c r="AO194" s="36">
        <f>IF(AND(37&gt;=$G$30,37&lt;=$H$30),($B$30+IF($I$30="Y",$K$30,0))*$D$30*$E$30*(1+$B$35),0)</f>
        <v/>
      </c>
      <c r="AP194" s="36">
        <f>IF(AND(38&gt;=$G$30,38&lt;=$H$30),($B$30+IF($I$30="Y",$K$30,0))*$D$30*$E$30*(1+$B$35),0)</f>
        <v/>
      </c>
      <c r="AQ194" s="36">
        <f>IF(AND(39&gt;=$G$30,39&lt;=$H$30),($B$30+IF($I$30="Y",$K$30,0))*$D$30*$E$30*(1+$B$35),0)</f>
        <v/>
      </c>
      <c r="AR194" s="36">
        <f>IF(AND(40&gt;=$G$30,40&lt;=$H$30),($B$30+IF($I$30="Y",$K$30,0))*$D$30*$E$30*(1+$B$35),0)</f>
        <v/>
      </c>
      <c r="AS194" s="36">
        <f>IF(AND(41&gt;=$G$30,41&lt;=$H$30),($B$30+IF($I$30="Y",$K$30,0))*$D$30*$E$30*(1+$B$35),0)</f>
        <v/>
      </c>
      <c r="AT194" s="36">
        <f>IF(AND(42&gt;=$G$30,42&lt;=$H$30),($B$30+IF($I$30="Y",$K$30,0))*$D$30*$E$30*(1+$B$35),0)</f>
        <v/>
      </c>
      <c r="AU194" s="36">
        <f>IF(AND(43&gt;=$G$30,43&lt;=$H$30),($B$30+IF($I$30="Y",$K$30,0))*$D$30*$E$30*(1+$B$35),0)</f>
        <v/>
      </c>
      <c r="AV194" s="36">
        <f>IF(AND(44&gt;=$G$30,44&lt;=$H$30),($B$30+IF($I$30="Y",$K$30,0))*$D$30*$E$30*(1+$B$35),0)</f>
        <v/>
      </c>
      <c r="AW194" s="36">
        <f>IF(AND(45&gt;=$G$30,45&lt;=$H$30),($B$30+IF($I$30="Y",$K$30,0))*$D$30*$E$30*(1+$B$35),0)</f>
        <v/>
      </c>
      <c r="AX194" s="36">
        <f>IF(AND(46&gt;=$G$30,46&lt;=$H$30),($B$30+IF($I$30="Y",$K$30,0))*$D$30*$E$30*(1+$B$35),0)</f>
        <v/>
      </c>
      <c r="AY194" s="36">
        <f>IF(AND(47&gt;=$G$30,47&lt;=$H$30),($B$30+IF($I$30="Y",$K$30,0))*$D$30*$E$30*(1+$B$35),0)</f>
        <v/>
      </c>
      <c r="AZ194" s="36">
        <f>IF(AND(48&gt;=$G$30,48&lt;=$H$30),($B$30+IF($I$30="Y",$K$30,0))*$D$30*$E$30*(1+$B$35),0)</f>
        <v/>
      </c>
      <c r="BA194" s="36">
        <f>IF(AND(49&gt;=$G$30,49&lt;=$H$30),($B$30+IF($I$30="Y",$K$30,0))*$D$30*$E$30*(1+$B$35),0)</f>
        <v/>
      </c>
      <c r="BB194" s="36">
        <f>IF(AND(50&gt;=$G$30,50&lt;=$H$30),($B$30+IF($I$30="Y",$K$30,0))*$D$30*$E$30*(1+$B$35),0)</f>
        <v/>
      </c>
      <c r="BC194" s="36">
        <f>IF(AND(51&gt;=$G$30,51&lt;=$H$30),($B$30+IF($I$30="Y",$K$30,0))*$D$30*$E$30*(1+$B$35),0)</f>
        <v/>
      </c>
      <c r="BD194" s="36">
        <f>IF(AND(52&gt;=$G$30,52&lt;=$H$30),($B$30+IF($I$30="Y",$K$30,0))*$D$30*$E$30*(1+$B$35),0)</f>
        <v/>
      </c>
    </row>
    <row r="195">
      <c r="A195" s="28" t="inlineStr">
        <is>
          <t xml:space="preserve">   Harvest Crew</t>
        </is>
      </c>
      <c r="B195" s="2" t="inlineStr">
        <is>
          <t>$</t>
        </is>
      </c>
      <c r="E195" s="36">
        <f>IF(AND(1&gt;=$G$31,1&lt;=$H$31),($B$31+IF($I$31="Y",$K$31,0))*$D$31*$E$31*(1+$B$35),0)</f>
        <v/>
      </c>
      <c r="F195" s="36">
        <f>IF(AND(2&gt;=$G$31,2&lt;=$H$31),($B$31+IF($I$31="Y",$K$31,0))*$D$31*$E$31*(1+$B$35),0)</f>
        <v/>
      </c>
      <c r="G195" s="36">
        <f>IF(AND(3&gt;=$G$31,3&lt;=$H$31),($B$31+IF($I$31="Y",$K$31,0))*$D$31*$E$31*(1+$B$35),0)</f>
        <v/>
      </c>
      <c r="H195" s="36">
        <f>IF(AND(4&gt;=$G$31,4&lt;=$H$31),($B$31+IF($I$31="Y",$K$31,0))*$D$31*$E$31*(1+$B$35),0)</f>
        <v/>
      </c>
      <c r="I195" s="36">
        <f>IF(AND(5&gt;=$G$31,5&lt;=$H$31),($B$31+IF($I$31="Y",$K$31,0))*$D$31*$E$31*(1+$B$35),0)</f>
        <v/>
      </c>
      <c r="J195" s="36">
        <f>IF(AND(6&gt;=$G$31,6&lt;=$H$31),($B$31+IF($I$31="Y",$K$31,0))*$D$31*$E$31*(1+$B$35),0)</f>
        <v/>
      </c>
      <c r="K195" s="36">
        <f>IF(AND(7&gt;=$G$31,7&lt;=$H$31),($B$31+IF($I$31="Y",$K$31,0))*$D$31*$E$31*(1+$B$35),0)</f>
        <v/>
      </c>
      <c r="L195" s="36">
        <f>IF(AND(8&gt;=$G$31,8&lt;=$H$31),($B$31+IF($I$31="Y",$K$31,0))*$D$31*$E$31*(1+$B$35),0)</f>
        <v/>
      </c>
      <c r="M195" s="36">
        <f>IF(AND(9&gt;=$G$31,9&lt;=$H$31),($B$31+IF($I$31="Y",$K$31,0))*$D$31*$E$31*(1+$B$35),0)</f>
        <v/>
      </c>
      <c r="N195" s="36">
        <f>IF(AND(10&gt;=$G$31,10&lt;=$H$31),($B$31+IF($I$31="Y",$K$31,0))*$D$31*$E$31*(1+$B$35),0)</f>
        <v/>
      </c>
      <c r="O195" s="36">
        <f>IF(AND(11&gt;=$G$31,11&lt;=$H$31),($B$31+IF($I$31="Y",$K$31,0))*$D$31*$E$31*(1+$B$35),0)</f>
        <v/>
      </c>
      <c r="P195" s="36">
        <f>IF(AND(12&gt;=$G$31,12&lt;=$H$31),($B$31+IF($I$31="Y",$K$31,0))*$D$31*$E$31*(1+$B$35),0)</f>
        <v/>
      </c>
      <c r="Q195" s="36">
        <f>IF(AND(13&gt;=$G$31,13&lt;=$H$31),($B$31+IF($I$31="Y",$K$31,0))*$D$31*$E$31*(1+$B$35),0)</f>
        <v/>
      </c>
      <c r="R195" s="36">
        <f>IF(AND(14&gt;=$G$31,14&lt;=$H$31),($B$31+IF($I$31="Y",$K$31,0))*$D$31*$E$31*(1+$B$35),0)</f>
        <v/>
      </c>
      <c r="S195" s="36">
        <f>IF(AND(15&gt;=$G$31,15&lt;=$H$31),($B$31+IF($I$31="Y",$K$31,0))*$D$31*$E$31*(1+$B$35),0)</f>
        <v/>
      </c>
      <c r="T195" s="36">
        <f>IF(AND(16&gt;=$G$31,16&lt;=$H$31),($B$31+IF($I$31="Y",$K$31,0))*$D$31*$E$31*(1+$B$35),0)</f>
        <v/>
      </c>
      <c r="U195" s="36">
        <f>IF(AND(17&gt;=$G$31,17&lt;=$H$31),($B$31+IF($I$31="Y",$K$31,0))*$D$31*$E$31*(1+$B$35),0)</f>
        <v/>
      </c>
      <c r="V195" s="36">
        <f>IF(AND(18&gt;=$G$31,18&lt;=$H$31),($B$31+IF($I$31="Y",$K$31,0))*$D$31*$E$31*(1+$B$35),0)</f>
        <v/>
      </c>
      <c r="W195" s="36">
        <f>IF(AND(19&gt;=$G$31,19&lt;=$H$31),($B$31+IF($I$31="Y",$K$31,0))*$D$31*$E$31*(1+$B$35),0)</f>
        <v/>
      </c>
      <c r="X195" s="36">
        <f>IF(AND(20&gt;=$G$31,20&lt;=$H$31),($B$31+IF($I$31="Y",$K$31,0))*$D$31*$E$31*(1+$B$35),0)</f>
        <v/>
      </c>
      <c r="Y195" s="36">
        <f>IF(AND(21&gt;=$G$31,21&lt;=$H$31),($B$31+IF($I$31="Y",$K$31,0))*$D$31*$E$31*(1+$B$35),0)</f>
        <v/>
      </c>
      <c r="Z195" s="36">
        <f>IF(AND(22&gt;=$G$31,22&lt;=$H$31),($B$31+IF($I$31="Y",$K$31,0))*$D$31*$E$31*(1+$B$35),0)</f>
        <v/>
      </c>
      <c r="AA195" s="36">
        <f>IF(AND(23&gt;=$G$31,23&lt;=$H$31),($B$31+IF($I$31="Y",$K$31,0))*$D$31*$E$31*(1+$B$35),0)</f>
        <v/>
      </c>
      <c r="AB195" s="36">
        <f>IF(AND(24&gt;=$G$31,24&lt;=$H$31),($B$31+IF($I$31="Y",$K$31,0))*$D$31*$E$31*(1+$B$35),0)</f>
        <v/>
      </c>
      <c r="AC195" s="36">
        <f>IF(AND(25&gt;=$G$31,25&lt;=$H$31),($B$31+IF($I$31="Y",$K$31,0))*$D$31*$E$31*(1+$B$35),0)</f>
        <v/>
      </c>
      <c r="AD195" s="36">
        <f>IF(AND(26&gt;=$G$31,26&lt;=$H$31),($B$31+IF($I$31="Y",$K$31,0))*$D$31*$E$31*(1+$B$35),0)</f>
        <v/>
      </c>
      <c r="AE195" s="36">
        <f>IF(AND(27&gt;=$G$31,27&lt;=$H$31),($B$31+IF($I$31="Y",$K$31,0))*$D$31*$E$31*(1+$B$35),0)</f>
        <v/>
      </c>
      <c r="AF195" s="36">
        <f>IF(AND(28&gt;=$G$31,28&lt;=$H$31),($B$31+IF($I$31="Y",$K$31,0))*$D$31*$E$31*(1+$B$35),0)</f>
        <v/>
      </c>
      <c r="AG195" s="36">
        <f>IF(AND(29&gt;=$G$31,29&lt;=$H$31),($B$31+IF($I$31="Y",$K$31,0))*$D$31*$E$31*(1+$B$35),0)</f>
        <v/>
      </c>
      <c r="AH195" s="36">
        <f>IF(AND(30&gt;=$G$31,30&lt;=$H$31),($B$31+IF($I$31="Y",$K$31,0))*$D$31*$E$31*(1+$B$35),0)</f>
        <v/>
      </c>
      <c r="AI195" s="36">
        <f>IF(AND(31&gt;=$G$31,31&lt;=$H$31),($B$31+IF($I$31="Y",$K$31,0))*$D$31*$E$31*(1+$B$35),0)</f>
        <v/>
      </c>
      <c r="AJ195" s="36">
        <f>IF(AND(32&gt;=$G$31,32&lt;=$H$31),($B$31+IF($I$31="Y",$K$31,0))*$D$31*$E$31*(1+$B$35),0)</f>
        <v/>
      </c>
      <c r="AK195" s="36">
        <f>IF(AND(33&gt;=$G$31,33&lt;=$H$31),($B$31+IF($I$31="Y",$K$31,0))*$D$31*$E$31*(1+$B$35),0)</f>
        <v/>
      </c>
      <c r="AL195" s="36">
        <f>IF(AND(34&gt;=$G$31,34&lt;=$H$31),($B$31+IF($I$31="Y",$K$31,0))*$D$31*$E$31*(1+$B$35),0)</f>
        <v/>
      </c>
      <c r="AM195" s="36">
        <f>IF(AND(35&gt;=$G$31,35&lt;=$H$31),($B$31+IF($I$31="Y",$K$31,0))*$D$31*$E$31*(1+$B$35),0)</f>
        <v/>
      </c>
      <c r="AN195" s="36">
        <f>IF(AND(36&gt;=$G$31,36&lt;=$H$31),($B$31+IF($I$31="Y",$K$31,0))*$D$31*$E$31*(1+$B$35),0)</f>
        <v/>
      </c>
      <c r="AO195" s="36">
        <f>IF(AND(37&gt;=$G$31,37&lt;=$H$31),($B$31+IF($I$31="Y",$K$31,0))*$D$31*$E$31*(1+$B$35),0)</f>
        <v/>
      </c>
      <c r="AP195" s="36">
        <f>IF(AND(38&gt;=$G$31,38&lt;=$H$31),($B$31+IF($I$31="Y",$K$31,0))*$D$31*$E$31*(1+$B$35),0)</f>
        <v/>
      </c>
      <c r="AQ195" s="36">
        <f>IF(AND(39&gt;=$G$31,39&lt;=$H$31),($B$31+IF($I$31="Y",$K$31,0))*$D$31*$E$31*(1+$B$35),0)</f>
        <v/>
      </c>
      <c r="AR195" s="36">
        <f>IF(AND(40&gt;=$G$31,40&lt;=$H$31),($B$31+IF($I$31="Y",$K$31,0))*$D$31*$E$31*(1+$B$35),0)</f>
        <v/>
      </c>
      <c r="AS195" s="36">
        <f>IF(AND(41&gt;=$G$31,41&lt;=$H$31),($B$31+IF($I$31="Y",$K$31,0))*$D$31*$E$31*(1+$B$35),0)</f>
        <v/>
      </c>
      <c r="AT195" s="36">
        <f>IF(AND(42&gt;=$G$31,42&lt;=$H$31),($B$31+IF($I$31="Y",$K$31,0))*$D$31*$E$31*(1+$B$35),0)</f>
        <v/>
      </c>
      <c r="AU195" s="36">
        <f>IF(AND(43&gt;=$G$31,43&lt;=$H$31),($B$31+IF($I$31="Y",$K$31,0))*$D$31*$E$31*(1+$B$35),0)</f>
        <v/>
      </c>
      <c r="AV195" s="36">
        <f>IF(AND(44&gt;=$G$31,44&lt;=$H$31),($B$31+IF($I$31="Y",$K$31,0))*$D$31*$E$31*(1+$B$35),0)</f>
        <v/>
      </c>
      <c r="AW195" s="36">
        <f>IF(AND(45&gt;=$G$31,45&lt;=$H$31),($B$31+IF($I$31="Y",$K$31,0))*$D$31*$E$31*(1+$B$35),0)</f>
        <v/>
      </c>
      <c r="AX195" s="36">
        <f>IF(AND(46&gt;=$G$31,46&lt;=$H$31),($B$31+IF($I$31="Y",$K$31,0))*$D$31*$E$31*(1+$B$35),0)</f>
        <v/>
      </c>
      <c r="AY195" s="36">
        <f>IF(AND(47&gt;=$G$31,47&lt;=$H$31),($B$31+IF($I$31="Y",$K$31,0))*$D$31*$E$31*(1+$B$35),0)</f>
        <v/>
      </c>
      <c r="AZ195" s="36">
        <f>IF(AND(48&gt;=$G$31,48&lt;=$H$31),($B$31+IF($I$31="Y",$K$31,0))*$D$31*$E$31*(1+$B$35),0)</f>
        <v/>
      </c>
      <c r="BA195" s="36">
        <f>IF(AND(49&gt;=$G$31,49&lt;=$H$31),($B$31+IF($I$31="Y",$K$31,0))*$D$31*$E$31*(1+$B$35),0)</f>
        <v/>
      </c>
      <c r="BB195" s="36">
        <f>IF(AND(50&gt;=$G$31,50&lt;=$H$31),($B$31+IF($I$31="Y",$K$31,0))*$D$31*$E$31*(1+$B$35),0)</f>
        <v/>
      </c>
      <c r="BC195" s="36">
        <f>IF(AND(51&gt;=$G$31,51&lt;=$H$31),($B$31+IF($I$31="Y",$K$31,0))*$D$31*$E$31*(1+$B$35),0)</f>
        <v/>
      </c>
      <c r="BD195" s="36">
        <f>IF(AND(52&gt;=$G$31,52&lt;=$H$31),($B$31+IF($I$31="Y",$K$31,0))*$D$31*$E$31*(1+$B$35),0)</f>
        <v/>
      </c>
    </row>
    <row r="196">
      <c r="A196" s="32" t="inlineStr">
        <is>
          <t>Week</t>
        </is>
      </c>
      <c r="B196" s="33" t="inlineStr">
        <is>
          <t>$</t>
        </is>
      </c>
      <c r="E196" s="34" t="n">
        <v>1</v>
      </c>
      <c r="F196" s="34" t="n">
        <v>2</v>
      </c>
      <c r="G196" s="34" t="n">
        <v>3</v>
      </c>
      <c r="H196" s="34" t="n">
        <v>4</v>
      </c>
      <c r="I196" s="34" t="n">
        <v>5</v>
      </c>
      <c r="J196" s="34" t="n">
        <v>6</v>
      </c>
      <c r="K196" s="34" t="n">
        <v>7</v>
      </c>
      <c r="L196" s="34" t="n">
        <v>8</v>
      </c>
      <c r="M196" s="34" t="n">
        <v>9</v>
      </c>
      <c r="N196" s="34" t="n">
        <v>10</v>
      </c>
      <c r="O196" s="34" t="n">
        <v>11</v>
      </c>
      <c r="P196" s="34" t="n">
        <v>12</v>
      </c>
      <c r="Q196" s="34" t="n">
        <v>13</v>
      </c>
      <c r="R196" s="34" t="n">
        <v>14</v>
      </c>
      <c r="S196" s="34" t="n">
        <v>15</v>
      </c>
      <c r="T196" s="34" t="n">
        <v>16</v>
      </c>
      <c r="U196" s="34" t="n">
        <v>17</v>
      </c>
      <c r="V196" s="34" t="n">
        <v>18</v>
      </c>
      <c r="W196" s="34" t="n">
        <v>19</v>
      </c>
      <c r="X196" s="34" t="n">
        <v>20</v>
      </c>
      <c r="Y196" s="34" t="n">
        <v>21</v>
      </c>
      <c r="Z196" s="34" t="n">
        <v>22</v>
      </c>
      <c r="AA196" s="34" t="n">
        <v>23</v>
      </c>
      <c r="AB196" s="34" t="n">
        <v>24</v>
      </c>
      <c r="AC196" s="34" t="n">
        <v>25</v>
      </c>
      <c r="AD196" s="34" t="n">
        <v>26</v>
      </c>
      <c r="AE196" s="34" t="n">
        <v>27</v>
      </c>
      <c r="AF196" s="34" t="n">
        <v>28</v>
      </c>
      <c r="AG196" s="34" t="n">
        <v>29</v>
      </c>
      <c r="AH196" s="34" t="n">
        <v>30</v>
      </c>
      <c r="AI196" s="34" t="n">
        <v>31</v>
      </c>
      <c r="AJ196" s="34" t="n">
        <v>32</v>
      </c>
      <c r="AK196" s="34" t="n">
        <v>33</v>
      </c>
      <c r="AL196" s="34" t="n">
        <v>34</v>
      </c>
      <c r="AM196" s="34" t="n">
        <v>35</v>
      </c>
      <c r="AN196" s="34" t="n">
        <v>36</v>
      </c>
      <c r="AO196" s="34" t="n">
        <v>37</v>
      </c>
      <c r="AP196" s="34" t="n">
        <v>38</v>
      </c>
      <c r="AQ196" s="34" t="n">
        <v>39</v>
      </c>
      <c r="AR196" s="34" t="n">
        <v>40</v>
      </c>
      <c r="AS196" s="34" t="n">
        <v>41</v>
      </c>
      <c r="AT196" s="34" t="n">
        <v>42</v>
      </c>
      <c r="AU196" s="34" t="n">
        <v>43</v>
      </c>
      <c r="AV196" s="34" t="n">
        <v>44</v>
      </c>
      <c r="AW196" s="34" t="n">
        <v>45</v>
      </c>
      <c r="AX196" s="34" t="n">
        <v>46</v>
      </c>
      <c r="AY196" s="34" t="n">
        <v>47</v>
      </c>
      <c r="AZ196" s="34" t="n">
        <v>48</v>
      </c>
      <c r="BA196" s="34" t="n">
        <v>49</v>
      </c>
      <c r="BB196" s="34" t="n">
        <v>50</v>
      </c>
      <c r="BC196" s="34" t="n">
        <v>51</v>
      </c>
      <c r="BD196" s="34" t="n">
        <v>52</v>
      </c>
    </row>
    <row r="197">
      <c r="A197" s="4" t="inlineStr">
        <is>
          <t>Wage bill this week</t>
        </is>
      </c>
      <c r="B197" s="2" t="inlineStr">
        <is>
          <t>$</t>
        </is>
      </c>
      <c r="E197" s="36">
        <f>E192+E193+E194+E195</f>
        <v/>
      </c>
      <c r="F197" s="36">
        <f>F192+F193+F194+F195</f>
        <v/>
      </c>
      <c r="G197" s="36">
        <f>G192+G193+G194+G195</f>
        <v/>
      </c>
      <c r="H197" s="36">
        <f>H192+H193+H194+H195</f>
        <v/>
      </c>
      <c r="I197" s="36">
        <f>I192+I193+I194+I195</f>
        <v/>
      </c>
      <c r="J197" s="36">
        <f>J192+J193+J194+J195</f>
        <v/>
      </c>
      <c r="K197" s="36">
        <f>K192+K193+K194+K195</f>
        <v/>
      </c>
      <c r="L197" s="36">
        <f>L192+L193+L194+L195</f>
        <v/>
      </c>
      <c r="M197" s="36">
        <f>M192+M193+M194+M195</f>
        <v/>
      </c>
      <c r="N197" s="36">
        <f>N192+N193+N194+N195</f>
        <v/>
      </c>
      <c r="O197" s="36">
        <f>O192+O193+O194+O195</f>
        <v/>
      </c>
      <c r="P197" s="36">
        <f>P192+P193+P194+P195</f>
        <v/>
      </c>
      <c r="Q197" s="36">
        <f>Q192+Q193+Q194+Q195</f>
        <v/>
      </c>
      <c r="R197" s="36">
        <f>R192+R193+R194+R195</f>
        <v/>
      </c>
      <c r="S197" s="36">
        <f>S192+S193+S194+S195</f>
        <v/>
      </c>
      <c r="T197" s="36">
        <f>T192+T193+T194+T195</f>
        <v/>
      </c>
      <c r="U197" s="36">
        <f>U192+U193+U194+U195</f>
        <v/>
      </c>
      <c r="V197" s="36">
        <f>V192+V193+V194+V195</f>
        <v/>
      </c>
      <c r="W197" s="36">
        <f>W192+W193+W194+W195</f>
        <v/>
      </c>
      <c r="X197" s="36">
        <f>X192+X193+X194+X195</f>
        <v/>
      </c>
      <c r="Y197" s="36">
        <f>Y192+Y193+Y194+Y195</f>
        <v/>
      </c>
      <c r="Z197" s="36">
        <f>Z192+Z193+Z194+Z195</f>
        <v/>
      </c>
      <c r="AA197" s="36">
        <f>AA192+AA193+AA194+AA195</f>
        <v/>
      </c>
      <c r="AB197" s="36">
        <f>AB192+AB193+AB194+AB195</f>
        <v/>
      </c>
      <c r="AC197" s="36">
        <f>AC192+AC193+AC194+AC195</f>
        <v/>
      </c>
      <c r="AD197" s="36">
        <f>AD192+AD193+AD194+AD195</f>
        <v/>
      </c>
      <c r="AE197" s="36">
        <f>AE192+AE193+AE194+AE195</f>
        <v/>
      </c>
      <c r="AF197" s="36">
        <f>AF192+AF193+AF194+AF195</f>
        <v/>
      </c>
      <c r="AG197" s="36">
        <f>AG192+AG193+AG194+AG195</f>
        <v/>
      </c>
      <c r="AH197" s="36">
        <f>AH192+AH193+AH194+AH195</f>
        <v/>
      </c>
      <c r="AI197" s="36">
        <f>AI192+AI193+AI194+AI195</f>
        <v/>
      </c>
      <c r="AJ197" s="36">
        <f>AJ192+AJ193+AJ194+AJ195</f>
        <v/>
      </c>
      <c r="AK197" s="36">
        <f>AK192+AK193+AK194+AK195</f>
        <v/>
      </c>
      <c r="AL197" s="36">
        <f>AL192+AL193+AL194+AL195</f>
        <v/>
      </c>
      <c r="AM197" s="36">
        <f>AM192+AM193+AM194+AM195</f>
        <v/>
      </c>
      <c r="AN197" s="36">
        <f>AN192+AN193+AN194+AN195</f>
        <v/>
      </c>
      <c r="AO197" s="36">
        <f>AO192+AO193+AO194+AO195</f>
        <v/>
      </c>
      <c r="AP197" s="36">
        <f>AP192+AP193+AP194+AP195</f>
        <v/>
      </c>
      <c r="AQ197" s="36">
        <f>AQ192+AQ193+AQ194+AQ195</f>
        <v/>
      </c>
      <c r="AR197" s="36">
        <f>AR192+AR193+AR194+AR195</f>
        <v/>
      </c>
      <c r="AS197" s="36">
        <f>AS192+AS193+AS194+AS195</f>
        <v/>
      </c>
      <c r="AT197" s="36">
        <f>AT192+AT193+AT194+AT195</f>
        <v/>
      </c>
      <c r="AU197" s="36">
        <f>AU192+AU193+AU194+AU195</f>
        <v/>
      </c>
      <c r="AV197" s="36">
        <f>AV192+AV193+AV194+AV195</f>
        <v/>
      </c>
      <c r="AW197" s="36">
        <f>AW192+AW193+AW194+AW195</f>
        <v/>
      </c>
      <c r="AX197" s="36">
        <f>AX192+AX193+AX194+AX195</f>
        <v/>
      </c>
      <c r="AY197" s="36">
        <f>AY192+AY193+AY194+AY195</f>
        <v/>
      </c>
      <c r="AZ197" s="36">
        <f>AZ192+AZ193+AZ194+AZ195</f>
        <v/>
      </c>
      <c r="BA197" s="36">
        <f>BA192+BA193+BA194+BA195</f>
        <v/>
      </c>
      <c r="BB197" s="36">
        <f>BB192+BB193+BB194+BB195</f>
        <v/>
      </c>
      <c r="BC197" s="36">
        <f>BC192+BC193+BC194+BC195</f>
        <v/>
      </c>
      <c r="BD197" s="36">
        <f>BD192+BD193+BD194+BD195</f>
        <v/>
      </c>
    </row>
    <row r="198">
      <c r="A198" s="2" t="inlineStr">
        <is>
          <t xml:space="preserve">   ⚠️ OWED WHETHER OR NOT THE CROPS NEED THEM (the app's W12) — which is why no crop carries a per-acre labour charge anywhere on this sheet.</t>
        </is>
      </c>
    </row>
    <row r="199">
      <c r="A199" s="28" t="inlineStr">
        <is>
          <t>New-head cost — ONCE, in the role's first week</t>
        </is>
      </c>
      <c r="B199" s="2" t="inlineStr">
        <is>
          <t>$</t>
        </is>
      </c>
      <c r="E199" s="36">
        <f>IF(AND(1=$G$28,$I$28="Y",$K$28&gt;0),$K$28*$B$42,0)+IF(AND(1=$G$29,$I$29="Y",$K$29&gt;0),$K$29*$B$42,0)+IF(AND(1=$G$30,$I$30="Y",$K$30&gt;0),$K$30*$B$42,0)+IF(AND(1=$G$31,$I$31="Y",$K$31&gt;0),$K$31*$B$42,0)</f>
        <v/>
      </c>
      <c r="F199" s="36">
        <f>IF(AND(2=$G$28,$I$28="Y",$K$28&gt;0),$K$28*$B$42,0)+IF(AND(2=$G$29,$I$29="Y",$K$29&gt;0),$K$29*$B$42,0)+IF(AND(2=$G$30,$I$30="Y",$K$30&gt;0),$K$30*$B$42,0)+IF(AND(2=$G$31,$I$31="Y",$K$31&gt;0),$K$31*$B$42,0)</f>
        <v/>
      </c>
      <c r="G199" s="36">
        <f>IF(AND(3=$G$28,$I$28="Y",$K$28&gt;0),$K$28*$B$42,0)+IF(AND(3=$G$29,$I$29="Y",$K$29&gt;0),$K$29*$B$42,0)+IF(AND(3=$G$30,$I$30="Y",$K$30&gt;0),$K$30*$B$42,0)+IF(AND(3=$G$31,$I$31="Y",$K$31&gt;0),$K$31*$B$42,0)</f>
        <v/>
      </c>
      <c r="H199" s="36">
        <f>IF(AND(4=$G$28,$I$28="Y",$K$28&gt;0),$K$28*$B$42,0)+IF(AND(4=$G$29,$I$29="Y",$K$29&gt;0),$K$29*$B$42,0)+IF(AND(4=$G$30,$I$30="Y",$K$30&gt;0),$K$30*$B$42,0)+IF(AND(4=$G$31,$I$31="Y",$K$31&gt;0),$K$31*$B$42,0)</f>
        <v/>
      </c>
      <c r="I199" s="36">
        <f>IF(AND(5=$G$28,$I$28="Y",$K$28&gt;0),$K$28*$B$42,0)+IF(AND(5=$G$29,$I$29="Y",$K$29&gt;0),$K$29*$B$42,0)+IF(AND(5=$G$30,$I$30="Y",$K$30&gt;0),$K$30*$B$42,0)+IF(AND(5=$G$31,$I$31="Y",$K$31&gt;0),$K$31*$B$42,0)</f>
        <v/>
      </c>
      <c r="J199" s="36">
        <f>IF(AND(6=$G$28,$I$28="Y",$K$28&gt;0),$K$28*$B$42,0)+IF(AND(6=$G$29,$I$29="Y",$K$29&gt;0),$K$29*$B$42,0)+IF(AND(6=$G$30,$I$30="Y",$K$30&gt;0),$K$30*$B$42,0)+IF(AND(6=$G$31,$I$31="Y",$K$31&gt;0),$K$31*$B$42,0)</f>
        <v/>
      </c>
      <c r="K199" s="36">
        <f>IF(AND(7=$G$28,$I$28="Y",$K$28&gt;0),$K$28*$B$42,0)+IF(AND(7=$G$29,$I$29="Y",$K$29&gt;0),$K$29*$B$42,0)+IF(AND(7=$G$30,$I$30="Y",$K$30&gt;0),$K$30*$B$42,0)+IF(AND(7=$G$31,$I$31="Y",$K$31&gt;0),$K$31*$B$42,0)</f>
        <v/>
      </c>
      <c r="L199" s="36">
        <f>IF(AND(8=$G$28,$I$28="Y",$K$28&gt;0),$K$28*$B$42,0)+IF(AND(8=$G$29,$I$29="Y",$K$29&gt;0),$K$29*$B$42,0)+IF(AND(8=$G$30,$I$30="Y",$K$30&gt;0),$K$30*$B$42,0)+IF(AND(8=$G$31,$I$31="Y",$K$31&gt;0),$K$31*$B$42,0)</f>
        <v/>
      </c>
      <c r="M199" s="36">
        <f>IF(AND(9=$G$28,$I$28="Y",$K$28&gt;0),$K$28*$B$42,0)+IF(AND(9=$G$29,$I$29="Y",$K$29&gt;0),$K$29*$B$42,0)+IF(AND(9=$G$30,$I$30="Y",$K$30&gt;0),$K$30*$B$42,0)+IF(AND(9=$G$31,$I$31="Y",$K$31&gt;0),$K$31*$B$42,0)</f>
        <v/>
      </c>
      <c r="N199" s="36">
        <f>IF(AND(10=$G$28,$I$28="Y",$K$28&gt;0),$K$28*$B$42,0)+IF(AND(10=$G$29,$I$29="Y",$K$29&gt;0),$K$29*$B$42,0)+IF(AND(10=$G$30,$I$30="Y",$K$30&gt;0),$K$30*$B$42,0)+IF(AND(10=$G$31,$I$31="Y",$K$31&gt;0),$K$31*$B$42,0)</f>
        <v/>
      </c>
      <c r="O199" s="36">
        <f>IF(AND(11=$G$28,$I$28="Y",$K$28&gt;0),$K$28*$B$42,0)+IF(AND(11=$G$29,$I$29="Y",$K$29&gt;0),$K$29*$B$42,0)+IF(AND(11=$G$30,$I$30="Y",$K$30&gt;0),$K$30*$B$42,0)+IF(AND(11=$G$31,$I$31="Y",$K$31&gt;0),$K$31*$B$42,0)</f>
        <v/>
      </c>
      <c r="P199" s="36">
        <f>IF(AND(12=$G$28,$I$28="Y",$K$28&gt;0),$K$28*$B$42,0)+IF(AND(12=$G$29,$I$29="Y",$K$29&gt;0),$K$29*$B$42,0)+IF(AND(12=$G$30,$I$30="Y",$K$30&gt;0),$K$30*$B$42,0)+IF(AND(12=$G$31,$I$31="Y",$K$31&gt;0),$K$31*$B$42,0)</f>
        <v/>
      </c>
      <c r="Q199" s="36">
        <f>IF(AND(13=$G$28,$I$28="Y",$K$28&gt;0),$K$28*$B$42,0)+IF(AND(13=$G$29,$I$29="Y",$K$29&gt;0),$K$29*$B$42,0)+IF(AND(13=$G$30,$I$30="Y",$K$30&gt;0),$K$30*$B$42,0)+IF(AND(13=$G$31,$I$31="Y",$K$31&gt;0),$K$31*$B$42,0)</f>
        <v/>
      </c>
      <c r="R199" s="36">
        <f>IF(AND(14=$G$28,$I$28="Y",$K$28&gt;0),$K$28*$B$42,0)+IF(AND(14=$G$29,$I$29="Y",$K$29&gt;0),$K$29*$B$42,0)+IF(AND(14=$G$30,$I$30="Y",$K$30&gt;0),$K$30*$B$42,0)+IF(AND(14=$G$31,$I$31="Y",$K$31&gt;0),$K$31*$B$42,0)</f>
        <v/>
      </c>
      <c r="S199" s="36">
        <f>IF(AND(15=$G$28,$I$28="Y",$K$28&gt;0),$K$28*$B$42,0)+IF(AND(15=$G$29,$I$29="Y",$K$29&gt;0),$K$29*$B$42,0)+IF(AND(15=$G$30,$I$30="Y",$K$30&gt;0),$K$30*$B$42,0)+IF(AND(15=$G$31,$I$31="Y",$K$31&gt;0),$K$31*$B$42,0)</f>
        <v/>
      </c>
      <c r="T199" s="36">
        <f>IF(AND(16=$G$28,$I$28="Y",$K$28&gt;0),$K$28*$B$42,0)+IF(AND(16=$G$29,$I$29="Y",$K$29&gt;0),$K$29*$B$42,0)+IF(AND(16=$G$30,$I$30="Y",$K$30&gt;0),$K$30*$B$42,0)+IF(AND(16=$G$31,$I$31="Y",$K$31&gt;0),$K$31*$B$42,0)</f>
        <v/>
      </c>
      <c r="U199" s="36">
        <f>IF(AND(17=$G$28,$I$28="Y",$K$28&gt;0),$K$28*$B$42,0)+IF(AND(17=$G$29,$I$29="Y",$K$29&gt;0),$K$29*$B$42,0)+IF(AND(17=$G$30,$I$30="Y",$K$30&gt;0),$K$30*$B$42,0)+IF(AND(17=$G$31,$I$31="Y",$K$31&gt;0),$K$31*$B$42,0)</f>
        <v/>
      </c>
      <c r="V199" s="36">
        <f>IF(AND(18=$G$28,$I$28="Y",$K$28&gt;0),$K$28*$B$42,0)+IF(AND(18=$G$29,$I$29="Y",$K$29&gt;0),$K$29*$B$42,0)+IF(AND(18=$G$30,$I$30="Y",$K$30&gt;0),$K$30*$B$42,0)+IF(AND(18=$G$31,$I$31="Y",$K$31&gt;0),$K$31*$B$42,0)</f>
        <v/>
      </c>
      <c r="W199" s="36">
        <f>IF(AND(19=$G$28,$I$28="Y",$K$28&gt;0),$K$28*$B$42,0)+IF(AND(19=$G$29,$I$29="Y",$K$29&gt;0),$K$29*$B$42,0)+IF(AND(19=$G$30,$I$30="Y",$K$30&gt;0),$K$30*$B$42,0)+IF(AND(19=$G$31,$I$31="Y",$K$31&gt;0),$K$31*$B$42,0)</f>
        <v/>
      </c>
      <c r="X199" s="36">
        <f>IF(AND(20=$G$28,$I$28="Y",$K$28&gt;0),$K$28*$B$42,0)+IF(AND(20=$G$29,$I$29="Y",$K$29&gt;0),$K$29*$B$42,0)+IF(AND(20=$G$30,$I$30="Y",$K$30&gt;0),$K$30*$B$42,0)+IF(AND(20=$G$31,$I$31="Y",$K$31&gt;0),$K$31*$B$42,0)</f>
        <v/>
      </c>
      <c r="Y199" s="36">
        <f>IF(AND(21=$G$28,$I$28="Y",$K$28&gt;0),$K$28*$B$42,0)+IF(AND(21=$G$29,$I$29="Y",$K$29&gt;0),$K$29*$B$42,0)+IF(AND(21=$G$30,$I$30="Y",$K$30&gt;0),$K$30*$B$42,0)+IF(AND(21=$G$31,$I$31="Y",$K$31&gt;0),$K$31*$B$42,0)</f>
        <v/>
      </c>
      <c r="Z199" s="36">
        <f>IF(AND(22=$G$28,$I$28="Y",$K$28&gt;0),$K$28*$B$42,0)+IF(AND(22=$G$29,$I$29="Y",$K$29&gt;0),$K$29*$B$42,0)+IF(AND(22=$G$30,$I$30="Y",$K$30&gt;0),$K$30*$B$42,0)+IF(AND(22=$G$31,$I$31="Y",$K$31&gt;0),$K$31*$B$42,0)</f>
        <v/>
      </c>
      <c r="AA199" s="36">
        <f>IF(AND(23=$G$28,$I$28="Y",$K$28&gt;0),$K$28*$B$42,0)+IF(AND(23=$G$29,$I$29="Y",$K$29&gt;0),$K$29*$B$42,0)+IF(AND(23=$G$30,$I$30="Y",$K$30&gt;0),$K$30*$B$42,0)+IF(AND(23=$G$31,$I$31="Y",$K$31&gt;0),$K$31*$B$42,0)</f>
        <v/>
      </c>
      <c r="AB199" s="36">
        <f>IF(AND(24=$G$28,$I$28="Y",$K$28&gt;0),$K$28*$B$42,0)+IF(AND(24=$G$29,$I$29="Y",$K$29&gt;0),$K$29*$B$42,0)+IF(AND(24=$G$30,$I$30="Y",$K$30&gt;0),$K$30*$B$42,0)+IF(AND(24=$G$31,$I$31="Y",$K$31&gt;0),$K$31*$B$42,0)</f>
        <v/>
      </c>
      <c r="AC199" s="36">
        <f>IF(AND(25=$G$28,$I$28="Y",$K$28&gt;0),$K$28*$B$42,0)+IF(AND(25=$G$29,$I$29="Y",$K$29&gt;0),$K$29*$B$42,0)+IF(AND(25=$G$30,$I$30="Y",$K$30&gt;0),$K$30*$B$42,0)+IF(AND(25=$G$31,$I$31="Y",$K$31&gt;0),$K$31*$B$42,0)</f>
        <v/>
      </c>
      <c r="AD199" s="36">
        <f>IF(AND(26=$G$28,$I$28="Y",$K$28&gt;0),$K$28*$B$42,0)+IF(AND(26=$G$29,$I$29="Y",$K$29&gt;0),$K$29*$B$42,0)+IF(AND(26=$G$30,$I$30="Y",$K$30&gt;0),$K$30*$B$42,0)+IF(AND(26=$G$31,$I$31="Y",$K$31&gt;0),$K$31*$B$42,0)</f>
        <v/>
      </c>
      <c r="AE199" s="36">
        <f>IF(AND(27=$G$28,$I$28="Y",$K$28&gt;0),$K$28*$B$42,0)+IF(AND(27=$G$29,$I$29="Y",$K$29&gt;0),$K$29*$B$42,0)+IF(AND(27=$G$30,$I$30="Y",$K$30&gt;0),$K$30*$B$42,0)+IF(AND(27=$G$31,$I$31="Y",$K$31&gt;0),$K$31*$B$42,0)</f>
        <v/>
      </c>
      <c r="AF199" s="36">
        <f>IF(AND(28=$G$28,$I$28="Y",$K$28&gt;0),$K$28*$B$42,0)+IF(AND(28=$G$29,$I$29="Y",$K$29&gt;0),$K$29*$B$42,0)+IF(AND(28=$G$30,$I$30="Y",$K$30&gt;0),$K$30*$B$42,0)+IF(AND(28=$G$31,$I$31="Y",$K$31&gt;0),$K$31*$B$42,0)</f>
        <v/>
      </c>
      <c r="AG199" s="36">
        <f>IF(AND(29=$G$28,$I$28="Y",$K$28&gt;0),$K$28*$B$42,0)+IF(AND(29=$G$29,$I$29="Y",$K$29&gt;0),$K$29*$B$42,0)+IF(AND(29=$G$30,$I$30="Y",$K$30&gt;0),$K$30*$B$42,0)+IF(AND(29=$G$31,$I$31="Y",$K$31&gt;0),$K$31*$B$42,0)</f>
        <v/>
      </c>
      <c r="AH199" s="36">
        <f>IF(AND(30=$G$28,$I$28="Y",$K$28&gt;0),$K$28*$B$42,0)+IF(AND(30=$G$29,$I$29="Y",$K$29&gt;0),$K$29*$B$42,0)+IF(AND(30=$G$30,$I$30="Y",$K$30&gt;0),$K$30*$B$42,0)+IF(AND(30=$G$31,$I$31="Y",$K$31&gt;0),$K$31*$B$42,0)</f>
        <v/>
      </c>
      <c r="AI199" s="36">
        <f>IF(AND(31=$G$28,$I$28="Y",$K$28&gt;0),$K$28*$B$42,0)+IF(AND(31=$G$29,$I$29="Y",$K$29&gt;0),$K$29*$B$42,0)+IF(AND(31=$G$30,$I$30="Y",$K$30&gt;0),$K$30*$B$42,0)+IF(AND(31=$G$31,$I$31="Y",$K$31&gt;0),$K$31*$B$42,0)</f>
        <v/>
      </c>
      <c r="AJ199" s="36">
        <f>IF(AND(32=$G$28,$I$28="Y",$K$28&gt;0),$K$28*$B$42,0)+IF(AND(32=$G$29,$I$29="Y",$K$29&gt;0),$K$29*$B$42,0)+IF(AND(32=$G$30,$I$30="Y",$K$30&gt;0),$K$30*$B$42,0)+IF(AND(32=$G$31,$I$31="Y",$K$31&gt;0),$K$31*$B$42,0)</f>
        <v/>
      </c>
      <c r="AK199" s="36">
        <f>IF(AND(33=$G$28,$I$28="Y",$K$28&gt;0),$K$28*$B$42,0)+IF(AND(33=$G$29,$I$29="Y",$K$29&gt;0),$K$29*$B$42,0)+IF(AND(33=$G$30,$I$30="Y",$K$30&gt;0),$K$30*$B$42,0)+IF(AND(33=$G$31,$I$31="Y",$K$31&gt;0),$K$31*$B$42,0)</f>
        <v/>
      </c>
      <c r="AL199" s="36">
        <f>IF(AND(34=$G$28,$I$28="Y",$K$28&gt;0),$K$28*$B$42,0)+IF(AND(34=$G$29,$I$29="Y",$K$29&gt;0),$K$29*$B$42,0)+IF(AND(34=$G$30,$I$30="Y",$K$30&gt;0),$K$30*$B$42,0)+IF(AND(34=$G$31,$I$31="Y",$K$31&gt;0),$K$31*$B$42,0)</f>
        <v/>
      </c>
      <c r="AM199" s="36">
        <f>IF(AND(35=$G$28,$I$28="Y",$K$28&gt;0),$K$28*$B$42,0)+IF(AND(35=$G$29,$I$29="Y",$K$29&gt;0),$K$29*$B$42,0)+IF(AND(35=$G$30,$I$30="Y",$K$30&gt;0),$K$30*$B$42,0)+IF(AND(35=$G$31,$I$31="Y",$K$31&gt;0),$K$31*$B$42,0)</f>
        <v/>
      </c>
      <c r="AN199" s="36">
        <f>IF(AND(36=$G$28,$I$28="Y",$K$28&gt;0),$K$28*$B$42,0)+IF(AND(36=$G$29,$I$29="Y",$K$29&gt;0),$K$29*$B$42,0)+IF(AND(36=$G$30,$I$30="Y",$K$30&gt;0),$K$30*$B$42,0)+IF(AND(36=$G$31,$I$31="Y",$K$31&gt;0),$K$31*$B$42,0)</f>
        <v/>
      </c>
      <c r="AO199" s="36">
        <f>IF(AND(37=$G$28,$I$28="Y",$K$28&gt;0),$K$28*$B$42,0)+IF(AND(37=$G$29,$I$29="Y",$K$29&gt;0),$K$29*$B$42,0)+IF(AND(37=$G$30,$I$30="Y",$K$30&gt;0),$K$30*$B$42,0)+IF(AND(37=$G$31,$I$31="Y",$K$31&gt;0),$K$31*$B$42,0)</f>
        <v/>
      </c>
      <c r="AP199" s="36">
        <f>IF(AND(38=$G$28,$I$28="Y",$K$28&gt;0),$K$28*$B$42,0)+IF(AND(38=$G$29,$I$29="Y",$K$29&gt;0),$K$29*$B$42,0)+IF(AND(38=$G$30,$I$30="Y",$K$30&gt;0),$K$30*$B$42,0)+IF(AND(38=$G$31,$I$31="Y",$K$31&gt;0),$K$31*$B$42,0)</f>
        <v/>
      </c>
      <c r="AQ199" s="36">
        <f>IF(AND(39=$G$28,$I$28="Y",$K$28&gt;0),$K$28*$B$42,0)+IF(AND(39=$G$29,$I$29="Y",$K$29&gt;0),$K$29*$B$42,0)+IF(AND(39=$G$30,$I$30="Y",$K$30&gt;0),$K$30*$B$42,0)+IF(AND(39=$G$31,$I$31="Y",$K$31&gt;0),$K$31*$B$42,0)</f>
        <v/>
      </c>
      <c r="AR199" s="36">
        <f>IF(AND(40=$G$28,$I$28="Y",$K$28&gt;0),$K$28*$B$42,0)+IF(AND(40=$G$29,$I$29="Y",$K$29&gt;0),$K$29*$B$42,0)+IF(AND(40=$G$30,$I$30="Y",$K$30&gt;0),$K$30*$B$42,0)+IF(AND(40=$G$31,$I$31="Y",$K$31&gt;0),$K$31*$B$42,0)</f>
        <v/>
      </c>
      <c r="AS199" s="36">
        <f>IF(AND(41=$G$28,$I$28="Y",$K$28&gt;0),$K$28*$B$42,0)+IF(AND(41=$G$29,$I$29="Y",$K$29&gt;0),$K$29*$B$42,0)+IF(AND(41=$G$30,$I$30="Y",$K$30&gt;0),$K$30*$B$42,0)+IF(AND(41=$G$31,$I$31="Y",$K$31&gt;0),$K$31*$B$42,0)</f>
        <v/>
      </c>
      <c r="AT199" s="36">
        <f>IF(AND(42=$G$28,$I$28="Y",$K$28&gt;0),$K$28*$B$42,0)+IF(AND(42=$G$29,$I$29="Y",$K$29&gt;0),$K$29*$B$42,0)+IF(AND(42=$G$30,$I$30="Y",$K$30&gt;0),$K$30*$B$42,0)+IF(AND(42=$G$31,$I$31="Y",$K$31&gt;0),$K$31*$B$42,0)</f>
        <v/>
      </c>
      <c r="AU199" s="36">
        <f>IF(AND(43=$G$28,$I$28="Y",$K$28&gt;0),$K$28*$B$42,0)+IF(AND(43=$G$29,$I$29="Y",$K$29&gt;0),$K$29*$B$42,0)+IF(AND(43=$G$30,$I$30="Y",$K$30&gt;0),$K$30*$B$42,0)+IF(AND(43=$G$31,$I$31="Y",$K$31&gt;0),$K$31*$B$42,0)</f>
        <v/>
      </c>
      <c r="AV199" s="36">
        <f>IF(AND(44=$G$28,$I$28="Y",$K$28&gt;0),$K$28*$B$42,0)+IF(AND(44=$G$29,$I$29="Y",$K$29&gt;0),$K$29*$B$42,0)+IF(AND(44=$G$30,$I$30="Y",$K$30&gt;0),$K$30*$B$42,0)+IF(AND(44=$G$31,$I$31="Y",$K$31&gt;0),$K$31*$B$42,0)</f>
        <v/>
      </c>
      <c r="AW199" s="36">
        <f>IF(AND(45=$G$28,$I$28="Y",$K$28&gt;0),$K$28*$B$42,0)+IF(AND(45=$G$29,$I$29="Y",$K$29&gt;0),$K$29*$B$42,0)+IF(AND(45=$G$30,$I$30="Y",$K$30&gt;0),$K$30*$B$42,0)+IF(AND(45=$G$31,$I$31="Y",$K$31&gt;0),$K$31*$B$42,0)</f>
        <v/>
      </c>
      <c r="AX199" s="36">
        <f>IF(AND(46=$G$28,$I$28="Y",$K$28&gt;0),$K$28*$B$42,0)+IF(AND(46=$G$29,$I$29="Y",$K$29&gt;0),$K$29*$B$42,0)+IF(AND(46=$G$30,$I$30="Y",$K$30&gt;0),$K$30*$B$42,0)+IF(AND(46=$G$31,$I$31="Y",$K$31&gt;0),$K$31*$B$42,0)</f>
        <v/>
      </c>
      <c r="AY199" s="36">
        <f>IF(AND(47=$G$28,$I$28="Y",$K$28&gt;0),$K$28*$B$42,0)+IF(AND(47=$G$29,$I$29="Y",$K$29&gt;0),$K$29*$B$42,0)+IF(AND(47=$G$30,$I$30="Y",$K$30&gt;0),$K$30*$B$42,0)+IF(AND(47=$G$31,$I$31="Y",$K$31&gt;0),$K$31*$B$42,0)</f>
        <v/>
      </c>
      <c r="AZ199" s="36">
        <f>IF(AND(48=$G$28,$I$28="Y",$K$28&gt;0),$K$28*$B$42,0)+IF(AND(48=$G$29,$I$29="Y",$K$29&gt;0),$K$29*$B$42,0)+IF(AND(48=$G$30,$I$30="Y",$K$30&gt;0),$K$30*$B$42,0)+IF(AND(48=$G$31,$I$31="Y",$K$31&gt;0),$K$31*$B$42,0)</f>
        <v/>
      </c>
      <c r="BA199" s="36">
        <f>IF(AND(49=$G$28,$I$28="Y",$K$28&gt;0),$K$28*$B$42,0)+IF(AND(49=$G$29,$I$29="Y",$K$29&gt;0),$K$29*$B$42,0)+IF(AND(49=$G$30,$I$30="Y",$K$30&gt;0),$K$30*$B$42,0)+IF(AND(49=$G$31,$I$31="Y",$K$31&gt;0),$K$31*$B$42,0)</f>
        <v/>
      </c>
      <c r="BB199" s="36">
        <f>IF(AND(50=$G$28,$I$28="Y",$K$28&gt;0),$K$28*$B$42,0)+IF(AND(50=$G$29,$I$29="Y",$K$29&gt;0),$K$29*$B$42,0)+IF(AND(50=$G$30,$I$30="Y",$K$30&gt;0),$K$30*$B$42,0)+IF(AND(50=$G$31,$I$31="Y",$K$31&gt;0),$K$31*$B$42,0)</f>
        <v/>
      </c>
      <c r="BC199" s="36">
        <f>IF(AND(51=$G$28,$I$28="Y",$K$28&gt;0),$K$28*$B$42,0)+IF(AND(51=$G$29,$I$29="Y",$K$29&gt;0),$K$29*$B$42,0)+IF(AND(51=$G$30,$I$30="Y",$K$30&gt;0),$K$30*$B$42,0)+IF(AND(51=$G$31,$I$31="Y",$K$31&gt;0),$K$31*$B$42,0)</f>
        <v/>
      </c>
      <c r="BD199" s="36">
        <f>IF(AND(52=$G$28,$I$28="Y",$K$28&gt;0),$K$28*$B$42,0)+IF(AND(52=$G$29,$I$29="Y",$K$29&gt;0),$K$29*$B$42,0)+IF(AND(52=$G$30,$I$30="Y",$K$30&gt;0),$K$30*$B$42,0)+IF(AND(52=$G$31,$I$31="Y",$K$31&gt;0),$K$31*$B$42,0)</f>
        <v/>
      </c>
    </row>
    <row r="200">
      <c r="A200" s="2" t="inlineStr">
        <is>
          <t xml:space="preserve">   Recruitment and onboarding, per person, in the week that role starts. ⚠️ The wage rows above test w&gt;=From AND w&lt;=To, because a wage is owed EVERY week of the window. This one tests w=From because it is paid ONCE. The two shapes differ on purpose — charged per week it would bill three heads for 33 weeks, not one.</t>
        </is>
      </c>
    </row>
    <row r="201">
      <c r="A201" s="28" t="inlineStr">
        <is>
          <t>Overtime cost this week</t>
        </is>
      </c>
      <c r="B201" s="2" t="inlineStr">
        <is>
          <t>$</t>
        </is>
      </c>
      <c r="E201" s="36">
        <f>E161*$D$29*(1+$B$35)*$B$36+E163*$D$30*(1+$B$35)*$B$36+E165*$D$31*(1+$B$35)*$B$36</f>
        <v/>
      </c>
      <c r="F201" s="36">
        <f>F161*$D$29*(1+$B$35)*$B$36+F163*$D$30*(1+$B$35)*$B$36+F165*$D$31*(1+$B$35)*$B$36</f>
        <v/>
      </c>
      <c r="G201" s="36">
        <f>G161*$D$29*(1+$B$35)*$B$36+G163*$D$30*(1+$B$35)*$B$36+G165*$D$31*(1+$B$35)*$B$36</f>
        <v/>
      </c>
      <c r="H201" s="36">
        <f>H161*$D$29*(1+$B$35)*$B$36+H163*$D$30*(1+$B$35)*$B$36+H165*$D$31*(1+$B$35)*$B$36</f>
        <v/>
      </c>
      <c r="I201" s="36">
        <f>I161*$D$29*(1+$B$35)*$B$36+I163*$D$30*(1+$B$35)*$B$36+I165*$D$31*(1+$B$35)*$B$36</f>
        <v/>
      </c>
      <c r="J201" s="36">
        <f>J161*$D$29*(1+$B$35)*$B$36+J163*$D$30*(1+$B$35)*$B$36+J165*$D$31*(1+$B$35)*$B$36</f>
        <v/>
      </c>
      <c r="K201" s="36">
        <f>K161*$D$29*(1+$B$35)*$B$36+K163*$D$30*(1+$B$35)*$B$36+K165*$D$31*(1+$B$35)*$B$36</f>
        <v/>
      </c>
      <c r="L201" s="36">
        <f>L161*$D$29*(1+$B$35)*$B$36+L163*$D$30*(1+$B$35)*$B$36+L165*$D$31*(1+$B$35)*$B$36</f>
        <v/>
      </c>
      <c r="M201" s="36">
        <f>M161*$D$29*(1+$B$35)*$B$36+M163*$D$30*(1+$B$35)*$B$36+M165*$D$31*(1+$B$35)*$B$36</f>
        <v/>
      </c>
      <c r="N201" s="36">
        <f>N161*$D$29*(1+$B$35)*$B$36+N163*$D$30*(1+$B$35)*$B$36+N165*$D$31*(1+$B$35)*$B$36</f>
        <v/>
      </c>
      <c r="O201" s="36">
        <f>O161*$D$29*(1+$B$35)*$B$36+O163*$D$30*(1+$B$35)*$B$36+O165*$D$31*(1+$B$35)*$B$36</f>
        <v/>
      </c>
      <c r="P201" s="36">
        <f>P161*$D$29*(1+$B$35)*$B$36+P163*$D$30*(1+$B$35)*$B$36+P165*$D$31*(1+$B$35)*$B$36</f>
        <v/>
      </c>
      <c r="Q201" s="36">
        <f>Q161*$D$29*(1+$B$35)*$B$36+Q163*$D$30*(1+$B$35)*$B$36+Q165*$D$31*(1+$B$35)*$B$36</f>
        <v/>
      </c>
      <c r="R201" s="36">
        <f>R161*$D$29*(1+$B$35)*$B$36+R163*$D$30*(1+$B$35)*$B$36+R165*$D$31*(1+$B$35)*$B$36</f>
        <v/>
      </c>
      <c r="S201" s="36">
        <f>S161*$D$29*(1+$B$35)*$B$36+S163*$D$30*(1+$B$35)*$B$36+S165*$D$31*(1+$B$35)*$B$36</f>
        <v/>
      </c>
      <c r="T201" s="36">
        <f>T161*$D$29*(1+$B$35)*$B$36+T163*$D$30*(1+$B$35)*$B$36+T165*$D$31*(1+$B$35)*$B$36</f>
        <v/>
      </c>
      <c r="U201" s="36">
        <f>U161*$D$29*(1+$B$35)*$B$36+U163*$D$30*(1+$B$35)*$B$36+U165*$D$31*(1+$B$35)*$B$36</f>
        <v/>
      </c>
      <c r="V201" s="36">
        <f>V161*$D$29*(1+$B$35)*$B$36+V163*$D$30*(1+$B$35)*$B$36+V165*$D$31*(1+$B$35)*$B$36</f>
        <v/>
      </c>
      <c r="W201" s="36">
        <f>W161*$D$29*(1+$B$35)*$B$36+W163*$D$30*(1+$B$35)*$B$36+W165*$D$31*(1+$B$35)*$B$36</f>
        <v/>
      </c>
      <c r="X201" s="36">
        <f>X161*$D$29*(1+$B$35)*$B$36+X163*$D$30*(1+$B$35)*$B$36+X165*$D$31*(1+$B$35)*$B$36</f>
        <v/>
      </c>
      <c r="Y201" s="36">
        <f>Y161*$D$29*(1+$B$35)*$B$36+Y163*$D$30*(1+$B$35)*$B$36+Y165*$D$31*(1+$B$35)*$B$36</f>
        <v/>
      </c>
      <c r="Z201" s="36">
        <f>Z161*$D$29*(1+$B$35)*$B$36+Z163*$D$30*(1+$B$35)*$B$36+Z165*$D$31*(1+$B$35)*$B$36</f>
        <v/>
      </c>
      <c r="AA201" s="36">
        <f>AA161*$D$29*(1+$B$35)*$B$36+AA163*$D$30*(1+$B$35)*$B$36+AA165*$D$31*(1+$B$35)*$B$36</f>
        <v/>
      </c>
      <c r="AB201" s="36">
        <f>AB161*$D$29*(1+$B$35)*$B$36+AB163*$D$30*(1+$B$35)*$B$36+AB165*$D$31*(1+$B$35)*$B$36</f>
        <v/>
      </c>
      <c r="AC201" s="36">
        <f>AC161*$D$29*(1+$B$35)*$B$36+AC163*$D$30*(1+$B$35)*$B$36+AC165*$D$31*(1+$B$35)*$B$36</f>
        <v/>
      </c>
      <c r="AD201" s="36">
        <f>AD161*$D$29*(1+$B$35)*$B$36+AD163*$D$30*(1+$B$35)*$B$36+AD165*$D$31*(1+$B$35)*$B$36</f>
        <v/>
      </c>
      <c r="AE201" s="36">
        <f>AE161*$D$29*(1+$B$35)*$B$36+AE163*$D$30*(1+$B$35)*$B$36+AE165*$D$31*(1+$B$35)*$B$36</f>
        <v/>
      </c>
      <c r="AF201" s="36">
        <f>AF161*$D$29*(1+$B$35)*$B$36+AF163*$D$30*(1+$B$35)*$B$36+AF165*$D$31*(1+$B$35)*$B$36</f>
        <v/>
      </c>
      <c r="AG201" s="36">
        <f>AG161*$D$29*(1+$B$35)*$B$36+AG163*$D$30*(1+$B$35)*$B$36+AG165*$D$31*(1+$B$35)*$B$36</f>
        <v/>
      </c>
      <c r="AH201" s="36">
        <f>AH161*$D$29*(1+$B$35)*$B$36+AH163*$D$30*(1+$B$35)*$B$36+AH165*$D$31*(1+$B$35)*$B$36</f>
        <v/>
      </c>
      <c r="AI201" s="36">
        <f>AI161*$D$29*(1+$B$35)*$B$36+AI163*$D$30*(1+$B$35)*$B$36+AI165*$D$31*(1+$B$35)*$B$36</f>
        <v/>
      </c>
      <c r="AJ201" s="36">
        <f>AJ161*$D$29*(1+$B$35)*$B$36+AJ163*$D$30*(1+$B$35)*$B$36+AJ165*$D$31*(1+$B$35)*$B$36</f>
        <v/>
      </c>
      <c r="AK201" s="36">
        <f>AK161*$D$29*(1+$B$35)*$B$36+AK163*$D$30*(1+$B$35)*$B$36+AK165*$D$31*(1+$B$35)*$B$36</f>
        <v/>
      </c>
      <c r="AL201" s="36">
        <f>AL161*$D$29*(1+$B$35)*$B$36+AL163*$D$30*(1+$B$35)*$B$36+AL165*$D$31*(1+$B$35)*$B$36</f>
        <v/>
      </c>
      <c r="AM201" s="36">
        <f>AM161*$D$29*(1+$B$35)*$B$36+AM163*$D$30*(1+$B$35)*$B$36+AM165*$D$31*(1+$B$35)*$B$36</f>
        <v/>
      </c>
      <c r="AN201" s="36">
        <f>AN161*$D$29*(1+$B$35)*$B$36+AN163*$D$30*(1+$B$35)*$B$36+AN165*$D$31*(1+$B$35)*$B$36</f>
        <v/>
      </c>
      <c r="AO201" s="36">
        <f>AO161*$D$29*(1+$B$35)*$B$36+AO163*$D$30*(1+$B$35)*$B$36+AO165*$D$31*(1+$B$35)*$B$36</f>
        <v/>
      </c>
      <c r="AP201" s="36">
        <f>AP161*$D$29*(1+$B$35)*$B$36+AP163*$D$30*(1+$B$35)*$B$36+AP165*$D$31*(1+$B$35)*$B$36</f>
        <v/>
      </c>
      <c r="AQ201" s="36">
        <f>AQ161*$D$29*(1+$B$35)*$B$36+AQ163*$D$30*(1+$B$35)*$B$36+AQ165*$D$31*(1+$B$35)*$B$36</f>
        <v/>
      </c>
      <c r="AR201" s="36">
        <f>AR161*$D$29*(1+$B$35)*$B$36+AR163*$D$30*(1+$B$35)*$B$36+AR165*$D$31*(1+$B$35)*$B$36</f>
        <v/>
      </c>
      <c r="AS201" s="36">
        <f>AS161*$D$29*(1+$B$35)*$B$36+AS163*$D$30*(1+$B$35)*$B$36+AS165*$D$31*(1+$B$35)*$B$36</f>
        <v/>
      </c>
      <c r="AT201" s="36">
        <f>AT161*$D$29*(1+$B$35)*$B$36+AT163*$D$30*(1+$B$35)*$B$36+AT165*$D$31*(1+$B$35)*$B$36</f>
        <v/>
      </c>
      <c r="AU201" s="36">
        <f>AU161*$D$29*(1+$B$35)*$B$36+AU163*$D$30*(1+$B$35)*$B$36+AU165*$D$31*(1+$B$35)*$B$36</f>
        <v/>
      </c>
      <c r="AV201" s="36">
        <f>AV161*$D$29*(1+$B$35)*$B$36+AV163*$D$30*(1+$B$35)*$B$36+AV165*$D$31*(1+$B$35)*$B$36</f>
        <v/>
      </c>
      <c r="AW201" s="36">
        <f>AW161*$D$29*(1+$B$35)*$B$36+AW163*$D$30*(1+$B$35)*$B$36+AW165*$D$31*(1+$B$35)*$B$36</f>
        <v/>
      </c>
      <c r="AX201" s="36">
        <f>AX161*$D$29*(1+$B$35)*$B$36+AX163*$D$30*(1+$B$35)*$B$36+AX165*$D$31*(1+$B$35)*$B$36</f>
        <v/>
      </c>
      <c r="AY201" s="36">
        <f>AY161*$D$29*(1+$B$35)*$B$36+AY163*$D$30*(1+$B$35)*$B$36+AY165*$D$31*(1+$B$35)*$B$36</f>
        <v/>
      </c>
      <c r="AZ201" s="36">
        <f>AZ161*$D$29*(1+$B$35)*$B$36+AZ163*$D$30*(1+$B$35)*$B$36+AZ165*$D$31*(1+$B$35)*$B$36</f>
        <v/>
      </c>
      <c r="BA201" s="36">
        <f>BA161*$D$29*(1+$B$35)*$B$36+BA163*$D$30*(1+$B$35)*$B$36+BA165*$D$31*(1+$B$35)*$B$36</f>
        <v/>
      </c>
      <c r="BB201" s="36">
        <f>BB161*$D$29*(1+$B$35)*$B$36+BB163*$D$30*(1+$B$35)*$B$36+BB165*$D$31*(1+$B$35)*$B$36</f>
        <v/>
      </c>
      <c r="BC201" s="36">
        <f>BC161*$D$29*(1+$B$35)*$B$36+BC163*$D$30*(1+$B$35)*$B$36+BC165*$D$31*(1+$B$35)*$B$36</f>
        <v/>
      </c>
      <c r="BD201" s="36">
        <f>BD161*$D$29*(1+$B$35)*$B$36+BD163*$D$30*(1+$B$35)*$B$36+BD165*$D$31*(1+$B$35)*$B$36</f>
        <v/>
      </c>
    </row>
    <row r="202">
      <c r="A202" s="2" t="inlineStr">
        <is>
          <t xml:space="preserve">   ⚠️ FULL rate, not the premium above base pay — the wage bill pays the stated hours, these are hours beyond them.</t>
        </is>
      </c>
    </row>
    <row r="203">
      <c r="A203" s="28" t="inlineStr">
        <is>
          <t>Piece-rate cost — per lb every week, + the fixed cost ONCE</t>
        </is>
      </c>
      <c r="B203" s="2" t="inlineStr">
        <is>
          <t>$</t>
        </is>
      </c>
      <c r="E203" s="36">
        <f>E59*$F$52+E60*$F$53+E61*$F$54+IF(1=$B$47,IF($G$47="Y",1,$B$48)*$F$47,0)</f>
        <v/>
      </c>
      <c r="F203" s="36">
        <f>F59*$F$52+F60*$F$53+F61*$F$54+IF(2=$B$47,IF($G$47="Y",1,$B$48)*$F$47,0)</f>
        <v/>
      </c>
      <c r="G203" s="36">
        <f>G59*$F$52+G60*$F$53+G61*$F$54+IF(3=$B$47,IF($G$47="Y",1,$B$48)*$F$47,0)</f>
        <v/>
      </c>
      <c r="H203" s="36">
        <f>H59*$F$52+H60*$F$53+H61*$F$54+IF(4=$B$47,IF($G$47="Y",1,$B$48)*$F$47,0)</f>
        <v/>
      </c>
      <c r="I203" s="36">
        <f>I59*$F$52+I60*$F$53+I61*$F$54+IF(5=$B$47,IF($G$47="Y",1,$B$48)*$F$47,0)</f>
        <v/>
      </c>
      <c r="J203" s="36">
        <f>J59*$F$52+J60*$F$53+J61*$F$54+IF(6=$B$47,IF($G$47="Y",1,$B$48)*$F$47,0)</f>
        <v/>
      </c>
      <c r="K203" s="36">
        <f>K59*$F$52+K60*$F$53+K61*$F$54+IF(7=$B$47,IF($G$47="Y",1,$B$48)*$F$47,0)</f>
        <v/>
      </c>
      <c r="L203" s="36">
        <f>L59*$F$52+L60*$F$53+L61*$F$54+IF(8=$B$47,IF($G$47="Y",1,$B$48)*$F$47,0)</f>
        <v/>
      </c>
      <c r="M203" s="36">
        <f>M59*$F$52+M60*$F$53+M61*$F$54+IF(9=$B$47,IF($G$47="Y",1,$B$48)*$F$47,0)</f>
        <v/>
      </c>
      <c r="N203" s="36">
        <f>N59*$F$52+N60*$F$53+N61*$F$54+IF(10=$B$47,IF($G$47="Y",1,$B$48)*$F$47,0)</f>
        <v/>
      </c>
      <c r="O203" s="36">
        <f>O59*$F$52+O60*$F$53+O61*$F$54+IF(11=$B$47,IF($G$47="Y",1,$B$48)*$F$47,0)</f>
        <v/>
      </c>
      <c r="P203" s="36">
        <f>P59*$F$52+P60*$F$53+P61*$F$54+IF(12=$B$47,IF($G$47="Y",1,$B$48)*$F$47,0)</f>
        <v/>
      </c>
      <c r="Q203" s="36">
        <f>Q59*$F$52+Q60*$F$53+Q61*$F$54+IF(13=$B$47,IF($G$47="Y",1,$B$48)*$F$47,0)</f>
        <v/>
      </c>
      <c r="R203" s="36">
        <f>R59*$F$52+R60*$F$53+R61*$F$54+IF(14=$B$47,IF($G$47="Y",1,$B$48)*$F$47,0)</f>
        <v/>
      </c>
      <c r="S203" s="36">
        <f>S59*$F$52+S60*$F$53+S61*$F$54+IF(15=$B$47,IF($G$47="Y",1,$B$48)*$F$47,0)</f>
        <v/>
      </c>
      <c r="T203" s="36">
        <f>T59*$F$52+T60*$F$53+T61*$F$54+IF(16=$B$47,IF($G$47="Y",1,$B$48)*$F$47,0)</f>
        <v/>
      </c>
      <c r="U203" s="36">
        <f>U59*$F$52+U60*$F$53+U61*$F$54+IF(17=$B$47,IF($G$47="Y",1,$B$48)*$F$47,0)</f>
        <v/>
      </c>
      <c r="V203" s="36">
        <f>V59*$F$52+V60*$F$53+V61*$F$54+IF(18=$B$47,IF($G$47="Y",1,$B$48)*$F$47,0)</f>
        <v/>
      </c>
      <c r="W203" s="36">
        <f>W59*$F$52+W60*$F$53+W61*$F$54+IF(19=$B$47,IF($G$47="Y",1,$B$48)*$F$47,0)</f>
        <v/>
      </c>
      <c r="X203" s="36">
        <f>X59*$F$52+X60*$F$53+X61*$F$54+IF(20=$B$47,IF($G$47="Y",1,$B$48)*$F$47,0)</f>
        <v/>
      </c>
      <c r="Y203" s="36">
        <f>Y59*$F$52+Y60*$F$53+Y61*$F$54+IF(21=$B$47,IF($G$47="Y",1,$B$48)*$F$47,0)</f>
        <v/>
      </c>
      <c r="Z203" s="36">
        <f>Z59*$F$52+Z60*$F$53+Z61*$F$54+IF(22=$B$47,IF($G$47="Y",1,$B$48)*$F$47,0)</f>
        <v/>
      </c>
      <c r="AA203" s="36">
        <f>AA59*$F$52+AA60*$F$53+AA61*$F$54+IF(23=$B$47,IF($G$47="Y",1,$B$48)*$F$47,0)</f>
        <v/>
      </c>
      <c r="AB203" s="36">
        <f>AB59*$F$52+AB60*$F$53+AB61*$F$54+IF(24=$B$47,IF($G$47="Y",1,$B$48)*$F$47,0)</f>
        <v/>
      </c>
      <c r="AC203" s="36">
        <f>AC59*$F$52+AC60*$F$53+AC61*$F$54+IF(25=$B$47,IF($G$47="Y",1,$B$48)*$F$47,0)</f>
        <v/>
      </c>
      <c r="AD203" s="36">
        <f>AD59*$F$52+AD60*$F$53+AD61*$F$54+IF(26=$B$47,IF($G$47="Y",1,$B$48)*$F$47,0)</f>
        <v/>
      </c>
      <c r="AE203" s="36">
        <f>AE59*$F$52+AE60*$F$53+AE61*$F$54+IF(27=$B$47,IF($G$47="Y",1,$B$48)*$F$47,0)</f>
        <v/>
      </c>
      <c r="AF203" s="36">
        <f>AF59*$F$52+AF60*$F$53+AF61*$F$54+IF(28=$B$47,IF($G$47="Y",1,$B$48)*$F$47,0)</f>
        <v/>
      </c>
      <c r="AG203" s="36">
        <f>AG59*$F$52+AG60*$F$53+AG61*$F$54+IF(29=$B$47,IF($G$47="Y",1,$B$48)*$F$47,0)</f>
        <v/>
      </c>
      <c r="AH203" s="36">
        <f>AH59*$F$52+AH60*$F$53+AH61*$F$54+IF(30=$B$47,IF($G$47="Y",1,$B$48)*$F$47,0)</f>
        <v/>
      </c>
      <c r="AI203" s="36">
        <f>AI59*$F$52+AI60*$F$53+AI61*$F$54+IF(31=$B$47,IF($G$47="Y",1,$B$48)*$F$47,0)</f>
        <v/>
      </c>
      <c r="AJ203" s="36">
        <f>AJ59*$F$52+AJ60*$F$53+AJ61*$F$54+IF(32=$B$47,IF($G$47="Y",1,$B$48)*$F$47,0)</f>
        <v/>
      </c>
      <c r="AK203" s="36">
        <f>AK59*$F$52+AK60*$F$53+AK61*$F$54+IF(33=$B$47,IF($G$47="Y",1,$B$48)*$F$47,0)</f>
        <v/>
      </c>
      <c r="AL203" s="36">
        <f>AL59*$F$52+AL60*$F$53+AL61*$F$54+IF(34=$B$47,IF($G$47="Y",1,$B$48)*$F$47,0)</f>
        <v/>
      </c>
      <c r="AM203" s="36">
        <f>AM59*$F$52+AM60*$F$53+AM61*$F$54+IF(35=$B$47,IF($G$47="Y",1,$B$48)*$F$47,0)</f>
        <v/>
      </c>
      <c r="AN203" s="36">
        <f>AN59*$F$52+AN60*$F$53+AN61*$F$54+IF(36=$B$47,IF($G$47="Y",1,$B$48)*$F$47,0)</f>
        <v/>
      </c>
      <c r="AO203" s="36">
        <f>AO59*$F$52+AO60*$F$53+AO61*$F$54+IF(37=$B$47,IF($G$47="Y",1,$B$48)*$F$47,0)</f>
        <v/>
      </c>
      <c r="AP203" s="36">
        <f>AP59*$F$52+AP60*$F$53+AP61*$F$54+IF(38=$B$47,IF($G$47="Y",1,$B$48)*$F$47,0)</f>
        <v/>
      </c>
      <c r="AQ203" s="36">
        <f>AQ59*$F$52+AQ60*$F$53+AQ61*$F$54+IF(39=$B$47,IF($G$47="Y",1,$B$48)*$F$47,0)</f>
        <v/>
      </c>
      <c r="AR203" s="36">
        <f>AR59*$F$52+AR60*$F$53+AR61*$F$54+IF(40=$B$47,IF($G$47="Y",1,$B$48)*$F$47,0)</f>
        <v/>
      </c>
      <c r="AS203" s="36">
        <f>AS59*$F$52+AS60*$F$53+AS61*$F$54+IF(41=$B$47,IF($G$47="Y",1,$B$48)*$F$47,0)</f>
        <v/>
      </c>
      <c r="AT203" s="36">
        <f>AT59*$F$52+AT60*$F$53+AT61*$F$54+IF(42=$B$47,IF($G$47="Y",1,$B$48)*$F$47,0)</f>
        <v/>
      </c>
      <c r="AU203" s="36">
        <f>AU59*$F$52+AU60*$F$53+AU61*$F$54+IF(43=$B$47,IF($G$47="Y",1,$B$48)*$F$47,0)</f>
        <v/>
      </c>
      <c r="AV203" s="36">
        <f>AV59*$F$52+AV60*$F$53+AV61*$F$54+IF(44=$B$47,IF($G$47="Y",1,$B$48)*$F$47,0)</f>
        <v/>
      </c>
      <c r="AW203" s="36">
        <f>AW59*$F$52+AW60*$F$53+AW61*$F$54+IF(45=$B$47,IF($G$47="Y",1,$B$48)*$F$47,0)</f>
        <v/>
      </c>
      <c r="AX203" s="36">
        <f>AX59*$F$52+AX60*$F$53+AX61*$F$54+IF(46=$B$47,IF($G$47="Y",1,$B$48)*$F$47,0)</f>
        <v/>
      </c>
      <c r="AY203" s="36">
        <f>AY59*$F$52+AY60*$F$53+AY61*$F$54+IF(47=$B$47,IF($G$47="Y",1,$B$48)*$F$47,0)</f>
        <v/>
      </c>
      <c r="AZ203" s="36">
        <f>AZ59*$F$52+AZ60*$F$53+AZ61*$F$54+IF(48=$B$47,IF($G$47="Y",1,$B$48)*$F$47,0)</f>
        <v/>
      </c>
      <c r="BA203" s="36">
        <f>BA59*$F$52+BA60*$F$53+BA61*$F$54+IF(49=$B$47,IF($G$47="Y",1,$B$48)*$F$47,0)</f>
        <v/>
      </c>
      <c r="BB203" s="36">
        <f>BB59*$F$52+BB60*$F$53+BB61*$F$54+IF(50=$B$47,IF($G$47="Y",1,$B$48)*$F$47,0)</f>
        <v/>
      </c>
      <c r="BC203" s="36">
        <f>BC59*$F$52+BC60*$F$53+BC61*$F$54+IF(51=$B$47,IF($G$47="Y",1,$B$48)*$F$47,0)</f>
        <v/>
      </c>
      <c r="BD203" s="36">
        <f>BD59*$F$52+BD60*$F$53+BD61*$F$54+IF(52=$B$47,IF($G$47="Y",1,$B$48)*$F$47,0)</f>
        <v/>
      </c>
    </row>
    <row r="204">
      <c r="A204" s="2" t="inlineStr">
        <is>
          <t xml:space="preserve">   COGS, not payroll: you pay for what they pick. ⚠️ The fixed cost lands ONCE, in the first week of their window — which is why its IF tests w=From and not the whole window. Charged per week it would bill $2,500 fifty-two times.</t>
        </is>
      </c>
    </row>
    <row r="206">
      <c r="A206" s="3" t="inlineStr">
        <is>
          <t>SPINACH  —  cold store</t>
        </is>
      </c>
      <c r="B206" s="48" t="inlineStr"/>
    </row>
    <row r="207">
      <c r="A207" s="32" t="inlineStr">
        <is>
          <t>Week</t>
        </is>
      </c>
      <c r="B207" s="33" t="inlineStr"/>
      <c r="E207" s="34" t="n">
        <v>1</v>
      </c>
      <c r="F207" s="34" t="n">
        <v>2</v>
      </c>
      <c r="G207" s="34" t="n">
        <v>3</v>
      </c>
      <c r="H207" s="34" t="n">
        <v>4</v>
      </c>
      <c r="I207" s="34" t="n">
        <v>5</v>
      </c>
      <c r="J207" s="34" t="n">
        <v>6</v>
      </c>
      <c r="K207" s="34" t="n">
        <v>7</v>
      </c>
      <c r="L207" s="34" t="n">
        <v>8</v>
      </c>
      <c r="M207" s="34" t="n">
        <v>9</v>
      </c>
      <c r="N207" s="34" t="n">
        <v>10</v>
      </c>
      <c r="O207" s="34" t="n">
        <v>11</v>
      </c>
      <c r="P207" s="34" t="n">
        <v>12</v>
      </c>
      <c r="Q207" s="34" t="n">
        <v>13</v>
      </c>
      <c r="R207" s="34" t="n">
        <v>14</v>
      </c>
      <c r="S207" s="34" t="n">
        <v>15</v>
      </c>
      <c r="T207" s="34" t="n">
        <v>16</v>
      </c>
      <c r="U207" s="34" t="n">
        <v>17</v>
      </c>
      <c r="V207" s="34" t="n">
        <v>18</v>
      </c>
      <c r="W207" s="34" t="n">
        <v>19</v>
      </c>
      <c r="X207" s="34" t="n">
        <v>20</v>
      </c>
      <c r="Y207" s="34" t="n">
        <v>21</v>
      </c>
      <c r="Z207" s="34" t="n">
        <v>22</v>
      </c>
      <c r="AA207" s="34" t="n">
        <v>23</v>
      </c>
      <c r="AB207" s="34" t="n">
        <v>24</v>
      </c>
      <c r="AC207" s="34" t="n">
        <v>25</v>
      </c>
      <c r="AD207" s="34" t="n">
        <v>26</v>
      </c>
      <c r="AE207" s="34" t="n">
        <v>27</v>
      </c>
      <c r="AF207" s="34" t="n">
        <v>28</v>
      </c>
      <c r="AG207" s="34" t="n">
        <v>29</v>
      </c>
      <c r="AH207" s="34" t="n">
        <v>30</v>
      </c>
      <c r="AI207" s="34" t="n">
        <v>31</v>
      </c>
      <c r="AJ207" s="34" t="n">
        <v>32</v>
      </c>
      <c r="AK207" s="34" t="n">
        <v>33</v>
      </c>
      <c r="AL207" s="34" t="n">
        <v>34</v>
      </c>
      <c r="AM207" s="34" t="n">
        <v>35</v>
      </c>
      <c r="AN207" s="34" t="n">
        <v>36</v>
      </c>
      <c r="AO207" s="34" t="n">
        <v>37</v>
      </c>
      <c r="AP207" s="34" t="n">
        <v>38</v>
      </c>
      <c r="AQ207" s="34" t="n">
        <v>39</v>
      </c>
      <c r="AR207" s="34" t="n">
        <v>40</v>
      </c>
      <c r="AS207" s="34" t="n">
        <v>41</v>
      </c>
      <c r="AT207" s="34" t="n">
        <v>42</v>
      </c>
      <c r="AU207" s="34" t="n">
        <v>43</v>
      </c>
      <c r="AV207" s="34" t="n">
        <v>44</v>
      </c>
      <c r="AW207" s="34" t="n">
        <v>45</v>
      </c>
      <c r="AX207" s="34" t="n">
        <v>46</v>
      </c>
      <c r="AY207" s="34" t="n">
        <v>47</v>
      </c>
      <c r="AZ207" s="34" t="n">
        <v>48</v>
      </c>
      <c r="BA207" s="34" t="n">
        <v>49</v>
      </c>
      <c r="BB207" s="34" t="n">
        <v>50</v>
      </c>
      <c r="BC207" s="34" t="n">
        <v>51</v>
      </c>
      <c r="BD207" s="34" t="n">
        <v>52</v>
      </c>
    </row>
    <row r="208">
      <c r="A208" s="4" t="inlineStr">
        <is>
          <t>Packed out -&gt; INTO the store</t>
        </is>
      </c>
      <c r="B208" s="2" t="inlineStr">
        <is>
          <t>lb</t>
        </is>
      </c>
      <c r="E208" s="36">
        <f>SUMPRODUCT(($B$71:$B$138="Spinach")*(E$71:E$138="H")*$C$71:$C$138)*$B$12/$J$12*$C$12</f>
        <v/>
      </c>
      <c r="F208" s="36">
        <f>SUMPRODUCT(($B$71:$B$138="Spinach")*(F$71:F$138="H")*$C$71:$C$138)*$B$12/$J$12*$C$12</f>
        <v/>
      </c>
      <c r="G208" s="36">
        <f>SUMPRODUCT(($B$71:$B$138="Spinach")*(G$71:G$138="H")*$C$71:$C$138)*$B$12/$J$12*$C$12</f>
        <v/>
      </c>
      <c r="H208" s="36">
        <f>SUMPRODUCT(($B$71:$B$138="Spinach")*(H$71:H$138="H")*$C$71:$C$138)*$B$12/$J$12*$C$12</f>
        <v/>
      </c>
      <c r="I208" s="36">
        <f>SUMPRODUCT(($B$71:$B$138="Spinach")*(I$71:I$138="H")*$C$71:$C$138)*$B$12/$J$12*$C$12</f>
        <v/>
      </c>
      <c r="J208" s="36">
        <f>SUMPRODUCT(($B$71:$B$138="Spinach")*(J$71:J$138="H")*$C$71:$C$138)*$B$12/$J$12*$C$12</f>
        <v/>
      </c>
      <c r="K208" s="36">
        <f>SUMPRODUCT(($B$71:$B$138="Spinach")*(K$71:K$138="H")*$C$71:$C$138)*$B$12/$J$12*$C$12</f>
        <v/>
      </c>
      <c r="L208" s="36">
        <f>SUMPRODUCT(($B$71:$B$138="Spinach")*(L$71:L$138="H")*$C$71:$C$138)*$B$12/$J$12*$C$12</f>
        <v/>
      </c>
      <c r="M208" s="36">
        <f>SUMPRODUCT(($B$71:$B$138="Spinach")*(M$71:M$138="H")*$C$71:$C$138)*$B$12/$J$12*$C$12</f>
        <v/>
      </c>
      <c r="N208" s="36">
        <f>SUMPRODUCT(($B$71:$B$138="Spinach")*(N$71:N$138="H")*$C$71:$C$138)*$B$12/$J$12*$C$12</f>
        <v/>
      </c>
      <c r="O208" s="36">
        <f>SUMPRODUCT(($B$71:$B$138="Spinach")*(O$71:O$138="H")*$C$71:$C$138)*$B$12/$J$12*$C$12</f>
        <v/>
      </c>
      <c r="P208" s="36">
        <f>SUMPRODUCT(($B$71:$B$138="Spinach")*(P$71:P$138="H")*$C$71:$C$138)*$B$12/$J$12*$C$12</f>
        <v/>
      </c>
      <c r="Q208" s="36">
        <f>SUMPRODUCT(($B$71:$B$138="Spinach")*(Q$71:Q$138="H")*$C$71:$C$138)*$B$12/$J$12*$C$12</f>
        <v/>
      </c>
      <c r="R208" s="36">
        <f>SUMPRODUCT(($B$71:$B$138="Spinach")*(R$71:R$138="H")*$C$71:$C$138)*$B$12/$J$12*$C$12</f>
        <v/>
      </c>
      <c r="S208" s="36">
        <f>SUMPRODUCT(($B$71:$B$138="Spinach")*(S$71:S$138="H")*$C$71:$C$138)*$B$12/$J$12*$C$12</f>
        <v/>
      </c>
      <c r="T208" s="36">
        <f>SUMPRODUCT(($B$71:$B$138="Spinach")*(T$71:T$138="H")*$C$71:$C$138)*$B$12/$J$12*$C$12</f>
        <v/>
      </c>
      <c r="U208" s="36">
        <f>SUMPRODUCT(($B$71:$B$138="Spinach")*(U$71:U$138="H")*$C$71:$C$138)*$B$12/$J$12*$C$12</f>
        <v/>
      </c>
      <c r="V208" s="36">
        <f>SUMPRODUCT(($B$71:$B$138="Spinach")*(V$71:V$138="H")*$C$71:$C$138)*$B$12/$J$12*$C$12</f>
        <v/>
      </c>
      <c r="W208" s="36">
        <f>SUMPRODUCT(($B$71:$B$138="Spinach")*(W$71:W$138="H")*$C$71:$C$138)*$B$12/$J$12*$C$12</f>
        <v/>
      </c>
      <c r="X208" s="36">
        <f>SUMPRODUCT(($B$71:$B$138="Spinach")*(X$71:X$138="H")*$C$71:$C$138)*$B$12/$J$12*$C$12</f>
        <v/>
      </c>
      <c r="Y208" s="36">
        <f>SUMPRODUCT(($B$71:$B$138="Spinach")*(Y$71:Y$138="H")*$C$71:$C$138)*$B$12/$J$12*$C$12</f>
        <v/>
      </c>
      <c r="Z208" s="36">
        <f>SUMPRODUCT(($B$71:$B$138="Spinach")*(Z$71:Z$138="H")*$C$71:$C$138)*$B$12/$J$12*$C$12</f>
        <v/>
      </c>
      <c r="AA208" s="36">
        <f>SUMPRODUCT(($B$71:$B$138="Spinach")*(AA$71:AA$138="H")*$C$71:$C$138)*$B$12/$J$12*$C$12</f>
        <v/>
      </c>
      <c r="AB208" s="36">
        <f>SUMPRODUCT(($B$71:$B$138="Spinach")*(AB$71:AB$138="H")*$C$71:$C$138)*$B$12/$J$12*$C$12</f>
        <v/>
      </c>
      <c r="AC208" s="36">
        <f>SUMPRODUCT(($B$71:$B$138="Spinach")*(AC$71:AC$138="H")*$C$71:$C$138)*$B$12/$J$12*$C$12</f>
        <v/>
      </c>
      <c r="AD208" s="36">
        <f>SUMPRODUCT(($B$71:$B$138="Spinach")*(AD$71:AD$138="H")*$C$71:$C$138)*$B$12/$J$12*$C$12</f>
        <v/>
      </c>
      <c r="AE208" s="36">
        <f>SUMPRODUCT(($B$71:$B$138="Spinach")*(AE$71:AE$138="H")*$C$71:$C$138)*$B$12/$J$12*$C$12</f>
        <v/>
      </c>
      <c r="AF208" s="36">
        <f>SUMPRODUCT(($B$71:$B$138="Spinach")*(AF$71:AF$138="H")*$C$71:$C$138)*$B$12/$J$12*$C$12</f>
        <v/>
      </c>
      <c r="AG208" s="36">
        <f>SUMPRODUCT(($B$71:$B$138="Spinach")*(AG$71:AG$138="H")*$C$71:$C$138)*$B$12/$J$12*$C$12</f>
        <v/>
      </c>
      <c r="AH208" s="36">
        <f>SUMPRODUCT(($B$71:$B$138="Spinach")*(AH$71:AH$138="H")*$C$71:$C$138)*$B$12/$J$12*$C$12</f>
        <v/>
      </c>
      <c r="AI208" s="36">
        <f>SUMPRODUCT(($B$71:$B$138="Spinach")*(AI$71:AI$138="H")*$C$71:$C$138)*$B$12/$J$12*$C$12</f>
        <v/>
      </c>
      <c r="AJ208" s="36">
        <f>SUMPRODUCT(($B$71:$B$138="Spinach")*(AJ$71:AJ$138="H")*$C$71:$C$138)*$B$12/$J$12*$C$12</f>
        <v/>
      </c>
      <c r="AK208" s="36">
        <f>SUMPRODUCT(($B$71:$B$138="Spinach")*(AK$71:AK$138="H")*$C$71:$C$138)*$B$12/$J$12*$C$12</f>
        <v/>
      </c>
      <c r="AL208" s="36">
        <f>SUMPRODUCT(($B$71:$B$138="Spinach")*(AL$71:AL$138="H")*$C$71:$C$138)*$B$12/$J$12*$C$12</f>
        <v/>
      </c>
      <c r="AM208" s="36">
        <f>SUMPRODUCT(($B$71:$B$138="Spinach")*(AM$71:AM$138="H")*$C$71:$C$138)*$B$12/$J$12*$C$12</f>
        <v/>
      </c>
      <c r="AN208" s="36">
        <f>SUMPRODUCT(($B$71:$B$138="Spinach")*(AN$71:AN$138="H")*$C$71:$C$138)*$B$12/$J$12*$C$12</f>
        <v/>
      </c>
      <c r="AO208" s="36">
        <f>SUMPRODUCT(($B$71:$B$138="Spinach")*(AO$71:AO$138="H")*$C$71:$C$138)*$B$12/$J$12*$C$12</f>
        <v/>
      </c>
      <c r="AP208" s="36">
        <f>SUMPRODUCT(($B$71:$B$138="Spinach")*(AP$71:AP$138="H")*$C$71:$C$138)*$B$12/$J$12*$C$12</f>
        <v/>
      </c>
      <c r="AQ208" s="36">
        <f>SUMPRODUCT(($B$71:$B$138="Spinach")*(AQ$71:AQ$138="H")*$C$71:$C$138)*$B$12/$J$12*$C$12</f>
        <v/>
      </c>
      <c r="AR208" s="36">
        <f>SUMPRODUCT(($B$71:$B$138="Spinach")*(AR$71:AR$138="H")*$C$71:$C$138)*$B$12/$J$12*$C$12</f>
        <v/>
      </c>
      <c r="AS208" s="36">
        <f>SUMPRODUCT(($B$71:$B$138="Spinach")*(AS$71:AS$138="H")*$C$71:$C$138)*$B$12/$J$12*$C$12</f>
        <v/>
      </c>
      <c r="AT208" s="36">
        <f>SUMPRODUCT(($B$71:$B$138="Spinach")*(AT$71:AT$138="H")*$C$71:$C$138)*$B$12/$J$12*$C$12</f>
        <v/>
      </c>
      <c r="AU208" s="36">
        <f>SUMPRODUCT(($B$71:$B$138="Spinach")*(AU$71:AU$138="H")*$C$71:$C$138)*$B$12/$J$12*$C$12</f>
        <v/>
      </c>
      <c r="AV208" s="36">
        <f>SUMPRODUCT(($B$71:$B$138="Spinach")*(AV$71:AV$138="H")*$C$71:$C$138)*$B$12/$J$12*$C$12</f>
        <v/>
      </c>
      <c r="AW208" s="36">
        <f>SUMPRODUCT(($B$71:$B$138="Spinach")*(AW$71:AW$138="H")*$C$71:$C$138)*$B$12/$J$12*$C$12</f>
        <v/>
      </c>
      <c r="AX208" s="36">
        <f>SUMPRODUCT(($B$71:$B$138="Spinach")*(AX$71:AX$138="H")*$C$71:$C$138)*$B$12/$J$12*$C$12</f>
        <v/>
      </c>
      <c r="AY208" s="36">
        <f>SUMPRODUCT(($B$71:$B$138="Spinach")*(AY$71:AY$138="H")*$C$71:$C$138)*$B$12/$J$12*$C$12</f>
        <v/>
      </c>
      <c r="AZ208" s="36">
        <f>SUMPRODUCT(($B$71:$B$138="Spinach")*(AZ$71:AZ$138="H")*$C$71:$C$138)*$B$12/$J$12*$C$12</f>
        <v/>
      </c>
      <c r="BA208" s="36">
        <f>SUMPRODUCT(($B$71:$B$138="Spinach")*(BA$71:BA$138="H")*$C$71:$C$138)*$B$12/$J$12*$C$12</f>
        <v/>
      </c>
      <c r="BB208" s="36">
        <f>SUMPRODUCT(($B$71:$B$138="Spinach")*(BB$71:BB$138="H")*$C$71:$C$138)*$B$12/$J$12*$C$12</f>
        <v/>
      </c>
      <c r="BC208" s="36">
        <f>SUMPRODUCT(($B$71:$B$138="Spinach")*(BC$71:BC$138="H")*$C$71:$C$138)*$B$12/$J$12*$C$12</f>
        <v/>
      </c>
      <c r="BD208" s="36">
        <f>SUMPRODUCT(($B$71:$B$138="Spinach")*(BD$71:BD$138="H")*$C$71:$C$138)*$B$12/$J$12*$C$12</f>
        <v/>
      </c>
    </row>
    <row r="209">
      <c r="A209" s="28" t="inlineStr">
        <is>
          <t>Stock carried in</t>
        </is>
      </c>
      <c r="B209" s="2" t="inlineStr">
        <is>
          <t>lb</t>
        </is>
      </c>
      <c r="E209" s="36" t="n">
        <v>0</v>
      </c>
      <c r="F209" s="36">
        <f>E224</f>
        <v/>
      </c>
      <c r="G209" s="36">
        <f>F224</f>
        <v/>
      </c>
      <c r="H209" s="36">
        <f>G224</f>
        <v/>
      </c>
      <c r="I209" s="36">
        <f>H224</f>
        <v/>
      </c>
      <c r="J209" s="36">
        <f>I224</f>
        <v/>
      </c>
      <c r="K209" s="36">
        <f>J224</f>
        <v/>
      </c>
      <c r="L209" s="36">
        <f>K224</f>
        <v/>
      </c>
      <c r="M209" s="36">
        <f>L224</f>
        <v/>
      </c>
      <c r="N209" s="36">
        <f>M224</f>
        <v/>
      </c>
      <c r="O209" s="36">
        <f>N224</f>
        <v/>
      </c>
      <c r="P209" s="36">
        <f>O224</f>
        <v/>
      </c>
      <c r="Q209" s="36">
        <f>P224</f>
        <v/>
      </c>
      <c r="R209" s="36">
        <f>Q224</f>
        <v/>
      </c>
      <c r="S209" s="36">
        <f>R224</f>
        <v/>
      </c>
      <c r="T209" s="36">
        <f>S224</f>
        <v/>
      </c>
      <c r="U209" s="36">
        <f>T224</f>
        <v/>
      </c>
      <c r="V209" s="36">
        <f>U224</f>
        <v/>
      </c>
      <c r="W209" s="36">
        <f>V224</f>
        <v/>
      </c>
      <c r="X209" s="36">
        <f>W224</f>
        <v/>
      </c>
      <c r="Y209" s="36">
        <f>X224</f>
        <v/>
      </c>
      <c r="Z209" s="36">
        <f>Y224</f>
        <v/>
      </c>
      <c r="AA209" s="36">
        <f>Z224</f>
        <v/>
      </c>
      <c r="AB209" s="36">
        <f>AA224</f>
        <v/>
      </c>
      <c r="AC209" s="36">
        <f>AB224</f>
        <v/>
      </c>
      <c r="AD209" s="36">
        <f>AC224</f>
        <v/>
      </c>
      <c r="AE209" s="36">
        <f>AD224</f>
        <v/>
      </c>
      <c r="AF209" s="36">
        <f>AE224</f>
        <v/>
      </c>
      <c r="AG209" s="36">
        <f>AF224</f>
        <v/>
      </c>
      <c r="AH209" s="36">
        <f>AG224</f>
        <v/>
      </c>
      <c r="AI209" s="36">
        <f>AH224</f>
        <v/>
      </c>
      <c r="AJ209" s="36">
        <f>AI224</f>
        <v/>
      </c>
      <c r="AK209" s="36">
        <f>AJ224</f>
        <v/>
      </c>
      <c r="AL209" s="36">
        <f>AK224</f>
        <v/>
      </c>
      <c r="AM209" s="36">
        <f>AL224</f>
        <v/>
      </c>
      <c r="AN209" s="36">
        <f>AM224</f>
        <v/>
      </c>
      <c r="AO209" s="36">
        <f>AN224</f>
        <v/>
      </c>
      <c r="AP209" s="36">
        <f>AO224</f>
        <v/>
      </c>
      <c r="AQ209" s="36">
        <f>AP224</f>
        <v/>
      </c>
      <c r="AR209" s="36">
        <f>AQ224</f>
        <v/>
      </c>
      <c r="AS209" s="36">
        <f>AR224</f>
        <v/>
      </c>
      <c r="AT209" s="36">
        <f>AS224</f>
        <v/>
      </c>
      <c r="AU209" s="36">
        <f>AT224</f>
        <v/>
      </c>
      <c r="AV209" s="36">
        <f>AU224</f>
        <v/>
      </c>
      <c r="AW209" s="36">
        <f>AV224</f>
        <v/>
      </c>
      <c r="AX209" s="36">
        <f>AW224</f>
        <v/>
      </c>
      <c r="AY209" s="36">
        <f>AX224</f>
        <v/>
      </c>
      <c r="AZ209" s="36">
        <f>AY224</f>
        <v/>
      </c>
      <c r="BA209" s="36">
        <f>AZ224</f>
        <v/>
      </c>
      <c r="BB209" s="36">
        <f>BA224</f>
        <v/>
      </c>
      <c r="BC209" s="36">
        <f>BB224</f>
        <v/>
      </c>
      <c r="BD209" s="36">
        <f>BC224</f>
        <v/>
      </c>
    </row>
    <row r="210">
      <c r="A210" s="28" t="inlineStr">
        <is>
          <t xml:space="preserve">   lost to shrink</t>
        </is>
      </c>
      <c r="B210" s="2" t="inlineStr">
        <is>
          <t>lb</t>
        </is>
      </c>
      <c r="E210" s="36">
        <f>E209*$G$12</f>
        <v/>
      </c>
      <c r="F210" s="36">
        <f>F209*$G$12</f>
        <v/>
      </c>
      <c r="G210" s="36">
        <f>G209*$G$12</f>
        <v/>
      </c>
      <c r="H210" s="36">
        <f>H209*$G$12</f>
        <v/>
      </c>
      <c r="I210" s="36">
        <f>I209*$G$12</f>
        <v/>
      </c>
      <c r="J210" s="36">
        <f>J209*$G$12</f>
        <v/>
      </c>
      <c r="K210" s="36">
        <f>K209*$G$12</f>
        <v/>
      </c>
      <c r="L210" s="36">
        <f>L209*$G$12</f>
        <v/>
      </c>
      <c r="M210" s="36">
        <f>M209*$G$12</f>
        <v/>
      </c>
      <c r="N210" s="36">
        <f>N209*$G$12</f>
        <v/>
      </c>
      <c r="O210" s="36">
        <f>O209*$G$12</f>
        <v/>
      </c>
      <c r="P210" s="36">
        <f>P209*$G$12</f>
        <v/>
      </c>
      <c r="Q210" s="36">
        <f>Q209*$G$12</f>
        <v/>
      </c>
      <c r="R210" s="36">
        <f>R209*$G$12</f>
        <v/>
      </c>
      <c r="S210" s="36">
        <f>S209*$G$12</f>
        <v/>
      </c>
      <c r="T210" s="36">
        <f>T209*$G$12</f>
        <v/>
      </c>
      <c r="U210" s="36">
        <f>U209*$G$12</f>
        <v/>
      </c>
      <c r="V210" s="36">
        <f>V209*$G$12</f>
        <v/>
      </c>
      <c r="W210" s="36">
        <f>W209*$G$12</f>
        <v/>
      </c>
      <c r="X210" s="36">
        <f>X209*$G$12</f>
        <v/>
      </c>
      <c r="Y210" s="36">
        <f>Y209*$G$12</f>
        <v/>
      </c>
      <c r="Z210" s="36">
        <f>Z209*$G$12</f>
        <v/>
      </c>
      <c r="AA210" s="36">
        <f>AA209*$G$12</f>
        <v/>
      </c>
      <c r="AB210" s="36">
        <f>AB209*$G$12</f>
        <v/>
      </c>
      <c r="AC210" s="36">
        <f>AC209*$G$12</f>
        <v/>
      </c>
      <c r="AD210" s="36">
        <f>AD209*$G$12</f>
        <v/>
      </c>
      <c r="AE210" s="36">
        <f>AE209*$G$12</f>
        <v/>
      </c>
      <c r="AF210" s="36">
        <f>AF209*$G$12</f>
        <v/>
      </c>
      <c r="AG210" s="36">
        <f>AG209*$G$12</f>
        <v/>
      </c>
      <c r="AH210" s="36">
        <f>AH209*$G$12</f>
        <v/>
      </c>
      <c r="AI210" s="36">
        <f>AI209*$G$12</f>
        <v/>
      </c>
      <c r="AJ210" s="36">
        <f>AJ209*$G$12</f>
        <v/>
      </c>
      <c r="AK210" s="36">
        <f>AK209*$G$12</f>
        <v/>
      </c>
      <c r="AL210" s="36">
        <f>AL209*$G$12</f>
        <v/>
      </c>
      <c r="AM210" s="36">
        <f>AM209*$G$12</f>
        <v/>
      </c>
      <c r="AN210" s="36">
        <f>AN209*$G$12</f>
        <v/>
      </c>
      <c r="AO210" s="36">
        <f>AO209*$G$12</f>
        <v/>
      </c>
      <c r="AP210" s="36">
        <f>AP209*$G$12</f>
        <v/>
      </c>
      <c r="AQ210" s="36">
        <f>AQ209*$G$12</f>
        <v/>
      </c>
      <c r="AR210" s="36">
        <f>AR209*$G$12</f>
        <v/>
      </c>
      <c r="AS210" s="36">
        <f>AS209*$G$12</f>
        <v/>
      </c>
      <c r="AT210" s="36">
        <f>AT209*$G$12</f>
        <v/>
      </c>
      <c r="AU210" s="36">
        <f>AU209*$G$12</f>
        <v/>
      </c>
      <c r="AV210" s="36">
        <f>AV209*$G$12</f>
        <v/>
      </c>
      <c r="AW210" s="36">
        <f>AW209*$G$12</f>
        <v/>
      </c>
      <c r="AX210" s="36">
        <f>AX209*$G$12</f>
        <v/>
      </c>
      <c r="AY210" s="36">
        <f>AY209*$G$12</f>
        <v/>
      </c>
      <c r="AZ210" s="36">
        <f>AZ209*$G$12</f>
        <v/>
      </c>
      <c r="BA210" s="36">
        <f>BA209*$G$12</f>
        <v/>
      </c>
      <c r="BB210" s="36">
        <f>BB209*$G$12</f>
        <v/>
      </c>
      <c r="BC210" s="36">
        <f>BC209*$G$12</f>
        <v/>
      </c>
      <c r="BD210" s="36">
        <f>BD209*$G$12</f>
        <v/>
      </c>
    </row>
    <row r="211">
      <c r="A211" s="4" t="inlineStr">
        <is>
          <t>In store this week</t>
        </is>
      </c>
      <c r="B211" s="2" t="inlineStr">
        <is>
          <t>lb</t>
        </is>
      </c>
      <c r="E211" s="36">
        <f>E209-E210+E208</f>
        <v/>
      </c>
      <c r="F211" s="36">
        <f>F209-F210+F208</f>
        <v/>
      </c>
      <c r="G211" s="36">
        <f>G209-G210+G208</f>
        <v/>
      </c>
      <c r="H211" s="36">
        <f>H209-H210+H208</f>
        <v/>
      </c>
      <c r="I211" s="36">
        <f>I209-I210+I208</f>
        <v/>
      </c>
      <c r="J211" s="36">
        <f>J209-J210+J208</f>
        <v/>
      </c>
      <c r="K211" s="36">
        <f>K209-K210+K208</f>
        <v/>
      </c>
      <c r="L211" s="36">
        <f>L209-L210+L208</f>
        <v/>
      </c>
      <c r="M211" s="36">
        <f>M209-M210+M208</f>
        <v/>
      </c>
      <c r="N211" s="36">
        <f>N209-N210+N208</f>
        <v/>
      </c>
      <c r="O211" s="36">
        <f>O209-O210+O208</f>
        <v/>
      </c>
      <c r="P211" s="36">
        <f>P209-P210+P208</f>
        <v/>
      </c>
      <c r="Q211" s="36">
        <f>Q209-Q210+Q208</f>
        <v/>
      </c>
      <c r="R211" s="36">
        <f>R209-R210+R208</f>
        <v/>
      </c>
      <c r="S211" s="36">
        <f>S209-S210+S208</f>
        <v/>
      </c>
      <c r="T211" s="36">
        <f>T209-T210+T208</f>
        <v/>
      </c>
      <c r="U211" s="36">
        <f>U209-U210+U208</f>
        <v/>
      </c>
      <c r="V211" s="36">
        <f>V209-V210+V208</f>
        <v/>
      </c>
      <c r="W211" s="36">
        <f>W209-W210+W208</f>
        <v/>
      </c>
      <c r="X211" s="36">
        <f>X209-X210+X208</f>
        <v/>
      </c>
      <c r="Y211" s="36">
        <f>Y209-Y210+Y208</f>
        <v/>
      </c>
      <c r="Z211" s="36">
        <f>Z209-Z210+Z208</f>
        <v/>
      </c>
      <c r="AA211" s="36">
        <f>AA209-AA210+AA208</f>
        <v/>
      </c>
      <c r="AB211" s="36">
        <f>AB209-AB210+AB208</f>
        <v/>
      </c>
      <c r="AC211" s="36">
        <f>AC209-AC210+AC208</f>
        <v/>
      </c>
      <c r="AD211" s="36">
        <f>AD209-AD210+AD208</f>
        <v/>
      </c>
      <c r="AE211" s="36">
        <f>AE209-AE210+AE208</f>
        <v/>
      </c>
      <c r="AF211" s="36">
        <f>AF209-AF210+AF208</f>
        <v/>
      </c>
      <c r="AG211" s="36">
        <f>AG209-AG210+AG208</f>
        <v/>
      </c>
      <c r="AH211" s="36">
        <f>AH209-AH210+AH208</f>
        <v/>
      </c>
      <c r="AI211" s="36">
        <f>AI209-AI210+AI208</f>
        <v/>
      </c>
      <c r="AJ211" s="36">
        <f>AJ209-AJ210+AJ208</f>
        <v/>
      </c>
      <c r="AK211" s="36">
        <f>AK209-AK210+AK208</f>
        <v/>
      </c>
      <c r="AL211" s="36">
        <f>AL209-AL210+AL208</f>
        <v/>
      </c>
      <c r="AM211" s="36">
        <f>AM209-AM210+AM208</f>
        <v/>
      </c>
      <c r="AN211" s="36">
        <f>AN209-AN210+AN208</f>
        <v/>
      </c>
      <c r="AO211" s="36">
        <f>AO209-AO210+AO208</f>
        <v/>
      </c>
      <c r="AP211" s="36">
        <f>AP209-AP210+AP208</f>
        <v/>
      </c>
      <c r="AQ211" s="36">
        <f>AQ209-AQ210+AQ208</f>
        <v/>
      </c>
      <c r="AR211" s="36">
        <f>AR209-AR210+AR208</f>
        <v/>
      </c>
      <c r="AS211" s="36">
        <f>AS209-AS210+AS208</f>
        <v/>
      </c>
      <c r="AT211" s="36">
        <f>AT209-AT210+AT208</f>
        <v/>
      </c>
      <c r="AU211" s="36">
        <f>AU209-AU210+AU208</f>
        <v/>
      </c>
      <c r="AV211" s="36">
        <f>AV209-AV210+AV208</f>
        <v/>
      </c>
      <c r="AW211" s="36">
        <f>AW209-AW210+AW208</f>
        <v/>
      </c>
      <c r="AX211" s="36">
        <f>AX209-AX210+AX208</f>
        <v/>
      </c>
      <c r="AY211" s="36">
        <f>AY209-AY210+AY208</f>
        <v/>
      </c>
      <c r="AZ211" s="36">
        <f>AZ209-AZ210+AZ208</f>
        <v/>
      </c>
      <c r="BA211" s="36">
        <f>BA209-BA210+BA208</f>
        <v/>
      </c>
      <c r="BB211" s="36">
        <f>BB209-BB210+BB208</f>
        <v/>
      </c>
      <c r="BC211" s="36">
        <f>BC209-BC210+BC208</f>
        <v/>
      </c>
      <c r="BD211" s="36">
        <f>BD209-BD210+BD208</f>
        <v/>
      </c>
    </row>
    <row r="212">
      <c r="A212" s="39" t="inlineStr">
        <is>
          <t>Farmers Market — most you may sell this week</t>
        </is>
      </c>
      <c r="B212" s="2" t="inlineStr">
        <is>
          <t>lb</t>
        </is>
      </c>
      <c r="E212" s="49">
        <f>IF($C$19="Annual",$D$19-0,IF(AND(1&gt;=$E$19,1&lt;=$F$19),$D$19,0))</f>
        <v/>
      </c>
      <c r="F212" s="49">
        <f>IF($C$19="Annual",$D$19-SUM(E214:E214),IF(AND(2&gt;=$E$19,2&lt;=$F$19),$D$19,0))</f>
        <v/>
      </c>
      <c r="G212" s="49">
        <f>IF($C$19="Annual",$D$19-SUM(E214:F214),IF(AND(3&gt;=$E$19,3&lt;=$F$19),$D$19,0))</f>
        <v/>
      </c>
      <c r="H212" s="49">
        <f>IF($C$19="Annual",$D$19-SUM(E214:G214),IF(AND(4&gt;=$E$19,4&lt;=$F$19),$D$19,0))</f>
        <v/>
      </c>
      <c r="I212" s="49">
        <f>IF($C$19="Annual",$D$19-SUM(E214:H214),IF(AND(5&gt;=$E$19,5&lt;=$F$19),$D$19,0))</f>
        <v/>
      </c>
      <c r="J212" s="49">
        <f>IF($C$19="Annual",$D$19-SUM(E214:I214),IF(AND(6&gt;=$E$19,6&lt;=$F$19),$D$19,0))</f>
        <v/>
      </c>
      <c r="K212" s="49">
        <f>IF($C$19="Annual",$D$19-SUM(E214:J214),IF(AND(7&gt;=$E$19,7&lt;=$F$19),$D$19,0))</f>
        <v/>
      </c>
      <c r="L212" s="49">
        <f>IF($C$19="Annual",$D$19-SUM(E214:K214),IF(AND(8&gt;=$E$19,8&lt;=$F$19),$D$19,0))</f>
        <v/>
      </c>
      <c r="M212" s="49">
        <f>IF($C$19="Annual",$D$19-SUM(E214:L214),IF(AND(9&gt;=$E$19,9&lt;=$F$19),$D$19,0))</f>
        <v/>
      </c>
      <c r="N212" s="49">
        <f>IF($C$19="Annual",$D$19-SUM(E214:M214),IF(AND(10&gt;=$E$19,10&lt;=$F$19),$D$19,0))</f>
        <v/>
      </c>
      <c r="O212" s="49">
        <f>IF($C$19="Annual",$D$19-SUM(E214:N214),IF(AND(11&gt;=$E$19,11&lt;=$F$19),$D$19,0))</f>
        <v/>
      </c>
      <c r="P212" s="49">
        <f>IF($C$19="Annual",$D$19-SUM(E214:O214),IF(AND(12&gt;=$E$19,12&lt;=$F$19),$D$19,0))</f>
        <v/>
      </c>
      <c r="Q212" s="49">
        <f>IF($C$19="Annual",$D$19-SUM(E214:P214),IF(AND(13&gt;=$E$19,13&lt;=$F$19),$D$19,0))</f>
        <v/>
      </c>
      <c r="R212" s="49">
        <f>IF($C$19="Annual",$D$19-SUM(E214:Q214),IF(AND(14&gt;=$E$19,14&lt;=$F$19),$D$19,0))</f>
        <v/>
      </c>
      <c r="S212" s="49">
        <f>IF($C$19="Annual",$D$19-SUM(E214:R214),IF(AND(15&gt;=$E$19,15&lt;=$F$19),$D$19,0))</f>
        <v/>
      </c>
      <c r="T212" s="49">
        <f>IF($C$19="Annual",$D$19-SUM(E214:S214),IF(AND(16&gt;=$E$19,16&lt;=$F$19),$D$19,0))</f>
        <v/>
      </c>
      <c r="U212" s="49">
        <f>IF($C$19="Annual",$D$19-SUM(E214:T214),IF(AND(17&gt;=$E$19,17&lt;=$F$19),$D$19,0))</f>
        <v/>
      </c>
      <c r="V212" s="49">
        <f>IF($C$19="Annual",$D$19-SUM(E214:U214),IF(AND(18&gt;=$E$19,18&lt;=$F$19),$D$19,0))</f>
        <v/>
      </c>
      <c r="W212" s="49">
        <f>IF($C$19="Annual",$D$19-SUM(E214:V214),IF(AND(19&gt;=$E$19,19&lt;=$F$19),$D$19,0))</f>
        <v/>
      </c>
      <c r="X212" s="49">
        <f>IF($C$19="Annual",$D$19-SUM(E214:W214),IF(AND(20&gt;=$E$19,20&lt;=$F$19),$D$19,0))</f>
        <v/>
      </c>
      <c r="Y212" s="49">
        <f>IF($C$19="Annual",$D$19-SUM(E214:X214),IF(AND(21&gt;=$E$19,21&lt;=$F$19),$D$19,0))</f>
        <v/>
      </c>
      <c r="Z212" s="49">
        <f>IF($C$19="Annual",$D$19-SUM(E214:Y214),IF(AND(22&gt;=$E$19,22&lt;=$F$19),$D$19,0))</f>
        <v/>
      </c>
      <c r="AA212" s="49">
        <f>IF($C$19="Annual",$D$19-SUM(E214:Z214),IF(AND(23&gt;=$E$19,23&lt;=$F$19),$D$19,0))</f>
        <v/>
      </c>
      <c r="AB212" s="49">
        <f>IF($C$19="Annual",$D$19-SUM(E214:AA214),IF(AND(24&gt;=$E$19,24&lt;=$F$19),$D$19,0))</f>
        <v/>
      </c>
      <c r="AC212" s="49">
        <f>IF($C$19="Annual",$D$19-SUM(E214:AB214),IF(AND(25&gt;=$E$19,25&lt;=$F$19),$D$19,0))</f>
        <v/>
      </c>
      <c r="AD212" s="49">
        <f>IF($C$19="Annual",$D$19-SUM(E214:AC214),IF(AND(26&gt;=$E$19,26&lt;=$F$19),$D$19,0))</f>
        <v/>
      </c>
      <c r="AE212" s="49">
        <f>IF($C$19="Annual",$D$19-SUM(E214:AD214),IF(AND(27&gt;=$E$19,27&lt;=$F$19),$D$19,0))</f>
        <v/>
      </c>
      <c r="AF212" s="49">
        <f>IF($C$19="Annual",$D$19-SUM(E214:AE214),IF(AND(28&gt;=$E$19,28&lt;=$F$19),$D$19,0))</f>
        <v/>
      </c>
      <c r="AG212" s="49">
        <f>IF($C$19="Annual",$D$19-SUM(E214:AF214),IF(AND(29&gt;=$E$19,29&lt;=$F$19),$D$19,0))</f>
        <v/>
      </c>
      <c r="AH212" s="49">
        <f>IF($C$19="Annual",$D$19-SUM(E214:AG214),IF(AND(30&gt;=$E$19,30&lt;=$F$19),$D$19,0))</f>
        <v/>
      </c>
      <c r="AI212" s="49">
        <f>IF($C$19="Annual",$D$19-SUM(E214:AH214),IF(AND(31&gt;=$E$19,31&lt;=$F$19),$D$19,0))</f>
        <v/>
      </c>
      <c r="AJ212" s="49">
        <f>IF($C$19="Annual",$D$19-SUM(E214:AI214),IF(AND(32&gt;=$E$19,32&lt;=$F$19),$D$19,0))</f>
        <v/>
      </c>
      <c r="AK212" s="49">
        <f>IF($C$19="Annual",$D$19-SUM(E214:AJ214),IF(AND(33&gt;=$E$19,33&lt;=$F$19),$D$19,0))</f>
        <v/>
      </c>
      <c r="AL212" s="49">
        <f>IF($C$19="Annual",$D$19-SUM(E214:AK214),IF(AND(34&gt;=$E$19,34&lt;=$F$19),$D$19,0))</f>
        <v/>
      </c>
      <c r="AM212" s="49">
        <f>IF($C$19="Annual",$D$19-SUM(E214:AL214),IF(AND(35&gt;=$E$19,35&lt;=$F$19),$D$19,0))</f>
        <v/>
      </c>
      <c r="AN212" s="49">
        <f>IF($C$19="Annual",$D$19-SUM(E214:AM214),IF(AND(36&gt;=$E$19,36&lt;=$F$19),$D$19,0))</f>
        <v/>
      </c>
      <c r="AO212" s="49">
        <f>IF($C$19="Annual",$D$19-SUM(E214:AN214),IF(AND(37&gt;=$E$19,37&lt;=$F$19),$D$19,0))</f>
        <v/>
      </c>
      <c r="AP212" s="49">
        <f>IF($C$19="Annual",$D$19-SUM(E214:AO214),IF(AND(38&gt;=$E$19,38&lt;=$F$19),$D$19,0))</f>
        <v/>
      </c>
      <c r="AQ212" s="49">
        <f>IF($C$19="Annual",$D$19-SUM(E214:AP214),IF(AND(39&gt;=$E$19,39&lt;=$F$19),$D$19,0))</f>
        <v/>
      </c>
      <c r="AR212" s="49">
        <f>IF($C$19="Annual",$D$19-SUM(E214:AQ214),IF(AND(40&gt;=$E$19,40&lt;=$F$19),$D$19,0))</f>
        <v/>
      </c>
      <c r="AS212" s="49">
        <f>IF($C$19="Annual",$D$19-SUM(E214:AR214),IF(AND(41&gt;=$E$19,41&lt;=$F$19),$D$19,0))</f>
        <v/>
      </c>
      <c r="AT212" s="49">
        <f>IF($C$19="Annual",$D$19-SUM(E214:AS214),IF(AND(42&gt;=$E$19,42&lt;=$F$19),$D$19,0))</f>
        <v/>
      </c>
      <c r="AU212" s="49">
        <f>IF($C$19="Annual",$D$19-SUM(E214:AT214),IF(AND(43&gt;=$E$19,43&lt;=$F$19),$D$19,0))</f>
        <v/>
      </c>
      <c r="AV212" s="49">
        <f>IF($C$19="Annual",$D$19-SUM(E214:AU214),IF(AND(44&gt;=$E$19,44&lt;=$F$19),$D$19,0))</f>
        <v/>
      </c>
      <c r="AW212" s="49">
        <f>IF($C$19="Annual",$D$19-SUM(E214:AV214),IF(AND(45&gt;=$E$19,45&lt;=$F$19),$D$19,0))</f>
        <v/>
      </c>
      <c r="AX212" s="49">
        <f>IF($C$19="Annual",$D$19-SUM(E214:AW214),IF(AND(46&gt;=$E$19,46&lt;=$F$19),$D$19,0))</f>
        <v/>
      </c>
      <c r="AY212" s="49">
        <f>IF($C$19="Annual",$D$19-SUM(E214:AX214),IF(AND(47&gt;=$E$19,47&lt;=$F$19),$D$19,0))</f>
        <v/>
      </c>
      <c r="AZ212" s="49">
        <f>IF($C$19="Annual",$D$19-SUM(E214:AY214),IF(AND(48&gt;=$E$19,48&lt;=$F$19),$D$19,0))</f>
        <v/>
      </c>
      <c r="BA212" s="49">
        <f>IF($C$19="Annual",$D$19-SUM(E214:AZ214),IF(AND(49&gt;=$E$19,49&lt;=$F$19),$D$19,0))</f>
        <v/>
      </c>
      <c r="BB212" s="49">
        <f>IF($C$19="Annual",$D$19-SUM(E214:BA214),IF(AND(50&gt;=$E$19,50&lt;=$F$19),$D$19,0))</f>
        <v/>
      </c>
      <c r="BC212" s="49">
        <f>IF($C$19="Annual",$D$19-SUM(E214:BB214),IF(AND(51&gt;=$E$19,51&lt;=$F$19),$D$19,0))</f>
        <v/>
      </c>
      <c r="BD212" s="49">
        <f>IF($C$19="Annual",$D$19-SUM(E214:BC214),IF(AND(52&gt;=$E$19,52&lt;=$F$19),$D$19,0))</f>
        <v/>
      </c>
    </row>
    <row r="213">
      <c r="A213" s="27" t="inlineStr">
        <is>
          <t>Farmers Market — OFFERED</t>
        </is>
      </c>
      <c r="B213" s="2" t="inlineStr">
        <is>
          <t>lb  &lt;-- SOLVER</t>
        </is>
      </c>
      <c r="E213" s="35" t="n">
        <v>0</v>
      </c>
      <c r="F213" s="35" t="n">
        <v>0</v>
      </c>
      <c r="G213" s="35" t="n">
        <v>0</v>
      </c>
      <c r="H213" s="35" t="n">
        <v>0</v>
      </c>
      <c r="I213" s="35" t="n">
        <v>0</v>
      </c>
      <c r="J213" s="35" t="n">
        <v>0</v>
      </c>
      <c r="K213" s="35" t="n">
        <v>0</v>
      </c>
      <c r="L213" s="35" t="n">
        <v>0</v>
      </c>
      <c r="M213" s="35" t="n">
        <v>0</v>
      </c>
      <c r="N213" s="35" t="n">
        <v>0</v>
      </c>
      <c r="O213" s="35" t="n">
        <v>0</v>
      </c>
      <c r="P213" s="35" t="n">
        <v>0</v>
      </c>
      <c r="Q213" s="35" t="n">
        <v>0</v>
      </c>
      <c r="R213" s="35" t="n">
        <v>0</v>
      </c>
      <c r="S213" s="35" t="n">
        <v>0</v>
      </c>
      <c r="T213" s="35" t="n">
        <v>0</v>
      </c>
      <c r="U213" s="35" t="n">
        <v>0</v>
      </c>
      <c r="V213" s="35" t="n">
        <v>0</v>
      </c>
      <c r="W213" s="35" t="n">
        <v>0</v>
      </c>
      <c r="X213" s="35" t="n">
        <v>0</v>
      </c>
      <c r="Y213" s="35" t="n">
        <v>0</v>
      </c>
      <c r="Z213" s="35" t="n">
        <v>0</v>
      </c>
      <c r="AA213" s="35" t="n">
        <v>0</v>
      </c>
      <c r="AB213" s="35" t="n">
        <v>0</v>
      </c>
      <c r="AC213" s="35" t="n">
        <v>0</v>
      </c>
      <c r="AD213" s="35" t="n">
        <v>0</v>
      </c>
      <c r="AE213" s="35" t="n">
        <v>0</v>
      </c>
      <c r="AF213" s="35" t="n">
        <v>0</v>
      </c>
      <c r="AG213" s="35" t="n">
        <v>0</v>
      </c>
      <c r="AH213" s="35" t="n">
        <v>0</v>
      </c>
      <c r="AI213" s="35" t="n">
        <v>0</v>
      </c>
      <c r="AJ213" s="35" t="n">
        <v>0</v>
      </c>
      <c r="AK213" s="35" t="n">
        <v>0</v>
      </c>
      <c r="AL213" s="35" t="n">
        <v>0</v>
      </c>
      <c r="AM213" s="35" t="n">
        <v>0</v>
      </c>
      <c r="AN213" s="35" t="n">
        <v>0</v>
      </c>
      <c r="AO213" s="35" t="n">
        <v>0</v>
      </c>
      <c r="AP213" s="35" t="n">
        <v>0</v>
      </c>
      <c r="AQ213" s="35" t="n">
        <v>0</v>
      </c>
      <c r="AR213" s="35" t="n">
        <v>0</v>
      </c>
      <c r="AS213" s="35" t="n">
        <v>0</v>
      </c>
      <c r="AT213" s="35" t="n">
        <v>0</v>
      </c>
      <c r="AU213" s="35" t="n">
        <v>0</v>
      </c>
      <c r="AV213" s="35" t="n">
        <v>0</v>
      </c>
      <c r="AW213" s="35" t="n">
        <v>0</v>
      </c>
      <c r="AX213" s="35" t="n">
        <v>0</v>
      </c>
      <c r="AY213" s="35" t="n">
        <v>0</v>
      </c>
      <c r="AZ213" s="35" t="n">
        <v>0</v>
      </c>
      <c r="BA213" s="35" t="n">
        <v>0</v>
      </c>
      <c r="BB213" s="35" t="n">
        <v>0</v>
      </c>
      <c r="BC213" s="35" t="n">
        <v>0</v>
      </c>
      <c r="BD213" s="35" t="n">
        <v>0</v>
      </c>
    </row>
    <row r="214">
      <c r="A214" s="50" t="inlineStr">
        <is>
          <t>Farmers Market — SOLD</t>
        </is>
      </c>
      <c r="B214" s="2" t="inlineStr">
        <is>
          <t>lb</t>
        </is>
      </c>
      <c r="E214" s="49">
        <f>E213*$G$19</f>
        <v/>
      </c>
      <c r="F214" s="49">
        <f>F213*$G$19</f>
        <v/>
      </c>
      <c r="G214" s="49">
        <f>G213*$G$19</f>
        <v/>
      </c>
      <c r="H214" s="49">
        <f>H213*$G$19</f>
        <v/>
      </c>
      <c r="I214" s="49">
        <f>I213*$G$19</f>
        <v/>
      </c>
      <c r="J214" s="49">
        <f>J213*$G$19</f>
        <v/>
      </c>
      <c r="K214" s="49">
        <f>K213*$G$19</f>
        <v/>
      </c>
      <c r="L214" s="49">
        <f>L213*$G$19</f>
        <v/>
      </c>
      <c r="M214" s="49">
        <f>M213*$G$19</f>
        <v/>
      </c>
      <c r="N214" s="49">
        <f>N213*$G$19</f>
        <v/>
      </c>
      <c r="O214" s="49">
        <f>O213*$G$19</f>
        <v/>
      </c>
      <c r="P214" s="49">
        <f>P213*$G$19</f>
        <v/>
      </c>
      <c r="Q214" s="49">
        <f>Q213*$G$19</f>
        <v/>
      </c>
      <c r="R214" s="49">
        <f>R213*$G$19</f>
        <v/>
      </c>
      <c r="S214" s="49">
        <f>S213*$G$19</f>
        <v/>
      </c>
      <c r="T214" s="49">
        <f>T213*$G$19</f>
        <v/>
      </c>
      <c r="U214" s="49">
        <f>U213*$G$19</f>
        <v/>
      </c>
      <c r="V214" s="49">
        <f>V213*$G$19</f>
        <v/>
      </c>
      <c r="W214" s="49">
        <f>W213*$G$19</f>
        <v/>
      </c>
      <c r="X214" s="49">
        <f>X213*$G$19</f>
        <v/>
      </c>
      <c r="Y214" s="49">
        <f>Y213*$G$19</f>
        <v/>
      </c>
      <c r="Z214" s="49">
        <f>Z213*$G$19</f>
        <v/>
      </c>
      <c r="AA214" s="49">
        <f>AA213*$G$19</f>
        <v/>
      </c>
      <c r="AB214" s="49">
        <f>AB213*$G$19</f>
        <v/>
      </c>
      <c r="AC214" s="49">
        <f>AC213*$G$19</f>
        <v/>
      </c>
      <c r="AD214" s="49">
        <f>AD213*$G$19</f>
        <v/>
      </c>
      <c r="AE214" s="49">
        <f>AE213*$G$19</f>
        <v/>
      </c>
      <c r="AF214" s="49">
        <f>AF213*$G$19</f>
        <v/>
      </c>
      <c r="AG214" s="49">
        <f>AG213*$G$19</f>
        <v/>
      </c>
      <c r="AH214" s="49">
        <f>AH213*$G$19</f>
        <v/>
      </c>
      <c r="AI214" s="49">
        <f>AI213*$G$19</f>
        <v/>
      </c>
      <c r="AJ214" s="49">
        <f>AJ213*$G$19</f>
        <v/>
      </c>
      <c r="AK214" s="49">
        <f>AK213*$G$19</f>
        <v/>
      </c>
      <c r="AL214" s="49">
        <f>AL213*$G$19</f>
        <v/>
      </c>
      <c r="AM214" s="49">
        <f>AM213*$G$19</f>
        <v/>
      </c>
      <c r="AN214" s="49">
        <f>AN213*$G$19</f>
        <v/>
      </c>
      <c r="AO214" s="49">
        <f>AO213*$G$19</f>
        <v/>
      </c>
      <c r="AP214" s="49">
        <f>AP213*$G$19</f>
        <v/>
      </c>
      <c r="AQ214" s="49">
        <f>AQ213*$G$19</f>
        <v/>
      </c>
      <c r="AR214" s="49">
        <f>AR213*$G$19</f>
        <v/>
      </c>
      <c r="AS214" s="49">
        <f>AS213*$G$19</f>
        <v/>
      </c>
      <c r="AT214" s="49">
        <f>AT213*$G$19</f>
        <v/>
      </c>
      <c r="AU214" s="49">
        <f>AU213*$G$19</f>
        <v/>
      </c>
      <c r="AV214" s="49">
        <f>AV213*$G$19</f>
        <v/>
      </c>
      <c r="AW214" s="49">
        <f>AW213*$G$19</f>
        <v/>
      </c>
      <c r="AX214" s="49">
        <f>AX213*$G$19</f>
        <v/>
      </c>
      <c r="AY214" s="49">
        <f>AY213*$G$19</f>
        <v/>
      </c>
      <c r="AZ214" s="49">
        <f>AZ213*$G$19</f>
        <v/>
      </c>
      <c r="BA214" s="49">
        <f>BA213*$G$19</f>
        <v/>
      </c>
      <c r="BB214" s="49">
        <f>BB213*$G$19</f>
        <v/>
      </c>
      <c r="BC214" s="49">
        <f>BC213*$G$19</f>
        <v/>
      </c>
      <c r="BD214" s="49">
        <f>BD213*$G$19</f>
        <v/>
      </c>
    </row>
    <row r="215">
      <c r="A215" s="28" t="inlineStr">
        <is>
          <t xml:space="preserve">   market loss (gone)</t>
        </is>
      </c>
      <c r="B215" s="2" t="inlineStr">
        <is>
          <t>lb</t>
        </is>
      </c>
      <c r="E215" s="36">
        <f>(E213-E214)*(1-$H$19)</f>
        <v/>
      </c>
      <c r="F215" s="36">
        <f>(F213-F214)*(1-$H$19)</f>
        <v/>
      </c>
      <c r="G215" s="36">
        <f>(G213-G214)*(1-$H$19)</f>
        <v/>
      </c>
      <c r="H215" s="36">
        <f>(H213-H214)*(1-$H$19)</f>
        <v/>
      </c>
      <c r="I215" s="36">
        <f>(I213-I214)*(1-$H$19)</f>
        <v/>
      </c>
      <c r="J215" s="36">
        <f>(J213-J214)*(1-$H$19)</f>
        <v/>
      </c>
      <c r="K215" s="36">
        <f>(K213-K214)*(1-$H$19)</f>
        <v/>
      </c>
      <c r="L215" s="36">
        <f>(L213-L214)*(1-$H$19)</f>
        <v/>
      </c>
      <c r="M215" s="36">
        <f>(M213-M214)*(1-$H$19)</f>
        <v/>
      </c>
      <c r="N215" s="36">
        <f>(N213-N214)*(1-$H$19)</f>
        <v/>
      </c>
      <c r="O215" s="36">
        <f>(O213-O214)*(1-$H$19)</f>
        <v/>
      </c>
      <c r="P215" s="36">
        <f>(P213-P214)*(1-$H$19)</f>
        <v/>
      </c>
      <c r="Q215" s="36">
        <f>(Q213-Q214)*(1-$H$19)</f>
        <v/>
      </c>
      <c r="R215" s="36">
        <f>(R213-R214)*(1-$H$19)</f>
        <v/>
      </c>
      <c r="S215" s="36">
        <f>(S213-S214)*(1-$H$19)</f>
        <v/>
      </c>
      <c r="T215" s="36">
        <f>(T213-T214)*(1-$H$19)</f>
        <v/>
      </c>
      <c r="U215" s="36">
        <f>(U213-U214)*(1-$H$19)</f>
        <v/>
      </c>
      <c r="V215" s="36">
        <f>(V213-V214)*(1-$H$19)</f>
        <v/>
      </c>
      <c r="W215" s="36">
        <f>(W213-W214)*(1-$H$19)</f>
        <v/>
      </c>
      <c r="X215" s="36">
        <f>(X213-X214)*(1-$H$19)</f>
        <v/>
      </c>
      <c r="Y215" s="36">
        <f>(Y213-Y214)*(1-$H$19)</f>
        <v/>
      </c>
      <c r="Z215" s="36">
        <f>(Z213-Z214)*(1-$H$19)</f>
        <v/>
      </c>
      <c r="AA215" s="36">
        <f>(AA213-AA214)*(1-$H$19)</f>
        <v/>
      </c>
      <c r="AB215" s="36">
        <f>(AB213-AB214)*(1-$H$19)</f>
        <v/>
      </c>
      <c r="AC215" s="36">
        <f>(AC213-AC214)*(1-$H$19)</f>
        <v/>
      </c>
      <c r="AD215" s="36">
        <f>(AD213-AD214)*(1-$H$19)</f>
        <v/>
      </c>
      <c r="AE215" s="36">
        <f>(AE213-AE214)*(1-$H$19)</f>
        <v/>
      </c>
      <c r="AF215" s="36">
        <f>(AF213-AF214)*(1-$H$19)</f>
        <v/>
      </c>
      <c r="AG215" s="36">
        <f>(AG213-AG214)*(1-$H$19)</f>
        <v/>
      </c>
      <c r="AH215" s="36">
        <f>(AH213-AH214)*(1-$H$19)</f>
        <v/>
      </c>
      <c r="AI215" s="36">
        <f>(AI213-AI214)*(1-$H$19)</f>
        <v/>
      </c>
      <c r="AJ215" s="36">
        <f>(AJ213-AJ214)*(1-$H$19)</f>
        <v/>
      </c>
      <c r="AK215" s="36">
        <f>(AK213-AK214)*(1-$H$19)</f>
        <v/>
      </c>
      <c r="AL215" s="36">
        <f>(AL213-AL214)*(1-$H$19)</f>
        <v/>
      </c>
      <c r="AM215" s="36">
        <f>(AM213-AM214)*(1-$H$19)</f>
        <v/>
      </c>
      <c r="AN215" s="36">
        <f>(AN213-AN214)*(1-$H$19)</f>
        <v/>
      </c>
      <c r="AO215" s="36">
        <f>(AO213-AO214)*(1-$H$19)</f>
        <v/>
      </c>
      <c r="AP215" s="36">
        <f>(AP213-AP214)*(1-$H$19)</f>
        <v/>
      </c>
      <c r="AQ215" s="36">
        <f>(AQ213-AQ214)*(1-$H$19)</f>
        <v/>
      </c>
      <c r="AR215" s="36">
        <f>(AR213-AR214)*(1-$H$19)</f>
        <v/>
      </c>
      <c r="AS215" s="36">
        <f>(AS213-AS214)*(1-$H$19)</f>
        <v/>
      </c>
      <c r="AT215" s="36">
        <f>(AT213-AT214)*(1-$H$19)</f>
        <v/>
      </c>
      <c r="AU215" s="36">
        <f>(AU213-AU214)*(1-$H$19)</f>
        <v/>
      </c>
      <c r="AV215" s="36">
        <f>(AV213-AV214)*(1-$H$19)</f>
        <v/>
      </c>
      <c r="AW215" s="36">
        <f>(AW213-AW214)*(1-$H$19)</f>
        <v/>
      </c>
      <c r="AX215" s="36">
        <f>(AX213-AX214)*(1-$H$19)</f>
        <v/>
      </c>
      <c r="AY215" s="36">
        <f>(AY213-AY214)*(1-$H$19)</f>
        <v/>
      </c>
      <c r="AZ215" s="36">
        <f>(AZ213-AZ214)*(1-$H$19)</f>
        <v/>
      </c>
      <c r="BA215" s="36">
        <f>(BA213-BA214)*(1-$H$19)</f>
        <v/>
      </c>
      <c r="BB215" s="36">
        <f>(BB213-BB214)*(1-$H$19)</f>
        <v/>
      </c>
      <c r="BC215" s="36">
        <f>(BC213-BC214)*(1-$H$19)</f>
        <v/>
      </c>
      <c r="BD215" s="36">
        <f>(BD213-BD214)*(1-$H$19)</f>
        <v/>
      </c>
    </row>
    <row r="216">
      <c r="A216" s="28" t="inlineStr">
        <is>
          <t xml:space="preserve">   returned to store</t>
        </is>
      </c>
      <c r="B216" s="2" t="inlineStr">
        <is>
          <t>lb</t>
        </is>
      </c>
      <c r="E216" s="36">
        <f>(E213-E214)*$H$19</f>
        <v/>
      </c>
      <c r="F216" s="36">
        <f>(F213-F214)*$H$19</f>
        <v/>
      </c>
      <c r="G216" s="36">
        <f>(G213-G214)*$H$19</f>
        <v/>
      </c>
      <c r="H216" s="36">
        <f>(H213-H214)*$H$19</f>
        <v/>
      </c>
      <c r="I216" s="36">
        <f>(I213-I214)*$H$19</f>
        <v/>
      </c>
      <c r="J216" s="36">
        <f>(J213-J214)*$H$19</f>
        <v/>
      </c>
      <c r="K216" s="36">
        <f>(K213-K214)*$H$19</f>
        <v/>
      </c>
      <c r="L216" s="36">
        <f>(L213-L214)*$H$19</f>
        <v/>
      </c>
      <c r="M216" s="36">
        <f>(M213-M214)*$H$19</f>
        <v/>
      </c>
      <c r="N216" s="36">
        <f>(N213-N214)*$H$19</f>
        <v/>
      </c>
      <c r="O216" s="36">
        <f>(O213-O214)*$H$19</f>
        <v/>
      </c>
      <c r="P216" s="36">
        <f>(P213-P214)*$H$19</f>
        <v/>
      </c>
      <c r="Q216" s="36">
        <f>(Q213-Q214)*$H$19</f>
        <v/>
      </c>
      <c r="R216" s="36">
        <f>(R213-R214)*$H$19</f>
        <v/>
      </c>
      <c r="S216" s="36">
        <f>(S213-S214)*$H$19</f>
        <v/>
      </c>
      <c r="T216" s="36">
        <f>(T213-T214)*$H$19</f>
        <v/>
      </c>
      <c r="U216" s="36">
        <f>(U213-U214)*$H$19</f>
        <v/>
      </c>
      <c r="V216" s="36">
        <f>(V213-V214)*$H$19</f>
        <v/>
      </c>
      <c r="W216" s="36">
        <f>(W213-W214)*$H$19</f>
        <v/>
      </c>
      <c r="X216" s="36">
        <f>(X213-X214)*$H$19</f>
        <v/>
      </c>
      <c r="Y216" s="36">
        <f>(Y213-Y214)*$H$19</f>
        <v/>
      </c>
      <c r="Z216" s="36">
        <f>(Z213-Z214)*$H$19</f>
        <v/>
      </c>
      <c r="AA216" s="36">
        <f>(AA213-AA214)*$H$19</f>
        <v/>
      </c>
      <c r="AB216" s="36">
        <f>(AB213-AB214)*$H$19</f>
        <v/>
      </c>
      <c r="AC216" s="36">
        <f>(AC213-AC214)*$H$19</f>
        <v/>
      </c>
      <c r="AD216" s="36">
        <f>(AD213-AD214)*$H$19</f>
        <v/>
      </c>
      <c r="AE216" s="36">
        <f>(AE213-AE214)*$H$19</f>
        <v/>
      </c>
      <c r="AF216" s="36">
        <f>(AF213-AF214)*$H$19</f>
        <v/>
      </c>
      <c r="AG216" s="36">
        <f>(AG213-AG214)*$H$19</f>
        <v/>
      </c>
      <c r="AH216" s="36">
        <f>(AH213-AH214)*$H$19</f>
        <v/>
      </c>
      <c r="AI216" s="36">
        <f>(AI213-AI214)*$H$19</f>
        <v/>
      </c>
      <c r="AJ216" s="36">
        <f>(AJ213-AJ214)*$H$19</f>
        <v/>
      </c>
      <c r="AK216" s="36">
        <f>(AK213-AK214)*$H$19</f>
        <v/>
      </c>
      <c r="AL216" s="36">
        <f>(AL213-AL214)*$H$19</f>
        <v/>
      </c>
      <c r="AM216" s="36">
        <f>(AM213-AM214)*$H$19</f>
        <v/>
      </c>
      <c r="AN216" s="36">
        <f>(AN213-AN214)*$H$19</f>
        <v/>
      </c>
      <c r="AO216" s="36">
        <f>(AO213-AO214)*$H$19</f>
        <v/>
      </c>
      <c r="AP216" s="36">
        <f>(AP213-AP214)*$H$19</f>
        <v/>
      </c>
      <c r="AQ216" s="36">
        <f>(AQ213-AQ214)*$H$19</f>
        <v/>
      </c>
      <c r="AR216" s="36">
        <f>(AR213-AR214)*$H$19</f>
        <v/>
      </c>
      <c r="AS216" s="36">
        <f>(AS213-AS214)*$H$19</f>
        <v/>
      </c>
      <c r="AT216" s="36">
        <f>(AT213-AT214)*$H$19</f>
        <v/>
      </c>
      <c r="AU216" s="36">
        <f>(AU213-AU214)*$H$19</f>
        <v/>
      </c>
      <c r="AV216" s="36">
        <f>(AV213-AV214)*$H$19</f>
        <v/>
      </c>
      <c r="AW216" s="36">
        <f>(AW213-AW214)*$H$19</f>
        <v/>
      </c>
      <c r="AX216" s="36">
        <f>(AX213-AX214)*$H$19</f>
        <v/>
      </c>
      <c r="AY216" s="36">
        <f>(AY213-AY214)*$H$19</f>
        <v/>
      </c>
      <c r="AZ216" s="36">
        <f>(AZ213-AZ214)*$H$19</f>
        <v/>
      </c>
      <c r="BA216" s="36">
        <f>(BA213-BA214)*$H$19</f>
        <v/>
      </c>
      <c r="BB216" s="36">
        <f>(BB213-BB214)*$H$19</f>
        <v/>
      </c>
      <c r="BC216" s="36">
        <f>(BC213-BC214)*$H$19</f>
        <v/>
      </c>
      <c r="BD216" s="36">
        <f>(BD213-BD214)*$H$19</f>
        <v/>
      </c>
    </row>
    <row r="217">
      <c r="A217" s="28" t="inlineStr">
        <is>
          <t xml:space="preserve">   leaves the store (offered - returned)</t>
        </is>
      </c>
      <c r="B217" s="2" t="inlineStr">
        <is>
          <t>lb</t>
        </is>
      </c>
      <c r="E217" s="36">
        <f>E213-E216</f>
        <v/>
      </c>
      <c r="F217" s="36">
        <f>F213-F216</f>
        <v/>
      </c>
      <c r="G217" s="36">
        <f>G213-G216</f>
        <v/>
      </c>
      <c r="H217" s="36">
        <f>H213-H216</f>
        <v/>
      </c>
      <c r="I217" s="36">
        <f>I213-I216</f>
        <v/>
      </c>
      <c r="J217" s="36">
        <f>J213-J216</f>
        <v/>
      </c>
      <c r="K217" s="36">
        <f>K213-K216</f>
        <v/>
      </c>
      <c r="L217" s="36">
        <f>L213-L216</f>
        <v/>
      </c>
      <c r="M217" s="36">
        <f>M213-M216</f>
        <v/>
      </c>
      <c r="N217" s="36">
        <f>N213-N216</f>
        <v/>
      </c>
      <c r="O217" s="36">
        <f>O213-O216</f>
        <v/>
      </c>
      <c r="P217" s="36">
        <f>P213-P216</f>
        <v/>
      </c>
      <c r="Q217" s="36">
        <f>Q213-Q216</f>
        <v/>
      </c>
      <c r="R217" s="36">
        <f>R213-R216</f>
        <v/>
      </c>
      <c r="S217" s="36">
        <f>S213-S216</f>
        <v/>
      </c>
      <c r="T217" s="36">
        <f>T213-T216</f>
        <v/>
      </c>
      <c r="U217" s="36">
        <f>U213-U216</f>
        <v/>
      </c>
      <c r="V217" s="36">
        <f>V213-V216</f>
        <v/>
      </c>
      <c r="W217" s="36">
        <f>W213-W216</f>
        <v/>
      </c>
      <c r="X217" s="36">
        <f>X213-X216</f>
        <v/>
      </c>
      <c r="Y217" s="36">
        <f>Y213-Y216</f>
        <v/>
      </c>
      <c r="Z217" s="36">
        <f>Z213-Z216</f>
        <v/>
      </c>
      <c r="AA217" s="36">
        <f>AA213-AA216</f>
        <v/>
      </c>
      <c r="AB217" s="36">
        <f>AB213-AB216</f>
        <v/>
      </c>
      <c r="AC217" s="36">
        <f>AC213-AC216</f>
        <v/>
      </c>
      <c r="AD217" s="36">
        <f>AD213-AD216</f>
        <v/>
      </c>
      <c r="AE217" s="36">
        <f>AE213-AE216</f>
        <v/>
      </c>
      <c r="AF217" s="36">
        <f>AF213-AF216</f>
        <v/>
      </c>
      <c r="AG217" s="36">
        <f>AG213-AG216</f>
        <v/>
      </c>
      <c r="AH217" s="36">
        <f>AH213-AH216</f>
        <v/>
      </c>
      <c r="AI217" s="36">
        <f>AI213-AI216</f>
        <v/>
      </c>
      <c r="AJ217" s="36">
        <f>AJ213-AJ216</f>
        <v/>
      </c>
      <c r="AK217" s="36">
        <f>AK213-AK216</f>
        <v/>
      </c>
      <c r="AL217" s="36">
        <f>AL213-AL216</f>
        <v/>
      </c>
      <c r="AM217" s="36">
        <f>AM213-AM216</f>
        <v/>
      </c>
      <c r="AN217" s="36">
        <f>AN213-AN216</f>
        <v/>
      </c>
      <c r="AO217" s="36">
        <f>AO213-AO216</f>
        <v/>
      </c>
      <c r="AP217" s="36">
        <f>AP213-AP216</f>
        <v/>
      </c>
      <c r="AQ217" s="36">
        <f>AQ213-AQ216</f>
        <v/>
      </c>
      <c r="AR217" s="36">
        <f>AR213-AR216</f>
        <v/>
      </c>
      <c r="AS217" s="36">
        <f>AS213-AS216</f>
        <v/>
      </c>
      <c r="AT217" s="36">
        <f>AT213-AT216</f>
        <v/>
      </c>
      <c r="AU217" s="36">
        <f>AU213-AU216</f>
        <v/>
      </c>
      <c r="AV217" s="36">
        <f>AV213-AV216</f>
        <v/>
      </c>
      <c r="AW217" s="36">
        <f>AW213-AW216</f>
        <v/>
      </c>
      <c r="AX217" s="36">
        <f>AX213-AX216</f>
        <v/>
      </c>
      <c r="AY217" s="36">
        <f>AY213-AY216</f>
        <v/>
      </c>
      <c r="AZ217" s="36">
        <f>AZ213-AZ216</f>
        <v/>
      </c>
      <c r="BA217" s="36">
        <f>BA213-BA216</f>
        <v/>
      </c>
      <c r="BB217" s="36">
        <f>BB213-BB216</f>
        <v/>
      </c>
      <c r="BC217" s="36">
        <f>BC213-BC216</f>
        <v/>
      </c>
      <c r="BD217" s="36">
        <f>BD213-BD216</f>
        <v/>
      </c>
    </row>
    <row r="218">
      <c r="A218" s="39" t="inlineStr">
        <is>
          <t>Wholesale — most you may sell this week</t>
        </is>
      </c>
      <c r="B218" s="2" t="inlineStr">
        <is>
          <t>lb</t>
        </is>
      </c>
      <c r="E218" s="51">
        <f>IF($C$20="Annual",$D$20-0,IF(AND(1&gt;=$E$20,1&lt;=$F$20),$D$20,0))</f>
        <v/>
      </c>
      <c r="F218" s="51">
        <f>IF($C$20="Annual",$D$20-SUM(E220:E220),IF(AND(2&gt;=$E$20,2&lt;=$F$20),$D$20,0))</f>
        <v/>
      </c>
      <c r="G218" s="51">
        <f>IF($C$20="Annual",$D$20-SUM(E220:F220),IF(AND(3&gt;=$E$20,3&lt;=$F$20),$D$20,0))</f>
        <v/>
      </c>
      <c r="H218" s="51">
        <f>IF($C$20="Annual",$D$20-SUM(E220:G220),IF(AND(4&gt;=$E$20,4&lt;=$F$20),$D$20,0))</f>
        <v/>
      </c>
      <c r="I218" s="51">
        <f>IF($C$20="Annual",$D$20-SUM(E220:H220),IF(AND(5&gt;=$E$20,5&lt;=$F$20),$D$20,0))</f>
        <v/>
      </c>
      <c r="J218" s="51">
        <f>IF($C$20="Annual",$D$20-SUM(E220:I220),IF(AND(6&gt;=$E$20,6&lt;=$F$20),$D$20,0))</f>
        <v/>
      </c>
      <c r="K218" s="51">
        <f>IF($C$20="Annual",$D$20-SUM(E220:J220),IF(AND(7&gt;=$E$20,7&lt;=$F$20),$D$20,0))</f>
        <v/>
      </c>
      <c r="L218" s="51">
        <f>IF($C$20="Annual",$D$20-SUM(E220:K220),IF(AND(8&gt;=$E$20,8&lt;=$F$20),$D$20,0))</f>
        <v/>
      </c>
      <c r="M218" s="51">
        <f>IF($C$20="Annual",$D$20-SUM(E220:L220),IF(AND(9&gt;=$E$20,9&lt;=$F$20),$D$20,0))</f>
        <v/>
      </c>
      <c r="N218" s="51">
        <f>IF($C$20="Annual",$D$20-SUM(E220:M220),IF(AND(10&gt;=$E$20,10&lt;=$F$20),$D$20,0))</f>
        <v/>
      </c>
      <c r="O218" s="51">
        <f>IF($C$20="Annual",$D$20-SUM(E220:N220),IF(AND(11&gt;=$E$20,11&lt;=$F$20),$D$20,0))</f>
        <v/>
      </c>
      <c r="P218" s="51">
        <f>IF($C$20="Annual",$D$20-SUM(E220:O220),IF(AND(12&gt;=$E$20,12&lt;=$F$20),$D$20,0))</f>
        <v/>
      </c>
      <c r="Q218" s="51">
        <f>IF($C$20="Annual",$D$20-SUM(E220:P220),IF(AND(13&gt;=$E$20,13&lt;=$F$20),$D$20,0))</f>
        <v/>
      </c>
      <c r="R218" s="51">
        <f>IF($C$20="Annual",$D$20-SUM(E220:Q220),IF(AND(14&gt;=$E$20,14&lt;=$F$20),$D$20,0))</f>
        <v/>
      </c>
      <c r="S218" s="51">
        <f>IF($C$20="Annual",$D$20-SUM(E220:R220),IF(AND(15&gt;=$E$20,15&lt;=$F$20),$D$20,0))</f>
        <v/>
      </c>
      <c r="T218" s="51">
        <f>IF($C$20="Annual",$D$20-SUM(E220:S220),IF(AND(16&gt;=$E$20,16&lt;=$F$20),$D$20,0))</f>
        <v/>
      </c>
      <c r="U218" s="51">
        <f>IF($C$20="Annual",$D$20-SUM(E220:T220),IF(AND(17&gt;=$E$20,17&lt;=$F$20),$D$20,0))</f>
        <v/>
      </c>
      <c r="V218" s="51">
        <f>IF($C$20="Annual",$D$20-SUM(E220:U220),IF(AND(18&gt;=$E$20,18&lt;=$F$20),$D$20,0))</f>
        <v/>
      </c>
      <c r="W218" s="51">
        <f>IF($C$20="Annual",$D$20-SUM(E220:V220),IF(AND(19&gt;=$E$20,19&lt;=$F$20),$D$20,0))</f>
        <v/>
      </c>
      <c r="X218" s="51">
        <f>IF($C$20="Annual",$D$20-SUM(E220:W220),IF(AND(20&gt;=$E$20,20&lt;=$F$20),$D$20,0))</f>
        <v/>
      </c>
      <c r="Y218" s="51">
        <f>IF($C$20="Annual",$D$20-SUM(E220:X220),IF(AND(21&gt;=$E$20,21&lt;=$F$20),$D$20,0))</f>
        <v/>
      </c>
      <c r="Z218" s="51">
        <f>IF($C$20="Annual",$D$20-SUM(E220:Y220),IF(AND(22&gt;=$E$20,22&lt;=$F$20),$D$20,0))</f>
        <v/>
      </c>
      <c r="AA218" s="51">
        <f>IF($C$20="Annual",$D$20-SUM(E220:Z220),IF(AND(23&gt;=$E$20,23&lt;=$F$20),$D$20,0))</f>
        <v/>
      </c>
      <c r="AB218" s="51">
        <f>IF($C$20="Annual",$D$20-SUM(E220:AA220),IF(AND(24&gt;=$E$20,24&lt;=$F$20),$D$20,0))</f>
        <v/>
      </c>
      <c r="AC218" s="51">
        <f>IF($C$20="Annual",$D$20-SUM(E220:AB220),IF(AND(25&gt;=$E$20,25&lt;=$F$20),$D$20,0))</f>
        <v/>
      </c>
      <c r="AD218" s="51">
        <f>IF($C$20="Annual",$D$20-SUM(E220:AC220),IF(AND(26&gt;=$E$20,26&lt;=$F$20),$D$20,0))</f>
        <v/>
      </c>
      <c r="AE218" s="51">
        <f>IF($C$20="Annual",$D$20-SUM(E220:AD220),IF(AND(27&gt;=$E$20,27&lt;=$F$20),$D$20,0))</f>
        <v/>
      </c>
      <c r="AF218" s="51">
        <f>IF($C$20="Annual",$D$20-SUM(E220:AE220),IF(AND(28&gt;=$E$20,28&lt;=$F$20),$D$20,0))</f>
        <v/>
      </c>
      <c r="AG218" s="51">
        <f>IF($C$20="Annual",$D$20-SUM(E220:AF220),IF(AND(29&gt;=$E$20,29&lt;=$F$20),$D$20,0))</f>
        <v/>
      </c>
      <c r="AH218" s="51">
        <f>IF($C$20="Annual",$D$20-SUM(E220:AG220),IF(AND(30&gt;=$E$20,30&lt;=$F$20),$D$20,0))</f>
        <v/>
      </c>
      <c r="AI218" s="51">
        <f>IF($C$20="Annual",$D$20-SUM(E220:AH220),IF(AND(31&gt;=$E$20,31&lt;=$F$20),$D$20,0))</f>
        <v/>
      </c>
      <c r="AJ218" s="51">
        <f>IF($C$20="Annual",$D$20-SUM(E220:AI220),IF(AND(32&gt;=$E$20,32&lt;=$F$20),$D$20,0))</f>
        <v/>
      </c>
      <c r="AK218" s="51">
        <f>IF($C$20="Annual",$D$20-SUM(E220:AJ220),IF(AND(33&gt;=$E$20,33&lt;=$F$20),$D$20,0))</f>
        <v/>
      </c>
      <c r="AL218" s="51">
        <f>IF($C$20="Annual",$D$20-SUM(E220:AK220),IF(AND(34&gt;=$E$20,34&lt;=$F$20),$D$20,0))</f>
        <v/>
      </c>
      <c r="AM218" s="51">
        <f>IF($C$20="Annual",$D$20-SUM(E220:AL220),IF(AND(35&gt;=$E$20,35&lt;=$F$20),$D$20,0))</f>
        <v/>
      </c>
      <c r="AN218" s="51">
        <f>IF($C$20="Annual",$D$20-SUM(E220:AM220),IF(AND(36&gt;=$E$20,36&lt;=$F$20),$D$20,0))</f>
        <v/>
      </c>
      <c r="AO218" s="51">
        <f>IF($C$20="Annual",$D$20-SUM(E220:AN220),IF(AND(37&gt;=$E$20,37&lt;=$F$20),$D$20,0))</f>
        <v/>
      </c>
      <c r="AP218" s="51">
        <f>IF($C$20="Annual",$D$20-SUM(E220:AO220),IF(AND(38&gt;=$E$20,38&lt;=$F$20),$D$20,0))</f>
        <v/>
      </c>
      <c r="AQ218" s="51">
        <f>IF($C$20="Annual",$D$20-SUM(E220:AP220),IF(AND(39&gt;=$E$20,39&lt;=$F$20),$D$20,0))</f>
        <v/>
      </c>
      <c r="AR218" s="51">
        <f>IF($C$20="Annual",$D$20-SUM(E220:AQ220),IF(AND(40&gt;=$E$20,40&lt;=$F$20),$D$20,0))</f>
        <v/>
      </c>
      <c r="AS218" s="51">
        <f>IF($C$20="Annual",$D$20-SUM(E220:AR220),IF(AND(41&gt;=$E$20,41&lt;=$F$20),$D$20,0))</f>
        <v/>
      </c>
      <c r="AT218" s="51">
        <f>IF($C$20="Annual",$D$20-SUM(E220:AS220),IF(AND(42&gt;=$E$20,42&lt;=$F$20),$D$20,0))</f>
        <v/>
      </c>
      <c r="AU218" s="51">
        <f>IF($C$20="Annual",$D$20-SUM(E220:AT220),IF(AND(43&gt;=$E$20,43&lt;=$F$20),$D$20,0))</f>
        <v/>
      </c>
      <c r="AV218" s="51">
        <f>IF($C$20="Annual",$D$20-SUM(E220:AU220),IF(AND(44&gt;=$E$20,44&lt;=$F$20),$D$20,0))</f>
        <v/>
      </c>
      <c r="AW218" s="51">
        <f>IF($C$20="Annual",$D$20-SUM(E220:AV220),IF(AND(45&gt;=$E$20,45&lt;=$F$20),$D$20,0))</f>
        <v/>
      </c>
      <c r="AX218" s="51">
        <f>IF($C$20="Annual",$D$20-SUM(E220:AW220),IF(AND(46&gt;=$E$20,46&lt;=$F$20),$D$20,0))</f>
        <v/>
      </c>
      <c r="AY218" s="51">
        <f>IF($C$20="Annual",$D$20-SUM(E220:AX220),IF(AND(47&gt;=$E$20,47&lt;=$F$20),$D$20,0))</f>
        <v/>
      </c>
      <c r="AZ218" s="51">
        <f>IF($C$20="Annual",$D$20-SUM(E220:AY220),IF(AND(48&gt;=$E$20,48&lt;=$F$20),$D$20,0))</f>
        <v/>
      </c>
      <c r="BA218" s="51">
        <f>IF($C$20="Annual",$D$20-SUM(E220:AZ220),IF(AND(49&gt;=$E$20,49&lt;=$F$20),$D$20,0))</f>
        <v/>
      </c>
      <c r="BB218" s="51">
        <f>IF($C$20="Annual",$D$20-SUM(E220:BA220),IF(AND(50&gt;=$E$20,50&lt;=$F$20),$D$20,0))</f>
        <v/>
      </c>
      <c r="BC218" s="51">
        <f>IF($C$20="Annual",$D$20-SUM(E220:BB220),IF(AND(51&gt;=$E$20,51&lt;=$F$20),$D$20,0))</f>
        <v/>
      </c>
      <c r="BD218" s="51">
        <f>IF($C$20="Annual",$D$20-SUM(E220:BC220),IF(AND(52&gt;=$E$20,52&lt;=$F$20),$D$20,0))</f>
        <v/>
      </c>
    </row>
    <row r="219">
      <c r="A219" s="27" t="inlineStr">
        <is>
          <t>Wholesale — OFFERED</t>
        </is>
      </c>
      <c r="B219" s="2" t="inlineStr">
        <is>
          <t>lb  &lt;-- SOLVER</t>
        </is>
      </c>
      <c r="E219" s="35" t="n">
        <v>0</v>
      </c>
      <c r="F219" s="35" t="n">
        <v>0</v>
      </c>
      <c r="G219" s="35" t="n">
        <v>0</v>
      </c>
      <c r="H219" s="35" t="n">
        <v>0</v>
      </c>
      <c r="I219" s="35" t="n">
        <v>0</v>
      </c>
      <c r="J219" s="35" t="n">
        <v>0</v>
      </c>
      <c r="K219" s="35" t="n">
        <v>0</v>
      </c>
      <c r="L219" s="35" t="n">
        <v>0</v>
      </c>
      <c r="M219" s="35" t="n">
        <v>0</v>
      </c>
      <c r="N219" s="35" t="n">
        <v>0</v>
      </c>
      <c r="O219" s="35" t="n">
        <v>0</v>
      </c>
      <c r="P219" s="35" t="n">
        <v>0</v>
      </c>
      <c r="Q219" s="35" t="n">
        <v>0</v>
      </c>
      <c r="R219" s="35" t="n">
        <v>0</v>
      </c>
      <c r="S219" s="35" t="n">
        <v>0</v>
      </c>
      <c r="T219" s="35" t="n">
        <v>0</v>
      </c>
      <c r="U219" s="35" t="n">
        <v>0</v>
      </c>
      <c r="V219" s="35" t="n">
        <v>0</v>
      </c>
      <c r="W219" s="35" t="n">
        <v>0</v>
      </c>
      <c r="X219" s="35" t="n">
        <v>0</v>
      </c>
      <c r="Y219" s="35" t="n">
        <v>0</v>
      </c>
      <c r="Z219" s="35" t="n">
        <v>0</v>
      </c>
      <c r="AA219" s="35" t="n">
        <v>0</v>
      </c>
      <c r="AB219" s="35" t="n">
        <v>0</v>
      </c>
      <c r="AC219" s="35" t="n">
        <v>0</v>
      </c>
      <c r="AD219" s="35" t="n">
        <v>0</v>
      </c>
      <c r="AE219" s="35" t="n">
        <v>0</v>
      </c>
      <c r="AF219" s="35" t="n">
        <v>0</v>
      </c>
      <c r="AG219" s="35" t="n">
        <v>0</v>
      </c>
      <c r="AH219" s="35" t="n">
        <v>0</v>
      </c>
      <c r="AI219" s="35" t="n">
        <v>0</v>
      </c>
      <c r="AJ219" s="35" t="n">
        <v>0</v>
      </c>
      <c r="AK219" s="35" t="n">
        <v>0</v>
      </c>
      <c r="AL219" s="35" t="n">
        <v>0</v>
      </c>
      <c r="AM219" s="35" t="n">
        <v>0</v>
      </c>
      <c r="AN219" s="35" t="n">
        <v>0</v>
      </c>
      <c r="AO219" s="35" t="n">
        <v>0</v>
      </c>
      <c r="AP219" s="35" t="n">
        <v>0</v>
      </c>
      <c r="AQ219" s="35" t="n">
        <v>0</v>
      </c>
      <c r="AR219" s="35" t="n">
        <v>0</v>
      </c>
      <c r="AS219" s="35" t="n">
        <v>0</v>
      </c>
      <c r="AT219" s="35" t="n">
        <v>0</v>
      </c>
      <c r="AU219" s="35" t="n">
        <v>0</v>
      </c>
      <c r="AV219" s="35" t="n">
        <v>0</v>
      </c>
      <c r="AW219" s="35" t="n">
        <v>0</v>
      </c>
      <c r="AX219" s="35" t="n">
        <v>0</v>
      </c>
      <c r="AY219" s="35" t="n">
        <v>0</v>
      </c>
      <c r="AZ219" s="35" t="n">
        <v>0</v>
      </c>
      <c r="BA219" s="35" t="n">
        <v>0</v>
      </c>
      <c r="BB219" s="35" t="n">
        <v>0</v>
      </c>
      <c r="BC219" s="35" t="n">
        <v>0</v>
      </c>
      <c r="BD219" s="35" t="n">
        <v>0</v>
      </c>
    </row>
    <row r="220">
      <c r="A220" s="52" t="inlineStr">
        <is>
          <t>Wholesale — SOLD</t>
        </is>
      </c>
      <c r="B220" s="2" t="inlineStr">
        <is>
          <t>lb</t>
        </is>
      </c>
      <c r="E220" s="51">
        <f>E219*$G$20</f>
        <v/>
      </c>
      <c r="F220" s="51">
        <f>F219*$G$20</f>
        <v/>
      </c>
      <c r="G220" s="51">
        <f>G219*$G$20</f>
        <v/>
      </c>
      <c r="H220" s="51">
        <f>H219*$G$20</f>
        <v/>
      </c>
      <c r="I220" s="51">
        <f>I219*$G$20</f>
        <v/>
      </c>
      <c r="J220" s="51">
        <f>J219*$G$20</f>
        <v/>
      </c>
      <c r="K220" s="51">
        <f>K219*$G$20</f>
        <v/>
      </c>
      <c r="L220" s="51">
        <f>L219*$G$20</f>
        <v/>
      </c>
      <c r="M220" s="51">
        <f>M219*$G$20</f>
        <v/>
      </c>
      <c r="N220" s="51">
        <f>N219*$G$20</f>
        <v/>
      </c>
      <c r="O220" s="51">
        <f>O219*$G$20</f>
        <v/>
      </c>
      <c r="P220" s="51">
        <f>P219*$G$20</f>
        <v/>
      </c>
      <c r="Q220" s="51">
        <f>Q219*$G$20</f>
        <v/>
      </c>
      <c r="R220" s="51">
        <f>R219*$G$20</f>
        <v/>
      </c>
      <c r="S220" s="51">
        <f>S219*$G$20</f>
        <v/>
      </c>
      <c r="T220" s="51">
        <f>T219*$G$20</f>
        <v/>
      </c>
      <c r="U220" s="51">
        <f>U219*$G$20</f>
        <v/>
      </c>
      <c r="V220" s="51">
        <f>V219*$G$20</f>
        <v/>
      </c>
      <c r="W220" s="51">
        <f>W219*$G$20</f>
        <v/>
      </c>
      <c r="X220" s="51">
        <f>X219*$G$20</f>
        <v/>
      </c>
      <c r="Y220" s="51">
        <f>Y219*$G$20</f>
        <v/>
      </c>
      <c r="Z220" s="51">
        <f>Z219*$G$20</f>
        <v/>
      </c>
      <c r="AA220" s="51">
        <f>AA219*$G$20</f>
        <v/>
      </c>
      <c r="AB220" s="51">
        <f>AB219*$G$20</f>
        <v/>
      </c>
      <c r="AC220" s="51">
        <f>AC219*$G$20</f>
        <v/>
      </c>
      <c r="AD220" s="51">
        <f>AD219*$G$20</f>
        <v/>
      </c>
      <c r="AE220" s="51">
        <f>AE219*$G$20</f>
        <v/>
      </c>
      <c r="AF220" s="51">
        <f>AF219*$G$20</f>
        <v/>
      </c>
      <c r="AG220" s="51">
        <f>AG219*$G$20</f>
        <v/>
      </c>
      <c r="AH220" s="51">
        <f>AH219*$G$20</f>
        <v/>
      </c>
      <c r="AI220" s="51">
        <f>AI219*$G$20</f>
        <v/>
      </c>
      <c r="AJ220" s="51">
        <f>AJ219*$G$20</f>
        <v/>
      </c>
      <c r="AK220" s="51">
        <f>AK219*$G$20</f>
        <v/>
      </c>
      <c r="AL220" s="51">
        <f>AL219*$G$20</f>
        <v/>
      </c>
      <c r="AM220" s="51">
        <f>AM219*$G$20</f>
        <v/>
      </c>
      <c r="AN220" s="51">
        <f>AN219*$G$20</f>
        <v/>
      </c>
      <c r="AO220" s="51">
        <f>AO219*$G$20</f>
        <v/>
      </c>
      <c r="AP220" s="51">
        <f>AP219*$G$20</f>
        <v/>
      </c>
      <c r="AQ220" s="51">
        <f>AQ219*$G$20</f>
        <v/>
      </c>
      <c r="AR220" s="51">
        <f>AR219*$G$20</f>
        <v/>
      </c>
      <c r="AS220" s="51">
        <f>AS219*$G$20</f>
        <v/>
      </c>
      <c r="AT220" s="51">
        <f>AT219*$G$20</f>
        <v/>
      </c>
      <c r="AU220" s="51">
        <f>AU219*$G$20</f>
        <v/>
      </c>
      <c r="AV220" s="51">
        <f>AV219*$G$20</f>
        <v/>
      </c>
      <c r="AW220" s="51">
        <f>AW219*$G$20</f>
        <v/>
      </c>
      <c r="AX220" s="51">
        <f>AX219*$G$20</f>
        <v/>
      </c>
      <c r="AY220" s="51">
        <f>AY219*$G$20</f>
        <v/>
      </c>
      <c r="AZ220" s="51">
        <f>AZ219*$G$20</f>
        <v/>
      </c>
      <c r="BA220" s="51">
        <f>BA219*$G$20</f>
        <v/>
      </c>
      <c r="BB220" s="51">
        <f>BB219*$G$20</f>
        <v/>
      </c>
      <c r="BC220" s="51">
        <f>BC219*$G$20</f>
        <v/>
      </c>
      <c r="BD220" s="51">
        <f>BD219*$G$20</f>
        <v/>
      </c>
    </row>
    <row r="221">
      <c r="A221" s="28" t="inlineStr">
        <is>
          <t xml:space="preserve">   market loss (gone)</t>
        </is>
      </c>
      <c r="B221" s="2" t="inlineStr">
        <is>
          <t>lb</t>
        </is>
      </c>
      <c r="E221" s="36">
        <f>(E219-E220)*(1-$H$20)</f>
        <v/>
      </c>
      <c r="F221" s="36">
        <f>(F219-F220)*(1-$H$20)</f>
        <v/>
      </c>
      <c r="G221" s="36">
        <f>(G219-G220)*(1-$H$20)</f>
        <v/>
      </c>
      <c r="H221" s="36">
        <f>(H219-H220)*(1-$H$20)</f>
        <v/>
      </c>
      <c r="I221" s="36">
        <f>(I219-I220)*(1-$H$20)</f>
        <v/>
      </c>
      <c r="J221" s="36">
        <f>(J219-J220)*(1-$H$20)</f>
        <v/>
      </c>
      <c r="K221" s="36">
        <f>(K219-K220)*(1-$H$20)</f>
        <v/>
      </c>
      <c r="L221" s="36">
        <f>(L219-L220)*(1-$H$20)</f>
        <v/>
      </c>
      <c r="M221" s="36">
        <f>(M219-M220)*(1-$H$20)</f>
        <v/>
      </c>
      <c r="N221" s="36">
        <f>(N219-N220)*(1-$H$20)</f>
        <v/>
      </c>
      <c r="O221" s="36">
        <f>(O219-O220)*(1-$H$20)</f>
        <v/>
      </c>
      <c r="P221" s="36">
        <f>(P219-P220)*(1-$H$20)</f>
        <v/>
      </c>
      <c r="Q221" s="36">
        <f>(Q219-Q220)*(1-$H$20)</f>
        <v/>
      </c>
      <c r="R221" s="36">
        <f>(R219-R220)*(1-$H$20)</f>
        <v/>
      </c>
      <c r="S221" s="36">
        <f>(S219-S220)*(1-$H$20)</f>
        <v/>
      </c>
      <c r="T221" s="36">
        <f>(T219-T220)*(1-$H$20)</f>
        <v/>
      </c>
      <c r="U221" s="36">
        <f>(U219-U220)*(1-$H$20)</f>
        <v/>
      </c>
      <c r="V221" s="36">
        <f>(V219-V220)*(1-$H$20)</f>
        <v/>
      </c>
      <c r="W221" s="36">
        <f>(W219-W220)*(1-$H$20)</f>
        <v/>
      </c>
      <c r="X221" s="36">
        <f>(X219-X220)*(1-$H$20)</f>
        <v/>
      </c>
      <c r="Y221" s="36">
        <f>(Y219-Y220)*(1-$H$20)</f>
        <v/>
      </c>
      <c r="Z221" s="36">
        <f>(Z219-Z220)*(1-$H$20)</f>
        <v/>
      </c>
      <c r="AA221" s="36">
        <f>(AA219-AA220)*(1-$H$20)</f>
        <v/>
      </c>
      <c r="AB221" s="36">
        <f>(AB219-AB220)*(1-$H$20)</f>
        <v/>
      </c>
      <c r="AC221" s="36">
        <f>(AC219-AC220)*(1-$H$20)</f>
        <v/>
      </c>
      <c r="AD221" s="36">
        <f>(AD219-AD220)*(1-$H$20)</f>
        <v/>
      </c>
      <c r="AE221" s="36">
        <f>(AE219-AE220)*(1-$H$20)</f>
        <v/>
      </c>
      <c r="AF221" s="36">
        <f>(AF219-AF220)*(1-$H$20)</f>
        <v/>
      </c>
      <c r="AG221" s="36">
        <f>(AG219-AG220)*(1-$H$20)</f>
        <v/>
      </c>
      <c r="AH221" s="36">
        <f>(AH219-AH220)*(1-$H$20)</f>
        <v/>
      </c>
      <c r="AI221" s="36">
        <f>(AI219-AI220)*(1-$H$20)</f>
        <v/>
      </c>
      <c r="AJ221" s="36">
        <f>(AJ219-AJ220)*(1-$H$20)</f>
        <v/>
      </c>
      <c r="AK221" s="36">
        <f>(AK219-AK220)*(1-$H$20)</f>
        <v/>
      </c>
      <c r="AL221" s="36">
        <f>(AL219-AL220)*(1-$H$20)</f>
        <v/>
      </c>
      <c r="AM221" s="36">
        <f>(AM219-AM220)*(1-$H$20)</f>
        <v/>
      </c>
      <c r="AN221" s="36">
        <f>(AN219-AN220)*(1-$H$20)</f>
        <v/>
      </c>
      <c r="AO221" s="36">
        <f>(AO219-AO220)*(1-$H$20)</f>
        <v/>
      </c>
      <c r="AP221" s="36">
        <f>(AP219-AP220)*(1-$H$20)</f>
        <v/>
      </c>
      <c r="AQ221" s="36">
        <f>(AQ219-AQ220)*(1-$H$20)</f>
        <v/>
      </c>
      <c r="AR221" s="36">
        <f>(AR219-AR220)*(1-$H$20)</f>
        <v/>
      </c>
      <c r="AS221" s="36">
        <f>(AS219-AS220)*(1-$H$20)</f>
        <v/>
      </c>
      <c r="AT221" s="36">
        <f>(AT219-AT220)*(1-$H$20)</f>
        <v/>
      </c>
      <c r="AU221" s="36">
        <f>(AU219-AU220)*(1-$H$20)</f>
        <v/>
      </c>
      <c r="AV221" s="36">
        <f>(AV219-AV220)*(1-$H$20)</f>
        <v/>
      </c>
      <c r="AW221" s="36">
        <f>(AW219-AW220)*(1-$H$20)</f>
        <v/>
      </c>
      <c r="AX221" s="36">
        <f>(AX219-AX220)*(1-$H$20)</f>
        <v/>
      </c>
      <c r="AY221" s="36">
        <f>(AY219-AY220)*(1-$H$20)</f>
        <v/>
      </c>
      <c r="AZ221" s="36">
        <f>(AZ219-AZ220)*(1-$H$20)</f>
        <v/>
      </c>
      <c r="BA221" s="36">
        <f>(BA219-BA220)*(1-$H$20)</f>
        <v/>
      </c>
      <c r="BB221" s="36">
        <f>(BB219-BB220)*(1-$H$20)</f>
        <v/>
      </c>
      <c r="BC221" s="36">
        <f>(BC219-BC220)*(1-$H$20)</f>
        <v/>
      </c>
      <c r="BD221" s="36">
        <f>(BD219-BD220)*(1-$H$20)</f>
        <v/>
      </c>
    </row>
    <row r="222">
      <c r="A222" s="28" t="inlineStr">
        <is>
          <t xml:space="preserve">   returned to store</t>
        </is>
      </c>
      <c r="B222" s="2" t="inlineStr">
        <is>
          <t>lb</t>
        </is>
      </c>
      <c r="E222" s="36">
        <f>(E219-E220)*$H$20</f>
        <v/>
      </c>
      <c r="F222" s="36">
        <f>(F219-F220)*$H$20</f>
        <v/>
      </c>
      <c r="G222" s="36">
        <f>(G219-G220)*$H$20</f>
        <v/>
      </c>
      <c r="H222" s="36">
        <f>(H219-H220)*$H$20</f>
        <v/>
      </c>
      <c r="I222" s="36">
        <f>(I219-I220)*$H$20</f>
        <v/>
      </c>
      <c r="J222" s="36">
        <f>(J219-J220)*$H$20</f>
        <v/>
      </c>
      <c r="K222" s="36">
        <f>(K219-K220)*$H$20</f>
        <v/>
      </c>
      <c r="L222" s="36">
        <f>(L219-L220)*$H$20</f>
        <v/>
      </c>
      <c r="M222" s="36">
        <f>(M219-M220)*$H$20</f>
        <v/>
      </c>
      <c r="N222" s="36">
        <f>(N219-N220)*$H$20</f>
        <v/>
      </c>
      <c r="O222" s="36">
        <f>(O219-O220)*$H$20</f>
        <v/>
      </c>
      <c r="P222" s="36">
        <f>(P219-P220)*$H$20</f>
        <v/>
      </c>
      <c r="Q222" s="36">
        <f>(Q219-Q220)*$H$20</f>
        <v/>
      </c>
      <c r="R222" s="36">
        <f>(R219-R220)*$H$20</f>
        <v/>
      </c>
      <c r="S222" s="36">
        <f>(S219-S220)*$H$20</f>
        <v/>
      </c>
      <c r="T222" s="36">
        <f>(T219-T220)*$H$20</f>
        <v/>
      </c>
      <c r="U222" s="36">
        <f>(U219-U220)*$H$20</f>
        <v/>
      </c>
      <c r="V222" s="36">
        <f>(V219-V220)*$H$20</f>
        <v/>
      </c>
      <c r="W222" s="36">
        <f>(W219-W220)*$H$20</f>
        <v/>
      </c>
      <c r="X222" s="36">
        <f>(X219-X220)*$H$20</f>
        <v/>
      </c>
      <c r="Y222" s="36">
        <f>(Y219-Y220)*$H$20</f>
        <v/>
      </c>
      <c r="Z222" s="36">
        <f>(Z219-Z220)*$H$20</f>
        <v/>
      </c>
      <c r="AA222" s="36">
        <f>(AA219-AA220)*$H$20</f>
        <v/>
      </c>
      <c r="AB222" s="36">
        <f>(AB219-AB220)*$H$20</f>
        <v/>
      </c>
      <c r="AC222" s="36">
        <f>(AC219-AC220)*$H$20</f>
        <v/>
      </c>
      <c r="AD222" s="36">
        <f>(AD219-AD220)*$H$20</f>
        <v/>
      </c>
      <c r="AE222" s="36">
        <f>(AE219-AE220)*$H$20</f>
        <v/>
      </c>
      <c r="AF222" s="36">
        <f>(AF219-AF220)*$H$20</f>
        <v/>
      </c>
      <c r="AG222" s="36">
        <f>(AG219-AG220)*$H$20</f>
        <v/>
      </c>
      <c r="AH222" s="36">
        <f>(AH219-AH220)*$H$20</f>
        <v/>
      </c>
      <c r="AI222" s="36">
        <f>(AI219-AI220)*$H$20</f>
        <v/>
      </c>
      <c r="AJ222" s="36">
        <f>(AJ219-AJ220)*$H$20</f>
        <v/>
      </c>
      <c r="AK222" s="36">
        <f>(AK219-AK220)*$H$20</f>
        <v/>
      </c>
      <c r="AL222" s="36">
        <f>(AL219-AL220)*$H$20</f>
        <v/>
      </c>
      <c r="AM222" s="36">
        <f>(AM219-AM220)*$H$20</f>
        <v/>
      </c>
      <c r="AN222" s="36">
        <f>(AN219-AN220)*$H$20</f>
        <v/>
      </c>
      <c r="AO222" s="36">
        <f>(AO219-AO220)*$H$20</f>
        <v/>
      </c>
      <c r="AP222" s="36">
        <f>(AP219-AP220)*$H$20</f>
        <v/>
      </c>
      <c r="AQ222" s="36">
        <f>(AQ219-AQ220)*$H$20</f>
        <v/>
      </c>
      <c r="AR222" s="36">
        <f>(AR219-AR220)*$H$20</f>
        <v/>
      </c>
      <c r="AS222" s="36">
        <f>(AS219-AS220)*$H$20</f>
        <v/>
      </c>
      <c r="AT222" s="36">
        <f>(AT219-AT220)*$H$20</f>
        <v/>
      </c>
      <c r="AU222" s="36">
        <f>(AU219-AU220)*$H$20</f>
        <v/>
      </c>
      <c r="AV222" s="36">
        <f>(AV219-AV220)*$H$20</f>
        <v/>
      </c>
      <c r="AW222" s="36">
        <f>(AW219-AW220)*$H$20</f>
        <v/>
      </c>
      <c r="AX222" s="36">
        <f>(AX219-AX220)*$H$20</f>
        <v/>
      </c>
      <c r="AY222" s="36">
        <f>(AY219-AY220)*$H$20</f>
        <v/>
      </c>
      <c r="AZ222" s="36">
        <f>(AZ219-AZ220)*$H$20</f>
        <v/>
      </c>
      <c r="BA222" s="36">
        <f>(BA219-BA220)*$H$20</f>
        <v/>
      </c>
      <c r="BB222" s="36">
        <f>(BB219-BB220)*$H$20</f>
        <v/>
      </c>
      <c r="BC222" s="36">
        <f>(BC219-BC220)*$H$20</f>
        <v/>
      </c>
      <c r="BD222" s="36">
        <f>(BD219-BD220)*$H$20</f>
        <v/>
      </c>
    </row>
    <row r="223">
      <c r="A223" s="28" t="inlineStr">
        <is>
          <t xml:space="preserve">   leaves the store (offered - returned)</t>
        </is>
      </c>
      <c r="B223" s="2" t="inlineStr">
        <is>
          <t>lb</t>
        </is>
      </c>
      <c r="E223" s="36">
        <f>E219-E222</f>
        <v/>
      </c>
      <c r="F223" s="36">
        <f>F219-F222</f>
        <v/>
      </c>
      <c r="G223" s="36">
        <f>G219-G222</f>
        <v/>
      </c>
      <c r="H223" s="36">
        <f>H219-H222</f>
        <v/>
      </c>
      <c r="I223" s="36">
        <f>I219-I222</f>
        <v/>
      </c>
      <c r="J223" s="36">
        <f>J219-J222</f>
        <v/>
      </c>
      <c r="K223" s="36">
        <f>K219-K222</f>
        <v/>
      </c>
      <c r="L223" s="36">
        <f>L219-L222</f>
        <v/>
      </c>
      <c r="M223" s="36">
        <f>M219-M222</f>
        <v/>
      </c>
      <c r="N223" s="36">
        <f>N219-N222</f>
        <v/>
      </c>
      <c r="O223" s="36">
        <f>O219-O222</f>
        <v/>
      </c>
      <c r="P223" s="36">
        <f>P219-P222</f>
        <v/>
      </c>
      <c r="Q223" s="36">
        <f>Q219-Q222</f>
        <v/>
      </c>
      <c r="R223" s="36">
        <f>R219-R222</f>
        <v/>
      </c>
      <c r="S223" s="36">
        <f>S219-S222</f>
        <v/>
      </c>
      <c r="T223" s="36">
        <f>T219-T222</f>
        <v/>
      </c>
      <c r="U223" s="36">
        <f>U219-U222</f>
        <v/>
      </c>
      <c r="V223" s="36">
        <f>V219-V222</f>
        <v/>
      </c>
      <c r="W223" s="36">
        <f>W219-W222</f>
        <v/>
      </c>
      <c r="X223" s="36">
        <f>X219-X222</f>
        <v/>
      </c>
      <c r="Y223" s="36">
        <f>Y219-Y222</f>
        <v/>
      </c>
      <c r="Z223" s="36">
        <f>Z219-Z222</f>
        <v/>
      </c>
      <c r="AA223" s="36">
        <f>AA219-AA222</f>
        <v/>
      </c>
      <c r="AB223" s="36">
        <f>AB219-AB222</f>
        <v/>
      </c>
      <c r="AC223" s="36">
        <f>AC219-AC222</f>
        <v/>
      </c>
      <c r="AD223" s="36">
        <f>AD219-AD222</f>
        <v/>
      </c>
      <c r="AE223" s="36">
        <f>AE219-AE222</f>
        <v/>
      </c>
      <c r="AF223" s="36">
        <f>AF219-AF222</f>
        <v/>
      </c>
      <c r="AG223" s="36">
        <f>AG219-AG222</f>
        <v/>
      </c>
      <c r="AH223" s="36">
        <f>AH219-AH222</f>
        <v/>
      </c>
      <c r="AI223" s="36">
        <f>AI219-AI222</f>
        <v/>
      </c>
      <c r="AJ223" s="36">
        <f>AJ219-AJ222</f>
        <v/>
      </c>
      <c r="AK223" s="36">
        <f>AK219-AK222</f>
        <v/>
      </c>
      <c r="AL223" s="36">
        <f>AL219-AL222</f>
        <v/>
      </c>
      <c r="AM223" s="36">
        <f>AM219-AM222</f>
        <v/>
      </c>
      <c r="AN223" s="36">
        <f>AN219-AN222</f>
        <v/>
      </c>
      <c r="AO223" s="36">
        <f>AO219-AO222</f>
        <v/>
      </c>
      <c r="AP223" s="36">
        <f>AP219-AP222</f>
        <v/>
      </c>
      <c r="AQ223" s="36">
        <f>AQ219-AQ222</f>
        <v/>
      </c>
      <c r="AR223" s="36">
        <f>AR219-AR222</f>
        <v/>
      </c>
      <c r="AS223" s="36">
        <f>AS219-AS222</f>
        <v/>
      </c>
      <c r="AT223" s="36">
        <f>AT219-AT222</f>
        <v/>
      </c>
      <c r="AU223" s="36">
        <f>AU219-AU222</f>
        <v/>
      </c>
      <c r="AV223" s="36">
        <f>AV219-AV222</f>
        <v/>
      </c>
      <c r="AW223" s="36">
        <f>AW219-AW222</f>
        <v/>
      </c>
      <c r="AX223" s="36">
        <f>AX219-AX222</f>
        <v/>
      </c>
      <c r="AY223" s="36">
        <f>AY219-AY222</f>
        <v/>
      </c>
      <c r="AZ223" s="36">
        <f>AZ219-AZ222</f>
        <v/>
      </c>
      <c r="BA223" s="36">
        <f>BA219-BA222</f>
        <v/>
      </c>
      <c r="BB223" s="36">
        <f>BB219-BB222</f>
        <v/>
      </c>
      <c r="BC223" s="36">
        <f>BC219-BC222</f>
        <v/>
      </c>
      <c r="BD223" s="36">
        <f>BD219-BD222</f>
        <v/>
      </c>
    </row>
    <row r="224">
      <c r="A224" s="37" t="inlineStr">
        <is>
          <t>Stock carried out</t>
        </is>
      </c>
      <c r="B224" s="2" t="inlineStr">
        <is>
          <t>lb</t>
        </is>
      </c>
      <c r="E224" s="36">
        <f>E211-E217-E223</f>
        <v/>
      </c>
      <c r="F224" s="36">
        <f>F211-F217-F223</f>
        <v/>
      </c>
      <c r="G224" s="36">
        <f>G211-G217-G223</f>
        <v/>
      </c>
      <c r="H224" s="36">
        <f>H211-H217-H223</f>
        <v/>
      </c>
      <c r="I224" s="36">
        <f>I211-I217-I223</f>
        <v/>
      </c>
      <c r="J224" s="36">
        <f>J211-J217-J223</f>
        <v/>
      </c>
      <c r="K224" s="36">
        <f>K211-K217-K223</f>
        <v/>
      </c>
      <c r="L224" s="36">
        <f>L211-L217-L223</f>
        <v/>
      </c>
      <c r="M224" s="36">
        <f>M211-M217-M223</f>
        <v/>
      </c>
      <c r="N224" s="36">
        <f>N211-N217-N223</f>
        <v/>
      </c>
      <c r="O224" s="36">
        <f>O211-O217-O223</f>
        <v/>
      </c>
      <c r="P224" s="36">
        <f>P211-P217-P223</f>
        <v/>
      </c>
      <c r="Q224" s="36">
        <f>Q211-Q217-Q223</f>
        <v/>
      </c>
      <c r="R224" s="36">
        <f>R211-R217-R223</f>
        <v/>
      </c>
      <c r="S224" s="36">
        <f>S211-S217-S223</f>
        <v/>
      </c>
      <c r="T224" s="36">
        <f>T211-T217-T223</f>
        <v/>
      </c>
      <c r="U224" s="36">
        <f>U211-U217-U223</f>
        <v/>
      </c>
      <c r="V224" s="36">
        <f>V211-V217-V223</f>
        <v/>
      </c>
      <c r="W224" s="36">
        <f>W211-W217-W223</f>
        <v/>
      </c>
      <c r="X224" s="36">
        <f>X211-X217-X223</f>
        <v/>
      </c>
      <c r="Y224" s="36">
        <f>Y211-Y217-Y223</f>
        <v/>
      </c>
      <c r="Z224" s="36">
        <f>Z211-Z217-Z223</f>
        <v/>
      </c>
      <c r="AA224" s="36">
        <f>AA211-AA217-AA223</f>
        <v/>
      </c>
      <c r="AB224" s="36">
        <f>AB211-AB217-AB223</f>
        <v/>
      </c>
      <c r="AC224" s="36">
        <f>AC211-AC217-AC223</f>
        <v/>
      </c>
      <c r="AD224" s="36">
        <f>AD211-AD217-AD223</f>
        <v/>
      </c>
      <c r="AE224" s="36">
        <f>AE211-AE217-AE223</f>
        <v/>
      </c>
      <c r="AF224" s="36">
        <f>AF211-AF217-AF223</f>
        <v/>
      </c>
      <c r="AG224" s="36">
        <f>AG211-AG217-AG223</f>
        <v/>
      </c>
      <c r="AH224" s="36">
        <f>AH211-AH217-AH223</f>
        <v/>
      </c>
      <c r="AI224" s="36">
        <f>AI211-AI217-AI223</f>
        <v/>
      </c>
      <c r="AJ224" s="36">
        <f>AJ211-AJ217-AJ223</f>
        <v/>
      </c>
      <c r="AK224" s="36">
        <f>AK211-AK217-AK223</f>
        <v/>
      </c>
      <c r="AL224" s="36">
        <f>AL211-AL217-AL223</f>
        <v/>
      </c>
      <c r="AM224" s="36">
        <f>AM211-AM217-AM223</f>
        <v/>
      </c>
      <c r="AN224" s="36">
        <f>AN211-AN217-AN223</f>
        <v/>
      </c>
      <c r="AO224" s="36">
        <f>AO211-AO217-AO223</f>
        <v/>
      </c>
      <c r="AP224" s="36">
        <f>AP211-AP217-AP223</f>
        <v/>
      </c>
      <c r="AQ224" s="36">
        <f>AQ211-AQ217-AQ223</f>
        <v/>
      </c>
      <c r="AR224" s="36">
        <f>AR211-AR217-AR223</f>
        <v/>
      </c>
      <c r="AS224" s="36">
        <f>AS211-AS217-AS223</f>
        <v/>
      </c>
      <c r="AT224" s="36">
        <f>AT211-AT217-AT223</f>
        <v/>
      </c>
      <c r="AU224" s="36">
        <f>AU211-AU217-AU223</f>
        <v/>
      </c>
      <c r="AV224" s="36">
        <f>AV211-AV217-AV223</f>
        <v/>
      </c>
      <c r="AW224" s="36">
        <f>AW211-AW217-AW223</f>
        <v/>
      </c>
      <c r="AX224" s="36">
        <f>AX211-AX217-AX223</f>
        <v/>
      </c>
      <c r="AY224" s="36">
        <f>AY211-AY217-AY223</f>
        <v/>
      </c>
      <c r="AZ224" s="36">
        <f>AZ211-AZ217-AZ223</f>
        <v/>
      </c>
      <c r="BA224" s="36">
        <f>BA211-BA217-BA223</f>
        <v/>
      </c>
      <c r="BB224" s="36">
        <f>BB211-BB217-BB223</f>
        <v/>
      </c>
      <c r="BC224" s="36">
        <f>BC211-BC217-BC223</f>
        <v/>
      </c>
      <c r="BD224" s="36">
        <f>BD211-BD217-BD223</f>
        <v/>
      </c>
    </row>
    <row r="225">
      <c r="A225" s="2" t="inlineStr">
        <is>
          <t xml:space="preserve">   ^ subtracts what LEAVES, not what was offered — so 'returned to store' is</t>
        </is>
      </c>
    </row>
    <row r="226">
      <c r="A226" s="2" t="inlineStr">
        <is>
          <t xml:space="preserve">     never taken out at all, and shows up as next week's carried in.</t>
        </is>
      </c>
    </row>
    <row r="227">
      <c r="A227" s="39" t="inlineStr">
        <is>
          <t>Most stock its shelf life allows</t>
        </is>
      </c>
      <c r="B227" s="2" t="inlineStr">
        <is>
          <t>lb</t>
        </is>
      </c>
      <c r="E227" s="38">
        <f>SUMPRODUCT(($E$207:$BD$207&gt;=1-$F$12+2)*($E$207:$BD$207&lt;=1)*$E$208:$BD$208*POWER(1-$G$12,($E$207:$BD$207&lt;=1)*(1-$E$207:$BD$207)))</f>
        <v/>
      </c>
      <c r="F227" s="38">
        <f>SUMPRODUCT(($E$207:$BD$207&gt;=2-$F$12+2)*($E$207:$BD$207&lt;=2)*$E$208:$BD$208*POWER(1-$G$12,($E$207:$BD$207&lt;=2)*(2-$E$207:$BD$207)))</f>
        <v/>
      </c>
      <c r="G227" s="38">
        <f>SUMPRODUCT(($E$207:$BD$207&gt;=3-$F$12+2)*($E$207:$BD$207&lt;=3)*$E$208:$BD$208*POWER(1-$G$12,($E$207:$BD$207&lt;=3)*(3-$E$207:$BD$207)))</f>
        <v/>
      </c>
      <c r="H227" s="38">
        <f>SUMPRODUCT(($E$207:$BD$207&gt;=4-$F$12+2)*($E$207:$BD$207&lt;=4)*$E$208:$BD$208*POWER(1-$G$12,($E$207:$BD$207&lt;=4)*(4-$E$207:$BD$207)))</f>
        <v/>
      </c>
      <c r="I227" s="38">
        <f>SUMPRODUCT(($E$207:$BD$207&gt;=5-$F$12+2)*($E$207:$BD$207&lt;=5)*$E$208:$BD$208*POWER(1-$G$12,($E$207:$BD$207&lt;=5)*(5-$E$207:$BD$207)))</f>
        <v/>
      </c>
      <c r="J227" s="38">
        <f>SUMPRODUCT(($E$207:$BD$207&gt;=6-$F$12+2)*($E$207:$BD$207&lt;=6)*$E$208:$BD$208*POWER(1-$G$12,($E$207:$BD$207&lt;=6)*(6-$E$207:$BD$207)))</f>
        <v/>
      </c>
      <c r="K227" s="38">
        <f>SUMPRODUCT(($E$207:$BD$207&gt;=7-$F$12+2)*($E$207:$BD$207&lt;=7)*$E$208:$BD$208*POWER(1-$G$12,($E$207:$BD$207&lt;=7)*(7-$E$207:$BD$207)))</f>
        <v/>
      </c>
      <c r="L227" s="38">
        <f>SUMPRODUCT(($E$207:$BD$207&gt;=8-$F$12+2)*($E$207:$BD$207&lt;=8)*$E$208:$BD$208*POWER(1-$G$12,($E$207:$BD$207&lt;=8)*(8-$E$207:$BD$207)))</f>
        <v/>
      </c>
      <c r="M227" s="38">
        <f>SUMPRODUCT(($E$207:$BD$207&gt;=9-$F$12+2)*($E$207:$BD$207&lt;=9)*$E$208:$BD$208*POWER(1-$G$12,($E$207:$BD$207&lt;=9)*(9-$E$207:$BD$207)))</f>
        <v/>
      </c>
      <c r="N227" s="38">
        <f>SUMPRODUCT(($E$207:$BD$207&gt;=10-$F$12+2)*($E$207:$BD$207&lt;=10)*$E$208:$BD$208*POWER(1-$G$12,($E$207:$BD$207&lt;=10)*(10-$E$207:$BD$207)))</f>
        <v/>
      </c>
      <c r="O227" s="38">
        <f>SUMPRODUCT(($E$207:$BD$207&gt;=11-$F$12+2)*($E$207:$BD$207&lt;=11)*$E$208:$BD$208*POWER(1-$G$12,($E$207:$BD$207&lt;=11)*(11-$E$207:$BD$207)))</f>
        <v/>
      </c>
      <c r="P227" s="38">
        <f>SUMPRODUCT(($E$207:$BD$207&gt;=12-$F$12+2)*($E$207:$BD$207&lt;=12)*$E$208:$BD$208*POWER(1-$G$12,($E$207:$BD$207&lt;=12)*(12-$E$207:$BD$207)))</f>
        <v/>
      </c>
      <c r="Q227" s="38">
        <f>SUMPRODUCT(($E$207:$BD$207&gt;=13-$F$12+2)*($E$207:$BD$207&lt;=13)*$E$208:$BD$208*POWER(1-$G$12,($E$207:$BD$207&lt;=13)*(13-$E$207:$BD$207)))</f>
        <v/>
      </c>
      <c r="R227" s="38">
        <f>SUMPRODUCT(($E$207:$BD$207&gt;=14-$F$12+2)*($E$207:$BD$207&lt;=14)*$E$208:$BD$208*POWER(1-$G$12,($E$207:$BD$207&lt;=14)*(14-$E$207:$BD$207)))</f>
        <v/>
      </c>
      <c r="S227" s="38">
        <f>SUMPRODUCT(($E$207:$BD$207&gt;=15-$F$12+2)*($E$207:$BD$207&lt;=15)*$E$208:$BD$208*POWER(1-$G$12,($E$207:$BD$207&lt;=15)*(15-$E$207:$BD$207)))</f>
        <v/>
      </c>
      <c r="T227" s="38">
        <f>SUMPRODUCT(($E$207:$BD$207&gt;=16-$F$12+2)*($E$207:$BD$207&lt;=16)*$E$208:$BD$208*POWER(1-$G$12,($E$207:$BD$207&lt;=16)*(16-$E$207:$BD$207)))</f>
        <v/>
      </c>
      <c r="U227" s="38">
        <f>SUMPRODUCT(($E$207:$BD$207&gt;=17-$F$12+2)*($E$207:$BD$207&lt;=17)*$E$208:$BD$208*POWER(1-$G$12,($E$207:$BD$207&lt;=17)*(17-$E$207:$BD$207)))</f>
        <v/>
      </c>
      <c r="V227" s="38">
        <f>SUMPRODUCT(($E$207:$BD$207&gt;=18-$F$12+2)*($E$207:$BD$207&lt;=18)*$E$208:$BD$208*POWER(1-$G$12,($E$207:$BD$207&lt;=18)*(18-$E$207:$BD$207)))</f>
        <v/>
      </c>
      <c r="W227" s="38">
        <f>SUMPRODUCT(($E$207:$BD$207&gt;=19-$F$12+2)*($E$207:$BD$207&lt;=19)*$E$208:$BD$208*POWER(1-$G$12,($E$207:$BD$207&lt;=19)*(19-$E$207:$BD$207)))</f>
        <v/>
      </c>
      <c r="X227" s="38">
        <f>SUMPRODUCT(($E$207:$BD$207&gt;=20-$F$12+2)*($E$207:$BD$207&lt;=20)*$E$208:$BD$208*POWER(1-$G$12,($E$207:$BD$207&lt;=20)*(20-$E$207:$BD$207)))</f>
        <v/>
      </c>
      <c r="Y227" s="38">
        <f>SUMPRODUCT(($E$207:$BD$207&gt;=21-$F$12+2)*($E$207:$BD$207&lt;=21)*$E$208:$BD$208*POWER(1-$G$12,($E$207:$BD$207&lt;=21)*(21-$E$207:$BD$207)))</f>
        <v/>
      </c>
      <c r="Z227" s="38">
        <f>SUMPRODUCT(($E$207:$BD$207&gt;=22-$F$12+2)*($E$207:$BD$207&lt;=22)*$E$208:$BD$208*POWER(1-$G$12,($E$207:$BD$207&lt;=22)*(22-$E$207:$BD$207)))</f>
        <v/>
      </c>
      <c r="AA227" s="38">
        <f>SUMPRODUCT(($E$207:$BD$207&gt;=23-$F$12+2)*($E$207:$BD$207&lt;=23)*$E$208:$BD$208*POWER(1-$G$12,($E$207:$BD$207&lt;=23)*(23-$E$207:$BD$207)))</f>
        <v/>
      </c>
      <c r="AB227" s="38">
        <f>SUMPRODUCT(($E$207:$BD$207&gt;=24-$F$12+2)*($E$207:$BD$207&lt;=24)*$E$208:$BD$208*POWER(1-$G$12,($E$207:$BD$207&lt;=24)*(24-$E$207:$BD$207)))</f>
        <v/>
      </c>
      <c r="AC227" s="38">
        <f>SUMPRODUCT(($E$207:$BD$207&gt;=25-$F$12+2)*($E$207:$BD$207&lt;=25)*$E$208:$BD$208*POWER(1-$G$12,($E$207:$BD$207&lt;=25)*(25-$E$207:$BD$207)))</f>
        <v/>
      </c>
      <c r="AD227" s="38">
        <f>SUMPRODUCT(($E$207:$BD$207&gt;=26-$F$12+2)*($E$207:$BD$207&lt;=26)*$E$208:$BD$208*POWER(1-$G$12,($E$207:$BD$207&lt;=26)*(26-$E$207:$BD$207)))</f>
        <v/>
      </c>
      <c r="AE227" s="38">
        <f>SUMPRODUCT(($E$207:$BD$207&gt;=27-$F$12+2)*($E$207:$BD$207&lt;=27)*$E$208:$BD$208*POWER(1-$G$12,($E$207:$BD$207&lt;=27)*(27-$E$207:$BD$207)))</f>
        <v/>
      </c>
      <c r="AF227" s="38">
        <f>SUMPRODUCT(($E$207:$BD$207&gt;=28-$F$12+2)*($E$207:$BD$207&lt;=28)*$E$208:$BD$208*POWER(1-$G$12,($E$207:$BD$207&lt;=28)*(28-$E$207:$BD$207)))</f>
        <v/>
      </c>
      <c r="AG227" s="38">
        <f>SUMPRODUCT(($E$207:$BD$207&gt;=29-$F$12+2)*($E$207:$BD$207&lt;=29)*$E$208:$BD$208*POWER(1-$G$12,($E$207:$BD$207&lt;=29)*(29-$E$207:$BD$207)))</f>
        <v/>
      </c>
      <c r="AH227" s="38">
        <f>SUMPRODUCT(($E$207:$BD$207&gt;=30-$F$12+2)*($E$207:$BD$207&lt;=30)*$E$208:$BD$208*POWER(1-$G$12,($E$207:$BD$207&lt;=30)*(30-$E$207:$BD$207)))</f>
        <v/>
      </c>
      <c r="AI227" s="38">
        <f>SUMPRODUCT(($E$207:$BD$207&gt;=31-$F$12+2)*($E$207:$BD$207&lt;=31)*$E$208:$BD$208*POWER(1-$G$12,($E$207:$BD$207&lt;=31)*(31-$E$207:$BD$207)))</f>
        <v/>
      </c>
      <c r="AJ227" s="38">
        <f>SUMPRODUCT(($E$207:$BD$207&gt;=32-$F$12+2)*($E$207:$BD$207&lt;=32)*$E$208:$BD$208*POWER(1-$G$12,($E$207:$BD$207&lt;=32)*(32-$E$207:$BD$207)))</f>
        <v/>
      </c>
      <c r="AK227" s="38">
        <f>SUMPRODUCT(($E$207:$BD$207&gt;=33-$F$12+2)*($E$207:$BD$207&lt;=33)*$E$208:$BD$208*POWER(1-$G$12,($E$207:$BD$207&lt;=33)*(33-$E$207:$BD$207)))</f>
        <v/>
      </c>
      <c r="AL227" s="38">
        <f>SUMPRODUCT(($E$207:$BD$207&gt;=34-$F$12+2)*($E$207:$BD$207&lt;=34)*$E$208:$BD$208*POWER(1-$G$12,($E$207:$BD$207&lt;=34)*(34-$E$207:$BD$207)))</f>
        <v/>
      </c>
      <c r="AM227" s="38">
        <f>SUMPRODUCT(($E$207:$BD$207&gt;=35-$F$12+2)*($E$207:$BD$207&lt;=35)*$E$208:$BD$208*POWER(1-$G$12,($E$207:$BD$207&lt;=35)*(35-$E$207:$BD$207)))</f>
        <v/>
      </c>
      <c r="AN227" s="38">
        <f>SUMPRODUCT(($E$207:$BD$207&gt;=36-$F$12+2)*($E$207:$BD$207&lt;=36)*$E$208:$BD$208*POWER(1-$G$12,($E$207:$BD$207&lt;=36)*(36-$E$207:$BD$207)))</f>
        <v/>
      </c>
      <c r="AO227" s="38">
        <f>SUMPRODUCT(($E$207:$BD$207&gt;=37-$F$12+2)*($E$207:$BD$207&lt;=37)*$E$208:$BD$208*POWER(1-$G$12,($E$207:$BD$207&lt;=37)*(37-$E$207:$BD$207)))</f>
        <v/>
      </c>
      <c r="AP227" s="38">
        <f>SUMPRODUCT(($E$207:$BD$207&gt;=38-$F$12+2)*($E$207:$BD$207&lt;=38)*$E$208:$BD$208*POWER(1-$G$12,($E$207:$BD$207&lt;=38)*(38-$E$207:$BD$207)))</f>
        <v/>
      </c>
      <c r="AQ227" s="38">
        <f>SUMPRODUCT(($E$207:$BD$207&gt;=39-$F$12+2)*($E$207:$BD$207&lt;=39)*$E$208:$BD$208*POWER(1-$G$12,($E$207:$BD$207&lt;=39)*(39-$E$207:$BD$207)))</f>
        <v/>
      </c>
      <c r="AR227" s="38">
        <f>SUMPRODUCT(($E$207:$BD$207&gt;=40-$F$12+2)*($E$207:$BD$207&lt;=40)*$E$208:$BD$208*POWER(1-$G$12,($E$207:$BD$207&lt;=40)*(40-$E$207:$BD$207)))</f>
        <v/>
      </c>
      <c r="AS227" s="38">
        <f>SUMPRODUCT(($E$207:$BD$207&gt;=41-$F$12+2)*($E$207:$BD$207&lt;=41)*$E$208:$BD$208*POWER(1-$G$12,($E$207:$BD$207&lt;=41)*(41-$E$207:$BD$207)))</f>
        <v/>
      </c>
      <c r="AT227" s="38">
        <f>SUMPRODUCT(($E$207:$BD$207&gt;=42-$F$12+2)*($E$207:$BD$207&lt;=42)*$E$208:$BD$208*POWER(1-$G$12,($E$207:$BD$207&lt;=42)*(42-$E$207:$BD$207)))</f>
        <v/>
      </c>
      <c r="AU227" s="38">
        <f>SUMPRODUCT(($E$207:$BD$207&gt;=43-$F$12+2)*($E$207:$BD$207&lt;=43)*$E$208:$BD$208*POWER(1-$G$12,($E$207:$BD$207&lt;=43)*(43-$E$207:$BD$207)))</f>
        <v/>
      </c>
      <c r="AV227" s="38">
        <f>SUMPRODUCT(($E$207:$BD$207&gt;=44-$F$12+2)*($E$207:$BD$207&lt;=44)*$E$208:$BD$208*POWER(1-$G$12,($E$207:$BD$207&lt;=44)*(44-$E$207:$BD$207)))</f>
        <v/>
      </c>
      <c r="AW227" s="38">
        <f>SUMPRODUCT(($E$207:$BD$207&gt;=45-$F$12+2)*($E$207:$BD$207&lt;=45)*$E$208:$BD$208*POWER(1-$G$12,($E$207:$BD$207&lt;=45)*(45-$E$207:$BD$207)))</f>
        <v/>
      </c>
      <c r="AX227" s="38">
        <f>SUMPRODUCT(($E$207:$BD$207&gt;=46-$F$12+2)*($E$207:$BD$207&lt;=46)*$E$208:$BD$208*POWER(1-$G$12,($E$207:$BD$207&lt;=46)*(46-$E$207:$BD$207)))</f>
        <v/>
      </c>
      <c r="AY227" s="38">
        <f>SUMPRODUCT(($E$207:$BD$207&gt;=47-$F$12+2)*($E$207:$BD$207&lt;=47)*$E$208:$BD$208*POWER(1-$G$12,($E$207:$BD$207&lt;=47)*(47-$E$207:$BD$207)))</f>
        <v/>
      </c>
      <c r="AZ227" s="38">
        <f>SUMPRODUCT(($E$207:$BD$207&gt;=48-$F$12+2)*($E$207:$BD$207&lt;=48)*$E$208:$BD$208*POWER(1-$G$12,($E$207:$BD$207&lt;=48)*(48-$E$207:$BD$207)))</f>
        <v/>
      </c>
      <c r="BA227" s="38">
        <f>SUMPRODUCT(($E$207:$BD$207&gt;=49-$F$12+2)*($E$207:$BD$207&lt;=49)*$E$208:$BD$208*POWER(1-$G$12,($E$207:$BD$207&lt;=49)*(49-$E$207:$BD$207)))</f>
        <v/>
      </c>
      <c r="BB227" s="38">
        <f>SUMPRODUCT(($E$207:$BD$207&gt;=50-$F$12+2)*($E$207:$BD$207&lt;=50)*$E$208:$BD$208*POWER(1-$G$12,($E$207:$BD$207&lt;=50)*(50-$E$207:$BD$207)))</f>
        <v/>
      </c>
      <c r="BC227" s="38">
        <f>SUMPRODUCT(($E$207:$BD$207&gt;=51-$F$12+2)*($E$207:$BD$207&lt;=51)*$E$208:$BD$208*POWER(1-$G$12,($E$207:$BD$207&lt;=51)*(51-$E$207:$BD$207)))</f>
        <v/>
      </c>
      <c r="BD227" s="38">
        <f>SUMPRODUCT(($E$207:$BD$207&gt;=52-$F$12+2)*($E$207:$BD$207&lt;=52)*$E$208:$BD$208*POWER(1-$G$12,($E$207:$BD$207&lt;=52)*(52-$E$207:$BD$207)))</f>
        <v/>
      </c>
    </row>
    <row r="228">
      <c r="A228" s="2" t="inlineStr">
        <is>
          <t xml:space="preserve">   Stock carried out must stay at or below this row.</t>
        </is>
      </c>
    </row>
    <row r="229">
      <c r="A229" s="28" t="inlineStr">
        <is>
          <t>Growing cost this week</t>
        </is>
      </c>
      <c r="B229" s="2" t="inlineStr">
        <is>
          <t>$</t>
        </is>
      </c>
      <c r="E229" s="36">
        <f>SUMPRODUCT(($B$71:$B$138="Spinach")*(E$71:E$138="P")*$C$71:$C$138)*$K$12+SUMPRODUCT(($B$71:$B$138="Spinach")*(E$71:E$138="G")*$C$71:$C$138)*$L$12+SUMPRODUCT(($B$71:$B$138="Spinach")*(E$71:E$138="H")*$C$71:$C$138)*$M$12+SUMPRODUCT(($B$71:$B$138="Spinach")*($BG$71:$BG$138=1)*$C$71:$C$138)*$H$12</f>
        <v/>
      </c>
      <c r="F229" s="36">
        <f>SUMPRODUCT(($B$71:$B$138="Spinach")*(F$71:F$138="P")*$C$71:$C$138)*$K$12+SUMPRODUCT(($B$71:$B$138="Spinach")*(F$71:F$138="G")*$C$71:$C$138)*$L$12+SUMPRODUCT(($B$71:$B$138="Spinach")*(F$71:F$138="H")*$C$71:$C$138)*$M$12+SUMPRODUCT(($B$71:$B$138="Spinach")*($BG$71:$BG$138=2)*$C$71:$C$138)*$H$12</f>
        <v/>
      </c>
      <c r="G229" s="36">
        <f>SUMPRODUCT(($B$71:$B$138="Spinach")*(G$71:G$138="P")*$C$71:$C$138)*$K$12+SUMPRODUCT(($B$71:$B$138="Spinach")*(G$71:G$138="G")*$C$71:$C$138)*$L$12+SUMPRODUCT(($B$71:$B$138="Spinach")*(G$71:G$138="H")*$C$71:$C$138)*$M$12+SUMPRODUCT(($B$71:$B$138="Spinach")*($BG$71:$BG$138=3)*$C$71:$C$138)*$H$12</f>
        <v/>
      </c>
      <c r="H229" s="36">
        <f>SUMPRODUCT(($B$71:$B$138="Spinach")*(H$71:H$138="P")*$C$71:$C$138)*$K$12+SUMPRODUCT(($B$71:$B$138="Spinach")*(H$71:H$138="G")*$C$71:$C$138)*$L$12+SUMPRODUCT(($B$71:$B$138="Spinach")*(H$71:H$138="H")*$C$71:$C$138)*$M$12+SUMPRODUCT(($B$71:$B$138="Spinach")*($BG$71:$BG$138=4)*$C$71:$C$138)*$H$12</f>
        <v/>
      </c>
      <c r="I229" s="36">
        <f>SUMPRODUCT(($B$71:$B$138="Spinach")*(I$71:I$138="P")*$C$71:$C$138)*$K$12+SUMPRODUCT(($B$71:$B$138="Spinach")*(I$71:I$138="G")*$C$71:$C$138)*$L$12+SUMPRODUCT(($B$71:$B$138="Spinach")*(I$71:I$138="H")*$C$71:$C$138)*$M$12+SUMPRODUCT(($B$71:$B$138="Spinach")*($BG$71:$BG$138=5)*$C$71:$C$138)*$H$12</f>
        <v/>
      </c>
      <c r="J229" s="36">
        <f>SUMPRODUCT(($B$71:$B$138="Spinach")*(J$71:J$138="P")*$C$71:$C$138)*$K$12+SUMPRODUCT(($B$71:$B$138="Spinach")*(J$71:J$138="G")*$C$71:$C$138)*$L$12+SUMPRODUCT(($B$71:$B$138="Spinach")*(J$71:J$138="H")*$C$71:$C$138)*$M$12+SUMPRODUCT(($B$71:$B$138="Spinach")*($BG$71:$BG$138=6)*$C$71:$C$138)*$H$12</f>
        <v/>
      </c>
      <c r="K229" s="36">
        <f>SUMPRODUCT(($B$71:$B$138="Spinach")*(K$71:K$138="P")*$C$71:$C$138)*$K$12+SUMPRODUCT(($B$71:$B$138="Spinach")*(K$71:K$138="G")*$C$71:$C$138)*$L$12+SUMPRODUCT(($B$71:$B$138="Spinach")*(K$71:K$138="H")*$C$71:$C$138)*$M$12+SUMPRODUCT(($B$71:$B$138="Spinach")*($BG$71:$BG$138=7)*$C$71:$C$138)*$H$12</f>
        <v/>
      </c>
      <c r="L229" s="36">
        <f>SUMPRODUCT(($B$71:$B$138="Spinach")*(L$71:L$138="P")*$C$71:$C$138)*$K$12+SUMPRODUCT(($B$71:$B$138="Spinach")*(L$71:L$138="G")*$C$71:$C$138)*$L$12+SUMPRODUCT(($B$71:$B$138="Spinach")*(L$71:L$138="H")*$C$71:$C$138)*$M$12+SUMPRODUCT(($B$71:$B$138="Spinach")*($BG$71:$BG$138=8)*$C$71:$C$138)*$H$12</f>
        <v/>
      </c>
      <c r="M229" s="36">
        <f>SUMPRODUCT(($B$71:$B$138="Spinach")*(M$71:M$138="P")*$C$71:$C$138)*$K$12+SUMPRODUCT(($B$71:$B$138="Spinach")*(M$71:M$138="G")*$C$71:$C$138)*$L$12+SUMPRODUCT(($B$71:$B$138="Spinach")*(M$71:M$138="H")*$C$71:$C$138)*$M$12+SUMPRODUCT(($B$71:$B$138="Spinach")*($BG$71:$BG$138=9)*$C$71:$C$138)*$H$12</f>
        <v/>
      </c>
      <c r="N229" s="36">
        <f>SUMPRODUCT(($B$71:$B$138="Spinach")*(N$71:N$138="P")*$C$71:$C$138)*$K$12+SUMPRODUCT(($B$71:$B$138="Spinach")*(N$71:N$138="G")*$C$71:$C$138)*$L$12+SUMPRODUCT(($B$71:$B$138="Spinach")*(N$71:N$138="H")*$C$71:$C$138)*$M$12+SUMPRODUCT(($B$71:$B$138="Spinach")*($BG$71:$BG$138=10)*$C$71:$C$138)*$H$12</f>
        <v/>
      </c>
      <c r="O229" s="36">
        <f>SUMPRODUCT(($B$71:$B$138="Spinach")*(O$71:O$138="P")*$C$71:$C$138)*$K$12+SUMPRODUCT(($B$71:$B$138="Spinach")*(O$71:O$138="G")*$C$71:$C$138)*$L$12+SUMPRODUCT(($B$71:$B$138="Spinach")*(O$71:O$138="H")*$C$71:$C$138)*$M$12+SUMPRODUCT(($B$71:$B$138="Spinach")*($BG$71:$BG$138=11)*$C$71:$C$138)*$H$12</f>
        <v/>
      </c>
      <c r="P229" s="36">
        <f>SUMPRODUCT(($B$71:$B$138="Spinach")*(P$71:P$138="P")*$C$71:$C$138)*$K$12+SUMPRODUCT(($B$71:$B$138="Spinach")*(P$71:P$138="G")*$C$71:$C$138)*$L$12+SUMPRODUCT(($B$71:$B$138="Spinach")*(P$71:P$138="H")*$C$71:$C$138)*$M$12+SUMPRODUCT(($B$71:$B$138="Spinach")*($BG$71:$BG$138=12)*$C$71:$C$138)*$H$12</f>
        <v/>
      </c>
      <c r="Q229" s="36">
        <f>SUMPRODUCT(($B$71:$B$138="Spinach")*(Q$71:Q$138="P")*$C$71:$C$138)*$K$12+SUMPRODUCT(($B$71:$B$138="Spinach")*(Q$71:Q$138="G")*$C$71:$C$138)*$L$12+SUMPRODUCT(($B$71:$B$138="Spinach")*(Q$71:Q$138="H")*$C$71:$C$138)*$M$12+SUMPRODUCT(($B$71:$B$138="Spinach")*($BG$71:$BG$138=13)*$C$71:$C$138)*$H$12</f>
        <v/>
      </c>
      <c r="R229" s="36">
        <f>SUMPRODUCT(($B$71:$B$138="Spinach")*(R$71:R$138="P")*$C$71:$C$138)*$K$12+SUMPRODUCT(($B$71:$B$138="Spinach")*(R$71:R$138="G")*$C$71:$C$138)*$L$12+SUMPRODUCT(($B$71:$B$138="Spinach")*(R$71:R$138="H")*$C$71:$C$138)*$M$12+SUMPRODUCT(($B$71:$B$138="Spinach")*($BG$71:$BG$138=14)*$C$71:$C$138)*$H$12</f>
        <v/>
      </c>
      <c r="S229" s="36">
        <f>SUMPRODUCT(($B$71:$B$138="Spinach")*(S$71:S$138="P")*$C$71:$C$138)*$K$12+SUMPRODUCT(($B$71:$B$138="Spinach")*(S$71:S$138="G")*$C$71:$C$138)*$L$12+SUMPRODUCT(($B$71:$B$138="Spinach")*(S$71:S$138="H")*$C$71:$C$138)*$M$12+SUMPRODUCT(($B$71:$B$138="Spinach")*($BG$71:$BG$138=15)*$C$71:$C$138)*$H$12</f>
        <v/>
      </c>
      <c r="T229" s="36">
        <f>SUMPRODUCT(($B$71:$B$138="Spinach")*(T$71:T$138="P")*$C$71:$C$138)*$K$12+SUMPRODUCT(($B$71:$B$138="Spinach")*(T$71:T$138="G")*$C$71:$C$138)*$L$12+SUMPRODUCT(($B$71:$B$138="Spinach")*(T$71:T$138="H")*$C$71:$C$138)*$M$12+SUMPRODUCT(($B$71:$B$138="Spinach")*($BG$71:$BG$138=16)*$C$71:$C$138)*$H$12</f>
        <v/>
      </c>
      <c r="U229" s="36">
        <f>SUMPRODUCT(($B$71:$B$138="Spinach")*(U$71:U$138="P")*$C$71:$C$138)*$K$12+SUMPRODUCT(($B$71:$B$138="Spinach")*(U$71:U$138="G")*$C$71:$C$138)*$L$12+SUMPRODUCT(($B$71:$B$138="Spinach")*(U$71:U$138="H")*$C$71:$C$138)*$M$12+SUMPRODUCT(($B$71:$B$138="Spinach")*($BG$71:$BG$138=17)*$C$71:$C$138)*$H$12</f>
        <v/>
      </c>
      <c r="V229" s="36">
        <f>SUMPRODUCT(($B$71:$B$138="Spinach")*(V$71:V$138="P")*$C$71:$C$138)*$K$12+SUMPRODUCT(($B$71:$B$138="Spinach")*(V$71:V$138="G")*$C$71:$C$138)*$L$12+SUMPRODUCT(($B$71:$B$138="Spinach")*(V$71:V$138="H")*$C$71:$C$138)*$M$12+SUMPRODUCT(($B$71:$B$138="Spinach")*($BG$71:$BG$138=18)*$C$71:$C$138)*$H$12</f>
        <v/>
      </c>
      <c r="W229" s="36">
        <f>SUMPRODUCT(($B$71:$B$138="Spinach")*(W$71:W$138="P")*$C$71:$C$138)*$K$12+SUMPRODUCT(($B$71:$B$138="Spinach")*(W$71:W$138="G")*$C$71:$C$138)*$L$12+SUMPRODUCT(($B$71:$B$138="Spinach")*(W$71:W$138="H")*$C$71:$C$138)*$M$12+SUMPRODUCT(($B$71:$B$138="Spinach")*($BG$71:$BG$138=19)*$C$71:$C$138)*$H$12</f>
        <v/>
      </c>
      <c r="X229" s="36">
        <f>SUMPRODUCT(($B$71:$B$138="Spinach")*(X$71:X$138="P")*$C$71:$C$138)*$K$12+SUMPRODUCT(($B$71:$B$138="Spinach")*(X$71:X$138="G")*$C$71:$C$138)*$L$12+SUMPRODUCT(($B$71:$B$138="Spinach")*(X$71:X$138="H")*$C$71:$C$138)*$M$12+SUMPRODUCT(($B$71:$B$138="Spinach")*($BG$71:$BG$138=20)*$C$71:$C$138)*$H$12</f>
        <v/>
      </c>
      <c r="Y229" s="36">
        <f>SUMPRODUCT(($B$71:$B$138="Spinach")*(Y$71:Y$138="P")*$C$71:$C$138)*$K$12+SUMPRODUCT(($B$71:$B$138="Spinach")*(Y$71:Y$138="G")*$C$71:$C$138)*$L$12+SUMPRODUCT(($B$71:$B$138="Spinach")*(Y$71:Y$138="H")*$C$71:$C$138)*$M$12+SUMPRODUCT(($B$71:$B$138="Spinach")*($BG$71:$BG$138=21)*$C$71:$C$138)*$H$12</f>
        <v/>
      </c>
      <c r="Z229" s="36">
        <f>SUMPRODUCT(($B$71:$B$138="Spinach")*(Z$71:Z$138="P")*$C$71:$C$138)*$K$12+SUMPRODUCT(($B$71:$B$138="Spinach")*(Z$71:Z$138="G")*$C$71:$C$138)*$L$12+SUMPRODUCT(($B$71:$B$138="Spinach")*(Z$71:Z$138="H")*$C$71:$C$138)*$M$12+SUMPRODUCT(($B$71:$B$138="Spinach")*($BG$71:$BG$138=22)*$C$71:$C$138)*$H$12</f>
        <v/>
      </c>
      <c r="AA229" s="36">
        <f>SUMPRODUCT(($B$71:$B$138="Spinach")*(AA$71:AA$138="P")*$C$71:$C$138)*$K$12+SUMPRODUCT(($B$71:$B$138="Spinach")*(AA$71:AA$138="G")*$C$71:$C$138)*$L$12+SUMPRODUCT(($B$71:$B$138="Spinach")*(AA$71:AA$138="H")*$C$71:$C$138)*$M$12+SUMPRODUCT(($B$71:$B$138="Spinach")*($BG$71:$BG$138=23)*$C$71:$C$138)*$H$12</f>
        <v/>
      </c>
      <c r="AB229" s="36">
        <f>SUMPRODUCT(($B$71:$B$138="Spinach")*(AB$71:AB$138="P")*$C$71:$C$138)*$K$12+SUMPRODUCT(($B$71:$B$138="Spinach")*(AB$71:AB$138="G")*$C$71:$C$138)*$L$12+SUMPRODUCT(($B$71:$B$138="Spinach")*(AB$71:AB$138="H")*$C$71:$C$138)*$M$12+SUMPRODUCT(($B$71:$B$138="Spinach")*($BG$71:$BG$138=24)*$C$71:$C$138)*$H$12</f>
        <v/>
      </c>
      <c r="AC229" s="36">
        <f>SUMPRODUCT(($B$71:$B$138="Spinach")*(AC$71:AC$138="P")*$C$71:$C$138)*$K$12+SUMPRODUCT(($B$71:$B$138="Spinach")*(AC$71:AC$138="G")*$C$71:$C$138)*$L$12+SUMPRODUCT(($B$71:$B$138="Spinach")*(AC$71:AC$138="H")*$C$71:$C$138)*$M$12+SUMPRODUCT(($B$71:$B$138="Spinach")*($BG$71:$BG$138=25)*$C$71:$C$138)*$H$12</f>
        <v/>
      </c>
      <c r="AD229" s="36">
        <f>SUMPRODUCT(($B$71:$B$138="Spinach")*(AD$71:AD$138="P")*$C$71:$C$138)*$K$12+SUMPRODUCT(($B$71:$B$138="Spinach")*(AD$71:AD$138="G")*$C$71:$C$138)*$L$12+SUMPRODUCT(($B$71:$B$138="Spinach")*(AD$71:AD$138="H")*$C$71:$C$138)*$M$12+SUMPRODUCT(($B$71:$B$138="Spinach")*($BG$71:$BG$138=26)*$C$71:$C$138)*$H$12</f>
        <v/>
      </c>
      <c r="AE229" s="36">
        <f>SUMPRODUCT(($B$71:$B$138="Spinach")*(AE$71:AE$138="P")*$C$71:$C$138)*$K$12+SUMPRODUCT(($B$71:$B$138="Spinach")*(AE$71:AE$138="G")*$C$71:$C$138)*$L$12+SUMPRODUCT(($B$71:$B$138="Spinach")*(AE$71:AE$138="H")*$C$71:$C$138)*$M$12+SUMPRODUCT(($B$71:$B$138="Spinach")*($BG$71:$BG$138=27)*$C$71:$C$138)*$H$12</f>
        <v/>
      </c>
      <c r="AF229" s="36">
        <f>SUMPRODUCT(($B$71:$B$138="Spinach")*(AF$71:AF$138="P")*$C$71:$C$138)*$K$12+SUMPRODUCT(($B$71:$B$138="Spinach")*(AF$71:AF$138="G")*$C$71:$C$138)*$L$12+SUMPRODUCT(($B$71:$B$138="Spinach")*(AF$71:AF$138="H")*$C$71:$C$138)*$M$12+SUMPRODUCT(($B$71:$B$138="Spinach")*($BG$71:$BG$138=28)*$C$71:$C$138)*$H$12</f>
        <v/>
      </c>
      <c r="AG229" s="36">
        <f>SUMPRODUCT(($B$71:$B$138="Spinach")*(AG$71:AG$138="P")*$C$71:$C$138)*$K$12+SUMPRODUCT(($B$71:$B$138="Spinach")*(AG$71:AG$138="G")*$C$71:$C$138)*$L$12+SUMPRODUCT(($B$71:$B$138="Spinach")*(AG$71:AG$138="H")*$C$71:$C$138)*$M$12+SUMPRODUCT(($B$71:$B$138="Spinach")*($BG$71:$BG$138=29)*$C$71:$C$138)*$H$12</f>
        <v/>
      </c>
      <c r="AH229" s="36">
        <f>SUMPRODUCT(($B$71:$B$138="Spinach")*(AH$71:AH$138="P")*$C$71:$C$138)*$K$12+SUMPRODUCT(($B$71:$B$138="Spinach")*(AH$71:AH$138="G")*$C$71:$C$138)*$L$12+SUMPRODUCT(($B$71:$B$138="Spinach")*(AH$71:AH$138="H")*$C$71:$C$138)*$M$12+SUMPRODUCT(($B$71:$B$138="Spinach")*($BG$71:$BG$138=30)*$C$71:$C$138)*$H$12</f>
        <v/>
      </c>
      <c r="AI229" s="36">
        <f>SUMPRODUCT(($B$71:$B$138="Spinach")*(AI$71:AI$138="P")*$C$71:$C$138)*$K$12+SUMPRODUCT(($B$71:$B$138="Spinach")*(AI$71:AI$138="G")*$C$71:$C$138)*$L$12+SUMPRODUCT(($B$71:$B$138="Spinach")*(AI$71:AI$138="H")*$C$71:$C$138)*$M$12+SUMPRODUCT(($B$71:$B$138="Spinach")*($BG$71:$BG$138=31)*$C$71:$C$138)*$H$12</f>
        <v/>
      </c>
      <c r="AJ229" s="36">
        <f>SUMPRODUCT(($B$71:$B$138="Spinach")*(AJ$71:AJ$138="P")*$C$71:$C$138)*$K$12+SUMPRODUCT(($B$71:$B$138="Spinach")*(AJ$71:AJ$138="G")*$C$71:$C$138)*$L$12+SUMPRODUCT(($B$71:$B$138="Spinach")*(AJ$71:AJ$138="H")*$C$71:$C$138)*$M$12+SUMPRODUCT(($B$71:$B$138="Spinach")*($BG$71:$BG$138=32)*$C$71:$C$138)*$H$12</f>
        <v/>
      </c>
      <c r="AK229" s="36">
        <f>SUMPRODUCT(($B$71:$B$138="Spinach")*(AK$71:AK$138="P")*$C$71:$C$138)*$K$12+SUMPRODUCT(($B$71:$B$138="Spinach")*(AK$71:AK$138="G")*$C$71:$C$138)*$L$12+SUMPRODUCT(($B$71:$B$138="Spinach")*(AK$71:AK$138="H")*$C$71:$C$138)*$M$12+SUMPRODUCT(($B$71:$B$138="Spinach")*($BG$71:$BG$138=33)*$C$71:$C$138)*$H$12</f>
        <v/>
      </c>
      <c r="AL229" s="36">
        <f>SUMPRODUCT(($B$71:$B$138="Spinach")*(AL$71:AL$138="P")*$C$71:$C$138)*$K$12+SUMPRODUCT(($B$71:$B$138="Spinach")*(AL$71:AL$138="G")*$C$71:$C$138)*$L$12+SUMPRODUCT(($B$71:$B$138="Spinach")*(AL$71:AL$138="H")*$C$71:$C$138)*$M$12+SUMPRODUCT(($B$71:$B$138="Spinach")*($BG$71:$BG$138=34)*$C$71:$C$138)*$H$12</f>
        <v/>
      </c>
      <c r="AM229" s="36">
        <f>SUMPRODUCT(($B$71:$B$138="Spinach")*(AM$71:AM$138="P")*$C$71:$C$138)*$K$12+SUMPRODUCT(($B$71:$B$138="Spinach")*(AM$71:AM$138="G")*$C$71:$C$138)*$L$12+SUMPRODUCT(($B$71:$B$138="Spinach")*(AM$71:AM$138="H")*$C$71:$C$138)*$M$12+SUMPRODUCT(($B$71:$B$138="Spinach")*($BG$71:$BG$138=35)*$C$71:$C$138)*$H$12</f>
        <v/>
      </c>
      <c r="AN229" s="36">
        <f>SUMPRODUCT(($B$71:$B$138="Spinach")*(AN$71:AN$138="P")*$C$71:$C$138)*$K$12+SUMPRODUCT(($B$71:$B$138="Spinach")*(AN$71:AN$138="G")*$C$71:$C$138)*$L$12+SUMPRODUCT(($B$71:$B$138="Spinach")*(AN$71:AN$138="H")*$C$71:$C$138)*$M$12+SUMPRODUCT(($B$71:$B$138="Spinach")*($BG$71:$BG$138=36)*$C$71:$C$138)*$H$12</f>
        <v/>
      </c>
      <c r="AO229" s="36">
        <f>SUMPRODUCT(($B$71:$B$138="Spinach")*(AO$71:AO$138="P")*$C$71:$C$138)*$K$12+SUMPRODUCT(($B$71:$B$138="Spinach")*(AO$71:AO$138="G")*$C$71:$C$138)*$L$12+SUMPRODUCT(($B$71:$B$138="Spinach")*(AO$71:AO$138="H")*$C$71:$C$138)*$M$12+SUMPRODUCT(($B$71:$B$138="Spinach")*($BG$71:$BG$138=37)*$C$71:$C$138)*$H$12</f>
        <v/>
      </c>
      <c r="AP229" s="36">
        <f>SUMPRODUCT(($B$71:$B$138="Spinach")*(AP$71:AP$138="P")*$C$71:$C$138)*$K$12+SUMPRODUCT(($B$71:$B$138="Spinach")*(AP$71:AP$138="G")*$C$71:$C$138)*$L$12+SUMPRODUCT(($B$71:$B$138="Spinach")*(AP$71:AP$138="H")*$C$71:$C$138)*$M$12+SUMPRODUCT(($B$71:$B$138="Spinach")*($BG$71:$BG$138=38)*$C$71:$C$138)*$H$12</f>
        <v/>
      </c>
      <c r="AQ229" s="36">
        <f>SUMPRODUCT(($B$71:$B$138="Spinach")*(AQ$71:AQ$138="P")*$C$71:$C$138)*$K$12+SUMPRODUCT(($B$71:$B$138="Spinach")*(AQ$71:AQ$138="G")*$C$71:$C$138)*$L$12+SUMPRODUCT(($B$71:$B$138="Spinach")*(AQ$71:AQ$138="H")*$C$71:$C$138)*$M$12+SUMPRODUCT(($B$71:$B$138="Spinach")*($BG$71:$BG$138=39)*$C$71:$C$138)*$H$12</f>
        <v/>
      </c>
      <c r="AR229" s="36">
        <f>SUMPRODUCT(($B$71:$B$138="Spinach")*(AR$71:AR$138="P")*$C$71:$C$138)*$K$12+SUMPRODUCT(($B$71:$B$138="Spinach")*(AR$71:AR$138="G")*$C$71:$C$138)*$L$12+SUMPRODUCT(($B$71:$B$138="Spinach")*(AR$71:AR$138="H")*$C$71:$C$138)*$M$12+SUMPRODUCT(($B$71:$B$138="Spinach")*($BG$71:$BG$138=40)*$C$71:$C$138)*$H$12</f>
        <v/>
      </c>
      <c r="AS229" s="36">
        <f>SUMPRODUCT(($B$71:$B$138="Spinach")*(AS$71:AS$138="P")*$C$71:$C$138)*$K$12+SUMPRODUCT(($B$71:$B$138="Spinach")*(AS$71:AS$138="G")*$C$71:$C$138)*$L$12+SUMPRODUCT(($B$71:$B$138="Spinach")*(AS$71:AS$138="H")*$C$71:$C$138)*$M$12+SUMPRODUCT(($B$71:$B$138="Spinach")*($BG$71:$BG$138=41)*$C$71:$C$138)*$H$12</f>
        <v/>
      </c>
      <c r="AT229" s="36">
        <f>SUMPRODUCT(($B$71:$B$138="Spinach")*(AT$71:AT$138="P")*$C$71:$C$138)*$K$12+SUMPRODUCT(($B$71:$B$138="Spinach")*(AT$71:AT$138="G")*$C$71:$C$138)*$L$12+SUMPRODUCT(($B$71:$B$138="Spinach")*(AT$71:AT$138="H")*$C$71:$C$138)*$M$12+SUMPRODUCT(($B$71:$B$138="Spinach")*($BG$71:$BG$138=42)*$C$71:$C$138)*$H$12</f>
        <v/>
      </c>
      <c r="AU229" s="36">
        <f>SUMPRODUCT(($B$71:$B$138="Spinach")*(AU$71:AU$138="P")*$C$71:$C$138)*$K$12+SUMPRODUCT(($B$71:$B$138="Spinach")*(AU$71:AU$138="G")*$C$71:$C$138)*$L$12+SUMPRODUCT(($B$71:$B$138="Spinach")*(AU$71:AU$138="H")*$C$71:$C$138)*$M$12+SUMPRODUCT(($B$71:$B$138="Spinach")*($BG$71:$BG$138=43)*$C$71:$C$138)*$H$12</f>
        <v/>
      </c>
      <c r="AV229" s="36">
        <f>SUMPRODUCT(($B$71:$B$138="Spinach")*(AV$71:AV$138="P")*$C$71:$C$138)*$K$12+SUMPRODUCT(($B$71:$B$138="Spinach")*(AV$71:AV$138="G")*$C$71:$C$138)*$L$12+SUMPRODUCT(($B$71:$B$138="Spinach")*(AV$71:AV$138="H")*$C$71:$C$138)*$M$12+SUMPRODUCT(($B$71:$B$138="Spinach")*($BG$71:$BG$138=44)*$C$71:$C$138)*$H$12</f>
        <v/>
      </c>
      <c r="AW229" s="36">
        <f>SUMPRODUCT(($B$71:$B$138="Spinach")*(AW$71:AW$138="P")*$C$71:$C$138)*$K$12+SUMPRODUCT(($B$71:$B$138="Spinach")*(AW$71:AW$138="G")*$C$71:$C$138)*$L$12+SUMPRODUCT(($B$71:$B$138="Spinach")*(AW$71:AW$138="H")*$C$71:$C$138)*$M$12+SUMPRODUCT(($B$71:$B$138="Spinach")*($BG$71:$BG$138=45)*$C$71:$C$138)*$H$12</f>
        <v/>
      </c>
      <c r="AX229" s="36">
        <f>SUMPRODUCT(($B$71:$B$138="Spinach")*(AX$71:AX$138="P")*$C$71:$C$138)*$K$12+SUMPRODUCT(($B$71:$B$138="Spinach")*(AX$71:AX$138="G")*$C$71:$C$138)*$L$12+SUMPRODUCT(($B$71:$B$138="Spinach")*(AX$71:AX$138="H")*$C$71:$C$138)*$M$12+SUMPRODUCT(($B$71:$B$138="Spinach")*($BG$71:$BG$138=46)*$C$71:$C$138)*$H$12</f>
        <v/>
      </c>
      <c r="AY229" s="36">
        <f>SUMPRODUCT(($B$71:$B$138="Spinach")*(AY$71:AY$138="P")*$C$71:$C$138)*$K$12+SUMPRODUCT(($B$71:$B$138="Spinach")*(AY$71:AY$138="G")*$C$71:$C$138)*$L$12+SUMPRODUCT(($B$71:$B$138="Spinach")*(AY$71:AY$138="H")*$C$71:$C$138)*$M$12+SUMPRODUCT(($B$71:$B$138="Spinach")*($BG$71:$BG$138=47)*$C$71:$C$138)*$H$12</f>
        <v/>
      </c>
      <c r="AZ229" s="36">
        <f>SUMPRODUCT(($B$71:$B$138="Spinach")*(AZ$71:AZ$138="P")*$C$71:$C$138)*$K$12+SUMPRODUCT(($B$71:$B$138="Spinach")*(AZ$71:AZ$138="G")*$C$71:$C$138)*$L$12+SUMPRODUCT(($B$71:$B$138="Spinach")*(AZ$71:AZ$138="H")*$C$71:$C$138)*$M$12+SUMPRODUCT(($B$71:$B$138="Spinach")*($BG$71:$BG$138=48)*$C$71:$C$138)*$H$12</f>
        <v/>
      </c>
      <c r="BA229" s="36">
        <f>SUMPRODUCT(($B$71:$B$138="Spinach")*(BA$71:BA$138="P")*$C$71:$C$138)*$K$12+SUMPRODUCT(($B$71:$B$138="Spinach")*(BA$71:BA$138="G")*$C$71:$C$138)*$L$12+SUMPRODUCT(($B$71:$B$138="Spinach")*(BA$71:BA$138="H")*$C$71:$C$138)*$M$12+SUMPRODUCT(($B$71:$B$138="Spinach")*($BG$71:$BG$138=49)*$C$71:$C$138)*$H$12</f>
        <v/>
      </c>
      <c r="BB229" s="36">
        <f>SUMPRODUCT(($B$71:$B$138="Spinach")*(BB$71:BB$138="P")*$C$71:$C$138)*$K$12+SUMPRODUCT(($B$71:$B$138="Spinach")*(BB$71:BB$138="G")*$C$71:$C$138)*$L$12+SUMPRODUCT(($B$71:$B$138="Spinach")*(BB$71:BB$138="H")*$C$71:$C$138)*$M$12+SUMPRODUCT(($B$71:$B$138="Spinach")*($BG$71:$BG$138=50)*$C$71:$C$138)*$H$12</f>
        <v/>
      </c>
      <c r="BC229" s="36">
        <f>SUMPRODUCT(($B$71:$B$138="Spinach")*(BC$71:BC$138="P")*$C$71:$C$138)*$K$12+SUMPRODUCT(($B$71:$B$138="Spinach")*(BC$71:BC$138="G")*$C$71:$C$138)*$L$12+SUMPRODUCT(($B$71:$B$138="Spinach")*(BC$71:BC$138="H")*$C$71:$C$138)*$M$12+SUMPRODUCT(($B$71:$B$138="Spinach")*($BG$71:$BG$138=51)*$C$71:$C$138)*$H$12</f>
        <v/>
      </c>
      <c r="BD229" s="36">
        <f>SUMPRODUCT(($B$71:$B$138="Spinach")*(BD$71:BD$138="P")*$C$71:$C$138)*$K$12+SUMPRODUCT(($B$71:$B$138="Spinach")*(BD$71:BD$138="G")*$C$71:$C$138)*$L$12+SUMPRODUCT(($B$71:$B$138="Spinach")*(BD$71:BD$138="H")*$C$71:$C$138)*$M$12+SUMPRODUCT(($B$71:$B$138="Spinach")*($BG$71:$BG$138=52)*$C$71:$C$138)*$H$12</f>
        <v/>
      </c>
    </row>
    <row r="230">
      <c r="A230" s="28" t="inlineStr">
        <is>
          <t>Packaging this week</t>
        </is>
      </c>
      <c r="B230" s="2" t="inlineStr">
        <is>
          <t>$</t>
        </is>
      </c>
      <c r="E230" s="36">
        <f>E214*$J$19+E220*$J$20</f>
        <v/>
      </c>
      <c r="F230" s="36">
        <f>F214*$J$19+F220*$J$20</f>
        <v/>
      </c>
      <c r="G230" s="36">
        <f>G214*$J$19+G220*$J$20</f>
        <v/>
      </c>
      <c r="H230" s="36">
        <f>H214*$J$19+H220*$J$20</f>
        <v/>
      </c>
      <c r="I230" s="36">
        <f>I214*$J$19+I220*$J$20</f>
        <v/>
      </c>
      <c r="J230" s="36">
        <f>J214*$J$19+J220*$J$20</f>
        <v/>
      </c>
      <c r="K230" s="36">
        <f>K214*$J$19+K220*$J$20</f>
        <v/>
      </c>
      <c r="L230" s="36">
        <f>L214*$J$19+L220*$J$20</f>
        <v/>
      </c>
      <c r="M230" s="36">
        <f>M214*$J$19+M220*$J$20</f>
        <v/>
      </c>
      <c r="N230" s="36">
        <f>N214*$J$19+N220*$J$20</f>
        <v/>
      </c>
      <c r="O230" s="36">
        <f>O214*$J$19+O220*$J$20</f>
        <v/>
      </c>
      <c r="P230" s="36">
        <f>P214*$J$19+P220*$J$20</f>
        <v/>
      </c>
      <c r="Q230" s="36">
        <f>Q214*$J$19+Q220*$J$20</f>
        <v/>
      </c>
      <c r="R230" s="36">
        <f>R214*$J$19+R220*$J$20</f>
        <v/>
      </c>
      <c r="S230" s="36">
        <f>S214*$J$19+S220*$J$20</f>
        <v/>
      </c>
      <c r="T230" s="36">
        <f>T214*$J$19+T220*$J$20</f>
        <v/>
      </c>
      <c r="U230" s="36">
        <f>U214*$J$19+U220*$J$20</f>
        <v/>
      </c>
      <c r="V230" s="36">
        <f>V214*$J$19+V220*$J$20</f>
        <v/>
      </c>
      <c r="W230" s="36">
        <f>W214*$J$19+W220*$J$20</f>
        <v/>
      </c>
      <c r="X230" s="36">
        <f>X214*$J$19+X220*$J$20</f>
        <v/>
      </c>
      <c r="Y230" s="36">
        <f>Y214*$J$19+Y220*$J$20</f>
        <v/>
      </c>
      <c r="Z230" s="36">
        <f>Z214*$J$19+Z220*$J$20</f>
        <v/>
      </c>
      <c r="AA230" s="36">
        <f>AA214*$J$19+AA220*$J$20</f>
        <v/>
      </c>
      <c r="AB230" s="36">
        <f>AB214*$J$19+AB220*$J$20</f>
        <v/>
      </c>
      <c r="AC230" s="36">
        <f>AC214*$J$19+AC220*$J$20</f>
        <v/>
      </c>
      <c r="AD230" s="36">
        <f>AD214*$J$19+AD220*$J$20</f>
        <v/>
      </c>
      <c r="AE230" s="36">
        <f>AE214*$J$19+AE220*$J$20</f>
        <v/>
      </c>
      <c r="AF230" s="36">
        <f>AF214*$J$19+AF220*$J$20</f>
        <v/>
      </c>
      <c r="AG230" s="36">
        <f>AG214*$J$19+AG220*$J$20</f>
        <v/>
      </c>
      <c r="AH230" s="36">
        <f>AH214*$J$19+AH220*$J$20</f>
        <v/>
      </c>
      <c r="AI230" s="36">
        <f>AI214*$J$19+AI220*$J$20</f>
        <v/>
      </c>
      <c r="AJ230" s="36">
        <f>AJ214*$J$19+AJ220*$J$20</f>
        <v/>
      </c>
      <c r="AK230" s="36">
        <f>AK214*$J$19+AK220*$J$20</f>
        <v/>
      </c>
      <c r="AL230" s="36">
        <f>AL214*$J$19+AL220*$J$20</f>
        <v/>
      </c>
      <c r="AM230" s="36">
        <f>AM214*$J$19+AM220*$J$20</f>
        <v/>
      </c>
      <c r="AN230" s="36">
        <f>AN214*$J$19+AN220*$J$20</f>
        <v/>
      </c>
      <c r="AO230" s="36">
        <f>AO214*$J$19+AO220*$J$20</f>
        <v/>
      </c>
      <c r="AP230" s="36">
        <f>AP214*$J$19+AP220*$J$20</f>
        <v/>
      </c>
      <c r="AQ230" s="36">
        <f>AQ214*$J$19+AQ220*$J$20</f>
        <v/>
      </c>
      <c r="AR230" s="36">
        <f>AR214*$J$19+AR220*$J$20</f>
        <v/>
      </c>
      <c r="AS230" s="36">
        <f>AS214*$J$19+AS220*$J$20</f>
        <v/>
      </c>
      <c r="AT230" s="36">
        <f>AT214*$J$19+AT220*$J$20</f>
        <v/>
      </c>
      <c r="AU230" s="36">
        <f>AU214*$J$19+AU220*$J$20</f>
        <v/>
      </c>
      <c r="AV230" s="36">
        <f>AV214*$J$19+AV220*$J$20</f>
        <v/>
      </c>
      <c r="AW230" s="36">
        <f>AW214*$J$19+AW220*$J$20</f>
        <v/>
      </c>
      <c r="AX230" s="36">
        <f>AX214*$J$19+AX220*$J$20</f>
        <v/>
      </c>
      <c r="AY230" s="36">
        <f>AY214*$J$19+AY220*$J$20</f>
        <v/>
      </c>
      <c r="AZ230" s="36">
        <f>AZ214*$J$19+AZ220*$J$20</f>
        <v/>
      </c>
      <c r="BA230" s="36">
        <f>BA214*$J$19+BA220*$J$20</f>
        <v/>
      </c>
      <c r="BB230" s="36">
        <f>BB214*$J$19+BB220*$J$20</f>
        <v/>
      </c>
      <c r="BC230" s="36">
        <f>BC214*$J$19+BC220*$J$20</f>
        <v/>
      </c>
      <c r="BD230" s="36">
        <f>BD214*$J$19+BD220*$J$20</f>
        <v/>
      </c>
    </row>
    <row r="231">
      <c r="A231" s="4" t="inlineStr">
        <is>
          <t>ROOM OCCUPANCY</t>
        </is>
      </c>
      <c r="B231" s="2" t="inlineStr">
        <is>
          <t>m3</t>
        </is>
      </c>
      <c r="E231" s="53">
        <f>(E209+E208)*$D$12</f>
        <v/>
      </c>
      <c r="F231" s="53">
        <f>(F209+F208)*$D$12</f>
        <v/>
      </c>
      <c r="G231" s="53">
        <f>(G209+G208)*$D$12</f>
        <v/>
      </c>
      <c r="H231" s="53">
        <f>(H209+H208)*$D$12</f>
        <v/>
      </c>
      <c r="I231" s="53">
        <f>(I209+I208)*$D$12</f>
        <v/>
      </c>
      <c r="J231" s="53">
        <f>(J209+J208)*$D$12</f>
        <v/>
      </c>
      <c r="K231" s="53">
        <f>(K209+K208)*$D$12</f>
        <v/>
      </c>
      <c r="L231" s="53">
        <f>(L209+L208)*$D$12</f>
        <v/>
      </c>
      <c r="M231" s="53">
        <f>(M209+M208)*$D$12</f>
        <v/>
      </c>
      <c r="N231" s="53">
        <f>(N209+N208)*$D$12</f>
        <v/>
      </c>
      <c r="O231" s="53">
        <f>(O209+O208)*$D$12</f>
        <v/>
      </c>
      <c r="P231" s="53">
        <f>(P209+P208)*$D$12</f>
        <v/>
      </c>
      <c r="Q231" s="53">
        <f>(Q209+Q208)*$D$12</f>
        <v/>
      </c>
      <c r="R231" s="53">
        <f>(R209+R208)*$D$12</f>
        <v/>
      </c>
      <c r="S231" s="53">
        <f>(S209+S208)*$D$12</f>
        <v/>
      </c>
      <c r="T231" s="53">
        <f>(T209+T208)*$D$12</f>
        <v/>
      </c>
      <c r="U231" s="53">
        <f>(U209+U208)*$D$12</f>
        <v/>
      </c>
      <c r="V231" s="53">
        <f>(V209+V208)*$D$12</f>
        <v/>
      </c>
      <c r="W231" s="53">
        <f>(W209+W208)*$D$12</f>
        <v/>
      </c>
      <c r="X231" s="53">
        <f>(X209+X208)*$D$12</f>
        <v/>
      </c>
      <c r="Y231" s="53">
        <f>(Y209+Y208)*$D$12</f>
        <v/>
      </c>
      <c r="Z231" s="53">
        <f>(Z209+Z208)*$D$12</f>
        <v/>
      </c>
      <c r="AA231" s="53">
        <f>(AA209+AA208)*$D$12</f>
        <v/>
      </c>
      <c r="AB231" s="53">
        <f>(AB209+AB208)*$D$12</f>
        <v/>
      </c>
      <c r="AC231" s="53">
        <f>(AC209+AC208)*$D$12</f>
        <v/>
      </c>
      <c r="AD231" s="53">
        <f>(AD209+AD208)*$D$12</f>
        <v/>
      </c>
      <c r="AE231" s="53">
        <f>(AE209+AE208)*$D$12</f>
        <v/>
      </c>
      <c r="AF231" s="53">
        <f>(AF209+AF208)*$D$12</f>
        <v/>
      </c>
      <c r="AG231" s="53">
        <f>(AG209+AG208)*$D$12</f>
        <v/>
      </c>
      <c r="AH231" s="53">
        <f>(AH209+AH208)*$D$12</f>
        <v/>
      </c>
      <c r="AI231" s="53">
        <f>(AI209+AI208)*$D$12</f>
        <v/>
      </c>
      <c r="AJ231" s="53">
        <f>(AJ209+AJ208)*$D$12</f>
        <v/>
      </c>
      <c r="AK231" s="53">
        <f>(AK209+AK208)*$D$12</f>
        <v/>
      </c>
      <c r="AL231" s="53">
        <f>(AL209+AL208)*$D$12</f>
        <v/>
      </c>
      <c r="AM231" s="53">
        <f>(AM209+AM208)*$D$12</f>
        <v/>
      </c>
      <c r="AN231" s="53">
        <f>(AN209+AN208)*$D$12</f>
        <v/>
      </c>
      <c r="AO231" s="53">
        <f>(AO209+AO208)*$D$12</f>
        <v/>
      </c>
      <c r="AP231" s="53">
        <f>(AP209+AP208)*$D$12</f>
        <v/>
      </c>
      <c r="AQ231" s="53">
        <f>(AQ209+AQ208)*$D$12</f>
        <v/>
      </c>
      <c r="AR231" s="53">
        <f>(AR209+AR208)*$D$12</f>
        <v/>
      </c>
      <c r="AS231" s="53">
        <f>(AS209+AS208)*$D$12</f>
        <v/>
      </c>
      <c r="AT231" s="53">
        <f>(AT209+AT208)*$D$12</f>
        <v/>
      </c>
      <c r="AU231" s="53">
        <f>(AU209+AU208)*$D$12</f>
        <v/>
      </c>
      <c r="AV231" s="53">
        <f>(AV209+AV208)*$D$12</f>
        <v/>
      </c>
      <c r="AW231" s="53">
        <f>(AW209+AW208)*$D$12</f>
        <v/>
      </c>
      <c r="AX231" s="53">
        <f>(AX209+AX208)*$D$12</f>
        <v/>
      </c>
      <c r="AY231" s="53">
        <f>(AY209+AY208)*$D$12</f>
        <v/>
      </c>
      <c r="AZ231" s="53">
        <f>(AZ209+AZ208)*$D$12</f>
        <v/>
      </c>
      <c r="BA231" s="53">
        <f>(BA209+BA208)*$D$12</f>
        <v/>
      </c>
      <c r="BB231" s="53">
        <f>(BB209+BB208)*$D$12</f>
        <v/>
      </c>
      <c r="BC231" s="53">
        <f>(BC209+BC208)*$D$12</f>
        <v/>
      </c>
      <c r="BD231" s="53">
        <f>(BD209+BD208)*$D$12</f>
        <v/>
      </c>
    </row>
    <row r="233">
      <c r="A233" s="3" t="inlineStr">
        <is>
          <t>KALE  —  cold store</t>
        </is>
      </c>
      <c r="B233" s="48" t="inlineStr"/>
    </row>
    <row r="234">
      <c r="A234" s="32" t="inlineStr">
        <is>
          <t>Week</t>
        </is>
      </c>
      <c r="B234" s="33" t="inlineStr"/>
      <c r="E234" s="34" t="n">
        <v>1</v>
      </c>
      <c r="F234" s="34" t="n">
        <v>2</v>
      </c>
      <c r="G234" s="34" t="n">
        <v>3</v>
      </c>
      <c r="H234" s="34" t="n">
        <v>4</v>
      </c>
      <c r="I234" s="34" t="n">
        <v>5</v>
      </c>
      <c r="J234" s="34" t="n">
        <v>6</v>
      </c>
      <c r="K234" s="34" t="n">
        <v>7</v>
      </c>
      <c r="L234" s="34" t="n">
        <v>8</v>
      </c>
      <c r="M234" s="34" t="n">
        <v>9</v>
      </c>
      <c r="N234" s="34" t="n">
        <v>10</v>
      </c>
      <c r="O234" s="34" t="n">
        <v>11</v>
      </c>
      <c r="P234" s="34" t="n">
        <v>12</v>
      </c>
      <c r="Q234" s="34" t="n">
        <v>13</v>
      </c>
      <c r="R234" s="34" t="n">
        <v>14</v>
      </c>
      <c r="S234" s="34" t="n">
        <v>15</v>
      </c>
      <c r="T234" s="34" t="n">
        <v>16</v>
      </c>
      <c r="U234" s="34" t="n">
        <v>17</v>
      </c>
      <c r="V234" s="34" t="n">
        <v>18</v>
      </c>
      <c r="W234" s="34" t="n">
        <v>19</v>
      </c>
      <c r="X234" s="34" t="n">
        <v>20</v>
      </c>
      <c r="Y234" s="34" t="n">
        <v>21</v>
      </c>
      <c r="Z234" s="34" t="n">
        <v>22</v>
      </c>
      <c r="AA234" s="34" t="n">
        <v>23</v>
      </c>
      <c r="AB234" s="34" t="n">
        <v>24</v>
      </c>
      <c r="AC234" s="34" t="n">
        <v>25</v>
      </c>
      <c r="AD234" s="34" t="n">
        <v>26</v>
      </c>
      <c r="AE234" s="34" t="n">
        <v>27</v>
      </c>
      <c r="AF234" s="34" t="n">
        <v>28</v>
      </c>
      <c r="AG234" s="34" t="n">
        <v>29</v>
      </c>
      <c r="AH234" s="34" t="n">
        <v>30</v>
      </c>
      <c r="AI234" s="34" t="n">
        <v>31</v>
      </c>
      <c r="AJ234" s="34" t="n">
        <v>32</v>
      </c>
      <c r="AK234" s="34" t="n">
        <v>33</v>
      </c>
      <c r="AL234" s="34" t="n">
        <v>34</v>
      </c>
      <c r="AM234" s="34" t="n">
        <v>35</v>
      </c>
      <c r="AN234" s="34" t="n">
        <v>36</v>
      </c>
      <c r="AO234" s="34" t="n">
        <v>37</v>
      </c>
      <c r="AP234" s="34" t="n">
        <v>38</v>
      </c>
      <c r="AQ234" s="34" t="n">
        <v>39</v>
      </c>
      <c r="AR234" s="34" t="n">
        <v>40</v>
      </c>
      <c r="AS234" s="34" t="n">
        <v>41</v>
      </c>
      <c r="AT234" s="34" t="n">
        <v>42</v>
      </c>
      <c r="AU234" s="34" t="n">
        <v>43</v>
      </c>
      <c r="AV234" s="34" t="n">
        <v>44</v>
      </c>
      <c r="AW234" s="34" t="n">
        <v>45</v>
      </c>
      <c r="AX234" s="34" t="n">
        <v>46</v>
      </c>
      <c r="AY234" s="34" t="n">
        <v>47</v>
      </c>
      <c r="AZ234" s="34" t="n">
        <v>48</v>
      </c>
      <c r="BA234" s="34" t="n">
        <v>49</v>
      </c>
      <c r="BB234" s="34" t="n">
        <v>50</v>
      </c>
      <c r="BC234" s="34" t="n">
        <v>51</v>
      </c>
      <c r="BD234" s="34" t="n">
        <v>52</v>
      </c>
    </row>
    <row r="235">
      <c r="A235" s="4" t="inlineStr">
        <is>
          <t>Packed out -&gt; INTO the store</t>
        </is>
      </c>
      <c r="B235" s="2" t="inlineStr">
        <is>
          <t>lb</t>
        </is>
      </c>
      <c r="E235" s="36">
        <f>SUMPRODUCT(($B$71:$B$138="Kale")*(E$71:E$138="H")*$C$71:$C$138)*$B$13/$J$13*$C$13</f>
        <v/>
      </c>
      <c r="F235" s="36">
        <f>SUMPRODUCT(($B$71:$B$138="Kale")*(F$71:F$138="H")*$C$71:$C$138)*$B$13/$J$13*$C$13</f>
        <v/>
      </c>
      <c r="G235" s="36">
        <f>SUMPRODUCT(($B$71:$B$138="Kale")*(G$71:G$138="H")*$C$71:$C$138)*$B$13/$J$13*$C$13</f>
        <v/>
      </c>
      <c r="H235" s="36">
        <f>SUMPRODUCT(($B$71:$B$138="Kale")*(H$71:H$138="H")*$C$71:$C$138)*$B$13/$J$13*$C$13</f>
        <v/>
      </c>
      <c r="I235" s="36">
        <f>SUMPRODUCT(($B$71:$B$138="Kale")*(I$71:I$138="H")*$C$71:$C$138)*$B$13/$J$13*$C$13</f>
        <v/>
      </c>
      <c r="J235" s="36">
        <f>SUMPRODUCT(($B$71:$B$138="Kale")*(J$71:J$138="H")*$C$71:$C$138)*$B$13/$J$13*$C$13</f>
        <v/>
      </c>
      <c r="K235" s="36">
        <f>SUMPRODUCT(($B$71:$B$138="Kale")*(K$71:K$138="H")*$C$71:$C$138)*$B$13/$J$13*$C$13</f>
        <v/>
      </c>
      <c r="L235" s="36">
        <f>SUMPRODUCT(($B$71:$B$138="Kale")*(L$71:L$138="H")*$C$71:$C$138)*$B$13/$J$13*$C$13</f>
        <v/>
      </c>
      <c r="M235" s="36">
        <f>SUMPRODUCT(($B$71:$B$138="Kale")*(M$71:M$138="H")*$C$71:$C$138)*$B$13/$J$13*$C$13</f>
        <v/>
      </c>
      <c r="N235" s="36">
        <f>SUMPRODUCT(($B$71:$B$138="Kale")*(N$71:N$138="H")*$C$71:$C$138)*$B$13/$J$13*$C$13</f>
        <v/>
      </c>
      <c r="O235" s="36">
        <f>SUMPRODUCT(($B$71:$B$138="Kale")*(O$71:O$138="H")*$C$71:$C$138)*$B$13/$J$13*$C$13</f>
        <v/>
      </c>
      <c r="P235" s="36">
        <f>SUMPRODUCT(($B$71:$B$138="Kale")*(P$71:P$138="H")*$C$71:$C$138)*$B$13/$J$13*$C$13</f>
        <v/>
      </c>
      <c r="Q235" s="36">
        <f>SUMPRODUCT(($B$71:$B$138="Kale")*(Q$71:Q$138="H")*$C$71:$C$138)*$B$13/$J$13*$C$13</f>
        <v/>
      </c>
      <c r="R235" s="36">
        <f>SUMPRODUCT(($B$71:$B$138="Kale")*(R$71:R$138="H")*$C$71:$C$138)*$B$13/$J$13*$C$13</f>
        <v/>
      </c>
      <c r="S235" s="36">
        <f>SUMPRODUCT(($B$71:$B$138="Kale")*(S$71:S$138="H")*$C$71:$C$138)*$B$13/$J$13*$C$13</f>
        <v/>
      </c>
      <c r="T235" s="36">
        <f>SUMPRODUCT(($B$71:$B$138="Kale")*(T$71:T$138="H")*$C$71:$C$138)*$B$13/$J$13*$C$13</f>
        <v/>
      </c>
      <c r="U235" s="36">
        <f>SUMPRODUCT(($B$71:$B$138="Kale")*(U$71:U$138="H")*$C$71:$C$138)*$B$13/$J$13*$C$13</f>
        <v/>
      </c>
      <c r="V235" s="36">
        <f>SUMPRODUCT(($B$71:$B$138="Kale")*(V$71:V$138="H")*$C$71:$C$138)*$B$13/$J$13*$C$13</f>
        <v/>
      </c>
      <c r="W235" s="36">
        <f>SUMPRODUCT(($B$71:$B$138="Kale")*(W$71:W$138="H")*$C$71:$C$138)*$B$13/$J$13*$C$13</f>
        <v/>
      </c>
      <c r="X235" s="36">
        <f>SUMPRODUCT(($B$71:$B$138="Kale")*(X$71:X$138="H")*$C$71:$C$138)*$B$13/$J$13*$C$13</f>
        <v/>
      </c>
      <c r="Y235" s="36">
        <f>SUMPRODUCT(($B$71:$B$138="Kale")*(Y$71:Y$138="H")*$C$71:$C$138)*$B$13/$J$13*$C$13</f>
        <v/>
      </c>
      <c r="Z235" s="36">
        <f>SUMPRODUCT(($B$71:$B$138="Kale")*(Z$71:Z$138="H")*$C$71:$C$138)*$B$13/$J$13*$C$13</f>
        <v/>
      </c>
      <c r="AA235" s="36">
        <f>SUMPRODUCT(($B$71:$B$138="Kale")*(AA$71:AA$138="H")*$C$71:$C$138)*$B$13/$J$13*$C$13</f>
        <v/>
      </c>
      <c r="AB235" s="36">
        <f>SUMPRODUCT(($B$71:$B$138="Kale")*(AB$71:AB$138="H")*$C$71:$C$138)*$B$13/$J$13*$C$13</f>
        <v/>
      </c>
      <c r="AC235" s="36">
        <f>SUMPRODUCT(($B$71:$B$138="Kale")*(AC$71:AC$138="H")*$C$71:$C$138)*$B$13/$J$13*$C$13</f>
        <v/>
      </c>
      <c r="AD235" s="36">
        <f>SUMPRODUCT(($B$71:$B$138="Kale")*(AD$71:AD$138="H")*$C$71:$C$138)*$B$13/$J$13*$C$13</f>
        <v/>
      </c>
      <c r="AE235" s="36">
        <f>SUMPRODUCT(($B$71:$B$138="Kale")*(AE$71:AE$138="H")*$C$71:$C$138)*$B$13/$J$13*$C$13</f>
        <v/>
      </c>
      <c r="AF235" s="36">
        <f>SUMPRODUCT(($B$71:$B$138="Kale")*(AF$71:AF$138="H")*$C$71:$C$138)*$B$13/$J$13*$C$13</f>
        <v/>
      </c>
      <c r="AG235" s="36">
        <f>SUMPRODUCT(($B$71:$B$138="Kale")*(AG$71:AG$138="H")*$C$71:$C$138)*$B$13/$J$13*$C$13</f>
        <v/>
      </c>
      <c r="AH235" s="36">
        <f>SUMPRODUCT(($B$71:$B$138="Kale")*(AH$71:AH$138="H")*$C$71:$C$138)*$B$13/$J$13*$C$13</f>
        <v/>
      </c>
      <c r="AI235" s="36">
        <f>SUMPRODUCT(($B$71:$B$138="Kale")*(AI$71:AI$138="H")*$C$71:$C$138)*$B$13/$J$13*$C$13</f>
        <v/>
      </c>
      <c r="AJ235" s="36">
        <f>SUMPRODUCT(($B$71:$B$138="Kale")*(AJ$71:AJ$138="H")*$C$71:$C$138)*$B$13/$J$13*$C$13</f>
        <v/>
      </c>
      <c r="AK235" s="36">
        <f>SUMPRODUCT(($B$71:$B$138="Kale")*(AK$71:AK$138="H")*$C$71:$C$138)*$B$13/$J$13*$C$13</f>
        <v/>
      </c>
      <c r="AL235" s="36">
        <f>SUMPRODUCT(($B$71:$B$138="Kale")*(AL$71:AL$138="H")*$C$71:$C$138)*$B$13/$J$13*$C$13</f>
        <v/>
      </c>
      <c r="AM235" s="36">
        <f>SUMPRODUCT(($B$71:$B$138="Kale")*(AM$71:AM$138="H")*$C$71:$C$138)*$B$13/$J$13*$C$13</f>
        <v/>
      </c>
      <c r="AN235" s="36">
        <f>SUMPRODUCT(($B$71:$B$138="Kale")*(AN$71:AN$138="H")*$C$71:$C$138)*$B$13/$J$13*$C$13</f>
        <v/>
      </c>
      <c r="AO235" s="36">
        <f>SUMPRODUCT(($B$71:$B$138="Kale")*(AO$71:AO$138="H")*$C$71:$C$138)*$B$13/$J$13*$C$13</f>
        <v/>
      </c>
      <c r="AP235" s="36">
        <f>SUMPRODUCT(($B$71:$B$138="Kale")*(AP$71:AP$138="H")*$C$71:$C$138)*$B$13/$J$13*$C$13</f>
        <v/>
      </c>
      <c r="AQ235" s="36">
        <f>SUMPRODUCT(($B$71:$B$138="Kale")*(AQ$71:AQ$138="H")*$C$71:$C$138)*$B$13/$J$13*$C$13</f>
        <v/>
      </c>
      <c r="AR235" s="36">
        <f>SUMPRODUCT(($B$71:$B$138="Kale")*(AR$71:AR$138="H")*$C$71:$C$138)*$B$13/$J$13*$C$13</f>
        <v/>
      </c>
      <c r="AS235" s="36">
        <f>SUMPRODUCT(($B$71:$B$138="Kale")*(AS$71:AS$138="H")*$C$71:$C$138)*$B$13/$J$13*$C$13</f>
        <v/>
      </c>
      <c r="AT235" s="36">
        <f>SUMPRODUCT(($B$71:$B$138="Kale")*(AT$71:AT$138="H")*$C$71:$C$138)*$B$13/$J$13*$C$13</f>
        <v/>
      </c>
      <c r="AU235" s="36">
        <f>SUMPRODUCT(($B$71:$B$138="Kale")*(AU$71:AU$138="H")*$C$71:$C$138)*$B$13/$J$13*$C$13</f>
        <v/>
      </c>
      <c r="AV235" s="36">
        <f>SUMPRODUCT(($B$71:$B$138="Kale")*(AV$71:AV$138="H")*$C$71:$C$138)*$B$13/$J$13*$C$13</f>
        <v/>
      </c>
      <c r="AW235" s="36">
        <f>SUMPRODUCT(($B$71:$B$138="Kale")*(AW$71:AW$138="H")*$C$71:$C$138)*$B$13/$J$13*$C$13</f>
        <v/>
      </c>
      <c r="AX235" s="36">
        <f>SUMPRODUCT(($B$71:$B$138="Kale")*(AX$71:AX$138="H")*$C$71:$C$138)*$B$13/$J$13*$C$13</f>
        <v/>
      </c>
      <c r="AY235" s="36">
        <f>SUMPRODUCT(($B$71:$B$138="Kale")*(AY$71:AY$138="H")*$C$71:$C$138)*$B$13/$J$13*$C$13</f>
        <v/>
      </c>
      <c r="AZ235" s="36">
        <f>SUMPRODUCT(($B$71:$B$138="Kale")*(AZ$71:AZ$138="H")*$C$71:$C$138)*$B$13/$J$13*$C$13</f>
        <v/>
      </c>
      <c r="BA235" s="36">
        <f>SUMPRODUCT(($B$71:$B$138="Kale")*(BA$71:BA$138="H")*$C$71:$C$138)*$B$13/$J$13*$C$13</f>
        <v/>
      </c>
      <c r="BB235" s="36">
        <f>SUMPRODUCT(($B$71:$B$138="Kale")*(BB$71:BB$138="H")*$C$71:$C$138)*$B$13/$J$13*$C$13</f>
        <v/>
      </c>
      <c r="BC235" s="36">
        <f>SUMPRODUCT(($B$71:$B$138="Kale")*(BC$71:BC$138="H")*$C$71:$C$138)*$B$13/$J$13*$C$13</f>
        <v/>
      </c>
      <c r="BD235" s="36">
        <f>SUMPRODUCT(($B$71:$B$138="Kale")*(BD$71:BD$138="H")*$C$71:$C$138)*$B$13/$J$13*$C$13</f>
        <v/>
      </c>
    </row>
    <row r="236">
      <c r="A236" s="28" t="inlineStr">
        <is>
          <t>Stock carried in</t>
        </is>
      </c>
      <c r="B236" s="2" t="inlineStr">
        <is>
          <t>lb</t>
        </is>
      </c>
      <c r="E236" s="36" t="n">
        <v>0</v>
      </c>
      <c r="F236" s="36">
        <f>E253</f>
        <v/>
      </c>
      <c r="G236" s="36">
        <f>F253</f>
        <v/>
      </c>
      <c r="H236" s="36">
        <f>G253</f>
        <v/>
      </c>
      <c r="I236" s="36">
        <f>H253</f>
        <v/>
      </c>
      <c r="J236" s="36">
        <f>I253</f>
        <v/>
      </c>
      <c r="K236" s="36">
        <f>J253</f>
        <v/>
      </c>
      <c r="L236" s="36">
        <f>K253</f>
        <v/>
      </c>
      <c r="M236" s="36">
        <f>L253</f>
        <v/>
      </c>
      <c r="N236" s="36">
        <f>M253</f>
        <v/>
      </c>
      <c r="O236" s="36">
        <f>N253</f>
        <v/>
      </c>
      <c r="P236" s="36">
        <f>O253</f>
        <v/>
      </c>
      <c r="Q236" s="36">
        <f>P253</f>
        <v/>
      </c>
      <c r="R236" s="36">
        <f>Q253</f>
        <v/>
      </c>
      <c r="S236" s="36">
        <f>R253</f>
        <v/>
      </c>
      <c r="T236" s="36">
        <f>S253</f>
        <v/>
      </c>
      <c r="U236" s="36">
        <f>T253</f>
        <v/>
      </c>
      <c r="V236" s="36">
        <f>U253</f>
        <v/>
      </c>
      <c r="W236" s="36">
        <f>V253</f>
        <v/>
      </c>
      <c r="X236" s="36">
        <f>W253</f>
        <v/>
      </c>
      <c r="Y236" s="36">
        <f>X253</f>
        <v/>
      </c>
      <c r="Z236" s="36">
        <f>Y253</f>
        <v/>
      </c>
      <c r="AA236" s="36">
        <f>Z253</f>
        <v/>
      </c>
      <c r="AB236" s="36">
        <f>AA253</f>
        <v/>
      </c>
      <c r="AC236" s="36">
        <f>AB253</f>
        <v/>
      </c>
      <c r="AD236" s="36">
        <f>AC253</f>
        <v/>
      </c>
      <c r="AE236" s="36">
        <f>AD253</f>
        <v/>
      </c>
      <c r="AF236" s="36">
        <f>AE253</f>
        <v/>
      </c>
      <c r="AG236" s="36">
        <f>AF253</f>
        <v/>
      </c>
      <c r="AH236" s="36">
        <f>AG253</f>
        <v/>
      </c>
      <c r="AI236" s="36">
        <f>AH253</f>
        <v/>
      </c>
      <c r="AJ236" s="36">
        <f>AI253</f>
        <v/>
      </c>
      <c r="AK236" s="36">
        <f>AJ253</f>
        <v/>
      </c>
      <c r="AL236" s="36">
        <f>AK253</f>
        <v/>
      </c>
      <c r="AM236" s="36">
        <f>AL253</f>
        <v/>
      </c>
      <c r="AN236" s="36">
        <f>AM253</f>
        <v/>
      </c>
      <c r="AO236" s="36">
        <f>AN253</f>
        <v/>
      </c>
      <c r="AP236" s="36">
        <f>AO253</f>
        <v/>
      </c>
      <c r="AQ236" s="36">
        <f>AP253</f>
        <v/>
      </c>
      <c r="AR236" s="36">
        <f>AQ253</f>
        <v/>
      </c>
      <c r="AS236" s="36">
        <f>AR253</f>
        <v/>
      </c>
      <c r="AT236" s="36">
        <f>AS253</f>
        <v/>
      </c>
      <c r="AU236" s="36">
        <f>AT253</f>
        <v/>
      </c>
      <c r="AV236" s="36">
        <f>AU253</f>
        <v/>
      </c>
      <c r="AW236" s="36">
        <f>AV253</f>
        <v/>
      </c>
      <c r="AX236" s="36">
        <f>AW253</f>
        <v/>
      </c>
      <c r="AY236" s="36">
        <f>AX253</f>
        <v/>
      </c>
      <c r="AZ236" s="36">
        <f>AY253</f>
        <v/>
      </c>
      <c r="BA236" s="36">
        <f>AZ253</f>
        <v/>
      </c>
      <c r="BB236" s="36">
        <f>BA253</f>
        <v/>
      </c>
      <c r="BC236" s="36">
        <f>BB253</f>
        <v/>
      </c>
      <c r="BD236" s="36">
        <f>BC253</f>
        <v/>
      </c>
    </row>
    <row r="237">
      <c r="A237" s="28" t="inlineStr">
        <is>
          <t xml:space="preserve">   lost to shrink</t>
        </is>
      </c>
      <c r="B237" s="2" t="inlineStr">
        <is>
          <t>lb</t>
        </is>
      </c>
      <c r="E237" s="36">
        <f>E236*$G$13</f>
        <v/>
      </c>
      <c r="F237" s="36">
        <f>F236*$G$13</f>
        <v/>
      </c>
      <c r="G237" s="36">
        <f>G236*$G$13</f>
        <v/>
      </c>
      <c r="H237" s="36">
        <f>H236*$G$13</f>
        <v/>
      </c>
      <c r="I237" s="36">
        <f>I236*$G$13</f>
        <v/>
      </c>
      <c r="J237" s="36">
        <f>J236*$G$13</f>
        <v/>
      </c>
      <c r="K237" s="36">
        <f>K236*$G$13</f>
        <v/>
      </c>
      <c r="L237" s="36">
        <f>L236*$G$13</f>
        <v/>
      </c>
      <c r="M237" s="36">
        <f>M236*$G$13</f>
        <v/>
      </c>
      <c r="N237" s="36">
        <f>N236*$G$13</f>
        <v/>
      </c>
      <c r="O237" s="36">
        <f>O236*$G$13</f>
        <v/>
      </c>
      <c r="P237" s="36">
        <f>P236*$G$13</f>
        <v/>
      </c>
      <c r="Q237" s="36">
        <f>Q236*$G$13</f>
        <v/>
      </c>
      <c r="R237" s="36">
        <f>R236*$G$13</f>
        <v/>
      </c>
      <c r="S237" s="36">
        <f>S236*$G$13</f>
        <v/>
      </c>
      <c r="T237" s="36">
        <f>T236*$G$13</f>
        <v/>
      </c>
      <c r="U237" s="36">
        <f>U236*$G$13</f>
        <v/>
      </c>
      <c r="V237" s="36">
        <f>V236*$G$13</f>
        <v/>
      </c>
      <c r="W237" s="36">
        <f>W236*$G$13</f>
        <v/>
      </c>
      <c r="X237" s="36">
        <f>X236*$G$13</f>
        <v/>
      </c>
      <c r="Y237" s="36">
        <f>Y236*$G$13</f>
        <v/>
      </c>
      <c r="Z237" s="36">
        <f>Z236*$G$13</f>
        <v/>
      </c>
      <c r="AA237" s="36">
        <f>AA236*$G$13</f>
        <v/>
      </c>
      <c r="AB237" s="36">
        <f>AB236*$G$13</f>
        <v/>
      </c>
      <c r="AC237" s="36">
        <f>AC236*$G$13</f>
        <v/>
      </c>
      <c r="AD237" s="36">
        <f>AD236*$G$13</f>
        <v/>
      </c>
      <c r="AE237" s="36">
        <f>AE236*$G$13</f>
        <v/>
      </c>
      <c r="AF237" s="36">
        <f>AF236*$G$13</f>
        <v/>
      </c>
      <c r="AG237" s="36">
        <f>AG236*$G$13</f>
        <v/>
      </c>
      <c r="AH237" s="36">
        <f>AH236*$G$13</f>
        <v/>
      </c>
      <c r="AI237" s="36">
        <f>AI236*$G$13</f>
        <v/>
      </c>
      <c r="AJ237" s="36">
        <f>AJ236*$G$13</f>
        <v/>
      </c>
      <c r="AK237" s="36">
        <f>AK236*$G$13</f>
        <v/>
      </c>
      <c r="AL237" s="36">
        <f>AL236*$G$13</f>
        <v/>
      </c>
      <c r="AM237" s="36">
        <f>AM236*$G$13</f>
        <v/>
      </c>
      <c r="AN237" s="36">
        <f>AN236*$G$13</f>
        <v/>
      </c>
      <c r="AO237" s="36">
        <f>AO236*$G$13</f>
        <v/>
      </c>
      <c r="AP237" s="36">
        <f>AP236*$G$13</f>
        <v/>
      </c>
      <c r="AQ237" s="36">
        <f>AQ236*$G$13</f>
        <v/>
      </c>
      <c r="AR237" s="36">
        <f>AR236*$G$13</f>
        <v/>
      </c>
      <c r="AS237" s="36">
        <f>AS236*$G$13</f>
        <v/>
      </c>
      <c r="AT237" s="36">
        <f>AT236*$G$13</f>
        <v/>
      </c>
      <c r="AU237" s="36">
        <f>AU236*$G$13</f>
        <v/>
      </c>
      <c r="AV237" s="36">
        <f>AV236*$G$13</f>
        <v/>
      </c>
      <c r="AW237" s="36">
        <f>AW236*$G$13</f>
        <v/>
      </c>
      <c r="AX237" s="36">
        <f>AX236*$G$13</f>
        <v/>
      </c>
      <c r="AY237" s="36">
        <f>AY236*$G$13</f>
        <v/>
      </c>
      <c r="AZ237" s="36">
        <f>AZ236*$G$13</f>
        <v/>
      </c>
      <c r="BA237" s="36">
        <f>BA236*$G$13</f>
        <v/>
      </c>
      <c r="BB237" s="36">
        <f>BB236*$G$13</f>
        <v/>
      </c>
      <c r="BC237" s="36">
        <f>BC236*$G$13</f>
        <v/>
      </c>
      <c r="BD237" s="36">
        <f>BD236*$G$13</f>
        <v/>
      </c>
    </row>
    <row r="238">
      <c r="A238" s="4" t="inlineStr">
        <is>
          <t>In store this week</t>
        </is>
      </c>
      <c r="B238" s="2" t="inlineStr">
        <is>
          <t>lb</t>
        </is>
      </c>
      <c r="E238" s="36">
        <f>E236-E237+E235</f>
        <v/>
      </c>
      <c r="F238" s="36">
        <f>F236-F237+F235</f>
        <v/>
      </c>
      <c r="G238" s="36">
        <f>G236-G237+G235</f>
        <v/>
      </c>
      <c r="H238" s="36">
        <f>H236-H237+H235</f>
        <v/>
      </c>
      <c r="I238" s="36">
        <f>I236-I237+I235</f>
        <v/>
      </c>
      <c r="J238" s="36">
        <f>J236-J237+J235</f>
        <v/>
      </c>
      <c r="K238" s="36">
        <f>K236-K237+K235</f>
        <v/>
      </c>
      <c r="L238" s="36">
        <f>L236-L237+L235</f>
        <v/>
      </c>
      <c r="M238" s="36">
        <f>M236-M237+M235</f>
        <v/>
      </c>
      <c r="N238" s="36">
        <f>N236-N237+N235</f>
        <v/>
      </c>
      <c r="O238" s="36">
        <f>O236-O237+O235</f>
        <v/>
      </c>
      <c r="P238" s="36">
        <f>P236-P237+P235</f>
        <v/>
      </c>
      <c r="Q238" s="36">
        <f>Q236-Q237+Q235</f>
        <v/>
      </c>
      <c r="R238" s="36">
        <f>R236-R237+R235</f>
        <v/>
      </c>
      <c r="S238" s="36">
        <f>S236-S237+S235</f>
        <v/>
      </c>
      <c r="T238" s="36">
        <f>T236-T237+T235</f>
        <v/>
      </c>
      <c r="U238" s="36">
        <f>U236-U237+U235</f>
        <v/>
      </c>
      <c r="V238" s="36">
        <f>V236-V237+V235</f>
        <v/>
      </c>
      <c r="W238" s="36">
        <f>W236-W237+W235</f>
        <v/>
      </c>
      <c r="X238" s="36">
        <f>X236-X237+X235</f>
        <v/>
      </c>
      <c r="Y238" s="36">
        <f>Y236-Y237+Y235</f>
        <v/>
      </c>
      <c r="Z238" s="36">
        <f>Z236-Z237+Z235</f>
        <v/>
      </c>
      <c r="AA238" s="36">
        <f>AA236-AA237+AA235</f>
        <v/>
      </c>
      <c r="AB238" s="36">
        <f>AB236-AB237+AB235</f>
        <v/>
      </c>
      <c r="AC238" s="36">
        <f>AC236-AC237+AC235</f>
        <v/>
      </c>
      <c r="AD238" s="36">
        <f>AD236-AD237+AD235</f>
        <v/>
      </c>
      <c r="AE238" s="36">
        <f>AE236-AE237+AE235</f>
        <v/>
      </c>
      <c r="AF238" s="36">
        <f>AF236-AF237+AF235</f>
        <v/>
      </c>
      <c r="AG238" s="36">
        <f>AG236-AG237+AG235</f>
        <v/>
      </c>
      <c r="AH238" s="36">
        <f>AH236-AH237+AH235</f>
        <v/>
      </c>
      <c r="AI238" s="36">
        <f>AI236-AI237+AI235</f>
        <v/>
      </c>
      <c r="AJ238" s="36">
        <f>AJ236-AJ237+AJ235</f>
        <v/>
      </c>
      <c r="AK238" s="36">
        <f>AK236-AK237+AK235</f>
        <v/>
      </c>
      <c r="AL238" s="36">
        <f>AL236-AL237+AL235</f>
        <v/>
      </c>
      <c r="AM238" s="36">
        <f>AM236-AM237+AM235</f>
        <v/>
      </c>
      <c r="AN238" s="36">
        <f>AN236-AN237+AN235</f>
        <v/>
      </c>
      <c r="AO238" s="36">
        <f>AO236-AO237+AO235</f>
        <v/>
      </c>
      <c r="AP238" s="36">
        <f>AP236-AP237+AP235</f>
        <v/>
      </c>
      <c r="AQ238" s="36">
        <f>AQ236-AQ237+AQ235</f>
        <v/>
      </c>
      <c r="AR238" s="36">
        <f>AR236-AR237+AR235</f>
        <v/>
      </c>
      <c r="AS238" s="36">
        <f>AS236-AS237+AS235</f>
        <v/>
      </c>
      <c r="AT238" s="36">
        <f>AT236-AT237+AT235</f>
        <v/>
      </c>
      <c r="AU238" s="36">
        <f>AU236-AU237+AU235</f>
        <v/>
      </c>
      <c r="AV238" s="36">
        <f>AV236-AV237+AV235</f>
        <v/>
      </c>
      <c r="AW238" s="36">
        <f>AW236-AW237+AW235</f>
        <v/>
      </c>
      <c r="AX238" s="36">
        <f>AX236-AX237+AX235</f>
        <v/>
      </c>
      <c r="AY238" s="36">
        <f>AY236-AY237+AY235</f>
        <v/>
      </c>
      <c r="AZ238" s="36">
        <f>AZ236-AZ237+AZ235</f>
        <v/>
      </c>
      <c r="BA238" s="36">
        <f>BA236-BA237+BA235</f>
        <v/>
      </c>
      <c r="BB238" s="36">
        <f>BB236-BB237+BB235</f>
        <v/>
      </c>
      <c r="BC238" s="36">
        <f>BC236-BC237+BC235</f>
        <v/>
      </c>
      <c r="BD238" s="36">
        <f>BD236-BD237+BD235</f>
        <v/>
      </c>
    </row>
    <row r="239">
      <c r="A239" s="39" t="inlineStr">
        <is>
          <t>Farmers Market — most you may sell this week</t>
        </is>
      </c>
      <c r="B239" s="2" t="inlineStr">
        <is>
          <t>lb</t>
        </is>
      </c>
      <c r="E239" s="49">
        <f>IF($C$21="Annual",$D$21-0,IF(AND(1&gt;=$E$21,1&lt;=$F$21),$D$21,0))</f>
        <v/>
      </c>
      <c r="F239" s="49">
        <f>IF($C$21="Annual",$D$21-SUM(E241:E241),IF(AND(2&gt;=$E$21,2&lt;=$F$21),$D$21,0))</f>
        <v/>
      </c>
      <c r="G239" s="49">
        <f>IF($C$21="Annual",$D$21-SUM(E241:F241),IF(AND(3&gt;=$E$21,3&lt;=$F$21),$D$21,0))</f>
        <v/>
      </c>
      <c r="H239" s="49">
        <f>IF($C$21="Annual",$D$21-SUM(E241:G241),IF(AND(4&gt;=$E$21,4&lt;=$F$21),$D$21,0))</f>
        <v/>
      </c>
      <c r="I239" s="49">
        <f>IF($C$21="Annual",$D$21-SUM(E241:H241),IF(AND(5&gt;=$E$21,5&lt;=$F$21),$D$21,0))</f>
        <v/>
      </c>
      <c r="J239" s="49">
        <f>IF($C$21="Annual",$D$21-SUM(E241:I241),IF(AND(6&gt;=$E$21,6&lt;=$F$21),$D$21,0))</f>
        <v/>
      </c>
      <c r="K239" s="49">
        <f>IF($C$21="Annual",$D$21-SUM(E241:J241),IF(AND(7&gt;=$E$21,7&lt;=$F$21),$D$21,0))</f>
        <v/>
      </c>
      <c r="L239" s="49">
        <f>IF($C$21="Annual",$D$21-SUM(E241:K241),IF(AND(8&gt;=$E$21,8&lt;=$F$21),$D$21,0))</f>
        <v/>
      </c>
      <c r="M239" s="49">
        <f>IF($C$21="Annual",$D$21-SUM(E241:L241),IF(AND(9&gt;=$E$21,9&lt;=$F$21),$D$21,0))</f>
        <v/>
      </c>
      <c r="N239" s="49">
        <f>IF($C$21="Annual",$D$21-SUM(E241:M241),IF(AND(10&gt;=$E$21,10&lt;=$F$21),$D$21,0))</f>
        <v/>
      </c>
      <c r="O239" s="49">
        <f>IF($C$21="Annual",$D$21-SUM(E241:N241),IF(AND(11&gt;=$E$21,11&lt;=$F$21),$D$21,0))</f>
        <v/>
      </c>
      <c r="P239" s="49">
        <f>IF($C$21="Annual",$D$21-SUM(E241:O241),IF(AND(12&gt;=$E$21,12&lt;=$F$21),$D$21,0))</f>
        <v/>
      </c>
      <c r="Q239" s="49">
        <f>IF($C$21="Annual",$D$21-SUM(E241:P241),IF(AND(13&gt;=$E$21,13&lt;=$F$21),$D$21,0))</f>
        <v/>
      </c>
      <c r="R239" s="49">
        <f>IF($C$21="Annual",$D$21-SUM(E241:Q241),IF(AND(14&gt;=$E$21,14&lt;=$F$21),$D$21,0))</f>
        <v/>
      </c>
      <c r="S239" s="49">
        <f>IF($C$21="Annual",$D$21-SUM(E241:R241),IF(AND(15&gt;=$E$21,15&lt;=$F$21),$D$21,0))</f>
        <v/>
      </c>
      <c r="T239" s="49">
        <f>IF($C$21="Annual",$D$21-SUM(E241:S241),IF(AND(16&gt;=$E$21,16&lt;=$F$21),$D$21,0))</f>
        <v/>
      </c>
      <c r="U239" s="49">
        <f>IF($C$21="Annual",$D$21-SUM(E241:T241),IF(AND(17&gt;=$E$21,17&lt;=$F$21),$D$21,0))</f>
        <v/>
      </c>
      <c r="V239" s="49">
        <f>IF($C$21="Annual",$D$21-SUM(E241:U241),IF(AND(18&gt;=$E$21,18&lt;=$F$21),$D$21,0))</f>
        <v/>
      </c>
      <c r="W239" s="49">
        <f>IF($C$21="Annual",$D$21-SUM(E241:V241),IF(AND(19&gt;=$E$21,19&lt;=$F$21),$D$21,0))</f>
        <v/>
      </c>
      <c r="X239" s="49">
        <f>IF($C$21="Annual",$D$21-SUM(E241:W241),IF(AND(20&gt;=$E$21,20&lt;=$F$21),$D$21,0))</f>
        <v/>
      </c>
      <c r="Y239" s="49">
        <f>IF($C$21="Annual",$D$21-SUM(E241:X241),IF(AND(21&gt;=$E$21,21&lt;=$F$21),$D$21,0))</f>
        <v/>
      </c>
      <c r="Z239" s="49">
        <f>IF($C$21="Annual",$D$21-SUM(E241:Y241),IF(AND(22&gt;=$E$21,22&lt;=$F$21),$D$21,0))</f>
        <v/>
      </c>
      <c r="AA239" s="49">
        <f>IF($C$21="Annual",$D$21-SUM(E241:Z241),IF(AND(23&gt;=$E$21,23&lt;=$F$21),$D$21,0))</f>
        <v/>
      </c>
      <c r="AB239" s="49">
        <f>IF($C$21="Annual",$D$21-SUM(E241:AA241),IF(AND(24&gt;=$E$21,24&lt;=$F$21),$D$21,0))</f>
        <v/>
      </c>
      <c r="AC239" s="49">
        <f>IF($C$21="Annual",$D$21-SUM(E241:AB241),IF(AND(25&gt;=$E$21,25&lt;=$F$21),$D$21,0))</f>
        <v/>
      </c>
      <c r="AD239" s="49">
        <f>IF($C$21="Annual",$D$21-SUM(E241:AC241),IF(AND(26&gt;=$E$21,26&lt;=$F$21),$D$21,0))</f>
        <v/>
      </c>
      <c r="AE239" s="49">
        <f>IF($C$21="Annual",$D$21-SUM(E241:AD241),IF(AND(27&gt;=$E$21,27&lt;=$F$21),$D$21,0))</f>
        <v/>
      </c>
      <c r="AF239" s="49">
        <f>IF($C$21="Annual",$D$21-SUM(E241:AE241),IF(AND(28&gt;=$E$21,28&lt;=$F$21),$D$21,0))</f>
        <v/>
      </c>
      <c r="AG239" s="49">
        <f>IF($C$21="Annual",$D$21-SUM(E241:AF241),IF(AND(29&gt;=$E$21,29&lt;=$F$21),$D$21,0))</f>
        <v/>
      </c>
      <c r="AH239" s="49">
        <f>IF($C$21="Annual",$D$21-SUM(E241:AG241),IF(AND(30&gt;=$E$21,30&lt;=$F$21),$D$21,0))</f>
        <v/>
      </c>
      <c r="AI239" s="49">
        <f>IF($C$21="Annual",$D$21-SUM(E241:AH241),IF(AND(31&gt;=$E$21,31&lt;=$F$21),$D$21,0))</f>
        <v/>
      </c>
      <c r="AJ239" s="49">
        <f>IF($C$21="Annual",$D$21-SUM(E241:AI241),IF(AND(32&gt;=$E$21,32&lt;=$F$21),$D$21,0))</f>
        <v/>
      </c>
      <c r="AK239" s="49">
        <f>IF($C$21="Annual",$D$21-SUM(E241:AJ241),IF(AND(33&gt;=$E$21,33&lt;=$F$21),$D$21,0))</f>
        <v/>
      </c>
      <c r="AL239" s="49">
        <f>IF($C$21="Annual",$D$21-SUM(E241:AK241),IF(AND(34&gt;=$E$21,34&lt;=$F$21),$D$21,0))</f>
        <v/>
      </c>
      <c r="AM239" s="49">
        <f>IF($C$21="Annual",$D$21-SUM(E241:AL241),IF(AND(35&gt;=$E$21,35&lt;=$F$21),$D$21,0))</f>
        <v/>
      </c>
      <c r="AN239" s="49">
        <f>IF($C$21="Annual",$D$21-SUM(E241:AM241),IF(AND(36&gt;=$E$21,36&lt;=$F$21),$D$21,0))</f>
        <v/>
      </c>
      <c r="AO239" s="49">
        <f>IF($C$21="Annual",$D$21-SUM(E241:AN241),IF(AND(37&gt;=$E$21,37&lt;=$F$21),$D$21,0))</f>
        <v/>
      </c>
      <c r="AP239" s="49">
        <f>IF($C$21="Annual",$D$21-SUM(E241:AO241),IF(AND(38&gt;=$E$21,38&lt;=$F$21),$D$21,0))</f>
        <v/>
      </c>
      <c r="AQ239" s="49">
        <f>IF($C$21="Annual",$D$21-SUM(E241:AP241),IF(AND(39&gt;=$E$21,39&lt;=$F$21),$D$21,0))</f>
        <v/>
      </c>
      <c r="AR239" s="49">
        <f>IF($C$21="Annual",$D$21-SUM(E241:AQ241),IF(AND(40&gt;=$E$21,40&lt;=$F$21),$D$21,0))</f>
        <v/>
      </c>
      <c r="AS239" s="49">
        <f>IF($C$21="Annual",$D$21-SUM(E241:AR241),IF(AND(41&gt;=$E$21,41&lt;=$F$21),$D$21,0))</f>
        <v/>
      </c>
      <c r="AT239" s="49">
        <f>IF($C$21="Annual",$D$21-SUM(E241:AS241),IF(AND(42&gt;=$E$21,42&lt;=$F$21),$D$21,0))</f>
        <v/>
      </c>
      <c r="AU239" s="49">
        <f>IF($C$21="Annual",$D$21-SUM(E241:AT241),IF(AND(43&gt;=$E$21,43&lt;=$F$21),$D$21,0))</f>
        <v/>
      </c>
      <c r="AV239" s="49">
        <f>IF($C$21="Annual",$D$21-SUM(E241:AU241),IF(AND(44&gt;=$E$21,44&lt;=$F$21),$D$21,0))</f>
        <v/>
      </c>
      <c r="AW239" s="49">
        <f>IF($C$21="Annual",$D$21-SUM(E241:AV241),IF(AND(45&gt;=$E$21,45&lt;=$F$21),$D$21,0))</f>
        <v/>
      </c>
      <c r="AX239" s="49">
        <f>IF($C$21="Annual",$D$21-SUM(E241:AW241),IF(AND(46&gt;=$E$21,46&lt;=$F$21),$D$21,0))</f>
        <v/>
      </c>
      <c r="AY239" s="49">
        <f>IF($C$21="Annual",$D$21-SUM(E241:AX241),IF(AND(47&gt;=$E$21,47&lt;=$F$21),$D$21,0))</f>
        <v/>
      </c>
      <c r="AZ239" s="49">
        <f>IF($C$21="Annual",$D$21-SUM(E241:AY241),IF(AND(48&gt;=$E$21,48&lt;=$F$21),$D$21,0))</f>
        <v/>
      </c>
      <c r="BA239" s="49">
        <f>IF($C$21="Annual",$D$21-SUM(E241:AZ241),IF(AND(49&gt;=$E$21,49&lt;=$F$21),$D$21,0))</f>
        <v/>
      </c>
      <c r="BB239" s="49">
        <f>IF($C$21="Annual",$D$21-SUM(E241:BA241),IF(AND(50&gt;=$E$21,50&lt;=$F$21),$D$21,0))</f>
        <v/>
      </c>
      <c r="BC239" s="49">
        <f>IF($C$21="Annual",$D$21-SUM(E241:BB241),IF(AND(51&gt;=$E$21,51&lt;=$F$21),$D$21,0))</f>
        <v/>
      </c>
      <c r="BD239" s="49">
        <f>IF($C$21="Annual",$D$21-SUM(E241:BC241),IF(AND(52&gt;=$E$21,52&lt;=$F$21),$D$21,0))</f>
        <v/>
      </c>
    </row>
    <row r="240">
      <c r="A240" s="27" t="inlineStr">
        <is>
          <t>Farmers Market — OFFERED</t>
        </is>
      </c>
      <c r="B240" s="2" t="inlineStr">
        <is>
          <t>lb  &lt;-- SOLVER</t>
        </is>
      </c>
      <c r="E240" s="35" t="n">
        <v>0</v>
      </c>
      <c r="F240" s="35" t="n">
        <v>0</v>
      </c>
      <c r="G240" s="35" t="n">
        <v>0</v>
      </c>
      <c r="H240" s="35" t="n">
        <v>0</v>
      </c>
      <c r="I240" s="35" t="n">
        <v>0</v>
      </c>
      <c r="J240" s="35" t="n">
        <v>0</v>
      </c>
      <c r="K240" s="35" t="n">
        <v>0</v>
      </c>
      <c r="L240" s="35" t="n">
        <v>0</v>
      </c>
      <c r="M240" s="35" t="n">
        <v>0</v>
      </c>
      <c r="N240" s="35" t="n">
        <v>0</v>
      </c>
      <c r="O240" s="35" t="n">
        <v>0</v>
      </c>
      <c r="P240" s="35" t="n">
        <v>0</v>
      </c>
      <c r="Q240" s="35" t="n">
        <v>0</v>
      </c>
      <c r="R240" s="35" t="n">
        <v>0</v>
      </c>
      <c r="S240" s="35" t="n">
        <v>0</v>
      </c>
      <c r="T240" s="35" t="n">
        <v>0</v>
      </c>
      <c r="U240" s="35" t="n">
        <v>0</v>
      </c>
      <c r="V240" s="35" t="n">
        <v>0</v>
      </c>
      <c r="W240" s="35" t="n">
        <v>0</v>
      </c>
      <c r="X240" s="35" t="n">
        <v>0</v>
      </c>
      <c r="Y240" s="35" t="n">
        <v>0</v>
      </c>
      <c r="Z240" s="35" t="n">
        <v>0</v>
      </c>
      <c r="AA240" s="35" t="n">
        <v>0</v>
      </c>
      <c r="AB240" s="35" t="n">
        <v>0</v>
      </c>
      <c r="AC240" s="35" t="n">
        <v>0</v>
      </c>
      <c r="AD240" s="35" t="n">
        <v>0</v>
      </c>
      <c r="AE240" s="35" t="n">
        <v>0</v>
      </c>
      <c r="AF240" s="35" t="n">
        <v>0</v>
      </c>
      <c r="AG240" s="35" t="n">
        <v>0</v>
      </c>
      <c r="AH240" s="35" t="n">
        <v>0</v>
      </c>
      <c r="AI240" s="35" t="n">
        <v>0</v>
      </c>
      <c r="AJ240" s="35" t="n">
        <v>0</v>
      </c>
      <c r="AK240" s="35" t="n">
        <v>0</v>
      </c>
      <c r="AL240" s="35" t="n">
        <v>0</v>
      </c>
      <c r="AM240" s="35" t="n">
        <v>0</v>
      </c>
      <c r="AN240" s="35" t="n">
        <v>0</v>
      </c>
      <c r="AO240" s="35" t="n">
        <v>0</v>
      </c>
      <c r="AP240" s="35" t="n">
        <v>0</v>
      </c>
      <c r="AQ240" s="35" t="n">
        <v>0</v>
      </c>
      <c r="AR240" s="35" t="n">
        <v>0</v>
      </c>
      <c r="AS240" s="35" t="n">
        <v>0</v>
      </c>
      <c r="AT240" s="35" t="n">
        <v>0</v>
      </c>
      <c r="AU240" s="35" t="n">
        <v>0</v>
      </c>
      <c r="AV240" s="35" t="n">
        <v>0</v>
      </c>
      <c r="AW240" s="35" t="n">
        <v>0</v>
      </c>
      <c r="AX240" s="35" t="n">
        <v>0</v>
      </c>
      <c r="AY240" s="35" t="n">
        <v>0</v>
      </c>
      <c r="AZ240" s="35" t="n">
        <v>0</v>
      </c>
      <c r="BA240" s="35" t="n">
        <v>0</v>
      </c>
      <c r="BB240" s="35" t="n">
        <v>0</v>
      </c>
      <c r="BC240" s="35" t="n">
        <v>0</v>
      </c>
      <c r="BD240" s="35" t="n">
        <v>0</v>
      </c>
    </row>
    <row r="241">
      <c r="A241" s="50" t="inlineStr">
        <is>
          <t>Farmers Market — SOLD</t>
        </is>
      </c>
      <c r="B241" s="2" t="inlineStr">
        <is>
          <t>lb</t>
        </is>
      </c>
      <c r="E241" s="49">
        <f>E240*$G$21</f>
        <v/>
      </c>
      <c r="F241" s="49">
        <f>F240*$G$21</f>
        <v/>
      </c>
      <c r="G241" s="49">
        <f>G240*$G$21</f>
        <v/>
      </c>
      <c r="H241" s="49">
        <f>H240*$G$21</f>
        <v/>
      </c>
      <c r="I241" s="49">
        <f>I240*$G$21</f>
        <v/>
      </c>
      <c r="J241" s="49">
        <f>J240*$G$21</f>
        <v/>
      </c>
      <c r="K241" s="49">
        <f>K240*$G$21</f>
        <v/>
      </c>
      <c r="L241" s="49">
        <f>L240*$G$21</f>
        <v/>
      </c>
      <c r="M241" s="49">
        <f>M240*$G$21</f>
        <v/>
      </c>
      <c r="N241" s="49">
        <f>N240*$G$21</f>
        <v/>
      </c>
      <c r="O241" s="49">
        <f>O240*$G$21</f>
        <v/>
      </c>
      <c r="P241" s="49">
        <f>P240*$G$21</f>
        <v/>
      </c>
      <c r="Q241" s="49">
        <f>Q240*$G$21</f>
        <v/>
      </c>
      <c r="R241" s="49">
        <f>R240*$G$21</f>
        <v/>
      </c>
      <c r="S241" s="49">
        <f>S240*$G$21</f>
        <v/>
      </c>
      <c r="T241" s="49">
        <f>T240*$G$21</f>
        <v/>
      </c>
      <c r="U241" s="49">
        <f>U240*$G$21</f>
        <v/>
      </c>
      <c r="V241" s="49">
        <f>V240*$G$21</f>
        <v/>
      </c>
      <c r="W241" s="49">
        <f>W240*$G$21</f>
        <v/>
      </c>
      <c r="X241" s="49">
        <f>X240*$G$21</f>
        <v/>
      </c>
      <c r="Y241" s="49">
        <f>Y240*$G$21</f>
        <v/>
      </c>
      <c r="Z241" s="49">
        <f>Z240*$G$21</f>
        <v/>
      </c>
      <c r="AA241" s="49">
        <f>AA240*$G$21</f>
        <v/>
      </c>
      <c r="AB241" s="49">
        <f>AB240*$G$21</f>
        <v/>
      </c>
      <c r="AC241" s="49">
        <f>AC240*$G$21</f>
        <v/>
      </c>
      <c r="AD241" s="49">
        <f>AD240*$G$21</f>
        <v/>
      </c>
      <c r="AE241" s="49">
        <f>AE240*$G$21</f>
        <v/>
      </c>
      <c r="AF241" s="49">
        <f>AF240*$G$21</f>
        <v/>
      </c>
      <c r="AG241" s="49">
        <f>AG240*$G$21</f>
        <v/>
      </c>
      <c r="AH241" s="49">
        <f>AH240*$G$21</f>
        <v/>
      </c>
      <c r="AI241" s="49">
        <f>AI240*$G$21</f>
        <v/>
      </c>
      <c r="AJ241" s="49">
        <f>AJ240*$G$21</f>
        <v/>
      </c>
      <c r="AK241" s="49">
        <f>AK240*$G$21</f>
        <v/>
      </c>
      <c r="AL241" s="49">
        <f>AL240*$G$21</f>
        <v/>
      </c>
      <c r="AM241" s="49">
        <f>AM240*$G$21</f>
        <v/>
      </c>
      <c r="AN241" s="49">
        <f>AN240*$G$21</f>
        <v/>
      </c>
      <c r="AO241" s="49">
        <f>AO240*$G$21</f>
        <v/>
      </c>
      <c r="AP241" s="49">
        <f>AP240*$G$21</f>
        <v/>
      </c>
      <c r="AQ241" s="49">
        <f>AQ240*$G$21</f>
        <v/>
      </c>
      <c r="AR241" s="49">
        <f>AR240*$G$21</f>
        <v/>
      </c>
      <c r="AS241" s="49">
        <f>AS240*$G$21</f>
        <v/>
      </c>
      <c r="AT241" s="49">
        <f>AT240*$G$21</f>
        <v/>
      </c>
      <c r="AU241" s="49">
        <f>AU240*$G$21</f>
        <v/>
      </c>
      <c r="AV241" s="49">
        <f>AV240*$G$21</f>
        <v/>
      </c>
      <c r="AW241" s="49">
        <f>AW240*$G$21</f>
        <v/>
      </c>
      <c r="AX241" s="49">
        <f>AX240*$G$21</f>
        <v/>
      </c>
      <c r="AY241" s="49">
        <f>AY240*$G$21</f>
        <v/>
      </c>
      <c r="AZ241" s="49">
        <f>AZ240*$G$21</f>
        <v/>
      </c>
      <c r="BA241" s="49">
        <f>BA240*$G$21</f>
        <v/>
      </c>
      <c r="BB241" s="49">
        <f>BB240*$G$21</f>
        <v/>
      </c>
      <c r="BC241" s="49">
        <f>BC240*$G$21</f>
        <v/>
      </c>
      <c r="BD241" s="49">
        <f>BD240*$G$21</f>
        <v/>
      </c>
    </row>
    <row r="242">
      <c r="A242" s="28" t="inlineStr">
        <is>
          <t xml:space="preserve">   market loss (gone)</t>
        </is>
      </c>
      <c r="B242" s="2" t="inlineStr">
        <is>
          <t>lb</t>
        </is>
      </c>
      <c r="E242" s="36">
        <f>(E240-E241)*(1-$H$21)</f>
        <v/>
      </c>
      <c r="F242" s="36">
        <f>(F240-F241)*(1-$H$21)</f>
        <v/>
      </c>
      <c r="G242" s="36">
        <f>(G240-G241)*(1-$H$21)</f>
        <v/>
      </c>
      <c r="H242" s="36">
        <f>(H240-H241)*(1-$H$21)</f>
        <v/>
      </c>
      <c r="I242" s="36">
        <f>(I240-I241)*(1-$H$21)</f>
        <v/>
      </c>
      <c r="J242" s="36">
        <f>(J240-J241)*(1-$H$21)</f>
        <v/>
      </c>
      <c r="K242" s="36">
        <f>(K240-K241)*(1-$H$21)</f>
        <v/>
      </c>
      <c r="L242" s="36">
        <f>(L240-L241)*(1-$H$21)</f>
        <v/>
      </c>
      <c r="M242" s="36">
        <f>(M240-M241)*(1-$H$21)</f>
        <v/>
      </c>
      <c r="N242" s="36">
        <f>(N240-N241)*(1-$H$21)</f>
        <v/>
      </c>
      <c r="O242" s="36">
        <f>(O240-O241)*(1-$H$21)</f>
        <v/>
      </c>
      <c r="P242" s="36">
        <f>(P240-P241)*(1-$H$21)</f>
        <v/>
      </c>
      <c r="Q242" s="36">
        <f>(Q240-Q241)*(1-$H$21)</f>
        <v/>
      </c>
      <c r="R242" s="36">
        <f>(R240-R241)*(1-$H$21)</f>
        <v/>
      </c>
      <c r="S242" s="36">
        <f>(S240-S241)*(1-$H$21)</f>
        <v/>
      </c>
      <c r="T242" s="36">
        <f>(T240-T241)*(1-$H$21)</f>
        <v/>
      </c>
      <c r="U242" s="36">
        <f>(U240-U241)*(1-$H$21)</f>
        <v/>
      </c>
      <c r="V242" s="36">
        <f>(V240-V241)*(1-$H$21)</f>
        <v/>
      </c>
      <c r="W242" s="36">
        <f>(W240-W241)*(1-$H$21)</f>
        <v/>
      </c>
      <c r="X242" s="36">
        <f>(X240-X241)*(1-$H$21)</f>
        <v/>
      </c>
      <c r="Y242" s="36">
        <f>(Y240-Y241)*(1-$H$21)</f>
        <v/>
      </c>
      <c r="Z242" s="36">
        <f>(Z240-Z241)*(1-$H$21)</f>
        <v/>
      </c>
      <c r="AA242" s="36">
        <f>(AA240-AA241)*(1-$H$21)</f>
        <v/>
      </c>
      <c r="AB242" s="36">
        <f>(AB240-AB241)*(1-$H$21)</f>
        <v/>
      </c>
      <c r="AC242" s="36">
        <f>(AC240-AC241)*(1-$H$21)</f>
        <v/>
      </c>
      <c r="AD242" s="36">
        <f>(AD240-AD241)*(1-$H$21)</f>
        <v/>
      </c>
      <c r="AE242" s="36">
        <f>(AE240-AE241)*(1-$H$21)</f>
        <v/>
      </c>
      <c r="AF242" s="36">
        <f>(AF240-AF241)*(1-$H$21)</f>
        <v/>
      </c>
      <c r="AG242" s="36">
        <f>(AG240-AG241)*(1-$H$21)</f>
        <v/>
      </c>
      <c r="AH242" s="36">
        <f>(AH240-AH241)*(1-$H$21)</f>
        <v/>
      </c>
      <c r="AI242" s="36">
        <f>(AI240-AI241)*(1-$H$21)</f>
        <v/>
      </c>
      <c r="AJ242" s="36">
        <f>(AJ240-AJ241)*(1-$H$21)</f>
        <v/>
      </c>
      <c r="AK242" s="36">
        <f>(AK240-AK241)*(1-$H$21)</f>
        <v/>
      </c>
      <c r="AL242" s="36">
        <f>(AL240-AL241)*(1-$H$21)</f>
        <v/>
      </c>
      <c r="AM242" s="36">
        <f>(AM240-AM241)*(1-$H$21)</f>
        <v/>
      </c>
      <c r="AN242" s="36">
        <f>(AN240-AN241)*(1-$H$21)</f>
        <v/>
      </c>
      <c r="AO242" s="36">
        <f>(AO240-AO241)*(1-$H$21)</f>
        <v/>
      </c>
      <c r="AP242" s="36">
        <f>(AP240-AP241)*(1-$H$21)</f>
        <v/>
      </c>
      <c r="AQ242" s="36">
        <f>(AQ240-AQ241)*(1-$H$21)</f>
        <v/>
      </c>
      <c r="AR242" s="36">
        <f>(AR240-AR241)*(1-$H$21)</f>
        <v/>
      </c>
      <c r="AS242" s="36">
        <f>(AS240-AS241)*(1-$H$21)</f>
        <v/>
      </c>
      <c r="AT242" s="36">
        <f>(AT240-AT241)*(1-$H$21)</f>
        <v/>
      </c>
      <c r="AU242" s="36">
        <f>(AU240-AU241)*(1-$H$21)</f>
        <v/>
      </c>
      <c r="AV242" s="36">
        <f>(AV240-AV241)*(1-$H$21)</f>
        <v/>
      </c>
      <c r="AW242" s="36">
        <f>(AW240-AW241)*(1-$H$21)</f>
        <v/>
      </c>
      <c r="AX242" s="36">
        <f>(AX240-AX241)*(1-$H$21)</f>
        <v/>
      </c>
      <c r="AY242" s="36">
        <f>(AY240-AY241)*(1-$H$21)</f>
        <v/>
      </c>
      <c r="AZ242" s="36">
        <f>(AZ240-AZ241)*(1-$H$21)</f>
        <v/>
      </c>
      <c r="BA242" s="36">
        <f>(BA240-BA241)*(1-$H$21)</f>
        <v/>
      </c>
      <c r="BB242" s="36">
        <f>(BB240-BB241)*(1-$H$21)</f>
        <v/>
      </c>
      <c r="BC242" s="36">
        <f>(BC240-BC241)*(1-$H$21)</f>
        <v/>
      </c>
      <c r="BD242" s="36">
        <f>(BD240-BD241)*(1-$H$21)</f>
        <v/>
      </c>
    </row>
    <row r="243">
      <c r="A243" s="28" t="inlineStr">
        <is>
          <t xml:space="preserve">   returned to store</t>
        </is>
      </c>
      <c r="B243" s="2" t="inlineStr">
        <is>
          <t>lb</t>
        </is>
      </c>
      <c r="E243" s="36">
        <f>(E240-E241)*$H$21</f>
        <v/>
      </c>
      <c r="F243" s="36">
        <f>(F240-F241)*$H$21</f>
        <v/>
      </c>
      <c r="G243" s="36">
        <f>(G240-G241)*$H$21</f>
        <v/>
      </c>
      <c r="H243" s="36">
        <f>(H240-H241)*$H$21</f>
        <v/>
      </c>
      <c r="I243" s="36">
        <f>(I240-I241)*$H$21</f>
        <v/>
      </c>
      <c r="J243" s="36">
        <f>(J240-J241)*$H$21</f>
        <v/>
      </c>
      <c r="K243" s="36">
        <f>(K240-K241)*$H$21</f>
        <v/>
      </c>
      <c r="L243" s="36">
        <f>(L240-L241)*$H$21</f>
        <v/>
      </c>
      <c r="M243" s="36">
        <f>(M240-M241)*$H$21</f>
        <v/>
      </c>
      <c r="N243" s="36">
        <f>(N240-N241)*$H$21</f>
        <v/>
      </c>
      <c r="O243" s="36">
        <f>(O240-O241)*$H$21</f>
        <v/>
      </c>
      <c r="P243" s="36">
        <f>(P240-P241)*$H$21</f>
        <v/>
      </c>
      <c r="Q243" s="36">
        <f>(Q240-Q241)*$H$21</f>
        <v/>
      </c>
      <c r="R243" s="36">
        <f>(R240-R241)*$H$21</f>
        <v/>
      </c>
      <c r="S243" s="36">
        <f>(S240-S241)*$H$21</f>
        <v/>
      </c>
      <c r="T243" s="36">
        <f>(T240-T241)*$H$21</f>
        <v/>
      </c>
      <c r="U243" s="36">
        <f>(U240-U241)*$H$21</f>
        <v/>
      </c>
      <c r="V243" s="36">
        <f>(V240-V241)*$H$21</f>
        <v/>
      </c>
      <c r="W243" s="36">
        <f>(W240-W241)*$H$21</f>
        <v/>
      </c>
      <c r="X243" s="36">
        <f>(X240-X241)*$H$21</f>
        <v/>
      </c>
      <c r="Y243" s="36">
        <f>(Y240-Y241)*$H$21</f>
        <v/>
      </c>
      <c r="Z243" s="36">
        <f>(Z240-Z241)*$H$21</f>
        <v/>
      </c>
      <c r="AA243" s="36">
        <f>(AA240-AA241)*$H$21</f>
        <v/>
      </c>
      <c r="AB243" s="36">
        <f>(AB240-AB241)*$H$21</f>
        <v/>
      </c>
      <c r="AC243" s="36">
        <f>(AC240-AC241)*$H$21</f>
        <v/>
      </c>
      <c r="AD243" s="36">
        <f>(AD240-AD241)*$H$21</f>
        <v/>
      </c>
      <c r="AE243" s="36">
        <f>(AE240-AE241)*$H$21</f>
        <v/>
      </c>
      <c r="AF243" s="36">
        <f>(AF240-AF241)*$H$21</f>
        <v/>
      </c>
      <c r="AG243" s="36">
        <f>(AG240-AG241)*$H$21</f>
        <v/>
      </c>
      <c r="AH243" s="36">
        <f>(AH240-AH241)*$H$21</f>
        <v/>
      </c>
      <c r="AI243" s="36">
        <f>(AI240-AI241)*$H$21</f>
        <v/>
      </c>
      <c r="AJ243" s="36">
        <f>(AJ240-AJ241)*$H$21</f>
        <v/>
      </c>
      <c r="AK243" s="36">
        <f>(AK240-AK241)*$H$21</f>
        <v/>
      </c>
      <c r="AL243" s="36">
        <f>(AL240-AL241)*$H$21</f>
        <v/>
      </c>
      <c r="AM243" s="36">
        <f>(AM240-AM241)*$H$21</f>
        <v/>
      </c>
      <c r="AN243" s="36">
        <f>(AN240-AN241)*$H$21</f>
        <v/>
      </c>
      <c r="AO243" s="36">
        <f>(AO240-AO241)*$H$21</f>
        <v/>
      </c>
      <c r="AP243" s="36">
        <f>(AP240-AP241)*$H$21</f>
        <v/>
      </c>
      <c r="AQ243" s="36">
        <f>(AQ240-AQ241)*$H$21</f>
        <v/>
      </c>
      <c r="AR243" s="36">
        <f>(AR240-AR241)*$H$21</f>
        <v/>
      </c>
      <c r="AS243" s="36">
        <f>(AS240-AS241)*$H$21</f>
        <v/>
      </c>
      <c r="AT243" s="36">
        <f>(AT240-AT241)*$H$21</f>
        <v/>
      </c>
      <c r="AU243" s="36">
        <f>(AU240-AU241)*$H$21</f>
        <v/>
      </c>
      <c r="AV243" s="36">
        <f>(AV240-AV241)*$H$21</f>
        <v/>
      </c>
      <c r="AW243" s="36">
        <f>(AW240-AW241)*$H$21</f>
        <v/>
      </c>
      <c r="AX243" s="36">
        <f>(AX240-AX241)*$H$21</f>
        <v/>
      </c>
      <c r="AY243" s="36">
        <f>(AY240-AY241)*$H$21</f>
        <v/>
      </c>
      <c r="AZ243" s="36">
        <f>(AZ240-AZ241)*$H$21</f>
        <v/>
      </c>
      <c r="BA243" s="36">
        <f>(BA240-BA241)*$H$21</f>
        <v/>
      </c>
      <c r="BB243" s="36">
        <f>(BB240-BB241)*$H$21</f>
        <v/>
      </c>
      <c r="BC243" s="36">
        <f>(BC240-BC241)*$H$21</f>
        <v/>
      </c>
      <c r="BD243" s="36">
        <f>(BD240-BD241)*$H$21</f>
        <v/>
      </c>
    </row>
    <row r="244">
      <c r="A244" s="28" t="inlineStr">
        <is>
          <t xml:space="preserve">   leaves the store (offered - returned)</t>
        </is>
      </c>
      <c r="B244" s="2" t="inlineStr">
        <is>
          <t>lb</t>
        </is>
      </c>
      <c r="E244" s="36">
        <f>E240-E243</f>
        <v/>
      </c>
      <c r="F244" s="36">
        <f>F240-F243</f>
        <v/>
      </c>
      <c r="G244" s="36">
        <f>G240-G243</f>
        <v/>
      </c>
      <c r="H244" s="36">
        <f>H240-H243</f>
        <v/>
      </c>
      <c r="I244" s="36">
        <f>I240-I243</f>
        <v/>
      </c>
      <c r="J244" s="36">
        <f>J240-J243</f>
        <v/>
      </c>
      <c r="K244" s="36">
        <f>K240-K243</f>
        <v/>
      </c>
      <c r="L244" s="36">
        <f>L240-L243</f>
        <v/>
      </c>
      <c r="M244" s="36">
        <f>M240-M243</f>
        <v/>
      </c>
      <c r="N244" s="36">
        <f>N240-N243</f>
        <v/>
      </c>
      <c r="O244" s="36">
        <f>O240-O243</f>
        <v/>
      </c>
      <c r="P244" s="36">
        <f>P240-P243</f>
        <v/>
      </c>
      <c r="Q244" s="36">
        <f>Q240-Q243</f>
        <v/>
      </c>
      <c r="R244" s="36">
        <f>R240-R243</f>
        <v/>
      </c>
      <c r="S244" s="36">
        <f>S240-S243</f>
        <v/>
      </c>
      <c r="T244" s="36">
        <f>T240-T243</f>
        <v/>
      </c>
      <c r="U244" s="36">
        <f>U240-U243</f>
        <v/>
      </c>
      <c r="V244" s="36">
        <f>V240-V243</f>
        <v/>
      </c>
      <c r="W244" s="36">
        <f>W240-W243</f>
        <v/>
      </c>
      <c r="X244" s="36">
        <f>X240-X243</f>
        <v/>
      </c>
      <c r="Y244" s="36">
        <f>Y240-Y243</f>
        <v/>
      </c>
      <c r="Z244" s="36">
        <f>Z240-Z243</f>
        <v/>
      </c>
      <c r="AA244" s="36">
        <f>AA240-AA243</f>
        <v/>
      </c>
      <c r="AB244" s="36">
        <f>AB240-AB243</f>
        <v/>
      </c>
      <c r="AC244" s="36">
        <f>AC240-AC243</f>
        <v/>
      </c>
      <c r="AD244" s="36">
        <f>AD240-AD243</f>
        <v/>
      </c>
      <c r="AE244" s="36">
        <f>AE240-AE243</f>
        <v/>
      </c>
      <c r="AF244" s="36">
        <f>AF240-AF243</f>
        <v/>
      </c>
      <c r="AG244" s="36">
        <f>AG240-AG243</f>
        <v/>
      </c>
      <c r="AH244" s="36">
        <f>AH240-AH243</f>
        <v/>
      </c>
      <c r="AI244" s="36">
        <f>AI240-AI243</f>
        <v/>
      </c>
      <c r="AJ244" s="36">
        <f>AJ240-AJ243</f>
        <v/>
      </c>
      <c r="AK244" s="36">
        <f>AK240-AK243</f>
        <v/>
      </c>
      <c r="AL244" s="36">
        <f>AL240-AL243</f>
        <v/>
      </c>
      <c r="AM244" s="36">
        <f>AM240-AM243</f>
        <v/>
      </c>
      <c r="AN244" s="36">
        <f>AN240-AN243</f>
        <v/>
      </c>
      <c r="AO244" s="36">
        <f>AO240-AO243</f>
        <v/>
      </c>
      <c r="AP244" s="36">
        <f>AP240-AP243</f>
        <v/>
      </c>
      <c r="AQ244" s="36">
        <f>AQ240-AQ243</f>
        <v/>
      </c>
      <c r="AR244" s="36">
        <f>AR240-AR243</f>
        <v/>
      </c>
      <c r="AS244" s="36">
        <f>AS240-AS243</f>
        <v/>
      </c>
      <c r="AT244" s="36">
        <f>AT240-AT243</f>
        <v/>
      </c>
      <c r="AU244" s="36">
        <f>AU240-AU243</f>
        <v/>
      </c>
      <c r="AV244" s="36">
        <f>AV240-AV243</f>
        <v/>
      </c>
      <c r="AW244" s="36">
        <f>AW240-AW243</f>
        <v/>
      </c>
      <c r="AX244" s="36">
        <f>AX240-AX243</f>
        <v/>
      </c>
      <c r="AY244" s="36">
        <f>AY240-AY243</f>
        <v/>
      </c>
      <c r="AZ244" s="36">
        <f>AZ240-AZ243</f>
        <v/>
      </c>
      <c r="BA244" s="36">
        <f>BA240-BA243</f>
        <v/>
      </c>
      <c r="BB244" s="36">
        <f>BB240-BB243</f>
        <v/>
      </c>
      <c r="BC244" s="36">
        <f>BC240-BC243</f>
        <v/>
      </c>
      <c r="BD244" s="36">
        <f>BD240-BD243</f>
        <v/>
      </c>
    </row>
    <row r="245">
      <c r="A245" s="39" t="inlineStr">
        <is>
          <t>Wholesale — most you may sell this week</t>
        </is>
      </c>
      <c r="B245" s="2" t="inlineStr">
        <is>
          <t>lb</t>
        </is>
      </c>
      <c r="E245" s="51">
        <f>IF($C$22="Annual",$D$22-0,IF(AND(1&gt;=$E$22,1&lt;=$F$22),$D$22,0))</f>
        <v/>
      </c>
      <c r="F245" s="51">
        <f>IF($C$22="Annual",$D$22-SUM(E249:E249),IF(AND(2&gt;=$E$22,2&lt;=$F$22),$D$22,0))</f>
        <v/>
      </c>
      <c r="G245" s="51">
        <f>IF($C$22="Annual",$D$22-SUM(E249:F249),IF(AND(3&gt;=$E$22,3&lt;=$F$22),$D$22,0))</f>
        <v/>
      </c>
      <c r="H245" s="51">
        <f>IF($C$22="Annual",$D$22-SUM(E249:G249),IF(AND(4&gt;=$E$22,4&lt;=$F$22),$D$22,0))</f>
        <v/>
      </c>
      <c r="I245" s="51">
        <f>IF($C$22="Annual",$D$22-SUM(E249:H249),IF(AND(5&gt;=$E$22,5&lt;=$F$22),$D$22,0))</f>
        <v/>
      </c>
      <c r="J245" s="51">
        <f>IF($C$22="Annual",$D$22-SUM(E249:I249),IF(AND(6&gt;=$E$22,6&lt;=$F$22),$D$22,0))</f>
        <v/>
      </c>
      <c r="K245" s="51">
        <f>IF($C$22="Annual",$D$22-SUM(E249:J249),IF(AND(7&gt;=$E$22,7&lt;=$F$22),$D$22,0))</f>
        <v/>
      </c>
      <c r="L245" s="51">
        <f>IF($C$22="Annual",$D$22-SUM(E249:K249),IF(AND(8&gt;=$E$22,8&lt;=$F$22),$D$22,0))</f>
        <v/>
      </c>
      <c r="M245" s="51">
        <f>IF($C$22="Annual",$D$22-SUM(E249:L249),IF(AND(9&gt;=$E$22,9&lt;=$F$22),$D$22,0))</f>
        <v/>
      </c>
      <c r="N245" s="51">
        <f>IF($C$22="Annual",$D$22-SUM(E249:M249),IF(AND(10&gt;=$E$22,10&lt;=$F$22),$D$22,0))</f>
        <v/>
      </c>
      <c r="O245" s="51">
        <f>IF($C$22="Annual",$D$22-SUM(E249:N249),IF(AND(11&gt;=$E$22,11&lt;=$F$22),$D$22,0))</f>
        <v/>
      </c>
      <c r="P245" s="51">
        <f>IF($C$22="Annual",$D$22-SUM(E249:O249),IF(AND(12&gt;=$E$22,12&lt;=$F$22),$D$22,0))</f>
        <v/>
      </c>
      <c r="Q245" s="51">
        <f>IF($C$22="Annual",$D$22-SUM(E249:P249),IF(AND(13&gt;=$E$22,13&lt;=$F$22),$D$22,0))</f>
        <v/>
      </c>
      <c r="R245" s="51">
        <f>IF($C$22="Annual",$D$22-SUM(E249:Q249),IF(AND(14&gt;=$E$22,14&lt;=$F$22),$D$22,0))</f>
        <v/>
      </c>
      <c r="S245" s="51">
        <f>IF($C$22="Annual",$D$22-SUM(E249:R249),IF(AND(15&gt;=$E$22,15&lt;=$F$22),$D$22,0))</f>
        <v/>
      </c>
      <c r="T245" s="51">
        <f>IF($C$22="Annual",$D$22-SUM(E249:S249),IF(AND(16&gt;=$E$22,16&lt;=$F$22),$D$22,0))</f>
        <v/>
      </c>
      <c r="U245" s="51">
        <f>IF($C$22="Annual",$D$22-SUM(E249:T249),IF(AND(17&gt;=$E$22,17&lt;=$F$22),$D$22,0))</f>
        <v/>
      </c>
      <c r="V245" s="51">
        <f>IF($C$22="Annual",$D$22-SUM(E249:U249),IF(AND(18&gt;=$E$22,18&lt;=$F$22),$D$22,0))</f>
        <v/>
      </c>
      <c r="W245" s="51">
        <f>IF($C$22="Annual",$D$22-SUM(E249:V249),IF(AND(19&gt;=$E$22,19&lt;=$F$22),$D$22,0))</f>
        <v/>
      </c>
      <c r="X245" s="51">
        <f>IF($C$22="Annual",$D$22-SUM(E249:W249),IF(AND(20&gt;=$E$22,20&lt;=$F$22),$D$22,0))</f>
        <v/>
      </c>
      <c r="Y245" s="51">
        <f>IF($C$22="Annual",$D$22-SUM(E249:X249),IF(AND(21&gt;=$E$22,21&lt;=$F$22),$D$22,0))</f>
        <v/>
      </c>
      <c r="Z245" s="51">
        <f>IF($C$22="Annual",$D$22-SUM(E249:Y249),IF(AND(22&gt;=$E$22,22&lt;=$F$22),$D$22,0))</f>
        <v/>
      </c>
      <c r="AA245" s="51">
        <f>IF($C$22="Annual",$D$22-SUM(E249:Z249),IF(AND(23&gt;=$E$22,23&lt;=$F$22),$D$22,0))</f>
        <v/>
      </c>
      <c r="AB245" s="51">
        <f>IF($C$22="Annual",$D$22-SUM(E249:AA249),IF(AND(24&gt;=$E$22,24&lt;=$F$22),$D$22,0))</f>
        <v/>
      </c>
      <c r="AC245" s="51">
        <f>IF($C$22="Annual",$D$22-SUM(E249:AB249),IF(AND(25&gt;=$E$22,25&lt;=$F$22),$D$22,0))</f>
        <v/>
      </c>
      <c r="AD245" s="51">
        <f>IF($C$22="Annual",$D$22-SUM(E249:AC249),IF(AND(26&gt;=$E$22,26&lt;=$F$22),$D$22,0))</f>
        <v/>
      </c>
      <c r="AE245" s="51">
        <f>IF($C$22="Annual",$D$22-SUM(E249:AD249),IF(AND(27&gt;=$E$22,27&lt;=$F$22),$D$22,0))</f>
        <v/>
      </c>
      <c r="AF245" s="51">
        <f>IF($C$22="Annual",$D$22-SUM(E249:AE249),IF(AND(28&gt;=$E$22,28&lt;=$F$22),$D$22,0))</f>
        <v/>
      </c>
      <c r="AG245" s="51">
        <f>IF($C$22="Annual",$D$22-SUM(E249:AF249),IF(AND(29&gt;=$E$22,29&lt;=$F$22),$D$22,0))</f>
        <v/>
      </c>
      <c r="AH245" s="51">
        <f>IF($C$22="Annual",$D$22-SUM(E249:AG249),IF(AND(30&gt;=$E$22,30&lt;=$F$22),$D$22,0))</f>
        <v/>
      </c>
      <c r="AI245" s="51">
        <f>IF($C$22="Annual",$D$22-SUM(E249:AH249),IF(AND(31&gt;=$E$22,31&lt;=$F$22),$D$22,0))</f>
        <v/>
      </c>
      <c r="AJ245" s="51">
        <f>IF($C$22="Annual",$D$22-SUM(E249:AI249),IF(AND(32&gt;=$E$22,32&lt;=$F$22),$D$22,0))</f>
        <v/>
      </c>
      <c r="AK245" s="51">
        <f>IF($C$22="Annual",$D$22-SUM(E249:AJ249),IF(AND(33&gt;=$E$22,33&lt;=$F$22),$D$22,0))</f>
        <v/>
      </c>
      <c r="AL245" s="51">
        <f>IF($C$22="Annual",$D$22-SUM(E249:AK249),IF(AND(34&gt;=$E$22,34&lt;=$F$22),$D$22,0))</f>
        <v/>
      </c>
      <c r="AM245" s="51">
        <f>IF($C$22="Annual",$D$22-SUM(E249:AL249),IF(AND(35&gt;=$E$22,35&lt;=$F$22),$D$22,0))</f>
        <v/>
      </c>
      <c r="AN245" s="51">
        <f>IF($C$22="Annual",$D$22-SUM(E249:AM249),IF(AND(36&gt;=$E$22,36&lt;=$F$22),$D$22,0))</f>
        <v/>
      </c>
      <c r="AO245" s="51">
        <f>IF($C$22="Annual",$D$22-SUM(E249:AN249),IF(AND(37&gt;=$E$22,37&lt;=$F$22),$D$22,0))</f>
        <v/>
      </c>
      <c r="AP245" s="51">
        <f>IF($C$22="Annual",$D$22-SUM(E249:AO249),IF(AND(38&gt;=$E$22,38&lt;=$F$22),$D$22,0))</f>
        <v/>
      </c>
      <c r="AQ245" s="51">
        <f>IF($C$22="Annual",$D$22-SUM(E249:AP249),IF(AND(39&gt;=$E$22,39&lt;=$F$22),$D$22,0))</f>
        <v/>
      </c>
      <c r="AR245" s="51">
        <f>IF($C$22="Annual",$D$22-SUM(E249:AQ249),IF(AND(40&gt;=$E$22,40&lt;=$F$22),$D$22,0))</f>
        <v/>
      </c>
      <c r="AS245" s="51">
        <f>IF($C$22="Annual",$D$22-SUM(E249:AR249),IF(AND(41&gt;=$E$22,41&lt;=$F$22),$D$22,0))</f>
        <v/>
      </c>
      <c r="AT245" s="51">
        <f>IF($C$22="Annual",$D$22-SUM(E249:AS249),IF(AND(42&gt;=$E$22,42&lt;=$F$22),$D$22,0))</f>
        <v/>
      </c>
      <c r="AU245" s="51">
        <f>IF($C$22="Annual",$D$22-SUM(E249:AT249),IF(AND(43&gt;=$E$22,43&lt;=$F$22),$D$22,0))</f>
        <v/>
      </c>
      <c r="AV245" s="51">
        <f>IF($C$22="Annual",$D$22-SUM(E249:AU249),IF(AND(44&gt;=$E$22,44&lt;=$F$22),$D$22,0))</f>
        <v/>
      </c>
      <c r="AW245" s="51">
        <f>IF($C$22="Annual",$D$22-SUM(E249:AV249),IF(AND(45&gt;=$E$22,45&lt;=$F$22),$D$22,0))</f>
        <v/>
      </c>
      <c r="AX245" s="51">
        <f>IF($C$22="Annual",$D$22-SUM(E249:AW249),IF(AND(46&gt;=$E$22,46&lt;=$F$22),$D$22,0))</f>
        <v/>
      </c>
      <c r="AY245" s="51">
        <f>IF($C$22="Annual",$D$22-SUM(E249:AX249),IF(AND(47&gt;=$E$22,47&lt;=$F$22),$D$22,0))</f>
        <v/>
      </c>
      <c r="AZ245" s="51">
        <f>IF($C$22="Annual",$D$22-SUM(E249:AY249),IF(AND(48&gt;=$E$22,48&lt;=$F$22),$D$22,0))</f>
        <v/>
      </c>
      <c r="BA245" s="51">
        <f>IF($C$22="Annual",$D$22-SUM(E249:AZ249),IF(AND(49&gt;=$E$22,49&lt;=$F$22),$D$22,0))</f>
        <v/>
      </c>
      <c r="BB245" s="51">
        <f>IF($C$22="Annual",$D$22-SUM(E249:BA249),IF(AND(50&gt;=$E$22,50&lt;=$F$22),$D$22,0))</f>
        <v/>
      </c>
      <c r="BC245" s="51">
        <f>IF($C$22="Annual",$D$22-SUM(E249:BB249),IF(AND(51&gt;=$E$22,51&lt;=$F$22),$D$22,0))</f>
        <v/>
      </c>
      <c r="BD245" s="51">
        <f>IF($C$22="Annual",$D$22-SUM(E249:BC249),IF(AND(52&gt;=$E$22,52&lt;=$F$22),$D$22,0))</f>
        <v/>
      </c>
    </row>
    <row r="246">
      <c r="A246" s="2" t="inlineStr">
        <is>
          <t xml:space="preserve">   ^ Wholesale is an ANNUAL cap (500,000 lb a year), so there is NO weekly limit —</t>
        </is>
      </c>
    </row>
    <row r="247">
      <c r="A247" s="2" t="inlineStr">
        <is>
          <t xml:space="preserve">     this row is what is LEFT of the year, and it falls as you sell.</t>
        </is>
      </c>
    </row>
    <row r="248">
      <c r="A248" s="27" t="inlineStr">
        <is>
          <t>Wholesale — OFFERED</t>
        </is>
      </c>
      <c r="B248" s="2" t="inlineStr">
        <is>
          <t>lb  &lt;-- SOLVER</t>
        </is>
      </c>
      <c r="E248" s="35" t="n">
        <v>0</v>
      </c>
      <c r="F248" s="35" t="n">
        <v>0</v>
      </c>
      <c r="G248" s="35" t="n">
        <v>0</v>
      </c>
      <c r="H248" s="35" t="n">
        <v>0</v>
      </c>
      <c r="I248" s="35" t="n">
        <v>0</v>
      </c>
      <c r="J248" s="35" t="n">
        <v>0</v>
      </c>
      <c r="K248" s="35" t="n">
        <v>0</v>
      </c>
      <c r="L248" s="35" t="n">
        <v>0</v>
      </c>
      <c r="M248" s="35" t="n">
        <v>0</v>
      </c>
      <c r="N248" s="35" t="n">
        <v>0</v>
      </c>
      <c r="O248" s="35" t="n">
        <v>0</v>
      </c>
      <c r="P248" s="35" t="n">
        <v>0</v>
      </c>
      <c r="Q248" s="35" t="n">
        <v>0</v>
      </c>
      <c r="R248" s="35" t="n">
        <v>0</v>
      </c>
      <c r="S248" s="35" t="n">
        <v>0</v>
      </c>
      <c r="T248" s="35" t="n">
        <v>0</v>
      </c>
      <c r="U248" s="35" t="n">
        <v>0</v>
      </c>
      <c r="V248" s="35" t="n">
        <v>0</v>
      </c>
      <c r="W248" s="35" t="n">
        <v>0</v>
      </c>
      <c r="X248" s="35" t="n">
        <v>0</v>
      </c>
      <c r="Y248" s="35" t="n">
        <v>0</v>
      </c>
      <c r="Z248" s="35" t="n">
        <v>0</v>
      </c>
      <c r="AA248" s="35" t="n">
        <v>0</v>
      </c>
      <c r="AB248" s="35" t="n">
        <v>0</v>
      </c>
      <c r="AC248" s="35" t="n">
        <v>0</v>
      </c>
      <c r="AD248" s="35" t="n">
        <v>0</v>
      </c>
      <c r="AE248" s="35" t="n">
        <v>0</v>
      </c>
      <c r="AF248" s="35" t="n">
        <v>0</v>
      </c>
      <c r="AG248" s="35" t="n">
        <v>0</v>
      </c>
      <c r="AH248" s="35" t="n">
        <v>0</v>
      </c>
      <c r="AI248" s="35" t="n">
        <v>0</v>
      </c>
      <c r="AJ248" s="35" t="n">
        <v>0</v>
      </c>
      <c r="AK248" s="35" t="n">
        <v>0</v>
      </c>
      <c r="AL248" s="35" t="n">
        <v>0</v>
      </c>
      <c r="AM248" s="35" t="n">
        <v>0</v>
      </c>
      <c r="AN248" s="35" t="n">
        <v>0</v>
      </c>
      <c r="AO248" s="35" t="n">
        <v>0</v>
      </c>
      <c r="AP248" s="35" t="n">
        <v>0</v>
      </c>
      <c r="AQ248" s="35" t="n">
        <v>0</v>
      </c>
      <c r="AR248" s="35" t="n">
        <v>0</v>
      </c>
      <c r="AS248" s="35" t="n">
        <v>0</v>
      </c>
      <c r="AT248" s="35" t="n">
        <v>0</v>
      </c>
      <c r="AU248" s="35" t="n">
        <v>0</v>
      </c>
      <c r="AV248" s="35" t="n">
        <v>0</v>
      </c>
      <c r="AW248" s="35" t="n">
        <v>0</v>
      </c>
      <c r="AX248" s="35" t="n">
        <v>0</v>
      </c>
      <c r="AY248" s="35" t="n">
        <v>0</v>
      </c>
      <c r="AZ248" s="35" t="n">
        <v>0</v>
      </c>
      <c r="BA248" s="35" t="n">
        <v>0</v>
      </c>
      <c r="BB248" s="35" t="n">
        <v>0</v>
      </c>
      <c r="BC248" s="35" t="n">
        <v>0</v>
      </c>
      <c r="BD248" s="35" t="n">
        <v>0</v>
      </c>
    </row>
    <row r="249">
      <c r="A249" s="52" t="inlineStr">
        <is>
          <t>Wholesale — SOLD</t>
        </is>
      </c>
      <c r="B249" s="2" t="inlineStr">
        <is>
          <t>lb</t>
        </is>
      </c>
      <c r="E249" s="51">
        <f>E248*$G$22</f>
        <v/>
      </c>
      <c r="F249" s="51">
        <f>F248*$G$22</f>
        <v/>
      </c>
      <c r="G249" s="51">
        <f>G248*$G$22</f>
        <v/>
      </c>
      <c r="H249" s="51">
        <f>H248*$G$22</f>
        <v/>
      </c>
      <c r="I249" s="51">
        <f>I248*$G$22</f>
        <v/>
      </c>
      <c r="J249" s="51">
        <f>J248*$G$22</f>
        <v/>
      </c>
      <c r="K249" s="51">
        <f>K248*$G$22</f>
        <v/>
      </c>
      <c r="L249" s="51">
        <f>L248*$G$22</f>
        <v/>
      </c>
      <c r="M249" s="51">
        <f>M248*$G$22</f>
        <v/>
      </c>
      <c r="N249" s="51">
        <f>N248*$G$22</f>
        <v/>
      </c>
      <c r="O249" s="51">
        <f>O248*$G$22</f>
        <v/>
      </c>
      <c r="P249" s="51">
        <f>P248*$G$22</f>
        <v/>
      </c>
      <c r="Q249" s="51">
        <f>Q248*$G$22</f>
        <v/>
      </c>
      <c r="R249" s="51">
        <f>R248*$G$22</f>
        <v/>
      </c>
      <c r="S249" s="51">
        <f>S248*$G$22</f>
        <v/>
      </c>
      <c r="T249" s="51">
        <f>T248*$G$22</f>
        <v/>
      </c>
      <c r="U249" s="51">
        <f>U248*$G$22</f>
        <v/>
      </c>
      <c r="V249" s="51">
        <f>V248*$G$22</f>
        <v/>
      </c>
      <c r="W249" s="51">
        <f>W248*$G$22</f>
        <v/>
      </c>
      <c r="X249" s="51">
        <f>X248*$G$22</f>
        <v/>
      </c>
      <c r="Y249" s="51">
        <f>Y248*$G$22</f>
        <v/>
      </c>
      <c r="Z249" s="51">
        <f>Z248*$G$22</f>
        <v/>
      </c>
      <c r="AA249" s="51">
        <f>AA248*$G$22</f>
        <v/>
      </c>
      <c r="AB249" s="51">
        <f>AB248*$G$22</f>
        <v/>
      </c>
      <c r="AC249" s="51">
        <f>AC248*$G$22</f>
        <v/>
      </c>
      <c r="AD249" s="51">
        <f>AD248*$G$22</f>
        <v/>
      </c>
      <c r="AE249" s="51">
        <f>AE248*$G$22</f>
        <v/>
      </c>
      <c r="AF249" s="51">
        <f>AF248*$G$22</f>
        <v/>
      </c>
      <c r="AG249" s="51">
        <f>AG248*$G$22</f>
        <v/>
      </c>
      <c r="AH249" s="51">
        <f>AH248*$G$22</f>
        <v/>
      </c>
      <c r="AI249" s="51">
        <f>AI248*$G$22</f>
        <v/>
      </c>
      <c r="AJ249" s="51">
        <f>AJ248*$G$22</f>
        <v/>
      </c>
      <c r="AK249" s="51">
        <f>AK248*$G$22</f>
        <v/>
      </c>
      <c r="AL249" s="51">
        <f>AL248*$G$22</f>
        <v/>
      </c>
      <c r="AM249" s="51">
        <f>AM248*$G$22</f>
        <v/>
      </c>
      <c r="AN249" s="51">
        <f>AN248*$G$22</f>
        <v/>
      </c>
      <c r="AO249" s="51">
        <f>AO248*$G$22</f>
        <v/>
      </c>
      <c r="AP249" s="51">
        <f>AP248*$G$22</f>
        <v/>
      </c>
      <c r="AQ249" s="51">
        <f>AQ248*$G$22</f>
        <v/>
      </c>
      <c r="AR249" s="51">
        <f>AR248*$G$22</f>
        <v/>
      </c>
      <c r="AS249" s="51">
        <f>AS248*$G$22</f>
        <v/>
      </c>
      <c r="AT249" s="51">
        <f>AT248*$G$22</f>
        <v/>
      </c>
      <c r="AU249" s="51">
        <f>AU248*$G$22</f>
        <v/>
      </c>
      <c r="AV249" s="51">
        <f>AV248*$G$22</f>
        <v/>
      </c>
      <c r="AW249" s="51">
        <f>AW248*$G$22</f>
        <v/>
      </c>
      <c r="AX249" s="51">
        <f>AX248*$G$22</f>
        <v/>
      </c>
      <c r="AY249" s="51">
        <f>AY248*$G$22</f>
        <v/>
      </c>
      <c r="AZ249" s="51">
        <f>AZ248*$G$22</f>
        <v/>
      </c>
      <c r="BA249" s="51">
        <f>BA248*$G$22</f>
        <v/>
      </c>
      <c r="BB249" s="51">
        <f>BB248*$G$22</f>
        <v/>
      </c>
      <c r="BC249" s="51">
        <f>BC248*$G$22</f>
        <v/>
      </c>
      <c r="BD249" s="51">
        <f>BD248*$G$22</f>
        <v/>
      </c>
    </row>
    <row r="250">
      <c r="A250" s="28" t="inlineStr">
        <is>
          <t xml:space="preserve">   market loss (gone)</t>
        </is>
      </c>
      <c r="B250" s="2" t="inlineStr">
        <is>
          <t>lb</t>
        </is>
      </c>
      <c r="E250" s="36">
        <f>(E248-E249)*(1-$H$22)</f>
        <v/>
      </c>
      <c r="F250" s="36">
        <f>(F248-F249)*(1-$H$22)</f>
        <v/>
      </c>
      <c r="G250" s="36">
        <f>(G248-G249)*(1-$H$22)</f>
        <v/>
      </c>
      <c r="H250" s="36">
        <f>(H248-H249)*(1-$H$22)</f>
        <v/>
      </c>
      <c r="I250" s="36">
        <f>(I248-I249)*(1-$H$22)</f>
        <v/>
      </c>
      <c r="J250" s="36">
        <f>(J248-J249)*(1-$H$22)</f>
        <v/>
      </c>
      <c r="K250" s="36">
        <f>(K248-K249)*(1-$H$22)</f>
        <v/>
      </c>
      <c r="L250" s="36">
        <f>(L248-L249)*(1-$H$22)</f>
        <v/>
      </c>
      <c r="M250" s="36">
        <f>(M248-M249)*(1-$H$22)</f>
        <v/>
      </c>
      <c r="N250" s="36">
        <f>(N248-N249)*(1-$H$22)</f>
        <v/>
      </c>
      <c r="O250" s="36">
        <f>(O248-O249)*(1-$H$22)</f>
        <v/>
      </c>
      <c r="P250" s="36">
        <f>(P248-P249)*(1-$H$22)</f>
        <v/>
      </c>
      <c r="Q250" s="36">
        <f>(Q248-Q249)*(1-$H$22)</f>
        <v/>
      </c>
      <c r="R250" s="36">
        <f>(R248-R249)*(1-$H$22)</f>
        <v/>
      </c>
      <c r="S250" s="36">
        <f>(S248-S249)*(1-$H$22)</f>
        <v/>
      </c>
      <c r="T250" s="36">
        <f>(T248-T249)*(1-$H$22)</f>
        <v/>
      </c>
      <c r="U250" s="36">
        <f>(U248-U249)*(1-$H$22)</f>
        <v/>
      </c>
      <c r="V250" s="36">
        <f>(V248-V249)*(1-$H$22)</f>
        <v/>
      </c>
      <c r="W250" s="36">
        <f>(W248-W249)*(1-$H$22)</f>
        <v/>
      </c>
      <c r="X250" s="36">
        <f>(X248-X249)*(1-$H$22)</f>
        <v/>
      </c>
      <c r="Y250" s="36">
        <f>(Y248-Y249)*(1-$H$22)</f>
        <v/>
      </c>
      <c r="Z250" s="36">
        <f>(Z248-Z249)*(1-$H$22)</f>
        <v/>
      </c>
      <c r="AA250" s="36">
        <f>(AA248-AA249)*(1-$H$22)</f>
        <v/>
      </c>
      <c r="AB250" s="36">
        <f>(AB248-AB249)*(1-$H$22)</f>
        <v/>
      </c>
      <c r="AC250" s="36">
        <f>(AC248-AC249)*(1-$H$22)</f>
        <v/>
      </c>
      <c r="AD250" s="36">
        <f>(AD248-AD249)*(1-$H$22)</f>
        <v/>
      </c>
      <c r="AE250" s="36">
        <f>(AE248-AE249)*(1-$H$22)</f>
        <v/>
      </c>
      <c r="AF250" s="36">
        <f>(AF248-AF249)*(1-$H$22)</f>
        <v/>
      </c>
      <c r="AG250" s="36">
        <f>(AG248-AG249)*(1-$H$22)</f>
        <v/>
      </c>
      <c r="AH250" s="36">
        <f>(AH248-AH249)*(1-$H$22)</f>
        <v/>
      </c>
      <c r="AI250" s="36">
        <f>(AI248-AI249)*(1-$H$22)</f>
        <v/>
      </c>
      <c r="AJ250" s="36">
        <f>(AJ248-AJ249)*(1-$H$22)</f>
        <v/>
      </c>
      <c r="AK250" s="36">
        <f>(AK248-AK249)*(1-$H$22)</f>
        <v/>
      </c>
      <c r="AL250" s="36">
        <f>(AL248-AL249)*(1-$H$22)</f>
        <v/>
      </c>
      <c r="AM250" s="36">
        <f>(AM248-AM249)*(1-$H$22)</f>
        <v/>
      </c>
      <c r="AN250" s="36">
        <f>(AN248-AN249)*(1-$H$22)</f>
        <v/>
      </c>
      <c r="AO250" s="36">
        <f>(AO248-AO249)*(1-$H$22)</f>
        <v/>
      </c>
      <c r="AP250" s="36">
        <f>(AP248-AP249)*(1-$H$22)</f>
        <v/>
      </c>
      <c r="AQ250" s="36">
        <f>(AQ248-AQ249)*(1-$H$22)</f>
        <v/>
      </c>
      <c r="AR250" s="36">
        <f>(AR248-AR249)*(1-$H$22)</f>
        <v/>
      </c>
      <c r="AS250" s="36">
        <f>(AS248-AS249)*(1-$H$22)</f>
        <v/>
      </c>
      <c r="AT250" s="36">
        <f>(AT248-AT249)*(1-$H$22)</f>
        <v/>
      </c>
      <c r="AU250" s="36">
        <f>(AU248-AU249)*(1-$H$22)</f>
        <v/>
      </c>
      <c r="AV250" s="36">
        <f>(AV248-AV249)*(1-$H$22)</f>
        <v/>
      </c>
      <c r="AW250" s="36">
        <f>(AW248-AW249)*(1-$H$22)</f>
        <v/>
      </c>
      <c r="AX250" s="36">
        <f>(AX248-AX249)*(1-$H$22)</f>
        <v/>
      </c>
      <c r="AY250" s="36">
        <f>(AY248-AY249)*(1-$H$22)</f>
        <v/>
      </c>
      <c r="AZ250" s="36">
        <f>(AZ248-AZ249)*(1-$H$22)</f>
        <v/>
      </c>
      <c r="BA250" s="36">
        <f>(BA248-BA249)*(1-$H$22)</f>
        <v/>
      </c>
      <c r="BB250" s="36">
        <f>(BB248-BB249)*(1-$H$22)</f>
        <v/>
      </c>
      <c r="BC250" s="36">
        <f>(BC248-BC249)*(1-$H$22)</f>
        <v/>
      </c>
      <c r="BD250" s="36">
        <f>(BD248-BD249)*(1-$H$22)</f>
        <v/>
      </c>
    </row>
    <row r="251">
      <c r="A251" s="28" t="inlineStr">
        <is>
          <t xml:space="preserve">   returned to store</t>
        </is>
      </c>
      <c r="B251" s="2" t="inlineStr">
        <is>
          <t>lb</t>
        </is>
      </c>
      <c r="E251" s="36">
        <f>(E248-E249)*$H$22</f>
        <v/>
      </c>
      <c r="F251" s="36">
        <f>(F248-F249)*$H$22</f>
        <v/>
      </c>
      <c r="G251" s="36">
        <f>(G248-G249)*$H$22</f>
        <v/>
      </c>
      <c r="H251" s="36">
        <f>(H248-H249)*$H$22</f>
        <v/>
      </c>
      <c r="I251" s="36">
        <f>(I248-I249)*$H$22</f>
        <v/>
      </c>
      <c r="J251" s="36">
        <f>(J248-J249)*$H$22</f>
        <v/>
      </c>
      <c r="K251" s="36">
        <f>(K248-K249)*$H$22</f>
        <v/>
      </c>
      <c r="L251" s="36">
        <f>(L248-L249)*$H$22</f>
        <v/>
      </c>
      <c r="M251" s="36">
        <f>(M248-M249)*$H$22</f>
        <v/>
      </c>
      <c r="N251" s="36">
        <f>(N248-N249)*$H$22</f>
        <v/>
      </c>
      <c r="O251" s="36">
        <f>(O248-O249)*$H$22</f>
        <v/>
      </c>
      <c r="P251" s="36">
        <f>(P248-P249)*$H$22</f>
        <v/>
      </c>
      <c r="Q251" s="36">
        <f>(Q248-Q249)*$H$22</f>
        <v/>
      </c>
      <c r="R251" s="36">
        <f>(R248-R249)*$H$22</f>
        <v/>
      </c>
      <c r="S251" s="36">
        <f>(S248-S249)*$H$22</f>
        <v/>
      </c>
      <c r="T251" s="36">
        <f>(T248-T249)*$H$22</f>
        <v/>
      </c>
      <c r="U251" s="36">
        <f>(U248-U249)*$H$22</f>
        <v/>
      </c>
      <c r="V251" s="36">
        <f>(V248-V249)*$H$22</f>
        <v/>
      </c>
      <c r="W251" s="36">
        <f>(W248-W249)*$H$22</f>
        <v/>
      </c>
      <c r="X251" s="36">
        <f>(X248-X249)*$H$22</f>
        <v/>
      </c>
      <c r="Y251" s="36">
        <f>(Y248-Y249)*$H$22</f>
        <v/>
      </c>
      <c r="Z251" s="36">
        <f>(Z248-Z249)*$H$22</f>
        <v/>
      </c>
      <c r="AA251" s="36">
        <f>(AA248-AA249)*$H$22</f>
        <v/>
      </c>
      <c r="AB251" s="36">
        <f>(AB248-AB249)*$H$22</f>
        <v/>
      </c>
      <c r="AC251" s="36">
        <f>(AC248-AC249)*$H$22</f>
        <v/>
      </c>
      <c r="AD251" s="36">
        <f>(AD248-AD249)*$H$22</f>
        <v/>
      </c>
      <c r="AE251" s="36">
        <f>(AE248-AE249)*$H$22</f>
        <v/>
      </c>
      <c r="AF251" s="36">
        <f>(AF248-AF249)*$H$22</f>
        <v/>
      </c>
      <c r="AG251" s="36">
        <f>(AG248-AG249)*$H$22</f>
        <v/>
      </c>
      <c r="AH251" s="36">
        <f>(AH248-AH249)*$H$22</f>
        <v/>
      </c>
      <c r="AI251" s="36">
        <f>(AI248-AI249)*$H$22</f>
        <v/>
      </c>
      <c r="AJ251" s="36">
        <f>(AJ248-AJ249)*$H$22</f>
        <v/>
      </c>
      <c r="AK251" s="36">
        <f>(AK248-AK249)*$H$22</f>
        <v/>
      </c>
      <c r="AL251" s="36">
        <f>(AL248-AL249)*$H$22</f>
        <v/>
      </c>
      <c r="AM251" s="36">
        <f>(AM248-AM249)*$H$22</f>
        <v/>
      </c>
      <c r="AN251" s="36">
        <f>(AN248-AN249)*$H$22</f>
        <v/>
      </c>
      <c r="AO251" s="36">
        <f>(AO248-AO249)*$H$22</f>
        <v/>
      </c>
      <c r="AP251" s="36">
        <f>(AP248-AP249)*$H$22</f>
        <v/>
      </c>
      <c r="AQ251" s="36">
        <f>(AQ248-AQ249)*$H$22</f>
        <v/>
      </c>
      <c r="AR251" s="36">
        <f>(AR248-AR249)*$H$22</f>
        <v/>
      </c>
      <c r="AS251" s="36">
        <f>(AS248-AS249)*$H$22</f>
        <v/>
      </c>
      <c r="AT251" s="36">
        <f>(AT248-AT249)*$H$22</f>
        <v/>
      </c>
      <c r="AU251" s="36">
        <f>(AU248-AU249)*$H$22</f>
        <v/>
      </c>
      <c r="AV251" s="36">
        <f>(AV248-AV249)*$H$22</f>
        <v/>
      </c>
      <c r="AW251" s="36">
        <f>(AW248-AW249)*$H$22</f>
        <v/>
      </c>
      <c r="AX251" s="36">
        <f>(AX248-AX249)*$H$22</f>
        <v/>
      </c>
      <c r="AY251" s="36">
        <f>(AY248-AY249)*$H$22</f>
        <v/>
      </c>
      <c r="AZ251" s="36">
        <f>(AZ248-AZ249)*$H$22</f>
        <v/>
      </c>
      <c r="BA251" s="36">
        <f>(BA248-BA249)*$H$22</f>
        <v/>
      </c>
      <c r="BB251" s="36">
        <f>(BB248-BB249)*$H$22</f>
        <v/>
      </c>
      <c r="BC251" s="36">
        <f>(BC248-BC249)*$H$22</f>
        <v/>
      </c>
      <c r="BD251" s="36">
        <f>(BD248-BD249)*$H$22</f>
        <v/>
      </c>
    </row>
    <row r="252">
      <c r="A252" s="28" t="inlineStr">
        <is>
          <t xml:space="preserve">   leaves the store (offered - returned)</t>
        </is>
      </c>
      <c r="B252" s="2" t="inlineStr">
        <is>
          <t>lb</t>
        </is>
      </c>
      <c r="E252" s="36">
        <f>E248-E251</f>
        <v/>
      </c>
      <c r="F252" s="36">
        <f>F248-F251</f>
        <v/>
      </c>
      <c r="G252" s="36">
        <f>G248-G251</f>
        <v/>
      </c>
      <c r="H252" s="36">
        <f>H248-H251</f>
        <v/>
      </c>
      <c r="I252" s="36">
        <f>I248-I251</f>
        <v/>
      </c>
      <c r="J252" s="36">
        <f>J248-J251</f>
        <v/>
      </c>
      <c r="K252" s="36">
        <f>K248-K251</f>
        <v/>
      </c>
      <c r="L252" s="36">
        <f>L248-L251</f>
        <v/>
      </c>
      <c r="M252" s="36">
        <f>M248-M251</f>
        <v/>
      </c>
      <c r="N252" s="36">
        <f>N248-N251</f>
        <v/>
      </c>
      <c r="O252" s="36">
        <f>O248-O251</f>
        <v/>
      </c>
      <c r="P252" s="36">
        <f>P248-P251</f>
        <v/>
      </c>
      <c r="Q252" s="36">
        <f>Q248-Q251</f>
        <v/>
      </c>
      <c r="R252" s="36">
        <f>R248-R251</f>
        <v/>
      </c>
      <c r="S252" s="36">
        <f>S248-S251</f>
        <v/>
      </c>
      <c r="T252" s="36">
        <f>T248-T251</f>
        <v/>
      </c>
      <c r="U252" s="36">
        <f>U248-U251</f>
        <v/>
      </c>
      <c r="V252" s="36">
        <f>V248-V251</f>
        <v/>
      </c>
      <c r="W252" s="36">
        <f>W248-W251</f>
        <v/>
      </c>
      <c r="X252" s="36">
        <f>X248-X251</f>
        <v/>
      </c>
      <c r="Y252" s="36">
        <f>Y248-Y251</f>
        <v/>
      </c>
      <c r="Z252" s="36">
        <f>Z248-Z251</f>
        <v/>
      </c>
      <c r="AA252" s="36">
        <f>AA248-AA251</f>
        <v/>
      </c>
      <c r="AB252" s="36">
        <f>AB248-AB251</f>
        <v/>
      </c>
      <c r="AC252" s="36">
        <f>AC248-AC251</f>
        <v/>
      </c>
      <c r="AD252" s="36">
        <f>AD248-AD251</f>
        <v/>
      </c>
      <c r="AE252" s="36">
        <f>AE248-AE251</f>
        <v/>
      </c>
      <c r="AF252" s="36">
        <f>AF248-AF251</f>
        <v/>
      </c>
      <c r="AG252" s="36">
        <f>AG248-AG251</f>
        <v/>
      </c>
      <c r="AH252" s="36">
        <f>AH248-AH251</f>
        <v/>
      </c>
      <c r="AI252" s="36">
        <f>AI248-AI251</f>
        <v/>
      </c>
      <c r="AJ252" s="36">
        <f>AJ248-AJ251</f>
        <v/>
      </c>
      <c r="AK252" s="36">
        <f>AK248-AK251</f>
        <v/>
      </c>
      <c r="AL252" s="36">
        <f>AL248-AL251</f>
        <v/>
      </c>
      <c r="AM252" s="36">
        <f>AM248-AM251</f>
        <v/>
      </c>
      <c r="AN252" s="36">
        <f>AN248-AN251</f>
        <v/>
      </c>
      <c r="AO252" s="36">
        <f>AO248-AO251</f>
        <v/>
      </c>
      <c r="AP252" s="36">
        <f>AP248-AP251</f>
        <v/>
      </c>
      <c r="AQ252" s="36">
        <f>AQ248-AQ251</f>
        <v/>
      </c>
      <c r="AR252" s="36">
        <f>AR248-AR251</f>
        <v/>
      </c>
      <c r="AS252" s="36">
        <f>AS248-AS251</f>
        <v/>
      </c>
      <c r="AT252" s="36">
        <f>AT248-AT251</f>
        <v/>
      </c>
      <c r="AU252" s="36">
        <f>AU248-AU251</f>
        <v/>
      </c>
      <c r="AV252" s="36">
        <f>AV248-AV251</f>
        <v/>
      </c>
      <c r="AW252" s="36">
        <f>AW248-AW251</f>
        <v/>
      </c>
      <c r="AX252" s="36">
        <f>AX248-AX251</f>
        <v/>
      </c>
      <c r="AY252" s="36">
        <f>AY248-AY251</f>
        <v/>
      </c>
      <c r="AZ252" s="36">
        <f>AZ248-AZ251</f>
        <v/>
      </c>
      <c r="BA252" s="36">
        <f>BA248-BA251</f>
        <v/>
      </c>
      <c r="BB252" s="36">
        <f>BB248-BB251</f>
        <v/>
      </c>
      <c r="BC252" s="36">
        <f>BC248-BC251</f>
        <v/>
      </c>
      <c r="BD252" s="36">
        <f>BD248-BD251</f>
        <v/>
      </c>
    </row>
    <row r="253">
      <c r="A253" s="37" t="inlineStr">
        <is>
          <t>Stock carried out</t>
        </is>
      </c>
      <c r="B253" s="2" t="inlineStr">
        <is>
          <t>lb</t>
        </is>
      </c>
      <c r="E253" s="36">
        <f>E238-E244-E252</f>
        <v/>
      </c>
      <c r="F253" s="36">
        <f>F238-F244-F252</f>
        <v/>
      </c>
      <c r="G253" s="36">
        <f>G238-G244-G252</f>
        <v/>
      </c>
      <c r="H253" s="36">
        <f>H238-H244-H252</f>
        <v/>
      </c>
      <c r="I253" s="36">
        <f>I238-I244-I252</f>
        <v/>
      </c>
      <c r="J253" s="36">
        <f>J238-J244-J252</f>
        <v/>
      </c>
      <c r="K253" s="36">
        <f>K238-K244-K252</f>
        <v/>
      </c>
      <c r="L253" s="36">
        <f>L238-L244-L252</f>
        <v/>
      </c>
      <c r="M253" s="36">
        <f>M238-M244-M252</f>
        <v/>
      </c>
      <c r="N253" s="36">
        <f>N238-N244-N252</f>
        <v/>
      </c>
      <c r="O253" s="36">
        <f>O238-O244-O252</f>
        <v/>
      </c>
      <c r="P253" s="36">
        <f>P238-P244-P252</f>
        <v/>
      </c>
      <c r="Q253" s="36">
        <f>Q238-Q244-Q252</f>
        <v/>
      </c>
      <c r="R253" s="36">
        <f>R238-R244-R252</f>
        <v/>
      </c>
      <c r="S253" s="36">
        <f>S238-S244-S252</f>
        <v/>
      </c>
      <c r="T253" s="36">
        <f>T238-T244-T252</f>
        <v/>
      </c>
      <c r="U253" s="36">
        <f>U238-U244-U252</f>
        <v/>
      </c>
      <c r="V253" s="36">
        <f>V238-V244-V252</f>
        <v/>
      </c>
      <c r="W253" s="36">
        <f>W238-W244-W252</f>
        <v/>
      </c>
      <c r="X253" s="36">
        <f>X238-X244-X252</f>
        <v/>
      </c>
      <c r="Y253" s="36">
        <f>Y238-Y244-Y252</f>
        <v/>
      </c>
      <c r="Z253" s="36">
        <f>Z238-Z244-Z252</f>
        <v/>
      </c>
      <c r="AA253" s="36">
        <f>AA238-AA244-AA252</f>
        <v/>
      </c>
      <c r="AB253" s="36">
        <f>AB238-AB244-AB252</f>
        <v/>
      </c>
      <c r="AC253" s="36">
        <f>AC238-AC244-AC252</f>
        <v/>
      </c>
      <c r="AD253" s="36">
        <f>AD238-AD244-AD252</f>
        <v/>
      </c>
      <c r="AE253" s="36">
        <f>AE238-AE244-AE252</f>
        <v/>
      </c>
      <c r="AF253" s="36">
        <f>AF238-AF244-AF252</f>
        <v/>
      </c>
      <c r="AG253" s="36">
        <f>AG238-AG244-AG252</f>
        <v/>
      </c>
      <c r="AH253" s="36">
        <f>AH238-AH244-AH252</f>
        <v/>
      </c>
      <c r="AI253" s="36">
        <f>AI238-AI244-AI252</f>
        <v/>
      </c>
      <c r="AJ253" s="36">
        <f>AJ238-AJ244-AJ252</f>
        <v/>
      </c>
      <c r="AK253" s="36">
        <f>AK238-AK244-AK252</f>
        <v/>
      </c>
      <c r="AL253" s="36">
        <f>AL238-AL244-AL252</f>
        <v/>
      </c>
      <c r="AM253" s="36">
        <f>AM238-AM244-AM252</f>
        <v/>
      </c>
      <c r="AN253" s="36">
        <f>AN238-AN244-AN252</f>
        <v/>
      </c>
      <c r="AO253" s="36">
        <f>AO238-AO244-AO252</f>
        <v/>
      </c>
      <c r="AP253" s="36">
        <f>AP238-AP244-AP252</f>
        <v/>
      </c>
      <c r="AQ253" s="36">
        <f>AQ238-AQ244-AQ252</f>
        <v/>
      </c>
      <c r="AR253" s="36">
        <f>AR238-AR244-AR252</f>
        <v/>
      </c>
      <c r="AS253" s="36">
        <f>AS238-AS244-AS252</f>
        <v/>
      </c>
      <c r="AT253" s="36">
        <f>AT238-AT244-AT252</f>
        <v/>
      </c>
      <c r="AU253" s="36">
        <f>AU238-AU244-AU252</f>
        <v/>
      </c>
      <c r="AV253" s="36">
        <f>AV238-AV244-AV252</f>
        <v/>
      </c>
      <c r="AW253" s="36">
        <f>AW238-AW244-AW252</f>
        <v/>
      </c>
      <c r="AX253" s="36">
        <f>AX238-AX244-AX252</f>
        <v/>
      </c>
      <c r="AY253" s="36">
        <f>AY238-AY244-AY252</f>
        <v/>
      </c>
      <c r="AZ253" s="36">
        <f>AZ238-AZ244-AZ252</f>
        <v/>
      </c>
      <c r="BA253" s="36">
        <f>BA238-BA244-BA252</f>
        <v/>
      </c>
      <c r="BB253" s="36">
        <f>BB238-BB244-BB252</f>
        <v/>
      </c>
      <c r="BC253" s="36">
        <f>BC238-BC244-BC252</f>
        <v/>
      </c>
      <c r="BD253" s="36">
        <f>BD238-BD244-BD252</f>
        <v/>
      </c>
    </row>
    <row r="254">
      <c r="A254" s="2" t="inlineStr">
        <is>
          <t xml:space="preserve">   ^ subtracts what LEAVES, not what was offered — so 'returned to store' is</t>
        </is>
      </c>
    </row>
    <row r="255">
      <c r="A255" s="2" t="inlineStr">
        <is>
          <t xml:space="preserve">     never taken out at all, and shows up as next week's carried in.</t>
        </is>
      </c>
    </row>
    <row r="256">
      <c r="A256" s="39" t="inlineStr">
        <is>
          <t>Most stock its shelf life allows</t>
        </is>
      </c>
      <c r="B256" s="2" t="inlineStr">
        <is>
          <t>lb</t>
        </is>
      </c>
      <c r="E256" s="38">
        <f>SUMPRODUCT(($E$234:$BD$234&gt;=1-$F$13+2)*($E$234:$BD$234&lt;=1)*$E$235:$BD$235*POWER(1-$G$13,($E$234:$BD$234&lt;=1)*(1-$E$234:$BD$234)))</f>
        <v/>
      </c>
      <c r="F256" s="38">
        <f>SUMPRODUCT(($E$234:$BD$234&gt;=2-$F$13+2)*($E$234:$BD$234&lt;=2)*$E$235:$BD$235*POWER(1-$G$13,($E$234:$BD$234&lt;=2)*(2-$E$234:$BD$234)))</f>
        <v/>
      </c>
      <c r="G256" s="38">
        <f>SUMPRODUCT(($E$234:$BD$234&gt;=3-$F$13+2)*($E$234:$BD$234&lt;=3)*$E$235:$BD$235*POWER(1-$G$13,($E$234:$BD$234&lt;=3)*(3-$E$234:$BD$234)))</f>
        <v/>
      </c>
      <c r="H256" s="38">
        <f>SUMPRODUCT(($E$234:$BD$234&gt;=4-$F$13+2)*($E$234:$BD$234&lt;=4)*$E$235:$BD$235*POWER(1-$G$13,($E$234:$BD$234&lt;=4)*(4-$E$234:$BD$234)))</f>
        <v/>
      </c>
      <c r="I256" s="38">
        <f>SUMPRODUCT(($E$234:$BD$234&gt;=5-$F$13+2)*($E$234:$BD$234&lt;=5)*$E$235:$BD$235*POWER(1-$G$13,($E$234:$BD$234&lt;=5)*(5-$E$234:$BD$234)))</f>
        <v/>
      </c>
      <c r="J256" s="38">
        <f>SUMPRODUCT(($E$234:$BD$234&gt;=6-$F$13+2)*($E$234:$BD$234&lt;=6)*$E$235:$BD$235*POWER(1-$G$13,($E$234:$BD$234&lt;=6)*(6-$E$234:$BD$234)))</f>
        <v/>
      </c>
      <c r="K256" s="38">
        <f>SUMPRODUCT(($E$234:$BD$234&gt;=7-$F$13+2)*($E$234:$BD$234&lt;=7)*$E$235:$BD$235*POWER(1-$G$13,($E$234:$BD$234&lt;=7)*(7-$E$234:$BD$234)))</f>
        <v/>
      </c>
      <c r="L256" s="38">
        <f>SUMPRODUCT(($E$234:$BD$234&gt;=8-$F$13+2)*($E$234:$BD$234&lt;=8)*$E$235:$BD$235*POWER(1-$G$13,($E$234:$BD$234&lt;=8)*(8-$E$234:$BD$234)))</f>
        <v/>
      </c>
      <c r="M256" s="38">
        <f>SUMPRODUCT(($E$234:$BD$234&gt;=9-$F$13+2)*($E$234:$BD$234&lt;=9)*$E$235:$BD$235*POWER(1-$G$13,($E$234:$BD$234&lt;=9)*(9-$E$234:$BD$234)))</f>
        <v/>
      </c>
      <c r="N256" s="38">
        <f>SUMPRODUCT(($E$234:$BD$234&gt;=10-$F$13+2)*($E$234:$BD$234&lt;=10)*$E$235:$BD$235*POWER(1-$G$13,($E$234:$BD$234&lt;=10)*(10-$E$234:$BD$234)))</f>
        <v/>
      </c>
      <c r="O256" s="38">
        <f>SUMPRODUCT(($E$234:$BD$234&gt;=11-$F$13+2)*($E$234:$BD$234&lt;=11)*$E$235:$BD$235*POWER(1-$G$13,($E$234:$BD$234&lt;=11)*(11-$E$234:$BD$234)))</f>
        <v/>
      </c>
      <c r="P256" s="38">
        <f>SUMPRODUCT(($E$234:$BD$234&gt;=12-$F$13+2)*($E$234:$BD$234&lt;=12)*$E$235:$BD$235*POWER(1-$G$13,($E$234:$BD$234&lt;=12)*(12-$E$234:$BD$234)))</f>
        <v/>
      </c>
      <c r="Q256" s="38">
        <f>SUMPRODUCT(($E$234:$BD$234&gt;=13-$F$13+2)*($E$234:$BD$234&lt;=13)*$E$235:$BD$235*POWER(1-$G$13,($E$234:$BD$234&lt;=13)*(13-$E$234:$BD$234)))</f>
        <v/>
      </c>
      <c r="R256" s="38">
        <f>SUMPRODUCT(($E$234:$BD$234&gt;=14-$F$13+2)*($E$234:$BD$234&lt;=14)*$E$235:$BD$235*POWER(1-$G$13,($E$234:$BD$234&lt;=14)*(14-$E$234:$BD$234)))</f>
        <v/>
      </c>
      <c r="S256" s="38">
        <f>SUMPRODUCT(($E$234:$BD$234&gt;=15-$F$13+2)*($E$234:$BD$234&lt;=15)*$E$235:$BD$235*POWER(1-$G$13,($E$234:$BD$234&lt;=15)*(15-$E$234:$BD$234)))</f>
        <v/>
      </c>
      <c r="T256" s="38">
        <f>SUMPRODUCT(($E$234:$BD$234&gt;=16-$F$13+2)*($E$234:$BD$234&lt;=16)*$E$235:$BD$235*POWER(1-$G$13,($E$234:$BD$234&lt;=16)*(16-$E$234:$BD$234)))</f>
        <v/>
      </c>
      <c r="U256" s="38">
        <f>SUMPRODUCT(($E$234:$BD$234&gt;=17-$F$13+2)*($E$234:$BD$234&lt;=17)*$E$235:$BD$235*POWER(1-$G$13,($E$234:$BD$234&lt;=17)*(17-$E$234:$BD$234)))</f>
        <v/>
      </c>
      <c r="V256" s="38">
        <f>SUMPRODUCT(($E$234:$BD$234&gt;=18-$F$13+2)*($E$234:$BD$234&lt;=18)*$E$235:$BD$235*POWER(1-$G$13,($E$234:$BD$234&lt;=18)*(18-$E$234:$BD$234)))</f>
        <v/>
      </c>
      <c r="W256" s="38">
        <f>SUMPRODUCT(($E$234:$BD$234&gt;=19-$F$13+2)*($E$234:$BD$234&lt;=19)*$E$235:$BD$235*POWER(1-$G$13,($E$234:$BD$234&lt;=19)*(19-$E$234:$BD$234)))</f>
        <v/>
      </c>
      <c r="X256" s="38">
        <f>SUMPRODUCT(($E$234:$BD$234&gt;=20-$F$13+2)*($E$234:$BD$234&lt;=20)*$E$235:$BD$235*POWER(1-$G$13,($E$234:$BD$234&lt;=20)*(20-$E$234:$BD$234)))</f>
        <v/>
      </c>
      <c r="Y256" s="38">
        <f>SUMPRODUCT(($E$234:$BD$234&gt;=21-$F$13+2)*($E$234:$BD$234&lt;=21)*$E$235:$BD$235*POWER(1-$G$13,($E$234:$BD$234&lt;=21)*(21-$E$234:$BD$234)))</f>
        <v/>
      </c>
      <c r="Z256" s="38">
        <f>SUMPRODUCT(($E$234:$BD$234&gt;=22-$F$13+2)*($E$234:$BD$234&lt;=22)*$E$235:$BD$235*POWER(1-$G$13,($E$234:$BD$234&lt;=22)*(22-$E$234:$BD$234)))</f>
        <v/>
      </c>
      <c r="AA256" s="38">
        <f>SUMPRODUCT(($E$234:$BD$234&gt;=23-$F$13+2)*($E$234:$BD$234&lt;=23)*$E$235:$BD$235*POWER(1-$G$13,($E$234:$BD$234&lt;=23)*(23-$E$234:$BD$234)))</f>
        <v/>
      </c>
      <c r="AB256" s="38">
        <f>SUMPRODUCT(($E$234:$BD$234&gt;=24-$F$13+2)*($E$234:$BD$234&lt;=24)*$E$235:$BD$235*POWER(1-$G$13,($E$234:$BD$234&lt;=24)*(24-$E$234:$BD$234)))</f>
        <v/>
      </c>
      <c r="AC256" s="38">
        <f>SUMPRODUCT(($E$234:$BD$234&gt;=25-$F$13+2)*($E$234:$BD$234&lt;=25)*$E$235:$BD$235*POWER(1-$G$13,($E$234:$BD$234&lt;=25)*(25-$E$234:$BD$234)))</f>
        <v/>
      </c>
      <c r="AD256" s="38">
        <f>SUMPRODUCT(($E$234:$BD$234&gt;=26-$F$13+2)*($E$234:$BD$234&lt;=26)*$E$235:$BD$235*POWER(1-$G$13,($E$234:$BD$234&lt;=26)*(26-$E$234:$BD$234)))</f>
        <v/>
      </c>
      <c r="AE256" s="38">
        <f>SUMPRODUCT(($E$234:$BD$234&gt;=27-$F$13+2)*($E$234:$BD$234&lt;=27)*$E$235:$BD$235*POWER(1-$G$13,($E$234:$BD$234&lt;=27)*(27-$E$234:$BD$234)))</f>
        <v/>
      </c>
      <c r="AF256" s="38">
        <f>SUMPRODUCT(($E$234:$BD$234&gt;=28-$F$13+2)*($E$234:$BD$234&lt;=28)*$E$235:$BD$235*POWER(1-$G$13,($E$234:$BD$234&lt;=28)*(28-$E$234:$BD$234)))</f>
        <v/>
      </c>
      <c r="AG256" s="38">
        <f>SUMPRODUCT(($E$234:$BD$234&gt;=29-$F$13+2)*($E$234:$BD$234&lt;=29)*$E$235:$BD$235*POWER(1-$G$13,($E$234:$BD$234&lt;=29)*(29-$E$234:$BD$234)))</f>
        <v/>
      </c>
      <c r="AH256" s="38">
        <f>SUMPRODUCT(($E$234:$BD$234&gt;=30-$F$13+2)*($E$234:$BD$234&lt;=30)*$E$235:$BD$235*POWER(1-$G$13,($E$234:$BD$234&lt;=30)*(30-$E$234:$BD$234)))</f>
        <v/>
      </c>
      <c r="AI256" s="38">
        <f>SUMPRODUCT(($E$234:$BD$234&gt;=31-$F$13+2)*($E$234:$BD$234&lt;=31)*$E$235:$BD$235*POWER(1-$G$13,($E$234:$BD$234&lt;=31)*(31-$E$234:$BD$234)))</f>
        <v/>
      </c>
      <c r="AJ256" s="38">
        <f>SUMPRODUCT(($E$234:$BD$234&gt;=32-$F$13+2)*($E$234:$BD$234&lt;=32)*$E$235:$BD$235*POWER(1-$G$13,($E$234:$BD$234&lt;=32)*(32-$E$234:$BD$234)))</f>
        <v/>
      </c>
      <c r="AK256" s="38">
        <f>SUMPRODUCT(($E$234:$BD$234&gt;=33-$F$13+2)*($E$234:$BD$234&lt;=33)*$E$235:$BD$235*POWER(1-$G$13,($E$234:$BD$234&lt;=33)*(33-$E$234:$BD$234)))</f>
        <v/>
      </c>
      <c r="AL256" s="38">
        <f>SUMPRODUCT(($E$234:$BD$234&gt;=34-$F$13+2)*($E$234:$BD$234&lt;=34)*$E$235:$BD$235*POWER(1-$G$13,($E$234:$BD$234&lt;=34)*(34-$E$234:$BD$234)))</f>
        <v/>
      </c>
      <c r="AM256" s="38">
        <f>SUMPRODUCT(($E$234:$BD$234&gt;=35-$F$13+2)*($E$234:$BD$234&lt;=35)*$E$235:$BD$235*POWER(1-$G$13,($E$234:$BD$234&lt;=35)*(35-$E$234:$BD$234)))</f>
        <v/>
      </c>
      <c r="AN256" s="38">
        <f>SUMPRODUCT(($E$234:$BD$234&gt;=36-$F$13+2)*($E$234:$BD$234&lt;=36)*$E$235:$BD$235*POWER(1-$G$13,($E$234:$BD$234&lt;=36)*(36-$E$234:$BD$234)))</f>
        <v/>
      </c>
      <c r="AO256" s="38">
        <f>SUMPRODUCT(($E$234:$BD$234&gt;=37-$F$13+2)*($E$234:$BD$234&lt;=37)*$E$235:$BD$235*POWER(1-$G$13,($E$234:$BD$234&lt;=37)*(37-$E$234:$BD$234)))</f>
        <v/>
      </c>
      <c r="AP256" s="38">
        <f>SUMPRODUCT(($E$234:$BD$234&gt;=38-$F$13+2)*($E$234:$BD$234&lt;=38)*$E$235:$BD$235*POWER(1-$G$13,($E$234:$BD$234&lt;=38)*(38-$E$234:$BD$234)))</f>
        <v/>
      </c>
      <c r="AQ256" s="38">
        <f>SUMPRODUCT(($E$234:$BD$234&gt;=39-$F$13+2)*($E$234:$BD$234&lt;=39)*$E$235:$BD$235*POWER(1-$G$13,($E$234:$BD$234&lt;=39)*(39-$E$234:$BD$234)))</f>
        <v/>
      </c>
      <c r="AR256" s="38">
        <f>SUMPRODUCT(($E$234:$BD$234&gt;=40-$F$13+2)*($E$234:$BD$234&lt;=40)*$E$235:$BD$235*POWER(1-$G$13,($E$234:$BD$234&lt;=40)*(40-$E$234:$BD$234)))</f>
        <v/>
      </c>
      <c r="AS256" s="38">
        <f>SUMPRODUCT(($E$234:$BD$234&gt;=41-$F$13+2)*($E$234:$BD$234&lt;=41)*$E$235:$BD$235*POWER(1-$G$13,($E$234:$BD$234&lt;=41)*(41-$E$234:$BD$234)))</f>
        <v/>
      </c>
      <c r="AT256" s="38">
        <f>SUMPRODUCT(($E$234:$BD$234&gt;=42-$F$13+2)*($E$234:$BD$234&lt;=42)*$E$235:$BD$235*POWER(1-$G$13,($E$234:$BD$234&lt;=42)*(42-$E$234:$BD$234)))</f>
        <v/>
      </c>
      <c r="AU256" s="38">
        <f>SUMPRODUCT(($E$234:$BD$234&gt;=43-$F$13+2)*($E$234:$BD$234&lt;=43)*$E$235:$BD$235*POWER(1-$G$13,($E$234:$BD$234&lt;=43)*(43-$E$234:$BD$234)))</f>
        <v/>
      </c>
      <c r="AV256" s="38">
        <f>SUMPRODUCT(($E$234:$BD$234&gt;=44-$F$13+2)*($E$234:$BD$234&lt;=44)*$E$235:$BD$235*POWER(1-$G$13,($E$234:$BD$234&lt;=44)*(44-$E$234:$BD$234)))</f>
        <v/>
      </c>
      <c r="AW256" s="38">
        <f>SUMPRODUCT(($E$234:$BD$234&gt;=45-$F$13+2)*($E$234:$BD$234&lt;=45)*$E$235:$BD$235*POWER(1-$G$13,($E$234:$BD$234&lt;=45)*(45-$E$234:$BD$234)))</f>
        <v/>
      </c>
      <c r="AX256" s="38">
        <f>SUMPRODUCT(($E$234:$BD$234&gt;=46-$F$13+2)*($E$234:$BD$234&lt;=46)*$E$235:$BD$235*POWER(1-$G$13,($E$234:$BD$234&lt;=46)*(46-$E$234:$BD$234)))</f>
        <v/>
      </c>
      <c r="AY256" s="38">
        <f>SUMPRODUCT(($E$234:$BD$234&gt;=47-$F$13+2)*($E$234:$BD$234&lt;=47)*$E$235:$BD$235*POWER(1-$G$13,($E$234:$BD$234&lt;=47)*(47-$E$234:$BD$234)))</f>
        <v/>
      </c>
      <c r="AZ256" s="38">
        <f>SUMPRODUCT(($E$234:$BD$234&gt;=48-$F$13+2)*($E$234:$BD$234&lt;=48)*$E$235:$BD$235*POWER(1-$G$13,($E$234:$BD$234&lt;=48)*(48-$E$234:$BD$234)))</f>
        <v/>
      </c>
      <c r="BA256" s="38">
        <f>SUMPRODUCT(($E$234:$BD$234&gt;=49-$F$13+2)*($E$234:$BD$234&lt;=49)*$E$235:$BD$235*POWER(1-$G$13,($E$234:$BD$234&lt;=49)*(49-$E$234:$BD$234)))</f>
        <v/>
      </c>
      <c r="BB256" s="38">
        <f>SUMPRODUCT(($E$234:$BD$234&gt;=50-$F$13+2)*($E$234:$BD$234&lt;=50)*$E$235:$BD$235*POWER(1-$G$13,($E$234:$BD$234&lt;=50)*(50-$E$234:$BD$234)))</f>
        <v/>
      </c>
      <c r="BC256" s="38">
        <f>SUMPRODUCT(($E$234:$BD$234&gt;=51-$F$13+2)*($E$234:$BD$234&lt;=51)*$E$235:$BD$235*POWER(1-$G$13,($E$234:$BD$234&lt;=51)*(51-$E$234:$BD$234)))</f>
        <v/>
      </c>
      <c r="BD256" s="38">
        <f>SUMPRODUCT(($E$234:$BD$234&gt;=52-$F$13+2)*($E$234:$BD$234&lt;=52)*$E$235:$BD$235*POWER(1-$G$13,($E$234:$BD$234&lt;=52)*(52-$E$234:$BD$234)))</f>
        <v/>
      </c>
    </row>
    <row r="257">
      <c r="A257" s="2" t="inlineStr">
        <is>
          <t xml:space="preserve">   Stock carried out must stay at or below this row.</t>
        </is>
      </c>
    </row>
    <row r="258">
      <c r="A258" s="28" t="inlineStr">
        <is>
          <t>Growing cost this week</t>
        </is>
      </c>
      <c r="B258" s="2" t="inlineStr">
        <is>
          <t>$</t>
        </is>
      </c>
      <c r="E258" s="36">
        <f>SUMPRODUCT(($B$71:$B$138="Kale")*(E$71:E$138="P")*$C$71:$C$138)*$K$13+SUMPRODUCT(($B$71:$B$138="Kale")*(E$71:E$138="G")*$C$71:$C$138)*$L$13+SUMPRODUCT(($B$71:$B$138="Kale")*(E$71:E$138="H")*$C$71:$C$138)*$M$13+SUMPRODUCT(($B$71:$B$138="Kale")*($BG$71:$BG$138=1)*$C$71:$C$138)*$H$13</f>
        <v/>
      </c>
      <c r="F258" s="36">
        <f>SUMPRODUCT(($B$71:$B$138="Kale")*(F$71:F$138="P")*$C$71:$C$138)*$K$13+SUMPRODUCT(($B$71:$B$138="Kale")*(F$71:F$138="G")*$C$71:$C$138)*$L$13+SUMPRODUCT(($B$71:$B$138="Kale")*(F$71:F$138="H")*$C$71:$C$138)*$M$13+SUMPRODUCT(($B$71:$B$138="Kale")*($BG$71:$BG$138=2)*$C$71:$C$138)*$H$13</f>
        <v/>
      </c>
      <c r="G258" s="36">
        <f>SUMPRODUCT(($B$71:$B$138="Kale")*(G$71:G$138="P")*$C$71:$C$138)*$K$13+SUMPRODUCT(($B$71:$B$138="Kale")*(G$71:G$138="G")*$C$71:$C$138)*$L$13+SUMPRODUCT(($B$71:$B$138="Kale")*(G$71:G$138="H")*$C$71:$C$138)*$M$13+SUMPRODUCT(($B$71:$B$138="Kale")*($BG$71:$BG$138=3)*$C$71:$C$138)*$H$13</f>
        <v/>
      </c>
      <c r="H258" s="36">
        <f>SUMPRODUCT(($B$71:$B$138="Kale")*(H$71:H$138="P")*$C$71:$C$138)*$K$13+SUMPRODUCT(($B$71:$B$138="Kale")*(H$71:H$138="G")*$C$71:$C$138)*$L$13+SUMPRODUCT(($B$71:$B$138="Kale")*(H$71:H$138="H")*$C$71:$C$138)*$M$13+SUMPRODUCT(($B$71:$B$138="Kale")*($BG$71:$BG$138=4)*$C$71:$C$138)*$H$13</f>
        <v/>
      </c>
      <c r="I258" s="36">
        <f>SUMPRODUCT(($B$71:$B$138="Kale")*(I$71:I$138="P")*$C$71:$C$138)*$K$13+SUMPRODUCT(($B$71:$B$138="Kale")*(I$71:I$138="G")*$C$71:$C$138)*$L$13+SUMPRODUCT(($B$71:$B$138="Kale")*(I$71:I$138="H")*$C$71:$C$138)*$M$13+SUMPRODUCT(($B$71:$B$138="Kale")*($BG$71:$BG$138=5)*$C$71:$C$138)*$H$13</f>
        <v/>
      </c>
      <c r="J258" s="36">
        <f>SUMPRODUCT(($B$71:$B$138="Kale")*(J$71:J$138="P")*$C$71:$C$138)*$K$13+SUMPRODUCT(($B$71:$B$138="Kale")*(J$71:J$138="G")*$C$71:$C$138)*$L$13+SUMPRODUCT(($B$71:$B$138="Kale")*(J$71:J$138="H")*$C$71:$C$138)*$M$13+SUMPRODUCT(($B$71:$B$138="Kale")*($BG$71:$BG$138=6)*$C$71:$C$138)*$H$13</f>
        <v/>
      </c>
      <c r="K258" s="36">
        <f>SUMPRODUCT(($B$71:$B$138="Kale")*(K$71:K$138="P")*$C$71:$C$138)*$K$13+SUMPRODUCT(($B$71:$B$138="Kale")*(K$71:K$138="G")*$C$71:$C$138)*$L$13+SUMPRODUCT(($B$71:$B$138="Kale")*(K$71:K$138="H")*$C$71:$C$138)*$M$13+SUMPRODUCT(($B$71:$B$138="Kale")*($BG$71:$BG$138=7)*$C$71:$C$138)*$H$13</f>
        <v/>
      </c>
      <c r="L258" s="36">
        <f>SUMPRODUCT(($B$71:$B$138="Kale")*(L$71:L$138="P")*$C$71:$C$138)*$K$13+SUMPRODUCT(($B$71:$B$138="Kale")*(L$71:L$138="G")*$C$71:$C$138)*$L$13+SUMPRODUCT(($B$71:$B$138="Kale")*(L$71:L$138="H")*$C$71:$C$138)*$M$13+SUMPRODUCT(($B$71:$B$138="Kale")*($BG$71:$BG$138=8)*$C$71:$C$138)*$H$13</f>
        <v/>
      </c>
      <c r="M258" s="36">
        <f>SUMPRODUCT(($B$71:$B$138="Kale")*(M$71:M$138="P")*$C$71:$C$138)*$K$13+SUMPRODUCT(($B$71:$B$138="Kale")*(M$71:M$138="G")*$C$71:$C$138)*$L$13+SUMPRODUCT(($B$71:$B$138="Kale")*(M$71:M$138="H")*$C$71:$C$138)*$M$13+SUMPRODUCT(($B$71:$B$138="Kale")*($BG$71:$BG$138=9)*$C$71:$C$138)*$H$13</f>
        <v/>
      </c>
      <c r="N258" s="36">
        <f>SUMPRODUCT(($B$71:$B$138="Kale")*(N$71:N$138="P")*$C$71:$C$138)*$K$13+SUMPRODUCT(($B$71:$B$138="Kale")*(N$71:N$138="G")*$C$71:$C$138)*$L$13+SUMPRODUCT(($B$71:$B$138="Kale")*(N$71:N$138="H")*$C$71:$C$138)*$M$13+SUMPRODUCT(($B$71:$B$138="Kale")*($BG$71:$BG$138=10)*$C$71:$C$138)*$H$13</f>
        <v/>
      </c>
      <c r="O258" s="36">
        <f>SUMPRODUCT(($B$71:$B$138="Kale")*(O$71:O$138="P")*$C$71:$C$138)*$K$13+SUMPRODUCT(($B$71:$B$138="Kale")*(O$71:O$138="G")*$C$71:$C$138)*$L$13+SUMPRODUCT(($B$71:$B$138="Kale")*(O$71:O$138="H")*$C$71:$C$138)*$M$13+SUMPRODUCT(($B$71:$B$138="Kale")*($BG$71:$BG$138=11)*$C$71:$C$138)*$H$13</f>
        <v/>
      </c>
      <c r="P258" s="36">
        <f>SUMPRODUCT(($B$71:$B$138="Kale")*(P$71:P$138="P")*$C$71:$C$138)*$K$13+SUMPRODUCT(($B$71:$B$138="Kale")*(P$71:P$138="G")*$C$71:$C$138)*$L$13+SUMPRODUCT(($B$71:$B$138="Kale")*(P$71:P$138="H")*$C$71:$C$138)*$M$13+SUMPRODUCT(($B$71:$B$138="Kale")*($BG$71:$BG$138=12)*$C$71:$C$138)*$H$13</f>
        <v/>
      </c>
      <c r="Q258" s="36">
        <f>SUMPRODUCT(($B$71:$B$138="Kale")*(Q$71:Q$138="P")*$C$71:$C$138)*$K$13+SUMPRODUCT(($B$71:$B$138="Kale")*(Q$71:Q$138="G")*$C$71:$C$138)*$L$13+SUMPRODUCT(($B$71:$B$138="Kale")*(Q$71:Q$138="H")*$C$71:$C$138)*$M$13+SUMPRODUCT(($B$71:$B$138="Kale")*($BG$71:$BG$138=13)*$C$71:$C$138)*$H$13</f>
        <v/>
      </c>
      <c r="R258" s="36">
        <f>SUMPRODUCT(($B$71:$B$138="Kale")*(R$71:R$138="P")*$C$71:$C$138)*$K$13+SUMPRODUCT(($B$71:$B$138="Kale")*(R$71:R$138="G")*$C$71:$C$138)*$L$13+SUMPRODUCT(($B$71:$B$138="Kale")*(R$71:R$138="H")*$C$71:$C$138)*$M$13+SUMPRODUCT(($B$71:$B$138="Kale")*($BG$71:$BG$138=14)*$C$71:$C$138)*$H$13</f>
        <v/>
      </c>
      <c r="S258" s="36">
        <f>SUMPRODUCT(($B$71:$B$138="Kale")*(S$71:S$138="P")*$C$71:$C$138)*$K$13+SUMPRODUCT(($B$71:$B$138="Kale")*(S$71:S$138="G")*$C$71:$C$138)*$L$13+SUMPRODUCT(($B$71:$B$138="Kale")*(S$71:S$138="H")*$C$71:$C$138)*$M$13+SUMPRODUCT(($B$71:$B$138="Kale")*($BG$71:$BG$138=15)*$C$71:$C$138)*$H$13</f>
        <v/>
      </c>
      <c r="T258" s="36">
        <f>SUMPRODUCT(($B$71:$B$138="Kale")*(T$71:T$138="P")*$C$71:$C$138)*$K$13+SUMPRODUCT(($B$71:$B$138="Kale")*(T$71:T$138="G")*$C$71:$C$138)*$L$13+SUMPRODUCT(($B$71:$B$138="Kale")*(T$71:T$138="H")*$C$71:$C$138)*$M$13+SUMPRODUCT(($B$71:$B$138="Kale")*($BG$71:$BG$138=16)*$C$71:$C$138)*$H$13</f>
        <v/>
      </c>
      <c r="U258" s="36">
        <f>SUMPRODUCT(($B$71:$B$138="Kale")*(U$71:U$138="P")*$C$71:$C$138)*$K$13+SUMPRODUCT(($B$71:$B$138="Kale")*(U$71:U$138="G")*$C$71:$C$138)*$L$13+SUMPRODUCT(($B$71:$B$138="Kale")*(U$71:U$138="H")*$C$71:$C$138)*$M$13+SUMPRODUCT(($B$71:$B$138="Kale")*($BG$71:$BG$138=17)*$C$71:$C$138)*$H$13</f>
        <v/>
      </c>
      <c r="V258" s="36">
        <f>SUMPRODUCT(($B$71:$B$138="Kale")*(V$71:V$138="P")*$C$71:$C$138)*$K$13+SUMPRODUCT(($B$71:$B$138="Kale")*(V$71:V$138="G")*$C$71:$C$138)*$L$13+SUMPRODUCT(($B$71:$B$138="Kale")*(V$71:V$138="H")*$C$71:$C$138)*$M$13+SUMPRODUCT(($B$71:$B$138="Kale")*($BG$71:$BG$138=18)*$C$71:$C$138)*$H$13</f>
        <v/>
      </c>
      <c r="W258" s="36">
        <f>SUMPRODUCT(($B$71:$B$138="Kale")*(W$71:W$138="P")*$C$71:$C$138)*$K$13+SUMPRODUCT(($B$71:$B$138="Kale")*(W$71:W$138="G")*$C$71:$C$138)*$L$13+SUMPRODUCT(($B$71:$B$138="Kale")*(W$71:W$138="H")*$C$71:$C$138)*$M$13+SUMPRODUCT(($B$71:$B$138="Kale")*($BG$71:$BG$138=19)*$C$71:$C$138)*$H$13</f>
        <v/>
      </c>
      <c r="X258" s="36">
        <f>SUMPRODUCT(($B$71:$B$138="Kale")*(X$71:X$138="P")*$C$71:$C$138)*$K$13+SUMPRODUCT(($B$71:$B$138="Kale")*(X$71:X$138="G")*$C$71:$C$138)*$L$13+SUMPRODUCT(($B$71:$B$138="Kale")*(X$71:X$138="H")*$C$71:$C$138)*$M$13+SUMPRODUCT(($B$71:$B$138="Kale")*($BG$71:$BG$138=20)*$C$71:$C$138)*$H$13</f>
        <v/>
      </c>
      <c r="Y258" s="36">
        <f>SUMPRODUCT(($B$71:$B$138="Kale")*(Y$71:Y$138="P")*$C$71:$C$138)*$K$13+SUMPRODUCT(($B$71:$B$138="Kale")*(Y$71:Y$138="G")*$C$71:$C$138)*$L$13+SUMPRODUCT(($B$71:$B$138="Kale")*(Y$71:Y$138="H")*$C$71:$C$138)*$M$13+SUMPRODUCT(($B$71:$B$138="Kale")*($BG$71:$BG$138=21)*$C$71:$C$138)*$H$13</f>
        <v/>
      </c>
      <c r="Z258" s="36">
        <f>SUMPRODUCT(($B$71:$B$138="Kale")*(Z$71:Z$138="P")*$C$71:$C$138)*$K$13+SUMPRODUCT(($B$71:$B$138="Kale")*(Z$71:Z$138="G")*$C$71:$C$138)*$L$13+SUMPRODUCT(($B$71:$B$138="Kale")*(Z$71:Z$138="H")*$C$71:$C$138)*$M$13+SUMPRODUCT(($B$71:$B$138="Kale")*($BG$71:$BG$138=22)*$C$71:$C$138)*$H$13</f>
        <v/>
      </c>
      <c r="AA258" s="36">
        <f>SUMPRODUCT(($B$71:$B$138="Kale")*(AA$71:AA$138="P")*$C$71:$C$138)*$K$13+SUMPRODUCT(($B$71:$B$138="Kale")*(AA$71:AA$138="G")*$C$71:$C$138)*$L$13+SUMPRODUCT(($B$71:$B$138="Kale")*(AA$71:AA$138="H")*$C$71:$C$138)*$M$13+SUMPRODUCT(($B$71:$B$138="Kale")*($BG$71:$BG$138=23)*$C$71:$C$138)*$H$13</f>
        <v/>
      </c>
      <c r="AB258" s="36">
        <f>SUMPRODUCT(($B$71:$B$138="Kale")*(AB$71:AB$138="P")*$C$71:$C$138)*$K$13+SUMPRODUCT(($B$71:$B$138="Kale")*(AB$71:AB$138="G")*$C$71:$C$138)*$L$13+SUMPRODUCT(($B$71:$B$138="Kale")*(AB$71:AB$138="H")*$C$71:$C$138)*$M$13+SUMPRODUCT(($B$71:$B$138="Kale")*($BG$71:$BG$138=24)*$C$71:$C$138)*$H$13</f>
        <v/>
      </c>
      <c r="AC258" s="36">
        <f>SUMPRODUCT(($B$71:$B$138="Kale")*(AC$71:AC$138="P")*$C$71:$C$138)*$K$13+SUMPRODUCT(($B$71:$B$138="Kale")*(AC$71:AC$138="G")*$C$71:$C$138)*$L$13+SUMPRODUCT(($B$71:$B$138="Kale")*(AC$71:AC$138="H")*$C$71:$C$138)*$M$13+SUMPRODUCT(($B$71:$B$138="Kale")*($BG$71:$BG$138=25)*$C$71:$C$138)*$H$13</f>
        <v/>
      </c>
      <c r="AD258" s="36">
        <f>SUMPRODUCT(($B$71:$B$138="Kale")*(AD$71:AD$138="P")*$C$71:$C$138)*$K$13+SUMPRODUCT(($B$71:$B$138="Kale")*(AD$71:AD$138="G")*$C$71:$C$138)*$L$13+SUMPRODUCT(($B$71:$B$138="Kale")*(AD$71:AD$138="H")*$C$71:$C$138)*$M$13+SUMPRODUCT(($B$71:$B$138="Kale")*($BG$71:$BG$138=26)*$C$71:$C$138)*$H$13</f>
        <v/>
      </c>
      <c r="AE258" s="36">
        <f>SUMPRODUCT(($B$71:$B$138="Kale")*(AE$71:AE$138="P")*$C$71:$C$138)*$K$13+SUMPRODUCT(($B$71:$B$138="Kale")*(AE$71:AE$138="G")*$C$71:$C$138)*$L$13+SUMPRODUCT(($B$71:$B$138="Kale")*(AE$71:AE$138="H")*$C$71:$C$138)*$M$13+SUMPRODUCT(($B$71:$B$138="Kale")*($BG$71:$BG$138=27)*$C$71:$C$138)*$H$13</f>
        <v/>
      </c>
      <c r="AF258" s="36">
        <f>SUMPRODUCT(($B$71:$B$138="Kale")*(AF$71:AF$138="P")*$C$71:$C$138)*$K$13+SUMPRODUCT(($B$71:$B$138="Kale")*(AF$71:AF$138="G")*$C$71:$C$138)*$L$13+SUMPRODUCT(($B$71:$B$138="Kale")*(AF$71:AF$138="H")*$C$71:$C$138)*$M$13+SUMPRODUCT(($B$71:$B$138="Kale")*($BG$71:$BG$138=28)*$C$71:$C$138)*$H$13</f>
        <v/>
      </c>
      <c r="AG258" s="36">
        <f>SUMPRODUCT(($B$71:$B$138="Kale")*(AG$71:AG$138="P")*$C$71:$C$138)*$K$13+SUMPRODUCT(($B$71:$B$138="Kale")*(AG$71:AG$138="G")*$C$71:$C$138)*$L$13+SUMPRODUCT(($B$71:$B$138="Kale")*(AG$71:AG$138="H")*$C$71:$C$138)*$M$13+SUMPRODUCT(($B$71:$B$138="Kale")*($BG$71:$BG$138=29)*$C$71:$C$138)*$H$13</f>
        <v/>
      </c>
      <c r="AH258" s="36">
        <f>SUMPRODUCT(($B$71:$B$138="Kale")*(AH$71:AH$138="P")*$C$71:$C$138)*$K$13+SUMPRODUCT(($B$71:$B$138="Kale")*(AH$71:AH$138="G")*$C$71:$C$138)*$L$13+SUMPRODUCT(($B$71:$B$138="Kale")*(AH$71:AH$138="H")*$C$71:$C$138)*$M$13+SUMPRODUCT(($B$71:$B$138="Kale")*($BG$71:$BG$138=30)*$C$71:$C$138)*$H$13</f>
        <v/>
      </c>
      <c r="AI258" s="36">
        <f>SUMPRODUCT(($B$71:$B$138="Kale")*(AI$71:AI$138="P")*$C$71:$C$138)*$K$13+SUMPRODUCT(($B$71:$B$138="Kale")*(AI$71:AI$138="G")*$C$71:$C$138)*$L$13+SUMPRODUCT(($B$71:$B$138="Kale")*(AI$71:AI$138="H")*$C$71:$C$138)*$M$13+SUMPRODUCT(($B$71:$B$138="Kale")*($BG$71:$BG$138=31)*$C$71:$C$138)*$H$13</f>
        <v/>
      </c>
      <c r="AJ258" s="36">
        <f>SUMPRODUCT(($B$71:$B$138="Kale")*(AJ$71:AJ$138="P")*$C$71:$C$138)*$K$13+SUMPRODUCT(($B$71:$B$138="Kale")*(AJ$71:AJ$138="G")*$C$71:$C$138)*$L$13+SUMPRODUCT(($B$71:$B$138="Kale")*(AJ$71:AJ$138="H")*$C$71:$C$138)*$M$13+SUMPRODUCT(($B$71:$B$138="Kale")*($BG$71:$BG$138=32)*$C$71:$C$138)*$H$13</f>
        <v/>
      </c>
      <c r="AK258" s="36">
        <f>SUMPRODUCT(($B$71:$B$138="Kale")*(AK$71:AK$138="P")*$C$71:$C$138)*$K$13+SUMPRODUCT(($B$71:$B$138="Kale")*(AK$71:AK$138="G")*$C$71:$C$138)*$L$13+SUMPRODUCT(($B$71:$B$138="Kale")*(AK$71:AK$138="H")*$C$71:$C$138)*$M$13+SUMPRODUCT(($B$71:$B$138="Kale")*($BG$71:$BG$138=33)*$C$71:$C$138)*$H$13</f>
        <v/>
      </c>
      <c r="AL258" s="36">
        <f>SUMPRODUCT(($B$71:$B$138="Kale")*(AL$71:AL$138="P")*$C$71:$C$138)*$K$13+SUMPRODUCT(($B$71:$B$138="Kale")*(AL$71:AL$138="G")*$C$71:$C$138)*$L$13+SUMPRODUCT(($B$71:$B$138="Kale")*(AL$71:AL$138="H")*$C$71:$C$138)*$M$13+SUMPRODUCT(($B$71:$B$138="Kale")*($BG$71:$BG$138=34)*$C$71:$C$138)*$H$13</f>
        <v/>
      </c>
      <c r="AM258" s="36">
        <f>SUMPRODUCT(($B$71:$B$138="Kale")*(AM$71:AM$138="P")*$C$71:$C$138)*$K$13+SUMPRODUCT(($B$71:$B$138="Kale")*(AM$71:AM$138="G")*$C$71:$C$138)*$L$13+SUMPRODUCT(($B$71:$B$138="Kale")*(AM$71:AM$138="H")*$C$71:$C$138)*$M$13+SUMPRODUCT(($B$71:$B$138="Kale")*($BG$71:$BG$138=35)*$C$71:$C$138)*$H$13</f>
        <v/>
      </c>
      <c r="AN258" s="36">
        <f>SUMPRODUCT(($B$71:$B$138="Kale")*(AN$71:AN$138="P")*$C$71:$C$138)*$K$13+SUMPRODUCT(($B$71:$B$138="Kale")*(AN$71:AN$138="G")*$C$71:$C$138)*$L$13+SUMPRODUCT(($B$71:$B$138="Kale")*(AN$71:AN$138="H")*$C$71:$C$138)*$M$13+SUMPRODUCT(($B$71:$B$138="Kale")*($BG$71:$BG$138=36)*$C$71:$C$138)*$H$13</f>
        <v/>
      </c>
      <c r="AO258" s="36">
        <f>SUMPRODUCT(($B$71:$B$138="Kale")*(AO$71:AO$138="P")*$C$71:$C$138)*$K$13+SUMPRODUCT(($B$71:$B$138="Kale")*(AO$71:AO$138="G")*$C$71:$C$138)*$L$13+SUMPRODUCT(($B$71:$B$138="Kale")*(AO$71:AO$138="H")*$C$71:$C$138)*$M$13+SUMPRODUCT(($B$71:$B$138="Kale")*($BG$71:$BG$138=37)*$C$71:$C$138)*$H$13</f>
        <v/>
      </c>
      <c r="AP258" s="36">
        <f>SUMPRODUCT(($B$71:$B$138="Kale")*(AP$71:AP$138="P")*$C$71:$C$138)*$K$13+SUMPRODUCT(($B$71:$B$138="Kale")*(AP$71:AP$138="G")*$C$71:$C$138)*$L$13+SUMPRODUCT(($B$71:$B$138="Kale")*(AP$71:AP$138="H")*$C$71:$C$138)*$M$13+SUMPRODUCT(($B$71:$B$138="Kale")*($BG$71:$BG$138=38)*$C$71:$C$138)*$H$13</f>
        <v/>
      </c>
      <c r="AQ258" s="36">
        <f>SUMPRODUCT(($B$71:$B$138="Kale")*(AQ$71:AQ$138="P")*$C$71:$C$138)*$K$13+SUMPRODUCT(($B$71:$B$138="Kale")*(AQ$71:AQ$138="G")*$C$71:$C$138)*$L$13+SUMPRODUCT(($B$71:$B$138="Kale")*(AQ$71:AQ$138="H")*$C$71:$C$138)*$M$13+SUMPRODUCT(($B$71:$B$138="Kale")*($BG$71:$BG$138=39)*$C$71:$C$138)*$H$13</f>
        <v/>
      </c>
      <c r="AR258" s="36">
        <f>SUMPRODUCT(($B$71:$B$138="Kale")*(AR$71:AR$138="P")*$C$71:$C$138)*$K$13+SUMPRODUCT(($B$71:$B$138="Kale")*(AR$71:AR$138="G")*$C$71:$C$138)*$L$13+SUMPRODUCT(($B$71:$B$138="Kale")*(AR$71:AR$138="H")*$C$71:$C$138)*$M$13+SUMPRODUCT(($B$71:$B$138="Kale")*($BG$71:$BG$138=40)*$C$71:$C$138)*$H$13</f>
        <v/>
      </c>
      <c r="AS258" s="36">
        <f>SUMPRODUCT(($B$71:$B$138="Kale")*(AS$71:AS$138="P")*$C$71:$C$138)*$K$13+SUMPRODUCT(($B$71:$B$138="Kale")*(AS$71:AS$138="G")*$C$71:$C$138)*$L$13+SUMPRODUCT(($B$71:$B$138="Kale")*(AS$71:AS$138="H")*$C$71:$C$138)*$M$13+SUMPRODUCT(($B$71:$B$138="Kale")*($BG$71:$BG$138=41)*$C$71:$C$138)*$H$13</f>
        <v/>
      </c>
      <c r="AT258" s="36">
        <f>SUMPRODUCT(($B$71:$B$138="Kale")*(AT$71:AT$138="P")*$C$71:$C$138)*$K$13+SUMPRODUCT(($B$71:$B$138="Kale")*(AT$71:AT$138="G")*$C$71:$C$138)*$L$13+SUMPRODUCT(($B$71:$B$138="Kale")*(AT$71:AT$138="H")*$C$71:$C$138)*$M$13+SUMPRODUCT(($B$71:$B$138="Kale")*($BG$71:$BG$138=42)*$C$71:$C$138)*$H$13</f>
        <v/>
      </c>
      <c r="AU258" s="36">
        <f>SUMPRODUCT(($B$71:$B$138="Kale")*(AU$71:AU$138="P")*$C$71:$C$138)*$K$13+SUMPRODUCT(($B$71:$B$138="Kale")*(AU$71:AU$138="G")*$C$71:$C$138)*$L$13+SUMPRODUCT(($B$71:$B$138="Kale")*(AU$71:AU$138="H")*$C$71:$C$138)*$M$13+SUMPRODUCT(($B$71:$B$138="Kale")*($BG$71:$BG$138=43)*$C$71:$C$138)*$H$13</f>
        <v/>
      </c>
      <c r="AV258" s="36">
        <f>SUMPRODUCT(($B$71:$B$138="Kale")*(AV$71:AV$138="P")*$C$71:$C$138)*$K$13+SUMPRODUCT(($B$71:$B$138="Kale")*(AV$71:AV$138="G")*$C$71:$C$138)*$L$13+SUMPRODUCT(($B$71:$B$138="Kale")*(AV$71:AV$138="H")*$C$71:$C$138)*$M$13+SUMPRODUCT(($B$71:$B$138="Kale")*($BG$71:$BG$138=44)*$C$71:$C$138)*$H$13</f>
        <v/>
      </c>
      <c r="AW258" s="36">
        <f>SUMPRODUCT(($B$71:$B$138="Kale")*(AW$71:AW$138="P")*$C$71:$C$138)*$K$13+SUMPRODUCT(($B$71:$B$138="Kale")*(AW$71:AW$138="G")*$C$71:$C$138)*$L$13+SUMPRODUCT(($B$71:$B$138="Kale")*(AW$71:AW$138="H")*$C$71:$C$138)*$M$13+SUMPRODUCT(($B$71:$B$138="Kale")*($BG$71:$BG$138=45)*$C$71:$C$138)*$H$13</f>
        <v/>
      </c>
      <c r="AX258" s="36">
        <f>SUMPRODUCT(($B$71:$B$138="Kale")*(AX$71:AX$138="P")*$C$71:$C$138)*$K$13+SUMPRODUCT(($B$71:$B$138="Kale")*(AX$71:AX$138="G")*$C$71:$C$138)*$L$13+SUMPRODUCT(($B$71:$B$138="Kale")*(AX$71:AX$138="H")*$C$71:$C$138)*$M$13+SUMPRODUCT(($B$71:$B$138="Kale")*($BG$71:$BG$138=46)*$C$71:$C$138)*$H$13</f>
        <v/>
      </c>
      <c r="AY258" s="36">
        <f>SUMPRODUCT(($B$71:$B$138="Kale")*(AY$71:AY$138="P")*$C$71:$C$138)*$K$13+SUMPRODUCT(($B$71:$B$138="Kale")*(AY$71:AY$138="G")*$C$71:$C$138)*$L$13+SUMPRODUCT(($B$71:$B$138="Kale")*(AY$71:AY$138="H")*$C$71:$C$138)*$M$13+SUMPRODUCT(($B$71:$B$138="Kale")*($BG$71:$BG$138=47)*$C$71:$C$138)*$H$13</f>
        <v/>
      </c>
      <c r="AZ258" s="36">
        <f>SUMPRODUCT(($B$71:$B$138="Kale")*(AZ$71:AZ$138="P")*$C$71:$C$138)*$K$13+SUMPRODUCT(($B$71:$B$138="Kale")*(AZ$71:AZ$138="G")*$C$71:$C$138)*$L$13+SUMPRODUCT(($B$71:$B$138="Kale")*(AZ$71:AZ$138="H")*$C$71:$C$138)*$M$13+SUMPRODUCT(($B$71:$B$138="Kale")*($BG$71:$BG$138=48)*$C$71:$C$138)*$H$13</f>
        <v/>
      </c>
      <c r="BA258" s="36">
        <f>SUMPRODUCT(($B$71:$B$138="Kale")*(BA$71:BA$138="P")*$C$71:$C$138)*$K$13+SUMPRODUCT(($B$71:$B$138="Kale")*(BA$71:BA$138="G")*$C$71:$C$138)*$L$13+SUMPRODUCT(($B$71:$B$138="Kale")*(BA$71:BA$138="H")*$C$71:$C$138)*$M$13+SUMPRODUCT(($B$71:$B$138="Kale")*($BG$71:$BG$138=49)*$C$71:$C$138)*$H$13</f>
        <v/>
      </c>
      <c r="BB258" s="36">
        <f>SUMPRODUCT(($B$71:$B$138="Kale")*(BB$71:BB$138="P")*$C$71:$C$138)*$K$13+SUMPRODUCT(($B$71:$B$138="Kale")*(BB$71:BB$138="G")*$C$71:$C$138)*$L$13+SUMPRODUCT(($B$71:$B$138="Kale")*(BB$71:BB$138="H")*$C$71:$C$138)*$M$13+SUMPRODUCT(($B$71:$B$138="Kale")*($BG$71:$BG$138=50)*$C$71:$C$138)*$H$13</f>
        <v/>
      </c>
      <c r="BC258" s="36">
        <f>SUMPRODUCT(($B$71:$B$138="Kale")*(BC$71:BC$138="P")*$C$71:$C$138)*$K$13+SUMPRODUCT(($B$71:$B$138="Kale")*(BC$71:BC$138="G")*$C$71:$C$138)*$L$13+SUMPRODUCT(($B$71:$B$138="Kale")*(BC$71:BC$138="H")*$C$71:$C$138)*$M$13+SUMPRODUCT(($B$71:$B$138="Kale")*($BG$71:$BG$138=51)*$C$71:$C$138)*$H$13</f>
        <v/>
      </c>
      <c r="BD258" s="36">
        <f>SUMPRODUCT(($B$71:$B$138="Kale")*(BD$71:BD$138="P")*$C$71:$C$138)*$K$13+SUMPRODUCT(($B$71:$B$138="Kale")*(BD$71:BD$138="G")*$C$71:$C$138)*$L$13+SUMPRODUCT(($B$71:$B$138="Kale")*(BD$71:BD$138="H")*$C$71:$C$138)*$M$13+SUMPRODUCT(($B$71:$B$138="Kale")*($BG$71:$BG$138=52)*$C$71:$C$138)*$H$13</f>
        <v/>
      </c>
    </row>
    <row r="259">
      <c r="A259" s="28" t="inlineStr">
        <is>
          <t>Packaging this week</t>
        </is>
      </c>
      <c r="B259" s="2" t="inlineStr">
        <is>
          <t>$</t>
        </is>
      </c>
      <c r="E259" s="36">
        <f>E241*$J$21+E249*$J$22</f>
        <v/>
      </c>
      <c r="F259" s="36">
        <f>F241*$J$21+F249*$J$22</f>
        <v/>
      </c>
      <c r="G259" s="36">
        <f>G241*$J$21+G249*$J$22</f>
        <v/>
      </c>
      <c r="H259" s="36">
        <f>H241*$J$21+H249*$J$22</f>
        <v/>
      </c>
      <c r="I259" s="36">
        <f>I241*$J$21+I249*$J$22</f>
        <v/>
      </c>
      <c r="J259" s="36">
        <f>J241*$J$21+J249*$J$22</f>
        <v/>
      </c>
      <c r="K259" s="36">
        <f>K241*$J$21+K249*$J$22</f>
        <v/>
      </c>
      <c r="L259" s="36">
        <f>L241*$J$21+L249*$J$22</f>
        <v/>
      </c>
      <c r="M259" s="36">
        <f>M241*$J$21+M249*$J$22</f>
        <v/>
      </c>
      <c r="N259" s="36">
        <f>N241*$J$21+N249*$J$22</f>
        <v/>
      </c>
      <c r="O259" s="36">
        <f>O241*$J$21+O249*$J$22</f>
        <v/>
      </c>
      <c r="P259" s="36">
        <f>P241*$J$21+P249*$J$22</f>
        <v/>
      </c>
      <c r="Q259" s="36">
        <f>Q241*$J$21+Q249*$J$22</f>
        <v/>
      </c>
      <c r="R259" s="36">
        <f>R241*$J$21+R249*$J$22</f>
        <v/>
      </c>
      <c r="S259" s="36">
        <f>S241*$J$21+S249*$J$22</f>
        <v/>
      </c>
      <c r="T259" s="36">
        <f>T241*$J$21+T249*$J$22</f>
        <v/>
      </c>
      <c r="U259" s="36">
        <f>U241*$J$21+U249*$J$22</f>
        <v/>
      </c>
      <c r="V259" s="36">
        <f>V241*$J$21+V249*$J$22</f>
        <v/>
      </c>
      <c r="W259" s="36">
        <f>W241*$J$21+W249*$J$22</f>
        <v/>
      </c>
      <c r="X259" s="36">
        <f>X241*$J$21+X249*$J$22</f>
        <v/>
      </c>
      <c r="Y259" s="36">
        <f>Y241*$J$21+Y249*$J$22</f>
        <v/>
      </c>
      <c r="Z259" s="36">
        <f>Z241*$J$21+Z249*$J$22</f>
        <v/>
      </c>
      <c r="AA259" s="36">
        <f>AA241*$J$21+AA249*$J$22</f>
        <v/>
      </c>
      <c r="AB259" s="36">
        <f>AB241*$J$21+AB249*$J$22</f>
        <v/>
      </c>
      <c r="AC259" s="36">
        <f>AC241*$J$21+AC249*$J$22</f>
        <v/>
      </c>
      <c r="AD259" s="36">
        <f>AD241*$J$21+AD249*$J$22</f>
        <v/>
      </c>
      <c r="AE259" s="36">
        <f>AE241*$J$21+AE249*$J$22</f>
        <v/>
      </c>
      <c r="AF259" s="36">
        <f>AF241*$J$21+AF249*$J$22</f>
        <v/>
      </c>
      <c r="AG259" s="36">
        <f>AG241*$J$21+AG249*$J$22</f>
        <v/>
      </c>
      <c r="AH259" s="36">
        <f>AH241*$J$21+AH249*$J$22</f>
        <v/>
      </c>
      <c r="AI259" s="36">
        <f>AI241*$J$21+AI249*$J$22</f>
        <v/>
      </c>
      <c r="AJ259" s="36">
        <f>AJ241*$J$21+AJ249*$J$22</f>
        <v/>
      </c>
      <c r="AK259" s="36">
        <f>AK241*$J$21+AK249*$J$22</f>
        <v/>
      </c>
      <c r="AL259" s="36">
        <f>AL241*$J$21+AL249*$J$22</f>
        <v/>
      </c>
      <c r="AM259" s="36">
        <f>AM241*$J$21+AM249*$J$22</f>
        <v/>
      </c>
      <c r="AN259" s="36">
        <f>AN241*$J$21+AN249*$J$22</f>
        <v/>
      </c>
      <c r="AO259" s="36">
        <f>AO241*$J$21+AO249*$J$22</f>
        <v/>
      </c>
      <c r="AP259" s="36">
        <f>AP241*$J$21+AP249*$J$22</f>
        <v/>
      </c>
      <c r="AQ259" s="36">
        <f>AQ241*$J$21+AQ249*$J$22</f>
        <v/>
      </c>
      <c r="AR259" s="36">
        <f>AR241*$J$21+AR249*$J$22</f>
        <v/>
      </c>
      <c r="AS259" s="36">
        <f>AS241*$J$21+AS249*$J$22</f>
        <v/>
      </c>
      <c r="AT259" s="36">
        <f>AT241*$J$21+AT249*$J$22</f>
        <v/>
      </c>
      <c r="AU259" s="36">
        <f>AU241*$J$21+AU249*$J$22</f>
        <v/>
      </c>
      <c r="AV259" s="36">
        <f>AV241*$J$21+AV249*$J$22</f>
        <v/>
      </c>
      <c r="AW259" s="36">
        <f>AW241*$J$21+AW249*$J$22</f>
        <v/>
      </c>
      <c r="AX259" s="36">
        <f>AX241*$J$21+AX249*$J$22</f>
        <v/>
      </c>
      <c r="AY259" s="36">
        <f>AY241*$J$21+AY249*$J$22</f>
        <v/>
      </c>
      <c r="AZ259" s="36">
        <f>AZ241*$J$21+AZ249*$J$22</f>
        <v/>
      </c>
      <c r="BA259" s="36">
        <f>BA241*$J$21+BA249*$J$22</f>
        <v/>
      </c>
      <c r="BB259" s="36">
        <f>BB241*$J$21+BB249*$J$22</f>
        <v/>
      </c>
      <c r="BC259" s="36">
        <f>BC241*$J$21+BC249*$J$22</f>
        <v/>
      </c>
      <c r="BD259" s="36">
        <f>BD241*$J$21+BD249*$J$22</f>
        <v/>
      </c>
    </row>
    <row r="260">
      <c r="A260" s="4" t="inlineStr">
        <is>
          <t>ROOM OCCUPANCY</t>
        </is>
      </c>
      <c r="B260" s="2" t="inlineStr">
        <is>
          <t>m3</t>
        </is>
      </c>
      <c r="E260" s="53">
        <f>(E236+E235)*$D$13</f>
        <v/>
      </c>
      <c r="F260" s="53">
        <f>(F236+F235)*$D$13</f>
        <v/>
      </c>
      <c r="G260" s="53">
        <f>(G236+G235)*$D$13</f>
        <v/>
      </c>
      <c r="H260" s="53">
        <f>(H236+H235)*$D$13</f>
        <v/>
      </c>
      <c r="I260" s="53">
        <f>(I236+I235)*$D$13</f>
        <v/>
      </c>
      <c r="J260" s="53">
        <f>(J236+J235)*$D$13</f>
        <v/>
      </c>
      <c r="K260" s="53">
        <f>(K236+K235)*$D$13</f>
        <v/>
      </c>
      <c r="L260" s="53">
        <f>(L236+L235)*$D$13</f>
        <v/>
      </c>
      <c r="M260" s="53">
        <f>(M236+M235)*$D$13</f>
        <v/>
      </c>
      <c r="N260" s="53">
        <f>(N236+N235)*$D$13</f>
        <v/>
      </c>
      <c r="O260" s="53">
        <f>(O236+O235)*$D$13</f>
        <v/>
      </c>
      <c r="P260" s="53">
        <f>(P236+P235)*$D$13</f>
        <v/>
      </c>
      <c r="Q260" s="53">
        <f>(Q236+Q235)*$D$13</f>
        <v/>
      </c>
      <c r="R260" s="53">
        <f>(R236+R235)*$D$13</f>
        <v/>
      </c>
      <c r="S260" s="53">
        <f>(S236+S235)*$D$13</f>
        <v/>
      </c>
      <c r="T260" s="53">
        <f>(T236+T235)*$D$13</f>
        <v/>
      </c>
      <c r="U260" s="53">
        <f>(U236+U235)*$D$13</f>
        <v/>
      </c>
      <c r="V260" s="53">
        <f>(V236+V235)*$D$13</f>
        <v/>
      </c>
      <c r="W260" s="53">
        <f>(W236+W235)*$D$13</f>
        <v/>
      </c>
      <c r="X260" s="53">
        <f>(X236+X235)*$D$13</f>
        <v/>
      </c>
      <c r="Y260" s="53">
        <f>(Y236+Y235)*$D$13</f>
        <v/>
      </c>
      <c r="Z260" s="53">
        <f>(Z236+Z235)*$D$13</f>
        <v/>
      </c>
      <c r="AA260" s="53">
        <f>(AA236+AA235)*$D$13</f>
        <v/>
      </c>
      <c r="AB260" s="53">
        <f>(AB236+AB235)*$D$13</f>
        <v/>
      </c>
      <c r="AC260" s="53">
        <f>(AC236+AC235)*$D$13</f>
        <v/>
      </c>
      <c r="AD260" s="53">
        <f>(AD236+AD235)*$D$13</f>
        <v/>
      </c>
      <c r="AE260" s="53">
        <f>(AE236+AE235)*$D$13</f>
        <v/>
      </c>
      <c r="AF260" s="53">
        <f>(AF236+AF235)*$D$13</f>
        <v/>
      </c>
      <c r="AG260" s="53">
        <f>(AG236+AG235)*$D$13</f>
        <v/>
      </c>
      <c r="AH260" s="53">
        <f>(AH236+AH235)*$D$13</f>
        <v/>
      </c>
      <c r="AI260" s="53">
        <f>(AI236+AI235)*$D$13</f>
        <v/>
      </c>
      <c r="AJ260" s="53">
        <f>(AJ236+AJ235)*$D$13</f>
        <v/>
      </c>
      <c r="AK260" s="53">
        <f>(AK236+AK235)*$D$13</f>
        <v/>
      </c>
      <c r="AL260" s="53">
        <f>(AL236+AL235)*$D$13</f>
        <v/>
      </c>
      <c r="AM260" s="53">
        <f>(AM236+AM235)*$D$13</f>
        <v/>
      </c>
      <c r="AN260" s="53">
        <f>(AN236+AN235)*$D$13</f>
        <v/>
      </c>
      <c r="AO260" s="53">
        <f>(AO236+AO235)*$D$13</f>
        <v/>
      </c>
      <c r="AP260" s="53">
        <f>(AP236+AP235)*$D$13</f>
        <v/>
      </c>
      <c r="AQ260" s="53">
        <f>(AQ236+AQ235)*$D$13</f>
        <v/>
      </c>
      <c r="AR260" s="53">
        <f>(AR236+AR235)*$D$13</f>
        <v/>
      </c>
      <c r="AS260" s="53">
        <f>(AS236+AS235)*$D$13</f>
        <v/>
      </c>
      <c r="AT260" s="53">
        <f>(AT236+AT235)*$D$13</f>
        <v/>
      </c>
      <c r="AU260" s="53">
        <f>(AU236+AU235)*$D$13</f>
        <v/>
      </c>
      <c r="AV260" s="53">
        <f>(AV236+AV235)*$D$13</f>
        <v/>
      </c>
      <c r="AW260" s="53">
        <f>(AW236+AW235)*$D$13</f>
        <v/>
      </c>
      <c r="AX260" s="53">
        <f>(AX236+AX235)*$D$13</f>
        <v/>
      </c>
      <c r="AY260" s="53">
        <f>(AY236+AY235)*$D$13</f>
        <v/>
      </c>
      <c r="AZ260" s="53">
        <f>(AZ236+AZ235)*$D$13</f>
        <v/>
      </c>
      <c r="BA260" s="53">
        <f>(BA236+BA235)*$D$13</f>
        <v/>
      </c>
      <c r="BB260" s="53">
        <f>(BB236+BB235)*$D$13</f>
        <v/>
      </c>
      <c r="BC260" s="53">
        <f>(BC236+BC235)*$D$13</f>
        <v/>
      </c>
      <c r="BD260" s="53">
        <f>(BD236+BD235)*$D$13</f>
        <v/>
      </c>
    </row>
    <row r="262">
      <c r="A262" s="3" t="inlineStr">
        <is>
          <t>GARLIC  —  ambient store</t>
        </is>
      </c>
      <c r="B262" s="54" t="inlineStr"/>
    </row>
    <row r="263">
      <c r="A263" s="32" t="inlineStr">
        <is>
          <t>Week</t>
        </is>
      </c>
      <c r="B263" s="33" t="inlineStr"/>
      <c r="E263" s="34" t="n">
        <v>1</v>
      </c>
      <c r="F263" s="34" t="n">
        <v>2</v>
      </c>
      <c r="G263" s="34" t="n">
        <v>3</v>
      </c>
      <c r="H263" s="34" t="n">
        <v>4</v>
      </c>
      <c r="I263" s="34" t="n">
        <v>5</v>
      </c>
      <c r="J263" s="34" t="n">
        <v>6</v>
      </c>
      <c r="K263" s="34" t="n">
        <v>7</v>
      </c>
      <c r="L263" s="34" t="n">
        <v>8</v>
      </c>
      <c r="M263" s="34" t="n">
        <v>9</v>
      </c>
      <c r="N263" s="34" t="n">
        <v>10</v>
      </c>
      <c r="O263" s="34" t="n">
        <v>11</v>
      </c>
      <c r="P263" s="34" t="n">
        <v>12</v>
      </c>
      <c r="Q263" s="34" t="n">
        <v>13</v>
      </c>
      <c r="R263" s="34" t="n">
        <v>14</v>
      </c>
      <c r="S263" s="34" t="n">
        <v>15</v>
      </c>
      <c r="T263" s="34" t="n">
        <v>16</v>
      </c>
      <c r="U263" s="34" t="n">
        <v>17</v>
      </c>
      <c r="V263" s="34" t="n">
        <v>18</v>
      </c>
      <c r="W263" s="34" t="n">
        <v>19</v>
      </c>
      <c r="X263" s="34" t="n">
        <v>20</v>
      </c>
      <c r="Y263" s="34" t="n">
        <v>21</v>
      </c>
      <c r="Z263" s="34" t="n">
        <v>22</v>
      </c>
      <c r="AA263" s="34" t="n">
        <v>23</v>
      </c>
      <c r="AB263" s="34" t="n">
        <v>24</v>
      </c>
      <c r="AC263" s="34" t="n">
        <v>25</v>
      </c>
      <c r="AD263" s="34" t="n">
        <v>26</v>
      </c>
      <c r="AE263" s="34" t="n">
        <v>27</v>
      </c>
      <c r="AF263" s="34" t="n">
        <v>28</v>
      </c>
      <c r="AG263" s="34" t="n">
        <v>29</v>
      </c>
      <c r="AH263" s="34" t="n">
        <v>30</v>
      </c>
      <c r="AI263" s="34" t="n">
        <v>31</v>
      </c>
      <c r="AJ263" s="34" t="n">
        <v>32</v>
      </c>
      <c r="AK263" s="34" t="n">
        <v>33</v>
      </c>
      <c r="AL263" s="34" t="n">
        <v>34</v>
      </c>
      <c r="AM263" s="34" t="n">
        <v>35</v>
      </c>
      <c r="AN263" s="34" t="n">
        <v>36</v>
      </c>
      <c r="AO263" s="34" t="n">
        <v>37</v>
      </c>
      <c r="AP263" s="34" t="n">
        <v>38</v>
      </c>
      <c r="AQ263" s="34" t="n">
        <v>39</v>
      </c>
      <c r="AR263" s="34" t="n">
        <v>40</v>
      </c>
      <c r="AS263" s="34" t="n">
        <v>41</v>
      </c>
      <c r="AT263" s="34" t="n">
        <v>42</v>
      </c>
      <c r="AU263" s="34" t="n">
        <v>43</v>
      </c>
      <c r="AV263" s="34" t="n">
        <v>44</v>
      </c>
      <c r="AW263" s="34" t="n">
        <v>45</v>
      </c>
      <c r="AX263" s="34" t="n">
        <v>46</v>
      </c>
      <c r="AY263" s="34" t="n">
        <v>47</v>
      </c>
      <c r="AZ263" s="34" t="n">
        <v>48</v>
      </c>
      <c r="BA263" s="34" t="n">
        <v>49</v>
      </c>
      <c r="BB263" s="34" t="n">
        <v>50</v>
      </c>
      <c r="BC263" s="34" t="n">
        <v>51</v>
      </c>
      <c r="BD263" s="34" t="n">
        <v>52</v>
      </c>
    </row>
    <row r="264">
      <c r="A264" s="4" t="inlineStr">
        <is>
          <t>Packed out -&gt; INTO the store</t>
        </is>
      </c>
      <c r="B264" s="2" t="inlineStr">
        <is>
          <t>lb</t>
        </is>
      </c>
      <c r="E264" s="36">
        <f>SUMPRODUCT(($B$71:$B$138="Garlic")*(E$71:E$138="H")*$C$71:$C$138)*$B$14/$J$14*$C$14</f>
        <v/>
      </c>
      <c r="F264" s="36">
        <f>SUMPRODUCT(($B$71:$B$138="Garlic")*(F$71:F$138="H")*$C$71:$C$138)*$B$14/$J$14*$C$14</f>
        <v/>
      </c>
      <c r="G264" s="36">
        <f>SUMPRODUCT(($B$71:$B$138="Garlic")*(G$71:G$138="H")*$C$71:$C$138)*$B$14/$J$14*$C$14</f>
        <v/>
      </c>
      <c r="H264" s="36">
        <f>SUMPRODUCT(($B$71:$B$138="Garlic")*(H$71:H$138="H")*$C$71:$C$138)*$B$14/$J$14*$C$14</f>
        <v/>
      </c>
      <c r="I264" s="36">
        <f>SUMPRODUCT(($B$71:$B$138="Garlic")*(I$71:I$138="H")*$C$71:$C$138)*$B$14/$J$14*$C$14</f>
        <v/>
      </c>
      <c r="J264" s="36">
        <f>SUMPRODUCT(($B$71:$B$138="Garlic")*(J$71:J$138="H")*$C$71:$C$138)*$B$14/$J$14*$C$14</f>
        <v/>
      </c>
      <c r="K264" s="36">
        <f>SUMPRODUCT(($B$71:$B$138="Garlic")*(K$71:K$138="H")*$C$71:$C$138)*$B$14/$J$14*$C$14</f>
        <v/>
      </c>
      <c r="L264" s="36">
        <f>SUMPRODUCT(($B$71:$B$138="Garlic")*(L$71:L$138="H")*$C$71:$C$138)*$B$14/$J$14*$C$14</f>
        <v/>
      </c>
      <c r="M264" s="36">
        <f>SUMPRODUCT(($B$71:$B$138="Garlic")*(M$71:M$138="H")*$C$71:$C$138)*$B$14/$J$14*$C$14</f>
        <v/>
      </c>
      <c r="N264" s="36">
        <f>SUMPRODUCT(($B$71:$B$138="Garlic")*(N$71:N$138="H")*$C$71:$C$138)*$B$14/$J$14*$C$14</f>
        <v/>
      </c>
      <c r="O264" s="36">
        <f>SUMPRODUCT(($B$71:$B$138="Garlic")*(O$71:O$138="H")*$C$71:$C$138)*$B$14/$J$14*$C$14</f>
        <v/>
      </c>
      <c r="P264" s="36">
        <f>SUMPRODUCT(($B$71:$B$138="Garlic")*(P$71:P$138="H")*$C$71:$C$138)*$B$14/$J$14*$C$14</f>
        <v/>
      </c>
      <c r="Q264" s="36">
        <f>SUMPRODUCT(($B$71:$B$138="Garlic")*(Q$71:Q$138="H")*$C$71:$C$138)*$B$14/$J$14*$C$14</f>
        <v/>
      </c>
      <c r="R264" s="36">
        <f>SUMPRODUCT(($B$71:$B$138="Garlic")*(R$71:R$138="H")*$C$71:$C$138)*$B$14/$J$14*$C$14</f>
        <v/>
      </c>
      <c r="S264" s="36">
        <f>SUMPRODUCT(($B$71:$B$138="Garlic")*(S$71:S$138="H")*$C$71:$C$138)*$B$14/$J$14*$C$14</f>
        <v/>
      </c>
      <c r="T264" s="36">
        <f>SUMPRODUCT(($B$71:$B$138="Garlic")*(T$71:T$138="H")*$C$71:$C$138)*$B$14/$J$14*$C$14</f>
        <v/>
      </c>
      <c r="U264" s="36">
        <f>SUMPRODUCT(($B$71:$B$138="Garlic")*(U$71:U$138="H")*$C$71:$C$138)*$B$14/$J$14*$C$14</f>
        <v/>
      </c>
      <c r="V264" s="36">
        <f>SUMPRODUCT(($B$71:$B$138="Garlic")*(V$71:V$138="H")*$C$71:$C$138)*$B$14/$J$14*$C$14</f>
        <v/>
      </c>
      <c r="W264" s="36">
        <f>SUMPRODUCT(($B$71:$B$138="Garlic")*(W$71:W$138="H")*$C$71:$C$138)*$B$14/$J$14*$C$14</f>
        <v/>
      </c>
      <c r="X264" s="36">
        <f>SUMPRODUCT(($B$71:$B$138="Garlic")*(X$71:X$138="H")*$C$71:$C$138)*$B$14/$J$14*$C$14</f>
        <v/>
      </c>
      <c r="Y264" s="36">
        <f>SUMPRODUCT(($B$71:$B$138="Garlic")*(Y$71:Y$138="H")*$C$71:$C$138)*$B$14/$J$14*$C$14</f>
        <v/>
      </c>
      <c r="Z264" s="36">
        <f>SUMPRODUCT(($B$71:$B$138="Garlic")*(Z$71:Z$138="H")*$C$71:$C$138)*$B$14/$J$14*$C$14</f>
        <v/>
      </c>
      <c r="AA264" s="36">
        <f>SUMPRODUCT(($B$71:$B$138="Garlic")*(AA$71:AA$138="H")*$C$71:$C$138)*$B$14/$J$14*$C$14</f>
        <v/>
      </c>
      <c r="AB264" s="36">
        <f>SUMPRODUCT(($B$71:$B$138="Garlic")*(AB$71:AB$138="H")*$C$71:$C$138)*$B$14/$J$14*$C$14</f>
        <v/>
      </c>
      <c r="AC264" s="36">
        <f>SUMPRODUCT(($B$71:$B$138="Garlic")*(AC$71:AC$138="H")*$C$71:$C$138)*$B$14/$J$14*$C$14</f>
        <v/>
      </c>
      <c r="AD264" s="36">
        <f>SUMPRODUCT(($B$71:$B$138="Garlic")*(AD$71:AD$138="H")*$C$71:$C$138)*$B$14/$J$14*$C$14</f>
        <v/>
      </c>
      <c r="AE264" s="36">
        <f>SUMPRODUCT(($B$71:$B$138="Garlic")*(AE$71:AE$138="H")*$C$71:$C$138)*$B$14/$J$14*$C$14</f>
        <v/>
      </c>
      <c r="AF264" s="36">
        <f>SUMPRODUCT(($B$71:$B$138="Garlic")*(AF$71:AF$138="H")*$C$71:$C$138)*$B$14/$J$14*$C$14</f>
        <v/>
      </c>
      <c r="AG264" s="36">
        <f>SUMPRODUCT(($B$71:$B$138="Garlic")*(AG$71:AG$138="H")*$C$71:$C$138)*$B$14/$J$14*$C$14</f>
        <v/>
      </c>
      <c r="AH264" s="36">
        <f>SUMPRODUCT(($B$71:$B$138="Garlic")*(AH$71:AH$138="H")*$C$71:$C$138)*$B$14/$J$14*$C$14</f>
        <v/>
      </c>
      <c r="AI264" s="36">
        <f>SUMPRODUCT(($B$71:$B$138="Garlic")*(AI$71:AI$138="H")*$C$71:$C$138)*$B$14/$J$14*$C$14</f>
        <v/>
      </c>
      <c r="AJ264" s="36">
        <f>SUMPRODUCT(($B$71:$B$138="Garlic")*(AJ$71:AJ$138="H")*$C$71:$C$138)*$B$14/$J$14*$C$14</f>
        <v/>
      </c>
      <c r="AK264" s="36">
        <f>SUMPRODUCT(($B$71:$B$138="Garlic")*(AK$71:AK$138="H")*$C$71:$C$138)*$B$14/$J$14*$C$14</f>
        <v/>
      </c>
      <c r="AL264" s="36">
        <f>SUMPRODUCT(($B$71:$B$138="Garlic")*(AL$71:AL$138="H")*$C$71:$C$138)*$B$14/$J$14*$C$14</f>
        <v/>
      </c>
      <c r="AM264" s="36">
        <f>SUMPRODUCT(($B$71:$B$138="Garlic")*(AM$71:AM$138="H")*$C$71:$C$138)*$B$14/$J$14*$C$14</f>
        <v/>
      </c>
      <c r="AN264" s="36">
        <f>SUMPRODUCT(($B$71:$B$138="Garlic")*(AN$71:AN$138="H")*$C$71:$C$138)*$B$14/$J$14*$C$14</f>
        <v/>
      </c>
      <c r="AO264" s="36">
        <f>SUMPRODUCT(($B$71:$B$138="Garlic")*(AO$71:AO$138="H")*$C$71:$C$138)*$B$14/$J$14*$C$14</f>
        <v/>
      </c>
      <c r="AP264" s="36">
        <f>SUMPRODUCT(($B$71:$B$138="Garlic")*(AP$71:AP$138="H")*$C$71:$C$138)*$B$14/$J$14*$C$14</f>
        <v/>
      </c>
      <c r="AQ264" s="36">
        <f>SUMPRODUCT(($B$71:$B$138="Garlic")*(AQ$71:AQ$138="H")*$C$71:$C$138)*$B$14/$J$14*$C$14</f>
        <v/>
      </c>
      <c r="AR264" s="36">
        <f>SUMPRODUCT(($B$71:$B$138="Garlic")*(AR$71:AR$138="H")*$C$71:$C$138)*$B$14/$J$14*$C$14</f>
        <v/>
      </c>
      <c r="AS264" s="36">
        <f>SUMPRODUCT(($B$71:$B$138="Garlic")*(AS$71:AS$138="H")*$C$71:$C$138)*$B$14/$J$14*$C$14</f>
        <v/>
      </c>
      <c r="AT264" s="36">
        <f>SUMPRODUCT(($B$71:$B$138="Garlic")*(AT$71:AT$138="H")*$C$71:$C$138)*$B$14/$J$14*$C$14</f>
        <v/>
      </c>
      <c r="AU264" s="36">
        <f>SUMPRODUCT(($B$71:$B$138="Garlic")*(AU$71:AU$138="H")*$C$71:$C$138)*$B$14/$J$14*$C$14</f>
        <v/>
      </c>
      <c r="AV264" s="36">
        <f>SUMPRODUCT(($B$71:$B$138="Garlic")*(AV$71:AV$138="H")*$C$71:$C$138)*$B$14/$J$14*$C$14</f>
        <v/>
      </c>
      <c r="AW264" s="36">
        <f>SUMPRODUCT(($B$71:$B$138="Garlic")*(AW$71:AW$138="H")*$C$71:$C$138)*$B$14/$J$14*$C$14</f>
        <v/>
      </c>
      <c r="AX264" s="36">
        <f>SUMPRODUCT(($B$71:$B$138="Garlic")*(AX$71:AX$138="H")*$C$71:$C$138)*$B$14/$J$14*$C$14</f>
        <v/>
      </c>
      <c r="AY264" s="36">
        <f>SUMPRODUCT(($B$71:$B$138="Garlic")*(AY$71:AY$138="H")*$C$71:$C$138)*$B$14/$J$14*$C$14</f>
        <v/>
      </c>
      <c r="AZ264" s="36">
        <f>SUMPRODUCT(($B$71:$B$138="Garlic")*(AZ$71:AZ$138="H")*$C$71:$C$138)*$B$14/$J$14*$C$14</f>
        <v/>
      </c>
      <c r="BA264" s="36">
        <f>SUMPRODUCT(($B$71:$B$138="Garlic")*(BA$71:BA$138="H")*$C$71:$C$138)*$B$14/$J$14*$C$14</f>
        <v/>
      </c>
      <c r="BB264" s="36">
        <f>SUMPRODUCT(($B$71:$B$138="Garlic")*(BB$71:BB$138="H")*$C$71:$C$138)*$B$14/$J$14*$C$14</f>
        <v/>
      </c>
      <c r="BC264" s="36">
        <f>SUMPRODUCT(($B$71:$B$138="Garlic")*(BC$71:BC$138="H")*$C$71:$C$138)*$B$14/$J$14*$C$14</f>
        <v/>
      </c>
      <c r="BD264" s="36">
        <f>SUMPRODUCT(($B$71:$B$138="Garlic")*(BD$71:BD$138="H")*$C$71:$C$138)*$B$14/$J$14*$C$14</f>
        <v/>
      </c>
    </row>
    <row r="265">
      <c r="A265" s="28" t="inlineStr">
        <is>
          <t>Stock carried in</t>
        </is>
      </c>
      <c r="B265" s="2" t="inlineStr">
        <is>
          <t>lb</t>
        </is>
      </c>
      <c r="E265" s="36" t="n">
        <v>0</v>
      </c>
      <c r="F265" s="36">
        <f>E280</f>
        <v/>
      </c>
      <c r="G265" s="36">
        <f>F280</f>
        <v/>
      </c>
      <c r="H265" s="36">
        <f>G280</f>
        <v/>
      </c>
      <c r="I265" s="36">
        <f>H280</f>
        <v/>
      </c>
      <c r="J265" s="36">
        <f>I280</f>
        <v/>
      </c>
      <c r="K265" s="36">
        <f>J280</f>
        <v/>
      </c>
      <c r="L265" s="36">
        <f>K280</f>
        <v/>
      </c>
      <c r="M265" s="36">
        <f>L280</f>
        <v/>
      </c>
      <c r="N265" s="36">
        <f>M280</f>
        <v/>
      </c>
      <c r="O265" s="36">
        <f>N280</f>
        <v/>
      </c>
      <c r="P265" s="36">
        <f>O280</f>
        <v/>
      </c>
      <c r="Q265" s="36">
        <f>P280</f>
        <v/>
      </c>
      <c r="R265" s="36">
        <f>Q280</f>
        <v/>
      </c>
      <c r="S265" s="36">
        <f>R280</f>
        <v/>
      </c>
      <c r="T265" s="36">
        <f>S280</f>
        <v/>
      </c>
      <c r="U265" s="36">
        <f>T280</f>
        <v/>
      </c>
      <c r="V265" s="36">
        <f>U280</f>
        <v/>
      </c>
      <c r="W265" s="36">
        <f>V280</f>
        <v/>
      </c>
      <c r="X265" s="36">
        <f>W280</f>
        <v/>
      </c>
      <c r="Y265" s="36">
        <f>X280</f>
        <v/>
      </c>
      <c r="Z265" s="36">
        <f>Y280</f>
        <v/>
      </c>
      <c r="AA265" s="36">
        <f>Z280</f>
        <v/>
      </c>
      <c r="AB265" s="36">
        <f>AA280</f>
        <v/>
      </c>
      <c r="AC265" s="36">
        <f>AB280</f>
        <v/>
      </c>
      <c r="AD265" s="36">
        <f>AC280</f>
        <v/>
      </c>
      <c r="AE265" s="36">
        <f>AD280</f>
        <v/>
      </c>
      <c r="AF265" s="36">
        <f>AE280</f>
        <v/>
      </c>
      <c r="AG265" s="36">
        <f>AF280</f>
        <v/>
      </c>
      <c r="AH265" s="36">
        <f>AG280</f>
        <v/>
      </c>
      <c r="AI265" s="36">
        <f>AH280</f>
        <v/>
      </c>
      <c r="AJ265" s="36">
        <f>AI280</f>
        <v/>
      </c>
      <c r="AK265" s="36">
        <f>AJ280</f>
        <v/>
      </c>
      <c r="AL265" s="36">
        <f>AK280</f>
        <v/>
      </c>
      <c r="AM265" s="36">
        <f>AL280</f>
        <v/>
      </c>
      <c r="AN265" s="36">
        <f>AM280</f>
        <v/>
      </c>
      <c r="AO265" s="36">
        <f>AN280</f>
        <v/>
      </c>
      <c r="AP265" s="36">
        <f>AO280</f>
        <v/>
      </c>
      <c r="AQ265" s="36">
        <f>AP280</f>
        <v/>
      </c>
      <c r="AR265" s="36">
        <f>AQ280</f>
        <v/>
      </c>
      <c r="AS265" s="36">
        <f>AR280</f>
        <v/>
      </c>
      <c r="AT265" s="36">
        <f>AS280</f>
        <v/>
      </c>
      <c r="AU265" s="36">
        <f>AT280</f>
        <v/>
      </c>
      <c r="AV265" s="36">
        <f>AU280</f>
        <v/>
      </c>
      <c r="AW265" s="36">
        <f>AV280</f>
        <v/>
      </c>
      <c r="AX265" s="36">
        <f>AW280</f>
        <v/>
      </c>
      <c r="AY265" s="36">
        <f>AX280</f>
        <v/>
      </c>
      <c r="AZ265" s="36">
        <f>AY280</f>
        <v/>
      </c>
      <c r="BA265" s="36">
        <f>AZ280</f>
        <v/>
      </c>
      <c r="BB265" s="36">
        <f>BA280</f>
        <v/>
      </c>
      <c r="BC265" s="36">
        <f>BB280</f>
        <v/>
      </c>
      <c r="BD265" s="36">
        <f>BC280</f>
        <v/>
      </c>
    </row>
    <row r="266">
      <c r="A266" s="28" t="inlineStr">
        <is>
          <t xml:space="preserve">   lost to shrink</t>
        </is>
      </c>
      <c r="B266" s="2" t="inlineStr">
        <is>
          <t>lb</t>
        </is>
      </c>
      <c r="E266" s="36">
        <f>E265*$G$14</f>
        <v/>
      </c>
      <c r="F266" s="36">
        <f>F265*$G$14</f>
        <v/>
      </c>
      <c r="G266" s="36">
        <f>G265*$G$14</f>
        <v/>
      </c>
      <c r="H266" s="36">
        <f>H265*$G$14</f>
        <v/>
      </c>
      <c r="I266" s="36">
        <f>I265*$G$14</f>
        <v/>
      </c>
      <c r="J266" s="36">
        <f>J265*$G$14</f>
        <v/>
      </c>
      <c r="K266" s="36">
        <f>K265*$G$14</f>
        <v/>
      </c>
      <c r="L266" s="36">
        <f>L265*$G$14</f>
        <v/>
      </c>
      <c r="M266" s="36">
        <f>M265*$G$14</f>
        <v/>
      </c>
      <c r="N266" s="36">
        <f>N265*$G$14</f>
        <v/>
      </c>
      <c r="O266" s="36">
        <f>O265*$G$14</f>
        <v/>
      </c>
      <c r="P266" s="36">
        <f>P265*$G$14</f>
        <v/>
      </c>
      <c r="Q266" s="36">
        <f>Q265*$G$14</f>
        <v/>
      </c>
      <c r="R266" s="36">
        <f>R265*$G$14</f>
        <v/>
      </c>
      <c r="S266" s="36">
        <f>S265*$G$14</f>
        <v/>
      </c>
      <c r="T266" s="36">
        <f>T265*$G$14</f>
        <v/>
      </c>
      <c r="U266" s="36">
        <f>U265*$G$14</f>
        <v/>
      </c>
      <c r="V266" s="36">
        <f>V265*$G$14</f>
        <v/>
      </c>
      <c r="W266" s="36">
        <f>W265*$G$14</f>
        <v/>
      </c>
      <c r="X266" s="36">
        <f>X265*$G$14</f>
        <v/>
      </c>
      <c r="Y266" s="36">
        <f>Y265*$G$14</f>
        <v/>
      </c>
      <c r="Z266" s="36">
        <f>Z265*$G$14</f>
        <v/>
      </c>
      <c r="AA266" s="36">
        <f>AA265*$G$14</f>
        <v/>
      </c>
      <c r="AB266" s="36">
        <f>AB265*$G$14</f>
        <v/>
      </c>
      <c r="AC266" s="36">
        <f>AC265*$G$14</f>
        <v/>
      </c>
      <c r="AD266" s="36">
        <f>AD265*$G$14</f>
        <v/>
      </c>
      <c r="AE266" s="36">
        <f>AE265*$G$14</f>
        <v/>
      </c>
      <c r="AF266" s="36">
        <f>AF265*$G$14</f>
        <v/>
      </c>
      <c r="AG266" s="36">
        <f>AG265*$G$14</f>
        <v/>
      </c>
      <c r="AH266" s="36">
        <f>AH265*$G$14</f>
        <v/>
      </c>
      <c r="AI266" s="36">
        <f>AI265*$G$14</f>
        <v/>
      </c>
      <c r="AJ266" s="36">
        <f>AJ265*$G$14</f>
        <v/>
      </c>
      <c r="AK266" s="36">
        <f>AK265*$G$14</f>
        <v/>
      </c>
      <c r="AL266" s="36">
        <f>AL265*$G$14</f>
        <v/>
      </c>
      <c r="AM266" s="36">
        <f>AM265*$G$14</f>
        <v/>
      </c>
      <c r="AN266" s="36">
        <f>AN265*$G$14</f>
        <v/>
      </c>
      <c r="AO266" s="36">
        <f>AO265*$G$14</f>
        <v/>
      </c>
      <c r="AP266" s="36">
        <f>AP265*$G$14</f>
        <v/>
      </c>
      <c r="AQ266" s="36">
        <f>AQ265*$G$14</f>
        <v/>
      </c>
      <c r="AR266" s="36">
        <f>AR265*$G$14</f>
        <v/>
      </c>
      <c r="AS266" s="36">
        <f>AS265*$G$14</f>
        <v/>
      </c>
      <c r="AT266" s="36">
        <f>AT265*$G$14</f>
        <v/>
      </c>
      <c r="AU266" s="36">
        <f>AU265*$G$14</f>
        <v/>
      </c>
      <c r="AV266" s="36">
        <f>AV265*$G$14</f>
        <v/>
      </c>
      <c r="AW266" s="36">
        <f>AW265*$G$14</f>
        <v/>
      </c>
      <c r="AX266" s="36">
        <f>AX265*$G$14</f>
        <v/>
      </c>
      <c r="AY266" s="36">
        <f>AY265*$G$14</f>
        <v/>
      </c>
      <c r="AZ266" s="36">
        <f>AZ265*$G$14</f>
        <v/>
      </c>
      <c r="BA266" s="36">
        <f>BA265*$G$14</f>
        <v/>
      </c>
      <c r="BB266" s="36">
        <f>BB265*$G$14</f>
        <v/>
      </c>
      <c r="BC266" s="36">
        <f>BC265*$G$14</f>
        <v/>
      </c>
      <c r="BD266" s="36">
        <f>BD265*$G$14</f>
        <v/>
      </c>
    </row>
    <row r="267">
      <c r="A267" s="4" t="inlineStr">
        <is>
          <t>In store this week</t>
        </is>
      </c>
      <c r="B267" s="2" t="inlineStr">
        <is>
          <t>lb</t>
        </is>
      </c>
      <c r="E267" s="36">
        <f>E265-E266+E264</f>
        <v/>
      </c>
      <c r="F267" s="36">
        <f>F265-F266+F264</f>
        <v/>
      </c>
      <c r="G267" s="36">
        <f>G265-G266+G264</f>
        <v/>
      </c>
      <c r="H267" s="36">
        <f>H265-H266+H264</f>
        <v/>
      </c>
      <c r="I267" s="36">
        <f>I265-I266+I264</f>
        <v/>
      </c>
      <c r="J267" s="36">
        <f>J265-J266+J264</f>
        <v/>
      </c>
      <c r="K267" s="36">
        <f>K265-K266+K264</f>
        <v/>
      </c>
      <c r="L267" s="36">
        <f>L265-L266+L264</f>
        <v/>
      </c>
      <c r="M267" s="36">
        <f>M265-M266+M264</f>
        <v/>
      </c>
      <c r="N267" s="36">
        <f>N265-N266+N264</f>
        <v/>
      </c>
      <c r="O267" s="36">
        <f>O265-O266+O264</f>
        <v/>
      </c>
      <c r="P267" s="36">
        <f>P265-P266+P264</f>
        <v/>
      </c>
      <c r="Q267" s="36">
        <f>Q265-Q266+Q264</f>
        <v/>
      </c>
      <c r="R267" s="36">
        <f>R265-R266+R264</f>
        <v/>
      </c>
      <c r="S267" s="36">
        <f>S265-S266+S264</f>
        <v/>
      </c>
      <c r="T267" s="36">
        <f>T265-T266+T264</f>
        <v/>
      </c>
      <c r="U267" s="36">
        <f>U265-U266+U264</f>
        <v/>
      </c>
      <c r="V267" s="36">
        <f>V265-V266+V264</f>
        <v/>
      </c>
      <c r="W267" s="36">
        <f>W265-W266+W264</f>
        <v/>
      </c>
      <c r="X267" s="36">
        <f>X265-X266+X264</f>
        <v/>
      </c>
      <c r="Y267" s="36">
        <f>Y265-Y266+Y264</f>
        <v/>
      </c>
      <c r="Z267" s="36">
        <f>Z265-Z266+Z264</f>
        <v/>
      </c>
      <c r="AA267" s="36">
        <f>AA265-AA266+AA264</f>
        <v/>
      </c>
      <c r="AB267" s="36">
        <f>AB265-AB266+AB264</f>
        <v/>
      </c>
      <c r="AC267" s="36">
        <f>AC265-AC266+AC264</f>
        <v/>
      </c>
      <c r="AD267" s="36">
        <f>AD265-AD266+AD264</f>
        <v/>
      </c>
      <c r="AE267" s="36">
        <f>AE265-AE266+AE264</f>
        <v/>
      </c>
      <c r="AF267" s="36">
        <f>AF265-AF266+AF264</f>
        <v/>
      </c>
      <c r="AG267" s="36">
        <f>AG265-AG266+AG264</f>
        <v/>
      </c>
      <c r="AH267" s="36">
        <f>AH265-AH266+AH264</f>
        <v/>
      </c>
      <c r="AI267" s="36">
        <f>AI265-AI266+AI264</f>
        <v/>
      </c>
      <c r="AJ267" s="36">
        <f>AJ265-AJ266+AJ264</f>
        <v/>
      </c>
      <c r="AK267" s="36">
        <f>AK265-AK266+AK264</f>
        <v/>
      </c>
      <c r="AL267" s="36">
        <f>AL265-AL266+AL264</f>
        <v/>
      </c>
      <c r="AM267" s="36">
        <f>AM265-AM266+AM264</f>
        <v/>
      </c>
      <c r="AN267" s="36">
        <f>AN265-AN266+AN264</f>
        <v/>
      </c>
      <c r="AO267" s="36">
        <f>AO265-AO266+AO264</f>
        <v/>
      </c>
      <c r="AP267" s="36">
        <f>AP265-AP266+AP264</f>
        <v/>
      </c>
      <c r="AQ267" s="36">
        <f>AQ265-AQ266+AQ264</f>
        <v/>
      </c>
      <c r="AR267" s="36">
        <f>AR265-AR266+AR264</f>
        <v/>
      </c>
      <c r="AS267" s="36">
        <f>AS265-AS266+AS264</f>
        <v/>
      </c>
      <c r="AT267" s="36">
        <f>AT265-AT266+AT264</f>
        <v/>
      </c>
      <c r="AU267" s="36">
        <f>AU265-AU266+AU264</f>
        <v/>
      </c>
      <c r="AV267" s="36">
        <f>AV265-AV266+AV264</f>
        <v/>
      </c>
      <c r="AW267" s="36">
        <f>AW265-AW266+AW264</f>
        <v/>
      </c>
      <c r="AX267" s="36">
        <f>AX265-AX266+AX264</f>
        <v/>
      </c>
      <c r="AY267" s="36">
        <f>AY265-AY266+AY264</f>
        <v/>
      </c>
      <c r="AZ267" s="36">
        <f>AZ265-AZ266+AZ264</f>
        <v/>
      </c>
      <c r="BA267" s="36">
        <f>BA265-BA266+BA264</f>
        <v/>
      </c>
      <c r="BB267" s="36">
        <f>BB265-BB266+BB264</f>
        <v/>
      </c>
      <c r="BC267" s="36">
        <f>BC265-BC266+BC264</f>
        <v/>
      </c>
      <c r="BD267" s="36">
        <f>BD265-BD266+BD264</f>
        <v/>
      </c>
    </row>
    <row r="268">
      <c r="A268" s="39" t="inlineStr">
        <is>
          <t>Farmers Market — most you may sell this week</t>
        </is>
      </c>
      <c r="B268" s="2" t="inlineStr">
        <is>
          <t>lb</t>
        </is>
      </c>
      <c r="E268" s="49">
        <f>IF($C$23="Annual",$D$23-0,IF(AND(1&gt;=$E$23,1&lt;=$F$23),$D$23,0))</f>
        <v/>
      </c>
      <c r="F268" s="49">
        <f>IF($C$23="Annual",$D$23-SUM(E270:E270),IF(AND(2&gt;=$E$23,2&lt;=$F$23),$D$23,0))</f>
        <v/>
      </c>
      <c r="G268" s="49">
        <f>IF($C$23="Annual",$D$23-SUM(E270:F270),IF(AND(3&gt;=$E$23,3&lt;=$F$23),$D$23,0))</f>
        <v/>
      </c>
      <c r="H268" s="49">
        <f>IF($C$23="Annual",$D$23-SUM(E270:G270),IF(AND(4&gt;=$E$23,4&lt;=$F$23),$D$23,0))</f>
        <v/>
      </c>
      <c r="I268" s="49">
        <f>IF($C$23="Annual",$D$23-SUM(E270:H270),IF(AND(5&gt;=$E$23,5&lt;=$F$23),$D$23,0))</f>
        <v/>
      </c>
      <c r="J268" s="49">
        <f>IF($C$23="Annual",$D$23-SUM(E270:I270),IF(AND(6&gt;=$E$23,6&lt;=$F$23),$D$23,0))</f>
        <v/>
      </c>
      <c r="K268" s="49">
        <f>IF($C$23="Annual",$D$23-SUM(E270:J270),IF(AND(7&gt;=$E$23,7&lt;=$F$23),$D$23,0))</f>
        <v/>
      </c>
      <c r="L268" s="49">
        <f>IF($C$23="Annual",$D$23-SUM(E270:K270),IF(AND(8&gt;=$E$23,8&lt;=$F$23),$D$23,0))</f>
        <v/>
      </c>
      <c r="M268" s="49">
        <f>IF($C$23="Annual",$D$23-SUM(E270:L270),IF(AND(9&gt;=$E$23,9&lt;=$F$23),$D$23,0))</f>
        <v/>
      </c>
      <c r="N268" s="49">
        <f>IF($C$23="Annual",$D$23-SUM(E270:M270),IF(AND(10&gt;=$E$23,10&lt;=$F$23),$D$23,0))</f>
        <v/>
      </c>
      <c r="O268" s="49">
        <f>IF($C$23="Annual",$D$23-SUM(E270:N270),IF(AND(11&gt;=$E$23,11&lt;=$F$23),$D$23,0))</f>
        <v/>
      </c>
      <c r="P268" s="49">
        <f>IF($C$23="Annual",$D$23-SUM(E270:O270),IF(AND(12&gt;=$E$23,12&lt;=$F$23),$D$23,0))</f>
        <v/>
      </c>
      <c r="Q268" s="49">
        <f>IF($C$23="Annual",$D$23-SUM(E270:P270),IF(AND(13&gt;=$E$23,13&lt;=$F$23),$D$23,0))</f>
        <v/>
      </c>
      <c r="R268" s="49">
        <f>IF($C$23="Annual",$D$23-SUM(E270:Q270),IF(AND(14&gt;=$E$23,14&lt;=$F$23),$D$23,0))</f>
        <v/>
      </c>
      <c r="S268" s="49">
        <f>IF($C$23="Annual",$D$23-SUM(E270:R270),IF(AND(15&gt;=$E$23,15&lt;=$F$23),$D$23,0))</f>
        <v/>
      </c>
      <c r="T268" s="49">
        <f>IF($C$23="Annual",$D$23-SUM(E270:S270),IF(AND(16&gt;=$E$23,16&lt;=$F$23),$D$23,0))</f>
        <v/>
      </c>
      <c r="U268" s="49">
        <f>IF($C$23="Annual",$D$23-SUM(E270:T270),IF(AND(17&gt;=$E$23,17&lt;=$F$23),$D$23,0))</f>
        <v/>
      </c>
      <c r="V268" s="49">
        <f>IF($C$23="Annual",$D$23-SUM(E270:U270),IF(AND(18&gt;=$E$23,18&lt;=$F$23),$D$23,0))</f>
        <v/>
      </c>
      <c r="W268" s="49">
        <f>IF($C$23="Annual",$D$23-SUM(E270:V270),IF(AND(19&gt;=$E$23,19&lt;=$F$23),$D$23,0))</f>
        <v/>
      </c>
      <c r="X268" s="49">
        <f>IF($C$23="Annual",$D$23-SUM(E270:W270),IF(AND(20&gt;=$E$23,20&lt;=$F$23),$D$23,0))</f>
        <v/>
      </c>
      <c r="Y268" s="49">
        <f>IF($C$23="Annual",$D$23-SUM(E270:X270),IF(AND(21&gt;=$E$23,21&lt;=$F$23),$D$23,0))</f>
        <v/>
      </c>
      <c r="Z268" s="49">
        <f>IF($C$23="Annual",$D$23-SUM(E270:Y270),IF(AND(22&gt;=$E$23,22&lt;=$F$23),$D$23,0))</f>
        <v/>
      </c>
      <c r="AA268" s="49">
        <f>IF($C$23="Annual",$D$23-SUM(E270:Z270),IF(AND(23&gt;=$E$23,23&lt;=$F$23),$D$23,0))</f>
        <v/>
      </c>
      <c r="AB268" s="49">
        <f>IF($C$23="Annual",$D$23-SUM(E270:AA270),IF(AND(24&gt;=$E$23,24&lt;=$F$23),$D$23,0))</f>
        <v/>
      </c>
      <c r="AC268" s="49">
        <f>IF($C$23="Annual",$D$23-SUM(E270:AB270),IF(AND(25&gt;=$E$23,25&lt;=$F$23),$D$23,0))</f>
        <v/>
      </c>
      <c r="AD268" s="49">
        <f>IF($C$23="Annual",$D$23-SUM(E270:AC270),IF(AND(26&gt;=$E$23,26&lt;=$F$23),$D$23,0))</f>
        <v/>
      </c>
      <c r="AE268" s="49">
        <f>IF($C$23="Annual",$D$23-SUM(E270:AD270),IF(AND(27&gt;=$E$23,27&lt;=$F$23),$D$23,0))</f>
        <v/>
      </c>
      <c r="AF268" s="49">
        <f>IF($C$23="Annual",$D$23-SUM(E270:AE270),IF(AND(28&gt;=$E$23,28&lt;=$F$23),$D$23,0))</f>
        <v/>
      </c>
      <c r="AG268" s="49">
        <f>IF($C$23="Annual",$D$23-SUM(E270:AF270),IF(AND(29&gt;=$E$23,29&lt;=$F$23),$D$23,0))</f>
        <v/>
      </c>
      <c r="AH268" s="49">
        <f>IF($C$23="Annual",$D$23-SUM(E270:AG270),IF(AND(30&gt;=$E$23,30&lt;=$F$23),$D$23,0))</f>
        <v/>
      </c>
      <c r="AI268" s="49">
        <f>IF($C$23="Annual",$D$23-SUM(E270:AH270),IF(AND(31&gt;=$E$23,31&lt;=$F$23),$D$23,0))</f>
        <v/>
      </c>
      <c r="AJ268" s="49">
        <f>IF($C$23="Annual",$D$23-SUM(E270:AI270),IF(AND(32&gt;=$E$23,32&lt;=$F$23),$D$23,0))</f>
        <v/>
      </c>
      <c r="AK268" s="49">
        <f>IF($C$23="Annual",$D$23-SUM(E270:AJ270),IF(AND(33&gt;=$E$23,33&lt;=$F$23),$D$23,0))</f>
        <v/>
      </c>
      <c r="AL268" s="49">
        <f>IF($C$23="Annual",$D$23-SUM(E270:AK270),IF(AND(34&gt;=$E$23,34&lt;=$F$23),$D$23,0))</f>
        <v/>
      </c>
      <c r="AM268" s="49">
        <f>IF($C$23="Annual",$D$23-SUM(E270:AL270),IF(AND(35&gt;=$E$23,35&lt;=$F$23),$D$23,0))</f>
        <v/>
      </c>
      <c r="AN268" s="49">
        <f>IF($C$23="Annual",$D$23-SUM(E270:AM270),IF(AND(36&gt;=$E$23,36&lt;=$F$23),$D$23,0))</f>
        <v/>
      </c>
      <c r="AO268" s="49">
        <f>IF($C$23="Annual",$D$23-SUM(E270:AN270),IF(AND(37&gt;=$E$23,37&lt;=$F$23),$D$23,0))</f>
        <v/>
      </c>
      <c r="AP268" s="49">
        <f>IF($C$23="Annual",$D$23-SUM(E270:AO270),IF(AND(38&gt;=$E$23,38&lt;=$F$23),$D$23,0))</f>
        <v/>
      </c>
      <c r="AQ268" s="49">
        <f>IF($C$23="Annual",$D$23-SUM(E270:AP270),IF(AND(39&gt;=$E$23,39&lt;=$F$23),$D$23,0))</f>
        <v/>
      </c>
      <c r="AR268" s="49">
        <f>IF($C$23="Annual",$D$23-SUM(E270:AQ270),IF(AND(40&gt;=$E$23,40&lt;=$F$23),$D$23,0))</f>
        <v/>
      </c>
      <c r="AS268" s="49">
        <f>IF($C$23="Annual",$D$23-SUM(E270:AR270),IF(AND(41&gt;=$E$23,41&lt;=$F$23),$D$23,0))</f>
        <v/>
      </c>
      <c r="AT268" s="49">
        <f>IF($C$23="Annual",$D$23-SUM(E270:AS270),IF(AND(42&gt;=$E$23,42&lt;=$F$23),$D$23,0))</f>
        <v/>
      </c>
      <c r="AU268" s="49">
        <f>IF($C$23="Annual",$D$23-SUM(E270:AT270),IF(AND(43&gt;=$E$23,43&lt;=$F$23),$D$23,0))</f>
        <v/>
      </c>
      <c r="AV268" s="49">
        <f>IF($C$23="Annual",$D$23-SUM(E270:AU270),IF(AND(44&gt;=$E$23,44&lt;=$F$23),$D$23,0))</f>
        <v/>
      </c>
      <c r="AW268" s="49">
        <f>IF($C$23="Annual",$D$23-SUM(E270:AV270),IF(AND(45&gt;=$E$23,45&lt;=$F$23),$D$23,0))</f>
        <v/>
      </c>
      <c r="AX268" s="49">
        <f>IF($C$23="Annual",$D$23-SUM(E270:AW270),IF(AND(46&gt;=$E$23,46&lt;=$F$23),$D$23,0))</f>
        <v/>
      </c>
      <c r="AY268" s="49">
        <f>IF($C$23="Annual",$D$23-SUM(E270:AX270),IF(AND(47&gt;=$E$23,47&lt;=$F$23),$D$23,0))</f>
        <v/>
      </c>
      <c r="AZ268" s="49">
        <f>IF($C$23="Annual",$D$23-SUM(E270:AY270),IF(AND(48&gt;=$E$23,48&lt;=$F$23),$D$23,0))</f>
        <v/>
      </c>
      <c r="BA268" s="49">
        <f>IF($C$23="Annual",$D$23-SUM(E270:AZ270),IF(AND(49&gt;=$E$23,49&lt;=$F$23),$D$23,0))</f>
        <v/>
      </c>
      <c r="BB268" s="49">
        <f>IF($C$23="Annual",$D$23-SUM(E270:BA270),IF(AND(50&gt;=$E$23,50&lt;=$F$23),$D$23,0))</f>
        <v/>
      </c>
      <c r="BC268" s="49">
        <f>IF($C$23="Annual",$D$23-SUM(E270:BB270),IF(AND(51&gt;=$E$23,51&lt;=$F$23),$D$23,0))</f>
        <v/>
      </c>
      <c r="BD268" s="49">
        <f>IF($C$23="Annual",$D$23-SUM(E270:BC270),IF(AND(52&gt;=$E$23,52&lt;=$F$23),$D$23,0))</f>
        <v/>
      </c>
    </row>
    <row r="269">
      <c r="A269" s="27" t="inlineStr">
        <is>
          <t>Farmers Market — OFFERED</t>
        </is>
      </c>
      <c r="B269" s="2" t="inlineStr">
        <is>
          <t>lb  &lt;-- SOLVER</t>
        </is>
      </c>
      <c r="E269" s="35" t="n">
        <v>0</v>
      </c>
      <c r="F269" s="35" t="n">
        <v>0</v>
      </c>
      <c r="G269" s="35" t="n">
        <v>0</v>
      </c>
      <c r="H269" s="35" t="n">
        <v>0</v>
      </c>
      <c r="I269" s="35" t="n">
        <v>0</v>
      </c>
      <c r="J269" s="35" t="n">
        <v>0</v>
      </c>
      <c r="K269" s="35" t="n">
        <v>0</v>
      </c>
      <c r="L269" s="35" t="n">
        <v>0</v>
      </c>
      <c r="M269" s="35" t="n">
        <v>0</v>
      </c>
      <c r="N269" s="35" t="n">
        <v>0</v>
      </c>
      <c r="O269" s="35" t="n">
        <v>0</v>
      </c>
      <c r="P269" s="35" t="n">
        <v>0</v>
      </c>
      <c r="Q269" s="35" t="n">
        <v>0</v>
      </c>
      <c r="R269" s="35" t="n">
        <v>0</v>
      </c>
      <c r="S269" s="35" t="n">
        <v>0</v>
      </c>
      <c r="T269" s="35" t="n">
        <v>0</v>
      </c>
      <c r="U269" s="35" t="n">
        <v>0</v>
      </c>
      <c r="V269" s="35" t="n">
        <v>0</v>
      </c>
      <c r="W269" s="35" t="n">
        <v>0</v>
      </c>
      <c r="X269" s="35" t="n">
        <v>0</v>
      </c>
      <c r="Y269" s="35" t="n">
        <v>0</v>
      </c>
      <c r="Z269" s="35" t="n">
        <v>0</v>
      </c>
      <c r="AA269" s="35" t="n">
        <v>0</v>
      </c>
      <c r="AB269" s="35" t="n">
        <v>0</v>
      </c>
      <c r="AC269" s="35" t="n">
        <v>0</v>
      </c>
      <c r="AD269" s="35" t="n">
        <v>0</v>
      </c>
      <c r="AE269" s="35" t="n">
        <v>0</v>
      </c>
      <c r="AF269" s="35" t="n">
        <v>0</v>
      </c>
      <c r="AG269" s="35" t="n">
        <v>0</v>
      </c>
      <c r="AH269" s="35" t="n">
        <v>0</v>
      </c>
      <c r="AI269" s="35" t="n">
        <v>0</v>
      </c>
      <c r="AJ269" s="35" t="n">
        <v>0</v>
      </c>
      <c r="AK269" s="35" t="n">
        <v>0</v>
      </c>
      <c r="AL269" s="35" t="n">
        <v>0</v>
      </c>
      <c r="AM269" s="35" t="n">
        <v>0</v>
      </c>
      <c r="AN269" s="35" t="n">
        <v>0</v>
      </c>
      <c r="AO269" s="35" t="n">
        <v>0</v>
      </c>
      <c r="AP269" s="35" t="n">
        <v>0</v>
      </c>
      <c r="AQ269" s="35" t="n">
        <v>0</v>
      </c>
      <c r="AR269" s="35" t="n">
        <v>0</v>
      </c>
      <c r="AS269" s="35" t="n">
        <v>0</v>
      </c>
      <c r="AT269" s="35" t="n">
        <v>0</v>
      </c>
      <c r="AU269" s="35" t="n">
        <v>0</v>
      </c>
      <c r="AV269" s="35" t="n">
        <v>0</v>
      </c>
      <c r="AW269" s="35" t="n">
        <v>0</v>
      </c>
      <c r="AX269" s="35" t="n">
        <v>0</v>
      </c>
      <c r="AY269" s="35" t="n">
        <v>0</v>
      </c>
      <c r="AZ269" s="35" t="n">
        <v>0</v>
      </c>
      <c r="BA269" s="35" t="n">
        <v>0</v>
      </c>
      <c r="BB269" s="35" t="n">
        <v>0</v>
      </c>
      <c r="BC269" s="35" t="n">
        <v>0</v>
      </c>
      <c r="BD269" s="35" t="n">
        <v>0</v>
      </c>
    </row>
    <row r="270">
      <c r="A270" s="50" t="inlineStr">
        <is>
          <t>Farmers Market — SOLD</t>
        </is>
      </c>
      <c r="B270" s="2" t="inlineStr">
        <is>
          <t>lb</t>
        </is>
      </c>
      <c r="E270" s="49">
        <f>E269*$G$23</f>
        <v/>
      </c>
      <c r="F270" s="49">
        <f>F269*$G$23</f>
        <v/>
      </c>
      <c r="G270" s="49">
        <f>G269*$G$23</f>
        <v/>
      </c>
      <c r="H270" s="49">
        <f>H269*$G$23</f>
        <v/>
      </c>
      <c r="I270" s="49">
        <f>I269*$G$23</f>
        <v/>
      </c>
      <c r="J270" s="49">
        <f>J269*$G$23</f>
        <v/>
      </c>
      <c r="K270" s="49">
        <f>K269*$G$23</f>
        <v/>
      </c>
      <c r="L270" s="49">
        <f>L269*$G$23</f>
        <v/>
      </c>
      <c r="M270" s="49">
        <f>M269*$G$23</f>
        <v/>
      </c>
      <c r="N270" s="49">
        <f>N269*$G$23</f>
        <v/>
      </c>
      <c r="O270" s="49">
        <f>O269*$G$23</f>
        <v/>
      </c>
      <c r="P270" s="49">
        <f>P269*$G$23</f>
        <v/>
      </c>
      <c r="Q270" s="49">
        <f>Q269*$G$23</f>
        <v/>
      </c>
      <c r="R270" s="49">
        <f>R269*$G$23</f>
        <v/>
      </c>
      <c r="S270" s="49">
        <f>S269*$G$23</f>
        <v/>
      </c>
      <c r="T270" s="49">
        <f>T269*$G$23</f>
        <v/>
      </c>
      <c r="U270" s="49">
        <f>U269*$G$23</f>
        <v/>
      </c>
      <c r="V270" s="49">
        <f>V269*$G$23</f>
        <v/>
      </c>
      <c r="W270" s="49">
        <f>W269*$G$23</f>
        <v/>
      </c>
      <c r="X270" s="49">
        <f>X269*$G$23</f>
        <v/>
      </c>
      <c r="Y270" s="49">
        <f>Y269*$G$23</f>
        <v/>
      </c>
      <c r="Z270" s="49">
        <f>Z269*$G$23</f>
        <v/>
      </c>
      <c r="AA270" s="49">
        <f>AA269*$G$23</f>
        <v/>
      </c>
      <c r="AB270" s="49">
        <f>AB269*$G$23</f>
        <v/>
      </c>
      <c r="AC270" s="49">
        <f>AC269*$G$23</f>
        <v/>
      </c>
      <c r="AD270" s="49">
        <f>AD269*$G$23</f>
        <v/>
      </c>
      <c r="AE270" s="49">
        <f>AE269*$G$23</f>
        <v/>
      </c>
      <c r="AF270" s="49">
        <f>AF269*$G$23</f>
        <v/>
      </c>
      <c r="AG270" s="49">
        <f>AG269*$G$23</f>
        <v/>
      </c>
      <c r="AH270" s="49">
        <f>AH269*$G$23</f>
        <v/>
      </c>
      <c r="AI270" s="49">
        <f>AI269*$G$23</f>
        <v/>
      </c>
      <c r="AJ270" s="49">
        <f>AJ269*$G$23</f>
        <v/>
      </c>
      <c r="AK270" s="49">
        <f>AK269*$G$23</f>
        <v/>
      </c>
      <c r="AL270" s="49">
        <f>AL269*$G$23</f>
        <v/>
      </c>
      <c r="AM270" s="49">
        <f>AM269*$G$23</f>
        <v/>
      </c>
      <c r="AN270" s="49">
        <f>AN269*$G$23</f>
        <v/>
      </c>
      <c r="AO270" s="49">
        <f>AO269*$G$23</f>
        <v/>
      </c>
      <c r="AP270" s="49">
        <f>AP269*$G$23</f>
        <v/>
      </c>
      <c r="AQ270" s="49">
        <f>AQ269*$G$23</f>
        <v/>
      </c>
      <c r="AR270" s="49">
        <f>AR269*$G$23</f>
        <v/>
      </c>
      <c r="AS270" s="49">
        <f>AS269*$G$23</f>
        <v/>
      </c>
      <c r="AT270" s="49">
        <f>AT269*$G$23</f>
        <v/>
      </c>
      <c r="AU270" s="49">
        <f>AU269*$G$23</f>
        <v/>
      </c>
      <c r="AV270" s="49">
        <f>AV269*$G$23</f>
        <v/>
      </c>
      <c r="AW270" s="49">
        <f>AW269*$G$23</f>
        <v/>
      </c>
      <c r="AX270" s="49">
        <f>AX269*$G$23</f>
        <v/>
      </c>
      <c r="AY270" s="49">
        <f>AY269*$G$23</f>
        <v/>
      </c>
      <c r="AZ270" s="49">
        <f>AZ269*$G$23</f>
        <v/>
      </c>
      <c r="BA270" s="49">
        <f>BA269*$G$23</f>
        <v/>
      </c>
      <c r="BB270" s="49">
        <f>BB269*$G$23</f>
        <v/>
      </c>
      <c r="BC270" s="49">
        <f>BC269*$G$23</f>
        <v/>
      </c>
      <c r="BD270" s="49">
        <f>BD269*$G$23</f>
        <v/>
      </c>
    </row>
    <row r="271">
      <c r="A271" s="28" t="inlineStr">
        <is>
          <t xml:space="preserve">   market loss (gone)</t>
        </is>
      </c>
      <c r="B271" s="2" t="inlineStr">
        <is>
          <t>lb</t>
        </is>
      </c>
      <c r="E271" s="36">
        <f>(E269-E270)*(1-$H$23)</f>
        <v/>
      </c>
      <c r="F271" s="36">
        <f>(F269-F270)*(1-$H$23)</f>
        <v/>
      </c>
      <c r="G271" s="36">
        <f>(G269-G270)*(1-$H$23)</f>
        <v/>
      </c>
      <c r="H271" s="36">
        <f>(H269-H270)*(1-$H$23)</f>
        <v/>
      </c>
      <c r="I271" s="36">
        <f>(I269-I270)*(1-$H$23)</f>
        <v/>
      </c>
      <c r="J271" s="36">
        <f>(J269-J270)*(1-$H$23)</f>
        <v/>
      </c>
      <c r="K271" s="36">
        <f>(K269-K270)*(1-$H$23)</f>
        <v/>
      </c>
      <c r="L271" s="36">
        <f>(L269-L270)*(1-$H$23)</f>
        <v/>
      </c>
      <c r="M271" s="36">
        <f>(M269-M270)*(1-$H$23)</f>
        <v/>
      </c>
      <c r="N271" s="36">
        <f>(N269-N270)*(1-$H$23)</f>
        <v/>
      </c>
      <c r="O271" s="36">
        <f>(O269-O270)*(1-$H$23)</f>
        <v/>
      </c>
      <c r="P271" s="36">
        <f>(P269-P270)*(1-$H$23)</f>
        <v/>
      </c>
      <c r="Q271" s="36">
        <f>(Q269-Q270)*(1-$H$23)</f>
        <v/>
      </c>
      <c r="R271" s="36">
        <f>(R269-R270)*(1-$H$23)</f>
        <v/>
      </c>
      <c r="S271" s="36">
        <f>(S269-S270)*(1-$H$23)</f>
        <v/>
      </c>
      <c r="T271" s="36">
        <f>(T269-T270)*(1-$H$23)</f>
        <v/>
      </c>
      <c r="U271" s="36">
        <f>(U269-U270)*(1-$H$23)</f>
        <v/>
      </c>
      <c r="V271" s="36">
        <f>(V269-V270)*(1-$H$23)</f>
        <v/>
      </c>
      <c r="W271" s="36">
        <f>(W269-W270)*(1-$H$23)</f>
        <v/>
      </c>
      <c r="X271" s="36">
        <f>(X269-X270)*(1-$H$23)</f>
        <v/>
      </c>
      <c r="Y271" s="36">
        <f>(Y269-Y270)*(1-$H$23)</f>
        <v/>
      </c>
      <c r="Z271" s="36">
        <f>(Z269-Z270)*(1-$H$23)</f>
        <v/>
      </c>
      <c r="AA271" s="36">
        <f>(AA269-AA270)*(1-$H$23)</f>
        <v/>
      </c>
      <c r="AB271" s="36">
        <f>(AB269-AB270)*(1-$H$23)</f>
        <v/>
      </c>
      <c r="AC271" s="36">
        <f>(AC269-AC270)*(1-$H$23)</f>
        <v/>
      </c>
      <c r="AD271" s="36">
        <f>(AD269-AD270)*(1-$H$23)</f>
        <v/>
      </c>
      <c r="AE271" s="36">
        <f>(AE269-AE270)*(1-$H$23)</f>
        <v/>
      </c>
      <c r="AF271" s="36">
        <f>(AF269-AF270)*(1-$H$23)</f>
        <v/>
      </c>
      <c r="AG271" s="36">
        <f>(AG269-AG270)*(1-$H$23)</f>
        <v/>
      </c>
      <c r="AH271" s="36">
        <f>(AH269-AH270)*(1-$H$23)</f>
        <v/>
      </c>
      <c r="AI271" s="36">
        <f>(AI269-AI270)*(1-$H$23)</f>
        <v/>
      </c>
      <c r="AJ271" s="36">
        <f>(AJ269-AJ270)*(1-$H$23)</f>
        <v/>
      </c>
      <c r="AK271" s="36">
        <f>(AK269-AK270)*(1-$H$23)</f>
        <v/>
      </c>
      <c r="AL271" s="36">
        <f>(AL269-AL270)*(1-$H$23)</f>
        <v/>
      </c>
      <c r="AM271" s="36">
        <f>(AM269-AM270)*(1-$H$23)</f>
        <v/>
      </c>
      <c r="AN271" s="36">
        <f>(AN269-AN270)*(1-$H$23)</f>
        <v/>
      </c>
      <c r="AO271" s="36">
        <f>(AO269-AO270)*(1-$H$23)</f>
        <v/>
      </c>
      <c r="AP271" s="36">
        <f>(AP269-AP270)*(1-$H$23)</f>
        <v/>
      </c>
      <c r="AQ271" s="36">
        <f>(AQ269-AQ270)*(1-$H$23)</f>
        <v/>
      </c>
      <c r="AR271" s="36">
        <f>(AR269-AR270)*(1-$H$23)</f>
        <v/>
      </c>
      <c r="AS271" s="36">
        <f>(AS269-AS270)*(1-$H$23)</f>
        <v/>
      </c>
      <c r="AT271" s="36">
        <f>(AT269-AT270)*(1-$H$23)</f>
        <v/>
      </c>
      <c r="AU271" s="36">
        <f>(AU269-AU270)*(1-$H$23)</f>
        <v/>
      </c>
      <c r="AV271" s="36">
        <f>(AV269-AV270)*(1-$H$23)</f>
        <v/>
      </c>
      <c r="AW271" s="36">
        <f>(AW269-AW270)*(1-$H$23)</f>
        <v/>
      </c>
      <c r="AX271" s="36">
        <f>(AX269-AX270)*(1-$H$23)</f>
        <v/>
      </c>
      <c r="AY271" s="36">
        <f>(AY269-AY270)*(1-$H$23)</f>
        <v/>
      </c>
      <c r="AZ271" s="36">
        <f>(AZ269-AZ270)*(1-$H$23)</f>
        <v/>
      </c>
      <c r="BA271" s="36">
        <f>(BA269-BA270)*(1-$H$23)</f>
        <v/>
      </c>
      <c r="BB271" s="36">
        <f>(BB269-BB270)*(1-$H$23)</f>
        <v/>
      </c>
      <c r="BC271" s="36">
        <f>(BC269-BC270)*(1-$H$23)</f>
        <v/>
      </c>
      <c r="BD271" s="36">
        <f>(BD269-BD270)*(1-$H$23)</f>
        <v/>
      </c>
    </row>
    <row r="272">
      <c r="A272" s="28" t="inlineStr">
        <is>
          <t xml:space="preserve">   returned to store</t>
        </is>
      </c>
      <c r="B272" s="2" t="inlineStr">
        <is>
          <t>lb</t>
        </is>
      </c>
      <c r="E272" s="36">
        <f>(E269-E270)*$H$23</f>
        <v/>
      </c>
      <c r="F272" s="36">
        <f>(F269-F270)*$H$23</f>
        <v/>
      </c>
      <c r="G272" s="36">
        <f>(G269-G270)*$H$23</f>
        <v/>
      </c>
      <c r="H272" s="36">
        <f>(H269-H270)*$H$23</f>
        <v/>
      </c>
      <c r="I272" s="36">
        <f>(I269-I270)*$H$23</f>
        <v/>
      </c>
      <c r="J272" s="36">
        <f>(J269-J270)*$H$23</f>
        <v/>
      </c>
      <c r="K272" s="36">
        <f>(K269-K270)*$H$23</f>
        <v/>
      </c>
      <c r="L272" s="36">
        <f>(L269-L270)*$H$23</f>
        <v/>
      </c>
      <c r="M272" s="36">
        <f>(M269-M270)*$H$23</f>
        <v/>
      </c>
      <c r="N272" s="36">
        <f>(N269-N270)*$H$23</f>
        <v/>
      </c>
      <c r="O272" s="36">
        <f>(O269-O270)*$H$23</f>
        <v/>
      </c>
      <c r="P272" s="36">
        <f>(P269-P270)*$H$23</f>
        <v/>
      </c>
      <c r="Q272" s="36">
        <f>(Q269-Q270)*$H$23</f>
        <v/>
      </c>
      <c r="R272" s="36">
        <f>(R269-R270)*$H$23</f>
        <v/>
      </c>
      <c r="S272" s="36">
        <f>(S269-S270)*$H$23</f>
        <v/>
      </c>
      <c r="T272" s="36">
        <f>(T269-T270)*$H$23</f>
        <v/>
      </c>
      <c r="U272" s="36">
        <f>(U269-U270)*$H$23</f>
        <v/>
      </c>
      <c r="V272" s="36">
        <f>(V269-V270)*$H$23</f>
        <v/>
      </c>
      <c r="W272" s="36">
        <f>(W269-W270)*$H$23</f>
        <v/>
      </c>
      <c r="X272" s="36">
        <f>(X269-X270)*$H$23</f>
        <v/>
      </c>
      <c r="Y272" s="36">
        <f>(Y269-Y270)*$H$23</f>
        <v/>
      </c>
      <c r="Z272" s="36">
        <f>(Z269-Z270)*$H$23</f>
        <v/>
      </c>
      <c r="AA272" s="36">
        <f>(AA269-AA270)*$H$23</f>
        <v/>
      </c>
      <c r="AB272" s="36">
        <f>(AB269-AB270)*$H$23</f>
        <v/>
      </c>
      <c r="AC272" s="36">
        <f>(AC269-AC270)*$H$23</f>
        <v/>
      </c>
      <c r="AD272" s="36">
        <f>(AD269-AD270)*$H$23</f>
        <v/>
      </c>
      <c r="AE272" s="36">
        <f>(AE269-AE270)*$H$23</f>
        <v/>
      </c>
      <c r="AF272" s="36">
        <f>(AF269-AF270)*$H$23</f>
        <v/>
      </c>
      <c r="AG272" s="36">
        <f>(AG269-AG270)*$H$23</f>
        <v/>
      </c>
      <c r="AH272" s="36">
        <f>(AH269-AH270)*$H$23</f>
        <v/>
      </c>
      <c r="AI272" s="36">
        <f>(AI269-AI270)*$H$23</f>
        <v/>
      </c>
      <c r="AJ272" s="36">
        <f>(AJ269-AJ270)*$H$23</f>
        <v/>
      </c>
      <c r="AK272" s="36">
        <f>(AK269-AK270)*$H$23</f>
        <v/>
      </c>
      <c r="AL272" s="36">
        <f>(AL269-AL270)*$H$23</f>
        <v/>
      </c>
      <c r="AM272" s="36">
        <f>(AM269-AM270)*$H$23</f>
        <v/>
      </c>
      <c r="AN272" s="36">
        <f>(AN269-AN270)*$H$23</f>
        <v/>
      </c>
      <c r="AO272" s="36">
        <f>(AO269-AO270)*$H$23</f>
        <v/>
      </c>
      <c r="AP272" s="36">
        <f>(AP269-AP270)*$H$23</f>
        <v/>
      </c>
      <c r="AQ272" s="36">
        <f>(AQ269-AQ270)*$H$23</f>
        <v/>
      </c>
      <c r="AR272" s="36">
        <f>(AR269-AR270)*$H$23</f>
        <v/>
      </c>
      <c r="AS272" s="36">
        <f>(AS269-AS270)*$H$23</f>
        <v/>
      </c>
      <c r="AT272" s="36">
        <f>(AT269-AT270)*$H$23</f>
        <v/>
      </c>
      <c r="AU272" s="36">
        <f>(AU269-AU270)*$H$23</f>
        <v/>
      </c>
      <c r="AV272" s="36">
        <f>(AV269-AV270)*$H$23</f>
        <v/>
      </c>
      <c r="AW272" s="36">
        <f>(AW269-AW270)*$H$23</f>
        <v/>
      </c>
      <c r="AX272" s="36">
        <f>(AX269-AX270)*$H$23</f>
        <v/>
      </c>
      <c r="AY272" s="36">
        <f>(AY269-AY270)*$H$23</f>
        <v/>
      </c>
      <c r="AZ272" s="36">
        <f>(AZ269-AZ270)*$H$23</f>
        <v/>
      </c>
      <c r="BA272" s="36">
        <f>(BA269-BA270)*$H$23</f>
        <v/>
      </c>
      <c r="BB272" s="36">
        <f>(BB269-BB270)*$H$23</f>
        <v/>
      </c>
      <c r="BC272" s="36">
        <f>(BC269-BC270)*$H$23</f>
        <v/>
      </c>
      <c r="BD272" s="36">
        <f>(BD269-BD270)*$H$23</f>
        <v/>
      </c>
    </row>
    <row r="273">
      <c r="A273" s="28" t="inlineStr">
        <is>
          <t xml:space="preserve">   leaves the store (offered - returned)</t>
        </is>
      </c>
      <c r="B273" s="2" t="inlineStr">
        <is>
          <t>lb</t>
        </is>
      </c>
      <c r="E273" s="36">
        <f>E269-E272</f>
        <v/>
      </c>
      <c r="F273" s="36">
        <f>F269-F272</f>
        <v/>
      </c>
      <c r="G273" s="36">
        <f>G269-G272</f>
        <v/>
      </c>
      <c r="H273" s="36">
        <f>H269-H272</f>
        <v/>
      </c>
      <c r="I273" s="36">
        <f>I269-I272</f>
        <v/>
      </c>
      <c r="J273" s="36">
        <f>J269-J272</f>
        <v/>
      </c>
      <c r="K273" s="36">
        <f>K269-K272</f>
        <v/>
      </c>
      <c r="L273" s="36">
        <f>L269-L272</f>
        <v/>
      </c>
      <c r="M273" s="36">
        <f>M269-M272</f>
        <v/>
      </c>
      <c r="N273" s="36">
        <f>N269-N272</f>
        <v/>
      </c>
      <c r="O273" s="36">
        <f>O269-O272</f>
        <v/>
      </c>
      <c r="P273" s="36">
        <f>P269-P272</f>
        <v/>
      </c>
      <c r="Q273" s="36">
        <f>Q269-Q272</f>
        <v/>
      </c>
      <c r="R273" s="36">
        <f>R269-R272</f>
        <v/>
      </c>
      <c r="S273" s="36">
        <f>S269-S272</f>
        <v/>
      </c>
      <c r="T273" s="36">
        <f>T269-T272</f>
        <v/>
      </c>
      <c r="U273" s="36">
        <f>U269-U272</f>
        <v/>
      </c>
      <c r="V273" s="36">
        <f>V269-V272</f>
        <v/>
      </c>
      <c r="W273" s="36">
        <f>W269-W272</f>
        <v/>
      </c>
      <c r="X273" s="36">
        <f>X269-X272</f>
        <v/>
      </c>
      <c r="Y273" s="36">
        <f>Y269-Y272</f>
        <v/>
      </c>
      <c r="Z273" s="36">
        <f>Z269-Z272</f>
        <v/>
      </c>
      <c r="AA273" s="36">
        <f>AA269-AA272</f>
        <v/>
      </c>
      <c r="AB273" s="36">
        <f>AB269-AB272</f>
        <v/>
      </c>
      <c r="AC273" s="36">
        <f>AC269-AC272</f>
        <v/>
      </c>
      <c r="AD273" s="36">
        <f>AD269-AD272</f>
        <v/>
      </c>
      <c r="AE273" s="36">
        <f>AE269-AE272</f>
        <v/>
      </c>
      <c r="AF273" s="36">
        <f>AF269-AF272</f>
        <v/>
      </c>
      <c r="AG273" s="36">
        <f>AG269-AG272</f>
        <v/>
      </c>
      <c r="AH273" s="36">
        <f>AH269-AH272</f>
        <v/>
      </c>
      <c r="AI273" s="36">
        <f>AI269-AI272</f>
        <v/>
      </c>
      <c r="AJ273" s="36">
        <f>AJ269-AJ272</f>
        <v/>
      </c>
      <c r="AK273" s="36">
        <f>AK269-AK272</f>
        <v/>
      </c>
      <c r="AL273" s="36">
        <f>AL269-AL272</f>
        <v/>
      </c>
      <c r="AM273" s="36">
        <f>AM269-AM272</f>
        <v/>
      </c>
      <c r="AN273" s="36">
        <f>AN269-AN272</f>
        <v/>
      </c>
      <c r="AO273" s="36">
        <f>AO269-AO272</f>
        <v/>
      </c>
      <c r="AP273" s="36">
        <f>AP269-AP272</f>
        <v/>
      </c>
      <c r="AQ273" s="36">
        <f>AQ269-AQ272</f>
        <v/>
      </c>
      <c r="AR273" s="36">
        <f>AR269-AR272</f>
        <v/>
      </c>
      <c r="AS273" s="36">
        <f>AS269-AS272</f>
        <v/>
      </c>
      <c r="AT273" s="36">
        <f>AT269-AT272</f>
        <v/>
      </c>
      <c r="AU273" s="36">
        <f>AU269-AU272</f>
        <v/>
      </c>
      <c r="AV273" s="36">
        <f>AV269-AV272</f>
        <v/>
      </c>
      <c r="AW273" s="36">
        <f>AW269-AW272</f>
        <v/>
      </c>
      <c r="AX273" s="36">
        <f>AX269-AX272</f>
        <v/>
      </c>
      <c r="AY273" s="36">
        <f>AY269-AY272</f>
        <v/>
      </c>
      <c r="AZ273" s="36">
        <f>AZ269-AZ272</f>
        <v/>
      </c>
      <c r="BA273" s="36">
        <f>BA269-BA272</f>
        <v/>
      </c>
      <c r="BB273" s="36">
        <f>BB269-BB272</f>
        <v/>
      </c>
      <c r="BC273" s="36">
        <f>BC269-BC272</f>
        <v/>
      </c>
      <c r="BD273" s="36">
        <f>BD269-BD272</f>
        <v/>
      </c>
    </row>
    <row r="274">
      <c r="A274" s="39" t="inlineStr">
        <is>
          <t>Wholesale — most you may sell this week</t>
        </is>
      </c>
      <c r="B274" s="2" t="inlineStr">
        <is>
          <t>lb</t>
        </is>
      </c>
      <c r="E274" s="51">
        <f>IF($C$24="Annual",$D$24-0,IF(AND(1&gt;=$E$24,1&lt;=$F$24),$D$24,0))</f>
        <v/>
      </c>
      <c r="F274" s="51">
        <f>IF($C$24="Annual",$D$24-SUM(E276:E276),IF(AND(2&gt;=$E$24,2&lt;=$F$24),$D$24,0))</f>
        <v/>
      </c>
      <c r="G274" s="51">
        <f>IF($C$24="Annual",$D$24-SUM(E276:F276),IF(AND(3&gt;=$E$24,3&lt;=$F$24),$D$24,0))</f>
        <v/>
      </c>
      <c r="H274" s="51">
        <f>IF($C$24="Annual",$D$24-SUM(E276:G276),IF(AND(4&gt;=$E$24,4&lt;=$F$24),$D$24,0))</f>
        <v/>
      </c>
      <c r="I274" s="51">
        <f>IF($C$24="Annual",$D$24-SUM(E276:H276),IF(AND(5&gt;=$E$24,5&lt;=$F$24),$D$24,0))</f>
        <v/>
      </c>
      <c r="J274" s="51">
        <f>IF($C$24="Annual",$D$24-SUM(E276:I276),IF(AND(6&gt;=$E$24,6&lt;=$F$24),$D$24,0))</f>
        <v/>
      </c>
      <c r="K274" s="51">
        <f>IF($C$24="Annual",$D$24-SUM(E276:J276),IF(AND(7&gt;=$E$24,7&lt;=$F$24),$D$24,0))</f>
        <v/>
      </c>
      <c r="L274" s="51">
        <f>IF($C$24="Annual",$D$24-SUM(E276:K276),IF(AND(8&gt;=$E$24,8&lt;=$F$24),$D$24,0))</f>
        <v/>
      </c>
      <c r="M274" s="51">
        <f>IF($C$24="Annual",$D$24-SUM(E276:L276),IF(AND(9&gt;=$E$24,9&lt;=$F$24),$D$24,0))</f>
        <v/>
      </c>
      <c r="N274" s="51">
        <f>IF($C$24="Annual",$D$24-SUM(E276:M276),IF(AND(10&gt;=$E$24,10&lt;=$F$24),$D$24,0))</f>
        <v/>
      </c>
      <c r="O274" s="51">
        <f>IF($C$24="Annual",$D$24-SUM(E276:N276),IF(AND(11&gt;=$E$24,11&lt;=$F$24),$D$24,0))</f>
        <v/>
      </c>
      <c r="P274" s="51">
        <f>IF($C$24="Annual",$D$24-SUM(E276:O276),IF(AND(12&gt;=$E$24,12&lt;=$F$24),$D$24,0))</f>
        <v/>
      </c>
      <c r="Q274" s="51">
        <f>IF($C$24="Annual",$D$24-SUM(E276:P276),IF(AND(13&gt;=$E$24,13&lt;=$F$24),$D$24,0))</f>
        <v/>
      </c>
      <c r="R274" s="51">
        <f>IF($C$24="Annual",$D$24-SUM(E276:Q276),IF(AND(14&gt;=$E$24,14&lt;=$F$24),$D$24,0))</f>
        <v/>
      </c>
      <c r="S274" s="51">
        <f>IF($C$24="Annual",$D$24-SUM(E276:R276),IF(AND(15&gt;=$E$24,15&lt;=$F$24),$D$24,0))</f>
        <v/>
      </c>
      <c r="T274" s="51">
        <f>IF($C$24="Annual",$D$24-SUM(E276:S276),IF(AND(16&gt;=$E$24,16&lt;=$F$24),$D$24,0))</f>
        <v/>
      </c>
      <c r="U274" s="51">
        <f>IF($C$24="Annual",$D$24-SUM(E276:T276),IF(AND(17&gt;=$E$24,17&lt;=$F$24),$D$24,0))</f>
        <v/>
      </c>
      <c r="V274" s="51">
        <f>IF($C$24="Annual",$D$24-SUM(E276:U276),IF(AND(18&gt;=$E$24,18&lt;=$F$24),$D$24,0))</f>
        <v/>
      </c>
      <c r="W274" s="51">
        <f>IF($C$24="Annual",$D$24-SUM(E276:V276),IF(AND(19&gt;=$E$24,19&lt;=$F$24),$D$24,0))</f>
        <v/>
      </c>
      <c r="X274" s="51">
        <f>IF($C$24="Annual",$D$24-SUM(E276:W276),IF(AND(20&gt;=$E$24,20&lt;=$F$24),$D$24,0))</f>
        <v/>
      </c>
      <c r="Y274" s="51">
        <f>IF($C$24="Annual",$D$24-SUM(E276:X276),IF(AND(21&gt;=$E$24,21&lt;=$F$24),$D$24,0))</f>
        <v/>
      </c>
      <c r="Z274" s="51">
        <f>IF($C$24="Annual",$D$24-SUM(E276:Y276),IF(AND(22&gt;=$E$24,22&lt;=$F$24),$D$24,0))</f>
        <v/>
      </c>
      <c r="AA274" s="51">
        <f>IF($C$24="Annual",$D$24-SUM(E276:Z276),IF(AND(23&gt;=$E$24,23&lt;=$F$24),$D$24,0))</f>
        <v/>
      </c>
      <c r="AB274" s="51">
        <f>IF($C$24="Annual",$D$24-SUM(E276:AA276),IF(AND(24&gt;=$E$24,24&lt;=$F$24),$D$24,0))</f>
        <v/>
      </c>
      <c r="AC274" s="51">
        <f>IF($C$24="Annual",$D$24-SUM(E276:AB276),IF(AND(25&gt;=$E$24,25&lt;=$F$24),$D$24,0))</f>
        <v/>
      </c>
      <c r="AD274" s="51">
        <f>IF($C$24="Annual",$D$24-SUM(E276:AC276),IF(AND(26&gt;=$E$24,26&lt;=$F$24),$D$24,0))</f>
        <v/>
      </c>
      <c r="AE274" s="51">
        <f>IF($C$24="Annual",$D$24-SUM(E276:AD276),IF(AND(27&gt;=$E$24,27&lt;=$F$24),$D$24,0))</f>
        <v/>
      </c>
      <c r="AF274" s="51">
        <f>IF($C$24="Annual",$D$24-SUM(E276:AE276),IF(AND(28&gt;=$E$24,28&lt;=$F$24),$D$24,0))</f>
        <v/>
      </c>
      <c r="AG274" s="51">
        <f>IF($C$24="Annual",$D$24-SUM(E276:AF276),IF(AND(29&gt;=$E$24,29&lt;=$F$24),$D$24,0))</f>
        <v/>
      </c>
      <c r="AH274" s="51">
        <f>IF($C$24="Annual",$D$24-SUM(E276:AG276),IF(AND(30&gt;=$E$24,30&lt;=$F$24),$D$24,0))</f>
        <v/>
      </c>
      <c r="AI274" s="51">
        <f>IF($C$24="Annual",$D$24-SUM(E276:AH276),IF(AND(31&gt;=$E$24,31&lt;=$F$24),$D$24,0))</f>
        <v/>
      </c>
      <c r="AJ274" s="51">
        <f>IF($C$24="Annual",$D$24-SUM(E276:AI276),IF(AND(32&gt;=$E$24,32&lt;=$F$24),$D$24,0))</f>
        <v/>
      </c>
      <c r="AK274" s="51">
        <f>IF($C$24="Annual",$D$24-SUM(E276:AJ276),IF(AND(33&gt;=$E$24,33&lt;=$F$24),$D$24,0))</f>
        <v/>
      </c>
      <c r="AL274" s="51">
        <f>IF($C$24="Annual",$D$24-SUM(E276:AK276),IF(AND(34&gt;=$E$24,34&lt;=$F$24),$D$24,0))</f>
        <v/>
      </c>
      <c r="AM274" s="51">
        <f>IF($C$24="Annual",$D$24-SUM(E276:AL276),IF(AND(35&gt;=$E$24,35&lt;=$F$24),$D$24,0))</f>
        <v/>
      </c>
      <c r="AN274" s="51">
        <f>IF($C$24="Annual",$D$24-SUM(E276:AM276),IF(AND(36&gt;=$E$24,36&lt;=$F$24),$D$24,0))</f>
        <v/>
      </c>
      <c r="AO274" s="51">
        <f>IF($C$24="Annual",$D$24-SUM(E276:AN276),IF(AND(37&gt;=$E$24,37&lt;=$F$24),$D$24,0))</f>
        <v/>
      </c>
      <c r="AP274" s="51">
        <f>IF($C$24="Annual",$D$24-SUM(E276:AO276),IF(AND(38&gt;=$E$24,38&lt;=$F$24),$D$24,0))</f>
        <v/>
      </c>
      <c r="AQ274" s="51">
        <f>IF($C$24="Annual",$D$24-SUM(E276:AP276),IF(AND(39&gt;=$E$24,39&lt;=$F$24),$D$24,0))</f>
        <v/>
      </c>
      <c r="AR274" s="51">
        <f>IF($C$24="Annual",$D$24-SUM(E276:AQ276),IF(AND(40&gt;=$E$24,40&lt;=$F$24),$D$24,0))</f>
        <v/>
      </c>
      <c r="AS274" s="51">
        <f>IF($C$24="Annual",$D$24-SUM(E276:AR276),IF(AND(41&gt;=$E$24,41&lt;=$F$24),$D$24,0))</f>
        <v/>
      </c>
      <c r="AT274" s="51">
        <f>IF($C$24="Annual",$D$24-SUM(E276:AS276),IF(AND(42&gt;=$E$24,42&lt;=$F$24),$D$24,0))</f>
        <v/>
      </c>
      <c r="AU274" s="51">
        <f>IF($C$24="Annual",$D$24-SUM(E276:AT276),IF(AND(43&gt;=$E$24,43&lt;=$F$24),$D$24,0))</f>
        <v/>
      </c>
      <c r="AV274" s="51">
        <f>IF($C$24="Annual",$D$24-SUM(E276:AU276),IF(AND(44&gt;=$E$24,44&lt;=$F$24),$D$24,0))</f>
        <v/>
      </c>
      <c r="AW274" s="51">
        <f>IF($C$24="Annual",$D$24-SUM(E276:AV276),IF(AND(45&gt;=$E$24,45&lt;=$F$24),$D$24,0))</f>
        <v/>
      </c>
      <c r="AX274" s="51">
        <f>IF($C$24="Annual",$D$24-SUM(E276:AW276),IF(AND(46&gt;=$E$24,46&lt;=$F$24),$D$24,0))</f>
        <v/>
      </c>
      <c r="AY274" s="51">
        <f>IF($C$24="Annual",$D$24-SUM(E276:AX276),IF(AND(47&gt;=$E$24,47&lt;=$F$24),$D$24,0))</f>
        <v/>
      </c>
      <c r="AZ274" s="51">
        <f>IF($C$24="Annual",$D$24-SUM(E276:AY276),IF(AND(48&gt;=$E$24,48&lt;=$F$24),$D$24,0))</f>
        <v/>
      </c>
      <c r="BA274" s="51">
        <f>IF($C$24="Annual",$D$24-SUM(E276:AZ276),IF(AND(49&gt;=$E$24,49&lt;=$F$24),$D$24,0))</f>
        <v/>
      </c>
      <c r="BB274" s="51">
        <f>IF($C$24="Annual",$D$24-SUM(E276:BA276),IF(AND(50&gt;=$E$24,50&lt;=$F$24),$D$24,0))</f>
        <v/>
      </c>
      <c r="BC274" s="51">
        <f>IF($C$24="Annual",$D$24-SUM(E276:BB276),IF(AND(51&gt;=$E$24,51&lt;=$F$24),$D$24,0))</f>
        <v/>
      </c>
      <c r="BD274" s="51">
        <f>IF($C$24="Annual",$D$24-SUM(E276:BC276),IF(AND(52&gt;=$E$24,52&lt;=$F$24),$D$24,0))</f>
        <v/>
      </c>
    </row>
    <row r="275">
      <c r="A275" s="27" t="inlineStr">
        <is>
          <t>Wholesale — OFFERED</t>
        </is>
      </c>
      <c r="B275" s="2" t="inlineStr">
        <is>
          <t>lb  &lt;-- SOLVER</t>
        </is>
      </c>
      <c r="E275" s="35" t="n">
        <v>0</v>
      </c>
      <c r="F275" s="35" t="n">
        <v>0</v>
      </c>
      <c r="G275" s="35" t="n">
        <v>0</v>
      </c>
      <c r="H275" s="35" t="n">
        <v>0</v>
      </c>
      <c r="I275" s="35" t="n">
        <v>0</v>
      </c>
      <c r="J275" s="35" t="n">
        <v>0</v>
      </c>
      <c r="K275" s="35" t="n">
        <v>0</v>
      </c>
      <c r="L275" s="35" t="n">
        <v>0</v>
      </c>
      <c r="M275" s="35" t="n">
        <v>0</v>
      </c>
      <c r="N275" s="35" t="n">
        <v>0</v>
      </c>
      <c r="O275" s="35" t="n">
        <v>0</v>
      </c>
      <c r="P275" s="35" t="n">
        <v>0</v>
      </c>
      <c r="Q275" s="35" t="n">
        <v>0</v>
      </c>
      <c r="R275" s="35" t="n">
        <v>0</v>
      </c>
      <c r="S275" s="35" t="n">
        <v>0</v>
      </c>
      <c r="T275" s="35" t="n">
        <v>0</v>
      </c>
      <c r="U275" s="35" t="n">
        <v>0</v>
      </c>
      <c r="V275" s="35" t="n">
        <v>0</v>
      </c>
      <c r="W275" s="35" t="n">
        <v>0</v>
      </c>
      <c r="X275" s="35" t="n">
        <v>0</v>
      </c>
      <c r="Y275" s="35" t="n">
        <v>0</v>
      </c>
      <c r="Z275" s="35" t="n">
        <v>0</v>
      </c>
      <c r="AA275" s="35" t="n">
        <v>0</v>
      </c>
      <c r="AB275" s="35" t="n">
        <v>0</v>
      </c>
      <c r="AC275" s="35" t="n">
        <v>0</v>
      </c>
      <c r="AD275" s="35" t="n">
        <v>0</v>
      </c>
      <c r="AE275" s="35" t="n">
        <v>0</v>
      </c>
      <c r="AF275" s="35" t="n">
        <v>0</v>
      </c>
      <c r="AG275" s="35" t="n">
        <v>0</v>
      </c>
      <c r="AH275" s="35" t="n">
        <v>0</v>
      </c>
      <c r="AI275" s="35" t="n">
        <v>0</v>
      </c>
      <c r="AJ275" s="35" t="n">
        <v>0</v>
      </c>
      <c r="AK275" s="35" t="n">
        <v>0</v>
      </c>
      <c r="AL275" s="35" t="n">
        <v>0</v>
      </c>
      <c r="AM275" s="35" t="n">
        <v>0</v>
      </c>
      <c r="AN275" s="35" t="n">
        <v>0</v>
      </c>
      <c r="AO275" s="35" t="n">
        <v>0</v>
      </c>
      <c r="AP275" s="35" t="n">
        <v>0</v>
      </c>
      <c r="AQ275" s="35" t="n">
        <v>0</v>
      </c>
      <c r="AR275" s="35" t="n">
        <v>0</v>
      </c>
      <c r="AS275" s="35" t="n">
        <v>0</v>
      </c>
      <c r="AT275" s="35" t="n">
        <v>0</v>
      </c>
      <c r="AU275" s="35" t="n">
        <v>0</v>
      </c>
      <c r="AV275" s="35" t="n">
        <v>0</v>
      </c>
      <c r="AW275" s="35" t="n">
        <v>0</v>
      </c>
      <c r="AX275" s="35" t="n">
        <v>0</v>
      </c>
      <c r="AY275" s="35" t="n">
        <v>0</v>
      </c>
      <c r="AZ275" s="35" t="n">
        <v>0</v>
      </c>
      <c r="BA275" s="35" t="n">
        <v>0</v>
      </c>
      <c r="BB275" s="35" t="n">
        <v>0</v>
      </c>
      <c r="BC275" s="35" t="n">
        <v>0</v>
      </c>
      <c r="BD275" s="35" t="n">
        <v>0</v>
      </c>
    </row>
    <row r="276">
      <c r="A276" s="52" t="inlineStr">
        <is>
          <t>Wholesale — SOLD</t>
        </is>
      </c>
      <c r="B276" s="2" t="inlineStr">
        <is>
          <t>lb</t>
        </is>
      </c>
      <c r="E276" s="51">
        <f>E275*$G$24</f>
        <v/>
      </c>
      <c r="F276" s="51">
        <f>F275*$G$24</f>
        <v/>
      </c>
      <c r="G276" s="51">
        <f>G275*$G$24</f>
        <v/>
      </c>
      <c r="H276" s="51">
        <f>H275*$G$24</f>
        <v/>
      </c>
      <c r="I276" s="51">
        <f>I275*$G$24</f>
        <v/>
      </c>
      <c r="J276" s="51">
        <f>J275*$G$24</f>
        <v/>
      </c>
      <c r="K276" s="51">
        <f>K275*$G$24</f>
        <v/>
      </c>
      <c r="L276" s="51">
        <f>L275*$G$24</f>
        <v/>
      </c>
      <c r="M276" s="51">
        <f>M275*$G$24</f>
        <v/>
      </c>
      <c r="N276" s="51">
        <f>N275*$G$24</f>
        <v/>
      </c>
      <c r="O276" s="51">
        <f>O275*$G$24</f>
        <v/>
      </c>
      <c r="P276" s="51">
        <f>P275*$G$24</f>
        <v/>
      </c>
      <c r="Q276" s="51">
        <f>Q275*$G$24</f>
        <v/>
      </c>
      <c r="R276" s="51">
        <f>R275*$G$24</f>
        <v/>
      </c>
      <c r="S276" s="51">
        <f>S275*$G$24</f>
        <v/>
      </c>
      <c r="T276" s="51">
        <f>T275*$G$24</f>
        <v/>
      </c>
      <c r="U276" s="51">
        <f>U275*$G$24</f>
        <v/>
      </c>
      <c r="V276" s="51">
        <f>V275*$G$24</f>
        <v/>
      </c>
      <c r="W276" s="51">
        <f>W275*$G$24</f>
        <v/>
      </c>
      <c r="X276" s="51">
        <f>X275*$G$24</f>
        <v/>
      </c>
      <c r="Y276" s="51">
        <f>Y275*$G$24</f>
        <v/>
      </c>
      <c r="Z276" s="51">
        <f>Z275*$G$24</f>
        <v/>
      </c>
      <c r="AA276" s="51">
        <f>AA275*$G$24</f>
        <v/>
      </c>
      <c r="AB276" s="51">
        <f>AB275*$G$24</f>
        <v/>
      </c>
      <c r="AC276" s="51">
        <f>AC275*$G$24</f>
        <v/>
      </c>
      <c r="AD276" s="51">
        <f>AD275*$G$24</f>
        <v/>
      </c>
      <c r="AE276" s="51">
        <f>AE275*$G$24</f>
        <v/>
      </c>
      <c r="AF276" s="51">
        <f>AF275*$G$24</f>
        <v/>
      </c>
      <c r="AG276" s="51">
        <f>AG275*$G$24</f>
        <v/>
      </c>
      <c r="AH276" s="51">
        <f>AH275*$G$24</f>
        <v/>
      </c>
      <c r="AI276" s="51">
        <f>AI275*$G$24</f>
        <v/>
      </c>
      <c r="AJ276" s="51">
        <f>AJ275*$G$24</f>
        <v/>
      </c>
      <c r="AK276" s="51">
        <f>AK275*$G$24</f>
        <v/>
      </c>
      <c r="AL276" s="51">
        <f>AL275*$G$24</f>
        <v/>
      </c>
      <c r="AM276" s="51">
        <f>AM275*$G$24</f>
        <v/>
      </c>
      <c r="AN276" s="51">
        <f>AN275*$G$24</f>
        <v/>
      </c>
      <c r="AO276" s="51">
        <f>AO275*$G$24</f>
        <v/>
      </c>
      <c r="AP276" s="51">
        <f>AP275*$G$24</f>
        <v/>
      </c>
      <c r="AQ276" s="51">
        <f>AQ275*$G$24</f>
        <v/>
      </c>
      <c r="AR276" s="51">
        <f>AR275*$G$24</f>
        <v/>
      </c>
      <c r="AS276" s="51">
        <f>AS275*$G$24</f>
        <v/>
      </c>
      <c r="AT276" s="51">
        <f>AT275*$G$24</f>
        <v/>
      </c>
      <c r="AU276" s="51">
        <f>AU275*$G$24</f>
        <v/>
      </c>
      <c r="AV276" s="51">
        <f>AV275*$G$24</f>
        <v/>
      </c>
      <c r="AW276" s="51">
        <f>AW275*$G$24</f>
        <v/>
      </c>
      <c r="AX276" s="51">
        <f>AX275*$G$24</f>
        <v/>
      </c>
      <c r="AY276" s="51">
        <f>AY275*$G$24</f>
        <v/>
      </c>
      <c r="AZ276" s="51">
        <f>AZ275*$G$24</f>
        <v/>
      </c>
      <c r="BA276" s="51">
        <f>BA275*$G$24</f>
        <v/>
      </c>
      <c r="BB276" s="51">
        <f>BB275*$G$24</f>
        <v/>
      </c>
      <c r="BC276" s="51">
        <f>BC275*$G$24</f>
        <v/>
      </c>
      <c r="BD276" s="51">
        <f>BD275*$G$24</f>
        <v/>
      </c>
    </row>
    <row r="277">
      <c r="A277" s="28" t="inlineStr">
        <is>
          <t xml:space="preserve">   market loss (gone)</t>
        </is>
      </c>
      <c r="B277" s="2" t="inlineStr">
        <is>
          <t>lb</t>
        </is>
      </c>
      <c r="E277" s="36">
        <f>(E275-E276)*(1-$H$24)</f>
        <v/>
      </c>
      <c r="F277" s="36">
        <f>(F275-F276)*(1-$H$24)</f>
        <v/>
      </c>
      <c r="G277" s="36">
        <f>(G275-G276)*(1-$H$24)</f>
        <v/>
      </c>
      <c r="H277" s="36">
        <f>(H275-H276)*(1-$H$24)</f>
        <v/>
      </c>
      <c r="I277" s="36">
        <f>(I275-I276)*(1-$H$24)</f>
        <v/>
      </c>
      <c r="J277" s="36">
        <f>(J275-J276)*(1-$H$24)</f>
        <v/>
      </c>
      <c r="K277" s="36">
        <f>(K275-K276)*(1-$H$24)</f>
        <v/>
      </c>
      <c r="L277" s="36">
        <f>(L275-L276)*(1-$H$24)</f>
        <v/>
      </c>
      <c r="M277" s="36">
        <f>(M275-M276)*(1-$H$24)</f>
        <v/>
      </c>
      <c r="N277" s="36">
        <f>(N275-N276)*(1-$H$24)</f>
        <v/>
      </c>
      <c r="O277" s="36">
        <f>(O275-O276)*(1-$H$24)</f>
        <v/>
      </c>
      <c r="P277" s="36">
        <f>(P275-P276)*(1-$H$24)</f>
        <v/>
      </c>
      <c r="Q277" s="36">
        <f>(Q275-Q276)*(1-$H$24)</f>
        <v/>
      </c>
      <c r="R277" s="36">
        <f>(R275-R276)*(1-$H$24)</f>
        <v/>
      </c>
      <c r="S277" s="36">
        <f>(S275-S276)*(1-$H$24)</f>
        <v/>
      </c>
      <c r="T277" s="36">
        <f>(T275-T276)*(1-$H$24)</f>
        <v/>
      </c>
      <c r="U277" s="36">
        <f>(U275-U276)*(1-$H$24)</f>
        <v/>
      </c>
      <c r="V277" s="36">
        <f>(V275-V276)*(1-$H$24)</f>
        <v/>
      </c>
      <c r="W277" s="36">
        <f>(W275-W276)*(1-$H$24)</f>
        <v/>
      </c>
      <c r="X277" s="36">
        <f>(X275-X276)*(1-$H$24)</f>
        <v/>
      </c>
      <c r="Y277" s="36">
        <f>(Y275-Y276)*(1-$H$24)</f>
        <v/>
      </c>
      <c r="Z277" s="36">
        <f>(Z275-Z276)*(1-$H$24)</f>
        <v/>
      </c>
      <c r="AA277" s="36">
        <f>(AA275-AA276)*(1-$H$24)</f>
        <v/>
      </c>
      <c r="AB277" s="36">
        <f>(AB275-AB276)*(1-$H$24)</f>
        <v/>
      </c>
      <c r="AC277" s="36">
        <f>(AC275-AC276)*(1-$H$24)</f>
        <v/>
      </c>
      <c r="AD277" s="36">
        <f>(AD275-AD276)*(1-$H$24)</f>
        <v/>
      </c>
      <c r="AE277" s="36">
        <f>(AE275-AE276)*(1-$H$24)</f>
        <v/>
      </c>
      <c r="AF277" s="36">
        <f>(AF275-AF276)*(1-$H$24)</f>
        <v/>
      </c>
      <c r="AG277" s="36">
        <f>(AG275-AG276)*(1-$H$24)</f>
        <v/>
      </c>
      <c r="AH277" s="36">
        <f>(AH275-AH276)*(1-$H$24)</f>
        <v/>
      </c>
      <c r="AI277" s="36">
        <f>(AI275-AI276)*(1-$H$24)</f>
        <v/>
      </c>
      <c r="AJ277" s="36">
        <f>(AJ275-AJ276)*(1-$H$24)</f>
        <v/>
      </c>
      <c r="AK277" s="36">
        <f>(AK275-AK276)*(1-$H$24)</f>
        <v/>
      </c>
      <c r="AL277" s="36">
        <f>(AL275-AL276)*(1-$H$24)</f>
        <v/>
      </c>
      <c r="AM277" s="36">
        <f>(AM275-AM276)*(1-$H$24)</f>
        <v/>
      </c>
      <c r="AN277" s="36">
        <f>(AN275-AN276)*(1-$H$24)</f>
        <v/>
      </c>
      <c r="AO277" s="36">
        <f>(AO275-AO276)*(1-$H$24)</f>
        <v/>
      </c>
      <c r="AP277" s="36">
        <f>(AP275-AP276)*(1-$H$24)</f>
        <v/>
      </c>
      <c r="AQ277" s="36">
        <f>(AQ275-AQ276)*(1-$H$24)</f>
        <v/>
      </c>
      <c r="AR277" s="36">
        <f>(AR275-AR276)*(1-$H$24)</f>
        <v/>
      </c>
      <c r="AS277" s="36">
        <f>(AS275-AS276)*(1-$H$24)</f>
        <v/>
      </c>
      <c r="AT277" s="36">
        <f>(AT275-AT276)*(1-$H$24)</f>
        <v/>
      </c>
      <c r="AU277" s="36">
        <f>(AU275-AU276)*(1-$H$24)</f>
        <v/>
      </c>
      <c r="AV277" s="36">
        <f>(AV275-AV276)*(1-$H$24)</f>
        <v/>
      </c>
      <c r="AW277" s="36">
        <f>(AW275-AW276)*(1-$H$24)</f>
        <v/>
      </c>
      <c r="AX277" s="36">
        <f>(AX275-AX276)*(1-$H$24)</f>
        <v/>
      </c>
      <c r="AY277" s="36">
        <f>(AY275-AY276)*(1-$H$24)</f>
        <v/>
      </c>
      <c r="AZ277" s="36">
        <f>(AZ275-AZ276)*(1-$H$24)</f>
        <v/>
      </c>
      <c r="BA277" s="36">
        <f>(BA275-BA276)*(1-$H$24)</f>
        <v/>
      </c>
      <c r="BB277" s="36">
        <f>(BB275-BB276)*(1-$H$24)</f>
        <v/>
      </c>
      <c r="BC277" s="36">
        <f>(BC275-BC276)*(1-$H$24)</f>
        <v/>
      </c>
      <c r="BD277" s="36">
        <f>(BD275-BD276)*(1-$H$24)</f>
        <v/>
      </c>
    </row>
    <row r="278">
      <c r="A278" s="28" t="inlineStr">
        <is>
          <t xml:space="preserve">   returned to store</t>
        </is>
      </c>
      <c r="B278" s="2" t="inlineStr">
        <is>
          <t>lb</t>
        </is>
      </c>
      <c r="E278" s="36">
        <f>(E275-E276)*$H$24</f>
        <v/>
      </c>
      <c r="F278" s="36">
        <f>(F275-F276)*$H$24</f>
        <v/>
      </c>
      <c r="G278" s="36">
        <f>(G275-G276)*$H$24</f>
        <v/>
      </c>
      <c r="H278" s="36">
        <f>(H275-H276)*$H$24</f>
        <v/>
      </c>
      <c r="I278" s="36">
        <f>(I275-I276)*$H$24</f>
        <v/>
      </c>
      <c r="J278" s="36">
        <f>(J275-J276)*$H$24</f>
        <v/>
      </c>
      <c r="K278" s="36">
        <f>(K275-K276)*$H$24</f>
        <v/>
      </c>
      <c r="L278" s="36">
        <f>(L275-L276)*$H$24</f>
        <v/>
      </c>
      <c r="M278" s="36">
        <f>(M275-M276)*$H$24</f>
        <v/>
      </c>
      <c r="N278" s="36">
        <f>(N275-N276)*$H$24</f>
        <v/>
      </c>
      <c r="O278" s="36">
        <f>(O275-O276)*$H$24</f>
        <v/>
      </c>
      <c r="P278" s="36">
        <f>(P275-P276)*$H$24</f>
        <v/>
      </c>
      <c r="Q278" s="36">
        <f>(Q275-Q276)*$H$24</f>
        <v/>
      </c>
      <c r="R278" s="36">
        <f>(R275-R276)*$H$24</f>
        <v/>
      </c>
      <c r="S278" s="36">
        <f>(S275-S276)*$H$24</f>
        <v/>
      </c>
      <c r="T278" s="36">
        <f>(T275-T276)*$H$24</f>
        <v/>
      </c>
      <c r="U278" s="36">
        <f>(U275-U276)*$H$24</f>
        <v/>
      </c>
      <c r="V278" s="36">
        <f>(V275-V276)*$H$24</f>
        <v/>
      </c>
      <c r="W278" s="36">
        <f>(W275-W276)*$H$24</f>
        <v/>
      </c>
      <c r="X278" s="36">
        <f>(X275-X276)*$H$24</f>
        <v/>
      </c>
      <c r="Y278" s="36">
        <f>(Y275-Y276)*$H$24</f>
        <v/>
      </c>
      <c r="Z278" s="36">
        <f>(Z275-Z276)*$H$24</f>
        <v/>
      </c>
      <c r="AA278" s="36">
        <f>(AA275-AA276)*$H$24</f>
        <v/>
      </c>
      <c r="AB278" s="36">
        <f>(AB275-AB276)*$H$24</f>
        <v/>
      </c>
      <c r="AC278" s="36">
        <f>(AC275-AC276)*$H$24</f>
        <v/>
      </c>
      <c r="AD278" s="36">
        <f>(AD275-AD276)*$H$24</f>
        <v/>
      </c>
      <c r="AE278" s="36">
        <f>(AE275-AE276)*$H$24</f>
        <v/>
      </c>
      <c r="AF278" s="36">
        <f>(AF275-AF276)*$H$24</f>
        <v/>
      </c>
      <c r="AG278" s="36">
        <f>(AG275-AG276)*$H$24</f>
        <v/>
      </c>
      <c r="AH278" s="36">
        <f>(AH275-AH276)*$H$24</f>
        <v/>
      </c>
      <c r="AI278" s="36">
        <f>(AI275-AI276)*$H$24</f>
        <v/>
      </c>
      <c r="AJ278" s="36">
        <f>(AJ275-AJ276)*$H$24</f>
        <v/>
      </c>
      <c r="AK278" s="36">
        <f>(AK275-AK276)*$H$24</f>
        <v/>
      </c>
      <c r="AL278" s="36">
        <f>(AL275-AL276)*$H$24</f>
        <v/>
      </c>
      <c r="AM278" s="36">
        <f>(AM275-AM276)*$H$24</f>
        <v/>
      </c>
      <c r="AN278" s="36">
        <f>(AN275-AN276)*$H$24</f>
        <v/>
      </c>
      <c r="AO278" s="36">
        <f>(AO275-AO276)*$H$24</f>
        <v/>
      </c>
      <c r="AP278" s="36">
        <f>(AP275-AP276)*$H$24</f>
        <v/>
      </c>
      <c r="AQ278" s="36">
        <f>(AQ275-AQ276)*$H$24</f>
        <v/>
      </c>
      <c r="AR278" s="36">
        <f>(AR275-AR276)*$H$24</f>
        <v/>
      </c>
      <c r="AS278" s="36">
        <f>(AS275-AS276)*$H$24</f>
        <v/>
      </c>
      <c r="AT278" s="36">
        <f>(AT275-AT276)*$H$24</f>
        <v/>
      </c>
      <c r="AU278" s="36">
        <f>(AU275-AU276)*$H$24</f>
        <v/>
      </c>
      <c r="AV278" s="36">
        <f>(AV275-AV276)*$H$24</f>
        <v/>
      </c>
      <c r="AW278" s="36">
        <f>(AW275-AW276)*$H$24</f>
        <v/>
      </c>
      <c r="AX278" s="36">
        <f>(AX275-AX276)*$H$24</f>
        <v/>
      </c>
      <c r="AY278" s="36">
        <f>(AY275-AY276)*$H$24</f>
        <v/>
      </c>
      <c r="AZ278" s="36">
        <f>(AZ275-AZ276)*$H$24</f>
        <v/>
      </c>
      <c r="BA278" s="36">
        <f>(BA275-BA276)*$H$24</f>
        <v/>
      </c>
      <c r="BB278" s="36">
        <f>(BB275-BB276)*$H$24</f>
        <v/>
      </c>
      <c r="BC278" s="36">
        <f>(BC275-BC276)*$H$24</f>
        <v/>
      </c>
      <c r="BD278" s="36">
        <f>(BD275-BD276)*$H$24</f>
        <v/>
      </c>
    </row>
    <row r="279">
      <c r="A279" s="28" t="inlineStr">
        <is>
          <t xml:space="preserve">   leaves the store (offered - returned)</t>
        </is>
      </c>
      <c r="B279" s="2" t="inlineStr">
        <is>
          <t>lb</t>
        </is>
      </c>
      <c r="E279" s="36">
        <f>E275-E278</f>
        <v/>
      </c>
      <c r="F279" s="36">
        <f>F275-F278</f>
        <v/>
      </c>
      <c r="G279" s="36">
        <f>G275-G278</f>
        <v/>
      </c>
      <c r="H279" s="36">
        <f>H275-H278</f>
        <v/>
      </c>
      <c r="I279" s="36">
        <f>I275-I278</f>
        <v/>
      </c>
      <c r="J279" s="36">
        <f>J275-J278</f>
        <v/>
      </c>
      <c r="K279" s="36">
        <f>K275-K278</f>
        <v/>
      </c>
      <c r="L279" s="36">
        <f>L275-L278</f>
        <v/>
      </c>
      <c r="M279" s="36">
        <f>M275-M278</f>
        <v/>
      </c>
      <c r="N279" s="36">
        <f>N275-N278</f>
        <v/>
      </c>
      <c r="O279" s="36">
        <f>O275-O278</f>
        <v/>
      </c>
      <c r="P279" s="36">
        <f>P275-P278</f>
        <v/>
      </c>
      <c r="Q279" s="36">
        <f>Q275-Q278</f>
        <v/>
      </c>
      <c r="R279" s="36">
        <f>R275-R278</f>
        <v/>
      </c>
      <c r="S279" s="36">
        <f>S275-S278</f>
        <v/>
      </c>
      <c r="T279" s="36">
        <f>T275-T278</f>
        <v/>
      </c>
      <c r="U279" s="36">
        <f>U275-U278</f>
        <v/>
      </c>
      <c r="V279" s="36">
        <f>V275-V278</f>
        <v/>
      </c>
      <c r="W279" s="36">
        <f>W275-W278</f>
        <v/>
      </c>
      <c r="X279" s="36">
        <f>X275-X278</f>
        <v/>
      </c>
      <c r="Y279" s="36">
        <f>Y275-Y278</f>
        <v/>
      </c>
      <c r="Z279" s="36">
        <f>Z275-Z278</f>
        <v/>
      </c>
      <c r="AA279" s="36">
        <f>AA275-AA278</f>
        <v/>
      </c>
      <c r="AB279" s="36">
        <f>AB275-AB278</f>
        <v/>
      </c>
      <c r="AC279" s="36">
        <f>AC275-AC278</f>
        <v/>
      </c>
      <c r="AD279" s="36">
        <f>AD275-AD278</f>
        <v/>
      </c>
      <c r="AE279" s="36">
        <f>AE275-AE278</f>
        <v/>
      </c>
      <c r="AF279" s="36">
        <f>AF275-AF278</f>
        <v/>
      </c>
      <c r="AG279" s="36">
        <f>AG275-AG278</f>
        <v/>
      </c>
      <c r="AH279" s="36">
        <f>AH275-AH278</f>
        <v/>
      </c>
      <c r="AI279" s="36">
        <f>AI275-AI278</f>
        <v/>
      </c>
      <c r="AJ279" s="36">
        <f>AJ275-AJ278</f>
        <v/>
      </c>
      <c r="AK279" s="36">
        <f>AK275-AK278</f>
        <v/>
      </c>
      <c r="AL279" s="36">
        <f>AL275-AL278</f>
        <v/>
      </c>
      <c r="AM279" s="36">
        <f>AM275-AM278</f>
        <v/>
      </c>
      <c r="AN279" s="36">
        <f>AN275-AN278</f>
        <v/>
      </c>
      <c r="AO279" s="36">
        <f>AO275-AO278</f>
        <v/>
      </c>
      <c r="AP279" s="36">
        <f>AP275-AP278</f>
        <v/>
      </c>
      <c r="AQ279" s="36">
        <f>AQ275-AQ278</f>
        <v/>
      </c>
      <c r="AR279" s="36">
        <f>AR275-AR278</f>
        <v/>
      </c>
      <c r="AS279" s="36">
        <f>AS275-AS278</f>
        <v/>
      </c>
      <c r="AT279" s="36">
        <f>AT275-AT278</f>
        <v/>
      </c>
      <c r="AU279" s="36">
        <f>AU275-AU278</f>
        <v/>
      </c>
      <c r="AV279" s="36">
        <f>AV275-AV278</f>
        <v/>
      </c>
      <c r="AW279" s="36">
        <f>AW275-AW278</f>
        <v/>
      </c>
      <c r="AX279" s="36">
        <f>AX275-AX278</f>
        <v/>
      </c>
      <c r="AY279" s="36">
        <f>AY275-AY278</f>
        <v/>
      </c>
      <c r="AZ279" s="36">
        <f>AZ275-AZ278</f>
        <v/>
      </c>
      <c r="BA279" s="36">
        <f>BA275-BA278</f>
        <v/>
      </c>
      <c r="BB279" s="36">
        <f>BB275-BB278</f>
        <v/>
      </c>
      <c r="BC279" s="36">
        <f>BC275-BC278</f>
        <v/>
      </c>
      <c r="BD279" s="36">
        <f>BD275-BD278</f>
        <v/>
      </c>
    </row>
    <row r="280">
      <c r="A280" s="37" t="inlineStr">
        <is>
          <t>Stock carried out</t>
        </is>
      </c>
      <c r="B280" s="2" t="inlineStr">
        <is>
          <t>lb</t>
        </is>
      </c>
      <c r="E280" s="36">
        <f>E267-E273-E279</f>
        <v/>
      </c>
      <c r="F280" s="36">
        <f>F267-F273-F279</f>
        <v/>
      </c>
      <c r="G280" s="36">
        <f>G267-G273-G279</f>
        <v/>
      </c>
      <c r="H280" s="36">
        <f>H267-H273-H279</f>
        <v/>
      </c>
      <c r="I280" s="36">
        <f>I267-I273-I279</f>
        <v/>
      </c>
      <c r="J280" s="36">
        <f>J267-J273-J279</f>
        <v/>
      </c>
      <c r="K280" s="36">
        <f>K267-K273-K279</f>
        <v/>
      </c>
      <c r="L280" s="36">
        <f>L267-L273-L279</f>
        <v/>
      </c>
      <c r="M280" s="36">
        <f>M267-M273-M279</f>
        <v/>
      </c>
      <c r="N280" s="36">
        <f>N267-N273-N279</f>
        <v/>
      </c>
      <c r="O280" s="36">
        <f>O267-O273-O279</f>
        <v/>
      </c>
      <c r="P280" s="36">
        <f>P267-P273-P279</f>
        <v/>
      </c>
      <c r="Q280" s="36">
        <f>Q267-Q273-Q279</f>
        <v/>
      </c>
      <c r="R280" s="36">
        <f>R267-R273-R279</f>
        <v/>
      </c>
      <c r="S280" s="36">
        <f>S267-S273-S279</f>
        <v/>
      </c>
      <c r="T280" s="36">
        <f>T267-T273-T279</f>
        <v/>
      </c>
      <c r="U280" s="36">
        <f>U267-U273-U279</f>
        <v/>
      </c>
      <c r="V280" s="36">
        <f>V267-V273-V279</f>
        <v/>
      </c>
      <c r="W280" s="36">
        <f>W267-W273-W279</f>
        <v/>
      </c>
      <c r="X280" s="36">
        <f>X267-X273-X279</f>
        <v/>
      </c>
      <c r="Y280" s="36">
        <f>Y267-Y273-Y279</f>
        <v/>
      </c>
      <c r="Z280" s="36">
        <f>Z267-Z273-Z279</f>
        <v/>
      </c>
      <c r="AA280" s="36">
        <f>AA267-AA273-AA279</f>
        <v/>
      </c>
      <c r="AB280" s="36">
        <f>AB267-AB273-AB279</f>
        <v/>
      </c>
      <c r="AC280" s="36">
        <f>AC267-AC273-AC279</f>
        <v/>
      </c>
      <c r="AD280" s="36">
        <f>AD267-AD273-AD279</f>
        <v/>
      </c>
      <c r="AE280" s="36">
        <f>AE267-AE273-AE279</f>
        <v/>
      </c>
      <c r="AF280" s="36">
        <f>AF267-AF273-AF279</f>
        <v/>
      </c>
      <c r="AG280" s="36">
        <f>AG267-AG273-AG279</f>
        <v/>
      </c>
      <c r="AH280" s="36">
        <f>AH267-AH273-AH279</f>
        <v/>
      </c>
      <c r="AI280" s="36">
        <f>AI267-AI273-AI279</f>
        <v/>
      </c>
      <c r="AJ280" s="36">
        <f>AJ267-AJ273-AJ279</f>
        <v/>
      </c>
      <c r="AK280" s="36">
        <f>AK267-AK273-AK279</f>
        <v/>
      </c>
      <c r="AL280" s="36">
        <f>AL267-AL273-AL279</f>
        <v/>
      </c>
      <c r="AM280" s="36">
        <f>AM267-AM273-AM279</f>
        <v/>
      </c>
      <c r="AN280" s="36">
        <f>AN267-AN273-AN279</f>
        <v/>
      </c>
      <c r="AO280" s="36">
        <f>AO267-AO273-AO279</f>
        <v/>
      </c>
      <c r="AP280" s="36">
        <f>AP267-AP273-AP279</f>
        <v/>
      </c>
      <c r="AQ280" s="36">
        <f>AQ267-AQ273-AQ279</f>
        <v/>
      </c>
      <c r="AR280" s="36">
        <f>AR267-AR273-AR279</f>
        <v/>
      </c>
      <c r="AS280" s="36">
        <f>AS267-AS273-AS279</f>
        <v/>
      </c>
      <c r="AT280" s="36">
        <f>AT267-AT273-AT279</f>
        <v/>
      </c>
      <c r="AU280" s="36">
        <f>AU267-AU273-AU279</f>
        <v/>
      </c>
      <c r="AV280" s="36">
        <f>AV267-AV273-AV279</f>
        <v/>
      </c>
      <c r="AW280" s="36">
        <f>AW267-AW273-AW279</f>
        <v/>
      </c>
      <c r="AX280" s="36">
        <f>AX267-AX273-AX279</f>
        <v/>
      </c>
      <c r="AY280" s="36">
        <f>AY267-AY273-AY279</f>
        <v/>
      </c>
      <c r="AZ280" s="36">
        <f>AZ267-AZ273-AZ279</f>
        <v/>
      </c>
      <c r="BA280" s="36">
        <f>BA267-BA273-BA279</f>
        <v/>
      </c>
      <c r="BB280" s="36">
        <f>BB267-BB273-BB279</f>
        <v/>
      </c>
      <c r="BC280" s="36">
        <f>BC267-BC273-BC279</f>
        <v/>
      </c>
      <c r="BD280" s="36">
        <f>BD267-BD273-BD279</f>
        <v/>
      </c>
    </row>
    <row r="281">
      <c r="A281" s="2" t="inlineStr">
        <is>
          <t xml:space="preserve">   ^ subtracts what LEAVES, not what was offered — so 'returned to store' is</t>
        </is>
      </c>
    </row>
    <row r="282">
      <c r="A282" s="2" t="inlineStr">
        <is>
          <t xml:space="preserve">     never taken out at all, and shows up as next week's carried in.</t>
        </is>
      </c>
    </row>
    <row r="283">
      <c r="A283" s="39" t="inlineStr">
        <is>
          <t>Most stock its shelf life allows</t>
        </is>
      </c>
      <c r="B283" s="2" t="inlineStr">
        <is>
          <t>lb</t>
        </is>
      </c>
      <c r="E283" s="38">
        <f>SUMPRODUCT(($E$263:$BD$263&gt;=1-$F$14+2)*($E$263:$BD$263&lt;=1)*$E$264:$BD$264*POWER(1-$G$14,($E$263:$BD$263&lt;=1)*(1-$E$263:$BD$263)))</f>
        <v/>
      </c>
      <c r="F283" s="38">
        <f>SUMPRODUCT(($E$263:$BD$263&gt;=2-$F$14+2)*($E$263:$BD$263&lt;=2)*$E$264:$BD$264*POWER(1-$G$14,($E$263:$BD$263&lt;=2)*(2-$E$263:$BD$263)))</f>
        <v/>
      </c>
      <c r="G283" s="38">
        <f>SUMPRODUCT(($E$263:$BD$263&gt;=3-$F$14+2)*($E$263:$BD$263&lt;=3)*$E$264:$BD$264*POWER(1-$G$14,($E$263:$BD$263&lt;=3)*(3-$E$263:$BD$263)))</f>
        <v/>
      </c>
      <c r="H283" s="38">
        <f>SUMPRODUCT(($E$263:$BD$263&gt;=4-$F$14+2)*($E$263:$BD$263&lt;=4)*$E$264:$BD$264*POWER(1-$G$14,($E$263:$BD$263&lt;=4)*(4-$E$263:$BD$263)))</f>
        <v/>
      </c>
      <c r="I283" s="38">
        <f>SUMPRODUCT(($E$263:$BD$263&gt;=5-$F$14+2)*($E$263:$BD$263&lt;=5)*$E$264:$BD$264*POWER(1-$G$14,($E$263:$BD$263&lt;=5)*(5-$E$263:$BD$263)))</f>
        <v/>
      </c>
      <c r="J283" s="38">
        <f>SUMPRODUCT(($E$263:$BD$263&gt;=6-$F$14+2)*($E$263:$BD$263&lt;=6)*$E$264:$BD$264*POWER(1-$G$14,($E$263:$BD$263&lt;=6)*(6-$E$263:$BD$263)))</f>
        <v/>
      </c>
      <c r="K283" s="38">
        <f>SUMPRODUCT(($E$263:$BD$263&gt;=7-$F$14+2)*($E$263:$BD$263&lt;=7)*$E$264:$BD$264*POWER(1-$G$14,($E$263:$BD$263&lt;=7)*(7-$E$263:$BD$263)))</f>
        <v/>
      </c>
      <c r="L283" s="38">
        <f>SUMPRODUCT(($E$263:$BD$263&gt;=8-$F$14+2)*($E$263:$BD$263&lt;=8)*$E$264:$BD$264*POWER(1-$G$14,($E$263:$BD$263&lt;=8)*(8-$E$263:$BD$263)))</f>
        <v/>
      </c>
      <c r="M283" s="38">
        <f>SUMPRODUCT(($E$263:$BD$263&gt;=9-$F$14+2)*($E$263:$BD$263&lt;=9)*$E$264:$BD$264*POWER(1-$G$14,($E$263:$BD$263&lt;=9)*(9-$E$263:$BD$263)))</f>
        <v/>
      </c>
      <c r="N283" s="38">
        <f>SUMPRODUCT(($E$263:$BD$263&gt;=10-$F$14+2)*($E$263:$BD$263&lt;=10)*$E$264:$BD$264*POWER(1-$G$14,($E$263:$BD$263&lt;=10)*(10-$E$263:$BD$263)))</f>
        <v/>
      </c>
      <c r="O283" s="38">
        <f>SUMPRODUCT(($E$263:$BD$263&gt;=11-$F$14+2)*($E$263:$BD$263&lt;=11)*$E$264:$BD$264*POWER(1-$G$14,($E$263:$BD$263&lt;=11)*(11-$E$263:$BD$263)))</f>
        <v/>
      </c>
      <c r="P283" s="38">
        <f>SUMPRODUCT(($E$263:$BD$263&gt;=12-$F$14+2)*($E$263:$BD$263&lt;=12)*$E$264:$BD$264*POWER(1-$G$14,($E$263:$BD$263&lt;=12)*(12-$E$263:$BD$263)))</f>
        <v/>
      </c>
      <c r="Q283" s="38">
        <f>SUMPRODUCT(($E$263:$BD$263&gt;=13-$F$14+2)*($E$263:$BD$263&lt;=13)*$E$264:$BD$264*POWER(1-$G$14,($E$263:$BD$263&lt;=13)*(13-$E$263:$BD$263)))</f>
        <v/>
      </c>
      <c r="R283" s="38">
        <f>SUMPRODUCT(($E$263:$BD$263&gt;=14-$F$14+2)*($E$263:$BD$263&lt;=14)*$E$264:$BD$264*POWER(1-$G$14,($E$263:$BD$263&lt;=14)*(14-$E$263:$BD$263)))</f>
        <v/>
      </c>
      <c r="S283" s="38">
        <f>SUMPRODUCT(($E$263:$BD$263&gt;=15-$F$14+2)*($E$263:$BD$263&lt;=15)*$E$264:$BD$264*POWER(1-$G$14,($E$263:$BD$263&lt;=15)*(15-$E$263:$BD$263)))</f>
        <v/>
      </c>
      <c r="T283" s="38">
        <f>SUMPRODUCT(($E$263:$BD$263&gt;=16-$F$14+2)*($E$263:$BD$263&lt;=16)*$E$264:$BD$264*POWER(1-$G$14,($E$263:$BD$263&lt;=16)*(16-$E$263:$BD$263)))</f>
        <v/>
      </c>
      <c r="U283" s="38">
        <f>SUMPRODUCT(($E$263:$BD$263&gt;=17-$F$14+2)*($E$263:$BD$263&lt;=17)*$E$264:$BD$264*POWER(1-$G$14,($E$263:$BD$263&lt;=17)*(17-$E$263:$BD$263)))</f>
        <v/>
      </c>
      <c r="V283" s="38">
        <f>SUMPRODUCT(($E$263:$BD$263&gt;=18-$F$14+2)*($E$263:$BD$263&lt;=18)*$E$264:$BD$264*POWER(1-$G$14,($E$263:$BD$263&lt;=18)*(18-$E$263:$BD$263)))</f>
        <v/>
      </c>
      <c r="W283" s="38">
        <f>SUMPRODUCT(($E$263:$BD$263&gt;=19-$F$14+2)*($E$263:$BD$263&lt;=19)*$E$264:$BD$264*POWER(1-$G$14,($E$263:$BD$263&lt;=19)*(19-$E$263:$BD$263)))</f>
        <v/>
      </c>
      <c r="X283" s="38">
        <f>SUMPRODUCT(($E$263:$BD$263&gt;=20-$F$14+2)*($E$263:$BD$263&lt;=20)*$E$264:$BD$264*POWER(1-$G$14,($E$263:$BD$263&lt;=20)*(20-$E$263:$BD$263)))</f>
        <v/>
      </c>
      <c r="Y283" s="38">
        <f>SUMPRODUCT(($E$263:$BD$263&gt;=21-$F$14+2)*($E$263:$BD$263&lt;=21)*$E$264:$BD$264*POWER(1-$G$14,($E$263:$BD$263&lt;=21)*(21-$E$263:$BD$263)))</f>
        <v/>
      </c>
      <c r="Z283" s="38">
        <f>SUMPRODUCT(($E$263:$BD$263&gt;=22-$F$14+2)*($E$263:$BD$263&lt;=22)*$E$264:$BD$264*POWER(1-$G$14,($E$263:$BD$263&lt;=22)*(22-$E$263:$BD$263)))</f>
        <v/>
      </c>
      <c r="AA283" s="38">
        <f>SUMPRODUCT(($E$263:$BD$263&gt;=23-$F$14+2)*($E$263:$BD$263&lt;=23)*$E$264:$BD$264*POWER(1-$G$14,($E$263:$BD$263&lt;=23)*(23-$E$263:$BD$263)))</f>
        <v/>
      </c>
      <c r="AB283" s="38">
        <f>SUMPRODUCT(($E$263:$BD$263&gt;=24-$F$14+2)*($E$263:$BD$263&lt;=24)*$E$264:$BD$264*POWER(1-$G$14,($E$263:$BD$263&lt;=24)*(24-$E$263:$BD$263)))</f>
        <v/>
      </c>
      <c r="AC283" s="38">
        <f>SUMPRODUCT(($E$263:$BD$263&gt;=25-$F$14+2)*($E$263:$BD$263&lt;=25)*$E$264:$BD$264*POWER(1-$G$14,($E$263:$BD$263&lt;=25)*(25-$E$263:$BD$263)))</f>
        <v/>
      </c>
      <c r="AD283" s="38">
        <f>SUMPRODUCT(($E$263:$BD$263&gt;=26-$F$14+2)*($E$263:$BD$263&lt;=26)*$E$264:$BD$264*POWER(1-$G$14,($E$263:$BD$263&lt;=26)*(26-$E$263:$BD$263)))</f>
        <v/>
      </c>
      <c r="AE283" s="38">
        <f>SUMPRODUCT(($E$263:$BD$263&gt;=27-$F$14+2)*($E$263:$BD$263&lt;=27)*$E$264:$BD$264*POWER(1-$G$14,($E$263:$BD$263&lt;=27)*(27-$E$263:$BD$263)))</f>
        <v/>
      </c>
      <c r="AF283" s="38">
        <f>SUMPRODUCT(($E$263:$BD$263&gt;=28-$F$14+2)*($E$263:$BD$263&lt;=28)*$E$264:$BD$264*POWER(1-$G$14,($E$263:$BD$263&lt;=28)*(28-$E$263:$BD$263)))</f>
        <v/>
      </c>
      <c r="AG283" s="38">
        <f>SUMPRODUCT(($E$263:$BD$263&gt;=29-$F$14+2)*($E$263:$BD$263&lt;=29)*$E$264:$BD$264*POWER(1-$G$14,($E$263:$BD$263&lt;=29)*(29-$E$263:$BD$263)))</f>
        <v/>
      </c>
      <c r="AH283" s="38">
        <f>SUMPRODUCT(($E$263:$BD$263&gt;=30-$F$14+2)*($E$263:$BD$263&lt;=30)*$E$264:$BD$264*POWER(1-$G$14,($E$263:$BD$263&lt;=30)*(30-$E$263:$BD$263)))</f>
        <v/>
      </c>
      <c r="AI283" s="38">
        <f>SUMPRODUCT(($E$263:$BD$263&gt;=31-$F$14+2)*($E$263:$BD$263&lt;=31)*$E$264:$BD$264*POWER(1-$G$14,($E$263:$BD$263&lt;=31)*(31-$E$263:$BD$263)))</f>
        <v/>
      </c>
      <c r="AJ283" s="38">
        <f>SUMPRODUCT(($E$263:$BD$263&gt;=32-$F$14+2)*($E$263:$BD$263&lt;=32)*$E$264:$BD$264*POWER(1-$G$14,($E$263:$BD$263&lt;=32)*(32-$E$263:$BD$263)))</f>
        <v/>
      </c>
      <c r="AK283" s="38">
        <f>SUMPRODUCT(($E$263:$BD$263&gt;=33-$F$14+2)*($E$263:$BD$263&lt;=33)*$E$264:$BD$264*POWER(1-$G$14,($E$263:$BD$263&lt;=33)*(33-$E$263:$BD$263)))</f>
        <v/>
      </c>
      <c r="AL283" s="38">
        <f>SUMPRODUCT(($E$263:$BD$263&gt;=34-$F$14+2)*($E$263:$BD$263&lt;=34)*$E$264:$BD$264*POWER(1-$G$14,($E$263:$BD$263&lt;=34)*(34-$E$263:$BD$263)))</f>
        <v/>
      </c>
      <c r="AM283" s="38">
        <f>SUMPRODUCT(($E$263:$BD$263&gt;=35-$F$14+2)*($E$263:$BD$263&lt;=35)*$E$264:$BD$264*POWER(1-$G$14,($E$263:$BD$263&lt;=35)*(35-$E$263:$BD$263)))</f>
        <v/>
      </c>
      <c r="AN283" s="38">
        <f>SUMPRODUCT(($E$263:$BD$263&gt;=36-$F$14+2)*($E$263:$BD$263&lt;=36)*$E$264:$BD$264*POWER(1-$G$14,($E$263:$BD$263&lt;=36)*(36-$E$263:$BD$263)))</f>
        <v/>
      </c>
      <c r="AO283" s="38">
        <f>SUMPRODUCT(($E$263:$BD$263&gt;=37-$F$14+2)*($E$263:$BD$263&lt;=37)*$E$264:$BD$264*POWER(1-$G$14,($E$263:$BD$263&lt;=37)*(37-$E$263:$BD$263)))</f>
        <v/>
      </c>
      <c r="AP283" s="38">
        <f>SUMPRODUCT(($E$263:$BD$263&gt;=38-$F$14+2)*($E$263:$BD$263&lt;=38)*$E$264:$BD$264*POWER(1-$G$14,($E$263:$BD$263&lt;=38)*(38-$E$263:$BD$263)))</f>
        <v/>
      </c>
      <c r="AQ283" s="38">
        <f>SUMPRODUCT(($E$263:$BD$263&gt;=39-$F$14+2)*($E$263:$BD$263&lt;=39)*$E$264:$BD$264*POWER(1-$G$14,($E$263:$BD$263&lt;=39)*(39-$E$263:$BD$263)))</f>
        <v/>
      </c>
      <c r="AR283" s="38">
        <f>SUMPRODUCT(($E$263:$BD$263&gt;=40-$F$14+2)*($E$263:$BD$263&lt;=40)*$E$264:$BD$264*POWER(1-$G$14,($E$263:$BD$263&lt;=40)*(40-$E$263:$BD$263)))</f>
        <v/>
      </c>
      <c r="AS283" s="38">
        <f>SUMPRODUCT(($E$263:$BD$263&gt;=41-$F$14+2)*($E$263:$BD$263&lt;=41)*$E$264:$BD$264*POWER(1-$G$14,($E$263:$BD$263&lt;=41)*(41-$E$263:$BD$263)))</f>
        <v/>
      </c>
      <c r="AT283" s="38">
        <f>SUMPRODUCT(($E$263:$BD$263&gt;=42-$F$14+2)*($E$263:$BD$263&lt;=42)*$E$264:$BD$264*POWER(1-$G$14,($E$263:$BD$263&lt;=42)*(42-$E$263:$BD$263)))</f>
        <v/>
      </c>
      <c r="AU283" s="38">
        <f>SUMPRODUCT(($E$263:$BD$263&gt;=43-$F$14+2)*($E$263:$BD$263&lt;=43)*$E$264:$BD$264*POWER(1-$G$14,($E$263:$BD$263&lt;=43)*(43-$E$263:$BD$263)))</f>
        <v/>
      </c>
      <c r="AV283" s="38">
        <f>SUMPRODUCT(($E$263:$BD$263&gt;=44-$F$14+2)*($E$263:$BD$263&lt;=44)*$E$264:$BD$264*POWER(1-$G$14,($E$263:$BD$263&lt;=44)*(44-$E$263:$BD$263)))</f>
        <v/>
      </c>
      <c r="AW283" s="38">
        <f>SUMPRODUCT(($E$263:$BD$263&gt;=45-$F$14+2)*($E$263:$BD$263&lt;=45)*$E$264:$BD$264*POWER(1-$G$14,($E$263:$BD$263&lt;=45)*(45-$E$263:$BD$263)))</f>
        <v/>
      </c>
      <c r="AX283" s="38">
        <f>SUMPRODUCT(($E$263:$BD$263&gt;=46-$F$14+2)*($E$263:$BD$263&lt;=46)*$E$264:$BD$264*POWER(1-$G$14,($E$263:$BD$263&lt;=46)*(46-$E$263:$BD$263)))</f>
        <v/>
      </c>
      <c r="AY283" s="38">
        <f>SUMPRODUCT(($E$263:$BD$263&gt;=47-$F$14+2)*($E$263:$BD$263&lt;=47)*$E$264:$BD$264*POWER(1-$G$14,($E$263:$BD$263&lt;=47)*(47-$E$263:$BD$263)))</f>
        <v/>
      </c>
      <c r="AZ283" s="38">
        <f>SUMPRODUCT(($E$263:$BD$263&gt;=48-$F$14+2)*($E$263:$BD$263&lt;=48)*$E$264:$BD$264*POWER(1-$G$14,($E$263:$BD$263&lt;=48)*(48-$E$263:$BD$263)))</f>
        <v/>
      </c>
      <c r="BA283" s="38">
        <f>SUMPRODUCT(($E$263:$BD$263&gt;=49-$F$14+2)*($E$263:$BD$263&lt;=49)*$E$264:$BD$264*POWER(1-$G$14,($E$263:$BD$263&lt;=49)*(49-$E$263:$BD$263)))</f>
        <v/>
      </c>
      <c r="BB283" s="38">
        <f>SUMPRODUCT(($E$263:$BD$263&gt;=50-$F$14+2)*($E$263:$BD$263&lt;=50)*$E$264:$BD$264*POWER(1-$G$14,($E$263:$BD$263&lt;=50)*(50-$E$263:$BD$263)))</f>
        <v/>
      </c>
      <c r="BC283" s="38">
        <f>SUMPRODUCT(($E$263:$BD$263&gt;=51-$F$14+2)*($E$263:$BD$263&lt;=51)*$E$264:$BD$264*POWER(1-$G$14,($E$263:$BD$263&lt;=51)*(51-$E$263:$BD$263)))</f>
        <v/>
      </c>
      <c r="BD283" s="38">
        <f>SUMPRODUCT(($E$263:$BD$263&gt;=52-$F$14+2)*($E$263:$BD$263&lt;=52)*$E$264:$BD$264*POWER(1-$G$14,($E$263:$BD$263&lt;=52)*(52-$E$263:$BD$263)))</f>
        <v/>
      </c>
    </row>
    <row r="284">
      <c r="A284" s="2" t="inlineStr">
        <is>
          <t xml:space="preserve">   Stock carried out must stay at or below this row.</t>
        </is>
      </c>
    </row>
    <row r="285">
      <c r="A285" s="28" t="inlineStr">
        <is>
          <t>Growing cost this week</t>
        </is>
      </c>
      <c r="B285" s="2" t="inlineStr">
        <is>
          <t>$</t>
        </is>
      </c>
      <c r="E285" s="36">
        <f>SUMPRODUCT(($B$71:$B$138="Garlic")*(E$71:E$138="P")*$C$71:$C$138)*$K$14+SUMPRODUCT(($B$71:$B$138="Garlic")*(E$71:E$138="G")*$C$71:$C$138)*$L$14+SUMPRODUCT(($B$71:$B$138="Garlic")*(E$71:E$138="H")*$C$71:$C$138)*$M$14+SUMPRODUCT(($B$71:$B$138="Garlic")*($BG$71:$BG$138=1)*$C$71:$C$138)*$H$14</f>
        <v/>
      </c>
      <c r="F285" s="36">
        <f>SUMPRODUCT(($B$71:$B$138="Garlic")*(F$71:F$138="P")*$C$71:$C$138)*$K$14+SUMPRODUCT(($B$71:$B$138="Garlic")*(F$71:F$138="G")*$C$71:$C$138)*$L$14+SUMPRODUCT(($B$71:$B$138="Garlic")*(F$71:F$138="H")*$C$71:$C$138)*$M$14+SUMPRODUCT(($B$71:$B$138="Garlic")*($BG$71:$BG$138=2)*$C$71:$C$138)*$H$14</f>
        <v/>
      </c>
      <c r="G285" s="36">
        <f>SUMPRODUCT(($B$71:$B$138="Garlic")*(G$71:G$138="P")*$C$71:$C$138)*$K$14+SUMPRODUCT(($B$71:$B$138="Garlic")*(G$71:G$138="G")*$C$71:$C$138)*$L$14+SUMPRODUCT(($B$71:$B$138="Garlic")*(G$71:G$138="H")*$C$71:$C$138)*$M$14+SUMPRODUCT(($B$71:$B$138="Garlic")*($BG$71:$BG$138=3)*$C$71:$C$138)*$H$14</f>
        <v/>
      </c>
      <c r="H285" s="36">
        <f>SUMPRODUCT(($B$71:$B$138="Garlic")*(H$71:H$138="P")*$C$71:$C$138)*$K$14+SUMPRODUCT(($B$71:$B$138="Garlic")*(H$71:H$138="G")*$C$71:$C$138)*$L$14+SUMPRODUCT(($B$71:$B$138="Garlic")*(H$71:H$138="H")*$C$71:$C$138)*$M$14+SUMPRODUCT(($B$71:$B$138="Garlic")*($BG$71:$BG$138=4)*$C$71:$C$138)*$H$14</f>
        <v/>
      </c>
      <c r="I285" s="36">
        <f>SUMPRODUCT(($B$71:$B$138="Garlic")*(I$71:I$138="P")*$C$71:$C$138)*$K$14+SUMPRODUCT(($B$71:$B$138="Garlic")*(I$71:I$138="G")*$C$71:$C$138)*$L$14+SUMPRODUCT(($B$71:$B$138="Garlic")*(I$71:I$138="H")*$C$71:$C$138)*$M$14+SUMPRODUCT(($B$71:$B$138="Garlic")*($BG$71:$BG$138=5)*$C$71:$C$138)*$H$14</f>
        <v/>
      </c>
      <c r="J285" s="36">
        <f>SUMPRODUCT(($B$71:$B$138="Garlic")*(J$71:J$138="P")*$C$71:$C$138)*$K$14+SUMPRODUCT(($B$71:$B$138="Garlic")*(J$71:J$138="G")*$C$71:$C$138)*$L$14+SUMPRODUCT(($B$71:$B$138="Garlic")*(J$71:J$138="H")*$C$71:$C$138)*$M$14+SUMPRODUCT(($B$71:$B$138="Garlic")*($BG$71:$BG$138=6)*$C$71:$C$138)*$H$14</f>
        <v/>
      </c>
      <c r="K285" s="36">
        <f>SUMPRODUCT(($B$71:$B$138="Garlic")*(K$71:K$138="P")*$C$71:$C$138)*$K$14+SUMPRODUCT(($B$71:$B$138="Garlic")*(K$71:K$138="G")*$C$71:$C$138)*$L$14+SUMPRODUCT(($B$71:$B$138="Garlic")*(K$71:K$138="H")*$C$71:$C$138)*$M$14+SUMPRODUCT(($B$71:$B$138="Garlic")*($BG$71:$BG$138=7)*$C$71:$C$138)*$H$14</f>
        <v/>
      </c>
      <c r="L285" s="36">
        <f>SUMPRODUCT(($B$71:$B$138="Garlic")*(L$71:L$138="P")*$C$71:$C$138)*$K$14+SUMPRODUCT(($B$71:$B$138="Garlic")*(L$71:L$138="G")*$C$71:$C$138)*$L$14+SUMPRODUCT(($B$71:$B$138="Garlic")*(L$71:L$138="H")*$C$71:$C$138)*$M$14+SUMPRODUCT(($B$71:$B$138="Garlic")*($BG$71:$BG$138=8)*$C$71:$C$138)*$H$14</f>
        <v/>
      </c>
      <c r="M285" s="36">
        <f>SUMPRODUCT(($B$71:$B$138="Garlic")*(M$71:M$138="P")*$C$71:$C$138)*$K$14+SUMPRODUCT(($B$71:$B$138="Garlic")*(M$71:M$138="G")*$C$71:$C$138)*$L$14+SUMPRODUCT(($B$71:$B$138="Garlic")*(M$71:M$138="H")*$C$71:$C$138)*$M$14+SUMPRODUCT(($B$71:$B$138="Garlic")*($BG$71:$BG$138=9)*$C$71:$C$138)*$H$14</f>
        <v/>
      </c>
      <c r="N285" s="36">
        <f>SUMPRODUCT(($B$71:$B$138="Garlic")*(N$71:N$138="P")*$C$71:$C$138)*$K$14+SUMPRODUCT(($B$71:$B$138="Garlic")*(N$71:N$138="G")*$C$71:$C$138)*$L$14+SUMPRODUCT(($B$71:$B$138="Garlic")*(N$71:N$138="H")*$C$71:$C$138)*$M$14+SUMPRODUCT(($B$71:$B$138="Garlic")*($BG$71:$BG$138=10)*$C$71:$C$138)*$H$14</f>
        <v/>
      </c>
      <c r="O285" s="36">
        <f>SUMPRODUCT(($B$71:$B$138="Garlic")*(O$71:O$138="P")*$C$71:$C$138)*$K$14+SUMPRODUCT(($B$71:$B$138="Garlic")*(O$71:O$138="G")*$C$71:$C$138)*$L$14+SUMPRODUCT(($B$71:$B$138="Garlic")*(O$71:O$138="H")*$C$71:$C$138)*$M$14+SUMPRODUCT(($B$71:$B$138="Garlic")*($BG$71:$BG$138=11)*$C$71:$C$138)*$H$14</f>
        <v/>
      </c>
      <c r="P285" s="36">
        <f>SUMPRODUCT(($B$71:$B$138="Garlic")*(P$71:P$138="P")*$C$71:$C$138)*$K$14+SUMPRODUCT(($B$71:$B$138="Garlic")*(P$71:P$138="G")*$C$71:$C$138)*$L$14+SUMPRODUCT(($B$71:$B$138="Garlic")*(P$71:P$138="H")*$C$71:$C$138)*$M$14+SUMPRODUCT(($B$71:$B$138="Garlic")*($BG$71:$BG$138=12)*$C$71:$C$138)*$H$14</f>
        <v/>
      </c>
      <c r="Q285" s="36">
        <f>SUMPRODUCT(($B$71:$B$138="Garlic")*(Q$71:Q$138="P")*$C$71:$C$138)*$K$14+SUMPRODUCT(($B$71:$B$138="Garlic")*(Q$71:Q$138="G")*$C$71:$C$138)*$L$14+SUMPRODUCT(($B$71:$B$138="Garlic")*(Q$71:Q$138="H")*$C$71:$C$138)*$M$14+SUMPRODUCT(($B$71:$B$138="Garlic")*($BG$71:$BG$138=13)*$C$71:$C$138)*$H$14</f>
        <v/>
      </c>
      <c r="R285" s="36">
        <f>SUMPRODUCT(($B$71:$B$138="Garlic")*(R$71:R$138="P")*$C$71:$C$138)*$K$14+SUMPRODUCT(($B$71:$B$138="Garlic")*(R$71:R$138="G")*$C$71:$C$138)*$L$14+SUMPRODUCT(($B$71:$B$138="Garlic")*(R$71:R$138="H")*$C$71:$C$138)*$M$14+SUMPRODUCT(($B$71:$B$138="Garlic")*($BG$71:$BG$138=14)*$C$71:$C$138)*$H$14</f>
        <v/>
      </c>
      <c r="S285" s="36">
        <f>SUMPRODUCT(($B$71:$B$138="Garlic")*(S$71:S$138="P")*$C$71:$C$138)*$K$14+SUMPRODUCT(($B$71:$B$138="Garlic")*(S$71:S$138="G")*$C$71:$C$138)*$L$14+SUMPRODUCT(($B$71:$B$138="Garlic")*(S$71:S$138="H")*$C$71:$C$138)*$M$14+SUMPRODUCT(($B$71:$B$138="Garlic")*($BG$71:$BG$138=15)*$C$71:$C$138)*$H$14</f>
        <v/>
      </c>
      <c r="T285" s="36">
        <f>SUMPRODUCT(($B$71:$B$138="Garlic")*(T$71:T$138="P")*$C$71:$C$138)*$K$14+SUMPRODUCT(($B$71:$B$138="Garlic")*(T$71:T$138="G")*$C$71:$C$138)*$L$14+SUMPRODUCT(($B$71:$B$138="Garlic")*(T$71:T$138="H")*$C$71:$C$138)*$M$14+SUMPRODUCT(($B$71:$B$138="Garlic")*($BG$71:$BG$138=16)*$C$71:$C$138)*$H$14</f>
        <v/>
      </c>
      <c r="U285" s="36">
        <f>SUMPRODUCT(($B$71:$B$138="Garlic")*(U$71:U$138="P")*$C$71:$C$138)*$K$14+SUMPRODUCT(($B$71:$B$138="Garlic")*(U$71:U$138="G")*$C$71:$C$138)*$L$14+SUMPRODUCT(($B$71:$B$138="Garlic")*(U$71:U$138="H")*$C$71:$C$138)*$M$14+SUMPRODUCT(($B$71:$B$138="Garlic")*($BG$71:$BG$138=17)*$C$71:$C$138)*$H$14</f>
        <v/>
      </c>
      <c r="V285" s="36">
        <f>SUMPRODUCT(($B$71:$B$138="Garlic")*(V$71:V$138="P")*$C$71:$C$138)*$K$14+SUMPRODUCT(($B$71:$B$138="Garlic")*(V$71:V$138="G")*$C$71:$C$138)*$L$14+SUMPRODUCT(($B$71:$B$138="Garlic")*(V$71:V$138="H")*$C$71:$C$138)*$M$14+SUMPRODUCT(($B$71:$B$138="Garlic")*($BG$71:$BG$138=18)*$C$71:$C$138)*$H$14</f>
        <v/>
      </c>
      <c r="W285" s="36">
        <f>SUMPRODUCT(($B$71:$B$138="Garlic")*(W$71:W$138="P")*$C$71:$C$138)*$K$14+SUMPRODUCT(($B$71:$B$138="Garlic")*(W$71:W$138="G")*$C$71:$C$138)*$L$14+SUMPRODUCT(($B$71:$B$138="Garlic")*(W$71:W$138="H")*$C$71:$C$138)*$M$14+SUMPRODUCT(($B$71:$B$138="Garlic")*($BG$71:$BG$138=19)*$C$71:$C$138)*$H$14</f>
        <v/>
      </c>
      <c r="X285" s="36">
        <f>SUMPRODUCT(($B$71:$B$138="Garlic")*(X$71:X$138="P")*$C$71:$C$138)*$K$14+SUMPRODUCT(($B$71:$B$138="Garlic")*(X$71:X$138="G")*$C$71:$C$138)*$L$14+SUMPRODUCT(($B$71:$B$138="Garlic")*(X$71:X$138="H")*$C$71:$C$138)*$M$14+SUMPRODUCT(($B$71:$B$138="Garlic")*($BG$71:$BG$138=20)*$C$71:$C$138)*$H$14</f>
        <v/>
      </c>
      <c r="Y285" s="36">
        <f>SUMPRODUCT(($B$71:$B$138="Garlic")*(Y$71:Y$138="P")*$C$71:$C$138)*$K$14+SUMPRODUCT(($B$71:$B$138="Garlic")*(Y$71:Y$138="G")*$C$71:$C$138)*$L$14+SUMPRODUCT(($B$71:$B$138="Garlic")*(Y$71:Y$138="H")*$C$71:$C$138)*$M$14+SUMPRODUCT(($B$71:$B$138="Garlic")*($BG$71:$BG$138=21)*$C$71:$C$138)*$H$14</f>
        <v/>
      </c>
      <c r="Z285" s="36">
        <f>SUMPRODUCT(($B$71:$B$138="Garlic")*(Z$71:Z$138="P")*$C$71:$C$138)*$K$14+SUMPRODUCT(($B$71:$B$138="Garlic")*(Z$71:Z$138="G")*$C$71:$C$138)*$L$14+SUMPRODUCT(($B$71:$B$138="Garlic")*(Z$71:Z$138="H")*$C$71:$C$138)*$M$14+SUMPRODUCT(($B$71:$B$138="Garlic")*($BG$71:$BG$138=22)*$C$71:$C$138)*$H$14</f>
        <v/>
      </c>
      <c r="AA285" s="36">
        <f>SUMPRODUCT(($B$71:$B$138="Garlic")*(AA$71:AA$138="P")*$C$71:$C$138)*$K$14+SUMPRODUCT(($B$71:$B$138="Garlic")*(AA$71:AA$138="G")*$C$71:$C$138)*$L$14+SUMPRODUCT(($B$71:$B$138="Garlic")*(AA$71:AA$138="H")*$C$71:$C$138)*$M$14+SUMPRODUCT(($B$71:$B$138="Garlic")*($BG$71:$BG$138=23)*$C$71:$C$138)*$H$14</f>
        <v/>
      </c>
      <c r="AB285" s="36">
        <f>SUMPRODUCT(($B$71:$B$138="Garlic")*(AB$71:AB$138="P")*$C$71:$C$138)*$K$14+SUMPRODUCT(($B$71:$B$138="Garlic")*(AB$71:AB$138="G")*$C$71:$C$138)*$L$14+SUMPRODUCT(($B$71:$B$138="Garlic")*(AB$71:AB$138="H")*$C$71:$C$138)*$M$14+SUMPRODUCT(($B$71:$B$138="Garlic")*($BG$71:$BG$138=24)*$C$71:$C$138)*$H$14</f>
        <v/>
      </c>
      <c r="AC285" s="36">
        <f>SUMPRODUCT(($B$71:$B$138="Garlic")*(AC$71:AC$138="P")*$C$71:$C$138)*$K$14+SUMPRODUCT(($B$71:$B$138="Garlic")*(AC$71:AC$138="G")*$C$71:$C$138)*$L$14+SUMPRODUCT(($B$71:$B$138="Garlic")*(AC$71:AC$138="H")*$C$71:$C$138)*$M$14+SUMPRODUCT(($B$71:$B$138="Garlic")*($BG$71:$BG$138=25)*$C$71:$C$138)*$H$14</f>
        <v/>
      </c>
      <c r="AD285" s="36">
        <f>SUMPRODUCT(($B$71:$B$138="Garlic")*(AD$71:AD$138="P")*$C$71:$C$138)*$K$14+SUMPRODUCT(($B$71:$B$138="Garlic")*(AD$71:AD$138="G")*$C$71:$C$138)*$L$14+SUMPRODUCT(($B$71:$B$138="Garlic")*(AD$71:AD$138="H")*$C$71:$C$138)*$M$14+SUMPRODUCT(($B$71:$B$138="Garlic")*($BG$71:$BG$138=26)*$C$71:$C$138)*$H$14</f>
        <v/>
      </c>
      <c r="AE285" s="36">
        <f>SUMPRODUCT(($B$71:$B$138="Garlic")*(AE$71:AE$138="P")*$C$71:$C$138)*$K$14+SUMPRODUCT(($B$71:$B$138="Garlic")*(AE$71:AE$138="G")*$C$71:$C$138)*$L$14+SUMPRODUCT(($B$71:$B$138="Garlic")*(AE$71:AE$138="H")*$C$71:$C$138)*$M$14+SUMPRODUCT(($B$71:$B$138="Garlic")*($BG$71:$BG$138=27)*$C$71:$C$138)*$H$14</f>
        <v/>
      </c>
      <c r="AF285" s="36">
        <f>SUMPRODUCT(($B$71:$B$138="Garlic")*(AF$71:AF$138="P")*$C$71:$C$138)*$K$14+SUMPRODUCT(($B$71:$B$138="Garlic")*(AF$71:AF$138="G")*$C$71:$C$138)*$L$14+SUMPRODUCT(($B$71:$B$138="Garlic")*(AF$71:AF$138="H")*$C$71:$C$138)*$M$14+SUMPRODUCT(($B$71:$B$138="Garlic")*($BG$71:$BG$138=28)*$C$71:$C$138)*$H$14</f>
        <v/>
      </c>
      <c r="AG285" s="36">
        <f>SUMPRODUCT(($B$71:$B$138="Garlic")*(AG$71:AG$138="P")*$C$71:$C$138)*$K$14+SUMPRODUCT(($B$71:$B$138="Garlic")*(AG$71:AG$138="G")*$C$71:$C$138)*$L$14+SUMPRODUCT(($B$71:$B$138="Garlic")*(AG$71:AG$138="H")*$C$71:$C$138)*$M$14+SUMPRODUCT(($B$71:$B$138="Garlic")*($BG$71:$BG$138=29)*$C$71:$C$138)*$H$14</f>
        <v/>
      </c>
      <c r="AH285" s="36">
        <f>SUMPRODUCT(($B$71:$B$138="Garlic")*(AH$71:AH$138="P")*$C$71:$C$138)*$K$14+SUMPRODUCT(($B$71:$B$138="Garlic")*(AH$71:AH$138="G")*$C$71:$C$138)*$L$14+SUMPRODUCT(($B$71:$B$138="Garlic")*(AH$71:AH$138="H")*$C$71:$C$138)*$M$14+SUMPRODUCT(($B$71:$B$138="Garlic")*($BG$71:$BG$138=30)*$C$71:$C$138)*$H$14</f>
        <v/>
      </c>
      <c r="AI285" s="36">
        <f>SUMPRODUCT(($B$71:$B$138="Garlic")*(AI$71:AI$138="P")*$C$71:$C$138)*$K$14+SUMPRODUCT(($B$71:$B$138="Garlic")*(AI$71:AI$138="G")*$C$71:$C$138)*$L$14+SUMPRODUCT(($B$71:$B$138="Garlic")*(AI$71:AI$138="H")*$C$71:$C$138)*$M$14+SUMPRODUCT(($B$71:$B$138="Garlic")*($BG$71:$BG$138=31)*$C$71:$C$138)*$H$14</f>
        <v/>
      </c>
      <c r="AJ285" s="36">
        <f>SUMPRODUCT(($B$71:$B$138="Garlic")*(AJ$71:AJ$138="P")*$C$71:$C$138)*$K$14+SUMPRODUCT(($B$71:$B$138="Garlic")*(AJ$71:AJ$138="G")*$C$71:$C$138)*$L$14+SUMPRODUCT(($B$71:$B$138="Garlic")*(AJ$71:AJ$138="H")*$C$71:$C$138)*$M$14+SUMPRODUCT(($B$71:$B$138="Garlic")*($BG$71:$BG$138=32)*$C$71:$C$138)*$H$14</f>
        <v/>
      </c>
      <c r="AK285" s="36">
        <f>SUMPRODUCT(($B$71:$B$138="Garlic")*(AK$71:AK$138="P")*$C$71:$C$138)*$K$14+SUMPRODUCT(($B$71:$B$138="Garlic")*(AK$71:AK$138="G")*$C$71:$C$138)*$L$14+SUMPRODUCT(($B$71:$B$138="Garlic")*(AK$71:AK$138="H")*$C$71:$C$138)*$M$14+SUMPRODUCT(($B$71:$B$138="Garlic")*($BG$71:$BG$138=33)*$C$71:$C$138)*$H$14</f>
        <v/>
      </c>
      <c r="AL285" s="36">
        <f>SUMPRODUCT(($B$71:$B$138="Garlic")*(AL$71:AL$138="P")*$C$71:$C$138)*$K$14+SUMPRODUCT(($B$71:$B$138="Garlic")*(AL$71:AL$138="G")*$C$71:$C$138)*$L$14+SUMPRODUCT(($B$71:$B$138="Garlic")*(AL$71:AL$138="H")*$C$71:$C$138)*$M$14+SUMPRODUCT(($B$71:$B$138="Garlic")*($BG$71:$BG$138=34)*$C$71:$C$138)*$H$14</f>
        <v/>
      </c>
      <c r="AM285" s="36">
        <f>SUMPRODUCT(($B$71:$B$138="Garlic")*(AM$71:AM$138="P")*$C$71:$C$138)*$K$14+SUMPRODUCT(($B$71:$B$138="Garlic")*(AM$71:AM$138="G")*$C$71:$C$138)*$L$14+SUMPRODUCT(($B$71:$B$138="Garlic")*(AM$71:AM$138="H")*$C$71:$C$138)*$M$14+SUMPRODUCT(($B$71:$B$138="Garlic")*($BG$71:$BG$138=35)*$C$71:$C$138)*$H$14</f>
        <v/>
      </c>
      <c r="AN285" s="36">
        <f>SUMPRODUCT(($B$71:$B$138="Garlic")*(AN$71:AN$138="P")*$C$71:$C$138)*$K$14+SUMPRODUCT(($B$71:$B$138="Garlic")*(AN$71:AN$138="G")*$C$71:$C$138)*$L$14+SUMPRODUCT(($B$71:$B$138="Garlic")*(AN$71:AN$138="H")*$C$71:$C$138)*$M$14+SUMPRODUCT(($B$71:$B$138="Garlic")*($BG$71:$BG$138=36)*$C$71:$C$138)*$H$14</f>
        <v/>
      </c>
      <c r="AO285" s="36">
        <f>SUMPRODUCT(($B$71:$B$138="Garlic")*(AO$71:AO$138="P")*$C$71:$C$138)*$K$14+SUMPRODUCT(($B$71:$B$138="Garlic")*(AO$71:AO$138="G")*$C$71:$C$138)*$L$14+SUMPRODUCT(($B$71:$B$138="Garlic")*(AO$71:AO$138="H")*$C$71:$C$138)*$M$14+SUMPRODUCT(($B$71:$B$138="Garlic")*($BG$71:$BG$138=37)*$C$71:$C$138)*$H$14</f>
        <v/>
      </c>
      <c r="AP285" s="36">
        <f>SUMPRODUCT(($B$71:$B$138="Garlic")*(AP$71:AP$138="P")*$C$71:$C$138)*$K$14+SUMPRODUCT(($B$71:$B$138="Garlic")*(AP$71:AP$138="G")*$C$71:$C$138)*$L$14+SUMPRODUCT(($B$71:$B$138="Garlic")*(AP$71:AP$138="H")*$C$71:$C$138)*$M$14+SUMPRODUCT(($B$71:$B$138="Garlic")*($BG$71:$BG$138=38)*$C$71:$C$138)*$H$14</f>
        <v/>
      </c>
      <c r="AQ285" s="36">
        <f>SUMPRODUCT(($B$71:$B$138="Garlic")*(AQ$71:AQ$138="P")*$C$71:$C$138)*$K$14+SUMPRODUCT(($B$71:$B$138="Garlic")*(AQ$71:AQ$138="G")*$C$71:$C$138)*$L$14+SUMPRODUCT(($B$71:$B$138="Garlic")*(AQ$71:AQ$138="H")*$C$71:$C$138)*$M$14+SUMPRODUCT(($B$71:$B$138="Garlic")*($BG$71:$BG$138=39)*$C$71:$C$138)*$H$14</f>
        <v/>
      </c>
      <c r="AR285" s="36">
        <f>SUMPRODUCT(($B$71:$B$138="Garlic")*(AR$71:AR$138="P")*$C$71:$C$138)*$K$14+SUMPRODUCT(($B$71:$B$138="Garlic")*(AR$71:AR$138="G")*$C$71:$C$138)*$L$14+SUMPRODUCT(($B$71:$B$138="Garlic")*(AR$71:AR$138="H")*$C$71:$C$138)*$M$14+SUMPRODUCT(($B$71:$B$138="Garlic")*($BG$71:$BG$138=40)*$C$71:$C$138)*$H$14</f>
        <v/>
      </c>
      <c r="AS285" s="36">
        <f>SUMPRODUCT(($B$71:$B$138="Garlic")*(AS$71:AS$138="P")*$C$71:$C$138)*$K$14+SUMPRODUCT(($B$71:$B$138="Garlic")*(AS$71:AS$138="G")*$C$71:$C$138)*$L$14+SUMPRODUCT(($B$71:$B$138="Garlic")*(AS$71:AS$138="H")*$C$71:$C$138)*$M$14+SUMPRODUCT(($B$71:$B$138="Garlic")*($BG$71:$BG$138=41)*$C$71:$C$138)*$H$14</f>
        <v/>
      </c>
      <c r="AT285" s="36">
        <f>SUMPRODUCT(($B$71:$B$138="Garlic")*(AT$71:AT$138="P")*$C$71:$C$138)*$K$14+SUMPRODUCT(($B$71:$B$138="Garlic")*(AT$71:AT$138="G")*$C$71:$C$138)*$L$14+SUMPRODUCT(($B$71:$B$138="Garlic")*(AT$71:AT$138="H")*$C$71:$C$138)*$M$14+SUMPRODUCT(($B$71:$B$138="Garlic")*($BG$71:$BG$138=42)*$C$71:$C$138)*$H$14</f>
        <v/>
      </c>
      <c r="AU285" s="36">
        <f>SUMPRODUCT(($B$71:$B$138="Garlic")*(AU$71:AU$138="P")*$C$71:$C$138)*$K$14+SUMPRODUCT(($B$71:$B$138="Garlic")*(AU$71:AU$138="G")*$C$71:$C$138)*$L$14+SUMPRODUCT(($B$71:$B$138="Garlic")*(AU$71:AU$138="H")*$C$71:$C$138)*$M$14+SUMPRODUCT(($B$71:$B$138="Garlic")*($BG$71:$BG$138=43)*$C$71:$C$138)*$H$14</f>
        <v/>
      </c>
      <c r="AV285" s="36">
        <f>SUMPRODUCT(($B$71:$B$138="Garlic")*(AV$71:AV$138="P")*$C$71:$C$138)*$K$14+SUMPRODUCT(($B$71:$B$138="Garlic")*(AV$71:AV$138="G")*$C$71:$C$138)*$L$14+SUMPRODUCT(($B$71:$B$138="Garlic")*(AV$71:AV$138="H")*$C$71:$C$138)*$M$14+SUMPRODUCT(($B$71:$B$138="Garlic")*($BG$71:$BG$138=44)*$C$71:$C$138)*$H$14</f>
        <v/>
      </c>
      <c r="AW285" s="36">
        <f>SUMPRODUCT(($B$71:$B$138="Garlic")*(AW$71:AW$138="P")*$C$71:$C$138)*$K$14+SUMPRODUCT(($B$71:$B$138="Garlic")*(AW$71:AW$138="G")*$C$71:$C$138)*$L$14+SUMPRODUCT(($B$71:$B$138="Garlic")*(AW$71:AW$138="H")*$C$71:$C$138)*$M$14+SUMPRODUCT(($B$71:$B$138="Garlic")*($BG$71:$BG$138=45)*$C$71:$C$138)*$H$14</f>
        <v/>
      </c>
      <c r="AX285" s="36">
        <f>SUMPRODUCT(($B$71:$B$138="Garlic")*(AX$71:AX$138="P")*$C$71:$C$138)*$K$14+SUMPRODUCT(($B$71:$B$138="Garlic")*(AX$71:AX$138="G")*$C$71:$C$138)*$L$14+SUMPRODUCT(($B$71:$B$138="Garlic")*(AX$71:AX$138="H")*$C$71:$C$138)*$M$14+SUMPRODUCT(($B$71:$B$138="Garlic")*($BG$71:$BG$138=46)*$C$71:$C$138)*$H$14</f>
        <v/>
      </c>
      <c r="AY285" s="36">
        <f>SUMPRODUCT(($B$71:$B$138="Garlic")*(AY$71:AY$138="P")*$C$71:$C$138)*$K$14+SUMPRODUCT(($B$71:$B$138="Garlic")*(AY$71:AY$138="G")*$C$71:$C$138)*$L$14+SUMPRODUCT(($B$71:$B$138="Garlic")*(AY$71:AY$138="H")*$C$71:$C$138)*$M$14+SUMPRODUCT(($B$71:$B$138="Garlic")*($BG$71:$BG$138=47)*$C$71:$C$138)*$H$14</f>
        <v/>
      </c>
      <c r="AZ285" s="36">
        <f>SUMPRODUCT(($B$71:$B$138="Garlic")*(AZ$71:AZ$138="P")*$C$71:$C$138)*$K$14+SUMPRODUCT(($B$71:$B$138="Garlic")*(AZ$71:AZ$138="G")*$C$71:$C$138)*$L$14+SUMPRODUCT(($B$71:$B$138="Garlic")*(AZ$71:AZ$138="H")*$C$71:$C$138)*$M$14+SUMPRODUCT(($B$71:$B$138="Garlic")*($BG$71:$BG$138=48)*$C$71:$C$138)*$H$14</f>
        <v/>
      </c>
      <c r="BA285" s="36">
        <f>SUMPRODUCT(($B$71:$B$138="Garlic")*(BA$71:BA$138="P")*$C$71:$C$138)*$K$14+SUMPRODUCT(($B$71:$B$138="Garlic")*(BA$71:BA$138="G")*$C$71:$C$138)*$L$14+SUMPRODUCT(($B$71:$B$138="Garlic")*(BA$71:BA$138="H")*$C$71:$C$138)*$M$14+SUMPRODUCT(($B$71:$B$138="Garlic")*($BG$71:$BG$138=49)*$C$71:$C$138)*$H$14</f>
        <v/>
      </c>
      <c r="BB285" s="36">
        <f>SUMPRODUCT(($B$71:$B$138="Garlic")*(BB$71:BB$138="P")*$C$71:$C$138)*$K$14+SUMPRODUCT(($B$71:$B$138="Garlic")*(BB$71:BB$138="G")*$C$71:$C$138)*$L$14+SUMPRODUCT(($B$71:$B$138="Garlic")*(BB$71:BB$138="H")*$C$71:$C$138)*$M$14+SUMPRODUCT(($B$71:$B$138="Garlic")*($BG$71:$BG$138=50)*$C$71:$C$138)*$H$14</f>
        <v/>
      </c>
      <c r="BC285" s="36">
        <f>SUMPRODUCT(($B$71:$B$138="Garlic")*(BC$71:BC$138="P")*$C$71:$C$138)*$K$14+SUMPRODUCT(($B$71:$B$138="Garlic")*(BC$71:BC$138="G")*$C$71:$C$138)*$L$14+SUMPRODUCT(($B$71:$B$138="Garlic")*(BC$71:BC$138="H")*$C$71:$C$138)*$M$14+SUMPRODUCT(($B$71:$B$138="Garlic")*($BG$71:$BG$138=51)*$C$71:$C$138)*$H$14</f>
        <v/>
      </c>
      <c r="BD285" s="36">
        <f>SUMPRODUCT(($B$71:$B$138="Garlic")*(BD$71:BD$138="P")*$C$71:$C$138)*$K$14+SUMPRODUCT(($B$71:$B$138="Garlic")*(BD$71:BD$138="G")*$C$71:$C$138)*$L$14+SUMPRODUCT(($B$71:$B$138="Garlic")*(BD$71:BD$138="H")*$C$71:$C$138)*$M$14+SUMPRODUCT(($B$71:$B$138="Garlic")*($BG$71:$BG$138=52)*$C$71:$C$138)*$H$14</f>
        <v/>
      </c>
    </row>
    <row r="286">
      <c r="A286" s="28" t="inlineStr">
        <is>
          <t>Packaging this week</t>
        </is>
      </c>
      <c r="B286" s="2" t="inlineStr">
        <is>
          <t>$</t>
        </is>
      </c>
      <c r="E286" s="36">
        <f>E270*$J$23+E276*$J$24</f>
        <v/>
      </c>
      <c r="F286" s="36">
        <f>F270*$J$23+F276*$J$24</f>
        <v/>
      </c>
      <c r="G286" s="36">
        <f>G270*$J$23+G276*$J$24</f>
        <v/>
      </c>
      <c r="H286" s="36">
        <f>H270*$J$23+H276*$J$24</f>
        <v/>
      </c>
      <c r="I286" s="36">
        <f>I270*$J$23+I276*$J$24</f>
        <v/>
      </c>
      <c r="J286" s="36">
        <f>J270*$J$23+J276*$J$24</f>
        <v/>
      </c>
      <c r="K286" s="36">
        <f>K270*$J$23+K276*$J$24</f>
        <v/>
      </c>
      <c r="L286" s="36">
        <f>L270*$J$23+L276*$J$24</f>
        <v/>
      </c>
      <c r="M286" s="36">
        <f>M270*$J$23+M276*$J$24</f>
        <v/>
      </c>
      <c r="N286" s="36">
        <f>N270*$J$23+N276*$J$24</f>
        <v/>
      </c>
      <c r="O286" s="36">
        <f>O270*$J$23+O276*$J$24</f>
        <v/>
      </c>
      <c r="P286" s="36">
        <f>P270*$J$23+P276*$J$24</f>
        <v/>
      </c>
      <c r="Q286" s="36">
        <f>Q270*$J$23+Q276*$J$24</f>
        <v/>
      </c>
      <c r="R286" s="36">
        <f>R270*$J$23+R276*$J$24</f>
        <v/>
      </c>
      <c r="S286" s="36">
        <f>S270*$J$23+S276*$J$24</f>
        <v/>
      </c>
      <c r="T286" s="36">
        <f>T270*$J$23+T276*$J$24</f>
        <v/>
      </c>
      <c r="U286" s="36">
        <f>U270*$J$23+U276*$J$24</f>
        <v/>
      </c>
      <c r="V286" s="36">
        <f>V270*$J$23+V276*$J$24</f>
        <v/>
      </c>
      <c r="W286" s="36">
        <f>W270*$J$23+W276*$J$24</f>
        <v/>
      </c>
      <c r="X286" s="36">
        <f>X270*$J$23+X276*$J$24</f>
        <v/>
      </c>
      <c r="Y286" s="36">
        <f>Y270*$J$23+Y276*$J$24</f>
        <v/>
      </c>
      <c r="Z286" s="36">
        <f>Z270*$J$23+Z276*$J$24</f>
        <v/>
      </c>
      <c r="AA286" s="36">
        <f>AA270*$J$23+AA276*$J$24</f>
        <v/>
      </c>
      <c r="AB286" s="36">
        <f>AB270*$J$23+AB276*$J$24</f>
        <v/>
      </c>
      <c r="AC286" s="36">
        <f>AC270*$J$23+AC276*$J$24</f>
        <v/>
      </c>
      <c r="AD286" s="36">
        <f>AD270*$J$23+AD276*$J$24</f>
        <v/>
      </c>
      <c r="AE286" s="36">
        <f>AE270*$J$23+AE276*$J$24</f>
        <v/>
      </c>
      <c r="AF286" s="36">
        <f>AF270*$J$23+AF276*$J$24</f>
        <v/>
      </c>
      <c r="AG286" s="36">
        <f>AG270*$J$23+AG276*$J$24</f>
        <v/>
      </c>
      <c r="AH286" s="36">
        <f>AH270*$J$23+AH276*$J$24</f>
        <v/>
      </c>
      <c r="AI286" s="36">
        <f>AI270*$J$23+AI276*$J$24</f>
        <v/>
      </c>
      <c r="AJ286" s="36">
        <f>AJ270*$J$23+AJ276*$J$24</f>
        <v/>
      </c>
      <c r="AK286" s="36">
        <f>AK270*$J$23+AK276*$J$24</f>
        <v/>
      </c>
      <c r="AL286" s="36">
        <f>AL270*$J$23+AL276*$J$24</f>
        <v/>
      </c>
      <c r="AM286" s="36">
        <f>AM270*$J$23+AM276*$J$24</f>
        <v/>
      </c>
      <c r="AN286" s="36">
        <f>AN270*$J$23+AN276*$J$24</f>
        <v/>
      </c>
      <c r="AO286" s="36">
        <f>AO270*$J$23+AO276*$J$24</f>
        <v/>
      </c>
      <c r="AP286" s="36">
        <f>AP270*$J$23+AP276*$J$24</f>
        <v/>
      </c>
      <c r="AQ286" s="36">
        <f>AQ270*$J$23+AQ276*$J$24</f>
        <v/>
      </c>
      <c r="AR286" s="36">
        <f>AR270*$J$23+AR276*$J$24</f>
        <v/>
      </c>
      <c r="AS286" s="36">
        <f>AS270*$J$23+AS276*$J$24</f>
        <v/>
      </c>
      <c r="AT286" s="36">
        <f>AT270*$J$23+AT276*$J$24</f>
        <v/>
      </c>
      <c r="AU286" s="36">
        <f>AU270*$J$23+AU276*$J$24</f>
        <v/>
      </c>
      <c r="AV286" s="36">
        <f>AV270*$J$23+AV276*$J$24</f>
        <v/>
      </c>
      <c r="AW286" s="36">
        <f>AW270*$J$23+AW276*$J$24</f>
        <v/>
      </c>
      <c r="AX286" s="36">
        <f>AX270*$J$23+AX276*$J$24</f>
        <v/>
      </c>
      <c r="AY286" s="36">
        <f>AY270*$J$23+AY276*$J$24</f>
        <v/>
      </c>
      <c r="AZ286" s="36">
        <f>AZ270*$J$23+AZ276*$J$24</f>
        <v/>
      </c>
      <c r="BA286" s="36">
        <f>BA270*$J$23+BA276*$J$24</f>
        <v/>
      </c>
      <c r="BB286" s="36">
        <f>BB270*$J$23+BB276*$J$24</f>
        <v/>
      </c>
      <c r="BC286" s="36">
        <f>BC270*$J$23+BC276*$J$24</f>
        <v/>
      </c>
      <c r="BD286" s="36">
        <f>BD270*$J$23+BD276*$J$24</f>
        <v/>
      </c>
    </row>
    <row r="287">
      <c r="A287" s="4" t="inlineStr">
        <is>
          <t>ROOM OCCUPANCY</t>
        </is>
      </c>
      <c r="B287" s="2" t="inlineStr">
        <is>
          <t>m3</t>
        </is>
      </c>
      <c r="E287" s="55">
        <f>(E265+E264)*$D$14</f>
        <v/>
      </c>
      <c r="F287" s="55">
        <f>(F265+F264)*$D$14</f>
        <v/>
      </c>
      <c r="G287" s="55">
        <f>(G265+G264)*$D$14</f>
        <v/>
      </c>
      <c r="H287" s="55">
        <f>(H265+H264)*$D$14</f>
        <v/>
      </c>
      <c r="I287" s="55">
        <f>(I265+I264)*$D$14</f>
        <v/>
      </c>
      <c r="J287" s="55">
        <f>(J265+J264)*$D$14</f>
        <v/>
      </c>
      <c r="K287" s="55">
        <f>(K265+K264)*$D$14</f>
        <v/>
      </c>
      <c r="L287" s="55">
        <f>(L265+L264)*$D$14</f>
        <v/>
      </c>
      <c r="M287" s="55">
        <f>(M265+M264)*$D$14</f>
        <v/>
      </c>
      <c r="N287" s="55">
        <f>(N265+N264)*$D$14</f>
        <v/>
      </c>
      <c r="O287" s="55">
        <f>(O265+O264)*$D$14</f>
        <v/>
      </c>
      <c r="P287" s="55">
        <f>(P265+P264)*$D$14</f>
        <v/>
      </c>
      <c r="Q287" s="55">
        <f>(Q265+Q264)*$D$14</f>
        <v/>
      </c>
      <c r="R287" s="55">
        <f>(R265+R264)*$D$14</f>
        <v/>
      </c>
      <c r="S287" s="55">
        <f>(S265+S264)*$D$14</f>
        <v/>
      </c>
      <c r="T287" s="55">
        <f>(T265+T264)*$D$14</f>
        <v/>
      </c>
      <c r="U287" s="55">
        <f>(U265+U264)*$D$14</f>
        <v/>
      </c>
      <c r="V287" s="55">
        <f>(V265+V264)*$D$14</f>
        <v/>
      </c>
      <c r="W287" s="55">
        <f>(W265+W264)*$D$14</f>
        <v/>
      </c>
      <c r="X287" s="55">
        <f>(X265+X264)*$D$14</f>
        <v/>
      </c>
      <c r="Y287" s="55">
        <f>(Y265+Y264)*$D$14</f>
        <v/>
      </c>
      <c r="Z287" s="55">
        <f>(Z265+Z264)*$D$14</f>
        <v/>
      </c>
      <c r="AA287" s="55">
        <f>(AA265+AA264)*$D$14</f>
        <v/>
      </c>
      <c r="AB287" s="55">
        <f>(AB265+AB264)*$D$14</f>
        <v/>
      </c>
      <c r="AC287" s="55">
        <f>(AC265+AC264)*$D$14</f>
        <v/>
      </c>
      <c r="AD287" s="55">
        <f>(AD265+AD264)*$D$14</f>
        <v/>
      </c>
      <c r="AE287" s="55">
        <f>(AE265+AE264)*$D$14</f>
        <v/>
      </c>
      <c r="AF287" s="55">
        <f>(AF265+AF264)*$D$14</f>
        <v/>
      </c>
      <c r="AG287" s="55">
        <f>(AG265+AG264)*$D$14</f>
        <v/>
      </c>
      <c r="AH287" s="55">
        <f>(AH265+AH264)*$D$14</f>
        <v/>
      </c>
      <c r="AI287" s="55">
        <f>(AI265+AI264)*$D$14</f>
        <v/>
      </c>
      <c r="AJ287" s="55">
        <f>(AJ265+AJ264)*$D$14</f>
        <v/>
      </c>
      <c r="AK287" s="55">
        <f>(AK265+AK264)*$D$14</f>
        <v/>
      </c>
      <c r="AL287" s="55">
        <f>(AL265+AL264)*$D$14</f>
        <v/>
      </c>
      <c r="AM287" s="55">
        <f>(AM265+AM264)*$D$14</f>
        <v/>
      </c>
      <c r="AN287" s="55">
        <f>(AN265+AN264)*$D$14</f>
        <v/>
      </c>
      <c r="AO287" s="55">
        <f>(AO265+AO264)*$D$14</f>
        <v/>
      </c>
      <c r="AP287" s="55">
        <f>(AP265+AP264)*$D$14</f>
        <v/>
      </c>
      <c r="AQ287" s="55">
        <f>(AQ265+AQ264)*$D$14</f>
        <v/>
      </c>
      <c r="AR287" s="55">
        <f>(AR265+AR264)*$D$14</f>
        <v/>
      </c>
      <c r="AS287" s="55">
        <f>(AS265+AS264)*$D$14</f>
        <v/>
      </c>
      <c r="AT287" s="55">
        <f>(AT265+AT264)*$D$14</f>
        <v/>
      </c>
      <c r="AU287" s="55">
        <f>(AU265+AU264)*$D$14</f>
        <v/>
      </c>
      <c r="AV287" s="55">
        <f>(AV265+AV264)*$D$14</f>
        <v/>
      </c>
      <c r="AW287" s="55">
        <f>(AW265+AW264)*$D$14</f>
        <v/>
      </c>
      <c r="AX287" s="55">
        <f>(AX265+AX264)*$D$14</f>
        <v/>
      </c>
      <c r="AY287" s="55">
        <f>(AY265+AY264)*$D$14</f>
        <v/>
      </c>
      <c r="AZ287" s="55">
        <f>(AZ265+AZ264)*$D$14</f>
        <v/>
      </c>
      <c r="BA287" s="55">
        <f>(BA265+BA264)*$D$14</f>
        <v/>
      </c>
      <c r="BB287" s="55">
        <f>(BB265+BB264)*$D$14</f>
        <v/>
      </c>
      <c r="BC287" s="55">
        <f>(BC265+BC264)*$D$14</f>
        <v/>
      </c>
      <c r="BD287" s="55">
        <f>(BD265+BD264)*$D$14</f>
        <v/>
      </c>
    </row>
    <row r="289">
      <c r="A289" s="3" t="inlineStr">
        <is>
          <t>6 — THE TWO STORES</t>
        </is>
      </c>
    </row>
    <row r="290">
      <c r="A290" s="32" t="inlineStr">
        <is>
          <t>Week</t>
        </is>
      </c>
      <c r="B290" s="33" t="inlineStr">
        <is>
          <t>m3</t>
        </is>
      </c>
      <c r="E290" s="34" t="n">
        <v>1</v>
      </c>
      <c r="F290" s="34" t="n">
        <v>2</v>
      </c>
      <c r="G290" s="34" t="n">
        <v>3</v>
      </c>
      <c r="H290" s="34" t="n">
        <v>4</v>
      </c>
      <c r="I290" s="34" t="n">
        <v>5</v>
      </c>
      <c r="J290" s="34" t="n">
        <v>6</v>
      </c>
      <c r="K290" s="34" t="n">
        <v>7</v>
      </c>
      <c r="L290" s="34" t="n">
        <v>8</v>
      </c>
      <c r="M290" s="34" t="n">
        <v>9</v>
      </c>
      <c r="N290" s="34" t="n">
        <v>10</v>
      </c>
      <c r="O290" s="34" t="n">
        <v>11</v>
      </c>
      <c r="P290" s="34" t="n">
        <v>12</v>
      </c>
      <c r="Q290" s="34" t="n">
        <v>13</v>
      </c>
      <c r="R290" s="34" t="n">
        <v>14</v>
      </c>
      <c r="S290" s="34" t="n">
        <v>15</v>
      </c>
      <c r="T290" s="34" t="n">
        <v>16</v>
      </c>
      <c r="U290" s="34" t="n">
        <v>17</v>
      </c>
      <c r="V290" s="34" t="n">
        <v>18</v>
      </c>
      <c r="W290" s="34" t="n">
        <v>19</v>
      </c>
      <c r="X290" s="34" t="n">
        <v>20</v>
      </c>
      <c r="Y290" s="34" t="n">
        <v>21</v>
      </c>
      <c r="Z290" s="34" t="n">
        <v>22</v>
      </c>
      <c r="AA290" s="34" t="n">
        <v>23</v>
      </c>
      <c r="AB290" s="34" t="n">
        <v>24</v>
      </c>
      <c r="AC290" s="34" t="n">
        <v>25</v>
      </c>
      <c r="AD290" s="34" t="n">
        <v>26</v>
      </c>
      <c r="AE290" s="34" t="n">
        <v>27</v>
      </c>
      <c r="AF290" s="34" t="n">
        <v>28</v>
      </c>
      <c r="AG290" s="34" t="n">
        <v>29</v>
      </c>
      <c r="AH290" s="34" t="n">
        <v>30</v>
      </c>
      <c r="AI290" s="34" t="n">
        <v>31</v>
      </c>
      <c r="AJ290" s="34" t="n">
        <v>32</v>
      </c>
      <c r="AK290" s="34" t="n">
        <v>33</v>
      </c>
      <c r="AL290" s="34" t="n">
        <v>34</v>
      </c>
      <c r="AM290" s="34" t="n">
        <v>35</v>
      </c>
      <c r="AN290" s="34" t="n">
        <v>36</v>
      </c>
      <c r="AO290" s="34" t="n">
        <v>37</v>
      </c>
      <c r="AP290" s="34" t="n">
        <v>38</v>
      </c>
      <c r="AQ290" s="34" t="n">
        <v>39</v>
      </c>
      <c r="AR290" s="34" t="n">
        <v>40</v>
      </c>
      <c r="AS290" s="34" t="n">
        <v>41</v>
      </c>
      <c r="AT290" s="34" t="n">
        <v>42</v>
      </c>
      <c r="AU290" s="34" t="n">
        <v>43</v>
      </c>
      <c r="AV290" s="34" t="n">
        <v>44</v>
      </c>
      <c r="AW290" s="34" t="n">
        <v>45</v>
      </c>
      <c r="AX290" s="34" t="n">
        <v>46</v>
      </c>
      <c r="AY290" s="34" t="n">
        <v>47</v>
      </c>
      <c r="AZ290" s="34" t="n">
        <v>48</v>
      </c>
      <c r="BA290" s="34" t="n">
        <v>49</v>
      </c>
      <c r="BB290" s="34" t="n">
        <v>50</v>
      </c>
      <c r="BC290" s="34" t="n">
        <v>51</v>
      </c>
      <c r="BD290" s="34" t="n">
        <v>52</v>
      </c>
    </row>
    <row r="291">
      <c r="A291" s="37" t="inlineStr">
        <is>
          <t>COLD STORE</t>
        </is>
      </c>
      <c r="B291" s="2" t="inlineStr">
        <is>
          <t>used</t>
        </is>
      </c>
      <c r="E291" s="46">
        <f>E231+E260</f>
        <v/>
      </c>
      <c r="F291" s="46">
        <f>F231+F260</f>
        <v/>
      </c>
      <c r="G291" s="46">
        <f>G231+G260</f>
        <v/>
      </c>
      <c r="H291" s="46">
        <f>H231+H260</f>
        <v/>
      </c>
      <c r="I291" s="46">
        <f>I231+I260</f>
        <v/>
      </c>
      <c r="J291" s="46">
        <f>J231+J260</f>
        <v/>
      </c>
      <c r="K291" s="46">
        <f>K231+K260</f>
        <v/>
      </c>
      <c r="L291" s="46">
        <f>L231+L260</f>
        <v/>
      </c>
      <c r="M291" s="46">
        <f>M231+M260</f>
        <v/>
      </c>
      <c r="N291" s="46">
        <f>N231+N260</f>
        <v/>
      </c>
      <c r="O291" s="46">
        <f>O231+O260</f>
        <v/>
      </c>
      <c r="P291" s="46">
        <f>P231+P260</f>
        <v/>
      </c>
      <c r="Q291" s="46">
        <f>Q231+Q260</f>
        <v/>
      </c>
      <c r="R291" s="46">
        <f>R231+R260</f>
        <v/>
      </c>
      <c r="S291" s="46">
        <f>S231+S260</f>
        <v/>
      </c>
      <c r="T291" s="46">
        <f>T231+T260</f>
        <v/>
      </c>
      <c r="U291" s="46">
        <f>U231+U260</f>
        <v/>
      </c>
      <c r="V291" s="46">
        <f>V231+V260</f>
        <v/>
      </c>
      <c r="W291" s="46">
        <f>W231+W260</f>
        <v/>
      </c>
      <c r="X291" s="46">
        <f>X231+X260</f>
        <v/>
      </c>
      <c r="Y291" s="46">
        <f>Y231+Y260</f>
        <v/>
      </c>
      <c r="Z291" s="46">
        <f>Z231+Z260</f>
        <v/>
      </c>
      <c r="AA291" s="46">
        <f>AA231+AA260</f>
        <v/>
      </c>
      <c r="AB291" s="46">
        <f>AB231+AB260</f>
        <v/>
      </c>
      <c r="AC291" s="46">
        <f>AC231+AC260</f>
        <v/>
      </c>
      <c r="AD291" s="46">
        <f>AD231+AD260</f>
        <v/>
      </c>
      <c r="AE291" s="46">
        <f>AE231+AE260</f>
        <v/>
      </c>
      <c r="AF291" s="46">
        <f>AF231+AF260</f>
        <v/>
      </c>
      <c r="AG291" s="46">
        <f>AG231+AG260</f>
        <v/>
      </c>
      <c r="AH291" s="46">
        <f>AH231+AH260</f>
        <v/>
      </c>
      <c r="AI291" s="46">
        <f>AI231+AI260</f>
        <v/>
      </c>
      <c r="AJ291" s="46">
        <f>AJ231+AJ260</f>
        <v/>
      </c>
      <c r="AK291" s="46">
        <f>AK231+AK260</f>
        <v/>
      </c>
      <c r="AL291" s="46">
        <f>AL231+AL260</f>
        <v/>
      </c>
      <c r="AM291" s="46">
        <f>AM231+AM260</f>
        <v/>
      </c>
      <c r="AN291" s="46">
        <f>AN231+AN260</f>
        <v/>
      </c>
      <c r="AO291" s="46">
        <f>AO231+AO260</f>
        <v/>
      </c>
      <c r="AP291" s="46">
        <f>AP231+AP260</f>
        <v/>
      </c>
      <c r="AQ291" s="46">
        <f>AQ231+AQ260</f>
        <v/>
      </c>
      <c r="AR291" s="46">
        <f>AR231+AR260</f>
        <v/>
      </c>
      <c r="AS291" s="46">
        <f>AS231+AS260</f>
        <v/>
      </c>
      <c r="AT291" s="46">
        <f>AT231+AT260</f>
        <v/>
      </c>
      <c r="AU291" s="46">
        <f>AU231+AU260</f>
        <v/>
      </c>
      <c r="AV291" s="46">
        <f>AV231+AV260</f>
        <v/>
      </c>
      <c r="AW291" s="46">
        <f>AW231+AW260</f>
        <v/>
      </c>
      <c r="AX291" s="46">
        <f>AX231+AX260</f>
        <v/>
      </c>
      <c r="AY291" s="46">
        <f>AY231+AY260</f>
        <v/>
      </c>
      <c r="AZ291" s="46">
        <f>AZ231+AZ260</f>
        <v/>
      </c>
      <c r="BA291" s="46">
        <f>BA231+BA260</f>
        <v/>
      </c>
      <c r="BB291" s="46">
        <f>BB231+BB260</f>
        <v/>
      </c>
      <c r="BC291" s="46">
        <f>BC231+BC260</f>
        <v/>
      </c>
      <c r="BD291" s="46">
        <f>BD231+BD260</f>
        <v/>
      </c>
    </row>
    <row r="292">
      <c r="A292" s="4" t="inlineStr"/>
      <c r="E292" s="47" t="inlineStr">
        <is>
          <t>&lt;=</t>
        </is>
      </c>
      <c r="F292" s="47" t="inlineStr">
        <is>
          <t>&lt;=</t>
        </is>
      </c>
      <c r="G292" s="47" t="inlineStr">
        <is>
          <t>&lt;=</t>
        </is>
      </c>
      <c r="H292" s="47" t="inlineStr">
        <is>
          <t>&lt;=</t>
        </is>
      </c>
      <c r="I292" s="47" t="inlineStr">
        <is>
          <t>&lt;=</t>
        </is>
      </c>
      <c r="J292" s="47" t="inlineStr">
        <is>
          <t>&lt;=</t>
        </is>
      </c>
      <c r="K292" s="47" t="inlineStr">
        <is>
          <t>&lt;=</t>
        </is>
      </c>
      <c r="L292" s="47" t="inlineStr">
        <is>
          <t>&lt;=</t>
        </is>
      </c>
      <c r="M292" s="47" t="inlineStr">
        <is>
          <t>&lt;=</t>
        </is>
      </c>
      <c r="N292" s="47" t="inlineStr">
        <is>
          <t>&lt;=</t>
        </is>
      </c>
      <c r="O292" s="47" t="inlineStr">
        <is>
          <t>&lt;=</t>
        </is>
      </c>
      <c r="P292" s="47" t="inlineStr">
        <is>
          <t>&lt;=</t>
        </is>
      </c>
      <c r="Q292" s="47" t="inlineStr">
        <is>
          <t>&lt;=</t>
        </is>
      </c>
      <c r="R292" s="47" t="inlineStr">
        <is>
          <t>&lt;=</t>
        </is>
      </c>
      <c r="S292" s="47" t="inlineStr">
        <is>
          <t>&lt;=</t>
        </is>
      </c>
      <c r="T292" s="47" t="inlineStr">
        <is>
          <t>&lt;=</t>
        </is>
      </c>
      <c r="U292" s="47" t="inlineStr">
        <is>
          <t>&lt;=</t>
        </is>
      </c>
      <c r="V292" s="47" t="inlineStr">
        <is>
          <t>&lt;=</t>
        </is>
      </c>
      <c r="W292" s="47" t="inlineStr">
        <is>
          <t>&lt;=</t>
        </is>
      </c>
      <c r="X292" s="47" t="inlineStr">
        <is>
          <t>&lt;=</t>
        </is>
      </c>
      <c r="Y292" s="47" t="inlineStr">
        <is>
          <t>&lt;=</t>
        </is>
      </c>
      <c r="Z292" s="47" t="inlineStr">
        <is>
          <t>&lt;=</t>
        </is>
      </c>
      <c r="AA292" s="47" t="inlineStr">
        <is>
          <t>&lt;=</t>
        </is>
      </c>
      <c r="AB292" s="47" t="inlineStr">
        <is>
          <t>&lt;=</t>
        </is>
      </c>
      <c r="AC292" s="47" t="inlineStr">
        <is>
          <t>&lt;=</t>
        </is>
      </c>
      <c r="AD292" s="47" t="inlineStr">
        <is>
          <t>&lt;=</t>
        </is>
      </c>
      <c r="AE292" s="47" t="inlineStr">
        <is>
          <t>&lt;=</t>
        </is>
      </c>
      <c r="AF292" s="47" t="inlineStr">
        <is>
          <t>&lt;=</t>
        </is>
      </c>
      <c r="AG292" s="47" t="inlineStr">
        <is>
          <t>&lt;=</t>
        </is>
      </c>
      <c r="AH292" s="47" t="inlineStr">
        <is>
          <t>&lt;=</t>
        </is>
      </c>
      <c r="AI292" s="47" t="inlineStr">
        <is>
          <t>&lt;=</t>
        </is>
      </c>
      <c r="AJ292" s="47" t="inlineStr">
        <is>
          <t>&lt;=</t>
        </is>
      </c>
      <c r="AK292" s="47" t="inlineStr">
        <is>
          <t>&lt;=</t>
        </is>
      </c>
      <c r="AL292" s="47" t="inlineStr">
        <is>
          <t>&lt;=</t>
        </is>
      </c>
      <c r="AM292" s="47" t="inlineStr">
        <is>
          <t>&lt;=</t>
        </is>
      </c>
      <c r="AN292" s="47" t="inlineStr">
        <is>
          <t>&lt;=</t>
        </is>
      </c>
      <c r="AO292" s="47" t="inlineStr">
        <is>
          <t>&lt;=</t>
        </is>
      </c>
      <c r="AP292" s="47" t="inlineStr">
        <is>
          <t>&lt;=</t>
        </is>
      </c>
      <c r="AQ292" s="47" t="inlineStr">
        <is>
          <t>&lt;=</t>
        </is>
      </c>
      <c r="AR292" s="47" t="inlineStr">
        <is>
          <t>&lt;=</t>
        </is>
      </c>
      <c r="AS292" s="47" t="inlineStr">
        <is>
          <t>&lt;=</t>
        </is>
      </c>
      <c r="AT292" s="47" t="inlineStr">
        <is>
          <t>&lt;=</t>
        </is>
      </c>
      <c r="AU292" s="47" t="inlineStr">
        <is>
          <t>&lt;=</t>
        </is>
      </c>
      <c r="AV292" s="47" t="inlineStr">
        <is>
          <t>&lt;=</t>
        </is>
      </c>
      <c r="AW292" s="47" t="inlineStr">
        <is>
          <t>&lt;=</t>
        </is>
      </c>
      <c r="AX292" s="47" t="inlineStr">
        <is>
          <t>&lt;=</t>
        </is>
      </c>
      <c r="AY292" s="47" t="inlineStr">
        <is>
          <t>&lt;=</t>
        </is>
      </c>
      <c r="AZ292" s="47" t="inlineStr">
        <is>
          <t>&lt;=</t>
        </is>
      </c>
      <c r="BA292" s="47" t="inlineStr">
        <is>
          <t>&lt;=</t>
        </is>
      </c>
      <c r="BB292" s="47" t="inlineStr">
        <is>
          <t>&lt;=</t>
        </is>
      </c>
      <c r="BC292" s="47" t="inlineStr">
        <is>
          <t>&lt;=</t>
        </is>
      </c>
      <c r="BD292" s="47" t="inlineStr">
        <is>
          <t>&lt;=</t>
        </is>
      </c>
    </row>
    <row r="293">
      <c r="A293" s="37" t="inlineStr">
        <is>
          <t xml:space="preserve">  limit</t>
        </is>
      </c>
      <c r="B293" s="2" t="inlineStr">
        <is>
          <t>cap</t>
        </is>
      </c>
      <c r="E293" s="46">
        <f>$B$7</f>
        <v/>
      </c>
      <c r="F293" s="46">
        <f>$B$7</f>
        <v/>
      </c>
      <c r="G293" s="46">
        <f>$B$7</f>
        <v/>
      </c>
      <c r="H293" s="46">
        <f>$B$7</f>
        <v/>
      </c>
      <c r="I293" s="46">
        <f>$B$7</f>
        <v/>
      </c>
      <c r="J293" s="46">
        <f>$B$7</f>
        <v/>
      </c>
      <c r="K293" s="46">
        <f>$B$7</f>
        <v/>
      </c>
      <c r="L293" s="46">
        <f>$B$7</f>
        <v/>
      </c>
      <c r="M293" s="46">
        <f>$B$7</f>
        <v/>
      </c>
      <c r="N293" s="46">
        <f>$B$7</f>
        <v/>
      </c>
      <c r="O293" s="46">
        <f>$B$7</f>
        <v/>
      </c>
      <c r="P293" s="46">
        <f>$B$7</f>
        <v/>
      </c>
      <c r="Q293" s="46">
        <f>$B$7</f>
        <v/>
      </c>
      <c r="R293" s="46">
        <f>$B$7</f>
        <v/>
      </c>
      <c r="S293" s="46">
        <f>$B$7</f>
        <v/>
      </c>
      <c r="T293" s="46">
        <f>$B$7</f>
        <v/>
      </c>
      <c r="U293" s="46">
        <f>$B$7</f>
        <v/>
      </c>
      <c r="V293" s="46">
        <f>$B$7</f>
        <v/>
      </c>
      <c r="W293" s="46">
        <f>$B$7</f>
        <v/>
      </c>
      <c r="X293" s="46">
        <f>$B$7</f>
        <v/>
      </c>
      <c r="Y293" s="46">
        <f>$B$7</f>
        <v/>
      </c>
      <c r="Z293" s="46">
        <f>$B$7</f>
        <v/>
      </c>
      <c r="AA293" s="46">
        <f>$B$7</f>
        <v/>
      </c>
      <c r="AB293" s="46">
        <f>$B$7</f>
        <v/>
      </c>
      <c r="AC293" s="46">
        <f>$B$7</f>
        <v/>
      </c>
      <c r="AD293" s="46">
        <f>$B$7</f>
        <v/>
      </c>
      <c r="AE293" s="46">
        <f>$B$7</f>
        <v/>
      </c>
      <c r="AF293" s="46">
        <f>$B$7</f>
        <v/>
      </c>
      <c r="AG293" s="46">
        <f>$B$7</f>
        <v/>
      </c>
      <c r="AH293" s="46">
        <f>$B$7</f>
        <v/>
      </c>
      <c r="AI293" s="46">
        <f>$B$7</f>
        <v/>
      </c>
      <c r="AJ293" s="46">
        <f>$B$7</f>
        <v/>
      </c>
      <c r="AK293" s="46">
        <f>$B$7</f>
        <v/>
      </c>
      <c r="AL293" s="46">
        <f>$B$7</f>
        <v/>
      </c>
      <c r="AM293" s="46">
        <f>$B$7</f>
        <v/>
      </c>
      <c r="AN293" s="46">
        <f>$B$7</f>
        <v/>
      </c>
      <c r="AO293" s="46">
        <f>$B$7</f>
        <v/>
      </c>
      <c r="AP293" s="46">
        <f>$B$7</f>
        <v/>
      </c>
      <c r="AQ293" s="46">
        <f>$B$7</f>
        <v/>
      </c>
      <c r="AR293" s="46">
        <f>$B$7</f>
        <v/>
      </c>
      <c r="AS293" s="46">
        <f>$B$7</f>
        <v/>
      </c>
      <c r="AT293" s="46">
        <f>$B$7</f>
        <v/>
      </c>
      <c r="AU293" s="46">
        <f>$B$7</f>
        <v/>
      </c>
      <c r="AV293" s="46">
        <f>$B$7</f>
        <v/>
      </c>
      <c r="AW293" s="46">
        <f>$B$7</f>
        <v/>
      </c>
      <c r="AX293" s="46">
        <f>$B$7</f>
        <v/>
      </c>
      <c r="AY293" s="46">
        <f>$B$7</f>
        <v/>
      </c>
      <c r="AZ293" s="46">
        <f>$B$7</f>
        <v/>
      </c>
      <c r="BA293" s="46">
        <f>$B$7</f>
        <v/>
      </c>
      <c r="BB293" s="46">
        <f>$B$7</f>
        <v/>
      </c>
      <c r="BC293" s="46">
        <f>$B$7</f>
        <v/>
      </c>
      <c r="BD293" s="46">
        <f>$B$7</f>
        <v/>
      </c>
    </row>
    <row r="294">
      <c r="A294" s="39" t="inlineStr">
        <is>
          <t xml:space="preserve">  room left</t>
        </is>
      </c>
      <c r="E294" s="46">
        <f>$B$7-E291</f>
        <v/>
      </c>
      <c r="F294" s="46">
        <f>$B$7-F291</f>
        <v/>
      </c>
      <c r="G294" s="46">
        <f>$B$7-G291</f>
        <v/>
      </c>
      <c r="H294" s="46">
        <f>$B$7-H291</f>
        <v/>
      </c>
      <c r="I294" s="46">
        <f>$B$7-I291</f>
        <v/>
      </c>
      <c r="J294" s="46">
        <f>$B$7-J291</f>
        <v/>
      </c>
      <c r="K294" s="46">
        <f>$B$7-K291</f>
        <v/>
      </c>
      <c r="L294" s="46">
        <f>$B$7-L291</f>
        <v/>
      </c>
      <c r="M294" s="46">
        <f>$B$7-M291</f>
        <v/>
      </c>
      <c r="N294" s="46">
        <f>$B$7-N291</f>
        <v/>
      </c>
      <c r="O294" s="46">
        <f>$B$7-O291</f>
        <v/>
      </c>
      <c r="P294" s="46">
        <f>$B$7-P291</f>
        <v/>
      </c>
      <c r="Q294" s="46">
        <f>$B$7-Q291</f>
        <v/>
      </c>
      <c r="R294" s="46">
        <f>$B$7-R291</f>
        <v/>
      </c>
      <c r="S294" s="46">
        <f>$B$7-S291</f>
        <v/>
      </c>
      <c r="T294" s="46">
        <f>$B$7-T291</f>
        <v/>
      </c>
      <c r="U294" s="46">
        <f>$B$7-U291</f>
        <v/>
      </c>
      <c r="V294" s="46">
        <f>$B$7-V291</f>
        <v/>
      </c>
      <c r="W294" s="46">
        <f>$B$7-W291</f>
        <v/>
      </c>
      <c r="X294" s="46">
        <f>$B$7-X291</f>
        <v/>
      </c>
      <c r="Y294" s="46">
        <f>$B$7-Y291</f>
        <v/>
      </c>
      <c r="Z294" s="46">
        <f>$B$7-Z291</f>
        <v/>
      </c>
      <c r="AA294" s="46">
        <f>$B$7-AA291</f>
        <v/>
      </c>
      <c r="AB294" s="46">
        <f>$B$7-AB291</f>
        <v/>
      </c>
      <c r="AC294" s="46">
        <f>$B$7-AC291</f>
        <v/>
      </c>
      <c r="AD294" s="46">
        <f>$B$7-AD291</f>
        <v/>
      </c>
      <c r="AE294" s="46">
        <f>$B$7-AE291</f>
        <v/>
      </c>
      <c r="AF294" s="46">
        <f>$B$7-AF291</f>
        <v/>
      </c>
      <c r="AG294" s="46">
        <f>$B$7-AG291</f>
        <v/>
      </c>
      <c r="AH294" s="46">
        <f>$B$7-AH291</f>
        <v/>
      </c>
      <c r="AI294" s="46">
        <f>$B$7-AI291</f>
        <v/>
      </c>
      <c r="AJ294" s="46">
        <f>$B$7-AJ291</f>
        <v/>
      </c>
      <c r="AK294" s="46">
        <f>$B$7-AK291</f>
        <v/>
      </c>
      <c r="AL294" s="46">
        <f>$B$7-AL291</f>
        <v/>
      </c>
      <c r="AM294" s="46">
        <f>$B$7-AM291</f>
        <v/>
      </c>
      <c r="AN294" s="46">
        <f>$B$7-AN291</f>
        <v/>
      </c>
      <c r="AO294" s="46">
        <f>$B$7-AO291</f>
        <v/>
      </c>
      <c r="AP294" s="46">
        <f>$B$7-AP291</f>
        <v/>
      </c>
      <c r="AQ294" s="46">
        <f>$B$7-AQ291</f>
        <v/>
      </c>
      <c r="AR294" s="46">
        <f>$B$7-AR291</f>
        <v/>
      </c>
      <c r="AS294" s="46">
        <f>$B$7-AS291</f>
        <v/>
      </c>
      <c r="AT294" s="46">
        <f>$B$7-AT291</f>
        <v/>
      </c>
      <c r="AU294" s="46">
        <f>$B$7-AU291</f>
        <v/>
      </c>
      <c r="AV294" s="46">
        <f>$B$7-AV291</f>
        <v/>
      </c>
      <c r="AW294" s="46">
        <f>$B$7-AW291</f>
        <v/>
      </c>
      <c r="AX294" s="46">
        <f>$B$7-AX291</f>
        <v/>
      </c>
      <c r="AY294" s="46">
        <f>$B$7-AY291</f>
        <v/>
      </c>
      <c r="AZ294" s="46">
        <f>$B$7-AZ291</f>
        <v/>
      </c>
      <c r="BA294" s="46">
        <f>$B$7-BA291</f>
        <v/>
      </c>
      <c r="BB294" s="46">
        <f>$B$7-BB291</f>
        <v/>
      </c>
      <c r="BC294" s="46">
        <f>$B$7-BC291</f>
        <v/>
      </c>
      <c r="BD294" s="46">
        <f>$B$7-BD291</f>
        <v/>
      </c>
    </row>
    <row r="295">
      <c r="A295" s="2" t="inlineStr">
        <is>
          <t xml:space="preserve">   Holds Spinach, Kale.</t>
        </is>
      </c>
    </row>
    <row r="297">
      <c r="A297" s="32" t="inlineStr">
        <is>
          <t>Week</t>
        </is>
      </c>
      <c r="B297" s="33" t="inlineStr">
        <is>
          <t>m3</t>
        </is>
      </c>
      <c r="E297" s="34" t="n">
        <v>1</v>
      </c>
      <c r="F297" s="34" t="n">
        <v>2</v>
      </c>
      <c r="G297" s="34" t="n">
        <v>3</v>
      </c>
      <c r="H297" s="34" t="n">
        <v>4</v>
      </c>
      <c r="I297" s="34" t="n">
        <v>5</v>
      </c>
      <c r="J297" s="34" t="n">
        <v>6</v>
      </c>
      <c r="K297" s="34" t="n">
        <v>7</v>
      </c>
      <c r="L297" s="34" t="n">
        <v>8</v>
      </c>
      <c r="M297" s="34" t="n">
        <v>9</v>
      </c>
      <c r="N297" s="34" t="n">
        <v>10</v>
      </c>
      <c r="O297" s="34" t="n">
        <v>11</v>
      </c>
      <c r="P297" s="34" t="n">
        <v>12</v>
      </c>
      <c r="Q297" s="34" t="n">
        <v>13</v>
      </c>
      <c r="R297" s="34" t="n">
        <v>14</v>
      </c>
      <c r="S297" s="34" t="n">
        <v>15</v>
      </c>
      <c r="T297" s="34" t="n">
        <v>16</v>
      </c>
      <c r="U297" s="34" t="n">
        <v>17</v>
      </c>
      <c r="V297" s="34" t="n">
        <v>18</v>
      </c>
      <c r="W297" s="34" t="n">
        <v>19</v>
      </c>
      <c r="X297" s="34" t="n">
        <v>20</v>
      </c>
      <c r="Y297" s="34" t="n">
        <v>21</v>
      </c>
      <c r="Z297" s="34" t="n">
        <v>22</v>
      </c>
      <c r="AA297" s="34" t="n">
        <v>23</v>
      </c>
      <c r="AB297" s="34" t="n">
        <v>24</v>
      </c>
      <c r="AC297" s="34" t="n">
        <v>25</v>
      </c>
      <c r="AD297" s="34" t="n">
        <v>26</v>
      </c>
      <c r="AE297" s="34" t="n">
        <v>27</v>
      </c>
      <c r="AF297" s="34" t="n">
        <v>28</v>
      </c>
      <c r="AG297" s="34" t="n">
        <v>29</v>
      </c>
      <c r="AH297" s="34" t="n">
        <v>30</v>
      </c>
      <c r="AI297" s="34" t="n">
        <v>31</v>
      </c>
      <c r="AJ297" s="34" t="n">
        <v>32</v>
      </c>
      <c r="AK297" s="34" t="n">
        <v>33</v>
      </c>
      <c r="AL297" s="34" t="n">
        <v>34</v>
      </c>
      <c r="AM297" s="34" t="n">
        <v>35</v>
      </c>
      <c r="AN297" s="34" t="n">
        <v>36</v>
      </c>
      <c r="AO297" s="34" t="n">
        <v>37</v>
      </c>
      <c r="AP297" s="34" t="n">
        <v>38</v>
      </c>
      <c r="AQ297" s="34" t="n">
        <v>39</v>
      </c>
      <c r="AR297" s="34" t="n">
        <v>40</v>
      </c>
      <c r="AS297" s="34" t="n">
        <v>41</v>
      </c>
      <c r="AT297" s="34" t="n">
        <v>42</v>
      </c>
      <c r="AU297" s="34" t="n">
        <v>43</v>
      </c>
      <c r="AV297" s="34" t="n">
        <v>44</v>
      </c>
      <c r="AW297" s="34" t="n">
        <v>45</v>
      </c>
      <c r="AX297" s="34" t="n">
        <v>46</v>
      </c>
      <c r="AY297" s="34" t="n">
        <v>47</v>
      </c>
      <c r="AZ297" s="34" t="n">
        <v>48</v>
      </c>
      <c r="BA297" s="34" t="n">
        <v>49</v>
      </c>
      <c r="BB297" s="34" t="n">
        <v>50</v>
      </c>
      <c r="BC297" s="34" t="n">
        <v>51</v>
      </c>
      <c r="BD297" s="34" t="n">
        <v>52</v>
      </c>
    </row>
    <row r="298">
      <c r="A298" s="37" t="inlineStr">
        <is>
          <t>AMBIENT STORE</t>
        </is>
      </c>
      <c r="B298" s="2" t="inlineStr">
        <is>
          <t>used</t>
        </is>
      </c>
      <c r="E298" s="46">
        <f>E287</f>
        <v/>
      </c>
      <c r="F298" s="46">
        <f>F287</f>
        <v/>
      </c>
      <c r="G298" s="46">
        <f>G287</f>
        <v/>
      </c>
      <c r="H298" s="46">
        <f>H287</f>
        <v/>
      </c>
      <c r="I298" s="46">
        <f>I287</f>
        <v/>
      </c>
      <c r="J298" s="46">
        <f>J287</f>
        <v/>
      </c>
      <c r="K298" s="46">
        <f>K287</f>
        <v/>
      </c>
      <c r="L298" s="46">
        <f>L287</f>
        <v/>
      </c>
      <c r="M298" s="46">
        <f>M287</f>
        <v/>
      </c>
      <c r="N298" s="46">
        <f>N287</f>
        <v/>
      </c>
      <c r="O298" s="46">
        <f>O287</f>
        <v/>
      </c>
      <c r="P298" s="46">
        <f>P287</f>
        <v/>
      </c>
      <c r="Q298" s="46">
        <f>Q287</f>
        <v/>
      </c>
      <c r="R298" s="46">
        <f>R287</f>
        <v/>
      </c>
      <c r="S298" s="46">
        <f>S287</f>
        <v/>
      </c>
      <c r="T298" s="46">
        <f>T287</f>
        <v/>
      </c>
      <c r="U298" s="46">
        <f>U287</f>
        <v/>
      </c>
      <c r="V298" s="46">
        <f>V287</f>
        <v/>
      </c>
      <c r="W298" s="46">
        <f>W287</f>
        <v/>
      </c>
      <c r="X298" s="46">
        <f>X287</f>
        <v/>
      </c>
      <c r="Y298" s="46">
        <f>Y287</f>
        <v/>
      </c>
      <c r="Z298" s="46">
        <f>Z287</f>
        <v/>
      </c>
      <c r="AA298" s="46">
        <f>AA287</f>
        <v/>
      </c>
      <c r="AB298" s="46">
        <f>AB287</f>
        <v/>
      </c>
      <c r="AC298" s="46">
        <f>AC287</f>
        <v/>
      </c>
      <c r="AD298" s="46">
        <f>AD287</f>
        <v/>
      </c>
      <c r="AE298" s="46">
        <f>AE287</f>
        <v/>
      </c>
      <c r="AF298" s="46">
        <f>AF287</f>
        <v/>
      </c>
      <c r="AG298" s="46">
        <f>AG287</f>
        <v/>
      </c>
      <c r="AH298" s="46">
        <f>AH287</f>
        <v/>
      </c>
      <c r="AI298" s="46">
        <f>AI287</f>
        <v/>
      </c>
      <c r="AJ298" s="46">
        <f>AJ287</f>
        <v/>
      </c>
      <c r="AK298" s="46">
        <f>AK287</f>
        <v/>
      </c>
      <c r="AL298" s="46">
        <f>AL287</f>
        <v/>
      </c>
      <c r="AM298" s="46">
        <f>AM287</f>
        <v/>
      </c>
      <c r="AN298" s="46">
        <f>AN287</f>
        <v/>
      </c>
      <c r="AO298" s="46">
        <f>AO287</f>
        <v/>
      </c>
      <c r="AP298" s="46">
        <f>AP287</f>
        <v/>
      </c>
      <c r="AQ298" s="46">
        <f>AQ287</f>
        <v/>
      </c>
      <c r="AR298" s="46">
        <f>AR287</f>
        <v/>
      </c>
      <c r="AS298" s="46">
        <f>AS287</f>
        <v/>
      </c>
      <c r="AT298" s="46">
        <f>AT287</f>
        <v/>
      </c>
      <c r="AU298" s="46">
        <f>AU287</f>
        <v/>
      </c>
      <c r="AV298" s="46">
        <f>AV287</f>
        <v/>
      </c>
      <c r="AW298" s="46">
        <f>AW287</f>
        <v/>
      </c>
      <c r="AX298" s="46">
        <f>AX287</f>
        <v/>
      </c>
      <c r="AY298" s="46">
        <f>AY287</f>
        <v/>
      </c>
      <c r="AZ298" s="46">
        <f>AZ287</f>
        <v/>
      </c>
      <c r="BA298" s="46">
        <f>BA287</f>
        <v/>
      </c>
      <c r="BB298" s="46">
        <f>BB287</f>
        <v/>
      </c>
      <c r="BC298" s="46">
        <f>BC287</f>
        <v/>
      </c>
      <c r="BD298" s="46">
        <f>BD287</f>
        <v/>
      </c>
    </row>
    <row r="299">
      <c r="A299" s="4" t="inlineStr"/>
      <c r="E299" s="47" t="inlineStr">
        <is>
          <t>&lt;=</t>
        </is>
      </c>
      <c r="F299" s="47" t="inlineStr">
        <is>
          <t>&lt;=</t>
        </is>
      </c>
      <c r="G299" s="47" t="inlineStr">
        <is>
          <t>&lt;=</t>
        </is>
      </c>
      <c r="H299" s="47" t="inlineStr">
        <is>
          <t>&lt;=</t>
        </is>
      </c>
      <c r="I299" s="47" t="inlineStr">
        <is>
          <t>&lt;=</t>
        </is>
      </c>
      <c r="J299" s="47" t="inlineStr">
        <is>
          <t>&lt;=</t>
        </is>
      </c>
      <c r="K299" s="47" t="inlineStr">
        <is>
          <t>&lt;=</t>
        </is>
      </c>
      <c r="L299" s="47" t="inlineStr">
        <is>
          <t>&lt;=</t>
        </is>
      </c>
      <c r="M299" s="47" t="inlineStr">
        <is>
          <t>&lt;=</t>
        </is>
      </c>
      <c r="N299" s="47" t="inlineStr">
        <is>
          <t>&lt;=</t>
        </is>
      </c>
      <c r="O299" s="47" t="inlineStr">
        <is>
          <t>&lt;=</t>
        </is>
      </c>
      <c r="P299" s="47" t="inlineStr">
        <is>
          <t>&lt;=</t>
        </is>
      </c>
      <c r="Q299" s="47" t="inlineStr">
        <is>
          <t>&lt;=</t>
        </is>
      </c>
      <c r="R299" s="47" t="inlineStr">
        <is>
          <t>&lt;=</t>
        </is>
      </c>
      <c r="S299" s="47" t="inlineStr">
        <is>
          <t>&lt;=</t>
        </is>
      </c>
      <c r="T299" s="47" t="inlineStr">
        <is>
          <t>&lt;=</t>
        </is>
      </c>
      <c r="U299" s="47" t="inlineStr">
        <is>
          <t>&lt;=</t>
        </is>
      </c>
      <c r="V299" s="47" t="inlineStr">
        <is>
          <t>&lt;=</t>
        </is>
      </c>
      <c r="W299" s="47" t="inlineStr">
        <is>
          <t>&lt;=</t>
        </is>
      </c>
      <c r="X299" s="47" t="inlineStr">
        <is>
          <t>&lt;=</t>
        </is>
      </c>
      <c r="Y299" s="47" t="inlineStr">
        <is>
          <t>&lt;=</t>
        </is>
      </c>
      <c r="Z299" s="47" t="inlineStr">
        <is>
          <t>&lt;=</t>
        </is>
      </c>
      <c r="AA299" s="47" t="inlineStr">
        <is>
          <t>&lt;=</t>
        </is>
      </c>
      <c r="AB299" s="47" t="inlineStr">
        <is>
          <t>&lt;=</t>
        </is>
      </c>
      <c r="AC299" s="47" t="inlineStr">
        <is>
          <t>&lt;=</t>
        </is>
      </c>
      <c r="AD299" s="47" t="inlineStr">
        <is>
          <t>&lt;=</t>
        </is>
      </c>
      <c r="AE299" s="47" t="inlineStr">
        <is>
          <t>&lt;=</t>
        </is>
      </c>
      <c r="AF299" s="47" t="inlineStr">
        <is>
          <t>&lt;=</t>
        </is>
      </c>
      <c r="AG299" s="47" t="inlineStr">
        <is>
          <t>&lt;=</t>
        </is>
      </c>
      <c r="AH299" s="47" t="inlineStr">
        <is>
          <t>&lt;=</t>
        </is>
      </c>
      <c r="AI299" s="47" t="inlineStr">
        <is>
          <t>&lt;=</t>
        </is>
      </c>
      <c r="AJ299" s="47" t="inlineStr">
        <is>
          <t>&lt;=</t>
        </is>
      </c>
      <c r="AK299" s="47" t="inlineStr">
        <is>
          <t>&lt;=</t>
        </is>
      </c>
      <c r="AL299" s="47" t="inlineStr">
        <is>
          <t>&lt;=</t>
        </is>
      </c>
      <c r="AM299" s="47" t="inlineStr">
        <is>
          <t>&lt;=</t>
        </is>
      </c>
      <c r="AN299" s="47" t="inlineStr">
        <is>
          <t>&lt;=</t>
        </is>
      </c>
      <c r="AO299" s="47" t="inlineStr">
        <is>
          <t>&lt;=</t>
        </is>
      </c>
      <c r="AP299" s="47" t="inlineStr">
        <is>
          <t>&lt;=</t>
        </is>
      </c>
      <c r="AQ299" s="47" t="inlineStr">
        <is>
          <t>&lt;=</t>
        </is>
      </c>
      <c r="AR299" s="47" t="inlineStr">
        <is>
          <t>&lt;=</t>
        </is>
      </c>
      <c r="AS299" s="47" t="inlineStr">
        <is>
          <t>&lt;=</t>
        </is>
      </c>
      <c r="AT299" s="47" t="inlineStr">
        <is>
          <t>&lt;=</t>
        </is>
      </c>
      <c r="AU299" s="47" t="inlineStr">
        <is>
          <t>&lt;=</t>
        </is>
      </c>
      <c r="AV299" s="47" t="inlineStr">
        <is>
          <t>&lt;=</t>
        </is>
      </c>
      <c r="AW299" s="47" t="inlineStr">
        <is>
          <t>&lt;=</t>
        </is>
      </c>
      <c r="AX299" s="47" t="inlineStr">
        <is>
          <t>&lt;=</t>
        </is>
      </c>
      <c r="AY299" s="47" t="inlineStr">
        <is>
          <t>&lt;=</t>
        </is>
      </c>
      <c r="AZ299" s="47" t="inlineStr">
        <is>
          <t>&lt;=</t>
        </is>
      </c>
      <c r="BA299" s="47" t="inlineStr">
        <is>
          <t>&lt;=</t>
        </is>
      </c>
      <c r="BB299" s="47" t="inlineStr">
        <is>
          <t>&lt;=</t>
        </is>
      </c>
      <c r="BC299" s="47" t="inlineStr">
        <is>
          <t>&lt;=</t>
        </is>
      </c>
      <c r="BD299" s="47" t="inlineStr">
        <is>
          <t>&lt;=</t>
        </is>
      </c>
    </row>
    <row r="300">
      <c r="A300" s="37" t="inlineStr">
        <is>
          <t xml:space="preserve">  limit</t>
        </is>
      </c>
      <c r="B300" s="2" t="inlineStr">
        <is>
          <t>cap</t>
        </is>
      </c>
      <c r="E300" s="46">
        <f>$B$8</f>
        <v/>
      </c>
      <c r="F300" s="46">
        <f>$B$8</f>
        <v/>
      </c>
      <c r="G300" s="46">
        <f>$B$8</f>
        <v/>
      </c>
      <c r="H300" s="46">
        <f>$B$8</f>
        <v/>
      </c>
      <c r="I300" s="46">
        <f>$B$8</f>
        <v/>
      </c>
      <c r="J300" s="46">
        <f>$B$8</f>
        <v/>
      </c>
      <c r="K300" s="46">
        <f>$B$8</f>
        <v/>
      </c>
      <c r="L300" s="46">
        <f>$B$8</f>
        <v/>
      </c>
      <c r="M300" s="46">
        <f>$B$8</f>
        <v/>
      </c>
      <c r="N300" s="46">
        <f>$B$8</f>
        <v/>
      </c>
      <c r="O300" s="46">
        <f>$B$8</f>
        <v/>
      </c>
      <c r="P300" s="46">
        <f>$B$8</f>
        <v/>
      </c>
      <c r="Q300" s="46">
        <f>$B$8</f>
        <v/>
      </c>
      <c r="R300" s="46">
        <f>$B$8</f>
        <v/>
      </c>
      <c r="S300" s="46">
        <f>$B$8</f>
        <v/>
      </c>
      <c r="T300" s="46">
        <f>$B$8</f>
        <v/>
      </c>
      <c r="U300" s="46">
        <f>$B$8</f>
        <v/>
      </c>
      <c r="V300" s="46">
        <f>$B$8</f>
        <v/>
      </c>
      <c r="W300" s="46">
        <f>$B$8</f>
        <v/>
      </c>
      <c r="X300" s="46">
        <f>$B$8</f>
        <v/>
      </c>
      <c r="Y300" s="46">
        <f>$B$8</f>
        <v/>
      </c>
      <c r="Z300" s="46">
        <f>$B$8</f>
        <v/>
      </c>
      <c r="AA300" s="46">
        <f>$B$8</f>
        <v/>
      </c>
      <c r="AB300" s="46">
        <f>$B$8</f>
        <v/>
      </c>
      <c r="AC300" s="46">
        <f>$B$8</f>
        <v/>
      </c>
      <c r="AD300" s="46">
        <f>$B$8</f>
        <v/>
      </c>
      <c r="AE300" s="46">
        <f>$B$8</f>
        <v/>
      </c>
      <c r="AF300" s="46">
        <f>$B$8</f>
        <v/>
      </c>
      <c r="AG300" s="46">
        <f>$B$8</f>
        <v/>
      </c>
      <c r="AH300" s="46">
        <f>$B$8</f>
        <v/>
      </c>
      <c r="AI300" s="46">
        <f>$B$8</f>
        <v/>
      </c>
      <c r="AJ300" s="46">
        <f>$B$8</f>
        <v/>
      </c>
      <c r="AK300" s="46">
        <f>$B$8</f>
        <v/>
      </c>
      <c r="AL300" s="46">
        <f>$B$8</f>
        <v/>
      </c>
      <c r="AM300" s="46">
        <f>$B$8</f>
        <v/>
      </c>
      <c r="AN300" s="46">
        <f>$B$8</f>
        <v/>
      </c>
      <c r="AO300" s="46">
        <f>$B$8</f>
        <v/>
      </c>
      <c r="AP300" s="46">
        <f>$B$8</f>
        <v/>
      </c>
      <c r="AQ300" s="46">
        <f>$B$8</f>
        <v/>
      </c>
      <c r="AR300" s="46">
        <f>$B$8</f>
        <v/>
      </c>
      <c r="AS300" s="46">
        <f>$B$8</f>
        <v/>
      </c>
      <c r="AT300" s="46">
        <f>$B$8</f>
        <v/>
      </c>
      <c r="AU300" s="46">
        <f>$B$8</f>
        <v/>
      </c>
      <c r="AV300" s="46">
        <f>$B$8</f>
        <v/>
      </c>
      <c r="AW300" s="46">
        <f>$B$8</f>
        <v/>
      </c>
      <c r="AX300" s="46">
        <f>$B$8</f>
        <v/>
      </c>
      <c r="AY300" s="46">
        <f>$B$8</f>
        <v/>
      </c>
      <c r="AZ300" s="46">
        <f>$B$8</f>
        <v/>
      </c>
      <c r="BA300" s="46">
        <f>$B$8</f>
        <v/>
      </c>
      <c r="BB300" s="46">
        <f>$B$8</f>
        <v/>
      </c>
      <c r="BC300" s="46">
        <f>$B$8</f>
        <v/>
      </c>
      <c r="BD300" s="46">
        <f>$B$8</f>
        <v/>
      </c>
    </row>
    <row r="301">
      <c r="A301" s="39" t="inlineStr">
        <is>
          <t xml:space="preserve">  room left</t>
        </is>
      </c>
      <c r="E301" s="46">
        <f>$B$8-E298</f>
        <v/>
      </c>
      <c r="F301" s="46">
        <f>$B$8-F298</f>
        <v/>
      </c>
      <c r="G301" s="46">
        <f>$B$8-G298</f>
        <v/>
      </c>
      <c r="H301" s="46">
        <f>$B$8-H298</f>
        <v/>
      </c>
      <c r="I301" s="46">
        <f>$B$8-I298</f>
        <v/>
      </c>
      <c r="J301" s="46">
        <f>$B$8-J298</f>
        <v/>
      </c>
      <c r="K301" s="46">
        <f>$B$8-K298</f>
        <v/>
      </c>
      <c r="L301" s="46">
        <f>$B$8-L298</f>
        <v/>
      </c>
      <c r="M301" s="46">
        <f>$B$8-M298</f>
        <v/>
      </c>
      <c r="N301" s="46">
        <f>$B$8-N298</f>
        <v/>
      </c>
      <c r="O301" s="46">
        <f>$B$8-O298</f>
        <v/>
      </c>
      <c r="P301" s="46">
        <f>$B$8-P298</f>
        <v/>
      </c>
      <c r="Q301" s="46">
        <f>$B$8-Q298</f>
        <v/>
      </c>
      <c r="R301" s="46">
        <f>$B$8-R298</f>
        <v/>
      </c>
      <c r="S301" s="46">
        <f>$B$8-S298</f>
        <v/>
      </c>
      <c r="T301" s="46">
        <f>$B$8-T298</f>
        <v/>
      </c>
      <c r="U301" s="46">
        <f>$B$8-U298</f>
        <v/>
      </c>
      <c r="V301" s="46">
        <f>$B$8-V298</f>
        <v/>
      </c>
      <c r="W301" s="46">
        <f>$B$8-W298</f>
        <v/>
      </c>
      <c r="X301" s="46">
        <f>$B$8-X298</f>
        <v/>
      </c>
      <c r="Y301" s="46">
        <f>$B$8-Y298</f>
        <v/>
      </c>
      <c r="Z301" s="46">
        <f>$B$8-Z298</f>
        <v/>
      </c>
      <c r="AA301" s="46">
        <f>$B$8-AA298</f>
        <v/>
      </c>
      <c r="AB301" s="46">
        <f>$B$8-AB298</f>
        <v/>
      </c>
      <c r="AC301" s="46">
        <f>$B$8-AC298</f>
        <v/>
      </c>
      <c r="AD301" s="46">
        <f>$B$8-AD298</f>
        <v/>
      </c>
      <c r="AE301" s="46">
        <f>$B$8-AE298</f>
        <v/>
      </c>
      <c r="AF301" s="46">
        <f>$B$8-AF298</f>
        <v/>
      </c>
      <c r="AG301" s="46">
        <f>$B$8-AG298</f>
        <v/>
      </c>
      <c r="AH301" s="46">
        <f>$B$8-AH298</f>
        <v/>
      </c>
      <c r="AI301" s="46">
        <f>$B$8-AI298</f>
        <v/>
      </c>
      <c r="AJ301" s="46">
        <f>$B$8-AJ298</f>
        <v/>
      </c>
      <c r="AK301" s="46">
        <f>$B$8-AK298</f>
        <v/>
      </c>
      <c r="AL301" s="46">
        <f>$B$8-AL298</f>
        <v/>
      </c>
      <c r="AM301" s="46">
        <f>$B$8-AM298</f>
        <v/>
      </c>
      <c r="AN301" s="46">
        <f>$B$8-AN298</f>
        <v/>
      </c>
      <c r="AO301" s="46">
        <f>$B$8-AO298</f>
        <v/>
      </c>
      <c r="AP301" s="46">
        <f>$B$8-AP298</f>
        <v/>
      </c>
      <c r="AQ301" s="46">
        <f>$B$8-AQ298</f>
        <v/>
      </c>
      <c r="AR301" s="46">
        <f>$B$8-AR298</f>
        <v/>
      </c>
      <c r="AS301" s="46">
        <f>$B$8-AS298</f>
        <v/>
      </c>
      <c r="AT301" s="46">
        <f>$B$8-AT298</f>
        <v/>
      </c>
      <c r="AU301" s="46">
        <f>$B$8-AU298</f>
        <v/>
      </c>
      <c r="AV301" s="46">
        <f>$B$8-AV298</f>
        <v/>
      </c>
      <c r="AW301" s="46">
        <f>$B$8-AW298</f>
        <v/>
      </c>
      <c r="AX301" s="46">
        <f>$B$8-AX298</f>
        <v/>
      </c>
      <c r="AY301" s="46">
        <f>$B$8-AY298</f>
        <v/>
      </c>
      <c r="AZ301" s="46">
        <f>$B$8-AZ298</f>
        <v/>
      </c>
      <c r="BA301" s="46">
        <f>$B$8-BA298</f>
        <v/>
      </c>
      <c r="BB301" s="46">
        <f>$B$8-BB298</f>
        <v/>
      </c>
      <c r="BC301" s="46">
        <f>$B$8-BC298</f>
        <v/>
      </c>
      <c r="BD301" s="46">
        <f>$B$8-BD298</f>
        <v/>
      </c>
    </row>
    <row r="302">
      <c r="A302" s="2" t="inlineStr">
        <is>
          <t xml:space="preserve">   Holds Garlic.</t>
        </is>
      </c>
    </row>
    <row r="304">
      <c r="A304" s="3" t="inlineStr">
        <is>
          <t>7 — CASH, WEEK BY WEEK</t>
        </is>
      </c>
    </row>
    <row r="305">
      <c r="A305" s="4" t="inlineStr">
        <is>
          <t>Opening cash</t>
        </is>
      </c>
      <c r="B305" s="18" t="n">
        <v>50000</v>
      </c>
      <c r="C305" s="2" t="inlineStr">
        <is>
          <t>what is in the bank on 1 January</t>
        </is>
      </c>
    </row>
    <row r="306">
      <c r="A306" s="4" t="inlineStr">
        <is>
          <t>Credit line</t>
        </is>
      </c>
      <c r="B306" s="18" t="n">
        <v>250000</v>
      </c>
      <c r="C306" s="2" t="inlineStr">
        <is>
          <t>how far below zero you may go</t>
        </is>
      </c>
    </row>
    <row r="307">
      <c r="A307" s="4" t="inlineStr">
        <is>
          <t>Fixed cost per week</t>
        </is>
      </c>
      <c r="B307" s="56">
        <f>$B$7*0.4807692307692308+$B$8*0.09615384615384616+$B$6*2.1367521367521367+1000+300*0.32051282051282054</f>
        <v/>
      </c>
      <c r="C307" s="2" t="inlineStr">
        <is>
          <t>cooler + barn depreciation, irrigation, machinery, equipment store — owed every week whether or not you plant</t>
        </is>
      </c>
    </row>
    <row r="308">
      <c r="A308" s="4" t="inlineStr">
        <is>
          <t>Overhead, % of revenue</t>
        </is>
      </c>
      <c r="B308" s="25" t="n">
        <v>0.16</v>
      </c>
      <c r="C308" s="2" t="inlineStr">
        <is>
          <t>insurance, admin, utilities — a share of what you sell</t>
        </is>
      </c>
    </row>
    <row r="309">
      <c r="A309" s="4" t="inlineStr">
        <is>
          <t>Interest APR on borrowing</t>
        </is>
      </c>
      <c r="B309" s="17" t="n">
        <v>0.07000000000000001</v>
      </c>
      <c r="C309" s="2" t="inlineStr">
        <is>
          <t>charged on what the credit line actually carries — reported below, not optimised over</t>
        </is>
      </c>
    </row>
    <row r="311">
      <c r="A311" s="32" t="inlineStr">
        <is>
          <t>Week</t>
        </is>
      </c>
      <c r="B311" s="33" t="inlineStr">
        <is>
          <t>$</t>
        </is>
      </c>
      <c r="E311" s="34" t="n">
        <v>1</v>
      </c>
      <c r="F311" s="34" t="n">
        <v>2</v>
      </c>
      <c r="G311" s="34" t="n">
        <v>3</v>
      </c>
      <c r="H311" s="34" t="n">
        <v>4</v>
      </c>
      <c r="I311" s="34" t="n">
        <v>5</v>
      </c>
      <c r="J311" s="34" t="n">
        <v>6</v>
      </c>
      <c r="K311" s="34" t="n">
        <v>7</v>
      </c>
      <c r="L311" s="34" t="n">
        <v>8</v>
      </c>
      <c r="M311" s="34" t="n">
        <v>9</v>
      </c>
      <c r="N311" s="34" t="n">
        <v>10</v>
      </c>
      <c r="O311" s="34" t="n">
        <v>11</v>
      </c>
      <c r="P311" s="34" t="n">
        <v>12</v>
      </c>
      <c r="Q311" s="34" t="n">
        <v>13</v>
      </c>
      <c r="R311" s="34" t="n">
        <v>14</v>
      </c>
      <c r="S311" s="34" t="n">
        <v>15</v>
      </c>
      <c r="T311" s="34" t="n">
        <v>16</v>
      </c>
      <c r="U311" s="34" t="n">
        <v>17</v>
      </c>
      <c r="V311" s="34" t="n">
        <v>18</v>
      </c>
      <c r="W311" s="34" t="n">
        <v>19</v>
      </c>
      <c r="X311" s="34" t="n">
        <v>20</v>
      </c>
      <c r="Y311" s="34" t="n">
        <v>21</v>
      </c>
      <c r="Z311" s="34" t="n">
        <v>22</v>
      </c>
      <c r="AA311" s="34" t="n">
        <v>23</v>
      </c>
      <c r="AB311" s="34" t="n">
        <v>24</v>
      </c>
      <c r="AC311" s="34" t="n">
        <v>25</v>
      </c>
      <c r="AD311" s="34" t="n">
        <v>26</v>
      </c>
      <c r="AE311" s="34" t="n">
        <v>27</v>
      </c>
      <c r="AF311" s="34" t="n">
        <v>28</v>
      </c>
      <c r="AG311" s="34" t="n">
        <v>29</v>
      </c>
      <c r="AH311" s="34" t="n">
        <v>30</v>
      </c>
      <c r="AI311" s="34" t="n">
        <v>31</v>
      </c>
      <c r="AJ311" s="34" t="n">
        <v>32</v>
      </c>
      <c r="AK311" s="34" t="n">
        <v>33</v>
      </c>
      <c r="AL311" s="34" t="n">
        <v>34</v>
      </c>
      <c r="AM311" s="34" t="n">
        <v>35</v>
      </c>
      <c r="AN311" s="34" t="n">
        <v>36</v>
      </c>
      <c r="AO311" s="34" t="n">
        <v>37</v>
      </c>
      <c r="AP311" s="34" t="n">
        <v>38</v>
      </c>
      <c r="AQ311" s="34" t="n">
        <v>39</v>
      </c>
      <c r="AR311" s="34" t="n">
        <v>40</v>
      </c>
      <c r="AS311" s="34" t="n">
        <v>41</v>
      </c>
      <c r="AT311" s="34" t="n">
        <v>42</v>
      </c>
      <c r="AU311" s="34" t="n">
        <v>43</v>
      </c>
      <c r="AV311" s="34" t="n">
        <v>44</v>
      </c>
      <c r="AW311" s="34" t="n">
        <v>45</v>
      </c>
      <c r="AX311" s="34" t="n">
        <v>46</v>
      </c>
      <c r="AY311" s="34" t="n">
        <v>47</v>
      </c>
      <c r="AZ311" s="34" t="n">
        <v>48</v>
      </c>
      <c r="BA311" s="34" t="n">
        <v>49</v>
      </c>
      <c r="BB311" s="34" t="n">
        <v>50</v>
      </c>
      <c r="BC311" s="34" t="n">
        <v>51</v>
      </c>
      <c r="BD311" s="34" t="n">
        <v>52</v>
      </c>
    </row>
    <row r="312">
      <c r="A312" s="4" t="inlineStr">
        <is>
          <t>Revenue</t>
        </is>
      </c>
      <c r="B312" s="2" t="inlineStr">
        <is>
          <t>$</t>
        </is>
      </c>
      <c r="E312" s="36">
        <f>E214*$I$19+E220*$I$20+E241*$I$21+E249*$I$22+E270*$I$23+E276*$I$24</f>
        <v/>
      </c>
      <c r="F312" s="36">
        <f>F214*$I$19+F220*$I$20+F241*$I$21+F249*$I$22+F270*$I$23+F276*$I$24</f>
        <v/>
      </c>
      <c r="G312" s="36">
        <f>G214*$I$19+G220*$I$20+G241*$I$21+G249*$I$22+G270*$I$23+G276*$I$24</f>
        <v/>
      </c>
      <c r="H312" s="36">
        <f>H214*$I$19+H220*$I$20+H241*$I$21+H249*$I$22+H270*$I$23+H276*$I$24</f>
        <v/>
      </c>
      <c r="I312" s="36">
        <f>I214*$I$19+I220*$I$20+I241*$I$21+I249*$I$22+I270*$I$23+I276*$I$24</f>
        <v/>
      </c>
      <c r="J312" s="36">
        <f>J214*$I$19+J220*$I$20+J241*$I$21+J249*$I$22+J270*$I$23+J276*$I$24</f>
        <v/>
      </c>
      <c r="K312" s="36">
        <f>K214*$I$19+K220*$I$20+K241*$I$21+K249*$I$22+K270*$I$23+K276*$I$24</f>
        <v/>
      </c>
      <c r="L312" s="36">
        <f>L214*$I$19+L220*$I$20+L241*$I$21+L249*$I$22+L270*$I$23+L276*$I$24</f>
        <v/>
      </c>
      <c r="M312" s="36">
        <f>M214*$I$19+M220*$I$20+M241*$I$21+M249*$I$22+M270*$I$23+M276*$I$24</f>
        <v/>
      </c>
      <c r="N312" s="36">
        <f>N214*$I$19+N220*$I$20+N241*$I$21+N249*$I$22+N270*$I$23+N276*$I$24</f>
        <v/>
      </c>
      <c r="O312" s="36">
        <f>O214*$I$19+O220*$I$20+O241*$I$21+O249*$I$22+O270*$I$23+O276*$I$24</f>
        <v/>
      </c>
      <c r="P312" s="36">
        <f>P214*$I$19+P220*$I$20+P241*$I$21+P249*$I$22+P270*$I$23+P276*$I$24</f>
        <v/>
      </c>
      <c r="Q312" s="36">
        <f>Q214*$I$19+Q220*$I$20+Q241*$I$21+Q249*$I$22+Q270*$I$23+Q276*$I$24</f>
        <v/>
      </c>
      <c r="R312" s="36">
        <f>R214*$I$19+R220*$I$20+R241*$I$21+R249*$I$22+R270*$I$23+R276*$I$24</f>
        <v/>
      </c>
      <c r="S312" s="36">
        <f>S214*$I$19+S220*$I$20+S241*$I$21+S249*$I$22+S270*$I$23+S276*$I$24</f>
        <v/>
      </c>
      <c r="T312" s="36">
        <f>T214*$I$19+T220*$I$20+T241*$I$21+T249*$I$22+T270*$I$23+T276*$I$24</f>
        <v/>
      </c>
      <c r="U312" s="36">
        <f>U214*$I$19+U220*$I$20+U241*$I$21+U249*$I$22+U270*$I$23+U276*$I$24</f>
        <v/>
      </c>
      <c r="V312" s="36">
        <f>V214*$I$19+V220*$I$20+V241*$I$21+V249*$I$22+V270*$I$23+V276*$I$24</f>
        <v/>
      </c>
      <c r="W312" s="36">
        <f>W214*$I$19+W220*$I$20+W241*$I$21+W249*$I$22+W270*$I$23+W276*$I$24</f>
        <v/>
      </c>
      <c r="X312" s="36">
        <f>X214*$I$19+X220*$I$20+X241*$I$21+X249*$I$22+X270*$I$23+X276*$I$24</f>
        <v/>
      </c>
      <c r="Y312" s="36">
        <f>Y214*$I$19+Y220*$I$20+Y241*$I$21+Y249*$I$22+Y270*$I$23+Y276*$I$24</f>
        <v/>
      </c>
      <c r="Z312" s="36">
        <f>Z214*$I$19+Z220*$I$20+Z241*$I$21+Z249*$I$22+Z270*$I$23+Z276*$I$24</f>
        <v/>
      </c>
      <c r="AA312" s="36">
        <f>AA214*$I$19+AA220*$I$20+AA241*$I$21+AA249*$I$22+AA270*$I$23+AA276*$I$24</f>
        <v/>
      </c>
      <c r="AB312" s="36">
        <f>AB214*$I$19+AB220*$I$20+AB241*$I$21+AB249*$I$22+AB270*$I$23+AB276*$I$24</f>
        <v/>
      </c>
      <c r="AC312" s="36">
        <f>AC214*$I$19+AC220*$I$20+AC241*$I$21+AC249*$I$22+AC270*$I$23+AC276*$I$24</f>
        <v/>
      </c>
      <c r="AD312" s="36">
        <f>AD214*$I$19+AD220*$I$20+AD241*$I$21+AD249*$I$22+AD270*$I$23+AD276*$I$24</f>
        <v/>
      </c>
      <c r="AE312" s="36">
        <f>AE214*$I$19+AE220*$I$20+AE241*$I$21+AE249*$I$22+AE270*$I$23+AE276*$I$24</f>
        <v/>
      </c>
      <c r="AF312" s="36">
        <f>AF214*$I$19+AF220*$I$20+AF241*$I$21+AF249*$I$22+AF270*$I$23+AF276*$I$24</f>
        <v/>
      </c>
      <c r="AG312" s="36">
        <f>AG214*$I$19+AG220*$I$20+AG241*$I$21+AG249*$I$22+AG270*$I$23+AG276*$I$24</f>
        <v/>
      </c>
      <c r="AH312" s="36">
        <f>AH214*$I$19+AH220*$I$20+AH241*$I$21+AH249*$I$22+AH270*$I$23+AH276*$I$24</f>
        <v/>
      </c>
      <c r="AI312" s="36">
        <f>AI214*$I$19+AI220*$I$20+AI241*$I$21+AI249*$I$22+AI270*$I$23+AI276*$I$24</f>
        <v/>
      </c>
      <c r="AJ312" s="36">
        <f>AJ214*$I$19+AJ220*$I$20+AJ241*$I$21+AJ249*$I$22+AJ270*$I$23+AJ276*$I$24</f>
        <v/>
      </c>
      <c r="AK312" s="36">
        <f>AK214*$I$19+AK220*$I$20+AK241*$I$21+AK249*$I$22+AK270*$I$23+AK276*$I$24</f>
        <v/>
      </c>
      <c r="AL312" s="36">
        <f>AL214*$I$19+AL220*$I$20+AL241*$I$21+AL249*$I$22+AL270*$I$23+AL276*$I$24</f>
        <v/>
      </c>
      <c r="AM312" s="36">
        <f>AM214*$I$19+AM220*$I$20+AM241*$I$21+AM249*$I$22+AM270*$I$23+AM276*$I$24</f>
        <v/>
      </c>
      <c r="AN312" s="36">
        <f>AN214*$I$19+AN220*$I$20+AN241*$I$21+AN249*$I$22+AN270*$I$23+AN276*$I$24</f>
        <v/>
      </c>
      <c r="AO312" s="36">
        <f>AO214*$I$19+AO220*$I$20+AO241*$I$21+AO249*$I$22+AO270*$I$23+AO276*$I$24</f>
        <v/>
      </c>
      <c r="AP312" s="36">
        <f>AP214*$I$19+AP220*$I$20+AP241*$I$21+AP249*$I$22+AP270*$I$23+AP276*$I$24</f>
        <v/>
      </c>
      <c r="AQ312" s="36">
        <f>AQ214*$I$19+AQ220*$I$20+AQ241*$I$21+AQ249*$I$22+AQ270*$I$23+AQ276*$I$24</f>
        <v/>
      </c>
      <c r="AR312" s="36">
        <f>AR214*$I$19+AR220*$I$20+AR241*$I$21+AR249*$I$22+AR270*$I$23+AR276*$I$24</f>
        <v/>
      </c>
      <c r="AS312" s="36">
        <f>AS214*$I$19+AS220*$I$20+AS241*$I$21+AS249*$I$22+AS270*$I$23+AS276*$I$24</f>
        <v/>
      </c>
      <c r="AT312" s="36">
        <f>AT214*$I$19+AT220*$I$20+AT241*$I$21+AT249*$I$22+AT270*$I$23+AT276*$I$24</f>
        <v/>
      </c>
      <c r="AU312" s="36">
        <f>AU214*$I$19+AU220*$I$20+AU241*$I$21+AU249*$I$22+AU270*$I$23+AU276*$I$24</f>
        <v/>
      </c>
      <c r="AV312" s="36">
        <f>AV214*$I$19+AV220*$I$20+AV241*$I$21+AV249*$I$22+AV270*$I$23+AV276*$I$24</f>
        <v/>
      </c>
      <c r="AW312" s="36">
        <f>AW214*$I$19+AW220*$I$20+AW241*$I$21+AW249*$I$22+AW270*$I$23+AW276*$I$24</f>
        <v/>
      </c>
      <c r="AX312" s="36">
        <f>AX214*$I$19+AX220*$I$20+AX241*$I$21+AX249*$I$22+AX270*$I$23+AX276*$I$24</f>
        <v/>
      </c>
      <c r="AY312" s="36">
        <f>AY214*$I$19+AY220*$I$20+AY241*$I$21+AY249*$I$22+AY270*$I$23+AY276*$I$24</f>
        <v/>
      </c>
      <c r="AZ312" s="36">
        <f>AZ214*$I$19+AZ220*$I$20+AZ241*$I$21+AZ249*$I$22+AZ270*$I$23+AZ276*$I$24</f>
        <v/>
      </c>
      <c r="BA312" s="36">
        <f>BA214*$I$19+BA220*$I$20+BA241*$I$21+BA249*$I$22+BA270*$I$23+BA276*$I$24</f>
        <v/>
      </c>
      <c r="BB312" s="36">
        <f>BB214*$I$19+BB220*$I$20+BB241*$I$21+BB249*$I$22+BB270*$I$23+BB276*$I$24</f>
        <v/>
      </c>
      <c r="BC312" s="36">
        <f>BC214*$I$19+BC220*$I$20+BC241*$I$21+BC249*$I$22+BC270*$I$23+BC276*$I$24</f>
        <v/>
      </c>
      <c r="BD312" s="36">
        <f>BD214*$I$19+BD220*$I$20+BD241*$I$21+BD249*$I$22+BD270*$I$23+BD276*$I$24</f>
        <v/>
      </c>
    </row>
    <row r="313">
      <c r="A313" s="28" t="inlineStr">
        <is>
          <t xml:space="preserve">  packaging</t>
        </is>
      </c>
      <c r="B313" s="2" t="inlineStr">
        <is>
          <t>$</t>
        </is>
      </c>
      <c r="E313" s="36">
        <f>E230+E259+E286</f>
        <v/>
      </c>
      <c r="F313" s="36">
        <f>F230+F259+F286</f>
        <v/>
      </c>
      <c r="G313" s="36">
        <f>G230+G259+G286</f>
        <v/>
      </c>
      <c r="H313" s="36">
        <f>H230+H259+H286</f>
        <v/>
      </c>
      <c r="I313" s="36">
        <f>I230+I259+I286</f>
        <v/>
      </c>
      <c r="J313" s="36">
        <f>J230+J259+J286</f>
        <v/>
      </c>
      <c r="K313" s="36">
        <f>K230+K259+K286</f>
        <v/>
      </c>
      <c r="L313" s="36">
        <f>L230+L259+L286</f>
        <v/>
      </c>
      <c r="M313" s="36">
        <f>M230+M259+M286</f>
        <v/>
      </c>
      <c r="N313" s="36">
        <f>N230+N259+N286</f>
        <v/>
      </c>
      <c r="O313" s="36">
        <f>O230+O259+O286</f>
        <v/>
      </c>
      <c r="P313" s="36">
        <f>P230+P259+P286</f>
        <v/>
      </c>
      <c r="Q313" s="36">
        <f>Q230+Q259+Q286</f>
        <v/>
      </c>
      <c r="R313" s="36">
        <f>R230+R259+R286</f>
        <v/>
      </c>
      <c r="S313" s="36">
        <f>S230+S259+S286</f>
        <v/>
      </c>
      <c r="T313" s="36">
        <f>T230+T259+T286</f>
        <v/>
      </c>
      <c r="U313" s="36">
        <f>U230+U259+U286</f>
        <v/>
      </c>
      <c r="V313" s="36">
        <f>V230+V259+V286</f>
        <v/>
      </c>
      <c r="W313" s="36">
        <f>W230+W259+W286</f>
        <v/>
      </c>
      <c r="X313" s="36">
        <f>X230+X259+X286</f>
        <v/>
      </c>
      <c r="Y313" s="36">
        <f>Y230+Y259+Y286</f>
        <v/>
      </c>
      <c r="Z313" s="36">
        <f>Z230+Z259+Z286</f>
        <v/>
      </c>
      <c r="AA313" s="36">
        <f>AA230+AA259+AA286</f>
        <v/>
      </c>
      <c r="AB313" s="36">
        <f>AB230+AB259+AB286</f>
        <v/>
      </c>
      <c r="AC313" s="36">
        <f>AC230+AC259+AC286</f>
        <v/>
      </c>
      <c r="AD313" s="36">
        <f>AD230+AD259+AD286</f>
        <v/>
      </c>
      <c r="AE313" s="36">
        <f>AE230+AE259+AE286</f>
        <v/>
      </c>
      <c r="AF313" s="36">
        <f>AF230+AF259+AF286</f>
        <v/>
      </c>
      <c r="AG313" s="36">
        <f>AG230+AG259+AG286</f>
        <v/>
      </c>
      <c r="AH313" s="36">
        <f>AH230+AH259+AH286</f>
        <v/>
      </c>
      <c r="AI313" s="36">
        <f>AI230+AI259+AI286</f>
        <v/>
      </c>
      <c r="AJ313" s="36">
        <f>AJ230+AJ259+AJ286</f>
        <v/>
      </c>
      <c r="AK313" s="36">
        <f>AK230+AK259+AK286</f>
        <v/>
      </c>
      <c r="AL313" s="36">
        <f>AL230+AL259+AL286</f>
        <v/>
      </c>
      <c r="AM313" s="36">
        <f>AM230+AM259+AM286</f>
        <v/>
      </c>
      <c r="AN313" s="36">
        <f>AN230+AN259+AN286</f>
        <v/>
      </c>
      <c r="AO313" s="36">
        <f>AO230+AO259+AO286</f>
        <v/>
      </c>
      <c r="AP313" s="36">
        <f>AP230+AP259+AP286</f>
        <v/>
      </c>
      <c r="AQ313" s="36">
        <f>AQ230+AQ259+AQ286</f>
        <v/>
      </c>
      <c r="AR313" s="36">
        <f>AR230+AR259+AR286</f>
        <v/>
      </c>
      <c r="AS313" s="36">
        <f>AS230+AS259+AS286</f>
        <v/>
      </c>
      <c r="AT313" s="36">
        <f>AT230+AT259+AT286</f>
        <v/>
      </c>
      <c r="AU313" s="36">
        <f>AU230+AU259+AU286</f>
        <v/>
      </c>
      <c r="AV313" s="36">
        <f>AV230+AV259+AV286</f>
        <v/>
      </c>
      <c r="AW313" s="36">
        <f>AW230+AW259+AW286</f>
        <v/>
      </c>
      <c r="AX313" s="36">
        <f>AX230+AX259+AX286</f>
        <v/>
      </c>
      <c r="AY313" s="36">
        <f>AY230+AY259+AY286</f>
        <v/>
      </c>
      <c r="AZ313" s="36">
        <f>AZ230+AZ259+AZ286</f>
        <v/>
      </c>
      <c r="BA313" s="36">
        <f>BA230+BA259+BA286</f>
        <v/>
      </c>
      <c r="BB313" s="36">
        <f>BB230+BB259+BB286</f>
        <v/>
      </c>
      <c r="BC313" s="36">
        <f>BC230+BC259+BC286</f>
        <v/>
      </c>
      <c r="BD313" s="36">
        <f>BD230+BD259+BD286</f>
        <v/>
      </c>
    </row>
    <row r="314">
      <c r="A314" s="28" t="inlineStr">
        <is>
          <t xml:space="preserve">  growing cost</t>
        </is>
      </c>
      <c r="B314" s="2" t="inlineStr">
        <is>
          <t>$</t>
        </is>
      </c>
      <c r="E314" s="36">
        <f>E229+E258+E285</f>
        <v/>
      </c>
      <c r="F314" s="36">
        <f>F229+F258+F285</f>
        <v/>
      </c>
      <c r="G314" s="36">
        <f>G229+G258+G285</f>
        <v/>
      </c>
      <c r="H314" s="36">
        <f>H229+H258+H285</f>
        <v/>
      </c>
      <c r="I314" s="36">
        <f>I229+I258+I285</f>
        <v/>
      </c>
      <c r="J314" s="36">
        <f>J229+J258+J285</f>
        <v/>
      </c>
      <c r="K314" s="36">
        <f>K229+K258+K285</f>
        <v/>
      </c>
      <c r="L314" s="36">
        <f>L229+L258+L285</f>
        <v/>
      </c>
      <c r="M314" s="36">
        <f>M229+M258+M285</f>
        <v/>
      </c>
      <c r="N314" s="36">
        <f>N229+N258+N285</f>
        <v/>
      </c>
      <c r="O314" s="36">
        <f>O229+O258+O285</f>
        <v/>
      </c>
      <c r="P314" s="36">
        <f>P229+P258+P285</f>
        <v/>
      </c>
      <c r="Q314" s="36">
        <f>Q229+Q258+Q285</f>
        <v/>
      </c>
      <c r="R314" s="36">
        <f>R229+R258+R285</f>
        <v/>
      </c>
      <c r="S314" s="36">
        <f>S229+S258+S285</f>
        <v/>
      </c>
      <c r="T314" s="36">
        <f>T229+T258+T285</f>
        <v/>
      </c>
      <c r="U314" s="36">
        <f>U229+U258+U285</f>
        <v/>
      </c>
      <c r="V314" s="36">
        <f>V229+V258+V285</f>
        <v/>
      </c>
      <c r="W314" s="36">
        <f>W229+W258+W285</f>
        <v/>
      </c>
      <c r="X314" s="36">
        <f>X229+X258+X285</f>
        <v/>
      </c>
      <c r="Y314" s="36">
        <f>Y229+Y258+Y285</f>
        <v/>
      </c>
      <c r="Z314" s="36">
        <f>Z229+Z258+Z285</f>
        <v/>
      </c>
      <c r="AA314" s="36">
        <f>AA229+AA258+AA285</f>
        <v/>
      </c>
      <c r="AB314" s="36">
        <f>AB229+AB258+AB285</f>
        <v/>
      </c>
      <c r="AC314" s="36">
        <f>AC229+AC258+AC285</f>
        <v/>
      </c>
      <c r="AD314" s="36">
        <f>AD229+AD258+AD285</f>
        <v/>
      </c>
      <c r="AE314" s="36">
        <f>AE229+AE258+AE285</f>
        <v/>
      </c>
      <c r="AF314" s="36">
        <f>AF229+AF258+AF285</f>
        <v/>
      </c>
      <c r="AG314" s="36">
        <f>AG229+AG258+AG285</f>
        <v/>
      </c>
      <c r="AH314" s="36">
        <f>AH229+AH258+AH285</f>
        <v/>
      </c>
      <c r="AI314" s="36">
        <f>AI229+AI258+AI285</f>
        <v/>
      </c>
      <c r="AJ314" s="36">
        <f>AJ229+AJ258+AJ285</f>
        <v/>
      </c>
      <c r="AK314" s="36">
        <f>AK229+AK258+AK285</f>
        <v/>
      </c>
      <c r="AL314" s="36">
        <f>AL229+AL258+AL285</f>
        <v/>
      </c>
      <c r="AM314" s="36">
        <f>AM229+AM258+AM285</f>
        <v/>
      </c>
      <c r="AN314" s="36">
        <f>AN229+AN258+AN285</f>
        <v/>
      </c>
      <c r="AO314" s="36">
        <f>AO229+AO258+AO285</f>
        <v/>
      </c>
      <c r="AP314" s="36">
        <f>AP229+AP258+AP285</f>
        <v/>
      </c>
      <c r="AQ314" s="36">
        <f>AQ229+AQ258+AQ285</f>
        <v/>
      </c>
      <c r="AR314" s="36">
        <f>AR229+AR258+AR285</f>
        <v/>
      </c>
      <c r="AS314" s="36">
        <f>AS229+AS258+AS285</f>
        <v/>
      </c>
      <c r="AT314" s="36">
        <f>AT229+AT258+AT285</f>
        <v/>
      </c>
      <c r="AU314" s="36">
        <f>AU229+AU258+AU285</f>
        <v/>
      </c>
      <c r="AV314" s="36">
        <f>AV229+AV258+AV285</f>
        <v/>
      </c>
      <c r="AW314" s="36">
        <f>AW229+AW258+AW285</f>
        <v/>
      </c>
      <c r="AX314" s="36">
        <f>AX229+AX258+AX285</f>
        <v/>
      </c>
      <c r="AY314" s="36">
        <f>AY229+AY258+AY285</f>
        <v/>
      </c>
      <c r="AZ314" s="36">
        <f>AZ229+AZ258+AZ285</f>
        <v/>
      </c>
      <c r="BA314" s="36">
        <f>BA229+BA258+BA285</f>
        <v/>
      </c>
      <c r="BB314" s="36">
        <f>BB229+BB258+BB285</f>
        <v/>
      </c>
      <c r="BC314" s="36">
        <f>BC229+BC258+BC285</f>
        <v/>
      </c>
      <c r="BD314" s="36">
        <f>BD229+BD258+BD285</f>
        <v/>
      </c>
    </row>
    <row r="315">
      <c r="A315" s="28" t="inlineStr">
        <is>
          <t xml:space="preserve">  fixed cost</t>
        </is>
      </c>
      <c r="B315" s="2" t="inlineStr">
        <is>
          <t>$</t>
        </is>
      </c>
      <c r="E315" s="36">
        <f>$B$307</f>
        <v/>
      </c>
      <c r="F315" s="36">
        <f>$B$307</f>
        <v/>
      </c>
      <c r="G315" s="36">
        <f>$B$307</f>
        <v/>
      </c>
      <c r="H315" s="36">
        <f>$B$307</f>
        <v/>
      </c>
      <c r="I315" s="36">
        <f>$B$307</f>
        <v/>
      </c>
      <c r="J315" s="36">
        <f>$B$307</f>
        <v/>
      </c>
      <c r="K315" s="36">
        <f>$B$307</f>
        <v/>
      </c>
      <c r="L315" s="36">
        <f>$B$307</f>
        <v/>
      </c>
      <c r="M315" s="36">
        <f>$B$307</f>
        <v/>
      </c>
      <c r="N315" s="36">
        <f>$B$307</f>
        <v/>
      </c>
      <c r="O315" s="36">
        <f>$B$307</f>
        <v/>
      </c>
      <c r="P315" s="36">
        <f>$B$307</f>
        <v/>
      </c>
      <c r="Q315" s="36">
        <f>$B$307</f>
        <v/>
      </c>
      <c r="R315" s="36">
        <f>$B$307</f>
        <v/>
      </c>
      <c r="S315" s="36">
        <f>$B$307</f>
        <v/>
      </c>
      <c r="T315" s="36">
        <f>$B$307</f>
        <v/>
      </c>
      <c r="U315" s="36">
        <f>$B$307</f>
        <v/>
      </c>
      <c r="V315" s="36">
        <f>$B$307</f>
        <v/>
      </c>
      <c r="W315" s="36">
        <f>$B$307</f>
        <v/>
      </c>
      <c r="X315" s="36">
        <f>$B$307</f>
        <v/>
      </c>
      <c r="Y315" s="36">
        <f>$B$307</f>
        <v/>
      </c>
      <c r="Z315" s="36">
        <f>$B$307</f>
        <v/>
      </c>
      <c r="AA315" s="36">
        <f>$B$307</f>
        <v/>
      </c>
      <c r="AB315" s="36">
        <f>$B$307</f>
        <v/>
      </c>
      <c r="AC315" s="36">
        <f>$B$307</f>
        <v/>
      </c>
      <c r="AD315" s="36">
        <f>$B$307</f>
        <v/>
      </c>
      <c r="AE315" s="36">
        <f>$B$307</f>
        <v/>
      </c>
      <c r="AF315" s="36">
        <f>$B$307</f>
        <v/>
      </c>
      <c r="AG315" s="36">
        <f>$B$307</f>
        <v/>
      </c>
      <c r="AH315" s="36">
        <f>$B$307</f>
        <v/>
      </c>
      <c r="AI315" s="36">
        <f>$B$307</f>
        <v/>
      </c>
      <c r="AJ315" s="36">
        <f>$B$307</f>
        <v/>
      </c>
      <c r="AK315" s="36">
        <f>$B$307</f>
        <v/>
      </c>
      <c r="AL315" s="36">
        <f>$B$307</f>
        <v/>
      </c>
      <c r="AM315" s="36">
        <f>$B$307</f>
        <v/>
      </c>
      <c r="AN315" s="36">
        <f>$B$307</f>
        <v/>
      </c>
      <c r="AO315" s="36">
        <f>$B$307</f>
        <v/>
      </c>
      <c r="AP315" s="36">
        <f>$B$307</f>
        <v/>
      </c>
      <c r="AQ315" s="36">
        <f>$B$307</f>
        <v/>
      </c>
      <c r="AR315" s="36">
        <f>$B$307</f>
        <v/>
      </c>
      <c r="AS315" s="36">
        <f>$B$307</f>
        <v/>
      </c>
      <c r="AT315" s="36">
        <f>$B$307</f>
        <v/>
      </c>
      <c r="AU315" s="36">
        <f>$B$307</f>
        <v/>
      </c>
      <c r="AV315" s="36">
        <f>$B$307</f>
        <v/>
      </c>
      <c r="AW315" s="36">
        <f>$B$307</f>
        <v/>
      </c>
      <c r="AX315" s="36">
        <f>$B$307</f>
        <v/>
      </c>
      <c r="AY315" s="36">
        <f>$B$307</f>
        <v/>
      </c>
      <c r="AZ315" s="36">
        <f>$B$307</f>
        <v/>
      </c>
      <c r="BA315" s="36">
        <f>$B$307</f>
        <v/>
      </c>
      <c r="BB315" s="36">
        <f>$B$307</f>
        <v/>
      </c>
      <c r="BC315" s="36">
        <f>$B$307</f>
        <v/>
      </c>
      <c r="BD315" s="36">
        <f>$B$307</f>
        <v/>
      </c>
    </row>
    <row r="316">
      <c r="A316" s="28" t="inlineStr">
        <is>
          <t xml:space="preserve">  overhead</t>
        </is>
      </c>
      <c r="B316" s="2" t="inlineStr">
        <is>
          <t>$</t>
        </is>
      </c>
      <c r="E316" s="36">
        <f>E312*$B$308</f>
        <v/>
      </c>
      <c r="F316" s="36">
        <f>F312*$B$308</f>
        <v/>
      </c>
      <c r="G316" s="36">
        <f>G312*$B$308</f>
        <v/>
      </c>
      <c r="H316" s="36">
        <f>H312*$B$308</f>
        <v/>
      </c>
      <c r="I316" s="36">
        <f>I312*$B$308</f>
        <v/>
      </c>
      <c r="J316" s="36">
        <f>J312*$B$308</f>
        <v/>
      </c>
      <c r="K316" s="36">
        <f>K312*$B$308</f>
        <v/>
      </c>
      <c r="L316" s="36">
        <f>L312*$B$308</f>
        <v/>
      </c>
      <c r="M316" s="36">
        <f>M312*$B$308</f>
        <v/>
      </c>
      <c r="N316" s="36">
        <f>N312*$B$308</f>
        <v/>
      </c>
      <c r="O316" s="36">
        <f>O312*$B$308</f>
        <v/>
      </c>
      <c r="P316" s="36">
        <f>P312*$B$308</f>
        <v/>
      </c>
      <c r="Q316" s="36">
        <f>Q312*$B$308</f>
        <v/>
      </c>
      <c r="R316" s="36">
        <f>R312*$B$308</f>
        <v/>
      </c>
      <c r="S316" s="36">
        <f>S312*$B$308</f>
        <v/>
      </c>
      <c r="T316" s="36">
        <f>T312*$B$308</f>
        <v/>
      </c>
      <c r="U316" s="36">
        <f>U312*$B$308</f>
        <v/>
      </c>
      <c r="V316" s="36">
        <f>V312*$B$308</f>
        <v/>
      </c>
      <c r="W316" s="36">
        <f>W312*$B$308</f>
        <v/>
      </c>
      <c r="X316" s="36">
        <f>X312*$B$308</f>
        <v/>
      </c>
      <c r="Y316" s="36">
        <f>Y312*$B$308</f>
        <v/>
      </c>
      <c r="Z316" s="36">
        <f>Z312*$B$308</f>
        <v/>
      </c>
      <c r="AA316" s="36">
        <f>AA312*$B$308</f>
        <v/>
      </c>
      <c r="AB316" s="36">
        <f>AB312*$B$308</f>
        <v/>
      </c>
      <c r="AC316" s="36">
        <f>AC312*$B$308</f>
        <v/>
      </c>
      <c r="AD316" s="36">
        <f>AD312*$B$308</f>
        <v/>
      </c>
      <c r="AE316" s="36">
        <f>AE312*$B$308</f>
        <v/>
      </c>
      <c r="AF316" s="36">
        <f>AF312*$B$308</f>
        <v/>
      </c>
      <c r="AG316" s="36">
        <f>AG312*$B$308</f>
        <v/>
      </c>
      <c r="AH316" s="36">
        <f>AH312*$B$308</f>
        <v/>
      </c>
      <c r="AI316" s="36">
        <f>AI312*$B$308</f>
        <v/>
      </c>
      <c r="AJ316" s="36">
        <f>AJ312*$B$308</f>
        <v/>
      </c>
      <c r="AK316" s="36">
        <f>AK312*$B$308</f>
        <v/>
      </c>
      <c r="AL316" s="36">
        <f>AL312*$B$308</f>
        <v/>
      </c>
      <c r="AM316" s="36">
        <f>AM312*$B$308</f>
        <v/>
      </c>
      <c r="AN316" s="36">
        <f>AN312*$B$308</f>
        <v/>
      </c>
      <c r="AO316" s="36">
        <f>AO312*$B$308</f>
        <v/>
      </c>
      <c r="AP316" s="36">
        <f>AP312*$B$308</f>
        <v/>
      </c>
      <c r="AQ316" s="36">
        <f>AQ312*$B$308</f>
        <v/>
      </c>
      <c r="AR316" s="36">
        <f>AR312*$B$308</f>
        <v/>
      </c>
      <c r="AS316" s="36">
        <f>AS312*$B$308</f>
        <v/>
      </c>
      <c r="AT316" s="36">
        <f>AT312*$B$308</f>
        <v/>
      </c>
      <c r="AU316" s="36">
        <f>AU312*$B$308</f>
        <v/>
      </c>
      <c r="AV316" s="36">
        <f>AV312*$B$308</f>
        <v/>
      </c>
      <c r="AW316" s="36">
        <f>AW312*$B$308</f>
        <v/>
      </c>
      <c r="AX316" s="36">
        <f>AX312*$B$308</f>
        <v/>
      </c>
      <c r="AY316" s="36">
        <f>AY312*$B$308</f>
        <v/>
      </c>
      <c r="AZ316" s="36">
        <f>AZ312*$B$308</f>
        <v/>
      </c>
      <c r="BA316" s="36">
        <f>BA312*$B$308</f>
        <v/>
      </c>
      <c r="BB316" s="36">
        <f>BB312*$B$308</f>
        <v/>
      </c>
      <c r="BC316" s="36">
        <f>BC312*$B$308</f>
        <v/>
      </c>
      <c r="BD316" s="36">
        <f>BD312*$B$308</f>
        <v/>
      </c>
    </row>
    <row r="317">
      <c r="A317" s="28" t="inlineStr">
        <is>
          <t xml:space="preserve">  wages</t>
        </is>
      </c>
      <c r="B317" s="2" t="inlineStr">
        <is>
          <t>$</t>
        </is>
      </c>
      <c r="E317" s="36">
        <f>E197</f>
        <v/>
      </c>
      <c r="F317" s="36">
        <f>F197</f>
        <v/>
      </c>
      <c r="G317" s="36">
        <f>G197</f>
        <v/>
      </c>
      <c r="H317" s="36">
        <f>H197</f>
        <v/>
      </c>
      <c r="I317" s="36">
        <f>I197</f>
        <v/>
      </c>
      <c r="J317" s="36">
        <f>J197</f>
        <v/>
      </c>
      <c r="K317" s="36">
        <f>K197</f>
        <v/>
      </c>
      <c r="L317" s="36">
        <f>L197</f>
        <v/>
      </c>
      <c r="M317" s="36">
        <f>M197</f>
        <v/>
      </c>
      <c r="N317" s="36">
        <f>N197</f>
        <v/>
      </c>
      <c r="O317" s="36">
        <f>O197</f>
        <v/>
      </c>
      <c r="P317" s="36">
        <f>P197</f>
        <v/>
      </c>
      <c r="Q317" s="36">
        <f>Q197</f>
        <v/>
      </c>
      <c r="R317" s="36">
        <f>R197</f>
        <v/>
      </c>
      <c r="S317" s="36">
        <f>S197</f>
        <v/>
      </c>
      <c r="T317" s="36">
        <f>T197</f>
        <v/>
      </c>
      <c r="U317" s="36">
        <f>U197</f>
        <v/>
      </c>
      <c r="V317" s="36">
        <f>V197</f>
        <v/>
      </c>
      <c r="W317" s="36">
        <f>W197</f>
        <v/>
      </c>
      <c r="X317" s="36">
        <f>X197</f>
        <v/>
      </c>
      <c r="Y317" s="36">
        <f>Y197</f>
        <v/>
      </c>
      <c r="Z317" s="36">
        <f>Z197</f>
        <v/>
      </c>
      <c r="AA317" s="36">
        <f>AA197</f>
        <v/>
      </c>
      <c r="AB317" s="36">
        <f>AB197</f>
        <v/>
      </c>
      <c r="AC317" s="36">
        <f>AC197</f>
        <v/>
      </c>
      <c r="AD317" s="36">
        <f>AD197</f>
        <v/>
      </c>
      <c r="AE317" s="36">
        <f>AE197</f>
        <v/>
      </c>
      <c r="AF317" s="36">
        <f>AF197</f>
        <v/>
      </c>
      <c r="AG317" s="36">
        <f>AG197</f>
        <v/>
      </c>
      <c r="AH317" s="36">
        <f>AH197</f>
        <v/>
      </c>
      <c r="AI317" s="36">
        <f>AI197</f>
        <v/>
      </c>
      <c r="AJ317" s="36">
        <f>AJ197</f>
        <v/>
      </c>
      <c r="AK317" s="36">
        <f>AK197</f>
        <v/>
      </c>
      <c r="AL317" s="36">
        <f>AL197</f>
        <v/>
      </c>
      <c r="AM317" s="36">
        <f>AM197</f>
        <v/>
      </c>
      <c r="AN317" s="36">
        <f>AN197</f>
        <v/>
      </c>
      <c r="AO317" s="36">
        <f>AO197</f>
        <v/>
      </c>
      <c r="AP317" s="36">
        <f>AP197</f>
        <v/>
      </c>
      <c r="AQ317" s="36">
        <f>AQ197</f>
        <v/>
      </c>
      <c r="AR317" s="36">
        <f>AR197</f>
        <v/>
      </c>
      <c r="AS317" s="36">
        <f>AS197</f>
        <v/>
      </c>
      <c r="AT317" s="36">
        <f>AT197</f>
        <v/>
      </c>
      <c r="AU317" s="36">
        <f>AU197</f>
        <v/>
      </c>
      <c r="AV317" s="36">
        <f>AV197</f>
        <v/>
      </c>
      <c r="AW317" s="36">
        <f>AW197</f>
        <v/>
      </c>
      <c r="AX317" s="36">
        <f>AX197</f>
        <v/>
      </c>
      <c r="AY317" s="36">
        <f>AY197</f>
        <v/>
      </c>
      <c r="AZ317" s="36">
        <f>AZ197</f>
        <v/>
      </c>
      <c r="BA317" s="36">
        <f>BA197</f>
        <v/>
      </c>
      <c r="BB317" s="36">
        <f>BB197</f>
        <v/>
      </c>
      <c r="BC317" s="36">
        <f>BC197</f>
        <v/>
      </c>
      <c r="BD317" s="36">
        <f>BD197</f>
        <v/>
      </c>
    </row>
    <row r="318">
      <c r="A318" s="28" t="inlineStr">
        <is>
          <t xml:space="preserve">  overtime</t>
        </is>
      </c>
      <c r="B318" s="2" t="inlineStr">
        <is>
          <t>$</t>
        </is>
      </c>
      <c r="E318" s="36">
        <f>E201</f>
        <v/>
      </c>
      <c r="F318" s="36">
        <f>F201</f>
        <v/>
      </c>
      <c r="G318" s="36">
        <f>G201</f>
        <v/>
      </c>
      <c r="H318" s="36">
        <f>H201</f>
        <v/>
      </c>
      <c r="I318" s="36">
        <f>I201</f>
        <v/>
      </c>
      <c r="J318" s="36">
        <f>J201</f>
        <v/>
      </c>
      <c r="K318" s="36">
        <f>K201</f>
        <v/>
      </c>
      <c r="L318" s="36">
        <f>L201</f>
        <v/>
      </c>
      <c r="M318" s="36">
        <f>M201</f>
        <v/>
      </c>
      <c r="N318" s="36">
        <f>N201</f>
        <v/>
      </c>
      <c r="O318" s="36">
        <f>O201</f>
        <v/>
      </c>
      <c r="P318" s="36">
        <f>P201</f>
        <v/>
      </c>
      <c r="Q318" s="36">
        <f>Q201</f>
        <v/>
      </c>
      <c r="R318" s="36">
        <f>R201</f>
        <v/>
      </c>
      <c r="S318" s="36">
        <f>S201</f>
        <v/>
      </c>
      <c r="T318" s="36">
        <f>T201</f>
        <v/>
      </c>
      <c r="U318" s="36">
        <f>U201</f>
        <v/>
      </c>
      <c r="V318" s="36">
        <f>V201</f>
        <v/>
      </c>
      <c r="W318" s="36">
        <f>W201</f>
        <v/>
      </c>
      <c r="X318" s="36">
        <f>X201</f>
        <v/>
      </c>
      <c r="Y318" s="36">
        <f>Y201</f>
        <v/>
      </c>
      <c r="Z318" s="36">
        <f>Z201</f>
        <v/>
      </c>
      <c r="AA318" s="36">
        <f>AA201</f>
        <v/>
      </c>
      <c r="AB318" s="36">
        <f>AB201</f>
        <v/>
      </c>
      <c r="AC318" s="36">
        <f>AC201</f>
        <v/>
      </c>
      <c r="AD318" s="36">
        <f>AD201</f>
        <v/>
      </c>
      <c r="AE318" s="36">
        <f>AE201</f>
        <v/>
      </c>
      <c r="AF318" s="36">
        <f>AF201</f>
        <v/>
      </c>
      <c r="AG318" s="36">
        <f>AG201</f>
        <v/>
      </c>
      <c r="AH318" s="36">
        <f>AH201</f>
        <v/>
      </c>
      <c r="AI318" s="36">
        <f>AI201</f>
        <v/>
      </c>
      <c r="AJ318" s="36">
        <f>AJ201</f>
        <v/>
      </c>
      <c r="AK318" s="36">
        <f>AK201</f>
        <v/>
      </c>
      <c r="AL318" s="36">
        <f>AL201</f>
        <v/>
      </c>
      <c r="AM318" s="36">
        <f>AM201</f>
        <v/>
      </c>
      <c r="AN318" s="36">
        <f>AN201</f>
        <v/>
      </c>
      <c r="AO318" s="36">
        <f>AO201</f>
        <v/>
      </c>
      <c r="AP318" s="36">
        <f>AP201</f>
        <v/>
      </c>
      <c r="AQ318" s="36">
        <f>AQ201</f>
        <v/>
      </c>
      <c r="AR318" s="36">
        <f>AR201</f>
        <v/>
      </c>
      <c r="AS318" s="36">
        <f>AS201</f>
        <v/>
      </c>
      <c r="AT318" s="36">
        <f>AT201</f>
        <v/>
      </c>
      <c r="AU318" s="36">
        <f>AU201</f>
        <v/>
      </c>
      <c r="AV318" s="36">
        <f>AV201</f>
        <v/>
      </c>
      <c r="AW318" s="36">
        <f>AW201</f>
        <v/>
      </c>
      <c r="AX318" s="36">
        <f>AX201</f>
        <v/>
      </c>
      <c r="AY318" s="36">
        <f>AY201</f>
        <v/>
      </c>
      <c r="AZ318" s="36">
        <f>AZ201</f>
        <v/>
      </c>
      <c r="BA318" s="36">
        <f>BA201</f>
        <v/>
      </c>
      <c r="BB318" s="36">
        <f>BB201</f>
        <v/>
      </c>
      <c r="BC318" s="36">
        <f>BC201</f>
        <v/>
      </c>
      <c r="BD318" s="36">
        <f>BD201</f>
        <v/>
      </c>
    </row>
    <row r="319">
      <c r="A319" s="28" t="inlineStr">
        <is>
          <t xml:space="preserve">  new-head one-off</t>
        </is>
      </c>
      <c r="B319" s="2" t="inlineStr">
        <is>
          <t>$</t>
        </is>
      </c>
      <c r="E319" s="36">
        <f>E199</f>
        <v/>
      </c>
      <c r="F319" s="36">
        <f>F199</f>
        <v/>
      </c>
      <c r="G319" s="36">
        <f>G199</f>
        <v/>
      </c>
      <c r="H319" s="36">
        <f>H199</f>
        <v/>
      </c>
      <c r="I319" s="36">
        <f>I199</f>
        <v/>
      </c>
      <c r="J319" s="36">
        <f>J199</f>
        <v/>
      </c>
      <c r="K319" s="36">
        <f>K199</f>
        <v/>
      </c>
      <c r="L319" s="36">
        <f>L199</f>
        <v/>
      </c>
      <c r="M319" s="36">
        <f>M199</f>
        <v/>
      </c>
      <c r="N319" s="36">
        <f>N199</f>
        <v/>
      </c>
      <c r="O319" s="36">
        <f>O199</f>
        <v/>
      </c>
      <c r="P319" s="36">
        <f>P199</f>
        <v/>
      </c>
      <c r="Q319" s="36">
        <f>Q199</f>
        <v/>
      </c>
      <c r="R319" s="36">
        <f>R199</f>
        <v/>
      </c>
      <c r="S319" s="36">
        <f>S199</f>
        <v/>
      </c>
      <c r="T319" s="36">
        <f>T199</f>
        <v/>
      </c>
      <c r="U319" s="36">
        <f>U199</f>
        <v/>
      </c>
      <c r="V319" s="36">
        <f>V199</f>
        <v/>
      </c>
      <c r="W319" s="36">
        <f>W199</f>
        <v/>
      </c>
      <c r="X319" s="36">
        <f>X199</f>
        <v/>
      </c>
      <c r="Y319" s="36">
        <f>Y199</f>
        <v/>
      </c>
      <c r="Z319" s="36">
        <f>Z199</f>
        <v/>
      </c>
      <c r="AA319" s="36">
        <f>AA199</f>
        <v/>
      </c>
      <c r="AB319" s="36">
        <f>AB199</f>
        <v/>
      </c>
      <c r="AC319" s="36">
        <f>AC199</f>
        <v/>
      </c>
      <c r="AD319" s="36">
        <f>AD199</f>
        <v/>
      </c>
      <c r="AE319" s="36">
        <f>AE199</f>
        <v/>
      </c>
      <c r="AF319" s="36">
        <f>AF199</f>
        <v/>
      </c>
      <c r="AG319" s="36">
        <f>AG199</f>
        <v/>
      </c>
      <c r="AH319" s="36">
        <f>AH199</f>
        <v/>
      </c>
      <c r="AI319" s="36">
        <f>AI199</f>
        <v/>
      </c>
      <c r="AJ319" s="36">
        <f>AJ199</f>
        <v/>
      </c>
      <c r="AK319" s="36">
        <f>AK199</f>
        <v/>
      </c>
      <c r="AL319" s="36">
        <f>AL199</f>
        <v/>
      </c>
      <c r="AM319" s="36">
        <f>AM199</f>
        <v/>
      </c>
      <c r="AN319" s="36">
        <f>AN199</f>
        <v/>
      </c>
      <c r="AO319" s="36">
        <f>AO199</f>
        <v/>
      </c>
      <c r="AP319" s="36">
        <f>AP199</f>
        <v/>
      </c>
      <c r="AQ319" s="36">
        <f>AQ199</f>
        <v/>
      </c>
      <c r="AR319" s="36">
        <f>AR199</f>
        <v/>
      </c>
      <c r="AS319" s="36">
        <f>AS199</f>
        <v/>
      </c>
      <c r="AT319" s="36">
        <f>AT199</f>
        <v/>
      </c>
      <c r="AU319" s="36">
        <f>AU199</f>
        <v/>
      </c>
      <c r="AV319" s="36">
        <f>AV199</f>
        <v/>
      </c>
      <c r="AW319" s="36">
        <f>AW199</f>
        <v/>
      </c>
      <c r="AX319" s="36">
        <f>AX199</f>
        <v/>
      </c>
      <c r="AY319" s="36">
        <f>AY199</f>
        <v/>
      </c>
      <c r="AZ319" s="36">
        <f>AZ199</f>
        <v/>
      </c>
      <c r="BA319" s="36">
        <f>BA199</f>
        <v/>
      </c>
      <c r="BB319" s="36">
        <f>BB199</f>
        <v/>
      </c>
      <c r="BC319" s="36">
        <f>BC199</f>
        <v/>
      </c>
      <c r="BD319" s="36">
        <f>BD199</f>
        <v/>
      </c>
    </row>
    <row r="320">
      <c r="A320" s="28" t="inlineStr">
        <is>
          <t xml:space="preserve">  piece rate (COGS)</t>
        </is>
      </c>
      <c r="B320" s="2" t="inlineStr">
        <is>
          <t>$</t>
        </is>
      </c>
      <c r="E320" s="36">
        <f>E203</f>
        <v/>
      </c>
      <c r="F320" s="36">
        <f>F203</f>
        <v/>
      </c>
      <c r="G320" s="36">
        <f>G203</f>
        <v/>
      </c>
      <c r="H320" s="36">
        <f>H203</f>
        <v/>
      </c>
      <c r="I320" s="36">
        <f>I203</f>
        <v/>
      </c>
      <c r="J320" s="36">
        <f>J203</f>
        <v/>
      </c>
      <c r="K320" s="36">
        <f>K203</f>
        <v/>
      </c>
      <c r="L320" s="36">
        <f>L203</f>
        <v/>
      </c>
      <c r="M320" s="36">
        <f>M203</f>
        <v/>
      </c>
      <c r="N320" s="36">
        <f>N203</f>
        <v/>
      </c>
      <c r="O320" s="36">
        <f>O203</f>
        <v/>
      </c>
      <c r="P320" s="36">
        <f>P203</f>
        <v/>
      </c>
      <c r="Q320" s="36">
        <f>Q203</f>
        <v/>
      </c>
      <c r="R320" s="36">
        <f>R203</f>
        <v/>
      </c>
      <c r="S320" s="36">
        <f>S203</f>
        <v/>
      </c>
      <c r="T320" s="36">
        <f>T203</f>
        <v/>
      </c>
      <c r="U320" s="36">
        <f>U203</f>
        <v/>
      </c>
      <c r="V320" s="36">
        <f>V203</f>
        <v/>
      </c>
      <c r="W320" s="36">
        <f>W203</f>
        <v/>
      </c>
      <c r="X320" s="36">
        <f>X203</f>
        <v/>
      </c>
      <c r="Y320" s="36">
        <f>Y203</f>
        <v/>
      </c>
      <c r="Z320" s="36">
        <f>Z203</f>
        <v/>
      </c>
      <c r="AA320" s="36">
        <f>AA203</f>
        <v/>
      </c>
      <c r="AB320" s="36">
        <f>AB203</f>
        <v/>
      </c>
      <c r="AC320" s="36">
        <f>AC203</f>
        <v/>
      </c>
      <c r="AD320" s="36">
        <f>AD203</f>
        <v/>
      </c>
      <c r="AE320" s="36">
        <f>AE203</f>
        <v/>
      </c>
      <c r="AF320" s="36">
        <f>AF203</f>
        <v/>
      </c>
      <c r="AG320" s="36">
        <f>AG203</f>
        <v/>
      </c>
      <c r="AH320" s="36">
        <f>AH203</f>
        <v/>
      </c>
      <c r="AI320" s="36">
        <f>AI203</f>
        <v/>
      </c>
      <c r="AJ320" s="36">
        <f>AJ203</f>
        <v/>
      </c>
      <c r="AK320" s="36">
        <f>AK203</f>
        <v/>
      </c>
      <c r="AL320" s="36">
        <f>AL203</f>
        <v/>
      </c>
      <c r="AM320" s="36">
        <f>AM203</f>
        <v/>
      </c>
      <c r="AN320" s="36">
        <f>AN203</f>
        <v/>
      </c>
      <c r="AO320" s="36">
        <f>AO203</f>
        <v/>
      </c>
      <c r="AP320" s="36">
        <f>AP203</f>
        <v/>
      </c>
      <c r="AQ320" s="36">
        <f>AQ203</f>
        <v/>
      </c>
      <c r="AR320" s="36">
        <f>AR203</f>
        <v/>
      </c>
      <c r="AS320" s="36">
        <f>AS203</f>
        <v/>
      </c>
      <c r="AT320" s="36">
        <f>AT203</f>
        <v/>
      </c>
      <c r="AU320" s="36">
        <f>AU203</f>
        <v/>
      </c>
      <c r="AV320" s="36">
        <f>AV203</f>
        <v/>
      </c>
      <c r="AW320" s="36">
        <f>AW203</f>
        <v/>
      </c>
      <c r="AX320" s="36">
        <f>AX203</f>
        <v/>
      </c>
      <c r="AY320" s="36">
        <f>AY203</f>
        <v/>
      </c>
      <c r="AZ320" s="36">
        <f>AZ203</f>
        <v/>
      </c>
      <c r="BA320" s="36">
        <f>BA203</f>
        <v/>
      </c>
      <c r="BB320" s="36">
        <f>BB203</f>
        <v/>
      </c>
      <c r="BC320" s="36">
        <f>BC203</f>
        <v/>
      </c>
      <c r="BD320" s="36">
        <f>BD203</f>
        <v/>
      </c>
    </row>
    <row r="321">
      <c r="A321" s="4" t="inlineStr">
        <is>
          <t>NET CASH this week</t>
        </is>
      </c>
      <c r="B321" s="2" t="inlineStr">
        <is>
          <t>$</t>
        </is>
      </c>
      <c r="E321" s="36">
        <f>E312-E313-E314-E315-E316-E317-E318-E319-E320</f>
        <v/>
      </c>
      <c r="F321" s="36">
        <f>F312-F313-F314-F315-F316-F317-F318-F319-F320</f>
        <v/>
      </c>
      <c r="G321" s="36">
        <f>G312-G313-G314-G315-G316-G317-G318-G319-G320</f>
        <v/>
      </c>
      <c r="H321" s="36">
        <f>H312-H313-H314-H315-H316-H317-H318-H319-H320</f>
        <v/>
      </c>
      <c r="I321" s="36">
        <f>I312-I313-I314-I315-I316-I317-I318-I319-I320</f>
        <v/>
      </c>
      <c r="J321" s="36">
        <f>J312-J313-J314-J315-J316-J317-J318-J319-J320</f>
        <v/>
      </c>
      <c r="K321" s="36">
        <f>K312-K313-K314-K315-K316-K317-K318-K319-K320</f>
        <v/>
      </c>
      <c r="L321" s="36">
        <f>L312-L313-L314-L315-L316-L317-L318-L319-L320</f>
        <v/>
      </c>
      <c r="M321" s="36">
        <f>M312-M313-M314-M315-M316-M317-M318-M319-M320</f>
        <v/>
      </c>
      <c r="N321" s="36">
        <f>N312-N313-N314-N315-N316-N317-N318-N319-N320</f>
        <v/>
      </c>
      <c r="O321" s="36">
        <f>O312-O313-O314-O315-O316-O317-O318-O319-O320</f>
        <v/>
      </c>
      <c r="P321" s="36">
        <f>P312-P313-P314-P315-P316-P317-P318-P319-P320</f>
        <v/>
      </c>
      <c r="Q321" s="36">
        <f>Q312-Q313-Q314-Q315-Q316-Q317-Q318-Q319-Q320</f>
        <v/>
      </c>
      <c r="R321" s="36">
        <f>R312-R313-R314-R315-R316-R317-R318-R319-R320</f>
        <v/>
      </c>
      <c r="S321" s="36">
        <f>S312-S313-S314-S315-S316-S317-S318-S319-S320</f>
        <v/>
      </c>
      <c r="T321" s="36">
        <f>T312-T313-T314-T315-T316-T317-T318-T319-T320</f>
        <v/>
      </c>
      <c r="U321" s="36">
        <f>U312-U313-U314-U315-U316-U317-U318-U319-U320</f>
        <v/>
      </c>
      <c r="V321" s="36">
        <f>V312-V313-V314-V315-V316-V317-V318-V319-V320</f>
        <v/>
      </c>
      <c r="W321" s="36">
        <f>W312-W313-W314-W315-W316-W317-W318-W319-W320</f>
        <v/>
      </c>
      <c r="X321" s="36">
        <f>X312-X313-X314-X315-X316-X317-X318-X319-X320</f>
        <v/>
      </c>
      <c r="Y321" s="36">
        <f>Y312-Y313-Y314-Y315-Y316-Y317-Y318-Y319-Y320</f>
        <v/>
      </c>
      <c r="Z321" s="36">
        <f>Z312-Z313-Z314-Z315-Z316-Z317-Z318-Z319-Z320</f>
        <v/>
      </c>
      <c r="AA321" s="36">
        <f>AA312-AA313-AA314-AA315-AA316-AA317-AA318-AA319-AA320</f>
        <v/>
      </c>
      <c r="AB321" s="36">
        <f>AB312-AB313-AB314-AB315-AB316-AB317-AB318-AB319-AB320</f>
        <v/>
      </c>
      <c r="AC321" s="36">
        <f>AC312-AC313-AC314-AC315-AC316-AC317-AC318-AC319-AC320</f>
        <v/>
      </c>
      <c r="AD321" s="36">
        <f>AD312-AD313-AD314-AD315-AD316-AD317-AD318-AD319-AD320</f>
        <v/>
      </c>
      <c r="AE321" s="36">
        <f>AE312-AE313-AE314-AE315-AE316-AE317-AE318-AE319-AE320</f>
        <v/>
      </c>
      <c r="AF321" s="36">
        <f>AF312-AF313-AF314-AF315-AF316-AF317-AF318-AF319-AF320</f>
        <v/>
      </c>
      <c r="AG321" s="36">
        <f>AG312-AG313-AG314-AG315-AG316-AG317-AG318-AG319-AG320</f>
        <v/>
      </c>
      <c r="AH321" s="36">
        <f>AH312-AH313-AH314-AH315-AH316-AH317-AH318-AH319-AH320</f>
        <v/>
      </c>
      <c r="AI321" s="36">
        <f>AI312-AI313-AI314-AI315-AI316-AI317-AI318-AI319-AI320</f>
        <v/>
      </c>
      <c r="AJ321" s="36">
        <f>AJ312-AJ313-AJ314-AJ315-AJ316-AJ317-AJ318-AJ319-AJ320</f>
        <v/>
      </c>
      <c r="AK321" s="36">
        <f>AK312-AK313-AK314-AK315-AK316-AK317-AK318-AK319-AK320</f>
        <v/>
      </c>
      <c r="AL321" s="36">
        <f>AL312-AL313-AL314-AL315-AL316-AL317-AL318-AL319-AL320</f>
        <v/>
      </c>
      <c r="AM321" s="36">
        <f>AM312-AM313-AM314-AM315-AM316-AM317-AM318-AM319-AM320</f>
        <v/>
      </c>
      <c r="AN321" s="36">
        <f>AN312-AN313-AN314-AN315-AN316-AN317-AN318-AN319-AN320</f>
        <v/>
      </c>
      <c r="AO321" s="36">
        <f>AO312-AO313-AO314-AO315-AO316-AO317-AO318-AO319-AO320</f>
        <v/>
      </c>
      <c r="AP321" s="36">
        <f>AP312-AP313-AP314-AP315-AP316-AP317-AP318-AP319-AP320</f>
        <v/>
      </c>
      <c r="AQ321" s="36">
        <f>AQ312-AQ313-AQ314-AQ315-AQ316-AQ317-AQ318-AQ319-AQ320</f>
        <v/>
      </c>
      <c r="AR321" s="36">
        <f>AR312-AR313-AR314-AR315-AR316-AR317-AR318-AR319-AR320</f>
        <v/>
      </c>
      <c r="AS321" s="36">
        <f>AS312-AS313-AS314-AS315-AS316-AS317-AS318-AS319-AS320</f>
        <v/>
      </c>
      <c r="AT321" s="36">
        <f>AT312-AT313-AT314-AT315-AT316-AT317-AT318-AT319-AT320</f>
        <v/>
      </c>
      <c r="AU321" s="36">
        <f>AU312-AU313-AU314-AU315-AU316-AU317-AU318-AU319-AU320</f>
        <v/>
      </c>
      <c r="AV321" s="36">
        <f>AV312-AV313-AV314-AV315-AV316-AV317-AV318-AV319-AV320</f>
        <v/>
      </c>
      <c r="AW321" s="36">
        <f>AW312-AW313-AW314-AW315-AW316-AW317-AW318-AW319-AW320</f>
        <v/>
      </c>
      <c r="AX321" s="36">
        <f>AX312-AX313-AX314-AX315-AX316-AX317-AX318-AX319-AX320</f>
        <v/>
      </c>
      <c r="AY321" s="36">
        <f>AY312-AY313-AY314-AY315-AY316-AY317-AY318-AY319-AY320</f>
        <v/>
      </c>
      <c r="AZ321" s="36">
        <f>AZ312-AZ313-AZ314-AZ315-AZ316-AZ317-AZ318-AZ319-AZ320</f>
        <v/>
      </c>
      <c r="BA321" s="36">
        <f>BA312-BA313-BA314-BA315-BA316-BA317-BA318-BA319-BA320</f>
        <v/>
      </c>
      <c r="BB321" s="36">
        <f>BB312-BB313-BB314-BB315-BB316-BB317-BB318-BB319-BB320</f>
        <v/>
      </c>
      <c r="BC321" s="36">
        <f>BC312-BC313-BC314-BC315-BC316-BC317-BC318-BC319-BC320</f>
        <v/>
      </c>
      <c r="BD321" s="36">
        <f>BD312-BD313-BD314-BD315-BD316-BD317-BD318-BD319-BD320</f>
        <v/>
      </c>
    </row>
    <row r="323">
      <c r="A323" s="32" t="inlineStr">
        <is>
          <t>Week</t>
        </is>
      </c>
      <c r="B323" s="33" t="inlineStr">
        <is>
          <t>$</t>
        </is>
      </c>
      <c r="E323" s="34" t="n">
        <v>1</v>
      </c>
      <c r="F323" s="34" t="n">
        <v>2</v>
      </c>
      <c r="G323" s="34" t="n">
        <v>3</v>
      </c>
      <c r="H323" s="34" t="n">
        <v>4</v>
      </c>
      <c r="I323" s="34" t="n">
        <v>5</v>
      </c>
      <c r="J323" s="34" t="n">
        <v>6</v>
      </c>
      <c r="K323" s="34" t="n">
        <v>7</v>
      </c>
      <c r="L323" s="34" t="n">
        <v>8</v>
      </c>
      <c r="M323" s="34" t="n">
        <v>9</v>
      </c>
      <c r="N323" s="34" t="n">
        <v>10</v>
      </c>
      <c r="O323" s="34" t="n">
        <v>11</v>
      </c>
      <c r="P323" s="34" t="n">
        <v>12</v>
      </c>
      <c r="Q323" s="34" t="n">
        <v>13</v>
      </c>
      <c r="R323" s="34" t="n">
        <v>14</v>
      </c>
      <c r="S323" s="34" t="n">
        <v>15</v>
      </c>
      <c r="T323" s="34" t="n">
        <v>16</v>
      </c>
      <c r="U323" s="34" t="n">
        <v>17</v>
      </c>
      <c r="V323" s="34" t="n">
        <v>18</v>
      </c>
      <c r="W323" s="34" t="n">
        <v>19</v>
      </c>
      <c r="X323" s="34" t="n">
        <v>20</v>
      </c>
      <c r="Y323" s="34" t="n">
        <v>21</v>
      </c>
      <c r="Z323" s="34" t="n">
        <v>22</v>
      </c>
      <c r="AA323" s="34" t="n">
        <v>23</v>
      </c>
      <c r="AB323" s="34" t="n">
        <v>24</v>
      </c>
      <c r="AC323" s="34" t="n">
        <v>25</v>
      </c>
      <c r="AD323" s="34" t="n">
        <v>26</v>
      </c>
      <c r="AE323" s="34" t="n">
        <v>27</v>
      </c>
      <c r="AF323" s="34" t="n">
        <v>28</v>
      </c>
      <c r="AG323" s="34" t="n">
        <v>29</v>
      </c>
      <c r="AH323" s="34" t="n">
        <v>30</v>
      </c>
      <c r="AI323" s="34" t="n">
        <v>31</v>
      </c>
      <c r="AJ323" s="34" t="n">
        <v>32</v>
      </c>
      <c r="AK323" s="34" t="n">
        <v>33</v>
      </c>
      <c r="AL323" s="34" t="n">
        <v>34</v>
      </c>
      <c r="AM323" s="34" t="n">
        <v>35</v>
      </c>
      <c r="AN323" s="34" t="n">
        <v>36</v>
      </c>
      <c r="AO323" s="34" t="n">
        <v>37</v>
      </c>
      <c r="AP323" s="34" t="n">
        <v>38</v>
      </c>
      <c r="AQ323" s="34" t="n">
        <v>39</v>
      </c>
      <c r="AR323" s="34" t="n">
        <v>40</v>
      </c>
      <c r="AS323" s="34" t="n">
        <v>41</v>
      </c>
      <c r="AT323" s="34" t="n">
        <v>42</v>
      </c>
      <c r="AU323" s="34" t="n">
        <v>43</v>
      </c>
      <c r="AV323" s="34" t="n">
        <v>44</v>
      </c>
      <c r="AW323" s="34" t="n">
        <v>45</v>
      </c>
      <c r="AX323" s="34" t="n">
        <v>46</v>
      </c>
      <c r="AY323" s="34" t="n">
        <v>47</v>
      </c>
      <c r="AZ323" s="34" t="n">
        <v>48</v>
      </c>
      <c r="BA323" s="34" t="n">
        <v>49</v>
      </c>
      <c r="BB323" s="34" t="n">
        <v>50</v>
      </c>
      <c r="BC323" s="34" t="n">
        <v>51</v>
      </c>
      <c r="BD323" s="34" t="n">
        <v>52</v>
      </c>
    </row>
    <row r="324">
      <c r="A324" s="4" t="inlineStr">
        <is>
          <t>CASH IN THE BANK</t>
        </is>
      </c>
      <c r="B324" s="2" t="inlineStr">
        <is>
          <t>$</t>
        </is>
      </c>
      <c r="E324" s="35">
        <f>$B$305+E321</f>
        <v/>
      </c>
      <c r="F324" s="35">
        <f>E324+F321</f>
        <v/>
      </c>
      <c r="G324" s="35">
        <f>F324+G321</f>
        <v/>
      </c>
      <c r="H324" s="35">
        <f>G324+H321</f>
        <v/>
      </c>
      <c r="I324" s="35">
        <f>H324+I321</f>
        <v/>
      </c>
      <c r="J324" s="35">
        <f>I324+J321</f>
        <v/>
      </c>
      <c r="K324" s="35">
        <f>J324+K321</f>
        <v/>
      </c>
      <c r="L324" s="35">
        <f>K324+L321</f>
        <v/>
      </c>
      <c r="M324" s="35">
        <f>L324+M321</f>
        <v/>
      </c>
      <c r="N324" s="35">
        <f>M324+N321</f>
        <v/>
      </c>
      <c r="O324" s="35">
        <f>N324+O321</f>
        <v/>
      </c>
      <c r="P324" s="35">
        <f>O324+P321</f>
        <v/>
      </c>
      <c r="Q324" s="35">
        <f>P324+Q321</f>
        <v/>
      </c>
      <c r="R324" s="35">
        <f>Q324+R321</f>
        <v/>
      </c>
      <c r="S324" s="35">
        <f>R324+S321</f>
        <v/>
      </c>
      <c r="T324" s="35">
        <f>S324+T321</f>
        <v/>
      </c>
      <c r="U324" s="35">
        <f>T324+U321</f>
        <v/>
      </c>
      <c r="V324" s="35">
        <f>U324+V321</f>
        <v/>
      </c>
      <c r="W324" s="35">
        <f>V324+W321</f>
        <v/>
      </c>
      <c r="X324" s="35">
        <f>W324+X321</f>
        <v/>
      </c>
      <c r="Y324" s="35">
        <f>X324+Y321</f>
        <v/>
      </c>
      <c r="Z324" s="35">
        <f>Y324+Z321</f>
        <v/>
      </c>
      <c r="AA324" s="35">
        <f>Z324+AA321</f>
        <v/>
      </c>
      <c r="AB324" s="35">
        <f>AA324+AB321</f>
        <v/>
      </c>
      <c r="AC324" s="35">
        <f>AB324+AC321</f>
        <v/>
      </c>
      <c r="AD324" s="35">
        <f>AC324+AD321</f>
        <v/>
      </c>
      <c r="AE324" s="35">
        <f>AD324+AE321</f>
        <v/>
      </c>
      <c r="AF324" s="35">
        <f>AE324+AF321</f>
        <v/>
      </c>
      <c r="AG324" s="35">
        <f>AF324+AG321</f>
        <v/>
      </c>
      <c r="AH324" s="35">
        <f>AG324+AH321</f>
        <v/>
      </c>
      <c r="AI324" s="35">
        <f>AH324+AI321</f>
        <v/>
      </c>
      <c r="AJ324" s="35">
        <f>AI324+AJ321</f>
        <v/>
      </c>
      <c r="AK324" s="35">
        <f>AJ324+AK321</f>
        <v/>
      </c>
      <c r="AL324" s="35">
        <f>AK324+AL321</f>
        <v/>
      </c>
      <c r="AM324" s="35">
        <f>AL324+AM321</f>
        <v/>
      </c>
      <c r="AN324" s="35">
        <f>AM324+AN321</f>
        <v/>
      </c>
      <c r="AO324" s="35">
        <f>AN324+AO321</f>
        <v/>
      </c>
      <c r="AP324" s="35">
        <f>AO324+AP321</f>
        <v/>
      </c>
      <c r="AQ324" s="35">
        <f>AP324+AQ321</f>
        <v/>
      </c>
      <c r="AR324" s="35">
        <f>AQ324+AR321</f>
        <v/>
      </c>
      <c r="AS324" s="35">
        <f>AR324+AS321</f>
        <v/>
      </c>
      <c r="AT324" s="35">
        <f>AS324+AT321</f>
        <v/>
      </c>
      <c r="AU324" s="35">
        <f>AT324+AU321</f>
        <v/>
      </c>
      <c r="AV324" s="35">
        <f>AU324+AV321</f>
        <v/>
      </c>
      <c r="AW324" s="35">
        <f>AV324+AW321</f>
        <v/>
      </c>
      <c r="AX324" s="35">
        <f>AW324+AX321</f>
        <v/>
      </c>
      <c r="AY324" s="35">
        <f>AX324+AY321</f>
        <v/>
      </c>
      <c r="AZ324" s="35">
        <f>AY324+AZ321</f>
        <v/>
      </c>
      <c r="BA324" s="35">
        <f>AZ324+BA321</f>
        <v/>
      </c>
      <c r="BB324" s="35">
        <f>BA324+BB321</f>
        <v/>
      </c>
      <c r="BC324" s="35">
        <f>BB324+BC321</f>
        <v/>
      </c>
      <c r="BD324" s="35">
        <f>BC324+BD321</f>
        <v/>
      </c>
    </row>
    <row r="325">
      <c r="E325" s="47" t="inlineStr">
        <is>
          <t>&gt;=</t>
        </is>
      </c>
      <c r="F325" s="47" t="inlineStr">
        <is>
          <t>&gt;=</t>
        </is>
      </c>
      <c r="G325" s="47" t="inlineStr">
        <is>
          <t>&gt;=</t>
        </is>
      </c>
      <c r="H325" s="47" t="inlineStr">
        <is>
          <t>&gt;=</t>
        </is>
      </c>
      <c r="I325" s="47" t="inlineStr">
        <is>
          <t>&gt;=</t>
        </is>
      </c>
      <c r="J325" s="47" t="inlineStr">
        <is>
          <t>&gt;=</t>
        </is>
      </c>
      <c r="K325" s="47" t="inlineStr">
        <is>
          <t>&gt;=</t>
        </is>
      </c>
      <c r="L325" s="47" t="inlineStr">
        <is>
          <t>&gt;=</t>
        </is>
      </c>
      <c r="M325" s="47" t="inlineStr">
        <is>
          <t>&gt;=</t>
        </is>
      </c>
      <c r="N325" s="47" t="inlineStr">
        <is>
          <t>&gt;=</t>
        </is>
      </c>
      <c r="O325" s="47" t="inlineStr">
        <is>
          <t>&gt;=</t>
        </is>
      </c>
      <c r="P325" s="47" t="inlineStr">
        <is>
          <t>&gt;=</t>
        </is>
      </c>
      <c r="Q325" s="47" t="inlineStr">
        <is>
          <t>&gt;=</t>
        </is>
      </c>
      <c r="R325" s="47" t="inlineStr">
        <is>
          <t>&gt;=</t>
        </is>
      </c>
      <c r="S325" s="47" t="inlineStr">
        <is>
          <t>&gt;=</t>
        </is>
      </c>
      <c r="T325" s="47" t="inlineStr">
        <is>
          <t>&gt;=</t>
        </is>
      </c>
      <c r="U325" s="47" t="inlineStr">
        <is>
          <t>&gt;=</t>
        </is>
      </c>
      <c r="V325" s="47" t="inlineStr">
        <is>
          <t>&gt;=</t>
        </is>
      </c>
      <c r="W325" s="47" t="inlineStr">
        <is>
          <t>&gt;=</t>
        </is>
      </c>
      <c r="X325" s="47" t="inlineStr">
        <is>
          <t>&gt;=</t>
        </is>
      </c>
      <c r="Y325" s="47" t="inlineStr">
        <is>
          <t>&gt;=</t>
        </is>
      </c>
      <c r="Z325" s="47" t="inlineStr">
        <is>
          <t>&gt;=</t>
        </is>
      </c>
      <c r="AA325" s="47" t="inlineStr">
        <is>
          <t>&gt;=</t>
        </is>
      </c>
      <c r="AB325" s="47" t="inlineStr">
        <is>
          <t>&gt;=</t>
        </is>
      </c>
      <c r="AC325" s="47" t="inlineStr">
        <is>
          <t>&gt;=</t>
        </is>
      </c>
      <c r="AD325" s="47" t="inlineStr">
        <is>
          <t>&gt;=</t>
        </is>
      </c>
      <c r="AE325" s="47" t="inlineStr">
        <is>
          <t>&gt;=</t>
        </is>
      </c>
      <c r="AF325" s="47" t="inlineStr">
        <is>
          <t>&gt;=</t>
        </is>
      </c>
      <c r="AG325" s="47" t="inlineStr">
        <is>
          <t>&gt;=</t>
        </is>
      </c>
      <c r="AH325" s="47" t="inlineStr">
        <is>
          <t>&gt;=</t>
        </is>
      </c>
      <c r="AI325" s="47" t="inlineStr">
        <is>
          <t>&gt;=</t>
        </is>
      </c>
      <c r="AJ325" s="47" t="inlineStr">
        <is>
          <t>&gt;=</t>
        </is>
      </c>
      <c r="AK325" s="47" t="inlineStr">
        <is>
          <t>&gt;=</t>
        </is>
      </c>
      <c r="AL325" s="47" t="inlineStr">
        <is>
          <t>&gt;=</t>
        </is>
      </c>
      <c r="AM325" s="47" t="inlineStr">
        <is>
          <t>&gt;=</t>
        </is>
      </c>
      <c r="AN325" s="47" t="inlineStr">
        <is>
          <t>&gt;=</t>
        </is>
      </c>
      <c r="AO325" s="47" t="inlineStr">
        <is>
          <t>&gt;=</t>
        </is>
      </c>
      <c r="AP325" s="47" t="inlineStr">
        <is>
          <t>&gt;=</t>
        </is>
      </c>
      <c r="AQ325" s="47" t="inlineStr">
        <is>
          <t>&gt;=</t>
        </is>
      </c>
      <c r="AR325" s="47" t="inlineStr">
        <is>
          <t>&gt;=</t>
        </is>
      </c>
      <c r="AS325" s="47" t="inlineStr">
        <is>
          <t>&gt;=</t>
        </is>
      </c>
      <c r="AT325" s="47" t="inlineStr">
        <is>
          <t>&gt;=</t>
        </is>
      </c>
      <c r="AU325" s="47" t="inlineStr">
        <is>
          <t>&gt;=</t>
        </is>
      </c>
      <c r="AV325" s="47" t="inlineStr">
        <is>
          <t>&gt;=</t>
        </is>
      </c>
      <c r="AW325" s="47" t="inlineStr">
        <is>
          <t>&gt;=</t>
        </is>
      </c>
      <c r="AX325" s="47" t="inlineStr">
        <is>
          <t>&gt;=</t>
        </is>
      </c>
      <c r="AY325" s="47" t="inlineStr">
        <is>
          <t>&gt;=</t>
        </is>
      </c>
      <c r="AZ325" s="47" t="inlineStr">
        <is>
          <t>&gt;=</t>
        </is>
      </c>
      <c r="BA325" s="47" t="inlineStr">
        <is>
          <t>&gt;=</t>
        </is>
      </c>
      <c r="BB325" s="47" t="inlineStr">
        <is>
          <t>&gt;=</t>
        </is>
      </c>
      <c r="BC325" s="47" t="inlineStr">
        <is>
          <t>&gt;=</t>
        </is>
      </c>
      <c r="BD325" s="47" t="inlineStr">
        <is>
          <t>&gt;=</t>
        </is>
      </c>
    </row>
    <row r="326">
      <c r="A326" s="37" t="inlineStr">
        <is>
          <t xml:space="preserve">  floor</t>
        </is>
      </c>
      <c r="B326" s="2" t="inlineStr">
        <is>
          <t>$</t>
        </is>
      </c>
      <c r="E326" s="36">
        <f>-$B$306</f>
        <v/>
      </c>
      <c r="F326" s="36">
        <f>-$B$306</f>
        <v/>
      </c>
      <c r="G326" s="36">
        <f>-$B$306</f>
        <v/>
      </c>
      <c r="H326" s="36">
        <f>-$B$306</f>
        <v/>
      </c>
      <c r="I326" s="36">
        <f>-$B$306</f>
        <v/>
      </c>
      <c r="J326" s="36">
        <f>-$B$306</f>
        <v/>
      </c>
      <c r="K326" s="36">
        <f>-$B$306</f>
        <v/>
      </c>
      <c r="L326" s="36">
        <f>-$B$306</f>
        <v/>
      </c>
      <c r="M326" s="36">
        <f>-$B$306</f>
        <v/>
      </c>
      <c r="N326" s="36">
        <f>-$B$306</f>
        <v/>
      </c>
      <c r="O326" s="36">
        <f>-$B$306</f>
        <v/>
      </c>
      <c r="P326" s="36">
        <f>-$B$306</f>
        <v/>
      </c>
      <c r="Q326" s="36">
        <f>-$B$306</f>
        <v/>
      </c>
      <c r="R326" s="36">
        <f>-$B$306</f>
        <v/>
      </c>
      <c r="S326" s="36">
        <f>-$B$306</f>
        <v/>
      </c>
      <c r="T326" s="36">
        <f>-$B$306</f>
        <v/>
      </c>
      <c r="U326" s="36">
        <f>-$B$306</f>
        <v/>
      </c>
      <c r="V326" s="36">
        <f>-$B$306</f>
        <v/>
      </c>
      <c r="W326" s="36">
        <f>-$B$306</f>
        <v/>
      </c>
      <c r="X326" s="36">
        <f>-$B$306</f>
        <v/>
      </c>
      <c r="Y326" s="36">
        <f>-$B$306</f>
        <v/>
      </c>
      <c r="Z326" s="36">
        <f>-$B$306</f>
        <v/>
      </c>
      <c r="AA326" s="36">
        <f>-$B$306</f>
        <v/>
      </c>
      <c r="AB326" s="36">
        <f>-$B$306</f>
        <v/>
      </c>
      <c r="AC326" s="36">
        <f>-$B$306</f>
        <v/>
      </c>
      <c r="AD326" s="36">
        <f>-$B$306</f>
        <v/>
      </c>
      <c r="AE326" s="36">
        <f>-$B$306</f>
        <v/>
      </c>
      <c r="AF326" s="36">
        <f>-$B$306</f>
        <v/>
      </c>
      <c r="AG326" s="36">
        <f>-$B$306</f>
        <v/>
      </c>
      <c r="AH326" s="36">
        <f>-$B$306</f>
        <v/>
      </c>
      <c r="AI326" s="36">
        <f>-$B$306</f>
        <v/>
      </c>
      <c r="AJ326" s="36">
        <f>-$B$306</f>
        <v/>
      </c>
      <c r="AK326" s="36">
        <f>-$B$306</f>
        <v/>
      </c>
      <c r="AL326" s="36">
        <f>-$B$306</f>
        <v/>
      </c>
      <c r="AM326" s="36">
        <f>-$B$306</f>
        <v/>
      </c>
      <c r="AN326" s="36">
        <f>-$B$306</f>
        <v/>
      </c>
      <c r="AO326" s="36">
        <f>-$B$306</f>
        <v/>
      </c>
      <c r="AP326" s="36">
        <f>-$B$306</f>
        <v/>
      </c>
      <c r="AQ326" s="36">
        <f>-$B$306</f>
        <v/>
      </c>
      <c r="AR326" s="36">
        <f>-$B$306</f>
        <v/>
      </c>
      <c r="AS326" s="36">
        <f>-$B$306</f>
        <v/>
      </c>
      <c r="AT326" s="36">
        <f>-$B$306</f>
        <v/>
      </c>
      <c r="AU326" s="36">
        <f>-$B$306</f>
        <v/>
      </c>
      <c r="AV326" s="36">
        <f>-$B$306</f>
        <v/>
      </c>
      <c r="AW326" s="36">
        <f>-$B$306</f>
        <v/>
      </c>
      <c r="AX326" s="36">
        <f>-$B$306</f>
        <v/>
      </c>
      <c r="AY326" s="36">
        <f>-$B$306</f>
        <v/>
      </c>
      <c r="AZ326" s="36">
        <f>-$B$306</f>
        <v/>
      </c>
      <c r="BA326" s="36">
        <f>-$B$306</f>
        <v/>
      </c>
      <c r="BB326" s="36">
        <f>-$B$306</f>
        <v/>
      </c>
      <c r="BC326" s="36">
        <f>-$B$306</f>
        <v/>
      </c>
      <c r="BD326" s="36">
        <f>-$B$306</f>
        <v/>
      </c>
    </row>
    <row r="327">
      <c r="A327" s="28" t="inlineStr">
        <is>
          <t xml:space="preserve">  headroom</t>
        </is>
      </c>
      <c r="E327" s="36">
        <f>E324-E326</f>
        <v/>
      </c>
      <c r="F327" s="36">
        <f>F324-F326</f>
        <v/>
      </c>
      <c r="G327" s="36">
        <f>G324-G326</f>
        <v/>
      </c>
      <c r="H327" s="36">
        <f>H324-H326</f>
        <v/>
      </c>
      <c r="I327" s="36">
        <f>I324-I326</f>
        <v/>
      </c>
      <c r="J327" s="36">
        <f>J324-J326</f>
        <v/>
      </c>
      <c r="K327" s="36">
        <f>K324-K326</f>
        <v/>
      </c>
      <c r="L327" s="36">
        <f>L324-L326</f>
        <v/>
      </c>
      <c r="M327" s="36">
        <f>M324-M326</f>
        <v/>
      </c>
      <c r="N327" s="36">
        <f>N324-N326</f>
        <v/>
      </c>
      <c r="O327" s="36">
        <f>O324-O326</f>
        <v/>
      </c>
      <c r="P327" s="36">
        <f>P324-P326</f>
        <v/>
      </c>
      <c r="Q327" s="36">
        <f>Q324-Q326</f>
        <v/>
      </c>
      <c r="R327" s="36">
        <f>R324-R326</f>
        <v/>
      </c>
      <c r="S327" s="36">
        <f>S324-S326</f>
        <v/>
      </c>
      <c r="T327" s="36">
        <f>T324-T326</f>
        <v/>
      </c>
      <c r="U327" s="36">
        <f>U324-U326</f>
        <v/>
      </c>
      <c r="V327" s="36">
        <f>V324-V326</f>
        <v/>
      </c>
      <c r="W327" s="36">
        <f>W324-W326</f>
        <v/>
      </c>
      <c r="X327" s="36">
        <f>X324-X326</f>
        <v/>
      </c>
      <c r="Y327" s="36">
        <f>Y324-Y326</f>
        <v/>
      </c>
      <c r="Z327" s="36">
        <f>Z324-Z326</f>
        <v/>
      </c>
      <c r="AA327" s="36">
        <f>AA324-AA326</f>
        <v/>
      </c>
      <c r="AB327" s="36">
        <f>AB324-AB326</f>
        <v/>
      </c>
      <c r="AC327" s="36">
        <f>AC324-AC326</f>
        <v/>
      </c>
      <c r="AD327" s="36">
        <f>AD324-AD326</f>
        <v/>
      </c>
      <c r="AE327" s="36">
        <f>AE324-AE326</f>
        <v/>
      </c>
      <c r="AF327" s="36">
        <f>AF324-AF326</f>
        <v/>
      </c>
      <c r="AG327" s="36">
        <f>AG324-AG326</f>
        <v/>
      </c>
      <c r="AH327" s="36">
        <f>AH324-AH326</f>
        <v/>
      </c>
      <c r="AI327" s="36">
        <f>AI324-AI326</f>
        <v/>
      </c>
      <c r="AJ327" s="36">
        <f>AJ324-AJ326</f>
        <v/>
      </c>
      <c r="AK327" s="36">
        <f>AK324-AK326</f>
        <v/>
      </c>
      <c r="AL327" s="36">
        <f>AL324-AL326</f>
        <v/>
      </c>
      <c r="AM327" s="36">
        <f>AM324-AM326</f>
        <v/>
      </c>
      <c r="AN327" s="36">
        <f>AN324-AN326</f>
        <v/>
      </c>
      <c r="AO327" s="36">
        <f>AO324-AO326</f>
        <v/>
      </c>
      <c r="AP327" s="36">
        <f>AP324-AP326</f>
        <v/>
      </c>
      <c r="AQ327" s="36">
        <f>AQ324-AQ326</f>
        <v/>
      </c>
      <c r="AR327" s="36">
        <f>AR324-AR326</f>
        <v/>
      </c>
      <c r="AS327" s="36">
        <f>AS324-AS326</f>
        <v/>
      </c>
      <c r="AT327" s="36">
        <f>AT324-AT326</f>
        <v/>
      </c>
      <c r="AU327" s="36">
        <f>AU324-AU326</f>
        <v/>
      </c>
      <c r="AV327" s="36">
        <f>AV324-AV326</f>
        <v/>
      </c>
      <c r="AW327" s="36">
        <f>AW324-AW326</f>
        <v/>
      </c>
      <c r="AX327" s="36">
        <f>AX324-AX326</f>
        <v/>
      </c>
      <c r="AY327" s="36">
        <f>AY324-AY326</f>
        <v/>
      </c>
      <c r="AZ327" s="36">
        <f>AZ324-AZ326</f>
        <v/>
      </c>
      <c r="BA327" s="36">
        <f>BA324-BA326</f>
        <v/>
      </c>
      <c r="BB327" s="36">
        <f>BB324-BB326</f>
        <v/>
      </c>
      <c r="BC327" s="36">
        <f>BC324-BC326</f>
        <v/>
      </c>
      <c r="BD327" s="36">
        <f>BD324-BD326</f>
        <v/>
      </c>
    </row>
    <row r="328">
      <c r="A328" s="2" t="inlineStr">
        <is>
          <t xml:space="preserve">   This is the app's C13. Cash may go NEGATIVE — that is the credit line being drawn — but never below the floor, which is the line fully drawn.</t>
        </is>
      </c>
    </row>
    <row r="329">
      <c r="A329" s="2" t="inlineStr">
        <is>
          <t xml:space="preserve">   The app states the same rule the other way round: it constrains cumulative NET FLOW (which excludes</t>
        </is>
      </c>
    </row>
    <row r="330">
      <c r="A330" s="2" t="inlineStr">
        <is>
          <t xml:space="preserve">   opening cash) against -(opening + credit). Both are the same constraint; mixing them double-counts the opening balance.</t>
        </is>
      </c>
    </row>
    <row r="331">
      <c r="A331" s="2" t="inlineStr">
        <is>
          <t xml:space="preserve">   ⚠️ It barely binds here, because the biggest weekly outgoing a real farm has is PAYROLL, and labour is v7. Do not read this curve as realistic yet.</t>
        </is>
      </c>
    </row>
    <row r="333">
      <c r="A333" s="3" t="inlineStr">
        <is>
          <t>8 — THE OPTIMIZER</t>
        </is>
      </c>
    </row>
    <row r="334">
      <c r="A334" s="4" t="inlineStr">
        <is>
          <t>Revenue</t>
        </is>
      </c>
      <c r="B334" s="56">
        <f>SUM(E214:BD214)*$I$19+SUM(E220:BD220)*$I$20+SUM(E241:BD241)*$I$21+SUM(E249:BD249)*$I$22+SUM(E270:BD270)*$I$23+SUM(E276:BD276)*$I$24</f>
        <v/>
      </c>
    </row>
    <row r="335">
      <c r="A335" s="4" t="inlineStr">
        <is>
          <t>Growing cost</t>
        </is>
      </c>
      <c r="B335" s="56">
        <f>SUM(E314:BD314)</f>
        <v/>
      </c>
      <c r="C335" s="2" t="inlineStr">
        <is>
          <t>seed at planting + fertiliser and fuel every week in the ground</t>
        </is>
      </c>
    </row>
    <row r="336">
      <c r="A336" s="4" t="inlineStr">
        <is>
          <t>Packaging</t>
        </is>
      </c>
      <c r="B336" s="56">
        <f>SUM(E313:BD313)</f>
        <v/>
      </c>
    </row>
    <row r="337">
      <c r="A337" s="4" t="inlineStr">
        <is>
          <t>Fixed cost</t>
        </is>
      </c>
      <c r="B337" s="56">
        <f>SUM(E315:BD315)</f>
        <v/>
      </c>
      <c r="C337" s="2" t="inlineStr">
        <is>
          <t>owed all 52 weeks whatever you plant</t>
        </is>
      </c>
    </row>
    <row r="338">
      <c r="A338" s="4" t="inlineStr">
        <is>
          <t>Overhead</t>
        </is>
      </c>
      <c r="B338" s="56">
        <f>SUM(E316:BD316)</f>
        <v/>
      </c>
    </row>
    <row r="339">
      <c r="A339" s="4" t="inlineStr">
        <is>
          <t>Wages</t>
        </is>
      </c>
      <c r="B339" s="56">
        <f>SUM(E317:BD317)</f>
        <v/>
      </c>
      <c r="C339" s="2" t="inlineStr">
        <is>
          <t>committed — owed whether or not the crops need the hours</t>
        </is>
      </c>
    </row>
    <row r="340">
      <c r="A340" s="4" t="inlineStr">
        <is>
          <t>Overtime</t>
        </is>
      </c>
      <c r="B340" s="56">
        <f>SUM(E318:BD318)</f>
        <v/>
      </c>
      <c r="C340" s="2" t="inlineStr">
        <is>
          <t>at the FULL rate — not the premium above base pay</t>
        </is>
      </c>
    </row>
    <row r="341">
      <c r="A341" s="4" t="inlineStr">
        <is>
          <t>New heads</t>
        </is>
      </c>
      <c r="B341" s="56">
        <f>SUM(E319:BD319)</f>
        <v/>
      </c>
      <c r="C341" s="2" t="inlineStr">
        <is>
          <t>recruitment and onboarding, per person, once</t>
        </is>
      </c>
    </row>
    <row r="342">
      <c r="A342" s="4" t="inlineStr">
        <is>
          <t>Piece rate</t>
        </is>
      </c>
      <c r="B342" s="56">
        <f>SUM(E320:BD320)</f>
        <v/>
      </c>
      <c r="C342" s="2" t="inlineStr">
        <is>
          <t>paid per POUND picked — COGS, not payroll, and nothing owed when there is nothing to pick</t>
        </is>
      </c>
    </row>
    <row r="343">
      <c r="A343" s="4" t="inlineStr">
        <is>
          <t>Peak borrowing</t>
        </is>
      </c>
      <c r="B343" s="56">
        <f>MAX(0,-MIN(E324:BD324))</f>
        <v/>
      </c>
      <c r="C343" s="2" t="inlineStr">
        <is>
          <t>the deepest the credit line is ever drawn</t>
        </is>
      </c>
    </row>
    <row r="344">
      <c r="A344" s="4" t="inlineStr">
        <is>
          <t>Interest</t>
        </is>
      </c>
      <c r="B344" s="56">
        <f>$B$309*SUMPRODUCT((E324:BD324&lt;0)*-E324:BD324)/52</f>
        <v/>
      </c>
      <c r="C344" s="2" t="inlineStr">
        <is>
          <t>APR x the AVERAGE amount borrowed — the app's own post-solve formula</t>
        </is>
      </c>
    </row>
    <row r="345">
      <c r="A345" s="2" t="inlineStr">
        <is>
          <t xml:space="preserve">   ⚠️ Reported, NOT optimised over. The plan is chosen first and the borrowing it implies is priced afterwards,</t>
        </is>
      </c>
    </row>
    <row r="346">
      <c r="A346" s="2" t="inlineStr">
        <is>
          <t xml:space="preserve">     so the solver has no reason to shift sales earlier to borrow less. That is the app's simplification, inherited on purpose.</t>
        </is>
      </c>
    </row>
    <row r="347">
      <c r="A347" s="57" t="inlineStr">
        <is>
          <t>PROFIT  (the objective)</t>
        </is>
      </c>
      <c r="B347" s="58">
        <f>B334-SUM(B335:B342)-B344</f>
        <v/>
      </c>
      <c r="C347" s="4" t="inlineStr">
        <is>
          <t>&lt;-- MAXIMISE THIS CELL</t>
        </is>
      </c>
    </row>
    <row r="348">
      <c r="A348" s="4" t="inlineStr">
        <is>
          <t>Plantings chosen</t>
        </is>
      </c>
      <c r="B348" s="59">
        <f>SUM($D$71:$D$138)</f>
        <v/>
      </c>
      <c r="C348" s="2" t="inlineStr">
        <is>
          <t>of 68 offered</t>
        </is>
      </c>
    </row>
    <row r="350">
      <c r="A350" s="4" t="inlineStr">
        <is>
          <t>Annual caps</t>
        </is>
      </c>
    </row>
    <row r="351">
      <c r="A351" s="28" t="inlineStr">
        <is>
          <t xml:space="preserve">   Kale / Wholesale — sold all year</t>
        </is>
      </c>
      <c r="B351" s="36">
        <f>SUM(E249:BD249)</f>
        <v/>
      </c>
      <c r="C351" s="47" t="inlineStr">
        <is>
          <t>&lt;=</t>
        </is>
      </c>
      <c r="D351" s="36">
        <f>$D$22</f>
        <v/>
      </c>
    </row>
    <row r="353">
      <c r="A353" s="3" t="inlineStr">
        <is>
          <t>SOLVER SETUP — Tools &gt; Solver</t>
        </is>
      </c>
    </row>
    <row r="354">
      <c r="A354" s="4" t="inlineStr">
        <is>
          <t>Target cell</t>
        </is>
      </c>
      <c r="B354" s="28" t="inlineStr">
        <is>
          <t>$B$347</t>
        </is>
      </c>
      <c r="G354" s="2" t="inlineStr">
        <is>
          <t>set to MAXIMUM</t>
        </is>
      </c>
    </row>
    <row r="355">
      <c r="A355" s="4" t="inlineStr">
        <is>
          <t>By changing cells</t>
        </is>
      </c>
      <c r="B355" s="28" t="inlineStr">
        <is>
          <t>$C$71:$D$138</t>
        </is>
      </c>
      <c r="G355" s="2" t="inlineStr">
        <is>
          <t>acres AND plant? together</t>
        </is>
      </c>
    </row>
    <row r="356">
      <c r="A356" s="28" t="inlineStr">
        <is>
          <t xml:space="preserve">  ...and</t>
        </is>
      </c>
      <c r="B356" s="28" t="inlineStr">
        <is>
          <t>$E$213:$BD$213;$E$219:$BD$219;$E$240:$BD$240;$E$248:$BD$248;$E$269:$BD$269;$E$275:$BD$275</t>
        </is>
      </c>
      <c r="G356" s="2" t="inlineStr">
        <is>
          <t>the OFFERED rows</t>
        </is>
      </c>
    </row>
    <row r="357">
      <c r="A357" s="28" t="inlineStr">
        <is>
          <t>Constraint — PLANT? is binary</t>
        </is>
      </c>
      <c r="B357" s="28" t="inlineStr">
        <is>
          <t>$D$71:$D$138  =  Binary</t>
        </is>
      </c>
    </row>
    <row r="358">
      <c r="A358" s="28" t="inlineStr">
        <is>
          <t>Constraint — C9 acres &lt;= max</t>
        </is>
      </c>
      <c r="B358" s="28" t="inlineStr">
        <is>
          <t>$C$71:$C$138  &lt;=  $BE$71:$BE$138</t>
        </is>
      </c>
      <c r="G358" s="2" t="inlineStr">
        <is>
          <t>no acres without deciding to plant</t>
        </is>
      </c>
    </row>
    <row r="359">
      <c r="A359" s="28" t="inlineStr">
        <is>
          <t>Constraint — C10 acres &gt;= min</t>
        </is>
      </c>
      <c r="B359" s="28" t="inlineStr">
        <is>
          <t>$C$71:$C$138  &gt;=  $BF$71:$BF$138</t>
        </is>
      </c>
      <c r="G359" s="2" t="inlineStr">
        <is>
          <t>planted means a real block</t>
        </is>
      </c>
    </row>
    <row r="360">
      <c r="A360" s="28" t="inlineStr">
        <is>
          <t>Constraint — Spinach/Farmers Market sold &lt;= ceiling</t>
        </is>
      </c>
      <c r="B360" s="28" t="inlineStr">
        <is>
          <t>$E$214:$BD$214  &lt;=  $E$212:$BD$212</t>
        </is>
      </c>
    </row>
    <row r="361">
      <c r="A361" s="28" t="inlineStr">
        <is>
          <t>Constraint — Spinach/Wholesale sold &lt;= ceiling</t>
        </is>
      </c>
      <c r="B361" s="28" t="inlineStr">
        <is>
          <t>$E$220:$BD$220  &lt;=  $E$218:$BD$218</t>
        </is>
      </c>
    </row>
    <row r="362">
      <c r="A362" s="28" t="inlineStr">
        <is>
          <t>Constraint — Kale/Farmers Market sold &lt;= ceiling</t>
        </is>
      </c>
      <c r="B362" s="28" t="inlineStr">
        <is>
          <t>$E$241:$BD$241  &lt;=  $E$239:$BD$239</t>
        </is>
      </c>
    </row>
    <row r="363">
      <c r="A363" s="28" t="inlineStr">
        <is>
          <t>Constraint — Kale/Wholesale sold &lt;= ceiling</t>
        </is>
      </c>
      <c r="B363" s="28" t="inlineStr">
        <is>
          <t>$E$249:$BD$249  &lt;=  $E$245:$BD$245</t>
        </is>
      </c>
    </row>
    <row r="364">
      <c r="A364" s="28" t="inlineStr">
        <is>
          <t>Constraint — Garlic/Farmers Market sold &lt;= ceiling</t>
        </is>
      </c>
      <c r="B364" s="28" t="inlineStr">
        <is>
          <t>$E$270:$BD$270  &lt;=  $E$268:$BD$268</t>
        </is>
      </c>
    </row>
    <row r="365">
      <c r="A365" s="28" t="inlineStr">
        <is>
          <t>Constraint — Garlic/Wholesale sold &lt;= ceiling</t>
        </is>
      </c>
      <c r="B365" s="28" t="inlineStr">
        <is>
          <t>$E$276:$BD$276  &lt;=  $E$274:$BD$274</t>
        </is>
      </c>
    </row>
    <row r="366">
      <c r="A366" s="28" t="inlineStr">
        <is>
          <t>Constraint — Spinach stock never negative</t>
        </is>
      </c>
      <c r="B366" s="28" t="inlineStr">
        <is>
          <t>$E$224:$BD$224  &gt;=  0</t>
        </is>
      </c>
    </row>
    <row r="367">
      <c r="A367" s="28" t="inlineStr">
        <is>
          <t>Constraint — Kale stock never negative</t>
        </is>
      </c>
      <c r="B367" s="28" t="inlineStr">
        <is>
          <t>$E$253:$BD$253  &gt;=  0</t>
        </is>
      </c>
    </row>
    <row r="368">
      <c r="A368" s="28" t="inlineStr">
        <is>
          <t>Constraint — Garlic stock never negative</t>
        </is>
      </c>
      <c r="B368" s="28" t="inlineStr">
        <is>
          <t>$E$280:$BD$280  &gt;=  0</t>
        </is>
      </c>
    </row>
    <row r="369">
      <c r="A369" s="28" t="inlineStr">
        <is>
          <t>Constraint — Spinach shelf life</t>
        </is>
      </c>
      <c r="B369" s="28" t="inlineStr">
        <is>
          <t>$E$224:$BD$224  &lt;=  $E$227:$BD$227</t>
        </is>
      </c>
      <c r="G369" s="2" t="inlineStr">
        <is>
          <t>nothing held longer than it keeps</t>
        </is>
      </c>
    </row>
    <row r="370">
      <c r="A370" s="28" t="inlineStr">
        <is>
          <t>Constraint — Kale shelf life</t>
        </is>
      </c>
      <c r="B370" s="28" t="inlineStr">
        <is>
          <t>$E$253:$BD$253  &lt;=  $E$256:$BD$256</t>
        </is>
      </c>
      <c r="G370" s="2" t="inlineStr">
        <is>
          <t>nothing held longer than it keeps</t>
        </is>
      </c>
    </row>
    <row r="371">
      <c r="A371" s="28" t="inlineStr">
        <is>
          <t>Constraint — Garlic shelf life</t>
        </is>
      </c>
      <c r="B371" s="28" t="inlineStr">
        <is>
          <t>$E$280:$BD$280  &lt;=  $E$283:$BD$283</t>
        </is>
      </c>
      <c r="G371" s="2" t="inlineStr">
        <is>
          <t>nothing held longer than it keeps</t>
        </is>
      </c>
    </row>
    <row r="372">
      <c r="A372" s="28" t="inlineStr">
        <is>
          <t>Constraint — cold store</t>
        </is>
      </c>
      <c r="B372" s="28" t="inlineStr">
        <is>
          <t>$E$291:$BD$291  &lt;=  $B$7</t>
        </is>
      </c>
    </row>
    <row r="373">
      <c r="A373" s="28" t="inlineStr">
        <is>
          <t>Constraint — ambient store</t>
        </is>
      </c>
      <c r="B373" s="28" t="inlineStr">
        <is>
          <t>$E$298:$BD$298  &lt;=  $B$8</t>
        </is>
      </c>
    </row>
    <row r="374">
      <c r="A374" s="28" t="inlineStr">
        <is>
          <t>Constraint — land</t>
        </is>
      </c>
      <c r="B374" s="28" t="inlineStr">
        <is>
          <t>$E$142:$BD$142  &lt;=  $B$6</t>
        </is>
      </c>
    </row>
    <row r="375">
      <c r="A375" s="28" t="inlineStr">
        <is>
          <t xml:space="preserve">  ...and</t>
        </is>
      </c>
      <c r="B375" s="28" t="inlineStr">
        <is>
          <t>$E$161:$BD$161;$E$163:$BD$163;$E$165:$BD$165</t>
        </is>
      </c>
      <c r="G375" s="2" t="inlineStr">
        <is>
          <t>one overtime row per hourly role — no blend</t>
        </is>
      </c>
    </row>
    <row r="376">
      <c r="A376" s="28" t="inlineStr">
        <is>
          <t xml:space="preserve">  ...and</t>
        </is>
      </c>
      <c r="B376" s="28" t="inlineStr">
        <is>
          <t>$K$28:$K$31;$B$48;$E$59:$BD$59;$E$60:$BD$60;$E$61:$BD$61</t>
        </is>
      </c>
      <c r="G376" s="2" t="inlineStr">
        <is>
          <t>extra heads, the engage switch, and the pounds picked</t>
        </is>
      </c>
    </row>
    <row r="377">
      <c r="A377" s="28" t="inlineStr">
        <is>
          <t>Constraint — CROP HOURS &lt;= available</t>
        </is>
      </c>
      <c r="B377" s="28" t="inlineStr">
        <is>
          <t>$E$174:$BD$174  &lt;=  $E$169:$BD$169</t>
        </is>
      </c>
      <c r="G377" s="2" t="inlineStr">
        <is>
          <t>the app's C2, less piece-rate relief</t>
        </is>
      </c>
    </row>
    <row r="378">
      <c r="A378" s="28" t="inlineStr">
        <is>
          <t>Constraint — overtime Equipment Operator</t>
        </is>
      </c>
      <c r="B378" s="28" t="inlineStr">
        <is>
          <t>$E$161:$BD$161  &lt;=  $E$160:$BD$160</t>
        </is>
      </c>
      <c r="G378" s="2" t="inlineStr">
        <is>
          <t>that role's own crew that week</t>
        </is>
      </c>
    </row>
    <row r="379">
      <c r="A379" s="28" t="inlineStr">
        <is>
          <t>Constraint — overtime Seasonal Field Crew</t>
        </is>
      </c>
      <c r="B379" s="28" t="inlineStr">
        <is>
          <t>$E$163:$BD$163  &lt;=  $E$162:$BD$162</t>
        </is>
      </c>
      <c r="G379" s="2" t="inlineStr">
        <is>
          <t>that role's own crew that week</t>
        </is>
      </c>
    </row>
    <row r="380">
      <c r="A380" s="28" t="inlineStr">
        <is>
          <t>Constraint — overtime Harvest Crew</t>
        </is>
      </c>
      <c r="B380" s="28" t="inlineStr">
        <is>
          <t>$E$165:$BD$165  &lt;=  $E$164:$BD$164</t>
        </is>
      </c>
      <c r="G380" s="2" t="inlineStr">
        <is>
          <t>that role's own crew that week</t>
        </is>
      </c>
    </row>
    <row r="381">
      <c r="A381" s="28" t="inlineStr">
        <is>
          <t>Constraint — relief &lt;= harvest hours</t>
        </is>
      </c>
      <c r="B381" s="28" t="inlineStr">
        <is>
          <t>$E$167:$BD$167  &lt;=  $E$181:$BD$181</t>
        </is>
      </c>
      <c r="G381" s="2" t="inlineStr">
        <is>
          <t>pickers cannot relieve the planting</t>
        </is>
      </c>
    </row>
    <row r="382">
      <c r="A382" s="28" t="inlineStr">
        <is>
          <t>Constraint — piece-rate capacity</t>
        </is>
      </c>
      <c r="B382" s="28" t="inlineStr">
        <is>
          <t>$E$62:$BD$62  &lt;=  $E$64:$BD$64</t>
        </is>
      </c>
      <c r="G382" s="2" t="inlineStr">
        <is>
          <t>and zero unless ENGAGED</t>
        </is>
      </c>
    </row>
    <row r="383">
      <c r="A383" s="28" t="inlineStr">
        <is>
          <t>Constraint — extra heads are whole people</t>
        </is>
      </c>
      <c r="B383" s="28" t="inlineStr">
        <is>
          <t>$K$28:$K$31 = integer</t>
        </is>
      </c>
      <c r="G383" s="2" t="inlineStr">
        <is>
          <t>you hire people, not fractions</t>
        </is>
      </c>
    </row>
    <row r="384">
      <c r="A384" s="28" t="inlineStr">
        <is>
          <t>Constraint — extra heads available</t>
        </is>
      </c>
      <c r="B384" s="28" t="inlineStr">
        <is>
          <t>$K$28:$K$31  &lt;=  $J$28:$J$31</t>
        </is>
      </c>
      <c r="G384" s="2" t="inlineStr">
        <is>
          <t>each role's own 'max more'</t>
        </is>
      </c>
    </row>
    <row r="385">
      <c r="A385" s="28" t="inlineStr">
        <is>
          <t>Constraint — ENGAGED is binary</t>
        </is>
      </c>
      <c r="B385" s="28" t="inlineStr">
        <is>
          <t>$B$48 = binary</t>
        </is>
      </c>
    </row>
    <row r="386">
      <c r="A386" s="28" t="inlineStr">
        <is>
          <t>Constraint — CASH FLOOR</t>
        </is>
      </c>
      <c r="B386" s="28" t="inlineStr">
        <is>
          <t>$E$324:$BD$324  &gt;=  $E$326:$BD$326</t>
        </is>
      </c>
      <c r="G386" s="2" t="inlineStr">
        <is>
          <t>the app's C13</t>
        </is>
      </c>
    </row>
    <row r="387">
      <c r="A387" s="4" t="inlineStr">
        <is>
          <t>Options</t>
        </is>
      </c>
      <c r="B387" s="28" t="inlineStr">
        <is>
          <t>engine = LibreOffice CoinMP Linear Solver</t>
        </is>
      </c>
      <c r="G387" s="2" t="inlineStr">
        <is>
          <t>tick 'Assume variables as non-negative'</t>
        </is>
      </c>
    </row>
  </sheetData>
  <conditionalFormatting sqref="E145:BD145">
    <cfRule type="cellIs" priority="1" operator="lessThan" dxfId="0">
      <formula>0</formula>
    </cfRule>
  </conditionalFormatting>
  <conditionalFormatting sqref="E142:BD142">
    <cfRule type="cellIs" priority="2" operator="greaterThan" dxfId="0">
      <formula>$B$6</formula>
    </cfRule>
  </conditionalFormatting>
  <conditionalFormatting sqref="E177:BD177">
    <cfRule type="cellIs" priority="3" operator="lessThan" dxfId="0">
      <formula>0</formula>
    </cfRule>
  </conditionalFormatting>
  <conditionalFormatting sqref="E174:BD174">
    <cfRule type="cellIs" priority="4" operator="greaterThan" dxfId="0">
      <formula>E$169</formula>
    </cfRule>
  </conditionalFormatting>
  <conditionalFormatting sqref="E184:BD184">
    <cfRule type="cellIs" priority="5" operator="lessThan" dxfId="0">
      <formula>0</formula>
    </cfRule>
  </conditionalFormatting>
  <conditionalFormatting sqref="E185:BD185">
    <cfRule type="cellIs" priority="6" operator="lessThan" dxfId="0">
      <formula>0</formula>
    </cfRule>
  </conditionalFormatting>
  <conditionalFormatting sqref="E186:BD186">
    <cfRule type="cellIs" priority="7" operator="lessThan" dxfId="0">
      <formula>0</formula>
    </cfRule>
  </conditionalFormatting>
  <conditionalFormatting sqref="E294:BD294">
    <cfRule type="cellIs" priority="8" operator="lessThan" dxfId="0">
      <formula>0</formula>
    </cfRule>
  </conditionalFormatting>
  <conditionalFormatting sqref="E291:BD291">
    <cfRule type="cellIs" priority="9" operator="greaterThan" dxfId="0">
      <formula>$B$7</formula>
    </cfRule>
  </conditionalFormatting>
  <conditionalFormatting sqref="E301:BD301">
    <cfRule type="cellIs" priority="10" operator="lessThan" dxfId="0">
      <formula>0</formula>
    </cfRule>
  </conditionalFormatting>
  <conditionalFormatting sqref="E298:BD298">
    <cfRule type="cellIs" priority="11" operator="greaterThan" dxfId="0">
      <formula>$B$8</formula>
    </cfRule>
  </conditionalFormatting>
  <conditionalFormatting sqref="E327:BD327">
    <cfRule type="cellIs" priority="12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2026-10-19T02:08:49Z</dcterms:created>
  <dcterms:modified xsi:type="dcterms:W3CDTF">2026-10-19T02:08:52Z</dcterms:modified>
</cp:coreProperties>
</file>