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0"/>
    <numFmt numFmtId="166" formatCode="0.0%"/>
    <numFmt numFmtId="167" formatCode="$#,##0"/>
    <numFmt numFmtId="168" formatCode="$0.00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color rgb="001F4E79"/>
      <sz val="12"/>
    </font>
    <font>
      <b val="1"/>
    </font>
    <font>
      <sz val="9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8F0FE"/>
      </patternFill>
    </fill>
    <fill>
      <patternFill patternType="solid">
        <fgColor rgb="00FFF0E6"/>
      </patternFill>
    </fill>
    <fill>
      <patternFill patternType="solid">
        <fgColor rgb="00EDF7ED"/>
      </patternFill>
    </fill>
    <fill>
      <patternFill patternType="solid">
        <fgColor rgb="00FDF2F8"/>
      </patternFill>
    </fill>
    <fill>
      <patternFill patternType="solid">
        <fgColor rgb="00D9EAD3"/>
      </patternFill>
    </fill>
    <fill>
      <patternFill patternType="solid">
        <fgColor rgb="00C9DAF8"/>
      </patternFill>
    </fill>
    <fill>
      <patternFill patternType="solid">
        <fgColor rgb="00F2F2F2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1" pivotButton="0" quotePrefix="0" xfId="0"/>
    <xf numFmtId="3" fontId="0" fillId="2" borderId="1" pivotButton="0" quotePrefix="0" xfId="0"/>
    <xf numFmtId="0" fontId="4" fillId="3" borderId="1" pivotButton="0" quotePrefix="0" xfId="0"/>
    <xf numFmtId="0" fontId="0" fillId="0" borderId="1" pivotButton="0" quotePrefix="0" xfId="0"/>
    <xf numFmtId="2" fontId="0" fillId="2" borderId="1" pivotButton="0" quotePrefix="0" xfId="0"/>
    <xf numFmtId="165" fontId="0" fillId="2" borderId="1" pivotButton="0" quotePrefix="0" xfId="0"/>
    <xf numFmtId="0" fontId="0" fillId="4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" fontId="0" fillId="0" borderId="1" pivotButton="0" quotePrefix="0" xfId="0"/>
    <xf numFmtId="168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" fontId="0" fillId="2" borderId="1" pivotButton="0" quotePrefix="0" xfId="0"/>
    <xf numFmtId="9" fontId="0" fillId="2" borderId="1" pivotButton="0" quotePrefix="0" xfId="0"/>
    <xf numFmtId="0" fontId="4" fillId="3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3" borderId="0" applyAlignment="1" pivotButton="0" quotePrefix="0" xfId="0">
      <alignment horizontal="center"/>
    </xf>
    <xf numFmtId="0" fontId="5" fillId="3" borderId="0" pivotButton="0" quotePrefix="0" xfId="0"/>
    <xf numFmtId="0" fontId="5" fillId="0" borderId="0" pivotButton="0" quotePrefix="0" xfId="0"/>
    <xf numFmtId="2" fontId="0" fillId="8" borderId="0" pivotButton="0" quotePrefix="0" xfId="0"/>
    <xf numFmtId="1" fontId="0" fillId="9" borderId="0" pivotButton="0" quotePrefix="0" xfId="0"/>
    <xf numFmtId="0" fontId="5" fillId="10" borderId="0" applyAlignment="1" pivotButton="0" quotePrefix="0" xfId="0">
      <alignment horizontal="center"/>
    </xf>
    <xf numFmtId="164" fontId="5" fillId="0" borderId="0" pivotButton="0" quotePrefix="0" xfId="0"/>
    <xf numFmtId="1" fontId="5" fillId="0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3" fontId="0" fillId="0" borderId="0" pivotButton="0" quotePrefix="0" xfId="0"/>
    <xf numFmtId="168" fontId="0" fillId="0" borderId="0" pivotButton="0" quotePrefix="0" xfId="0"/>
    <xf numFmtId="3" fontId="0" fillId="8" borderId="0" pivotButton="0" quotePrefix="0" xfId="0"/>
    <xf numFmtId="0" fontId="0" fillId="4" borderId="0" pivotButton="0" quotePrefix="0" xfId="0"/>
    <xf numFmtId="0" fontId="5" fillId="6" borderId="0" pivotButton="0" quotePrefix="0" xfId="0"/>
    <xf numFmtId="3" fontId="0" fillId="6" borderId="0" pivotButton="0" quotePrefix="0" xfId="0"/>
    <xf numFmtId="0" fontId="4" fillId="6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4" fillId="7" borderId="0" pivotButton="0" quotePrefix="0" xfId="0"/>
    <xf numFmtId="164" fontId="0" fillId="4" borderId="0" pivotButton="0" quotePrefix="0" xfId="0"/>
    <xf numFmtId="0" fontId="5" fillId="11" borderId="0" pivotButton="0" quotePrefix="0" xfId="0"/>
    <xf numFmtId="3" fontId="0" fillId="11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4" borderId="0" pivotButton="0" quotePrefix="0" xfId="0"/>
    <xf numFmtId="0" fontId="4" fillId="5" borderId="0" pivotButton="0" quotePrefix="0" xfId="0"/>
    <xf numFmtId="167" fontId="4" fillId="0" borderId="0" pivotButton="0" quotePrefix="0" xfId="0"/>
    <xf numFmtId="167" fontId="4" fillId="8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v8: BUYING LABOUR</t>
        </is>
      </c>
    </row>
    <row r="2">
      <c r="A2" s="2" t="inlineStr">
        <is>
          <t>BUILT 2026-08-30 21:35   (from source at commit 8a36e7a)</t>
        </is>
      </c>
    </row>
    <row r="3">
      <c r="A3" s="2" t="inlineStr">
        <is>
          <t>If that timestamp is older than the change you are looking for, you have a stale copy —</t>
        </is>
      </c>
    </row>
    <row r="4">
      <c r="A4" s="2" t="inlineStr">
        <is>
          <t>close the file and re-open it from WSL rather than from a recent-files list.</t>
        </is>
      </c>
    </row>
    <row r="5">
      <c r="A5" t="inlineStr"/>
    </row>
    <row r="6">
      <c r="A6" s="3" t="inlineStr">
        <is>
          <t>WHAT v8 ADDS — you can now BUY hours, and the solver decides whether to</t>
        </is>
      </c>
    </row>
    <row r="7">
      <c r="A7" t="inlineStr">
        <is>
          <t>v7 gave you a fixed crew: a committed cost and a hard ceiling. v8 makes labour a DECISION.</t>
        </is>
      </c>
    </row>
    <row r="8">
      <c r="A8" t="inlineStr">
        <is>
          <t>Two green rows — OVERTIME hours and HIRED hours — the solver fills in, and C2 now measures</t>
        </is>
      </c>
    </row>
    <row r="9">
      <c r="A9" t="inlineStr">
        <is>
          <t>crop hours against the crew PLUS whatever it decided to buy.</t>
        </is>
      </c>
    </row>
    <row r="10">
      <c r="A10" t="inlineStr"/>
    </row>
    <row r="11">
      <c r="A11" s="4" t="inlineStr">
        <is>
          <t xml:space="preserve">     profit $388,786 -&gt; $514,774        revenue $2,390,515</t>
        </is>
      </c>
    </row>
    <row r="12">
      <c r="A12" s="4" t="inlineStr">
        <is>
          <t xml:space="preserve">     it buys 6,964 hired hours ($174,106) and 0 overtime ($0)</t>
        </is>
      </c>
    </row>
    <row r="13">
      <c r="A13" t="inlineStr"/>
    </row>
    <row r="14">
      <c r="A14" t="inlineStr">
        <is>
          <t>Revenue rises again, and for the same reason it fell in v7: hours are what let you PICK. Buy</t>
        </is>
      </c>
    </row>
    <row r="15">
      <c r="A15" t="inlineStr">
        <is>
          <t>more of them and acres that were not worth planting become worth planting.</t>
        </is>
      </c>
    </row>
    <row r="16">
      <c r="A16" t="inlineStr"/>
    </row>
    <row r="17">
      <c r="A17" s="3" t="inlineStr">
        <is>
          <t>TWO PRICING RULES THE APP PAID FOR, AND WHY THEY MATTER</t>
        </is>
      </c>
    </row>
    <row r="18">
      <c r="A18" t="inlineStr"/>
    </row>
    <row r="19">
      <c r="A19" s="4" t="inlineStr">
        <is>
          <t>1. BOUGHT HOURS COST THEIR FULL RATE, not the premium above base pay.</t>
        </is>
      </c>
    </row>
    <row r="20">
      <c r="A20" t="inlineStr">
        <is>
          <t xml:space="preserve">   The committed wage bill pays the crew's STATED hours. Overtime and hire are hours BEYOND</t>
        </is>
      </c>
    </row>
    <row r="21">
      <c r="A21" t="inlineStr">
        <is>
          <t xml:space="preserve">   that, so charging only the increment leaves the base wage charged nowhere at all. The app</t>
        </is>
      </c>
    </row>
    <row r="22">
      <c r="A22" t="inlineStr">
        <is>
          <t xml:space="preserve">   measured that defect at 2,080 hired hours costing $0.00 — $965,177 of phantom profit.</t>
        </is>
      </c>
    </row>
    <row r="23">
      <c r="A23" t="inlineStr"/>
    </row>
    <row r="24">
      <c r="A24" s="4" t="inlineStr">
        <is>
          <t>2. OVERTIME AND HIRE ARE PRICED SEPARATELY.</t>
        </is>
      </c>
    </row>
    <row r="25">
      <c r="A25" t="inlineStr">
        <is>
          <t xml:space="preserve">   Overtime $37.84/hr — your crew's blended rate x the multiplier. Hire $25.00/hr — a</t>
        </is>
      </c>
    </row>
    <row r="26">
      <c r="A26" t="inlineStr">
        <is>
          <t xml:space="preserve">   market wage you enter, plus payroll load and markup. At these rates hire is cheaper, so</t>
        </is>
      </c>
    </row>
    <row r="27">
      <c r="A27" t="inlineStr">
        <is>
          <t xml:space="preserve">   the solver buys only hire. That is NOT a fixed truth: raise the hired wage past about $30</t>
        </is>
      </c>
    </row>
    <row r="28">
      <c r="A28" t="inlineStr">
        <is>
          <t xml:space="preserve">   and it flips entirely to overtime. 'Hire is cheaper' is an assumption, and the app once</t>
        </is>
      </c>
    </row>
    <row r="29">
      <c r="A29" t="inlineStr">
        <is>
          <t xml:space="preserve">   reported enabling an extra, MORE expensive option as making profit $3,165.71 WORSE — which</t>
        </is>
      </c>
    </row>
    <row r="30">
      <c r="A30" t="inlineStr">
        <is>
          <t xml:space="preserve">   no correct model can do. It came from guessing the split instead of reading it.</t>
        </is>
      </c>
    </row>
    <row r="31">
      <c r="A31" t="inlineStr"/>
    </row>
    <row r="32">
      <c r="A32" t="inlineStr">
        <is>
          <t>⚠️ The hired wage is a PLACEHOLDER, not a sourced figure. Put your own local rate in. The app</t>
        </is>
      </c>
    </row>
    <row r="33">
      <c r="A33" t="inlineStr">
        <is>
          <t>tried inferring it from internal payroll and got three different wrong answers (W17) — a</t>
        </is>
      </c>
    </row>
    <row r="34">
      <c r="A34" t="inlineStr">
        <is>
          <t>manager-heavy crew inferred $40.60/hr for a field hand.</t>
        </is>
      </c>
    </row>
    <row r="35">
      <c r="A35" t="inlineStr"/>
    </row>
    <row r="36">
      <c r="A36" s="3" t="inlineStr">
        <is>
          <t>WHAT v7 ADDED — labour, which is TWO things at once</t>
        </is>
      </c>
    </row>
    <row r="37">
      <c r="A37" t="inlineStr"/>
    </row>
    <row r="38">
      <c r="A38" s="4" t="inlineStr">
        <is>
          <t>1. A COMMITTED COST. Every listed worker is paid for their stated hours whether or not the</t>
        </is>
      </c>
    </row>
    <row r="39">
      <c r="A39" t="inlineStr">
        <is>
          <t xml:space="preserve">   crops need them. So there is NO per-acre labour charge anywhere on this sheet — the</t>
        </is>
      </c>
    </row>
    <row r="40">
      <c r="A40" t="inlineStr">
        <is>
          <t xml:space="preserve">   marginal crop hour is FREE, and it is rationed by capacity instead of priced. That is the</t>
        </is>
      </c>
    </row>
    <row r="41">
      <c r="A41" t="inlineStr">
        <is>
          <t xml:space="preserve">   app's W12, and it is the single largest correction the real model has ever made.</t>
        </is>
      </c>
    </row>
    <row r="42">
      <c r="A42" t="inlineStr"/>
    </row>
    <row r="43">
      <c r="A43" s="4" t="inlineStr">
        <is>
          <t>2. A CAPACITY LIMIT. Crop hours in a week cannot exceed what the crew can give. The app's</t>
        </is>
      </c>
    </row>
    <row r="44">
      <c r="A44" t="inlineStr">
        <is>
          <t xml:space="preserve">   C2 — and on this farm it is the constraint that binds hardest, in 22 of 52 weeks.</t>
        </is>
      </c>
    </row>
    <row r="45">
      <c r="A45" t="inlineStr"/>
    </row>
    <row r="46">
      <c r="A46" s="3" t="inlineStr">
        <is>
          <t>AND THE WAGE BILL HAS A SHAPE</t>
        </is>
      </c>
    </row>
    <row r="47">
      <c r="A47" s="4" t="inlineStr">
        <is>
          <t xml:space="preserve">     winter $4,884/wk        peak $24,484/wk        $855,150 for the year</t>
        </is>
      </c>
    </row>
    <row r="48">
      <c r="A48" s="4" t="inlineStr">
        <is>
          <t xml:space="preserve">     crew capacity 108 hrs/wk in winter, 908 at peak</t>
        </is>
      </c>
    </row>
    <row r="49">
      <c r="A49" t="inlineStr">
        <is>
          <t>Flattening that to an annual average understated the app's own cash floor by $115,615, which</t>
        </is>
      </c>
    </row>
    <row r="50">
      <c r="A50" t="inlineStr">
        <is>
          <t>is why it is modelled week by week here rather than as one number.</t>
        </is>
      </c>
    </row>
    <row r="51">
      <c r="A51" t="inlineStr"/>
    </row>
    <row r="52">
      <c r="A52" s="3" t="inlineStr">
        <is>
          <t>WHAT IT DOES TO THE ANSWER</t>
        </is>
      </c>
    </row>
    <row r="53">
      <c r="A53" s="4" t="inlineStr">
        <is>
          <t xml:space="preserve">     profit $1,654,922 -&gt; $514,774        net margin 21.5%</t>
        </is>
      </c>
    </row>
    <row r="54">
      <c r="A54" t="inlineStr">
        <is>
          <t>Revenue falls too — $2,390,515 against v6's $2,558,846 — and that is the important half. Labour</t>
        </is>
      </c>
    </row>
    <row r="55">
      <c r="A55" t="inlineStr">
        <is>
          <t>does not merely TAX the plan, it RESHAPES it: the crew cannot pick everything the ground</t>
        </is>
      </c>
    </row>
    <row r="56">
      <c r="A56" t="inlineStr">
        <is>
          <t>could grow, so acres the land would happily carry are simply not worth planting.</t>
        </is>
      </c>
    </row>
    <row r="57">
      <c r="A57" t="inlineStr"/>
    </row>
    <row r="58">
      <c r="A58" t="inlineStr">
        <is>
          <t>Net margin 21.5% is finally in the same postcode as a real diversified-veg farm (5-15%),</t>
        </is>
      </c>
    </row>
    <row r="59">
      <c r="A59" t="inlineStr">
        <is>
          <t>having read 64.7% in v6. Labour was most of the gap.</t>
        </is>
      </c>
    </row>
    <row r="60">
      <c r="A60" t="inlineStr"/>
    </row>
    <row r="61">
      <c r="A61" s="3" t="inlineStr">
        <is>
          <t>!! THE FINDING WORTH TAKING AWAY</t>
        </is>
      </c>
    </row>
    <row r="62">
      <c r="A62" t="inlineStr">
        <is>
          <t>Committed wages create a MINIMUM CASH REQUIREMENT that no plan can avoid. This farm owes</t>
        </is>
      </c>
    </row>
    <row r="63">
      <c r="A63" t="inlineStr">
        <is>
          <t>$4,884 a week from January with nothing to sell until spring — $56,676 goes out before a</t>
        </is>
      </c>
    </row>
    <row r="64">
      <c r="A64" t="inlineStr">
        <is>
          <t>dollar comes in. Measured: below roughly $80,000-$100,000 of opening cash plus credit, there</t>
        </is>
      </c>
    </row>
    <row r="65">
      <c r="A65" t="inlineStr">
        <is>
          <t>is NO feasible plan at all. Not a worse plan — none.</t>
        </is>
      </c>
    </row>
    <row r="66">
      <c r="A66" t="inlineStr"/>
    </row>
    <row r="67">
      <c r="A67" t="inlineStr">
        <is>
          <t>And above that threshold profit is IDENTICAL at every cash level. So cash does not shape the</t>
        </is>
      </c>
    </row>
    <row r="68">
      <c r="A68" t="inlineStr">
        <is>
          <t>plan here; it decides whether you may have one. Those are different questions and a single</t>
        </is>
      </c>
    </row>
    <row r="69">
      <c r="A69" t="inlineStr">
        <is>
          <t>profit figure hides which one you are asking.</t>
        </is>
      </c>
    </row>
    <row r="70">
      <c r="A70" t="inlineStr"/>
    </row>
    <row r="71">
      <c r="A71" s="3" t="inlineStr">
        <is>
          <t>INTEREST IS REPORTED, NOT OPTIMISED OVER</t>
        </is>
      </c>
    </row>
    <row r="72">
      <c r="A72" t="inlineStr">
        <is>
          <t>Peak borrowing $46,461, interest $334 — APR on the AVERAGE amount the credit line</t>
        </is>
      </c>
    </row>
    <row r="73">
      <c r="A73" t="inlineStr">
        <is>
          <t>carries, which is the app's own post-solve formula.</t>
        </is>
      </c>
    </row>
    <row r="74">
      <c r="A74" t="inlineStr"/>
    </row>
    <row r="75">
      <c r="A75" t="inlineStr">
        <is>
          <t>It sits OUTSIDE the objective deliberately, because that is what the app does: the plan is</t>
        </is>
      </c>
    </row>
    <row r="76">
      <c r="A76" t="inlineStr">
        <is>
          <t>chosen first and the borrowing it implies is priced afterwards. The consequence is worth</t>
        </is>
      </c>
    </row>
    <row r="77">
      <c r="A77" t="inlineStr">
        <is>
          <t>knowing — the solver has no reason to shift sales earlier to borrow less, so interest is a</t>
        </is>
      </c>
    </row>
    <row r="78">
      <c r="A78" t="inlineStr">
        <is>
          <t>REPORT here rather than a lever. On this farm it is trivial ($334); on a farm that</t>
        </is>
      </c>
    </row>
    <row r="79">
      <c r="A79" t="inlineStr">
        <is>
          <t>borrows through a long winter it would not be.</t>
        </is>
      </c>
    </row>
    <row r="80">
      <c r="A80" t="inlineStr"/>
    </row>
    <row r="81">
      <c r="A81" s="3" t="inlineStr">
        <is>
          <t>INTEREST IS REPORTED, NOT OPTIMISED OVER</t>
        </is>
      </c>
    </row>
    <row r="82">
      <c r="A82" t="inlineStr">
        <is>
          <t>Peak borrowing $46,461, interest $334 — small here, and the reason is worth knowing.</t>
        </is>
      </c>
    </row>
    <row r="83">
      <c r="A83" t="inlineStr">
        <is>
          <t>The plan is chosen FIRST and the borrowing it implies is priced afterwards, so the solver has</t>
        </is>
      </c>
    </row>
    <row r="84">
      <c r="A84" t="inlineStr">
        <is>
          <t>no reason to shift sales earlier to borrow less. That is the app's own simplification and the</t>
        </is>
      </c>
    </row>
    <row r="85">
      <c r="A85" t="inlineStr">
        <is>
          <t>toy inherits it deliberately rather than diverging: a toy that models cash better than the</t>
        </is>
      </c>
    </row>
    <row r="86">
      <c r="A86" t="inlineStr">
        <is>
          <t>thing it is checking cannot check it.</t>
        </is>
      </c>
    </row>
    <row r="87">
      <c r="A87" t="inlineStr"/>
    </row>
    <row r="88">
      <c r="A88" s="3" t="inlineStr">
        <is>
          <t>WHAT v6 ADDED — real costs, and the cash floor</t>
        </is>
      </c>
    </row>
    <row r="89">
      <c r="A89" t="inlineStr">
        <is>
          <t>These are one job, not two. A cash curve is meaningless without costs to spend, and v5's</t>
        </is>
      </c>
    </row>
    <row r="90">
      <c r="A90" t="inlineStr">
        <is>
          <t>profit was absurd precisely because seed was the only cost it charged.</t>
        </is>
      </c>
    </row>
    <row r="91">
      <c r="A91" t="inlineStr"/>
    </row>
    <row r="92">
      <c r="A92" t="inlineStr">
        <is>
          <t xml:space="preserve">  TIMED variable costs   seed in the PLANTING week; fertiliser and fuel every week in the</t>
        </is>
      </c>
    </row>
    <row r="93">
      <c r="A93" t="inlineStr">
        <is>
          <t xml:space="preserve">                         ground at that phase's rate; packaging per lb in the week of SALE.</t>
        </is>
      </c>
    </row>
    <row r="94">
      <c r="A94" t="inlineStr">
        <is>
          <t xml:space="preserve">                         Timing is the whole point — a cash floor cannot be honest if the</t>
        </is>
      </c>
    </row>
    <row r="95">
      <c r="A95" t="inlineStr">
        <is>
          <t xml:space="preserve">                         costs land in the wrong week.</t>
        </is>
      </c>
    </row>
    <row r="96">
      <c r="A96" t="inlineStr">
        <is>
          <t xml:space="preserve">  FIXED costs            cooler and barn depreciation, irrigation, machinery, equipment</t>
        </is>
      </c>
    </row>
    <row r="97">
      <c r="A97" t="inlineStr">
        <is>
          <t xml:space="preserve">                         store: $1,414 a week, owed whether or not you plant anything.</t>
        </is>
      </c>
    </row>
    <row r="98">
      <c r="A98" t="inlineStr">
        <is>
          <t xml:space="preserve">  OVERHEAD               a share of revenue, exactly as the app internalises it.</t>
        </is>
      </c>
    </row>
    <row r="99">
      <c r="A99" t="inlineStr">
        <is>
          <t xml:space="preserve">  CASH FLOOR             cumulative cash may go negative — that is the credit line being</t>
        </is>
      </c>
    </row>
    <row r="100">
      <c r="A100" t="inlineStr">
        <is>
          <t xml:space="preserve">                         drawn — but never below -(opening cash + credit line). The app's C13.</t>
        </is>
      </c>
    </row>
    <row r="101">
      <c r="A101" t="inlineStr"/>
    </row>
    <row r="102">
      <c r="A102" s="4" t="inlineStr">
        <is>
          <t>Profit falls $2,384,231 -&gt; $514,774 once those are charged.</t>
        </is>
      </c>
    </row>
    <row r="103">
      <c r="A103" t="inlineStr"/>
    </row>
    <row r="104">
      <c r="A104" s="3" t="inlineStr">
        <is>
          <t>!! AND IT IS STILL ABSURD: net margin 21.5%, against 5-15% for real diversified veg.</t>
        </is>
      </c>
    </row>
    <row r="105">
      <c r="A105" t="inlineStr">
        <is>
          <t>Because LABOUR IS NOT HERE. On the real farm wages are about 90% of fixed cost — the app's</t>
        </is>
      </c>
    </row>
    <row r="106">
      <c r="A106" t="inlineStr">
        <is>
          <t>own demo pays $855,150 a year against the $73,514 of fixed cost this sheet charges. So:</t>
        </is>
      </c>
    </row>
    <row r="107">
      <c r="A107" t="inlineStr"/>
    </row>
    <row r="108">
      <c r="A108" s="4" t="inlineStr">
        <is>
          <t xml:space="preserve">     THE CASH FLOOR BARELY BINDS, AND YOU SHOULD NOT TRUST THIS CURVE YET.</t>
        </is>
      </c>
    </row>
    <row r="109">
      <c r="A109" t="inlineStr"/>
    </row>
    <row r="110">
      <c r="A110" t="inlineStr">
        <is>
          <t>Measured: at 50,000 opening and a 250,000 credit line the floor never touches. It only bites</t>
        </is>
      </c>
    </row>
    <row r="111">
      <c r="A111" t="inlineStr">
        <is>
          <t>at about 10,000 + 10,000. The mechanism is real and checked; the farm it is checking is not</t>
        </is>
      </c>
    </row>
    <row r="112">
      <c r="A112" t="inlineStr">
        <is>
          <t>yet paying anybody. Labour is v7, and it is what makes cash mean something.</t>
        </is>
      </c>
    </row>
    <row r="113">
      <c r="A113" t="inlineStr"/>
    </row>
    <row r="114">
      <c r="A114" s="3" t="inlineStr">
        <is>
          <t>WHAT v5 ADDED — both of these you spotted missing from v4</t>
        </is>
      </c>
    </row>
    <row r="115">
      <c r="A115" t="inlineStr"/>
    </row>
    <row r="116">
      <c r="A116" s="4" t="inlineStr">
        <is>
          <t>1. IT CHOOSES WHEN TO PLANT.</t>
        </is>
      </c>
    </row>
    <row r="117">
      <c r="A117" t="inlineStr">
        <is>
          <t xml:space="preserve">   All 68 plantings the app's calendar generator offers are on the sheet, one row per legal</t>
        </is>
      </c>
    </row>
    <row r="118">
      <c r="A118" t="inlineStr">
        <is>
          <t xml:space="preserve">   start week. The solver puts acres on some and zero on others — and zero acres IS the</t>
        </is>
      </c>
    </row>
    <row r="119">
      <c r="A119" t="inlineStr">
        <is>
          <t xml:space="preserve">   decision not to plant that week. v4 offered five that I picked by hand.</t>
        </is>
      </c>
    </row>
    <row r="120">
      <c r="A120" t="inlineStr"/>
    </row>
    <row r="121">
      <c r="A121" s="4" t="inlineStr">
        <is>
          <t>2. IT CHOOSES WHETHER TO PLANT AT ALL.</t>
        </is>
      </c>
    </row>
    <row r="122">
      <c r="A122" t="inlineStr">
        <is>
          <t xml:space="preserve">   The BLUE column is a binary per planting, tied to the acres by two constraints that are</t>
        </is>
      </c>
    </row>
    <row r="123">
      <c r="A123" t="inlineStr">
        <is>
          <t xml:space="preserve">   the app's own C9 and C10:</t>
        </is>
      </c>
    </row>
    <row r="124">
      <c r="A124" t="inlineStr">
        <is>
          <t xml:space="preserve">        acres &lt;= 'max if planted'   you cannot plant acres without deciding to plant</t>
        </is>
      </c>
    </row>
    <row r="125">
      <c r="A125" t="inlineStr">
        <is>
          <t xml:space="preserve">        acres &gt;= 'min if planted'   if you plant at all, you plant a real block</t>
        </is>
      </c>
    </row>
    <row r="126">
      <c r="A126" t="inlineStr">
        <is>
          <t xml:space="preserve">   That is what stops it planting a third of an acre, and it makes this a MILP — which is</t>
        </is>
      </c>
    </row>
    <row r="127">
      <c r="A127" t="inlineStr">
        <is>
          <t xml:space="preserve">   what farm_v2/solver.py is. Its `integrality` array marks the very same y block.</t>
        </is>
      </c>
    </row>
    <row r="128">
      <c r="A128" t="inlineStr"/>
    </row>
    <row r="129">
      <c r="A129" s="3" t="inlineStr">
        <is>
          <t>WHAT THE TWO CHANGES ARE WORTH — measured, and they pull OPPOSITE ways</t>
        </is>
      </c>
    </row>
    <row r="130">
      <c r="A130" t="inlineStr">
        <is>
          <t xml:space="preserve">     v4, five hand-picked plantings          $1,094,831</t>
        </is>
      </c>
    </row>
    <row r="131">
      <c r="A131" t="inlineStr">
        <is>
          <t xml:space="preserve">     v5 without the minimum-acreage rule     $516,413   (45 plantings)</t>
        </is>
      </c>
    </row>
    <row r="132">
      <c r="A132" s="4" t="inlineStr">
        <is>
          <t xml:space="preserve">     v5 as it ships                          $514,774   (40 plantings)</t>
        </is>
      </c>
    </row>
    <row r="133">
      <c r="A133" t="inlineStr"/>
    </row>
    <row r="134">
      <c r="A134" t="inlineStr">
        <is>
          <t>Letting it choose the weeks more than doubles profit. Then the minimum-acreage rule takes</t>
        </is>
      </c>
    </row>
    <row r="135">
      <c r="A135" t="inlineStr">
        <is>
          <t>$1,639 back and drops the plan from 45 plantings to 40, because the</t>
        </is>
      </c>
    </row>
    <row r="136">
      <c r="A136" t="inlineStr">
        <is>
          <t>slivers are gone.</t>
        </is>
      </c>
    </row>
    <row r="137">
      <c r="A137" t="inlineStr"/>
    </row>
    <row r="138">
      <c r="A138" t="inlineStr">
        <is>
          <t>Neither number means anything alone. A fixed calendar UNDERSTATES; a missing minimum</t>
        </is>
      </c>
    </row>
    <row r="139">
      <c r="A139" t="inlineStr">
        <is>
          <t>acreage OVERSTATES. That is why the real model has both, and it is the reason it is a MILP</t>
        </is>
      </c>
    </row>
    <row r="140">
      <c r="A140" t="inlineStr">
        <is>
          <t>rather than a plain LP.</t>
        </is>
      </c>
    </row>
    <row r="141">
      <c r="A141" t="inlineStr"/>
    </row>
    <row r="142">
      <c r="A142" s="3" t="inlineStr">
        <is>
          <t>WHY IT PLANTS SO MANY — this is the finding worth keeping</t>
        </is>
      </c>
    </row>
    <row r="143">
      <c r="A143" t="inlineStr">
        <is>
          <t>40 plantings out of 68, staggered across the season rather than a few big</t>
        </is>
      </c>
    </row>
    <row r="144">
      <c r="A144" t="inlineStr">
        <is>
          <t>blocks. That is SUCCESSION PLANTING, and now you can see why it pays: spreading the harvest</t>
        </is>
      </c>
    </row>
    <row r="145">
      <c r="A145" t="inlineStr">
        <is>
          <t>is what lets you serve a WEEKLY demand cap continuously. Plant it all at once and one huge</t>
        </is>
      </c>
    </row>
    <row r="146">
      <c r="A146" t="inlineStr">
        <is>
          <t>harvest slams into the ceiling, the cooler fills, and the surplus is wasted or dumped cheap.</t>
        </is>
      </c>
    </row>
    <row r="147">
      <c r="A147" t="inlineStr"/>
    </row>
    <row r="148">
      <c r="A148" t="inlineStr">
        <is>
          <t>A model with a fixed planting calendar cannot express the thing the practice exists for.</t>
        </is>
      </c>
    </row>
    <row r="149">
      <c r="A149" t="inlineStr"/>
    </row>
    <row r="150">
      <c r="A150" s="3" t="inlineStr">
        <is>
          <t>!! IT NEEDS LIBREOFFICE, AND THIS ONE IS A REAL MILP</t>
        </is>
      </c>
    </row>
    <row r="151">
      <c r="A151" t="inlineStr">
        <is>
          <t>552 decision cells: 68 acres + 68 binaries + 312 offered + 104 bought hours. The engine MUST be</t>
        </is>
      </c>
    </row>
    <row r="152">
      <c r="A152" t="inlineStr">
        <is>
          <t>CoinMP — it does branch and bound over the integers. Expect it to take appreciably longer</t>
        </is>
      </c>
    </row>
    <row r="153">
      <c r="A153" t="inlineStr">
        <is>
          <t>than v4; integers are what make an optimizer work for its living.</t>
        </is>
      </c>
    </row>
    <row r="154">
      <c r="A154" t="inlineStr"/>
    </row>
    <row r="155">
      <c r="A155" s="3" t="inlineStr">
        <is>
          <t>WHERE THINGS ARE</t>
        </is>
      </c>
    </row>
    <row r="156">
      <c r="A156" t="inlineStr">
        <is>
          <t xml:space="preserve">  YELLOW   you type: the farm, the crop table, the crop x channel table.</t>
        </is>
      </c>
    </row>
    <row r="157">
      <c r="A157" t="inlineStr">
        <is>
          <t xml:space="preserve">  GREEN    the solver writes: the ACRES column (C43:C110), the six OFFERED rows, and</t>
        </is>
      </c>
    </row>
    <row r="158">
      <c r="A158" t="inlineStr">
        <is>
          <t xml:space="preserve">           the PROFIT cell (B292).</t>
        </is>
      </c>
    </row>
    <row r="159">
      <c r="A159" t="inlineStr">
        <is>
          <t xml:space="preserve">  BLUE     the solver writes: the PLANT? binaries (D43:D110).</t>
        </is>
      </c>
    </row>
    <row r="160">
      <c r="A160" t="inlineStr">
        <is>
          <t xml:space="preserve">  Everything else is a formula. Columns A-D stay put when you scroll right.</t>
        </is>
      </c>
    </row>
    <row r="161">
      <c r="A161" t="inlineStr"/>
    </row>
    <row r="162">
      <c r="A162" s="3" t="inlineStr">
        <is>
          <t>HOW TO RUN IT</t>
        </is>
      </c>
    </row>
    <row r="163">
      <c r="A163" t="inlineStr">
        <is>
          <t>Section 7 lists every entry with exact ranges. In short:</t>
        </is>
      </c>
    </row>
    <row r="164">
      <c r="A164" t="inlineStr">
        <is>
          <t xml:space="preserve">   Tools &gt; Solver, target the PROFIT cell, set to MAXIMUM</t>
        </is>
      </c>
    </row>
    <row r="165">
      <c r="A165" t="inlineStr">
        <is>
          <t xml:space="preserve">   Changing cells: C43:C110 and D43:D110 together, plus the six OFFERED rows</t>
        </is>
      </c>
    </row>
    <row r="166">
      <c r="A166" t="inlineStr">
        <is>
          <t xml:space="preserve">   Add the constraint  D43:D110 = Binary   — without it the binaries are just numbers</t>
        </is>
      </c>
    </row>
    <row r="167">
      <c r="A167" t="inlineStr">
        <is>
          <t xml:space="preserve">   and the minimum-acreage rule silently stops working</t>
        </is>
      </c>
    </row>
    <row r="168">
      <c r="A168" t="inlineStr">
        <is>
          <t xml:space="preserve">   Options: engine = LibreOffice CoinMP Linear Solver; tick non-negative</t>
        </is>
      </c>
    </row>
    <row r="169">
      <c r="A169" t="inlineStr"/>
    </row>
    <row r="170">
      <c r="A170" s="3" t="inlineStr">
        <is>
          <t>WHAT IT SHOULD FIND</t>
        </is>
      </c>
    </row>
    <row r="171">
      <c r="A171" s="4" t="inlineStr">
        <is>
          <t xml:space="preserve">     PROFIT   $514,774       net margin 21.5%</t>
        </is>
      </c>
    </row>
    <row r="172">
      <c r="A172" t="inlineStr">
        <is>
          <t xml:space="preserve">       revenue      $2,390,515</t>
        </is>
      </c>
    </row>
    <row r="173">
      <c r="A173" t="inlineStr">
        <is>
          <t xml:space="preserve">       growing      $201,747      seed at planting + fertiliser and fuel in the ground</t>
        </is>
      </c>
    </row>
    <row r="174">
      <c r="A174" t="inlineStr">
        <is>
          <t xml:space="preserve">       packaging    $188,407      per lb sold, in the week of sale</t>
        </is>
      </c>
    </row>
    <row r="175">
      <c r="A175" t="inlineStr">
        <is>
          <t xml:space="preserve">       fixed        $73,514      $1,414 a week, owed whether or not you plant</t>
        </is>
      </c>
    </row>
    <row r="176">
      <c r="A176" t="inlineStr">
        <is>
          <t xml:space="preserve">       overhead     $382,482      a share of revenue</t>
        </is>
      </c>
    </row>
    <row r="177">
      <c r="A177" t="inlineStr">
        <is>
          <t xml:space="preserve">       wages        $855,150      committed — owed whether the crops need the hours or not</t>
        </is>
      </c>
    </row>
    <row r="178">
      <c r="A178" t="inlineStr">
        <is>
          <t xml:space="preserve">       interest     $334          APR on what the credit line actually carries</t>
        </is>
      </c>
    </row>
    <row r="179">
      <c r="A179" t="inlineStr">
        <is>
          <t xml:space="preserve">       bought hrs   $174,106      6,964 hired hours; 0 overtime</t>
        </is>
      </c>
    </row>
    <row r="180">
      <c r="A180" t="inlineStr">
        <is>
          <t xml:space="preserve">     peak borrowing $46,461 — the deepest the line is ever drawn</t>
        </is>
      </c>
    </row>
    <row r="181">
      <c r="A181" t="inlineStr">
        <is>
          <t xml:space="preserve">       interest     $334          on $46,461 of peak borrowing — reported, not optimised over</t>
        </is>
      </c>
    </row>
    <row r="182">
      <c r="A182" s="4" t="inlineStr">
        <is>
          <t xml:space="preserve">     40 of 68 plantings used</t>
        </is>
      </c>
    </row>
    <row r="183">
      <c r="A183" t="inlineStr"/>
    </row>
    <row r="184">
      <c r="A184" t="inlineStr">
        <is>
          <t>Computed by solving the same MILP with scipy.milp — the same HiGHS solver your app runs. A</t>
        </is>
      </c>
    </row>
    <row r="185">
      <c r="A185" t="inlineStr">
        <is>
          <t>few dollars apart is tolerances. Materially different means one of the two models is not the</t>
        </is>
      </c>
    </row>
    <row r="186">
      <c r="A186" t="inlineStr">
        <is>
          <t>model we think it is.</t>
        </is>
      </c>
    </row>
    <row r="187">
      <c r="A187" t="inlineStr"/>
    </row>
    <row r="188">
      <c r="A188" s="3" t="inlineStr">
        <is>
          <t>WHAT SELL-THROUGH IS, AND WHY IT SHIPS AT 1.00</t>
        </is>
      </c>
    </row>
    <row r="189">
      <c r="A189" t="inlineStr">
        <is>
          <t>Every 'Sell-through' in section 3 is 1.00, matching the app since 30 Aug. The 85% it used to</t>
        </is>
      </c>
    </row>
    <row r="190">
      <c r="A190" t="inlineStr">
        <is>
          <t>carry had no source, and it was being charged on channels where a purchase order exists and</t>
        </is>
      </c>
    </row>
    <row r="191">
      <c r="A191" t="inlineStr">
        <is>
          <t>nothing goes unsold. So the market-loss and returned-to-store rows all read ZERO right now.</t>
        </is>
      </c>
    </row>
    <row r="192">
      <c r="A192" t="inlineStr">
        <is>
          <t>That is correct, not broken.</t>
        </is>
      </c>
    </row>
    <row r="193">
      <c r="A193" t="inlineStr"/>
    </row>
    <row r="194">
      <c r="A194" t="inlineStr">
        <is>
          <t>The narrow definition it now carries:</t>
        </is>
      </c>
    </row>
    <row r="195">
      <c r="A195" t="inlineStr"/>
    </row>
    <row r="196">
      <c r="A196" s="4" t="inlineStr">
        <is>
          <t xml:space="preserve">     Of what you TAKE TO MARKET, the share that converts to cash — display attrition at a</t>
        </is>
      </c>
    </row>
    <row r="197">
      <c r="A197" s="4" t="inlineStr">
        <is>
          <t xml:space="preserve">     stall, samples, transit damage, a rejected load.</t>
        </is>
      </c>
    </row>
    <row r="198">
      <c r="A198" t="inlineStr"/>
    </row>
    <row r="199">
      <c r="A199" t="inlineStr">
        <is>
          <t>NOT grade-out at harvest (that is pack-out, above the store). NOT spoilage in the store (that</t>
        </is>
      </c>
    </row>
    <row r="200">
      <c r="A200" t="inlineStr">
        <is>
          <t>is shrink). And NOT demand uncertainty — which is the one worth understanding, because it is</t>
        </is>
      </c>
    </row>
    <row r="201">
      <c r="A201" t="inlineStr">
        <is>
          <t>why the old wording could not be right:</t>
        </is>
      </c>
    </row>
    <row r="202">
      <c r="A202" t="inlineStr"/>
    </row>
    <row r="203">
      <c r="A203" t="inlineStr">
        <is>
          <t xml:space="preserve">     The demand ceiling is HARD. At a 6,000 lb cap and 0.85, selling 6,000 means bringing</t>
        </is>
      </c>
    </row>
    <row r="204">
      <c r="A204" t="inlineStr">
        <is>
          <t xml:space="preserve">     7,059 and losing 1,059 — every week, including the best Saturday of the year, because</t>
        </is>
      </c>
    </row>
    <row r="205">
      <c r="A205" t="inlineStr">
        <is>
          <t xml:space="preserve">     the model will never let you sell 6,001. That is the whole downside of bringing extra</t>
        </is>
      </c>
    </row>
    <row r="206">
      <c r="A206" t="inlineStr">
        <is>
          <t xml:space="preserve">     with none of the upside. It is not a model of uncertainty; it is a one-sided penalty.</t>
        </is>
      </c>
    </row>
    <row r="207">
      <c r="A207" t="inlineStr"/>
    </row>
    <row r="208">
      <c r="A208" t="inlineStr">
        <is>
          <t>So what it CAN mean is a display requirement: a picked-over stall sells less than a full one,</t>
        </is>
      </c>
    </row>
    <row r="209">
      <c r="A209" t="inlineStr">
        <is>
          <t>so moving 6,000 lb needs more than 6,000 lb on the table. Deterministic, and an input</t>
        </is>
      </c>
    </row>
    <row r="210">
      <c r="A210" t="inlineStr">
        <is>
          <t>requirement like seed. Real demand variance is a different problem (newsvendor) needing</t>
        </is>
      </c>
    </row>
    <row r="211">
      <c r="A211" t="inlineStr">
        <is>
          <t>machinery neither this sheet nor the app has yet.</t>
        </is>
      </c>
    </row>
    <row r="212">
      <c r="A212" t="inlineStr"/>
    </row>
    <row r="213">
      <c r="A213" s="3" t="inlineStr">
        <is>
          <t>THREE THINGS TO TRY</t>
        </is>
      </c>
    </row>
    <row r="214">
      <c r="A214" t="inlineStr"/>
    </row>
    <row r="215">
      <c r="A215" s="4" t="inlineStr">
        <is>
          <t>EXPERIMENT 1 — switch sell-through on, and watch the crop decide what happens.</t>
        </is>
      </c>
    </row>
    <row r="216">
      <c r="A216" s="4" t="inlineStr">
        <is>
          <t xml:space="preserve">   In section 3 set Spinach / {CH1} sell-through to 0.85, and Garlic / {CH1} to 0.85 too.</t>
        </is>
      </c>
    </row>
    <row r="217">
      <c r="A217" s="4" t="inlineStr">
        <is>
          <t xml:space="preserve">   Re-solve.</t>
        </is>
      </c>
    </row>
    <row r="218">
      <c r="A218" t="inlineStr">
        <is>
          <t xml:space="preserve">   Both now offer more than they sell. But look at the two 'market loss' rows: Spinach's is</t>
        </is>
      </c>
    </row>
    <row r="219">
      <c r="A219" t="inlineStr">
        <is>
          <t xml:space="preserve">   positive and Garlic's is ZERO, because garlic's 'Returns to store' is 1.00 — unsold garlic</t>
        </is>
      </c>
    </row>
    <row r="220">
      <c r="A220" t="inlineStr">
        <is>
          <t xml:space="preserve">   comes home and sells later, so the loss is a DELAY, not a loss.</t>
        </is>
      </c>
    </row>
    <row r="221">
      <c r="A221" t="inlineStr">
        <is>
          <t xml:space="preserve">   That is the grower's ruling in two cells: the same sell-through means different things on</t>
        </is>
      </c>
    </row>
    <row r="222">
      <c r="A222" t="inlineStr">
        <is>
          <t xml:space="preserve">   different crops, which is why it belongs on the crop x channel row and not on either one</t>
        </is>
      </c>
    </row>
    <row r="223">
      <c r="A223" t="inlineStr">
        <is>
          <t xml:space="preserve">   alone. Now set Garlic's 'Returns to store' to 0.00 and re-solve: the delay becomes a loss</t>
        </is>
      </c>
    </row>
    <row r="224">
      <c r="A224" t="inlineStr">
        <is>
          <t xml:space="preserve">   and the plan changes.</t>
        </is>
      </c>
    </row>
    <row r="225">
      <c r="A225" t="inlineStr"/>
    </row>
    <row r="226">
      <c r="A226" s="4" t="inlineStr">
        <is>
          <t>EXPERIMENT 2 — make hiring expensive.  Set 'Hired wage $/hr' to 40 and re-solve.</t>
        </is>
      </c>
    </row>
    <row r="227">
      <c r="A227" t="inlineStr">
        <is>
          <t xml:space="preserve">   Hire becomes dearer than overtime and the plan flips: hired hours go to zero and overtime</t>
        </is>
      </c>
    </row>
    <row r="228">
      <c r="A228" t="inlineStr">
        <is>
          <t xml:space="preserve">   appears instead. Same work, different supplier, chosen on price. A model that assumed</t>
        </is>
      </c>
    </row>
    <row r="229">
      <c r="A229" t="inlineStr">
        <is>
          <t xml:space="preserve">   'hire is cheaper' would have got this backwards and never noticed.</t>
        </is>
      </c>
    </row>
    <row r="230">
      <c r="A230" t="inlineStr"/>
    </row>
    <row r="231">
      <c r="A231" s="4" t="inlineStr">
        <is>
          <t>EXPERIMENT 3 — sack the harvest crew.  Set the Harvest Crew count to 0 and re-solve.</t>
        </is>
      </c>
    </row>
    <row r="232">
      <c r="A232" t="inlineStr">
        <is>
          <t xml:space="preserve">   You save their whole wage bill. Watch what happens to profit anyway: with fewer hours in</t>
        </is>
      </c>
    </row>
    <row r="233">
      <c r="A233" t="inlineStr">
        <is>
          <t xml:space="preserve">   weeks 14-40 the crops that need picking most cannot be picked, and revenue falls further</t>
        </is>
      </c>
    </row>
    <row r="234">
      <c r="A234" t="inlineStr">
        <is>
          <t xml:space="preserve">   than the wages saved. Then try the opposite — double their count — and watch profit rise</t>
        </is>
      </c>
    </row>
    <row r="235">
      <c r="A235" t="inlineStr">
        <is>
          <t xml:space="preserve">   even though payroll rose too. That is the trade a per-acre labour charge cannot express,</t>
        </is>
      </c>
    </row>
    <row r="236">
      <c r="A236" t="inlineStr">
        <is>
          <t xml:space="preserve">   and it is why the app rations hours with a constraint rather than pricing them.</t>
        </is>
      </c>
    </row>
    <row r="237">
      <c r="A237" t="inlineStr"/>
    </row>
    <row r="238">
      <c r="A238" s="4" t="inlineStr">
        <is>
          <t>EXPERIMENT 4 — squeeze the cash.  Set the credit line to 10,000 and opening cash to 10,000,</t>
        </is>
      </c>
    </row>
    <row r="239">
      <c r="A239" s="4" t="inlineStr">
        <is>
          <t xml:space="preserve">   then re-solve.</t>
        </is>
      </c>
    </row>
    <row r="240">
      <c r="A240" t="inlineStr">
        <is>
          <t xml:space="preserve">   Below about $100,000 combined there is no feasible plan at all — see above. Just above</t>
        </is>
      </c>
    </row>
    <row r="241">
      <c r="A241" t="inlineStr">
        <is>
          <t xml:space="preserve">   it, watch WHICH plantings the floor drops: not the least profitable ones, but</t>
        </is>
      </c>
    </row>
    <row r="242">
      <c r="A242" t="inlineStr">
        <is>
          <t xml:space="preserve">   the ones whose costs land earliest relative to their revenue. Garlic goes in around week</t>
        </is>
      </c>
    </row>
    <row r="243">
      <c r="A243" t="inlineStr">
        <is>
          <t xml:space="preserve">   47 and is not sold until week 30 of the following year — nine months of money out before</t>
        </is>
      </c>
    </row>
    <row r="244">
      <c r="A244" t="inlineStr">
        <is>
          <t xml:space="preserve">   a dollar comes back. Cash does not rank crops by margin; it ranks them by TIMING, which no</t>
        </is>
      </c>
    </row>
    <row r="245">
      <c r="A245" t="inlineStr">
        <is>
          <t xml:space="preserve">   column on this sheet shows you.</t>
        </is>
      </c>
    </row>
    <row r="246">
      <c r="A246" t="inlineStr"/>
    </row>
    <row r="247">
      <c r="A247" s="4" t="inlineStr">
        <is>
          <t>EXPERIMENT 5 — drop the minimum acreage.  Set every 'Min acres if planted' in the crop</t>
        </is>
      </c>
    </row>
    <row r="248">
      <c r="A248" s="4" t="inlineStr">
        <is>
          <t xml:space="preserve">   table to 0 and re-solve.</t>
        </is>
      </c>
    </row>
    <row r="249">
      <c r="A249" t="inlineStr">
        <is>
          <t xml:space="preserve">   Expect $516,413 and 45 plantings. The extra profit is real but the plan is</t>
        </is>
      </c>
    </row>
    <row r="250">
      <c r="A250" t="inlineStr">
        <is>
          <t xml:space="preserve">   not: it plants fractions of an acre no one would drive a tractor out for. This is what</t>
        </is>
      </c>
    </row>
    <row r="251">
      <c r="A251" t="inlineStr">
        <is>
          <t xml:space="preserve">   the binaries are FOR, and it is why the app carries them.</t>
        </is>
      </c>
    </row>
    <row r="252">
      <c r="A252" t="inlineStr"/>
    </row>
    <row r="253">
      <c r="A253" s="4" t="inlineStr">
        <is>
          <t>EXPERIMENT 6 — take away the cooler.  Set the cold store to 40 m3 and re-solve.</t>
        </is>
      </c>
    </row>
    <row r="254">
      <c r="A254" t="inlineStr">
        <is>
          <t xml:space="preserve">   Watch WHICH WEEKS it abandons, not just which crop. With a full calendar it can retreat</t>
        </is>
      </c>
    </row>
    <row r="255">
      <c r="A255" t="inlineStr">
        <is>
          <t xml:space="preserve">   to a planting pattern that keeps the cooler under its ceiling — an answer v4 could not</t>
        </is>
      </c>
    </row>
    <row r="256">
      <c r="A256" t="inlineStr">
        <is>
          <t xml:space="preserve">   even represent.</t>
        </is>
      </c>
    </row>
    <row r="257">
      <c r="A257" t="inlineStr"/>
    </row>
    <row r="258">
      <c r="A258" s="3" t="inlineStr">
        <is>
          <t>WHAT v5 STILL DOES NOT CARRY</t>
        </is>
      </c>
    </row>
    <row r="259">
      <c r="A259" t="inlineStr">
        <is>
          <t xml:space="preserve">  - Costs are seed/transplant per acre ONLY: no labour, water, packaging, storage, overhead.</t>
        </is>
      </c>
    </row>
    <row r="260">
      <c r="A260" t="inlineStr">
        <is>
          <t xml:space="preserve">    Profit is therefore far too high. The cash layer is next.</t>
        </is>
      </c>
    </row>
    <row r="261">
      <c r="A261" t="inlineStr">
        <is>
          <t xml:space="preserve">  - No cash-flow constraint, so it can spend money it does not have.</t>
        </is>
      </c>
    </row>
    <row r="262">
      <c r="A262" t="inlineStr">
        <is>
          <t xml:space="preserve">  - Shelf life IS enforced now (a real constraint since you found it dead). Shrink is wired</t>
        </is>
      </c>
    </row>
    <row r="263">
      <c r="A263" t="inlineStr">
        <is>
          <t xml:space="preserve">    too, but defaults to 0%, so it stays invisible until you set it.</t>
        </is>
      </c>
    </row>
    <row r="264">
      <c r="A264" t="inlineStr">
        <is>
          <t xml:space="preserve">  - No water, labour, diversity or throughput limits.</t>
        </is>
      </c>
    </row>
    <row r="265">
      <c r="A265" t="inlineStr">
        <is>
          <t xml:space="preserve">  - Three crops, not seven.</t>
        </is>
      </c>
    </row>
    <row r="266">
      <c r="A266" t="inlineStr"/>
    </row>
    <row r="267">
      <c r="A267" s="3" t="inlineStr">
        <is>
          <t>!! THE SCALE WARNING</t>
        </is>
      </c>
    </row>
    <row r="268">
      <c r="A268" t="inlineStr">
        <is>
          <t>An optimizer's answer is far more scale-sensitive than a calculator's: which constraint binds,</t>
        </is>
      </c>
    </row>
    <row r="269">
      <c r="A269" t="inlineStr">
        <is>
          <t>and therefore which crop and which WEEK wins, can invert between 3 crops and 7. This teaches</t>
        </is>
      </c>
    </row>
    <row r="270">
      <c r="A270" t="inlineStr">
        <is>
          <t>the machinery. It is not advice about your farm.</t>
        </is>
      </c>
    </row>
    <row r="271">
      <c r="A271" t="inlineStr"/>
    </row>
    <row r="272">
      <c r="A272" s="3" t="inlineStr">
        <is>
          <t>HAS THIS SHEET BEEN CHECKED?</t>
        </is>
      </c>
    </row>
    <row r="273">
      <c r="A273" t="inlineStr">
        <is>
          <t>Yes. Crop data, the calendar and the demand caps are read from the app. The formulas are</t>
        </is>
      </c>
    </row>
    <row r="274">
      <c r="A274" t="inlineStr">
        <is>
          <t>calculated by an engine and compared cell by cell against an independent model under three</t>
        </is>
      </c>
    </row>
    <row r="275">
      <c r="A275" t="inlineStr">
        <is>
          <t>configurations. Every input is perturbed to prove it propagates. No number is frozen. And the</t>
        </is>
      </c>
    </row>
    <row r="276">
      <c r="A276" t="inlineStr">
        <is>
          <t>same MILP is solved with scipy.milp, its answer written into the decision cells, and the</t>
        </is>
      </c>
    </row>
    <row r="277">
      <c r="A277" t="inlineStr">
        <is>
          <t>sheet's own PROFIT cell must reproduce the optimum exactly.</t>
        </is>
      </c>
    </row>
    <row r="278">
      <c r="A278" t="inlineStr">
        <is>
          <t xml:space="preserve">     Run it yourself:   .venv/bin/python toy_models/verify_toy_v8.py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25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6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11" customWidth="1" min="57" max="57"/>
    <col width="11" customWidth="1" min="58" max="58"/>
    <col width="11" customWidth="1" min="59" max="59"/>
  </cols>
  <sheetData>
    <row r="1">
      <c r="A1" s="1" t="inlineStr">
        <is>
          <t>FARM TOY MODEL — v8: buying labour</t>
        </is>
      </c>
      <c r="D1" s="2" t="inlineStr">
        <is>
          <t>BUILT 2026-08-30 21:35   (from source at 8a36e7a)</t>
        </is>
      </c>
    </row>
    <row r="2">
      <c r="A2" s="2" t="inlineStr">
        <is>
          <t>YELLOW = you type.  GREEN = the solver writes.  BLUE = the solver's plant/don't-plant switches.  Read the 'READ ME' sheet first.</t>
        </is>
      </c>
    </row>
    <row r="4">
      <c r="A4" s="3" t="inlineStr">
        <is>
          <t>1 — THE FARM</t>
        </is>
      </c>
    </row>
    <row r="5">
      <c r="A5" s="4" t="inlineStr">
        <is>
          <t>Land you have</t>
        </is>
      </c>
      <c r="B5" s="5" t="n">
        <v>80</v>
      </c>
      <c r="C5" s="2" t="inlineStr">
        <is>
          <t>acres</t>
        </is>
      </c>
    </row>
    <row r="6">
      <c r="A6" s="4" t="inlineStr">
        <is>
          <t>Cold store (cooler)</t>
        </is>
      </c>
      <c r="B6" s="6" t="n">
        <v>275</v>
      </c>
      <c r="C6" s="2" t="inlineStr">
        <is>
          <t>m3 — Spinach, Kale</t>
        </is>
      </c>
    </row>
    <row r="7">
      <c r="A7" s="4" t="inlineStr">
        <is>
          <t>Ambient store (barn)</t>
        </is>
      </c>
      <c r="B7" s="6" t="n">
        <v>150</v>
      </c>
      <c r="C7" s="2" t="inlineStr">
        <is>
          <t>m3 — Garlic</t>
        </is>
      </c>
    </row>
    <row r="9">
      <c r="A9" s="3" t="inlineStr">
        <is>
          <t>2 — HOW EACH CROP BEHAVES</t>
        </is>
      </c>
    </row>
    <row r="10">
      <c r="A10" s="7" t="inlineStr">
        <is>
          <t>Crop</t>
        </is>
      </c>
      <c r="B10" s="7" t="inlineStr">
        <is>
          <t>Yield lb/acre</t>
        </is>
      </c>
      <c r="C10" s="7" t="inlineStr">
        <is>
          <t>Pack-out</t>
        </is>
      </c>
      <c r="D10" s="7" t="inlineStr">
        <is>
          <t>m3 per lb</t>
        </is>
      </c>
      <c r="E10" s="7" t="inlineStr">
        <is>
          <t>Store</t>
        </is>
      </c>
      <c r="F10" s="7" t="inlineStr">
        <is>
          <t>Shelf life wk</t>
        </is>
      </c>
      <c r="G10" s="7" t="inlineStr">
        <is>
          <t>Shrink %/wk</t>
        </is>
      </c>
      <c r="H10" s="7" t="inlineStr">
        <is>
          <t>Seed $/acre</t>
        </is>
      </c>
      <c r="I10" s="7" t="inlineStr">
        <is>
          <t>Min acres if planted</t>
        </is>
      </c>
      <c r="J10" s="7" t="inlineStr">
        <is>
          <t>Harvest weeks</t>
        </is>
      </c>
      <c r="K10" s="7" t="inlineStr">
        <is>
          <t>$/ac plant wk</t>
        </is>
      </c>
      <c r="L10" s="7" t="inlineStr">
        <is>
          <t>$/ac grow wk</t>
        </is>
      </c>
      <c r="M10" s="7" t="inlineStr">
        <is>
          <t>$/ac harvest wk</t>
        </is>
      </c>
      <c r="N10" s="7" t="inlineStr">
        <is>
          <t>hrs/ac plant</t>
        </is>
      </c>
      <c r="O10" s="7" t="inlineStr">
        <is>
          <t>hrs/ac grow</t>
        </is>
      </c>
      <c r="P10" s="7" t="inlineStr">
        <is>
          <t>hrs/ac harvest</t>
        </is>
      </c>
    </row>
    <row r="11">
      <c r="A11" s="8" t="inlineStr">
        <is>
          <t>Spinach</t>
        </is>
      </c>
      <c r="B11" s="6" t="n">
        <v>5000</v>
      </c>
      <c r="C11" s="9" t="n">
        <v>1</v>
      </c>
      <c r="D11" s="10" t="n">
        <v>0.002197967741935484</v>
      </c>
      <c r="E11" s="11" t="inlineStr">
        <is>
          <t>Cold</t>
        </is>
      </c>
      <c r="F11" s="12" t="n">
        <v>2</v>
      </c>
      <c r="G11" s="13" t="n">
        <v>0</v>
      </c>
      <c r="H11" s="14" t="n">
        <v>280</v>
      </c>
      <c r="I11" s="5" t="n">
        <v>2</v>
      </c>
      <c r="J11" s="15">
        <f>COUNTIF($E$43:$BD$43,"H")</f>
        <v/>
      </c>
      <c r="K11" s="16" t="n">
        <v>33.895</v>
      </c>
      <c r="L11" s="16" t="n">
        <v>13.32</v>
      </c>
      <c r="M11" s="16" t="n">
        <v>11.285</v>
      </c>
      <c r="N11" s="5" t="n">
        <v>2</v>
      </c>
      <c r="O11" s="5" t="n">
        <v>4</v>
      </c>
      <c r="P11" s="5" t="n">
        <v>50</v>
      </c>
    </row>
    <row r="12">
      <c r="A12" s="8" t="inlineStr">
        <is>
          <t>Kale</t>
        </is>
      </c>
      <c r="B12" s="6" t="n">
        <v>8000</v>
      </c>
      <c r="C12" s="9" t="n">
        <v>1</v>
      </c>
      <c r="D12" s="10" t="n">
        <v>0.003785388888888889</v>
      </c>
      <c r="E12" s="11" t="inlineStr">
        <is>
          <t>Cold</t>
        </is>
      </c>
      <c r="F12" s="12" t="n">
        <v>2</v>
      </c>
      <c r="G12" s="13" t="n">
        <v>0</v>
      </c>
      <c r="H12" s="14" t="n">
        <v>1089</v>
      </c>
      <c r="I12" s="5" t="n">
        <v>2</v>
      </c>
      <c r="J12" s="15">
        <f>COUNTIF($E$78:$BD$78,"H")</f>
        <v/>
      </c>
      <c r="K12" s="16" t="n">
        <v>46.64</v>
      </c>
      <c r="L12" s="16" t="n">
        <v>11.469</v>
      </c>
      <c r="M12" s="16" t="n">
        <v>10.08</v>
      </c>
      <c r="N12" s="5" t="n">
        <v>3</v>
      </c>
      <c r="O12" s="5" t="n">
        <v>2.5</v>
      </c>
      <c r="P12" s="5" t="n">
        <v>22</v>
      </c>
    </row>
    <row r="13">
      <c r="A13" s="8" t="inlineStr">
        <is>
          <t>Garlic</t>
        </is>
      </c>
      <c r="B13" s="6" t="n">
        <v>10000</v>
      </c>
      <c r="C13" s="9" t="n">
        <v>1</v>
      </c>
      <c r="D13" s="10" t="n">
        <v>0.001195385964912281</v>
      </c>
      <c r="E13" s="17" t="inlineStr">
        <is>
          <t>Ambient</t>
        </is>
      </c>
      <c r="F13" s="12" t="n">
        <v>16</v>
      </c>
      <c r="G13" s="13" t="n">
        <v>0</v>
      </c>
      <c r="H13" s="14" t="n">
        <v>2500</v>
      </c>
      <c r="I13" s="5" t="n">
        <v>2</v>
      </c>
      <c r="J13" s="15">
        <f>COUNTIF($E$108:$BD$108,"H")</f>
        <v/>
      </c>
      <c r="K13" s="16" t="n">
        <v>19.4194</v>
      </c>
      <c r="L13" s="16" t="n">
        <v>4.1688</v>
      </c>
      <c r="M13" s="16" t="n">
        <v>19.75</v>
      </c>
      <c r="N13" s="5" t="n">
        <v>6.7</v>
      </c>
      <c r="O13" s="5" t="n">
        <v>0.3</v>
      </c>
      <c r="P13" s="5" t="n">
        <v>75</v>
      </c>
    </row>
    <row r="14">
      <c r="A14" s="2" t="inlineStr">
        <is>
          <t>'Min acres if planted' is what the plant/don't-plant switch enforces — see section 4.</t>
        </is>
      </c>
    </row>
    <row r="16">
      <c r="A16" s="3" t="inlineStr">
        <is>
          <t>3 — WHO BUYS IT   (one row per crop x channel — the grower's ruling)</t>
        </is>
      </c>
    </row>
    <row r="17">
      <c r="A17" s="7" t="inlineStr">
        <is>
          <t>Crop</t>
        </is>
      </c>
      <c r="B17" s="7" t="inlineStr">
        <is>
          <t>Channel</t>
        </is>
      </c>
      <c r="C17" s="7" t="inlineStr">
        <is>
          <t>Cap type</t>
        </is>
      </c>
      <c r="D17" s="7" t="inlineStr">
        <is>
          <t>Cap lb</t>
        </is>
      </c>
      <c r="E17" s="7" t="inlineStr">
        <is>
          <t>From wk</t>
        </is>
      </c>
      <c r="F17" s="7" t="inlineStr">
        <is>
          <t>To wk</t>
        </is>
      </c>
      <c r="G17" s="7" t="inlineStr">
        <is>
          <t>Sell-through</t>
        </is>
      </c>
      <c r="H17" s="7" t="inlineStr">
        <is>
          <t>Returns to store</t>
        </is>
      </c>
      <c r="I17" s="7" t="inlineStr">
        <is>
          <t>Price $/lb</t>
        </is>
      </c>
      <c r="J17" s="7" t="inlineStr">
        <is>
          <t>Packaging $/lb</t>
        </is>
      </c>
    </row>
    <row r="18">
      <c r="A18" s="8" t="inlineStr">
        <is>
          <t>Spinach</t>
        </is>
      </c>
      <c r="B18" s="18" t="inlineStr">
        <is>
          <t>Farmers Market</t>
        </is>
      </c>
      <c r="C18" s="12" t="inlineStr">
        <is>
          <t>Weekly</t>
        </is>
      </c>
      <c r="D18" s="6" t="n">
        <v>6000</v>
      </c>
      <c r="E18" s="12" t="n">
        <v>10</v>
      </c>
      <c r="F18" s="12" t="n">
        <v>48</v>
      </c>
      <c r="G18" s="9" t="n">
        <v>1</v>
      </c>
      <c r="H18" s="9" t="n">
        <v>0</v>
      </c>
      <c r="I18" s="16" t="n">
        <v>2.75</v>
      </c>
      <c r="J18" s="16" t="n">
        <v>0.18</v>
      </c>
    </row>
    <row r="19">
      <c r="A19" s="8" t="inlineStr">
        <is>
          <t>Spinach</t>
        </is>
      </c>
      <c r="B19" s="19" t="inlineStr">
        <is>
          <t>Wholesale</t>
        </is>
      </c>
      <c r="C19" s="12" t="inlineStr">
        <is>
          <t>Weekly</t>
        </is>
      </c>
      <c r="D19" s="6" t="n">
        <v>25000</v>
      </c>
      <c r="E19" s="12" t="n">
        <v>1</v>
      </c>
      <c r="F19" s="12" t="n">
        <v>52</v>
      </c>
      <c r="G19" s="9" t="n">
        <v>1</v>
      </c>
      <c r="H19" s="9" t="n">
        <v>0</v>
      </c>
      <c r="I19" s="16" t="n">
        <v>1</v>
      </c>
      <c r="J19" s="16" t="n">
        <v>0.09</v>
      </c>
    </row>
    <row r="20">
      <c r="A20" s="8" t="inlineStr">
        <is>
          <t>Kale</t>
        </is>
      </c>
      <c r="B20" s="18" t="inlineStr">
        <is>
          <t>Farmers Market</t>
        </is>
      </c>
      <c r="C20" s="12" t="inlineStr">
        <is>
          <t>Weekly</t>
        </is>
      </c>
      <c r="D20" s="6" t="n">
        <v>3500</v>
      </c>
      <c r="E20" s="12" t="n">
        <v>10</v>
      </c>
      <c r="F20" s="12" t="n">
        <v>50</v>
      </c>
      <c r="G20" s="9" t="n">
        <v>1</v>
      </c>
      <c r="H20" s="9" t="n">
        <v>0</v>
      </c>
      <c r="I20" s="16" t="n">
        <v>2</v>
      </c>
      <c r="J20" s="16" t="n">
        <v>0.14</v>
      </c>
    </row>
    <row r="21">
      <c r="A21" s="8" t="inlineStr">
        <is>
          <t>Kale</t>
        </is>
      </c>
      <c r="B21" s="19" t="inlineStr">
        <is>
          <t>Wholesale</t>
        </is>
      </c>
      <c r="C21" s="12" t="inlineStr">
        <is>
          <t>Annual</t>
        </is>
      </c>
      <c r="D21" s="6" t="n">
        <v>500000</v>
      </c>
      <c r="E21" s="12" t="n">
        <v>1</v>
      </c>
      <c r="F21" s="12" t="n">
        <v>52</v>
      </c>
      <c r="G21" s="9" t="n">
        <v>1</v>
      </c>
      <c r="H21" s="9" t="n">
        <v>0</v>
      </c>
      <c r="I21" s="16" t="n">
        <v>0.7</v>
      </c>
      <c r="J21" s="16" t="n">
        <v>0.07000000000000001</v>
      </c>
    </row>
    <row r="22">
      <c r="A22" s="8" t="inlineStr">
        <is>
          <t>Garlic</t>
        </is>
      </c>
      <c r="B22" s="18" t="inlineStr">
        <is>
          <t>Farmers Market</t>
        </is>
      </c>
      <c r="C22" s="12" t="inlineStr">
        <is>
          <t>Weekly</t>
        </is>
      </c>
      <c r="D22" s="6" t="n">
        <v>2000</v>
      </c>
      <c r="E22" s="12" t="n">
        <v>22</v>
      </c>
      <c r="F22" s="12" t="n">
        <v>35</v>
      </c>
      <c r="G22" s="9" t="n">
        <v>1</v>
      </c>
      <c r="H22" s="9" t="n">
        <v>1</v>
      </c>
      <c r="I22" s="16" t="n">
        <v>6</v>
      </c>
      <c r="J22" s="16" t="n">
        <v>0.4</v>
      </c>
    </row>
    <row r="23">
      <c r="A23" s="8" t="inlineStr">
        <is>
          <t>Garlic</t>
        </is>
      </c>
      <c r="B23" s="19" t="inlineStr">
        <is>
          <t>Wholesale</t>
        </is>
      </c>
      <c r="C23" s="12" t="inlineStr">
        <is>
          <t>Weekly</t>
        </is>
      </c>
      <c r="D23" s="6" t="n">
        <v>30000</v>
      </c>
      <c r="E23" s="12" t="n">
        <v>1</v>
      </c>
      <c r="F23" s="12" t="n">
        <v>52</v>
      </c>
      <c r="G23" s="9" t="n">
        <v>1</v>
      </c>
      <c r="H23" s="9" t="n">
        <v>0</v>
      </c>
      <c r="I23" s="16" t="n">
        <v>2.75</v>
      </c>
      <c r="J23" s="16" t="n">
        <v>0.2</v>
      </c>
    </row>
    <row r="25">
      <c r="A25" s="3" t="inlineStr">
        <is>
          <t>3b — THE CREW</t>
        </is>
      </c>
    </row>
    <row r="26">
      <c r="A26" s="7" t="inlineStr">
        <is>
          <t>Position</t>
        </is>
      </c>
      <c r="B26" s="7" t="inlineStr">
        <is>
          <t>Count</t>
        </is>
      </c>
      <c r="C26" s="7" t="inlineStr">
        <is>
          <t>Type</t>
        </is>
      </c>
      <c r="D26" s="7" t="inlineStr">
        <is>
          <t>Wage</t>
        </is>
      </c>
      <c r="E26" s="7" t="inlineStr">
        <is>
          <t>Hours/wk</t>
        </is>
      </c>
      <c r="F26" s="7" t="inlineStr">
        <is>
          <t>Field time %</t>
        </is>
      </c>
      <c r="G26" s="7" t="inlineStr">
        <is>
          <t>From wk</t>
        </is>
      </c>
      <c r="H26" s="7" t="inlineStr">
        <is>
          <t>To wk</t>
        </is>
      </c>
    </row>
    <row r="27">
      <c r="A27" s="8" t="inlineStr">
        <is>
          <t>Farm Manager</t>
        </is>
      </c>
      <c r="B27" s="20" t="n">
        <v>1</v>
      </c>
      <c r="C27" s="8" t="inlineStr">
        <is>
          <t>salary</t>
        </is>
      </c>
      <c r="D27" s="14" t="n">
        <v>95000</v>
      </c>
      <c r="E27" s="20" t="n">
        <v>45</v>
      </c>
      <c r="F27" s="20" t="n">
        <v>80</v>
      </c>
      <c r="G27" s="20" t="n">
        <v>1</v>
      </c>
      <c r="H27" s="20" t="n">
        <v>52</v>
      </c>
    </row>
    <row r="28">
      <c r="A28" s="8" t="inlineStr">
        <is>
          <t>Equipment Operator</t>
        </is>
      </c>
      <c r="B28" s="20" t="n">
        <v>2</v>
      </c>
      <c r="C28" s="8" t="inlineStr">
        <is>
          <t>hourly</t>
        </is>
      </c>
      <c r="D28" s="14" t="n">
        <v>26</v>
      </c>
      <c r="E28" s="20" t="n">
        <v>40</v>
      </c>
      <c r="F28" s="20" t="n">
        <v>90</v>
      </c>
      <c r="G28" s="20" t="n">
        <v>1</v>
      </c>
      <c r="H28" s="20" t="n">
        <v>52</v>
      </c>
    </row>
    <row r="29">
      <c r="A29" s="8" t="inlineStr">
        <is>
          <t>Seasonal Field Crew</t>
        </is>
      </c>
      <c r="B29" s="20" t="n">
        <v>12</v>
      </c>
      <c r="C29" s="8" t="inlineStr">
        <is>
          <t>seasonal</t>
        </is>
      </c>
      <c r="D29" s="14" t="n">
        <v>20</v>
      </c>
      <c r="E29" s="20" t="n">
        <v>40</v>
      </c>
      <c r="F29" s="20" t="n">
        <v>100</v>
      </c>
      <c r="G29" s="20" t="n">
        <v>10</v>
      </c>
      <c r="H29" s="20" t="n">
        <v>42</v>
      </c>
    </row>
    <row r="30">
      <c r="A30" s="8" t="inlineStr">
        <is>
          <t>Harvest Crew</t>
        </is>
      </c>
      <c r="B30" s="20" t="n">
        <v>8</v>
      </c>
      <c r="C30" s="8" t="inlineStr">
        <is>
          <t>seasonal</t>
        </is>
      </c>
      <c r="D30" s="14" t="n">
        <v>19</v>
      </c>
      <c r="E30" s="20" t="n">
        <v>40</v>
      </c>
      <c r="F30" s="20" t="n">
        <v>100</v>
      </c>
      <c r="G30" s="20" t="n">
        <v>14</v>
      </c>
      <c r="H30" s="20" t="n">
        <v>40</v>
      </c>
    </row>
    <row r="31">
      <c r="A31" s="4" t="inlineStr">
        <is>
          <t>Payroll load %</t>
        </is>
      </c>
      <c r="B31" s="21" t="n">
        <v>0.25</v>
      </c>
      <c r="C31" s="2" t="inlineStr">
        <is>
          <t>employer taxes, workers' comp, benefits — applied to EVERY wage, salaried included</t>
        </is>
      </c>
    </row>
    <row r="32">
      <c r="A32" s="4" t="inlineStr">
        <is>
          <t>Overtime multiplier</t>
        </is>
      </c>
      <c r="B32" s="9" t="n">
        <v>1.5</v>
      </c>
      <c r="C32" s="2" t="inlineStr">
        <is>
          <t>your own crew staying late, on top of their blended hourly rate</t>
        </is>
      </c>
    </row>
    <row r="33">
      <c r="A33" s="4" t="inlineStr">
        <is>
          <t>Max overtime hrs/week</t>
        </is>
      </c>
      <c r="B33" s="6" t="n">
        <v>200</v>
      </c>
    </row>
    <row r="34">
      <c r="A34" s="4" t="inlineStr">
        <is>
          <t>Hired wage $/hr</t>
        </is>
      </c>
      <c r="B34" s="16" t="n">
        <v>20</v>
      </c>
      <c r="C34" s="2" t="inlineStr">
        <is>
          <t>⚠️ YOUR LOCAL MARKET RATE — a placeholder, not a sourced figure. The app tried INFERRING this from internal payroll and got three different wrong answers (W17).</t>
        </is>
      </c>
    </row>
    <row r="35">
      <c r="A35" s="4" t="inlineStr">
        <is>
          <t>Hire markup %</t>
        </is>
      </c>
      <c r="B35" s="21" t="n">
        <v>0</v>
      </c>
      <c r="C35" s="2" t="inlineStr">
        <is>
          <t>agency fee, recruitment — on top of the wage and its payroll load</t>
        </is>
      </c>
    </row>
    <row r="36">
      <c r="A36" s="4" t="inlineStr">
        <is>
          <t>Max hired hrs/week</t>
        </is>
      </c>
      <c r="B36" s="6" t="n">
        <v>400</v>
      </c>
    </row>
    <row r="37">
      <c r="A37" s="2" t="inlineStr">
        <is>
          <t>A salary wage is $/YEAR; hourly and seasonal are $/HOUR. 'Field time %' is the share of paid hours available to the crops —</t>
        </is>
      </c>
    </row>
    <row r="38">
      <c r="A38" s="2" t="inlineStr">
        <is>
          <t>the rest is admin and maintenance. It reduces CAPACITY without reducing the WAGE.</t>
        </is>
      </c>
    </row>
    <row r="40">
      <c r="A40" s="3" t="inlineStr">
        <is>
          <t>4 — THE PLANTING CALENDAR   (68 possible plantings — the solver picks)</t>
        </is>
      </c>
    </row>
    <row r="41">
      <c r="A41" s="2" t="inlineStr">
        <is>
          <t>One row per legal start week, exactly what the app's generator offers. ACRES and PLANT? are both decisions.</t>
        </is>
      </c>
    </row>
    <row r="42">
      <c r="A42" s="22" t="inlineStr">
        <is>
          <t>Succession</t>
        </is>
      </c>
      <c r="B42" s="22" t="inlineStr">
        <is>
          <t>Crop</t>
        </is>
      </c>
      <c r="C42" s="23" t="inlineStr">
        <is>
          <t>ACRES</t>
        </is>
      </c>
      <c r="D42" s="24" t="inlineStr">
        <is>
          <t>PLANT?</t>
        </is>
      </c>
      <c r="E42" s="25" t="n">
        <v>1</v>
      </c>
      <c r="F42" s="25" t="n">
        <v>2</v>
      </c>
      <c r="G42" s="25" t="n">
        <v>3</v>
      </c>
      <c r="H42" s="25" t="n">
        <v>4</v>
      </c>
      <c r="I42" s="25" t="n">
        <v>5</v>
      </c>
      <c r="J42" s="25" t="n">
        <v>6</v>
      </c>
      <c r="K42" s="25" t="n">
        <v>7</v>
      </c>
      <c r="L42" s="25" t="n">
        <v>8</v>
      </c>
      <c r="M42" s="25" t="n">
        <v>9</v>
      </c>
      <c r="N42" s="25" t="n">
        <v>10</v>
      </c>
      <c r="O42" s="25" t="n">
        <v>11</v>
      </c>
      <c r="P42" s="25" t="n">
        <v>12</v>
      </c>
      <c r="Q42" s="25" t="n">
        <v>13</v>
      </c>
      <c r="R42" s="25" t="n">
        <v>14</v>
      </c>
      <c r="S42" s="25" t="n">
        <v>15</v>
      </c>
      <c r="T42" s="25" t="n">
        <v>16</v>
      </c>
      <c r="U42" s="25" t="n">
        <v>17</v>
      </c>
      <c r="V42" s="25" t="n">
        <v>18</v>
      </c>
      <c r="W42" s="25" t="n">
        <v>19</v>
      </c>
      <c r="X42" s="25" t="n">
        <v>20</v>
      </c>
      <c r="Y42" s="25" t="n">
        <v>21</v>
      </c>
      <c r="Z42" s="25" t="n">
        <v>22</v>
      </c>
      <c r="AA42" s="25" t="n">
        <v>23</v>
      </c>
      <c r="AB42" s="25" t="n">
        <v>24</v>
      </c>
      <c r="AC42" s="25" t="n">
        <v>25</v>
      </c>
      <c r="AD42" s="25" t="n">
        <v>26</v>
      </c>
      <c r="AE42" s="25" t="n">
        <v>27</v>
      </c>
      <c r="AF42" s="25" t="n">
        <v>28</v>
      </c>
      <c r="AG42" s="25" t="n">
        <v>29</v>
      </c>
      <c r="AH42" s="25" t="n">
        <v>30</v>
      </c>
      <c r="AI42" s="25" t="n">
        <v>31</v>
      </c>
      <c r="AJ42" s="25" t="n">
        <v>32</v>
      </c>
      <c r="AK42" s="25" t="n">
        <v>33</v>
      </c>
      <c r="AL42" s="25" t="n">
        <v>34</v>
      </c>
      <c r="AM42" s="25" t="n">
        <v>35</v>
      </c>
      <c r="AN42" s="25" t="n">
        <v>36</v>
      </c>
      <c r="AO42" s="25" t="n">
        <v>37</v>
      </c>
      <c r="AP42" s="25" t="n">
        <v>38</v>
      </c>
      <c r="AQ42" s="25" t="n">
        <v>39</v>
      </c>
      <c r="AR42" s="25" t="n">
        <v>40</v>
      </c>
      <c r="AS42" s="25" t="n">
        <v>41</v>
      </c>
      <c r="AT42" s="25" t="n">
        <v>42</v>
      </c>
      <c r="AU42" s="25" t="n">
        <v>43</v>
      </c>
      <c r="AV42" s="25" t="n">
        <v>44</v>
      </c>
      <c r="AW42" s="25" t="n">
        <v>45</v>
      </c>
      <c r="AX42" s="25" t="n">
        <v>46</v>
      </c>
      <c r="AY42" s="25" t="n">
        <v>47</v>
      </c>
      <c r="AZ42" s="25" t="n">
        <v>48</v>
      </c>
      <c r="BA42" s="25" t="n">
        <v>49</v>
      </c>
      <c r="BB42" s="25" t="n">
        <v>50</v>
      </c>
      <c r="BC42" s="25" t="n">
        <v>51</v>
      </c>
      <c r="BD42" s="25" t="n">
        <v>52</v>
      </c>
      <c r="BE42" s="26" t="inlineStr">
        <is>
          <t>max if planted</t>
        </is>
      </c>
      <c r="BF42" s="26" t="inlineStr">
        <is>
          <t>min if planted</t>
        </is>
      </c>
      <c r="BG42" s="26" t="inlineStr">
        <is>
          <t>starts wk</t>
        </is>
      </c>
    </row>
    <row r="43">
      <c r="A43" s="27" t="inlineStr">
        <is>
          <t>Spinach W05</t>
        </is>
      </c>
      <c r="B43" s="27" t="inlineStr">
        <is>
          <t>Spinach</t>
        </is>
      </c>
      <c r="C43" s="28" t="n">
        <v>0</v>
      </c>
      <c r="D43" s="29" t="n">
        <v>0</v>
      </c>
      <c r="I43" s="30" t="inlineStr">
        <is>
          <t>P</t>
        </is>
      </c>
      <c r="J43" s="30" t="inlineStr">
        <is>
          <t>G</t>
        </is>
      </c>
      <c r="K43" s="30" t="inlineStr">
        <is>
          <t>G</t>
        </is>
      </c>
      <c r="L43" s="30" t="inlineStr">
        <is>
          <t>G</t>
        </is>
      </c>
      <c r="M43" s="30" t="inlineStr">
        <is>
          <t>G</t>
        </is>
      </c>
      <c r="N43" s="30" t="inlineStr">
        <is>
          <t>G</t>
        </is>
      </c>
      <c r="O43" s="30" t="inlineStr">
        <is>
          <t>H</t>
        </is>
      </c>
      <c r="P43" s="30" t="inlineStr">
        <is>
          <t>H</t>
        </is>
      </c>
      <c r="BE43" s="31">
        <f>D43*$B$5</f>
        <v/>
      </c>
      <c r="BF43" s="31">
        <f>D43*$I$11</f>
        <v/>
      </c>
      <c r="BG43" s="32">
        <f>MATCH("P",$E43:$BD43,0)</f>
        <v/>
      </c>
    </row>
    <row r="44">
      <c r="A44" s="27" t="inlineStr">
        <is>
          <t>Spinach W06</t>
        </is>
      </c>
      <c r="B44" s="27" t="inlineStr">
        <is>
          <t>Spinach</t>
        </is>
      </c>
      <c r="C44" s="28" t="n">
        <v>0</v>
      </c>
      <c r="D44" s="29" t="n">
        <v>0</v>
      </c>
      <c r="J44" s="30" t="inlineStr">
        <is>
          <t>P</t>
        </is>
      </c>
      <c r="K44" s="30" t="inlineStr">
        <is>
          <t>G</t>
        </is>
      </c>
      <c r="L44" s="30" t="inlineStr">
        <is>
          <t>G</t>
        </is>
      </c>
      <c r="M44" s="30" t="inlineStr">
        <is>
          <t>G</t>
        </is>
      </c>
      <c r="N44" s="30" t="inlineStr">
        <is>
          <t>G</t>
        </is>
      </c>
      <c r="O44" s="30" t="inlineStr">
        <is>
          <t>G</t>
        </is>
      </c>
      <c r="P44" s="30" t="inlineStr">
        <is>
          <t>H</t>
        </is>
      </c>
      <c r="Q44" s="30" t="inlineStr">
        <is>
          <t>H</t>
        </is>
      </c>
      <c r="BE44" s="31">
        <f>D44*$B$5</f>
        <v/>
      </c>
      <c r="BF44" s="31">
        <f>D44*$I$11</f>
        <v/>
      </c>
      <c r="BG44" s="32">
        <f>MATCH("P",$E44:$BD44,0)</f>
        <v/>
      </c>
    </row>
    <row r="45">
      <c r="A45" s="27" t="inlineStr">
        <is>
          <t>Spinach W07</t>
        </is>
      </c>
      <c r="B45" s="27" t="inlineStr">
        <is>
          <t>Spinach</t>
        </is>
      </c>
      <c r="C45" s="28" t="n">
        <v>0</v>
      </c>
      <c r="D45" s="29" t="n">
        <v>0</v>
      </c>
      <c r="K45" s="30" t="inlineStr">
        <is>
          <t>P</t>
        </is>
      </c>
      <c r="L45" s="30" t="inlineStr">
        <is>
          <t>G</t>
        </is>
      </c>
      <c r="M45" s="30" t="inlineStr">
        <is>
          <t>G</t>
        </is>
      </c>
      <c r="N45" s="30" t="inlineStr">
        <is>
          <t>G</t>
        </is>
      </c>
      <c r="O45" s="30" t="inlineStr">
        <is>
          <t>G</t>
        </is>
      </c>
      <c r="P45" s="30" t="inlineStr">
        <is>
          <t>G</t>
        </is>
      </c>
      <c r="Q45" s="30" t="inlineStr">
        <is>
          <t>H</t>
        </is>
      </c>
      <c r="R45" s="30" t="inlineStr">
        <is>
          <t>H</t>
        </is>
      </c>
      <c r="BE45" s="31">
        <f>D45*$B$5</f>
        <v/>
      </c>
      <c r="BF45" s="31">
        <f>D45*$I$11</f>
        <v/>
      </c>
      <c r="BG45" s="32">
        <f>MATCH("P",$E45:$BD45,0)</f>
        <v/>
      </c>
    </row>
    <row r="46">
      <c r="A46" s="27" t="inlineStr">
        <is>
          <t>Spinach W08</t>
        </is>
      </c>
      <c r="B46" s="27" t="inlineStr">
        <is>
          <t>Spinach</t>
        </is>
      </c>
      <c r="C46" s="28" t="n">
        <v>0</v>
      </c>
      <c r="D46" s="29" t="n">
        <v>0</v>
      </c>
      <c r="L46" s="30" t="inlineStr">
        <is>
          <t>P</t>
        </is>
      </c>
      <c r="M46" s="30" t="inlineStr">
        <is>
          <t>G</t>
        </is>
      </c>
      <c r="N46" s="30" t="inlineStr">
        <is>
          <t>G</t>
        </is>
      </c>
      <c r="O46" s="30" t="inlineStr">
        <is>
          <t>G</t>
        </is>
      </c>
      <c r="P46" s="30" t="inlineStr">
        <is>
          <t>G</t>
        </is>
      </c>
      <c r="Q46" s="30" t="inlineStr">
        <is>
          <t>G</t>
        </is>
      </c>
      <c r="R46" s="30" t="inlineStr">
        <is>
          <t>H</t>
        </is>
      </c>
      <c r="S46" s="30" t="inlineStr">
        <is>
          <t>H</t>
        </is>
      </c>
      <c r="BE46" s="31">
        <f>D46*$B$5</f>
        <v/>
      </c>
      <c r="BF46" s="31">
        <f>D46*$I$11</f>
        <v/>
      </c>
      <c r="BG46" s="32">
        <f>MATCH("P",$E46:$BD46,0)</f>
        <v/>
      </c>
    </row>
    <row r="47">
      <c r="A47" s="27" t="inlineStr">
        <is>
          <t>Spinach W09</t>
        </is>
      </c>
      <c r="B47" s="27" t="inlineStr">
        <is>
          <t>Spinach</t>
        </is>
      </c>
      <c r="C47" s="28" t="n">
        <v>0</v>
      </c>
      <c r="D47" s="29" t="n">
        <v>0</v>
      </c>
      <c r="M47" s="30" t="inlineStr">
        <is>
          <t>P</t>
        </is>
      </c>
      <c r="N47" s="30" t="inlineStr">
        <is>
          <t>G</t>
        </is>
      </c>
      <c r="O47" s="30" t="inlineStr">
        <is>
          <t>G</t>
        </is>
      </c>
      <c r="P47" s="30" t="inlineStr">
        <is>
          <t>G</t>
        </is>
      </c>
      <c r="Q47" s="30" t="inlineStr">
        <is>
          <t>G</t>
        </is>
      </c>
      <c r="R47" s="30" t="inlineStr">
        <is>
          <t>G</t>
        </is>
      </c>
      <c r="S47" s="30" t="inlineStr">
        <is>
          <t>H</t>
        </is>
      </c>
      <c r="T47" s="30" t="inlineStr">
        <is>
          <t>H</t>
        </is>
      </c>
      <c r="BE47" s="31">
        <f>D47*$B$5</f>
        <v/>
      </c>
      <c r="BF47" s="31">
        <f>D47*$I$11</f>
        <v/>
      </c>
      <c r="BG47" s="32">
        <f>MATCH("P",$E47:$BD47,0)</f>
        <v/>
      </c>
    </row>
    <row r="48">
      <c r="A48" s="27" t="inlineStr">
        <is>
          <t>Spinach W10</t>
        </is>
      </c>
      <c r="B48" s="27" t="inlineStr">
        <is>
          <t>Spinach</t>
        </is>
      </c>
      <c r="C48" s="28" t="n">
        <v>0</v>
      </c>
      <c r="D48" s="29" t="n">
        <v>0</v>
      </c>
      <c r="N48" s="30" t="inlineStr">
        <is>
          <t>P</t>
        </is>
      </c>
      <c r="O48" s="30" t="inlineStr">
        <is>
          <t>G</t>
        </is>
      </c>
      <c r="P48" s="30" t="inlineStr">
        <is>
          <t>G</t>
        </is>
      </c>
      <c r="Q48" s="30" t="inlineStr">
        <is>
          <t>G</t>
        </is>
      </c>
      <c r="R48" s="30" t="inlineStr">
        <is>
          <t>G</t>
        </is>
      </c>
      <c r="S48" s="30" t="inlineStr">
        <is>
          <t>G</t>
        </is>
      </c>
      <c r="T48" s="30" t="inlineStr">
        <is>
          <t>H</t>
        </is>
      </c>
      <c r="U48" s="30" t="inlineStr">
        <is>
          <t>H</t>
        </is>
      </c>
      <c r="BE48" s="31">
        <f>D48*$B$5</f>
        <v/>
      </c>
      <c r="BF48" s="31">
        <f>D48*$I$11</f>
        <v/>
      </c>
      <c r="BG48" s="32">
        <f>MATCH("P",$E48:$BD48,0)</f>
        <v/>
      </c>
    </row>
    <row r="49">
      <c r="A49" s="27" t="inlineStr">
        <is>
          <t>Spinach W11</t>
        </is>
      </c>
      <c r="B49" s="27" t="inlineStr">
        <is>
          <t>Spinach</t>
        </is>
      </c>
      <c r="C49" s="28" t="n">
        <v>0</v>
      </c>
      <c r="D49" s="29" t="n">
        <v>0</v>
      </c>
      <c r="O49" s="30" t="inlineStr">
        <is>
          <t>P</t>
        </is>
      </c>
      <c r="P49" s="30" t="inlineStr">
        <is>
          <t>G</t>
        </is>
      </c>
      <c r="Q49" s="30" t="inlineStr">
        <is>
          <t>G</t>
        </is>
      </c>
      <c r="R49" s="30" t="inlineStr">
        <is>
          <t>G</t>
        </is>
      </c>
      <c r="S49" s="30" t="inlineStr">
        <is>
          <t>G</t>
        </is>
      </c>
      <c r="T49" s="30" t="inlineStr">
        <is>
          <t>G</t>
        </is>
      </c>
      <c r="U49" s="30" t="inlineStr">
        <is>
          <t>H</t>
        </is>
      </c>
      <c r="V49" s="30" t="inlineStr">
        <is>
          <t>H</t>
        </is>
      </c>
      <c r="BE49" s="31">
        <f>D49*$B$5</f>
        <v/>
      </c>
      <c r="BF49" s="31">
        <f>D49*$I$11</f>
        <v/>
      </c>
      <c r="BG49" s="32">
        <f>MATCH("P",$E49:$BD49,0)</f>
        <v/>
      </c>
    </row>
    <row r="50">
      <c r="A50" s="27" t="inlineStr">
        <is>
          <t>Spinach W12</t>
        </is>
      </c>
      <c r="B50" s="27" t="inlineStr">
        <is>
          <t>Spinach</t>
        </is>
      </c>
      <c r="C50" s="28" t="n">
        <v>0</v>
      </c>
      <c r="D50" s="29" t="n">
        <v>0</v>
      </c>
      <c r="P50" s="30" t="inlineStr">
        <is>
          <t>P</t>
        </is>
      </c>
      <c r="Q50" s="30" t="inlineStr">
        <is>
          <t>G</t>
        </is>
      </c>
      <c r="R50" s="30" t="inlineStr">
        <is>
          <t>G</t>
        </is>
      </c>
      <c r="S50" s="30" t="inlineStr">
        <is>
          <t>G</t>
        </is>
      </c>
      <c r="T50" s="30" t="inlineStr">
        <is>
          <t>G</t>
        </is>
      </c>
      <c r="U50" s="30" t="inlineStr">
        <is>
          <t>G</t>
        </is>
      </c>
      <c r="V50" s="30" t="inlineStr">
        <is>
          <t>H</t>
        </is>
      </c>
      <c r="W50" s="30" t="inlineStr">
        <is>
          <t>H</t>
        </is>
      </c>
      <c r="BE50" s="31">
        <f>D50*$B$5</f>
        <v/>
      </c>
      <c r="BF50" s="31">
        <f>D50*$I$11</f>
        <v/>
      </c>
      <c r="BG50" s="32">
        <f>MATCH("P",$E50:$BD50,0)</f>
        <v/>
      </c>
    </row>
    <row r="51">
      <c r="A51" s="27" t="inlineStr">
        <is>
          <t>Spinach W13</t>
        </is>
      </c>
      <c r="B51" s="27" t="inlineStr">
        <is>
          <t>Spinach</t>
        </is>
      </c>
      <c r="C51" s="28" t="n">
        <v>0</v>
      </c>
      <c r="D51" s="29" t="n">
        <v>0</v>
      </c>
      <c r="Q51" s="30" t="inlineStr">
        <is>
          <t>P</t>
        </is>
      </c>
      <c r="R51" s="30" t="inlineStr">
        <is>
          <t>G</t>
        </is>
      </c>
      <c r="S51" s="30" t="inlineStr">
        <is>
          <t>G</t>
        </is>
      </c>
      <c r="T51" s="30" t="inlineStr">
        <is>
          <t>G</t>
        </is>
      </c>
      <c r="U51" s="30" t="inlineStr">
        <is>
          <t>G</t>
        </is>
      </c>
      <c r="V51" s="30" t="inlineStr">
        <is>
          <t>G</t>
        </is>
      </c>
      <c r="W51" s="30" t="inlineStr">
        <is>
          <t>H</t>
        </is>
      </c>
      <c r="X51" s="30" t="inlineStr">
        <is>
          <t>H</t>
        </is>
      </c>
      <c r="BE51" s="31">
        <f>D51*$B$5</f>
        <v/>
      </c>
      <c r="BF51" s="31">
        <f>D51*$I$11</f>
        <v/>
      </c>
      <c r="BG51" s="32">
        <f>MATCH("P",$E51:$BD51,0)</f>
        <v/>
      </c>
    </row>
    <row r="52">
      <c r="A52" s="27" t="inlineStr">
        <is>
          <t>Spinach W14</t>
        </is>
      </c>
      <c r="B52" s="27" t="inlineStr">
        <is>
          <t>Spinach</t>
        </is>
      </c>
      <c r="C52" s="28" t="n">
        <v>0</v>
      </c>
      <c r="D52" s="29" t="n">
        <v>0</v>
      </c>
      <c r="R52" s="30" t="inlineStr">
        <is>
          <t>P</t>
        </is>
      </c>
      <c r="S52" s="30" t="inlineStr">
        <is>
          <t>G</t>
        </is>
      </c>
      <c r="T52" s="30" t="inlineStr">
        <is>
          <t>G</t>
        </is>
      </c>
      <c r="U52" s="30" t="inlineStr">
        <is>
          <t>G</t>
        </is>
      </c>
      <c r="V52" s="30" t="inlineStr">
        <is>
          <t>G</t>
        </is>
      </c>
      <c r="W52" s="30" t="inlineStr">
        <is>
          <t>G</t>
        </is>
      </c>
      <c r="X52" s="30" t="inlineStr">
        <is>
          <t>H</t>
        </is>
      </c>
      <c r="Y52" s="30" t="inlineStr">
        <is>
          <t>H</t>
        </is>
      </c>
      <c r="BE52" s="31">
        <f>D52*$B$5</f>
        <v/>
      </c>
      <c r="BF52" s="31">
        <f>D52*$I$11</f>
        <v/>
      </c>
      <c r="BG52" s="32">
        <f>MATCH("P",$E52:$BD52,0)</f>
        <v/>
      </c>
    </row>
    <row r="53">
      <c r="A53" s="27" t="inlineStr">
        <is>
          <t>Spinach W15</t>
        </is>
      </c>
      <c r="B53" s="27" t="inlineStr">
        <is>
          <t>Spinach</t>
        </is>
      </c>
      <c r="C53" s="28" t="n">
        <v>0</v>
      </c>
      <c r="D53" s="29" t="n">
        <v>0</v>
      </c>
      <c r="S53" s="30" t="inlineStr">
        <is>
          <t>P</t>
        </is>
      </c>
      <c r="T53" s="30" t="inlineStr">
        <is>
          <t>G</t>
        </is>
      </c>
      <c r="U53" s="30" t="inlineStr">
        <is>
          <t>G</t>
        </is>
      </c>
      <c r="V53" s="30" t="inlineStr">
        <is>
          <t>G</t>
        </is>
      </c>
      <c r="W53" s="30" t="inlineStr">
        <is>
          <t>G</t>
        </is>
      </c>
      <c r="X53" s="30" t="inlineStr">
        <is>
          <t>G</t>
        </is>
      </c>
      <c r="Y53" s="30" t="inlineStr">
        <is>
          <t>H</t>
        </is>
      </c>
      <c r="Z53" s="30" t="inlineStr">
        <is>
          <t>H</t>
        </is>
      </c>
      <c r="BE53" s="31">
        <f>D53*$B$5</f>
        <v/>
      </c>
      <c r="BF53" s="31">
        <f>D53*$I$11</f>
        <v/>
      </c>
      <c r="BG53" s="32">
        <f>MATCH("P",$E53:$BD53,0)</f>
        <v/>
      </c>
    </row>
    <row r="54">
      <c r="A54" s="27" t="inlineStr">
        <is>
          <t>Spinach W16</t>
        </is>
      </c>
      <c r="B54" s="27" t="inlineStr">
        <is>
          <t>Spinach</t>
        </is>
      </c>
      <c r="C54" s="28" t="n">
        <v>0</v>
      </c>
      <c r="D54" s="29" t="n">
        <v>0</v>
      </c>
      <c r="T54" s="30" t="inlineStr">
        <is>
          <t>P</t>
        </is>
      </c>
      <c r="U54" s="30" t="inlineStr">
        <is>
          <t>G</t>
        </is>
      </c>
      <c r="V54" s="30" t="inlineStr">
        <is>
          <t>G</t>
        </is>
      </c>
      <c r="W54" s="30" t="inlineStr">
        <is>
          <t>G</t>
        </is>
      </c>
      <c r="X54" s="30" t="inlineStr">
        <is>
          <t>G</t>
        </is>
      </c>
      <c r="Y54" s="30" t="inlineStr">
        <is>
          <t>G</t>
        </is>
      </c>
      <c r="Z54" s="30" t="inlineStr">
        <is>
          <t>H</t>
        </is>
      </c>
      <c r="AA54" s="30" t="inlineStr">
        <is>
          <t>H</t>
        </is>
      </c>
      <c r="BE54" s="31">
        <f>D54*$B$5</f>
        <v/>
      </c>
      <c r="BF54" s="31">
        <f>D54*$I$11</f>
        <v/>
      </c>
      <c r="BG54" s="32">
        <f>MATCH("P",$E54:$BD54,0)</f>
        <v/>
      </c>
    </row>
    <row r="55">
      <c r="A55" s="27" t="inlineStr">
        <is>
          <t>Spinach W17</t>
        </is>
      </c>
      <c r="B55" s="27" t="inlineStr">
        <is>
          <t>Spinach</t>
        </is>
      </c>
      <c r="C55" s="28" t="n">
        <v>0</v>
      </c>
      <c r="D55" s="29" t="n">
        <v>0</v>
      </c>
      <c r="U55" s="30" t="inlineStr">
        <is>
          <t>P</t>
        </is>
      </c>
      <c r="V55" s="30" t="inlineStr">
        <is>
          <t>G</t>
        </is>
      </c>
      <c r="W55" s="30" t="inlineStr">
        <is>
          <t>G</t>
        </is>
      </c>
      <c r="X55" s="30" t="inlineStr">
        <is>
          <t>G</t>
        </is>
      </c>
      <c r="Y55" s="30" t="inlineStr">
        <is>
          <t>G</t>
        </is>
      </c>
      <c r="Z55" s="30" t="inlineStr">
        <is>
          <t>G</t>
        </is>
      </c>
      <c r="AA55" s="30" t="inlineStr">
        <is>
          <t>H</t>
        </is>
      </c>
      <c r="AB55" s="30" t="inlineStr">
        <is>
          <t>H</t>
        </is>
      </c>
      <c r="BE55" s="31">
        <f>D55*$B$5</f>
        <v/>
      </c>
      <c r="BF55" s="31">
        <f>D55*$I$11</f>
        <v/>
      </c>
      <c r="BG55" s="32">
        <f>MATCH("P",$E55:$BD55,0)</f>
        <v/>
      </c>
    </row>
    <row r="56">
      <c r="A56" s="27" t="inlineStr">
        <is>
          <t>Spinach W18</t>
        </is>
      </c>
      <c r="B56" s="27" t="inlineStr">
        <is>
          <t>Spinach</t>
        </is>
      </c>
      <c r="C56" s="28" t="n">
        <v>0</v>
      </c>
      <c r="D56" s="29" t="n">
        <v>0</v>
      </c>
      <c r="V56" s="30" t="inlineStr">
        <is>
          <t>P</t>
        </is>
      </c>
      <c r="W56" s="30" t="inlineStr">
        <is>
          <t>G</t>
        </is>
      </c>
      <c r="X56" s="30" t="inlineStr">
        <is>
          <t>G</t>
        </is>
      </c>
      <c r="Y56" s="30" t="inlineStr">
        <is>
          <t>G</t>
        </is>
      </c>
      <c r="Z56" s="30" t="inlineStr">
        <is>
          <t>G</t>
        </is>
      </c>
      <c r="AA56" s="30" t="inlineStr">
        <is>
          <t>G</t>
        </is>
      </c>
      <c r="AB56" s="30" t="inlineStr">
        <is>
          <t>H</t>
        </is>
      </c>
      <c r="AC56" s="30" t="inlineStr">
        <is>
          <t>H</t>
        </is>
      </c>
      <c r="BE56" s="31">
        <f>D56*$B$5</f>
        <v/>
      </c>
      <c r="BF56" s="31">
        <f>D56*$I$11</f>
        <v/>
      </c>
      <c r="BG56" s="32">
        <f>MATCH("P",$E56:$BD56,0)</f>
        <v/>
      </c>
    </row>
    <row r="57">
      <c r="A57" s="27" t="inlineStr">
        <is>
          <t>Spinach W19</t>
        </is>
      </c>
      <c r="B57" s="27" t="inlineStr">
        <is>
          <t>Spinach</t>
        </is>
      </c>
      <c r="C57" s="28" t="n">
        <v>0</v>
      </c>
      <c r="D57" s="29" t="n">
        <v>0</v>
      </c>
      <c r="W57" s="30" t="inlineStr">
        <is>
          <t>P</t>
        </is>
      </c>
      <c r="X57" s="30" t="inlineStr">
        <is>
          <t>G</t>
        </is>
      </c>
      <c r="Y57" s="30" t="inlineStr">
        <is>
          <t>G</t>
        </is>
      </c>
      <c r="Z57" s="30" t="inlineStr">
        <is>
          <t>G</t>
        </is>
      </c>
      <c r="AA57" s="30" t="inlineStr">
        <is>
          <t>G</t>
        </is>
      </c>
      <c r="AB57" s="30" t="inlineStr">
        <is>
          <t>G</t>
        </is>
      </c>
      <c r="AC57" s="30" t="inlineStr">
        <is>
          <t>H</t>
        </is>
      </c>
      <c r="AD57" s="30" t="inlineStr">
        <is>
          <t>H</t>
        </is>
      </c>
      <c r="BE57" s="31">
        <f>D57*$B$5</f>
        <v/>
      </c>
      <c r="BF57" s="31">
        <f>D57*$I$11</f>
        <v/>
      </c>
      <c r="BG57" s="32">
        <f>MATCH("P",$E57:$BD57,0)</f>
        <v/>
      </c>
    </row>
    <row r="58">
      <c r="A58" s="27" t="inlineStr">
        <is>
          <t>Spinach W20</t>
        </is>
      </c>
      <c r="B58" s="27" t="inlineStr">
        <is>
          <t>Spinach</t>
        </is>
      </c>
      <c r="C58" s="28" t="n">
        <v>0</v>
      </c>
      <c r="D58" s="29" t="n">
        <v>0</v>
      </c>
      <c r="X58" s="30" t="inlineStr">
        <is>
          <t>P</t>
        </is>
      </c>
      <c r="Y58" s="30" t="inlineStr">
        <is>
          <t>G</t>
        </is>
      </c>
      <c r="Z58" s="30" t="inlineStr">
        <is>
          <t>G</t>
        </is>
      </c>
      <c r="AA58" s="30" t="inlineStr">
        <is>
          <t>G</t>
        </is>
      </c>
      <c r="AB58" s="30" t="inlineStr">
        <is>
          <t>G</t>
        </is>
      </c>
      <c r="AC58" s="30" t="inlineStr">
        <is>
          <t>G</t>
        </is>
      </c>
      <c r="AD58" s="30" t="inlineStr">
        <is>
          <t>H</t>
        </is>
      </c>
      <c r="AE58" s="30" t="inlineStr">
        <is>
          <t>H</t>
        </is>
      </c>
      <c r="BE58" s="31">
        <f>D58*$B$5</f>
        <v/>
      </c>
      <c r="BF58" s="31">
        <f>D58*$I$11</f>
        <v/>
      </c>
      <c r="BG58" s="32">
        <f>MATCH("P",$E58:$BD58,0)</f>
        <v/>
      </c>
    </row>
    <row r="59">
      <c r="A59" s="27" t="inlineStr">
        <is>
          <t>Spinach W21</t>
        </is>
      </c>
      <c r="B59" s="27" t="inlineStr">
        <is>
          <t>Spinach</t>
        </is>
      </c>
      <c r="C59" s="28" t="n">
        <v>0</v>
      </c>
      <c r="D59" s="29" t="n">
        <v>0</v>
      </c>
      <c r="Y59" s="30" t="inlineStr">
        <is>
          <t>P</t>
        </is>
      </c>
      <c r="Z59" s="30" t="inlineStr">
        <is>
          <t>G</t>
        </is>
      </c>
      <c r="AA59" s="30" t="inlineStr">
        <is>
          <t>G</t>
        </is>
      </c>
      <c r="AB59" s="30" t="inlineStr">
        <is>
          <t>G</t>
        </is>
      </c>
      <c r="AC59" s="30" t="inlineStr">
        <is>
          <t>G</t>
        </is>
      </c>
      <c r="AD59" s="30" t="inlineStr">
        <is>
          <t>G</t>
        </is>
      </c>
      <c r="AE59" s="30" t="inlineStr">
        <is>
          <t>H</t>
        </is>
      </c>
      <c r="AF59" s="30" t="inlineStr">
        <is>
          <t>H</t>
        </is>
      </c>
      <c r="BE59" s="31">
        <f>D59*$B$5</f>
        <v/>
      </c>
      <c r="BF59" s="31">
        <f>D59*$I$11</f>
        <v/>
      </c>
      <c r="BG59" s="32">
        <f>MATCH("P",$E59:$BD59,0)</f>
        <v/>
      </c>
    </row>
    <row r="60">
      <c r="A60" s="27" t="inlineStr">
        <is>
          <t>Spinach W22</t>
        </is>
      </c>
      <c r="B60" s="27" t="inlineStr">
        <is>
          <t>Spinach</t>
        </is>
      </c>
      <c r="C60" s="28" t="n">
        <v>0</v>
      </c>
      <c r="D60" s="29" t="n">
        <v>0</v>
      </c>
      <c r="Z60" s="30" t="inlineStr">
        <is>
          <t>P</t>
        </is>
      </c>
      <c r="AA60" s="30" t="inlineStr">
        <is>
          <t>G</t>
        </is>
      </c>
      <c r="AB60" s="30" t="inlineStr">
        <is>
          <t>G</t>
        </is>
      </c>
      <c r="AC60" s="30" t="inlineStr">
        <is>
          <t>G</t>
        </is>
      </c>
      <c r="AD60" s="30" t="inlineStr">
        <is>
          <t>G</t>
        </is>
      </c>
      <c r="AE60" s="30" t="inlineStr">
        <is>
          <t>G</t>
        </is>
      </c>
      <c r="AF60" s="30" t="inlineStr">
        <is>
          <t>H</t>
        </is>
      </c>
      <c r="AG60" s="30" t="inlineStr">
        <is>
          <t>H</t>
        </is>
      </c>
      <c r="BE60" s="31">
        <f>D60*$B$5</f>
        <v/>
      </c>
      <c r="BF60" s="31">
        <f>D60*$I$11</f>
        <v/>
      </c>
      <c r="BG60" s="32">
        <f>MATCH("P",$E60:$BD60,0)</f>
        <v/>
      </c>
    </row>
    <row r="61">
      <c r="A61" s="27" t="inlineStr">
        <is>
          <t>Spinach W23</t>
        </is>
      </c>
      <c r="B61" s="27" t="inlineStr">
        <is>
          <t>Spinach</t>
        </is>
      </c>
      <c r="C61" s="28" t="n">
        <v>0</v>
      </c>
      <c r="D61" s="29" t="n">
        <v>0</v>
      </c>
      <c r="AA61" s="30" t="inlineStr">
        <is>
          <t>P</t>
        </is>
      </c>
      <c r="AB61" s="30" t="inlineStr">
        <is>
          <t>G</t>
        </is>
      </c>
      <c r="AC61" s="30" t="inlineStr">
        <is>
          <t>G</t>
        </is>
      </c>
      <c r="AD61" s="30" t="inlineStr">
        <is>
          <t>G</t>
        </is>
      </c>
      <c r="AE61" s="30" t="inlineStr">
        <is>
          <t>G</t>
        </is>
      </c>
      <c r="AF61" s="30" t="inlineStr">
        <is>
          <t>G</t>
        </is>
      </c>
      <c r="AG61" s="30" t="inlineStr">
        <is>
          <t>H</t>
        </is>
      </c>
      <c r="AH61" s="30" t="inlineStr">
        <is>
          <t>H</t>
        </is>
      </c>
      <c r="BE61" s="31">
        <f>D61*$B$5</f>
        <v/>
      </c>
      <c r="BF61" s="31">
        <f>D61*$I$11</f>
        <v/>
      </c>
      <c r="BG61" s="32">
        <f>MATCH("P",$E61:$BD61,0)</f>
        <v/>
      </c>
    </row>
    <row r="62">
      <c r="A62" s="27" t="inlineStr">
        <is>
          <t>Spinach W24</t>
        </is>
      </c>
      <c r="B62" s="27" t="inlineStr">
        <is>
          <t>Spinach</t>
        </is>
      </c>
      <c r="C62" s="28" t="n">
        <v>0</v>
      </c>
      <c r="D62" s="29" t="n">
        <v>0</v>
      </c>
      <c r="AB62" s="30" t="inlineStr">
        <is>
          <t>P</t>
        </is>
      </c>
      <c r="AC62" s="30" t="inlineStr">
        <is>
          <t>G</t>
        </is>
      </c>
      <c r="AD62" s="30" t="inlineStr">
        <is>
          <t>G</t>
        </is>
      </c>
      <c r="AE62" s="30" t="inlineStr">
        <is>
          <t>G</t>
        </is>
      </c>
      <c r="AF62" s="30" t="inlineStr">
        <is>
          <t>G</t>
        </is>
      </c>
      <c r="AG62" s="30" t="inlineStr">
        <is>
          <t>G</t>
        </is>
      </c>
      <c r="AH62" s="30" t="inlineStr">
        <is>
          <t>H</t>
        </is>
      </c>
      <c r="AI62" s="30" t="inlineStr">
        <is>
          <t>H</t>
        </is>
      </c>
      <c r="BE62" s="31">
        <f>D62*$B$5</f>
        <v/>
      </c>
      <c r="BF62" s="31">
        <f>D62*$I$11</f>
        <v/>
      </c>
      <c r="BG62" s="32">
        <f>MATCH("P",$E62:$BD62,0)</f>
        <v/>
      </c>
    </row>
    <row r="63">
      <c r="A63" s="27" t="inlineStr">
        <is>
          <t>Spinach W31</t>
        </is>
      </c>
      <c r="B63" s="27" t="inlineStr">
        <is>
          <t>Spinach</t>
        </is>
      </c>
      <c r="C63" s="28" t="n">
        <v>0</v>
      </c>
      <c r="D63" s="29" t="n">
        <v>0</v>
      </c>
      <c r="AI63" s="30" t="inlineStr">
        <is>
          <t>P</t>
        </is>
      </c>
      <c r="AJ63" s="30" t="inlineStr">
        <is>
          <t>G</t>
        </is>
      </c>
      <c r="AK63" s="30" t="inlineStr">
        <is>
          <t>G</t>
        </is>
      </c>
      <c r="AL63" s="30" t="inlineStr">
        <is>
          <t>G</t>
        </is>
      </c>
      <c r="AM63" s="30" t="inlineStr">
        <is>
          <t>G</t>
        </is>
      </c>
      <c r="AN63" s="30" t="inlineStr">
        <is>
          <t>G</t>
        </is>
      </c>
      <c r="AO63" s="30" t="inlineStr">
        <is>
          <t>H</t>
        </is>
      </c>
      <c r="AP63" s="30" t="inlineStr">
        <is>
          <t>H</t>
        </is>
      </c>
      <c r="BE63" s="31">
        <f>D63*$B$5</f>
        <v/>
      </c>
      <c r="BF63" s="31">
        <f>D63*$I$11</f>
        <v/>
      </c>
      <c r="BG63" s="32">
        <f>MATCH("P",$E63:$BD63,0)</f>
        <v/>
      </c>
    </row>
    <row r="64">
      <c r="A64" s="27" t="inlineStr">
        <is>
          <t>Spinach W32</t>
        </is>
      </c>
      <c r="B64" s="27" t="inlineStr">
        <is>
          <t>Spinach</t>
        </is>
      </c>
      <c r="C64" s="28" t="n">
        <v>0</v>
      </c>
      <c r="D64" s="29" t="n">
        <v>0</v>
      </c>
      <c r="AJ64" s="30" t="inlineStr">
        <is>
          <t>P</t>
        </is>
      </c>
      <c r="AK64" s="30" t="inlineStr">
        <is>
          <t>G</t>
        </is>
      </c>
      <c r="AL64" s="30" t="inlineStr">
        <is>
          <t>G</t>
        </is>
      </c>
      <c r="AM64" s="30" t="inlineStr">
        <is>
          <t>G</t>
        </is>
      </c>
      <c r="AN64" s="30" t="inlineStr">
        <is>
          <t>G</t>
        </is>
      </c>
      <c r="AO64" s="30" t="inlineStr">
        <is>
          <t>G</t>
        </is>
      </c>
      <c r="AP64" s="30" t="inlineStr">
        <is>
          <t>H</t>
        </is>
      </c>
      <c r="AQ64" s="30" t="inlineStr">
        <is>
          <t>H</t>
        </is>
      </c>
      <c r="BE64" s="31">
        <f>D64*$B$5</f>
        <v/>
      </c>
      <c r="BF64" s="31">
        <f>D64*$I$11</f>
        <v/>
      </c>
      <c r="BG64" s="32">
        <f>MATCH("P",$E64:$BD64,0)</f>
        <v/>
      </c>
    </row>
    <row r="65">
      <c r="A65" s="27" t="inlineStr">
        <is>
          <t>Spinach W33</t>
        </is>
      </c>
      <c r="B65" s="27" t="inlineStr">
        <is>
          <t>Spinach</t>
        </is>
      </c>
      <c r="C65" s="28" t="n">
        <v>0</v>
      </c>
      <c r="D65" s="29" t="n">
        <v>0</v>
      </c>
      <c r="AK65" s="30" t="inlineStr">
        <is>
          <t>P</t>
        </is>
      </c>
      <c r="AL65" s="30" t="inlineStr">
        <is>
          <t>G</t>
        </is>
      </c>
      <c r="AM65" s="30" t="inlineStr">
        <is>
          <t>G</t>
        </is>
      </c>
      <c r="AN65" s="30" t="inlineStr">
        <is>
          <t>G</t>
        </is>
      </c>
      <c r="AO65" s="30" t="inlineStr">
        <is>
          <t>G</t>
        </is>
      </c>
      <c r="AP65" s="30" t="inlineStr">
        <is>
          <t>G</t>
        </is>
      </c>
      <c r="AQ65" s="30" t="inlineStr">
        <is>
          <t>H</t>
        </is>
      </c>
      <c r="AR65" s="30" t="inlineStr">
        <is>
          <t>H</t>
        </is>
      </c>
      <c r="BE65" s="31">
        <f>D65*$B$5</f>
        <v/>
      </c>
      <c r="BF65" s="31">
        <f>D65*$I$11</f>
        <v/>
      </c>
      <c r="BG65" s="32">
        <f>MATCH("P",$E65:$BD65,0)</f>
        <v/>
      </c>
    </row>
    <row r="66">
      <c r="A66" s="27" t="inlineStr">
        <is>
          <t>Spinach W34</t>
        </is>
      </c>
      <c r="B66" s="27" t="inlineStr">
        <is>
          <t>Spinach</t>
        </is>
      </c>
      <c r="C66" s="28" t="n">
        <v>0</v>
      </c>
      <c r="D66" s="29" t="n">
        <v>0</v>
      </c>
      <c r="AL66" s="30" t="inlineStr">
        <is>
          <t>P</t>
        </is>
      </c>
      <c r="AM66" s="30" t="inlineStr">
        <is>
          <t>G</t>
        </is>
      </c>
      <c r="AN66" s="30" t="inlineStr">
        <is>
          <t>G</t>
        </is>
      </c>
      <c r="AO66" s="30" t="inlineStr">
        <is>
          <t>G</t>
        </is>
      </c>
      <c r="AP66" s="30" t="inlineStr">
        <is>
          <t>G</t>
        </is>
      </c>
      <c r="AQ66" s="30" t="inlineStr">
        <is>
          <t>G</t>
        </is>
      </c>
      <c r="AR66" s="30" t="inlineStr">
        <is>
          <t>H</t>
        </is>
      </c>
      <c r="AS66" s="30" t="inlineStr">
        <is>
          <t>H</t>
        </is>
      </c>
      <c r="BE66" s="31">
        <f>D66*$B$5</f>
        <v/>
      </c>
      <c r="BF66" s="31">
        <f>D66*$I$11</f>
        <v/>
      </c>
      <c r="BG66" s="32">
        <f>MATCH("P",$E66:$BD66,0)</f>
        <v/>
      </c>
    </row>
    <row r="67">
      <c r="A67" s="27" t="inlineStr">
        <is>
          <t>Spinach W35</t>
        </is>
      </c>
      <c r="B67" s="27" t="inlineStr">
        <is>
          <t>Spinach</t>
        </is>
      </c>
      <c r="C67" s="28" t="n">
        <v>0</v>
      </c>
      <c r="D67" s="29" t="n">
        <v>0</v>
      </c>
      <c r="AM67" s="30" t="inlineStr">
        <is>
          <t>P</t>
        </is>
      </c>
      <c r="AN67" s="30" t="inlineStr">
        <is>
          <t>G</t>
        </is>
      </c>
      <c r="AO67" s="30" t="inlineStr">
        <is>
          <t>G</t>
        </is>
      </c>
      <c r="AP67" s="30" t="inlineStr">
        <is>
          <t>G</t>
        </is>
      </c>
      <c r="AQ67" s="30" t="inlineStr">
        <is>
          <t>G</t>
        </is>
      </c>
      <c r="AR67" s="30" t="inlineStr">
        <is>
          <t>G</t>
        </is>
      </c>
      <c r="AS67" s="30" t="inlineStr">
        <is>
          <t>H</t>
        </is>
      </c>
      <c r="AT67" s="30" t="inlineStr">
        <is>
          <t>H</t>
        </is>
      </c>
      <c r="BE67" s="31">
        <f>D67*$B$5</f>
        <v/>
      </c>
      <c r="BF67" s="31">
        <f>D67*$I$11</f>
        <v/>
      </c>
      <c r="BG67" s="32">
        <f>MATCH("P",$E67:$BD67,0)</f>
        <v/>
      </c>
    </row>
    <row r="68">
      <c r="A68" s="27" t="inlineStr">
        <is>
          <t>Spinach W36</t>
        </is>
      </c>
      <c r="B68" s="27" t="inlineStr">
        <is>
          <t>Spinach</t>
        </is>
      </c>
      <c r="C68" s="28" t="n">
        <v>0</v>
      </c>
      <c r="D68" s="29" t="n">
        <v>0</v>
      </c>
      <c r="AN68" s="30" t="inlineStr">
        <is>
          <t>P</t>
        </is>
      </c>
      <c r="AO68" s="30" t="inlineStr">
        <is>
          <t>G</t>
        </is>
      </c>
      <c r="AP68" s="30" t="inlineStr">
        <is>
          <t>G</t>
        </is>
      </c>
      <c r="AQ68" s="30" t="inlineStr">
        <is>
          <t>G</t>
        </is>
      </c>
      <c r="AR68" s="30" t="inlineStr">
        <is>
          <t>G</t>
        </is>
      </c>
      <c r="AS68" s="30" t="inlineStr">
        <is>
          <t>G</t>
        </is>
      </c>
      <c r="AT68" s="30" t="inlineStr">
        <is>
          <t>H</t>
        </is>
      </c>
      <c r="AU68" s="30" t="inlineStr">
        <is>
          <t>H</t>
        </is>
      </c>
      <c r="BE68" s="31">
        <f>D68*$B$5</f>
        <v/>
      </c>
      <c r="BF68" s="31">
        <f>D68*$I$11</f>
        <v/>
      </c>
      <c r="BG68" s="32">
        <f>MATCH("P",$E68:$BD68,0)</f>
        <v/>
      </c>
    </row>
    <row r="69">
      <c r="A69" s="27" t="inlineStr">
        <is>
          <t>Spinach W37</t>
        </is>
      </c>
      <c r="B69" s="27" t="inlineStr">
        <is>
          <t>Spinach</t>
        </is>
      </c>
      <c r="C69" s="28" t="n">
        <v>0</v>
      </c>
      <c r="D69" s="29" t="n">
        <v>0</v>
      </c>
      <c r="AO69" s="30" t="inlineStr">
        <is>
          <t>P</t>
        </is>
      </c>
      <c r="AP69" s="30" t="inlineStr">
        <is>
          <t>G</t>
        </is>
      </c>
      <c r="AQ69" s="30" t="inlineStr">
        <is>
          <t>G</t>
        </is>
      </c>
      <c r="AR69" s="30" t="inlineStr">
        <is>
          <t>G</t>
        </is>
      </c>
      <c r="AS69" s="30" t="inlineStr">
        <is>
          <t>G</t>
        </is>
      </c>
      <c r="AT69" s="30" t="inlineStr">
        <is>
          <t>G</t>
        </is>
      </c>
      <c r="AU69" s="30" t="inlineStr">
        <is>
          <t>H</t>
        </is>
      </c>
      <c r="AV69" s="30" t="inlineStr">
        <is>
          <t>H</t>
        </is>
      </c>
      <c r="BE69" s="31">
        <f>D69*$B$5</f>
        <v/>
      </c>
      <c r="BF69" s="31">
        <f>D69*$I$11</f>
        <v/>
      </c>
      <c r="BG69" s="32">
        <f>MATCH("P",$E69:$BD69,0)</f>
        <v/>
      </c>
    </row>
    <row r="70">
      <c r="A70" s="27" t="inlineStr">
        <is>
          <t>Spinach W38</t>
        </is>
      </c>
      <c r="B70" s="27" t="inlineStr">
        <is>
          <t>Spinach</t>
        </is>
      </c>
      <c r="C70" s="28" t="n">
        <v>0</v>
      </c>
      <c r="D70" s="29" t="n">
        <v>0</v>
      </c>
      <c r="AP70" s="30" t="inlineStr">
        <is>
          <t>P</t>
        </is>
      </c>
      <c r="AQ70" s="30" t="inlineStr">
        <is>
          <t>G</t>
        </is>
      </c>
      <c r="AR70" s="30" t="inlineStr">
        <is>
          <t>G</t>
        </is>
      </c>
      <c r="AS70" s="30" t="inlineStr">
        <is>
          <t>G</t>
        </is>
      </c>
      <c r="AT70" s="30" t="inlineStr">
        <is>
          <t>G</t>
        </is>
      </c>
      <c r="AU70" s="30" t="inlineStr">
        <is>
          <t>G</t>
        </is>
      </c>
      <c r="AV70" s="30" t="inlineStr">
        <is>
          <t>H</t>
        </is>
      </c>
      <c r="AW70" s="30" t="inlineStr">
        <is>
          <t>H</t>
        </is>
      </c>
      <c r="BE70" s="31">
        <f>D70*$B$5</f>
        <v/>
      </c>
      <c r="BF70" s="31">
        <f>D70*$I$11</f>
        <v/>
      </c>
      <c r="BG70" s="32">
        <f>MATCH("P",$E70:$BD70,0)</f>
        <v/>
      </c>
    </row>
    <row r="71">
      <c r="A71" s="27" t="inlineStr">
        <is>
          <t>Spinach W39</t>
        </is>
      </c>
      <c r="B71" s="27" t="inlineStr">
        <is>
          <t>Spinach</t>
        </is>
      </c>
      <c r="C71" s="28" t="n">
        <v>0</v>
      </c>
      <c r="D71" s="29" t="n">
        <v>0</v>
      </c>
      <c r="AQ71" s="30" t="inlineStr">
        <is>
          <t>P</t>
        </is>
      </c>
      <c r="AR71" s="30" t="inlineStr">
        <is>
          <t>G</t>
        </is>
      </c>
      <c r="AS71" s="30" t="inlineStr">
        <is>
          <t>G</t>
        </is>
      </c>
      <c r="AT71" s="30" t="inlineStr">
        <is>
          <t>G</t>
        </is>
      </c>
      <c r="AU71" s="30" t="inlineStr">
        <is>
          <t>G</t>
        </is>
      </c>
      <c r="AV71" s="30" t="inlineStr">
        <is>
          <t>G</t>
        </is>
      </c>
      <c r="AW71" s="30" t="inlineStr">
        <is>
          <t>H</t>
        </is>
      </c>
      <c r="AX71" s="30" t="inlineStr">
        <is>
          <t>H</t>
        </is>
      </c>
      <c r="BE71" s="31">
        <f>D71*$B$5</f>
        <v/>
      </c>
      <c r="BF71" s="31">
        <f>D71*$I$11</f>
        <v/>
      </c>
      <c r="BG71" s="32">
        <f>MATCH("P",$E71:$BD71,0)</f>
        <v/>
      </c>
    </row>
    <row r="72">
      <c r="A72" s="27" t="inlineStr">
        <is>
          <t>Spinach W40</t>
        </is>
      </c>
      <c r="B72" s="27" t="inlineStr">
        <is>
          <t>Spinach</t>
        </is>
      </c>
      <c r="C72" s="28" t="n">
        <v>0</v>
      </c>
      <c r="D72" s="29" t="n">
        <v>0</v>
      </c>
      <c r="AR72" s="30" t="inlineStr">
        <is>
          <t>P</t>
        </is>
      </c>
      <c r="AS72" s="30" t="inlineStr">
        <is>
          <t>G</t>
        </is>
      </c>
      <c r="AT72" s="30" t="inlineStr">
        <is>
          <t>G</t>
        </is>
      </c>
      <c r="AU72" s="30" t="inlineStr">
        <is>
          <t>G</t>
        </is>
      </c>
      <c r="AV72" s="30" t="inlineStr">
        <is>
          <t>G</t>
        </is>
      </c>
      <c r="AW72" s="30" t="inlineStr">
        <is>
          <t>G</t>
        </is>
      </c>
      <c r="AX72" s="30" t="inlineStr">
        <is>
          <t>H</t>
        </is>
      </c>
      <c r="AY72" s="30" t="inlineStr">
        <is>
          <t>H</t>
        </is>
      </c>
      <c r="BE72" s="31">
        <f>D72*$B$5</f>
        <v/>
      </c>
      <c r="BF72" s="31">
        <f>D72*$I$11</f>
        <v/>
      </c>
      <c r="BG72" s="32">
        <f>MATCH("P",$E72:$BD72,0)</f>
        <v/>
      </c>
    </row>
    <row r="73">
      <c r="A73" s="27" t="inlineStr">
        <is>
          <t>Spinach W41</t>
        </is>
      </c>
      <c r="B73" s="27" t="inlineStr">
        <is>
          <t>Spinach</t>
        </is>
      </c>
      <c r="C73" s="28" t="n">
        <v>0</v>
      </c>
      <c r="D73" s="29" t="n">
        <v>0</v>
      </c>
      <c r="AS73" s="30" t="inlineStr">
        <is>
          <t>P</t>
        </is>
      </c>
      <c r="AT73" s="30" t="inlineStr">
        <is>
          <t>G</t>
        </is>
      </c>
      <c r="AU73" s="30" t="inlineStr">
        <is>
          <t>G</t>
        </is>
      </c>
      <c r="AV73" s="30" t="inlineStr">
        <is>
          <t>G</t>
        </is>
      </c>
      <c r="AW73" s="30" t="inlineStr">
        <is>
          <t>G</t>
        </is>
      </c>
      <c r="AX73" s="30" t="inlineStr">
        <is>
          <t>G</t>
        </is>
      </c>
      <c r="AY73" s="30" t="inlineStr">
        <is>
          <t>H</t>
        </is>
      </c>
      <c r="AZ73" s="30" t="inlineStr">
        <is>
          <t>H</t>
        </is>
      </c>
      <c r="BE73" s="31">
        <f>D73*$B$5</f>
        <v/>
      </c>
      <c r="BF73" s="31">
        <f>D73*$I$11</f>
        <v/>
      </c>
      <c r="BG73" s="32">
        <f>MATCH("P",$E73:$BD73,0)</f>
        <v/>
      </c>
    </row>
    <row r="74">
      <c r="A74" s="27" t="inlineStr">
        <is>
          <t>Spinach W42</t>
        </is>
      </c>
      <c r="B74" s="27" t="inlineStr">
        <is>
          <t>Spinach</t>
        </is>
      </c>
      <c r="C74" s="28" t="n">
        <v>0</v>
      </c>
      <c r="D74" s="29" t="n">
        <v>0</v>
      </c>
      <c r="AT74" s="30" t="inlineStr">
        <is>
          <t>P</t>
        </is>
      </c>
      <c r="AU74" s="30" t="inlineStr">
        <is>
          <t>G</t>
        </is>
      </c>
      <c r="AV74" s="30" t="inlineStr">
        <is>
          <t>G</t>
        </is>
      </c>
      <c r="AW74" s="30" t="inlineStr">
        <is>
          <t>G</t>
        </is>
      </c>
      <c r="AX74" s="30" t="inlineStr">
        <is>
          <t>G</t>
        </is>
      </c>
      <c r="AY74" s="30" t="inlineStr">
        <is>
          <t>G</t>
        </is>
      </c>
      <c r="AZ74" s="30" t="inlineStr">
        <is>
          <t>H</t>
        </is>
      </c>
      <c r="BA74" s="30" t="inlineStr">
        <is>
          <t>H</t>
        </is>
      </c>
      <c r="BE74" s="31">
        <f>D74*$B$5</f>
        <v/>
      </c>
      <c r="BF74" s="31">
        <f>D74*$I$11</f>
        <v/>
      </c>
      <c r="BG74" s="32">
        <f>MATCH("P",$E74:$BD74,0)</f>
        <v/>
      </c>
    </row>
    <row r="75">
      <c r="A75" s="27" t="inlineStr">
        <is>
          <t>Spinach W43</t>
        </is>
      </c>
      <c r="B75" s="27" t="inlineStr">
        <is>
          <t>Spinach</t>
        </is>
      </c>
      <c r="C75" s="28" t="n">
        <v>0</v>
      </c>
      <c r="D75" s="29" t="n">
        <v>0</v>
      </c>
      <c r="AU75" s="30" t="inlineStr">
        <is>
          <t>P</t>
        </is>
      </c>
      <c r="AV75" s="30" t="inlineStr">
        <is>
          <t>G</t>
        </is>
      </c>
      <c r="AW75" s="30" t="inlineStr">
        <is>
          <t>G</t>
        </is>
      </c>
      <c r="AX75" s="30" t="inlineStr">
        <is>
          <t>G</t>
        </is>
      </c>
      <c r="AY75" s="30" t="inlineStr">
        <is>
          <t>G</t>
        </is>
      </c>
      <c r="AZ75" s="30" t="inlineStr">
        <is>
          <t>G</t>
        </is>
      </c>
      <c r="BA75" s="30" t="inlineStr">
        <is>
          <t>H</t>
        </is>
      </c>
      <c r="BB75" s="30" t="inlineStr">
        <is>
          <t>H</t>
        </is>
      </c>
      <c r="BE75" s="31">
        <f>D75*$B$5</f>
        <v/>
      </c>
      <c r="BF75" s="31">
        <f>D75*$I$11</f>
        <v/>
      </c>
      <c r="BG75" s="32">
        <f>MATCH("P",$E75:$BD75,0)</f>
        <v/>
      </c>
    </row>
    <row r="76">
      <c r="A76" s="27" t="inlineStr">
        <is>
          <t>Spinach W44</t>
        </is>
      </c>
      <c r="B76" s="27" t="inlineStr">
        <is>
          <t>Spinach</t>
        </is>
      </c>
      <c r="C76" s="28" t="n">
        <v>0</v>
      </c>
      <c r="D76" s="29" t="n">
        <v>0</v>
      </c>
      <c r="AV76" s="30" t="inlineStr">
        <is>
          <t>P</t>
        </is>
      </c>
      <c r="AW76" s="30" t="inlineStr">
        <is>
          <t>G</t>
        </is>
      </c>
      <c r="AX76" s="30" t="inlineStr">
        <is>
          <t>G</t>
        </is>
      </c>
      <c r="AY76" s="30" t="inlineStr">
        <is>
          <t>G</t>
        </is>
      </c>
      <c r="AZ76" s="30" t="inlineStr">
        <is>
          <t>G</t>
        </is>
      </c>
      <c r="BA76" s="30" t="inlineStr">
        <is>
          <t>G</t>
        </is>
      </c>
      <c r="BB76" s="30" t="inlineStr">
        <is>
          <t>H</t>
        </is>
      </c>
      <c r="BC76" s="30" t="inlineStr">
        <is>
          <t>H</t>
        </is>
      </c>
      <c r="BE76" s="31">
        <f>D76*$B$5</f>
        <v/>
      </c>
      <c r="BF76" s="31">
        <f>D76*$I$11</f>
        <v/>
      </c>
      <c r="BG76" s="32">
        <f>MATCH("P",$E76:$BD76,0)</f>
        <v/>
      </c>
    </row>
    <row r="77">
      <c r="A77" s="27" t="inlineStr">
        <is>
          <t>Spinach W45</t>
        </is>
      </c>
      <c r="B77" s="27" t="inlineStr">
        <is>
          <t>Spinach</t>
        </is>
      </c>
      <c r="C77" s="28" t="n">
        <v>0</v>
      </c>
      <c r="D77" s="29" t="n">
        <v>0</v>
      </c>
      <c r="AW77" s="30" t="inlineStr">
        <is>
          <t>P</t>
        </is>
      </c>
      <c r="AX77" s="30" t="inlineStr">
        <is>
          <t>G</t>
        </is>
      </c>
      <c r="AY77" s="30" t="inlineStr">
        <is>
          <t>G</t>
        </is>
      </c>
      <c r="AZ77" s="30" t="inlineStr">
        <is>
          <t>G</t>
        </is>
      </c>
      <c r="BA77" s="30" t="inlineStr">
        <is>
          <t>G</t>
        </is>
      </c>
      <c r="BB77" s="30" t="inlineStr">
        <is>
          <t>G</t>
        </is>
      </c>
      <c r="BC77" s="30" t="inlineStr">
        <is>
          <t>H</t>
        </is>
      </c>
      <c r="BD77" s="30" t="inlineStr">
        <is>
          <t>H</t>
        </is>
      </c>
      <c r="BE77" s="31">
        <f>D77*$B$5</f>
        <v/>
      </c>
      <c r="BF77" s="31">
        <f>D77*$I$11</f>
        <v/>
      </c>
      <c r="BG77" s="32">
        <f>MATCH("P",$E77:$BD77,0)</f>
        <v/>
      </c>
    </row>
    <row r="78">
      <c r="A78" s="27" t="inlineStr">
        <is>
          <t>Kale W05</t>
        </is>
      </c>
      <c r="B78" s="27" t="inlineStr">
        <is>
          <t>Kale</t>
        </is>
      </c>
      <c r="C78" s="28" t="n">
        <v>0</v>
      </c>
      <c r="D78" s="29" t="n">
        <v>0</v>
      </c>
      <c r="I78" s="30" t="inlineStr">
        <is>
          <t>P</t>
        </is>
      </c>
      <c r="J78" s="30" t="inlineStr">
        <is>
          <t>G</t>
        </is>
      </c>
      <c r="K78" s="30" t="inlineStr">
        <is>
          <t>G</t>
        </is>
      </c>
      <c r="L78" s="30" t="inlineStr">
        <is>
          <t>G</t>
        </is>
      </c>
      <c r="M78" s="30" t="inlineStr">
        <is>
          <t>G</t>
        </is>
      </c>
      <c r="N78" s="30" t="inlineStr">
        <is>
          <t>G</t>
        </is>
      </c>
      <c r="O78" s="30" t="inlineStr">
        <is>
          <t>G</t>
        </is>
      </c>
      <c r="P78" s="30" t="inlineStr">
        <is>
          <t>G</t>
        </is>
      </c>
      <c r="Q78" s="30" t="inlineStr">
        <is>
          <t>G</t>
        </is>
      </c>
      <c r="R78" s="30" t="inlineStr">
        <is>
          <t>H</t>
        </is>
      </c>
      <c r="S78" s="30" t="inlineStr">
        <is>
          <t>H</t>
        </is>
      </c>
      <c r="T78" s="30" t="inlineStr">
        <is>
          <t>H</t>
        </is>
      </c>
      <c r="U78" s="30" t="inlineStr">
        <is>
          <t>H</t>
        </is>
      </c>
      <c r="BE78" s="31">
        <f>D78*$B$5</f>
        <v/>
      </c>
      <c r="BF78" s="31">
        <f>D78*$I$12</f>
        <v/>
      </c>
      <c r="BG78" s="32">
        <f>MATCH("P",$E78:$BD78,0)</f>
        <v/>
      </c>
    </row>
    <row r="79">
      <c r="A79" s="27" t="inlineStr">
        <is>
          <t>Kale W06</t>
        </is>
      </c>
      <c r="B79" s="27" t="inlineStr">
        <is>
          <t>Kale</t>
        </is>
      </c>
      <c r="C79" s="28" t="n">
        <v>0</v>
      </c>
      <c r="D79" s="29" t="n">
        <v>0</v>
      </c>
      <c r="J79" s="30" t="inlineStr">
        <is>
          <t>P</t>
        </is>
      </c>
      <c r="K79" s="30" t="inlineStr">
        <is>
          <t>G</t>
        </is>
      </c>
      <c r="L79" s="30" t="inlineStr">
        <is>
          <t>G</t>
        </is>
      </c>
      <c r="M79" s="30" t="inlineStr">
        <is>
          <t>G</t>
        </is>
      </c>
      <c r="N79" s="30" t="inlineStr">
        <is>
          <t>G</t>
        </is>
      </c>
      <c r="O79" s="30" t="inlineStr">
        <is>
          <t>G</t>
        </is>
      </c>
      <c r="P79" s="30" t="inlineStr">
        <is>
          <t>G</t>
        </is>
      </c>
      <c r="Q79" s="30" t="inlineStr">
        <is>
          <t>G</t>
        </is>
      </c>
      <c r="R79" s="30" t="inlineStr">
        <is>
          <t>G</t>
        </is>
      </c>
      <c r="S79" s="30" t="inlineStr">
        <is>
          <t>H</t>
        </is>
      </c>
      <c r="T79" s="30" t="inlineStr">
        <is>
          <t>H</t>
        </is>
      </c>
      <c r="U79" s="30" t="inlineStr">
        <is>
          <t>H</t>
        </is>
      </c>
      <c r="V79" s="30" t="inlineStr">
        <is>
          <t>H</t>
        </is>
      </c>
      <c r="BE79" s="31">
        <f>D79*$B$5</f>
        <v/>
      </c>
      <c r="BF79" s="31">
        <f>D79*$I$12</f>
        <v/>
      </c>
      <c r="BG79" s="32">
        <f>MATCH("P",$E79:$BD79,0)</f>
        <v/>
      </c>
    </row>
    <row r="80">
      <c r="A80" s="27" t="inlineStr">
        <is>
          <t>Kale W07</t>
        </is>
      </c>
      <c r="B80" s="27" t="inlineStr">
        <is>
          <t>Kale</t>
        </is>
      </c>
      <c r="C80" s="28" t="n">
        <v>0</v>
      </c>
      <c r="D80" s="29" t="n">
        <v>0</v>
      </c>
      <c r="K80" s="30" t="inlineStr">
        <is>
          <t>P</t>
        </is>
      </c>
      <c r="L80" s="30" t="inlineStr">
        <is>
          <t>G</t>
        </is>
      </c>
      <c r="M80" s="30" t="inlineStr">
        <is>
          <t>G</t>
        </is>
      </c>
      <c r="N80" s="30" t="inlineStr">
        <is>
          <t>G</t>
        </is>
      </c>
      <c r="O80" s="30" t="inlineStr">
        <is>
          <t>G</t>
        </is>
      </c>
      <c r="P80" s="30" t="inlineStr">
        <is>
          <t>G</t>
        </is>
      </c>
      <c r="Q80" s="30" t="inlineStr">
        <is>
          <t>G</t>
        </is>
      </c>
      <c r="R80" s="30" t="inlineStr">
        <is>
          <t>G</t>
        </is>
      </c>
      <c r="S80" s="30" t="inlineStr">
        <is>
          <t>G</t>
        </is>
      </c>
      <c r="T80" s="30" t="inlineStr">
        <is>
          <t>H</t>
        </is>
      </c>
      <c r="U80" s="30" t="inlineStr">
        <is>
          <t>H</t>
        </is>
      </c>
      <c r="V80" s="30" t="inlineStr">
        <is>
          <t>H</t>
        </is>
      </c>
      <c r="W80" s="30" t="inlineStr">
        <is>
          <t>H</t>
        </is>
      </c>
      <c r="BE80" s="31">
        <f>D80*$B$5</f>
        <v/>
      </c>
      <c r="BF80" s="31">
        <f>D80*$I$12</f>
        <v/>
      </c>
      <c r="BG80" s="32">
        <f>MATCH("P",$E80:$BD80,0)</f>
        <v/>
      </c>
    </row>
    <row r="81">
      <c r="A81" s="27" t="inlineStr">
        <is>
          <t>Kale W08</t>
        </is>
      </c>
      <c r="B81" s="27" t="inlineStr">
        <is>
          <t>Kale</t>
        </is>
      </c>
      <c r="C81" s="28" t="n">
        <v>0</v>
      </c>
      <c r="D81" s="29" t="n">
        <v>0</v>
      </c>
      <c r="L81" s="30" t="inlineStr">
        <is>
          <t>P</t>
        </is>
      </c>
      <c r="M81" s="30" t="inlineStr">
        <is>
          <t>G</t>
        </is>
      </c>
      <c r="N81" s="30" t="inlineStr">
        <is>
          <t>G</t>
        </is>
      </c>
      <c r="O81" s="30" t="inlineStr">
        <is>
          <t>G</t>
        </is>
      </c>
      <c r="P81" s="30" t="inlineStr">
        <is>
          <t>G</t>
        </is>
      </c>
      <c r="Q81" s="30" t="inlineStr">
        <is>
          <t>G</t>
        </is>
      </c>
      <c r="R81" s="30" t="inlineStr">
        <is>
          <t>G</t>
        </is>
      </c>
      <c r="S81" s="30" t="inlineStr">
        <is>
          <t>G</t>
        </is>
      </c>
      <c r="T81" s="30" t="inlineStr">
        <is>
          <t>G</t>
        </is>
      </c>
      <c r="U81" s="30" t="inlineStr">
        <is>
          <t>H</t>
        </is>
      </c>
      <c r="V81" s="30" t="inlineStr">
        <is>
          <t>H</t>
        </is>
      </c>
      <c r="W81" s="30" t="inlineStr">
        <is>
          <t>H</t>
        </is>
      </c>
      <c r="X81" s="30" t="inlineStr">
        <is>
          <t>H</t>
        </is>
      </c>
      <c r="BE81" s="31">
        <f>D81*$B$5</f>
        <v/>
      </c>
      <c r="BF81" s="31">
        <f>D81*$I$12</f>
        <v/>
      </c>
      <c r="BG81" s="32">
        <f>MATCH("P",$E81:$BD81,0)</f>
        <v/>
      </c>
    </row>
    <row r="82">
      <c r="A82" s="27" t="inlineStr">
        <is>
          <t>Kale W09</t>
        </is>
      </c>
      <c r="B82" s="27" t="inlineStr">
        <is>
          <t>Kale</t>
        </is>
      </c>
      <c r="C82" s="28" t="n">
        <v>0</v>
      </c>
      <c r="D82" s="29" t="n">
        <v>0</v>
      </c>
      <c r="M82" s="30" t="inlineStr">
        <is>
          <t>P</t>
        </is>
      </c>
      <c r="N82" s="30" t="inlineStr">
        <is>
          <t>G</t>
        </is>
      </c>
      <c r="O82" s="30" t="inlineStr">
        <is>
          <t>G</t>
        </is>
      </c>
      <c r="P82" s="30" t="inlineStr">
        <is>
          <t>G</t>
        </is>
      </c>
      <c r="Q82" s="30" t="inlineStr">
        <is>
          <t>G</t>
        </is>
      </c>
      <c r="R82" s="30" t="inlineStr">
        <is>
          <t>G</t>
        </is>
      </c>
      <c r="S82" s="30" t="inlineStr">
        <is>
          <t>G</t>
        </is>
      </c>
      <c r="T82" s="30" t="inlineStr">
        <is>
          <t>G</t>
        </is>
      </c>
      <c r="U82" s="30" t="inlineStr">
        <is>
          <t>G</t>
        </is>
      </c>
      <c r="V82" s="30" t="inlineStr">
        <is>
          <t>H</t>
        </is>
      </c>
      <c r="W82" s="30" t="inlineStr">
        <is>
          <t>H</t>
        </is>
      </c>
      <c r="X82" s="30" t="inlineStr">
        <is>
          <t>H</t>
        </is>
      </c>
      <c r="Y82" s="30" t="inlineStr">
        <is>
          <t>H</t>
        </is>
      </c>
      <c r="BE82" s="31">
        <f>D82*$B$5</f>
        <v/>
      </c>
      <c r="BF82" s="31">
        <f>D82*$I$12</f>
        <v/>
      </c>
      <c r="BG82" s="32">
        <f>MATCH("P",$E82:$BD82,0)</f>
        <v/>
      </c>
    </row>
    <row r="83">
      <c r="A83" s="27" t="inlineStr">
        <is>
          <t>Kale W10</t>
        </is>
      </c>
      <c r="B83" s="27" t="inlineStr">
        <is>
          <t>Kale</t>
        </is>
      </c>
      <c r="C83" s="28" t="n">
        <v>0</v>
      </c>
      <c r="D83" s="29" t="n">
        <v>0</v>
      </c>
      <c r="N83" s="30" t="inlineStr">
        <is>
          <t>P</t>
        </is>
      </c>
      <c r="O83" s="30" t="inlineStr">
        <is>
          <t>G</t>
        </is>
      </c>
      <c r="P83" s="30" t="inlineStr">
        <is>
          <t>G</t>
        </is>
      </c>
      <c r="Q83" s="30" t="inlineStr">
        <is>
          <t>G</t>
        </is>
      </c>
      <c r="R83" s="30" t="inlineStr">
        <is>
          <t>G</t>
        </is>
      </c>
      <c r="S83" s="30" t="inlineStr">
        <is>
          <t>G</t>
        </is>
      </c>
      <c r="T83" s="30" t="inlineStr">
        <is>
          <t>G</t>
        </is>
      </c>
      <c r="U83" s="30" t="inlineStr">
        <is>
          <t>G</t>
        </is>
      </c>
      <c r="V83" s="30" t="inlineStr">
        <is>
          <t>G</t>
        </is>
      </c>
      <c r="W83" s="30" t="inlineStr">
        <is>
          <t>H</t>
        </is>
      </c>
      <c r="X83" s="30" t="inlineStr">
        <is>
          <t>H</t>
        </is>
      </c>
      <c r="Y83" s="30" t="inlineStr">
        <is>
          <t>H</t>
        </is>
      </c>
      <c r="Z83" s="30" t="inlineStr">
        <is>
          <t>H</t>
        </is>
      </c>
      <c r="BE83" s="31">
        <f>D83*$B$5</f>
        <v/>
      </c>
      <c r="BF83" s="31">
        <f>D83*$I$12</f>
        <v/>
      </c>
      <c r="BG83" s="32">
        <f>MATCH("P",$E83:$BD83,0)</f>
        <v/>
      </c>
    </row>
    <row r="84">
      <c r="A84" s="27" t="inlineStr">
        <is>
          <t>Kale W11</t>
        </is>
      </c>
      <c r="B84" s="27" t="inlineStr">
        <is>
          <t>Kale</t>
        </is>
      </c>
      <c r="C84" s="28" t="n">
        <v>0</v>
      </c>
      <c r="D84" s="29" t="n">
        <v>0</v>
      </c>
      <c r="O84" s="30" t="inlineStr">
        <is>
          <t>P</t>
        </is>
      </c>
      <c r="P84" s="30" t="inlineStr">
        <is>
          <t>G</t>
        </is>
      </c>
      <c r="Q84" s="30" t="inlineStr">
        <is>
          <t>G</t>
        </is>
      </c>
      <c r="R84" s="30" t="inlineStr">
        <is>
          <t>G</t>
        </is>
      </c>
      <c r="S84" s="30" t="inlineStr">
        <is>
          <t>G</t>
        </is>
      </c>
      <c r="T84" s="30" t="inlineStr">
        <is>
          <t>G</t>
        </is>
      </c>
      <c r="U84" s="30" t="inlineStr">
        <is>
          <t>G</t>
        </is>
      </c>
      <c r="V84" s="30" t="inlineStr">
        <is>
          <t>G</t>
        </is>
      </c>
      <c r="W84" s="30" t="inlineStr">
        <is>
          <t>G</t>
        </is>
      </c>
      <c r="X84" s="30" t="inlineStr">
        <is>
          <t>H</t>
        </is>
      </c>
      <c r="Y84" s="30" t="inlineStr">
        <is>
          <t>H</t>
        </is>
      </c>
      <c r="Z84" s="30" t="inlineStr">
        <is>
          <t>H</t>
        </is>
      </c>
      <c r="AA84" s="30" t="inlineStr">
        <is>
          <t>H</t>
        </is>
      </c>
      <c r="BE84" s="31">
        <f>D84*$B$5</f>
        <v/>
      </c>
      <c r="BF84" s="31">
        <f>D84*$I$12</f>
        <v/>
      </c>
      <c r="BG84" s="32">
        <f>MATCH("P",$E84:$BD84,0)</f>
        <v/>
      </c>
    </row>
    <row r="85">
      <c r="A85" s="27" t="inlineStr">
        <is>
          <t>Kale W12</t>
        </is>
      </c>
      <c r="B85" s="27" t="inlineStr">
        <is>
          <t>Kale</t>
        </is>
      </c>
      <c r="C85" s="28" t="n">
        <v>0</v>
      </c>
      <c r="D85" s="29" t="n">
        <v>0</v>
      </c>
      <c r="P85" s="30" t="inlineStr">
        <is>
          <t>P</t>
        </is>
      </c>
      <c r="Q85" s="30" t="inlineStr">
        <is>
          <t>G</t>
        </is>
      </c>
      <c r="R85" s="30" t="inlineStr">
        <is>
          <t>G</t>
        </is>
      </c>
      <c r="S85" s="30" t="inlineStr">
        <is>
          <t>G</t>
        </is>
      </c>
      <c r="T85" s="30" t="inlineStr">
        <is>
          <t>G</t>
        </is>
      </c>
      <c r="U85" s="30" t="inlineStr">
        <is>
          <t>G</t>
        </is>
      </c>
      <c r="V85" s="30" t="inlineStr">
        <is>
          <t>G</t>
        </is>
      </c>
      <c r="W85" s="30" t="inlineStr">
        <is>
          <t>G</t>
        </is>
      </c>
      <c r="X85" s="30" t="inlineStr">
        <is>
          <t>G</t>
        </is>
      </c>
      <c r="Y85" s="30" t="inlineStr">
        <is>
          <t>H</t>
        </is>
      </c>
      <c r="Z85" s="30" t="inlineStr">
        <is>
          <t>H</t>
        </is>
      </c>
      <c r="AA85" s="30" t="inlineStr">
        <is>
          <t>H</t>
        </is>
      </c>
      <c r="AB85" s="30" t="inlineStr">
        <is>
          <t>H</t>
        </is>
      </c>
      <c r="BE85" s="31">
        <f>D85*$B$5</f>
        <v/>
      </c>
      <c r="BF85" s="31">
        <f>D85*$I$12</f>
        <v/>
      </c>
      <c r="BG85" s="32">
        <f>MATCH("P",$E85:$BD85,0)</f>
        <v/>
      </c>
    </row>
    <row r="86">
      <c r="A86" s="27" t="inlineStr">
        <is>
          <t>Kale W13</t>
        </is>
      </c>
      <c r="B86" s="27" t="inlineStr">
        <is>
          <t>Kale</t>
        </is>
      </c>
      <c r="C86" s="28" t="n">
        <v>0</v>
      </c>
      <c r="D86" s="29" t="n">
        <v>0</v>
      </c>
      <c r="Q86" s="30" t="inlineStr">
        <is>
          <t>P</t>
        </is>
      </c>
      <c r="R86" s="30" t="inlineStr">
        <is>
          <t>G</t>
        </is>
      </c>
      <c r="S86" s="30" t="inlineStr">
        <is>
          <t>G</t>
        </is>
      </c>
      <c r="T86" s="30" t="inlineStr">
        <is>
          <t>G</t>
        </is>
      </c>
      <c r="U86" s="30" t="inlineStr">
        <is>
          <t>G</t>
        </is>
      </c>
      <c r="V86" s="30" t="inlineStr">
        <is>
          <t>G</t>
        </is>
      </c>
      <c r="W86" s="30" t="inlineStr">
        <is>
          <t>G</t>
        </is>
      </c>
      <c r="X86" s="30" t="inlineStr">
        <is>
          <t>G</t>
        </is>
      </c>
      <c r="Y86" s="30" t="inlineStr">
        <is>
          <t>G</t>
        </is>
      </c>
      <c r="Z86" s="30" t="inlineStr">
        <is>
          <t>H</t>
        </is>
      </c>
      <c r="AA86" s="30" t="inlineStr">
        <is>
          <t>H</t>
        </is>
      </c>
      <c r="AB86" s="30" t="inlineStr">
        <is>
          <t>H</t>
        </is>
      </c>
      <c r="AC86" s="30" t="inlineStr">
        <is>
          <t>H</t>
        </is>
      </c>
      <c r="BE86" s="31">
        <f>D86*$B$5</f>
        <v/>
      </c>
      <c r="BF86" s="31">
        <f>D86*$I$12</f>
        <v/>
      </c>
      <c r="BG86" s="32">
        <f>MATCH("P",$E86:$BD86,0)</f>
        <v/>
      </c>
    </row>
    <row r="87">
      <c r="A87" s="27" t="inlineStr">
        <is>
          <t>Kale W14</t>
        </is>
      </c>
      <c r="B87" s="27" t="inlineStr">
        <is>
          <t>Kale</t>
        </is>
      </c>
      <c r="C87" s="28" t="n">
        <v>0</v>
      </c>
      <c r="D87" s="29" t="n">
        <v>0</v>
      </c>
      <c r="R87" s="30" t="inlineStr">
        <is>
          <t>P</t>
        </is>
      </c>
      <c r="S87" s="30" t="inlineStr">
        <is>
          <t>G</t>
        </is>
      </c>
      <c r="T87" s="30" t="inlineStr">
        <is>
          <t>G</t>
        </is>
      </c>
      <c r="U87" s="30" t="inlineStr">
        <is>
          <t>G</t>
        </is>
      </c>
      <c r="V87" s="30" t="inlineStr">
        <is>
          <t>G</t>
        </is>
      </c>
      <c r="W87" s="30" t="inlineStr">
        <is>
          <t>G</t>
        </is>
      </c>
      <c r="X87" s="30" t="inlineStr">
        <is>
          <t>G</t>
        </is>
      </c>
      <c r="Y87" s="30" t="inlineStr">
        <is>
          <t>G</t>
        </is>
      </c>
      <c r="Z87" s="30" t="inlineStr">
        <is>
          <t>G</t>
        </is>
      </c>
      <c r="AA87" s="30" t="inlineStr">
        <is>
          <t>H</t>
        </is>
      </c>
      <c r="AB87" s="30" t="inlineStr">
        <is>
          <t>H</t>
        </is>
      </c>
      <c r="AC87" s="30" t="inlineStr">
        <is>
          <t>H</t>
        </is>
      </c>
      <c r="AD87" s="30" t="inlineStr">
        <is>
          <t>H</t>
        </is>
      </c>
      <c r="BE87" s="31">
        <f>D87*$B$5</f>
        <v/>
      </c>
      <c r="BF87" s="31">
        <f>D87*$I$12</f>
        <v/>
      </c>
      <c r="BG87" s="32">
        <f>MATCH("P",$E87:$BD87,0)</f>
        <v/>
      </c>
    </row>
    <row r="88">
      <c r="A88" s="27" t="inlineStr">
        <is>
          <t>Kale W15</t>
        </is>
      </c>
      <c r="B88" s="27" t="inlineStr">
        <is>
          <t>Kale</t>
        </is>
      </c>
      <c r="C88" s="28" t="n">
        <v>0</v>
      </c>
      <c r="D88" s="29" t="n">
        <v>0</v>
      </c>
      <c r="S88" s="30" t="inlineStr">
        <is>
          <t>P</t>
        </is>
      </c>
      <c r="T88" s="30" t="inlineStr">
        <is>
          <t>G</t>
        </is>
      </c>
      <c r="U88" s="30" t="inlineStr">
        <is>
          <t>G</t>
        </is>
      </c>
      <c r="V88" s="30" t="inlineStr">
        <is>
          <t>G</t>
        </is>
      </c>
      <c r="W88" s="30" t="inlineStr">
        <is>
          <t>G</t>
        </is>
      </c>
      <c r="X88" s="30" t="inlineStr">
        <is>
          <t>G</t>
        </is>
      </c>
      <c r="Y88" s="30" t="inlineStr">
        <is>
          <t>G</t>
        </is>
      </c>
      <c r="Z88" s="30" t="inlineStr">
        <is>
          <t>G</t>
        </is>
      </c>
      <c r="AA88" s="30" t="inlineStr">
        <is>
          <t>G</t>
        </is>
      </c>
      <c r="AB88" s="30" t="inlineStr">
        <is>
          <t>H</t>
        </is>
      </c>
      <c r="AC88" s="30" t="inlineStr">
        <is>
          <t>H</t>
        </is>
      </c>
      <c r="AD88" s="30" t="inlineStr">
        <is>
          <t>H</t>
        </is>
      </c>
      <c r="AE88" s="30" t="inlineStr">
        <is>
          <t>H</t>
        </is>
      </c>
      <c r="BE88" s="31">
        <f>D88*$B$5</f>
        <v/>
      </c>
      <c r="BF88" s="31">
        <f>D88*$I$12</f>
        <v/>
      </c>
      <c r="BG88" s="32">
        <f>MATCH("P",$E88:$BD88,0)</f>
        <v/>
      </c>
    </row>
    <row r="89">
      <c r="A89" s="27" t="inlineStr">
        <is>
          <t>Kale W16</t>
        </is>
      </c>
      <c r="B89" s="27" t="inlineStr">
        <is>
          <t>Kale</t>
        </is>
      </c>
      <c r="C89" s="28" t="n">
        <v>0</v>
      </c>
      <c r="D89" s="29" t="n">
        <v>0</v>
      </c>
      <c r="T89" s="30" t="inlineStr">
        <is>
          <t>P</t>
        </is>
      </c>
      <c r="U89" s="30" t="inlineStr">
        <is>
          <t>G</t>
        </is>
      </c>
      <c r="V89" s="30" t="inlineStr">
        <is>
          <t>G</t>
        </is>
      </c>
      <c r="W89" s="30" t="inlineStr">
        <is>
          <t>G</t>
        </is>
      </c>
      <c r="X89" s="30" t="inlineStr">
        <is>
          <t>G</t>
        </is>
      </c>
      <c r="Y89" s="30" t="inlineStr">
        <is>
          <t>G</t>
        </is>
      </c>
      <c r="Z89" s="30" t="inlineStr">
        <is>
          <t>G</t>
        </is>
      </c>
      <c r="AA89" s="30" t="inlineStr">
        <is>
          <t>G</t>
        </is>
      </c>
      <c r="AB89" s="30" t="inlineStr">
        <is>
          <t>G</t>
        </is>
      </c>
      <c r="AC89" s="30" t="inlineStr">
        <is>
          <t>H</t>
        </is>
      </c>
      <c r="AD89" s="30" t="inlineStr">
        <is>
          <t>H</t>
        </is>
      </c>
      <c r="AE89" s="30" t="inlineStr">
        <is>
          <t>H</t>
        </is>
      </c>
      <c r="AF89" s="30" t="inlineStr">
        <is>
          <t>H</t>
        </is>
      </c>
      <c r="BE89" s="31">
        <f>D89*$B$5</f>
        <v/>
      </c>
      <c r="BF89" s="31">
        <f>D89*$I$12</f>
        <v/>
      </c>
      <c r="BG89" s="32">
        <f>MATCH("P",$E89:$BD89,0)</f>
        <v/>
      </c>
    </row>
    <row r="90">
      <c r="A90" s="27" t="inlineStr">
        <is>
          <t>Kale W17</t>
        </is>
      </c>
      <c r="B90" s="27" t="inlineStr">
        <is>
          <t>Kale</t>
        </is>
      </c>
      <c r="C90" s="28" t="n">
        <v>0</v>
      </c>
      <c r="D90" s="29" t="n">
        <v>0</v>
      </c>
      <c r="U90" s="30" t="inlineStr">
        <is>
          <t>P</t>
        </is>
      </c>
      <c r="V90" s="30" t="inlineStr">
        <is>
          <t>G</t>
        </is>
      </c>
      <c r="W90" s="30" t="inlineStr">
        <is>
          <t>G</t>
        </is>
      </c>
      <c r="X90" s="30" t="inlineStr">
        <is>
          <t>G</t>
        </is>
      </c>
      <c r="Y90" s="30" t="inlineStr">
        <is>
          <t>G</t>
        </is>
      </c>
      <c r="Z90" s="30" t="inlineStr">
        <is>
          <t>G</t>
        </is>
      </c>
      <c r="AA90" s="30" t="inlineStr">
        <is>
          <t>G</t>
        </is>
      </c>
      <c r="AB90" s="30" t="inlineStr">
        <is>
          <t>G</t>
        </is>
      </c>
      <c r="AC90" s="30" t="inlineStr">
        <is>
          <t>G</t>
        </is>
      </c>
      <c r="AD90" s="30" t="inlineStr">
        <is>
          <t>H</t>
        </is>
      </c>
      <c r="AE90" s="30" t="inlineStr">
        <is>
          <t>H</t>
        </is>
      </c>
      <c r="AF90" s="30" t="inlineStr">
        <is>
          <t>H</t>
        </is>
      </c>
      <c r="AG90" s="30" t="inlineStr">
        <is>
          <t>H</t>
        </is>
      </c>
      <c r="BE90" s="31">
        <f>D90*$B$5</f>
        <v/>
      </c>
      <c r="BF90" s="31">
        <f>D90*$I$12</f>
        <v/>
      </c>
      <c r="BG90" s="32">
        <f>MATCH("P",$E90:$BD90,0)</f>
        <v/>
      </c>
    </row>
    <row r="91">
      <c r="A91" s="27" t="inlineStr">
        <is>
          <t>Kale W18</t>
        </is>
      </c>
      <c r="B91" s="27" t="inlineStr">
        <is>
          <t>Kale</t>
        </is>
      </c>
      <c r="C91" s="28" t="n">
        <v>0</v>
      </c>
      <c r="D91" s="29" t="n">
        <v>0</v>
      </c>
      <c r="V91" s="30" t="inlineStr">
        <is>
          <t>P</t>
        </is>
      </c>
      <c r="W91" s="30" t="inlineStr">
        <is>
          <t>G</t>
        </is>
      </c>
      <c r="X91" s="30" t="inlineStr">
        <is>
          <t>G</t>
        </is>
      </c>
      <c r="Y91" s="30" t="inlineStr">
        <is>
          <t>G</t>
        </is>
      </c>
      <c r="Z91" s="30" t="inlineStr">
        <is>
          <t>G</t>
        </is>
      </c>
      <c r="AA91" s="30" t="inlineStr">
        <is>
          <t>G</t>
        </is>
      </c>
      <c r="AB91" s="30" t="inlineStr">
        <is>
          <t>G</t>
        </is>
      </c>
      <c r="AC91" s="30" t="inlineStr">
        <is>
          <t>G</t>
        </is>
      </c>
      <c r="AD91" s="30" t="inlineStr">
        <is>
          <t>G</t>
        </is>
      </c>
      <c r="AE91" s="30" t="inlineStr">
        <is>
          <t>H</t>
        </is>
      </c>
      <c r="AF91" s="30" t="inlineStr">
        <is>
          <t>H</t>
        </is>
      </c>
      <c r="AG91" s="30" t="inlineStr">
        <is>
          <t>H</t>
        </is>
      </c>
      <c r="AH91" s="30" t="inlineStr">
        <is>
          <t>H</t>
        </is>
      </c>
      <c r="BE91" s="31">
        <f>D91*$B$5</f>
        <v/>
      </c>
      <c r="BF91" s="31">
        <f>D91*$I$12</f>
        <v/>
      </c>
      <c r="BG91" s="32">
        <f>MATCH("P",$E91:$BD91,0)</f>
        <v/>
      </c>
    </row>
    <row r="92">
      <c r="A92" s="27" t="inlineStr">
        <is>
          <t>Kale W19</t>
        </is>
      </c>
      <c r="B92" s="27" t="inlineStr">
        <is>
          <t>Kale</t>
        </is>
      </c>
      <c r="C92" s="28" t="n">
        <v>0</v>
      </c>
      <c r="D92" s="29" t="n">
        <v>0</v>
      </c>
      <c r="W92" s="30" t="inlineStr">
        <is>
          <t>P</t>
        </is>
      </c>
      <c r="X92" s="30" t="inlineStr">
        <is>
          <t>G</t>
        </is>
      </c>
      <c r="Y92" s="30" t="inlineStr">
        <is>
          <t>G</t>
        </is>
      </c>
      <c r="Z92" s="30" t="inlineStr">
        <is>
          <t>G</t>
        </is>
      </c>
      <c r="AA92" s="30" t="inlineStr">
        <is>
          <t>G</t>
        </is>
      </c>
      <c r="AB92" s="30" t="inlineStr">
        <is>
          <t>G</t>
        </is>
      </c>
      <c r="AC92" s="30" t="inlineStr">
        <is>
          <t>G</t>
        </is>
      </c>
      <c r="AD92" s="30" t="inlineStr">
        <is>
          <t>G</t>
        </is>
      </c>
      <c r="AE92" s="30" t="inlineStr">
        <is>
          <t>G</t>
        </is>
      </c>
      <c r="AF92" s="30" t="inlineStr">
        <is>
          <t>H</t>
        </is>
      </c>
      <c r="AG92" s="30" t="inlineStr">
        <is>
          <t>H</t>
        </is>
      </c>
      <c r="AH92" s="30" t="inlineStr">
        <is>
          <t>H</t>
        </is>
      </c>
      <c r="AI92" s="30" t="inlineStr">
        <is>
          <t>H</t>
        </is>
      </c>
      <c r="BE92" s="31">
        <f>D92*$B$5</f>
        <v/>
      </c>
      <c r="BF92" s="31">
        <f>D92*$I$12</f>
        <v/>
      </c>
      <c r="BG92" s="32">
        <f>MATCH("P",$E92:$BD92,0)</f>
        <v/>
      </c>
    </row>
    <row r="93">
      <c r="A93" s="27" t="inlineStr">
        <is>
          <t>Kale W20</t>
        </is>
      </c>
      <c r="B93" s="27" t="inlineStr">
        <is>
          <t>Kale</t>
        </is>
      </c>
      <c r="C93" s="28" t="n">
        <v>0</v>
      </c>
      <c r="D93" s="29" t="n">
        <v>0</v>
      </c>
      <c r="X93" s="30" t="inlineStr">
        <is>
          <t>P</t>
        </is>
      </c>
      <c r="Y93" s="30" t="inlineStr">
        <is>
          <t>G</t>
        </is>
      </c>
      <c r="Z93" s="30" t="inlineStr">
        <is>
          <t>G</t>
        </is>
      </c>
      <c r="AA93" s="30" t="inlineStr">
        <is>
          <t>G</t>
        </is>
      </c>
      <c r="AB93" s="30" t="inlineStr">
        <is>
          <t>G</t>
        </is>
      </c>
      <c r="AC93" s="30" t="inlineStr">
        <is>
          <t>G</t>
        </is>
      </c>
      <c r="AD93" s="30" t="inlineStr">
        <is>
          <t>G</t>
        </is>
      </c>
      <c r="AE93" s="30" t="inlineStr">
        <is>
          <t>G</t>
        </is>
      </c>
      <c r="AF93" s="30" t="inlineStr">
        <is>
          <t>G</t>
        </is>
      </c>
      <c r="AG93" s="30" t="inlineStr">
        <is>
          <t>H</t>
        </is>
      </c>
      <c r="AH93" s="30" t="inlineStr">
        <is>
          <t>H</t>
        </is>
      </c>
      <c r="AI93" s="30" t="inlineStr">
        <is>
          <t>H</t>
        </is>
      </c>
      <c r="AJ93" s="30" t="inlineStr">
        <is>
          <t>H</t>
        </is>
      </c>
      <c r="BE93" s="31">
        <f>D93*$B$5</f>
        <v/>
      </c>
      <c r="BF93" s="31">
        <f>D93*$I$12</f>
        <v/>
      </c>
      <c r="BG93" s="32">
        <f>MATCH("P",$E93:$BD93,0)</f>
        <v/>
      </c>
    </row>
    <row r="94">
      <c r="A94" s="27" t="inlineStr">
        <is>
          <t>Kale W21</t>
        </is>
      </c>
      <c r="B94" s="27" t="inlineStr">
        <is>
          <t>Kale</t>
        </is>
      </c>
      <c r="C94" s="28" t="n">
        <v>0</v>
      </c>
      <c r="D94" s="29" t="n">
        <v>0</v>
      </c>
      <c r="Y94" s="30" t="inlineStr">
        <is>
          <t>P</t>
        </is>
      </c>
      <c r="Z94" s="30" t="inlineStr">
        <is>
          <t>G</t>
        </is>
      </c>
      <c r="AA94" s="30" t="inlineStr">
        <is>
          <t>G</t>
        </is>
      </c>
      <c r="AB94" s="30" t="inlineStr">
        <is>
          <t>G</t>
        </is>
      </c>
      <c r="AC94" s="30" t="inlineStr">
        <is>
          <t>G</t>
        </is>
      </c>
      <c r="AD94" s="30" t="inlineStr">
        <is>
          <t>G</t>
        </is>
      </c>
      <c r="AE94" s="30" t="inlineStr">
        <is>
          <t>G</t>
        </is>
      </c>
      <c r="AF94" s="30" t="inlineStr">
        <is>
          <t>G</t>
        </is>
      </c>
      <c r="AG94" s="30" t="inlineStr">
        <is>
          <t>G</t>
        </is>
      </c>
      <c r="AH94" s="30" t="inlineStr">
        <is>
          <t>H</t>
        </is>
      </c>
      <c r="AI94" s="30" t="inlineStr">
        <is>
          <t>H</t>
        </is>
      </c>
      <c r="AJ94" s="30" t="inlineStr">
        <is>
          <t>H</t>
        </is>
      </c>
      <c r="AK94" s="30" t="inlineStr">
        <is>
          <t>H</t>
        </is>
      </c>
      <c r="BE94" s="31">
        <f>D94*$B$5</f>
        <v/>
      </c>
      <c r="BF94" s="31">
        <f>D94*$I$12</f>
        <v/>
      </c>
      <c r="BG94" s="32">
        <f>MATCH("P",$E94:$BD94,0)</f>
        <v/>
      </c>
    </row>
    <row r="95">
      <c r="A95" s="27" t="inlineStr">
        <is>
          <t>Kale W22</t>
        </is>
      </c>
      <c r="B95" s="27" t="inlineStr">
        <is>
          <t>Kale</t>
        </is>
      </c>
      <c r="C95" s="28" t="n">
        <v>0</v>
      </c>
      <c r="D95" s="29" t="n">
        <v>0</v>
      </c>
      <c r="Z95" s="30" t="inlineStr">
        <is>
          <t>P</t>
        </is>
      </c>
      <c r="AA95" s="30" t="inlineStr">
        <is>
          <t>G</t>
        </is>
      </c>
      <c r="AB95" s="30" t="inlineStr">
        <is>
          <t>G</t>
        </is>
      </c>
      <c r="AC95" s="30" t="inlineStr">
        <is>
          <t>G</t>
        </is>
      </c>
      <c r="AD95" s="30" t="inlineStr">
        <is>
          <t>G</t>
        </is>
      </c>
      <c r="AE95" s="30" t="inlineStr">
        <is>
          <t>G</t>
        </is>
      </c>
      <c r="AF95" s="30" t="inlineStr">
        <is>
          <t>G</t>
        </is>
      </c>
      <c r="AG95" s="30" t="inlineStr">
        <is>
          <t>G</t>
        </is>
      </c>
      <c r="AH95" s="30" t="inlineStr">
        <is>
          <t>G</t>
        </is>
      </c>
      <c r="AI95" s="30" t="inlineStr">
        <is>
          <t>H</t>
        </is>
      </c>
      <c r="AJ95" s="30" t="inlineStr">
        <is>
          <t>H</t>
        </is>
      </c>
      <c r="AK95" s="30" t="inlineStr">
        <is>
          <t>H</t>
        </is>
      </c>
      <c r="AL95" s="30" t="inlineStr">
        <is>
          <t>H</t>
        </is>
      </c>
      <c r="BE95" s="31">
        <f>D95*$B$5</f>
        <v/>
      </c>
      <c r="BF95" s="31">
        <f>D95*$I$12</f>
        <v/>
      </c>
      <c r="BG95" s="32">
        <f>MATCH("P",$E95:$BD95,0)</f>
        <v/>
      </c>
    </row>
    <row r="96">
      <c r="A96" s="27" t="inlineStr">
        <is>
          <t>Kale W29</t>
        </is>
      </c>
      <c r="B96" s="27" t="inlineStr">
        <is>
          <t>Kale</t>
        </is>
      </c>
      <c r="C96" s="28" t="n">
        <v>0</v>
      </c>
      <c r="D96" s="29" t="n">
        <v>0</v>
      </c>
      <c r="AG96" s="30" t="inlineStr">
        <is>
          <t>P</t>
        </is>
      </c>
      <c r="AH96" s="30" t="inlineStr">
        <is>
          <t>G</t>
        </is>
      </c>
      <c r="AI96" s="30" t="inlineStr">
        <is>
          <t>G</t>
        </is>
      </c>
      <c r="AJ96" s="30" t="inlineStr">
        <is>
          <t>G</t>
        </is>
      </c>
      <c r="AK96" s="30" t="inlineStr">
        <is>
          <t>G</t>
        </is>
      </c>
      <c r="AL96" s="30" t="inlineStr">
        <is>
          <t>G</t>
        </is>
      </c>
      <c r="AM96" s="30" t="inlineStr">
        <is>
          <t>G</t>
        </is>
      </c>
      <c r="AN96" s="30" t="inlineStr">
        <is>
          <t>G</t>
        </is>
      </c>
      <c r="AO96" s="30" t="inlineStr">
        <is>
          <t>G</t>
        </is>
      </c>
      <c r="AP96" s="30" t="inlineStr">
        <is>
          <t>H</t>
        </is>
      </c>
      <c r="AQ96" s="30" t="inlineStr">
        <is>
          <t>H</t>
        </is>
      </c>
      <c r="AR96" s="30" t="inlineStr">
        <is>
          <t>H</t>
        </is>
      </c>
      <c r="AS96" s="30" t="inlineStr">
        <is>
          <t>H</t>
        </is>
      </c>
      <c r="BE96" s="31">
        <f>D96*$B$5</f>
        <v/>
      </c>
      <c r="BF96" s="31">
        <f>D96*$I$12</f>
        <v/>
      </c>
      <c r="BG96" s="32">
        <f>MATCH("P",$E96:$BD96,0)</f>
        <v/>
      </c>
    </row>
    <row r="97">
      <c r="A97" s="27" t="inlineStr">
        <is>
          <t>Kale W30</t>
        </is>
      </c>
      <c r="B97" s="27" t="inlineStr">
        <is>
          <t>Kale</t>
        </is>
      </c>
      <c r="C97" s="28" t="n">
        <v>0</v>
      </c>
      <c r="D97" s="29" t="n">
        <v>0</v>
      </c>
      <c r="AH97" s="30" t="inlineStr">
        <is>
          <t>P</t>
        </is>
      </c>
      <c r="AI97" s="30" t="inlineStr">
        <is>
          <t>G</t>
        </is>
      </c>
      <c r="AJ97" s="30" t="inlineStr">
        <is>
          <t>G</t>
        </is>
      </c>
      <c r="AK97" s="30" t="inlineStr">
        <is>
          <t>G</t>
        </is>
      </c>
      <c r="AL97" s="30" t="inlineStr">
        <is>
          <t>G</t>
        </is>
      </c>
      <c r="AM97" s="30" t="inlineStr">
        <is>
          <t>G</t>
        </is>
      </c>
      <c r="AN97" s="30" t="inlineStr">
        <is>
          <t>G</t>
        </is>
      </c>
      <c r="AO97" s="30" t="inlineStr">
        <is>
          <t>G</t>
        </is>
      </c>
      <c r="AP97" s="30" t="inlineStr">
        <is>
          <t>G</t>
        </is>
      </c>
      <c r="AQ97" s="30" t="inlineStr">
        <is>
          <t>H</t>
        </is>
      </c>
      <c r="AR97" s="30" t="inlineStr">
        <is>
          <t>H</t>
        </is>
      </c>
      <c r="AS97" s="30" t="inlineStr">
        <is>
          <t>H</t>
        </is>
      </c>
      <c r="AT97" s="30" t="inlineStr">
        <is>
          <t>H</t>
        </is>
      </c>
      <c r="BE97" s="31">
        <f>D97*$B$5</f>
        <v/>
      </c>
      <c r="BF97" s="31">
        <f>D97*$I$12</f>
        <v/>
      </c>
      <c r="BG97" s="32">
        <f>MATCH("P",$E97:$BD97,0)</f>
        <v/>
      </c>
    </row>
    <row r="98">
      <c r="A98" s="27" t="inlineStr">
        <is>
          <t>Kale W31</t>
        </is>
      </c>
      <c r="B98" s="27" t="inlineStr">
        <is>
          <t>Kale</t>
        </is>
      </c>
      <c r="C98" s="28" t="n">
        <v>0</v>
      </c>
      <c r="D98" s="29" t="n">
        <v>0</v>
      </c>
      <c r="AI98" s="30" t="inlineStr">
        <is>
          <t>P</t>
        </is>
      </c>
      <c r="AJ98" s="30" t="inlineStr">
        <is>
          <t>G</t>
        </is>
      </c>
      <c r="AK98" s="30" t="inlineStr">
        <is>
          <t>G</t>
        </is>
      </c>
      <c r="AL98" s="30" t="inlineStr">
        <is>
          <t>G</t>
        </is>
      </c>
      <c r="AM98" s="30" t="inlineStr">
        <is>
          <t>G</t>
        </is>
      </c>
      <c r="AN98" s="30" t="inlineStr">
        <is>
          <t>G</t>
        </is>
      </c>
      <c r="AO98" s="30" t="inlineStr">
        <is>
          <t>G</t>
        </is>
      </c>
      <c r="AP98" s="30" t="inlineStr">
        <is>
          <t>G</t>
        </is>
      </c>
      <c r="AQ98" s="30" t="inlineStr">
        <is>
          <t>G</t>
        </is>
      </c>
      <c r="AR98" s="30" t="inlineStr">
        <is>
          <t>H</t>
        </is>
      </c>
      <c r="AS98" s="30" t="inlineStr">
        <is>
          <t>H</t>
        </is>
      </c>
      <c r="AT98" s="30" t="inlineStr">
        <is>
          <t>H</t>
        </is>
      </c>
      <c r="AU98" s="30" t="inlineStr">
        <is>
          <t>H</t>
        </is>
      </c>
      <c r="BE98" s="31">
        <f>D98*$B$5</f>
        <v/>
      </c>
      <c r="BF98" s="31">
        <f>D98*$I$12</f>
        <v/>
      </c>
      <c r="BG98" s="32">
        <f>MATCH("P",$E98:$BD98,0)</f>
        <v/>
      </c>
    </row>
    <row r="99">
      <c r="A99" s="27" t="inlineStr">
        <is>
          <t>Kale W32</t>
        </is>
      </c>
      <c r="B99" s="27" t="inlineStr">
        <is>
          <t>Kale</t>
        </is>
      </c>
      <c r="C99" s="28" t="n">
        <v>0</v>
      </c>
      <c r="D99" s="29" t="n">
        <v>0</v>
      </c>
      <c r="AJ99" s="30" t="inlineStr">
        <is>
          <t>P</t>
        </is>
      </c>
      <c r="AK99" s="30" t="inlineStr">
        <is>
          <t>G</t>
        </is>
      </c>
      <c r="AL99" s="30" t="inlineStr">
        <is>
          <t>G</t>
        </is>
      </c>
      <c r="AM99" s="30" t="inlineStr">
        <is>
          <t>G</t>
        </is>
      </c>
      <c r="AN99" s="30" t="inlineStr">
        <is>
          <t>G</t>
        </is>
      </c>
      <c r="AO99" s="30" t="inlineStr">
        <is>
          <t>G</t>
        </is>
      </c>
      <c r="AP99" s="30" t="inlineStr">
        <is>
          <t>G</t>
        </is>
      </c>
      <c r="AQ99" s="30" t="inlineStr">
        <is>
          <t>G</t>
        </is>
      </c>
      <c r="AR99" s="30" t="inlineStr">
        <is>
          <t>G</t>
        </is>
      </c>
      <c r="AS99" s="30" t="inlineStr">
        <is>
          <t>H</t>
        </is>
      </c>
      <c r="AT99" s="30" t="inlineStr">
        <is>
          <t>H</t>
        </is>
      </c>
      <c r="AU99" s="30" t="inlineStr">
        <is>
          <t>H</t>
        </is>
      </c>
      <c r="AV99" s="30" t="inlineStr">
        <is>
          <t>H</t>
        </is>
      </c>
      <c r="BE99" s="31">
        <f>D99*$B$5</f>
        <v/>
      </c>
      <c r="BF99" s="31">
        <f>D99*$I$12</f>
        <v/>
      </c>
      <c r="BG99" s="32">
        <f>MATCH("P",$E99:$BD99,0)</f>
        <v/>
      </c>
    </row>
    <row r="100">
      <c r="A100" s="27" t="inlineStr">
        <is>
          <t>Kale W33</t>
        </is>
      </c>
      <c r="B100" s="27" t="inlineStr">
        <is>
          <t>Kale</t>
        </is>
      </c>
      <c r="C100" s="28" t="n">
        <v>0</v>
      </c>
      <c r="D100" s="29" t="n">
        <v>0</v>
      </c>
      <c r="AK100" s="30" t="inlineStr">
        <is>
          <t>P</t>
        </is>
      </c>
      <c r="AL100" s="30" t="inlineStr">
        <is>
          <t>G</t>
        </is>
      </c>
      <c r="AM100" s="30" t="inlineStr">
        <is>
          <t>G</t>
        </is>
      </c>
      <c r="AN100" s="30" t="inlineStr">
        <is>
          <t>G</t>
        </is>
      </c>
      <c r="AO100" s="30" t="inlineStr">
        <is>
          <t>G</t>
        </is>
      </c>
      <c r="AP100" s="30" t="inlineStr">
        <is>
          <t>G</t>
        </is>
      </c>
      <c r="AQ100" s="30" t="inlineStr">
        <is>
          <t>G</t>
        </is>
      </c>
      <c r="AR100" s="30" t="inlineStr">
        <is>
          <t>G</t>
        </is>
      </c>
      <c r="AS100" s="30" t="inlineStr">
        <is>
          <t>G</t>
        </is>
      </c>
      <c r="AT100" s="30" t="inlineStr">
        <is>
          <t>H</t>
        </is>
      </c>
      <c r="AU100" s="30" t="inlineStr">
        <is>
          <t>H</t>
        </is>
      </c>
      <c r="AV100" s="30" t="inlineStr">
        <is>
          <t>H</t>
        </is>
      </c>
      <c r="AW100" s="30" t="inlineStr">
        <is>
          <t>H</t>
        </is>
      </c>
      <c r="BE100" s="31">
        <f>D100*$B$5</f>
        <v/>
      </c>
      <c r="BF100" s="31">
        <f>D100*$I$12</f>
        <v/>
      </c>
      <c r="BG100" s="32">
        <f>MATCH("P",$E100:$BD100,0)</f>
        <v/>
      </c>
    </row>
    <row r="101">
      <c r="A101" s="27" t="inlineStr">
        <is>
          <t>Kale W34</t>
        </is>
      </c>
      <c r="B101" s="27" t="inlineStr">
        <is>
          <t>Kale</t>
        </is>
      </c>
      <c r="C101" s="28" t="n">
        <v>0</v>
      </c>
      <c r="D101" s="29" t="n">
        <v>0</v>
      </c>
      <c r="AL101" s="30" t="inlineStr">
        <is>
          <t>P</t>
        </is>
      </c>
      <c r="AM101" s="30" t="inlineStr">
        <is>
          <t>G</t>
        </is>
      </c>
      <c r="AN101" s="30" t="inlineStr">
        <is>
          <t>G</t>
        </is>
      </c>
      <c r="AO101" s="30" t="inlineStr">
        <is>
          <t>G</t>
        </is>
      </c>
      <c r="AP101" s="30" t="inlineStr">
        <is>
          <t>G</t>
        </is>
      </c>
      <c r="AQ101" s="30" t="inlineStr">
        <is>
          <t>G</t>
        </is>
      </c>
      <c r="AR101" s="30" t="inlineStr">
        <is>
          <t>G</t>
        </is>
      </c>
      <c r="AS101" s="30" t="inlineStr">
        <is>
          <t>G</t>
        </is>
      </c>
      <c r="AT101" s="30" t="inlineStr">
        <is>
          <t>G</t>
        </is>
      </c>
      <c r="AU101" s="30" t="inlineStr">
        <is>
          <t>H</t>
        </is>
      </c>
      <c r="AV101" s="30" t="inlineStr">
        <is>
          <t>H</t>
        </is>
      </c>
      <c r="AW101" s="30" t="inlineStr">
        <is>
          <t>H</t>
        </is>
      </c>
      <c r="AX101" s="30" t="inlineStr">
        <is>
          <t>H</t>
        </is>
      </c>
      <c r="BE101" s="31">
        <f>D101*$B$5</f>
        <v/>
      </c>
      <c r="BF101" s="31">
        <f>D101*$I$12</f>
        <v/>
      </c>
      <c r="BG101" s="32">
        <f>MATCH("P",$E101:$BD101,0)</f>
        <v/>
      </c>
    </row>
    <row r="102">
      <c r="A102" s="27" t="inlineStr">
        <is>
          <t>Kale W35</t>
        </is>
      </c>
      <c r="B102" s="27" t="inlineStr">
        <is>
          <t>Kale</t>
        </is>
      </c>
      <c r="C102" s="28" t="n">
        <v>0</v>
      </c>
      <c r="D102" s="29" t="n">
        <v>0</v>
      </c>
      <c r="AM102" s="30" t="inlineStr">
        <is>
          <t>P</t>
        </is>
      </c>
      <c r="AN102" s="30" t="inlineStr">
        <is>
          <t>G</t>
        </is>
      </c>
      <c r="AO102" s="30" t="inlineStr">
        <is>
          <t>G</t>
        </is>
      </c>
      <c r="AP102" s="30" t="inlineStr">
        <is>
          <t>G</t>
        </is>
      </c>
      <c r="AQ102" s="30" t="inlineStr">
        <is>
          <t>G</t>
        </is>
      </c>
      <c r="AR102" s="30" t="inlineStr">
        <is>
          <t>G</t>
        </is>
      </c>
      <c r="AS102" s="30" t="inlineStr">
        <is>
          <t>G</t>
        </is>
      </c>
      <c r="AT102" s="30" t="inlineStr">
        <is>
          <t>G</t>
        </is>
      </c>
      <c r="AU102" s="30" t="inlineStr">
        <is>
          <t>G</t>
        </is>
      </c>
      <c r="AV102" s="30" t="inlineStr">
        <is>
          <t>H</t>
        </is>
      </c>
      <c r="AW102" s="30" t="inlineStr">
        <is>
          <t>H</t>
        </is>
      </c>
      <c r="AX102" s="30" t="inlineStr">
        <is>
          <t>H</t>
        </is>
      </c>
      <c r="AY102" s="30" t="inlineStr">
        <is>
          <t>H</t>
        </is>
      </c>
      <c r="BE102" s="31">
        <f>D102*$B$5</f>
        <v/>
      </c>
      <c r="BF102" s="31">
        <f>D102*$I$12</f>
        <v/>
      </c>
      <c r="BG102" s="32">
        <f>MATCH("P",$E102:$BD102,0)</f>
        <v/>
      </c>
    </row>
    <row r="103">
      <c r="A103" s="27" t="inlineStr">
        <is>
          <t>Kale W36</t>
        </is>
      </c>
      <c r="B103" s="27" t="inlineStr">
        <is>
          <t>Kale</t>
        </is>
      </c>
      <c r="C103" s="28" t="n">
        <v>0</v>
      </c>
      <c r="D103" s="29" t="n">
        <v>0</v>
      </c>
      <c r="AN103" s="30" t="inlineStr">
        <is>
          <t>P</t>
        </is>
      </c>
      <c r="AO103" s="30" t="inlineStr">
        <is>
          <t>G</t>
        </is>
      </c>
      <c r="AP103" s="30" t="inlineStr">
        <is>
          <t>G</t>
        </is>
      </c>
      <c r="AQ103" s="30" t="inlineStr">
        <is>
          <t>G</t>
        </is>
      </c>
      <c r="AR103" s="30" t="inlineStr">
        <is>
          <t>G</t>
        </is>
      </c>
      <c r="AS103" s="30" t="inlineStr">
        <is>
          <t>G</t>
        </is>
      </c>
      <c r="AT103" s="30" t="inlineStr">
        <is>
          <t>G</t>
        </is>
      </c>
      <c r="AU103" s="30" t="inlineStr">
        <is>
          <t>G</t>
        </is>
      </c>
      <c r="AV103" s="30" t="inlineStr">
        <is>
          <t>G</t>
        </is>
      </c>
      <c r="AW103" s="30" t="inlineStr">
        <is>
          <t>H</t>
        </is>
      </c>
      <c r="AX103" s="30" t="inlineStr">
        <is>
          <t>H</t>
        </is>
      </c>
      <c r="AY103" s="30" t="inlineStr">
        <is>
          <t>H</t>
        </is>
      </c>
      <c r="AZ103" s="30" t="inlineStr">
        <is>
          <t>H</t>
        </is>
      </c>
      <c r="BE103" s="31">
        <f>D103*$B$5</f>
        <v/>
      </c>
      <c r="BF103" s="31">
        <f>D103*$I$12</f>
        <v/>
      </c>
      <c r="BG103" s="32">
        <f>MATCH("P",$E103:$BD103,0)</f>
        <v/>
      </c>
    </row>
    <row r="104">
      <c r="A104" s="27" t="inlineStr">
        <is>
          <t>Kale W37</t>
        </is>
      </c>
      <c r="B104" s="27" t="inlineStr">
        <is>
          <t>Kale</t>
        </is>
      </c>
      <c r="C104" s="28" t="n">
        <v>0</v>
      </c>
      <c r="D104" s="29" t="n">
        <v>0</v>
      </c>
      <c r="AO104" s="30" t="inlineStr">
        <is>
          <t>P</t>
        </is>
      </c>
      <c r="AP104" s="30" t="inlineStr">
        <is>
          <t>G</t>
        </is>
      </c>
      <c r="AQ104" s="30" t="inlineStr">
        <is>
          <t>G</t>
        </is>
      </c>
      <c r="AR104" s="30" t="inlineStr">
        <is>
          <t>G</t>
        </is>
      </c>
      <c r="AS104" s="30" t="inlineStr">
        <is>
          <t>G</t>
        </is>
      </c>
      <c r="AT104" s="30" t="inlineStr">
        <is>
          <t>G</t>
        </is>
      </c>
      <c r="AU104" s="30" t="inlineStr">
        <is>
          <t>G</t>
        </is>
      </c>
      <c r="AV104" s="30" t="inlineStr">
        <is>
          <t>G</t>
        </is>
      </c>
      <c r="AW104" s="30" t="inlineStr">
        <is>
          <t>G</t>
        </is>
      </c>
      <c r="AX104" s="30" t="inlineStr">
        <is>
          <t>H</t>
        </is>
      </c>
      <c r="AY104" s="30" t="inlineStr">
        <is>
          <t>H</t>
        </is>
      </c>
      <c r="AZ104" s="30" t="inlineStr">
        <is>
          <t>H</t>
        </is>
      </c>
      <c r="BA104" s="30" t="inlineStr">
        <is>
          <t>H</t>
        </is>
      </c>
      <c r="BE104" s="31">
        <f>D104*$B$5</f>
        <v/>
      </c>
      <c r="BF104" s="31">
        <f>D104*$I$12</f>
        <v/>
      </c>
      <c r="BG104" s="32">
        <f>MATCH("P",$E104:$BD104,0)</f>
        <v/>
      </c>
    </row>
    <row r="105">
      <c r="A105" s="27" t="inlineStr">
        <is>
          <t>Kale W38</t>
        </is>
      </c>
      <c r="B105" s="27" t="inlineStr">
        <is>
          <t>Kale</t>
        </is>
      </c>
      <c r="C105" s="28" t="n">
        <v>0</v>
      </c>
      <c r="D105" s="29" t="n">
        <v>0</v>
      </c>
      <c r="AP105" s="30" t="inlineStr">
        <is>
          <t>P</t>
        </is>
      </c>
      <c r="AQ105" s="30" t="inlineStr">
        <is>
          <t>G</t>
        </is>
      </c>
      <c r="AR105" s="30" t="inlineStr">
        <is>
          <t>G</t>
        </is>
      </c>
      <c r="AS105" s="30" t="inlineStr">
        <is>
          <t>G</t>
        </is>
      </c>
      <c r="AT105" s="30" t="inlineStr">
        <is>
          <t>G</t>
        </is>
      </c>
      <c r="AU105" s="30" t="inlineStr">
        <is>
          <t>G</t>
        </is>
      </c>
      <c r="AV105" s="30" t="inlineStr">
        <is>
          <t>G</t>
        </is>
      </c>
      <c r="AW105" s="30" t="inlineStr">
        <is>
          <t>G</t>
        </is>
      </c>
      <c r="AX105" s="30" t="inlineStr">
        <is>
          <t>G</t>
        </is>
      </c>
      <c r="AY105" s="30" t="inlineStr">
        <is>
          <t>H</t>
        </is>
      </c>
      <c r="AZ105" s="30" t="inlineStr">
        <is>
          <t>H</t>
        </is>
      </c>
      <c r="BA105" s="30" t="inlineStr">
        <is>
          <t>H</t>
        </is>
      </c>
      <c r="BB105" s="30" t="inlineStr">
        <is>
          <t>H</t>
        </is>
      </c>
      <c r="BE105" s="31">
        <f>D105*$B$5</f>
        <v/>
      </c>
      <c r="BF105" s="31">
        <f>D105*$I$12</f>
        <v/>
      </c>
      <c r="BG105" s="32">
        <f>MATCH("P",$E105:$BD105,0)</f>
        <v/>
      </c>
    </row>
    <row r="106">
      <c r="A106" s="27" t="inlineStr">
        <is>
          <t>Kale W39</t>
        </is>
      </c>
      <c r="B106" s="27" t="inlineStr">
        <is>
          <t>Kale</t>
        </is>
      </c>
      <c r="C106" s="28" t="n">
        <v>0</v>
      </c>
      <c r="D106" s="29" t="n">
        <v>0</v>
      </c>
      <c r="AQ106" s="30" t="inlineStr">
        <is>
          <t>P</t>
        </is>
      </c>
      <c r="AR106" s="30" t="inlineStr">
        <is>
          <t>G</t>
        </is>
      </c>
      <c r="AS106" s="30" t="inlineStr">
        <is>
          <t>G</t>
        </is>
      </c>
      <c r="AT106" s="30" t="inlineStr">
        <is>
          <t>G</t>
        </is>
      </c>
      <c r="AU106" s="30" t="inlineStr">
        <is>
          <t>G</t>
        </is>
      </c>
      <c r="AV106" s="30" t="inlineStr">
        <is>
          <t>G</t>
        </is>
      </c>
      <c r="AW106" s="30" t="inlineStr">
        <is>
          <t>G</t>
        </is>
      </c>
      <c r="AX106" s="30" t="inlineStr">
        <is>
          <t>G</t>
        </is>
      </c>
      <c r="AY106" s="30" t="inlineStr">
        <is>
          <t>G</t>
        </is>
      </c>
      <c r="AZ106" s="30" t="inlineStr">
        <is>
          <t>H</t>
        </is>
      </c>
      <c r="BA106" s="30" t="inlineStr">
        <is>
          <t>H</t>
        </is>
      </c>
      <c r="BB106" s="30" t="inlineStr">
        <is>
          <t>H</t>
        </is>
      </c>
      <c r="BC106" s="30" t="inlineStr">
        <is>
          <t>H</t>
        </is>
      </c>
      <c r="BE106" s="31">
        <f>D106*$B$5</f>
        <v/>
      </c>
      <c r="BF106" s="31">
        <f>D106*$I$12</f>
        <v/>
      </c>
      <c r="BG106" s="32">
        <f>MATCH("P",$E106:$BD106,0)</f>
        <v/>
      </c>
    </row>
    <row r="107">
      <c r="A107" s="27" t="inlineStr">
        <is>
          <t>Kale W40</t>
        </is>
      </c>
      <c r="B107" s="27" t="inlineStr">
        <is>
          <t>Kale</t>
        </is>
      </c>
      <c r="C107" s="28" t="n">
        <v>0</v>
      </c>
      <c r="D107" s="29" t="n">
        <v>0</v>
      </c>
      <c r="AR107" s="30" t="inlineStr">
        <is>
          <t>P</t>
        </is>
      </c>
      <c r="AS107" s="30" t="inlineStr">
        <is>
          <t>G</t>
        </is>
      </c>
      <c r="AT107" s="30" t="inlineStr">
        <is>
          <t>G</t>
        </is>
      </c>
      <c r="AU107" s="30" t="inlineStr">
        <is>
          <t>G</t>
        </is>
      </c>
      <c r="AV107" s="30" t="inlineStr">
        <is>
          <t>G</t>
        </is>
      </c>
      <c r="AW107" s="30" t="inlineStr">
        <is>
          <t>G</t>
        </is>
      </c>
      <c r="AX107" s="30" t="inlineStr">
        <is>
          <t>G</t>
        </is>
      </c>
      <c r="AY107" s="30" t="inlineStr">
        <is>
          <t>G</t>
        </is>
      </c>
      <c r="AZ107" s="30" t="inlineStr">
        <is>
          <t>G</t>
        </is>
      </c>
      <c r="BA107" s="30" t="inlineStr">
        <is>
          <t>H</t>
        </is>
      </c>
      <c r="BB107" s="30" t="inlineStr">
        <is>
          <t>H</t>
        </is>
      </c>
      <c r="BC107" s="30" t="inlineStr">
        <is>
          <t>H</t>
        </is>
      </c>
      <c r="BD107" s="30" t="inlineStr">
        <is>
          <t>H</t>
        </is>
      </c>
      <c r="BE107" s="31">
        <f>D107*$B$5</f>
        <v/>
      </c>
      <c r="BF107" s="31">
        <f>D107*$I$12</f>
        <v/>
      </c>
      <c r="BG107" s="32">
        <f>MATCH("P",$E107:$BD107,0)</f>
        <v/>
      </c>
    </row>
    <row r="108">
      <c r="A108" s="27" t="inlineStr">
        <is>
          <t>Garlic W46</t>
        </is>
      </c>
      <c r="B108" s="27" t="inlineStr">
        <is>
          <t>Garlic</t>
        </is>
      </c>
      <c r="C108" s="28" t="n">
        <v>0</v>
      </c>
      <c r="D108" s="29" t="n">
        <v>0</v>
      </c>
      <c r="E108" s="30" t="inlineStr">
        <is>
          <t>G</t>
        </is>
      </c>
      <c r="F108" s="30" t="inlineStr">
        <is>
          <t>G</t>
        </is>
      </c>
      <c r="G108" s="30" t="inlineStr">
        <is>
          <t>G</t>
        </is>
      </c>
      <c r="H108" s="30" t="inlineStr">
        <is>
          <t>G</t>
        </is>
      </c>
      <c r="I108" s="30" t="inlineStr">
        <is>
          <t>G</t>
        </is>
      </c>
      <c r="J108" s="30" t="inlineStr">
        <is>
          <t>G</t>
        </is>
      </c>
      <c r="K108" s="30" t="inlineStr">
        <is>
          <t>G</t>
        </is>
      </c>
      <c r="L108" s="30" t="inlineStr">
        <is>
          <t>G</t>
        </is>
      </c>
      <c r="M108" s="30" t="inlineStr">
        <is>
          <t>G</t>
        </is>
      </c>
      <c r="N108" s="30" t="inlineStr">
        <is>
          <t>G</t>
        </is>
      </c>
      <c r="O108" s="30" t="inlineStr">
        <is>
          <t>G</t>
        </is>
      </c>
      <c r="P108" s="30" t="inlineStr">
        <is>
          <t>G</t>
        </is>
      </c>
      <c r="Q108" s="30" t="inlineStr">
        <is>
          <t>G</t>
        </is>
      </c>
      <c r="R108" s="30" t="inlineStr">
        <is>
          <t>G</t>
        </is>
      </c>
      <c r="S108" s="30" t="inlineStr">
        <is>
          <t>G</t>
        </is>
      </c>
      <c r="T108" s="30" t="inlineStr">
        <is>
          <t>G</t>
        </is>
      </c>
      <c r="U108" s="30" t="inlineStr">
        <is>
          <t>G</t>
        </is>
      </c>
      <c r="V108" s="30" t="inlineStr">
        <is>
          <t>G</t>
        </is>
      </c>
      <c r="W108" s="30" t="inlineStr">
        <is>
          <t>G</t>
        </is>
      </c>
      <c r="X108" s="30" t="inlineStr">
        <is>
          <t>G</t>
        </is>
      </c>
      <c r="Y108" s="30" t="inlineStr">
        <is>
          <t>G</t>
        </is>
      </c>
      <c r="Z108" s="30" t="inlineStr">
        <is>
          <t>G</t>
        </is>
      </c>
      <c r="AA108" s="30" t="inlineStr">
        <is>
          <t>G</t>
        </is>
      </c>
      <c r="AB108" s="30" t="inlineStr">
        <is>
          <t>G</t>
        </is>
      </c>
      <c r="AC108" s="30" t="inlineStr">
        <is>
          <t>G</t>
        </is>
      </c>
      <c r="AD108" s="30" t="inlineStr">
        <is>
          <t>G</t>
        </is>
      </c>
      <c r="AE108" s="30" t="inlineStr">
        <is>
          <t>G</t>
        </is>
      </c>
      <c r="AF108" s="30" t="inlineStr">
        <is>
          <t>G</t>
        </is>
      </c>
      <c r="AG108" s="30" t="inlineStr">
        <is>
          <t>H</t>
        </is>
      </c>
      <c r="AX108" s="30" t="inlineStr">
        <is>
          <t>P</t>
        </is>
      </c>
      <c r="AY108" s="30" t="inlineStr">
        <is>
          <t>P</t>
        </is>
      </c>
      <c r="AZ108" s="30" t="inlineStr">
        <is>
          <t>P</t>
        </is>
      </c>
      <c r="BA108" s="30" t="inlineStr">
        <is>
          <t>G</t>
        </is>
      </c>
      <c r="BB108" s="30" t="inlineStr">
        <is>
          <t>G</t>
        </is>
      </c>
      <c r="BC108" s="30" t="inlineStr">
        <is>
          <t>G</t>
        </is>
      </c>
      <c r="BD108" s="30" t="inlineStr">
        <is>
          <t>G</t>
        </is>
      </c>
      <c r="BE108" s="31">
        <f>D108*$B$5</f>
        <v/>
      </c>
      <c r="BF108" s="31">
        <f>D108*$I$13</f>
        <v/>
      </c>
      <c r="BG108" s="32">
        <f>MATCH("P",$E108:$BD108,0)</f>
        <v/>
      </c>
    </row>
    <row r="109">
      <c r="A109" s="27" t="inlineStr">
        <is>
          <t>Garlic W47</t>
        </is>
      </c>
      <c r="B109" s="27" t="inlineStr">
        <is>
          <t>Garlic</t>
        </is>
      </c>
      <c r="C109" s="28" t="n">
        <v>0</v>
      </c>
      <c r="D109" s="29" t="n">
        <v>0</v>
      </c>
      <c r="E109" s="30" t="inlineStr">
        <is>
          <t>G</t>
        </is>
      </c>
      <c r="F109" s="30" t="inlineStr">
        <is>
          <t>G</t>
        </is>
      </c>
      <c r="G109" s="30" t="inlineStr">
        <is>
          <t>G</t>
        </is>
      </c>
      <c r="H109" s="30" t="inlineStr">
        <is>
          <t>G</t>
        </is>
      </c>
      <c r="I109" s="30" t="inlineStr">
        <is>
          <t>G</t>
        </is>
      </c>
      <c r="J109" s="30" t="inlineStr">
        <is>
          <t>G</t>
        </is>
      </c>
      <c r="K109" s="30" t="inlineStr">
        <is>
          <t>G</t>
        </is>
      </c>
      <c r="L109" s="30" t="inlineStr">
        <is>
          <t>G</t>
        </is>
      </c>
      <c r="M109" s="30" t="inlineStr">
        <is>
          <t>G</t>
        </is>
      </c>
      <c r="N109" s="30" t="inlineStr">
        <is>
          <t>G</t>
        </is>
      </c>
      <c r="O109" s="30" t="inlineStr">
        <is>
          <t>G</t>
        </is>
      </c>
      <c r="P109" s="30" t="inlineStr">
        <is>
          <t>G</t>
        </is>
      </c>
      <c r="Q109" s="30" t="inlineStr">
        <is>
          <t>G</t>
        </is>
      </c>
      <c r="R109" s="30" t="inlineStr">
        <is>
          <t>G</t>
        </is>
      </c>
      <c r="S109" s="30" t="inlineStr">
        <is>
          <t>G</t>
        </is>
      </c>
      <c r="T109" s="30" t="inlineStr">
        <is>
          <t>G</t>
        </is>
      </c>
      <c r="U109" s="30" t="inlineStr">
        <is>
          <t>G</t>
        </is>
      </c>
      <c r="V109" s="30" t="inlineStr">
        <is>
          <t>G</t>
        </is>
      </c>
      <c r="W109" s="30" t="inlineStr">
        <is>
          <t>G</t>
        </is>
      </c>
      <c r="X109" s="30" t="inlineStr">
        <is>
          <t>G</t>
        </is>
      </c>
      <c r="Y109" s="30" t="inlineStr">
        <is>
          <t>G</t>
        </is>
      </c>
      <c r="Z109" s="30" t="inlineStr">
        <is>
          <t>G</t>
        </is>
      </c>
      <c r="AA109" s="30" t="inlineStr">
        <is>
          <t>G</t>
        </is>
      </c>
      <c r="AB109" s="30" t="inlineStr">
        <is>
          <t>G</t>
        </is>
      </c>
      <c r="AC109" s="30" t="inlineStr">
        <is>
          <t>G</t>
        </is>
      </c>
      <c r="AD109" s="30" t="inlineStr">
        <is>
          <t>G</t>
        </is>
      </c>
      <c r="AE109" s="30" t="inlineStr">
        <is>
          <t>G</t>
        </is>
      </c>
      <c r="AF109" s="30" t="inlineStr">
        <is>
          <t>G</t>
        </is>
      </c>
      <c r="AG109" s="30" t="inlineStr">
        <is>
          <t>G</t>
        </is>
      </c>
      <c r="AH109" s="30" t="inlineStr">
        <is>
          <t>H</t>
        </is>
      </c>
      <c r="AY109" s="30" t="inlineStr">
        <is>
          <t>P</t>
        </is>
      </c>
      <c r="AZ109" s="30" t="inlineStr">
        <is>
          <t>P</t>
        </is>
      </c>
      <c r="BA109" s="30" t="inlineStr">
        <is>
          <t>P</t>
        </is>
      </c>
      <c r="BB109" s="30" t="inlineStr">
        <is>
          <t>G</t>
        </is>
      </c>
      <c r="BC109" s="30" t="inlineStr">
        <is>
          <t>G</t>
        </is>
      </c>
      <c r="BD109" s="30" t="inlineStr">
        <is>
          <t>G</t>
        </is>
      </c>
      <c r="BE109" s="31">
        <f>D109*$B$5</f>
        <v/>
      </c>
      <c r="BF109" s="31">
        <f>D109*$I$13</f>
        <v/>
      </c>
      <c r="BG109" s="32">
        <f>MATCH("P",$E109:$BD109,0)</f>
        <v/>
      </c>
    </row>
    <row r="110">
      <c r="A110" s="27" t="inlineStr">
        <is>
          <t>Garlic W48</t>
        </is>
      </c>
      <c r="B110" s="27" t="inlineStr">
        <is>
          <t>Garlic</t>
        </is>
      </c>
      <c r="C110" s="28" t="n">
        <v>0</v>
      </c>
      <c r="D110" s="29" t="n">
        <v>0</v>
      </c>
      <c r="E110" s="30" t="inlineStr">
        <is>
          <t>G</t>
        </is>
      </c>
      <c r="F110" s="30" t="inlineStr">
        <is>
          <t>G</t>
        </is>
      </c>
      <c r="G110" s="30" t="inlineStr">
        <is>
          <t>G</t>
        </is>
      </c>
      <c r="H110" s="30" t="inlineStr">
        <is>
          <t>G</t>
        </is>
      </c>
      <c r="I110" s="30" t="inlineStr">
        <is>
          <t>G</t>
        </is>
      </c>
      <c r="J110" s="30" t="inlineStr">
        <is>
          <t>G</t>
        </is>
      </c>
      <c r="K110" s="30" t="inlineStr">
        <is>
          <t>G</t>
        </is>
      </c>
      <c r="L110" s="30" t="inlineStr">
        <is>
          <t>G</t>
        </is>
      </c>
      <c r="M110" s="30" t="inlineStr">
        <is>
          <t>G</t>
        </is>
      </c>
      <c r="N110" s="30" t="inlineStr">
        <is>
          <t>G</t>
        </is>
      </c>
      <c r="O110" s="30" t="inlineStr">
        <is>
          <t>G</t>
        </is>
      </c>
      <c r="P110" s="30" t="inlineStr">
        <is>
          <t>G</t>
        </is>
      </c>
      <c r="Q110" s="30" t="inlineStr">
        <is>
          <t>G</t>
        </is>
      </c>
      <c r="R110" s="30" t="inlineStr">
        <is>
          <t>G</t>
        </is>
      </c>
      <c r="S110" s="30" t="inlineStr">
        <is>
          <t>G</t>
        </is>
      </c>
      <c r="T110" s="30" t="inlineStr">
        <is>
          <t>G</t>
        </is>
      </c>
      <c r="U110" s="30" t="inlineStr">
        <is>
          <t>G</t>
        </is>
      </c>
      <c r="V110" s="30" t="inlineStr">
        <is>
          <t>G</t>
        </is>
      </c>
      <c r="W110" s="30" t="inlineStr">
        <is>
          <t>G</t>
        </is>
      </c>
      <c r="X110" s="30" t="inlineStr">
        <is>
          <t>G</t>
        </is>
      </c>
      <c r="Y110" s="30" t="inlineStr">
        <is>
          <t>G</t>
        </is>
      </c>
      <c r="Z110" s="30" t="inlineStr">
        <is>
          <t>G</t>
        </is>
      </c>
      <c r="AA110" s="30" t="inlineStr">
        <is>
          <t>G</t>
        </is>
      </c>
      <c r="AB110" s="30" t="inlineStr">
        <is>
          <t>G</t>
        </is>
      </c>
      <c r="AC110" s="30" t="inlineStr">
        <is>
          <t>G</t>
        </is>
      </c>
      <c r="AD110" s="30" t="inlineStr">
        <is>
          <t>G</t>
        </is>
      </c>
      <c r="AE110" s="30" t="inlineStr">
        <is>
          <t>G</t>
        </is>
      </c>
      <c r="AF110" s="30" t="inlineStr">
        <is>
          <t>G</t>
        </is>
      </c>
      <c r="AG110" s="30" t="inlineStr">
        <is>
          <t>G</t>
        </is>
      </c>
      <c r="AH110" s="30" t="inlineStr">
        <is>
          <t>G</t>
        </is>
      </c>
      <c r="AI110" s="30" t="inlineStr">
        <is>
          <t>H</t>
        </is>
      </c>
      <c r="AZ110" s="30" t="inlineStr">
        <is>
          <t>P</t>
        </is>
      </c>
      <c r="BA110" s="30" t="inlineStr">
        <is>
          <t>P</t>
        </is>
      </c>
      <c r="BB110" s="30" t="inlineStr">
        <is>
          <t>P</t>
        </is>
      </c>
      <c r="BC110" s="30" t="inlineStr">
        <is>
          <t>G</t>
        </is>
      </c>
      <c r="BD110" s="30" t="inlineStr">
        <is>
          <t>G</t>
        </is>
      </c>
      <c r="BE110" s="31">
        <f>D110*$B$5</f>
        <v/>
      </c>
      <c r="BF110" s="31">
        <f>D110*$I$13</f>
        <v/>
      </c>
      <c r="BG110" s="32">
        <f>MATCH("P",$E110:$BD110,0)</f>
        <v/>
      </c>
    </row>
    <row r="111">
      <c r="A111" s="2" t="inlineStr">
        <is>
          <t>ACRES &lt;= 'max if planted' and ACRES &gt;= 'min if planted' are the app's C9 and C10: you cannot plant acres without deciding to plant, and if you plant at all you plant a real block.</t>
        </is>
      </c>
    </row>
    <row r="113">
      <c r="A113" s="22" t="inlineStr">
        <is>
          <t>Week</t>
        </is>
      </c>
      <c r="B113" s="33" t="inlineStr">
        <is>
          <t>acres</t>
        </is>
      </c>
      <c r="E113" s="25" t="n">
        <v>1</v>
      </c>
      <c r="F113" s="25" t="n">
        <v>2</v>
      </c>
      <c r="G113" s="25" t="n">
        <v>3</v>
      </c>
      <c r="H113" s="25" t="n">
        <v>4</v>
      </c>
      <c r="I113" s="25" t="n">
        <v>5</v>
      </c>
      <c r="J113" s="25" t="n">
        <v>6</v>
      </c>
      <c r="K113" s="25" t="n">
        <v>7</v>
      </c>
      <c r="L113" s="25" t="n">
        <v>8</v>
      </c>
      <c r="M113" s="25" t="n">
        <v>9</v>
      </c>
      <c r="N113" s="25" t="n">
        <v>10</v>
      </c>
      <c r="O113" s="25" t="n">
        <v>11</v>
      </c>
      <c r="P113" s="25" t="n">
        <v>12</v>
      </c>
      <c r="Q113" s="25" t="n">
        <v>13</v>
      </c>
      <c r="R113" s="25" t="n">
        <v>14</v>
      </c>
      <c r="S113" s="25" t="n">
        <v>15</v>
      </c>
      <c r="T113" s="25" t="n">
        <v>16</v>
      </c>
      <c r="U113" s="25" t="n">
        <v>17</v>
      </c>
      <c r="V113" s="25" t="n">
        <v>18</v>
      </c>
      <c r="W113" s="25" t="n">
        <v>19</v>
      </c>
      <c r="X113" s="25" t="n">
        <v>20</v>
      </c>
      <c r="Y113" s="25" t="n">
        <v>21</v>
      </c>
      <c r="Z113" s="25" t="n">
        <v>22</v>
      </c>
      <c r="AA113" s="25" t="n">
        <v>23</v>
      </c>
      <c r="AB113" s="25" t="n">
        <v>24</v>
      </c>
      <c r="AC113" s="25" t="n">
        <v>25</v>
      </c>
      <c r="AD113" s="25" t="n">
        <v>26</v>
      </c>
      <c r="AE113" s="25" t="n">
        <v>27</v>
      </c>
      <c r="AF113" s="25" t="n">
        <v>28</v>
      </c>
      <c r="AG113" s="25" t="n">
        <v>29</v>
      </c>
      <c r="AH113" s="25" t="n">
        <v>30</v>
      </c>
      <c r="AI113" s="25" t="n">
        <v>31</v>
      </c>
      <c r="AJ113" s="25" t="n">
        <v>32</v>
      </c>
      <c r="AK113" s="25" t="n">
        <v>33</v>
      </c>
      <c r="AL113" s="25" t="n">
        <v>34</v>
      </c>
      <c r="AM113" s="25" t="n">
        <v>35</v>
      </c>
      <c r="AN113" s="25" t="n">
        <v>36</v>
      </c>
      <c r="AO113" s="25" t="n">
        <v>37</v>
      </c>
      <c r="AP113" s="25" t="n">
        <v>38</v>
      </c>
      <c r="AQ113" s="25" t="n">
        <v>39</v>
      </c>
      <c r="AR113" s="25" t="n">
        <v>40</v>
      </c>
      <c r="AS113" s="25" t="n">
        <v>41</v>
      </c>
      <c r="AT113" s="25" t="n">
        <v>42</v>
      </c>
      <c r="AU113" s="25" t="n">
        <v>43</v>
      </c>
      <c r="AV113" s="25" t="n">
        <v>44</v>
      </c>
      <c r="AW113" s="25" t="n">
        <v>45</v>
      </c>
      <c r="AX113" s="25" t="n">
        <v>46</v>
      </c>
      <c r="AY113" s="25" t="n">
        <v>47</v>
      </c>
      <c r="AZ113" s="25" t="n">
        <v>48</v>
      </c>
      <c r="BA113" s="25" t="n">
        <v>49</v>
      </c>
      <c r="BB113" s="25" t="n">
        <v>50</v>
      </c>
      <c r="BC113" s="25" t="n">
        <v>51</v>
      </c>
      <c r="BD113" s="25" t="n">
        <v>52</v>
      </c>
    </row>
    <row r="114">
      <c r="A114" s="4" t="inlineStr">
        <is>
          <t>LAND in the ground</t>
        </is>
      </c>
      <c r="B114" s="2" t="inlineStr">
        <is>
          <t>used</t>
        </is>
      </c>
      <c r="E114" s="34">
        <f>SUMPRODUCT((E$43:E$110&lt;&gt;"")*$C$43:$C$110)</f>
        <v/>
      </c>
      <c r="F114" s="34">
        <f>SUMPRODUCT((F$43:F$110&lt;&gt;"")*$C$43:$C$110)</f>
        <v/>
      </c>
      <c r="G114" s="34">
        <f>SUMPRODUCT((G$43:G$110&lt;&gt;"")*$C$43:$C$110)</f>
        <v/>
      </c>
      <c r="H114" s="34">
        <f>SUMPRODUCT((H$43:H$110&lt;&gt;"")*$C$43:$C$110)</f>
        <v/>
      </c>
      <c r="I114" s="34">
        <f>SUMPRODUCT((I$43:I$110&lt;&gt;"")*$C$43:$C$110)</f>
        <v/>
      </c>
      <c r="J114" s="34">
        <f>SUMPRODUCT((J$43:J$110&lt;&gt;"")*$C$43:$C$110)</f>
        <v/>
      </c>
      <c r="K114" s="34">
        <f>SUMPRODUCT((K$43:K$110&lt;&gt;"")*$C$43:$C$110)</f>
        <v/>
      </c>
      <c r="L114" s="34">
        <f>SUMPRODUCT((L$43:L$110&lt;&gt;"")*$C$43:$C$110)</f>
        <v/>
      </c>
      <c r="M114" s="34">
        <f>SUMPRODUCT((M$43:M$110&lt;&gt;"")*$C$43:$C$110)</f>
        <v/>
      </c>
      <c r="N114" s="34">
        <f>SUMPRODUCT((N$43:N$110&lt;&gt;"")*$C$43:$C$110)</f>
        <v/>
      </c>
      <c r="O114" s="34">
        <f>SUMPRODUCT((O$43:O$110&lt;&gt;"")*$C$43:$C$110)</f>
        <v/>
      </c>
      <c r="P114" s="34">
        <f>SUMPRODUCT((P$43:P$110&lt;&gt;"")*$C$43:$C$110)</f>
        <v/>
      </c>
      <c r="Q114" s="34">
        <f>SUMPRODUCT((Q$43:Q$110&lt;&gt;"")*$C$43:$C$110)</f>
        <v/>
      </c>
      <c r="R114" s="34">
        <f>SUMPRODUCT((R$43:R$110&lt;&gt;"")*$C$43:$C$110)</f>
        <v/>
      </c>
      <c r="S114" s="34">
        <f>SUMPRODUCT((S$43:S$110&lt;&gt;"")*$C$43:$C$110)</f>
        <v/>
      </c>
      <c r="T114" s="34">
        <f>SUMPRODUCT((T$43:T$110&lt;&gt;"")*$C$43:$C$110)</f>
        <v/>
      </c>
      <c r="U114" s="34">
        <f>SUMPRODUCT((U$43:U$110&lt;&gt;"")*$C$43:$C$110)</f>
        <v/>
      </c>
      <c r="V114" s="34">
        <f>SUMPRODUCT((V$43:V$110&lt;&gt;"")*$C$43:$C$110)</f>
        <v/>
      </c>
      <c r="W114" s="34">
        <f>SUMPRODUCT((W$43:W$110&lt;&gt;"")*$C$43:$C$110)</f>
        <v/>
      </c>
      <c r="X114" s="34">
        <f>SUMPRODUCT((X$43:X$110&lt;&gt;"")*$C$43:$C$110)</f>
        <v/>
      </c>
      <c r="Y114" s="34">
        <f>SUMPRODUCT((Y$43:Y$110&lt;&gt;"")*$C$43:$C$110)</f>
        <v/>
      </c>
      <c r="Z114" s="34">
        <f>SUMPRODUCT((Z$43:Z$110&lt;&gt;"")*$C$43:$C$110)</f>
        <v/>
      </c>
      <c r="AA114" s="34">
        <f>SUMPRODUCT((AA$43:AA$110&lt;&gt;"")*$C$43:$C$110)</f>
        <v/>
      </c>
      <c r="AB114" s="34">
        <f>SUMPRODUCT((AB$43:AB$110&lt;&gt;"")*$C$43:$C$110)</f>
        <v/>
      </c>
      <c r="AC114" s="34">
        <f>SUMPRODUCT((AC$43:AC$110&lt;&gt;"")*$C$43:$C$110)</f>
        <v/>
      </c>
      <c r="AD114" s="34">
        <f>SUMPRODUCT((AD$43:AD$110&lt;&gt;"")*$C$43:$C$110)</f>
        <v/>
      </c>
      <c r="AE114" s="34">
        <f>SUMPRODUCT((AE$43:AE$110&lt;&gt;"")*$C$43:$C$110)</f>
        <v/>
      </c>
      <c r="AF114" s="34">
        <f>SUMPRODUCT((AF$43:AF$110&lt;&gt;"")*$C$43:$C$110)</f>
        <v/>
      </c>
      <c r="AG114" s="34">
        <f>SUMPRODUCT((AG$43:AG$110&lt;&gt;"")*$C$43:$C$110)</f>
        <v/>
      </c>
      <c r="AH114" s="34">
        <f>SUMPRODUCT((AH$43:AH$110&lt;&gt;"")*$C$43:$C$110)</f>
        <v/>
      </c>
      <c r="AI114" s="34">
        <f>SUMPRODUCT((AI$43:AI$110&lt;&gt;"")*$C$43:$C$110)</f>
        <v/>
      </c>
      <c r="AJ114" s="34">
        <f>SUMPRODUCT((AJ$43:AJ$110&lt;&gt;"")*$C$43:$C$110)</f>
        <v/>
      </c>
      <c r="AK114" s="34">
        <f>SUMPRODUCT((AK$43:AK$110&lt;&gt;"")*$C$43:$C$110)</f>
        <v/>
      </c>
      <c r="AL114" s="34">
        <f>SUMPRODUCT((AL$43:AL$110&lt;&gt;"")*$C$43:$C$110)</f>
        <v/>
      </c>
      <c r="AM114" s="34">
        <f>SUMPRODUCT((AM$43:AM$110&lt;&gt;"")*$C$43:$C$110)</f>
        <v/>
      </c>
      <c r="AN114" s="34">
        <f>SUMPRODUCT((AN$43:AN$110&lt;&gt;"")*$C$43:$C$110)</f>
        <v/>
      </c>
      <c r="AO114" s="34">
        <f>SUMPRODUCT((AO$43:AO$110&lt;&gt;"")*$C$43:$C$110)</f>
        <v/>
      </c>
      <c r="AP114" s="34">
        <f>SUMPRODUCT((AP$43:AP$110&lt;&gt;"")*$C$43:$C$110)</f>
        <v/>
      </c>
      <c r="AQ114" s="34">
        <f>SUMPRODUCT((AQ$43:AQ$110&lt;&gt;"")*$C$43:$C$110)</f>
        <v/>
      </c>
      <c r="AR114" s="34">
        <f>SUMPRODUCT((AR$43:AR$110&lt;&gt;"")*$C$43:$C$110)</f>
        <v/>
      </c>
      <c r="AS114" s="34">
        <f>SUMPRODUCT((AS$43:AS$110&lt;&gt;"")*$C$43:$C$110)</f>
        <v/>
      </c>
      <c r="AT114" s="34">
        <f>SUMPRODUCT((AT$43:AT$110&lt;&gt;"")*$C$43:$C$110)</f>
        <v/>
      </c>
      <c r="AU114" s="34">
        <f>SUMPRODUCT((AU$43:AU$110&lt;&gt;"")*$C$43:$C$110)</f>
        <v/>
      </c>
      <c r="AV114" s="34">
        <f>SUMPRODUCT((AV$43:AV$110&lt;&gt;"")*$C$43:$C$110)</f>
        <v/>
      </c>
      <c r="AW114" s="34">
        <f>SUMPRODUCT((AW$43:AW$110&lt;&gt;"")*$C$43:$C$110)</f>
        <v/>
      </c>
      <c r="AX114" s="34">
        <f>SUMPRODUCT((AX$43:AX$110&lt;&gt;"")*$C$43:$C$110)</f>
        <v/>
      </c>
      <c r="AY114" s="34">
        <f>SUMPRODUCT((AY$43:AY$110&lt;&gt;"")*$C$43:$C$110)</f>
        <v/>
      </c>
      <c r="AZ114" s="34">
        <f>SUMPRODUCT((AZ$43:AZ$110&lt;&gt;"")*$C$43:$C$110)</f>
        <v/>
      </c>
      <c r="BA114" s="34">
        <f>SUMPRODUCT((BA$43:BA$110&lt;&gt;"")*$C$43:$C$110)</f>
        <v/>
      </c>
      <c r="BB114" s="34">
        <f>SUMPRODUCT((BB$43:BB$110&lt;&gt;"")*$C$43:$C$110)</f>
        <v/>
      </c>
      <c r="BC114" s="34">
        <f>SUMPRODUCT((BC$43:BC$110&lt;&gt;"")*$C$43:$C$110)</f>
        <v/>
      </c>
      <c r="BD114" s="34">
        <f>SUMPRODUCT((BD$43:BD$110&lt;&gt;"")*$C$43:$C$110)</f>
        <v/>
      </c>
    </row>
    <row r="115">
      <c r="A115" s="4" t="inlineStr"/>
      <c r="E115" s="35" t="inlineStr">
        <is>
          <t>&lt;=</t>
        </is>
      </c>
      <c r="F115" s="35" t="inlineStr">
        <is>
          <t>&lt;=</t>
        </is>
      </c>
      <c r="G115" s="35" t="inlineStr">
        <is>
          <t>&lt;=</t>
        </is>
      </c>
      <c r="H115" s="35" t="inlineStr">
        <is>
          <t>&lt;=</t>
        </is>
      </c>
      <c r="I115" s="35" t="inlineStr">
        <is>
          <t>&lt;=</t>
        </is>
      </c>
      <c r="J115" s="35" t="inlineStr">
        <is>
          <t>&lt;=</t>
        </is>
      </c>
      <c r="K115" s="35" t="inlineStr">
        <is>
          <t>&lt;=</t>
        </is>
      </c>
      <c r="L115" s="35" t="inlineStr">
        <is>
          <t>&lt;=</t>
        </is>
      </c>
      <c r="M115" s="35" t="inlineStr">
        <is>
          <t>&lt;=</t>
        </is>
      </c>
      <c r="N115" s="35" t="inlineStr">
        <is>
          <t>&lt;=</t>
        </is>
      </c>
      <c r="O115" s="35" t="inlineStr">
        <is>
          <t>&lt;=</t>
        </is>
      </c>
      <c r="P115" s="35" t="inlineStr">
        <is>
          <t>&lt;=</t>
        </is>
      </c>
      <c r="Q115" s="35" t="inlineStr">
        <is>
          <t>&lt;=</t>
        </is>
      </c>
      <c r="R115" s="35" t="inlineStr">
        <is>
          <t>&lt;=</t>
        </is>
      </c>
      <c r="S115" s="35" t="inlineStr">
        <is>
          <t>&lt;=</t>
        </is>
      </c>
      <c r="T115" s="35" t="inlineStr">
        <is>
          <t>&lt;=</t>
        </is>
      </c>
      <c r="U115" s="35" t="inlineStr">
        <is>
          <t>&lt;=</t>
        </is>
      </c>
      <c r="V115" s="35" t="inlineStr">
        <is>
          <t>&lt;=</t>
        </is>
      </c>
      <c r="W115" s="35" t="inlineStr">
        <is>
          <t>&lt;=</t>
        </is>
      </c>
      <c r="X115" s="35" t="inlineStr">
        <is>
          <t>&lt;=</t>
        </is>
      </c>
      <c r="Y115" s="35" t="inlineStr">
        <is>
          <t>&lt;=</t>
        </is>
      </c>
      <c r="Z115" s="35" t="inlineStr">
        <is>
          <t>&lt;=</t>
        </is>
      </c>
      <c r="AA115" s="35" t="inlineStr">
        <is>
          <t>&lt;=</t>
        </is>
      </c>
      <c r="AB115" s="35" t="inlineStr">
        <is>
          <t>&lt;=</t>
        </is>
      </c>
      <c r="AC115" s="35" t="inlineStr">
        <is>
          <t>&lt;=</t>
        </is>
      </c>
      <c r="AD115" s="35" t="inlineStr">
        <is>
          <t>&lt;=</t>
        </is>
      </c>
      <c r="AE115" s="35" t="inlineStr">
        <is>
          <t>&lt;=</t>
        </is>
      </c>
      <c r="AF115" s="35" t="inlineStr">
        <is>
          <t>&lt;=</t>
        </is>
      </c>
      <c r="AG115" s="35" t="inlineStr">
        <is>
          <t>&lt;=</t>
        </is>
      </c>
      <c r="AH115" s="35" t="inlineStr">
        <is>
          <t>&lt;=</t>
        </is>
      </c>
      <c r="AI115" s="35" t="inlineStr">
        <is>
          <t>&lt;=</t>
        </is>
      </c>
      <c r="AJ115" s="35" t="inlineStr">
        <is>
          <t>&lt;=</t>
        </is>
      </c>
      <c r="AK115" s="35" t="inlineStr">
        <is>
          <t>&lt;=</t>
        </is>
      </c>
      <c r="AL115" s="35" t="inlineStr">
        <is>
          <t>&lt;=</t>
        </is>
      </c>
      <c r="AM115" s="35" t="inlineStr">
        <is>
          <t>&lt;=</t>
        </is>
      </c>
      <c r="AN115" s="35" t="inlineStr">
        <is>
          <t>&lt;=</t>
        </is>
      </c>
      <c r="AO115" s="35" t="inlineStr">
        <is>
          <t>&lt;=</t>
        </is>
      </c>
      <c r="AP115" s="35" t="inlineStr">
        <is>
          <t>&lt;=</t>
        </is>
      </c>
      <c r="AQ115" s="35" t="inlineStr">
        <is>
          <t>&lt;=</t>
        </is>
      </c>
      <c r="AR115" s="35" t="inlineStr">
        <is>
          <t>&lt;=</t>
        </is>
      </c>
      <c r="AS115" s="35" t="inlineStr">
        <is>
          <t>&lt;=</t>
        </is>
      </c>
      <c r="AT115" s="35" t="inlineStr">
        <is>
          <t>&lt;=</t>
        </is>
      </c>
      <c r="AU115" s="35" t="inlineStr">
        <is>
          <t>&lt;=</t>
        </is>
      </c>
      <c r="AV115" s="35" t="inlineStr">
        <is>
          <t>&lt;=</t>
        </is>
      </c>
      <c r="AW115" s="35" t="inlineStr">
        <is>
          <t>&lt;=</t>
        </is>
      </c>
      <c r="AX115" s="35" t="inlineStr">
        <is>
          <t>&lt;=</t>
        </is>
      </c>
      <c r="AY115" s="35" t="inlineStr">
        <is>
          <t>&lt;=</t>
        </is>
      </c>
      <c r="AZ115" s="35" t="inlineStr">
        <is>
          <t>&lt;=</t>
        </is>
      </c>
      <c r="BA115" s="35" t="inlineStr">
        <is>
          <t>&lt;=</t>
        </is>
      </c>
      <c r="BB115" s="35" t="inlineStr">
        <is>
          <t>&lt;=</t>
        </is>
      </c>
      <c r="BC115" s="35" t="inlineStr">
        <is>
          <t>&lt;=</t>
        </is>
      </c>
      <c r="BD115" s="35" t="inlineStr">
        <is>
          <t>&lt;=</t>
        </is>
      </c>
    </row>
    <row r="116">
      <c r="A116" s="4" t="inlineStr">
        <is>
          <t xml:space="preserve">  limit</t>
        </is>
      </c>
      <c r="B116" s="2" t="inlineStr">
        <is>
          <t>cap</t>
        </is>
      </c>
      <c r="E116" s="34">
        <f>$B$5</f>
        <v/>
      </c>
      <c r="F116" s="34">
        <f>$B$5</f>
        <v/>
      </c>
      <c r="G116" s="34">
        <f>$B$5</f>
        <v/>
      </c>
      <c r="H116" s="34">
        <f>$B$5</f>
        <v/>
      </c>
      <c r="I116" s="34">
        <f>$B$5</f>
        <v/>
      </c>
      <c r="J116" s="34">
        <f>$B$5</f>
        <v/>
      </c>
      <c r="K116" s="34">
        <f>$B$5</f>
        <v/>
      </c>
      <c r="L116" s="34">
        <f>$B$5</f>
        <v/>
      </c>
      <c r="M116" s="34">
        <f>$B$5</f>
        <v/>
      </c>
      <c r="N116" s="34">
        <f>$B$5</f>
        <v/>
      </c>
      <c r="O116" s="34">
        <f>$B$5</f>
        <v/>
      </c>
      <c r="P116" s="34">
        <f>$B$5</f>
        <v/>
      </c>
      <c r="Q116" s="34">
        <f>$B$5</f>
        <v/>
      </c>
      <c r="R116" s="34">
        <f>$B$5</f>
        <v/>
      </c>
      <c r="S116" s="34">
        <f>$B$5</f>
        <v/>
      </c>
      <c r="T116" s="34">
        <f>$B$5</f>
        <v/>
      </c>
      <c r="U116" s="34">
        <f>$B$5</f>
        <v/>
      </c>
      <c r="V116" s="34">
        <f>$B$5</f>
        <v/>
      </c>
      <c r="W116" s="34">
        <f>$B$5</f>
        <v/>
      </c>
      <c r="X116" s="34">
        <f>$B$5</f>
        <v/>
      </c>
      <c r="Y116" s="34">
        <f>$B$5</f>
        <v/>
      </c>
      <c r="Z116" s="34">
        <f>$B$5</f>
        <v/>
      </c>
      <c r="AA116" s="34">
        <f>$B$5</f>
        <v/>
      </c>
      <c r="AB116" s="34">
        <f>$B$5</f>
        <v/>
      </c>
      <c r="AC116" s="34">
        <f>$B$5</f>
        <v/>
      </c>
      <c r="AD116" s="34">
        <f>$B$5</f>
        <v/>
      </c>
      <c r="AE116" s="34">
        <f>$B$5</f>
        <v/>
      </c>
      <c r="AF116" s="34">
        <f>$B$5</f>
        <v/>
      </c>
      <c r="AG116" s="34">
        <f>$B$5</f>
        <v/>
      </c>
      <c r="AH116" s="34">
        <f>$B$5</f>
        <v/>
      </c>
      <c r="AI116" s="34">
        <f>$B$5</f>
        <v/>
      </c>
      <c r="AJ116" s="34">
        <f>$B$5</f>
        <v/>
      </c>
      <c r="AK116" s="34">
        <f>$B$5</f>
        <v/>
      </c>
      <c r="AL116" s="34">
        <f>$B$5</f>
        <v/>
      </c>
      <c r="AM116" s="34">
        <f>$B$5</f>
        <v/>
      </c>
      <c r="AN116" s="34">
        <f>$B$5</f>
        <v/>
      </c>
      <c r="AO116" s="34">
        <f>$B$5</f>
        <v/>
      </c>
      <c r="AP116" s="34">
        <f>$B$5</f>
        <v/>
      </c>
      <c r="AQ116" s="34">
        <f>$B$5</f>
        <v/>
      </c>
      <c r="AR116" s="34">
        <f>$B$5</f>
        <v/>
      </c>
      <c r="AS116" s="34">
        <f>$B$5</f>
        <v/>
      </c>
      <c r="AT116" s="34">
        <f>$B$5</f>
        <v/>
      </c>
      <c r="AU116" s="34">
        <f>$B$5</f>
        <v/>
      </c>
      <c r="AV116" s="34">
        <f>$B$5</f>
        <v/>
      </c>
      <c r="AW116" s="34">
        <f>$B$5</f>
        <v/>
      </c>
      <c r="AX116" s="34">
        <f>$B$5</f>
        <v/>
      </c>
      <c r="AY116" s="34">
        <f>$B$5</f>
        <v/>
      </c>
      <c r="AZ116" s="34">
        <f>$B$5</f>
        <v/>
      </c>
      <c r="BA116" s="34">
        <f>$B$5</f>
        <v/>
      </c>
      <c r="BB116" s="34">
        <f>$B$5</f>
        <v/>
      </c>
      <c r="BC116" s="34">
        <f>$B$5</f>
        <v/>
      </c>
      <c r="BD116" s="34">
        <f>$B$5</f>
        <v/>
      </c>
    </row>
    <row r="117">
      <c r="A117" s="27" t="inlineStr">
        <is>
          <t xml:space="preserve">  room left</t>
        </is>
      </c>
      <c r="E117" s="34">
        <f>$B$5-E114</f>
        <v/>
      </c>
      <c r="F117" s="34">
        <f>$B$5-F114</f>
        <v/>
      </c>
      <c r="G117" s="34">
        <f>$B$5-G114</f>
        <v/>
      </c>
      <c r="H117" s="34">
        <f>$B$5-H114</f>
        <v/>
      </c>
      <c r="I117" s="34">
        <f>$B$5-I114</f>
        <v/>
      </c>
      <c r="J117" s="34">
        <f>$B$5-J114</f>
        <v/>
      </c>
      <c r="K117" s="34">
        <f>$B$5-K114</f>
        <v/>
      </c>
      <c r="L117" s="34">
        <f>$B$5-L114</f>
        <v/>
      </c>
      <c r="M117" s="34">
        <f>$B$5-M114</f>
        <v/>
      </c>
      <c r="N117" s="34">
        <f>$B$5-N114</f>
        <v/>
      </c>
      <c r="O117" s="34">
        <f>$B$5-O114</f>
        <v/>
      </c>
      <c r="P117" s="34">
        <f>$B$5-P114</f>
        <v/>
      </c>
      <c r="Q117" s="34">
        <f>$B$5-Q114</f>
        <v/>
      </c>
      <c r="R117" s="34">
        <f>$B$5-R114</f>
        <v/>
      </c>
      <c r="S117" s="34">
        <f>$B$5-S114</f>
        <v/>
      </c>
      <c r="T117" s="34">
        <f>$B$5-T114</f>
        <v/>
      </c>
      <c r="U117" s="34">
        <f>$B$5-U114</f>
        <v/>
      </c>
      <c r="V117" s="34">
        <f>$B$5-V114</f>
        <v/>
      </c>
      <c r="W117" s="34">
        <f>$B$5-W114</f>
        <v/>
      </c>
      <c r="X117" s="34">
        <f>$B$5-X114</f>
        <v/>
      </c>
      <c r="Y117" s="34">
        <f>$B$5-Y114</f>
        <v/>
      </c>
      <c r="Z117" s="34">
        <f>$B$5-Z114</f>
        <v/>
      </c>
      <c r="AA117" s="34">
        <f>$B$5-AA114</f>
        <v/>
      </c>
      <c r="AB117" s="34">
        <f>$B$5-AB114</f>
        <v/>
      </c>
      <c r="AC117" s="34">
        <f>$B$5-AC114</f>
        <v/>
      </c>
      <c r="AD117" s="34">
        <f>$B$5-AD114</f>
        <v/>
      </c>
      <c r="AE117" s="34">
        <f>$B$5-AE114</f>
        <v/>
      </c>
      <c r="AF117" s="34">
        <f>$B$5-AF114</f>
        <v/>
      </c>
      <c r="AG117" s="34">
        <f>$B$5-AG114</f>
        <v/>
      </c>
      <c r="AH117" s="34">
        <f>$B$5-AH114</f>
        <v/>
      </c>
      <c r="AI117" s="34">
        <f>$B$5-AI114</f>
        <v/>
      </c>
      <c r="AJ117" s="34">
        <f>$B$5-AJ114</f>
        <v/>
      </c>
      <c r="AK117" s="34">
        <f>$B$5-AK114</f>
        <v/>
      </c>
      <c r="AL117" s="34">
        <f>$B$5-AL114</f>
        <v/>
      </c>
      <c r="AM117" s="34">
        <f>$B$5-AM114</f>
        <v/>
      </c>
      <c r="AN117" s="34">
        <f>$B$5-AN114</f>
        <v/>
      </c>
      <c r="AO117" s="34">
        <f>$B$5-AO114</f>
        <v/>
      </c>
      <c r="AP117" s="34">
        <f>$B$5-AP114</f>
        <v/>
      </c>
      <c r="AQ117" s="34">
        <f>$B$5-AQ114</f>
        <v/>
      </c>
      <c r="AR117" s="34">
        <f>$B$5-AR114</f>
        <v/>
      </c>
      <c r="AS117" s="34">
        <f>$B$5-AS114</f>
        <v/>
      </c>
      <c r="AT117" s="34">
        <f>$B$5-AT114</f>
        <v/>
      </c>
      <c r="AU117" s="34">
        <f>$B$5-AU114</f>
        <v/>
      </c>
      <c r="AV117" s="34">
        <f>$B$5-AV114</f>
        <v/>
      </c>
      <c r="AW117" s="34">
        <f>$B$5-AW114</f>
        <v/>
      </c>
      <c r="AX117" s="34">
        <f>$B$5-AX114</f>
        <v/>
      </c>
      <c r="AY117" s="34">
        <f>$B$5-AY114</f>
        <v/>
      </c>
      <c r="AZ117" s="34">
        <f>$B$5-AZ114</f>
        <v/>
      </c>
      <c r="BA117" s="34">
        <f>$B$5-BA114</f>
        <v/>
      </c>
      <c r="BB117" s="34">
        <f>$B$5-BB114</f>
        <v/>
      </c>
      <c r="BC117" s="34">
        <f>$B$5-BC114</f>
        <v/>
      </c>
      <c r="BD117" s="34">
        <f>$B$5-BD114</f>
        <v/>
      </c>
    </row>
    <row r="118">
      <c r="A118" s="2" t="inlineStr">
        <is>
          <t xml:space="preserve">   Acres standing that week, summed across every planting the solver chose.</t>
        </is>
      </c>
    </row>
    <row r="120">
      <c r="A120" s="22" t="inlineStr">
        <is>
          <t>Week</t>
        </is>
      </c>
      <c r="B120" s="33" t="inlineStr">
        <is>
          <t>hours</t>
        </is>
      </c>
      <c r="E120" s="25" t="n">
        <v>1</v>
      </c>
      <c r="F120" s="25" t="n">
        <v>2</v>
      </c>
      <c r="G120" s="25" t="n">
        <v>3</v>
      </c>
      <c r="H120" s="25" t="n">
        <v>4</v>
      </c>
      <c r="I120" s="25" t="n">
        <v>5</v>
      </c>
      <c r="J120" s="25" t="n">
        <v>6</v>
      </c>
      <c r="K120" s="25" t="n">
        <v>7</v>
      </c>
      <c r="L120" s="25" t="n">
        <v>8</v>
      </c>
      <c r="M120" s="25" t="n">
        <v>9</v>
      </c>
      <c r="N120" s="25" t="n">
        <v>10</v>
      </c>
      <c r="O120" s="25" t="n">
        <v>11</v>
      </c>
      <c r="P120" s="25" t="n">
        <v>12</v>
      </c>
      <c r="Q120" s="25" t="n">
        <v>13</v>
      </c>
      <c r="R120" s="25" t="n">
        <v>14</v>
      </c>
      <c r="S120" s="25" t="n">
        <v>15</v>
      </c>
      <c r="T120" s="25" t="n">
        <v>16</v>
      </c>
      <c r="U120" s="25" t="n">
        <v>17</v>
      </c>
      <c r="V120" s="25" t="n">
        <v>18</v>
      </c>
      <c r="W120" s="25" t="n">
        <v>19</v>
      </c>
      <c r="X120" s="25" t="n">
        <v>20</v>
      </c>
      <c r="Y120" s="25" t="n">
        <v>21</v>
      </c>
      <c r="Z120" s="25" t="n">
        <v>22</v>
      </c>
      <c r="AA120" s="25" t="n">
        <v>23</v>
      </c>
      <c r="AB120" s="25" t="n">
        <v>24</v>
      </c>
      <c r="AC120" s="25" t="n">
        <v>25</v>
      </c>
      <c r="AD120" s="25" t="n">
        <v>26</v>
      </c>
      <c r="AE120" s="25" t="n">
        <v>27</v>
      </c>
      <c r="AF120" s="25" t="n">
        <v>28</v>
      </c>
      <c r="AG120" s="25" t="n">
        <v>29</v>
      </c>
      <c r="AH120" s="25" t="n">
        <v>30</v>
      </c>
      <c r="AI120" s="25" t="n">
        <v>31</v>
      </c>
      <c r="AJ120" s="25" t="n">
        <v>32</v>
      </c>
      <c r="AK120" s="25" t="n">
        <v>33</v>
      </c>
      <c r="AL120" s="25" t="n">
        <v>34</v>
      </c>
      <c r="AM120" s="25" t="n">
        <v>35</v>
      </c>
      <c r="AN120" s="25" t="n">
        <v>36</v>
      </c>
      <c r="AO120" s="25" t="n">
        <v>37</v>
      </c>
      <c r="AP120" s="25" t="n">
        <v>38</v>
      </c>
      <c r="AQ120" s="25" t="n">
        <v>39</v>
      </c>
      <c r="AR120" s="25" t="n">
        <v>40</v>
      </c>
      <c r="AS120" s="25" t="n">
        <v>41</v>
      </c>
      <c r="AT120" s="25" t="n">
        <v>42</v>
      </c>
      <c r="AU120" s="25" t="n">
        <v>43</v>
      </c>
      <c r="AV120" s="25" t="n">
        <v>44</v>
      </c>
      <c r="AW120" s="25" t="n">
        <v>45</v>
      </c>
      <c r="AX120" s="25" t="n">
        <v>46</v>
      </c>
      <c r="AY120" s="25" t="n">
        <v>47</v>
      </c>
      <c r="AZ120" s="25" t="n">
        <v>48</v>
      </c>
      <c r="BA120" s="25" t="n">
        <v>49</v>
      </c>
      <c r="BB120" s="25" t="n">
        <v>50</v>
      </c>
      <c r="BC120" s="25" t="n">
        <v>51</v>
      </c>
      <c r="BD120" s="25" t="n">
        <v>52</v>
      </c>
    </row>
    <row r="121">
      <c r="A121" s="4" t="inlineStr">
        <is>
          <t>Crew capacity</t>
        </is>
      </c>
      <c r="B121" s="2" t="inlineStr">
        <is>
          <t>hrs</t>
        </is>
      </c>
      <c r="E121" s="36">
        <f>SUMPRODUCT(($G$27:$G$30&lt;=1)*($H$27:$H$30&gt;=1)*$B$27:$B$30*$E$27:$E$30*$F$27:$F$30/100)</f>
        <v/>
      </c>
      <c r="F121" s="36">
        <f>SUMPRODUCT(($G$27:$G$30&lt;=2)*($H$27:$H$30&gt;=2)*$B$27:$B$30*$E$27:$E$30*$F$27:$F$30/100)</f>
        <v/>
      </c>
      <c r="G121" s="36">
        <f>SUMPRODUCT(($G$27:$G$30&lt;=3)*($H$27:$H$30&gt;=3)*$B$27:$B$30*$E$27:$E$30*$F$27:$F$30/100)</f>
        <v/>
      </c>
      <c r="H121" s="36">
        <f>SUMPRODUCT(($G$27:$G$30&lt;=4)*($H$27:$H$30&gt;=4)*$B$27:$B$30*$E$27:$E$30*$F$27:$F$30/100)</f>
        <v/>
      </c>
      <c r="I121" s="36">
        <f>SUMPRODUCT(($G$27:$G$30&lt;=5)*($H$27:$H$30&gt;=5)*$B$27:$B$30*$E$27:$E$30*$F$27:$F$30/100)</f>
        <v/>
      </c>
      <c r="J121" s="36">
        <f>SUMPRODUCT(($G$27:$G$30&lt;=6)*($H$27:$H$30&gt;=6)*$B$27:$B$30*$E$27:$E$30*$F$27:$F$30/100)</f>
        <v/>
      </c>
      <c r="K121" s="36">
        <f>SUMPRODUCT(($G$27:$G$30&lt;=7)*($H$27:$H$30&gt;=7)*$B$27:$B$30*$E$27:$E$30*$F$27:$F$30/100)</f>
        <v/>
      </c>
      <c r="L121" s="36">
        <f>SUMPRODUCT(($G$27:$G$30&lt;=8)*($H$27:$H$30&gt;=8)*$B$27:$B$30*$E$27:$E$30*$F$27:$F$30/100)</f>
        <v/>
      </c>
      <c r="M121" s="36">
        <f>SUMPRODUCT(($G$27:$G$30&lt;=9)*($H$27:$H$30&gt;=9)*$B$27:$B$30*$E$27:$E$30*$F$27:$F$30/100)</f>
        <v/>
      </c>
      <c r="N121" s="36">
        <f>SUMPRODUCT(($G$27:$G$30&lt;=10)*($H$27:$H$30&gt;=10)*$B$27:$B$30*$E$27:$E$30*$F$27:$F$30/100)</f>
        <v/>
      </c>
      <c r="O121" s="36">
        <f>SUMPRODUCT(($G$27:$G$30&lt;=11)*($H$27:$H$30&gt;=11)*$B$27:$B$30*$E$27:$E$30*$F$27:$F$30/100)</f>
        <v/>
      </c>
      <c r="P121" s="36">
        <f>SUMPRODUCT(($G$27:$G$30&lt;=12)*($H$27:$H$30&gt;=12)*$B$27:$B$30*$E$27:$E$30*$F$27:$F$30/100)</f>
        <v/>
      </c>
      <c r="Q121" s="36">
        <f>SUMPRODUCT(($G$27:$G$30&lt;=13)*($H$27:$H$30&gt;=13)*$B$27:$B$30*$E$27:$E$30*$F$27:$F$30/100)</f>
        <v/>
      </c>
      <c r="R121" s="36">
        <f>SUMPRODUCT(($G$27:$G$30&lt;=14)*($H$27:$H$30&gt;=14)*$B$27:$B$30*$E$27:$E$30*$F$27:$F$30/100)</f>
        <v/>
      </c>
      <c r="S121" s="36">
        <f>SUMPRODUCT(($G$27:$G$30&lt;=15)*($H$27:$H$30&gt;=15)*$B$27:$B$30*$E$27:$E$30*$F$27:$F$30/100)</f>
        <v/>
      </c>
      <c r="T121" s="36">
        <f>SUMPRODUCT(($G$27:$G$30&lt;=16)*($H$27:$H$30&gt;=16)*$B$27:$B$30*$E$27:$E$30*$F$27:$F$30/100)</f>
        <v/>
      </c>
      <c r="U121" s="36">
        <f>SUMPRODUCT(($G$27:$G$30&lt;=17)*($H$27:$H$30&gt;=17)*$B$27:$B$30*$E$27:$E$30*$F$27:$F$30/100)</f>
        <v/>
      </c>
      <c r="V121" s="36">
        <f>SUMPRODUCT(($G$27:$G$30&lt;=18)*($H$27:$H$30&gt;=18)*$B$27:$B$30*$E$27:$E$30*$F$27:$F$30/100)</f>
        <v/>
      </c>
      <c r="W121" s="36">
        <f>SUMPRODUCT(($G$27:$G$30&lt;=19)*($H$27:$H$30&gt;=19)*$B$27:$B$30*$E$27:$E$30*$F$27:$F$30/100)</f>
        <v/>
      </c>
      <c r="X121" s="36">
        <f>SUMPRODUCT(($G$27:$G$30&lt;=20)*($H$27:$H$30&gt;=20)*$B$27:$B$30*$E$27:$E$30*$F$27:$F$30/100)</f>
        <v/>
      </c>
      <c r="Y121" s="36">
        <f>SUMPRODUCT(($G$27:$G$30&lt;=21)*($H$27:$H$30&gt;=21)*$B$27:$B$30*$E$27:$E$30*$F$27:$F$30/100)</f>
        <v/>
      </c>
      <c r="Z121" s="36">
        <f>SUMPRODUCT(($G$27:$G$30&lt;=22)*($H$27:$H$30&gt;=22)*$B$27:$B$30*$E$27:$E$30*$F$27:$F$30/100)</f>
        <v/>
      </c>
      <c r="AA121" s="36">
        <f>SUMPRODUCT(($G$27:$G$30&lt;=23)*($H$27:$H$30&gt;=23)*$B$27:$B$30*$E$27:$E$30*$F$27:$F$30/100)</f>
        <v/>
      </c>
      <c r="AB121" s="36">
        <f>SUMPRODUCT(($G$27:$G$30&lt;=24)*($H$27:$H$30&gt;=24)*$B$27:$B$30*$E$27:$E$30*$F$27:$F$30/100)</f>
        <v/>
      </c>
      <c r="AC121" s="36">
        <f>SUMPRODUCT(($G$27:$G$30&lt;=25)*($H$27:$H$30&gt;=25)*$B$27:$B$30*$E$27:$E$30*$F$27:$F$30/100)</f>
        <v/>
      </c>
      <c r="AD121" s="36">
        <f>SUMPRODUCT(($G$27:$G$30&lt;=26)*($H$27:$H$30&gt;=26)*$B$27:$B$30*$E$27:$E$30*$F$27:$F$30/100)</f>
        <v/>
      </c>
      <c r="AE121" s="36">
        <f>SUMPRODUCT(($G$27:$G$30&lt;=27)*($H$27:$H$30&gt;=27)*$B$27:$B$30*$E$27:$E$30*$F$27:$F$30/100)</f>
        <v/>
      </c>
      <c r="AF121" s="36">
        <f>SUMPRODUCT(($G$27:$G$30&lt;=28)*($H$27:$H$30&gt;=28)*$B$27:$B$30*$E$27:$E$30*$F$27:$F$30/100)</f>
        <v/>
      </c>
      <c r="AG121" s="36">
        <f>SUMPRODUCT(($G$27:$G$30&lt;=29)*($H$27:$H$30&gt;=29)*$B$27:$B$30*$E$27:$E$30*$F$27:$F$30/100)</f>
        <v/>
      </c>
      <c r="AH121" s="36">
        <f>SUMPRODUCT(($G$27:$G$30&lt;=30)*($H$27:$H$30&gt;=30)*$B$27:$B$30*$E$27:$E$30*$F$27:$F$30/100)</f>
        <v/>
      </c>
      <c r="AI121" s="36">
        <f>SUMPRODUCT(($G$27:$G$30&lt;=31)*($H$27:$H$30&gt;=31)*$B$27:$B$30*$E$27:$E$30*$F$27:$F$30/100)</f>
        <v/>
      </c>
      <c r="AJ121" s="36">
        <f>SUMPRODUCT(($G$27:$G$30&lt;=32)*($H$27:$H$30&gt;=32)*$B$27:$B$30*$E$27:$E$30*$F$27:$F$30/100)</f>
        <v/>
      </c>
      <c r="AK121" s="36">
        <f>SUMPRODUCT(($G$27:$G$30&lt;=33)*($H$27:$H$30&gt;=33)*$B$27:$B$30*$E$27:$E$30*$F$27:$F$30/100)</f>
        <v/>
      </c>
      <c r="AL121" s="36">
        <f>SUMPRODUCT(($G$27:$G$30&lt;=34)*($H$27:$H$30&gt;=34)*$B$27:$B$30*$E$27:$E$30*$F$27:$F$30/100)</f>
        <v/>
      </c>
      <c r="AM121" s="36">
        <f>SUMPRODUCT(($G$27:$G$30&lt;=35)*($H$27:$H$30&gt;=35)*$B$27:$B$30*$E$27:$E$30*$F$27:$F$30/100)</f>
        <v/>
      </c>
      <c r="AN121" s="36">
        <f>SUMPRODUCT(($G$27:$G$30&lt;=36)*($H$27:$H$30&gt;=36)*$B$27:$B$30*$E$27:$E$30*$F$27:$F$30/100)</f>
        <v/>
      </c>
      <c r="AO121" s="36">
        <f>SUMPRODUCT(($G$27:$G$30&lt;=37)*($H$27:$H$30&gt;=37)*$B$27:$B$30*$E$27:$E$30*$F$27:$F$30/100)</f>
        <v/>
      </c>
      <c r="AP121" s="36">
        <f>SUMPRODUCT(($G$27:$G$30&lt;=38)*($H$27:$H$30&gt;=38)*$B$27:$B$30*$E$27:$E$30*$F$27:$F$30/100)</f>
        <v/>
      </c>
      <c r="AQ121" s="36">
        <f>SUMPRODUCT(($G$27:$G$30&lt;=39)*($H$27:$H$30&gt;=39)*$B$27:$B$30*$E$27:$E$30*$F$27:$F$30/100)</f>
        <v/>
      </c>
      <c r="AR121" s="36">
        <f>SUMPRODUCT(($G$27:$G$30&lt;=40)*($H$27:$H$30&gt;=40)*$B$27:$B$30*$E$27:$E$30*$F$27:$F$30/100)</f>
        <v/>
      </c>
      <c r="AS121" s="36">
        <f>SUMPRODUCT(($G$27:$G$30&lt;=41)*($H$27:$H$30&gt;=41)*$B$27:$B$30*$E$27:$E$30*$F$27:$F$30/100)</f>
        <v/>
      </c>
      <c r="AT121" s="36">
        <f>SUMPRODUCT(($G$27:$G$30&lt;=42)*($H$27:$H$30&gt;=42)*$B$27:$B$30*$E$27:$E$30*$F$27:$F$30/100)</f>
        <v/>
      </c>
      <c r="AU121" s="36">
        <f>SUMPRODUCT(($G$27:$G$30&lt;=43)*($H$27:$H$30&gt;=43)*$B$27:$B$30*$E$27:$E$30*$F$27:$F$30/100)</f>
        <v/>
      </c>
      <c r="AV121" s="36">
        <f>SUMPRODUCT(($G$27:$G$30&lt;=44)*($H$27:$H$30&gt;=44)*$B$27:$B$30*$E$27:$E$30*$F$27:$F$30/100)</f>
        <v/>
      </c>
      <c r="AW121" s="36">
        <f>SUMPRODUCT(($G$27:$G$30&lt;=45)*($H$27:$H$30&gt;=45)*$B$27:$B$30*$E$27:$E$30*$F$27:$F$30/100)</f>
        <v/>
      </c>
      <c r="AX121" s="36">
        <f>SUMPRODUCT(($G$27:$G$30&lt;=46)*($H$27:$H$30&gt;=46)*$B$27:$B$30*$E$27:$E$30*$F$27:$F$30/100)</f>
        <v/>
      </c>
      <c r="AY121" s="36">
        <f>SUMPRODUCT(($G$27:$G$30&lt;=47)*($H$27:$H$30&gt;=47)*$B$27:$B$30*$E$27:$E$30*$F$27:$F$30/100)</f>
        <v/>
      </c>
      <c r="AZ121" s="36">
        <f>SUMPRODUCT(($G$27:$G$30&lt;=48)*($H$27:$H$30&gt;=48)*$B$27:$B$30*$E$27:$E$30*$F$27:$F$30/100)</f>
        <v/>
      </c>
      <c r="BA121" s="36">
        <f>SUMPRODUCT(($G$27:$G$30&lt;=49)*($H$27:$H$30&gt;=49)*$B$27:$B$30*$E$27:$E$30*$F$27:$F$30/100)</f>
        <v/>
      </c>
      <c r="BB121" s="36">
        <f>SUMPRODUCT(($G$27:$G$30&lt;=50)*($H$27:$H$30&gt;=50)*$B$27:$B$30*$E$27:$E$30*$F$27:$F$30/100)</f>
        <v/>
      </c>
      <c r="BC121" s="36">
        <f>SUMPRODUCT(($G$27:$G$30&lt;=51)*($H$27:$H$30&gt;=51)*$B$27:$B$30*$E$27:$E$30*$F$27:$F$30/100)</f>
        <v/>
      </c>
      <c r="BD121" s="36">
        <f>SUMPRODUCT(($G$27:$G$30&lt;=52)*($H$27:$H$30&gt;=52)*$B$27:$B$30*$E$27:$E$30*$F$27:$F$30/100)</f>
        <v/>
      </c>
    </row>
    <row r="122">
      <c r="A122" s="4" t="inlineStr">
        <is>
          <t>Wage bill this week</t>
        </is>
      </c>
      <c r="B122" s="2" t="inlineStr">
        <is>
          <t>$</t>
        </is>
      </c>
      <c r="E122" s="36">
        <f>SUMPRODUCT(($G$27:$G$30&lt;=1)*($H$27:$H$30&gt;=1)*$B$27:$B$30*IF($C$27:$C$30="salary",$D$27:$D$30/52*(1+$B$31),$D$27:$D$30*$E$27:$E$30*(1+$B$31)))</f>
        <v/>
      </c>
      <c r="F122" s="36">
        <f>SUMPRODUCT(($G$27:$G$30&lt;=2)*($H$27:$H$30&gt;=2)*$B$27:$B$30*IF($C$27:$C$30="salary",$D$27:$D$30/52*(1+$B$31),$D$27:$D$30*$E$27:$E$30*(1+$B$31)))</f>
        <v/>
      </c>
      <c r="G122" s="36">
        <f>SUMPRODUCT(($G$27:$G$30&lt;=3)*($H$27:$H$30&gt;=3)*$B$27:$B$30*IF($C$27:$C$30="salary",$D$27:$D$30/52*(1+$B$31),$D$27:$D$30*$E$27:$E$30*(1+$B$31)))</f>
        <v/>
      </c>
      <c r="H122" s="36">
        <f>SUMPRODUCT(($G$27:$G$30&lt;=4)*($H$27:$H$30&gt;=4)*$B$27:$B$30*IF($C$27:$C$30="salary",$D$27:$D$30/52*(1+$B$31),$D$27:$D$30*$E$27:$E$30*(1+$B$31)))</f>
        <v/>
      </c>
      <c r="I122" s="36">
        <f>SUMPRODUCT(($G$27:$G$30&lt;=5)*($H$27:$H$30&gt;=5)*$B$27:$B$30*IF($C$27:$C$30="salary",$D$27:$D$30/52*(1+$B$31),$D$27:$D$30*$E$27:$E$30*(1+$B$31)))</f>
        <v/>
      </c>
      <c r="J122" s="36">
        <f>SUMPRODUCT(($G$27:$G$30&lt;=6)*($H$27:$H$30&gt;=6)*$B$27:$B$30*IF($C$27:$C$30="salary",$D$27:$D$30/52*(1+$B$31),$D$27:$D$30*$E$27:$E$30*(1+$B$31)))</f>
        <v/>
      </c>
      <c r="K122" s="36">
        <f>SUMPRODUCT(($G$27:$G$30&lt;=7)*($H$27:$H$30&gt;=7)*$B$27:$B$30*IF($C$27:$C$30="salary",$D$27:$D$30/52*(1+$B$31),$D$27:$D$30*$E$27:$E$30*(1+$B$31)))</f>
        <v/>
      </c>
      <c r="L122" s="36">
        <f>SUMPRODUCT(($G$27:$G$30&lt;=8)*($H$27:$H$30&gt;=8)*$B$27:$B$30*IF($C$27:$C$30="salary",$D$27:$D$30/52*(1+$B$31),$D$27:$D$30*$E$27:$E$30*(1+$B$31)))</f>
        <v/>
      </c>
      <c r="M122" s="36">
        <f>SUMPRODUCT(($G$27:$G$30&lt;=9)*($H$27:$H$30&gt;=9)*$B$27:$B$30*IF($C$27:$C$30="salary",$D$27:$D$30/52*(1+$B$31),$D$27:$D$30*$E$27:$E$30*(1+$B$31)))</f>
        <v/>
      </c>
      <c r="N122" s="36">
        <f>SUMPRODUCT(($G$27:$G$30&lt;=10)*($H$27:$H$30&gt;=10)*$B$27:$B$30*IF($C$27:$C$30="salary",$D$27:$D$30/52*(1+$B$31),$D$27:$D$30*$E$27:$E$30*(1+$B$31)))</f>
        <v/>
      </c>
      <c r="O122" s="36">
        <f>SUMPRODUCT(($G$27:$G$30&lt;=11)*($H$27:$H$30&gt;=11)*$B$27:$B$30*IF($C$27:$C$30="salary",$D$27:$D$30/52*(1+$B$31),$D$27:$D$30*$E$27:$E$30*(1+$B$31)))</f>
        <v/>
      </c>
      <c r="P122" s="36">
        <f>SUMPRODUCT(($G$27:$G$30&lt;=12)*($H$27:$H$30&gt;=12)*$B$27:$B$30*IF($C$27:$C$30="salary",$D$27:$D$30/52*(1+$B$31),$D$27:$D$30*$E$27:$E$30*(1+$B$31)))</f>
        <v/>
      </c>
      <c r="Q122" s="36">
        <f>SUMPRODUCT(($G$27:$G$30&lt;=13)*($H$27:$H$30&gt;=13)*$B$27:$B$30*IF($C$27:$C$30="salary",$D$27:$D$30/52*(1+$B$31),$D$27:$D$30*$E$27:$E$30*(1+$B$31)))</f>
        <v/>
      </c>
      <c r="R122" s="36">
        <f>SUMPRODUCT(($G$27:$G$30&lt;=14)*($H$27:$H$30&gt;=14)*$B$27:$B$30*IF($C$27:$C$30="salary",$D$27:$D$30/52*(1+$B$31),$D$27:$D$30*$E$27:$E$30*(1+$B$31)))</f>
        <v/>
      </c>
      <c r="S122" s="36">
        <f>SUMPRODUCT(($G$27:$G$30&lt;=15)*($H$27:$H$30&gt;=15)*$B$27:$B$30*IF($C$27:$C$30="salary",$D$27:$D$30/52*(1+$B$31),$D$27:$D$30*$E$27:$E$30*(1+$B$31)))</f>
        <v/>
      </c>
      <c r="T122" s="36">
        <f>SUMPRODUCT(($G$27:$G$30&lt;=16)*($H$27:$H$30&gt;=16)*$B$27:$B$30*IF($C$27:$C$30="salary",$D$27:$D$30/52*(1+$B$31),$D$27:$D$30*$E$27:$E$30*(1+$B$31)))</f>
        <v/>
      </c>
      <c r="U122" s="36">
        <f>SUMPRODUCT(($G$27:$G$30&lt;=17)*($H$27:$H$30&gt;=17)*$B$27:$B$30*IF($C$27:$C$30="salary",$D$27:$D$30/52*(1+$B$31),$D$27:$D$30*$E$27:$E$30*(1+$B$31)))</f>
        <v/>
      </c>
      <c r="V122" s="36">
        <f>SUMPRODUCT(($G$27:$G$30&lt;=18)*($H$27:$H$30&gt;=18)*$B$27:$B$30*IF($C$27:$C$30="salary",$D$27:$D$30/52*(1+$B$31),$D$27:$D$30*$E$27:$E$30*(1+$B$31)))</f>
        <v/>
      </c>
      <c r="W122" s="36">
        <f>SUMPRODUCT(($G$27:$G$30&lt;=19)*($H$27:$H$30&gt;=19)*$B$27:$B$30*IF($C$27:$C$30="salary",$D$27:$D$30/52*(1+$B$31),$D$27:$D$30*$E$27:$E$30*(1+$B$31)))</f>
        <v/>
      </c>
      <c r="X122" s="36">
        <f>SUMPRODUCT(($G$27:$G$30&lt;=20)*($H$27:$H$30&gt;=20)*$B$27:$B$30*IF($C$27:$C$30="salary",$D$27:$D$30/52*(1+$B$31),$D$27:$D$30*$E$27:$E$30*(1+$B$31)))</f>
        <v/>
      </c>
      <c r="Y122" s="36">
        <f>SUMPRODUCT(($G$27:$G$30&lt;=21)*($H$27:$H$30&gt;=21)*$B$27:$B$30*IF($C$27:$C$30="salary",$D$27:$D$30/52*(1+$B$31),$D$27:$D$30*$E$27:$E$30*(1+$B$31)))</f>
        <v/>
      </c>
      <c r="Z122" s="36">
        <f>SUMPRODUCT(($G$27:$G$30&lt;=22)*($H$27:$H$30&gt;=22)*$B$27:$B$30*IF($C$27:$C$30="salary",$D$27:$D$30/52*(1+$B$31),$D$27:$D$30*$E$27:$E$30*(1+$B$31)))</f>
        <v/>
      </c>
      <c r="AA122" s="36">
        <f>SUMPRODUCT(($G$27:$G$30&lt;=23)*($H$27:$H$30&gt;=23)*$B$27:$B$30*IF($C$27:$C$30="salary",$D$27:$D$30/52*(1+$B$31),$D$27:$D$30*$E$27:$E$30*(1+$B$31)))</f>
        <v/>
      </c>
      <c r="AB122" s="36">
        <f>SUMPRODUCT(($G$27:$G$30&lt;=24)*($H$27:$H$30&gt;=24)*$B$27:$B$30*IF($C$27:$C$30="salary",$D$27:$D$30/52*(1+$B$31),$D$27:$D$30*$E$27:$E$30*(1+$B$31)))</f>
        <v/>
      </c>
      <c r="AC122" s="36">
        <f>SUMPRODUCT(($G$27:$G$30&lt;=25)*($H$27:$H$30&gt;=25)*$B$27:$B$30*IF($C$27:$C$30="salary",$D$27:$D$30/52*(1+$B$31),$D$27:$D$30*$E$27:$E$30*(1+$B$31)))</f>
        <v/>
      </c>
      <c r="AD122" s="36">
        <f>SUMPRODUCT(($G$27:$G$30&lt;=26)*($H$27:$H$30&gt;=26)*$B$27:$B$30*IF($C$27:$C$30="salary",$D$27:$D$30/52*(1+$B$31),$D$27:$D$30*$E$27:$E$30*(1+$B$31)))</f>
        <v/>
      </c>
      <c r="AE122" s="36">
        <f>SUMPRODUCT(($G$27:$G$30&lt;=27)*($H$27:$H$30&gt;=27)*$B$27:$B$30*IF($C$27:$C$30="salary",$D$27:$D$30/52*(1+$B$31),$D$27:$D$30*$E$27:$E$30*(1+$B$31)))</f>
        <v/>
      </c>
      <c r="AF122" s="36">
        <f>SUMPRODUCT(($G$27:$G$30&lt;=28)*($H$27:$H$30&gt;=28)*$B$27:$B$30*IF($C$27:$C$30="salary",$D$27:$D$30/52*(1+$B$31),$D$27:$D$30*$E$27:$E$30*(1+$B$31)))</f>
        <v/>
      </c>
      <c r="AG122" s="36">
        <f>SUMPRODUCT(($G$27:$G$30&lt;=29)*($H$27:$H$30&gt;=29)*$B$27:$B$30*IF($C$27:$C$30="salary",$D$27:$D$30/52*(1+$B$31),$D$27:$D$30*$E$27:$E$30*(1+$B$31)))</f>
        <v/>
      </c>
      <c r="AH122" s="36">
        <f>SUMPRODUCT(($G$27:$G$30&lt;=30)*($H$27:$H$30&gt;=30)*$B$27:$B$30*IF($C$27:$C$30="salary",$D$27:$D$30/52*(1+$B$31),$D$27:$D$30*$E$27:$E$30*(1+$B$31)))</f>
        <v/>
      </c>
      <c r="AI122" s="36">
        <f>SUMPRODUCT(($G$27:$G$30&lt;=31)*($H$27:$H$30&gt;=31)*$B$27:$B$30*IF($C$27:$C$30="salary",$D$27:$D$30/52*(1+$B$31),$D$27:$D$30*$E$27:$E$30*(1+$B$31)))</f>
        <v/>
      </c>
      <c r="AJ122" s="36">
        <f>SUMPRODUCT(($G$27:$G$30&lt;=32)*($H$27:$H$30&gt;=32)*$B$27:$B$30*IF($C$27:$C$30="salary",$D$27:$D$30/52*(1+$B$31),$D$27:$D$30*$E$27:$E$30*(1+$B$31)))</f>
        <v/>
      </c>
      <c r="AK122" s="36">
        <f>SUMPRODUCT(($G$27:$G$30&lt;=33)*($H$27:$H$30&gt;=33)*$B$27:$B$30*IF($C$27:$C$30="salary",$D$27:$D$30/52*(1+$B$31),$D$27:$D$30*$E$27:$E$30*(1+$B$31)))</f>
        <v/>
      </c>
      <c r="AL122" s="36">
        <f>SUMPRODUCT(($G$27:$G$30&lt;=34)*($H$27:$H$30&gt;=34)*$B$27:$B$30*IF($C$27:$C$30="salary",$D$27:$D$30/52*(1+$B$31),$D$27:$D$30*$E$27:$E$30*(1+$B$31)))</f>
        <v/>
      </c>
      <c r="AM122" s="36">
        <f>SUMPRODUCT(($G$27:$G$30&lt;=35)*($H$27:$H$30&gt;=35)*$B$27:$B$30*IF($C$27:$C$30="salary",$D$27:$D$30/52*(1+$B$31),$D$27:$D$30*$E$27:$E$30*(1+$B$31)))</f>
        <v/>
      </c>
      <c r="AN122" s="36">
        <f>SUMPRODUCT(($G$27:$G$30&lt;=36)*($H$27:$H$30&gt;=36)*$B$27:$B$30*IF($C$27:$C$30="salary",$D$27:$D$30/52*(1+$B$31),$D$27:$D$30*$E$27:$E$30*(1+$B$31)))</f>
        <v/>
      </c>
      <c r="AO122" s="36">
        <f>SUMPRODUCT(($G$27:$G$30&lt;=37)*($H$27:$H$30&gt;=37)*$B$27:$B$30*IF($C$27:$C$30="salary",$D$27:$D$30/52*(1+$B$31),$D$27:$D$30*$E$27:$E$30*(1+$B$31)))</f>
        <v/>
      </c>
      <c r="AP122" s="36">
        <f>SUMPRODUCT(($G$27:$G$30&lt;=38)*($H$27:$H$30&gt;=38)*$B$27:$B$30*IF($C$27:$C$30="salary",$D$27:$D$30/52*(1+$B$31),$D$27:$D$30*$E$27:$E$30*(1+$B$31)))</f>
        <v/>
      </c>
      <c r="AQ122" s="36">
        <f>SUMPRODUCT(($G$27:$G$30&lt;=39)*($H$27:$H$30&gt;=39)*$B$27:$B$30*IF($C$27:$C$30="salary",$D$27:$D$30/52*(1+$B$31),$D$27:$D$30*$E$27:$E$30*(1+$B$31)))</f>
        <v/>
      </c>
      <c r="AR122" s="36">
        <f>SUMPRODUCT(($G$27:$G$30&lt;=40)*($H$27:$H$30&gt;=40)*$B$27:$B$30*IF($C$27:$C$30="salary",$D$27:$D$30/52*(1+$B$31),$D$27:$D$30*$E$27:$E$30*(1+$B$31)))</f>
        <v/>
      </c>
      <c r="AS122" s="36">
        <f>SUMPRODUCT(($G$27:$G$30&lt;=41)*($H$27:$H$30&gt;=41)*$B$27:$B$30*IF($C$27:$C$30="salary",$D$27:$D$30/52*(1+$B$31),$D$27:$D$30*$E$27:$E$30*(1+$B$31)))</f>
        <v/>
      </c>
      <c r="AT122" s="36">
        <f>SUMPRODUCT(($G$27:$G$30&lt;=42)*($H$27:$H$30&gt;=42)*$B$27:$B$30*IF($C$27:$C$30="salary",$D$27:$D$30/52*(1+$B$31),$D$27:$D$30*$E$27:$E$30*(1+$B$31)))</f>
        <v/>
      </c>
      <c r="AU122" s="36">
        <f>SUMPRODUCT(($G$27:$G$30&lt;=43)*($H$27:$H$30&gt;=43)*$B$27:$B$30*IF($C$27:$C$30="salary",$D$27:$D$30/52*(1+$B$31),$D$27:$D$30*$E$27:$E$30*(1+$B$31)))</f>
        <v/>
      </c>
      <c r="AV122" s="36">
        <f>SUMPRODUCT(($G$27:$G$30&lt;=44)*($H$27:$H$30&gt;=44)*$B$27:$B$30*IF($C$27:$C$30="salary",$D$27:$D$30/52*(1+$B$31),$D$27:$D$30*$E$27:$E$30*(1+$B$31)))</f>
        <v/>
      </c>
      <c r="AW122" s="36">
        <f>SUMPRODUCT(($G$27:$G$30&lt;=45)*($H$27:$H$30&gt;=45)*$B$27:$B$30*IF($C$27:$C$30="salary",$D$27:$D$30/52*(1+$B$31),$D$27:$D$30*$E$27:$E$30*(1+$B$31)))</f>
        <v/>
      </c>
      <c r="AX122" s="36">
        <f>SUMPRODUCT(($G$27:$G$30&lt;=46)*($H$27:$H$30&gt;=46)*$B$27:$B$30*IF($C$27:$C$30="salary",$D$27:$D$30/52*(1+$B$31),$D$27:$D$30*$E$27:$E$30*(1+$B$31)))</f>
        <v/>
      </c>
      <c r="AY122" s="36">
        <f>SUMPRODUCT(($G$27:$G$30&lt;=47)*($H$27:$H$30&gt;=47)*$B$27:$B$30*IF($C$27:$C$30="salary",$D$27:$D$30/52*(1+$B$31),$D$27:$D$30*$E$27:$E$30*(1+$B$31)))</f>
        <v/>
      </c>
      <c r="AZ122" s="36">
        <f>SUMPRODUCT(($G$27:$G$30&lt;=48)*($H$27:$H$30&gt;=48)*$B$27:$B$30*IF($C$27:$C$30="salary",$D$27:$D$30/52*(1+$B$31),$D$27:$D$30*$E$27:$E$30*(1+$B$31)))</f>
        <v/>
      </c>
      <c r="BA122" s="36">
        <f>SUMPRODUCT(($G$27:$G$30&lt;=49)*($H$27:$H$30&gt;=49)*$B$27:$B$30*IF($C$27:$C$30="salary",$D$27:$D$30/52*(1+$B$31),$D$27:$D$30*$E$27:$E$30*(1+$B$31)))</f>
        <v/>
      </c>
      <c r="BB122" s="36">
        <f>SUMPRODUCT(($G$27:$G$30&lt;=50)*($H$27:$H$30&gt;=50)*$B$27:$B$30*IF($C$27:$C$30="salary",$D$27:$D$30/52*(1+$B$31),$D$27:$D$30*$E$27:$E$30*(1+$B$31)))</f>
        <v/>
      </c>
      <c r="BC122" s="36">
        <f>SUMPRODUCT(($G$27:$G$30&lt;=51)*($H$27:$H$30&gt;=51)*$B$27:$B$30*IF($C$27:$C$30="salary",$D$27:$D$30/52*(1+$B$31),$D$27:$D$30*$E$27:$E$30*(1+$B$31)))</f>
        <v/>
      </c>
      <c r="BD122" s="36">
        <f>SUMPRODUCT(($G$27:$G$30&lt;=52)*($H$27:$H$30&gt;=52)*$B$27:$B$30*IF($C$27:$C$30="salary",$D$27:$D$30/52*(1+$B$31),$D$27:$D$30*$E$27:$E$30*(1+$B$31)))</f>
        <v/>
      </c>
    </row>
    <row r="123">
      <c r="A123" s="2" t="inlineStr">
        <is>
          <t xml:space="preserve">   The wage bill has a SHAPE. Flattening it to an annual average understated the app's own cash floor by $115,615.</t>
        </is>
      </c>
    </row>
    <row r="125">
      <c r="A125" s="22" t="inlineStr">
        <is>
          <t>Week</t>
        </is>
      </c>
      <c r="B125" s="33" t="inlineStr">
        <is>
          <t>$/hr</t>
        </is>
      </c>
      <c r="E125" s="25" t="n">
        <v>1</v>
      </c>
      <c r="F125" s="25" t="n">
        <v>2</v>
      </c>
      <c r="G125" s="25" t="n">
        <v>3</v>
      </c>
      <c r="H125" s="25" t="n">
        <v>4</v>
      </c>
      <c r="I125" s="25" t="n">
        <v>5</v>
      </c>
      <c r="J125" s="25" t="n">
        <v>6</v>
      </c>
      <c r="K125" s="25" t="n">
        <v>7</v>
      </c>
      <c r="L125" s="25" t="n">
        <v>8</v>
      </c>
      <c r="M125" s="25" t="n">
        <v>9</v>
      </c>
      <c r="N125" s="25" t="n">
        <v>10</v>
      </c>
      <c r="O125" s="25" t="n">
        <v>11</v>
      </c>
      <c r="P125" s="25" t="n">
        <v>12</v>
      </c>
      <c r="Q125" s="25" t="n">
        <v>13</v>
      </c>
      <c r="R125" s="25" t="n">
        <v>14</v>
      </c>
      <c r="S125" s="25" t="n">
        <v>15</v>
      </c>
      <c r="T125" s="25" t="n">
        <v>16</v>
      </c>
      <c r="U125" s="25" t="n">
        <v>17</v>
      </c>
      <c r="V125" s="25" t="n">
        <v>18</v>
      </c>
      <c r="W125" s="25" t="n">
        <v>19</v>
      </c>
      <c r="X125" s="25" t="n">
        <v>20</v>
      </c>
      <c r="Y125" s="25" t="n">
        <v>21</v>
      </c>
      <c r="Z125" s="25" t="n">
        <v>22</v>
      </c>
      <c r="AA125" s="25" t="n">
        <v>23</v>
      </c>
      <c r="AB125" s="25" t="n">
        <v>24</v>
      </c>
      <c r="AC125" s="25" t="n">
        <v>25</v>
      </c>
      <c r="AD125" s="25" t="n">
        <v>26</v>
      </c>
      <c r="AE125" s="25" t="n">
        <v>27</v>
      </c>
      <c r="AF125" s="25" t="n">
        <v>28</v>
      </c>
      <c r="AG125" s="25" t="n">
        <v>29</v>
      </c>
      <c r="AH125" s="25" t="n">
        <v>30</v>
      </c>
      <c r="AI125" s="25" t="n">
        <v>31</v>
      </c>
      <c r="AJ125" s="25" t="n">
        <v>32</v>
      </c>
      <c r="AK125" s="25" t="n">
        <v>33</v>
      </c>
      <c r="AL125" s="25" t="n">
        <v>34</v>
      </c>
      <c r="AM125" s="25" t="n">
        <v>35</v>
      </c>
      <c r="AN125" s="25" t="n">
        <v>36</v>
      </c>
      <c r="AO125" s="25" t="n">
        <v>37</v>
      </c>
      <c r="AP125" s="25" t="n">
        <v>38</v>
      </c>
      <c r="AQ125" s="25" t="n">
        <v>39</v>
      </c>
      <c r="AR125" s="25" t="n">
        <v>40</v>
      </c>
      <c r="AS125" s="25" t="n">
        <v>41</v>
      </c>
      <c r="AT125" s="25" t="n">
        <v>42</v>
      </c>
      <c r="AU125" s="25" t="n">
        <v>43</v>
      </c>
      <c r="AV125" s="25" t="n">
        <v>44</v>
      </c>
      <c r="AW125" s="25" t="n">
        <v>45</v>
      </c>
      <c r="AX125" s="25" t="n">
        <v>46</v>
      </c>
      <c r="AY125" s="25" t="n">
        <v>47</v>
      </c>
      <c r="AZ125" s="25" t="n">
        <v>48</v>
      </c>
      <c r="BA125" s="25" t="n">
        <v>49</v>
      </c>
      <c r="BB125" s="25" t="n">
        <v>50</v>
      </c>
      <c r="BC125" s="25" t="n">
        <v>51</v>
      </c>
      <c r="BD125" s="25" t="n">
        <v>52</v>
      </c>
    </row>
    <row r="126">
      <c r="A126" s="27" t="inlineStr">
        <is>
          <t>Overtime rate</t>
        </is>
      </c>
      <c r="B126" s="2" t="inlineStr">
        <is>
          <t>$/hr</t>
        </is>
      </c>
      <c r="E126" s="37">
        <f>IFERROR(SUMPRODUCT(($C$27:$C$30&lt;&gt;"salary")*($D$27:$D$30&gt;0)*($G$27:$G$30&lt;=1)*($H$27:$H$30&gt;=1)*$B$27:$B$30*$E$27:$E$30*$D$27:$D$30)/SUMPRODUCT(($C$27:$C$30&lt;&gt;"salary")*($D$27:$D$30&gt;0)*($G$27:$G$30&lt;=1)*($H$27:$H$30&gt;=1)*$B$27:$B$30*$E$27:$E$30)*(1+$B$31)*$B$32,0)</f>
        <v/>
      </c>
      <c r="F126" s="37">
        <f>IFERROR(SUMPRODUCT(($C$27:$C$30&lt;&gt;"salary")*($D$27:$D$30&gt;0)*($G$27:$G$30&lt;=2)*($H$27:$H$30&gt;=2)*$B$27:$B$30*$E$27:$E$30*$D$27:$D$30)/SUMPRODUCT(($C$27:$C$30&lt;&gt;"salary")*($D$27:$D$30&gt;0)*($G$27:$G$30&lt;=2)*($H$27:$H$30&gt;=2)*$B$27:$B$30*$E$27:$E$30)*(1+$B$31)*$B$32,0)</f>
        <v/>
      </c>
      <c r="G126" s="37">
        <f>IFERROR(SUMPRODUCT(($C$27:$C$30&lt;&gt;"salary")*($D$27:$D$30&gt;0)*($G$27:$G$30&lt;=3)*($H$27:$H$30&gt;=3)*$B$27:$B$30*$E$27:$E$30*$D$27:$D$30)/SUMPRODUCT(($C$27:$C$30&lt;&gt;"salary")*($D$27:$D$30&gt;0)*($G$27:$G$30&lt;=3)*($H$27:$H$30&gt;=3)*$B$27:$B$30*$E$27:$E$30)*(1+$B$31)*$B$32,0)</f>
        <v/>
      </c>
      <c r="H126" s="37">
        <f>IFERROR(SUMPRODUCT(($C$27:$C$30&lt;&gt;"salary")*($D$27:$D$30&gt;0)*($G$27:$G$30&lt;=4)*($H$27:$H$30&gt;=4)*$B$27:$B$30*$E$27:$E$30*$D$27:$D$30)/SUMPRODUCT(($C$27:$C$30&lt;&gt;"salary")*($D$27:$D$30&gt;0)*($G$27:$G$30&lt;=4)*($H$27:$H$30&gt;=4)*$B$27:$B$30*$E$27:$E$30)*(1+$B$31)*$B$32,0)</f>
        <v/>
      </c>
      <c r="I126" s="37">
        <f>IFERROR(SUMPRODUCT(($C$27:$C$30&lt;&gt;"salary")*($D$27:$D$30&gt;0)*($G$27:$G$30&lt;=5)*($H$27:$H$30&gt;=5)*$B$27:$B$30*$E$27:$E$30*$D$27:$D$30)/SUMPRODUCT(($C$27:$C$30&lt;&gt;"salary")*($D$27:$D$30&gt;0)*($G$27:$G$30&lt;=5)*($H$27:$H$30&gt;=5)*$B$27:$B$30*$E$27:$E$30)*(1+$B$31)*$B$32,0)</f>
        <v/>
      </c>
      <c r="J126" s="37">
        <f>IFERROR(SUMPRODUCT(($C$27:$C$30&lt;&gt;"salary")*($D$27:$D$30&gt;0)*($G$27:$G$30&lt;=6)*($H$27:$H$30&gt;=6)*$B$27:$B$30*$E$27:$E$30*$D$27:$D$30)/SUMPRODUCT(($C$27:$C$30&lt;&gt;"salary")*($D$27:$D$30&gt;0)*($G$27:$G$30&lt;=6)*($H$27:$H$30&gt;=6)*$B$27:$B$30*$E$27:$E$30)*(1+$B$31)*$B$32,0)</f>
        <v/>
      </c>
      <c r="K126" s="37">
        <f>IFERROR(SUMPRODUCT(($C$27:$C$30&lt;&gt;"salary")*($D$27:$D$30&gt;0)*($G$27:$G$30&lt;=7)*($H$27:$H$30&gt;=7)*$B$27:$B$30*$E$27:$E$30*$D$27:$D$30)/SUMPRODUCT(($C$27:$C$30&lt;&gt;"salary")*($D$27:$D$30&gt;0)*($G$27:$G$30&lt;=7)*($H$27:$H$30&gt;=7)*$B$27:$B$30*$E$27:$E$30)*(1+$B$31)*$B$32,0)</f>
        <v/>
      </c>
      <c r="L126" s="37">
        <f>IFERROR(SUMPRODUCT(($C$27:$C$30&lt;&gt;"salary")*($D$27:$D$30&gt;0)*($G$27:$G$30&lt;=8)*($H$27:$H$30&gt;=8)*$B$27:$B$30*$E$27:$E$30*$D$27:$D$30)/SUMPRODUCT(($C$27:$C$30&lt;&gt;"salary")*($D$27:$D$30&gt;0)*($G$27:$G$30&lt;=8)*($H$27:$H$30&gt;=8)*$B$27:$B$30*$E$27:$E$30)*(1+$B$31)*$B$32,0)</f>
        <v/>
      </c>
      <c r="M126" s="37">
        <f>IFERROR(SUMPRODUCT(($C$27:$C$30&lt;&gt;"salary")*($D$27:$D$30&gt;0)*($G$27:$G$30&lt;=9)*($H$27:$H$30&gt;=9)*$B$27:$B$30*$E$27:$E$30*$D$27:$D$30)/SUMPRODUCT(($C$27:$C$30&lt;&gt;"salary")*($D$27:$D$30&gt;0)*($G$27:$G$30&lt;=9)*($H$27:$H$30&gt;=9)*$B$27:$B$30*$E$27:$E$30)*(1+$B$31)*$B$32,0)</f>
        <v/>
      </c>
      <c r="N126" s="37">
        <f>IFERROR(SUMPRODUCT(($C$27:$C$30&lt;&gt;"salary")*($D$27:$D$30&gt;0)*($G$27:$G$30&lt;=10)*($H$27:$H$30&gt;=10)*$B$27:$B$30*$E$27:$E$30*$D$27:$D$30)/SUMPRODUCT(($C$27:$C$30&lt;&gt;"salary")*($D$27:$D$30&gt;0)*($G$27:$G$30&lt;=10)*($H$27:$H$30&gt;=10)*$B$27:$B$30*$E$27:$E$30)*(1+$B$31)*$B$32,0)</f>
        <v/>
      </c>
      <c r="O126" s="37">
        <f>IFERROR(SUMPRODUCT(($C$27:$C$30&lt;&gt;"salary")*($D$27:$D$30&gt;0)*($G$27:$G$30&lt;=11)*($H$27:$H$30&gt;=11)*$B$27:$B$30*$E$27:$E$30*$D$27:$D$30)/SUMPRODUCT(($C$27:$C$30&lt;&gt;"salary")*($D$27:$D$30&gt;0)*($G$27:$G$30&lt;=11)*($H$27:$H$30&gt;=11)*$B$27:$B$30*$E$27:$E$30)*(1+$B$31)*$B$32,0)</f>
        <v/>
      </c>
      <c r="P126" s="37">
        <f>IFERROR(SUMPRODUCT(($C$27:$C$30&lt;&gt;"salary")*($D$27:$D$30&gt;0)*($G$27:$G$30&lt;=12)*($H$27:$H$30&gt;=12)*$B$27:$B$30*$E$27:$E$30*$D$27:$D$30)/SUMPRODUCT(($C$27:$C$30&lt;&gt;"salary")*($D$27:$D$30&gt;0)*($G$27:$G$30&lt;=12)*($H$27:$H$30&gt;=12)*$B$27:$B$30*$E$27:$E$30)*(1+$B$31)*$B$32,0)</f>
        <v/>
      </c>
      <c r="Q126" s="37">
        <f>IFERROR(SUMPRODUCT(($C$27:$C$30&lt;&gt;"salary")*($D$27:$D$30&gt;0)*($G$27:$G$30&lt;=13)*($H$27:$H$30&gt;=13)*$B$27:$B$30*$E$27:$E$30*$D$27:$D$30)/SUMPRODUCT(($C$27:$C$30&lt;&gt;"salary")*($D$27:$D$30&gt;0)*($G$27:$G$30&lt;=13)*($H$27:$H$30&gt;=13)*$B$27:$B$30*$E$27:$E$30)*(1+$B$31)*$B$32,0)</f>
        <v/>
      </c>
      <c r="R126" s="37">
        <f>IFERROR(SUMPRODUCT(($C$27:$C$30&lt;&gt;"salary")*($D$27:$D$30&gt;0)*($G$27:$G$30&lt;=14)*($H$27:$H$30&gt;=14)*$B$27:$B$30*$E$27:$E$30*$D$27:$D$30)/SUMPRODUCT(($C$27:$C$30&lt;&gt;"salary")*($D$27:$D$30&gt;0)*($G$27:$G$30&lt;=14)*($H$27:$H$30&gt;=14)*$B$27:$B$30*$E$27:$E$30)*(1+$B$31)*$B$32,0)</f>
        <v/>
      </c>
      <c r="S126" s="37">
        <f>IFERROR(SUMPRODUCT(($C$27:$C$30&lt;&gt;"salary")*($D$27:$D$30&gt;0)*($G$27:$G$30&lt;=15)*($H$27:$H$30&gt;=15)*$B$27:$B$30*$E$27:$E$30*$D$27:$D$30)/SUMPRODUCT(($C$27:$C$30&lt;&gt;"salary")*($D$27:$D$30&gt;0)*($G$27:$G$30&lt;=15)*($H$27:$H$30&gt;=15)*$B$27:$B$30*$E$27:$E$30)*(1+$B$31)*$B$32,0)</f>
        <v/>
      </c>
      <c r="T126" s="37">
        <f>IFERROR(SUMPRODUCT(($C$27:$C$30&lt;&gt;"salary")*($D$27:$D$30&gt;0)*($G$27:$G$30&lt;=16)*($H$27:$H$30&gt;=16)*$B$27:$B$30*$E$27:$E$30*$D$27:$D$30)/SUMPRODUCT(($C$27:$C$30&lt;&gt;"salary")*($D$27:$D$30&gt;0)*($G$27:$G$30&lt;=16)*($H$27:$H$30&gt;=16)*$B$27:$B$30*$E$27:$E$30)*(1+$B$31)*$B$32,0)</f>
        <v/>
      </c>
      <c r="U126" s="37">
        <f>IFERROR(SUMPRODUCT(($C$27:$C$30&lt;&gt;"salary")*($D$27:$D$30&gt;0)*($G$27:$G$30&lt;=17)*($H$27:$H$30&gt;=17)*$B$27:$B$30*$E$27:$E$30*$D$27:$D$30)/SUMPRODUCT(($C$27:$C$30&lt;&gt;"salary")*($D$27:$D$30&gt;0)*($G$27:$G$30&lt;=17)*($H$27:$H$30&gt;=17)*$B$27:$B$30*$E$27:$E$30)*(1+$B$31)*$B$32,0)</f>
        <v/>
      </c>
      <c r="V126" s="37">
        <f>IFERROR(SUMPRODUCT(($C$27:$C$30&lt;&gt;"salary")*($D$27:$D$30&gt;0)*($G$27:$G$30&lt;=18)*($H$27:$H$30&gt;=18)*$B$27:$B$30*$E$27:$E$30*$D$27:$D$30)/SUMPRODUCT(($C$27:$C$30&lt;&gt;"salary")*($D$27:$D$30&gt;0)*($G$27:$G$30&lt;=18)*($H$27:$H$30&gt;=18)*$B$27:$B$30*$E$27:$E$30)*(1+$B$31)*$B$32,0)</f>
        <v/>
      </c>
      <c r="W126" s="37">
        <f>IFERROR(SUMPRODUCT(($C$27:$C$30&lt;&gt;"salary")*($D$27:$D$30&gt;0)*($G$27:$G$30&lt;=19)*($H$27:$H$30&gt;=19)*$B$27:$B$30*$E$27:$E$30*$D$27:$D$30)/SUMPRODUCT(($C$27:$C$30&lt;&gt;"salary")*($D$27:$D$30&gt;0)*($G$27:$G$30&lt;=19)*($H$27:$H$30&gt;=19)*$B$27:$B$30*$E$27:$E$30)*(1+$B$31)*$B$32,0)</f>
        <v/>
      </c>
      <c r="X126" s="37">
        <f>IFERROR(SUMPRODUCT(($C$27:$C$30&lt;&gt;"salary")*($D$27:$D$30&gt;0)*($G$27:$G$30&lt;=20)*($H$27:$H$30&gt;=20)*$B$27:$B$30*$E$27:$E$30*$D$27:$D$30)/SUMPRODUCT(($C$27:$C$30&lt;&gt;"salary")*($D$27:$D$30&gt;0)*($G$27:$G$30&lt;=20)*($H$27:$H$30&gt;=20)*$B$27:$B$30*$E$27:$E$30)*(1+$B$31)*$B$32,0)</f>
        <v/>
      </c>
      <c r="Y126" s="37">
        <f>IFERROR(SUMPRODUCT(($C$27:$C$30&lt;&gt;"salary")*($D$27:$D$30&gt;0)*($G$27:$G$30&lt;=21)*($H$27:$H$30&gt;=21)*$B$27:$B$30*$E$27:$E$30*$D$27:$D$30)/SUMPRODUCT(($C$27:$C$30&lt;&gt;"salary")*($D$27:$D$30&gt;0)*($G$27:$G$30&lt;=21)*($H$27:$H$30&gt;=21)*$B$27:$B$30*$E$27:$E$30)*(1+$B$31)*$B$32,0)</f>
        <v/>
      </c>
      <c r="Z126" s="37">
        <f>IFERROR(SUMPRODUCT(($C$27:$C$30&lt;&gt;"salary")*($D$27:$D$30&gt;0)*($G$27:$G$30&lt;=22)*($H$27:$H$30&gt;=22)*$B$27:$B$30*$E$27:$E$30*$D$27:$D$30)/SUMPRODUCT(($C$27:$C$30&lt;&gt;"salary")*($D$27:$D$30&gt;0)*($G$27:$G$30&lt;=22)*($H$27:$H$30&gt;=22)*$B$27:$B$30*$E$27:$E$30)*(1+$B$31)*$B$32,0)</f>
        <v/>
      </c>
      <c r="AA126" s="37">
        <f>IFERROR(SUMPRODUCT(($C$27:$C$30&lt;&gt;"salary")*($D$27:$D$30&gt;0)*($G$27:$G$30&lt;=23)*($H$27:$H$30&gt;=23)*$B$27:$B$30*$E$27:$E$30*$D$27:$D$30)/SUMPRODUCT(($C$27:$C$30&lt;&gt;"salary")*($D$27:$D$30&gt;0)*($G$27:$G$30&lt;=23)*($H$27:$H$30&gt;=23)*$B$27:$B$30*$E$27:$E$30)*(1+$B$31)*$B$32,0)</f>
        <v/>
      </c>
      <c r="AB126" s="37">
        <f>IFERROR(SUMPRODUCT(($C$27:$C$30&lt;&gt;"salary")*($D$27:$D$30&gt;0)*($G$27:$G$30&lt;=24)*($H$27:$H$30&gt;=24)*$B$27:$B$30*$E$27:$E$30*$D$27:$D$30)/SUMPRODUCT(($C$27:$C$30&lt;&gt;"salary")*($D$27:$D$30&gt;0)*($G$27:$G$30&lt;=24)*($H$27:$H$30&gt;=24)*$B$27:$B$30*$E$27:$E$30)*(1+$B$31)*$B$32,0)</f>
        <v/>
      </c>
      <c r="AC126" s="37">
        <f>IFERROR(SUMPRODUCT(($C$27:$C$30&lt;&gt;"salary")*($D$27:$D$30&gt;0)*($G$27:$G$30&lt;=25)*($H$27:$H$30&gt;=25)*$B$27:$B$30*$E$27:$E$30*$D$27:$D$30)/SUMPRODUCT(($C$27:$C$30&lt;&gt;"salary")*($D$27:$D$30&gt;0)*($G$27:$G$30&lt;=25)*($H$27:$H$30&gt;=25)*$B$27:$B$30*$E$27:$E$30)*(1+$B$31)*$B$32,0)</f>
        <v/>
      </c>
      <c r="AD126" s="37">
        <f>IFERROR(SUMPRODUCT(($C$27:$C$30&lt;&gt;"salary")*($D$27:$D$30&gt;0)*($G$27:$G$30&lt;=26)*($H$27:$H$30&gt;=26)*$B$27:$B$30*$E$27:$E$30*$D$27:$D$30)/SUMPRODUCT(($C$27:$C$30&lt;&gt;"salary")*($D$27:$D$30&gt;0)*($G$27:$G$30&lt;=26)*($H$27:$H$30&gt;=26)*$B$27:$B$30*$E$27:$E$30)*(1+$B$31)*$B$32,0)</f>
        <v/>
      </c>
      <c r="AE126" s="37">
        <f>IFERROR(SUMPRODUCT(($C$27:$C$30&lt;&gt;"salary")*($D$27:$D$30&gt;0)*($G$27:$G$30&lt;=27)*($H$27:$H$30&gt;=27)*$B$27:$B$30*$E$27:$E$30*$D$27:$D$30)/SUMPRODUCT(($C$27:$C$30&lt;&gt;"salary")*($D$27:$D$30&gt;0)*($G$27:$G$30&lt;=27)*($H$27:$H$30&gt;=27)*$B$27:$B$30*$E$27:$E$30)*(1+$B$31)*$B$32,0)</f>
        <v/>
      </c>
      <c r="AF126" s="37">
        <f>IFERROR(SUMPRODUCT(($C$27:$C$30&lt;&gt;"salary")*($D$27:$D$30&gt;0)*($G$27:$G$30&lt;=28)*($H$27:$H$30&gt;=28)*$B$27:$B$30*$E$27:$E$30*$D$27:$D$30)/SUMPRODUCT(($C$27:$C$30&lt;&gt;"salary")*($D$27:$D$30&gt;0)*($G$27:$G$30&lt;=28)*($H$27:$H$30&gt;=28)*$B$27:$B$30*$E$27:$E$30)*(1+$B$31)*$B$32,0)</f>
        <v/>
      </c>
      <c r="AG126" s="37">
        <f>IFERROR(SUMPRODUCT(($C$27:$C$30&lt;&gt;"salary")*($D$27:$D$30&gt;0)*($G$27:$G$30&lt;=29)*($H$27:$H$30&gt;=29)*$B$27:$B$30*$E$27:$E$30*$D$27:$D$30)/SUMPRODUCT(($C$27:$C$30&lt;&gt;"salary")*($D$27:$D$30&gt;0)*($G$27:$G$30&lt;=29)*($H$27:$H$30&gt;=29)*$B$27:$B$30*$E$27:$E$30)*(1+$B$31)*$B$32,0)</f>
        <v/>
      </c>
      <c r="AH126" s="37">
        <f>IFERROR(SUMPRODUCT(($C$27:$C$30&lt;&gt;"salary")*($D$27:$D$30&gt;0)*($G$27:$G$30&lt;=30)*($H$27:$H$30&gt;=30)*$B$27:$B$30*$E$27:$E$30*$D$27:$D$30)/SUMPRODUCT(($C$27:$C$30&lt;&gt;"salary")*($D$27:$D$30&gt;0)*($G$27:$G$30&lt;=30)*($H$27:$H$30&gt;=30)*$B$27:$B$30*$E$27:$E$30)*(1+$B$31)*$B$32,0)</f>
        <v/>
      </c>
      <c r="AI126" s="37">
        <f>IFERROR(SUMPRODUCT(($C$27:$C$30&lt;&gt;"salary")*($D$27:$D$30&gt;0)*($G$27:$G$30&lt;=31)*($H$27:$H$30&gt;=31)*$B$27:$B$30*$E$27:$E$30*$D$27:$D$30)/SUMPRODUCT(($C$27:$C$30&lt;&gt;"salary")*($D$27:$D$30&gt;0)*($G$27:$G$30&lt;=31)*($H$27:$H$30&gt;=31)*$B$27:$B$30*$E$27:$E$30)*(1+$B$31)*$B$32,0)</f>
        <v/>
      </c>
      <c r="AJ126" s="37">
        <f>IFERROR(SUMPRODUCT(($C$27:$C$30&lt;&gt;"salary")*($D$27:$D$30&gt;0)*($G$27:$G$30&lt;=32)*($H$27:$H$30&gt;=32)*$B$27:$B$30*$E$27:$E$30*$D$27:$D$30)/SUMPRODUCT(($C$27:$C$30&lt;&gt;"salary")*($D$27:$D$30&gt;0)*($G$27:$G$30&lt;=32)*($H$27:$H$30&gt;=32)*$B$27:$B$30*$E$27:$E$30)*(1+$B$31)*$B$32,0)</f>
        <v/>
      </c>
      <c r="AK126" s="37">
        <f>IFERROR(SUMPRODUCT(($C$27:$C$30&lt;&gt;"salary")*($D$27:$D$30&gt;0)*($G$27:$G$30&lt;=33)*($H$27:$H$30&gt;=33)*$B$27:$B$30*$E$27:$E$30*$D$27:$D$30)/SUMPRODUCT(($C$27:$C$30&lt;&gt;"salary")*($D$27:$D$30&gt;0)*($G$27:$G$30&lt;=33)*($H$27:$H$30&gt;=33)*$B$27:$B$30*$E$27:$E$30)*(1+$B$31)*$B$32,0)</f>
        <v/>
      </c>
      <c r="AL126" s="37">
        <f>IFERROR(SUMPRODUCT(($C$27:$C$30&lt;&gt;"salary")*($D$27:$D$30&gt;0)*($G$27:$G$30&lt;=34)*($H$27:$H$30&gt;=34)*$B$27:$B$30*$E$27:$E$30*$D$27:$D$30)/SUMPRODUCT(($C$27:$C$30&lt;&gt;"salary")*($D$27:$D$30&gt;0)*($G$27:$G$30&lt;=34)*($H$27:$H$30&gt;=34)*$B$27:$B$30*$E$27:$E$30)*(1+$B$31)*$B$32,0)</f>
        <v/>
      </c>
      <c r="AM126" s="37">
        <f>IFERROR(SUMPRODUCT(($C$27:$C$30&lt;&gt;"salary")*($D$27:$D$30&gt;0)*($G$27:$G$30&lt;=35)*($H$27:$H$30&gt;=35)*$B$27:$B$30*$E$27:$E$30*$D$27:$D$30)/SUMPRODUCT(($C$27:$C$30&lt;&gt;"salary")*($D$27:$D$30&gt;0)*($G$27:$G$30&lt;=35)*($H$27:$H$30&gt;=35)*$B$27:$B$30*$E$27:$E$30)*(1+$B$31)*$B$32,0)</f>
        <v/>
      </c>
      <c r="AN126" s="37">
        <f>IFERROR(SUMPRODUCT(($C$27:$C$30&lt;&gt;"salary")*($D$27:$D$30&gt;0)*($G$27:$G$30&lt;=36)*($H$27:$H$30&gt;=36)*$B$27:$B$30*$E$27:$E$30*$D$27:$D$30)/SUMPRODUCT(($C$27:$C$30&lt;&gt;"salary")*($D$27:$D$30&gt;0)*($G$27:$G$30&lt;=36)*($H$27:$H$30&gt;=36)*$B$27:$B$30*$E$27:$E$30)*(1+$B$31)*$B$32,0)</f>
        <v/>
      </c>
      <c r="AO126" s="37">
        <f>IFERROR(SUMPRODUCT(($C$27:$C$30&lt;&gt;"salary")*($D$27:$D$30&gt;0)*($G$27:$G$30&lt;=37)*($H$27:$H$30&gt;=37)*$B$27:$B$30*$E$27:$E$30*$D$27:$D$30)/SUMPRODUCT(($C$27:$C$30&lt;&gt;"salary")*($D$27:$D$30&gt;0)*($G$27:$G$30&lt;=37)*($H$27:$H$30&gt;=37)*$B$27:$B$30*$E$27:$E$30)*(1+$B$31)*$B$32,0)</f>
        <v/>
      </c>
      <c r="AP126" s="37">
        <f>IFERROR(SUMPRODUCT(($C$27:$C$30&lt;&gt;"salary")*($D$27:$D$30&gt;0)*($G$27:$G$30&lt;=38)*($H$27:$H$30&gt;=38)*$B$27:$B$30*$E$27:$E$30*$D$27:$D$30)/SUMPRODUCT(($C$27:$C$30&lt;&gt;"salary")*($D$27:$D$30&gt;0)*($G$27:$G$30&lt;=38)*($H$27:$H$30&gt;=38)*$B$27:$B$30*$E$27:$E$30)*(1+$B$31)*$B$32,0)</f>
        <v/>
      </c>
      <c r="AQ126" s="37">
        <f>IFERROR(SUMPRODUCT(($C$27:$C$30&lt;&gt;"salary")*($D$27:$D$30&gt;0)*($G$27:$G$30&lt;=39)*($H$27:$H$30&gt;=39)*$B$27:$B$30*$E$27:$E$30*$D$27:$D$30)/SUMPRODUCT(($C$27:$C$30&lt;&gt;"salary")*($D$27:$D$30&gt;0)*($G$27:$G$30&lt;=39)*($H$27:$H$30&gt;=39)*$B$27:$B$30*$E$27:$E$30)*(1+$B$31)*$B$32,0)</f>
        <v/>
      </c>
      <c r="AR126" s="37">
        <f>IFERROR(SUMPRODUCT(($C$27:$C$30&lt;&gt;"salary")*($D$27:$D$30&gt;0)*($G$27:$G$30&lt;=40)*($H$27:$H$30&gt;=40)*$B$27:$B$30*$E$27:$E$30*$D$27:$D$30)/SUMPRODUCT(($C$27:$C$30&lt;&gt;"salary")*($D$27:$D$30&gt;0)*($G$27:$G$30&lt;=40)*($H$27:$H$30&gt;=40)*$B$27:$B$30*$E$27:$E$30)*(1+$B$31)*$B$32,0)</f>
        <v/>
      </c>
      <c r="AS126" s="37">
        <f>IFERROR(SUMPRODUCT(($C$27:$C$30&lt;&gt;"salary")*($D$27:$D$30&gt;0)*($G$27:$G$30&lt;=41)*($H$27:$H$30&gt;=41)*$B$27:$B$30*$E$27:$E$30*$D$27:$D$30)/SUMPRODUCT(($C$27:$C$30&lt;&gt;"salary")*($D$27:$D$30&gt;0)*($G$27:$G$30&lt;=41)*($H$27:$H$30&gt;=41)*$B$27:$B$30*$E$27:$E$30)*(1+$B$31)*$B$32,0)</f>
        <v/>
      </c>
      <c r="AT126" s="37">
        <f>IFERROR(SUMPRODUCT(($C$27:$C$30&lt;&gt;"salary")*($D$27:$D$30&gt;0)*($G$27:$G$30&lt;=42)*($H$27:$H$30&gt;=42)*$B$27:$B$30*$E$27:$E$30*$D$27:$D$30)/SUMPRODUCT(($C$27:$C$30&lt;&gt;"salary")*($D$27:$D$30&gt;0)*($G$27:$G$30&lt;=42)*($H$27:$H$30&gt;=42)*$B$27:$B$30*$E$27:$E$30)*(1+$B$31)*$B$32,0)</f>
        <v/>
      </c>
      <c r="AU126" s="37">
        <f>IFERROR(SUMPRODUCT(($C$27:$C$30&lt;&gt;"salary")*($D$27:$D$30&gt;0)*($G$27:$G$30&lt;=43)*($H$27:$H$30&gt;=43)*$B$27:$B$30*$E$27:$E$30*$D$27:$D$30)/SUMPRODUCT(($C$27:$C$30&lt;&gt;"salary")*($D$27:$D$30&gt;0)*($G$27:$G$30&lt;=43)*($H$27:$H$30&gt;=43)*$B$27:$B$30*$E$27:$E$30)*(1+$B$31)*$B$32,0)</f>
        <v/>
      </c>
      <c r="AV126" s="37">
        <f>IFERROR(SUMPRODUCT(($C$27:$C$30&lt;&gt;"salary")*($D$27:$D$30&gt;0)*($G$27:$G$30&lt;=44)*($H$27:$H$30&gt;=44)*$B$27:$B$30*$E$27:$E$30*$D$27:$D$30)/SUMPRODUCT(($C$27:$C$30&lt;&gt;"salary")*($D$27:$D$30&gt;0)*($G$27:$G$30&lt;=44)*($H$27:$H$30&gt;=44)*$B$27:$B$30*$E$27:$E$30)*(1+$B$31)*$B$32,0)</f>
        <v/>
      </c>
      <c r="AW126" s="37">
        <f>IFERROR(SUMPRODUCT(($C$27:$C$30&lt;&gt;"salary")*($D$27:$D$30&gt;0)*($G$27:$G$30&lt;=45)*($H$27:$H$30&gt;=45)*$B$27:$B$30*$E$27:$E$30*$D$27:$D$30)/SUMPRODUCT(($C$27:$C$30&lt;&gt;"salary")*($D$27:$D$30&gt;0)*($G$27:$G$30&lt;=45)*($H$27:$H$30&gt;=45)*$B$27:$B$30*$E$27:$E$30)*(1+$B$31)*$B$32,0)</f>
        <v/>
      </c>
      <c r="AX126" s="37">
        <f>IFERROR(SUMPRODUCT(($C$27:$C$30&lt;&gt;"salary")*($D$27:$D$30&gt;0)*($G$27:$G$30&lt;=46)*($H$27:$H$30&gt;=46)*$B$27:$B$30*$E$27:$E$30*$D$27:$D$30)/SUMPRODUCT(($C$27:$C$30&lt;&gt;"salary")*($D$27:$D$30&gt;0)*($G$27:$G$30&lt;=46)*($H$27:$H$30&gt;=46)*$B$27:$B$30*$E$27:$E$30)*(1+$B$31)*$B$32,0)</f>
        <v/>
      </c>
      <c r="AY126" s="37">
        <f>IFERROR(SUMPRODUCT(($C$27:$C$30&lt;&gt;"salary")*($D$27:$D$30&gt;0)*($G$27:$G$30&lt;=47)*($H$27:$H$30&gt;=47)*$B$27:$B$30*$E$27:$E$30*$D$27:$D$30)/SUMPRODUCT(($C$27:$C$30&lt;&gt;"salary")*($D$27:$D$30&gt;0)*($G$27:$G$30&lt;=47)*($H$27:$H$30&gt;=47)*$B$27:$B$30*$E$27:$E$30)*(1+$B$31)*$B$32,0)</f>
        <v/>
      </c>
      <c r="AZ126" s="37">
        <f>IFERROR(SUMPRODUCT(($C$27:$C$30&lt;&gt;"salary")*($D$27:$D$30&gt;0)*($G$27:$G$30&lt;=48)*($H$27:$H$30&gt;=48)*$B$27:$B$30*$E$27:$E$30*$D$27:$D$30)/SUMPRODUCT(($C$27:$C$30&lt;&gt;"salary")*($D$27:$D$30&gt;0)*($G$27:$G$30&lt;=48)*($H$27:$H$30&gt;=48)*$B$27:$B$30*$E$27:$E$30)*(1+$B$31)*$B$32,0)</f>
        <v/>
      </c>
      <c r="BA126" s="37">
        <f>IFERROR(SUMPRODUCT(($C$27:$C$30&lt;&gt;"salary")*($D$27:$D$30&gt;0)*($G$27:$G$30&lt;=49)*($H$27:$H$30&gt;=49)*$B$27:$B$30*$E$27:$E$30*$D$27:$D$30)/SUMPRODUCT(($C$27:$C$30&lt;&gt;"salary")*($D$27:$D$30&gt;0)*($G$27:$G$30&lt;=49)*($H$27:$H$30&gt;=49)*$B$27:$B$30*$E$27:$E$30)*(1+$B$31)*$B$32,0)</f>
        <v/>
      </c>
      <c r="BB126" s="37">
        <f>IFERROR(SUMPRODUCT(($C$27:$C$30&lt;&gt;"salary")*($D$27:$D$30&gt;0)*($G$27:$G$30&lt;=50)*($H$27:$H$30&gt;=50)*$B$27:$B$30*$E$27:$E$30*$D$27:$D$30)/SUMPRODUCT(($C$27:$C$30&lt;&gt;"salary")*($D$27:$D$30&gt;0)*($G$27:$G$30&lt;=50)*($H$27:$H$30&gt;=50)*$B$27:$B$30*$E$27:$E$30)*(1+$B$31)*$B$32,0)</f>
        <v/>
      </c>
      <c r="BC126" s="37">
        <f>IFERROR(SUMPRODUCT(($C$27:$C$30&lt;&gt;"salary")*($D$27:$D$30&gt;0)*($G$27:$G$30&lt;=51)*($H$27:$H$30&gt;=51)*$B$27:$B$30*$E$27:$E$30*$D$27:$D$30)/SUMPRODUCT(($C$27:$C$30&lt;&gt;"salary")*($D$27:$D$30&gt;0)*($G$27:$G$30&lt;=51)*($H$27:$H$30&gt;=51)*$B$27:$B$30*$E$27:$E$30)*(1+$B$31)*$B$32,0)</f>
        <v/>
      </c>
      <c r="BD126" s="37">
        <f>IFERROR(SUMPRODUCT(($C$27:$C$30&lt;&gt;"salary")*($D$27:$D$30&gt;0)*($G$27:$G$30&lt;=52)*($H$27:$H$30&gt;=52)*$B$27:$B$30*$E$27:$E$30*$D$27:$D$30)/SUMPRODUCT(($C$27:$C$30&lt;&gt;"salary")*($D$27:$D$30&gt;0)*($G$27:$G$30&lt;=52)*($H$27:$H$30&gt;=52)*$B$27:$B$30*$E$27:$E$30)*(1+$B$31)*$B$32,0)</f>
        <v/>
      </c>
    </row>
    <row r="127">
      <c r="A127" s="27" t="inlineStr">
        <is>
          <t>Hired rate</t>
        </is>
      </c>
      <c r="B127" s="2" t="inlineStr">
        <is>
          <t>$/hr</t>
        </is>
      </c>
      <c r="E127" s="37">
        <f>$B$34*(1+$B$31)*(1+$B$35)</f>
        <v/>
      </c>
      <c r="F127" s="37">
        <f>$B$34*(1+$B$31)*(1+$B$35)</f>
        <v/>
      </c>
      <c r="G127" s="37">
        <f>$B$34*(1+$B$31)*(1+$B$35)</f>
        <v/>
      </c>
      <c r="H127" s="37">
        <f>$B$34*(1+$B$31)*(1+$B$35)</f>
        <v/>
      </c>
      <c r="I127" s="37">
        <f>$B$34*(1+$B$31)*(1+$B$35)</f>
        <v/>
      </c>
      <c r="J127" s="37">
        <f>$B$34*(1+$B$31)*(1+$B$35)</f>
        <v/>
      </c>
      <c r="K127" s="37">
        <f>$B$34*(1+$B$31)*(1+$B$35)</f>
        <v/>
      </c>
      <c r="L127" s="37">
        <f>$B$34*(1+$B$31)*(1+$B$35)</f>
        <v/>
      </c>
      <c r="M127" s="37">
        <f>$B$34*(1+$B$31)*(1+$B$35)</f>
        <v/>
      </c>
      <c r="N127" s="37">
        <f>$B$34*(1+$B$31)*(1+$B$35)</f>
        <v/>
      </c>
      <c r="O127" s="37">
        <f>$B$34*(1+$B$31)*(1+$B$35)</f>
        <v/>
      </c>
      <c r="P127" s="37">
        <f>$B$34*(1+$B$31)*(1+$B$35)</f>
        <v/>
      </c>
      <c r="Q127" s="37">
        <f>$B$34*(1+$B$31)*(1+$B$35)</f>
        <v/>
      </c>
      <c r="R127" s="37">
        <f>$B$34*(1+$B$31)*(1+$B$35)</f>
        <v/>
      </c>
      <c r="S127" s="37">
        <f>$B$34*(1+$B$31)*(1+$B$35)</f>
        <v/>
      </c>
      <c r="T127" s="37">
        <f>$B$34*(1+$B$31)*(1+$B$35)</f>
        <v/>
      </c>
      <c r="U127" s="37">
        <f>$B$34*(1+$B$31)*(1+$B$35)</f>
        <v/>
      </c>
      <c r="V127" s="37">
        <f>$B$34*(1+$B$31)*(1+$B$35)</f>
        <v/>
      </c>
      <c r="W127" s="37">
        <f>$B$34*(1+$B$31)*(1+$B$35)</f>
        <v/>
      </c>
      <c r="X127" s="37">
        <f>$B$34*(1+$B$31)*(1+$B$35)</f>
        <v/>
      </c>
      <c r="Y127" s="37">
        <f>$B$34*(1+$B$31)*(1+$B$35)</f>
        <v/>
      </c>
      <c r="Z127" s="37">
        <f>$B$34*(1+$B$31)*(1+$B$35)</f>
        <v/>
      </c>
      <c r="AA127" s="37">
        <f>$B$34*(1+$B$31)*(1+$B$35)</f>
        <v/>
      </c>
      <c r="AB127" s="37">
        <f>$B$34*(1+$B$31)*(1+$B$35)</f>
        <v/>
      </c>
      <c r="AC127" s="37">
        <f>$B$34*(1+$B$31)*(1+$B$35)</f>
        <v/>
      </c>
      <c r="AD127" s="37">
        <f>$B$34*(1+$B$31)*(1+$B$35)</f>
        <v/>
      </c>
      <c r="AE127" s="37">
        <f>$B$34*(1+$B$31)*(1+$B$35)</f>
        <v/>
      </c>
      <c r="AF127" s="37">
        <f>$B$34*(1+$B$31)*(1+$B$35)</f>
        <v/>
      </c>
      <c r="AG127" s="37">
        <f>$B$34*(1+$B$31)*(1+$B$35)</f>
        <v/>
      </c>
      <c r="AH127" s="37">
        <f>$B$34*(1+$B$31)*(1+$B$35)</f>
        <v/>
      </c>
      <c r="AI127" s="37">
        <f>$B$34*(1+$B$31)*(1+$B$35)</f>
        <v/>
      </c>
      <c r="AJ127" s="37">
        <f>$B$34*(1+$B$31)*(1+$B$35)</f>
        <v/>
      </c>
      <c r="AK127" s="37">
        <f>$B$34*(1+$B$31)*(1+$B$35)</f>
        <v/>
      </c>
      <c r="AL127" s="37">
        <f>$B$34*(1+$B$31)*(1+$B$35)</f>
        <v/>
      </c>
      <c r="AM127" s="37">
        <f>$B$34*(1+$B$31)*(1+$B$35)</f>
        <v/>
      </c>
      <c r="AN127" s="37">
        <f>$B$34*(1+$B$31)*(1+$B$35)</f>
        <v/>
      </c>
      <c r="AO127" s="37">
        <f>$B$34*(1+$B$31)*(1+$B$35)</f>
        <v/>
      </c>
      <c r="AP127" s="37">
        <f>$B$34*(1+$B$31)*(1+$B$35)</f>
        <v/>
      </c>
      <c r="AQ127" s="37">
        <f>$B$34*(1+$B$31)*(1+$B$35)</f>
        <v/>
      </c>
      <c r="AR127" s="37">
        <f>$B$34*(1+$B$31)*(1+$B$35)</f>
        <v/>
      </c>
      <c r="AS127" s="37">
        <f>$B$34*(1+$B$31)*(1+$B$35)</f>
        <v/>
      </c>
      <c r="AT127" s="37">
        <f>$B$34*(1+$B$31)*(1+$B$35)</f>
        <v/>
      </c>
      <c r="AU127" s="37">
        <f>$B$34*(1+$B$31)*(1+$B$35)</f>
        <v/>
      </c>
      <c r="AV127" s="37">
        <f>$B$34*(1+$B$31)*(1+$B$35)</f>
        <v/>
      </c>
      <c r="AW127" s="37">
        <f>$B$34*(1+$B$31)*(1+$B$35)</f>
        <v/>
      </c>
      <c r="AX127" s="37">
        <f>$B$34*(1+$B$31)*(1+$B$35)</f>
        <v/>
      </c>
      <c r="AY127" s="37">
        <f>$B$34*(1+$B$31)*(1+$B$35)</f>
        <v/>
      </c>
      <c r="AZ127" s="37">
        <f>$B$34*(1+$B$31)*(1+$B$35)</f>
        <v/>
      </c>
      <c r="BA127" s="37">
        <f>$B$34*(1+$B$31)*(1+$B$35)</f>
        <v/>
      </c>
      <c r="BB127" s="37">
        <f>$B$34*(1+$B$31)*(1+$B$35)</f>
        <v/>
      </c>
      <c r="BC127" s="37">
        <f>$B$34*(1+$B$31)*(1+$B$35)</f>
        <v/>
      </c>
      <c r="BD127" s="37">
        <f>$B$34*(1+$B$31)*(1+$B$35)</f>
        <v/>
      </c>
    </row>
    <row r="128">
      <c r="A128" s="23" t="inlineStr">
        <is>
          <t>OVERTIME hours</t>
        </is>
      </c>
      <c r="B128" s="2" t="inlineStr">
        <is>
          <t>hrs &lt;-- SOLVER</t>
        </is>
      </c>
      <c r="E128" s="38" t="n">
        <v>0</v>
      </c>
      <c r="F128" s="38" t="n">
        <v>0</v>
      </c>
      <c r="G128" s="38" t="n">
        <v>0</v>
      </c>
      <c r="H128" s="38" t="n">
        <v>0</v>
      </c>
      <c r="I128" s="38" t="n">
        <v>0</v>
      </c>
      <c r="J128" s="38" t="n">
        <v>0</v>
      </c>
      <c r="K128" s="38" t="n">
        <v>0</v>
      </c>
      <c r="L128" s="38" t="n">
        <v>0</v>
      </c>
      <c r="M128" s="38" t="n">
        <v>0</v>
      </c>
      <c r="N128" s="38" t="n">
        <v>0</v>
      </c>
      <c r="O128" s="38" t="n">
        <v>0</v>
      </c>
      <c r="P128" s="38" t="n">
        <v>0</v>
      </c>
      <c r="Q128" s="38" t="n">
        <v>0</v>
      </c>
      <c r="R128" s="38" t="n">
        <v>0</v>
      </c>
      <c r="S128" s="38" t="n">
        <v>0</v>
      </c>
      <c r="T128" s="38" t="n">
        <v>0</v>
      </c>
      <c r="U128" s="38" t="n">
        <v>0</v>
      </c>
      <c r="V128" s="38" t="n">
        <v>0</v>
      </c>
      <c r="W128" s="38" t="n">
        <v>0</v>
      </c>
      <c r="X128" s="38" t="n">
        <v>0</v>
      </c>
      <c r="Y128" s="38" t="n">
        <v>0</v>
      </c>
      <c r="Z128" s="38" t="n">
        <v>0</v>
      </c>
      <c r="AA128" s="38" t="n">
        <v>0</v>
      </c>
      <c r="AB128" s="38" t="n">
        <v>0</v>
      </c>
      <c r="AC128" s="38" t="n">
        <v>0</v>
      </c>
      <c r="AD128" s="38" t="n">
        <v>0</v>
      </c>
      <c r="AE128" s="38" t="n">
        <v>0</v>
      </c>
      <c r="AF128" s="38" t="n">
        <v>0</v>
      </c>
      <c r="AG128" s="38" t="n">
        <v>0</v>
      </c>
      <c r="AH128" s="38" t="n">
        <v>0</v>
      </c>
      <c r="AI128" s="38" t="n">
        <v>0</v>
      </c>
      <c r="AJ128" s="38" t="n">
        <v>0</v>
      </c>
      <c r="AK128" s="38" t="n">
        <v>0</v>
      </c>
      <c r="AL128" s="38" t="n">
        <v>0</v>
      </c>
      <c r="AM128" s="38" t="n">
        <v>0</v>
      </c>
      <c r="AN128" s="38" t="n">
        <v>0</v>
      </c>
      <c r="AO128" s="38" t="n">
        <v>0</v>
      </c>
      <c r="AP128" s="38" t="n">
        <v>0</v>
      </c>
      <c r="AQ128" s="38" t="n">
        <v>0</v>
      </c>
      <c r="AR128" s="38" t="n">
        <v>0</v>
      </c>
      <c r="AS128" s="38" t="n">
        <v>0</v>
      </c>
      <c r="AT128" s="38" t="n">
        <v>0</v>
      </c>
      <c r="AU128" s="38" t="n">
        <v>0</v>
      </c>
      <c r="AV128" s="38" t="n">
        <v>0</v>
      </c>
      <c r="AW128" s="38" t="n">
        <v>0</v>
      </c>
      <c r="AX128" s="38" t="n">
        <v>0</v>
      </c>
      <c r="AY128" s="38" t="n">
        <v>0</v>
      </c>
      <c r="AZ128" s="38" t="n">
        <v>0</v>
      </c>
      <c r="BA128" s="38" t="n">
        <v>0</v>
      </c>
      <c r="BB128" s="38" t="n">
        <v>0</v>
      </c>
      <c r="BC128" s="38" t="n">
        <v>0</v>
      </c>
      <c r="BD128" s="38" t="n">
        <v>0</v>
      </c>
    </row>
    <row r="129">
      <c r="A129" s="23" t="inlineStr">
        <is>
          <t>HIRED hours</t>
        </is>
      </c>
      <c r="B129" s="2" t="inlineStr">
        <is>
          <t>hrs &lt;-- SOLVER</t>
        </is>
      </c>
      <c r="E129" s="38" t="n">
        <v>0</v>
      </c>
      <c r="F129" s="38" t="n">
        <v>0</v>
      </c>
      <c r="G129" s="38" t="n">
        <v>0</v>
      </c>
      <c r="H129" s="38" t="n">
        <v>0</v>
      </c>
      <c r="I129" s="38" t="n">
        <v>0</v>
      </c>
      <c r="J129" s="38" t="n">
        <v>0</v>
      </c>
      <c r="K129" s="38" t="n">
        <v>0</v>
      </c>
      <c r="L129" s="38" t="n">
        <v>0</v>
      </c>
      <c r="M129" s="38" t="n">
        <v>0</v>
      </c>
      <c r="N129" s="38" t="n">
        <v>0</v>
      </c>
      <c r="O129" s="38" t="n">
        <v>0</v>
      </c>
      <c r="P129" s="38" t="n">
        <v>0</v>
      </c>
      <c r="Q129" s="38" t="n">
        <v>0</v>
      </c>
      <c r="R129" s="38" t="n">
        <v>0</v>
      </c>
      <c r="S129" s="38" t="n">
        <v>0</v>
      </c>
      <c r="T129" s="38" t="n">
        <v>0</v>
      </c>
      <c r="U129" s="38" t="n">
        <v>0</v>
      </c>
      <c r="V129" s="38" t="n">
        <v>0</v>
      </c>
      <c r="W129" s="38" t="n">
        <v>0</v>
      </c>
      <c r="X129" s="38" t="n">
        <v>0</v>
      </c>
      <c r="Y129" s="38" t="n">
        <v>0</v>
      </c>
      <c r="Z129" s="38" t="n">
        <v>0</v>
      </c>
      <c r="AA129" s="38" t="n">
        <v>0</v>
      </c>
      <c r="AB129" s="38" t="n">
        <v>0</v>
      </c>
      <c r="AC129" s="38" t="n">
        <v>0</v>
      </c>
      <c r="AD129" s="38" t="n">
        <v>0</v>
      </c>
      <c r="AE129" s="38" t="n">
        <v>0</v>
      </c>
      <c r="AF129" s="38" t="n">
        <v>0</v>
      </c>
      <c r="AG129" s="38" t="n">
        <v>0</v>
      </c>
      <c r="AH129" s="38" t="n">
        <v>0</v>
      </c>
      <c r="AI129" s="38" t="n">
        <v>0</v>
      </c>
      <c r="AJ129" s="38" t="n">
        <v>0</v>
      </c>
      <c r="AK129" s="38" t="n">
        <v>0</v>
      </c>
      <c r="AL129" s="38" t="n">
        <v>0</v>
      </c>
      <c r="AM129" s="38" t="n">
        <v>0</v>
      </c>
      <c r="AN129" s="38" t="n">
        <v>0</v>
      </c>
      <c r="AO129" s="38" t="n">
        <v>0</v>
      </c>
      <c r="AP129" s="38" t="n">
        <v>0</v>
      </c>
      <c r="AQ129" s="38" t="n">
        <v>0</v>
      </c>
      <c r="AR129" s="38" t="n">
        <v>0</v>
      </c>
      <c r="AS129" s="38" t="n">
        <v>0</v>
      </c>
      <c r="AT129" s="38" t="n">
        <v>0</v>
      </c>
      <c r="AU129" s="38" t="n">
        <v>0</v>
      </c>
      <c r="AV129" s="38" t="n">
        <v>0</v>
      </c>
      <c r="AW129" s="38" t="n">
        <v>0</v>
      </c>
      <c r="AX129" s="38" t="n">
        <v>0</v>
      </c>
      <c r="AY129" s="38" t="n">
        <v>0</v>
      </c>
      <c r="AZ129" s="38" t="n">
        <v>0</v>
      </c>
      <c r="BA129" s="38" t="n">
        <v>0</v>
      </c>
      <c r="BB129" s="38" t="n">
        <v>0</v>
      </c>
      <c r="BC129" s="38" t="n">
        <v>0</v>
      </c>
      <c r="BD129" s="38" t="n">
        <v>0</v>
      </c>
    </row>
    <row r="130">
      <c r="A130" s="27" t="inlineStr">
        <is>
          <t>Cost of bought hours</t>
        </is>
      </c>
      <c r="B130" s="2" t="inlineStr">
        <is>
          <t>$</t>
        </is>
      </c>
      <c r="E130" s="36">
        <f>E128*E126+E129*E127</f>
        <v/>
      </c>
      <c r="F130" s="36">
        <f>F128*F126+F129*F127</f>
        <v/>
      </c>
      <c r="G130" s="36">
        <f>G128*G126+G129*G127</f>
        <v/>
      </c>
      <c r="H130" s="36">
        <f>H128*H126+H129*H127</f>
        <v/>
      </c>
      <c r="I130" s="36">
        <f>I128*I126+I129*I127</f>
        <v/>
      </c>
      <c r="J130" s="36">
        <f>J128*J126+J129*J127</f>
        <v/>
      </c>
      <c r="K130" s="36">
        <f>K128*K126+K129*K127</f>
        <v/>
      </c>
      <c r="L130" s="36">
        <f>L128*L126+L129*L127</f>
        <v/>
      </c>
      <c r="M130" s="36">
        <f>M128*M126+M129*M127</f>
        <v/>
      </c>
      <c r="N130" s="36">
        <f>N128*N126+N129*N127</f>
        <v/>
      </c>
      <c r="O130" s="36">
        <f>O128*O126+O129*O127</f>
        <v/>
      </c>
      <c r="P130" s="36">
        <f>P128*P126+P129*P127</f>
        <v/>
      </c>
      <c r="Q130" s="36">
        <f>Q128*Q126+Q129*Q127</f>
        <v/>
      </c>
      <c r="R130" s="36">
        <f>R128*R126+R129*R127</f>
        <v/>
      </c>
      <c r="S130" s="36">
        <f>S128*S126+S129*S127</f>
        <v/>
      </c>
      <c r="T130" s="36">
        <f>T128*T126+T129*T127</f>
        <v/>
      </c>
      <c r="U130" s="36">
        <f>U128*U126+U129*U127</f>
        <v/>
      </c>
      <c r="V130" s="36">
        <f>V128*V126+V129*V127</f>
        <v/>
      </c>
      <c r="W130" s="36">
        <f>W128*W126+W129*W127</f>
        <v/>
      </c>
      <c r="X130" s="36">
        <f>X128*X126+X129*X127</f>
        <v/>
      </c>
      <c r="Y130" s="36">
        <f>Y128*Y126+Y129*Y127</f>
        <v/>
      </c>
      <c r="Z130" s="36">
        <f>Z128*Z126+Z129*Z127</f>
        <v/>
      </c>
      <c r="AA130" s="36">
        <f>AA128*AA126+AA129*AA127</f>
        <v/>
      </c>
      <c r="AB130" s="36">
        <f>AB128*AB126+AB129*AB127</f>
        <v/>
      </c>
      <c r="AC130" s="36">
        <f>AC128*AC126+AC129*AC127</f>
        <v/>
      </c>
      <c r="AD130" s="36">
        <f>AD128*AD126+AD129*AD127</f>
        <v/>
      </c>
      <c r="AE130" s="36">
        <f>AE128*AE126+AE129*AE127</f>
        <v/>
      </c>
      <c r="AF130" s="36">
        <f>AF128*AF126+AF129*AF127</f>
        <v/>
      </c>
      <c r="AG130" s="36">
        <f>AG128*AG126+AG129*AG127</f>
        <v/>
      </c>
      <c r="AH130" s="36">
        <f>AH128*AH126+AH129*AH127</f>
        <v/>
      </c>
      <c r="AI130" s="36">
        <f>AI128*AI126+AI129*AI127</f>
        <v/>
      </c>
      <c r="AJ130" s="36">
        <f>AJ128*AJ126+AJ129*AJ127</f>
        <v/>
      </c>
      <c r="AK130" s="36">
        <f>AK128*AK126+AK129*AK127</f>
        <v/>
      </c>
      <c r="AL130" s="36">
        <f>AL128*AL126+AL129*AL127</f>
        <v/>
      </c>
      <c r="AM130" s="36">
        <f>AM128*AM126+AM129*AM127</f>
        <v/>
      </c>
      <c r="AN130" s="36">
        <f>AN128*AN126+AN129*AN127</f>
        <v/>
      </c>
      <c r="AO130" s="36">
        <f>AO128*AO126+AO129*AO127</f>
        <v/>
      </c>
      <c r="AP130" s="36">
        <f>AP128*AP126+AP129*AP127</f>
        <v/>
      </c>
      <c r="AQ130" s="36">
        <f>AQ128*AQ126+AQ129*AQ127</f>
        <v/>
      </c>
      <c r="AR130" s="36">
        <f>AR128*AR126+AR129*AR127</f>
        <v/>
      </c>
      <c r="AS130" s="36">
        <f>AS128*AS126+AS129*AS127</f>
        <v/>
      </c>
      <c r="AT130" s="36">
        <f>AT128*AT126+AT129*AT127</f>
        <v/>
      </c>
      <c r="AU130" s="36">
        <f>AU128*AU126+AU129*AU127</f>
        <v/>
      </c>
      <c r="AV130" s="36">
        <f>AV128*AV126+AV129*AV127</f>
        <v/>
      </c>
      <c r="AW130" s="36">
        <f>AW128*AW126+AW129*AW127</f>
        <v/>
      </c>
      <c r="AX130" s="36">
        <f>AX128*AX126+AX129*AX127</f>
        <v/>
      </c>
      <c r="AY130" s="36">
        <f>AY128*AY126+AY129*AY127</f>
        <v/>
      </c>
      <c r="AZ130" s="36">
        <f>AZ128*AZ126+AZ129*AZ127</f>
        <v/>
      </c>
      <c r="BA130" s="36">
        <f>BA128*BA126+BA129*BA127</f>
        <v/>
      </c>
      <c r="BB130" s="36">
        <f>BB128*BB126+BB129*BB127</f>
        <v/>
      </c>
      <c r="BC130" s="36">
        <f>BC128*BC126+BC129*BC127</f>
        <v/>
      </c>
      <c r="BD130" s="36">
        <f>BD128*BD126+BD129*BD127</f>
        <v/>
      </c>
    </row>
    <row r="131">
      <c r="A131" s="4" t="inlineStr">
        <is>
          <t>Hours available</t>
        </is>
      </c>
      <c r="B131" s="2" t="inlineStr">
        <is>
          <t>hrs</t>
        </is>
      </c>
      <c r="E131" s="36">
        <f>E121+E128+E129</f>
        <v/>
      </c>
      <c r="F131" s="36">
        <f>F121+F128+F129</f>
        <v/>
      </c>
      <c r="G131" s="36">
        <f>G121+G128+G129</f>
        <v/>
      </c>
      <c r="H131" s="36">
        <f>H121+H128+H129</f>
        <v/>
      </c>
      <c r="I131" s="36">
        <f>I121+I128+I129</f>
        <v/>
      </c>
      <c r="J131" s="36">
        <f>J121+J128+J129</f>
        <v/>
      </c>
      <c r="K131" s="36">
        <f>K121+K128+K129</f>
        <v/>
      </c>
      <c r="L131" s="36">
        <f>L121+L128+L129</f>
        <v/>
      </c>
      <c r="M131" s="36">
        <f>M121+M128+M129</f>
        <v/>
      </c>
      <c r="N131" s="36">
        <f>N121+N128+N129</f>
        <v/>
      </c>
      <c r="O131" s="36">
        <f>O121+O128+O129</f>
        <v/>
      </c>
      <c r="P131" s="36">
        <f>P121+P128+P129</f>
        <v/>
      </c>
      <c r="Q131" s="36">
        <f>Q121+Q128+Q129</f>
        <v/>
      </c>
      <c r="R131" s="36">
        <f>R121+R128+R129</f>
        <v/>
      </c>
      <c r="S131" s="36">
        <f>S121+S128+S129</f>
        <v/>
      </c>
      <c r="T131" s="36">
        <f>T121+T128+T129</f>
        <v/>
      </c>
      <c r="U131" s="36">
        <f>U121+U128+U129</f>
        <v/>
      </c>
      <c r="V131" s="36">
        <f>V121+V128+V129</f>
        <v/>
      </c>
      <c r="W131" s="36">
        <f>W121+W128+W129</f>
        <v/>
      </c>
      <c r="X131" s="36">
        <f>X121+X128+X129</f>
        <v/>
      </c>
      <c r="Y131" s="36">
        <f>Y121+Y128+Y129</f>
        <v/>
      </c>
      <c r="Z131" s="36">
        <f>Z121+Z128+Z129</f>
        <v/>
      </c>
      <c r="AA131" s="36">
        <f>AA121+AA128+AA129</f>
        <v/>
      </c>
      <c r="AB131" s="36">
        <f>AB121+AB128+AB129</f>
        <v/>
      </c>
      <c r="AC131" s="36">
        <f>AC121+AC128+AC129</f>
        <v/>
      </c>
      <c r="AD131" s="36">
        <f>AD121+AD128+AD129</f>
        <v/>
      </c>
      <c r="AE131" s="36">
        <f>AE121+AE128+AE129</f>
        <v/>
      </c>
      <c r="AF131" s="36">
        <f>AF121+AF128+AF129</f>
        <v/>
      </c>
      <c r="AG131" s="36">
        <f>AG121+AG128+AG129</f>
        <v/>
      </c>
      <c r="AH131" s="36">
        <f>AH121+AH128+AH129</f>
        <v/>
      </c>
      <c r="AI131" s="36">
        <f>AI121+AI128+AI129</f>
        <v/>
      </c>
      <c r="AJ131" s="36">
        <f>AJ121+AJ128+AJ129</f>
        <v/>
      </c>
      <c r="AK131" s="36">
        <f>AK121+AK128+AK129</f>
        <v/>
      </c>
      <c r="AL131" s="36">
        <f>AL121+AL128+AL129</f>
        <v/>
      </c>
      <c r="AM131" s="36">
        <f>AM121+AM128+AM129</f>
        <v/>
      </c>
      <c r="AN131" s="36">
        <f>AN121+AN128+AN129</f>
        <v/>
      </c>
      <c r="AO131" s="36">
        <f>AO121+AO128+AO129</f>
        <v/>
      </c>
      <c r="AP131" s="36">
        <f>AP121+AP128+AP129</f>
        <v/>
      </c>
      <c r="AQ131" s="36">
        <f>AQ121+AQ128+AQ129</f>
        <v/>
      </c>
      <c r="AR131" s="36">
        <f>AR121+AR128+AR129</f>
        <v/>
      </c>
      <c r="AS131" s="36">
        <f>AS121+AS128+AS129</f>
        <v/>
      </c>
      <c r="AT131" s="36">
        <f>AT121+AT128+AT129</f>
        <v/>
      </c>
      <c r="AU131" s="36">
        <f>AU121+AU128+AU129</f>
        <v/>
      </c>
      <c r="AV131" s="36">
        <f>AV121+AV128+AV129</f>
        <v/>
      </c>
      <c r="AW131" s="36">
        <f>AW121+AW128+AW129</f>
        <v/>
      </c>
      <c r="AX131" s="36">
        <f>AX121+AX128+AX129</f>
        <v/>
      </c>
      <c r="AY131" s="36">
        <f>AY121+AY128+AY129</f>
        <v/>
      </c>
      <c r="AZ131" s="36">
        <f>AZ121+AZ128+AZ129</f>
        <v/>
      </c>
      <c r="BA131" s="36">
        <f>BA121+BA128+BA129</f>
        <v/>
      </c>
      <c r="BB131" s="36">
        <f>BB121+BB128+BB129</f>
        <v/>
      </c>
      <c r="BC131" s="36">
        <f>BC121+BC128+BC129</f>
        <v/>
      </c>
      <c r="BD131" s="36">
        <f>BD121+BD128+BD129</f>
        <v/>
      </c>
    </row>
    <row r="132">
      <c r="A132" s="2" t="inlineStr">
        <is>
          <t xml:space="preserve">   The crew, plus whatever the solver decided to buy. This is what C2 measures against now.</t>
        </is>
      </c>
    </row>
    <row r="134">
      <c r="A134" s="22" t="inlineStr">
        <is>
          <t>Week</t>
        </is>
      </c>
      <c r="B134" s="33" t="inlineStr">
        <is>
          <t>hours</t>
        </is>
      </c>
      <c r="E134" s="25" t="n">
        <v>1</v>
      </c>
      <c r="F134" s="25" t="n">
        <v>2</v>
      </c>
      <c r="G134" s="25" t="n">
        <v>3</v>
      </c>
      <c r="H134" s="25" t="n">
        <v>4</v>
      </c>
      <c r="I134" s="25" t="n">
        <v>5</v>
      </c>
      <c r="J134" s="25" t="n">
        <v>6</v>
      </c>
      <c r="K134" s="25" t="n">
        <v>7</v>
      </c>
      <c r="L134" s="25" t="n">
        <v>8</v>
      </c>
      <c r="M134" s="25" t="n">
        <v>9</v>
      </c>
      <c r="N134" s="25" t="n">
        <v>10</v>
      </c>
      <c r="O134" s="25" t="n">
        <v>11</v>
      </c>
      <c r="P134" s="25" t="n">
        <v>12</v>
      </c>
      <c r="Q134" s="25" t="n">
        <v>13</v>
      </c>
      <c r="R134" s="25" t="n">
        <v>14</v>
      </c>
      <c r="S134" s="25" t="n">
        <v>15</v>
      </c>
      <c r="T134" s="25" t="n">
        <v>16</v>
      </c>
      <c r="U134" s="25" t="n">
        <v>17</v>
      </c>
      <c r="V134" s="25" t="n">
        <v>18</v>
      </c>
      <c r="W134" s="25" t="n">
        <v>19</v>
      </c>
      <c r="X134" s="25" t="n">
        <v>20</v>
      </c>
      <c r="Y134" s="25" t="n">
        <v>21</v>
      </c>
      <c r="Z134" s="25" t="n">
        <v>22</v>
      </c>
      <c r="AA134" s="25" t="n">
        <v>23</v>
      </c>
      <c r="AB134" s="25" t="n">
        <v>24</v>
      </c>
      <c r="AC134" s="25" t="n">
        <v>25</v>
      </c>
      <c r="AD134" s="25" t="n">
        <v>26</v>
      </c>
      <c r="AE134" s="25" t="n">
        <v>27</v>
      </c>
      <c r="AF134" s="25" t="n">
        <v>28</v>
      </c>
      <c r="AG134" s="25" t="n">
        <v>29</v>
      </c>
      <c r="AH134" s="25" t="n">
        <v>30</v>
      </c>
      <c r="AI134" s="25" t="n">
        <v>31</v>
      </c>
      <c r="AJ134" s="25" t="n">
        <v>32</v>
      </c>
      <c r="AK134" s="25" t="n">
        <v>33</v>
      </c>
      <c r="AL134" s="25" t="n">
        <v>34</v>
      </c>
      <c r="AM134" s="25" t="n">
        <v>35</v>
      </c>
      <c r="AN134" s="25" t="n">
        <v>36</v>
      </c>
      <c r="AO134" s="25" t="n">
        <v>37</v>
      </c>
      <c r="AP134" s="25" t="n">
        <v>38</v>
      </c>
      <c r="AQ134" s="25" t="n">
        <v>39</v>
      </c>
      <c r="AR134" s="25" t="n">
        <v>40</v>
      </c>
      <c r="AS134" s="25" t="n">
        <v>41</v>
      </c>
      <c r="AT134" s="25" t="n">
        <v>42</v>
      </c>
      <c r="AU134" s="25" t="n">
        <v>43</v>
      </c>
      <c r="AV134" s="25" t="n">
        <v>44</v>
      </c>
      <c r="AW134" s="25" t="n">
        <v>45</v>
      </c>
      <c r="AX134" s="25" t="n">
        <v>46</v>
      </c>
      <c r="AY134" s="25" t="n">
        <v>47</v>
      </c>
      <c r="AZ134" s="25" t="n">
        <v>48</v>
      </c>
      <c r="BA134" s="25" t="n">
        <v>49</v>
      </c>
      <c r="BB134" s="25" t="n">
        <v>50</v>
      </c>
      <c r="BC134" s="25" t="n">
        <v>51</v>
      </c>
      <c r="BD134" s="25" t="n">
        <v>52</v>
      </c>
    </row>
    <row r="135">
      <c r="A135" s="4" t="inlineStr">
        <is>
          <t>CROP HOURS needed</t>
        </is>
      </c>
      <c r="B135" s="2" t="inlineStr">
        <is>
          <t>used</t>
        </is>
      </c>
      <c r="E135" s="36">
        <f>SUMPRODUCT(($B$43:$B$110="Spinach")*(E$43:E$110="P")*$C$43:$C$110)*$N$11+SUMPRODUCT(($B$43:$B$110="Spinach")*(E$43:E$110="G")*$C$43:$C$110)*$O$11+SUMPRODUCT(($B$43:$B$110="Spinach")*(E$43:E$110="H")*$C$43:$C$110)*$P$11+SUMPRODUCT(($B$43:$B$110="Kale")*(E$43:E$110="P")*$C$43:$C$110)*$N$12+SUMPRODUCT(($B$43:$B$110="Kale")*(E$43:E$110="G")*$C$43:$C$110)*$O$12+SUMPRODUCT(($B$43:$B$110="Kale")*(E$43:E$110="H")*$C$43:$C$110)*$P$12+SUMPRODUCT(($B$43:$B$110="Garlic")*(E$43:E$110="P")*$C$43:$C$110)*$N$13+SUMPRODUCT(($B$43:$B$110="Garlic")*(E$43:E$110="G")*$C$43:$C$110)*$O$13+SUMPRODUCT(($B$43:$B$110="Garlic")*(E$43:E$110="H")*$C$43:$C$110)*$P$13</f>
        <v/>
      </c>
      <c r="F135" s="36">
        <f>SUMPRODUCT(($B$43:$B$110="Spinach")*(F$43:F$110="P")*$C$43:$C$110)*$N$11+SUMPRODUCT(($B$43:$B$110="Spinach")*(F$43:F$110="G")*$C$43:$C$110)*$O$11+SUMPRODUCT(($B$43:$B$110="Spinach")*(F$43:F$110="H")*$C$43:$C$110)*$P$11+SUMPRODUCT(($B$43:$B$110="Kale")*(F$43:F$110="P")*$C$43:$C$110)*$N$12+SUMPRODUCT(($B$43:$B$110="Kale")*(F$43:F$110="G")*$C$43:$C$110)*$O$12+SUMPRODUCT(($B$43:$B$110="Kale")*(F$43:F$110="H")*$C$43:$C$110)*$P$12+SUMPRODUCT(($B$43:$B$110="Garlic")*(F$43:F$110="P")*$C$43:$C$110)*$N$13+SUMPRODUCT(($B$43:$B$110="Garlic")*(F$43:F$110="G")*$C$43:$C$110)*$O$13+SUMPRODUCT(($B$43:$B$110="Garlic")*(F$43:F$110="H")*$C$43:$C$110)*$P$13</f>
        <v/>
      </c>
      <c r="G135" s="36">
        <f>SUMPRODUCT(($B$43:$B$110="Spinach")*(G$43:G$110="P")*$C$43:$C$110)*$N$11+SUMPRODUCT(($B$43:$B$110="Spinach")*(G$43:G$110="G")*$C$43:$C$110)*$O$11+SUMPRODUCT(($B$43:$B$110="Spinach")*(G$43:G$110="H")*$C$43:$C$110)*$P$11+SUMPRODUCT(($B$43:$B$110="Kale")*(G$43:G$110="P")*$C$43:$C$110)*$N$12+SUMPRODUCT(($B$43:$B$110="Kale")*(G$43:G$110="G")*$C$43:$C$110)*$O$12+SUMPRODUCT(($B$43:$B$110="Kale")*(G$43:G$110="H")*$C$43:$C$110)*$P$12+SUMPRODUCT(($B$43:$B$110="Garlic")*(G$43:G$110="P")*$C$43:$C$110)*$N$13+SUMPRODUCT(($B$43:$B$110="Garlic")*(G$43:G$110="G")*$C$43:$C$110)*$O$13+SUMPRODUCT(($B$43:$B$110="Garlic")*(G$43:G$110="H")*$C$43:$C$110)*$P$13</f>
        <v/>
      </c>
      <c r="H135" s="36">
        <f>SUMPRODUCT(($B$43:$B$110="Spinach")*(H$43:H$110="P")*$C$43:$C$110)*$N$11+SUMPRODUCT(($B$43:$B$110="Spinach")*(H$43:H$110="G")*$C$43:$C$110)*$O$11+SUMPRODUCT(($B$43:$B$110="Spinach")*(H$43:H$110="H")*$C$43:$C$110)*$P$11+SUMPRODUCT(($B$43:$B$110="Kale")*(H$43:H$110="P")*$C$43:$C$110)*$N$12+SUMPRODUCT(($B$43:$B$110="Kale")*(H$43:H$110="G")*$C$43:$C$110)*$O$12+SUMPRODUCT(($B$43:$B$110="Kale")*(H$43:H$110="H")*$C$43:$C$110)*$P$12+SUMPRODUCT(($B$43:$B$110="Garlic")*(H$43:H$110="P")*$C$43:$C$110)*$N$13+SUMPRODUCT(($B$43:$B$110="Garlic")*(H$43:H$110="G")*$C$43:$C$110)*$O$13+SUMPRODUCT(($B$43:$B$110="Garlic")*(H$43:H$110="H")*$C$43:$C$110)*$P$13</f>
        <v/>
      </c>
      <c r="I135" s="36">
        <f>SUMPRODUCT(($B$43:$B$110="Spinach")*(I$43:I$110="P")*$C$43:$C$110)*$N$11+SUMPRODUCT(($B$43:$B$110="Spinach")*(I$43:I$110="G")*$C$43:$C$110)*$O$11+SUMPRODUCT(($B$43:$B$110="Spinach")*(I$43:I$110="H")*$C$43:$C$110)*$P$11+SUMPRODUCT(($B$43:$B$110="Kale")*(I$43:I$110="P")*$C$43:$C$110)*$N$12+SUMPRODUCT(($B$43:$B$110="Kale")*(I$43:I$110="G")*$C$43:$C$110)*$O$12+SUMPRODUCT(($B$43:$B$110="Kale")*(I$43:I$110="H")*$C$43:$C$110)*$P$12+SUMPRODUCT(($B$43:$B$110="Garlic")*(I$43:I$110="P")*$C$43:$C$110)*$N$13+SUMPRODUCT(($B$43:$B$110="Garlic")*(I$43:I$110="G")*$C$43:$C$110)*$O$13+SUMPRODUCT(($B$43:$B$110="Garlic")*(I$43:I$110="H")*$C$43:$C$110)*$P$13</f>
        <v/>
      </c>
      <c r="J135" s="36">
        <f>SUMPRODUCT(($B$43:$B$110="Spinach")*(J$43:J$110="P")*$C$43:$C$110)*$N$11+SUMPRODUCT(($B$43:$B$110="Spinach")*(J$43:J$110="G")*$C$43:$C$110)*$O$11+SUMPRODUCT(($B$43:$B$110="Spinach")*(J$43:J$110="H")*$C$43:$C$110)*$P$11+SUMPRODUCT(($B$43:$B$110="Kale")*(J$43:J$110="P")*$C$43:$C$110)*$N$12+SUMPRODUCT(($B$43:$B$110="Kale")*(J$43:J$110="G")*$C$43:$C$110)*$O$12+SUMPRODUCT(($B$43:$B$110="Kale")*(J$43:J$110="H")*$C$43:$C$110)*$P$12+SUMPRODUCT(($B$43:$B$110="Garlic")*(J$43:J$110="P")*$C$43:$C$110)*$N$13+SUMPRODUCT(($B$43:$B$110="Garlic")*(J$43:J$110="G")*$C$43:$C$110)*$O$13+SUMPRODUCT(($B$43:$B$110="Garlic")*(J$43:J$110="H")*$C$43:$C$110)*$P$13</f>
        <v/>
      </c>
      <c r="K135" s="36">
        <f>SUMPRODUCT(($B$43:$B$110="Spinach")*(K$43:K$110="P")*$C$43:$C$110)*$N$11+SUMPRODUCT(($B$43:$B$110="Spinach")*(K$43:K$110="G")*$C$43:$C$110)*$O$11+SUMPRODUCT(($B$43:$B$110="Spinach")*(K$43:K$110="H")*$C$43:$C$110)*$P$11+SUMPRODUCT(($B$43:$B$110="Kale")*(K$43:K$110="P")*$C$43:$C$110)*$N$12+SUMPRODUCT(($B$43:$B$110="Kale")*(K$43:K$110="G")*$C$43:$C$110)*$O$12+SUMPRODUCT(($B$43:$B$110="Kale")*(K$43:K$110="H")*$C$43:$C$110)*$P$12+SUMPRODUCT(($B$43:$B$110="Garlic")*(K$43:K$110="P")*$C$43:$C$110)*$N$13+SUMPRODUCT(($B$43:$B$110="Garlic")*(K$43:K$110="G")*$C$43:$C$110)*$O$13+SUMPRODUCT(($B$43:$B$110="Garlic")*(K$43:K$110="H")*$C$43:$C$110)*$P$13</f>
        <v/>
      </c>
      <c r="L135" s="36">
        <f>SUMPRODUCT(($B$43:$B$110="Spinach")*(L$43:L$110="P")*$C$43:$C$110)*$N$11+SUMPRODUCT(($B$43:$B$110="Spinach")*(L$43:L$110="G")*$C$43:$C$110)*$O$11+SUMPRODUCT(($B$43:$B$110="Spinach")*(L$43:L$110="H")*$C$43:$C$110)*$P$11+SUMPRODUCT(($B$43:$B$110="Kale")*(L$43:L$110="P")*$C$43:$C$110)*$N$12+SUMPRODUCT(($B$43:$B$110="Kale")*(L$43:L$110="G")*$C$43:$C$110)*$O$12+SUMPRODUCT(($B$43:$B$110="Kale")*(L$43:L$110="H")*$C$43:$C$110)*$P$12+SUMPRODUCT(($B$43:$B$110="Garlic")*(L$43:L$110="P")*$C$43:$C$110)*$N$13+SUMPRODUCT(($B$43:$B$110="Garlic")*(L$43:L$110="G")*$C$43:$C$110)*$O$13+SUMPRODUCT(($B$43:$B$110="Garlic")*(L$43:L$110="H")*$C$43:$C$110)*$P$13</f>
        <v/>
      </c>
      <c r="M135" s="36">
        <f>SUMPRODUCT(($B$43:$B$110="Spinach")*(M$43:M$110="P")*$C$43:$C$110)*$N$11+SUMPRODUCT(($B$43:$B$110="Spinach")*(M$43:M$110="G")*$C$43:$C$110)*$O$11+SUMPRODUCT(($B$43:$B$110="Spinach")*(M$43:M$110="H")*$C$43:$C$110)*$P$11+SUMPRODUCT(($B$43:$B$110="Kale")*(M$43:M$110="P")*$C$43:$C$110)*$N$12+SUMPRODUCT(($B$43:$B$110="Kale")*(M$43:M$110="G")*$C$43:$C$110)*$O$12+SUMPRODUCT(($B$43:$B$110="Kale")*(M$43:M$110="H")*$C$43:$C$110)*$P$12+SUMPRODUCT(($B$43:$B$110="Garlic")*(M$43:M$110="P")*$C$43:$C$110)*$N$13+SUMPRODUCT(($B$43:$B$110="Garlic")*(M$43:M$110="G")*$C$43:$C$110)*$O$13+SUMPRODUCT(($B$43:$B$110="Garlic")*(M$43:M$110="H")*$C$43:$C$110)*$P$13</f>
        <v/>
      </c>
      <c r="N135" s="36">
        <f>SUMPRODUCT(($B$43:$B$110="Spinach")*(N$43:N$110="P")*$C$43:$C$110)*$N$11+SUMPRODUCT(($B$43:$B$110="Spinach")*(N$43:N$110="G")*$C$43:$C$110)*$O$11+SUMPRODUCT(($B$43:$B$110="Spinach")*(N$43:N$110="H")*$C$43:$C$110)*$P$11+SUMPRODUCT(($B$43:$B$110="Kale")*(N$43:N$110="P")*$C$43:$C$110)*$N$12+SUMPRODUCT(($B$43:$B$110="Kale")*(N$43:N$110="G")*$C$43:$C$110)*$O$12+SUMPRODUCT(($B$43:$B$110="Kale")*(N$43:N$110="H")*$C$43:$C$110)*$P$12+SUMPRODUCT(($B$43:$B$110="Garlic")*(N$43:N$110="P")*$C$43:$C$110)*$N$13+SUMPRODUCT(($B$43:$B$110="Garlic")*(N$43:N$110="G")*$C$43:$C$110)*$O$13+SUMPRODUCT(($B$43:$B$110="Garlic")*(N$43:N$110="H")*$C$43:$C$110)*$P$13</f>
        <v/>
      </c>
      <c r="O135" s="36">
        <f>SUMPRODUCT(($B$43:$B$110="Spinach")*(O$43:O$110="P")*$C$43:$C$110)*$N$11+SUMPRODUCT(($B$43:$B$110="Spinach")*(O$43:O$110="G")*$C$43:$C$110)*$O$11+SUMPRODUCT(($B$43:$B$110="Spinach")*(O$43:O$110="H")*$C$43:$C$110)*$P$11+SUMPRODUCT(($B$43:$B$110="Kale")*(O$43:O$110="P")*$C$43:$C$110)*$N$12+SUMPRODUCT(($B$43:$B$110="Kale")*(O$43:O$110="G")*$C$43:$C$110)*$O$12+SUMPRODUCT(($B$43:$B$110="Kale")*(O$43:O$110="H")*$C$43:$C$110)*$P$12+SUMPRODUCT(($B$43:$B$110="Garlic")*(O$43:O$110="P")*$C$43:$C$110)*$N$13+SUMPRODUCT(($B$43:$B$110="Garlic")*(O$43:O$110="G")*$C$43:$C$110)*$O$13+SUMPRODUCT(($B$43:$B$110="Garlic")*(O$43:O$110="H")*$C$43:$C$110)*$P$13</f>
        <v/>
      </c>
      <c r="P135" s="36">
        <f>SUMPRODUCT(($B$43:$B$110="Spinach")*(P$43:P$110="P")*$C$43:$C$110)*$N$11+SUMPRODUCT(($B$43:$B$110="Spinach")*(P$43:P$110="G")*$C$43:$C$110)*$O$11+SUMPRODUCT(($B$43:$B$110="Spinach")*(P$43:P$110="H")*$C$43:$C$110)*$P$11+SUMPRODUCT(($B$43:$B$110="Kale")*(P$43:P$110="P")*$C$43:$C$110)*$N$12+SUMPRODUCT(($B$43:$B$110="Kale")*(P$43:P$110="G")*$C$43:$C$110)*$O$12+SUMPRODUCT(($B$43:$B$110="Kale")*(P$43:P$110="H")*$C$43:$C$110)*$P$12+SUMPRODUCT(($B$43:$B$110="Garlic")*(P$43:P$110="P")*$C$43:$C$110)*$N$13+SUMPRODUCT(($B$43:$B$110="Garlic")*(P$43:P$110="G")*$C$43:$C$110)*$O$13+SUMPRODUCT(($B$43:$B$110="Garlic")*(P$43:P$110="H")*$C$43:$C$110)*$P$13</f>
        <v/>
      </c>
      <c r="Q135" s="36">
        <f>SUMPRODUCT(($B$43:$B$110="Spinach")*(Q$43:Q$110="P")*$C$43:$C$110)*$N$11+SUMPRODUCT(($B$43:$B$110="Spinach")*(Q$43:Q$110="G")*$C$43:$C$110)*$O$11+SUMPRODUCT(($B$43:$B$110="Spinach")*(Q$43:Q$110="H")*$C$43:$C$110)*$P$11+SUMPRODUCT(($B$43:$B$110="Kale")*(Q$43:Q$110="P")*$C$43:$C$110)*$N$12+SUMPRODUCT(($B$43:$B$110="Kale")*(Q$43:Q$110="G")*$C$43:$C$110)*$O$12+SUMPRODUCT(($B$43:$B$110="Kale")*(Q$43:Q$110="H")*$C$43:$C$110)*$P$12+SUMPRODUCT(($B$43:$B$110="Garlic")*(Q$43:Q$110="P")*$C$43:$C$110)*$N$13+SUMPRODUCT(($B$43:$B$110="Garlic")*(Q$43:Q$110="G")*$C$43:$C$110)*$O$13+SUMPRODUCT(($B$43:$B$110="Garlic")*(Q$43:Q$110="H")*$C$43:$C$110)*$P$13</f>
        <v/>
      </c>
      <c r="R135" s="36">
        <f>SUMPRODUCT(($B$43:$B$110="Spinach")*(R$43:R$110="P")*$C$43:$C$110)*$N$11+SUMPRODUCT(($B$43:$B$110="Spinach")*(R$43:R$110="G")*$C$43:$C$110)*$O$11+SUMPRODUCT(($B$43:$B$110="Spinach")*(R$43:R$110="H")*$C$43:$C$110)*$P$11+SUMPRODUCT(($B$43:$B$110="Kale")*(R$43:R$110="P")*$C$43:$C$110)*$N$12+SUMPRODUCT(($B$43:$B$110="Kale")*(R$43:R$110="G")*$C$43:$C$110)*$O$12+SUMPRODUCT(($B$43:$B$110="Kale")*(R$43:R$110="H")*$C$43:$C$110)*$P$12+SUMPRODUCT(($B$43:$B$110="Garlic")*(R$43:R$110="P")*$C$43:$C$110)*$N$13+SUMPRODUCT(($B$43:$B$110="Garlic")*(R$43:R$110="G")*$C$43:$C$110)*$O$13+SUMPRODUCT(($B$43:$B$110="Garlic")*(R$43:R$110="H")*$C$43:$C$110)*$P$13</f>
        <v/>
      </c>
      <c r="S135" s="36">
        <f>SUMPRODUCT(($B$43:$B$110="Spinach")*(S$43:S$110="P")*$C$43:$C$110)*$N$11+SUMPRODUCT(($B$43:$B$110="Spinach")*(S$43:S$110="G")*$C$43:$C$110)*$O$11+SUMPRODUCT(($B$43:$B$110="Spinach")*(S$43:S$110="H")*$C$43:$C$110)*$P$11+SUMPRODUCT(($B$43:$B$110="Kale")*(S$43:S$110="P")*$C$43:$C$110)*$N$12+SUMPRODUCT(($B$43:$B$110="Kale")*(S$43:S$110="G")*$C$43:$C$110)*$O$12+SUMPRODUCT(($B$43:$B$110="Kale")*(S$43:S$110="H")*$C$43:$C$110)*$P$12+SUMPRODUCT(($B$43:$B$110="Garlic")*(S$43:S$110="P")*$C$43:$C$110)*$N$13+SUMPRODUCT(($B$43:$B$110="Garlic")*(S$43:S$110="G")*$C$43:$C$110)*$O$13+SUMPRODUCT(($B$43:$B$110="Garlic")*(S$43:S$110="H")*$C$43:$C$110)*$P$13</f>
        <v/>
      </c>
      <c r="T135" s="36">
        <f>SUMPRODUCT(($B$43:$B$110="Spinach")*(T$43:T$110="P")*$C$43:$C$110)*$N$11+SUMPRODUCT(($B$43:$B$110="Spinach")*(T$43:T$110="G")*$C$43:$C$110)*$O$11+SUMPRODUCT(($B$43:$B$110="Spinach")*(T$43:T$110="H")*$C$43:$C$110)*$P$11+SUMPRODUCT(($B$43:$B$110="Kale")*(T$43:T$110="P")*$C$43:$C$110)*$N$12+SUMPRODUCT(($B$43:$B$110="Kale")*(T$43:T$110="G")*$C$43:$C$110)*$O$12+SUMPRODUCT(($B$43:$B$110="Kale")*(T$43:T$110="H")*$C$43:$C$110)*$P$12+SUMPRODUCT(($B$43:$B$110="Garlic")*(T$43:T$110="P")*$C$43:$C$110)*$N$13+SUMPRODUCT(($B$43:$B$110="Garlic")*(T$43:T$110="G")*$C$43:$C$110)*$O$13+SUMPRODUCT(($B$43:$B$110="Garlic")*(T$43:T$110="H")*$C$43:$C$110)*$P$13</f>
        <v/>
      </c>
      <c r="U135" s="36">
        <f>SUMPRODUCT(($B$43:$B$110="Spinach")*(U$43:U$110="P")*$C$43:$C$110)*$N$11+SUMPRODUCT(($B$43:$B$110="Spinach")*(U$43:U$110="G")*$C$43:$C$110)*$O$11+SUMPRODUCT(($B$43:$B$110="Spinach")*(U$43:U$110="H")*$C$43:$C$110)*$P$11+SUMPRODUCT(($B$43:$B$110="Kale")*(U$43:U$110="P")*$C$43:$C$110)*$N$12+SUMPRODUCT(($B$43:$B$110="Kale")*(U$43:U$110="G")*$C$43:$C$110)*$O$12+SUMPRODUCT(($B$43:$B$110="Kale")*(U$43:U$110="H")*$C$43:$C$110)*$P$12+SUMPRODUCT(($B$43:$B$110="Garlic")*(U$43:U$110="P")*$C$43:$C$110)*$N$13+SUMPRODUCT(($B$43:$B$110="Garlic")*(U$43:U$110="G")*$C$43:$C$110)*$O$13+SUMPRODUCT(($B$43:$B$110="Garlic")*(U$43:U$110="H")*$C$43:$C$110)*$P$13</f>
        <v/>
      </c>
      <c r="V135" s="36">
        <f>SUMPRODUCT(($B$43:$B$110="Spinach")*(V$43:V$110="P")*$C$43:$C$110)*$N$11+SUMPRODUCT(($B$43:$B$110="Spinach")*(V$43:V$110="G")*$C$43:$C$110)*$O$11+SUMPRODUCT(($B$43:$B$110="Spinach")*(V$43:V$110="H")*$C$43:$C$110)*$P$11+SUMPRODUCT(($B$43:$B$110="Kale")*(V$43:V$110="P")*$C$43:$C$110)*$N$12+SUMPRODUCT(($B$43:$B$110="Kale")*(V$43:V$110="G")*$C$43:$C$110)*$O$12+SUMPRODUCT(($B$43:$B$110="Kale")*(V$43:V$110="H")*$C$43:$C$110)*$P$12+SUMPRODUCT(($B$43:$B$110="Garlic")*(V$43:V$110="P")*$C$43:$C$110)*$N$13+SUMPRODUCT(($B$43:$B$110="Garlic")*(V$43:V$110="G")*$C$43:$C$110)*$O$13+SUMPRODUCT(($B$43:$B$110="Garlic")*(V$43:V$110="H")*$C$43:$C$110)*$P$13</f>
        <v/>
      </c>
      <c r="W135" s="36">
        <f>SUMPRODUCT(($B$43:$B$110="Spinach")*(W$43:W$110="P")*$C$43:$C$110)*$N$11+SUMPRODUCT(($B$43:$B$110="Spinach")*(W$43:W$110="G")*$C$43:$C$110)*$O$11+SUMPRODUCT(($B$43:$B$110="Spinach")*(W$43:W$110="H")*$C$43:$C$110)*$P$11+SUMPRODUCT(($B$43:$B$110="Kale")*(W$43:W$110="P")*$C$43:$C$110)*$N$12+SUMPRODUCT(($B$43:$B$110="Kale")*(W$43:W$110="G")*$C$43:$C$110)*$O$12+SUMPRODUCT(($B$43:$B$110="Kale")*(W$43:W$110="H")*$C$43:$C$110)*$P$12+SUMPRODUCT(($B$43:$B$110="Garlic")*(W$43:W$110="P")*$C$43:$C$110)*$N$13+SUMPRODUCT(($B$43:$B$110="Garlic")*(W$43:W$110="G")*$C$43:$C$110)*$O$13+SUMPRODUCT(($B$43:$B$110="Garlic")*(W$43:W$110="H")*$C$43:$C$110)*$P$13</f>
        <v/>
      </c>
      <c r="X135" s="36">
        <f>SUMPRODUCT(($B$43:$B$110="Spinach")*(X$43:X$110="P")*$C$43:$C$110)*$N$11+SUMPRODUCT(($B$43:$B$110="Spinach")*(X$43:X$110="G")*$C$43:$C$110)*$O$11+SUMPRODUCT(($B$43:$B$110="Spinach")*(X$43:X$110="H")*$C$43:$C$110)*$P$11+SUMPRODUCT(($B$43:$B$110="Kale")*(X$43:X$110="P")*$C$43:$C$110)*$N$12+SUMPRODUCT(($B$43:$B$110="Kale")*(X$43:X$110="G")*$C$43:$C$110)*$O$12+SUMPRODUCT(($B$43:$B$110="Kale")*(X$43:X$110="H")*$C$43:$C$110)*$P$12+SUMPRODUCT(($B$43:$B$110="Garlic")*(X$43:X$110="P")*$C$43:$C$110)*$N$13+SUMPRODUCT(($B$43:$B$110="Garlic")*(X$43:X$110="G")*$C$43:$C$110)*$O$13+SUMPRODUCT(($B$43:$B$110="Garlic")*(X$43:X$110="H")*$C$43:$C$110)*$P$13</f>
        <v/>
      </c>
      <c r="Y135" s="36">
        <f>SUMPRODUCT(($B$43:$B$110="Spinach")*(Y$43:Y$110="P")*$C$43:$C$110)*$N$11+SUMPRODUCT(($B$43:$B$110="Spinach")*(Y$43:Y$110="G")*$C$43:$C$110)*$O$11+SUMPRODUCT(($B$43:$B$110="Spinach")*(Y$43:Y$110="H")*$C$43:$C$110)*$P$11+SUMPRODUCT(($B$43:$B$110="Kale")*(Y$43:Y$110="P")*$C$43:$C$110)*$N$12+SUMPRODUCT(($B$43:$B$110="Kale")*(Y$43:Y$110="G")*$C$43:$C$110)*$O$12+SUMPRODUCT(($B$43:$B$110="Kale")*(Y$43:Y$110="H")*$C$43:$C$110)*$P$12+SUMPRODUCT(($B$43:$B$110="Garlic")*(Y$43:Y$110="P")*$C$43:$C$110)*$N$13+SUMPRODUCT(($B$43:$B$110="Garlic")*(Y$43:Y$110="G")*$C$43:$C$110)*$O$13+SUMPRODUCT(($B$43:$B$110="Garlic")*(Y$43:Y$110="H")*$C$43:$C$110)*$P$13</f>
        <v/>
      </c>
      <c r="Z135" s="36">
        <f>SUMPRODUCT(($B$43:$B$110="Spinach")*(Z$43:Z$110="P")*$C$43:$C$110)*$N$11+SUMPRODUCT(($B$43:$B$110="Spinach")*(Z$43:Z$110="G")*$C$43:$C$110)*$O$11+SUMPRODUCT(($B$43:$B$110="Spinach")*(Z$43:Z$110="H")*$C$43:$C$110)*$P$11+SUMPRODUCT(($B$43:$B$110="Kale")*(Z$43:Z$110="P")*$C$43:$C$110)*$N$12+SUMPRODUCT(($B$43:$B$110="Kale")*(Z$43:Z$110="G")*$C$43:$C$110)*$O$12+SUMPRODUCT(($B$43:$B$110="Kale")*(Z$43:Z$110="H")*$C$43:$C$110)*$P$12+SUMPRODUCT(($B$43:$B$110="Garlic")*(Z$43:Z$110="P")*$C$43:$C$110)*$N$13+SUMPRODUCT(($B$43:$B$110="Garlic")*(Z$43:Z$110="G")*$C$43:$C$110)*$O$13+SUMPRODUCT(($B$43:$B$110="Garlic")*(Z$43:Z$110="H")*$C$43:$C$110)*$P$13</f>
        <v/>
      </c>
      <c r="AA135" s="36">
        <f>SUMPRODUCT(($B$43:$B$110="Spinach")*(AA$43:AA$110="P")*$C$43:$C$110)*$N$11+SUMPRODUCT(($B$43:$B$110="Spinach")*(AA$43:AA$110="G")*$C$43:$C$110)*$O$11+SUMPRODUCT(($B$43:$B$110="Spinach")*(AA$43:AA$110="H")*$C$43:$C$110)*$P$11+SUMPRODUCT(($B$43:$B$110="Kale")*(AA$43:AA$110="P")*$C$43:$C$110)*$N$12+SUMPRODUCT(($B$43:$B$110="Kale")*(AA$43:AA$110="G")*$C$43:$C$110)*$O$12+SUMPRODUCT(($B$43:$B$110="Kale")*(AA$43:AA$110="H")*$C$43:$C$110)*$P$12+SUMPRODUCT(($B$43:$B$110="Garlic")*(AA$43:AA$110="P")*$C$43:$C$110)*$N$13+SUMPRODUCT(($B$43:$B$110="Garlic")*(AA$43:AA$110="G")*$C$43:$C$110)*$O$13+SUMPRODUCT(($B$43:$B$110="Garlic")*(AA$43:AA$110="H")*$C$43:$C$110)*$P$13</f>
        <v/>
      </c>
      <c r="AB135" s="36">
        <f>SUMPRODUCT(($B$43:$B$110="Spinach")*(AB$43:AB$110="P")*$C$43:$C$110)*$N$11+SUMPRODUCT(($B$43:$B$110="Spinach")*(AB$43:AB$110="G")*$C$43:$C$110)*$O$11+SUMPRODUCT(($B$43:$B$110="Spinach")*(AB$43:AB$110="H")*$C$43:$C$110)*$P$11+SUMPRODUCT(($B$43:$B$110="Kale")*(AB$43:AB$110="P")*$C$43:$C$110)*$N$12+SUMPRODUCT(($B$43:$B$110="Kale")*(AB$43:AB$110="G")*$C$43:$C$110)*$O$12+SUMPRODUCT(($B$43:$B$110="Kale")*(AB$43:AB$110="H")*$C$43:$C$110)*$P$12+SUMPRODUCT(($B$43:$B$110="Garlic")*(AB$43:AB$110="P")*$C$43:$C$110)*$N$13+SUMPRODUCT(($B$43:$B$110="Garlic")*(AB$43:AB$110="G")*$C$43:$C$110)*$O$13+SUMPRODUCT(($B$43:$B$110="Garlic")*(AB$43:AB$110="H")*$C$43:$C$110)*$P$13</f>
        <v/>
      </c>
      <c r="AC135" s="36">
        <f>SUMPRODUCT(($B$43:$B$110="Spinach")*(AC$43:AC$110="P")*$C$43:$C$110)*$N$11+SUMPRODUCT(($B$43:$B$110="Spinach")*(AC$43:AC$110="G")*$C$43:$C$110)*$O$11+SUMPRODUCT(($B$43:$B$110="Spinach")*(AC$43:AC$110="H")*$C$43:$C$110)*$P$11+SUMPRODUCT(($B$43:$B$110="Kale")*(AC$43:AC$110="P")*$C$43:$C$110)*$N$12+SUMPRODUCT(($B$43:$B$110="Kale")*(AC$43:AC$110="G")*$C$43:$C$110)*$O$12+SUMPRODUCT(($B$43:$B$110="Kale")*(AC$43:AC$110="H")*$C$43:$C$110)*$P$12+SUMPRODUCT(($B$43:$B$110="Garlic")*(AC$43:AC$110="P")*$C$43:$C$110)*$N$13+SUMPRODUCT(($B$43:$B$110="Garlic")*(AC$43:AC$110="G")*$C$43:$C$110)*$O$13+SUMPRODUCT(($B$43:$B$110="Garlic")*(AC$43:AC$110="H")*$C$43:$C$110)*$P$13</f>
        <v/>
      </c>
      <c r="AD135" s="36">
        <f>SUMPRODUCT(($B$43:$B$110="Spinach")*(AD$43:AD$110="P")*$C$43:$C$110)*$N$11+SUMPRODUCT(($B$43:$B$110="Spinach")*(AD$43:AD$110="G")*$C$43:$C$110)*$O$11+SUMPRODUCT(($B$43:$B$110="Spinach")*(AD$43:AD$110="H")*$C$43:$C$110)*$P$11+SUMPRODUCT(($B$43:$B$110="Kale")*(AD$43:AD$110="P")*$C$43:$C$110)*$N$12+SUMPRODUCT(($B$43:$B$110="Kale")*(AD$43:AD$110="G")*$C$43:$C$110)*$O$12+SUMPRODUCT(($B$43:$B$110="Kale")*(AD$43:AD$110="H")*$C$43:$C$110)*$P$12+SUMPRODUCT(($B$43:$B$110="Garlic")*(AD$43:AD$110="P")*$C$43:$C$110)*$N$13+SUMPRODUCT(($B$43:$B$110="Garlic")*(AD$43:AD$110="G")*$C$43:$C$110)*$O$13+SUMPRODUCT(($B$43:$B$110="Garlic")*(AD$43:AD$110="H")*$C$43:$C$110)*$P$13</f>
        <v/>
      </c>
      <c r="AE135" s="36">
        <f>SUMPRODUCT(($B$43:$B$110="Spinach")*(AE$43:AE$110="P")*$C$43:$C$110)*$N$11+SUMPRODUCT(($B$43:$B$110="Spinach")*(AE$43:AE$110="G")*$C$43:$C$110)*$O$11+SUMPRODUCT(($B$43:$B$110="Spinach")*(AE$43:AE$110="H")*$C$43:$C$110)*$P$11+SUMPRODUCT(($B$43:$B$110="Kale")*(AE$43:AE$110="P")*$C$43:$C$110)*$N$12+SUMPRODUCT(($B$43:$B$110="Kale")*(AE$43:AE$110="G")*$C$43:$C$110)*$O$12+SUMPRODUCT(($B$43:$B$110="Kale")*(AE$43:AE$110="H")*$C$43:$C$110)*$P$12+SUMPRODUCT(($B$43:$B$110="Garlic")*(AE$43:AE$110="P")*$C$43:$C$110)*$N$13+SUMPRODUCT(($B$43:$B$110="Garlic")*(AE$43:AE$110="G")*$C$43:$C$110)*$O$13+SUMPRODUCT(($B$43:$B$110="Garlic")*(AE$43:AE$110="H")*$C$43:$C$110)*$P$13</f>
        <v/>
      </c>
      <c r="AF135" s="36">
        <f>SUMPRODUCT(($B$43:$B$110="Spinach")*(AF$43:AF$110="P")*$C$43:$C$110)*$N$11+SUMPRODUCT(($B$43:$B$110="Spinach")*(AF$43:AF$110="G")*$C$43:$C$110)*$O$11+SUMPRODUCT(($B$43:$B$110="Spinach")*(AF$43:AF$110="H")*$C$43:$C$110)*$P$11+SUMPRODUCT(($B$43:$B$110="Kale")*(AF$43:AF$110="P")*$C$43:$C$110)*$N$12+SUMPRODUCT(($B$43:$B$110="Kale")*(AF$43:AF$110="G")*$C$43:$C$110)*$O$12+SUMPRODUCT(($B$43:$B$110="Kale")*(AF$43:AF$110="H")*$C$43:$C$110)*$P$12+SUMPRODUCT(($B$43:$B$110="Garlic")*(AF$43:AF$110="P")*$C$43:$C$110)*$N$13+SUMPRODUCT(($B$43:$B$110="Garlic")*(AF$43:AF$110="G")*$C$43:$C$110)*$O$13+SUMPRODUCT(($B$43:$B$110="Garlic")*(AF$43:AF$110="H")*$C$43:$C$110)*$P$13</f>
        <v/>
      </c>
      <c r="AG135" s="36">
        <f>SUMPRODUCT(($B$43:$B$110="Spinach")*(AG$43:AG$110="P")*$C$43:$C$110)*$N$11+SUMPRODUCT(($B$43:$B$110="Spinach")*(AG$43:AG$110="G")*$C$43:$C$110)*$O$11+SUMPRODUCT(($B$43:$B$110="Spinach")*(AG$43:AG$110="H")*$C$43:$C$110)*$P$11+SUMPRODUCT(($B$43:$B$110="Kale")*(AG$43:AG$110="P")*$C$43:$C$110)*$N$12+SUMPRODUCT(($B$43:$B$110="Kale")*(AG$43:AG$110="G")*$C$43:$C$110)*$O$12+SUMPRODUCT(($B$43:$B$110="Kale")*(AG$43:AG$110="H")*$C$43:$C$110)*$P$12+SUMPRODUCT(($B$43:$B$110="Garlic")*(AG$43:AG$110="P")*$C$43:$C$110)*$N$13+SUMPRODUCT(($B$43:$B$110="Garlic")*(AG$43:AG$110="G")*$C$43:$C$110)*$O$13+SUMPRODUCT(($B$43:$B$110="Garlic")*(AG$43:AG$110="H")*$C$43:$C$110)*$P$13</f>
        <v/>
      </c>
      <c r="AH135" s="36">
        <f>SUMPRODUCT(($B$43:$B$110="Spinach")*(AH$43:AH$110="P")*$C$43:$C$110)*$N$11+SUMPRODUCT(($B$43:$B$110="Spinach")*(AH$43:AH$110="G")*$C$43:$C$110)*$O$11+SUMPRODUCT(($B$43:$B$110="Spinach")*(AH$43:AH$110="H")*$C$43:$C$110)*$P$11+SUMPRODUCT(($B$43:$B$110="Kale")*(AH$43:AH$110="P")*$C$43:$C$110)*$N$12+SUMPRODUCT(($B$43:$B$110="Kale")*(AH$43:AH$110="G")*$C$43:$C$110)*$O$12+SUMPRODUCT(($B$43:$B$110="Kale")*(AH$43:AH$110="H")*$C$43:$C$110)*$P$12+SUMPRODUCT(($B$43:$B$110="Garlic")*(AH$43:AH$110="P")*$C$43:$C$110)*$N$13+SUMPRODUCT(($B$43:$B$110="Garlic")*(AH$43:AH$110="G")*$C$43:$C$110)*$O$13+SUMPRODUCT(($B$43:$B$110="Garlic")*(AH$43:AH$110="H")*$C$43:$C$110)*$P$13</f>
        <v/>
      </c>
      <c r="AI135" s="36">
        <f>SUMPRODUCT(($B$43:$B$110="Spinach")*(AI$43:AI$110="P")*$C$43:$C$110)*$N$11+SUMPRODUCT(($B$43:$B$110="Spinach")*(AI$43:AI$110="G")*$C$43:$C$110)*$O$11+SUMPRODUCT(($B$43:$B$110="Spinach")*(AI$43:AI$110="H")*$C$43:$C$110)*$P$11+SUMPRODUCT(($B$43:$B$110="Kale")*(AI$43:AI$110="P")*$C$43:$C$110)*$N$12+SUMPRODUCT(($B$43:$B$110="Kale")*(AI$43:AI$110="G")*$C$43:$C$110)*$O$12+SUMPRODUCT(($B$43:$B$110="Kale")*(AI$43:AI$110="H")*$C$43:$C$110)*$P$12+SUMPRODUCT(($B$43:$B$110="Garlic")*(AI$43:AI$110="P")*$C$43:$C$110)*$N$13+SUMPRODUCT(($B$43:$B$110="Garlic")*(AI$43:AI$110="G")*$C$43:$C$110)*$O$13+SUMPRODUCT(($B$43:$B$110="Garlic")*(AI$43:AI$110="H")*$C$43:$C$110)*$P$13</f>
        <v/>
      </c>
      <c r="AJ135" s="36">
        <f>SUMPRODUCT(($B$43:$B$110="Spinach")*(AJ$43:AJ$110="P")*$C$43:$C$110)*$N$11+SUMPRODUCT(($B$43:$B$110="Spinach")*(AJ$43:AJ$110="G")*$C$43:$C$110)*$O$11+SUMPRODUCT(($B$43:$B$110="Spinach")*(AJ$43:AJ$110="H")*$C$43:$C$110)*$P$11+SUMPRODUCT(($B$43:$B$110="Kale")*(AJ$43:AJ$110="P")*$C$43:$C$110)*$N$12+SUMPRODUCT(($B$43:$B$110="Kale")*(AJ$43:AJ$110="G")*$C$43:$C$110)*$O$12+SUMPRODUCT(($B$43:$B$110="Kale")*(AJ$43:AJ$110="H")*$C$43:$C$110)*$P$12+SUMPRODUCT(($B$43:$B$110="Garlic")*(AJ$43:AJ$110="P")*$C$43:$C$110)*$N$13+SUMPRODUCT(($B$43:$B$110="Garlic")*(AJ$43:AJ$110="G")*$C$43:$C$110)*$O$13+SUMPRODUCT(($B$43:$B$110="Garlic")*(AJ$43:AJ$110="H")*$C$43:$C$110)*$P$13</f>
        <v/>
      </c>
      <c r="AK135" s="36">
        <f>SUMPRODUCT(($B$43:$B$110="Spinach")*(AK$43:AK$110="P")*$C$43:$C$110)*$N$11+SUMPRODUCT(($B$43:$B$110="Spinach")*(AK$43:AK$110="G")*$C$43:$C$110)*$O$11+SUMPRODUCT(($B$43:$B$110="Spinach")*(AK$43:AK$110="H")*$C$43:$C$110)*$P$11+SUMPRODUCT(($B$43:$B$110="Kale")*(AK$43:AK$110="P")*$C$43:$C$110)*$N$12+SUMPRODUCT(($B$43:$B$110="Kale")*(AK$43:AK$110="G")*$C$43:$C$110)*$O$12+SUMPRODUCT(($B$43:$B$110="Kale")*(AK$43:AK$110="H")*$C$43:$C$110)*$P$12+SUMPRODUCT(($B$43:$B$110="Garlic")*(AK$43:AK$110="P")*$C$43:$C$110)*$N$13+SUMPRODUCT(($B$43:$B$110="Garlic")*(AK$43:AK$110="G")*$C$43:$C$110)*$O$13+SUMPRODUCT(($B$43:$B$110="Garlic")*(AK$43:AK$110="H")*$C$43:$C$110)*$P$13</f>
        <v/>
      </c>
      <c r="AL135" s="36">
        <f>SUMPRODUCT(($B$43:$B$110="Spinach")*(AL$43:AL$110="P")*$C$43:$C$110)*$N$11+SUMPRODUCT(($B$43:$B$110="Spinach")*(AL$43:AL$110="G")*$C$43:$C$110)*$O$11+SUMPRODUCT(($B$43:$B$110="Spinach")*(AL$43:AL$110="H")*$C$43:$C$110)*$P$11+SUMPRODUCT(($B$43:$B$110="Kale")*(AL$43:AL$110="P")*$C$43:$C$110)*$N$12+SUMPRODUCT(($B$43:$B$110="Kale")*(AL$43:AL$110="G")*$C$43:$C$110)*$O$12+SUMPRODUCT(($B$43:$B$110="Kale")*(AL$43:AL$110="H")*$C$43:$C$110)*$P$12+SUMPRODUCT(($B$43:$B$110="Garlic")*(AL$43:AL$110="P")*$C$43:$C$110)*$N$13+SUMPRODUCT(($B$43:$B$110="Garlic")*(AL$43:AL$110="G")*$C$43:$C$110)*$O$13+SUMPRODUCT(($B$43:$B$110="Garlic")*(AL$43:AL$110="H")*$C$43:$C$110)*$P$13</f>
        <v/>
      </c>
      <c r="AM135" s="36">
        <f>SUMPRODUCT(($B$43:$B$110="Spinach")*(AM$43:AM$110="P")*$C$43:$C$110)*$N$11+SUMPRODUCT(($B$43:$B$110="Spinach")*(AM$43:AM$110="G")*$C$43:$C$110)*$O$11+SUMPRODUCT(($B$43:$B$110="Spinach")*(AM$43:AM$110="H")*$C$43:$C$110)*$P$11+SUMPRODUCT(($B$43:$B$110="Kale")*(AM$43:AM$110="P")*$C$43:$C$110)*$N$12+SUMPRODUCT(($B$43:$B$110="Kale")*(AM$43:AM$110="G")*$C$43:$C$110)*$O$12+SUMPRODUCT(($B$43:$B$110="Kale")*(AM$43:AM$110="H")*$C$43:$C$110)*$P$12+SUMPRODUCT(($B$43:$B$110="Garlic")*(AM$43:AM$110="P")*$C$43:$C$110)*$N$13+SUMPRODUCT(($B$43:$B$110="Garlic")*(AM$43:AM$110="G")*$C$43:$C$110)*$O$13+SUMPRODUCT(($B$43:$B$110="Garlic")*(AM$43:AM$110="H")*$C$43:$C$110)*$P$13</f>
        <v/>
      </c>
      <c r="AN135" s="36">
        <f>SUMPRODUCT(($B$43:$B$110="Spinach")*(AN$43:AN$110="P")*$C$43:$C$110)*$N$11+SUMPRODUCT(($B$43:$B$110="Spinach")*(AN$43:AN$110="G")*$C$43:$C$110)*$O$11+SUMPRODUCT(($B$43:$B$110="Spinach")*(AN$43:AN$110="H")*$C$43:$C$110)*$P$11+SUMPRODUCT(($B$43:$B$110="Kale")*(AN$43:AN$110="P")*$C$43:$C$110)*$N$12+SUMPRODUCT(($B$43:$B$110="Kale")*(AN$43:AN$110="G")*$C$43:$C$110)*$O$12+SUMPRODUCT(($B$43:$B$110="Kale")*(AN$43:AN$110="H")*$C$43:$C$110)*$P$12+SUMPRODUCT(($B$43:$B$110="Garlic")*(AN$43:AN$110="P")*$C$43:$C$110)*$N$13+SUMPRODUCT(($B$43:$B$110="Garlic")*(AN$43:AN$110="G")*$C$43:$C$110)*$O$13+SUMPRODUCT(($B$43:$B$110="Garlic")*(AN$43:AN$110="H")*$C$43:$C$110)*$P$13</f>
        <v/>
      </c>
      <c r="AO135" s="36">
        <f>SUMPRODUCT(($B$43:$B$110="Spinach")*(AO$43:AO$110="P")*$C$43:$C$110)*$N$11+SUMPRODUCT(($B$43:$B$110="Spinach")*(AO$43:AO$110="G")*$C$43:$C$110)*$O$11+SUMPRODUCT(($B$43:$B$110="Spinach")*(AO$43:AO$110="H")*$C$43:$C$110)*$P$11+SUMPRODUCT(($B$43:$B$110="Kale")*(AO$43:AO$110="P")*$C$43:$C$110)*$N$12+SUMPRODUCT(($B$43:$B$110="Kale")*(AO$43:AO$110="G")*$C$43:$C$110)*$O$12+SUMPRODUCT(($B$43:$B$110="Kale")*(AO$43:AO$110="H")*$C$43:$C$110)*$P$12+SUMPRODUCT(($B$43:$B$110="Garlic")*(AO$43:AO$110="P")*$C$43:$C$110)*$N$13+SUMPRODUCT(($B$43:$B$110="Garlic")*(AO$43:AO$110="G")*$C$43:$C$110)*$O$13+SUMPRODUCT(($B$43:$B$110="Garlic")*(AO$43:AO$110="H")*$C$43:$C$110)*$P$13</f>
        <v/>
      </c>
      <c r="AP135" s="36">
        <f>SUMPRODUCT(($B$43:$B$110="Spinach")*(AP$43:AP$110="P")*$C$43:$C$110)*$N$11+SUMPRODUCT(($B$43:$B$110="Spinach")*(AP$43:AP$110="G")*$C$43:$C$110)*$O$11+SUMPRODUCT(($B$43:$B$110="Spinach")*(AP$43:AP$110="H")*$C$43:$C$110)*$P$11+SUMPRODUCT(($B$43:$B$110="Kale")*(AP$43:AP$110="P")*$C$43:$C$110)*$N$12+SUMPRODUCT(($B$43:$B$110="Kale")*(AP$43:AP$110="G")*$C$43:$C$110)*$O$12+SUMPRODUCT(($B$43:$B$110="Kale")*(AP$43:AP$110="H")*$C$43:$C$110)*$P$12+SUMPRODUCT(($B$43:$B$110="Garlic")*(AP$43:AP$110="P")*$C$43:$C$110)*$N$13+SUMPRODUCT(($B$43:$B$110="Garlic")*(AP$43:AP$110="G")*$C$43:$C$110)*$O$13+SUMPRODUCT(($B$43:$B$110="Garlic")*(AP$43:AP$110="H")*$C$43:$C$110)*$P$13</f>
        <v/>
      </c>
      <c r="AQ135" s="36">
        <f>SUMPRODUCT(($B$43:$B$110="Spinach")*(AQ$43:AQ$110="P")*$C$43:$C$110)*$N$11+SUMPRODUCT(($B$43:$B$110="Spinach")*(AQ$43:AQ$110="G")*$C$43:$C$110)*$O$11+SUMPRODUCT(($B$43:$B$110="Spinach")*(AQ$43:AQ$110="H")*$C$43:$C$110)*$P$11+SUMPRODUCT(($B$43:$B$110="Kale")*(AQ$43:AQ$110="P")*$C$43:$C$110)*$N$12+SUMPRODUCT(($B$43:$B$110="Kale")*(AQ$43:AQ$110="G")*$C$43:$C$110)*$O$12+SUMPRODUCT(($B$43:$B$110="Kale")*(AQ$43:AQ$110="H")*$C$43:$C$110)*$P$12+SUMPRODUCT(($B$43:$B$110="Garlic")*(AQ$43:AQ$110="P")*$C$43:$C$110)*$N$13+SUMPRODUCT(($B$43:$B$110="Garlic")*(AQ$43:AQ$110="G")*$C$43:$C$110)*$O$13+SUMPRODUCT(($B$43:$B$110="Garlic")*(AQ$43:AQ$110="H")*$C$43:$C$110)*$P$13</f>
        <v/>
      </c>
      <c r="AR135" s="36">
        <f>SUMPRODUCT(($B$43:$B$110="Spinach")*(AR$43:AR$110="P")*$C$43:$C$110)*$N$11+SUMPRODUCT(($B$43:$B$110="Spinach")*(AR$43:AR$110="G")*$C$43:$C$110)*$O$11+SUMPRODUCT(($B$43:$B$110="Spinach")*(AR$43:AR$110="H")*$C$43:$C$110)*$P$11+SUMPRODUCT(($B$43:$B$110="Kale")*(AR$43:AR$110="P")*$C$43:$C$110)*$N$12+SUMPRODUCT(($B$43:$B$110="Kale")*(AR$43:AR$110="G")*$C$43:$C$110)*$O$12+SUMPRODUCT(($B$43:$B$110="Kale")*(AR$43:AR$110="H")*$C$43:$C$110)*$P$12+SUMPRODUCT(($B$43:$B$110="Garlic")*(AR$43:AR$110="P")*$C$43:$C$110)*$N$13+SUMPRODUCT(($B$43:$B$110="Garlic")*(AR$43:AR$110="G")*$C$43:$C$110)*$O$13+SUMPRODUCT(($B$43:$B$110="Garlic")*(AR$43:AR$110="H")*$C$43:$C$110)*$P$13</f>
        <v/>
      </c>
      <c r="AS135" s="36">
        <f>SUMPRODUCT(($B$43:$B$110="Spinach")*(AS$43:AS$110="P")*$C$43:$C$110)*$N$11+SUMPRODUCT(($B$43:$B$110="Spinach")*(AS$43:AS$110="G")*$C$43:$C$110)*$O$11+SUMPRODUCT(($B$43:$B$110="Spinach")*(AS$43:AS$110="H")*$C$43:$C$110)*$P$11+SUMPRODUCT(($B$43:$B$110="Kale")*(AS$43:AS$110="P")*$C$43:$C$110)*$N$12+SUMPRODUCT(($B$43:$B$110="Kale")*(AS$43:AS$110="G")*$C$43:$C$110)*$O$12+SUMPRODUCT(($B$43:$B$110="Kale")*(AS$43:AS$110="H")*$C$43:$C$110)*$P$12+SUMPRODUCT(($B$43:$B$110="Garlic")*(AS$43:AS$110="P")*$C$43:$C$110)*$N$13+SUMPRODUCT(($B$43:$B$110="Garlic")*(AS$43:AS$110="G")*$C$43:$C$110)*$O$13+SUMPRODUCT(($B$43:$B$110="Garlic")*(AS$43:AS$110="H")*$C$43:$C$110)*$P$13</f>
        <v/>
      </c>
      <c r="AT135" s="36">
        <f>SUMPRODUCT(($B$43:$B$110="Spinach")*(AT$43:AT$110="P")*$C$43:$C$110)*$N$11+SUMPRODUCT(($B$43:$B$110="Spinach")*(AT$43:AT$110="G")*$C$43:$C$110)*$O$11+SUMPRODUCT(($B$43:$B$110="Spinach")*(AT$43:AT$110="H")*$C$43:$C$110)*$P$11+SUMPRODUCT(($B$43:$B$110="Kale")*(AT$43:AT$110="P")*$C$43:$C$110)*$N$12+SUMPRODUCT(($B$43:$B$110="Kale")*(AT$43:AT$110="G")*$C$43:$C$110)*$O$12+SUMPRODUCT(($B$43:$B$110="Kale")*(AT$43:AT$110="H")*$C$43:$C$110)*$P$12+SUMPRODUCT(($B$43:$B$110="Garlic")*(AT$43:AT$110="P")*$C$43:$C$110)*$N$13+SUMPRODUCT(($B$43:$B$110="Garlic")*(AT$43:AT$110="G")*$C$43:$C$110)*$O$13+SUMPRODUCT(($B$43:$B$110="Garlic")*(AT$43:AT$110="H")*$C$43:$C$110)*$P$13</f>
        <v/>
      </c>
      <c r="AU135" s="36">
        <f>SUMPRODUCT(($B$43:$B$110="Spinach")*(AU$43:AU$110="P")*$C$43:$C$110)*$N$11+SUMPRODUCT(($B$43:$B$110="Spinach")*(AU$43:AU$110="G")*$C$43:$C$110)*$O$11+SUMPRODUCT(($B$43:$B$110="Spinach")*(AU$43:AU$110="H")*$C$43:$C$110)*$P$11+SUMPRODUCT(($B$43:$B$110="Kale")*(AU$43:AU$110="P")*$C$43:$C$110)*$N$12+SUMPRODUCT(($B$43:$B$110="Kale")*(AU$43:AU$110="G")*$C$43:$C$110)*$O$12+SUMPRODUCT(($B$43:$B$110="Kale")*(AU$43:AU$110="H")*$C$43:$C$110)*$P$12+SUMPRODUCT(($B$43:$B$110="Garlic")*(AU$43:AU$110="P")*$C$43:$C$110)*$N$13+SUMPRODUCT(($B$43:$B$110="Garlic")*(AU$43:AU$110="G")*$C$43:$C$110)*$O$13+SUMPRODUCT(($B$43:$B$110="Garlic")*(AU$43:AU$110="H")*$C$43:$C$110)*$P$13</f>
        <v/>
      </c>
      <c r="AV135" s="36">
        <f>SUMPRODUCT(($B$43:$B$110="Spinach")*(AV$43:AV$110="P")*$C$43:$C$110)*$N$11+SUMPRODUCT(($B$43:$B$110="Spinach")*(AV$43:AV$110="G")*$C$43:$C$110)*$O$11+SUMPRODUCT(($B$43:$B$110="Spinach")*(AV$43:AV$110="H")*$C$43:$C$110)*$P$11+SUMPRODUCT(($B$43:$B$110="Kale")*(AV$43:AV$110="P")*$C$43:$C$110)*$N$12+SUMPRODUCT(($B$43:$B$110="Kale")*(AV$43:AV$110="G")*$C$43:$C$110)*$O$12+SUMPRODUCT(($B$43:$B$110="Kale")*(AV$43:AV$110="H")*$C$43:$C$110)*$P$12+SUMPRODUCT(($B$43:$B$110="Garlic")*(AV$43:AV$110="P")*$C$43:$C$110)*$N$13+SUMPRODUCT(($B$43:$B$110="Garlic")*(AV$43:AV$110="G")*$C$43:$C$110)*$O$13+SUMPRODUCT(($B$43:$B$110="Garlic")*(AV$43:AV$110="H")*$C$43:$C$110)*$P$13</f>
        <v/>
      </c>
      <c r="AW135" s="36">
        <f>SUMPRODUCT(($B$43:$B$110="Spinach")*(AW$43:AW$110="P")*$C$43:$C$110)*$N$11+SUMPRODUCT(($B$43:$B$110="Spinach")*(AW$43:AW$110="G")*$C$43:$C$110)*$O$11+SUMPRODUCT(($B$43:$B$110="Spinach")*(AW$43:AW$110="H")*$C$43:$C$110)*$P$11+SUMPRODUCT(($B$43:$B$110="Kale")*(AW$43:AW$110="P")*$C$43:$C$110)*$N$12+SUMPRODUCT(($B$43:$B$110="Kale")*(AW$43:AW$110="G")*$C$43:$C$110)*$O$12+SUMPRODUCT(($B$43:$B$110="Kale")*(AW$43:AW$110="H")*$C$43:$C$110)*$P$12+SUMPRODUCT(($B$43:$B$110="Garlic")*(AW$43:AW$110="P")*$C$43:$C$110)*$N$13+SUMPRODUCT(($B$43:$B$110="Garlic")*(AW$43:AW$110="G")*$C$43:$C$110)*$O$13+SUMPRODUCT(($B$43:$B$110="Garlic")*(AW$43:AW$110="H")*$C$43:$C$110)*$P$13</f>
        <v/>
      </c>
      <c r="AX135" s="36">
        <f>SUMPRODUCT(($B$43:$B$110="Spinach")*(AX$43:AX$110="P")*$C$43:$C$110)*$N$11+SUMPRODUCT(($B$43:$B$110="Spinach")*(AX$43:AX$110="G")*$C$43:$C$110)*$O$11+SUMPRODUCT(($B$43:$B$110="Spinach")*(AX$43:AX$110="H")*$C$43:$C$110)*$P$11+SUMPRODUCT(($B$43:$B$110="Kale")*(AX$43:AX$110="P")*$C$43:$C$110)*$N$12+SUMPRODUCT(($B$43:$B$110="Kale")*(AX$43:AX$110="G")*$C$43:$C$110)*$O$12+SUMPRODUCT(($B$43:$B$110="Kale")*(AX$43:AX$110="H")*$C$43:$C$110)*$P$12+SUMPRODUCT(($B$43:$B$110="Garlic")*(AX$43:AX$110="P")*$C$43:$C$110)*$N$13+SUMPRODUCT(($B$43:$B$110="Garlic")*(AX$43:AX$110="G")*$C$43:$C$110)*$O$13+SUMPRODUCT(($B$43:$B$110="Garlic")*(AX$43:AX$110="H")*$C$43:$C$110)*$P$13</f>
        <v/>
      </c>
      <c r="AY135" s="36">
        <f>SUMPRODUCT(($B$43:$B$110="Spinach")*(AY$43:AY$110="P")*$C$43:$C$110)*$N$11+SUMPRODUCT(($B$43:$B$110="Spinach")*(AY$43:AY$110="G")*$C$43:$C$110)*$O$11+SUMPRODUCT(($B$43:$B$110="Spinach")*(AY$43:AY$110="H")*$C$43:$C$110)*$P$11+SUMPRODUCT(($B$43:$B$110="Kale")*(AY$43:AY$110="P")*$C$43:$C$110)*$N$12+SUMPRODUCT(($B$43:$B$110="Kale")*(AY$43:AY$110="G")*$C$43:$C$110)*$O$12+SUMPRODUCT(($B$43:$B$110="Kale")*(AY$43:AY$110="H")*$C$43:$C$110)*$P$12+SUMPRODUCT(($B$43:$B$110="Garlic")*(AY$43:AY$110="P")*$C$43:$C$110)*$N$13+SUMPRODUCT(($B$43:$B$110="Garlic")*(AY$43:AY$110="G")*$C$43:$C$110)*$O$13+SUMPRODUCT(($B$43:$B$110="Garlic")*(AY$43:AY$110="H")*$C$43:$C$110)*$P$13</f>
        <v/>
      </c>
      <c r="AZ135" s="36">
        <f>SUMPRODUCT(($B$43:$B$110="Spinach")*(AZ$43:AZ$110="P")*$C$43:$C$110)*$N$11+SUMPRODUCT(($B$43:$B$110="Spinach")*(AZ$43:AZ$110="G")*$C$43:$C$110)*$O$11+SUMPRODUCT(($B$43:$B$110="Spinach")*(AZ$43:AZ$110="H")*$C$43:$C$110)*$P$11+SUMPRODUCT(($B$43:$B$110="Kale")*(AZ$43:AZ$110="P")*$C$43:$C$110)*$N$12+SUMPRODUCT(($B$43:$B$110="Kale")*(AZ$43:AZ$110="G")*$C$43:$C$110)*$O$12+SUMPRODUCT(($B$43:$B$110="Kale")*(AZ$43:AZ$110="H")*$C$43:$C$110)*$P$12+SUMPRODUCT(($B$43:$B$110="Garlic")*(AZ$43:AZ$110="P")*$C$43:$C$110)*$N$13+SUMPRODUCT(($B$43:$B$110="Garlic")*(AZ$43:AZ$110="G")*$C$43:$C$110)*$O$13+SUMPRODUCT(($B$43:$B$110="Garlic")*(AZ$43:AZ$110="H")*$C$43:$C$110)*$P$13</f>
        <v/>
      </c>
      <c r="BA135" s="36">
        <f>SUMPRODUCT(($B$43:$B$110="Spinach")*(BA$43:BA$110="P")*$C$43:$C$110)*$N$11+SUMPRODUCT(($B$43:$B$110="Spinach")*(BA$43:BA$110="G")*$C$43:$C$110)*$O$11+SUMPRODUCT(($B$43:$B$110="Spinach")*(BA$43:BA$110="H")*$C$43:$C$110)*$P$11+SUMPRODUCT(($B$43:$B$110="Kale")*(BA$43:BA$110="P")*$C$43:$C$110)*$N$12+SUMPRODUCT(($B$43:$B$110="Kale")*(BA$43:BA$110="G")*$C$43:$C$110)*$O$12+SUMPRODUCT(($B$43:$B$110="Kale")*(BA$43:BA$110="H")*$C$43:$C$110)*$P$12+SUMPRODUCT(($B$43:$B$110="Garlic")*(BA$43:BA$110="P")*$C$43:$C$110)*$N$13+SUMPRODUCT(($B$43:$B$110="Garlic")*(BA$43:BA$110="G")*$C$43:$C$110)*$O$13+SUMPRODUCT(($B$43:$B$110="Garlic")*(BA$43:BA$110="H")*$C$43:$C$110)*$P$13</f>
        <v/>
      </c>
      <c r="BB135" s="36">
        <f>SUMPRODUCT(($B$43:$B$110="Spinach")*(BB$43:BB$110="P")*$C$43:$C$110)*$N$11+SUMPRODUCT(($B$43:$B$110="Spinach")*(BB$43:BB$110="G")*$C$43:$C$110)*$O$11+SUMPRODUCT(($B$43:$B$110="Spinach")*(BB$43:BB$110="H")*$C$43:$C$110)*$P$11+SUMPRODUCT(($B$43:$B$110="Kale")*(BB$43:BB$110="P")*$C$43:$C$110)*$N$12+SUMPRODUCT(($B$43:$B$110="Kale")*(BB$43:BB$110="G")*$C$43:$C$110)*$O$12+SUMPRODUCT(($B$43:$B$110="Kale")*(BB$43:BB$110="H")*$C$43:$C$110)*$P$12+SUMPRODUCT(($B$43:$B$110="Garlic")*(BB$43:BB$110="P")*$C$43:$C$110)*$N$13+SUMPRODUCT(($B$43:$B$110="Garlic")*(BB$43:BB$110="G")*$C$43:$C$110)*$O$13+SUMPRODUCT(($B$43:$B$110="Garlic")*(BB$43:BB$110="H")*$C$43:$C$110)*$P$13</f>
        <v/>
      </c>
      <c r="BC135" s="36">
        <f>SUMPRODUCT(($B$43:$B$110="Spinach")*(BC$43:BC$110="P")*$C$43:$C$110)*$N$11+SUMPRODUCT(($B$43:$B$110="Spinach")*(BC$43:BC$110="G")*$C$43:$C$110)*$O$11+SUMPRODUCT(($B$43:$B$110="Spinach")*(BC$43:BC$110="H")*$C$43:$C$110)*$P$11+SUMPRODUCT(($B$43:$B$110="Kale")*(BC$43:BC$110="P")*$C$43:$C$110)*$N$12+SUMPRODUCT(($B$43:$B$110="Kale")*(BC$43:BC$110="G")*$C$43:$C$110)*$O$12+SUMPRODUCT(($B$43:$B$110="Kale")*(BC$43:BC$110="H")*$C$43:$C$110)*$P$12+SUMPRODUCT(($B$43:$B$110="Garlic")*(BC$43:BC$110="P")*$C$43:$C$110)*$N$13+SUMPRODUCT(($B$43:$B$110="Garlic")*(BC$43:BC$110="G")*$C$43:$C$110)*$O$13+SUMPRODUCT(($B$43:$B$110="Garlic")*(BC$43:BC$110="H")*$C$43:$C$110)*$P$13</f>
        <v/>
      </c>
      <c r="BD135" s="36">
        <f>SUMPRODUCT(($B$43:$B$110="Spinach")*(BD$43:BD$110="P")*$C$43:$C$110)*$N$11+SUMPRODUCT(($B$43:$B$110="Spinach")*(BD$43:BD$110="G")*$C$43:$C$110)*$O$11+SUMPRODUCT(($B$43:$B$110="Spinach")*(BD$43:BD$110="H")*$C$43:$C$110)*$P$11+SUMPRODUCT(($B$43:$B$110="Kale")*(BD$43:BD$110="P")*$C$43:$C$110)*$N$12+SUMPRODUCT(($B$43:$B$110="Kale")*(BD$43:BD$110="G")*$C$43:$C$110)*$O$12+SUMPRODUCT(($B$43:$B$110="Kale")*(BD$43:BD$110="H")*$C$43:$C$110)*$P$12+SUMPRODUCT(($B$43:$B$110="Garlic")*(BD$43:BD$110="P")*$C$43:$C$110)*$N$13+SUMPRODUCT(($B$43:$B$110="Garlic")*(BD$43:BD$110="G")*$C$43:$C$110)*$O$13+SUMPRODUCT(($B$43:$B$110="Garlic")*(BD$43:BD$110="H")*$C$43:$C$110)*$P$13</f>
        <v/>
      </c>
    </row>
    <row r="136">
      <c r="A136" s="4" t="inlineStr"/>
      <c r="E136" s="35" t="inlineStr">
        <is>
          <t>&lt;=</t>
        </is>
      </c>
      <c r="F136" s="35" t="inlineStr">
        <is>
          <t>&lt;=</t>
        </is>
      </c>
      <c r="G136" s="35" t="inlineStr">
        <is>
          <t>&lt;=</t>
        </is>
      </c>
      <c r="H136" s="35" t="inlineStr">
        <is>
          <t>&lt;=</t>
        </is>
      </c>
      <c r="I136" s="35" t="inlineStr">
        <is>
          <t>&lt;=</t>
        </is>
      </c>
      <c r="J136" s="35" t="inlineStr">
        <is>
          <t>&lt;=</t>
        </is>
      </c>
      <c r="K136" s="35" t="inlineStr">
        <is>
          <t>&lt;=</t>
        </is>
      </c>
      <c r="L136" s="35" t="inlineStr">
        <is>
          <t>&lt;=</t>
        </is>
      </c>
      <c r="M136" s="35" t="inlineStr">
        <is>
          <t>&lt;=</t>
        </is>
      </c>
      <c r="N136" s="35" t="inlineStr">
        <is>
          <t>&lt;=</t>
        </is>
      </c>
      <c r="O136" s="35" t="inlineStr">
        <is>
          <t>&lt;=</t>
        </is>
      </c>
      <c r="P136" s="35" t="inlineStr">
        <is>
          <t>&lt;=</t>
        </is>
      </c>
      <c r="Q136" s="35" t="inlineStr">
        <is>
          <t>&lt;=</t>
        </is>
      </c>
      <c r="R136" s="35" t="inlineStr">
        <is>
          <t>&lt;=</t>
        </is>
      </c>
      <c r="S136" s="35" t="inlineStr">
        <is>
          <t>&lt;=</t>
        </is>
      </c>
      <c r="T136" s="35" t="inlineStr">
        <is>
          <t>&lt;=</t>
        </is>
      </c>
      <c r="U136" s="35" t="inlineStr">
        <is>
          <t>&lt;=</t>
        </is>
      </c>
      <c r="V136" s="35" t="inlineStr">
        <is>
          <t>&lt;=</t>
        </is>
      </c>
      <c r="W136" s="35" t="inlineStr">
        <is>
          <t>&lt;=</t>
        </is>
      </c>
      <c r="X136" s="35" t="inlineStr">
        <is>
          <t>&lt;=</t>
        </is>
      </c>
      <c r="Y136" s="35" t="inlineStr">
        <is>
          <t>&lt;=</t>
        </is>
      </c>
      <c r="Z136" s="35" t="inlineStr">
        <is>
          <t>&lt;=</t>
        </is>
      </c>
      <c r="AA136" s="35" t="inlineStr">
        <is>
          <t>&lt;=</t>
        </is>
      </c>
      <c r="AB136" s="35" t="inlineStr">
        <is>
          <t>&lt;=</t>
        </is>
      </c>
      <c r="AC136" s="35" t="inlineStr">
        <is>
          <t>&lt;=</t>
        </is>
      </c>
      <c r="AD136" s="35" t="inlineStr">
        <is>
          <t>&lt;=</t>
        </is>
      </c>
      <c r="AE136" s="35" t="inlineStr">
        <is>
          <t>&lt;=</t>
        </is>
      </c>
      <c r="AF136" s="35" t="inlineStr">
        <is>
          <t>&lt;=</t>
        </is>
      </c>
      <c r="AG136" s="35" t="inlineStr">
        <is>
          <t>&lt;=</t>
        </is>
      </c>
      <c r="AH136" s="35" t="inlineStr">
        <is>
          <t>&lt;=</t>
        </is>
      </c>
      <c r="AI136" s="35" t="inlineStr">
        <is>
          <t>&lt;=</t>
        </is>
      </c>
      <c r="AJ136" s="35" t="inlineStr">
        <is>
          <t>&lt;=</t>
        </is>
      </c>
      <c r="AK136" s="35" t="inlineStr">
        <is>
          <t>&lt;=</t>
        </is>
      </c>
      <c r="AL136" s="35" t="inlineStr">
        <is>
          <t>&lt;=</t>
        </is>
      </c>
      <c r="AM136" s="35" t="inlineStr">
        <is>
          <t>&lt;=</t>
        </is>
      </c>
      <c r="AN136" s="35" t="inlineStr">
        <is>
          <t>&lt;=</t>
        </is>
      </c>
      <c r="AO136" s="35" t="inlineStr">
        <is>
          <t>&lt;=</t>
        </is>
      </c>
      <c r="AP136" s="35" t="inlineStr">
        <is>
          <t>&lt;=</t>
        </is>
      </c>
      <c r="AQ136" s="35" t="inlineStr">
        <is>
          <t>&lt;=</t>
        </is>
      </c>
      <c r="AR136" s="35" t="inlineStr">
        <is>
          <t>&lt;=</t>
        </is>
      </c>
      <c r="AS136" s="35" t="inlineStr">
        <is>
          <t>&lt;=</t>
        </is>
      </c>
      <c r="AT136" s="35" t="inlineStr">
        <is>
          <t>&lt;=</t>
        </is>
      </c>
      <c r="AU136" s="35" t="inlineStr">
        <is>
          <t>&lt;=</t>
        </is>
      </c>
      <c r="AV136" s="35" t="inlineStr">
        <is>
          <t>&lt;=</t>
        </is>
      </c>
      <c r="AW136" s="35" t="inlineStr">
        <is>
          <t>&lt;=</t>
        </is>
      </c>
      <c r="AX136" s="35" t="inlineStr">
        <is>
          <t>&lt;=</t>
        </is>
      </c>
      <c r="AY136" s="35" t="inlineStr">
        <is>
          <t>&lt;=</t>
        </is>
      </c>
      <c r="AZ136" s="35" t="inlineStr">
        <is>
          <t>&lt;=</t>
        </is>
      </c>
      <c r="BA136" s="35" t="inlineStr">
        <is>
          <t>&lt;=</t>
        </is>
      </c>
      <c r="BB136" s="35" t="inlineStr">
        <is>
          <t>&lt;=</t>
        </is>
      </c>
      <c r="BC136" s="35" t="inlineStr">
        <is>
          <t>&lt;=</t>
        </is>
      </c>
      <c r="BD136" s="35" t="inlineStr">
        <is>
          <t>&lt;=</t>
        </is>
      </c>
    </row>
    <row r="137">
      <c r="A137" s="4" t="inlineStr">
        <is>
          <t xml:space="preserve">  limit</t>
        </is>
      </c>
      <c r="B137" s="2" t="inlineStr">
        <is>
          <t>cap</t>
        </is>
      </c>
      <c r="E137" s="36">
        <f>E$131</f>
        <v/>
      </c>
      <c r="F137" s="36">
        <f>F$131</f>
        <v/>
      </c>
      <c r="G137" s="36">
        <f>G$131</f>
        <v/>
      </c>
      <c r="H137" s="36">
        <f>H$131</f>
        <v/>
      </c>
      <c r="I137" s="36">
        <f>I$131</f>
        <v/>
      </c>
      <c r="J137" s="36">
        <f>J$131</f>
        <v/>
      </c>
      <c r="K137" s="36">
        <f>K$131</f>
        <v/>
      </c>
      <c r="L137" s="36">
        <f>L$131</f>
        <v/>
      </c>
      <c r="M137" s="36">
        <f>M$131</f>
        <v/>
      </c>
      <c r="N137" s="36">
        <f>N$131</f>
        <v/>
      </c>
      <c r="O137" s="36">
        <f>O$131</f>
        <v/>
      </c>
      <c r="P137" s="36">
        <f>P$131</f>
        <v/>
      </c>
      <c r="Q137" s="36">
        <f>Q$131</f>
        <v/>
      </c>
      <c r="R137" s="36">
        <f>R$131</f>
        <v/>
      </c>
      <c r="S137" s="36">
        <f>S$131</f>
        <v/>
      </c>
      <c r="T137" s="36">
        <f>T$131</f>
        <v/>
      </c>
      <c r="U137" s="36">
        <f>U$131</f>
        <v/>
      </c>
      <c r="V137" s="36">
        <f>V$131</f>
        <v/>
      </c>
      <c r="W137" s="36">
        <f>W$131</f>
        <v/>
      </c>
      <c r="X137" s="36">
        <f>X$131</f>
        <v/>
      </c>
      <c r="Y137" s="36">
        <f>Y$131</f>
        <v/>
      </c>
      <c r="Z137" s="36">
        <f>Z$131</f>
        <v/>
      </c>
      <c r="AA137" s="36">
        <f>AA$131</f>
        <v/>
      </c>
      <c r="AB137" s="36">
        <f>AB$131</f>
        <v/>
      </c>
      <c r="AC137" s="36">
        <f>AC$131</f>
        <v/>
      </c>
      <c r="AD137" s="36">
        <f>AD$131</f>
        <v/>
      </c>
      <c r="AE137" s="36">
        <f>AE$131</f>
        <v/>
      </c>
      <c r="AF137" s="36">
        <f>AF$131</f>
        <v/>
      </c>
      <c r="AG137" s="36">
        <f>AG$131</f>
        <v/>
      </c>
      <c r="AH137" s="36">
        <f>AH$131</f>
        <v/>
      </c>
      <c r="AI137" s="36">
        <f>AI$131</f>
        <v/>
      </c>
      <c r="AJ137" s="36">
        <f>AJ$131</f>
        <v/>
      </c>
      <c r="AK137" s="36">
        <f>AK$131</f>
        <v/>
      </c>
      <c r="AL137" s="36">
        <f>AL$131</f>
        <v/>
      </c>
      <c r="AM137" s="36">
        <f>AM$131</f>
        <v/>
      </c>
      <c r="AN137" s="36">
        <f>AN$131</f>
        <v/>
      </c>
      <c r="AO137" s="36">
        <f>AO$131</f>
        <v/>
      </c>
      <c r="AP137" s="36">
        <f>AP$131</f>
        <v/>
      </c>
      <c r="AQ137" s="36">
        <f>AQ$131</f>
        <v/>
      </c>
      <c r="AR137" s="36">
        <f>AR$131</f>
        <v/>
      </c>
      <c r="AS137" s="36">
        <f>AS$131</f>
        <v/>
      </c>
      <c r="AT137" s="36">
        <f>AT$131</f>
        <v/>
      </c>
      <c r="AU137" s="36">
        <f>AU$131</f>
        <v/>
      </c>
      <c r="AV137" s="36">
        <f>AV$131</f>
        <v/>
      </c>
      <c r="AW137" s="36">
        <f>AW$131</f>
        <v/>
      </c>
      <c r="AX137" s="36">
        <f>AX$131</f>
        <v/>
      </c>
      <c r="AY137" s="36">
        <f>AY$131</f>
        <v/>
      </c>
      <c r="AZ137" s="36">
        <f>AZ$131</f>
        <v/>
      </c>
      <c r="BA137" s="36">
        <f>BA$131</f>
        <v/>
      </c>
      <c r="BB137" s="36">
        <f>BB$131</f>
        <v/>
      </c>
      <c r="BC137" s="36">
        <f>BC$131</f>
        <v/>
      </c>
      <c r="BD137" s="36">
        <f>BD$131</f>
        <v/>
      </c>
    </row>
    <row r="138">
      <c r="A138" s="27" t="inlineStr">
        <is>
          <t xml:space="preserve">  room left</t>
        </is>
      </c>
      <c r="E138" s="36">
        <f>E$131-E135</f>
        <v/>
      </c>
      <c r="F138" s="36">
        <f>F$131-F135</f>
        <v/>
      </c>
      <c r="G138" s="36">
        <f>G$131-G135</f>
        <v/>
      </c>
      <c r="H138" s="36">
        <f>H$131-H135</f>
        <v/>
      </c>
      <c r="I138" s="36">
        <f>I$131-I135</f>
        <v/>
      </c>
      <c r="J138" s="36">
        <f>J$131-J135</f>
        <v/>
      </c>
      <c r="K138" s="36">
        <f>K$131-K135</f>
        <v/>
      </c>
      <c r="L138" s="36">
        <f>L$131-L135</f>
        <v/>
      </c>
      <c r="M138" s="36">
        <f>M$131-M135</f>
        <v/>
      </c>
      <c r="N138" s="36">
        <f>N$131-N135</f>
        <v/>
      </c>
      <c r="O138" s="36">
        <f>O$131-O135</f>
        <v/>
      </c>
      <c r="P138" s="36">
        <f>P$131-P135</f>
        <v/>
      </c>
      <c r="Q138" s="36">
        <f>Q$131-Q135</f>
        <v/>
      </c>
      <c r="R138" s="36">
        <f>R$131-R135</f>
        <v/>
      </c>
      <c r="S138" s="36">
        <f>S$131-S135</f>
        <v/>
      </c>
      <c r="T138" s="36">
        <f>T$131-T135</f>
        <v/>
      </c>
      <c r="U138" s="36">
        <f>U$131-U135</f>
        <v/>
      </c>
      <c r="V138" s="36">
        <f>V$131-V135</f>
        <v/>
      </c>
      <c r="W138" s="36">
        <f>W$131-W135</f>
        <v/>
      </c>
      <c r="X138" s="36">
        <f>X$131-X135</f>
        <v/>
      </c>
      <c r="Y138" s="36">
        <f>Y$131-Y135</f>
        <v/>
      </c>
      <c r="Z138" s="36">
        <f>Z$131-Z135</f>
        <v/>
      </c>
      <c r="AA138" s="36">
        <f>AA$131-AA135</f>
        <v/>
      </c>
      <c r="AB138" s="36">
        <f>AB$131-AB135</f>
        <v/>
      </c>
      <c r="AC138" s="36">
        <f>AC$131-AC135</f>
        <v/>
      </c>
      <c r="AD138" s="36">
        <f>AD$131-AD135</f>
        <v/>
      </c>
      <c r="AE138" s="36">
        <f>AE$131-AE135</f>
        <v/>
      </c>
      <c r="AF138" s="36">
        <f>AF$131-AF135</f>
        <v/>
      </c>
      <c r="AG138" s="36">
        <f>AG$131-AG135</f>
        <v/>
      </c>
      <c r="AH138" s="36">
        <f>AH$131-AH135</f>
        <v/>
      </c>
      <c r="AI138" s="36">
        <f>AI$131-AI135</f>
        <v/>
      </c>
      <c r="AJ138" s="36">
        <f>AJ$131-AJ135</f>
        <v/>
      </c>
      <c r="AK138" s="36">
        <f>AK$131-AK135</f>
        <v/>
      </c>
      <c r="AL138" s="36">
        <f>AL$131-AL135</f>
        <v/>
      </c>
      <c r="AM138" s="36">
        <f>AM$131-AM135</f>
        <v/>
      </c>
      <c r="AN138" s="36">
        <f>AN$131-AN135</f>
        <v/>
      </c>
      <c r="AO138" s="36">
        <f>AO$131-AO135</f>
        <v/>
      </c>
      <c r="AP138" s="36">
        <f>AP$131-AP135</f>
        <v/>
      </c>
      <c r="AQ138" s="36">
        <f>AQ$131-AQ135</f>
        <v/>
      </c>
      <c r="AR138" s="36">
        <f>AR$131-AR135</f>
        <v/>
      </c>
      <c r="AS138" s="36">
        <f>AS$131-AS135</f>
        <v/>
      </c>
      <c r="AT138" s="36">
        <f>AT$131-AT135</f>
        <v/>
      </c>
      <c r="AU138" s="36">
        <f>AU$131-AU135</f>
        <v/>
      </c>
      <c r="AV138" s="36">
        <f>AV$131-AV135</f>
        <v/>
      </c>
      <c r="AW138" s="36">
        <f>AW$131-AW135</f>
        <v/>
      </c>
      <c r="AX138" s="36">
        <f>AX$131-AX135</f>
        <v/>
      </c>
      <c r="AY138" s="36">
        <f>AY$131-AY135</f>
        <v/>
      </c>
      <c r="AZ138" s="36">
        <f>AZ$131-AZ135</f>
        <v/>
      </c>
      <c r="BA138" s="36">
        <f>BA$131-BA135</f>
        <v/>
      </c>
      <c r="BB138" s="36">
        <f>BB$131-BB135</f>
        <v/>
      </c>
      <c r="BC138" s="36">
        <f>BC$131-BC135</f>
        <v/>
      </c>
      <c r="BD138" s="36">
        <f>BD$131-BD135</f>
        <v/>
      </c>
    </row>
    <row r="139">
      <c r="A139" s="2" t="inlineStr">
        <is>
          <t xml:space="preserve">   Hours the crops need that week, against what the crew can give. The app's C2 — and on this farm it is the constraint that binds hardest.</t>
        </is>
      </c>
    </row>
    <row r="142">
      <c r="A142" s="22" t="inlineStr">
        <is>
          <t>Week</t>
        </is>
      </c>
      <c r="B142" s="33" t="inlineStr">
        <is>
          <t>hours</t>
        </is>
      </c>
      <c r="E142" s="25" t="n">
        <v>1</v>
      </c>
      <c r="F142" s="25" t="n">
        <v>2</v>
      </c>
      <c r="G142" s="25" t="n">
        <v>3</v>
      </c>
      <c r="H142" s="25" t="n">
        <v>4</v>
      </c>
      <c r="I142" s="25" t="n">
        <v>5</v>
      </c>
      <c r="J142" s="25" t="n">
        <v>6</v>
      </c>
      <c r="K142" s="25" t="n">
        <v>7</v>
      </c>
      <c r="L142" s="25" t="n">
        <v>8</v>
      </c>
      <c r="M142" s="25" t="n">
        <v>9</v>
      </c>
      <c r="N142" s="25" t="n">
        <v>10</v>
      </c>
      <c r="O142" s="25" t="n">
        <v>11</v>
      </c>
      <c r="P142" s="25" t="n">
        <v>12</v>
      </c>
      <c r="Q142" s="25" t="n">
        <v>13</v>
      </c>
      <c r="R142" s="25" t="n">
        <v>14</v>
      </c>
      <c r="S142" s="25" t="n">
        <v>15</v>
      </c>
      <c r="T142" s="25" t="n">
        <v>16</v>
      </c>
      <c r="U142" s="25" t="n">
        <v>17</v>
      </c>
      <c r="V142" s="25" t="n">
        <v>18</v>
      </c>
      <c r="W142" s="25" t="n">
        <v>19</v>
      </c>
      <c r="X142" s="25" t="n">
        <v>20</v>
      </c>
      <c r="Y142" s="25" t="n">
        <v>21</v>
      </c>
      <c r="Z142" s="25" t="n">
        <v>22</v>
      </c>
      <c r="AA142" s="25" t="n">
        <v>23</v>
      </c>
      <c r="AB142" s="25" t="n">
        <v>24</v>
      </c>
      <c r="AC142" s="25" t="n">
        <v>25</v>
      </c>
      <c r="AD142" s="25" t="n">
        <v>26</v>
      </c>
      <c r="AE142" s="25" t="n">
        <v>27</v>
      </c>
      <c r="AF142" s="25" t="n">
        <v>28</v>
      </c>
      <c r="AG142" s="25" t="n">
        <v>29</v>
      </c>
      <c r="AH142" s="25" t="n">
        <v>30</v>
      </c>
      <c r="AI142" s="25" t="n">
        <v>31</v>
      </c>
      <c r="AJ142" s="25" t="n">
        <v>32</v>
      </c>
      <c r="AK142" s="25" t="n">
        <v>33</v>
      </c>
      <c r="AL142" s="25" t="n">
        <v>34</v>
      </c>
      <c r="AM142" s="25" t="n">
        <v>35</v>
      </c>
      <c r="AN142" s="25" t="n">
        <v>36</v>
      </c>
      <c r="AO142" s="25" t="n">
        <v>37</v>
      </c>
      <c r="AP142" s="25" t="n">
        <v>38</v>
      </c>
      <c r="AQ142" s="25" t="n">
        <v>39</v>
      </c>
      <c r="AR142" s="25" t="n">
        <v>40</v>
      </c>
      <c r="AS142" s="25" t="n">
        <v>41</v>
      </c>
      <c r="AT142" s="25" t="n">
        <v>42</v>
      </c>
      <c r="AU142" s="25" t="n">
        <v>43</v>
      </c>
      <c r="AV142" s="25" t="n">
        <v>44</v>
      </c>
      <c r="AW142" s="25" t="n">
        <v>45</v>
      </c>
      <c r="AX142" s="25" t="n">
        <v>46</v>
      </c>
      <c r="AY142" s="25" t="n">
        <v>47</v>
      </c>
      <c r="AZ142" s="25" t="n">
        <v>48</v>
      </c>
      <c r="BA142" s="25" t="n">
        <v>49</v>
      </c>
      <c r="BB142" s="25" t="n">
        <v>50</v>
      </c>
      <c r="BC142" s="25" t="n">
        <v>51</v>
      </c>
      <c r="BD142" s="25" t="n">
        <v>52</v>
      </c>
    </row>
    <row r="143">
      <c r="A143" s="4" t="inlineStr">
        <is>
          <t>OVERTIME bought</t>
        </is>
      </c>
      <c r="B143" s="2" t="inlineStr">
        <is>
          <t>used</t>
        </is>
      </c>
      <c r="E143" s="36">
        <f>E128</f>
        <v/>
      </c>
      <c r="F143" s="36">
        <f>F128</f>
        <v/>
      </c>
      <c r="G143" s="36">
        <f>G128</f>
        <v/>
      </c>
      <c r="H143" s="36">
        <f>H128</f>
        <v/>
      </c>
      <c r="I143" s="36">
        <f>I128</f>
        <v/>
      </c>
      <c r="J143" s="36">
        <f>J128</f>
        <v/>
      </c>
      <c r="K143" s="36">
        <f>K128</f>
        <v/>
      </c>
      <c r="L143" s="36">
        <f>L128</f>
        <v/>
      </c>
      <c r="M143" s="36">
        <f>M128</f>
        <v/>
      </c>
      <c r="N143" s="36">
        <f>N128</f>
        <v/>
      </c>
      <c r="O143" s="36">
        <f>O128</f>
        <v/>
      </c>
      <c r="P143" s="36">
        <f>P128</f>
        <v/>
      </c>
      <c r="Q143" s="36">
        <f>Q128</f>
        <v/>
      </c>
      <c r="R143" s="36">
        <f>R128</f>
        <v/>
      </c>
      <c r="S143" s="36">
        <f>S128</f>
        <v/>
      </c>
      <c r="T143" s="36">
        <f>T128</f>
        <v/>
      </c>
      <c r="U143" s="36">
        <f>U128</f>
        <v/>
      </c>
      <c r="V143" s="36">
        <f>V128</f>
        <v/>
      </c>
      <c r="W143" s="36">
        <f>W128</f>
        <v/>
      </c>
      <c r="X143" s="36">
        <f>X128</f>
        <v/>
      </c>
      <c r="Y143" s="36">
        <f>Y128</f>
        <v/>
      </c>
      <c r="Z143" s="36">
        <f>Z128</f>
        <v/>
      </c>
      <c r="AA143" s="36">
        <f>AA128</f>
        <v/>
      </c>
      <c r="AB143" s="36">
        <f>AB128</f>
        <v/>
      </c>
      <c r="AC143" s="36">
        <f>AC128</f>
        <v/>
      </c>
      <c r="AD143" s="36">
        <f>AD128</f>
        <v/>
      </c>
      <c r="AE143" s="36">
        <f>AE128</f>
        <v/>
      </c>
      <c r="AF143" s="36">
        <f>AF128</f>
        <v/>
      </c>
      <c r="AG143" s="36">
        <f>AG128</f>
        <v/>
      </c>
      <c r="AH143" s="36">
        <f>AH128</f>
        <v/>
      </c>
      <c r="AI143" s="36">
        <f>AI128</f>
        <v/>
      </c>
      <c r="AJ143" s="36">
        <f>AJ128</f>
        <v/>
      </c>
      <c r="AK143" s="36">
        <f>AK128</f>
        <v/>
      </c>
      <c r="AL143" s="36">
        <f>AL128</f>
        <v/>
      </c>
      <c r="AM143" s="36">
        <f>AM128</f>
        <v/>
      </c>
      <c r="AN143" s="36">
        <f>AN128</f>
        <v/>
      </c>
      <c r="AO143" s="36">
        <f>AO128</f>
        <v/>
      </c>
      <c r="AP143" s="36">
        <f>AP128</f>
        <v/>
      </c>
      <c r="AQ143" s="36">
        <f>AQ128</f>
        <v/>
      </c>
      <c r="AR143" s="36">
        <f>AR128</f>
        <v/>
      </c>
      <c r="AS143" s="36">
        <f>AS128</f>
        <v/>
      </c>
      <c r="AT143" s="36">
        <f>AT128</f>
        <v/>
      </c>
      <c r="AU143" s="36">
        <f>AU128</f>
        <v/>
      </c>
      <c r="AV143" s="36">
        <f>AV128</f>
        <v/>
      </c>
      <c r="AW143" s="36">
        <f>AW128</f>
        <v/>
      </c>
      <c r="AX143" s="36">
        <f>AX128</f>
        <v/>
      </c>
      <c r="AY143" s="36">
        <f>AY128</f>
        <v/>
      </c>
      <c r="AZ143" s="36">
        <f>AZ128</f>
        <v/>
      </c>
      <c r="BA143" s="36">
        <f>BA128</f>
        <v/>
      </c>
      <c r="BB143" s="36">
        <f>BB128</f>
        <v/>
      </c>
      <c r="BC143" s="36">
        <f>BC128</f>
        <v/>
      </c>
      <c r="BD143" s="36">
        <f>BD128</f>
        <v/>
      </c>
    </row>
    <row r="144">
      <c r="A144" s="4" t="inlineStr"/>
      <c r="E144" s="35" t="inlineStr">
        <is>
          <t>&lt;=</t>
        </is>
      </c>
      <c r="F144" s="35" t="inlineStr">
        <is>
          <t>&lt;=</t>
        </is>
      </c>
      <c r="G144" s="35" t="inlineStr">
        <is>
          <t>&lt;=</t>
        </is>
      </c>
      <c r="H144" s="35" t="inlineStr">
        <is>
          <t>&lt;=</t>
        </is>
      </c>
      <c r="I144" s="35" t="inlineStr">
        <is>
          <t>&lt;=</t>
        </is>
      </c>
      <c r="J144" s="35" t="inlineStr">
        <is>
          <t>&lt;=</t>
        </is>
      </c>
      <c r="K144" s="35" t="inlineStr">
        <is>
          <t>&lt;=</t>
        </is>
      </c>
      <c r="L144" s="35" t="inlineStr">
        <is>
          <t>&lt;=</t>
        </is>
      </c>
      <c r="M144" s="35" t="inlineStr">
        <is>
          <t>&lt;=</t>
        </is>
      </c>
      <c r="N144" s="35" t="inlineStr">
        <is>
          <t>&lt;=</t>
        </is>
      </c>
      <c r="O144" s="35" t="inlineStr">
        <is>
          <t>&lt;=</t>
        </is>
      </c>
      <c r="P144" s="35" t="inlineStr">
        <is>
          <t>&lt;=</t>
        </is>
      </c>
      <c r="Q144" s="35" t="inlineStr">
        <is>
          <t>&lt;=</t>
        </is>
      </c>
      <c r="R144" s="35" t="inlineStr">
        <is>
          <t>&lt;=</t>
        </is>
      </c>
      <c r="S144" s="35" t="inlineStr">
        <is>
          <t>&lt;=</t>
        </is>
      </c>
      <c r="T144" s="35" t="inlineStr">
        <is>
          <t>&lt;=</t>
        </is>
      </c>
      <c r="U144" s="35" t="inlineStr">
        <is>
          <t>&lt;=</t>
        </is>
      </c>
      <c r="V144" s="35" t="inlineStr">
        <is>
          <t>&lt;=</t>
        </is>
      </c>
      <c r="W144" s="35" t="inlineStr">
        <is>
          <t>&lt;=</t>
        </is>
      </c>
      <c r="X144" s="35" t="inlineStr">
        <is>
          <t>&lt;=</t>
        </is>
      </c>
      <c r="Y144" s="35" t="inlineStr">
        <is>
          <t>&lt;=</t>
        </is>
      </c>
      <c r="Z144" s="35" t="inlineStr">
        <is>
          <t>&lt;=</t>
        </is>
      </c>
      <c r="AA144" s="35" t="inlineStr">
        <is>
          <t>&lt;=</t>
        </is>
      </c>
      <c r="AB144" s="35" t="inlineStr">
        <is>
          <t>&lt;=</t>
        </is>
      </c>
      <c r="AC144" s="35" t="inlineStr">
        <is>
          <t>&lt;=</t>
        </is>
      </c>
      <c r="AD144" s="35" t="inlineStr">
        <is>
          <t>&lt;=</t>
        </is>
      </c>
      <c r="AE144" s="35" t="inlineStr">
        <is>
          <t>&lt;=</t>
        </is>
      </c>
      <c r="AF144" s="35" t="inlineStr">
        <is>
          <t>&lt;=</t>
        </is>
      </c>
      <c r="AG144" s="35" t="inlineStr">
        <is>
          <t>&lt;=</t>
        </is>
      </c>
      <c r="AH144" s="35" t="inlineStr">
        <is>
          <t>&lt;=</t>
        </is>
      </c>
      <c r="AI144" s="35" t="inlineStr">
        <is>
          <t>&lt;=</t>
        </is>
      </c>
      <c r="AJ144" s="35" t="inlineStr">
        <is>
          <t>&lt;=</t>
        </is>
      </c>
      <c r="AK144" s="35" t="inlineStr">
        <is>
          <t>&lt;=</t>
        </is>
      </c>
      <c r="AL144" s="35" t="inlineStr">
        <is>
          <t>&lt;=</t>
        </is>
      </c>
      <c r="AM144" s="35" t="inlineStr">
        <is>
          <t>&lt;=</t>
        </is>
      </c>
      <c r="AN144" s="35" t="inlineStr">
        <is>
          <t>&lt;=</t>
        </is>
      </c>
      <c r="AO144" s="35" t="inlineStr">
        <is>
          <t>&lt;=</t>
        </is>
      </c>
      <c r="AP144" s="35" t="inlineStr">
        <is>
          <t>&lt;=</t>
        </is>
      </c>
      <c r="AQ144" s="35" t="inlineStr">
        <is>
          <t>&lt;=</t>
        </is>
      </c>
      <c r="AR144" s="35" t="inlineStr">
        <is>
          <t>&lt;=</t>
        </is>
      </c>
      <c r="AS144" s="35" t="inlineStr">
        <is>
          <t>&lt;=</t>
        </is>
      </c>
      <c r="AT144" s="35" t="inlineStr">
        <is>
          <t>&lt;=</t>
        </is>
      </c>
      <c r="AU144" s="35" t="inlineStr">
        <is>
          <t>&lt;=</t>
        </is>
      </c>
      <c r="AV144" s="35" t="inlineStr">
        <is>
          <t>&lt;=</t>
        </is>
      </c>
      <c r="AW144" s="35" t="inlineStr">
        <is>
          <t>&lt;=</t>
        </is>
      </c>
      <c r="AX144" s="35" t="inlineStr">
        <is>
          <t>&lt;=</t>
        </is>
      </c>
      <c r="AY144" s="35" t="inlineStr">
        <is>
          <t>&lt;=</t>
        </is>
      </c>
      <c r="AZ144" s="35" t="inlineStr">
        <is>
          <t>&lt;=</t>
        </is>
      </c>
      <c r="BA144" s="35" t="inlineStr">
        <is>
          <t>&lt;=</t>
        </is>
      </c>
      <c r="BB144" s="35" t="inlineStr">
        <is>
          <t>&lt;=</t>
        </is>
      </c>
      <c r="BC144" s="35" t="inlineStr">
        <is>
          <t>&lt;=</t>
        </is>
      </c>
      <c r="BD144" s="35" t="inlineStr">
        <is>
          <t>&lt;=</t>
        </is>
      </c>
    </row>
    <row r="145">
      <c r="A145" s="4" t="inlineStr">
        <is>
          <t xml:space="preserve">  limit</t>
        </is>
      </c>
      <c r="B145" s="2" t="inlineStr">
        <is>
          <t>cap</t>
        </is>
      </c>
      <c r="E145" s="36">
        <f>$B$33</f>
        <v/>
      </c>
      <c r="F145" s="36">
        <f>$B$33</f>
        <v/>
      </c>
      <c r="G145" s="36">
        <f>$B$33</f>
        <v/>
      </c>
      <c r="H145" s="36">
        <f>$B$33</f>
        <v/>
      </c>
      <c r="I145" s="36">
        <f>$B$33</f>
        <v/>
      </c>
      <c r="J145" s="36">
        <f>$B$33</f>
        <v/>
      </c>
      <c r="K145" s="36">
        <f>$B$33</f>
        <v/>
      </c>
      <c r="L145" s="36">
        <f>$B$33</f>
        <v/>
      </c>
      <c r="M145" s="36">
        <f>$B$33</f>
        <v/>
      </c>
      <c r="N145" s="36">
        <f>$B$33</f>
        <v/>
      </c>
      <c r="O145" s="36">
        <f>$B$33</f>
        <v/>
      </c>
      <c r="P145" s="36">
        <f>$B$33</f>
        <v/>
      </c>
      <c r="Q145" s="36">
        <f>$B$33</f>
        <v/>
      </c>
      <c r="R145" s="36">
        <f>$B$33</f>
        <v/>
      </c>
      <c r="S145" s="36">
        <f>$B$33</f>
        <v/>
      </c>
      <c r="T145" s="36">
        <f>$B$33</f>
        <v/>
      </c>
      <c r="U145" s="36">
        <f>$B$33</f>
        <v/>
      </c>
      <c r="V145" s="36">
        <f>$B$33</f>
        <v/>
      </c>
      <c r="W145" s="36">
        <f>$B$33</f>
        <v/>
      </c>
      <c r="X145" s="36">
        <f>$B$33</f>
        <v/>
      </c>
      <c r="Y145" s="36">
        <f>$B$33</f>
        <v/>
      </c>
      <c r="Z145" s="36">
        <f>$B$33</f>
        <v/>
      </c>
      <c r="AA145" s="36">
        <f>$B$33</f>
        <v/>
      </c>
      <c r="AB145" s="36">
        <f>$B$33</f>
        <v/>
      </c>
      <c r="AC145" s="36">
        <f>$B$33</f>
        <v/>
      </c>
      <c r="AD145" s="36">
        <f>$B$33</f>
        <v/>
      </c>
      <c r="AE145" s="36">
        <f>$B$33</f>
        <v/>
      </c>
      <c r="AF145" s="36">
        <f>$B$33</f>
        <v/>
      </c>
      <c r="AG145" s="36">
        <f>$B$33</f>
        <v/>
      </c>
      <c r="AH145" s="36">
        <f>$B$33</f>
        <v/>
      </c>
      <c r="AI145" s="36">
        <f>$B$33</f>
        <v/>
      </c>
      <c r="AJ145" s="36">
        <f>$B$33</f>
        <v/>
      </c>
      <c r="AK145" s="36">
        <f>$B$33</f>
        <v/>
      </c>
      <c r="AL145" s="36">
        <f>$B$33</f>
        <v/>
      </c>
      <c r="AM145" s="36">
        <f>$B$33</f>
        <v/>
      </c>
      <c r="AN145" s="36">
        <f>$B$33</f>
        <v/>
      </c>
      <c r="AO145" s="36">
        <f>$B$33</f>
        <v/>
      </c>
      <c r="AP145" s="36">
        <f>$B$33</f>
        <v/>
      </c>
      <c r="AQ145" s="36">
        <f>$B$33</f>
        <v/>
      </c>
      <c r="AR145" s="36">
        <f>$B$33</f>
        <v/>
      </c>
      <c r="AS145" s="36">
        <f>$B$33</f>
        <v/>
      </c>
      <c r="AT145" s="36">
        <f>$B$33</f>
        <v/>
      </c>
      <c r="AU145" s="36">
        <f>$B$33</f>
        <v/>
      </c>
      <c r="AV145" s="36">
        <f>$B$33</f>
        <v/>
      </c>
      <c r="AW145" s="36">
        <f>$B$33</f>
        <v/>
      </c>
      <c r="AX145" s="36">
        <f>$B$33</f>
        <v/>
      </c>
      <c r="AY145" s="36">
        <f>$B$33</f>
        <v/>
      </c>
      <c r="AZ145" s="36">
        <f>$B$33</f>
        <v/>
      </c>
      <c r="BA145" s="36">
        <f>$B$33</f>
        <v/>
      </c>
      <c r="BB145" s="36">
        <f>$B$33</f>
        <v/>
      </c>
      <c r="BC145" s="36">
        <f>$B$33</f>
        <v/>
      </c>
      <c r="BD145" s="36">
        <f>$B$33</f>
        <v/>
      </c>
    </row>
    <row r="146">
      <c r="A146" s="27" t="inlineStr">
        <is>
          <t xml:space="preserve">  room left</t>
        </is>
      </c>
      <c r="E146" s="36">
        <f>$B$33-E143</f>
        <v/>
      </c>
      <c r="F146" s="36">
        <f>$B$33-F143</f>
        <v/>
      </c>
      <c r="G146" s="36">
        <f>$B$33-G143</f>
        <v/>
      </c>
      <c r="H146" s="36">
        <f>$B$33-H143</f>
        <v/>
      </c>
      <c r="I146" s="36">
        <f>$B$33-I143</f>
        <v/>
      </c>
      <c r="J146" s="36">
        <f>$B$33-J143</f>
        <v/>
      </c>
      <c r="K146" s="36">
        <f>$B$33-K143</f>
        <v/>
      </c>
      <c r="L146" s="36">
        <f>$B$33-L143</f>
        <v/>
      </c>
      <c r="M146" s="36">
        <f>$B$33-M143</f>
        <v/>
      </c>
      <c r="N146" s="36">
        <f>$B$33-N143</f>
        <v/>
      </c>
      <c r="O146" s="36">
        <f>$B$33-O143</f>
        <v/>
      </c>
      <c r="P146" s="36">
        <f>$B$33-P143</f>
        <v/>
      </c>
      <c r="Q146" s="36">
        <f>$B$33-Q143</f>
        <v/>
      </c>
      <c r="R146" s="36">
        <f>$B$33-R143</f>
        <v/>
      </c>
      <c r="S146" s="36">
        <f>$B$33-S143</f>
        <v/>
      </c>
      <c r="T146" s="36">
        <f>$B$33-T143</f>
        <v/>
      </c>
      <c r="U146" s="36">
        <f>$B$33-U143</f>
        <v/>
      </c>
      <c r="V146" s="36">
        <f>$B$33-V143</f>
        <v/>
      </c>
      <c r="W146" s="36">
        <f>$B$33-W143</f>
        <v/>
      </c>
      <c r="X146" s="36">
        <f>$B$33-X143</f>
        <v/>
      </c>
      <c r="Y146" s="36">
        <f>$B$33-Y143</f>
        <v/>
      </c>
      <c r="Z146" s="36">
        <f>$B$33-Z143</f>
        <v/>
      </c>
      <c r="AA146" s="36">
        <f>$B$33-AA143</f>
        <v/>
      </c>
      <c r="AB146" s="36">
        <f>$B$33-AB143</f>
        <v/>
      </c>
      <c r="AC146" s="36">
        <f>$B$33-AC143</f>
        <v/>
      </c>
      <c r="AD146" s="36">
        <f>$B$33-AD143</f>
        <v/>
      </c>
      <c r="AE146" s="36">
        <f>$B$33-AE143</f>
        <v/>
      </c>
      <c r="AF146" s="36">
        <f>$B$33-AF143</f>
        <v/>
      </c>
      <c r="AG146" s="36">
        <f>$B$33-AG143</f>
        <v/>
      </c>
      <c r="AH146" s="36">
        <f>$B$33-AH143</f>
        <v/>
      </c>
      <c r="AI146" s="36">
        <f>$B$33-AI143</f>
        <v/>
      </c>
      <c r="AJ146" s="36">
        <f>$B$33-AJ143</f>
        <v/>
      </c>
      <c r="AK146" s="36">
        <f>$B$33-AK143</f>
        <v/>
      </c>
      <c r="AL146" s="36">
        <f>$B$33-AL143</f>
        <v/>
      </c>
      <c r="AM146" s="36">
        <f>$B$33-AM143</f>
        <v/>
      </c>
      <c r="AN146" s="36">
        <f>$B$33-AN143</f>
        <v/>
      </c>
      <c r="AO146" s="36">
        <f>$B$33-AO143</f>
        <v/>
      </c>
      <c r="AP146" s="36">
        <f>$B$33-AP143</f>
        <v/>
      </c>
      <c r="AQ146" s="36">
        <f>$B$33-AQ143</f>
        <v/>
      </c>
      <c r="AR146" s="36">
        <f>$B$33-AR143</f>
        <v/>
      </c>
      <c r="AS146" s="36">
        <f>$B$33-AS143</f>
        <v/>
      </c>
      <c r="AT146" s="36">
        <f>$B$33-AT143</f>
        <v/>
      </c>
      <c r="AU146" s="36">
        <f>$B$33-AU143</f>
        <v/>
      </c>
      <c r="AV146" s="36">
        <f>$B$33-AV143</f>
        <v/>
      </c>
      <c r="AW146" s="36">
        <f>$B$33-AW143</f>
        <v/>
      </c>
      <c r="AX146" s="36">
        <f>$B$33-AX143</f>
        <v/>
      </c>
      <c r="AY146" s="36">
        <f>$B$33-AY143</f>
        <v/>
      </c>
      <c r="AZ146" s="36">
        <f>$B$33-AZ143</f>
        <v/>
      </c>
      <c r="BA146" s="36">
        <f>$B$33-BA143</f>
        <v/>
      </c>
      <c r="BB146" s="36">
        <f>$B$33-BB143</f>
        <v/>
      </c>
      <c r="BC146" s="36">
        <f>$B$33-BC143</f>
        <v/>
      </c>
      <c r="BD146" s="36">
        <f>$B$33-BD143</f>
        <v/>
      </c>
    </row>
    <row r="147">
      <c r="A147" s="2" t="inlineStr">
        <is>
          <t xml:space="preserve">   Your own crew, working longer. Capped because a week only holds so many hours.</t>
        </is>
      </c>
    </row>
    <row r="149">
      <c r="A149" s="4" t="inlineStr">
        <is>
          <t>HIRED bought</t>
        </is>
      </c>
      <c r="B149" s="2" t="inlineStr">
        <is>
          <t>used</t>
        </is>
      </c>
      <c r="E149" s="36">
        <f>E129</f>
        <v/>
      </c>
      <c r="F149" s="36">
        <f>F129</f>
        <v/>
      </c>
      <c r="G149" s="36">
        <f>G129</f>
        <v/>
      </c>
      <c r="H149" s="36">
        <f>H129</f>
        <v/>
      </c>
      <c r="I149" s="36">
        <f>I129</f>
        <v/>
      </c>
      <c r="J149" s="36">
        <f>J129</f>
        <v/>
      </c>
      <c r="K149" s="36">
        <f>K129</f>
        <v/>
      </c>
      <c r="L149" s="36">
        <f>L129</f>
        <v/>
      </c>
      <c r="M149" s="36">
        <f>M129</f>
        <v/>
      </c>
      <c r="N149" s="36">
        <f>N129</f>
        <v/>
      </c>
      <c r="O149" s="36">
        <f>O129</f>
        <v/>
      </c>
      <c r="P149" s="36">
        <f>P129</f>
        <v/>
      </c>
      <c r="Q149" s="36">
        <f>Q129</f>
        <v/>
      </c>
      <c r="R149" s="36">
        <f>R129</f>
        <v/>
      </c>
      <c r="S149" s="36">
        <f>S129</f>
        <v/>
      </c>
      <c r="T149" s="36">
        <f>T129</f>
        <v/>
      </c>
      <c r="U149" s="36">
        <f>U129</f>
        <v/>
      </c>
      <c r="V149" s="36">
        <f>V129</f>
        <v/>
      </c>
      <c r="W149" s="36">
        <f>W129</f>
        <v/>
      </c>
      <c r="X149" s="36">
        <f>X129</f>
        <v/>
      </c>
      <c r="Y149" s="36">
        <f>Y129</f>
        <v/>
      </c>
      <c r="Z149" s="36">
        <f>Z129</f>
        <v/>
      </c>
      <c r="AA149" s="36">
        <f>AA129</f>
        <v/>
      </c>
      <c r="AB149" s="36">
        <f>AB129</f>
        <v/>
      </c>
      <c r="AC149" s="36">
        <f>AC129</f>
        <v/>
      </c>
      <c r="AD149" s="36">
        <f>AD129</f>
        <v/>
      </c>
      <c r="AE149" s="36">
        <f>AE129</f>
        <v/>
      </c>
      <c r="AF149" s="36">
        <f>AF129</f>
        <v/>
      </c>
      <c r="AG149" s="36">
        <f>AG129</f>
        <v/>
      </c>
      <c r="AH149" s="36">
        <f>AH129</f>
        <v/>
      </c>
      <c r="AI149" s="36">
        <f>AI129</f>
        <v/>
      </c>
      <c r="AJ149" s="36">
        <f>AJ129</f>
        <v/>
      </c>
      <c r="AK149" s="36">
        <f>AK129</f>
        <v/>
      </c>
      <c r="AL149" s="36">
        <f>AL129</f>
        <v/>
      </c>
      <c r="AM149" s="36">
        <f>AM129</f>
        <v/>
      </c>
      <c r="AN149" s="36">
        <f>AN129</f>
        <v/>
      </c>
      <c r="AO149" s="36">
        <f>AO129</f>
        <v/>
      </c>
      <c r="AP149" s="36">
        <f>AP129</f>
        <v/>
      </c>
      <c r="AQ149" s="36">
        <f>AQ129</f>
        <v/>
      </c>
      <c r="AR149" s="36">
        <f>AR129</f>
        <v/>
      </c>
      <c r="AS149" s="36">
        <f>AS129</f>
        <v/>
      </c>
      <c r="AT149" s="36">
        <f>AT129</f>
        <v/>
      </c>
      <c r="AU149" s="36">
        <f>AU129</f>
        <v/>
      </c>
      <c r="AV149" s="36">
        <f>AV129</f>
        <v/>
      </c>
      <c r="AW149" s="36">
        <f>AW129</f>
        <v/>
      </c>
      <c r="AX149" s="36">
        <f>AX129</f>
        <v/>
      </c>
      <c r="AY149" s="36">
        <f>AY129</f>
        <v/>
      </c>
      <c r="AZ149" s="36">
        <f>AZ129</f>
        <v/>
      </c>
      <c r="BA149" s="36">
        <f>BA129</f>
        <v/>
      </c>
      <c r="BB149" s="36">
        <f>BB129</f>
        <v/>
      </c>
      <c r="BC149" s="36">
        <f>BC129</f>
        <v/>
      </c>
      <c r="BD149" s="36">
        <f>BD129</f>
        <v/>
      </c>
    </row>
    <row r="150">
      <c r="A150" s="4" t="inlineStr"/>
      <c r="E150" s="35" t="inlineStr">
        <is>
          <t>&lt;=</t>
        </is>
      </c>
      <c r="F150" s="35" t="inlineStr">
        <is>
          <t>&lt;=</t>
        </is>
      </c>
      <c r="G150" s="35" t="inlineStr">
        <is>
          <t>&lt;=</t>
        </is>
      </c>
      <c r="H150" s="35" t="inlineStr">
        <is>
          <t>&lt;=</t>
        </is>
      </c>
      <c r="I150" s="35" t="inlineStr">
        <is>
          <t>&lt;=</t>
        </is>
      </c>
      <c r="J150" s="35" t="inlineStr">
        <is>
          <t>&lt;=</t>
        </is>
      </c>
      <c r="K150" s="35" t="inlineStr">
        <is>
          <t>&lt;=</t>
        </is>
      </c>
      <c r="L150" s="35" t="inlineStr">
        <is>
          <t>&lt;=</t>
        </is>
      </c>
      <c r="M150" s="35" t="inlineStr">
        <is>
          <t>&lt;=</t>
        </is>
      </c>
      <c r="N150" s="35" t="inlineStr">
        <is>
          <t>&lt;=</t>
        </is>
      </c>
      <c r="O150" s="35" t="inlineStr">
        <is>
          <t>&lt;=</t>
        </is>
      </c>
      <c r="P150" s="35" t="inlineStr">
        <is>
          <t>&lt;=</t>
        </is>
      </c>
      <c r="Q150" s="35" t="inlineStr">
        <is>
          <t>&lt;=</t>
        </is>
      </c>
      <c r="R150" s="35" t="inlineStr">
        <is>
          <t>&lt;=</t>
        </is>
      </c>
      <c r="S150" s="35" t="inlineStr">
        <is>
          <t>&lt;=</t>
        </is>
      </c>
      <c r="T150" s="35" t="inlineStr">
        <is>
          <t>&lt;=</t>
        </is>
      </c>
      <c r="U150" s="35" t="inlineStr">
        <is>
          <t>&lt;=</t>
        </is>
      </c>
      <c r="V150" s="35" t="inlineStr">
        <is>
          <t>&lt;=</t>
        </is>
      </c>
      <c r="W150" s="35" t="inlineStr">
        <is>
          <t>&lt;=</t>
        </is>
      </c>
      <c r="X150" s="35" t="inlineStr">
        <is>
          <t>&lt;=</t>
        </is>
      </c>
      <c r="Y150" s="35" t="inlineStr">
        <is>
          <t>&lt;=</t>
        </is>
      </c>
      <c r="Z150" s="35" t="inlineStr">
        <is>
          <t>&lt;=</t>
        </is>
      </c>
      <c r="AA150" s="35" t="inlineStr">
        <is>
          <t>&lt;=</t>
        </is>
      </c>
      <c r="AB150" s="35" t="inlineStr">
        <is>
          <t>&lt;=</t>
        </is>
      </c>
      <c r="AC150" s="35" t="inlineStr">
        <is>
          <t>&lt;=</t>
        </is>
      </c>
      <c r="AD150" s="35" t="inlineStr">
        <is>
          <t>&lt;=</t>
        </is>
      </c>
      <c r="AE150" s="35" t="inlineStr">
        <is>
          <t>&lt;=</t>
        </is>
      </c>
      <c r="AF150" s="35" t="inlineStr">
        <is>
          <t>&lt;=</t>
        </is>
      </c>
      <c r="AG150" s="35" t="inlineStr">
        <is>
          <t>&lt;=</t>
        </is>
      </c>
      <c r="AH150" s="35" t="inlineStr">
        <is>
          <t>&lt;=</t>
        </is>
      </c>
      <c r="AI150" s="35" t="inlineStr">
        <is>
          <t>&lt;=</t>
        </is>
      </c>
      <c r="AJ150" s="35" t="inlineStr">
        <is>
          <t>&lt;=</t>
        </is>
      </c>
      <c r="AK150" s="35" t="inlineStr">
        <is>
          <t>&lt;=</t>
        </is>
      </c>
      <c r="AL150" s="35" t="inlineStr">
        <is>
          <t>&lt;=</t>
        </is>
      </c>
      <c r="AM150" s="35" t="inlineStr">
        <is>
          <t>&lt;=</t>
        </is>
      </c>
      <c r="AN150" s="35" t="inlineStr">
        <is>
          <t>&lt;=</t>
        </is>
      </c>
      <c r="AO150" s="35" t="inlineStr">
        <is>
          <t>&lt;=</t>
        </is>
      </c>
      <c r="AP150" s="35" t="inlineStr">
        <is>
          <t>&lt;=</t>
        </is>
      </c>
      <c r="AQ150" s="35" t="inlineStr">
        <is>
          <t>&lt;=</t>
        </is>
      </c>
      <c r="AR150" s="35" t="inlineStr">
        <is>
          <t>&lt;=</t>
        </is>
      </c>
      <c r="AS150" s="35" t="inlineStr">
        <is>
          <t>&lt;=</t>
        </is>
      </c>
      <c r="AT150" s="35" t="inlineStr">
        <is>
          <t>&lt;=</t>
        </is>
      </c>
      <c r="AU150" s="35" t="inlineStr">
        <is>
          <t>&lt;=</t>
        </is>
      </c>
      <c r="AV150" s="35" t="inlineStr">
        <is>
          <t>&lt;=</t>
        </is>
      </c>
      <c r="AW150" s="35" t="inlineStr">
        <is>
          <t>&lt;=</t>
        </is>
      </c>
      <c r="AX150" s="35" t="inlineStr">
        <is>
          <t>&lt;=</t>
        </is>
      </c>
      <c r="AY150" s="35" t="inlineStr">
        <is>
          <t>&lt;=</t>
        </is>
      </c>
      <c r="AZ150" s="35" t="inlineStr">
        <is>
          <t>&lt;=</t>
        </is>
      </c>
      <c r="BA150" s="35" t="inlineStr">
        <is>
          <t>&lt;=</t>
        </is>
      </c>
      <c r="BB150" s="35" t="inlineStr">
        <is>
          <t>&lt;=</t>
        </is>
      </c>
      <c r="BC150" s="35" t="inlineStr">
        <is>
          <t>&lt;=</t>
        </is>
      </c>
      <c r="BD150" s="35" t="inlineStr">
        <is>
          <t>&lt;=</t>
        </is>
      </c>
    </row>
    <row r="151">
      <c r="A151" s="4" t="inlineStr">
        <is>
          <t xml:space="preserve">  limit</t>
        </is>
      </c>
      <c r="B151" s="2" t="inlineStr">
        <is>
          <t>cap</t>
        </is>
      </c>
      <c r="E151" s="36">
        <f>$B$36</f>
        <v/>
      </c>
      <c r="F151" s="36">
        <f>$B$36</f>
        <v/>
      </c>
      <c r="G151" s="36">
        <f>$B$36</f>
        <v/>
      </c>
      <c r="H151" s="36">
        <f>$B$36</f>
        <v/>
      </c>
      <c r="I151" s="36">
        <f>$B$36</f>
        <v/>
      </c>
      <c r="J151" s="36">
        <f>$B$36</f>
        <v/>
      </c>
      <c r="K151" s="36">
        <f>$B$36</f>
        <v/>
      </c>
      <c r="L151" s="36">
        <f>$B$36</f>
        <v/>
      </c>
      <c r="M151" s="36">
        <f>$B$36</f>
        <v/>
      </c>
      <c r="N151" s="36">
        <f>$B$36</f>
        <v/>
      </c>
      <c r="O151" s="36">
        <f>$B$36</f>
        <v/>
      </c>
      <c r="P151" s="36">
        <f>$B$36</f>
        <v/>
      </c>
      <c r="Q151" s="36">
        <f>$B$36</f>
        <v/>
      </c>
      <c r="R151" s="36">
        <f>$B$36</f>
        <v/>
      </c>
      <c r="S151" s="36">
        <f>$B$36</f>
        <v/>
      </c>
      <c r="T151" s="36">
        <f>$B$36</f>
        <v/>
      </c>
      <c r="U151" s="36">
        <f>$B$36</f>
        <v/>
      </c>
      <c r="V151" s="36">
        <f>$B$36</f>
        <v/>
      </c>
      <c r="W151" s="36">
        <f>$B$36</f>
        <v/>
      </c>
      <c r="X151" s="36">
        <f>$B$36</f>
        <v/>
      </c>
      <c r="Y151" s="36">
        <f>$B$36</f>
        <v/>
      </c>
      <c r="Z151" s="36">
        <f>$B$36</f>
        <v/>
      </c>
      <c r="AA151" s="36">
        <f>$B$36</f>
        <v/>
      </c>
      <c r="AB151" s="36">
        <f>$B$36</f>
        <v/>
      </c>
      <c r="AC151" s="36">
        <f>$B$36</f>
        <v/>
      </c>
      <c r="AD151" s="36">
        <f>$B$36</f>
        <v/>
      </c>
      <c r="AE151" s="36">
        <f>$B$36</f>
        <v/>
      </c>
      <c r="AF151" s="36">
        <f>$B$36</f>
        <v/>
      </c>
      <c r="AG151" s="36">
        <f>$B$36</f>
        <v/>
      </c>
      <c r="AH151" s="36">
        <f>$B$36</f>
        <v/>
      </c>
      <c r="AI151" s="36">
        <f>$B$36</f>
        <v/>
      </c>
      <c r="AJ151" s="36">
        <f>$B$36</f>
        <v/>
      </c>
      <c r="AK151" s="36">
        <f>$B$36</f>
        <v/>
      </c>
      <c r="AL151" s="36">
        <f>$B$36</f>
        <v/>
      </c>
      <c r="AM151" s="36">
        <f>$B$36</f>
        <v/>
      </c>
      <c r="AN151" s="36">
        <f>$B$36</f>
        <v/>
      </c>
      <c r="AO151" s="36">
        <f>$B$36</f>
        <v/>
      </c>
      <c r="AP151" s="36">
        <f>$B$36</f>
        <v/>
      </c>
      <c r="AQ151" s="36">
        <f>$B$36</f>
        <v/>
      </c>
      <c r="AR151" s="36">
        <f>$B$36</f>
        <v/>
      </c>
      <c r="AS151" s="36">
        <f>$B$36</f>
        <v/>
      </c>
      <c r="AT151" s="36">
        <f>$B$36</f>
        <v/>
      </c>
      <c r="AU151" s="36">
        <f>$B$36</f>
        <v/>
      </c>
      <c r="AV151" s="36">
        <f>$B$36</f>
        <v/>
      </c>
      <c r="AW151" s="36">
        <f>$B$36</f>
        <v/>
      </c>
      <c r="AX151" s="36">
        <f>$B$36</f>
        <v/>
      </c>
      <c r="AY151" s="36">
        <f>$B$36</f>
        <v/>
      </c>
      <c r="AZ151" s="36">
        <f>$B$36</f>
        <v/>
      </c>
      <c r="BA151" s="36">
        <f>$B$36</f>
        <v/>
      </c>
      <c r="BB151" s="36">
        <f>$B$36</f>
        <v/>
      </c>
      <c r="BC151" s="36">
        <f>$B$36</f>
        <v/>
      </c>
      <c r="BD151" s="36">
        <f>$B$36</f>
        <v/>
      </c>
    </row>
    <row r="152">
      <c r="A152" s="27" t="inlineStr">
        <is>
          <t xml:space="preserve">  room left</t>
        </is>
      </c>
      <c r="E152" s="36">
        <f>$B$36-E149</f>
        <v/>
      </c>
      <c r="F152" s="36">
        <f>$B$36-F149</f>
        <v/>
      </c>
      <c r="G152" s="36">
        <f>$B$36-G149</f>
        <v/>
      </c>
      <c r="H152" s="36">
        <f>$B$36-H149</f>
        <v/>
      </c>
      <c r="I152" s="36">
        <f>$B$36-I149</f>
        <v/>
      </c>
      <c r="J152" s="36">
        <f>$B$36-J149</f>
        <v/>
      </c>
      <c r="K152" s="36">
        <f>$B$36-K149</f>
        <v/>
      </c>
      <c r="L152" s="36">
        <f>$B$36-L149</f>
        <v/>
      </c>
      <c r="M152" s="36">
        <f>$B$36-M149</f>
        <v/>
      </c>
      <c r="N152" s="36">
        <f>$B$36-N149</f>
        <v/>
      </c>
      <c r="O152" s="36">
        <f>$B$36-O149</f>
        <v/>
      </c>
      <c r="P152" s="36">
        <f>$B$36-P149</f>
        <v/>
      </c>
      <c r="Q152" s="36">
        <f>$B$36-Q149</f>
        <v/>
      </c>
      <c r="R152" s="36">
        <f>$B$36-R149</f>
        <v/>
      </c>
      <c r="S152" s="36">
        <f>$B$36-S149</f>
        <v/>
      </c>
      <c r="T152" s="36">
        <f>$B$36-T149</f>
        <v/>
      </c>
      <c r="U152" s="36">
        <f>$B$36-U149</f>
        <v/>
      </c>
      <c r="V152" s="36">
        <f>$B$36-V149</f>
        <v/>
      </c>
      <c r="W152" s="36">
        <f>$B$36-W149</f>
        <v/>
      </c>
      <c r="X152" s="36">
        <f>$B$36-X149</f>
        <v/>
      </c>
      <c r="Y152" s="36">
        <f>$B$36-Y149</f>
        <v/>
      </c>
      <c r="Z152" s="36">
        <f>$B$36-Z149</f>
        <v/>
      </c>
      <c r="AA152" s="36">
        <f>$B$36-AA149</f>
        <v/>
      </c>
      <c r="AB152" s="36">
        <f>$B$36-AB149</f>
        <v/>
      </c>
      <c r="AC152" s="36">
        <f>$B$36-AC149</f>
        <v/>
      </c>
      <c r="AD152" s="36">
        <f>$B$36-AD149</f>
        <v/>
      </c>
      <c r="AE152" s="36">
        <f>$B$36-AE149</f>
        <v/>
      </c>
      <c r="AF152" s="36">
        <f>$B$36-AF149</f>
        <v/>
      </c>
      <c r="AG152" s="36">
        <f>$B$36-AG149</f>
        <v/>
      </c>
      <c r="AH152" s="36">
        <f>$B$36-AH149</f>
        <v/>
      </c>
      <c r="AI152" s="36">
        <f>$B$36-AI149</f>
        <v/>
      </c>
      <c r="AJ152" s="36">
        <f>$B$36-AJ149</f>
        <v/>
      </c>
      <c r="AK152" s="36">
        <f>$B$36-AK149</f>
        <v/>
      </c>
      <c r="AL152" s="36">
        <f>$B$36-AL149</f>
        <v/>
      </c>
      <c r="AM152" s="36">
        <f>$B$36-AM149</f>
        <v/>
      </c>
      <c r="AN152" s="36">
        <f>$B$36-AN149</f>
        <v/>
      </c>
      <c r="AO152" s="36">
        <f>$B$36-AO149</f>
        <v/>
      </c>
      <c r="AP152" s="36">
        <f>$B$36-AP149</f>
        <v/>
      </c>
      <c r="AQ152" s="36">
        <f>$B$36-AQ149</f>
        <v/>
      </c>
      <c r="AR152" s="36">
        <f>$B$36-AR149</f>
        <v/>
      </c>
      <c r="AS152" s="36">
        <f>$B$36-AS149</f>
        <v/>
      </c>
      <c r="AT152" s="36">
        <f>$B$36-AT149</f>
        <v/>
      </c>
      <c r="AU152" s="36">
        <f>$B$36-AU149</f>
        <v/>
      </c>
      <c r="AV152" s="36">
        <f>$B$36-AV149</f>
        <v/>
      </c>
      <c r="AW152" s="36">
        <f>$B$36-AW149</f>
        <v/>
      </c>
      <c r="AX152" s="36">
        <f>$B$36-AX149</f>
        <v/>
      </c>
      <c r="AY152" s="36">
        <f>$B$36-AY149</f>
        <v/>
      </c>
      <c r="AZ152" s="36">
        <f>$B$36-AZ149</f>
        <v/>
      </c>
      <c r="BA152" s="36">
        <f>$B$36-BA149</f>
        <v/>
      </c>
      <c r="BB152" s="36">
        <f>$B$36-BB149</f>
        <v/>
      </c>
      <c r="BC152" s="36">
        <f>$B$36-BC149</f>
        <v/>
      </c>
      <c r="BD152" s="36">
        <f>$B$36-BD149</f>
        <v/>
      </c>
    </row>
    <row r="153">
      <c r="A153" s="2" t="inlineStr">
        <is>
          <t xml:space="preserve">   Hands brought in from outside. Capped by what the local market can supply at short notice.</t>
        </is>
      </c>
    </row>
    <row r="155">
      <c r="A155" s="3" t="inlineStr">
        <is>
          <t>SPINACH  —  cold store</t>
        </is>
      </c>
      <c r="B155" s="39" t="inlineStr"/>
    </row>
    <row r="156">
      <c r="A156" s="22" t="inlineStr">
        <is>
          <t>Week</t>
        </is>
      </c>
      <c r="B156" s="33" t="inlineStr"/>
      <c r="E156" s="25" t="n">
        <v>1</v>
      </c>
      <c r="F156" s="25" t="n">
        <v>2</v>
      </c>
      <c r="G156" s="25" t="n">
        <v>3</v>
      </c>
      <c r="H156" s="25" t="n">
        <v>4</v>
      </c>
      <c r="I156" s="25" t="n">
        <v>5</v>
      </c>
      <c r="J156" s="25" t="n">
        <v>6</v>
      </c>
      <c r="K156" s="25" t="n">
        <v>7</v>
      </c>
      <c r="L156" s="25" t="n">
        <v>8</v>
      </c>
      <c r="M156" s="25" t="n">
        <v>9</v>
      </c>
      <c r="N156" s="25" t="n">
        <v>10</v>
      </c>
      <c r="O156" s="25" t="n">
        <v>11</v>
      </c>
      <c r="P156" s="25" t="n">
        <v>12</v>
      </c>
      <c r="Q156" s="25" t="n">
        <v>13</v>
      </c>
      <c r="R156" s="25" t="n">
        <v>14</v>
      </c>
      <c r="S156" s="25" t="n">
        <v>15</v>
      </c>
      <c r="T156" s="25" t="n">
        <v>16</v>
      </c>
      <c r="U156" s="25" t="n">
        <v>17</v>
      </c>
      <c r="V156" s="25" t="n">
        <v>18</v>
      </c>
      <c r="W156" s="25" t="n">
        <v>19</v>
      </c>
      <c r="X156" s="25" t="n">
        <v>20</v>
      </c>
      <c r="Y156" s="25" t="n">
        <v>21</v>
      </c>
      <c r="Z156" s="25" t="n">
        <v>22</v>
      </c>
      <c r="AA156" s="25" t="n">
        <v>23</v>
      </c>
      <c r="AB156" s="25" t="n">
        <v>24</v>
      </c>
      <c r="AC156" s="25" t="n">
        <v>25</v>
      </c>
      <c r="AD156" s="25" t="n">
        <v>26</v>
      </c>
      <c r="AE156" s="25" t="n">
        <v>27</v>
      </c>
      <c r="AF156" s="25" t="n">
        <v>28</v>
      </c>
      <c r="AG156" s="25" t="n">
        <v>29</v>
      </c>
      <c r="AH156" s="25" t="n">
        <v>30</v>
      </c>
      <c r="AI156" s="25" t="n">
        <v>31</v>
      </c>
      <c r="AJ156" s="25" t="n">
        <v>32</v>
      </c>
      <c r="AK156" s="25" t="n">
        <v>33</v>
      </c>
      <c r="AL156" s="25" t="n">
        <v>34</v>
      </c>
      <c r="AM156" s="25" t="n">
        <v>35</v>
      </c>
      <c r="AN156" s="25" t="n">
        <v>36</v>
      </c>
      <c r="AO156" s="25" t="n">
        <v>37</v>
      </c>
      <c r="AP156" s="25" t="n">
        <v>38</v>
      </c>
      <c r="AQ156" s="25" t="n">
        <v>39</v>
      </c>
      <c r="AR156" s="25" t="n">
        <v>40</v>
      </c>
      <c r="AS156" s="25" t="n">
        <v>41</v>
      </c>
      <c r="AT156" s="25" t="n">
        <v>42</v>
      </c>
      <c r="AU156" s="25" t="n">
        <v>43</v>
      </c>
      <c r="AV156" s="25" t="n">
        <v>44</v>
      </c>
      <c r="AW156" s="25" t="n">
        <v>45</v>
      </c>
      <c r="AX156" s="25" t="n">
        <v>46</v>
      </c>
      <c r="AY156" s="25" t="n">
        <v>47</v>
      </c>
      <c r="AZ156" s="25" t="n">
        <v>48</v>
      </c>
      <c r="BA156" s="25" t="n">
        <v>49</v>
      </c>
      <c r="BB156" s="25" t="n">
        <v>50</v>
      </c>
      <c r="BC156" s="25" t="n">
        <v>51</v>
      </c>
      <c r="BD156" s="25" t="n">
        <v>52</v>
      </c>
    </row>
    <row r="157">
      <c r="A157" s="4" t="inlineStr">
        <is>
          <t>Packed out -&gt; INTO the store</t>
        </is>
      </c>
      <c r="B157" s="2" t="inlineStr">
        <is>
          <t>lb</t>
        </is>
      </c>
      <c r="E157" s="36">
        <f>SUMPRODUCT(($B$43:$B$110="Spinach")*(E$43:E$110="H")*$C$43:$C$110)*$B$11/$J$11*$C$11</f>
        <v/>
      </c>
      <c r="F157" s="36">
        <f>SUMPRODUCT(($B$43:$B$110="Spinach")*(F$43:F$110="H")*$C$43:$C$110)*$B$11/$J$11*$C$11</f>
        <v/>
      </c>
      <c r="G157" s="36">
        <f>SUMPRODUCT(($B$43:$B$110="Spinach")*(G$43:G$110="H")*$C$43:$C$110)*$B$11/$J$11*$C$11</f>
        <v/>
      </c>
      <c r="H157" s="36">
        <f>SUMPRODUCT(($B$43:$B$110="Spinach")*(H$43:H$110="H")*$C$43:$C$110)*$B$11/$J$11*$C$11</f>
        <v/>
      </c>
      <c r="I157" s="36">
        <f>SUMPRODUCT(($B$43:$B$110="Spinach")*(I$43:I$110="H")*$C$43:$C$110)*$B$11/$J$11*$C$11</f>
        <v/>
      </c>
      <c r="J157" s="36">
        <f>SUMPRODUCT(($B$43:$B$110="Spinach")*(J$43:J$110="H")*$C$43:$C$110)*$B$11/$J$11*$C$11</f>
        <v/>
      </c>
      <c r="K157" s="36">
        <f>SUMPRODUCT(($B$43:$B$110="Spinach")*(K$43:K$110="H")*$C$43:$C$110)*$B$11/$J$11*$C$11</f>
        <v/>
      </c>
      <c r="L157" s="36">
        <f>SUMPRODUCT(($B$43:$B$110="Spinach")*(L$43:L$110="H")*$C$43:$C$110)*$B$11/$J$11*$C$11</f>
        <v/>
      </c>
      <c r="M157" s="36">
        <f>SUMPRODUCT(($B$43:$B$110="Spinach")*(M$43:M$110="H")*$C$43:$C$110)*$B$11/$J$11*$C$11</f>
        <v/>
      </c>
      <c r="N157" s="36">
        <f>SUMPRODUCT(($B$43:$B$110="Spinach")*(N$43:N$110="H")*$C$43:$C$110)*$B$11/$J$11*$C$11</f>
        <v/>
      </c>
      <c r="O157" s="36">
        <f>SUMPRODUCT(($B$43:$B$110="Spinach")*(O$43:O$110="H")*$C$43:$C$110)*$B$11/$J$11*$C$11</f>
        <v/>
      </c>
      <c r="P157" s="36">
        <f>SUMPRODUCT(($B$43:$B$110="Spinach")*(P$43:P$110="H")*$C$43:$C$110)*$B$11/$J$11*$C$11</f>
        <v/>
      </c>
      <c r="Q157" s="36">
        <f>SUMPRODUCT(($B$43:$B$110="Spinach")*(Q$43:Q$110="H")*$C$43:$C$110)*$B$11/$J$11*$C$11</f>
        <v/>
      </c>
      <c r="R157" s="36">
        <f>SUMPRODUCT(($B$43:$B$110="Spinach")*(R$43:R$110="H")*$C$43:$C$110)*$B$11/$J$11*$C$11</f>
        <v/>
      </c>
      <c r="S157" s="36">
        <f>SUMPRODUCT(($B$43:$B$110="Spinach")*(S$43:S$110="H")*$C$43:$C$110)*$B$11/$J$11*$C$11</f>
        <v/>
      </c>
      <c r="T157" s="36">
        <f>SUMPRODUCT(($B$43:$B$110="Spinach")*(T$43:T$110="H")*$C$43:$C$110)*$B$11/$J$11*$C$11</f>
        <v/>
      </c>
      <c r="U157" s="36">
        <f>SUMPRODUCT(($B$43:$B$110="Spinach")*(U$43:U$110="H")*$C$43:$C$110)*$B$11/$J$11*$C$11</f>
        <v/>
      </c>
      <c r="V157" s="36">
        <f>SUMPRODUCT(($B$43:$B$110="Spinach")*(V$43:V$110="H")*$C$43:$C$110)*$B$11/$J$11*$C$11</f>
        <v/>
      </c>
      <c r="W157" s="36">
        <f>SUMPRODUCT(($B$43:$B$110="Spinach")*(W$43:W$110="H")*$C$43:$C$110)*$B$11/$J$11*$C$11</f>
        <v/>
      </c>
      <c r="X157" s="36">
        <f>SUMPRODUCT(($B$43:$B$110="Spinach")*(X$43:X$110="H")*$C$43:$C$110)*$B$11/$J$11*$C$11</f>
        <v/>
      </c>
      <c r="Y157" s="36">
        <f>SUMPRODUCT(($B$43:$B$110="Spinach")*(Y$43:Y$110="H")*$C$43:$C$110)*$B$11/$J$11*$C$11</f>
        <v/>
      </c>
      <c r="Z157" s="36">
        <f>SUMPRODUCT(($B$43:$B$110="Spinach")*(Z$43:Z$110="H")*$C$43:$C$110)*$B$11/$J$11*$C$11</f>
        <v/>
      </c>
      <c r="AA157" s="36">
        <f>SUMPRODUCT(($B$43:$B$110="Spinach")*(AA$43:AA$110="H")*$C$43:$C$110)*$B$11/$J$11*$C$11</f>
        <v/>
      </c>
      <c r="AB157" s="36">
        <f>SUMPRODUCT(($B$43:$B$110="Spinach")*(AB$43:AB$110="H")*$C$43:$C$110)*$B$11/$J$11*$C$11</f>
        <v/>
      </c>
      <c r="AC157" s="36">
        <f>SUMPRODUCT(($B$43:$B$110="Spinach")*(AC$43:AC$110="H")*$C$43:$C$110)*$B$11/$J$11*$C$11</f>
        <v/>
      </c>
      <c r="AD157" s="36">
        <f>SUMPRODUCT(($B$43:$B$110="Spinach")*(AD$43:AD$110="H")*$C$43:$C$110)*$B$11/$J$11*$C$11</f>
        <v/>
      </c>
      <c r="AE157" s="36">
        <f>SUMPRODUCT(($B$43:$B$110="Spinach")*(AE$43:AE$110="H")*$C$43:$C$110)*$B$11/$J$11*$C$11</f>
        <v/>
      </c>
      <c r="AF157" s="36">
        <f>SUMPRODUCT(($B$43:$B$110="Spinach")*(AF$43:AF$110="H")*$C$43:$C$110)*$B$11/$J$11*$C$11</f>
        <v/>
      </c>
      <c r="AG157" s="36">
        <f>SUMPRODUCT(($B$43:$B$110="Spinach")*(AG$43:AG$110="H")*$C$43:$C$110)*$B$11/$J$11*$C$11</f>
        <v/>
      </c>
      <c r="AH157" s="36">
        <f>SUMPRODUCT(($B$43:$B$110="Spinach")*(AH$43:AH$110="H")*$C$43:$C$110)*$B$11/$J$11*$C$11</f>
        <v/>
      </c>
      <c r="AI157" s="36">
        <f>SUMPRODUCT(($B$43:$B$110="Spinach")*(AI$43:AI$110="H")*$C$43:$C$110)*$B$11/$J$11*$C$11</f>
        <v/>
      </c>
      <c r="AJ157" s="36">
        <f>SUMPRODUCT(($B$43:$B$110="Spinach")*(AJ$43:AJ$110="H")*$C$43:$C$110)*$B$11/$J$11*$C$11</f>
        <v/>
      </c>
      <c r="AK157" s="36">
        <f>SUMPRODUCT(($B$43:$B$110="Spinach")*(AK$43:AK$110="H")*$C$43:$C$110)*$B$11/$J$11*$C$11</f>
        <v/>
      </c>
      <c r="AL157" s="36">
        <f>SUMPRODUCT(($B$43:$B$110="Spinach")*(AL$43:AL$110="H")*$C$43:$C$110)*$B$11/$J$11*$C$11</f>
        <v/>
      </c>
      <c r="AM157" s="36">
        <f>SUMPRODUCT(($B$43:$B$110="Spinach")*(AM$43:AM$110="H")*$C$43:$C$110)*$B$11/$J$11*$C$11</f>
        <v/>
      </c>
      <c r="AN157" s="36">
        <f>SUMPRODUCT(($B$43:$B$110="Spinach")*(AN$43:AN$110="H")*$C$43:$C$110)*$B$11/$J$11*$C$11</f>
        <v/>
      </c>
      <c r="AO157" s="36">
        <f>SUMPRODUCT(($B$43:$B$110="Spinach")*(AO$43:AO$110="H")*$C$43:$C$110)*$B$11/$J$11*$C$11</f>
        <v/>
      </c>
      <c r="AP157" s="36">
        <f>SUMPRODUCT(($B$43:$B$110="Spinach")*(AP$43:AP$110="H")*$C$43:$C$110)*$B$11/$J$11*$C$11</f>
        <v/>
      </c>
      <c r="AQ157" s="36">
        <f>SUMPRODUCT(($B$43:$B$110="Spinach")*(AQ$43:AQ$110="H")*$C$43:$C$110)*$B$11/$J$11*$C$11</f>
        <v/>
      </c>
      <c r="AR157" s="36">
        <f>SUMPRODUCT(($B$43:$B$110="Spinach")*(AR$43:AR$110="H")*$C$43:$C$110)*$B$11/$J$11*$C$11</f>
        <v/>
      </c>
      <c r="AS157" s="36">
        <f>SUMPRODUCT(($B$43:$B$110="Spinach")*(AS$43:AS$110="H")*$C$43:$C$110)*$B$11/$J$11*$C$11</f>
        <v/>
      </c>
      <c r="AT157" s="36">
        <f>SUMPRODUCT(($B$43:$B$110="Spinach")*(AT$43:AT$110="H")*$C$43:$C$110)*$B$11/$J$11*$C$11</f>
        <v/>
      </c>
      <c r="AU157" s="36">
        <f>SUMPRODUCT(($B$43:$B$110="Spinach")*(AU$43:AU$110="H")*$C$43:$C$110)*$B$11/$J$11*$C$11</f>
        <v/>
      </c>
      <c r="AV157" s="36">
        <f>SUMPRODUCT(($B$43:$B$110="Spinach")*(AV$43:AV$110="H")*$C$43:$C$110)*$B$11/$J$11*$C$11</f>
        <v/>
      </c>
      <c r="AW157" s="36">
        <f>SUMPRODUCT(($B$43:$B$110="Spinach")*(AW$43:AW$110="H")*$C$43:$C$110)*$B$11/$J$11*$C$11</f>
        <v/>
      </c>
      <c r="AX157" s="36">
        <f>SUMPRODUCT(($B$43:$B$110="Spinach")*(AX$43:AX$110="H")*$C$43:$C$110)*$B$11/$J$11*$C$11</f>
        <v/>
      </c>
      <c r="AY157" s="36">
        <f>SUMPRODUCT(($B$43:$B$110="Spinach")*(AY$43:AY$110="H")*$C$43:$C$110)*$B$11/$J$11*$C$11</f>
        <v/>
      </c>
      <c r="AZ157" s="36">
        <f>SUMPRODUCT(($B$43:$B$110="Spinach")*(AZ$43:AZ$110="H")*$C$43:$C$110)*$B$11/$J$11*$C$11</f>
        <v/>
      </c>
      <c r="BA157" s="36">
        <f>SUMPRODUCT(($B$43:$B$110="Spinach")*(BA$43:BA$110="H")*$C$43:$C$110)*$B$11/$J$11*$C$11</f>
        <v/>
      </c>
      <c r="BB157" s="36">
        <f>SUMPRODUCT(($B$43:$B$110="Spinach")*(BB$43:BB$110="H")*$C$43:$C$110)*$B$11/$J$11*$C$11</f>
        <v/>
      </c>
      <c r="BC157" s="36">
        <f>SUMPRODUCT(($B$43:$B$110="Spinach")*(BC$43:BC$110="H")*$C$43:$C$110)*$B$11/$J$11*$C$11</f>
        <v/>
      </c>
      <c r="BD157" s="36">
        <f>SUMPRODUCT(($B$43:$B$110="Spinach")*(BD$43:BD$110="H")*$C$43:$C$110)*$B$11/$J$11*$C$11</f>
        <v/>
      </c>
    </row>
    <row r="158">
      <c r="A158" s="27" t="inlineStr">
        <is>
          <t>Stock carried in</t>
        </is>
      </c>
      <c r="B158" s="2" t="inlineStr">
        <is>
          <t>lb</t>
        </is>
      </c>
      <c r="E158" s="36" t="n">
        <v>0</v>
      </c>
      <c r="F158" s="36">
        <f>E173</f>
        <v/>
      </c>
      <c r="G158" s="36">
        <f>F173</f>
        <v/>
      </c>
      <c r="H158" s="36">
        <f>G173</f>
        <v/>
      </c>
      <c r="I158" s="36">
        <f>H173</f>
        <v/>
      </c>
      <c r="J158" s="36">
        <f>I173</f>
        <v/>
      </c>
      <c r="K158" s="36">
        <f>J173</f>
        <v/>
      </c>
      <c r="L158" s="36">
        <f>K173</f>
        <v/>
      </c>
      <c r="M158" s="36">
        <f>L173</f>
        <v/>
      </c>
      <c r="N158" s="36">
        <f>M173</f>
        <v/>
      </c>
      <c r="O158" s="36">
        <f>N173</f>
        <v/>
      </c>
      <c r="P158" s="36">
        <f>O173</f>
        <v/>
      </c>
      <c r="Q158" s="36">
        <f>P173</f>
        <v/>
      </c>
      <c r="R158" s="36">
        <f>Q173</f>
        <v/>
      </c>
      <c r="S158" s="36">
        <f>R173</f>
        <v/>
      </c>
      <c r="T158" s="36">
        <f>S173</f>
        <v/>
      </c>
      <c r="U158" s="36">
        <f>T173</f>
        <v/>
      </c>
      <c r="V158" s="36">
        <f>U173</f>
        <v/>
      </c>
      <c r="W158" s="36">
        <f>V173</f>
        <v/>
      </c>
      <c r="X158" s="36">
        <f>W173</f>
        <v/>
      </c>
      <c r="Y158" s="36">
        <f>X173</f>
        <v/>
      </c>
      <c r="Z158" s="36">
        <f>Y173</f>
        <v/>
      </c>
      <c r="AA158" s="36">
        <f>Z173</f>
        <v/>
      </c>
      <c r="AB158" s="36">
        <f>AA173</f>
        <v/>
      </c>
      <c r="AC158" s="36">
        <f>AB173</f>
        <v/>
      </c>
      <c r="AD158" s="36">
        <f>AC173</f>
        <v/>
      </c>
      <c r="AE158" s="36">
        <f>AD173</f>
        <v/>
      </c>
      <c r="AF158" s="36">
        <f>AE173</f>
        <v/>
      </c>
      <c r="AG158" s="36">
        <f>AF173</f>
        <v/>
      </c>
      <c r="AH158" s="36">
        <f>AG173</f>
        <v/>
      </c>
      <c r="AI158" s="36">
        <f>AH173</f>
        <v/>
      </c>
      <c r="AJ158" s="36">
        <f>AI173</f>
        <v/>
      </c>
      <c r="AK158" s="36">
        <f>AJ173</f>
        <v/>
      </c>
      <c r="AL158" s="36">
        <f>AK173</f>
        <v/>
      </c>
      <c r="AM158" s="36">
        <f>AL173</f>
        <v/>
      </c>
      <c r="AN158" s="36">
        <f>AM173</f>
        <v/>
      </c>
      <c r="AO158" s="36">
        <f>AN173</f>
        <v/>
      </c>
      <c r="AP158" s="36">
        <f>AO173</f>
        <v/>
      </c>
      <c r="AQ158" s="36">
        <f>AP173</f>
        <v/>
      </c>
      <c r="AR158" s="36">
        <f>AQ173</f>
        <v/>
      </c>
      <c r="AS158" s="36">
        <f>AR173</f>
        <v/>
      </c>
      <c r="AT158" s="36">
        <f>AS173</f>
        <v/>
      </c>
      <c r="AU158" s="36">
        <f>AT173</f>
        <v/>
      </c>
      <c r="AV158" s="36">
        <f>AU173</f>
        <v/>
      </c>
      <c r="AW158" s="36">
        <f>AV173</f>
        <v/>
      </c>
      <c r="AX158" s="36">
        <f>AW173</f>
        <v/>
      </c>
      <c r="AY158" s="36">
        <f>AX173</f>
        <v/>
      </c>
      <c r="AZ158" s="36">
        <f>AY173</f>
        <v/>
      </c>
      <c r="BA158" s="36">
        <f>AZ173</f>
        <v/>
      </c>
      <c r="BB158" s="36">
        <f>BA173</f>
        <v/>
      </c>
      <c r="BC158" s="36">
        <f>BB173</f>
        <v/>
      </c>
      <c r="BD158" s="36">
        <f>BC173</f>
        <v/>
      </c>
    </row>
    <row r="159">
      <c r="A159" s="27" t="inlineStr">
        <is>
          <t xml:space="preserve">   lost to shrink</t>
        </is>
      </c>
      <c r="B159" s="2" t="inlineStr">
        <is>
          <t>lb</t>
        </is>
      </c>
      <c r="E159" s="36">
        <f>E158*$G$11</f>
        <v/>
      </c>
      <c r="F159" s="36">
        <f>F158*$G$11</f>
        <v/>
      </c>
      <c r="G159" s="36">
        <f>G158*$G$11</f>
        <v/>
      </c>
      <c r="H159" s="36">
        <f>H158*$G$11</f>
        <v/>
      </c>
      <c r="I159" s="36">
        <f>I158*$G$11</f>
        <v/>
      </c>
      <c r="J159" s="36">
        <f>J158*$G$11</f>
        <v/>
      </c>
      <c r="K159" s="36">
        <f>K158*$G$11</f>
        <v/>
      </c>
      <c r="L159" s="36">
        <f>L158*$G$11</f>
        <v/>
      </c>
      <c r="M159" s="36">
        <f>M158*$G$11</f>
        <v/>
      </c>
      <c r="N159" s="36">
        <f>N158*$G$11</f>
        <v/>
      </c>
      <c r="O159" s="36">
        <f>O158*$G$11</f>
        <v/>
      </c>
      <c r="P159" s="36">
        <f>P158*$G$11</f>
        <v/>
      </c>
      <c r="Q159" s="36">
        <f>Q158*$G$11</f>
        <v/>
      </c>
      <c r="R159" s="36">
        <f>R158*$G$11</f>
        <v/>
      </c>
      <c r="S159" s="36">
        <f>S158*$G$11</f>
        <v/>
      </c>
      <c r="T159" s="36">
        <f>T158*$G$11</f>
        <v/>
      </c>
      <c r="U159" s="36">
        <f>U158*$G$11</f>
        <v/>
      </c>
      <c r="V159" s="36">
        <f>V158*$G$11</f>
        <v/>
      </c>
      <c r="W159" s="36">
        <f>W158*$G$11</f>
        <v/>
      </c>
      <c r="X159" s="36">
        <f>X158*$G$11</f>
        <v/>
      </c>
      <c r="Y159" s="36">
        <f>Y158*$G$11</f>
        <v/>
      </c>
      <c r="Z159" s="36">
        <f>Z158*$G$11</f>
        <v/>
      </c>
      <c r="AA159" s="36">
        <f>AA158*$G$11</f>
        <v/>
      </c>
      <c r="AB159" s="36">
        <f>AB158*$G$11</f>
        <v/>
      </c>
      <c r="AC159" s="36">
        <f>AC158*$G$11</f>
        <v/>
      </c>
      <c r="AD159" s="36">
        <f>AD158*$G$11</f>
        <v/>
      </c>
      <c r="AE159" s="36">
        <f>AE158*$G$11</f>
        <v/>
      </c>
      <c r="AF159" s="36">
        <f>AF158*$G$11</f>
        <v/>
      </c>
      <c r="AG159" s="36">
        <f>AG158*$G$11</f>
        <v/>
      </c>
      <c r="AH159" s="36">
        <f>AH158*$G$11</f>
        <v/>
      </c>
      <c r="AI159" s="36">
        <f>AI158*$G$11</f>
        <v/>
      </c>
      <c r="AJ159" s="36">
        <f>AJ158*$G$11</f>
        <v/>
      </c>
      <c r="AK159" s="36">
        <f>AK158*$G$11</f>
        <v/>
      </c>
      <c r="AL159" s="36">
        <f>AL158*$G$11</f>
        <v/>
      </c>
      <c r="AM159" s="36">
        <f>AM158*$G$11</f>
        <v/>
      </c>
      <c r="AN159" s="36">
        <f>AN158*$G$11</f>
        <v/>
      </c>
      <c r="AO159" s="36">
        <f>AO158*$G$11</f>
        <v/>
      </c>
      <c r="AP159" s="36">
        <f>AP158*$G$11</f>
        <v/>
      </c>
      <c r="AQ159" s="36">
        <f>AQ158*$G$11</f>
        <v/>
      </c>
      <c r="AR159" s="36">
        <f>AR158*$G$11</f>
        <v/>
      </c>
      <c r="AS159" s="36">
        <f>AS158*$G$11</f>
        <v/>
      </c>
      <c r="AT159" s="36">
        <f>AT158*$G$11</f>
        <v/>
      </c>
      <c r="AU159" s="36">
        <f>AU158*$G$11</f>
        <v/>
      </c>
      <c r="AV159" s="36">
        <f>AV158*$G$11</f>
        <v/>
      </c>
      <c r="AW159" s="36">
        <f>AW158*$G$11</f>
        <v/>
      </c>
      <c r="AX159" s="36">
        <f>AX158*$G$11</f>
        <v/>
      </c>
      <c r="AY159" s="36">
        <f>AY158*$G$11</f>
        <v/>
      </c>
      <c r="AZ159" s="36">
        <f>AZ158*$G$11</f>
        <v/>
      </c>
      <c r="BA159" s="36">
        <f>BA158*$G$11</f>
        <v/>
      </c>
      <c r="BB159" s="36">
        <f>BB158*$G$11</f>
        <v/>
      </c>
      <c r="BC159" s="36">
        <f>BC158*$G$11</f>
        <v/>
      </c>
      <c r="BD159" s="36">
        <f>BD158*$G$11</f>
        <v/>
      </c>
    </row>
    <row r="160">
      <c r="A160" s="4" t="inlineStr">
        <is>
          <t>In store this week</t>
        </is>
      </c>
      <c r="B160" s="2" t="inlineStr">
        <is>
          <t>lb</t>
        </is>
      </c>
      <c r="E160" s="36">
        <f>E158-E159+E157</f>
        <v/>
      </c>
      <c r="F160" s="36">
        <f>F158-F159+F157</f>
        <v/>
      </c>
      <c r="G160" s="36">
        <f>G158-G159+G157</f>
        <v/>
      </c>
      <c r="H160" s="36">
        <f>H158-H159+H157</f>
        <v/>
      </c>
      <c r="I160" s="36">
        <f>I158-I159+I157</f>
        <v/>
      </c>
      <c r="J160" s="36">
        <f>J158-J159+J157</f>
        <v/>
      </c>
      <c r="K160" s="36">
        <f>K158-K159+K157</f>
        <v/>
      </c>
      <c r="L160" s="36">
        <f>L158-L159+L157</f>
        <v/>
      </c>
      <c r="M160" s="36">
        <f>M158-M159+M157</f>
        <v/>
      </c>
      <c r="N160" s="36">
        <f>N158-N159+N157</f>
        <v/>
      </c>
      <c r="O160" s="36">
        <f>O158-O159+O157</f>
        <v/>
      </c>
      <c r="P160" s="36">
        <f>P158-P159+P157</f>
        <v/>
      </c>
      <c r="Q160" s="36">
        <f>Q158-Q159+Q157</f>
        <v/>
      </c>
      <c r="R160" s="36">
        <f>R158-R159+R157</f>
        <v/>
      </c>
      <c r="S160" s="36">
        <f>S158-S159+S157</f>
        <v/>
      </c>
      <c r="T160" s="36">
        <f>T158-T159+T157</f>
        <v/>
      </c>
      <c r="U160" s="36">
        <f>U158-U159+U157</f>
        <v/>
      </c>
      <c r="V160" s="36">
        <f>V158-V159+V157</f>
        <v/>
      </c>
      <c r="W160" s="36">
        <f>W158-W159+W157</f>
        <v/>
      </c>
      <c r="X160" s="36">
        <f>X158-X159+X157</f>
        <v/>
      </c>
      <c r="Y160" s="36">
        <f>Y158-Y159+Y157</f>
        <v/>
      </c>
      <c r="Z160" s="36">
        <f>Z158-Z159+Z157</f>
        <v/>
      </c>
      <c r="AA160" s="36">
        <f>AA158-AA159+AA157</f>
        <v/>
      </c>
      <c r="AB160" s="36">
        <f>AB158-AB159+AB157</f>
        <v/>
      </c>
      <c r="AC160" s="36">
        <f>AC158-AC159+AC157</f>
        <v/>
      </c>
      <c r="AD160" s="36">
        <f>AD158-AD159+AD157</f>
        <v/>
      </c>
      <c r="AE160" s="36">
        <f>AE158-AE159+AE157</f>
        <v/>
      </c>
      <c r="AF160" s="36">
        <f>AF158-AF159+AF157</f>
        <v/>
      </c>
      <c r="AG160" s="36">
        <f>AG158-AG159+AG157</f>
        <v/>
      </c>
      <c r="AH160" s="36">
        <f>AH158-AH159+AH157</f>
        <v/>
      </c>
      <c r="AI160" s="36">
        <f>AI158-AI159+AI157</f>
        <v/>
      </c>
      <c r="AJ160" s="36">
        <f>AJ158-AJ159+AJ157</f>
        <v/>
      </c>
      <c r="AK160" s="36">
        <f>AK158-AK159+AK157</f>
        <v/>
      </c>
      <c r="AL160" s="36">
        <f>AL158-AL159+AL157</f>
        <v/>
      </c>
      <c r="AM160" s="36">
        <f>AM158-AM159+AM157</f>
        <v/>
      </c>
      <c r="AN160" s="36">
        <f>AN158-AN159+AN157</f>
        <v/>
      </c>
      <c r="AO160" s="36">
        <f>AO158-AO159+AO157</f>
        <v/>
      </c>
      <c r="AP160" s="36">
        <f>AP158-AP159+AP157</f>
        <v/>
      </c>
      <c r="AQ160" s="36">
        <f>AQ158-AQ159+AQ157</f>
        <v/>
      </c>
      <c r="AR160" s="36">
        <f>AR158-AR159+AR157</f>
        <v/>
      </c>
      <c r="AS160" s="36">
        <f>AS158-AS159+AS157</f>
        <v/>
      </c>
      <c r="AT160" s="36">
        <f>AT158-AT159+AT157</f>
        <v/>
      </c>
      <c r="AU160" s="36">
        <f>AU158-AU159+AU157</f>
        <v/>
      </c>
      <c r="AV160" s="36">
        <f>AV158-AV159+AV157</f>
        <v/>
      </c>
      <c r="AW160" s="36">
        <f>AW158-AW159+AW157</f>
        <v/>
      </c>
      <c r="AX160" s="36">
        <f>AX158-AX159+AX157</f>
        <v/>
      </c>
      <c r="AY160" s="36">
        <f>AY158-AY159+AY157</f>
        <v/>
      </c>
      <c r="AZ160" s="36">
        <f>AZ158-AZ159+AZ157</f>
        <v/>
      </c>
      <c r="BA160" s="36">
        <f>BA158-BA159+BA157</f>
        <v/>
      </c>
      <c r="BB160" s="36">
        <f>BB158-BB159+BB157</f>
        <v/>
      </c>
      <c r="BC160" s="36">
        <f>BC158-BC159+BC157</f>
        <v/>
      </c>
      <c r="BD160" s="36">
        <f>BD158-BD159+BD157</f>
        <v/>
      </c>
    </row>
    <row r="161">
      <c r="A161" s="40" t="inlineStr">
        <is>
          <t>Farmers Market — most you may sell this week</t>
        </is>
      </c>
      <c r="B161" s="2" t="inlineStr">
        <is>
          <t>lb</t>
        </is>
      </c>
      <c r="E161" s="41">
        <f>IF($C$18="Annual",$D$18-0,IF(AND(1&gt;=$E$18,1&lt;=$F$18),$D$18,0))</f>
        <v/>
      </c>
      <c r="F161" s="41">
        <f>IF($C$18="Annual",$D$18-SUM(E163:E163),IF(AND(2&gt;=$E$18,2&lt;=$F$18),$D$18,0))</f>
        <v/>
      </c>
      <c r="G161" s="41">
        <f>IF($C$18="Annual",$D$18-SUM(E163:F163),IF(AND(3&gt;=$E$18,3&lt;=$F$18),$D$18,0))</f>
        <v/>
      </c>
      <c r="H161" s="41">
        <f>IF($C$18="Annual",$D$18-SUM(E163:G163),IF(AND(4&gt;=$E$18,4&lt;=$F$18),$D$18,0))</f>
        <v/>
      </c>
      <c r="I161" s="41">
        <f>IF($C$18="Annual",$D$18-SUM(E163:H163),IF(AND(5&gt;=$E$18,5&lt;=$F$18),$D$18,0))</f>
        <v/>
      </c>
      <c r="J161" s="41">
        <f>IF($C$18="Annual",$D$18-SUM(E163:I163),IF(AND(6&gt;=$E$18,6&lt;=$F$18),$D$18,0))</f>
        <v/>
      </c>
      <c r="K161" s="41">
        <f>IF($C$18="Annual",$D$18-SUM(E163:J163),IF(AND(7&gt;=$E$18,7&lt;=$F$18),$D$18,0))</f>
        <v/>
      </c>
      <c r="L161" s="41">
        <f>IF($C$18="Annual",$D$18-SUM(E163:K163),IF(AND(8&gt;=$E$18,8&lt;=$F$18),$D$18,0))</f>
        <v/>
      </c>
      <c r="M161" s="41">
        <f>IF($C$18="Annual",$D$18-SUM(E163:L163),IF(AND(9&gt;=$E$18,9&lt;=$F$18),$D$18,0))</f>
        <v/>
      </c>
      <c r="N161" s="41">
        <f>IF($C$18="Annual",$D$18-SUM(E163:M163),IF(AND(10&gt;=$E$18,10&lt;=$F$18),$D$18,0))</f>
        <v/>
      </c>
      <c r="O161" s="41">
        <f>IF($C$18="Annual",$D$18-SUM(E163:N163),IF(AND(11&gt;=$E$18,11&lt;=$F$18),$D$18,0))</f>
        <v/>
      </c>
      <c r="P161" s="41">
        <f>IF($C$18="Annual",$D$18-SUM(E163:O163),IF(AND(12&gt;=$E$18,12&lt;=$F$18),$D$18,0))</f>
        <v/>
      </c>
      <c r="Q161" s="41">
        <f>IF($C$18="Annual",$D$18-SUM(E163:P163),IF(AND(13&gt;=$E$18,13&lt;=$F$18),$D$18,0))</f>
        <v/>
      </c>
      <c r="R161" s="41">
        <f>IF($C$18="Annual",$D$18-SUM(E163:Q163),IF(AND(14&gt;=$E$18,14&lt;=$F$18),$D$18,0))</f>
        <v/>
      </c>
      <c r="S161" s="41">
        <f>IF($C$18="Annual",$D$18-SUM(E163:R163),IF(AND(15&gt;=$E$18,15&lt;=$F$18),$D$18,0))</f>
        <v/>
      </c>
      <c r="T161" s="41">
        <f>IF($C$18="Annual",$D$18-SUM(E163:S163),IF(AND(16&gt;=$E$18,16&lt;=$F$18),$D$18,0))</f>
        <v/>
      </c>
      <c r="U161" s="41">
        <f>IF($C$18="Annual",$D$18-SUM(E163:T163),IF(AND(17&gt;=$E$18,17&lt;=$F$18),$D$18,0))</f>
        <v/>
      </c>
      <c r="V161" s="41">
        <f>IF($C$18="Annual",$D$18-SUM(E163:U163),IF(AND(18&gt;=$E$18,18&lt;=$F$18),$D$18,0))</f>
        <v/>
      </c>
      <c r="W161" s="41">
        <f>IF($C$18="Annual",$D$18-SUM(E163:V163),IF(AND(19&gt;=$E$18,19&lt;=$F$18),$D$18,0))</f>
        <v/>
      </c>
      <c r="X161" s="41">
        <f>IF($C$18="Annual",$D$18-SUM(E163:W163),IF(AND(20&gt;=$E$18,20&lt;=$F$18),$D$18,0))</f>
        <v/>
      </c>
      <c r="Y161" s="41">
        <f>IF($C$18="Annual",$D$18-SUM(E163:X163),IF(AND(21&gt;=$E$18,21&lt;=$F$18),$D$18,0))</f>
        <v/>
      </c>
      <c r="Z161" s="41">
        <f>IF($C$18="Annual",$D$18-SUM(E163:Y163),IF(AND(22&gt;=$E$18,22&lt;=$F$18),$D$18,0))</f>
        <v/>
      </c>
      <c r="AA161" s="41">
        <f>IF($C$18="Annual",$D$18-SUM(E163:Z163),IF(AND(23&gt;=$E$18,23&lt;=$F$18),$D$18,0))</f>
        <v/>
      </c>
      <c r="AB161" s="41">
        <f>IF($C$18="Annual",$D$18-SUM(E163:AA163),IF(AND(24&gt;=$E$18,24&lt;=$F$18),$D$18,0))</f>
        <v/>
      </c>
      <c r="AC161" s="41">
        <f>IF($C$18="Annual",$D$18-SUM(E163:AB163),IF(AND(25&gt;=$E$18,25&lt;=$F$18),$D$18,0))</f>
        <v/>
      </c>
      <c r="AD161" s="41">
        <f>IF($C$18="Annual",$D$18-SUM(E163:AC163),IF(AND(26&gt;=$E$18,26&lt;=$F$18),$D$18,0))</f>
        <v/>
      </c>
      <c r="AE161" s="41">
        <f>IF($C$18="Annual",$D$18-SUM(E163:AD163),IF(AND(27&gt;=$E$18,27&lt;=$F$18),$D$18,0))</f>
        <v/>
      </c>
      <c r="AF161" s="41">
        <f>IF($C$18="Annual",$D$18-SUM(E163:AE163),IF(AND(28&gt;=$E$18,28&lt;=$F$18),$D$18,0))</f>
        <v/>
      </c>
      <c r="AG161" s="41">
        <f>IF($C$18="Annual",$D$18-SUM(E163:AF163),IF(AND(29&gt;=$E$18,29&lt;=$F$18),$D$18,0))</f>
        <v/>
      </c>
      <c r="AH161" s="41">
        <f>IF($C$18="Annual",$D$18-SUM(E163:AG163),IF(AND(30&gt;=$E$18,30&lt;=$F$18),$D$18,0))</f>
        <v/>
      </c>
      <c r="AI161" s="41">
        <f>IF($C$18="Annual",$D$18-SUM(E163:AH163),IF(AND(31&gt;=$E$18,31&lt;=$F$18),$D$18,0))</f>
        <v/>
      </c>
      <c r="AJ161" s="41">
        <f>IF($C$18="Annual",$D$18-SUM(E163:AI163),IF(AND(32&gt;=$E$18,32&lt;=$F$18),$D$18,0))</f>
        <v/>
      </c>
      <c r="AK161" s="41">
        <f>IF($C$18="Annual",$D$18-SUM(E163:AJ163),IF(AND(33&gt;=$E$18,33&lt;=$F$18),$D$18,0))</f>
        <v/>
      </c>
      <c r="AL161" s="41">
        <f>IF($C$18="Annual",$D$18-SUM(E163:AK163),IF(AND(34&gt;=$E$18,34&lt;=$F$18),$D$18,0))</f>
        <v/>
      </c>
      <c r="AM161" s="41">
        <f>IF($C$18="Annual",$D$18-SUM(E163:AL163),IF(AND(35&gt;=$E$18,35&lt;=$F$18),$D$18,0))</f>
        <v/>
      </c>
      <c r="AN161" s="41">
        <f>IF($C$18="Annual",$D$18-SUM(E163:AM163),IF(AND(36&gt;=$E$18,36&lt;=$F$18),$D$18,0))</f>
        <v/>
      </c>
      <c r="AO161" s="41">
        <f>IF($C$18="Annual",$D$18-SUM(E163:AN163),IF(AND(37&gt;=$E$18,37&lt;=$F$18),$D$18,0))</f>
        <v/>
      </c>
      <c r="AP161" s="41">
        <f>IF($C$18="Annual",$D$18-SUM(E163:AO163),IF(AND(38&gt;=$E$18,38&lt;=$F$18),$D$18,0))</f>
        <v/>
      </c>
      <c r="AQ161" s="41">
        <f>IF($C$18="Annual",$D$18-SUM(E163:AP163),IF(AND(39&gt;=$E$18,39&lt;=$F$18),$D$18,0))</f>
        <v/>
      </c>
      <c r="AR161" s="41">
        <f>IF($C$18="Annual",$D$18-SUM(E163:AQ163),IF(AND(40&gt;=$E$18,40&lt;=$F$18),$D$18,0))</f>
        <v/>
      </c>
      <c r="AS161" s="41">
        <f>IF($C$18="Annual",$D$18-SUM(E163:AR163),IF(AND(41&gt;=$E$18,41&lt;=$F$18),$D$18,0))</f>
        <v/>
      </c>
      <c r="AT161" s="41">
        <f>IF($C$18="Annual",$D$18-SUM(E163:AS163),IF(AND(42&gt;=$E$18,42&lt;=$F$18),$D$18,0))</f>
        <v/>
      </c>
      <c r="AU161" s="41">
        <f>IF($C$18="Annual",$D$18-SUM(E163:AT163),IF(AND(43&gt;=$E$18,43&lt;=$F$18),$D$18,0))</f>
        <v/>
      </c>
      <c r="AV161" s="41">
        <f>IF($C$18="Annual",$D$18-SUM(E163:AU163),IF(AND(44&gt;=$E$18,44&lt;=$F$18),$D$18,0))</f>
        <v/>
      </c>
      <c r="AW161" s="41">
        <f>IF($C$18="Annual",$D$18-SUM(E163:AV163),IF(AND(45&gt;=$E$18,45&lt;=$F$18),$D$18,0))</f>
        <v/>
      </c>
      <c r="AX161" s="41">
        <f>IF($C$18="Annual",$D$18-SUM(E163:AW163),IF(AND(46&gt;=$E$18,46&lt;=$F$18),$D$18,0))</f>
        <v/>
      </c>
      <c r="AY161" s="41">
        <f>IF($C$18="Annual",$D$18-SUM(E163:AX163),IF(AND(47&gt;=$E$18,47&lt;=$F$18),$D$18,0))</f>
        <v/>
      </c>
      <c r="AZ161" s="41">
        <f>IF($C$18="Annual",$D$18-SUM(E163:AY163),IF(AND(48&gt;=$E$18,48&lt;=$F$18),$D$18,0))</f>
        <v/>
      </c>
      <c r="BA161" s="41">
        <f>IF($C$18="Annual",$D$18-SUM(E163:AZ163),IF(AND(49&gt;=$E$18,49&lt;=$F$18),$D$18,0))</f>
        <v/>
      </c>
      <c r="BB161" s="41">
        <f>IF($C$18="Annual",$D$18-SUM(E163:BA163),IF(AND(50&gt;=$E$18,50&lt;=$F$18),$D$18,0))</f>
        <v/>
      </c>
      <c r="BC161" s="41">
        <f>IF($C$18="Annual",$D$18-SUM(E163:BB163),IF(AND(51&gt;=$E$18,51&lt;=$F$18),$D$18,0))</f>
        <v/>
      </c>
      <c r="BD161" s="41">
        <f>IF($C$18="Annual",$D$18-SUM(E163:BC163),IF(AND(52&gt;=$E$18,52&lt;=$F$18),$D$18,0))</f>
        <v/>
      </c>
    </row>
    <row r="162">
      <c r="A162" s="23" t="inlineStr">
        <is>
          <t>Farmers Market — OFFERED</t>
        </is>
      </c>
      <c r="B162" s="2" t="inlineStr">
        <is>
          <t>lb  &lt;-- SOLVER</t>
        </is>
      </c>
      <c r="E162" s="38" t="n">
        <v>0</v>
      </c>
      <c r="F162" s="38" t="n">
        <v>0</v>
      </c>
      <c r="G162" s="38" t="n">
        <v>0</v>
      </c>
      <c r="H162" s="38" t="n">
        <v>0</v>
      </c>
      <c r="I162" s="38" t="n">
        <v>0</v>
      </c>
      <c r="J162" s="38" t="n">
        <v>0</v>
      </c>
      <c r="K162" s="38" t="n">
        <v>0</v>
      </c>
      <c r="L162" s="38" t="n">
        <v>0</v>
      </c>
      <c r="M162" s="38" t="n">
        <v>0</v>
      </c>
      <c r="N162" s="38" t="n">
        <v>0</v>
      </c>
      <c r="O162" s="38" t="n">
        <v>0</v>
      </c>
      <c r="P162" s="38" t="n">
        <v>0</v>
      </c>
      <c r="Q162" s="38" t="n">
        <v>0</v>
      </c>
      <c r="R162" s="38" t="n">
        <v>0</v>
      </c>
      <c r="S162" s="38" t="n">
        <v>0</v>
      </c>
      <c r="T162" s="38" t="n">
        <v>0</v>
      </c>
      <c r="U162" s="38" t="n">
        <v>0</v>
      </c>
      <c r="V162" s="38" t="n">
        <v>0</v>
      </c>
      <c r="W162" s="38" t="n">
        <v>0</v>
      </c>
      <c r="X162" s="38" t="n">
        <v>0</v>
      </c>
      <c r="Y162" s="38" t="n">
        <v>0</v>
      </c>
      <c r="Z162" s="38" t="n">
        <v>0</v>
      </c>
      <c r="AA162" s="38" t="n">
        <v>0</v>
      </c>
      <c r="AB162" s="38" t="n">
        <v>0</v>
      </c>
      <c r="AC162" s="38" t="n">
        <v>0</v>
      </c>
      <c r="AD162" s="38" t="n">
        <v>0</v>
      </c>
      <c r="AE162" s="38" t="n">
        <v>0</v>
      </c>
      <c r="AF162" s="38" t="n">
        <v>0</v>
      </c>
      <c r="AG162" s="38" t="n">
        <v>0</v>
      </c>
      <c r="AH162" s="38" t="n">
        <v>0</v>
      </c>
      <c r="AI162" s="38" t="n">
        <v>0</v>
      </c>
      <c r="AJ162" s="38" t="n">
        <v>0</v>
      </c>
      <c r="AK162" s="38" t="n">
        <v>0</v>
      </c>
      <c r="AL162" s="38" t="n">
        <v>0</v>
      </c>
      <c r="AM162" s="38" t="n">
        <v>0</v>
      </c>
      <c r="AN162" s="38" t="n">
        <v>0</v>
      </c>
      <c r="AO162" s="38" t="n">
        <v>0</v>
      </c>
      <c r="AP162" s="38" t="n">
        <v>0</v>
      </c>
      <c r="AQ162" s="38" t="n">
        <v>0</v>
      </c>
      <c r="AR162" s="38" t="n">
        <v>0</v>
      </c>
      <c r="AS162" s="38" t="n">
        <v>0</v>
      </c>
      <c r="AT162" s="38" t="n">
        <v>0</v>
      </c>
      <c r="AU162" s="38" t="n">
        <v>0</v>
      </c>
      <c r="AV162" s="38" t="n">
        <v>0</v>
      </c>
      <c r="AW162" s="38" t="n">
        <v>0</v>
      </c>
      <c r="AX162" s="38" t="n">
        <v>0</v>
      </c>
      <c r="AY162" s="38" t="n">
        <v>0</v>
      </c>
      <c r="AZ162" s="38" t="n">
        <v>0</v>
      </c>
      <c r="BA162" s="38" t="n">
        <v>0</v>
      </c>
      <c r="BB162" s="38" t="n">
        <v>0</v>
      </c>
      <c r="BC162" s="38" t="n">
        <v>0</v>
      </c>
      <c r="BD162" s="38" t="n">
        <v>0</v>
      </c>
    </row>
    <row r="163">
      <c r="A163" s="42" t="inlineStr">
        <is>
          <t>Farmers Market — SOLD</t>
        </is>
      </c>
      <c r="B163" s="2" t="inlineStr">
        <is>
          <t>lb</t>
        </is>
      </c>
      <c r="E163" s="41">
        <f>E162*$G$18</f>
        <v/>
      </c>
      <c r="F163" s="41">
        <f>F162*$G$18</f>
        <v/>
      </c>
      <c r="G163" s="41">
        <f>G162*$G$18</f>
        <v/>
      </c>
      <c r="H163" s="41">
        <f>H162*$G$18</f>
        <v/>
      </c>
      <c r="I163" s="41">
        <f>I162*$G$18</f>
        <v/>
      </c>
      <c r="J163" s="41">
        <f>J162*$G$18</f>
        <v/>
      </c>
      <c r="K163" s="41">
        <f>K162*$G$18</f>
        <v/>
      </c>
      <c r="L163" s="41">
        <f>L162*$G$18</f>
        <v/>
      </c>
      <c r="M163" s="41">
        <f>M162*$G$18</f>
        <v/>
      </c>
      <c r="N163" s="41">
        <f>N162*$G$18</f>
        <v/>
      </c>
      <c r="O163" s="41">
        <f>O162*$G$18</f>
        <v/>
      </c>
      <c r="P163" s="41">
        <f>P162*$G$18</f>
        <v/>
      </c>
      <c r="Q163" s="41">
        <f>Q162*$G$18</f>
        <v/>
      </c>
      <c r="R163" s="41">
        <f>R162*$G$18</f>
        <v/>
      </c>
      <c r="S163" s="41">
        <f>S162*$G$18</f>
        <v/>
      </c>
      <c r="T163" s="41">
        <f>T162*$G$18</f>
        <v/>
      </c>
      <c r="U163" s="41">
        <f>U162*$G$18</f>
        <v/>
      </c>
      <c r="V163" s="41">
        <f>V162*$G$18</f>
        <v/>
      </c>
      <c r="W163" s="41">
        <f>W162*$G$18</f>
        <v/>
      </c>
      <c r="X163" s="41">
        <f>X162*$G$18</f>
        <v/>
      </c>
      <c r="Y163" s="41">
        <f>Y162*$G$18</f>
        <v/>
      </c>
      <c r="Z163" s="41">
        <f>Z162*$G$18</f>
        <v/>
      </c>
      <c r="AA163" s="41">
        <f>AA162*$G$18</f>
        <v/>
      </c>
      <c r="AB163" s="41">
        <f>AB162*$G$18</f>
        <v/>
      </c>
      <c r="AC163" s="41">
        <f>AC162*$G$18</f>
        <v/>
      </c>
      <c r="AD163" s="41">
        <f>AD162*$G$18</f>
        <v/>
      </c>
      <c r="AE163" s="41">
        <f>AE162*$G$18</f>
        <v/>
      </c>
      <c r="AF163" s="41">
        <f>AF162*$G$18</f>
        <v/>
      </c>
      <c r="AG163" s="41">
        <f>AG162*$G$18</f>
        <v/>
      </c>
      <c r="AH163" s="41">
        <f>AH162*$G$18</f>
        <v/>
      </c>
      <c r="AI163" s="41">
        <f>AI162*$G$18</f>
        <v/>
      </c>
      <c r="AJ163" s="41">
        <f>AJ162*$G$18</f>
        <v/>
      </c>
      <c r="AK163" s="41">
        <f>AK162*$G$18</f>
        <v/>
      </c>
      <c r="AL163" s="41">
        <f>AL162*$G$18</f>
        <v/>
      </c>
      <c r="AM163" s="41">
        <f>AM162*$G$18</f>
        <v/>
      </c>
      <c r="AN163" s="41">
        <f>AN162*$G$18</f>
        <v/>
      </c>
      <c r="AO163" s="41">
        <f>AO162*$G$18</f>
        <v/>
      </c>
      <c r="AP163" s="41">
        <f>AP162*$G$18</f>
        <v/>
      </c>
      <c r="AQ163" s="41">
        <f>AQ162*$G$18</f>
        <v/>
      </c>
      <c r="AR163" s="41">
        <f>AR162*$G$18</f>
        <v/>
      </c>
      <c r="AS163" s="41">
        <f>AS162*$G$18</f>
        <v/>
      </c>
      <c r="AT163" s="41">
        <f>AT162*$G$18</f>
        <v/>
      </c>
      <c r="AU163" s="41">
        <f>AU162*$G$18</f>
        <v/>
      </c>
      <c r="AV163" s="41">
        <f>AV162*$G$18</f>
        <v/>
      </c>
      <c r="AW163" s="41">
        <f>AW162*$G$18</f>
        <v/>
      </c>
      <c r="AX163" s="41">
        <f>AX162*$G$18</f>
        <v/>
      </c>
      <c r="AY163" s="41">
        <f>AY162*$G$18</f>
        <v/>
      </c>
      <c r="AZ163" s="41">
        <f>AZ162*$G$18</f>
        <v/>
      </c>
      <c r="BA163" s="41">
        <f>BA162*$G$18</f>
        <v/>
      </c>
      <c r="BB163" s="41">
        <f>BB162*$G$18</f>
        <v/>
      </c>
      <c r="BC163" s="41">
        <f>BC162*$G$18</f>
        <v/>
      </c>
      <c r="BD163" s="41">
        <f>BD162*$G$18</f>
        <v/>
      </c>
    </row>
    <row r="164">
      <c r="A164" s="27" t="inlineStr">
        <is>
          <t xml:space="preserve">   market loss (gone)</t>
        </is>
      </c>
      <c r="B164" s="2" t="inlineStr">
        <is>
          <t>lb</t>
        </is>
      </c>
      <c r="E164" s="36">
        <f>(E162-E163)*(1-$H$18)</f>
        <v/>
      </c>
      <c r="F164" s="36">
        <f>(F162-F163)*(1-$H$18)</f>
        <v/>
      </c>
      <c r="G164" s="36">
        <f>(G162-G163)*(1-$H$18)</f>
        <v/>
      </c>
      <c r="H164" s="36">
        <f>(H162-H163)*(1-$H$18)</f>
        <v/>
      </c>
      <c r="I164" s="36">
        <f>(I162-I163)*(1-$H$18)</f>
        <v/>
      </c>
      <c r="J164" s="36">
        <f>(J162-J163)*(1-$H$18)</f>
        <v/>
      </c>
      <c r="K164" s="36">
        <f>(K162-K163)*(1-$H$18)</f>
        <v/>
      </c>
      <c r="L164" s="36">
        <f>(L162-L163)*(1-$H$18)</f>
        <v/>
      </c>
      <c r="M164" s="36">
        <f>(M162-M163)*(1-$H$18)</f>
        <v/>
      </c>
      <c r="N164" s="36">
        <f>(N162-N163)*(1-$H$18)</f>
        <v/>
      </c>
      <c r="O164" s="36">
        <f>(O162-O163)*(1-$H$18)</f>
        <v/>
      </c>
      <c r="P164" s="36">
        <f>(P162-P163)*(1-$H$18)</f>
        <v/>
      </c>
      <c r="Q164" s="36">
        <f>(Q162-Q163)*(1-$H$18)</f>
        <v/>
      </c>
      <c r="R164" s="36">
        <f>(R162-R163)*(1-$H$18)</f>
        <v/>
      </c>
      <c r="S164" s="36">
        <f>(S162-S163)*(1-$H$18)</f>
        <v/>
      </c>
      <c r="T164" s="36">
        <f>(T162-T163)*(1-$H$18)</f>
        <v/>
      </c>
      <c r="U164" s="36">
        <f>(U162-U163)*(1-$H$18)</f>
        <v/>
      </c>
      <c r="V164" s="36">
        <f>(V162-V163)*(1-$H$18)</f>
        <v/>
      </c>
      <c r="W164" s="36">
        <f>(W162-W163)*(1-$H$18)</f>
        <v/>
      </c>
      <c r="X164" s="36">
        <f>(X162-X163)*(1-$H$18)</f>
        <v/>
      </c>
      <c r="Y164" s="36">
        <f>(Y162-Y163)*(1-$H$18)</f>
        <v/>
      </c>
      <c r="Z164" s="36">
        <f>(Z162-Z163)*(1-$H$18)</f>
        <v/>
      </c>
      <c r="AA164" s="36">
        <f>(AA162-AA163)*(1-$H$18)</f>
        <v/>
      </c>
      <c r="AB164" s="36">
        <f>(AB162-AB163)*(1-$H$18)</f>
        <v/>
      </c>
      <c r="AC164" s="36">
        <f>(AC162-AC163)*(1-$H$18)</f>
        <v/>
      </c>
      <c r="AD164" s="36">
        <f>(AD162-AD163)*(1-$H$18)</f>
        <v/>
      </c>
      <c r="AE164" s="36">
        <f>(AE162-AE163)*(1-$H$18)</f>
        <v/>
      </c>
      <c r="AF164" s="36">
        <f>(AF162-AF163)*(1-$H$18)</f>
        <v/>
      </c>
      <c r="AG164" s="36">
        <f>(AG162-AG163)*(1-$H$18)</f>
        <v/>
      </c>
      <c r="AH164" s="36">
        <f>(AH162-AH163)*(1-$H$18)</f>
        <v/>
      </c>
      <c r="AI164" s="36">
        <f>(AI162-AI163)*(1-$H$18)</f>
        <v/>
      </c>
      <c r="AJ164" s="36">
        <f>(AJ162-AJ163)*(1-$H$18)</f>
        <v/>
      </c>
      <c r="AK164" s="36">
        <f>(AK162-AK163)*(1-$H$18)</f>
        <v/>
      </c>
      <c r="AL164" s="36">
        <f>(AL162-AL163)*(1-$H$18)</f>
        <v/>
      </c>
      <c r="AM164" s="36">
        <f>(AM162-AM163)*(1-$H$18)</f>
        <v/>
      </c>
      <c r="AN164" s="36">
        <f>(AN162-AN163)*(1-$H$18)</f>
        <v/>
      </c>
      <c r="AO164" s="36">
        <f>(AO162-AO163)*(1-$H$18)</f>
        <v/>
      </c>
      <c r="AP164" s="36">
        <f>(AP162-AP163)*(1-$H$18)</f>
        <v/>
      </c>
      <c r="AQ164" s="36">
        <f>(AQ162-AQ163)*(1-$H$18)</f>
        <v/>
      </c>
      <c r="AR164" s="36">
        <f>(AR162-AR163)*(1-$H$18)</f>
        <v/>
      </c>
      <c r="AS164" s="36">
        <f>(AS162-AS163)*(1-$H$18)</f>
        <v/>
      </c>
      <c r="AT164" s="36">
        <f>(AT162-AT163)*(1-$H$18)</f>
        <v/>
      </c>
      <c r="AU164" s="36">
        <f>(AU162-AU163)*(1-$H$18)</f>
        <v/>
      </c>
      <c r="AV164" s="36">
        <f>(AV162-AV163)*(1-$H$18)</f>
        <v/>
      </c>
      <c r="AW164" s="36">
        <f>(AW162-AW163)*(1-$H$18)</f>
        <v/>
      </c>
      <c r="AX164" s="36">
        <f>(AX162-AX163)*(1-$H$18)</f>
        <v/>
      </c>
      <c r="AY164" s="36">
        <f>(AY162-AY163)*(1-$H$18)</f>
        <v/>
      </c>
      <c r="AZ164" s="36">
        <f>(AZ162-AZ163)*(1-$H$18)</f>
        <v/>
      </c>
      <c r="BA164" s="36">
        <f>(BA162-BA163)*(1-$H$18)</f>
        <v/>
      </c>
      <c r="BB164" s="36">
        <f>(BB162-BB163)*(1-$H$18)</f>
        <v/>
      </c>
      <c r="BC164" s="36">
        <f>(BC162-BC163)*(1-$H$18)</f>
        <v/>
      </c>
      <c r="BD164" s="36">
        <f>(BD162-BD163)*(1-$H$18)</f>
        <v/>
      </c>
    </row>
    <row r="165">
      <c r="A165" s="27" t="inlineStr">
        <is>
          <t xml:space="preserve">   returned to store</t>
        </is>
      </c>
      <c r="B165" s="2" t="inlineStr">
        <is>
          <t>lb</t>
        </is>
      </c>
      <c r="E165" s="36">
        <f>(E162-E163)*$H$18</f>
        <v/>
      </c>
      <c r="F165" s="36">
        <f>(F162-F163)*$H$18</f>
        <v/>
      </c>
      <c r="G165" s="36">
        <f>(G162-G163)*$H$18</f>
        <v/>
      </c>
      <c r="H165" s="36">
        <f>(H162-H163)*$H$18</f>
        <v/>
      </c>
      <c r="I165" s="36">
        <f>(I162-I163)*$H$18</f>
        <v/>
      </c>
      <c r="J165" s="36">
        <f>(J162-J163)*$H$18</f>
        <v/>
      </c>
      <c r="K165" s="36">
        <f>(K162-K163)*$H$18</f>
        <v/>
      </c>
      <c r="L165" s="36">
        <f>(L162-L163)*$H$18</f>
        <v/>
      </c>
      <c r="M165" s="36">
        <f>(M162-M163)*$H$18</f>
        <v/>
      </c>
      <c r="N165" s="36">
        <f>(N162-N163)*$H$18</f>
        <v/>
      </c>
      <c r="O165" s="36">
        <f>(O162-O163)*$H$18</f>
        <v/>
      </c>
      <c r="P165" s="36">
        <f>(P162-P163)*$H$18</f>
        <v/>
      </c>
      <c r="Q165" s="36">
        <f>(Q162-Q163)*$H$18</f>
        <v/>
      </c>
      <c r="R165" s="36">
        <f>(R162-R163)*$H$18</f>
        <v/>
      </c>
      <c r="S165" s="36">
        <f>(S162-S163)*$H$18</f>
        <v/>
      </c>
      <c r="T165" s="36">
        <f>(T162-T163)*$H$18</f>
        <v/>
      </c>
      <c r="U165" s="36">
        <f>(U162-U163)*$H$18</f>
        <v/>
      </c>
      <c r="V165" s="36">
        <f>(V162-V163)*$H$18</f>
        <v/>
      </c>
      <c r="W165" s="36">
        <f>(W162-W163)*$H$18</f>
        <v/>
      </c>
      <c r="X165" s="36">
        <f>(X162-X163)*$H$18</f>
        <v/>
      </c>
      <c r="Y165" s="36">
        <f>(Y162-Y163)*$H$18</f>
        <v/>
      </c>
      <c r="Z165" s="36">
        <f>(Z162-Z163)*$H$18</f>
        <v/>
      </c>
      <c r="AA165" s="36">
        <f>(AA162-AA163)*$H$18</f>
        <v/>
      </c>
      <c r="AB165" s="36">
        <f>(AB162-AB163)*$H$18</f>
        <v/>
      </c>
      <c r="AC165" s="36">
        <f>(AC162-AC163)*$H$18</f>
        <v/>
      </c>
      <c r="AD165" s="36">
        <f>(AD162-AD163)*$H$18</f>
        <v/>
      </c>
      <c r="AE165" s="36">
        <f>(AE162-AE163)*$H$18</f>
        <v/>
      </c>
      <c r="AF165" s="36">
        <f>(AF162-AF163)*$H$18</f>
        <v/>
      </c>
      <c r="AG165" s="36">
        <f>(AG162-AG163)*$H$18</f>
        <v/>
      </c>
      <c r="AH165" s="36">
        <f>(AH162-AH163)*$H$18</f>
        <v/>
      </c>
      <c r="AI165" s="36">
        <f>(AI162-AI163)*$H$18</f>
        <v/>
      </c>
      <c r="AJ165" s="36">
        <f>(AJ162-AJ163)*$H$18</f>
        <v/>
      </c>
      <c r="AK165" s="36">
        <f>(AK162-AK163)*$H$18</f>
        <v/>
      </c>
      <c r="AL165" s="36">
        <f>(AL162-AL163)*$H$18</f>
        <v/>
      </c>
      <c r="AM165" s="36">
        <f>(AM162-AM163)*$H$18</f>
        <v/>
      </c>
      <c r="AN165" s="36">
        <f>(AN162-AN163)*$H$18</f>
        <v/>
      </c>
      <c r="AO165" s="36">
        <f>(AO162-AO163)*$H$18</f>
        <v/>
      </c>
      <c r="AP165" s="36">
        <f>(AP162-AP163)*$H$18</f>
        <v/>
      </c>
      <c r="AQ165" s="36">
        <f>(AQ162-AQ163)*$H$18</f>
        <v/>
      </c>
      <c r="AR165" s="36">
        <f>(AR162-AR163)*$H$18</f>
        <v/>
      </c>
      <c r="AS165" s="36">
        <f>(AS162-AS163)*$H$18</f>
        <v/>
      </c>
      <c r="AT165" s="36">
        <f>(AT162-AT163)*$H$18</f>
        <v/>
      </c>
      <c r="AU165" s="36">
        <f>(AU162-AU163)*$H$18</f>
        <v/>
      </c>
      <c r="AV165" s="36">
        <f>(AV162-AV163)*$H$18</f>
        <v/>
      </c>
      <c r="AW165" s="36">
        <f>(AW162-AW163)*$H$18</f>
        <v/>
      </c>
      <c r="AX165" s="36">
        <f>(AX162-AX163)*$H$18</f>
        <v/>
      </c>
      <c r="AY165" s="36">
        <f>(AY162-AY163)*$H$18</f>
        <v/>
      </c>
      <c r="AZ165" s="36">
        <f>(AZ162-AZ163)*$H$18</f>
        <v/>
      </c>
      <c r="BA165" s="36">
        <f>(BA162-BA163)*$H$18</f>
        <v/>
      </c>
      <c r="BB165" s="36">
        <f>(BB162-BB163)*$H$18</f>
        <v/>
      </c>
      <c r="BC165" s="36">
        <f>(BC162-BC163)*$H$18</f>
        <v/>
      </c>
      <c r="BD165" s="36">
        <f>(BD162-BD163)*$H$18</f>
        <v/>
      </c>
    </row>
    <row r="166">
      <c r="A166" s="27" t="inlineStr">
        <is>
          <t xml:space="preserve">   leaves the store (offered - returned)</t>
        </is>
      </c>
      <c r="B166" s="2" t="inlineStr">
        <is>
          <t>lb</t>
        </is>
      </c>
      <c r="E166" s="36">
        <f>E162-E165</f>
        <v/>
      </c>
      <c r="F166" s="36">
        <f>F162-F165</f>
        <v/>
      </c>
      <c r="G166" s="36">
        <f>G162-G165</f>
        <v/>
      </c>
      <c r="H166" s="36">
        <f>H162-H165</f>
        <v/>
      </c>
      <c r="I166" s="36">
        <f>I162-I165</f>
        <v/>
      </c>
      <c r="J166" s="36">
        <f>J162-J165</f>
        <v/>
      </c>
      <c r="K166" s="36">
        <f>K162-K165</f>
        <v/>
      </c>
      <c r="L166" s="36">
        <f>L162-L165</f>
        <v/>
      </c>
      <c r="M166" s="36">
        <f>M162-M165</f>
        <v/>
      </c>
      <c r="N166" s="36">
        <f>N162-N165</f>
        <v/>
      </c>
      <c r="O166" s="36">
        <f>O162-O165</f>
        <v/>
      </c>
      <c r="P166" s="36">
        <f>P162-P165</f>
        <v/>
      </c>
      <c r="Q166" s="36">
        <f>Q162-Q165</f>
        <v/>
      </c>
      <c r="R166" s="36">
        <f>R162-R165</f>
        <v/>
      </c>
      <c r="S166" s="36">
        <f>S162-S165</f>
        <v/>
      </c>
      <c r="T166" s="36">
        <f>T162-T165</f>
        <v/>
      </c>
      <c r="U166" s="36">
        <f>U162-U165</f>
        <v/>
      </c>
      <c r="V166" s="36">
        <f>V162-V165</f>
        <v/>
      </c>
      <c r="W166" s="36">
        <f>W162-W165</f>
        <v/>
      </c>
      <c r="X166" s="36">
        <f>X162-X165</f>
        <v/>
      </c>
      <c r="Y166" s="36">
        <f>Y162-Y165</f>
        <v/>
      </c>
      <c r="Z166" s="36">
        <f>Z162-Z165</f>
        <v/>
      </c>
      <c r="AA166" s="36">
        <f>AA162-AA165</f>
        <v/>
      </c>
      <c r="AB166" s="36">
        <f>AB162-AB165</f>
        <v/>
      </c>
      <c r="AC166" s="36">
        <f>AC162-AC165</f>
        <v/>
      </c>
      <c r="AD166" s="36">
        <f>AD162-AD165</f>
        <v/>
      </c>
      <c r="AE166" s="36">
        <f>AE162-AE165</f>
        <v/>
      </c>
      <c r="AF166" s="36">
        <f>AF162-AF165</f>
        <v/>
      </c>
      <c r="AG166" s="36">
        <f>AG162-AG165</f>
        <v/>
      </c>
      <c r="AH166" s="36">
        <f>AH162-AH165</f>
        <v/>
      </c>
      <c r="AI166" s="36">
        <f>AI162-AI165</f>
        <v/>
      </c>
      <c r="AJ166" s="36">
        <f>AJ162-AJ165</f>
        <v/>
      </c>
      <c r="AK166" s="36">
        <f>AK162-AK165</f>
        <v/>
      </c>
      <c r="AL166" s="36">
        <f>AL162-AL165</f>
        <v/>
      </c>
      <c r="AM166" s="36">
        <f>AM162-AM165</f>
        <v/>
      </c>
      <c r="AN166" s="36">
        <f>AN162-AN165</f>
        <v/>
      </c>
      <c r="AO166" s="36">
        <f>AO162-AO165</f>
        <v/>
      </c>
      <c r="AP166" s="36">
        <f>AP162-AP165</f>
        <v/>
      </c>
      <c r="AQ166" s="36">
        <f>AQ162-AQ165</f>
        <v/>
      </c>
      <c r="AR166" s="36">
        <f>AR162-AR165</f>
        <v/>
      </c>
      <c r="AS166" s="36">
        <f>AS162-AS165</f>
        <v/>
      </c>
      <c r="AT166" s="36">
        <f>AT162-AT165</f>
        <v/>
      </c>
      <c r="AU166" s="36">
        <f>AU162-AU165</f>
        <v/>
      </c>
      <c r="AV166" s="36">
        <f>AV162-AV165</f>
        <v/>
      </c>
      <c r="AW166" s="36">
        <f>AW162-AW165</f>
        <v/>
      </c>
      <c r="AX166" s="36">
        <f>AX162-AX165</f>
        <v/>
      </c>
      <c r="AY166" s="36">
        <f>AY162-AY165</f>
        <v/>
      </c>
      <c r="AZ166" s="36">
        <f>AZ162-AZ165</f>
        <v/>
      </c>
      <c r="BA166" s="36">
        <f>BA162-BA165</f>
        <v/>
      </c>
      <c r="BB166" s="36">
        <f>BB162-BB165</f>
        <v/>
      </c>
      <c r="BC166" s="36">
        <f>BC162-BC165</f>
        <v/>
      </c>
      <c r="BD166" s="36">
        <f>BD162-BD165</f>
        <v/>
      </c>
    </row>
    <row r="167">
      <c r="A167" s="43" t="inlineStr">
        <is>
          <t>Wholesale — most you may sell this week</t>
        </is>
      </c>
      <c r="B167" s="2" t="inlineStr">
        <is>
          <t>lb</t>
        </is>
      </c>
      <c r="E167" s="44">
        <f>IF($C$19="Annual",$D$19-0,IF(AND(1&gt;=$E$19,1&lt;=$F$19),$D$19,0))</f>
        <v/>
      </c>
      <c r="F167" s="44">
        <f>IF($C$19="Annual",$D$19-SUM(E169:E169),IF(AND(2&gt;=$E$19,2&lt;=$F$19),$D$19,0))</f>
        <v/>
      </c>
      <c r="G167" s="44">
        <f>IF($C$19="Annual",$D$19-SUM(E169:F169),IF(AND(3&gt;=$E$19,3&lt;=$F$19),$D$19,0))</f>
        <v/>
      </c>
      <c r="H167" s="44">
        <f>IF($C$19="Annual",$D$19-SUM(E169:G169),IF(AND(4&gt;=$E$19,4&lt;=$F$19),$D$19,0))</f>
        <v/>
      </c>
      <c r="I167" s="44">
        <f>IF($C$19="Annual",$D$19-SUM(E169:H169),IF(AND(5&gt;=$E$19,5&lt;=$F$19),$D$19,0))</f>
        <v/>
      </c>
      <c r="J167" s="44">
        <f>IF($C$19="Annual",$D$19-SUM(E169:I169),IF(AND(6&gt;=$E$19,6&lt;=$F$19),$D$19,0))</f>
        <v/>
      </c>
      <c r="K167" s="44">
        <f>IF($C$19="Annual",$D$19-SUM(E169:J169),IF(AND(7&gt;=$E$19,7&lt;=$F$19),$D$19,0))</f>
        <v/>
      </c>
      <c r="L167" s="44">
        <f>IF($C$19="Annual",$D$19-SUM(E169:K169),IF(AND(8&gt;=$E$19,8&lt;=$F$19),$D$19,0))</f>
        <v/>
      </c>
      <c r="M167" s="44">
        <f>IF($C$19="Annual",$D$19-SUM(E169:L169),IF(AND(9&gt;=$E$19,9&lt;=$F$19),$D$19,0))</f>
        <v/>
      </c>
      <c r="N167" s="44">
        <f>IF($C$19="Annual",$D$19-SUM(E169:M169),IF(AND(10&gt;=$E$19,10&lt;=$F$19),$D$19,0))</f>
        <v/>
      </c>
      <c r="O167" s="44">
        <f>IF($C$19="Annual",$D$19-SUM(E169:N169),IF(AND(11&gt;=$E$19,11&lt;=$F$19),$D$19,0))</f>
        <v/>
      </c>
      <c r="P167" s="44">
        <f>IF($C$19="Annual",$D$19-SUM(E169:O169),IF(AND(12&gt;=$E$19,12&lt;=$F$19),$D$19,0))</f>
        <v/>
      </c>
      <c r="Q167" s="44">
        <f>IF($C$19="Annual",$D$19-SUM(E169:P169),IF(AND(13&gt;=$E$19,13&lt;=$F$19),$D$19,0))</f>
        <v/>
      </c>
      <c r="R167" s="44">
        <f>IF($C$19="Annual",$D$19-SUM(E169:Q169),IF(AND(14&gt;=$E$19,14&lt;=$F$19),$D$19,0))</f>
        <v/>
      </c>
      <c r="S167" s="44">
        <f>IF($C$19="Annual",$D$19-SUM(E169:R169),IF(AND(15&gt;=$E$19,15&lt;=$F$19),$D$19,0))</f>
        <v/>
      </c>
      <c r="T167" s="44">
        <f>IF($C$19="Annual",$D$19-SUM(E169:S169),IF(AND(16&gt;=$E$19,16&lt;=$F$19),$D$19,0))</f>
        <v/>
      </c>
      <c r="U167" s="44">
        <f>IF($C$19="Annual",$D$19-SUM(E169:T169),IF(AND(17&gt;=$E$19,17&lt;=$F$19),$D$19,0))</f>
        <v/>
      </c>
      <c r="V167" s="44">
        <f>IF($C$19="Annual",$D$19-SUM(E169:U169),IF(AND(18&gt;=$E$19,18&lt;=$F$19),$D$19,0))</f>
        <v/>
      </c>
      <c r="W167" s="44">
        <f>IF($C$19="Annual",$D$19-SUM(E169:V169),IF(AND(19&gt;=$E$19,19&lt;=$F$19),$D$19,0))</f>
        <v/>
      </c>
      <c r="X167" s="44">
        <f>IF($C$19="Annual",$D$19-SUM(E169:W169),IF(AND(20&gt;=$E$19,20&lt;=$F$19),$D$19,0))</f>
        <v/>
      </c>
      <c r="Y167" s="44">
        <f>IF($C$19="Annual",$D$19-SUM(E169:X169),IF(AND(21&gt;=$E$19,21&lt;=$F$19),$D$19,0))</f>
        <v/>
      </c>
      <c r="Z167" s="44">
        <f>IF($C$19="Annual",$D$19-SUM(E169:Y169),IF(AND(22&gt;=$E$19,22&lt;=$F$19),$D$19,0))</f>
        <v/>
      </c>
      <c r="AA167" s="44">
        <f>IF($C$19="Annual",$D$19-SUM(E169:Z169),IF(AND(23&gt;=$E$19,23&lt;=$F$19),$D$19,0))</f>
        <v/>
      </c>
      <c r="AB167" s="44">
        <f>IF($C$19="Annual",$D$19-SUM(E169:AA169),IF(AND(24&gt;=$E$19,24&lt;=$F$19),$D$19,0))</f>
        <v/>
      </c>
      <c r="AC167" s="44">
        <f>IF($C$19="Annual",$D$19-SUM(E169:AB169),IF(AND(25&gt;=$E$19,25&lt;=$F$19),$D$19,0))</f>
        <v/>
      </c>
      <c r="AD167" s="44">
        <f>IF($C$19="Annual",$D$19-SUM(E169:AC169),IF(AND(26&gt;=$E$19,26&lt;=$F$19),$D$19,0))</f>
        <v/>
      </c>
      <c r="AE167" s="44">
        <f>IF($C$19="Annual",$D$19-SUM(E169:AD169),IF(AND(27&gt;=$E$19,27&lt;=$F$19),$D$19,0))</f>
        <v/>
      </c>
      <c r="AF167" s="44">
        <f>IF($C$19="Annual",$D$19-SUM(E169:AE169),IF(AND(28&gt;=$E$19,28&lt;=$F$19),$D$19,0))</f>
        <v/>
      </c>
      <c r="AG167" s="44">
        <f>IF($C$19="Annual",$D$19-SUM(E169:AF169),IF(AND(29&gt;=$E$19,29&lt;=$F$19),$D$19,0))</f>
        <v/>
      </c>
      <c r="AH167" s="44">
        <f>IF($C$19="Annual",$D$19-SUM(E169:AG169),IF(AND(30&gt;=$E$19,30&lt;=$F$19),$D$19,0))</f>
        <v/>
      </c>
      <c r="AI167" s="44">
        <f>IF($C$19="Annual",$D$19-SUM(E169:AH169),IF(AND(31&gt;=$E$19,31&lt;=$F$19),$D$19,0))</f>
        <v/>
      </c>
      <c r="AJ167" s="44">
        <f>IF($C$19="Annual",$D$19-SUM(E169:AI169),IF(AND(32&gt;=$E$19,32&lt;=$F$19),$D$19,0))</f>
        <v/>
      </c>
      <c r="AK167" s="44">
        <f>IF($C$19="Annual",$D$19-SUM(E169:AJ169),IF(AND(33&gt;=$E$19,33&lt;=$F$19),$D$19,0))</f>
        <v/>
      </c>
      <c r="AL167" s="44">
        <f>IF($C$19="Annual",$D$19-SUM(E169:AK169),IF(AND(34&gt;=$E$19,34&lt;=$F$19),$D$19,0))</f>
        <v/>
      </c>
      <c r="AM167" s="44">
        <f>IF($C$19="Annual",$D$19-SUM(E169:AL169),IF(AND(35&gt;=$E$19,35&lt;=$F$19),$D$19,0))</f>
        <v/>
      </c>
      <c r="AN167" s="44">
        <f>IF($C$19="Annual",$D$19-SUM(E169:AM169),IF(AND(36&gt;=$E$19,36&lt;=$F$19),$D$19,0))</f>
        <v/>
      </c>
      <c r="AO167" s="44">
        <f>IF($C$19="Annual",$D$19-SUM(E169:AN169),IF(AND(37&gt;=$E$19,37&lt;=$F$19),$D$19,0))</f>
        <v/>
      </c>
      <c r="AP167" s="44">
        <f>IF($C$19="Annual",$D$19-SUM(E169:AO169),IF(AND(38&gt;=$E$19,38&lt;=$F$19),$D$19,0))</f>
        <v/>
      </c>
      <c r="AQ167" s="44">
        <f>IF($C$19="Annual",$D$19-SUM(E169:AP169),IF(AND(39&gt;=$E$19,39&lt;=$F$19),$D$19,0))</f>
        <v/>
      </c>
      <c r="AR167" s="44">
        <f>IF($C$19="Annual",$D$19-SUM(E169:AQ169),IF(AND(40&gt;=$E$19,40&lt;=$F$19),$D$19,0))</f>
        <v/>
      </c>
      <c r="AS167" s="44">
        <f>IF($C$19="Annual",$D$19-SUM(E169:AR169),IF(AND(41&gt;=$E$19,41&lt;=$F$19),$D$19,0))</f>
        <v/>
      </c>
      <c r="AT167" s="44">
        <f>IF($C$19="Annual",$D$19-SUM(E169:AS169),IF(AND(42&gt;=$E$19,42&lt;=$F$19),$D$19,0))</f>
        <v/>
      </c>
      <c r="AU167" s="44">
        <f>IF($C$19="Annual",$D$19-SUM(E169:AT169),IF(AND(43&gt;=$E$19,43&lt;=$F$19),$D$19,0))</f>
        <v/>
      </c>
      <c r="AV167" s="44">
        <f>IF($C$19="Annual",$D$19-SUM(E169:AU169),IF(AND(44&gt;=$E$19,44&lt;=$F$19),$D$19,0))</f>
        <v/>
      </c>
      <c r="AW167" s="44">
        <f>IF($C$19="Annual",$D$19-SUM(E169:AV169),IF(AND(45&gt;=$E$19,45&lt;=$F$19),$D$19,0))</f>
        <v/>
      </c>
      <c r="AX167" s="44">
        <f>IF($C$19="Annual",$D$19-SUM(E169:AW169),IF(AND(46&gt;=$E$19,46&lt;=$F$19),$D$19,0))</f>
        <v/>
      </c>
      <c r="AY167" s="44">
        <f>IF($C$19="Annual",$D$19-SUM(E169:AX169),IF(AND(47&gt;=$E$19,47&lt;=$F$19),$D$19,0))</f>
        <v/>
      </c>
      <c r="AZ167" s="44">
        <f>IF($C$19="Annual",$D$19-SUM(E169:AY169),IF(AND(48&gt;=$E$19,48&lt;=$F$19),$D$19,0))</f>
        <v/>
      </c>
      <c r="BA167" s="44">
        <f>IF($C$19="Annual",$D$19-SUM(E169:AZ169),IF(AND(49&gt;=$E$19,49&lt;=$F$19),$D$19,0))</f>
        <v/>
      </c>
      <c r="BB167" s="44">
        <f>IF($C$19="Annual",$D$19-SUM(E169:BA169),IF(AND(50&gt;=$E$19,50&lt;=$F$19),$D$19,0))</f>
        <v/>
      </c>
      <c r="BC167" s="44">
        <f>IF($C$19="Annual",$D$19-SUM(E169:BB169),IF(AND(51&gt;=$E$19,51&lt;=$F$19),$D$19,0))</f>
        <v/>
      </c>
      <c r="BD167" s="44">
        <f>IF($C$19="Annual",$D$19-SUM(E169:BC169),IF(AND(52&gt;=$E$19,52&lt;=$F$19),$D$19,0))</f>
        <v/>
      </c>
    </row>
    <row r="168">
      <c r="A168" s="23" t="inlineStr">
        <is>
          <t>Wholesale — OFFERED</t>
        </is>
      </c>
      <c r="B168" s="2" t="inlineStr">
        <is>
          <t>lb  &lt;-- SOLVER</t>
        </is>
      </c>
      <c r="E168" s="38" t="n">
        <v>0</v>
      </c>
      <c r="F168" s="38" t="n">
        <v>0</v>
      </c>
      <c r="G168" s="38" t="n">
        <v>0</v>
      </c>
      <c r="H168" s="38" t="n">
        <v>0</v>
      </c>
      <c r="I168" s="38" t="n">
        <v>0</v>
      </c>
      <c r="J168" s="38" t="n">
        <v>0</v>
      </c>
      <c r="K168" s="38" t="n">
        <v>0</v>
      </c>
      <c r="L168" s="38" t="n">
        <v>0</v>
      </c>
      <c r="M168" s="38" t="n">
        <v>0</v>
      </c>
      <c r="N168" s="38" t="n">
        <v>0</v>
      </c>
      <c r="O168" s="38" t="n">
        <v>0</v>
      </c>
      <c r="P168" s="38" t="n">
        <v>0</v>
      </c>
      <c r="Q168" s="38" t="n">
        <v>0</v>
      </c>
      <c r="R168" s="38" t="n">
        <v>0</v>
      </c>
      <c r="S168" s="38" t="n">
        <v>0</v>
      </c>
      <c r="T168" s="38" t="n">
        <v>0</v>
      </c>
      <c r="U168" s="38" t="n">
        <v>0</v>
      </c>
      <c r="V168" s="38" t="n">
        <v>0</v>
      </c>
      <c r="W168" s="38" t="n">
        <v>0</v>
      </c>
      <c r="X168" s="38" t="n">
        <v>0</v>
      </c>
      <c r="Y168" s="38" t="n">
        <v>0</v>
      </c>
      <c r="Z168" s="38" t="n">
        <v>0</v>
      </c>
      <c r="AA168" s="38" t="n">
        <v>0</v>
      </c>
      <c r="AB168" s="38" t="n">
        <v>0</v>
      </c>
      <c r="AC168" s="38" t="n">
        <v>0</v>
      </c>
      <c r="AD168" s="38" t="n">
        <v>0</v>
      </c>
      <c r="AE168" s="38" t="n">
        <v>0</v>
      </c>
      <c r="AF168" s="38" t="n">
        <v>0</v>
      </c>
      <c r="AG168" s="38" t="n">
        <v>0</v>
      </c>
      <c r="AH168" s="38" t="n">
        <v>0</v>
      </c>
      <c r="AI168" s="38" t="n">
        <v>0</v>
      </c>
      <c r="AJ168" s="38" t="n">
        <v>0</v>
      </c>
      <c r="AK168" s="38" t="n">
        <v>0</v>
      </c>
      <c r="AL168" s="38" t="n">
        <v>0</v>
      </c>
      <c r="AM168" s="38" t="n">
        <v>0</v>
      </c>
      <c r="AN168" s="38" t="n">
        <v>0</v>
      </c>
      <c r="AO168" s="38" t="n">
        <v>0</v>
      </c>
      <c r="AP168" s="38" t="n">
        <v>0</v>
      </c>
      <c r="AQ168" s="38" t="n">
        <v>0</v>
      </c>
      <c r="AR168" s="38" t="n">
        <v>0</v>
      </c>
      <c r="AS168" s="38" t="n">
        <v>0</v>
      </c>
      <c r="AT168" s="38" t="n">
        <v>0</v>
      </c>
      <c r="AU168" s="38" t="n">
        <v>0</v>
      </c>
      <c r="AV168" s="38" t="n">
        <v>0</v>
      </c>
      <c r="AW168" s="38" t="n">
        <v>0</v>
      </c>
      <c r="AX168" s="38" t="n">
        <v>0</v>
      </c>
      <c r="AY168" s="38" t="n">
        <v>0</v>
      </c>
      <c r="AZ168" s="38" t="n">
        <v>0</v>
      </c>
      <c r="BA168" s="38" t="n">
        <v>0</v>
      </c>
      <c r="BB168" s="38" t="n">
        <v>0</v>
      </c>
      <c r="BC168" s="38" t="n">
        <v>0</v>
      </c>
      <c r="BD168" s="38" t="n">
        <v>0</v>
      </c>
    </row>
    <row r="169">
      <c r="A169" s="45" t="inlineStr">
        <is>
          <t>Wholesale — SOLD</t>
        </is>
      </c>
      <c r="B169" s="2" t="inlineStr">
        <is>
          <t>lb</t>
        </is>
      </c>
      <c r="E169" s="44">
        <f>E168*$G$19</f>
        <v/>
      </c>
      <c r="F169" s="44">
        <f>F168*$G$19</f>
        <v/>
      </c>
      <c r="G169" s="44">
        <f>G168*$G$19</f>
        <v/>
      </c>
      <c r="H169" s="44">
        <f>H168*$G$19</f>
        <v/>
      </c>
      <c r="I169" s="44">
        <f>I168*$G$19</f>
        <v/>
      </c>
      <c r="J169" s="44">
        <f>J168*$G$19</f>
        <v/>
      </c>
      <c r="K169" s="44">
        <f>K168*$G$19</f>
        <v/>
      </c>
      <c r="L169" s="44">
        <f>L168*$G$19</f>
        <v/>
      </c>
      <c r="M169" s="44">
        <f>M168*$G$19</f>
        <v/>
      </c>
      <c r="N169" s="44">
        <f>N168*$G$19</f>
        <v/>
      </c>
      <c r="O169" s="44">
        <f>O168*$G$19</f>
        <v/>
      </c>
      <c r="P169" s="44">
        <f>P168*$G$19</f>
        <v/>
      </c>
      <c r="Q169" s="44">
        <f>Q168*$G$19</f>
        <v/>
      </c>
      <c r="R169" s="44">
        <f>R168*$G$19</f>
        <v/>
      </c>
      <c r="S169" s="44">
        <f>S168*$G$19</f>
        <v/>
      </c>
      <c r="T169" s="44">
        <f>T168*$G$19</f>
        <v/>
      </c>
      <c r="U169" s="44">
        <f>U168*$G$19</f>
        <v/>
      </c>
      <c r="V169" s="44">
        <f>V168*$G$19</f>
        <v/>
      </c>
      <c r="W169" s="44">
        <f>W168*$G$19</f>
        <v/>
      </c>
      <c r="X169" s="44">
        <f>X168*$G$19</f>
        <v/>
      </c>
      <c r="Y169" s="44">
        <f>Y168*$G$19</f>
        <v/>
      </c>
      <c r="Z169" s="44">
        <f>Z168*$G$19</f>
        <v/>
      </c>
      <c r="AA169" s="44">
        <f>AA168*$G$19</f>
        <v/>
      </c>
      <c r="AB169" s="44">
        <f>AB168*$G$19</f>
        <v/>
      </c>
      <c r="AC169" s="44">
        <f>AC168*$G$19</f>
        <v/>
      </c>
      <c r="AD169" s="44">
        <f>AD168*$G$19</f>
        <v/>
      </c>
      <c r="AE169" s="44">
        <f>AE168*$G$19</f>
        <v/>
      </c>
      <c r="AF169" s="44">
        <f>AF168*$G$19</f>
        <v/>
      </c>
      <c r="AG169" s="44">
        <f>AG168*$G$19</f>
        <v/>
      </c>
      <c r="AH169" s="44">
        <f>AH168*$G$19</f>
        <v/>
      </c>
      <c r="AI169" s="44">
        <f>AI168*$G$19</f>
        <v/>
      </c>
      <c r="AJ169" s="44">
        <f>AJ168*$G$19</f>
        <v/>
      </c>
      <c r="AK169" s="44">
        <f>AK168*$G$19</f>
        <v/>
      </c>
      <c r="AL169" s="44">
        <f>AL168*$G$19</f>
        <v/>
      </c>
      <c r="AM169" s="44">
        <f>AM168*$G$19</f>
        <v/>
      </c>
      <c r="AN169" s="44">
        <f>AN168*$G$19</f>
        <v/>
      </c>
      <c r="AO169" s="44">
        <f>AO168*$G$19</f>
        <v/>
      </c>
      <c r="AP169" s="44">
        <f>AP168*$G$19</f>
        <v/>
      </c>
      <c r="AQ169" s="44">
        <f>AQ168*$G$19</f>
        <v/>
      </c>
      <c r="AR169" s="44">
        <f>AR168*$G$19</f>
        <v/>
      </c>
      <c r="AS169" s="44">
        <f>AS168*$G$19</f>
        <v/>
      </c>
      <c r="AT169" s="44">
        <f>AT168*$G$19</f>
        <v/>
      </c>
      <c r="AU169" s="44">
        <f>AU168*$G$19</f>
        <v/>
      </c>
      <c r="AV169" s="44">
        <f>AV168*$G$19</f>
        <v/>
      </c>
      <c r="AW169" s="44">
        <f>AW168*$G$19</f>
        <v/>
      </c>
      <c r="AX169" s="44">
        <f>AX168*$G$19</f>
        <v/>
      </c>
      <c r="AY169" s="44">
        <f>AY168*$G$19</f>
        <v/>
      </c>
      <c r="AZ169" s="44">
        <f>AZ168*$G$19</f>
        <v/>
      </c>
      <c r="BA169" s="44">
        <f>BA168*$G$19</f>
        <v/>
      </c>
      <c r="BB169" s="44">
        <f>BB168*$G$19</f>
        <v/>
      </c>
      <c r="BC169" s="44">
        <f>BC168*$G$19</f>
        <v/>
      </c>
      <c r="BD169" s="44">
        <f>BD168*$G$19</f>
        <v/>
      </c>
    </row>
    <row r="170">
      <c r="A170" s="27" t="inlineStr">
        <is>
          <t xml:space="preserve">   market loss (gone)</t>
        </is>
      </c>
      <c r="B170" s="2" t="inlineStr">
        <is>
          <t>lb</t>
        </is>
      </c>
      <c r="E170" s="36">
        <f>(E168-E169)*(1-$H$19)</f>
        <v/>
      </c>
      <c r="F170" s="36">
        <f>(F168-F169)*(1-$H$19)</f>
        <v/>
      </c>
      <c r="G170" s="36">
        <f>(G168-G169)*(1-$H$19)</f>
        <v/>
      </c>
      <c r="H170" s="36">
        <f>(H168-H169)*(1-$H$19)</f>
        <v/>
      </c>
      <c r="I170" s="36">
        <f>(I168-I169)*(1-$H$19)</f>
        <v/>
      </c>
      <c r="J170" s="36">
        <f>(J168-J169)*(1-$H$19)</f>
        <v/>
      </c>
      <c r="K170" s="36">
        <f>(K168-K169)*(1-$H$19)</f>
        <v/>
      </c>
      <c r="L170" s="36">
        <f>(L168-L169)*(1-$H$19)</f>
        <v/>
      </c>
      <c r="M170" s="36">
        <f>(M168-M169)*(1-$H$19)</f>
        <v/>
      </c>
      <c r="N170" s="36">
        <f>(N168-N169)*(1-$H$19)</f>
        <v/>
      </c>
      <c r="O170" s="36">
        <f>(O168-O169)*(1-$H$19)</f>
        <v/>
      </c>
      <c r="P170" s="36">
        <f>(P168-P169)*(1-$H$19)</f>
        <v/>
      </c>
      <c r="Q170" s="36">
        <f>(Q168-Q169)*(1-$H$19)</f>
        <v/>
      </c>
      <c r="R170" s="36">
        <f>(R168-R169)*(1-$H$19)</f>
        <v/>
      </c>
      <c r="S170" s="36">
        <f>(S168-S169)*(1-$H$19)</f>
        <v/>
      </c>
      <c r="T170" s="36">
        <f>(T168-T169)*(1-$H$19)</f>
        <v/>
      </c>
      <c r="U170" s="36">
        <f>(U168-U169)*(1-$H$19)</f>
        <v/>
      </c>
      <c r="V170" s="36">
        <f>(V168-V169)*(1-$H$19)</f>
        <v/>
      </c>
      <c r="W170" s="36">
        <f>(W168-W169)*(1-$H$19)</f>
        <v/>
      </c>
      <c r="X170" s="36">
        <f>(X168-X169)*(1-$H$19)</f>
        <v/>
      </c>
      <c r="Y170" s="36">
        <f>(Y168-Y169)*(1-$H$19)</f>
        <v/>
      </c>
      <c r="Z170" s="36">
        <f>(Z168-Z169)*(1-$H$19)</f>
        <v/>
      </c>
      <c r="AA170" s="36">
        <f>(AA168-AA169)*(1-$H$19)</f>
        <v/>
      </c>
      <c r="AB170" s="36">
        <f>(AB168-AB169)*(1-$H$19)</f>
        <v/>
      </c>
      <c r="AC170" s="36">
        <f>(AC168-AC169)*(1-$H$19)</f>
        <v/>
      </c>
      <c r="AD170" s="36">
        <f>(AD168-AD169)*(1-$H$19)</f>
        <v/>
      </c>
      <c r="AE170" s="36">
        <f>(AE168-AE169)*(1-$H$19)</f>
        <v/>
      </c>
      <c r="AF170" s="36">
        <f>(AF168-AF169)*(1-$H$19)</f>
        <v/>
      </c>
      <c r="AG170" s="36">
        <f>(AG168-AG169)*(1-$H$19)</f>
        <v/>
      </c>
      <c r="AH170" s="36">
        <f>(AH168-AH169)*(1-$H$19)</f>
        <v/>
      </c>
      <c r="AI170" s="36">
        <f>(AI168-AI169)*(1-$H$19)</f>
        <v/>
      </c>
      <c r="AJ170" s="36">
        <f>(AJ168-AJ169)*(1-$H$19)</f>
        <v/>
      </c>
      <c r="AK170" s="36">
        <f>(AK168-AK169)*(1-$H$19)</f>
        <v/>
      </c>
      <c r="AL170" s="36">
        <f>(AL168-AL169)*(1-$H$19)</f>
        <v/>
      </c>
      <c r="AM170" s="36">
        <f>(AM168-AM169)*(1-$H$19)</f>
        <v/>
      </c>
      <c r="AN170" s="36">
        <f>(AN168-AN169)*(1-$H$19)</f>
        <v/>
      </c>
      <c r="AO170" s="36">
        <f>(AO168-AO169)*(1-$H$19)</f>
        <v/>
      </c>
      <c r="AP170" s="36">
        <f>(AP168-AP169)*(1-$H$19)</f>
        <v/>
      </c>
      <c r="AQ170" s="36">
        <f>(AQ168-AQ169)*(1-$H$19)</f>
        <v/>
      </c>
      <c r="AR170" s="36">
        <f>(AR168-AR169)*(1-$H$19)</f>
        <v/>
      </c>
      <c r="AS170" s="36">
        <f>(AS168-AS169)*(1-$H$19)</f>
        <v/>
      </c>
      <c r="AT170" s="36">
        <f>(AT168-AT169)*(1-$H$19)</f>
        <v/>
      </c>
      <c r="AU170" s="36">
        <f>(AU168-AU169)*(1-$H$19)</f>
        <v/>
      </c>
      <c r="AV170" s="36">
        <f>(AV168-AV169)*(1-$H$19)</f>
        <v/>
      </c>
      <c r="AW170" s="36">
        <f>(AW168-AW169)*(1-$H$19)</f>
        <v/>
      </c>
      <c r="AX170" s="36">
        <f>(AX168-AX169)*(1-$H$19)</f>
        <v/>
      </c>
      <c r="AY170" s="36">
        <f>(AY168-AY169)*(1-$H$19)</f>
        <v/>
      </c>
      <c r="AZ170" s="36">
        <f>(AZ168-AZ169)*(1-$H$19)</f>
        <v/>
      </c>
      <c r="BA170" s="36">
        <f>(BA168-BA169)*(1-$H$19)</f>
        <v/>
      </c>
      <c r="BB170" s="36">
        <f>(BB168-BB169)*(1-$H$19)</f>
        <v/>
      </c>
      <c r="BC170" s="36">
        <f>(BC168-BC169)*(1-$H$19)</f>
        <v/>
      </c>
      <c r="BD170" s="36">
        <f>(BD168-BD169)*(1-$H$19)</f>
        <v/>
      </c>
    </row>
    <row r="171">
      <c r="A171" s="27" t="inlineStr">
        <is>
          <t xml:space="preserve">   returned to store</t>
        </is>
      </c>
      <c r="B171" s="2" t="inlineStr">
        <is>
          <t>lb</t>
        </is>
      </c>
      <c r="E171" s="36">
        <f>(E168-E169)*$H$19</f>
        <v/>
      </c>
      <c r="F171" s="36">
        <f>(F168-F169)*$H$19</f>
        <v/>
      </c>
      <c r="G171" s="36">
        <f>(G168-G169)*$H$19</f>
        <v/>
      </c>
      <c r="H171" s="36">
        <f>(H168-H169)*$H$19</f>
        <v/>
      </c>
      <c r="I171" s="36">
        <f>(I168-I169)*$H$19</f>
        <v/>
      </c>
      <c r="J171" s="36">
        <f>(J168-J169)*$H$19</f>
        <v/>
      </c>
      <c r="K171" s="36">
        <f>(K168-K169)*$H$19</f>
        <v/>
      </c>
      <c r="L171" s="36">
        <f>(L168-L169)*$H$19</f>
        <v/>
      </c>
      <c r="M171" s="36">
        <f>(M168-M169)*$H$19</f>
        <v/>
      </c>
      <c r="N171" s="36">
        <f>(N168-N169)*$H$19</f>
        <v/>
      </c>
      <c r="O171" s="36">
        <f>(O168-O169)*$H$19</f>
        <v/>
      </c>
      <c r="P171" s="36">
        <f>(P168-P169)*$H$19</f>
        <v/>
      </c>
      <c r="Q171" s="36">
        <f>(Q168-Q169)*$H$19</f>
        <v/>
      </c>
      <c r="R171" s="36">
        <f>(R168-R169)*$H$19</f>
        <v/>
      </c>
      <c r="S171" s="36">
        <f>(S168-S169)*$H$19</f>
        <v/>
      </c>
      <c r="T171" s="36">
        <f>(T168-T169)*$H$19</f>
        <v/>
      </c>
      <c r="U171" s="36">
        <f>(U168-U169)*$H$19</f>
        <v/>
      </c>
      <c r="V171" s="36">
        <f>(V168-V169)*$H$19</f>
        <v/>
      </c>
      <c r="W171" s="36">
        <f>(W168-W169)*$H$19</f>
        <v/>
      </c>
      <c r="X171" s="36">
        <f>(X168-X169)*$H$19</f>
        <v/>
      </c>
      <c r="Y171" s="36">
        <f>(Y168-Y169)*$H$19</f>
        <v/>
      </c>
      <c r="Z171" s="36">
        <f>(Z168-Z169)*$H$19</f>
        <v/>
      </c>
      <c r="AA171" s="36">
        <f>(AA168-AA169)*$H$19</f>
        <v/>
      </c>
      <c r="AB171" s="36">
        <f>(AB168-AB169)*$H$19</f>
        <v/>
      </c>
      <c r="AC171" s="36">
        <f>(AC168-AC169)*$H$19</f>
        <v/>
      </c>
      <c r="AD171" s="36">
        <f>(AD168-AD169)*$H$19</f>
        <v/>
      </c>
      <c r="AE171" s="36">
        <f>(AE168-AE169)*$H$19</f>
        <v/>
      </c>
      <c r="AF171" s="36">
        <f>(AF168-AF169)*$H$19</f>
        <v/>
      </c>
      <c r="AG171" s="36">
        <f>(AG168-AG169)*$H$19</f>
        <v/>
      </c>
      <c r="AH171" s="36">
        <f>(AH168-AH169)*$H$19</f>
        <v/>
      </c>
      <c r="AI171" s="36">
        <f>(AI168-AI169)*$H$19</f>
        <v/>
      </c>
      <c r="AJ171" s="36">
        <f>(AJ168-AJ169)*$H$19</f>
        <v/>
      </c>
      <c r="AK171" s="36">
        <f>(AK168-AK169)*$H$19</f>
        <v/>
      </c>
      <c r="AL171" s="36">
        <f>(AL168-AL169)*$H$19</f>
        <v/>
      </c>
      <c r="AM171" s="36">
        <f>(AM168-AM169)*$H$19</f>
        <v/>
      </c>
      <c r="AN171" s="36">
        <f>(AN168-AN169)*$H$19</f>
        <v/>
      </c>
      <c r="AO171" s="36">
        <f>(AO168-AO169)*$H$19</f>
        <v/>
      </c>
      <c r="AP171" s="36">
        <f>(AP168-AP169)*$H$19</f>
        <v/>
      </c>
      <c r="AQ171" s="36">
        <f>(AQ168-AQ169)*$H$19</f>
        <v/>
      </c>
      <c r="AR171" s="36">
        <f>(AR168-AR169)*$H$19</f>
        <v/>
      </c>
      <c r="AS171" s="36">
        <f>(AS168-AS169)*$H$19</f>
        <v/>
      </c>
      <c r="AT171" s="36">
        <f>(AT168-AT169)*$H$19</f>
        <v/>
      </c>
      <c r="AU171" s="36">
        <f>(AU168-AU169)*$H$19</f>
        <v/>
      </c>
      <c r="AV171" s="36">
        <f>(AV168-AV169)*$H$19</f>
        <v/>
      </c>
      <c r="AW171" s="36">
        <f>(AW168-AW169)*$H$19</f>
        <v/>
      </c>
      <c r="AX171" s="36">
        <f>(AX168-AX169)*$H$19</f>
        <v/>
      </c>
      <c r="AY171" s="36">
        <f>(AY168-AY169)*$H$19</f>
        <v/>
      </c>
      <c r="AZ171" s="36">
        <f>(AZ168-AZ169)*$H$19</f>
        <v/>
      </c>
      <c r="BA171" s="36">
        <f>(BA168-BA169)*$H$19</f>
        <v/>
      </c>
      <c r="BB171" s="36">
        <f>(BB168-BB169)*$H$19</f>
        <v/>
      </c>
      <c r="BC171" s="36">
        <f>(BC168-BC169)*$H$19</f>
        <v/>
      </c>
      <c r="BD171" s="36">
        <f>(BD168-BD169)*$H$19</f>
        <v/>
      </c>
    </row>
    <row r="172">
      <c r="A172" s="27" t="inlineStr">
        <is>
          <t xml:space="preserve">   leaves the store (offered - returned)</t>
        </is>
      </c>
      <c r="B172" s="2" t="inlineStr">
        <is>
          <t>lb</t>
        </is>
      </c>
      <c r="E172" s="36">
        <f>E168-E171</f>
        <v/>
      </c>
      <c r="F172" s="36">
        <f>F168-F171</f>
        <v/>
      </c>
      <c r="G172" s="36">
        <f>G168-G171</f>
        <v/>
      </c>
      <c r="H172" s="36">
        <f>H168-H171</f>
        <v/>
      </c>
      <c r="I172" s="36">
        <f>I168-I171</f>
        <v/>
      </c>
      <c r="J172" s="36">
        <f>J168-J171</f>
        <v/>
      </c>
      <c r="K172" s="36">
        <f>K168-K171</f>
        <v/>
      </c>
      <c r="L172" s="36">
        <f>L168-L171</f>
        <v/>
      </c>
      <c r="M172" s="36">
        <f>M168-M171</f>
        <v/>
      </c>
      <c r="N172" s="36">
        <f>N168-N171</f>
        <v/>
      </c>
      <c r="O172" s="36">
        <f>O168-O171</f>
        <v/>
      </c>
      <c r="P172" s="36">
        <f>P168-P171</f>
        <v/>
      </c>
      <c r="Q172" s="36">
        <f>Q168-Q171</f>
        <v/>
      </c>
      <c r="R172" s="36">
        <f>R168-R171</f>
        <v/>
      </c>
      <c r="S172" s="36">
        <f>S168-S171</f>
        <v/>
      </c>
      <c r="T172" s="36">
        <f>T168-T171</f>
        <v/>
      </c>
      <c r="U172" s="36">
        <f>U168-U171</f>
        <v/>
      </c>
      <c r="V172" s="36">
        <f>V168-V171</f>
        <v/>
      </c>
      <c r="W172" s="36">
        <f>W168-W171</f>
        <v/>
      </c>
      <c r="X172" s="36">
        <f>X168-X171</f>
        <v/>
      </c>
      <c r="Y172" s="36">
        <f>Y168-Y171</f>
        <v/>
      </c>
      <c r="Z172" s="36">
        <f>Z168-Z171</f>
        <v/>
      </c>
      <c r="AA172" s="36">
        <f>AA168-AA171</f>
        <v/>
      </c>
      <c r="AB172" s="36">
        <f>AB168-AB171</f>
        <v/>
      </c>
      <c r="AC172" s="36">
        <f>AC168-AC171</f>
        <v/>
      </c>
      <c r="AD172" s="36">
        <f>AD168-AD171</f>
        <v/>
      </c>
      <c r="AE172" s="36">
        <f>AE168-AE171</f>
        <v/>
      </c>
      <c r="AF172" s="36">
        <f>AF168-AF171</f>
        <v/>
      </c>
      <c r="AG172" s="36">
        <f>AG168-AG171</f>
        <v/>
      </c>
      <c r="AH172" s="36">
        <f>AH168-AH171</f>
        <v/>
      </c>
      <c r="AI172" s="36">
        <f>AI168-AI171</f>
        <v/>
      </c>
      <c r="AJ172" s="36">
        <f>AJ168-AJ171</f>
        <v/>
      </c>
      <c r="AK172" s="36">
        <f>AK168-AK171</f>
        <v/>
      </c>
      <c r="AL172" s="36">
        <f>AL168-AL171</f>
        <v/>
      </c>
      <c r="AM172" s="36">
        <f>AM168-AM171</f>
        <v/>
      </c>
      <c r="AN172" s="36">
        <f>AN168-AN171</f>
        <v/>
      </c>
      <c r="AO172" s="36">
        <f>AO168-AO171</f>
        <v/>
      </c>
      <c r="AP172" s="36">
        <f>AP168-AP171</f>
        <v/>
      </c>
      <c r="AQ172" s="36">
        <f>AQ168-AQ171</f>
        <v/>
      </c>
      <c r="AR172" s="36">
        <f>AR168-AR171</f>
        <v/>
      </c>
      <c r="AS172" s="36">
        <f>AS168-AS171</f>
        <v/>
      </c>
      <c r="AT172" s="36">
        <f>AT168-AT171</f>
        <v/>
      </c>
      <c r="AU172" s="36">
        <f>AU168-AU171</f>
        <v/>
      </c>
      <c r="AV172" s="36">
        <f>AV168-AV171</f>
        <v/>
      </c>
      <c r="AW172" s="36">
        <f>AW168-AW171</f>
        <v/>
      </c>
      <c r="AX172" s="36">
        <f>AX168-AX171</f>
        <v/>
      </c>
      <c r="AY172" s="36">
        <f>AY168-AY171</f>
        <v/>
      </c>
      <c r="AZ172" s="36">
        <f>AZ168-AZ171</f>
        <v/>
      </c>
      <c r="BA172" s="36">
        <f>BA168-BA171</f>
        <v/>
      </c>
      <c r="BB172" s="36">
        <f>BB168-BB171</f>
        <v/>
      </c>
      <c r="BC172" s="36">
        <f>BC168-BC171</f>
        <v/>
      </c>
      <c r="BD172" s="36">
        <f>BD168-BD171</f>
        <v/>
      </c>
    </row>
    <row r="173">
      <c r="A173" s="4" t="inlineStr">
        <is>
          <t>Stock carried out</t>
        </is>
      </c>
      <c r="B173" s="2" t="inlineStr">
        <is>
          <t>lb</t>
        </is>
      </c>
      <c r="E173" s="36">
        <f>E160-E166-E172</f>
        <v/>
      </c>
      <c r="F173" s="36">
        <f>F160-F166-F172</f>
        <v/>
      </c>
      <c r="G173" s="36">
        <f>G160-G166-G172</f>
        <v/>
      </c>
      <c r="H173" s="36">
        <f>H160-H166-H172</f>
        <v/>
      </c>
      <c r="I173" s="36">
        <f>I160-I166-I172</f>
        <v/>
      </c>
      <c r="J173" s="36">
        <f>J160-J166-J172</f>
        <v/>
      </c>
      <c r="K173" s="36">
        <f>K160-K166-K172</f>
        <v/>
      </c>
      <c r="L173" s="36">
        <f>L160-L166-L172</f>
        <v/>
      </c>
      <c r="M173" s="36">
        <f>M160-M166-M172</f>
        <v/>
      </c>
      <c r="N173" s="36">
        <f>N160-N166-N172</f>
        <v/>
      </c>
      <c r="O173" s="36">
        <f>O160-O166-O172</f>
        <v/>
      </c>
      <c r="P173" s="36">
        <f>P160-P166-P172</f>
        <v/>
      </c>
      <c r="Q173" s="36">
        <f>Q160-Q166-Q172</f>
        <v/>
      </c>
      <c r="R173" s="36">
        <f>R160-R166-R172</f>
        <v/>
      </c>
      <c r="S173" s="36">
        <f>S160-S166-S172</f>
        <v/>
      </c>
      <c r="T173" s="36">
        <f>T160-T166-T172</f>
        <v/>
      </c>
      <c r="U173" s="36">
        <f>U160-U166-U172</f>
        <v/>
      </c>
      <c r="V173" s="36">
        <f>V160-V166-V172</f>
        <v/>
      </c>
      <c r="W173" s="36">
        <f>W160-W166-W172</f>
        <v/>
      </c>
      <c r="X173" s="36">
        <f>X160-X166-X172</f>
        <v/>
      </c>
      <c r="Y173" s="36">
        <f>Y160-Y166-Y172</f>
        <v/>
      </c>
      <c r="Z173" s="36">
        <f>Z160-Z166-Z172</f>
        <v/>
      </c>
      <c r="AA173" s="36">
        <f>AA160-AA166-AA172</f>
        <v/>
      </c>
      <c r="AB173" s="36">
        <f>AB160-AB166-AB172</f>
        <v/>
      </c>
      <c r="AC173" s="36">
        <f>AC160-AC166-AC172</f>
        <v/>
      </c>
      <c r="AD173" s="36">
        <f>AD160-AD166-AD172</f>
        <v/>
      </c>
      <c r="AE173" s="36">
        <f>AE160-AE166-AE172</f>
        <v/>
      </c>
      <c r="AF173" s="36">
        <f>AF160-AF166-AF172</f>
        <v/>
      </c>
      <c r="AG173" s="36">
        <f>AG160-AG166-AG172</f>
        <v/>
      </c>
      <c r="AH173" s="36">
        <f>AH160-AH166-AH172</f>
        <v/>
      </c>
      <c r="AI173" s="36">
        <f>AI160-AI166-AI172</f>
        <v/>
      </c>
      <c r="AJ173" s="36">
        <f>AJ160-AJ166-AJ172</f>
        <v/>
      </c>
      <c r="AK173" s="36">
        <f>AK160-AK166-AK172</f>
        <v/>
      </c>
      <c r="AL173" s="36">
        <f>AL160-AL166-AL172</f>
        <v/>
      </c>
      <c r="AM173" s="36">
        <f>AM160-AM166-AM172</f>
        <v/>
      </c>
      <c r="AN173" s="36">
        <f>AN160-AN166-AN172</f>
        <v/>
      </c>
      <c r="AO173" s="36">
        <f>AO160-AO166-AO172</f>
        <v/>
      </c>
      <c r="AP173" s="36">
        <f>AP160-AP166-AP172</f>
        <v/>
      </c>
      <c r="AQ173" s="36">
        <f>AQ160-AQ166-AQ172</f>
        <v/>
      </c>
      <c r="AR173" s="36">
        <f>AR160-AR166-AR172</f>
        <v/>
      </c>
      <c r="AS173" s="36">
        <f>AS160-AS166-AS172</f>
        <v/>
      </c>
      <c r="AT173" s="36">
        <f>AT160-AT166-AT172</f>
        <v/>
      </c>
      <c r="AU173" s="36">
        <f>AU160-AU166-AU172</f>
        <v/>
      </c>
      <c r="AV173" s="36">
        <f>AV160-AV166-AV172</f>
        <v/>
      </c>
      <c r="AW173" s="36">
        <f>AW160-AW166-AW172</f>
        <v/>
      </c>
      <c r="AX173" s="36">
        <f>AX160-AX166-AX172</f>
        <v/>
      </c>
      <c r="AY173" s="36">
        <f>AY160-AY166-AY172</f>
        <v/>
      </c>
      <c r="AZ173" s="36">
        <f>AZ160-AZ166-AZ172</f>
        <v/>
      </c>
      <c r="BA173" s="36">
        <f>BA160-BA166-BA172</f>
        <v/>
      </c>
      <c r="BB173" s="36">
        <f>BB160-BB166-BB172</f>
        <v/>
      </c>
      <c r="BC173" s="36">
        <f>BC160-BC166-BC172</f>
        <v/>
      </c>
      <c r="BD173" s="36">
        <f>BD160-BD166-BD172</f>
        <v/>
      </c>
    </row>
    <row r="174">
      <c r="A174" s="2" t="inlineStr">
        <is>
          <t xml:space="preserve">   ^ subtracts what LEAVES, not what was offered — so 'returned to store' is</t>
        </is>
      </c>
    </row>
    <row r="175">
      <c r="A175" s="2" t="inlineStr">
        <is>
          <t xml:space="preserve">     never taken out at all, and shows up as next week's carried in.</t>
        </is>
      </c>
    </row>
    <row r="176">
      <c r="A176" s="27" t="inlineStr">
        <is>
          <t>Most stock its shelf life allows</t>
        </is>
      </c>
      <c r="B176" s="2" t="inlineStr">
        <is>
          <t>lb</t>
        </is>
      </c>
      <c r="E176" s="36">
        <f>SUMPRODUCT(($E$156:$BD$156&gt;=1-$F$11+2)*($E$156:$BD$156&lt;=1)*$E$157:$BD$157*POWER(1-$G$11,($E$156:$BD$156&lt;=1)*(1-$E$156:$BD$156)))</f>
        <v/>
      </c>
      <c r="F176" s="36">
        <f>SUMPRODUCT(($E$156:$BD$156&gt;=2-$F$11+2)*($E$156:$BD$156&lt;=2)*$E$157:$BD$157*POWER(1-$G$11,($E$156:$BD$156&lt;=2)*(2-$E$156:$BD$156)))</f>
        <v/>
      </c>
      <c r="G176" s="36">
        <f>SUMPRODUCT(($E$156:$BD$156&gt;=3-$F$11+2)*($E$156:$BD$156&lt;=3)*$E$157:$BD$157*POWER(1-$G$11,($E$156:$BD$156&lt;=3)*(3-$E$156:$BD$156)))</f>
        <v/>
      </c>
      <c r="H176" s="36">
        <f>SUMPRODUCT(($E$156:$BD$156&gt;=4-$F$11+2)*($E$156:$BD$156&lt;=4)*$E$157:$BD$157*POWER(1-$G$11,($E$156:$BD$156&lt;=4)*(4-$E$156:$BD$156)))</f>
        <v/>
      </c>
      <c r="I176" s="36">
        <f>SUMPRODUCT(($E$156:$BD$156&gt;=5-$F$11+2)*($E$156:$BD$156&lt;=5)*$E$157:$BD$157*POWER(1-$G$11,($E$156:$BD$156&lt;=5)*(5-$E$156:$BD$156)))</f>
        <v/>
      </c>
      <c r="J176" s="36">
        <f>SUMPRODUCT(($E$156:$BD$156&gt;=6-$F$11+2)*($E$156:$BD$156&lt;=6)*$E$157:$BD$157*POWER(1-$G$11,($E$156:$BD$156&lt;=6)*(6-$E$156:$BD$156)))</f>
        <v/>
      </c>
      <c r="K176" s="36">
        <f>SUMPRODUCT(($E$156:$BD$156&gt;=7-$F$11+2)*($E$156:$BD$156&lt;=7)*$E$157:$BD$157*POWER(1-$G$11,($E$156:$BD$156&lt;=7)*(7-$E$156:$BD$156)))</f>
        <v/>
      </c>
      <c r="L176" s="36">
        <f>SUMPRODUCT(($E$156:$BD$156&gt;=8-$F$11+2)*($E$156:$BD$156&lt;=8)*$E$157:$BD$157*POWER(1-$G$11,($E$156:$BD$156&lt;=8)*(8-$E$156:$BD$156)))</f>
        <v/>
      </c>
      <c r="M176" s="36">
        <f>SUMPRODUCT(($E$156:$BD$156&gt;=9-$F$11+2)*($E$156:$BD$156&lt;=9)*$E$157:$BD$157*POWER(1-$G$11,($E$156:$BD$156&lt;=9)*(9-$E$156:$BD$156)))</f>
        <v/>
      </c>
      <c r="N176" s="36">
        <f>SUMPRODUCT(($E$156:$BD$156&gt;=10-$F$11+2)*($E$156:$BD$156&lt;=10)*$E$157:$BD$157*POWER(1-$G$11,($E$156:$BD$156&lt;=10)*(10-$E$156:$BD$156)))</f>
        <v/>
      </c>
      <c r="O176" s="36">
        <f>SUMPRODUCT(($E$156:$BD$156&gt;=11-$F$11+2)*($E$156:$BD$156&lt;=11)*$E$157:$BD$157*POWER(1-$G$11,($E$156:$BD$156&lt;=11)*(11-$E$156:$BD$156)))</f>
        <v/>
      </c>
      <c r="P176" s="36">
        <f>SUMPRODUCT(($E$156:$BD$156&gt;=12-$F$11+2)*($E$156:$BD$156&lt;=12)*$E$157:$BD$157*POWER(1-$G$11,($E$156:$BD$156&lt;=12)*(12-$E$156:$BD$156)))</f>
        <v/>
      </c>
      <c r="Q176" s="36">
        <f>SUMPRODUCT(($E$156:$BD$156&gt;=13-$F$11+2)*($E$156:$BD$156&lt;=13)*$E$157:$BD$157*POWER(1-$G$11,($E$156:$BD$156&lt;=13)*(13-$E$156:$BD$156)))</f>
        <v/>
      </c>
      <c r="R176" s="36">
        <f>SUMPRODUCT(($E$156:$BD$156&gt;=14-$F$11+2)*($E$156:$BD$156&lt;=14)*$E$157:$BD$157*POWER(1-$G$11,($E$156:$BD$156&lt;=14)*(14-$E$156:$BD$156)))</f>
        <v/>
      </c>
      <c r="S176" s="36">
        <f>SUMPRODUCT(($E$156:$BD$156&gt;=15-$F$11+2)*($E$156:$BD$156&lt;=15)*$E$157:$BD$157*POWER(1-$G$11,($E$156:$BD$156&lt;=15)*(15-$E$156:$BD$156)))</f>
        <v/>
      </c>
      <c r="T176" s="36">
        <f>SUMPRODUCT(($E$156:$BD$156&gt;=16-$F$11+2)*($E$156:$BD$156&lt;=16)*$E$157:$BD$157*POWER(1-$G$11,($E$156:$BD$156&lt;=16)*(16-$E$156:$BD$156)))</f>
        <v/>
      </c>
      <c r="U176" s="36">
        <f>SUMPRODUCT(($E$156:$BD$156&gt;=17-$F$11+2)*($E$156:$BD$156&lt;=17)*$E$157:$BD$157*POWER(1-$G$11,($E$156:$BD$156&lt;=17)*(17-$E$156:$BD$156)))</f>
        <v/>
      </c>
      <c r="V176" s="36">
        <f>SUMPRODUCT(($E$156:$BD$156&gt;=18-$F$11+2)*($E$156:$BD$156&lt;=18)*$E$157:$BD$157*POWER(1-$G$11,($E$156:$BD$156&lt;=18)*(18-$E$156:$BD$156)))</f>
        <v/>
      </c>
      <c r="W176" s="36">
        <f>SUMPRODUCT(($E$156:$BD$156&gt;=19-$F$11+2)*($E$156:$BD$156&lt;=19)*$E$157:$BD$157*POWER(1-$G$11,($E$156:$BD$156&lt;=19)*(19-$E$156:$BD$156)))</f>
        <v/>
      </c>
      <c r="X176" s="36">
        <f>SUMPRODUCT(($E$156:$BD$156&gt;=20-$F$11+2)*($E$156:$BD$156&lt;=20)*$E$157:$BD$157*POWER(1-$G$11,($E$156:$BD$156&lt;=20)*(20-$E$156:$BD$156)))</f>
        <v/>
      </c>
      <c r="Y176" s="36">
        <f>SUMPRODUCT(($E$156:$BD$156&gt;=21-$F$11+2)*($E$156:$BD$156&lt;=21)*$E$157:$BD$157*POWER(1-$G$11,($E$156:$BD$156&lt;=21)*(21-$E$156:$BD$156)))</f>
        <v/>
      </c>
      <c r="Z176" s="36">
        <f>SUMPRODUCT(($E$156:$BD$156&gt;=22-$F$11+2)*($E$156:$BD$156&lt;=22)*$E$157:$BD$157*POWER(1-$G$11,($E$156:$BD$156&lt;=22)*(22-$E$156:$BD$156)))</f>
        <v/>
      </c>
      <c r="AA176" s="36">
        <f>SUMPRODUCT(($E$156:$BD$156&gt;=23-$F$11+2)*($E$156:$BD$156&lt;=23)*$E$157:$BD$157*POWER(1-$G$11,($E$156:$BD$156&lt;=23)*(23-$E$156:$BD$156)))</f>
        <v/>
      </c>
      <c r="AB176" s="36">
        <f>SUMPRODUCT(($E$156:$BD$156&gt;=24-$F$11+2)*($E$156:$BD$156&lt;=24)*$E$157:$BD$157*POWER(1-$G$11,($E$156:$BD$156&lt;=24)*(24-$E$156:$BD$156)))</f>
        <v/>
      </c>
      <c r="AC176" s="36">
        <f>SUMPRODUCT(($E$156:$BD$156&gt;=25-$F$11+2)*($E$156:$BD$156&lt;=25)*$E$157:$BD$157*POWER(1-$G$11,($E$156:$BD$156&lt;=25)*(25-$E$156:$BD$156)))</f>
        <v/>
      </c>
      <c r="AD176" s="36">
        <f>SUMPRODUCT(($E$156:$BD$156&gt;=26-$F$11+2)*($E$156:$BD$156&lt;=26)*$E$157:$BD$157*POWER(1-$G$11,($E$156:$BD$156&lt;=26)*(26-$E$156:$BD$156)))</f>
        <v/>
      </c>
      <c r="AE176" s="36">
        <f>SUMPRODUCT(($E$156:$BD$156&gt;=27-$F$11+2)*($E$156:$BD$156&lt;=27)*$E$157:$BD$157*POWER(1-$G$11,($E$156:$BD$156&lt;=27)*(27-$E$156:$BD$156)))</f>
        <v/>
      </c>
      <c r="AF176" s="36">
        <f>SUMPRODUCT(($E$156:$BD$156&gt;=28-$F$11+2)*($E$156:$BD$156&lt;=28)*$E$157:$BD$157*POWER(1-$G$11,($E$156:$BD$156&lt;=28)*(28-$E$156:$BD$156)))</f>
        <v/>
      </c>
      <c r="AG176" s="36">
        <f>SUMPRODUCT(($E$156:$BD$156&gt;=29-$F$11+2)*($E$156:$BD$156&lt;=29)*$E$157:$BD$157*POWER(1-$G$11,($E$156:$BD$156&lt;=29)*(29-$E$156:$BD$156)))</f>
        <v/>
      </c>
      <c r="AH176" s="36">
        <f>SUMPRODUCT(($E$156:$BD$156&gt;=30-$F$11+2)*($E$156:$BD$156&lt;=30)*$E$157:$BD$157*POWER(1-$G$11,($E$156:$BD$156&lt;=30)*(30-$E$156:$BD$156)))</f>
        <v/>
      </c>
      <c r="AI176" s="36">
        <f>SUMPRODUCT(($E$156:$BD$156&gt;=31-$F$11+2)*($E$156:$BD$156&lt;=31)*$E$157:$BD$157*POWER(1-$G$11,($E$156:$BD$156&lt;=31)*(31-$E$156:$BD$156)))</f>
        <v/>
      </c>
      <c r="AJ176" s="36">
        <f>SUMPRODUCT(($E$156:$BD$156&gt;=32-$F$11+2)*($E$156:$BD$156&lt;=32)*$E$157:$BD$157*POWER(1-$G$11,($E$156:$BD$156&lt;=32)*(32-$E$156:$BD$156)))</f>
        <v/>
      </c>
      <c r="AK176" s="36">
        <f>SUMPRODUCT(($E$156:$BD$156&gt;=33-$F$11+2)*($E$156:$BD$156&lt;=33)*$E$157:$BD$157*POWER(1-$G$11,($E$156:$BD$156&lt;=33)*(33-$E$156:$BD$156)))</f>
        <v/>
      </c>
      <c r="AL176" s="36">
        <f>SUMPRODUCT(($E$156:$BD$156&gt;=34-$F$11+2)*($E$156:$BD$156&lt;=34)*$E$157:$BD$157*POWER(1-$G$11,($E$156:$BD$156&lt;=34)*(34-$E$156:$BD$156)))</f>
        <v/>
      </c>
      <c r="AM176" s="36">
        <f>SUMPRODUCT(($E$156:$BD$156&gt;=35-$F$11+2)*($E$156:$BD$156&lt;=35)*$E$157:$BD$157*POWER(1-$G$11,($E$156:$BD$156&lt;=35)*(35-$E$156:$BD$156)))</f>
        <v/>
      </c>
      <c r="AN176" s="36">
        <f>SUMPRODUCT(($E$156:$BD$156&gt;=36-$F$11+2)*($E$156:$BD$156&lt;=36)*$E$157:$BD$157*POWER(1-$G$11,($E$156:$BD$156&lt;=36)*(36-$E$156:$BD$156)))</f>
        <v/>
      </c>
      <c r="AO176" s="36">
        <f>SUMPRODUCT(($E$156:$BD$156&gt;=37-$F$11+2)*($E$156:$BD$156&lt;=37)*$E$157:$BD$157*POWER(1-$G$11,($E$156:$BD$156&lt;=37)*(37-$E$156:$BD$156)))</f>
        <v/>
      </c>
      <c r="AP176" s="36">
        <f>SUMPRODUCT(($E$156:$BD$156&gt;=38-$F$11+2)*($E$156:$BD$156&lt;=38)*$E$157:$BD$157*POWER(1-$G$11,($E$156:$BD$156&lt;=38)*(38-$E$156:$BD$156)))</f>
        <v/>
      </c>
      <c r="AQ176" s="36">
        <f>SUMPRODUCT(($E$156:$BD$156&gt;=39-$F$11+2)*($E$156:$BD$156&lt;=39)*$E$157:$BD$157*POWER(1-$G$11,($E$156:$BD$156&lt;=39)*(39-$E$156:$BD$156)))</f>
        <v/>
      </c>
      <c r="AR176" s="36">
        <f>SUMPRODUCT(($E$156:$BD$156&gt;=40-$F$11+2)*($E$156:$BD$156&lt;=40)*$E$157:$BD$157*POWER(1-$G$11,($E$156:$BD$156&lt;=40)*(40-$E$156:$BD$156)))</f>
        <v/>
      </c>
      <c r="AS176" s="36">
        <f>SUMPRODUCT(($E$156:$BD$156&gt;=41-$F$11+2)*($E$156:$BD$156&lt;=41)*$E$157:$BD$157*POWER(1-$G$11,($E$156:$BD$156&lt;=41)*(41-$E$156:$BD$156)))</f>
        <v/>
      </c>
      <c r="AT176" s="36">
        <f>SUMPRODUCT(($E$156:$BD$156&gt;=42-$F$11+2)*($E$156:$BD$156&lt;=42)*$E$157:$BD$157*POWER(1-$G$11,($E$156:$BD$156&lt;=42)*(42-$E$156:$BD$156)))</f>
        <v/>
      </c>
      <c r="AU176" s="36">
        <f>SUMPRODUCT(($E$156:$BD$156&gt;=43-$F$11+2)*($E$156:$BD$156&lt;=43)*$E$157:$BD$157*POWER(1-$G$11,($E$156:$BD$156&lt;=43)*(43-$E$156:$BD$156)))</f>
        <v/>
      </c>
      <c r="AV176" s="36">
        <f>SUMPRODUCT(($E$156:$BD$156&gt;=44-$F$11+2)*($E$156:$BD$156&lt;=44)*$E$157:$BD$157*POWER(1-$G$11,($E$156:$BD$156&lt;=44)*(44-$E$156:$BD$156)))</f>
        <v/>
      </c>
      <c r="AW176" s="36">
        <f>SUMPRODUCT(($E$156:$BD$156&gt;=45-$F$11+2)*($E$156:$BD$156&lt;=45)*$E$157:$BD$157*POWER(1-$G$11,($E$156:$BD$156&lt;=45)*(45-$E$156:$BD$156)))</f>
        <v/>
      </c>
      <c r="AX176" s="36">
        <f>SUMPRODUCT(($E$156:$BD$156&gt;=46-$F$11+2)*($E$156:$BD$156&lt;=46)*$E$157:$BD$157*POWER(1-$G$11,($E$156:$BD$156&lt;=46)*(46-$E$156:$BD$156)))</f>
        <v/>
      </c>
      <c r="AY176" s="36">
        <f>SUMPRODUCT(($E$156:$BD$156&gt;=47-$F$11+2)*($E$156:$BD$156&lt;=47)*$E$157:$BD$157*POWER(1-$G$11,($E$156:$BD$156&lt;=47)*(47-$E$156:$BD$156)))</f>
        <v/>
      </c>
      <c r="AZ176" s="36">
        <f>SUMPRODUCT(($E$156:$BD$156&gt;=48-$F$11+2)*($E$156:$BD$156&lt;=48)*$E$157:$BD$157*POWER(1-$G$11,($E$156:$BD$156&lt;=48)*(48-$E$156:$BD$156)))</f>
        <v/>
      </c>
      <c r="BA176" s="36">
        <f>SUMPRODUCT(($E$156:$BD$156&gt;=49-$F$11+2)*($E$156:$BD$156&lt;=49)*$E$157:$BD$157*POWER(1-$G$11,($E$156:$BD$156&lt;=49)*(49-$E$156:$BD$156)))</f>
        <v/>
      </c>
      <c r="BB176" s="36">
        <f>SUMPRODUCT(($E$156:$BD$156&gt;=50-$F$11+2)*($E$156:$BD$156&lt;=50)*$E$157:$BD$157*POWER(1-$G$11,($E$156:$BD$156&lt;=50)*(50-$E$156:$BD$156)))</f>
        <v/>
      </c>
      <c r="BC176" s="36">
        <f>SUMPRODUCT(($E$156:$BD$156&gt;=51-$F$11+2)*($E$156:$BD$156&lt;=51)*$E$157:$BD$157*POWER(1-$G$11,($E$156:$BD$156&lt;=51)*(51-$E$156:$BD$156)))</f>
        <v/>
      </c>
      <c r="BD176" s="36">
        <f>SUMPRODUCT(($E$156:$BD$156&gt;=52-$F$11+2)*($E$156:$BD$156&lt;=52)*$E$157:$BD$157*POWER(1-$G$11,($E$156:$BD$156&lt;=52)*(52-$E$156:$BD$156)))</f>
        <v/>
      </c>
    </row>
    <row r="177">
      <c r="A177" s="2" t="inlineStr">
        <is>
          <t xml:space="preserve">   Stock carried out must stay at or below this row.</t>
        </is>
      </c>
    </row>
    <row r="178">
      <c r="A178" s="27" t="inlineStr">
        <is>
          <t>Growing cost this week</t>
        </is>
      </c>
      <c r="B178" s="2" t="inlineStr">
        <is>
          <t>$</t>
        </is>
      </c>
      <c r="E178" s="36">
        <f>SUMPRODUCT(($B$43:$B$110="Spinach")*(E$43:E$110="P")*$C$43:$C$110)*$K$11+SUMPRODUCT(($B$43:$B$110="Spinach")*(E$43:E$110="G")*$C$43:$C$110)*$L$11+SUMPRODUCT(($B$43:$B$110="Spinach")*(E$43:E$110="H")*$C$43:$C$110)*$M$11+SUMPRODUCT(($B$43:$B$110="Spinach")*($BG$43:$BG$110=1)*$C$43:$C$110)*$H$11</f>
        <v/>
      </c>
      <c r="F178" s="36">
        <f>SUMPRODUCT(($B$43:$B$110="Spinach")*(F$43:F$110="P")*$C$43:$C$110)*$K$11+SUMPRODUCT(($B$43:$B$110="Spinach")*(F$43:F$110="G")*$C$43:$C$110)*$L$11+SUMPRODUCT(($B$43:$B$110="Spinach")*(F$43:F$110="H")*$C$43:$C$110)*$M$11+SUMPRODUCT(($B$43:$B$110="Spinach")*($BG$43:$BG$110=2)*$C$43:$C$110)*$H$11</f>
        <v/>
      </c>
      <c r="G178" s="36">
        <f>SUMPRODUCT(($B$43:$B$110="Spinach")*(G$43:G$110="P")*$C$43:$C$110)*$K$11+SUMPRODUCT(($B$43:$B$110="Spinach")*(G$43:G$110="G")*$C$43:$C$110)*$L$11+SUMPRODUCT(($B$43:$B$110="Spinach")*(G$43:G$110="H")*$C$43:$C$110)*$M$11+SUMPRODUCT(($B$43:$B$110="Spinach")*($BG$43:$BG$110=3)*$C$43:$C$110)*$H$11</f>
        <v/>
      </c>
      <c r="H178" s="36">
        <f>SUMPRODUCT(($B$43:$B$110="Spinach")*(H$43:H$110="P")*$C$43:$C$110)*$K$11+SUMPRODUCT(($B$43:$B$110="Spinach")*(H$43:H$110="G")*$C$43:$C$110)*$L$11+SUMPRODUCT(($B$43:$B$110="Spinach")*(H$43:H$110="H")*$C$43:$C$110)*$M$11+SUMPRODUCT(($B$43:$B$110="Spinach")*($BG$43:$BG$110=4)*$C$43:$C$110)*$H$11</f>
        <v/>
      </c>
      <c r="I178" s="36">
        <f>SUMPRODUCT(($B$43:$B$110="Spinach")*(I$43:I$110="P")*$C$43:$C$110)*$K$11+SUMPRODUCT(($B$43:$B$110="Spinach")*(I$43:I$110="G")*$C$43:$C$110)*$L$11+SUMPRODUCT(($B$43:$B$110="Spinach")*(I$43:I$110="H")*$C$43:$C$110)*$M$11+SUMPRODUCT(($B$43:$B$110="Spinach")*($BG$43:$BG$110=5)*$C$43:$C$110)*$H$11</f>
        <v/>
      </c>
      <c r="J178" s="36">
        <f>SUMPRODUCT(($B$43:$B$110="Spinach")*(J$43:J$110="P")*$C$43:$C$110)*$K$11+SUMPRODUCT(($B$43:$B$110="Spinach")*(J$43:J$110="G")*$C$43:$C$110)*$L$11+SUMPRODUCT(($B$43:$B$110="Spinach")*(J$43:J$110="H")*$C$43:$C$110)*$M$11+SUMPRODUCT(($B$43:$B$110="Spinach")*($BG$43:$BG$110=6)*$C$43:$C$110)*$H$11</f>
        <v/>
      </c>
      <c r="K178" s="36">
        <f>SUMPRODUCT(($B$43:$B$110="Spinach")*(K$43:K$110="P")*$C$43:$C$110)*$K$11+SUMPRODUCT(($B$43:$B$110="Spinach")*(K$43:K$110="G")*$C$43:$C$110)*$L$11+SUMPRODUCT(($B$43:$B$110="Spinach")*(K$43:K$110="H")*$C$43:$C$110)*$M$11+SUMPRODUCT(($B$43:$B$110="Spinach")*($BG$43:$BG$110=7)*$C$43:$C$110)*$H$11</f>
        <v/>
      </c>
      <c r="L178" s="36">
        <f>SUMPRODUCT(($B$43:$B$110="Spinach")*(L$43:L$110="P")*$C$43:$C$110)*$K$11+SUMPRODUCT(($B$43:$B$110="Spinach")*(L$43:L$110="G")*$C$43:$C$110)*$L$11+SUMPRODUCT(($B$43:$B$110="Spinach")*(L$43:L$110="H")*$C$43:$C$110)*$M$11+SUMPRODUCT(($B$43:$B$110="Spinach")*($BG$43:$BG$110=8)*$C$43:$C$110)*$H$11</f>
        <v/>
      </c>
      <c r="M178" s="36">
        <f>SUMPRODUCT(($B$43:$B$110="Spinach")*(M$43:M$110="P")*$C$43:$C$110)*$K$11+SUMPRODUCT(($B$43:$B$110="Spinach")*(M$43:M$110="G")*$C$43:$C$110)*$L$11+SUMPRODUCT(($B$43:$B$110="Spinach")*(M$43:M$110="H")*$C$43:$C$110)*$M$11+SUMPRODUCT(($B$43:$B$110="Spinach")*($BG$43:$BG$110=9)*$C$43:$C$110)*$H$11</f>
        <v/>
      </c>
      <c r="N178" s="36">
        <f>SUMPRODUCT(($B$43:$B$110="Spinach")*(N$43:N$110="P")*$C$43:$C$110)*$K$11+SUMPRODUCT(($B$43:$B$110="Spinach")*(N$43:N$110="G")*$C$43:$C$110)*$L$11+SUMPRODUCT(($B$43:$B$110="Spinach")*(N$43:N$110="H")*$C$43:$C$110)*$M$11+SUMPRODUCT(($B$43:$B$110="Spinach")*($BG$43:$BG$110=10)*$C$43:$C$110)*$H$11</f>
        <v/>
      </c>
      <c r="O178" s="36">
        <f>SUMPRODUCT(($B$43:$B$110="Spinach")*(O$43:O$110="P")*$C$43:$C$110)*$K$11+SUMPRODUCT(($B$43:$B$110="Spinach")*(O$43:O$110="G")*$C$43:$C$110)*$L$11+SUMPRODUCT(($B$43:$B$110="Spinach")*(O$43:O$110="H")*$C$43:$C$110)*$M$11+SUMPRODUCT(($B$43:$B$110="Spinach")*($BG$43:$BG$110=11)*$C$43:$C$110)*$H$11</f>
        <v/>
      </c>
      <c r="P178" s="36">
        <f>SUMPRODUCT(($B$43:$B$110="Spinach")*(P$43:P$110="P")*$C$43:$C$110)*$K$11+SUMPRODUCT(($B$43:$B$110="Spinach")*(P$43:P$110="G")*$C$43:$C$110)*$L$11+SUMPRODUCT(($B$43:$B$110="Spinach")*(P$43:P$110="H")*$C$43:$C$110)*$M$11+SUMPRODUCT(($B$43:$B$110="Spinach")*($BG$43:$BG$110=12)*$C$43:$C$110)*$H$11</f>
        <v/>
      </c>
      <c r="Q178" s="36">
        <f>SUMPRODUCT(($B$43:$B$110="Spinach")*(Q$43:Q$110="P")*$C$43:$C$110)*$K$11+SUMPRODUCT(($B$43:$B$110="Spinach")*(Q$43:Q$110="G")*$C$43:$C$110)*$L$11+SUMPRODUCT(($B$43:$B$110="Spinach")*(Q$43:Q$110="H")*$C$43:$C$110)*$M$11+SUMPRODUCT(($B$43:$B$110="Spinach")*($BG$43:$BG$110=13)*$C$43:$C$110)*$H$11</f>
        <v/>
      </c>
      <c r="R178" s="36">
        <f>SUMPRODUCT(($B$43:$B$110="Spinach")*(R$43:R$110="P")*$C$43:$C$110)*$K$11+SUMPRODUCT(($B$43:$B$110="Spinach")*(R$43:R$110="G")*$C$43:$C$110)*$L$11+SUMPRODUCT(($B$43:$B$110="Spinach")*(R$43:R$110="H")*$C$43:$C$110)*$M$11+SUMPRODUCT(($B$43:$B$110="Spinach")*($BG$43:$BG$110=14)*$C$43:$C$110)*$H$11</f>
        <v/>
      </c>
      <c r="S178" s="36">
        <f>SUMPRODUCT(($B$43:$B$110="Spinach")*(S$43:S$110="P")*$C$43:$C$110)*$K$11+SUMPRODUCT(($B$43:$B$110="Spinach")*(S$43:S$110="G")*$C$43:$C$110)*$L$11+SUMPRODUCT(($B$43:$B$110="Spinach")*(S$43:S$110="H")*$C$43:$C$110)*$M$11+SUMPRODUCT(($B$43:$B$110="Spinach")*($BG$43:$BG$110=15)*$C$43:$C$110)*$H$11</f>
        <v/>
      </c>
      <c r="T178" s="36">
        <f>SUMPRODUCT(($B$43:$B$110="Spinach")*(T$43:T$110="P")*$C$43:$C$110)*$K$11+SUMPRODUCT(($B$43:$B$110="Spinach")*(T$43:T$110="G")*$C$43:$C$110)*$L$11+SUMPRODUCT(($B$43:$B$110="Spinach")*(T$43:T$110="H")*$C$43:$C$110)*$M$11+SUMPRODUCT(($B$43:$B$110="Spinach")*($BG$43:$BG$110=16)*$C$43:$C$110)*$H$11</f>
        <v/>
      </c>
      <c r="U178" s="36">
        <f>SUMPRODUCT(($B$43:$B$110="Spinach")*(U$43:U$110="P")*$C$43:$C$110)*$K$11+SUMPRODUCT(($B$43:$B$110="Spinach")*(U$43:U$110="G")*$C$43:$C$110)*$L$11+SUMPRODUCT(($B$43:$B$110="Spinach")*(U$43:U$110="H")*$C$43:$C$110)*$M$11+SUMPRODUCT(($B$43:$B$110="Spinach")*($BG$43:$BG$110=17)*$C$43:$C$110)*$H$11</f>
        <v/>
      </c>
      <c r="V178" s="36">
        <f>SUMPRODUCT(($B$43:$B$110="Spinach")*(V$43:V$110="P")*$C$43:$C$110)*$K$11+SUMPRODUCT(($B$43:$B$110="Spinach")*(V$43:V$110="G")*$C$43:$C$110)*$L$11+SUMPRODUCT(($B$43:$B$110="Spinach")*(V$43:V$110="H")*$C$43:$C$110)*$M$11+SUMPRODUCT(($B$43:$B$110="Spinach")*($BG$43:$BG$110=18)*$C$43:$C$110)*$H$11</f>
        <v/>
      </c>
      <c r="W178" s="36">
        <f>SUMPRODUCT(($B$43:$B$110="Spinach")*(W$43:W$110="P")*$C$43:$C$110)*$K$11+SUMPRODUCT(($B$43:$B$110="Spinach")*(W$43:W$110="G")*$C$43:$C$110)*$L$11+SUMPRODUCT(($B$43:$B$110="Spinach")*(W$43:W$110="H")*$C$43:$C$110)*$M$11+SUMPRODUCT(($B$43:$B$110="Spinach")*($BG$43:$BG$110=19)*$C$43:$C$110)*$H$11</f>
        <v/>
      </c>
      <c r="X178" s="36">
        <f>SUMPRODUCT(($B$43:$B$110="Spinach")*(X$43:X$110="P")*$C$43:$C$110)*$K$11+SUMPRODUCT(($B$43:$B$110="Spinach")*(X$43:X$110="G")*$C$43:$C$110)*$L$11+SUMPRODUCT(($B$43:$B$110="Spinach")*(X$43:X$110="H")*$C$43:$C$110)*$M$11+SUMPRODUCT(($B$43:$B$110="Spinach")*($BG$43:$BG$110=20)*$C$43:$C$110)*$H$11</f>
        <v/>
      </c>
      <c r="Y178" s="36">
        <f>SUMPRODUCT(($B$43:$B$110="Spinach")*(Y$43:Y$110="P")*$C$43:$C$110)*$K$11+SUMPRODUCT(($B$43:$B$110="Spinach")*(Y$43:Y$110="G")*$C$43:$C$110)*$L$11+SUMPRODUCT(($B$43:$B$110="Spinach")*(Y$43:Y$110="H")*$C$43:$C$110)*$M$11+SUMPRODUCT(($B$43:$B$110="Spinach")*($BG$43:$BG$110=21)*$C$43:$C$110)*$H$11</f>
        <v/>
      </c>
      <c r="Z178" s="36">
        <f>SUMPRODUCT(($B$43:$B$110="Spinach")*(Z$43:Z$110="P")*$C$43:$C$110)*$K$11+SUMPRODUCT(($B$43:$B$110="Spinach")*(Z$43:Z$110="G")*$C$43:$C$110)*$L$11+SUMPRODUCT(($B$43:$B$110="Spinach")*(Z$43:Z$110="H")*$C$43:$C$110)*$M$11+SUMPRODUCT(($B$43:$B$110="Spinach")*($BG$43:$BG$110=22)*$C$43:$C$110)*$H$11</f>
        <v/>
      </c>
      <c r="AA178" s="36">
        <f>SUMPRODUCT(($B$43:$B$110="Spinach")*(AA$43:AA$110="P")*$C$43:$C$110)*$K$11+SUMPRODUCT(($B$43:$B$110="Spinach")*(AA$43:AA$110="G")*$C$43:$C$110)*$L$11+SUMPRODUCT(($B$43:$B$110="Spinach")*(AA$43:AA$110="H")*$C$43:$C$110)*$M$11+SUMPRODUCT(($B$43:$B$110="Spinach")*($BG$43:$BG$110=23)*$C$43:$C$110)*$H$11</f>
        <v/>
      </c>
      <c r="AB178" s="36">
        <f>SUMPRODUCT(($B$43:$B$110="Spinach")*(AB$43:AB$110="P")*$C$43:$C$110)*$K$11+SUMPRODUCT(($B$43:$B$110="Spinach")*(AB$43:AB$110="G")*$C$43:$C$110)*$L$11+SUMPRODUCT(($B$43:$B$110="Spinach")*(AB$43:AB$110="H")*$C$43:$C$110)*$M$11+SUMPRODUCT(($B$43:$B$110="Spinach")*($BG$43:$BG$110=24)*$C$43:$C$110)*$H$11</f>
        <v/>
      </c>
      <c r="AC178" s="36">
        <f>SUMPRODUCT(($B$43:$B$110="Spinach")*(AC$43:AC$110="P")*$C$43:$C$110)*$K$11+SUMPRODUCT(($B$43:$B$110="Spinach")*(AC$43:AC$110="G")*$C$43:$C$110)*$L$11+SUMPRODUCT(($B$43:$B$110="Spinach")*(AC$43:AC$110="H")*$C$43:$C$110)*$M$11+SUMPRODUCT(($B$43:$B$110="Spinach")*($BG$43:$BG$110=25)*$C$43:$C$110)*$H$11</f>
        <v/>
      </c>
      <c r="AD178" s="36">
        <f>SUMPRODUCT(($B$43:$B$110="Spinach")*(AD$43:AD$110="P")*$C$43:$C$110)*$K$11+SUMPRODUCT(($B$43:$B$110="Spinach")*(AD$43:AD$110="G")*$C$43:$C$110)*$L$11+SUMPRODUCT(($B$43:$B$110="Spinach")*(AD$43:AD$110="H")*$C$43:$C$110)*$M$11+SUMPRODUCT(($B$43:$B$110="Spinach")*($BG$43:$BG$110=26)*$C$43:$C$110)*$H$11</f>
        <v/>
      </c>
      <c r="AE178" s="36">
        <f>SUMPRODUCT(($B$43:$B$110="Spinach")*(AE$43:AE$110="P")*$C$43:$C$110)*$K$11+SUMPRODUCT(($B$43:$B$110="Spinach")*(AE$43:AE$110="G")*$C$43:$C$110)*$L$11+SUMPRODUCT(($B$43:$B$110="Spinach")*(AE$43:AE$110="H")*$C$43:$C$110)*$M$11+SUMPRODUCT(($B$43:$B$110="Spinach")*($BG$43:$BG$110=27)*$C$43:$C$110)*$H$11</f>
        <v/>
      </c>
      <c r="AF178" s="36">
        <f>SUMPRODUCT(($B$43:$B$110="Spinach")*(AF$43:AF$110="P")*$C$43:$C$110)*$K$11+SUMPRODUCT(($B$43:$B$110="Spinach")*(AF$43:AF$110="G")*$C$43:$C$110)*$L$11+SUMPRODUCT(($B$43:$B$110="Spinach")*(AF$43:AF$110="H")*$C$43:$C$110)*$M$11+SUMPRODUCT(($B$43:$B$110="Spinach")*($BG$43:$BG$110=28)*$C$43:$C$110)*$H$11</f>
        <v/>
      </c>
      <c r="AG178" s="36">
        <f>SUMPRODUCT(($B$43:$B$110="Spinach")*(AG$43:AG$110="P")*$C$43:$C$110)*$K$11+SUMPRODUCT(($B$43:$B$110="Spinach")*(AG$43:AG$110="G")*$C$43:$C$110)*$L$11+SUMPRODUCT(($B$43:$B$110="Spinach")*(AG$43:AG$110="H")*$C$43:$C$110)*$M$11+SUMPRODUCT(($B$43:$B$110="Spinach")*($BG$43:$BG$110=29)*$C$43:$C$110)*$H$11</f>
        <v/>
      </c>
      <c r="AH178" s="36">
        <f>SUMPRODUCT(($B$43:$B$110="Spinach")*(AH$43:AH$110="P")*$C$43:$C$110)*$K$11+SUMPRODUCT(($B$43:$B$110="Spinach")*(AH$43:AH$110="G")*$C$43:$C$110)*$L$11+SUMPRODUCT(($B$43:$B$110="Spinach")*(AH$43:AH$110="H")*$C$43:$C$110)*$M$11+SUMPRODUCT(($B$43:$B$110="Spinach")*($BG$43:$BG$110=30)*$C$43:$C$110)*$H$11</f>
        <v/>
      </c>
      <c r="AI178" s="36">
        <f>SUMPRODUCT(($B$43:$B$110="Spinach")*(AI$43:AI$110="P")*$C$43:$C$110)*$K$11+SUMPRODUCT(($B$43:$B$110="Spinach")*(AI$43:AI$110="G")*$C$43:$C$110)*$L$11+SUMPRODUCT(($B$43:$B$110="Spinach")*(AI$43:AI$110="H")*$C$43:$C$110)*$M$11+SUMPRODUCT(($B$43:$B$110="Spinach")*($BG$43:$BG$110=31)*$C$43:$C$110)*$H$11</f>
        <v/>
      </c>
      <c r="AJ178" s="36">
        <f>SUMPRODUCT(($B$43:$B$110="Spinach")*(AJ$43:AJ$110="P")*$C$43:$C$110)*$K$11+SUMPRODUCT(($B$43:$B$110="Spinach")*(AJ$43:AJ$110="G")*$C$43:$C$110)*$L$11+SUMPRODUCT(($B$43:$B$110="Spinach")*(AJ$43:AJ$110="H")*$C$43:$C$110)*$M$11+SUMPRODUCT(($B$43:$B$110="Spinach")*($BG$43:$BG$110=32)*$C$43:$C$110)*$H$11</f>
        <v/>
      </c>
      <c r="AK178" s="36">
        <f>SUMPRODUCT(($B$43:$B$110="Spinach")*(AK$43:AK$110="P")*$C$43:$C$110)*$K$11+SUMPRODUCT(($B$43:$B$110="Spinach")*(AK$43:AK$110="G")*$C$43:$C$110)*$L$11+SUMPRODUCT(($B$43:$B$110="Spinach")*(AK$43:AK$110="H")*$C$43:$C$110)*$M$11+SUMPRODUCT(($B$43:$B$110="Spinach")*($BG$43:$BG$110=33)*$C$43:$C$110)*$H$11</f>
        <v/>
      </c>
      <c r="AL178" s="36">
        <f>SUMPRODUCT(($B$43:$B$110="Spinach")*(AL$43:AL$110="P")*$C$43:$C$110)*$K$11+SUMPRODUCT(($B$43:$B$110="Spinach")*(AL$43:AL$110="G")*$C$43:$C$110)*$L$11+SUMPRODUCT(($B$43:$B$110="Spinach")*(AL$43:AL$110="H")*$C$43:$C$110)*$M$11+SUMPRODUCT(($B$43:$B$110="Spinach")*($BG$43:$BG$110=34)*$C$43:$C$110)*$H$11</f>
        <v/>
      </c>
      <c r="AM178" s="36">
        <f>SUMPRODUCT(($B$43:$B$110="Spinach")*(AM$43:AM$110="P")*$C$43:$C$110)*$K$11+SUMPRODUCT(($B$43:$B$110="Spinach")*(AM$43:AM$110="G")*$C$43:$C$110)*$L$11+SUMPRODUCT(($B$43:$B$110="Spinach")*(AM$43:AM$110="H")*$C$43:$C$110)*$M$11+SUMPRODUCT(($B$43:$B$110="Spinach")*($BG$43:$BG$110=35)*$C$43:$C$110)*$H$11</f>
        <v/>
      </c>
      <c r="AN178" s="36">
        <f>SUMPRODUCT(($B$43:$B$110="Spinach")*(AN$43:AN$110="P")*$C$43:$C$110)*$K$11+SUMPRODUCT(($B$43:$B$110="Spinach")*(AN$43:AN$110="G")*$C$43:$C$110)*$L$11+SUMPRODUCT(($B$43:$B$110="Spinach")*(AN$43:AN$110="H")*$C$43:$C$110)*$M$11+SUMPRODUCT(($B$43:$B$110="Spinach")*($BG$43:$BG$110=36)*$C$43:$C$110)*$H$11</f>
        <v/>
      </c>
      <c r="AO178" s="36">
        <f>SUMPRODUCT(($B$43:$B$110="Spinach")*(AO$43:AO$110="P")*$C$43:$C$110)*$K$11+SUMPRODUCT(($B$43:$B$110="Spinach")*(AO$43:AO$110="G")*$C$43:$C$110)*$L$11+SUMPRODUCT(($B$43:$B$110="Spinach")*(AO$43:AO$110="H")*$C$43:$C$110)*$M$11+SUMPRODUCT(($B$43:$B$110="Spinach")*($BG$43:$BG$110=37)*$C$43:$C$110)*$H$11</f>
        <v/>
      </c>
      <c r="AP178" s="36">
        <f>SUMPRODUCT(($B$43:$B$110="Spinach")*(AP$43:AP$110="P")*$C$43:$C$110)*$K$11+SUMPRODUCT(($B$43:$B$110="Spinach")*(AP$43:AP$110="G")*$C$43:$C$110)*$L$11+SUMPRODUCT(($B$43:$B$110="Spinach")*(AP$43:AP$110="H")*$C$43:$C$110)*$M$11+SUMPRODUCT(($B$43:$B$110="Spinach")*($BG$43:$BG$110=38)*$C$43:$C$110)*$H$11</f>
        <v/>
      </c>
      <c r="AQ178" s="36">
        <f>SUMPRODUCT(($B$43:$B$110="Spinach")*(AQ$43:AQ$110="P")*$C$43:$C$110)*$K$11+SUMPRODUCT(($B$43:$B$110="Spinach")*(AQ$43:AQ$110="G")*$C$43:$C$110)*$L$11+SUMPRODUCT(($B$43:$B$110="Spinach")*(AQ$43:AQ$110="H")*$C$43:$C$110)*$M$11+SUMPRODUCT(($B$43:$B$110="Spinach")*($BG$43:$BG$110=39)*$C$43:$C$110)*$H$11</f>
        <v/>
      </c>
      <c r="AR178" s="36">
        <f>SUMPRODUCT(($B$43:$B$110="Spinach")*(AR$43:AR$110="P")*$C$43:$C$110)*$K$11+SUMPRODUCT(($B$43:$B$110="Spinach")*(AR$43:AR$110="G")*$C$43:$C$110)*$L$11+SUMPRODUCT(($B$43:$B$110="Spinach")*(AR$43:AR$110="H")*$C$43:$C$110)*$M$11+SUMPRODUCT(($B$43:$B$110="Spinach")*($BG$43:$BG$110=40)*$C$43:$C$110)*$H$11</f>
        <v/>
      </c>
      <c r="AS178" s="36">
        <f>SUMPRODUCT(($B$43:$B$110="Spinach")*(AS$43:AS$110="P")*$C$43:$C$110)*$K$11+SUMPRODUCT(($B$43:$B$110="Spinach")*(AS$43:AS$110="G")*$C$43:$C$110)*$L$11+SUMPRODUCT(($B$43:$B$110="Spinach")*(AS$43:AS$110="H")*$C$43:$C$110)*$M$11+SUMPRODUCT(($B$43:$B$110="Spinach")*($BG$43:$BG$110=41)*$C$43:$C$110)*$H$11</f>
        <v/>
      </c>
      <c r="AT178" s="36">
        <f>SUMPRODUCT(($B$43:$B$110="Spinach")*(AT$43:AT$110="P")*$C$43:$C$110)*$K$11+SUMPRODUCT(($B$43:$B$110="Spinach")*(AT$43:AT$110="G")*$C$43:$C$110)*$L$11+SUMPRODUCT(($B$43:$B$110="Spinach")*(AT$43:AT$110="H")*$C$43:$C$110)*$M$11+SUMPRODUCT(($B$43:$B$110="Spinach")*($BG$43:$BG$110=42)*$C$43:$C$110)*$H$11</f>
        <v/>
      </c>
      <c r="AU178" s="36">
        <f>SUMPRODUCT(($B$43:$B$110="Spinach")*(AU$43:AU$110="P")*$C$43:$C$110)*$K$11+SUMPRODUCT(($B$43:$B$110="Spinach")*(AU$43:AU$110="G")*$C$43:$C$110)*$L$11+SUMPRODUCT(($B$43:$B$110="Spinach")*(AU$43:AU$110="H")*$C$43:$C$110)*$M$11+SUMPRODUCT(($B$43:$B$110="Spinach")*($BG$43:$BG$110=43)*$C$43:$C$110)*$H$11</f>
        <v/>
      </c>
      <c r="AV178" s="36">
        <f>SUMPRODUCT(($B$43:$B$110="Spinach")*(AV$43:AV$110="P")*$C$43:$C$110)*$K$11+SUMPRODUCT(($B$43:$B$110="Spinach")*(AV$43:AV$110="G")*$C$43:$C$110)*$L$11+SUMPRODUCT(($B$43:$B$110="Spinach")*(AV$43:AV$110="H")*$C$43:$C$110)*$M$11+SUMPRODUCT(($B$43:$B$110="Spinach")*($BG$43:$BG$110=44)*$C$43:$C$110)*$H$11</f>
        <v/>
      </c>
      <c r="AW178" s="36">
        <f>SUMPRODUCT(($B$43:$B$110="Spinach")*(AW$43:AW$110="P")*$C$43:$C$110)*$K$11+SUMPRODUCT(($B$43:$B$110="Spinach")*(AW$43:AW$110="G")*$C$43:$C$110)*$L$11+SUMPRODUCT(($B$43:$B$110="Spinach")*(AW$43:AW$110="H")*$C$43:$C$110)*$M$11+SUMPRODUCT(($B$43:$B$110="Spinach")*($BG$43:$BG$110=45)*$C$43:$C$110)*$H$11</f>
        <v/>
      </c>
      <c r="AX178" s="36">
        <f>SUMPRODUCT(($B$43:$B$110="Spinach")*(AX$43:AX$110="P")*$C$43:$C$110)*$K$11+SUMPRODUCT(($B$43:$B$110="Spinach")*(AX$43:AX$110="G")*$C$43:$C$110)*$L$11+SUMPRODUCT(($B$43:$B$110="Spinach")*(AX$43:AX$110="H")*$C$43:$C$110)*$M$11+SUMPRODUCT(($B$43:$B$110="Spinach")*($BG$43:$BG$110=46)*$C$43:$C$110)*$H$11</f>
        <v/>
      </c>
      <c r="AY178" s="36">
        <f>SUMPRODUCT(($B$43:$B$110="Spinach")*(AY$43:AY$110="P")*$C$43:$C$110)*$K$11+SUMPRODUCT(($B$43:$B$110="Spinach")*(AY$43:AY$110="G")*$C$43:$C$110)*$L$11+SUMPRODUCT(($B$43:$B$110="Spinach")*(AY$43:AY$110="H")*$C$43:$C$110)*$M$11+SUMPRODUCT(($B$43:$B$110="Spinach")*($BG$43:$BG$110=47)*$C$43:$C$110)*$H$11</f>
        <v/>
      </c>
      <c r="AZ178" s="36">
        <f>SUMPRODUCT(($B$43:$B$110="Spinach")*(AZ$43:AZ$110="P")*$C$43:$C$110)*$K$11+SUMPRODUCT(($B$43:$B$110="Spinach")*(AZ$43:AZ$110="G")*$C$43:$C$110)*$L$11+SUMPRODUCT(($B$43:$B$110="Spinach")*(AZ$43:AZ$110="H")*$C$43:$C$110)*$M$11+SUMPRODUCT(($B$43:$B$110="Spinach")*($BG$43:$BG$110=48)*$C$43:$C$110)*$H$11</f>
        <v/>
      </c>
      <c r="BA178" s="36">
        <f>SUMPRODUCT(($B$43:$B$110="Spinach")*(BA$43:BA$110="P")*$C$43:$C$110)*$K$11+SUMPRODUCT(($B$43:$B$110="Spinach")*(BA$43:BA$110="G")*$C$43:$C$110)*$L$11+SUMPRODUCT(($B$43:$B$110="Spinach")*(BA$43:BA$110="H")*$C$43:$C$110)*$M$11+SUMPRODUCT(($B$43:$B$110="Spinach")*($BG$43:$BG$110=49)*$C$43:$C$110)*$H$11</f>
        <v/>
      </c>
      <c r="BB178" s="36">
        <f>SUMPRODUCT(($B$43:$B$110="Spinach")*(BB$43:BB$110="P")*$C$43:$C$110)*$K$11+SUMPRODUCT(($B$43:$B$110="Spinach")*(BB$43:BB$110="G")*$C$43:$C$110)*$L$11+SUMPRODUCT(($B$43:$B$110="Spinach")*(BB$43:BB$110="H")*$C$43:$C$110)*$M$11+SUMPRODUCT(($B$43:$B$110="Spinach")*($BG$43:$BG$110=50)*$C$43:$C$110)*$H$11</f>
        <v/>
      </c>
      <c r="BC178" s="36">
        <f>SUMPRODUCT(($B$43:$B$110="Spinach")*(BC$43:BC$110="P")*$C$43:$C$110)*$K$11+SUMPRODUCT(($B$43:$B$110="Spinach")*(BC$43:BC$110="G")*$C$43:$C$110)*$L$11+SUMPRODUCT(($B$43:$B$110="Spinach")*(BC$43:BC$110="H")*$C$43:$C$110)*$M$11+SUMPRODUCT(($B$43:$B$110="Spinach")*($BG$43:$BG$110=51)*$C$43:$C$110)*$H$11</f>
        <v/>
      </c>
      <c r="BD178" s="36">
        <f>SUMPRODUCT(($B$43:$B$110="Spinach")*(BD$43:BD$110="P")*$C$43:$C$110)*$K$11+SUMPRODUCT(($B$43:$B$110="Spinach")*(BD$43:BD$110="G")*$C$43:$C$110)*$L$11+SUMPRODUCT(($B$43:$B$110="Spinach")*(BD$43:BD$110="H")*$C$43:$C$110)*$M$11+SUMPRODUCT(($B$43:$B$110="Spinach")*($BG$43:$BG$110=52)*$C$43:$C$110)*$H$11</f>
        <v/>
      </c>
    </row>
    <row r="179">
      <c r="A179" s="27" t="inlineStr">
        <is>
          <t>Packaging this week</t>
        </is>
      </c>
      <c r="B179" s="2" t="inlineStr">
        <is>
          <t>$</t>
        </is>
      </c>
      <c r="E179" s="36">
        <f>E163*$J$18+E169*$J$19</f>
        <v/>
      </c>
      <c r="F179" s="36">
        <f>F163*$J$18+F169*$J$19</f>
        <v/>
      </c>
      <c r="G179" s="36">
        <f>G163*$J$18+G169*$J$19</f>
        <v/>
      </c>
      <c r="H179" s="36">
        <f>H163*$J$18+H169*$J$19</f>
        <v/>
      </c>
      <c r="I179" s="36">
        <f>I163*$J$18+I169*$J$19</f>
        <v/>
      </c>
      <c r="J179" s="36">
        <f>J163*$J$18+J169*$J$19</f>
        <v/>
      </c>
      <c r="K179" s="36">
        <f>K163*$J$18+K169*$J$19</f>
        <v/>
      </c>
      <c r="L179" s="36">
        <f>L163*$J$18+L169*$J$19</f>
        <v/>
      </c>
      <c r="M179" s="36">
        <f>M163*$J$18+M169*$J$19</f>
        <v/>
      </c>
      <c r="N179" s="36">
        <f>N163*$J$18+N169*$J$19</f>
        <v/>
      </c>
      <c r="O179" s="36">
        <f>O163*$J$18+O169*$J$19</f>
        <v/>
      </c>
      <c r="P179" s="36">
        <f>P163*$J$18+P169*$J$19</f>
        <v/>
      </c>
      <c r="Q179" s="36">
        <f>Q163*$J$18+Q169*$J$19</f>
        <v/>
      </c>
      <c r="R179" s="36">
        <f>R163*$J$18+R169*$J$19</f>
        <v/>
      </c>
      <c r="S179" s="36">
        <f>S163*$J$18+S169*$J$19</f>
        <v/>
      </c>
      <c r="T179" s="36">
        <f>T163*$J$18+T169*$J$19</f>
        <v/>
      </c>
      <c r="U179" s="36">
        <f>U163*$J$18+U169*$J$19</f>
        <v/>
      </c>
      <c r="V179" s="36">
        <f>V163*$J$18+V169*$J$19</f>
        <v/>
      </c>
      <c r="W179" s="36">
        <f>W163*$J$18+W169*$J$19</f>
        <v/>
      </c>
      <c r="X179" s="36">
        <f>X163*$J$18+X169*$J$19</f>
        <v/>
      </c>
      <c r="Y179" s="36">
        <f>Y163*$J$18+Y169*$J$19</f>
        <v/>
      </c>
      <c r="Z179" s="36">
        <f>Z163*$J$18+Z169*$J$19</f>
        <v/>
      </c>
      <c r="AA179" s="36">
        <f>AA163*$J$18+AA169*$J$19</f>
        <v/>
      </c>
      <c r="AB179" s="36">
        <f>AB163*$J$18+AB169*$J$19</f>
        <v/>
      </c>
      <c r="AC179" s="36">
        <f>AC163*$J$18+AC169*$J$19</f>
        <v/>
      </c>
      <c r="AD179" s="36">
        <f>AD163*$J$18+AD169*$J$19</f>
        <v/>
      </c>
      <c r="AE179" s="36">
        <f>AE163*$J$18+AE169*$J$19</f>
        <v/>
      </c>
      <c r="AF179" s="36">
        <f>AF163*$J$18+AF169*$J$19</f>
        <v/>
      </c>
      <c r="AG179" s="36">
        <f>AG163*$J$18+AG169*$J$19</f>
        <v/>
      </c>
      <c r="AH179" s="36">
        <f>AH163*$J$18+AH169*$J$19</f>
        <v/>
      </c>
      <c r="AI179" s="36">
        <f>AI163*$J$18+AI169*$J$19</f>
        <v/>
      </c>
      <c r="AJ179" s="36">
        <f>AJ163*$J$18+AJ169*$J$19</f>
        <v/>
      </c>
      <c r="AK179" s="36">
        <f>AK163*$J$18+AK169*$J$19</f>
        <v/>
      </c>
      <c r="AL179" s="36">
        <f>AL163*$J$18+AL169*$J$19</f>
        <v/>
      </c>
      <c r="AM179" s="36">
        <f>AM163*$J$18+AM169*$J$19</f>
        <v/>
      </c>
      <c r="AN179" s="36">
        <f>AN163*$J$18+AN169*$J$19</f>
        <v/>
      </c>
      <c r="AO179" s="36">
        <f>AO163*$J$18+AO169*$J$19</f>
        <v/>
      </c>
      <c r="AP179" s="36">
        <f>AP163*$J$18+AP169*$J$19</f>
        <v/>
      </c>
      <c r="AQ179" s="36">
        <f>AQ163*$J$18+AQ169*$J$19</f>
        <v/>
      </c>
      <c r="AR179" s="36">
        <f>AR163*$J$18+AR169*$J$19</f>
        <v/>
      </c>
      <c r="AS179" s="36">
        <f>AS163*$J$18+AS169*$J$19</f>
        <v/>
      </c>
      <c r="AT179" s="36">
        <f>AT163*$J$18+AT169*$J$19</f>
        <v/>
      </c>
      <c r="AU179" s="36">
        <f>AU163*$J$18+AU169*$J$19</f>
        <v/>
      </c>
      <c r="AV179" s="36">
        <f>AV163*$J$18+AV169*$J$19</f>
        <v/>
      </c>
      <c r="AW179" s="36">
        <f>AW163*$J$18+AW169*$J$19</f>
        <v/>
      </c>
      <c r="AX179" s="36">
        <f>AX163*$J$18+AX169*$J$19</f>
        <v/>
      </c>
      <c r="AY179" s="36">
        <f>AY163*$J$18+AY169*$J$19</f>
        <v/>
      </c>
      <c r="AZ179" s="36">
        <f>AZ163*$J$18+AZ169*$J$19</f>
        <v/>
      </c>
      <c r="BA179" s="36">
        <f>BA163*$J$18+BA169*$J$19</f>
        <v/>
      </c>
      <c r="BB179" s="36">
        <f>BB163*$J$18+BB169*$J$19</f>
        <v/>
      </c>
      <c r="BC179" s="36">
        <f>BC163*$J$18+BC169*$J$19</f>
        <v/>
      </c>
      <c r="BD179" s="36">
        <f>BD163*$J$18+BD169*$J$19</f>
        <v/>
      </c>
    </row>
    <row r="180">
      <c r="A180" s="4" t="inlineStr">
        <is>
          <t>ROOM OCCUPANCY</t>
        </is>
      </c>
      <c r="B180" s="2" t="inlineStr">
        <is>
          <t>m3</t>
        </is>
      </c>
      <c r="E180" s="46">
        <f>(E158+E157)*$D$11</f>
        <v/>
      </c>
      <c r="F180" s="46">
        <f>(F158+F157)*$D$11</f>
        <v/>
      </c>
      <c r="G180" s="46">
        <f>(G158+G157)*$D$11</f>
        <v/>
      </c>
      <c r="H180" s="46">
        <f>(H158+H157)*$D$11</f>
        <v/>
      </c>
      <c r="I180" s="46">
        <f>(I158+I157)*$D$11</f>
        <v/>
      </c>
      <c r="J180" s="46">
        <f>(J158+J157)*$D$11</f>
        <v/>
      </c>
      <c r="K180" s="46">
        <f>(K158+K157)*$D$11</f>
        <v/>
      </c>
      <c r="L180" s="46">
        <f>(L158+L157)*$D$11</f>
        <v/>
      </c>
      <c r="M180" s="46">
        <f>(M158+M157)*$D$11</f>
        <v/>
      </c>
      <c r="N180" s="46">
        <f>(N158+N157)*$D$11</f>
        <v/>
      </c>
      <c r="O180" s="46">
        <f>(O158+O157)*$D$11</f>
        <v/>
      </c>
      <c r="P180" s="46">
        <f>(P158+P157)*$D$11</f>
        <v/>
      </c>
      <c r="Q180" s="46">
        <f>(Q158+Q157)*$D$11</f>
        <v/>
      </c>
      <c r="R180" s="46">
        <f>(R158+R157)*$D$11</f>
        <v/>
      </c>
      <c r="S180" s="46">
        <f>(S158+S157)*$D$11</f>
        <v/>
      </c>
      <c r="T180" s="46">
        <f>(T158+T157)*$D$11</f>
        <v/>
      </c>
      <c r="U180" s="46">
        <f>(U158+U157)*$D$11</f>
        <v/>
      </c>
      <c r="V180" s="46">
        <f>(V158+V157)*$D$11</f>
        <v/>
      </c>
      <c r="W180" s="46">
        <f>(W158+W157)*$D$11</f>
        <v/>
      </c>
      <c r="X180" s="46">
        <f>(X158+X157)*$D$11</f>
        <v/>
      </c>
      <c r="Y180" s="46">
        <f>(Y158+Y157)*$D$11</f>
        <v/>
      </c>
      <c r="Z180" s="46">
        <f>(Z158+Z157)*$D$11</f>
        <v/>
      </c>
      <c r="AA180" s="46">
        <f>(AA158+AA157)*$D$11</f>
        <v/>
      </c>
      <c r="AB180" s="46">
        <f>(AB158+AB157)*$D$11</f>
        <v/>
      </c>
      <c r="AC180" s="46">
        <f>(AC158+AC157)*$D$11</f>
        <v/>
      </c>
      <c r="AD180" s="46">
        <f>(AD158+AD157)*$D$11</f>
        <v/>
      </c>
      <c r="AE180" s="46">
        <f>(AE158+AE157)*$D$11</f>
        <v/>
      </c>
      <c r="AF180" s="46">
        <f>(AF158+AF157)*$D$11</f>
        <v/>
      </c>
      <c r="AG180" s="46">
        <f>(AG158+AG157)*$D$11</f>
        <v/>
      </c>
      <c r="AH180" s="46">
        <f>(AH158+AH157)*$D$11</f>
        <v/>
      </c>
      <c r="AI180" s="46">
        <f>(AI158+AI157)*$D$11</f>
        <v/>
      </c>
      <c r="AJ180" s="46">
        <f>(AJ158+AJ157)*$D$11</f>
        <v/>
      </c>
      <c r="AK180" s="46">
        <f>(AK158+AK157)*$D$11</f>
        <v/>
      </c>
      <c r="AL180" s="46">
        <f>(AL158+AL157)*$D$11</f>
        <v/>
      </c>
      <c r="AM180" s="46">
        <f>(AM158+AM157)*$D$11</f>
        <v/>
      </c>
      <c r="AN180" s="46">
        <f>(AN158+AN157)*$D$11</f>
        <v/>
      </c>
      <c r="AO180" s="46">
        <f>(AO158+AO157)*$D$11</f>
        <v/>
      </c>
      <c r="AP180" s="46">
        <f>(AP158+AP157)*$D$11</f>
        <v/>
      </c>
      <c r="AQ180" s="46">
        <f>(AQ158+AQ157)*$D$11</f>
        <v/>
      </c>
      <c r="AR180" s="46">
        <f>(AR158+AR157)*$D$11</f>
        <v/>
      </c>
      <c r="AS180" s="46">
        <f>(AS158+AS157)*$D$11</f>
        <v/>
      </c>
      <c r="AT180" s="46">
        <f>(AT158+AT157)*$D$11</f>
        <v/>
      </c>
      <c r="AU180" s="46">
        <f>(AU158+AU157)*$D$11</f>
        <v/>
      </c>
      <c r="AV180" s="46">
        <f>(AV158+AV157)*$D$11</f>
        <v/>
      </c>
      <c r="AW180" s="46">
        <f>(AW158+AW157)*$D$11</f>
        <v/>
      </c>
      <c r="AX180" s="46">
        <f>(AX158+AX157)*$D$11</f>
        <v/>
      </c>
      <c r="AY180" s="46">
        <f>(AY158+AY157)*$D$11</f>
        <v/>
      </c>
      <c r="AZ180" s="46">
        <f>(AZ158+AZ157)*$D$11</f>
        <v/>
      </c>
      <c r="BA180" s="46">
        <f>(BA158+BA157)*$D$11</f>
        <v/>
      </c>
      <c r="BB180" s="46">
        <f>(BB158+BB157)*$D$11</f>
        <v/>
      </c>
      <c r="BC180" s="46">
        <f>(BC158+BC157)*$D$11</f>
        <v/>
      </c>
      <c r="BD180" s="46">
        <f>(BD158+BD157)*$D$11</f>
        <v/>
      </c>
    </row>
    <row r="182">
      <c r="A182" s="3" t="inlineStr">
        <is>
          <t>KALE  —  cold store</t>
        </is>
      </c>
      <c r="B182" s="39" t="inlineStr"/>
    </row>
    <row r="183">
      <c r="A183" s="22" t="inlineStr">
        <is>
          <t>Week</t>
        </is>
      </c>
      <c r="B183" s="33" t="inlineStr"/>
      <c r="E183" s="25" t="n">
        <v>1</v>
      </c>
      <c r="F183" s="25" t="n">
        <v>2</v>
      </c>
      <c r="G183" s="25" t="n">
        <v>3</v>
      </c>
      <c r="H183" s="25" t="n">
        <v>4</v>
      </c>
      <c r="I183" s="25" t="n">
        <v>5</v>
      </c>
      <c r="J183" s="25" t="n">
        <v>6</v>
      </c>
      <c r="K183" s="25" t="n">
        <v>7</v>
      </c>
      <c r="L183" s="25" t="n">
        <v>8</v>
      </c>
      <c r="M183" s="25" t="n">
        <v>9</v>
      </c>
      <c r="N183" s="25" t="n">
        <v>10</v>
      </c>
      <c r="O183" s="25" t="n">
        <v>11</v>
      </c>
      <c r="P183" s="25" t="n">
        <v>12</v>
      </c>
      <c r="Q183" s="25" t="n">
        <v>13</v>
      </c>
      <c r="R183" s="25" t="n">
        <v>14</v>
      </c>
      <c r="S183" s="25" t="n">
        <v>15</v>
      </c>
      <c r="T183" s="25" t="n">
        <v>16</v>
      </c>
      <c r="U183" s="25" t="n">
        <v>17</v>
      </c>
      <c r="V183" s="25" t="n">
        <v>18</v>
      </c>
      <c r="W183" s="25" t="n">
        <v>19</v>
      </c>
      <c r="X183" s="25" t="n">
        <v>20</v>
      </c>
      <c r="Y183" s="25" t="n">
        <v>21</v>
      </c>
      <c r="Z183" s="25" t="n">
        <v>22</v>
      </c>
      <c r="AA183" s="25" t="n">
        <v>23</v>
      </c>
      <c r="AB183" s="25" t="n">
        <v>24</v>
      </c>
      <c r="AC183" s="25" t="n">
        <v>25</v>
      </c>
      <c r="AD183" s="25" t="n">
        <v>26</v>
      </c>
      <c r="AE183" s="25" t="n">
        <v>27</v>
      </c>
      <c r="AF183" s="25" t="n">
        <v>28</v>
      </c>
      <c r="AG183" s="25" t="n">
        <v>29</v>
      </c>
      <c r="AH183" s="25" t="n">
        <v>30</v>
      </c>
      <c r="AI183" s="25" t="n">
        <v>31</v>
      </c>
      <c r="AJ183" s="25" t="n">
        <v>32</v>
      </c>
      <c r="AK183" s="25" t="n">
        <v>33</v>
      </c>
      <c r="AL183" s="25" t="n">
        <v>34</v>
      </c>
      <c r="AM183" s="25" t="n">
        <v>35</v>
      </c>
      <c r="AN183" s="25" t="n">
        <v>36</v>
      </c>
      <c r="AO183" s="25" t="n">
        <v>37</v>
      </c>
      <c r="AP183" s="25" t="n">
        <v>38</v>
      </c>
      <c r="AQ183" s="25" t="n">
        <v>39</v>
      </c>
      <c r="AR183" s="25" t="n">
        <v>40</v>
      </c>
      <c r="AS183" s="25" t="n">
        <v>41</v>
      </c>
      <c r="AT183" s="25" t="n">
        <v>42</v>
      </c>
      <c r="AU183" s="25" t="n">
        <v>43</v>
      </c>
      <c r="AV183" s="25" t="n">
        <v>44</v>
      </c>
      <c r="AW183" s="25" t="n">
        <v>45</v>
      </c>
      <c r="AX183" s="25" t="n">
        <v>46</v>
      </c>
      <c r="AY183" s="25" t="n">
        <v>47</v>
      </c>
      <c r="AZ183" s="25" t="n">
        <v>48</v>
      </c>
      <c r="BA183" s="25" t="n">
        <v>49</v>
      </c>
      <c r="BB183" s="25" t="n">
        <v>50</v>
      </c>
      <c r="BC183" s="25" t="n">
        <v>51</v>
      </c>
      <c r="BD183" s="25" t="n">
        <v>52</v>
      </c>
    </row>
    <row r="184">
      <c r="A184" s="4" t="inlineStr">
        <is>
          <t>Packed out -&gt; INTO the store</t>
        </is>
      </c>
      <c r="B184" s="2" t="inlineStr">
        <is>
          <t>lb</t>
        </is>
      </c>
      <c r="E184" s="36">
        <f>SUMPRODUCT(($B$43:$B$110="Kale")*(E$43:E$110="H")*$C$43:$C$110)*$B$12/$J$12*$C$12</f>
        <v/>
      </c>
      <c r="F184" s="36">
        <f>SUMPRODUCT(($B$43:$B$110="Kale")*(F$43:F$110="H")*$C$43:$C$110)*$B$12/$J$12*$C$12</f>
        <v/>
      </c>
      <c r="G184" s="36">
        <f>SUMPRODUCT(($B$43:$B$110="Kale")*(G$43:G$110="H")*$C$43:$C$110)*$B$12/$J$12*$C$12</f>
        <v/>
      </c>
      <c r="H184" s="36">
        <f>SUMPRODUCT(($B$43:$B$110="Kale")*(H$43:H$110="H")*$C$43:$C$110)*$B$12/$J$12*$C$12</f>
        <v/>
      </c>
      <c r="I184" s="36">
        <f>SUMPRODUCT(($B$43:$B$110="Kale")*(I$43:I$110="H")*$C$43:$C$110)*$B$12/$J$12*$C$12</f>
        <v/>
      </c>
      <c r="J184" s="36">
        <f>SUMPRODUCT(($B$43:$B$110="Kale")*(J$43:J$110="H")*$C$43:$C$110)*$B$12/$J$12*$C$12</f>
        <v/>
      </c>
      <c r="K184" s="36">
        <f>SUMPRODUCT(($B$43:$B$110="Kale")*(K$43:K$110="H")*$C$43:$C$110)*$B$12/$J$12*$C$12</f>
        <v/>
      </c>
      <c r="L184" s="36">
        <f>SUMPRODUCT(($B$43:$B$110="Kale")*(L$43:L$110="H")*$C$43:$C$110)*$B$12/$J$12*$C$12</f>
        <v/>
      </c>
      <c r="M184" s="36">
        <f>SUMPRODUCT(($B$43:$B$110="Kale")*(M$43:M$110="H")*$C$43:$C$110)*$B$12/$J$12*$C$12</f>
        <v/>
      </c>
      <c r="N184" s="36">
        <f>SUMPRODUCT(($B$43:$B$110="Kale")*(N$43:N$110="H")*$C$43:$C$110)*$B$12/$J$12*$C$12</f>
        <v/>
      </c>
      <c r="O184" s="36">
        <f>SUMPRODUCT(($B$43:$B$110="Kale")*(O$43:O$110="H")*$C$43:$C$110)*$B$12/$J$12*$C$12</f>
        <v/>
      </c>
      <c r="P184" s="36">
        <f>SUMPRODUCT(($B$43:$B$110="Kale")*(P$43:P$110="H")*$C$43:$C$110)*$B$12/$J$12*$C$12</f>
        <v/>
      </c>
      <c r="Q184" s="36">
        <f>SUMPRODUCT(($B$43:$B$110="Kale")*(Q$43:Q$110="H")*$C$43:$C$110)*$B$12/$J$12*$C$12</f>
        <v/>
      </c>
      <c r="R184" s="36">
        <f>SUMPRODUCT(($B$43:$B$110="Kale")*(R$43:R$110="H")*$C$43:$C$110)*$B$12/$J$12*$C$12</f>
        <v/>
      </c>
      <c r="S184" s="36">
        <f>SUMPRODUCT(($B$43:$B$110="Kale")*(S$43:S$110="H")*$C$43:$C$110)*$B$12/$J$12*$C$12</f>
        <v/>
      </c>
      <c r="T184" s="36">
        <f>SUMPRODUCT(($B$43:$B$110="Kale")*(T$43:T$110="H")*$C$43:$C$110)*$B$12/$J$12*$C$12</f>
        <v/>
      </c>
      <c r="U184" s="36">
        <f>SUMPRODUCT(($B$43:$B$110="Kale")*(U$43:U$110="H")*$C$43:$C$110)*$B$12/$J$12*$C$12</f>
        <v/>
      </c>
      <c r="V184" s="36">
        <f>SUMPRODUCT(($B$43:$B$110="Kale")*(V$43:V$110="H")*$C$43:$C$110)*$B$12/$J$12*$C$12</f>
        <v/>
      </c>
      <c r="W184" s="36">
        <f>SUMPRODUCT(($B$43:$B$110="Kale")*(W$43:W$110="H")*$C$43:$C$110)*$B$12/$J$12*$C$12</f>
        <v/>
      </c>
      <c r="X184" s="36">
        <f>SUMPRODUCT(($B$43:$B$110="Kale")*(X$43:X$110="H")*$C$43:$C$110)*$B$12/$J$12*$C$12</f>
        <v/>
      </c>
      <c r="Y184" s="36">
        <f>SUMPRODUCT(($B$43:$B$110="Kale")*(Y$43:Y$110="H")*$C$43:$C$110)*$B$12/$J$12*$C$12</f>
        <v/>
      </c>
      <c r="Z184" s="36">
        <f>SUMPRODUCT(($B$43:$B$110="Kale")*(Z$43:Z$110="H")*$C$43:$C$110)*$B$12/$J$12*$C$12</f>
        <v/>
      </c>
      <c r="AA184" s="36">
        <f>SUMPRODUCT(($B$43:$B$110="Kale")*(AA$43:AA$110="H")*$C$43:$C$110)*$B$12/$J$12*$C$12</f>
        <v/>
      </c>
      <c r="AB184" s="36">
        <f>SUMPRODUCT(($B$43:$B$110="Kale")*(AB$43:AB$110="H")*$C$43:$C$110)*$B$12/$J$12*$C$12</f>
        <v/>
      </c>
      <c r="AC184" s="36">
        <f>SUMPRODUCT(($B$43:$B$110="Kale")*(AC$43:AC$110="H")*$C$43:$C$110)*$B$12/$J$12*$C$12</f>
        <v/>
      </c>
      <c r="AD184" s="36">
        <f>SUMPRODUCT(($B$43:$B$110="Kale")*(AD$43:AD$110="H")*$C$43:$C$110)*$B$12/$J$12*$C$12</f>
        <v/>
      </c>
      <c r="AE184" s="36">
        <f>SUMPRODUCT(($B$43:$B$110="Kale")*(AE$43:AE$110="H")*$C$43:$C$110)*$B$12/$J$12*$C$12</f>
        <v/>
      </c>
      <c r="AF184" s="36">
        <f>SUMPRODUCT(($B$43:$B$110="Kale")*(AF$43:AF$110="H")*$C$43:$C$110)*$B$12/$J$12*$C$12</f>
        <v/>
      </c>
      <c r="AG184" s="36">
        <f>SUMPRODUCT(($B$43:$B$110="Kale")*(AG$43:AG$110="H")*$C$43:$C$110)*$B$12/$J$12*$C$12</f>
        <v/>
      </c>
      <c r="AH184" s="36">
        <f>SUMPRODUCT(($B$43:$B$110="Kale")*(AH$43:AH$110="H")*$C$43:$C$110)*$B$12/$J$12*$C$12</f>
        <v/>
      </c>
      <c r="AI184" s="36">
        <f>SUMPRODUCT(($B$43:$B$110="Kale")*(AI$43:AI$110="H")*$C$43:$C$110)*$B$12/$J$12*$C$12</f>
        <v/>
      </c>
      <c r="AJ184" s="36">
        <f>SUMPRODUCT(($B$43:$B$110="Kale")*(AJ$43:AJ$110="H")*$C$43:$C$110)*$B$12/$J$12*$C$12</f>
        <v/>
      </c>
      <c r="AK184" s="36">
        <f>SUMPRODUCT(($B$43:$B$110="Kale")*(AK$43:AK$110="H")*$C$43:$C$110)*$B$12/$J$12*$C$12</f>
        <v/>
      </c>
      <c r="AL184" s="36">
        <f>SUMPRODUCT(($B$43:$B$110="Kale")*(AL$43:AL$110="H")*$C$43:$C$110)*$B$12/$J$12*$C$12</f>
        <v/>
      </c>
      <c r="AM184" s="36">
        <f>SUMPRODUCT(($B$43:$B$110="Kale")*(AM$43:AM$110="H")*$C$43:$C$110)*$B$12/$J$12*$C$12</f>
        <v/>
      </c>
      <c r="AN184" s="36">
        <f>SUMPRODUCT(($B$43:$B$110="Kale")*(AN$43:AN$110="H")*$C$43:$C$110)*$B$12/$J$12*$C$12</f>
        <v/>
      </c>
      <c r="AO184" s="36">
        <f>SUMPRODUCT(($B$43:$B$110="Kale")*(AO$43:AO$110="H")*$C$43:$C$110)*$B$12/$J$12*$C$12</f>
        <v/>
      </c>
      <c r="AP184" s="36">
        <f>SUMPRODUCT(($B$43:$B$110="Kale")*(AP$43:AP$110="H")*$C$43:$C$110)*$B$12/$J$12*$C$12</f>
        <v/>
      </c>
      <c r="AQ184" s="36">
        <f>SUMPRODUCT(($B$43:$B$110="Kale")*(AQ$43:AQ$110="H")*$C$43:$C$110)*$B$12/$J$12*$C$12</f>
        <v/>
      </c>
      <c r="AR184" s="36">
        <f>SUMPRODUCT(($B$43:$B$110="Kale")*(AR$43:AR$110="H")*$C$43:$C$110)*$B$12/$J$12*$C$12</f>
        <v/>
      </c>
      <c r="AS184" s="36">
        <f>SUMPRODUCT(($B$43:$B$110="Kale")*(AS$43:AS$110="H")*$C$43:$C$110)*$B$12/$J$12*$C$12</f>
        <v/>
      </c>
      <c r="AT184" s="36">
        <f>SUMPRODUCT(($B$43:$B$110="Kale")*(AT$43:AT$110="H")*$C$43:$C$110)*$B$12/$J$12*$C$12</f>
        <v/>
      </c>
      <c r="AU184" s="36">
        <f>SUMPRODUCT(($B$43:$B$110="Kale")*(AU$43:AU$110="H")*$C$43:$C$110)*$B$12/$J$12*$C$12</f>
        <v/>
      </c>
      <c r="AV184" s="36">
        <f>SUMPRODUCT(($B$43:$B$110="Kale")*(AV$43:AV$110="H")*$C$43:$C$110)*$B$12/$J$12*$C$12</f>
        <v/>
      </c>
      <c r="AW184" s="36">
        <f>SUMPRODUCT(($B$43:$B$110="Kale")*(AW$43:AW$110="H")*$C$43:$C$110)*$B$12/$J$12*$C$12</f>
        <v/>
      </c>
      <c r="AX184" s="36">
        <f>SUMPRODUCT(($B$43:$B$110="Kale")*(AX$43:AX$110="H")*$C$43:$C$110)*$B$12/$J$12*$C$12</f>
        <v/>
      </c>
      <c r="AY184" s="36">
        <f>SUMPRODUCT(($B$43:$B$110="Kale")*(AY$43:AY$110="H")*$C$43:$C$110)*$B$12/$J$12*$C$12</f>
        <v/>
      </c>
      <c r="AZ184" s="36">
        <f>SUMPRODUCT(($B$43:$B$110="Kale")*(AZ$43:AZ$110="H")*$C$43:$C$110)*$B$12/$J$12*$C$12</f>
        <v/>
      </c>
      <c r="BA184" s="36">
        <f>SUMPRODUCT(($B$43:$B$110="Kale")*(BA$43:BA$110="H")*$C$43:$C$110)*$B$12/$J$12*$C$12</f>
        <v/>
      </c>
      <c r="BB184" s="36">
        <f>SUMPRODUCT(($B$43:$B$110="Kale")*(BB$43:BB$110="H")*$C$43:$C$110)*$B$12/$J$12*$C$12</f>
        <v/>
      </c>
      <c r="BC184" s="36">
        <f>SUMPRODUCT(($B$43:$B$110="Kale")*(BC$43:BC$110="H")*$C$43:$C$110)*$B$12/$J$12*$C$12</f>
        <v/>
      </c>
      <c r="BD184" s="36">
        <f>SUMPRODUCT(($B$43:$B$110="Kale")*(BD$43:BD$110="H")*$C$43:$C$110)*$B$12/$J$12*$C$12</f>
        <v/>
      </c>
    </row>
    <row r="185">
      <c r="A185" s="27" t="inlineStr">
        <is>
          <t>Stock carried in</t>
        </is>
      </c>
      <c r="B185" s="2" t="inlineStr">
        <is>
          <t>lb</t>
        </is>
      </c>
      <c r="E185" s="36" t="n">
        <v>0</v>
      </c>
      <c r="F185" s="36">
        <f>E202</f>
        <v/>
      </c>
      <c r="G185" s="36">
        <f>F202</f>
        <v/>
      </c>
      <c r="H185" s="36">
        <f>G202</f>
        <v/>
      </c>
      <c r="I185" s="36">
        <f>H202</f>
        <v/>
      </c>
      <c r="J185" s="36">
        <f>I202</f>
        <v/>
      </c>
      <c r="K185" s="36">
        <f>J202</f>
        <v/>
      </c>
      <c r="L185" s="36">
        <f>K202</f>
        <v/>
      </c>
      <c r="M185" s="36">
        <f>L202</f>
        <v/>
      </c>
      <c r="N185" s="36">
        <f>M202</f>
        <v/>
      </c>
      <c r="O185" s="36">
        <f>N202</f>
        <v/>
      </c>
      <c r="P185" s="36">
        <f>O202</f>
        <v/>
      </c>
      <c r="Q185" s="36">
        <f>P202</f>
        <v/>
      </c>
      <c r="R185" s="36">
        <f>Q202</f>
        <v/>
      </c>
      <c r="S185" s="36">
        <f>R202</f>
        <v/>
      </c>
      <c r="T185" s="36">
        <f>S202</f>
        <v/>
      </c>
      <c r="U185" s="36">
        <f>T202</f>
        <v/>
      </c>
      <c r="V185" s="36">
        <f>U202</f>
        <v/>
      </c>
      <c r="W185" s="36">
        <f>V202</f>
        <v/>
      </c>
      <c r="X185" s="36">
        <f>W202</f>
        <v/>
      </c>
      <c r="Y185" s="36">
        <f>X202</f>
        <v/>
      </c>
      <c r="Z185" s="36">
        <f>Y202</f>
        <v/>
      </c>
      <c r="AA185" s="36">
        <f>Z202</f>
        <v/>
      </c>
      <c r="AB185" s="36">
        <f>AA202</f>
        <v/>
      </c>
      <c r="AC185" s="36">
        <f>AB202</f>
        <v/>
      </c>
      <c r="AD185" s="36">
        <f>AC202</f>
        <v/>
      </c>
      <c r="AE185" s="36">
        <f>AD202</f>
        <v/>
      </c>
      <c r="AF185" s="36">
        <f>AE202</f>
        <v/>
      </c>
      <c r="AG185" s="36">
        <f>AF202</f>
        <v/>
      </c>
      <c r="AH185" s="36">
        <f>AG202</f>
        <v/>
      </c>
      <c r="AI185" s="36">
        <f>AH202</f>
        <v/>
      </c>
      <c r="AJ185" s="36">
        <f>AI202</f>
        <v/>
      </c>
      <c r="AK185" s="36">
        <f>AJ202</f>
        <v/>
      </c>
      <c r="AL185" s="36">
        <f>AK202</f>
        <v/>
      </c>
      <c r="AM185" s="36">
        <f>AL202</f>
        <v/>
      </c>
      <c r="AN185" s="36">
        <f>AM202</f>
        <v/>
      </c>
      <c r="AO185" s="36">
        <f>AN202</f>
        <v/>
      </c>
      <c r="AP185" s="36">
        <f>AO202</f>
        <v/>
      </c>
      <c r="AQ185" s="36">
        <f>AP202</f>
        <v/>
      </c>
      <c r="AR185" s="36">
        <f>AQ202</f>
        <v/>
      </c>
      <c r="AS185" s="36">
        <f>AR202</f>
        <v/>
      </c>
      <c r="AT185" s="36">
        <f>AS202</f>
        <v/>
      </c>
      <c r="AU185" s="36">
        <f>AT202</f>
        <v/>
      </c>
      <c r="AV185" s="36">
        <f>AU202</f>
        <v/>
      </c>
      <c r="AW185" s="36">
        <f>AV202</f>
        <v/>
      </c>
      <c r="AX185" s="36">
        <f>AW202</f>
        <v/>
      </c>
      <c r="AY185" s="36">
        <f>AX202</f>
        <v/>
      </c>
      <c r="AZ185" s="36">
        <f>AY202</f>
        <v/>
      </c>
      <c r="BA185" s="36">
        <f>AZ202</f>
        <v/>
      </c>
      <c r="BB185" s="36">
        <f>BA202</f>
        <v/>
      </c>
      <c r="BC185" s="36">
        <f>BB202</f>
        <v/>
      </c>
      <c r="BD185" s="36">
        <f>BC202</f>
        <v/>
      </c>
    </row>
    <row r="186">
      <c r="A186" s="27" t="inlineStr">
        <is>
          <t xml:space="preserve">   lost to shrink</t>
        </is>
      </c>
      <c r="B186" s="2" t="inlineStr">
        <is>
          <t>lb</t>
        </is>
      </c>
      <c r="E186" s="36">
        <f>E185*$G$12</f>
        <v/>
      </c>
      <c r="F186" s="36">
        <f>F185*$G$12</f>
        <v/>
      </c>
      <c r="G186" s="36">
        <f>G185*$G$12</f>
        <v/>
      </c>
      <c r="H186" s="36">
        <f>H185*$G$12</f>
        <v/>
      </c>
      <c r="I186" s="36">
        <f>I185*$G$12</f>
        <v/>
      </c>
      <c r="J186" s="36">
        <f>J185*$G$12</f>
        <v/>
      </c>
      <c r="K186" s="36">
        <f>K185*$G$12</f>
        <v/>
      </c>
      <c r="L186" s="36">
        <f>L185*$G$12</f>
        <v/>
      </c>
      <c r="M186" s="36">
        <f>M185*$G$12</f>
        <v/>
      </c>
      <c r="N186" s="36">
        <f>N185*$G$12</f>
        <v/>
      </c>
      <c r="O186" s="36">
        <f>O185*$G$12</f>
        <v/>
      </c>
      <c r="P186" s="36">
        <f>P185*$G$12</f>
        <v/>
      </c>
      <c r="Q186" s="36">
        <f>Q185*$G$12</f>
        <v/>
      </c>
      <c r="R186" s="36">
        <f>R185*$G$12</f>
        <v/>
      </c>
      <c r="S186" s="36">
        <f>S185*$G$12</f>
        <v/>
      </c>
      <c r="T186" s="36">
        <f>T185*$G$12</f>
        <v/>
      </c>
      <c r="U186" s="36">
        <f>U185*$G$12</f>
        <v/>
      </c>
      <c r="V186" s="36">
        <f>V185*$G$12</f>
        <v/>
      </c>
      <c r="W186" s="36">
        <f>W185*$G$12</f>
        <v/>
      </c>
      <c r="X186" s="36">
        <f>X185*$G$12</f>
        <v/>
      </c>
      <c r="Y186" s="36">
        <f>Y185*$G$12</f>
        <v/>
      </c>
      <c r="Z186" s="36">
        <f>Z185*$G$12</f>
        <v/>
      </c>
      <c r="AA186" s="36">
        <f>AA185*$G$12</f>
        <v/>
      </c>
      <c r="AB186" s="36">
        <f>AB185*$G$12</f>
        <v/>
      </c>
      <c r="AC186" s="36">
        <f>AC185*$G$12</f>
        <v/>
      </c>
      <c r="AD186" s="36">
        <f>AD185*$G$12</f>
        <v/>
      </c>
      <c r="AE186" s="36">
        <f>AE185*$G$12</f>
        <v/>
      </c>
      <c r="AF186" s="36">
        <f>AF185*$G$12</f>
        <v/>
      </c>
      <c r="AG186" s="36">
        <f>AG185*$G$12</f>
        <v/>
      </c>
      <c r="AH186" s="36">
        <f>AH185*$G$12</f>
        <v/>
      </c>
      <c r="AI186" s="36">
        <f>AI185*$G$12</f>
        <v/>
      </c>
      <c r="AJ186" s="36">
        <f>AJ185*$G$12</f>
        <v/>
      </c>
      <c r="AK186" s="36">
        <f>AK185*$G$12</f>
        <v/>
      </c>
      <c r="AL186" s="36">
        <f>AL185*$G$12</f>
        <v/>
      </c>
      <c r="AM186" s="36">
        <f>AM185*$G$12</f>
        <v/>
      </c>
      <c r="AN186" s="36">
        <f>AN185*$G$12</f>
        <v/>
      </c>
      <c r="AO186" s="36">
        <f>AO185*$G$12</f>
        <v/>
      </c>
      <c r="AP186" s="36">
        <f>AP185*$G$12</f>
        <v/>
      </c>
      <c r="AQ186" s="36">
        <f>AQ185*$G$12</f>
        <v/>
      </c>
      <c r="AR186" s="36">
        <f>AR185*$G$12</f>
        <v/>
      </c>
      <c r="AS186" s="36">
        <f>AS185*$G$12</f>
        <v/>
      </c>
      <c r="AT186" s="36">
        <f>AT185*$G$12</f>
        <v/>
      </c>
      <c r="AU186" s="36">
        <f>AU185*$G$12</f>
        <v/>
      </c>
      <c r="AV186" s="36">
        <f>AV185*$G$12</f>
        <v/>
      </c>
      <c r="AW186" s="36">
        <f>AW185*$G$12</f>
        <v/>
      </c>
      <c r="AX186" s="36">
        <f>AX185*$G$12</f>
        <v/>
      </c>
      <c r="AY186" s="36">
        <f>AY185*$G$12</f>
        <v/>
      </c>
      <c r="AZ186" s="36">
        <f>AZ185*$G$12</f>
        <v/>
      </c>
      <c r="BA186" s="36">
        <f>BA185*$G$12</f>
        <v/>
      </c>
      <c r="BB186" s="36">
        <f>BB185*$G$12</f>
        <v/>
      </c>
      <c r="BC186" s="36">
        <f>BC185*$G$12</f>
        <v/>
      </c>
      <c r="BD186" s="36">
        <f>BD185*$G$12</f>
        <v/>
      </c>
    </row>
    <row r="187">
      <c r="A187" s="4" t="inlineStr">
        <is>
          <t>In store this week</t>
        </is>
      </c>
      <c r="B187" s="2" t="inlineStr">
        <is>
          <t>lb</t>
        </is>
      </c>
      <c r="E187" s="36">
        <f>E185-E186+E184</f>
        <v/>
      </c>
      <c r="F187" s="36">
        <f>F185-F186+F184</f>
        <v/>
      </c>
      <c r="G187" s="36">
        <f>G185-G186+G184</f>
        <v/>
      </c>
      <c r="H187" s="36">
        <f>H185-H186+H184</f>
        <v/>
      </c>
      <c r="I187" s="36">
        <f>I185-I186+I184</f>
        <v/>
      </c>
      <c r="J187" s="36">
        <f>J185-J186+J184</f>
        <v/>
      </c>
      <c r="K187" s="36">
        <f>K185-K186+K184</f>
        <v/>
      </c>
      <c r="L187" s="36">
        <f>L185-L186+L184</f>
        <v/>
      </c>
      <c r="M187" s="36">
        <f>M185-M186+M184</f>
        <v/>
      </c>
      <c r="N187" s="36">
        <f>N185-N186+N184</f>
        <v/>
      </c>
      <c r="O187" s="36">
        <f>O185-O186+O184</f>
        <v/>
      </c>
      <c r="P187" s="36">
        <f>P185-P186+P184</f>
        <v/>
      </c>
      <c r="Q187" s="36">
        <f>Q185-Q186+Q184</f>
        <v/>
      </c>
      <c r="R187" s="36">
        <f>R185-R186+R184</f>
        <v/>
      </c>
      <c r="S187" s="36">
        <f>S185-S186+S184</f>
        <v/>
      </c>
      <c r="T187" s="36">
        <f>T185-T186+T184</f>
        <v/>
      </c>
      <c r="U187" s="36">
        <f>U185-U186+U184</f>
        <v/>
      </c>
      <c r="V187" s="36">
        <f>V185-V186+V184</f>
        <v/>
      </c>
      <c r="W187" s="36">
        <f>W185-W186+W184</f>
        <v/>
      </c>
      <c r="X187" s="36">
        <f>X185-X186+X184</f>
        <v/>
      </c>
      <c r="Y187" s="36">
        <f>Y185-Y186+Y184</f>
        <v/>
      </c>
      <c r="Z187" s="36">
        <f>Z185-Z186+Z184</f>
        <v/>
      </c>
      <c r="AA187" s="36">
        <f>AA185-AA186+AA184</f>
        <v/>
      </c>
      <c r="AB187" s="36">
        <f>AB185-AB186+AB184</f>
        <v/>
      </c>
      <c r="AC187" s="36">
        <f>AC185-AC186+AC184</f>
        <v/>
      </c>
      <c r="AD187" s="36">
        <f>AD185-AD186+AD184</f>
        <v/>
      </c>
      <c r="AE187" s="36">
        <f>AE185-AE186+AE184</f>
        <v/>
      </c>
      <c r="AF187" s="36">
        <f>AF185-AF186+AF184</f>
        <v/>
      </c>
      <c r="AG187" s="36">
        <f>AG185-AG186+AG184</f>
        <v/>
      </c>
      <c r="AH187" s="36">
        <f>AH185-AH186+AH184</f>
        <v/>
      </c>
      <c r="AI187" s="36">
        <f>AI185-AI186+AI184</f>
        <v/>
      </c>
      <c r="AJ187" s="36">
        <f>AJ185-AJ186+AJ184</f>
        <v/>
      </c>
      <c r="AK187" s="36">
        <f>AK185-AK186+AK184</f>
        <v/>
      </c>
      <c r="AL187" s="36">
        <f>AL185-AL186+AL184</f>
        <v/>
      </c>
      <c r="AM187" s="36">
        <f>AM185-AM186+AM184</f>
        <v/>
      </c>
      <c r="AN187" s="36">
        <f>AN185-AN186+AN184</f>
        <v/>
      </c>
      <c r="AO187" s="36">
        <f>AO185-AO186+AO184</f>
        <v/>
      </c>
      <c r="AP187" s="36">
        <f>AP185-AP186+AP184</f>
        <v/>
      </c>
      <c r="AQ187" s="36">
        <f>AQ185-AQ186+AQ184</f>
        <v/>
      </c>
      <c r="AR187" s="36">
        <f>AR185-AR186+AR184</f>
        <v/>
      </c>
      <c r="AS187" s="36">
        <f>AS185-AS186+AS184</f>
        <v/>
      </c>
      <c r="AT187" s="36">
        <f>AT185-AT186+AT184</f>
        <v/>
      </c>
      <c r="AU187" s="36">
        <f>AU185-AU186+AU184</f>
        <v/>
      </c>
      <c r="AV187" s="36">
        <f>AV185-AV186+AV184</f>
        <v/>
      </c>
      <c r="AW187" s="36">
        <f>AW185-AW186+AW184</f>
        <v/>
      </c>
      <c r="AX187" s="36">
        <f>AX185-AX186+AX184</f>
        <v/>
      </c>
      <c r="AY187" s="36">
        <f>AY185-AY186+AY184</f>
        <v/>
      </c>
      <c r="AZ187" s="36">
        <f>AZ185-AZ186+AZ184</f>
        <v/>
      </c>
      <c r="BA187" s="36">
        <f>BA185-BA186+BA184</f>
        <v/>
      </c>
      <c r="BB187" s="36">
        <f>BB185-BB186+BB184</f>
        <v/>
      </c>
      <c r="BC187" s="36">
        <f>BC185-BC186+BC184</f>
        <v/>
      </c>
      <c r="BD187" s="36">
        <f>BD185-BD186+BD184</f>
        <v/>
      </c>
    </row>
    <row r="188">
      <c r="A188" s="40" t="inlineStr">
        <is>
          <t>Farmers Market — most you may sell this week</t>
        </is>
      </c>
      <c r="B188" s="2" t="inlineStr">
        <is>
          <t>lb</t>
        </is>
      </c>
      <c r="E188" s="41">
        <f>IF($C$20="Annual",$D$20-0,IF(AND(1&gt;=$E$20,1&lt;=$F$20),$D$20,0))</f>
        <v/>
      </c>
      <c r="F188" s="41">
        <f>IF($C$20="Annual",$D$20-SUM(E190:E190),IF(AND(2&gt;=$E$20,2&lt;=$F$20),$D$20,0))</f>
        <v/>
      </c>
      <c r="G188" s="41">
        <f>IF($C$20="Annual",$D$20-SUM(E190:F190),IF(AND(3&gt;=$E$20,3&lt;=$F$20),$D$20,0))</f>
        <v/>
      </c>
      <c r="H188" s="41">
        <f>IF($C$20="Annual",$D$20-SUM(E190:G190),IF(AND(4&gt;=$E$20,4&lt;=$F$20),$D$20,0))</f>
        <v/>
      </c>
      <c r="I188" s="41">
        <f>IF($C$20="Annual",$D$20-SUM(E190:H190),IF(AND(5&gt;=$E$20,5&lt;=$F$20),$D$20,0))</f>
        <v/>
      </c>
      <c r="J188" s="41">
        <f>IF($C$20="Annual",$D$20-SUM(E190:I190),IF(AND(6&gt;=$E$20,6&lt;=$F$20),$D$20,0))</f>
        <v/>
      </c>
      <c r="K188" s="41">
        <f>IF($C$20="Annual",$D$20-SUM(E190:J190),IF(AND(7&gt;=$E$20,7&lt;=$F$20),$D$20,0))</f>
        <v/>
      </c>
      <c r="L188" s="41">
        <f>IF($C$20="Annual",$D$20-SUM(E190:K190),IF(AND(8&gt;=$E$20,8&lt;=$F$20),$D$20,0))</f>
        <v/>
      </c>
      <c r="M188" s="41">
        <f>IF($C$20="Annual",$D$20-SUM(E190:L190),IF(AND(9&gt;=$E$20,9&lt;=$F$20),$D$20,0))</f>
        <v/>
      </c>
      <c r="N188" s="41">
        <f>IF($C$20="Annual",$D$20-SUM(E190:M190),IF(AND(10&gt;=$E$20,10&lt;=$F$20),$D$20,0))</f>
        <v/>
      </c>
      <c r="O188" s="41">
        <f>IF($C$20="Annual",$D$20-SUM(E190:N190),IF(AND(11&gt;=$E$20,11&lt;=$F$20),$D$20,0))</f>
        <v/>
      </c>
      <c r="P188" s="41">
        <f>IF($C$20="Annual",$D$20-SUM(E190:O190),IF(AND(12&gt;=$E$20,12&lt;=$F$20),$D$20,0))</f>
        <v/>
      </c>
      <c r="Q188" s="41">
        <f>IF($C$20="Annual",$D$20-SUM(E190:P190),IF(AND(13&gt;=$E$20,13&lt;=$F$20),$D$20,0))</f>
        <v/>
      </c>
      <c r="R188" s="41">
        <f>IF($C$20="Annual",$D$20-SUM(E190:Q190),IF(AND(14&gt;=$E$20,14&lt;=$F$20),$D$20,0))</f>
        <v/>
      </c>
      <c r="S188" s="41">
        <f>IF($C$20="Annual",$D$20-SUM(E190:R190),IF(AND(15&gt;=$E$20,15&lt;=$F$20),$D$20,0))</f>
        <v/>
      </c>
      <c r="T188" s="41">
        <f>IF($C$20="Annual",$D$20-SUM(E190:S190),IF(AND(16&gt;=$E$20,16&lt;=$F$20),$D$20,0))</f>
        <v/>
      </c>
      <c r="U188" s="41">
        <f>IF($C$20="Annual",$D$20-SUM(E190:T190),IF(AND(17&gt;=$E$20,17&lt;=$F$20),$D$20,0))</f>
        <v/>
      </c>
      <c r="V188" s="41">
        <f>IF($C$20="Annual",$D$20-SUM(E190:U190),IF(AND(18&gt;=$E$20,18&lt;=$F$20),$D$20,0))</f>
        <v/>
      </c>
      <c r="W188" s="41">
        <f>IF($C$20="Annual",$D$20-SUM(E190:V190),IF(AND(19&gt;=$E$20,19&lt;=$F$20),$D$20,0))</f>
        <v/>
      </c>
      <c r="X188" s="41">
        <f>IF($C$20="Annual",$D$20-SUM(E190:W190),IF(AND(20&gt;=$E$20,20&lt;=$F$20),$D$20,0))</f>
        <v/>
      </c>
      <c r="Y188" s="41">
        <f>IF($C$20="Annual",$D$20-SUM(E190:X190),IF(AND(21&gt;=$E$20,21&lt;=$F$20),$D$20,0))</f>
        <v/>
      </c>
      <c r="Z188" s="41">
        <f>IF($C$20="Annual",$D$20-SUM(E190:Y190),IF(AND(22&gt;=$E$20,22&lt;=$F$20),$D$20,0))</f>
        <v/>
      </c>
      <c r="AA188" s="41">
        <f>IF($C$20="Annual",$D$20-SUM(E190:Z190),IF(AND(23&gt;=$E$20,23&lt;=$F$20),$D$20,0))</f>
        <v/>
      </c>
      <c r="AB188" s="41">
        <f>IF($C$20="Annual",$D$20-SUM(E190:AA190),IF(AND(24&gt;=$E$20,24&lt;=$F$20),$D$20,0))</f>
        <v/>
      </c>
      <c r="AC188" s="41">
        <f>IF($C$20="Annual",$D$20-SUM(E190:AB190),IF(AND(25&gt;=$E$20,25&lt;=$F$20),$D$20,0))</f>
        <v/>
      </c>
      <c r="AD188" s="41">
        <f>IF($C$20="Annual",$D$20-SUM(E190:AC190),IF(AND(26&gt;=$E$20,26&lt;=$F$20),$D$20,0))</f>
        <v/>
      </c>
      <c r="AE188" s="41">
        <f>IF($C$20="Annual",$D$20-SUM(E190:AD190),IF(AND(27&gt;=$E$20,27&lt;=$F$20),$D$20,0))</f>
        <v/>
      </c>
      <c r="AF188" s="41">
        <f>IF($C$20="Annual",$D$20-SUM(E190:AE190),IF(AND(28&gt;=$E$20,28&lt;=$F$20),$D$20,0))</f>
        <v/>
      </c>
      <c r="AG188" s="41">
        <f>IF($C$20="Annual",$D$20-SUM(E190:AF190),IF(AND(29&gt;=$E$20,29&lt;=$F$20),$D$20,0))</f>
        <v/>
      </c>
      <c r="AH188" s="41">
        <f>IF($C$20="Annual",$D$20-SUM(E190:AG190),IF(AND(30&gt;=$E$20,30&lt;=$F$20),$D$20,0))</f>
        <v/>
      </c>
      <c r="AI188" s="41">
        <f>IF($C$20="Annual",$D$20-SUM(E190:AH190),IF(AND(31&gt;=$E$20,31&lt;=$F$20),$D$20,0))</f>
        <v/>
      </c>
      <c r="AJ188" s="41">
        <f>IF($C$20="Annual",$D$20-SUM(E190:AI190),IF(AND(32&gt;=$E$20,32&lt;=$F$20),$D$20,0))</f>
        <v/>
      </c>
      <c r="AK188" s="41">
        <f>IF($C$20="Annual",$D$20-SUM(E190:AJ190),IF(AND(33&gt;=$E$20,33&lt;=$F$20),$D$20,0))</f>
        <v/>
      </c>
      <c r="AL188" s="41">
        <f>IF($C$20="Annual",$D$20-SUM(E190:AK190),IF(AND(34&gt;=$E$20,34&lt;=$F$20),$D$20,0))</f>
        <v/>
      </c>
      <c r="AM188" s="41">
        <f>IF($C$20="Annual",$D$20-SUM(E190:AL190),IF(AND(35&gt;=$E$20,35&lt;=$F$20),$D$20,0))</f>
        <v/>
      </c>
      <c r="AN188" s="41">
        <f>IF($C$20="Annual",$D$20-SUM(E190:AM190),IF(AND(36&gt;=$E$20,36&lt;=$F$20),$D$20,0))</f>
        <v/>
      </c>
      <c r="AO188" s="41">
        <f>IF($C$20="Annual",$D$20-SUM(E190:AN190),IF(AND(37&gt;=$E$20,37&lt;=$F$20),$D$20,0))</f>
        <v/>
      </c>
      <c r="AP188" s="41">
        <f>IF($C$20="Annual",$D$20-SUM(E190:AO190),IF(AND(38&gt;=$E$20,38&lt;=$F$20),$D$20,0))</f>
        <v/>
      </c>
      <c r="AQ188" s="41">
        <f>IF($C$20="Annual",$D$20-SUM(E190:AP190),IF(AND(39&gt;=$E$20,39&lt;=$F$20),$D$20,0))</f>
        <v/>
      </c>
      <c r="AR188" s="41">
        <f>IF($C$20="Annual",$D$20-SUM(E190:AQ190),IF(AND(40&gt;=$E$20,40&lt;=$F$20),$D$20,0))</f>
        <v/>
      </c>
      <c r="AS188" s="41">
        <f>IF($C$20="Annual",$D$20-SUM(E190:AR190),IF(AND(41&gt;=$E$20,41&lt;=$F$20),$D$20,0))</f>
        <v/>
      </c>
      <c r="AT188" s="41">
        <f>IF($C$20="Annual",$D$20-SUM(E190:AS190),IF(AND(42&gt;=$E$20,42&lt;=$F$20),$D$20,0))</f>
        <v/>
      </c>
      <c r="AU188" s="41">
        <f>IF($C$20="Annual",$D$20-SUM(E190:AT190),IF(AND(43&gt;=$E$20,43&lt;=$F$20),$D$20,0))</f>
        <v/>
      </c>
      <c r="AV188" s="41">
        <f>IF($C$20="Annual",$D$20-SUM(E190:AU190),IF(AND(44&gt;=$E$20,44&lt;=$F$20),$D$20,0))</f>
        <v/>
      </c>
      <c r="AW188" s="41">
        <f>IF($C$20="Annual",$D$20-SUM(E190:AV190),IF(AND(45&gt;=$E$20,45&lt;=$F$20),$D$20,0))</f>
        <v/>
      </c>
      <c r="AX188" s="41">
        <f>IF($C$20="Annual",$D$20-SUM(E190:AW190),IF(AND(46&gt;=$E$20,46&lt;=$F$20),$D$20,0))</f>
        <v/>
      </c>
      <c r="AY188" s="41">
        <f>IF($C$20="Annual",$D$20-SUM(E190:AX190),IF(AND(47&gt;=$E$20,47&lt;=$F$20),$D$20,0))</f>
        <v/>
      </c>
      <c r="AZ188" s="41">
        <f>IF($C$20="Annual",$D$20-SUM(E190:AY190),IF(AND(48&gt;=$E$20,48&lt;=$F$20),$D$20,0))</f>
        <v/>
      </c>
      <c r="BA188" s="41">
        <f>IF($C$20="Annual",$D$20-SUM(E190:AZ190),IF(AND(49&gt;=$E$20,49&lt;=$F$20),$D$20,0))</f>
        <v/>
      </c>
      <c r="BB188" s="41">
        <f>IF($C$20="Annual",$D$20-SUM(E190:BA190),IF(AND(50&gt;=$E$20,50&lt;=$F$20),$D$20,0))</f>
        <v/>
      </c>
      <c r="BC188" s="41">
        <f>IF($C$20="Annual",$D$20-SUM(E190:BB190),IF(AND(51&gt;=$E$20,51&lt;=$F$20),$D$20,0))</f>
        <v/>
      </c>
      <c r="BD188" s="41">
        <f>IF($C$20="Annual",$D$20-SUM(E190:BC190),IF(AND(52&gt;=$E$20,52&lt;=$F$20),$D$20,0))</f>
        <v/>
      </c>
    </row>
    <row r="189">
      <c r="A189" s="23" t="inlineStr">
        <is>
          <t>Farmers Market — OFFERED</t>
        </is>
      </c>
      <c r="B189" s="2" t="inlineStr">
        <is>
          <t>lb  &lt;-- SOLVER</t>
        </is>
      </c>
      <c r="E189" s="38" t="n">
        <v>0</v>
      </c>
      <c r="F189" s="38" t="n">
        <v>0</v>
      </c>
      <c r="G189" s="38" t="n">
        <v>0</v>
      </c>
      <c r="H189" s="38" t="n">
        <v>0</v>
      </c>
      <c r="I189" s="38" t="n">
        <v>0</v>
      </c>
      <c r="J189" s="38" t="n">
        <v>0</v>
      </c>
      <c r="K189" s="38" t="n">
        <v>0</v>
      </c>
      <c r="L189" s="38" t="n">
        <v>0</v>
      </c>
      <c r="M189" s="38" t="n">
        <v>0</v>
      </c>
      <c r="N189" s="38" t="n">
        <v>0</v>
      </c>
      <c r="O189" s="38" t="n">
        <v>0</v>
      </c>
      <c r="P189" s="38" t="n">
        <v>0</v>
      </c>
      <c r="Q189" s="38" t="n">
        <v>0</v>
      </c>
      <c r="R189" s="38" t="n">
        <v>0</v>
      </c>
      <c r="S189" s="38" t="n">
        <v>0</v>
      </c>
      <c r="T189" s="38" t="n">
        <v>0</v>
      </c>
      <c r="U189" s="38" t="n">
        <v>0</v>
      </c>
      <c r="V189" s="38" t="n">
        <v>0</v>
      </c>
      <c r="W189" s="38" t="n">
        <v>0</v>
      </c>
      <c r="X189" s="38" t="n">
        <v>0</v>
      </c>
      <c r="Y189" s="38" t="n">
        <v>0</v>
      </c>
      <c r="Z189" s="38" t="n">
        <v>0</v>
      </c>
      <c r="AA189" s="38" t="n">
        <v>0</v>
      </c>
      <c r="AB189" s="38" t="n">
        <v>0</v>
      </c>
      <c r="AC189" s="38" t="n">
        <v>0</v>
      </c>
      <c r="AD189" s="38" t="n">
        <v>0</v>
      </c>
      <c r="AE189" s="38" t="n">
        <v>0</v>
      </c>
      <c r="AF189" s="38" t="n">
        <v>0</v>
      </c>
      <c r="AG189" s="38" t="n">
        <v>0</v>
      </c>
      <c r="AH189" s="38" t="n">
        <v>0</v>
      </c>
      <c r="AI189" s="38" t="n">
        <v>0</v>
      </c>
      <c r="AJ189" s="38" t="n">
        <v>0</v>
      </c>
      <c r="AK189" s="38" t="n">
        <v>0</v>
      </c>
      <c r="AL189" s="38" t="n">
        <v>0</v>
      </c>
      <c r="AM189" s="38" t="n">
        <v>0</v>
      </c>
      <c r="AN189" s="38" t="n">
        <v>0</v>
      </c>
      <c r="AO189" s="38" t="n">
        <v>0</v>
      </c>
      <c r="AP189" s="38" t="n">
        <v>0</v>
      </c>
      <c r="AQ189" s="38" t="n">
        <v>0</v>
      </c>
      <c r="AR189" s="38" t="n">
        <v>0</v>
      </c>
      <c r="AS189" s="38" t="n">
        <v>0</v>
      </c>
      <c r="AT189" s="38" t="n">
        <v>0</v>
      </c>
      <c r="AU189" s="38" t="n">
        <v>0</v>
      </c>
      <c r="AV189" s="38" t="n">
        <v>0</v>
      </c>
      <c r="AW189" s="38" t="n">
        <v>0</v>
      </c>
      <c r="AX189" s="38" t="n">
        <v>0</v>
      </c>
      <c r="AY189" s="38" t="n">
        <v>0</v>
      </c>
      <c r="AZ189" s="38" t="n">
        <v>0</v>
      </c>
      <c r="BA189" s="38" t="n">
        <v>0</v>
      </c>
      <c r="BB189" s="38" t="n">
        <v>0</v>
      </c>
      <c r="BC189" s="38" t="n">
        <v>0</v>
      </c>
      <c r="BD189" s="38" t="n">
        <v>0</v>
      </c>
    </row>
    <row r="190">
      <c r="A190" s="42" t="inlineStr">
        <is>
          <t>Farmers Market — SOLD</t>
        </is>
      </c>
      <c r="B190" s="2" t="inlineStr">
        <is>
          <t>lb</t>
        </is>
      </c>
      <c r="E190" s="41">
        <f>E189*$G$20</f>
        <v/>
      </c>
      <c r="F190" s="41">
        <f>F189*$G$20</f>
        <v/>
      </c>
      <c r="G190" s="41">
        <f>G189*$G$20</f>
        <v/>
      </c>
      <c r="H190" s="41">
        <f>H189*$G$20</f>
        <v/>
      </c>
      <c r="I190" s="41">
        <f>I189*$G$20</f>
        <v/>
      </c>
      <c r="J190" s="41">
        <f>J189*$G$20</f>
        <v/>
      </c>
      <c r="K190" s="41">
        <f>K189*$G$20</f>
        <v/>
      </c>
      <c r="L190" s="41">
        <f>L189*$G$20</f>
        <v/>
      </c>
      <c r="M190" s="41">
        <f>M189*$G$20</f>
        <v/>
      </c>
      <c r="N190" s="41">
        <f>N189*$G$20</f>
        <v/>
      </c>
      <c r="O190" s="41">
        <f>O189*$G$20</f>
        <v/>
      </c>
      <c r="P190" s="41">
        <f>P189*$G$20</f>
        <v/>
      </c>
      <c r="Q190" s="41">
        <f>Q189*$G$20</f>
        <v/>
      </c>
      <c r="R190" s="41">
        <f>R189*$G$20</f>
        <v/>
      </c>
      <c r="S190" s="41">
        <f>S189*$G$20</f>
        <v/>
      </c>
      <c r="T190" s="41">
        <f>T189*$G$20</f>
        <v/>
      </c>
      <c r="U190" s="41">
        <f>U189*$G$20</f>
        <v/>
      </c>
      <c r="V190" s="41">
        <f>V189*$G$20</f>
        <v/>
      </c>
      <c r="W190" s="41">
        <f>W189*$G$20</f>
        <v/>
      </c>
      <c r="X190" s="41">
        <f>X189*$G$20</f>
        <v/>
      </c>
      <c r="Y190" s="41">
        <f>Y189*$G$20</f>
        <v/>
      </c>
      <c r="Z190" s="41">
        <f>Z189*$G$20</f>
        <v/>
      </c>
      <c r="AA190" s="41">
        <f>AA189*$G$20</f>
        <v/>
      </c>
      <c r="AB190" s="41">
        <f>AB189*$G$20</f>
        <v/>
      </c>
      <c r="AC190" s="41">
        <f>AC189*$G$20</f>
        <v/>
      </c>
      <c r="AD190" s="41">
        <f>AD189*$G$20</f>
        <v/>
      </c>
      <c r="AE190" s="41">
        <f>AE189*$G$20</f>
        <v/>
      </c>
      <c r="AF190" s="41">
        <f>AF189*$G$20</f>
        <v/>
      </c>
      <c r="AG190" s="41">
        <f>AG189*$G$20</f>
        <v/>
      </c>
      <c r="AH190" s="41">
        <f>AH189*$G$20</f>
        <v/>
      </c>
      <c r="AI190" s="41">
        <f>AI189*$G$20</f>
        <v/>
      </c>
      <c r="AJ190" s="41">
        <f>AJ189*$G$20</f>
        <v/>
      </c>
      <c r="AK190" s="41">
        <f>AK189*$G$20</f>
        <v/>
      </c>
      <c r="AL190" s="41">
        <f>AL189*$G$20</f>
        <v/>
      </c>
      <c r="AM190" s="41">
        <f>AM189*$G$20</f>
        <v/>
      </c>
      <c r="AN190" s="41">
        <f>AN189*$G$20</f>
        <v/>
      </c>
      <c r="AO190" s="41">
        <f>AO189*$G$20</f>
        <v/>
      </c>
      <c r="AP190" s="41">
        <f>AP189*$G$20</f>
        <v/>
      </c>
      <c r="AQ190" s="41">
        <f>AQ189*$G$20</f>
        <v/>
      </c>
      <c r="AR190" s="41">
        <f>AR189*$G$20</f>
        <v/>
      </c>
      <c r="AS190" s="41">
        <f>AS189*$G$20</f>
        <v/>
      </c>
      <c r="AT190" s="41">
        <f>AT189*$G$20</f>
        <v/>
      </c>
      <c r="AU190" s="41">
        <f>AU189*$G$20</f>
        <v/>
      </c>
      <c r="AV190" s="41">
        <f>AV189*$G$20</f>
        <v/>
      </c>
      <c r="AW190" s="41">
        <f>AW189*$G$20</f>
        <v/>
      </c>
      <c r="AX190" s="41">
        <f>AX189*$G$20</f>
        <v/>
      </c>
      <c r="AY190" s="41">
        <f>AY189*$G$20</f>
        <v/>
      </c>
      <c r="AZ190" s="41">
        <f>AZ189*$G$20</f>
        <v/>
      </c>
      <c r="BA190" s="41">
        <f>BA189*$G$20</f>
        <v/>
      </c>
      <c r="BB190" s="41">
        <f>BB189*$G$20</f>
        <v/>
      </c>
      <c r="BC190" s="41">
        <f>BC189*$G$20</f>
        <v/>
      </c>
      <c r="BD190" s="41">
        <f>BD189*$G$20</f>
        <v/>
      </c>
    </row>
    <row r="191">
      <c r="A191" s="27" t="inlineStr">
        <is>
          <t xml:space="preserve">   market loss (gone)</t>
        </is>
      </c>
      <c r="B191" s="2" t="inlineStr">
        <is>
          <t>lb</t>
        </is>
      </c>
      <c r="E191" s="36">
        <f>(E189-E190)*(1-$H$20)</f>
        <v/>
      </c>
      <c r="F191" s="36">
        <f>(F189-F190)*(1-$H$20)</f>
        <v/>
      </c>
      <c r="G191" s="36">
        <f>(G189-G190)*(1-$H$20)</f>
        <v/>
      </c>
      <c r="H191" s="36">
        <f>(H189-H190)*(1-$H$20)</f>
        <v/>
      </c>
      <c r="I191" s="36">
        <f>(I189-I190)*(1-$H$20)</f>
        <v/>
      </c>
      <c r="J191" s="36">
        <f>(J189-J190)*(1-$H$20)</f>
        <v/>
      </c>
      <c r="K191" s="36">
        <f>(K189-K190)*(1-$H$20)</f>
        <v/>
      </c>
      <c r="L191" s="36">
        <f>(L189-L190)*(1-$H$20)</f>
        <v/>
      </c>
      <c r="M191" s="36">
        <f>(M189-M190)*(1-$H$20)</f>
        <v/>
      </c>
      <c r="N191" s="36">
        <f>(N189-N190)*(1-$H$20)</f>
        <v/>
      </c>
      <c r="O191" s="36">
        <f>(O189-O190)*(1-$H$20)</f>
        <v/>
      </c>
      <c r="P191" s="36">
        <f>(P189-P190)*(1-$H$20)</f>
        <v/>
      </c>
      <c r="Q191" s="36">
        <f>(Q189-Q190)*(1-$H$20)</f>
        <v/>
      </c>
      <c r="R191" s="36">
        <f>(R189-R190)*(1-$H$20)</f>
        <v/>
      </c>
      <c r="S191" s="36">
        <f>(S189-S190)*(1-$H$20)</f>
        <v/>
      </c>
      <c r="T191" s="36">
        <f>(T189-T190)*(1-$H$20)</f>
        <v/>
      </c>
      <c r="U191" s="36">
        <f>(U189-U190)*(1-$H$20)</f>
        <v/>
      </c>
      <c r="V191" s="36">
        <f>(V189-V190)*(1-$H$20)</f>
        <v/>
      </c>
      <c r="W191" s="36">
        <f>(W189-W190)*(1-$H$20)</f>
        <v/>
      </c>
      <c r="X191" s="36">
        <f>(X189-X190)*(1-$H$20)</f>
        <v/>
      </c>
      <c r="Y191" s="36">
        <f>(Y189-Y190)*(1-$H$20)</f>
        <v/>
      </c>
      <c r="Z191" s="36">
        <f>(Z189-Z190)*(1-$H$20)</f>
        <v/>
      </c>
      <c r="AA191" s="36">
        <f>(AA189-AA190)*(1-$H$20)</f>
        <v/>
      </c>
      <c r="AB191" s="36">
        <f>(AB189-AB190)*(1-$H$20)</f>
        <v/>
      </c>
      <c r="AC191" s="36">
        <f>(AC189-AC190)*(1-$H$20)</f>
        <v/>
      </c>
      <c r="AD191" s="36">
        <f>(AD189-AD190)*(1-$H$20)</f>
        <v/>
      </c>
      <c r="AE191" s="36">
        <f>(AE189-AE190)*(1-$H$20)</f>
        <v/>
      </c>
      <c r="AF191" s="36">
        <f>(AF189-AF190)*(1-$H$20)</f>
        <v/>
      </c>
      <c r="AG191" s="36">
        <f>(AG189-AG190)*(1-$H$20)</f>
        <v/>
      </c>
      <c r="AH191" s="36">
        <f>(AH189-AH190)*(1-$H$20)</f>
        <v/>
      </c>
      <c r="AI191" s="36">
        <f>(AI189-AI190)*(1-$H$20)</f>
        <v/>
      </c>
      <c r="AJ191" s="36">
        <f>(AJ189-AJ190)*(1-$H$20)</f>
        <v/>
      </c>
      <c r="AK191" s="36">
        <f>(AK189-AK190)*(1-$H$20)</f>
        <v/>
      </c>
      <c r="AL191" s="36">
        <f>(AL189-AL190)*(1-$H$20)</f>
        <v/>
      </c>
      <c r="AM191" s="36">
        <f>(AM189-AM190)*(1-$H$20)</f>
        <v/>
      </c>
      <c r="AN191" s="36">
        <f>(AN189-AN190)*(1-$H$20)</f>
        <v/>
      </c>
      <c r="AO191" s="36">
        <f>(AO189-AO190)*(1-$H$20)</f>
        <v/>
      </c>
      <c r="AP191" s="36">
        <f>(AP189-AP190)*(1-$H$20)</f>
        <v/>
      </c>
      <c r="AQ191" s="36">
        <f>(AQ189-AQ190)*(1-$H$20)</f>
        <v/>
      </c>
      <c r="AR191" s="36">
        <f>(AR189-AR190)*(1-$H$20)</f>
        <v/>
      </c>
      <c r="AS191" s="36">
        <f>(AS189-AS190)*(1-$H$20)</f>
        <v/>
      </c>
      <c r="AT191" s="36">
        <f>(AT189-AT190)*(1-$H$20)</f>
        <v/>
      </c>
      <c r="AU191" s="36">
        <f>(AU189-AU190)*(1-$H$20)</f>
        <v/>
      </c>
      <c r="AV191" s="36">
        <f>(AV189-AV190)*(1-$H$20)</f>
        <v/>
      </c>
      <c r="AW191" s="36">
        <f>(AW189-AW190)*(1-$H$20)</f>
        <v/>
      </c>
      <c r="AX191" s="36">
        <f>(AX189-AX190)*(1-$H$20)</f>
        <v/>
      </c>
      <c r="AY191" s="36">
        <f>(AY189-AY190)*(1-$H$20)</f>
        <v/>
      </c>
      <c r="AZ191" s="36">
        <f>(AZ189-AZ190)*(1-$H$20)</f>
        <v/>
      </c>
      <c r="BA191" s="36">
        <f>(BA189-BA190)*(1-$H$20)</f>
        <v/>
      </c>
      <c r="BB191" s="36">
        <f>(BB189-BB190)*(1-$H$20)</f>
        <v/>
      </c>
      <c r="BC191" s="36">
        <f>(BC189-BC190)*(1-$H$20)</f>
        <v/>
      </c>
      <c r="BD191" s="36">
        <f>(BD189-BD190)*(1-$H$20)</f>
        <v/>
      </c>
    </row>
    <row r="192">
      <c r="A192" s="27" t="inlineStr">
        <is>
          <t xml:space="preserve">   returned to store</t>
        </is>
      </c>
      <c r="B192" s="2" t="inlineStr">
        <is>
          <t>lb</t>
        </is>
      </c>
      <c r="E192" s="36">
        <f>(E189-E190)*$H$20</f>
        <v/>
      </c>
      <c r="F192" s="36">
        <f>(F189-F190)*$H$20</f>
        <v/>
      </c>
      <c r="G192" s="36">
        <f>(G189-G190)*$H$20</f>
        <v/>
      </c>
      <c r="H192" s="36">
        <f>(H189-H190)*$H$20</f>
        <v/>
      </c>
      <c r="I192" s="36">
        <f>(I189-I190)*$H$20</f>
        <v/>
      </c>
      <c r="J192" s="36">
        <f>(J189-J190)*$H$20</f>
        <v/>
      </c>
      <c r="K192" s="36">
        <f>(K189-K190)*$H$20</f>
        <v/>
      </c>
      <c r="L192" s="36">
        <f>(L189-L190)*$H$20</f>
        <v/>
      </c>
      <c r="M192" s="36">
        <f>(M189-M190)*$H$20</f>
        <v/>
      </c>
      <c r="N192" s="36">
        <f>(N189-N190)*$H$20</f>
        <v/>
      </c>
      <c r="O192" s="36">
        <f>(O189-O190)*$H$20</f>
        <v/>
      </c>
      <c r="P192" s="36">
        <f>(P189-P190)*$H$20</f>
        <v/>
      </c>
      <c r="Q192" s="36">
        <f>(Q189-Q190)*$H$20</f>
        <v/>
      </c>
      <c r="R192" s="36">
        <f>(R189-R190)*$H$20</f>
        <v/>
      </c>
      <c r="S192" s="36">
        <f>(S189-S190)*$H$20</f>
        <v/>
      </c>
      <c r="T192" s="36">
        <f>(T189-T190)*$H$20</f>
        <v/>
      </c>
      <c r="U192" s="36">
        <f>(U189-U190)*$H$20</f>
        <v/>
      </c>
      <c r="V192" s="36">
        <f>(V189-V190)*$H$20</f>
        <v/>
      </c>
      <c r="W192" s="36">
        <f>(W189-W190)*$H$20</f>
        <v/>
      </c>
      <c r="X192" s="36">
        <f>(X189-X190)*$H$20</f>
        <v/>
      </c>
      <c r="Y192" s="36">
        <f>(Y189-Y190)*$H$20</f>
        <v/>
      </c>
      <c r="Z192" s="36">
        <f>(Z189-Z190)*$H$20</f>
        <v/>
      </c>
      <c r="AA192" s="36">
        <f>(AA189-AA190)*$H$20</f>
        <v/>
      </c>
      <c r="AB192" s="36">
        <f>(AB189-AB190)*$H$20</f>
        <v/>
      </c>
      <c r="AC192" s="36">
        <f>(AC189-AC190)*$H$20</f>
        <v/>
      </c>
      <c r="AD192" s="36">
        <f>(AD189-AD190)*$H$20</f>
        <v/>
      </c>
      <c r="AE192" s="36">
        <f>(AE189-AE190)*$H$20</f>
        <v/>
      </c>
      <c r="AF192" s="36">
        <f>(AF189-AF190)*$H$20</f>
        <v/>
      </c>
      <c r="AG192" s="36">
        <f>(AG189-AG190)*$H$20</f>
        <v/>
      </c>
      <c r="AH192" s="36">
        <f>(AH189-AH190)*$H$20</f>
        <v/>
      </c>
      <c r="AI192" s="36">
        <f>(AI189-AI190)*$H$20</f>
        <v/>
      </c>
      <c r="AJ192" s="36">
        <f>(AJ189-AJ190)*$H$20</f>
        <v/>
      </c>
      <c r="AK192" s="36">
        <f>(AK189-AK190)*$H$20</f>
        <v/>
      </c>
      <c r="AL192" s="36">
        <f>(AL189-AL190)*$H$20</f>
        <v/>
      </c>
      <c r="AM192" s="36">
        <f>(AM189-AM190)*$H$20</f>
        <v/>
      </c>
      <c r="AN192" s="36">
        <f>(AN189-AN190)*$H$20</f>
        <v/>
      </c>
      <c r="AO192" s="36">
        <f>(AO189-AO190)*$H$20</f>
        <v/>
      </c>
      <c r="AP192" s="36">
        <f>(AP189-AP190)*$H$20</f>
        <v/>
      </c>
      <c r="AQ192" s="36">
        <f>(AQ189-AQ190)*$H$20</f>
        <v/>
      </c>
      <c r="AR192" s="36">
        <f>(AR189-AR190)*$H$20</f>
        <v/>
      </c>
      <c r="AS192" s="36">
        <f>(AS189-AS190)*$H$20</f>
        <v/>
      </c>
      <c r="AT192" s="36">
        <f>(AT189-AT190)*$H$20</f>
        <v/>
      </c>
      <c r="AU192" s="36">
        <f>(AU189-AU190)*$H$20</f>
        <v/>
      </c>
      <c r="AV192" s="36">
        <f>(AV189-AV190)*$H$20</f>
        <v/>
      </c>
      <c r="AW192" s="36">
        <f>(AW189-AW190)*$H$20</f>
        <v/>
      </c>
      <c r="AX192" s="36">
        <f>(AX189-AX190)*$H$20</f>
        <v/>
      </c>
      <c r="AY192" s="36">
        <f>(AY189-AY190)*$H$20</f>
        <v/>
      </c>
      <c r="AZ192" s="36">
        <f>(AZ189-AZ190)*$H$20</f>
        <v/>
      </c>
      <c r="BA192" s="36">
        <f>(BA189-BA190)*$H$20</f>
        <v/>
      </c>
      <c r="BB192" s="36">
        <f>(BB189-BB190)*$H$20</f>
        <v/>
      </c>
      <c r="BC192" s="36">
        <f>(BC189-BC190)*$H$20</f>
        <v/>
      </c>
      <c r="BD192" s="36">
        <f>(BD189-BD190)*$H$20</f>
        <v/>
      </c>
    </row>
    <row r="193">
      <c r="A193" s="27" t="inlineStr">
        <is>
          <t xml:space="preserve">   leaves the store (offered - returned)</t>
        </is>
      </c>
      <c r="B193" s="2" t="inlineStr">
        <is>
          <t>lb</t>
        </is>
      </c>
      <c r="E193" s="36">
        <f>E189-E192</f>
        <v/>
      </c>
      <c r="F193" s="36">
        <f>F189-F192</f>
        <v/>
      </c>
      <c r="G193" s="36">
        <f>G189-G192</f>
        <v/>
      </c>
      <c r="H193" s="36">
        <f>H189-H192</f>
        <v/>
      </c>
      <c r="I193" s="36">
        <f>I189-I192</f>
        <v/>
      </c>
      <c r="J193" s="36">
        <f>J189-J192</f>
        <v/>
      </c>
      <c r="K193" s="36">
        <f>K189-K192</f>
        <v/>
      </c>
      <c r="L193" s="36">
        <f>L189-L192</f>
        <v/>
      </c>
      <c r="M193" s="36">
        <f>M189-M192</f>
        <v/>
      </c>
      <c r="N193" s="36">
        <f>N189-N192</f>
        <v/>
      </c>
      <c r="O193" s="36">
        <f>O189-O192</f>
        <v/>
      </c>
      <c r="P193" s="36">
        <f>P189-P192</f>
        <v/>
      </c>
      <c r="Q193" s="36">
        <f>Q189-Q192</f>
        <v/>
      </c>
      <c r="R193" s="36">
        <f>R189-R192</f>
        <v/>
      </c>
      <c r="S193" s="36">
        <f>S189-S192</f>
        <v/>
      </c>
      <c r="T193" s="36">
        <f>T189-T192</f>
        <v/>
      </c>
      <c r="U193" s="36">
        <f>U189-U192</f>
        <v/>
      </c>
      <c r="V193" s="36">
        <f>V189-V192</f>
        <v/>
      </c>
      <c r="W193" s="36">
        <f>W189-W192</f>
        <v/>
      </c>
      <c r="X193" s="36">
        <f>X189-X192</f>
        <v/>
      </c>
      <c r="Y193" s="36">
        <f>Y189-Y192</f>
        <v/>
      </c>
      <c r="Z193" s="36">
        <f>Z189-Z192</f>
        <v/>
      </c>
      <c r="AA193" s="36">
        <f>AA189-AA192</f>
        <v/>
      </c>
      <c r="AB193" s="36">
        <f>AB189-AB192</f>
        <v/>
      </c>
      <c r="AC193" s="36">
        <f>AC189-AC192</f>
        <v/>
      </c>
      <c r="AD193" s="36">
        <f>AD189-AD192</f>
        <v/>
      </c>
      <c r="AE193" s="36">
        <f>AE189-AE192</f>
        <v/>
      </c>
      <c r="AF193" s="36">
        <f>AF189-AF192</f>
        <v/>
      </c>
      <c r="AG193" s="36">
        <f>AG189-AG192</f>
        <v/>
      </c>
      <c r="AH193" s="36">
        <f>AH189-AH192</f>
        <v/>
      </c>
      <c r="AI193" s="36">
        <f>AI189-AI192</f>
        <v/>
      </c>
      <c r="AJ193" s="36">
        <f>AJ189-AJ192</f>
        <v/>
      </c>
      <c r="AK193" s="36">
        <f>AK189-AK192</f>
        <v/>
      </c>
      <c r="AL193" s="36">
        <f>AL189-AL192</f>
        <v/>
      </c>
      <c r="AM193" s="36">
        <f>AM189-AM192</f>
        <v/>
      </c>
      <c r="AN193" s="36">
        <f>AN189-AN192</f>
        <v/>
      </c>
      <c r="AO193" s="36">
        <f>AO189-AO192</f>
        <v/>
      </c>
      <c r="AP193" s="36">
        <f>AP189-AP192</f>
        <v/>
      </c>
      <c r="AQ193" s="36">
        <f>AQ189-AQ192</f>
        <v/>
      </c>
      <c r="AR193" s="36">
        <f>AR189-AR192</f>
        <v/>
      </c>
      <c r="AS193" s="36">
        <f>AS189-AS192</f>
        <v/>
      </c>
      <c r="AT193" s="36">
        <f>AT189-AT192</f>
        <v/>
      </c>
      <c r="AU193" s="36">
        <f>AU189-AU192</f>
        <v/>
      </c>
      <c r="AV193" s="36">
        <f>AV189-AV192</f>
        <v/>
      </c>
      <c r="AW193" s="36">
        <f>AW189-AW192</f>
        <v/>
      </c>
      <c r="AX193" s="36">
        <f>AX189-AX192</f>
        <v/>
      </c>
      <c r="AY193" s="36">
        <f>AY189-AY192</f>
        <v/>
      </c>
      <c r="AZ193" s="36">
        <f>AZ189-AZ192</f>
        <v/>
      </c>
      <c r="BA193" s="36">
        <f>BA189-BA192</f>
        <v/>
      </c>
      <c r="BB193" s="36">
        <f>BB189-BB192</f>
        <v/>
      </c>
      <c r="BC193" s="36">
        <f>BC189-BC192</f>
        <v/>
      </c>
      <c r="BD193" s="36">
        <f>BD189-BD192</f>
        <v/>
      </c>
    </row>
    <row r="194">
      <c r="A194" s="47" t="inlineStr">
        <is>
          <t>Wholesale — most you may sell this week</t>
        </is>
      </c>
      <c r="B194" s="2" t="inlineStr">
        <is>
          <t>lb</t>
        </is>
      </c>
      <c r="E194" s="48">
        <f>IF($C$21="Annual",$D$21-0,IF(AND(1&gt;=$E$21,1&lt;=$F$21),$D$21,0))</f>
        <v/>
      </c>
      <c r="F194" s="48">
        <f>IF($C$21="Annual",$D$21-SUM(E198:E198),IF(AND(2&gt;=$E$21,2&lt;=$F$21),$D$21,0))</f>
        <v/>
      </c>
      <c r="G194" s="48">
        <f>IF($C$21="Annual",$D$21-SUM(E198:F198),IF(AND(3&gt;=$E$21,3&lt;=$F$21),$D$21,0))</f>
        <v/>
      </c>
      <c r="H194" s="48">
        <f>IF($C$21="Annual",$D$21-SUM(E198:G198),IF(AND(4&gt;=$E$21,4&lt;=$F$21),$D$21,0))</f>
        <v/>
      </c>
      <c r="I194" s="48">
        <f>IF($C$21="Annual",$D$21-SUM(E198:H198),IF(AND(5&gt;=$E$21,5&lt;=$F$21),$D$21,0))</f>
        <v/>
      </c>
      <c r="J194" s="48">
        <f>IF($C$21="Annual",$D$21-SUM(E198:I198),IF(AND(6&gt;=$E$21,6&lt;=$F$21),$D$21,0))</f>
        <v/>
      </c>
      <c r="K194" s="48">
        <f>IF($C$21="Annual",$D$21-SUM(E198:J198),IF(AND(7&gt;=$E$21,7&lt;=$F$21),$D$21,0))</f>
        <v/>
      </c>
      <c r="L194" s="48">
        <f>IF($C$21="Annual",$D$21-SUM(E198:K198),IF(AND(8&gt;=$E$21,8&lt;=$F$21),$D$21,0))</f>
        <v/>
      </c>
      <c r="M194" s="48">
        <f>IF($C$21="Annual",$D$21-SUM(E198:L198),IF(AND(9&gt;=$E$21,9&lt;=$F$21),$D$21,0))</f>
        <v/>
      </c>
      <c r="N194" s="48">
        <f>IF($C$21="Annual",$D$21-SUM(E198:M198),IF(AND(10&gt;=$E$21,10&lt;=$F$21),$D$21,0))</f>
        <v/>
      </c>
      <c r="O194" s="48">
        <f>IF($C$21="Annual",$D$21-SUM(E198:N198),IF(AND(11&gt;=$E$21,11&lt;=$F$21),$D$21,0))</f>
        <v/>
      </c>
      <c r="P194" s="48">
        <f>IF($C$21="Annual",$D$21-SUM(E198:O198),IF(AND(12&gt;=$E$21,12&lt;=$F$21),$D$21,0))</f>
        <v/>
      </c>
      <c r="Q194" s="48">
        <f>IF($C$21="Annual",$D$21-SUM(E198:P198),IF(AND(13&gt;=$E$21,13&lt;=$F$21),$D$21,0))</f>
        <v/>
      </c>
      <c r="R194" s="48">
        <f>IF($C$21="Annual",$D$21-SUM(E198:Q198),IF(AND(14&gt;=$E$21,14&lt;=$F$21),$D$21,0))</f>
        <v/>
      </c>
      <c r="S194" s="48">
        <f>IF($C$21="Annual",$D$21-SUM(E198:R198),IF(AND(15&gt;=$E$21,15&lt;=$F$21),$D$21,0))</f>
        <v/>
      </c>
      <c r="T194" s="48">
        <f>IF($C$21="Annual",$D$21-SUM(E198:S198),IF(AND(16&gt;=$E$21,16&lt;=$F$21),$D$21,0))</f>
        <v/>
      </c>
      <c r="U194" s="48">
        <f>IF($C$21="Annual",$D$21-SUM(E198:T198),IF(AND(17&gt;=$E$21,17&lt;=$F$21),$D$21,0))</f>
        <v/>
      </c>
      <c r="V194" s="48">
        <f>IF($C$21="Annual",$D$21-SUM(E198:U198),IF(AND(18&gt;=$E$21,18&lt;=$F$21),$D$21,0))</f>
        <v/>
      </c>
      <c r="W194" s="48">
        <f>IF($C$21="Annual",$D$21-SUM(E198:V198),IF(AND(19&gt;=$E$21,19&lt;=$F$21),$D$21,0))</f>
        <v/>
      </c>
      <c r="X194" s="48">
        <f>IF($C$21="Annual",$D$21-SUM(E198:W198),IF(AND(20&gt;=$E$21,20&lt;=$F$21),$D$21,0))</f>
        <v/>
      </c>
      <c r="Y194" s="48">
        <f>IF($C$21="Annual",$D$21-SUM(E198:X198),IF(AND(21&gt;=$E$21,21&lt;=$F$21),$D$21,0))</f>
        <v/>
      </c>
      <c r="Z194" s="48">
        <f>IF($C$21="Annual",$D$21-SUM(E198:Y198),IF(AND(22&gt;=$E$21,22&lt;=$F$21),$D$21,0))</f>
        <v/>
      </c>
      <c r="AA194" s="48">
        <f>IF($C$21="Annual",$D$21-SUM(E198:Z198),IF(AND(23&gt;=$E$21,23&lt;=$F$21),$D$21,0))</f>
        <v/>
      </c>
      <c r="AB194" s="48">
        <f>IF($C$21="Annual",$D$21-SUM(E198:AA198),IF(AND(24&gt;=$E$21,24&lt;=$F$21),$D$21,0))</f>
        <v/>
      </c>
      <c r="AC194" s="48">
        <f>IF($C$21="Annual",$D$21-SUM(E198:AB198),IF(AND(25&gt;=$E$21,25&lt;=$F$21),$D$21,0))</f>
        <v/>
      </c>
      <c r="AD194" s="48">
        <f>IF($C$21="Annual",$D$21-SUM(E198:AC198),IF(AND(26&gt;=$E$21,26&lt;=$F$21),$D$21,0))</f>
        <v/>
      </c>
      <c r="AE194" s="48">
        <f>IF($C$21="Annual",$D$21-SUM(E198:AD198),IF(AND(27&gt;=$E$21,27&lt;=$F$21),$D$21,0))</f>
        <v/>
      </c>
      <c r="AF194" s="48">
        <f>IF($C$21="Annual",$D$21-SUM(E198:AE198),IF(AND(28&gt;=$E$21,28&lt;=$F$21),$D$21,0))</f>
        <v/>
      </c>
      <c r="AG194" s="48">
        <f>IF($C$21="Annual",$D$21-SUM(E198:AF198),IF(AND(29&gt;=$E$21,29&lt;=$F$21),$D$21,0))</f>
        <v/>
      </c>
      <c r="AH194" s="48">
        <f>IF($C$21="Annual",$D$21-SUM(E198:AG198),IF(AND(30&gt;=$E$21,30&lt;=$F$21),$D$21,0))</f>
        <v/>
      </c>
      <c r="AI194" s="48">
        <f>IF($C$21="Annual",$D$21-SUM(E198:AH198),IF(AND(31&gt;=$E$21,31&lt;=$F$21),$D$21,0))</f>
        <v/>
      </c>
      <c r="AJ194" s="48">
        <f>IF($C$21="Annual",$D$21-SUM(E198:AI198),IF(AND(32&gt;=$E$21,32&lt;=$F$21),$D$21,0))</f>
        <v/>
      </c>
      <c r="AK194" s="48">
        <f>IF($C$21="Annual",$D$21-SUM(E198:AJ198),IF(AND(33&gt;=$E$21,33&lt;=$F$21),$D$21,0))</f>
        <v/>
      </c>
      <c r="AL194" s="48">
        <f>IF($C$21="Annual",$D$21-SUM(E198:AK198),IF(AND(34&gt;=$E$21,34&lt;=$F$21),$D$21,0))</f>
        <v/>
      </c>
      <c r="AM194" s="48">
        <f>IF($C$21="Annual",$D$21-SUM(E198:AL198),IF(AND(35&gt;=$E$21,35&lt;=$F$21),$D$21,0))</f>
        <v/>
      </c>
      <c r="AN194" s="48">
        <f>IF($C$21="Annual",$D$21-SUM(E198:AM198),IF(AND(36&gt;=$E$21,36&lt;=$F$21),$D$21,0))</f>
        <v/>
      </c>
      <c r="AO194" s="48">
        <f>IF($C$21="Annual",$D$21-SUM(E198:AN198),IF(AND(37&gt;=$E$21,37&lt;=$F$21),$D$21,0))</f>
        <v/>
      </c>
      <c r="AP194" s="48">
        <f>IF($C$21="Annual",$D$21-SUM(E198:AO198),IF(AND(38&gt;=$E$21,38&lt;=$F$21),$D$21,0))</f>
        <v/>
      </c>
      <c r="AQ194" s="48">
        <f>IF($C$21="Annual",$D$21-SUM(E198:AP198),IF(AND(39&gt;=$E$21,39&lt;=$F$21),$D$21,0))</f>
        <v/>
      </c>
      <c r="AR194" s="48">
        <f>IF($C$21="Annual",$D$21-SUM(E198:AQ198),IF(AND(40&gt;=$E$21,40&lt;=$F$21),$D$21,0))</f>
        <v/>
      </c>
      <c r="AS194" s="48">
        <f>IF($C$21="Annual",$D$21-SUM(E198:AR198),IF(AND(41&gt;=$E$21,41&lt;=$F$21),$D$21,0))</f>
        <v/>
      </c>
      <c r="AT194" s="48">
        <f>IF($C$21="Annual",$D$21-SUM(E198:AS198),IF(AND(42&gt;=$E$21,42&lt;=$F$21),$D$21,0))</f>
        <v/>
      </c>
      <c r="AU194" s="48">
        <f>IF($C$21="Annual",$D$21-SUM(E198:AT198),IF(AND(43&gt;=$E$21,43&lt;=$F$21),$D$21,0))</f>
        <v/>
      </c>
      <c r="AV194" s="48">
        <f>IF($C$21="Annual",$D$21-SUM(E198:AU198),IF(AND(44&gt;=$E$21,44&lt;=$F$21),$D$21,0))</f>
        <v/>
      </c>
      <c r="AW194" s="48">
        <f>IF($C$21="Annual",$D$21-SUM(E198:AV198),IF(AND(45&gt;=$E$21,45&lt;=$F$21),$D$21,0))</f>
        <v/>
      </c>
      <c r="AX194" s="48">
        <f>IF($C$21="Annual",$D$21-SUM(E198:AW198),IF(AND(46&gt;=$E$21,46&lt;=$F$21),$D$21,0))</f>
        <v/>
      </c>
      <c r="AY194" s="48">
        <f>IF($C$21="Annual",$D$21-SUM(E198:AX198),IF(AND(47&gt;=$E$21,47&lt;=$F$21),$D$21,0))</f>
        <v/>
      </c>
      <c r="AZ194" s="48">
        <f>IF($C$21="Annual",$D$21-SUM(E198:AY198),IF(AND(48&gt;=$E$21,48&lt;=$F$21),$D$21,0))</f>
        <v/>
      </c>
      <c r="BA194" s="48">
        <f>IF($C$21="Annual",$D$21-SUM(E198:AZ198),IF(AND(49&gt;=$E$21,49&lt;=$F$21),$D$21,0))</f>
        <v/>
      </c>
      <c r="BB194" s="48">
        <f>IF($C$21="Annual",$D$21-SUM(E198:BA198),IF(AND(50&gt;=$E$21,50&lt;=$F$21),$D$21,0))</f>
        <v/>
      </c>
      <c r="BC194" s="48">
        <f>IF($C$21="Annual",$D$21-SUM(E198:BB198),IF(AND(51&gt;=$E$21,51&lt;=$F$21),$D$21,0))</f>
        <v/>
      </c>
      <c r="BD194" s="48">
        <f>IF($C$21="Annual",$D$21-SUM(E198:BC198),IF(AND(52&gt;=$E$21,52&lt;=$F$21),$D$21,0))</f>
        <v/>
      </c>
    </row>
    <row r="195">
      <c r="A195" s="2" t="inlineStr">
        <is>
          <t xml:space="preserve">   ^ Wholesale is an ANNUAL cap (500,000 lb a year), so there is NO weekly limit —</t>
        </is>
      </c>
    </row>
    <row r="196">
      <c r="A196" s="2" t="inlineStr">
        <is>
          <t xml:space="preserve">     this row is what is LEFT of the year, and it falls as you sell.</t>
        </is>
      </c>
    </row>
    <row r="197">
      <c r="A197" s="23" t="inlineStr">
        <is>
          <t>Wholesale — OFFERED</t>
        </is>
      </c>
      <c r="B197" s="2" t="inlineStr">
        <is>
          <t>lb  &lt;-- SOLVER</t>
        </is>
      </c>
      <c r="E197" s="38" t="n">
        <v>0</v>
      </c>
      <c r="F197" s="38" t="n">
        <v>0</v>
      </c>
      <c r="G197" s="38" t="n">
        <v>0</v>
      </c>
      <c r="H197" s="38" t="n">
        <v>0</v>
      </c>
      <c r="I197" s="38" t="n">
        <v>0</v>
      </c>
      <c r="J197" s="38" t="n">
        <v>0</v>
      </c>
      <c r="K197" s="38" t="n">
        <v>0</v>
      </c>
      <c r="L197" s="38" t="n">
        <v>0</v>
      </c>
      <c r="M197" s="38" t="n">
        <v>0</v>
      </c>
      <c r="N197" s="38" t="n">
        <v>0</v>
      </c>
      <c r="O197" s="38" t="n">
        <v>0</v>
      </c>
      <c r="P197" s="38" t="n">
        <v>0</v>
      </c>
      <c r="Q197" s="38" t="n">
        <v>0</v>
      </c>
      <c r="R197" s="38" t="n">
        <v>0</v>
      </c>
      <c r="S197" s="38" t="n">
        <v>0</v>
      </c>
      <c r="T197" s="38" t="n">
        <v>0</v>
      </c>
      <c r="U197" s="38" t="n">
        <v>0</v>
      </c>
      <c r="V197" s="38" t="n">
        <v>0</v>
      </c>
      <c r="W197" s="38" t="n">
        <v>0</v>
      </c>
      <c r="X197" s="38" t="n">
        <v>0</v>
      </c>
      <c r="Y197" s="38" t="n">
        <v>0</v>
      </c>
      <c r="Z197" s="38" t="n">
        <v>0</v>
      </c>
      <c r="AA197" s="38" t="n">
        <v>0</v>
      </c>
      <c r="AB197" s="38" t="n">
        <v>0</v>
      </c>
      <c r="AC197" s="38" t="n">
        <v>0</v>
      </c>
      <c r="AD197" s="38" t="n">
        <v>0</v>
      </c>
      <c r="AE197" s="38" t="n">
        <v>0</v>
      </c>
      <c r="AF197" s="38" t="n">
        <v>0</v>
      </c>
      <c r="AG197" s="38" t="n">
        <v>0</v>
      </c>
      <c r="AH197" s="38" t="n">
        <v>0</v>
      </c>
      <c r="AI197" s="38" t="n">
        <v>0</v>
      </c>
      <c r="AJ197" s="38" t="n">
        <v>0</v>
      </c>
      <c r="AK197" s="38" t="n">
        <v>0</v>
      </c>
      <c r="AL197" s="38" t="n">
        <v>0</v>
      </c>
      <c r="AM197" s="38" t="n">
        <v>0</v>
      </c>
      <c r="AN197" s="38" t="n">
        <v>0</v>
      </c>
      <c r="AO197" s="38" t="n">
        <v>0</v>
      </c>
      <c r="AP197" s="38" t="n">
        <v>0</v>
      </c>
      <c r="AQ197" s="38" t="n">
        <v>0</v>
      </c>
      <c r="AR197" s="38" t="n">
        <v>0</v>
      </c>
      <c r="AS197" s="38" t="n">
        <v>0</v>
      </c>
      <c r="AT197" s="38" t="n">
        <v>0</v>
      </c>
      <c r="AU197" s="38" t="n">
        <v>0</v>
      </c>
      <c r="AV197" s="38" t="n">
        <v>0</v>
      </c>
      <c r="AW197" s="38" t="n">
        <v>0</v>
      </c>
      <c r="AX197" s="38" t="n">
        <v>0</v>
      </c>
      <c r="AY197" s="38" t="n">
        <v>0</v>
      </c>
      <c r="AZ197" s="38" t="n">
        <v>0</v>
      </c>
      <c r="BA197" s="38" t="n">
        <v>0</v>
      </c>
      <c r="BB197" s="38" t="n">
        <v>0</v>
      </c>
      <c r="BC197" s="38" t="n">
        <v>0</v>
      </c>
      <c r="BD197" s="38" t="n">
        <v>0</v>
      </c>
    </row>
    <row r="198">
      <c r="A198" s="45" t="inlineStr">
        <is>
          <t>Wholesale — SOLD</t>
        </is>
      </c>
      <c r="B198" s="2" t="inlineStr">
        <is>
          <t>lb</t>
        </is>
      </c>
      <c r="E198" s="44">
        <f>E197*$G$21</f>
        <v/>
      </c>
      <c r="F198" s="44">
        <f>F197*$G$21</f>
        <v/>
      </c>
      <c r="G198" s="44">
        <f>G197*$G$21</f>
        <v/>
      </c>
      <c r="H198" s="44">
        <f>H197*$G$21</f>
        <v/>
      </c>
      <c r="I198" s="44">
        <f>I197*$G$21</f>
        <v/>
      </c>
      <c r="J198" s="44">
        <f>J197*$G$21</f>
        <v/>
      </c>
      <c r="K198" s="44">
        <f>K197*$G$21</f>
        <v/>
      </c>
      <c r="L198" s="44">
        <f>L197*$G$21</f>
        <v/>
      </c>
      <c r="M198" s="44">
        <f>M197*$G$21</f>
        <v/>
      </c>
      <c r="N198" s="44">
        <f>N197*$G$21</f>
        <v/>
      </c>
      <c r="O198" s="44">
        <f>O197*$G$21</f>
        <v/>
      </c>
      <c r="P198" s="44">
        <f>P197*$G$21</f>
        <v/>
      </c>
      <c r="Q198" s="44">
        <f>Q197*$G$21</f>
        <v/>
      </c>
      <c r="R198" s="44">
        <f>R197*$G$21</f>
        <v/>
      </c>
      <c r="S198" s="44">
        <f>S197*$G$21</f>
        <v/>
      </c>
      <c r="T198" s="44">
        <f>T197*$G$21</f>
        <v/>
      </c>
      <c r="U198" s="44">
        <f>U197*$G$21</f>
        <v/>
      </c>
      <c r="V198" s="44">
        <f>V197*$G$21</f>
        <v/>
      </c>
      <c r="W198" s="44">
        <f>W197*$G$21</f>
        <v/>
      </c>
      <c r="X198" s="44">
        <f>X197*$G$21</f>
        <v/>
      </c>
      <c r="Y198" s="44">
        <f>Y197*$G$21</f>
        <v/>
      </c>
      <c r="Z198" s="44">
        <f>Z197*$G$21</f>
        <v/>
      </c>
      <c r="AA198" s="44">
        <f>AA197*$G$21</f>
        <v/>
      </c>
      <c r="AB198" s="44">
        <f>AB197*$G$21</f>
        <v/>
      </c>
      <c r="AC198" s="44">
        <f>AC197*$G$21</f>
        <v/>
      </c>
      <c r="AD198" s="44">
        <f>AD197*$G$21</f>
        <v/>
      </c>
      <c r="AE198" s="44">
        <f>AE197*$G$21</f>
        <v/>
      </c>
      <c r="AF198" s="44">
        <f>AF197*$G$21</f>
        <v/>
      </c>
      <c r="AG198" s="44">
        <f>AG197*$G$21</f>
        <v/>
      </c>
      <c r="AH198" s="44">
        <f>AH197*$G$21</f>
        <v/>
      </c>
      <c r="AI198" s="44">
        <f>AI197*$G$21</f>
        <v/>
      </c>
      <c r="AJ198" s="44">
        <f>AJ197*$G$21</f>
        <v/>
      </c>
      <c r="AK198" s="44">
        <f>AK197*$G$21</f>
        <v/>
      </c>
      <c r="AL198" s="44">
        <f>AL197*$G$21</f>
        <v/>
      </c>
      <c r="AM198" s="44">
        <f>AM197*$G$21</f>
        <v/>
      </c>
      <c r="AN198" s="44">
        <f>AN197*$G$21</f>
        <v/>
      </c>
      <c r="AO198" s="44">
        <f>AO197*$G$21</f>
        <v/>
      </c>
      <c r="AP198" s="44">
        <f>AP197*$G$21</f>
        <v/>
      </c>
      <c r="AQ198" s="44">
        <f>AQ197*$G$21</f>
        <v/>
      </c>
      <c r="AR198" s="44">
        <f>AR197*$G$21</f>
        <v/>
      </c>
      <c r="AS198" s="44">
        <f>AS197*$G$21</f>
        <v/>
      </c>
      <c r="AT198" s="44">
        <f>AT197*$G$21</f>
        <v/>
      </c>
      <c r="AU198" s="44">
        <f>AU197*$G$21</f>
        <v/>
      </c>
      <c r="AV198" s="44">
        <f>AV197*$G$21</f>
        <v/>
      </c>
      <c r="AW198" s="44">
        <f>AW197*$G$21</f>
        <v/>
      </c>
      <c r="AX198" s="44">
        <f>AX197*$G$21</f>
        <v/>
      </c>
      <c r="AY198" s="44">
        <f>AY197*$G$21</f>
        <v/>
      </c>
      <c r="AZ198" s="44">
        <f>AZ197*$G$21</f>
        <v/>
      </c>
      <c r="BA198" s="44">
        <f>BA197*$G$21</f>
        <v/>
      </c>
      <c r="BB198" s="44">
        <f>BB197*$G$21</f>
        <v/>
      </c>
      <c r="BC198" s="44">
        <f>BC197*$G$21</f>
        <v/>
      </c>
      <c r="BD198" s="44">
        <f>BD197*$G$21</f>
        <v/>
      </c>
    </row>
    <row r="199">
      <c r="A199" s="27" t="inlineStr">
        <is>
          <t xml:space="preserve">   market loss (gone)</t>
        </is>
      </c>
      <c r="B199" s="2" t="inlineStr">
        <is>
          <t>lb</t>
        </is>
      </c>
      <c r="E199" s="36">
        <f>(E197-E198)*(1-$H$21)</f>
        <v/>
      </c>
      <c r="F199" s="36">
        <f>(F197-F198)*(1-$H$21)</f>
        <v/>
      </c>
      <c r="G199" s="36">
        <f>(G197-G198)*(1-$H$21)</f>
        <v/>
      </c>
      <c r="H199" s="36">
        <f>(H197-H198)*(1-$H$21)</f>
        <v/>
      </c>
      <c r="I199" s="36">
        <f>(I197-I198)*(1-$H$21)</f>
        <v/>
      </c>
      <c r="J199" s="36">
        <f>(J197-J198)*(1-$H$21)</f>
        <v/>
      </c>
      <c r="K199" s="36">
        <f>(K197-K198)*(1-$H$21)</f>
        <v/>
      </c>
      <c r="L199" s="36">
        <f>(L197-L198)*(1-$H$21)</f>
        <v/>
      </c>
      <c r="M199" s="36">
        <f>(M197-M198)*(1-$H$21)</f>
        <v/>
      </c>
      <c r="N199" s="36">
        <f>(N197-N198)*(1-$H$21)</f>
        <v/>
      </c>
      <c r="O199" s="36">
        <f>(O197-O198)*(1-$H$21)</f>
        <v/>
      </c>
      <c r="P199" s="36">
        <f>(P197-P198)*(1-$H$21)</f>
        <v/>
      </c>
      <c r="Q199" s="36">
        <f>(Q197-Q198)*(1-$H$21)</f>
        <v/>
      </c>
      <c r="R199" s="36">
        <f>(R197-R198)*(1-$H$21)</f>
        <v/>
      </c>
      <c r="S199" s="36">
        <f>(S197-S198)*(1-$H$21)</f>
        <v/>
      </c>
      <c r="T199" s="36">
        <f>(T197-T198)*(1-$H$21)</f>
        <v/>
      </c>
      <c r="U199" s="36">
        <f>(U197-U198)*(1-$H$21)</f>
        <v/>
      </c>
      <c r="V199" s="36">
        <f>(V197-V198)*(1-$H$21)</f>
        <v/>
      </c>
      <c r="W199" s="36">
        <f>(W197-W198)*(1-$H$21)</f>
        <v/>
      </c>
      <c r="X199" s="36">
        <f>(X197-X198)*(1-$H$21)</f>
        <v/>
      </c>
      <c r="Y199" s="36">
        <f>(Y197-Y198)*(1-$H$21)</f>
        <v/>
      </c>
      <c r="Z199" s="36">
        <f>(Z197-Z198)*(1-$H$21)</f>
        <v/>
      </c>
      <c r="AA199" s="36">
        <f>(AA197-AA198)*(1-$H$21)</f>
        <v/>
      </c>
      <c r="AB199" s="36">
        <f>(AB197-AB198)*(1-$H$21)</f>
        <v/>
      </c>
      <c r="AC199" s="36">
        <f>(AC197-AC198)*(1-$H$21)</f>
        <v/>
      </c>
      <c r="AD199" s="36">
        <f>(AD197-AD198)*(1-$H$21)</f>
        <v/>
      </c>
      <c r="AE199" s="36">
        <f>(AE197-AE198)*(1-$H$21)</f>
        <v/>
      </c>
      <c r="AF199" s="36">
        <f>(AF197-AF198)*(1-$H$21)</f>
        <v/>
      </c>
      <c r="AG199" s="36">
        <f>(AG197-AG198)*(1-$H$21)</f>
        <v/>
      </c>
      <c r="AH199" s="36">
        <f>(AH197-AH198)*(1-$H$21)</f>
        <v/>
      </c>
      <c r="AI199" s="36">
        <f>(AI197-AI198)*(1-$H$21)</f>
        <v/>
      </c>
      <c r="AJ199" s="36">
        <f>(AJ197-AJ198)*(1-$H$21)</f>
        <v/>
      </c>
      <c r="AK199" s="36">
        <f>(AK197-AK198)*(1-$H$21)</f>
        <v/>
      </c>
      <c r="AL199" s="36">
        <f>(AL197-AL198)*(1-$H$21)</f>
        <v/>
      </c>
      <c r="AM199" s="36">
        <f>(AM197-AM198)*(1-$H$21)</f>
        <v/>
      </c>
      <c r="AN199" s="36">
        <f>(AN197-AN198)*(1-$H$21)</f>
        <v/>
      </c>
      <c r="AO199" s="36">
        <f>(AO197-AO198)*(1-$H$21)</f>
        <v/>
      </c>
      <c r="AP199" s="36">
        <f>(AP197-AP198)*(1-$H$21)</f>
        <v/>
      </c>
      <c r="AQ199" s="36">
        <f>(AQ197-AQ198)*(1-$H$21)</f>
        <v/>
      </c>
      <c r="AR199" s="36">
        <f>(AR197-AR198)*(1-$H$21)</f>
        <v/>
      </c>
      <c r="AS199" s="36">
        <f>(AS197-AS198)*(1-$H$21)</f>
        <v/>
      </c>
      <c r="AT199" s="36">
        <f>(AT197-AT198)*(1-$H$21)</f>
        <v/>
      </c>
      <c r="AU199" s="36">
        <f>(AU197-AU198)*(1-$H$21)</f>
        <v/>
      </c>
      <c r="AV199" s="36">
        <f>(AV197-AV198)*(1-$H$21)</f>
        <v/>
      </c>
      <c r="AW199" s="36">
        <f>(AW197-AW198)*(1-$H$21)</f>
        <v/>
      </c>
      <c r="AX199" s="36">
        <f>(AX197-AX198)*(1-$H$21)</f>
        <v/>
      </c>
      <c r="AY199" s="36">
        <f>(AY197-AY198)*(1-$H$21)</f>
        <v/>
      </c>
      <c r="AZ199" s="36">
        <f>(AZ197-AZ198)*(1-$H$21)</f>
        <v/>
      </c>
      <c r="BA199" s="36">
        <f>(BA197-BA198)*(1-$H$21)</f>
        <v/>
      </c>
      <c r="BB199" s="36">
        <f>(BB197-BB198)*(1-$H$21)</f>
        <v/>
      </c>
      <c r="BC199" s="36">
        <f>(BC197-BC198)*(1-$H$21)</f>
        <v/>
      </c>
      <c r="BD199" s="36">
        <f>(BD197-BD198)*(1-$H$21)</f>
        <v/>
      </c>
    </row>
    <row r="200">
      <c r="A200" s="27" t="inlineStr">
        <is>
          <t xml:space="preserve">   returned to store</t>
        </is>
      </c>
      <c r="B200" s="2" t="inlineStr">
        <is>
          <t>lb</t>
        </is>
      </c>
      <c r="E200" s="36">
        <f>(E197-E198)*$H$21</f>
        <v/>
      </c>
      <c r="F200" s="36">
        <f>(F197-F198)*$H$21</f>
        <v/>
      </c>
      <c r="G200" s="36">
        <f>(G197-G198)*$H$21</f>
        <v/>
      </c>
      <c r="H200" s="36">
        <f>(H197-H198)*$H$21</f>
        <v/>
      </c>
      <c r="I200" s="36">
        <f>(I197-I198)*$H$21</f>
        <v/>
      </c>
      <c r="J200" s="36">
        <f>(J197-J198)*$H$21</f>
        <v/>
      </c>
      <c r="K200" s="36">
        <f>(K197-K198)*$H$21</f>
        <v/>
      </c>
      <c r="L200" s="36">
        <f>(L197-L198)*$H$21</f>
        <v/>
      </c>
      <c r="M200" s="36">
        <f>(M197-M198)*$H$21</f>
        <v/>
      </c>
      <c r="N200" s="36">
        <f>(N197-N198)*$H$21</f>
        <v/>
      </c>
      <c r="O200" s="36">
        <f>(O197-O198)*$H$21</f>
        <v/>
      </c>
      <c r="P200" s="36">
        <f>(P197-P198)*$H$21</f>
        <v/>
      </c>
      <c r="Q200" s="36">
        <f>(Q197-Q198)*$H$21</f>
        <v/>
      </c>
      <c r="R200" s="36">
        <f>(R197-R198)*$H$21</f>
        <v/>
      </c>
      <c r="S200" s="36">
        <f>(S197-S198)*$H$21</f>
        <v/>
      </c>
      <c r="T200" s="36">
        <f>(T197-T198)*$H$21</f>
        <v/>
      </c>
      <c r="U200" s="36">
        <f>(U197-U198)*$H$21</f>
        <v/>
      </c>
      <c r="V200" s="36">
        <f>(V197-V198)*$H$21</f>
        <v/>
      </c>
      <c r="W200" s="36">
        <f>(W197-W198)*$H$21</f>
        <v/>
      </c>
      <c r="X200" s="36">
        <f>(X197-X198)*$H$21</f>
        <v/>
      </c>
      <c r="Y200" s="36">
        <f>(Y197-Y198)*$H$21</f>
        <v/>
      </c>
      <c r="Z200" s="36">
        <f>(Z197-Z198)*$H$21</f>
        <v/>
      </c>
      <c r="AA200" s="36">
        <f>(AA197-AA198)*$H$21</f>
        <v/>
      </c>
      <c r="AB200" s="36">
        <f>(AB197-AB198)*$H$21</f>
        <v/>
      </c>
      <c r="AC200" s="36">
        <f>(AC197-AC198)*$H$21</f>
        <v/>
      </c>
      <c r="AD200" s="36">
        <f>(AD197-AD198)*$H$21</f>
        <v/>
      </c>
      <c r="AE200" s="36">
        <f>(AE197-AE198)*$H$21</f>
        <v/>
      </c>
      <c r="AF200" s="36">
        <f>(AF197-AF198)*$H$21</f>
        <v/>
      </c>
      <c r="AG200" s="36">
        <f>(AG197-AG198)*$H$21</f>
        <v/>
      </c>
      <c r="AH200" s="36">
        <f>(AH197-AH198)*$H$21</f>
        <v/>
      </c>
      <c r="AI200" s="36">
        <f>(AI197-AI198)*$H$21</f>
        <v/>
      </c>
      <c r="AJ200" s="36">
        <f>(AJ197-AJ198)*$H$21</f>
        <v/>
      </c>
      <c r="AK200" s="36">
        <f>(AK197-AK198)*$H$21</f>
        <v/>
      </c>
      <c r="AL200" s="36">
        <f>(AL197-AL198)*$H$21</f>
        <v/>
      </c>
      <c r="AM200" s="36">
        <f>(AM197-AM198)*$H$21</f>
        <v/>
      </c>
      <c r="AN200" s="36">
        <f>(AN197-AN198)*$H$21</f>
        <v/>
      </c>
      <c r="AO200" s="36">
        <f>(AO197-AO198)*$H$21</f>
        <v/>
      </c>
      <c r="AP200" s="36">
        <f>(AP197-AP198)*$H$21</f>
        <v/>
      </c>
      <c r="AQ200" s="36">
        <f>(AQ197-AQ198)*$H$21</f>
        <v/>
      </c>
      <c r="AR200" s="36">
        <f>(AR197-AR198)*$H$21</f>
        <v/>
      </c>
      <c r="AS200" s="36">
        <f>(AS197-AS198)*$H$21</f>
        <v/>
      </c>
      <c r="AT200" s="36">
        <f>(AT197-AT198)*$H$21</f>
        <v/>
      </c>
      <c r="AU200" s="36">
        <f>(AU197-AU198)*$H$21</f>
        <v/>
      </c>
      <c r="AV200" s="36">
        <f>(AV197-AV198)*$H$21</f>
        <v/>
      </c>
      <c r="AW200" s="36">
        <f>(AW197-AW198)*$H$21</f>
        <v/>
      </c>
      <c r="AX200" s="36">
        <f>(AX197-AX198)*$H$21</f>
        <v/>
      </c>
      <c r="AY200" s="36">
        <f>(AY197-AY198)*$H$21</f>
        <v/>
      </c>
      <c r="AZ200" s="36">
        <f>(AZ197-AZ198)*$H$21</f>
        <v/>
      </c>
      <c r="BA200" s="36">
        <f>(BA197-BA198)*$H$21</f>
        <v/>
      </c>
      <c r="BB200" s="36">
        <f>(BB197-BB198)*$H$21</f>
        <v/>
      </c>
      <c r="BC200" s="36">
        <f>(BC197-BC198)*$H$21</f>
        <v/>
      </c>
      <c r="BD200" s="36">
        <f>(BD197-BD198)*$H$21</f>
        <v/>
      </c>
    </row>
    <row r="201">
      <c r="A201" s="27" t="inlineStr">
        <is>
          <t xml:space="preserve">   leaves the store (offered - returned)</t>
        </is>
      </c>
      <c r="B201" s="2" t="inlineStr">
        <is>
          <t>lb</t>
        </is>
      </c>
      <c r="E201" s="36">
        <f>E197-E200</f>
        <v/>
      </c>
      <c r="F201" s="36">
        <f>F197-F200</f>
        <v/>
      </c>
      <c r="G201" s="36">
        <f>G197-G200</f>
        <v/>
      </c>
      <c r="H201" s="36">
        <f>H197-H200</f>
        <v/>
      </c>
      <c r="I201" s="36">
        <f>I197-I200</f>
        <v/>
      </c>
      <c r="J201" s="36">
        <f>J197-J200</f>
        <v/>
      </c>
      <c r="K201" s="36">
        <f>K197-K200</f>
        <v/>
      </c>
      <c r="L201" s="36">
        <f>L197-L200</f>
        <v/>
      </c>
      <c r="M201" s="36">
        <f>M197-M200</f>
        <v/>
      </c>
      <c r="N201" s="36">
        <f>N197-N200</f>
        <v/>
      </c>
      <c r="O201" s="36">
        <f>O197-O200</f>
        <v/>
      </c>
      <c r="P201" s="36">
        <f>P197-P200</f>
        <v/>
      </c>
      <c r="Q201" s="36">
        <f>Q197-Q200</f>
        <v/>
      </c>
      <c r="R201" s="36">
        <f>R197-R200</f>
        <v/>
      </c>
      <c r="S201" s="36">
        <f>S197-S200</f>
        <v/>
      </c>
      <c r="T201" s="36">
        <f>T197-T200</f>
        <v/>
      </c>
      <c r="U201" s="36">
        <f>U197-U200</f>
        <v/>
      </c>
      <c r="V201" s="36">
        <f>V197-V200</f>
        <v/>
      </c>
      <c r="W201" s="36">
        <f>W197-W200</f>
        <v/>
      </c>
      <c r="X201" s="36">
        <f>X197-X200</f>
        <v/>
      </c>
      <c r="Y201" s="36">
        <f>Y197-Y200</f>
        <v/>
      </c>
      <c r="Z201" s="36">
        <f>Z197-Z200</f>
        <v/>
      </c>
      <c r="AA201" s="36">
        <f>AA197-AA200</f>
        <v/>
      </c>
      <c r="AB201" s="36">
        <f>AB197-AB200</f>
        <v/>
      </c>
      <c r="AC201" s="36">
        <f>AC197-AC200</f>
        <v/>
      </c>
      <c r="AD201" s="36">
        <f>AD197-AD200</f>
        <v/>
      </c>
      <c r="AE201" s="36">
        <f>AE197-AE200</f>
        <v/>
      </c>
      <c r="AF201" s="36">
        <f>AF197-AF200</f>
        <v/>
      </c>
      <c r="AG201" s="36">
        <f>AG197-AG200</f>
        <v/>
      </c>
      <c r="AH201" s="36">
        <f>AH197-AH200</f>
        <v/>
      </c>
      <c r="AI201" s="36">
        <f>AI197-AI200</f>
        <v/>
      </c>
      <c r="AJ201" s="36">
        <f>AJ197-AJ200</f>
        <v/>
      </c>
      <c r="AK201" s="36">
        <f>AK197-AK200</f>
        <v/>
      </c>
      <c r="AL201" s="36">
        <f>AL197-AL200</f>
        <v/>
      </c>
      <c r="AM201" s="36">
        <f>AM197-AM200</f>
        <v/>
      </c>
      <c r="AN201" s="36">
        <f>AN197-AN200</f>
        <v/>
      </c>
      <c r="AO201" s="36">
        <f>AO197-AO200</f>
        <v/>
      </c>
      <c r="AP201" s="36">
        <f>AP197-AP200</f>
        <v/>
      </c>
      <c r="AQ201" s="36">
        <f>AQ197-AQ200</f>
        <v/>
      </c>
      <c r="AR201" s="36">
        <f>AR197-AR200</f>
        <v/>
      </c>
      <c r="AS201" s="36">
        <f>AS197-AS200</f>
        <v/>
      </c>
      <c r="AT201" s="36">
        <f>AT197-AT200</f>
        <v/>
      </c>
      <c r="AU201" s="36">
        <f>AU197-AU200</f>
        <v/>
      </c>
      <c r="AV201" s="36">
        <f>AV197-AV200</f>
        <v/>
      </c>
      <c r="AW201" s="36">
        <f>AW197-AW200</f>
        <v/>
      </c>
      <c r="AX201" s="36">
        <f>AX197-AX200</f>
        <v/>
      </c>
      <c r="AY201" s="36">
        <f>AY197-AY200</f>
        <v/>
      </c>
      <c r="AZ201" s="36">
        <f>AZ197-AZ200</f>
        <v/>
      </c>
      <c r="BA201" s="36">
        <f>BA197-BA200</f>
        <v/>
      </c>
      <c r="BB201" s="36">
        <f>BB197-BB200</f>
        <v/>
      </c>
      <c r="BC201" s="36">
        <f>BC197-BC200</f>
        <v/>
      </c>
      <c r="BD201" s="36">
        <f>BD197-BD200</f>
        <v/>
      </c>
    </row>
    <row r="202">
      <c r="A202" s="4" t="inlineStr">
        <is>
          <t>Stock carried out</t>
        </is>
      </c>
      <c r="B202" s="2" t="inlineStr">
        <is>
          <t>lb</t>
        </is>
      </c>
      <c r="E202" s="36">
        <f>E187-E193-E201</f>
        <v/>
      </c>
      <c r="F202" s="36">
        <f>F187-F193-F201</f>
        <v/>
      </c>
      <c r="G202" s="36">
        <f>G187-G193-G201</f>
        <v/>
      </c>
      <c r="H202" s="36">
        <f>H187-H193-H201</f>
        <v/>
      </c>
      <c r="I202" s="36">
        <f>I187-I193-I201</f>
        <v/>
      </c>
      <c r="J202" s="36">
        <f>J187-J193-J201</f>
        <v/>
      </c>
      <c r="K202" s="36">
        <f>K187-K193-K201</f>
        <v/>
      </c>
      <c r="L202" s="36">
        <f>L187-L193-L201</f>
        <v/>
      </c>
      <c r="M202" s="36">
        <f>M187-M193-M201</f>
        <v/>
      </c>
      <c r="N202" s="36">
        <f>N187-N193-N201</f>
        <v/>
      </c>
      <c r="O202" s="36">
        <f>O187-O193-O201</f>
        <v/>
      </c>
      <c r="P202" s="36">
        <f>P187-P193-P201</f>
        <v/>
      </c>
      <c r="Q202" s="36">
        <f>Q187-Q193-Q201</f>
        <v/>
      </c>
      <c r="R202" s="36">
        <f>R187-R193-R201</f>
        <v/>
      </c>
      <c r="S202" s="36">
        <f>S187-S193-S201</f>
        <v/>
      </c>
      <c r="T202" s="36">
        <f>T187-T193-T201</f>
        <v/>
      </c>
      <c r="U202" s="36">
        <f>U187-U193-U201</f>
        <v/>
      </c>
      <c r="V202" s="36">
        <f>V187-V193-V201</f>
        <v/>
      </c>
      <c r="W202" s="36">
        <f>W187-W193-W201</f>
        <v/>
      </c>
      <c r="X202" s="36">
        <f>X187-X193-X201</f>
        <v/>
      </c>
      <c r="Y202" s="36">
        <f>Y187-Y193-Y201</f>
        <v/>
      </c>
      <c r="Z202" s="36">
        <f>Z187-Z193-Z201</f>
        <v/>
      </c>
      <c r="AA202" s="36">
        <f>AA187-AA193-AA201</f>
        <v/>
      </c>
      <c r="AB202" s="36">
        <f>AB187-AB193-AB201</f>
        <v/>
      </c>
      <c r="AC202" s="36">
        <f>AC187-AC193-AC201</f>
        <v/>
      </c>
      <c r="AD202" s="36">
        <f>AD187-AD193-AD201</f>
        <v/>
      </c>
      <c r="AE202" s="36">
        <f>AE187-AE193-AE201</f>
        <v/>
      </c>
      <c r="AF202" s="36">
        <f>AF187-AF193-AF201</f>
        <v/>
      </c>
      <c r="AG202" s="36">
        <f>AG187-AG193-AG201</f>
        <v/>
      </c>
      <c r="AH202" s="36">
        <f>AH187-AH193-AH201</f>
        <v/>
      </c>
      <c r="AI202" s="36">
        <f>AI187-AI193-AI201</f>
        <v/>
      </c>
      <c r="AJ202" s="36">
        <f>AJ187-AJ193-AJ201</f>
        <v/>
      </c>
      <c r="AK202" s="36">
        <f>AK187-AK193-AK201</f>
        <v/>
      </c>
      <c r="AL202" s="36">
        <f>AL187-AL193-AL201</f>
        <v/>
      </c>
      <c r="AM202" s="36">
        <f>AM187-AM193-AM201</f>
        <v/>
      </c>
      <c r="AN202" s="36">
        <f>AN187-AN193-AN201</f>
        <v/>
      </c>
      <c r="AO202" s="36">
        <f>AO187-AO193-AO201</f>
        <v/>
      </c>
      <c r="AP202" s="36">
        <f>AP187-AP193-AP201</f>
        <v/>
      </c>
      <c r="AQ202" s="36">
        <f>AQ187-AQ193-AQ201</f>
        <v/>
      </c>
      <c r="AR202" s="36">
        <f>AR187-AR193-AR201</f>
        <v/>
      </c>
      <c r="AS202" s="36">
        <f>AS187-AS193-AS201</f>
        <v/>
      </c>
      <c r="AT202" s="36">
        <f>AT187-AT193-AT201</f>
        <v/>
      </c>
      <c r="AU202" s="36">
        <f>AU187-AU193-AU201</f>
        <v/>
      </c>
      <c r="AV202" s="36">
        <f>AV187-AV193-AV201</f>
        <v/>
      </c>
      <c r="AW202" s="36">
        <f>AW187-AW193-AW201</f>
        <v/>
      </c>
      <c r="AX202" s="36">
        <f>AX187-AX193-AX201</f>
        <v/>
      </c>
      <c r="AY202" s="36">
        <f>AY187-AY193-AY201</f>
        <v/>
      </c>
      <c r="AZ202" s="36">
        <f>AZ187-AZ193-AZ201</f>
        <v/>
      </c>
      <c r="BA202" s="36">
        <f>BA187-BA193-BA201</f>
        <v/>
      </c>
      <c r="BB202" s="36">
        <f>BB187-BB193-BB201</f>
        <v/>
      </c>
      <c r="BC202" s="36">
        <f>BC187-BC193-BC201</f>
        <v/>
      </c>
      <c r="BD202" s="36">
        <f>BD187-BD193-BD201</f>
        <v/>
      </c>
    </row>
    <row r="203">
      <c r="A203" s="2" t="inlineStr">
        <is>
          <t xml:space="preserve">   ^ subtracts what LEAVES, not what was offered — so 'returned to store' is</t>
        </is>
      </c>
    </row>
    <row r="204">
      <c r="A204" s="2" t="inlineStr">
        <is>
          <t xml:space="preserve">     never taken out at all, and shows up as next week's carried in.</t>
        </is>
      </c>
    </row>
    <row r="205">
      <c r="A205" s="27" t="inlineStr">
        <is>
          <t>Most stock its shelf life allows</t>
        </is>
      </c>
      <c r="B205" s="2" t="inlineStr">
        <is>
          <t>lb</t>
        </is>
      </c>
      <c r="E205" s="36">
        <f>SUMPRODUCT(($E$183:$BD$183&gt;=1-$F$12+2)*($E$183:$BD$183&lt;=1)*$E$184:$BD$184*POWER(1-$G$12,($E$183:$BD$183&lt;=1)*(1-$E$183:$BD$183)))</f>
        <v/>
      </c>
      <c r="F205" s="36">
        <f>SUMPRODUCT(($E$183:$BD$183&gt;=2-$F$12+2)*($E$183:$BD$183&lt;=2)*$E$184:$BD$184*POWER(1-$G$12,($E$183:$BD$183&lt;=2)*(2-$E$183:$BD$183)))</f>
        <v/>
      </c>
      <c r="G205" s="36">
        <f>SUMPRODUCT(($E$183:$BD$183&gt;=3-$F$12+2)*($E$183:$BD$183&lt;=3)*$E$184:$BD$184*POWER(1-$G$12,($E$183:$BD$183&lt;=3)*(3-$E$183:$BD$183)))</f>
        <v/>
      </c>
      <c r="H205" s="36">
        <f>SUMPRODUCT(($E$183:$BD$183&gt;=4-$F$12+2)*($E$183:$BD$183&lt;=4)*$E$184:$BD$184*POWER(1-$G$12,($E$183:$BD$183&lt;=4)*(4-$E$183:$BD$183)))</f>
        <v/>
      </c>
      <c r="I205" s="36">
        <f>SUMPRODUCT(($E$183:$BD$183&gt;=5-$F$12+2)*($E$183:$BD$183&lt;=5)*$E$184:$BD$184*POWER(1-$G$12,($E$183:$BD$183&lt;=5)*(5-$E$183:$BD$183)))</f>
        <v/>
      </c>
      <c r="J205" s="36">
        <f>SUMPRODUCT(($E$183:$BD$183&gt;=6-$F$12+2)*($E$183:$BD$183&lt;=6)*$E$184:$BD$184*POWER(1-$G$12,($E$183:$BD$183&lt;=6)*(6-$E$183:$BD$183)))</f>
        <v/>
      </c>
      <c r="K205" s="36">
        <f>SUMPRODUCT(($E$183:$BD$183&gt;=7-$F$12+2)*($E$183:$BD$183&lt;=7)*$E$184:$BD$184*POWER(1-$G$12,($E$183:$BD$183&lt;=7)*(7-$E$183:$BD$183)))</f>
        <v/>
      </c>
      <c r="L205" s="36">
        <f>SUMPRODUCT(($E$183:$BD$183&gt;=8-$F$12+2)*($E$183:$BD$183&lt;=8)*$E$184:$BD$184*POWER(1-$G$12,($E$183:$BD$183&lt;=8)*(8-$E$183:$BD$183)))</f>
        <v/>
      </c>
      <c r="M205" s="36">
        <f>SUMPRODUCT(($E$183:$BD$183&gt;=9-$F$12+2)*($E$183:$BD$183&lt;=9)*$E$184:$BD$184*POWER(1-$G$12,($E$183:$BD$183&lt;=9)*(9-$E$183:$BD$183)))</f>
        <v/>
      </c>
      <c r="N205" s="36">
        <f>SUMPRODUCT(($E$183:$BD$183&gt;=10-$F$12+2)*($E$183:$BD$183&lt;=10)*$E$184:$BD$184*POWER(1-$G$12,($E$183:$BD$183&lt;=10)*(10-$E$183:$BD$183)))</f>
        <v/>
      </c>
      <c r="O205" s="36">
        <f>SUMPRODUCT(($E$183:$BD$183&gt;=11-$F$12+2)*($E$183:$BD$183&lt;=11)*$E$184:$BD$184*POWER(1-$G$12,($E$183:$BD$183&lt;=11)*(11-$E$183:$BD$183)))</f>
        <v/>
      </c>
      <c r="P205" s="36">
        <f>SUMPRODUCT(($E$183:$BD$183&gt;=12-$F$12+2)*($E$183:$BD$183&lt;=12)*$E$184:$BD$184*POWER(1-$G$12,($E$183:$BD$183&lt;=12)*(12-$E$183:$BD$183)))</f>
        <v/>
      </c>
      <c r="Q205" s="36">
        <f>SUMPRODUCT(($E$183:$BD$183&gt;=13-$F$12+2)*($E$183:$BD$183&lt;=13)*$E$184:$BD$184*POWER(1-$G$12,($E$183:$BD$183&lt;=13)*(13-$E$183:$BD$183)))</f>
        <v/>
      </c>
      <c r="R205" s="36">
        <f>SUMPRODUCT(($E$183:$BD$183&gt;=14-$F$12+2)*($E$183:$BD$183&lt;=14)*$E$184:$BD$184*POWER(1-$G$12,($E$183:$BD$183&lt;=14)*(14-$E$183:$BD$183)))</f>
        <v/>
      </c>
      <c r="S205" s="36">
        <f>SUMPRODUCT(($E$183:$BD$183&gt;=15-$F$12+2)*($E$183:$BD$183&lt;=15)*$E$184:$BD$184*POWER(1-$G$12,($E$183:$BD$183&lt;=15)*(15-$E$183:$BD$183)))</f>
        <v/>
      </c>
      <c r="T205" s="36">
        <f>SUMPRODUCT(($E$183:$BD$183&gt;=16-$F$12+2)*($E$183:$BD$183&lt;=16)*$E$184:$BD$184*POWER(1-$G$12,($E$183:$BD$183&lt;=16)*(16-$E$183:$BD$183)))</f>
        <v/>
      </c>
      <c r="U205" s="36">
        <f>SUMPRODUCT(($E$183:$BD$183&gt;=17-$F$12+2)*($E$183:$BD$183&lt;=17)*$E$184:$BD$184*POWER(1-$G$12,($E$183:$BD$183&lt;=17)*(17-$E$183:$BD$183)))</f>
        <v/>
      </c>
      <c r="V205" s="36">
        <f>SUMPRODUCT(($E$183:$BD$183&gt;=18-$F$12+2)*($E$183:$BD$183&lt;=18)*$E$184:$BD$184*POWER(1-$G$12,($E$183:$BD$183&lt;=18)*(18-$E$183:$BD$183)))</f>
        <v/>
      </c>
      <c r="W205" s="36">
        <f>SUMPRODUCT(($E$183:$BD$183&gt;=19-$F$12+2)*($E$183:$BD$183&lt;=19)*$E$184:$BD$184*POWER(1-$G$12,($E$183:$BD$183&lt;=19)*(19-$E$183:$BD$183)))</f>
        <v/>
      </c>
      <c r="X205" s="36">
        <f>SUMPRODUCT(($E$183:$BD$183&gt;=20-$F$12+2)*($E$183:$BD$183&lt;=20)*$E$184:$BD$184*POWER(1-$G$12,($E$183:$BD$183&lt;=20)*(20-$E$183:$BD$183)))</f>
        <v/>
      </c>
      <c r="Y205" s="36">
        <f>SUMPRODUCT(($E$183:$BD$183&gt;=21-$F$12+2)*($E$183:$BD$183&lt;=21)*$E$184:$BD$184*POWER(1-$G$12,($E$183:$BD$183&lt;=21)*(21-$E$183:$BD$183)))</f>
        <v/>
      </c>
      <c r="Z205" s="36">
        <f>SUMPRODUCT(($E$183:$BD$183&gt;=22-$F$12+2)*($E$183:$BD$183&lt;=22)*$E$184:$BD$184*POWER(1-$G$12,($E$183:$BD$183&lt;=22)*(22-$E$183:$BD$183)))</f>
        <v/>
      </c>
      <c r="AA205" s="36">
        <f>SUMPRODUCT(($E$183:$BD$183&gt;=23-$F$12+2)*($E$183:$BD$183&lt;=23)*$E$184:$BD$184*POWER(1-$G$12,($E$183:$BD$183&lt;=23)*(23-$E$183:$BD$183)))</f>
        <v/>
      </c>
      <c r="AB205" s="36">
        <f>SUMPRODUCT(($E$183:$BD$183&gt;=24-$F$12+2)*($E$183:$BD$183&lt;=24)*$E$184:$BD$184*POWER(1-$G$12,($E$183:$BD$183&lt;=24)*(24-$E$183:$BD$183)))</f>
        <v/>
      </c>
      <c r="AC205" s="36">
        <f>SUMPRODUCT(($E$183:$BD$183&gt;=25-$F$12+2)*($E$183:$BD$183&lt;=25)*$E$184:$BD$184*POWER(1-$G$12,($E$183:$BD$183&lt;=25)*(25-$E$183:$BD$183)))</f>
        <v/>
      </c>
      <c r="AD205" s="36">
        <f>SUMPRODUCT(($E$183:$BD$183&gt;=26-$F$12+2)*($E$183:$BD$183&lt;=26)*$E$184:$BD$184*POWER(1-$G$12,($E$183:$BD$183&lt;=26)*(26-$E$183:$BD$183)))</f>
        <v/>
      </c>
      <c r="AE205" s="36">
        <f>SUMPRODUCT(($E$183:$BD$183&gt;=27-$F$12+2)*($E$183:$BD$183&lt;=27)*$E$184:$BD$184*POWER(1-$G$12,($E$183:$BD$183&lt;=27)*(27-$E$183:$BD$183)))</f>
        <v/>
      </c>
      <c r="AF205" s="36">
        <f>SUMPRODUCT(($E$183:$BD$183&gt;=28-$F$12+2)*($E$183:$BD$183&lt;=28)*$E$184:$BD$184*POWER(1-$G$12,($E$183:$BD$183&lt;=28)*(28-$E$183:$BD$183)))</f>
        <v/>
      </c>
      <c r="AG205" s="36">
        <f>SUMPRODUCT(($E$183:$BD$183&gt;=29-$F$12+2)*($E$183:$BD$183&lt;=29)*$E$184:$BD$184*POWER(1-$G$12,($E$183:$BD$183&lt;=29)*(29-$E$183:$BD$183)))</f>
        <v/>
      </c>
      <c r="AH205" s="36">
        <f>SUMPRODUCT(($E$183:$BD$183&gt;=30-$F$12+2)*($E$183:$BD$183&lt;=30)*$E$184:$BD$184*POWER(1-$G$12,($E$183:$BD$183&lt;=30)*(30-$E$183:$BD$183)))</f>
        <v/>
      </c>
      <c r="AI205" s="36">
        <f>SUMPRODUCT(($E$183:$BD$183&gt;=31-$F$12+2)*($E$183:$BD$183&lt;=31)*$E$184:$BD$184*POWER(1-$G$12,($E$183:$BD$183&lt;=31)*(31-$E$183:$BD$183)))</f>
        <v/>
      </c>
      <c r="AJ205" s="36">
        <f>SUMPRODUCT(($E$183:$BD$183&gt;=32-$F$12+2)*($E$183:$BD$183&lt;=32)*$E$184:$BD$184*POWER(1-$G$12,($E$183:$BD$183&lt;=32)*(32-$E$183:$BD$183)))</f>
        <v/>
      </c>
      <c r="AK205" s="36">
        <f>SUMPRODUCT(($E$183:$BD$183&gt;=33-$F$12+2)*($E$183:$BD$183&lt;=33)*$E$184:$BD$184*POWER(1-$G$12,($E$183:$BD$183&lt;=33)*(33-$E$183:$BD$183)))</f>
        <v/>
      </c>
      <c r="AL205" s="36">
        <f>SUMPRODUCT(($E$183:$BD$183&gt;=34-$F$12+2)*($E$183:$BD$183&lt;=34)*$E$184:$BD$184*POWER(1-$G$12,($E$183:$BD$183&lt;=34)*(34-$E$183:$BD$183)))</f>
        <v/>
      </c>
      <c r="AM205" s="36">
        <f>SUMPRODUCT(($E$183:$BD$183&gt;=35-$F$12+2)*($E$183:$BD$183&lt;=35)*$E$184:$BD$184*POWER(1-$G$12,($E$183:$BD$183&lt;=35)*(35-$E$183:$BD$183)))</f>
        <v/>
      </c>
      <c r="AN205" s="36">
        <f>SUMPRODUCT(($E$183:$BD$183&gt;=36-$F$12+2)*($E$183:$BD$183&lt;=36)*$E$184:$BD$184*POWER(1-$G$12,($E$183:$BD$183&lt;=36)*(36-$E$183:$BD$183)))</f>
        <v/>
      </c>
      <c r="AO205" s="36">
        <f>SUMPRODUCT(($E$183:$BD$183&gt;=37-$F$12+2)*($E$183:$BD$183&lt;=37)*$E$184:$BD$184*POWER(1-$G$12,($E$183:$BD$183&lt;=37)*(37-$E$183:$BD$183)))</f>
        <v/>
      </c>
      <c r="AP205" s="36">
        <f>SUMPRODUCT(($E$183:$BD$183&gt;=38-$F$12+2)*($E$183:$BD$183&lt;=38)*$E$184:$BD$184*POWER(1-$G$12,($E$183:$BD$183&lt;=38)*(38-$E$183:$BD$183)))</f>
        <v/>
      </c>
      <c r="AQ205" s="36">
        <f>SUMPRODUCT(($E$183:$BD$183&gt;=39-$F$12+2)*($E$183:$BD$183&lt;=39)*$E$184:$BD$184*POWER(1-$G$12,($E$183:$BD$183&lt;=39)*(39-$E$183:$BD$183)))</f>
        <v/>
      </c>
      <c r="AR205" s="36">
        <f>SUMPRODUCT(($E$183:$BD$183&gt;=40-$F$12+2)*($E$183:$BD$183&lt;=40)*$E$184:$BD$184*POWER(1-$G$12,($E$183:$BD$183&lt;=40)*(40-$E$183:$BD$183)))</f>
        <v/>
      </c>
      <c r="AS205" s="36">
        <f>SUMPRODUCT(($E$183:$BD$183&gt;=41-$F$12+2)*($E$183:$BD$183&lt;=41)*$E$184:$BD$184*POWER(1-$G$12,($E$183:$BD$183&lt;=41)*(41-$E$183:$BD$183)))</f>
        <v/>
      </c>
      <c r="AT205" s="36">
        <f>SUMPRODUCT(($E$183:$BD$183&gt;=42-$F$12+2)*($E$183:$BD$183&lt;=42)*$E$184:$BD$184*POWER(1-$G$12,($E$183:$BD$183&lt;=42)*(42-$E$183:$BD$183)))</f>
        <v/>
      </c>
      <c r="AU205" s="36">
        <f>SUMPRODUCT(($E$183:$BD$183&gt;=43-$F$12+2)*($E$183:$BD$183&lt;=43)*$E$184:$BD$184*POWER(1-$G$12,($E$183:$BD$183&lt;=43)*(43-$E$183:$BD$183)))</f>
        <v/>
      </c>
      <c r="AV205" s="36">
        <f>SUMPRODUCT(($E$183:$BD$183&gt;=44-$F$12+2)*($E$183:$BD$183&lt;=44)*$E$184:$BD$184*POWER(1-$G$12,($E$183:$BD$183&lt;=44)*(44-$E$183:$BD$183)))</f>
        <v/>
      </c>
      <c r="AW205" s="36">
        <f>SUMPRODUCT(($E$183:$BD$183&gt;=45-$F$12+2)*($E$183:$BD$183&lt;=45)*$E$184:$BD$184*POWER(1-$G$12,($E$183:$BD$183&lt;=45)*(45-$E$183:$BD$183)))</f>
        <v/>
      </c>
      <c r="AX205" s="36">
        <f>SUMPRODUCT(($E$183:$BD$183&gt;=46-$F$12+2)*($E$183:$BD$183&lt;=46)*$E$184:$BD$184*POWER(1-$G$12,($E$183:$BD$183&lt;=46)*(46-$E$183:$BD$183)))</f>
        <v/>
      </c>
      <c r="AY205" s="36">
        <f>SUMPRODUCT(($E$183:$BD$183&gt;=47-$F$12+2)*($E$183:$BD$183&lt;=47)*$E$184:$BD$184*POWER(1-$G$12,($E$183:$BD$183&lt;=47)*(47-$E$183:$BD$183)))</f>
        <v/>
      </c>
      <c r="AZ205" s="36">
        <f>SUMPRODUCT(($E$183:$BD$183&gt;=48-$F$12+2)*($E$183:$BD$183&lt;=48)*$E$184:$BD$184*POWER(1-$G$12,($E$183:$BD$183&lt;=48)*(48-$E$183:$BD$183)))</f>
        <v/>
      </c>
      <c r="BA205" s="36">
        <f>SUMPRODUCT(($E$183:$BD$183&gt;=49-$F$12+2)*($E$183:$BD$183&lt;=49)*$E$184:$BD$184*POWER(1-$G$12,($E$183:$BD$183&lt;=49)*(49-$E$183:$BD$183)))</f>
        <v/>
      </c>
      <c r="BB205" s="36">
        <f>SUMPRODUCT(($E$183:$BD$183&gt;=50-$F$12+2)*($E$183:$BD$183&lt;=50)*$E$184:$BD$184*POWER(1-$G$12,($E$183:$BD$183&lt;=50)*(50-$E$183:$BD$183)))</f>
        <v/>
      </c>
      <c r="BC205" s="36">
        <f>SUMPRODUCT(($E$183:$BD$183&gt;=51-$F$12+2)*($E$183:$BD$183&lt;=51)*$E$184:$BD$184*POWER(1-$G$12,($E$183:$BD$183&lt;=51)*(51-$E$183:$BD$183)))</f>
        <v/>
      </c>
      <c r="BD205" s="36">
        <f>SUMPRODUCT(($E$183:$BD$183&gt;=52-$F$12+2)*($E$183:$BD$183&lt;=52)*$E$184:$BD$184*POWER(1-$G$12,($E$183:$BD$183&lt;=52)*(52-$E$183:$BD$183)))</f>
        <v/>
      </c>
    </row>
    <row r="206">
      <c r="A206" s="2" t="inlineStr">
        <is>
          <t xml:space="preserve">   Stock carried out must stay at or below this row.</t>
        </is>
      </c>
    </row>
    <row r="207">
      <c r="A207" s="27" t="inlineStr">
        <is>
          <t>Growing cost this week</t>
        </is>
      </c>
      <c r="B207" s="2" t="inlineStr">
        <is>
          <t>$</t>
        </is>
      </c>
      <c r="E207" s="36">
        <f>SUMPRODUCT(($B$43:$B$110="Kale")*(E$43:E$110="P")*$C$43:$C$110)*$K$12+SUMPRODUCT(($B$43:$B$110="Kale")*(E$43:E$110="G")*$C$43:$C$110)*$L$12+SUMPRODUCT(($B$43:$B$110="Kale")*(E$43:E$110="H")*$C$43:$C$110)*$M$12+SUMPRODUCT(($B$43:$B$110="Kale")*($BG$43:$BG$110=1)*$C$43:$C$110)*$H$12</f>
        <v/>
      </c>
      <c r="F207" s="36">
        <f>SUMPRODUCT(($B$43:$B$110="Kale")*(F$43:F$110="P")*$C$43:$C$110)*$K$12+SUMPRODUCT(($B$43:$B$110="Kale")*(F$43:F$110="G")*$C$43:$C$110)*$L$12+SUMPRODUCT(($B$43:$B$110="Kale")*(F$43:F$110="H")*$C$43:$C$110)*$M$12+SUMPRODUCT(($B$43:$B$110="Kale")*($BG$43:$BG$110=2)*$C$43:$C$110)*$H$12</f>
        <v/>
      </c>
      <c r="G207" s="36">
        <f>SUMPRODUCT(($B$43:$B$110="Kale")*(G$43:G$110="P")*$C$43:$C$110)*$K$12+SUMPRODUCT(($B$43:$B$110="Kale")*(G$43:G$110="G")*$C$43:$C$110)*$L$12+SUMPRODUCT(($B$43:$B$110="Kale")*(G$43:G$110="H")*$C$43:$C$110)*$M$12+SUMPRODUCT(($B$43:$B$110="Kale")*($BG$43:$BG$110=3)*$C$43:$C$110)*$H$12</f>
        <v/>
      </c>
      <c r="H207" s="36">
        <f>SUMPRODUCT(($B$43:$B$110="Kale")*(H$43:H$110="P")*$C$43:$C$110)*$K$12+SUMPRODUCT(($B$43:$B$110="Kale")*(H$43:H$110="G")*$C$43:$C$110)*$L$12+SUMPRODUCT(($B$43:$B$110="Kale")*(H$43:H$110="H")*$C$43:$C$110)*$M$12+SUMPRODUCT(($B$43:$B$110="Kale")*($BG$43:$BG$110=4)*$C$43:$C$110)*$H$12</f>
        <v/>
      </c>
      <c r="I207" s="36">
        <f>SUMPRODUCT(($B$43:$B$110="Kale")*(I$43:I$110="P")*$C$43:$C$110)*$K$12+SUMPRODUCT(($B$43:$B$110="Kale")*(I$43:I$110="G")*$C$43:$C$110)*$L$12+SUMPRODUCT(($B$43:$B$110="Kale")*(I$43:I$110="H")*$C$43:$C$110)*$M$12+SUMPRODUCT(($B$43:$B$110="Kale")*($BG$43:$BG$110=5)*$C$43:$C$110)*$H$12</f>
        <v/>
      </c>
      <c r="J207" s="36">
        <f>SUMPRODUCT(($B$43:$B$110="Kale")*(J$43:J$110="P")*$C$43:$C$110)*$K$12+SUMPRODUCT(($B$43:$B$110="Kale")*(J$43:J$110="G")*$C$43:$C$110)*$L$12+SUMPRODUCT(($B$43:$B$110="Kale")*(J$43:J$110="H")*$C$43:$C$110)*$M$12+SUMPRODUCT(($B$43:$B$110="Kale")*($BG$43:$BG$110=6)*$C$43:$C$110)*$H$12</f>
        <v/>
      </c>
      <c r="K207" s="36">
        <f>SUMPRODUCT(($B$43:$B$110="Kale")*(K$43:K$110="P")*$C$43:$C$110)*$K$12+SUMPRODUCT(($B$43:$B$110="Kale")*(K$43:K$110="G")*$C$43:$C$110)*$L$12+SUMPRODUCT(($B$43:$B$110="Kale")*(K$43:K$110="H")*$C$43:$C$110)*$M$12+SUMPRODUCT(($B$43:$B$110="Kale")*($BG$43:$BG$110=7)*$C$43:$C$110)*$H$12</f>
        <v/>
      </c>
      <c r="L207" s="36">
        <f>SUMPRODUCT(($B$43:$B$110="Kale")*(L$43:L$110="P")*$C$43:$C$110)*$K$12+SUMPRODUCT(($B$43:$B$110="Kale")*(L$43:L$110="G")*$C$43:$C$110)*$L$12+SUMPRODUCT(($B$43:$B$110="Kale")*(L$43:L$110="H")*$C$43:$C$110)*$M$12+SUMPRODUCT(($B$43:$B$110="Kale")*($BG$43:$BG$110=8)*$C$43:$C$110)*$H$12</f>
        <v/>
      </c>
      <c r="M207" s="36">
        <f>SUMPRODUCT(($B$43:$B$110="Kale")*(M$43:M$110="P")*$C$43:$C$110)*$K$12+SUMPRODUCT(($B$43:$B$110="Kale")*(M$43:M$110="G")*$C$43:$C$110)*$L$12+SUMPRODUCT(($B$43:$B$110="Kale")*(M$43:M$110="H")*$C$43:$C$110)*$M$12+SUMPRODUCT(($B$43:$B$110="Kale")*($BG$43:$BG$110=9)*$C$43:$C$110)*$H$12</f>
        <v/>
      </c>
      <c r="N207" s="36">
        <f>SUMPRODUCT(($B$43:$B$110="Kale")*(N$43:N$110="P")*$C$43:$C$110)*$K$12+SUMPRODUCT(($B$43:$B$110="Kale")*(N$43:N$110="G")*$C$43:$C$110)*$L$12+SUMPRODUCT(($B$43:$B$110="Kale")*(N$43:N$110="H")*$C$43:$C$110)*$M$12+SUMPRODUCT(($B$43:$B$110="Kale")*($BG$43:$BG$110=10)*$C$43:$C$110)*$H$12</f>
        <v/>
      </c>
      <c r="O207" s="36">
        <f>SUMPRODUCT(($B$43:$B$110="Kale")*(O$43:O$110="P")*$C$43:$C$110)*$K$12+SUMPRODUCT(($B$43:$B$110="Kale")*(O$43:O$110="G")*$C$43:$C$110)*$L$12+SUMPRODUCT(($B$43:$B$110="Kale")*(O$43:O$110="H")*$C$43:$C$110)*$M$12+SUMPRODUCT(($B$43:$B$110="Kale")*($BG$43:$BG$110=11)*$C$43:$C$110)*$H$12</f>
        <v/>
      </c>
      <c r="P207" s="36">
        <f>SUMPRODUCT(($B$43:$B$110="Kale")*(P$43:P$110="P")*$C$43:$C$110)*$K$12+SUMPRODUCT(($B$43:$B$110="Kale")*(P$43:P$110="G")*$C$43:$C$110)*$L$12+SUMPRODUCT(($B$43:$B$110="Kale")*(P$43:P$110="H")*$C$43:$C$110)*$M$12+SUMPRODUCT(($B$43:$B$110="Kale")*($BG$43:$BG$110=12)*$C$43:$C$110)*$H$12</f>
        <v/>
      </c>
      <c r="Q207" s="36">
        <f>SUMPRODUCT(($B$43:$B$110="Kale")*(Q$43:Q$110="P")*$C$43:$C$110)*$K$12+SUMPRODUCT(($B$43:$B$110="Kale")*(Q$43:Q$110="G")*$C$43:$C$110)*$L$12+SUMPRODUCT(($B$43:$B$110="Kale")*(Q$43:Q$110="H")*$C$43:$C$110)*$M$12+SUMPRODUCT(($B$43:$B$110="Kale")*($BG$43:$BG$110=13)*$C$43:$C$110)*$H$12</f>
        <v/>
      </c>
      <c r="R207" s="36">
        <f>SUMPRODUCT(($B$43:$B$110="Kale")*(R$43:R$110="P")*$C$43:$C$110)*$K$12+SUMPRODUCT(($B$43:$B$110="Kale")*(R$43:R$110="G")*$C$43:$C$110)*$L$12+SUMPRODUCT(($B$43:$B$110="Kale")*(R$43:R$110="H")*$C$43:$C$110)*$M$12+SUMPRODUCT(($B$43:$B$110="Kale")*($BG$43:$BG$110=14)*$C$43:$C$110)*$H$12</f>
        <v/>
      </c>
      <c r="S207" s="36">
        <f>SUMPRODUCT(($B$43:$B$110="Kale")*(S$43:S$110="P")*$C$43:$C$110)*$K$12+SUMPRODUCT(($B$43:$B$110="Kale")*(S$43:S$110="G")*$C$43:$C$110)*$L$12+SUMPRODUCT(($B$43:$B$110="Kale")*(S$43:S$110="H")*$C$43:$C$110)*$M$12+SUMPRODUCT(($B$43:$B$110="Kale")*($BG$43:$BG$110=15)*$C$43:$C$110)*$H$12</f>
        <v/>
      </c>
      <c r="T207" s="36">
        <f>SUMPRODUCT(($B$43:$B$110="Kale")*(T$43:T$110="P")*$C$43:$C$110)*$K$12+SUMPRODUCT(($B$43:$B$110="Kale")*(T$43:T$110="G")*$C$43:$C$110)*$L$12+SUMPRODUCT(($B$43:$B$110="Kale")*(T$43:T$110="H")*$C$43:$C$110)*$M$12+SUMPRODUCT(($B$43:$B$110="Kale")*($BG$43:$BG$110=16)*$C$43:$C$110)*$H$12</f>
        <v/>
      </c>
      <c r="U207" s="36">
        <f>SUMPRODUCT(($B$43:$B$110="Kale")*(U$43:U$110="P")*$C$43:$C$110)*$K$12+SUMPRODUCT(($B$43:$B$110="Kale")*(U$43:U$110="G")*$C$43:$C$110)*$L$12+SUMPRODUCT(($B$43:$B$110="Kale")*(U$43:U$110="H")*$C$43:$C$110)*$M$12+SUMPRODUCT(($B$43:$B$110="Kale")*($BG$43:$BG$110=17)*$C$43:$C$110)*$H$12</f>
        <v/>
      </c>
      <c r="V207" s="36">
        <f>SUMPRODUCT(($B$43:$B$110="Kale")*(V$43:V$110="P")*$C$43:$C$110)*$K$12+SUMPRODUCT(($B$43:$B$110="Kale")*(V$43:V$110="G")*$C$43:$C$110)*$L$12+SUMPRODUCT(($B$43:$B$110="Kale")*(V$43:V$110="H")*$C$43:$C$110)*$M$12+SUMPRODUCT(($B$43:$B$110="Kale")*($BG$43:$BG$110=18)*$C$43:$C$110)*$H$12</f>
        <v/>
      </c>
      <c r="W207" s="36">
        <f>SUMPRODUCT(($B$43:$B$110="Kale")*(W$43:W$110="P")*$C$43:$C$110)*$K$12+SUMPRODUCT(($B$43:$B$110="Kale")*(W$43:W$110="G")*$C$43:$C$110)*$L$12+SUMPRODUCT(($B$43:$B$110="Kale")*(W$43:W$110="H")*$C$43:$C$110)*$M$12+SUMPRODUCT(($B$43:$B$110="Kale")*($BG$43:$BG$110=19)*$C$43:$C$110)*$H$12</f>
        <v/>
      </c>
      <c r="X207" s="36">
        <f>SUMPRODUCT(($B$43:$B$110="Kale")*(X$43:X$110="P")*$C$43:$C$110)*$K$12+SUMPRODUCT(($B$43:$B$110="Kale")*(X$43:X$110="G")*$C$43:$C$110)*$L$12+SUMPRODUCT(($B$43:$B$110="Kale")*(X$43:X$110="H")*$C$43:$C$110)*$M$12+SUMPRODUCT(($B$43:$B$110="Kale")*($BG$43:$BG$110=20)*$C$43:$C$110)*$H$12</f>
        <v/>
      </c>
      <c r="Y207" s="36">
        <f>SUMPRODUCT(($B$43:$B$110="Kale")*(Y$43:Y$110="P")*$C$43:$C$110)*$K$12+SUMPRODUCT(($B$43:$B$110="Kale")*(Y$43:Y$110="G")*$C$43:$C$110)*$L$12+SUMPRODUCT(($B$43:$B$110="Kale")*(Y$43:Y$110="H")*$C$43:$C$110)*$M$12+SUMPRODUCT(($B$43:$B$110="Kale")*($BG$43:$BG$110=21)*$C$43:$C$110)*$H$12</f>
        <v/>
      </c>
      <c r="Z207" s="36">
        <f>SUMPRODUCT(($B$43:$B$110="Kale")*(Z$43:Z$110="P")*$C$43:$C$110)*$K$12+SUMPRODUCT(($B$43:$B$110="Kale")*(Z$43:Z$110="G")*$C$43:$C$110)*$L$12+SUMPRODUCT(($B$43:$B$110="Kale")*(Z$43:Z$110="H")*$C$43:$C$110)*$M$12+SUMPRODUCT(($B$43:$B$110="Kale")*($BG$43:$BG$110=22)*$C$43:$C$110)*$H$12</f>
        <v/>
      </c>
      <c r="AA207" s="36">
        <f>SUMPRODUCT(($B$43:$B$110="Kale")*(AA$43:AA$110="P")*$C$43:$C$110)*$K$12+SUMPRODUCT(($B$43:$B$110="Kale")*(AA$43:AA$110="G")*$C$43:$C$110)*$L$12+SUMPRODUCT(($B$43:$B$110="Kale")*(AA$43:AA$110="H")*$C$43:$C$110)*$M$12+SUMPRODUCT(($B$43:$B$110="Kale")*($BG$43:$BG$110=23)*$C$43:$C$110)*$H$12</f>
        <v/>
      </c>
      <c r="AB207" s="36">
        <f>SUMPRODUCT(($B$43:$B$110="Kale")*(AB$43:AB$110="P")*$C$43:$C$110)*$K$12+SUMPRODUCT(($B$43:$B$110="Kale")*(AB$43:AB$110="G")*$C$43:$C$110)*$L$12+SUMPRODUCT(($B$43:$B$110="Kale")*(AB$43:AB$110="H")*$C$43:$C$110)*$M$12+SUMPRODUCT(($B$43:$B$110="Kale")*($BG$43:$BG$110=24)*$C$43:$C$110)*$H$12</f>
        <v/>
      </c>
      <c r="AC207" s="36">
        <f>SUMPRODUCT(($B$43:$B$110="Kale")*(AC$43:AC$110="P")*$C$43:$C$110)*$K$12+SUMPRODUCT(($B$43:$B$110="Kale")*(AC$43:AC$110="G")*$C$43:$C$110)*$L$12+SUMPRODUCT(($B$43:$B$110="Kale")*(AC$43:AC$110="H")*$C$43:$C$110)*$M$12+SUMPRODUCT(($B$43:$B$110="Kale")*($BG$43:$BG$110=25)*$C$43:$C$110)*$H$12</f>
        <v/>
      </c>
      <c r="AD207" s="36">
        <f>SUMPRODUCT(($B$43:$B$110="Kale")*(AD$43:AD$110="P")*$C$43:$C$110)*$K$12+SUMPRODUCT(($B$43:$B$110="Kale")*(AD$43:AD$110="G")*$C$43:$C$110)*$L$12+SUMPRODUCT(($B$43:$B$110="Kale")*(AD$43:AD$110="H")*$C$43:$C$110)*$M$12+SUMPRODUCT(($B$43:$B$110="Kale")*($BG$43:$BG$110=26)*$C$43:$C$110)*$H$12</f>
        <v/>
      </c>
      <c r="AE207" s="36">
        <f>SUMPRODUCT(($B$43:$B$110="Kale")*(AE$43:AE$110="P")*$C$43:$C$110)*$K$12+SUMPRODUCT(($B$43:$B$110="Kale")*(AE$43:AE$110="G")*$C$43:$C$110)*$L$12+SUMPRODUCT(($B$43:$B$110="Kale")*(AE$43:AE$110="H")*$C$43:$C$110)*$M$12+SUMPRODUCT(($B$43:$B$110="Kale")*($BG$43:$BG$110=27)*$C$43:$C$110)*$H$12</f>
        <v/>
      </c>
      <c r="AF207" s="36">
        <f>SUMPRODUCT(($B$43:$B$110="Kale")*(AF$43:AF$110="P")*$C$43:$C$110)*$K$12+SUMPRODUCT(($B$43:$B$110="Kale")*(AF$43:AF$110="G")*$C$43:$C$110)*$L$12+SUMPRODUCT(($B$43:$B$110="Kale")*(AF$43:AF$110="H")*$C$43:$C$110)*$M$12+SUMPRODUCT(($B$43:$B$110="Kale")*($BG$43:$BG$110=28)*$C$43:$C$110)*$H$12</f>
        <v/>
      </c>
      <c r="AG207" s="36">
        <f>SUMPRODUCT(($B$43:$B$110="Kale")*(AG$43:AG$110="P")*$C$43:$C$110)*$K$12+SUMPRODUCT(($B$43:$B$110="Kale")*(AG$43:AG$110="G")*$C$43:$C$110)*$L$12+SUMPRODUCT(($B$43:$B$110="Kale")*(AG$43:AG$110="H")*$C$43:$C$110)*$M$12+SUMPRODUCT(($B$43:$B$110="Kale")*($BG$43:$BG$110=29)*$C$43:$C$110)*$H$12</f>
        <v/>
      </c>
      <c r="AH207" s="36">
        <f>SUMPRODUCT(($B$43:$B$110="Kale")*(AH$43:AH$110="P")*$C$43:$C$110)*$K$12+SUMPRODUCT(($B$43:$B$110="Kale")*(AH$43:AH$110="G")*$C$43:$C$110)*$L$12+SUMPRODUCT(($B$43:$B$110="Kale")*(AH$43:AH$110="H")*$C$43:$C$110)*$M$12+SUMPRODUCT(($B$43:$B$110="Kale")*($BG$43:$BG$110=30)*$C$43:$C$110)*$H$12</f>
        <v/>
      </c>
      <c r="AI207" s="36">
        <f>SUMPRODUCT(($B$43:$B$110="Kale")*(AI$43:AI$110="P")*$C$43:$C$110)*$K$12+SUMPRODUCT(($B$43:$B$110="Kale")*(AI$43:AI$110="G")*$C$43:$C$110)*$L$12+SUMPRODUCT(($B$43:$B$110="Kale")*(AI$43:AI$110="H")*$C$43:$C$110)*$M$12+SUMPRODUCT(($B$43:$B$110="Kale")*($BG$43:$BG$110=31)*$C$43:$C$110)*$H$12</f>
        <v/>
      </c>
      <c r="AJ207" s="36">
        <f>SUMPRODUCT(($B$43:$B$110="Kale")*(AJ$43:AJ$110="P")*$C$43:$C$110)*$K$12+SUMPRODUCT(($B$43:$B$110="Kale")*(AJ$43:AJ$110="G")*$C$43:$C$110)*$L$12+SUMPRODUCT(($B$43:$B$110="Kale")*(AJ$43:AJ$110="H")*$C$43:$C$110)*$M$12+SUMPRODUCT(($B$43:$B$110="Kale")*($BG$43:$BG$110=32)*$C$43:$C$110)*$H$12</f>
        <v/>
      </c>
      <c r="AK207" s="36">
        <f>SUMPRODUCT(($B$43:$B$110="Kale")*(AK$43:AK$110="P")*$C$43:$C$110)*$K$12+SUMPRODUCT(($B$43:$B$110="Kale")*(AK$43:AK$110="G")*$C$43:$C$110)*$L$12+SUMPRODUCT(($B$43:$B$110="Kale")*(AK$43:AK$110="H")*$C$43:$C$110)*$M$12+SUMPRODUCT(($B$43:$B$110="Kale")*($BG$43:$BG$110=33)*$C$43:$C$110)*$H$12</f>
        <v/>
      </c>
      <c r="AL207" s="36">
        <f>SUMPRODUCT(($B$43:$B$110="Kale")*(AL$43:AL$110="P")*$C$43:$C$110)*$K$12+SUMPRODUCT(($B$43:$B$110="Kale")*(AL$43:AL$110="G")*$C$43:$C$110)*$L$12+SUMPRODUCT(($B$43:$B$110="Kale")*(AL$43:AL$110="H")*$C$43:$C$110)*$M$12+SUMPRODUCT(($B$43:$B$110="Kale")*($BG$43:$BG$110=34)*$C$43:$C$110)*$H$12</f>
        <v/>
      </c>
      <c r="AM207" s="36">
        <f>SUMPRODUCT(($B$43:$B$110="Kale")*(AM$43:AM$110="P")*$C$43:$C$110)*$K$12+SUMPRODUCT(($B$43:$B$110="Kale")*(AM$43:AM$110="G")*$C$43:$C$110)*$L$12+SUMPRODUCT(($B$43:$B$110="Kale")*(AM$43:AM$110="H")*$C$43:$C$110)*$M$12+SUMPRODUCT(($B$43:$B$110="Kale")*($BG$43:$BG$110=35)*$C$43:$C$110)*$H$12</f>
        <v/>
      </c>
      <c r="AN207" s="36">
        <f>SUMPRODUCT(($B$43:$B$110="Kale")*(AN$43:AN$110="P")*$C$43:$C$110)*$K$12+SUMPRODUCT(($B$43:$B$110="Kale")*(AN$43:AN$110="G")*$C$43:$C$110)*$L$12+SUMPRODUCT(($B$43:$B$110="Kale")*(AN$43:AN$110="H")*$C$43:$C$110)*$M$12+SUMPRODUCT(($B$43:$B$110="Kale")*($BG$43:$BG$110=36)*$C$43:$C$110)*$H$12</f>
        <v/>
      </c>
      <c r="AO207" s="36">
        <f>SUMPRODUCT(($B$43:$B$110="Kale")*(AO$43:AO$110="P")*$C$43:$C$110)*$K$12+SUMPRODUCT(($B$43:$B$110="Kale")*(AO$43:AO$110="G")*$C$43:$C$110)*$L$12+SUMPRODUCT(($B$43:$B$110="Kale")*(AO$43:AO$110="H")*$C$43:$C$110)*$M$12+SUMPRODUCT(($B$43:$B$110="Kale")*($BG$43:$BG$110=37)*$C$43:$C$110)*$H$12</f>
        <v/>
      </c>
      <c r="AP207" s="36">
        <f>SUMPRODUCT(($B$43:$B$110="Kale")*(AP$43:AP$110="P")*$C$43:$C$110)*$K$12+SUMPRODUCT(($B$43:$B$110="Kale")*(AP$43:AP$110="G")*$C$43:$C$110)*$L$12+SUMPRODUCT(($B$43:$B$110="Kale")*(AP$43:AP$110="H")*$C$43:$C$110)*$M$12+SUMPRODUCT(($B$43:$B$110="Kale")*($BG$43:$BG$110=38)*$C$43:$C$110)*$H$12</f>
        <v/>
      </c>
      <c r="AQ207" s="36">
        <f>SUMPRODUCT(($B$43:$B$110="Kale")*(AQ$43:AQ$110="P")*$C$43:$C$110)*$K$12+SUMPRODUCT(($B$43:$B$110="Kale")*(AQ$43:AQ$110="G")*$C$43:$C$110)*$L$12+SUMPRODUCT(($B$43:$B$110="Kale")*(AQ$43:AQ$110="H")*$C$43:$C$110)*$M$12+SUMPRODUCT(($B$43:$B$110="Kale")*($BG$43:$BG$110=39)*$C$43:$C$110)*$H$12</f>
        <v/>
      </c>
      <c r="AR207" s="36">
        <f>SUMPRODUCT(($B$43:$B$110="Kale")*(AR$43:AR$110="P")*$C$43:$C$110)*$K$12+SUMPRODUCT(($B$43:$B$110="Kale")*(AR$43:AR$110="G")*$C$43:$C$110)*$L$12+SUMPRODUCT(($B$43:$B$110="Kale")*(AR$43:AR$110="H")*$C$43:$C$110)*$M$12+SUMPRODUCT(($B$43:$B$110="Kale")*($BG$43:$BG$110=40)*$C$43:$C$110)*$H$12</f>
        <v/>
      </c>
      <c r="AS207" s="36">
        <f>SUMPRODUCT(($B$43:$B$110="Kale")*(AS$43:AS$110="P")*$C$43:$C$110)*$K$12+SUMPRODUCT(($B$43:$B$110="Kale")*(AS$43:AS$110="G")*$C$43:$C$110)*$L$12+SUMPRODUCT(($B$43:$B$110="Kale")*(AS$43:AS$110="H")*$C$43:$C$110)*$M$12+SUMPRODUCT(($B$43:$B$110="Kale")*($BG$43:$BG$110=41)*$C$43:$C$110)*$H$12</f>
        <v/>
      </c>
      <c r="AT207" s="36">
        <f>SUMPRODUCT(($B$43:$B$110="Kale")*(AT$43:AT$110="P")*$C$43:$C$110)*$K$12+SUMPRODUCT(($B$43:$B$110="Kale")*(AT$43:AT$110="G")*$C$43:$C$110)*$L$12+SUMPRODUCT(($B$43:$B$110="Kale")*(AT$43:AT$110="H")*$C$43:$C$110)*$M$12+SUMPRODUCT(($B$43:$B$110="Kale")*($BG$43:$BG$110=42)*$C$43:$C$110)*$H$12</f>
        <v/>
      </c>
      <c r="AU207" s="36">
        <f>SUMPRODUCT(($B$43:$B$110="Kale")*(AU$43:AU$110="P")*$C$43:$C$110)*$K$12+SUMPRODUCT(($B$43:$B$110="Kale")*(AU$43:AU$110="G")*$C$43:$C$110)*$L$12+SUMPRODUCT(($B$43:$B$110="Kale")*(AU$43:AU$110="H")*$C$43:$C$110)*$M$12+SUMPRODUCT(($B$43:$B$110="Kale")*($BG$43:$BG$110=43)*$C$43:$C$110)*$H$12</f>
        <v/>
      </c>
      <c r="AV207" s="36">
        <f>SUMPRODUCT(($B$43:$B$110="Kale")*(AV$43:AV$110="P")*$C$43:$C$110)*$K$12+SUMPRODUCT(($B$43:$B$110="Kale")*(AV$43:AV$110="G")*$C$43:$C$110)*$L$12+SUMPRODUCT(($B$43:$B$110="Kale")*(AV$43:AV$110="H")*$C$43:$C$110)*$M$12+SUMPRODUCT(($B$43:$B$110="Kale")*($BG$43:$BG$110=44)*$C$43:$C$110)*$H$12</f>
        <v/>
      </c>
      <c r="AW207" s="36">
        <f>SUMPRODUCT(($B$43:$B$110="Kale")*(AW$43:AW$110="P")*$C$43:$C$110)*$K$12+SUMPRODUCT(($B$43:$B$110="Kale")*(AW$43:AW$110="G")*$C$43:$C$110)*$L$12+SUMPRODUCT(($B$43:$B$110="Kale")*(AW$43:AW$110="H")*$C$43:$C$110)*$M$12+SUMPRODUCT(($B$43:$B$110="Kale")*($BG$43:$BG$110=45)*$C$43:$C$110)*$H$12</f>
        <v/>
      </c>
      <c r="AX207" s="36">
        <f>SUMPRODUCT(($B$43:$B$110="Kale")*(AX$43:AX$110="P")*$C$43:$C$110)*$K$12+SUMPRODUCT(($B$43:$B$110="Kale")*(AX$43:AX$110="G")*$C$43:$C$110)*$L$12+SUMPRODUCT(($B$43:$B$110="Kale")*(AX$43:AX$110="H")*$C$43:$C$110)*$M$12+SUMPRODUCT(($B$43:$B$110="Kale")*($BG$43:$BG$110=46)*$C$43:$C$110)*$H$12</f>
        <v/>
      </c>
      <c r="AY207" s="36">
        <f>SUMPRODUCT(($B$43:$B$110="Kale")*(AY$43:AY$110="P")*$C$43:$C$110)*$K$12+SUMPRODUCT(($B$43:$B$110="Kale")*(AY$43:AY$110="G")*$C$43:$C$110)*$L$12+SUMPRODUCT(($B$43:$B$110="Kale")*(AY$43:AY$110="H")*$C$43:$C$110)*$M$12+SUMPRODUCT(($B$43:$B$110="Kale")*($BG$43:$BG$110=47)*$C$43:$C$110)*$H$12</f>
        <v/>
      </c>
      <c r="AZ207" s="36">
        <f>SUMPRODUCT(($B$43:$B$110="Kale")*(AZ$43:AZ$110="P")*$C$43:$C$110)*$K$12+SUMPRODUCT(($B$43:$B$110="Kale")*(AZ$43:AZ$110="G")*$C$43:$C$110)*$L$12+SUMPRODUCT(($B$43:$B$110="Kale")*(AZ$43:AZ$110="H")*$C$43:$C$110)*$M$12+SUMPRODUCT(($B$43:$B$110="Kale")*($BG$43:$BG$110=48)*$C$43:$C$110)*$H$12</f>
        <v/>
      </c>
      <c r="BA207" s="36">
        <f>SUMPRODUCT(($B$43:$B$110="Kale")*(BA$43:BA$110="P")*$C$43:$C$110)*$K$12+SUMPRODUCT(($B$43:$B$110="Kale")*(BA$43:BA$110="G")*$C$43:$C$110)*$L$12+SUMPRODUCT(($B$43:$B$110="Kale")*(BA$43:BA$110="H")*$C$43:$C$110)*$M$12+SUMPRODUCT(($B$43:$B$110="Kale")*($BG$43:$BG$110=49)*$C$43:$C$110)*$H$12</f>
        <v/>
      </c>
      <c r="BB207" s="36">
        <f>SUMPRODUCT(($B$43:$B$110="Kale")*(BB$43:BB$110="P")*$C$43:$C$110)*$K$12+SUMPRODUCT(($B$43:$B$110="Kale")*(BB$43:BB$110="G")*$C$43:$C$110)*$L$12+SUMPRODUCT(($B$43:$B$110="Kale")*(BB$43:BB$110="H")*$C$43:$C$110)*$M$12+SUMPRODUCT(($B$43:$B$110="Kale")*($BG$43:$BG$110=50)*$C$43:$C$110)*$H$12</f>
        <v/>
      </c>
      <c r="BC207" s="36">
        <f>SUMPRODUCT(($B$43:$B$110="Kale")*(BC$43:BC$110="P")*$C$43:$C$110)*$K$12+SUMPRODUCT(($B$43:$B$110="Kale")*(BC$43:BC$110="G")*$C$43:$C$110)*$L$12+SUMPRODUCT(($B$43:$B$110="Kale")*(BC$43:BC$110="H")*$C$43:$C$110)*$M$12+SUMPRODUCT(($B$43:$B$110="Kale")*($BG$43:$BG$110=51)*$C$43:$C$110)*$H$12</f>
        <v/>
      </c>
      <c r="BD207" s="36">
        <f>SUMPRODUCT(($B$43:$B$110="Kale")*(BD$43:BD$110="P")*$C$43:$C$110)*$K$12+SUMPRODUCT(($B$43:$B$110="Kale")*(BD$43:BD$110="G")*$C$43:$C$110)*$L$12+SUMPRODUCT(($B$43:$B$110="Kale")*(BD$43:BD$110="H")*$C$43:$C$110)*$M$12+SUMPRODUCT(($B$43:$B$110="Kale")*($BG$43:$BG$110=52)*$C$43:$C$110)*$H$12</f>
        <v/>
      </c>
    </row>
    <row r="208">
      <c r="A208" s="27" t="inlineStr">
        <is>
          <t>Packaging this week</t>
        </is>
      </c>
      <c r="B208" s="2" t="inlineStr">
        <is>
          <t>$</t>
        </is>
      </c>
      <c r="E208" s="36">
        <f>E190*$J$20+E198*$J$21</f>
        <v/>
      </c>
      <c r="F208" s="36">
        <f>F190*$J$20+F198*$J$21</f>
        <v/>
      </c>
      <c r="G208" s="36">
        <f>G190*$J$20+G198*$J$21</f>
        <v/>
      </c>
      <c r="H208" s="36">
        <f>H190*$J$20+H198*$J$21</f>
        <v/>
      </c>
      <c r="I208" s="36">
        <f>I190*$J$20+I198*$J$21</f>
        <v/>
      </c>
      <c r="J208" s="36">
        <f>J190*$J$20+J198*$J$21</f>
        <v/>
      </c>
      <c r="K208" s="36">
        <f>K190*$J$20+K198*$J$21</f>
        <v/>
      </c>
      <c r="L208" s="36">
        <f>L190*$J$20+L198*$J$21</f>
        <v/>
      </c>
      <c r="M208" s="36">
        <f>M190*$J$20+M198*$J$21</f>
        <v/>
      </c>
      <c r="N208" s="36">
        <f>N190*$J$20+N198*$J$21</f>
        <v/>
      </c>
      <c r="O208" s="36">
        <f>O190*$J$20+O198*$J$21</f>
        <v/>
      </c>
      <c r="P208" s="36">
        <f>P190*$J$20+P198*$J$21</f>
        <v/>
      </c>
      <c r="Q208" s="36">
        <f>Q190*$J$20+Q198*$J$21</f>
        <v/>
      </c>
      <c r="R208" s="36">
        <f>R190*$J$20+R198*$J$21</f>
        <v/>
      </c>
      <c r="S208" s="36">
        <f>S190*$J$20+S198*$J$21</f>
        <v/>
      </c>
      <c r="T208" s="36">
        <f>T190*$J$20+T198*$J$21</f>
        <v/>
      </c>
      <c r="U208" s="36">
        <f>U190*$J$20+U198*$J$21</f>
        <v/>
      </c>
      <c r="V208" s="36">
        <f>V190*$J$20+V198*$J$21</f>
        <v/>
      </c>
      <c r="W208" s="36">
        <f>W190*$J$20+W198*$J$21</f>
        <v/>
      </c>
      <c r="X208" s="36">
        <f>X190*$J$20+X198*$J$21</f>
        <v/>
      </c>
      <c r="Y208" s="36">
        <f>Y190*$J$20+Y198*$J$21</f>
        <v/>
      </c>
      <c r="Z208" s="36">
        <f>Z190*$J$20+Z198*$J$21</f>
        <v/>
      </c>
      <c r="AA208" s="36">
        <f>AA190*$J$20+AA198*$J$21</f>
        <v/>
      </c>
      <c r="AB208" s="36">
        <f>AB190*$J$20+AB198*$J$21</f>
        <v/>
      </c>
      <c r="AC208" s="36">
        <f>AC190*$J$20+AC198*$J$21</f>
        <v/>
      </c>
      <c r="AD208" s="36">
        <f>AD190*$J$20+AD198*$J$21</f>
        <v/>
      </c>
      <c r="AE208" s="36">
        <f>AE190*$J$20+AE198*$J$21</f>
        <v/>
      </c>
      <c r="AF208" s="36">
        <f>AF190*$J$20+AF198*$J$21</f>
        <v/>
      </c>
      <c r="AG208" s="36">
        <f>AG190*$J$20+AG198*$J$21</f>
        <v/>
      </c>
      <c r="AH208" s="36">
        <f>AH190*$J$20+AH198*$J$21</f>
        <v/>
      </c>
      <c r="AI208" s="36">
        <f>AI190*$J$20+AI198*$J$21</f>
        <v/>
      </c>
      <c r="AJ208" s="36">
        <f>AJ190*$J$20+AJ198*$J$21</f>
        <v/>
      </c>
      <c r="AK208" s="36">
        <f>AK190*$J$20+AK198*$J$21</f>
        <v/>
      </c>
      <c r="AL208" s="36">
        <f>AL190*$J$20+AL198*$J$21</f>
        <v/>
      </c>
      <c r="AM208" s="36">
        <f>AM190*$J$20+AM198*$J$21</f>
        <v/>
      </c>
      <c r="AN208" s="36">
        <f>AN190*$J$20+AN198*$J$21</f>
        <v/>
      </c>
      <c r="AO208" s="36">
        <f>AO190*$J$20+AO198*$J$21</f>
        <v/>
      </c>
      <c r="AP208" s="36">
        <f>AP190*$J$20+AP198*$J$21</f>
        <v/>
      </c>
      <c r="AQ208" s="36">
        <f>AQ190*$J$20+AQ198*$J$21</f>
        <v/>
      </c>
      <c r="AR208" s="36">
        <f>AR190*$J$20+AR198*$J$21</f>
        <v/>
      </c>
      <c r="AS208" s="36">
        <f>AS190*$J$20+AS198*$J$21</f>
        <v/>
      </c>
      <c r="AT208" s="36">
        <f>AT190*$J$20+AT198*$J$21</f>
        <v/>
      </c>
      <c r="AU208" s="36">
        <f>AU190*$J$20+AU198*$J$21</f>
        <v/>
      </c>
      <c r="AV208" s="36">
        <f>AV190*$J$20+AV198*$J$21</f>
        <v/>
      </c>
      <c r="AW208" s="36">
        <f>AW190*$J$20+AW198*$J$21</f>
        <v/>
      </c>
      <c r="AX208" s="36">
        <f>AX190*$J$20+AX198*$J$21</f>
        <v/>
      </c>
      <c r="AY208" s="36">
        <f>AY190*$J$20+AY198*$J$21</f>
        <v/>
      </c>
      <c r="AZ208" s="36">
        <f>AZ190*$J$20+AZ198*$J$21</f>
        <v/>
      </c>
      <c r="BA208" s="36">
        <f>BA190*$J$20+BA198*$J$21</f>
        <v/>
      </c>
      <c r="BB208" s="36">
        <f>BB190*$J$20+BB198*$J$21</f>
        <v/>
      </c>
      <c r="BC208" s="36">
        <f>BC190*$J$20+BC198*$J$21</f>
        <v/>
      </c>
      <c r="BD208" s="36">
        <f>BD190*$J$20+BD198*$J$21</f>
        <v/>
      </c>
    </row>
    <row r="209">
      <c r="A209" s="4" t="inlineStr">
        <is>
          <t>ROOM OCCUPANCY</t>
        </is>
      </c>
      <c r="B209" s="2" t="inlineStr">
        <is>
          <t>m3</t>
        </is>
      </c>
      <c r="E209" s="46">
        <f>(E185+E184)*$D$12</f>
        <v/>
      </c>
      <c r="F209" s="46">
        <f>(F185+F184)*$D$12</f>
        <v/>
      </c>
      <c r="G209" s="46">
        <f>(G185+G184)*$D$12</f>
        <v/>
      </c>
      <c r="H209" s="46">
        <f>(H185+H184)*$D$12</f>
        <v/>
      </c>
      <c r="I209" s="46">
        <f>(I185+I184)*$D$12</f>
        <v/>
      </c>
      <c r="J209" s="46">
        <f>(J185+J184)*$D$12</f>
        <v/>
      </c>
      <c r="K209" s="46">
        <f>(K185+K184)*$D$12</f>
        <v/>
      </c>
      <c r="L209" s="46">
        <f>(L185+L184)*$D$12</f>
        <v/>
      </c>
      <c r="M209" s="46">
        <f>(M185+M184)*$D$12</f>
        <v/>
      </c>
      <c r="N209" s="46">
        <f>(N185+N184)*$D$12</f>
        <v/>
      </c>
      <c r="O209" s="46">
        <f>(O185+O184)*$D$12</f>
        <v/>
      </c>
      <c r="P209" s="46">
        <f>(P185+P184)*$D$12</f>
        <v/>
      </c>
      <c r="Q209" s="46">
        <f>(Q185+Q184)*$D$12</f>
        <v/>
      </c>
      <c r="R209" s="46">
        <f>(R185+R184)*$D$12</f>
        <v/>
      </c>
      <c r="S209" s="46">
        <f>(S185+S184)*$D$12</f>
        <v/>
      </c>
      <c r="T209" s="46">
        <f>(T185+T184)*$D$12</f>
        <v/>
      </c>
      <c r="U209" s="46">
        <f>(U185+U184)*$D$12</f>
        <v/>
      </c>
      <c r="V209" s="46">
        <f>(V185+V184)*$D$12</f>
        <v/>
      </c>
      <c r="W209" s="46">
        <f>(W185+W184)*$D$12</f>
        <v/>
      </c>
      <c r="X209" s="46">
        <f>(X185+X184)*$D$12</f>
        <v/>
      </c>
      <c r="Y209" s="46">
        <f>(Y185+Y184)*$D$12</f>
        <v/>
      </c>
      <c r="Z209" s="46">
        <f>(Z185+Z184)*$D$12</f>
        <v/>
      </c>
      <c r="AA209" s="46">
        <f>(AA185+AA184)*$D$12</f>
        <v/>
      </c>
      <c r="AB209" s="46">
        <f>(AB185+AB184)*$D$12</f>
        <v/>
      </c>
      <c r="AC209" s="46">
        <f>(AC185+AC184)*$D$12</f>
        <v/>
      </c>
      <c r="AD209" s="46">
        <f>(AD185+AD184)*$D$12</f>
        <v/>
      </c>
      <c r="AE209" s="46">
        <f>(AE185+AE184)*$D$12</f>
        <v/>
      </c>
      <c r="AF209" s="46">
        <f>(AF185+AF184)*$D$12</f>
        <v/>
      </c>
      <c r="AG209" s="46">
        <f>(AG185+AG184)*$D$12</f>
        <v/>
      </c>
      <c r="AH209" s="46">
        <f>(AH185+AH184)*$D$12</f>
        <v/>
      </c>
      <c r="AI209" s="46">
        <f>(AI185+AI184)*$D$12</f>
        <v/>
      </c>
      <c r="AJ209" s="46">
        <f>(AJ185+AJ184)*$D$12</f>
        <v/>
      </c>
      <c r="AK209" s="46">
        <f>(AK185+AK184)*$D$12</f>
        <v/>
      </c>
      <c r="AL209" s="46">
        <f>(AL185+AL184)*$D$12</f>
        <v/>
      </c>
      <c r="AM209" s="46">
        <f>(AM185+AM184)*$D$12</f>
        <v/>
      </c>
      <c r="AN209" s="46">
        <f>(AN185+AN184)*$D$12</f>
        <v/>
      </c>
      <c r="AO209" s="46">
        <f>(AO185+AO184)*$D$12</f>
        <v/>
      </c>
      <c r="AP209" s="46">
        <f>(AP185+AP184)*$D$12</f>
        <v/>
      </c>
      <c r="AQ209" s="46">
        <f>(AQ185+AQ184)*$D$12</f>
        <v/>
      </c>
      <c r="AR209" s="46">
        <f>(AR185+AR184)*$D$12</f>
        <v/>
      </c>
      <c r="AS209" s="46">
        <f>(AS185+AS184)*$D$12</f>
        <v/>
      </c>
      <c r="AT209" s="46">
        <f>(AT185+AT184)*$D$12</f>
        <v/>
      </c>
      <c r="AU209" s="46">
        <f>(AU185+AU184)*$D$12</f>
        <v/>
      </c>
      <c r="AV209" s="46">
        <f>(AV185+AV184)*$D$12</f>
        <v/>
      </c>
      <c r="AW209" s="46">
        <f>(AW185+AW184)*$D$12</f>
        <v/>
      </c>
      <c r="AX209" s="46">
        <f>(AX185+AX184)*$D$12</f>
        <v/>
      </c>
      <c r="AY209" s="46">
        <f>(AY185+AY184)*$D$12</f>
        <v/>
      </c>
      <c r="AZ209" s="46">
        <f>(AZ185+AZ184)*$D$12</f>
        <v/>
      </c>
      <c r="BA209" s="46">
        <f>(BA185+BA184)*$D$12</f>
        <v/>
      </c>
      <c r="BB209" s="46">
        <f>(BB185+BB184)*$D$12</f>
        <v/>
      </c>
      <c r="BC209" s="46">
        <f>(BC185+BC184)*$D$12</f>
        <v/>
      </c>
      <c r="BD209" s="46">
        <f>(BD185+BD184)*$D$12</f>
        <v/>
      </c>
    </row>
    <row r="211">
      <c r="A211" s="3" t="inlineStr">
        <is>
          <t>GARLIC  —  ambient store</t>
        </is>
      </c>
      <c r="B211" s="49" t="inlineStr"/>
    </row>
    <row r="212">
      <c r="A212" s="22" t="inlineStr">
        <is>
          <t>Week</t>
        </is>
      </c>
      <c r="B212" s="33" t="inlineStr"/>
      <c r="E212" s="25" t="n">
        <v>1</v>
      </c>
      <c r="F212" s="25" t="n">
        <v>2</v>
      </c>
      <c r="G212" s="25" t="n">
        <v>3</v>
      </c>
      <c r="H212" s="25" t="n">
        <v>4</v>
      </c>
      <c r="I212" s="25" t="n">
        <v>5</v>
      </c>
      <c r="J212" s="25" t="n">
        <v>6</v>
      </c>
      <c r="K212" s="25" t="n">
        <v>7</v>
      </c>
      <c r="L212" s="25" t="n">
        <v>8</v>
      </c>
      <c r="M212" s="25" t="n">
        <v>9</v>
      </c>
      <c r="N212" s="25" t="n">
        <v>10</v>
      </c>
      <c r="O212" s="25" t="n">
        <v>11</v>
      </c>
      <c r="P212" s="25" t="n">
        <v>12</v>
      </c>
      <c r="Q212" s="25" t="n">
        <v>13</v>
      </c>
      <c r="R212" s="25" t="n">
        <v>14</v>
      </c>
      <c r="S212" s="25" t="n">
        <v>15</v>
      </c>
      <c r="T212" s="25" t="n">
        <v>16</v>
      </c>
      <c r="U212" s="25" t="n">
        <v>17</v>
      </c>
      <c r="V212" s="25" t="n">
        <v>18</v>
      </c>
      <c r="W212" s="25" t="n">
        <v>19</v>
      </c>
      <c r="X212" s="25" t="n">
        <v>20</v>
      </c>
      <c r="Y212" s="25" t="n">
        <v>21</v>
      </c>
      <c r="Z212" s="25" t="n">
        <v>22</v>
      </c>
      <c r="AA212" s="25" t="n">
        <v>23</v>
      </c>
      <c r="AB212" s="25" t="n">
        <v>24</v>
      </c>
      <c r="AC212" s="25" t="n">
        <v>25</v>
      </c>
      <c r="AD212" s="25" t="n">
        <v>26</v>
      </c>
      <c r="AE212" s="25" t="n">
        <v>27</v>
      </c>
      <c r="AF212" s="25" t="n">
        <v>28</v>
      </c>
      <c r="AG212" s="25" t="n">
        <v>29</v>
      </c>
      <c r="AH212" s="25" t="n">
        <v>30</v>
      </c>
      <c r="AI212" s="25" t="n">
        <v>31</v>
      </c>
      <c r="AJ212" s="25" t="n">
        <v>32</v>
      </c>
      <c r="AK212" s="25" t="n">
        <v>33</v>
      </c>
      <c r="AL212" s="25" t="n">
        <v>34</v>
      </c>
      <c r="AM212" s="25" t="n">
        <v>35</v>
      </c>
      <c r="AN212" s="25" t="n">
        <v>36</v>
      </c>
      <c r="AO212" s="25" t="n">
        <v>37</v>
      </c>
      <c r="AP212" s="25" t="n">
        <v>38</v>
      </c>
      <c r="AQ212" s="25" t="n">
        <v>39</v>
      </c>
      <c r="AR212" s="25" t="n">
        <v>40</v>
      </c>
      <c r="AS212" s="25" t="n">
        <v>41</v>
      </c>
      <c r="AT212" s="25" t="n">
        <v>42</v>
      </c>
      <c r="AU212" s="25" t="n">
        <v>43</v>
      </c>
      <c r="AV212" s="25" t="n">
        <v>44</v>
      </c>
      <c r="AW212" s="25" t="n">
        <v>45</v>
      </c>
      <c r="AX212" s="25" t="n">
        <v>46</v>
      </c>
      <c r="AY212" s="25" t="n">
        <v>47</v>
      </c>
      <c r="AZ212" s="25" t="n">
        <v>48</v>
      </c>
      <c r="BA212" s="25" t="n">
        <v>49</v>
      </c>
      <c r="BB212" s="25" t="n">
        <v>50</v>
      </c>
      <c r="BC212" s="25" t="n">
        <v>51</v>
      </c>
      <c r="BD212" s="25" t="n">
        <v>52</v>
      </c>
    </row>
    <row r="213">
      <c r="A213" s="4" t="inlineStr">
        <is>
          <t>Packed out -&gt; INTO the store</t>
        </is>
      </c>
      <c r="B213" s="2" t="inlineStr">
        <is>
          <t>lb</t>
        </is>
      </c>
      <c r="E213" s="36">
        <f>SUMPRODUCT(($B$43:$B$110="Garlic")*(E$43:E$110="H")*$C$43:$C$110)*$B$13/$J$13*$C$13</f>
        <v/>
      </c>
      <c r="F213" s="36">
        <f>SUMPRODUCT(($B$43:$B$110="Garlic")*(F$43:F$110="H")*$C$43:$C$110)*$B$13/$J$13*$C$13</f>
        <v/>
      </c>
      <c r="G213" s="36">
        <f>SUMPRODUCT(($B$43:$B$110="Garlic")*(G$43:G$110="H")*$C$43:$C$110)*$B$13/$J$13*$C$13</f>
        <v/>
      </c>
      <c r="H213" s="36">
        <f>SUMPRODUCT(($B$43:$B$110="Garlic")*(H$43:H$110="H")*$C$43:$C$110)*$B$13/$J$13*$C$13</f>
        <v/>
      </c>
      <c r="I213" s="36">
        <f>SUMPRODUCT(($B$43:$B$110="Garlic")*(I$43:I$110="H")*$C$43:$C$110)*$B$13/$J$13*$C$13</f>
        <v/>
      </c>
      <c r="J213" s="36">
        <f>SUMPRODUCT(($B$43:$B$110="Garlic")*(J$43:J$110="H")*$C$43:$C$110)*$B$13/$J$13*$C$13</f>
        <v/>
      </c>
      <c r="K213" s="36">
        <f>SUMPRODUCT(($B$43:$B$110="Garlic")*(K$43:K$110="H")*$C$43:$C$110)*$B$13/$J$13*$C$13</f>
        <v/>
      </c>
      <c r="L213" s="36">
        <f>SUMPRODUCT(($B$43:$B$110="Garlic")*(L$43:L$110="H")*$C$43:$C$110)*$B$13/$J$13*$C$13</f>
        <v/>
      </c>
      <c r="M213" s="36">
        <f>SUMPRODUCT(($B$43:$B$110="Garlic")*(M$43:M$110="H")*$C$43:$C$110)*$B$13/$J$13*$C$13</f>
        <v/>
      </c>
      <c r="N213" s="36">
        <f>SUMPRODUCT(($B$43:$B$110="Garlic")*(N$43:N$110="H")*$C$43:$C$110)*$B$13/$J$13*$C$13</f>
        <v/>
      </c>
      <c r="O213" s="36">
        <f>SUMPRODUCT(($B$43:$B$110="Garlic")*(O$43:O$110="H")*$C$43:$C$110)*$B$13/$J$13*$C$13</f>
        <v/>
      </c>
      <c r="P213" s="36">
        <f>SUMPRODUCT(($B$43:$B$110="Garlic")*(P$43:P$110="H")*$C$43:$C$110)*$B$13/$J$13*$C$13</f>
        <v/>
      </c>
      <c r="Q213" s="36">
        <f>SUMPRODUCT(($B$43:$B$110="Garlic")*(Q$43:Q$110="H")*$C$43:$C$110)*$B$13/$J$13*$C$13</f>
        <v/>
      </c>
      <c r="R213" s="36">
        <f>SUMPRODUCT(($B$43:$B$110="Garlic")*(R$43:R$110="H")*$C$43:$C$110)*$B$13/$J$13*$C$13</f>
        <v/>
      </c>
      <c r="S213" s="36">
        <f>SUMPRODUCT(($B$43:$B$110="Garlic")*(S$43:S$110="H")*$C$43:$C$110)*$B$13/$J$13*$C$13</f>
        <v/>
      </c>
      <c r="T213" s="36">
        <f>SUMPRODUCT(($B$43:$B$110="Garlic")*(T$43:T$110="H")*$C$43:$C$110)*$B$13/$J$13*$C$13</f>
        <v/>
      </c>
      <c r="U213" s="36">
        <f>SUMPRODUCT(($B$43:$B$110="Garlic")*(U$43:U$110="H")*$C$43:$C$110)*$B$13/$J$13*$C$13</f>
        <v/>
      </c>
      <c r="V213" s="36">
        <f>SUMPRODUCT(($B$43:$B$110="Garlic")*(V$43:V$110="H")*$C$43:$C$110)*$B$13/$J$13*$C$13</f>
        <v/>
      </c>
      <c r="W213" s="36">
        <f>SUMPRODUCT(($B$43:$B$110="Garlic")*(W$43:W$110="H")*$C$43:$C$110)*$B$13/$J$13*$C$13</f>
        <v/>
      </c>
      <c r="X213" s="36">
        <f>SUMPRODUCT(($B$43:$B$110="Garlic")*(X$43:X$110="H")*$C$43:$C$110)*$B$13/$J$13*$C$13</f>
        <v/>
      </c>
      <c r="Y213" s="36">
        <f>SUMPRODUCT(($B$43:$B$110="Garlic")*(Y$43:Y$110="H")*$C$43:$C$110)*$B$13/$J$13*$C$13</f>
        <v/>
      </c>
      <c r="Z213" s="36">
        <f>SUMPRODUCT(($B$43:$B$110="Garlic")*(Z$43:Z$110="H")*$C$43:$C$110)*$B$13/$J$13*$C$13</f>
        <v/>
      </c>
      <c r="AA213" s="36">
        <f>SUMPRODUCT(($B$43:$B$110="Garlic")*(AA$43:AA$110="H")*$C$43:$C$110)*$B$13/$J$13*$C$13</f>
        <v/>
      </c>
      <c r="AB213" s="36">
        <f>SUMPRODUCT(($B$43:$B$110="Garlic")*(AB$43:AB$110="H")*$C$43:$C$110)*$B$13/$J$13*$C$13</f>
        <v/>
      </c>
      <c r="AC213" s="36">
        <f>SUMPRODUCT(($B$43:$B$110="Garlic")*(AC$43:AC$110="H")*$C$43:$C$110)*$B$13/$J$13*$C$13</f>
        <v/>
      </c>
      <c r="AD213" s="36">
        <f>SUMPRODUCT(($B$43:$B$110="Garlic")*(AD$43:AD$110="H")*$C$43:$C$110)*$B$13/$J$13*$C$13</f>
        <v/>
      </c>
      <c r="AE213" s="36">
        <f>SUMPRODUCT(($B$43:$B$110="Garlic")*(AE$43:AE$110="H")*$C$43:$C$110)*$B$13/$J$13*$C$13</f>
        <v/>
      </c>
      <c r="AF213" s="36">
        <f>SUMPRODUCT(($B$43:$B$110="Garlic")*(AF$43:AF$110="H")*$C$43:$C$110)*$B$13/$J$13*$C$13</f>
        <v/>
      </c>
      <c r="AG213" s="36">
        <f>SUMPRODUCT(($B$43:$B$110="Garlic")*(AG$43:AG$110="H")*$C$43:$C$110)*$B$13/$J$13*$C$13</f>
        <v/>
      </c>
      <c r="AH213" s="36">
        <f>SUMPRODUCT(($B$43:$B$110="Garlic")*(AH$43:AH$110="H")*$C$43:$C$110)*$B$13/$J$13*$C$13</f>
        <v/>
      </c>
      <c r="AI213" s="36">
        <f>SUMPRODUCT(($B$43:$B$110="Garlic")*(AI$43:AI$110="H")*$C$43:$C$110)*$B$13/$J$13*$C$13</f>
        <v/>
      </c>
      <c r="AJ213" s="36">
        <f>SUMPRODUCT(($B$43:$B$110="Garlic")*(AJ$43:AJ$110="H")*$C$43:$C$110)*$B$13/$J$13*$C$13</f>
        <v/>
      </c>
      <c r="AK213" s="36">
        <f>SUMPRODUCT(($B$43:$B$110="Garlic")*(AK$43:AK$110="H")*$C$43:$C$110)*$B$13/$J$13*$C$13</f>
        <v/>
      </c>
      <c r="AL213" s="36">
        <f>SUMPRODUCT(($B$43:$B$110="Garlic")*(AL$43:AL$110="H")*$C$43:$C$110)*$B$13/$J$13*$C$13</f>
        <v/>
      </c>
      <c r="AM213" s="36">
        <f>SUMPRODUCT(($B$43:$B$110="Garlic")*(AM$43:AM$110="H")*$C$43:$C$110)*$B$13/$J$13*$C$13</f>
        <v/>
      </c>
      <c r="AN213" s="36">
        <f>SUMPRODUCT(($B$43:$B$110="Garlic")*(AN$43:AN$110="H")*$C$43:$C$110)*$B$13/$J$13*$C$13</f>
        <v/>
      </c>
      <c r="AO213" s="36">
        <f>SUMPRODUCT(($B$43:$B$110="Garlic")*(AO$43:AO$110="H")*$C$43:$C$110)*$B$13/$J$13*$C$13</f>
        <v/>
      </c>
      <c r="AP213" s="36">
        <f>SUMPRODUCT(($B$43:$B$110="Garlic")*(AP$43:AP$110="H")*$C$43:$C$110)*$B$13/$J$13*$C$13</f>
        <v/>
      </c>
      <c r="AQ213" s="36">
        <f>SUMPRODUCT(($B$43:$B$110="Garlic")*(AQ$43:AQ$110="H")*$C$43:$C$110)*$B$13/$J$13*$C$13</f>
        <v/>
      </c>
      <c r="AR213" s="36">
        <f>SUMPRODUCT(($B$43:$B$110="Garlic")*(AR$43:AR$110="H")*$C$43:$C$110)*$B$13/$J$13*$C$13</f>
        <v/>
      </c>
      <c r="AS213" s="36">
        <f>SUMPRODUCT(($B$43:$B$110="Garlic")*(AS$43:AS$110="H")*$C$43:$C$110)*$B$13/$J$13*$C$13</f>
        <v/>
      </c>
      <c r="AT213" s="36">
        <f>SUMPRODUCT(($B$43:$B$110="Garlic")*(AT$43:AT$110="H")*$C$43:$C$110)*$B$13/$J$13*$C$13</f>
        <v/>
      </c>
      <c r="AU213" s="36">
        <f>SUMPRODUCT(($B$43:$B$110="Garlic")*(AU$43:AU$110="H")*$C$43:$C$110)*$B$13/$J$13*$C$13</f>
        <v/>
      </c>
      <c r="AV213" s="36">
        <f>SUMPRODUCT(($B$43:$B$110="Garlic")*(AV$43:AV$110="H")*$C$43:$C$110)*$B$13/$J$13*$C$13</f>
        <v/>
      </c>
      <c r="AW213" s="36">
        <f>SUMPRODUCT(($B$43:$B$110="Garlic")*(AW$43:AW$110="H")*$C$43:$C$110)*$B$13/$J$13*$C$13</f>
        <v/>
      </c>
      <c r="AX213" s="36">
        <f>SUMPRODUCT(($B$43:$B$110="Garlic")*(AX$43:AX$110="H")*$C$43:$C$110)*$B$13/$J$13*$C$13</f>
        <v/>
      </c>
      <c r="AY213" s="36">
        <f>SUMPRODUCT(($B$43:$B$110="Garlic")*(AY$43:AY$110="H")*$C$43:$C$110)*$B$13/$J$13*$C$13</f>
        <v/>
      </c>
      <c r="AZ213" s="36">
        <f>SUMPRODUCT(($B$43:$B$110="Garlic")*(AZ$43:AZ$110="H")*$C$43:$C$110)*$B$13/$J$13*$C$13</f>
        <v/>
      </c>
      <c r="BA213" s="36">
        <f>SUMPRODUCT(($B$43:$B$110="Garlic")*(BA$43:BA$110="H")*$C$43:$C$110)*$B$13/$J$13*$C$13</f>
        <v/>
      </c>
      <c r="BB213" s="36">
        <f>SUMPRODUCT(($B$43:$B$110="Garlic")*(BB$43:BB$110="H")*$C$43:$C$110)*$B$13/$J$13*$C$13</f>
        <v/>
      </c>
      <c r="BC213" s="36">
        <f>SUMPRODUCT(($B$43:$B$110="Garlic")*(BC$43:BC$110="H")*$C$43:$C$110)*$B$13/$J$13*$C$13</f>
        <v/>
      </c>
      <c r="BD213" s="36">
        <f>SUMPRODUCT(($B$43:$B$110="Garlic")*(BD$43:BD$110="H")*$C$43:$C$110)*$B$13/$J$13*$C$13</f>
        <v/>
      </c>
    </row>
    <row r="214">
      <c r="A214" s="27" t="inlineStr">
        <is>
          <t>Stock carried in</t>
        </is>
      </c>
      <c r="B214" s="2" t="inlineStr">
        <is>
          <t>lb</t>
        </is>
      </c>
      <c r="E214" s="36" t="n">
        <v>0</v>
      </c>
      <c r="F214" s="36">
        <f>E229</f>
        <v/>
      </c>
      <c r="G214" s="36">
        <f>F229</f>
        <v/>
      </c>
      <c r="H214" s="36">
        <f>G229</f>
        <v/>
      </c>
      <c r="I214" s="36">
        <f>H229</f>
        <v/>
      </c>
      <c r="J214" s="36">
        <f>I229</f>
        <v/>
      </c>
      <c r="K214" s="36">
        <f>J229</f>
        <v/>
      </c>
      <c r="L214" s="36">
        <f>K229</f>
        <v/>
      </c>
      <c r="M214" s="36">
        <f>L229</f>
        <v/>
      </c>
      <c r="N214" s="36">
        <f>M229</f>
        <v/>
      </c>
      <c r="O214" s="36">
        <f>N229</f>
        <v/>
      </c>
      <c r="P214" s="36">
        <f>O229</f>
        <v/>
      </c>
      <c r="Q214" s="36">
        <f>P229</f>
        <v/>
      </c>
      <c r="R214" s="36">
        <f>Q229</f>
        <v/>
      </c>
      <c r="S214" s="36">
        <f>R229</f>
        <v/>
      </c>
      <c r="T214" s="36">
        <f>S229</f>
        <v/>
      </c>
      <c r="U214" s="36">
        <f>T229</f>
        <v/>
      </c>
      <c r="V214" s="36">
        <f>U229</f>
        <v/>
      </c>
      <c r="W214" s="36">
        <f>V229</f>
        <v/>
      </c>
      <c r="X214" s="36">
        <f>W229</f>
        <v/>
      </c>
      <c r="Y214" s="36">
        <f>X229</f>
        <v/>
      </c>
      <c r="Z214" s="36">
        <f>Y229</f>
        <v/>
      </c>
      <c r="AA214" s="36">
        <f>Z229</f>
        <v/>
      </c>
      <c r="AB214" s="36">
        <f>AA229</f>
        <v/>
      </c>
      <c r="AC214" s="36">
        <f>AB229</f>
        <v/>
      </c>
      <c r="AD214" s="36">
        <f>AC229</f>
        <v/>
      </c>
      <c r="AE214" s="36">
        <f>AD229</f>
        <v/>
      </c>
      <c r="AF214" s="36">
        <f>AE229</f>
        <v/>
      </c>
      <c r="AG214" s="36">
        <f>AF229</f>
        <v/>
      </c>
      <c r="AH214" s="36">
        <f>AG229</f>
        <v/>
      </c>
      <c r="AI214" s="36">
        <f>AH229</f>
        <v/>
      </c>
      <c r="AJ214" s="36">
        <f>AI229</f>
        <v/>
      </c>
      <c r="AK214" s="36">
        <f>AJ229</f>
        <v/>
      </c>
      <c r="AL214" s="36">
        <f>AK229</f>
        <v/>
      </c>
      <c r="AM214" s="36">
        <f>AL229</f>
        <v/>
      </c>
      <c r="AN214" s="36">
        <f>AM229</f>
        <v/>
      </c>
      <c r="AO214" s="36">
        <f>AN229</f>
        <v/>
      </c>
      <c r="AP214" s="36">
        <f>AO229</f>
        <v/>
      </c>
      <c r="AQ214" s="36">
        <f>AP229</f>
        <v/>
      </c>
      <c r="AR214" s="36">
        <f>AQ229</f>
        <v/>
      </c>
      <c r="AS214" s="36">
        <f>AR229</f>
        <v/>
      </c>
      <c r="AT214" s="36">
        <f>AS229</f>
        <v/>
      </c>
      <c r="AU214" s="36">
        <f>AT229</f>
        <v/>
      </c>
      <c r="AV214" s="36">
        <f>AU229</f>
        <v/>
      </c>
      <c r="AW214" s="36">
        <f>AV229</f>
        <v/>
      </c>
      <c r="AX214" s="36">
        <f>AW229</f>
        <v/>
      </c>
      <c r="AY214" s="36">
        <f>AX229</f>
        <v/>
      </c>
      <c r="AZ214" s="36">
        <f>AY229</f>
        <v/>
      </c>
      <c r="BA214" s="36">
        <f>AZ229</f>
        <v/>
      </c>
      <c r="BB214" s="36">
        <f>BA229</f>
        <v/>
      </c>
      <c r="BC214" s="36">
        <f>BB229</f>
        <v/>
      </c>
      <c r="BD214" s="36">
        <f>BC229</f>
        <v/>
      </c>
    </row>
    <row r="215">
      <c r="A215" s="27" t="inlineStr">
        <is>
          <t xml:space="preserve">   lost to shrink</t>
        </is>
      </c>
      <c r="B215" s="2" t="inlineStr">
        <is>
          <t>lb</t>
        </is>
      </c>
      <c r="E215" s="36">
        <f>E214*$G$13</f>
        <v/>
      </c>
      <c r="F215" s="36">
        <f>F214*$G$13</f>
        <v/>
      </c>
      <c r="G215" s="36">
        <f>G214*$G$13</f>
        <v/>
      </c>
      <c r="H215" s="36">
        <f>H214*$G$13</f>
        <v/>
      </c>
      <c r="I215" s="36">
        <f>I214*$G$13</f>
        <v/>
      </c>
      <c r="J215" s="36">
        <f>J214*$G$13</f>
        <v/>
      </c>
      <c r="K215" s="36">
        <f>K214*$G$13</f>
        <v/>
      </c>
      <c r="L215" s="36">
        <f>L214*$G$13</f>
        <v/>
      </c>
      <c r="M215" s="36">
        <f>M214*$G$13</f>
        <v/>
      </c>
      <c r="N215" s="36">
        <f>N214*$G$13</f>
        <v/>
      </c>
      <c r="O215" s="36">
        <f>O214*$G$13</f>
        <v/>
      </c>
      <c r="P215" s="36">
        <f>P214*$G$13</f>
        <v/>
      </c>
      <c r="Q215" s="36">
        <f>Q214*$G$13</f>
        <v/>
      </c>
      <c r="R215" s="36">
        <f>R214*$G$13</f>
        <v/>
      </c>
      <c r="S215" s="36">
        <f>S214*$G$13</f>
        <v/>
      </c>
      <c r="T215" s="36">
        <f>T214*$G$13</f>
        <v/>
      </c>
      <c r="U215" s="36">
        <f>U214*$G$13</f>
        <v/>
      </c>
      <c r="V215" s="36">
        <f>V214*$G$13</f>
        <v/>
      </c>
      <c r="W215" s="36">
        <f>W214*$G$13</f>
        <v/>
      </c>
      <c r="X215" s="36">
        <f>X214*$G$13</f>
        <v/>
      </c>
      <c r="Y215" s="36">
        <f>Y214*$G$13</f>
        <v/>
      </c>
      <c r="Z215" s="36">
        <f>Z214*$G$13</f>
        <v/>
      </c>
      <c r="AA215" s="36">
        <f>AA214*$G$13</f>
        <v/>
      </c>
      <c r="AB215" s="36">
        <f>AB214*$G$13</f>
        <v/>
      </c>
      <c r="AC215" s="36">
        <f>AC214*$G$13</f>
        <v/>
      </c>
      <c r="AD215" s="36">
        <f>AD214*$G$13</f>
        <v/>
      </c>
      <c r="AE215" s="36">
        <f>AE214*$G$13</f>
        <v/>
      </c>
      <c r="AF215" s="36">
        <f>AF214*$G$13</f>
        <v/>
      </c>
      <c r="AG215" s="36">
        <f>AG214*$G$13</f>
        <v/>
      </c>
      <c r="AH215" s="36">
        <f>AH214*$G$13</f>
        <v/>
      </c>
      <c r="AI215" s="36">
        <f>AI214*$G$13</f>
        <v/>
      </c>
      <c r="AJ215" s="36">
        <f>AJ214*$G$13</f>
        <v/>
      </c>
      <c r="AK215" s="36">
        <f>AK214*$G$13</f>
        <v/>
      </c>
      <c r="AL215" s="36">
        <f>AL214*$G$13</f>
        <v/>
      </c>
      <c r="AM215" s="36">
        <f>AM214*$G$13</f>
        <v/>
      </c>
      <c r="AN215" s="36">
        <f>AN214*$G$13</f>
        <v/>
      </c>
      <c r="AO215" s="36">
        <f>AO214*$G$13</f>
        <v/>
      </c>
      <c r="AP215" s="36">
        <f>AP214*$G$13</f>
        <v/>
      </c>
      <c r="AQ215" s="36">
        <f>AQ214*$G$13</f>
        <v/>
      </c>
      <c r="AR215" s="36">
        <f>AR214*$G$13</f>
        <v/>
      </c>
      <c r="AS215" s="36">
        <f>AS214*$G$13</f>
        <v/>
      </c>
      <c r="AT215" s="36">
        <f>AT214*$G$13</f>
        <v/>
      </c>
      <c r="AU215" s="36">
        <f>AU214*$G$13</f>
        <v/>
      </c>
      <c r="AV215" s="36">
        <f>AV214*$G$13</f>
        <v/>
      </c>
      <c r="AW215" s="36">
        <f>AW214*$G$13</f>
        <v/>
      </c>
      <c r="AX215" s="36">
        <f>AX214*$G$13</f>
        <v/>
      </c>
      <c r="AY215" s="36">
        <f>AY214*$G$13</f>
        <v/>
      </c>
      <c r="AZ215" s="36">
        <f>AZ214*$G$13</f>
        <v/>
      </c>
      <c r="BA215" s="36">
        <f>BA214*$G$13</f>
        <v/>
      </c>
      <c r="BB215" s="36">
        <f>BB214*$G$13</f>
        <v/>
      </c>
      <c r="BC215" s="36">
        <f>BC214*$G$13</f>
        <v/>
      </c>
      <c r="BD215" s="36">
        <f>BD214*$G$13</f>
        <v/>
      </c>
    </row>
    <row r="216">
      <c r="A216" s="4" t="inlineStr">
        <is>
          <t>In store this week</t>
        </is>
      </c>
      <c r="B216" s="2" t="inlineStr">
        <is>
          <t>lb</t>
        </is>
      </c>
      <c r="E216" s="36">
        <f>E214-E215+E213</f>
        <v/>
      </c>
      <c r="F216" s="36">
        <f>F214-F215+F213</f>
        <v/>
      </c>
      <c r="G216" s="36">
        <f>G214-G215+G213</f>
        <v/>
      </c>
      <c r="H216" s="36">
        <f>H214-H215+H213</f>
        <v/>
      </c>
      <c r="I216" s="36">
        <f>I214-I215+I213</f>
        <v/>
      </c>
      <c r="J216" s="36">
        <f>J214-J215+J213</f>
        <v/>
      </c>
      <c r="K216" s="36">
        <f>K214-K215+K213</f>
        <v/>
      </c>
      <c r="L216" s="36">
        <f>L214-L215+L213</f>
        <v/>
      </c>
      <c r="M216" s="36">
        <f>M214-M215+M213</f>
        <v/>
      </c>
      <c r="N216" s="36">
        <f>N214-N215+N213</f>
        <v/>
      </c>
      <c r="O216" s="36">
        <f>O214-O215+O213</f>
        <v/>
      </c>
      <c r="P216" s="36">
        <f>P214-P215+P213</f>
        <v/>
      </c>
      <c r="Q216" s="36">
        <f>Q214-Q215+Q213</f>
        <v/>
      </c>
      <c r="R216" s="36">
        <f>R214-R215+R213</f>
        <v/>
      </c>
      <c r="S216" s="36">
        <f>S214-S215+S213</f>
        <v/>
      </c>
      <c r="T216" s="36">
        <f>T214-T215+T213</f>
        <v/>
      </c>
      <c r="U216" s="36">
        <f>U214-U215+U213</f>
        <v/>
      </c>
      <c r="V216" s="36">
        <f>V214-V215+V213</f>
        <v/>
      </c>
      <c r="W216" s="36">
        <f>W214-W215+W213</f>
        <v/>
      </c>
      <c r="X216" s="36">
        <f>X214-X215+X213</f>
        <v/>
      </c>
      <c r="Y216" s="36">
        <f>Y214-Y215+Y213</f>
        <v/>
      </c>
      <c r="Z216" s="36">
        <f>Z214-Z215+Z213</f>
        <v/>
      </c>
      <c r="AA216" s="36">
        <f>AA214-AA215+AA213</f>
        <v/>
      </c>
      <c r="AB216" s="36">
        <f>AB214-AB215+AB213</f>
        <v/>
      </c>
      <c r="AC216" s="36">
        <f>AC214-AC215+AC213</f>
        <v/>
      </c>
      <c r="AD216" s="36">
        <f>AD214-AD215+AD213</f>
        <v/>
      </c>
      <c r="AE216" s="36">
        <f>AE214-AE215+AE213</f>
        <v/>
      </c>
      <c r="AF216" s="36">
        <f>AF214-AF215+AF213</f>
        <v/>
      </c>
      <c r="AG216" s="36">
        <f>AG214-AG215+AG213</f>
        <v/>
      </c>
      <c r="AH216" s="36">
        <f>AH214-AH215+AH213</f>
        <v/>
      </c>
      <c r="AI216" s="36">
        <f>AI214-AI215+AI213</f>
        <v/>
      </c>
      <c r="AJ216" s="36">
        <f>AJ214-AJ215+AJ213</f>
        <v/>
      </c>
      <c r="AK216" s="36">
        <f>AK214-AK215+AK213</f>
        <v/>
      </c>
      <c r="AL216" s="36">
        <f>AL214-AL215+AL213</f>
        <v/>
      </c>
      <c r="AM216" s="36">
        <f>AM214-AM215+AM213</f>
        <v/>
      </c>
      <c r="AN216" s="36">
        <f>AN214-AN215+AN213</f>
        <v/>
      </c>
      <c r="AO216" s="36">
        <f>AO214-AO215+AO213</f>
        <v/>
      </c>
      <c r="AP216" s="36">
        <f>AP214-AP215+AP213</f>
        <v/>
      </c>
      <c r="AQ216" s="36">
        <f>AQ214-AQ215+AQ213</f>
        <v/>
      </c>
      <c r="AR216" s="36">
        <f>AR214-AR215+AR213</f>
        <v/>
      </c>
      <c r="AS216" s="36">
        <f>AS214-AS215+AS213</f>
        <v/>
      </c>
      <c r="AT216" s="36">
        <f>AT214-AT215+AT213</f>
        <v/>
      </c>
      <c r="AU216" s="36">
        <f>AU214-AU215+AU213</f>
        <v/>
      </c>
      <c r="AV216" s="36">
        <f>AV214-AV215+AV213</f>
        <v/>
      </c>
      <c r="AW216" s="36">
        <f>AW214-AW215+AW213</f>
        <v/>
      </c>
      <c r="AX216" s="36">
        <f>AX214-AX215+AX213</f>
        <v/>
      </c>
      <c r="AY216" s="36">
        <f>AY214-AY215+AY213</f>
        <v/>
      </c>
      <c r="AZ216" s="36">
        <f>AZ214-AZ215+AZ213</f>
        <v/>
      </c>
      <c r="BA216" s="36">
        <f>BA214-BA215+BA213</f>
        <v/>
      </c>
      <c r="BB216" s="36">
        <f>BB214-BB215+BB213</f>
        <v/>
      </c>
      <c r="BC216" s="36">
        <f>BC214-BC215+BC213</f>
        <v/>
      </c>
      <c r="BD216" s="36">
        <f>BD214-BD215+BD213</f>
        <v/>
      </c>
    </row>
    <row r="217">
      <c r="A217" s="40" t="inlineStr">
        <is>
          <t>Farmers Market — most you may sell this week</t>
        </is>
      </c>
      <c r="B217" s="2" t="inlineStr">
        <is>
          <t>lb</t>
        </is>
      </c>
      <c r="E217" s="41">
        <f>IF($C$22="Annual",$D$22-0,IF(AND(1&gt;=$E$22,1&lt;=$F$22),$D$22,0))</f>
        <v/>
      </c>
      <c r="F217" s="41">
        <f>IF($C$22="Annual",$D$22-SUM(E219:E219),IF(AND(2&gt;=$E$22,2&lt;=$F$22),$D$22,0))</f>
        <v/>
      </c>
      <c r="G217" s="41">
        <f>IF($C$22="Annual",$D$22-SUM(E219:F219),IF(AND(3&gt;=$E$22,3&lt;=$F$22),$D$22,0))</f>
        <v/>
      </c>
      <c r="H217" s="41">
        <f>IF($C$22="Annual",$D$22-SUM(E219:G219),IF(AND(4&gt;=$E$22,4&lt;=$F$22),$D$22,0))</f>
        <v/>
      </c>
      <c r="I217" s="41">
        <f>IF($C$22="Annual",$D$22-SUM(E219:H219),IF(AND(5&gt;=$E$22,5&lt;=$F$22),$D$22,0))</f>
        <v/>
      </c>
      <c r="J217" s="41">
        <f>IF($C$22="Annual",$D$22-SUM(E219:I219),IF(AND(6&gt;=$E$22,6&lt;=$F$22),$D$22,0))</f>
        <v/>
      </c>
      <c r="K217" s="41">
        <f>IF($C$22="Annual",$D$22-SUM(E219:J219),IF(AND(7&gt;=$E$22,7&lt;=$F$22),$D$22,0))</f>
        <v/>
      </c>
      <c r="L217" s="41">
        <f>IF($C$22="Annual",$D$22-SUM(E219:K219),IF(AND(8&gt;=$E$22,8&lt;=$F$22),$D$22,0))</f>
        <v/>
      </c>
      <c r="M217" s="41">
        <f>IF($C$22="Annual",$D$22-SUM(E219:L219),IF(AND(9&gt;=$E$22,9&lt;=$F$22),$D$22,0))</f>
        <v/>
      </c>
      <c r="N217" s="41">
        <f>IF($C$22="Annual",$D$22-SUM(E219:M219),IF(AND(10&gt;=$E$22,10&lt;=$F$22),$D$22,0))</f>
        <v/>
      </c>
      <c r="O217" s="41">
        <f>IF($C$22="Annual",$D$22-SUM(E219:N219),IF(AND(11&gt;=$E$22,11&lt;=$F$22),$D$22,0))</f>
        <v/>
      </c>
      <c r="P217" s="41">
        <f>IF($C$22="Annual",$D$22-SUM(E219:O219),IF(AND(12&gt;=$E$22,12&lt;=$F$22),$D$22,0))</f>
        <v/>
      </c>
      <c r="Q217" s="41">
        <f>IF($C$22="Annual",$D$22-SUM(E219:P219),IF(AND(13&gt;=$E$22,13&lt;=$F$22),$D$22,0))</f>
        <v/>
      </c>
      <c r="R217" s="41">
        <f>IF($C$22="Annual",$D$22-SUM(E219:Q219),IF(AND(14&gt;=$E$22,14&lt;=$F$22),$D$22,0))</f>
        <v/>
      </c>
      <c r="S217" s="41">
        <f>IF($C$22="Annual",$D$22-SUM(E219:R219),IF(AND(15&gt;=$E$22,15&lt;=$F$22),$D$22,0))</f>
        <v/>
      </c>
      <c r="T217" s="41">
        <f>IF($C$22="Annual",$D$22-SUM(E219:S219),IF(AND(16&gt;=$E$22,16&lt;=$F$22),$D$22,0))</f>
        <v/>
      </c>
      <c r="U217" s="41">
        <f>IF($C$22="Annual",$D$22-SUM(E219:T219),IF(AND(17&gt;=$E$22,17&lt;=$F$22),$D$22,0))</f>
        <v/>
      </c>
      <c r="V217" s="41">
        <f>IF($C$22="Annual",$D$22-SUM(E219:U219),IF(AND(18&gt;=$E$22,18&lt;=$F$22),$D$22,0))</f>
        <v/>
      </c>
      <c r="W217" s="41">
        <f>IF($C$22="Annual",$D$22-SUM(E219:V219),IF(AND(19&gt;=$E$22,19&lt;=$F$22),$D$22,0))</f>
        <v/>
      </c>
      <c r="X217" s="41">
        <f>IF($C$22="Annual",$D$22-SUM(E219:W219),IF(AND(20&gt;=$E$22,20&lt;=$F$22),$D$22,0))</f>
        <v/>
      </c>
      <c r="Y217" s="41">
        <f>IF($C$22="Annual",$D$22-SUM(E219:X219),IF(AND(21&gt;=$E$22,21&lt;=$F$22),$D$22,0))</f>
        <v/>
      </c>
      <c r="Z217" s="41">
        <f>IF($C$22="Annual",$D$22-SUM(E219:Y219),IF(AND(22&gt;=$E$22,22&lt;=$F$22),$D$22,0))</f>
        <v/>
      </c>
      <c r="AA217" s="41">
        <f>IF($C$22="Annual",$D$22-SUM(E219:Z219),IF(AND(23&gt;=$E$22,23&lt;=$F$22),$D$22,0))</f>
        <v/>
      </c>
      <c r="AB217" s="41">
        <f>IF($C$22="Annual",$D$22-SUM(E219:AA219),IF(AND(24&gt;=$E$22,24&lt;=$F$22),$D$22,0))</f>
        <v/>
      </c>
      <c r="AC217" s="41">
        <f>IF($C$22="Annual",$D$22-SUM(E219:AB219),IF(AND(25&gt;=$E$22,25&lt;=$F$22),$D$22,0))</f>
        <v/>
      </c>
      <c r="AD217" s="41">
        <f>IF($C$22="Annual",$D$22-SUM(E219:AC219),IF(AND(26&gt;=$E$22,26&lt;=$F$22),$D$22,0))</f>
        <v/>
      </c>
      <c r="AE217" s="41">
        <f>IF($C$22="Annual",$D$22-SUM(E219:AD219),IF(AND(27&gt;=$E$22,27&lt;=$F$22),$D$22,0))</f>
        <v/>
      </c>
      <c r="AF217" s="41">
        <f>IF($C$22="Annual",$D$22-SUM(E219:AE219),IF(AND(28&gt;=$E$22,28&lt;=$F$22),$D$22,0))</f>
        <v/>
      </c>
      <c r="AG217" s="41">
        <f>IF($C$22="Annual",$D$22-SUM(E219:AF219),IF(AND(29&gt;=$E$22,29&lt;=$F$22),$D$22,0))</f>
        <v/>
      </c>
      <c r="AH217" s="41">
        <f>IF($C$22="Annual",$D$22-SUM(E219:AG219),IF(AND(30&gt;=$E$22,30&lt;=$F$22),$D$22,0))</f>
        <v/>
      </c>
      <c r="AI217" s="41">
        <f>IF($C$22="Annual",$D$22-SUM(E219:AH219),IF(AND(31&gt;=$E$22,31&lt;=$F$22),$D$22,0))</f>
        <v/>
      </c>
      <c r="AJ217" s="41">
        <f>IF($C$22="Annual",$D$22-SUM(E219:AI219),IF(AND(32&gt;=$E$22,32&lt;=$F$22),$D$22,0))</f>
        <v/>
      </c>
      <c r="AK217" s="41">
        <f>IF($C$22="Annual",$D$22-SUM(E219:AJ219),IF(AND(33&gt;=$E$22,33&lt;=$F$22),$D$22,0))</f>
        <v/>
      </c>
      <c r="AL217" s="41">
        <f>IF($C$22="Annual",$D$22-SUM(E219:AK219),IF(AND(34&gt;=$E$22,34&lt;=$F$22),$D$22,0))</f>
        <v/>
      </c>
      <c r="AM217" s="41">
        <f>IF($C$22="Annual",$D$22-SUM(E219:AL219),IF(AND(35&gt;=$E$22,35&lt;=$F$22),$D$22,0))</f>
        <v/>
      </c>
      <c r="AN217" s="41">
        <f>IF($C$22="Annual",$D$22-SUM(E219:AM219),IF(AND(36&gt;=$E$22,36&lt;=$F$22),$D$22,0))</f>
        <v/>
      </c>
      <c r="AO217" s="41">
        <f>IF($C$22="Annual",$D$22-SUM(E219:AN219),IF(AND(37&gt;=$E$22,37&lt;=$F$22),$D$22,0))</f>
        <v/>
      </c>
      <c r="AP217" s="41">
        <f>IF($C$22="Annual",$D$22-SUM(E219:AO219),IF(AND(38&gt;=$E$22,38&lt;=$F$22),$D$22,0))</f>
        <v/>
      </c>
      <c r="AQ217" s="41">
        <f>IF($C$22="Annual",$D$22-SUM(E219:AP219),IF(AND(39&gt;=$E$22,39&lt;=$F$22),$D$22,0))</f>
        <v/>
      </c>
      <c r="AR217" s="41">
        <f>IF($C$22="Annual",$D$22-SUM(E219:AQ219),IF(AND(40&gt;=$E$22,40&lt;=$F$22),$D$22,0))</f>
        <v/>
      </c>
      <c r="AS217" s="41">
        <f>IF($C$22="Annual",$D$22-SUM(E219:AR219),IF(AND(41&gt;=$E$22,41&lt;=$F$22),$D$22,0))</f>
        <v/>
      </c>
      <c r="AT217" s="41">
        <f>IF($C$22="Annual",$D$22-SUM(E219:AS219),IF(AND(42&gt;=$E$22,42&lt;=$F$22),$D$22,0))</f>
        <v/>
      </c>
      <c r="AU217" s="41">
        <f>IF($C$22="Annual",$D$22-SUM(E219:AT219),IF(AND(43&gt;=$E$22,43&lt;=$F$22),$D$22,0))</f>
        <v/>
      </c>
      <c r="AV217" s="41">
        <f>IF($C$22="Annual",$D$22-SUM(E219:AU219),IF(AND(44&gt;=$E$22,44&lt;=$F$22),$D$22,0))</f>
        <v/>
      </c>
      <c r="AW217" s="41">
        <f>IF($C$22="Annual",$D$22-SUM(E219:AV219),IF(AND(45&gt;=$E$22,45&lt;=$F$22),$D$22,0))</f>
        <v/>
      </c>
      <c r="AX217" s="41">
        <f>IF($C$22="Annual",$D$22-SUM(E219:AW219),IF(AND(46&gt;=$E$22,46&lt;=$F$22),$D$22,0))</f>
        <v/>
      </c>
      <c r="AY217" s="41">
        <f>IF($C$22="Annual",$D$22-SUM(E219:AX219),IF(AND(47&gt;=$E$22,47&lt;=$F$22),$D$22,0))</f>
        <v/>
      </c>
      <c r="AZ217" s="41">
        <f>IF($C$22="Annual",$D$22-SUM(E219:AY219),IF(AND(48&gt;=$E$22,48&lt;=$F$22),$D$22,0))</f>
        <v/>
      </c>
      <c r="BA217" s="41">
        <f>IF($C$22="Annual",$D$22-SUM(E219:AZ219),IF(AND(49&gt;=$E$22,49&lt;=$F$22),$D$22,0))</f>
        <v/>
      </c>
      <c r="BB217" s="41">
        <f>IF($C$22="Annual",$D$22-SUM(E219:BA219),IF(AND(50&gt;=$E$22,50&lt;=$F$22),$D$22,0))</f>
        <v/>
      </c>
      <c r="BC217" s="41">
        <f>IF($C$22="Annual",$D$22-SUM(E219:BB219),IF(AND(51&gt;=$E$22,51&lt;=$F$22),$D$22,0))</f>
        <v/>
      </c>
      <c r="BD217" s="41">
        <f>IF($C$22="Annual",$D$22-SUM(E219:BC219),IF(AND(52&gt;=$E$22,52&lt;=$F$22),$D$22,0))</f>
        <v/>
      </c>
    </row>
    <row r="218">
      <c r="A218" s="23" t="inlineStr">
        <is>
          <t>Farmers Market — OFFERED</t>
        </is>
      </c>
      <c r="B218" s="2" t="inlineStr">
        <is>
          <t>lb  &lt;-- SOLVER</t>
        </is>
      </c>
      <c r="E218" s="38" t="n">
        <v>0</v>
      </c>
      <c r="F218" s="38" t="n">
        <v>0</v>
      </c>
      <c r="G218" s="38" t="n">
        <v>0</v>
      </c>
      <c r="H218" s="38" t="n">
        <v>0</v>
      </c>
      <c r="I218" s="38" t="n">
        <v>0</v>
      </c>
      <c r="J218" s="38" t="n">
        <v>0</v>
      </c>
      <c r="K218" s="38" t="n">
        <v>0</v>
      </c>
      <c r="L218" s="38" t="n">
        <v>0</v>
      </c>
      <c r="M218" s="38" t="n">
        <v>0</v>
      </c>
      <c r="N218" s="38" t="n">
        <v>0</v>
      </c>
      <c r="O218" s="38" t="n">
        <v>0</v>
      </c>
      <c r="P218" s="38" t="n">
        <v>0</v>
      </c>
      <c r="Q218" s="38" t="n">
        <v>0</v>
      </c>
      <c r="R218" s="38" t="n">
        <v>0</v>
      </c>
      <c r="S218" s="38" t="n">
        <v>0</v>
      </c>
      <c r="T218" s="38" t="n">
        <v>0</v>
      </c>
      <c r="U218" s="38" t="n">
        <v>0</v>
      </c>
      <c r="V218" s="38" t="n">
        <v>0</v>
      </c>
      <c r="W218" s="38" t="n">
        <v>0</v>
      </c>
      <c r="X218" s="38" t="n">
        <v>0</v>
      </c>
      <c r="Y218" s="38" t="n">
        <v>0</v>
      </c>
      <c r="Z218" s="38" t="n">
        <v>0</v>
      </c>
      <c r="AA218" s="38" t="n">
        <v>0</v>
      </c>
      <c r="AB218" s="38" t="n">
        <v>0</v>
      </c>
      <c r="AC218" s="38" t="n">
        <v>0</v>
      </c>
      <c r="AD218" s="38" t="n">
        <v>0</v>
      </c>
      <c r="AE218" s="38" t="n">
        <v>0</v>
      </c>
      <c r="AF218" s="38" t="n">
        <v>0</v>
      </c>
      <c r="AG218" s="38" t="n">
        <v>0</v>
      </c>
      <c r="AH218" s="38" t="n">
        <v>0</v>
      </c>
      <c r="AI218" s="38" t="n">
        <v>0</v>
      </c>
      <c r="AJ218" s="38" t="n">
        <v>0</v>
      </c>
      <c r="AK218" s="38" t="n">
        <v>0</v>
      </c>
      <c r="AL218" s="38" t="n">
        <v>0</v>
      </c>
      <c r="AM218" s="38" t="n">
        <v>0</v>
      </c>
      <c r="AN218" s="38" t="n">
        <v>0</v>
      </c>
      <c r="AO218" s="38" t="n">
        <v>0</v>
      </c>
      <c r="AP218" s="38" t="n">
        <v>0</v>
      </c>
      <c r="AQ218" s="38" t="n">
        <v>0</v>
      </c>
      <c r="AR218" s="38" t="n">
        <v>0</v>
      </c>
      <c r="AS218" s="38" t="n">
        <v>0</v>
      </c>
      <c r="AT218" s="38" t="n">
        <v>0</v>
      </c>
      <c r="AU218" s="38" t="n">
        <v>0</v>
      </c>
      <c r="AV218" s="38" t="n">
        <v>0</v>
      </c>
      <c r="AW218" s="38" t="n">
        <v>0</v>
      </c>
      <c r="AX218" s="38" t="n">
        <v>0</v>
      </c>
      <c r="AY218" s="38" t="n">
        <v>0</v>
      </c>
      <c r="AZ218" s="38" t="n">
        <v>0</v>
      </c>
      <c r="BA218" s="38" t="n">
        <v>0</v>
      </c>
      <c r="BB218" s="38" t="n">
        <v>0</v>
      </c>
      <c r="BC218" s="38" t="n">
        <v>0</v>
      </c>
      <c r="BD218" s="38" t="n">
        <v>0</v>
      </c>
    </row>
    <row r="219">
      <c r="A219" s="42" t="inlineStr">
        <is>
          <t>Farmers Market — SOLD</t>
        </is>
      </c>
      <c r="B219" s="2" t="inlineStr">
        <is>
          <t>lb</t>
        </is>
      </c>
      <c r="E219" s="41">
        <f>E218*$G$22</f>
        <v/>
      </c>
      <c r="F219" s="41">
        <f>F218*$G$22</f>
        <v/>
      </c>
      <c r="G219" s="41">
        <f>G218*$G$22</f>
        <v/>
      </c>
      <c r="H219" s="41">
        <f>H218*$G$22</f>
        <v/>
      </c>
      <c r="I219" s="41">
        <f>I218*$G$22</f>
        <v/>
      </c>
      <c r="J219" s="41">
        <f>J218*$G$22</f>
        <v/>
      </c>
      <c r="K219" s="41">
        <f>K218*$G$22</f>
        <v/>
      </c>
      <c r="L219" s="41">
        <f>L218*$G$22</f>
        <v/>
      </c>
      <c r="M219" s="41">
        <f>M218*$G$22</f>
        <v/>
      </c>
      <c r="N219" s="41">
        <f>N218*$G$22</f>
        <v/>
      </c>
      <c r="O219" s="41">
        <f>O218*$G$22</f>
        <v/>
      </c>
      <c r="P219" s="41">
        <f>P218*$G$22</f>
        <v/>
      </c>
      <c r="Q219" s="41">
        <f>Q218*$G$22</f>
        <v/>
      </c>
      <c r="R219" s="41">
        <f>R218*$G$22</f>
        <v/>
      </c>
      <c r="S219" s="41">
        <f>S218*$G$22</f>
        <v/>
      </c>
      <c r="T219" s="41">
        <f>T218*$G$22</f>
        <v/>
      </c>
      <c r="U219" s="41">
        <f>U218*$G$22</f>
        <v/>
      </c>
      <c r="V219" s="41">
        <f>V218*$G$22</f>
        <v/>
      </c>
      <c r="W219" s="41">
        <f>W218*$G$22</f>
        <v/>
      </c>
      <c r="X219" s="41">
        <f>X218*$G$22</f>
        <v/>
      </c>
      <c r="Y219" s="41">
        <f>Y218*$G$22</f>
        <v/>
      </c>
      <c r="Z219" s="41">
        <f>Z218*$G$22</f>
        <v/>
      </c>
      <c r="AA219" s="41">
        <f>AA218*$G$22</f>
        <v/>
      </c>
      <c r="AB219" s="41">
        <f>AB218*$G$22</f>
        <v/>
      </c>
      <c r="AC219" s="41">
        <f>AC218*$G$22</f>
        <v/>
      </c>
      <c r="AD219" s="41">
        <f>AD218*$G$22</f>
        <v/>
      </c>
      <c r="AE219" s="41">
        <f>AE218*$G$22</f>
        <v/>
      </c>
      <c r="AF219" s="41">
        <f>AF218*$G$22</f>
        <v/>
      </c>
      <c r="AG219" s="41">
        <f>AG218*$G$22</f>
        <v/>
      </c>
      <c r="AH219" s="41">
        <f>AH218*$G$22</f>
        <v/>
      </c>
      <c r="AI219" s="41">
        <f>AI218*$G$22</f>
        <v/>
      </c>
      <c r="AJ219" s="41">
        <f>AJ218*$G$22</f>
        <v/>
      </c>
      <c r="AK219" s="41">
        <f>AK218*$G$22</f>
        <v/>
      </c>
      <c r="AL219" s="41">
        <f>AL218*$G$22</f>
        <v/>
      </c>
      <c r="AM219" s="41">
        <f>AM218*$G$22</f>
        <v/>
      </c>
      <c r="AN219" s="41">
        <f>AN218*$G$22</f>
        <v/>
      </c>
      <c r="AO219" s="41">
        <f>AO218*$G$22</f>
        <v/>
      </c>
      <c r="AP219" s="41">
        <f>AP218*$G$22</f>
        <v/>
      </c>
      <c r="AQ219" s="41">
        <f>AQ218*$G$22</f>
        <v/>
      </c>
      <c r="AR219" s="41">
        <f>AR218*$G$22</f>
        <v/>
      </c>
      <c r="AS219" s="41">
        <f>AS218*$G$22</f>
        <v/>
      </c>
      <c r="AT219" s="41">
        <f>AT218*$G$22</f>
        <v/>
      </c>
      <c r="AU219" s="41">
        <f>AU218*$G$22</f>
        <v/>
      </c>
      <c r="AV219" s="41">
        <f>AV218*$G$22</f>
        <v/>
      </c>
      <c r="AW219" s="41">
        <f>AW218*$G$22</f>
        <v/>
      </c>
      <c r="AX219" s="41">
        <f>AX218*$G$22</f>
        <v/>
      </c>
      <c r="AY219" s="41">
        <f>AY218*$G$22</f>
        <v/>
      </c>
      <c r="AZ219" s="41">
        <f>AZ218*$G$22</f>
        <v/>
      </c>
      <c r="BA219" s="41">
        <f>BA218*$G$22</f>
        <v/>
      </c>
      <c r="BB219" s="41">
        <f>BB218*$G$22</f>
        <v/>
      </c>
      <c r="BC219" s="41">
        <f>BC218*$G$22</f>
        <v/>
      </c>
      <c r="BD219" s="41">
        <f>BD218*$G$22</f>
        <v/>
      </c>
    </row>
    <row r="220">
      <c r="A220" s="27" t="inlineStr">
        <is>
          <t xml:space="preserve">   market loss (gone)</t>
        </is>
      </c>
      <c r="B220" s="2" t="inlineStr">
        <is>
          <t>lb</t>
        </is>
      </c>
      <c r="E220" s="36">
        <f>(E218-E219)*(1-$H$22)</f>
        <v/>
      </c>
      <c r="F220" s="36">
        <f>(F218-F219)*(1-$H$22)</f>
        <v/>
      </c>
      <c r="G220" s="36">
        <f>(G218-G219)*(1-$H$22)</f>
        <v/>
      </c>
      <c r="H220" s="36">
        <f>(H218-H219)*(1-$H$22)</f>
        <v/>
      </c>
      <c r="I220" s="36">
        <f>(I218-I219)*(1-$H$22)</f>
        <v/>
      </c>
      <c r="J220" s="36">
        <f>(J218-J219)*(1-$H$22)</f>
        <v/>
      </c>
      <c r="K220" s="36">
        <f>(K218-K219)*(1-$H$22)</f>
        <v/>
      </c>
      <c r="L220" s="36">
        <f>(L218-L219)*(1-$H$22)</f>
        <v/>
      </c>
      <c r="M220" s="36">
        <f>(M218-M219)*(1-$H$22)</f>
        <v/>
      </c>
      <c r="N220" s="36">
        <f>(N218-N219)*(1-$H$22)</f>
        <v/>
      </c>
      <c r="O220" s="36">
        <f>(O218-O219)*(1-$H$22)</f>
        <v/>
      </c>
      <c r="P220" s="36">
        <f>(P218-P219)*(1-$H$22)</f>
        <v/>
      </c>
      <c r="Q220" s="36">
        <f>(Q218-Q219)*(1-$H$22)</f>
        <v/>
      </c>
      <c r="R220" s="36">
        <f>(R218-R219)*(1-$H$22)</f>
        <v/>
      </c>
      <c r="S220" s="36">
        <f>(S218-S219)*(1-$H$22)</f>
        <v/>
      </c>
      <c r="T220" s="36">
        <f>(T218-T219)*(1-$H$22)</f>
        <v/>
      </c>
      <c r="U220" s="36">
        <f>(U218-U219)*(1-$H$22)</f>
        <v/>
      </c>
      <c r="V220" s="36">
        <f>(V218-V219)*(1-$H$22)</f>
        <v/>
      </c>
      <c r="W220" s="36">
        <f>(W218-W219)*(1-$H$22)</f>
        <v/>
      </c>
      <c r="X220" s="36">
        <f>(X218-X219)*(1-$H$22)</f>
        <v/>
      </c>
      <c r="Y220" s="36">
        <f>(Y218-Y219)*(1-$H$22)</f>
        <v/>
      </c>
      <c r="Z220" s="36">
        <f>(Z218-Z219)*(1-$H$22)</f>
        <v/>
      </c>
      <c r="AA220" s="36">
        <f>(AA218-AA219)*(1-$H$22)</f>
        <v/>
      </c>
      <c r="AB220" s="36">
        <f>(AB218-AB219)*(1-$H$22)</f>
        <v/>
      </c>
      <c r="AC220" s="36">
        <f>(AC218-AC219)*(1-$H$22)</f>
        <v/>
      </c>
      <c r="AD220" s="36">
        <f>(AD218-AD219)*(1-$H$22)</f>
        <v/>
      </c>
      <c r="AE220" s="36">
        <f>(AE218-AE219)*(1-$H$22)</f>
        <v/>
      </c>
      <c r="AF220" s="36">
        <f>(AF218-AF219)*(1-$H$22)</f>
        <v/>
      </c>
      <c r="AG220" s="36">
        <f>(AG218-AG219)*(1-$H$22)</f>
        <v/>
      </c>
      <c r="AH220" s="36">
        <f>(AH218-AH219)*(1-$H$22)</f>
        <v/>
      </c>
      <c r="AI220" s="36">
        <f>(AI218-AI219)*(1-$H$22)</f>
        <v/>
      </c>
      <c r="AJ220" s="36">
        <f>(AJ218-AJ219)*(1-$H$22)</f>
        <v/>
      </c>
      <c r="AK220" s="36">
        <f>(AK218-AK219)*(1-$H$22)</f>
        <v/>
      </c>
      <c r="AL220" s="36">
        <f>(AL218-AL219)*(1-$H$22)</f>
        <v/>
      </c>
      <c r="AM220" s="36">
        <f>(AM218-AM219)*(1-$H$22)</f>
        <v/>
      </c>
      <c r="AN220" s="36">
        <f>(AN218-AN219)*(1-$H$22)</f>
        <v/>
      </c>
      <c r="AO220" s="36">
        <f>(AO218-AO219)*(1-$H$22)</f>
        <v/>
      </c>
      <c r="AP220" s="36">
        <f>(AP218-AP219)*(1-$H$22)</f>
        <v/>
      </c>
      <c r="AQ220" s="36">
        <f>(AQ218-AQ219)*(1-$H$22)</f>
        <v/>
      </c>
      <c r="AR220" s="36">
        <f>(AR218-AR219)*(1-$H$22)</f>
        <v/>
      </c>
      <c r="AS220" s="36">
        <f>(AS218-AS219)*(1-$H$22)</f>
        <v/>
      </c>
      <c r="AT220" s="36">
        <f>(AT218-AT219)*(1-$H$22)</f>
        <v/>
      </c>
      <c r="AU220" s="36">
        <f>(AU218-AU219)*(1-$H$22)</f>
        <v/>
      </c>
      <c r="AV220" s="36">
        <f>(AV218-AV219)*(1-$H$22)</f>
        <v/>
      </c>
      <c r="AW220" s="36">
        <f>(AW218-AW219)*(1-$H$22)</f>
        <v/>
      </c>
      <c r="AX220" s="36">
        <f>(AX218-AX219)*(1-$H$22)</f>
        <v/>
      </c>
      <c r="AY220" s="36">
        <f>(AY218-AY219)*(1-$H$22)</f>
        <v/>
      </c>
      <c r="AZ220" s="36">
        <f>(AZ218-AZ219)*(1-$H$22)</f>
        <v/>
      </c>
      <c r="BA220" s="36">
        <f>(BA218-BA219)*(1-$H$22)</f>
        <v/>
      </c>
      <c r="BB220" s="36">
        <f>(BB218-BB219)*(1-$H$22)</f>
        <v/>
      </c>
      <c r="BC220" s="36">
        <f>(BC218-BC219)*(1-$H$22)</f>
        <v/>
      </c>
      <c r="BD220" s="36">
        <f>(BD218-BD219)*(1-$H$22)</f>
        <v/>
      </c>
    </row>
    <row r="221">
      <c r="A221" s="27" t="inlineStr">
        <is>
          <t xml:space="preserve">   returned to store</t>
        </is>
      </c>
      <c r="B221" s="2" t="inlineStr">
        <is>
          <t>lb</t>
        </is>
      </c>
      <c r="E221" s="36">
        <f>(E218-E219)*$H$22</f>
        <v/>
      </c>
      <c r="F221" s="36">
        <f>(F218-F219)*$H$22</f>
        <v/>
      </c>
      <c r="G221" s="36">
        <f>(G218-G219)*$H$22</f>
        <v/>
      </c>
      <c r="H221" s="36">
        <f>(H218-H219)*$H$22</f>
        <v/>
      </c>
      <c r="I221" s="36">
        <f>(I218-I219)*$H$22</f>
        <v/>
      </c>
      <c r="J221" s="36">
        <f>(J218-J219)*$H$22</f>
        <v/>
      </c>
      <c r="K221" s="36">
        <f>(K218-K219)*$H$22</f>
        <v/>
      </c>
      <c r="L221" s="36">
        <f>(L218-L219)*$H$22</f>
        <v/>
      </c>
      <c r="M221" s="36">
        <f>(M218-M219)*$H$22</f>
        <v/>
      </c>
      <c r="N221" s="36">
        <f>(N218-N219)*$H$22</f>
        <v/>
      </c>
      <c r="O221" s="36">
        <f>(O218-O219)*$H$22</f>
        <v/>
      </c>
      <c r="P221" s="36">
        <f>(P218-P219)*$H$22</f>
        <v/>
      </c>
      <c r="Q221" s="36">
        <f>(Q218-Q219)*$H$22</f>
        <v/>
      </c>
      <c r="R221" s="36">
        <f>(R218-R219)*$H$22</f>
        <v/>
      </c>
      <c r="S221" s="36">
        <f>(S218-S219)*$H$22</f>
        <v/>
      </c>
      <c r="T221" s="36">
        <f>(T218-T219)*$H$22</f>
        <v/>
      </c>
      <c r="U221" s="36">
        <f>(U218-U219)*$H$22</f>
        <v/>
      </c>
      <c r="V221" s="36">
        <f>(V218-V219)*$H$22</f>
        <v/>
      </c>
      <c r="W221" s="36">
        <f>(W218-W219)*$H$22</f>
        <v/>
      </c>
      <c r="X221" s="36">
        <f>(X218-X219)*$H$22</f>
        <v/>
      </c>
      <c r="Y221" s="36">
        <f>(Y218-Y219)*$H$22</f>
        <v/>
      </c>
      <c r="Z221" s="36">
        <f>(Z218-Z219)*$H$22</f>
        <v/>
      </c>
      <c r="AA221" s="36">
        <f>(AA218-AA219)*$H$22</f>
        <v/>
      </c>
      <c r="AB221" s="36">
        <f>(AB218-AB219)*$H$22</f>
        <v/>
      </c>
      <c r="AC221" s="36">
        <f>(AC218-AC219)*$H$22</f>
        <v/>
      </c>
      <c r="AD221" s="36">
        <f>(AD218-AD219)*$H$22</f>
        <v/>
      </c>
      <c r="AE221" s="36">
        <f>(AE218-AE219)*$H$22</f>
        <v/>
      </c>
      <c r="AF221" s="36">
        <f>(AF218-AF219)*$H$22</f>
        <v/>
      </c>
      <c r="AG221" s="36">
        <f>(AG218-AG219)*$H$22</f>
        <v/>
      </c>
      <c r="AH221" s="36">
        <f>(AH218-AH219)*$H$22</f>
        <v/>
      </c>
      <c r="AI221" s="36">
        <f>(AI218-AI219)*$H$22</f>
        <v/>
      </c>
      <c r="AJ221" s="36">
        <f>(AJ218-AJ219)*$H$22</f>
        <v/>
      </c>
      <c r="AK221" s="36">
        <f>(AK218-AK219)*$H$22</f>
        <v/>
      </c>
      <c r="AL221" s="36">
        <f>(AL218-AL219)*$H$22</f>
        <v/>
      </c>
      <c r="AM221" s="36">
        <f>(AM218-AM219)*$H$22</f>
        <v/>
      </c>
      <c r="AN221" s="36">
        <f>(AN218-AN219)*$H$22</f>
        <v/>
      </c>
      <c r="AO221" s="36">
        <f>(AO218-AO219)*$H$22</f>
        <v/>
      </c>
      <c r="AP221" s="36">
        <f>(AP218-AP219)*$H$22</f>
        <v/>
      </c>
      <c r="AQ221" s="36">
        <f>(AQ218-AQ219)*$H$22</f>
        <v/>
      </c>
      <c r="AR221" s="36">
        <f>(AR218-AR219)*$H$22</f>
        <v/>
      </c>
      <c r="AS221" s="36">
        <f>(AS218-AS219)*$H$22</f>
        <v/>
      </c>
      <c r="AT221" s="36">
        <f>(AT218-AT219)*$H$22</f>
        <v/>
      </c>
      <c r="AU221" s="36">
        <f>(AU218-AU219)*$H$22</f>
        <v/>
      </c>
      <c r="AV221" s="36">
        <f>(AV218-AV219)*$H$22</f>
        <v/>
      </c>
      <c r="AW221" s="36">
        <f>(AW218-AW219)*$H$22</f>
        <v/>
      </c>
      <c r="AX221" s="36">
        <f>(AX218-AX219)*$H$22</f>
        <v/>
      </c>
      <c r="AY221" s="36">
        <f>(AY218-AY219)*$H$22</f>
        <v/>
      </c>
      <c r="AZ221" s="36">
        <f>(AZ218-AZ219)*$H$22</f>
        <v/>
      </c>
      <c r="BA221" s="36">
        <f>(BA218-BA219)*$H$22</f>
        <v/>
      </c>
      <c r="BB221" s="36">
        <f>(BB218-BB219)*$H$22</f>
        <v/>
      </c>
      <c r="BC221" s="36">
        <f>(BC218-BC219)*$H$22</f>
        <v/>
      </c>
      <c r="BD221" s="36">
        <f>(BD218-BD219)*$H$22</f>
        <v/>
      </c>
    </row>
    <row r="222">
      <c r="A222" s="27" t="inlineStr">
        <is>
          <t xml:space="preserve">   leaves the store (offered - returned)</t>
        </is>
      </c>
      <c r="B222" s="2" t="inlineStr">
        <is>
          <t>lb</t>
        </is>
      </c>
      <c r="E222" s="36">
        <f>E218-E221</f>
        <v/>
      </c>
      <c r="F222" s="36">
        <f>F218-F221</f>
        <v/>
      </c>
      <c r="G222" s="36">
        <f>G218-G221</f>
        <v/>
      </c>
      <c r="H222" s="36">
        <f>H218-H221</f>
        <v/>
      </c>
      <c r="I222" s="36">
        <f>I218-I221</f>
        <v/>
      </c>
      <c r="J222" s="36">
        <f>J218-J221</f>
        <v/>
      </c>
      <c r="K222" s="36">
        <f>K218-K221</f>
        <v/>
      </c>
      <c r="L222" s="36">
        <f>L218-L221</f>
        <v/>
      </c>
      <c r="M222" s="36">
        <f>M218-M221</f>
        <v/>
      </c>
      <c r="N222" s="36">
        <f>N218-N221</f>
        <v/>
      </c>
      <c r="O222" s="36">
        <f>O218-O221</f>
        <v/>
      </c>
      <c r="P222" s="36">
        <f>P218-P221</f>
        <v/>
      </c>
      <c r="Q222" s="36">
        <f>Q218-Q221</f>
        <v/>
      </c>
      <c r="R222" s="36">
        <f>R218-R221</f>
        <v/>
      </c>
      <c r="S222" s="36">
        <f>S218-S221</f>
        <v/>
      </c>
      <c r="T222" s="36">
        <f>T218-T221</f>
        <v/>
      </c>
      <c r="U222" s="36">
        <f>U218-U221</f>
        <v/>
      </c>
      <c r="V222" s="36">
        <f>V218-V221</f>
        <v/>
      </c>
      <c r="W222" s="36">
        <f>W218-W221</f>
        <v/>
      </c>
      <c r="X222" s="36">
        <f>X218-X221</f>
        <v/>
      </c>
      <c r="Y222" s="36">
        <f>Y218-Y221</f>
        <v/>
      </c>
      <c r="Z222" s="36">
        <f>Z218-Z221</f>
        <v/>
      </c>
      <c r="AA222" s="36">
        <f>AA218-AA221</f>
        <v/>
      </c>
      <c r="AB222" s="36">
        <f>AB218-AB221</f>
        <v/>
      </c>
      <c r="AC222" s="36">
        <f>AC218-AC221</f>
        <v/>
      </c>
      <c r="AD222" s="36">
        <f>AD218-AD221</f>
        <v/>
      </c>
      <c r="AE222" s="36">
        <f>AE218-AE221</f>
        <v/>
      </c>
      <c r="AF222" s="36">
        <f>AF218-AF221</f>
        <v/>
      </c>
      <c r="AG222" s="36">
        <f>AG218-AG221</f>
        <v/>
      </c>
      <c r="AH222" s="36">
        <f>AH218-AH221</f>
        <v/>
      </c>
      <c r="AI222" s="36">
        <f>AI218-AI221</f>
        <v/>
      </c>
      <c r="AJ222" s="36">
        <f>AJ218-AJ221</f>
        <v/>
      </c>
      <c r="AK222" s="36">
        <f>AK218-AK221</f>
        <v/>
      </c>
      <c r="AL222" s="36">
        <f>AL218-AL221</f>
        <v/>
      </c>
      <c r="AM222" s="36">
        <f>AM218-AM221</f>
        <v/>
      </c>
      <c r="AN222" s="36">
        <f>AN218-AN221</f>
        <v/>
      </c>
      <c r="AO222" s="36">
        <f>AO218-AO221</f>
        <v/>
      </c>
      <c r="AP222" s="36">
        <f>AP218-AP221</f>
        <v/>
      </c>
      <c r="AQ222" s="36">
        <f>AQ218-AQ221</f>
        <v/>
      </c>
      <c r="AR222" s="36">
        <f>AR218-AR221</f>
        <v/>
      </c>
      <c r="AS222" s="36">
        <f>AS218-AS221</f>
        <v/>
      </c>
      <c r="AT222" s="36">
        <f>AT218-AT221</f>
        <v/>
      </c>
      <c r="AU222" s="36">
        <f>AU218-AU221</f>
        <v/>
      </c>
      <c r="AV222" s="36">
        <f>AV218-AV221</f>
        <v/>
      </c>
      <c r="AW222" s="36">
        <f>AW218-AW221</f>
        <v/>
      </c>
      <c r="AX222" s="36">
        <f>AX218-AX221</f>
        <v/>
      </c>
      <c r="AY222" s="36">
        <f>AY218-AY221</f>
        <v/>
      </c>
      <c r="AZ222" s="36">
        <f>AZ218-AZ221</f>
        <v/>
      </c>
      <c r="BA222" s="36">
        <f>BA218-BA221</f>
        <v/>
      </c>
      <c r="BB222" s="36">
        <f>BB218-BB221</f>
        <v/>
      </c>
      <c r="BC222" s="36">
        <f>BC218-BC221</f>
        <v/>
      </c>
      <c r="BD222" s="36">
        <f>BD218-BD221</f>
        <v/>
      </c>
    </row>
    <row r="223">
      <c r="A223" s="43" t="inlineStr">
        <is>
          <t>Wholesale — most you may sell this week</t>
        </is>
      </c>
      <c r="B223" s="2" t="inlineStr">
        <is>
          <t>lb</t>
        </is>
      </c>
      <c r="E223" s="44">
        <f>IF($C$23="Annual",$D$23-0,IF(AND(1&gt;=$E$23,1&lt;=$F$23),$D$23,0))</f>
        <v/>
      </c>
      <c r="F223" s="44">
        <f>IF($C$23="Annual",$D$23-SUM(E225:E225),IF(AND(2&gt;=$E$23,2&lt;=$F$23),$D$23,0))</f>
        <v/>
      </c>
      <c r="G223" s="44">
        <f>IF($C$23="Annual",$D$23-SUM(E225:F225),IF(AND(3&gt;=$E$23,3&lt;=$F$23),$D$23,0))</f>
        <v/>
      </c>
      <c r="H223" s="44">
        <f>IF($C$23="Annual",$D$23-SUM(E225:G225),IF(AND(4&gt;=$E$23,4&lt;=$F$23),$D$23,0))</f>
        <v/>
      </c>
      <c r="I223" s="44">
        <f>IF($C$23="Annual",$D$23-SUM(E225:H225),IF(AND(5&gt;=$E$23,5&lt;=$F$23),$D$23,0))</f>
        <v/>
      </c>
      <c r="J223" s="44">
        <f>IF($C$23="Annual",$D$23-SUM(E225:I225),IF(AND(6&gt;=$E$23,6&lt;=$F$23),$D$23,0))</f>
        <v/>
      </c>
      <c r="K223" s="44">
        <f>IF($C$23="Annual",$D$23-SUM(E225:J225),IF(AND(7&gt;=$E$23,7&lt;=$F$23),$D$23,0))</f>
        <v/>
      </c>
      <c r="L223" s="44">
        <f>IF($C$23="Annual",$D$23-SUM(E225:K225),IF(AND(8&gt;=$E$23,8&lt;=$F$23),$D$23,0))</f>
        <v/>
      </c>
      <c r="M223" s="44">
        <f>IF($C$23="Annual",$D$23-SUM(E225:L225),IF(AND(9&gt;=$E$23,9&lt;=$F$23),$D$23,0))</f>
        <v/>
      </c>
      <c r="N223" s="44">
        <f>IF($C$23="Annual",$D$23-SUM(E225:M225),IF(AND(10&gt;=$E$23,10&lt;=$F$23),$D$23,0))</f>
        <v/>
      </c>
      <c r="O223" s="44">
        <f>IF($C$23="Annual",$D$23-SUM(E225:N225),IF(AND(11&gt;=$E$23,11&lt;=$F$23),$D$23,0))</f>
        <v/>
      </c>
      <c r="P223" s="44">
        <f>IF($C$23="Annual",$D$23-SUM(E225:O225),IF(AND(12&gt;=$E$23,12&lt;=$F$23),$D$23,0))</f>
        <v/>
      </c>
      <c r="Q223" s="44">
        <f>IF($C$23="Annual",$D$23-SUM(E225:P225),IF(AND(13&gt;=$E$23,13&lt;=$F$23),$D$23,0))</f>
        <v/>
      </c>
      <c r="R223" s="44">
        <f>IF($C$23="Annual",$D$23-SUM(E225:Q225),IF(AND(14&gt;=$E$23,14&lt;=$F$23),$D$23,0))</f>
        <v/>
      </c>
      <c r="S223" s="44">
        <f>IF($C$23="Annual",$D$23-SUM(E225:R225),IF(AND(15&gt;=$E$23,15&lt;=$F$23),$D$23,0))</f>
        <v/>
      </c>
      <c r="T223" s="44">
        <f>IF($C$23="Annual",$D$23-SUM(E225:S225),IF(AND(16&gt;=$E$23,16&lt;=$F$23),$D$23,0))</f>
        <v/>
      </c>
      <c r="U223" s="44">
        <f>IF($C$23="Annual",$D$23-SUM(E225:T225),IF(AND(17&gt;=$E$23,17&lt;=$F$23),$D$23,0))</f>
        <v/>
      </c>
      <c r="V223" s="44">
        <f>IF($C$23="Annual",$D$23-SUM(E225:U225),IF(AND(18&gt;=$E$23,18&lt;=$F$23),$D$23,0))</f>
        <v/>
      </c>
      <c r="W223" s="44">
        <f>IF($C$23="Annual",$D$23-SUM(E225:V225),IF(AND(19&gt;=$E$23,19&lt;=$F$23),$D$23,0))</f>
        <v/>
      </c>
      <c r="X223" s="44">
        <f>IF($C$23="Annual",$D$23-SUM(E225:W225),IF(AND(20&gt;=$E$23,20&lt;=$F$23),$D$23,0))</f>
        <v/>
      </c>
      <c r="Y223" s="44">
        <f>IF($C$23="Annual",$D$23-SUM(E225:X225),IF(AND(21&gt;=$E$23,21&lt;=$F$23),$D$23,0))</f>
        <v/>
      </c>
      <c r="Z223" s="44">
        <f>IF($C$23="Annual",$D$23-SUM(E225:Y225),IF(AND(22&gt;=$E$23,22&lt;=$F$23),$D$23,0))</f>
        <v/>
      </c>
      <c r="AA223" s="44">
        <f>IF($C$23="Annual",$D$23-SUM(E225:Z225),IF(AND(23&gt;=$E$23,23&lt;=$F$23),$D$23,0))</f>
        <v/>
      </c>
      <c r="AB223" s="44">
        <f>IF($C$23="Annual",$D$23-SUM(E225:AA225),IF(AND(24&gt;=$E$23,24&lt;=$F$23),$D$23,0))</f>
        <v/>
      </c>
      <c r="AC223" s="44">
        <f>IF($C$23="Annual",$D$23-SUM(E225:AB225),IF(AND(25&gt;=$E$23,25&lt;=$F$23),$D$23,0))</f>
        <v/>
      </c>
      <c r="AD223" s="44">
        <f>IF($C$23="Annual",$D$23-SUM(E225:AC225),IF(AND(26&gt;=$E$23,26&lt;=$F$23),$D$23,0))</f>
        <v/>
      </c>
      <c r="AE223" s="44">
        <f>IF($C$23="Annual",$D$23-SUM(E225:AD225),IF(AND(27&gt;=$E$23,27&lt;=$F$23),$D$23,0))</f>
        <v/>
      </c>
      <c r="AF223" s="44">
        <f>IF($C$23="Annual",$D$23-SUM(E225:AE225),IF(AND(28&gt;=$E$23,28&lt;=$F$23),$D$23,0))</f>
        <v/>
      </c>
      <c r="AG223" s="44">
        <f>IF($C$23="Annual",$D$23-SUM(E225:AF225),IF(AND(29&gt;=$E$23,29&lt;=$F$23),$D$23,0))</f>
        <v/>
      </c>
      <c r="AH223" s="44">
        <f>IF($C$23="Annual",$D$23-SUM(E225:AG225),IF(AND(30&gt;=$E$23,30&lt;=$F$23),$D$23,0))</f>
        <v/>
      </c>
      <c r="AI223" s="44">
        <f>IF($C$23="Annual",$D$23-SUM(E225:AH225),IF(AND(31&gt;=$E$23,31&lt;=$F$23),$D$23,0))</f>
        <v/>
      </c>
      <c r="AJ223" s="44">
        <f>IF($C$23="Annual",$D$23-SUM(E225:AI225),IF(AND(32&gt;=$E$23,32&lt;=$F$23),$D$23,0))</f>
        <v/>
      </c>
      <c r="AK223" s="44">
        <f>IF($C$23="Annual",$D$23-SUM(E225:AJ225),IF(AND(33&gt;=$E$23,33&lt;=$F$23),$D$23,0))</f>
        <v/>
      </c>
      <c r="AL223" s="44">
        <f>IF($C$23="Annual",$D$23-SUM(E225:AK225),IF(AND(34&gt;=$E$23,34&lt;=$F$23),$D$23,0))</f>
        <v/>
      </c>
      <c r="AM223" s="44">
        <f>IF($C$23="Annual",$D$23-SUM(E225:AL225),IF(AND(35&gt;=$E$23,35&lt;=$F$23),$D$23,0))</f>
        <v/>
      </c>
      <c r="AN223" s="44">
        <f>IF($C$23="Annual",$D$23-SUM(E225:AM225),IF(AND(36&gt;=$E$23,36&lt;=$F$23),$D$23,0))</f>
        <v/>
      </c>
      <c r="AO223" s="44">
        <f>IF($C$23="Annual",$D$23-SUM(E225:AN225),IF(AND(37&gt;=$E$23,37&lt;=$F$23),$D$23,0))</f>
        <v/>
      </c>
      <c r="AP223" s="44">
        <f>IF($C$23="Annual",$D$23-SUM(E225:AO225),IF(AND(38&gt;=$E$23,38&lt;=$F$23),$D$23,0))</f>
        <v/>
      </c>
      <c r="AQ223" s="44">
        <f>IF($C$23="Annual",$D$23-SUM(E225:AP225),IF(AND(39&gt;=$E$23,39&lt;=$F$23),$D$23,0))</f>
        <v/>
      </c>
      <c r="AR223" s="44">
        <f>IF($C$23="Annual",$D$23-SUM(E225:AQ225),IF(AND(40&gt;=$E$23,40&lt;=$F$23),$D$23,0))</f>
        <v/>
      </c>
      <c r="AS223" s="44">
        <f>IF($C$23="Annual",$D$23-SUM(E225:AR225),IF(AND(41&gt;=$E$23,41&lt;=$F$23),$D$23,0))</f>
        <v/>
      </c>
      <c r="AT223" s="44">
        <f>IF($C$23="Annual",$D$23-SUM(E225:AS225),IF(AND(42&gt;=$E$23,42&lt;=$F$23),$D$23,0))</f>
        <v/>
      </c>
      <c r="AU223" s="44">
        <f>IF($C$23="Annual",$D$23-SUM(E225:AT225),IF(AND(43&gt;=$E$23,43&lt;=$F$23),$D$23,0))</f>
        <v/>
      </c>
      <c r="AV223" s="44">
        <f>IF($C$23="Annual",$D$23-SUM(E225:AU225),IF(AND(44&gt;=$E$23,44&lt;=$F$23),$D$23,0))</f>
        <v/>
      </c>
      <c r="AW223" s="44">
        <f>IF($C$23="Annual",$D$23-SUM(E225:AV225),IF(AND(45&gt;=$E$23,45&lt;=$F$23),$D$23,0))</f>
        <v/>
      </c>
      <c r="AX223" s="44">
        <f>IF($C$23="Annual",$D$23-SUM(E225:AW225),IF(AND(46&gt;=$E$23,46&lt;=$F$23),$D$23,0))</f>
        <v/>
      </c>
      <c r="AY223" s="44">
        <f>IF($C$23="Annual",$D$23-SUM(E225:AX225),IF(AND(47&gt;=$E$23,47&lt;=$F$23),$D$23,0))</f>
        <v/>
      </c>
      <c r="AZ223" s="44">
        <f>IF($C$23="Annual",$D$23-SUM(E225:AY225),IF(AND(48&gt;=$E$23,48&lt;=$F$23),$D$23,0))</f>
        <v/>
      </c>
      <c r="BA223" s="44">
        <f>IF($C$23="Annual",$D$23-SUM(E225:AZ225),IF(AND(49&gt;=$E$23,49&lt;=$F$23),$D$23,0))</f>
        <v/>
      </c>
      <c r="BB223" s="44">
        <f>IF($C$23="Annual",$D$23-SUM(E225:BA225),IF(AND(50&gt;=$E$23,50&lt;=$F$23),$D$23,0))</f>
        <v/>
      </c>
      <c r="BC223" s="44">
        <f>IF($C$23="Annual",$D$23-SUM(E225:BB225),IF(AND(51&gt;=$E$23,51&lt;=$F$23),$D$23,0))</f>
        <v/>
      </c>
      <c r="BD223" s="44">
        <f>IF($C$23="Annual",$D$23-SUM(E225:BC225),IF(AND(52&gt;=$E$23,52&lt;=$F$23),$D$23,0))</f>
        <v/>
      </c>
    </row>
    <row r="224">
      <c r="A224" s="23" t="inlineStr">
        <is>
          <t>Wholesale — OFFERED</t>
        </is>
      </c>
      <c r="B224" s="2" t="inlineStr">
        <is>
          <t>lb  &lt;-- SOLVER</t>
        </is>
      </c>
      <c r="E224" s="38" t="n">
        <v>0</v>
      </c>
      <c r="F224" s="38" t="n">
        <v>0</v>
      </c>
      <c r="G224" s="38" t="n">
        <v>0</v>
      </c>
      <c r="H224" s="38" t="n">
        <v>0</v>
      </c>
      <c r="I224" s="38" t="n">
        <v>0</v>
      </c>
      <c r="J224" s="38" t="n">
        <v>0</v>
      </c>
      <c r="K224" s="38" t="n">
        <v>0</v>
      </c>
      <c r="L224" s="38" t="n">
        <v>0</v>
      </c>
      <c r="M224" s="38" t="n">
        <v>0</v>
      </c>
      <c r="N224" s="38" t="n">
        <v>0</v>
      </c>
      <c r="O224" s="38" t="n">
        <v>0</v>
      </c>
      <c r="P224" s="38" t="n">
        <v>0</v>
      </c>
      <c r="Q224" s="38" t="n">
        <v>0</v>
      </c>
      <c r="R224" s="38" t="n">
        <v>0</v>
      </c>
      <c r="S224" s="38" t="n">
        <v>0</v>
      </c>
      <c r="T224" s="38" t="n">
        <v>0</v>
      </c>
      <c r="U224" s="38" t="n">
        <v>0</v>
      </c>
      <c r="V224" s="38" t="n">
        <v>0</v>
      </c>
      <c r="W224" s="38" t="n">
        <v>0</v>
      </c>
      <c r="X224" s="38" t="n">
        <v>0</v>
      </c>
      <c r="Y224" s="38" t="n">
        <v>0</v>
      </c>
      <c r="Z224" s="38" t="n">
        <v>0</v>
      </c>
      <c r="AA224" s="38" t="n">
        <v>0</v>
      </c>
      <c r="AB224" s="38" t="n">
        <v>0</v>
      </c>
      <c r="AC224" s="38" t="n">
        <v>0</v>
      </c>
      <c r="AD224" s="38" t="n">
        <v>0</v>
      </c>
      <c r="AE224" s="38" t="n">
        <v>0</v>
      </c>
      <c r="AF224" s="38" t="n">
        <v>0</v>
      </c>
      <c r="AG224" s="38" t="n">
        <v>0</v>
      </c>
      <c r="AH224" s="38" t="n">
        <v>0</v>
      </c>
      <c r="AI224" s="38" t="n">
        <v>0</v>
      </c>
      <c r="AJ224" s="38" t="n">
        <v>0</v>
      </c>
      <c r="AK224" s="38" t="n">
        <v>0</v>
      </c>
      <c r="AL224" s="38" t="n">
        <v>0</v>
      </c>
      <c r="AM224" s="38" t="n">
        <v>0</v>
      </c>
      <c r="AN224" s="38" t="n">
        <v>0</v>
      </c>
      <c r="AO224" s="38" t="n">
        <v>0</v>
      </c>
      <c r="AP224" s="38" t="n">
        <v>0</v>
      </c>
      <c r="AQ224" s="38" t="n">
        <v>0</v>
      </c>
      <c r="AR224" s="38" t="n">
        <v>0</v>
      </c>
      <c r="AS224" s="38" t="n">
        <v>0</v>
      </c>
      <c r="AT224" s="38" t="n">
        <v>0</v>
      </c>
      <c r="AU224" s="38" t="n">
        <v>0</v>
      </c>
      <c r="AV224" s="38" t="n">
        <v>0</v>
      </c>
      <c r="AW224" s="38" t="n">
        <v>0</v>
      </c>
      <c r="AX224" s="38" t="n">
        <v>0</v>
      </c>
      <c r="AY224" s="38" t="n">
        <v>0</v>
      </c>
      <c r="AZ224" s="38" t="n">
        <v>0</v>
      </c>
      <c r="BA224" s="38" t="n">
        <v>0</v>
      </c>
      <c r="BB224" s="38" t="n">
        <v>0</v>
      </c>
      <c r="BC224" s="38" t="n">
        <v>0</v>
      </c>
      <c r="BD224" s="38" t="n">
        <v>0</v>
      </c>
    </row>
    <row r="225">
      <c r="A225" s="45" t="inlineStr">
        <is>
          <t>Wholesale — SOLD</t>
        </is>
      </c>
      <c r="B225" s="2" t="inlineStr">
        <is>
          <t>lb</t>
        </is>
      </c>
      <c r="E225" s="44">
        <f>E224*$G$23</f>
        <v/>
      </c>
      <c r="F225" s="44">
        <f>F224*$G$23</f>
        <v/>
      </c>
      <c r="G225" s="44">
        <f>G224*$G$23</f>
        <v/>
      </c>
      <c r="H225" s="44">
        <f>H224*$G$23</f>
        <v/>
      </c>
      <c r="I225" s="44">
        <f>I224*$G$23</f>
        <v/>
      </c>
      <c r="J225" s="44">
        <f>J224*$G$23</f>
        <v/>
      </c>
      <c r="K225" s="44">
        <f>K224*$G$23</f>
        <v/>
      </c>
      <c r="L225" s="44">
        <f>L224*$G$23</f>
        <v/>
      </c>
      <c r="M225" s="44">
        <f>M224*$G$23</f>
        <v/>
      </c>
      <c r="N225" s="44">
        <f>N224*$G$23</f>
        <v/>
      </c>
      <c r="O225" s="44">
        <f>O224*$G$23</f>
        <v/>
      </c>
      <c r="P225" s="44">
        <f>P224*$G$23</f>
        <v/>
      </c>
      <c r="Q225" s="44">
        <f>Q224*$G$23</f>
        <v/>
      </c>
      <c r="R225" s="44">
        <f>R224*$G$23</f>
        <v/>
      </c>
      <c r="S225" s="44">
        <f>S224*$G$23</f>
        <v/>
      </c>
      <c r="T225" s="44">
        <f>T224*$G$23</f>
        <v/>
      </c>
      <c r="U225" s="44">
        <f>U224*$G$23</f>
        <v/>
      </c>
      <c r="V225" s="44">
        <f>V224*$G$23</f>
        <v/>
      </c>
      <c r="W225" s="44">
        <f>W224*$G$23</f>
        <v/>
      </c>
      <c r="X225" s="44">
        <f>X224*$G$23</f>
        <v/>
      </c>
      <c r="Y225" s="44">
        <f>Y224*$G$23</f>
        <v/>
      </c>
      <c r="Z225" s="44">
        <f>Z224*$G$23</f>
        <v/>
      </c>
      <c r="AA225" s="44">
        <f>AA224*$G$23</f>
        <v/>
      </c>
      <c r="AB225" s="44">
        <f>AB224*$G$23</f>
        <v/>
      </c>
      <c r="AC225" s="44">
        <f>AC224*$G$23</f>
        <v/>
      </c>
      <c r="AD225" s="44">
        <f>AD224*$G$23</f>
        <v/>
      </c>
      <c r="AE225" s="44">
        <f>AE224*$G$23</f>
        <v/>
      </c>
      <c r="AF225" s="44">
        <f>AF224*$G$23</f>
        <v/>
      </c>
      <c r="AG225" s="44">
        <f>AG224*$G$23</f>
        <v/>
      </c>
      <c r="AH225" s="44">
        <f>AH224*$G$23</f>
        <v/>
      </c>
      <c r="AI225" s="44">
        <f>AI224*$G$23</f>
        <v/>
      </c>
      <c r="AJ225" s="44">
        <f>AJ224*$G$23</f>
        <v/>
      </c>
      <c r="AK225" s="44">
        <f>AK224*$G$23</f>
        <v/>
      </c>
      <c r="AL225" s="44">
        <f>AL224*$G$23</f>
        <v/>
      </c>
      <c r="AM225" s="44">
        <f>AM224*$G$23</f>
        <v/>
      </c>
      <c r="AN225" s="44">
        <f>AN224*$G$23</f>
        <v/>
      </c>
      <c r="AO225" s="44">
        <f>AO224*$G$23</f>
        <v/>
      </c>
      <c r="AP225" s="44">
        <f>AP224*$G$23</f>
        <v/>
      </c>
      <c r="AQ225" s="44">
        <f>AQ224*$G$23</f>
        <v/>
      </c>
      <c r="AR225" s="44">
        <f>AR224*$G$23</f>
        <v/>
      </c>
      <c r="AS225" s="44">
        <f>AS224*$G$23</f>
        <v/>
      </c>
      <c r="AT225" s="44">
        <f>AT224*$G$23</f>
        <v/>
      </c>
      <c r="AU225" s="44">
        <f>AU224*$G$23</f>
        <v/>
      </c>
      <c r="AV225" s="44">
        <f>AV224*$G$23</f>
        <v/>
      </c>
      <c r="AW225" s="44">
        <f>AW224*$G$23</f>
        <v/>
      </c>
      <c r="AX225" s="44">
        <f>AX224*$G$23</f>
        <v/>
      </c>
      <c r="AY225" s="44">
        <f>AY224*$G$23</f>
        <v/>
      </c>
      <c r="AZ225" s="44">
        <f>AZ224*$G$23</f>
        <v/>
      </c>
      <c r="BA225" s="44">
        <f>BA224*$G$23</f>
        <v/>
      </c>
      <c r="BB225" s="44">
        <f>BB224*$G$23</f>
        <v/>
      </c>
      <c r="BC225" s="44">
        <f>BC224*$G$23</f>
        <v/>
      </c>
      <c r="BD225" s="44">
        <f>BD224*$G$23</f>
        <v/>
      </c>
    </row>
    <row r="226">
      <c r="A226" s="27" t="inlineStr">
        <is>
          <t xml:space="preserve">   market loss (gone)</t>
        </is>
      </c>
      <c r="B226" s="2" t="inlineStr">
        <is>
          <t>lb</t>
        </is>
      </c>
      <c r="E226" s="36">
        <f>(E224-E225)*(1-$H$23)</f>
        <v/>
      </c>
      <c r="F226" s="36">
        <f>(F224-F225)*(1-$H$23)</f>
        <v/>
      </c>
      <c r="G226" s="36">
        <f>(G224-G225)*(1-$H$23)</f>
        <v/>
      </c>
      <c r="H226" s="36">
        <f>(H224-H225)*(1-$H$23)</f>
        <v/>
      </c>
      <c r="I226" s="36">
        <f>(I224-I225)*(1-$H$23)</f>
        <v/>
      </c>
      <c r="J226" s="36">
        <f>(J224-J225)*(1-$H$23)</f>
        <v/>
      </c>
      <c r="K226" s="36">
        <f>(K224-K225)*(1-$H$23)</f>
        <v/>
      </c>
      <c r="L226" s="36">
        <f>(L224-L225)*(1-$H$23)</f>
        <v/>
      </c>
      <c r="M226" s="36">
        <f>(M224-M225)*(1-$H$23)</f>
        <v/>
      </c>
      <c r="N226" s="36">
        <f>(N224-N225)*(1-$H$23)</f>
        <v/>
      </c>
      <c r="O226" s="36">
        <f>(O224-O225)*(1-$H$23)</f>
        <v/>
      </c>
      <c r="P226" s="36">
        <f>(P224-P225)*(1-$H$23)</f>
        <v/>
      </c>
      <c r="Q226" s="36">
        <f>(Q224-Q225)*(1-$H$23)</f>
        <v/>
      </c>
      <c r="R226" s="36">
        <f>(R224-R225)*(1-$H$23)</f>
        <v/>
      </c>
      <c r="S226" s="36">
        <f>(S224-S225)*(1-$H$23)</f>
        <v/>
      </c>
      <c r="T226" s="36">
        <f>(T224-T225)*(1-$H$23)</f>
        <v/>
      </c>
      <c r="U226" s="36">
        <f>(U224-U225)*(1-$H$23)</f>
        <v/>
      </c>
      <c r="V226" s="36">
        <f>(V224-V225)*(1-$H$23)</f>
        <v/>
      </c>
      <c r="W226" s="36">
        <f>(W224-W225)*(1-$H$23)</f>
        <v/>
      </c>
      <c r="X226" s="36">
        <f>(X224-X225)*(1-$H$23)</f>
        <v/>
      </c>
      <c r="Y226" s="36">
        <f>(Y224-Y225)*(1-$H$23)</f>
        <v/>
      </c>
      <c r="Z226" s="36">
        <f>(Z224-Z225)*(1-$H$23)</f>
        <v/>
      </c>
      <c r="AA226" s="36">
        <f>(AA224-AA225)*(1-$H$23)</f>
        <v/>
      </c>
      <c r="AB226" s="36">
        <f>(AB224-AB225)*(1-$H$23)</f>
        <v/>
      </c>
      <c r="AC226" s="36">
        <f>(AC224-AC225)*(1-$H$23)</f>
        <v/>
      </c>
      <c r="AD226" s="36">
        <f>(AD224-AD225)*(1-$H$23)</f>
        <v/>
      </c>
      <c r="AE226" s="36">
        <f>(AE224-AE225)*(1-$H$23)</f>
        <v/>
      </c>
      <c r="AF226" s="36">
        <f>(AF224-AF225)*(1-$H$23)</f>
        <v/>
      </c>
      <c r="AG226" s="36">
        <f>(AG224-AG225)*(1-$H$23)</f>
        <v/>
      </c>
      <c r="AH226" s="36">
        <f>(AH224-AH225)*(1-$H$23)</f>
        <v/>
      </c>
      <c r="AI226" s="36">
        <f>(AI224-AI225)*(1-$H$23)</f>
        <v/>
      </c>
      <c r="AJ226" s="36">
        <f>(AJ224-AJ225)*(1-$H$23)</f>
        <v/>
      </c>
      <c r="AK226" s="36">
        <f>(AK224-AK225)*(1-$H$23)</f>
        <v/>
      </c>
      <c r="AL226" s="36">
        <f>(AL224-AL225)*(1-$H$23)</f>
        <v/>
      </c>
      <c r="AM226" s="36">
        <f>(AM224-AM225)*(1-$H$23)</f>
        <v/>
      </c>
      <c r="AN226" s="36">
        <f>(AN224-AN225)*(1-$H$23)</f>
        <v/>
      </c>
      <c r="AO226" s="36">
        <f>(AO224-AO225)*(1-$H$23)</f>
        <v/>
      </c>
      <c r="AP226" s="36">
        <f>(AP224-AP225)*(1-$H$23)</f>
        <v/>
      </c>
      <c r="AQ226" s="36">
        <f>(AQ224-AQ225)*(1-$H$23)</f>
        <v/>
      </c>
      <c r="AR226" s="36">
        <f>(AR224-AR225)*(1-$H$23)</f>
        <v/>
      </c>
      <c r="AS226" s="36">
        <f>(AS224-AS225)*(1-$H$23)</f>
        <v/>
      </c>
      <c r="AT226" s="36">
        <f>(AT224-AT225)*(1-$H$23)</f>
        <v/>
      </c>
      <c r="AU226" s="36">
        <f>(AU224-AU225)*(1-$H$23)</f>
        <v/>
      </c>
      <c r="AV226" s="36">
        <f>(AV224-AV225)*(1-$H$23)</f>
        <v/>
      </c>
      <c r="AW226" s="36">
        <f>(AW224-AW225)*(1-$H$23)</f>
        <v/>
      </c>
      <c r="AX226" s="36">
        <f>(AX224-AX225)*(1-$H$23)</f>
        <v/>
      </c>
      <c r="AY226" s="36">
        <f>(AY224-AY225)*(1-$H$23)</f>
        <v/>
      </c>
      <c r="AZ226" s="36">
        <f>(AZ224-AZ225)*(1-$H$23)</f>
        <v/>
      </c>
      <c r="BA226" s="36">
        <f>(BA224-BA225)*(1-$H$23)</f>
        <v/>
      </c>
      <c r="BB226" s="36">
        <f>(BB224-BB225)*(1-$H$23)</f>
        <v/>
      </c>
      <c r="BC226" s="36">
        <f>(BC224-BC225)*(1-$H$23)</f>
        <v/>
      </c>
      <c r="BD226" s="36">
        <f>(BD224-BD225)*(1-$H$23)</f>
        <v/>
      </c>
    </row>
    <row r="227">
      <c r="A227" s="27" t="inlineStr">
        <is>
          <t xml:space="preserve">   returned to store</t>
        </is>
      </c>
      <c r="B227" s="2" t="inlineStr">
        <is>
          <t>lb</t>
        </is>
      </c>
      <c r="E227" s="36">
        <f>(E224-E225)*$H$23</f>
        <v/>
      </c>
      <c r="F227" s="36">
        <f>(F224-F225)*$H$23</f>
        <v/>
      </c>
      <c r="G227" s="36">
        <f>(G224-G225)*$H$23</f>
        <v/>
      </c>
      <c r="H227" s="36">
        <f>(H224-H225)*$H$23</f>
        <v/>
      </c>
      <c r="I227" s="36">
        <f>(I224-I225)*$H$23</f>
        <v/>
      </c>
      <c r="J227" s="36">
        <f>(J224-J225)*$H$23</f>
        <v/>
      </c>
      <c r="K227" s="36">
        <f>(K224-K225)*$H$23</f>
        <v/>
      </c>
      <c r="L227" s="36">
        <f>(L224-L225)*$H$23</f>
        <v/>
      </c>
      <c r="M227" s="36">
        <f>(M224-M225)*$H$23</f>
        <v/>
      </c>
      <c r="N227" s="36">
        <f>(N224-N225)*$H$23</f>
        <v/>
      </c>
      <c r="O227" s="36">
        <f>(O224-O225)*$H$23</f>
        <v/>
      </c>
      <c r="P227" s="36">
        <f>(P224-P225)*$H$23</f>
        <v/>
      </c>
      <c r="Q227" s="36">
        <f>(Q224-Q225)*$H$23</f>
        <v/>
      </c>
      <c r="R227" s="36">
        <f>(R224-R225)*$H$23</f>
        <v/>
      </c>
      <c r="S227" s="36">
        <f>(S224-S225)*$H$23</f>
        <v/>
      </c>
      <c r="T227" s="36">
        <f>(T224-T225)*$H$23</f>
        <v/>
      </c>
      <c r="U227" s="36">
        <f>(U224-U225)*$H$23</f>
        <v/>
      </c>
      <c r="V227" s="36">
        <f>(V224-V225)*$H$23</f>
        <v/>
      </c>
      <c r="W227" s="36">
        <f>(W224-W225)*$H$23</f>
        <v/>
      </c>
      <c r="X227" s="36">
        <f>(X224-X225)*$H$23</f>
        <v/>
      </c>
      <c r="Y227" s="36">
        <f>(Y224-Y225)*$H$23</f>
        <v/>
      </c>
      <c r="Z227" s="36">
        <f>(Z224-Z225)*$H$23</f>
        <v/>
      </c>
      <c r="AA227" s="36">
        <f>(AA224-AA225)*$H$23</f>
        <v/>
      </c>
      <c r="AB227" s="36">
        <f>(AB224-AB225)*$H$23</f>
        <v/>
      </c>
      <c r="AC227" s="36">
        <f>(AC224-AC225)*$H$23</f>
        <v/>
      </c>
      <c r="AD227" s="36">
        <f>(AD224-AD225)*$H$23</f>
        <v/>
      </c>
      <c r="AE227" s="36">
        <f>(AE224-AE225)*$H$23</f>
        <v/>
      </c>
      <c r="AF227" s="36">
        <f>(AF224-AF225)*$H$23</f>
        <v/>
      </c>
      <c r="AG227" s="36">
        <f>(AG224-AG225)*$H$23</f>
        <v/>
      </c>
      <c r="AH227" s="36">
        <f>(AH224-AH225)*$H$23</f>
        <v/>
      </c>
      <c r="AI227" s="36">
        <f>(AI224-AI225)*$H$23</f>
        <v/>
      </c>
      <c r="AJ227" s="36">
        <f>(AJ224-AJ225)*$H$23</f>
        <v/>
      </c>
      <c r="AK227" s="36">
        <f>(AK224-AK225)*$H$23</f>
        <v/>
      </c>
      <c r="AL227" s="36">
        <f>(AL224-AL225)*$H$23</f>
        <v/>
      </c>
      <c r="AM227" s="36">
        <f>(AM224-AM225)*$H$23</f>
        <v/>
      </c>
      <c r="AN227" s="36">
        <f>(AN224-AN225)*$H$23</f>
        <v/>
      </c>
      <c r="AO227" s="36">
        <f>(AO224-AO225)*$H$23</f>
        <v/>
      </c>
      <c r="AP227" s="36">
        <f>(AP224-AP225)*$H$23</f>
        <v/>
      </c>
      <c r="AQ227" s="36">
        <f>(AQ224-AQ225)*$H$23</f>
        <v/>
      </c>
      <c r="AR227" s="36">
        <f>(AR224-AR225)*$H$23</f>
        <v/>
      </c>
      <c r="AS227" s="36">
        <f>(AS224-AS225)*$H$23</f>
        <v/>
      </c>
      <c r="AT227" s="36">
        <f>(AT224-AT225)*$H$23</f>
        <v/>
      </c>
      <c r="AU227" s="36">
        <f>(AU224-AU225)*$H$23</f>
        <v/>
      </c>
      <c r="AV227" s="36">
        <f>(AV224-AV225)*$H$23</f>
        <v/>
      </c>
      <c r="AW227" s="36">
        <f>(AW224-AW225)*$H$23</f>
        <v/>
      </c>
      <c r="AX227" s="36">
        <f>(AX224-AX225)*$H$23</f>
        <v/>
      </c>
      <c r="AY227" s="36">
        <f>(AY224-AY225)*$H$23</f>
        <v/>
      </c>
      <c r="AZ227" s="36">
        <f>(AZ224-AZ225)*$H$23</f>
        <v/>
      </c>
      <c r="BA227" s="36">
        <f>(BA224-BA225)*$H$23</f>
        <v/>
      </c>
      <c r="BB227" s="36">
        <f>(BB224-BB225)*$H$23</f>
        <v/>
      </c>
      <c r="BC227" s="36">
        <f>(BC224-BC225)*$H$23</f>
        <v/>
      </c>
      <c r="BD227" s="36">
        <f>(BD224-BD225)*$H$23</f>
        <v/>
      </c>
    </row>
    <row r="228">
      <c r="A228" s="27" t="inlineStr">
        <is>
          <t xml:space="preserve">   leaves the store (offered - returned)</t>
        </is>
      </c>
      <c r="B228" s="2" t="inlineStr">
        <is>
          <t>lb</t>
        </is>
      </c>
      <c r="E228" s="36">
        <f>E224-E227</f>
        <v/>
      </c>
      <c r="F228" s="36">
        <f>F224-F227</f>
        <v/>
      </c>
      <c r="G228" s="36">
        <f>G224-G227</f>
        <v/>
      </c>
      <c r="H228" s="36">
        <f>H224-H227</f>
        <v/>
      </c>
      <c r="I228" s="36">
        <f>I224-I227</f>
        <v/>
      </c>
      <c r="J228" s="36">
        <f>J224-J227</f>
        <v/>
      </c>
      <c r="K228" s="36">
        <f>K224-K227</f>
        <v/>
      </c>
      <c r="L228" s="36">
        <f>L224-L227</f>
        <v/>
      </c>
      <c r="M228" s="36">
        <f>M224-M227</f>
        <v/>
      </c>
      <c r="N228" s="36">
        <f>N224-N227</f>
        <v/>
      </c>
      <c r="O228" s="36">
        <f>O224-O227</f>
        <v/>
      </c>
      <c r="P228" s="36">
        <f>P224-P227</f>
        <v/>
      </c>
      <c r="Q228" s="36">
        <f>Q224-Q227</f>
        <v/>
      </c>
      <c r="R228" s="36">
        <f>R224-R227</f>
        <v/>
      </c>
      <c r="S228" s="36">
        <f>S224-S227</f>
        <v/>
      </c>
      <c r="T228" s="36">
        <f>T224-T227</f>
        <v/>
      </c>
      <c r="U228" s="36">
        <f>U224-U227</f>
        <v/>
      </c>
      <c r="V228" s="36">
        <f>V224-V227</f>
        <v/>
      </c>
      <c r="W228" s="36">
        <f>W224-W227</f>
        <v/>
      </c>
      <c r="X228" s="36">
        <f>X224-X227</f>
        <v/>
      </c>
      <c r="Y228" s="36">
        <f>Y224-Y227</f>
        <v/>
      </c>
      <c r="Z228" s="36">
        <f>Z224-Z227</f>
        <v/>
      </c>
      <c r="AA228" s="36">
        <f>AA224-AA227</f>
        <v/>
      </c>
      <c r="AB228" s="36">
        <f>AB224-AB227</f>
        <v/>
      </c>
      <c r="AC228" s="36">
        <f>AC224-AC227</f>
        <v/>
      </c>
      <c r="AD228" s="36">
        <f>AD224-AD227</f>
        <v/>
      </c>
      <c r="AE228" s="36">
        <f>AE224-AE227</f>
        <v/>
      </c>
      <c r="AF228" s="36">
        <f>AF224-AF227</f>
        <v/>
      </c>
      <c r="AG228" s="36">
        <f>AG224-AG227</f>
        <v/>
      </c>
      <c r="AH228" s="36">
        <f>AH224-AH227</f>
        <v/>
      </c>
      <c r="AI228" s="36">
        <f>AI224-AI227</f>
        <v/>
      </c>
      <c r="AJ228" s="36">
        <f>AJ224-AJ227</f>
        <v/>
      </c>
      <c r="AK228" s="36">
        <f>AK224-AK227</f>
        <v/>
      </c>
      <c r="AL228" s="36">
        <f>AL224-AL227</f>
        <v/>
      </c>
      <c r="AM228" s="36">
        <f>AM224-AM227</f>
        <v/>
      </c>
      <c r="AN228" s="36">
        <f>AN224-AN227</f>
        <v/>
      </c>
      <c r="AO228" s="36">
        <f>AO224-AO227</f>
        <v/>
      </c>
      <c r="AP228" s="36">
        <f>AP224-AP227</f>
        <v/>
      </c>
      <c r="AQ228" s="36">
        <f>AQ224-AQ227</f>
        <v/>
      </c>
      <c r="AR228" s="36">
        <f>AR224-AR227</f>
        <v/>
      </c>
      <c r="AS228" s="36">
        <f>AS224-AS227</f>
        <v/>
      </c>
      <c r="AT228" s="36">
        <f>AT224-AT227</f>
        <v/>
      </c>
      <c r="AU228" s="36">
        <f>AU224-AU227</f>
        <v/>
      </c>
      <c r="AV228" s="36">
        <f>AV224-AV227</f>
        <v/>
      </c>
      <c r="AW228" s="36">
        <f>AW224-AW227</f>
        <v/>
      </c>
      <c r="AX228" s="36">
        <f>AX224-AX227</f>
        <v/>
      </c>
      <c r="AY228" s="36">
        <f>AY224-AY227</f>
        <v/>
      </c>
      <c r="AZ228" s="36">
        <f>AZ224-AZ227</f>
        <v/>
      </c>
      <c r="BA228" s="36">
        <f>BA224-BA227</f>
        <v/>
      </c>
      <c r="BB228" s="36">
        <f>BB224-BB227</f>
        <v/>
      </c>
      <c r="BC228" s="36">
        <f>BC224-BC227</f>
        <v/>
      </c>
      <c r="BD228" s="36">
        <f>BD224-BD227</f>
        <v/>
      </c>
    </row>
    <row r="229">
      <c r="A229" s="4" t="inlineStr">
        <is>
          <t>Stock carried out</t>
        </is>
      </c>
      <c r="B229" s="2" t="inlineStr">
        <is>
          <t>lb</t>
        </is>
      </c>
      <c r="E229" s="36">
        <f>E216-E222-E228</f>
        <v/>
      </c>
      <c r="F229" s="36">
        <f>F216-F222-F228</f>
        <v/>
      </c>
      <c r="G229" s="36">
        <f>G216-G222-G228</f>
        <v/>
      </c>
      <c r="H229" s="36">
        <f>H216-H222-H228</f>
        <v/>
      </c>
      <c r="I229" s="36">
        <f>I216-I222-I228</f>
        <v/>
      </c>
      <c r="J229" s="36">
        <f>J216-J222-J228</f>
        <v/>
      </c>
      <c r="K229" s="36">
        <f>K216-K222-K228</f>
        <v/>
      </c>
      <c r="L229" s="36">
        <f>L216-L222-L228</f>
        <v/>
      </c>
      <c r="M229" s="36">
        <f>M216-M222-M228</f>
        <v/>
      </c>
      <c r="N229" s="36">
        <f>N216-N222-N228</f>
        <v/>
      </c>
      <c r="O229" s="36">
        <f>O216-O222-O228</f>
        <v/>
      </c>
      <c r="P229" s="36">
        <f>P216-P222-P228</f>
        <v/>
      </c>
      <c r="Q229" s="36">
        <f>Q216-Q222-Q228</f>
        <v/>
      </c>
      <c r="R229" s="36">
        <f>R216-R222-R228</f>
        <v/>
      </c>
      <c r="S229" s="36">
        <f>S216-S222-S228</f>
        <v/>
      </c>
      <c r="T229" s="36">
        <f>T216-T222-T228</f>
        <v/>
      </c>
      <c r="U229" s="36">
        <f>U216-U222-U228</f>
        <v/>
      </c>
      <c r="V229" s="36">
        <f>V216-V222-V228</f>
        <v/>
      </c>
      <c r="W229" s="36">
        <f>W216-W222-W228</f>
        <v/>
      </c>
      <c r="X229" s="36">
        <f>X216-X222-X228</f>
        <v/>
      </c>
      <c r="Y229" s="36">
        <f>Y216-Y222-Y228</f>
        <v/>
      </c>
      <c r="Z229" s="36">
        <f>Z216-Z222-Z228</f>
        <v/>
      </c>
      <c r="AA229" s="36">
        <f>AA216-AA222-AA228</f>
        <v/>
      </c>
      <c r="AB229" s="36">
        <f>AB216-AB222-AB228</f>
        <v/>
      </c>
      <c r="AC229" s="36">
        <f>AC216-AC222-AC228</f>
        <v/>
      </c>
      <c r="AD229" s="36">
        <f>AD216-AD222-AD228</f>
        <v/>
      </c>
      <c r="AE229" s="36">
        <f>AE216-AE222-AE228</f>
        <v/>
      </c>
      <c r="AF229" s="36">
        <f>AF216-AF222-AF228</f>
        <v/>
      </c>
      <c r="AG229" s="36">
        <f>AG216-AG222-AG228</f>
        <v/>
      </c>
      <c r="AH229" s="36">
        <f>AH216-AH222-AH228</f>
        <v/>
      </c>
      <c r="AI229" s="36">
        <f>AI216-AI222-AI228</f>
        <v/>
      </c>
      <c r="AJ229" s="36">
        <f>AJ216-AJ222-AJ228</f>
        <v/>
      </c>
      <c r="AK229" s="36">
        <f>AK216-AK222-AK228</f>
        <v/>
      </c>
      <c r="AL229" s="36">
        <f>AL216-AL222-AL228</f>
        <v/>
      </c>
      <c r="AM229" s="36">
        <f>AM216-AM222-AM228</f>
        <v/>
      </c>
      <c r="AN229" s="36">
        <f>AN216-AN222-AN228</f>
        <v/>
      </c>
      <c r="AO229" s="36">
        <f>AO216-AO222-AO228</f>
        <v/>
      </c>
      <c r="AP229" s="36">
        <f>AP216-AP222-AP228</f>
        <v/>
      </c>
      <c r="AQ229" s="36">
        <f>AQ216-AQ222-AQ228</f>
        <v/>
      </c>
      <c r="AR229" s="36">
        <f>AR216-AR222-AR228</f>
        <v/>
      </c>
      <c r="AS229" s="36">
        <f>AS216-AS222-AS228</f>
        <v/>
      </c>
      <c r="AT229" s="36">
        <f>AT216-AT222-AT228</f>
        <v/>
      </c>
      <c r="AU229" s="36">
        <f>AU216-AU222-AU228</f>
        <v/>
      </c>
      <c r="AV229" s="36">
        <f>AV216-AV222-AV228</f>
        <v/>
      </c>
      <c r="AW229" s="36">
        <f>AW216-AW222-AW228</f>
        <v/>
      </c>
      <c r="AX229" s="36">
        <f>AX216-AX222-AX228</f>
        <v/>
      </c>
      <c r="AY229" s="36">
        <f>AY216-AY222-AY228</f>
        <v/>
      </c>
      <c r="AZ229" s="36">
        <f>AZ216-AZ222-AZ228</f>
        <v/>
      </c>
      <c r="BA229" s="36">
        <f>BA216-BA222-BA228</f>
        <v/>
      </c>
      <c r="BB229" s="36">
        <f>BB216-BB222-BB228</f>
        <v/>
      </c>
      <c r="BC229" s="36">
        <f>BC216-BC222-BC228</f>
        <v/>
      </c>
      <c r="BD229" s="36">
        <f>BD216-BD222-BD228</f>
        <v/>
      </c>
    </row>
    <row r="230">
      <c r="A230" s="2" t="inlineStr">
        <is>
          <t xml:space="preserve">   ^ subtracts what LEAVES, not what was offered — so 'returned to store' is</t>
        </is>
      </c>
    </row>
    <row r="231">
      <c r="A231" s="2" t="inlineStr">
        <is>
          <t xml:space="preserve">     never taken out at all, and shows up as next week's carried in.</t>
        </is>
      </c>
    </row>
    <row r="232">
      <c r="A232" s="27" t="inlineStr">
        <is>
          <t>Most stock its shelf life allows</t>
        </is>
      </c>
      <c r="B232" s="2" t="inlineStr">
        <is>
          <t>lb</t>
        </is>
      </c>
      <c r="E232" s="36">
        <f>SUMPRODUCT(($E$212:$BD$212&gt;=1-$F$13+2)*($E$212:$BD$212&lt;=1)*$E$213:$BD$213*POWER(1-$G$13,($E$212:$BD$212&lt;=1)*(1-$E$212:$BD$212)))</f>
        <v/>
      </c>
      <c r="F232" s="36">
        <f>SUMPRODUCT(($E$212:$BD$212&gt;=2-$F$13+2)*($E$212:$BD$212&lt;=2)*$E$213:$BD$213*POWER(1-$G$13,($E$212:$BD$212&lt;=2)*(2-$E$212:$BD$212)))</f>
        <v/>
      </c>
      <c r="G232" s="36">
        <f>SUMPRODUCT(($E$212:$BD$212&gt;=3-$F$13+2)*($E$212:$BD$212&lt;=3)*$E$213:$BD$213*POWER(1-$G$13,($E$212:$BD$212&lt;=3)*(3-$E$212:$BD$212)))</f>
        <v/>
      </c>
      <c r="H232" s="36">
        <f>SUMPRODUCT(($E$212:$BD$212&gt;=4-$F$13+2)*($E$212:$BD$212&lt;=4)*$E$213:$BD$213*POWER(1-$G$13,($E$212:$BD$212&lt;=4)*(4-$E$212:$BD$212)))</f>
        <v/>
      </c>
      <c r="I232" s="36">
        <f>SUMPRODUCT(($E$212:$BD$212&gt;=5-$F$13+2)*($E$212:$BD$212&lt;=5)*$E$213:$BD$213*POWER(1-$G$13,($E$212:$BD$212&lt;=5)*(5-$E$212:$BD$212)))</f>
        <v/>
      </c>
      <c r="J232" s="36">
        <f>SUMPRODUCT(($E$212:$BD$212&gt;=6-$F$13+2)*($E$212:$BD$212&lt;=6)*$E$213:$BD$213*POWER(1-$G$13,($E$212:$BD$212&lt;=6)*(6-$E$212:$BD$212)))</f>
        <v/>
      </c>
      <c r="K232" s="36">
        <f>SUMPRODUCT(($E$212:$BD$212&gt;=7-$F$13+2)*($E$212:$BD$212&lt;=7)*$E$213:$BD$213*POWER(1-$G$13,($E$212:$BD$212&lt;=7)*(7-$E$212:$BD$212)))</f>
        <v/>
      </c>
      <c r="L232" s="36">
        <f>SUMPRODUCT(($E$212:$BD$212&gt;=8-$F$13+2)*($E$212:$BD$212&lt;=8)*$E$213:$BD$213*POWER(1-$G$13,($E$212:$BD$212&lt;=8)*(8-$E$212:$BD$212)))</f>
        <v/>
      </c>
      <c r="M232" s="36">
        <f>SUMPRODUCT(($E$212:$BD$212&gt;=9-$F$13+2)*($E$212:$BD$212&lt;=9)*$E$213:$BD$213*POWER(1-$G$13,($E$212:$BD$212&lt;=9)*(9-$E$212:$BD$212)))</f>
        <v/>
      </c>
      <c r="N232" s="36">
        <f>SUMPRODUCT(($E$212:$BD$212&gt;=10-$F$13+2)*($E$212:$BD$212&lt;=10)*$E$213:$BD$213*POWER(1-$G$13,($E$212:$BD$212&lt;=10)*(10-$E$212:$BD$212)))</f>
        <v/>
      </c>
      <c r="O232" s="36">
        <f>SUMPRODUCT(($E$212:$BD$212&gt;=11-$F$13+2)*($E$212:$BD$212&lt;=11)*$E$213:$BD$213*POWER(1-$G$13,($E$212:$BD$212&lt;=11)*(11-$E$212:$BD$212)))</f>
        <v/>
      </c>
      <c r="P232" s="36">
        <f>SUMPRODUCT(($E$212:$BD$212&gt;=12-$F$13+2)*($E$212:$BD$212&lt;=12)*$E$213:$BD$213*POWER(1-$G$13,($E$212:$BD$212&lt;=12)*(12-$E$212:$BD$212)))</f>
        <v/>
      </c>
      <c r="Q232" s="36">
        <f>SUMPRODUCT(($E$212:$BD$212&gt;=13-$F$13+2)*($E$212:$BD$212&lt;=13)*$E$213:$BD$213*POWER(1-$G$13,($E$212:$BD$212&lt;=13)*(13-$E$212:$BD$212)))</f>
        <v/>
      </c>
      <c r="R232" s="36">
        <f>SUMPRODUCT(($E$212:$BD$212&gt;=14-$F$13+2)*($E$212:$BD$212&lt;=14)*$E$213:$BD$213*POWER(1-$G$13,($E$212:$BD$212&lt;=14)*(14-$E$212:$BD$212)))</f>
        <v/>
      </c>
      <c r="S232" s="36">
        <f>SUMPRODUCT(($E$212:$BD$212&gt;=15-$F$13+2)*($E$212:$BD$212&lt;=15)*$E$213:$BD$213*POWER(1-$G$13,($E$212:$BD$212&lt;=15)*(15-$E$212:$BD$212)))</f>
        <v/>
      </c>
      <c r="T232" s="36">
        <f>SUMPRODUCT(($E$212:$BD$212&gt;=16-$F$13+2)*($E$212:$BD$212&lt;=16)*$E$213:$BD$213*POWER(1-$G$13,($E$212:$BD$212&lt;=16)*(16-$E$212:$BD$212)))</f>
        <v/>
      </c>
      <c r="U232" s="36">
        <f>SUMPRODUCT(($E$212:$BD$212&gt;=17-$F$13+2)*($E$212:$BD$212&lt;=17)*$E$213:$BD$213*POWER(1-$G$13,($E$212:$BD$212&lt;=17)*(17-$E$212:$BD$212)))</f>
        <v/>
      </c>
      <c r="V232" s="36">
        <f>SUMPRODUCT(($E$212:$BD$212&gt;=18-$F$13+2)*($E$212:$BD$212&lt;=18)*$E$213:$BD$213*POWER(1-$G$13,($E$212:$BD$212&lt;=18)*(18-$E$212:$BD$212)))</f>
        <v/>
      </c>
      <c r="W232" s="36">
        <f>SUMPRODUCT(($E$212:$BD$212&gt;=19-$F$13+2)*($E$212:$BD$212&lt;=19)*$E$213:$BD$213*POWER(1-$G$13,($E$212:$BD$212&lt;=19)*(19-$E$212:$BD$212)))</f>
        <v/>
      </c>
      <c r="X232" s="36">
        <f>SUMPRODUCT(($E$212:$BD$212&gt;=20-$F$13+2)*($E$212:$BD$212&lt;=20)*$E$213:$BD$213*POWER(1-$G$13,($E$212:$BD$212&lt;=20)*(20-$E$212:$BD$212)))</f>
        <v/>
      </c>
      <c r="Y232" s="36">
        <f>SUMPRODUCT(($E$212:$BD$212&gt;=21-$F$13+2)*($E$212:$BD$212&lt;=21)*$E$213:$BD$213*POWER(1-$G$13,($E$212:$BD$212&lt;=21)*(21-$E$212:$BD$212)))</f>
        <v/>
      </c>
      <c r="Z232" s="36">
        <f>SUMPRODUCT(($E$212:$BD$212&gt;=22-$F$13+2)*($E$212:$BD$212&lt;=22)*$E$213:$BD$213*POWER(1-$G$13,($E$212:$BD$212&lt;=22)*(22-$E$212:$BD$212)))</f>
        <v/>
      </c>
      <c r="AA232" s="36">
        <f>SUMPRODUCT(($E$212:$BD$212&gt;=23-$F$13+2)*($E$212:$BD$212&lt;=23)*$E$213:$BD$213*POWER(1-$G$13,($E$212:$BD$212&lt;=23)*(23-$E$212:$BD$212)))</f>
        <v/>
      </c>
      <c r="AB232" s="36">
        <f>SUMPRODUCT(($E$212:$BD$212&gt;=24-$F$13+2)*($E$212:$BD$212&lt;=24)*$E$213:$BD$213*POWER(1-$G$13,($E$212:$BD$212&lt;=24)*(24-$E$212:$BD$212)))</f>
        <v/>
      </c>
      <c r="AC232" s="36">
        <f>SUMPRODUCT(($E$212:$BD$212&gt;=25-$F$13+2)*($E$212:$BD$212&lt;=25)*$E$213:$BD$213*POWER(1-$G$13,($E$212:$BD$212&lt;=25)*(25-$E$212:$BD$212)))</f>
        <v/>
      </c>
      <c r="AD232" s="36">
        <f>SUMPRODUCT(($E$212:$BD$212&gt;=26-$F$13+2)*($E$212:$BD$212&lt;=26)*$E$213:$BD$213*POWER(1-$G$13,($E$212:$BD$212&lt;=26)*(26-$E$212:$BD$212)))</f>
        <v/>
      </c>
      <c r="AE232" s="36">
        <f>SUMPRODUCT(($E$212:$BD$212&gt;=27-$F$13+2)*($E$212:$BD$212&lt;=27)*$E$213:$BD$213*POWER(1-$G$13,($E$212:$BD$212&lt;=27)*(27-$E$212:$BD$212)))</f>
        <v/>
      </c>
      <c r="AF232" s="36">
        <f>SUMPRODUCT(($E$212:$BD$212&gt;=28-$F$13+2)*($E$212:$BD$212&lt;=28)*$E$213:$BD$213*POWER(1-$G$13,($E$212:$BD$212&lt;=28)*(28-$E$212:$BD$212)))</f>
        <v/>
      </c>
      <c r="AG232" s="36">
        <f>SUMPRODUCT(($E$212:$BD$212&gt;=29-$F$13+2)*($E$212:$BD$212&lt;=29)*$E$213:$BD$213*POWER(1-$G$13,($E$212:$BD$212&lt;=29)*(29-$E$212:$BD$212)))</f>
        <v/>
      </c>
      <c r="AH232" s="36">
        <f>SUMPRODUCT(($E$212:$BD$212&gt;=30-$F$13+2)*($E$212:$BD$212&lt;=30)*$E$213:$BD$213*POWER(1-$G$13,($E$212:$BD$212&lt;=30)*(30-$E$212:$BD$212)))</f>
        <v/>
      </c>
      <c r="AI232" s="36">
        <f>SUMPRODUCT(($E$212:$BD$212&gt;=31-$F$13+2)*($E$212:$BD$212&lt;=31)*$E$213:$BD$213*POWER(1-$G$13,($E$212:$BD$212&lt;=31)*(31-$E$212:$BD$212)))</f>
        <v/>
      </c>
      <c r="AJ232" s="36">
        <f>SUMPRODUCT(($E$212:$BD$212&gt;=32-$F$13+2)*($E$212:$BD$212&lt;=32)*$E$213:$BD$213*POWER(1-$G$13,($E$212:$BD$212&lt;=32)*(32-$E$212:$BD$212)))</f>
        <v/>
      </c>
      <c r="AK232" s="36">
        <f>SUMPRODUCT(($E$212:$BD$212&gt;=33-$F$13+2)*($E$212:$BD$212&lt;=33)*$E$213:$BD$213*POWER(1-$G$13,($E$212:$BD$212&lt;=33)*(33-$E$212:$BD$212)))</f>
        <v/>
      </c>
      <c r="AL232" s="36">
        <f>SUMPRODUCT(($E$212:$BD$212&gt;=34-$F$13+2)*($E$212:$BD$212&lt;=34)*$E$213:$BD$213*POWER(1-$G$13,($E$212:$BD$212&lt;=34)*(34-$E$212:$BD$212)))</f>
        <v/>
      </c>
      <c r="AM232" s="36">
        <f>SUMPRODUCT(($E$212:$BD$212&gt;=35-$F$13+2)*($E$212:$BD$212&lt;=35)*$E$213:$BD$213*POWER(1-$G$13,($E$212:$BD$212&lt;=35)*(35-$E$212:$BD$212)))</f>
        <v/>
      </c>
      <c r="AN232" s="36">
        <f>SUMPRODUCT(($E$212:$BD$212&gt;=36-$F$13+2)*($E$212:$BD$212&lt;=36)*$E$213:$BD$213*POWER(1-$G$13,($E$212:$BD$212&lt;=36)*(36-$E$212:$BD$212)))</f>
        <v/>
      </c>
      <c r="AO232" s="36">
        <f>SUMPRODUCT(($E$212:$BD$212&gt;=37-$F$13+2)*($E$212:$BD$212&lt;=37)*$E$213:$BD$213*POWER(1-$G$13,($E$212:$BD$212&lt;=37)*(37-$E$212:$BD$212)))</f>
        <v/>
      </c>
      <c r="AP232" s="36">
        <f>SUMPRODUCT(($E$212:$BD$212&gt;=38-$F$13+2)*($E$212:$BD$212&lt;=38)*$E$213:$BD$213*POWER(1-$G$13,($E$212:$BD$212&lt;=38)*(38-$E$212:$BD$212)))</f>
        <v/>
      </c>
      <c r="AQ232" s="36">
        <f>SUMPRODUCT(($E$212:$BD$212&gt;=39-$F$13+2)*($E$212:$BD$212&lt;=39)*$E$213:$BD$213*POWER(1-$G$13,($E$212:$BD$212&lt;=39)*(39-$E$212:$BD$212)))</f>
        <v/>
      </c>
      <c r="AR232" s="36">
        <f>SUMPRODUCT(($E$212:$BD$212&gt;=40-$F$13+2)*($E$212:$BD$212&lt;=40)*$E$213:$BD$213*POWER(1-$G$13,($E$212:$BD$212&lt;=40)*(40-$E$212:$BD$212)))</f>
        <v/>
      </c>
      <c r="AS232" s="36">
        <f>SUMPRODUCT(($E$212:$BD$212&gt;=41-$F$13+2)*($E$212:$BD$212&lt;=41)*$E$213:$BD$213*POWER(1-$G$13,($E$212:$BD$212&lt;=41)*(41-$E$212:$BD$212)))</f>
        <v/>
      </c>
      <c r="AT232" s="36">
        <f>SUMPRODUCT(($E$212:$BD$212&gt;=42-$F$13+2)*($E$212:$BD$212&lt;=42)*$E$213:$BD$213*POWER(1-$G$13,($E$212:$BD$212&lt;=42)*(42-$E$212:$BD$212)))</f>
        <v/>
      </c>
      <c r="AU232" s="36">
        <f>SUMPRODUCT(($E$212:$BD$212&gt;=43-$F$13+2)*($E$212:$BD$212&lt;=43)*$E$213:$BD$213*POWER(1-$G$13,($E$212:$BD$212&lt;=43)*(43-$E$212:$BD$212)))</f>
        <v/>
      </c>
      <c r="AV232" s="36">
        <f>SUMPRODUCT(($E$212:$BD$212&gt;=44-$F$13+2)*($E$212:$BD$212&lt;=44)*$E$213:$BD$213*POWER(1-$G$13,($E$212:$BD$212&lt;=44)*(44-$E$212:$BD$212)))</f>
        <v/>
      </c>
      <c r="AW232" s="36">
        <f>SUMPRODUCT(($E$212:$BD$212&gt;=45-$F$13+2)*($E$212:$BD$212&lt;=45)*$E$213:$BD$213*POWER(1-$G$13,($E$212:$BD$212&lt;=45)*(45-$E$212:$BD$212)))</f>
        <v/>
      </c>
      <c r="AX232" s="36">
        <f>SUMPRODUCT(($E$212:$BD$212&gt;=46-$F$13+2)*($E$212:$BD$212&lt;=46)*$E$213:$BD$213*POWER(1-$G$13,($E$212:$BD$212&lt;=46)*(46-$E$212:$BD$212)))</f>
        <v/>
      </c>
      <c r="AY232" s="36">
        <f>SUMPRODUCT(($E$212:$BD$212&gt;=47-$F$13+2)*($E$212:$BD$212&lt;=47)*$E$213:$BD$213*POWER(1-$G$13,($E$212:$BD$212&lt;=47)*(47-$E$212:$BD$212)))</f>
        <v/>
      </c>
      <c r="AZ232" s="36">
        <f>SUMPRODUCT(($E$212:$BD$212&gt;=48-$F$13+2)*($E$212:$BD$212&lt;=48)*$E$213:$BD$213*POWER(1-$G$13,($E$212:$BD$212&lt;=48)*(48-$E$212:$BD$212)))</f>
        <v/>
      </c>
      <c r="BA232" s="36">
        <f>SUMPRODUCT(($E$212:$BD$212&gt;=49-$F$13+2)*($E$212:$BD$212&lt;=49)*$E$213:$BD$213*POWER(1-$G$13,($E$212:$BD$212&lt;=49)*(49-$E$212:$BD$212)))</f>
        <v/>
      </c>
      <c r="BB232" s="36">
        <f>SUMPRODUCT(($E$212:$BD$212&gt;=50-$F$13+2)*($E$212:$BD$212&lt;=50)*$E$213:$BD$213*POWER(1-$G$13,($E$212:$BD$212&lt;=50)*(50-$E$212:$BD$212)))</f>
        <v/>
      </c>
      <c r="BC232" s="36">
        <f>SUMPRODUCT(($E$212:$BD$212&gt;=51-$F$13+2)*($E$212:$BD$212&lt;=51)*$E$213:$BD$213*POWER(1-$G$13,($E$212:$BD$212&lt;=51)*(51-$E$212:$BD$212)))</f>
        <v/>
      </c>
      <c r="BD232" s="36">
        <f>SUMPRODUCT(($E$212:$BD$212&gt;=52-$F$13+2)*($E$212:$BD$212&lt;=52)*$E$213:$BD$213*POWER(1-$G$13,($E$212:$BD$212&lt;=52)*(52-$E$212:$BD$212)))</f>
        <v/>
      </c>
    </row>
    <row r="233">
      <c r="A233" s="2" t="inlineStr">
        <is>
          <t xml:space="preserve">   Stock carried out must stay at or below this row.</t>
        </is>
      </c>
    </row>
    <row r="234">
      <c r="A234" s="27" t="inlineStr">
        <is>
          <t>Growing cost this week</t>
        </is>
      </c>
      <c r="B234" s="2" t="inlineStr">
        <is>
          <t>$</t>
        </is>
      </c>
      <c r="E234" s="36">
        <f>SUMPRODUCT(($B$43:$B$110="Garlic")*(E$43:E$110="P")*$C$43:$C$110)*$K$13+SUMPRODUCT(($B$43:$B$110="Garlic")*(E$43:E$110="G")*$C$43:$C$110)*$L$13+SUMPRODUCT(($B$43:$B$110="Garlic")*(E$43:E$110="H")*$C$43:$C$110)*$M$13+SUMPRODUCT(($B$43:$B$110="Garlic")*($BG$43:$BG$110=1)*$C$43:$C$110)*$H$13</f>
        <v/>
      </c>
      <c r="F234" s="36">
        <f>SUMPRODUCT(($B$43:$B$110="Garlic")*(F$43:F$110="P")*$C$43:$C$110)*$K$13+SUMPRODUCT(($B$43:$B$110="Garlic")*(F$43:F$110="G")*$C$43:$C$110)*$L$13+SUMPRODUCT(($B$43:$B$110="Garlic")*(F$43:F$110="H")*$C$43:$C$110)*$M$13+SUMPRODUCT(($B$43:$B$110="Garlic")*($BG$43:$BG$110=2)*$C$43:$C$110)*$H$13</f>
        <v/>
      </c>
      <c r="G234" s="36">
        <f>SUMPRODUCT(($B$43:$B$110="Garlic")*(G$43:G$110="P")*$C$43:$C$110)*$K$13+SUMPRODUCT(($B$43:$B$110="Garlic")*(G$43:G$110="G")*$C$43:$C$110)*$L$13+SUMPRODUCT(($B$43:$B$110="Garlic")*(G$43:G$110="H")*$C$43:$C$110)*$M$13+SUMPRODUCT(($B$43:$B$110="Garlic")*($BG$43:$BG$110=3)*$C$43:$C$110)*$H$13</f>
        <v/>
      </c>
      <c r="H234" s="36">
        <f>SUMPRODUCT(($B$43:$B$110="Garlic")*(H$43:H$110="P")*$C$43:$C$110)*$K$13+SUMPRODUCT(($B$43:$B$110="Garlic")*(H$43:H$110="G")*$C$43:$C$110)*$L$13+SUMPRODUCT(($B$43:$B$110="Garlic")*(H$43:H$110="H")*$C$43:$C$110)*$M$13+SUMPRODUCT(($B$43:$B$110="Garlic")*($BG$43:$BG$110=4)*$C$43:$C$110)*$H$13</f>
        <v/>
      </c>
      <c r="I234" s="36">
        <f>SUMPRODUCT(($B$43:$B$110="Garlic")*(I$43:I$110="P")*$C$43:$C$110)*$K$13+SUMPRODUCT(($B$43:$B$110="Garlic")*(I$43:I$110="G")*$C$43:$C$110)*$L$13+SUMPRODUCT(($B$43:$B$110="Garlic")*(I$43:I$110="H")*$C$43:$C$110)*$M$13+SUMPRODUCT(($B$43:$B$110="Garlic")*($BG$43:$BG$110=5)*$C$43:$C$110)*$H$13</f>
        <v/>
      </c>
      <c r="J234" s="36">
        <f>SUMPRODUCT(($B$43:$B$110="Garlic")*(J$43:J$110="P")*$C$43:$C$110)*$K$13+SUMPRODUCT(($B$43:$B$110="Garlic")*(J$43:J$110="G")*$C$43:$C$110)*$L$13+SUMPRODUCT(($B$43:$B$110="Garlic")*(J$43:J$110="H")*$C$43:$C$110)*$M$13+SUMPRODUCT(($B$43:$B$110="Garlic")*($BG$43:$BG$110=6)*$C$43:$C$110)*$H$13</f>
        <v/>
      </c>
      <c r="K234" s="36">
        <f>SUMPRODUCT(($B$43:$B$110="Garlic")*(K$43:K$110="P")*$C$43:$C$110)*$K$13+SUMPRODUCT(($B$43:$B$110="Garlic")*(K$43:K$110="G")*$C$43:$C$110)*$L$13+SUMPRODUCT(($B$43:$B$110="Garlic")*(K$43:K$110="H")*$C$43:$C$110)*$M$13+SUMPRODUCT(($B$43:$B$110="Garlic")*($BG$43:$BG$110=7)*$C$43:$C$110)*$H$13</f>
        <v/>
      </c>
      <c r="L234" s="36">
        <f>SUMPRODUCT(($B$43:$B$110="Garlic")*(L$43:L$110="P")*$C$43:$C$110)*$K$13+SUMPRODUCT(($B$43:$B$110="Garlic")*(L$43:L$110="G")*$C$43:$C$110)*$L$13+SUMPRODUCT(($B$43:$B$110="Garlic")*(L$43:L$110="H")*$C$43:$C$110)*$M$13+SUMPRODUCT(($B$43:$B$110="Garlic")*($BG$43:$BG$110=8)*$C$43:$C$110)*$H$13</f>
        <v/>
      </c>
      <c r="M234" s="36">
        <f>SUMPRODUCT(($B$43:$B$110="Garlic")*(M$43:M$110="P")*$C$43:$C$110)*$K$13+SUMPRODUCT(($B$43:$B$110="Garlic")*(M$43:M$110="G")*$C$43:$C$110)*$L$13+SUMPRODUCT(($B$43:$B$110="Garlic")*(M$43:M$110="H")*$C$43:$C$110)*$M$13+SUMPRODUCT(($B$43:$B$110="Garlic")*($BG$43:$BG$110=9)*$C$43:$C$110)*$H$13</f>
        <v/>
      </c>
      <c r="N234" s="36">
        <f>SUMPRODUCT(($B$43:$B$110="Garlic")*(N$43:N$110="P")*$C$43:$C$110)*$K$13+SUMPRODUCT(($B$43:$B$110="Garlic")*(N$43:N$110="G")*$C$43:$C$110)*$L$13+SUMPRODUCT(($B$43:$B$110="Garlic")*(N$43:N$110="H")*$C$43:$C$110)*$M$13+SUMPRODUCT(($B$43:$B$110="Garlic")*($BG$43:$BG$110=10)*$C$43:$C$110)*$H$13</f>
        <v/>
      </c>
      <c r="O234" s="36">
        <f>SUMPRODUCT(($B$43:$B$110="Garlic")*(O$43:O$110="P")*$C$43:$C$110)*$K$13+SUMPRODUCT(($B$43:$B$110="Garlic")*(O$43:O$110="G")*$C$43:$C$110)*$L$13+SUMPRODUCT(($B$43:$B$110="Garlic")*(O$43:O$110="H")*$C$43:$C$110)*$M$13+SUMPRODUCT(($B$43:$B$110="Garlic")*($BG$43:$BG$110=11)*$C$43:$C$110)*$H$13</f>
        <v/>
      </c>
      <c r="P234" s="36">
        <f>SUMPRODUCT(($B$43:$B$110="Garlic")*(P$43:P$110="P")*$C$43:$C$110)*$K$13+SUMPRODUCT(($B$43:$B$110="Garlic")*(P$43:P$110="G")*$C$43:$C$110)*$L$13+SUMPRODUCT(($B$43:$B$110="Garlic")*(P$43:P$110="H")*$C$43:$C$110)*$M$13+SUMPRODUCT(($B$43:$B$110="Garlic")*($BG$43:$BG$110=12)*$C$43:$C$110)*$H$13</f>
        <v/>
      </c>
      <c r="Q234" s="36">
        <f>SUMPRODUCT(($B$43:$B$110="Garlic")*(Q$43:Q$110="P")*$C$43:$C$110)*$K$13+SUMPRODUCT(($B$43:$B$110="Garlic")*(Q$43:Q$110="G")*$C$43:$C$110)*$L$13+SUMPRODUCT(($B$43:$B$110="Garlic")*(Q$43:Q$110="H")*$C$43:$C$110)*$M$13+SUMPRODUCT(($B$43:$B$110="Garlic")*($BG$43:$BG$110=13)*$C$43:$C$110)*$H$13</f>
        <v/>
      </c>
      <c r="R234" s="36">
        <f>SUMPRODUCT(($B$43:$B$110="Garlic")*(R$43:R$110="P")*$C$43:$C$110)*$K$13+SUMPRODUCT(($B$43:$B$110="Garlic")*(R$43:R$110="G")*$C$43:$C$110)*$L$13+SUMPRODUCT(($B$43:$B$110="Garlic")*(R$43:R$110="H")*$C$43:$C$110)*$M$13+SUMPRODUCT(($B$43:$B$110="Garlic")*($BG$43:$BG$110=14)*$C$43:$C$110)*$H$13</f>
        <v/>
      </c>
      <c r="S234" s="36">
        <f>SUMPRODUCT(($B$43:$B$110="Garlic")*(S$43:S$110="P")*$C$43:$C$110)*$K$13+SUMPRODUCT(($B$43:$B$110="Garlic")*(S$43:S$110="G")*$C$43:$C$110)*$L$13+SUMPRODUCT(($B$43:$B$110="Garlic")*(S$43:S$110="H")*$C$43:$C$110)*$M$13+SUMPRODUCT(($B$43:$B$110="Garlic")*($BG$43:$BG$110=15)*$C$43:$C$110)*$H$13</f>
        <v/>
      </c>
      <c r="T234" s="36">
        <f>SUMPRODUCT(($B$43:$B$110="Garlic")*(T$43:T$110="P")*$C$43:$C$110)*$K$13+SUMPRODUCT(($B$43:$B$110="Garlic")*(T$43:T$110="G")*$C$43:$C$110)*$L$13+SUMPRODUCT(($B$43:$B$110="Garlic")*(T$43:T$110="H")*$C$43:$C$110)*$M$13+SUMPRODUCT(($B$43:$B$110="Garlic")*($BG$43:$BG$110=16)*$C$43:$C$110)*$H$13</f>
        <v/>
      </c>
      <c r="U234" s="36">
        <f>SUMPRODUCT(($B$43:$B$110="Garlic")*(U$43:U$110="P")*$C$43:$C$110)*$K$13+SUMPRODUCT(($B$43:$B$110="Garlic")*(U$43:U$110="G")*$C$43:$C$110)*$L$13+SUMPRODUCT(($B$43:$B$110="Garlic")*(U$43:U$110="H")*$C$43:$C$110)*$M$13+SUMPRODUCT(($B$43:$B$110="Garlic")*($BG$43:$BG$110=17)*$C$43:$C$110)*$H$13</f>
        <v/>
      </c>
      <c r="V234" s="36">
        <f>SUMPRODUCT(($B$43:$B$110="Garlic")*(V$43:V$110="P")*$C$43:$C$110)*$K$13+SUMPRODUCT(($B$43:$B$110="Garlic")*(V$43:V$110="G")*$C$43:$C$110)*$L$13+SUMPRODUCT(($B$43:$B$110="Garlic")*(V$43:V$110="H")*$C$43:$C$110)*$M$13+SUMPRODUCT(($B$43:$B$110="Garlic")*($BG$43:$BG$110=18)*$C$43:$C$110)*$H$13</f>
        <v/>
      </c>
      <c r="W234" s="36">
        <f>SUMPRODUCT(($B$43:$B$110="Garlic")*(W$43:W$110="P")*$C$43:$C$110)*$K$13+SUMPRODUCT(($B$43:$B$110="Garlic")*(W$43:W$110="G")*$C$43:$C$110)*$L$13+SUMPRODUCT(($B$43:$B$110="Garlic")*(W$43:W$110="H")*$C$43:$C$110)*$M$13+SUMPRODUCT(($B$43:$B$110="Garlic")*($BG$43:$BG$110=19)*$C$43:$C$110)*$H$13</f>
        <v/>
      </c>
      <c r="X234" s="36">
        <f>SUMPRODUCT(($B$43:$B$110="Garlic")*(X$43:X$110="P")*$C$43:$C$110)*$K$13+SUMPRODUCT(($B$43:$B$110="Garlic")*(X$43:X$110="G")*$C$43:$C$110)*$L$13+SUMPRODUCT(($B$43:$B$110="Garlic")*(X$43:X$110="H")*$C$43:$C$110)*$M$13+SUMPRODUCT(($B$43:$B$110="Garlic")*($BG$43:$BG$110=20)*$C$43:$C$110)*$H$13</f>
        <v/>
      </c>
      <c r="Y234" s="36">
        <f>SUMPRODUCT(($B$43:$B$110="Garlic")*(Y$43:Y$110="P")*$C$43:$C$110)*$K$13+SUMPRODUCT(($B$43:$B$110="Garlic")*(Y$43:Y$110="G")*$C$43:$C$110)*$L$13+SUMPRODUCT(($B$43:$B$110="Garlic")*(Y$43:Y$110="H")*$C$43:$C$110)*$M$13+SUMPRODUCT(($B$43:$B$110="Garlic")*($BG$43:$BG$110=21)*$C$43:$C$110)*$H$13</f>
        <v/>
      </c>
      <c r="Z234" s="36">
        <f>SUMPRODUCT(($B$43:$B$110="Garlic")*(Z$43:Z$110="P")*$C$43:$C$110)*$K$13+SUMPRODUCT(($B$43:$B$110="Garlic")*(Z$43:Z$110="G")*$C$43:$C$110)*$L$13+SUMPRODUCT(($B$43:$B$110="Garlic")*(Z$43:Z$110="H")*$C$43:$C$110)*$M$13+SUMPRODUCT(($B$43:$B$110="Garlic")*($BG$43:$BG$110=22)*$C$43:$C$110)*$H$13</f>
        <v/>
      </c>
      <c r="AA234" s="36">
        <f>SUMPRODUCT(($B$43:$B$110="Garlic")*(AA$43:AA$110="P")*$C$43:$C$110)*$K$13+SUMPRODUCT(($B$43:$B$110="Garlic")*(AA$43:AA$110="G")*$C$43:$C$110)*$L$13+SUMPRODUCT(($B$43:$B$110="Garlic")*(AA$43:AA$110="H")*$C$43:$C$110)*$M$13+SUMPRODUCT(($B$43:$B$110="Garlic")*($BG$43:$BG$110=23)*$C$43:$C$110)*$H$13</f>
        <v/>
      </c>
      <c r="AB234" s="36">
        <f>SUMPRODUCT(($B$43:$B$110="Garlic")*(AB$43:AB$110="P")*$C$43:$C$110)*$K$13+SUMPRODUCT(($B$43:$B$110="Garlic")*(AB$43:AB$110="G")*$C$43:$C$110)*$L$13+SUMPRODUCT(($B$43:$B$110="Garlic")*(AB$43:AB$110="H")*$C$43:$C$110)*$M$13+SUMPRODUCT(($B$43:$B$110="Garlic")*($BG$43:$BG$110=24)*$C$43:$C$110)*$H$13</f>
        <v/>
      </c>
      <c r="AC234" s="36">
        <f>SUMPRODUCT(($B$43:$B$110="Garlic")*(AC$43:AC$110="P")*$C$43:$C$110)*$K$13+SUMPRODUCT(($B$43:$B$110="Garlic")*(AC$43:AC$110="G")*$C$43:$C$110)*$L$13+SUMPRODUCT(($B$43:$B$110="Garlic")*(AC$43:AC$110="H")*$C$43:$C$110)*$M$13+SUMPRODUCT(($B$43:$B$110="Garlic")*($BG$43:$BG$110=25)*$C$43:$C$110)*$H$13</f>
        <v/>
      </c>
      <c r="AD234" s="36">
        <f>SUMPRODUCT(($B$43:$B$110="Garlic")*(AD$43:AD$110="P")*$C$43:$C$110)*$K$13+SUMPRODUCT(($B$43:$B$110="Garlic")*(AD$43:AD$110="G")*$C$43:$C$110)*$L$13+SUMPRODUCT(($B$43:$B$110="Garlic")*(AD$43:AD$110="H")*$C$43:$C$110)*$M$13+SUMPRODUCT(($B$43:$B$110="Garlic")*($BG$43:$BG$110=26)*$C$43:$C$110)*$H$13</f>
        <v/>
      </c>
      <c r="AE234" s="36">
        <f>SUMPRODUCT(($B$43:$B$110="Garlic")*(AE$43:AE$110="P")*$C$43:$C$110)*$K$13+SUMPRODUCT(($B$43:$B$110="Garlic")*(AE$43:AE$110="G")*$C$43:$C$110)*$L$13+SUMPRODUCT(($B$43:$B$110="Garlic")*(AE$43:AE$110="H")*$C$43:$C$110)*$M$13+SUMPRODUCT(($B$43:$B$110="Garlic")*($BG$43:$BG$110=27)*$C$43:$C$110)*$H$13</f>
        <v/>
      </c>
      <c r="AF234" s="36">
        <f>SUMPRODUCT(($B$43:$B$110="Garlic")*(AF$43:AF$110="P")*$C$43:$C$110)*$K$13+SUMPRODUCT(($B$43:$B$110="Garlic")*(AF$43:AF$110="G")*$C$43:$C$110)*$L$13+SUMPRODUCT(($B$43:$B$110="Garlic")*(AF$43:AF$110="H")*$C$43:$C$110)*$M$13+SUMPRODUCT(($B$43:$B$110="Garlic")*($BG$43:$BG$110=28)*$C$43:$C$110)*$H$13</f>
        <v/>
      </c>
      <c r="AG234" s="36">
        <f>SUMPRODUCT(($B$43:$B$110="Garlic")*(AG$43:AG$110="P")*$C$43:$C$110)*$K$13+SUMPRODUCT(($B$43:$B$110="Garlic")*(AG$43:AG$110="G")*$C$43:$C$110)*$L$13+SUMPRODUCT(($B$43:$B$110="Garlic")*(AG$43:AG$110="H")*$C$43:$C$110)*$M$13+SUMPRODUCT(($B$43:$B$110="Garlic")*($BG$43:$BG$110=29)*$C$43:$C$110)*$H$13</f>
        <v/>
      </c>
      <c r="AH234" s="36">
        <f>SUMPRODUCT(($B$43:$B$110="Garlic")*(AH$43:AH$110="P")*$C$43:$C$110)*$K$13+SUMPRODUCT(($B$43:$B$110="Garlic")*(AH$43:AH$110="G")*$C$43:$C$110)*$L$13+SUMPRODUCT(($B$43:$B$110="Garlic")*(AH$43:AH$110="H")*$C$43:$C$110)*$M$13+SUMPRODUCT(($B$43:$B$110="Garlic")*($BG$43:$BG$110=30)*$C$43:$C$110)*$H$13</f>
        <v/>
      </c>
      <c r="AI234" s="36">
        <f>SUMPRODUCT(($B$43:$B$110="Garlic")*(AI$43:AI$110="P")*$C$43:$C$110)*$K$13+SUMPRODUCT(($B$43:$B$110="Garlic")*(AI$43:AI$110="G")*$C$43:$C$110)*$L$13+SUMPRODUCT(($B$43:$B$110="Garlic")*(AI$43:AI$110="H")*$C$43:$C$110)*$M$13+SUMPRODUCT(($B$43:$B$110="Garlic")*($BG$43:$BG$110=31)*$C$43:$C$110)*$H$13</f>
        <v/>
      </c>
      <c r="AJ234" s="36">
        <f>SUMPRODUCT(($B$43:$B$110="Garlic")*(AJ$43:AJ$110="P")*$C$43:$C$110)*$K$13+SUMPRODUCT(($B$43:$B$110="Garlic")*(AJ$43:AJ$110="G")*$C$43:$C$110)*$L$13+SUMPRODUCT(($B$43:$B$110="Garlic")*(AJ$43:AJ$110="H")*$C$43:$C$110)*$M$13+SUMPRODUCT(($B$43:$B$110="Garlic")*($BG$43:$BG$110=32)*$C$43:$C$110)*$H$13</f>
        <v/>
      </c>
      <c r="AK234" s="36">
        <f>SUMPRODUCT(($B$43:$B$110="Garlic")*(AK$43:AK$110="P")*$C$43:$C$110)*$K$13+SUMPRODUCT(($B$43:$B$110="Garlic")*(AK$43:AK$110="G")*$C$43:$C$110)*$L$13+SUMPRODUCT(($B$43:$B$110="Garlic")*(AK$43:AK$110="H")*$C$43:$C$110)*$M$13+SUMPRODUCT(($B$43:$B$110="Garlic")*($BG$43:$BG$110=33)*$C$43:$C$110)*$H$13</f>
        <v/>
      </c>
      <c r="AL234" s="36">
        <f>SUMPRODUCT(($B$43:$B$110="Garlic")*(AL$43:AL$110="P")*$C$43:$C$110)*$K$13+SUMPRODUCT(($B$43:$B$110="Garlic")*(AL$43:AL$110="G")*$C$43:$C$110)*$L$13+SUMPRODUCT(($B$43:$B$110="Garlic")*(AL$43:AL$110="H")*$C$43:$C$110)*$M$13+SUMPRODUCT(($B$43:$B$110="Garlic")*($BG$43:$BG$110=34)*$C$43:$C$110)*$H$13</f>
        <v/>
      </c>
      <c r="AM234" s="36">
        <f>SUMPRODUCT(($B$43:$B$110="Garlic")*(AM$43:AM$110="P")*$C$43:$C$110)*$K$13+SUMPRODUCT(($B$43:$B$110="Garlic")*(AM$43:AM$110="G")*$C$43:$C$110)*$L$13+SUMPRODUCT(($B$43:$B$110="Garlic")*(AM$43:AM$110="H")*$C$43:$C$110)*$M$13+SUMPRODUCT(($B$43:$B$110="Garlic")*($BG$43:$BG$110=35)*$C$43:$C$110)*$H$13</f>
        <v/>
      </c>
      <c r="AN234" s="36">
        <f>SUMPRODUCT(($B$43:$B$110="Garlic")*(AN$43:AN$110="P")*$C$43:$C$110)*$K$13+SUMPRODUCT(($B$43:$B$110="Garlic")*(AN$43:AN$110="G")*$C$43:$C$110)*$L$13+SUMPRODUCT(($B$43:$B$110="Garlic")*(AN$43:AN$110="H")*$C$43:$C$110)*$M$13+SUMPRODUCT(($B$43:$B$110="Garlic")*($BG$43:$BG$110=36)*$C$43:$C$110)*$H$13</f>
        <v/>
      </c>
      <c r="AO234" s="36">
        <f>SUMPRODUCT(($B$43:$B$110="Garlic")*(AO$43:AO$110="P")*$C$43:$C$110)*$K$13+SUMPRODUCT(($B$43:$B$110="Garlic")*(AO$43:AO$110="G")*$C$43:$C$110)*$L$13+SUMPRODUCT(($B$43:$B$110="Garlic")*(AO$43:AO$110="H")*$C$43:$C$110)*$M$13+SUMPRODUCT(($B$43:$B$110="Garlic")*($BG$43:$BG$110=37)*$C$43:$C$110)*$H$13</f>
        <v/>
      </c>
      <c r="AP234" s="36">
        <f>SUMPRODUCT(($B$43:$B$110="Garlic")*(AP$43:AP$110="P")*$C$43:$C$110)*$K$13+SUMPRODUCT(($B$43:$B$110="Garlic")*(AP$43:AP$110="G")*$C$43:$C$110)*$L$13+SUMPRODUCT(($B$43:$B$110="Garlic")*(AP$43:AP$110="H")*$C$43:$C$110)*$M$13+SUMPRODUCT(($B$43:$B$110="Garlic")*($BG$43:$BG$110=38)*$C$43:$C$110)*$H$13</f>
        <v/>
      </c>
      <c r="AQ234" s="36">
        <f>SUMPRODUCT(($B$43:$B$110="Garlic")*(AQ$43:AQ$110="P")*$C$43:$C$110)*$K$13+SUMPRODUCT(($B$43:$B$110="Garlic")*(AQ$43:AQ$110="G")*$C$43:$C$110)*$L$13+SUMPRODUCT(($B$43:$B$110="Garlic")*(AQ$43:AQ$110="H")*$C$43:$C$110)*$M$13+SUMPRODUCT(($B$43:$B$110="Garlic")*($BG$43:$BG$110=39)*$C$43:$C$110)*$H$13</f>
        <v/>
      </c>
      <c r="AR234" s="36">
        <f>SUMPRODUCT(($B$43:$B$110="Garlic")*(AR$43:AR$110="P")*$C$43:$C$110)*$K$13+SUMPRODUCT(($B$43:$B$110="Garlic")*(AR$43:AR$110="G")*$C$43:$C$110)*$L$13+SUMPRODUCT(($B$43:$B$110="Garlic")*(AR$43:AR$110="H")*$C$43:$C$110)*$M$13+SUMPRODUCT(($B$43:$B$110="Garlic")*($BG$43:$BG$110=40)*$C$43:$C$110)*$H$13</f>
        <v/>
      </c>
      <c r="AS234" s="36">
        <f>SUMPRODUCT(($B$43:$B$110="Garlic")*(AS$43:AS$110="P")*$C$43:$C$110)*$K$13+SUMPRODUCT(($B$43:$B$110="Garlic")*(AS$43:AS$110="G")*$C$43:$C$110)*$L$13+SUMPRODUCT(($B$43:$B$110="Garlic")*(AS$43:AS$110="H")*$C$43:$C$110)*$M$13+SUMPRODUCT(($B$43:$B$110="Garlic")*($BG$43:$BG$110=41)*$C$43:$C$110)*$H$13</f>
        <v/>
      </c>
      <c r="AT234" s="36">
        <f>SUMPRODUCT(($B$43:$B$110="Garlic")*(AT$43:AT$110="P")*$C$43:$C$110)*$K$13+SUMPRODUCT(($B$43:$B$110="Garlic")*(AT$43:AT$110="G")*$C$43:$C$110)*$L$13+SUMPRODUCT(($B$43:$B$110="Garlic")*(AT$43:AT$110="H")*$C$43:$C$110)*$M$13+SUMPRODUCT(($B$43:$B$110="Garlic")*($BG$43:$BG$110=42)*$C$43:$C$110)*$H$13</f>
        <v/>
      </c>
      <c r="AU234" s="36">
        <f>SUMPRODUCT(($B$43:$B$110="Garlic")*(AU$43:AU$110="P")*$C$43:$C$110)*$K$13+SUMPRODUCT(($B$43:$B$110="Garlic")*(AU$43:AU$110="G")*$C$43:$C$110)*$L$13+SUMPRODUCT(($B$43:$B$110="Garlic")*(AU$43:AU$110="H")*$C$43:$C$110)*$M$13+SUMPRODUCT(($B$43:$B$110="Garlic")*($BG$43:$BG$110=43)*$C$43:$C$110)*$H$13</f>
        <v/>
      </c>
      <c r="AV234" s="36">
        <f>SUMPRODUCT(($B$43:$B$110="Garlic")*(AV$43:AV$110="P")*$C$43:$C$110)*$K$13+SUMPRODUCT(($B$43:$B$110="Garlic")*(AV$43:AV$110="G")*$C$43:$C$110)*$L$13+SUMPRODUCT(($B$43:$B$110="Garlic")*(AV$43:AV$110="H")*$C$43:$C$110)*$M$13+SUMPRODUCT(($B$43:$B$110="Garlic")*($BG$43:$BG$110=44)*$C$43:$C$110)*$H$13</f>
        <v/>
      </c>
      <c r="AW234" s="36">
        <f>SUMPRODUCT(($B$43:$B$110="Garlic")*(AW$43:AW$110="P")*$C$43:$C$110)*$K$13+SUMPRODUCT(($B$43:$B$110="Garlic")*(AW$43:AW$110="G")*$C$43:$C$110)*$L$13+SUMPRODUCT(($B$43:$B$110="Garlic")*(AW$43:AW$110="H")*$C$43:$C$110)*$M$13+SUMPRODUCT(($B$43:$B$110="Garlic")*($BG$43:$BG$110=45)*$C$43:$C$110)*$H$13</f>
        <v/>
      </c>
      <c r="AX234" s="36">
        <f>SUMPRODUCT(($B$43:$B$110="Garlic")*(AX$43:AX$110="P")*$C$43:$C$110)*$K$13+SUMPRODUCT(($B$43:$B$110="Garlic")*(AX$43:AX$110="G")*$C$43:$C$110)*$L$13+SUMPRODUCT(($B$43:$B$110="Garlic")*(AX$43:AX$110="H")*$C$43:$C$110)*$M$13+SUMPRODUCT(($B$43:$B$110="Garlic")*($BG$43:$BG$110=46)*$C$43:$C$110)*$H$13</f>
        <v/>
      </c>
      <c r="AY234" s="36">
        <f>SUMPRODUCT(($B$43:$B$110="Garlic")*(AY$43:AY$110="P")*$C$43:$C$110)*$K$13+SUMPRODUCT(($B$43:$B$110="Garlic")*(AY$43:AY$110="G")*$C$43:$C$110)*$L$13+SUMPRODUCT(($B$43:$B$110="Garlic")*(AY$43:AY$110="H")*$C$43:$C$110)*$M$13+SUMPRODUCT(($B$43:$B$110="Garlic")*($BG$43:$BG$110=47)*$C$43:$C$110)*$H$13</f>
        <v/>
      </c>
      <c r="AZ234" s="36">
        <f>SUMPRODUCT(($B$43:$B$110="Garlic")*(AZ$43:AZ$110="P")*$C$43:$C$110)*$K$13+SUMPRODUCT(($B$43:$B$110="Garlic")*(AZ$43:AZ$110="G")*$C$43:$C$110)*$L$13+SUMPRODUCT(($B$43:$B$110="Garlic")*(AZ$43:AZ$110="H")*$C$43:$C$110)*$M$13+SUMPRODUCT(($B$43:$B$110="Garlic")*($BG$43:$BG$110=48)*$C$43:$C$110)*$H$13</f>
        <v/>
      </c>
      <c r="BA234" s="36">
        <f>SUMPRODUCT(($B$43:$B$110="Garlic")*(BA$43:BA$110="P")*$C$43:$C$110)*$K$13+SUMPRODUCT(($B$43:$B$110="Garlic")*(BA$43:BA$110="G")*$C$43:$C$110)*$L$13+SUMPRODUCT(($B$43:$B$110="Garlic")*(BA$43:BA$110="H")*$C$43:$C$110)*$M$13+SUMPRODUCT(($B$43:$B$110="Garlic")*($BG$43:$BG$110=49)*$C$43:$C$110)*$H$13</f>
        <v/>
      </c>
      <c r="BB234" s="36">
        <f>SUMPRODUCT(($B$43:$B$110="Garlic")*(BB$43:BB$110="P")*$C$43:$C$110)*$K$13+SUMPRODUCT(($B$43:$B$110="Garlic")*(BB$43:BB$110="G")*$C$43:$C$110)*$L$13+SUMPRODUCT(($B$43:$B$110="Garlic")*(BB$43:BB$110="H")*$C$43:$C$110)*$M$13+SUMPRODUCT(($B$43:$B$110="Garlic")*($BG$43:$BG$110=50)*$C$43:$C$110)*$H$13</f>
        <v/>
      </c>
      <c r="BC234" s="36">
        <f>SUMPRODUCT(($B$43:$B$110="Garlic")*(BC$43:BC$110="P")*$C$43:$C$110)*$K$13+SUMPRODUCT(($B$43:$B$110="Garlic")*(BC$43:BC$110="G")*$C$43:$C$110)*$L$13+SUMPRODUCT(($B$43:$B$110="Garlic")*(BC$43:BC$110="H")*$C$43:$C$110)*$M$13+SUMPRODUCT(($B$43:$B$110="Garlic")*($BG$43:$BG$110=51)*$C$43:$C$110)*$H$13</f>
        <v/>
      </c>
      <c r="BD234" s="36">
        <f>SUMPRODUCT(($B$43:$B$110="Garlic")*(BD$43:BD$110="P")*$C$43:$C$110)*$K$13+SUMPRODUCT(($B$43:$B$110="Garlic")*(BD$43:BD$110="G")*$C$43:$C$110)*$L$13+SUMPRODUCT(($B$43:$B$110="Garlic")*(BD$43:BD$110="H")*$C$43:$C$110)*$M$13+SUMPRODUCT(($B$43:$B$110="Garlic")*($BG$43:$BG$110=52)*$C$43:$C$110)*$H$13</f>
        <v/>
      </c>
    </row>
    <row r="235">
      <c r="A235" s="27" t="inlineStr">
        <is>
          <t>Packaging this week</t>
        </is>
      </c>
      <c r="B235" s="2" t="inlineStr">
        <is>
          <t>$</t>
        </is>
      </c>
      <c r="E235" s="36">
        <f>E219*$J$22+E225*$J$23</f>
        <v/>
      </c>
      <c r="F235" s="36">
        <f>F219*$J$22+F225*$J$23</f>
        <v/>
      </c>
      <c r="G235" s="36">
        <f>G219*$J$22+G225*$J$23</f>
        <v/>
      </c>
      <c r="H235" s="36">
        <f>H219*$J$22+H225*$J$23</f>
        <v/>
      </c>
      <c r="I235" s="36">
        <f>I219*$J$22+I225*$J$23</f>
        <v/>
      </c>
      <c r="J235" s="36">
        <f>J219*$J$22+J225*$J$23</f>
        <v/>
      </c>
      <c r="K235" s="36">
        <f>K219*$J$22+K225*$J$23</f>
        <v/>
      </c>
      <c r="L235" s="36">
        <f>L219*$J$22+L225*$J$23</f>
        <v/>
      </c>
      <c r="M235" s="36">
        <f>M219*$J$22+M225*$J$23</f>
        <v/>
      </c>
      <c r="N235" s="36">
        <f>N219*$J$22+N225*$J$23</f>
        <v/>
      </c>
      <c r="O235" s="36">
        <f>O219*$J$22+O225*$J$23</f>
        <v/>
      </c>
      <c r="P235" s="36">
        <f>P219*$J$22+P225*$J$23</f>
        <v/>
      </c>
      <c r="Q235" s="36">
        <f>Q219*$J$22+Q225*$J$23</f>
        <v/>
      </c>
      <c r="R235" s="36">
        <f>R219*$J$22+R225*$J$23</f>
        <v/>
      </c>
      <c r="S235" s="36">
        <f>S219*$J$22+S225*$J$23</f>
        <v/>
      </c>
      <c r="T235" s="36">
        <f>T219*$J$22+T225*$J$23</f>
        <v/>
      </c>
      <c r="U235" s="36">
        <f>U219*$J$22+U225*$J$23</f>
        <v/>
      </c>
      <c r="V235" s="36">
        <f>V219*$J$22+V225*$J$23</f>
        <v/>
      </c>
      <c r="W235" s="36">
        <f>W219*$J$22+W225*$J$23</f>
        <v/>
      </c>
      <c r="X235" s="36">
        <f>X219*$J$22+X225*$J$23</f>
        <v/>
      </c>
      <c r="Y235" s="36">
        <f>Y219*$J$22+Y225*$J$23</f>
        <v/>
      </c>
      <c r="Z235" s="36">
        <f>Z219*$J$22+Z225*$J$23</f>
        <v/>
      </c>
      <c r="AA235" s="36">
        <f>AA219*$J$22+AA225*$J$23</f>
        <v/>
      </c>
      <c r="AB235" s="36">
        <f>AB219*$J$22+AB225*$J$23</f>
        <v/>
      </c>
      <c r="AC235" s="36">
        <f>AC219*$J$22+AC225*$J$23</f>
        <v/>
      </c>
      <c r="AD235" s="36">
        <f>AD219*$J$22+AD225*$J$23</f>
        <v/>
      </c>
      <c r="AE235" s="36">
        <f>AE219*$J$22+AE225*$J$23</f>
        <v/>
      </c>
      <c r="AF235" s="36">
        <f>AF219*$J$22+AF225*$J$23</f>
        <v/>
      </c>
      <c r="AG235" s="36">
        <f>AG219*$J$22+AG225*$J$23</f>
        <v/>
      </c>
      <c r="AH235" s="36">
        <f>AH219*$J$22+AH225*$J$23</f>
        <v/>
      </c>
      <c r="AI235" s="36">
        <f>AI219*$J$22+AI225*$J$23</f>
        <v/>
      </c>
      <c r="AJ235" s="36">
        <f>AJ219*$J$22+AJ225*$J$23</f>
        <v/>
      </c>
      <c r="AK235" s="36">
        <f>AK219*$J$22+AK225*$J$23</f>
        <v/>
      </c>
      <c r="AL235" s="36">
        <f>AL219*$J$22+AL225*$J$23</f>
        <v/>
      </c>
      <c r="AM235" s="36">
        <f>AM219*$J$22+AM225*$J$23</f>
        <v/>
      </c>
      <c r="AN235" s="36">
        <f>AN219*$J$22+AN225*$J$23</f>
        <v/>
      </c>
      <c r="AO235" s="36">
        <f>AO219*$J$22+AO225*$J$23</f>
        <v/>
      </c>
      <c r="AP235" s="36">
        <f>AP219*$J$22+AP225*$J$23</f>
        <v/>
      </c>
      <c r="AQ235" s="36">
        <f>AQ219*$J$22+AQ225*$J$23</f>
        <v/>
      </c>
      <c r="AR235" s="36">
        <f>AR219*$J$22+AR225*$J$23</f>
        <v/>
      </c>
      <c r="AS235" s="36">
        <f>AS219*$J$22+AS225*$J$23</f>
        <v/>
      </c>
      <c r="AT235" s="36">
        <f>AT219*$J$22+AT225*$J$23</f>
        <v/>
      </c>
      <c r="AU235" s="36">
        <f>AU219*$J$22+AU225*$J$23</f>
        <v/>
      </c>
      <c r="AV235" s="36">
        <f>AV219*$J$22+AV225*$J$23</f>
        <v/>
      </c>
      <c r="AW235" s="36">
        <f>AW219*$J$22+AW225*$J$23</f>
        <v/>
      </c>
      <c r="AX235" s="36">
        <f>AX219*$J$22+AX225*$J$23</f>
        <v/>
      </c>
      <c r="AY235" s="36">
        <f>AY219*$J$22+AY225*$J$23</f>
        <v/>
      </c>
      <c r="AZ235" s="36">
        <f>AZ219*$J$22+AZ225*$J$23</f>
        <v/>
      </c>
      <c r="BA235" s="36">
        <f>BA219*$J$22+BA225*$J$23</f>
        <v/>
      </c>
      <c r="BB235" s="36">
        <f>BB219*$J$22+BB225*$J$23</f>
        <v/>
      </c>
      <c r="BC235" s="36">
        <f>BC219*$J$22+BC225*$J$23</f>
        <v/>
      </c>
      <c r="BD235" s="36">
        <f>BD219*$J$22+BD225*$J$23</f>
        <v/>
      </c>
    </row>
    <row r="236">
      <c r="A236" s="4" t="inlineStr">
        <is>
          <t>ROOM OCCUPANCY</t>
        </is>
      </c>
      <c r="B236" s="2" t="inlineStr">
        <is>
          <t>m3</t>
        </is>
      </c>
      <c r="E236" s="50">
        <f>(E214+E213)*$D$13</f>
        <v/>
      </c>
      <c r="F236" s="50">
        <f>(F214+F213)*$D$13</f>
        <v/>
      </c>
      <c r="G236" s="50">
        <f>(G214+G213)*$D$13</f>
        <v/>
      </c>
      <c r="H236" s="50">
        <f>(H214+H213)*$D$13</f>
        <v/>
      </c>
      <c r="I236" s="50">
        <f>(I214+I213)*$D$13</f>
        <v/>
      </c>
      <c r="J236" s="50">
        <f>(J214+J213)*$D$13</f>
        <v/>
      </c>
      <c r="K236" s="50">
        <f>(K214+K213)*$D$13</f>
        <v/>
      </c>
      <c r="L236" s="50">
        <f>(L214+L213)*$D$13</f>
        <v/>
      </c>
      <c r="M236" s="50">
        <f>(M214+M213)*$D$13</f>
        <v/>
      </c>
      <c r="N236" s="50">
        <f>(N214+N213)*$D$13</f>
        <v/>
      </c>
      <c r="O236" s="50">
        <f>(O214+O213)*$D$13</f>
        <v/>
      </c>
      <c r="P236" s="50">
        <f>(P214+P213)*$D$13</f>
        <v/>
      </c>
      <c r="Q236" s="50">
        <f>(Q214+Q213)*$D$13</f>
        <v/>
      </c>
      <c r="R236" s="50">
        <f>(R214+R213)*$D$13</f>
        <v/>
      </c>
      <c r="S236" s="50">
        <f>(S214+S213)*$D$13</f>
        <v/>
      </c>
      <c r="T236" s="50">
        <f>(T214+T213)*$D$13</f>
        <v/>
      </c>
      <c r="U236" s="50">
        <f>(U214+U213)*$D$13</f>
        <v/>
      </c>
      <c r="V236" s="50">
        <f>(V214+V213)*$D$13</f>
        <v/>
      </c>
      <c r="W236" s="50">
        <f>(W214+W213)*$D$13</f>
        <v/>
      </c>
      <c r="X236" s="50">
        <f>(X214+X213)*$D$13</f>
        <v/>
      </c>
      <c r="Y236" s="50">
        <f>(Y214+Y213)*$D$13</f>
        <v/>
      </c>
      <c r="Z236" s="50">
        <f>(Z214+Z213)*$D$13</f>
        <v/>
      </c>
      <c r="AA236" s="50">
        <f>(AA214+AA213)*$D$13</f>
        <v/>
      </c>
      <c r="AB236" s="50">
        <f>(AB214+AB213)*$D$13</f>
        <v/>
      </c>
      <c r="AC236" s="50">
        <f>(AC214+AC213)*$D$13</f>
        <v/>
      </c>
      <c r="AD236" s="50">
        <f>(AD214+AD213)*$D$13</f>
        <v/>
      </c>
      <c r="AE236" s="50">
        <f>(AE214+AE213)*$D$13</f>
        <v/>
      </c>
      <c r="AF236" s="50">
        <f>(AF214+AF213)*$D$13</f>
        <v/>
      </c>
      <c r="AG236" s="50">
        <f>(AG214+AG213)*$D$13</f>
        <v/>
      </c>
      <c r="AH236" s="50">
        <f>(AH214+AH213)*$D$13</f>
        <v/>
      </c>
      <c r="AI236" s="50">
        <f>(AI214+AI213)*$D$13</f>
        <v/>
      </c>
      <c r="AJ236" s="50">
        <f>(AJ214+AJ213)*$D$13</f>
        <v/>
      </c>
      <c r="AK236" s="50">
        <f>(AK214+AK213)*$D$13</f>
        <v/>
      </c>
      <c r="AL236" s="50">
        <f>(AL214+AL213)*$D$13</f>
        <v/>
      </c>
      <c r="AM236" s="50">
        <f>(AM214+AM213)*$D$13</f>
        <v/>
      </c>
      <c r="AN236" s="50">
        <f>(AN214+AN213)*$D$13</f>
        <v/>
      </c>
      <c r="AO236" s="50">
        <f>(AO214+AO213)*$D$13</f>
        <v/>
      </c>
      <c r="AP236" s="50">
        <f>(AP214+AP213)*$D$13</f>
        <v/>
      </c>
      <c r="AQ236" s="50">
        <f>(AQ214+AQ213)*$D$13</f>
        <v/>
      </c>
      <c r="AR236" s="50">
        <f>(AR214+AR213)*$D$13</f>
        <v/>
      </c>
      <c r="AS236" s="50">
        <f>(AS214+AS213)*$D$13</f>
        <v/>
      </c>
      <c r="AT236" s="50">
        <f>(AT214+AT213)*$D$13</f>
        <v/>
      </c>
      <c r="AU236" s="50">
        <f>(AU214+AU213)*$D$13</f>
        <v/>
      </c>
      <c r="AV236" s="50">
        <f>(AV214+AV213)*$D$13</f>
        <v/>
      </c>
      <c r="AW236" s="50">
        <f>(AW214+AW213)*$D$13</f>
        <v/>
      </c>
      <c r="AX236" s="50">
        <f>(AX214+AX213)*$D$13</f>
        <v/>
      </c>
      <c r="AY236" s="50">
        <f>(AY214+AY213)*$D$13</f>
        <v/>
      </c>
      <c r="AZ236" s="50">
        <f>(AZ214+AZ213)*$D$13</f>
        <v/>
      </c>
      <c r="BA236" s="50">
        <f>(BA214+BA213)*$D$13</f>
        <v/>
      </c>
      <c r="BB236" s="50">
        <f>(BB214+BB213)*$D$13</f>
        <v/>
      </c>
      <c r="BC236" s="50">
        <f>(BC214+BC213)*$D$13</f>
        <v/>
      </c>
      <c r="BD236" s="50">
        <f>(BD214+BD213)*$D$13</f>
        <v/>
      </c>
    </row>
    <row r="238">
      <c r="A238" s="3" t="inlineStr">
        <is>
          <t>6 — THE TWO STORES</t>
        </is>
      </c>
    </row>
    <row r="239">
      <c r="A239" s="22" t="inlineStr">
        <is>
          <t>Week</t>
        </is>
      </c>
      <c r="B239" s="33" t="inlineStr">
        <is>
          <t>m3</t>
        </is>
      </c>
      <c r="E239" s="25" t="n">
        <v>1</v>
      </c>
      <c r="F239" s="25" t="n">
        <v>2</v>
      </c>
      <c r="G239" s="25" t="n">
        <v>3</v>
      </c>
      <c r="H239" s="25" t="n">
        <v>4</v>
      </c>
      <c r="I239" s="25" t="n">
        <v>5</v>
      </c>
      <c r="J239" s="25" t="n">
        <v>6</v>
      </c>
      <c r="K239" s="25" t="n">
        <v>7</v>
      </c>
      <c r="L239" s="25" t="n">
        <v>8</v>
      </c>
      <c r="M239" s="25" t="n">
        <v>9</v>
      </c>
      <c r="N239" s="25" t="n">
        <v>10</v>
      </c>
      <c r="O239" s="25" t="n">
        <v>11</v>
      </c>
      <c r="P239" s="25" t="n">
        <v>12</v>
      </c>
      <c r="Q239" s="25" t="n">
        <v>13</v>
      </c>
      <c r="R239" s="25" t="n">
        <v>14</v>
      </c>
      <c r="S239" s="25" t="n">
        <v>15</v>
      </c>
      <c r="T239" s="25" t="n">
        <v>16</v>
      </c>
      <c r="U239" s="25" t="n">
        <v>17</v>
      </c>
      <c r="V239" s="25" t="n">
        <v>18</v>
      </c>
      <c r="W239" s="25" t="n">
        <v>19</v>
      </c>
      <c r="X239" s="25" t="n">
        <v>20</v>
      </c>
      <c r="Y239" s="25" t="n">
        <v>21</v>
      </c>
      <c r="Z239" s="25" t="n">
        <v>22</v>
      </c>
      <c r="AA239" s="25" t="n">
        <v>23</v>
      </c>
      <c r="AB239" s="25" t="n">
        <v>24</v>
      </c>
      <c r="AC239" s="25" t="n">
        <v>25</v>
      </c>
      <c r="AD239" s="25" t="n">
        <v>26</v>
      </c>
      <c r="AE239" s="25" t="n">
        <v>27</v>
      </c>
      <c r="AF239" s="25" t="n">
        <v>28</v>
      </c>
      <c r="AG239" s="25" t="n">
        <v>29</v>
      </c>
      <c r="AH239" s="25" t="n">
        <v>30</v>
      </c>
      <c r="AI239" s="25" t="n">
        <v>31</v>
      </c>
      <c r="AJ239" s="25" t="n">
        <v>32</v>
      </c>
      <c r="AK239" s="25" t="n">
        <v>33</v>
      </c>
      <c r="AL239" s="25" t="n">
        <v>34</v>
      </c>
      <c r="AM239" s="25" t="n">
        <v>35</v>
      </c>
      <c r="AN239" s="25" t="n">
        <v>36</v>
      </c>
      <c r="AO239" s="25" t="n">
        <v>37</v>
      </c>
      <c r="AP239" s="25" t="n">
        <v>38</v>
      </c>
      <c r="AQ239" s="25" t="n">
        <v>39</v>
      </c>
      <c r="AR239" s="25" t="n">
        <v>40</v>
      </c>
      <c r="AS239" s="25" t="n">
        <v>41</v>
      </c>
      <c r="AT239" s="25" t="n">
        <v>42</v>
      </c>
      <c r="AU239" s="25" t="n">
        <v>43</v>
      </c>
      <c r="AV239" s="25" t="n">
        <v>44</v>
      </c>
      <c r="AW239" s="25" t="n">
        <v>45</v>
      </c>
      <c r="AX239" s="25" t="n">
        <v>46</v>
      </c>
      <c r="AY239" s="25" t="n">
        <v>47</v>
      </c>
      <c r="AZ239" s="25" t="n">
        <v>48</v>
      </c>
      <c r="BA239" s="25" t="n">
        <v>49</v>
      </c>
      <c r="BB239" s="25" t="n">
        <v>50</v>
      </c>
      <c r="BC239" s="25" t="n">
        <v>51</v>
      </c>
      <c r="BD239" s="25" t="n">
        <v>52</v>
      </c>
    </row>
    <row r="240">
      <c r="A240" s="51" t="inlineStr">
        <is>
          <t>COLD STORE</t>
        </is>
      </c>
      <c r="B240" s="2" t="inlineStr">
        <is>
          <t>used</t>
        </is>
      </c>
      <c r="E240" s="46">
        <f>E180+E209</f>
        <v/>
      </c>
      <c r="F240" s="46">
        <f>F180+F209</f>
        <v/>
      </c>
      <c r="G240" s="46">
        <f>G180+G209</f>
        <v/>
      </c>
      <c r="H240" s="46">
        <f>H180+H209</f>
        <v/>
      </c>
      <c r="I240" s="46">
        <f>I180+I209</f>
        <v/>
      </c>
      <c r="J240" s="46">
        <f>J180+J209</f>
        <v/>
      </c>
      <c r="K240" s="46">
        <f>K180+K209</f>
        <v/>
      </c>
      <c r="L240" s="46">
        <f>L180+L209</f>
        <v/>
      </c>
      <c r="M240" s="46">
        <f>M180+M209</f>
        <v/>
      </c>
      <c r="N240" s="46">
        <f>N180+N209</f>
        <v/>
      </c>
      <c r="O240" s="46">
        <f>O180+O209</f>
        <v/>
      </c>
      <c r="P240" s="46">
        <f>P180+P209</f>
        <v/>
      </c>
      <c r="Q240" s="46">
        <f>Q180+Q209</f>
        <v/>
      </c>
      <c r="R240" s="46">
        <f>R180+R209</f>
        <v/>
      </c>
      <c r="S240" s="46">
        <f>S180+S209</f>
        <v/>
      </c>
      <c r="T240" s="46">
        <f>T180+T209</f>
        <v/>
      </c>
      <c r="U240" s="46">
        <f>U180+U209</f>
        <v/>
      </c>
      <c r="V240" s="46">
        <f>V180+V209</f>
        <v/>
      </c>
      <c r="W240" s="46">
        <f>W180+W209</f>
        <v/>
      </c>
      <c r="X240" s="46">
        <f>X180+X209</f>
        <v/>
      </c>
      <c r="Y240" s="46">
        <f>Y180+Y209</f>
        <v/>
      </c>
      <c r="Z240" s="46">
        <f>Z180+Z209</f>
        <v/>
      </c>
      <c r="AA240" s="46">
        <f>AA180+AA209</f>
        <v/>
      </c>
      <c r="AB240" s="46">
        <f>AB180+AB209</f>
        <v/>
      </c>
      <c r="AC240" s="46">
        <f>AC180+AC209</f>
        <v/>
      </c>
      <c r="AD240" s="46">
        <f>AD180+AD209</f>
        <v/>
      </c>
      <c r="AE240" s="46">
        <f>AE180+AE209</f>
        <v/>
      </c>
      <c r="AF240" s="46">
        <f>AF180+AF209</f>
        <v/>
      </c>
      <c r="AG240" s="46">
        <f>AG180+AG209</f>
        <v/>
      </c>
      <c r="AH240" s="46">
        <f>AH180+AH209</f>
        <v/>
      </c>
      <c r="AI240" s="46">
        <f>AI180+AI209</f>
        <v/>
      </c>
      <c r="AJ240" s="46">
        <f>AJ180+AJ209</f>
        <v/>
      </c>
      <c r="AK240" s="46">
        <f>AK180+AK209</f>
        <v/>
      </c>
      <c r="AL240" s="46">
        <f>AL180+AL209</f>
        <v/>
      </c>
      <c r="AM240" s="46">
        <f>AM180+AM209</f>
        <v/>
      </c>
      <c r="AN240" s="46">
        <f>AN180+AN209</f>
        <v/>
      </c>
      <c r="AO240" s="46">
        <f>AO180+AO209</f>
        <v/>
      </c>
      <c r="AP240" s="46">
        <f>AP180+AP209</f>
        <v/>
      </c>
      <c r="AQ240" s="46">
        <f>AQ180+AQ209</f>
        <v/>
      </c>
      <c r="AR240" s="46">
        <f>AR180+AR209</f>
        <v/>
      </c>
      <c r="AS240" s="46">
        <f>AS180+AS209</f>
        <v/>
      </c>
      <c r="AT240" s="46">
        <f>AT180+AT209</f>
        <v/>
      </c>
      <c r="AU240" s="46">
        <f>AU180+AU209</f>
        <v/>
      </c>
      <c r="AV240" s="46">
        <f>AV180+AV209</f>
        <v/>
      </c>
      <c r="AW240" s="46">
        <f>AW180+AW209</f>
        <v/>
      </c>
      <c r="AX240" s="46">
        <f>AX180+AX209</f>
        <v/>
      </c>
      <c r="AY240" s="46">
        <f>AY180+AY209</f>
        <v/>
      </c>
      <c r="AZ240" s="46">
        <f>AZ180+AZ209</f>
        <v/>
      </c>
      <c r="BA240" s="46">
        <f>BA180+BA209</f>
        <v/>
      </c>
      <c r="BB240" s="46">
        <f>BB180+BB209</f>
        <v/>
      </c>
      <c r="BC240" s="46">
        <f>BC180+BC209</f>
        <v/>
      </c>
      <c r="BD240" s="46">
        <f>BD180+BD209</f>
        <v/>
      </c>
    </row>
    <row r="241">
      <c r="A241" s="4" t="inlineStr"/>
      <c r="E241" s="35" t="inlineStr">
        <is>
          <t>&lt;=</t>
        </is>
      </c>
      <c r="F241" s="35" t="inlineStr">
        <is>
          <t>&lt;=</t>
        </is>
      </c>
      <c r="G241" s="35" t="inlineStr">
        <is>
          <t>&lt;=</t>
        </is>
      </c>
      <c r="H241" s="35" t="inlineStr">
        <is>
          <t>&lt;=</t>
        </is>
      </c>
      <c r="I241" s="35" t="inlineStr">
        <is>
          <t>&lt;=</t>
        </is>
      </c>
      <c r="J241" s="35" t="inlineStr">
        <is>
          <t>&lt;=</t>
        </is>
      </c>
      <c r="K241" s="35" t="inlineStr">
        <is>
          <t>&lt;=</t>
        </is>
      </c>
      <c r="L241" s="35" t="inlineStr">
        <is>
          <t>&lt;=</t>
        </is>
      </c>
      <c r="M241" s="35" t="inlineStr">
        <is>
          <t>&lt;=</t>
        </is>
      </c>
      <c r="N241" s="35" t="inlineStr">
        <is>
          <t>&lt;=</t>
        </is>
      </c>
      <c r="O241" s="35" t="inlineStr">
        <is>
          <t>&lt;=</t>
        </is>
      </c>
      <c r="P241" s="35" t="inlineStr">
        <is>
          <t>&lt;=</t>
        </is>
      </c>
      <c r="Q241" s="35" t="inlineStr">
        <is>
          <t>&lt;=</t>
        </is>
      </c>
      <c r="R241" s="35" t="inlineStr">
        <is>
          <t>&lt;=</t>
        </is>
      </c>
      <c r="S241" s="35" t="inlineStr">
        <is>
          <t>&lt;=</t>
        </is>
      </c>
      <c r="T241" s="35" t="inlineStr">
        <is>
          <t>&lt;=</t>
        </is>
      </c>
      <c r="U241" s="35" t="inlineStr">
        <is>
          <t>&lt;=</t>
        </is>
      </c>
      <c r="V241" s="35" t="inlineStr">
        <is>
          <t>&lt;=</t>
        </is>
      </c>
      <c r="W241" s="35" t="inlineStr">
        <is>
          <t>&lt;=</t>
        </is>
      </c>
      <c r="X241" s="35" t="inlineStr">
        <is>
          <t>&lt;=</t>
        </is>
      </c>
      <c r="Y241" s="35" t="inlineStr">
        <is>
          <t>&lt;=</t>
        </is>
      </c>
      <c r="Z241" s="35" t="inlineStr">
        <is>
          <t>&lt;=</t>
        </is>
      </c>
      <c r="AA241" s="35" t="inlineStr">
        <is>
          <t>&lt;=</t>
        </is>
      </c>
      <c r="AB241" s="35" t="inlineStr">
        <is>
          <t>&lt;=</t>
        </is>
      </c>
      <c r="AC241" s="35" t="inlineStr">
        <is>
          <t>&lt;=</t>
        </is>
      </c>
      <c r="AD241" s="35" t="inlineStr">
        <is>
          <t>&lt;=</t>
        </is>
      </c>
      <c r="AE241" s="35" t="inlineStr">
        <is>
          <t>&lt;=</t>
        </is>
      </c>
      <c r="AF241" s="35" t="inlineStr">
        <is>
          <t>&lt;=</t>
        </is>
      </c>
      <c r="AG241" s="35" t="inlineStr">
        <is>
          <t>&lt;=</t>
        </is>
      </c>
      <c r="AH241" s="35" t="inlineStr">
        <is>
          <t>&lt;=</t>
        </is>
      </c>
      <c r="AI241" s="35" t="inlineStr">
        <is>
          <t>&lt;=</t>
        </is>
      </c>
      <c r="AJ241" s="35" t="inlineStr">
        <is>
          <t>&lt;=</t>
        </is>
      </c>
      <c r="AK241" s="35" t="inlineStr">
        <is>
          <t>&lt;=</t>
        </is>
      </c>
      <c r="AL241" s="35" t="inlineStr">
        <is>
          <t>&lt;=</t>
        </is>
      </c>
      <c r="AM241" s="35" t="inlineStr">
        <is>
          <t>&lt;=</t>
        </is>
      </c>
      <c r="AN241" s="35" t="inlineStr">
        <is>
          <t>&lt;=</t>
        </is>
      </c>
      <c r="AO241" s="35" t="inlineStr">
        <is>
          <t>&lt;=</t>
        </is>
      </c>
      <c r="AP241" s="35" t="inlineStr">
        <is>
          <t>&lt;=</t>
        </is>
      </c>
      <c r="AQ241" s="35" t="inlineStr">
        <is>
          <t>&lt;=</t>
        </is>
      </c>
      <c r="AR241" s="35" t="inlineStr">
        <is>
          <t>&lt;=</t>
        </is>
      </c>
      <c r="AS241" s="35" t="inlineStr">
        <is>
          <t>&lt;=</t>
        </is>
      </c>
      <c r="AT241" s="35" t="inlineStr">
        <is>
          <t>&lt;=</t>
        </is>
      </c>
      <c r="AU241" s="35" t="inlineStr">
        <is>
          <t>&lt;=</t>
        </is>
      </c>
      <c r="AV241" s="35" t="inlineStr">
        <is>
          <t>&lt;=</t>
        </is>
      </c>
      <c r="AW241" s="35" t="inlineStr">
        <is>
          <t>&lt;=</t>
        </is>
      </c>
      <c r="AX241" s="35" t="inlineStr">
        <is>
          <t>&lt;=</t>
        </is>
      </c>
      <c r="AY241" s="35" t="inlineStr">
        <is>
          <t>&lt;=</t>
        </is>
      </c>
      <c r="AZ241" s="35" t="inlineStr">
        <is>
          <t>&lt;=</t>
        </is>
      </c>
      <c r="BA241" s="35" t="inlineStr">
        <is>
          <t>&lt;=</t>
        </is>
      </c>
      <c r="BB241" s="35" t="inlineStr">
        <is>
          <t>&lt;=</t>
        </is>
      </c>
      <c r="BC241" s="35" t="inlineStr">
        <is>
          <t>&lt;=</t>
        </is>
      </c>
      <c r="BD241" s="35" t="inlineStr">
        <is>
          <t>&lt;=</t>
        </is>
      </c>
    </row>
    <row r="242">
      <c r="A242" s="4" t="inlineStr">
        <is>
          <t xml:space="preserve">  limit</t>
        </is>
      </c>
      <c r="B242" s="2" t="inlineStr">
        <is>
          <t>cap</t>
        </is>
      </c>
      <c r="E242" s="34">
        <f>$B$6</f>
        <v/>
      </c>
      <c r="F242" s="34">
        <f>$B$6</f>
        <v/>
      </c>
      <c r="G242" s="34">
        <f>$B$6</f>
        <v/>
      </c>
      <c r="H242" s="34">
        <f>$B$6</f>
        <v/>
      </c>
      <c r="I242" s="34">
        <f>$B$6</f>
        <v/>
      </c>
      <c r="J242" s="34">
        <f>$B$6</f>
        <v/>
      </c>
      <c r="K242" s="34">
        <f>$B$6</f>
        <v/>
      </c>
      <c r="L242" s="34">
        <f>$B$6</f>
        <v/>
      </c>
      <c r="M242" s="34">
        <f>$B$6</f>
        <v/>
      </c>
      <c r="N242" s="34">
        <f>$B$6</f>
        <v/>
      </c>
      <c r="O242" s="34">
        <f>$B$6</f>
        <v/>
      </c>
      <c r="P242" s="34">
        <f>$B$6</f>
        <v/>
      </c>
      <c r="Q242" s="34">
        <f>$B$6</f>
        <v/>
      </c>
      <c r="R242" s="34">
        <f>$B$6</f>
        <v/>
      </c>
      <c r="S242" s="34">
        <f>$B$6</f>
        <v/>
      </c>
      <c r="T242" s="34">
        <f>$B$6</f>
        <v/>
      </c>
      <c r="U242" s="34">
        <f>$B$6</f>
        <v/>
      </c>
      <c r="V242" s="34">
        <f>$B$6</f>
        <v/>
      </c>
      <c r="W242" s="34">
        <f>$B$6</f>
        <v/>
      </c>
      <c r="X242" s="34">
        <f>$B$6</f>
        <v/>
      </c>
      <c r="Y242" s="34">
        <f>$B$6</f>
        <v/>
      </c>
      <c r="Z242" s="34">
        <f>$B$6</f>
        <v/>
      </c>
      <c r="AA242" s="34">
        <f>$B$6</f>
        <v/>
      </c>
      <c r="AB242" s="34">
        <f>$B$6</f>
        <v/>
      </c>
      <c r="AC242" s="34">
        <f>$B$6</f>
        <v/>
      </c>
      <c r="AD242" s="34">
        <f>$B$6</f>
        <v/>
      </c>
      <c r="AE242" s="34">
        <f>$B$6</f>
        <v/>
      </c>
      <c r="AF242" s="34">
        <f>$B$6</f>
        <v/>
      </c>
      <c r="AG242" s="34">
        <f>$B$6</f>
        <v/>
      </c>
      <c r="AH242" s="34">
        <f>$B$6</f>
        <v/>
      </c>
      <c r="AI242" s="34">
        <f>$B$6</f>
        <v/>
      </c>
      <c r="AJ242" s="34">
        <f>$B$6</f>
        <v/>
      </c>
      <c r="AK242" s="34">
        <f>$B$6</f>
        <v/>
      </c>
      <c r="AL242" s="34">
        <f>$B$6</f>
        <v/>
      </c>
      <c r="AM242" s="34">
        <f>$B$6</f>
        <v/>
      </c>
      <c r="AN242" s="34">
        <f>$B$6</f>
        <v/>
      </c>
      <c r="AO242" s="34">
        <f>$B$6</f>
        <v/>
      </c>
      <c r="AP242" s="34">
        <f>$B$6</f>
        <v/>
      </c>
      <c r="AQ242" s="34">
        <f>$B$6</f>
        <v/>
      </c>
      <c r="AR242" s="34">
        <f>$B$6</f>
        <v/>
      </c>
      <c r="AS242" s="34">
        <f>$B$6</f>
        <v/>
      </c>
      <c r="AT242" s="34">
        <f>$B$6</f>
        <v/>
      </c>
      <c r="AU242" s="34">
        <f>$B$6</f>
        <v/>
      </c>
      <c r="AV242" s="34">
        <f>$B$6</f>
        <v/>
      </c>
      <c r="AW242" s="34">
        <f>$B$6</f>
        <v/>
      </c>
      <c r="AX242" s="34">
        <f>$B$6</f>
        <v/>
      </c>
      <c r="AY242" s="34">
        <f>$B$6</f>
        <v/>
      </c>
      <c r="AZ242" s="34">
        <f>$B$6</f>
        <v/>
      </c>
      <c r="BA242" s="34">
        <f>$B$6</f>
        <v/>
      </c>
      <c r="BB242" s="34">
        <f>$B$6</f>
        <v/>
      </c>
      <c r="BC242" s="34">
        <f>$B$6</f>
        <v/>
      </c>
      <c r="BD242" s="34">
        <f>$B$6</f>
        <v/>
      </c>
    </row>
    <row r="243">
      <c r="A243" s="27" t="inlineStr">
        <is>
          <t xml:space="preserve">  room left</t>
        </is>
      </c>
      <c r="E243" s="34">
        <f>$B$6-E240</f>
        <v/>
      </c>
      <c r="F243" s="34">
        <f>$B$6-F240</f>
        <v/>
      </c>
      <c r="G243" s="34">
        <f>$B$6-G240</f>
        <v/>
      </c>
      <c r="H243" s="34">
        <f>$B$6-H240</f>
        <v/>
      </c>
      <c r="I243" s="34">
        <f>$B$6-I240</f>
        <v/>
      </c>
      <c r="J243" s="34">
        <f>$B$6-J240</f>
        <v/>
      </c>
      <c r="K243" s="34">
        <f>$B$6-K240</f>
        <v/>
      </c>
      <c r="L243" s="34">
        <f>$B$6-L240</f>
        <v/>
      </c>
      <c r="M243" s="34">
        <f>$B$6-M240</f>
        <v/>
      </c>
      <c r="N243" s="34">
        <f>$B$6-N240</f>
        <v/>
      </c>
      <c r="O243" s="34">
        <f>$B$6-O240</f>
        <v/>
      </c>
      <c r="P243" s="34">
        <f>$B$6-P240</f>
        <v/>
      </c>
      <c r="Q243" s="34">
        <f>$B$6-Q240</f>
        <v/>
      </c>
      <c r="R243" s="34">
        <f>$B$6-R240</f>
        <v/>
      </c>
      <c r="S243" s="34">
        <f>$B$6-S240</f>
        <v/>
      </c>
      <c r="T243" s="34">
        <f>$B$6-T240</f>
        <v/>
      </c>
      <c r="U243" s="34">
        <f>$B$6-U240</f>
        <v/>
      </c>
      <c r="V243" s="34">
        <f>$B$6-V240</f>
        <v/>
      </c>
      <c r="W243" s="34">
        <f>$B$6-W240</f>
        <v/>
      </c>
      <c r="X243" s="34">
        <f>$B$6-X240</f>
        <v/>
      </c>
      <c r="Y243" s="34">
        <f>$B$6-Y240</f>
        <v/>
      </c>
      <c r="Z243" s="34">
        <f>$B$6-Z240</f>
        <v/>
      </c>
      <c r="AA243" s="34">
        <f>$B$6-AA240</f>
        <v/>
      </c>
      <c r="AB243" s="34">
        <f>$B$6-AB240</f>
        <v/>
      </c>
      <c r="AC243" s="34">
        <f>$B$6-AC240</f>
        <v/>
      </c>
      <c r="AD243" s="34">
        <f>$B$6-AD240</f>
        <v/>
      </c>
      <c r="AE243" s="34">
        <f>$B$6-AE240</f>
        <v/>
      </c>
      <c r="AF243" s="34">
        <f>$B$6-AF240</f>
        <v/>
      </c>
      <c r="AG243" s="34">
        <f>$B$6-AG240</f>
        <v/>
      </c>
      <c r="AH243" s="34">
        <f>$B$6-AH240</f>
        <v/>
      </c>
      <c r="AI243" s="34">
        <f>$B$6-AI240</f>
        <v/>
      </c>
      <c r="AJ243" s="34">
        <f>$B$6-AJ240</f>
        <v/>
      </c>
      <c r="AK243" s="34">
        <f>$B$6-AK240</f>
        <v/>
      </c>
      <c r="AL243" s="34">
        <f>$B$6-AL240</f>
        <v/>
      </c>
      <c r="AM243" s="34">
        <f>$B$6-AM240</f>
        <v/>
      </c>
      <c r="AN243" s="34">
        <f>$B$6-AN240</f>
        <v/>
      </c>
      <c r="AO243" s="34">
        <f>$B$6-AO240</f>
        <v/>
      </c>
      <c r="AP243" s="34">
        <f>$B$6-AP240</f>
        <v/>
      </c>
      <c r="AQ243" s="34">
        <f>$B$6-AQ240</f>
        <v/>
      </c>
      <c r="AR243" s="34">
        <f>$B$6-AR240</f>
        <v/>
      </c>
      <c r="AS243" s="34">
        <f>$B$6-AS240</f>
        <v/>
      </c>
      <c r="AT243" s="34">
        <f>$B$6-AT240</f>
        <v/>
      </c>
      <c r="AU243" s="34">
        <f>$B$6-AU240</f>
        <v/>
      </c>
      <c r="AV243" s="34">
        <f>$B$6-AV240</f>
        <v/>
      </c>
      <c r="AW243" s="34">
        <f>$B$6-AW240</f>
        <v/>
      </c>
      <c r="AX243" s="34">
        <f>$B$6-AX240</f>
        <v/>
      </c>
      <c r="AY243" s="34">
        <f>$B$6-AY240</f>
        <v/>
      </c>
      <c r="AZ243" s="34">
        <f>$B$6-AZ240</f>
        <v/>
      </c>
      <c r="BA243" s="34">
        <f>$B$6-BA240</f>
        <v/>
      </c>
      <c r="BB243" s="34">
        <f>$B$6-BB240</f>
        <v/>
      </c>
      <c r="BC243" s="34">
        <f>$B$6-BC240</f>
        <v/>
      </c>
      <c r="BD243" s="34">
        <f>$B$6-BD240</f>
        <v/>
      </c>
    </row>
    <row r="244">
      <c r="A244" s="2" t="inlineStr">
        <is>
          <t xml:space="preserve">   Holds Spinach, Kale.</t>
        </is>
      </c>
    </row>
    <row r="246">
      <c r="A246" s="22" t="inlineStr">
        <is>
          <t>Week</t>
        </is>
      </c>
      <c r="B246" s="33" t="inlineStr">
        <is>
          <t>m3</t>
        </is>
      </c>
      <c r="E246" s="25" t="n">
        <v>1</v>
      </c>
      <c r="F246" s="25" t="n">
        <v>2</v>
      </c>
      <c r="G246" s="25" t="n">
        <v>3</v>
      </c>
      <c r="H246" s="25" t="n">
        <v>4</v>
      </c>
      <c r="I246" s="25" t="n">
        <v>5</v>
      </c>
      <c r="J246" s="25" t="n">
        <v>6</v>
      </c>
      <c r="K246" s="25" t="n">
        <v>7</v>
      </c>
      <c r="L246" s="25" t="n">
        <v>8</v>
      </c>
      <c r="M246" s="25" t="n">
        <v>9</v>
      </c>
      <c r="N246" s="25" t="n">
        <v>10</v>
      </c>
      <c r="O246" s="25" t="n">
        <v>11</v>
      </c>
      <c r="P246" s="25" t="n">
        <v>12</v>
      </c>
      <c r="Q246" s="25" t="n">
        <v>13</v>
      </c>
      <c r="R246" s="25" t="n">
        <v>14</v>
      </c>
      <c r="S246" s="25" t="n">
        <v>15</v>
      </c>
      <c r="T246" s="25" t="n">
        <v>16</v>
      </c>
      <c r="U246" s="25" t="n">
        <v>17</v>
      </c>
      <c r="V246" s="25" t="n">
        <v>18</v>
      </c>
      <c r="W246" s="25" t="n">
        <v>19</v>
      </c>
      <c r="X246" s="25" t="n">
        <v>20</v>
      </c>
      <c r="Y246" s="25" t="n">
        <v>21</v>
      </c>
      <c r="Z246" s="25" t="n">
        <v>22</v>
      </c>
      <c r="AA246" s="25" t="n">
        <v>23</v>
      </c>
      <c r="AB246" s="25" t="n">
        <v>24</v>
      </c>
      <c r="AC246" s="25" t="n">
        <v>25</v>
      </c>
      <c r="AD246" s="25" t="n">
        <v>26</v>
      </c>
      <c r="AE246" s="25" t="n">
        <v>27</v>
      </c>
      <c r="AF246" s="25" t="n">
        <v>28</v>
      </c>
      <c r="AG246" s="25" t="n">
        <v>29</v>
      </c>
      <c r="AH246" s="25" t="n">
        <v>30</v>
      </c>
      <c r="AI246" s="25" t="n">
        <v>31</v>
      </c>
      <c r="AJ246" s="25" t="n">
        <v>32</v>
      </c>
      <c r="AK246" s="25" t="n">
        <v>33</v>
      </c>
      <c r="AL246" s="25" t="n">
        <v>34</v>
      </c>
      <c r="AM246" s="25" t="n">
        <v>35</v>
      </c>
      <c r="AN246" s="25" t="n">
        <v>36</v>
      </c>
      <c r="AO246" s="25" t="n">
        <v>37</v>
      </c>
      <c r="AP246" s="25" t="n">
        <v>38</v>
      </c>
      <c r="AQ246" s="25" t="n">
        <v>39</v>
      </c>
      <c r="AR246" s="25" t="n">
        <v>40</v>
      </c>
      <c r="AS246" s="25" t="n">
        <v>41</v>
      </c>
      <c r="AT246" s="25" t="n">
        <v>42</v>
      </c>
      <c r="AU246" s="25" t="n">
        <v>43</v>
      </c>
      <c r="AV246" s="25" t="n">
        <v>44</v>
      </c>
      <c r="AW246" s="25" t="n">
        <v>45</v>
      </c>
      <c r="AX246" s="25" t="n">
        <v>46</v>
      </c>
      <c r="AY246" s="25" t="n">
        <v>47</v>
      </c>
      <c r="AZ246" s="25" t="n">
        <v>48</v>
      </c>
      <c r="BA246" s="25" t="n">
        <v>49</v>
      </c>
      <c r="BB246" s="25" t="n">
        <v>50</v>
      </c>
      <c r="BC246" s="25" t="n">
        <v>51</v>
      </c>
      <c r="BD246" s="25" t="n">
        <v>52</v>
      </c>
    </row>
    <row r="247">
      <c r="A247" s="52" t="inlineStr">
        <is>
          <t>AMBIENT STORE</t>
        </is>
      </c>
      <c r="B247" s="2" t="inlineStr">
        <is>
          <t>used</t>
        </is>
      </c>
      <c r="E247" s="50">
        <f>E236</f>
        <v/>
      </c>
      <c r="F247" s="50">
        <f>F236</f>
        <v/>
      </c>
      <c r="G247" s="50">
        <f>G236</f>
        <v/>
      </c>
      <c r="H247" s="50">
        <f>H236</f>
        <v/>
      </c>
      <c r="I247" s="50">
        <f>I236</f>
        <v/>
      </c>
      <c r="J247" s="50">
        <f>J236</f>
        <v/>
      </c>
      <c r="K247" s="50">
        <f>K236</f>
        <v/>
      </c>
      <c r="L247" s="50">
        <f>L236</f>
        <v/>
      </c>
      <c r="M247" s="50">
        <f>M236</f>
        <v/>
      </c>
      <c r="N247" s="50">
        <f>N236</f>
        <v/>
      </c>
      <c r="O247" s="50">
        <f>O236</f>
        <v/>
      </c>
      <c r="P247" s="50">
        <f>P236</f>
        <v/>
      </c>
      <c r="Q247" s="50">
        <f>Q236</f>
        <v/>
      </c>
      <c r="R247" s="50">
        <f>R236</f>
        <v/>
      </c>
      <c r="S247" s="50">
        <f>S236</f>
        <v/>
      </c>
      <c r="T247" s="50">
        <f>T236</f>
        <v/>
      </c>
      <c r="U247" s="50">
        <f>U236</f>
        <v/>
      </c>
      <c r="V247" s="50">
        <f>V236</f>
        <v/>
      </c>
      <c r="W247" s="50">
        <f>W236</f>
        <v/>
      </c>
      <c r="X247" s="50">
        <f>X236</f>
        <v/>
      </c>
      <c r="Y247" s="50">
        <f>Y236</f>
        <v/>
      </c>
      <c r="Z247" s="50">
        <f>Z236</f>
        <v/>
      </c>
      <c r="AA247" s="50">
        <f>AA236</f>
        <v/>
      </c>
      <c r="AB247" s="50">
        <f>AB236</f>
        <v/>
      </c>
      <c r="AC247" s="50">
        <f>AC236</f>
        <v/>
      </c>
      <c r="AD247" s="50">
        <f>AD236</f>
        <v/>
      </c>
      <c r="AE247" s="50">
        <f>AE236</f>
        <v/>
      </c>
      <c r="AF247" s="50">
        <f>AF236</f>
        <v/>
      </c>
      <c r="AG247" s="50">
        <f>AG236</f>
        <v/>
      </c>
      <c r="AH247" s="50">
        <f>AH236</f>
        <v/>
      </c>
      <c r="AI247" s="50">
        <f>AI236</f>
        <v/>
      </c>
      <c r="AJ247" s="50">
        <f>AJ236</f>
        <v/>
      </c>
      <c r="AK247" s="50">
        <f>AK236</f>
        <v/>
      </c>
      <c r="AL247" s="50">
        <f>AL236</f>
        <v/>
      </c>
      <c r="AM247" s="50">
        <f>AM236</f>
        <v/>
      </c>
      <c r="AN247" s="50">
        <f>AN236</f>
        <v/>
      </c>
      <c r="AO247" s="50">
        <f>AO236</f>
        <v/>
      </c>
      <c r="AP247" s="50">
        <f>AP236</f>
        <v/>
      </c>
      <c r="AQ247" s="50">
        <f>AQ236</f>
        <v/>
      </c>
      <c r="AR247" s="50">
        <f>AR236</f>
        <v/>
      </c>
      <c r="AS247" s="50">
        <f>AS236</f>
        <v/>
      </c>
      <c r="AT247" s="50">
        <f>AT236</f>
        <v/>
      </c>
      <c r="AU247" s="50">
        <f>AU236</f>
        <v/>
      </c>
      <c r="AV247" s="50">
        <f>AV236</f>
        <v/>
      </c>
      <c r="AW247" s="50">
        <f>AW236</f>
        <v/>
      </c>
      <c r="AX247" s="50">
        <f>AX236</f>
        <v/>
      </c>
      <c r="AY247" s="50">
        <f>AY236</f>
        <v/>
      </c>
      <c r="AZ247" s="50">
        <f>AZ236</f>
        <v/>
      </c>
      <c r="BA247" s="50">
        <f>BA236</f>
        <v/>
      </c>
      <c r="BB247" s="50">
        <f>BB236</f>
        <v/>
      </c>
      <c r="BC247" s="50">
        <f>BC236</f>
        <v/>
      </c>
      <c r="BD247" s="50">
        <f>BD236</f>
        <v/>
      </c>
    </row>
    <row r="248">
      <c r="A248" s="4" t="inlineStr"/>
      <c r="E248" s="35" t="inlineStr">
        <is>
          <t>&lt;=</t>
        </is>
      </c>
      <c r="F248" s="35" t="inlineStr">
        <is>
          <t>&lt;=</t>
        </is>
      </c>
      <c r="G248" s="35" t="inlineStr">
        <is>
          <t>&lt;=</t>
        </is>
      </c>
      <c r="H248" s="35" t="inlineStr">
        <is>
          <t>&lt;=</t>
        </is>
      </c>
      <c r="I248" s="35" t="inlineStr">
        <is>
          <t>&lt;=</t>
        </is>
      </c>
      <c r="J248" s="35" t="inlineStr">
        <is>
          <t>&lt;=</t>
        </is>
      </c>
      <c r="K248" s="35" t="inlineStr">
        <is>
          <t>&lt;=</t>
        </is>
      </c>
      <c r="L248" s="35" t="inlineStr">
        <is>
          <t>&lt;=</t>
        </is>
      </c>
      <c r="M248" s="35" t="inlineStr">
        <is>
          <t>&lt;=</t>
        </is>
      </c>
      <c r="N248" s="35" t="inlineStr">
        <is>
          <t>&lt;=</t>
        </is>
      </c>
      <c r="O248" s="35" t="inlineStr">
        <is>
          <t>&lt;=</t>
        </is>
      </c>
      <c r="P248" s="35" t="inlineStr">
        <is>
          <t>&lt;=</t>
        </is>
      </c>
      <c r="Q248" s="35" t="inlineStr">
        <is>
          <t>&lt;=</t>
        </is>
      </c>
      <c r="R248" s="35" t="inlineStr">
        <is>
          <t>&lt;=</t>
        </is>
      </c>
      <c r="S248" s="35" t="inlineStr">
        <is>
          <t>&lt;=</t>
        </is>
      </c>
      <c r="T248" s="35" t="inlineStr">
        <is>
          <t>&lt;=</t>
        </is>
      </c>
      <c r="U248" s="35" t="inlineStr">
        <is>
          <t>&lt;=</t>
        </is>
      </c>
      <c r="V248" s="35" t="inlineStr">
        <is>
          <t>&lt;=</t>
        </is>
      </c>
      <c r="W248" s="35" t="inlineStr">
        <is>
          <t>&lt;=</t>
        </is>
      </c>
      <c r="X248" s="35" t="inlineStr">
        <is>
          <t>&lt;=</t>
        </is>
      </c>
      <c r="Y248" s="35" t="inlineStr">
        <is>
          <t>&lt;=</t>
        </is>
      </c>
      <c r="Z248" s="35" t="inlineStr">
        <is>
          <t>&lt;=</t>
        </is>
      </c>
      <c r="AA248" s="35" t="inlineStr">
        <is>
          <t>&lt;=</t>
        </is>
      </c>
      <c r="AB248" s="35" t="inlineStr">
        <is>
          <t>&lt;=</t>
        </is>
      </c>
      <c r="AC248" s="35" t="inlineStr">
        <is>
          <t>&lt;=</t>
        </is>
      </c>
      <c r="AD248" s="35" t="inlineStr">
        <is>
          <t>&lt;=</t>
        </is>
      </c>
      <c r="AE248" s="35" t="inlineStr">
        <is>
          <t>&lt;=</t>
        </is>
      </c>
      <c r="AF248" s="35" t="inlineStr">
        <is>
          <t>&lt;=</t>
        </is>
      </c>
      <c r="AG248" s="35" t="inlineStr">
        <is>
          <t>&lt;=</t>
        </is>
      </c>
      <c r="AH248" s="35" t="inlineStr">
        <is>
          <t>&lt;=</t>
        </is>
      </c>
      <c r="AI248" s="35" t="inlineStr">
        <is>
          <t>&lt;=</t>
        </is>
      </c>
      <c r="AJ248" s="35" t="inlineStr">
        <is>
          <t>&lt;=</t>
        </is>
      </c>
      <c r="AK248" s="35" t="inlineStr">
        <is>
          <t>&lt;=</t>
        </is>
      </c>
      <c r="AL248" s="35" t="inlineStr">
        <is>
          <t>&lt;=</t>
        </is>
      </c>
      <c r="AM248" s="35" t="inlineStr">
        <is>
          <t>&lt;=</t>
        </is>
      </c>
      <c r="AN248" s="35" t="inlineStr">
        <is>
          <t>&lt;=</t>
        </is>
      </c>
      <c r="AO248" s="35" t="inlineStr">
        <is>
          <t>&lt;=</t>
        </is>
      </c>
      <c r="AP248" s="35" t="inlineStr">
        <is>
          <t>&lt;=</t>
        </is>
      </c>
      <c r="AQ248" s="35" t="inlineStr">
        <is>
          <t>&lt;=</t>
        </is>
      </c>
      <c r="AR248" s="35" t="inlineStr">
        <is>
          <t>&lt;=</t>
        </is>
      </c>
      <c r="AS248" s="35" t="inlineStr">
        <is>
          <t>&lt;=</t>
        </is>
      </c>
      <c r="AT248" s="35" t="inlineStr">
        <is>
          <t>&lt;=</t>
        </is>
      </c>
      <c r="AU248" s="35" t="inlineStr">
        <is>
          <t>&lt;=</t>
        </is>
      </c>
      <c r="AV248" s="35" t="inlineStr">
        <is>
          <t>&lt;=</t>
        </is>
      </c>
      <c r="AW248" s="35" t="inlineStr">
        <is>
          <t>&lt;=</t>
        </is>
      </c>
      <c r="AX248" s="35" t="inlineStr">
        <is>
          <t>&lt;=</t>
        </is>
      </c>
      <c r="AY248" s="35" t="inlineStr">
        <is>
          <t>&lt;=</t>
        </is>
      </c>
      <c r="AZ248" s="35" t="inlineStr">
        <is>
          <t>&lt;=</t>
        </is>
      </c>
      <c r="BA248" s="35" t="inlineStr">
        <is>
          <t>&lt;=</t>
        </is>
      </c>
      <c r="BB248" s="35" t="inlineStr">
        <is>
          <t>&lt;=</t>
        </is>
      </c>
      <c r="BC248" s="35" t="inlineStr">
        <is>
          <t>&lt;=</t>
        </is>
      </c>
      <c r="BD248" s="35" t="inlineStr">
        <is>
          <t>&lt;=</t>
        </is>
      </c>
    </row>
    <row r="249">
      <c r="A249" s="4" t="inlineStr">
        <is>
          <t xml:space="preserve">  limit</t>
        </is>
      </c>
      <c r="B249" s="2" t="inlineStr">
        <is>
          <t>cap</t>
        </is>
      </c>
      <c r="E249" s="34">
        <f>$B$7</f>
        <v/>
      </c>
      <c r="F249" s="34">
        <f>$B$7</f>
        <v/>
      </c>
      <c r="G249" s="34">
        <f>$B$7</f>
        <v/>
      </c>
      <c r="H249" s="34">
        <f>$B$7</f>
        <v/>
      </c>
      <c r="I249" s="34">
        <f>$B$7</f>
        <v/>
      </c>
      <c r="J249" s="34">
        <f>$B$7</f>
        <v/>
      </c>
      <c r="K249" s="34">
        <f>$B$7</f>
        <v/>
      </c>
      <c r="L249" s="34">
        <f>$B$7</f>
        <v/>
      </c>
      <c r="M249" s="34">
        <f>$B$7</f>
        <v/>
      </c>
      <c r="N249" s="34">
        <f>$B$7</f>
        <v/>
      </c>
      <c r="O249" s="34">
        <f>$B$7</f>
        <v/>
      </c>
      <c r="P249" s="34">
        <f>$B$7</f>
        <v/>
      </c>
      <c r="Q249" s="34">
        <f>$B$7</f>
        <v/>
      </c>
      <c r="R249" s="34">
        <f>$B$7</f>
        <v/>
      </c>
      <c r="S249" s="34">
        <f>$B$7</f>
        <v/>
      </c>
      <c r="T249" s="34">
        <f>$B$7</f>
        <v/>
      </c>
      <c r="U249" s="34">
        <f>$B$7</f>
        <v/>
      </c>
      <c r="V249" s="34">
        <f>$B$7</f>
        <v/>
      </c>
      <c r="W249" s="34">
        <f>$B$7</f>
        <v/>
      </c>
      <c r="X249" s="34">
        <f>$B$7</f>
        <v/>
      </c>
      <c r="Y249" s="34">
        <f>$B$7</f>
        <v/>
      </c>
      <c r="Z249" s="34">
        <f>$B$7</f>
        <v/>
      </c>
      <c r="AA249" s="34">
        <f>$B$7</f>
        <v/>
      </c>
      <c r="AB249" s="34">
        <f>$B$7</f>
        <v/>
      </c>
      <c r="AC249" s="34">
        <f>$B$7</f>
        <v/>
      </c>
      <c r="AD249" s="34">
        <f>$B$7</f>
        <v/>
      </c>
      <c r="AE249" s="34">
        <f>$B$7</f>
        <v/>
      </c>
      <c r="AF249" s="34">
        <f>$B$7</f>
        <v/>
      </c>
      <c r="AG249" s="34">
        <f>$B$7</f>
        <v/>
      </c>
      <c r="AH249" s="34">
        <f>$B$7</f>
        <v/>
      </c>
      <c r="AI249" s="34">
        <f>$B$7</f>
        <v/>
      </c>
      <c r="AJ249" s="34">
        <f>$B$7</f>
        <v/>
      </c>
      <c r="AK249" s="34">
        <f>$B$7</f>
        <v/>
      </c>
      <c r="AL249" s="34">
        <f>$B$7</f>
        <v/>
      </c>
      <c r="AM249" s="34">
        <f>$B$7</f>
        <v/>
      </c>
      <c r="AN249" s="34">
        <f>$B$7</f>
        <v/>
      </c>
      <c r="AO249" s="34">
        <f>$B$7</f>
        <v/>
      </c>
      <c r="AP249" s="34">
        <f>$B$7</f>
        <v/>
      </c>
      <c r="AQ249" s="34">
        <f>$B$7</f>
        <v/>
      </c>
      <c r="AR249" s="34">
        <f>$B$7</f>
        <v/>
      </c>
      <c r="AS249" s="34">
        <f>$B$7</f>
        <v/>
      </c>
      <c r="AT249" s="34">
        <f>$B$7</f>
        <v/>
      </c>
      <c r="AU249" s="34">
        <f>$B$7</f>
        <v/>
      </c>
      <c r="AV249" s="34">
        <f>$B$7</f>
        <v/>
      </c>
      <c r="AW249" s="34">
        <f>$B$7</f>
        <v/>
      </c>
      <c r="AX249" s="34">
        <f>$B$7</f>
        <v/>
      </c>
      <c r="AY249" s="34">
        <f>$B$7</f>
        <v/>
      </c>
      <c r="AZ249" s="34">
        <f>$B$7</f>
        <v/>
      </c>
      <c r="BA249" s="34">
        <f>$B$7</f>
        <v/>
      </c>
      <c r="BB249" s="34">
        <f>$B$7</f>
        <v/>
      </c>
      <c r="BC249" s="34">
        <f>$B$7</f>
        <v/>
      </c>
      <c r="BD249" s="34">
        <f>$B$7</f>
        <v/>
      </c>
    </row>
    <row r="250">
      <c r="A250" s="27" t="inlineStr">
        <is>
          <t xml:space="preserve">  room left</t>
        </is>
      </c>
      <c r="E250" s="34">
        <f>$B$7-E247</f>
        <v/>
      </c>
      <c r="F250" s="34">
        <f>$B$7-F247</f>
        <v/>
      </c>
      <c r="G250" s="34">
        <f>$B$7-G247</f>
        <v/>
      </c>
      <c r="H250" s="34">
        <f>$B$7-H247</f>
        <v/>
      </c>
      <c r="I250" s="34">
        <f>$B$7-I247</f>
        <v/>
      </c>
      <c r="J250" s="34">
        <f>$B$7-J247</f>
        <v/>
      </c>
      <c r="K250" s="34">
        <f>$B$7-K247</f>
        <v/>
      </c>
      <c r="L250" s="34">
        <f>$B$7-L247</f>
        <v/>
      </c>
      <c r="M250" s="34">
        <f>$B$7-M247</f>
        <v/>
      </c>
      <c r="N250" s="34">
        <f>$B$7-N247</f>
        <v/>
      </c>
      <c r="O250" s="34">
        <f>$B$7-O247</f>
        <v/>
      </c>
      <c r="P250" s="34">
        <f>$B$7-P247</f>
        <v/>
      </c>
      <c r="Q250" s="34">
        <f>$B$7-Q247</f>
        <v/>
      </c>
      <c r="R250" s="34">
        <f>$B$7-R247</f>
        <v/>
      </c>
      <c r="S250" s="34">
        <f>$B$7-S247</f>
        <v/>
      </c>
      <c r="T250" s="34">
        <f>$B$7-T247</f>
        <v/>
      </c>
      <c r="U250" s="34">
        <f>$B$7-U247</f>
        <v/>
      </c>
      <c r="V250" s="34">
        <f>$B$7-V247</f>
        <v/>
      </c>
      <c r="W250" s="34">
        <f>$B$7-W247</f>
        <v/>
      </c>
      <c r="X250" s="34">
        <f>$B$7-X247</f>
        <v/>
      </c>
      <c r="Y250" s="34">
        <f>$B$7-Y247</f>
        <v/>
      </c>
      <c r="Z250" s="34">
        <f>$B$7-Z247</f>
        <v/>
      </c>
      <c r="AA250" s="34">
        <f>$B$7-AA247</f>
        <v/>
      </c>
      <c r="AB250" s="34">
        <f>$B$7-AB247</f>
        <v/>
      </c>
      <c r="AC250" s="34">
        <f>$B$7-AC247</f>
        <v/>
      </c>
      <c r="AD250" s="34">
        <f>$B$7-AD247</f>
        <v/>
      </c>
      <c r="AE250" s="34">
        <f>$B$7-AE247</f>
        <v/>
      </c>
      <c r="AF250" s="34">
        <f>$B$7-AF247</f>
        <v/>
      </c>
      <c r="AG250" s="34">
        <f>$B$7-AG247</f>
        <v/>
      </c>
      <c r="AH250" s="34">
        <f>$B$7-AH247</f>
        <v/>
      </c>
      <c r="AI250" s="34">
        <f>$B$7-AI247</f>
        <v/>
      </c>
      <c r="AJ250" s="34">
        <f>$B$7-AJ247</f>
        <v/>
      </c>
      <c r="AK250" s="34">
        <f>$B$7-AK247</f>
        <v/>
      </c>
      <c r="AL250" s="34">
        <f>$B$7-AL247</f>
        <v/>
      </c>
      <c r="AM250" s="34">
        <f>$B$7-AM247</f>
        <v/>
      </c>
      <c r="AN250" s="34">
        <f>$B$7-AN247</f>
        <v/>
      </c>
      <c r="AO250" s="34">
        <f>$B$7-AO247</f>
        <v/>
      </c>
      <c r="AP250" s="34">
        <f>$B$7-AP247</f>
        <v/>
      </c>
      <c r="AQ250" s="34">
        <f>$B$7-AQ247</f>
        <v/>
      </c>
      <c r="AR250" s="34">
        <f>$B$7-AR247</f>
        <v/>
      </c>
      <c r="AS250" s="34">
        <f>$B$7-AS247</f>
        <v/>
      </c>
      <c r="AT250" s="34">
        <f>$B$7-AT247</f>
        <v/>
      </c>
      <c r="AU250" s="34">
        <f>$B$7-AU247</f>
        <v/>
      </c>
      <c r="AV250" s="34">
        <f>$B$7-AV247</f>
        <v/>
      </c>
      <c r="AW250" s="34">
        <f>$B$7-AW247</f>
        <v/>
      </c>
      <c r="AX250" s="34">
        <f>$B$7-AX247</f>
        <v/>
      </c>
      <c r="AY250" s="34">
        <f>$B$7-AY247</f>
        <v/>
      </c>
      <c r="AZ250" s="34">
        <f>$B$7-AZ247</f>
        <v/>
      </c>
      <c r="BA250" s="34">
        <f>$B$7-BA247</f>
        <v/>
      </c>
      <c r="BB250" s="34">
        <f>$B$7-BB247</f>
        <v/>
      </c>
      <c r="BC250" s="34">
        <f>$B$7-BC247</f>
        <v/>
      </c>
      <c r="BD250" s="34">
        <f>$B$7-BD247</f>
        <v/>
      </c>
    </row>
    <row r="251">
      <c r="A251" s="2" t="inlineStr">
        <is>
          <t xml:space="preserve">   Holds Garlic.</t>
        </is>
      </c>
    </row>
    <row r="253">
      <c r="A253" s="3" t="inlineStr">
        <is>
          <t>7 — CASH, WEEK BY WEEK</t>
        </is>
      </c>
    </row>
    <row r="254">
      <c r="A254" s="4" t="inlineStr">
        <is>
          <t>Opening cash</t>
        </is>
      </c>
      <c r="B254" s="14" t="n">
        <v>50000</v>
      </c>
      <c r="C254" s="2" t="inlineStr">
        <is>
          <t>what is in the bank on 1 January</t>
        </is>
      </c>
    </row>
    <row r="255">
      <c r="A255" s="4" t="inlineStr">
        <is>
          <t>Credit line</t>
        </is>
      </c>
      <c r="B255" s="14" t="n">
        <v>250000</v>
      </c>
      <c r="C255" s="2" t="inlineStr">
        <is>
          <t>how far below zero you may go</t>
        </is>
      </c>
    </row>
    <row r="256">
      <c r="A256" s="4" t="inlineStr">
        <is>
          <t>Fixed cost per week</t>
        </is>
      </c>
      <c r="B256" s="53">
        <f>$B$6*0.4807692307692308+$B$7*0.09615384615384616+$B$5*2.1367521367521367+1000+300*0.32051282051282054</f>
        <v/>
      </c>
      <c r="C256" s="2" t="inlineStr">
        <is>
          <t>cooler + barn depreciation, irrigation, machinery, equipment store — owed every week whether or not you plant</t>
        </is>
      </c>
    </row>
    <row r="257">
      <c r="A257" s="4" t="inlineStr">
        <is>
          <t>Overhead, % of revenue</t>
        </is>
      </c>
      <c r="B257" s="21" t="n">
        <v>0.16</v>
      </c>
      <c r="C257" s="2" t="inlineStr">
        <is>
          <t>insurance, admin, utilities — a share of what you sell</t>
        </is>
      </c>
    </row>
    <row r="258">
      <c r="A258" s="4" t="inlineStr">
        <is>
          <t>Interest APR on borrowing</t>
        </is>
      </c>
      <c r="B258" s="13" t="n">
        <v>0.07000000000000001</v>
      </c>
      <c r="C258" s="2" t="inlineStr">
        <is>
          <t>charged on what the credit line actually carries — reported below, not optimised over</t>
        </is>
      </c>
    </row>
    <row r="260">
      <c r="A260" s="22" t="inlineStr">
        <is>
          <t>Week</t>
        </is>
      </c>
      <c r="B260" s="33" t="inlineStr">
        <is>
          <t>$</t>
        </is>
      </c>
      <c r="E260" s="25" t="n">
        <v>1</v>
      </c>
      <c r="F260" s="25" t="n">
        <v>2</v>
      </c>
      <c r="G260" s="25" t="n">
        <v>3</v>
      </c>
      <c r="H260" s="25" t="n">
        <v>4</v>
      </c>
      <c r="I260" s="25" t="n">
        <v>5</v>
      </c>
      <c r="J260" s="25" t="n">
        <v>6</v>
      </c>
      <c r="K260" s="25" t="n">
        <v>7</v>
      </c>
      <c r="L260" s="25" t="n">
        <v>8</v>
      </c>
      <c r="M260" s="25" t="n">
        <v>9</v>
      </c>
      <c r="N260" s="25" t="n">
        <v>10</v>
      </c>
      <c r="O260" s="25" t="n">
        <v>11</v>
      </c>
      <c r="P260" s="25" t="n">
        <v>12</v>
      </c>
      <c r="Q260" s="25" t="n">
        <v>13</v>
      </c>
      <c r="R260" s="25" t="n">
        <v>14</v>
      </c>
      <c r="S260" s="25" t="n">
        <v>15</v>
      </c>
      <c r="T260" s="25" t="n">
        <v>16</v>
      </c>
      <c r="U260" s="25" t="n">
        <v>17</v>
      </c>
      <c r="V260" s="25" t="n">
        <v>18</v>
      </c>
      <c r="W260" s="25" t="n">
        <v>19</v>
      </c>
      <c r="X260" s="25" t="n">
        <v>20</v>
      </c>
      <c r="Y260" s="25" t="n">
        <v>21</v>
      </c>
      <c r="Z260" s="25" t="n">
        <v>22</v>
      </c>
      <c r="AA260" s="25" t="n">
        <v>23</v>
      </c>
      <c r="AB260" s="25" t="n">
        <v>24</v>
      </c>
      <c r="AC260" s="25" t="n">
        <v>25</v>
      </c>
      <c r="AD260" s="25" t="n">
        <v>26</v>
      </c>
      <c r="AE260" s="25" t="n">
        <v>27</v>
      </c>
      <c r="AF260" s="25" t="n">
        <v>28</v>
      </c>
      <c r="AG260" s="25" t="n">
        <v>29</v>
      </c>
      <c r="AH260" s="25" t="n">
        <v>30</v>
      </c>
      <c r="AI260" s="25" t="n">
        <v>31</v>
      </c>
      <c r="AJ260" s="25" t="n">
        <v>32</v>
      </c>
      <c r="AK260" s="25" t="n">
        <v>33</v>
      </c>
      <c r="AL260" s="25" t="n">
        <v>34</v>
      </c>
      <c r="AM260" s="25" t="n">
        <v>35</v>
      </c>
      <c r="AN260" s="25" t="n">
        <v>36</v>
      </c>
      <c r="AO260" s="25" t="n">
        <v>37</v>
      </c>
      <c r="AP260" s="25" t="n">
        <v>38</v>
      </c>
      <c r="AQ260" s="25" t="n">
        <v>39</v>
      </c>
      <c r="AR260" s="25" t="n">
        <v>40</v>
      </c>
      <c r="AS260" s="25" t="n">
        <v>41</v>
      </c>
      <c r="AT260" s="25" t="n">
        <v>42</v>
      </c>
      <c r="AU260" s="25" t="n">
        <v>43</v>
      </c>
      <c r="AV260" s="25" t="n">
        <v>44</v>
      </c>
      <c r="AW260" s="25" t="n">
        <v>45</v>
      </c>
      <c r="AX260" s="25" t="n">
        <v>46</v>
      </c>
      <c r="AY260" s="25" t="n">
        <v>47</v>
      </c>
      <c r="AZ260" s="25" t="n">
        <v>48</v>
      </c>
      <c r="BA260" s="25" t="n">
        <v>49</v>
      </c>
      <c r="BB260" s="25" t="n">
        <v>50</v>
      </c>
      <c r="BC260" s="25" t="n">
        <v>51</v>
      </c>
      <c r="BD260" s="25" t="n">
        <v>52</v>
      </c>
    </row>
    <row r="261">
      <c r="A261" s="4" t="inlineStr">
        <is>
          <t>Revenue</t>
        </is>
      </c>
      <c r="B261" s="2" t="inlineStr">
        <is>
          <t>$</t>
        </is>
      </c>
      <c r="E261" s="36">
        <f>E163*$I$18+E169*$I$19+E190*$I$20+E198*$I$21+E219*$I$22+E225*$I$23</f>
        <v/>
      </c>
      <c r="F261" s="36">
        <f>F163*$I$18+F169*$I$19+F190*$I$20+F198*$I$21+F219*$I$22+F225*$I$23</f>
        <v/>
      </c>
      <c r="G261" s="36">
        <f>G163*$I$18+G169*$I$19+G190*$I$20+G198*$I$21+G219*$I$22+G225*$I$23</f>
        <v/>
      </c>
      <c r="H261" s="36">
        <f>H163*$I$18+H169*$I$19+H190*$I$20+H198*$I$21+H219*$I$22+H225*$I$23</f>
        <v/>
      </c>
      <c r="I261" s="36">
        <f>I163*$I$18+I169*$I$19+I190*$I$20+I198*$I$21+I219*$I$22+I225*$I$23</f>
        <v/>
      </c>
      <c r="J261" s="36">
        <f>J163*$I$18+J169*$I$19+J190*$I$20+J198*$I$21+J219*$I$22+J225*$I$23</f>
        <v/>
      </c>
      <c r="K261" s="36">
        <f>K163*$I$18+K169*$I$19+K190*$I$20+K198*$I$21+K219*$I$22+K225*$I$23</f>
        <v/>
      </c>
      <c r="L261" s="36">
        <f>L163*$I$18+L169*$I$19+L190*$I$20+L198*$I$21+L219*$I$22+L225*$I$23</f>
        <v/>
      </c>
      <c r="M261" s="36">
        <f>M163*$I$18+M169*$I$19+M190*$I$20+M198*$I$21+M219*$I$22+M225*$I$23</f>
        <v/>
      </c>
      <c r="N261" s="36">
        <f>N163*$I$18+N169*$I$19+N190*$I$20+N198*$I$21+N219*$I$22+N225*$I$23</f>
        <v/>
      </c>
      <c r="O261" s="36">
        <f>O163*$I$18+O169*$I$19+O190*$I$20+O198*$I$21+O219*$I$22+O225*$I$23</f>
        <v/>
      </c>
      <c r="P261" s="36">
        <f>P163*$I$18+P169*$I$19+P190*$I$20+P198*$I$21+P219*$I$22+P225*$I$23</f>
        <v/>
      </c>
      <c r="Q261" s="36">
        <f>Q163*$I$18+Q169*$I$19+Q190*$I$20+Q198*$I$21+Q219*$I$22+Q225*$I$23</f>
        <v/>
      </c>
      <c r="R261" s="36">
        <f>R163*$I$18+R169*$I$19+R190*$I$20+R198*$I$21+R219*$I$22+R225*$I$23</f>
        <v/>
      </c>
      <c r="S261" s="36">
        <f>S163*$I$18+S169*$I$19+S190*$I$20+S198*$I$21+S219*$I$22+S225*$I$23</f>
        <v/>
      </c>
      <c r="T261" s="36">
        <f>T163*$I$18+T169*$I$19+T190*$I$20+T198*$I$21+T219*$I$22+T225*$I$23</f>
        <v/>
      </c>
      <c r="U261" s="36">
        <f>U163*$I$18+U169*$I$19+U190*$I$20+U198*$I$21+U219*$I$22+U225*$I$23</f>
        <v/>
      </c>
      <c r="V261" s="36">
        <f>V163*$I$18+V169*$I$19+V190*$I$20+V198*$I$21+V219*$I$22+V225*$I$23</f>
        <v/>
      </c>
      <c r="W261" s="36">
        <f>W163*$I$18+W169*$I$19+W190*$I$20+W198*$I$21+W219*$I$22+W225*$I$23</f>
        <v/>
      </c>
      <c r="X261" s="36">
        <f>X163*$I$18+X169*$I$19+X190*$I$20+X198*$I$21+X219*$I$22+X225*$I$23</f>
        <v/>
      </c>
      <c r="Y261" s="36">
        <f>Y163*$I$18+Y169*$I$19+Y190*$I$20+Y198*$I$21+Y219*$I$22+Y225*$I$23</f>
        <v/>
      </c>
      <c r="Z261" s="36">
        <f>Z163*$I$18+Z169*$I$19+Z190*$I$20+Z198*$I$21+Z219*$I$22+Z225*$I$23</f>
        <v/>
      </c>
      <c r="AA261" s="36">
        <f>AA163*$I$18+AA169*$I$19+AA190*$I$20+AA198*$I$21+AA219*$I$22+AA225*$I$23</f>
        <v/>
      </c>
      <c r="AB261" s="36">
        <f>AB163*$I$18+AB169*$I$19+AB190*$I$20+AB198*$I$21+AB219*$I$22+AB225*$I$23</f>
        <v/>
      </c>
      <c r="AC261" s="36">
        <f>AC163*$I$18+AC169*$I$19+AC190*$I$20+AC198*$I$21+AC219*$I$22+AC225*$I$23</f>
        <v/>
      </c>
      <c r="AD261" s="36">
        <f>AD163*$I$18+AD169*$I$19+AD190*$I$20+AD198*$I$21+AD219*$I$22+AD225*$I$23</f>
        <v/>
      </c>
      <c r="AE261" s="36">
        <f>AE163*$I$18+AE169*$I$19+AE190*$I$20+AE198*$I$21+AE219*$I$22+AE225*$I$23</f>
        <v/>
      </c>
      <c r="AF261" s="36">
        <f>AF163*$I$18+AF169*$I$19+AF190*$I$20+AF198*$I$21+AF219*$I$22+AF225*$I$23</f>
        <v/>
      </c>
      <c r="AG261" s="36">
        <f>AG163*$I$18+AG169*$I$19+AG190*$I$20+AG198*$I$21+AG219*$I$22+AG225*$I$23</f>
        <v/>
      </c>
      <c r="AH261" s="36">
        <f>AH163*$I$18+AH169*$I$19+AH190*$I$20+AH198*$I$21+AH219*$I$22+AH225*$I$23</f>
        <v/>
      </c>
      <c r="AI261" s="36">
        <f>AI163*$I$18+AI169*$I$19+AI190*$I$20+AI198*$I$21+AI219*$I$22+AI225*$I$23</f>
        <v/>
      </c>
      <c r="AJ261" s="36">
        <f>AJ163*$I$18+AJ169*$I$19+AJ190*$I$20+AJ198*$I$21+AJ219*$I$22+AJ225*$I$23</f>
        <v/>
      </c>
      <c r="AK261" s="36">
        <f>AK163*$I$18+AK169*$I$19+AK190*$I$20+AK198*$I$21+AK219*$I$22+AK225*$I$23</f>
        <v/>
      </c>
      <c r="AL261" s="36">
        <f>AL163*$I$18+AL169*$I$19+AL190*$I$20+AL198*$I$21+AL219*$I$22+AL225*$I$23</f>
        <v/>
      </c>
      <c r="AM261" s="36">
        <f>AM163*$I$18+AM169*$I$19+AM190*$I$20+AM198*$I$21+AM219*$I$22+AM225*$I$23</f>
        <v/>
      </c>
      <c r="AN261" s="36">
        <f>AN163*$I$18+AN169*$I$19+AN190*$I$20+AN198*$I$21+AN219*$I$22+AN225*$I$23</f>
        <v/>
      </c>
      <c r="AO261" s="36">
        <f>AO163*$I$18+AO169*$I$19+AO190*$I$20+AO198*$I$21+AO219*$I$22+AO225*$I$23</f>
        <v/>
      </c>
      <c r="AP261" s="36">
        <f>AP163*$I$18+AP169*$I$19+AP190*$I$20+AP198*$I$21+AP219*$I$22+AP225*$I$23</f>
        <v/>
      </c>
      <c r="AQ261" s="36">
        <f>AQ163*$I$18+AQ169*$I$19+AQ190*$I$20+AQ198*$I$21+AQ219*$I$22+AQ225*$I$23</f>
        <v/>
      </c>
      <c r="AR261" s="36">
        <f>AR163*$I$18+AR169*$I$19+AR190*$I$20+AR198*$I$21+AR219*$I$22+AR225*$I$23</f>
        <v/>
      </c>
      <c r="AS261" s="36">
        <f>AS163*$I$18+AS169*$I$19+AS190*$I$20+AS198*$I$21+AS219*$I$22+AS225*$I$23</f>
        <v/>
      </c>
      <c r="AT261" s="36">
        <f>AT163*$I$18+AT169*$I$19+AT190*$I$20+AT198*$I$21+AT219*$I$22+AT225*$I$23</f>
        <v/>
      </c>
      <c r="AU261" s="36">
        <f>AU163*$I$18+AU169*$I$19+AU190*$I$20+AU198*$I$21+AU219*$I$22+AU225*$I$23</f>
        <v/>
      </c>
      <c r="AV261" s="36">
        <f>AV163*$I$18+AV169*$I$19+AV190*$I$20+AV198*$I$21+AV219*$I$22+AV225*$I$23</f>
        <v/>
      </c>
      <c r="AW261" s="36">
        <f>AW163*$I$18+AW169*$I$19+AW190*$I$20+AW198*$I$21+AW219*$I$22+AW225*$I$23</f>
        <v/>
      </c>
      <c r="AX261" s="36">
        <f>AX163*$I$18+AX169*$I$19+AX190*$I$20+AX198*$I$21+AX219*$I$22+AX225*$I$23</f>
        <v/>
      </c>
      <c r="AY261" s="36">
        <f>AY163*$I$18+AY169*$I$19+AY190*$I$20+AY198*$I$21+AY219*$I$22+AY225*$I$23</f>
        <v/>
      </c>
      <c r="AZ261" s="36">
        <f>AZ163*$I$18+AZ169*$I$19+AZ190*$I$20+AZ198*$I$21+AZ219*$I$22+AZ225*$I$23</f>
        <v/>
      </c>
      <c r="BA261" s="36">
        <f>BA163*$I$18+BA169*$I$19+BA190*$I$20+BA198*$I$21+BA219*$I$22+BA225*$I$23</f>
        <v/>
      </c>
      <c r="BB261" s="36">
        <f>BB163*$I$18+BB169*$I$19+BB190*$I$20+BB198*$I$21+BB219*$I$22+BB225*$I$23</f>
        <v/>
      </c>
      <c r="BC261" s="36">
        <f>BC163*$I$18+BC169*$I$19+BC190*$I$20+BC198*$I$21+BC219*$I$22+BC225*$I$23</f>
        <v/>
      </c>
      <c r="BD261" s="36">
        <f>BD163*$I$18+BD169*$I$19+BD190*$I$20+BD198*$I$21+BD219*$I$22+BD225*$I$23</f>
        <v/>
      </c>
    </row>
    <row r="262">
      <c r="A262" s="27" t="inlineStr">
        <is>
          <t xml:space="preserve">  packaging</t>
        </is>
      </c>
      <c r="B262" s="2" t="inlineStr">
        <is>
          <t>$</t>
        </is>
      </c>
      <c r="E262" s="36">
        <f>E179+E208+E235</f>
        <v/>
      </c>
      <c r="F262" s="36">
        <f>F179+F208+F235</f>
        <v/>
      </c>
      <c r="G262" s="36">
        <f>G179+G208+G235</f>
        <v/>
      </c>
      <c r="H262" s="36">
        <f>H179+H208+H235</f>
        <v/>
      </c>
      <c r="I262" s="36">
        <f>I179+I208+I235</f>
        <v/>
      </c>
      <c r="J262" s="36">
        <f>J179+J208+J235</f>
        <v/>
      </c>
      <c r="K262" s="36">
        <f>K179+K208+K235</f>
        <v/>
      </c>
      <c r="L262" s="36">
        <f>L179+L208+L235</f>
        <v/>
      </c>
      <c r="M262" s="36">
        <f>M179+M208+M235</f>
        <v/>
      </c>
      <c r="N262" s="36">
        <f>N179+N208+N235</f>
        <v/>
      </c>
      <c r="O262" s="36">
        <f>O179+O208+O235</f>
        <v/>
      </c>
      <c r="P262" s="36">
        <f>P179+P208+P235</f>
        <v/>
      </c>
      <c r="Q262" s="36">
        <f>Q179+Q208+Q235</f>
        <v/>
      </c>
      <c r="R262" s="36">
        <f>R179+R208+R235</f>
        <v/>
      </c>
      <c r="S262" s="36">
        <f>S179+S208+S235</f>
        <v/>
      </c>
      <c r="T262" s="36">
        <f>T179+T208+T235</f>
        <v/>
      </c>
      <c r="U262" s="36">
        <f>U179+U208+U235</f>
        <v/>
      </c>
      <c r="V262" s="36">
        <f>V179+V208+V235</f>
        <v/>
      </c>
      <c r="W262" s="36">
        <f>W179+W208+W235</f>
        <v/>
      </c>
      <c r="X262" s="36">
        <f>X179+X208+X235</f>
        <v/>
      </c>
      <c r="Y262" s="36">
        <f>Y179+Y208+Y235</f>
        <v/>
      </c>
      <c r="Z262" s="36">
        <f>Z179+Z208+Z235</f>
        <v/>
      </c>
      <c r="AA262" s="36">
        <f>AA179+AA208+AA235</f>
        <v/>
      </c>
      <c r="AB262" s="36">
        <f>AB179+AB208+AB235</f>
        <v/>
      </c>
      <c r="AC262" s="36">
        <f>AC179+AC208+AC235</f>
        <v/>
      </c>
      <c r="AD262" s="36">
        <f>AD179+AD208+AD235</f>
        <v/>
      </c>
      <c r="AE262" s="36">
        <f>AE179+AE208+AE235</f>
        <v/>
      </c>
      <c r="AF262" s="36">
        <f>AF179+AF208+AF235</f>
        <v/>
      </c>
      <c r="AG262" s="36">
        <f>AG179+AG208+AG235</f>
        <v/>
      </c>
      <c r="AH262" s="36">
        <f>AH179+AH208+AH235</f>
        <v/>
      </c>
      <c r="AI262" s="36">
        <f>AI179+AI208+AI235</f>
        <v/>
      </c>
      <c r="AJ262" s="36">
        <f>AJ179+AJ208+AJ235</f>
        <v/>
      </c>
      <c r="AK262" s="36">
        <f>AK179+AK208+AK235</f>
        <v/>
      </c>
      <c r="AL262" s="36">
        <f>AL179+AL208+AL235</f>
        <v/>
      </c>
      <c r="AM262" s="36">
        <f>AM179+AM208+AM235</f>
        <v/>
      </c>
      <c r="AN262" s="36">
        <f>AN179+AN208+AN235</f>
        <v/>
      </c>
      <c r="AO262" s="36">
        <f>AO179+AO208+AO235</f>
        <v/>
      </c>
      <c r="AP262" s="36">
        <f>AP179+AP208+AP235</f>
        <v/>
      </c>
      <c r="AQ262" s="36">
        <f>AQ179+AQ208+AQ235</f>
        <v/>
      </c>
      <c r="AR262" s="36">
        <f>AR179+AR208+AR235</f>
        <v/>
      </c>
      <c r="AS262" s="36">
        <f>AS179+AS208+AS235</f>
        <v/>
      </c>
      <c r="AT262" s="36">
        <f>AT179+AT208+AT235</f>
        <v/>
      </c>
      <c r="AU262" s="36">
        <f>AU179+AU208+AU235</f>
        <v/>
      </c>
      <c r="AV262" s="36">
        <f>AV179+AV208+AV235</f>
        <v/>
      </c>
      <c r="AW262" s="36">
        <f>AW179+AW208+AW235</f>
        <v/>
      </c>
      <c r="AX262" s="36">
        <f>AX179+AX208+AX235</f>
        <v/>
      </c>
      <c r="AY262" s="36">
        <f>AY179+AY208+AY235</f>
        <v/>
      </c>
      <c r="AZ262" s="36">
        <f>AZ179+AZ208+AZ235</f>
        <v/>
      </c>
      <c r="BA262" s="36">
        <f>BA179+BA208+BA235</f>
        <v/>
      </c>
      <c r="BB262" s="36">
        <f>BB179+BB208+BB235</f>
        <v/>
      </c>
      <c r="BC262" s="36">
        <f>BC179+BC208+BC235</f>
        <v/>
      </c>
      <c r="BD262" s="36">
        <f>BD179+BD208+BD235</f>
        <v/>
      </c>
    </row>
    <row r="263">
      <c r="A263" s="27" t="inlineStr">
        <is>
          <t xml:space="preserve">  growing cost</t>
        </is>
      </c>
      <c r="B263" s="2" t="inlineStr">
        <is>
          <t>$</t>
        </is>
      </c>
      <c r="E263" s="36">
        <f>E178+E207+E234</f>
        <v/>
      </c>
      <c r="F263" s="36">
        <f>F178+F207+F234</f>
        <v/>
      </c>
      <c r="G263" s="36">
        <f>G178+G207+G234</f>
        <v/>
      </c>
      <c r="H263" s="36">
        <f>H178+H207+H234</f>
        <v/>
      </c>
      <c r="I263" s="36">
        <f>I178+I207+I234</f>
        <v/>
      </c>
      <c r="J263" s="36">
        <f>J178+J207+J234</f>
        <v/>
      </c>
      <c r="K263" s="36">
        <f>K178+K207+K234</f>
        <v/>
      </c>
      <c r="L263" s="36">
        <f>L178+L207+L234</f>
        <v/>
      </c>
      <c r="M263" s="36">
        <f>M178+M207+M234</f>
        <v/>
      </c>
      <c r="N263" s="36">
        <f>N178+N207+N234</f>
        <v/>
      </c>
      <c r="O263" s="36">
        <f>O178+O207+O234</f>
        <v/>
      </c>
      <c r="P263" s="36">
        <f>P178+P207+P234</f>
        <v/>
      </c>
      <c r="Q263" s="36">
        <f>Q178+Q207+Q234</f>
        <v/>
      </c>
      <c r="R263" s="36">
        <f>R178+R207+R234</f>
        <v/>
      </c>
      <c r="S263" s="36">
        <f>S178+S207+S234</f>
        <v/>
      </c>
      <c r="T263" s="36">
        <f>T178+T207+T234</f>
        <v/>
      </c>
      <c r="U263" s="36">
        <f>U178+U207+U234</f>
        <v/>
      </c>
      <c r="V263" s="36">
        <f>V178+V207+V234</f>
        <v/>
      </c>
      <c r="W263" s="36">
        <f>W178+W207+W234</f>
        <v/>
      </c>
      <c r="X263" s="36">
        <f>X178+X207+X234</f>
        <v/>
      </c>
      <c r="Y263" s="36">
        <f>Y178+Y207+Y234</f>
        <v/>
      </c>
      <c r="Z263" s="36">
        <f>Z178+Z207+Z234</f>
        <v/>
      </c>
      <c r="AA263" s="36">
        <f>AA178+AA207+AA234</f>
        <v/>
      </c>
      <c r="AB263" s="36">
        <f>AB178+AB207+AB234</f>
        <v/>
      </c>
      <c r="AC263" s="36">
        <f>AC178+AC207+AC234</f>
        <v/>
      </c>
      <c r="AD263" s="36">
        <f>AD178+AD207+AD234</f>
        <v/>
      </c>
      <c r="AE263" s="36">
        <f>AE178+AE207+AE234</f>
        <v/>
      </c>
      <c r="AF263" s="36">
        <f>AF178+AF207+AF234</f>
        <v/>
      </c>
      <c r="AG263" s="36">
        <f>AG178+AG207+AG234</f>
        <v/>
      </c>
      <c r="AH263" s="36">
        <f>AH178+AH207+AH234</f>
        <v/>
      </c>
      <c r="AI263" s="36">
        <f>AI178+AI207+AI234</f>
        <v/>
      </c>
      <c r="AJ263" s="36">
        <f>AJ178+AJ207+AJ234</f>
        <v/>
      </c>
      <c r="AK263" s="36">
        <f>AK178+AK207+AK234</f>
        <v/>
      </c>
      <c r="AL263" s="36">
        <f>AL178+AL207+AL234</f>
        <v/>
      </c>
      <c r="AM263" s="36">
        <f>AM178+AM207+AM234</f>
        <v/>
      </c>
      <c r="AN263" s="36">
        <f>AN178+AN207+AN234</f>
        <v/>
      </c>
      <c r="AO263" s="36">
        <f>AO178+AO207+AO234</f>
        <v/>
      </c>
      <c r="AP263" s="36">
        <f>AP178+AP207+AP234</f>
        <v/>
      </c>
      <c r="AQ263" s="36">
        <f>AQ178+AQ207+AQ234</f>
        <v/>
      </c>
      <c r="AR263" s="36">
        <f>AR178+AR207+AR234</f>
        <v/>
      </c>
      <c r="AS263" s="36">
        <f>AS178+AS207+AS234</f>
        <v/>
      </c>
      <c r="AT263" s="36">
        <f>AT178+AT207+AT234</f>
        <v/>
      </c>
      <c r="AU263" s="36">
        <f>AU178+AU207+AU234</f>
        <v/>
      </c>
      <c r="AV263" s="36">
        <f>AV178+AV207+AV234</f>
        <v/>
      </c>
      <c r="AW263" s="36">
        <f>AW178+AW207+AW234</f>
        <v/>
      </c>
      <c r="AX263" s="36">
        <f>AX178+AX207+AX234</f>
        <v/>
      </c>
      <c r="AY263" s="36">
        <f>AY178+AY207+AY234</f>
        <v/>
      </c>
      <c r="AZ263" s="36">
        <f>AZ178+AZ207+AZ234</f>
        <v/>
      </c>
      <c r="BA263" s="36">
        <f>BA178+BA207+BA234</f>
        <v/>
      </c>
      <c r="BB263" s="36">
        <f>BB178+BB207+BB234</f>
        <v/>
      </c>
      <c r="BC263" s="36">
        <f>BC178+BC207+BC234</f>
        <v/>
      </c>
      <c r="BD263" s="36">
        <f>BD178+BD207+BD234</f>
        <v/>
      </c>
    </row>
    <row r="264">
      <c r="A264" s="27" t="inlineStr">
        <is>
          <t xml:space="preserve">  fixed cost</t>
        </is>
      </c>
      <c r="B264" s="2" t="inlineStr">
        <is>
          <t>$</t>
        </is>
      </c>
      <c r="E264" s="36">
        <f>$B$256</f>
        <v/>
      </c>
      <c r="F264" s="36">
        <f>$B$256</f>
        <v/>
      </c>
      <c r="G264" s="36">
        <f>$B$256</f>
        <v/>
      </c>
      <c r="H264" s="36">
        <f>$B$256</f>
        <v/>
      </c>
      <c r="I264" s="36">
        <f>$B$256</f>
        <v/>
      </c>
      <c r="J264" s="36">
        <f>$B$256</f>
        <v/>
      </c>
      <c r="K264" s="36">
        <f>$B$256</f>
        <v/>
      </c>
      <c r="L264" s="36">
        <f>$B$256</f>
        <v/>
      </c>
      <c r="M264" s="36">
        <f>$B$256</f>
        <v/>
      </c>
      <c r="N264" s="36">
        <f>$B$256</f>
        <v/>
      </c>
      <c r="O264" s="36">
        <f>$B$256</f>
        <v/>
      </c>
      <c r="P264" s="36">
        <f>$B$256</f>
        <v/>
      </c>
      <c r="Q264" s="36">
        <f>$B$256</f>
        <v/>
      </c>
      <c r="R264" s="36">
        <f>$B$256</f>
        <v/>
      </c>
      <c r="S264" s="36">
        <f>$B$256</f>
        <v/>
      </c>
      <c r="T264" s="36">
        <f>$B$256</f>
        <v/>
      </c>
      <c r="U264" s="36">
        <f>$B$256</f>
        <v/>
      </c>
      <c r="V264" s="36">
        <f>$B$256</f>
        <v/>
      </c>
      <c r="W264" s="36">
        <f>$B$256</f>
        <v/>
      </c>
      <c r="X264" s="36">
        <f>$B$256</f>
        <v/>
      </c>
      <c r="Y264" s="36">
        <f>$B$256</f>
        <v/>
      </c>
      <c r="Z264" s="36">
        <f>$B$256</f>
        <v/>
      </c>
      <c r="AA264" s="36">
        <f>$B$256</f>
        <v/>
      </c>
      <c r="AB264" s="36">
        <f>$B$256</f>
        <v/>
      </c>
      <c r="AC264" s="36">
        <f>$B$256</f>
        <v/>
      </c>
      <c r="AD264" s="36">
        <f>$B$256</f>
        <v/>
      </c>
      <c r="AE264" s="36">
        <f>$B$256</f>
        <v/>
      </c>
      <c r="AF264" s="36">
        <f>$B$256</f>
        <v/>
      </c>
      <c r="AG264" s="36">
        <f>$B$256</f>
        <v/>
      </c>
      <c r="AH264" s="36">
        <f>$B$256</f>
        <v/>
      </c>
      <c r="AI264" s="36">
        <f>$B$256</f>
        <v/>
      </c>
      <c r="AJ264" s="36">
        <f>$B$256</f>
        <v/>
      </c>
      <c r="AK264" s="36">
        <f>$B$256</f>
        <v/>
      </c>
      <c r="AL264" s="36">
        <f>$B$256</f>
        <v/>
      </c>
      <c r="AM264" s="36">
        <f>$B$256</f>
        <v/>
      </c>
      <c r="AN264" s="36">
        <f>$B$256</f>
        <v/>
      </c>
      <c r="AO264" s="36">
        <f>$B$256</f>
        <v/>
      </c>
      <c r="AP264" s="36">
        <f>$B$256</f>
        <v/>
      </c>
      <c r="AQ264" s="36">
        <f>$B$256</f>
        <v/>
      </c>
      <c r="AR264" s="36">
        <f>$B$256</f>
        <v/>
      </c>
      <c r="AS264" s="36">
        <f>$B$256</f>
        <v/>
      </c>
      <c r="AT264" s="36">
        <f>$B$256</f>
        <v/>
      </c>
      <c r="AU264" s="36">
        <f>$B$256</f>
        <v/>
      </c>
      <c r="AV264" s="36">
        <f>$B$256</f>
        <v/>
      </c>
      <c r="AW264" s="36">
        <f>$B$256</f>
        <v/>
      </c>
      <c r="AX264" s="36">
        <f>$B$256</f>
        <v/>
      </c>
      <c r="AY264" s="36">
        <f>$B$256</f>
        <v/>
      </c>
      <c r="AZ264" s="36">
        <f>$B$256</f>
        <v/>
      </c>
      <c r="BA264" s="36">
        <f>$B$256</f>
        <v/>
      </c>
      <c r="BB264" s="36">
        <f>$B$256</f>
        <v/>
      </c>
      <c r="BC264" s="36">
        <f>$B$256</f>
        <v/>
      </c>
      <c r="BD264" s="36">
        <f>$B$256</f>
        <v/>
      </c>
    </row>
    <row r="265">
      <c r="A265" s="27" t="inlineStr">
        <is>
          <t xml:space="preserve">  overhead</t>
        </is>
      </c>
      <c r="B265" s="2" t="inlineStr">
        <is>
          <t>$</t>
        </is>
      </c>
      <c r="E265" s="36">
        <f>E261*$B$257</f>
        <v/>
      </c>
      <c r="F265" s="36">
        <f>F261*$B$257</f>
        <v/>
      </c>
      <c r="G265" s="36">
        <f>G261*$B$257</f>
        <v/>
      </c>
      <c r="H265" s="36">
        <f>H261*$B$257</f>
        <v/>
      </c>
      <c r="I265" s="36">
        <f>I261*$B$257</f>
        <v/>
      </c>
      <c r="J265" s="36">
        <f>J261*$B$257</f>
        <v/>
      </c>
      <c r="K265" s="36">
        <f>K261*$B$257</f>
        <v/>
      </c>
      <c r="L265" s="36">
        <f>L261*$B$257</f>
        <v/>
      </c>
      <c r="M265" s="36">
        <f>M261*$B$257</f>
        <v/>
      </c>
      <c r="N265" s="36">
        <f>N261*$B$257</f>
        <v/>
      </c>
      <c r="O265" s="36">
        <f>O261*$B$257</f>
        <v/>
      </c>
      <c r="P265" s="36">
        <f>P261*$B$257</f>
        <v/>
      </c>
      <c r="Q265" s="36">
        <f>Q261*$B$257</f>
        <v/>
      </c>
      <c r="R265" s="36">
        <f>R261*$B$257</f>
        <v/>
      </c>
      <c r="S265" s="36">
        <f>S261*$B$257</f>
        <v/>
      </c>
      <c r="T265" s="36">
        <f>T261*$B$257</f>
        <v/>
      </c>
      <c r="U265" s="36">
        <f>U261*$B$257</f>
        <v/>
      </c>
      <c r="V265" s="36">
        <f>V261*$B$257</f>
        <v/>
      </c>
      <c r="W265" s="36">
        <f>W261*$B$257</f>
        <v/>
      </c>
      <c r="X265" s="36">
        <f>X261*$B$257</f>
        <v/>
      </c>
      <c r="Y265" s="36">
        <f>Y261*$B$257</f>
        <v/>
      </c>
      <c r="Z265" s="36">
        <f>Z261*$B$257</f>
        <v/>
      </c>
      <c r="AA265" s="36">
        <f>AA261*$B$257</f>
        <v/>
      </c>
      <c r="AB265" s="36">
        <f>AB261*$B$257</f>
        <v/>
      </c>
      <c r="AC265" s="36">
        <f>AC261*$B$257</f>
        <v/>
      </c>
      <c r="AD265" s="36">
        <f>AD261*$B$257</f>
        <v/>
      </c>
      <c r="AE265" s="36">
        <f>AE261*$B$257</f>
        <v/>
      </c>
      <c r="AF265" s="36">
        <f>AF261*$B$257</f>
        <v/>
      </c>
      <c r="AG265" s="36">
        <f>AG261*$B$257</f>
        <v/>
      </c>
      <c r="AH265" s="36">
        <f>AH261*$B$257</f>
        <v/>
      </c>
      <c r="AI265" s="36">
        <f>AI261*$B$257</f>
        <v/>
      </c>
      <c r="AJ265" s="36">
        <f>AJ261*$B$257</f>
        <v/>
      </c>
      <c r="AK265" s="36">
        <f>AK261*$B$257</f>
        <v/>
      </c>
      <c r="AL265" s="36">
        <f>AL261*$B$257</f>
        <v/>
      </c>
      <c r="AM265" s="36">
        <f>AM261*$B$257</f>
        <v/>
      </c>
      <c r="AN265" s="36">
        <f>AN261*$B$257</f>
        <v/>
      </c>
      <c r="AO265" s="36">
        <f>AO261*$B$257</f>
        <v/>
      </c>
      <c r="AP265" s="36">
        <f>AP261*$B$257</f>
        <v/>
      </c>
      <c r="AQ265" s="36">
        <f>AQ261*$B$257</f>
        <v/>
      </c>
      <c r="AR265" s="36">
        <f>AR261*$B$257</f>
        <v/>
      </c>
      <c r="AS265" s="36">
        <f>AS261*$B$257</f>
        <v/>
      </c>
      <c r="AT265" s="36">
        <f>AT261*$B$257</f>
        <v/>
      </c>
      <c r="AU265" s="36">
        <f>AU261*$B$257</f>
        <v/>
      </c>
      <c r="AV265" s="36">
        <f>AV261*$B$257</f>
        <v/>
      </c>
      <c r="AW265" s="36">
        <f>AW261*$B$257</f>
        <v/>
      </c>
      <c r="AX265" s="36">
        <f>AX261*$B$257</f>
        <v/>
      </c>
      <c r="AY265" s="36">
        <f>AY261*$B$257</f>
        <v/>
      </c>
      <c r="AZ265" s="36">
        <f>AZ261*$B$257</f>
        <v/>
      </c>
      <c r="BA265" s="36">
        <f>BA261*$B$257</f>
        <v/>
      </c>
      <c r="BB265" s="36">
        <f>BB261*$B$257</f>
        <v/>
      </c>
      <c r="BC265" s="36">
        <f>BC261*$B$257</f>
        <v/>
      </c>
      <c r="BD265" s="36">
        <f>BD261*$B$257</f>
        <v/>
      </c>
    </row>
    <row r="266">
      <c r="A266" s="27" t="inlineStr">
        <is>
          <t xml:space="preserve">  wages</t>
        </is>
      </c>
      <c r="B266" s="2" t="inlineStr">
        <is>
          <t>$</t>
        </is>
      </c>
      <c r="E266" s="36">
        <f>E122</f>
        <v/>
      </c>
      <c r="F266" s="36">
        <f>F122</f>
        <v/>
      </c>
      <c r="G266" s="36">
        <f>G122</f>
        <v/>
      </c>
      <c r="H266" s="36">
        <f>H122</f>
        <v/>
      </c>
      <c r="I266" s="36">
        <f>I122</f>
        <v/>
      </c>
      <c r="J266" s="36">
        <f>J122</f>
        <v/>
      </c>
      <c r="K266" s="36">
        <f>K122</f>
        <v/>
      </c>
      <c r="L266" s="36">
        <f>L122</f>
        <v/>
      </c>
      <c r="M266" s="36">
        <f>M122</f>
        <v/>
      </c>
      <c r="N266" s="36">
        <f>N122</f>
        <v/>
      </c>
      <c r="O266" s="36">
        <f>O122</f>
        <v/>
      </c>
      <c r="P266" s="36">
        <f>P122</f>
        <v/>
      </c>
      <c r="Q266" s="36">
        <f>Q122</f>
        <v/>
      </c>
      <c r="R266" s="36">
        <f>R122</f>
        <v/>
      </c>
      <c r="S266" s="36">
        <f>S122</f>
        <v/>
      </c>
      <c r="T266" s="36">
        <f>T122</f>
        <v/>
      </c>
      <c r="U266" s="36">
        <f>U122</f>
        <v/>
      </c>
      <c r="V266" s="36">
        <f>V122</f>
        <v/>
      </c>
      <c r="W266" s="36">
        <f>W122</f>
        <v/>
      </c>
      <c r="X266" s="36">
        <f>X122</f>
        <v/>
      </c>
      <c r="Y266" s="36">
        <f>Y122</f>
        <v/>
      </c>
      <c r="Z266" s="36">
        <f>Z122</f>
        <v/>
      </c>
      <c r="AA266" s="36">
        <f>AA122</f>
        <v/>
      </c>
      <c r="AB266" s="36">
        <f>AB122</f>
        <v/>
      </c>
      <c r="AC266" s="36">
        <f>AC122</f>
        <v/>
      </c>
      <c r="AD266" s="36">
        <f>AD122</f>
        <v/>
      </c>
      <c r="AE266" s="36">
        <f>AE122</f>
        <v/>
      </c>
      <c r="AF266" s="36">
        <f>AF122</f>
        <v/>
      </c>
      <c r="AG266" s="36">
        <f>AG122</f>
        <v/>
      </c>
      <c r="AH266" s="36">
        <f>AH122</f>
        <v/>
      </c>
      <c r="AI266" s="36">
        <f>AI122</f>
        <v/>
      </c>
      <c r="AJ266" s="36">
        <f>AJ122</f>
        <v/>
      </c>
      <c r="AK266" s="36">
        <f>AK122</f>
        <v/>
      </c>
      <c r="AL266" s="36">
        <f>AL122</f>
        <v/>
      </c>
      <c r="AM266" s="36">
        <f>AM122</f>
        <v/>
      </c>
      <c r="AN266" s="36">
        <f>AN122</f>
        <v/>
      </c>
      <c r="AO266" s="36">
        <f>AO122</f>
        <v/>
      </c>
      <c r="AP266" s="36">
        <f>AP122</f>
        <v/>
      </c>
      <c r="AQ266" s="36">
        <f>AQ122</f>
        <v/>
      </c>
      <c r="AR266" s="36">
        <f>AR122</f>
        <v/>
      </c>
      <c r="AS266" s="36">
        <f>AS122</f>
        <v/>
      </c>
      <c r="AT266" s="36">
        <f>AT122</f>
        <v/>
      </c>
      <c r="AU266" s="36">
        <f>AU122</f>
        <v/>
      </c>
      <c r="AV266" s="36">
        <f>AV122</f>
        <v/>
      </c>
      <c r="AW266" s="36">
        <f>AW122</f>
        <v/>
      </c>
      <c r="AX266" s="36">
        <f>AX122</f>
        <v/>
      </c>
      <c r="AY266" s="36">
        <f>AY122</f>
        <v/>
      </c>
      <c r="AZ266" s="36">
        <f>AZ122</f>
        <v/>
      </c>
      <c r="BA266" s="36">
        <f>BA122</f>
        <v/>
      </c>
      <c r="BB266" s="36">
        <f>BB122</f>
        <v/>
      </c>
      <c r="BC266" s="36">
        <f>BC122</f>
        <v/>
      </c>
      <c r="BD266" s="36">
        <f>BD122</f>
        <v/>
      </c>
    </row>
    <row r="267">
      <c r="A267" s="27" t="inlineStr">
        <is>
          <t xml:space="preserve">  bought hours</t>
        </is>
      </c>
      <c r="B267" s="2" t="inlineStr">
        <is>
          <t>$</t>
        </is>
      </c>
      <c r="E267" s="36">
        <f>E130</f>
        <v/>
      </c>
      <c r="F267" s="36">
        <f>F130</f>
        <v/>
      </c>
      <c r="G267" s="36">
        <f>G130</f>
        <v/>
      </c>
      <c r="H267" s="36">
        <f>H130</f>
        <v/>
      </c>
      <c r="I267" s="36">
        <f>I130</f>
        <v/>
      </c>
      <c r="J267" s="36">
        <f>J130</f>
        <v/>
      </c>
      <c r="K267" s="36">
        <f>K130</f>
        <v/>
      </c>
      <c r="L267" s="36">
        <f>L130</f>
        <v/>
      </c>
      <c r="M267" s="36">
        <f>M130</f>
        <v/>
      </c>
      <c r="N267" s="36">
        <f>N130</f>
        <v/>
      </c>
      <c r="O267" s="36">
        <f>O130</f>
        <v/>
      </c>
      <c r="P267" s="36">
        <f>P130</f>
        <v/>
      </c>
      <c r="Q267" s="36">
        <f>Q130</f>
        <v/>
      </c>
      <c r="R267" s="36">
        <f>R130</f>
        <v/>
      </c>
      <c r="S267" s="36">
        <f>S130</f>
        <v/>
      </c>
      <c r="T267" s="36">
        <f>T130</f>
        <v/>
      </c>
      <c r="U267" s="36">
        <f>U130</f>
        <v/>
      </c>
      <c r="V267" s="36">
        <f>V130</f>
        <v/>
      </c>
      <c r="W267" s="36">
        <f>W130</f>
        <v/>
      </c>
      <c r="X267" s="36">
        <f>X130</f>
        <v/>
      </c>
      <c r="Y267" s="36">
        <f>Y130</f>
        <v/>
      </c>
      <c r="Z267" s="36">
        <f>Z130</f>
        <v/>
      </c>
      <c r="AA267" s="36">
        <f>AA130</f>
        <v/>
      </c>
      <c r="AB267" s="36">
        <f>AB130</f>
        <v/>
      </c>
      <c r="AC267" s="36">
        <f>AC130</f>
        <v/>
      </c>
      <c r="AD267" s="36">
        <f>AD130</f>
        <v/>
      </c>
      <c r="AE267" s="36">
        <f>AE130</f>
        <v/>
      </c>
      <c r="AF267" s="36">
        <f>AF130</f>
        <v/>
      </c>
      <c r="AG267" s="36">
        <f>AG130</f>
        <v/>
      </c>
      <c r="AH267" s="36">
        <f>AH130</f>
        <v/>
      </c>
      <c r="AI267" s="36">
        <f>AI130</f>
        <v/>
      </c>
      <c r="AJ267" s="36">
        <f>AJ130</f>
        <v/>
      </c>
      <c r="AK267" s="36">
        <f>AK130</f>
        <v/>
      </c>
      <c r="AL267" s="36">
        <f>AL130</f>
        <v/>
      </c>
      <c r="AM267" s="36">
        <f>AM130</f>
        <v/>
      </c>
      <c r="AN267" s="36">
        <f>AN130</f>
        <v/>
      </c>
      <c r="AO267" s="36">
        <f>AO130</f>
        <v/>
      </c>
      <c r="AP267" s="36">
        <f>AP130</f>
        <v/>
      </c>
      <c r="AQ267" s="36">
        <f>AQ130</f>
        <v/>
      </c>
      <c r="AR267" s="36">
        <f>AR130</f>
        <v/>
      </c>
      <c r="AS267" s="36">
        <f>AS130</f>
        <v/>
      </c>
      <c r="AT267" s="36">
        <f>AT130</f>
        <v/>
      </c>
      <c r="AU267" s="36">
        <f>AU130</f>
        <v/>
      </c>
      <c r="AV267" s="36">
        <f>AV130</f>
        <v/>
      </c>
      <c r="AW267" s="36">
        <f>AW130</f>
        <v/>
      </c>
      <c r="AX267" s="36">
        <f>AX130</f>
        <v/>
      </c>
      <c r="AY267" s="36">
        <f>AY130</f>
        <v/>
      </c>
      <c r="AZ267" s="36">
        <f>AZ130</f>
        <v/>
      </c>
      <c r="BA267" s="36">
        <f>BA130</f>
        <v/>
      </c>
      <c r="BB267" s="36">
        <f>BB130</f>
        <v/>
      </c>
      <c r="BC267" s="36">
        <f>BC130</f>
        <v/>
      </c>
      <c r="BD267" s="36">
        <f>BD130</f>
        <v/>
      </c>
    </row>
    <row r="268">
      <c r="A268" s="4" t="inlineStr">
        <is>
          <t>NET CASH this week</t>
        </is>
      </c>
      <c r="B268" s="2" t="inlineStr">
        <is>
          <t>$</t>
        </is>
      </c>
      <c r="E268" s="36">
        <f>E261-E262-E263-E264-E265-E266-E267</f>
        <v/>
      </c>
      <c r="F268" s="36">
        <f>F261-F262-F263-F264-F265-F266-F267</f>
        <v/>
      </c>
      <c r="G268" s="36">
        <f>G261-G262-G263-G264-G265-G266-G267</f>
        <v/>
      </c>
      <c r="H268" s="36">
        <f>H261-H262-H263-H264-H265-H266-H267</f>
        <v/>
      </c>
      <c r="I268" s="36">
        <f>I261-I262-I263-I264-I265-I266-I267</f>
        <v/>
      </c>
      <c r="J268" s="36">
        <f>J261-J262-J263-J264-J265-J266-J267</f>
        <v/>
      </c>
      <c r="K268" s="36">
        <f>K261-K262-K263-K264-K265-K266-K267</f>
        <v/>
      </c>
      <c r="L268" s="36">
        <f>L261-L262-L263-L264-L265-L266-L267</f>
        <v/>
      </c>
      <c r="M268" s="36">
        <f>M261-M262-M263-M264-M265-M266-M267</f>
        <v/>
      </c>
      <c r="N268" s="36">
        <f>N261-N262-N263-N264-N265-N266-N267</f>
        <v/>
      </c>
      <c r="O268" s="36">
        <f>O261-O262-O263-O264-O265-O266-O267</f>
        <v/>
      </c>
      <c r="P268" s="36">
        <f>P261-P262-P263-P264-P265-P266-P267</f>
        <v/>
      </c>
      <c r="Q268" s="36">
        <f>Q261-Q262-Q263-Q264-Q265-Q266-Q267</f>
        <v/>
      </c>
      <c r="R268" s="36">
        <f>R261-R262-R263-R264-R265-R266-R267</f>
        <v/>
      </c>
      <c r="S268" s="36">
        <f>S261-S262-S263-S264-S265-S266-S267</f>
        <v/>
      </c>
      <c r="T268" s="36">
        <f>T261-T262-T263-T264-T265-T266-T267</f>
        <v/>
      </c>
      <c r="U268" s="36">
        <f>U261-U262-U263-U264-U265-U266-U267</f>
        <v/>
      </c>
      <c r="V268" s="36">
        <f>V261-V262-V263-V264-V265-V266-V267</f>
        <v/>
      </c>
      <c r="W268" s="36">
        <f>W261-W262-W263-W264-W265-W266-W267</f>
        <v/>
      </c>
      <c r="X268" s="36">
        <f>X261-X262-X263-X264-X265-X266-X267</f>
        <v/>
      </c>
      <c r="Y268" s="36">
        <f>Y261-Y262-Y263-Y264-Y265-Y266-Y267</f>
        <v/>
      </c>
      <c r="Z268" s="36">
        <f>Z261-Z262-Z263-Z264-Z265-Z266-Z267</f>
        <v/>
      </c>
      <c r="AA268" s="36">
        <f>AA261-AA262-AA263-AA264-AA265-AA266-AA267</f>
        <v/>
      </c>
      <c r="AB268" s="36">
        <f>AB261-AB262-AB263-AB264-AB265-AB266-AB267</f>
        <v/>
      </c>
      <c r="AC268" s="36">
        <f>AC261-AC262-AC263-AC264-AC265-AC266-AC267</f>
        <v/>
      </c>
      <c r="AD268" s="36">
        <f>AD261-AD262-AD263-AD264-AD265-AD266-AD267</f>
        <v/>
      </c>
      <c r="AE268" s="36">
        <f>AE261-AE262-AE263-AE264-AE265-AE266-AE267</f>
        <v/>
      </c>
      <c r="AF268" s="36">
        <f>AF261-AF262-AF263-AF264-AF265-AF266-AF267</f>
        <v/>
      </c>
      <c r="AG268" s="36">
        <f>AG261-AG262-AG263-AG264-AG265-AG266-AG267</f>
        <v/>
      </c>
      <c r="AH268" s="36">
        <f>AH261-AH262-AH263-AH264-AH265-AH266-AH267</f>
        <v/>
      </c>
      <c r="AI268" s="36">
        <f>AI261-AI262-AI263-AI264-AI265-AI266-AI267</f>
        <v/>
      </c>
      <c r="AJ268" s="36">
        <f>AJ261-AJ262-AJ263-AJ264-AJ265-AJ266-AJ267</f>
        <v/>
      </c>
      <c r="AK268" s="36">
        <f>AK261-AK262-AK263-AK264-AK265-AK266-AK267</f>
        <v/>
      </c>
      <c r="AL268" s="36">
        <f>AL261-AL262-AL263-AL264-AL265-AL266-AL267</f>
        <v/>
      </c>
      <c r="AM268" s="36">
        <f>AM261-AM262-AM263-AM264-AM265-AM266-AM267</f>
        <v/>
      </c>
      <c r="AN268" s="36">
        <f>AN261-AN262-AN263-AN264-AN265-AN266-AN267</f>
        <v/>
      </c>
      <c r="AO268" s="36">
        <f>AO261-AO262-AO263-AO264-AO265-AO266-AO267</f>
        <v/>
      </c>
      <c r="AP268" s="36">
        <f>AP261-AP262-AP263-AP264-AP265-AP266-AP267</f>
        <v/>
      </c>
      <c r="AQ268" s="36">
        <f>AQ261-AQ262-AQ263-AQ264-AQ265-AQ266-AQ267</f>
        <v/>
      </c>
      <c r="AR268" s="36">
        <f>AR261-AR262-AR263-AR264-AR265-AR266-AR267</f>
        <v/>
      </c>
      <c r="AS268" s="36">
        <f>AS261-AS262-AS263-AS264-AS265-AS266-AS267</f>
        <v/>
      </c>
      <c r="AT268" s="36">
        <f>AT261-AT262-AT263-AT264-AT265-AT266-AT267</f>
        <v/>
      </c>
      <c r="AU268" s="36">
        <f>AU261-AU262-AU263-AU264-AU265-AU266-AU267</f>
        <v/>
      </c>
      <c r="AV268" s="36">
        <f>AV261-AV262-AV263-AV264-AV265-AV266-AV267</f>
        <v/>
      </c>
      <c r="AW268" s="36">
        <f>AW261-AW262-AW263-AW264-AW265-AW266-AW267</f>
        <v/>
      </c>
      <c r="AX268" s="36">
        <f>AX261-AX262-AX263-AX264-AX265-AX266-AX267</f>
        <v/>
      </c>
      <c r="AY268" s="36">
        <f>AY261-AY262-AY263-AY264-AY265-AY266-AY267</f>
        <v/>
      </c>
      <c r="AZ268" s="36">
        <f>AZ261-AZ262-AZ263-AZ264-AZ265-AZ266-AZ267</f>
        <v/>
      </c>
      <c r="BA268" s="36">
        <f>BA261-BA262-BA263-BA264-BA265-BA266-BA267</f>
        <v/>
      </c>
      <c r="BB268" s="36">
        <f>BB261-BB262-BB263-BB264-BB265-BB266-BB267</f>
        <v/>
      </c>
      <c r="BC268" s="36">
        <f>BC261-BC262-BC263-BC264-BC265-BC266-BC267</f>
        <v/>
      </c>
      <c r="BD268" s="36">
        <f>BD261-BD262-BD263-BD264-BD265-BD266-BD267</f>
        <v/>
      </c>
    </row>
    <row r="270">
      <c r="A270" s="22" t="inlineStr">
        <is>
          <t>Week</t>
        </is>
      </c>
      <c r="B270" s="33" t="inlineStr">
        <is>
          <t>$</t>
        </is>
      </c>
      <c r="E270" s="25" t="n">
        <v>1</v>
      </c>
      <c r="F270" s="25" t="n">
        <v>2</v>
      </c>
      <c r="G270" s="25" t="n">
        <v>3</v>
      </c>
      <c r="H270" s="25" t="n">
        <v>4</v>
      </c>
      <c r="I270" s="25" t="n">
        <v>5</v>
      </c>
      <c r="J270" s="25" t="n">
        <v>6</v>
      </c>
      <c r="K270" s="25" t="n">
        <v>7</v>
      </c>
      <c r="L270" s="25" t="n">
        <v>8</v>
      </c>
      <c r="M270" s="25" t="n">
        <v>9</v>
      </c>
      <c r="N270" s="25" t="n">
        <v>10</v>
      </c>
      <c r="O270" s="25" t="n">
        <v>11</v>
      </c>
      <c r="P270" s="25" t="n">
        <v>12</v>
      </c>
      <c r="Q270" s="25" t="n">
        <v>13</v>
      </c>
      <c r="R270" s="25" t="n">
        <v>14</v>
      </c>
      <c r="S270" s="25" t="n">
        <v>15</v>
      </c>
      <c r="T270" s="25" t="n">
        <v>16</v>
      </c>
      <c r="U270" s="25" t="n">
        <v>17</v>
      </c>
      <c r="V270" s="25" t="n">
        <v>18</v>
      </c>
      <c r="W270" s="25" t="n">
        <v>19</v>
      </c>
      <c r="X270" s="25" t="n">
        <v>20</v>
      </c>
      <c r="Y270" s="25" t="n">
        <v>21</v>
      </c>
      <c r="Z270" s="25" t="n">
        <v>22</v>
      </c>
      <c r="AA270" s="25" t="n">
        <v>23</v>
      </c>
      <c r="AB270" s="25" t="n">
        <v>24</v>
      </c>
      <c r="AC270" s="25" t="n">
        <v>25</v>
      </c>
      <c r="AD270" s="25" t="n">
        <v>26</v>
      </c>
      <c r="AE270" s="25" t="n">
        <v>27</v>
      </c>
      <c r="AF270" s="25" t="n">
        <v>28</v>
      </c>
      <c r="AG270" s="25" t="n">
        <v>29</v>
      </c>
      <c r="AH270" s="25" t="n">
        <v>30</v>
      </c>
      <c r="AI270" s="25" t="n">
        <v>31</v>
      </c>
      <c r="AJ270" s="25" t="n">
        <v>32</v>
      </c>
      <c r="AK270" s="25" t="n">
        <v>33</v>
      </c>
      <c r="AL270" s="25" t="n">
        <v>34</v>
      </c>
      <c r="AM270" s="25" t="n">
        <v>35</v>
      </c>
      <c r="AN270" s="25" t="n">
        <v>36</v>
      </c>
      <c r="AO270" s="25" t="n">
        <v>37</v>
      </c>
      <c r="AP270" s="25" t="n">
        <v>38</v>
      </c>
      <c r="AQ270" s="25" t="n">
        <v>39</v>
      </c>
      <c r="AR270" s="25" t="n">
        <v>40</v>
      </c>
      <c r="AS270" s="25" t="n">
        <v>41</v>
      </c>
      <c r="AT270" s="25" t="n">
        <v>42</v>
      </c>
      <c r="AU270" s="25" t="n">
        <v>43</v>
      </c>
      <c r="AV270" s="25" t="n">
        <v>44</v>
      </c>
      <c r="AW270" s="25" t="n">
        <v>45</v>
      </c>
      <c r="AX270" s="25" t="n">
        <v>46</v>
      </c>
      <c r="AY270" s="25" t="n">
        <v>47</v>
      </c>
      <c r="AZ270" s="25" t="n">
        <v>48</v>
      </c>
      <c r="BA270" s="25" t="n">
        <v>49</v>
      </c>
      <c r="BB270" s="25" t="n">
        <v>50</v>
      </c>
      <c r="BC270" s="25" t="n">
        <v>51</v>
      </c>
      <c r="BD270" s="25" t="n">
        <v>52</v>
      </c>
    </row>
    <row r="271">
      <c r="A271" s="23" t="inlineStr">
        <is>
          <t>CASH IN THE BANK</t>
        </is>
      </c>
      <c r="B271" s="2" t="inlineStr">
        <is>
          <t>$</t>
        </is>
      </c>
      <c r="E271" s="38">
        <f>$B$254+E268</f>
        <v/>
      </c>
      <c r="F271" s="38">
        <f>E271+F268</f>
        <v/>
      </c>
      <c r="G271" s="38">
        <f>F271+G268</f>
        <v/>
      </c>
      <c r="H271" s="38">
        <f>G271+H268</f>
        <v/>
      </c>
      <c r="I271" s="38">
        <f>H271+I268</f>
        <v/>
      </c>
      <c r="J271" s="38">
        <f>I271+J268</f>
        <v/>
      </c>
      <c r="K271" s="38">
        <f>J271+K268</f>
        <v/>
      </c>
      <c r="L271" s="38">
        <f>K271+L268</f>
        <v/>
      </c>
      <c r="M271" s="38">
        <f>L271+M268</f>
        <v/>
      </c>
      <c r="N271" s="38">
        <f>M271+N268</f>
        <v/>
      </c>
      <c r="O271" s="38">
        <f>N271+O268</f>
        <v/>
      </c>
      <c r="P271" s="38">
        <f>O271+P268</f>
        <v/>
      </c>
      <c r="Q271" s="38">
        <f>P271+Q268</f>
        <v/>
      </c>
      <c r="R271" s="38">
        <f>Q271+R268</f>
        <v/>
      </c>
      <c r="S271" s="38">
        <f>R271+S268</f>
        <v/>
      </c>
      <c r="T271" s="38">
        <f>S271+T268</f>
        <v/>
      </c>
      <c r="U271" s="38">
        <f>T271+U268</f>
        <v/>
      </c>
      <c r="V271" s="38">
        <f>U271+V268</f>
        <v/>
      </c>
      <c r="W271" s="38">
        <f>V271+W268</f>
        <v/>
      </c>
      <c r="X271" s="38">
        <f>W271+X268</f>
        <v/>
      </c>
      <c r="Y271" s="38">
        <f>X271+Y268</f>
        <v/>
      </c>
      <c r="Z271" s="38">
        <f>Y271+Z268</f>
        <v/>
      </c>
      <c r="AA271" s="38">
        <f>Z271+AA268</f>
        <v/>
      </c>
      <c r="AB271" s="38">
        <f>AA271+AB268</f>
        <v/>
      </c>
      <c r="AC271" s="38">
        <f>AB271+AC268</f>
        <v/>
      </c>
      <c r="AD271" s="38">
        <f>AC271+AD268</f>
        <v/>
      </c>
      <c r="AE271" s="38">
        <f>AD271+AE268</f>
        <v/>
      </c>
      <c r="AF271" s="38">
        <f>AE271+AF268</f>
        <v/>
      </c>
      <c r="AG271" s="38">
        <f>AF271+AG268</f>
        <v/>
      </c>
      <c r="AH271" s="38">
        <f>AG271+AH268</f>
        <v/>
      </c>
      <c r="AI271" s="38">
        <f>AH271+AI268</f>
        <v/>
      </c>
      <c r="AJ271" s="38">
        <f>AI271+AJ268</f>
        <v/>
      </c>
      <c r="AK271" s="38">
        <f>AJ271+AK268</f>
        <v/>
      </c>
      <c r="AL271" s="38">
        <f>AK271+AL268</f>
        <v/>
      </c>
      <c r="AM271" s="38">
        <f>AL271+AM268</f>
        <v/>
      </c>
      <c r="AN271" s="38">
        <f>AM271+AN268</f>
        <v/>
      </c>
      <c r="AO271" s="38">
        <f>AN271+AO268</f>
        <v/>
      </c>
      <c r="AP271" s="38">
        <f>AO271+AP268</f>
        <v/>
      </c>
      <c r="AQ271" s="38">
        <f>AP271+AQ268</f>
        <v/>
      </c>
      <c r="AR271" s="38">
        <f>AQ271+AR268</f>
        <v/>
      </c>
      <c r="AS271" s="38">
        <f>AR271+AS268</f>
        <v/>
      </c>
      <c r="AT271" s="38">
        <f>AS271+AT268</f>
        <v/>
      </c>
      <c r="AU271" s="38">
        <f>AT271+AU268</f>
        <v/>
      </c>
      <c r="AV271" s="38">
        <f>AU271+AV268</f>
        <v/>
      </c>
      <c r="AW271" s="38">
        <f>AV271+AW268</f>
        <v/>
      </c>
      <c r="AX271" s="38">
        <f>AW271+AX268</f>
        <v/>
      </c>
      <c r="AY271" s="38">
        <f>AX271+AY268</f>
        <v/>
      </c>
      <c r="AZ271" s="38">
        <f>AY271+AZ268</f>
        <v/>
      </c>
      <c r="BA271" s="38">
        <f>AZ271+BA268</f>
        <v/>
      </c>
      <c r="BB271" s="38">
        <f>BA271+BB268</f>
        <v/>
      </c>
      <c r="BC271" s="38">
        <f>BB271+BC268</f>
        <v/>
      </c>
      <c r="BD271" s="38">
        <f>BC271+BD268</f>
        <v/>
      </c>
    </row>
    <row r="272">
      <c r="E272" s="35" t="inlineStr">
        <is>
          <t>&gt;=</t>
        </is>
      </c>
      <c r="F272" s="35" t="inlineStr">
        <is>
          <t>&gt;=</t>
        </is>
      </c>
      <c r="G272" s="35" t="inlineStr">
        <is>
          <t>&gt;=</t>
        </is>
      </c>
      <c r="H272" s="35" t="inlineStr">
        <is>
          <t>&gt;=</t>
        </is>
      </c>
      <c r="I272" s="35" t="inlineStr">
        <is>
          <t>&gt;=</t>
        </is>
      </c>
      <c r="J272" s="35" t="inlineStr">
        <is>
          <t>&gt;=</t>
        </is>
      </c>
      <c r="K272" s="35" t="inlineStr">
        <is>
          <t>&gt;=</t>
        </is>
      </c>
      <c r="L272" s="35" t="inlineStr">
        <is>
          <t>&gt;=</t>
        </is>
      </c>
      <c r="M272" s="35" t="inlineStr">
        <is>
          <t>&gt;=</t>
        </is>
      </c>
      <c r="N272" s="35" t="inlineStr">
        <is>
          <t>&gt;=</t>
        </is>
      </c>
      <c r="O272" s="35" t="inlineStr">
        <is>
          <t>&gt;=</t>
        </is>
      </c>
      <c r="P272" s="35" t="inlineStr">
        <is>
          <t>&gt;=</t>
        </is>
      </c>
      <c r="Q272" s="35" t="inlineStr">
        <is>
          <t>&gt;=</t>
        </is>
      </c>
      <c r="R272" s="35" t="inlineStr">
        <is>
          <t>&gt;=</t>
        </is>
      </c>
      <c r="S272" s="35" t="inlineStr">
        <is>
          <t>&gt;=</t>
        </is>
      </c>
      <c r="T272" s="35" t="inlineStr">
        <is>
          <t>&gt;=</t>
        </is>
      </c>
      <c r="U272" s="35" t="inlineStr">
        <is>
          <t>&gt;=</t>
        </is>
      </c>
      <c r="V272" s="35" t="inlineStr">
        <is>
          <t>&gt;=</t>
        </is>
      </c>
      <c r="W272" s="35" t="inlineStr">
        <is>
          <t>&gt;=</t>
        </is>
      </c>
      <c r="X272" s="35" t="inlineStr">
        <is>
          <t>&gt;=</t>
        </is>
      </c>
      <c r="Y272" s="35" t="inlineStr">
        <is>
          <t>&gt;=</t>
        </is>
      </c>
      <c r="Z272" s="35" t="inlineStr">
        <is>
          <t>&gt;=</t>
        </is>
      </c>
      <c r="AA272" s="35" t="inlineStr">
        <is>
          <t>&gt;=</t>
        </is>
      </c>
      <c r="AB272" s="35" t="inlineStr">
        <is>
          <t>&gt;=</t>
        </is>
      </c>
      <c r="AC272" s="35" t="inlineStr">
        <is>
          <t>&gt;=</t>
        </is>
      </c>
      <c r="AD272" s="35" t="inlineStr">
        <is>
          <t>&gt;=</t>
        </is>
      </c>
      <c r="AE272" s="35" t="inlineStr">
        <is>
          <t>&gt;=</t>
        </is>
      </c>
      <c r="AF272" s="35" t="inlineStr">
        <is>
          <t>&gt;=</t>
        </is>
      </c>
      <c r="AG272" s="35" t="inlineStr">
        <is>
          <t>&gt;=</t>
        </is>
      </c>
      <c r="AH272" s="35" t="inlineStr">
        <is>
          <t>&gt;=</t>
        </is>
      </c>
      <c r="AI272" s="35" t="inlineStr">
        <is>
          <t>&gt;=</t>
        </is>
      </c>
      <c r="AJ272" s="35" t="inlineStr">
        <is>
          <t>&gt;=</t>
        </is>
      </c>
      <c r="AK272" s="35" t="inlineStr">
        <is>
          <t>&gt;=</t>
        </is>
      </c>
      <c r="AL272" s="35" t="inlineStr">
        <is>
          <t>&gt;=</t>
        </is>
      </c>
      <c r="AM272" s="35" t="inlineStr">
        <is>
          <t>&gt;=</t>
        </is>
      </c>
      <c r="AN272" s="35" t="inlineStr">
        <is>
          <t>&gt;=</t>
        </is>
      </c>
      <c r="AO272" s="35" t="inlineStr">
        <is>
          <t>&gt;=</t>
        </is>
      </c>
      <c r="AP272" s="35" t="inlineStr">
        <is>
          <t>&gt;=</t>
        </is>
      </c>
      <c r="AQ272" s="35" t="inlineStr">
        <is>
          <t>&gt;=</t>
        </is>
      </c>
      <c r="AR272" s="35" t="inlineStr">
        <is>
          <t>&gt;=</t>
        </is>
      </c>
      <c r="AS272" s="35" t="inlineStr">
        <is>
          <t>&gt;=</t>
        </is>
      </c>
      <c r="AT272" s="35" t="inlineStr">
        <is>
          <t>&gt;=</t>
        </is>
      </c>
      <c r="AU272" s="35" t="inlineStr">
        <is>
          <t>&gt;=</t>
        </is>
      </c>
      <c r="AV272" s="35" t="inlineStr">
        <is>
          <t>&gt;=</t>
        </is>
      </c>
      <c r="AW272" s="35" t="inlineStr">
        <is>
          <t>&gt;=</t>
        </is>
      </c>
      <c r="AX272" s="35" t="inlineStr">
        <is>
          <t>&gt;=</t>
        </is>
      </c>
      <c r="AY272" s="35" t="inlineStr">
        <is>
          <t>&gt;=</t>
        </is>
      </c>
      <c r="AZ272" s="35" t="inlineStr">
        <is>
          <t>&gt;=</t>
        </is>
      </c>
      <c r="BA272" s="35" t="inlineStr">
        <is>
          <t>&gt;=</t>
        </is>
      </c>
      <c r="BB272" s="35" t="inlineStr">
        <is>
          <t>&gt;=</t>
        </is>
      </c>
      <c r="BC272" s="35" t="inlineStr">
        <is>
          <t>&gt;=</t>
        </is>
      </c>
      <c r="BD272" s="35" t="inlineStr">
        <is>
          <t>&gt;=</t>
        </is>
      </c>
    </row>
    <row r="273">
      <c r="A273" s="4" t="inlineStr">
        <is>
          <t xml:space="preserve">  floor</t>
        </is>
      </c>
      <c r="B273" s="2" t="inlineStr">
        <is>
          <t>$</t>
        </is>
      </c>
      <c r="E273" s="36">
        <f>-$B$255</f>
        <v/>
      </c>
      <c r="F273" s="36">
        <f>-$B$255</f>
        <v/>
      </c>
      <c r="G273" s="36">
        <f>-$B$255</f>
        <v/>
      </c>
      <c r="H273" s="36">
        <f>-$B$255</f>
        <v/>
      </c>
      <c r="I273" s="36">
        <f>-$B$255</f>
        <v/>
      </c>
      <c r="J273" s="36">
        <f>-$B$255</f>
        <v/>
      </c>
      <c r="K273" s="36">
        <f>-$B$255</f>
        <v/>
      </c>
      <c r="L273" s="36">
        <f>-$B$255</f>
        <v/>
      </c>
      <c r="M273" s="36">
        <f>-$B$255</f>
        <v/>
      </c>
      <c r="N273" s="36">
        <f>-$B$255</f>
        <v/>
      </c>
      <c r="O273" s="36">
        <f>-$B$255</f>
        <v/>
      </c>
      <c r="P273" s="36">
        <f>-$B$255</f>
        <v/>
      </c>
      <c r="Q273" s="36">
        <f>-$B$255</f>
        <v/>
      </c>
      <c r="R273" s="36">
        <f>-$B$255</f>
        <v/>
      </c>
      <c r="S273" s="36">
        <f>-$B$255</f>
        <v/>
      </c>
      <c r="T273" s="36">
        <f>-$B$255</f>
        <v/>
      </c>
      <c r="U273" s="36">
        <f>-$B$255</f>
        <v/>
      </c>
      <c r="V273" s="36">
        <f>-$B$255</f>
        <v/>
      </c>
      <c r="W273" s="36">
        <f>-$B$255</f>
        <v/>
      </c>
      <c r="X273" s="36">
        <f>-$B$255</f>
        <v/>
      </c>
      <c r="Y273" s="36">
        <f>-$B$255</f>
        <v/>
      </c>
      <c r="Z273" s="36">
        <f>-$B$255</f>
        <v/>
      </c>
      <c r="AA273" s="36">
        <f>-$B$255</f>
        <v/>
      </c>
      <c r="AB273" s="36">
        <f>-$B$255</f>
        <v/>
      </c>
      <c r="AC273" s="36">
        <f>-$B$255</f>
        <v/>
      </c>
      <c r="AD273" s="36">
        <f>-$B$255</f>
        <v/>
      </c>
      <c r="AE273" s="36">
        <f>-$B$255</f>
        <v/>
      </c>
      <c r="AF273" s="36">
        <f>-$B$255</f>
        <v/>
      </c>
      <c r="AG273" s="36">
        <f>-$B$255</f>
        <v/>
      </c>
      <c r="AH273" s="36">
        <f>-$B$255</f>
        <v/>
      </c>
      <c r="AI273" s="36">
        <f>-$B$255</f>
        <v/>
      </c>
      <c r="AJ273" s="36">
        <f>-$B$255</f>
        <v/>
      </c>
      <c r="AK273" s="36">
        <f>-$B$255</f>
        <v/>
      </c>
      <c r="AL273" s="36">
        <f>-$B$255</f>
        <v/>
      </c>
      <c r="AM273" s="36">
        <f>-$B$255</f>
        <v/>
      </c>
      <c r="AN273" s="36">
        <f>-$B$255</f>
        <v/>
      </c>
      <c r="AO273" s="36">
        <f>-$B$255</f>
        <v/>
      </c>
      <c r="AP273" s="36">
        <f>-$B$255</f>
        <v/>
      </c>
      <c r="AQ273" s="36">
        <f>-$B$255</f>
        <v/>
      </c>
      <c r="AR273" s="36">
        <f>-$B$255</f>
        <v/>
      </c>
      <c r="AS273" s="36">
        <f>-$B$255</f>
        <v/>
      </c>
      <c r="AT273" s="36">
        <f>-$B$255</f>
        <v/>
      </c>
      <c r="AU273" s="36">
        <f>-$B$255</f>
        <v/>
      </c>
      <c r="AV273" s="36">
        <f>-$B$255</f>
        <v/>
      </c>
      <c r="AW273" s="36">
        <f>-$B$255</f>
        <v/>
      </c>
      <c r="AX273" s="36">
        <f>-$B$255</f>
        <v/>
      </c>
      <c r="AY273" s="36">
        <f>-$B$255</f>
        <v/>
      </c>
      <c r="AZ273" s="36">
        <f>-$B$255</f>
        <v/>
      </c>
      <c r="BA273" s="36">
        <f>-$B$255</f>
        <v/>
      </c>
      <c r="BB273" s="36">
        <f>-$B$255</f>
        <v/>
      </c>
      <c r="BC273" s="36">
        <f>-$B$255</f>
        <v/>
      </c>
      <c r="BD273" s="36">
        <f>-$B$255</f>
        <v/>
      </c>
    </row>
    <row r="274">
      <c r="A274" s="27" t="inlineStr">
        <is>
          <t xml:space="preserve">  headroom</t>
        </is>
      </c>
      <c r="E274" s="36">
        <f>E271-E273</f>
        <v/>
      </c>
      <c r="F274" s="36">
        <f>F271-F273</f>
        <v/>
      </c>
      <c r="G274" s="36">
        <f>G271-G273</f>
        <v/>
      </c>
      <c r="H274" s="36">
        <f>H271-H273</f>
        <v/>
      </c>
      <c r="I274" s="36">
        <f>I271-I273</f>
        <v/>
      </c>
      <c r="J274" s="36">
        <f>J271-J273</f>
        <v/>
      </c>
      <c r="K274" s="36">
        <f>K271-K273</f>
        <v/>
      </c>
      <c r="L274" s="36">
        <f>L271-L273</f>
        <v/>
      </c>
      <c r="M274" s="36">
        <f>M271-M273</f>
        <v/>
      </c>
      <c r="N274" s="36">
        <f>N271-N273</f>
        <v/>
      </c>
      <c r="O274" s="36">
        <f>O271-O273</f>
        <v/>
      </c>
      <c r="P274" s="36">
        <f>P271-P273</f>
        <v/>
      </c>
      <c r="Q274" s="36">
        <f>Q271-Q273</f>
        <v/>
      </c>
      <c r="R274" s="36">
        <f>R271-R273</f>
        <v/>
      </c>
      <c r="S274" s="36">
        <f>S271-S273</f>
        <v/>
      </c>
      <c r="T274" s="36">
        <f>T271-T273</f>
        <v/>
      </c>
      <c r="U274" s="36">
        <f>U271-U273</f>
        <v/>
      </c>
      <c r="V274" s="36">
        <f>V271-V273</f>
        <v/>
      </c>
      <c r="W274" s="36">
        <f>W271-W273</f>
        <v/>
      </c>
      <c r="X274" s="36">
        <f>X271-X273</f>
        <v/>
      </c>
      <c r="Y274" s="36">
        <f>Y271-Y273</f>
        <v/>
      </c>
      <c r="Z274" s="36">
        <f>Z271-Z273</f>
        <v/>
      </c>
      <c r="AA274" s="36">
        <f>AA271-AA273</f>
        <v/>
      </c>
      <c r="AB274" s="36">
        <f>AB271-AB273</f>
        <v/>
      </c>
      <c r="AC274" s="36">
        <f>AC271-AC273</f>
        <v/>
      </c>
      <c r="AD274" s="36">
        <f>AD271-AD273</f>
        <v/>
      </c>
      <c r="AE274" s="36">
        <f>AE271-AE273</f>
        <v/>
      </c>
      <c r="AF274" s="36">
        <f>AF271-AF273</f>
        <v/>
      </c>
      <c r="AG274" s="36">
        <f>AG271-AG273</f>
        <v/>
      </c>
      <c r="AH274" s="36">
        <f>AH271-AH273</f>
        <v/>
      </c>
      <c r="AI274" s="36">
        <f>AI271-AI273</f>
        <v/>
      </c>
      <c r="AJ274" s="36">
        <f>AJ271-AJ273</f>
        <v/>
      </c>
      <c r="AK274" s="36">
        <f>AK271-AK273</f>
        <v/>
      </c>
      <c r="AL274" s="36">
        <f>AL271-AL273</f>
        <v/>
      </c>
      <c r="AM274" s="36">
        <f>AM271-AM273</f>
        <v/>
      </c>
      <c r="AN274" s="36">
        <f>AN271-AN273</f>
        <v/>
      </c>
      <c r="AO274" s="36">
        <f>AO271-AO273</f>
        <v/>
      </c>
      <c r="AP274" s="36">
        <f>AP271-AP273</f>
        <v/>
      </c>
      <c r="AQ274" s="36">
        <f>AQ271-AQ273</f>
        <v/>
      </c>
      <c r="AR274" s="36">
        <f>AR271-AR273</f>
        <v/>
      </c>
      <c r="AS274" s="36">
        <f>AS271-AS273</f>
        <v/>
      </c>
      <c r="AT274" s="36">
        <f>AT271-AT273</f>
        <v/>
      </c>
      <c r="AU274" s="36">
        <f>AU271-AU273</f>
        <v/>
      </c>
      <c r="AV274" s="36">
        <f>AV271-AV273</f>
        <v/>
      </c>
      <c r="AW274" s="36">
        <f>AW271-AW273</f>
        <v/>
      </c>
      <c r="AX274" s="36">
        <f>AX271-AX273</f>
        <v/>
      </c>
      <c r="AY274" s="36">
        <f>AY271-AY273</f>
        <v/>
      </c>
      <c r="AZ274" s="36">
        <f>AZ271-AZ273</f>
        <v/>
      </c>
      <c r="BA274" s="36">
        <f>BA271-BA273</f>
        <v/>
      </c>
      <c r="BB274" s="36">
        <f>BB271-BB273</f>
        <v/>
      </c>
      <c r="BC274" s="36">
        <f>BC271-BC273</f>
        <v/>
      </c>
      <c r="BD274" s="36">
        <f>BD271-BD273</f>
        <v/>
      </c>
    </row>
    <row r="275">
      <c r="A275" s="2" t="inlineStr">
        <is>
          <t xml:space="preserve">   This is the app's C13. Cash may go NEGATIVE — that is the credit line being drawn — but never below the floor, which is the line fully drawn.</t>
        </is>
      </c>
    </row>
    <row r="276">
      <c r="A276" s="2" t="inlineStr">
        <is>
          <t xml:space="preserve">   The app states the same rule the other way round: it constrains cumulative NET FLOW (which excludes</t>
        </is>
      </c>
    </row>
    <row r="277">
      <c r="A277" s="2" t="inlineStr">
        <is>
          <t xml:space="preserve">   opening cash) against -(opening + credit). Both are the same constraint; mixing them double-counts the opening balance.</t>
        </is>
      </c>
    </row>
    <row r="278">
      <c r="A278" s="2" t="inlineStr">
        <is>
          <t xml:space="preserve">   ⚠️ It barely binds here, because the biggest weekly outgoing a real farm has is PAYROLL, and labour is v7. Do not read this curve as realistic yet.</t>
        </is>
      </c>
    </row>
    <row r="280">
      <c r="A280" s="3" t="inlineStr">
        <is>
          <t>8 — THE OPTIMIZER</t>
        </is>
      </c>
    </row>
    <row r="281">
      <c r="A281" s="4" t="inlineStr">
        <is>
          <t>Revenue</t>
        </is>
      </c>
      <c r="B281" s="53">
        <f>SUM(E163:BD163)*$I$18+SUM(E169:BD169)*$I$19+SUM(E190:BD190)*$I$20+SUM(E198:BD198)*$I$21+SUM(E219:BD219)*$I$22+SUM(E225:BD225)*$I$23</f>
        <v/>
      </c>
    </row>
    <row r="282">
      <c r="A282" s="4" t="inlineStr">
        <is>
          <t>Growing cost</t>
        </is>
      </c>
      <c r="B282" s="53">
        <f>SUM(E263:BD263)</f>
        <v/>
      </c>
      <c r="C282" s="2" t="inlineStr">
        <is>
          <t>seed at planting + fertiliser and fuel every week in the ground</t>
        </is>
      </c>
    </row>
    <row r="283">
      <c r="A283" s="4" t="inlineStr">
        <is>
          <t>Packaging</t>
        </is>
      </c>
      <c r="B283" s="53">
        <f>SUM(E262:BD262)</f>
        <v/>
      </c>
    </row>
    <row r="284">
      <c r="A284" s="4" t="inlineStr">
        <is>
          <t>Fixed cost</t>
        </is>
      </c>
      <c r="B284" s="53">
        <f>SUM(E264:BD264)</f>
        <v/>
      </c>
      <c r="C284" s="2" t="inlineStr">
        <is>
          <t>owed all 52 weeks whatever you plant</t>
        </is>
      </c>
    </row>
    <row r="285">
      <c r="A285" s="4" t="inlineStr">
        <is>
          <t>Overhead</t>
        </is>
      </c>
      <c r="B285" s="53">
        <f>SUM(E265:BD265)</f>
        <v/>
      </c>
    </row>
    <row r="286">
      <c r="A286" s="4" t="inlineStr">
        <is>
          <t>Wages</t>
        </is>
      </c>
      <c r="B286" s="53">
        <f>SUM(E266:BD266)</f>
        <v/>
      </c>
      <c r="C286" s="2" t="inlineStr">
        <is>
          <t>committed — owed whether or not the crops need the hours</t>
        </is>
      </c>
    </row>
    <row r="287">
      <c r="A287" s="4" t="inlineStr">
        <is>
          <t>Bought hours</t>
        </is>
      </c>
      <c r="B287" s="53">
        <f>SUM(E267:BD267)</f>
        <v/>
      </c>
      <c r="C287" s="2" t="inlineStr">
        <is>
          <t>overtime and hire, at their FULL rate — not the premium above base pay</t>
        </is>
      </c>
    </row>
    <row r="288">
      <c r="A288" s="4" t="inlineStr">
        <is>
          <t>Peak borrowing</t>
        </is>
      </c>
      <c r="B288" s="53">
        <f>MAX(0,-MIN(E271:BD271))</f>
        <v/>
      </c>
      <c r="C288" s="2" t="inlineStr">
        <is>
          <t>the deepest the credit line is ever drawn</t>
        </is>
      </c>
    </row>
    <row r="289">
      <c r="A289" s="4" t="inlineStr">
        <is>
          <t>Interest</t>
        </is>
      </c>
      <c r="B289" s="53">
        <f>$B$258*SUMPRODUCT((E271:BD271&lt;0)*-E271:BD271)/52</f>
        <v/>
      </c>
      <c r="C289" s="2" t="inlineStr">
        <is>
          <t>APR x the AVERAGE amount borrowed — the app's own post-solve formula</t>
        </is>
      </c>
    </row>
    <row r="290">
      <c r="A290" s="2" t="inlineStr">
        <is>
          <t xml:space="preserve">   ⚠️ Reported, NOT optimised over. The plan is chosen first and the borrowing it implies is priced afterwards,</t>
        </is>
      </c>
    </row>
    <row r="291">
      <c r="A291" s="2" t="inlineStr">
        <is>
          <t xml:space="preserve">     so the solver has no reason to shift sales earlier to borrow less. That is the app's simplification, inherited on purpose.</t>
        </is>
      </c>
    </row>
    <row r="292">
      <c r="A292" s="23" t="inlineStr">
        <is>
          <t>PROFIT  (the objective)</t>
        </is>
      </c>
      <c r="B292" s="54">
        <f>B281-SUM(B282:B287)-B289</f>
        <v/>
      </c>
      <c r="C292" s="4" t="inlineStr">
        <is>
          <t>&lt;-- MAXIMISE THIS CELL</t>
        </is>
      </c>
    </row>
    <row r="293">
      <c r="A293" s="4" t="inlineStr">
        <is>
          <t>Plantings chosen</t>
        </is>
      </c>
      <c r="B293" s="55">
        <f>SUM($D$43:$D$110)</f>
        <v/>
      </c>
      <c r="C293" s="2" t="inlineStr">
        <is>
          <t>of 68 offered</t>
        </is>
      </c>
    </row>
    <row r="295">
      <c r="A295" s="4" t="inlineStr">
        <is>
          <t>Annual caps</t>
        </is>
      </c>
    </row>
    <row r="296">
      <c r="A296" s="27" t="inlineStr">
        <is>
          <t xml:space="preserve">   Kale / Wholesale — sold all year</t>
        </is>
      </c>
      <c r="B296" s="36">
        <f>SUM(E198:BD198)</f>
        <v/>
      </c>
      <c r="C296" s="35" t="inlineStr">
        <is>
          <t>&lt;=</t>
        </is>
      </c>
      <c r="D296" s="36">
        <f>$D$21</f>
        <v/>
      </c>
    </row>
    <row r="298">
      <c r="A298" s="3" t="inlineStr">
        <is>
          <t>SOLVER SETUP — Tools &gt; Solver</t>
        </is>
      </c>
    </row>
    <row r="299">
      <c r="A299" s="4" t="inlineStr">
        <is>
          <t>Target cell</t>
        </is>
      </c>
      <c r="B299" s="27" t="inlineStr">
        <is>
          <t>$B$292</t>
        </is>
      </c>
      <c r="G299" s="2" t="inlineStr">
        <is>
          <t>set to MAXIMUM</t>
        </is>
      </c>
    </row>
    <row r="300">
      <c r="A300" s="4" t="inlineStr">
        <is>
          <t>By changing cells</t>
        </is>
      </c>
      <c r="B300" s="27" t="inlineStr">
        <is>
          <t>$C$43:$D$110</t>
        </is>
      </c>
      <c r="G300" s="2" t="inlineStr">
        <is>
          <t>acres AND plant? together</t>
        </is>
      </c>
    </row>
    <row r="301">
      <c r="A301" s="27" t="inlineStr">
        <is>
          <t xml:space="preserve">  ...and</t>
        </is>
      </c>
      <c r="B301" s="27" t="inlineStr">
        <is>
          <t>$E$162:$BD$162;$E$168:$BD$168;$E$189:$BD$189;$E$197:$BD$197;$E$218:$BD$218;$E$224:$BD$224</t>
        </is>
      </c>
      <c r="G301" s="2" t="inlineStr">
        <is>
          <t>the OFFERED rows</t>
        </is>
      </c>
    </row>
    <row r="302">
      <c r="A302" s="27" t="inlineStr">
        <is>
          <t>Constraint — PLANT? is binary</t>
        </is>
      </c>
      <c r="B302" s="27" t="inlineStr">
        <is>
          <t>$D$43:$D$110  =  Binary</t>
        </is>
      </c>
    </row>
    <row r="303">
      <c r="A303" s="27" t="inlineStr">
        <is>
          <t>Constraint — C9 acres &lt;= max</t>
        </is>
      </c>
      <c r="B303" s="27" t="inlineStr">
        <is>
          <t>$C$43:$C$110  &lt;=  $BE$43:$BE$110</t>
        </is>
      </c>
      <c r="G303" s="2" t="inlineStr">
        <is>
          <t>no acres without deciding to plant</t>
        </is>
      </c>
    </row>
    <row r="304">
      <c r="A304" s="27" t="inlineStr">
        <is>
          <t>Constraint — C10 acres &gt;= min</t>
        </is>
      </c>
      <c r="B304" s="27" t="inlineStr">
        <is>
          <t>$C$43:$C$110  &gt;=  $BF$43:$BF$110</t>
        </is>
      </c>
      <c r="G304" s="2" t="inlineStr">
        <is>
          <t>planted means a real block</t>
        </is>
      </c>
    </row>
    <row r="305">
      <c r="A305" s="27" t="inlineStr">
        <is>
          <t>Constraint — Spinach/Farmers Market sold &lt;= ceiling</t>
        </is>
      </c>
      <c r="B305" s="27" t="inlineStr">
        <is>
          <t>$E$163:$BD$163  &lt;=  $E$161:$BD$161</t>
        </is>
      </c>
    </row>
    <row r="306">
      <c r="A306" s="27" t="inlineStr">
        <is>
          <t>Constraint — Spinach/Wholesale sold &lt;= ceiling</t>
        </is>
      </c>
      <c r="B306" s="27" t="inlineStr">
        <is>
          <t>$E$169:$BD$169  &lt;=  $E$167:$BD$167</t>
        </is>
      </c>
    </row>
    <row r="307">
      <c r="A307" s="27" t="inlineStr">
        <is>
          <t>Constraint — Kale/Farmers Market sold &lt;= ceiling</t>
        </is>
      </c>
      <c r="B307" s="27" t="inlineStr">
        <is>
          <t>$E$190:$BD$190  &lt;=  $E$188:$BD$188</t>
        </is>
      </c>
    </row>
    <row r="308">
      <c r="A308" s="27" t="inlineStr">
        <is>
          <t>Constraint — Kale/Wholesale sold &lt;= ceiling</t>
        </is>
      </c>
      <c r="B308" s="27" t="inlineStr">
        <is>
          <t>$E$198:$BD$198  &lt;=  $E$194:$BD$194</t>
        </is>
      </c>
    </row>
    <row r="309">
      <c r="A309" s="27" t="inlineStr">
        <is>
          <t>Constraint — Garlic/Farmers Market sold &lt;= ceiling</t>
        </is>
      </c>
      <c r="B309" s="27" t="inlineStr">
        <is>
          <t>$E$219:$BD$219  &lt;=  $E$217:$BD$217</t>
        </is>
      </c>
    </row>
    <row r="310">
      <c r="A310" s="27" t="inlineStr">
        <is>
          <t>Constraint — Garlic/Wholesale sold &lt;= ceiling</t>
        </is>
      </c>
      <c r="B310" s="27" t="inlineStr">
        <is>
          <t>$E$225:$BD$225  &lt;=  $E$223:$BD$223</t>
        </is>
      </c>
    </row>
    <row r="311">
      <c r="A311" s="27" t="inlineStr">
        <is>
          <t>Constraint — Spinach stock never negative</t>
        </is>
      </c>
      <c r="B311" s="27" t="inlineStr">
        <is>
          <t>$E$173:$BD$173  &gt;=  0</t>
        </is>
      </c>
    </row>
    <row r="312">
      <c r="A312" s="27" t="inlineStr">
        <is>
          <t>Constraint — Kale stock never negative</t>
        </is>
      </c>
      <c r="B312" s="27" t="inlineStr">
        <is>
          <t>$E$202:$BD$202  &gt;=  0</t>
        </is>
      </c>
    </row>
    <row r="313">
      <c r="A313" s="27" t="inlineStr">
        <is>
          <t>Constraint — Garlic stock never negative</t>
        </is>
      </c>
      <c r="B313" s="27" t="inlineStr">
        <is>
          <t>$E$229:$BD$229  &gt;=  0</t>
        </is>
      </c>
    </row>
    <row r="314">
      <c r="A314" s="27" t="inlineStr">
        <is>
          <t>Constraint — Spinach shelf life</t>
        </is>
      </c>
      <c r="B314" s="27" t="inlineStr">
        <is>
          <t>$E$173:$BD$173  &lt;=  $E$176:$BD$176</t>
        </is>
      </c>
      <c r="G314" s="2" t="inlineStr">
        <is>
          <t>nothing held longer than it keeps</t>
        </is>
      </c>
    </row>
    <row r="315">
      <c r="A315" s="27" t="inlineStr">
        <is>
          <t>Constraint — Kale shelf life</t>
        </is>
      </c>
      <c r="B315" s="27" t="inlineStr">
        <is>
          <t>$E$202:$BD$202  &lt;=  $E$205:$BD$205</t>
        </is>
      </c>
      <c r="G315" s="2" t="inlineStr">
        <is>
          <t>nothing held longer than it keeps</t>
        </is>
      </c>
    </row>
    <row r="316">
      <c r="A316" s="27" t="inlineStr">
        <is>
          <t>Constraint — Garlic shelf life</t>
        </is>
      </c>
      <c r="B316" s="27" t="inlineStr">
        <is>
          <t>$E$229:$BD$229  &lt;=  $E$232:$BD$232</t>
        </is>
      </c>
      <c r="G316" s="2" t="inlineStr">
        <is>
          <t>nothing held longer than it keeps</t>
        </is>
      </c>
    </row>
    <row r="317">
      <c r="A317" s="27" t="inlineStr">
        <is>
          <t>Constraint — cold store</t>
        </is>
      </c>
      <c r="B317" s="27" t="inlineStr">
        <is>
          <t>$E$240:$BD$240  &lt;=  $B$6</t>
        </is>
      </c>
    </row>
    <row r="318">
      <c r="A318" s="27" t="inlineStr">
        <is>
          <t>Constraint — ambient store</t>
        </is>
      </c>
      <c r="B318" s="27" t="inlineStr">
        <is>
          <t>$E$247:$BD$247  &lt;=  $B$7</t>
        </is>
      </c>
    </row>
    <row r="319">
      <c r="A319" s="27" t="inlineStr">
        <is>
          <t>Constraint — land</t>
        </is>
      </c>
      <c r="B319" s="27" t="inlineStr">
        <is>
          <t>$E$114:$BD$114  &lt;=  $B$5</t>
        </is>
      </c>
    </row>
    <row r="320">
      <c r="A320" s="27" t="inlineStr">
        <is>
          <t xml:space="preserve">  ...and</t>
        </is>
      </c>
      <c r="B320" s="27" t="inlineStr">
        <is>
          <t>$E$128:$BD$128;$E$129:$BD$129</t>
        </is>
      </c>
      <c r="G320" s="2" t="inlineStr">
        <is>
          <t>the bought-hour rows</t>
        </is>
      </c>
    </row>
    <row r="321">
      <c r="A321" s="27" t="inlineStr">
        <is>
          <t>Constraint — CROP HOURS &lt;= available</t>
        </is>
      </c>
      <c r="B321" s="27" t="inlineStr">
        <is>
          <t>$E$135:$BD$135  &lt;=  $E$131:$BD$131</t>
        </is>
      </c>
      <c r="G321" s="2" t="inlineStr">
        <is>
          <t>the app's C2, with bought hours</t>
        </is>
      </c>
    </row>
    <row r="322">
      <c r="A322" s="27" t="inlineStr">
        <is>
          <t>Constraint — overtime cap</t>
        </is>
      </c>
      <c r="B322" s="27" t="inlineStr">
        <is>
          <t>$E$143:$BD$143;&lt;=;$E$145:$BD$145</t>
        </is>
      </c>
      <c r="G322" s="2" t="inlineStr">
        <is>
          <t>a week only holds so many hours</t>
        </is>
      </c>
    </row>
    <row r="323">
      <c r="A323" s="27" t="inlineStr">
        <is>
          <t>Constraint — hire cap</t>
        </is>
      </c>
      <c r="B323" s="27" t="inlineStr">
        <is>
          <t>$E$149:$BD$149;&lt;=;$E$151:$BD$151</t>
        </is>
      </c>
      <c r="G323" s="2" t="inlineStr">
        <is>
          <t>what the local market can supply</t>
        </is>
      </c>
    </row>
    <row r="324">
      <c r="A324" s="27" t="inlineStr">
        <is>
          <t>Constraint — CASH FLOOR</t>
        </is>
      </c>
      <c r="B324" s="27" t="inlineStr">
        <is>
          <t>$E$271:$BD$271  &gt;=  $E$273:$BD$273</t>
        </is>
      </c>
      <c r="G324" s="2" t="inlineStr">
        <is>
          <t>the app's C13</t>
        </is>
      </c>
    </row>
    <row r="325">
      <c r="A325" s="4" t="inlineStr">
        <is>
          <t>Options</t>
        </is>
      </c>
      <c r="B325" s="27" t="inlineStr">
        <is>
          <t>engine = LibreOffice CoinMP Linear Solver</t>
        </is>
      </c>
      <c r="G325" s="2" t="inlineStr">
        <is>
          <t>tick 'Assume variables as non-negative'</t>
        </is>
      </c>
    </row>
  </sheetData>
  <conditionalFormatting sqref="E117:BD117">
    <cfRule type="cellIs" priority="1" operator="lessThan" dxfId="0">
      <formula>0</formula>
    </cfRule>
  </conditionalFormatting>
  <conditionalFormatting sqref="E114:BD114">
    <cfRule type="cellIs" priority="2" operator="greaterThan" dxfId="0">
      <formula>$B$5</formula>
    </cfRule>
  </conditionalFormatting>
  <conditionalFormatting sqref="E138:BD138">
    <cfRule type="cellIs" priority="3" operator="lessThan" dxfId="0">
      <formula>0</formula>
    </cfRule>
  </conditionalFormatting>
  <conditionalFormatting sqref="E135:BD135">
    <cfRule type="cellIs" priority="4" operator="greaterThan" dxfId="0">
      <formula>E$131</formula>
    </cfRule>
  </conditionalFormatting>
  <conditionalFormatting sqref="E146:BD146">
    <cfRule type="cellIs" priority="5" operator="lessThan" dxfId="0">
      <formula>0</formula>
    </cfRule>
  </conditionalFormatting>
  <conditionalFormatting sqref="E143:BD143">
    <cfRule type="cellIs" priority="6" operator="greaterThan" dxfId="0">
      <formula>$B$33</formula>
    </cfRule>
  </conditionalFormatting>
  <conditionalFormatting sqref="E152:BD152">
    <cfRule type="cellIs" priority="7" operator="lessThan" dxfId="0">
      <formula>0</formula>
    </cfRule>
  </conditionalFormatting>
  <conditionalFormatting sqref="E149:BD149">
    <cfRule type="cellIs" priority="8" operator="greaterThan" dxfId="0">
      <formula>$B$36</formula>
    </cfRule>
  </conditionalFormatting>
  <conditionalFormatting sqref="E243:BD243">
    <cfRule type="cellIs" priority="9" operator="lessThan" dxfId="0">
      <formula>0</formula>
    </cfRule>
  </conditionalFormatting>
  <conditionalFormatting sqref="E240:BD240">
    <cfRule type="cellIs" priority="10" operator="greaterThan" dxfId="0">
      <formula>$B$6</formula>
    </cfRule>
  </conditionalFormatting>
  <conditionalFormatting sqref="E250:BD250">
    <cfRule type="cellIs" priority="11" operator="lessThan" dxfId="0">
      <formula>0</formula>
    </cfRule>
  </conditionalFormatting>
  <conditionalFormatting sqref="E247:BD247">
    <cfRule type="cellIs" priority="12" operator="greaterThan" dxfId="0">
      <formula>$B$7</formula>
    </cfRule>
  </conditionalFormatting>
  <conditionalFormatting sqref="E274:BD274">
    <cfRule type="cellIs" priority="13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2026-08-30T12:35:35Z</dcterms:created>
  <dcterms:modified xsi:type="dcterms:W3CDTF">2026-08-30T12:35:38Z</dcterms:modified>
</cp:coreProperties>
</file>