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000000"/>
    <numFmt numFmtId="166" formatCode="0.0%"/>
    <numFmt numFmtId="167" formatCode="$#,##0"/>
    <numFmt numFmtId="168" formatCode="$0.00"/>
  </numFmts>
  <fonts count="6">
    <font>
      <name val="Calibri"/>
      <family val="2"/>
      <color theme="1"/>
      <sz val="11"/>
      <scheme val="minor"/>
    </font>
    <font>
      <b val="1"/>
      <sz val="15"/>
    </font>
    <font>
      <i val="1"/>
      <color rgb="00666666"/>
      <sz val="9"/>
    </font>
    <font>
      <b val="1"/>
      <color rgb="001F4E79"/>
      <sz val="12"/>
    </font>
    <font>
      <b val="1"/>
    </font>
    <font>
      <sz val="9"/>
    </font>
  </fonts>
  <fills count="12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8F0FE"/>
      </patternFill>
    </fill>
    <fill>
      <patternFill patternType="solid">
        <fgColor rgb="00FFF0E6"/>
      </patternFill>
    </fill>
    <fill>
      <patternFill patternType="solid">
        <fgColor rgb="00EDF7ED"/>
      </patternFill>
    </fill>
    <fill>
      <patternFill patternType="solid">
        <fgColor rgb="00FDF2F8"/>
      </patternFill>
    </fill>
    <fill>
      <patternFill patternType="solid">
        <fgColor rgb="00D9EAD3"/>
      </patternFill>
    </fill>
    <fill>
      <patternFill patternType="solid">
        <fgColor rgb="00C9DAF8"/>
      </patternFill>
    </fill>
    <fill>
      <patternFill patternType="solid">
        <fgColor rgb="00F2F2F2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2" borderId="1" pivotButton="0" quotePrefix="0" xfId="0"/>
    <xf numFmtId="3" fontId="0" fillId="2" borderId="1" pivotButton="0" quotePrefix="0" xfId="0"/>
    <xf numFmtId="0" fontId="4" fillId="3" borderId="1" pivotButton="0" quotePrefix="0" xfId="0"/>
    <xf numFmtId="0" fontId="0" fillId="0" borderId="1" pivotButton="0" quotePrefix="0" xfId="0"/>
    <xf numFmtId="2" fontId="0" fillId="2" borderId="1" pivotButton="0" quotePrefix="0" xfId="0"/>
    <xf numFmtId="165" fontId="0" fillId="2" borderId="1" pivotButton="0" quotePrefix="0" xfId="0"/>
    <xf numFmtId="0" fontId="0" fillId="4" borderId="1" pivotButton="0" quotePrefix="0" xfId="0"/>
    <xf numFmtId="0" fontId="0" fillId="2" borderId="1" pivotButton="0" quotePrefix="0" xfId="0"/>
    <xf numFmtId="166" fontId="0" fillId="2" borderId="1" pivotButton="0" quotePrefix="0" xfId="0"/>
    <xf numFmtId="167" fontId="0" fillId="2" borderId="1" pivotButton="0" quotePrefix="0" xfId="0"/>
    <xf numFmtId="1" fontId="0" fillId="0" borderId="1" pivotButton="0" quotePrefix="0" xfId="0"/>
    <xf numFmtId="168" fontId="0" fillId="2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" fontId="0" fillId="2" borderId="1" pivotButton="0" quotePrefix="0" xfId="0"/>
    <xf numFmtId="9" fontId="0" fillId="2" borderId="1" pivotButton="0" quotePrefix="0" xfId="0"/>
    <xf numFmtId="0" fontId="4" fillId="3" borderId="0" pivotButton="0" quotePrefix="0" xfId="0"/>
    <xf numFmtId="0" fontId="4" fillId="8" borderId="0" pivotButton="0" quotePrefix="0" xfId="0"/>
    <xf numFmtId="0" fontId="4" fillId="9" borderId="0" pivotButton="0" quotePrefix="0" xfId="0"/>
    <xf numFmtId="0" fontId="4" fillId="3" borderId="0" applyAlignment="1" pivotButton="0" quotePrefix="0" xfId="0">
      <alignment horizontal="center"/>
    </xf>
    <xf numFmtId="0" fontId="5" fillId="3" borderId="0" pivotButton="0" quotePrefix="0" xfId="0"/>
    <xf numFmtId="0" fontId="5" fillId="0" borderId="0" pivotButton="0" quotePrefix="0" xfId="0"/>
    <xf numFmtId="2" fontId="0" fillId="8" borderId="0" pivotButton="0" quotePrefix="0" xfId="0"/>
    <xf numFmtId="1" fontId="0" fillId="9" borderId="0" pivotButton="0" quotePrefix="0" xfId="0"/>
    <xf numFmtId="0" fontId="5" fillId="10" borderId="0" applyAlignment="1" pivotButton="0" quotePrefix="0" xfId="0">
      <alignment horizontal="center"/>
    </xf>
    <xf numFmtId="164" fontId="5" fillId="0" borderId="0" pivotButton="0" quotePrefix="0" xfId="0"/>
    <xf numFmtId="1" fontId="5" fillId="0" borderId="0" pivotButton="0" quotePrefix="0" xfId="0"/>
    <xf numFmtId="0" fontId="2" fillId="3" borderId="0" pivotButton="0" quotePrefix="0" xfId="0"/>
    <xf numFmtId="164" fontId="0" fillId="0" borderId="0" pivotButton="0" quotePrefix="0" xfId="0"/>
    <xf numFmtId="0" fontId="4" fillId="0" borderId="0" applyAlignment="1" pivotButton="0" quotePrefix="0" xfId="0">
      <alignment horizontal="center"/>
    </xf>
    <xf numFmtId="3" fontId="0" fillId="0" borderId="0" pivotButton="0" quotePrefix="0" xfId="0"/>
    <xf numFmtId="0" fontId="0" fillId="4" borderId="0" pivotButton="0" quotePrefix="0" xfId="0"/>
    <xf numFmtId="0" fontId="5" fillId="6" borderId="0" pivotButton="0" quotePrefix="0" xfId="0"/>
    <xf numFmtId="3" fontId="0" fillId="6" borderId="0" pivotButton="0" quotePrefix="0" xfId="0"/>
    <xf numFmtId="3" fontId="0" fillId="8" borderId="0" pivotButton="0" quotePrefix="0" xfId="0"/>
    <xf numFmtId="0" fontId="4" fillId="6" borderId="0" pivotButton="0" quotePrefix="0" xfId="0"/>
    <xf numFmtId="0" fontId="5" fillId="7" borderId="0" pivotButton="0" quotePrefix="0" xfId="0"/>
    <xf numFmtId="3" fontId="0" fillId="7" borderId="0" pivotButton="0" quotePrefix="0" xfId="0"/>
    <xf numFmtId="0" fontId="4" fillId="7" borderId="0" pivotButton="0" quotePrefix="0" xfId="0"/>
    <xf numFmtId="164" fontId="0" fillId="4" borderId="0" pivotButton="0" quotePrefix="0" xfId="0"/>
    <xf numFmtId="0" fontId="5" fillId="11" borderId="0" pivotButton="0" quotePrefix="0" xfId="0"/>
    <xf numFmtId="3" fontId="0" fillId="11" borderId="0" pivotButton="0" quotePrefix="0" xfId="0"/>
    <xf numFmtId="0" fontId="0" fillId="5" borderId="0" pivotButton="0" quotePrefix="0" xfId="0"/>
    <xf numFmtId="164" fontId="0" fillId="5" borderId="0" pivotButton="0" quotePrefix="0" xfId="0"/>
    <xf numFmtId="0" fontId="4" fillId="4" borderId="0" pivotButton="0" quotePrefix="0" xfId="0"/>
    <xf numFmtId="0" fontId="4" fillId="5" borderId="0" pivotButton="0" quotePrefix="0" xfId="0"/>
    <xf numFmtId="167" fontId="4" fillId="0" borderId="0" pivotButton="0" quotePrefix="0" xfId="0"/>
    <xf numFmtId="167" fontId="4" fillId="8" borderId="0" pivotButton="0" quotePrefix="0" xfId="0"/>
    <xf numFmtId="1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2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Farm toy model — v7: LABOUR</t>
        </is>
      </c>
    </row>
    <row r="2">
      <c r="A2" s="2" t="inlineStr">
        <is>
          <t>BUILT 2026-08-30 20:30   (from source at commit e35ca18)</t>
        </is>
      </c>
    </row>
    <row r="3">
      <c r="A3" s="2" t="inlineStr">
        <is>
          <t>If that timestamp is older than the change you are looking for, you have a stale copy —</t>
        </is>
      </c>
    </row>
    <row r="4">
      <c r="A4" s="2" t="inlineStr">
        <is>
          <t>close the file and re-open it from WSL rather than from a recent-files list.</t>
        </is>
      </c>
    </row>
    <row r="5">
      <c r="A5" t="inlineStr"/>
    </row>
    <row r="6">
      <c r="A6" s="3" t="inlineStr">
        <is>
          <t>WHAT v7 ADDS — labour, which is TWO things at once</t>
        </is>
      </c>
    </row>
    <row r="7">
      <c r="A7" t="inlineStr"/>
    </row>
    <row r="8">
      <c r="A8" s="4" t="inlineStr">
        <is>
          <t>1. A COMMITTED COST. Every listed worker is paid for their stated hours whether or not the</t>
        </is>
      </c>
    </row>
    <row r="9">
      <c r="A9" t="inlineStr">
        <is>
          <t xml:space="preserve">   crops need them. So there is NO per-acre labour charge anywhere on this sheet — the</t>
        </is>
      </c>
    </row>
    <row r="10">
      <c r="A10" t="inlineStr">
        <is>
          <t xml:space="preserve">   marginal crop hour is FREE, and it is rationed by capacity instead of priced. That is the</t>
        </is>
      </c>
    </row>
    <row r="11">
      <c r="A11" t="inlineStr">
        <is>
          <t xml:space="preserve">   app's W12, and it is the single largest correction the real model has ever made.</t>
        </is>
      </c>
    </row>
    <row r="12">
      <c r="A12" t="inlineStr"/>
    </row>
    <row r="13">
      <c r="A13" s="4" t="inlineStr">
        <is>
          <t>2. A CAPACITY LIMIT. Crop hours in a week cannot exceed what the crew can give. The app's</t>
        </is>
      </c>
    </row>
    <row r="14">
      <c r="A14" t="inlineStr">
        <is>
          <t xml:space="preserve">   C2 — and on this farm it is the constraint that binds hardest, in 22 of 52 weeks.</t>
        </is>
      </c>
    </row>
    <row r="15">
      <c r="A15" t="inlineStr"/>
    </row>
    <row r="16">
      <c r="A16" s="3" t="inlineStr">
        <is>
          <t>AND THE WAGE BILL HAS A SHAPE</t>
        </is>
      </c>
    </row>
    <row r="17">
      <c r="A17" s="4" t="inlineStr">
        <is>
          <t xml:space="preserve">     winter $4,884/wk        peak $24,484/wk        $855,150 for the year</t>
        </is>
      </c>
    </row>
    <row r="18">
      <c r="A18" s="4" t="inlineStr">
        <is>
          <t xml:space="preserve">     crew capacity 108 hrs/wk in winter, 908 at peak</t>
        </is>
      </c>
    </row>
    <row r="19">
      <c r="A19" t="inlineStr">
        <is>
          <t>Flattening that to an annual average understated the app's own cash floor by $115,615, which</t>
        </is>
      </c>
    </row>
    <row r="20">
      <c r="A20" t="inlineStr">
        <is>
          <t>is why it is modelled week by week here rather than as one number.</t>
        </is>
      </c>
    </row>
    <row r="21">
      <c r="A21" t="inlineStr"/>
    </row>
    <row r="22">
      <c r="A22" s="3" t="inlineStr">
        <is>
          <t>WHAT IT DOES TO THE ANSWER</t>
        </is>
      </c>
    </row>
    <row r="23">
      <c r="A23" s="4" t="inlineStr">
        <is>
          <t xml:space="preserve">     profit $1,654,922 -&gt; $388,786        net margin 20.3%</t>
        </is>
      </c>
    </row>
    <row r="24">
      <c r="A24" t="inlineStr">
        <is>
          <t>Revenue falls too — $1,912,071 against v6's $2,558,846 — and that is the important half. Labour</t>
        </is>
      </c>
    </row>
    <row r="25">
      <c r="A25" t="inlineStr">
        <is>
          <t>does not merely TAX the plan, it RESHAPES it: the crew cannot pick everything the ground</t>
        </is>
      </c>
    </row>
    <row r="26">
      <c r="A26" t="inlineStr">
        <is>
          <t>could grow, so acres the land would happily carry are simply not worth planting.</t>
        </is>
      </c>
    </row>
    <row r="27">
      <c r="A27" t="inlineStr"/>
    </row>
    <row r="28">
      <c r="A28" t="inlineStr">
        <is>
          <t>Net margin 20.3% is finally in the same postcode as a real diversified-veg farm (5-15%),</t>
        </is>
      </c>
    </row>
    <row r="29">
      <c r="A29" t="inlineStr">
        <is>
          <t>having read 64.7% in v6. Labour was most of the gap.</t>
        </is>
      </c>
    </row>
    <row r="30">
      <c r="A30" t="inlineStr"/>
    </row>
    <row r="31">
      <c r="A31" s="3" t="inlineStr">
        <is>
          <t>!! THE FINDING WORTH TAKING AWAY</t>
        </is>
      </c>
    </row>
    <row r="32">
      <c r="A32" t="inlineStr">
        <is>
          <t>Committed wages create a MINIMUM CASH REQUIREMENT that no plan can avoid. This farm owes</t>
        </is>
      </c>
    </row>
    <row r="33">
      <c r="A33" t="inlineStr">
        <is>
          <t>$4,884 a week from January with nothing to sell until spring — $56,676 goes out before a</t>
        </is>
      </c>
    </row>
    <row r="34">
      <c r="A34" t="inlineStr">
        <is>
          <t>dollar comes in. Measured: below roughly $80,000-$100,000 of opening cash plus credit, there</t>
        </is>
      </c>
    </row>
    <row r="35">
      <c r="A35" t="inlineStr">
        <is>
          <t>is NO feasible plan at all. Not a worse plan — none.</t>
        </is>
      </c>
    </row>
    <row r="36">
      <c r="A36" t="inlineStr"/>
    </row>
    <row r="37">
      <c r="A37" t="inlineStr">
        <is>
          <t>And above that threshold profit is IDENTICAL at every cash level. So cash does not shape the</t>
        </is>
      </c>
    </row>
    <row r="38">
      <c r="A38" t="inlineStr">
        <is>
          <t>plan here; it decides whether you may have one. Those are different questions and a single</t>
        </is>
      </c>
    </row>
    <row r="39">
      <c r="A39" t="inlineStr">
        <is>
          <t>profit figure hides which one you are asking.</t>
        </is>
      </c>
    </row>
    <row r="40">
      <c r="A40" t="inlineStr"/>
    </row>
    <row r="41">
      <c r="A41" s="3" t="inlineStr">
        <is>
          <t>INTEREST IS REPORTED, NOT OPTIMISED OVER</t>
        </is>
      </c>
    </row>
    <row r="42">
      <c r="A42" t="inlineStr">
        <is>
          <t>Peak borrowing $46,095, interest $384 — APR on the AVERAGE amount the credit line</t>
        </is>
      </c>
    </row>
    <row r="43">
      <c r="A43" t="inlineStr">
        <is>
          <t>carries, which is the app's own post-solve formula.</t>
        </is>
      </c>
    </row>
    <row r="44">
      <c r="A44" t="inlineStr"/>
    </row>
    <row r="45">
      <c r="A45" t="inlineStr">
        <is>
          <t>It sits OUTSIDE the objective deliberately, because that is what the app does: the plan is</t>
        </is>
      </c>
    </row>
    <row r="46">
      <c r="A46" t="inlineStr">
        <is>
          <t>chosen first and the borrowing it implies is priced afterwards. The consequence is worth</t>
        </is>
      </c>
    </row>
    <row r="47">
      <c r="A47" t="inlineStr">
        <is>
          <t>knowing — the solver has no reason to shift sales earlier to borrow less, so interest is a</t>
        </is>
      </c>
    </row>
    <row r="48">
      <c r="A48" t="inlineStr">
        <is>
          <t>REPORT here rather than a lever. On this farm it is trivial ($384); on a farm that</t>
        </is>
      </c>
    </row>
    <row r="49">
      <c r="A49" t="inlineStr">
        <is>
          <t>borrows through a long winter it would not be.</t>
        </is>
      </c>
    </row>
    <row r="50">
      <c r="A50" t="inlineStr"/>
    </row>
    <row r="51">
      <c r="A51" s="3" t="inlineStr">
        <is>
          <t>INTEREST IS REPORTED, NOT OPTIMISED OVER</t>
        </is>
      </c>
    </row>
    <row r="52">
      <c r="A52" t="inlineStr">
        <is>
          <t>Peak borrowing $46,095, interest $384 — small here, and the reason is worth knowing.</t>
        </is>
      </c>
    </row>
    <row r="53">
      <c r="A53" t="inlineStr">
        <is>
          <t>The plan is chosen FIRST and the borrowing it implies is priced afterwards, so the solver has</t>
        </is>
      </c>
    </row>
    <row r="54">
      <c r="A54" t="inlineStr">
        <is>
          <t>no reason to shift sales earlier to borrow less. That is the app's own simplification and the</t>
        </is>
      </c>
    </row>
    <row r="55">
      <c r="A55" t="inlineStr">
        <is>
          <t>toy inherits it deliberately rather than diverging: a toy that models cash better than the</t>
        </is>
      </c>
    </row>
    <row r="56">
      <c r="A56" t="inlineStr">
        <is>
          <t>thing it is checking cannot check it.</t>
        </is>
      </c>
    </row>
    <row r="57">
      <c r="A57" t="inlineStr"/>
    </row>
    <row r="58">
      <c r="A58" s="3" t="inlineStr">
        <is>
          <t>WHAT v6 ADDED — real costs, and the cash floor</t>
        </is>
      </c>
    </row>
    <row r="59">
      <c r="A59" t="inlineStr">
        <is>
          <t>These are one job, not two. A cash curve is meaningless without costs to spend, and v5's</t>
        </is>
      </c>
    </row>
    <row r="60">
      <c r="A60" t="inlineStr">
        <is>
          <t>profit was absurd precisely because seed was the only cost it charged.</t>
        </is>
      </c>
    </row>
    <row r="61">
      <c r="A61" t="inlineStr"/>
    </row>
    <row r="62">
      <c r="A62" t="inlineStr">
        <is>
          <t xml:space="preserve">  TIMED variable costs   seed in the PLANTING week; fertiliser and fuel every week in the</t>
        </is>
      </c>
    </row>
    <row r="63">
      <c r="A63" t="inlineStr">
        <is>
          <t xml:space="preserve">                         ground at that phase's rate; packaging per lb in the week of SALE.</t>
        </is>
      </c>
    </row>
    <row r="64">
      <c r="A64" t="inlineStr">
        <is>
          <t xml:space="preserve">                         Timing is the whole point — a cash floor cannot be honest if the</t>
        </is>
      </c>
    </row>
    <row r="65">
      <c r="A65" t="inlineStr">
        <is>
          <t xml:space="preserve">                         costs land in the wrong week.</t>
        </is>
      </c>
    </row>
    <row r="66">
      <c r="A66" t="inlineStr">
        <is>
          <t xml:space="preserve">  FIXED costs            cooler and barn depreciation, irrigation, machinery, equipment</t>
        </is>
      </c>
    </row>
    <row r="67">
      <c r="A67" t="inlineStr">
        <is>
          <t xml:space="preserve">                         store: $1,414 a week, owed whether or not you plant anything.</t>
        </is>
      </c>
    </row>
    <row r="68">
      <c r="A68" t="inlineStr">
        <is>
          <t xml:space="preserve">  OVERHEAD               a share of revenue, exactly as the app internalises it.</t>
        </is>
      </c>
    </row>
    <row r="69">
      <c r="A69" t="inlineStr">
        <is>
          <t xml:space="preserve">  CASH FLOOR             cumulative cash may go negative — that is the credit line being</t>
        </is>
      </c>
    </row>
    <row r="70">
      <c r="A70" t="inlineStr">
        <is>
          <t xml:space="preserve">                         drawn — but never below -(opening cash + credit line). The app's C13.</t>
        </is>
      </c>
    </row>
    <row r="71">
      <c r="A71" t="inlineStr"/>
    </row>
    <row r="72">
      <c r="A72" s="4" t="inlineStr">
        <is>
          <t>Profit falls $2,384,231 -&gt; $388,786 once those are charged.</t>
        </is>
      </c>
    </row>
    <row r="73">
      <c r="A73" t="inlineStr"/>
    </row>
    <row r="74">
      <c r="A74" s="3" t="inlineStr">
        <is>
          <t>!! AND IT IS STILL ABSURD: net margin 20.3%, against 5-15% for real diversified veg.</t>
        </is>
      </c>
    </row>
    <row r="75">
      <c r="A75" t="inlineStr">
        <is>
          <t>Because LABOUR IS NOT HERE. On the real farm wages are about 90% of fixed cost — the app's</t>
        </is>
      </c>
    </row>
    <row r="76">
      <c r="A76" t="inlineStr">
        <is>
          <t>own demo pays $855,150 a year against the $73,514 of fixed cost this sheet charges. So:</t>
        </is>
      </c>
    </row>
    <row r="77">
      <c r="A77" t="inlineStr"/>
    </row>
    <row r="78">
      <c r="A78" s="4" t="inlineStr">
        <is>
          <t xml:space="preserve">     THE CASH FLOOR BARELY BINDS, AND YOU SHOULD NOT TRUST THIS CURVE YET.</t>
        </is>
      </c>
    </row>
    <row r="79">
      <c r="A79" t="inlineStr"/>
    </row>
    <row r="80">
      <c r="A80" t="inlineStr">
        <is>
          <t>Measured: at 50,000 opening and a 250,000 credit line the floor never touches. It only bites</t>
        </is>
      </c>
    </row>
    <row r="81">
      <c r="A81" t="inlineStr">
        <is>
          <t>at about 10,000 + 10,000. The mechanism is real and checked; the farm it is checking is not</t>
        </is>
      </c>
    </row>
    <row r="82">
      <c r="A82" t="inlineStr">
        <is>
          <t>yet paying anybody. Labour is v7, and it is what makes cash mean something.</t>
        </is>
      </c>
    </row>
    <row r="83">
      <c r="A83" t="inlineStr"/>
    </row>
    <row r="84">
      <c r="A84" s="3" t="inlineStr">
        <is>
          <t>WHAT v5 ADDED — both of these you spotted missing from v4</t>
        </is>
      </c>
    </row>
    <row r="85">
      <c r="A85" t="inlineStr"/>
    </row>
    <row r="86">
      <c r="A86" s="4" t="inlineStr">
        <is>
          <t>1. IT CHOOSES WHEN TO PLANT.</t>
        </is>
      </c>
    </row>
    <row r="87">
      <c r="A87" t="inlineStr">
        <is>
          <t xml:space="preserve">   All 68 plantings the app's calendar generator offers are on the sheet, one row per legal</t>
        </is>
      </c>
    </row>
    <row r="88">
      <c r="A88" t="inlineStr">
        <is>
          <t xml:space="preserve">   start week. The solver puts acres on some and zero on others — and zero acres IS the</t>
        </is>
      </c>
    </row>
    <row r="89">
      <c r="A89" t="inlineStr">
        <is>
          <t xml:space="preserve">   decision not to plant that week. v4 offered five that I picked by hand.</t>
        </is>
      </c>
    </row>
    <row r="90">
      <c r="A90" t="inlineStr"/>
    </row>
    <row r="91">
      <c r="A91" s="4" t="inlineStr">
        <is>
          <t>2. IT CHOOSES WHETHER TO PLANT AT ALL.</t>
        </is>
      </c>
    </row>
    <row r="92">
      <c r="A92" t="inlineStr">
        <is>
          <t xml:space="preserve">   The BLUE column is a binary per planting, tied to the acres by two constraints that are</t>
        </is>
      </c>
    </row>
    <row r="93">
      <c r="A93" t="inlineStr">
        <is>
          <t xml:space="preserve">   the app's own C9 and C10:</t>
        </is>
      </c>
    </row>
    <row r="94">
      <c r="A94" t="inlineStr">
        <is>
          <t xml:space="preserve">        acres &lt;= 'max if planted'   you cannot plant acres without deciding to plant</t>
        </is>
      </c>
    </row>
    <row r="95">
      <c r="A95" t="inlineStr">
        <is>
          <t xml:space="preserve">        acres &gt;= 'min if planted'   if you plant at all, you plant a real block</t>
        </is>
      </c>
    </row>
    <row r="96">
      <c r="A96" t="inlineStr">
        <is>
          <t xml:space="preserve">   That is what stops it planting a third of an acre, and it makes this a MILP — which is</t>
        </is>
      </c>
    </row>
    <row r="97">
      <c r="A97" t="inlineStr">
        <is>
          <t xml:space="preserve">   what farm_v2/solver.py is. Its `integrality` array marks the very same y block.</t>
        </is>
      </c>
    </row>
    <row r="98">
      <c r="A98" t="inlineStr"/>
    </row>
    <row r="99">
      <c r="A99" s="3" t="inlineStr">
        <is>
          <t>WHAT THE TWO CHANGES ARE WORTH — measured, and they pull OPPOSITE ways</t>
        </is>
      </c>
    </row>
    <row r="100">
      <c r="A100" t="inlineStr">
        <is>
          <t xml:space="preserve">     v4, five hand-picked plantings          $1,094,831</t>
        </is>
      </c>
    </row>
    <row r="101">
      <c r="A101" t="inlineStr">
        <is>
          <t xml:space="preserve">     v5 without the minimum-acreage rule     $404,238   (39 plantings)</t>
        </is>
      </c>
    </row>
    <row r="102">
      <c r="A102" s="4" t="inlineStr">
        <is>
          <t xml:space="preserve">     v5 as it ships                          $388,786   (31 plantings)</t>
        </is>
      </c>
    </row>
    <row r="103">
      <c r="A103" t="inlineStr"/>
    </row>
    <row r="104">
      <c r="A104" t="inlineStr">
        <is>
          <t>Letting it choose the weeks more than doubles profit. Then the minimum-acreage rule takes</t>
        </is>
      </c>
    </row>
    <row r="105">
      <c r="A105" t="inlineStr">
        <is>
          <t>$15,452 back and drops the plan from 39 plantings to 31, because the</t>
        </is>
      </c>
    </row>
    <row r="106">
      <c r="A106" t="inlineStr">
        <is>
          <t>slivers are gone.</t>
        </is>
      </c>
    </row>
    <row r="107">
      <c r="A107" t="inlineStr"/>
    </row>
    <row r="108">
      <c r="A108" t="inlineStr">
        <is>
          <t>Neither number means anything alone. A fixed calendar UNDERSTATES; a missing minimum</t>
        </is>
      </c>
    </row>
    <row r="109">
      <c r="A109" t="inlineStr">
        <is>
          <t>acreage OVERSTATES. That is why the real model has both, and it is the reason it is a MILP</t>
        </is>
      </c>
    </row>
    <row r="110">
      <c r="A110" t="inlineStr">
        <is>
          <t>rather than a plain LP.</t>
        </is>
      </c>
    </row>
    <row r="111">
      <c r="A111" t="inlineStr"/>
    </row>
    <row r="112">
      <c r="A112" s="3" t="inlineStr">
        <is>
          <t>WHY IT PLANTS SO MANY — this is the finding worth keeping</t>
        </is>
      </c>
    </row>
    <row r="113">
      <c r="A113" t="inlineStr">
        <is>
          <t>31 plantings out of 68, staggered across the season rather than a few big</t>
        </is>
      </c>
    </row>
    <row r="114">
      <c r="A114" t="inlineStr">
        <is>
          <t>blocks. That is SUCCESSION PLANTING, and now you can see why it pays: spreading the harvest</t>
        </is>
      </c>
    </row>
    <row r="115">
      <c r="A115" t="inlineStr">
        <is>
          <t>is what lets you serve a WEEKLY demand cap continuously. Plant it all at once and one huge</t>
        </is>
      </c>
    </row>
    <row r="116">
      <c r="A116" t="inlineStr">
        <is>
          <t>harvest slams into the ceiling, the cooler fills, and the surplus is wasted or dumped cheap.</t>
        </is>
      </c>
    </row>
    <row r="117">
      <c r="A117" t="inlineStr"/>
    </row>
    <row r="118">
      <c r="A118" t="inlineStr">
        <is>
          <t>A model with a fixed planting calendar cannot express the thing the practice exists for.</t>
        </is>
      </c>
    </row>
    <row r="119">
      <c r="A119" t="inlineStr"/>
    </row>
    <row r="120">
      <c r="A120" s="3" t="inlineStr">
        <is>
          <t>!! IT NEEDS LIBREOFFICE, AND THIS ONE IS A REAL MILP</t>
        </is>
      </c>
    </row>
    <row r="121">
      <c r="A121" t="inlineStr">
        <is>
          <t>448 decision cells: 68 acres + 68 binaries + 312 offered. The engine MUST be</t>
        </is>
      </c>
    </row>
    <row r="122">
      <c r="A122" t="inlineStr">
        <is>
          <t>CoinMP — it does branch and bound over the integers. Expect it to take appreciably longer</t>
        </is>
      </c>
    </row>
    <row r="123">
      <c r="A123" t="inlineStr">
        <is>
          <t>than v4; integers are what make an optimizer work for its living.</t>
        </is>
      </c>
    </row>
    <row r="124">
      <c r="A124" t="inlineStr"/>
    </row>
    <row r="125">
      <c r="A125" s="3" t="inlineStr">
        <is>
          <t>WHERE THINGS ARE</t>
        </is>
      </c>
    </row>
    <row r="126">
      <c r="A126" t="inlineStr">
        <is>
          <t xml:space="preserve">  YELLOW   you type: the farm, the crop table, the crop x channel table.</t>
        </is>
      </c>
    </row>
    <row r="127">
      <c r="A127" t="inlineStr">
        <is>
          <t xml:space="preserve">  GREEN    the solver writes: the ACRES column (C38:C105), the six OFFERED rows, and</t>
        </is>
      </c>
    </row>
    <row r="128">
      <c r="A128" t="inlineStr">
        <is>
          <t xml:space="preserve">           the PROFIT cell (B262).</t>
        </is>
      </c>
    </row>
    <row r="129">
      <c r="A129" t="inlineStr">
        <is>
          <t xml:space="preserve">  BLUE     the solver writes: the PLANT? binaries (D38:D105).</t>
        </is>
      </c>
    </row>
    <row r="130">
      <c r="A130" t="inlineStr">
        <is>
          <t xml:space="preserve">  Everything else is a formula. Columns A-D stay put when you scroll right.</t>
        </is>
      </c>
    </row>
    <row r="131">
      <c r="A131" t="inlineStr"/>
    </row>
    <row r="132">
      <c r="A132" s="3" t="inlineStr">
        <is>
          <t>HOW TO RUN IT</t>
        </is>
      </c>
    </row>
    <row r="133">
      <c r="A133" t="inlineStr">
        <is>
          <t>Section 7 lists every entry with exact ranges. In short:</t>
        </is>
      </c>
    </row>
    <row r="134">
      <c r="A134" t="inlineStr">
        <is>
          <t xml:space="preserve">   Tools &gt; Solver, target the PROFIT cell, set to MAXIMUM</t>
        </is>
      </c>
    </row>
    <row r="135">
      <c r="A135" t="inlineStr">
        <is>
          <t xml:space="preserve">   Changing cells: C38:C105 and D38:D105 together, plus the six OFFERED rows</t>
        </is>
      </c>
    </row>
    <row r="136">
      <c r="A136" t="inlineStr">
        <is>
          <t xml:space="preserve">   Add the constraint  D38:D105 = Binary   — without it the binaries are just numbers</t>
        </is>
      </c>
    </row>
    <row r="137">
      <c r="A137" t="inlineStr">
        <is>
          <t xml:space="preserve">   and the minimum-acreage rule silently stops working</t>
        </is>
      </c>
    </row>
    <row r="138">
      <c r="A138" t="inlineStr">
        <is>
          <t xml:space="preserve">   Options: engine = LibreOffice CoinMP Linear Solver; tick non-negative</t>
        </is>
      </c>
    </row>
    <row r="139">
      <c r="A139" t="inlineStr"/>
    </row>
    <row r="140">
      <c r="A140" s="3" t="inlineStr">
        <is>
          <t>WHAT IT SHOULD FIND</t>
        </is>
      </c>
    </row>
    <row r="141">
      <c r="A141" s="4" t="inlineStr">
        <is>
          <t xml:space="preserve">     PROFIT   $388,786       net margin 20.3%</t>
        </is>
      </c>
    </row>
    <row r="142">
      <c r="A142" t="inlineStr">
        <is>
          <t xml:space="preserve">       revenue      $1,912,071</t>
        </is>
      </c>
    </row>
    <row r="143">
      <c r="A143" t="inlineStr">
        <is>
          <t xml:space="preserve">       growing      $141,302      seed at planting + fertiliser and fuel in the ground</t>
        </is>
      </c>
    </row>
    <row r="144">
      <c r="A144" t="inlineStr">
        <is>
          <t xml:space="preserve">       packaging    $147,003      per lb sold, in the week of sale</t>
        </is>
      </c>
    </row>
    <row r="145">
      <c r="A145" t="inlineStr">
        <is>
          <t xml:space="preserve">       fixed        $73,514      $1,414 a week, owed whether or not you plant</t>
        </is>
      </c>
    </row>
    <row r="146">
      <c r="A146" t="inlineStr">
        <is>
          <t xml:space="preserve">       overhead     $305,931      a share of revenue</t>
        </is>
      </c>
    </row>
    <row r="147">
      <c r="A147" t="inlineStr">
        <is>
          <t xml:space="preserve">       wages        $855,150      committed — owed whether the crops need the hours or not</t>
        </is>
      </c>
    </row>
    <row r="148">
      <c r="A148" t="inlineStr">
        <is>
          <t xml:space="preserve">       interest     $384          APR on what the credit line actually carries</t>
        </is>
      </c>
    </row>
    <row r="149">
      <c r="A149" t="inlineStr">
        <is>
          <t xml:space="preserve">     peak borrowing $46,095 — the deepest the line is ever drawn</t>
        </is>
      </c>
    </row>
    <row r="150">
      <c r="A150" t="inlineStr">
        <is>
          <t xml:space="preserve">       interest     $384          on $46,095 of peak borrowing — reported, not optimised over</t>
        </is>
      </c>
    </row>
    <row r="151">
      <c r="A151" s="4" t="inlineStr">
        <is>
          <t xml:space="preserve">     31 of 68 plantings used</t>
        </is>
      </c>
    </row>
    <row r="152">
      <c r="A152" t="inlineStr"/>
    </row>
    <row r="153">
      <c r="A153" t="inlineStr">
        <is>
          <t>Computed by solving the same MILP with scipy.milp — the same HiGHS solver your app runs. A</t>
        </is>
      </c>
    </row>
    <row r="154">
      <c r="A154" t="inlineStr">
        <is>
          <t>few dollars apart is tolerances. Materially different means one of the two models is not the</t>
        </is>
      </c>
    </row>
    <row r="155">
      <c r="A155" t="inlineStr">
        <is>
          <t>model we think it is.</t>
        </is>
      </c>
    </row>
    <row r="156">
      <c r="A156" t="inlineStr"/>
    </row>
    <row r="157">
      <c r="A157" s="3" t="inlineStr">
        <is>
          <t>WHAT SELL-THROUGH IS, AND WHY IT SHIPS AT 1.00</t>
        </is>
      </c>
    </row>
    <row r="158">
      <c r="A158" t="inlineStr">
        <is>
          <t>Every 'Sell-through' in section 3 is 1.00, matching the app since 30 Aug. The 85% it used to</t>
        </is>
      </c>
    </row>
    <row r="159">
      <c r="A159" t="inlineStr">
        <is>
          <t>carry had no source, and it was being charged on channels where a purchase order exists and</t>
        </is>
      </c>
    </row>
    <row r="160">
      <c r="A160" t="inlineStr">
        <is>
          <t>nothing goes unsold. So the market-loss and returned-to-store rows all read ZERO right now.</t>
        </is>
      </c>
    </row>
    <row r="161">
      <c r="A161" t="inlineStr">
        <is>
          <t>That is correct, not broken.</t>
        </is>
      </c>
    </row>
    <row r="162">
      <c r="A162" t="inlineStr"/>
    </row>
    <row r="163">
      <c r="A163" t="inlineStr">
        <is>
          <t>The narrow definition it now carries:</t>
        </is>
      </c>
    </row>
    <row r="164">
      <c r="A164" t="inlineStr"/>
    </row>
    <row r="165">
      <c r="A165" s="4" t="inlineStr">
        <is>
          <t xml:space="preserve">     Of what you TAKE TO MARKET, the share that converts to cash — display attrition at a</t>
        </is>
      </c>
    </row>
    <row r="166">
      <c r="A166" s="4" t="inlineStr">
        <is>
          <t xml:space="preserve">     stall, samples, transit damage, a rejected load.</t>
        </is>
      </c>
    </row>
    <row r="167">
      <c r="A167" t="inlineStr"/>
    </row>
    <row r="168">
      <c r="A168" t="inlineStr">
        <is>
          <t>NOT grade-out at harvest (that is pack-out, above the store). NOT spoilage in the store (that</t>
        </is>
      </c>
    </row>
    <row r="169">
      <c r="A169" t="inlineStr">
        <is>
          <t>is shrink). And NOT demand uncertainty — which is the one worth understanding, because it is</t>
        </is>
      </c>
    </row>
    <row r="170">
      <c r="A170" t="inlineStr">
        <is>
          <t>why the old wording could not be right:</t>
        </is>
      </c>
    </row>
    <row r="171">
      <c r="A171" t="inlineStr"/>
    </row>
    <row r="172">
      <c r="A172" t="inlineStr">
        <is>
          <t xml:space="preserve">     The demand ceiling is HARD. At a 6,000 lb cap and 0.85, selling 6,000 means bringing</t>
        </is>
      </c>
    </row>
    <row r="173">
      <c r="A173" t="inlineStr">
        <is>
          <t xml:space="preserve">     7,059 and losing 1,059 — every week, including the best Saturday of the year, because</t>
        </is>
      </c>
    </row>
    <row r="174">
      <c r="A174" t="inlineStr">
        <is>
          <t xml:space="preserve">     the model will never let you sell 6,001. That is the whole downside of bringing extra</t>
        </is>
      </c>
    </row>
    <row r="175">
      <c r="A175" t="inlineStr">
        <is>
          <t xml:space="preserve">     with none of the upside. It is not a model of uncertainty; it is a one-sided penalty.</t>
        </is>
      </c>
    </row>
    <row r="176">
      <c r="A176" t="inlineStr"/>
    </row>
    <row r="177">
      <c r="A177" t="inlineStr">
        <is>
          <t>So what it CAN mean is a display requirement: a picked-over stall sells less than a full one,</t>
        </is>
      </c>
    </row>
    <row r="178">
      <c r="A178" t="inlineStr">
        <is>
          <t>so moving 6,000 lb needs more than 6,000 lb on the table. Deterministic, and an input</t>
        </is>
      </c>
    </row>
    <row r="179">
      <c r="A179" t="inlineStr">
        <is>
          <t>requirement like seed. Real demand variance is a different problem (newsvendor) needing</t>
        </is>
      </c>
    </row>
    <row r="180">
      <c r="A180" t="inlineStr">
        <is>
          <t>machinery neither this sheet nor the app has yet.</t>
        </is>
      </c>
    </row>
    <row r="181">
      <c r="A181" t="inlineStr"/>
    </row>
    <row r="182">
      <c r="A182" s="3" t="inlineStr">
        <is>
          <t>THREE THINGS TO TRY</t>
        </is>
      </c>
    </row>
    <row r="183">
      <c r="A183" t="inlineStr"/>
    </row>
    <row r="184">
      <c r="A184" s="4" t="inlineStr">
        <is>
          <t>EXPERIMENT 1 — switch sell-through on, and watch the crop decide what happens.</t>
        </is>
      </c>
    </row>
    <row r="185">
      <c r="A185" s="4" t="inlineStr">
        <is>
          <t xml:space="preserve">   In section 3 set Spinach / {CH1} sell-through to 0.85, and Garlic / {CH1} to 0.85 too.</t>
        </is>
      </c>
    </row>
    <row r="186">
      <c r="A186" s="4" t="inlineStr">
        <is>
          <t xml:space="preserve">   Re-solve.</t>
        </is>
      </c>
    </row>
    <row r="187">
      <c r="A187" t="inlineStr">
        <is>
          <t xml:space="preserve">   Both now offer more than they sell. But look at the two 'market loss' rows: Spinach's is</t>
        </is>
      </c>
    </row>
    <row r="188">
      <c r="A188" t="inlineStr">
        <is>
          <t xml:space="preserve">   positive and Garlic's is ZERO, because garlic's 'Returns to store' is 1.00 — unsold garlic</t>
        </is>
      </c>
    </row>
    <row r="189">
      <c r="A189" t="inlineStr">
        <is>
          <t xml:space="preserve">   comes home and sells later, so the loss is a DELAY, not a loss.</t>
        </is>
      </c>
    </row>
    <row r="190">
      <c r="A190" t="inlineStr">
        <is>
          <t xml:space="preserve">   That is the grower's ruling in two cells: the same sell-through means different things on</t>
        </is>
      </c>
    </row>
    <row r="191">
      <c r="A191" t="inlineStr">
        <is>
          <t xml:space="preserve">   different crops, which is why it belongs on the crop x channel row and not on either one</t>
        </is>
      </c>
    </row>
    <row r="192">
      <c r="A192" t="inlineStr">
        <is>
          <t xml:space="preserve">   alone. Now set Garlic's 'Returns to store' to 0.00 and re-solve: the delay becomes a loss</t>
        </is>
      </c>
    </row>
    <row r="193">
      <c r="A193" t="inlineStr">
        <is>
          <t xml:space="preserve">   and the plan changes.</t>
        </is>
      </c>
    </row>
    <row r="194">
      <c r="A194" t="inlineStr"/>
    </row>
    <row r="195">
      <c r="A195" s="4" t="inlineStr">
        <is>
          <t>EXPERIMENT 2 — sack the harvest crew.  Set the Harvest Crew count to 0 and re-solve.</t>
        </is>
      </c>
    </row>
    <row r="196">
      <c r="A196" t="inlineStr">
        <is>
          <t xml:space="preserve">   You save their whole wage bill. Watch what happens to profit anyway: with fewer hours in</t>
        </is>
      </c>
    </row>
    <row r="197">
      <c r="A197" t="inlineStr">
        <is>
          <t xml:space="preserve">   weeks 14-40 the crops that need picking most cannot be picked, and revenue falls further</t>
        </is>
      </c>
    </row>
    <row r="198">
      <c r="A198" t="inlineStr">
        <is>
          <t xml:space="preserve">   than the wages saved. Then try the opposite — double their count — and watch profit rise</t>
        </is>
      </c>
    </row>
    <row r="199">
      <c r="A199" t="inlineStr">
        <is>
          <t xml:space="preserve">   even though payroll rose too. That is the trade a per-acre labour charge cannot express,</t>
        </is>
      </c>
    </row>
    <row r="200">
      <c r="A200" t="inlineStr">
        <is>
          <t xml:space="preserve">   and it is why the app rations hours with a constraint rather than pricing them.</t>
        </is>
      </c>
    </row>
    <row r="201">
      <c r="A201" t="inlineStr"/>
    </row>
    <row r="202">
      <c r="A202" s="4" t="inlineStr">
        <is>
          <t>EXPERIMENT 3 — squeeze the cash.  Set the credit line to 10,000 and opening cash to 10,000,</t>
        </is>
      </c>
    </row>
    <row r="203">
      <c r="A203" s="4" t="inlineStr">
        <is>
          <t xml:space="preserve">   then re-solve.</t>
        </is>
      </c>
    </row>
    <row r="204">
      <c r="A204" t="inlineStr">
        <is>
          <t xml:space="preserve">   Below about $100,000 combined there is no feasible plan at all — see above. Just above</t>
        </is>
      </c>
    </row>
    <row r="205">
      <c r="A205" t="inlineStr">
        <is>
          <t xml:space="preserve">   it, watch WHICH plantings the floor drops: not the least profitable ones, but</t>
        </is>
      </c>
    </row>
    <row r="206">
      <c r="A206" t="inlineStr">
        <is>
          <t xml:space="preserve">   the ones whose costs land earliest relative to their revenue. Garlic goes in around week</t>
        </is>
      </c>
    </row>
    <row r="207">
      <c r="A207" t="inlineStr">
        <is>
          <t xml:space="preserve">   47 and is not sold until week 30 of the following year — nine months of money out before</t>
        </is>
      </c>
    </row>
    <row r="208">
      <c r="A208" t="inlineStr">
        <is>
          <t xml:space="preserve">   a dollar comes back. Cash does not rank crops by margin; it ranks them by TIMING, which no</t>
        </is>
      </c>
    </row>
    <row r="209">
      <c r="A209" t="inlineStr">
        <is>
          <t xml:space="preserve">   column on this sheet shows you.</t>
        </is>
      </c>
    </row>
    <row r="210">
      <c r="A210" t="inlineStr"/>
    </row>
    <row r="211">
      <c r="A211" s="4" t="inlineStr">
        <is>
          <t>EXPERIMENT 4 — drop the minimum acreage.  Set every 'Min acres if planted' in the crop</t>
        </is>
      </c>
    </row>
    <row r="212">
      <c r="A212" s="4" t="inlineStr">
        <is>
          <t xml:space="preserve">   table to 0 and re-solve.</t>
        </is>
      </c>
    </row>
    <row r="213">
      <c r="A213" t="inlineStr">
        <is>
          <t xml:space="preserve">   Expect $404,238 and 39 plantings. The extra profit is real but the plan is</t>
        </is>
      </c>
    </row>
    <row r="214">
      <c r="A214" t="inlineStr">
        <is>
          <t xml:space="preserve">   not: it plants fractions of an acre no one would drive a tractor out for. This is what</t>
        </is>
      </c>
    </row>
    <row r="215">
      <c r="A215" t="inlineStr">
        <is>
          <t xml:space="preserve">   the binaries are FOR, and it is why the app carries them.</t>
        </is>
      </c>
    </row>
    <row r="216">
      <c r="A216" t="inlineStr"/>
    </row>
    <row r="217">
      <c r="A217" s="4" t="inlineStr">
        <is>
          <t>EXPERIMENT 5 — take away the cooler.  Set the cold store to 40 m3 and re-solve.</t>
        </is>
      </c>
    </row>
    <row r="218">
      <c r="A218" t="inlineStr">
        <is>
          <t xml:space="preserve">   Watch WHICH WEEKS it abandons, not just which crop. With a full calendar it can retreat</t>
        </is>
      </c>
    </row>
    <row r="219">
      <c r="A219" t="inlineStr">
        <is>
          <t xml:space="preserve">   to a planting pattern that keeps the cooler under its ceiling — an answer v4 could not</t>
        </is>
      </c>
    </row>
    <row r="220">
      <c r="A220" t="inlineStr">
        <is>
          <t xml:space="preserve">   even represent.</t>
        </is>
      </c>
    </row>
    <row r="221">
      <c r="A221" t="inlineStr"/>
    </row>
    <row r="222">
      <c r="A222" s="3" t="inlineStr">
        <is>
          <t>WHAT v5 STILL DOES NOT CARRY</t>
        </is>
      </c>
    </row>
    <row r="223">
      <c r="A223" t="inlineStr">
        <is>
          <t xml:space="preserve">  - Costs are seed/transplant per acre ONLY: no labour, water, packaging, storage, overhead.</t>
        </is>
      </c>
    </row>
    <row r="224">
      <c r="A224" t="inlineStr">
        <is>
          <t xml:space="preserve">    Profit is therefore far too high. The cash layer is next.</t>
        </is>
      </c>
    </row>
    <row r="225">
      <c r="A225" t="inlineStr">
        <is>
          <t xml:space="preserve">  - No cash-flow constraint, so it can spend money it does not have.</t>
        </is>
      </c>
    </row>
    <row r="226">
      <c r="A226" t="inlineStr">
        <is>
          <t xml:space="preserve">  - Shelf life IS enforced now (a real constraint since you found it dead). Shrink is wired</t>
        </is>
      </c>
    </row>
    <row r="227">
      <c r="A227" t="inlineStr">
        <is>
          <t xml:space="preserve">    too, but defaults to 0%, so it stays invisible until you set it.</t>
        </is>
      </c>
    </row>
    <row r="228">
      <c r="A228" t="inlineStr">
        <is>
          <t xml:space="preserve">  - No water, labour, diversity or throughput limits.</t>
        </is>
      </c>
    </row>
    <row r="229">
      <c r="A229" t="inlineStr">
        <is>
          <t xml:space="preserve">  - Three crops, not seven.</t>
        </is>
      </c>
    </row>
    <row r="230">
      <c r="A230" t="inlineStr"/>
    </row>
    <row r="231">
      <c r="A231" s="3" t="inlineStr">
        <is>
          <t>!! THE SCALE WARNING</t>
        </is>
      </c>
    </row>
    <row r="232">
      <c r="A232" t="inlineStr">
        <is>
          <t>An optimizer's answer is far more scale-sensitive than a calculator's: which constraint binds,</t>
        </is>
      </c>
    </row>
    <row r="233">
      <c r="A233" t="inlineStr">
        <is>
          <t>and therefore which crop and which WEEK wins, can invert between 3 crops and 7. This teaches</t>
        </is>
      </c>
    </row>
    <row r="234">
      <c r="A234" t="inlineStr">
        <is>
          <t>the machinery. It is not advice about your farm.</t>
        </is>
      </c>
    </row>
    <row r="235">
      <c r="A235" t="inlineStr"/>
    </row>
    <row r="236">
      <c r="A236" s="3" t="inlineStr">
        <is>
          <t>HAS THIS SHEET BEEN CHECKED?</t>
        </is>
      </c>
    </row>
    <row r="237">
      <c r="A237" t="inlineStr">
        <is>
          <t>Yes. Crop data, the calendar and the demand caps are read from the app. The formulas are</t>
        </is>
      </c>
    </row>
    <row r="238">
      <c r="A238" t="inlineStr">
        <is>
          <t>calculated by an engine and compared cell by cell against an independent model under three</t>
        </is>
      </c>
    </row>
    <row r="239">
      <c r="A239" t="inlineStr">
        <is>
          <t>configurations. Every input is perturbed to prove it propagates. No number is frozen. And the</t>
        </is>
      </c>
    </row>
    <row r="240">
      <c r="A240" t="inlineStr">
        <is>
          <t>same MILP is solved with scipy.milp, its answer written into the decision cells, and the</t>
        </is>
      </c>
    </row>
    <row r="241">
      <c r="A241" t="inlineStr">
        <is>
          <t>sheet's own PROFIT cell must reproduce the optimum exactly.</t>
        </is>
      </c>
    </row>
    <row r="242">
      <c r="A242" t="inlineStr">
        <is>
          <t xml:space="preserve">     Run it yourself:   .venv/bin/python toy_models/verify_toy_v7.py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92"/>
  <sheetViews>
    <sheetView workbookViewId="0">
      <pane xSplit="4" topLeftCell="E1" activePane="topRight" state="frozen"/>
      <selection pane="topRight" activeCell="A1" sqref="A1"/>
    </sheetView>
  </sheetViews>
  <sheetFormatPr baseColWidth="8" defaultRowHeight="15"/>
  <cols>
    <col width="30" customWidth="1" min="1" max="1"/>
    <col width="14" customWidth="1" min="2" max="2"/>
    <col width="8" customWidth="1" min="3" max="3"/>
    <col width="6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  <col width="7.5" customWidth="1" min="52" max="52"/>
    <col width="7.5" customWidth="1" min="53" max="53"/>
    <col width="7.5" customWidth="1" min="54" max="54"/>
    <col width="7.5" customWidth="1" min="55" max="55"/>
    <col width="7.5" customWidth="1" min="56" max="56"/>
    <col width="11" customWidth="1" min="57" max="57"/>
    <col width="11" customWidth="1" min="58" max="58"/>
    <col width="11" customWidth="1" min="59" max="59"/>
  </cols>
  <sheetData>
    <row r="1">
      <c r="A1" s="1" t="inlineStr">
        <is>
          <t>FARM TOY MODEL — v7: labour</t>
        </is>
      </c>
      <c r="D1" s="2" t="inlineStr">
        <is>
          <t>BUILT 2026-08-30 20:30   (from source at e35ca18)</t>
        </is>
      </c>
    </row>
    <row r="2">
      <c r="A2" s="2" t="inlineStr">
        <is>
          <t>YELLOW = you type.  GREEN = the solver writes.  BLUE = the solver's plant/don't-plant switches.  Read the 'READ ME' sheet first.</t>
        </is>
      </c>
    </row>
    <row r="4">
      <c r="A4" s="3" t="inlineStr">
        <is>
          <t>1 — THE FARM</t>
        </is>
      </c>
    </row>
    <row r="5">
      <c r="A5" s="4" t="inlineStr">
        <is>
          <t>Land you have</t>
        </is>
      </c>
      <c r="B5" s="5" t="n">
        <v>80</v>
      </c>
      <c r="C5" s="2" t="inlineStr">
        <is>
          <t>acres</t>
        </is>
      </c>
    </row>
    <row r="6">
      <c r="A6" s="4" t="inlineStr">
        <is>
          <t>Cold store (cooler)</t>
        </is>
      </c>
      <c r="B6" s="6" t="n">
        <v>275</v>
      </c>
      <c r="C6" s="2" t="inlineStr">
        <is>
          <t>m3 — Spinach, Kale</t>
        </is>
      </c>
    </row>
    <row r="7">
      <c r="A7" s="4" t="inlineStr">
        <is>
          <t>Ambient store (barn)</t>
        </is>
      </c>
      <c r="B7" s="6" t="n">
        <v>150</v>
      </c>
      <c r="C7" s="2" t="inlineStr">
        <is>
          <t>m3 — Garlic</t>
        </is>
      </c>
    </row>
    <row r="9">
      <c r="A9" s="3" t="inlineStr">
        <is>
          <t>2 — HOW EACH CROP BEHAVES</t>
        </is>
      </c>
    </row>
    <row r="10">
      <c r="A10" s="7" t="inlineStr">
        <is>
          <t>Crop</t>
        </is>
      </c>
      <c r="B10" s="7" t="inlineStr">
        <is>
          <t>Yield lb/acre</t>
        </is>
      </c>
      <c r="C10" s="7" t="inlineStr">
        <is>
          <t>Pack-out</t>
        </is>
      </c>
      <c r="D10" s="7" t="inlineStr">
        <is>
          <t>m3 per lb</t>
        </is>
      </c>
      <c r="E10" s="7" t="inlineStr">
        <is>
          <t>Store</t>
        </is>
      </c>
      <c r="F10" s="7" t="inlineStr">
        <is>
          <t>Shelf life wk</t>
        </is>
      </c>
      <c r="G10" s="7" t="inlineStr">
        <is>
          <t>Shrink %/wk</t>
        </is>
      </c>
      <c r="H10" s="7" t="inlineStr">
        <is>
          <t>Seed $/acre</t>
        </is>
      </c>
      <c r="I10" s="7" t="inlineStr">
        <is>
          <t>Min acres if planted</t>
        </is>
      </c>
      <c r="J10" s="7" t="inlineStr">
        <is>
          <t>Harvest weeks</t>
        </is>
      </c>
      <c r="K10" s="7" t="inlineStr">
        <is>
          <t>$/ac plant wk</t>
        </is>
      </c>
      <c r="L10" s="7" t="inlineStr">
        <is>
          <t>$/ac grow wk</t>
        </is>
      </c>
      <c r="M10" s="7" t="inlineStr">
        <is>
          <t>$/ac harvest wk</t>
        </is>
      </c>
      <c r="N10" s="7" t="inlineStr">
        <is>
          <t>hrs/ac plant</t>
        </is>
      </c>
      <c r="O10" s="7" t="inlineStr">
        <is>
          <t>hrs/ac grow</t>
        </is>
      </c>
      <c r="P10" s="7" t="inlineStr">
        <is>
          <t>hrs/ac harvest</t>
        </is>
      </c>
    </row>
    <row r="11">
      <c r="A11" s="8" t="inlineStr">
        <is>
          <t>Spinach</t>
        </is>
      </c>
      <c r="B11" s="6" t="n">
        <v>5000</v>
      </c>
      <c r="C11" s="9" t="n">
        <v>1</v>
      </c>
      <c r="D11" s="10" t="n">
        <v>0.002197967741935484</v>
      </c>
      <c r="E11" s="11" t="inlineStr">
        <is>
          <t>Cold</t>
        </is>
      </c>
      <c r="F11" s="12" t="n">
        <v>2</v>
      </c>
      <c r="G11" s="13" t="n">
        <v>0</v>
      </c>
      <c r="H11" s="14" t="n">
        <v>280</v>
      </c>
      <c r="I11" s="5" t="n">
        <v>2</v>
      </c>
      <c r="J11" s="15">
        <f>COUNTIF($E$38:$BD$38,"H")</f>
        <v/>
      </c>
      <c r="K11" s="16" t="n">
        <v>33.895</v>
      </c>
      <c r="L11" s="16" t="n">
        <v>13.32</v>
      </c>
      <c r="M11" s="16" t="n">
        <v>11.285</v>
      </c>
      <c r="N11" s="5" t="n">
        <v>2</v>
      </c>
      <c r="O11" s="5" t="n">
        <v>4</v>
      </c>
      <c r="P11" s="5" t="n">
        <v>50</v>
      </c>
    </row>
    <row r="12">
      <c r="A12" s="8" t="inlineStr">
        <is>
          <t>Kale</t>
        </is>
      </c>
      <c r="B12" s="6" t="n">
        <v>8000</v>
      </c>
      <c r="C12" s="9" t="n">
        <v>1</v>
      </c>
      <c r="D12" s="10" t="n">
        <v>0.003785388888888889</v>
      </c>
      <c r="E12" s="11" t="inlineStr">
        <is>
          <t>Cold</t>
        </is>
      </c>
      <c r="F12" s="12" t="n">
        <v>2</v>
      </c>
      <c r="G12" s="13" t="n">
        <v>0</v>
      </c>
      <c r="H12" s="14" t="n">
        <v>1089</v>
      </c>
      <c r="I12" s="5" t="n">
        <v>2</v>
      </c>
      <c r="J12" s="15">
        <f>COUNTIF($E$73:$BD$73,"H")</f>
        <v/>
      </c>
      <c r="K12" s="16" t="n">
        <v>46.64</v>
      </c>
      <c r="L12" s="16" t="n">
        <v>11.469</v>
      </c>
      <c r="M12" s="16" t="n">
        <v>10.08</v>
      </c>
      <c r="N12" s="5" t="n">
        <v>3</v>
      </c>
      <c r="O12" s="5" t="n">
        <v>2.5</v>
      </c>
      <c r="P12" s="5" t="n">
        <v>22</v>
      </c>
    </row>
    <row r="13">
      <c r="A13" s="8" t="inlineStr">
        <is>
          <t>Garlic</t>
        </is>
      </c>
      <c r="B13" s="6" t="n">
        <v>10000</v>
      </c>
      <c r="C13" s="9" t="n">
        <v>1</v>
      </c>
      <c r="D13" s="10" t="n">
        <v>0.001195385964912281</v>
      </c>
      <c r="E13" s="17" t="inlineStr">
        <is>
          <t>Ambient</t>
        </is>
      </c>
      <c r="F13" s="12" t="n">
        <v>16</v>
      </c>
      <c r="G13" s="13" t="n">
        <v>0</v>
      </c>
      <c r="H13" s="14" t="n">
        <v>2500</v>
      </c>
      <c r="I13" s="5" t="n">
        <v>2</v>
      </c>
      <c r="J13" s="15">
        <f>COUNTIF($E$103:$BD$103,"H")</f>
        <v/>
      </c>
      <c r="K13" s="16" t="n">
        <v>19.4194</v>
      </c>
      <c r="L13" s="16" t="n">
        <v>4.1688</v>
      </c>
      <c r="M13" s="16" t="n">
        <v>19.75</v>
      </c>
      <c r="N13" s="5" t="n">
        <v>6.7</v>
      </c>
      <c r="O13" s="5" t="n">
        <v>0.3</v>
      </c>
      <c r="P13" s="5" t="n">
        <v>75</v>
      </c>
    </row>
    <row r="14">
      <c r="A14" s="2" t="inlineStr">
        <is>
          <t>'Min acres if planted' is what the plant/don't-plant switch enforces — see section 4.</t>
        </is>
      </c>
    </row>
    <row r="16">
      <c r="A16" s="3" t="inlineStr">
        <is>
          <t>3 — WHO BUYS IT   (one row per crop x channel — the grower's ruling)</t>
        </is>
      </c>
    </row>
    <row r="17">
      <c r="A17" s="7" t="inlineStr">
        <is>
          <t>Crop</t>
        </is>
      </c>
      <c r="B17" s="7" t="inlineStr">
        <is>
          <t>Channel</t>
        </is>
      </c>
      <c r="C17" s="7" t="inlineStr">
        <is>
          <t>Cap type</t>
        </is>
      </c>
      <c r="D17" s="7" t="inlineStr">
        <is>
          <t>Cap lb</t>
        </is>
      </c>
      <c r="E17" s="7" t="inlineStr">
        <is>
          <t>From wk</t>
        </is>
      </c>
      <c r="F17" s="7" t="inlineStr">
        <is>
          <t>To wk</t>
        </is>
      </c>
      <c r="G17" s="7" t="inlineStr">
        <is>
          <t>Sell-through</t>
        </is>
      </c>
      <c r="H17" s="7" t="inlineStr">
        <is>
          <t>Returns to store</t>
        </is>
      </c>
      <c r="I17" s="7" t="inlineStr">
        <is>
          <t>Price $/lb</t>
        </is>
      </c>
      <c r="J17" s="7" t="inlineStr">
        <is>
          <t>Packaging $/lb</t>
        </is>
      </c>
    </row>
    <row r="18">
      <c r="A18" s="8" t="inlineStr">
        <is>
          <t>Spinach</t>
        </is>
      </c>
      <c r="B18" s="18" t="inlineStr">
        <is>
          <t>Farmers Market</t>
        </is>
      </c>
      <c r="C18" s="12" t="inlineStr">
        <is>
          <t>Weekly</t>
        </is>
      </c>
      <c r="D18" s="6" t="n">
        <v>6000</v>
      </c>
      <c r="E18" s="12" t="n">
        <v>10</v>
      </c>
      <c r="F18" s="12" t="n">
        <v>48</v>
      </c>
      <c r="G18" s="9" t="n">
        <v>1</v>
      </c>
      <c r="H18" s="9" t="n">
        <v>0</v>
      </c>
      <c r="I18" s="16" t="n">
        <v>2.75</v>
      </c>
      <c r="J18" s="16" t="n">
        <v>0.18</v>
      </c>
    </row>
    <row r="19">
      <c r="A19" s="8" t="inlineStr">
        <is>
          <t>Spinach</t>
        </is>
      </c>
      <c r="B19" s="19" t="inlineStr">
        <is>
          <t>Wholesale</t>
        </is>
      </c>
      <c r="C19" s="12" t="inlineStr">
        <is>
          <t>Weekly</t>
        </is>
      </c>
      <c r="D19" s="6" t="n">
        <v>25000</v>
      </c>
      <c r="E19" s="12" t="n">
        <v>1</v>
      </c>
      <c r="F19" s="12" t="n">
        <v>52</v>
      </c>
      <c r="G19" s="9" t="n">
        <v>1</v>
      </c>
      <c r="H19" s="9" t="n">
        <v>0</v>
      </c>
      <c r="I19" s="16" t="n">
        <v>1</v>
      </c>
      <c r="J19" s="16" t="n">
        <v>0.09</v>
      </c>
    </row>
    <row r="20">
      <c r="A20" s="8" t="inlineStr">
        <is>
          <t>Kale</t>
        </is>
      </c>
      <c r="B20" s="18" t="inlineStr">
        <is>
          <t>Farmers Market</t>
        </is>
      </c>
      <c r="C20" s="12" t="inlineStr">
        <is>
          <t>Weekly</t>
        </is>
      </c>
      <c r="D20" s="6" t="n">
        <v>3500</v>
      </c>
      <c r="E20" s="12" t="n">
        <v>10</v>
      </c>
      <c r="F20" s="12" t="n">
        <v>50</v>
      </c>
      <c r="G20" s="9" t="n">
        <v>1</v>
      </c>
      <c r="H20" s="9" t="n">
        <v>0</v>
      </c>
      <c r="I20" s="16" t="n">
        <v>2</v>
      </c>
      <c r="J20" s="16" t="n">
        <v>0.14</v>
      </c>
    </row>
    <row r="21">
      <c r="A21" s="8" t="inlineStr">
        <is>
          <t>Kale</t>
        </is>
      </c>
      <c r="B21" s="19" t="inlineStr">
        <is>
          <t>Wholesale</t>
        </is>
      </c>
      <c r="C21" s="12" t="inlineStr">
        <is>
          <t>Annual</t>
        </is>
      </c>
      <c r="D21" s="6" t="n">
        <v>500000</v>
      </c>
      <c r="E21" s="12" t="n">
        <v>1</v>
      </c>
      <c r="F21" s="12" t="n">
        <v>52</v>
      </c>
      <c r="G21" s="9" t="n">
        <v>1</v>
      </c>
      <c r="H21" s="9" t="n">
        <v>0</v>
      </c>
      <c r="I21" s="16" t="n">
        <v>0.7</v>
      </c>
      <c r="J21" s="16" t="n">
        <v>0.07000000000000001</v>
      </c>
    </row>
    <row r="22">
      <c r="A22" s="8" t="inlineStr">
        <is>
          <t>Garlic</t>
        </is>
      </c>
      <c r="B22" s="18" t="inlineStr">
        <is>
          <t>Farmers Market</t>
        </is>
      </c>
      <c r="C22" s="12" t="inlineStr">
        <is>
          <t>Weekly</t>
        </is>
      </c>
      <c r="D22" s="6" t="n">
        <v>2000</v>
      </c>
      <c r="E22" s="12" t="n">
        <v>22</v>
      </c>
      <c r="F22" s="12" t="n">
        <v>35</v>
      </c>
      <c r="G22" s="9" t="n">
        <v>1</v>
      </c>
      <c r="H22" s="9" t="n">
        <v>1</v>
      </c>
      <c r="I22" s="16" t="n">
        <v>6</v>
      </c>
      <c r="J22" s="16" t="n">
        <v>0.4</v>
      </c>
    </row>
    <row r="23">
      <c r="A23" s="8" t="inlineStr">
        <is>
          <t>Garlic</t>
        </is>
      </c>
      <c r="B23" s="19" t="inlineStr">
        <is>
          <t>Wholesale</t>
        </is>
      </c>
      <c r="C23" s="12" t="inlineStr">
        <is>
          <t>Weekly</t>
        </is>
      </c>
      <c r="D23" s="6" t="n">
        <v>30000</v>
      </c>
      <c r="E23" s="12" t="n">
        <v>1</v>
      </c>
      <c r="F23" s="12" t="n">
        <v>52</v>
      </c>
      <c r="G23" s="9" t="n">
        <v>1</v>
      </c>
      <c r="H23" s="9" t="n">
        <v>0</v>
      </c>
      <c r="I23" s="16" t="n">
        <v>2.75</v>
      </c>
      <c r="J23" s="16" t="n">
        <v>0.2</v>
      </c>
    </row>
    <row r="25">
      <c r="A25" s="3" t="inlineStr">
        <is>
          <t>3b — THE CREW</t>
        </is>
      </c>
    </row>
    <row r="26">
      <c r="A26" s="7" t="inlineStr">
        <is>
          <t>Position</t>
        </is>
      </c>
      <c r="B26" s="7" t="inlineStr">
        <is>
          <t>Count</t>
        </is>
      </c>
      <c r="C26" s="7" t="inlineStr">
        <is>
          <t>Type</t>
        </is>
      </c>
      <c r="D26" s="7" t="inlineStr">
        <is>
          <t>Wage</t>
        </is>
      </c>
      <c r="E26" s="7" t="inlineStr">
        <is>
          <t>Hours/wk</t>
        </is>
      </c>
      <c r="F26" s="7" t="inlineStr">
        <is>
          <t>Field time %</t>
        </is>
      </c>
      <c r="G26" s="7" t="inlineStr">
        <is>
          <t>From wk</t>
        </is>
      </c>
      <c r="H26" s="7" t="inlineStr">
        <is>
          <t>To wk</t>
        </is>
      </c>
    </row>
    <row r="27">
      <c r="A27" s="8" t="inlineStr">
        <is>
          <t>Farm Manager</t>
        </is>
      </c>
      <c r="B27" s="20" t="n">
        <v>1</v>
      </c>
      <c r="C27" s="8" t="inlineStr">
        <is>
          <t>salary</t>
        </is>
      </c>
      <c r="D27" s="14" t="n">
        <v>95000</v>
      </c>
      <c r="E27" s="20" t="n">
        <v>45</v>
      </c>
      <c r="F27" s="20" t="n">
        <v>80</v>
      </c>
      <c r="G27" s="20" t="n">
        <v>1</v>
      </c>
      <c r="H27" s="20" t="n">
        <v>52</v>
      </c>
    </row>
    <row r="28">
      <c r="A28" s="8" t="inlineStr">
        <is>
          <t>Equipment Operator</t>
        </is>
      </c>
      <c r="B28" s="20" t="n">
        <v>2</v>
      </c>
      <c r="C28" s="8" t="inlineStr">
        <is>
          <t>hourly</t>
        </is>
      </c>
      <c r="D28" s="14" t="n">
        <v>26</v>
      </c>
      <c r="E28" s="20" t="n">
        <v>40</v>
      </c>
      <c r="F28" s="20" t="n">
        <v>90</v>
      </c>
      <c r="G28" s="20" t="n">
        <v>1</v>
      </c>
      <c r="H28" s="20" t="n">
        <v>52</v>
      </c>
    </row>
    <row r="29">
      <c r="A29" s="8" t="inlineStr">
        <is>
          <t>Seasonal Field Crew</t>
        </is>
      </c>
      <c r="B29" s="20" t="n">
        <v>12</v>
      </c>
      <c r="C29" s="8" t="inlineStr">
        <is>
          <t>seasonal</t>
        </is>
      </c>
      <c r="D29" s="14" t="n">
        <v>20</v>
      </c>
      <c r="E29" s="20" t="n">
        <v>40</v>
      </c>
      <c r="F29" s="20" t="n">
        <v>100</v>
      </c>
      <c r="G29" s="20" t="n">
        <v>10</v>
      </c>
      <c r="H29" s="20" t="n">
        <v>42</v>
      </c>
    </row>
    <row r="30">
      <c r="A30" s="8" t="inlineStr">
        <is>
          <t>Harvest Crew</t>
        </is>
      </c>
      <c r="B30" s="20" t="n">
        <v>8</v>
      </c>
      <c r="C30" s="8" t="inlineStr">
        <is>
          <t>seasonal</t>
        </is>
      </c>
      <c r="D30" s="14" t="n">
        <v>19</v>
      </c>
      <c r="E30" s="20" t="n">
        <v>40</v>
      </c>
      <c r="F30" s="20" t="n">
        <v>100</v>
      </c>
      <c r="G30" s="20" t="n">
        <v>14</v>
      </c>
      <c r="H30" s="20" t="n">
        <v>40</v>
      </c>
    </row>
    <row r="31">
      <c r="A31" s="4" t="inlineStr">
        <is>
          <t>Payroll load %</t>
        </is>
      </c>
      <c r="B31" s="21" t="n">
        <v>0.25</v>
      </c>
      <c r="C31" s="2" t="inlineStr">
        <is>
          <t>employer taxes, workers' comp, benefits — applied to EVERY wage, salaried included</t>
        </is>
      </c>
    </row>
    <row r="32">
      <c r="A32" s="2" t="inlineStr">
        <is>
          <t>A salary wage is $/YEAR; hourly and seasonal are $/HOUR. 'Field time %' is the share of paid hours available to the crops —</t>
        </is>
      </c>
    </row>
    <row r="33">
      <c r="A33" s="2" t="inlineStr">
        <is>
          <t>the rest is admin and maintenance. It reduces CAPACITY without reducing the WAGE.</t>
        </is>
      </c>
    </row>
    <row r="35">
      <c r="A35" s="3" t="inlineStr">
        <is>
          <t>4 — THE PLANTING CALENDAR   (68 possible plantings — the solver picks)</t>
        </is>
      </c>
    </row>
    <row r="36">
      <c r="A36" s="2" t="inlineStr">
        <is>
          <t>One row per legal start week, exactly what the app's generator offers. ACRES and PLANT? are both decisions.</t>
        </is>
      </c>
    </row>
    <row r="37">
      <c r="A37" s="22" t="inlineStr">
        <is>
          <t>Succession</t>
        </is>
      </c>
      <c r="B37" s="22" t="inlineStr">
        <is>
          <t>Crop</t>
        </is>
      </c>
      <c r="C37" s="23" t="inlineStr">
        <is>
          <t>ACRES</t>
        </is>
      </c>
      <c r="D37" s="24" t="inlineStr">
        <is>
          <t>PLANT?</t>
        </is>
      </c>
      <c r="E37" s="25" t="n">
        <v>1</v>
      </c>
      <c r="F37" s="25" t="n">
        <v>2</v>
      </c>
      <c r="G37" s="25" t="n">
        <v>3</v>
      </c>
      <c r="H37" s="25" t="n">
        <v>4</v>
      </c>
      <c r="I37" s="25" t="n">
        <v>5</v>
      </c>
      <c r="J37" s="25" t="n">
        <v>6</v>
      </c>
      <c r="K37" s="25" t="n">
        <v>7</v>
      </c>
      <c r="L37" s="25" t="n">
        <v>8</v>
      </c>
      <c r="M37" s="25" t="n">
        <v>9</v>
      </c>
      <c r="N37" s="25" t="n">
        <v>10</v>
      </c>
      <c r="O37" s="25" t="n">
        <v>11</v>
      </c>
      <c r="P37" s="25" t="n">
        <v>12</v>
      </c>
      <c r="Q37" s="25" t="n">
        <v>13</v>
      </c>
      <c r="R37" s="25" t="n">
        <v>14</v>
      </c>
      <c r="S37" s="25" t="n">
        <v>15</v>
      </c>
      <c r="T37" s="25" t="n">
        <v>16</v>
      </c>
      <c r="U37" s="25" t="n">
        <v>17</v>
      </c>
      <c r="V37" s="25" t="n">
        <v>18</v>
      </c>
      <c r="W37" s="25" t="n">
        <v>19</v>
      </c>
      <c r="X37" s="25" t="n">
        <v>20</v>
      </c>
      <c r="Y37" s="25" t="n">
        <v>21</v>
      </c>
      <c r="Z37" s="25" t="n">
        <v>22</v>
      </c>
      <c r="AA37" s="25" t="n">
        <v>23</v>
      </c>
      <c r="AB37" s="25" t="n">
        <v>24</v>
      </c>
      <c r="AC37" s="25" t="n">
        <v>25</v>
      </c>
      <c r="AD37" s="25" t="n">
        <v>26</v>
      </c>
      <c r="AE37" s="25" t="n">
        <v>27</v>
      </c>
      <c r="AF37" s="25" t="n">
        <v>28</v>
      </c>
      <c r="AG37" s="25" t="n">
        <v>29</v>
      </c>
      <c r="AH37" s="25" t="n">
        <v>30</v>
      </c>
      <c r="AI37" s="25" t="n">
        <v>31</v>
      </c>
      <c r="AJ37" s="25" t="n">
        <v>32</v>
      </c>
      <c r="AK37" s="25" t="n">
        <v>33</v>
      </c>
      <c r="AL37" s="25" t="n">
        <v>34</v>
      </c>
      <c r="AM37" s="25" t="n">
        <v>35</v>
      </c>
      <c r="AN37" s="25" t="n">
        <v>36</v>
      </c>
      <c r="AO37" s="25" t="n">
        <v>37</v>
      </c>
      <c r="AP37" s="25" t="n">
        <v>38</v>
      </c>
      <c r="AQ37" s="25" t="n">
        <v>39</v>
      </c>
      <c r="AR37" s="25" t="n">
        <v>40</v>
      </c>
      <c r="AS37" s="25" t="n">
        <v>41</v>
      </c>
      <c r="AT37" s="25" t="n">
        <v>42</v>
      </c>
      <c r="AU37" s="25" t="n">
        <v>43</v>
      </c>
      <c r="AV37" s="25" t="n">
        <v>44</v>
      </c>
      <c r="AW37" s="25" t="n">
        <v>45</v>
      </c>
      <c r="AX37" s="25" t="n">
        <v>46</v>
      </c>
      <c r="AY37" s="25" t="n">
        <v>47</v>
      </c>
      <c r="AZ37" s="25" t="n">
        <v>48</v>
      </c>
      <c r="BA37" s="25" t="n">
        <v>49</v>
      </c>
      <c r="BB37" s="25" t="n">
        <v>50</v>
      </c>
      <c r="BC37" s="25" t="n">
        <v>51</v>
      </c>
      <c r="BD37" s="25" t="n">
        <v>52</v>
      </c>
      <c r="BE37" s="26" t="inlineStr">
        <is>
          <t>max if planted</t>
        </is>
      </c>
      <c r="BF37" s="26" t="inlineStr">
        <is>
          <t>min if planted</t>
        </is>
      </c>
      <c r="BG37" s="26" t="inlineStr">
        <is>
          <t>starts wk</t>
        </is>
      </c>
    </row>
    <row r="38">
      <c r="A38" s="27" t="inlineStr">
        <is>
          <t>Spinach W05</t>
        </is>
      </c>
      <c r="B38" s="27" t="inlineStr">
        <is>
          <t>Spinach</t>
        </is>
      </c>
      <c r="C38" s="28" t="n">
        <v>0</v>
      </c>
      <c r="D38" s="29" t="n">
        <v>0</v>
      </c>
      <c r="I38" s="30" t="inlineStr">
        <is>
          <t>P</t>
        </is>
      </c>
      <c r="J38" s="30" t="inlineStr">
        <is>
          <t>G</t>
        </is>
      </c>
      <c r="K38" s="30" t="inlineStr">
        <is>
          <t>G</t>
        </is>
      </c>
      <c r="L38" s="30" t="inlineStr">
        <is>
          <t>G</t>
        </is>
      </c>
      <c r="M38" s="30" t="inlineStr">
        <is>
          <t>G</t>
        </is>
      </c>
      <c r="N38" s="30" t="inlineStr">
        <is>
          <t>G</t>
        </is>
      </c>
      <c r="O38" s="30" t="inlineStr">
        <is>
          <t>H</t>
        </is>
      </c>
      <c r="P38" s="30" t="inlineStr">
        <is>
          <t>H</t>
        </is>
      </c>
      <c r="BE38" s="31">
        <f>D38*$B$5</f>
        <v/>
      </c>
      <c r="BF38" s="31">
        <f>D38*$I$11</f>
        <v/>
      </c>
      <c r="BG38" s="32">
        <f>MATCH("P",$E38:$BD38,0)</f>
        <v/>
      </c>
    </row>
    <row r="39">
      <c r="A39" s="27" t="inlineStr">
        <is>
          <t>Spinach W06</t>
        </is>
      </c>
      <c r="B39" s="27" t="inlineStr">
        <is>
          <t>Spinach</t>
        </is>
      </c>
      <c r="C39" s="28" t="n">
        <v>0</v>
      </c>
      <c r="D39" s="29" t="n">
        <v>0</v>
      </c>
      <c r="J39" s="30" t="inlineStr">
        <is>
          <t>P</t>
        </is>
      </c>
      <c r="K39" s="30" t="inlineStr">
        <is>
          <t>G</t>
        </is>
      </c>
      <c r="L39" s="30" t="inlineStr">
        <is>
          <t>G</t>
        </is>
      </c>
      <c r="M39" s="30" t="inlineStr">
        <is>
          <t>G</t>
        </is>
      </c>
      <c r="N39" s="30" t="inlineStr">
        <is>
          <t>G</t>
        </is>
      </c>
      <c r="O39" s="30" t="inlineStr">
        <is>
          <t>G</t>
        </is>
      </c>
      <c r="P39" s="30" t="inlineStr">
        <is>
          <t>H</t>
        </is>
      </c>
      <c r="Q39" s="30" t="inlineStr">
        <is>
          <t>H</t>
        </is>
      </c>
      <c r="BE39" s="31">
        <f>D39*$B$5</f>
        <v/>
      </c>
      <c r="BF39" s="31">
        <f>D39*$I$11</f>
        <v/>
      </c>
      <c r="BG39" s="32">
        <f>MATCH("P",$E39:$BD39,0)</f>
        <v/>
      </c>
    </row>
    <row r="40">
      <c r="A40" s="27" t="inlineStr">
        <is>
          <t>Spinach W07</t>
        </is>
      </c>
      <c r="B40" s="27" t="inlineStr">
        <is>
          <t>Spinach</t>
        </is>
      </c>
      <c r="C40" s="28" t="n">
        <v>0</v>
      </c>
      <c r="D40" s="29" t="n">
        <v>0</v>
      </c>
      <c r="K40" s="30" t="inlineStr">
        <is>
          <t>P</t>
        </is>
      </c>
      <c r="L40" s="30" t="inlineStr">
        <is>
          <t>G</t>
        </is>
      </c>
      <c r="M40" s="30" t="inlineStr">
        <is>
          <t>G</t>
        </is>
      </c>
      <c r="N40" s="30" t="inlineStr">
        <is>
          <t>G</t>
        </is>
      </c>
      <c r="O40" s="30" t="inlineStr">
        <is>
          <t>G</t>
        </is>
      </c>
      <c r="P40" s="30" t="inlineStr">
        <is>
          <t>G</t>
        </is>
      </c>
      <c r="Q40" s="30" t="inlineStr">
        <is>
          <t>H</t>
        </is>
      </c>
      <c r="R40" s="30" t="inlineStr">
        <is>
          <t>H</t>
        </is>
      </c>
      <c r="BE40" s="31">
        <f>D40*$B$5</f>
        <v/>
      </c>
      <c r="BF40" s="31">
        <f>D40*$I$11</f>
        <v/>
      </c>
      <c r="BG40" s="32">
        <f>MATCH("P",$E40:$BD40,0)</f>
        <v/>
      </c>
    </row>
    <row r="41">
      <c r="A41" s="27" t="inlineStr">
        <is>
          <t>Spinach W08</t>
        </is>
      </c>
      <c r="B41" s="27" t="inlineStr">
        <is>
          <t>Spinach</t>
        </is>
      </c>
      <c r="C41" s="28" t="n">
        <v>0</v>
      </c>
      <c r="D41" s="29" t="n">
        <v>0</v>
      </c>
      <c r="L41" s="30" t="inlineStr">
        <is>
          <t>P</t>
        </is>
      </c>
      <c r="M41" s="30" t="inlineStr">
        <is>
          <t>G</t>
        </is>
      </c>
      <c r="N41" s="30" t="inlineStr">
        <is>
          <t>G</t>
        </is>
      </c>
      <c r="O41" s="30" t="inlineStr">
        <is>
          <t>G</t>
        </is>
      </c>
      <c r="P41" s="30" t="inlineStr">
        <is>
          <t>G</t>
        </is>
      </c>
      <c r="Q41" s="30" t="inlineStr">
        <is>
          <t>G</t>
        </is>
      </c>
      <c r="R41" s="30" t="inlineStr">
        <is>
          <t>H</t>
        </is>
      </c>
      <c r="S41" s="30" t="inlineStr">
        <is>
          <t>H</t>
        </is>
      </c>
      <c r="BE41" s="31">
        <f>D41*$B$5</f>
        <v/>
      </c>
      <c r="BF41" s="31">
        <f>D41*$I$11</f>
        <v/>
      </c>
      <c r="BG41" s="32">
        <f>MATCH("P",$E41:$BD41,0)</f>
        <v/>
      </c>
    </row>
    <row r="42">
      <c r="A42" s="27" t="inlineStr">
        <is>
          <t>Spinach W09</t>
        </is>
      </c>
      <c r="B42" s="27" t="inlineStr">
        <is>
          <t>Spinach</t>
        </is>
      </c>
      <c r="C42" s="28" t="n">
        <v>0</v>
      </c>
      <c r="D42" s="29" t="n">
        <v>0</v>
      </c>
      <c r="M42" s="30" t="inlineStr">
        <is>
          <t>P</t>
        </is>
      </c>
      <c r="N42" s="30" t="inlineStr">
        <is>
          <t>G</t>
        </is>
      </c>
      <c r="O42" s="30" t="inlineStr">
        <is>
          <t>G</t>
        </is>
      </c>
      <c r="P42" s="30" t="inlineStr">
        <is>
          <t>G</t>
        </is>
      </c>
      <c r="Q42" s="30" t="inlineStr">
        <is>
          <t>G</t>
        </is>
      </c>
      <c r="R42" s="30" t="inlineStr">
        <is>
          <t>G</t>
        </is>
      </c>
      <c r="S42" s="30" t="inlineStr">
        <is>
          <t>H</t>
        </is>
      </c>
      <c r="T42" s="30" t="inlineStr">
        <is>
          <t>H</t>
        </is>
      </c>
      <c r="BE42" s="31">
        <f>D42*$B$5</f>
        <v/>
      </c>
      <c r="BF42" s="31">
        <f>D42*$I$11</f>
        <v/>
      </c>
      <c r="BG42" s="32">
        <f>MATCH("P",$E42:$BD42,0)</f>
        <v/>
      </c>
    </row>
    <row r="43">
      <c r="A43" s="27" t="inlineStr">
        <is>
          <t>Spinach W10</t>
        </is>
      </c>
      <c r="B43" s="27" t="inlineStr">
        <is>
          <t>Spinach</t>
        </is>
      </c>
      <c r="C43" s="28" t="n">
        <v>0</v>
      </c>
      <c r="D43" s="29" t="n">
        <v>0</v>
      </c>
      <c r="N43" s="30" t="inlineStr">
        <is>
          <t>P</t>
        </is>
      </c>
      <c r="O43" s="30" t="inlineStr">
        <is>
          <t>G</t>
        </is>
      </c>
      <c r="P43" s="30" t="inlineStr">
        <is>
          <t>G</t>
        </is>
      </c>
      <c r="Q43" s="30" t="inlineStr">
        <is>
          <t>G</t>
        </is>
      </c>
      <c r="R43" s="30" t="inlineStr">
        <is>
          <t>G</t>
        </is>
      </c>
      <c r="S43" s="30" t="inlineStr">
        <is>
          <t>G</t>
        </is>
      </c>
      <c r="T43" s="30" t="inlineStr">
        <is>
          <t>H</t>
        </is>
      </c>
      <c r="U43" s="30" t="inlineStr">
        <is>
          <t>H</t>
        </is>
      </c>
      <c r="BE43" s="31">
        <f>D43*$B$5</f>
        <v/>
      </c>
      <c r="BF43" s="31">
        <f>D43*$I$11</f>
        <v/>
      </c>
      <c r="BG43" s="32">
        <f>MATCH("P",$E43:$BD43,0)</f>
        <v/>
      </c>
    </row>
    <row r="44">
      <c r="A44" s="27" t="inlineStr">
        <is>
          <t>Spinach W11</t>
        </is>
      </c>
      <c r="B44" s="27" t="inlineStr">
        <is>
          <t>Spinach</t>
        </is>
      </c>
      <c r="C44" s="28" t="n">
        <v>0</v>
      </c>
      <c r="D44" s="29" t="n">
        <v>0</v>
      </c>
      <c r="O44" s="30" t="inlineStr">
        <is>
          <t>P</t>
        </is>
      </c>
      <c r="P44" s="30" t="inlineStr">
        <is>
          <t>G</t>
        </is>
      </c>
      <c r="Q44" s="30" t="inlineStr">
        <is>
          <t>G</t>
        </is>
      </c>
      <c r="R44" s="30" t="inlineStr">
        <is>
          <t>G</t>
        </is>
      </c>
      <c r="S44" s="30" t="inlineStr">
        <is>
          <t>G</t>
        </is>
      </c>
      <c r="T44" s="30" t="inlineStr">
        <is>
          <t>G</t>
        </is>
      </c>
      <c r="U44" s="30" t="inlineStr">
        <is>
          <t>H</t>
        </is>
      </c>
      <c r="V44" s="30" t="inlineStr">
        <is>
          <t>H</t>
        </is>
      </c>
      <c r="BE44" s="31">
        <f>D44*$B$5</f>
        <v/>
      </c>
      <c r="BF44" s="31">
        <f>D44*$I$11</f>
        <v/>
      </c>
      <c r="BG44" s="32">
        <f>MATCH("P",$E44:$BD44,0)</f>
        <v/>
      </c>
    </row>
    <row r="45">
      <c r="A45" s="27" t="inlineStr">
        <is>
          <t>Spinach W12</t>
        </is>
      </c>
      <c r="B45" s="27" t="inlineStr">
        <is>
          <t>Spinach</t>
        </is>
      </c>
      <c r="C45" s="28" t="n">
        <v>0</v>
      </c>
      <c r="D45" s="29" t="n">
        <v>0</v>
      </c>
      <c r="P45" s="30" t="inlineStr">
        <is>
          <t>P</t>
        </is>
      </c>
      <c r="Q45" s="30" t="inlineStr">
        <is>
          <t>G</t>
        </is>
      </c>
      <c r="R45" s="30" t="inlineStr">
        <is>
          <t>G</t>
        </is>
      </c>
      <c r="S45" s="30" t="inlineStr">
        <is>
          <t>G</t>
        </is>
      </c>
      <c r="T45" s="30" t="inlineStr">
        <is>
          <t>G</t>
        </is>
      </c>
      <c r="U45" s="30" t="inlineStr">
        <is>
          <t>G</t>
        </is>
      </c>
      <c r="V45" s="30" t="inlineStr">
        <is>
          <t>H</t>
        </is>
      </c>
      <c r="W45" s="30" t="inlineStr">
        <is>
          <t>H</t>
        </is>
      </c>
      <c r="BE45" s="31">
        <f>D45*$B$5</f>
        <v/>
      </c>
      <c r="BF45" s="31">
        <f>D45*$I$11</f>
        <v/>
      </c>
      <c r="BG45" s="32">
        <f>MATCH("P",$E45:$BD45,0)</f>
        <v/>
      </c>
    </row>
    <row r="46">
      <c r="A46" s="27" t="inlineStr">
        <is>
          <t>Spinach W13</t>
        </is>
      </c>
      <c r="B46" s="27" t="inlineStr">
        <is>
          <t>Spinach</t>
        </is>
      </c>
      <c r="C46" s="28" t="n">
        <v>0</v>
      </c>
      <c r="D46" s="29" t="n">
        <v>0</v>
      </c>
      <c r="Q46" s="30" t="inlineStr">
        <is>
          <t>P</t>
        </is>
      </c>
      <c r="R46" s="30" t="inlineStr">
        <is>
          <t>G</t>
        </is>
      </c>
      <c r="S46" s="30" t="inlineStr">
        <is>
          <t>G</t>
        </is>
      </c>
      <c r="T46" s="30" t="inlineStr">
        <is>
          <t>G</t>
        </is>
      </c>
      <c r="U46" s="30" t="inlineStr">
        <is>
          <t>G</t>
        </is>
      </c>
      <c r="V46" s="30" t="inlineStr">
        <is>
          <t>G</t>
        </is>
      </c>
      <c r="W46" s="30" t="inlineStr">
        <is>
          <t>H</t>
        </is>
      </c>
      <c r="X46" s="30" t="inlineStr">
        <is>
          <t>H</t>
        </is>
      </c>
      <c r="BE46" s="31">
        <f>D46*$B$5</f>
        <v/>
      </c>
      <c r="BF46" s="31">
        <f>D46*$I$11</f>
        <v/>
      </c>
      <c r="BG46" s="32">
        <f>MATCH("P",$E46:$BD46,0)</f>
        <v/>
      </c>
    </row>
    <row r="47">
      <c r="A47" s="27" t="inlineStr">
        <is>
          <t>Spinach W14</t>
        </is>
      </c>
      <c r="B47" s="27" t="inlineStr">
        <is>
          <t>Spinach</t>
        </is>
      </c>
      <c r="C47" s="28" t="n">
        <v>0</v>
      </c>
      <c r="D47" s="29" t="n">
        <v>0</v>
      </c>
      <c r="R47" s="30" t="inlineStr">
        <is>
          <t>P</t>
        </is>
      </c>
      <c r="S47" s="30" t="inlineStr">
        <is>
          <t>G</t>
        </is>
      </c>
      <c r="T47" s="30" t="inlineStr">
        <is>
          <t>G</t>
        </is>
      </c>
      <c r="U47" s="30" t="inlineStr">
        <is>
          <t>G</t>
        </is>
      </c>
      <c r="V47" s="30" t="inlineStr">
        <is>
          <t>G</t>
        </is>
      </c>
      <c r="W47" s="30" t="inlineStr">
        <is>
          <t>G</t>
        </is>
      </c>
      <c r="X47" s="30" t="inlineStr">
        <is>
          <t>H</t>
        </is>
      </c>
      <c r="Y47" s="30" t="inlineStr">
        <is>
          <t>H</t>
        </is>
      </c>
      <c r="BE47" s="31">
        <f>D47*$B$5</f>
        <v/>
      </c>
      <c r="BF47" s="31">
        <f>D47*$I$11</f>
        <v/>
      </c>
      <c r="BG47" s="32">
        <f>MATCH("P",$E47:$BD47,0)</f>
        <v/>
      </c>
    </row>
    <row r="48">
      <c r="A48" s="27" t="inlineStr">
        <is>
          <t>Spinach W15</t>
        </is>
      </c>
      <c r="B48" s="27" t="inlineStr">
        <is>
          <t>Spinach</t>
        </is>
      </c>
      <c r="C48" s="28" t="n">
        <v>0</v>
      </c>
      <c r="D48" s="29" t="n">
        <v>0</v>
      </c>
      <c r="S48" s="30" t="inlineStr">
        <is>
          <t>P</t>
        </is>
      </c>
      <c r="T48" s="30" t="inlineStr">
        <is>
          <t>G</t>
        </is>
      </c>
      <c r="U48" s="30" t="inlineStr">
        <is>
          <t>G</t>
        </is>
      </c>
      <c r="V48" s="30" t="inlineStr">
        <is>
          <t>G</t>
        </is>
      </c>
      <c r="W48" s="30" t="inlineStr">
        <is>
          <t>G</t>
        </is>
      </c>
      <c r="X48" s="30" t="inlineStr">
        <is>
          <t>G</t>
        </is>
      </c>
      <c r="Y48" s="30" t="inlineStr">
        <is>
          <t>H</t>
        </is>
      </c>
      <c r="Z48" s="30" t="inlineStr">
        <is>
          <t>H</t>
        </is>
      </c>
      <c r="BE48" s="31">
        <f>D48*$B$5</f>
        <v/>
      </c>
      <c r="BF48" s="31">
        <f>D48*$I$11</f>
        <v/>
      </c>
      <c r="BG48" s="32">
        <f>MATCH("P",$E48:$BD48,0)</f>
        <v/>
      </c>
    </row>
    <row r="49">
      <c r="A49" s="27" t="inlineStr">
        <is>
          <t>Spinach W16</t>
        </is>
      </c>
      <c r="B49" s="27" t="inlineStr">
        <is>
          <t>Spinach</t>
        </is>
      </c>
      <c r="C49" s="28" t="n">
        <v>0</v>
      </c>
      <c r="D49" s="29" t="n">
        <v>0</v>
      </c>
      <c r="T49" s="30" t="inlineStr">
        <is>
          <t>P</t>
        </is>
      </c>
      <c r="U49" s="30" t="inlineStr">
        <is>
          <t>G</t>
        </is>
      </c>
      <c r="V49" s="30" t="inlineStr">
        <is>
          <t>G</t>
        </is>
      </c>
      <c r="W49" s="30" t="inlineStr">
        <is>
          <t>G</t>
        </is>
      </c>
      <c r="X49" s="30" t="inlineStr">
        <is>
          <t>G</t>
        </is>
      </c>
      <c r="Y49" s="30" t="inlineStr">
        <is>
          <t>G</t>
        </is>
      </c>
      <c r="Z49" s="30" t="inlineStr">
        <is>
          <t>H</t>
        </is>
      </c>
      <c r="AA49" s="30" t="inlineStr">
        <is>
          <t>H</t>
        </is>
      </c>
      <c r="BE49" s="31">
        <f>D49*$B$5</f>
        <v/>
      </c>
      <c r="BF49" s="31">
        <f>D49*$I$11</f>
        <v/>
      </c>
      <c r="BG49" s="32">
        <f>MATCH("P",$E49:$BD49,0)</f>
        <v/>
      </c>
    </row>
    <row r="50">
      <c r="A50" s="27" t="inlineStr">
        <is>
          <t>Spinach W17</t>
        </is>
      </c>
      <c r="B50" s="27" t="inlineStr">
        <is>
          <t>Spinach</t>
        </is>
      </c>
      <c r="C50" s="28" t="n">
        <v>0</v>
      </c>
      <c r="D50" s="29" t="n">
        <v>0</v>
      </c>
      <c r="U50" s="30" t="inlineStr">
        <is>
          <t>P</t>
        </is>
      </c>
      <c r="V50" s="30" t="inlineStr">
        <is>
          <t>G</t>
        </is>
      </c>
      <c r="W50" s="30" t="inlineStr">
        <is>
          <t>G</t>
        </is>
      </c>
      <c r="X50" s="30" t="inlineStr">
        <is>
          <t>G</t>
        </is>
      </c>
      <c r="Y50" s="30" t="inlineStr">
        <is>
          <t>G</t>
        </is>
      </c>
      <c r="Z50" s="30" t="inlineStr">
        <is>
          <t>G</t>
        </is>
      </c>
      <c r="AA50" s="30" t="inlineStr">
        <is>
          <t>H</t>
        </is>
      </c>
      <c r="AB50" s="30" t="inlineStr">
        <is>
          <t>H</t>
        </is>
      </c>
      <c r="BE50" s="31">
        <f>D50*$B$5</f>
        <v/>
      </c>
      <c r="BF50" s="31">
        <f>D50*$I$11</f>
        <v/>
      </c>
      <c r="BG50" s="32">
        <f>MATCH("P",$E50:$BD50,0)</f>
        <v/>
      </c>
    </row>
    <row r="51">
      <c r="A51" s="27" t="inlineStr">
        <is>
          <t>Spinach W18</t>
        </is>
      </c>
      <c r="B51" s="27" t="inlineStr">
        <is>
          <t>Spinach</t>
        </is>
      </c>
      <c r="C51" s="28" t="n">
        <v>0</v>
      </c>
      <c r="D51" s="29" t="n">
        <v>0</v>
      </c>
      <c r="V51" s="30" t="inlineStr">
        <is>
          <t>P</t>
        </is>
      </c>
      <c r="W51" s="30" t="inlineStr">
        <is>
          <t>G</t>
        </is>
      </c>
      <c r="X51" s="30" t="inlineStr">
        <is>
          <t>G</t>
        </is>
      </c>
      <c r="Y51" s="30" t="inlineStr">
        <is>
          <t>G</t>
        </is>
      </c>
      <c r="Z51" s="30" t="inlineStr">
        <is>
          <t>G</t>
        </is>
      </c>
      <c r="AA51" s="30" t="inlineStr">
        <is>
          <t>G</t>
        </is>
      </c>
      <c r="AB51" s="30" t="inlineStr">
        <is>
          <t>H</t>
        </is>
      </c>
      <c r="AC51" s="30" t="inlineStr">
        <is>
          <t>H</t>
        </is>
      </c>
      <c r="BE51" s="31">
        <f>D51*$B$5</f>
        <v/>
      </c>
      <c r="BF51" s="31">
        <f>D51*$I$11</f>
        <v/>
      </c>
      <c r="BG51" s="32">
        <f>MATCH("P",$E51:$BD51,0)</f>
        <v/>
      </c>
    </row>
    <row r="52">
      <c r="A52" s="27" t="inlineStr">
        <is>
          <t>Spinach W19</t>
        </is>
      </c>
      <c r="B52" s="27" t="inlineStr">
        <is>
          <t>Spinach</t>
        </is>
      </c>
      <c r="C52" s="28" t="n">
        <v>0</v>
      </c>
      <c r="D52" s="29" t="n">
        <v>0</v>
      </c>
      <c r="W52" s="30" t="inlineStr">
        <is>
          <t>P</t>
        </is>
      </c>
      <c r="X52" s="30" t="inlineStr">
        <is>
          <t>G</t>
        </is>
      </c>
      <c r="Y52" s="30" t="inlineStr">
        <is>
          <t>G</t>
        </is>
      </c>
      <c r="Z52" s="30" t="inlineStr">
        <is>
          <t>G</t>
        </is>
      </c>
      <c r="AA52" s="30" t="inlineStr">
        <is>
          <t>G</t>
        </is>
      </c>
      <c r="AB52" s="30" t="inlineStr">
        <is>
          <t>G</t>
        </is>
      </c>
      <c r="AC52" s="30" t="inlineStr">
        <is>
          <t>H</t>
        </is>
      </c>
      <c r="AD52" s="30" t="inlineStr">
        <is>
          <t>H</t>
        </is>
      </c>
      <c r="BE52" s="31">
        <f>D52*$B$5</f>
        <v/>
      </c>
      <c r="BF52" s="31">
        <f>D52*$I$11</f>
        <v/>
      </c>
      <c r="BG52" s="32">
        <f>MATCH("P",$E52:$BD52,0)</f>
        <v/>
      </c>
    </row>
    <row r="53">
      <c r="A53" s="27" t="inlineStr">
        <is>
          <t>Spinach W20</t>
        </is>
      </c>
      <c r="B53" s="27" t="inlineStr">
        <is>
          <t>Spinach</t>
        </is>
      </c>
      <c r="C53" s="28" t="n">
        <v>0</v>
      </c>
      <c r="D53" s="29" t="n">
        <v>0</v>
      </c>
      <c r="X53" s="30" t="inlineStr">
        <is>
          <t>P</t>
        </is>
      </c>
      <c r="Y53" s="30" t="inlineStr">
        <is>
          <t>G</t>
        </is>
      </c>
      <c r="Z53" s="30" t="inlineStr">
        <is>
          <t>G</t>
        </is>
      </c>
      <c r="AA53" s="30" t="inlineStr">
        <is>
          <t>G</t>
        </is>
      </c>
      <c r="AB53" s="30" t="inlineStr">
        <is>
          <t>G</t>
        </is>
      </c>
      <c r="AC53" s="30" t="inlineStr">
        <is>
          <t>G</t>
        </is>
      </c>
      <c r="AD53" s="30" t="inlineStr">
        <is>
          <t>H</t>
        </is>
      </c>
      <c r="AE53" s="30" t="inlineStr">
        <is>
          <t>H</t>
        </is>
      </c>
      <c r="BE53" s="31">
        <f>D53*$B$5</f>
        <v/>
      </c>
      <c r="BF53" s="31">
        <f>D53*$I$11</f>
        <v/>
      </c>
      <c r="BG53" s="32">
        <f>MATCH("P",$E53:$BD53,0)</f>
        <v/>
      </c>
    </row>
    <row r="54">
      <c r="A54" s="27" t="inlineStr">
        <is>
          <t>Spinach W21</t>
        </is>
      </c>
      <c r="B54" s="27" t="inlineStr">
        <is>
          <t>Spinach</t>
        </is>
      </c>
      <c r="C54" s="28" t="n">
        <v>0</v>
      </c>
      <c r="D54" s="29" t="n">
        <v>0</v>
      </c>
      <c r="Y54" s="30" t="inlineStr">
        <is>
          <t>P</t>
        </is>
      </c>
      <c r="Z54" s="30" t="inlineStr">
        <is>
          <t>G</t>
        </is>
      </c>
      <c r="AA54" s="30" t="inlineStr">
        <is>
          <t>G</t>
        </is>
      </c>
      <c r="AB54" s="30" t="inlineStr">
        <is>
          <t>G</t>
        </is>
      </c>
      <c r="AC54" s="30" t="inlineStr">
        <is>
          <t>G</t>
        </is>
      </c>
      <c r="AD54" s="30" t="inlineStr">
        <is>
          <t>G</t>
        </is>
      </c>
      <c r="AE54" s="30" t="inlineStr">
        <is>
          <t>H</t>
        </is>
      </c>
      <c r="AF54" s="30" t="inlineStr">
        <is>
          <t>H</t>
        </is>
      </c>
      <c r="BE54" s="31">
        <f>D54*$B$5</f>
        <v/>
      </c>
      <c r="BF54" s="31">
        <f>D54*$I$11</f>
        <v/>
      </c>
      <c r="BG54" s="32">
        <f>MATCH("P",$E54:$BD54,0)</f>
        <v/>
      </c>
    </row>
    <row r="55">
      <c r="A55" s="27" t="inlineStr">
        <is>
          <t>Spinach W22</t>
        </is>
      </c>
      <c r="B55" s="27" t="inlineStr">
        <is>
          <t>Spinach</t>
        </is>
      </c>
      <c r="C55" s="28" t="n">
        <v>0</v>
      </c>
      <c r="D55" s="29" t="n">
        <v>0</v>
      </c>
      <c r="Z55" s="30" t="inlineStr">
        <is>
          <t>P</t>
        </is>
      </c>
      <c r="AA55" s="30" t="inlineStr">
        <is>
          <t>G</t>
        </is>
      </c>
      <c r="AB55" s="30" t="inlineStr">
        <is>
          <t>G</t>
        </is>
      </c>
      <c r="AC55" s="30" t="inlineStr">
        <is>
          <t>G</t>
        </is>
      </c>
      <c r="AD55" s="30" t="inlineStr">
        <is>
          <t>G</t>
        </is>
      </c>
      <c r="AE55" s="30" t="inlineStr">
        <is>
          <t>G</t>
        </is>
      </c>
      <c r="AF55" s="30" t="inlineStr">
        <is>
          <t>H</t>
        </is>
      </c>
      <c r="AG55" s="30" t="inlineStr">
        <is>
          <t>H</t>
        </is>
      </c>
      <c r="BE55" s="31">
        <f>D55*$B$5</f>
        <v/>
      </c>
      <c r="BF55" s="31">
        <f>D55*$I$11</f>
        <v/>
      </c>
      <c r="BG55" s="32">
        <f>MATCH("P",$E55:$BD55,0)</f>
        <v/>
      </c>
    </row>
    <row r="56">
      <c r="A56" s="27" t="inlineStr">
        <is>
          <t>Spinach W23</t>
        </is>
      </c>
      <c r="B56" s="27" t="inlineStr">
        <is>
          <t>Spinach</t>
        </is>
      </c>
      <c r="C56" s="28" t="n">
        <v>0</v>
      </c>
      <c r="D56" s="29" t="n">
        <v>0</v>
      </c>
      <c r="AA56" s="30" t="inlineStr">
        <is>
          <t>P</t>
        </is>
      </c>
      <c r="AB56" s="30" t="inlineStr">
        <is>
          <t>G</t>
        </is>
      </c>
      <c r="AC56" s="30" t="inlineStr">
        <is>
          <t>G</t>
        </is>
      </c>
      <c r="AD56" s="30" t="inlineStr">
        <is>
          <t>G</t>
        </is>
      </c>
      <c r="AE56" s="30" t="inlineStr">
        <is>
          <t>G</t>
        </is>
      </c>
      <c r="AF56" s="30" t="inlineStr">
        <is>
          <t>G</t>
        </is>
      </c>
      <c r="AG56" s="30" t="inlineStr">
        <is>
          <t>H</t>
        </is>
      </c>
      <c r="AH56" s="30" t="inlineStr">
        <is>
          <t>H</t>
        </is>
      </c>
      <c r="BE56" s="31">
        <f>D56*$B$5</f>
        <v/>
      </c>
      <c r="BF56" s="31">
        <f>D56*$I$11</f>
        <v/>
      </c>
      <c r="BG56" s="32">
        <f>MATCH("P",$E56:$BD56,0)</f>
        <v/>
      </c>
    </row>
    <row r="57">
      <c r="A57" s="27" t="inlineStr">
        <is>
          <t>Spinach W24</t>
        </is>
      </c>
      <c r="B57" s="27" t="inlineStr">
        <is>
          <t>Spinach</t>
        </is>
      </c>
      <c r="C57" s="28" t="n">
        <v>0</v>
      </c>
      <c r="D57" s="29" t="n">
        <v>0</v>
      </c>
      <c r="AB57" s="30" t="inlineStr">
        <is>
          <t>P</t>
        </is>
      </c>
      <c r="AC57" s="30" t="inlineStr">
        <is>
          <t>G</t>
        </is>
      </c>
      <c r="AD57" s="30" t="inlineStr">
        <is>
          <t>G</t>
        </is>
      </c>
      <c r="AE57" s="30" t="inlineStr">
        <is>
          <t>G</t>
        </is>
      </c>
      <c r="AF57" s="30" t="inlineStr">
        <is>
          <t>G</t>
        </is>
      </c>
      <c r="AG57" s="30" t="inlineStr">
        <is>
          <t>G</t>
        </is>
      </c>
      <c r="AH57" s="30" t="inlineStr">
        <is>
          <t>H</t>
        </is>
      </c>
      <c r="AI57" s="30" t="inlineStr">
        <is>
          <t>H</t>
        </is>
      </c>
      <c r="BE57" s="31">
        <f>D57*$B$5</f>
        <v/>
      </c>
      <c r="BF57" s="31">
        <f>D57*$I$11</f>
        <v/>
      </c>
      <c r="BG57" s="32">
        <f>MATCH("P",$E57:$BD57,0)</f>
        <v/>
      </c>
    </row>
    <row r="58">
      <c r="A58" s="27" t="inlineStr">
        <is>
          <t>Spinach W31</t>
        </is>
      </c>
      <c r="B58" s="27" t="inlineStr">
        <is>
          <t>Spinach</t>
        </is>
      </c>
      <c r="C58" s="28" t="n">
        <v>0</v>
      </c>
      <c r="D58" s="29" t="n">
        <v>0</v>
      </c>
      <c r="AI58" s="30" t="inlineStr">
        <is>
          <t>P</t>
        </is>
      </c>
      <c r="AJ58" s="30" t="inlineStr">
        <is>
          <t>G</t>
        </is>
      </c>
      <c r="AK58" s="30" t="inlineStr">
        <is>
          <t>G</t>
        </is>
      </c>
      <c r="AL58" s="30" t="inlineStr">
        <is>
          <t>G</t>
        </is>
      </c>
      <c r="AM58" s="30" t="inlineStr">
        <is>
          <t>G</t>
        </is>
      </c>
      <c r="AN58" s="30" t="inlineStr">
        <is>
          <t>G</t>
        </is>
      </c>
      <c r="AO58" s="30" t="inlineStr">
        <is>
          <t>H</t>
        </is>
      </c>
      <c r="AP58" s="30" t="inlineStr">
        <is>
          <t>H</t>
        </is>
      </c>
      <c r="BE58" s="31">
        <f>D58*$B$5</f>
        <v/>
      </c>
      <c r="BF58" s="31">
        <f>D58*$I$11</f>
        <v/>
      </c>
      <c r="BG58" s="32">
        <f>MATCH("P",$E58:$BD58,0)</f>
        <v/>
      </c>
    </row>
    <row r="59">
      <c r="A59" s="27" t="inlineStr">
        <is>
          <t>Spinach W32</t>
        </is>
      </c>
      <c r="B59" s="27" t="inlineStr">
        <is>
          <t>Spinach</t>
        </is>
      </c>
      <c r="C59" s="28" t="n">
        <v>0</v>
      </c>
      <c r="D59" s="29" t="n">
        <v>0</v>
      </c>
      <c r="AJ59" s="30" t="inlineStr">
        <is>
          <t>P</t>
        </is>
      </c>
      <c r="AK59" s="30" t="inlineStr">
        <is>
          <t>G</t>
        </is>
      </c>
      <c r="AL59" s="30" t="inlineStr">
        <is>
          <t>G</t>
        </is>
      </c>
      <c r="AM59" s="30" t="inlineStr">
        <is>
          <t>G</t>
        </is>
      </c>
      <c r="AN59" s="30" t="inlineStr">
        <is>
          <t>G</t>
        </is>
      </c>
      <c r="AO59" s="30" t="inlineStr">
        <is>
          <t>G</t>
        </is>
      </c>
      <c r="AP59" s="30" t="inlineStr">
        <is>
          <t>H</t>
        </is>
      </c>
      <c r="AQ59" s="30" t="inlineStr">
        <is>
          <t>H</t>
        </is>
      </c>
      <c r="BE59" s="31">
        <f>D59*$B$5</f>
        <v/>
      </c>
      <c r="BF59" s="31">
        <f>D59*$I$11</f>
        <v/>
      </c>
      <c r="BG59" s="32">
        <f>MATCH("P",$E59:$BD59,0)</f>
        <v/>
      </c>
    </row>
    <row r="60">
      <c r="A60" s="27" t="inlineStr">
        <is>
          <t>Spinach W33</t>
        </is>
      </c>
      <c r="B60" s="27" t="inlineStr">
        <is>
          <t>Spinach</t>
        </is>
      </c>
      <c r="C60" s="28" t="n">
        <v>0</v>
      </c>
      <c r="D60" s="29" t="n">
        <v>0</v>
      </c>
      <c r="AK60" s="30" t="inlineStr">
        <is>
          <t>P</t>
        </is>
      </c>
      <c r="AL60" s="30" t="inlineStr">
        <is>
          <t>G</t>
        </is>
      </c>
      <c r="AM60" s="30" t="inlineStr">
        <is>
          <t>G</t>
        </is>
      </c>
      <c r="AN60" s="30" t="inlineStr">
        <is>
          <t>G</t>
        </is>
      </c>
      <c r="AO60" s="30" t="inlineStr">
        <is>
          <t>G</t>
        </is>
      </c>
      <c r="AP60" s="30" t="inlineStr">
        <is>
          <t>G</t>
        </is>
      </c>
      <c r="AQ60" s="30" t="inlineStr">
        <is>
          <t>H</t>
        </is>
      </c>
      <c r="AR60" s="30" t="inlineStr">
        <is>
          <t>H</t>
        </is>
      </c>
      <c r="BE60" s="31">
        <f>D60*$B$5</f>
        <v/>
      </c>
      <c r="BF60" s="31">
        <f>D60*$I$11</f>
        <v/>
      </c>
      <c r="BG60" s="32">
        <f>MATCH("P",$E60:$BD60,0)</f>
        <v/>
      </c>
    </row>
    <row r="61">
      <c r="A61" s="27" t="inlineStr">
        <is>
          <t>Spinach W34</t>
        </is>
      </c>
      <c r="B61" s="27" t="inlineStr">
        <is>
          <t>Spinach</t>
        </is>
      </c>
      <c r="C61" s="28" t="n">
        <v>0</v>
      </c>
      <c r="D61" s="29" t="n">
        <v>0</v>
      </c>
      <c r="AL61" s="30" t="inlineStr">
        <is>
          <t>P</t>
        </is>
      </c>
      <c r="AM61" s="30" t="inlineStr">
        <is>
          <t>G</t>
        </is>
      </c>
      <c r="AN61" s="30" t="inlineStr">
        <is>
          <t>G</t>
        </is>
      </c>
      <c r="AO61" s="30" t="inlineStr">
        <is>
          <t>G</t>
        </is>
      </c>
      <c r="AP61" s="30" t="inlineStr">
        <is>
          <t>G</t>
        </is>
      </c>
      <c r="AQ61" s="30" t="inlineStr">
        <is>
          <t>G</t>
        </is>
      </c>
      <c r="AR61" s="30" t="inlineStr">
        <is>
          <t>H</t>
        </is>
      </c>
      <c r="AS61" s="30" t="inlineStr">
        <is>
          <t>H</t>
        </is>
      </c>
      <c r="BE61" s="31">
        <f>D61*$B$5</f>
        <v/>
      </c>
      <c r="BF61" s="31">
        <f>D61*$I$11</f>
        <v/>
      </c>
      <c r="BG61" s="32">
        <f>MATCH("P",$E61:$BD61,0)</f>
        <v/>
      </c>
    </row>
    <row r="62">
      <c r="A62" s="27" t="inlineStr">
        <is>
          <t>Spinach W35</t>
        </is>
      </c>
      <c r="B62" s="27" t="inlineStr">
        <is>
          <t>Spinach</t>
        </is>
      </c>
      <c r="C62" s="28" t="n">
        <v>0</v>
      </c>
      <c r="D62" s="29" t="n">
        <v>0</v>
      </c>
      <c r="AM62" s="30" t="inlineStr">
        <is>
          <t>P</t>
        </is>
      </c>
      <c r="AN62" s="30" t="inlineStr">
        <is>
          <t>G</t>
        </is>
      </c>
      <c r="AO62" s="30" t="inlineStr">
        <is>
          <t>G</t>
        </is>
      </c>
      <c r="AP62" s="30" t="inlineStr">
        <is>
          <t>G</t>
        </is>
      </c>
      <c r="AQ62" s="30" t="inlineStr">
        <is>
          <t>G</t>
        </is>
      </c>
      <c r="AR62" s="30" t="inlineStr">
        <is>
          <t>G</t>
        </is>
      </c>
      <c r="AS62" s="30" t="inlineStr">
        <is>
          <t>H</t>
        </is>
      </c>
      <c r="AT62" s="30" t="inlineStr">
        <is>
          <t>H</t>
        </is>
      </c>
      <c r="BE62" s="31">
        <f>D62*$B$5</f>
        <v/>
      </c>
      <c r="BF62" s="31">
        <f>D62*$I$11</f>
        <v/>
      </c>
      <c r="BG62" s="32">
        <f>MATCH("P",$E62:$BD62,0)</f>
        <v/>
      </c>
    </row>
    <row r="63">
      <c r="A63" s="27" t="inlineStr">
        <is>
          <t>Spinach W36</t>
        </is>
      </c>
      <c r="B63" s="27" t="inlineStr">
        <is>
          <t>Spinach</t>
        </is>
      </c>
      <c r="C63" s="28" t="n">
        <v>0</v>
      </c>
      <c r="D63" s="29" t="n">
        <v>0</v>
      </c>
      <c r="AN63" s="30" t="inlineStr">
        <is>
          <t>P</t>
        </is>
      </c>
      <c r="AO63" s="30" t="inlineStr">
        <is>
          <t>G</t>
        </is>
      </c>
      <c r="AP63" s="30" t="inlineStr">
        <is>
          <t>G</t>
        </is>
      </c>
      <c r="AQ63" s="30" t="inlineStr">
        <is>
          <t>G</t>
        </is>
      </c>
      <c r="AR63" s="30" t="inlineStr">
        <is>
          <t>G</t>
        </is>
      </c>
      <c r="AS63" s="30" t="inlineStr">
        <is>
          <t>G</t>
        </is>
      </c>
      <c r="AT63" s="30" t="inlineStr">
        <is>
          <t>H</t>
        </is>
      </c>
      <c r="AU63" s="30" t="inlineStr">
        <is>
          <t>H</t>
        </is>
      </c>
      <c r="BE63" s="31">
        <f>D63*$B$5</f>
        <v/>
      </c>
      <c r="BF63" s="31">
        <f>D63*$I$11</f>
        <v/>
      </c>
      <c r="BG63" s="32">
        <f>MATCH("P",$E63:$BD63,0)</f>
        <v/>
      </c>
    </row>
    <row r="64">
      <c r="A64" s="27" t="inlineStr">
        <is>
          <t>Spinach W37</t>
        </is>
      </c>
      <c r="B64" s="27" t="inlineStr">
        <is>
          <t>Spinach</t>
        </is>
      </c>
      <c r="C64" s="28" t="n">
        <v>0</v>
      </c>
      <c r="D64" s="29" t="n">
        <v>0</v>
      </c>
      <c r="AO64" s="30" t="inlineStr">
        <is>
          <t>P</t>
        </is>
      </c>
      <c r="AP64" s="30" t="inlineStr">
        <is>
          <t>G</t>
        </is>
      </c>
      <c r="AQ64" s="30" t="inlineStr">
        <is>
          <t>G</t>
        </is>
      </c>
      <c r="AR64" s="30" t="inlineStr">
        <is>
          <t>G</t>
        </is>
      </c>
      <c r="AS64" s="30" t="inlineStr">
        <is>
          <t>G</t>
        </is>
      </c>
      <c r="AT64" s="30" t="inlineStr">
        <is>
          <t>G</t>
        </is>
      </c>
      <c r="AU64" s="30" t="inlineStr">
        <is>
          <t>H</t>
        </is>
      </c>
      <c r="AV64" s="30" t="inlineStr">
        <is>
          <t>H</t>
        </is>
      </c>
      <c r="BE64" s="31">
        <f>D64*$B$5</f>
        <v/>
      </c>
      <c r="BF64" s="31">
        <f>D64*$I$11</f>
        <v/>
      </c>
      <c r="BG64" s="32">
        <f>MATCH("P",$E64:$BD64,0)</f>
        <v/>
      </c>
    </row>
    <row r="65">
      <c r="A65" s="27" t="inlineStr">
        <is>
          <t>Spinach W38</t>
        </is>
      </c>
      <c r="B65" s="27" t="inlineStr">
        <is>
          <t>Spinach</t>
        </is>
      </c>
      <c r="C65" s="28" t="n">
        <v>0</v>
      </c>
      <c r="D65" s="29" t="n">
        <v>0</v>
      </c>
      <c r="AP65" s="30" t="inlineStr">
        <is>
          <t>P</t>
        </is>
      </c>
      <c r="AQ65" s="30" t="inlineStr">
        <is>
          <t>G</t>
        </is>
      </c>
      <c r="AR65" s="30" t="inlineStr">
        <is>
          <t>G</t>
        </is>
      </c>
      <c r="AS65" s="30" t="inlineStr">
        <is>
          <t>G</t>
        </is>
      </c>
      <c r="AT65" s="30" t="inlineStr">
        <is>
          <t>G</t>
        </is>
      </c>
      <c r="AU65" s="30" t="inlineStr">
        <is>
          <t>G</t>
        </is>
      </c>
      <c r="AV65" s="30" t="inlineStr">
        <is>
          <t>H</t>
        </is>
      </c>
      <c r="AW65" s="30" t="inlineStr">
        <is>
          <t>H</t>
        </is>
      </c>
      <c r="BE65" s="31">
        <f>D65*$B$5</f>
        <v/>
      </c>
      <c r="BF65" s="31">
        <f>D65*$I$11</f>
        <v/>
      </c>
      <c r="BG65" s="32">
        <f>MATCH("P",$E65:$BD65,0)</f>
        <v/>
      </c>
    </row>
    <row r="66">
      <c r="A66" s="27" t="inlineStr">
        <is>
          <t>Spinach W39</t>
        </is>
      </c>
      <c r="B66" s="27" t="inlineStr">
        <is>
          <t>Spinach</t>
        </is>
      </c>
      <c r="C66" s="28" t="n">
        <v>0</v>
      </c>
      <c r="D66" s="29" t="n">
        <v>0</v>
      </c>
      <c r="AQ66" s="30" t="inlineStr">
        <is>
          <t>P</t>
        </is>
      </c>
      <c r="AR66" s="30" t="inlineStr">
        <is>
          <t>G</t>
        </is>
      </c>
      <c r="AS66" s="30" t="inlineStr">
        <is>
          <t>G</t>
        </is>
      </c>
      <c r="AT66" s="30" t="inlineStr">
        <is>
          <t>G</t>
        </is>
      </c>
      <c r="AU66" s="30" t="inlineStr">
        <is>
          <t>G</t>
        </is>
      </c>
      <c r="AV66" s="30" t="inlineStr">
        <is>
          <t>G</t>
        </is>
      </c>
      <c r="AW66" s="30" t="inlineStr">
        <is>
          <t>H</t>
        </is>
      </c>
      <c r="AX66" s="30" t="inlineStr">
        <is>
          <t>H</t>
        </is>
      </c>
      <c r="BE66" s="31">
        <f>D66*$B$5</f>
        <v/>
      </c>
      <c r="BF66" s="31">
        <f>D66*$I$11</f>
        <v/>
      </c>
      <c r="BG66" s="32">
        <f>MATCH("P",$E66:$BD66,0)</f>
        <v/>
      </c>
    </row>
    <row r="67">
      <c r="A67" s="27" t="inlineStr">
        <is>
          <t>Spinach W40</t>
        </is>
      </c>
      <c r="B67" s="27" t="inlineStr">
        <is>
          <t>Spinach</t>
        </is>
      </c>
      <c r="C67" s="28" t="n">
        <v>0</v>
      </c>
      <c r="D67" s="29" t="n">
        <v>0</v>
      </c>
      <c r="AR67" s="30" t="inlineStr">
        <is>
          <t>P</t>
        </is>
      </c>
      <c r="AS67" s="30" t="inlineStr">
        <is>
          <t>G</t>
        </is>
      </c>
      <c r="AT67" s="30" t="inlineStr">
        <is>
          <t>G</t>
        </is>
      </c>
      <c r="AU67" s="30" t="inlineStr">
        <is>
          <t>G</t>
        </is>
      </c>
      <c r="AV67" s="30" t="inlineStr">
        <is>
          <t>G</t>
        </is>
      </c>
      <c r="AW67" s="30" t="inlineStr">
        <is>
          <t>G</t>
        </is>
      </c>
      <c r="AX67" s="30" t="inlineStr">
        <is>
          <t>H</t>
        </is>
      </c>
      <c r="AY67" s="30" t="inlineStr">
        <is>
          <t>H</t>
        </is>
      </c>
      <c r="BE67" s="31">
        <f>D67*$B$5</f>
        <v/>
      </c>
      <c r="BF67" s="31">
        <f>D67*$I$11</f>
        <v/>
      </c>
      <c r="BG67" s="32">
        <f>MATCH("P",$E67:$BD67,0)</f>
        <v/>
      </c>
    </row>
    <row r="68">
      <c r="A68" s="27" t="inlineStr">
        <is>
          <t>Spinach W41</t>
        </is>
      </c>
      <c r="B68" s="27" t="inlineStr">
        <is>
          <t>Spinach</t>
        </is>
      </c>
      <c r="C68" s="28" t="n">
        <v>0</v>
      </c>
      <c r="D68" s="29" t="n">
        <v>0</v>
      </c>
      <c r="AS68" s="30" t="inlineStr">
        <is>
          <t>P</t>
        </is>
      </c>
      <c r="AT68" s="30" t="inlineStr">
        <is>
          <t>G</t>
        </is>
      </c>
      <c r="AU68" s="30" t="inlineStr">
        <is>
          <t>G</t>
        </is>
      </c>
      <c r="AV68" s="30" t="inlineStr">
        <is>
          <t>G</t>
        </is>
      </c>
      <c r="AW68" s="30" t="inlineStr">
        <is>
          <t>G</t>
        </is>
      </c>
      <c r="AX68" s="30" t="inlineStr">
        <is>
          <t>G</t>
        </is>
      </c>
      <c r="AY68" s="30" t="inlineStr">
        <is>
          <t>H</t>
        </is>
      </c>
      <c r="AZ68" s="30" t="inlineStr">
        <is>
          <t>H</t>
        </is>
      </c>
      <c r="BE68" s="31">
        <f>D68*$B$5</f>
        <v/>
      </c>
      <c r="BF68" s="31">
        <f>D68*$I$11</f>
        <v/>
      </c>
      <c r="BG68" s="32">
        <f>MATCH("P",$E68:$BD68,0)</f>
        <v/>
      </c>
    </row>
    <row r="69">
      <c r="A69" s="27" t="inlineStr">
        <is>
          <t>Spinach W42</t>
        </is>
      </c>
      <c r="B69" s="27" t="inlineStr">
        <is>
          <t>Spinach</t>
        </is>
      </c>
      <c r="C69" s="28" t="n">
        <v>0</v>
      </c>
      <c r="D69" s="29" t="n">
        <v>0</v>
      </c>
      <c r="AT69" s="30" t="inlineStr">
        <is>
          <t>P</t>
        </is>
      </c>
      <c r="AU69" s="30" t="inlineStr">
        <is>
          <t>G</t>
        </is>
      </c>
      <c r="AV69" s="30" t="inlineStr">
        <is>
          <t>G</t>
        </is>
      </c>
      <c r="AW69" s="30" t="inlineStr">
        <is>
          <t>G</t>
        </is>
      </c>
      <c r="AX69" s="30" t="inlineStr">
        <is>
          <t>G</t>
        </is>
      </c>
      <c r="AY69" s="30" t="inlineStr">
        <is>
          <t>G</t>
        </is>
      </c>
      <c r="AZ69" s="30" t="inlineStr">
        <is>
          <t>H</t>
        </is>
      </c>
      <c r="BA69" s="30" t="inlineStr">
        <is>
          <t>H</t>
        </is>
      </c>
      <c r="BE69" s="31">
        <f>D69*$B$5</f>
        <v/>
      </c>
      <c r="BF69" s="31">
        <f>D69*$I$11</f>
        <v/>
      </c>
      <c r="BG69" s="32">
        <f>MATCH("P",$E69:$BD69,0)</f>
        <v/>
      </c>
    </row>
    <row r="70">
      <c r="A70" s="27" t="inlineStr">
        <is>
          <t>Spinach W43</t>
        </is>
      </c>
      <c r="B70" s="27" t="inlineStr">
        <is>
          <t>Spinach</t>
        </is>
      </c>
      <c r="C70" s="28" t="n">
        <v>0</v>
      </c>
      <c r="D70" s="29" t="n">
        <v>0</v>
      </c>
      <c r="AU70" s="30" t="inlineStr">
        <is>
          <t>P</t>
        </is>
      </c>
      <c r="AV70" s="30" t="inlineStr">
        <is>
          <t>G</t>
        </is>
      </c>
      <c r="AW70" s="30" t="inlineStr">
        <is>
          <t>G</t>
        </is>
      </c>
      <c r="AX70" s="30" t="inlineStr">
        <is>
          <t>G</t>
        </is>
      </c>
      <c r="AY70" s="30" t="inlineStr">
        <is>
          <t>G</t>
        </is>
      </c>
      <c r="AZ70" s="30" t="inlineStr">
        <is>
          <t>G</t>
        </is>
      </c>
      <c r="BA70" s="30" t="inlineStr">
        <is>
          <t>H</t>
        </is>
      </c>
      <c r="BB70" s="30" t="inlineStr">
        <is>
          <t>H</t>
        </is>
      </c>
      <c r="BE70" s="31">
        <f>D70*$B$5</f>
        <v/>
      </c>
      <c r="BF70" s="31">
        <f>D70*$I$11</f>
        <v/>
      </c>
      <c r="BG70" s="32">
        <f>MATCH("P",$E70:$BD70,0)</f>
        <v/>
      </c>
    </row>
    <row r="71">
      <c r="A71" s="27" t="inlineStr">
        <is>
          <t>Spinach W44</t>
        </is>
      </c>
      <c r="B71" s="27" t="inlineStr">
        <is>
          <t>Spinach</t>
        </is>
      </c>
      <c r="C71" s="28" t="n">
        <v>0</v>
      </c>
      <c r="D71" s="29" t="n">
        <v>0</v>
      </c>
      <c r="AV71" s="30" t="inlineStr">
        <is>
          <t>P</t>
        </is>
      </c>
      <c r="AW71" s="30" t="inlineStr">
        <is>
          <t>G</t>
        </is>
      </c>
      <c r="AX71" s="30" t="inlineStr">
        <is>
          <t>G</t>
        </is>
      </c>
      <c r="AY71" s="30" t="inlineStr">
        <is>
          <t>G</t>
        </is>
      </c>
      <c r="AZ71" s="30" t="inlineStr">
        <is>
          <t>G</t>
        </is>
      </c>
      <c r="BA71" s="30" t="inlineStr">
        <is>
          <t>G</t>
        </is>
      </c>
      <c r="BB71" s="30" t="inlineStr">
        <is>
          <t>H</t>
        </is>
      </c>
      <c r="BC71" s="30" t="inlineStr">
        <is>
          <t>H</t>
        </is>
      </c>
      <c r="BE71" s="31">
        <f>D71*$B$5</f>
        <v/>
      </c>
      <c r="BF71" s="31">
        <f>D71*$I$11</f>
        <v/>
      </c>
      <c r="BG71" s="32">
        <f>MATCH("P",$E71:$BD71,0)</f>
        <v/>
      </c>
    </row>
    <row r="72">
      <c r="A72" s="27" t="inlineStr">
        <is>
          <t>Spinach W45</t>
        </is>
      </c>
      <c r="B72" s="27" t="inlineStr">
        <is>
          <t>Spinach</t>
        </is>
      </c>
      <c r="C72" s="28" t="n">
        <v>0</v>
      </c>
      <c r="D72" s="29" t="n">
        <v>0</v>
      </c>
      <c r="AW72" s="30" t="inlineStr">
        <is>
          <t>P</t>
        </is>
      </c>
      <c r="AX72" s="30" t="inlineStr">
        <is>
          <t>G</t>
        </is>
      </c>
      <c r="AY72" s="30" t="inlineStr">
        <is>
          <t>G</t>
        </is>
      </c>
      <c r="AZ72" s="30" t="inlineStr">
        <is>
          <t>G</t>
        </is>
      </c>
      <c r="BA72" s="30" t="inlineStr">
        <is>
          <t>G</t>
        </is>
      </c>
      <c r="BB72" s="30" t="inlineStr">
        <is>
          <t>G</t>
        </is>
      </c>
      <c r="BC72" s="30" t="inlineStr">
        <is>
          <t>H</t>
        </is>
      </c>
      <c r="BD72" s="30" t="inlineStr">
        <is>
          <t>H</t>
        </is>
      </c>
      <c r="BE72" s="31">
        <f>D72*$B$5</f>
        <v/>
      </c>
      <c r="BF72" s="31">
        <f>D72*$I$11</f>
        <v/>
      </c>
      <c r="BG72" s="32">
        <f>MATCH("P",$E72:$BD72,0)</f>
        <v/>
      </c>
    </row>
    <row r="73">
      <c r="A73" s="27" t="inlineStr">
        <is>
          <t>Kale W05</t>
        </is>
      </c>
      <c r="B73" s="27" t="inlineStr">
        <is>
          <t>Kale</t>
        </is>
      </c>
      <c r="C73" s="28" t="n">
        <v>0</v>
      </c>
      <c r="D73" s="29" t="n">
        <v>0</v>
      </c>
      <c r="I73" s="30" t="inlineStr">
        <is>
          <t>P</t>
        </is>
      </c>
      <c r="J73" s="30" t="inlineStr">
        <is>
          <t>G</t>
        </is>
      </c>
      <c r="K73" s="30" t="inlineStr">
        <is>
          <t>G</t>
        </is>
      </c>
      <c r="L73" s="30" t="inlineStr">
        <is>
          <t>G</t>
        </is>
      </c>
      <c r="M73" s="30" t="inlineStr">
        <is>
          <t>G</t>
        </is>
      </c>
      <c r="N73" s="30" t="inlineStr">
        <is>
          <t>G</t>
        </is>
      </c>
      <c r="O73" s="30" t="inlineStr">
        <is>
          <t>G</t>
        </is>
      </c>
      <c r="P73" s="30" t="inlineStr">
        <is>
          <t>G</t>
        </is>
      </c>
      <c r="Q73" s="30" t="inlineStr">
        <is>
          <t>G</t>
        </is>
      </c>
      <c r="R73" s="30" t="inlineStr">
        <is>
          <t>H</t>
        </is>
      </c>
      <c r="S73" s="30" t="inlineStr">
        <is>
          <t>H</t>
        </is>
      </c>
      <c r="T73" s="30" t="inlineStr">
        <is>
          <t>H</t>
        </is>
      </c>
      <c r="U73" s="30" t="inlineStr">
        <is>
          <t>H</t>
        </is>
      </c>
      <c r="BE73" s="31">
        <f>D73*$B$5</f>
        <v/>
      </c>
      <c r="BF73" s="31">
        <f>D73*$I$12</f>
        <v/>
      </c>
      <c r="BG73" s="32">
        <f>MATCH("P",$E73:$BD73,0)</f>
        <v/>
      </c>
    </row>
    <row r="74">
      <c r="A74" s="27" t="inlineStr">
        <is>
          <t>Kale W06</t>
        </is>
      </c>
      <c r="B74" s="27" t="inlineStr">
        <is>
          <t>Kale</t>
        </is>
      </c>
      <c r="C74" s="28" t="n">
        <v>0</v>
      </c>
      <c r="D74" s="29" t="n">
        <v>0</v>
      </c>
      <c r="J74" s="30" t="inlineStr">
        <is>
          <t>P</t>
        </is>
      </c>
      <c r="K74" s="30" t="inlineStr">
        <is>
          <t>G</t>
        </is>
      </c>
      <c r="L74" s="30" t="inlineStr">
        <is>
          <t>G</t>
        </is>
      </c>
      <c r="M74" s="30" t="inlineStr">
        <is>
          <t>G</t>
        </is>
      </c>
      <c r="N74" s="30" t="inlineStr">
        <is>
          <t>G</t>
        </is>
      </c>
      <c r="O74" s="30" t="inlineStr">
        <is>
          <t>G</t>
        </is>
      </c>
      <c r="P74" s="30" t="inlineStr">
        <is>
          <t>G</t>
        </is>
      </c>
      <c r="Q74" s="30" t="inlineStr">
        <is>
          <t>G</t>
        </is>
      </c>
      <c r="R74" s="30" t="inlineStr">
        <is>
          <t>G</t>
        </is>
      </c>
      <c r="S74" s="30" t="inlineStr">
        <is>
          <t>H</t>
        </is>
      </c>
      <c r="T74" s="30" t="inlineStr">
        <is>
          <t>H</t>
        </is>
      </c>
      <c r="U74" s="30" t="inlineStr">
        <is>
          <t>H</t>
        </is>
      </c>
      <c r="V74" s="30" t="inlineStr">
        <is>
          <t>H</t>
        </is>
      </c>
      <c r="BE74" s="31">
        <f>D74*$B$5</f>
        <v/>
      </c>
      <c r="BF74" s="31">
        <f>D74*$I$12</f>
        <v/>
      </c>
      <c r="BG74" s="32">
        <f>MATCH("P",$E74:$BD74,0)</f>
        <v/>
      </c>
    </row>
    <row r="75">
      <c r="A75" s="27" t="inlineStr">
        <is>
          <t>Kale W07</t>
        </is>
      </c>
      <c r="B75" s="27" t="inlineStr">
        <is>
          <t>Kale</t>
        </is>
      </c>
      <c r="C75" s="28" t="n">
        <v>0</v>
      </c>
      <c r="D75" s="29" t="n">
        <v>0</v>
      </c>
      <c r="K75" s="30" t="inlineStr">
        <is>
          <t>P</t>
        </is>
      </c>
      <c r="L75" s="30" t="inlineStr">
        <is>
          <t>G</t>
        </is>
      </c>
      <c r="M75" s="30" t="inlineStr">
        <is>
          <t>G</t>
        </is>
      </c>
      <c r="N75" s="30" t="inlineStr">
        <is>
          <t>G</t>
        </is>
      </c>
      <c r="O75" s="30" t="inlineStr">
        <is>
          <t>G</t>
        </is>
      </c>
      <c r="P75" s="30" t="inlineStr">
        <is>
          <t>G</t>
        </is>
      </c>
      <c r="Q75" s="30" t="inlineStr">
        <is>
          <t>G</t>
        </is>
      </c>
      <c r="R75" s="30" t="inlineStr">
        <is>
          <t>G</t>
        </is>
      </c>
      <c r="S75" s="30" t="inlineStr">
        <is>
          <t>G</t>
        </is>
      </c>
      <c r="T75" s="30" t="inlineStr">
        <is>
          <t>H</t>
        </is>
      </c>
      <c r="U75" s="30" t="inlineStr">
        <is>
          <t>H</t>
        </is>
      </c>
      <c r="V75" s="30" t="inlineStr">
        <is>
          <t>H</t>
        </is>
      </c>
      <c r="W75" s="30" t="inlineStr">
        <is>
          <t>H</t>
        </is>
      </c>
      <c r="BE75" s="31">
        <f>D75*$B$5</f>
        <v/>
      </c>
      <c r="BF75" s="31">
        <f>D75*$I$12</f>
        <v/>
      </c>
      <c r="BG75" s="32">
        <f>MATCH("P",$E75:$BD75,0)</f>
        <v/>
      </c>
    </row>
    <row r="76">
      <c r="A76" s="27" t="inlineStr">
        <is>
          <t>Kale W08</t>
        </is>
      </c>
      <c r="B76" s="27" t="inlineStr">
        <is>
          <t>Kale</t>
        </is>
      </c>
      <c r="C76" s="28" t="n">
        <v>0</v>
      </c>
      <c r="D76" s="29" t="n">
        <v>0</v>
      </c>
      <c r="L76" s="30" t="inlineStr">
        <is>
          <t>P</t>
        </is>
      </c>
      <c r="M76" s="30" t="inlineStr">
        <is>
          <t>G</t>
        </is>
      </c>
      <c r="N76" s="30" t="inlineStr">
        <is>
          <t>G</t>
        </is>
      </c>
      <c r="O76" s="30" t="inlineStr">
        <is>
          <t>G</t>
        </is>
      </c>
      <c r="P76" s="30" t="inlineStr">
        <is>
          <t>G</t>
        </is>
      </c>
      <c r="Q76" s="30" t="inlineStr">
        <is>
          <t>G</t>
        </is>
      </c>
      <c r="R76" s="30" t="inlineStr">
        <is>
          <t>G</t>
        </is>
      </c>
      <c r="S76" s="30" t="inlineStr">
        <is>
          <t>G</t>
        </is>
      </c>
      <c r="T76" s="30" t="inlineStr">
        <is>
          <t>G</t>
        </is>
      </c>
      <c r="U76" s="30" t="inlineStr">
        <is>
          <t>H</t>
        </is>
      </c>
      <c r="V76" s="30" t="inlineStr">
        <is>
          <t>H</t>
        </is>
      </c>
      <c r="W76" s="30" t="inlineStr">
        <is>
          <t>H</t>
        </is>
      </c>
      <c r="X76" s="30" t="inlineStr">
        <is>
          <t>H</t>
        </is>
      </c>
      <c r="BE76" s="31">
        <f>D76*$B$5</f>
        <v/>
      </c>
      <c r="BF76" s="31">
        <f>D76*$I$12</f>
        <v/>
      </c>
      <c r="BG76" s="32">
        <f>MATCH("P",$E76:$BD76,0)</f>
        <v/>
      </c>
    </row>
    <row r="77">
      <c r="A77" s="27" t="inlineStr">
        <is>
          <t>Kale W09</t>
        </is>
      </c>
      <c r="B77" s="27" t="inlineStr">
        <is>
          <t>Kale</t>
        </is>
      </c>
      <c r="C77" s="28" t="n">
        <v>0</v>
      </c>
      <c r="D77" s="29" t="n">
        <v>0</v>
      </c>
      <c r="M77" s="30" t="inlineStr">
        <is>
          <t>P</t>
        </is>
      </c>
      <c r="N77" s="30" t="inlineStr">
        <is>
          <t>G</t>
        </is>
      </c>
      <c r="O77" s="30" t="inlineStr">
        <is>
          <t>G</t>
        </is>
      </c>
      <c r="P77" s="30" t="inlineStr">
        <is>
          <t>G</t>
        </is>
      </c>
      <c r="Q77" s="30" t="inlineStr">
        <is>
          <t>G</t>
        </is>
      </c>
      <c r="R77" s="30" t="inlineStr">
        <is>
          <t>G</t>
        </is>
      </c>
      <c r="S77" s="30" t="inlineStr">
        <is>
          <t>G</t>
        </is>
      </c>
      <c r="T77" s="30" t="inlineStr">
        <is>
          <t>G</t>
        </is>
      </c>
      <c r="U77" s="30" t="inlineStr">
        <is>
          <t>G</t>
        </is>
      </c>
      <c r="V77" s="30" t="inlineStr">
        <is>
          <t>H</t>
        </is>
      </c>
      <c r="W77" s="30" t="inlineStr">
        <is>
          <t>H</t>
        </is>
      </c>
      <c r="X77" s="30" t="inlineStr">
        <is>
          <t>H</t>
        </is>
      </c>
      <c r="Y77" s="30" t="inlineStr">
        <is>
          <t>H</t>
        </is>
      </c>
      <c r="BE77" s="31">
        <f>D77*$B$5</f>
        <v/>
      </c>
      <c r="BF77" s="31">
        <f>D77*$I$12</f>
        <v/>
      </c>
      <c r="BG77" s="32">
        <f>MATCH("P",$E77:$BD77,0)</f>
        <v/>
      </c>
    </row>
    <row r="78">
      <c r="A78" s="27" t="inlineStr">
        <is>
          <t>Kale W10</t>
        </is>
      </c>
      <c r="B78" s="27" t="inlineStr">
        <is>
          <t>Kale</t>
        </is>
      </c>
      <c r="C78" s="28" t="n">
        <v>0</v>
      </c>
      <c r="D78" s="29" t="n">
        <v>0</v>
      </c>
      <c r="N78" s="30" t="inlineStr">
        <is>
          <t>P</t>
        </is>
      </c>
      <c r="O78" s="30" t="inlineStr">
        <is>
          <t>G</t>
        </is>
      </c>
      <c r="P78" s="30" t="inlineStr">
        <is>
          <t>G</t>
        </is>
      </c>
      <c r="Q78" s="30" t="inlineStr">
        <is>
          <t>G</t>
        </is>
      </c>
      <c r="R78" s="30" t="inlineStr">
        <is>
          <t>G</t>
        </is>
      </c>
      <c r="S78" s="30" t="inlineStr">
        <is>
          <t>G</t>
        </is>
      </c>
      <c r="T78" s="30" t="inlineStr">
        <is>
          <t>G</t>
        </is>
      </c>
      <c r="U78" s="30" t="inlineStr">
        <is>
          <t>G</t>
        </is>
      </c>
      <c r="V78" s="30" t="inlineStr">
        <is>
          <t>G</t>
        </is>
      </c>
      <c r="W78" s="30" t="inlineStr">
        <is>
          <t>H</t>
        </is>
      </c>
      <c r="X78" s="30" t="inlineStr">
        <is>
          <t>H</t>
        </is>
      </c>
      <c r="Y78" s="30" t="inlineStr">
        <is>
          <t>H</t>
        </is>
      </c>
      <c r="Z78" s="30" t="inlineStr">
        <is>
          <t>H</t>
        </is>
      </c>
      <c r="BE78" s="31">
        <f>D78*$B$5</f>
        <v/>
      </c>
      <c r="BF78" s="31">
        <f>D78*$I$12</f>
        <v/>
      </c>
      <c r="BG78" s="32">
        <f>MATCH("P",$E78:$BD78,0)</f>
        <v/>
      </c>
    </row>
    <row r="79">
      <c r="A79" s="27" t="inlineStr">
        <is>
          <t>Kale W11</t>
        </is>
      </c>
      <c r="B79" s="27" t="inlineStr">
        <is>
          <t>Kale</t>
        </is>
      </c>
      <c r="C79" s="28" t="n">
        <v>0</v>
      </c>
      <c r="D79" s="29" t="n">
        <v>0</v>
      </c>
      <c r="O79" s="30" t="inlineStr">
        <is>
          <t>P</t>
        </is>
      </c>
      <c r="P79" s="30" t="inlineStr">
        <is>
          <t>G</t>
        </is>
      </c>
      <c r="Q79" s="30" t="inlineStr">
        <is>
          <t>G</t>
        </is>
      </c>
      <c r="R79" s="30" t="inlineStr">
        <is>
          <t>G</t>
        </is>
      </c>
      <c r="S79" s="30" t="inlineStr">
        <is>
          <t>G</t>
        </is>
      </c>
      <c r="T79" s="30" t="inlineStr">
        <is>
          <t>G</t>
        </is>
      </c>
      <c r="U79" s="30" t="inlineStr">
        <is>
          <t>G</t>
        </is>
      </c>
      <c r="V79" s="30" t="inlineStr">
        <is>
          <t>G</t>
        </is>
      </c>
      <c r="W79" s="30" t="inlineStr">
        <is>
          <t>G</t>
        </is>
      </c>
      <c r="X79" s="30" t="inlineStr">
        <is>
          <t>H</t>
        </is>
      </c>
      <c r="Y79" s="30" t="inlineStr">
        <is>
          <t>H</t>
        </is>
      </c>
      <c r="Z79" s="30" t="inlineStr">
        <is>
          <t>H</t>
        </is>
      </c>
      <c r="AA79" s="30" t="inlineStr">
        <is>
          <t>H</t>
        </is>
      </c>
      <c r="BE79" s="31">
        <f>D79*$B$5</f>
        <v/>
      </c>
      <c r="BF79" s="31">
        <f>D79*$I$12</f>
        <v/>
      </c>
      <c r="BG79" s="32">
        <f>MATCH("P",$E79:$BD79,0)</f>
        <v/>
      </c>
    </row>
    <row r="80">
      <c r="A80" s="27" t="inlineStr">
        <is>
          <t>Kale W12</t>
        </is>
      </c>
      <c r="B80" s="27" t="inlineStr">
        <is>
          <t>Kale</t>
        </is>
      </c>
      <c r="C80" s="28" t="n">
        <v>0</v>
      </c>
      <c r="D80" s="29" t="n">
        <v>0</v>
      </c>
      <c r="P80" s="30" t="inlineStr">
        <is>
          <t>P</t>
        </is>
      </c>
      <c r="Q80" s="30" t="inlineStr">
        <is>
          <t>G</t>
        </is>
      </c>
      <c r="R80" s="30" t="inlineStr">
        <is>
          <t>G</t>
        </is>
      </c>
      <c r="S80" s="30" t="inlineStr">
        <is>
          <t>G</t>
        </is>
      </c>
      <c r="T80" s="30" t="inlineStr">
        <is>
          <t>G</t>
        </is>
      </c>
      <c r="U80" s="30" t="inlineStr">
        <is>
          <t>G</t>
        </is>
      </c>
      <c r="V80" s="30" t="inlineStr">
        <is>
          <t>G</t>
        </is>
      </c>
      <c r="W80" s="30" t="inlineStr">
        <is>
          <t>G</t>
        </is>
      </c>
      <c r="X80" s="30" t="inlineStr">
        <is>
          <t>G</t>
        </is>
      </c>
      <c r="Y80" s="30" t="inlineStr">
        <is>
          <t>H</t>
        </is>
      </c>
      <c r="Z80" s="30" t="inlineStr">
        <is>
          <t>H</t>
        </is>
      </c>
      <c r="AA80" s="30" t="inlineStr">
        <is>
          <t>H</t>
        </is>
      </c>
      <c r="AB80" s="30" t="inlineStr">
        <is>
          <t>H</t>
        </is>
      </c>
      <c r="BE80" s="31">
        <f>D80*$B$5</f>
        <v/>
      </c>
      <c r="BF80" s="31">
        <f>D80*$I$12</f>
        <v/>
      </c>
      <c r="BG80" s="32">
        <f>MATCH("P",$E80:$BD80,0)</f>
        <v/>
      </c>
    </row>
    <row r="81">
      <c r="A81" s="27" t="inlineStr">
        <is>
          <t>Kale W13</t>
        </is>
      </c>
      <c r="B81" s="27" t="inlineStr">
        <is>
          <t>Kale</t>
        </is>
      </c>
      <c r="C81" s="28" t="n">
        <v>0</v>
      </c>
      <c r="D81" s="29" t="n">
        <v>0</v>
      </c>
      <c r="Q81" s="30" t="inlineStr">
        <is>
          <t>P</t>
        </is>
      </c>
      <c r="R81" s="30" t="inlineStr">
        <is>
          <t>G</t>
        </is>
      </c>
      <c r="S81" s="30" t="inlineStr">
        <is>
          <t>G</t>
        </is>
      </c>
      <c r="T81" s="30" t="inlineStr">
        <is>
          <t>G</t>
        </is>
      </c>
      <c r="U81" s="30" t="inlineStr">
        <is>
          <t>G</t>
        </is>
      </c>
      <c r="V81" s="30" t="inlineStr">
        <is>
          <t>G</t>
        </is>
      </c>
      <c r="W81" s="30" t="inlineStr">
        <is>
          <t>G</t>
        </is>
      </c>
      <c r="X81" s="30" t="inlineStr">
        <is>
          <t>G</t>
        </is>
      </c>
      <c r="Y81" s="30" t="inlineStr">
        <is>
          <t>G</t>
        </is>
      </c>
      <c r="Z81" s="30" t="inlineStr">
        <is>
          <t>H</t>
        </is>
      </c>
      <c r="AA81" s="30" t="inlineStr">
        <is>
          <t>H</t>
        </is>
      </c>
      <c r="AB81" s="30" t="inlineStr">
        <is>
          <t>H</t>
        </is>
      </c>
      <c r="AC81" s="30" t="inlineStr">
        <is>
          <t>H</t>
        </is>
      </c>
      <c r="BE81" s="31">
        <f>D81*$B$5</f>
        <v/>
      </c>
      <c r="BF81" s="31">
        <f>D81*$I$12</f>
        <v/>
      </c>
      <c r="BG81" s="32">
        <f>MATCH("P",$E81:$BD81,0)</f>
        <v/>
      </c>
    </row>
    <row r="82">
      <c r="A82" s="27" t="inlineStr">
        <is>
          <t>Kale W14</t>
        </is>
      </c>
      <c r="B82" s="27" t="inlineStr">
        <is>
          <t>Kale</t>
        </is>
      </c>
      <c r="C82" s="28" t="n">
        <v>0</v>
      </c>
      <c r="D82" s="29" t="n">
        <v>0</v>
      </c>
      <c r="R82" s="30" t="inlineStr">
        <is>
          <t>P</t>
        </is>
      </c>
      <c r="S82" s="30" t="inlineStr">
        <is>
          <t>G</t>
        </is>
      </c>
      <c r="T82" s="30" t="inlineStr">
        <is>
          <t>G</t>
        </is>
      </c>
      <c r="U82" s="30" t="inlineStr">
        <is>
          <t>G</t>
        </is>
      </c>
      <c r="V82" s="30" t="inlineStr">
        <is>
          <t>G</t>
        </is>
      </c>
      <c r="W82" s="30" t="inlineStr">
        <is>
          <t>G</t>
        </is>
      </c>
      <c r="X82" s="30" t="inlineStr">
        <is>
          <t>G</t>
        </is>
      </c>
      <c r="Y82" s="30" t="inlineStr">
        <is>
          <t>G</t>
        </is>
      </c>
      <c r="Z82" s="30" t="inlineStr">
        <is>
          <t>G</t>
        </is>
      </c>
      <c r="AA82" s="30" t="inlineStr">
        <is>
          <t>H</t>
        </is>
      </c>
      <c r="AB82" s="30" t="inlineStr">
        <is>
          <t>H</t>
        </is>
      </c>
      <c r="AC82" s="30" t="inlineStr">
        <is>
          <t>H</t>
        </is>
      </c>
      <c r="AD82" s="30" t="inlineStr">
        <is>
          <t>H</t>
        </is>
      </c>
      <c r="BE82" s="31">
        <f>D82*$B$5</f>
        <v/>
      </c>
      <c r="BF82" s="31">
        <f>D82*$I$12</f>
        <v/>
      </c>
      <c r="BG82" s="32">
        <f>MATCH("P",$E82:$BD82,0)</f>
        <v/>
      </c>
    </row>
    <row r="83">
      <c r="A83" s="27" t="inlineStr">
        <is>
          <t>Kale W15</t>
        </is>
      </c>
      <c r="B83" s="27" t="inlineStr">
        <is>
          <t>Kale</t>
        </is>
      </c>
      <c r="C83" s="28" t="n">
        <v>0</v>
      </c>
      <c r="D83" s="29" t="n">
        <v>0</v>
      </c>
      <c r="S83" s="30" t="inlineStr">
        <is>
          <t>P</t>
        </is>
      </c>
      <c r="T83" s="30" t="inlineStr">
        <is>
          <t>G</t>
        </is>
      </c>
      <c r="U83" s="30" t="inlineStr">
        <is>
          <t>G</t>
        </is>
      </c>
      <c r="V83" s="30" t="inlineStr">
        <is>
          <t>G</t>
        </is>
      </c>
      <c r="W83" s="30" t="inlineStr">
        <is>
          <t>G</t>
        </is>
      </c>
      <c r="X83" s="30" t="inlineStr">
        <is>
          <t>G</t>
        </is>
      </c>
      <c r="Y83" s="30" t="inlineStr">
        <is>
          <t>G</t>
        </is>
      </c>
      <c r="Z83" s="30" t="inlineStr">
        <is>
          <t>G</t>
        </is>
      </c>
      <c r="AA83" s="30" t="inlineStr">
        <is>
          <t>G</t>
        </is>
      </c>
      <c r="AB83" s="30" t="inlineStr">
        <is>
          <t>H</t>
        </is>
      </c>
      <c r="AC83" s="30" t="inlineStr">
        <is>
          <t>H</t>
        </is>
      </c>
      <c r="AD83" s="30" t="inlineStr">
        <is>
          <t>H</t>
        </is>
      </c>
      <c r="AE83" s="30" t="inlineStr">
        <is>
          <t>H</t>
        </is>
      </c>
      <c r="BE83" s="31">
        <f>D83*$B$5</f>
        <v/>
      </c>
      <c r="BF83" s="31">
        <f>D83*$I$12</f>
        <v/>
      </c>
      <c r="BG83" s="32">
        <f>MATCH("P",$E83:$BD83,0)</f>
        <v/>
      </c>
    </row>
    <row r="84">
      <c r="A84" s="27" t="inlineStr">
        <is>
          <t>Kale W16</t>
        </is>
      </c>
      <c r="B84" s="27" t="inlineStr">
        <is>
          <t>Kale</t>
        </is>
      </c>
      <c r="C84" s="28" t="n">
        <v>0</v>
      </c>
      <c r="D84" s="29" t="n">
        <v>0</v>
      </c>
      <c r="T84" s="30" t="inlineStr">
        <is>
          <t>P</t>
        </is>
      </c>
      <c r="U84" s="30" t="inlineStr">
        <is>
          <t>G</t>
        </is>
      </c>
      <c r="V84" s="30" t="inlineStr">
        <is>
          <t>G</t>
        </is>
      </c>
      <c r="W84" s="30" t="inlineStr">
        <is>
          <t>G</t>
        </is>
      </c>
      <c r="X84" s="30" t="inlineStr">
        <is>
          <t>G</t>
        </is>
      </c>
      <c r="Y84" s="30" t="inlineStr">
        <is>
          <t>G</t>
        </is>
      </c>
      <c r="Z84" s="30" t="inlineStr">
        <is>
          <t>G</t>
        </is>
      </c>
      <c r="AA84" s="30" t="inlineStr">
        <is>
          <t>G</t>
        </is>
      </c>
      <c r="AB84" s="30" t="inlineStr">
        <is>
          <t>G</t>
        </is>
      </c>
      <c r="AC84" s="30" t="inlineStr">
        <is>
          <t>H</t>
        </is>
      </c>
      <c r="AD84" s="30" t="inlineStr">
        <is>
          <t>H</t>
        </is>
      </c>
      <c r="AE84" s="30" t="inlineStr">
        <is>
          <t>H</t>
        </is>
      </c>
      <c r="AF84" s="30" t="inlineStr">
        <is>
          <t>H</t>
        </is>
      </c>
      <c r="BE84" s="31">
        <f>D84*$B$5</f>
        <v/>
      </c>
      <c r="BF84" s="31">
        <f>D84*$I$12</f>
        <v/>
      </c>
      <c r="BG84" s="32">
        <f>MATCH("P",$E84:$BD84,0)</f>
        <v/>
      </c>
    </row>
    <row r="85">
      <c r="A85" s="27" t="inlineStr">
        <is>
          <t>Kale W17</t>
        </is>
      </c>
      <c r="B85" s="27" t="inlineStr">
        <is>
          <t>Kale</t>
        </is>
      </c>
      <c r="C85" s="28" t="n">
        <v>0</v>
      </c>
      <c r="D85" s="29" t="n">
        <v>0</v>
      </c>
      <c r="U85" s="30" t="inlineStr">
        <is>
          <t>P</t>
        </is>
      </c>
      <c r="V85" s="30" t="inlineStr">
        <is>
          <t>G</t>
        </is>
      </c>
      <c r="W85" s="30" t="inlineStr">
        <is>
          <t>G</t>
        </is>
      </c>
      <c r="X85" s="30" t="inlineStr">
        <is>
          <t>G</t>
        </is>
      </c>
      <c r="Y85" s="30" t="inlineStr">
        <is>
          <t>G</t>
        </is>
      </c>
      <c r="Z85" s="30" t="inlineStr">
        <is>
          <t>G</t>
        </is>
      </c>
      <c r="AA85" s="30" t="inlineStr">
        <is>
          <t>G</t>
        </is>
      </c>
      <c r="AB85" s="30" t="inlineStr">
        <is>
          <t>G</t>
        </is>
      </c>
      <c r="AC85" s="30" t="inlineStr">
        <is>
          <t>G</t>
        </is>
      </c>
      <c r="AD85" s="30" t="inlineStr">
        <is>
          <t>H</t>
        </is>
      </c>
      <c r="AE85" s="30" t="inlineStr">
        <is>
          <t>H</t>
        </is>
      </c>
      <c r="AF85" s="30" t="inlineStr">
        <is>
          <t>H</t>
        </is>
      </c>
      <c r="AG85" s="30" t="inlineStr">
        <is>
          <t>H</t>
        </is>
      </c>
      <c r="BE85" s="31">
        <f>D85*$B$5</f>
        <v/>
      </c>
      <c r="BF85" s="31">
        <f>D85*$I$12</f>
        <v/>
      </c>
      <c r="BG85" s="32">
        <f>MATCH("P",$E85:$BD85,0)</f>
        <v/>
      </c>
    </row>
    <row r="86">
      <c r="A86" s="27" t="inlineStr">
        <is>
          <t>Kale W18</t>
        </is>
      </c>
      <c r="B86" s="27" t="inlineStr">
        <is>
          <t>Kale</t>
        </is>
      </c>
      <c r="C86" s="28" t="n">
        <v>0</v>
      </c>
      <c r="D86" s="29" t="n">
        <v>0</v>
      </c>
      <c r="V86" s="30" t="inlineStr">
        <is>
          <t>P</t>
        </is>
      </c>
      <c r="W86" s="30" t="inlineStr">
        <is>
          <t>G</t>
        </is>
      </c>
      <c r="X86" s="30" t="inlineStr">
        <is>
          <t>G</t>
        </is>
      </c>
      <c r="Y86" s="30" t="inlineStr">
        <is>
          <t>G</t>
        </is>
      </c>
      <c r="Z86" s="30" t="inlineStr">
        <is>
          <t>G</t>
        </is>
      </c>
      <c r="AA86" s="30" t="inlineStr">
        <is>
          <t>G</t>
        </is>
      </c>
      <c r="AB86" s="30" t="inlineStr">
        <is>
          <t>G</t>
        </is>
      </c>
      <c r="AC86" s="30" t="inlineStr">
        <is>
          <t>G</t>
        </is>
      </c>
      <c r="AD86" s="30" t="inlineStr">
        <is>
          <t>G</t>
        </is>
      </c>
      <c r="AE86" s="30" t="inlineStr">
        <is>
          <t>H</t>
        </is>
      </c>
      <c r="AF86" s="30" t="inlineStr">
        <is>
          <t>H</t>
        </is>
      </c>
      <c r="AG86" s="30" t="inlineStr">
        <is>
          <t>H</t>
        </is>
      </c>
      <c r="AH86" s="30" t="inlineStr">
        <is>
          <t>H</t>
        </is>
      </c>
      <c r="BE86" s="31">
        <f>D86*$B$5</f>
        <v/>
      </c>
      <c r="BF86" s="31">
        <f>D86*$I$12</f>
        <v/>
      </c>
      <c r="BG86" s="32">
        <f>MATCH("P",$E86:$BD86,0)</f>
        <v/>
      </c>
    </row>
    <row r="87">
      <c r="A87" s="27" t="inlineStr">
        <is>
          <t>Kale W19</t>
        </is>
      </c>
      <c r="B87" s="27" t="inlineStr">
        <is>
          <t>Kale</t>
        </is>
      </c>
      <c r="C87" s="28" t="n">
        <v>0</v>
      </c>
      <c r="D87" s="29" t="n">
        <v>0</v>
      </c>
      <c r="W87" s="30" t="inlineStr">
        <is>
          <t>P</t>
        </is>
      </c>
      <c r="X87" s="30" t="inlineStr">
        <is>
          <t>G</t>
        </is>
      </c>
      <c r="Y87" s="30" t="inlineStr">
        <is>
          <t>G</t>
        </is>
      </c>
      <c r="Z87" s="30" t="inlineStr">
        <is>
          <t>G</t>
        </is>
      </c>
      <c r="AA87" s="30" t="inlineStr">
        <is>
          <t>G</t>
        </is>
      </c>
      <c r="AB87" s="30" t="inlineStr">
        <is>
          <t>G</t>
        </is>
      </c>
      <c r="AC87" s="30" t="inlineStr">
        <is>
          <t>G</t>
        </is>
      </c>
      <c r="AD87" s="30" t="inlineStr">
        <is>
          <t>G</t>
        </is>
      </c>
      <c r="AE87" s="30" t="inlineStr">
        <is>
          <t>G</t>
        </is>
      </c>
      <c r="AF87" s="30" t="inlineStr">
        <is>
          <t>H</t>
        </is>
      </c>
      <c r="AG87" s="30" t="inlineStr">
        <is>
          <t>H</t>
        </is>
      </c>
      <c r="AH87" s="30" t="inlineStr">
        <is>
          <t>H</t>
        </is>
      </c>
      <c r="AI87" s="30" t="inlineStr">
        <is>
          <t>H</t>
        </is>
      </c>
      <c r="BE87" s="31">
        <f>D87*$B$5</f>
        <v/>
      </c>
      <c r="BF87" s="31">
        <f>D87*$I$12</f>
        <v/>
      </c>
      <c r="BG87" s="32">
        <f>MATCH("P",$E87:$BD87,0)</f>
        <v/>
      </c>
    </row>
    <row r="88">
      <c r="A88" s="27" t="inlineStr">
        <is>
          <t>Kale W20</t>
        </is>
      </c>
      <c r="B88" s="27" t="inlineStr">
        <is>
          <t>Kale</t>
        </is>
      </c>
      <c r="C88" s="28" t="n">
        <v>0</v>
      </c>
      <c r="D88" s="29" t="n">
        <v>0</v>
      </c>
      <c r="X88" s="30" t="inlineStr">
        <is>
          <t>P</t>
        </is>
      </c>
      <c r="Y88" s="30" t="inlineStr">
        <is>
          <t>G</t>
        </is>
      </c>
      <c r="Z88" s="30" t="inlineStr">
        <is>
          <t>G</t>
        </is>
      </c>
      <c r="AA88" s="30" t="inlineStr">
        <is>
          <t>G</t>
        </is>
      </c>
      <c r="AB88" s="30" t="inlineStr">
        <is>
          <t>G</t>
        </is>
      </c>
      <c r="AC88" s="30" t="inlineStr">
        <is>
          <t>G</t>
        </is>
      </c>
      <c r="AD88" s="30" t="inlineStr">
        <is>
          <t>G</t>
        </is>
      </c>
      <c r="AE88" s="30" t="inlineStr">
        <is>
          <t>G</t>
        </is>
      </c>
      <c r="AF88" s="30" t="inlineStr">
        <is>
          <t>G</t>
        </is>
      </c>
      <c r="AG88" s="30" t="inlineStr">
        <is>
          <t>H</t>
        </is>
      </c>
      <c r="AH88" s="30" t="inlineStr">
        <is>
          <t>H</t>
        </is>
      </c>
      <c r="AI88" s="30" t="inlineStr">
        <is>
          <t>H</t>
        </is>
      </c>
      <c r="AJ88" s="30" t="inlineStr">
        <is>
          <t>H</t>
        </is>
      </c>
      <c r="BE88" s="31">
        <f>D88*$B$5</f>
        <v/>
      </c>
      <c r="BF88" s="31">
        <f>D88*$I$12</f>
        <v/>
      </c>
      <c r="BG88" s="32">
        <f>MATCH("P",$E88:$BD88,0)</f>
        <v/>
      </c>
    </row>
    <row r="89">
      <c r="A89" s="27" t="inlineStr">
        <is>
          <t>Kale W21</t>
        </is>
      </c>
      <c r="B89" s="27" t="inlineStr">
        <is>
          <t>Kale</t>
        </is>
      </c>
      <c r="C89" s="28" t="n">
        <v>0</v>
      </c>
      <c r="D89" s="29" t="n">
        <v>0</v>
      </c>
      <c r="Y89" s="30" t="inlineStr">
        <is>
          <t>P</t>
        </is>
      </c>
      <c r="Z89" s="30" t="inlineStr">
        <is>
          <t>G</t>
        </is>
      </c>
      <c r="AA89" s="30" t="inlineStr">
        <is>
          <t>G</t>
        </is>
      </c>
      <c r="AB89" s="30" t="inlineStr">
        <is>
          <t>G</t>
        </is>
      </c>
      <c r="AC89" s="30" t="inlineStr">
        <is>
          <t>G</t>
        </is>
      </c>
      <c r="AD89" s="30" t="inlineStr">
        <is>
          <t>G</t>
        </is>
      </c>
      <c r="AE89" s="30" t="inlineStr">
        <is>
          <t>G</t>
        </is>
      </c>
      <c r="AF89" s="30" t="inlineStr">
        <is>
          <t>G</t>
        </is>
      </c>
      <c r="AG89" s="30" t="inlineStr">
        <is>
          <t>G</t>
        </is>
      </c>
      <c r="AH89" s="30" t="inlineStr">
        <is>
          <t>H</t>
        </is>
      </c>
      <c r="AI89" s="30" t="inlineStr">
        <is>
          <t>H</t>
        </is>
      </c>
      <c r="AJ89" s="30" t="inlineStr">
        <is>
          <t>H</t>
        </is>
      </c>
      <c r="AK89" s="30" t="inlineStr">
        <is>
          <t>H</t>
        </is>
      </c>
      <c r="BE89" s="31">
        <f>D89*$B$5</f>
        <v/>
      </c>
      <c r="BF89" s="31">
        <f>D89*$I$12</f>
        <v/>
      </c>
      <c r="BG89" s="32">
        <f>MATCH("P",$E89:$BD89,0)</f>
        <v/>
      </c>
    </row>
    <row r="90">
      <c r="A90" s="27" t="inlineStr">
        <is>
          <t>Kale W22</t>
        </is>
      </c>
      <c r="B90" s="27" t="inlineStr">
        <is>
          <t>Kale</t>
        </is>
      </c>
      <c r="C90" s="28" t="n">
        <v>0</v>
      </c>
      <c r="D90" s="29" t="n">
        <v>0</v>
      </c>
      <c r="Z90" s="30" t="inlineStr">
        <is>
          <t>P</t>
        </is>
      </c>
      <c r="AA90" s="30" t="inlineStr">
        <is>
          <t>G</t>
        </is>
      </c>
      <c r="AB90" s="30" t="inlineStr">
        <is>
          <t>G</t>
        </is>
      </c>
      <c r="AC90" s="30" t="inlineStr">
        <is>
          <t>G</t>
        </is>
      </c>
      <c r="AD90" s="30" t="inlineStr">
        <is>
          <t>G</t>
        </is>
      </c>
      <c r="AE90" s="30" t="inlineStr">
        <is>
          <t>G</t>
        </is>
      </c>
      <c r="AF90" s="30" t="inlineStr">
        <is>
          <t>G</t>
        </is>
      </c>
      <c r="AG90" s="30" t="inlineStr">
        <is>
          <t>G</t>
        </is>
      </c>
      <c r="AH90" s="30" t="inlineStr">
        <is>
          <t>G</t>
        </is>
      </c>
      <c r="AI90" s="30" t="inlineStr">
        <is>
          <t>H</t>
        </is>
      </c>
      <c r="AJ90" s="30" t="inlineStr">
        <is>
          <t>H</t>
        </is>
      </c>
      <c r="AK90" s="30" t="inlineStr">
        <is>
          <t>H</t>
        </is>
      </c>
      <c r="AL90" s="30" t="inlineStr">
        <is>
          <t>H</t>
        </is>
      </c>
      <c r="BE90" s="31">
        <f>D90*$B$5</f>
        <v/>
      </c>
      <c r="BF90" s="31">
        <f>D90*$I$12</f>
        <v/>
      </c>
      <c r="BG90" s="32">
        <f>MATCH("P",$E90:$BD90,0)</f>
        <v/>
      </c>
    </row>
    <row r="91">
      <c r="A91" s="27" t="inlineStr">
        <is>
          <t>Kale W29</t>
        </is>
      </c>
      <c r="B91" s="27" t="inlineStr">
        <is>
          <t>Kale</t>
        </is>
      </c>
      <c r="C91" s="28" t="n">
        <v>0</v>
      </c>
      <c r="D91" s="29" t="n">
        <v>0</v>
      </c>
      <c r="AG91" s="30" t="inlineStr">
        <is>
          <t>P</t>
        </is>
      </c>
      <c r="AH91" s="30" t="inlineStr">
        <is>
          <t>G</t>
        </is>
      </c>
      <c r="AI91" s="30" t="inlineStr">
        <is>
          <t>G</t>
        </is>
      </c>
      <c r="AJ91" s="30" t="inlineStr">
        <is>
          <t>G</t>
        </is>
      </c>
      <c r="AK91" s="30" t="inlineStr">
        <is>
          <t>G</t>
        </is>
      </c>
      <c r="AL91" s="30" t="inlineStr">
        <is>
          <t>G</t>
        </is>
      </c>
      <c r="AM91" s="30" t="inlineStr">
        <is>
          <t>G</t>
        </is>
      </c>
      <c r="AN91" s="30" t="inlineStr">
        <is>
          <t>G</t>
        </is>
      </c>
      <c r="AO91" s="30" t="inlineStr">
        <is>
          <t>G</t>
        </is>
      </c>
      <c r="AP91" s="30" t="inlineStr">
        <is>
          <t>H</t>
        </is>
      </c>
      <c r="AQ91" s="30" t="inlineStr">
        <is>
          <t>H</t>
        </is>
      </c>
      <c r="AR91" s="30" t="inlineStr">
        <is>
          <t>H</t>
        </is>
      </c>
      <c r="AS91" s="30" t="inlineStr">
        <is>
          <t>H</t>
        </is>
      </c>
      <c r="BE91" s="31">
        <f>D91*$B$5</f>
        <v/>
      </c>
      <c r="BF91" s="31">
        <f>D91*$I$12</f>
        <v/>
      </c>
      <c r="BG91" s="32">
        <f>MATCH("P",$E91:$BD91,0)</f>
        <v/>
      </c>
    </row>
    <row r="92">
      <c r="A92" s="27" t="inlineStr">
        <is>
          <t>Kale W30</t>
        </is>
      </c>
      <c r="B92" s="27" t="inlineStr">
        <is>
          <t>Kale</t>
        </is>
      </c>
      <c r="C92" s="28" t="n">
        <v>0</v>
      </c>
      <c r="D92" s="29" t="n">
        <v>0</v>
      </c>
      <c r="AH92" s="30" t="inlineStr">
        <is>
          <t>P</t>
        </is>
      </c>
      <c r="AI92" s="30" t="inlineStr">
        <is>
          <t>G</t>
        </is>
      </c>
      <c r="AJ92" s="30" t="inlineStr">
        <is>
          <t>G</t>
        </is>
      </c>
      <c r="AK92" s="30" t="inlineStr">
        <is>
          <t>G</t>
        </is>
      </c>
      <c r="AL92" s="30" t="inlineStr">
        <is>
          <t>G</t>
        </is>
      </c>
      <c r="AM92" s="30" t="inlineStr">
        <is>
          <t>G</t>
        </is>
      </c>
      <c r="AN92" s="30" t="inlineStr">
        <is>
          <t>G</t>
        </is>
      </c>
      <c r="AO92" s="30" t="inlineStr">
        <is>
          <t>G</t>
        </is>
      </c>
      <c r="AP92" s="30" t="inlineStr">
        <is>
          <t>G</t>
        </is>
      </c>
      <c r="AQ92" s="30" t="inlineStr">
        <is>
          <t>H</t>
        </is>
      </c>
      <c r="AR92" s="30" t="inlineStr">
        <is>
          <t>H</t>
        </is>
      </c>
      <c r="AS92" s="30" t="inlineStr">
        <is>
          <t>H</t>
        </is>
      </c>
      <c r="AT92" s="30" t="inlineStr">
        <is>
          <t>H</t>
        </is>
      </c>
      <c r="BE92" s="31">
        <f>D92*$B$5</f>
        <v/>
      </c>
      <c r="BF92" s="31">
        <f>D92*$I$12</f>
        <v/>
      </c>
      <c r="BG92" s="32">
        <f>MATCH("P",$E92:$BD92,0)</f>
        <v/>
      </c>
    </row>
    <row r="93">
      <c r="A93" s="27" t="inlineStr">
        <is>
          <t>Kale W31</t>
        </is>
      </c>
      <c r="B93" s="27" t="inlineStr">
        <is>
          <t>Kale</t>
        </is>
      </c>
      <c r="C93" s="28" t="n">
        <v>0</v>
      </c>
      <c r="D93" s="29" t="n">
        <v>0</v>
      </c>
      <c r="AI93" s="30" t="inlineStr">
        <is>
          <t>P</t>
        </is>
      </c>
      <c r="AJ93" s="30" t="inlineStr">
        <is>
          <t>G</t>
        </is>
      </c>
      <c r="AK93" s="30" t="inlineStr">
        <is>
          <t>G</t>
        </is>
      </c>
      <c r="AL93" s="30" t="inlineStr">
        <is>
          <t>G</t>
        </is>
      </c>
      <c r="AM93" s="30" t="inlineStr">
        <is>
          <t>G</t>
        </is>
      </c>
      <c r="AN93" s="30" t="inlineStr">
        <is>
          <t>G</t>
        </is>
      </c>
      <c r="AO93" s="30" t="inlineStr">
        <is>
          <t>G</t>
        </is>
      </c>
      <c r="AP93" s="30" t="inlineStr">
        <is>
          <t>G</t>
        </is>
      </c>
      <c r="AQ93" s="30" t="inlineStr">
        <is>
          <t>G</t>
        </is>
      </c>
      <c r="AR93" s="30" t="inlineStr">
        <is>
          <t>H</t>
        </is>
      </c>
      <c r="AS93" s="30" t="inlineStr">
        <is>
          <t>H</t>
        </is>
      </c>
      <c r="AT93" s="30" t="inlineStr">
        <is>
          <t>H</t>
        </is>
      </c>
      <c r="AU93" s="30" t="inlineStr">
        <is>
          <t>H</t>
        </is>
      </c>
      <c r="BE93" s="31">
        <f>D93*$B$5</f>
        <v/>
      </c>
      <c r="BF93" s="31">
        <f>D93*$I$12</f>
        <v/>
      </c>
      <c r="BG93" s="32">
        <f>MATCH("P",$E93:$BD93,0)</f>
        <v/>
      </c>
    </row>
    <row r="94">
      <c r="A94" s="27" t="inlineStr">
        <is>
          <t>Kale W32</t>
        </is>
      </c>
      <c r="B94" s="27" t="inlineStr">
        <is>
          <t>Kale</t>
        </is>
      </c>
      <c r="C94" s="28" t="n">
        <v>0</v>
      </c>
      <c r="D94" s="29" t="n">
        <v>0</v>
      </c>
      <c r="AJ94" s="30" t="inlineStr">
        <is>
          <t>P</t>
        </is>
      </c>
      <c r="AK94" s="30" t="inlineStr">
        <is>
          <t>G</t>
        </is>
      </c>
      <c r="AL94" s="30" t="inlineStr">
        <is>
          <t>G</t>
        </is>
      </c>
      <c r="AM94" s="30" t="inlineStr">
        <is>
          <t>G</t>
        </is>
      </c>
      <c r="AN94" s="30" t="inlineStr">
        <is>
          <t>G</t>
        </is>
      </c>
      <c r="AO94" s="30" t="inlineStr">
        <is>
          <t>G</t>
        </is>
      </c>
      <c r="AP94" s="30" t="inlineStr">
        <is>
          <t>G</t>
        </is>
      </c>
      <c r="AQ94" s="30" t="inlineStr">
        <is>
          <t>G</t>
        </is>
      </c>
      <c r="AR94" s="30" t="inlineStr">
        <is>
          <t>G</t>
        </is>
      </c>
      <c r="AS94" s="30" t="inlineStr">
        <is>
          <t>H</t>
        </is>
      </c>
      <c r="AT94" s="30" t="inlineStr">
        <is>
          <t>H</t>
        </is>
      </c>
      <c r="AU94" s="30" t="inlineStr">
        <is>
          <t>H</t>
        </is>
      </c>
      <c r="AV94" s="30" t="inlineStr">
        <is>
          <t>H</t>
        </is>
      </c>
      <c r="BE94" s="31">
        <f>D94*$B$5</f>
        <v/>
      </c>
      <c r="BF94" s="31">
        <f>D94*$I$12</f>
        <v/>
      </c>
      <c r="BG94" s="32">
        <f>MATCH("P",$E94:$BD94,0)</f>
        <v/>
      </c>
    </row>
    <row r="95">
      <c r="A95" s="27" t="inlineStr">
        <is>
          <t>Kale W33</t>
        </is>
      </c>
      <c r="B95" s="27" t="inlineStr">
        <is>
          <t>Kale</t>
        </is>
      </c>
      <c r="C95" s="28" t="n">
        <v>0</v>
      </c>
      <c r="D95" s="29" t="n">
        <v>0</v>
      </c>
      <c r="AK95" s="30" t="inlineStr">
        <is>
          <t>P</t>
        </is>
      </c>
      <c r="AL95" s="30" t="inlineStr">
        <is>
          <t>G</t>
        </is>
      </c>
      <c r="AM95" s="30" t="inlineStr">
        <is>
          <t>G</t>
        </is>
      </c>
      <c r="AN95" s="30" t="inlineStr">
        <is>
          <t>G</t>
        </is>
      </c>
      <c r="AO95" s="30" t="inlineStr">
        <is>
          <t>G</t>
        </is>
      </c>
      <c r="AP95" s="30" t="inlineStr">
        <is>
          <t>G</t>
        </is>
      </c>
      <c r="AQ95" s="30" t="inlineStr">
        <is>
          <t>G</t>
        </is>
      </c>
      <c r="AR95" s="30" t="inlineStr">
        <is>
          <t>G</t>
        </is>
      </c>
      <c r="AS95" s="30" t="inlineStr">
        <is>
          <t>G</t>
        </is>
      </c>
      <c r="AT95" s="30" t="inlineStr">
        <is>
          <t>H</t>
        </is>
      </c>
      <c r="AU95" s="30" t="inlineStr">
        <is>
          <t>H</t>
        </is>
      </c>
      <c r="AV95" s="30" t="inlineStr">
        <is>
          <t>H</t>
        </is>
      </c>
      <c r="AW95" s="30" t="inlineStr">
        <is>
          <t>H</t>
        </is>
      </c>
      <c r="BE95" s="31">
        <f>D95*$B$5</f>
        <v/>
      </c>
      <c r="BF95" s="31">
        <f>D95*$I$12</f>
        <v/>
      </c>
      <c r="BG95" s="32">
        <f>MATCH("P",$E95:$BD95,0)</f>
        <v/>
      </c>
    </row>
    <row r="96">
      <c r="A96" s="27" t="inlineStr">
        <is>
          <t>Kale W34</t>
        </is>
      </c>
      <c r="B96" s="27" t="inlineStr">
        <is>
          <t>Kale</t>
        </is>
      </c>
      <c r="C96" s="28" t="n">
        <v>0</v>
      </c>
      <c r="D96" s="29" t="n">
        <v>0</v>
      </c>
      <c r="AL96" s="30" t="inlineStr">
        <is>
          <t>P</t>
        </is>
      </c>
      <c r="AM96" s="30" t="inlineStr">
        <is>
          <t>G</t>
        </is>
      </c>
      <c r="AN96" s="30" t="inlineStr">
        <is>
          <t>G</t>
        </is>
      </c>
      <c r="AO96" s="30" t="inlineStr">
        <is>
          <t>G</t>
        </is>
      </c>
      <c r="AP96" s="30" t="inlineStr">
        <is>
          <t>G</t>
        </is>
      </c>
      <c r="AQ96" s="30" t="inlineStr">
        <is>
          <t>G</t>
        </is>
      </c>
      <c r="AR96" s="30" t="inlineStr">
        <is>
          <t>G</t>
        </is>
      </c>
      <c r="AS96" s="30" t="inlineStr">
        <is>
          <t>G</t>
        </is>
      </c>
      <c r="AT96" s="30" t="inlineStr">
        <is>
          <t>G</t>
        </is>
      </c>
      <c r="AU96" s="30" t="inlineStr">
        <is>
          <t>H</t>
        </is>
      </c>
      <c r="AV96" s="30" t="inlineStr">
        <is>
          <t>H</t>
        </is>
      </c>
      <c r="AW96" s="30" t="inlineStr">
        <is>
          <t>H</t>
        </is>
      </c>
      <c r="AX96" s="30" t="inlineStr">
        <is>
          <t>H</t>
        </is>
      </c>
      <c r="BE96" s="31">
        <f>D96*$B$5</f>
        <v/>
      </c>
      <c r="BF96" s="31">
        <f>D96*$I$12</f>
        <v/>
      </c>
      <c r="BG96" s="32">
        <f>MATCH("P",$E96:$BD96,0)</f>
        <v/>
      </c>
    </row>
    <row r="97">
      <c r="A97" s="27" t="inlineStr">
        <is>
          <t>Kale W35</t>
        </is>
      </c>
      <c r="B97" s="27" t="inlineStr">
        <is>
          <t>Kale</t>
        </is>
      </c>
      <c r="C97" s="28" t="n">
        <v>0</v>
      </c>
      <c r="D97" s="29" t="n">
        <v>0</v>
      </c>
      <c r="AM97" s="30" t="inlineStr">
        <is>
          <t>P</t>
        </is>
      </c>
      <c r="AN97" s="30" t="inlineStr">
        <is>
          <t>G</t>
        </is>
      </c>
      <c r="AO97" s="30" t="inlineStr">
        <is>
          <t>G</t>
        </is>
      </c>
      <c r="AP97" s="30" t="inlineStr">
        <is>
          <t>G</t>
        </is>
      </c>
      <c r="AQ97" s="30" t="inlineStr">
        <is>
          <t>G</t>
        </is>
      </c>
      <c r="AR97" s="30" t="inlineStr">
        <is>
          <t>G</t>
        </is>
      </c>
      <c r="AS97" s="30" t="inlineStr">
        <is>
          <t>G</t>
        </is>
      </c>
      <c r="AT97" s="30" t="inlineStr">
        <is>
          <t>G</t>
        </is>
      </c>
      <c r="AU97" s="30" t="inlineStr">
        <is>
          <t>G</t>
        </is>
      </c>
      <c r="AV97" s="30" t="inlineStr">
        <is>
          <t>H</t>
        </is>
      </c>
      <c r="AW97" s="30" t="inlineStr">
        <is>
          <t>H</t>
        </is>
      </c>
      <c r="AX97" s="30" t="inlineStr">
        <is>
          <t>H</t>
        </is>
      </c>
      <c r="AY97" s="30" t="inlineStr">
        <is>
          <t>H</t>
        </is>
      </c>
      <c r="BE97" s="31">
        <f>D97*$B$5</f>
        <v/>
      </c>
      <c r="BF97" s="31">
        <f>D97*$I$12</f>
        <v/>
      </c>
      <c r="BG97" s="32">
        <f>MATCH("P",$E97:$BD97,0)</f>
        <v/>
      </c>
    </row>
    <row r="98">
      <c r="A98" s="27" t="inlineStr">
        <is>
          <t>Kale W36</t>
        </is>
      </c>
      <c r="B98" s="27" t="inlineStr">
        <is>
          <t>Kale</t>
        </is>
      </c>
      <c r="C98" s="28" t="n">
        <v>0</v>
      </c>
      <c r="D98" s="29" t="n">
        <v>0</v>
      </c>
      <c r="AN98" s="30" t="inlineStr">
        <is>
          <t>P</t>
        </is>
      </c>
      <c r="AO98" s="30" t="inlineStr">
        <is>
          <t>G</t>
        </is>
      </c>
      <c r="AP98" s="30" t="inlineStr">
        <is>
          <t>G</t>
        </is>
      </c>
      <c r="AQ98" s="30" t="inlineStr">
        <is>
          <t>G</t>
        </is>
      </c>
      <c r="AR98" s="30" t="inlineStr">
        <is>
          <t>G</t>
        </is>
      </c>
      <c r="AS98" s="30" t="inlineStr">
        <is>
          <t>G</t>
        </is>
      </c>
      <c r="AT98" s="30" t="inlineStr">
        <is>
          <t>G</t>
        </is>
      </c>
      <c r="AU98" s="30" t="inlineStr">
        <is>
          <t>G</t>
        </is>
      </c>
      <c r="AV98" s="30" t="inlineStr">
        <is>
          <t>G</t>
        </is>
      </c>
      <c r="AW98" s="30" t="inlineStr">
        <is>
          <t>H</t>
        </is>
      </c>
      <c r="AX98" s="30" t="inlineStr">
        <is>
          <t>H</t>
        </is>
      </c>
      <c r="AY98" s="30" t="inlineStr">
        <is>
          <t>H</t>
        </is>
      </c>
      <c r="AZ98" s="30" t="inlineStr">
        <is>
          <t>H</t>
        </is>
      </c>
      <c r="BE98" s="31">
        <f>D98*$B$5</f>
        <v/>
      </c>
      <c r="BF98" s="31">
        <f>D98*$I$12</f>
        <v/>
      </c>
      <c r="BG98" s="32">
        <f>MATCH("P",$E98:$BD98,0)</f>
        <v/>
      </c>
    </row>
    <row r="99">
      <c r="A99" s="27" t="inlineStr">
        <is>
          <t>Kale W37</t>
        </is>
      </c>
      <c r="B99" s="27" t="inlineStr">
        <is>
          <t>Kale</t>
        </is>
      </c>
      <c r="C99" s="28" t="n">
        <v>0</v>
      </c>
      <c r="D99" s="29" t="n">
        <v>0</v>
      </c>
      <c r="AO99" s="30" t="inlineStr">
        <is>
          <t>P</t>
        </is>
      </c>
      <c r="AP99" s="30" t="inlineStr">
        <is>
          <t>G</t>
        </is>
      </c>
      <c r="AQ99" s="30" t="inlineStr">
        <is>
          <t>G</t>
        </is>
      </c>
      <c r="AR99" s="30" t="inlineStr">
        <is>
          <t>G</t>
        </is>
      </c>
      <c r="AS99" s="30" t="inlineStr">
        <is>
          <t>G</t>
        </is>
      </c>
      <c r="AT99" s="30" t="inlineStr">
        <is>
          <t>G</t>
        </is>
      </c>
      <c r="AU99" s="30" t="inlineStr">
        <is>
          <t>G</t>
        </is>
      </c>
      <c r="AV99" s="30" t="inlineStr">
        <is>
          <t>G</t>
        </is>
      </c>
      <c r="AW99" s="30" t="inlineStr">
        <is>
          <t>G</t>
        </is>
      </c>
      <c r="AX99" s="30" t="inlineStr">
        <is>
          <t>H</t>
        </is>
      </c>
      <c r="AY99" s="30" t="inlineStr">
        <is>
          <t>H</t>
        </is>
      </c>
      <c r="AZ99" s="30" t="inlineStr">
        <is>
          <t>H</t>
        </is>
      </c>
      <c r="BA99" s="30" t="inlineStr">
        <is>
          <t>H</t>
        </is>
      </c>
      <c r="BE99" s="31">
        <f>D99*$B$5</f>
        <v/>
      </c>
      <c r="BF99" s="31">
        <f>D99*$I$12</f>
        <v/>
      </c>
      <c r="BG99" s="32">
        <f>MATCH("P",$E99:$BD99,0)</f>
        <v/>
      </c>
    </row>
    <row r="100">
      <c r="A100" s="27" t="inlineStr">
        <is>
          <t>Kale W38</t>
        </is>
      </c>
      <c r="B100" s="27" t="inlineStr">
        <is>
          <t>Kale</t>
        </is>
      </c>
      <c r="C100" s="28" t="n">
        <v>0</v>
      </c>
      <c r="D100" s="29" t="n">
        <v>0</v>
      </c>
      <c r="AP100" s="30" t="inlineStr">
        <is>
          <t>P</t>
        </is>
      </c>
      <c r="AQ100" s="30" t="inlineStr">
        <is>
          <t>G</t>
        </is>
      </c>
      <c r="AR100" s="30" t="inlineStr">
        <is>
          <t>G</t>
        </is>
      </c>
      <c r="AS100" s="30" t="inlineStr">
        <is>
          <t>G</t>
        </is>
      </c>
      <c r="AT100" s="30" t="inlineStr">
        <is>
          <t>G</t>
        </is>
      </c>
      <c r="AU100" s="30" t="inlineStr">
        <is>
          <t>G</t>
        </is>
      </c>
      <c r="AV100" s="30" t="inlineStr">
        <is>
          <t>G</t>
        </is>
      </c>
      <c r="AW100" s="30" t="inlineStr">
        <is>
          <t>G</t>
        </is>
      </c>
      <c r="AX100" s="30" t="inlineStr">
        <is>
          <t>G</t>
        </is>
      </c>
      <c r="AY100" s="30" t="inlineStr">
        <is>
          <t>H</t>
        </is>
      </c>
      <c r="AZ100" s="30" t="inlineStr">
        <is>
          <t>H</t>
        </is>
      </c>
      <c r="BA100" s="30" t="inlineStr">
        <is>
          <t>H</t>
        </is>
      </c>
      <c r="BB100" s="30" t="inlineStr">
        <is>
          <t>H</t>
        </is>
      </c>
      <c r="BE100" s="31">
        <f>D100*$B$5</f>
        <v/>
      </c>
      <c r="BF100" s="31">
        <f>D100*$I$12</f>
        <v/>
      </c>
      <c r="BG100" s="32">
        <f>MATCH("P",$E100:$BD100,0)</f>
        <v/>
      </c>
    </row>
    <row r="101">
      <c r="A101" s="27" t="inlineStr">
        <is>
          <t>Kale W39</t>
        </is>
      </c>
      <c r="B101" s="27" t="inlineStr">
        <is>
          <t>Kale</t>
        </is>
      </c>
      <c r="C101" s="28" t="n">
        <v>0</v>
      </c>
      <c r="D101" s="29" t="n">
        <v>0</v>
      </c>
      <c r="AQ101" s="30" t="inlineStr">
        <is>
          <t>P</t>
        </is>
      </c>
      <c r="AR101" s="30" t="inlineStr">
        <is>
          <t>G</t>
        </is>
      </c>
      <c r="AS101" s="30" t="inlineStr">
        <is>
          <t>G</t>
        </is>
      </c>
      <c r="AT101" s="30" t="inlineStr">
        <is>
          <t>G</t>
        </is>
      </c>
      <c r="AU101" s="30" t="inlineStr">
        <is>
          <t>G</t>
        </is>
      </c>
      <c r="AV101" s="30" t="inlineStr">
        <is>
          <t>G</t>
        </is>
      </c>
      <c r="AW101" s="30" t="inlineStr">
        <is>
          <t>G</t>
        </is>
      </c>
      <c r="AX101" s="30" t="inlineStr">
        <is>
          <t>G</t>
        </is>
      </c>
      <c r="AY101" s="30" t="inlineStr">
        <is>
          <t>G</t>
        </is>
      </c>
      <c r="AZ101" s="30" t="inlineStr">
        <is>
          <t>H</t>
        </is>
      </c>
      <c r="BA101" s="30" t="inlineStr">
        <is>
          <t>H</t>
        </is>
      </c>
      <c r="BB101" s="30" t="inlineStr">
        <is>
          <t>H</t>
        </is>
      </c>
      <c r="BC101" s="30" t="inlineStr">
        <is>
          <t>H</t>
        </is>
      </c>
      <c r="BE101" s="31">
        <f>D101*$B$5</f>
        <v/>
      </c>
      <c r="BF101" s="31">
        <f>D101*$I$12</f>
        <v/>
      </c>
      <c r="BG101" s="32">
        <f>MATCH("P",$E101:$BD101,0)</f>
        <v/>
      </c>
    </row>
    <row r="102">
      <c r="A102" s="27" t="inlineStr">
        <is>
          <t>Kale W40</t>
        </is>
      </c>
      <c r="B102" s="27" t="inlineStr">
        <is>
          <t>Kale</t>
        </is>
      </c>
      <c r="C102" s="28" t="n">
        <v>0</v>
      </c>
      <c r="D102" s="29" t="n">
        <v>0</v>
      </c>
      <c r="AR102" s="30" t="inlineStr">
        <is>
          <t>P</t>
        </is>
      </c>
      <c r="AS102" s="30" t="inlineStr">
        <is>
          <t>G</t>
        </is>
      </c>
      <c r="AT102" s="30" t="inlineStr">
        <is>
          <t>G</t>
        </is>
      </c>
      <c r="AU102" s="30" t="inlineStr">
        <is>
          <t>G</t>
        </is>
      </c>
      <c r="AV102" s="30" t="inlineStr">
        <is>
          <t>G</t>
        </is>
      </c>
      <c r="AW102" s="30" t="inlineStr">
        <is>
          <t>G</t>
        </is>
      </c>
      <c r="AX102" s="30" t="inlineStr">
        <is>
          <t>G</t>
        </is>
      </c>
      <c r="AY102" s="30" t="inlineStr">
        <is>
          <t>G</t>
        </is>
      </c>
      <c r="AZ102" s="30" t="inlineStr">
        <is>
          <t>G</t>
        </is>
      </c>
      <c r="BA102" s="30" t="inlineStr">
        <is>
          <t>H</t>
        </is>
      </c>
      <c r="BB102" s="30" t="inlineStr">
        <is>
          <t>H</t>
        </is>
      </c>
      <c r="BC102" s="30" t="inlineStr">
        <is>
          <t>H</t>
        </is>
      </c>
      <c r="BD102" s="30" t="inlineStr">
        <is>
          <t>H</t>
        </is>
      </c>
      <c r="BE102" s="31">
        <f>D102*$B$5</f>
        <v/>
      </c>
      <c r="BF102" s="31">
        <f>D102*$I$12</f>
        <v/>
      </c>
      <c r="BG102" s="32">
        <f>MATCH("P",$E102:$BD102,0)</f>
        <v/>
      </c>
    </row>
    <row r="103">
      <c r="A103" s="27" t="inlineStr">
        <is>
          <t>Garlic W46</t>
        </is>
      </c>
      <c r="B103" s="27" t="inlineStr">
        <is>
          <t>Garlic</t>
        </is>
      </c>
      <c r="C103" s="28" t="n">
        <v>0</v>
      </c>
      <c r="D103" s="29" t="n">
        <v>0</v>
      </c>
      <c r="E103" s="30" t="inlineStr">
        <is>
          <t>G</t>
        </is>
      </c>
      <c r="F103" s="30" t="inlineStr">
        <is>
          <t>G</t>
        </is>
      </c>
      <c r="G103" s="30" t="inlineStr">
        <is>
          <t>G</t>
        </is>
      </c>
      <c r="H103" s="30" t="inlineStr">
        <is>
          <t>G</t>
        </is>
      </c>
      <c r="I103" s="30" t="inlineStr">
        <is>
          <t>G</t>
        </is>
      </c>
      <c r="J103" s="30" t="inlineStr">
        <is>
          <t>G</t>
        </is>
      </c>
      <c r="K103" s="30" t="inlineStr">
        <is>
          <t>G</t>
        </is>
      </c>
      <c r="L103" s="30" t="inlineStr">
        <is>
          <t>G</t>
        </is>
      </c>
      <c r="M103" s="30" t="inlineStr">
        <is>
          <t>G</t>
        </is>
      </c>
      <c r="N103" s="30" t="inlineStr">
        <is>
          <t>G</t>
        </is>
      </c>
      <c r="O103" s="30" t="inlineStr">
        <is>
          <t>G</t>
        </is>
      </c>
      <c r="P103" s="30" t="inlineStr">
        <is>
          <t>G</t>
        </is>
      </c>
      <c r="Q103" s="30" t="inlineStr">
        <is>
          <t>G</t>
        </is>
      </c>
      <c r="R103" s="30" t="inlineStr">
        <is>
          <t>G</t>
        </is>
      </c>
      <c r="S103" s="30" t="inlineStr">
        <is>
          <t>G</t>
        </is>
      </c>
      <c r="T103" s="30" t="inlineStr">
        <is>
          <t>G</t>
        </is>
      </c>
      <c r="U103" s="30" t="inlineStr">
        <is>
          <t>G</t>
        </is>
      </c>
      <c r="V103" s="30" t="inlineStr">
        <is>
          <t>G</t>
        </is>
      </c>
      <c r="W103" s="30" t="inlineStr">
        <is>
          <t>G</t>
        </is>
      </c>
      <c r="X103" s="30" t="inlineStr">
        <is>
          <t>G</t>
        </is>
      </c>
      <c r="Y103" s="30" t="inlineStr">
        <is>
          <t>G</t>
        </is>
      </c>
      <c r="Z103" s="30" t="inlineStr">
        <is>
          <t>G</t>
        </is>
      </c>
      <c r="AA103" s="30" t="inlineStr">
        <is>
          <t>G</t>
        </is>
      </c>
      <c r="AB103" s="30" t="inlineStr">
        <is>
          <t>G</t>
        </is>
      </c>
      <c r="AC103" s="30" t="inlineStr">
        <is>
          <t>G</t>
        </is>
      </c>
      <c r="AD103" s="30" t="inlineStr">
        <is>
          <t>G</t>
        </is>
      </c>
      <c r="AE103" s="30" t="inlineStr">
        <is>
          <t>G</t>
        </is>
      </c>
      <c r="AF103" s="30" t="inlineStr">
        <is>
          <t>G</t>
        </is>
      </c>
      <c r="AG103" s="30" t="inlineStr">
        <is>
          <t>H</t>
        </is>
      </c>
      <c r="AX103" s="30" t="inlineStr">
        <is>
          <t>P</t>
        </is>
      </c>
      <c r="AY103" s="30" t="inlineStr">
        <is>
          <t>P</t>
        </is>
      </c>
      <c r="AZ103" s="30" t="inlineStr">
        <is>
          <t>P</t>
        </is>
      </c>
      <c r="BA103" s="30" t="inlineStr">
        <is>
          <t>G</t>
        </is>
      </c>
      <c r="BB103" s="30" t="inlineStr">
        <is>
          <t>G</t>
        </is>
      </c>
      <c r="BC103" s="30" t="inlineStr">
        <is>
          <t>G</t>
        </is>
      </c>
      <c r="BD103" s="30" t="inlineStr">
        <is>
          <t>G</t>
        </is>
      </c>
      <c r="BE103" s="31">
        <f>D103*$B$5</f>
        <v/>
      </c>
      <c r="BF103" s="31">
        <f>D103*$I$13</f>
        <v/>
      </c>
      <c r="BG103" s="32">
        <f>MATCH("P",$E103:$BD103,0)</f>
        <v/>
      </c>
    </row>
    <row r="104">
      <c r="A104" s="27" t="inlineStr">
        <is>
          <t>Garlic W47</t>
        </is>
      </c>
      <c r="B104" s="27" t="inlineStr">
        <is>
          <t>Garlic</t>
        </is>
      </c>
      <c r="C104" s="28" t="n">
        <v>0</v>
      </c>
      <c r="D104" s="29" t="n">
        <v>0</v>
      </c>
      <c r="E104" s="30" t="inlineStr">
        <is>
          <t>G</t>
        </is>
      </c>
      <c r="F104" s="30" t="inlineStr">
        <is>
          <t>G</t>
        </is>
      </c>
      <c r="G104" s="30" t="inlineStr">
        <is>
          <t>G</t>
        </is>
      </c>
      <c r="H104" s="30" t="inlineStr">
        <is>
          <t>G</t>
        </is>
      </c>
      <c r="I104" s="30" t="inlineStr">
        <is>
          <t>G</t>
        </is>
      </c>
      <c r="J104" s="30" t="inlineStr">
        <is>
          <t>G</t>
        </is>
      </c>
      <c r="K104" s="30" t="inlineStr">
        <is>
          <t>G</t>
        </is>
      </c>
      <c r="L104" s="30" t="inlineStr">
        <is>
          <t>G</t>
        </is>
      </c>
      <c r="M104" s="30" t="inlineStr">
        <is>
          <t>G</t>
        </is>
      </c>
      <c r="N104" s="30" t="inlineStr">
        <is>
          <t>G</t>
        </is>
      </c>
      <c r="O104" s="30" t="inlineStr">
        <is>
          <t>G</t>
        </is>
      </c>
      <c r="P104" s="30" t="inlineStr">
        <is>
          <t>G</t>
        </is>
      </c>
      <c r="Q104" s="30" t="inlineStr">
        <is>
          <t>G</t>
        </is>
      </c>
      <c r="R104" s="30" t="inlineStr">
        <is>
          <t>G</t>
        </is>
      </c>
      <c r="S104" s="30" t="inlineStr">
        <is>
          <t>G</t>
        </is>
      </c>
      <c r="T104" s="30" t="inlineStr">
        <is>
          <t>G</t>
        </is>
      </c>
      <c r="U104" s="30" t="inlineStr">
        <is>
          <t>G</t>
        </is>
      </c>
      <c r="V104" s="30" t="inlineStr">
        <is>
          <t>G</t>
        </is>
      </c>
      <c r="W104" s="30" t="inlineStr">
        <is>
          <t>G</t>
        </is>
      </c>
      <c r="X104" s="30" t="inlineStr">
        <is>
          <t>G</t>
        </is>
      </c>
      <c r="Y104" s="30" t="inlineStr">
        <is>
          <t>G</t>
        </is>
      </c>
      <c r="Z104" s="30" t="inlineStr">
        <is>
          <t>G</t>
        </is>
      </c>
      <c r="AA104" s="30" t="inlineStr">
        <is>
          <t>G</t>
        </is>
      </c>
      <c r="AB104" s="30" t="inlineStr">
        <is>
          <t>G</t>
        </is>
      </c>
      <c r="AC104" s="30" t="inlineStr">
        <is>
          <t>G</t>
        </is>
      </c>
      <c r="AD104" s="30" t="inlineStr">
        <is>
          <t>G</t>
        </is>
      </c>
      <c r="AE104" s="30" t="inlineStr">
        <is>
          <t>G</t>
        </is>
      </c>
      <c r="AF104" s="30" t="inlineStr">
        <is>
          <t>G</t>
        </is>
      </c>
      <c r="AG104" s="30" t="inlineStr">
        <is>
          <t>G</t>
        </is>
      </c>
      <c r="AH104" s="30" t="inlineStr">
        <is>
          <t>H</t>
        </is>
      </c>
      <c r="AY104" s="30" t="inlineStr">
        <is>
          <t>P</t>
        </is>
      </c>
      <c r="AZ104" s="30" t="inlineStr">
        <is>
          <t>P</t>
        </is>
      </c>
      <c r="BA104" s="30" t="inlineStr">
        <is>
          <t>P</t>
        </is>
      </c>
      <c r="BB104" s="30" t="inlineStr">
        <is>
          <t>G</t>
        </is>
      </c>
      <c r="BC104" s="30" t="inlineStr">
        <is>
          <t>G</t>
        </is>
      </c>
      <c r="BD104" s="30" t="inlineStr">
        <is>
          <t>G</t>
        </is>
      </c>
      <c r="BE104" s="31">
        <f>D104*$B$5</f>
        <v/>
      </c>
      <c r="BF104" s="31">
        <f>D104*$I$13</f>
        <v/>
      </c>
      <c r="BG104" s="32">
        <f>MATCH("P",$E104:$BD104,0)</f>
        <v/>
      </c>
    </row>
    <row r="105">
      <c r="A105" s="27" t="inlineStr">
        <is>
          <t>Garlic W48</t>
        </is>
      </c>
      <c r="B105" s="27" t="inlineStr">
        <is>
          <t>Garlic</t>
        </is>
      </c>
      <c r="C105" s="28" t="n">
        <v>0</v>
      </c>
      <c r="D105" s="29" t="n">
        <v>0</v>
      </c>
      <c r="E105" s="30" t="inlineStr">
        <is>
          <t>G</t>
        </is>
      </c>
      <c r="F105" s="30" t="inlineStr">
        <is>
          <t>G</t>
        </is>
      </c>
      <c r="G105" s="30" t="inlineStr">
        <is>
          <t>G</t>
        </is>
      </c>
      <c r="H105" s="30" t="inlineStr">
        <is>
          <t>G</t>
        </is>
      </c>
      <c r="I105" s="30" t="inlineStr">
        <is>
          <t>G</t>
        </is>
      </c>
      <c r="J105" s="30" t="inlineStr">
        <is>
          <t>G</t>
        </is>
      </c>
      <c r="K105" s="30" t="inlineStr">
        <is>
          <t>G</t>
        </is>
      </c>
      <c r="L105" s="30" t="inlineStr">
        <is>
          <t>G</t>
        </is>
      </c>
      <c r="M105" s="30" t="inlineStr">
        <is>
          <t>G</t>
        </is>
      </c>
      <c r="N105" s="30" t="inlineStr">
        <is>
          <t>G</t>
        </is>
      </c>
      <c r="O105" s="30" t="inlineStr">
        <is>
          <t>G</t>
        </is>
      </c>
      <c r="P105" s="30" t="inlineStr">
        <is>
          <t>G</t>
        </is>
      </c>
      <c r="Q105" s="30" t="inlineStr">
        <is>
          <t>G</t>
        </is>
      </c>
      <c r="R105" s="30" t="inlineStr">
        <is>
          <t>G</t>
        </is>
      </c>
      <c r="S105" s="30" t="inlineStr">
        <is>
          <t>G</t>
        </is>
      </c>
      <c r="T105" s="30" t="inlineStr">
        <is>
          <t>G</t>
        </is>
      </c>
      <c r="U105" s="30" t="inlineStr">
        <is>
          <t>G</t>
        </is>
      </c>
      <c r="V105" s="30" t="inlineStr">
        <is>
          <t>G</t>
        </is>
      </c>
      <c r="W105" s="30" t="inlineStr">
        <is>
          <t>G</t>
        </is>
      </c>
      <c r="X105" s="30" t="inlineStr">
        <is>
          <t>G</t>
        </is>
      </c>
      <c r="Y105" s="30" t="inlineStr">
        <is>
          <t>G</t>
        </is>
      </c>
      <c r="Z105" s="30" t="inlineStr">
        <is>
          <t>G</t>
        </is>
      </c>
      <c r="AA105" s="30" t="inlineStr">
        <is>
          <t>G</t>
        </is>
      </c>
      <c r="AB105" s="30" t="inlineStr">
        <is>
          <t>G</t>
        </is>
      </c>
      <c r="AC105" s="30" t="inlineStr">
        <is>
          <t>G</t>
        </is>
      </c>
      <c r="AD105" s="30" t="inlineStr">
        <is>
          <t>G</t>
        </is>
      </c>
      <c r="AE105" s="30" t="inlineStr">
        <is>
          <t>G</t>
        </is>
      </c>
      <c r="AF105" s="30" t="inlineStr">
        <is>
          <t>G</t>
        </is>
      </c>
      <c r="AG105" s="30" t="inlineStr">
        <is>
          <t>G</t>
        </is>
      </c>
      <c r="AH105" s="30" t="inlineStr">
        <is>
          <t>G</t>
        </is>
      </c>
      <c r="AI105" s="30" t="inlineStr">
        <is>
          <t>H</t>
        </is>
      </c>
      <c r="AZ105" s="30" t="inlineStr">
        <is>
          <t>P</t>
        </is>
      </c>
      <c r="BA105" s="30" t="inlineStr">
        <is>
          <t>P</t>
        </is>
      </c>
      <c r="BB105" s="30" t="inlineStr">
        <is>
          <t>P</t>
        </is>
      </c>
      <c r="BC105" s="30" t="inlineStr">
        <is>
          <t>G</t>
        </is>
      </c>
      <c r="BD105" s="30" t="inlineStr">
        <is>
          <t>G</t>
        </is>
      </c>
      <c r="BE105" s="31">
        <f>D105*$B$5</f>
        <v/>
      </c>
      <c r="BF105" s="31">
        <f>D105*$I$13</f>
        <v/>
      </c>
      <c r="BG105" s="32">
        <f>MATCH("P",$E105:$BD105,0)</f>
        <v/>
      </c>
    </row>
    <row r="106">
      <c r="A106" s="2" t="inlineStr">
        <is>
          <t>ACRES &lt;= 'max if planted' and ACRES &gt;= 'min if planted' are the app's C9 and C10: you cannot plant acres without deciding to plant, and if you plant at all you plant a real block.</t>
        </is>
      </c>
    </row>
    <row r="108">
      <c r="A108" s="22" t="inlineStr">
        <is>
          <t>Week</t>
        </is>
      </c>
      <c r="B108" s="33" t="inlineStr">
        <is>
          <t>acres</t>
        </is>
      </c>
      <c r="E108" s="25" t="n">
        <v>1</v>
      </c>
      <c r="F108" s="25" t="n">
        <v>2</v>
      </c>
      <c r="G108" s="25" t="n">
        <v>3</v>
      </c>
      <c r="H108" s="25" t="n">
        <v>4</v>
      </c>
      <c r="I108" s="25" t="n">
        <v>5</v>
      </c>
      <c r="J108" s="25" t="n">
        <v>6</v>
      </c>
      <c r="K108" s="25" t="n">
        <v>7</v>
      </c>
      <c r="L108" s="25" t="n">
        <v>8</v>
      </c>
      <c r="M108" s="25" t="n">
        <v>9</v>
      </c>
      <c r="N108" s="25" t="n">
        <v>10</v>
      </c>
      <c r="O108" s="25" t="n">
        <v>11</v>
      </c>
      <c r="P108" s="25" t="n">
        <v>12</v>
      </c>
      <c r="Q108" s="25" t="n">
        <v>13</v>
      </c>
      <c r="R108" s="25" t="n">
        <v>14</v>
      </c>
      <c r="S108" s="25" t="n">
        <v>15</v>
      </c>
      <c r="T108" s="25" t="n">
        <v>16</v>
      </c>
      <c r="U108" s="25" t="n">
        <v>17</v>
      </c>
      <c r="V108" s="25" t="n">
        <v>18</v>
      </c>
      <c r="W108" s="25" t="n">
        <v>19</v>
      </c>
      <c r="X108" s="25" t="n">
        <v>20</v>
      </c>
      <c r="Y108" s="25" t="n">
        <v>21</v>
      </c>
      <c r="Z108" s="25" t="n">
        <v>22</v>
      </c>
      <c r="AA108" s="25" t="n">
        <v>23</v>
      </c>
      <c r="AB108" s="25" t="n">
        <v>24</v>
      </c>
      <c r="AC108" s="25" t="n">
        <v>25</v>
      </c>
      <c r="AD108" s="25" t="n">
        <v>26</v>
      </c>
      <c r="AE108" s="25" t="n">
        <v>27</v>
      </c>
      <c r="AF108" s="25" t="n">
        <v>28</v>
      </c>
      <c r="AG108" s="25" t="n">
        <v>29</v>
      </c>
      <c r="AH108" s="25" t="n">
        <v>30</v>
      </c>
      <c r="AI108" s="25" t="n">
        <v>31</v>
      </c>
      <c r="AJ108" s="25" t="n">
        <v>32</v>
      </c>
      <c r="AK108" s="25" t="n">
        <v>33</v>
      </c>
      <c r="AL108" s="25" t="n">
        <v>34</v>
      </c>
      <c r="AM108" s="25" t="n">
        <v>35</v>
      </c>
      <c r="AN108" s="25" t="n">
        <v>36</v>
      </c>
      <c r="AO108" s="25" t="n">
        <v>37</v>
      </c>
      <c r="AP108" s="25" t="n">
        <v>38</v>
      </c>
      <c r="AQ108" s="25" t="n">
        <v>39</v>
      </c>
      <c r="AR108" s="25" t="n">
        <v>40</v>
      </c>
      <c r="AS108" s="25" t="n">
        <v>41</v>
      </c>
      <c r="AT108" s="25" t="n">
        <v>42</v>
      </c>
      <c r="AU108" s="25" t="n">
        <v>43</v>
      </c>
      <c r="AV108" s="25" t="n">
        <v>44</v>
      </c>
      <c r="AW108" s="25" t="n">
        <v>45</v>
      </c>
      <c r="AX108" s="25" t="n">
        <v>46</v>
      </c>
      <c r="AY108" s="25" t="n">
        <v>47</v>
      </c>
      <c r="AZ108" s="25" t="n">
        <v>48</v>
      </c>
      <c r="BA108" s="25" t="n">
        <v>49</v>
      </c>
      <c r="BB108" s="25" t="n">
        <v>50</v>
      </c>
      <c r="BC108" s="25" t="n">
        <v>51</v>
      </c>
      <c r="BD108" s="25" t="n">
        <v>52</v>
      </c>
    </row>
    <row r="109">
      <c r="A109" s="4" t="inlineStr">
        <is>
          <t>LAND in the ground</t>
        </is>
      </c>
      <c r="B109" s="2" t="inlineStr">
        <is>
          <t>used</t>
        </is>
      </c>
      <c r="E109" s="34">
        <f>SUMPRODUCT((E$38:E$105&lt;&gt;"")*$C$38:$C$105)</f>
        <v/>
      </c>
      <c r="F109" s="34">
        <f>SUMPRODUCT((F$38:F$105&lt;&gt;"")*$C$38:$C$105)</f>
        <v/>
      </c>
      <c r="G109" s="34">
        <f>SUMPRODUCT((G$38:G$105&lt;&gt;"")*$C$38:$C$105)</f>
        <v/>
      </c>
      <c r="H109" s="34">
        <f>SUMPRODUCT((H$38:H$105&lt;&gt;"")*$C$38:$C$105)</f>
        <v/>
      </c>
      <c r="I109" s="34">
        <f>SUMPRODUCT((I$38:I$105&lt;&gt;"")*$C$38:$C$105)</f>
        <v/>
      </c>
      <c r="J109" s="34">
        <f>SUMPRODUCT((J$38:J$105&lt;&gt;"")*$C$38:$C$105)</f>
        <v/>
      </c>
      <c r="K109" s="34">
        <f>SUMPRODUCT((K$38:K$105&lt;&gt;"")*$C$38:$C$105)</f>
        <v/>
      </c>
      <c r="L109" s="34">
        <f>SUMPRODUCT((L$38:L$105&lt;&gt;"")*$C$38:$C$105)</f>
        <v/>
      </c>
      <c r="M109" s="34">
        <f>SUMPRODUCT((M$38:M$105&lt;&gt;"")*$C$38:$C$105)</f>
        <v/>
      </c>
      <c r="N109" s="34">
        <f>SUMPRODUCT((N$38:N$105&lt;&gt;"")*$C$38:$C$105)</f>
        <v/>
      </c>
      <c r="O109" s="34">
        <f>SUMPRODUCT((O$38:O$105&lt;&gt;"")*$C$38:$C$105)</f>
        <v/>
      </c>
      <c r="P109" s="34">
        <f>SUMPRODUCT((P$38:P$105&lt;&gt;"")*$C$38:$C$105)</f>
        <v/>
      </c>
      <c r="Q109" s="34">
        <f>SUMPRODUCT((Q$38:Q$105&lt;&gt;"")*$C$38:$C$105)</f>
        <v/>
      </c>
      <c r="R109" s="34">
        <f>SUMPRODUCT((R$38:R$105&lt;&gt;"")*$C$38:$C$105)</f>
        <v/>
      </c>
      <c r="S109" s="34">
        <f>SUMPRODUCT((S$38:S$105&lt;&gt;"")*$C$38:$C$105)</f>
        <v/>
      </c>
      <c r="T109" s="34">
        <f>SUMPRODUCT((T$38:T$105&lt;&gt;"")*$C$38:$C$105)</f>
        <v/>
      </c>
      <c r="U109" s="34">
        <f>SUMPRODUCT((U$38:U$105&lt;&gt;"")*$C$38:$C$105)</f>
        <v/>
      </c>
      <c r="V109" s="34">
        <f>SUMPRODUCT((V$38:V$105&lt;&gt;"")*$C$38:$C$105)</f>
        <v/>
      </c>
      <c r="W109" s="34">
        <f>SUMPRODUCT((W$38:W$105&lt;&gt;"")*$C$38:$C$105)</f>
        <v/>
      </c>
      <c r="X109" s="34">
        <f>SUMPRODUCT((X$38:X$105&lt;&gt;"")*$C$38:$C$105)</f>
        <v/>
      </c>
      <c r="Y109" s="34">
        <f>SUMPRODUCT((Y$38:Y$105&lt;&gt;"")*$C$38:$C$105)</f>
        <v/>
      </c>
      <c r="Z109" s="34">
        <f>SUMPRODUCT((Z$38:Z$105&lt;&gt;"")*$C$38:$C$105)</f>
        <v/>
      </c>
      <c r="AA109" s="34">
        <f>SUMPRODUCT((AA$38:AA$105&lt;&gt;"")*$C$38:$C$105)</f>
        <v/>
      </c>
      <c r="AB109" s="34">
        <f>SUMPRODUCT((AB$38:AB$105&lt;&gt;"")*$C$38:$C$105)</f>
        <v/>
      </c>
      <c r="AC109" s="34">
        <f>SUMPRODUCT((AC$38:AC$105&lt;&gt;"")*$C$38:$C$105)</f>
        <v/>
      </c>
      <c r="AD109" s="34">
        <f>SUMPRODUCT((AD$38:AD$105&lt;&gt;"")*$C$38:$C$105)</f>
        <v/>
      </c>
      <c r="AE109" s="34">
        <f>SUMPRODUCT((AE$38:AE$105&lt;&gt;"")*$C$38:$C$105)</f>
        <v/>
      </c>
      <c r="AF109" s="34">
        <f>SUMPRODUCT((AF$38:AF$105&lt;&gt;"")*$C$38:$C$105)</f>
        <v/>
      </c>
      <c r="AG109" s="34">
        <f>SUMPRODUCT((AG$38:AG$105&lt;&gt;"")*$C$38:$C$105)</f>
        <v/>
      </c>
      <c r="AH109" s="34">
        <f>SUMPRODUCT((AH$38:AH$105&lt;&gt;"")*$C$38:$C$105)</f>
        <v/>
      </c>
      <c r="AI109" s="34">
        <f>SUMPRODUCT((AI$38:AI$105&lt;&gt;"")*$C$38:$C$105)</f>
        <v/>
      </c>
      <c r="AJ109" s="34">
        <f>SUMPRODUCT((AJ$38:AJ$105&lt;&gt;"")*$C$38:$C$105)</f>
        <v/>
      </c>
      <c r="AK109" s="34">
        <f>SUMPRODUCT((AK$38:AK$105&lt;&gt;"")*$C$38:$C$105)</f>
        <v/>
      </c>
      <c r="AL109" s="34">
        <f>SUMPRODUCT((AL$38:AL$105&lt;&gt;"")*$C$38:$C$105)</f>
        <v/>
      </c>
      <c r="AM109" s="34">
        <f>SUMPRODUCT((AM$38:AM$105&lt;&gt;"")*$C$38:$C$105)</f>
        <v/>
      </c>
      <c r="AN109" s="34">
        <f>SUMPRODUCT((AN$38:AN$105&lt;&gt;"")*$C$38:$C$105)</f>
        <v/>
      </c>
      <c r="AO109" s="34">
        <f>SUMPRODUCT((AO$38:AO$105&lt;&gt;"")*$C$38:$C$105)</f>
        <v/>
      </c>
      <c r="AP109" s="34">
        <f>SUMPRODUCT((AP$38:AP$105&lt;&gt;"")*$C$38:$C$105)</f>
        <v/>
      </c>
      <c r="AQ109" s="34">
        <f>SUMPRODUCT((AQ$38:AQ$105&lt;&gt;"")*$C$38:$C$105)</f>
        <v/>
      </c>
      <c r="AR109" s="34">
        <f>SUMPRODUCT((AR$38:AR$105&lt;&gt;"")*$C$38:$C$105)</f>
        <v/>
      </c>
      <c r="AS109" s="34">
        <f>SUMPRODUCT((AS$38:AS$105&lt;&gt;"")*$C$38:$C$105)</f>
        <v/>
      </c>
      <c r="AT109" s="34">
        <f>SUMPRODUCT((AT$38:AT$105&lt;&gt;"")*$C$38:$C$105)</f>
        <v/>
      </c>
      <c r="AU109" s="34">
        <f>SUMPRODUCT((AU$38:AU$105&lt;&gt;"")*$C$38:$C$105)</f>
        <v/>
      </c>
      <c r="AV109" s="34">
        <f>SUMPRODUCT((AV$38:AV$105&lt;&gt;"")*$C$38:$C$105)</f>
        <v/>
      </c>
      <c r="AW109" s="34">
        <f>SUMPRODUCT((AW$38:AW$105&lt;&gt;"")*$C$38:$C$105)</f>
        <v/>
      </c>
      <c r="AX109" s="34">
        <f>SUMPRODUCT((AX$38:AX$105&lt;&gt;"")*$C$38:$C$105)</f>
        <v/>
      </c>
      <c r="AY109" s="34">
        <f>SUMPRODUCT((AY$38:AY$105&lt;&gt;"")*$C$38:$C$105)</f>
        <v/>
      </c>
      <c r="AZ109" s="34">
        <f>SUMPRODUCT((AZ$38:AZ$105&lt;&gt;"")*$C$38:$C$105)</f>
        <v/>
      </c>
      <c r="BA109" s="34">
        <f>SUMPRODUCT((BA$38:BA$105&lt;&gt;"")*$C$38:$C$105)</f>
        <v/>
      </c>
      <c r="BB109" s="34">
        <f>SUMPRODUCT((BB$38:BB$105&lt;&gt;"")*$C$38:$C$105)</f>
        <v/>
      </c>
      <c r="BC109" s="34">
        <f>SUMPRODUCT((BC$38:BC$105&lt;&gt;"")*$C$38:$C$105)</f>
        <v/>
      </c>
      <c r="BD109" s="34">
        <f>SUMPRODUCT((BD$38:BD$105&lt;&gt;"")*$C$38:$C$105)</f>
        <v/>
      </c>
    </row>
    <row r="110">
      <c r="A110" s="4" t="inlineStr"/>
      <c r="E110" s="35" t="inlineStr">
        <is>
          <t>&lt;=</t>
        </is>
      </c>
      <c r="F110" s="35" t="inlineStr">
        <is>
          <t>&lt;=</t>
        </is>
      </c>
      <c r="G110" s="35" t="inlineStr">
        <is>
          <t>&lt;=</t>
        </is>
      </c>
      <c r="H110" s="35" t="inlineStr">
        <is>
          <t>&lt;=</t>
        </is>
      </c>
      <c r="I110" s="35" t="inlineStr">
        <is>
          <t>&lt;=</t>
        </is>
      </c>
      <c r="J110" s="35" t="inlineStr">
        <is>
          <t>&lt;=</t>
        </is>
      </c>
      <c r="K110" s="35" t="inlineStr">
        <is>
          <t>&lt;=</t>
        </is>
      </c>
      <c r="L110" s="35" t="inlineStr">
        <is>
          <t>&lt;=</t>
        </is>
      </c>
      <c r="M110" s="35" t="inlineStr">
        <is>
          <t>&lt;=</t>
        </is>
      </c>
      <c r="N110" s="35" t="inlineStr">
        <is>
          <t>&lt;=</t>
        </is>
      </c>
      <c r="O110" s="35" t="inlineStr">
        <is>
          <t>&lt;=</t>
        </is>
      </c>
      <c r="P110" s="35" t="inlineStr">
        <is>
          <t>&lt;=</t>
        </is>
      </c>
      <c r="Q110" s="35" t="inlineStr">
        <is>
          <t>&lt;=</t>
        </is>
      </c>
      <c r="R110" s="35" t="inlineStr">
        <is>
          <t>&lt;=</t>
        </is>
      </c>
      <c r="S110" s="35" t="inlineStr">
        <is>
          <t>&lt;=</t>
        </is>
      </c>
      <c r="T110" s="35" t="inlineStr">
        <is>
          <t>&lt;=</t>
        </is>
      </c>
      <c r="U110" s="35" t="inlineStr">
        <is>
          <t>&lt;=</t>
        </is>
      </c>
      <c r="V110" s="35" t="inlineStr">
        <is>
          <t>&lt;=</t>
        </is>
      </c>
      <c r="W110" s="35" t="inlineStr">
        <is>
          <t>&lt;=</t>
        </is>
      </c>
      <c r="X110" s="35" t="inlineStr">
        <is>
          <t>&lt;=</t>
        </is>
      </c>
      <c r="Y110" s="35" t="inlineStr">
        <is>
          <t>&lt;=</t>
        </is>
      </c>
      <c r="Z110" s="35" t="inlineStr">
        <is>
          <t>&lt;=</t>
        </is>
      </c>
      <c r="AA110" s="35" t="inlineStr">
        <is>
          <t>&lt;=</t>
        </is>
      </c>
      <c r="AB110" s="35" t="inlineStr">
        <is>
          <t>&lt;=</t>
        </is>
      </c>
      <c r="AC110" s="35" t="inlineStr">
        <is>
          <t>&lt;=</t>
        </is>
      </c>
      <c r="AD110" s="35" t="inlineStr">
        <is>
          <t>&lt;=</t>
        </is>
      </c>
      <c r="AE110" s="35" t="inlineStr">
        <is>
          <t>&lt;=</t>
        </is>
      </c>
      <c r="AF110" s="35" t="inlineStr">
        <is>
          <t>&lt;=</t>
        </is>
      </c>
      <c r="AG110" s="35" t="inlineStr">
        <is>
          <t>&lt;=</t>
        </is>
      </c>
      <c r="AH110" s="35" t="inlineStr">
        <is>
          <t>&lt;=</t>
        </is>
      </c>
      <c r="AI110" s="35" t="inlineStr">
        <is>
          <t>&lt;=</t>
        </is>
      </c>
      <c r="AJ110" s="35" t="inlineStr">
        <is>
          <t>&lt;=</t>
        </is>
      </c>
      <c r="AK110" s="35" t="inlineStr">
        <is>
          <t>&lt;=</t>
        </is>
      </c>
      <c r="AL110" s="35" t="inlineStr">
        <is>
          <t>&lt;=</t>
        </is>
      </c>
      <c r="AM110" s="35" t="inlineStr">
        <is>
          <t>&lt;=</t>
        </is>
      </c>
      <c r="AN110" s="35" t="inlineStr">
        <is>
          <t>&lt;=</t>
        </is>
      </c>
      <c r="AO110" s="35" t="inlineStr">
        <is>
          <t>&lt;=</t>
        </is>
      </c>
      <c r="AP110" s="35" t="inlineStr">
        <is>
          <t>&lt;=</t>
        </is>
      </c>
      <c r="AQ110" s="35" t="inlineStr">
        <is>
          <t>&lt;=</t>
        </is>
      </c>
      <c r="AR110" s="35" t="inlineStr">
        <is>
          <t>&lt;=</t>
        </is>
      </c>
      <c r="AS110" s="35" t="inlineStr">
        <is>
          <t>&lt;=</t>
        </is>
      </c>
      <c r="AT110" s="35" t="inlineStr">
        <is>
          <t>&lt;=</t>
        </is>
      </c>
      <c r="AU110" s="35" t="inlineStr">
        <is>
          <t>&lt;=</t>
        </is>
      </c>
      <c r="AV110" s="35" t="inlineStr">
        <is>
          <t>&lt;=</t>
        </is>
      </c>
      <c r="AW110" s="35" t="inlineStr">
        <is>
          <t>&lt;=</t>
        </is>
      </c>
      <c r="AX110" s="35" t="inlineStr">
        <is>
          <t>&lt;=</t>
        </is>
      </c>
      <c r="AY110" s="35" t="inlineStr">
        <is>
          <t>&lt;=</t>
        </is>
      </c>
      <c r="AZ110" s="35" t="inlineStr">
        <is>
          <t>&lt;=</t>
        </is>
      </c>
      <c r="BA110" s="35" t="inlineStr">
        <is>
          <t>&lt;=</t>
        </is>
      </c>
      <c r="BB110" s="35" t="inlineStr">
        <is>
          <t>&lt;=</t>
        </is>
      </c>
      <c r="BC110" s="35" t="inlineStr">
        <is>
          <t>&lt;=</t>
        </is>
      </c>
      <c r="BD110" s="35" t="inlineStr">
        <is>
          <t>&lt;=</t>
        </is>
      </c>
    </row>
    <row r="111">
      <c r="A111" s="4" t="inlineStr">
        <is>
          <t xml:space="preserve">  limit</t>
        </is>
      </c>
      <c r="B111" s="2" t="inlineStr">
        <is>
          <t>cap</t>
        </is>
      </c>
      <c r="E111" s="34">
        <f>$B$5</f>
        <v/>
      </c>
      <c r="F111" s="34">
        <f>$B$5</f>
        <v/>
      </c>
      <c r="G111" s="34">
        <f>$B$5</f>
        <v/>
      </c>
      <c r="H111" s="34">
        <f>$B$5</f>
        <v/>
      </c>
      <c r="I111" s="34">
        <f>$B$5</f>
        <v/>
      </c>
      <c r="J111" s="34">
        <f>$B$5</f>
        <v/>
      </c>
      <c r="K111" s="34">
        <f>$B$5</f>
        <v/>
      </c>
      <c r="L111" s="34">
        <f>$B$5</f>
        <v/>
      </c>
      <c r="M111" s="34">
        <f>$B$5</f>
        <v/>
      </c>
      <c r="N111" s="34">
        <f>$B$5</f>
        <v/>
      </c>
      <c r="O111" s="34">
        <f>$B$5</f>
        <v/>
      </c>
      <c r="P111" s="34">
        <f>$B$5</f>
        <v/>
      </c>
      <c r="Q111" s="34">
        <f>$B$5</f>
        <v/>
      </c>
      <c r="R111" s="34">
        <f>$B$5</f>
        <v/>
      </c>
      <c r="S111" s="34">
        <f>$B$5</f>
        <v/>
      </c>
      <c r="T111" s="34">
        <f>$B$5</f>
        <v/>
      </c>
      <c r="U111" s="34">
        <f>$B$5</f>
        <v/>
      </c>
      <c r="V111" s="34">
        <f>$B$5</f>
        <v/>
      </c>
      <c r="W111" s="34">
        <f>$B$5</f>
        <v/>
      </c>
      <c r="X111" s="34">
        <f>$B$5</f>
        <v/>
      </c>
      <c r="Y111" s="34">
        <f>$B$5</f>
        <v/>
      </c>
      <c r="Z111" s="34">
        <f>$B$5</f>
        <v/>
      </c>
      <c r="AA111" s="34">
        <f>$B$5</f>
        <v/>
      </c>
      <c r="AB111" s="34">
        <f>$B$5</f>
        <v/>
      </c>
      <c r="AC111" s="34">
        <f>$B$5</f>
        <v/>
      </c>
      <c r="AD111" s="34">
        <f>$B$5</f>
        <v/>
      </c>
      <c r="AE111" s="34">
        <f>$B$5</f>
        <v/>
      </c>
      <c r="AF111" s="34">
        <f>$B$5</f>
        <v/>
      </c>
      <c r="AG111" s="34">
        <f>$B$5</f>
        <v/>
      </c>
      <c r="AH111" s="34">
        <f>$B$5</f>
        <v/>
      </c>
      <c r="AI111" s="34">
        <f>$B$5</f>
        <v/>
      </c>
      <c r="AJ111" s="34">
        <f>$B$5</f>
        <v/>
      </c>
      <c r="AK111" s="34">
        <f>$B$5</f>
        <v/>
      </c>
      <c r="AL111" s="34">
        <f>$B$5</f>
        <v/>
      </c>
      <c r="AM111" s="34">
        <f>$B$5</f>
        <v/>
      </c>
      <c r="AN111" s="34">
        <f>$B$5</f>
        <v/>
      </c>
      <c r="AO111" s="34">
        <f>$B$5</f>
        <v/>
      </c>
      <c r="AP111" s="34">
        <f>$B$5</f>
        <v/>
      </c>
      <c r="AQ111" s="34">
        <f>$B$5</f>
        <v/>
      </c>
      <c r="AR111" s="34">
        <f>$B$5</f>
        <v/>
      </c>
      <c r="AS111" s="34">
        <f>$B$5</f>
        <v/>
      </c>
      <c r="AT111" s="34">
        <f>$B$5</f>
        <v/>
      </c>
      <c r="AU111" s="34">
        <f>$B$5</f>
        <v/>
      </c>
      <c r="AV111" s="34">
        <f>$B$5</f>
        <v/>
      </c>
      <c r="AW111" s="34">
        <f>$B$5</f>
        <v/>
      </c>
      <c r="AX111" s="34">
        <f>$B$5</f>
        <v/>
      </c>
      <c r="AY111" s="34">
        <f>$B$5</f>
        <v/>
      </c>
      <c r="AZ111" s="34">
        <f>$B$5</f>
        <v/>
      </c>
      <c r="BA111" s="34">
        <f>$B$5</f>
        <v/>
      </c>
      <c r="BB111" s="34">
        <f>$B$5</f>
        <v/>
      </c>
      <c r="BC111" s="34">
        <f>$B$5</f>
        <v/>
      </c>
      <c r="BD111" s="34">
        <f>$B$5</f>
        <v/>
      </c>
    </row>
    <row r="112">
      <c r="A112" s="27" t="inlineStr">
        <is>
          <t xml:space="preserve">  room left</t>
        </is>
      </c>
      <c r="E112" s="34">
        <f>$B$5-E109</f>
        <v/>
      </c>
      <c r="F112" s="34">
        <f>$B$5-F109</f>
        <v/>
      </c>
      <c r="G112" s="34">
        <f>$B$5-G109</f>
        <v/>
      </c>
      <c r="H112" s="34">
        <f>$B$5-H109</f>
        <v/>
      </c>
      <c r="I112" s="34">
        <f>$B$5-I109</f>
        <v/>
      </c>
      <c r="J112" s="34">
        <f>$B$5-J109</f>
        <v/>
      </c>
      <c r="K112" s="34">
        <f>$B$5-K109</f>
        <v/>
      </c>
      <c r="L112" s="34">
        <f>$B$5-L109</f>
        <v/>
      </c>
      <c r="M112" s="34">
        <f>$B$5-M109</f>
        <v/>
      </c>
      <c r="N112" s="34">
        <f>$B$5-N109</f>
        <v/>
      </c>
      <c r="O112" s="34">
        <f>$B$5-O109</f>
        <v/>
      </c>
      <c r="P112" s="34">
        <f>$B$5-P109</f>
        <v/>
      </c>
      <c r="Q112" s="34">
        <f>$B$5-Q109</f>
        <v/>
      </c>
      <c r="R112" s="34">
        <f>$B$5-R109</f>
        <v/>
      </c>
      <c r="S112" s="34">
        <f>$B$5-S109</f>
        <v/>
      </c>
      <c r="T112" s="34">
        <f>$B$5-T109</f>
        <v/>
      </c>
      <c r="U112" s="34">
        <f>$B$5-U109</f>
        <v/>
      </c>
      <c r="V112" s="34">
        <f>$B$5-V109</f>
        <v/>
      </c>
      <c r="W112" s="34">
        <f>$B$5-W109</f>
        <v/>
      </c>
      <c r="X112" s="34">
        <f>$B$5-X109</f>
        <v/>
      </c>
      <c r="Y112" s="34">
        <f>$B$5-Y109</f>
        <v/>
      </c>
      <c r="Z112" s="34">
        <f>$B$5-Z109</f>
        <v/>
      </c>
      <c r="AA112" s="34">
        <f>$B$5-AA109</f>
        <v/>
      </c>
      <c r="AB112" s="34">
        <f>$B$5-AB109</f>
        <v/>
      </c>
      <c r="AC112" s="34">
        <f>$B$5-AC109</f>
        <v/>
      </c>
      <c r="AD112" s="34">
        <f>$B$5-AD109</f>
        <v/>
      </c>
      <c r="AE112" s="34">
        <f>$B$5-AE109</f>
        <v/>
      </c>
      <c r="AF112" s="34">
        <f>$B$5-AF109</f>
        <v/>
      </c>
      <c r="AG112" s="34">
        <f>$B$5-AG109</f>
        <v/>
      </c>
      <c r="AH112" s="34">
        <f>$B$5-AH109</f>
        <v/>
      </c>
      <c r="AI112" s="34">
        <f>$B$5-AI109</f>
        <v/>
      </c>
      <c r="AJ112" s="34">
        <f>$B$5-AJ109</f>
        <v/>
      </c>
      <c r="AK112" s="34">
        <f>$B$5-AK109</f>
        <v/>
      </c>
      <c r="AL112" s="34">
        <f>$B$5-AL109</f>
        <v/>
      </c>
      <c r="AM112" s="34">
        <f>$B$5-AM109</f>
        <v/>
      </c>
      <c r="AN112" s="34">
        <f>$B$5-AN109</f>
        <v/>
      </c>
      <c r="AO112" s="34">
        <f>$B$5-AO109</f>
        <v/>
      </c>
      <c r="AP112" s="34">
        <f>$B$5-AP109</f>
        <v/>
      </c>
      <c r="AQ112" s="34">
        <f>$B$5-AQ109</f>
        <v/>
      </c>
      <c r="AR112" s="34">
        <f>$B$5-AR109</f>
        <v/>
      </c>
      <c r="AS112" s="34">
        <f>$B$5-AS109</f>
        <v/>
      </c>
      <c r="AT112" s="34">
        <f>$B$5-AT109</f>
        <v/>
      </c>
      <c r="AU112" s="34">
        <f>$B$5-AU109</f>
        <v/>
      </c>
      <c r="AV112" s="34">
        <f>$B$5-AV109</f>
        <v/>
      </c>
      <c r="AW112" s="34">
        <f>$B$5-AW109</f>
        <v/>
      </c>
      <c r="AX112" s="34">
        <f>$B$5-AX109</f>
        <v/>
      </c>
      <c r="AY112" s="34">
        <f>$B$5-AY109</f>
        <v/>
      </c>
      <c r="AZ112" s="34">
        <f>$B$5-AZ109</f>
        <v/>
      </c>
      <c r="BA112" s="34">
        <f>$B$5-BA109</f>
        <v/>
      </c>
      <c r="BB112" s="34">
        <f>$B$5-BB109</f>
        <v/>
      </c>
      <c r="BC112" s="34">
        <f>$B$5-BC109</f>
        <v/>
      </c>
      <c r="BD112" s="34">
        <f>$B$5-BD109</f>
        <v/>
      </c>
    </row>
    <row r="113">
      <c r="A113" s="2" t="inlineStr">
        <is>
          <t xml:space="preserve">   Acres standing that week, summed across every planting the solver chose.</t>
        </is>
      </c>
    </row>
    <row r="115">
      <c r="A115" s="22" t="inlineStr">
        <is>
          <t>Week</t>
        </is>
      </c>
      <c r="B115" s="33" t="inlineStr">
        <is>
          <t>hours</t>
        </is>
      </c>
      <c r="E115" s="25" t="n">
        <v>1</v>
      </c>
      <c r="F115" s="25" t="n">
        <v>2</v>
      </c>
      <c r="G115" s="25" t="n">
        <v>3</v>
      </c>
      <c r="H115" s="25" t="n">
        <v>4</v>
      </c>
      <c r="I115" s="25" t="n">
        <v>5</v>
      </c>
      <c r="J115" s="25" t="n">
        <v>6</v>
      </c>
      <c r="K115" s="25" t="n">
        <v>7</v>
      </c>
      <c r="L115" s="25" t="n">
        <v>8</v>
      </c>
      <c r="M115" s="25" t="n">
        <v>9</v>
      </c>
      <c r="N115" s="25" t="n">
        <v>10</v>
      </c>
      <c r="O115" s="25" t="n">
        <v>11</v>
      </c>
      <c r="P115" s="25" t="n">
        <v>12</v>
      </c>
      <c r="Q115" s="25" t="n">
        <v>13</v>
      </c>
      <c r="R115" s="25" t="n">
        <v>14</v>
      </c>
      <c r="S115" s="25" t="n">
        <v>15</v>
      </c>
      <c r="T115" s="25" t="n">
        <v>16</v>
      </c>
      <c r="U115" s="25" t="n">
        <v>17</v>
      </c>
      <c r="V115" s="25" t="n">
        <v>18</v>
      </c>
      <c r="W115" s="25" t="n">
        <v>19</v>
      </c>
      <c r="X115" s="25" t="n">
        <v>20</v>
      </c>
      <c r="Y115" s="25" t="n">
        <v>21</v>
      </c>
      <c r="Z115" s="25" t="n">
        <v>22</v>
      </c>
      <c r="AA115" s="25" t="n">
        <v>23</v>
      </c>
      <c r="AB115" s="25" t="n">
        <v>24</v>
      </c>
      <c r="AC115" s="25" t="n">
        <v>25</v>
      </c>
      <c r="AD115" s="25" t="n">
        <v>26</v>
      </c>
      <c r="AE115" s="25" t="n">
        <v>27</v>
      </c>
      <c r="AF115" s="25" t="n">
        <v>28</v>
      </c>
      <c r="AG115" s="25" t="n">
        <v>29</v>
      </c>
      <c r="AH115" s="25" t="n">
        <v>30</v>
      </c>
      <c r="AI115" s="25" t="n">
        <v>31</v>
      </c>
      <c r="AJ115" s="25" t="n">
        <v>32</v>
      </c>
      <c r="AK115" s="25" t="n">
        <v>33</v>
      </c>
      <c r="AL115" s="25" t="n">
        <v>34</v>
      </c>
      <c r="AM115" s="25" t="n">
        <v>35</v>
      </c>
      <c r="AN115" s="25" t="n">
        <v>36</v>
      </c>
      <c r="AO115" s="25" t="n">
        <v>37</v>
      </c>
      <c r="AP115" s="25" t="n">
        <v>38</v>
      </c>
      <c r="AQ115" s="25" t="n">
        <v>39</v>
      </c>
      <c r="AR115" s="25" t="n">
        <v>40</v>
      </c>
      <c r="AS115" s="25" t="n">
        <v>41</v>
      </c>
      <c r="AT115" s="25" t="n">
        <v>42</v>
      </c>
      <c r="AU115" s="25" t="n">
        <v>43</v>
      </c>
      <c r="AV115" s="25" t="n">
        <v>44</v>
      </c>
      <c r="AW115" s="25" t="n">
        <v>45</v>
      </c>
      <c r="AX115" s="25" t="n">
        <v>46</v>
      </c>
      <c r="AY115" s="25" t="n">
        <v>47</v>
      </c>
      <c r="AZ115" s="25" t="n">
        <v>48</v>
      </c>
      <c r="BA115" s="25" t="n">
        <v>49</v>
      </c>
      <c r="BB115" s="25" t="n">
        <v>50</v>
      </c>
      <c r="BC115" s="25" t="n">
        <v>51</v>
      </c>
      <c r="BD115" s="25" t="n">
        <v>52</v>
      </c>
    </row>
    <row r="116">
      <c r="A116" s="4" t="inlineStr">
        <is>
          <t>Crew capacity</t>
        </is>
      </c>
      <c r="B116" s="2" t="inlineStr">
        <is>
          <t>hrs</t>
        </is>
      </c>
      <c r="E116" s="36">
        <f>SUMPRODUCT(($G$27:$G$30&lt;=1)*($H$27:$H$30&gt;=1)*$B$27:$B$30*$E$27:$E$30*$F$27:$F$30/100)</f>
        <v/>
      </c>
      <c r="F116" s="36">
        <f>SUMPRODUCT(($G$27:$G$30&lt;=2)*($H$27:$H$30&gt;=2)*$B$27:$B$30*$E$27:$E$30*$F$27:$F$30/100)</f>
        <v/>
      </c>
      <c r="G116" s="36">
        <f>SUMPRODUCT(($G$27:$G$30&lt;=3)*($H$27:$H$30&gt;=3)*$B$27:$B$30*$E$27:$E$30*$F$27:$F$30/100)</f>
        <v/>
      </c>
      <c r="H116" s="36">
        <f>SUMPRODUCT(($G$27:$G$30&lt;=4)*($H$27:$H$30&gt;=4)*$B$27:$B$30*$E$27:$E$30*$F$27:$F$30/100)</f>
        <v/>
      </c>
      <c r="I116" s="36">
        <f>SUMPRODUCT(($G$27:$G$30&lt;=5)*($H$27:$H$30&gt;=5)*$B$27:$B$30*$E$27:$E$30*$F$27:$F$30/100)</f>
        <v/>
      </c>
      <c r="J116" s="36">
        <f>SUMPRODUCT(($G$27:$G$30&lt;=6)*($H$27:$H$30&gt;=6)*$B$27:$B$30*$E$27:$E$30*$F$27:$F$30/100)</f>
        <v/>
      </c>
      <c r="K116" s="36">
        <f>SUMPRODUCT(($G$27:$G$30&lt;=7)*($H$27:$H$30&gt;=7)*$B$27:$B$30*$E$27:$E$30*$F$27:$F$30/100)</f>
        <v/>
      </c>
      <c r="L116" s="36">
        <f>SUMPRODUCT(($G$27:$G$30&lt;=8)*($H$27:$H$30&gt;=8)*$B$27:$B$30*$E$27:$E$30*$F$27:$F$30/100)</f>
        <v/>
      </c>
      <c r="M116" s="36">
        <f>SUMPRODUCT(($G$27:$G$30&lt;=9)*($H$27:$H$30&gt;=9)*$B$27:$B$30*$E$27:$E$30*$F$27:$F$30/100)</f>
        <v/>
      </c>
      <c r="N116" s="36">
        <f>SUMPRODUCT(($G$27:$G$30&lt;=10)*($H$27:$H$30&gt;=10)*$B$27:$B$30*$E$27:$E$30*$F$27:$F$30/100)</f>
        <v/>
      </c>
      <c r="O116" s="36">
        <f>SUMPRODUCT(($G$27:$G$30&lt;=11)*($H$27:$H$30&gt;=11)*$B$27:$B$30*$E$27:$E$30*$F$27:$F$30/100)</f>
        <v/>
      </c>
      <c r="P116" s="36">
        <f>SUMPRODUCT(($G$27:$G$30&lt;=12)*($H$27:$H$30&gt;=12)*$B$27:$B$30*$E$27:$E$30*$F$27:$F$30/100)</f>
        <v/>
      </c>
      <c r="Q116" s="36">
        <f>SUMPRODUCT(($G$27:$G$30&lt;=13)*($H$27:$H$30&gt;=13)*$B$27:$B$30*$E$27:$E$30*$F$27:$F$30/100)</f>
        <v/>
      </c>
      <c r="R116" s="36">
        <f>SUMPRODUCT(($G$27:$G$30&lt;=14)*($H$27:$H$30&gt;=14)*$B$27:$B$30*$E$27:$E$30*$F$27:$F$30/100)</f>
        <v/>
      </c>
      <c r="S116" s="36">
        <f>SUMPRODUCT(($G$27:$G$30&lt;=15)*($H$27:$H$30&gt;=15)*$B$27:$B$30*$E$27:$E$30*$F$27:$F$30/100)</f>
        <v/>
      </c>
      <c r="T116" s="36">
        <f>SUMPRODUCT(($G$27:$G$30&lt;=16)*($H$27:$H$30&gt;=16)*$B$27:$B$30*$E$27:$E$30*$F$27:$F$30/100)</f>
        <v/>
      </c>
      <c r="U116" s="36">
        <f>SUMPRODUCT(($G$27:$G$30&lt;=17)*($H$27:$H$30&gt;=17)*$B$27:$B$30*$E$27:$E$30*$F$27:$F$30/100)</f>
        <v/>
      </c>
      <c r="V116" s="36">
        <f>SUMPRODUCT(($G$27:$G$30&lt;=18)*($H$27:$H$30&gt;=18)*$B$27:$B$30*$E$27:$E$30*$F$27:$F$30/100)</f>
        <v/>
      </c>
      <c r="W116" s="36">
        <f>SUMPRODUCT(($G$27:$G$30&lt;=19)*($H$27:$H$30&gt;=19)*$B$27:$B$30*$E$27:$E$30*$F$27:$F$30/100)</f>
        <v/>
      </c>
      <c r="X116" s="36">
        <f>SUMPRODUCT(($G$27:$G$30&lt;=20)*($H$27:$H$30&gt;=20)*$B$27:$B$30*$E$27:$E$30*$F$27:$F$30/100)</f>
        <v/>
      </c>
      <c r="Y116" s="36">
        <f>SUMPRODUCT(($G$27:$G$30&lt;=21)*($H$27:$H$30&gt;=21)*$B$27:$B$30*$E$27:$E$30*$F$27:$F$30/100)</f>
        <v/>
      </c>
      <c r="Z116" s="36">
        <f>SUMPRODUCT(($G$27:$G$30&lt;=22)*($H$27:$H$30&gt;=22)*$B$27:$B$30*$E$27:$E$30*$F$27:$F$30/100)</f>
        <v/>
      </c>
      <c r="AA116" s="36">
        <f>SUMPRODUCT(($G$27:$G$30&lt;=23)*($H$27:$H$30&gt;=23)*$B$27:$B$30*$E$27:$E$30*$F$27:$F$30/100)</f>
        <v/>
      </c>
      <c r="AB116" s="36">
        <f>SUMPRODUCT(($G$27:$G$30&lt;=24)*($H$27:$H$30&gt;=24)*$B$27:$B$30*$E$27:$E$30*$F$27:$F$30/100)</f>
        <v/>
      </c>
      <c r="AC116" s="36">
        <f>SUMPRODUCT(($G$27:$G$30&lt;=25)*($H$27:$H$30&gt;=25)*$B$27:$B$30*$E$27:$E$30*$F$27:$F$30/100)</f>
        <v/>
      </c>
      <c r="AD116" s="36">
        <f>SUMPRODUCT(($G$27:$G$30&lt;=26)*($H$27:$H$30&gt;=26)*$B$27:$B$30*$E$27:$E$30*$F$27:$F$30/100)</f>
        <v/>
      </c>
      <c r="AE116" s="36">
        <f>SUMPRODUCT(($G$27:$G$30&lt;=27)*($H$27:$H$30&gt;=27)*$B$27:$B$30*$E$27:$E$30*$F$27:$F$30/100)</f>
        <v/>
      </c>
      <c r="AF116" s="36">
        <f>SUMPRODUCT(($G$27:$G$30&lt;=28)*($H$27:$H$30&gt;=28)*$B$27:$B$30*$E$27:$E$30*$F$27:$F$30/100)</f>
        <v/>
      </c>
      <c r="AG116" s="36">
        <f>SUMPRODUCT(($G$27:$G$30&lt;=29)*($H$27:$H$30&gt;=29)*$B$27:$B$30*$E$27:$E$30*$F$27:$F$30/100)</f>
        <v/>
      </c>
      <c r="AH116" s="36">
        <f>SUMPRODUCT(($G$27:$G$30&lt;=30)*($H$27:$H$30&gt;=30)*$B$27:$B$30*$E$27:$E$30*$F$27:$F$30/100)</f>
        <v/>
      </c>
      <c r="AI116" s="36">
        <f>SUMPRODUCT(($G$27:$G$30&lt;=31)*($H$27:$H$30&gt;=31)*$B$27:$B$30*$E$27:$E$30*$F$27:$F$30/100)</f>
        <v/>
      </c>
      <c r="AJ116" s="36">
        <f>SUMPRODUCT(($G$27:$G$30&lt;=32)*($H$27:$H$30&gt;=32)*$B$27:$B$30*$E$27:$E$30*$F$27:$F$30/100)</f>
        <v/>
      </c>
      <c r="AK116" s="36">
        <f>SUMPRODUCT(($G$27:$G$30&lt;=33)*($H$27:$H$30&gt;=33)*$B$27:$B$30*$E$27:$E$30*$F$27:$F$30/100)</f>
        <v/>
      </c>
      <c r="AL116" s="36">
        <f>SUMPRODUCT(($G$27:$G$30&lt;=34)*($H$27:$H$30&gt;=34)*$B$27:$B$30*$E$27:$E$30*$F$27:$F$30/100)</f>
        <v/>
      </c>
      <c r="AM116" s="36">
        <f>SUMPRODUCT(($G$27:$G$30&lt;=35)*($H$27:$H$30&gt;=35)*$B$27:$B$30*$E$27:$E$30*$F$27:$F$30/100)</f>
        <v/>
      </c>
      <c r="AN116" s="36">
        <f>SUMPRODUCT(($G$27:$G$30&lt;=36)*($H$27:$H$30&gt;=36)*$B$27:$B$30*$E$27:$E$30*$F$27:$F$30/100)</f>
        <v/>
      </c>
      <c r="AO116" s="36">
        <f>SUMPRODUCT(($G$27:$G$30&lt;=37)*($H$27:$H$30&gt;=37)*$B$27:$B$30*$E$27:$E$30*$F$27:$F$30/100)</f>
        <v/>
      </c>
      <c r="AP116" s="36">
        <f>SUMPRODUCT(($G$27:$G$30&lt;=38)*($H$27:$H$30&gt;=38)*$B$27:$B$30*$E$27:$E$30*$F$27:$F$30/100)</f>
        <v/>
      </c>
      <c r="AQ116" s="36">
        <f>SUMPRODUCT(($G$27:$G$30&lt;=39)*($H$27:$H$30&gt;=39)*$B$27:$B$30*$E$27:$E$30*$F$27:$F$30/100)</f>
        <v/>
      </c>
      <c r="AR116" s="36">
        <f>SUMPRODUCT(($G$27:$G$30&lt;=40)*($H$27:$H$30&gt;=40)*$B$27:$B$30*$E$27:$E$30*$F$27:$F$30/100)</f>
        <v/>
      </c>
      <c r="AS116" s="36">
        <f>SUMPRODUCT(($G$27:$G$30&lt;=41)*($H$27:$H$30&gt;=41)*$B$27:$B$30*$E$27:$E$30*$F$27:$F$30/100)</f>
        <v/>
      </c>
      <c r="AT116" s="36">
        <f>SUMPRODUCT(($G$27:$G$30&lt;=42)*($H$27:$H$30&gt;=42)*$B$27:$B$30*$E$27:$E$30*$F$27:$F$30/100)</f>
        <v/>
      </c>
      <c r="AU116" s="36">
        <f>SUMPRODUCT(($G$27:$G$30&lt;=43)*($H$27:$H$30&gt;=43)*$B$27:$B$30*$E$27:$E$30*$F$27:$F$30/100)</f>
        <v/>
      </c>
      <c r="AV116" s="36">
        <f>SUMPRODUCT(($G$27:$G$30&lt;=44)*($H$27:$H$30&gt;=44)*$B$27:$B$30*$E$27:$E$30*$F$27:$F$30/100)</f>
        <v/>
      </c>
      <c r="AW116" s="36">
        <f>SUMPRODUCT(($G$27:$G$30&lt;=45)*($H$27:$H$30&gt;=45)*$B$27:$B$30*$E$27:$E$30*$F$27:$F$30/100)</f>
        <v/>
      </c>
      <c r="AX116" s="36">
        <f>SUMPRODUCT(($G$27:$G$30&lt;=46)*($H$27:$H$30&gt;=46)*$B$27:$B$30*$E$27:$E$30*$F$27:$F$30/100)</f>
        <v/>
      </c>
      <c r="AY116" s="36">
        <f>SUMPRODUCT(($G$27:$G$30&lt;=47)*($H$27:$H$30&gt;=47)*$B$27:$B$30*$E$27:$E$30*$F$27:$F$30/100)</f>
        <v/>
      </c>
      <c r="AZ116" s="36">
        <f>SUMPRODUCT(($G$27:$G$30&lt;=48)*($H$27:$H$30&gt;=48)*$B$27:$B$30*$E$27:$E$30*$F$27:$F$30/100)</f>
        <v/>
      </c>
      <c r="BA116" s="36">
        <f>SUMPRODUCT(($G$27:$G$30&lt;=49)*($H$27:$H$30&gt;=49)*$B$27:$B$30*$E$27:$E$30*$F$27:$F$30/100)</f>
        <v/>
      </c>
      <c r="BB116" s="36">
        <f>SUMPRODUCT(($G$27:$G$30&lt;=50)*($H$27:$H$30&gt;=50)*$B$27:$B$30*$E$27:$E$30*$F$27:$F$30/100)</f>
        <v/>
      </c>
      <c r="BC116" s="36">
        <f>SUMPRODUCT(($G$27:$G$30&lt;=51)*($H$27:$H$30&gt;=51)*$B$27:$B$30*$E$27:$E$30*$F$27:$F$30/100)</f>
        <v/>
      </c>
      <c r="BD116" s="36">
        <f>SUMPRODUCT(($G$27:$G$30&lt;=52)*($H$27:$H$30&gt;=52)*$B$27:$B$30*$E$27:$E$30*$F$27:$F$30/100)</f>
        <v/>
      </c>
    </row>
    <row r="117">
      <c r="A117" s="4" t="inlineStr">
        <is>
          <t>Wage bill this week</t>
        </is>
      </c>
      <c r="B117" s="2" t="inlineStr">
        <is>
          <t>$</t>
        </is>
      </c>
      <c r="E117" s="36">
        <f>SUMPRODUCT(($G$27:$G$30&lt;=1)*($H$27:$H$30&gt;=1)*$B$27:$B$30*IF($C$27:$C$30="salary",$D$27:$D$30/52*(1+$B$31),$D$27:$D$30*$E$27:$E$30*(1+$B$31)))</f>
        <v/>
      </c>
      <c r="F117" s="36">
        <f>SUMPRODUCT(($G$27:$G$30&lt;=2)*($H$27:$H$30&gt;=2)*$B$27:$B$30*IF($C$27:$C$30="salary",$D$27:$D$30/52*(1+$B$31),$D$27:$D$30*$E$27:$E$30*(1+$B$31)))</f>
        <v/>
      </c>
      <c r="G117" s="36">
        <f>SUMPRODUCT(($G$27:$G$30&lt;=3)*($H$27:$H$30&gt;=3)*$B$27:$B$30*IF($C$27:$C$30="salary",$D$27:$D$30/52*(1+$B$31),$D$27:$D$30*$E$27:$E$30*(1+$B$31)))</f>
        <v/>
      </c>
      <c r="H117" s="36">
        <f>SUMPRODUCT(($G$27:$G$30&lt;=4)*($H$27:$H$30&gt;=4)*$B$27:$B$30*IF($C$27:$C$30="salary",$D$27:$D$30/52*(1+$B$31),$D$27:$D$30*$E$27:$E$30*(1+$B$31)))</f>
        <v/>
      </c>
      <c r="I117" s="36">
        <f>SUMPRODUCT(($G$27:$G$30&lt;=5)*($H$27:$H$30&gt;=5)*$B$27:$B$30*IF($C$27:$C$30="salary",$D$27:$D$30/52*(1+$B$31),$D$27:$D$30*$E$27:$E$30*(1+$B$31)))</f>
        <v/>
      </c>
      <c r="J117" s="36">
        <f>SUMPRODUCT(($G$27:$G$30&lt;=6)*($H$27:$H$30&gt;=6)*$B$27:$B$30*IF($C$27:$C$30="salary",$D$27:$D$30/52*(1+$B$31),$D$27:$D$30*$E$27:$E$30*(1+$B$31)))</f>
        <v/>
      </c>
      <c r="K117" s="36">
        <f>SUMPRODUCT(($G$27:$G$30&lt;=7)*($H$27:$H$30&gt;=7)*$B$27:$B$30*IF($C$27:$C$30="salary",$D$27:$D$30/52*(1+$B$31),$D$27:$D$30*$E$27:$E$30*(1+$B$31)))</f>
        <v/>
      </c>
      <c r="L117" s="36">
        <f>SUMPRODUCT(($G$27:$G$30&lt;=8)*($H$27:$H$30&gt;=8)*$B$27:$B$30*IF($C$27:$C$30="salary",$D$27:$D$30/52*(1+$B$31),$D$27:$D$30*$E$27:$E$30*(1+$B$31)))</f>
        <v/>
      </c>
      <c r="M117" s="36">
        <f>SUMPRODUCT(($G$27:$G$30&lt;=9)*($H$27:$H$30&gt;=9)*$B$27:$B$30*IF($C$27:$C$30="salary",$D$27:$D$30/52*(1+$B$31),$D$27:$D$30*$E$27:$E$30*(1+$B$31)))</f>
        <v/>
      </c>
      <c r="N117" s="36">
        <f>SUMPRODUCT(($G$27:$G$30&lt;=10)*($H$27:$H$30&gt;=10)*$B$27:$B$30*IF($C$27:$C$30="salary",$D$27:$D$30/52*(1+$B$31),$D$27:$D$30*$E$27:$E$30*(1+$B$31)))</f>
        <v/>
      </c>
      <c r="O117" s="36">
        <f>SUMPRODUCT(($G$27:$G$30&lt;=11)*($H$27:$H$30&gt;=11)*$B$27:$B$30*IF($C$27:$C$30="salary",$D$27:$D$30/52*(1+$B$31),$D$27:$D$30*$E$27:$E$30*(1+$B$31)))</f>
        <v/>
      </c>
      <c r="P117" s="36">
        <f>SUMPRODUCT(($G$27:$G$30&lt;=12)*($H$27:$H$30&gt;=12)*$B$27:$B$30*IF($C$27:$C$30="salary",$D$27:$D$30/52*(1+$B$31),$D$27:$D$30*$E$27:$E$30*(1+$B$31)))</f>
        <v/>
      </c>
      <c r="Q117" s="36">
        <f>SUMPRODUCT(($G$27:$G$30&lt;=13)*($H$27:$H$30&gt;=13)*$B$27:$B$30*IF($C$27:$C$30="salary",$D$27:$D$30/52*(1+$B$31),$D$27:$D$30*$E$27:$E$30*(1+$B$31)))</f>
        <v/>
      </c>
      <c r="R117" s="36">
        <f>SUMPRODUCT(($G$27:$G$30&lt;=14)*($H$27:$H$30&gt;=14)*$B$27:$B$30*IF($C$27:$C$30="salary",$D$27:$D$30/52*(1+$B$31),$D$27:$D$30*$E$27:$E$30*(1+$B$31)))</f>
        <v/>
      </c>
      <c r="S117" s="36">
        <f>SUMPRODUCT(($G$27:$G$30&lt;=15)*($H$27:$H$30&gt;=15)*$B$27:$B$30*IF($C$27:$C$30="salary",$D$27:$D$30/52*(1+$B$31),$D$27:$D$30*$E$27:$E$30*(1+$B$31)))</f>
        <v/>
      </c>
      <c r="T117" s="36">
        <f>SUMPRODUCT(($G$27:$G$30&lt;=16)*($H$27:$H$30&gt;=16)*$B$27:$B$30*IF($C$27:$C$30="salary",$D$27:$D$30/52*(1+$B$31),$D$27:$D$30*$E$27:$E$30*(1+$B$31)))</f>
        <v/>
      </c>
      <c r="U117" s="36">
        <f>SUMPRODUCT(($G$27:$G$30&lt;=17)*($H$27:$H$30&gt;=17)*$B$27:$B$30*IF($C$27:$C$30="salary",$D$27:$D$30/52*(1+$B$31),$D$27:$D$30*$E$27:$E$30*(1+$B$31)))</f>
        <v/>
      </c>
      <c r="V117" s="36">
        <f>SUMPRODUCT(($G$27:$G$30&lt;=18)*($H$27:$H$30&gt;=18)*$B$27:$B$30*IF($C$27:$C$30="salary",$D$27:$D$30/52*(1+$B$31),$D$27:$D$30*$E$27:$E$30*(1+$B$31)))</f>
        <v/>
      </c>
      <c r="W117" s="36">
        <f>SUMPRODUCT(($G$27:$G$30&lt;=19)*($H$27:$H$30&gt;=19)*$B$27:$B$30*IF($C$27:$C$30="salary",$D$27:$D$30/52*(1+$B$31),$D$27:$D$30*$E$27:$E$30*(1+$B$31)))</f>
        <v/>
      </c>
      <c r="X117" s="36">
        <f>SUMPRODUCT(($G$27:$G$30&lt;=20)*($H$27:$H$30&gt;=20)*$B$27:$B$30*IF($C$27:$C$30="salary",$D$27:$D$30/52*(1+$B$31),$D$27:$D$30*$E$27:$E$30*(1+$B$31)))</f>
        <v/>
      </c>
      <c r="Y117" s="36">
        <f>SUMPRODUCT(($G$27:$G$30&lt;=21)*($H$27:$H$30&gt;=21)*$B$27:$B$30*IF($C$27:$C$30="salary",$D$27:$D$30/52*(1+$B$31),$D$27:$D$30*$E$27:$E$30*(1+$B$31)))</f>
        <v/>
      </c>
      <c r="Z117" s="36">
        <f>SUMPRODUCT(($G$27:$G$30&lt;=22)*($H$27:$H$30&gt;=22)*$B$27:$B$30*IF($C$27:$C$30="salary",$D$27:$D$30/52*(1+$B$31),$D$27:$D$30*$E$27:$E$30*(1+$B$31)))</f>
        <v/>
      </c>
      <c r="AA117" s="36">
        <f>SUMPRODUCT(($G$27:$G$30&lt;=23)*($H$27:$H$30&gt;=23)*$B$27:$B$30*IF($C$27:$C$30="salary",$D$27:$D$30/52*(1+$B$31),$D$27:$D$30*$E$27:$E$30*(1+$B$31)))</f>
        <v/>
      </c>
      <c r="AB117" s="36">
        <f>SUMPRODUCT(($G$27:$G$30&lt;=24)*($H$27:$H$30&gt;=24)*$B$27:$B$30*IF($C$27:$C$30="salary",$D$27:$D$30/52*(1+$B$31),$D$27:$D$30*$E$27:$E$30*(1+$B$31)))</f>
        <v/>
      </c>
      <c r="AC117" s="36">
        <f>SUMPRODUCT(($G$27:$G$30&lt;=25)*($H$27:$H$30&gt;=25)*$B$27:$B$30*IF($C$27:$C$30="salary",$D$27:$D$30/52*(1+$B$31),$D$27:$D$30*$E$27:$E$30*(1+$B$31)))</f>
        <v/>
      </c>
      <c r="AD117" s="36">
        <f>SUMPRODUCT(($G$27:$G$30&lt;=26)*($H$27:$H$30&gt;=26)*$B$27:$B$30*IF($C$27:$C$30="salary",$D$27:$D$30/52*(1+$B$31),$D$27:$D$30*$E$27:$E$30*(1+$B$31)))</f>
        <v/>
      </c>
      <c r="AE117" s="36">
        <f>SUMPRODUCT(($G$27:$G$30&lt;=27)*($H$27:$H$30&gt;=27)*$B$27:$B$30*IF($C$27:$C$30="salary",$D$27:$D$30/52*(1+$B$31),$D$27:$D$30*$E$27:$E$30*(1+$B$31)))</f>
        <v/>
      </c>
      <c r="AF117" s="36">
        <f>SUMPRODUCT(($G$27:$G$30&lt;=28)*($H$27:$H$30&gt;=28)*$B$27:$B$30*IF($C$27:$C$30="salary",$D$27:$D$30/52*(1+$B$31),$D$27:$D$30*$E$27:$E$30*(1+$B$31)))</f>
        <v/>
      </c>
      <c r="AG117" s="36">
        <f>SUMPRODUCT(($G$27:$G$30&lt;=29)*($H$27:$H$30&gt;=29)*$B$27:$B$30*IF($C$27:$C$30="salary",$D$27:$D$30/52*(1+$B$31),$D$27:$D$30*$E$27:$E$30*(1+$B$31)))</f>
        <v/>
      </c>
      <c r="AH117" s="36">
        <f>SUMPRODUCT(($G$27:$G$30&lt;=30)*($H$27:$H$30&gt;=30)*$B$27:$B$30*IF($C$27:$C$30="salary",$D$27:$D$30/52*(1+$B$31),$D$27:$D$30*$E$27:$E$30*(1+$B$31)))</f>
        <v/>
      </c>
      <c r="AI117" s="36">
        <f>SUMPRODUCT(($G$27:$G$30&lt;=31)*($H$27:$H$30&gt;=31)*$B$27:$B$30*IF($C$27:$C$30="salary",$D$27:$D$30/52*(1+$B$31),$D$27:$D$30*$E$27:$E$30*(1+$B$31)))</f>
        <v/>
      </c>
      <c r="AJ117" s="36">
        <f>SUMPRODUCT(($G$27:$G$30&lt;=32)*($H$27:$H$30&gt;=32)*$B$27:$B$30*IF($C$27:$C$30="salary",$D$27:$D$30/52*(1+$B$31),$D$27:$D$30*$E$27:$E$30*(1+$B$31)))</f>
        <v/>
      </c>
      <c r="AK117" s="36">
        <f>SUMPRODUCT(($G$27:$G$30&lt;=33)*($H$27:$H$30&gt;=33)*$B$27:$B$30*IF($C$27:$C$30="salary",$D$27:$D$30/52*(1+$B$31),$D$27:$D$30*$E$27:$E$30*(1+$B$31)))</f>
        <v/>
      </c>
      <c r="AL117" s="36">
        <f>SUMPRODUCT(($G$27:$G$30&lt;=34)*($H$27:$H$30&gt;=34)*$B$27:$B$30*IF($C$27:$C$30="salary",$D$27:$D$30/52*(1+$B$31),$D$27:$D$30*$E$27:$E$30*(1+$B$31)))</f>
        <v/>
      </c>
      <c r="AM117" s="36">
        <f>SUMPRODUCT(($G$27:$G$30&lt;=35)*($H$27:$H$30&gt;=35)*$B$27:$B$30*IF($C$27:$C$30="salary",$D$27:$D$30/52*(1+$B$31),$D$27:$D$30*$E$27:$E$30*(1+$B$31)))</f>
        <v/>
      </c>
      <c r="AN117" s="36">
        <f>SUMPRODUCT(($G$27:$G$30&lt;=36)*($H$27:$H$30&gt;=36)*$B$27:$B$30*IF($C$27:$C$30="salary",$D$27:$D$30/52*(1+$B$31),$D$27:$D$30*$E$27:$E$30*(1+$B$31)))</f>
        <v/>
      </c>
      <c r="AO117" s="36">
        <f>SUMPRODUCT(($G$27:$G$30&lt;=37)*($H$27:$H$30&gt;=37)*$B$27:$B$30*IF($C$27:$C$30="salary",$D$27:$D$30/52*(1+$B$31),$D$27:$D$30*$E$27:$E$30*(1+$B$31)))</f>
        <v/>
      </c>
      <c r="AP117" s="36">
        <f>SUMPRODUCT(($G$27:$G$30&lt;=38)*($H$27:$H$30&gt;=38)*$B$27:$B$30*IF($C$27:$C$30="salary",$D$27:$D$30/52*(1+$B$31),$D$27:$D$30*$E$27:$E$30*(1+$B$31)))</f>
        <v/>
      </c>
      <c r="AQ117" s="36">
        <f>SUMPRODUCT(($G$27:$G$30&lt;=39)*($H$27:$H$30&gt;=39)*$B$27:$B$30*IF($C$27:$C$30="salary",$D$27:$D$30/52*(1+$B$31),$D$27:$D$30*$E$27:$E$30*(1+$B$31)))</f>
        <v/>
      </c>
      <c r="AR117" s="36">
        <f>SUMPRODUCT(($G$27:$G$30&lt;=40)*($H$27:$H$30&gt;=40)*$B$27:$B$30*IF($C$27:$C$30="salary",$D$27:$D$30/52*(1+$B$31),$D$27:$D$30*$E$27:$E$30*(1+$B$31)))</f>
        <v/>
      </c>
      <c r="AS117" s="36">
        <f>SUMPRODUCT(($G$27:$G$30&lt;=41)*($H$27:$H$30&gt;=41)*$B$27:$B$30*IF($C$27:$C$30="salary",$D$27:$D$30/52*(1+$B$31),$D$27:$D$30*$E$27:$E$30*(1+$B$31)))</f>
        <v/>
      </c>
      <c r="AT117" s="36">
        <f>SUMPRODUCT(($G$27:$G$30&lt;=42)*($H$27:$H$30&gt;=42)*$B$27:$B$30*IF($C$27:$C$30="salary",$D$27:$D$30/52*(1+$B$31),$D$27:$D$30*$E$27:$E$30*(1+$B$31)))</f>
        <v/>
      </c>
      <c r="AU117" s="36">
        <f>SUMPRODUCT(($G$27:$G$30&lt;=43)*($H$27:$H$30&gt;=43)*$B$27:$B$30*IF($C$27:$C$30="salary",$D$27:$D$30/52*(1+$B$31),$D$27:$D$30*$E$27:$E$30*(1+$B$31)))</f>
        <v/>
      </c>
      <c r="AV117" s="36">
        <f>SUMPRODUCT(($G$27:$G$30&lt;=44)*($H$27:$H$30&gt;=44)*$B$27:$B$30*IF($C$27:$C$30="salary",$D$27:$D$30/52*(1+$B$31),$D$27:$D$30*$E$27:$E$30*(1+$B$31)))</f>
        <v/>
      </c>
      <c r="AW117" s="36">
        <f>SUMPRODUCT(($G$27:$G$30&lt;=45)*($H$27:$H$30&gt;=45)*$B$27:$B$30*IF($C$27:$C$30="salary",$D$27:$D$30/52*(1+$B$31),$D$27:$D$30*$E$27:$E$30*(1+$B$31)))</f>
        <v/>
      </c>
      <c r="AX117" s="36">
        <f>SUMPRODUCT(($G$27:$G$30&lt;=46)*($H$27:$H$30&gt;=46)*$B$27:$B$30*IF($C$27:$C$30="salary",$D$27:$D$30/52*(1+$B$31),$D$27:$D$30*$E$27:$E$30*(1+$B$31)))</f>
        <v/>
      </c>
      <c r="AY117" s="36">
        <f>SUMPRODUCT(($G$27:$G$30&lt;=47)*($H$27:$H$30&gt;=47)*$B$27:$B$30*IF($C$27:$C$30="salary",$D$27:$D$30/52*(1+$B$31),$D$27:$D$30*$E$27:$E$30*(1+$B$31)))</f>
        <v/>
      </c>
      <c r="AZ117" s="36">
        <f>SUMPRODUCT(($G$27:$G$30&lt;=48)*($H$27:$H$30&gt;=48)*$B$27:$B$30*IF($C$27:$C$30="salary",$D$27:$D$30/52*(1+$B$31),$D$27:$D$30*$E$27:$E$30*(1+$B$31)))</f>
        <v/>
      </c>
      <c r="BA117" s="36">
        <f>SUMPRODUCT(($G$27:$G$30&lt;=49)*($H$27:$H$30&gt;=49)*$B$27:$B$30*IF($C$27:$C$30="salary",$D$27:$D$30/52*(1+$B$31),$D$27:$D$30*$E$27:$E$30*(1+$B$31)))</f>
        <v/>
      </c>
      <c r="BB117" s="36">
        <f>SUMPRODUCT(($G$27:$G$30&lt;=50)*($H$27:$H$30&gt;=50)*$B$27:$B$30*IF($C$27:$C$30="salary",$D$27:$D$30/52*(1+$B$31),$D$27:$D$30*$E$27:$E$30*(1+$B$31)))</f>
        <v/>
      </c>
      <c r="BC117" s="36">
        <f>SUMPRODUCT(($G$27:$G$30&lt;=51)*($H$27:$H$30&gt;=51)*$B$27:$B$30*IF($C$27:$C$30="salary",$D$27:$D$30/52*(1+$B$31),$D$27:$D$30*$E$27:$E$30*(1+$B$31)))</f>
        <v/>
      </c>
      <c r="BD117" s="36">
        <f>SUMPRODUCT(($G$27:$G$30&lt;=52)*($H$27:$H$30&gt;=52)*$B$27:$B$30*IF($C$27:$C$30="salary",$D$27:$D$30/52*(1+$B$31),$D$27:$D$30*$E$27:$E$30*(1+$B$31)))</f>
        <v/>
      </c>
    </row>
    <row r="118">
      <c r="A118" s="2" t="inlineStr">
        <is>
          <t xml:space="preserve">   The wage bill has a SHAPE. Flattening it to an annual average understated the app's own cash floor by $115,615.</t>
        </is>
      </c>
    </row>
    <row r="120">
      <c r="A120" s="22" t="inlineStr">
        <is>
          <t>Week</t>
        </is>
      </c>
      <c r="B120" s="33" t="inlineStr">
        <is>
          <t>hours</t>
        </is>
      </c>
      <c r="E120" s="25" t="n">
        <v>1</v>
      </c>
      <c r="F120" s="25" t="n">
        <v>2</v>
      </c>
      <c r="G120" s="25" t="n">
        <v>3</v>
      </c>
      <c r="H120" s="25" t="n">
        <v>4</v>
      </c>
      <c r="I120" s="25" t="n">
        <v>5</v>
      </c>
      <c r="J120" s="25" t="n">
        <v>6</v>
      </c>
      <c r="K120" s="25" t="n">
        <v>7</v>
      </c>
      <c r="L120" s="25" t="n">
        <v>8</v>
      </c>
      <c r="M120" s="25" t="n">
        <v>9</v>
      </c>
      <c r="N120" s="25" t="n">
        <v>10</v>
      </c>
      <c r="O120" s="25" t="n">
        <v>11</v>
      </c>
      <c r="P120" s="25" t="n">
        <v>12</v>
      </c>
      <c r="Q120" s="25" t="n">
        <v>13</v>
      </c>
      <c r="R120" s="25" t="n">
        <v>14</v>
      </c>
      <c r="S120" s="25" t="n">
        <v>15</v>
      </c>
      <c r="T120" s="25" t="n">
        <v>16</v>
      </c>
      <c r="U120" s="25" t="n">
        <v>17</v>
      </c>
      <c r="V120" s="25" t="n">
        <v>18</v>
      </c>
      <c r="W120" s="25" t="n">
        <v>19</v>
      </c>
      <c r="X120" s="25" t="n">
        <v>20</v>
      </c>
      <c r="Y120" s="25" t="n">
        <v>21</v>
      </c>
      <c r="Z120" s="25" t="n">
        <v>22</v>
      </c>
      <c r="AA120" s="25" t="n">
        <v>23</v>
      </c>
      <c r="AB120" s="25" t="n">
        <v>24</v>
      </c>
      <c r="AC120" s="25" t="n">
        <v>25</v>
      </c>
      <c r="AD120" s="25" t="n">
        <v>26</v>
      </c>
      <c r="AE120" s="25" t="n">
        <v>27</v>
      </c>
      <c r="AF120" s="25" t="n">
        <v>28</v>
      </c>
      <c r="AG120" s="25" t="n">
        <v>29</v>
      </c>
      <c r="AH120" s="25" t="n">
        <v>30</v>
      </c>
      <c r="AI120" s="25" t="n">
        <v>31</v>
      </c>
      <c r="AJ120" s="25" t="n">
        <v>32</v>
      </c>
      <c r="AK120" s="25" t="n">
        <v>33</v>
      </c>
      <c r="AL120" s="25" t="n">
        <v>34</v>
      </c>
      <c r="AM120" s="25" t="n">
        <v>35</v>
      </c>
      <c r="AN120" s="25" t="n">
        <v>36</v>
      </c>
      <c r="AO120" s="25" t="n">
        <v>37</v>
      </c>
      <c r="AP120" s="25" t="n">
        <v>38</v>
      </c>
      <c r="AQ120" s="25" t="n">
        <v>39</v>
      </c>
      <c r="AR120" s="25" t="n">
        <v>40</v>
      </c>
      <c r="AS120" s="25" t="n">
        <v>41</v>
      </c>
      <c r="AT120" s="25" t="n">
        <v>42</v>
      </c>
      <c r="AU120" s="25" t="n">
        <v>43</v>
      </c>
      <c r="AV120" s="25" t="n">
        <v>44</v>
      </c>
      <c r="AW120" s="25" t="n">
        <v>45</v>
      </c>
      <c r="AX120" s="25" t="n">
        <v>46</v>
      </c>
      <c r="AY120" s="25" t="n">
        <v>47</v>
      </c>
      <c r="AZ120" s="25" t="n">
        <v>48</v>
      </c>
      <c r="BA120" s="25" t="n">
        <v>49</v>
      </c>
      <c r="BB120" s="25" t="n">
        <v>50</v>
      </c>
      <c r="BC120" s="25" t="n">
        <v>51</v>
      </c>
      <c r="BD120" s="25" t="n">
        <v>52</v>
      </c>
    </row>
    <row r="121">
      <c r="A121" s="4" t="inlineStr">
        <is>
          <t>CROP HOURS needed</t>
        </is>
      </c>
      <c r="B121" s="2" t="inlineStr">
        <is>
          <t>used</t>
        </is>
      </c>
      <c r="E121" s="36">
        <f>SUMPRODUCT(($B$38:$B$105="Spinach")*(E$38:E$105="P")*$C$38:$C$105)*$N$11+SUMPRODUCT(($B$38:$B$105="Spinach")*(E$38:E$105="G")*$C$38:$C$105)*$O$11+SUMPRODUCT(($B$38:$B$105="Spinach")*(E$38:E$105="H")*$C$38:$C$105)*$P$11+SUMPRODUCT(($B$38:$B$105="Kale")*(E$38:E$105="P")*$C$38:$C$105)*$N$12+SUMPRODUCT(($B$38:$B$105="Kale")*(E$38:E$105="G")*$C$38:$C$105)*$O$12+SUMPRODUCT(($B$38:$B$105="Kale")*(E$38:E$105="H")*$C$38:$C$105)*$P$12+SUMPRODUCT(($B$38:$B$105="Garlic")*(E$38:E$105="P")*$C$38:$C$105)*$N$13+SUMPRODUCT(($B$38:$B$105="Garlic")*(E$38:E$105="G")*$C$38:$C$105)*$O$13+SUMPRODUCT(($B$38:$B$105="Garlic")*(E$38:E$105="H")*$C$38:$C$105)*$P$13</f>
        <v/>
      </c>
      <c r="F121" s="36">
        <f>SUMPRODUCT(($B$38:$B$105="Spinach")*(F$38:F$105="P")*$C$38:$C$105)*$N$11+SUMPRODUCT(($B$38:$B$105="Spinach")*(F$38:F$105="G")*$C$38:$C$105)*$O$11+SUMPRODUCT(($B$38:$B$105="Spinach")*(F$38:F$105="H")*$C$38:$C$105)*$P$11+SUMPRODUCT(($B$38:$B$105="Kale")*(F$38:F$105="P")*$C$38:$C$105)*$N$12+SUMPRODUCT(($B$38:$B$105="Kale")*(F$38:F$105="G")*$C$38:$C$105)*$O$12+SUMPRODUCT(($B$38:$B$105="Kale")*(F$38:F$105="H")*$C$38:$C$105)*$P$12+SUMPRODUCT(($B$38:$B$105="Garlic")*(F$38:F$105="P")*$C$38:$C$105)*$N$13+SUMPRODUCT(($B$38:$B$105="Garlic")*(F$38:F$105="G")*$C$38:$C$105)*$O$13+SUMPRODUCT(($B$38:$B$105="Garlic")*(F$38:F$105="H")*$C$38:$C$105)*$P$13</f>
        <v/>
      </c>
      <c r="G121" s="36">
        <f>SUMPRODUCT(($B$38:$B$105="Spinach")*(G$38:G$105="P")*$C$38:$C$105)*$N$11+SUMPRODUCT(($B$38:$B$105="Spinach")*(G$38:G$105="G")*$C$38:$C$105)*$O$11+SUMPRODUCT(($B$38:$B$105="Spinach")*(G$38:G$105="H")*$C$38:$C$105)*$P$11+SUMPRODUCT(($B$38:$B$105="Kale")*(G$38:G$105="P")*$C$38:$C$105)*$N$12+SUMPRODUCT(($B$38:$B$105="Kale")*(G$38:G$105="G")*$C$38:$C$105)*$O$12+SUMPRODUCT(($B$38:$B$105="Kale")*(G$38:G$105="H")*$C$38:$C$105)*$P$12+SUMPRODUCT(($B$38:$B$105="Garlic")*(G$38:G$105="P")*$C$38:$C$105)*$N$13+SUMPRODUCT(($B$38:$B$105="Garlic")*(G$38:G$105="G")*$C$38:$C$105)*$O$13+SUMPRODUCT(($B$38:$B$105="Garlic")*(G$38:G$105="H")*$C$38:$C$105)*$P$13</f>
        <v/>
      </c>
      <c r="H121" s="36">
        <f>SUMPRODUCT(($B$38:$B$105="Spinach")*(H$38:H$105="P")*$C$38:$C$105)*$N$11+SUMPRODUCT(($B$38:$B$105="Spinach")*(H$38:H$105="G")*$C$38:$C$105)*$O$11+SUMPRODUCT(($B$38:$B$105="Spinach")*(H$38:H$105="H")*$C$38:$C$105)*$P$11+SUMPRODUCT(($B$38:$B$105="Kale")*(H$38:H$105="P")*$C$38:$C$105)*$N$12+SUMPRODUCT(($B$38:$B$105="Kale")*(H$38:H$105="G")*$C$38:$C$105)*$O$12+SUMPRODUCT(($B$38:$B$105="Kale")*(H$38:H$105="H")*$C$38:$C$105)*$P$12+SUMPRODUCT(($B$38:$B$105="Garlic")*(H$38:H$105="P")*$C$38:$C$105)*$N$13+SUMPRODUCT(($B$38:$B$105="Garlic")*(H$38:H$105="G")*$C$38:$C$105)*$O$13+SUMPRODUCT(($B$38:$B$105="Garlic")*(H$38:H$105="H")*$C$38:$C$105)*$P$13</f>
        <v/>
      </c>
      <c r="I121" s="36">
        <f>SUMPRODUCT(($B$38:$B$105="Spinach")*(I$38:I$105="P")*$C$38:$C$105)*$N$11+SUMPRODUCT(($B$38:$B$105="Spinach")*(I$38:I$105="G")*$C$38:$C$105)*$O$11+SUMPRODUCT(($B$38:$B$105="Spinach")*(I$38:I$105="H")*$C$38:$C$105)*$P$11+SUMPRODUCT(($B$38:$B$105="Kale")*(I$38:I$105="P")*$C$38:$C$105)*$N$12+SUMPRODUCT(($B$38:$B$105="Kale")*(I$38:I$105="G")*$C$38:$C$105)*$O$12+SUMPRODUCT(($B$38:$B$105="Kale")*(I$38:I$105="H")*$C$38:$C$105)*$P$12+SUMPRODUCT(($B$38:$B$105="Garlic")*(I$38:I$105="P")*$C$38:$C$105)*$N$13+SUMPRODUCT(($B$38:$B$105="Garlic")*(I$38:I$105="G")*$C$38:$C$105)*$O$13+SUMPRODUCT(($B$38:$B$105="Garlic")*(I$38:I$105="H")*$C$38:$C$105)*$P$13</f>
        <v/>
      </c>
      <c r="J121" s="36">
        <f>SUMPRODUCT(($B$38:$B$105="Spinach")*(J$38:J$105="P")*$C$38:$C$105)*$N$11+SUMPRODUCT(($B$38:$B$105="Spinach")*(J$38:J$105="G")*$C$38:$C$105)*$O$11+SUMPRODUCT(($B$38:$B$105="Spinach")*(J$38:J$105="H")*$C$38:$C$105)*$P$11+SUMPRODUCT(($B$38:$B$105="Kale")*(J$38:J$105="P")*$C$38:$C$105)*$N$12+SUMPRODUCT(($B$38:$B$105="Kale")*(J$38:J$105="G")*$C$38:$C$105)*$O$12+SUMPRODUCT(($B$38:$B$105="Kale")*(J$38:J$105="H")*$C$38:$C$105)*$P$12+SUMPRODUCT(($B$38:$B$105="Garlic")*(J$38:J$105="P")*$C$38:$C$105)*$N$13+SUMPRODUCT(($B$38:$B$105="Garlic")*(J$38:J$105="G")*$C$38:$C$105)*$O$13+SUMPRODUCT(($B$38:$B$105="Garlic")*(J$38:J$105="H")*$C$38:$C$105)*$P$13</f>
        <v/>
      </c>
      <c r="K121" s="36">
        <f>SUMPRODUCT(($B$38:$B$105="Spinach")*(K$38:K$105="P")*$C$38:$C$105)*$N$11+SUMPRODUCT(($B$38:$B$105="Spinach")*(K$38:K$105="G")*$C$38:$C$105)*$O$11+SUMPRODUCT(($B$38:$B$105="Spinach")*(K$38:K$105="H")*$C$38:$C$105)*$P$11+SUMPRODUCT(($B$38:$B$105="Kale")*(K$38:K$105="P")*$C$38:$C$105)*$N$12+SUMPRODUCT(($B$38:$B$105="Kale")*(K$38:K$105="G")*$C$38:$C$105)*$O$12+SUMPRODUCT(($B$38:$B$105="Kale")*(K$38:K$105="H")*$C$38:$C$105)*$P$12+SUMPRODUCT(($B$38:$B$105="Garlic")*(K$38:K$105="P")*$C$38:$C$105)*$N$13+SUMPRODUCT(($B$38:$B$105="Garlic")*(K$38:K$105="G")*$C$38:$C$105)*$O$13+SUMPRODUCT(($B$38:$B$105="Garlic")*(K$38:K$105="H")*$C$38:$C$105)*$P$13</f>
        <v/>
      </c>
      <c r="L121" s="36">
        <f>SUMPRODUCT(($B$38:$B$105="Spinach")*(L$38:L$105="P")*$C$38:$C$105)*$N$11+SUMPRODUCT(($B$38:$B$105="Spinach")*(L$38:L$105="G")*$C$38:$C$105)*$O$11+SUMPRODUCT(($B$38:$B$105="Spinach")*(L$38:L$105="H")*$C$38:$C$105)*$P$11+SUMPRODUCT(($B$38:$B$105="Kale")*(L$38:L$105="P")*$C$38:$C$105)*$N$12+SUMPRODUCT(($B$38:$B$105="Kale")*(L$38:L$105="G")*$C$38:$C$105)*$O$12+SUMPRODUCT(($B$38:$B$105="Kale")*(L$38:L$105="H")*$C$38:$C$105)*$P$12+SUMPRODUCT(($B$38:$B$105="Garlic")*(L$38:L$105="P")*$C$38:$C$105)*$N$13+SUMPRODUCT(($B$38:$B$105="Garlic")*(L$38:L$105="G")*$C$38:$C$105)*$O$13+SUMPRODUCT(($B$38:$B$105="Garlic")*(L$38:L$105="H")*$C$38:$C$105)*$P$13</f>
        <v/>
      </c>
      <c r="M121" s="36">
        <f>SUMPRODUCT(($B$38:$B$105="Spinach")*(M$38:M$105="P")*$C$38:$C$105)*$N$11+SUMPRODUCT(($B$38:$B$105="Spinach")*(M$38:M$105="G")*$C$38:$C$105)*$O$11+SUMPRODUCT(($B$38:$B$105="Spinach")*(M$38:M$105="H")*$C$38:$C$105)*$P$11+SUMPRODUCT(($B$38:$B$105="Kale")*(M$38:M$105="P")*$C$38:$C$105)*$N$12+SUMPRODUCT(($B$38:$B$105="Kale")*(M$38:M$105="G")*$C$38:$C$105)*$O$12+SUMPRODUCT(($B$38:$B$105="Kale")*(M$38:M$105="H")*$C$38:$C$105)*$P$12+SUMPRODUCT(($B$38:$B$105="Garlic")*(M$38:M$105="P")*$C$38:$C$105)*$N$13+SUMPRODUCT(($B$38:$B$105="Garlic")*(M$38:M$105="G")*$C$38:$C$105)*$O$13+SUMPRODUCT(($B$38:$B$105="Garlic")*(M$38:M$105="H")*$C$38:$C$105)*$P$13</f>
        <v/>
      </c>
      <c r="N121" s="36">
        <f>SUMPRODUCT(($B$38:$B$105="Spinach")*(N$38:N$105="P")*$C$38:$C$105)*$N$11+SUMPRODUCT(($B$38:$B$105="Spinach")*(N$38:N$105="G")*$C$38:$C$105)*$O$11+SUMPRODUCT(($B$38:$B$105="Spinach")*(N$38:N$105="H")*$C$38:$C$105)*$P$11+SUMPRODUCT(($B$38:$B$105="Kale")*(N$38:N$105="P")*$C$38:$C$105)*$N$12+SUMPRODUCT(($B$38:$B$105="Kale")*(N$38:N$105="G")*$C$38:$C$105)*$O$12+SUMPRODUCT(($B$38:$B$105="Kale")*(N$38:N$105="H")*$C$38:$C$105)*$P$12+SUMPRODUCT(($B$38:$B$105="Garlic")*(N$38:N$105="P")*$C$38:$C$105)*$N$13+SUMPRODUCT(($B$38:$B$105="Garlic")*(N$38:N$105="G")*$C$38:$C$105)*$O$13+SUMPRODUCT(($B$38:$B$105="Garlic")*(N$38:N$105="H")*$C$38:$C$105)*$P$13</f>
        <v/>
      </c>
      <c r="O121" s="36">
        <f>SUMPRODUCT(($B$38:$B$105="Spinach")*(O$38:O$105="P")*$C$38:$C$105)*$N$11+SUMPRODUCT(($B$38:$B$105="Spinach")*(O$38:O$105="G")*$C$38:$C$105)*$O$11+SUMPRODUCT(($B$38:$B$105="Spinach")*(O$38:O$105="H")*$C$38:$C$105)*$P$11+SUMPRODUCT(($B$38:$B$105="Kale")*(O$38:O$105="P")*$C$38:$C$105)*$N$12+SUMPRODUCT(($B$38:$B$105="Kale")*(O$38:O$105="G")*$C$38:$C$105)*$O$12+SUMPRODUCT(($B$38:$B$105="Kale")*(O$38:O$105="H")*$C$38:$C$105)*$P$12+SUMPRODUCT(($B$38:$B$105="Garlic")*(O$38:O$105="P")*$C$38:$C$105)*$N$13+SUMPRODUCT(($B$38:$B$105="Garlic")*(O$38:O$105="G")*$C$38:$C$105)*$O$13+SUMPRODUCT(($B$38:$B$105="Garlic")*(O$38:O$105="H")*$C$38:$C$105)*$P$13</f>
        <v/>
      </c>
      <c r="P121" s="36">
        <f>SUMPRODUCT(($B$38:$B$105="Spinach")*(P$38:P$105="P")*$C$38:$C$105)*$N$11+SUMPRODUCT(($B$38:$B$105="Spinach")*(P$38:P$105="G")*$C$38:$C$105)*$O$11+SUMPRODUCT(($B$38:$B$105="Spinach")*(P$38:P$105="H")*$C$38:$C$105)*$P$11+SUMPRODUCT(($B$38:$B$105="Kale")*(P$38:P$105="P")*$C$38:$C$105)*$N$12+SUMPRODUCT(($B$38:$B$105="Kale")*(P$38:P$105="G")*$C$38:$C$105)*$O$12+SUMPRODUCT(($B$38:$B$105="Kale")*(P$38:P$105="H")*$C$38:$C$105)*$P$12+SUMPRODUCT(($B$38:$B$105="Garlic")*(P$38:P$105="P")*$C$38:$C$105)*$N$13+SUMPRODUCT(($B$38:$B$105="Garlic")*(P$38:P$105="G")*$C$38:$C$105)*$O$13+SUMPRODUCT(($B$38:$B$105="Garlic")*(P$38:P$105="H")*$C$38:$C$105)*$P$13</f>
        <v/>
      </c>
      <c r="Q121" s="36">
        <f>SUMPRODUCT(($B$38:$B$105="Spinach")*(Q$38:Q$105="P")*$C$38:$C$105)*$N$11+SUMPRODUCT(($B$38:$B$105="Spinach")*(Q$38:Q$105="G")*$C$38:$C$105)*$O$11+SUMPRODUCT(($B$38:$B$105="Spinach")*(Q$38:Q$105="H")*$C$38:$C$105)*$P$11+SUMPRODUCT(($B$38:$B$105="Kale")*(Q$38:Q$105="P")*$C$38:$C$105)*$N$12+SUMPRODUCT(($B$38:$B$105="Kale")*(Q$38:Q$105="G")*$C$38:$C$105)*$O$12+SUMPRODUCT(($B$38:$B$105="Kale")*(Q$38:Q$105="H")*$C$38:$C$105)*$P$12+SUMPRODUCT(($B$38:$B$105="Garlic")*(Q$38:Q$105="P")*$C$38:$C$105)*$N$13+SUMPRODUCT(($B$38:$B$105="Garlic")*(Q$38:Q$105="G")*$C$38:$C$105)*$O$13+SUMPRODUCT(($B$38:$B$105="Garlic")*(Q$38:Q$105="H")*$C$38:$C$105)*$P$13</f>
        <v/>
      </c>
      <c r="R121" s="36">
        <f>SUMPRODUCT(($B$38:$B$105="Spinach")*(R$38:R$105="P")*$C$38:$C$105)*$N$11+SUMPRODUCT(($B$38:$B$105="Spinach")*(R$38:R$105="G")*$C$38:$C$105)*$O$11+SUMPRODUCT(($B$38:$B$105="Spinach")*(R$38:R$105="H")*$C$38:$C$105)*$P$11+SUMPRODUCT(($B$38:$B$105="Kale")*(R$38:R$105="P")*$C$38:$C$105)*$N$12+SUMPRODUCT(($B$38:$B$105="Kale")*(R$38:R$105="G")*$C$38:$C$105)*$O$12+SUMPRODUCT(($B$38:$B$105="Kale")*(R$38:R$105="H")*$C$38:$C$105)*$P$12+SUMPRODUCT(($B$38:$B$105="Garlic")*(R$38:R$105="P")*$C$38:$C$105)*$N$13+SUMPRODUCT(($B$38:$B$105="Garlic")*(R$38:R$105="G")*$C$38:$C$105)*$O$13+SUMPRODUCT(($B$38:$B$105="Garlic")*(R$38:R$105="H")*$C$38:$C$105)*$P$13</f>
        <v/>
      </c>
      <c r="S121" s="36">
        <f>SUMPRODUCT(($B$38:$B$105="Spinach")*(S$38:S$105="P")*$C$38:$C$105)*$N$11+SUMPRODUCT(($B$38:$B$105="Spinach")*(S$38:S$105="G")*$C$38:$C$105)*$O$11+SUMPRODUCT(($B$38:$B$105="Spinach")*(S$38:S$105="H")*$C$38:$C$105)*$P$11+SUMPRODUCT(($B$38:$B$105="Kale")*(S$38:S$105="P")*$C$38:$C$105)*$N$12+SUMPRODUCT(($B$38:$B$105="Kale")*(S$38:S$105="G")*$C$38:$C$105)*$O$12+SUMPRODUCT(($B$38:$B$105="Kale")*(S$38:S$105="H")*$C$38:$C$105)*$P$12+SUMPRODUCT(($B$38:$B$105="Garlic")*(S$38:S$105="P")*$C$38:$C$105)*$N$13+SUMPRODUCT(($B$38:$B$105="Garlic")*(S$38:S$105="G")*$C$38:$C$105)*$O$13+SUMPRODUCT(($B$38:$B$105="Garlic")*(S$38:S$105="H")*$C$38:$C$105)*$P$13</f>
        <v/>
      </c>
      <c r="T121" s="36">
        <f>SUMPRODUCT(($B$38:$B$105="Spinach")*(T$38:T$105="P")*$C$38:$C$105)*$N$11+SUMPRODUCT(($B$38:$B$105="Spinach")*(T$38:T$105="G")*$C$38:$C$105)*$O$11+SUMPRODUCT(($B$38:$B$105="Spinach")*(T$38:T$105="H")*$C$38:$C$105)*$P$11+SUMPRODUCT(($B$38:$B$105="Kale")*(T$38:T$105="P")*$C$38:$C$105)*$N$12+SUMPRODUCT(($B$38:$B$105="Kale")*(T$38:T$105="G")*$C$38:$C$105)*$O$12+SUMPRODUCT(($B$38:$B$105="Kale")*(T$38:T$105="H")*$C$38:$C$105)*$P$12+SUMPRODUCT(($B$38:$B$105="Garlic")*(T$38:T$105="P")*$C$38:$C$105)*$N$13+SUMPRODUCT(($B$38:$B$105="Garlic")*(T$38:T$105="G")*$C$38:$C$105)*$O$13+SUMPRODUCT(($B$38:$B$105="Garlic")*(T$38:T$105="H")*$C$38:$C$105)*$P$13</f>
        <v/>
      </c>
      <c r="U121" s="36">
        <f>SUMPRODUCT(($B$38:$B$105="Spinach")*(U$38:U$105="P")*$C$38:$C$105)*$N$11+SUMPRODUCT(($B$38:$B$105="Spinach")*(U$38:U$105="G")*$C$38:$C$105)*$O$11+SUMPRODUCT(($B$38:$B$105="Spinach")*(U$38:U$105="H")*$C$38:$C$105)*$P$11+SUMPRODUCT(($B$38:$B$105="Kale")*(U$38:U$105="P")*$C$38:$C$105)*$N$12+SUMPRODUCT(($B$38:$B$105="Kale")*(U$38:U$105="G")*$C$38:$C$105)*$O$12+SUMPRODUCT(($B$38:$B$105="Kale")*(U$38:U$105="H")*$C$38:$C$105)*$P$12+SUMPRODUCT(($B$38:$B$105="Garlic")*(U$38:U$105="P")*$C$38:$C$105)*$N$13+SUMPRODUCT(($B$38:$B$105="Garlic")*(U$38:U$105="G")*$C$38:$C$105)*$O$13+SUMPRODUCT(($B$38:$B$105="Garlic")*(U$38:U$105="H")*$C$38:$C$105)*$P$13</f>
        <v/>
      </c>
      <c r="V121" s="36">
        <f>SUMPRODUCT(($B$38:$B$105="Spinach")*(V$38:V$105="P")*$C$38:$C$105)*$N$11+SUMPRODUCT(($B$38:$B$105="Spinach")*(V$38:V$105="G")*$C$38:$C$105)*$O$11+SUMPRODUCT(($B$38:$B$105="Spinach")*(V$38:V$105="H")*$C$38:$C$105)*$P$11+SUMPRODUCT(($B$38:$B$105="Kale")*(V$38:V$105="P")*$C$38:$C$105)*$N$12+SUMPRODUCT(($B$38:$B$105="Kale")*(V$38:V$105="G")*$C$38:$C$105)*$O$12+SUMPRODUCT(($B$38:$B$105="Kale")*(V$38:V$105="H")*$C$38:$C$105)*$P$12+SUMPRODUCT(($B$38:$B$105="Garlic")*(V$38:V$105="P")*$C$38:$C$105)*$N$13+SUMPRODUCT(($B$38:$B$105="Garlic")*(V$38:V$105="G")*$C$38:$C$105)*$O$13+SUMPRODUCT(($B$38:$B$105="Garlic")*(V$38:V$105="H")*$C$38:$C$105)*$P$13</f>
        <v/>
      </c>
      <c r="W121" s="36">
        <f>SUMPRODUCT(($B$38:$B$105="Spinach")*(W$38:W$105="P")*$C$38:$C$105)*$N$11+SUMPRODUCT(($B$38:$B$105="Spinach")*(W$38:W$105="G")*$C$38:$C$105)*$O$11+SUMPRODUCT(($B$38:$B$105="Spinach")*(W$38:W$105="H")*$C$38:$C$105)*$P$11+SUMPRODUCT(($B$38:$B$105="Kale")*(W$38:W$105="P")*$C$38:$C$105)*$N$12+SUMPRODUCT(($B$38:$B$105="Kale")*(W$38:W$105="G")*$C$38:$C$105)*$O$12+SUMPRODUCT(($B$38:$B$105="Kale")*(W$38:W$105="H")*$C$38:$C$105)*$P$12+SUMPRODUCT(($B$38:$B$105="Garlic")*(W$38:W$105="P")*$C$38:$C$105)*$N$13+SUMPRODUCT(($B$38:$B$105="Garlic")*(W$38:W$105="G")*$C$38:$C$105)*$O$13+SUMPRODUCT(($B$38:$B$105="Garlic")*(W$38:W$105="H")*$C$38:$C$105)*$P$13</f>
        <v/>
      </c>
      <c r="X121" s="36">
        <f>SUMPRODUCT(($B$38:$B$105="Spinach")*(X$38:X$105="P")*$C$38:$C$105)*$N$11+SUMPRODUCT(($B$38:$B$105="Spinach")*(X$38:X$105="G")*$C$38:$C$105)*$O$11+SUMPRODUCT(($B$38:$B$105="Spinach")*(X$38:X$105="H")*$C$38:$C$105)*$P$11+SUMPRODUCT(($B$38:$B$105="Kale")*(X$38:X$105="P")*$C$38:$C$105)*$N$12+SUMPRODUCT(($B$38:$B$105="Kale")*(X$38:X$105="G")*$C$38:$C$105)*$O$12+SUMPRODUCT(($B$38:$B$105="Kale")*(X$38:X$105="H")*$C$38:$C$105)*$P$12+SUMPRODUCT(($B$38:$B$105="Garlic")*(X$38:X$105="P")*$C$38:$C$105)*$N$13+SUMPRODUCT(($B$38:$B$105="Garlic")*(X$38:X$105="G")*$C$38:$C$105)*$O$13+SUMPRODUCT(($B$38:$B$105="Garlic")*(X$38:X$105="H")*$C$38:$C$105)*$P$13</f>
        <v/>
      </c>
      <c r="Y121" s="36">
        <f>SUMPRODUCT(($B$38:$B$105="Spinach")*(Y$38:Y$105="P")*$C$38:$C$105)*$N$11+SUMPRODUCT(($B$38:$B$105="Spinach")*(Y$38:Y$105="G")*$C$38:$C$105)*$O$11+SUMPRODUCT(($B$38:$B$105="Spinach")*(Y$38:Y$105="H")*$C$38:$C$105)*$P$11+SUMPRODUCT(($B$38:$B$105="Kale")*(Y$38:Y$105="P")*$C$38:$C$105)*$N$12+SUMPRODUCT(($B$38:$B$105="Kale")*(Y$38:Y$105="G")*$C$38:$C$105)*$O$12+SUMPRODUCT(($B$38:$B$105="Kale")*(Y$38:Y$105="H")*$C$38:$C$105)*$P$12+SUMPRODUCT(($B$38:$B$105="Garlic")*(Y$38:Y$105="P")*$C$38:$C$105)*$N$13+SUMPRODUCT(($B$38:$B$105="Garlic")*(Y$38:Y$105="G")*$C$38:$C$105)*$O$13+SUMPRODUCT(($B$38:$B$105="Garlic")*(Y$38:Y$105="H")*$C$38:$C$105)*$P$13</f>
        <v/>
      </c>
      <c r="Z121" s="36">
        <f>SUMPRODUCT(($B$38:$B$105="Spinach")*(Z$38:Z$105="P")*$C$38:$C$105)*$N$11+SUMPRODUCT(($B$38:$B$105="Spinach")*(Z$38:Z$105="G")*$C$38:$C$105)*$O$11+SUMPRODUCT(($B$38:$B$105="Spinach")*(Z$38:Z$105="H")*$C$38:$C$105)*$P$11+SUMPRODUCT(($B$38:$B$105="Kale")*(Z$38:Z$105="P")*$C$38:$C$105)*$N$12+SUMPRODUCT(($B$38:$B$105="Kale")*(Z$38:Z$105="G")*$C$38:$C$105)*$O$12+SUMPRODUCT(($B$38:$B$105="Kale")*(Z$38:Z$105="H")*$C$38:$C$105)*$P$12+SUMPRODUCT(($B$38:$B$105="Garlic")*(Z$38:Z$105="P")*$C$38:$C$105)*$N$13+SUMPRODUCT(($B$38:$B$105="Garlic")*(Z$38:Z$105="G")*$C$38:$C$105)*$O$13+SUMPRODUCT(($B$38:$B$105="Garlic")*(Z$38:Z$105="H")*$C$38:$C$105)*$P$13</f>
        <v/>
      </c>
      <c r="AA121" s="36">
        <f>SUMPRODUCT(($B$38:$B$105="Spinach")*(AA$38:AA$105="P")*$C$38:$C$105)*$N$11+SUMPRODUCT(($B$38:$B$105="Spinach")*(AA$38:AA$105="G")*$C$38:$C$105)*$O$11+SUMPRODUCT(($B$38:$B$105="Spinach")*(AA$38:AA$105="H")*$C$38:$C$105)*$P$11+SUMPRODUCT(($B$38:$B$105="Kale")*(AA$38:AA$105="P")*$C$38:$C$105)*$N$12+SUMPRODUCT(($B$38:$B$105="Kale")*(AA$38:AA$105="G")*$C$38:$C$105)*$O$12+SUMPRODUCT(($B$38:$B$105="Kale")*(AA$38:AA$105="H")*$C$38:$C$105)*$P$12+SUMPRODUCT(($B$38:$B$105="Garlic")*(AA$38:AA$105="P")*$C$38:$C$105)*$N$13+SUMPRODUCT(($B$38:$B$105="Garlic")*(AA$38:AA$105="G")*$C$38:$C$105)*$O$13+SUMPRODUCT(($B$38:$B$105="Garlic")*(AA$38:AA$105="H")*$C$38:$C$105)*$P$13</f>
        <v/>
      </c>
      <c r="AB121" s="36">
        <f>SUMPRODUCT(($B$38:$B$105="Spinach")*(AB$38:AB$105="P")*$C$38:$C$105)*$N$11+SUMPRODUCT(($B$38:$B$105="Spinach")*(AB$38:AB$105="G")*$C$38:$C$105)*$O$11+SUMPRODUCT(($B$38:$B$105="Spinach")*(AB$38:AB$105="H")*$C$38:$C$105)*$P$11+SUMPRODUCT(($B$38:$B$105="Kale")*(AB$38:AB$105="P")*$C$38:$C$105)*$N$12+SUMPRODUCT(($B$38:$B$105="Kale")*(AB$38:AB$105="G")*$C$38:$C$105)*$O$12+SUMPRODUCT(($B$38:$B$105="Kale")*(AB$38:AB$105="H")*$C$38:$C$105)*$P$12+SUMPRODUCT(($B$38:$B$105="Garlic")*(AB$38:AB$105="P")*$C$38:$C$105)*$N$13+SUMPRODUCT(($B$38:$B$105="Garlic")*(AB$38:AB$105="G")*$C$38:$C$105)*$O$13+SUMPRODUCT(($B$38:$B$105="Garlic")*(AB$38:AB$105="H")*$C$38:$C$105)*$P$13</f>
        <v/>
      </c>
      <c r="AC121" s="36">
        <f>SUMPRODUCT(($B$38:$B$105="Spinach")*(AC$38:AC$105="P")*$C$38:$C$105)*$N$11+SUMPRODUCT(($B$38:$B$105="Spinach")*(AC$38:AC$105="G")*$C$38:$C$105)*$O$11+SUMPRODUCT(($B$38:$B$105="Spinach")*(AC$38:AC$105="H")*$C$38:$C$105)*$P$11+SUMPRODUCT(($B$38:$B$105="Kale")*(AC$38:AC$105="P")*$C$38:$C$105)*$N$12+SUMPRODUCT(($B$38:$B$105="Kale")*(AC$38:AC$105="G")*$C$38:$C$105)*$O$12+SUMPRODUCT(($B$38:$B$105="Kale")*(AC$38:AC$105="H")*$C$38:$C$105)*$P$12+SUMPRODUCT(($B$38:$B$105="Garlic")*(AC$38:AC$105="P")*$C$38:$C$105)*$N$13+SUMPRODUCT(($B$38:$B$105="Garlic")*(AC$38:AC$105="G")*$C$38:$C$105)*$O$13+SUMPRODUCT(($B$38:$B$105="Garlic")*(AC$38:AC$105="H")*$C$38:$C$105)*$P$13</f>
        <v/>
      </c>
      <c r="AD121" s="36">
        <f>SUMPRODUCT(($B$38:$B$105="Spinach")*(AD$38:AD$105="P")*$C$38:$C$105)*$N$11+SUMPRODUCT(($B$38:$B$105="Spinach")*(AD$38:AD$105="G")*$C$38:$C$105)*$O$11+SUMPRODUCT(($B$38:$B$105="Spinach")*(AD$38:AD$105="H")*$C$38:$C$105)*$P$11+SUMPRODUCT(($B$38:$B$105="Kale")*(AD$38:AD$105="P")*$C$38:$C$105)*$N$12+SUMPRODUCT(($B$38:$B$105="Kale")*(AD$38:AD$105="G")*$C$38:$C$105)*$O$12+SUMPRODUCT(($B$38:$B$105="Kale")*(AD$38:AD$105="H")*$C$38:$C$105)*$P$12+SUMPRODUCT(($B$38:$B$105="Garlic")*(AD$38:AD$105="P")*$C$38:$C$105)*$N$13+SUMPRODUCT(($B$38:$B$105="Garlic")*(AD$38:AD$105="G")*$C$38:$C$105)*$O$13+SUMPRODUCT(($B$38:$B$105="Garlic")*(AD$38:AD$105="H")*$C$38:$C$105)*$P$13</f>
        <v/>
      </c>
      <c r="AE121" s="36">
        <f>SUMPRODUCT(($B$38:$B$105="Spinach")*(AE$38:AE$105="P")*$C$38:$C$105)*$N$11+SUMPRODUCT(($B$38:$B$105="Spinach")*(AE$38:AE$105="G")*$C$38:$C$105)*$O$11+SUMPRODUCT(($B$38:$B$105="Spinach")*(AE$38:AE$105="H")*$C$38:$C$105)*$P$11+SUMPRODUCT(($B$38:$B$105="Kale")*(AE$38:AE$105="P")*$C$38:$C$105)*$N$12+SUMPRODUCT(($B$38:$B$105="Kale")*(AE$38:AE$105="G")*$C$38:$C$105)*$O$12+SUMPRODUCT(($B$38:$B$105="Kale")*(AE$38:AE$105="H")*$C$38:$C$105)*$P$12+SUMPRODUCT(($B$38:$B$105="Garlic")*(AE$38:AE$105="P")*$C$38:$C$105)*$N$13+SUMPRODUCT(($B$38:$B$105="Garlic")*(AE$38:AE$105="G")*$C$38:$C$105)*$O$13+SUMPRODUCT(($B$38:$B$105="Garlic")*(AE$38:AE$105="H")*$C$38:$C$105)*$P$13</f>
        <v/>
      </c>
      <c r="AF121" s="36">
        <f>SUMPRODUCT(($B$38:$B$105="Spinach")*(AF$38:AF$105="P")*$C$38:$C$105)*$N$11+SUMPRODUCT(($B$38:$B$105="Spinach")*(AF$38:AF$105="G")*$C$38:$C$105)*$O$11+SUMPRODUCT(($B$38:$B$105="Spinach")*(AF$38:AF$105="H")*$C$38:$C$105)*$P$11+SUMPRODUCT(($B$38:$B$105="Kale")*(AF$38:AF$105="P")*$C$38:$C$105)*$N$12+SUMPRODUCT(($B$38:$B$105="Kale")*(AF$38:AF$105="G")*$C$38:$C$105)*$O$12+SUMPRODUCT(($B$38:$B$105="Kale")*(AF$38:AF$105="H")*$C$38:$C$105)*$P$12+SUMPRODUCT(($B$38:$B$105="Garlic")*(AF$38:AF$105="P")*$C$38:$C$105)*$N$13+SUMPRODUCT(($B$38:$B$105="Garlic")*(AF$38:AF$105="G")*$C$38:$C$105)*$O$13+SUMPRODUCT(($B$38:$B$105="Garlic")*(AF$38:AF$105="H")*$C$38:$C$105)*$P$13</f>
        <v/>
      </c>
      <c r="AG121" s="36">
        <f>SUMPRODUCT(($B$38:$B$105="Spinach")*(AG$38:AG$105="P")*$C$38:$C$105)*$N$11+SUMPRODUCT(($B$38:$B$105="Spinach")*(AG$38:AG$105="G")*$C$38:$C$105)*$O$11+SUMPRODUCT(($B$38:$B$105="Spinach")*(AG$38:AG$105="H")*$C$38:$C$105)*$P$11+SUMPRODUCT(($B$38:$B$105="Kale")*(AG$38:AG$105="P")*$C$38:$C$105)*$N$12+SUMPRODUCT(($B$38:$B$105="Kale")*(AG$38:AG$105="G")*$C$38:$C$105)*$O$12+SUMPRODUCT(($B$38:$B$105="Kale")*(AG$38:AG$105="H")*$C$38:$C$105)*$P$12+SUMPRODUCT(($B$38:$B$105="Garlic")*(AG$38:AG$105="P")*$C$38:$C$105)*$N$13+SUMPRODUCT(($B$38:$B$105="Garlic")*(AG$38:AG$105="G")*$C$38:$C$105)*$O$13+SUMPRODUCT(($B$38:$B$105="Garlic")*(AG$38:AG$105="H")*$C$38:$C$105)*$P$13</f>
        <v/>
      </c>
      <c r="AH121" s="36">
        <f>SUMPRODUCT(($B$38:$B$105="Spinach")*(AH$38:AH$105="P")*$C$38:$C$105)*$N$11+SUMPRODUCT(($B$38:$B$105="Spinach")*(AH$38:AH$105="G")*$C$38:$C$105)*$O$11+SUMPRODUCT(($B$38:$B$105="Spinach")*(AH$38:AH$105="H")*$C$38:$C$105)*$P$11+SUMPRODUCT(($B$38:$B$105="Kale")*(AH$38:AH$105="P")*$C$38:$C$105)*$N$12+SUMPRODUCT(($B$38:$B$105="Kale")*(AH$38:AH$105="G")*$C$38:$C$105)*$O$12+SUMPRODUCT(($B$38:$B$105="Kale")*(AH$38:AH$105="H")*$C$38:$C$105)*$P$12+SUMPRODUCT(($B$38:$B$105="Garlic")*(AH$38:AH$105="P")*$C$38:$C$105)*$N$13+SUMPRODUCT(($B$38:$B$105="Garlic")*(AH$38:AH$105="G")*$C$38:$C$105)*$O$13+SUMPRODUCT(($B$38:$B$105="Garlic")*(AH$38:AH$105="H")*$C$38:$C$105)*$P$13</f>
        <v/>
      </c>
      <c r="AI121" s="36">
        <f>SUMPRODUCT(($B$38:$B$105="Spinach")*(AI$38:AI$105="P")*$C$38:$C$105)*$N$11+SUMPRODUCT(($B$38:$B$105="Spinach")*(AI$38:AI$105="G")*$C$38:$C$105)*$O$11+SUMPRODUCT(($B$38:$B$105="Spinach")*(AI$38:AI$105="H")*$C$38:$C$105)*$P$11+SUMPRODUCT(($B$38:$B$105="Kale")*(AI$38:AI$105="P")*$C$38:$C$105)*$N$12+SUMPRODUCT(($B$38:$B$105="Kale")*(AI$38:AI$105="G")*$C$38:$C$105)*$O$12+SUMPRODUCT(($B$38:$B$105="Kale")*(AI$38:AI$105="H")*$C$38:$C$105)*$P$12+SUMPRODUCT(($B$38:$B$105="Garlic")*(AI$38:AI$105="P")*$C$38:$C$105)*$N$13+SUMPRODUCT(($B$38:$B$105="Garlic")*(AI$38:AI$105="G")*$C$38:$C$105)*$O$13+SUMPRODUCT(($B$38:$B$105="Garlic")*(AI$38:AI$105="H")*$C$38:$C$105)*$P$13</f>
        <v/>
      </c>
      <c r="AJ121" s="36">
        <f>SUMPRODUCT(($B$38:$B$105="Spinach")*(AJ$38:AJ$105="P")*$C$38:$C$105)*$N$11+SUMPRODUCT(($B$38:$B$105="Spinach")*(AJ$38:AJ$105="G")*$C$38:$C$105)*$O$11+SUMPRODUCT(($B$38:$B$105="Spinach")*(AJ$38:AJ$105="H")*$C$38:$C$105)*$P$11+SUMPRODUCT(($B$38:$B$105="Kale")*(AJ$38:AJ$105="P")*$C$38:$C$105)*$N$12+SUMPRODUCT(($B$38:$B$105="Kale")*(AJ$38:AJ$105="G")*$C$38:$C$105)*$O$12+SUMPRODUCT(($B$38:$B$105="Kale")*(AJ$38:AJ$105="H")*$C$38:$C$105)*$P$12+SUMPRODUCT(($B$38:$B$105="Garlic")*(AJ$38:AJ$105="P")*$C$38:$C$105)*$N$13+SUMPRODUCT(($B$38:$B$105="Garlic")*(AJ$38:AJ$105="G")*$C$38:$C$105)*$O$13+SUMPRODUCT(($B$38:$B$105="Garlic")*(AJ$38:AJ$105="H")*$C$38:$C$105)*$P$13</f>
        <v/>
      </c>
      <c r="AK121" s="36">
        <f>SUMPRODUCT(($B$38:$B$105="Spinach")*(AK$38:AK$105="P")*$C$38:$C$105)*$N$11+SUMPRODUCT(($B$38:$B$105="Spinach")*(AK$38:AK$105="G")*$C$38:$C$105)*$O$11+SUMPRODUCT(($B$38:$B$105="Spinach")*(AK$38:AK$105="H")*$C$38:$C$105)*$P$11+SUMPRODUCT(($B$38:$B$105="Kale")*(AK$38:AK$105="P")*$C$38:$C$105)*$N$12+SUMPRODUCT(($B$38:$B$105="Kale")*(AK$38:AK$105="G")*$C$38:$C$105)*$O$12+SUMPRODUCT(($B$38:$B$105="Kale")*(AK$38:AK$105="H")*$C$38:$C$105)*$P$12+SUMPRODUCT(($B$38:$B$105="Garlic")*(AK$38:AK$105="P")*$C$38:$C$105)*$N$13+SUMPRODUCT(($B$38:$B$105="Garlic")*(AK$38:AK$105="G")*$C$38:$C$105)*$O$13+SUMPRODUCT(($B$38:$B$105="Garlic")*(AK$38:AK$105="H")*$C$38:$C$105)*$P$13</f>
        <v/>
      </c>
      <c r="AL121" s="36">
        <f>SUMPRODUCT(($B$38:$B$105="Spinach")*(AL$38:AL$105="P")*$C$38:$C$105)*$N$11+SUMPRODUCT(($B$38:$B$105="Spinach")*(AL$38:AL$105="G")*$C$38:$C$105)*$O$11+SUMPRODUCT(($B$38:$B$105="Spinach")*(AL$38:AL$105="H")*$C$38:$C$105)*$P$11+SUMPRODUCT(($B$38:$B$105="Kale")*(AL$38:AL$105="P")*$C$38:$C$105)*$N$12+SUMPRODUCT(($B$38:$B$105="Kale")*(AL$38:AL$105="G")*$C$38:$C$105)*$O$12+SUMPRODUCT(($B$38:$B$105="Kale")*(AL$38:AL$105="H")*$C$38:$C$105)*$P$12+SUMPRODUCT(($B$38:$B$105="Garlic")*(AL$38:AL$105="P")*$C$38:$C$105)*$N$13+SUMPRODUCT(($B$38:$B$105="Garlic")*(AL$38:AL$105="G")*$C$38:$C$105)*$O$13+SUMPRODUCT(($B$38:$B$105="Garlic")*(AL$38:AL$105="H")*$C$38:$C$105)*$P$13</f>
        <v/>
      </c>
      <c r="AM121" s="36">
        <f>SUMPRODUCT(($B$38:$B$105="Spinach")*(AM$38:AM$105="P")*$C$38:$C$105)*$N$11+SUMPRODUCT(($B$38:$B$105="Spinach")*(AM$38:AM$105="G")*$C$38:$C$105)*$O$11+SUMPRODUCT(($B$38:$B$105="Spinach")*(AM$38:AM$105="H")*$C$38:$C$105)*$P$11+SUMPRODUCT(($B$38:$B$105="Kale")*(AM$38:AM$105="P")*$C$38:$C$105)*$N$12+SUMPRODUCT(($B$38:$B$105="Kale")*(AM$38:AM$105="G")*$C$38:$C$105)*$O$12+SUMPRODUCT(($B$38:$B$105="Kale")*(AM$38:AM$105="H")*$C$38:$C$105)*$P$12+SUMPRODUCT(($B$38:$B$105="Garlic")*(AM$38:AM$105="P")*$C$38:$C$105)*$N$13+SUMPRODUCT(($B$38:$B$105="Garlic")*(AM$38:AM$105="G")*$C$38:$C$105)*$O$13+SUMPRODUCT(($B$38:$B$105="Garlic")*(AM$38:AM$105="H")*$C$38:$C$105)*$P$13</f>
        <v/>
      </c>
      <c r="AN121" s="36">
        <f>SUMPRODUCT(($B$38:$B$105="Spinach")*(AN$38:AN$105="P")*$C$38:$C$105)*$N$11+SUMPRODUCT(($B$38:$B$105="Spinach")*(AN$38:AN$105="G")*$C$38:$C$105)*$O$11+SUMPRODUCT(($B$38:$B$105="Spinach")*(AN$38:AN$105="H")*$C$38:$C$105)*$P$11+SUMPRODUCT(($B$38:$B$105="Kale")*(AN$38:AN$105="P")*$C$38:$C$105)*$N$12+SUMPRODUCT(($B$38:$B$105="Kale")*(AN$38:AN$105="G")*$C$38:$C$105)*$O$12+SUMPRODUCT(($B$38:$B$105="Kale")*(AN$38:AN$105="H")*$C$38:$C$105)*$P$12+SUMPRODUCT(($B$38:$B$105="Garlic")*(AN$38:AN$105="P")*$C$38:$C$105)*$N$13+SUMPRODUCT(($B$38:$B$105="Garlic")*(AN$38:AN$105="G")*$C$38:$C$105)*$O$13+SUMPRODUCT(($B$38:$B$105="Garlic")*(AN$38:AN$105="H")*$C$38:$C$105)*$P$13</f>
        <v/>
      </c>
      <c r="AO121" s="36">
        <f>SUMPRODUCT(($B$38:$B$105="Spinach")*(AO$38:AO$105="P")*$C$38:$C$105)*$N$11+SUMPRODUCT(($B$38:$B$105="Spinach")*(AO$38:AO$105="G")*$C$38:$C$105)*$O$11+SUMPRODUCT(($B$38:$B$105="Spinach")*(AO$38:AO$105="H")*$C$38:$C$105)*$P$11+SUMPRODUCT(($B$38:$B$105="Kale")*(AO$38:AO$105="P")*$C$38:$C$105)*$N$12+SUMPRODUCT(($B$38:$B$105="Kale")*(AO$38:AO$105="G")*$C$38:$C$105)*$O$12+SUMPRODUCT(($B$38:$B$105="Kale")*(AO$38:AO$105="H")*$C$38:$C$105)*$P$12+SUMPRODUCT(($B$38:$B$105="Garlic")*(AO$38:AO$105="P")*$C$38:$C$105)*$N$13+SUMPRODUCT(($B$38:$B$105="Garlic")*(AO$38:AO$105="G")*$C$38:$C$105)*$O$13+SUMPRODUCT(($B$38:$B$105="Garlic")*(AO$38:AO$105="H")*$C$38:$C$105)*$P$13</f>
        <v/>
      </c>
      <c r="AP121" s="36">
        <f>SUMPRODUCT(($B$38:$B$105="Spinach")*(AP$38:AP$105="P")*$C$38:$C$105)*$N$11+SUMPRODUCT(($B$38:$B$105="Spinach")*(AP$38:AP$105="G")*$C$38:$C$105)*$O$11+SUMPRODUCT(($B$38:$B$105="Spinach")*(AP$38:AP$105="H")*$C$38:$C$105)*$P$11+SUMPRODUCT(($B$38:$B$105="Kale")*(AP$38:AP$105="P")*$C$38:$C$105)*$N$12+SUMPRODUCT(($B$38:$B$105="Kale")*(AP$38:AP$105="G")*$C$38:$C$105)*$O$12+SUMPRODUCT(($B$38:$B$105="Kale")*(AP$38:AP$105="H")*$C$38:$C$105)*$P$12+SUMPRODUCT(($B$38:$B$105="Garlic")*(AP$38:AP$105="P")*$C$38:$C$105)*$N$13+SUMPRODUCT(($B$38:$B$105="Garlic")*(AP$38:AP$105="G")*$C$38:$C$105)*$O$13+SUMPRODUCT(($B$38:$B$105="Garlic")*(AP$38:AP$105="H")*$C$38:$C$105)*$P$13</f>
        <v/>
      </c>
      <c r="AQ121" s="36">
        <f>SUMPRODUCT(($B$38:$B$105="Spinach")*(AQ$38:AQ$105="P")*$C$38:$C$105)*$N$11+SUMPRODUCT(($B$38:$B$105="Spinach")*(AQ$38:AQ$105="G")*$C$38:$C$105)*$O$11+SUMPRODUCT(($B$38:$B$105="Spinach")*(AQ$38:AQ$105="H")*$C$38:$C$105)*$P$11+SUMPRODUCT(($B$38:$B$105="Kale")*(AQ$38:AQ$105="P")*$C$38:$C$105)*$N$12+SUMPRODUCT(($B$38:$B$105="Kale")*(AQ$38:AQ$105="G")*$C$38:$C$105)*$O$12+SUMPRODUCT(($B$38:$B$105="Kale")*(AQ$38:AQ$105="H")*$C$38:$C$105)*$P$12+SUMPRODUCT(($B$38:$B$105="Garlic")*(AQ$38:AQ$105="P")*$C$38:$C$105)*$N$13+SUMPRODUCT(($B$38:$B$105="Garlic")*(AQ$38:AQ$105="G")*$C$38:$C$105)*$O$13+SUMPRODUCT(($B$38:$B$105="Garlic")*(AQ$38:AQ$105="H")*$C$38:$C$105)*$P$13</f>
        <v/>
      </c>
      <c r="AR121" s="36">
        <f>SUMPRODUCT(($B$38:$B$105="Spinach")*(AR$38:AR$105="P")*$C$38:$C$105)*$N$11+SUMPRODUCT(($B$38:$B$105="Spinach")*(AR$38:AR$105="G")*$C$38:$C$105)*$O$11+SUMPRODUCT(($B$38:$B$105="Spinach")*(AR$38:AR$105="H")*$C$38:$C$105)*$P$11+SUMPRODUCT(($B$38:$B$105="Kale")*(AR$38:AR$105="P")*$C$38:$C$105)*$N$12+SUMPRODUCT(($B$38:$B$105="Kale")*(AR$38:AR$105="G")*$C$38:$C$105)*$O$12+SUMPRODUCT(($B$38:$B$105="Kale")*(AR$38:AR$105="H")*$C$38:$C$105)*$P$12+SUMPRODUCT(($B$38:$B$105="Garlic")*(AR$38:AR$105="P")*$C$38:$C$105)*$N$13+SUMPRODUCT(($B$38:$B$105="Garlic")*(AR$38:AR$105="G")*$C$38:$C$105)*$O$13+SUMPRODUCT(($B$38:$B$105="Garlic")*(AR$38:AR$105="H")*$C$38:$C$105)*$P$13</f>
        <v/>
      </c>
      <c r="AS121" s="36">
        <f>SUMPRODUCT(($B$38:$B$105="Spinach")*(AS$38:AS$105="P")*$C$38:$C$105)*$N$11+SUMPRODUCT(($B$38:$B$105="Spinach")*(AS$38:AS$105="G")*$C$38:$C$105)*$O$11+SUMPRODUCT(($B$38:$B$105="Spinach")*(AS$38:AS$105="H")*$C$38:$C$105)*$P$11+SUMPRODUCT(($B$38:$B$105="Kale")*(AS$38:AS$105="P")*$C$38:$C$105)*$N$12+SUMPRODUCT(($B$38:$B$105="Kale")*(AS$38:AS$105="G")*$C$38:$C$105)*$O$12+SUMPRODUCT(($B$38:$B$105="Kale")*(AS$38:AS$105="H")*$C$38:$C$105)*$P$12+SUMPRODUCT(($B$38:$B$105="Garlic")*(AS$38:AS$105="P")*$C$38:$C$105)*$N$13+SUMPRODUCT(($B$38:$B$105="Garlic")*(AS$38:AS$105="G")*$C$38:$C$105)*$O$13+SUMPRODUCT(($B$38:$B$105="Garlic")*(AS$38:AS$105="H")*$C$38:$C$105)*$P$13</f>
        <v/>
      </c>
      <c r="AT121" s="36">
        <f>SUMPRODUCT(($B$38:$B$105="Spinach")*(AT$38:AT$105="P")*$C$38:$C$105)*$N$11+SUMPRODUCT(($B$38:$B$105="Spinach")*(AT$38:AT$105="G")*$C$38:$C$105)*$O$11+SUMPRODUCT(($B$38:$B$105="Spinach")*(AT$38:AT$105="H")*$C$38:$C$105)*$P$11+SUMPRODUCT(($B$38:$B$105="Kale")*(AT$38:AT$105="P")*$C$38:$C$105)*$N$12+SUMPRODUCT(($B$38:$B$105="Kale")*(AT$38:AT$105="G")*$C$38:$C$105)*$O$12+SUMPRODUCT(($B$38:$B$105="Kale")*(AT$38:AT$105="H")*$C$38:$C$105)*$P$12+SUMPRODUCT(($B$38:$B$105="Garlic")*(AT$38:AT$105="P")*$C$38:$C$105)*$N$13+SUMPRODUCT(($B$38:$B$105="Garlic")*(AT$38:AT$105="G")*$C$38:$C$105)*$O$13+SUMPRODUCT(($B$38:$B$105="Garlic")*(AT$38:AT$105="H")*$C$38:$C$105)*$P$13</f>
        <v/>
      </c>
      <c r="AU121" s="36">
        <f>SUMPRODUCT(($B$38:$B$105="Spinach")*(AU$38:AU$105="P")*$C$38:$C$105)*$N$11+SUMPRODUCT(($B$38:$B$105="Spinach")*(AU$38:AU$105="G")*$C$38:$C$105)*$O$11+SUMPRODUCT(($B$38:$B$105="Spinach")*(AU$38:AU$105="H")*$C$38:$C$105)*$P$11+SUMPRODUCT(($B$38:$B$105="Kale")*(AU$38:AU$105="P")*$C$38:$C$105)*$N$12+SUMPRODUCT(($B$38:$B$105="Kale")*(AU$38:AU$105="G")*$C$38:$C$105)*$O$12+SUMPRODUCT(($B$38:$B$105="Kale")*(AU$38:AU$105="H")*$C$38:$C$105)*$P$12+SUMPRODUCT(($B$38:$B$105="Garlic")*(AU$38:AU$105="P")*$C$38:$C$105)*$N$13+SUMPRODUCT(($B$38:$B$105="Garlic")*(AU$38:AU$105="G")*$C$38:$C$105)*$O$13+SUMPRODUCT(($B$38:$B$105="Garlic")*(AU$38:AU$105="H")*$C$38:$C$105)*$P$13</f>
        <v/>
      </c>
      <c r="AV121" s="36">
        <f>SUMPRODUCT(($B$38:$B$105="Spinach")*(AV$38:AV$105="P")*$C$38:$C$105)*$N$11+SUMPRODUCT(($B$38:$B$105="Spinach")*(AV$38:AV$105="G")*$C$38:$C$105)*$O$11+SUMPRODUCT(($B$38:$B$105="Spinach")*(AV$38:AV$105="H")*$C$38:$C$105)*$P$11+SUMPRODUCT(($B$38:$B$105="Kale")*(AV$38:AV$105="P")*$C$38:$C$105)*$N$12+SUMPRODUCT(($B$38:$B$105="Kale")*(AV$38:AV$105="G")*$C$38:$C$105)*$O$12+SUMPRODUCT(($B$38:$B$105="Kale")*(AV$38:AV$105="H")*$C$38:$C$105)*$P$12+SUMPRODUCT(($B$38:$B$105="Garlic")*(AV$38:AV$105="P")*$C$38:$C$105)*$N$13+SUMPRODUCT(($B$38:$B$105="Garlic")*(AV$38:AV$105="G")*$C$38:$C$105)*$O$13+SUMPRODUCT(($B$38:$B$105="Garlic")*(AV$38:AV$105="H")*$C$38:$C$105)*$P$13</f>
        <v/>
      </c>
      <c r="AW121" s="36">
        <f>SUMPRODUCT(($B$38:$B$105="Spinach")*(AW$38:AW$105="P")*$C$38:$C$105)*$N$11+SUMPRODUCT(($B$38:$B$105="Spinach")*(AW$38:AW$105="G")*$C$38:$C$105)*$O$11+SUMPRODUCT(($B$38:$B$105="Spinach")*(AW$38:AW$105="H")*$C$38:$C$105)*$P$11+SUMPRODUCT(($B$38:$B$105="Kale")*(AW$38:AW$105="P")*$C$38:$C$105)*$N$12+SUMPRODUCT(($B$38:$B$105="Kale")*(AW$38:AW$105="G")*$C$38:$C$105)*$O$12+SUMPRODUCT(($B$38:$B$105="Kale")*(AW$38:AW$105="H")*$C$38:$C$105)*$P$12+SUMPRODUCT(($B$38:$B$105="Garlic")*(AW$38:AW$105="P")*$C$38:$C$105)*$N$13+SUMPRODUCT(($B$38:$B$105="Garlic")*(AW$38:AW$105="G")*$C$38:$C$105)*$O$13+SUMPRODUCT(($B$38:$B$105="Garlic")*(AW$38:AW$105="H")*$C$38:$C$105)*$P$13</f>
        <v/>
      </c>
      <c r="AX121" s="36">
        <f>SUMPRODUCT(($B$38:$B$105="Spinach")*(AX$38:AX$105="P")*$C$38:$C$105)*$N$11+SUMPRODUCT(($B$38:$B$105="Spinach")*(AX$38:AX$105="G")*$C$38:$C$105)*$O$11+SUMPRODUCT(($B$38:$B$105="Spinach")*(AX$38:AX$105="H")*$C$38:$C$105)*$P$11+SUMPRODUCT(($B$38:$B$105="Kale")*(AX$38:AX$105="P")*$C$38:$C$105)*$N$12+SUMPRODUCT(($B$38:$B$105="Kale")*(AX$38:AX$105="G")*$C$38:$C$105)*$O$12+SUMPRODUCT(($B$38:$B$105="Kale")*(AX$38:AX$105="H")*$C$38:$C$105)*$P$12+SUMPRODUCT(($B$38:$B$105="Garlic")*(AX$38:AX$105="P")*$C$38:$C$105)*$N$13+SUMPRODUCT(($B$38:$B$105="Garlic")*(AX$38:AX$105="G")*$C$38:$C$105)*$O$13+SUMPRODUCT(($B$38:$B$105="Garlic")*(AX$38:AX$105="H")*$C$38:$C$105)*$P$13</f>
        <v/>
      </c>
      <c r="AY121" s="36">
        <f>SUMPRODUCT(($B$38:$B$105="Spinach")*(AY$38:AY$105="P")*$C$38:$C$105)*$N$11+SUMPRODUCT(($B$38:$B$105="Spinach")*(AY$38:AY$105="G")*$C$38:$C$105)*$O$11+SUMPRODUCT(($B$38:$B$105="Spinach")*(AY$38:AY$105="H")*$C$38:$C$105)*$P$11+SUMPRODUCT(($B$38:$B$105="Kale")*(AY$38:AY$105="P")*$C$38:$C$105)*$N$12+SUMPRODUCT(($B$38:$B$105="Kale")*(AY$38:AY$105="G")*$C$38:$C$105)*$O$12+SUMPRODUCT(($B$38:$B$105="Kale")*(AY$38:AY$105="H")*$C$38:$C$105)*$P$12+SUMPRODUCT(($B$38:$B$105="Garlic")*(AY$38:AY$105="P")*$C$38:$C$105)*$N$13+SUMPRODUCT(($B$38:$B$105="Garlic")*(AY$38:AY$105="G")*$C$38:$C$105)*$O$13+SUMPRODUCT(($B$38:$B$105="Garlic")*(AY$38:AY$105="H")*$C$38:$C$105)*$P$13</f>
        <v/>
      </c>
      <c r="AZ121" s="36">
        <f>SUMPRODUCT(($B$38:$B$105="Spinach")*(AZ$38:AZ$105="P")*$C$38:$C$105)*$N$11+SUMPRODUCT(($B$38:$B$105="Spinach")*(AZ$38:AZ$105="G")*$C$38:$C$105)*$O$11+SUMPRODUCT(($B$38:$B$105="Spinach")*(AZ$38:AZ$105="H")*$C$38:$C$105)*$P$11+SUMPRODUCT(($B$38:$B$105="Kale")*(AZ$38:AZ$105="P")*$C$38:$C$105)*$N$12+SUMPRODUCT(($B$38:$B$105="Kale")*(AZ$38:AZ$105="G")*$C$38:$C$105)*$O$12+SUMPRODUCT(($B$38:$B$105="Kale")*(AZ$38:AZ$105="H")*$C$38:$C$105)*$P$12+SUMPRODUCT(($B$38:$B$105="Garlic")*(AZ$38:AZ$105="P")*$C$38:$C$105)*$N$13+SUMPRODUCT(($B$38:$B$105="Garlic")*(AZ$38:AZ$105="G")*$C$38:$C$105)*$O$13+SUMPRODUCT(($B$38:$B$105="Garlic")*(AZ$38:AZ$105="H")*$C$38:$C$105)*$P$13</f>
        <v/>
      </c>
      <c r="BA121" s="36">
        <f>SUMPRODUCT(($B$38:$B$105="Spinach")*(BA$38:BA$105="P")*$C$38:$C$105)*$N$11+SUMPRODUCT(($B$38:$B$105="Spinach")*(BA$38:BA$105="G")*$C$38:$C$105)*$O$11+SUMPRODUCT(($B$38:$B$105="Spinach")*(BA$38:BA$105="H")*$C$38:$C$105)*$P$11+SUMPRODUCT(($B$38:$B$105="Kale")*(BA$38:BA$105="P")*$C$38:$C$105)*$N$12+SUMPRODUCT(($B$38:$B$105="Kale")*(BA$38:BA$105="G")*$C$38:$C$105)*$O$12+SUMPRODUCT(($B$38:$B$105="Kale")*(BA$38:BA$105="H")*$C$38:$C$105)*$P$12+SUMPRODUCT(($B$38:$B$105="Garlic")*(BA$38:BA$105="P")*$C$38:$C$105)*$N$13+SUMPRODUCT(($B$38:$B$105="Garlic")*(BA$38:BA$105="G")*$C$38:$C$105)*$O$13+SUMPRODUCT(($B$38:$B$105="Garlic")*(BA$38:BA$105="H")*$C$38:$C$105)*$P$13</f>
        <v/>
      </c>
      <c r="BB121" s="36">
        <f>SUMPRODUCT(($B$38:$B$105="Spinach")*(BB$38:BB$105="P")*$C$38:$C$105)*$N$11+SUMPRODUCT(($B$38:$B$105="Spinach")*(BB$38:BB$105="G")*$C$38:$C$105)*$O$11+SUMPRODUCT(($B$38:$B$105="Spinach")*(BB$38:BB$105="H")*$C$38:$C$105)*$P$11+SUMPRODUCT(($B$38:$B$105="Kale")*(BB$38:BB$105="P")*$C$38:$C$105)*$N$12+SUMPRODUCT(($B$38:$B$105="Kale")*(BB$38:BB$105="G")*$C$38:$C$105)*$O$12+SUMPRODUCT(($B$38:$B$105="Kale")*(BB$38:BB$105="H")*$C$38:$C$105)*$P$12+SUMPRODUCT(($B$38:$B$105="Garlic")*(BB$38:BB$105="P")*$C$38:$C$105)*$N$13+SUMPRODUCT(($B$38:$B$105="Garlic")*(BB$38:BB$105="G")*$C$38:$C$105)*$O$13+SUMPRODUCT(($B$38:$B$105="Garlic")*(BB$38:BB$105="H")*$C$38:$C$105)*$P$13</f>
        <v/>
      </c>
      <c r="BC121" s="36">
        <f>SUMPRODUCT(($B$38:$B$105="Spinach")*(BC$38:BC$105="P")*$C$38:$C$105)*$N$11+SUMPRODUCT(($B$38:$B$105="Spinach")*(BC$38:BC$105="G")*$C$38:$C$105)*$O$11+SUMPRODUCT(($B$38:$B$105="Spinach")*(BC$38:BC$105="H")*$C$38:$C$105)*$P$11+SUMPRODUCT(($B$38:$B$105="Kale")*(BC$38:BC$105="P")*$C$38:$C$105)*$N$12+SUMPRODUCT(($B$38:$B$105="Kale")*(BC$38:BC$105="G")*$C$38:$C$105)*$O$12+SUMPRODUCT(($B$38:$B$105="Kale")*(BC$38:BC$105="H")*$C$38:$C$105)*$P$12+SUMPRODUCT(($B$38:$B$105="Garlic")*(BC$38:BC$105="P")*$C$38:$C$105)*$N$13+SUMPRODUCT(($B$38:$B$105="Garlic")*(BC$38:BC$105="G")*$C$38:$C$105)*$O$13+SUMPRODUCT(($B$38:$B$105="Garlic")*(BC$38:BC$105="H")*$C$38:$C$105)*$P$13</f>
        <v/>
      </c>
      <c r="BD121" s="36">
        <f>SUMPRODUCT(($B$38:$B$105="Spinach")*(BD$38:BD$105="P")*$C$38:$C$105)*$N$11+SUMPRODUCT(($B$38:$B$105="Spinach")*(BD$38:BD$105="G")*$C$38:$C$105)*$O$11+SUMPRODUCT(($B$38:$B$105="Spinach")*(BD$38:BD$105="H")*$C$38:$C$105)*$P$11+SUMPRODUCT(($B$38:$B$105="Kale")*(BD$38:BD$105="P")*$C$38:$C$105)*$N$12+SUMPRODUCT(($B$38:$B$105="Kale")*(BD$38:BD$105="G")*$C$38:$C$105)*$O$12+SUMPRODUCT(($B$38:$B$105="Kale")*(BD$38:BD$105="H")*$C$38:$C$105)*$P$12+SUMPRODUCT(($B$38:$B$105="Garlic")*(BD$38:BD$105="P")*$C$38:$C$105)*$N$13+SUMPRODUCT(($B$38:$B$105="Garlic")*(BD$38:BD$105="G")*$C$38:$C$105)*$O$13+SUMPRODUCT(($B$38:$B$105="Garlic")*(BD$38:BD$105="H")*$C$38:$C$105)*$P$13</f>
        <v/>
      </c>
    </row>
    <row r="122">
      <c r="A122" s="4" t="inlineStr"/>
      <c r="E122" s="35" t="inlineStr">
        <is>
          <t>&lt;=</t>
        </is>
      </c>
      <c r="F122" s="35" t="inlineStr">
        <is>
          <t>&lt;=</t>
        </is>
      </c>
      <c r="G122" s="35" t="inlineStr">
        <is>
          <t>&lt;=</t>
        </is>
      </c>
      <c r="H122" s="35" t="inlineStr">
        <is>
          <t>&lt;=</t>
        </is>
      </c>
      <c r="I122" s="35" t="inlineStr">
        <is>
          <t>&lt;=</t>
        </is>
      </c>
      <c r="J122" s="35" t="inlineStr">
        <is>
          <t>&lt;=</t>
        </is>
      </c>
      <c r="K122" s="35" t="inlineStr">
        <is>
          <t>&lt;=</t>
        </is>
      </c>
      <c r="L122" s="35" t="inlineStr">
        <is>
          <t>&lt;=</t>
        </is>
      </c>
      <c r="M122" s="35" t="inlineStr">
        <is>
          <t>&lt;=</t>
        </is>
      </c>
      <c r="N122" s="35" t="inlineStr">
        <is>
          <t>&lt;=</t>
        </is>
      </c>
      <c r="O122" s="35" t="inlineStr">
        <is>
          <t>&lt;=</t>
        </is>
      </c>
      <c r="P122" s="35" t="inlineStr">
        <is>
          <t>&lt;=</t>
        </is>
      </c>
      <c r="Q122" s="35" t="inlineStr">
        <is>
          <t>&lt;=</t>
        </is>
      </c>
      <c r="R122" s="35" t="inlineStr">
        <is>
          <t>&lt;=</t>
        </is>
      </c>
      <c r="S122" s="35" t="inlineStr">
        <is>
          <t>&lt;=</t>
        </is>
      </c>
      <c r="T122" s="35" t="inlineStr">
        <is>
          <t>&lt;=</t>
        </is>
      </c>
      <c r="U122" s="35" t="inlineStr">
        <is>
          <t>&lt;=</t>
        </is>
      </c>
      <c r="V122" s="35" t="inlineStr">
        <is>
          <t>&lt;=</t>
        </is>
      </c>
      <c r="W122" s="35" t="inlineStr">
        <is>
          <t>&lt;=</t>
        </is>
      </c>
      <c r="X122" s="35" t="inlineStr">
        <is>
          <t>&lt;=</t>
        </is>
      </c>
      <c r="Y122" s="35" t="inlineStr">
        <is>
          <t>&lt;=</t>
        </is>
      </c>
      <c r="Z122" s="35" t="inlineStr">
        <is>
          <t>&lt;=</t>
        </is>
      </c>
      <c r="AA122" s="35" t="inlineStr">
        <is>
          <t>&lt;=</t>
        </is>
      </c>
      <c r="AB122" s="35" t="inlineStr">
        <is>
          <t>&lt;=</t>
        </is>
      </c>
      <c r="AC122" s="35" t="inlineStr">
        <is>
          <t>&lt;=</t>
        </is>
      </c>
      <c r="AD122" s="35" t="inlineStr">
        <is>
          <t>&lt;=</t>
        </is>
      </c>
      <c r="AE122" s="35" t="inlineStr">
        <is>
          <t>&lt;=</t>
        </is>
      </c>
      <c r="AF122" s="35" t="inlineStr">
        <is>
          <t>&lt;=</t>
        </is>
      </c>
      <c r="AG122" s="35" t="inlineStr">
        <is>
          <t>&lt;=</t>
        </is>
      </c>
      <c r="AH122" s="35" t="inlineStr">
        <is>
          <t>&lt;=</t>
        </is>
      </c>
      <c r="AI122" s="35" t="inlineStr">
        <is>
          <t>&lt;=</t>
        </is>
      </c>
      <c r="AJ122" s="35" t="inlineStr">
        <is>
          <t>&lt;=</t>
        </is>
      </c>
      <c r="AK122" s="35" t="inlineStr">
        <is>
          <t>&lt;=</t>
        </is>
      </c>
      <c r="AL122" s="35" t="inlineStr">
        <is>
          <t>&lt;=</t>
        </is>
      </c>
      <c r="AM122" s="35" t="inlineStr">
        <is>
          <t>&lt;=</t>
        </is>
      </c>
      <c r="AN122" s="35" t="inlineStr">
        <is>
          <t>&lt;=</t>
        </is>
      </c>
      <c r="AO122" s="35" t="inlineStr">
        <is>
          <t>&lt;=</t>
        </is>
      </c>
      <c r="AP122" s="35" t="inlineStr">
        <is>
          <t>&lt;=</t>
        </is>
      </c>
      <c r="AQ122" s="35" t="inlineStr">
        <is>
          <t>&lt;=</t>
        </is>
      </c>
      <c r="AR122" s="35" t="inlineStr">
        <is>
          <t>&lt;=</t>
        </is>
      </c>
      <c r="AS122" s="35" t="inlineStr">
        <is>
          <t>&lt;=</t>
        </is>
      </c>
      <c r="AT122" s="35" t="inlineStr">
        <is>
          <t>&lt;=</t>
        </is>
      </c>
      <c r="AU122" s="35" t="inlineStr">
        <is>
          <t>&lt;=</t>
        </is>
      </c>
      <c r="AV122" s="35" t="inlineStr">
        <is>
          <t>&lt;=</t>
        </is>
      </c>
      <c r="AW122" s="35" t="inlineStr">
        <is>
          <t>&lt;=</t>
        </is>
      </c>
      <c r="AX122" s="35" t="inlineStr">
        <is>
          <t>&lt;=</t>
        </is>
      </c>
      <c r="AY122" s="35" t="inlineStr">
        <is>
          <t>&lt;=</t>
        </is>
      </c>
      <c r="AZ122" s="35" t="inlineStr">
        <is>
          <t>&lt;=</t>
        </is>
      </c>
      <c r="BA122" s="35" t="inlineStr">
        <is>
          <t>&lt;=</t>
        </is>
      </c>
      <c r="BB122" s="35" t="inlineStr">
        <is>
          <t>&lt;=</t>
        </is>
      </c>
      <c r="BC122" s="35" t="inlineStr">
        <is>
          <t>&lt;=</t>
        </is>
      </c>
      <c r="BD122" s="35" t="inlineStr">
        <is>
          <t>&lt;=</t>
        </is>
      </c>
    </row>
    <row r="123">
      <c r="A123" s="4" t="inlineStr">
        <is>
          <t xml:space="preserve">  limit</t>
        </is>
      </c>
      <c r="B123" s="2" t="inlineStr">
        <is>
          <t>cap</t>
        </is>
      </c>
      <c r="E123" s="36">
        <f>E$116</f>
        <v/>
      </c>
      <c r="F123" s="36">
        <f>F$116</f>
        <v/>
      </c>
      <c r="G123" s="36">
        <f>G$116</f>
        <v/>
      </c>
      <c r="H123" s="36">
        <f>H$116</f>
        <v/>
      </c>
      <c r="I123" s="36">
        <f>I$116</f>
        <v/>
      </c>
      <c r="J123" s="36">
        <f>J$116</f>
        <v/>
      </c>
      <c r="K123" s="36">
        <f>K$116</f>
        <v/>
      </c>
      <c r="L123" s="36">
        <f>L$116</f>
        <v/>
      </c>
      <c r="M123" s="36">
        <f>M$116</f>
        <v/>
      </c>
      <c r="N123" s="36">
        <f>N$116</f>
        <v/>
      </c>
      <c r="O123" s="36">
        <f>O$116</f>
        <v/>
      </c>
      <c r="P123" s="36">
        <f>P$116</f>
        <v/>
      </c>
      <c r="Q123" s="36">
        <f>Q$116</f>
        <v/>
      </c>
      <c r="R123" s="36">
        <f>R$116</f>
        <v/>
      </c>
      <c r="S123" s="36">
        <f>S$116</f>
        <v/>
      </c>
      <c r="T123" s="36">
        <f>T$116</f>
        <v/>
      </c>
      <c r="U123" s="36">
        <f>U$116</f>
        <v/>
      </c>
      <c r="V123" s="36">
        <f>V$116</f>
        <v/>
      </c>
      <c r="W123" s="36">
        <f>W$116</f>
        <v/>
      </c>
      <c r="X123" s="36">
        <f>X$116</f>
        <v/>
      </c>
      <c r="Y123" s="36">
        <f>Y$116</f>
        <v/>
      </c>
      <c r="Z123" s="36">
        <f>Z$116</f>
        <v/>
      </c>
      <c r="AA123" s="36">
        <f>AA$116</f>
        <v/>
      </c>
      <c r="AB123" s="36">
        <f>AB$116</f>
        <v/>
      </c>
      <c r="AC123" s="36">
        <f>AC$116</f>
        <v/>
      </c>
      <c r="AD123" s="36">
        <f>AD$116</f>
        <v/>
      </c>
      <c r="AE123" s="36">
        <f>AE$116</f>
        <v/>
      </c>
      <c r="AF123" s="36">
        <f>AF$116</f>
        <v/>
      </c>
      <c r="AG123" s="36">
        <f>AG$116</f>
        <v/>
      </c>
      <c r="AH123" s="36">
        <f>AH$116</f>
        <v/>
      </c>
      <c r="AI123" s="36">
        <f>AI$116</f>
        <v/>
      </c>
      <c r="AJ123" s="36">
        <f>AJ$116</f>
        <v/>
      </c>
      <c r="AK123" s="36">
        <f>AK$116</f>
        <v/>
      </c>
      <c r="AL123" s="36">
        <f>AL$116</f>
        <v/>
      </c>
      <c r="AM123" s="36">
        <f>AM$116</f>
        <v/>
      </c>
      <c r="AN123" s="36">
        <f>AN$116</f>
        <v/>
      </c>
      <c r="AO123" s="36">
        <f>AO$116</f>
        <v/>
      </c>
      <c r="AP123" s="36">
        <f>AP$116</f>
        <v/>
      </c>
      <c r="AQ123" s="36">
        <f>AQ$116</f>
        <v/>
      </c>
      <c r="AR123" s="36">
        <f>AR$116</f>
        <v/>
      </c>
      <c r="AS123" s="36">
        <f>AS$116</f>
        <v/>
      </c>
      <c r="AT123" s="36">
        <f>AT$116</f>
        <v/>
      </c>
      <c r="AU123" s="36">
        <f>AU$116</f>
        <v/>
      </c>
      <c r="AV123" s="36">
        <f>AV$116</f>
        <v/>
      </c>
      <c r="AW123" s="36">
        <f>AW$116</f>
        <v/>
      </c>
      <c r="AX123" s="36">
        <f>AX$116</f>
        <v/>
      </c>
      <c r="AY123" s="36">
        <f>AY$116</f>
        <v/>
      </c>
      <c r="AZ123" s="36">
        <f>AZ$116</f>
        <v/>
      </c>
      <c r="BA123" s="36">
        <f>BA$116</f>
        <v/>
      </c>
      <c r="BB123" s="36">
        <f>BB$116</f>
        <v/>
      </c>
      <c r="BC123" s="36">
        <f>BC$116</f>
        <v/>
      </c>
      <c r="BD123" s="36">
        <f>BD$116</f>
        <v/>
      </c>
    </row>
    <row r="124">
      <c r="A124" s="27" t="inlineStr">
        <is>
          <t xml:space="preserve">  room left</t>
        </is>
      </c>
      <c r="E124" s="36">
        <f>E$116-E121</f>
        <v/>
      </c>
      <c r="F124" s="36">
        <f>F$116-F121</f>
        <v/>
      </c>
      <c r="G124" s="36">
        <f>G$116-G121</f>
        <v/>
      </c>
      <c r="H124" s="36">
        <f>H$116-H121</f>
        <v/>
      </c>
      <c r="I124" s="36">
        <f>I$116-I121</f>
        <v/>
      </c>
      <c r="J124" s="36">
        <f>J$116-J121</f>
        <v/>
      </c>
      <c r="K124" s="36">
        <f>K$116-K121</f>
        <v/>
      </c>
      <c r="L124" s="36">
        <f>L$116-L121</f>
        <v/>
      </c>
      <c r="M124" s="36">
        <f>M$116-M121</f>
        <v/>
      </c>
      <c r="N124" s="36">
        <f>N$116-N121</f>
        <v/>
      </c>
      <c r="O124" s="36">
        <f>O$116-O121</f>
        <v/>
      </c>
      <c r="P124" s="36">
        <f>P$116-P121</f>
        <v/>
      </c>
      <c r="Q124" s="36">
        <f>Q$116-Q121</f>
        <v/>
      </c>
      <c r="R124" s="36">
        <f>R$116-R121</f>
        <v/>
      </c>
      <c r="S124" s="36">
        <f>S$116-S121</f>
        <v/>
      </c>
      <c r="T124" s="36">
        <f>T$116-T121</f>
        <v/>
      </c>
      <c r="U124" s="36">
        <f>U$116-U121</f>
        <v/>
      </c>
      <c r="V124" s="36">
        <f>V$116-V121</f>
        <v/>
      </c>
      <c r="W124" s="36">
        <f>W$116-W121</f>
        <v/>
      </c>
      <c r="X124" s="36">
        <f>X$116-X121</f>
        <v/>
      </c>
      <c r="Y124" s="36">
        <f>Y$116-Y121</f>
        <v/>
      </c>
      <c r="Z124" s="36">
        <f>Z$116-Z121</f>
        <v/>
      </c>
      <c r="AA124" s="36">
        <f>AA$116-AA121</f>
        <v/>
      </c>
      <c r="AB124" s="36">
        <f>AB$116-AB121</f>
        <v/>
      </c>
      <c r="AC124" s="36">
        <f>AC$116-AC121</f>
        <v/>
      </c>
      <c r="AD124" s="36">
        <f>AD$116-AD121</f>
        <v/>
      </c>
      <c r="AE124" s="36">
        <f>AE$116-AE121</f>
        <v/>
      </c>
      <c r="AF124" s="36">
        <f>AF$116-AF121</f>
        <v/>
      </c>
      <c r="AG124" s="36">
        <f>AG$116-AG121</f>
        <v/>
      </c>
      <c r="AH124" s="36">
        <f>AH$116-AH121</f>
        <v/>
      </c>
      <c r="AI124" s="36">
        <f>AI$116-AI121</f>
        <v/>
      </c>
      <c r="AJ124" s="36">
        <f>AJ$116-AJ121</f>
        <v/>
      </c>
      <c r="AK124" s="36">
        <f>AK$116-AK121</f>
        <v/>
      </c>
      <c r="AL124" s="36">
        <f>AL$116-AL121</f>
        <v/>
      </c>
      <c r="AM124" s="36">
        <f>AM$116-AM121</f>
        <v/>
      </c>
      <c r="AN124" s="36">
        <f>AN$116-AN121</f>
        <v/>
      </c>
      <c r="AO124" s="36">
        <f>AO$116-AO121</f>
        <v/>
      </c>
      <c r="AP124" s="36">
        <f>AP$116-AP121</f>
        <v/>
      </c>
      <c r="AQ124" s="36">
        <f>AQ$116-AQ121</f>
        <v/>
      </c>
      <c r="AR124" s="36">
        <f>AR$116-AR121</f>
        <v/>
      </c>
      <c r="AS124" s="36">
        <f>AS$116-AS121</f>
        <v/>
      </c>
      <c r="AT124" s="36">
        <f>AT$116-AT121</f>
        <v/>
      </c>
      <c r="AU124" s="36">
        <f>AU$116-AU121</f>
        <v/>
      </c>
      <c r="AV124" s="36">
        <f>AV$116-AV121</f>
        <v/>
      </c>
      <c r="AW124" s="36">
        <f>AW$116-AW121</f>
        <v/>
      </c>
      <c r="AX124" s="36">
        <f>AX$116-AX121</f>
        <v/>
      </c>
      <c r="AY124" s="36">
        <f>AY$116-AY121</f>
        <v/>
      </c>
      <c r="AZ124" s="36">
        <f>AZ$116-AZ121</f>
        <v/>
      </c>
      <c r="BA124" s="36">
        <f>BA$116-BA121</f>
        <v/>
      </c>
      <c r="BB124" s="36">
        <f>BB$116-BB121</f>
        <v/>
      </c>
      <c r="BC124" s="36">
        <f>BC$116-BC121</f>
        <v/>
      </c>
      <c r="BD124" s="36">
        <f>BD$116-BD121</f>
        <v/>
      </c>
    </row>
    <row r="125">
      <c r="A125" s="2" t="inlineStr">
        <is>
          <t xml:space="preserve">   Hours the crops need that week, against what the crew can give. The app's C2 — and on this farm it is the constraint that binds hardest.</t>
        </is>
      </c>
    </row>
    <row r="127">
      <c r="A127" s="3" t="inlineStr">
        <is>
          <t>SPINACH  —  cold store</t>
        </is>
      </c>
      <c r="B127" s="37" t="inlineStr"/>
    </row>
    <row r="128">
      <c r="A128" s="22" t="inlineStr">
        <is>
          <t>Week</t>
        </is>
      </c>
      <c r="B128" s="33" t="inlineStr"/>
      <c r="E128" s="25" t="n">
        <v>1</v>
      </c>
      <c r="F128" s="25" t="n">
        <v>2</v>
      </c>
      <c r="G128" s="25" t="n">
        <v>3</v>
      </c>
      <c r="H128" s="25" t="n">
        <v>4</v>
      </c>
      <c r="I128" s="25" t="n">
        <v>5</v>
      </c>
      <c r="J128" s="25" t="n">
        <v>6</v>
      </c>
      <c r="K128" s="25" t="n">
        <v>7</v>
      </c>
      <c r="L128" s="25" t="n">
        <v>8</v>
      </c>
      <c r="M128" s="25" t="n">
        <v>9</v>
      </c>
      <c r="N128" s="25" t="n">
        <v>10</v>
      </c>
      <c r="O128" s="25" t="n">
        <v>11</v>
      </c>
      <c r="P128" s="25" t="n">
        <v>12</v>
      </c>
      <c r="Q128" s="25" t="n">
        <v>13</v>
      </c>
      <c r="R128" s="25" t="n">
        <v>14</v>
      </c>
      <c r="S128" s="25" t="n">
        <v>15</v>
      </c>
      <c r="T128" s="25" t="n">
        <v>16</v>
      </c>
      <c r="U128" s="25" t="n">
        <v>17</v>
      </c>
      <c r="V128" s="25" t="n">
        <v>18</v>
      </c>
      <c r="W128" s="25" t="n">
        <v>19</v>
      </c>
      <c r="X128" s="25" t="n">
        <v>20</v>
      </c>
      <c r="Y128" s="25" t="n">
        <v>21</v>
      </c>
      <c r="Z128" s="25" t="n">
        <v>22</v>
      </c>
      <c r="AA128" s="25" t="n">
        <v>23</v>
      </c>
      <c r="AB128" s="25" t="n">
        <v>24</v>
      </c>
      <c r="AC128" s="25" t="n">
        <v>25</v>
      </c>
      <c r="AD128" s="25" t="n">
        <v>26</v>
      </c>
      <c r="AE128" s="25" t="n">
        <v>27</v>
      </c>
      <c r="AF128" s="25" t="n">
        <v>28</v>
      </c>
      <c r="AG128" s="25" t="n">
        <v>29</v>
      </c>
      <c r="AH128" s="25" t="n">
        <v>30</v>
      </c>
      <c r="AI128" s="25" t="n">
        <v>31</v>
      </c>
      <c r="AJ128" s="25" t="n">
        <v>32</v>
      </c>
      <c r="AK128" s="25" t="n">
        <v>33</v>
      </c>
      <c r="AL128" s="25" t="n">
        <v>34</v>
      </c>
      <c r="AM128" s="25" t="n">
        <v>35</v>
      </c>
      <c r="AN128" s="25" t="n">
        <v>36</v>
      </c>
      <c r="AO128" s="25" t="n">
        <v>37</v>
      </c>
      <c r="AP128" s="25" t="n">
        <v>38</v>
      </c>
      <c r="AQ128" s="25" t="n">
        <v>39</v>
      </c>
      <c r="AR128" s="25" t="n">
        <v>40</v>
      </c>
      <c r="AS128" s="25" t="n">
        <v>41</v>
      </c>
      <c r="AT128" s="25" t="n">
        <v>42</v>
      </c>
      <c r="AU128" s="25" t="n">
        <v>43</v>
      </c>
      <c r="AV128" s="25" t="n">
        <v>44</v>
      </c>
      <c r="AW128" s="25" t="n">
        <v>45</v>
      </c>
      <c r="AX128" s="25" t="n">
        <v>46</v>
      </c>
      <c r="AY128" s="25" t="n">
        <v>47</v>
      </c>
      <c r="AZ128" s="25" t="n">
        <v>48</v>
      </c>
      <c r="BA128" s="25" t="n">
        <v>49</v>
      </c>
      <c r="BB128" s="25" t="n">
        <v>50</v>
      </c>
      <c r="BC128" s="25" t="n">
        <v>51</v>
      </c>
      <c r="BD128" s="25" t="n">
        <v>52</v>
      </c>
    </row>
    <row r="129">
      <c r="A129" s="4" t="inlineStr">
        <is>
          <t>Packed out -&gt; INTO the store</t>
        </is>
      </c>
      <c r="B129" s="2" t="inlineStr">
        <is>
          <t>lb</t>
        </is>
      </c>
      <c r="E129" s="36">
        <f>SUMPRODUCT(($B$38:$B$105="Spinach")*(E$38:E$105="H")*$C$38:$C$105)*$B$11/$J$11*$C$11</f>
        <v/>
      </c>
      <c r="F129" s="36">
        <f>SUMPRODUCT(($B$38:$B$105="Spinach")*(F$38:F$105="H")*$C$38:$C$105)*$B$11/$J$11*$C$11</f>
        <v/>
      </c>
      <c r="G129" s="36">
        <f>SUMPRODUCT(($B$38:$B$105="Spinach")*(G$38:G$105="H")*$C$38:$C$105)*$B$11/$J$11*$C$11</f>
        <v/>
      </c>
      <c r="H129" s="36">
        <f>SUMPRODUCT(($B$38:$B$105="Spinach")*(H$38:H$105="H")*$C$38:$C$105)*$B$11/$J$11*$C$11</f>
        <v/>
      </c>
      <c r="I129" s="36">
        <f>SUMPRODUCT(($B$38:$B$105="Spinach")*(I$38:I$105="H")*$C$38:$C$105)*$B$11/$J$11*$C$11</f>
        <v/>
      </c>
      <c r="J129" s="36">
        <f>SUMPRODUCT(($B$38:$B$105="Spinach")*(J$38:J$105="H")*$C$38:$C$105)*$B$11/$J$11*$C$11</f>
        <v/>
      </c>
      <c r="K129" s="36">
        <f>SUMPRODUCT(($B$38:$B$105="Spinach")*(K$38:K$105="H")*$C$38:$C$105)*$B$11/$J$11*$C$11</f>
        <v/>
      </c>
      <c r="L129" s="36">
        <f>SUMPRODUCT(($B$38:$B$105="Spinach")*(L$38:L$105="H")*$C$38:$C$105)*$B$11/$J$11*$C$11</f>
        <v/>
      </c>
      <c r="M129" s="36">
        <f>SUMPRODUCT(($B$38:$B$105="Spinach")*(M$38:M$105="H")*$C$38:$C$105)*$B$11/$J$11*$C$11</f>
        <v/>
      </c>
      <c r="N129" s="36">
        <f>SUMPRODUCT(($B$38:$B$105="Spinach")*(N$38:N$105="H")*$C$38:$C$105)*$B$11/$J$11*$C$11</f>
        <v/>
      </c>
      <c r="O129" s="36">
        <f>SUMPRODUCT(($B$38:$B$105="Spinach")*(O$38:O$105="H")*$C$38:$C$105)*$B$11/$J$11*$C$11</f>
        <v/>
      </c>
      <c r="P129" s="36">
        <f>SUMPRODUCT(($B$38:$B$105="Spinach")*(P$38:P$105="H")*$C$38:$C$105)*$B$11/$J$11*$C$11</f>
        <v/>
      </c>
      <c r="Q129" s="36">
        <f>SUMPRODUCT(($B$38:$B$105="Spinach")*(Q$38:Q$105="H")*$C$38:$C$105)*$B$11/$J$11*$C$11</f>
        <v/>
      </c>
      <c r="R129" s="36">
        <f>SUMPRODUCT(($B$38:$B$105="Spinach")*(R$38:R$105="H")*$C$38:$C$105)*$B$11/$J$11*$C$11</f>
        <v/>
      </c>
      <c r="S129" s="36">
        <f>SUMPRODUCT(($B$38:$B$105="Spinach")*(S$38:S$105="H")*$C$38:$C$105)*$B$11/$J$11*$C$11</f>
        <v/>
      </c>
      <c r="T129" s="36">
        <f>SUMPRODUCT(($B$38:$B$105="Spinach")*(T$38:T$105="H")*$C$38:$C$105)*$B$11/$J$11*$C$11</f>
        <v/>
      </c>
      <c r="U129" s="36">
        <f>SUMPRODUCT(($B$38:$B$105="Spinach")*(U$38:U$105="H")*$C$38:$C$105)*$B$11/$J$11*$C$11</f>
        <v/>
      </c>
      <c r="V129" s="36">
        <f>SUMPRODUCT(($B$38:$B$105="Spinach")*(V$38:V$105="H")*$C$38:$C$105)*$B$11/$J$11*$C$11</f>
        <v/>
      </c>
      <c r="W129" s="36">
        <f>SUMPRODUCT(($B$38:$B$105="Spinach")*(W$38:W$105="H")*$C$38:$C$105)*$B$11/$J$11*$C$11</f>
        <v/>
      </c>
      <c r="X129" s="36">
        <f>SUMPRODUCT(($B$38:$B$105="Spinach")*(X$38:X$105="H")*$C$38:$C$105)*$B$11/$J$11*$C$11</f>
        <v/>
      </c>
      <c r="Y129" s="36">
        <f>SUMPRODUCT(($B$38:$B$105="Spinach")*(Y$38:Y$105="H")*$C$38:$C$105)*$B$11/$J$11*$C$11</f>
        <v/>
      </c>
      <c r="Z129" s="36">
        <f>SUMPRODUCT(($B$38:$B$105="Spinach")*(Z$38:Z$105="H")*$C$38:$C$105)*$B$11/$J$11*$C$11</f>
        <v/>
      </c>
      <c r="AA129" s="36">
        <f>SUMPRODUCT(($B$38:$B$105="Spinach")*(AA$38:AA$105="H")*$C$38:$C$105)*$B$11/$J$11*$C$11</f>
        <v/>
      </c>
      <c r="AB129" s="36">
        <f>SUMPRODUCT(($B$38:$B$105="Spinach")*(AB$38:AB$105="H")*$C$38:$C$105)*$B$11/$J$11*$C$11</f>
        <v/>
      </c>
      <c r="AC129" s="36">
        <f>SUMPRODUCT(($B$38:$B$105="Spinach")*(AC$38:AC$105="H")*$C$38:$C$105)*$B$11/$J$11*$C$11</f>
        <v/>
      </c>
      <c r="AD129" s="36">
        <f>SUMPRODUCT(($B$38:$B$105="Spinach")*(AD$38:AD$105="H")*$C$38:$C$105)*$B$11/$J$11*$C$11</f>
        <v/>
      </c>
      <c r="AE129" s="36">
        <f>SUMPRODUCT(($B$38:$B$105="Spinach")*(AE$38:AE$105="H")*$C$38:$C$105)*$B$11/$J$11*$C$11</f>
        <v/>
      </c>
      <c r="AF129" s="36">
        <f>SUMPRODUCT(($B$38:$B$105="Spinach")*(AF$38:AF$105="H")*$C$38:$C$105)*$B$11/$J$11*$C$11</f>
        <v/>
      </c>
      <c r="AG129" s="36">
        <f>SUMPRODUCT(($B$38:$B$105="Spinach")*(AG$38:AG$105="H")*$C$38:$C$105)*$B$11/$J$11*$C$11</f>
        <v/>
      </c>
      <c r="AH129" s="36">
        <f>SUMPRODUCT(($B$38:$B$105="Spinach")*(AH$38:AH$105="H")*$C$38:$C$105)*$B$11/$J$11*$C$11</f>
        <v/>
      </c>
      <c r="AI129" s="36">
        <f>SUMPRODUCT(($B$38:$B$105="Spinach")*(AI$38:AI$105="H")*$C$38:$C$105)*$B$11/$J$11*$C$11</f>
        <v/>
      </c>
      <c r="AJ129" s="36">
        <f>SUMPRODUCT(($B$38:$B$105="Spinach")*(AJ$38:AJ$105="H")*$C$38:$C$105)*$B$11/$J$11*$C$11</f>
        <v/>
      </c>
      <c r="AK129" s="36">
        <f>SUMPRODUCT(($B$38:$B$105="Spinach")*(AK$38:AK$105="H")*$C$38:$C$105)*$B$11/$J$11*$C$11</f>
        <v/>
      </c>
      <c r="AL129" s="36">
        <f>SUMPRODUCT(($B$38:$B$105="Spinach")*(AL$38:AL$105="H")*$C$38:$C$105)*$B$11/$J$11*$C$11</f>
        <v/>
      </c>
      <c r="AM129" s="36">
        <f>SUMPRODUCT(($B$38:$B$105="Spinach")*(AM$38:AM$105="H")*$C$38:$C$105)*$B$11/$J$11*$C$11</f>
        <v/>
      </c>
      <c r="AN129" s="36">
        <f>SUMPRODUCT(($B$38:$B$105="Spinach")*(AN$38:AN$105="H")*$C$38:$C$105)*$B$11/$J$11*$C$11</f>
        <v/>
      </c>
      <c r="AO129" s="36">
        <f>SUMPRODUCT(($B$38:$B$105="Spinach")*(AO$38:AO$105="H")*$C$38:$C$105)*$B$11/$J$11*$C$11</f>
        <v/>
      </c>
      <c r="AP129" s="36">
        <f>SUMPRODUCT(($B$38:$B$105="Spinach")*(AP$38:AP$105="H")*$C$38:$C$105)*$B$11/$J$11*$C$11</f>
        <v/>
      </c>
      <c r="AQ129" s="36">
        <f>SUMPRODUCT(($B$38:$B$105="Spinach")*(AQ$38:AQ$105="H")*$C$38:$C$105)*$B$11/$J$11*$C$11</f>
        <v/>
      </c>
      <c r="AR129" s="36">
        <f>SUMPRODUCT(($B$38:$B$105="Spinach")*(AR$38:AR$105="H")*$C$38:$C$105)*$B$11/$J$11*$C$11</f>
        <v/>
      </c>
      <c r="AS129" s="36">
        <f>SUMPRODUCT(($B$38:$B$105="Spinach")*(AS$38:AS$105="H")*$C$38:$C$105)*$B$11/$J$11*$C$11</f>
        <v/>
      </c>
      <c r="AT129" s="36">
        <f>SUMPRODUCT(($B$38:$B$105="Spinach")*(AT$38:AT$105="H")*$C$38:$C$105)*$B$11/$J$11*$C$11</f>
        <v/>
      </c>
      <c r="AU129" s="36">
        <f>SUMPRODUCT(($B$38:$B$105="Spinach")*(AU$38:AU$105="H")*$C$38:$C$105)*$B$11/$J$11*$C$11</f>
        <v/>
      </c>
      <c r="AV129" s="36">
        <f>SUMPRODUCT(($B$38:$B$105="Spinach")*(AV$38:AV$105="H")*$C$38:$C$105)*$B$11/$J$11*$C$11</f>
        <v/>
      </c>
      <c r="AW129" s="36">
        <f>SUMPRODUCT(($B$38:$B$105="Spinach")*(AW$38:AW$105="H")*$C$38:$C$105)*$B$11/$J$11*$C$11</f>
        <v/>
      </c>
      <c r="AX129" s="36">
        <f>SUMPRODUCT(($B$38:$B$105="Spinach")*(AX$38:AX$105="H")*$C$38:$C$105)*$B$11/$J$11*$C$11</f>
        <v/>
      </c>
      <c r="AY129" s="36">
        <f>SUMPRODUCT(($B$38:$B$105="Spinach")*(AY$38:AY$105="H")*$C$38:$C$105)*$B$11/$J$11*$C$11</f>
        <v/>
      </c>
      <c r="AZ129" s="36">
        <f>SUMPRODUCT(($B$38:$B$105="Spinach")*(AZ$38:AZ$105="H")*$C$38:$C$105)*$B$11/$J$11*$C$11</f>
        <v/>
      </c>
      <c r="BA129" s="36">
        <f>SUMPRODUCT(($B$38:$B$105="Spinach")*(BA$38:BA$105="H")*$C$38:$C$105)*$B$11/$J$11*$C$11</f>
        <v/>
      </c>
      <c r="BB129" s="36">
        <f>SUMPRODUCT(($B$38:$B$105="Spinach")*(BB$38:BB$105="H")*$C$38:$C$105)*$B$11/$J$11*$C$11</f>
        <v/>
      </c>
      <c r="BC129" s="36">
        <f>SUMPRODUCT(($B$38:$B$105="Spinach")*(BC$38:BC$105="H")*$C$38:$C$105)*$B$11/$J$11*$C$11</f>
        <v/>
      </c>
      <c r="BD129" s="36">
        <f>SUMPRODUCT(($B$38:$B$105="Spinach")*(BD$38:BD$105="H")*$C$38:$C$105)*$B$11/$J$11*$C$11</f>
        <v/>
      </c>
    </row>
    <row r="130">
      <c r="A130" s="27" t="inlineStr">
        <is>
          <t>Stock carried in</t>
        </is>
      </c>
      <c r="B130" s="2" t="inlineStr">
        <is>
          <t>lb</t>
        </is>
      </c>
      <c r="E130" s="36" t="n">
        <v>0</v>
      </c>
      <c r="F130" s="36">
        <f>E145</f>
        <v/>
      </c>
      <c r="G130" s="36">
        <f>F145</f>
        <v/>
      </c>
      <c r="H130" s="36">
        <f>G145</f>
        <v/>
      </c>
      <c r="I130" s="36">
        <f>H145</f>
        <v/>
      </c>
      <c r="J130" s="36">
        <f>I145</f>
        <v/>
      </c>
      <c r="K130" s="36">
        <f>J145</f>
        <v/>
      </c>
      <c r="L130" s="36">
        <f>K145</f>
        <v/>
      </c>
      <c r="M130" s="36">
        <f>L145</f>
        <v/>
      </c>
      <c r="N130" s="36">
        <f>M145</f>
        <v/>
      </c>
      <c r="O130" s="36">
        <f>N145</f>
        <v/>
      </c>
      <c r="P130" s="36">
        <f>O145</f>
        <v/>
      </c>
      <c r="Q130" s="36">
        <f>P145</f>
        <v/>
      </c>
      <c r="R130" s="36">
        <f>Q145</f>
        <v/>
      </c>
      <c r="S130" s="36">
        <f>R145</f>
        <v/>
      </c>
      <c r="T130" s="36">
        <f>S145</f>
        <v/>
      </c>
      <c r="U130" s="36">
        <f>T145</f>
        <v/>
      </c>
      <c r="V130" s="36">
        <f>U145</f>
        <v/>
      </c>
      <c r="W130" s="36">
        <f>V145</f>
        <v/>
      </c>
      <c r="X130" s="36">
        <f>W145</f>
        <v/>
      </c>
      <c r="Y130" s="36">
        <f>X145</f>
        <v/>
      </c>
      <c r="Z130" s="36">
        <f>Y145</f>
        <v/>
      </c>
      <c r="AA130" s="36">
        <f>Z145</f>
        <v/>
      </c>
      <c r="AB130" s="36">
        <f>AA145</f>
        <v/>
      </c>
      <c r="AC130" s="36">
        <f>AB145</f>
        <v/>
      </c>
      <c r="AD130" s="36">
        <f>AC145</f>
        <v/>
      </c>
      <c r="AE130" s="36">
        <f>AD145</f>
        <v/>
      </c>
      <c r="AF130" s="36">
        <f>AE145</f>
        <v/>
      </c>
      <c r="AG130" s="36">
        <f>AF145</f>
        <v/>
      </c>
      <c r="AH130" s="36">
        <f>AG145</f>
        <v/>
      </c>
      <c r="AI130" s="36">
        <f>AH145</f>
        <v/>
      </c>
      <c r="AJ130" s="36">
        <f>AI145</f>
        <v/>
      </c>
      <c r="AK130" s="36">
        <f>AJ145</f>
        <v/>
      </c>
      <c r="AL130" s="36">
        <f>AK145</f>
        <v/>
      </c>
      <c r="AM130" s="36">
        <f>AL145</f>
        <v/>
      </c>
      <c r="AN130" s="36">
        <f>AM145</f>
        <v/>
      </c>
      <c r="AO130" s="36">
        <f>AN145</f>
        <v/>
      </c>
      <c r="AP130" s="36">
        <f>AO145</f>
        <v/>
      </c>
      <c r="AQ130" s="36">
        <f>AP145</f>
        <v/>
      </c>
      <c r="AR130" s="36">
        <f>AQ145</f>
        <v/>
      </c>
      <c r="AS130" s="36">
        <f>AR145</f>
        <v/>
      </c>
      <c r="AT130" s="36">
        <f>AS145</f>
        <v/>
      </c>
      <c r="AU130" s="36">
        <f>AT145</f>
        <v/>
      </c>
      <c r="AV130" s="36">
        <f>AU145</f>
        <v/>
      </c>
      <c r="AW130" s="36">
        <f>AV145</f>
        <v/>
      </c>
      <c r="AX130" s="36">
        <f>AW145</f>
        <v/>
      </c>
      <c r="AY130" s="36">
        <f>AX145</f>
        <v/>
      </c>
      <c r="AZ130" s="36">
        <f>AY145</f>
        <v/>
      </c>
      <c r="BA130" s="36">
        <f>AZ145</f>
        <v/>
      </c>
      <c r="BB130" s="36">
        <f>BA145</f>
        <v/>
      </c>
      <c r="BC130" s="36">
        <f>BB145</f>
        <v/>
      </c>
      <c r="BD130" s="36">
        <f>BC145</f>
        <v/>
      </c>
    </row>
    <row r="131">
      <c r="A131" s="27" t="inlineStr">
        <is>
          <t xml:space="preserve">   lost to shrink</t>
        </is>
      </c>
      <c r="B131" s="2" t="inlineStr">
        <is>
          <t>lb</t>
        </is>
      </c>
      <c r="E131" s="36">
        <f>E130*$G$11</f>
        <v/>
      </c>
      <c r="F131" s="36">
        <f>F130*$G$11</f>
        <v/>
      </c>
      <c r="G131" s="36">
        <f>G130*$G$11</f>
        <v/>
      </c>
      <c r="H131" s="36">
        <f>H130*$G$11</f>
        <v/>
      </c>
      <c r="I131" s="36">
        <f>I130*$G$11</f>
        <v/>
      </c>
      <c r="J131" s="36">
        <f>J130*$G$11</f>
        <v/>
      </c>
      <c r="K131" s="36">
        <f>K130*$G$11</f>
        <v/>
      </c>
      <c r="L131" s="36">
        <f>L130*$G$11</f>
        <v/>
      </c>
      <c r="M131" s="36">
        <f>M130*$G$11</f>
        <v/>
      </c>
      <c r="N131" s="36">
        <f>N130*$G$11</f>
        <v/>
      </c>
      <c r="O131" s="36">
        <f>O130*$G$11</f>
        <v/>
      </c>
      <c r="P131" s="36">
        <f>P130*$G$11</f>
        <v/>
      </c>
      <c r="Q131" s="36">
        <f>Q130*$G$11</f>
        <v/>
      </c>
      <c r="R131" s="36">
        <f>R130*$G$11</f>
        <v/>
      </c>
      <c r="S131" s="36">
        <f>S130*$G$11</f>
        <v/>
      </c>
      <c r="T131" s="36">
        <f>T130*$G$11</f>
        <v/>
      </c>
      <c r="U131" s="36">
        <f>U130*$G$11</f>
        <v/>
      </c>
      <c r="V131" s="36">
        <f>V130*$G$11</f>
        <v/>
      </c>
      <c r="W131" s="36">
        <f>W130*$G$11</f>
        <v/>
      </c>
      <c r="X131" s="36">
        <f>X130*$G$11</f>
        <v/>
      </c>
      <c r="Y131" s="36">
        <f>Y130*$G$11</f>
        <v/>
      </c>
      <c r="Z131" s="36">
        <f>Z130*$G$11</f>
        <v/>
      </c>
      <c r="AA131" s="36">
        <f>AA130*$G$11</f>
        <v/>
      </c>
      <c r="AB131" s="36">
        <f>AB130*$G$11</f>
        <v/>
      </c>
      <c r="AC131" s="36">
        <f>AC130*$G$11</f>
        <v/>
      </c>
      <c r="AD131" s="36">
        <f>AD130*$G$11</f>
        <v/>
      </c>
      <c r="AE131" s="36">
        <f>AE130*$G$11</f>
        <v/>
      </c>
      <c r="AF131" s="36">
        <f>AF130*$G$11</f>
        <v/>
      </c>
      <c r="AG131" s="36">
        <f>AG130*$G$11</f>
        <v/>
      </c>
      <c r="AH131" s="36">
        <f>AH130*$G$11</f>
        <v/>
      </c>
      <c r="AI131" s="36">
        <f>AI130*$G$11</f>
        <v/>
      </c>
      <c r="AJ131" s="36">
        <f>AJ130*$G$11</f>
        <v/>
      </c>
      <c r="AK131" s="36">
        <f>AK130*$G$11</f>
        <v/>
      </c>
      <c r="AL131" s="36">
        <f>AL130*$G$11</f>
        <v/>
      </c>
      <c r="AM131" s="36">
        <f>AM130*$G$11</f>
        <v/>
      </c>
      <c r="AN131" s="36">
        <f>AN130*$G$11</f>
        <v/>
      </c>
      <c r="AO131" s="36">
        <f>AO130*$G$11</f>
        <v/>
      </c>
      <c r="AP131" s="36">
        <f>AP130*$G$11</f>
        <v/>
      </c>
      <c r="AQ131" s="36">
        <f>AQ130*$G$11</f>
        <v/>
      </c>
      <c r="AR131" s="36">
        <f>AR130*$G$11</f>
        <v/>
      </c>
      <c r="AS131" s="36">
        <f>AS130*$G$11</f>
        <v/>
      </c>
      <c r="AT131" s="36">
        <f>AT130*$G$11</f>
        <v/>
      </c>
      <c r="AU131" s="36">
        <f>AU130*$G$11</f>
        <v/>
      </c>
      <c r="AV131" s="36">
        <f>AV130*$G$11</f>
        <v/>
      </c>
      <c r="AW131" s="36">
        <f>AW130*$G$11</f>
        <v/>
      </c>
      <c r="AX131" s="36">
        <f>AX130*$G$11</f>
        <v/>
      </c>
      <c r="AY131" s="36">
        <f>AY130*$G$11</f>
        <v/>
      </c>
      <c r="AZ131" s="36">
        <f>AZ130*$G$11</f>
        <v/>
      </c>
      <c r="BA131" s="36">
        <f>BA130*$G$11</f>
        <v/>
      </c>
      <c r="BB131" s="36">
        <f>BB130*$G$11</f>
        <v/>
      </c>
      <c r="BC131" s="36">
        <f>BC130*$G$11</f>
        <v/>
      </c>
      <c r="BD131" s="36">
        <f>BD130*$G$11</f>
        <v/>
      </c>
    </row>
    <row r="132">
      <c r="A132" s="4" t="inlineStr">
        <is>
          <t>In store this week</t>
        </is>
      </c>
      <c r="B132" s="2" t="inlineStr">
        <is>
          <t>lb</t>
        </is>
      </c>
      <c r="E132" s="36">
        <f>E130-E131+E129</f>
        <v/>
      </c>
      <c r="F132" s="36">
        <f>F130-F131+F129</f>
        <v/>
      </c>
      <c r="G132" s="36">
        <f>G130-G131+G129</f>
        <v/>
      </c>
      <c r="H132" s="36">
        <f>H130-H131+H129</f>
        <v/>
      </c>
      <c r="I132" s="36">
        <f>I130-I131+I129</f>
        <v/>
      </c>
      <c r="J132" s="36">
        <f>J130-J131+J129</f>
        <v/>
      </c>
      <c r="K132" s="36">
        <f>K130-K131+K129</f>
        <v/>
      </c>
      <c r="L132" s="36">
        <f>L130-L131+L129</f>
        <v/>
      </c>
      <c r="M132" s="36">
        <f>M130-M131+M129</f>
        <v/>
      </c>
      <c r="N132" s="36">
        <f>N130-N131+N129</f>
        <v/>
      </c>
      <c r="O132" s="36">
        <f>O130-O131+O129</f>
        <v/>
      </c>
      <c r="P132" s="36">
        <f>P130-P131+P129</f>
        <v/>
      </c>
      <c r="Q132" s="36">
        <f>Q130-Q131+Q129</f>
        <v/>
      </c>
      <c r="R132" s="36">
        <f>R130-R131+R129</f>
        <v/>
      </c>
      <c r="S132" s="36">
        <f>S130-S131+S129</f>
        <v/>
      </c>
      <c r="T132" s="36">
        <f>T130-T131+T129</f>
        <v/>
      </c>
      <c r="U132" s="36">
        <f>U130-U131+U129</f>
        <v/>
      </c>
      <c r="V132" s="36">
        <f>V130-V131+V129</f>
        <v/>
      </c>
      <c r="W132" s="36">
        <f>W130-W131+W129</f>
        <v/>
      </c>
      <c r="X132" s="36">
        <f>X130-X131+X129</f>
        <v/>
      </c>
      <c r="Y132" s="36">
        <f>Y130-Y131+Y129</f>
        <v/>
      </c>
      <c r="Z132" s="36">
        <f>Z130-Z131+Z129</f>
        <v/>
      </c>
      <c r="AA132" s="36">
        <f>AA130-AA131+AA129</f>
        <v/>
      </c>
      <c r="AB132" s="36">
        <f>AB130-AB131+AB129</f>
        <v/>
      </c>
      <c r="AC132" s="36">
        <f>AC130-AC131+AC129</f>
        <v/>
      </c>
      <c r="AD132" s="36">
        <f>AD130-AD131+AD129</f>
        <v/>
      </c>
      <c r="AE132" s="36">
        <f>AE130-AE131+AE129</f>
        <v/>
      </c>
      <c r="AF132" s="36">
        <f>AF130-AF131+AF129</f>
        <v/>
      </c>
      <c r="AG132" s="36">
        <f>AG130-AG131+AG129</f>
        <v/>
      </c>
      <c r="AH132" s="36">
        <f>AH130-AH131+AH129</f>
        <v/>
      </c>
      <c r="AI132" s="36">
        <f>AI130-AI131+AI129</f>
        <v/>
      </c>
      <c r="AJ132" s="36">
        <f>AJ130-AJ131+AJ129</f>
        <v/>
      </c>
      <c r="AK132" s="36">
        <f>AK130-AK131+AK129</f>
        <v/>
      </c>
      <c r="AL132" s="36">
        <f>AL130-AL131+AL129</f>
        <v/>
      </c>
      <c r="AM132" s="36">
        <f>AM130-AM131+AM129</f>
        <v/>
      </c>
      <c r="AN132" s="36">
        <f>AN130-AN131+AN129</f>
        <v/>
      </c>
      <c r="AO132" s="36">
        <f>AO130-AO131+AO129</f>
        <v/>
      </c>
      <c r="AP132" s="36">
        <f>AP130-AP131+AP129</f>
        <v/>
      </c>
      <c r="AQ132" s="36">
        <f>AQ130-AQ131+AQ129</f>
        <v/>
      </c>
      <c r="AR132" s="36">
        <f>AR130-AR131+AR129</f>
        <v/>
      </c>
      <c r="AS132" s="36">
        <f>AS130-AS131+AS129</f>
        <v/>
      </c>
      <c r="AT132" s="36">
        <f>AT130-AT131+AT129</f>
        <v/>
      </c>
      <c r="AU132" s="36">
        <f>AU130-AU131+AU129</f>
        <v/>
      </c>
      <c r="AV132" s="36">
        <f>AV130-AV131+AV129</f>
        <v/>
      </c>
      <c r="AW132" s="36">
        <f>AW130-AW131+AW129</f>
        <v/>
      </c>
      <c r="AX132" s="36">
        <f>AX130-AX131+AX129</f>
        <v/>
      </c>
      <c r="AY132" s="36">
        <f>AY130-AY131+AY129</f>
        <v/>
      </c>
      <c r="AZ132" s="36">
        <f>AZ130-AZ131+AZ129</f>
        <v/>
      </c>
      <c r="BA132" s="36">
        <f>BA130-BA131+BA129</f>
        <v/>
      </c>
      <c r="BB132" s="36">
        <f>BB130-BB131+BB129</f>
        <v/>
      </c>
      <c r="BC132" s="36">
        <f>BC130-BC131+BC129</f>
        <v/>
      </c>
      <c r="BD132" s="36">
        <f>BD130-BD131+BD129</f>
        <v/>
      </c>
    </row>
    <row r="133">
      <c r="A133" s="38" t="inlineStr">
        <is>
          <t>Farmers Market — most you may sell this week</t>
        </is>
      </c>
      <c r="B133" s="2" t="inlineStr">
        <is>
          <t>lb</t>
        </is>
      </c>
      <c r="E133" s="39">
        <f>IF($C$18="Annual",$D$18-0,IF(AND(1&gt;=$E$18,1&lt;=$F$18),$D$18,0))</f>
        <v/>
      </c>
      <c r="F133" s="39">
        <f>IF($C$18="Annual",$D$18-SUM(E135:E135),IF(AND(2&gt;=$E$18,2&lt;=$F$18),$D$18,0))</f>
        <v/>
      </c>
      <c r="G133" s="39">
        <f>IF($C$18="Annual",$D$18-SUM(E135:F135),IF(AND(3&gt;=$E$18,3&lt;=$F$18),$D$18,0))</f>
        <v/>
      </c>
      <c r="H133" s="39">
        <f>IF($C$18="Annual",$D$18-SUM(E135:G135),IF(AND(4&gt;=$E$18,4&lt;=$F$18),$D$18,0))</f>
        <v/>
      </c>
      <c r="I133" s="39">
        <f>IF($C$18="Annual",$D$18-SUM(E135:H135),IF(AND(5&gt;=$E$18,5&lt;=$F$18),$D$18,0))</f>
        <v/>
      </c>
      <c r="J133" s="39">
        <f>IF($C$18="Annual",$D$18-SUM(E135:I135),IF(AND(6&gt;=$E$18,6&lt;=$F$18),$D$18,0))</f>
        <v/>
      </c>
      <c r="K133" s="39">
        <f>IF($C$18="Annual",$D$18-SUM(E135:J135),IF(AND(7&gt;=$E$18,7&lt;=$F$18),$D$18,0))</f>
        <v/>
      </c>
      <c r="L133" s="39">
        <f>IF($C$18="Annual",$D$18-SUM(E135:K135),IF(AND(8&gt;=$E$18,8&lt;=$F$18),$D$18,0))</f>
        <v/>
      </c>
      <c r="M133" s="39">
        <f>IF($C$18="Annual",$D$18-SUM(E135:L135),IF(AND(9&gt;=$E$18,9&lt;=$F$18),$D$18,0))</f>
        <v/>
      </c>
      <c r="N133" s="39">
        <f>IF($C$18="Annual",$D$18-SUM(E135:M135),IF(AND(10&gt;=$E$18,10&lt;=$F$18),$D$18,0))</f>
        <v/>
      </c>
      <c r="O133" s="39">
        <f>IF($C$18="Annual",$D$18-SUM(E135:N135),IF(AND(11&gt;=$E$18,11&lt;=$F$18),$D$18,0))</f>
        <v/>
      </c>
      <c r="P133" s="39">
        <f>IF($C$18="Annual",$D$18-SUM(E135:O135),IF(AND(12&gt;=$E$18,12&lt;=$F$18),$D$18,0))</f>
        <v/>
      </c>
      <c r="Q133" s="39">
        <f>IF($C$18="Annual",$D$18-SUM(E135:P135),IF(AND(13&gt;=$E$18,13&lt;=$F$18),$D$18,0))</f>
        <v/>
      </c>
      <c r="R133" s="39">
        <f>IF($C$18="Annual",$D$18-SUM(E135:Q135),IF(AND(14&gt;=$E$18,14&lt;=$F$18),$D$18,0))</f>
        <v/>
      </c>
      <c r="S133" s="39">
        <f>IF($C$18="Annual",$D$18-SUM(E135:R135),IF(AND(15&gt;=$E$18,15&lt;=$F$18),$D$18,0))</f>
        <v/>
      </c>
      <c r="T133" s="39">
        <f>IF($C$18="Annual",$D$18-SUM(E135:S135),IF(AND(16&gt;=$E$18,16&lt;=$F$18),$D$18,0))</f>
        <v/>
      </c>
      <c r="U133" s="39">
        <f>IF($C$18="Annual",$D$18-SUM(E135:T135),IF(AND(17&gt;=$E$18,17&lt;=$F$18),$D$18,0))</f>
        <v/>
      </c>
      <c r="V133" s="39">
        <f>IF($C$18="Annual",$D$18-SUM(E135:U135),IF(AND(18&gt;=$E$18,18&lt;=$F$18),$D$18,0))</f>
        <v/>
      </c>
      <c r="W133" s="39">
        <f>IF($C$18="Annual",$D$18-SUM(E135:V135),IF(AND(19&gt;=$E$18,19&lt;=$F$18),$D$18,0))</f>
        <v/>
      </c>
      <c r="X133" s="39">
        <f>IF($C$18="Annual",$D$18-SUM(E135:W135),IF(AND(20&gt;=$E$18,20&lt;=$F$18),$D$18,0))</f>
        <v/>
      </c>
      <c r="Y133" s="39">
        <f>IF($C$18="Annual",$D$18-SUM(E135:X135),IF(AND(21&gt;=$E$18,21&lt;=$F$18),$D$18,0))</f>
        <v/>
      </c>
      <c r="Z133" s="39">
        <f>IF($C$18="Annual",$D$18-SUM(E135:Y135),IF(AND(22&gt;=$E$18,22&lt;=$F$18),$D$18,0))</f>
        <v/>
      </c>
      <c r="AA133" s="39">
        <f>IF($C$18="Annual",$D$18-SUM(E135:Z135),IF(AND(23&gt;=$E$18,23&lt;=$F$18),$D$18,0))</f>
        <v/>
      </c>
      <c r="AB133" s="39">
        <f>IF($C$18="Annual",$D$18-SUM(E135:AA135),IF(AND(24&gt;=$E$18,24&lt;=$F$18),$D$18,0))</f>
        <v/>
      </c>
      <c r="AC133" s="39">
        <f>IF($C$18="Annual",$D$18-SUM(E135:AB135),IF(AND(25&gt;=$E$18,25&lt;=$F$18),$D$18,0))</f>
        <v/>
      </c>
      <c r="AD133" s="39">
        <f>IF($C$18="Annual",$D$18-SUM(E135:AC135),IF(AND(26&gt;=$E$18,26&lt;=$F$18),$D$18,0))</f>
        <v/>
      </c>
      <c r="AE133" s="39">
        <f>IF($C$18="Annual",$D$18-SUM(E135:AD135),IF(AND(27&gt;=$E$18,27&lt;=$F$18),$D$18,0))</f>
        <v/>
      </c>
      <c r="AF133" s="39">
        <f>IF($C$18="Annual",$D$18-SUM(E135:AE135),IF(AND(28&gt;=$E$18,28&lt;=$F$18),$D$18,0))</f>
        <v/>
      </c>
      <c r="AG133" s="39">
        <f>IF($C$18="Annual",$D$18-SUM(E135:AF135),IF(AND(29&gt;=$E$18,29&lt;=$F$18),$D$18,0))</f>
        <v/>
      </c>
      <c r="AH133" s="39">
        <f>IF($C$18="Annual",$D$18-SUM(E135:AG135),IF(AND(30&gt;=$E$18,30&lt;=$F$18),$D$18,0))</f>
        <v/>
      </c>
      <c r="AI133" s="39">
        <f>IF($C$18="Annual",$D$18-SUM(E135:AH135),IF(AND(31&gt;=$E$18,31&lt;=$F$18),$D$18,0))</f>
        <v/>
      </c>
      <c r="AJ133" s="39">
        <f>IF($C$18="Annual",$D$18-SUM(E135:AI135),IF(AND(32&gt;=$E$18,32&lt;=$F$18),$D$18,0))</f>
        <v/>
      </c>
      <c r="AK133" s="39">
        <f>IF($C$18="Annual",$D$18-SUM(E135:AJ135),IF(AND(33&gt;=$E$18,33&lt;=$F$18),$D$18,0))</f>
        <v/>
      </c>
      <c r="AL133" s="39">
        <f>IF($C$18="Annual",$D$18-SUM(E135:AK135),IF(AND(34&gt;=$E$18,34&lt;=$F$18),$D$18,0))</f>
        <v/>
      </c>
      <c r="AM133" s="39">
        <f>IF($C$18="Annual",$D$18-SUM(E135:AL135),IF(AND(35&gt;=$E$18,35&lt;=$F$18),$D$18,0))</f>
        <v/>
      </c>
      <c r="AN133" s="39">
        <f>IF($C$18="Annual",$D$18-SUM(E135:AM135),IF(AND(36&gt;=$E$18,36&lt;=$F$18),$D$18,0))</f>
        <v/>
      </c>
      <c r="AO133" s="39">
        <f>IF($C$18="Annual",$D$18-SUM(E135:AN135),IF(AND(37&gt;=$E$18,37&lt;=$F$18),$D$18,0))</f>
        <v/>
      </c>
      <c r="AP133" s="39">
        <f>IF($C$18="Annual",$D$18-SUM(E135:AO135),IF(AND(38&gt;=$E$18,38&lt;=$F$18),$D$18,0))</f>
        <v/>
      </c>
      <c r="AQ133" s="39">
        <f>IF($C$18="Annual",$D$18-SUM(E135:AP135),IF(AND(39&gt;=$E$18,39&lt;=$F$18),$D$18,0))</f>
        <v/>
      </c>
      <c r="AR133" s="39">
        <f>IF($C$18="Annual",$D$18-SUM(E135:AQ135),IF(AND(40&gt;=$E$18,40&lt;=$F$18),$D$18,0))</f>
        <v/>
      </c>
      <c r="AS133" s="39">
        <f>IF($C$18="Annual",$D$18-SUM(E135:AR135),IF(AND(41&gt;=$E$18,41&lt;=$F$18),$D$18,0))</f>
        <v/>
      </c>
      <c r="AT133" s="39">
        <f>IF($C$18="Annual",$D$18-SUM(E135:AS135),IF(AND(42&gt;=$E$18,42&lt;=$F$18),$D$18,0))</f>
        <v/>
      </c>
      <c r="AU133" s="39">
        <f>IF($C$18="Annual",$D$18-SUM(E135:AT135),IF(AND(43&gt;=$E$18,43&lt;=$F$18),$D$18,0))</f>
        <v/>
      </c>
      <c r="AV133" s="39">
        <f>IF($C$18="Annual",$D$18-SUM(E135:AU135),IF(AND(44&gt;=$E$18,44&lt;=$F$18),$D$18,0))</f>
        <v/>
      </c>
      <c r="AW133" s="39">
        <f>IF($C$18="Annual",$D$18-SUM(E135:AV135),IF(AND(45&gt;=$E$18,45&lt;=$F$18),$D$18,0))</f>
        <v/>
      </c>
      <c r="AX133" s="39">
        <f>IF($C$18="Annual",$D$18-SUM(E135:AW135),IF(AND(46&gt;=$E$18,46&lt;=$F$18),$D$18,0))</f>
        <v/>
      </c>
      <c r="AY133" s="39">
        <f>IF($C$18="Annual",$D$18-SUM(E135:AX135),IF(AND(47&gt;=$E$18,47&lt;=$F$18),$D$18,0))</f>
        <v/>
      </c>
      <c r="AZ133" s="39">
        <f>IF($C$18="Annual",$D$18-SUM(E135:AY135),IF(AND(48&gt;=$E$18,48&lt;=$F$18),$D$18,0))</f>
        <v/>
      </c>
      <c r="BA133" s="39">
        <f>IF($C$18="Annual",$D$18-SUM(E135:AZ135),IF(AND(49&gt;=$E$18,49&lt;=$F$18),$D$18,0))</f>
        <v/>
      </c>
      <c r="BB133" s="39">
        <f>IF($C$18="Annual",$D$18-SUM(E135:BA135),IF(AND(50&gt;=$E$18,50&lt;=$F$18),$D$18,0))</f>
        <v/>
      </c>
      <c r="BC133" s="39">
        <f>IF($C$18="Annual",$D$18-SUM(E135:BB135),IF(AND(51&gt;=$E$18,51&lt;=$F$18),$D$18,0))</f>
        <v/>
      </c>
      <c r="BD133" s="39">
        <f>IF($C$18="Annual",$D$18-SUM(E135:BC135),IF(AND(52&gt;=$E$18,52&lt;=$F$18),$D$18,0))</f>
        <v/>
      </c>
    </row>
    <row r="134">
      <c r="A134" s="23" t="inlineStr">
        <is>
          <t>Farmers Market — OFFERED</t>
        </is>
      </c>
      <c r="B134" s="2" t="inlineStr">
        <is>
          <t>lb  &lt;-- SOLVER</t>
        </is>
      </c>
      <c r="E134" s="40" t="n">
        <v>0</v>
      </c>
      <c r="F134" s="40" t="n">
        <v>0</v>
      </c>
      <c r="G134" s="40" t="n">
        <v>0</v>
      </c>
      <c r="H134" s="40" t="n">
        <v>0</v>
      </c>
      <c r="I134" s="40" t="n">
        <v>0</v>
      </c>
      <c r="J134" s="40" t="n">
        <v>0</v>
      </c>
      <c r="K134" s="40" t="n">
        <v>0</v>
      </c>
      <c r="L134" s="40" t="n">
        <v>0</v>
      </c>
      <c r="M134" s="40" t="n">
        <v>0</v>
      </c>
      <c r="N134" s="40" t="n">
        <v>0</v>
      </c>
      <c r="O134" s="40" t="n">
        <v>0</v>
      </c>
      <c r="P134" s="40" t="n">
        <v>0</v>
      </c>
      <c r="Q134" s="40" t="n">
        <v>0</v>
      </c>
      <c r="R134" s="40" t="n">
        <v>0</v>
      </c>
      <c r="S134" s="40" t="n">
        <v>0</v>
      </c>
      <c r="T134" s="40" t="n">
        <v>0</v>
      </c>
      <c r="U134" s="40" t="n">
        <v>0</v>
      </c>
      <c r="V134" s="40" t="n">
        <v>0</v>
      </c>
      <c r="W134" s="40" t="n">
        <v>0</v>
      </c>
      <c r="X134" s="40" t="n">
        <v>0</v>
      </c>
      <c r="Y134" s="40" t="n">
        <v>0</v>
      </c>
      <c r="Z134" s="40" t="n">
        <v>0</v>
      </c>
      <c r="AA134" s="40" t="n">
        <v>0</v>
      </c>
      <c r="AB134" s="40" t="n">
        <v>0</v>
      </c>
      <c r="AC134" s="40" t="n">
        <v>0</v>
      </c>
      <c r="AD134" s="40" t="n">
        <v>0</v>
      </c>
      <c r="AE134" s="40" t="n">
        <v>0</v>
      </c>
      <c r="AF134" s="40" t="n">
        <v>0</v>
      </c>
      <c r="AG134" s="40" t="n">
        <v>0</v>
      </c>
      <c r="AH134" s="40" t="n">
        <v>0</v>
      </c>
      <c r="AI134" s="40" t="n">
        <v>0</v>
      </c>
      <c r="AJ134" s="40" t="n">
        <v>0</v>
      </c>
      <c r="AK134" s="40" t="n">
        <v>0</v>
      </c>
      <c r="AL134" s="40" t="n">
        <v>0</v>
      </c>
      <c r="AM134" s="40" t="n">
        <v>0</v>
      </c>
      <c r="AN134" s="40" t="n">
        <v>0</v>
      </c>
      <c r="AO134" s="40" t="n">
        <v>0</v>
      </c>
      <c r="AP134" s="40" t="n">
        <v>0</v>
      </c>
      <c r="AQ134" s="40" t="n">
        <v>0</v>
      </c>
      <c r="AR134" s="40" t="n">
        <v>0</v>
      </c>
      <c r="AS134" s="40" t="n">
        <v>0</v>
      </c>
      <c r="AT134" s="40" t="n">
        <v>0</v>
      </c>
      <c r="AU134" s="40" t="n">
        <v>0</v>
      </c>
      <c r="AV134" s="40" t="n">
        <v>0</v>
      </c>
      <c r="AW134" s="40" t="n">
        <v>0</v>
      </c>
      <c r="AX134" s="40" t="n">
        <v>0</v>
      </c>
      <c r="AY134" s="40" t="n">
        <v>0</v>
      </c>
      <c r="AZ134" s="40" t="n">
        <v>0</v>
      </c>
      <c r="BA134" s="40" t="n">
        <v>0</v>
      </c>
      <c r="BB134" s="40" t="n">
        <v>0</v>
      </c>
      <c r="BC134" s="40" t="n">
        <v>0</v>
      </c>
      <c r="BD134" s="40" t="n">
        <v>0</v>
      </c>
    </row>
    <row r="135">
      <c r="A135" s="41" t="inlineStr">
        <is>
          <t>Farmers Market — SOLD</t>
        </is>
      </c>
      <c r="B135" s="2" t="inlineStr">
        <is>
          <t>lb</t>
        </is>
      </c>
      <c r="E135" s="39">
        <f>E134*$G$18</f>
        <v/>
      </c>
      <c r="F135" s="39">
        <f>F134*$G$18</f>
        <v/>
      </c>
      <c r="G135" s="39">
        <f>G134*$G$18</f>
        <v/>
      </c>
      <c r="H135" s="39">
        <f>H134*$G$18</f>
        <v/>
      </c>
      <c r="I135" s="39">
        <f>I134*$G$18</f>
        <v/>
      </c>
      <c r="J135" s="39">
        <f>J134*$G$18</f>
        <v/>
      </c>
      <c r="K135" s="39">
        <f>K134*$G$18</f>
        <v/>
      </c>
      <c r="L135" s="39">
        <f>L134*$G$18</f>
        <v/>
      </c>
      <c r="M135" s="39">
        <f>M134*$G$18</f>
        <v/>
      </c>
      <c r="N135" s="39">
        <f>N134*$G$18</f>
        <v/>
      </c>
      <c r="O135" s="39">
        <f>O134*$G$18</f>
        <v/>
      </c>
      <c r="P135" s="39">
        <f>P134*$G$18</f>
        <v/>
      </c>
      <c r="Q135" s="39">
        <f>Q134*$G$18</f>
        <v/>
      </c>
      <c r="R135" s="39">
        <f>R134*$G$18</f>
        <v/>
      </c>
      <c r="S135" s="39">
        <f>S134*$G$18</f>
        <v/>
      </c>
      <c r="T135" s="39">
        <f>T134*$G$18</f>
        <v/>
      </c>
      <c r="U135" s="39">
        <f>U134*$G$18</f>
        <v/>
      </c>
      <c r="V135" s="39">
        <f>V134*$G$18</f>
        <v/>
      </c>
      <c r="W135" s="39">
        <f>W134*$G$18</f>
        <v/>
      </c>
      <c r="X135" s="39">
        <f>X134*$G$18</f>
        <v/>
      </c>
      <c r="Y135" s="39">
        <f>Y134*$G$18</f>
        <v/>
      </c>
      <c r="Z135" s="39">
        <f>Z134*$G$18</f>
        <v/>
      </c>
      <c r="AA135" s="39">
        <f>AA134*$G$18</f>
        <v/>
      </c>
      <c r="AB135" s="39">
        <f>AB134*$G$18</f>
        <v/>
      </c>
      <c r="AC135" s="39">
        <f>AC134*$G$18</f>
        <v/>
      </c>
      <c r="AD135" s="39">
        <f>AD134*$G$18</f>
        <v/>
      </c>
      <c r="AE135" s="39">
        <f>AE134*$G$18</f>
        <v/>
      </c>
      <c r="AF135" s="39">
        <f>AF134*$G$18</f>
        <v/>
      </c>
      <c r="AG135" s="39">
        <f>AG134*$G$18</f>
        <v/>
      </c>
      <c r="AH135" s="39">
        <f>AH134*$G$18</f>
        <v/>
      </c>
      <c r="AI135" s="39">
        <f>AI134*$G$18</f>
        <v/>
      </c>
      <c r="AJ135" s="39">
        <f>AJ134*$G$18</f>
        <v/>
      </c>
      <c r="AK135" s="39">
        <f>AK134*$G$18</f>
        <v/>
      </c>
      <c r="AL135" s="39">
        <f>AL134*$G$18</f>
        <v/>
      </c>
      <c r="AM135" s="39">
        <f>AM134*$G$18</f>
        <v/>
      </c>
      <c r="AN135" s="39">
        <f>AN134*$G$18</f>
        <v/>
      </c>
      <c r="AO135" s="39">
        <f>AO134*$G$18</f>
        <v/>
      </c>
      <c r="AP135" s="39">
        <f>AP134*$G$18</f>
        <v/>
      </c>
      <c r="AQ135" s="39">
        <f>AQ134*$G$18</f>
        <v/>
      </c>
      <c r="AR135" s="39">
        <f>AR134*$G$18</f>
        <v/>
      </c>
      <c r="AS135" s="39">
        <f>AS134*$G$18</f>
        <v/>
      </c>
      <c r="AT135" s="39">
        <f>AT134*$G$18</f>
        <v/>
      </c>
      <c r="AU135" s="39">
        <f>AU134*$G$18</f>
        <v/>
      </c>
      <c r="AV135" s="39">
        <f>AV134*$G$18</f>
        <v/>
      </c>
      <c r="AW135" s="39">
        <f>AW134*$G$18</f>
        <v/>
      </c>
      <c r="AX135" s="39">
        <f>AX134*$G$18</f>
        <v/>
      </c>
      <c r="AY135" s="39">
        <f>AY134*$G$18</f>
        <v/>
      </c>
      <c r="AZ135" s="39">
        <f>AZ134*$G$18</f>
        <v/>
      </c>
      <c r="BA135" s="39">
        <f>BA134*$G$18</f>
        <v/>
      </c>
      <c r="BB135" s="39">
        <f>BB134*$G$18</f>
        <v/>
      </c>
      <c r="BC135" s="39">
        <f>BC134*$G$18</f>
        <v/>
      </c>
      <c r="BD135" s="39">
        <f>BD134*$G$18</f>
        <v/>
      </c>
    </row>
    <row r="136">
      <c r="A136" s="27" t="inlineStr">
        <is>
          <t xml:space="preserve">   market loss (gone)</t>
        </is>
      </c>
      <c r="B136" s="2" t="inlineStr">
        <is>
          <t>lb</t>
        </is>
      </c>
      <c r="E136" s="36">
        <f>(E134-E135)*(1-$H$18)</f>
        <v/>
      </c>
      <c r="F136" s="36">
        <f>(F134-F135)*(1-$H$18)</f>
        <v/>
      </c>
      <c r="G136" s="36">
        <f>(G134-G135)*(1-$H$18)</f>
        <v/>
      </c>
      <c r="H136" s="36">
        <f>(H134-H135)*(1-$H$18)</f>
        <v/>
      </c>
      <c r="I136" s="36">
        <f>(I134-I135)*(1-$H$18)</f>
        <v/>
      </c>
      <c r="J136" s="36">
        <f>(J134-J135)*(1-$H$18)</f>
        <v/>
      </c>
      <c r="K136" s="36">
        <f>(K134-K135)*(1-$H$18)</f>
        <v/>
      </c>
      <c r="L136" s="36">
        <f>(L134-L135)*(1-$H$18)</f>
        <v/>
      </c>
      <c r="M136" s="36">
        <f>(M134-M135)*(1-$H$18)</f>
        <v/>
      </c>
      <c r="N136" s="36">
        <f>(N134-N135)*(1-$H$18)</f>
        <v/>
      </c>
      <c r="O136" s="36">
        <f>(O134-O135)*(1-$H$18)</f>
        <v/>
      </c>
      <c r="P136" s="36">
        <f>(P134-P135)*(1-$H$18)</f>
        <v/>
      </c>
      <c r="Q136" s="36">
        <f>(Q134-Q135)*(1-$H$18)</f>
        <v/>
      </c>
      <c r="R136" s="36">
        <f>(R134-R135)*(1-$H$18)</f>
        <v/>
      </c>
      <c r="S136" s="36">
        <f>(S134-S135)*(1-$H$18)</f>
        <v/>
      </c>
      <c r="T136" s="36">
        <f>(T134-T135)*(1-$H$18)</f>
        <v/>
      </c>
      <c r="U136" s="36">
        <f>(U134-U135)*(1-$H$18)</f>
        <v/>
      </c>
      <c r="V136" s="36">
        <f>(V134-V135)*(1-$H$18)</f>
        <v/>
      </c>
      <c r="W136" s="36">
        <f>(W134-W135)*(1-$H$18)</f>
        <v/>
      </c>
      <c r="X136" s="36">
        <f>(X134-X135)*(1-$H$18)</f>
        <v/>
      </c>
      <c r="Y136" s="36">
        <f>(Y134-Y135)*(1-$H$18)</f>
        <v/>
      </c>
      <c r="Z136" s="36">
        <f>(Z134-Z135)*(1-$H$18)</f>
        <v/>
      </c>
      <c r="AA136" s="36">
        <f>(AA134-AA135)*(1-$H$18)</f>
        <v/>
      </c>
      <c r="AB136" s="36">
        <f>(AB134-AB135)*(1-$H$18)</f>
        <v/>
      </c>
      <c r="AC136" s="36">
        <f>(AC134-AC135)*(1-$H$18)</f>
        <v/>
      </c>
      <c r="AD136" s="36">
        <f>(AD134-AD135)*(1-$H$18)</f>
        <v/>
      </c>
      <c r="AE136" s="36">
        <f>(AE134-AE135)*(1-$H$18)</f>
        <v/>
      </c>
      <c r="AF136" s="36">
        <f>(AF134-AF135)*(1-$H$18)</f>
        <v/>
      </c>
      <c r="AG136" s="36">
        <f>(AG134-AG135)*(1-$H$18)</f>
        <v/>
      </c>
      <c r="AH136" s="36">
        <f>(AH134-AH135)*(1-$H$18)</f>
        <v/>
      </c>
      <c r="AI136" s="36">
        <f>(AI134-AI135)*(1-$H$18)</f>
        <v/>
      </c>
      <c r="AJ136" s="36">
        <f>(AJ134-AJ135)*(1-$H$18)</f>
        <v/>
      </c>
      <c r="AK136" s="36">
        <f>(AK134-AK135)*(1-$H$18)</f>
        <v/>
      </c>
      <c r="AL136" s="36">
        <f>(AL134-AL135)*(1-$H$18)</f>
        <v/>
      </c>
      <c r="AM136" s="36">
        <f>(AM134-AM135)*(1-$H$18)</f>
        <v/>
      </c>
      <c r="AN136" s="36">
        <f>(AN134-AN135)*(1-$H$18)</f>
        <v/>
      </c>
      <c r="AO136" s="36">
        <f>(AO134-AO135)*(1-$H$18)</f>
        <v/>
      </c>
      <c r="AP136" s="36">
        <f>(AP134-AP135)*(1-$H$18)</f>
        <v/>
      </c>
      <c r="AQ136" s="36">
        <f>(AQ134-AQ135)*(1-$H$18)</f>
        <v/>
      </c>
      <c r="AR136" s="36">
        <f>(AR134-AR135)*(1-$H$18)</f>
        <v/>
      </c>
      <c r="AS136" s="36">
        <f>(AS134-AS135)*(1-$H$18)</f>
        <v/>
      </c>
      <c r="AT136" s="36">
        <f>(AT134-AT135)*(1-$H$18)</f>
        <v/>
      </c>
      <c r="AU136" s="36">
        <f>(AU134-AU135)*(1-$H$18)</f>
        <v/>
      </c>
      <c r="AV136" s="36">
        <f>(AV134-AV135)*(1-$H$18)</f>
        <v/>
      </c>
      <c r="AW136" s="36">
        <f>(AW134-AW135)*(1-$H$18)</f>
        <v/>
      </c>
      <c r="AX136" s="36">
        <f>(AX134-AX135)*(1-$H$18)</f>
        <v/>
      </c>
      <c r="AY136" s="36">
        <f>(AY134-AY135)*(1-$H$18)</f>
        <v/>
      </c>
      <c r="AZ136" s="36">
        <f>(AZ134-AZ135)*(1-$H$18)</f>
        <v/>
      </c>
      <c r="BA136" s="36">
        <f>(BA134-BA135)*(1-$H$18)</f>
        <v/>
      </c>
      <c r="BB136" s="36">
        <f>(BB134-BB135)*(1-$H$18)</f>
        <v/>
      </c>
      <c r="BC136" s="36">
        <f>(BC134-BC135)*(1-$H$18)</f>
        <v/>
      </c>
      <c r="BD136" s="36">
        <f>(BD134-BD135)*(1-$H$18)</f>
        <v/>
      </c>
    </row>
    <row r="137">
      <c r="A137" s="27" t="inlineStr">
        <is>
          <t xml:space="preserve">   returned to store</t>
        </is>
      </c>
      <c r="B137" s="2" t="inlineStr">
        <is>
          <t>lb</t>
        </is>
      </c>
      <c r="E137" s="36">
        <f>(E134-E135)*$H$18</f>
        <v/>
      </c>
      <c r="F137" s="36">
        <f>(F134-F135)*$H$18</f>
        <v/>
      </c>
      <c r="G137" s="36">
        <f>(G134-G135)*$H$18</f>
        <v/>
      </c>
      <c r="H137" s="36">
        <f>(H134-H135)*$H$18</f>
        <v/>
      </c>
      <c r="I137" s="36">
        <f>(I134-I135)*$H$18</f>
        <v/>
      </c>
      <c r="J137" s="36">
        <f>(J134-J135)*$H$18</f>
        <v/>
      </c>
      <c r="K137" s="36">
        <f>(K134-K135)*$H$18</f>
        <v/>
      </c>
      <c r="L137" s="36">
        <f>(L134-L135)*$H$18</f>
        <v/>
      </c>
      <c r="M137" s="36">
        <f>(M134-M135)*$H$18</f>
        <v/>
      </c>
      <c r="N137" s="36">
        <f>(N134-N135)*$H$18</f>
        <v/>
      </c>
      <c r="O137" s="36">
        <f>(O134-O135)*$H$18</f>
        <v/>
      </c>
      <c r="P137" s="36">
        <f>(P134-P135)*$H$18</f>
        <v/>
      </c>
      <c r="Q137" s="36">
        <f>(Q134-Q135)*$H$18</f>
        <v/>
      </c>
      <c r="R137" s="36">
        <f>(R134-R135)*$H$18</f>
        <v/>
      </c>
      <c r="S137" s="36">
        <f>(S134-S135)*$H$18</f>
        <v/>
      </c>
      <c r="T137" s="36">
        <f>(T134-T135)*$H$18</f>
        <v/>
      </c>
      <c r="U137" s="36">
        <f>(U134-U135)*$H$18</f>
        <v/>
      </c>
      <c r="V137" s="36">
        <f>(V134-V135)*$H$18</f>
        <v/>
      </c>
      <c r="W137" s="36">
        <f>(W134-W135)*$H$18</f>
        <v/>
      </c>
      <c r="X137" s="36">
        <f>(X134-X135)*$H$18</f>
        <v/>
      </c>
      <c r="Y137" s="36">
        <f>(Y134-Y135)*$H$18</f>
        <v/>
      </c>
      <c r="Z137" s="36">
        <f>(Z134-Z135)*$H$18</f>
        <v/>
      </c>
      <c r="AA137" s="36">
        <f>(AA134-AA135)*$H$18</f>
        <v/>
      </c>
      <c r="AB137" s="36">
        <f>(AB134-AB135)*$H$18</f>
        <v/>
      </c>
      <c r="AC137" s="36">
        <f>(AC134-AC135)*$H$18</f>
        <v/>
      </c>
      <c r="AD137" s="36">
        <f>(AD134-AD135)*$H$18</f>
        <v/>
      </c>
      <c r="AE137" s="36">
        <f>(AE134-AE135)*$H$18</f>
        <v/>
      </c>
      <c r="AF137" s="36">
        <f>(AF134-AF135)*$H$18</f>
        <v/>
      </c>
      <c r="AG137" s="36">
        <f>(AG134-AG135)*$H$18</f>
        <v/>
      </c>
      <c r="AH137" s="36">
        <f>(AH134-AH135)*$H$18</f>
        <v/>
      </c>
      <c r="AI137" s="36">
        <f>(AI134-AI135)*$H$18</f>
        <v/>
      </c>
      <c r="AJ137" s="36">
        <f>(AJ134-AJ135)*$H$18</f>
        <v/>
      </c>
      <c r="AK137" s="36">
        <f>(AK134-AK135)*$H$18</f>
        <v/>
      </c>
      <c r="AL137" s="36">
        <f>(AL134-AL135)*$H$18</f>
        <v/>
      </c>
      <c r="AM137" s="36">
        <f>(AM134-AM135)*$H$18</f>
        <v/>
      </c>
      <c r="AN137" s="36">
        <f>(AN134-AN135)*$H$18</f>
        <v/>
      </c>
      <c r="AO137" s="36">
        <f>(AO134-AO135)*$H$18</f>
        <v/>
      </c>
      <c r="AP137" s="36">
        <f>(AP134-AP135)*$H$18</f>
        <v/>
      </c>
      <c r="AQ137" s="36">
        <f>(AQ134-AQ135)*$H$18</f>
        <v/>
      </c>
      <c r="AR137" s="36">
        <f>(AR134-AR135)*$H$18</f>
        <v/>
      </c>
      <c r="AS137" s="36">
        <f>(AS134-AS135)*$H$18</f>
        <v/>
      </c>
      <c r="AT137" s="36">
        <f>(AT134-AT135)*$H$18</f>
        <v/>
      </c>
      <c r="AU137" s="36">
        <f>(AU134-AU135)*$H$18</f>
        <v/>
      </c>
      <c r="AV137" s="36">
        <f>(AV134-AV135)*$H$18</f>
        <v/>
      </c>
      <c r="AW137" s="36">
        <f>(AW134-AW135)*$H$18</f>
        <v/>
      </c>
      <c r="AX137" s="36">
        <f>(AX134-AX135)*$H$18</f>
        <v/>
      </c>
      <c r="AY137" s="36">
        <f>(AY134-AY135)*$H$18</f>
        <v/>
      </c>
      <c r="AZ137" s="36">
        <f>(AZ134-AZ135)*$H$18</f>
        <v/>
      </c>
      <c r="BA137" s="36">
        <f>(BA134-BA135)*$H$18</f>
        <v/>
      </c>
      <c r="BB137" s="36">
        <f>(BB134-BB135)*$H$18</f>
        <v/>
      </c>
      <c r="BC137" s="36">
        <f>(BC134-BC135)*$H$18</f>
        <v/>
      </c>
      <c r="BD137" s="36">
        <f>(BD134-BD135)*$H$18</f>
        <v/>
      </c>
    </row>
    <row r="138">
      <c r="A138" s="27" t="inlineStr">
        <is>
          <t xml:space="preserve">   leaves the store (offered - returned)</t>
        </is>
      </c>
      <c r="B138" s="2" t="inlineStr">
        <is>
          <t>lb</t>
        </is>
      </c>
      <c r="E138" s="36">
        <f>E134-E137</f>
        <v/>
      </c>
      <c r="F138" s="36">
        <f>F134-F137</f>
        <v/>
      </c>
      <c r="G138" s="36">
        <f>G134-G137</f>
        <v/>
      </c>
      <c r="H138" s="36">
        <f>H134-H137</f>
        <v/>
      </c>
      <c r="I138" s="36">
        <f>I134-I137</f>
        <v/>
      </c>
      <c r="J138" s="36">
        <f>J134-J137</f>
        <v/>
      </c>
      <c r="K138" s="36">
        <f>K134-K137</f>
        <v/>
      </c>
      <c r="L138" s="36">
        <f>L134-L137</f>
        <v/>
      </c>
      <c r="M138" s="36">
        <f>M134-M137</f>
        <v/>
      </c>
      <c r="N138" s="36">
        <f>N134-N137</f>
        <v/>
      </c>
      <c r="O138" s="36">
        <f>O134-O137</f>
        <v/>
      </c>
      <c r="P138" s="36">
        <f>P134-P137</f>
        <v/>
      </c>
      <c r="Q138" s="36">
        <f>Q134-Q137</f>
        <v/>
      </c>
      <c r="R138" s="36">
        <f>R134-R137</f>
        <v/>
      </c>
      <c r="S138" s="36">
        <f>S134-S137</f>
        <v/>
      </c>
      <c r="T138" s="36">
        <f>T134-T137</f>
        <v/>
      </c>
      <c r="U138" s="36">
        <f>U134-U137</f>
        <v/>
      </c>
      <c r="V138" s="36">
        <f>V134-V137</f>
        <v/>
      </c>
      <c r="W138" s="36">
        <f>W134-W137</f>
        <v/>
      </c>
      <c r="X138" s="36">
        <f>X134-X137</f>
        <v/>
      </c>
      <c r="Y138" s="36">
        <f>Y134-Y137</f>
        <v/>
      </c>
      <c r="Z138" s="36">
        <f>Z134-Z137</f>
        <v/>
      </c>
      <c r="AA138" s="36">
        <f>AA134-AA137</f>
        <v/>
      </c>
      <c r="AB138" s="36">
        <f>AB134-AB137</f>
        <v/>
      </c>
      <c r="AC138" s="36">
        <f>AC134-AC137</f>
        <v/>
      </c>
      <c r="AD138" s="36">
        <f>AD134-AD137</f>
        <v/>
      </c>
      <c r="AE138" s="36">
        <f>AE134-AE137</f>
        <v/>
      </c>
      <c r="AF138" s="36">
        <f>AF134-AF137</f>
        <v/>
      </c>
      <c r="AG138" s="36">
        <f>AG134-AG137</f>
        <v/>
      </c>
      <c r="AH138" s="36">
        <f>AH134-AH137</f>
        <v/>
      </c>
      <c r="AI138" s="36">
        <f>AI134-AI137</f>
        <v/>
      </c>
      <c r="AJ138" s="36">
        <f>AJ134-AJ137</f>
        <v/>
      </c>
      <c r="AK138" s="36">
        <f>AK134-AK137</f>
        <v/>
      </c>
      <c r="AL138" s="36">
        <f>AL134-AL137</f>
        <v/>
      </c>
      <c r="AM138" s="36">
        <f>AM134-AM137</f>
        <v/>
      </c>
      <c r="AN138" s="36">
        <f>AN134-AN137</f>
        <v/>
      </c>
      <c r="AO138" s="36">
        <f>AO134-AO137</f>
        <v/>
      </c>
      <c r="AP138" s="36">
        <f>AP134-AP137</f>
        <v/>
      </c>
      <c r="AQ138" s="36">
        <f>AQ134-AQ137</f>
        <v/>
      </c>
      <c r="AR138" s="36">
        <f>AR134-AR137</f>
        <v/>
      </c>
      <c r="AS138" s="36">
        <f>AS134-AS137</f>
        <v/>
      </c>
      <c r="AT138" s="36">
        <f>AT134-AT137</f>
        <v/>
      </c>
      <c r="AU138" s="36">
        <f>AU134-AU137</f>
        <v/>
      </c>
      <c r="AV138" s="36">
        <f>AV134-AV137</f>
        <v/>
      </c>
      <c r="AW138" s="36">
        <f>AW134-AW137</f>
        <v/>
      </c>
      <c r="AX138" s="36">
        <f>AX134-AX137</f>
        <v/>
      </c>
      <c r="AY138" s="36">
        <f>AY134-AY137</f>
        <v/>
      </c>
      <c r="AZ138" s="36">
        <f>AZ134-AZ137</f>
        <v/>
      </c>
      <c r="BA138" s="36">
        <f>BA134-BA137</f>
        <v/>
      </c>
      <c r="BB138" s="36">
        <f>BB134-BB137</f>
        <v/>
      </c>
      <c r="BC138" s="36">
        <f>BC134-BC137</f>
        <v/>
      </c>
      <c r="BD138" s="36">
        <f>BD134-BD137</f>
        <v/>
      </c>
    </row>
    <row r="139">
      <c r="A139" s="42" t="inlineStr">
        <is>
          <t>Wholesale — most you may sell this week</t>
        </is>
      </c>
      <c r="B139" s="2" t="inlineStr">
        <is>
          <t>lb</t>
        </is>
      </c>
      <c r="E139" s="43">
        <f>IF($C$19="Annual",$D$19-0,IF(AND(1&gt;=$E$19,1&lt;=$F$19),$D$19,0))</f>
        <v/>
      </c>
      <c r="F139" s="43">
        <f>IF($C$19="Annual",$D$19-SUM(E141:E141),IF(AND(2&gt;=$E$19,2&lt;=$F$19),$D$19,0))</f>
        <v/>
      </c>
      <c r="G139" s="43">
        <f>IF($C$19="Annual",$D$19-SUM(E141:F141),IF(AND(3&gt;=$E$19,3&lt;=$F$19),$D$19,0))</f>
        <v/>
      </c>
      <c r="H139" s="43">
        <f>IF($C$19="Annual",$D$19-SUM(E141:G141),IF(AND(4&gt;=$E$19,4&lt;=$F$19),$D$19,0))</f>
        <v/>
      </c>
      <c r="I139" s="43">
        <f>IF($C$19="Annual",$D$19-SUM(E141:H141),IF(AND(5&gt;=$E$19,5&lt;=$F$19),$D$19,0))</f>
        <v/>
      </c>
      <c r="J139" s="43">
        <f>IF($C$19="Annual",$D$19-SUM(E141:I141),IF(AND(6&gt;=$E$19,6&lt;=$F$19),$D$19,0))</f>
        <v/>
      </c>
      <c r="K139" s="43">
        <f>IF($C$19="Annual",$D$19-SUM(E141:J141),IF(AND(7&gt;=$E$19,7&lt;=$F$19),$D$19,0))</f>
        <v/>
      </c>
      <c r="L139" s="43">
        <f>IF($C$19="Annual",$D$19-SUM(E141:K141),IF(AND(8&gt;=$E$19,8&lt;=$F$19),$D$19,0))</f>
        <v/>
      </c>
      <c r="M139" s="43">
        <f>IF($C$19="Annual",$D$19-SUM(E141:L141),IF(AND(9&gt;=$E$19,9&lt;=$F$19),$D$19,0))</f>
        <v/>
      </c>
      <c r="N139" s="43">
        <f>IF($C$19="Annual",$D$19-SUM(E141:M141),IF(AND(10&gt;=$E$19,10&lt;=$F$19),$D$19,0))</f>
        <v/>
      </c>
      <c r="O139" s="43">
        <f>IF($C$19="Annual",$D$19-SUM(E141:N141),IF(AND(11&gt;=$E$19,11&lt;=$F$19),$D$19,0))</f>
        <v/>
      </c>
      <c r="P139" s="43">
        <f>IF($C$19="Annual",$D$19-SUM(E141:O141),IF(AND(12&gt;=$E$19,12&lt;=$F$19),$D$19,0))</f>
        <v/>
      </c>
      <c r="Q139" s="43">
        <f>IF($C$19="Annual",$D$19-SUM(E141:P141),IF(AND(13&gt;=$E$19,13&lt;=$F$19),$D$19,0))</f>
        <v/>
      </c>
      <c r="R139" s="43">
        <f>IF($C$19="Annual",$D$19-SUM(E141:Q141),IF(AND(14&gt;=$E$19,14&lt;=$F$19),$D$19,0))</f>
        <v/>
      </c>
      <c r="S139" s="43">
        <f>IF($C$19="Annual",$D$19-SUM(E141:R141),IF(AND(15&gt;=$E$19,15&lt;=$F$19),$D$19,0))</f>
        <v/>
      </c>
      <c r="T139" s="43">
        <f>IF($C$19="Annual",$D$19-SUM(E141:S141),IF(AND(16&gt;=$E$19,16&lt;=$F$19),$D$19,0))</f>
        <v/>
      </c>
      <c r="U139" s="43">
        <f>IF($C$19="Annual",$D$19-SUM(E141:T141),IF(AND(17&gt;=$E$19,17&lt;=$F$19),$D$19,0))</f>
        <v/>
      </c>
      <c r="V139" s="43">
        <f>IF($C$19="Annual",$D$19-SUM(E141:U141),IF(AND(18&gt;=$E$19,18&lt;=$F$19),$D$19,0))</f>
        <v/>
      </c>
      <c r="W139" s="43">
        <f>IF($C$19="Annual",$D$19-SUM(E141:V141),IF(AND(19&gt;=$E$19,19&lt;=$F$19),$D$19,0))</f>
        <v/>
      </c>
      <c r="X139" s="43">
        <f>IF($C$19="Annual",$D$19-SUM(E141:W141),IF(AND(20&gt;=$E$19,20&lt;=$F$19),$D$19,0))</f>
        <v/>
      </c>
      <c r="Y139" s="43">
        <f>IF($C$19="Annual",$D$19-SUM(E141:X141),IF(AND(21&gt;=$E$19,21&lt;=$F$19),$D$19,0))</f>
        <v/>
      </c>
      <c r="Z139" s="43">
        <f>IF($C$19="Annual",$D$19-SUM(E141:Y141),IF(AND(22&gt;=$E$19,22&lt;=$F$19),$D$19,0))</f>
        <v/>
      </c>
      <c r="AA139" s="43">
        <f>IF($C$19="Annual",$D$19-SUM(E141:Z141),IF(AND(23&gt;=$E$19,23&lt;=$F$19),$D$19,0))</f>
        <v/>
      </c>
      <c r="AB139" s="43">
        <f>IF($C$19="Annual",$D$19-SUM(E141:AA141),IF(AND(24&gt;=$E$19,24&lt;=$F$19),$D$19,0))</f>
        <v/>
      </c>
      <c r="AC139" s="43">
        <f>IF($C$19="Annual",$D$19-SUM(E141:AB141),IF(AND(25&gt;=$E$19,25&lt;=$F$19),$D$19,0))</f>
        <v/>
      </c>
      <c r="AD139" s="43">
        <f>IF($C$19="Annual",$D$19-SUM(E141:AC141),IF(AND(26&gt;=$E$19,26&lt;=$F$19),$D$19,0))</f>
        <v/>
      </c>
      <c r="AE139" s="43">
        <f>IF($C$19="Annual",$D$19-SUM(E141:AD141),IF(AND(27&gt;=$E$19,27&lt;=$F$19),$D$19,0))</f>
        <v/>
      </c>
      <c r="AF139" s="43">
        <f>IF($C$19="Annual",$D$19-SUM(E141:AE141),IF(AND(28&gt;=$E$19,28&lt;=$F$19),$D$19,0))</f>
        <v/>
      </c>
      <c r="AG139" s="43">
        <f>IF($C$19="Annual",$D$19-SUM(E141:AF141),IF(AND(29&gt;=$E$19,29&lt;=$F$19),$D$19,0))</f>
        <v/>
      </c>
      <c r="AH139" s="43">
        <f>IF($C$19="Annual",$D$19-SUM(E141:AG141),IF(AND(30&gt;=$E$19,30&lt;=$F$19),$D$19,0))</f>
        <v/>
      </c>
      <c r="AI139" s="43">
        <f>IF($C$19="Annual",$D$19-SUM(E141:AH141),IF(AND(31&gt;=$E$19,31&lt;=$F$19),$D$19,0))</f>
        <v/>
      </c>
      <c r="AJ139" s="43">
        <f>IF($C$19="Annual",$D$19-SUM(E141:AI141),IF(AND(32&gt;=$E$19,32&lt;=$F$19),$D$19,0))</f>
        <v/>
      </c>
      <c r="AK139" s="43">
        <f>IF($C$19="Annual",$D$19-SUM(E141:AJ141),IF(AND(33&gt;=$E$19,33&lt;=$F$19),$D$19,0))</f>
        <v/>
      </c>
      <c r="AL139" s="43">
        <f>IF($C$19="Annual",$D$19-SUM(E141:AK141),IF(AND(34&gt;=$E$19,34&lt;=$F$19),$D$19,0))</f>
        <v/>
      </c>
      <c r="AM139" s="43">
        <f>IF($C$19="Annual",$D$19-SUM(E141:AL141),IF(AND(35&gt;=$E$19,35&lt;=$F$19),$D$19,0))</f>
        <v/>
      </c>
      <c r="AN139" s="43">
        <f>IF($C$19="Annual",$D$19-SUM(E141:AM141),IF(AND(36&gt;=$E$19,36&lt;=$F$19),$D$19,0))</f>
        <v/>
      </c>
      <c r="AO139" s="43">
        <f>IF($C$19="Annual",$D$19-SUM(E141:AN141),IF(AND(37&gt;=$E$19,37&lt;=$F$19),$D$19,0))</f>
        <v/>
      </c>
      <c r="AP139" s="43">
        <f>IF($C$19="Annual",$D$19-SUM(E141:AO141),IF(AND(38&gt;=$E$19,38&lt;=$F$19),$D$19,0))</f>
        <v/>
      </c>
      <c r="AQ139" s="43">
        <f>IF($C$19="Annual",$D$19-SUM(E141:AP141),IF(AND(39&gt;=$E$19,39&lt;=$F$19),$D$19,0))</f>
        <v/>
      </c>
      <c r="AR139" s="43">
        <f>IF($C$19="Annual",$D$19-SUM(E141:AQ141),IF(AND(40&gt;=$E$19,40&lt;=$F$19),$D$19,0))</f>
        <v/>
      </c>
      <c r="AS139" s="43">
        <f>IF($C$19="Annual",$D$19-SUM(E141:AR141),IF(AND(41&gt;=$E$19,41&lt;=$F$19),$D$19,0))</f>
        <v/>
      </c>
      <c r="AT139" s="43">
        <f>IF($C$19="Annual",$D$19-SUM(E141:AS141),IF(AND(42&gt;=$E$19,42&lt;=$F$19),$D$19,0))</f>
        <v/>
      </c>
      <c r="AU139" s="43">
        <f>IF($C$19="Annual",$D$19-SUM(E141:AT141),IF(AND(43&gt;=$E$19,43&lt;=$F$19),$D$19,0))</f>
        <v/>
      </c>
      <c r="AV139" s="43">
        <f>IF($C$19="Annual",$D$19-SUM(E141:AU141),IF(AND(44&gt;=$E$19,44&lt;=$F$19),$D$19,0))</f>
        <v/>
      </c>
      <c r="AW139" s="43">
        <f>IF($C$19="Annual",$D$19-SUM(E141:AV141),IF(AND(45&gt;=$E$19,45&lt;=$F$19),$D$19,0))</f>
        <v/>
      </c>
      <c r="AX139" s="43">
        <f>IF($C$19="Annual",$D$19-SUM(E141:AW141),IF(AND(46&gt;=$E$19,46&lt;=$F$19),$D$19,0))</f>
        <v/>
      </c>
      <c r="AY139" s="43">
        <f>IF($C$19="Annual",$D$19-SUM(E141:AX141),IF(AND(47&gt;=$E$19,47&lt;=$F$19),$D$19,0))</f>
        <v/>
      </c>
      <c r="AZ139" s="43">
        <f>IF($C$19="Annual",$D$19-SUM(E141:AY141),IF(AND(48&gt;=$E$19,48&lt;=$F$19),$D$19,0))</f>
        <v/>
      </c>
      <c r="BA139" s="43">
        <f>IF($C$19="Annual",$D$19-SUM(E141:AZ141),IF(AND(49&gt;=$E$19,49&lt;=$F$19),$D$19,0))</f>
        <v/>
      </c>
      <c r="BB139" s="43">
        <f>IF($C$19="Annual",$D$19-SUM(E141:BA141),IF(AND(50&gt;=$E$19,50&lt;=$F$19),$D$19,0))</f>
        <v/>
      </c>
      <c r="BC139" s="43">
        <f>IF($C$19="Annual",$D$19-SUM(E141:BB141),IF(AND(51&gt;=$E$19,51&lt;=$F$19),$D$19,0))</f>
        <v/>
      </c>
      <c r="BD139" s="43">
        <f>IF($C$19="Annual",$D$19-SUM(E141:BC141),IF(AND(52&gt;=$E$19,52&lt;=$F$19),$D$19,0))</f>
        <v/>
      </c>
    </row>
    <row r="140">
      <c r="A140" s="23" t="inlineStr">
        <is>
          <t>Wholesale — OFFERED</t>
        </is>
      </c>
      <c r="B140" s="2" t="inlineStr">
        <is>
          <t>lb  &lt;-- SOLVER</t>
        </is>
      </c>
      <c r="E140" s="40" t="n">
        <v>0</v>
      </c>
      <c r="F140" s="40" t="n">
        <v>0</v>
      </c>
      <c r="G140" s="40" t="n">
        <v>0</v>
      </c>
      <c r="H140" s="40" t="n">
        <v>0</v>
      </c>
      <c r="I140" s="40" t="n">
        <v>0</v>
      </c>
      <c r="J140" s="40" t="n">
        <v>0</v>
      </c>
      <c r="K140" s="40" t="n">
        <v>0</v>
      </c>
      <c r="L140" s="40" t="n">
        <v>0</v>
      </c>
      <c r="M140" s="40" t="n">
        <v>0</v>
      </c>
      <c r="N140" s="40" t="n">
        <v>0</v>
      </c>
      <c r="O140" s="40" t="n">
        <v>0</v>
      </c>
      <c r="P140" s="40" t="n">
        <v>0</v>
      </c>
      <c r="Q140" s="40" t="n">
        <v>0</v>
      </c>
      <c r="R140" s="40" t="n">
        <v>0</v>
      </c>
      <c r="S140" s="40" t="n">
        <v>0</v>
      </c>
      <c r="T140" s="40" t="n">
        <v>0</v>
      </c>
      <c r="U140" s="40" t="n">
        <v>0</v>
      </c>
      <c r="V140" s="40" t="n">
        <v>0</v>
      </c>
      <c r="W140" s="40" t="n">
        <v>0</v>
      </c>
      <c r="X140" s="40" t="n">
        <v>0</v>
      </c>
      <c r="Y140" s="40" t="n">
        <v>0</v>
      </c>
      <c r="Z140" s="40" t="n">
        <v>0</v>
      </c>
      <c r="AA140" s="40" t="n">
        <v>0</v>
      </c>
      <c r="AB140" s="40" t="n">
        <v>0</v>
      </c>
      <c r="AC140" s="40" t="n">
        <v>0</v>
      </c>
      <c r="AD140" s="40" t="n">
        <v>0</v>
      </c>
      <c r="AE140" s="40" t="n">
        <v>0</v>
      </c>
      <c r="AF140" s="40" t="n">
        <v>0</v>
      </c>
      <c r="AG140" s="40" t="n">
        <v>0</v>
      </c>
      <c r="AH140" s="40" t="n">
        <v>0</v>
      </c>
      <c r="AI140" s="40" t="n">
        <v>0</v>
      </c>
      <c r="AJ140" s="40" t="n">
        <v>0</v>
      </c>
      <c r="AK140" s="40" t="n">
        <v>0</v>
      </c>
      <c r="AL140" s="40" t="n">
        <v>0</v>
      </c>
      <c r="AM140" s="40" t="n">
        <v>0</v>
      </c>
      <c r="AN140" s="40" t="n">
        <v>0</v>
      </c>
      <c r="AO140" s="40" t="n">
        <v>0</v>
      </c>
      <c r="AP140" s="40" t="n">
        <v>0</v>
      </c>
      <c r="AQ140" s="40" t="n">
        <v>0</v>
      </c>
      <c r="AR140" s="40" t="n">
        <v>0</v>
      </c>
      <c r="AS140" s="40" t="n">
        <v>0</v>
      </c>
      <c r="AT140" s="40" t="n">
        <v>0</v>
      </c>
      <c r="AU140" s="40" t="n">
        <v>0</v>
      </c>
      <c r="AV140" s="40" t="n">
        <v>0</v>
      </c>
      <c r="AW140" s="40" t="n">
        <v>0</v>
      </c>
      <c r="AX140" s="40" t="n">
        <v>0</v>
      </c>
      <c r="AY140" s="40" t="n">
        <v>0</v>
      </c>
      <c r="AZ140" s="40" t="n">
        <v>0</v>
      </c>
      <c r="BA140" s="40" t="n">
        <v>0</v>
      </c>
      <c r="BB140" s="40" t="n">
        <v>0</v>
      </c>
      <c r="BC140" s="40" t="n">
        <v>0</v>
      </c>
      <c r="BD140" s="40" t="n">
        <v>0</v>
      </c>
    </row>
    <row r="141">
      <c r="A141" s="44" t="inlineStr">
        <is>
          <t>Wholesale — SOLD</t>
        </is>
      </c>
      <c r="B141" s="2" t="inlineStr">
        <is>
          <t>lb</t>
        </is>
      </c>
      <c r="E141" s="43">
        <f>E140*$G$19</f>
        <v/>
      </c>
      <c r="F141" s="43">
        <f>F140*$G$19</f>
        <v/>
      </c>
      <c r="G141" s="43">
        <f>G140*$G$19</f>
        <v/>
      </c>
      <c r="H141" s="43">
        <f>H140*$G$19</f>
        <v/>
      </c>
      <c r="I141" s="43">
        <f>I140*$G$19</f>
        <v/>
      </c>
      <c r="J141" s="43">
        <f>J140*$G$19</f>
        <v/>
      </c>
      <c r="K141" s="43">
        <f>K140*$G$19</f>
        <v/>
      </c>
      <c r="L141" s="43">
        <f>L140*$G$19</f>
        <v/>
      </c>
      <c r="M141" s="43">
        <f>M140*$G$19</f>
        <v/>
      </c>
      <c r="N141" s="43">
        <f>N140*$G$19</f>
        <v/>
      </c>
      <c r="O141" s="43">
        <f>O140*$G$19</f>
        <v/>
      </c>
      <c r="P141" s="43">
        <f>P140*$G$19</f>
        <v/>
      </c>
      <c r="Q141" s="43">
        <f>Q140*$G$19</f>
        <v/>
      </c>
      <c r="R141" s="43">
        <f>R140*$G$19</f>
        <v/>
      </c>
      <c r="S141" s="43">
        <f>S140*$G$19</f>
        <v/>
      </c>
      <c r="T141" s="43">
        <f>T140*$G$19</f>
        <v/>
      </c>
      <c r="U141" s="43">
        <f>U140*$G$19</f>
        <v/>
      </c>
      <c r="V141" s="43">
        <f>V140*$G$19</f>
        <v/>
      </c>
      <c r="W141" s="43">
        <f>W140*$G$19</f>
        <v/>
      </c>
      <c r="X141" s="43">
        <f>X140*$G$19</f>
        <v/>
      </c>
      <c r="Y141" s="43">
        <f>Y140*$G$19</f>
        <v/>
      </c>
      <c r="Z141" s="43">
        <f>Z140*$G$19</f>
        <v/>
      </c>
      <c r="AA141" s="43">
        <f>AA140*$G$19</f>
        <v/>
      </c>
      <c r="AB141" s="43">
        <f>AB140*$G$19</f>
        <v/>
      </c>
      <c r="AC141" s="43">
        <f>AC140*$G$19</f>
        <v/>
      </c>
      <c r="AD141" s="43">
        <f>AD140*$G$19</f>
        <v/>
      </c>
      <c r="AE141" s="43">
        <f>AE140*$G$19</f>
        <v/>
      </c>
      <c r="AF141" s="43">
        <f>AF140*$G$19</f>
        <v/>
      </c>
      <c r="AG141" s="43">
        <f>AG140*$G$19</f>
        <v/>
      </c>
      <c r="AH141" s="43">
        <f>AH140*$G$19</f>
        <v/>
      </c>
      <c r="AI141" s="43">
        <f>AI140*$G$19</f>
        <v/>
      </c>
      <c r="AJ141" s="43">
        <f>AJ140*$G$19</f>
        <v/>
      </c>
      <c r="AK141" s="43">
        <f>AK140*$G$19</f>
        <v/>
      </c>
      <c r="AL141" s="43">
        <f>AL140*$G$19</f>
        <v/>
      </c>
      <c r="AM141" s="43">
        <f>AM140*$G$19</f>
        <v/>
      </c>
      <c r="AN141" s="43">
        <f>AN140*$G$19</f>
        <v/>
      </c>
      <c r="AO141" s="43">
        <f>AO140*$G$19</f>
        <v/>
      </c>
      <c r="AP141" s="43">
        <f>AP140*$G$19</f>
        <v/>
      </c>
      <c r="AQ141" s="43">
        <f>AQ140*$G$19</f>
        <v/>
      </c>
      <c r="AR141" s="43">
        <f>AR140*$G$19</f>
        <v/>
      </c>
      <c r="AS141" s="43">
        <f>AS140*$G$19</f>
        <v/>
      </c>
      <c r="AT141" s="43">
        <f>AT140*$G$19</f>
        <v/>
      </c>
      <c r="AU141" s="43">
        <f>AU140*$G$19</f>
        <v/>
      </c>
      <c r="AV141" s="43">
        <f>AV140*$G$19</f>
        <v/>
      </c>
      <c r="AW141" s="43">
        <f>AW140*$G$19</f>
        <v/>
      </c>
      <c r="AX141" s="43">
        <f>AX140*$G$19</f>
        <v/>
      </c>
      <c r="AY141" s="43">
        <f>AY140*$G$19</f>
        <v/>
      </c>
      <c r="AZ141" s="43">
        <f>AZ140*$G$19</f>
        <v/>
      </c>
      <c r="BA141" s="43">
        <f>BA140*$G$19</f>
        <v/>
      </c>
      <c r="BB141" s="43">
        <f>BB140*$G$19</f>
        <v/>
      </c>
      <c r="BC141" s="43">
        <f>BC140*$G$19</f>
        <v/>
      </c>
      <c r="BD141" s="43">
        <f>BD140*$G$19</f>
        <v/>
      </c>
    </row>
    <row r="142">
      <c r="A142" s="27" t="inlineStr">
        <is>
          <t xml:space="preserve">   market loss (gone)</t>
        </is>
      </c>
      <c r="B142" s="2" t="inlineStr">
        <is>
          <t>lb</t>
        </is>
      </c>
      <c r="E142" s="36">
        <f>(E140-E141)*(1-$H$19)</f>
        <v/>
      </c>
      <c r="F142" s="36">
        <f>(F140-F141)*(1-$H$19)</f>
        <v/>
      </c>
      <c r="G142" s="36">
        <f>(G140-G141)*(1-$H$19)</f>
        <v/>
      </c>
      <c r="H142" s="36">
        <f>(H140-H141)*(1-$H$19)</f>
        <v/>
      </c>
      <c r="I142" s="36">
        <f>(I140-I141)*(1-$H$19)</f>
        <v/>
      </c>
      <c r="J142" s="36">
        <f>(J140-J141)*(1-$H$19)</f>
        <v/>
      </c>
      <c r="K142" s="36">
        <f>(K140-K141)*(1-$H$19)</f>
        <v/>
      </c>
      <c r="L142" s="36">
        <f>(L140-L141)*(1-$H$19)</f>
        <v/>
      </c>
      <c r="M142" s="36">
        <f>(M140-M141)*(1-$H$19)</f>
        <v/>
      </c>
      <c r="N142" s="36">
        <f>(N140-N141)*(1-$H$19)</f>
        <v/>
      </c>
      <c r="O142" s="36">
        <f>(O140-O141)*(1-$H$19)</f>
        <v/>
      </c>
      <c r="P142" s="36">
        <f>(P140-P141)*(1-$H$19)</f>
        <v/>
      </c>
      <c r="Q142" s="36">
        <f>(Q140-Q141)*(1-$H$19)</f>
        <v/>
      </c>
      <c r="R142" s="36">
        <f>(R140-R141)*(1-$H$19)</f>
        <v/>
      </c>
      <c r="S142" s="36">
        <f>(S140-S141)*(1-$H$19)</f>
        <v/>
      </c>
      <c r="T142" s="36">
        <f>(T140-T141)*(1-$H$19)</f>
        <v/>
      </c>
      <c r="U142" s="36">
        <f>(U140-U141)*(1-$H$19)</f>
        <v/>
      </c>
      <c r="V142" s="36">
        <f>(V140-V141)*(1-$H$19)</f>
        <v/>
      </c>
      <c r="W142" s="36">
        <f>(W140-W141)*(1-$H$19)</f>
        <v/>
      </c>
      <c r="X142" s="36">
        <f>(X140-X141)*(1-$H$19)</f>
        <v/>
      </c>
      <c r="Y142" s="36">
        <f>(Y140-Y141)*(1-$H$19)</f>
        <v/>
      </c>
      <c r="Z142" s="36">
        <f>(Z140-Z141)*(1-$H$19)</f>
        <v/>
      </c>
      <c r="AA142" s="36">
        <f>(AA140-AA141)*(1-$H$19)</f>
        <v/>
      </c>
      <c r="AB142" s="36">
        <f>(AB140-AB141)*(1-$H$19)</f>
        <v/>
      </c>
      <c r="AC142" s="36">
        <f>(AC140-AC141)*(1-$H$19)</f>
        <v/>
      </c>
      <c r="AD142" s="36">
        <f>(AD140-AD141)*(1-$H$19)</f>
        <v/>
      </c>
      <c r="AE142" s="36">
        <f>(AE140-AE141)*(1-$H$19)</f>
        <v/>
      </c>
      <c r="AF142" s="36">
        <f>(AF140-AF141)*(1-$H$19)</f>
        <v/>
      </c>
      <c r="AG142" s="36">
        <f>(AG140-AG141)*(1-$H$19)</f>
        <v/>
      </c>
      <c r="AH142" s="36">
        <f>(AH140-AH141)*(1-$H$19)</f>
        <v/>
      </c>
      <c r="AI142" s="36">
        <f>(AI140-AI141)*(1-$H$19)</f>
        <v/>
      </c>
      <c r="AJ142" s="36">
        <f>(AJ140-AJ141)*(1-$H$19)</f>
        <v/>
      </c>
      <c r="AK142" s="36">
        <f>(AK140-AK141)*(1-$H$19)</f>
        <v/>
      </c>
      <c r="AL142" s="36">
        <f>(AL140-AL141)*(1-$H$19)</f>
        <v/>
      </c>
      <c r="AM142" s="36">
        <f>(AM140-AM141)*(1-$H$19)</f>
        <v/>
      </c>
      <c r="AN142" s="36">
        <f>(AN140-AN141)*(1-$H$19)</f>
        <v/>
      </c>
      <c r="AO142" s="36">
        <f>(AO140-AO141)*(1-$H$19)</f>
        <v/>
      </c>
      <c r="AP142" s="36">
        <f>(AP140-AP141)*(1-$H$19)</f>
        <v/>
      </c>
      <c r="AQ142" s="36">
        <f>(AQ140-AQ141)*(1-$H$19)</f>
        <v/>
      </c>
      <c r="AR142" s="36">
        <f>(AR140-AR141)*(1-$H$19)</f>
        <v/>
      </c>
      <c r="AS142" s="36">
        <f>(AS140-AS141)*(1-$H$19)</f>
        <v/>
      </c>
      <c r="AT142" s="36">
        <f>(AT140-AT141)*(1-$H$19)</f>
        <v/>
      </c>
      <c r="AU142" s="36">
        <f>(AU140-AU141)*(1-$H$19)</f>
        <v/>
      </c>
      <c r="AV142" s="36">
        <f>(AV140-AV141)*(1-$H$19)</f>
        <v/>
      </c>
      <c r="AW142" s="36">
        <f>(AW140-AW141)*(1-$H$19)</f>
        <v/>
      </c>
      <c r="AX142" s="36">
        <f>(AX140-AX141)*(1-$H$19)</f>
        <v/>
      </c>
      <c r="AY142" s="36">
        <f>(AY140-AY141)*(1-$H$19)</f>
        <v/>
      </c>
      <c r="AZ142" s="36">
        <f>(AZ140-AZ141)*(1-$H$19)</f>
        <v/>
      </c>
      <c r="BA142" s="36">
        <f>(BA140-BA141)*(1-$H$19)</f>
        <v/>
      </c>
      <c r="BB142" s="36">
        <f>(BB140-BB141)*(1-$H$19)</f>
        <v/>
      </c>
      <c r="BC142" s="36">
        <f>(BC140-BC141)*(1-$H$19)</f>
        <v/>
      </c>
      <c r="BD142" s="36">
        <f>(BD140-BD141)*(1-$H$19)</f>
        <v/>
      </c>
    </row>
    <row r="143">
      <c r="A143" s="27" t="inlineStr">
        <is>
          <t xml:space="preserve">   returned to store</t>
        </is>
      </c>
      <c r="B143" s="2" t="inlineStr">
        <is>
          <t>lb</t>
        </is>
      </c>
      <c r="E143" s="36">
        <f>(E140-E141)*$H$19</f>
        <v/>
      </c>
      <c r="F143" s="36">
        <f>(F140-F141)*$H$19</f>
        <v/>
      </c>
      <c r="G143" s="36">
        <f>(G140-G141)*$H$19</f>
        <v/>
      </c>
      <c r="H143" s="36">
        <f>(H140-H141)*$H$19</f>
        <v/>
      </c>
      <c r="I143" s="36">
        <f>(I140-I141)*$H$19</f>
        <v/>
      </c>
      <c r="J143" s="36">
        <f>(J140-J141)*$H$19</f>
        <v/>
      </c>
      <c r="K143" s="36">
        <f>(K140-K141)*$H$19</f>
        <v/>
      </c>
      <c r="L143" s="36">
        <f>(L140-L141)*$H$19</f>
        <v/>
      </c>
      <c r="M143" s="36">
        <f>(M140-M141)*$H$19</f>
        <v/>
      </c>
      <c r="N143" s="36">
        <f>(N140-N141)*$H$19</f>
        <v/>
      </c>
      <c r="O143" s="36">
        <f>(O140-O141)*$H$19</f>
        <v/>
      </c>
      <c r="P143" s="36">
        <f>(P140-P141)*$H$19</f>
        <v/>
      </c>
      <c r="Q143" s="36">
        <f>(Q140-Q141)*$H$19</f>
        <v/>
      </c>
      <c r="R143" s="36">
        <f>(R140-R141)*$H$19</f>
        <v/>
      </c>
      <c r="S143" s="36">
        <f>(S140-S141)*$H$19</f>
        <v/>
      </c>
      <c r="T143" s="36">
        <f>(T140-T141)*$H$19</f>
        <v/>
      </c>
      <c r="U143" s="36">
        <f>(U140-U141)*$H$19</f>
        <v/>
      </c>
      <c r="V143" s="36">
        <f>(V140-V141)*$H$19</f>
        <v/>
      </c>
      <c r="W143" s="36">
        <f>(W140-W141)*$H$19</f>
        <v/>
      </c>
      <c r="X143" s="36">
        <f>(X140-X141)*$H$19</f>
        <v/>
      </c>
      <c r="Y143" s="36">
        <f>(Y140-Y141)*$H$19</f>
        <v/>
      </c>
      <c r="Z143" s="36">
        <f>(Z140-Z141)*$H$19</f>
        <v/>
      </c>
      <c r="AA143" s="36">
        <f>(AA140-AA141)*$H$19</f>
        <v/>
      </c>
      <c r="AB143" s="36">
        <f>(AB140-AB141)*$H$19</f>
        <v/>
      </c>
      <c r="AC143" s="36">
        <f>(AC140-AC141)*$H$19</f>
        <v/>
      </c>
      <c r="AD143" s="36">
        <f>(AD140-AD141)*$H$19</f>
        <v/>
      </c>
      <c r="AE143" s="36">
        <f>(AE140-AE141)*$H$19</f>
        <v/>
      </c>
      <c r="AF143" s="36">
        <f>(AF140-AF141)*$H$19</f>
        <v/>
      </c>
      <c r="AG143" s="36">
        <f>(AG140-AG141)*$H$19</f>
        <v/>
      </c>
      <c r="AH143" s="36">
        <f>(AH140-AH141)*$H$19</f>
        <v/>
      </c>
      <c r="AI143" s="36">
        <f>(AI140-AI141)*$H$19</f>
        <v/>
      </c>
      <c r="AJ143" s="36">
        <f>(AJ140-AJ141)*$H$19</f>
        <v/>
      </c>
      <c r="AK143" s="36">
        <f>(AK140-AK141)*$H$19</f>
        <v/>
      </c>
      <c r="AL143" s="36">
        <f>(AL140-AL141)*$H$19</f>
        <v/>
      </c>
      <c r="AM143" s="36">
        <f>(AM140-AM141)*$H$19</f>
        <v/>
      </c>
      <c r="AN143" s="36">
        <f>(AN140-AN141)*$H$19</f>
        <v/>
      </c>
      <c r="AO143" s="36">
        <f>(AO140-AO141)*$H$19</f>
        <v/>
      </c>
      <c r="AP143" s="36">
        <f>(AP140-AP141)*$H$19</f>
        <v/>
      </c>
      <c r="AQ143" s="36">
        <f>(AQ140-AQ141)*$H$19</f>
        <v/>
      </c>
      <c r="AR143" s="36">
        <f>(AR140-AR141)*$H$19</f>
        <v/>
      </c>
      <c r="AS143" s="36">
        <f>(AS140-AS141)*$H$19</f>
        <v/>
      </c>
      <c r="AT143" s="36">
        <f>(AT140-AT141)*$H$19</f>
        <v/>
      </c>
      <c r="AU143" s="36">
        <f>(AU140-AU141)*$H$19</f>
        <v/>
      </c>
      <c r="AV143" s="36">
        <f>(AV140-AV141)*$H$19</f>
        <v/>
      </c>
      <c r="AW143" s="36">
        <f>(AW140-AW141)*$H$19</f>
        <v/>
      </c>
      <c r="AX143" s="36">
        <f>(AX140-AX141)*$H$19</f>
        <v/>
      </c>
      <c r="AY143" s="36">
        <f>(AY140-AY141)*$H$19</f>
        <v/>
      </c>
      <c r="AZ143" s="36">
        <f>(AZ140-AZ141)*$H$19</f>
        <v/>
      </c>
      <c r="BA143" s="36">
        <f>(BA140-BA141)*$H$19</f>
        <v/>
      </c>
      <c r="BB143" s="36">
        <f>(BB140-BB141)*$H$19</f>
        <v/>
      </c>
      <c r="BC143" s="36">
        <f>(BC140-BC141)*$H$19</f>
        <v/>
      </c>
      <c r="BD143" s="36">
        <f>(BD140-BD141)*$H$19</f>
        <v/>
      </c>
    </row>
    <row r="144">
      <c r="A144" s="27" t="inlineStr">
        <is>
          <t xml:space="preserve">   leaves the store (offered - returned)</t>
        </is>
      </c>
      <c r="B144" s="2" t="inlineStr">
        <is>
          <t>lb</t>
        </is>
      </c>
      <c r="E144" s="36">
        <f>E140-E143</f>
        <v/>
      </c>
      <c r="F144" s="36">
        <f>F140-F143</f>
        <v/>
      </c>
      <c r="G144" s="36">
        <f>G140-G143</f>
        <v/>
      </c>
      <c r="H144" s="36">
        <f>H140-H143</f>
        <v/>
      </c>
      <c r="I144" s="36">
        <f>I140-I143</f>
        <v/>
      </c>
      <c r="J144" s="36">
        <f>J140-J143</f>
        <v/>
      </c>
      <c r="K144" s="36">
        <f>K140-K143</f>
        <v/>
      </c>
      <c r="L144" s="36">
        <f>L140-L143</f>
        <v/>
      </c>
      <c r="M144" s="36">
        <f>M140-M143</f>
        <v/>
      </c>
      <c r="N144" s="36">
        <f>N140-N143</f>
        <v/>
      </c>
      <c r="O144" s="36">
        <f>O140-O143</f>
        <v/>
      </c>
      <c r="P144" s="36">
        <f>P140-P143</f>
        <v/>
      </c>
      <c r="Q144" s="36">
        <f>Q140-Q143</f>
        <v/>
      </c>
      <c r="R144" s="36">
        <f>R140-R143</f>
        <v/>
      </c>
      <c r="S144" s="36">
        <f>S140-S143</f>
        <v/>
      </c>
      <c r="T144" s="36">
        <f>T140-T143</f>
        <v/>
      </c>
      <c r="U144" s="36">
        <f>U140-U143</f>
        <v/>
      </c>
      <c r="V144" s="36">
        <f>V140-V143</f>
        <v/>
      </c>
      <c r="W144" s="36">
        <f>W140-W143</f>
        <v/>
      </c>
      <c r="X144" s="36">
        <f>X140-X143</f>
        <v/>
      </c>
      <c r="Y144" s="36">
        <f>Y140-Y143</f>
        <v/>
      </c>
      <c r="Z144" s="36">
        <f>Z140-Z143</f>
        <v/>
      </c>
      <c r="AA144" s="36">
        <f>AA140-AA143</f>
        <v/>
      </c>
      <c r="AB144" s="36">
        <f>AB140-AB143</f>
        <v/>
      </c>
      <c r="AC144" s="36">
        <f>AC140-AC143</f>
        <v/>
      </c>
      <c r="AD144" s="36">
        <f>AD140-AD143</f>
        <v/>
      </c>
      <c r="AE144" s="36">
        <f>AE140-AE143</f>
        <v/>
      </c>
      <c r="AF144" s="36">
        <f>AF140-AF143</f>
        <v/>
      </c>
      <c r="AG144" s="36">
        <f>AG140-AG143</f>
        <v/>
      </c>
      <c r="AH144" s="36">
        <f>AH140-AH143</f>
        <v/>
      </c>
      <c r="AI144" s="36">
        <f>AI140-AI143</f>
        <v/>
      </c>
      <c r="AJ144" s="36">
        <f>AJ140-AJ143</f>
        <v/>
      </c>
      <c r="AK144" s="36">
        <f>AK140-AK143</f>
        <v/>
      </c>
      <c r="AL144" s="36">
        <f>AL140-AL143</f>
        <v/>
      </c>
      <c r="AM144" s="36">
        <f>AM140-AM143</f>
        <v/>
      </c>
      <c r="AN144" s="36">
        <f>AN140-AN143</f>
        <v/>
      </c>
      <c r="AO144" s="36">
        <f>AO140-AO143</f>
        <v/>
      </c>
      <c r="AP144" s="36">
        <f>AP140-AP143</f>
        <v/>
      </c>
      <c r="AQ144" s="36">
        <f>AQ140-AQ143</f>
        <v/>
      </c>
      <c r="AR144" s="36">
        <f>AR140-AR143</f>
        <v/>
      </c>
      <c r="AS144" s="36">
        <f>AS140-AS143</f>
        <v/>
      </c>
      <c r="AT144" s="36">
        <f>AT140-AT143</f>
        <v/>
      </c>
      <c r="AU144" s="36">
        <f>AU140-AU143</f>
        <v/>
      </c>
      <c r="AV144" s="36">
        <f>AV140-AV143</f>
        <v/>
      </c>
      <c r="AW144" s="36">
        <f>AW140-AW143</f>
        <v/>
      </c>
      <c r="AX144" s="36">
        <f>AX140-AX143</f>
        <v/>
      </c>
      <c r="AY144" s="36">
        <f>AY140-AY143</f>
        <v/>
      </c>
      <c r="AZ144" s="36">
        <f>AZ140-AZ143</f>
        <v/>
      </c>
      <c r="BA144" s="36">
        <f>BA140-BA143</f>
        <v/>
      </c>
      <c r="BB144" s="36">
        <f>BB140-BB143</f>
        <v/>
      </c>
      <c r="BC144" s="36">
        <f>BC140-BC143</f>
        <v/>
      </c>
      <c r="BD144" s="36">
        <f>BD140-BD143</f>
        <v/>
      </c>
    </row>
    <row r="145">
      <c r="A145" s="4" t="inlineStr">
        <is>
          <t>Stock carried out</t>
        </is>
      </c>
      <c r="B145" s="2" t="inlineStr">
        <is>
          <t>lb</t>
        </is>
      </c>
      <c r="E145" s="36">
        <f>E132-E138-E144</f>
        <v/>
      </c>
      <c r="F145" s="36">
        <f>F132-F138-F144</f>
        <v/>
      </c>
      <c r="G145" s="36">
        <f>G132-G138-G144</f>
        <v/>
      </c>
      <c r="H145" s="36">
        <f>H132-H138-H144</f>
        <v/>
      </c>
      <c r="I145" s="36">
        <f>I132-I138-I144</f>
        <v/>
      </c>
      <c r="J145" s="36">
        <f>J132-J138-J144</f>
        <v/>
      </c>
      <c r="K145" s="36">
        <f>K132-K138-K144</f>
        <v/>
      </c>
      <c r="L145" s="36">
        <f>L132-L138-L144</f>
        <v/>
      </c>
      <c r="M145" s="36">
        <f>M132-M138-M144</f>
        <v/>
      </c>
      <c r="N145" s="36">
        <f>N132-N138-N144</f>
        <v/>
      </c>
      <c r="O145" s="36">
        <f>O132-O138-O144</f>
        <v/>
      </c>
      <c r="P145" s="36">
        <f>P132-P138-P144</f>
        <v/>
      </c>
      <c r="Q145" s="36">
        <f>Q132-Q138-Q144</f>
        <v/>
      </c>
      <c r="R145" s="36">
        <f>R132-R138-R144</f>
        <v/>
      </c>
      <c r="S145" s="36">
        <f>S132-S138-S144</f>
        <v/>
      </c>
      <c r="T145" s="36">
        <f>T132-T138-T144</f>
        <v/>
      </c>
      <c r="U145" s="36">
        <f>U132-U138-U144</f>
        <v/>
      </c>
      <c r="V145" s="36">
        <f>V132-V138-V144</f>
        <v/>
      </c>
      <c r="W145" s="36">
        <f>W132-W138-W144</f>
        <v/>
      </c>
      <c r="X145" s="36">
        <f>X132-X138-X144</f>
        <v/>
      </c>
      <c r="Y145" s="36">
        <f>Y132-Y138-Y144</f>
        <v/>
      </c>
      <c r="Z145" s="36">
        <f>Z132-Z138-Z144</f>
        <v/>
      </c>
      <c r="AA145" s="36">
        <f>AA132-AA138-AA144</f>
        <v/>
      </c>
      <c r="AB145" s="36">
        <f>AB132-AB138-AB144</f>
        <v/>
      </c>
      <c r="AC145" s="36">
        <f>AC132-AC138-AC144</f>
        <v/>
      </c>
      <c r="AD145" s="36">
        <f>AD132-AD138-AD144</f>
        <v/>
      </c>
      <c r="AE145" s="36">
        <f>AE132-AE138-AE144</f>
        <v/>
      </c>
      <c r="AF145" s="36">
        <f>AF132-AF138-AF144</f>
        <v/>
      </c>
      <c r="AG145" s="36">
        <f>AG132-AG138-AG144</f>
        <v/>
      </c>
      <c r="AH145" s="36">
        <f>AH132-AH138-AH144</f>
        <v/>
      </c>
      <c r="AI145" s="36">
        <f>AI132-AI138-AI144</f>
        <v/>
      </c>
      <c r="AJ145" s="36">
        <f>AJ132-AJ138-AJ144</f>
        <v/>
      </c>
      <c r="AK145" s="36">
        <f>AK132-AK138-AK144</f>
        <v/>
      </c>
      <c r="AL145" s="36">
        <f>AL132-AL138-AL144</f>
        <v/>
      </c>
      <c r="AM145" s="36">
        <f>AM132-AM138-AM144</f>
        <v/>
      </c>
      <c r="AN145" s="36">
        <f>AN132-AN138-AN144</f>
        <v/>
      </c>
      <c r="AO145" s="36">
        <f>AO132-AO138-AO144</f>
        <v/>
      </c>
      <c r="AP145" s="36">
        <f>AP132-AP138-AP144</f>
        <v/>
      </c>
      <c r="AQ145" s="36">
        <f>AQ132-AQ138-AQ144</f>
        <v/>
      </c>
      <c r="AR145" s="36">
        <f>AR132-AR138-AR144</f>
        <v/>
      </c>
      <c r="AS145" s="36">
        <f>AS132-AS138-AS144</f>
        <v/>
      </c>
      <c r="AT145" s="36">
        <f>AT132-AT138-AT144</f>
        <v/>
      </c>
      <c r="AU145" s="36">
        <f>AU132-AU138-AU144</f>
        <v/>
      </c>
      <c r="AV145" s="36">
        <f>AV132-AV138-AV144</f>
        <v/>
      </c>
      <c r="AW145" s="36">
        <f>AW132-AW138-AW144</f>
        <v/>
      </c>
      <c r="AX145" s="36">
        <f>AX132-AX138-AX144</f>
        <v/>
      </c>
      <c r="AY145" s="36">
        <f>AY132-AY138-AY144</f>
        <v/>
      </c>
      <c r="AZ145" s="36">
        <f>AZ132-AZ138-AZ144</f>
        <v/>
      </c>
      <c r="BA145" s="36">
        <f>BA132-BA138-BA144</f>
        <v/>
      </c>
      <c r="BB145" s="36">
        <f>BB132-BB138-BB144</f>
        <v/>
      </c>
      <c r="BC145" s="36">
        <f>BC132-BC138-BC144</f>
        <v/>
      </c>
      <c r="BD145" s="36">
        <f>BD132-BD138-BD144</f>
        <v/>
      </c>
    </row>
    <row r="146">
      <c r="A146" s="2" t="inlineStr">
        <is>
          <t xml:space="preserve">   ^ subtracts what LEAVES, not what was offered — so 'returned to store' is</t>
        </is>
      </c>
    </row>
    <row r="147">
      <c r="A147" s="2" t="inlineStr">
        <is>
          <t xml:space="preserve">     never taken out at all, and shows up as next week's carried in.</t>
        </is>
      </c>
    </row>
    <row r="148">
      <c r="A148" s="27" t="inlineStr">
        <is>
          <t>Most stock its shelf life allows</t>
        </is>
      </c>
      <c r="B148" s="2" t="inlineStr">
        <is>
          <t>lb</t>
        </is>
      </c>
      <c r="E148" s="36">
        <f>SUMPRODUCT(($E$128:$BD$128&gt;=1-$F$11+2)*($E$128:$BD$128&lt;=1)*$E$129:$BD$129*POWER(1-$G$11,($E$128:$BD$128&lt;=1)*(1-$E$128:$BD$128)))</f>
        <v/>
      </c>
      <c r="F148" s="36">
        <f>SUMPRODUCT(($E$128:$BD$128&gt;=2-$F$11+2)*($E$128:$BD$128&lt;=2)*$E$129:$BD$129*POWER(1-$G$11,($E$128:$BD$128&lt;=2)*(2-$E$128:$BD$128)))</f>
        <v/>
      </c>
      <c r="G148" s="36">
        <f>SUMPRODUCT(($E$128:$BD$128&gt;=3-$F$11+2)*($E$128:$BD$128&lt;=3)*$E$129:$BD$129*POWER(1-$G$11,($E$128:$BD$128&lt;=3)*(3-$E$128:$BD$128)))</f>
        <v/>
      </c>
      <c r="H148" s="36">
        <f>SUMPRODUCT(($E$128:$BD$128&gt;=4-$F$11+2)*($E$128:$BD$128&lt;=4)*$E$129:$BD$129*POWER(1-$G$11,($E$128:$BD$128&lt;=4)*(4-$E$128:$BD$128)))</f>
        <v/>
      </c>
      <c r="I148" s="36">
        <f>SUMPRODUCT(($E$128:$BD$128&gt;=5-$F$11+2)*($E$128:$BD$128&lt;=5)*$E$129:$BD$129*POWER(1-$G$11,($E$128:$BD$128&lt;=5)*(5-$E$128:$BD$128)))</f>
        <v/>
      </c>
      <c r="J148" s="36">
        <f>SUMPRODUCT(($E$128:$BD$128&gt;=6-$F$11+2)*($E$128:$BD$128&lt;=6)*$E$129:$BD$129*POWER(1-$G$11,($E$128:$BD$128&lt;=6)*(6-$E$128:$BD$128)))</f>
        <v/>
      </c>
      <c r="K148" s="36">
        <f>SUMPRODUCT(($E$128:$BD$128&gt;=7-$F$11+2)*($E$128:$BD$128&lt;=7)*$E$129:$BD$129*POWER(1-$G$11,($E$128:$BD$128&lt;=7)*(7-$E$128:$BD$128)))</f>
        <v/>
      </c>
      <c r="L148" s="36">
        <f>SUMPRODUCT(($E$128:$BD$128&gt;=8-$F$11+2)*($E$128:$BD$128&lt;=8)*$E$129:$BD$129*POWER(1-$G$11,($E$128:$BD$128&lt;=8)*(8-$E$128:$BD$128)))</f>
        <v/>
      </c>
      <c r="M148" s="36">
        <f>SUMPRODUCT(($E$128:$BD$128&gt;=9-$F$11+2)*($E$128:$BD$128&lt;=9)*$E$129:$BD$129*POWER(1-$G$11,($E$128:$BD$128&lt;=9)*(9-$E$128:$BD$128)))</f>
        <v/>
      </c>
      <c r="N148" s="36">
        <f>SUMPRODUCT(($E$128:$BD$128&gt;=10-$F$11+2)*($E$128:$BD$128&lt;=10)*$E$129:$BD$129*POWER(1-$G$11,($E$128:$BD$128&lt;=10)*(10-$E$128:$BD$128)))</f>
        <v/>
      </c>
      <c r="O148" s="36">
        <f>SUMPRODUCT(($E$128:$BD$128&gt;=11-$F$11+2)*($E$128:$BD$128&lt;=11)*$E$129:$BD$129*POWER(1-$G$11,($E$128:$BD$128&lt;=11)*(11-$E$128:$BD$128)))</f>
        <v/>
      </c>
      <c r="P148" s="36">
        <f>SUMPRODUCT(($E$128:$BD$128&gt;=12-$F$11+2)*($E$128:$BD$128&lt;=12)*$E$129:$BD$129*POWER(1-$G$11,($E$128:$BD$128&lt;=12)*(12-$E$128:$BD$128)))</f>
        <v/>
      </c>
      <c r="Q148" s="36">
        <f>SUMPRODUCT(($E$128:$BD$128&gt;=13-$F$11+2)*($E$128:$BD$128&lt;=13)*$E$129:$BD$129*POWER(1-$G$11,($E$128:$BD$128&lt;=13)*(13-$E$128:$BD$128)))</f>
        <v/>
      </c>
      <c r="R148" s="36">
        <f>SUMPRODUCT(($E$128:$BD$128&gt;=14-$F$11+2)*($E$128:$BD$128&lt;=14)*$E$129:$BD$129*POWER(1-$G$11,($E$128:$BD$128&lt;=14)*(14-$E$128:$BD$128)))</f>
        <v/>
      </c>
      <c r="S148" s="36">
        <f>SUMPRODUCT(($E$128:$BD$128&gt;=15-$F$11+2)*($E$128:$BD$128&lt;=15)*$E$129:$BD$129*POWER(1-$G$11,($E$128:$BD$128&lt;=15)*(15-$E$128:$BD$128)))</f>
        <v/>
      </c>
      <c r="T148" s="36">
        <f>SUMPRODUCT(($E$128:$BD$128&gt;=16-$F$11+2)*($E$128:$BD$128&lt;=16)*$E$129:$BD$129*POWER(1-$G$11,($E$128:$BD$128&lt;=16)*(16-$E$128:$BD$128)))</f>
        <v/>
      </c>
      <c r="U148" s="36">
        <f>SUMPRODUCT(($E$128:$BD$128&gt;=17-$F$11+2)*($E$128:$BD$128&lt;=17)*$E$129:$BD$129*POWER(1-$G$11,($E$128:$BD$128&lt;=17)*(17-$E$128:$BD$128)))</f>
        <v/>
      </c>
      <c r="V148" s="36">
        <f>SUMPRODUCT(($E$128:$BD$128&gt;=18-$F$11+2)*($E$128:$BD$128&lt;=18)*$E$129:$BD$129*POWER(1-$G$11,($E$128:$BD$128&lt;=18)*(18-$E$128:$BD$128)))</f>
        <v/>
      </c>
      <c r="W148" s="36">
        <f>SUMPRODUCT(($E$128:$BD$128&gt;=19-$F$11+2)*($E$128:$BD$128&lt;=19)*$E$129:$BD$129*POWER(1-$G$11,($E$128:$BD$128&lt;=19)*(19-$E$128:$BD$128)))</f>
        <v/>
      </c>
      <c r="X148" s="36">
        <f>SUMPRODUCT(($E$128:$BD$128&gt;=20-$F$11+2)*($E$128:$BD$128&lt;=20)*$E$129:$BD$129*POWER(1-$G$11,($E$128:$BD$128&lt;=20)*(20-$E$128:$BD$128)))</f>
        <v/>
      </c>
      <c r="Y148" s="36">
        <f>SUMPRODUCT(($E$128:$BD$128&gt;=21-$F$11+2)*($E$128:$BD$128&lt;=21)*$E$129:$BD$129*POWER(1-$G$11,($E$128:$BD$128&lt;=21)*(21-$E$128:$BD$128)))</f>
        <v/>
      </c>
      <c r="Z148" s="36">
        <f>SUMPRODUCT(($E$128:$BD$128&gt;=22-$F$11+2)*($E$128:$BD$128&lt;=22)*$E$129:$BD$129*POWER(1-$G$11,($E$128:$BD$128&lt;=22)*(22-$E$128:$BD$128)))</f>
        <v/>
      </c>
      <c r="AA148" s="36">
        <f>SUMPRODUCT(($E$128:$BD$128&gt;=23-$F$11+2)*($E$128:$BD$128&lt;=23)*$E$129:$BD$129*POWER(1-$G$11,($E$128:$BD$128&lt;=23)*(23-$E$128:$BD$128)))</f>
        <v/>
      </c>
      <c r="AB148" s="36">
        <f>SUMPRODUCT(($E$128:$BD$128&gt;=24-$F$11+2)*($E$128:$BD$128&lt;=24)*$E$129:$BD$129*POWER(1-$G$11,($E$128:$BD$128&lt;=24)*(24-$E$128:$BD$128)))</f>
        <v/>
      </c>
      <c r="AC148" s="36">
        <f>SUMPRODUCT(($E$128:$BD$128&gt;=25-$F$11+2)*($E$128:$BD$128&lt;=25)*$E$129:$BD$129*POWER(1-$G$11,($E$128:$BD$128&lt;=25)*(25-$E$128:$BD$128)))</f>
        <v/>
      </c>
      <c r="AD148" s="36">
        <f>SUMPRODUCT(($E$128:$BD$128&gt;=26-$F$11+2)*($E$128:$BD$128&lt;=26)*$E$129:$BD$129*POWER(1-$G$11,($E$128:$BD$128&lt;=26)*(26-$E$128:$BD$128)))</f>
        <v/>
      </c>
      <c r="AE148" s="36">
        <f>SUMPRODUCT(($E$128:$BD$128&gt;=27-$F$11+2)*($E$128:$BD$128&lt;=27)*$E$129:$BD$129*POWER(1-$G$11,($E$128:$BD$128&lt;=27)*(27-$E$128:$BD$128)))</f>
        <v/>
      </c>
      <c r="AF148" s="36">
        <f>SUMPRODUCT(($E$128:$BD$128&gt;=28-$F$11+2)*($E$128:$BD$128&lt;=28)*$E$129:$BD$129*POWER(1-$G$11,($E$128:$BD$128&lt;=28)*(28-$E$128:$BD$128)))</f>
        <v/>
      </c>
      <c r="AG148" s="36">
        <f>SUMPRODUCT(($E$128:$BD$128&gt;=29-$F$11+2)*($E$128:$BD$128&lt;=29)*$E$129:$BD$129*POWER(1-$G$11,($E$128:$BD$128&lt;=29)*(29-$E$128:$BD$128)))</f>
        <v/>
      </c>
      <c r="AH148" s="36">
        <f>SUMPRODUCT(($E$128:$BD$128&gt;=30-$F$11+2)*($E$128:$BD$128&lt;=30)*$E$129:$BD$129*POWER(1-$G$11,($E$128:$BD$128&lt;=30)*(30-$E$128:$BD$128)))</f>
        <v/>
      </c>
      <c r="AI148" s="36">
        <f>SUMPRODUCT(($E$128:$BD$128&gt;=31-$F$11+2)*($E$128:$BD$128&lt;=31)*$E$129:$BD$129*POWER(1-$G$11,($E$128:$BD$128&lt;=31)*(31-$E$128:$BD$128)))</f>
        <v/>
      </c>
      <c r="AJ148" s="36">
        <f>SUMPRODUCT(($E$128:$BD$128&gt;=32-$F$11+2)*($E$128:$BD$128&lt;=32)*$E$129:$BD$129*POWER(1-$G$11,($E$128:$BD$128&lt;=32)*(32-$E$128:$BD$128)))</f>
        <v/>
      </c>
      <c r="AK148" s="36">
        <f>SUMPRODUCT(($E$128:$BD$128&gt;=33-$F$11+2)*($E$128:$BD$128&lt;=33)*$E$129:$BD$129*POWER(1-$G$11,($E$128:$BD$128&lt;=33)*(33-$E$128:$BD$128)))</f>
        <v/>
      </c>
      <c r="AL148" s="36">
        <f>SUMPRODUCT(($E$128:$BD$128&gt;=34-$F$11+2)*($E$128:$BD$128&lt;=34)*$E$129:$BD$129*POWER(1-$G$11,($E$128:$BD$128&lt;=34)*(34-$E$128:$BD$128)))</f>
        <v/>
      </c>
      <c r="AM148" s="36">
        <f>SUMPRODUCT(($E$128:$BD$128&gt;=35-$F$11+2)*($E$128:$BD$128&lt;=35)*$E$129:$BD$129*POWER(1-$G$11,($E$128:$BD$128&lt;=35)*(35-$E$128:$BD$128)))</f>
        <v/>
      </c>
      <c r="AN148" s="36">
        <f>SUMPRODUCT(($E$128:$BD$128&gt;=36-$F$11+2)*($E$128:$BD$128&lt;=36)*$E$129:$BD$129*POWER(1-$G$11,($E$128:$BD$128&lt;=36)*(36-$E$128:$BD$128)))</f>
        <v/>
      </c>
      <c r="AO148" s="36">
        <f>SUMPRODUCT(($E$128:$BD$128&gt;=37-$F$11+2)*($E$128:$BD$128&lt;=37)*$E$129:$BD$129*POWER(1-$G$11,($E$128:$BD$128&lt;=37)*(37-$E$128:$BD$128)))</f>
        <v/>
      </c>
      <c r="AP148" s="36">
        <f>SUMPRODUCT(($E$128:$BD$128&gt;=38-$F$11+2)*($E$128:$BD$128&lt;=38)*$E$129:$BD$129*POWER(1-$G$11,($E$128:$BD$128&lt;=38)*(38-$E$128:$BD$128)))</f>
        <v/>
      </c>
      <c r="AQ148" s="36">
        <f>SUMPRODUCT(($E$128:$BD$128&gt;=39-$F$11+2)*($E$128:$BD$128&lt;=39)*$E$129:$BD$129*POWER(1-$G$11,($E$128:$BD$128&lt;=39)*(39-$E$128:$BD$128)))</f>
        <v/>
      </c>
      <c r="AR148" s="36">
        <f>SUMPRODUCT(($E$128:$BD$128&gt;=40-$F$11+2)*($E$128:$BD$128&lt;=40)*$E$129:$BD$129*POWER(1-$G$11,($E$128:$BD$128&lt;=40)*(40-$E$128:$BD$128)))</f>
        <v/>
      </c>
      <c r="AS148" s="36">
        <f>SUMPRODUCT(($E$128:$BD$128&gt;=41-$F$11+2)*($E$128:$BD$128&lt;=41)*$E$129:$BD$129*POWER(1-$G$11,($E$128:$BD$128&lt;=41)*(41-$E$128:$BD$128)))</f>
        <v/>
      </c>
      <c r="AT148" s="36">
        <f>SUMPRODUCT(($E$128:$BD$128&gt;=42-$F$11+2)*($E$128:$BD$128&lt;=42)*$E$129:$BD$129*POWER(1-$G$11,($E$128:$BD$128&lt;=42)*(42-$E$128:$BD$128)))</f>
        <v/>
      </c>
      <c r="AU148" s="36">
        <f>SUMPRODUCT(($E$128:$BD$128&gt;=43-$F$11+2)*($E$128:$BD$128&lt;=43)*$E$129:$BD$129*POWER(1-$G$11,($E$128:$BD$128&lt;=43)*(43-$E$128:$BD$128)))</f>
        <v/>
      </c>
      <c r="AV148" s="36">
        <f>SUMPRODUCT(($E$128:$BD$128&gt;=44-$F$11+2)*($E$128:$BD$128&lt;=44)*$E$129:$BD$129*POWER(1-$G$11,($E$128:$BD$128&lt;=44)*(44-$E$128:$BD$128)))</f>
        <v/>
      </c>
      <c r="AW148" s="36">
        <f>SUMPRODUCT(($E$128:$BD$128&gt;=45-$F$11+2)*($E$128:$BD$128&lt;=45)*$E$129:$BD$129*POWER(1-$G$11,($E$128:$BD$128&lt;=45)*(45-$E$128:$BD$128)))</f>
        <v/>
      </c>
      <c r="AX148" s="36">
        <f>SUMPRODUCT(($E$128:$BD$128&gt;=46-$F$11+2)*($E$128:$BD$128&lt;=46)*$E$129:$BD$129*POWER(1-$G$11,($E$128:$BD$128&lt;=46)*(46-$E$128:$BD$128)))</f>
        <v/>
      </c>
      <c r="AY148" s="36">
        <f>SUMPRODUCT(($E$128:$BD$128&gt;=47-$F$11+2)*($E$128:$BD$128&lt;=47)*$E$129:$BD$129*POWER(1-$G$11,($E$128:$BD$128&lt;=47)*(47-$E$128:$BD$128)))</f>
        <v/>
      </c>
      <c r="AZ148" s="36">
        <f>SUMPRODUCT(($E$128:$BD$128&gt;=48-$F$11+2)*($E$128:$BD$128&lt;=48)*$E$129:$BD$129*POWER(1-$G$11,($E$128:$BD$128&lt;=48)*(48-$E$128:$BD$128)))</f>
        <v/>
      </c>
      <c r="BA148" s="36">
        <f>SUMPRODUCT(($E$128:$BD$128&gt;=49-$F$11+2)*($E$128:$BD$128&lt;=49)*$E$129:$BD$129*POWER(1-$G$11,($E$128:$BD$128&lt;=49)*(49-$E$128:$BD$128)))</f>
        <v/>
      </c>
      <c r="BB148" s="36">
        <f>SUMPRODUCT(($E$128:$BD$128&gt;=50-$F$11+2)*($E$128:$BD$128&lt;=50)*$E$129:$BD$129*POWER(1-$G$11,($E$128:$BD$128&lt;=50)*(50-$E$128:$BD$128)))</f>
        <v/>
      </c>
      <c r="BC148" s="36">
        <f>SUMPRODUCT(($E$128:$BD$128&gt;=51-$F$11+2)*($E$128:$BD$128&lt;=51)*$E$129:$BD$129*POWER(1-$G$11,($E$128:$BD$128&lt;=51)*(51-$E$128:$BD$128)))</f>
        <v/>
      </c>
      <c r="BD148" s="36">
        <f>SUMPRODUCT(($E$128:$BD$128&gt;=52-$F$11+2)*($E$128:$BD$128&lt;=52)*$E$129:$BD$129*POWER(1-$G$11,($E$128:$BD$128&lt;=52)*(52-$E$128:$BD$128)))</f>
        <v/>
      </c>
    </row>
    <row r="149">
      <c r="A149" s="2" t="inlineStr">
        <is>
          <t xml:space="preserve">   Stock carried out must stay at or below this row.</t>
        </is>
      </c>
    </row>
    <row r="150">
      <c r="A150" s="27" t="inlineStr">
        <is>
          <t>Growing cost this week</t>
        </is>
      </c>
      <c r="B150" s="2" t="inlineStr">
        <is>
          <t>$</t>
        </is>
      </c>
      <c r="E150" s="36">
        <f>SUMPRODUCT(($B$38:$B$105="Spinach")*(E$38:E$105="P")*$C$38:$C$105)*$K$11+SUMPRODUCT(($B$38:$B$105="Spinach")*(E$38:E$105="G")*$C$38:$C$105)*$L$11+SUMPRODUCT(($B$38:$B$105="Spinach")*(E$38:E$105="H")*$C$38:$C$105)*$M$11+SUMPRODUCT(($B$38:$B$105="Spinach")*($BG$38:$BG$105=1)*$C$38:$C$105)*$H$11</f>
        <v/>
      </c>
      <c r="F150" s="36">
        <f>SUMPRODUCT(($B$38:$B$105="Spinach")*(F$38:F$105="P")*$C$38:$C$105)*$K$11+SUMPRODUCT(($B$38:$B$105="Spinach")*(F$38:F$105="G")*$C$38:$C$105)*$L$11+SUMPRODUCT(($B$38:$B$105="Spinach")*(F$38:F$105="H")*$C$38:$C$105)*$M$11+SUMPRODUCT(($B$38:$B$105="Spinach")*($BG$38:$BG$105=2)*$C$38:$C$105)*$H$11</f>
        <v/>
      </c>
      <c r="G150" s="36">
        <f>SUMPRODUCT(($B$38:$B$105="Spinach")*(G$38:G$105="P")*$C$38:$C$105)*$K$11+SUMPRODUCT(($B$38:$B$105="Spinach")*(G$38:G$105="G")*$C$38:$C$105)*$L$11+SUMPRODUCT(($B$38:$B$105="Spinach")*(G$38:G$105="H")*$C$38:$C$105)*$M$11+SUMPRODUCT(($B$38:$B$105="Spinach")*($BG$38:$BG$105=3)*$C$38:$C$105)*$H$11</f>
        <v/>
      </c>
      <c r="H150" s="36">
        <f>SUMPRODUCT(($B$38:$B$105="Spinach")*(H$38:H$105="P")*$C$38:$C$105)*$K$11+SUMPRODUCT(($B$38:$B$105="Spinach")*(H$38:H$105="G")*$C$38:$C$105)*$L$11+SUMPRODUCT(($B$38:$B$105="Spinach")*(H$38:H$105="H")*$C$38:$C$105)*$M$11+SUMPRODUCT(($B$38:$B$105="Spinach")*($BG$38:$BG$105=4)*$C$38:$C$105)*$H$11</f>
        <v/>
      </c>
      <c r="I150" s="36">
        <f>SUMPRODUCT(($B$38:$B$105="Spinach")*(I$38:I$105="P")*$C$38:$C$105)*$K$11+SUMPRODUCT(($B$38:$B$105="Spinach")*(I$38:I$105="G")*$C$38:$C$105)*$L$11+SUMPRODUCT(($B$38:$B$105="Spinach")*(I$38:I$105="H")*$C$38:$C$105)*$M$11+SUMPRODUCT(($B$38:$B$105="Spinach")*($BG$38:$BG$105=5)*$C$38:$C$105)*$H$11</f>
        <v/>
      </c>
      <c r="J150" s="36">
        <f>SUMPRODUCT(($B$38:$B$105="Spinach")*(J$38:J$105="P")*$C$38:$C$105)*$K$11+SUMPRODUCT(($B$38:$B$105="Spinach")*(J$38:J$105="G")*$C$38:$C$105)*$L$11+SUMPRODUCT(($B$38:$B$105="Spinach")*(J$38:J$105="H")*$C$38:$C$105)*$M$11+SUMPRODUCT(($B$38:$B$105="Spinach")*($BG$38:$BG$105=6)*$C$38:$C$105)*$H$11</f>
        <v/>
      </c>
      <c r="K150" s="36">
        <f>SUMPRODUCT(($B$38:$B$105="Spinach")*(K$38:K$105="P")*$C$38:$C$105)*$K$11+SUMPRODUCT(($B$38:$B$105="Spinach")*(K$38:K$105="G")*$C$38:$C$105)*$L$11+SUMPRODUCT(($B$38:$B$105="Spinach")*(K$38:K$105="H")*$C$38:$C$105)*$M$11+SUMPRODUCT(($B$38:$B$105="Spinach")*($BG$38:$BG$105=7)*$C$38:$C$105)*$H$11</f>
        <v/>
      </c>
      <c r="L150" s="36">
        <f>SUMPRODUCT(($B$38:$B$105="Spinach")*(L$38:L$105="P")*$C$38:$C$105)*$K$11+SUMPRODUCT(($B$38:$B$105="Spinach")*(L$38:L$105="G")*$C$38:$C$105)*$L$11+SUMPRODUCT(($B$38:$B$105="Spinach")*(L$38:L$105="H")*$C$38:$C$105)*$M$11+SUMPRODUCT(($B$38:$B$105="Spinach")*($BG$38:$BG$105=8)*$C$38:$C$105)*$H$11</f>
        <v/>
      </c>
      <c r="M150" s="36">
        <f>SUMPRODUCT(($B$38:$B$105="Spinach")*(M$38:M$105="P")*$C$38:$C$105)*$K$11+SUMPRODUCT(($B$38:$B$105="Spinach")*(M$38:M$105="G")*$C$38:$C$105)*$L$11+SUMPRODUCT(($B$38:$B$105="Spinach")*(M$38:M$105="H")*$C$38:$C$105)*$M$11+SUMPRODUCT(($B$38:$B$105="Spinach")*($BG$38:$BG$105=9)*$C$38:$C$105)*$H$11</f>
        <v/>
      </c>
      <c r="N150" s="36">
        <f>SUMPRODUCT(($B$38:$B$105="Spinach")*(N$38:N$105="P")*$C$38:$C$105)*$K$11+SUMPRODUCT(($B$38:$B$105="Spinach")*(N$38:N$105="G")*$C$38:$C$105)*$L$11+SUMPRODUCT(($B$38:$B$105="Spinach")*(N$38:N$105="H")*$C$38:$C$105)*$M$11+SUMPRODUCT(($B$38:$B$105="Spinach")*($BG$38:$BG$105=10)*$C$38:$C$105)*$H$11</f>
        <v/>
      </c>
      <c r="O150" s="36">
        <f>SUMPRODUCT(($B$38:$B$105="Spinach")*(O$38:O$105="P")*$C$38:$C$105)*$K$11+SUMPRODUCT(($B$38:$B$105="Spinach")*(O$38:O$105="G")*$C$38:$C$105)*$L$11+SUMPRODUCT(($B$38:$B$105="Spinach")*(O$38:O$105="H")*$C$38:$C$105)*$M$11+SUMPRODUCT(($B$38:$B$105="Spinach")*($BG$38:$BG$105=11)*$C$38:$C$105)*$H$11</f>
        <v/>
      </c>
      <c r="P150" s="36">
        <f>SUMPRODUCT(($B$38:$B$105="Spinach")*(P$38:P$105="P")*$C$38:$C$105)*$K$11+SUMPRODUCT(($B$38:$B$105="Spinach")*(P$38:P$105="G")*$C$38:$C$105)*$L$11+SUMPRODUCT(($B$38:$B$105="Spinach")*(P$38:P$105="H")*$C$38:$C$105)*$M$11+SUMPRODUCT(($B$38:$B$105="Spinach")*($BG$38:$BG$105=12)*$C$38:$C$105)*$H$11</f>
        <v/>
      </c>
      <c r="Q150" s="36">
        <f>SUMPRODUCT(($B$38:$B$105="Spinach")*(Q$38:Q$105="P")*$C$38:$C$105)*$K$11+SUMPRODUCT(($B$38:$B$105="Spinach")*(Q$38:Q$105="G")*$C$38:$C$105)*$L$11+SUMPRODUCT(($B$38:$B$105="Spinach")*(Q$38:Q$105="H")*$C$38:$C$105)*$M$11+SUMPRODUCT(($B$38:$B$105="Spinach")*($BG$38:$BG$105=13)*$C$38:$C$105)*$H$11</f>
        <v/>
      </c>
      <c r="R150" s="36">
        <f>SUMPRODUCT(($B$38:$B$105="Spinach")*(R$38:R$105="P")*$C$38:$C$105)*$K$11+SUMPRODUCT(($B$38:$B$105="Spinach")*(R$38:R$105="G")*$C$38:$C$105)*$L$11+SUMPRODUCT(($B$38:$B$105="Spinach")*(R$38:R$105="H")*$C$38:$C$105)*$M$11+SUMPRODUCT(($B$38:$B$105="Spinach")*($BG$38:$BG$105=14)*$C$38:$C$105)*$H$11</f>
        <v/>
      </c>
      <c r="S150" s="36">
        <f>SUMPRODUCT(($B$38:$B$105="Spinach")*(S$38:S$105="P")*$C$38:$C$105)*$K$11+SUMPRODUCT(($B$38:$B$105="Spinach")*(S$38:S$105="G")*$C$38:$C$105)*$L$11+SUMPRODUCT(($B$38:$B$105="Spinach")*(S$38:S$105="H")*$C$38:$C$105)*$M$11+SUMPRODUCT(($B$38:$B$105="Spinach")*($BG$38:$BG$105=15)*$C$38:$C$105)*$H$11</f>
        <v/>
      </c>
      <c r="T150" s="36">
        <f>SUMPRODUCT(($B$38:$B$105="Spinach")*(T$38:T$105="P")*$C$38:$C$105)*$K$11+SUMPRODUCT(($B$38:$B$105="Spinach")*(T$38:T$105="G")*$C$38:$C$105)*$L$11+SUMPRODUCT(($B$38:$B$105="Spinach")*(T$38:T$105="H")*$C$38:$C$105)*$M$11+SUMPRODUCT(($B$38:$B$105="Spinach")*($BG$38:$BG$105=16)*$C$38:$C$105)*$H$11</f>
        <v/>
      </c>
      <c r="U150" s="36">
        <f>SUMPRODUCT(($B$38:$B$105="Spinach")*(U$38:U$105="P")*$C$38:$C$105)*$K$11+SUMPRODUCT(($B$38:$B$105="Spinach")*(U$38:U$105="G")*$C$38:$C$105)*$L$11+SUMPRODUCT(($B$38:$B$105="Spinach")*(U$38:U$105="H")*$C$38:$C$105)*$M$11+SUMPRODUCT(($B$38:$B$105="Spinach")*($BG$38:$BG$105=17)*$C$38:$C$105)*$H$11</f>
        <v/>
      </c>
      <c r="V150" s="36">
        <f>SUMPRODUCT(($B$38:$B$105="Spinach")*(V$38:V$105="P")*$C$38:$C$105)*$K$11+SUMPRODUCT(($B$38:$B$105="Spinach")*(V$38:V$105="G")*$C$38:$C$105)*$L$11+SUMPRODUCT(($B$38:$B$105="Spinach")*(V$38:V$105="H")*$C$38:$C$105)*$M$11+SUMPRODUCT(($B$38:$B$105="Spinach")*($BG$38:$BG$105=18)*$C$38:$C$105)*$H$11</f>
        <v/>
      </c>
      <c r="W150" s="36">
        <f>SUMPRODUCT(($B$38:$B$105="Spinach")*(W$38:W$105="P")*$C$38:$C$105)*$K$11+SUMPRODUCT(($B$38:$B$105="Spinach")*(W$38:W$105="G")*$C$38:$C$105)*$L$11+SUMPRODUCT(($B$38:$B$105="Spinach")*(W$38:W$105="H")*$C$38:$C$105)*$M$11+SUMPRODUCT(($B$38:$B$105="Spinach")*($BG$38:$BG$105=19)*$C$38:$C$105)*$H$11</f>
        <v/>
      </c>
      <c r="X150" s="36">
        <f>SUMPRODUCT(($B$38:$B$105="Spinach")*(X$38:X$105="P")*$C$38:$C$105)*$K$11+SUMPRODUCT(($B$38:$B$105="Spinach")*(X$38:X$105="G")*$C$38:$C$105)*$L$11+SUMPRODUCT(($B$38:$B$105="Spinach")*(X$38:X$105="H")*$C$38:$C$105)*$M$11+SUMPRODUCT(($B$38:$B$105="Spinach")*($BG$38:$BG$105=20)*$C$38:$C$105)*$H$11</f>
        <v/>
      </c>
      <c r="Y150" s="36">
        <f>SUMPRODUCT(($B$38:$B$105="Spinach")*(Y$38:Y$105="P")*$C$38:$C$105)*$K$11+SUMPRODUCT(($B$38:$B$105="Spinach")*(Y$38:Y$105="G")*$C$38:$C$105)*$L$11+SUMPRODUCT(($B$38:$B$105="Spinach")*(Y$38:Y$105="H")*$C$38:$C$105)*$M$11+SUMPRODUCT(($B$38:$B$105="Spinach")*($BG$38:$BG$105=21)*$C$38:$C$105)*$H$11</f>
        <v/>
      </c>
      <c r="Z150" s="36">
        <f>SUMPRODUCT(($B$38:$B$105="Spinach")*(Z$38:Z$105="P")*$C$38:$C$105)*$K$11+SUMPRODUCT(($B$38:$B$105="Spinach")*(Z$38:Z$105="G")*$C$38:$C$105)*$L$11+SUMPRODUCT(($B$38:$B$105="Spinach")*(Z$38:Z$105="H")*$C$38:$C$105)*$M$11+SUMPRODUCT(($B$38:$B$105="Spinach")*($BG$38:$BG$105=22)*$C$38:$C$105)*$H$11</f>
        <v/>
      </c>
      <c r="AA150" s="36">
        <f>SUMPRODUCT(($B$38:$B$105="Spinach")*(AA$38:AA$105="P")*$C$38:$C$105)*$K$11+SUMPRODUCT(($B$38:$B$105="Spinach")*(AA$38:AA$105="G")*$C$38:$C$105)*$L$11+SUMPRODUCT(($B$38:$B$105="Spinach")*(AA$38:AA$105="H")*$C$38:$C$105)*$M$11+SUMPRODUCT(($B$38:$B$105="Spinach")*($BG$38:$BG$105=23)*$C$38:$C$105)*$H$11</f>
        <v/>
      </c>
      <c r="AB150" s="36">
        <f>SUMPRODUCT(($B$38:$B$105="Spinach")*(AB$38:AB$105="P")*$C$38:$C$105)*$K$11+SUMPRODUCT(($B$38:$B$105="Spinach")*(AB$38:AB$105="G")*$C$38:$C$105)*$L$11+SUMPRODUCT(($B$38:$B$105="Spinach")*(AB$38:AB$105="H")*$C$38:$C$105)*$M$11+SUMPRODUCT(($B$38:$B$105="Spinach")*($BG$38:$BG$105=24)*$C$38:$C$105)*$H$11</f>
        <v/>
      </c>
      <c r="AC150" s="36">
        <f>SUMPRODUCT(($B$38:$B$105="Spinach")*(AC$38:AC$105="P")*$C$38:$C$105)*$K$11+SUMPRODUCT(($B$38:$B$105="Spinach")*(AC$38:AC$105="G")*$C$38:$C$105)*$L$11+SUMPRODUCT(($B$38:$B$105="Spinach")*(AC$38:AC$105="H")*$C$38:$C$105)*$M$11+SUMPRODUCT(($B$38:$B$105="Spinach")*($BG$38:$BG$105=25)*$C$38:$C$105)*$H$11</f>
        <v/>
      </c>
      <c r="AD150" s="36">
        <f>SUMPRODUCT(($B$38:$B$105="Spinach")*(AD$38:AD$105="P")*$C$38:$C$105)*$K$11+SUMPRODUCT(($B$38:$B$105="Spinach")*(AD$38:AD$105="G")*$C$38:$C$105)*$L$11+SUMPRODUCT(($B$38:$B$105="Spinach")*(AD$38:AD$105="H")*$C$38:$C$105)*$M$11+SUMPRODUCT(($B$38:$B$105="Spinach")*($BG$38:$BG$105=26)*$C$38:$C$105)*$H$11</f>
        <v/>
      </c>
      <c r="AE150" s="36">
        <f>SUMPRODUCT(($B$38:$B$105="Spinach")*(AE$38:AE$105="P")*$C$38:$C$105)*$K$11+SUMPRODUCT(($B$38:$B$105="Spinach")*(AE$38:AE$105="G")*$C$38:$C$105)*$L$11+SUMPRODUCT(($B$38:$B$105="Spinach")*(AE$38:AE$105="H")*$C$38:$C$105)*$M$11+SUMPRODUCT(($B$38:$B$105="Spinach")*($BG$38:$BG$105=27)*$C$38:$C$105)*$H$11</f>
        <v/>
      </c>
      <c r="AF150" s="36">
        <f>SUMPRODUCT(($B$38:$B$105="Spinach")*(AF$38:AF$105="P")*$C$38:$C$105)*$K$11+SUMPRODUCT(($B$38:$B$105="Spinach")*(AF$38:AF$105="G")*$C$38:$C$105)*$L$11+SUMPRODUCT(($B$38:$B$105="Spinach")*(AF$38:AF$105="H")*$C$38:$C$105)*$M$11+SUMPRODUCT(($B$38:$B$105="Spinach")*($BG$38:$BG$105=28)*$C$38:$C$105)*$H$11</f>
        <v/>
      </c>
      <c r="AG150" s="36">
        <f>SUMPRODUCT(($B$38:$B$105="Spinach")*(AG$38:AG$105="P")*$C$38:$C$105)*$K$11+SUMPRODUCT(($B$38:$B$105="Spinach")*(AG$38:AG$105="G")*$C$38:$C$105)*$L$11+SUMPRODUCT(($B$38:$B$105="Spinach")*(AG$38:AG$105="H")*$C$38:$C$105)*$M$11+SUMPRODUCT(($B$38:$B$105="Spinach")*($BG$38:$BG$105=29)*$C$38:$C$105)*$H$11</f>
        <v/>
      </c>
      <c r="AH150" s="36">
        <f>SUMPRODUCT(($B$38:$B$105="Spinach")*(AH$38:AH$105="P")*$C$38:$C$105)*$K$11+SUMPRODUCT(($B$38:$B$105="Spinach")*(AH$38:AH$105="G")*$C$38:$C$105)*$L$11+SUMPRODUCT(($B$38:$B$105="Spinach")*(AH$38:AH$105="H")*$C$38:$C$105)*$M$11+SUMPRODUCT(($B$38:$B$105="Spinach")*($BG$38:$BG$105=30)*$C$38:$C$105)*$H$11</f>
        <v/>
      </c>
      <c r="AI150" s="36">
        <f>SUMPRODUCT(($B$38:$B$105="Spinach")*(AI$38:AI$105="P")*$C$38:$C$105)*$K$11+SUMPRODUCT(($B$38:$B$105="Spinach")*(AI$38:AI$105="G")*$C$38:$C$105)*$L$11+SUMPRODUCT(($B$38:$B$105="Spinach")*(AI$38:AI$105="H")*$C$38:$C$105)*$M$11+SUMPRODUCT(($B$38:$B$105="Spinach")*($BG$38:$BG$105=31)*$C$38:$C$105)*$H$11</f>
        <v/>
      </c>
      <c r="AJ150" s="36">
        <f>SUMPRODUCT(($B$38:$B$105="Spinach")*(AJ$38:AJ$105="P")*$C$38:$C$105)*$K$11+SUMPRODUCT(($B$38:$B$105="Spinach")*(AJ$38:AJ$105="G")*$C$38:$C$105)*$L$11+SUMPRODUCT(($B$38:$B$105="Spinach")*(AJ$38:AJ$105="H")*$C$38:$C$105)*$M$11+SUMPRODUCT(($B$38:$B$105="Spinach")*($BG$38:$BG$105=32)*$C$38:$C$105)*$H$11</f>
        <v/>
      </c>
      <c r="AK150" s="36">
        <f>SUMPRODUCT(($B$38:$B$105="Spinach")*(AK$38:AK$105="P")*$C$38:$C$105)*$K$11+SUMPRODUCT(($B$38:$B$105="Spinach")*(AK$38:AK$105="G")*$C$38:$C$105)*$L$11+SUMPRODUCT(($B$38:$B$105="Spinach")*(AK$38:AK$105="H")*$C$38:$C$105)*$M$11+SUMPRODUCT(($B$38:$B$105="Spinach")*($BG$38:$BG$105=33)*$C$38:$C$105)*$H$11</f>
        <v/>
      </c>
      <c r="AL150" s="36">
        <f>SUMPRODUCT(($B$38:$B$105="Spinach")*(AL$38:AL$105="P")*$C$38:$C$105)*$K$11+SUMPRODUCT(($B$38:$B$105="Spinach")*(AL$38:AL$105="G")*$C$38:$C$105)*$L$11+SUMPRODUCT(($B$38:$B$105="Spinach")*(AL$38:AL$105="H")*$C$38:$C$105)*$M$11+SUMPRODUCT(($B$38:$B$105="Spinach")*($BG$38:$BG$105=34)*$C$38:$C$105)*$H$11</f>
        <v/>
      </c>
      <c r="AM150" s="36">
        <f>SUMPRODUCT(($B$38:$B$105="Spinach")*(AM$38:AM$105="P")*$C$38:$C$105)*$K$11+SUMPRODUCT(($B$38:$B$105="Spinach")*(AM$38:AM$105="G")*$C$38:$C$105)*$L$11+SUMPRODUCT(($B$38:$B$105="Spinach")*(AM$38:AM$105="H")*$C$38:$C$105)*$M$11+SUMPRODUCT(($B$38:$B$105="Spinach")*($BG$38:$BG$105=35)*$C$38:$C$105)*$H$11</f>
        <v/>
      </c>
      <c r="AN150" s="36">
        <f>SUMPRODUCT(($B$38:$B$105="Spinach")*(AN$38:AN$105="P")*$C$38:$C$105)*$K$11+SUMPRODUCT(($B$38:$B$105="Spinach")*(AN$38:AN$105="G")*$C$38:$C$105)*$L$11+SUMPRODUCT(($B$38:$B$105="Spinach")*(AN$38:AN$105="H")*$C$38:$C$105)*$M$11+SUMPRODUCT(($B$38:$B$105="Spinach")*($BG$38:$BG$105=36)*$C$38:$C$105)*$H$11</f>
        <v/>
      </c>
      <c r="AO150" s="36">
        <f>SUMPRODUCT(($B$38:$B$105="Spinach")*(AO$38:AO$105="P")*$C$38:$C$105)*$K$11+SUMPRODUCT(($B$38:$B$105="Spinach")*(AO$38:AO$105="G")*$C$38:$C$105)*$L$11+SUMPRODUCT(($B$38:$B$105="Spinach")*(AO$38:AO$105="H")*$C$38:$C$105)*$M$11+SUMPRODUCT(($B$38:$B$105="Spinach")*($BG$38:$BG$105=37)*$C$38:$C$105)*$H$11</f>
        <v/>
      </c>
      <c r="AP150" s="36">
        <f>SUMPRODUCT(($B$38:$B$105="Spinach")*(AP$38:AP$105="P")*$C$38:$C$105)*$K$11+SUMPRODUCT(($B$38:$B$105="Spinach")*(AP$38:AP$105="G")*$C$38:$C$105)*$L$11+SUMPRODUCT(($B$38:$B$105="Spinach")*(AP$38:AP$105="H")*$C$38:$C$105)*$M$11+SUMPRODUCT(($B$38:$B$105="Spinach")*($BG$38:$BG$105=38)*$C$38:$C$105)*$H$11</f>
        <v/>
      </c>
      <c r="AQ150" s="36">
        <f>SUMPRODUCT(($B$38:$B$105="Spinach")*(AQ$38:AQ$105="P")*$C$38:$C$105)*$K$11+SUMPRODUCT(($B$38:$B$105="Spinach")*(AQ$38:AQ$105="G")*$C$38:$C$105)*$L$11+SUMPRODUCT(($B$38:$B$105="Spinach")*(AQ$38:AQ$105="H")*$C$38:$C$105)*$M$11+SUMPRODUCT(($B$38:$B$105="Spinach")*($BG$38:$BG$105=39)*$C$38:$C$105)*$H$11</f>
        <v/>
      </c>
      <c r="AR150" s="36">
        <f>SUMPRODUCT(($B$38:$B$105="Spinach")*(AR$38:AR$105="P")*$C$38:$C$105)*$K$11+SUMPRODUCT(($B$38:$B$105="Spinach")*(AR$38:AR$105="G")*$C$38:$C$105)*$L$11+SUMPRODUCT(($B$38:$B$105="Spinach")*(AR$38:AR$105="H")*$C$38:$C$105)*$M$11+SUMPRODUCT(($B$38:$B$105="Spinach")*($BG$38:$BG$105=40)*$C$38:$C$105)*$H$11</f>
        <v/>
      </c>
      <c r="AS150" s="36">
        <f>SUMPRODUCT(($B$38:$B$105="Spinach")*(AS$38:AS$105="P")*$C$38:$C$105)*$K$11+SUMPRODUCT(($B$38:$B$105="Spinach")*(AS$38:AS$105="G")*$C$38:$C$105)*$L$11+SUMPRODUCT(($B$38:$B$105="Spinach")*(AS$38:AS$105="H")*$C$38:$C$105)*$M$11+SUMPRODUCT(($B$38:$B$105="Spinach")*($BG$38:$BG$105=41)*$C$38:$C$105)*$H$11</f>
        <v/>
      </c>
      <c r="AT150" s="36">
        <f>SUMPRODUCT(($B$38:$B$105="Spinach")*(AT$38:AT$105="P")*$C$38:$C$105)*$K$11+SUMPRODUCT(($B$38:$B$105="Spinach")*(AT$38:AT$105="G")*$C$38:$C$105)*$L$11+SUMPRODUCT(($B$38:$B$105="Spinach")*(AT$38:AT$105="H")*$C$38:$C$105)*$M$11+SUMPRODUCT(($B$38:$B$105="Spinach")*($BG$38:$BG$105=42)*$C$38:$C$105)*$H$11</f>
        <v/>
      </c>
      <c r="AU150" s="36">
        <f>SUMPRODUCT(($B$38:$B$105="Spinach")*(AU$38:AU$105="P")*$C$38:$C$105)*$K$11+SUMPRODUCT(($B$38:$B$105="Spinach")*(AU$38:AU$105="G")*$C$38:$C$105)*$L$11+SUMPRODUCT(($B$38:$B$105="Spinach")*(AU$38:AU$105="H")*$C$38:$C$105)*$M$11+SUMPRODUCT(($B$38:$B$105="Spinach")*($BG$38:$BG$105=43)*$C$38:$C$105)*$H$11</f>
        <v/>
      </c>
      <c r="AV150" s="36">
        <f>SUMPRODUCT(($B$38:$B$105="Spinach")*(AV$38:AV$105="P")*$C$38:$C$105)*$K$11+SUMPRODUCT(($B$38:$B$105="Spinach")*(AV$38:AV$105="G")*$C$38:$C$105)*$L$11+SUMPRODUCT(($B$38:$B$105="Spinach")*(AV$38:AV$105="H")*$C$38:$C$105)*$M$11+SUMPRODUCT(($B$38:$B$105="Spinach")*($BG$38:$BG$105=44)*$C$38:$C$105)*$H$11</f>
        <v/>
      </c>
      <c r="AW150" s="36">
        <f>SUMPRODUCT(($B$38:$B$105="Spinach")*(AW$38:AW$105="P")*$C$38:$C$105)*$K$11+SUMPRODUCT(($B$38:$B$105="Spinach")*(AW$38:AW$105="G")*$C$38:$C$105)*$L$11+SUMPRODUCT(($B$38:$B$105="Spinach")*(AW$38:AW$105="H")*$C$38:$C$105)*$M$11+SUMPRODUCT(($B$38:$B$105="Spinach")*($BG$38:$BG$105=45)*$C$38:$C$105)*$H$11</f>
        <v/>
      </c>
      <c r="AX150" s="36">
        <f>SUMPRODUCT(($B$38:$B$105="Spinach")*(AX$38:AX$105="P")*$C$38:$C$105)*$K$11+SUMPRODUCT(($B$38:$B$105="Spinach")*(AX$38:AX$105="G")*$C$38:$C$105)*$L$11+SUMPRODUCT(($B$38:$B$105="Spinach")*(AX$38:AX$105="H")*$C$38:$C$105)*$M$11+SUMPRODUCT(($B$38:$B$105="Spinach")*($BG$38:$BG$105=46)*$C$38:$C$105)*$H$11</f>
        <v/>
      </c>
      <c r="AY150" s="36">
        <f>SUMPRODUCT(($B$38:$B$105="Spinach")*(AY$38:AY$105="P")*$C$38:$C$105)*$K$11+SUMPRODUCT(($B$38:$B$105="Spinach")*(AY$38:AY$105="G")*$C$38:$C$105)*$L$11+SUMPRODUCT(($B$38:$B$105="Spinach")*(AY$38:AY$105="H")*$C$38:$C$105)*$M$11+SUMPRODUCT(($B$38:$B$105="Spinach")*($BG$38:$BG$105=47)*$C$38:$C$105)*$H$11</f>
        <v/>
      </c>
      <c r="AZ150" s="36">
        <f>SUMPRODUCT(($B$38:$B$105="Spinach")*(AZ$38:AZ$105="P")*$C$38:$C$105)*$K$11+SUMPRODUCT(($B$38:$B$105="Spinach")*(AZ$38:AZ$105="G")*$C$38:$C$105)*$L$11+SUMPRODUCT(($B$38:$B$105="Spinach")*(AZ$38:AZ$105="H")*$C$38:$C$105)*$M$11+SUMPRODUCT(($B$38:$B$105="Spinach")*($BG$38:$BG$105=48)*$C$38:$C$105)*$H$11</f>
        <v/>
      </c>
      <c r="BA150" s="36">
        <f>SUMPRODUCT(($B$38:$B$105="Spinach")*(BA$38:BA$105="P")*$C$38:$C$105)*$K$11+SUMPRODUCT(($B$38:$B$105="Spinach")*(BA$38:BA$105="G")*$C$38:$C$105)*$L$11+SUMPRODUCT(($B$38:$B$105="Spinach")*(BA$38:BA$105="H")*$C$38:$C$105)*$M$11+SUMPRODUCT(($B$38:$B$105="Spinach")*($BG$38:$BG$105=49)*$C$38:$C$105)*$H$11</f>
        <v/>
      </c>
      <c r="BB150" s="36">
        <f>SUMPRODUCT(($B$38:$B$105="Spinach")*(BB$38:BB$105="P")*$C$38:$C$105)*$K$11+SUMPRODUCT(($B$38:$B$105="Spinach")*(BB$38:BB$105="G")*$C$38:$C$105)*$L$11+SUMPRODUCT(($B$38:$B$105="Spinach")*(BB$38:BB$105="H")*$C$38:$C$105)*$M$11+SUMPRODUCT(($B$38:$B$105="Spinach")*($BG$38:$BG$105=50)*$C$38:$C$105)*$H$11</f>
        <v/>
      </c>
      <c r="BC150" s="36">
        <f>SUMPRODUCT(($B$38:$B$105="Spinach")*(BC$38:BC$105="P")*$C$38:$C$105)*$K$11+SUMPRODUCT(($B$38:$B$105="Spinach")*(BC$38:BC$105="G")*$C$38:$C$105)*$L$11+SUMPRODUCT(($B$38:$B$105="Spinach")*(BC$38:BC$105="H")*$C$38:$C$105)*$M$11+SUMPRODUCT(($B$38:$B$105="Spinach")*($BG$38:$BG$105=51)*$C$38:$C$105)*$H$11</f>
        <v/>
      </c>
      <c r="BD150" s="36">
        <f>SUMPRODUCT(($B$38:$B$105="Spinach")*(BD$38:BD$105="P")*$C$38:$C$105)*$K$11+SUMPRODUCT(($B$38:$B$105="Spinach")*(BD$38:BD$105="G")*$C$38:$C$105)*$L$11+SUMPRODUCT(($B$38:$B$105="Spinach")*(BD$38:BD$105="H")*$C$38:$C$105)*$M$11+SUMPRODUCT(($B$38:$B$105="Spinach")*($BG$38:$BG$105=52)*$C$38:$C$105)*$H$11</f>
        <v/>
      </c>
    </row>
    <row r="151">
      <c r="A151" s="27" t="inlineStr">
        <is>
          <t>Packaging this week</t>
        </is>
      </c>
      <c r="B151" s="2" t="inlineStr">
        <is>
          <t>$</t>
        </is>
      </c>
      <c r="E151" s="36">
        <f>E135*$J$18+E141*$J$19</f>
        <v/>
      </c>
      <c r="F151" s="36">
        <f>F135*$J$18+F141*$J$19</f>
        <v/>
      </c>
      <c r="G151" s="36">
        <f>G135*$J$18+G141*$J$19</f>
        <v/>
      </c>
      <c r="H151" s="36">
        <f>H135*$J$18+H141*$J$19</f>
        <v/>
      </c>
      <c r="I151" s="36">
        <f>I135*$J$18+I141*$J$19</f>
        <v/>
      </c>
      <c r="J151" s="36">
        <f>J135*$J$18+J141*$J$19</f>
        <v/>
      </c>
      <c r="K151" s="36">
        <f>K135*$J$18+K141*$J$19</f>
        <v/>
      </c>
      <c r="L151" s="36">
        <f>L135*$J$18+L141*$J$19</f>
        <v/>
      </c>
      <c r="M151" s="36">
        <f>M135*$J$18+M141*$J$19</f>
        <v/>
      </c>
      <c r="N151" s="36">
        <f>N135*$J$18+N141*$J$19</f>
        <v/>
      </c>
      <c r="O151" s="36">
        <f>O135*$J$18+O141*$J$19</f>
        <v/>
      </c>
      <c r="P151" s="36">
        <f>P135*$J$18+P141*$J$19</f>
        <v/>
      </c>
      <c r="Q151" s="36">
        <f>Q135*$J$18+Q141*$J$19</f>
        <v/>
      </c>
      <c r="R151" s="36">
        <f>R135*$J$18+R141*$J$19</f>
        <v/>
      </c>
      <c r="S151" s="36">
        <f>S135*$J$18+S141*$J$19</f>
        <v/>
      </c>
      <c r="T151" s="36">
        <f>T135*$J$18+T141*$J$19</f>
        <v/>
      </c>
      <c r="U151" s="36">
        <f>U135*$J$18+U141*$J$19</f>
        <v/>
      </c>
      <c r="V151" s="36">
        <f>V135*$J$18+V141*$J$19</f>
        <v/>
      </c>
      <c r="W151" s="36">
        <f>W135*$J$18+W141*$J$19</f>
        <v/>
      </c>
      <c r="X151" s="36">
        <f>X135*$J$18+X141*$J$19</f>
        <v/>
      </c>
      <c r="Y151" s="36">
        <f>Y135*$J$18+Y141*$J$19</f>
        <v/>
      </c>
      <c r="Z151" s="36">
        <f>Z135*$J$18+Z141*$J$19</f>
        <v/>
      </c>
      <c r="AA151" s="36">
        <f>AA135*$J$18+AA141*$J$19</f>
        <v/>
      </c>
      <c r="AB151" s="36">
        <f>AB135*$J$18+AB141*$J$19</f>
        <v/>
      </c>
      <c r="AC151" s="36">
        <f>AC135*$J$18+AC141*$J$19</f>
        <v/>
      </c>
      <c r="AD151" s="36">
        <f>AD135*$J$18+AD141*$J$19</f>
        <v/>
      </c>
      <c r="AE151" s="36">
        <f>AE135*$J$18+AE141*$J$19</f>
        <v/>
      </c>
      <c r="AF151" s="36">
        <f>AF135*$J$18+AF141*$J$19</f>
        <v/>
      </c>
      <c r="AG151" s="36">
        <f>AG135*$J$18+AG141*$J$19</f>
        <v/>
      </c>
      <c r="AH151" s="36">
        <f>AH135*$J$18+AH141*$J$19</f>
        <v/>
      </c>
      <c r="AI151" s="36">
        <f>AI135*$J$18+AI141*$J$19</f>
        <v/>
      </c>
      <c r="AJ151" s="36">
        <f>AJ135*$J$18+AJ141*$J$19</f>
        <v/>
      </c>
      <c r="AK151" s="36">
        <f>AK135*$J$18+AK141*$J$19</f>
        <v/>
      </c>
      <c r="AL151" s="36">
        <f>AL135*$J$18+AL141*$J$19</f>
        <v/>
      </c>
      <c r="AM151" s="36">
        <f>AM135*$J$18+AM141*$J$19</f>
        <v/>
      </c>
      <c r="AN151" s="36">
        <f>AN135*$J$18+AN141*$J$19</f>
        <v/>
      </c>
      <c r="AO151" s="36">
        <f>AO135*$J$18+AO141*$J$19</f>
        <v/>
      </c>
      <c r="AP151" s="36">
        <f>AP135*$J$18+AP141*$J$19</f>
        <v/>
      </c>
      <c r="AQ151" s="36">
        <f>AQ135*$J$18+AQ141*$J$19</f>
        <v/>
      </c>
      <c r="AR151" s="36">
        <f>AR135*$J$18+AR141*$J$19</f>
        <v/>
      </c>
      <c r="AS151" s="36">
        <f>AS135*$J$18+AS141*$J$19</f>
        <v/>
      </c>
      <c r="AT151" s="36">
        <f>AT135*$J$18+AT141*$J$19</f>
        <v/>
      </c>
      <c r="AU151" s="36">
        <f>AU135*$J$18+AU141*$J$19</f>
        <v/>
      </c>
      <c r="AV151" s="36">
        <f>AV135*$J$18+AV141*$J$19</f>
        <v/>
      </c>
      <c r="AW151" s="36">
        <f>AW135*$J$18+AW141*$J$19</f>
        <v/>
      </c>
      <c r="AX151" s="36">
        <f>AX135*$J$18+AX141*$J$19</f>
        <v/>
      </c>
      <c r="AY151" s="36">
        <f>AY135*$J$18+AY141*$J$19</f>
        <v/>
      </c>
      <c r="AZ151" s="36">
        <f>AZ135*$J$18+AZ141*$J$19</f>
        <v/>
      </c>
      <c r="BA151" s="36">
        <f>BA135*$J$18+BA141*$J$19</f>
        <v/>
      </c>
      <c r="BB151" s="36">
        <f>BB135*$J$18+BB141*$J$19</f>
        <v/>
      </c>
      <c r="BC151" s="36">
        <f>BC135*$J$18+BC141*$J$19</f>
        <v/>
      </c>
      <c r="BD151" s="36">
        <f>BD135*$J$18+BD141*$J$19</f>
        <v/>
      </c>
    </row>
    <row r="152">
      <c r="A152" s="4" t="inlineStr">
        <is>
          <t>ROOM OCCUPANCY</t>
        </is>
      </c>
      <c r="B152" s="2" t="inlineStr">
        <is>
          <t>m3</t>
        </is>
      </c>
      <c r="E152" s="45">
        <f>(E130+E129)*$D$11</f>
        <v/>
      </c>
      <c r="F152" s="45">
        <f>(F130+F129)*$D$11</f>
        <v/>
      </c>
      <c r="G152" s="45">
        <f>(G130+G129)*$D$11</f>
        <v/>
      </c>
      <c r="H152" s="45">
        <f>(H130+H129)*$D$11</f>
        <v/>
      </c>
      <c r="I152" s="45">
        <f>(I130+I129)*$D$11</f>
        <v/>
      </c>
      <c r="J152" s="45">
        <f>(J130+J129)*$D$11</f>
        <v/>
      </c>
      <c r="K152" s="45">
        <f>(K130+K129)*$D$11</f>
        <v/>
      </c>
      <c r="L152" s="45">
        <f>(L130+L129)*$D$11</f>
        <v/>
      </c>
      <c r="M152" s="45">
        <f>(M130+M129)*$D$11</f>
        <v/>
      </c>
      <c r="N152" s="45">
        <f>(N130+N129)*$D$11</f>
        <v/>
      </c>
      <c r="O152" s="45">
        <f>(O130+O129)*$D$11</f>
        <v/>
      </c>
      <c r="P152" s="45">
        <f>(P130+P129)*$D$11</f>
        <v/>
      </c>
      <c r="Q152" s="45">
        <f>(Q130+Q129)*$D$11</f>
        <v/>
      </c>
      <c r="R152" s="45">
        <f>(R130+R129)*$D$11</f>
        <v/>
      </c>
      <c r="S152" s="45">
        <f>(S130+S129)*$D$11</f>
        <v/>
      </c>
      <c r="T152" s="45">
        <f>(T130+T129)*$D$11</f>
        <v/>
      </c>
      <c r="U152" s="45">
        <f>(U130+U129)*$D$11</f>
        <v/>
      </c>
      <c r="V152" s="45">
        <f>(V130+V129)*$D$11</f>
        <v/>
      </c>
      <c r="W152" s="45">
        <f>(W130+W129)*$D$11</f>
        <v/>
      </c>
      <c r="X152" s="45">
        <f>(X130+X129)*$D$11</f>
        <v/>
      </c>
      <c r="Y152" s="45">
        <f>(Y130+Y129)*$D$11</f>
        <v/>
      </c>
      <c r="Z152" s="45">
        <f>(Z130+Z129)*$D$11</f>
        <v/>
      </c>
      <c r="AA152" s="45">
        <f>(AA130+AA129)*$D$11</f>
        <v/>
      </c>
      <c r="AB152" s="45">
        <f>(AB130+AB129)*$D$11</f>
        <v/>
      </c>
      <c r="AC152" s="45">
        <f>(AC130+AC129)*$D$11</f>
        <v/>
      </c>
      <c r="AD152" s="45">
        <f>(AD130+AD129)*$D$11</f>
        <v/>
      </c>
      <c r="AE152" s="45">
        <f>(AE130+AE129)*$D$11</f>
        <v/>
      </c>
      <c r="AF152" s="45">
        <f>(AF130+AF129)*$D$11</f>
        <v/>
      </c>
      <c r="AG152" s="45">
        <f>(AG130+AG129)*$D$11</f>
        <v/>
      </c>
      <c r="AH152" s="45">
        <f>(AH130+AH129)*$D$11</f>
        <v/>
      </c>
      <c r="AI152" s="45">
        <f>(AI130+AI129)*$D$11</f>
        <v/>
      </c>
      <c r="AJ152" s="45">
        <f>(AJ130+AJ129)*$D$11</f>
        <v/>
      </c>
      <c r="AK152" s="45">
        <f>(AK130+AK129)*$D$11</f>
        <v/>
      </c>
      <c r="AL152" s="45">
        <f>(AL130+AL129)*$D$11</f>
        <v/>
      </c>
      <c r="AM152" s="45">
        <f>(AM130+AM129)*$D$11</f>
        <v/>
      </c>
      <c r="AN152" s="45">
        <f>(AN130+AN129)*$D$11</f>
        <v/>
      </c>
      <c r="AO152" s="45">
        <f>(AO130+AO129)*$D$11</f>
        <v/>
      </c>
      <c r="AP152" s="45">
        <f>(AP130+AP129)*$D$11</f>
        <v/>
      </c>
      <c r="AQ152" s="45">
        <f>(AQ130+AQ129)*$D$11</f>
        <v/>
      </c>
      <c r="AR152" s="45">
        <f>(AR130+AR129)*$D$11</f>
        <v/>
      </c>
      <c r="AS152" s="45">
        <f>(AS130+AS129)*$D$11</f>
        <v/>
      </c>
      <c r="AT152" s="45">
        <f>(AT130+AT129)*$D$11</f>
        <v/>
      </c>
      <c r="AU152" s="45">
        <f>(AU130+AU129)*$D$11</f>
        <v/>
      </c>
      <c r="AV152" s="45">
        <f>(AV130+AV129)*$D$11</f>
        <v/>
      </c>
      <c r="AW152" s="45">
        <f>(AW130+AW129)*$D$11</f>
        <v/>
      </c>
      <c r="AX152" s="45">
        <f>(AX130+AX129)*$D$11</f>
        <v/>
      </c>
      <c r="AY152" s="45">
        <f>(AY130+AY129)*$D$11</f>
        <v/>
      </c>
      <c r="AZ152" s="45">
        <f>(AZ130+AZ129)*$D$11</f>
        <v/>
      </c>
      <c r="BA152" s="45">
        <f>(BA130+BA129)*$D$11</f>
        <v/>
      </c>
      <c r="BB152" s="45">
        <f>(BB130+BB129)*$D$11</f>
        <v/>
      </c>
      <c r="BC152" s="45">
        <f>(BC130+BC129)*$D$11</f>
        <v/>
      </c>
      <c r="BD152" s="45">
        <f>(BD130+BD129)*$D$11</f>
        <v/>
      </c>
    </row>
    <row r="154">
      <c r="A154" s="3" t="inlineStr">
        <is>
          <t>KALE  —  cold store</t>
        </is>
      </c>
      <c r="B154" s="37" t="inlineStr"/>
    </row>
    <row r="155">
      <c r="A155" s="22" t="inlineStr">
        <is>
          <t>Week</t>
        </is>
      </c>
      <c r="B155" s="33" t="inlineStr"/>
      <c r="E155" s="25" t="n">
        <v>1</v>
      </c>
      <c r="F155" s="25" t="n">
        <v>2</v>
      </c>
      <c r="G155" s="25" t="n">
        <v>3</v>
      </c>
      <c r="H155" s="25" t="n">
        <v>4</v>
      </c>
      <c r="I155" s="25" t="n">
        <v>5</v>
      </c>
      <c r="J155" s="25" t="n">
        <v>6</v>
      </c>
      <c r="K155" s="25" t="n">
        <v>7</v>
      </c>
      <c r="L155" s="25" t="n">
        <v>8</v>
      </c>
      <c r="M155" s="25" t="n">
        <v>9</v>
      </c>
      <c r="N155" s="25" t="n">
        <v>10</v>
      </c>
      <c r="O155" s="25" t="n">
        <v>11</v>
      </c>
      <c r="P155" s="25" t="n">
        <v>12</v>
      </c>
      <c r="Q155" s="25" t="n">
        <v>13</v>
      </c>
      <c r="R155" s="25" t="n">
        <v>14</v>
      </c>
      <c r="S155" s="25" t="n">
        <v>15</v>
      </c>
      <c r="T155" s="25" t="n">
        <v>16</v>
      </c>
      <c r="U155" s="25" t="n">
        <v>17</v>
      </c>
      <c r="V155" s="25" t="n">
        <v>18</v>
      </c>
      <c r="W155" s="25" t="n">
        <v>19</v>
      </c>
      <c r="X155" s="25" t="n">
        <v>20</v>
      </c>
      <c r="Y155" s="25" t="n">
        <v>21</v>
      </c>
      <c r="Z155" s="25" t="n">
        <v>22</v>
      </c>
      <c r="AA155" s="25" t="n">
        <v>23</v>
      </c>
      <c r="AB155" s="25" t="n">
        <v>24</v>
      </c>
      <c r="AC155" s="25" t="n">
        <v>25</v>
      </c>
      <c r="AD155" s="25" t="n">
        <v>26</v>
      </c>
      <c r="AE155" s="25" t="n">
        <v>27</v>
      </c>
      <c r="AF155" s="25" t="n">
        <v>28</v>
      </c>
      <c r="AG155" s="25" t="n">
        <v>29</v>
      </c>
      <c r="AH155" s="25" t="n">
        <v>30</v>
      </c>
      <c r="AI155" s="25" t="n">
        <v>31</v>
      </c>
      <c r="AJ155" s="25" t="n">
        <v>32</v>
      </c>
      <c r="AK155" s="25" t="n">
        <v>33</v>
      </c>
      <c r="AL155" s="25" t="n">
        <v>34</v>
      </c>
      <c r="AM155" s="25" t="n">
        <v>35</v>
      </c>
      <c r="AN155" s="25" t="n">
        <v>36</v>
      </c>
      <c r="AO155" s="25" t="n">
        <v>37</v>
      </c>
      <c r="AP155" s="25" t="n">
        <v>38</v>
      </c>
      <c r="AQ155" s="25" t="n">
        <v>39</v>
      </c>
      <c r="AR155" s="25" t="n">
        <v>40</v>
      </c>
      <c r="AS155" s="25" t="n">
        <v>41</v>
      </c>
      <c r="AT155" s="25" t="n">
        <v>42</v>
      </c>
      <c r="AU155" s="25" t="n">
        <v>43</v>
      </c>
      <c r="AV155" s="25" t="n">
        <v>44</v>
      </c>
      <c r="AW155" s="25" t="n">
        <v>45</v>
      </c>
      <c r="AX155" s="25" t="n">
        <v>46</v>
      </c>
      <c r="AY155" s="25" t="n">
        <v>47</v>
      </c>
      <c r="AZ155" s="25" t="n">
        <v>48</v>
      </c>
      <c r="BA155" s="25" t="n">
        <v>49</v>
      </c>
      <c r="BB155" s="25" t="n">
        <v>50</v>
      </c>
      <c r="BC155" s="25" t="n">
        <v>51</v>
      </c>
      <c r="BD155" s="25" t="n">
        <v>52</v>
      </c>
    </row>
    <row r="156">
      <c r="A156" s="4" t="inlineStr">
        <is>
          <t>Packed out -&gt; INTO the store</t>
        </is>
      </c>
      <c r="B156" s="2" t="inlineStr">
        <is>
          <t>lb</t>
        </is>
      </c>
      <c r="E156" s="36">
        <f>SUMPRODUCT(($B$38:$B$105="Kale")*(E$38:E$105="H")*$C$38:$C$105)*$B$12/$J$12*$C$12</f>
        <v/>
      </c>
      <c r="F156" s="36">
        <f>SUMPRODUCT(($B$38:$B$105="Kale")*(F$38:F$105="H")*$C$38:$C$105)*$B$12/$J$12*$C$12</f>
        <v/>
      </c>
      <c r="G156" s="36">
        <f>SUMPRODUCT(($B$38:$B$105="Kale")*(G$38:G$105="H")*$C$38:$C$105)*$B$12/$J$12*$C$12</f>
        <v/>
      </c>
      <c r="H156" s="36">
        <f>SUMPRODUCT(($B$38:$B$105="Kale")*(H$38:H$105="H")*$C$38:$C$105)*$B$12/$J$12*$C$12</f>
        <v/>
      </c>
      <c r="I156" s="36">
        <f>SUMPRODUCT(($B$38:$B$105="Kale")*(I$38:I$105="H")*$C$38:$C$105)*$B$12/$J$12*$C$12</f>
        <v/>
      </c>
      <c r="J156" s="36">
        <f>SUMPRODUCT(($B$38:$B$105="Kale")*(J$38:J$105="H")*$C$38:$C$105)*$B$12/$J$12*$C$12</f>
        <v/>
      </c>
      <c r="K156" s="36">
        <f>SUMPRODUCT(($B$38:$B$105="Kale")*(K$38:K$105="H")*$C$38:$C$105)*$B$12/$J$12*$C$12</f>
        <v/>
      </c>
      <c r="L156" s="36">
        <f>SUMPRODUCT(($B$38:$B$105="Kale")*(L$38:L$105="H")*$C$38:$C$105)*$B$12/$J$12*$C$12</f>
        <v/>
      </c>
      <c r="M156" s="36">
        <f>SUMPRODUCT(($B$38:$B$105="Kale")*(M$38:M$105="H")*$C$38:$C$105)*$B$12/$J$12*$C$12</f>
        <v/>
      </c>
      <c r="N156" s="36">
        <f>SUMPRODUCT(($B$38:$B$105="Kale")*(N$38:N$105="H")*$C$38:$C$105)*$B$12/$J$12*$C$12</f>
        <v/>
      </c>
      <c r="O156" s="36">
        <f>SUMPRODUCT(($B$38:$B$105="Kale")*(O$38:O$105="H")*$C$38:$C$105)*$B$12/$J$12*$C$12</f>
        <v/>
      </c>
      <c r="P156" s="36">
        <f>SUMPRODUCT(($B$38:$B$105="Kale")*(P$38:P$105="H")*$C$38:$C$105)*$B$12/$J$12*$C$12</f>
        <v/>
      </c>
      <c r="Q156" s="36">
        <f>SUMPRODUCT(($B$38:$B$105="Kale")*(Q$38:Q$105="H")*$C$38:$C$105)*$B$12/$J$12*$C$12</f>
        <v/>
      </c>
      <c r="R156" s="36">
        <f>SUMPRODUCT(($B$38:$B$105="Kale")*(R$38:R$105="H")*$C$38:$C$105)*$B$12/$J$12*$C$12</f>
        <v/>
      </c>
      <c r="S156" s="36">
        <f>SUMPRODUCT(($B$38:$B$105="Kale")*(S$38:S$105="H")*$C$38:$C$105)*$B$12/$J$12*$C$12</f>
        <v/>
      </c>
      <c r="T156" s="36">
        <f>SUMPRODUCT(($B$38:$B$105="Kale")*(T$38:T$105="H")*$C$38:$C$105)*$B$12/$J$12*$C$12</f>
        <v/>
      </c>
      <c r="U156" s="36">
        <f>SUMPRODUCT(($B$38:$B$105="Kale")*(U$38:U$105="H")*$C$38:$C$105)*$B$12/$J$12*$C$12</f>
        <v/>
      </c>
      <c r="V156" s="36">
        <f>SUMPRODUCT(($B$38:$B$105="Kale")*(V$38:V$105="H")*$C$38:$C$105)*$B$12/$J$12*$C$12</f>
        <v/>
      </c>
      <c r="W156" s="36">
        <f>SUMPRODUCT(($B$38:$B$105="Kale")*(W$38:W$105="H")*$C$38:$C$105)*$B$12/$J$12*$C$12</f>
        <v/>
      </c>
      <c r="X156" s="36">
        <f>SUMPRODUCT(($B$38:$B$105="Kale")*(X$38:X$105="H")*$C$38:$C$105)*$B$12/$J$12*$C$12</f>
        <v/>
      </c>
      <c r="Y156" s="36">
        <f>SUMPRODUCT(($B$38:$B$105="Kale")*(Y$38:Y$105="H")*$C$38:$C$105)*$B$12/$J$12*$C$12</f>
        <v/>
      </c>
      <c r="Z156" s="36">
        <f>SUMPRODUCT(($B$38:$B$105="Kale")*(Z$38:Z$105="H")*$C$38:$C$105)*$B$12/$J$12*$C$12</f>
        <v/>
      </c>
      <c r="AA156" s="36">
        <f>SUMPRODUCT(($B$38:$B$105="Kale")*(AA$38:AA$105="H")*$C$38:$C$105)*$B$12/$J$12*$C$12</f>
        <v/>
      </c>
      <c r="AB156" s="36">
        <f>SUMPRODUCT(($B$38:$B$105="Kale")*(AB$38:AB$105="H")*$C$38:$C$105)*$B$12/$J$12*$C$12</f>
        <v/>
      </c>
      <c r="AC156" s="36">
        <f>SUMPRODUCT(($B$38:$B$105="Kale")*(AC$38:AC$105="H")*$C$38:$C$105)*$B$12/$J$12*$C$12</f>
        <v/>
      </c>
      <c r="AD156" s="36">
        <f>SUMPRODUCT(($B$38:$B$105="Kale")*(AD$38:AD$105="H")*$C$38:$C$105)*$B$12/$J$12*$C$12</f>
        <v/>
      </c>
      <c r="AE156" s="36">
        <f>SUMPRODUCT(($B$38:$B$105="Kale")*(AE$38:AE$105="H")*$C$38:$C$105)*$B$12/$J$12*$C$12</f>
        <v/>
      </c>
      <c r="AF156" s="36">
        <f>SUMPRODUCT(($B$38:$B$105="Kale")*(AF$38:AF$105="H")*$C$38:$C$105)*$B$12/$J$12*$C$12</f>
        <v/>
      </c>
      <c r="AG156" s="36">
        <f>SUMPRODUCT(($B$38:$B$105="Kale")*(AG$38:AG$105="H")*$C$38:$C$105)*$B$12/$J$12*$C$12</f>
        <v/>
      </c>
      <c r="AH156" s="36">
        <f>SUMPRODUCT(($B$38:$B$105="Kale")*(AH$38:AH$105="H")*$C$38:$C$105)*$B$12/$J$12*$C$12</f>
        <v/>
      </c>
      <c r="AI156" s="36">
        <f>SUMPRODUCT(($B$38:$B$105="Kale")*(AI$38:AI$105="H")*$C$38:$C$105)*$B$12/$J$12*$C$12</f>
        <v/>
      </c>
      <c r="AJ156" s="36">
        <f>SUMPRODUCT(($B$38:$B$105="Kale")*(AJ$38:AJ$105="H")*$C$38:$C$105)*$B$12/$J$12*$C$12</f>
        <v/>
      </c>
      <c r="AK156" s="36">
        <f>SUMPRODUCT(($B$38:$B$105="Kale")*(AK$38:AK$105="H")*$C$38:$C$105)*$B$12/$J$12*$C$12</f>
        <v/>
      </c>
      <c r="AL156" s="36">
        <f>SUMPRODUCT(($B$38:$B$105="Kale")*(AL$38:AL$105="H")*$C$38:$C$105)*$B$12/$J$12*$C$12</f>
        <v/>
      </c>
      <c r="AM156" s="36">
        <f>SUMPRODUCT(($B$38:$B$105="Kale")*(AM$38:AM$105="H")*$C$38:$C$105)*$B$12/$J$12*$C$12</f>
        <v/>
      </c>
      <c r="AN156" s="36">
        <f>SUMPRODUCT(($B$38:$B$105="Kale")*(AN$38:AN$105="H")*$C$38:$C$105)*$B$12/$J$12*$C$12</f>
        <v/>
      </c>
      <c r="AO156" s="36">
        <f>SUMPRODUCT(($B$38:$B$105="Kale")*(AO$38:AO$105="H")*$C$38:$C$105)*$B$12/$J$12*$C$12</f>
        <v/>
      </c>
      <c r="AP156" s="36">
        <f>SUMPRODUCT(($B$38:$B$105="Kale")*(AP$38:AP$105="H")*$C$38:$C$105)*$B$12/$J$12*$C$12</f>
        <v/>
      </c>
      <c r="AQ156" s="36">
        <f>SUMPRODUCT(($B$38:$B$105="Kale")*(AQ$38:AQ$105="H")*$C$38:$C$105)*$B$12/$J$12*$C$12</f>
        <v/>
      </c>
      <c r="AR156" s="36">
        <f>SUMPRODUCT(($B$38:$B$105="Kale")*(AR$38:AR$105="H")*$C$38:$C$105)*$B$12/$J$12*$C$12</f>
        <v/>
      </c>
      <c r="AS156" s="36">
        <f>SUMPRODUCT(($B$38:$B$105="Kale")*(AS$38:AS$105="H")*$C$38:$C$105)*$B$12/$J$12*$C$12</f>
        <v/>
      </c>
      <c r="AT156" s="36">
        <f>SUMPRODUCT(($B$38:$B$105="Kale")*(AT$38:AT$105="H")*$C$38:$C$105)*$B$12/$J$12*$C$12</f>
        <v/>
      </c>
      <c r="AU156" s="36">
        <f>SUMPRODUCT(($B$38:$B$105="Kale")*(AU$38:AU$105="H")*$C$38:$C$105)*$B$12/$J$12*$C$12</f>
        <v/>
      </c>
      <c r="AV156" s="36">
        <f>SUMPRODUCT(($B$38:$B$105="Kale")*(AV$38:AV$105="H")*$C$38:$C$105)*$B$12/$J$12*$C$12</f>
        <v/>
      </c>
      <c r="AW156" s="36">
        <f>SUMPRODUCT(($B$38:$B$105="Kale")*(AW$38:AW$105="H")*$C$38:$C$105)*$B$12/$J$12*$C$12</f>
        <v/>
      </c>
      <c r="AX156" s="36">
        <f>SUMPRODUCT(($B$38:$B$105="Kale")*(AX$38:AX$105="H")*$C$38:$C$105)*$B$12/$J$12*$C$12</f>
        <v/>
      </c>
      <c r="AY156" s="36">
        <f>SUMPRODUCT(($B$38:$B$105="Kale")*(AY$38:AY$105="H")*$C$38:$C$105)*$B$12/$J$12*$C$12</f>
        <v/>
      </c>
      <c r="AZ156" s="36">
        <f>SUMPRODUCT(($B$38:$B$105="Kale")*(AZ$38:AZ$105="H")*$C$38:$C$105)*$B$12/$J$12*$C$12</f>
        <v/>
      </c>
      <c r="BA156" s="36">
        <f>SUMPRODUCT(($B$38:$B$105="Kale")*(BA$38:BA$105="H")*$C$38:$C$105)*$B$12/$J$12*$C$12</f>
        <v/>
      </c>
      <c r="BB156" s="36">
        <f>SUMPRODUCT(($B$38:$B$105="Kale")*(BB$38:BB$105="H")*$C$38:$C$105)*$B$12/$J$12*$C$12</f>
        <v/>
      </c>
      <c r="BC156" s="36">
        <f>SUMPRODUCT(($B$38:$B$105="Kale")*(BC$38:BC$105="H")*$C$38:$C$105)*$B$12/$J$12*$C$12</f>
        <v/>
      </c>
      <c r="BD156" s="36">
        <f>SUMPRODUCT(($B$38:$B$105="Kale")*(BD$38:BD$105="H")*$C$38:$C$105)*$B$12/$J$12*$C$12</f>
        <v/>
      </c>
    </row>
    <row r="157">
      <c r="A157" s="27" t="inlineStr">
        <is>
          <t>Stock carried in</t>
        </is>
      </c>
      <c r="B157" s="2" t="inlineStr">
        <is>
          <t>lb</t>
        </is>
      </c>
      <c r="E157" s="36" t="n">
        <v>0</v>
      </c>
      <c r="F157" s="36">
        <f>E174</f>
        <v/>
      </c>
      <c r="G157" s="36">
        <f>F174</f>
        <v/>
      </c>
      <c r="H157" s="36">
        <f>G174</f>
        <v/>
      </c>
      <c r="I157" s="36">
        <f>H174</f>
        <v/>
      </c>
      <c r="J157" s="36">
        <f>I174</f>
        <v/>
      </c>
      <c r="K157" s="36">
        <f>J174</f>
        <v/>
      </c>
      <c r="L157" s="36">
        <f>K174</f>
        <v/>
      </c>
      <c r="M157" s="36">
        <f>L174</f>
        <v/>
      </c>
      <c r="N157" s="36">
        <f>M174</f>
        <v/>
      </c>
      <c r="O157" s="36">
        <f>N174</f>
        <v/>
      </c>
      <c r="P157" s="36">
        <f>O174</f>
        <v/>
      </c>
      <c r="Q157" s="36">
        <f>P174</f>
        <v/>
      </c>
      <c r="R157" s="36">
        <f>Q174</f>
        <v/>
      </c>
      <c r="S157" s="36">
        <f>R174</f>
        <v/>
      </c>
      <c r="T157" s="36">
        <f>S174</f>
        <v/>
      </c>
      <c r="U157" s="36">
        <f>T174</f>
        <v/>
      </c>
      <c r="V157" s="36">
        <f>U174</f>
        <v/>
      </c>
      <c r="W157" s="36">
        <f>V174</f>
        <v/>
      </c>
      <c r="X157" s="36">
        <f>W174</f>
        <v/>
      </c>
      <c r="Y157" s="36">
        <f>X174</f>
        <v/>
      </c>
      <c r="Z157" s="36">
        <f>Y174</f>
        <v/>
      </c>
      <c r="AA157" s="36">
        <f>Z174</f>
        <v/>
      </c>
      <c r="AB157" s="36">
        <f>AA174</f>
        <v/>
      </c>
      <c r="AC157" s="36">
        <f>AB174</f>
        <v/>
      </c>
      <c r="AD157" s="36">
        <f>AC174</f>
        <v/>
      </c>
      <c r="AE157" s="36">
        <f>AD174</f>
        <v/>
      </c>
      <c r="AF157" s="36">
        <f>AE174</f>
        <v/>
      </c>
      <c r="AG157" s="36">
        <f>AF174</f>
        <v/>
      </c>
      <c r="AH157" s="36">
        <f>AG174</f>
        <v/>
      </c>
      <c r="AI157" s="36">
        <f>AH174</f>
        <v/>
      </c>
      <c r="AJ157" s="36">
        <f>AI174</f>
        <v/>
      </c>
      <c r="AK157" s="36">
        <f>AJ174</f>
        <v/>
      </c>
      <c r="AL157" s="36">
        <f>AK174</f>
        <v/>
      </c>
      <c r="AM157" s="36">
        <f>AL174</f>
        <v/>
      </c>
      <c r="AN157" s="36">
        <f>AM174</f>
        <v/>
      </c>
      <c r="AO157" s="36">
        <f>AN174</f>
        <v/>
      </c>
      <c r="AP157" s="36">
        <f>AO174</f>
        <v/>
      </c>
      <c r="AQ157" s="36">
        <f>AP174</f>
        <v/>
      </c>
      <c r="AR157" s="36">
        <f>AQ174</f>
        <v/>
      </c>
      <c r="AS157" s="36">
        <f>AR174</f>
        <v/>
      </c>
      <c r="AT157" s="36">
        <f>AS174</f>
        <v/>
      </c>
      <c r="AU157" s="36">
        <f>AT174</f>
        <v/>
      </c>
      <c r="AV157" s="36">
        <f>AU174</f>
        <v/>
      </c>
      <c r="AW157" s="36">
        <f>AV174</f>
        <v/>
      </c>
      <c r="AX157" s="36">
        <f>AW174</f>
        <v/>
      </c>
      <c r="AY157" s="36">
        <f>AX174</f>
        <v/>
      </c>
      <c r="AZ157" s="36">
        <f>AY174</f>
        <v/>
      </c>
      <c r="BA157" s="36">
        <f>AZ174</f>
        <v/>
      </c>
      <c r="BB157" s="36">
        <f>BA174</f>
        <v/>
      </c>
      <c r="BC157" s="36">
        <f>BB174</f>
        <v/>
      </c>
      <c r="BD157" s="36">
        <f>BC174</f>
        <v/>
      </c>
    </row>
    <row r="158">
      <c r="A158" s="27" t="inlineStr">
        <is>
          <t xml:space="preserve">   lost to shrink</t>
        </is>
      </c>
      <c r="B158" s="2" t="inlineStr">
        <is>
          <t>lb</t>
        </is>
      </c>
      <c r="E158" s="36">
        <f>E157*$G$12</f>
        <v/>
      </c>
      <c r="F158" s="36">
        <f>F157*$G$12</f>
        <v/>
      </c>
      <c r="G158" s="36">
        <f>G157*$G$12</f>
        <v/>
      </c>
      <c r="H158" s="36">
        <f>H157*$G$12</f>
        <v/>
      </c>
      <c r="I158" s="36">
        <f>I157*$G$12</f>
        <v/>
      </c>
      <c r="J158" s="36">
        <f>J157*$G$12</f>
        <v/>
      </c>
      <c r="K158" s="36">
        <f>K157*$G$12</f>
        <v/>
      </c>
      <c r="L158" s="36">
        <f>L157*$G$12</f>
        <v/>
      </c>
      <c r="M158" s="36">
        <f>M157*$G$12</f>
        <v/>
      </c>
      <c r="N158" s="36">
        <f>N157*$G$12</f>
        <v/>
      </c>
      <c r="O158" s="36">
        <f>O157*$G$12</f>
        <v/>
      </c>
      <c r="P158" s="36">
        <f>P157*$G$12</f>
        <v/>
      </c>
      <c r="Q158" s="36">
        <f>Q157*$G$12</f>
        <v/>
      </c>
      <c r="R158" s="36">
        <f>R157*$G$12</f>
        <v/>
      </c>
      <c r="S158" s="36">
        <f>S157*$G$12</f>
        <v/>
      </c>
      <c r="T158" s="36">
        <f>T157*$G$12</f>
        <v/>
      </c>
      <c r="U158" s="36">
        <f>U157*$G$12</f>
        <v/>
      </c>
      <c r="V158" s="36">
        <f>V157*$G$12</f>
        <v/>
      </c>
      <c r="W158" s="36">
        <f>W157*$G$12</f>
        <v/>
      </c>
      <c r="X158" s="36">
        <f>X157*$G$12</f>
        <v/>
      </c>
      <c r="Y158" s="36">
        <f>Y157*$G$12</f>
        <v/>
      </c>
      <c r="Z158" s="36">
        <f>Z157*$G$12</f>
        <v/>
      </c>
      <c r="AA158" s="36">
        <f>AA157*$G$12</f>
        <v/>
      </c>
      <c r="AB158" s="36">
        <f>AB157*$G$12</f>
        <v/>
      </c>
      <c r="AC158" s="36">
        <f>AC157*$G$12</f>
        <v/>
      </c>
      <c r="AD158" s="36">
        <f>AD157*$G$12</f>
        <v/>
      </c>
      <c r="AE158" s="36">
        <f>AE157*$G$12</f>
        <v/>
      </c>
      <c r="AF158" s="36">
        <f>AF157*$G$12</f>
        <v/>
      </c>
      <c r="AG158" s="36">
        <f>AG157*$G$12</f>
        <v/>
      </c>
      <c r="AH158" s="36">
        <f>AH157*$G$12</f>
        <v/>
      </c>
      <c r="AI158" s="36">
        <f>AI157*$G$12</f>
        <v/>
      </c>
      <c r="AJ158" s="36">
        <f>AJ157*$G$12</f>
        <v/>
      </c>
      <c r="AK158" s="36">
        <f>AK157*$G$12</f>
        <v/>
      </c>
      <c r="AL158" s="36">
        <f>AL157*$G$12</f>
        <v/>
      </c>
      <c r="AM158" s="36">
        <f>AM157*$G$12</f>
        <v/>
      </c>
      <c r="AN158" s="36">
        <f>AN157*$G$12</f>
        <v/>
      </c>
      <c r="AO158" s="36">
        <f>AO157*$G$12</f>
        <v/>
      </c>
      <c r="AP158" s="36">
        <f>AP157*$G$12</f>
        <v/>
      </c>
      <c r="AQ158" s="36">
        <f>AQ157*$G$12</f>
        <v/>
      </c>
      <c r="AR158" s="36">
        <f>AR157*$G$12</f>
        <v/>
      </c>
      <c r="AS158" s="36">
        <f>AS157*$G$12</f>
        <v/>
      </c>
      <c r="AT158" s="36">
        <f>AT157*$G$12</f>
        <v/>
      </c>
      <c r="AU158" s="36">
        <f>AU157*$G$12</f>
        <v/>
      </c>
      <c r="AV158" s="36">
        <f>AV157*$G$12</f>
        <v/>
      </c>
      <c r="AW158" s="36">
        <f>AW157*$G$12</f>
        <v/>
      </c>
      <c r="AX158" s="36">
        <f>AX157*$G$12</f>
        <v/>
      </c>
      <c r="AY158" s="36">
        <f>AY157*$G$12</f>
        <v/>
      </c>
      <c r="AZ158" s="36">
        <f>AZ157*$G$12</f>
        <v/>
      </c>
      <c r="BA158" s="36">
        <f>BA157*$G$12</f>
        <v/>
      </c>
      <c r="BB158" s="36">
        <f>BB157*$G$12</f>
        <v/>
      </c>
      <c r="BC158" s="36">
        <f>BC157*$G$12</f>
        <v/>
      </c>
      <c r="BD158" s="36">
        <f>BD157*$G$12</f>
        <v/>
      </c>
    </row>
    <row r="159">
      <c r="A159" s="4" t="inlineStr">
        <is>
          <t>In store this week</t>
        </is>
      </c>
      <c r="B159" s="2" t="inlineStr">
        <is>
          <t>lb</t>
        </is>
      </c>
      <c r="E159" s="36">
        <f>E157-E158+E156</f>
        <v/>
      </c>
      <c r="F159" s="36">
        <f>F157-F158+F156</f>
        <v/>
      </c>
      <c r="G159" s="36">
        <f>G157-G158+G156</f>
        <v/>
      </c>
      <c r="H159" s="36">
        <f>H157-H158+H156</f>
        <v/>
      </c>
      <c r="I159" s="36">
        <f>I157-I158+I156</f>
        <v/>
      </c>
      <c r="J159" s="36">
        <f>J157-J158+J156</f>
        <v/>
      </c>
      <c r="K159" s="36">
        <f>K157-K158+K156</f>
        <v/>
      </c>
      <c r="L159" s="36">
        <f>L157-L158+L156</f>
        <v/>
      </c>
      <c r="M159" s="36">
        <f>M157-M158+M156</f>
        <v/>
      </c>
      <c r="N159" s="36">
        <f>N157-N158+N156</f>
        <v/>
      </c>
      <c r="O159" s="36">
        <f>O157-O158+O156</f>
        <v/>
      </c>
      <c r="P159" s="36">
        <f>P157-P158+P156</f>
        <v/>
      </c>
      <c r="Q159" s="36">
        <f>Q157-Q158+Q156</f>
        <v/>
      </c>
      <c r="R159" s="36">
        <f>R157-R158+R156</f>
        <v/>
      </c>
      <c r="S159" s="36">
        <f>S157-S158+S156</f>
        <v/>
      </c>
      <c r="T159" s="36">
        <f>T157-T158+T156</f>
        <v/>
      </c>
      <c r="U159" s="36">
        <f>U157-U158+U156</f>
        <v/>
      </c>
      <c r="V159" s="36">
        <f>V157-V158+V156</f>
        <v/>
      </c>
      <c r="W159" s="36">
        <f>W157-W158+W156</f>
        <v/>
      </c>
      <c r="X159" s="36">
        <f>X157-X158+X156</f>
        <v/>
      </c>
      <c r="Y159" s="36">
        <f>Y157-Y158+Y156</f>
        <v/>
      </c>
      <c r="Z159" s="36">
        <f>Z157-Z158+Z156</f>
        <v/>
      </c>
      <c r="AA159" s="36">
        <f>AA157-AA158+AA156</f>
        <v/>
      </c>
      <c r="AB159" s="36">
        <f>AB157-AB158+AB156</f>
        <v/>
      </c>
      <c r="AC159" s="36">
        <f>AC157-AC158+AC156</f>
        <v/>
      </c>
      <c r="AD159" s="36">
        <f>AD157-AD158+AD156</f>
        <v/>
      </c>
      <c r="AE159" s="36">
        <f>AE157-AE158+AE156</f>
        <v/>
      </c>
      <c r="AF159" s="36">
        <f>AF157-AF158+AF156</f>
        <v/>
      </c>
      <c r="AG159" s="36">
        <f>AG157-AG158+AG156</f>
        <v/>
      </c>
      <c r="AH159" s="36">
        <f>AH157-AH158+AH156</f>
        <v/>
      </c>
      <c r="AI159" s="36">
        <f>AI157-AI158+AI156</f>
        <v/>
      </c>
      <c r="AJ159" s="36">
        <f>AJ157-AJ158+AJ156</f>
        <v/>
      </c>
      <c r="AK159" s="36">
        <f>AK157-AK158+AK156</f>
        <v/>
      </c>
      <c r="AL159" s="36">
        <f>AL157-AL158+AL156</f>
        <v/>
      </c>
      <c r="AM159" s="36">
        <f>AM157-AM158+AM156</f>
        <v/>
      </c>
      <c r="AN159" s="36">
        <f>AN157-AN158+AN156</f>
        <v/>
      </c>
      <c r="AO159" s="36">
        <f>AO157-AO158+AO156</f>
        <v/>
      </c>
      <c r="AP159" s="36">
        <f>AP157-AP158+AP156</f>
        <v/>
      </c>
      <c r="AQ159" s="36">
        <f>AQ157-AQ158+AQ156</f>
        <v/>
      </c>
      <c r="AR159" s="36">
        <f>AR157-AR158+AR156</f>
        <v/>
      </c>
      <c r="AS159" s="36">
        <f>AS157-AS158+AS156</f>
        <v/>
      </c>
      <c r="AT159" s="36">
        <f>AT157-AT158+AT156</f>
        <v/>
      </c>
      <c r="AU159" s="36">
        <f>AU157-AU158+AU156</f>
        <v/>
      </c>
      <c r="AV159" s="36">
        <f>AV157-AV158+AV156</f>
        <v/>
      </c>
      <c r="AW159" s="36">
        <f>AW157-AW158+AW156</f>
        <v/>
      </c>
      <c r="AX159" s="36">
        <f>AX157-AX158+AX156</f>
        <v/>
      </c>
      <c r="AY159" s="36">
        <f>AY157-AY158+AY156</f>
        <v/>
      </c>
      <c r="AZ159" s="36">
        <f>AZ157-AZ158+AZ156</f>
        <v/>
      </c>
      <c r="BA159" s="36">
        <f>BA157-BA158+BA156</f>
        <v/>
      </c>
      <c r="BB159" s="36">
        <f>BB157-BB158+BB156</f>
        <v/>
      </c>
      <c r="BC159" s="36">
        <f>BC157-BC158+BC156</f>
        <v/>
      </c>
      <c r="BD159" s="36">
        <f>BD157-BD158+BD156</f>
        <v/>
      </c>
    </row>
    <row r="160">
      <c r="A160" s="38" t="inlineStr">
        <is>
          <t>Farmers Market — most you may sell this week</t>
        </is>
      </c>
      <c r="B160" s="2" t="inlineStr">
        <is>
          <t>lb</t>
        </is>
      </c>
      <c r="E160" s="39">
        <f>IF($C$20="Annual",$D$20-0,IF(AND(1&gt;=$E$20,1&lt;=$F$20),$D$20,0))</f>
        <v/>
      </c>
      <c r="F160" s="39">
        <f>IF($C$20="Annual",$D$20-SUM(E162:E162),IF(AND(2&gt;=$E$20,2&lt;=$F$20),$D$20,0))</f>
        <v/>
      </c>
      <c r="G160" s="39">
        <f>IF($C$20="Annual",$D$20-SUM(E162:F162),IF(AND(3&gt;=$E$20,3&lt;=$F$20),$D$20,0))</f>
        <v/>
      </c>
      <c r="H160" s="39">
        <f>IF($C$20="Annual",$D$20-SUM(E162:G162),IF(AND(4&gt;=$E$20,4&lt;=$F$20),$D$20,0))</f>
        <v/>
      </c>
      <c r="I160" s="39">
        <f>IF($C$20="Annual",$D$20-SUM(E162:H162),IF(AND(5&gt;=$E$20,5&lt;=$F$20),$D$20,0))</f>
        <v/>
      </c>
      <c r="J160" s="39">
        <f>IF($C$20="Annual",$D$20-SUM(E162:I162),IF(AND(6&gt;=$E$20,6&lt;=$F$20),$D$20,0))</f>
        <v/>
      </c>
      <c r="K160" s="39">
        <f>IF($C$20="Annual",$D$20-SUM(E162:J162),IF(AND(7&gt;=$E$20,7&lt;=$F$20),$D$20,0))</f>
        <v/>
      </c>
      <c r="L160" s="39">
        <f>IF($C$20="Annual",$D$20-SUM(E162:K162),IF(AND(8&gt;=$E$20,8&lt;=$F$20),$D$20,0))</f>
        <v/>
      </c>
      <c r="M160" s="39">
        <f>IF($C$20="Annual",$D$20-SUM(E162:L162),IF(AND(9&gt;=$E$20,9&lt;=$F$20),$D$20,0))</f>
        <v/>
      </c>
      <c r="N160" s="39">
        <f>IF($C$20="Annual",$D$20-SUM(E162:M162),IF(AND(10&gt;=$E$20,10&lt;=$F$20),$D$20,0))</f>
        <v/>
      </c>
      <c r="O160" s="39">
        <f>IF($C$20="Annual",$D$20-SUM(E162:N162),IF(AND(11&gt;=$E$20,11&lt;=$F$20),$D$20,0))</f>
        <v/>
      </c>
      <c r="P160" s="39">
        <f>IF($C$20="Annual",$D$20-SUM(E162:O162),IF(AND(12&gt;=$E$20,12&lt;=$F$20),$D$20,0))</f>
        <v/>
      </c>
      <c r="Q160" s="39">
        <f>IF($C$20="Annual",$D$20-SUM(E162:P162),IF(AND(13&gt;=$E$20,13&lt;=$F$20),$D$20,0))</f>
        <v/>
      </c>
      <c r="R160" s="39">
        <f>IF($C$20="Annual",$D$20-SUM(E162:Q162),IF(AND(14&gt;=$E$20,14&lt;=$F$20),$D$20,0))</f>
        <v/>
      </c>
      <c r="S160" s="39">
        <f>IF($C$20="Annual",$D$20-SUM(E162:R162),IF(AND(15&gt;=$E$20,15&lt;=$F$20),$D$20,0))</f>
        <v/>
      </c>
      <c r="T160" s="39">
        <f>IF($C$20="Annual",$D$20-SUM(E162:S162),IF(AND(16&gt;=$E$20,16&lt;=$F$20),$D$20,0))</f>
        <v/>
      </c>
      <c r="U160" s="39">
        <f>IF($C$20="Annual",$D$20-SUM(E162:T162),IF(AND(17&gt;=$E$20,17&lt;=$F$20),$D$20,0))</f>
        <v/>
      </c>
      <c r="V160" s="39">
        <f>IF($C$20="Annual",$D$20-SUM(E162:U162),IF(AND(18&gt;=$E$20,18&lt;=$F$20),$D$20,0))</f>
        <v/>
      </c>
      <c r="W160" s="39">
        <f>IF($C$20="Annual",$D$20-SUM(E162:V162),IF(AND(19&gt;=$E$20,19&lt;=$F$20),$D$20,0))</f>
        <v/>
      </c>
      <c r="X160" s="39">
        <f>IF($C$20="Annual",$D$20-SUM(E162:W162),IF(AND(20&gt;=$E$20,20&lt;=$F$20),$D$20,0))</f>
        <v/>
      </c>
      <c r="Y160" s="39">
        <f>IF($C$20="Annual",$D$20-SUM(E162:X162),IF(AND(21&gt;=$E$20,21&lt;=$F$20),$D$20,0))</f>
        <v/>
      </c>
      <c r="Z160" s="39">
        <f>IF($C$20="Annual",$D$20-SUM(E162:Y162),IF(AND(22&gt;=$E$20,22&lt;=$F$20),$D$20,0))</f>
        <v/>
      </c>
      <c r="AA160" s="39">
        <f>IF($C$20="Annual",$D$20-SUM(E162:Z162),IF(AND(23&gt;=$E$20,23&lt;=$F$20),$D$20,0))</f>
        <v/>
      </c>
      <c r="AB160" s="39">
        <f>IF($C$20="Annual",$D$20-SUM(E162:AA162),IF(AND(24&gt;=$E$20,24&lt;=$F$20),$D$20,0))</f>
        <v/>
      </c>
      <c r="AC160" s="39">
        <f>IF($C$20="Annual",$D$20-SUM(E162:AB162),IF(AND(25&gt;=$E$20,25&lt;=$F$20),$D$20,0))</f>
        <v/>
      </c>
      <c r="AD160" s="39">
        <f>IF($C$20="Annual",$D$20-SUM(E162:AC162),IF(AND(26&gt;=$E$20,26&lt;=$F$20),$D$20,0))</f>
        <v/>
      </c>
      <c r="AE160" s="39">
        <f>IF($C$20="Annual",$D$20-SUM(E162:AD162),IF(AND(27&gt;=$E$20,27&lt;=$F$20),$D$20,0))</f>
        <v/>
      </c>
      <c r="AF160" s="39">
        <f>IF($C$20="Annual",$D$20-SUM(E162:AE162),IF(AND(28&gt;=$E$20,28&lt;=$F$20),$D$20,0))</f>
        <v/>
      </c>
      <c r="AG160" s="39">
        <f>IF($C$20="Annual",$D$20-SUM(E162:AF162),IF(AND(29&gt;=$E$20,29&lt;=$F$20),$D$20,0))</f>
        <v/>
      </c>
      <c r="AH160" s="39">
        <f>IF($C$20="Annual",$D$20-SUM(E162:AG162),IF(AND(30&gt;=$E$20,30&lt;=$F$20),$D$20,0))</f>
        <v/>
      </c>
      <c r="AI160" s="39">
        <f>IF($C$20="Annual",$D$20-SUM(E162:AH162),IF(AND(31&gt;=$E$20,31&lt;=$F$20),$D$20,0))</f>
        <v/>
      </c>
      <c r="AJ160" s="39">
        <f>IF($C$20="Annual",$D$20-SUM(E162:AI162),IF(AND(32&gt;=$E$20,32&lt;=$F$20),$D$20,0))</f>
        <v/>
      </c>
      <c r="AK160" s="39">
        <f>IF($C$20="Annual",$D$20-SUM(E162:AJ162),IF(AND(33&gt;=$E$20,33&lt;=$F$20),$D$20,0))</f>
        <v/>
      </c>
      <c r="AL160" s="39">
        <f>IF($C$20="Annual",$D$20-SUM(E162:AK162),IF(AND(34&gt;=$E$20,34&lt;=$F$20),$D$20,0))</f>
        <v/>
      </c>
      <c r="AM160" s="39">
        <f>IF($C$20="Annual",$D$20-SUM(E162:AL162),IF(AND(35&gt;=$E$20,35&lt;=$F$20),$D$20,0))</f>
        <v/>
      </c>
      <c r="AN160" s="39">
        <f>IF($C$20="Annual",$D$20-SUM(E162:AM162),IF(AND(36&gt;=$E$20,36&lt;=$F$20),$D$20,0))</f>
        <v/>
      </c>
      <c r="AO160" s="39">
        <f>IF($C$20="Annual",$D$20-SUM(E162:AN162),IF(AND(37&gt;=$E$20,37&lt;=$F$20),$D$20,0))</f>
        <v/>
      </c>
      <c r="AP160" s="39">
        <f>IF($C$20="Annual",$D$20-SUM(E162:AO162),IF(AND(38&gt;=$E$20,38&lt;=$F$20),$D$20,0))</f>
        <v/>
      </c>
      <c r="AQ160" s="39">
        <f>IF($C$20="Annual",$D$20-SUM(E162:AP162),IF(AND(39&gt;=$E$20,39&lt;=$F$20),$D$20,0))</f>
        <v/>
      </c>
      <c r="AR160" s="39">
        <f>IF($C$20="Annual",$D$20-SUM(E162:AQ162),IF(AND(40&gt;=$E$20,40&lt;=$F$20),$D$20,0))</f>
        <v/>
      </c>
      <c r="AS160" s="39">
        <f>IF($C$20="Annual",$D$20-SUM(E162:AR162),IF(AND(41&gt;=$E$20,41&lt;=$F$20),$D$20,0))</f>
        <v/>
      </c>
      <c r="AT160" s="39">
        <f>IF($C$20="Annual",$D$20-SUM(E162:AS162),IF(AND(42&gt;=$E$20,42&lt;=$F$20),$D$20,0))</f>
        <v/>
      </c>
      <c r="AU160" s="39">
        <f>IF($C$20="Annual",$D$20-SUM(E162:AT162),IF(AND(43&gt;=$E$20,43&lt;=$F$20),$D$20,0))</f>
        <v/>
      </c>
      <c r="AV160" s="39">
        <f>IF($C$20="Annual",$D$20-SUM(E162:AU162),IF(AND(44&gt;=$E$20,44&lt;=$F$20),$D$20,0))</f>
        <v/>
      </c>
      <c r="AW160" s="39">
        <f>IF($C$20="Annual",$D$20-SUM(E162:AV162),IF(AND(45&gt;=$E$20,45&lt;=$F$20),$D$20,0))</f>
        <v/>
      </c>
      <c r="AX160" s="39">
        <f>IF($C$20="Annual",$D$20-SUM(E162:AW162),IF(AND(46&gt;=$E$20,46&lt;=$F$20),$D$20,0))</f>
        <v/>
      </c>
      <c r="AY160" s="39">
        <f>IF($C$20="Annual",$D$20-SUM(E162:AX162),IF(AND(47&gt;=$E$20,47&lt;=$F$20),$D$20,0))</f>
        <v/>
      </c>
      <c r="AZ160" s="39">
        <f>IF($C$20="Annual",$D$20-SUM(E162:AY162),IF(AND(48&gt;=$E$20,48&lt;=$F$20),$D$20,0))</f>
        <v/>
      </c>
      <c r="BA160" s="39">
        <f>IF($C$20="Annual",$D$20-SUM(E162:AZ162),IF(AND(49&gt;=$E$20,49&lt;=$F$20),$D$20,0))</f>
        <v/>
      </c>
      <c r="BB160" s="39">
        <f>IF($C$20="Annual",$D$20-SUM(E162:BA162),IF(AND(50&gt;=$E$20,50&lt;=$F$20),$D$20,0))</f>
        <v/>
      </c>
      <c r="BC160" s="39">
        <f>IF($C$20="Annual",$D$20-SUM(E162:BB162),IF(AND(51&gt;=$E$20,51&lt;=$F$20),$D$20,0))</f>
        <v/>
      </c>
      <c r="BD160" s="39">
        <f>IF($C$20="Annual",$D$20-SUM(E162:BC162),IF(AND(52&gt;=$E$20,52&lt;=$F$20),$D$20,0))</f>
        <v/>
      </c>
    </row>
    <row r="161">
      <c r="A161" s="23" t="inlineStr">
        <is>
          <t>Farmers Market — OFFERED</t>
        </is>
      </c>
      <c r="B161" s="2" t="inlineStr">
        <is>
          <t>lb  &lt;-- SOLVER</t>
        </is>
      </c>
      <c r="E161" s="40" t="n">
        <v>0</v>
      </c>
      <c r="F161" s="40" t="n">
        <v>0</v>
      </c>
      <c r="G161" s="40" t="n">
        <v>0</v>
      </c>
      <c r="H161" s="40" t="n">
        <v>0</v>
      </c>
      <c r="I161" s="40" t="n">
        <v>0</v>
      </c>
      <c r="J161" s="40" t="n">
        <v>0</v>
      </c>
      <c r="K161" s="40" t="n">
        <v>0</v>
      </c>
      <c r="L161" s="40" t="n">
        <v>0</v>
      </c>
      <c r="M161" s="40" t="n">
        <v>0</v>
      </c>
      <c r="N161" s="40" t="n">
        <v>0</v>
      </c>
      <c r="O161" s="40" t="n">
        <v>0</v>
      </c>
      <c r="P161" s="40" t="n">
        <v>0</v>
      </c>
      <c r="Q161" s="40" t="n">
        <v>0</v>
      </c>
      <c r="R161" s="40" t="n">
        <v>0</v>
      </c>
      <c r="S161" s="40" t="n">
        <v>0</v>
      </c>
      <c r="T161" s="40" t="n">
        <v>0</v>
      </c>
      <c r="U161" s="40" t="n">
        <v>0</v>
      </c>
      <c r="V161" s="40" t="n">
        <v>0</v>
      </c>
      <c r="W161" s="40" t="n">
        <v>0</v>
      </c>
      <c r="X161" s="40" t="n">
        <v>0</v>
      </c>
      <c r="Y161" s="40" t="n">
        <v>0</v>
      </c>
      <c r="Z161" s="40" t="n">
        <v>0</v>
      </c>
      <c r="AA161" s="40" t="n">
        <v>0</v>
      </c>
      <c r="AB161" s="40" t="n">
        <v>0</v>
      </c>
      <c r="AC161" s="40" t="n">
        <v>0</v>
      </c>
      <c r="AD161" s="40" t="n">
        <v>0</v>
      </c>
      <c r="AE161" s="40" t="n">
        <v>0</v>
      </c>
      <c r="AF161" s="40" t="n">
        <v>0</v>
      </c>
      <c r="AG161" s="40" t="n">
        <v>0</v>
      </c>
      <c r="AH161" s="40" t="n">
        <v>0</v>
      </c>
      <c r="AI161" s="40" t="n">
        <v>0</v>
      </c>
      <c r="AJ161" s="40" t="n">
        <v>0</v>
      </c>
      <c r="AK161" s="40" t="n">
        <v>0</v>
      </c>
      <c r="AL161" s="40" t="n">
        <v>0</v>
      </c>
      <c r="AM161" s="40" t="n">
        <v>0</v>
      </c>
      <c r="AN161" s="40" t="n">
        <v>0</v>
      </c>
      <c r="AO161" s="40" t="n">
        <v>0</v>
      </c>
      <c r="AP161" s="40" t="n">
        <v>0</v>
      </c>
      <c r="AQ161" s="40" t="n">
        <v>0</v>
      </c>
      <c r="AR161" s="40" t="n">
        <v>0</v>
      </c>
      <c r="AS161" s="40" t="n">
        <v>0</v>
      </c>
      <c r="AT161" s="40" t="n">
        <v>0</v>
      </c>
      <c r="AU161" s="40" t="n">
        <v>0</v>
      </c>
      <c r="AV161" s="40" t="n">
        <v>0</v>
      </c>
      <c r="AW161" s="40" t="n">
        <v>0</v>
      </c>
      <c r="AX161" s="40" t="n">
        <v>0</v>
      </c>
      <c r="AY161" s="40" t="n">
        <v>0</v>
      </c>
      <c r="AZ161" s="40" t="n">
        <v>0</v>
      </c>
      <c r="BA161" s="40" t="n">
        <v>0</v>
      </c>
      <c r="BB161" s="40" t="n">
        <v>0</v>
      </c>
      <c r="BC161" s="40" t="n">
        <v>0</v>
      </c>
      <c r="BD161" s="40" t="n">
        <v>0</v>
      </c>
    </row>
    <row r="162">
      <c r="A162" s="41" t="inlineStr">
        <is>
          <t>Farmers Market — SOLD</t>
        </is>
      </c>
      <c r="B162" s="2" t="inlineStr">
        <is>
          <t>lb</t>
        </is>
      </c>
      <c r="E162" s="39">
        <f>E161*$G$20</f>
        <v/>
      </c>
      <c r="F162" s="39">
        <f>F161*$G$20</f>
        <v/>
      </c>
      <c r="G162" s="39">
        <f>G161*$G$20</f>
        <v/>
      </c>
      <c r="H162" s="39">
        <f>H161*$G$20</f>
        <v/>
      </c>
      <c r="I162" s="39">
        <f>I161*$G$20</f>
        <v/>
      </c>
      <c r="J162" s="39">
        <f>J161*$G$20</f>
        <v/>
      </c>
      <c r="K162" s="39">
        <f>K161*$G$20</f>
        <v/>
      </c>
      <c r="L162" s="39">
        <f>L161*$G$20</f>
        <v/>
      </c>
      <c r="M162" s="39">
        <f>M161*$G$20</f>
        <v/>
      </c>
      <c r="N162" s="39">
        <f>N161*$G$20</f>
        <v/>
      </c>
      <c r="O162" s="39">
        <f>O161*$G$20</f>
        <v/>
      </c>
      <c r="P162" s="39">
        <f>P161*$G$20</f>
        <v/>
      </c>
      <c r="Q162" s="39">
        <f>Q161*$G$20</f>
        <v/>
      </c>
      <c r="R162" s="39">
        <f>R161*$G$20</f>
        <v/>
      </c>
      <c r="S162" s="39">
        <f>S161*$G$20</f>
        <v/>
      </c>
      <c r="T162" s="39">
        <f>T161*$G$20</f>
        <v/>
      </c>
      <c r="U162" s="39">
        <f>U161*$G$20</f>
        <v/>
      </c>
      <c r="V162" s="39">
        <f>V161*$G$20</f>
        <v/>
      </c>
      <c r="W162" s="39">
        <f>W161*$G$20</f>
        <v/>
      </c>
      <c r="X162" s="39">
        <f>X161*$G$20</f>
        <v/>
      </c>
      <c r="Y162" s="39">
        <f>Y161*$G$20</f>
        <v/>
      </c>
      <c r="Z162" s="39">
        <f>Z161*$G$20</f>
        <v/>
      </c>
      <c r="AA162" s="39">
        <f>AA161*$G$20</f>
        <v/>
      </c>
      <c r="AB162" s="39">
        <f>AB161*$G$20</f>
        <v/>
      </c>
      <c r="AC162" s="39">
        <f>AC161*$G$20</f>
        <v/>
      </c>
      <c r="AD162" s="39">
        <f>AD161*$G$20</f>
        <v/>
      </c>
      <c r="AE162" s="39">
        <f>AE161*$G$20</f>
        <v/>
      </c>
      <c r="AF162" s="39">
        <f>AF161*$G$20</f>
        <v/>
      </c>
      <c r="AG162" s="39">
        <f>AG161*$G$20</f>
        <v/>
      </c>
      <c r="AH162" s="39">
        <f>AH161*$G$20</f>
        <v/>
      </c>
      <c r="AI162" s="39">
        <f>AI161*$G$20</f>
        <v/>
      </c>
      <c r="AJ162" s="39">
        <f>AJ161*$G$20</f>
        <v/>
      </c>
      <c r="AK162" s="39">
        <f>AK161*$G$20</f>
        <v/>
      </c>
      <c r="AL162" s="39">
        <f>AL161*$G$20</f>
        <v/>
      </c>
      <c r="AM162" s="39">
        <f>AM161*$G$20</f>
        <v/>
      </c>
      <c r="AN162" s="39">
        <f>AN161*$G$20</f>
        <v/>
      </c>
      <c r="AO162" s="39">
        <f>AO161*$G$20</f>
        <v/>
      </c>
      <c r="AP162" s="39">
        <f>AP161*$G$20</f>
        <v/>
      </c>
      <c r="AQ162" s="39">
        <f>AQ161*$G$20</f>
        <v/>
      </c>
      <c r="AR162" s="39">
        <f>AR161*$G$20</f>
        <v/>
      </c>
      <c r="AS162" s="39">
        <f>AS161*$G$20</f>
        <v/>
      </c>
      <c r="AT162" s="39">
        <f>AT161*$G$20</f>
        <v/>
      </c>
      <c r="AU162" s="39">
        <f>AU161*$G$20</f>
        <v/>
      </c>
      <c r="AV162" s="39">
        <f>AV161*$G$20</f>
        <v/>
      </c>
      <c r="AW162" s="39">
        <f>AW161*$G$20</f>
        <v/>
      </c>
      <c r="AX162" s="39">
        <f>AX161*$G$20</f>
        <v/>
      </c>
      <c r="AY162" s="39">
        <f>AY161*$G$20</f>
        <v/>
      </c>
      <c r="AZ162" s="39">
        <f>AZ161*$G$20</f>
        <v/>
      </c>
      <c r="BA162" s="39">
        <f>BA161*$G$20</f>
        <v/>
      </c>
      <c r="BB162" s="39">
        <f>BB161*$G$20</f>
        <v/>
      </c>
      <c r="BC162" s="39">
        <f>BC161*$G$20</f>
        <v/>
      </c>
      <c r="BD162" s="39">
        <f>BD161*$G$20</f>
        <v/>
      </c>
    </row>
    <row r="163">
      <c r="A163" s="27" t="inlineStr">
        <is>
          <t xml:space="preserve">   market loss (gone)</t>
        </is>
      </c>
      <c r="B163" s="2" t="inlineStr">
        <is>
          <t>lb</t>
        </is>
      </c>
      <c r="E163" s="36">
        <f>(E161-E162)*(1-$H$20)</f>
        <v/>
      </c>
      <c r="F163" s="36">
        <f>(F161-F162)*(1-$H$20)</f>
        <v/>
      </c>
      <c r="G163" s="36">
        <f>(G161-G162)*(1-$H$20)</f>
        <v/>
      </c>
      <c r="H163" s="36">
        <f>(H161-H162)*(1-$H$20)</f>
        <v/>
      </c>
      <c r="I163" s="36">
        <f>(I161-I162)*(1-$H$20)</f>
        <v/>
      </c>
      <c r="J163" s="36">
        <f>(J161-J162)*(1-$H$20)</f>
        <v/>
      </c>
      <c r="K163" s="36">
        <f>(K161-K162)*(1-$H$20)</f>
        <v/>
      </c>
      <c r="L163" s="36">
        <f>(L161-L162)*(1-$H$20)</f>
        <v/>
      </c>
      <c r="M163" s="36">
        <f>(M161-M162)*(1-$H$20)</f>
        <v/>
      </c>
      <c r="N163" s="36">
        <f>(N161-N162)*(1-$H$20)</f>
        <v/>
      </c>
      <c r="O163" s="36">
        <f>(O161-O162)*(1-$H$20)</f>
        <v/>
      </c>
      <c r="P163" s="36">
        <f>(P161-P162)*(1-$H$20)</f>
        <v/>
      </c>
      <c r="Q163" s="36">
        <f>(Q161-Q162)*(1-$H$20)</f>
        <v/>
      </c>
      <c r="R163" s="36">
        <f>(R161-R162)*(1-$H$20)</f>
        <v/>
      </c>
      <c r="S163" s="36">
        <f>(S161-S162)*(1-$H$20)</f>
        <v/>
      </c>
      <c r="T163" s="36">
        <f>(T161-T162)*(1-$H$20)</f>
        <v/>
      </c>
      <c r="U163" s="36">
        <f>(U161-U162)*(1-$H$20)</f>
        <v/>
      </c>
      <c r="V163" s="36">
        <f>(V161-V162)*(1-$H$20)</f>
        <v/>
      </c>
      <c r="W163" s="36">
        <f>(W161-W162)*(1-$H$20)</f>
        <v/>
      </c>
      <c r="X163" s="36">
        <f>(X161-X162)*(1-$H$20)</f>
        <v/>
      </c>
      <c r="Y163" s="36">
        <f>(Y161-Y162)*(1-$H$20)</f>
        <v/>
      </c>
      <c r="Z163" s="36">
        <f>(Z161-Z162)*(1-$H$20)</f>
        <v/>
      </c>
      <c r="AA163" s="36">
        <f>(AA161-AA162)*(1-$H$20)</f>
        <v/>
      </c>
      <c r="AB163" s="36">
        <f>(AB161-AB162)*(1-$H$20)</f>
        <v/>
      </c>
      <c r="AC163" s="36">
        <f>(AC161-AC162)*(1-$H$20)</f>
        <v/>
      </c>
      <c r="AD163" s="36">
        <f>(AD161-AD162)*(1-$H$20)</f>
        <v/>
      </c>
      <c r="AE163" s="36">
        <f>(AE161-AE162)*(1-$H$20)</f>
        <v/>
      </c>
      <c r="AF163" s="36">
        <f>(AF161-AF162)*(1-$H$20)</f>
        <v/>
      </c>
      <c r="AG163" s="36">
        <f>(AG161-AG162)*(1-$H$20)</f>
        <v/>
      </c>
      <c r="AH163" s="36">
        <f>(AH161-AH162)*(1-$H$20)</f>
        <v/>
      </c>
      <c r="AI163" s="36">
        <f>(AI161-AI162)*(1-$H$20)</f>
        <v/>
      </c>
      <c r="AJ163" s="36">
        <f>(AJ161-AJ162)*(1-$H$20)</f>
        <v/>
      </c>
      <c r="AK163" s="36">
        <f>(AK161-AK162)*(1-$H$20)</f>
        <v/>
      </c>
      <c r="AL163" s="36">
        <f>(AL161-AL162)*(1-$H$20)</f>
        <v/>
      </c>
      <c r="AM163" s="36">
        <f>(AM161-AM162)*(1-$H$20)</f>
        <v/>
      </c>
      <c r="AN163" s="36">
        <f>(AN161-AN162)*(1-$H$20)</f>
        <v/>
      </c>
      <c r="AO163" s="36">
        <f>(AO161-AO162)*(1-$H$20)</f>
        <v/>
      </c>
      <c r="AP163" s="36">
        <f>(AP161-AP162)*(1-$H$20)</f>
        <v/>
      </c>
      <c r="AQ163" s="36">
        <f>(AQ161-AQ162)*(1-$H$20)</f>
        <v/>
      </c>
      <c r="AR163" s="36">
        <f>(AR161-AR162)*(1-$H$20)</f>
        <v/>
      </c>
      <c r="AS163" s="36">
        <f>(AS161-AS162)*(1-$H$20)</f>
        <v/>
      </c>
      <c r="AT163" s="36">
        <f>(AT161-AT162)*(1-$H$20)</f>
        <v/>
      </c>
      <c r="AU163" s="36">
        <f>(AU161-AU162)*(1-$H$20)</f>
        <v/>
      </c>
      <c r="AV163" s="36">
        <f>(AV161-AV162)*(1-$H$20)</f>
        <v/>
      </c>
      <c r="AW163" s="36">
        <f>(AW161-AW162)*(1-$H$20)</f>
        <v/>
      </c>
      <c r="AX163" s="36">
        <f>(AX161-AX162)*(1-$H$20)</f>
        <v/>
      </c>
      <c r="AY163" s="36">
        <f>(AY161-AY162)*(1-$H$20)</f>
        <v/>
      </c>
      <c r="AZ163" s="36">
        <f>(AZ161-AZ162)*(1-$H$20)</f>
        <v/>
      </c>
      <c r="BA163" s="36">
        <f>(BA161-BA162)*(1-$H$20)</f>
        <v/>
      </c>
      <c r="BB163" s="36">
        <f>(BB161-BB162)*(1-$H$20)</f>
        <v/>
      </c>
      <c r="BC163" s="36">
        <f>(BC161-BC162)*(1-$H$20)</f>
        <v/>
      </c>
      <c r="BD163" s="36">
        <f>(BD161-BD162)*(1-$H$20)</f>
        <v/>
      </c>
    </row>
    <row r="164">
      <c r="A164" s="27" t="inlineStr">
        <is>
          <t xml:space="preserve">   returned to store</t>
        </is>
      </c>
      <c r="B164" s="2" t="inlineStr">
        <is>
          <t>lb</t>
        </is>
      </c>
      <c r="E164" s="36">
        <f>(E161-E162)*$H$20</f>
        <v/>
      </c>
      <c r="F164" s="36">
        <f>(F161-F162)*$H$20</f>
        <v/>
      </c>
      <c r="G164" s="36">
        <f>(G161-G162)*$H$20</f>
        <v/>
      </c>
      <c r="H164" s="36">
        <f>(H161-H162)*$H$20</f>
        <v/>
      </c>
      <c r="I164" s="36">
        <f>(I161-I162)*$H$20</f>
        <v/>
      </c>
      <c r="J164" s="36">
        <f>(J161-J162)*$H$20</f>
        <v/>
      </c>
      <c r="K164" s="36">
        <f>(K161-K162)*$H$20</f>
        <v/>
      </c>
      <c r="L164" s="36">
        <f>(L161-L162)*$H$20</f>
        <v/>
      </c>
      <c r="M164" s="36">
        <f>(M161-M162)*$H$20</f>
        <v/>
      </c>
      <c r="N164" s="36">
        <f>(N161-N162)*$H$20</f>
        <v/>
      </c>
      <c r="O164" s="36">
        <f>(O161-O162)*$H$20</f>
        <v/>
      </c>
      <c r="P164" s="36">
        <f>(P161-P162)*$H$20</f>
        <v/>
      </c>
      <c r="Q164" s="36">
        <f>(Q161-Q162)*$H$20</f>
        <v/>
      </c>
      <c r="R164" s="36">
        <f>(R161-R162)*$H$20</f>
        <v/>
      </c>
      <c r="S164" s="36">
        <f>(S161-S162)*$H$20</f>
        <v/>
      </c>
      <c r="T164" s="36">
        <f>(T161-T162)*$H$20</f>
        <v/>
      </c>
      <c r="U164" s="36">
        <f>(U161-U162)*$H$20</f>
        <v/>
      </c>
      <c r="V164" s="36">
        <f>(V161-V162)*$H$20</f>
        <v/>
      </c>
      <c r="W164" s="36">
        <f>(W161-W162)*$H$20</f>
        <v/>
      </c>
      <c r="X164" s="36">
        <f>(X161-X162)*$H$20</f>
        <v/>
      </c>
      <c r="Y164" s="36">
        <f>(Y161-Y162)*$H$20</f>
        <v/>
      </c>
      <c r="Z164" s="36">
        <f>(Z161-Z162)*$H$20</f>
        <v/>
      </c>
      <c r="AA164" s="36">
        <f>(AA161-AA162)*$H$20</f>
        <v/>
      </c>
      <c r="AB164" s="36">
        <f>(AB161-AB162)*$H$20</f>
        <v/>
      </c>
      <c r="AC164" s="36">
        <f>(AC161-AC162)*$H$20</f>
        <v/>
      </c>
      <c r="AD164" s="36">
        <f>(AD161-AD162)*$H$20</f>
        <v/>
      </c>
      <c r="AE164" s="36">
        <f>(AE161-AE162)*$H$20</f>
        <v/>
      </c>
      <c r="AF164" s="36">
        <f>(AF161-AF162)*$H$20</f>
        <v/>
      </c>
      <c r="AG164" s="36">
        <f>(AG161-AG162)*$H$20</f>
        <v/>
      </c>
      <c r="AH164" s="36">
        <f>(AH161-AH162)*$H$20</f>
        <v/>
      </c>
      <c r="AI164" s="36">
        <f>(AI161-AI162)*$H$20</f>
        <v/>
      </c>
      <c r="AJ164" s="36">
        <f>(AJ161-AJ162)*$H$20</f>
        <v/>
      </c>
      <c r="AK164" s="36">
        <f>(AK161-AK162)*$H$20</f>
        <v/>
      </c>
      <c r="AL164" s="36">
        <f>(AL161-AL162)*$H$20</f>
        <v/>
      </c>
      <c r="AM164" s="36">
        <f>(AM161-AM162)*$H$20</f>
        <v/>
      </c>
      <c r="AN164" s="36">
        <f>(AN161-AN162)*$H$20</f>
        <v/>
      </c>
      <c r="AO164" s="36">
        <f>(AO161-AO162)*$H$20</f>
        <v/>
      </c>
      <c r="AP164" s="36">
        <f>(AP161-AP162)*$H$20</f>
        <v/>
      </c>
      <c r="AQ164" s="36">
        <f>(AQ161-AQ162)*$H$20</f>
        <v/>
      </c>
      <c r="AR164" s="36">
        <f>(AR161-AR162)*$H$20</f>
        <v/>
      </c>
      <c r="AS164" s="36">
        <f>(AS161-AS162)*$H$20</f>
        <v/>
      </c>
      <c r="AT164" s="36">
        <f>(AT161-AT162)*$H$20</f>
        <v/>
      </c>
      <c r="AU164" s="36">
        <f>(AU161-AU162)*$H$20</f>
        <v/>
      </c>
      <c r="AV164" s="36">
        <f>(AV161-AV162)*$H$20</f>
        <v/>
      </c>
      <c r="AW164" s="36">
        <f>(AW161-AW162)*$H$20</f>
        <v/>
      </c>
      <c r="AX164" s="36">
        <f>(AX161-AX162)*$H$20</f>
        <v/>
      </c>
      <c r="AY164" s="36">
        <f>(AY161-AY162)*$H$20</f>
        <v/>
      </c>
      <c r="AZ164" s="36">
        <f>(AZ161-AZ162)*$H$20</f>
        <v/>
      </c>
      <c r="BA164" s="36">
        <f>(BA161-BA162)*$H$20</f>
        <v/>
      </c>
      <c r="BB164" s="36">
        <f>(BB161-BB162)*$H$20</f>
        <v/>
      </c>
      <c r="BC164" s="36">
        <f>(BC161-BC162)*$H$20</f>
        <v/>
      </c>
      <c r="BD164" s="36">
        <f>(BD161-BD162)*$H$20</f>
        <v/>
      </c>
    </row>
    <row r="165">
      <c r="A165" s="27" t="inlineStr">
        <is>
          <t xml:space="preserve">   leaves the store (offered - returned)</t>
        </is>
      </c>
      <c r="B165" s="2" t="inlineStr">
        <is>
          <t>lb</t>
        </is>
      </c>
      <c r="E165" s="36">
        <f>E161-E164</f>
        <v/>
      </c>
      <c r="F165" s="36">
        <f>F161-F164</f>
        <v/>
      </c>
      <c r="G165" s="36">
        <f>G161-G164</f>
        <v/>
      </c>
      <c r="H165" s="36">
        <f>H161-H164</f>
        <v/>
      </c>
      <c r="I165" s="36">
        <f>I161-I164</f>
        <v/>
      </c>
      <c r="J165" s="36">
        <f>J161-J164</f>
        <v/>
      </c>
      <c r="K165" s="36">
        <f>K161-K164</f>
        <v/>
      </c>
      <c r="L165" s="36">
        <f>L161-L164</f>
        <v/>
      </c>
      <c r="M165" s="36">
        <f>M161-M164</f>
        <v/>
      </c>
      <c r="N165" s="36">
        <f>N161-N164</f>
        <v/>
      </c>
      <c r="O165" s="36">
        <f>O161-O164</f>
        <v/>
      </c>
      <c r="P165" s="36">
        <f>P161-P164</f>
        <v/>
      </c>
      <c r="Q165" s="36">
        <f>Q161-Q164</f>
        <v/>
      </c>
      <c r="R165" s="36">
        <f>R161-R164</f>
        <v/>
      </c>
      <c r="S165" s="36">
        <f>S161-S164</f>
        <v/>
      </c>
      <c r="T165" s="36">
        <f>T161-T164</f>
        <v/>
      </c>
      <c r="U165" s="36">
        <f>U161-U164</f>
        <v/>
      </c>
      <c r="V165" s="36">
        <f>V161-V164</f>
        <v/>
      </c>
      <c r="W165" s="36">
        <f>W161-W164</f>
        <v/>
      </c>
      <c r="X165" s="36">
        <f>X161-X164</f>
        <v/>
      </c>
      <c r="Y165" s="36">
        <f>Y161-Y164</f>
        <v/>
      </c>
      <c r="Z165" s="36">
        <f>Z161-Z164</f>
        <v/>
      </c>
      <c r="AA165" s="36">
        <f>AA161-AA164</f>
        <v/>
      </c>
      <c r="AB165" s="36">
        <f>AB161-AB164</f>
        <v/>
      </c>
      <c r="AC165" s="36">
        <f>AC161-AC164</f>
        <v/>
      </c>
      <c r="AD165" s="36">
        <f>AD161-AD164</f>
        <v/>
      </c>
      <c r="AE165" s="36">
        <f>AE161-AE164</f>
        <v/>
      </c>
      <c r="AF165" s="36">
        <f>AF161-AF164</f>
        <v/>
      </c>
      <c r="AG165" s="36">
        <f>AG161-AG164</f>
        <v/>
      </c>
      <c r="AH165" s="36">
        <f>AH161-AH164</f>
        <v/>
      </c>
      <c r="AI165" s="36">
        <f>AI161-AI164</f>
        <v/>
      </c>
      <c r="AJ165" s="36">
        <f>AJ161-AJ164</f>
        <v/>
      </c>
      <c r="AK165" s="36">
        <f>AK161-AK164</f>
        <v/>
      </c>
      <c r="AL165" s="36">
        <f>AL161-AL164</f>
        <v/>
      </c>
      <c r="AM165" s="36">
        <f>AM161-AM164</f>
        <v/>
      </c>
      <c r="AN165" s="36">
        <f>AN161-AN164</f>
        <v/>
      </c>
      <c r="AO165" s="36">
        <f>AO161-AO164</f>
        <v/>
      </c>
      <c r="AP165" s="36">
        <f>AP161-AP164</f>
        <v/>
      </c>
      <c r="AQ165" s="36">
        <f>AQ161-AQ164</f>
        <v/>
      </c>
      <c r="AR165" s="36">
        <f>AR161-AR164</f>
        <v/>
      </c>
      <c r="AS165" s="36">
        <f>AS161-AS164</f>
        <v/>
      </c>
      <c r="AT165" s="36">
        <f>AT161-AT164</f>
        <v/>
      </c>
      <c r="AU165" s="36">
        <f>AU161-AU164</f>
        <v/>
      </c>
      <c r="AV165" s="36">
        <f>AV161-AV164</f>
        <v/>
      </c>
      <c r="AW165" s="36">
        <f>AW161-AW164</f>
        <v/>
      </c>
      <c r="AX165" s="36">
        <f>AX161-AX164</f>
        <v/>
      </c>
      <c r="AY165" s="36">
        <f>AY161-AY164</f>
        <v/>
      </c>
      <c r="AZ165" s="36">
        <f>AZ161-AZ164</f>
        <v/>
      </c>
      <c r="BA165" s="36">
        <f>BA161-BA164</f>
        <v/>
      </c>
      <c r="BB165" s="36">
        <f>BB161-BB164</f>
        <v/>
      </c>
      <c r="BC165" s="36">
        <f>BC161-BC164</f>
        <v/>
      </c>
      <c r="BD165" s="36">
        <f>BD161-BD164</f>
        <v/>
      </c>
    </row>
    <row r="166">
      <c r="A166" s="46" t="inlineStr">
        <is>
          <t>Wholesale — most you may sell this week</t>
        </is>
      </c>
      <c r="B166" s="2" t="inlineStr">
        <is>
          <t>lb</t>
        </is>
      </c>
      <c r="E166" s="47">
        <f>IF($C$21="Annual",$D$21-0,IF(AND(1&gt;=$E$21,1&lt;=$F$21),$D$21,0))</f>
        <v/>
      </c>
      <c r="F166" s="47">
        <f>IF($C$21="Annual",$D$21-SUM(E170:E170),IF(AND(2&gt;=$E$21,2&lt;=$F$21),$D$21,0))</f>
        <v/>
      </c>
      <c r="G166" s="47">
        <f>IF($C$21="Annual",$D$21-SUM(E170:F170),IF(AND(3&gt;=$E$21,3&lt;=$F$21),$D$21,0))</f>
        <v/>
      </c>
      <c r="H166" s="47">
        <f>IF($C$21="Annual",$D$21-SUM(E170:G170),IF(AND(4&gt;=$E$21,4&lt;=$F$21),$D$21,0))</f>
        <v/>
      </c>
      <c r="I166" s="47">
        <f>IF($C$21="Annual",$D$21-SUM(E170:H170),IF(AND(5&gt;=$E$21,5&lt;=$F$21),$D$21,0))</f>
        <v/>
      </c>
      <c r="J166" s="47">
        <f>IF($C$21="Annual",$D$21-SUM(E170:I170),IF(AND(6&gt;=$E$21,6&lt;=$F$21),$D$21,0))</f>
        <v/>
      </c>
      <c r="K166" s="47">
        <f>IF($C$21="Annual",$D$21-SUM(E170:J170),IF(AND(7&gt;=$E$21,7&lt;=$F$21),$D$21,0))</f>
        <v/>
      </c>
      <c r="L166" s="47">
        <f>IF($C$21="Annual",$D$21-SUM(E170:K170),IF(AND(8&gt;=$E$21,8&lt;=$F$21),$D$21,0))</f>
        <v/>
      </c>
      <c r="M166" s="47">
        <f>IF($C$21="Annual",$D$21-SUM(E170:L170),IF(AND(9&gt;=$E$21,9&lt;=$F$21),$D$21,0))</f>
        <v/>
      </c>
      <c r="N166" s="47">
        <f>IF($C$21="Annual",$D$21-SUM(E170:M170),IF(AND(10&gt;=$E$21,10&lt;=$F$21),$D$21,0))</f>
        <v/>
      </c>
      <c r="O166" s="47">
        <f>IF($C$21="Annual",$D$21-SUM(E170:N170),IF(AND(11&gt;=$E$21,11&lt;=$F$21),$D$21,0))</f>
        <v/>
      </c>
      <c r="P166" s="47">
        <f>IF($C$21="Annual",$D$21-SUM(E170:O170),IF(AND(12&gt;=$E$21,12&lt;=$F$21),$D$21,0))</f>
        <v/>
      </c>
      <c r="Q166" s="47">
        <f>IF($C$21="Annual",$D$21-SUM(E170:P170),IF(AND(13&gt;=$E$21,13&lt;=$F$21),$D$21,0))</f>
        <v/>
      </c>
      <c r="R166" s="47">
        <f>IF($C$21="Annual",$D$21-SUM(E170:Q170),IF(AND(14&gt;=$E$21,14&lt;=$F$21),$D$21,0))</f>
        <v/>
      </c>
      <c r="S166" s="47">
        <f>IF($C$21="Annual",$D$21-SUM(E170:R170),IF(AND(15&gt;=$E$21,15&lt;=$F$21),$D$21,0))</f>
        <v/>
      </c>
      <c r="T166" s="47">
        <f>IF($C$21="Annual",$D$21-SUM(E170:S170),IF(AND(16&gt;=$E$21,16&lt;=$F$21),$D$21,0))</f>
        <v/>
      </c>
      <c r="U166" s="47">
        <f>IF($C$21="Annual",$D$21-SUM(E170:T170),IF(AND(17&gt;=$E$21,17&lt;=$F$21),$D$21,0))</f>
        <v/>
      </c>
      <c r="V166" s="47">
        <f>IF($C$21="Annual",$D$21-SUM(E170:U170),IF(AND(18&gt;=$E$21,18&lt;=$F$21),$D$21,0))</f>
        <v/>
      </c>
      <c r="W166" s="47">
        <f>IF($C$21="Annual",$D$21-SUM(E170:V170),IF(AND(19&gt;=$E$21,19&lt;=$F$21),$D$21,0))</f>
        <v/>
      </c>
      <c r="X166" s="47">
        <f>IF($C$21="Annual",$D$21-SUM(E170:W170),IF(AND(20&gt;=$E$21,20&lt;=$F$21),$D$21,0))</f>
        <v/>
      </c>
      <c r="Y166" s="47">
        <f>IF($C$21="Annual",$D$21-SUM(E170:X170),IF(AND(21&gt;=$E$21,21&lt;=$F$21),$D$21,0))</f>
        <v/>
      </c>
      <c r="Z166" s="47">
        <f>IF($C$21="Annual",$D$21-SUM(E170:Y170),IF(AND(22&gt;=$E$21,22&lt;=$F$21),$D$21,0))</f>
        <v/>
      </c>
      <c r="AA166" s="47">
        <f>IF($C$21="Annual",$D$21-SUM(E170:Z170),IF(AND(23&gt;=$E$21,23&lt;=$F$21),$D$21,0))</f>
        <v/>
      </c>
      <c r="AB166" s="47">
        <f>IF($C$21="Annual",$D$21-SUM(E170:AA170),IF(AND(24&gt;=$E$21,24&lt;=$F$21),$D$21,0))</f>
        <v/>
      </c>
      <c r="AC166" s="47">
        <f>IF($C$21="Annual",$D$21-SUM(E170:AB170),IF(AND(25&gt;=$E$21,25&lt;=$F$21),$D$21,0))</f>
        <v/>
      </c>
      <c r="AD166" s="47">
        <f>IF($C$21="Annual",$D$21-SUM(E170:AC170),IF(AND(26&gt;=$E$21,26&lt;=$F$21),$D$21,0))</f>
        <v/>
      </c>
      <c r="AE166" s="47">
        <f>IF($C$21="Annual",$D$21-SUM(E170:AD170),IF(AND(27&gt;=$E$21,27&lt;=$F$21),$D$21,0))</f>
        <v/>
      </c>
      <c r="AF166" s="47">
        <f>IF($C$21="Annual",$D$21-SUM(E170:AE170),IF(AND(28&gt;=$E$21,28&lt;=$F$21),$D$21,0))</f>
        <v/>
      </c>
      <c r="AG166" s="47">
        <f>IF($C$21="Annual",$D$21-SUM(E170:AF170),IF(AND(29&gt;=$E$21,29&lt;=$F$21),$D$21,0))</f>
        <v/>
      </c>
      <c r="AH166" s="47">
        <f>IF($C$21="Annual",$D$21-SUM(E170:AG170),IF(AND(30&gt;=$E$21,30&lt;=$F$21),$D$21,0))</f>
        <v/>
      </c>
      <c r="AI166" s="47">
        <f>IF($C$21="Annual",$D$21-SUM(E170:AH170),IF(AND(31&gt;=$E$21,31&lt;=$F$21),$D$21,0))</f>
        <v/>
      </c>
      <c r="AJ166" s="47">
        <f>IF($C$21="Annual",$D$21-SUM(E170:AI170),IF(AND(32&gt;=$E$21,32&lt;=$F$21),$D$21,0))</f>
        <v/>
      </c>
      <c r="AK166" s="47">
        <f>IF($C$21="Annual",$D$21-SUM(E170:AJ170),IF(AND(33&gt;=$E$21,33&lt;=$F$21),$D$21,0))</f>
        <v/>
      </c>
      <c r="AL166" s="47">
        <f>IF($C$21="Annual",$D$21-SUM(E170:AK170),IF(AND(34&gt;=$E$21,34&lt;=$F$21),$D$21,0))</f>
        <v/>
      </c>
      <c r="AM166" s="47">
        <f>IF($C$21="Annual",$D$21-SUM(E170:AL170),IF(AND(35&gt;=$E$21,35&lt;=$F$21),$D$21,0))</f>
        <v/>
      </c>
      <c r="AN166" s="47">
        <f>IF($C$21="Annual",$D$21-SUM(E170:AM170),IF(AND(36&gt;=$E$21,36&lt;=$F$21),$D$21,0))</f>
        <v/>
      </c>
      <c r="AO166" s="47">
        <f>IF($C$21="Annual",$D$21-SUM(E170:AN170),IF(AND(37&gt;=$E$21,37&lt;=$F$21),$D$21,0))</f>
        <v/>
      </c>
      <c r="AP166" s="47">
        <f>IF($C$21="Annual",$D$21-SUM(E170:AO170),IF(AND(38&gt;=$E$21,38&lt;=$F$21),$D$21,0))</f>
        <v/>
      </c>
      <c r="AQ166" s="47">
        <f>IF($C$21="Annual",$D$21-SUM(E170:AP170),IF(AND(39&gt;=$E$21,39&lt;=$F$21),$D$21,0))</f>
        <v/>
      </c>
      <c r="AR166" s="47">
        <f>IF($C$21="Annual",$D$21-SUM(E170:AQ170),IF(AND(40&gt;=$E$21,40&lt;=$F$21),$D$21,0))</f>
        <v/>
      </c>
      <c r="AS166" s="47">
        <f>IF($C$21="Annual",$D$21-SUM(E170:AR170),IF(AND(41&gt;=$E$21,41&lt;=$F$21),$D$21,0))</f>
        <v/>
      </c>
      <c r="AT166" s="47">
        <f>IF($C$21="Annual",$D$21-SUM(E170:AS170),IF(AND(42&gt;=$E$21,42&lt;=$F$21),$D$21,0))</f>
        <v/>
      </c>
      <c r="AU166" s="47">
        <f>IF($C$21="Annual",$D$21-SUM(E170:AT170),IF(AND(43&gt;=$E$21,43&lt;=$F$21),$D$21,0))</f>
        <v/>
      </c>
      <c r="AV166" s="47">
        <f>IF($C$21="Annual",$D$21-SUM(E170:AU170),IF(AND(44&gt;=$E$21,44&lt;=$F$21),$D$21,0))</f>
        <v/>
      </c>
      <c r="AW166" s="47">
        <f>IF($C$21="Annual",$D$21-SUM(E170:AV170),IF(AND(45&gt;=$E$21,45&lt;=$F$21),$D$21,0))</f>
        <v/>
      </c>
      <c r="AX166" s="47">
        <f>IF($C$21="Annual",$D$21-SUM(E170:AW170),IF(AND(46&gt;=$E$21,46&lt;=$F$21),$D$21,0))</f>
        <v/>
      </c>
      <c r="AY166" s="47">
        <f>IF($C$21="Annual",$D$21-SUM(E170:AX170),IF(AND(47&gt;=$E$21,47&lt;=$F$21),$D$21,0))</f>
        <v/>
      </c>
      <c r="AZ166" s="47">
        <f>IF($C$21="Annual",$D$21-SUM(E170:AY170),IF(AND(48&gt;=$E$21,48&lt;=$F$21),$D$21,0))</f>
        <v/>
      </c>
      <c r="BA166" s="47">
        <f>IF($C$21="Annual",$D$21-SUM(E170:AZ170),IF(AND(49&gt;=$E$21,49&lt;=$F$21),$D$21,0))</f>
        <v/>
      </c>
      <c r="BB166" s="47">
        <f>IF($C$21="Annual",$D$21-SUM(E170:BA170),IF(AND(50&gt;=$E$21,50&lt;=$F$21),$D$21,0))</f>
        <v/>
      </c>
      <c r="BC166" s="47">
        <f>IF($C$21="Annual",$D$21-SUM(E170:BB170),IF(AND(51&gt;=$E$21,51&lt;=$F$21),$D$21,0))</f>
        <v/>
      </c>
      <c r="BD166" s="47">
        <f>IF($C$21="Annual",$D$21-SUM(E170:BC170),IF(AND(52&gt;=$E$21,52&lt;=$F$21),$D$21,0))</f>
        <v/>
      </c>
    </row>
    <row r="167">
      <c r="A167" s="2" t="inlineStr">
        <is>
          <t xml:space="preserve">   ^ Wholesale is an ANNUAL cap (500,000 lb a year), so there is NO weekly limit —</t>
        </is>
      </c>
    </row>
    <row r="168">
      <c r="A168" s="2" t="inlineStr">
        <is>
          <t xml:space="preserve">     this row is what is LEFT of the year, and it falls as you sell.</t>
        </is>
      </c>
    </row>
    <row r="169">
      <c r="A169" s="23" t="inlineStr">
        <is>
          <t>Wholesale — OFFERED</t>
        </is>
      </c>
      <c r="B169" s="2" t="inlineStr">
        <is>
          <t>lb  &lt;-- SOLVER</t>
        </is>
      </c>
      <c r="E169" s="40" t="n">
        <v>0</v>
      </c>
      <c r="F169" s="40" t="n">
        <v>0</v>
      </c>
      <c r="G169" s="40" t="n">
        <v>0</v>
      </c>
      <c r="H169" s="40" t="n">
        <v>0</v>
      </c>
      <c r="I169" s="40" t="n">
        <v>0</v>
      </c>
      <c r="J169" s="40" t="n">
        <v>0</v>
      </c>
      <c r="K169" s="40" t="n">
        <v>0</v>
      </c>
      <c r="L169" s="40" t="n">
        <v>0</v>
      </c>
      <c r="M169" s="40" t="n">
        <v>0</v>
      </c>
      <c r="N169" s="40" t="n">
        <v>0</v>
      </c>
      <c r="O169" s="40" t="n">
        <v>0</v>
      </c>
      <c r="P169" s="40" t="n">
        <v>0</v>
      </c>
      <c r="Q169" s="40" t="n">
        <v>0</v>
      </c>
      <c r="R169" s="40" t="n">
        <v>0</v>
      </c>
      <c r="S169" s="40" t="n">
        <v>0</v>
      </c>
      <c r="T169" s="40" t="n">
        <v>0</v>
      </c>
      <c r="U169" s="40" t="n">
        <v>0</v>
      </c>
      <c r="V169" s="40" t="n">
        <v>0</v>
      </c>
      <c r="W169" s="40" t="n">
        <v>0</v>
      </c>
      <c r="X169" s="40" t="n">
        <v>0</v>
      </c>
      <c r="Y169" s="40" t="n">
        <v>0</v>
      </c>
      <c r="Z169" s="40" t="n">
        <v>0</v>
      </c>
      <c r="AA169" s="40" t="n">
        <v>0</v>
      </c>
      <c r="AB169" s="40" t="n">
        <v>0</v>
      </c>
      <c r="AC169" s="40" t="n">
        <v>0</v>
      </c>
      <c r="AD169" s="40" t="n">
        <v>0</v>
      </c>
      <c r="AE169" s="40" t="n">
        <v>0</v>
      </c>
      <c r="AF169" s="40" t="n">
        <v>0</v>
      </c>
      <c r="AG169" s="40" t="n">
        <v>0</v>
      </c>
      <c r="AH169" s="40" t="n">
        <v>0</v>
      </c>
      <c r="AI169" s="40" t="n">
        <v>0</v>
      </c>
      <c r="AJ169" s="40" t="n">
        <v>0</v>
      </c>
      <c r="AK169" s="40" t="n">
        <v>0</v>
      </c>
      <c r="AL169" s="40" t="n">
        <v>0</v>
      </c>
      <c r="AM169" s="40" t="n">
        <v>0</v>
      </c>
      <c r="AN169" s="40" t="n">
        <v>0</v>
      </c>
      <c r="AO169" s="40" t="n">
        <v>0</v>
      </c>
      <c r="AP169" s="40" t="n">
        <v>0</v>
      </c>
      <c r="AQ169" s="40" t="n">
        <v>0</v>
      </c>
      <c r="AR169" s="40" t="n">
        <v>0</v>
      </c>
      <c r="AS169" s="40" t="n">
        <v>0</v>
      </c>
      <c r="AT169" s="40" t="n">
        <v>0</v>
      </c>
      <c r="AU169" s="40" t="n">
        <v>0</v>
      </c>
      <c r="AV169" s="40" t="n">
        <v>0</v>
      </c>
      <c r="AW169" s="40" t="n">
        <v>0</v>
      </c>
      <c r="AX169" s="40" t="n">
        <v>0</v>
      </c>
      <c r="AY169" s="40" t="n">
        <v>0</v>
      </c>
      <c r="AZ169" s="40" t="n">
        <v>0</v>
      </c>
      <c r="BA169" s="40" t="n">
        <v>0</v>
      </c>
      <c r="BB169" s="40" t="n">
        <v>0</v>
      </c>
      <c r="BC169" s="40" t="n">
        <v>0</v>
      </c>
      <c r="BD169" s="40" t="n">
        <v>0</v>
      </c>
    </row>
    <row r="170">
      <c r="A170" s="44" t="inlineStr">
        <is>
          <t>Wholesale — SOLD</t>
        </is>
      </c>
      <c r="B170" s="2" t="inlineStr">
        <is>
          <t>lb</t>
        </is>
      </c>
      <c r="E170" s="43">
        <f>E169*$G$21</f>
        <v/>
      </c>
      <c r="F170" s="43">
        <f>F169*$G$21</f>
        <v/>
      </c>
      <c r="G170" s="43">
        <f>G169*$G$21</f>
        <v/>
      </c>
      <c r="H170" s="43">
        <f>H169*$G$21</f>
        <v/>
      </c>
      <c r="I170" s="43">
        <f>I169*$G$21</f>
        <v/>
      </c>
      <c r="J170" s="43">
        <f>J169*$G$21</f>
        <v/>
      </c>
      <c r="K170" s="43">
        <f>K169*$G$21</f>
        <v/>
      </c>
      <c r="L170" s="43">
        <f>L169*$G$21</f>
        <v/>
      </c>
      <c r="M170" s="43">
        <f>M169*$G$21</f>
        <v/>
      </c>
      <c r="N170" s="43">
        <f>N169*$G$21</f>
        <v/>
      </c>
      <c r="O170" s="43">
        <f>O169*$G$21</f>
        <v/>
      </c>
      <c r="P170" s="43">
        <f>P169*$G$21</f>
        <v/>
      </c>
      <c r="Q170" s="43">
        <f>Q169*$G$21</f>
        <v/>
      </c>
      <c r="R170" s="43">
        <f>R169*$G$21</f>
        <v/>
      </c>
      <c r="S170" s="43">
        <f>S169*$G$21</f>
        <v/>
      </c>
      <c r="T170" s="43">
        <f>T169*$G$21</f>
        <v/>
      </c>
      <c r="U170" s="43">
        <f>U169*$G$21</f>
        <v/>
      </c>
      <c r="V170" s="43">
        <f>V169*$G$21</f>
        <v/>
      </c>
      <c r="W170" s="43">
        <f>W169*$G$21</f>
        <v/>
      </c>
      <c r="X170" s="43">
        <f>X169*$G$21</f>
        <v/>
      </c>
      <c r="Y170" s="43">
        <f>Y169*$G$21</f>
        <v/>
      </c>
      <c r="Z170" s="43">
        <f>Z169*$G$21</f>
        <v/>
      </c>
      <c r="AA170" s="43">
        <f>AA169*$G$21</f>
        <v/>
      </c>
      <c r="AB170" s="43">
        <f>AB169*$G$21</f>
        <v/>
      </c>
      <c r="AC170" s="43">
        <f>AC169*$G$21</f>
        <v/>
      </c>
      <c r="AD170" s="43">
        <f>AD169*$G$21</f>
        <v/>
      </c>
      <c r="AE170" s="43">
        <f>AE169*$G$21</f>
        <v/>
      </c>
      <c r="AF170" s="43">
        <f>AF169*$G$21</f>
        <v/>
      </c>
      <c r="AG170" s="43">
        <f>AG169*$G$21</f>
        <v/>
      </c>
      <c r="AH170" s="43">
        <f>AH169*$G$21</f>
        <v/>
      </c>
      <c r="AI170" s="43">
        <f>AI169*$G$21</f>
        <v/>
      </c>
      <c r="AJ170" s="43">
        <f>AJ169*$G$21</f>
        <v/>
      </c>
      <c r="AK170" s="43">
        <f>AK169*$G$21</f>
        <v/>
      </c>
      <c r="AL170" s="43">
        <f>AL169*$G$21</f>
        <v/>
      </c>
      <c r="AM170" s="43">
        <f>AM169*$G$21</f>
        <v/>
      </c>
      <c r="AN170" s="43">
        <f>AN169*$G$21</f>
        <v/>
      </c>
      <c r="AO170" s="43">
        <f>AO169*$G$21</f>
        <v/>
      </c>
      <c r="AP170" s="43">
        <f>AP169*$G$21</f>
        <v/>
      </c>
      <c r="AQ170" s="43">
        <f>AQ169*$G$21</f>
        <v/>
      </c>
      <c r="AR170" s="43">
        <f>AR169*$G$21</f>
        <v/>
      </c>
      <c r="AS170" s="43">
        <f>AS169*$G$21</f>
        <v/>
      </c>
      <c r="AT170" s="43">
        <f>AT169*$G$21</f>
        <v/>
      </c>
      <c r="AU170" s="43">
        <f>AU169*$G$21</f>
        <v/>
      </c>
      <c r="AV170" s="43">
        <f>AV169*$G$21</f>
        <v/>
      </c>
      <c r="AW170" s="43">
        <f>AW169*$G$21</f>
        <v/>
      </c>
      <c r="AX170" s="43">
        <f>AX169*$G$21</f>
        <v/>
      </c>
      <c r="AY170" s="43">
        <f>AY169*$G$21</f>
        <v/>
      </c>
      <c r="AZ170" s="43">
        <f>AZ169*$G$21</f>
        <v/>
      </c>
      <c r="BA170" s="43">
        <f>BA169*$G$21</f>
        <v/>
      </c>
      <c r="BB170" s="43">
        <f>BB169*$G$21</f>
        <v/>
      </c>
      <c r="BC170" s="43">
        <f>BC169*$G$21</f>
        <v/>
      </c>
      <c r="BD170" s="43">
        <f>BD169*$G$21</f>
        <v/>
      </c>
    </row>
    <row r="171">
      <c r="A171" s="27" t="inlineStr">
        <is>
          <t xml:space="preserve">   market loss (gone)</t>
        </is>
      </c>
      <c r="B171" s="2" t="inlineStr">
        <is>
          <t>lb</t>
        </is>
      </c>
      <c r="E171" s="36">
        <f>(E169-E170)*(1-$H$21)</f>
        <v/>
      </c>
      <c r="F171" s="36">
        <f>(F169-F170)*(1-$H$21)</f>
        <v/>
      </c>
      <c r="G171" s="36">
        <f>(G169-G170)*(1-$H$21)</f>
        <v/>
      </c>
      <c r="H171" s="36">
        <f>(H169-H170)*(1-$H$21)</f>
        <v/>
      </c>
      <c r="I171" s="36">
        <f>(I169-I170)*(1-$H$21)</f>
        <v/>
      </c>
      <c r="J171" s="36">
        <f>(J169-J170)*(1-$H$21)</f>
        <v/>
      </c>
      <c r="K171" s="36">
        <f>(K169-K170)*(1-$H$21)</f>
        <v/>
      </c>
      <c r="L171" s="36">
        <f>(L169-L170)*(1-$H$21)</f>
        <v/>
      </c>
      <c r="M171" s="36">
        <f>(M169-M170)*(1-$H$21)</f>
        <v/>
      </c>
      <c r="N171" s="36">
        <f>(N169-N170)*(1-$H$21)</f>
        <v/>
      </c>
      <c r="O171" s="36">
        <f>(O169-O170)*(1-$H$21)</f>
        <v/>
      </c>
      <c r="P171" s="36">
        <f>(P169-P170)*(1-$H$21)</f>
        <v/>
      </c>
      <c r="Q171" s="36">
        <f>(Q169-Q170)*(1-$H$21)</f>
        <v/>
      </c>
      <c r="R171" s="36">
        <f>(R169-R170)*(1-$H$21)</f>
        <v/>
      </c>
      <c r="S171" s="36">
        <f>(S169-S170)*(1-$H$21)</f>
        <v/>
      </c>
      <c r="T171" s="36">
        <f>(T169-T170)*(1-$H$21)</f>
        <v/>
      </c>
      <c r="U171" s="36">
        <f>(U169-U170)*(1-$H$21)</f>
        <v/>
      </c>
      <c r="V171" s="36">
        <f>(V169-V170)*(1-$H$21)</f>
        <v/>
      </c>
      <c r="W171" s="36">
        <f>(W169-W170)*(1-$H$21)</f>
        <v/>
      </c>
      <c r="X171" s="36">
        <f>(X169-X170)*(1-$H$21)</f>
        <v/>
      </c>
      <c r="Y171" s="36">
        <f>(Y169-Y170)*(1-$H$21)</f>
        <v/>
      </c>
      <c r="Z171" s="36">
        <f>(Z169-Z170)*(1-$H$21)</f>
        <v/>
      </c>
      <c r="AA171" s="36">
        <f>(AA169-AA170)*(1-$H$21)</f>
        <v/>
      </c>
      <c r="AB171" s="36">
        <f>(AB169-AB170)*(1-$H$21)</f>
        <v/>
      </c>
      <c r="AC171" s="36">
        <f>(AC169-AC170)*(1-$H$21)</f>
        <v/>
      </c>
      <c r="AD171" s="36">
        <f>(AD169-AD170)*(1-$H$21)</f>
        <v/>
      </c>
      <c r="AE171" s="36">
        <f>(AE169-AE170)*(1-$H$21)</f>
        <v/>
      </c>
      <c r="AF171" s="36">
        <f>(AF169-AF170)*(1-$H$21)</f>
        <v/>
      </c>
      <c r="AG171" s="36">
        <f>(AG169-AG170)*(1-$H$21)</f>
        <v/>
      </c>
      <c r="AH171" s="36">
        <f>(AH169-AH170)*(1-$H$21)</f>
        <v/>
      </c>
      <c r="AI171" s="36">
        <f>(AI169-AI170)*(1-$H$21)</f>
        <v/>
      </c>
      <c r="AJ171" s="36">
        <f>(AJ169-AJ170)*(1-$H$21)</f>
        <v/>
      </c>
      <c r="AK171" s="36">
        <f>(AK169-AK170)*(1-$H$21)</f>
        <v/>
      </c>
      <c r="AL171" s="36">
        <f>(AL169-AL170)*(1-$H$21)</f>
        <v/>
      </c>
      <c r="AM171" s="36">
        <f>(AM169-AM170)*(1-$H$21)</f>
        <v/>
      </c>
      <c r="AN171" s="36">
        <f>(AN169-AN170)*(1-$H$21)</f>
        <v/>
      </c>
      <c r="AO171" s="36">
        <f>(AO169-AO170)*(1-$H$21)</f>
        <v/>
      </c>
      <c r="AP171" s="36">
        <f>(AP169-AP170)*(1-$H$21)</f>
        <v/>
      </c>
      <c r="AQ171" s="36">
        <f>(AQ169-AQ170)*(1-$H$21)</f>
        <v/>
      </c>
      <c r="AR171" s="36">
        <f>(AR169-AR170)*(1-$H$21)</f>
        <v/>
      </c>
      <c r="AS171" s="36">
        <f>(AS169-AS170)*(1-$H$21)</f>
        <v/>
      </c>
      <c r="AT171" s="36">
        <f>(AT169-AT170)*(1-$H$21)</f>
        <v/>
      </c>
      <c r="AU171" s="36">
        <f>(AU169-AU170)*(1-$H$21)</f>
        <v/>
      </c>
      <c r="AV171" s="36">
        <f>(AV169-AV170)*(1-$H$21)</f>
        <v/>
      </c>
      <c r="AW171" s="36">
        <f>(AW169-AW170)*(1-$H$21)</f>
        <v/>
      </c>
      <c r="AX171" s="36">
        <f>(AX169-AX170)*(1-$H$21)</f>
        <v/>
      </c>
      <c r="AY171" s="36">
        <f>(AY169-AY170)*(1-$H$21)</f>
        <v/>
      </c>
      <c r="AZ171" s="36">
        <f>(AZ169-AZ170)*(1-$H$21)</f>
        <v/>
      </c>
      <c r="BA171" s="36">
        <f>(BA169-BA170)*(1-$H$21)</f>
        <v/>
      </c>
      <c r="BB171" s="36">
        <f>(BB169-BB170)*(1-$H$21)</f>
        <v/>
      </c>
      <c r="BC171" s="36">
        <f>(BC169-BC170)*(1-$H$21)</f>
        <v/>
      </c>
      <c r="BD171" s="36">
        <f>(BD169-BD170)*(1-$H$21)</f>
        <v/>
      </c>
    </row>
    <row r="172">
      <c r="A172" s="27" t="inlineStr">
        <is>
          <t xml:space="preserve">   returned to store</t>
        </is>
      </c>
      <c r="B172" s="2" t="inlineStr">
        <is>
          <t>lb</t>
        </is>
      </c>
      <c r="E172" s="36">
        <f>(E169-E170)*$H$21</f>
        <v/>
      </c>
      <c r="F172" s="36">
        <f>(F169-F170)*$H$21</f>
        <v/>
      </c>
      <c r="G172" s="36">
        <f>(G169-G170)*$H$21</f>
        <v/>
      </c>
      <c r="H172" s="36">
        <f>(H169-H170)*$H$21</f>
        <v/>
      </c>
      <c r="I172" s="36">
        <f>(I169-I170)*$H$21</f>
        <v/>
      </c>
      <c r="J172" s="36">
        <f>(J169-J170)*$H$21</f>
        <v/>
      </c>
      <c r="K172" s="36">
        <f>(K169-K170)*$H$21</f>
        <v/>
      </c>
      <c r="L172" s="36">
        <f>(L169-L170)*$H$21</f>
        <v/>
      </c>
      <c r="M172" s="36">
        <f>(M169-M170)*$H$21</f>
        <v/>
      </c>
      <c r="N172" s="36">
        <f>(N169-N170)*$H$21</f>
        <v/>
      </c>
      <c r="O172" s="36">
        <f>(O169-O170)*$H$21</f>
        <v/>
      </c>
      <c r="P172" s="36">
        <f>(P169-P170)*$H$21</f>
        <v/>
      </c>
      <c r="Q172" s="36">
        <f>(Q169-Q170)*$H$21</f>
        <v/>
      </c>
      <c r="R172" s="36">
        <f>(R169-R170)*$H$21</f>
        <v/>
      </c>
      <c r="S172" s="36">
        <f>(S169-S170)*$H$21</f>
        <v/>
      </c>
      <c r="T172" s="36">
        <f>(T169-T170)*$H$21</f>
        <v/>
      </c>
      <c r="U172" s="36">
        <f>(U169-U170)*$H$21</f>
        <v/>
      </c>
      <c r="V172" s="36">
        <f>(V169-V170)*$H$21</f>
        <v/>
      </c>
      <c r="W172" s="36">
        <f>(W169-W170)*$H$21</f>
        <v/>
      </c>
      <c r="X172" s="36">
        <f>(X169-X170)*$H$21</f>
        <v/>
      </c>
      <c r="Y172" s="36">
        <f>(Y169-Y170)*$H$21</f>
        <v/>
      </c>
      <c r="Z172" s="36">
        <f>(Z169-Z170)*$H$21</f>
        <v/>
      </c>
      <c r="AA172" s="36">
        <f>(AA169-AA170)*$H$21</f>
        <v/>
      </c>
      <c r="AB172" s="36">
        <f>(AB169-AB170)*$H$21</f>
        <v/>
      </c>
      <c r="AC172" s="36">
        <f>(AC169-AC170)*$H$21</f>
        <v/>
      </c>
      <c r="AD172" s="36">
        <f>(AD169-AD170)*$H$21</f>
        <v/>
      </c>
      <c r="AE172" s="36">
        <f>(AE169-AE170)*$H$21</f>
        <v/>
      </c>
      <c r="AF172" s="36">
        <f>(AF169-AF170)*$H$21</f>
        <v/>
      </c>
      <c r="AG172" s="36">
        <f>(AG169-AG170)*$H$21</f>
        <v/>
      </c>
      <c r="AH172" s="36">
        <f>(AH169-AH170)*$H$21</f>
        <v/>
      </c>
      <c r="AI172" s="36">
        <f>(AI169-AI170)*$H$21</f>
        <v/>
      </c>
      <c r="AJ172" s="36">
        <f>(AJ169-AJ170)*$H$21</f>
        <v/>
      </c>
      <c r="AK172" s="36">
        <f>(AK169-AK170)*$H$21</f>
        <v/>
      </c>
      <c r="AL172" s="36">
        <f>(AL169-AL170)*$H$21</f>
        <v/>
      </c>
      <c r="AM172" s="36">
        <f>(AM169-AM170)*$H$21</f>
        <v/>
      </c>
      <c r="AN172" s="36">
        <f>(AN169-AN170)*$H$21</f>
        <v/>
      </c>
      <c r="AO172" s="36">
        <f>(AO169-AO170)*$H$21</f>
        <v/>
      </c>
      <c r="AP172" s="36">
        <f>(AP169-AP170)*$H$21</f>
        <v/>
      </c>
      <c r="AQ172" s="36">
        <f>(AQ169-AQ170)*$H$21</f>
        <v/>
      </c>
      <c r="AR172" s="36">
        <f>(AR169-AR170)*$H$21</f>
        <v/>
      </c>
      <c r="AS172" s="36">
        <f>(AS169-AS170)*$H$21</f>
        <v/>
      </c>
      <c r="AT172" s="36">
        <f>(AT169-AT170)*$H$21</f>
        <v/>
      </c>
      <c r="AU172" s="36">
        <f>(AU169-AU170)*$H$21</f>
        <v/>
      </c>
      <c r="AV172" s="36">
        <f>(AV169-AV170)*$H$21</f>
        <v/>
      </c>
      <c r="AW172" s="36">
        <f>(AW169-AW170)*$H$21</f>
        <v/>
      </c>
      <c r="AX172" s="36">
        <f>(AX169-AX170)*$H$21</f>
        <v/>
      </c>
      <c r="AY172" s="36">
        <f>(AY169-AY170)*$H$21</f>
        <v/>
      </c>
      <c r="AZ172" s="36">
        <f>(AZ169-AZ170)*$H$21</f>
        <v/>
      </c>
      <c r="BA172" s="36">
        <f>(BA169-BA170)*$H$21</f>
        <v/>
      </c>
      <c r="BB172" s="36">
        <f>(BB169-BB170)*$H$21</f>
        <v/>
      </c>
      <c r="BC172" s="36">
        <f>(BC169-BC170)*$H$21</f>
        <v/>
      </c>
      <c r="BD172" s="36">
        <f>(BD169-BD170)*$H$21</f>
        <v/>
      </c>
    </row>
    <row r="173">
      <c r="A173" s="27" t="inlineStr">
        <is>
          <t xml:space="preserve">   leaves the store (offered - returned)</t>
        </is>
      </c>
      <c r="B173" s="2" t="inlineStr">
        <is>
          <t>lb</t>
        </is>
      </c>
      <c r="E173" s="36">
        <f>E169-E172</f>
        <v/>
      </c>
      <c r="F173" s="36">
        <f>F169-F172</f>
        <v/>
      </c>
      <c r="G173" s="36">
        <f>G169-G172</f>
        <v/>
      </c>
      <c r="H173" s="36">
        <f>H169-H172</f>
        <v/>
      </c>
      <c r="I173" s="36">
        <f>I169-I172</f>
        <v/>
      </c>
      <c r="J173" s="36">
        <f>J169-J172</f>
        <v/>
      </c>
      <c r="K173" s="36">
        <f>K169-K172</f>
        <v/>
      </c>
      <c r="L173" s="36">
        <f>L169-L172</f>
        <v/>
      </c>
      <c r="M173" s="36">
        <f>M169-M172</f>
        <v/>
      </c>
      <c r="N173" s="36">
        <f>N169-N172</f>
        <v/>
      </c>
      <c r="O173" s="36">
        <f>O169-O172</f>
        <v/>
      </c>
      <c r="P173" s="36">
        <f>P169-P172</f>
        <v/>
      </c>
      <c r="Q173" s="36">
        <f>Q169-Q172</f>
        <v/>
      </c>
      <c r="R173" s="36">
        <f>R169-R172</f>
        <v/>
      </c>
      <c r="S173" s="36">
        <f>S169-S172</f>
        <v/>
      </c>
      <c r="T173" s="36">
        <f>T169-T172</f>
        <v/>
      </c>
      <c r="U173" s="36">
        <f>U169-U172</f>
        <v/>
      </c>
      <c r="V173" s="36">
        <f>V169-V172</f>
        <v/>
      </c>
      <c r="W173" s="36">
        <f>W169-W172</f>
        <v/>
      </c>
      <c r="X173" s="36">
        <f>X169-X172</f>
        <v/>
      </c>
      <c r="Y173" s="36">
        <f>Y169-Y172</f>
        <v/>
      </c>
      <c r="Z173" s="36">
        <f>Z169-Z172</f>
        <v/>
      </c>
      <c r="AA173" s="36">
        <f>AA169-AA172</f>
        <v/>
      </c>
      <c r="AB173" s="36">
        <f>AB169-AB172</f>
        <v/>
      </c>
      <c r="AC173" s="36">
        <f>AC169-AC172</f>
        <v/>
      </c>
      <c r="AD173" s="36">
        <f>AD169-AD172</f>
        <v/>
      </c>
      <c r="AE173" s="36">
        <f>AE169-AE172</f>
        <v/>
      </c>
      <c r="AF173" s="36">
        <f>AF169-AF172</f>
        <v/>
      </c>
      <c r="AG173" s="36">
        <f>AG169-AG172</f>
        <v/>
      </c>
      <c r="AH173" s="36">
        <f>AH169-AH172</f>
        <v/>
      </c>
      <c r="AI173" s="36">
        <f>AI169-AI172</f>
        <v/>
      </c>
      <c r="AJ173" s="36">
        <f>AJ169-AJ172</f>
        <v/>
      </c>
      <c r="AK173" s="36">
        <f>AK169-AK172</f>
        <v/>
      </c>
      <c r="AL173" s="36">
        <f>AL169-AL172</f>
        <v/>
      </c>
      <c r="AM173" s="36">
        <f>AM169-AM172</f>
        <v/>
      </c>
      <c r="AN173" s="36">
        <f>AN169-AN172</f>
        <v/>
      </c>
      <c r="AO173" s="36">
        <f>AO169-AO172</f>
        <v/>
      </c>
      <c r="AP173" s="36">
        <f>AP169-AP172</f>
        <v/>
      </c>
      <c r="AQ173" s="36">
        <f>AQ169-AQ172</f>
        <v/>
      </c>
      <c r="AR173" s="36">
        <f>AR169-AR172</f>
        <v/>
      </c>
      <c r="AS173" s="36">
        <f>AS169-AS172</f>
        <v/>
      </c>
      <c r="AT173" s="36">
        <f>AT169-AT172</f>
        <v/>
      </c>
      <c r="AU173" s="36">
        <f>AU169-AU172</f>
        <v/>
      </c>
      <c r="AV173" s="36">
        <f>AV169-AV172</f>
        <v/>
      </c>
      <c r="AW173" s="36">
        <f>AW169-AW172</f>
        <v/>
      </c>
      <c r="AX173" s="36">
        <f>AX169-AX172</f>
        <v/>
      </c>
      <c r="AY173" s="36">
        <f>AY169-AY172</f>
        <v/>
      </c>
      <c r="AZ173" s="36">
        <f>AZ169-AZ172</f>
        <v/>
      </c>
      <c r="BA173" s="36">
        <f>BA169-BA172</f>
        <v/>
      </c>
      <c r="BB173" s="36">
        <f>BB169-BB172</f>
        <v/>
      </c>
      <c r="BC173" s="36">
        <f>BC169-BC172</f>
        <v/>
      </c>
      <c r="BD173" s="36">
        <f>BD169-BD172</f>
        <v/>
      </c>
    </row>
    <row r="174">
      <c r="A174" s="4" t="inlineStr">
        <is>
          <t>Stock carried out</t>
        </is>
      </c>
      <c r="B174" s="2" t="inlineStr">
        <is>
          <t>lb</t>
        </is>
      </c>
      <c r="E174" s="36">
        <f>E159-E165-E173</f>
        <v/>
      </c>
      <c r="F174" s="36">
        <f>F159-F165-F173</f>
        <v/>
      </c>
      <c r="G174" s="36">
        <f>G159-G165-G173</f>
        <v/>
      </c>
      <c r="H174" s="36">
        <f>H159-H165-H173</f>
        <v/>
      </c>
      <c r="I174" s="36">
        <f>I159-I165-I173</f>
        <v/>
      </c>
      <c r="J174" s="36">
        <f>J159-J165-J173</f>
        <v/>
      </c>
      <c r="K174" s="36">
        <f>K159-K165-K173</f>
        <v/>
      </c>
      <c r="L174" s="36">
        <f>L159-L165-L173</f>
        <v/>
      </c>
      <c r="M174" s="36">
        <f>M159-M165-M173</f>
        <v/>
      </c>
      <c r="N174" s="36">
        <f>N159-N165-N173</f>
        <v/>
      </c>
      <c r="O174" s="36">
        <f>O159-O165-O173</f>
        <v/>
      </c>
      <c r="P174" s="36">
        <f>P159-P165-P173</f>
        <v/>
      </c>
      <c r="Q174" s="36">
        <f>Q159-Q165-Q173</f>
        <v/>
      </c>
      <c r="R174" s="36">
        <f>R159-R165-R173</f>
        <v/>
      </c>
      <c r="S174" s="36">
        <f>S159-S165-S173</f>
        <v/>
      </c>
      <c r="T174" s="36">
        <f>T159-T165-T173</f>
        <v/>
      </c>
      <c r="U174" s="36">
        <f>U159-U165-U173</f>
        <v/>
      </c>
      <c r="V174" s="36">
        <f>V159-V165-V173</f>
        <v/>
      </c>
      <c r="W174" s="36">
        <f>W159-W165-W173</f>
        <v/>
      </c>
      <c r="X174" s="36">
        <f>X159-X165-X173</f>
        <v/>
      </c>
      <c r="Y174" s="36">
        <f>Y159-Y165-Y173</f>
        <v/>
      </c>
      <c r="Z174" s="36">
        <f>Z159-Z165-Z173</f>
        <v/>
      </c>
      <c r="AA174" s="36">
        <f>AA159-AA165-AA173</f>
        <v/>
      </c>
      <c r="AB174" s="36">
        <f>AB159-AB165-AB173</f>
        <v/>
      </c>
      <c r="AC174" s="36">
        <f>AC159-AC165-AC173</f>
        <v/>
      </c>
      <c r="AD174" s="36">
        <f>AD159-AD165-AD173</f>
        <v/>
      </c>
      <c r="AE174" s="36">
        <f>AE159-AE165-AE173</f>
        <v/>
      </c>
      <c r="AF174" s="36">
        <f>AF159-AF165-AF173</f>
        <v/>
      </c>
      <c r="AG174" s="36">
        <f>AG159-AG165-AG173</f>
        <v/>
      </c>
      <c r="AH174" s="36">
        <f>AH159-AH165-AH173</f>
        <v/>
      </c>
      <c r="AI174" s="36">
        <f>AI159-AI165-AI173</f>
        <v/>
      </c>
      <c r="AJ174" s="36">
        <f>AJ159-AJ165-AJ173</f>
        <v/>
      </c>
      <c r="AK174" s="36">
        <f>AK159-AK165-AK173</f>
        <v/>
      </c>
      <c r="AL174" s="36">
        <f>AL159-AL165-AL173</f>
        <v/>
      </c>
      <c r="AM174" s="36">
        <f>AM159-AM165-AM173</f>
        <v/>
      </c>
      <c r="AN174" s="36">
        <f>AN159-AN165-AN173</f>
        <v/>
      </c>
      <c r="AO174" s="36">
        <f>AO159-AO165-AO173</f>
        <v/>
      </c>
      <c r="AP174" s="36">
        <f>AP159-AP165-AP173</f>
        <v/>
      </c>
      <c r="AQ174" s="36">
        <f>AQ159-AQ165-AQ173</f>
        <v/>
      </c>
      <c r="AR174" s="36">
        <f>AR159-AR165-AR173</f>
        <v/>
      </c>
      <c r="AS174" s="36">
        <f>AS159-AS165-AS173</f>
        <v/>
      </c>
      <c r="AT174" s="36">
        <f>AT159-AT165-AT173</f>
        <v/>
      </c>
      <c r="AU174" s="36">
        <f>AU159-AU165-AU173</f>
        <v/>
      </c>
      <c r="AV174" s="36">
        <f>AV159-AV165-AV173</f>
        <v/>
      </c>
      <c r="AW174" s="36">
        <f>AW159-AW165-AW173</f>
        <v/>
      </c>
      <c r="AX174" s="36">
        <f>AX159-AX165-AX173</f>
        <v/>
      </c>
      <c r="AY174" s="36">
        <f>AY159-AY165-AY173</f>
        <v/>
      </c>
      <c r="AZ174" s="36">
        <f>AZ159-AZ165-AZ173</f>
        <v/>
      </c>
      <c r="BA174" s="36">
        <f>BA159-BA165-BA173</f>
        <v/>
      </c>
      <c r="BB174" s="36">
        <f>BB159-BB165-BB173</f>
        <v/>
      </c>
      <c r="BC174" s="36">
        <f>BC159-BC165-BC173</f>
        <v/>
      </c>
      <c r="BD174" s="36">
        <f>BD159-BD165-BD173</f>
        <v/>
      </c>
    </row>
    <row r="175">
      <c r="A175" s="2" t="inlineStr">
        <is>
          <t xml:space="preserve">   ^ subtracts what LEAVES, not what was offered — so 'returned to store' is</t>
        </is>
      </c>
    </row>
    <row r="176">
      <c r="A176" s="2" t="inlineStr">
        <is>
          <t xml:space="preserve">     never taken out at all, and shows up as next week's carried in.</t>
        </is>
      </c>
    </row>
    <row r="177">
      <c r="A177" s="27" t="inlineStr">
        <is>
          <t>Most stock its shelf life allows</t>
        </is>
      </c>
      <c r="B177" s="2" t="inlineStr">
        <is>
          <t>lb</t>
        </is>
      </c>
      <c r="E177" s="36">
        <f>SUMPRODUCT(($E$155:$BD$155&gt;=1-$F$12+2)*($E$155:$BD$155&lt;=1)*$E$156:$BD$156*POWER(1-$G$12,($E$155:$BD$155&lt;=1)*(1-$E$155:$BD$155)))</f>
        <v/>
      </c>
      <c r="F177" s="36">
        <f>SUMPRODUCT(($E$155:$BD$155&gt;=2-$F$12+2)*($E$155:$BD$155&lt;=2)*$E$156:$BD$156*POWER(1-$G$12,($E$155:$BD$155&lt;=2)*(2-$E$155:$BD$155)))</f>
        <v/>
      </c>
      <c r="G177" s="36">
        <f>SUMPRODUCT(($E$155:$BD$155&gt;=3-$F$12+2)*($E$155:$BD$155&lt;=3)*$E$156:$BD$156*POWER(1-$G$12,($E$155:$BD$155&lt;=3)*(3-$E$155:$BD$155)))</f>
        <v/>
      </c>
      <c r="H177" s="36">
        <f>SUMPRODUCT(($E$155:$BD$155&gt;=4-$F$12+2)*($E$155:$BD$155&lt;=4)*$E$156:$BD$156*POWER(1-$G$12,($E$155:$BD$155&lt;=4)*(4-$E$155:$BD$155)))</f>
        <v/>
      </c>
      <c r="I177" s="36">
        <f>SUMPRODUCT(($E$155:$BD$155&gt;=5-$F$12+2)*($E$155:$BD$155&lt;=5)*$E$156:$BD$156*POWER(1-$G$12,($E$155:$BD$155&lt;=5)*(5-$E$155:$BD$155)))</f>
        <v/>
      </c>
      <c r="J177" s="36">
        <f>SUMPRODUCT(($E$155:$BD$155&gt;=6-$F$12+2)*($E$155:$BD$155&lt;=6)*$E$156:$BD$156*POWER(1-$G$12,($E$155:$BD$155&lt;=6)*(6-$E$155:$BD$155)))</f>
        <v/>
      </c>
      <c r="K177" s="36">
        <f>SUMPRODUCT(($E$155:$BD$155&gt;=7-$F$12+2)*($E$155:$BD$155&lt;=7)*$E$156:$BD$156*POWER(1-$G$12,($E$155:$BD$155&lt;=7)*(7-$E$155:$BD$155)))</f>
        <v/>
      </c>
      <c r="L177" s="36">
        <f>SUMPRODUCT(($E$155:$BD$155&gt;=8-$F$12+2)*($E$155:$BD$155&lt;=8)*$E$156:$BD$156*POWER(1-$G$12,($E$155:$BD$155&lt;=8)*(8-$E$155:$BD$155)))</f>
        <v/>
      </c>
      <c r="M177" s="36">
        <f>SUMPRODUCT(($E$155:$BD$155&gt;=9-$F$12+2)*($E$155:$BD$155&lt;=9)*$E$156:$BD$156*POWER(1-$G$12,($E$155:$BD$155&lt;=9)*(9-$E$155:$BD$155)))</f>
        <v/>
      </c>
      <c r="N177" s="36">
        <f>SUMPRODUCT(($E$155:$BD$155&gt;=10-$F$12+2)*($E$155:$BD$155&lt;=10)*$E$156:$BD$156*POWER(1-$G$12,($E$155:$BD$155&lt;=10)*(10-$E$155:$BD$155)))</f>
        <v/>
      </c>
      <c r="O177" s="36">
        <f>SUMPRODUCT(($E$155:$BD$155&gt;=11-$F$12+2)*($E$155:$BD$155&lt;=11)*$E$156:$BD$156*POWER(1-$G$12,($E$155:$BD$155&lt;=11)*(11-$E$155:$BD$155)))</f>
        <v/>
      </c>
      <c r="P177" s="36">
        <f>SUMPRODUCT(($E$155:$BD$155&gt;=12-$F$12+2)*($E$155:$BD$155&lt;=12)*$E$156:$BD$156*POWER(1-$G$12,($E$155:$BD$155&lt;=12)*(12-$E$155:$BD$155)))</f>
        <v/>
      </c>
      <c r="Q177" s="36">
        <f>SUMPRODUCT(($E$155:$BD$155&gt;=13-$F$12+2)*($E$155:$BD$155&lt;=13)*$E$156:$BD$156*POWER(1-$G$12,($E$155:$BD$155&lt;=13)*(13-$E$155:$BD$155)))</f>
        <v/>
      </c>
      <c r="R177" s="36">
        <f>SUMPRODUCT(($E$155:$BD$155&gt;=14-$F$12+2)*($E$155:$BD$155&lt;=14)*$E$156:$BD$156*POWER(1-$G$12,($E$155:$BD$155&lt;=14)*(14-$E$155:$BD$155)))</f>
        <v/>
      </c>
      <c r="S177" s="36">
        <f>SUMPRODUCT(($E$155:$BD$155&gt;=15-$F$12+2)*($E$155:$BD$155&lt;=15)*$E$156:$BD$156*POWER(1-$G$12,($E$155:$BD$155&lt;=15)*(15-$E$155:$BD$155)))</f>
        <v/>
      </c>
      <c r="T177" s="36">
        <f>SUMPRODUCT(($E$155:$BD$155&gt;=16-$F$12+2)*($E$155:$BD$155&lt;=16)*$E$156:$BD$156*POWER(1-$G$12,($E$155:$BD$155&lt;=16)*(16-$E$155:$BD$155)))</f>
        <v/>
      </c>
      <c r="U177" s="36">
        <f>SUMPRODUCT(($E$155:$BD$155&gt;=17-$F$12+2)*($E$155:$BD$155&lt;=17)*$E$156:$BD$156*POWER(1-$G$12,($E$155:$BD$155&lt;=17)*(17-$E$155:$BD$155)))</f>
        <v/>
      </c>
      <c r="V177" s="36">
        <f>SUMPRODUCT(($E$155:$BD$155&gt;=18-$F$12+2)*($E$155:$BD$155&lt;=18)*$E$156:$BD$156*POWER(1-$G$12,($E$155:$BD$155&lt;=18)*(18-$E$155:$BD$155)))</f>
        <v/>
      </c>
      <c r="W177" s="36">
        <f>SUMPRODUCT(($E$155:$BD$155&gt;=19-$F$12+2)*($E$155:$BD$155&lt;=19)*$E$156:$BD$156*POWER(1-$G$12,($E$155:$BD$155&lt;=19)*(19-$E$155:$BD$155)))</f>
        <v/>
      </c>
      <c r="X177" s="36">
        <f>SUMPRODUCT(($E$155:$BD$155&gt;=20-$F$12+2)*($E$155:$BD$155&lt;=20)*$E$156:$BD$156*POWER(1-$G$12,($E$155:$BD$155&lt;=20)*(20-$E$155:$BD$155)))</f>
        <v/>
      </c>
      <c r="Y177" s="36">
        <f>SUMPRODUCT(($E$155:$BD$155&gt;=21-$F$12+2)*($E$155:$BD$155&lt;=21)*$E$156:$BD$156*POWER(1-$G$12,($E$155:$BD$155&lt;=21)*(21-$E$155:$BD$155)))</f>
        <v/>
      </c>
      <c r="Z177" s="36">
        <f>SUMPRODUCT(($E$155:$BD$155&gt;=22-$F$12+2)*($E$155:$BD$155&lt;=22)*$E$156:$BD$156*POWER(1-$G$12,($E$155:$BD$155&lt;=22)*(22-$E$155:$BD$155)))</f>
        <v/>
      </c>
      <c r="AA177" s="36">
        <f>SUMPRODUCT(($E$155:$BD$155&gt;=23-$F$12+2)*($E$155:$BD$155&lt;=23)*$E$156:$BD$156*POWER(1-$G$12,($E$155:$BD$155&lt;=23)*(23-$E$155:$BD$155)))</f>
        <v/>
      </c>
      <c r="AB177" s="36">
        <f>SUMPRODUCT(($E$155:$BD$155&gt;=24-$F$12+2)*($E$155:$BD$155&lt;=24)*$E$156:$BD$156*POWER(1-$G$12,($E$155:$BD$155&lt;=24)*(24-$E$155:$BD$155)))</f>
        <v/>
      </c>
      <c r="AC177" s="36">
        <f>SUMPRODUCT(($E$155:$BD$155&gt;=25-$F$12+2)*($E$155:$BD$155&lt;=25)*$E$156:$BD$156*POWER(1-$G$12,($E$155:$BD$155&lt;=25)*(25-$E$155:$BD$155)))</f>
        <v/>
      </c>
      <c r="AD177" s="36">
        <f>SUMPRODUCT(($E$155:$BD$155&gt;=26-$F$12+2)*($E$155:$BD$155&lt;=26)*$E$156:$BD$156*POWER(1-$G$12,($E$155:$BD$155&lt;=26)*(26-$E$155:$BD$155)))</f>
        <v/>
      </c>
      <c r="AE177" s="36">
        <f>SUMPRODUCT(($E$155:$BD$155&gt;=27-$F$12+2)*($E$155:$BD$155&lt;=27)*$E$156:$BD$156*POWER(1-$G$12,($E$155:$BD$155&lt;=27)*(27-$E$155:$BD$155)))</f>
        <v/>
      </c>
      <c r="AF177" s="36">
        <f>SUMPRODUCT(($E$155:$BD$155&gt;=28-$F$12+2)*($E$155:$BD$155&lt;=28)*$E$156:$BD$156*POWER(1-$G$12,($E$155:$BD$155&lt;=28)*(28-$E$155:$BD$155)))</f>
        <v/>
      </c>
      <c r="AG177" s="36">
        <f>SUMPRODUCT(($E$155:$BD$155&gt;=29-$F$12+2)*($E$155:$BD$155&lt;=29)*$E$156:$BD$156*POWER(1-$G$12,($E$155:$BD$155&lt;=29)*(29-$E$155:$BD$155)))</f>
        <v/>
      </c>
      <c r="AH177" s="36">
        <f>SUMPRODUCT(($E$155:$BD$155&gt;=30-$F$12+2)*($E$155:$BD$155&lt;=30)*$E$156:$BD$156*POWER(1-$G$12,($E$155:$BD$155&lt;=30)*(30-$E$155:$BD$155)))</f>
        <v/>
      </c>
      <c r="AI177" s="36">
        <f>SUMPRODUCT(($E$155:$BD$155&gt;=31-$F$12+2)*($E$155:$BD$155&lt;=31)*$E$156:$BD$156*POWER(1-$G$12,($E$155:$BD$155&lt;=31)*(31-$E$155:$BD$155)))</f>
        <v/>
      </c>
      <c r="AJ177" s="36">
        <f>SUMPRODUCT(($E$155:$BD$155&gt;=32-$F$12+2)*($E$155:$BD$155&lt;=32)*$E$156:$BD$156*POWER(1-$G$12,($E$155:$BD$155&lt;=32)*(32-$E$155:$BD$155)))</f>
        <v/>
      </c>
      <c r="AK177" s="36">
        <f>SUMPRODUCT(($E$155:$BD$155&gt;=33-$F$12+2)*($E$155:$BD$155&lt;=33)*$E$156:$BD$156*POWER(1-$G$12,($E$155:$BD$155&lt;=33)*(33-$E$155:$BD$155)))</f>
        <v/>
      </c>
      <c r="AL177" s="36">
        <f>SUMPRODUCT(($E$155:$BD$155&gt;=34-$F$12+2)*($E$155:$BD$155&lt;=34)*$E$156:$BD$156*POWER(1-$G$12,($E$155:$BD$155&lt;=34)*(34-$E$155:$BD$155)))</f>
        <v/>
      </c>
      <c r="AM177" s="36">
        <f>SUMPRODUCT(($E$155:$BD$155&gt;=35-$F$12+2)*($E$155:$BD$155&lt;=35)*$E$156:$BD$156*POWER(1-$G$12,($E$155:$BD$155&lt;=35)*(35-$E$155:$BD$155)))</f>
        <v/>
      </c>
      <c r="AN177" s="36">
        <f>SUMPRODUCT(($E$155:$BD$155&gt;=36-$F$12+2)*($E$155:$BD$155&lt;=36)*$E$156:$BD$156*POWER(1-$G$12,($E$155:$BD$155&lt;=36)*(36-$E$155:$BD$155)))</f>
        <v/>
      </c>
      <c r="AO177" s="36">
        <f>SUMPRODUCT(($E$155:$BD$155&gt;=37-$F$12+2)*($E$155:$BD$155&lt;=37)*$E$156:$BD$156*POWER(1-$G$12,($E$155:$BD$155&lt;=37)*(37-$E$155:$BD$155)))</f>
        <v/>
      </c>
      <c r="AP177" s="36">
        <f>SUMPRODUCT(($E$155:$BD$155&gt;=38-$F$12+2)*($E$155:$BD$155&lt;=38)*$E$156:$BD$156*POWER(1-$G$12,($E$155:$BD$155&lt;=38)*(38-$E$155:$BD$155)))</f>
        <v/>
      </c>
      <c r="AQ177" s="36">
        <f>SUMPRODUCT(($E$155:$BD$155&gt;=39-$F$12+2)*($E$155:$BD$155&lt;=39)*$E$156:$BD$156*POWER(1-$G$12,($E$155:$BD$155&lt;=39)*(39-$E$155:$BD$155)))</f>
        <v/>
      </c>
      <c r="AR177" s="36">
        <f>SUMPRODUCT(($E$155:$BD$155&gt;=40-$F$12+2)*($E$155:$BD$155&lt;=40)*$E$156:$BD$156*POWER(1-$G$12,($E$155:$BD$155&lt;=40)*(40-$E$155:$BD$155)))</f>
        <v/>
      </c>
      <c r="AS177" s="36">
        <f>SUMPRODUCT(($E$155:$BD$155&gt;=41-$F$12+2)*($E$155:$BD$155&lt;=41)*$E$156:$BD$156*POWER(1-$G$12,($E$155:$BD$155&lt;=41)*(41-$E$155:$BD$155)))</f>
        <v/>
      </c>
      <c r="AT177" s="36">
        <f>SUMPRODUCT(($E$155:$BD$155&gt;=42-$F$12+2)*($E$155:$BD$155&lt;=42)*$E$156:$BD$156*POWER(1-$G$12,($E$155:$BD$155&lt;=42)*(42-$E$155:$BD$155)))</f>
        <v/>
      </c>
      <c r="AU177" s="36">
        <f>SUMPRODUCT(($E$155:$BD$155&gt;=43-$F$12+2)*($E$155:$BD$155&lt;=43)*$E$156:$BD$156*POWER(1-$G$12,($E$155:$BD$155&lt;=43)*(43-$E$155:$BD$155)))</f>
        <v/>
      </c>
      <c r="AV177" s="36">
        <f>SUMPRODUCT(($E$155:$BD$155&gt;=44-$F$12+2)*($E$155:$BD$155&lt;=44)*$E$156:$BD$156*POWER(1-$G$12,($E$155:$BD$155&lt;=44)*(44-$E$155:$BD$155)))</f>
        <v/>
      </c>
      <c r="AW177" s="36">
        <f>SUMPRODUCT(($E$155:$BD$155&gt;=45-$F$12+2)*($E$155:$BD$155&lt;=45)*$E$156:$BD$156*POWER(1-$G$12,($E$155:$BD$155&lt;=45)*(45-$E$155:$BD$155)))</f>
        <v/>
      </c>
      <c r="AX177" s="36">
        <f>SUMPRODUCT(($E$155:$BD$155&gt;=46-$F$12+2)*($E$155:$BD$155&lt;=46)*$E$156:$BD$156*POWER(1-$G$12,($E$155:$BD$155&lt;=46)*(46-$E$155:$BD$155)))</f>
        <v/>
      </c>
      <c r="AY177" s="36">
        <f>SUMPRODUCT(($E$155:$BD$155&gt;=47-$F$12+2)*($E$155:$BD$155&lt;=47)*$E$156:$BD$156*POWER(1-$G$12,($E$155:$BD$155&lt;=47)*(47-$E$155:$BD$155)))</f>
        <v/>
      </c>
      <c r="AZ177" s="36">
        <f>SUMPRODUCT(($E$155:$BD$155&gt;=48-$F$12+2)*($E$155:$BD$155&lt;=48)*$E$156:$BD$156*POWER(1-$G$12,($E$155:$BD$155&lt;=48)*(48-$E$155:$BD$155)))</f>
        <v/>
      </c>
      <c r="BA177" s="36">
        <f>SUMPRODUCT(($E$155:$BD$155&gt;=49-$F$12+2)*($E$155:$BD$155&lt;=49)*$E$156:$BD$156*POWER(1-$G$12,($E$155:$BD$155&lt;=49)*(49-$E$155:$BD$155)))</f>
        <v/>
      </c>
      <c r="BB177" s="36">
        <f>SUMPRODUCT(($E$155:$BD$155&gt;=50-$F$12+2)*($E$155:$BD$155&lt;=50)*$E$156:$BD$156*POWER(1-$G$12,($E$155:$BD$155&lt;=50)*(50-$E$155:$BD$155)))</f>
        <v/>
      </c>
      <c r="BC177" s="36">
        <f>SUMPRODUCT(($E$155:$BD$155&gt;=51-$F$12+2)*($E$155:$BD$155&lt;=51)*$E$156:$BD$156*POWER(1-$G$12,($E$155:$BD$155&lt;=51)*(51-$E$155:$BD$155)))</f>
        <v/>
      </c>
      <c r="BD177" s="36">
        <f>SUMPRODUCT(($E$155:$BD$155&gt;=52-$F$12+2)*($E$155:$BD$155&lt;=52)*$E$156:$BD$156*POWER(1-$G$12,($E$155:$BD$155&lt;=52)*(52-$E$155:$BD$155)))</f>
        <v/>
      </c>
    </row>
    <row r="178">
      <c r="A178" s="2" t="inlineStr">
        <is>
          <t xml:space="preserve">   Stock carried out must stay at or below this row.</t>
        </is>
      </c>
    </row>
    <row r="179">
      <c r="A179" s="27" t="inlineStr">
        <is>
          <t>Growing cost this week</t>
        </is>
      </c>
      <c r="B179" s="2" t="inlineStr">
        <is>
          <t>$</t>
        </is>
      </c>
      <c r="E179" s="36">
        <f>SUMPRODUCT(($B$38:$B$105="Kale")*(E$38:E$105="P")*$C$38:$C$105)*$K$12+SUMPRODUCT(($B$38:$B$105="Kale")*(E$38:E$105="G")*$C$38:$C$105)*$L$12+SUMPRODUCT(($B$38:$B$105="Kale")*(E$38:E$105="H")*$C$38:$C$105)*$M$12+SUMPRODUCT(($B$38:$B$105="Kale")*($BG$38:$BG$105=1)*$C$38:$C$105)*$H$12</f>
        <v/>
      </c>
      <c r="F179" s="36">
        <f>SUMPRODUCT(($B$38:$B$105="Kale")*(F$38:F$105="P")*$C$38:$C$105)*$K$12+SUMPRODUCT(($B$38:$B$105="Kale")*(F$38:F$105="G")*$C$38:$C$105)*$L$12+SUMPRODUCT(($B$38:$B$105="Kale")*(F$38:F$105="H")*$C$38:$C$105)*$M$12+SUMPRODUCT(($B$38:$B$105="Kale")*($BG$38:$BG$105=2)*$C$38:$C$105)*$H$12</f>
        <v/>
      </c>
      <c r="G179" s="36">
        <f>SUMPRODUCT(($B$38:$B$105="Kale")*(G$38:G$105="P")*$C$38:$C$105)*$K$12+SUMPRODUCT(($B$38:$B$105="Kale")*(G$38:G$105="G")*$C$38:$C$105)*$L$12+SUMPRODUCT(($B$38:$B$105="Kale")*(G$38:G$105="H")*$C$38:$C$105)*$M$12+SUMPRODUCT(($B$38:$B$105="Kale")*($BG$38:$BG$105=3)*$C$38:$C$105)*$H$12</f>
        <v/>
      </c>
      <c r="H179" s="36">
        <f>SUMPRODUCT(($B$38:$B$105="Kale")*(H$38:H$105="P")*$C$38:$C$105)*$K$12+SUMPRODUCT(($B$38:$B$105="Kale")*(H$38:H$105="G")*$C$38:$C$105)*$L$12+SUMPRODUCT(($B$38:$B$105="Kale")*(H$38:H$105="H")*$C$38:$C$105)*$M$12+SUMPRODUCT(($B$38:$B$105="Kale")*($BG$38:$BG$105=4)*$C$38:$C$105)*$H$12</f>
        <v/>
      </c>
      <c r="I179" s="36">
        <f>SUMPRODUCT(($B$38:$B$105="Kale")*(I$38:I$105="P")*$C$38:$C$105)*$K$12+SUMPRODUCT(($B$38:$B$105="Kale")*(I$38:I$105="G")*$C$38:$C$105)*$L$12+SUMPRODUCT(($B$38:$B$105="Kale")*(I$38:I$105="H")*$C$38:$C$105)*$M$12+SUMPRODUCT(($B$38:$B$105="Kale")*($BG$38:$BG$105=5)*$C$38:$C$105)*$H$12</f>
        <v/>
      </c>
      <c r="J179" s="36">
        <f>SUMPRODUCT(($B$38:$B$105="Kale")*(J$38:J$105="P")*$C$38:$C$105)*$K$12+SUMPRODUCT(($B$38:$B$105="Kale")*(J$38:J$105="G")*$C$38:$C$105)*$L$12+SUMPRODUCT(($B$38:$B$105="Kale")*(J$38:J$105="H")*$C$38:$C$105)*$M$12+SUMPRODUCT(($B$38:$B$105="Kale")*($BG$38:$BG$105=6)*$C$38:$C$105)*$H$12</f>
        <v/>
      </c>
      <c r="K179" s="36">
        <f>SUMPRODUCT(($B$38:$B$105="Kale")*(K$38:K$105="P")*$C$38:$C$105)*$K$12+SUMPRODUCT(($B$38:$B$105="Kale")*(K$38:K$105="G")*$C$38:$C$105)*$L$12+SUMPRODUCT(($B$38:$B$105="Kale")*(K$38:K$105="H")*$C$38:$C$105)*$M$12+SUMPRODUCT(($B$38:$B$105="Kale")*($BG$38:$BG$105=7)*$C$38:$C$105)*$H$12</f>
        <v/>
      </c>
      <c r="L179" s="36">
        <f>SUMPRODUCT(($B$38:$B$105="Kale")*(L$38:L$105="P")*$C$38:$C$105)*$K$12+SUMPRODUCT(($B$38:$B$105="Kale")*(L$38:L$105="G")*$C$38:$C$105)*$L$12+SUMPRODUCT(($B$38:$B$105="Kale")*(L$38:L$105="H")*$C$38:$C$105)*$M$12+SUMPRODUCT(($B$38:$B$105="Kale")*($BG$38:$BG$105=8)*$C$38:$C$105)*$H$12</f>
        <v/>
      </c>
      <c r="M179" s="36">
        <f>SUMPRODUCT(($B$38:$B$105="Kale")*(M$38:M$105="P")*$C$38:$C$105)*$K$12+SUMPRODUCT(($B$38:$B$105="Kale")*(M$38:M$105="G")*$C$38:$C$105)*$L$12+SUMPRODUCT(($B$38:$B$105="Kale")*(M$38:M$105="H")*$C$38:$C$105)*$M$12+SUMPRODUCT(($B$38:$B$105="Kale")*($BG$38:$BG$105=9)*$C$38:$C$105)*$H$12</f>
        <v/>
      </c>
      <c r="N179" s="36">
        <f>SUMPRODUCT(($B$38:$B$105="Kale")*(N$38:N$105="P")*$C$38:$C$105)*$K$12+SUMPRODUCT(($B$38:$B$105="Kale")*(N$38:N$105="G")*$C$38:$C$105)*$L$12+SUMPRODUCT(($B$38:$B$105="Kale")*(N$38:N$105="H")*$C$38:$C$105)*$M$12+SUMPRODUCT(($B$38:$B$105="Kale")*($BG$38:$BG$105=10)*$C$38:$C$105)*$H$12</f>
        <v/>
      </c>
      <c r="O179" s="36">
        <f>SUMPRODUCT(($B$38:$B$105="Kale")*(O$38:O$105="P")*$C$38:$C$105)*$K$12+SUMPRODUCT(($B$38:$B$105="Kale")*(O$38:O$105="G")*$C$38:$C$105)*$L$12+SUMPRODUCT(($B$38:$B$105="Kale")*(O$38:O$105="H")*$C$38:$C$105)*$M$12+SUMPRODUCT(($B$38:$B$105="Kale")*($BG$38:$BG$105=11)*$C$38:$C$105)*$H$12</f>
        <v/>
      </c>
      <c r="P179" s="36">
        <f>SUMPRODUCT(($B$38:$B$105="Kale")*(P$38:P$105="P")*$C$38:$C$105)*$K$12+SUMPRODUCT(($B$38:$B$105="Kale")*(P$38:P$105="G")*$C$38:$C$105)*$L$12+SUMPRODUCT(($B$38:$B$105="Kale")*(P$38:P$105="H")*$C$38:$C$105)*$M$12+SUMPRODUCT(($B$38:$B$105="Kale")*($BG$38:$BG$105=12)*$C$38:$C$105)*$H$12</f>
        <v/>
      </c>
      <c r="Q179" s="36">
        <f>SUMPRODUCT(($B$38:$B$105="Kale")*(Q$38:Q$105="P")*$C$38:$C$105)*$K$12+SUMPRODUCT(($B$38:$B$105="Kale")*(Q$38:Q$105="G")*$C$38:$C$105)*$L$12+SUMPRODUCT(($B$38:$B$105="Kale")*(Q$38:Q$105="H")*$C$38:$C$105)*$M$12+SUMPRODUCT(($B$38:$B$105="Kale")*($BG$38:$BG$105=13)*$C$38:$C$105)*$H$12</f>
        <v/>
      </c>
      <c r="R179" s="36">
        <f>SUMPRODUCT(($B$38:$B$105="Kale")*(R$38:R$105="P")*$C$38:$C$105)*$K$12+SUMPRODUCT(($B$38:$B$105="Kale")*(R$38:R$105="G")*$C$38:$C$105)*$L$12+SUMPRODUCT(($B$38:$B$105="Kale")*(R$38:R$105="H")*$C$38:$C$105)*$M$12+SUMPRODUCT(($B$38:$B$105="Kale")*($BG$38:$BG$105=14)*$C$38:$C$105)*$H$12</f>
        <v/>
      </c>
      <c r="S179" s="36">
        <f>SUMPRODUCT(($B$38:$B$105="Kale")*(S$38:S$105="P")*$C$38:$C$105)*$K$12+SUMPRODUCT(($B$38:$B$105="Kale")*(S$38:S$105="G")*$C$38:$C$105)*$L$12+SUMPRODUCT(($B$38:$B$105="Kale")*(S$38:S$105="H")*$C$38:$C$105)*$M$12+SUMPRODUCT(($B$38:$B$105="Kale")*($BG$38:$BG$105=15)*$C$38:$C$105)*$H$12</f>
        <v/>
      </c>
      <c r="T179" s="36">
        <f>SUMPRODUCT(($B$38:$B$105="Kale")*(T$38:T$105="P")*$C$38:$C$105)*$K$12+SUMPRODUCT(($B$38:$B$105="Kale")*(T$38:T$105="G")*$C$38:$C$105)*$L$12+SUMPRODUCT(($B$38:$B$105="Kale")*(T$38:T$105="H")*$C$38:$C$105)*$M$12+SUMPRODUCT(($B$38:$B$105="Kale")*($BG$38:$BG$105=16)*$C$38:$C$105)*$H$12</f>
        <v/>
      </c>
      <c r="U179" s="36">
        <f>SUMPRODUCT(($B$38:$B$105="Kale")*(U$38:U$105="P")*$C$38:$C$105)*$K$12+SUMPRODUCT(($B$38:$B$105="Kale")*(U$38:U$105="G")*$C$38:$C$105)*$L$12+SUMPRODUCT(($B$38:$B$105="Kale")*(U$38:U$105="H")*$C$38:$C$105)*$M$12+SUMPRODUCT(($B$38:$B$105="Kale")*($BG$38:$BG$105=17)*$C$38:$C$105)*$H$12</f>
        <v/>
      </c>
      <c r="V179" s="36">
        <f>SUMPRODUCT(($B$38:$B$105="Kale")*(V$38:V$105="P")*$C$38:$C$105)*$K$12+SUMPRODUCT(($B$38:$B$105="Kale")*(V$38:V$105="G")*$C$38:$C$105)*$L$12+SUMPRODUCT(($B$38:$B$105="Kale")*(V$38:V$105="H")*$C$38:$C$105)*$M$12+SUMPRODUCT(($B$38:$B$105="Kale")*($BG$38:$BG$105=18)*$C$38:$C$105)*$H$12</f>
        <v/>
      </c>
      <c r="W179" s="36">
        <f>SUMPRODUCT(($B$38:$B$105="Kale")*(W$38:W$105="P")*$C$38:$C$105)*$K$12+SUMPRODUCT(($B$38:$B$105="Kale")*(W$38:W$105="G")*$C$38:$C$105)*$L$12+SUMPRODUCT(($B$38:$B$105="Kale")*(W$38:W$105="H")*$C$38:$C$105)*$M$12+SUMPRODUCT(($B$38:$B$105="Kale")*($BG$38:$BG$105=19)*$C$38:$C$105)*$H$12</f>
        <v/>
      </c>
      <c r="X179" s="36">
        <f>SUMPRODUCT(($B$38:$B$105="Kale")*(X$38:X$105="P")*$C$38:$C$105)*$K$12+SUMPRODUCT(($B$38:$B$105="Kale")*(X$38:X$105="G")*$C$38:$C$105)*$L$12+SUMPRODUCT(($B$38:$B$105="Kale")*(X$38:X$105="H")*$C$38:$C$105)*$M$12+SUMPRODUCT(($B$38:$B$105="Kale")*($BG$38:$BG$105=20)*$C$38:$C$105)*$H$12</f>
        <v/>
      </c>
      <c r="Y179" s="36">
        <f>SUMPRODUCT(($B$38:$B$105="Kale")*(Y$38:Y$105="P")*$C$38:$C$105)*$K$12+SUMPRODUCT(($B$38:$B$105="Kale")*(Y$38:Y$105="G")*$C$38:$C$105)*$L$12+SUMPRODUCT(($B$38:$B$105="Kale")*(Y$38:Y$105="H")*$C$38:$C$105)*$M$12+SUMPRODUCT(($B$38:$B$105="Kale")*($BG$38:$BG$105=21)*$C$38:$C$105)*$H$12</f>
        <v/>
      </c>
      <c r="Z179" s="36">
        <f>SUMPRODUCT(($B$38:$B$105="Kale")*(Z$38:Z$105="P")*$C$38:$C$105)*$K$12+SUMPRODUCT(($B$38:$B$105="Kale")*(Z$38:Z$105="G")*$C$38:$C$105)*$L$12+SUMPRODUCT(($B$38:$B$105="Kale")*(Z$38:Z$105="H")*$C$38:$C$105)*$M$12+SUMPRODUCT(($B$38:$B$105="Kale")*($BG$38:$BG$105=22)*$C$38:$C$105)*$H$12</f>
        <v/>
      </c>
      <c r="AA179" s="36">
        <f>SUMPRODUCT(($B$38:$B$105="Kale")*(AA$38:AA$105="P")*$C$38:$C$105)*$K$12+SUMPRODUCT(($B$38:$B$105="Kale")*(AA$38:AA$105="G")*$C$38:$C$105)*$L$12+SUMPRODUCT(($B$38:$B$105="Kale")*(AA$38:AA$105="H")*$C$38:$C$105)*$M$12+SUMPRODUCT(($B$38:$B$105="Kale")*($BG$38:$BG$105=23)*$C$38:$C$105)*$H$12</f>
        <v/>
      </c>
      <c r="AB179" s="36">
        <f>SUMPRODUCT(($B$38:$B$105="Kale")*(AB$38:AB$105="P")*$C$38:$C$105)*$K$12+SUMPRODUCT(($B$38:$B$105="Kale")*(AB$38:AB$105="G")*$C$38:$C$105)*$L$12+SUMPRODUCT(($B$38:$B$105="Kale")*(AB$38:AB$105="H")*$C$38:$C$105)*$M$12+SUMPRODUCT(($B$38:$B$105="Kale")*($BG$38:$BG$105=24)*$C$38:$C$105)*$H$12</f>
        <v/>
      </c>
      <c r="AC179" s="36">
        <f>SUMPRODUCT(($B$38:$B$105="Kale")*(AC$38:AC$105="P")*$C$38:$C$105)*$K$12+SUMPRODUCT(($B$38:$B$105="Kale")*(AC$38:AC$105="G")*$C$38:$C$105)*$L$12+SUMPRODUCT(($B$38:$B$105="Kale")*(AC$38:AC$105="H")*$C$38:$C$105)*$M$12+SUMPRODUCT(($B$38:$B$105="Kale")*($BG$38:$BG$105=25)*$C$38:$C$105)*$H$12</f>
        <v/>
      </c>
      <c r="AD179" s="36">
        <f>SUMPRODUCT(($B$38:$B$105="Kale")*(AD$38:AD$105="P")*$C$38:$C$105)*$K$12+SUMPRODUCT(($B$38:$B$105="Kale")*(AD$38:AD$105="G")*$C$38:$C$105)*$L$12+SUMPRODUCT(($B$38:$B$105="Kale")*(AD$38:AD$105="H")*$C$38:$C$105)*$M$12+SUMPRODUCT(($B$38:$B$105="Kale")*($BG$38:$BG$105=26)*$C$38:$C$105)*$H$12</f>
        <v/>
      </c>
      <c r="AE179" s="36">
        <f>SUMPRODUCT(($B$38:$B$105="Kale")*(AE$38:AE$105="P")*$C$38:$C$105)*$K$12+SUMPRODUCT(($B$38:$B$105="Kale")*(AE$38:AE$105="G")*$C$38:$C$105)*$L$12+SUMPRODUCT(($B$38:$B$105="Kale")*(AE$38:AE$105="H")*$C$38:$C$105)*$M$12+SUMPRODUCT(($B$38:$B$105="Kale")*($BG$38:$BG$105=27)*$C$38:$C$105)*$H$12</f>
        <v/>
      </c>
      <c r="AF179" s="36">
        <f>SUMPRODUCT(($B$38:$B$105="Kale")*(AF$38:AF$105="P")*$C$38:$C$105)*$K$12+SUMPRODUCT(($B$38:$B$105="Kale")*(AF$38:AF$105="G")*$C$38:$C$105)*$L$12+SUMPRODUCT(($B$38:$B$105="Kale")*(AF$38:AF$105="H")*$C$38:$C$105)*$M$12+SUMPRODUCT(($B$38:$B$105="Kale")*($BG$38:$BG$105=28)*$C$38:$C$105)*$H$12</f>
        <v/>
      </c>
      <c r="AG179" s="36">
        <f>SUMPRODUCT(($B$38:$B$105="Kale")*(AG$38:AG$105="P")*$C$38:$C$105)*$K$12+SUMPRODUCT(($B$38:$B$105="Kale")*(AG$38:AG$105="G")*$C$38:$C$105)*$L$12+SUMPRODUCT(($B$38:$B$105="Kale")*(AG$38:AG$105="H")*$C$38:$C$105)*$M$12+SUMPRODUCT(($B$38:$B$105="Kale")*($BG$38:$BG$105=29)*$C$38:$C$105)*$H$12</f>
        <v/>
      </c>
      <c r="AH179" s="36">
        <f>SUMPRODUCT(($B$38:$B$105="Kale")*(AH$38:AH$105="P")*$C$38:$C$105)*$K$12+SUMPRODUCT(($B$38:$B$105="Kale")*(AH$38:AH$105="G")*$C$38:$C$105)*$L$12+SUMPRODUCT(($B$38:$B$105="Kale")*(AH$38:AH$105="H")*$C$38:$C$105)*$M$12+SUMPRODUCT(($B$38:$B$105="Kale")*($BG$38:$BG$105=30)*$C$38:$C$105)*$H$12</f>
        <v/>
      </c>
      <c r="AI179" s="36">
        <f>SUMPRODUCT(($B$38:$B$105="Kale")*(AI$38:AI$105="P")*$C$38:$C$105)*$K$12+SUMPRODUCT(($B$38:$B$105="Kale")*(AI$38:AI$105="G")*$C$38:$C$105)*$L$12+SUMPRODUCT(($B$38:$B$105="Kale")*(AI$38:AI$105="H")*$C$38:$C$105)*$M$12+SUMPRODUCT(($B$38:$B$105="Kale")*($BG$38:$BG$105=31)*$C$38:$C$105)*$H$12</f>
        <v/>
      </c>
      <c r="AJ179" s="36">
        <f>SUMPRODUCT(($B$38:$B$105="Kale")*(AJ$38:AJ$105="P")*$C$38:$C$105)*$K$12+SUMPRODUCT(($B$38:$B$105="Kale")*(AJ$38:AJ$105="G")*$C$38:$C$105)*$L$12+SUMPRODUCT(($B$38:$B$105="Kale")*(AJ$38:AJ$105="H")*$C$38:$C$105)*$M$12+SUMPRODUCT(($B$38:$B$105="Kale")*($BG$38:$BG$105=32)*$C$38:$C$105)*$H$12</f>
        <v/>
      </c>
      <c r="AK179" s="36">
        <f>SUMPRODUCT(($B$38:$B$105="Kale")*(AK$38:AK$105="P")*$C$38:$C$105)*$K$12+SUMPRODUCT(($B$38:$B$105="Kale")*(AK$38:AK$105="G")*$C$38:$C$105)*$L$12+SUMPRODUCT(($B$38:$B$105="Kale")*(AK$38:AK$105="H")*$C$38:$C$105)*$M$12+SUMPRODUCT(($B$38:$B$105="Kale")*($BG$38:$BG$105=33)*$C$38:$C$105)*$H$12</f>
        <v/>
      </c>
      <c r="AL179" s="36">
        <f>SUMPRODUCT(($B$38:$B$105="Kale")*(AL$38:AL$105="P")*$C$38:$C$105)*$K$12+SUMPRODUCT(($B$38:$B$105="Kale")*(AL$38:AL$105="G")*$C$38:$C$105)*$L$12+SUMPRODUCT(($B$38:$B$105="Kale")*(AL$38:AL$105="H")*$C$38:$C$105)*$M$12+SUMPRODUCT(($B$38:$B$105="Kale")*($BG$38:$BG$105=34)*$C$38:$C$105)*$H$12</f>
        <v/>
      </c>
      <c r="AM179" s="36">
        <f>SUMPRODUCT(($B$38:$B$105="Kale")*(AM$38:AM$105="P")*$C$38:$C$105)*$K$12+SUMPRODUCT(($B$38:$B$105="Kale")*(AM$38:AM$105="G")*$C$38:$C$105)*$L$12+SUMPRODUCT(($B$38:$B$105="Kale")*(AM$38:AM$105="H")*$C$38:$C$105)*$M$12+SUMPRODUCT(($B$38:$B$105="Kale")*($BG$38:$BG$105=35)*$C$38:$C$105)*$H$12</f>
        <v/>
      </c>
      <c r="AN179" s="36">
        <f>SUMPRODUCT(($B$38:$B$105="Kale")*(AN$38:AN$105="P")*$C$38:$C$105)*$K$12+SUMPRODUCT(($B$38:$B$105="Kale")*(AN$38:AN$105="G")*$C$38:$C$105)*$L$12+SUMPRODUCT(($B$38:$B$105="Kale")*(AN$38:AN$105="H")*$C$38:$C$105)*$M$12+SUMPRODUCT(($B$38:$B$105="Kale")*($BG$38:$BG$105=36)*$C$38:$C$105)*$H$12</f>
        <v/>
      </c>
      <c r="AO179" s="36">
        <f>SUMPRODUCT(($B$38:$B$105="Kale")*(AO$38:AO$105="P")*$C$38:$C$105)*$K$12+SUMPRODUCT(($B$38:$B$105="Kale")*(AO$38:AO$105="G")*$C$38:$C$105)*$L$12+SUMPRODUCT(($B$38:$B$105="Kale")*(AO$38:AO$105="H")*$C$38:$C$105)*$M$12+SUMPRODUCT(($B$38:$B$105="Kale")*($BG$38:$BG$105=37)*$C$38:$C$105)*$H$12</f>
        <v/>
      </c>
      <c r="AP179" s="36">
        <f>SUMPRODUCT(($B$38:$B$105="Kale")*(AP$38:AP$105="P")*$C$38:$C$105)*$K$12+SUMPRODUCT(($B$38:$B$105="Kale")*(AP$38:AP$105="G")*$C$38:$C$105)*$L$12+SUMPRODUCT(($B$38:$B$105="Kale")*(AP$38:AP$105="H")*$C$38:$C$105)*$M$12+SUMPRODUCT(($B$38:$B$105="Kale")*($BG$38:$BG$105=38)*$C$38:$C$105)*$H$12</f>
        <v/>
      </c>
      <c r="AQ179" s="36">
        <f>SUMPRODUCT(($B$38:$B$105="Kale")*(AQ$38:AQ$105="P")*$C$38:$C$105)*$K$12+SUMPRODUCT(($B$38:$B$105="Kale")*(AQ$38:AQ$105="G")*$C$38:$C$105)*$L$12+SUMPRODUCT(($B$38:$B$105="Kale")*(AQ$38:AQ$105="H")*$C$38:$C$105)*$M$12+SUMPRODUCT(($B$38:$B$105="Kale")*($BG$38:$BG$105=39)*$C$38:$C$105)*$H$12</f>
        <v/>
      </c>
      <c r="AR179" s="36">
        <f>SUMPRODUCT(($B$38:$B$105="Kale")*(AR$38:AR$105="P")*$C$38:$C$105)*$K$12+SUMPRODUCT(($B$38:$B$105="Kale")*(AR$38:AR$105="G")*$C$38:$C$105)*$L$12+SUMPRODUCT(($B$38:$B$105="Kale")*(AR$38:AR$105="H")*$C$38:$C$105)*$M$12+SUMPRODUCT(($B$38:$B$105="Kale")*($BG$38:$BG$105=40)*$C$38:$C$105)*$H$12</f>
        <v/>
      </c>
      <c r="AS179" s="36">
        <f>SUMPRODUCT(($B$38:$B$105="Kale")*(AS$38:AS$105="P")*$C$38:$C$105)*$K$12+SUMPRODUCT(($B$38:$B$105="Kale")*(AS$38:AS$105="G")*$C$38:$C$105)*$L$12+SUMPRODUCT(($B$38:$B$105="Kale")*(AS$38:AS$105="H")*$C$38:$C$105)*$M$12+SUMPRODUCT(($B$38:$B$105="Kale")*($BG$38:$BG$105=41)*$C$38:$C$105)*$H$12</f>
        <v/>
      </c>
      <c r="AT179" s="36">
        <f>SUMPRODUCT(($B$38:$B$105="Kale")*(AT$38:AT$105="P")*$C$38:$C$105)*$K$12+SUMPRODUCT(($B$38:$B$105="Kale")*(AT$38:AT$105="G")*$C$38:$C$105)*$L$12+SUMPRODUCT(($B$38:$B$105="Kale")*(AT$38:AT$105="H")*$C$38:$C$105)*$M$12+SUMPRODUCT(($B$38:$B$105="Kale")*($BG$38:$BG$105=42)*$C$38:$C$105)*$H$12</f>
        <v/>
      </c>
      <c r="AU179" s="36">
        <f>SUMPRODUCT(($B$38:$B$105="Kale")*(AU$38:AU$105="P")*$C$38:$C$105)*$K$12+SUMPRODUCT(($B$38:$B$105="Kale")*(AU$38:AU$105="G")*$C$38:$C$105)*$L$12+SUMPRODUCT(($B$38:$B$105="Kale")*(AU$38:AU$105="H")*$C$38:$C$105)*$M$12+SUMPRODUCT(($B$38:$B$105="Kale")*($BG$38:$BG$105=43)*$C$38:$C$105)*$H$12</f>
        <v/>
      </c>
      <c r="AV179" s="36">
        <f>SUMPRODUCT(($B$38:$B$105="Kale")*(AV$38:AV$105="P")*$C$38:$C$105)*$K$12+SUMPRODUCT(($B$38:$B$105="Kale")*(AV$38:AV$105="G")*$C$38:$C$105)*$L$12+SUMPRODUCT(($B$38:$B$105="Kale")*(AV$38:AV$105="H")*$C$38:$C$105)*$M$12+SUMPRODUCT(($B$38:$B$105="Kale")*($BG$38:$BG$105=44)*$C$38:$C$105)*$H$12</f>
        <v/>
      </c>
      <c r="AW179" s="36">
        <f>SUMPRODUCT(($B$38:$B$105="Kale")*(AW$38:AW$105="P")*$C$38:$C$105)*$K$12+SUMPRODUCT(($B$38:$B$105="Kale")*(AW$38:AW$105="G")*$C$38:$C$105)*$L$12+SUMPRODUCT(($B$38:$B$105="Kale")*(AW$38:AW$105="H")*$C$38:$C$105)*$M$12+SUMPRODUCT(($B$38:$B$105="Kale")*($BG$38:$BG$105=45)*$C$38:$C$105)*$H$12</f>
        <v/>
      </c>
      <c r="AX179" s="36">
        <f>SUMPRODUCT(($B$38:$B$105="Kale")*(AX$38:AX$105="P")*$C$38:$C$105)*$K$12+SUMPRODUCT(($B$38:$B$105="Kale")*(AX$38:AX$105="G")*$C$38:$C$105)*$L$12+SUMPRODUCT(($B$38:$B$105="Kale")*(AX$38:AX$105="H")*$C$38:$C$105)*$M$12+SUMPRODUCT(($B$38:$B$105="Kale")*($BG$38:$BG$105=46)*$C$38:$C$105)*$H$12</f>
        <v/>
      </c>
      <c r="AY179" s="36">
        <f>SUMPRODUCT(($B$38:$B$105="Kale")*(AY$38:AY$105="P")*$C$38:$C$105)*$K$12+SUMPRODUCT(($B$38:$B$105="Kale")*(AY$38:AY$105="G")*$C$38:$C$105)*$L$12+SUMPRODUCT(($B$38:$B$105="Kale")*(AY$38:AY$105="H")*$C$38:$C$105)*$M$12+SUMPRODUCT(($B$38:$B$105="Kale")*($BG$38:$BG$105=47)*$C$38:$C$105)*$H$12</f>
        <v/>
      </c>
      <c r="AZ179" s="36">
        <f>SUMPRODUCT(($B$38:$B$105="Kale")*(AZ$38:AZ$105="P")*$C$38:$C$105)*$K$12+SUMPRODUCT(($B$38:$B$105="Kale")*(AZ$38:AZ$105="G")*$C$38:$C$105)*$L$12+SUMPRODUCT(($B$38:$B$105="Kale")*(AZ$38:AZ$105="H")*$C$38:$C$105)*$M$12+SUMPRODUCT(($B$38:$B$105="Kale")*($BG$38:$BG$105=48)*$C$38:$C$105)*$H$12</f>
        <v/>
      </c>
      <c r="BA179" s="36">
        <f>SUMPRODUCT(($B$38:$B$105="Kale")*(BA$38:BA$105="P")*$C$38:$C$105)*$K$12+SUMPRODUCT(($B$38:$B$105="Kale")*(BA$38:BA$105="G")*$C$38:$C$105)*$L$12+SUMPRODUCT(($B$38:$B$105="Kale")*(BA$38:BA$105="H")*$C$38:$C$105)*$M$12+SUMPRODUCT(($B$38:$B$105="Kale")*($BG$38:$BG$105=49)*$C$38:$C$105)*$H$12</f>
        <v/>
      </c>
      <c r="BB179" s="36">
        <f>SUMPRODUCT(($B$38:$B$105="Kale")*(BB$38:BB$105="P")*$C$38:$C$105)*$K$12+SUMPRODUCT(($B$38:$B$105="Kale")*(BB$38:BB$105="G")*$C$38:$C$105)*$L$12+SUMPRODUCT(($B$38:$B$105="Kale")*(BB$38:BB$105="H")*$C$38:$C$105)*$M$12+SUMPRODUCT(($B$38:$B$105="Kale")*($BG$38:$BG$105=50)*$C$38:$C$105)*$H$12</f>
        <v/>
      </c>
      <c r="BC179" s="36">
        <f>SUMPRODUCT(($B$38:$B$105="Kale")*(BC$38:BC$105="P")*$C$38:$C$105)*$K$12+SUMPRODUCT(($B$38:$B$105="Kale")*(BC$38:BC$105="G")*$C$38:$C$105)*$L$12+SUMPRODUCT(($B$38:$B$105="Kale")*(BC$38:BC$105="H")*$C$38:$C$105)*$M$12+SUMPRODUCT(($B$38:$B$105="Kale")*($BG$38:$BG$105=51)*$C$38:$C$105)*$H$12</f>
        <v/>
      </c>
      <c r="BD179" s="36">
        <f>SUMPRODUCT(($B$38:$B$105="Kale")*(BD$38:BD$105="P")*$C$38:$C$105)*$K$12+SUMPRODUCT(($B$38:$B$105="Kale")*(BD$38:BD$105="G")*$C$38:$C$105)*$L$12+SUMPRODUCT(($B$38:$B$105="Kale")*(BD$38:BD$105="H")*$C$38:$C$105)*$M$12+SUMPRODUCT(($B$38:$B$105="Kale")*($BG$38:$BG$105=52)*$C$38:$C$105)*$H$12</f>
        <v/>
      </c>
    </row>
    <row r="180">
      <c r="A180" s="27" t="inlineStr">
        <is>
          <t>Packaging this week</t>
        </is>
      </c>
      <c r="B180" s="2" t="inlineStr">
        <is>
          <t>$</t>
        </is>
      </c>
      <c r="E180" s="36">
        <f>E162*$J$20+E170*$J$21</f>
        <v/>
      </c>
      <c r="F180" s="36">
        <f>F162*$J$20+F170*$J$21</f>
        <v/>
      </c>
      <c r="G180" s="36">
        <f>G162*$J$20+G170*$J$21</f>
        <v/>
      </c>
      <c r="H180" s="36">
        <f>H162*$J$20+H170*$J$21</f>
        <v/>
      </c>
      <c r="I180" s="36">
        <f>I162*$J$20+I170*$J$21</f>
        <v/>
      </c>
      <c r="J180" s="36">
        <f>J162*$J$20+J170*$J$21</f>
        <v/>
      </c>
      <c r="K180" s="36">
        <f>K162*$J$20+K170*$J$21</f>
        <v/>
      </c>
      <c r="L180" s="36">
        <f>L162*$J$20+L170*$J$21</f>
        <v/>
      </c>
      <c r="M180" s="36">
        <f>M162*$J$20+M170*$J$21</f>
        <v/>
      </c>
      <c r="N180" s="36">
        <f>N162*$J$20+N170*$J$21</f>
        <v/>
      </c>
      <c r="O180" s="36">
        <f>O162*$J$20+O170*$J$21</f>
        <v/>
      </c>
      <c r="P180" s="36">
        <f>P162*$J$20+P170*$J$21</f>
        <v/>
      </c>
      <c r="Q180" s="36">
        <f>Q162*$J$20+Q170*$J$21</f>
        <v/>
      </c>
      <c r="R180" s="36">
        <f>R162*$J$20+R170*$J$21</f>
        <v/>
      </c>
      <c r="S180" s="36">
        <f>S162*$J$20+S170*$J$21</f>
        <v/>
      </c>
      <c r="T180" s="36">
        <f>T162*$J$20+T170*$J$21</f>
        <v/>
      </c>
      <c r="U180" s="36">
        <f>U162*$J$20+U170*$J$21</f>
        <v/>
      </c>
      <c r="V180" s="36">
        <f>V162*$J$20+V170*$J$21</f>
        <v/>
      </c>
      <c r="W180" s="36">
        <f>W162*$J$20+W170*$J$21</f>
        <v/>
      </c>
      <c r="X180" s="36">
        <f>X162*$J$20+X170*$J$21</f>
        <v/>
      </c>
      <c r="Y180" s="36">
        <f>Y162*$J$20+Y170*$J$21</f>
        <v/>
      </c>
      <c r="Z180" s="36">
        <f>Z162*$J$20+Z170*$J$21</f>
        <v/>
      </c>
      <c r="AA180" s="36">
        <f>AA162*$J$20+AA170*$J$21</f>
        <v/>
      </c>
      <c r="AB180" s="36">
        <f>AB162*$J$20+AB170*$J$21</f>
        <v/>
      </c>
      <c r="AC180" s="36">
        <f>AC162*$J$20+AC170*$J$21</f>
        <v/>
      </c>
      <c r="AD180" s="36">
        <f>AD162*$J$20+AD170*$J$21</f>
        <v/>
      </c>
      <c r="AE180" s="36">
        <f>AE162*$J$20+AE170*$J$21</f>
        <v/>
      </c>
      <c r="AF180" s="36">
        <f>AF162*$J$20+AF170*$J$21</f>
        <v/>
      </c>
      <c r="AG180" s="36">
        <f>AG162*$J$20+AG170*$J$21</f>
        <v/>
      </c>
      <c r="AH180" s="36">
        <f>AH162*$J$20+AH170*$J$21</f>
        <v/>
      </c>
      <c r="AI180" s="36">
        <f>AI162*$J$20+AI170*$J$21</f>
        <v/>
      </c>
      <c r="AJ180" s="36">
        <f>AJ162*$J$20+AJ170*$J$21</f>
        <v/>
      </c>
      <c r="AK180" s="36">
        <f>AK162*$J$20+AK170*$J$21</f>
        <v/>
      </c>
      <c r="AL180" s="36">
        <f>AL162*$J$20+AL170*$J$21</f>
        <v/>
      </c>
      <c r="AM180" s="36">
        <f>AM162*$J$20+AM170*$J$21</f>
        <v/>
      </c>
      <c r="AN180" s="36">
        <f>AN162*$J$20+AN170*$J$21</f>
        <v/>
      </c>
      <c r="AO180" s="36">
        <f>AO162*$J$20+AO170*$J$21</f>
        <v/>
      </c>
      <c r="AP180" s="36">
        <f>AP162*$J$20+AP170*$J$21</f>
        <v/>
      </c>
      <c r="AQ180" s="36">
        <f>AQ162*$J$20+AQ170*$J$21</f>
        <v/>
      </c>
      <c r="AR180" s="36">
        <f>AR162*$J$20+AR170*$J$21</f>
        <v/>
      </c>
      <c r="AS180" s="36">
        <f>AS162*$J$20+AS170*$J$21</f>
        <v/>
      </c>
      <c r="AT180" s="36">
        <f>AT162*$J$20+AT170*$J$21</f>
        <v/>
      </c>
      <c r="AU180" s="36">
        <f>AU162*$J$20+AU170*$J$21</f>
        <v/>
      </c>
      <c r="AV180" s="36">
        <f>AV162*$J$20+AV170*$J$21</f>
        <v/>
      </c>
      <c r="AW180" s="36">
        <f>AW162*$J$20+AW170*$J$21</f>
        <v/>
      </c>
      <c r="AX180" s="36">
        <f>AX162*$J$20+AX170*$J$21</f>
        <v/>
      </c>
      <c r="AY180" s="36">
        <f>AY162*$J$20+AY170*$J$21</f>
        <v/>
      </c>
      <c r="AZ180" s="36">
        <f>AZ162*$J$20+AZ170*$J$21</f>
        <v/>
      </c>
      <c r="BA180" s="36">
        <f>BA162*$J$20+BA170*$J$21</f>
        <v/>
      </c>
      <c r="BB180" s="36">
        <f>BB162*$J$20+BB170*$J$21</f>
        <v/>
      </c>
      <c r="BC180" s="36">
        <f>BC162*$J$20+BC170*$J$21</f>
        <v/>
      </c>
      <c r="BD180" s="36">
        <f>BD162*$J$20+BD170*$J$21</f>
        <v/>
      </c>
    </row>
    <row r="181">
      <c r="A181" s="4" t="inlineStr">
        <is>
          <t>ROOM OCCUPANCY</t>
        </is>
      </c>
      <c r="B181" s="2" t="inlineStr">
        <is>
          <t>m3</t>
        </is>
      </c>
      <c r="E181" s="45">
        <f>(E157+E156)*$D$12</f>
        <v/>
      </c>
      <c r="F181" s="45">
        <f>(F157+F156)*$D$12</f>
        <v/>
      </c>
      <c r="G181" s="45">
        <f>(G157+G156)*$D$12</f>
        <v/>
      </c>
      <c r="H181" s="45">
        <f>(H157+H156)*$D$12</f>
        <v/>
      </c>
      <c r="I181" s="45">
        <f>(I157+I156)*$D$12</f>
        <v/>
      </c>
      <c r="J181" s="45">
        <f>(J157+J156)*$D$12</f>
        <v/>
      </c>
      <c r="K181" s="45">
        <f>(K157+K156)*$D$12</f>
        <v/>
      </c>
      <c r="L181" s="45">
        <f>(L157+L156)*$D$12</f>
        <v/>
      </c>
      <c r="M181" s="45">
        <f>(M157+M156)*$D$12</f>
        <v/>
      </c>
      <c r="N181" s="45">
        <f>(N157+N156)*$D$12</f>
        <v/>
      </c>
      <c r="O181" s="45">
        <f>(O157+O156)*$D$12</f>
        <v/>
      </c>
      <c r="P181" s="45">
        <f>(P157+P156)*$D$12</f>
        <v/>
      </c>
      <c r="Q181" s="45">
        <f>(Q157+Q156)*$D$12</f>
        <v/>
      </c>
      <c r="R181" s="45">
        <f>(R157+R156)*$D$12</f>
        <v/>
      </c>
      <c r="S181" s="45">
        <f>(S157+S156)*$D$12</f>
        <v/>
      </c>
      <c r="T181" s="45">
        <f>(T157+T156)*$D$12</f>
        <v/>
      </c>
      <c r="U181" s="45">
        <f>(U157+U156)*$D$12</f>
        <v/>
      </c>
      <c r="V181" s="45">
        <f>(V157+V156)*$D$12</f>
        <v/>
      </c>
      <c r="W181" s="45">
        <f>(W157+W156)*$D$12</f>
        <v/>
      </c>
      <c r="X181" s="45">
        <f>(X157+X156)*$D$12</f>
        <v/>
      </c>
      <c r="Y181" s="45">
        <f>(Y157+Y156)*$D$12</f>
        <v/>
      </c>
      <c r="Z181" s="45">
        <f>(Z157+Z156)*$D$12</f>
        <v/>
      </c>
      <c r="AA181" s="45">
        <f>(AA157+AA156)*$D$12</f>
        <v/>
      </c>
      <c r="AB181" s="45">
        <f>(AB157+AB156)*$D$12</f>
        <v/>
      </c>
      <c r="AC181" s="45">
        <f>(AC157+AC156)*$D$12</f>
        <v/>
      </c>
      <c r="AD181" s="45">
        <f>(AD157+AD156)*$D$12</f>
        <v/>
      </c>
      <c r="AE181" s="45">
        <f>(AE157+AE156)*$D$12</f>
        <v/>
      </c>
      <c r="AF181" s="45">
        <f>(AF157+AF156)*$D$12</f>
        <v/>
      </c>
      <c r="AG181" s="45">
        <f>(AG157+AG156)*$D$12</f>
        <v/>
      </c>
      <c r="AH181" s="45">
        <f>(AH157+AH156)*$D$12</f>
        <v/>
      </c>
      <c r="AI181" s="45">
        <f>(AI157+AI156)*$D$12</f>
        <v/>
      </c>
      <c r="AJ181" s="45">
        <f>(AJ157+AJ156)*$D$12</f>
        <v/>
      </c>
      <c r="AK181" s="45">
        <f>(AK157+AK156)*$D$12</f>
        <v/>
      </c>
      <c r="AL181" s="45">
        <f>(AL157+AL156)*$D$12</f>
        <v/>
      </c>
      <c r="AM181" s="45">
        <f>(AM157+AM156)*$D$12</f>
        <v/>
      </c>
      <c r="AN181" s="45">
        <f>(AN157+AN156)*$D$12</f>
        <v/>
      </c>
      <c r="AO181" s="45">
        <f>(AO157+AO156)*$D$12</f>
        <v/>
      </c>
      <c r="AP181" s="45">
        <f>(AP157+AP156)*$D$12</f>
        <v/>
      </c>
      <c r="AQ181" s="45">
        <f>(AQ157+AQ156)*$D$12</f>
        <v/>
      </c>
      <c r="AR181" s="45">
        <f>(AR157+AR156)*$D$12</f>
        <v/>
      </c>
      <c r="AS181" s="45">
        <f>(AS157+AS156)*$D$12</f>
        <v/>
      </c>
      <c r="AT181" s="45">
        <f>(AT157+AT156)*$D$12</f>
        <v/>
      </c>
      <c r="AU181" s="45">
        <f>(AU157+AU156)*$D$12</f>
        <v/>
      </c>
      <c r="AV181" s="45">
        <f>(AV157+AV156)*$D$12</f>
        <v/>
      </c>
      <c r="AW181" s="45">
        <f>(AW157+AW156)*$D$12</f>
        <v/>
      </c>
      <c r="AX181" s="45">
        <f>(AX157+AX156)*$D$12</f>
        <v/>
      </c>
      <c r="AY181" s="45">
        <f>(AY157+AY156)*$D$12</f>
        <v/>
      </c>
      <c r="AZ181" s="45">
        <f>(AZ157+AZ156)*$D$12</f>
        <v/>
      </c>
      <c r="BA181" s="45">
        <f>(BA157+BA156)*$D$12</f>
        <v/>
      </c>
      <c r="BB181" s="45">
        <f>(BB157+BB156)*$D$12</f>
        <v/>
      </c>
      <c r="BC181" s="45">
        <f>(BC157+BC156)*$D$12</f>
        <v/>
      </c>
      <c r="BD181" s="45">
        <f>(BD157+BD156)*$D$12</f>
        <v/>
      </c>
    </row>
    <row r="183">
      <c r="A183" s="3" t="inlineStr">
        <is>
          <t>GARLIC  —  ambient store</t>
        </is>
      </c>
      <c r="B183" s="48" t="inlineStr"/>
    </row>
    <row r="184">
      <c r="A184" s="22" t="inlineStr">
        <is>
          <t>Week</t>
        </is>
      </c>
      <c r="B184" s="33" t="inlineStr"/>
      <c r="E184" s="25" t="n">
        <v>1</v>
      </c>
      <c r="F184" s="25" t="n">
        <v>2</v>
      </c>
      <c r="G184" s="25" t="n">
        <v>3</v>
      </c>
      <c r="H184" s="25" t="n">
        <v>4</v>
      </c>
      <c r="I184" s="25" t="n">
        <v>5</v>
      </c>
      <c r="J184" s="25" t="n">
        <v>6</v>
      </c>
      <c r="K184" s="25" t="n">
        <v>7</v>
      </c>
      <c r="L184" s="25" t="n">
        <v>8</v>
      </c>
      <c r="M184" s="25" t="n">
        <v>9</v>
      </c>
      <c r="N184" s="25" t="n">
        <v>10</v>
      </c>
      <c r="O184" s="25" t="n">
        <v>11</v>
      </c>
      <c r="P184" s="25" t="n">
        <v>12</v>
      </c>
      <c r="Q184" s="25" t="n">
        <v>13</v>
      </c>
      <c r="R184" s="25" t="n">
        <v>14</v>
      </c>
      <c r="S184" s="25" t="n">
        <v>15</v>
      </c>
      <c r="T184" s="25" t="n">
        <v>16</v>
      </c>
      <c r="U184" s="25" t="n">
        <v>17</v>
      </c>
      <c r="V184" s="25" t="n">
        <v>18</v>
      </c>
      <c r="W184" s="25" t="n">
        <v>19</v>
      </c>
      <c r="X184" s="25" t="n">
        <v>20</v>
      </c>
      <c r="Y184" s="25" t="n">
        <v>21</v>
      </c>
      <c r="Z184" s="25" t="n">
        <v>22</v>
      </c>
      <c r="AA184" s="25" t="n">
        <v>23</v>
      </c>
      <c r="AB184" s="25" t="n">
        <v>24</v>
      </c>
      <c r="AC184" s="25" t="n">
        <v>25</v>
      </c>
      <c r="AD184" s="25" t="n">
        <v>26</v>
      </c>
      <c r="AE184" s="25" t="n">
        <v>27</v>
      </c>
      <c r="AF184" s="25" t="n">
        <v>28</v>
      </c>
      <c r="AG184" s="25" t="n">
        <v>29</v>
      </c>
      <c r="AH184" s="25" t="n">
        <v>30</v>
      </c>
      <c r="AI184" s="25" t="n">
        <v>31</v>
      </c>
      <c r="AJ184" s="25" t="n">
        <v>32</v>
      </c>
      <c r="AK184" s="25" t="n">
        <v>33</v>
      </c>
      <c r="AL184" s="25" t="n">
        <v>34</v>
      </c>
      <c r="AM184" s="25" t="n">
        <v>35</v>
      </c>
      <c r="AN184" s="25" t="n">
        <v>36</v>
      </c>
      <c r="AO184" s="25" t="n">
        <v>37</v>
      </c>
      <c r="AP184" s="25" t="n">
        <v>38</v>
      </c>
      <c r="AQ184" s="25" t="n">
        <v>39</v>
      </c>
      <c r="AR184" s="25" t="n">
        <v>40</v>
      </c>
      <c r="AS184" s="25" t="n">
        <v>41</v>
      </c>
      <c r="AT184" s="25" t="n">
        <v>42</v>
      </c>
      <c r="AU184" s="25" t="n">
        <v>43</v>
      </c>
      <c r="AV184" s="25" t="n">
        <v>44</v>
      </c>
      <c r="AW184" s="25" t="n">
        <v>45</v>
      </c>
      <c r="AX184" s="25" t="n">
        <v>46</v>
      </c>
      <c r="AY184" s="25" t="n">
        <v>47</v>
      </c>
      <c r="AZ184" s="25" t="n">
        <v>48</v>
      </c>
      <c r="BA184" s="25" t="n">
        <v>49</v>
      </c>
      <c r="BB184" s="25" t="n">
        <v>50</v>
      </c>
      <c r="BC184" s="25" t="n">
        <v>51</v>
      </c>
      <c r="BD184" s="25" t="n">
        <v>52</v>
      </c>
    </row>
    <row r="185">
      <c r="A185" s="4" t="inlineStr">
        <is>
          <t>Packed out -&gt; INTO the store</t>
        </is>
      </c>
      <c r="B185" s="2" t="inlineStr">
        <is>
          <t>lb</t>
        </is>
      </c>
      <c r="E185" s="36">
        <f>SUMPRODUCT(($B$38:$B$105="Garlic")*(E$38:E$105="H")*$C$38:$C$105)*$B$13/$J$13*$C$13</f>
        <v/>
      </c>
      <c r="F185" s="36">
        <f>SUMPRODUCT(($B$38:$B$105="Garlic")*(F$38:F$105="H")*$C$38:$C$105)*$B$13/$J$13*$C$13</f>
        <v/>
      </c>
      <c r="G185" s="36">
        <f>SUMPRODUCT(($B$38:$B$105="Garlic")*(G$38:G$105="H")*$C$38:$C$105)*$B$13/$J$13*$C$13</f>
        <v/>
      </c>
      <c r="H185" s="36">
        <f>SUMPRODUCT(($B$38:$B$105="Garlic")*(H$38:H$105="H")*$C$38:$C$105)*$B$13/$J$13*$C$13</f>
        <v/>
      </c>
      <c r="I185" s="36">
        <f>SUMPRODUCT(($B$38:$B$105="Garlic")*(I$38:I$105="H")*$C$38:$C$105)*$B$13/$J$13*$C$13</f>
        <v/>
      </c>
      <c r="J185" s="36">
        <f>SUMPRODUCT(($B$38:$B$105="Garlic")*(J$38:J$105="H")*$C$38:$C$105)*$B$13/$J$13*$C$13</f>
        <v/>
      </c>
      <c r="K185" s="36">
        <f>SUMPRODUCT(($B$38:$B$105="Garlic")*(K$38:K$105="H")*$C$38:$C$105)*$B$13/$J$13*$C$13</f>
        <v/>
      </c>
      <c r="L185" s="36">
        <f>SUMPRODUCT(($B$38:$B$105="Garlic")*(L$38:L$105="H")*$C$38:$C$105)*$B$13/$J$13*$C$13</f>
        <v/>
      </c>
      <c r="M185" s="36">
        <f>SUMPRODUCT(($B$38:$B$105="Garlic")*(M$38:M$105="H")*$C$38:$C$105)*$B$13/$J$13*$C$13</f>
        <v/>
      </c>
      <c r="N185" s="36">
        <f>SUMPRODUCT(($B$38:$B$105="Garlic")*(N$38:N$105="H")*$C$38:$C$105)*$B$13/$J$13*$C$13</f>
        <v/>
      </c>
      <c r="O185" s="36">
        <f>SUMPRODUCT(($B$38:$B$105="Garlic")*(O$38:O$105="H")*$C$38:$C$105)*$B$13/$J$13*$C$13</f>
        <v/>
      </c>
      <c r="P185" s="36">
        <f>SUMPRODUCT(($B$38:$B$105="Garlic")*(P$38:P$105="H")*$C$38:$C$105)*$B$13/$J$13*$C$13</f>
        <v/>
      </c>
      <c r="Q185" s="36">
        <f>SUMPRODUCT(($B$38:$B$105="Garlic")*(Q$38:Q$105="H")*$C$38:$C$105)*$B$13/$J$13*$C$13</f>
        <v/>
      </c>
      <c r="R185" s="36">
        <f>SUMPRODUCT(($B$38:$B$105="Garlic")*(R$38:R$105="H")*$C$38:$C$105)*$B$13/$J$13*$C$13</f>
        <v/>
      </c>
      <c r="S185" s="36">
        <f>SUMPRODUCT(($B$38:$B$105="Garlic")*(S$38:S$105="H")*$C$38:$C$105)*$B$13/$J$13*$C$13</f>
        <v/>
      </c>
      <c r="T185" s="36">
        <f>SUMPRODUCT(($B$38:$B$105="Garlic")*(T$38:T$105="H")*$C$38:$C$105)*$B$13/$J$13*$C$13</f>
        <v/>
      </c>
      <c r="U185" s="36">
        <f>SUMPRODUCT(($B$38:$B$105="Garlic")*(U$38:U$105="H")*$C$38:$C$105)*$B$13/$J$13*$C$13</f>
        <v/>
      </c>
      <c r="V185" s="36">
        <f>SUMPRODUCT(($B$38:$B$105="Garlic")*(V$38:V$105="H")*$C$38:$C$105)*$B$13/$J$13*$C$13</f>
        <v/>
      </c>
      <c r="W185" s="36">
        <f>SUMPRODUCT(($B$38:$B$105="Garlic")*(W$38:W$105="H")*$C$38:$C$105)*$B$13/$J$13*$C$13</f>
        <v/>
      </c>
      <c r="X185" s="36">
        <f>SUMPRODUCT(($B$38:$B$105="Garlic")*(X$38:X$105="H")*$C$38:$C$105)*$B$13/$J$13*$C$13</f>
        <v/>
      </c>
      <c r="Y185" s="36">
        <f>SUMPRODUCT(($B$38:$B$105="Garlic")*(Y$38:Y$105="H")*$C$38:$C$105)*$B$13/$J$13*$C$13</f>
        <v/>
      </c>
      <c r="Z185" s="36">
        <f>SUMPRODUCT(($B$38:$B$105="Garlic")*(Z$38:Z$105="H")*$C$38:$C$105)*$B$13/$J$13*$C$13</f>
        <v/>
      </c>
      <c r="AA185" s="36">
        <f>SUMPRODUCT(($B$38:$B$105="Garlic")*(AA$38:AA$105="H")*$C$38:$C$105)*$B$13/$J$13*$C$13</f>
        <v/>
      </c>
      <c r="AB185" s="36">
        <f>SUMPRODUCT(($B$38:$B$105="Garlic")*(AB$38:AB$105="H")*$C$38:$C$105)*$B$13/$J$13*$C$13</f>
        <v/>
      </c>
      <c r="AC185" s="36">
        <f>SUMPRODUCT(($B$38:$B$105="Garlic")*(AC$38:AC$105="H")*$C$38:$C$105)*$B$13/$J$13*$C$13</f>
        <v/>
      </c>
      <c r="AD185" s="36">
        <f>SUMPRODUCT(($B$38:$B$105="Garlic")*(AD$38:AD$105="H")*$C$38:$C$105)*$B$13/$J$13*$C$13</f>
        <v/>
      </c>
      <c r="AE185" s="36">
        <f>SUMPRODUCT(($B$38:$B$105="Garlic")*(AE$38:AE$105="H")*$C$38:$C$105)*$B$13/$J$13*$C$13</f>
        <v/>
      </c>
      <c r="AF185" s="36">
        <f>SUMPRODUCT(($B$38:$B$105="Garlic")*(AF$38:AF$105="H")*$C$38:$C$105)*$B$13/$J$13*$C$13</f>
        <v/>
      </c>
      <c r="AG185" s="36">
        <f>SUMPRODUCT(($B$38:$B$105="Garlic")*(AG$38:AG$105="H")*$C$38:$C$105)*$B$13/$J$13*$C$13</f>
        <v/>
      </c>
      <c r="AH185" s="36">
        <f>SUMPRODUCT(($B$38:$B$105="Garlic")*(AH$38:AH$105="H")*$C$38:$C$105)*$B$13/$J$13*$C$13</f>
        <v/>
      </c>
      <c r="AI185" s="36">
        <f>SUMPRODUCT(($B$38:$B$105="Garlic")*(AI$38:AI$105="H")*$C$38:$C$105)*$B$13/$J$13*$C$13</f>
        <v/>
      </c>
      <c r="AJ185" s="36">
        <f>SUMPRODUCT(($B$38:$B$105="Garlic")*(AJ$38:AJ$105="H")*$C$38:$C$105)*$B$13/$J$13*$C$13</f>
        <v/>
      </c>
      <c r="AK185" s="36">
        <f>SUMPRODUCT(($B$38:$B$105="Garlic")*(AK$38:AK$105="H")*$C$38:$C$105)*$B$13/$J$13*$C$13</f>
        <v/>
      </c>
      <c r="AL185" s="36">
        <f>SUMPRODUCT(($B$38:$B$105="Garlic")*(AL$38:AL$105="H")*$C$38:$C$105)*$B$13/$J$13*$C$13</f>
        <v/>
      </c>
      <c r="AM185" s="36">
        <f>SUMPRODUCT(($B$38:$B$105="Garlic")*(AM$38:AM$105="H")*$C$38:$C$105)*$B$13/$J$13*$C$13</f>
        <v/>
      </c>
      <c r="AN185" s="36">
        <f>SUMPRODUCT(($B$38:$B$105="Garlic")*(AN$38:AN$105="H")*$C$38:$C$105)*$B$13/$J$13*$C$13</f>
        <v/>
      </c>
      <c r="AO185" s="36">
        <f>SUMPRODUCT(($B$38:$B$105="Garlic")*(AO$38:AO$105="H")*$C$38:$C$105)*$B$13/$J$13*$C$13</f>
        <v/>
      </c>
      <c r="AP185" s="36">
        <f>SUMPRODUCT(($B$38:$B$105="Garlic")*(AP$38:AP$105="H")*$C$38:$C$105)*$B$13/$J$13*$C$13</f>
        <v/>
      </c>
      <c r="AQ185" s="36">
        <f>SUMPRODUCT(($B$38:$B$105="Garlic")*(AQ$38:AQ$105="H")*$C$38:$C$105)*$B$13/$J$13*$C$13</f>
        <v/>
      </c>
      <c r="AR185" s="36">
        <f>SUMPRODUCT(($B$38:$B$105="Garlic")*(AR$38:AR$105="H")*$C$38:$C$105)*$B$13/$J$13*$C$13</f>
        <v/>
      </c>
      <c r="AS185" s="36">
        <f>SUMPRODUCT(($B$38:$B$105="Garlic")*(AS$38:AS$105="H")*$C$38:$C$105)*$B$13/$J$13*$C$13</f>
        <v/>
      </c>
      <c r="AT185" s="36">
        <f>SUMPRODUCT(($B$38:$B$105="Garlic")*(AT$38:AT$105="H")*$C$38:$C$105)*$B$13/$J$13*$C$13</f>
        <v/>
      </c>
      <c r="AU185" s="36">
        <f>SUMPRODUCT(($B$38:$B$105="Garlic")*(AU$38:AU$105="H")*$C$38:$C$105)*$B$13/$J$13*$C$13</f>
        <v/>
      </c>
      <c r="AV185" s="36">
        <f>SUMPRODUCT(($B$38:$B$105="Garlic")*(AV$38:AV$105="H")*$C$38:$C$105)*$B$13/$J$13*$C$13</f>
        <v/>
      </c>
      <c r="AW185" s="36">
        <f>SUMPRODUCT(($B$38:$B$105="Garlic")*(AW$38:AW$105="H")*$C$38:$C$105)*$B$13/$J$13*$C$13</f>
        <v/>
      </c>
      <c r="AX185" s="36">
        <f>SUMPRODUCT(($B$38:$B$105="Garlic")*(AX$38:AX$105="H")*$C$38:$C$105)*$B$13/$J$13*$C$13</f>
        <v/>
      </c>
      <c r="AY185" s="36">
        <f>SUMPRODUCT(($B$38:$B$105="Garlic")*(AY$38:AY$105="H")*$C$38:$C$105)*$B$13/$J$13*$C$13</f>
        <v/>
      </c>
      <c r="AZ185" s="36">
        <f>SUMPRODUCT(($B$38:$B$105="Garlic")*(AZ$38:AZ$105="H")*$C$38:$C$105)*$B$13/$J$13*$C$13</f>
        <v/>
      </c>
      <c r="BA185" s="36">
        <f>SUMPRODUCT(($B$38:$B$105="Garlic")*(BA$38:BA$105="H")*$C$38:$C$105)*$B$13/$J$13*$C$13</f>
        <v/>
      </c>
      <c r="BB185" s="36">
        <f>SUMPRODUCT(($B$38:$B$105="Garlic")*(BB$38:BB$105="H")*$C$38:$C$105)*$B$13/$J$13*$C$13</f>
        <v/>
      </c>
      <c r="BC185" s="36">
        <f>SUMPRODUCT(($B$38:$B$105="Garlic")*(BC$38:BC$105="H")*$C$38:$C$105)*$B$13/$J$13*$C$13</f>
        <v/>
      </c>
      <c r="BD185" s="36">
        <f>SUMPRODUCT(($B$38:$B$105="Garlic")*(BD$38:BD$105="H")*$C$38:$C$105)*$B$13/$J$13*$C$13</f>
        <v/>
      </c>
    </row>
    <row r="186">
      <c r="A186" s="27" t="inlineStr">
        <is>
          <t>Stock carried in</t>
        </is>
      </c>
      <c r="B186" s="2" t="inlineStr">
        <is>
          <t>lb</t>
        </is>
      </c>
      <c r="E186" s="36" t="n">
        <v>0</v>
      </c>
      <c r="F186" s="36">
        <f>E201</f>
        <v/>
      </c>
      <c r="G186" s="36">
        <f>F201</f>
        <v/>
      </c>
      <c r="H186" s="36">
        <f>G201</f>
        <v/>
      </c>
      <c r="I186" s="36">
        <f>H201</f>
        <v/>
      </c>
      <c r="J186" s="36">
        <f>I201</f>
        <v/>
      </c>
      <c r="K186" s="36">
        <f>J201</f>
        <v/>
      </c>
      <c r="L186" s="36">
        <f>K201</f>
        <v/>
      </c>
      <c r="M186" s="36">
        <f>L201</f>
        <v/>
      </c>
      <c r="N186" s="36">
        <f>M201</f>
        <v/>
      </c>
      <c r="O186" s="36">
        <f>N201</f>
        <v/>
      </c>
      <c r="P186" s="36">
        <f>O201</f>
        <v/>
      </c>
      <c r="Q186" s="36">
        <f>P201</f>
        <v/>
      </c>
      <c r="R186" s="36">
        <f>Q201</f>
        <v/>
      </c>
      <c r="S186" s="36">
        <f>R201</f>
        <v/>
      </c>
      <c r="T186" s="36">
        <f>S201</f>
        <v/>
      </c>
      <c r="U186" s="36">
        <f>T201</f>
        <v/>
      </c>
      <c r="V186" s="36">
        <f>U201</f>
        <v/>
      </c>
      <c r="W186" s="36">
        <f>V201</f>
        <v/>
      </c>
      <c r="X186" s="36">
        <f>W201</f>
        <v/>
      </c>
      <c r="Y186" s="36">
        <f>X201</f>
        <v/>
      </c>
      <c r="Z186" s="36">
        <f>Y201</f>
        <v/>
      </c>
      <c r="AA186" s="36">
        <f>Z201</f>
        <v/>
      </c>
      <c r="AB186" s="36">
        <f>AA201</f>
        <v/>
      </c>
      <c r="AC186" s="36">
        <f>AB201</f>
        <v/>
      </c>
      <c r="AD186" s="36">
        <f>AC201</f>
        <v/>
      </c>
      <c r="AE186" s="36">
        <f>AD201</f>
        <v/>
      </c>
      <c r="AF186" s="36">
        <f>AE201</f>
        <v/>
      </c>
      <c r="AG186" s="36">
        <f>AF201</f>
        <v/>
      </c>
      <c r="AH186" s="36">
        <f>AG201</f>
        <v/>
      </c>
      <c r="AI186" s="36">
        <f>AH201</f>
        <v/>
      </c>
      <c r="AJ186" s="36">
        <f>AI201</f>
        <v/>
      </c>
      <c r="AK186" s="36">
        <f>AJ201</f>
        <v/>
      </c>
      <c r="AL186" s="36">
        <f>AK201</f>
        <v/>
      </c>
      <c r="AM186" s="36">
        <f>AL201</f>
        <v/>
      </c>
      <c r="AN186" s="36">
        <f>AM201</f>
        <v/>
      </c>
      <c r="AO186" s="36">
        <f>AN201</f>
        <v/>
      </c>
      <c r="AP186" s="36">
        <f>AO201</f>
        <v/>
      </c>
      <c r="AQ186" s="36">
        <f>AP201</f>
        <v/>
      </c>
      <c r="AR186" s="36">
        <f>AQ201</f>
        <v/>
      </c>
      <c r="AS186" s="36">
        <f>AR201</f>
        <v/>
      </c>
      <c r="AT186" s="36">
        <f>AS201</f>
        <v/>
      </c>
      <c r="AU186" s="36">
        <f>AT201</f>
        <v/>
      </c>
      <c r="AV186" s="36">
        <f>AU201</f>
        <v/>
      </c>
      <c r="AW186" s="36">
        <f>AV201</f>
        <v/>
      </c>
      <c r="AX186" s="36">
        <f>AW201</f>
        <v/>
      </c>
      <c r="AY186" s="36">
        <f>AX201</f>
        <v/>
      </c>
      <c r="AZ186" s="36">
        <f>AY201</f>
        <v/>
      </c>
      <c r="BA186" s="36">
        <f>AZ201</f>
        <v/>
      </c>
      <c r="BB186" s="36">
        <f>BA201</f>
        <v/>
      </c>
      <c r="BC186" s="36">
        <f>BB201</f>
        <v/>
      </c>
      <c r="BD186" s="36">
        <f>BC201</f>
        <v/>
      </c>
    </row>
    <row r="187">
      <c r="A187" s="27" t="inlineStr">
        <is>
          <t xml:space="preserve">   lost to shrink</t>
        </is>
      </c>
      <c r="B187" s="2" t="inlineStr">
        <is>
          <t>lb</t>
        </is>
      </c>
      <c r="E187" s="36">
        <f>E186*$G$13</f>
        <v/>
      </c>
      <c r="F187" s="36">
        <f>F186*$G$13</f>
        <v/>
      </c>
      <c r="G187" s="36">
        <f>G186*$G$13</f>
        <v/>
      </c>
      <c r="H187" s="36">
        <f>H186*$G$13</f>
        <v/>
      </c>
      <c r="I187" s="36">
        <f>I186*$G$13</f>
        <v/>
      </c>
      <c r="J187" s="36">
        <f>J186*$G$13</f>
        <v/>
      </c>
      <c r="K187" s="36">
        <f>K186*$G$13</f>
        <v/>
      </c>
      <c r="L187" s="36">
        <f>L186*$G$13</f>
        <v/>
      </c>
      <c r="M187" s="36">
        <f>M186*$G$13</f>
        <v/>
      </c>
      <c r="N187" s="36">
        <f>N186*$G$13</f>
        <v/>
      </c>
      <c r="O187" s="36">
        <f>O186*$G$13</f>
        <v/>
      </c>
      <c r="P187" s="36">
        <f>P186*$G$13</f>
        <v/>
      </c>
      <c r="Q187" s="36">
        <f>Q186*$G$13</f>
        <v/>
      </c>
      <c r="R187" s="36">
        <f>R186*$G$13</f>
        <v/>
      </c>
      <c r="S187" s="36">
        <f>S186*$G$13</f>
        <v/>
      </c>
      <c r="T187" s="36">
        <f>T186*$G$13</f>
        <v/>
      </c>
      <c r="U187" s="36">
        <f>U186*$G$13</f>
        <v/>
      </c>
      <c r="V187" s="36">
        <f>V186*$G$13</f>
        <v/>
      </c>
      <c r="W187" s="36">
        <f>W186*$G$13</f>
        <v/>
      </c>
      <c r="X187" s="36">
        <f>X186*$G$13</f>
        <v/>
      </c>
      <c r="Y187" s="36">
        <f>Y186*$G$13</f>
        <v/>
      </c>
      <c r="Z187" s="36">
        <f>Z186*$G$13</f>
        <v/>
      </c>
      <c r="AA187" s="36">
        <f>AA186*$G$13</f>
        <v/>
      </c>
      <c r="AB187" s="36">
        <f>AB186*$G$13</f>
        <v/>
      </c>
      <c r="AC187" s="36">
        <f>AC186*$G$13</f>
        <v/>
      </c>
      <c r="AD187" s="36">
        <f>AD186*$G$13</f>
        <v/>
      </c>
      <c r="AE187" s="36">
        <f>AE186*$G$13</f>
        <v/>
      </c>
      <c r="AF187" s="36">
        <f>AF186*$G$13</f>
        <v/>
      </c>
      <c r="AG187" s="36">
        <f>AG186*$G$13</f>
        <v/>
      </c>
      <c r="AH187" s="36">
        <f>AH186*$G$13</f>
        <v/>
      </c>
      <c r="AI187" s="36">
        <f>AI186*$G$13</f>
        <v/>
      </c>
      <c r="AJ187" s="36">
        <f>AJ186*$G$13</f>
        <v/>
      </c>
      <c r="AK187" s="36">
        <f>AK186*$G$13</f>
        <v/>
      </c>
      <c r="AL187" s="36">
        <f>AL186*$G$13</f>
        <v/>
      </c>
      <c r="AM187" s="36">
        <f>AM186*$G$13</f>
        <v/>
      </c>
      <c r="AN187" s="36">
        <f>AN186*$G$13</f>
        <v/>
      </c>
      <c r="AO187" s="36">
        <f>AO186*$G$13</f>
        <v/>
      </c>
      <c r="AP187" s="36">
        <f>AP186*$G$13</f>
        <v/>
      </c>
      <c r="AQ187" s="36">
        <f>AQ186*$G$13</f>
        <v/>
      </c>
      <c r="AR187" s="36">
        <f>AR186*$G$13</f>
        <v/>
      </c>
      <c r="AS187" s="36">
        <f>AS186*$G$13</f>
        <v/>
      </c>
      <c r="AT187" s="36">
        <f>AT186*$G$13</f>
        <v/>
      </c>
      <c r="AU187" s="36">
        <f>AU186*$G$13</f>
        <v/>
      </c>
      <c r="AV187" s="36">
        <f>AV186*$G$13</f>
        <v/>
      </c>
      <c r="AW187" s="36">
        <f>AW186*$G$13</f>
        <v/>
      </c>
      <c r="AX187" s="36">
        <f>AX186*$G$13</f>
        <v/>
      </c>
      <c r="AY187" s="36">
        <f>AY186*$G$13</f>
        <v/>
      </c>
      <c r="AZ187" s="36">
        <f>AZ186*$G$13</f>
        <v/>
      </c>
      <c r="BA187" s="36">
        <f>BA186*$G$13</f>
        <v/>
      </c>
      <c r="BB187" s="36">
        <f>BB186*$G$13</f>
        <v/>
      </c>
      <c r="BC187" s="36">
        <f>BC186*$G$13</f>
        <v/>
      </c>
      <c r="BD187" s="36">
        <f>BD186*$G$13</f>
        <v/>
      </c>
    </row>
    <row r="188">
      <c r="A188" s="4" t="inlineStr">
        <is>
          <t>In store this week</t>
        </is>
      </c>
      <c r="B188" s="2" t="inlineStr">
        <is>
          <t>lb</t>
        </is>
      </c>
      <c r="E188" s="36">
        <f>E186-E187+E185</f>
        <v/>
      </c>
      <c r="F188" s="36">
        <f>F186-F187+F185</f>
        <v/>
      </c>
      <c r="G188" s="36">
        <f>G186-G187+G185</f>
        <v/>
      </c>
      <c r="H188" s="36">
        <f>H186-H187+H185</f>
        <v/>
      </c>
      <c r="I188" s="36">
        <f>I186-I187+I185</f>
        <v/>
      </c>
      <c r="J188" s="36">
        <f>J186-J187+J185</f>
        <v/>
      </c>
      <c r="K188" s="36">
        <f>K186-K187+K185</f>
        <v/>
      </c>
      <c r="L188" s="36">
        <f>L186-L187+L185</f>
        <v/>
      </c>
      <c r="M188" s="36">
        <f>M186-M187+M185</f>
        <v/>
      </c>
      <c r="N188" s="36">
        <f>N186-N187+N185</f>
        <v/>
      </c>
      <c r="O188" s="36">
        <f>O186-O187+O185</f>
        <v/>
      </c>
      <c r="P188" s="36">
        <f>P186-P187+P185</f>
        <v/>
      </c>
      <c r="Q188" s="36">
        <f>Q186-Q187+Q185</f>
        <v/>
      </c>
      <c r="R188" s="36">
        <f>R186-R187+R185</f>
        <v/>
      </c>
      <c r="S188" s="36">
        <f>S186-S187+S185</f>
        <v/>
      </c>
      <c r="T188" s="36">
        <f>T186-T187+T185</f>
        <v/>
      </c>
      <c r="U188" s="36">
        <f>U186-U187+U185</f>
        <v/>
      </c>
      <c r="V188" s="36">
        <f>V186-V187+V185</f>
        <v/>
      </c>
      <c r="W188" s="36">
        <f>W186-W187+W185</f>
        <v/>
      </c>
      <c r="X188" s="36">
        <f>X186-X187+X185</f>
        <v/>
      </c>
      <c r="Y188" s="36">
        <f>Y186-Y187+Y185</f>
        <v/>
      </c>
      <c r="Z188" s="36">
        <f>Z186-Z187+Z185</f>
        <v/>
      </c>
      <c r="AA188" s="36">
        <f>AA186-AA187+AA185</f>
        <v/>
      </c>
      <c r="AB188" s="36">
        <f>AB186-AB187+AB185</f>
        <v/>
      </c>
      <c r="AC188" s="36">
        <f>AC186-AC187+AC185</f>
        <v/>
      </c>
      <c r="AD188" s="36">
        <f>AD186-AD187+AD185</f>
        <v/>
      </c>
      <c r="AE188" s="36">
        <f>AE186-AE187+AE185</f>
        <v/>
      </c>
      <c r="AF188" s="36">
        <f>AF186-AF187+AF185</f>
        <v/>
      </c>
      <c r="AG188" s="36">
        <f>AG186-AG187+AG185</f>
        <v/>
      </c>
      <c r="AH188" s="36">
        <f>AH186-AH187+AH185</f>
        <v/>
      </c>
      <c r="AI188" s="36">
        <f>AI186-AI187+AI185</f>
        <v/>
      </c>
      <c r="AJ188" s="36">
        <f>AJ186-AJ187+AJ185</f>
        <v/>
      </c>
      <c r="AK188" s="36">
        <f>AK186-AK187+AK185</f>
        <v/>
      </c>
      <c r="AL188" s="36">
        <f>AL186-AL187+AL185</f>
        <v/>
      </c>
      <c r="AM188" s="36">
        <f>AM186-AM187+AM185</f>
        <v/>
      </c>
      <c r="AN188" s="36">
        <f>AN186-AN187+AN185</f>
        <v/>
      </c>
      <c r="AO188" s="36">
        <f>AO186-AO187+AO185</f>
        <v/>
      </c>
      <c r="AP188" s="36">
        <f>AP186-AP187+AP185</f>
        <v/>
      </c>
      <c r="AQ188" s="36">
        <f>AQ186-AQ187+AQ185</f>
        <v/>
      </c>
      <c r="AR188" s="36">
        <f>AR186-AR187+AR185</f>
        <v/>
      </c>
      <c r="AS188" s="36">
        <f>AS186-AS187+AS185</f>
        <v/>
      </c>
      <c r="AT188" s="36">
        <f>AT186-AT187+AT185</f>
        <v/>
      </c>
      <c r="AU188" s="36">
        <f>AU186-AU187+AU185</f>
        <v/>
      </c>
      <c r="AV188" s="36">
        <f>AV186-AV187+AV185</f>
        <v/>
      </c>
      <c r="AW188" s="36">
        <f>AW186-AW187+AW185</f>
        <v/>
      </c>
      <c r="AX188" s="36">
        <f>AX186-AX187+AX185</f>
        <v/>
      </c>
      <c r="AY188" s="36">
        <f>AY186-AY187+AY185</f>
        <v/>
      </c>
      <c r="AZ188" s="36">
        <f>AZ186-AZ187+AZ185</f>
        <v/>
      </c>
      <c r="BA188" s="36">
        <f>BA186-BA187+BA185</f>
        <v/>
      </c>
      <c r="BB188" s="36">
        <f>BB186-BB187+BB185</f>
        <v/>
      </c>
      <c r="BC188" s="36">
        <f>BC186-BC187+BC185</f>
        <v/>
      </c>
      <c r="BD188" s="36">
        <f>BD186-BD187+BD185</f>
        <v/>
      </c>
    </row>
    <row r="189">
      <c r="A189" s="38" t="inlineStr">
        <is>
          <t>Farmers Market — most you may sell this week</t>
        </is>
      </c>
      <c r="B189" s="2" t="inlineStr">
        <is>
          <t>lb</t>
        </is>
      </c>
      <c r="E189" s="39">
        <f>IF($C$22="Annual",$D$22-0,IF(AND(1&gt;=$E$22,1&lt;=$F$22),$D$22,0))</f>
        <v/>
      </c>
      <c r="F189" s="39">
        <f>IF($C$22="Annual",$D$22-SUM(E191:E191),IF(AND(2&gt;=$E$22,2&lt;=$F$22),$D$22,0))</f>
        <v/>
      </c>
      <c r="G189" s="39">
        <f>IF($C$22="Annual",$D$22-SUM(E191:F191),IF(AND(3&gt;=$E$22,3&lt;=$F$22),$D$22,0))</f>
        <v/>
      </c>
      <c r="H189" s="39">
        <f>IF($C$22="Annual",$D$22-SUM(E191:G191),IF(AND(4&gt;=$E$22,4&lt;=$F$22),$D$22,0))</f>
        <v/>
      </c>
      <c r="I189" s="39">
        <f>IF($C$22="Annual",$D$22-SUM(E191:H191),IF(AND(5&gt;=$E$22,5&lt;=$F$22),$D$22,0))</f>
        <v/>
      </c>
      <c r="J189" s="39">
        <f>IF($C$22="Annual",$D$22-SUM(E191:I191),IF(AND(6&gt;=$E$22,6&lt;=$F$22),$D$22,0))</f>
        <v/>
      </c>
      <c r="K189" s="39">
        <f>IF($C$22="Annual",$D$22-SUM(E191:J191),IF(AND(7&gt;=$E$22,7&lt;=$F$22),$D$22,0))</f>
        <v/>
      </c>
      <c r="L189" s="39">
        <f>IF($C$22="Annual",$D$22-SUM(E191:K191),IF(AND(8&gt;=$E$22,8&lt;=$F$22),$D$22,0))</f>
        <v/>
      </c>
      <c r="M189" s="39">
        <f>IF($C$22="Annual",$D$22-SUM(E191:L191),IF(AND(9&gt;=$E$22,9&lt;=$F$22),$D$22,0))</f>
        <v/>
      </c>
      <c r="N189" s="39">
        <f>IF($C$22="Annual",$D$22-SUM(E191:M191),IF(AND(10&gt;=$E$22,10&lt;=$F$22),$D$22,0))</f>
        <v/>
      </c>
      <c r="O189" s="39">
        <f>IF($C$22="Annual",$D$22-SUM(E191:N191),IF(AND(11&gt;=$E$22,11&lt;=$F$22),$D$22,0))</f>
        <v/>
      </c>
      <c r="P189" s="39">
        <f>IF($C$22="Annual",$D$22-SUM(E191:O191),IF(AND(12&gt;=$E$22,12&lt;=$F$22),$D$22,0))</f>
        <v/>
      </c>
      <c r="Q189" s="39">
        <f>IF($C$22="Annual",$D$22-SUM(E191:P191),IF(AND(13&gt;=$E$22,13&lt;=$F$22),$D$22,0))</f>
        <v/>
      </c>
      <c r="R189" s="39">
        <f>IF($C$22="Annual",$D$22-SUM(E191:Q191),IF(AND(14&gt;=$E$22,14&lt;=$F$22),$D$22,0))</f>
        <v/>
      </c>
      <c r="S189" s="39">
        <f>IF($C$22="Annual",$D$22-SUM(E191:R191),IF(AND(15&gt;=$E$22,15&lt;=$F$22),$D$22,0))</f>
        <v/>
      </c>
      <c r="T189" s="39">
        <f>IF($C$22="Annual",$D$22-SUM(E191:S191),IF(AND(16&gt;=$E$22,16&lt;=$F$22),$D$22,0))</f>
        <v/>
      </c>
      <c r="U189" s="39">
        <f>IF($C$22="Annual",$D$22-SUM(E191:T191),IF(AND(17&gt;=$E$22,17&lt;=$F$22),$D$22,0))</f>
        <v/>
      </c>
      <c r="V189" s="39">
        <f>IF($C$22="Annual",$D$22-SUM(E191:U191),IF(AND(18&gt;=$E$22,18&lt;=$F$22),$D$22,0))</f>
        <v/>
      </c>
      <c r="W189" s="39">
        <f>IF($C$22="Annual",$D$22-SUM(E191:V191),IF(AND(19&gt;=$E$22,19&lt;=$F$22),$D$22,0))</f>
        <v/>
      </c>
      <c r="X189" s="39">
        <f>IF($C$22="Annual",$D$22-SUM(E191:W191),IF(AND(20&gt;=$E$22,20&lt;=$F$22),$D$22,0))</f>
        <v/>
      </c>
      <c r="Y189" s="39">
        <f>IF($C$22="Annual",$D$22-SUM(E191:X191),IF(AND(21&gt;=$E$22,21&lt;=$F$22),$D$22,0))</f>
        <v/>
      </c>
      <c r="Z189" s="39">
        <f>IF($C$22="Annual",$D$22-SUM(E191:Y191),IF(AND(22&gt;=$E$22,22&lt;=$F$22),$D$22,0))</f>
        <v/>
      </c>
      <c r="AA189" s="39">
        <f>IF($C$22="Annual",$D$22-SUM(E191:Z191),IF(AND(23&gt;=$E$22,23&lt;=$F$22),$D$22,0))</f>
        <v/>
      </c>
      <c r="AB189" s="39">
        <f>IF($C$22="Annual",$D$22-SUM(E191:AA191),IF(AND(24&gt;=$E$22,24&lt;=$F$22),$D$22,0))</f>
        <v/>
      </c>
      <c r="AC189" s="39">
        <f>IF($C$22="Annual",$D$22-SUM(E191:AB191),IF(AND(25&gt;=$E$22,25&lt;=$F$22),$D$22,0))</f>
        <v/>
      </c>
      <c r="AD189" s="39">
        <f>IF($C$22="Annual",$D$22-SUM(E191:AC191),IF(AND(26&gt;=$E$22,26&lt;=$F$22),$D$22,0))</f>
        <v/>
      </c>
      <c r="AE189" s="39">
        <f>IF($C$22="Annual",$D$22-SUM(E191:AD191),IF(AND(27&gt;=$E$22,27&lt;=$F$22),$D$22,0))</f>
        <v/>
      </c>
      <c r="AF189" s="39">
        <f>IF($C$22="Annual",$D$22-SUM(E191:AE191),IF(AND(28&gt;=$E$22,28&lt;=$F$22),$D$22,0))</f>
        <v/>
      </c>
      <c r="AG189" s="39">
        <f>IF($C$22="Annual",$D$22-SUM(E191:AF191),IF(AND(29&gt;=$E$22,29&lt;=$F$22),$D$22,0))</f>
        <v/>
      </c>
      <c r="AH189" s="39">
        <f>IF($C$22="Annual",$D$22-SUM(E191:AG191),IF(AND(30&gt;=$E$22,30&lt;=$F$22),$D$22,0))</f>
        <v/>
      </c>
      <c r="AI189" s="39">
        <f>IF($C$22="Annual",$D$22-SUM(E191:AH191),IF(AND(31&gt;=$E$22,31&lt;=$F$22),$D$22,0))</f>
        <v/>
      </c>
      <c r="AJ189" s="39">
        <f>IF($C$22="Annual",$D$22-SUM(E191:AI191),IF(AND(32&gt;=$E$22,32&lt;=$F$22),$D$22,0))</f>
        <v/>
      </c>
      <c r="AK189" s="39">
        <f>IF($C$22="Annual",$D$22-SUM(E191:AJ191),IF(AND(33&gt;=$E$22,33&lt;=$F$22),$D$22,0))</f>
        <v/>
      </c>
      <c r="AL189" s="39">
        <f>IF($C$22="Annual",$D$22-SUM(E191:AK191),IF(AND(34&gt;=$E$22,34&lt;=$F$22),$D$22,0))</f>
        <v/>
      </c>
      <c r="AM189" s="39">
        <f>IF($C$22="Annual",$D$22-SUM(E191:AL191),IF(AND(35&gt;=$E$22,35&lt;=$F$22),$D$22,0))</f>
        <v/>
      </c>
      <c r="AN189" s="39">
        <f>IF($C$22="Annual",$D$22-SUM(E191:AM191),IF(AND(36&gt;=$E$22,36&lt;=$F$22),$D$22,0))</f>
        <v/>
      </c>
      <c r="AO189" s="39">
        <f>IF($C$22="Annual",$D$22-SUM(E191:AN191),IF(AND(37&gt;=$E$22,37&lt;=$F$22),$D$22,0))</f>
        <v/>
      </c>
      <c r="AP189" s="39">
        <f>IF($C$22="Annual",$D$22-SUM(E191:AO191),IF(AND(38&gt;=$E$22,38&lt;=$F$22),$D$22,0))</f>
        <v/>
      </c>
      <c r="AQ189" s="39">
        <f>IF($C$22="Annual",$D$22-SUM(E191:AP191),IF(AND(39&gt;=$E$22,39&lt;=$F$22),$D$22,0))</f>
        <v/>
      </c>
      <c r="AR189" s="39">
        <f>IF($C$22="Annual",$D$22-SUM(E191:AQ191),IF(AND(40&gt;=$E$22,40&lt;=$F$22),$D$22,0))</f>
        <v/>
      </c>
      <c r="AS189" s="39">
        <f>IF($C$22="Annual",$D$22-SUM(E191:AR191),IF(AND(41&gt;=$E$22,41&lt;=$F$22),$D$22,0))</f>
        <v/>
      </c>
      <c r="AT189" s="39">
        <f>IF($C$22="Annual",$D$22-SUM(E191:AS191),IF(AND(42&gt;=$E$22,42&lt;=$F$22),$D$22,0))</f>
        <v/>
      </c>
      <c r="AU189" s="39">
        <f>IF($C$22="Annual",$D$22-SUM(E191:AT191),IF(AND(43&gt;=$E$22,43&lt;=$F$22),$D$22,0))</f>
        <v/>
      </c>
      <c r="AV189" s="39">
        <f>IF($C$22="Annual",$D$22-SUM(E191:AU191),IF(AND(44&gt;=$E$22,44&lt;=$F$22),$D$22,0))</f>
        <v/>
      </c>
      <c r="AW189" s="39">
        <f>IF($C$22="Annual",$D$22-SUM(E191:AV191),IF(AND(45&gt;=$E$22,45&lt;=$F$22),$D$22,0))</f>
        <v/>
      </c>
      <c r="AX189" s="39">
        <f>IF($C$22="Annual",$D$22-SUM(E191:AW191),IF(AND(46&gt;=$E$22,46&lt;=$F$22),$D$22,0))</f>
        <v/>
      </c>
      <c r="AY189" s="39">
        <f>IF($C$22="Annual",$D$22-SUM(E191:AX191),IF(AND(47&gt;=$E$22,47&lt;=$F$22),$D$22,0))</f>
        <v/>
      </c>
      <c r="AZ189" s="39">
        <f>IF($C$22="Annual",$D$22-SUM(E191:AY191),IF(AND(48&gt;=$E$22,48&lt;=$F$22),$D$22,0))</f>
        <v/>
      </c>
      <c r="BA189" s="39">
        <f>IF($C$22="Annual",$D$22-SUM(E191:AZ191),IF(AND(49&gt;=$E$22,49&lt;=$F$22),$D$22,0))</f>
        <v/>
      </c>
      <c r="BB189" s="39">
        <f>IF($C$22="Annual",$D$22-SUM(E191:BA191),IF(AND(50&gt;=$E$22,50&lt;=$F$22),$D$22,0))</f>
        <v/>
      </c>
      <c r="BC189" s="39">
        <f>IF($C$22="Annual",$D$22-SUM(E191:BB191),IF(AND(51&gt;=$E$22,51&lt;=$F$22),$D$22,0))</f>
        <v/>
      </c>
      <c r="BD189" s="39">
        <f>IF($C$22="Annual",$D$22-SUM(E191:BC191),IF(AND(52&gt;=$E$22,52&lt;=$F$22),$D$22,0))</f>
        <v/>
      </c>
    </row>
    <row r="190">
      <c r="A190" s="23" t="inlineStr">
        <is>
          <t>Farmers Market — OFFERED</t>
        </is>
      </c>
      <c r="B190" s="2" t="inlineStr">
        <is>
          <t>lb  &lt;-- SOLVER</t>
        </is>
      </c>
      <c r="E190" s="40" t="n">
        <v>0</v>
      </c>
      <c r="F190" s="40" t="n">
        <v>0</v>
      </c>
      <c r="G190" s="40" t="n">
        <v>0</v>
      </c>
      <c r="H190" s="40" t="n">
        <v>0</v>
      </c>
      <c r="I190" s="40" t="n">
        <v>0</v>
      </c>
      <c r="J190" s="40" t="n">
        <v>0</v>
      </c>
      <c r="K190" s="40" t="n">
        <v>0</v>
      </c>
      <c r="L190" s="40" t="n">
        <v>0</v>
      </c>
      <c r="M190" s="40" t="n">
        <v>0</v>
      </c>
      <c r="N190" s="40" t="n">
        <v>0</v>
      </c>
      <c r="O190" s="40" t="n">
        <v>0</v>
      </c>
      <c r="P190" s="40" t="n">
        <v>0</v>
      </c>
      <c r="Q190" s="40" t="n">
        <v>0</v>
      </c>
      <c r="R190" s="40" t="n">
        <v>0</v>
      </c>
      <c r="S190" s="40" t="n">
        <v>0</v>
      </c>
      <c r="T190" s="40" t="n">
        <v>0</v>
      </c>
      <c r="U190" s="40" t="n">
        <v>0</v>
      </c>
      <c r="V190" s="40" t="n">
        <v>0</v>
      </c>
      <c r="W190" s="40" t="n">
        <v>0</v>
      </c>
      <c r="X190" s="40" t="n">
        <v>0</v>
      </c>
      <c r="Y190" s="40" t="n">
        <v>0</v>
      </c>
      <c r="Z190" s="40" t="n">
        <v>0</v>
      </c>
      <c r="AA190" s="40" t="n">
        <v>0</v>
      </c>
      <c r="AB190" s="40" t="n">
        <v>0</v>
      </c>
      <c r="AC190" s="40" t="n">
        <v>0</v>
      </c>
      <c r="AD190" s="40" t="n">
        <v>0</v>
      </c>
      <c r="AE190" s="40" t="n">
        <v>0</v>
      </c>
      <c r="AF190" s="40" t="n">
        <v>0</v>
      </c>
      <c r="AG190" s="40" t="n">
        <v>0</v>
      </c>
      <c r="AH190" s="40" t="n">
        <v>0</v>
      </c>
      <c r="AI190" s="40" t="n">
        <v>0</v>
      </c>
      <c r="AJ190" s="40" t="n">
        <v>0</v>
      </c>
      <c r="AK190" s="40" t="n">
        <v>0</v>
      </c>
      <c r="AL190" s="40" t="n">
        <v>0</v>
      </c>
      <c r="AM190" s="40" t="n">
        <v>0</v>
      </c>
      <c r="AN190" s="40" t="n">
        <v>0</v>
      </c>
      <c r="AO190" s="40" t="n">
        <v>0</v>
      </c>
      <c r="AP190" s="40" t="n">
        <v>0</v>
      </c>
      <c r="AQ190" s="40" t="n">
        <v>0</v>
      </c>
      <c r="AR190" s="40" t="n">
        <v>0</v>
      </c>
      <c r="AS190" s="40" t="n">
        <v>0</v>
      </c>
      <c r="AT190" s="40" t="n">
        <v>0</v>
      </c>
      <c r="AU190" s="40" t="n">
        <v>0</v>
      </c>
      <c r="AV190" s="40" t="n">
        <v>0</v>
      </c>
      <c r="AW190" s="40" t="n">
        <v>0</v>
      </c>
      <c r="AX190" s="40" t="n">
        <v>0</v>
      </c>
      <c r="AY190" s="40" t="n">
        <v>0</v>
      </c>
      <c r="AZ190" s="40" t="n">
        <v>0</v>
      </c>
      <c r="BA190" s="40" t="n">
        <v>0</v>
      </c>
      <c r="BB190" s="40" t="n">
        <v>0</v>
      </c>
      <c r="BC190" s="40" t="n">
        <v>0</v>
      </c>
      <c r="BD190" s="40" t="n">
        <v>0</v>
      </c>
    </row>
    <row r="191">
      <c r="A191" s="41" t="inlineStr">
        <is>
          <t>Farmers Market — SOLD</t>
        </is>
      </c>
      <c r="B191" s="2" t="inlineStr">
        <is>
          <t>lb</t>
        </is>
      </c>
      <c r="E191" s="39">
        <f>E190*$G$22</f>
        <v/>
      </c>
      <c r="F191" s="39">
        <f>F190*$G$22</f>
        <v/>
      </c>
      <c r="G191" s="39">
        <f>G190*$G$22</f>
        <v/>
      </c>
      <c r="H191" s="39">
        <f>H190*$G$22</f>
        <v/>
      </c>
      <c r="I191" s="39">
        <f>I190*$G$22</f>
        <v/>
      </c>
      <c r="J191" s="39">
        <f>J190*$G$22</f>
        <v/>
      </c>
      <c r="K191" s="39">
        <f>K190*$G$22</f>
        <v/>
      </c>
      <c r="L191" s="39">
        <f>L190*$G$22</f>
        <v/>
      </c>
      <c r="M191" s="39">
        <f>M190*$G$22</f>
        <v/>
      </c>
      <c r="N191" s="39">
        <f>N190*$G$22</f>
        <v/>
      </c>
      <c r="O191" s="39">
        <f>O190*$G$22</f>
        <v/>
      </c>
      <c r="P191" s="39">
        <f>P190*$G$22</f>
        <v/>
      </c>
      <c r="Q191" s="39">
        <f>Q190*$G$22</f>
        <v/>
      </c>
      <c r="R191" s="39">
        <f>R190*$G$22</f>
        <v/>
      </c>
      <c r="S191" s="39">
        <f>S190*$G$22</f>
        <v/>
      </c>
      <c r="T191" s="39">
        <f>T190*$G$22</f>
        <v/>
      </c>
      <c r="U191" s="39">
        <f>U190*$G$22</f>
        <v/>
      </c>
      <c r="V191" s="39">
        <f>V190*$G$22</f>
        <v/>
      </c>
      <c r="W191" s="39">
        <f>W190*$G$22</f>
        <v/>
      </c>
      <c r="X191" s="39">
        <f>X190*$G$22</f>
        <v/>
      </c>
      <c r="Y191" s="39">
        <f>Y190*$G$22</f>
        <v/>
      </c>
      <c r="Z191" s="39">
        <f>Z190*$G$22</f>
        <v/>
      </c>
      <c r="AA191" s="39">
        <f>AA190*$G$22</f>
        <v/>
      </c>
      <c r="AB191" s="39">
        <f>AB190*$G$22</f>
        <v/>
      </c>
      <c r="AC191" s="39">
        <f>AC190*$G$22</f>
        <v/>
      </c>
      <c r="AD191" s="39">
        <f>AD190*$G$22</f>
        <v/>
      </c>
      <c r="AE191" s="39">
        <f>AE190*$G$22</f>
        <v/>
      </c>
      <c r="AF191" s="39">
        <f>AF190*$G$22</f>
        <v/>
      </c>
      <c r="AG191" s="39">
        <f>AG190*$G$22</f>
        <v/>
      </c>
      <c r="AH191" s="39">
        <f>AH190*$G$22</f>
        <v/>
      </c>
      <c r="AI191" s="39">
        <f>AI190*$G$22</f>
        <v/>
      </c>
      <c r="AJ191" s="39">
        <f>AJ190*$G$22</f>
        <v/>
      </c>
      <c r="AK191" s="39">
        <f>AK190*$G$22</f>
        <v/>
      </c>
      <c r="AL191" s="39">
        <f>AL190*$G$22</f>
        <v/>
      </c>
      <c r="AM191" s="39">
        <f>AM190*$G$22</f>
        <v/>
      </c>
      <c r="AN191" s="39">
        <f>AN190*$G$22</f>
        <v/>
      </c>
      <c r="AO191" s="39">
        <f>AO190*$G$22</f>
        <v/>
      </c>
      <c r="AP191" s="39">
        <f>AP190*$G$22</f>
        <v/>
      </c>
      <c r="AQ191" s="39">
        <f>AQ190*$G$22</f>
        <v/>
      </c>
      <c r="AR191" s="39">
        <f>AR190*$G$22</f>
        <v/>
      </c>
      <c r="AS191" s="39">
        <f>AS190*$G$22</f>
        <v/>
      </c>
      <c r="AT191" s="39">
        <f>AT190*$G$22</f>
        <v/>
      </c>
      <c r="AU191" s="39">
        <f>AU190*$G$22</f>
        <v/>
      </c>
      <c r="AV191" s="39">
        <f>AV190*$G$22</f>
        <v/>
      </c>
      <c r="AW191" s="39">
        <f>AW190*$G$22</f>
        <v/>
      </c>
      <c r="AX191" s="39">
        <f>AX190*$G$22</f>
        <v/>
      </c>
      <c r="AY191" s="39">
        <f>AY190*$G$22</f>
        <v/>
      </c>
      <c r="AZ191" s="39">
        <f>AZ190*$G$22</f>
        <v/>
      </c>
      <c r="BA191" s="39">
        <f>BA190*$G$22</f>
        <v/>
      </c>
      <c r="BB191" s="39">
        <f>BB190*$G$22</f>
        <v/>
      </c>
      <c r="BC191" s="39">
        <f>BC190*$G$22</f>
        <v/>
      </c>
      <c r="BD191" s="39">
        <f>BD190*$G$22</f>
        <v/>
      </c>
    </row>
    <row r="192">
      <c r="A192" s="27" t="inlineStr">
        <is>
          <t xml:space="preserve">   market loss (gone)</t>
        </is>
      </c>
      <c r="B192" s="2" t="inlineStr">
        <is>
          <t>lb</t>
        </is>
      </c>
      <c r="E192" s="36">
        <f>(E190-E191)*(1-$H$22)</f>
        <v/>
      </c>
      <c r="F192" s="36">
        <f>(F190-F191)*(1-$H$22)</f>
        <v/>
      </c>
      <c r="G192" s="36">
        <f>(G190-G191)*(1-$H$22)</f>
        <v/>
      </c>
      <c r="H192" s="36">
        <f>(H190-H191)*(1-$H$22)</f>
        <v/>
      </c>
      <c r="I192" s="36">
        <f>(I190-I191)*(1-$H$22)</f>
        <v/>
      </c>
      <c r="J192" s="36">
        <f>(J190-J191)*(1-$H$22)</f>
        <v/>
      </c>
      <c r="K192" s="36">
        <f>(K190-K191)*(1-$H$22)</f>
        <v/>
      </c>
      <c r="L192" s="36">
        <f>(L190-L191)*(1-$H$22)</f>
        <v/>
      </c>
      <c r="M192" s="36">
        <f>(M190-M191)*(1-$H$22)</f>
        <v/>
      </c>
      <c r="N192" s="36">
        <f>(N190-N191)*(1-$H$22)</f>
        <v/>
      </c>
      <c r="O192" s="36">
        <f>(O190-O191)*(1-$H$22)</f>
        <v/>
      </c>
      <c r="P192" s="36">
        <f>(P190-P191)*(1-$H$22)</f>
        <v/>
      </c>
      <c r="Q192" s="36">
        <f>(Q190-Q191)*(1-$H$22)</f>
        <v/>
      </c>
      <c r="R192" s="36">
        <f>(R190-R191)*(1-$H$22)</f>
        <v/>
      </c>
      <c r="S192" s="36">
        <f>(S190-S191)*(1-$H$22)</f>
        <v/>
      </c>
      <c r="T192" s="36">
        <f>(T190-T191)*(1-$H$22)</f>
        <v/>
      </c>
      <c r="U192" s="36">
        <f>(U190-U191)*(1-$H$22)</f>
        <v/>
      </c>
      <c r="V192" s="36">
        <f>(V190-V191)*(1-$H$22)</f>
        <v/>
      </c>
      <c r="W192" s="36">
        <f>(W190-W191)*(1-$H$22)</f>
        <v/>
      </c>
      <c r="X192" s="36">
        <f>(X190-X191)*(1-$H$22)</f>
        <v/>
      </c>
      <c r="Y192" s="36">
        <f>(Y190-Y191)*(1-$H$22)</f>
        <v/>
      </c>
      <c r="Z192" s="36">
        <f>(Z190-Z191)*(1-$H$22)</f>
        <v/>
      </c>
      <c r="AA192" s="36">
        <f>(AA190-AA191)*(1-$H$22)</f>
        <v/>
      </c>
      <c r="AB192" s="36">
        <f>(AB190-AB191)*(1-$H$22)</f>
        <v/>
      </c>
      <c r="AC192" s="36">
        <f>(AC190-AC191)*(1-$H$22)</f>
        <v/>
      </c>
      <c r="AD192" s="36">
        <f>(AD190-AD191)*(1-$H$22)</f>
        <v/>
      </c>
      <c r="AE192" s="36">
        <f>(AE190-AE191)*(1-$H$22)</f>
        <v/>
      </c>
      <c r="AF192" s="36">
        <f>(AF190-AF191)*(1-$H$22)</f>
        <v/>
      </c>
      <c r="AG192" s="36">
        <f>(AG190-AG191)*(1-$H$22)</f>
        <v/>
      </c>
      <c r="AH192" s="36">
        <f>(AH190-AH191)*(1-$H$22)</f>
        <v/>
      </c>
      <c r="AI192" s="36">
        <f>(AI190-AI191)*(1-$H$22)</f>
        <v/>
      </c>
      <c r="AJ192" s="36">
        <f>(AJ190-AJ191)*(1-$H$22)</f>
        <v/>
      </c>
      <c r="AK192" s="36">
        <f>(AK190-AK191)*(1-$H$22)</f>
        <v/>
      </c>
      <c r="AL192" s="36">
        <f>(AL190-AL191)*(1-$H$22)</f>
        <v/>
      </c>
      <c r="AM192" s="36">
        <f>(AM190-AM191)*(1-$H$22)</f>
        <v/>
      </c>
      <c r="AN192" s="36">
        <f>(AN190-AN191)*(1-$H$22)</f>
        <v/>
      </c>
      <c r="AO192" s="36">
        <f>(AO190-AO191)*(1-$H$22)</f>
        <v/>
      </c>
      <c r="AP192" s="36">
        <f>(AP190-AP191)*(1-$H$22)</f>
        <v/>
      </c>
      <c r="AQ192" s="36">
        <f>(AQ190-AQ191)*(1-$H$22)</f>
        <v/>
      </c>
      <c r="AR192" s="36">
        <f>(AR190-AR191)*(1-$H$22)</f>
        <v/>
      </c>
      <c r="AS192" s="36">
        <f>(AS190-AS191)*(1-$H$22)</f>
        <v/>
      </c>
      <c r="AT192" s="36">
        <f>(AT190-AT191)*(1-$H$22)</f>
        <v/>
      </c>
      <c r="AU192" s="36">
        <f>(AU190-AU191)*(1-$H$22)</f>
        <v/>
      </c>
      <c r="AV192" s="36">
        <f>(AV190-AV191)*(1-$H$22)</f>
        <v/>
      </c>
      <c r="AW192" s="36">
        <f>(AW190-AW191)*(1-$H$22)</f>
        <v/>
      </c>
      <c r="AX192" s="36">
        <f>(AX190-AX191)*(1-$H$22)</f>
        <v/>
      </c>
      <c r="AY192" s="36">
        <f>(AY190-AY191)*(1-$H$22)</f>
        <v/>
      </c>
      <c r="AZ192" s="36">
        <f>(AZ190-AZ191)*(1-$H$22)</f>
        <v/>
      </c>
      <c r="BA192" s="36">
        <f>(BA190-BA191)*(1-$H$22)</f>
        <v/>
      </c>
      <c r="BB192" s="36">
        <f>(BB190-BB191)*(1-$H$22)</f>
        <v/>
      </c>
      <c r="BC192" s="36">
        <f>(BC190-BC191)*(1-$H$22)</f>
        <v/>
      </c>
      <c r="BD192" s="36">
        <f>(BD190-BD191)*(1-$H$22)</f>
        <v/>
      </c>
    </row>
    <row r="193">
      <c r="A193" s="27" t="inlineStr">
        <is>
          <t xml:space="preserve">   returned to store</t>
        </is>
      </c>
      <c r="B193" s="2" t="inlineStr">
        <is>
          <t>lb</t>
        </is>
      </c>
      <c r="E193" s="36">
        <f>(E190-E191)*$H$22</f>
        <v/>
      </c>
      <c r="F193" s="36">
        <f>(F190-F191)*$H$22</f>
        <v/>
      </c>
      <c r="G193" s="36">
        <f>(G190-G191)*$H$22</f>
        <v/>
      </c>
      <c r="H193" s="36">
        <f>(H190-H191)*$H$22</f>
        <v/>
      </c>
      <c r="I193" s="36">
        <f>(I190-I191)*$H$22</f>
        <v/>
      </c>
      <c r="J193" s="36">
        <f>(J190-J191)*$H$22</f>
        <v/>
      </c>
      <c r="K193" s="36">
        <f>(K190-K191)*$H$22</f>
        <v/>
      </c>
      <c r="L193" s="36">
        <f>(L190-L191)*$H$22</f>
        <v/>
      </c>
      <c r="M193" s="36">
        <f>(M190-M191)*$H$22</f>
        <v/>
      </c>
      <c r="N193" s="36">
        <f>(N190-N191)*$H$22</f>
        <v/>
      </c>
      <c r="O193" s="36">
        <f>(O190-O191)*$H$22</f>
        <v/>
      </c>
      <c r="P193" s="36">
        <f>(P190-P191)*$H$22</f>
        <v/>
      </c>
      <c r="Q193" s="36">
        <f>(Q190-Q191)*$H$22</f>
        <v/>
      </c>
      <c r="R193" s="36">
        <f>(R190-R191)*$H$22</f>
        <v/>
      </c>
      <c r="S193" s="36">
        <f>(S190-S191)*$H$22</f>
        <v/>
      </c>
      <c r="T193" s="36">
        <f>(T190-T191)*$H$22</f>
        <v/>
      </c>
      <c r="U193" s="36">
        <f>(U190-U191)*$H$22</f>
        <v/>
      </c>
      <c r="V193" s="36">
        <f>(V190-V191)*$H$22</f>
        <v/>
      </c>
      <c r="W193" s="36">
        <f>(W190-W191)*$H$22</f>
        <v/>
      </c>
      <c r="X193" s="36">
        <f>(X190-X191)*$H$22</f>
        <v/>
      </c>
      <c r="Y193" s="36">
        <f>(Y190-Y191)*$H$22</f>
        <v/>
      </c>
      <c r="Z193" s="36">
        <f>(Z190-Z191)*$H$22</f>
        <v/>
      </c>
      <c r="AA193" s="36">
        <f>(AA190-AA191)*$H$22</f>
        <v/>
      </c>
      <c r="AB193" s="36">
        <f>(AB190-AB191)*$H$22</f>
        <v/>
      </c>
      <c r="AC193" s="36">
        <f>(AC190-AC191)*$H$22</f>
        <v/>
      </c>
      <c r="AD193" s="36">
        <f>(AD190-AD191)*$H$22</f>
        <v/>
      </c>
      <c r="AE193" s="36">
        <f>(AE190-AE191)*$H$22</f>
        <v/>
      </c>
      <c r="AF193" s="36">
        <f>(AF190-AF191)*$H$22</f>
        <v/>
      </c>
      <c r="AG193" s="36">
        <f>(AG190-AG191)*$H$22</f>
        <v/>
      </c>
      <c r="AH193" s="36">
        <f>(AH190-AH191)*$H$22</f>
        <v/>
      </c>
      <c r="AI193" s="36">
        <f>(AI190-AI191)*$H$22</f>
        <v/>
      </c>
      <c r="AJ193" s="36">
        <f>(AJ190-AJ191)*$H$22</f>
        <v/>
      </c>
      <c r="AK193" s="36">
        <f>(AK190-AK191)*$H$22</f>
        <v/>
      </c>
      <c r="AL193" s="36">
        <f>(AL190-AL191)*$H$22</f>
        <v/>
      </c>
      <c r="AM193" s="36">
        <f>(AM190-AM191)*$H$22</f>
        <v/>
      </c>
      <c r="AN193" s="36">
        <f>(AN190-AN191)*$H$22</f>
        <v/>
      </c>
      <c r="AO193" s="36">
        <f>(AO190-AO191)*$H$22</f>
        <v/>
      </c>
      <c r="AP193" s="36">
        <f>(AP190-AP191)*$H$22</f>
        <v/>
      </c>
      <c r="AQ193" s="36">
        <f>(AQ190-AQ191)*$H$22</f>
        <v/>
      </c>
      <c r="AR193" s="36">
        <f>(AR190-AR191)*$H$22</f>
        <v/>
      </c>
      <c r="AS193" s="36">
        <f>(AS190-AS191)*$H$22</f>
        <v/>
      </c>
      <c r="AT193" s="36">
        <f>(AT190-AT191)*$H$22</f>
        <v/>
      </c>
      <c r="AU193" s="36">
        <f>(AU190-AU191)*$H$22</f>
        <v/>
      </c>
      <c r="AV193" s="36">
        <f>(AV190-AV191)*$H$22</f>
        <v/>
      </c>
      <c r="AW193" s="36">
        <f>(AW190-AW191)*$H$22</f>
        <v/>
      </c>
      <c r="AX193" s="36">
        <f>(AX190-AX191)*$H$22</f>
        <v/>
      </c>
      <c r="AY193" s="36">
        <f>(AY190-AY191)*$H$22</f>
        <v/>
      </c>
      <c r="AZ193" s="36">
        <f>(AZ190-AZ191)*$H$22</f>
        <v/>
      </c>
      <c r="BA193" s="36">
        <f>(BA190-BA191)*$H$22</f>
        <v/>
      </c>
      <c r="BB193" s="36">
        <f>(BB190-BB191)*$H$22</f>
        <v/>
      </c>
      <c r="BC193" s="36">
        <f>(BC190-BC191)*$H$22</f>
        <v/>
      </c>
      <c r="BD193" s="36">
        <f>(BD190-BD191)*$H$22</f>
        <v/>
      </c>
    </row>
    <row r="194">
      <c r="A194" s="27" t="inlineStr">
        <is>
          <t xml:space="preserve">   leaves the store (offered - returned)</t>
        </is>
      </c>
      <c r="B194" s="2" t="inlineStr">
        <is>
          <t>lb</t>
        </is>
      </c>
      <c r="E194" s="36">
        <f>E190-E193</f>
        <v/>
      </c>
      <c r="F194" s="36">
        <f>F190-F193</f>
        <v/>
      </c>
      <c r="G194" s="36">
        <f>G190-G193</f>
        <v/>
      </c>
      <c r="H194" s="36">
        <f>H190-H193</f>
        <v/>
      </c>
      <c r="I194" s="36">
        <f>I190-I193</f>
        <v/>
      </c>
      <c r="J194" s="36">
        <f>J190-J193</f>
        <v/>
      </c>
      <c r="K194" s="36">
        <f>K190-K193</f>
        <v/>
      </c>
      <c r="L194" s="36">
        <f>L190-L193</f>
        <v/>
      </c>
      <c r="M194" s="36">
        <f>M190-M193</f>
        <v/>
      </c>
      <c r="N194" s="36">
        <f>N190-N193</f>
        <v/>
      </c>
      <c r="O194" s="36">
        <f>O190-O193</f>
        <v/>
      </c>
      <c r="P194" s="36">
        <f>P190-P193</f>
        <v/>
      </c>
      <c r="Q194" s="36">
        <f>Q190-Q193</f>
        <v/>
      </c>
      <c r="R194" s="36">
        <f>R190-R193</f>
        <v/>
      </c>
      <c r="S194" s="36">
        <f>S190-S193</f>
        <v/>
      </c>
      <c r="T194" s="36">
        <f>T190-T193</f>
        <v/>
      </c>
      <c r="U194" s="36">
        <f>U190-U193</f>
        <v/>
      </c>
      <c r="V194" s="36">
        <f>V190-V193</f>
        <v/>
      </c>
      <c r="W194" s="36">
        <f>W190-W193</f>
        <v/>
      </c>
      <c r="X194" s="36">
        <f>X190-X193</f>
        <v/>
      </c>
      <c r="Y194" s="36">
        <f>Y190-Y193</f>
        <v/>
      </c>
      <c r="Z194" s="36">
        <f>Z190-Z193</f>
        <v/>
      </c>
      <c r="AA194" s="36">
        <f>AA190-AA193</f>
        <v/>
      </c>
      <c r="AB194" s="36">
        <f>AB190-AB193</f>
        <v/>
      </c>
      <c r="AC194" s="36">
        <f>AC190-AC193</f>
        <v/>
      </c>
      <c r="AD194" s="36">
        <f>AD190-AD193</f>
        <v/>
      </c>
      <c r="AE194" s="36">
        <f>AE190-AE193</f>
        <v/>
      </c>
      <c r="AF194" s="36">
        <f>AF190-AF193</f>
        <v/>
      </c>
      <c r="AG194" s="36">
        <f>AG190-AG193</f>
        <v/>
      </c>
      <c r="AH194" s="36">
        <f>AH190-AH193</f>
        <v/>
      </c>
      <c r="AI194" s="36">
        <f>AI190-AI193</f>
        <v/>
      </c>
      <c r="AJ194" s="36">
        <f>AJ190-AJ193</f>
        <v/>
      </c>
      <c r="AK194" s="36">
        <f>AK190-AK193</f>
        <v/>
      </c>
      <c r="AL194" s="36">
        <f>AL190-AL193</f>
        <v/>
      </c>
      <c r="AM194" s="36">
        <f>AM190-AM193</f>
        <v/>
      </c>
      <c r="AN194" s="36">
        <f>AN190-AN193</f>
        <v/>
      </c>
      <c r="AO194" s="36">
        <f>AO190-AO193</f>
        <v/>
      </c>
      <c r="AP194" s="36">
        <f>AP190-AP193</f>
        <v/>
      </c>
      <c r="AQ194" s="36">
        <f>AQ190-AQ193</f>
        <v/>
      </c>
      <c r="AR194" s="36">
        <f>AR190-AR193</f>
        <v/>
      </c>
      <c r="AS194" s="36">
        <f>AS190-AS193</f>
        <v/>
      </c>
      <c r="AT194" s="36">
        <f>AT190-AT193</f>
        <v/>
      </c>
      <c r="AU194" s="36">
        <f>AU190-AU193</f>
        <v/>
      </c>
      <c r="AV194" s="36">
        <f>AV190-AV193</f>
        <v/>
      </c>
      <c r="AW194" s="36">
        <f>AW190-AW193</f>
        <v/>
      </c>
      <c r="AX194" s="36">
        <f>AX190-AX193</f>
        <v/>
      </c>
      <c r="AY194" s="36">
        <f>AY190-AY193</f>
        <v/>
      </c>
      <c r="AZ194" s="36">
        <f>AZ190-AZ193</f>
        <v/>
      </c>
      <c r="BA194" s="36">
        <f>BA190-BA193</f>
        <v/>
      </c>
      <c r="BB194" s="36">
        <f>BB190-BB193</f>
        <v/>
      </c>
      <c r="BC194" s="36">
        <f>BC190-BC193</f>
        <v/>
      </c>
      <c r="BD194" s="36">
        <f>BD190-BD193</f>
        <v/>
      </c>
    </row>
    <row r="195">
      <c r="A195" s="42" t="inlineStr">
        <is>
          <t>Wholesale — most you may sell this week</t>
        </is>
      </c>
      <c r="B195" s="2" t="inlineStr">
        <is>
          <t>lb</t>
        </is>
      </c>
      <c r="E195" s="43">
        <f>IF($C$23="Annual",$D$23-0,IF(AND(1&gt;=$E$23,1&lt;=$F$23),$D$23,0))</f>
        <v/>
      </c>
      <c r="F195" s="43">
        <f>IF($C$23="Annual",$D$23-SUM(E197:E197),IF(AND(2&gt;=$E$23,2&lt;=$F$23),$D$23,0))</f>
        <v/>
      </c>
      <c r="G195" s="43">
        <f>IF($C$23="Annual",$D$23-SUM(E197:F197),IF(AND(3&gt;=$E$23,3&lt;=$F$23),$D$23,0))</f>
        <v/>
      </c>
      <c r="H195" s="43">
        <f>IF($C$23="Annual",$D$23-SUM(E197:G197),IF(AND(4&gt;=$E$23,4&lt;=$F$23),$D$23,0))</f>
        <v/>
      </c>
      <c r="I195" s="43">
        <f>IF($C$23="Annual",$D$23-SUM(E197:H197),IF(AND(5&gt;=$E$23,5&lt;=$F$23),$D$23,0))</f>
        <v/>
      </c>
      <c r="J195" s="43">
        <f>IF($C$23="Annual",$D$23-SUM(E197:I197),IF(AND(6&gt;=$E$23,6&lt;=$F$23),$D$23,0))</f>
        <v/>
      </c>
      <c r="K195" s="43">
        <f>IF($C$23="Annual",$D$23-SUM(E197:J197),IF(AND(7&gt;=$E$23,7&lt;=$F$23),$D$23,0))</f>
        <v/>
      </c>
      <c r="L195" s="43">
        <f>IF($C$23="Annual",$D$23-SUM(E197:K197),IF(AND(8&gt;=$E$23,8&lt;=$F$23),$D$23,0))</f>
        <v/>
      </c>
      <c r="M195" s="43">
        <f>IF($C$23="Annual",$D$23-SUM(E197:L197),IF(AND(9&gt;=$E$23,9&lt;=$F$23),$D$23,0))</f>
        <v/>
      </c>
      <c r="N195" s="43">
        <f>IF($C$23="Annual",$D$23-SUM(E197:M197),IF(AND(10&gt;=$E$23,10&lt;=$F$23),$D$23,0))</f>
        <v/>
      </c>
      <c r="O195" s="43">
        <f>IF($C$23="Annual",$D$23-SUM(E197:N197),IF(AND(11&gt;=$E$23,11&lt;=$F$23),$D$23,0))</f>
        <v/>
      </c>
      <c r="P195" s="43">
        <f>IF($C$23="Annual",$D$23-SUM(E197:O197),IF(AND(12&gt;=$E$23,12&lt;=$F$23),$D$23,0))</f>
        <v/>
      </c>
      <c r="Q195" s="43">
        <f>IF($C$23="Annual",$D$23-SUM(E197:P197),IF(AND(13&gt;=$E$23,13&lt;=$F$23),$D$23,0))</f>
        <v/>
      </c>
      <c r="R195" s="43">
        <f>IF($C$23="Annual",$D$23-SUM(E197:Q197),IF(AND(14&gt;=$E$23,14&lt;=$F$23),$D$23,0))</f>
        <v/>
      </c>
      <c r="S195" s="43">
        <f>IF($C$23="Annual",$D$23-SUM(E197:R197),IF(AND(15&gt;=$E$23,15&lt;=$F$23),$D$23,0))</f>
        <v/>
      </c>
      <c r="T195" s="43">
        <f>IF($C$23="Annual",$D$23-SUM(E197:S197),IF(AND(16&gt;=$E$23,16&lt;=$F$23),$D$23,0))</f>
        <v/>
      </c>
      <c r="U195" s="43">
        <f>IF($C$23="Annual",$D$23-SUM(E197:T197),IF(AND(17&gt;=$E$23,17&lt;=$F$23),$D$23,0))</f>
        <v/>
      </c>
      <c r="V195" s="43">
        <f>IF($C$23="Annual",$D$23-SUM(E197:U197),IF(AND(18&gt;=$E$23,18&lt;=$F$23),$D$23,0))</f>
        <v/>
      </c>
      <c r="W195" s="43">
        <f>IF($C$23="Annual",$D$23-SUM(E197:V197),IF(AND(19&gt;=$E$23,19&lt;=$F$23),$D$23,0))</f>
        <v/>
      </c>
      <c r="X195" s="43">
        <f>IF($C$23="Annual",$D$23-SUM(E197:W197),IF(AND(20&gt;=$E$23,20&lt;=$F$23),$D$23,0))</f>
        <v/>
      </c>
      <c r="Y195" s="43">
        <f>IF($C$23="Annual",$D$23-SUM(E197:X197),IF(AND(21&gt;=$E$23,21&lt;=$F$23),$D$23,0))</f>
        <v/>
      </c>
      <c r="Z195" s="43">
        <f>IF($C$23="Annual",$D$23-SUM(E197:Y197),IF(AND(22&gt;=$E$23,22&lt;=$F$23),$D$23,0))</f>
        <v/>
      </c>
      <c r="AA195" s="43">
        <f>IF($C$23="Annual",$D$23-SUM(E197:Z197),IF(AND(23&gt;=$E$23,23&lt;=$F$23),$D$23,0))</f>
        <v/>
      </c>
      <c r="AB195" s="43">
        <f>IF($C$23="Annual",$D$23-SUM(E197:AA197),IF(AND(24&gt;=$E$23,24&lt;=$F$23),$D$23,0))</f>
        <v/>
      </c>
      <c r="AC195" s="43">
        <f>IF($C$23="Annual",$D$23-SUM(E197:AB197),IF(AND(25&gt;=$E$23,25&lt;=$F$23),$D$23,0))</f>
        <v/>
      </c>
      <c r="AD195" s="43">
        <f>IF($C$23="Annual",$D$23-SUM(E197:AC197),IF(AND(26&gt;=$E$23,26&lt;=$F$23),$D$23,0))</f>
        <v/>
      </c>
      <c r="AE195" s="43">
        <f>IF($C$23="Annual",$D$23-SUM(E197:AD197),IF(AND(27&gt;=$E$23,27&lt;=$F$23),$D$23,0))</f>
        <v/>
      </c>
      <c r="AF195" s="43">
        <f>IF($C$23="Annual",$D$23-SUM(E197:AE197),IF(AND(28&gt;=$E$23,28&lt;=$F$23),$D$23,0))</f>
        <v/>
      </c>
      <c r="AG195" s="43">
        <f>IF($C$23="Annual",$D$23-SUM(E197:AF197),IF(AND(29&gt;=$E$23,29&lt;=$F$23),$D$23,0))</f>
        <v/>
      </c>
      <c r="AH195" s="43">
        <f>IF($C$23="Annual",$D$23-SUM(E197:AG197),IF(AND(30&gt;=$E$23,30&lt;=$F$23),$D$23,0))</f>
        <v/>
      </c>
      <c r="AI195" s="43">
        <f>IF($C$23="Annual",$D$23-SUM(E197:AH197),IF(AND(31&gt;=$E$23,31&lt;=$F$23),$D$23,0))</f>
        <v/>
      </c>
      <c r="AJ195" s="43">
        <f>IF($C$23="Annual",$D$23-SUM(E197:AI197),IF(AND(32&gt;=$E$23,32&lt;=$F$23),$D$23,0))</f>
        <v/>
      </c>
      <c r="AK195" s="43">
        <f>IF($C$23="Annual",$D$23-SUM(E197:AJ197),IF(AND(33&gt;=$E$23,33&lt;=$F$23),$D$23,0))</f>
        <v/>
      </c>
      <c r="AL195" s="43">
        <f>IF($C$23="Annual",$D$23-SUM(E197:AK197),IF(AND(34&gt;=$E$23,34&lt;=$F$23),$D$23,0))</f>
        <v/>
      </c>
      <c r="AM195" s="43">
        <f>IF($C$23="Annual",$D$23-SUM(E197:AL197),IF(AND(35&gt;=$E$23,35&lt;=$F$23),$D$23,0))</f>
        <v/>
      </c>
      <c r="AN195" s="43">
        <f>IF($C$23="Annual",$D$23-SUM(E197:AM197),IF(AND(36&gt;=$E$23,36&lt;=$F$23),$D$23,0))</f>
        <v/>
      </c>
      <c r="AO195" s="43">
        <f>IF($C$23="Annual",$D$23-SUM(E197:AN197),IF(AND(37&gt;=$E$23,37&lt;=$F$23),$D$23,0))</f>
        <v/>
      </c>
      <c r="AP195" s="43">
        <f>IF($C$23="Annual",$D$23-SUM(E197:AO197),IF(AND(38&gt;=$E$23,38&lt;=$F$23),$D$23,0))</f>
        <v/>
      </c>
      <c r="AQ195" s="43">
        <f>IF($C$23="Annual",$D$23-SUM(E197:AP197),IF(AND(39&gt;=$E$23,39&lt;=$F$23),$D$23,0))</f>
        <v/>
      </c>
      <c r="AR195" s="43">
        <f>IF($C$23="Annual",$D$23-SUM(E197:AQ197),IF(AND(40&gt;=$E$23,40&lt;=$F$23),$D$23,0))</f>
        <v/>
      </c>
      <c r="AS195" s="43">
        <f>IF($C$23="Annual",$D$23-SUM(E197:AR197),IF(AND(41&gt;=$E$23,41&lt;=$F$23),$D$23,0))</f>
        <v/>
      </c>
      <c r="AT195" s="43">
        <f>IF($C$23="Annual",$D$23-SUM(E197:AS197),IF(AND(42&gt;=$E$23,42&lt;=$F$23),$D$23,0))</f>
        <v/>
      </c>
      <c r="AU195" s="43">
        <f>IF($C$23="Annual",$D$23-SUM(E197:AT197),IF(AND(43&gt;=$E$23,43&lt;=$F$23),$D$23,0))</f>
        <v/>
      </c>
      <c r="AV195" s="43">
        <f>IF($C$23="Annual",$D$23-SUM(E197:AU197),IF(AND(44&gt;=$E$23,44&lt;=$F$23),$D$23,0))</f>
        <v/>
      </c>
      <c r="AW195" s="43">
        <f>IF($C$23="Annual",$D$23-SUM(E197:AV197),IF(AND(45&gt;=$E$23,45&lt;=$F$23),$D$23,0))</f>
        <v/>
      </c>
      <c r="AX195" s="43">
        <f>IF($C$23="Annual",$D$23-SUM(E197:AW197),IF(AND(46&gt;=$E$23,46&lt;=$F$23),$D$23,0))</f>
        <v/>
      </c>
      <c r="AY195" s="43">
        <f>IF($C$23="Annual",$D$23-SUM(E197:AX197),IF(AND(47&gt;=$E$23,47&lt;=$F$23),$D$23,0))</f>
        <v/>
      </c>
      <c r="AZ195" s="43">
        <f>IF($C$23="Annual",$D$23-SUM(E197:AY197),IF(AND(48&gt;=$E$23,48&lt;=$F$23),$D$23,0))</f>
        <v/>
      </c>
      <c r="BA195" s="43">
        <f>IF($C$23="Annual",$D$23-SUM(E197:AZ197),IF(AND(49&gt;=$E$23,49&lt;=$F$23),$D$23,0))</f>
        <v/>
      </c>
      <c r="BB195" s="43">
        <f>IF($C$23="Annual",$D$23-SUM(E197:BA197),IF(AND(50&gt;=$E$23,50&lt;=$F$23),$D$23,0))</f>
        <v/>
      </c>
      <c r="BC195" s="43">
        <f>IF($C$23="Annual",$D$23-SUM(E197:BB197),IF(AND(51&gt;=$E$23,51&lt;=$F$23),$D$23,0))</f>
        <v/>
      </c>
      <c r="BD195" s="43">
        <f>IF($C$23="Annual",$D$23-SUM(E197:BC197),IF(AND(52&gt;=$E$23,52&lt;=$F$23),$D$23,0))</f>
        <v/>
      </c>
    </row>
    <row r="196">
      <c r="A196" s="23" t="inlineStr">
        <is>
          <t>Wholesale — OFFERED</t>
        </is>
      </c>
      <c r="B196" s="2" t="inlineStr">
        <is>
          <t>lb  &lt;-- SOLVER</t>
        </is>
      </c>
      <c r="E196" s="40" t="n">
        <v>0</v>
      </c>
      <c r="F196" s="40" t="n">
        <v>0</v>
      </c>
      <c r="G196" s="40" t="n">
        <v>0</v>
      </c>
      <c r="H196" s="40" t="n">
        <v>0</v>
      </c>
      <c r="I196" s="40" t="n">
        <v>0</v>
      </c>
      <c r="J196" s="40" t="n">
        <v>0</v>
      </c>
      <c r="K196" s="40" t="n">
        <v>0</v>
      </c>
      <c r="L196" s="40" t="n">
        <v>0</v>
      </c>
      <c r="M196" s="40" t="n">
        <v>0</v>
      </c>
      <c r="N196" s="40" t="n">
        <v>0</v>
      </c>
      <c r="O196" s="40" t="n">
        <v>0</v>
      </c>
      <c r="P196" s="40" t="n">
        <v>0</v>
      </c>
      <c r="Q196" s="40" t="n">
        <v>0</v>
      </c>
      <c r="R196" s="40" t="n">
        <v>0</v>
      </c>
      <c r="S196" s="40" t="n">
        <v>0</v>
      </c>
      <c r="T196" s="40" t="n">
        <v>0</v>
      </c>
      <c r="U196" s="40" t="n">
        <v>0</v>
      </c>
      <c r="V196" s="40" t="n">
        <v>0</v>
      </c>
      <c r="W196" s="40" t="n">
        <v>0</v>
      </c>
      <c r="X196" s="40" t="n">
        <v>0</v>
      </c>
      <c r="Y196" s="40" t="n">
        <v>0</v>
      </c>
      <c r="Z196" s="40" t="n">
        <v>0</v>
      </c>
      <c r="AA196" s="40" t="n">
        <v>0</v>
      </c>
      <c r="AB196" s="40" t="n">
        <v>0</v>
      </c>
      <c r="AC196" s="40" t="n">
        <v>0</v>
      </c>
      <c r="AD196" s="40" t="n">
        <v>0</v>
      </c>
      <c r="AE196" s="40" t="n">
        <v>0</v>
      </c>
      <c r="AF196" s="40" t="n">
        <v>0</v>
      </c>
      <c r="AG196" s="40" t="n">
        <v>0</v>
      </c>
      <c r="AH196" s="40" t="n">
        <v>0</v>
      </c>
      <c r="AI196" s="40" t="n">
        <v>0</v>
      </c>
      <c r="AJ196" s="40" t="n">
        <v>0</v>
      </c>
      <c r="AK196" s="40" t="n">
        <v>0</v>
      </c>
      <c r="AL196" s="40" t="n">
        <v>0</v>
      </c>
      <c r="AM196" s="40" t="n">
        <v>0</v>
      </c>
      <c r="AN196" s="40" t="n">
        <v>0</v>
      </c>
      <c r="AO196" s="40" t="n">
        <v>0</v>
      </c>
      <c r="AP196" s="40" t="n">
        <v>0</v>
      </c>
      <c r="AQ196" s="40" t="n">
        <v>0</v>
      </c>
      <c r="AR196" s="40" t="n">
        <v>0</v>
      </c>
      <c r="AS196" s="40" t="n">
        <v>0</v>
      </c>
      <c r="AT196" s="40" t="n">
        <v>0</v>
      </c>
      <c r="AU196" s="40" t="n">
        <v>0</v>
      </c>
      <c r="AV196" s="40" t="n">
        <v>0</v>
      </c>
      <c r="AW196" s="40" t="n">
        <v>0</v>
      </c>
      <c r="AX196" s="40" t="n">
        <v>0</v>
      </c>
      <c r="AY196" s="40" t="n">
        <v>0</v>
      </c>
      <c r="AZ196" s="40" t="n">
        <v>0</v>
      </c>
      <c r="BA196" s="40" t="n">
        <v>0</v>
      </c>
      <c r="BB196" s="40" t="n">
        <v>0</v>
      </c>
      <c r="BC196" s="40" t="n">
        <v>0</v>
      </c>
      <c r="BD196" s="40" t="n">
        <v>0</v>
      </c>
    </row>
    <row r="197">
      <c r="A197" s="44" t="inlineStr">
        <is>
          <t>Wholesale — SOLD</t>
        </is>
      </c>
      <c r="B197" s="2" t="inlineStr">
        <is>
          <t>lb</t>
        </is>
      </c>
      <c r="E197" s="43">
        <f>E196*$G$23</f>
        <v/>
      </c>
      <c r="F197" s="43">
        <f>F196*$G$23</f>
        <v/>
      </c>
      <c r="G197" s="43">
        <f>G196*$G$23</f>
        <v/>
      </c>
      <c r="H197" s="43">
        <f>H196*$G$23</f>
        <v/>
      </c>
      <c r="I197" s="43">
        <f>I196*$G$23</f>
        <v/>
      </c>
      <c r="J197" s="43">
        <f>J196*$G$23</f>
        <v/>
      </c>
      <c r="K197" s="43">
        <f>K196*$G$23</f>
        <v/>
      </c>
      <c r="L197" s="43">
        <f>L196*$G$23</f>
        <v/>
      </c>
      <c r="M197" s="43">
        <f>M196*$G$23</f>
        <v/>
      </c>
      <c r="N197" s="43">
        <f>N196*$G$23</f>
        <v/>
      </c>
      <c r="O197" s="43">
        <f>O196*$G$23</f>
        <v/>
      </c>
      <c r="P197" s="43">
        <f>P196*$G$23</f>
        <v/>
      </c>
      <c r="Q197" s="43">
        <f>Q196*$G$23</f>
        <v/>
      </c>
      <c r="R197" s="43">
        <f>R196*$G$23</f>
        <v/>
      </c>
      <c r="S197" s="43">
        <f>S196*$G$23</f>
        <v/>
      </c>
      <c r="T197" s="43">
        <f>T196*$G$23</f>
        <v/>
      </c>
      <c r="U197" s="43">
        <f>U196*$G$23</f>
        <v/>
      </c>
      <c r="V197" s="43">
        <f>V196*$G$23</f>
        <v/>
      </c>
      <c r="W197" s="43">
        <f>W196*$G$23</f>
        <v/>
      </c>
      <c r="X197" s="43">
        <f>X196*$G$23</f>
        <v/>
      </c>
      <c r="Y197" s="43">
        <f>Y196*$G$23</f>
        <v/>
      </c>
      <c r="Z197" s="43">
        <f>Z196*$G$23</f>
        <v/>
      </c>
      <c r="AA197" s="43">
        <f>AA196*$G$23</f>
        <v/>
      </c>
      <c r="AB197" s="43">
        <f>AB196*$G$23</f>
        <v/>
      </c>
      <c r="AC197" s="43">
        <f>AC196*$G$23</f>
        <v/>
      </c>
      <c r="AD197" s="43">
        <f>AD196*$G$23</f>
        <v/>
      </c>
      <c r="AE197" s="43">
        <f>AE196*$G$23</f>
        <v/>
      </c>
      <c r="AF197" s="43">
        <f>AF196*$G$23</f>
        <v/>
      </c>
      <c r="AG197" s="43">
        <f>AG196*$G$23</f>
        <v/>
      </c>
      <c r="AH197" s="43">
        <f>AH196*$G$23</f>
        <v/>
      </c>
      <c r="AI197" s="43">
        <f>AI196*$G$23</f>
        <v/>
      </c>
      <c r="AJ197" s="43">
        <f>AJ196*$G$23</f>
        <v/>
      </c>
      <c r="AK197" s="43">
        <f>AK196*$G$23</f>
        <v/>
      </c>
      <c r="AL197" s="43">
        <f>AL196*$G$23</f>
        <v/>
      </c>
      <c r="AM197" s="43">
        <f>AM196*$G$23</f>
        <v/>
      </c>
      <c r="AN197" s="43">
        <f>AN196*$G$23</f>
        <v/>
      </c>
      <c r="AO197" s="43">
        <f>AO196*$G$23</f>
        <v/>
      </c>
      <c r="AP197" s="43">
        <f>AP196*$G$23</f>
        <v/>
      </c>
      <c r="AQ197" s="43">
        <f>AQ196*$G$23</f>
        <v/>
      </c>
      <c r="AR197" s="43">
        <f>AR196*$G$23</f>
        <v/>
      </c>
      <c r="AS197" s="43">
        <f>AS196*$G$23</f>
        <v/>
      </c>
      <c r="AT197" s="43">
        <f>AT196*$G$23</f>
        <v/>
      </c>
      <c r="AU197" s="43">
        <f>AU196*$G$23</f>
        <v/>
      </c>
      <c r="AV197" s="43">
        <f>AV196*$G$23</f>
        <v/>
      </c>
      <c r="AW197" s="43">
        <f>AW196*$G$23</f>
        <v/>
      </c>
      <c r="AX197" s="43">
        <f>AX196*$G$23</f>
        <v/>
      </c>
      <c r="AY197" s="43">
        <f>AY196*$G$23</f>
        <v/>
      </c>
      <c r="AZ197" s="43">
        <f>AZ196*$G$23</f>
        <v/>
      </c>
      <c r="BA197" s="43">
        <f>BA196*$G$23</f>
        <v/>
      </c>
      <c r="BB197" s="43">
        <f>BB196*$G$23</f>
        <v/>
      </c>
      <c r="BC197" s="43">
        <f>BC196*$G$23</f>
        <v/>
      </c>
      <c r="BD197" s="43">
        <f>BD196*$G$23</f>
        <v/>
      </c>
    </row>
    <row r="198">
      <c r="A198" s="27" t="inlineStr">
        <is>
          <t xml:space="preserve">   market loss (gone)</t>
        </is>
      </c>
      <c r="B198" s="2" t="inlineStr">
        <is>
          <t>lb</t>
        </is>
      </c>
      <c r="E198" s="36">
        <f>(E196-E197)*(1-$H$23)</f>
        <v/>
      </c>
      <c r="F198" s="36">
        <f>(F196-F197)*(1-$H$23)</f>
        <v/>
      </c>
      <c r="G198" s="36">
        <f>(G196-G197)*(1-$H$23)</f>
        <v/>
      </c>
      <c r="H198" s="36">
        <f>(H196-H197)*(1-$H$23)</f>
        <v/>
      </c>
      <c r="I198" s="36">
        <f>(I196-I197)*(1-$H$23)</f>
        <v/>
      </c>
      <c r="J198" s="36">
        <f>(J196-J197)*(1-$H$23)</f>
        <v/>
      </c>
      <c r="K198" s="36">
        <f>(K196-K197)*(1-$H$23)</f>
        <v/>
      </c>
      <c r="L198" s="36">
        <f>(L196-L197)*(1-$H$23)</f>
        <v/>
      </c>
      <c r="M198" s="36">
        <f>(M196-M197)*(1-$H$23)</f>
        <v/>
      </c>
      <c r="N198" s="36">
        <f>(N196-N197)*(1-$H$23)</f>
        <v/>
      </c>
      <c r="O198" s="36">
        <f>(O196-O197)*(1-$H$23)</f>
        <v/>
      </c>
      <c r="P198" s="36">
        <f>(P196-P197)*(1-$H$23)</f>
        <v/>
      </c>
      <c r="Q198" s="36">
        <f>(Q196-Q197)*(1-$H$23)</f>
        <v/>
      </c>
      <c r="R198" s="36">
        <f>(R196-R197)*(1-$H$23)</f>
        <v/>
      </c>
      <c r="S198" s="36">
        <f>(S196-S197)*(1-$H$23)</f>
        <v/>
      </c>
      <c r="T198" s="36">
        <f>(T196-T197)*(1-$H$23)</f>
        <v/>
      </c>
      <c r="U198" s="36">
        <f>(U196-U197)*(1-$H$23)</f>
        <v/>
      </c>
      <c r="V198" s="36">
        <f>(V196-V197)*(1-$H$23)</f>
        <v/>
      </c>
      <c r="W198" s="36">
        <f>(W196-W197)*(1-$H$23)</f>
        <v/>
      </c>
      <c r="X198" s="36">
        <f>(X196-X197)*(1-$H$23)</f>
        <v/>
      </c>
      <c r="Y198" s="36">
        <f>(Y196-Y197)*(1-$H$23)</f>
        <v/>
      </c>
      <c r="Z198" s="36">
        <f>(Z196-Z197)*(1-$H$23)</f>
        <v/>
      </c>
      <c r="AA198" s="36">
        <f>(AA196-AA197)*(1-$H$23)</f>
        <v/>
      </c>
      <c r="AB198" s="36">
        <f>(AB196-AB197)*(1-$H$23)</f>
        <v/>
      </c>
      <c r="AC198" s="36">
        <f>(AC196-AC197)*(1-$H$23)</f>
        <v/>
      </c>
      <c r="AD198" s="36">
        <f>(AD196-AD197)*(1-$H$23)</f>
        <v/>
      </c>
      <c r="AE198" s="36">
        <f>(AE196-AE197)*(1-$H$23)</f>
        <v/>
      </c>
      <c r="AF198" s="36">
        <f>(AF196-AF197)*(1-$H$23)</f>
        <v/>
      </c>
      <c r="AG198" s="36">
        <f>(AG196-AG197)*(1-$H$23)</f>
        <v/>
      </c>
      <c r="AH198" s="36">
        <f>(AH196-AH197)*(1-$H$23)</f>
        <v/>
      </c>
      <c r="AI198" s="36">
        <f>(AI196-AI197)*(1-$H$23)</f>
        <v/>
      </c>
      <c r="AJ198" s="36">
        <f>(AJ196-AJ197)*(1-$H$23)</f>
        <v/>
      </c>
      <c r="AK198" s="36">
        <f>(AK196-AK197)*(1-$H$23)</f>
        <v/>
      </c>
      <c r="AL198" s="36">
        <f>(AL196-AL197)*(1-$H$23)</f>
        <v/>
      </c>
      <c r="AM198" s="36">
        <f>(AM196-AM197)*(1-$H$23)</f>
        <v/>
      </c>
      <c r="AN198" s="36">
        <f>(AN196-AN197)*(1-$H$23)</f>
        <v/>
      </c>
      <c r="AO198" s="36">
        <f>(AO196-AO197)*(1-$H$23)</f>
        <v/>
      </c>
      <c r="AP198" s="36">
        <f>(AP196-AP197)*(1-$H$23)</f>
        <v/>
      </c>
      <c r="AQ198" s="36">
        <f>(AQ196-AQ197)*(1-$H$23)</f>
        <v/>
      </c>
      <c r="AR198" s="36">
        <f>(AR196-AR197)*(1-$H$23)</f>
        <v/>
      </c>
      <c r="AS198" s="36">
        <f>(AS196-AS197)*(1-$H$23)</f>
        <v/>
      </c>
      <c r="AT198" s="36">
        <f>(AT196-AT197)*(1-$H$23)</f>
        <v/>
      </c>
      <c r="AU198" s="36">
        <f>(AU196-AU197)*(1-$H$23)</f>
        <v/>
      </c>
      <c r="AV198" s="36">
        <f>(AV196-AV197)*(1-$H$23)</f>
        <v/>
      </c>
      <c r="AW198" s="36">
        <f>(AW196-AW197)*(1-$H$23)</f>
        <v/>
      </c>
      <c r="AX198" s="36">
        <f>(AX196-AX197)*(1-$H$23)</f>
        <v/>
      </c>
      <c r="AY198" s="36">
        <f>(AY196-AY197)*(1-$H$23)</f>
        <v/>
      </c>
      <c r="AZ198" s="36">
        <f>(AZ196-AZ197)*(1-$H$23)</f>
        <v/>
      </c>
      <c r="BA198" s="36">
        <f>(BA196-BA197)*(1-$H$23)</f>
        <v/>
      </c>
      <c r="BB198" s="36">
        <f>(BB196-BB197)*(1-$H$23)</f>
        <v/>
      </c>
      <c r="BC198" s="36">
        <f>(BC196-BC197)*(1-$H$23)</f>
        <v/>
      </c>
      <c r="BD198" s="36">
        <f>(BD196-BD197)*(1-$H$23)</f>
        <v/>
      </c>
    </row>
    <row r="199">
      <c r="A199" s="27" t="inlineStr">
        <is>
          <t xml:space="preserve">   returned to store</t>
        </is>
      </c>
      <c r="B199" s="2" t="inlineStr">
        <is>
          <t>lb</t>
        </is>
      </c>
      <c r="E199" s="36">
        <f>(E196-E197)*$H$23</f>
        <v/>
      </c>
      <c r="F199" s="36">
        <f>(F196-F197)*$H$23</f>
        <v/>
      </c>
      <c r="G199" s="36">
        <f>(G196-G197)*$H$23</f>
        <v/>
      </c>
      <c r="H199" s="36">
        <f>(H196-H197)*$H$23</f>
        <v/>
      </c>
      <c r="I199" s="36">
        <f>(I196-I197)*$H$23</f>
        <v/>
      </c>
      <c r="J199" s="36">
        <f>(J196-J197)*$H$23</f>
        <v/>
      </c>
      <c r="K199" s="36">
        <f>(K196-K197)*$H$23</f>
        <v/>
      </c>
      <c r="L199" s="36">
        <f>(L196-L197)*$H$23</f>
        <v/>
      </c>
      <c r="M199" s="36">
        <f>(M196-M197)*$H$23</f>
        <v/>
      </c>
      <c r="N199" s="36">
        <f>(N196-N197)*$H$23</f>
        <v/>
      </c>
      <c r="O199" s="36">
        <f>(O196-O197)*$H$23</f>
        <v/>
      </c>
      <c r="P199" s="36">
        <f>(P196-P197)*$H$23</f>
        <v/>
      </c>
      <c r="Q199" s="36">
        <f>(Q196-Q197)*$H$23</f>
        <v/>
      </c>
      <c r="R199" s="36">
        <f>(R196-R197)*$H$23</f>
        <v/>
      </c>
      <c r="S199" s="36">
        <f>(S196-S197)*$H$23</f>
        <v/>
      </c>
      <c r="T199" s="36">
        <f>(T196-T197)*$H$23</f>
        <v/>
      </c>
      <c r="U199" s="36">
        <f>(U196-U197)*$H$23</f>
        <v/>
      </c>
      <c r="V199" s="36">
        <f>(V196-V197)*$H$23</f>
        <v/>
      </c>
      <c r="W199" s="36">
        <f>(W196-W197)*$H$23</f>
        <v/>
      </c>
      <c r="X199" s="36">
        <f>(X196-X197)*$H$23</f>
        <v/>
      </c>
      <c r="Y199" s="36">
        <f>(Y196-Y197)*$H$23</f>
        <v/>
      </c>
      <c r="Z199" s="36">
        <f>(Z196-Z197)*$H$23</f>
        <v/>
      </c>
      <c r="AA199" s="36">
        <f>(AA196-AA197)*$H$23</f>
        <v/>
      </c>
      <c r="AB199" s="36">
        <f>(AB196-AB197)*$H$23</f>
        <v/>
      </c>
      <c r="AC199" s="36">
        <f>(AC196-AC197)*$H$23</f>
        <v/>
      </c>
      <c r="AD199" s="36">
        <f>(AD196-AD197)*$H$23</f>
        <v/>
      </c>
      <c r="AE199" s="36">
        <f>(AE196-AE197)*$H$23</f>
        <v/>
      </c>
      <c r="AF199" s="36">
        <f>(AF196-AF197)*$H$23</f>
        <v/>
      </c>
      <c r="AG199" s="36">
        <f>(AG196-AG197)*$H$23</f>
        <v/>
      </c>
      <c r="AH199" s="36">
        <f>(AH196-AH197)*$H$23</f>
        <v/>
      </c>
      <c r="AI199" s="36">
        <f>(AI196-AI197)*$H$23</f>
        <v/>
      </c>
      <c r="AJ199" s="36">
        <f>(AJ196-AJ197)*$H$23</f>
        <v/>
      </c>
      <c r="AK199" s="36">
        <f>(AK196-AK197)*$H$23</f>
        <v/>
      </c>
      <c r="AL199" s="36">
        <f>(AL196-AL197)*$H$23</f>
        <v/>
      </c>
      <c r="AM199" s="36">
        <f>(AM196-AM197)*$H$23</f>
        <v/>
      </c>
      <c r="AN199" s="36">
        <f>(AN196-AN197)*$H$23</f>
        <v/>
      </c>
      <c r="AO199" s="36">
        <f>(AO196-AO197)*$H$23</f>
        <v/>
      </c>
      <c r="AP199" s="36">
        <f>(AP196-AP197)*$H$23</f>
        <v/>
      </c>
      <c r="AQ199" s="36">
        <f>(AQ196-AQ197)*$H$23</f>
        <v/>
      </c>
      <c r="AR199" s="36">
        <f>(AR196-AR197)*$H$23</f>
        <v/>
      </c>
      <c r="AS199" s="36">
        <f>(AS196-AS197)*$H$23</f>
        <v/>
      </c>
      <c r="AT199" s="36">
        <f>(AT196-AT197)*$H$23</f>
        <v/>
      </c>
      <c r="AU199" s="36">
        <f>(AU196-AU197)*$H$23</f>
        <v/>
      </c>
      <c r="AV199" s="36">
        <f>(AV196-AV197)*$H$23</f>
        <v/>
      </c>
      <c r="AW199" s="36">
        <f>(AW196-AW197)*$H$23</f>
        <v/>
      </c>
      <c r="AX199" s="36">
        <f>(AX196-AX197)*$H$23</f>
        <v/>
      </c>
      <c r="AY199" s="36">
        <f>(AY196-AY197)*$H$23</f>
        <v/>
      </c>
      <c r="AZ199" s="36">
        <f>(AZ196-AZ197)*$H$23</f>
        <v/>
      </c>
      <c r="BA199" s="36">
        <f>(BA196-BA197)*$H$23</f>
        <v/>
      </c>
      <c r="BB199" s="36">
        <f>(BB196-BB197)*$H$23</f>
        <v/>
      </c>
      <c r="BC199" s="36">
        <f>(BC196-BC197)*$H$23</f>
        <v/>
      </c>
      <c r="BD199" s="36">
        <f>(BD196-BD197)*$H$23</f>
        <v/>
      </c>
    </row>
    <row r="200">
      <c r="A200" s="27" t="inlineStr">
        <is>
          <t xml:space="preserve">   leaves the store (offered - returned)</t>
        </is>
      </c>
      <c r="B200" s="2" t="inlineStr">
        <is>
          <t>lb</t>
        </is>
      </c>
      <c r="E200" s="36">
        <f>E196-E199</f>
        <v/>
      </c>
      <c r="F200" s="36">
        <f>F196-F199</f>
        <v/>
      </c>
      <c r="G200" s="36">
        <f>G196-G199</f>
        <v/>
      </c>
      <c r="H200" s="36">
        <f>H196-H199</f>
        <v/>
      </c>
      <c r="I200" s="36">
        <f>I196-I199</f>
        <v/>
      </c>
      <c r="J200" s="36">
        <f>J196-J199</f>
        <v/>
      </c>
      <c r="K200" s="36">
        <f>K196-K199</f>
        <v/>
      </c>
      <c r="L200" s="36">
        <f>L196-L199</f>
        <v/>
      </c>
      <c r="M200" s="36">
        <f>M196-M199</f>
        <v/>
      </c>
      <c r="N200" s="36">
        <f>N196-N199</f>
        <v/>
      </c>
      <c r="O200" s="36">
        <f>O196-O199</f>
        <v/>
      </c>
      <c r="P200" s="36">
        <f>P196-P199</f>
        <v/>
      </c>
      <c r="Q200" s="36">
        <f>Q196-Q199</f>
        <v/>
      </c>
      <c r="R200" s="36">
        <f>R196-R199</f>
        <v/>
      </c>
      <c r="S200" s="36">
        <f>S196-S199</f>
        <v/>
      </c>
      <c r="T200" s="36">
        <f>T196-T199</f>
        <v/>
      </c>
      <c r="U200" s="36">
        <f>U196-U199</f>
        <v/>
      </c>
      <c r="V200" s="36">
        <f>V196-V199</f>
        <v/>
      </c>
      <c r="W200" s="36">
        <f>W196-W199</f>
        <v/>
      </c>
      <c r="X200" s="36">
        <f>X196-X199</f>
        <v/>
      </c>
      <c r="Y200" s="36">
        <f>Y196-Y199</f>
        <v/>
      </c>
      <c r="Z200" s="36">
        <f>Z196-Z199</f>
        <v/>
      </c>
      <c r="AA200" s="36">
        <f>AA196-AA199</f>
        <v/>
      </c>
      <c r="AB200" s="36">
        <f>AB196-AB199</f>
        <v/>
      </c>
      <c r="AC200" s="36">
        <f>AC196-AC199</f>
        <v/>
      </c>
      <c r="AD200" s="36">
        <f>AD196-AD199</f>
        <v/>
      </c>
      <c r="AE200" s="36">
        <f>AE196-AE199</f>
        <v/>
      </c>
      <c r="AF200" s="36">
        <f>AF196-AF199</f>
        <v/>
      </c>
      <c r="AG200" s="36">
        <f>AG196-AG199</f>
        <v/>
      </c>
      <c r="AH200" s="36">
        <f>AH196-AH199</f>
        <v/>
      </c>
      <c r="AI200" s="36">
        <f>AI196-AI199</f>
        <v/>
      </c>
      <c r="AJ200" s="36">
        <f>AJ196-AJ199</f>
        <v/>
      </c>
      <c r="AK200" s="36">
        <f>AK196-AK199</f>
        <v/>
      </c>
      <c r="AL200" s="36">
        <f>AL196-AL199</f>
        <v/>
      </c>
      <c r="AM200" s="36">
        <f>AM196-AM199</f>
        <v/>
      </c>
      <c r="AN200" s="36">
        <f>AN196-AN199</f>
        <v/>
      </c>
      <c r="AO200" s="36">
        <f>AO196-AO199</f>
        <v/>
      </c>
      <c r="AP200" s="36">
        <f>AP196-AP199</f>
        <v/>
      </c>
      <c r="AQ200" s="36">
        <f>AQ196-AQ199</f>
        <v/>
      </c>
      <c r="AR200" s="36">
        <f>AR196-AR199</f>
        <v/>
      </c>
      <c r="AS200" s="36">
        <f>AS196-AS199</f>
        <v/>
      </c>
      <c r="AT200" s="36">
        <f>AT196-AT199</f>
        <v/>
      </c>
      <c r="AU200" s="36">
        <f>AU196-AU199</f>
        <v/>
      </c>
      <c r="AV200" s="36">
        <f>AV196-AV199</f>
        <v/>
      </c>
      <c r="AW200" s="36">
        <f>AW196-AW199</f>
        <v/>
      </c>
      <c r="AX200" s="36">
        <f>AX196-AX199</f>
        <v/>
      </c>
      <c r="AY200" s="36">
        <f>AY196-AY199</f>
        <v/>
      </c>
      <c r="AZ200" s="36">
        <f>AZ196-AZ199</f>
        <v/>
      </c>
      <c r="BA200" s="36">
        <f>BA196-BA199</f>
        <v/>
      </c>
      <c r="BB200" s="36">
        <f>BB196-BB199</f>
        <v/>
      </c>
      <c r="BC200" s="36">
        <f>BC196-BC199</f>
        <v/>
      </c>
      <c r="BD200" s="36">
        <f>BD196-BD199</f>
        <v/>
      </c>
    </row>
    <row r="201">
      <c r="A201" s="4" t="inlineStr">
        <is>
          <t>Stock carried out</t>
        </is>
      </c>
      <c r="B201" s="2" t="inlineStr">
        <is>
          <t>lb</t>
        </is>
      </c>
      <c r="E201" s="36">
        <f>E188-E194-E200</f>
        <v/>
      </c>
      <c r="F201" s="36">
        <f>F188-F194-F200</f>
        <v/>
      </c>
      <c r="G201" s="36">
        <f>G188-G194-G200</f>
        <v/>
      </c>
      <c r="H201" s="36">
        <f>H188-H194-H200</f>
        <v/>
      </c>
      <c r="I201" s="36">
        <f>I188-I194-I200</f>
        <v/>
      </c>
      <c r="J201" s="36">
        <f>J188-J194-J200</f>
        <v/>
      </c>
      <c r="K201" s="36">
        <f>K188-K194-K200</f>
        <v/>
      </c>
      <c r="L201" s="36">
        <f>L188-L194-L200</f>
        <v/>
      </c>
      <c r="M201" s="36">
        <f>M188-M194-M200</f>
        <v/>
      </c>
      <c r="N201" s="36">
        <f>N188-N194-N200</f>
        <v/>
      </c>
      <c r="O201" s="36">
        <f>O188-O194-O200</f>
        <v/>
      </c>
      <c r="P201" s="36">
        <f>P188-P194-P200</f>
        <v/>
      </c>
      <c r="Q201" s="36">
        <f>Q188-Q194-Q200</f>
        <v/>
      </c>
      <c r="R201" s="36">
        <f>R188-R194-R200</f>
        <v/>
      </c>
      <c r="S201" s="36">
        <f>S188-S194-S200</f>
        <v/>
      </c>
      <c r="T201" s="36">
        <f>T188-T194-T200</f>
        <v/>
      </c>
      <c r="U201" s="36">
        <f>U188-U194-U200</f>
        <v/>
      </c>
      <c r="V201" s="36">
        <f>V188-V194-V200</f>
        <v/>
      </c>
      <c r="W201" s="36">
        <f>W188-W194-W200</f>
        <v/>
      </c>
      <c r="X201" s="36">
        <f>X188-X194-X200</f>
        <v/>
      </c>
      <c r="Y201" s="36">
        <f>Y188-Y194-Y200</f>
        <v/>
      </c>
      <c r="Z201" s="36">
        <f>Z188-Z194-Z200</f>
        <v/>
      </c>
      <c r="AA201" s="36">
        <f>AA188-AA194-AA200</f>
        <v/>
      </c>
      <c r="AB201" s="36">
        <f>AB188-AB194-AB200</f>
        <v/>
      </c>
      <c r="AC201" s="36">
        <f>AC188-AC194-AC200</f>
        <v/>
      </c>
      <c r="AD201" s="36">
        <f>AD188-AD194-AD200</f>
        <v/>
      </c>
      <c r="AE201" s="36">
        <f>AE188-AE194-AE200</f>
        <v/>
      </c>
      <c r="AF201" s="36">
        <f>AF188-AF194-AF200</f>
        <v/>
      </c>
      <c r="AG201" s="36">
        <f>AG188-AG194-AG200</f>
        <v/>
      </c>
      <c r="AH201" s="36">
        <f>AH188-AH194-AH200</f>
        <v/>
      </c>
      <c r="AI201" s="36">
        <f>AI188-AI194-AI200</f>
        <v/>
      </c>
      <c r="AJ201" s="36">
        <f>AJ188-AJ194-AJ200</f>
        <v/>
      </c>
      <c r="AK201" s="36">
        <f>AK188-AK194-AK200</f>
        <v/>
      </c>
      <c r="AL201" s="36">
        <f>AL188-AL194-AL200</f>
        <v/>
      </c>
      <c r="AM201" s="36">
        <f>AM188-AM194-AM200</f>
        <v/>
      </c>
      <c r="AN201" s="36">
        <f>AN188-AN194-AN200</f>
        <v/>
      </c>
      <c r="AO201" s="36">
        <f>AO188-AO194-AO200</f>
        <v/>
      </c>
      <c r="AP201" s="36">
        <f>AP188-AP194-AP200</f>
        <v/>
      </c>
      <c r="AQ201" s="36">
        <f>AQ188-AQ194-AQ200</f>
        <v/>
      </c>
      <c r="AR201" s="36">
        <f>AR188-AR194-AR200</f>
        <v/>
      </c>
      <c r="AS201" s="36">
        <f>AS188-AS194-AS200</f>
        <v/>
      </c>
      <c r="AT201" s="36">
        <f>AT188-AT194-AT200</f>
        <v/>
      </c>
      <c r="AU201" s="36">
        <f>AU188-AU194-AU200</f>
        <v/>
      </c>
      <c r="AV201" s="36">
        <f>AV188-AV194-AV200</f>
        <v/>
      </c>
      <c r="AW201" s="36">
        <f>AW188-AW194-AW200</f>
        <v/>
      </c>
      <c r="AX201" s="36">
        <f>AX188-AX194-AX200</f>
        <v/>
      </c>
      <c r="AY201" s="36">
        <f>AY188-AY194-AY200</f>
        <v/>
      </c>
      <c r="AZ201" s="36">
        <f>AZ188-AZ194-AZ200</f>
        <v/>
      </c>
      <c r="BA201" s="36">
        <f>BA188-BA194-BA200</f>
        <v/>
      </c>
      <c r="BB201" s="36">
        <f>BB188-BB194-BB200</f>
        <v/>
      </c>
      <c r="BC201" s="36">
        <f>BC188-BC194-BC200</f>
        <v/>
      </c>
      <c r="BD201" s="36">
        <f>BD188-BD194-BD200</f>
        <v/>
      </c>
    </row>
    <row r="202">
      <c r="A202" s="2" t="inlineStr">
        <is>
          <t xml:space="preserve">   ^ subtracts what LEAVES, not what was offered — so 'returned to store' is</t>
        </is>
      </c>
    </row>
    <row r="203">
      <c r="A203" s="2" t="inlineStr">
        <is>
          <t xml:space="preserve">     never taken out at all, and shows up as next week's carried in.</t>
        </is>
      </c>
    </row>
    <row r="204">
      <c r="A204" s="27" t="inlineStr">
        <is>
          <t>Most stock its shelf life allows</t>
        </is>
      </c>
      <c r="B204" s="2" t="inlineStr">
        <is>
          <t>lb</t>
        </is>
      </c>
      <c r="E204" s="36">
        <f>SUMPRODUCT(($E$184:$BD$184&gt;=1-$F$13+2)*($E$184:$BD$184&lt;=1)*$E$185:$BD$185*POWER(1-$G$13,($E$184:$BD$184&lt;=1)*(1-$E$184:$BD$184)))</f>
        <v/>
      </c>
      <c r="F204" s="36">
        <f>SUMPRODUCT(($E$184:$BD$184&gt;=2-$F$13+2)*($E$184:$BD$184&lt;=2)*$E$185:$BD$185*POWER(1-$G$13,($E$184:$BD$184&lt;=2)*(2-$E$184:$BD$184)))</f>
        <v/>
      </c>
      <c r="G204" s="36">
        <f>SUMPRODUCT(($E$184:$BD$184&gt;=3-$F$13+2)*($E$184:$BD$184&lt;=3)*$E$185:$BD$185*POWER(1-$G$13,($E$184:$BD$184&lt;=3)*(3-$E$184:$BD$184)))</f>
        <v/>
      </c>
      <c r="H204" s="36">
        <f>SUMPRODUCT(($E$184:$BD$184&gt;=4-$F$13+2)*($E$184:$BD$184&lt;=4)*$E$185:$BD$185*POWER(1-$G$13,($E$184:$BD$184&lt;=4)*(4-$E$184:$BD$184)))</f>
        <v/>
      </c>
      <c r="I204" s="36">
        <f>SUMPRODUCT(($E$184:$BD$184&gt;=5-$F$13+2)*($E$184:$BD$184&lt;=5)*$E$185:$BD$185*POWER(1-$G$13,($E$184:$BD$184&lt;=5)*(5-$E$184:$BD$184)))</f>
        <v/>
      </c>
      <c r="J204" s="36">
        <f>SUMPRODUCT(($E$184:$BD$184&gt;=6-$F$13+2)*($E$184:$BD$184&lt;=6)*$E$185:$BD$185*POWER(1-$G$13,($E$184:$BD$184&lt;=6)*(6-$E$184:$BD$184)))</f>
        <v/>
      </c>
      <c r="K204" s="36">
        <f>SUMPRODUCT(($E$184:$BD$184&gt;=7-$F$13+2)*($E$184:$BD$184&lt;=7)*$E$185:$BD$185*POWER(1-$G$13,($E$184:$BD$184&lt;=7)*(7-$E$184:$BD$184)))</f>
        <v/>
      </c>
      <c r="L204" s="36">
        <f>SUMPRODUCT(($E$184:$BD$184&gt;=8-$F$13+2)*($E$184:$BD$184&lt;=8)*$E$185:$BD$185*POWER(1-$G$13,($E$184:$BD$184&lt;=8)*(8-$E$184:$BD$184)))</f>
        <v/>
      </c>
      <c r="M204" s="36">
        <f>SUMPRODUCT(($E$184:$BD$184&gt;=9-$F$13+2)*($E$184:$BD$184&lt;=9)*$E$185:$BD$185*POWER(1-$G$13,($E$184:$BD$184&lt;=9)*(9-$E$184:$BD$184)))</f>
        <v/>
      </c>
      <c r="N204" s="36">
        <f>SUMPRODUCT(($E$184:$BD$184&gt;=10-$F$13+2)*($E$184:$BD$184&lt;=10)*$E$185:$BD$185*POWER(1-$G$13,($E$184:$BD$184&lt;=10)*(10-$E$184:$BD$184)))</f>
        <v/>
      </c>
      <c r="O204" s="36">
        <f>SUMPRODUCT(($E$184:$BD$184&gt;=11-$F$13+2)*($E$184:$BD$184&lt;=11)*$E$185:$BD$185*POWER(1-$G$13,($E$184:$BD$184&lt;=11)*(11-$E$184:$BD$184)))</f>
        <v/>
      </c>
      <c r="P204" s="36">
        <f>SUMPRODUCT(($E$184:$BD$184&gt;=12-$F$13+2)*($E$184:$BD$184&lt;=12)*$E$185:$BD$185*POWER(1-$G$13,($E$184:$BD$184&lt;=12)*(12-$E$184:$BD$184)))</f>
        <v/>
      </c>
      <c r="Q204" s="36">
        <f>SUMPRODUCT(($E$184:$BD$184&gt;=13-$F$13+2)*($E$184:$BD$184&lt;=13)*$E$185:$BD$185*POWER(1-$G$13,($E$184:$BD$184&lt;=13)*(13-$E$184:$BD$184)))</f>
        <v/>
      </c>
      <c r="R204" s="36">
        <f>SUMPRODUCT(($E$184:$BD$184&gt;=14-$F$13+2)*($E$184:$BD$184&lt;=14)*$E$185:$BD$185*POWER(1-$G$13,($E$184:$BD$184&lt;=14)*(14-$E$184:$BD$184)))</f>
        <v/>
      </c>
      <c r="S204" s="36">
        <f>SUMPRODUCT(($E$184:$BD$184&gt;=15-$F$13+2)*($E$184:$BD$184&lt;=15)*$E$185:$BD$185*POWER(1-$G$13,($E$184:$BD$184&lt;=15)*(15-$E$184:$BD$184)))</f>
        <v/>
      </c>
      <c r="T204" s="36">
        <f>SUMPRODUCT(($E$184:$BD$184&gt;=16-$F$13+2)*($E$184:$BD$184&lt;=16)*$E$185:$BD$185*POWER(1-$G$13,($E$184:$BD$184&lt;=16)*(16-$E$184:$BD$184)))</f>
        <v/>
      </c>
      <c r="U204" s="36">
        <f>SUMPRODUCT(($E$184:$BD$184&gt;=17-$F$13+2)*($E$184:$BD$184&lt;=17)*$E$185:$BD$185*POWER(1-$G$13,($E$184:$BD$184&lt;=17)*(17-$E$184:$BD$184)))</f>
        <v/>
      </c>
      <c r="V204" s="36">
        <f>SUMPRODUCT(($E$184:$BD$184&gt;=18-$F$13+2)*($E$184:$BD$184&lt;=18)*$E$185:$BD$185*POWER(1-$G$13,($E$184:$BD$184&lt;=18)*(18-$E$184:$BD$184)))</f>
        <v/>
      </c>
      <c r="W204" s="36">
        <f>SUMPRODUCT(($E$184:$BD$184&gt;=19-$F$13+2)*($E$184:$BD$184&lt;=19)*$E$185:$BD$185*POWER(1-$G$13,($E$184:$BD$184&lt;=19)*(19-$E$184:$BD$184)))</f>
        <v/>
      </c>
      <c r="X204" s="36">
        <f>SUMPRODUCT(($E$184:$BD$184&gt;=20-$F$13+2)*($E$184:$BD$184&lt;=20)*$E$185:$BD$185*POWER(1-$G$13,($E$184:$BD$184&lt;=20)*(20-$E$184:$BD$184)))</f>
        <v/>
      </c>
      <c r="Y204" s="36">
        <f>SUMPRODUCT(($E$184:$BD$184&gt;=21-$F$13+2)*($E$184:$BD$184&lt;=21)*$E$185:$BD$185*POWER(1-$G$13,($E$184:$BD$184&lt;=21)*(21-$E$184:$BD$184)))</f>
        <v/>
      </c>
      <c r="Z204" s="36">
        <f>SUMPRODUCT(($E$184:$BD$184&gt;=22-$F$13+2)*($E$184:$BD$184&lt;=22)*$E$185:$BD$185*POWER(1-$G$13,($E$184:$BD$184&lt;=22)*(22-$E$184:$BD$184)))</f>
        <v/>
      </c>
      <c r="AA204" s="36">
        <f>SUMPRODUCT(($E$184:$BD$184&gt;=23-$F$13+2)*($E$184:$BD$184&lt;=23)*$E$185:$BD$185*POWER(1-$G$13,($E$184:$BD$184&lt;=23)*(23-$E$184:$BD$184)))</f>
        <v/>
      </c>
      <c r="AB204" s="36">
        <f>SUMPRODUCT(($E$184:$BD$184&gt;=24-$F$13+2)*($E$184:$BD$184&lt;=24)*$E$185:$BD$185*POWER(1-$G$13,($E$184:$BD$184&lt;=24)*(24-$E$184:$BD$184)))</f>
        <v/>
      </c>
      <c r="AC204" s="36">
        <f>SUMPRODUCT(($E$184:$BD$184&gt;=25-$F$13+2)*($E$184:$BD$184&lt;=25)*$E$185:$BD$185*POWER(1-$G$13,($E$184:$BD$184&lt;=25)*(25-$E$184:$BD$184)))</f>
        <v/>
      </c>
      <c r="AD204" s="36">
        <f>SUMPRODUCT(($E$184:$BD$184&gt;=26-$F$13+2)*($E$184:$BD$184&lt;=26)*$E$185:$BD$185*POWER(1-$G$13,($E$184:$BD$184&lt;=26)*(26-$E$184:$BD$184)))</f>
        <v/>
      </c>
      <c r="AE204" s="36">
        <f>SUMPRODUCT(($E$184:$BD$184&gt;=27-$F$13+2)*($E$184:$BD$184&lt;=27)*$E$185:$BD$185*POWER(1-$G$13,($E$184:$BD$184&lt;=27)*(27-$E$184:$BD$184)))</f>
        <v/>
      </c>
      <c r="AF204" s="36">
        <f>SUMPRODUCT(($E$184:$BD$184&gt;=28-$F$13+2)*($E$184:$BD$184&lt;=28)*$E$185:$BD$185*POWER(1-$G$13,($E$184:$BD$184&lt;=28)*(28-$E$184:$BD$184)))</f>
        <v/>
      </c>
      <c r="AG204" s="36">
        <f>SUMPRODUCT(($E$184:$BD$184&gt;=29-$F$13+2)*($E$184:$BD$184&lt;=29)*$E$185:$BD$185*POWER(1-$G$13,($E$184:$BD$184&lt;=29)*(29-$E$184:$BD$184)))</f>
        <v/>
      </c>
      <c r="AH204" s="36">
        <f>SUMPRODUCT(($E$184:$BD$184&gt;=30-$F$13+2)*($E$184:$BD$184&lt;=30)*$E$185:$BD$185*POWER(1-$G$13,($E$184:$BD$184&lt;=30)*(30-$E$184:$BD$184)))</f>
        <v/>
      </c>
      <c r="AI204" s="36">
        <f>SUMPRODUCT(($E$184:$BD$184&gt;=31-$F$13+2)*($E$184:$BD$184&lt;=31)*$E$185:$BD$185*POWER(1-$G$13,($E$184:$BD$184&lt;=31)*(31-$E$184:$BD$184)))</f>
        <v/>
      </c>
      <c r="AJ204" s="36">
        <f>SUMPRODUCT(($E$184:$BD$184&gt;=32-$F$13+2)*($E$184:$BD$184&lt;=32)*$E$185:$BD$185*POWER(1-$G$13,($E$184:$BD$184&lt;=32)*(32-$E$184:$BD$184)))</f>
        <v/>
      </c>
      <c r="AK204" s="36">
        <f>SUMPRODUCT(($E$184:$BD$184&gt;=33-$F$13+2)*($E$184:$BD$184&lt;=33)*$E$185:$BD$185*POWER(1-$G$13,($E$184:$BD$184&lt;=33)*(33-$E$184:$BD$184)))</f>
        <v/>
      </c>
      <c r="AL204" s="36">
        <f>SUMPRODUCT(($E$184:$BD$184&gt;=34-$F$13+2)*($E$184:$BD$184&lt;=34)*$E$185:$BD$185*POWER(1-$G$13,($E$184:$BD$184&lt;=34)*(34-$E$184:$BD$184)))</f>
        <v/>
      </c>
      <c r="AM204" s="36">
        <f>SUMPRODUCT(($E$184:$BD$184&gt;=35-$F$13+2)*($E$184:$BD$184&lt;=35)*$E$185:$BD$185*POWER(1-$G$13,($E$184:$BD$184&lt;=35)*(35-$E$184:$BD$184)))</f>
        <v/>
      </c>
      <c r="AN204" s="36">
        <f>SUMPRODUCT(($E$184:$BD$184&gt;=36-$F$13+2)*($E$184:$BD$184&lt;=36)*$E$185:$BD$185*POWER(1-$G$13,($E$184:$BD$184&lt;=36)*(36-$E$184:$BD$184)))</f>
        <v/>
      </c>
      <c r="AO204" s="36">
        <f>SUMPRODUCT(($E$184:$BD$184&gt;=37-$F$13+2)*($E$184:$BD$184&lt;=37)*$E$185:$BD$185*POWER(1-$G$13,($E$184:$BD$184&lt;=37)*(37-$E$184:$BD$184)))</f>
        <v/>
      </c>
      <c r="AP204" s="36">
        <f>SUMPRODUCT(($E$184:$BD$184&gt;=38-$F$13+2)*($E$184:$BD$184&lt;=38)*$E$185:$BD$185*POWER(1-$G$13,($E$184:$BD$184&lt;=38)*(38-$E$184:$BD$184)))</f>
        <v/>
      </c>
      <c r="AQ204" s="36">
        <f>SUMPRODUCT(($E$184:$BD$184&gt;=39-$F$13+2)*($E$184:$BD$184&lt;=39)*$E$185:$BD$185*POWER(1-$G$13,($E$184:$BD$184&lt;=39)*(39-$E$184:$BD$184)))</f>
        <v/>
      </c>
      <c r="AR204" s="36">
        <f>SUMPRODUCT(($E$184:$BD$184&gt;=40-$F$13+2)*($E$184:$BD$184&lt;=40)*$E$185:$BD$185*POWER(1-$G$13,($E$184:$BD$184&lt;=40)*(40-$E$184:$BD$184)))</f>
        <v/>
      </c>
      <c r="AS204" s="36">
        <f>SUMPRODUCT(($E$184:$BD$184&gt;=41-$F$13+2)*($E$184:$BD$184&lt;=41)*$E$185:$BD$185*POWER(1-$G$13,($E$184:$BD$184&lt;=41)*(41-$E$184:$BD$184)))</f>
        <v/>
      </c>
      <c r="AT204" s="36">
        <f>SUMPRODUCT(($E$184:$BD$184&gt;=42-$F$13+2)*($E$184:$BD$184&lt;=42)*$E$185:$BD$185*POWER(1-$G$13,($E$184:$BD$184&lt;=42)*(42-$E$184:$BD$184)))</f>
        <v/>
      </c>
      <c r="AU204" s="36">
        <f>SUMPRODUCT(($E$184:$BD$184&gt;=43-$F$13+2)*($E$184:$BD$184&lt;=43)*$E$185:$BD$185*POWER(1-$G$13,($E$184:$BD$184&lt;=43)*(43-$E$184:$BD$184)))</f>
        <v/>
      </c>
      <c r="AV204" s="36">
        <f>SUMPRODUCT(($E$184:$BD$184&gt;=44-$F$13+2)*($E$184:$BD$184&lt;=44)*$E$185:$BD$185*POWER(1-$G$13,($E$184:$BD$184&lt;=44)*(44-$E$184:$BD$184)))</f>
        <v/>
      </c>
      <c r="AW204" s="36">
        <f>SUMPRODUCT(($E$184:$BD$184&gt;=45-$F$13+2)*($E$184:$BD$184&lt;=45)*$E$185:$BD$185*POWER(1-$G$13,($E$184:$BD$184&lt;=45)*(45-$E$184:$BD$184)))</f>
        <v/>
      </c>
      <c r="AX204" s="36">
        <f>SUMPRODUCT(($E$184:$BD$184&gt;=46-$F$13+2)*($E$184:$BD$184&lt;=46)*$E$185:$BD$185*POWER(1-$G$13,($E$184:$BD$184&lt;=46)*(46-$E$184:$BD$184)))</f>
        <v/>
      </c>
      <c r="AY204" s="36">
        <f>SUMPRODUCT(($E$184:$BD$184&gt;=47-$F$13+2)*($E$184:$BD$184&lt;=47)*$E$185:$BD$185*POWER(1-$G$13,($E$184:$BD$184&lt;=47)*(47-$E$184:$BD$184)))</f>
        <v/>
      </c>
      <c r="AZ204" s="36">
        <f>SUMPRODUCT(($E$184:$BD$184&gt;=48-$F$13+2)*($E$184:$BD$184&lt;=48)*$E$185:$BD$185*POWER(1-$G$13,($E$184:$BD$184&lt;=48)*(48-$E$184:$BD$184)))</f>
        <v/>
      </c>
      <c r="BA204" s="36">
        <f>SUMPRODUCT(($E$184:$BD$184&gt;=49-$F$13+2)*($E$184:$BD$184&lt;=49)*$E$185:$BD$185*POWER(1-$G$13,($E$184:$BD$184&lt;=49)*(49-$E$184:$BD$184)))</f>
        <v/>
      </c>
      <c r="BB204" s="36">
        <f>SUMPRODUCT(($E$184:$BD$184&gt;=50-$F$13+2)*($E$184:$BD$184&lt;=50)*$E$185:$BD$185*POWER(1-$G$13,($E$184:$BD$184&lt;=50)*(50-$E$184:$BD$184)))</f>
        <v/>
      </c>
      <c r="BC204" s="36">
        <f>SUMPRODUCT(($E$184:$BD$184&gt;=51-$F$13+2)*($E$184:$BD$184&lt;=51)*$E$185:$BD$185*POWER(1-$G$13,($E$184:$BD$184&lt;=51)*(51-$E$184:$BD$184)))</f>
        <v/>
      </c>
      <c r="BD204" s="36">
        <f>SUMPRODUCT(($E$184:$BD$184&gt;=52-$F$13+2)*($E$184:$BD$184&lt;=52)*$E$185:$BD$185*POWER(1-$G$13,($E$184:$BD$184&lt;=52)*(52-$E$184:$BD$184)))</f>
        <v/>
      </c>
    </row>
    <row r="205">
      <c r="A205" s="2" t="inlineStr">
        <is>
          <t xml:space="preserve">   Stock carried out must stay at or below this row.</t>
        </is>
      </c>
    </row>
    <row r="206">
      <c r="A206" s="27" t="inlineStr">
        <is>
          <t>Growing cost this week</t>
        </is>
      </c>
      <c r="B206" s="2" t="inlineStr">
        <is>
          <t>$</t>
        </is>
      </c>
      <c r="E206" s="36">
        <f>SUMPRODUCT(($B$38:$B$105="Garlic")*(E$38:E$105="P")*$C$38:$C$105)*$K$13+SUMPRODUCT(($B$38:$B$105="Garlic")*(E$38:E$105="G")*$C$38:$C$105)*$L$13+SUMPRODUCT(($B$38:$B$105="Garlic")*(E$38:E$105="H")*$C$38:$C$105)*$M$13+SUMPRODUCT(($B$38:$B$105="Garlic")*($BG$38:$BG$105=1)*$C$38:$C$105)*$H$13</f>
        <v/>
      </c>
      <c r="F206" s="36">
        <f>SUMPRODUCT(($B$38:$B$105="Garlic")*(F$38:F$105="P")*$C$38:$C$105)*$K$13+SUMPRODUCT(($B$38:$B$105="Garlic")*(F$38:F$105="G")*$C$38:$C$105)*$L$13+SUMPRODUCT(($B$38:$B$105="Garlic")*(F$38:F$105="H")*$C$38:$C$105)*$M$13+SUMPRODUCT(($B$38:$B$105="Garlic")*($BG$38:$BG$105=2)*$C$38:$C$105)*$H$13</f>
        <v/>
      </c>
      <c r="G206" s="36">
        <f>SUMPRODUCT(($B$38:$B$105="Garlic")*(G$38:G$105="P")*$C$38:$C$105)*$K$13+SUMPRODUCT(($B$38:$B$105="Garlic")*(G$38:G$105="G")*$C$38:$C$105)*$L$13+SUMPRODUCT(($B$38:$B$105="Garlic")*(G$38:G$105="H")*$C$38:$C$105)*$M$13+SUMPRODUCT(($B$38:$B$105="Garlic")*($BG$38:$BG$105=3)*$C$38:$C$105)*$H$13</f>
        <v/>
      </c>
      <c r="H206" s="36">
        <f>SUMPRODUCT(($B$38:$B$105="Garlic")*(H$38:H$105="P")*$C$38:$C$105)*$K$13+SUMPRODUCT(($B$38:$B$105="Garlic")*(H$38:H$105="G")*$C$38:$C$105)*$L$13+SUMPRODUCT(($B$38:$B$105="Garlic")*(H$38:H$105="H")*$C$38:$C$105)*$M$13+SUMPRODUCT(($B$38:$B$105="Garlic")*($BG$38:$BG$105=4)*$C$38:$C$105)*$H$13</f>
        <v/>
      </c>
      <c r="I206" s="36">
        <f>SUMPRODUCT(($B$38:$B$105="Garlic")*(I$38:I$105="P")*$C$38:$C$105)*$K$13+SUMPRODUCT(($B$38:$B$105="Garlic")*(I$38:I$105="G")*$C$38:$C$105)*$L$13+SUMPRODUCT(($B$38:$B$105="Garlic")*(I$38:I$105="H")*$C$38:$C$105)*$M$13+SUMPRODUCT(($B$38:$B$105="Garlic")*($BG$38:$BG$105=5)*$C$38:$C$105)*$H$13</f>
        <v/>
      </c>
      <c r="J206" s="36">
        <f>SUMPRODUCT(($B$38:$B$105="Garlic")*(J$38:J$105="P")*$C$38:$C$105)*$K$13+SUMPRODUCT(($B$38:$B$105="Garlic")*(J$38:J$105="G")*$C$38:$C$105)*$L$13+SUMPRODUCT(($B$38:$B$105="Garlic")*(J$38:J$105="H")*$C$38:$C$105)*$M$13+SUMPRODUCT(($B$38:$B$105="Garlic")*($BG$38:$BG$105=6)*$C$38:$C$105)*$H$13</f>
        <v/>
      </c>
      <c r="K206" s="36">
        <f>SUMPRODUCT(($B$38:$B$105="Garlic")*(K$38:K$105="P")*$C$38:$C$105)*$K$13+SUMPRODUCT(($B$38:$B$105="Garlic")*(K$38:K$105="G")*$C$38:$C$105)*$L$13+SUMPRODUCT(($B$38:$B$105="Garlic")*(K$38:K$105="H")*$C$38:$C$105)*$M$13+SUMPRODUCT(($B$38:$B$105="Garlic")*($BG$38:$BG$105=7)*$C$38:$C$105)*$H$13</f>
        <v/>
      </c>
      <c r="L206" s="36">
        <f>SUMPRODUCT(($B$38:$B$105="Garlic")*(L$38:L$105="P")*$C$38:$C$105)*$K$13+SUMPRODUCT(($B$38:$B$105="Garlic")*(L$38:L$105="G")*$C$38:$C$105)*$L$13+SUMPRODUCT(($B$38:$B$105="Garlic")*(L$38:L$105="H")*$C$38:$C$105)*$M$13+SUMPRODUCT(($B$38:$B$105="Garlic")*($BG$38:$BG$105=8)*$C$38:$C$105)*$H$13</f>
        <v/>
      </c>
      <c r="M206" s="36">
        <f>SUMPRODUCT(($B$38:$B$105="Garlic")*(M$38:M$105="P")*$C$38:$C$105)*$K$13+SUMPRODUCT(($B$38:$B$105="Garlic")*(M$38:M$105="G")*$C$38:$C$105)*$L$13+SUMPRODUCT(($B$38:$B$105="Garlic")*(M$38:M$105="H")*$C$38:$C$105)*$M$13+SUMPRODUCT(($B$38:$B$105="Garlic")*($BG$38:$BG$105=9)*$C$38:$C$105)*$H$13</f>
        <v/>
      </c>
      <c r="N206" s="36">
        <f>SUMPRODUCT(($B$38:$B$105="Garlic")*(N$38:N$105="P")*$C$38:$C$105)*$K$13+SUMPRODUCT(($B$38:$B$105="Garlic")*(N$38:N$105="G")*$C$38:$C$105)*$L$13+SUMPRODUCT(($B$38:$B$105="Garlic")*(N$38:N$105="H")*$C$38:$C$105)*$M$13+SUMPRODUCT(($B$38:$B$105="Garlic")*($BG$38:$BG$105=10)*$C$38:$C$105)*$H$13</f>
        <v/>
      </c>
      <c r="O206" s="36">
        <f>SUMPRODUCT(($B$38:$B$105="Garlic")*(O$38:O$105="P")*$C$38:$C$105)*$K$13+SUMPRODUCT(($B$38:$B$105="Garlic")*(O$38:O$105="G")*$C$38:$C$105)*$L$13+SUMPRODUCT(($B$38:$B$105="Garlic")*(O$38:O$105="H")*$C$38:$C$105)*$M$13+SUMPRODUCT(($B$38:$B$105="Garlic")*($BG$38:$BG$105=11)*$C$38:$C$105)*$H$13</f>
        <v/>
      </c>
      <c r="P206" s="36">
        <f>SUMPRODUCT(($B$38:$B$105="Garlic")*(P$38:P$105="P")*$C$38:$C$105)*$K$13+SUMPRODUCT(($B$38:$B$105="Garlic")*(P$38:P$105="G")*$C$38:$C$105)*$L$13+SUMPRODUCT(($B$38:$B$105="Garlic")*(P$38:P$105="H")*$C$38:$C$105)*$M$13+SUMPRODUCT(($B$38:$B$105="Garlic")*($BG$38:$BG$105=12)*$C$38:$C$105)*$H$13</f>
        <v/>
      </c>
      <c r="Q206" s="36">
        <f>SUMPRODUCT(($B$38:$B$105="Garlic")*(Q$38:Q$105="P")*$C$38:$C$105)*$K$13+SUMPRODUCT(($B$38:$B$105="Garlic")*(Q$38:Q$105="G")*$C$38:$C$105)*$L$13+SUMPRODUCT(($B$38:$B$105="Garlic")*(Q$38:Q$105="H")*$C$38:$C$105)*$M$13+SUMPRODUCT(($B$38:$B$105="Garlic")*($BG$38:$BG$105=13)*$C$38:$C$105)*$H$13</f>
        <v/>
      </c>
      <c r="R206" s="36">
        <f>SUMPRODUCT(($B$38:$B$105="Garlic")*(R$38:R$105="P")*$C$38:$C$105)*$K$13+SUMPRODUCT(($B$38:$B$105="Garlic")*(R$38:R$105="G")*$C$38:$C$105)*$L$13+SUMPRODUCT(($B$38:$B$105="Garlic")*(R$38:R$105="H")*$C$38:$C$105)*$M$13+SUMPRODUCT(($B$38:$B$105="Garlic")*($BG$38:$BG$105=14)*$C$38:$C$105)*$H$13</f>
        <v/>
      </c>
      <c r="S206" s="36">
        <f>SUMPRODUCT(($B$38:$B$105="Garlic")*(S$38:S$105="P")*$C$38:$C$105)*$K$13+SUMPRODUCT(($B$38:$B$105="Garlic")*(S$38:S$105="G")*$C$38:$C$105)*$L$13+SUMPRODUCT(($B$38:$B$105="Garlic")*(S$38:S$105="H")*$C$38:$C$105)*$M$13+SUMPRODUCT(($B$38:$B$105="Garlic")*($BG$38:$BG$105=15)*$C$38:$C$105)*$H$13</f>
        <v/>
      </c>
      <c r="T206" s="36">
        <f>SUMPRODUCT(($B$38:$B$105="Garlic")*(T$38:T$105="P")*$C$38:$C$105)*$K$13+SUMPRODUCT(($B$38:$B$105="Garlic")*(T$38:T$105="G")*$C$38:$C$105)*$L$13+SUMPRODUCT(($B$38:$B$105="Garlic")*(T$38:T$105="H")*$C$38:$C$105)*$M$13+SUMPRODUCT(($B$38:$B$105="Garlic")*($BG$38:$BG$105=16)*$C$38:$C$105)*$H$13</f>
        <v/>
      </c>
      <c r="U206" s="36">
        <f>SUMPRODUCT(($B$38:$B$105="Garlic")*(U$38:U$105="P")*$C$38:$C$105)*$K$13+SUMPRODUCT(($B$38:$B$105="Garlic")*(U$38:U$105="G")*$C$38:$C$105)*$L$13+SUMPRODUCT(($B$38:$B$105="Garlic")*(U$38:U$105="H")*$C$38:$C$105)*$M$13+SUMPRODUCT(($B$38:$B$105="Garlic")*($BG$38:$BG$105=17)*$C$38:$C$105)*$H$13</f>
        <v/>
      </c>
      <c r="V206" s="36">
        <f>SUMPRODUCT(($B$38:$B$105="Garlic")*(V$38:V$105="P")*$C$38:$C$105)*$K$13+SUMPRODUCT(($B$38:$B$105="Garlic")*(V$38:V$105="G")*$C$38:$C$105)*$L$13+SUMPRODUCT(($B$38:$B$105="Garlic")*(V$38:V$105="H")*$C$38:$C$105)*$M$13+SUMPRODUCT(($B$38:$B$105="Garlic")*($BG$38:$BG$105=18)*$C$38:$C$105)*$H$13</f>
        <v/>
      </c>
      <c r="W206" s="36">
        <f>SUMPRODUCT(($B$38:$B$105="Garlic")*(W$38:W$105="P")*$C$38:$C$105)*$K$13+SUMPRODUCT(($B$38:$B$105="Garlic")*(W$38:W$105="G")*$C$38:$C$105)*$L$13+SUMPRODUCT(($B$38:$B$105="Garlic")*(W$38:W$105="H")*$C$38:$C$105)*$M$13+SUMPRODUCT(($B$38:$B$105="Garlic")*($BG$38:$BG$105=19)*$C$38:$C$105)*$H$13</f>
        <v/>
      </c>
      <c r="X206" s="36">
        <f>SUMPRODUCT(($B$38:$B$105="Garlic")*(X$38:X$105="P")*$C$38:$C$105)*$K$13+SUMPRODUCT(($B$38:$B$105="Garlic")*(X$38:X$105="G")*$C$38:$C$105)*$L$13+SUMPRODUCT(($B$38:$B$105="Garlic")*(X$38:X$105="H")*$C$38:$C$105)*$M$13+SUMPRODUCT(($B$38:$B$105="Garlic")*($BG$38:$BG$105=20)*$C$38:$C$105)*$H$13</f>
        <v/>
      </c>
      <c r="Y206" s="36">
        <f>SUMPRODUCT(($B$38:$B$105="Garlic")*(Y$38:Y$105="P")*$C$38:$C$105)*$K$13+SUMPRODUCT(($B$38:$B$105="Garlic")*(Y$38:Y$105="G")*$C$38:$C$105)*$L$13+SUMPRODUCT(($B$38:$B$105="Garlic")*(Y$38:Y$105="H")*$C$38:$C$105)*$M$13+SUMPRODUCT(($B$38:$B$105="Garlic")*($BG$38:$BG$105=21)*$C$38:$C$105)*$H$13</f>
        <v/>
      </c>
      <c r="Z206" s="36">
        <f>SUMPRODUCT(($B$38:$B$105="Garlic")*(Z$38:Z$105="P")*$C$38:$C$105)*$K$13+SUMPRODUCT(($B$38:$B$105="Garlic")*(Z$38:Z$105="G")*$C$38:$C$105)*$L$13+SUMPRODUCT(($B$38:$B$105="Garlic")*(Z$38:Z$105="H")*$C$38:$C$105)*$M$13+SUMPRODUCT(($B$38:$B$105="Garlic")*($BG$38:$BG$105=22)*$C$38:$C$105)*$H$13</f>
        <v/>
      </c>
      <c r="AA206" s="36">
        <f>SUMPRODUCT(($B$38:$B$105="Garlic")*(AA$38:AA$105="P")*$C$38:$C$105)*$K$13+SUMPRODUCT(($B$38:$B$105="Garlic")*(AA$38:AA$105="G")*$C$38:$C$105)*$L$13+SUMPRODUCT(($B$38:$B$105="Garlic")*(AA$38:AA$105="H")*$C$38:$C$105)*$M$13+SUMPRODUCT(($B$38:$B$105="Garlic")*($BG$38:$BG$105=23)*$C$38:$C$105)*$H$13</f>
        <v/>
      </c>
      <c r="AB206" s="36">
        <f>SUMPRODUCT(($B$38:$B$105="Garlic")*(AB$38:AB$105="P")*$C$38:$C$105)*$K$13+SUMPRODUCT(($B$38:$B$105="Garlic")*(AB$38:AB$105="G")*$C$38:$C$105)*$L$13+SUMPRODUCT(($B$38:$B$105="Garlic")*(AB$38:AB$105="H")*$C$38:$C$105)*$M$13+SUMPRODUCT(($B$38:$B$105="Garlic")*($BG$38:$BG$105=24)*$C$38:$C$105)*$H$13</f>
        <v/>
      </c>
      <c r="AC206" s="36">
        <f>SUMPRODUCT(($B$38:$B$105="Garlic")*(AC$38:AC$105="P")*$C$38:$C$105)*$K$13+SUMPRODUCT(($B$38:$B$105="Garlic")*(AC$38:AC$105="G")*$C$38:$C$105)*$L$13+SUMPRODUCT(($B$38:$B$105="Garlic")*(AC$38:AC$105="H")*$C$38:$C$105)*$M$13+SUMPRODUCT(($B$38:$B$105="Garlic")*($BG$38:$BG$105=25)*$C$38:$C$105)*$H$13</f>
        <v/>
      </c>
      <c r="AD206" s="36">
        <f>SUMPRODUCT(($B$38:$B$105="Garlic")*(AD$38:AD$105="P")*$C$38:$C$105)*$K$13+SUMPRODUCT(($B$38:$B$105="Garlic")*(AD$38:AD$105="G")*$C$38:$C$105)*$L$13+SUMPRODUCT(($B$38:$B$105="Garlic")*(AD$38:AD$105="H")*$C$38:$C$105)*$M$13+SUMPRODUCT(($B$38:$B$105="Garlic")*($BG$38:$BG$105=26)*$C$38:$C$105)*$H$13</f>
        <v/>
      </c>
      <c r="AE206" s="36">
        <f>SUMPRODUCT(($B$38:$B$105="Garlic")*(AE$38:AE$105="P")*$C$38:$C$105)*$K$13+SUMPRODUCT(($B$38:$B$105="Garlic")*(AE$38:AE$105="G")*$C$38:$C$105)*$L$13+SUMPRODUCT(($B$38:$B$105="Garlic")*(AE$38:AE$105="H")*$C$38:$C$105)*$M$13+SUMPRODUCT(($B$38:$B$105="Garlic")*($BG$38:$BG$105=27)*$C$38:$C$105)*$H$13</f>
        <v/>
      </c>
      <c r="AF206" s="36">
        <f>SUMPRODUCT(($B$38:$B$105="Garlic")*(AF$38:AF$105="P")*$C$38:$C$105)*$K$13+SUMPRODUCT(($B$38:$B$105="Garlic")*(AF$38:AF$105="G")*$C$38:$C$105)*$L$13+SUMPRODUCT(($B$38:$B$105="Garlic")*(AF$38:AF$105="H")*$C$38:$C$105)*$M$13+SUMPRODUCT(($B$38:$B$105="Garlic")*($BG$38:$BG$105=28)*$C$38:$C$105)*$H$13</f>
        <v/>
      </c>
      <c r="AG206" s="36">
        <f>SUMPRODUCT(($B$38:$B$105="Garlic")*(AG$38:AG$105="P")*$C$38:$C$105)*$K$13+SUMPRODUCT(($B$38:$B$105="Garlic")*(AG$38:AG$105="G")*$C$38:$C$105)*$L$13+SUMPRODUCT(($B$38:$B$105="Garlic")*(AG$38:AG$105="H")*$C$38:$C$105)*$M$13+SUMPRODUCT(($B$38:$B$105="Garlic")*($BG$38:$BG$105=29)*$C$38:$C$105)*$H$13</f>
        <v/>
      </c>
      <c r="AH206" s="36">
        <f>SUMPRODUCT(($B$38:$B$105="Garlic")*(AH$38:AH$105="P")*$C$38:$C$105)*$K$13+SUMPRODUCT(($B$38:$B$105="Garlic")*(AH$38:AH$105="G")*$C$38:$C$105)*$L$13+SUMPRODUCT(($B$38:$B$105="Garlic")*(AH$38:AH$105="H")*$C$38:$C$105)*$M$13+SUMPRODUCT(($B$38:$B$105="Garlic")*($BG$38:$BG$105=30)*$C$38:$C$105)*$H$13</f>
        <v/>
      </c>
      <c r="AI206" s="36">
        <f>SUMPRODUCT(($B$38:$B$105="Garlic")*(AI$38:AI$105="P")*$C$38:$C$105)*$K$13+SUMPRODUCT(($B$38:$B$105="Garlic")*(AI$38:AI$105="G")*$C$38:$C$105)*$L$13+SUMPRODUCT(($B$38:$B$105="Garlic")*(AI$38:AI$105="H")*$C$38:$C$105)*$M$13+SUMPRODUCT(($B$38:$B$105="Garlic")*($BG$38:$BG$105=31)*$C$38:$C$105)*$H$13</f>
        <v/>
      </c>
      <c r="AJ206" s="36">
        <f>SUMPRODUCT(($B$38:$B$105="Garlic")*(AJ$38:AJ$105="P")*$C$38:$C$105)*$K$13+SUMPRODUCT(($B$38:$B$105="Garlic")*(AJ$38:AJ$105="G")*$C$38:$C$105)*$L$13+SUMPRODUCT(($B$38:$B$105="Garlic")*(AJ$38:AJ$105="H")*$C$38:$C$105)*$M$13+SUMPRODUCT(($B$38:$B$105="Garlic")*($BG$38:$BG$105=32)*$C$38:$C$105)*$H$13</f>
        <v/>
      </c>
      <c r="AK206" s="36">
        <f>SUMPRODUCT(($B$38:$B$105="Garlic")*(AK$38:AK$105="P")*$C$38:$C$105)*$K$13+SUMPRODUCT(($B$38:$B$105="Garlic")*(AK$38:AK$105="G")*$C$38:$C$105)*$L$13+SUMPRODUCT(($B$38:$B$105="Garlic")*(AK$38:AK$105="H")*$C$38:$C$105)*$M$13+SUMPRODUCT(($B$38:$B$105="Garlic")*($BG$38:$BG$105=33)*$C$38:$C$105)*$H$13</f>
        <v/>
      </c>
      <c r="AL206" s="36">
        <f>SUMPRODUCT(($B$38:$B$105="Garlic")*(AL$38:AL$105="P")*$C$38:$C$105)*$K$13+SUMPRODUCT(($B$38:$B$105="Garlic")*(AL$38:AL$105="G")*$C$38:$C$105)*$L$13+SUMPRODUCT(($B$38:$B$105="Garlic")*(AL$38:AL$105="H")*$C$38:$C$105)*$M$13+SUMPRODUCT(($B$38:$B$105="Garlic")*($BG$38:$BG$105=34)*$C$38:$C$105)*$H$13</f>
        <v/>
      </c>
      <c r="AM206" s="36">
        <f>SUMPRODUCT(($B$38:$B$105="Garlic")*(AM$38:AM$105="P")*$C$38:$C$105)*$K$13+SUMPRODUCT(($B$38:$B$105="Garlic")*(AM$38:AM$105="G")*$C$38:$C$105)*$L$13+SUMPRODUCT(($B$38:$B$105="Garlic")*(AM$38:AM$105="H")*$C$38:$C$105)*$M$13+SUMPRODUCT(($B$38:$B$105="Garlic")*($BG$38:$BG$105=35)*$C$38:$C$105)*$H$13</f>
        <v/>
      </c>
      <c r="AN206" s="36">
        <f>SUMPRODUCT(($B$38:$B$105="Garlic")*(AN$38:AN$105="P")*$C$38:$C$105)*$K$13+SUMPRODUCT(($B$38:$B$105="Garlic")*(AN$38:AN$105="G")*$C$38:$C$105)*$L$13+SUMPRODUCT(($B$38:$B$105="Garlic")*(AN$38:AN$105="H")*$C$38:$C$105)*$M$13+SUMPRODUCT(($B$38:$B$105="Garlic")*($BG$38:$BG$105=36)*$C$38:$C$105)*$H$13</f>
        <v/>
      </c>
      <c r="AO206" s="36">
        <f>SUMPRODUCT(($B$38:$B$105="Garlic")*(AO$38:AO$105="P")*$C$38:$C$105)*$K$13+SUMPRODUCT(($B$38:$B$105="Garlic")*(AO$38:AO$105="G")*$C$38:$C$105)*$L$13+SUMPRODUCT(($B$38:$B$105="Garlic")*(AO$38:AO$105="H")*$C$38:$C$105)*$M$13+SUMPRODUCT(($B$38:$B$105="Garlic")*($BG$38:$BG$105=37)*$C$38:$C$105)*$H$13</f>
        <v/>
      </c>
      <c r="AP206" s="36">
        <f>SUMPRODUCT(($B$38:$B$105="Garlic")*(AP$38:AP$105="P")*$C$38:$C$105)*$K$13+SUMPRODUCT(($B$38:$B$105="Garlic")*(AP$38:AP$105="G")*$C$38:$C$105)*$L$13+SUMPRODUCT(($B$38:$B$105="Garlic")*(AP$38:AP$105="H")*$C$38:$C$105)*$M$13+SUMPRODUCT(($B$38:$B$105="Garlic")*($BG$38:$BG$105=38)*$C$38:$C$105)*$H$13</f>
        <v/>
      </c>
      <c r="AQ206" s="36">
        <f>SUMPRODUCT(($B$38:$B$105="Garlic")*(AQ$38:AQ$105="P")*$C$38:$C$105)*$K$13+SUMPRODUCT(($B$38:$B$105="Garlic")*(AQ$38:AQ$105="G")*$C$38:$C$105)*$L$13+SUMPRODUCT(($B$38:$B$105="Garlic")*(AQ$38:AQ$105="H")*$C$38:$C$105)*$M$13+SUMPRODUCT(($B$38:$B$105="Garlic")*($BG$38:$BG$105=39)*$C$38:$C$105)*$H$13</f>
        <v/>
      </c>
      <c r="AR206" s="36">
        <f>SUMPRODUCT(($B$38:$B$105="Garlic")*(AR$38:AR$105="P")*$C$38:$C$105)*$K$13+SUMPRODUCT(($B$38:$B$105="Garlic")*(AR$38:AR$105="G")*$C$38:$C$105)*$L$13+SUMPRODUCT(($B$38:$B$105="Garlic")*(AR$38:AR$105="H")*$C$38:$C$105)*$M$13+SUMPRODUCT(($B$38:$B$105="Garlic")*($BG$38:$BG$105=40)*$C$38:$C$105)*$H$13</f>
        <v/>
      </c>
      <c r="AS206" s="36">
        <f>SUMPRODUCT(($B$38:$B$105="Garlic")*(AS$38:AS$105="P")*$C$38:$C$105)*$K$13+SUMPRODUCT(($B$38:$B$105="Garlic")*(AS$38:AS$105="G")*$C$38:$C$105)*$L$13+SUMPRODUCT(($B$38:$B$105="Garlic")*(AS$38:AS$105="H")*$C$38:$C$105)*$M$13+SUMPRODUCT(($B$38:$B$105="Garlic")*($BG$38:$BG$105=41)*$C$38:$C$105)*$H$13</f>
        <v/>
      </c>
      <c r="AT206" s="36">
        <f>SUMPRODUCT(($B$38:$B$105="Garlic")*(AT$38:AT$105="P")*$C$38:$C$105)*$K$13+SUMPRODUCT(($B$38:$B$105="Garlic")*(AT$38:AT$105="G")*$C$38:$C$105)*$L$13+SUMPRODUCT(($B$38:$B$105="Garlic")*(AT$38:AT$105="H")*$C$38:$C$105)*$M$13+SUMPRODUCT(($B$38:$B$105="Garlic")*($BG$38:$BG$105=42)*$C$38:$C$105)*$H$13</f>
        <v/>
      </c>
      <c r="AU206" s="36">
        <f>SUMPRODUCT(($B$38:$B$105="Garlic")*(AU$38:AU$105="P")*$C$38:$C$105)*$K$13+SUMPRODUCT(($B$38:$B$105="Garlic")*(AU$38:AU$105="G")*$C$38:$C$105)*$L$13+SUMPRODUCT(($B$38:$B$105="Garlic")*(AU$38:AU$105="H")*$C$38:$C$105)*$M$13+SUMPRODUCT(($B$38:$B$105="Garlic")*($BG$38:$BG$105=43)*$C$38:$C$105)*$H$13</f>
        <v/>
      </c>
      <c r="AV206" s="36">
        <f>SUMPRODUCT(($B$38:$B$105="Garlic")*(AV$38:AV$105="P")*$C$38:$C$105)*$K$13+SUMPRODUCT(($B$38:$B$105="Garlic")*(AV$38:AV$105="G")*$C$38:$C$105)*$L$13+SUMPRODUCT(($B$38:$B$105="Garlic")*(AV$38:AV$105="H")*$C$38:$C$105)*$M$13+SUMPRODUCT(($B$38:$B$105="Garlic")*($BG$38:$BG$105=44)*$C$38:$C$105)*$H$13</f>
        <v/>
      </c>
      <c r="AW206" s="36">
        <f>SUMPRODUCT(($B$38:$B$105="Garlic")*(AW$38:AW$105="P")*$C$38:$C$105)*$K$13+SUMPRODUCT(($B$38:$B$105="Garlic")*(AW$38:AW$105="G")*$C$38:$C$105)*$L$13+SUMPRODUCT(($B$38:$B$105="Garlic")*(AW$38:AW$105="H")*$C$38:$C$105)*$M$13+SUMPRODUCT(($B$38:$B$105="Garlic")*($BG$38:$BG$105=45)*$C$38:$C$105)*$H$13</f>
        <v/>
      </c>
      <c r="AX206" s="36">
        <f>SUMPRODUCT(($B$38:$B$105="Garlic")*(AX$38:AX$105="P")*$C$38:$C$105)*$K$13+SUMPRODUCT(($B$38:$B$105="Garlic")*(AX$38:AX$105="G")*$C$38:$C$105)*$L$13+SUMPRODUCT(($B$38:$B$105="Garlic")*(AX$38:AX$105="H")*$C$38:$C$105)*$M$13+SUMPRODUCT(($B$38:$B$105="Garlic")*($BG$38:$BG$105=46)*$C$38:$C$105)*$H$13</f>
        <v/>
      </c>
      <c r="AY206" s="36">
        <f>SUMPRODUCT(($B$38:$B$105="Garlic")*(AY$38:AY$105="P")*$C$38:$C$105)*$K$13+SUMPRODUCT(($B$38:$B$105="Garlic")*(AY$38:AY$105="G")*$C$38:$C$105)*$L$13+SUMPRODUCT(($B$38:$B$105="Garlic")*(AY$38:AY$105="H")*$C$38:$C$105)*$M$13+SUMPRODUCT(($B$38:$B$105="Garlic")*($BG$38:$BG$105=47)*$C$38:$C$105)*$H$13</f>
        <v/>
      </c>
      <c r="AZ206" s="36">
        <f>SUMPRODUCT(($B$38:$B$105="Garlic")*(AZ$38:AZ$105="P")*$C$38:$C$105)*$K$13+SUMPRODUCT(($B$38:$B$105="Garlic")*(AZ$38:AZ$105="G")*$C$38:$C$105)*$L$13+SUMPRODUCT(($B$38:$B$105="Garlic")*(AZ$38:AZ$105="H")*$C$38:$C$105)*$M$13+SUMPRODUCT(($B$38:$B$105="Garlic")*($BG$38:$BG$105=48)*$C$38:$C$105)*$H$13</f>
        <v/>
      </c>
      <c r="BA206" s="36">
        <f>SUMPRODUCT(($B$38:$B$105="Garlic")*(BA$38:BA$105="P")*$C$38:$C$105)*$K$13+SUMPRODUCT(($B$38:$B$105="Garlic")*(BA$38:BA$105="G")*$C$38:$C$105)*$L$13+SUMPRODUCT(($B$38:$B$105="Garlic")*(BA$38:BA$105="H")*$C$38:$C$105)*$M$13+SUMPRODUCT(($B$38:$B$105="Garlic")*($BG$38:$BG$105=49)*$C$38:$C$105)*$H$13</f>
        <v/>
      </c>
      <c r="BB206" s="36">
        <f>SUMPRODUCT(($B$38:$B$105="Garlic")*(BB$38:BB$105="P")*$C$38:$C$105)*$K$13+SUMPRODUCT(($B$38:$B$105="Garlic")*(BB$38:BB$105="G")*$C$38:$C$105)*$L$13+SUMPRODUCT(($B$38:$B$105="Garlic")*(BB$38:BB$105="H")*$C$38:$C$105)*$M$13+SUMPRODUCT(($B$38:$B$105="Garlic")*($BG$38:$BG$105=50)*$C$38:$C$105)*$H$13</f>
        <v/>
      </c>
      <c r="BC206" s="36">
        <f>SUMPRODUCT(($B$38:$B$105="Garlic")*(BC$38:BC$105="P")*$C$38:$C$105)*$K$13+SUMPRODUCT(($B$38:$B$105="Garlic")*(BC$38:BC$105="G")*$C$38:$C$105)*$L$13+SUMPRODUCT(($B$38:$B$105="Garlic")*(BC$38:BC$105="H")*$C$38:$C$105)*$M$13+SUMPRODUCT(($B$38:$B$105="Garlic")*($BG$38:$BG$105=51)*$C$38:$C$105)*$H$13</f>
        <v/>
      </c>
      <c r="BD206" s="36">
        <f>SUMPRODUCT(($B$38:$B$105="Garlic")*(BD$38:BD$105="P")*$C$38:$C$105)*$K$13+SUMPRODUCT(($B$38:$B$105="Garlic")*(BD$38:BD$105="G")*$C$38:$C$105)*$L$13+SUMPRODUCT(($B$38:$B$105="Garlic")*(BD$38:BD$105="H")*$C$38:$C$105)*$M$13+SUMPRODUCT(($B$38:$B$105="Garlic")*($BG$38:$BG$105=52)*$C$38:$C$105)*$H$13</f>
        <v/>
      </c>
    </row>
    <row r="207">
      <c r="A207" s="27" t="inlineStr">
        <is>
          <t>Packaging this week</t>
        </is>
      </c>
      <c r="B207" s="2" t="inlineStr">
        <is>
          <t>$</t>
        </is>
      </c>
      <c r="E207" s="36">
        <f>E191*$J$22+E197*$J$23</f>
        <v/>
      </c>
      <c r="F207" s="36">
        <f>F191*$J$22+F197*$J$23</f>
        <v/>
      </c>
      <c r="G207" s="36">
        <f>G191*$J$22+G197*$J$23</f>
        <v/>
      </c>
      <c r="H207" s="36">
        <f>H191*$J$22+H197*$J$23</f>
        <v/>
      </c>
      <c r="I207" s="36">
        <f>I191*$J$22+I197*$J$23</f>
        <v/>
      </c>
      <c r="J207" s="36">
        <f>J191*$J$22+J197*$J$23</f>
        <v/>
      </c>
      <c r="K207" s="36">
        <f>K191*$J$22+K197*$J$23</f>
        <v/>
      </c>
      <c r="L207" s="36">
        <f>L191*$J$22+L197*$J$23</f>
        <v/>
      </c>
      <c r="M207" s="36">
        <f>M191*$J$22+M197*$J$23</f>
        <v/>
      </c>
      <c r="N207" s="36">
        <f>N191*$J$22+N197*$J$23</f>
        <v/>
      </c>
      <c r="O207" s="36">
        <f>O191*$J$22+O197*$J$23</f>
        <v/>
      </c>
      <c r="P207" s="36">
        <f>P191*$J$22+P197*$J$23</f>
        <v/>
      </c>
      <c r="Q207" s="36">
        <f>Q191*$J$22+Q197*$J$23</f>
        <v/>
      </c>
      <c r="R207" s="36">
        <f>R191*$J$22+R197*$J$23</f>
        <v/>
      </c>
      <c r="S207" s="36">
        <f>S191*$J$22+S197*$J$23</f>
        <v/>
      </c>
      <c r="T207" s="36">
        <f>T191*$J$22+T197*$J$23</f>
        <v/>
      </c>
      <c r="U207" s="36">
        <f>U191*$J$22+U197*$J$23</f>
        <v/>
      </c>
      <c r="V207" s="36">
        <f>V191*$J$22+V197*$J$23</f>
        <v/>
      </c>
      <c r="W207" s="36">
        <f>W191*$J$22+W197*$J$23</f>
        <v/>
      </c>
      <c r="X207" s="36">
        <f>X191*$J$22+X197*$J$23</f>
        <v/>
      </c>
      <c r="Y207" s="36">
        <f>Y191*$J$22+Y197*$J$23</f>
        <v/>
      </c>
      <c r="Z207" s="36">
        <f>Z191*$J$22+Z197*$J$23</f>
        <v/>
      </c>
      <c r="AA207" s="36">
        <f>AA191*$J$22+AA197*$J$23</f>
        <v/>
      </c>
      <c r="AB207" s="36">
        <f>AB191*$J$22+AB197*$J$23</f>
        <v/>
      </c>
      <c r="AC207" s="36">
        <f>AC191*$J$22+AC197*$J$23</f>
        <v/>
      </c>
      <c r="AD207" s="36">
        <f>AD191*$J$22+AD197*$J$23</f>
        <v/>
      </c>
      <c r="AE207" s="36">
        <f>AE191*$J$22+AE197*$J$23</f>
        <v/>
      </c>
      <c r="AF207" s="36">
        <f>AF191*$J$22+AF197*$J$23</f>
        <v/>
      </c>
      <c r="AG207" s="36">
        <f>AG191*$J$22+AG197*$J$23</f>
        <v/>
      </c>
      <c r="AH207" s="36">
        <f>AH191*$J$22+AH197*$J$23</f>
        <v/>
      </c>
      <c r="AI207" s="36">
        <f>AI191*$J$22+AI197*$J$23</f>
        <v/>
      </c>
      <c r="AJ207" s="36">
        <f>AJ191*$J$22+AJ197*$J$23</f>
        <v/>
      </c>
      <c r="AK207" s="36">
        <f>AK191*$J$22+AK197*$J$23</f>
        <v/>
      </c>
      <c r="AL207" s="36">
        <f>AL191*$J$22+AL197*$J$23</f>
        <v/>
      </c>
      <c r="AM207" s="36">
        <f>AM191*$J$22+AM197*$J$23</f>
        <v/>
      </c>
      <c r="AN207" s="36">
        <f>AN191*$J$22+AN197*$J$23</f>
        <v/>
      </c>
      <c r="AO207" s="36">
        <f>AO191*$J$22+AO197*$J$23</f>
        <v/>
      </c>
      <c r="AP207" s="36">
        <f>AP191*$J$22+AP197*$J$23</f>
        <v/>
      </c>
      <c r="AQ207" s="36">
        <f>AQ191*$J$22+AQ197*$J$23</f>
        <v/>
      </c>
      <c r="AR207" s="36">
        <f>AR191*$J$22+AR197*$J$23</f>
        <v/>
      </c>
      <c r="AS207" s="36">
        <f>AS191*$J$22+AS197*$J$23</f>
        <v/>
      </c>
      <c r="AT207" s="36">
        <f>AT191*$J$22+AT197*$J$23</f>
        <v/>
      </c>
      <c r="AU207" s="36">
        <f>AU191*$J$22+AU197*$J$23</f>
        <v/>
      </c>
      <c r="AV207" s="36">
        <f>AV191*$J$22+AV197*$J$23</f>
        <v/>
      </c>
      <c r="AW207" s="36">
        <f>AW191*$J$22+AW197*$J$23</f>
        <v/>
      </c>
      <c r="AX207" s="36">
        <f>AX191*$J$22+AX197*$J$23</f>
        <v/>
      </c>
      <c r="AY207" s="36">
        <f>AY191*$J$22+AY197*$J$23</f>
        <v/>
      </c>
      <c r="AZ207" s="36">
        <f>AZ191*$J$22+AZ197*$J$23</f>
        <v/>
      </c>
      <c r="BA207" s="36">
        <f>BA191*$J$22+BA197*$J$23</f>
        <v/>
      </c>
      <c r="BB207" s="36">
        <f>BB191*$J$22+BB197*$J$23</f>
        <v/>
      </c>
      <c r="BC207" s="36">
        <f>BC191*$J$22+BC197*$J$23</f>
        <v/>
      </c>
      <c r="BD207" s="36">
        <f>BD191*$J$22+BD197*$J$23</f>
        <v/>
      </c>
    </row>
    <row r="208">
      <c r="A208" s="4" t="inlineStr">
        <is>
          <t>ROOM OCCUPANCY</t>
        </is>
      </c>
      <c r="B208" s="2" t="inlineStr">
        <is>
          <t>m3</t>
        </is>
      </c>
      <c r="E208" s="49">
        <f>(E186+E185)*$D$13</f>
        <v/>
      </c>
      <c r="F208" s="49">
        <f>(F186+F185)*$D$13</f>
        <v/>
      </c>
      <c r="G208" s="49">
        <f>(G186+G185)*$D$13</f>
        <v/>
      </c>
      <c r="H208" s="49">
        <f>(H186+H185)*$D$13</f>
        <v/>
      </c>
      <c r="I208" s="49">
        <f>(I186+I185)*$D$13</f>
        <v/>
      </c>
      <c r="J208" s="49">
        <f>(J186+J185)*$D$13</f>
        <v/>
      </c>
      <c r="K208" s="49">
        <f>(K186+K185)*$D$13</f>
        <v/>
      </c>
      <c r="L208" s="49">
        <f>(L186+L185)*$D$13</f>
        <v/>
      </c>
      <c r="M208" s="49">
        <f>(M186+M185)*$D$13</f>
        <v/>
      </c>
      <c r="N208" s="49">
        <f>(N186+N185)*$D$13</f>
        <v/>
      </c>
      <c r="O208" s="49">
        <f>(O186+O185)*$D$13</f>
        <v/>
      </c>
      <c r="P208" s="49">
        <f>(P186+P185)*$D$13</f>
        <v/>
      </c>
      <c r="Q208" s="49">
        <f>(Q186+Q185)*$D$13</f>
        <v/>
      </c>
      <c r="R208" s="49">
        <f>(R186+R185)*$D$13</f>
        <v/>
      </c>
      <c r="S208" s="49">
        <f>(S186+S185)*$D$13</f>
        <v/>
      </c>
      <c r="T208" s="49">
        <f>(T186+T185)*$D$13</f>
        <v/>
      </c>
      <c r="U208" s="49">
        <f>(U186+U185)*$D$13</f>
        <v/>
      </c>
      <c r="V208" s="49">
        <f>(V186+V185)*$D$13</f>
        <v/>
      </c>
      <c r="W208" s="49">
        <f>(W186+W185)*$D$13</f>
        <v/>
      </c>
      <c r="X208" s="49">
        <f>(X186+X185)*$D$13</f>
        <v/>
      </c>
      <c r="Y208" s="49">
        <f>(Y186+Y185)*$D$13</f>
        <v/>
      </c>
      <c r="Z208" s="49">
        <f>(Z186+Z185)*$D$13</f>
        <v/>
      </c>
      <c r="AA208" s="49">
        <f>(AA186+AA185)*$D$13</f>
        <v/>
      </c>
      <c r="AB208" s="49">
        <f>(AB186+AB185)*$D$13</f>
        <v/>
      </c>
      <c r="AC208" s="49">
        <f>(AC186+AC185)*$D$13</f>
        <v/>
      </c>
      <c r="AD208" s="49">
        <f>(AD186+AD185)*$D$13</f>
        <v/>
      </c>
      <c r="AE208" s="49">
        <f>(AE186+AE185)*$D$13</f>
        <v/>
      </c>
      <c r="AF208" s="49">
        <f>(AF186+AF185)*$D$13</f>
        <v/>
      </c>
      <c r="AG208" s="49">
        <f>(AG186+AG185)*$D$13</f>
        <v/>
      </c>
      <c r="AH208" s="49">
        <f>(AH186+AH185)*$D$13</f>
        <v/>
      </c>
      <c r="AI208" s="49">
        <f>(AI186+AI185)*$D$13</f>
        <v/>
      </c>
      <c r="AJ208" s="49">
        <f>(AJ186+AJ185)*$D$13</f>
        <v/>
      </c>
      <c r="AK208" s="49">
        <f>(AK186+AK185)*$D$13</f>
        <v/>
      </c>
      <c r="AL208" s="49">
        <f>(AL186+AL185)*$D$13</f>
        <v/>
      </c>
      <c r="AM208" s="49">
        <f>(AM186+AM185)*$D$13</f>
        <v/>
      </c>
      <c r="AN208" s="49">
        <f>(AN186+AN185)*$D$13</f>
        <v/>
      </c>
      <c r="AO208" s="49">
        <f>(AO186+AO185)*$D$13</f>
        <v/>
      </c>
      <c r="AP208" s="49">
        <f>(AP186+AP185)*$D$13</f>
        <v/>
      </c>
      <c r="AQ208" s="49">
        <f>(AQ186+AQ185)*$D$13</f>
        <v/>
      </c>
      <c r="AR208" s="49">
        <f>(AR186+AR185)*$D$13</f>
        <v/>
      </c>
      <c r="AS208" s="49">
        <f>(AS186+AS185)*$D$13</f>
        <v/>
      </c>
      <c r="AT208" s="49">
        <f>(AT186+AT185)*$D$13</f>
        <v/>
      </c>
      <c r="AU208" s="49">
        <f>(AU186+AU185)*$D$13</f>
        <v/>
      </c>
      <c r="AV208" s="49">
        <f>(AV186+AV185)*$D$13</f>
        <v/>
      </c>
      <c r="AW208" s="49">
        <f>(AW186+AW185)*$D$13</f>
        <v/>
      </c>
      <c r="AX208" s="49">
        <f>(AX186+AX185)*$D$13</f>
        <v/>
      </c>
      <c r="AY208" s="49">
        <f>(AY186+AY185)*$D$13</f>
        <v/>
      </c>
      <c r="AZ208" s="49">
        <f>(AZ186+AZ185)*$D$13</f>
        <v/>
      </c>
      <c r="BA208" s="49">
        <f>(BA186+BA185)*$D$13</f>
        <v/>
      </c>
      <c r="BB208" s="49">
        <f>(BB186+BB185)*$D$13</f>
        <v/>
      </c>
      <c r="BC208" s="49">
        <f>(BC186+BC185)*$D$13</f>
        <v/>
      </c>
      <c r="BD208" s="49">
        <f>(BD186+BD185)*$D$13</f>
        <v/>
      </c>
    </row>
    <row r="210">
      <c r="A210" s="3" t="inlineStr">
        <is>
          <t>6 — THE TWO STORES</t>
        </is>
      </c>
    </row>
    <row r="211">
      <c r="A211" s="22" t="inlineStr">
        <is>
          <t>Week</t>
        </is>
      </c>
      <c r="B211" s="33" t="inlineStr">
        <is>
          <t>m3</t>
        </is>
      </c>
      <c r="E211" s="25" t="n">
        <v>1</v>
      </c>
      <c r="F211" s="25" t="n">
        <v>2</v>
      </c>
      <c r="G211" s="25" t="n">
        <v>3</v>
      </c>
      <c r="H211" s="25" t="n">
        <v>4</v>
      </c>
      <c r="I211" s="25" t="n">
        <v>5</v>
      </c>
      <c r="J211" s="25" t="n">
        <v>6</v>
      </c>
      <c r="K211" s="25" t="n">
        <v>7</v>
      </c>
      <c r="L211" s="25" t="n">
        <v>8</v>
      </c>
      <c r="M211" s="25" t="n">
        <v>9</v>
      </c>
      <c r="N211" s="25" t="n">
        <v>10</v>
      </c>
      <c r="O211" s="25" t="n">
        <v>11</v>
      </c>
      <c r="P211" s="25" t="n">
        <v>12</v>
      </c>
      <c r="Q211" s="25" t="n">
        <v>13</v>
      </c>
      <c r="R211" s="25" t="n">
        <v>14</v>
      </c>
      <c r="S211" s="25" t="n">
        <v>15</v>
      </c>
      <c r="T211" s="25" t="n">
        <v>16</v>
      </c>
      <c r="U211" s="25" t="n">
        <v>17</v>
      </c>
      <c r="V211" s="25" t="n">
        <v>18</v>
      </c>
      <c r="W211" s="25" t="n">
        <v>19</v>
      </c>
      <c r="X211" s="25" t="n">
        <v>20</v>
      </c>
      <c r="Y211" s="25" t="n">
        <v>21</v>
      </c>
      <c r="Z211" s="25" t="n">
        <v>22</v>
      </c>
      <c r="AA211" s="25" t="n">
        <v>23</v>
      </c>
      <c r="AB211" s="25" t="n">
        <v>24</v>
      </c>
      <c r="AC211" s="25" t="n">
        <v>25</v>
      </c>
      <c r="AD211" s="25" t="n">
        <v>26</v>
      </c>
      <c r="AE211" s="25" t="n">
        <v>27</v>
      </c>
      <c r="AF211" s="25" t="n">
        <v>28</v>
      </c>
      <c r="AG211" s="25" t="n">
        <v>29</v>
      </c>
      <c r="AH211" s="25" t="n">
        <v>30</v>
      </c>
      <c r="AI211" s="25" t="n">
        <v>31</v>
      </c>
      <c r="AJ211" s="25" t="n">
        <v>32</v>
      </c>
      <c r="AK211" s="25" t="n">
        <v>33</v>
      </c>
      <c r="AL211" s="25" t="n">
        <v>34</v>
      </c>
      <c r="AM211" s="25" t="n">
        <v>35</v>
      </c>
      <c r="AN211" s="25" t="n">
        <v>36</v>
      </c>
      <c r="AO211" s="25" t="n">
        <v>37</v>
      </c>
      <c r="AP211" s="25" t="n">
        <v>38</v>
      </c>
      <c r="AQ211" s="25" t="n">
        <v>39</v>
      </c>
      <c r="AR211" s="25" t="n">
        <v>40</v>
      </c>
      <c r="AS211" s="25" t="n">
        <v>41</v>
      </c>
      <c r="AT211" s="25" t="n">
        <v>42</v>
      </c>
      <c r="AU211" s="25" t="n">
        <v>43</v>
      </c>
      <c r="AV211" s="25" t="n">
        <v>44</v>
      </c>
      <c r="AW211" s="25" t="n">
        <v>45</v>
      </c>
      <c r="AX211" s="25" t="n">
        <v>46</v>
      </c>
      <c r="AY211" s="25" t="n">
        <v>47</v>
      </c>
      <c r="AZ211" s="25" t="n">
        <v>48</v>
      </c>
      <c r="BA211" s="25" t="n">
        <v>49</v>
      </c>
      <c r="BB211" s="25" t="n">
        <v>50</v>
      </c>
      <c r="BC211" s="25" t="n">
        <v>51</v>
      </c>
      <c r="BD211" s="25" t="n">
        <v>52</v>
      </c>
    </row>
    <row r="212">
      <c r="A212" s="50" t="inlineStr">
        <is>
          <t>COLD STORE</t>
        </is>
      </c>
      <c r="B212" s="2" t="inlineStr">
        <is>
          <t>used</t>
        </is>
      </c>
      <c r="E212" s="45">
        <f>E152+E181</f>
        <v/>
      </c>
      <c r="F212" s="45">
        <f>F152+F181</f>
        <v/>
      </c>
      <c r="G212" s="45">
        <f>G152+G181</f>
        <v/>
      </c>
      <c r="H212" s="45">
        <f>H152+H181</f>
        <v/>
      </c>
      <c r="I212" s="45">
        <f>I152+I181</f>
        <v/>
      </c>
      <c r="J212" s="45">
        <f>J152+J181</f>
        <v/>
      </c>
      <c r="K212" s="45">
        <f>K152+K181</f>
        <v/>
      </c>
      <c r="L212" s="45">
        <f>L152+L181</f>
        <v/>
      </c>
      <c r="M212" s="45">
        <f>M152+M181</f>
        <v/>
      </c>
      <c r="N212" s="45">
        <f>N152+N181</f>
        <v/>
      </c>
      <c r="O212" s="45">
        <f>O152+O181</f>
        <v/>
      </c>
      <c r="P212" s="45">
        <f>P152+P181</f>
        <v/>
      </c>
      <c r="Q212" s="45">
        <f>Q152+Q181</f>
        <v/>
      </c>
      <c r="R212" s="45">
        <f>R152+R181</f>
        <v/>
      </c>
      <c r="S212" s="45">
        <f>S152+S181</f>
        <v/>
      </c>
      <c r="T212" s="45">
        <f>T152+T181</f>
        <v/>
      </c>
      <c r="U212" s="45">
        <f>U152+U181</f>
        <v/>
      </c>
      <c r="V212" s="45">
        <f>V152+V181</f>
        <v/>
      </c>
      <c r="W212" s="45">
        <f>W152+W181</f>
        <v/>
      </c>
      <c r="X212" s="45">
        <f>X152+X181</f>
        <v/>
      </c>
      <c r="Y212" s="45">
        <f>Y152+Y181</f>
        <v/>
      </c>
      <c r="Z212" s="45">
        <f>Z152+Z181</f>
        <v/>
      </c>
      <c r="AA212" s="45">
        <f>AA152+AA181</f>
        <v/>
      </c>
      <c r="AB212" s="45">
        <f>AB152+AB181</f>
        <v/>
      </c>
      <c r="AC212" s="45">
        <f>AC152+AC181</f>
        <v/>
      </c>
      <c r="AD212" s="45">
        <f>AD152+AD181</f>
        <v/>
      </c>
      <c r="AE212" s="45">
        <f>AE152+AE181</f>
        <v/>
      </c>
      <c r="AF212" s="45">
        <f>AF152+AF181</f>
        <v/>
      </c>
      <c r="AG212" s="45">
        <f>AG152+AG181</f>
        <v/>
      </c>
      <c r="AH212" s="45">
        <f>AH152+AH181</f>
        <v/>
      </c>
      <c r="AI212" s="45">
        <f>AI152+AI181</f>
        <v/>
      </c>
      <c r="AJ212" s="45">
        <f>AJ152+AJ181</f>
        <v/>
      </c>
      <c r="AK212" s="45">
        <f>AK152+AK181</f>
        <v/>
      </c>
      <c r="AL212" s="45">
        <f>AL152+AL181</f>
        <v/>
      </c>
      <c r="AM212" s="45">
        <f>AM152+AM181</f>
        <v/>
      </c>
      <c r="AN212" s="45">
        <f>AN152+AN181</f>
        <v/>
      </c>
      <c r="AO212" s="45">
        <f>AO152+AO181</f>
        <v/>
      </c>
      <c r="AP212" s="45">
        <f>AP152+AP181</f>
        <v/>
      </c>
      <c r="AQ212" s="45">
        <f>AQ152+AQ181</f>
        <v/>
      </c>
      <c r="AR212" s="45">
        <f>AR152+AR181</f>
        <v/>
      </c>
      <c r="AS212" s="45">
        <f>AS152+AS181</f>
        <v/>
      </c>
      <c r="AT212" s="45">
        <f>AT152+AT181</f>
        <v/>
      </c>
      <c r="AU212" s="45">
        <f>AU152+AU181</f>
        <v/>
      </c>
      <c r="AV212" s="45">
        <f>AV152+AV181</f>
        <v/>
      </c>
      <c r="AW212" s="45">
        <f>AW152+AW181</f>
        <v/>
      </c>
      <c r="AX212" s="45">
        <f>AX152+AX181</f>
        <v/>
      </c>
      <c r="AY212" s="45">
        <f>AY152+AY181</f>
        <v/>
      </c>
      <c r="AZ212" s="45">
        <f>AZ152+AZ181</f>
        <v/>
      </c>
      <c r="BA212" s="45">
        <f>BA152+BA181</f>
        <v/>
      </c>
      <c r="BB212" s="45">
        <f>BB152+BB181</f>
        <v/>
      </c>
      <c r="BC212" s="45">
        <f>BC152+BC181</f>
        <v/>
      </c>
      <c r="BD212" s="45">
        <f>BD152+BD181</f>
        <v/>
      </c>
    </row>
    <row r="213">
      <c r="A213" s="4" t="inlineStr"/>
      <c r="E213" s="35" t="inlineStr">
        <is>
          <t>&lt;=</t>
        </is>
      </c>
      <c r="F213" s="35" t="inlineStr">
        <is>
          <t>&lt;=</t>
        </is>
      </c>
      <c r="G213" s="35" t="inlineStr">
        <is>
          <t>&lt;=</t>
        </is>
      </c>
      <c r="H213" s="35" t="inlineStr">
        <is>
          <t>&lt;=</t>
        </is>
      </c>
      <c r="I213" s="35" t="inlineStr">
        <is>
          <t>&lt;=</t>
        </is>
      </c>
      <c r="J213" s="35" t="inlineStr">
        <is>
          <t>&lt;=</t>
        </is>
      </c>
      <c r="K213" s="35" t="inlineStr">
        <is>
          <t>&lt;=</t>
        </is>
      </c>
      <c r="L213" s="35" t="inlineStr">
        <is>
          <t>&lt;=</t>
        </is>
      </c>
      <c r="M213" s="35" t="inlineStr">
        <is>
          <t>&lt;=</t>
        </is>
      </c>
      <c r="N213" s="35" t="inlineStr">
        <is>
          <t>&lt;=</t>
        </is>
      </c>
      <c r="O213" s="35" t="inlineStr">
        <is>
          <t>&lt;=</t>
        </is>
      </c>
      <c r="P213" s="35" t="inlineStr">
        <is>
          <t>&lt;=</t>
        </is>
      </c>
      <c r="Q213" s="35" t="inlineStr">
        <is>
          <t>&lt;=</t>
        </is>
      </c>
      <c r="R213" s="35" t="inlineStr">
        <is>
          <t>&lt;=</t>
        </is>
      </c>
      <c r="S213" s="35" t="inlineStr">
        <is>
          <t>&lt;=</t>
        </is>
      </c>
      <c r="T213" s="35" t="inlineStr">
        <is>
          <t>&lt;=</t>
        </is>
      </c>
      <c r="U213" s="35" t="inlineStr">
        <is>
          <t>&lt;=</t>
        </is>
      </c>
      <c r="V213" s="35" t="inlineStr">
        <is>
          <t>&lt;=</t>
        </is>
      </c>
      <c r="W213" s="35" t="inlineStr">
        <is>
          <t>&lt;=</t>
        </is>
      </c>
      <c r="X213" s="35" t="inlineStr">
        <is>
          <t>&lt;=</t>
        </is>
      </c>
      <c r="Y213" s="35" t="inlineStr">
        <is>
          <t>&lt;=</t>
        </is>
      </c>
      <c r="Z213" s="35" t="inlineStr">
        <is>
          <t>&lt;=</t>
        </is>
      </c>
      <c r="AA213" s="35" t="inlineStr">
        <is>
          <t>&lt;=</t>
        </is>
      </c>
      <c r="AB213" s="35" t="inlineStr">
        <is>
          <t>&lt;=</t>
        </is>
      </c>
      <c r="AC213" s="35" t="inlineStr">
        <is>
          <t>&lt;=</t>
        </is>
      </c>
      <c r="AD213" s="35" t="inlineStr">
        <is>
          <t>&lt;=</t>
        </is>
      </c>
      <c r="AE213" s="35" t="inlineStr">
        <is>
          <t>&lt;=</t>
        </is>
      </c>
      <c r="AF213" s="35" t="inlineStr">
        <is>
          <t>&lt;=</t>
        </is>
      </c>
      <c r="AG213" s="35" t="inlineStr">
        <is>
          <t>&lt;=</t>
        </is>
      </c>
      <c r="AH213" s="35" t="inlineStr">
        <is>
          <t>&lt;=</t>
        </is>
      </c>
      <c r="AI213" s="35" t="inlineStr">
        <is>
          <t>&lt;=</t>
        </is>
      </c>
      <c r="AJ213" s="35" t="inlineStr">
        <is>
          <t>&lt;=</t>
        </is>
      </c>
      <c r="AK213" s="35" t="inlineStr">
        <is>
          <t>&lt;=</t>
        </is>
      </c>
      <c r="AL213" s="35" t="inlineStr">
        <is>
          <t>&lt;=</t>
        </is>
      </c>
      <c r="AM213" s="35" t="inlineStr">
        <is>
          <t>&lt;=</t>
        </is>
      </c>
      <c r="AN213" s="35" t="inlineStr">
        <is>
          <t>&lt;=</t>
        </is>
      </c>
      <c r="AO213" s="35" t="inlineStr">
        <is>
          <t>&lt;=</t>
        </is>
      </c>
      <c r="AP213" s="35" t="inlineStr">
        <is>
          <t>&lt;=</t>
        </is>
      </c>
      <c r="AQ213" s="35" t="inlineStr">
        <is>
          <t>&lt;=</t>
        </is>
      </c>
      <c r="AR213" s="35" t="inlineStr">
        <is>
          <t>&lt;=</t>
        </is>
      </c>
      <c r="AS213" s="35" t="inlineStr">
        <is>
          <t>&lt;=</t>
        </is>
      </c>
      <c r="AT213" s="35" t="inlineStr">
        <is>
          <t>&lt;=</t>
        </is>
      </c>
      <c r="AU213" s="35" t="inlineStr">
        <is>
          <t>&lt;=</t>
        </is>
      </c>
      <c r="AV213" s="35" t="inlineStr">
        <is>
          <t>&lt;=</t>
        </is>
      </c>
      <c r="AW213" s="35" t="inlineStr">
        <is>
          <t>&lt;=</t>
        </is>
      </c>
      <c r="AX213" s="35" t="inlineStr">
        <is>
          <t>&lt;=</t>
        </is>
      </c>
      <c r="AY213" s="35" t="inlineStr">
        <is>
          <t>&lt;=</t>
        </is>
      </c>
      <c r="AZ213" s="35" t="inlineStr">
        <is>
          <t>&lt;=</t>
        </is>
      </c>
      <c r="BA213" s="35" t="inlineStr">
        <is>
          <t>&lt;=</t>
        </is>
      </c>
      <c r="BB213" s="35" t="inlineStr">
        <is>
          <t>&lt;=</t>
        </is>
      </c>
      <c r="BC213" s="35" t="inlineStr">
        <is>
          <t>&lt;=</t>
        </is>
      </c>
      <c r="BD213" s="35" t="inlineStr">
        <is>
          <t>&lt;=</t>
        </is>
      </c>
    </row>
    <row r="214">
      <c r="A214" s="4" t="inlineStr">
        <is>
          <t xml:space="preserve">  limit</t>
        </is>
      </c>
      <c r="B214" s="2" t="inlineStr">
        <is>
          <t>cap</t>
        </is>
      </c>
      <c r="E214" s="34">
        <f>$B$6</f>
        <v/>
      </c>
      <c r="F214" s="34">
        <f>$B$6</f>
        <v/>
      </c>
      <c r="G214" s="34">
        <f>$B$6</f>
        <v/>
      </c>
      <c r="H214" s="34">
        <f>$B$6</f>
        <v/>
      </c>
      <c r="I214" s="34">
        <f>$B$6</f>
        <v/>
      </c>
      <c r="J214" s="34">
        <f>$B$6</f>
        <v/>
      </c>
      <c r="K214" s="34">
        <f>$B$6</f>
        <v/>
      </c>
      <c r="L214" s="34">
        <f>$B$6</f>
        <v/>
      </c>
      <c r="M214" s="34">
        <f>$B$6</f>
        <v/>
      </c>
      <c r="N214" s="34">
        <f>$B$6</f>
        <v/>
      </c>
      <c r="O214" s="34">
        <f>$B$6</f>
        <v/>
      </c>
      <c r="P214" s="34">
        <f>$B$6</f>
        <v/>
      </c>
      <c r="Q214" s="34">
        <f>$B$6</f>
        <v/>
      </c>
      <c r="R214" s="34">
        <f>$B$6</f>
        <v/>
      </c>
      <c r="S214" s="34">
        <f>$B$6</f>
        <v/>
      </c>
      <c r="T214" s="34">
        <f>$B$6</f>
        <v/>
      </c>
      <c r="U214" s="34">
        <f>$B$6</f>
        <v/>
      </c>
      <c r="V214" s="34">
        <f>$B$6</f>
        <v/>
      </c>
      <c r="W214" s="34">
        <f>$B$6</f>
        <v/>
      </c>
      <c r="X214" s="34">
        <f>$B$6</f>
        <v/>
      </c>
      <c r="Y214" s="34">
        <f>$B$6</f>
        <v/>
      </c>
      <c r="Z214" s="34">
        <f>$B$6</f>
        <v/>
      </c>
      <c r="AA214" s="34">
        <f>$B$6</f>
        <v/>
      </c>
      <c r="AB214" s="34">
        <f>$B$6</f>
        <v/>
      </c>
      <c r="AC214" s="34">
        <f>$B$6</f>
        <v/>
      </c>
      <c r="AD214" s="34">
        <f>$B$6</f>
        <v/>
      </c>
      <c r="AE214" s="34">
        <f>$B$6</f>
        <v/>
      </c>
      <c r="AF214" s="34">
        <f>$B$6</f>
        <v/>
      </c>
      <c r="AG214" s="34">
        <f>$B$6</f>
        <v/>
      </c>
      <c r="AH214" s="34">
        <f>$B$6</f>
        <v/>
      </c>
      <c r="AI214" s="34">
        <f>$B$6</f>
        <v/>
      </c>
      <c r="AJ214" s="34">
        <f>$B$6</f>
        <v/>
      </c>
      <c r="AK214" s="34">
        <f>$B$6</f>
        <v/>
      </c>
      <c r="AL214" s="34">
        <f>$B$6</f>
        <v/>
      </c>
      <c r="AM214" s="34">
        <f>$B$6</f>
        <v/>
      </c>
      <c r="AN214" s="34">
        <f>$B$6</f>
        <v/>
      </c>
      <c r="AO214" s="34">
        <f>$B$6</f>
        <v/>
      </c>
      <c r="AP214" s="34">
        <f>$B$6</f>
        <v/>
      </c>
      <c r="AQ214" s="34">
        <f>$B$6</f>
        <v/>
      </c>
      <c r="AR214" s="34">
        <f>$B$6</f>
        <v/>
      </c>
      <c r="AS214" s="34">
        <f>$B$6</f>
        <v/>
      </c>
      <c r="AT214" s="34">
        <f>$B$6</f>
        <v/>
      </c>
      <c r="AU214" s="34">
        <f>$B$6</f>
        <v/>
      </c>
      <c r="AV214" s="34">
        <f>$B$6</f>
        <v/>
      </c>
      <c r="AW214" s="34">
        <f>$B$6</f>
        <v/>
      </c>
      <c r="AX214" s="34">
        <f>$B$6</f>
        <v/>
      </c>
      <c r="AY214" s="34">
        <f>$B$6</f>
        <v/>
      </c>
      <c r="AZ214" s="34">
        <f>$B$6</f>
        <v/>
      </c>
      <c r="BA214" s="34">
        <f>$B$6</f>
        <v/>
      </c>
      <c r="BB214" s="34">
        <f>$B$6</f>
        <v/>
      </c>
      <c r="BC214" s="34">
        <f>$B$6</f>
        <v/>
      </c>
      <c r="BD214" s="34">
        <f>$B$6</f>
        <v/>
      </c>
    </row>
    <row r="215">
      <c r="A215" s="27" t="inlineStr">
        <is>
          <t xml:space="preserve">  room left</t>
        </is>
      </c>
      <c r="E215" s="34">
        <f>$B$6-E212</f>
        <v/>
      </c>
      <c r="F215" s="34">
        <f>$B$6-F212</f>
        <v/>
      </c>
      <c r="G215" s="34">
        <f>$B$6-G212</f>
        <v/>
      </c>
      <c r="H215" s="34">
        <f>$B$6-H212</f>
        <v/>
      </c>
      <c r="I215" s="34">
        <f>$B$6-I212</f>
        <v/>
      </c>
      <c r="J215" s="34">
        <f>$B$6-J212</f>
        <v/>
      </c>
      <c r="K215" s="34">
        <f>$B$6-K212</f>
        <v/>
      </c>
      <c r="L215" s="34">
        <f>$B$6-L212</f>
        <v/>
      </c>
      <c r="M215" s="34">
        <f>$B$6-M212</f>
        <v/>
      </c>
      <c r="N215" s="34">
        <f>$B$6-N212</f>
        <v/>
      </c>
      <c r="O215" s="34">
        <f>$B$6-O212</f>
        <v/>
      </c>
      <c r="P215" s="34">
        <f>$B$6-P212</f>
        <v/>
      </c>
      <c r="Q215" s="34">
        <f>$B$6-Q212</f>
        <v/>
      </c>
      <c r="R215" s="34">
        <f>$B$6-R212</f>
        <v/>
      </c>
      <c r="S215" s="34">
        <f>$B$6-S212</f>
        <v/>
      </c>
      <c r="T215" s="34">
        <f>$B$6-T212</f>
        <v/>
      </c>
      <c r="U215" s="34">
        <f>$B$6-U212</f>
        <v/>
      </c>
      <c r="V215" s="34">
        <f>$B$6-V212</f>
        <v/>
      </c>
      <c r="W215" s="34">
        <f>$B$6-W212</f>
        <v/>
      </c>
      <c r="X215" s="34">
        <f>$B$6-X212</f>
        <v/>
      </c>
      <c r="Y215" s="34">
        <f>$B$6-Y212</f>
        <v/>
      </c>
      <c r="Z215" s="34">
        <f>$B$6-Z212</f>
        <v/>
      </c>
      <c r="AA215" s="34">
        <f>$B$6-AA212</f>
        <v/>
      </c>
      <c r="AB215" s="34">
        <f>$B$6-AB212</f>
        <v/>
      </c>
      <c r="AC215" s="34">
        <f>$B$6-AC212</f>
        <v/>
      </c>
      <c r="AD215" s="34">
        <f>$B$6-AD212</f>
        <v/>
      </c>
      <c r="AE215" s="34">
        <f>$B$6-AE212</f>
        <v/>
      </c>
      <c r="AF215" s="34">
        <f>$B$6-AF212</f>
        <v/>
      </c>
      <c r="AG215" s="34">
        <f>$B$6-AG212</f>
        <v/>
      </c>
      <c r="AH215" s="34">
        <f>$B$6-AH212</f>
        <v/>
      </c>
      <c r="AI215" s="34">
        <f>$B$6-AI212</f>
        <v/>
      </c>
      <c r="AJ215" s="34">
        <f>$B$6-AJ212</f>
        <v/>
      </c>
      <c r="AK215" s="34">
        <f>$B$6-AK212</f>
        <v/>
      </c>
      <c r="AL215" s="34">
        <f>$B$6-AL212</f>
        <v/>
      </c>
      <c r="AM215" s="34">
        <f>$B$6-AM212</f>
        <v/>
      </c>
      <c r="AN215" s="34">
        <f>$B$6-AN212</f>
        <v/>
      </c>
      <c r="AO215" s="34">
        <f>$B$6-AO212</f>
        <v/>
      </c>
      <c r="AP215" s="34">
        <f>$B$6-AP212</f>
        <v/>
      </c>
      <c r="AQ215" s="34">
        <f>$B$6-AQ212</f>
        <v/>
      </c>
      <c r="AR215" s="34">
        <f>$B$6-AR212</f>
        <v/>
      </c>
      <c r="AS215" s="34">
        <f>$B$6-AS212</f>
        <v/>
      </c>
      <c r="AT215" s="34">
        <f>$B$6-AT212</f>
        <v/>
      </c>
      <c r="AU215" s="34">
        <f>$B$6-AU212</f>
        <v/>
      </c>
      <c r="AV215" s="34">
        <f>$B$6-AV212</f>
        <v/>
      </c>
      <c r="AW215" s="34">
        <f>$B$6-AW212</f>
        <v/>
      </c>
      <c r="AX215" s="34">
        <f>$B$6-AX212</f>
        <v/>
      </c>
      <c r="AY215" s="34">
        <f>$B$6-AY212</f>
        <v/>
      </c>
      <c r="AZ215" s="34">
        <f>$B$6-AZ212</f>
        <v/>
      </c>
      <c r="BA215" s="34">
        <f>$B$6-BA212</f>
        <v/>
      </c>
      <c r="BB215" s="34">
        <f>$B$6-BB212</f>
        <v/>
      </c>
      <c r="BC215" s="34">
        <f>$B$6-BC212</f>
        <v/>
      </c>
      <c r="BD215" s="34">
        <f>$B$6-BD212</f>
        <v/>
      </c>
    </row>
    <row r="216">
      <c r="A216" s="2" t="inlineStr">
        <is>
          <t xml:space="preserve">   Holds Spinach, Kale.</t>
        </is>
      </c>
    </row>
    <row r="218">
      <c r="A218" s="22" t="inlineStr">
        <is>
          <t>Week</t>
        </is>
      </c>
      <c r="B218" s="33" t="inlineStr">
        <is>
          <t>m3</t>
        </is>
      </c>
      <c r="E218" s="25" t="n">
        <v>1</v>
      </c>
      <c r="F218" s="25" t="n">
        <v>2</v>
      </c>
      <c r="G218" s="25" t="n">
        <v>3</v>
      </c>
      <c r="H218" s="25" t="n">
        <v>4</v>
      </c>
      <c r="I218" s="25" t="n">
        <v>5</v>
      </c>
      <c r="J218" s="25" t="n">
        <v>6</v>
      </c>
      <c r="K218" s="25" t="n">
        <v>7</v>
      </c>
      <c r="L218" s="25" t="n">
        <v>8</v>
      </c>
      <c r="M218" s="25" t="n">
        <v>9</v>
      </c>
      <c r="N218" s="25" t="n">
        <v>10</v>
      </c>
      <c r="O218" s="25" t="n">
        <v>11</v>
      </c>
      <c r="P218" s="25" t="n">
        <v>12</v>
      </c>
      <c r="Q218" s="25" t="n">
        <v>13</v>
      </c>
      <c r="R218" s="25" t="n">
        <v>14</v>
      </c>
      <c r="S218" s="25" t="n">
        <v>15</v>
      </c>
      <c r="T218" s="25" t="n">
        <v>16</v>
      </c>
      <c r="U218" s="25" t="n">
        <v>17</v>
      </c>
      <c r="V218" s="25" t="n">
        <v>18</v>
      </c>
      <c r="W218" s="25" t="n">
        <v>19</v>
      </c>
      <c r="X218" s="25" t="n">
        <v>20</v>
      </c>
      <c r="Y218" s="25" t="n">
        <v>21</v>
      </c>
      <c r="Z218" s="25" t="n">
        <v>22</v>
      </c>
      <c r="AA218" s="25" t="n">
        <v>23</v>
      </c>
      <c r="AB218" s="25" t="n">
        <v>24</v>
      </c>
      <c r="AC218" s="25" t="n">
        <v>25</v>
      </c>
      <c r="AD218" s="25" t="n">
        <v>26</v>
      </c>
      <c r="AE218" s="25" t="n">
        <v>27</v>
      </c>
      <c r="AF218" s="25" t="n">
        <v>28</v>
      </c>
      <c r="AG218" s="25" t="n">
        <v>29</v>
      </c>
      <c r="AH218" s="25" t="n">
        <v>30</v>
      </c>
      <c r="AI218" s="25" t="n">
        <v>31</v>
      </c>
      <c r="AJ218" s="25" t="n">
        <v>32</v>
      </c>
      <c r="AK218" s="25" t="n">
        <v>33</v>
      </c>
      <c r="AL218" s="25" t="n">
        <v>34</v>
      </c>
      <c r="AM218" s="25" t="n">
        <v>35</v>
      </c>
      <c r="AN218" s="25" t="n">
        <v>36</v>
      </c>
      <c r="AO218" s="25" t="n">
        <v>37</v>
      </c>
      <c r="AP218" s="25" t="n">
        <v>38</v>
      </c>
      <c r="AQ218" s="25" t="n">
        <v>39</v>
      </c>
      <c r="AR218" s="25" t="n">
        <v>40</v>
      </c>
      <c r="AS218" s="25" t="n">
        <v>41</v>
      </c>
      <c r="AT218" s="25" t="n">
        <v>42</v>
      </c>
      <c r="AU218" s="25" t="n">
        <v>43</v>
      </c>
      <c r="AV218" s="25" t="n">
        <v>44</v>
      </c>
      <c r="AW218" s="25" t="n">
        <v>45</v>
      </c>
      <c r="AX218" s="25" t="n">
        <v>46</v>
      </c>
      <c r="AY218" s="25" t="n">
        <v>47</v>
      </c>
      <c r="AZ218" s="25" t="n">
        <v>48</v>
      </c>
      <c r="BA218" s="25" t="n">
        <v>49</v>
      </c>
      <c r="BB218" s="25" t="n">
        <v>50</v>
      </c>
      <c r="BC218" s="25" t="n">
        <v>51</v>
      </c>
      <c r="BD218" s="25" t="n">
        <v>52</v>
      </c>
    </row>
    <row r="219">
      <c r="A219" s="51" t="inlineStr">
        <is>
          <t>AMBIENT STORE</t>
        </is>
      </c>
      <c r="B219" s="2" t="inlineStr">
        <is>
          <t>used</t>
        </is>
      </c>
      <c r="E219" s="49">
        <f>E208</f>
        <v/>
      </c>
      <c r="F219" s="49">
        <f>F208</f>
        <v/>
      </c>
      <c r="G219" s="49">
        <f>G208</f>
        <v/>
      </c>
      <c r="H219" s="49">
        <f>H208</f>
        <v/>
      </c>
      <c r="I219" s="49">
        <f>I208</f>
        <v/>
      </c>
      <c r="J219" s="49">
        <f>J208</f>
        <v/>
      </c>
      <c r="K219" s="49">
        <f>K208</f>
        <v/>
      </c>
      <c r="L219" s="49">
        <f>L208</f>
        <v/>
      </c>
      <c r="M219" s="49">
        <f>M208</f>
        <v/>
      </c>
      <c r="N219" s="49">
        <f>N208</f>
        <v/>
      </c>
      <c r="O219" s="49">
        <f>O208</f>
        <v/>
      </c>
      <c r="P219" s="49">
        <f>P208</f>
        <v/>
      </c>
      <c r="Q219" s="49">
        <f>Q208</f>
        <v/>
      </c>
      <c r="R219" s="49">
        <f>R208</f>
        <v/>
      </c>
      <c r="S219" s="49">
        <f>S208</f>
        <v/>
      </c>
      <c r="T219" s="49">
        <f>T208</f>
        <v/>
      </c>
      <c r="U219" s="49">
        <f>U208</f>
        <v/>
      </c>
      <c r="V219" s="49">
        <f>V208</f>
        <v/>
      </c>
      <c r="W219" s="49">
        <f>W208</f>
        <v/>
      </c>
      <c r="X219" s="49">
        <f>X208</f>
        <v/>
      </c>
      <c r="Y219" s="49">
        <f>Y208</f>
        <v/>
      </c>
      <c r="Z219" s="49">
        <f>Z208</f>
        <v/>
      </c>
      <c r="AA219" s="49">
        <f>AA208</f>
        <v/>
      </c>
      <c r="AB219" s="49">
        <f>AB208</f>
        <v/>
      </c>
      <c r="AC219" s="49">
        <f>AC208</f>
        <v/>
      </c>
      <c r="AD219" s="49">
        <f>AD208</f>
        <v/>
      </c>
      <c r="AE219" s="49">
        <f>AE208</f>
        <v/>
      </c>
      <c r="AF219" s="49">
        <f>AF208</f>
        <v/>
      </c>
      <c r="AG219" s="49">
        <f>AG208</f>
        <v/>
      </c>
      <c r="AH219" s="49">
        <f>AH208</f>
        <v/>
      </c>
      <c r="AI219" s="49">
        <f>AI208</f>
        <v/>
      </c>
      <c r="AJ219" s="49">
        <f>AJ208</f>
        <v/>
      </c>
      <c r="AK219" s="49">
        <f>AK208</f>
        <v/>
      </c>
      <c r="AL219" s="49">
        <f>AL208</f>
        <v/>
      </c>
      <c r="AM219" s="49">
        <f>AM208</f>
        <v/>
      </c>
      <c r="AN219" s="49">
        <f>AN208</f>
        <v/>
      </c>
      <c r="AO219" s="49">
        <f>AO208</f>
        <v/>
      </c>
      <c r="AP219" s="49">
        <f>AP208</f>
        <v/>
      </c>
      <c r="AQ219" s="49">
        <f>AQ208</f>
        <v/>
      </c>
      <c r="AR219" s="49">
        <f>AR208</f>
        <v/>
      </c>
      <c r="AS219" s="49">
        <f>AS208</f>
        <v/>
      </c>
      <c r="AT219" s="49">
        <f>AT208</f>
        <v/>
      </c>
      <c r="AU219" s="49">
        <f>AU208</f>
        <v/>
      </c>
      <c r="AV219" s="49">
        <f>AV208</f>
        <v/>
      </c>
      <c r="AW219" s="49">
        <f>AW208</f>
        <v/>
      </c>
      <c r="AX219" s="49">
        <f>AX208</f>
        <v/>
      </c>
      <c r="AY219" s="49">
        <f>AY208</f>
        <v/>
      </c>
      <c r="AZ219" s="49">
        <f>AZ208</f>
        <v/>
      </c>
      <c r="BA219" s="49">
        <f>BA208</f>
        <v/>
      </c>
      <c r="BB219" s="49">
        <f>BB208</f>
        <v/>
      </c>
      <c r="BC219" s="49">
        <f>BC208</f>
        <v/>
      </c>
      <c r="BD219" s="49">
        <f>BD208</f>
        <v/>
      </c>
    </row>
    <row r="220">
      <c r="A220" s="4" t="inlineStr"/>
      <c r="E220" s="35" t="inlineStr">
        <is>
          <t>&lt;=</t>
        </is>
      </c>
      <c r="F220" s="35" t="inlineStr">
        <is>
          <t>&lt;=</t>
        </is>
      </c>
      <c r="G220" s="35" t="inlineStr">
        <is>
          <t>&lt;=</t>
        </is>
      </c>
      <c r="H220" s="35" t="inlineStr">
        <is>
          <t>&lt;=</t>
        </is>
      </c>
      <c r="I220" s="35" t="inlineStr">
        <is>
          <t>&lt;=</t>
        </is>
      </c>
      <c r="J220" s="35" t="inlineStr">
        <is>
          <t>&lt;=</t>
        </is>
      </c>
      <c r="K220" s="35" t="inlineStr">
        <is>
          <t>&lt;=</t>
        </is>
      </c>
      <c r="L220" s="35" t="inlineStr">
        <is>
          <t>&lt;=</t>
        </is>
      </c>
      <c r="M220" s="35" t="inlineStr">
        <is>
          <t>&lt;=</t>
        </is>
      </c>
      <c r="N220" s="35" t="inlineStr">
        <is>
          <t>&lt;=</t>
        </is>
      </c>
      <c r="O220" s="35" t="inlineStr">
        <is>
          <t>&lt;=</t>
        </is>
      </c>
      <c r="P220" s="35" t="inlineStr">
        <is>
          <t>&lt;=</t>
        </is>
      </c>
      <c r="Q220" s="35" t="inlineStr">
        <is>
          <t>&lt;=</t>
        </is>
      </c>
      <c r="R220" s="35" t="inlineStr">
        <is>
          <t>&lt;=</t>
        </is>
      </c>
      <c r="S220" s="35" t="inlineStr">
        <is>
          <t>&lt;=</t>
        </is>
      </c>
      <c r="T220" s="35" t="inlineStr">
        <is>
          <t>&lt;=</t>
        </is>
      </c>
      <c r="U220" s="35" t="inlineStr">
        <is>
          <t>&lt;=</t>
        </is>
      </c>
      <c r="V220" s="35" t="inlineStr">
        <is>
          <t>&lt;=</t>
        </is>
      </c>
      <c r="W220" s="35" t="inlineStr">
        <is>
          <t>&lt;=</t>
        </is>
      </c>
      <c r="X220" s="35" t="inlineStr">
        <is>
          <t>&lt;=</t>
        </is>
      </c>
      <c r="Y220" s="35" t="inlineStr">
        <is>
          <t>&lt;=</t>
        </is>
      </c>
      <c r="Z220" s="35" t="inlineStr">
        <is>
          <t>&lt;=</t>
        </is>
      </c>
      <c r="AA220" s="35" t="inlineStr">
        <is>
          <t>&lt;=</t>
        </is>
      </c>
      <c r="AB220" s="35" t="inlineStr">
        <is>
          <t>&lt;=</t>
        </is>
      </c>
      <c r="AC220" s="35" t="inlineStr">
        <is>
          <t>&lt;=</t>
        </is>
      </c>
      <c r="AD220" s="35" t="inlineStr">
        <is>
          <t>&lt;=</t>
        </is>
      </c>
      <c r="AE220" s="35" t="inlineStr">
        <is>
          <t>&lt;=</t>
        </is>
      </c>
      <c r="AF220" s="35" t="inlineStr">
        <is>
          <t>&lt;=</t>
        </is>
      </c>
      <c r="AG220" s="35" t="inlineStr">
        <is>
          <t>&lt;=</t>
        </is>
      </c>
      <c r="AH220" s="35" t="inlineStr">
        <is>
          <t>&lt;=</t>
        </is>
      </c>
      <c r="AI220" s="35" t="inlineStr">
        <is>
          <t>&lt;=</t>
        </is>
      </c>
      <c r="AJ220" s="35" t="inlineStr">
        <is>
          <t>&lt;=</t>
        </is>
      </c>
      <c r="AK220" s="35" t="inlineStr">
        <is>
          <t>&lt;=</t>
        </is>
      </c>
      <c r="AL220" s="35" t="inlineStr">
        <is>
          <t>&lt;=</t>
        </is>
      </c>
      <c r="AM220" s="35" t="inlineStr">
        <is>
          <t>&lt;=</t>
        </is>
      </c>
      <c r="AN220" s="35" t="inlineStr">
        <is>
          <t>&lt;=</t>
        </is>
      </c>
      <c r="AO220" s="35" t="inlineStr">
        <is>
          <t>&lt;=</t>
        </is>
      </c>
      <c r="AP220" s="35" t="inlineStr">
        <is>
          <t>&lt;=</t>
        </is>
      </c>
      <c r="AQ220" s="35" t="inlineStr">
        <is>
          <t>&lt;=</t>
        </is>
      </c>
      <c r="AR220" s="35" t="inlineStr">
        <is>
          <t>&lt;=</t>
        </is>
      </c>
      <c r="AS220" s="35" t="inlineStr">
        <is>
          <t>&lt;=</t>
        </is>
      </c>
      <c r="AT220" s="35" t="inlineStr">
        <is>
          <t>&lt;=</t>
        </is>
      </c>
      <c r="AU220" s="35" t="inlineStr">
        <is>
          <t>&lt;=</t>
        </is>
      </c>
      <c r="AV220" s="35" t="inlineStr">
        <is>
          <t>&lt;=</t>
        </is>
      </c>
      <c r="AW220" s="35" t="inlineStr">
        <is>
          <t>&lt;=</t>
        </is>
      </c>
      <c r="AX220" s="35" t="inlineStr">
        <is>
          <t>&lt;=</t>
        </is>
      </c>
      <c r="AY220" s="35" t="inlineStr">
        <is>
          <t>&lt;=</t>
        </is>
      </c>
      <c r="AZ220" s="35" t="inlineStr">
        <is>
          <t>&lt;=</t>
        </is>
      </c>
      <c r="BA220" s="35" t="inlineStr">
        <is>
          <t>&lt;=</t>
        </is>
      </c>
      <c r="BB220" s="35" t="inlineStr">
        <is>
          <t>&lt;=</t>
        </is>
      </c>
      <c r="BC220" s="35" t="inlineStr">
        <is>
          <t>&lt;=</t>
        </is>
      </c>
      <c r="BD220" s="35" t="inlineStr">
        <is>
          <t>&lt;=</t>
        </is>
      </c>
    </row>
    <row r="221">
      <c r="A221" s="4" t="inlineStr">
        <is>
          <t xml:space="preserve">  limit</t>
        </is>
      </c>
      <c r="B221" s="2" t="inlineStr">
        <is>
          <t>cap</t>
        </is>
      </c>
      <c r="E221" s="34">
        <f>$B$7</f>
        <v/>
      </c>
      <c r="F221" s="34">
        <f>$B$7</f>
        <v/>
      </c>
      <c r="G221" s="34">
        <f>$B$7</f>
        <v/>
      </c>
      <c r="H221" s="34">
        <f>$B$7</f>
        <v/>
      </c>
      <c r="I221" s="34">
        <f>$B$7</f>
        <v/>
      </c>
      <c r="J221" s="34">
        <f>$B$7</f>
        <v/>
      </c>
      <c r="K221" s="34">
        <f>$B$7</f>
        <v/>
      </c>
      <c r="L221" s="34">
        <f>$B$7</f>
        <v/>
      </c>
      <c r="M221" s="34">
        <f>$B$7</f>
        <v/>
      </c>
      <c r="N221" s="34">
        <f>$B$7</f>
        <v/>
      </c>
      <c r="O221" s="34">
        <f>$B$7</f>
        <v/>
      </c>
      <c r="P221" s="34">
        <f>$B$7</f>
        <v/>
      </c>
      <c r="Q221" s="34">
        <f>$B$7</f>
        <v/>
      </c>
      <c r="R221" s="34">
        <f>$B$7</f>
        <v/>
      </c>
      <c r="S221" s="34">
        <f>$B$7</f>
        <v/>
      </c>
      <c r="T221" s="34">
        <f>$B$7</f>
        <v/>
      </c>
      <c r="U221" s="34">
        <f>$B$7</f>
        <v/>
      </c>
      <c r="V221" s="34">
        <f>$B$7</f>
        <v/>
      </c>
      <c r="W221" s="34">
        <f>$B$7</f>
        <v/>
      </c>
      <c r="X221" s="34">
        <f>$B$7</f>
        <v/>
      </c>
      <c r="Y221" s="34">
        <f>$B$7</f>
        <v/>
      </c>
      <c r="Z221" s="34">
        <f>$B$7</f>
        <v/>
      </c>
      <c r="AA221" s="34">
        <f>$B$7</f>
        <v/>
      </c>
      <c r="AB221" s="34">
        <f>$B$7</f>
        <v/>
      </c>
      <c r="AC221" s="34">
        <f>$B$7</f>
        <v/>
      </c>
      <c r="AD221" s="34">
        <f>$B$7</f>
        <v/>
      </c>
      <c r="AE221" s="34">
        <f>$B$7</f>
        <v/>
      </c>
      <c r="AF221" s="34">
        <f>$B$7</f>
        <v/>
      </c>
      <c r="AG221" s="34">
        <f>$B$7</f>
        <v/>
      </c>
      <c r="AH221" s="34">
        <f>$B$7</f>
        <v/>
      </c>
      <c r="AI221" s="34">
        <f>$B$7</f>
        <v/>
      </c>
      <c r="AJ221" s="34">
        <f>$B$7</f>
        <v/>
      </c>
      <c r="AK221" s="34">
        <f>$B$7</f>
        <v/>
      </c>
      <c r="AL221" s="34">
        <f>$B$7</f>
        <v/>
      </c>
      <c r="AM221" s="34">
        <f>$B$7</f>
        <v/>
      </c>
      <c r="AN221" s="34">
        <f>$B$7</f>
        <v/>
      </c>
      <c r="AO221" s="34">
        <f>$B$7</f>
        <v/>
      </c>
      <c r="AP221" s="34">
        <f>$B$7</f>
        <v/>
      </c>
      <c r="AQ221" s="34">
        <f>$B$7</f>
        <v/>
      </c>
      <c r="AR221" s="34">
        <f>$B$7</f>
        <v/>
      </c>
      <c r="AS221" s="34">
        <f>$B$7</f>
        <v/>
      </c>
      <c r="AT221" s="34">
        <f>$B$7</f>
        <v/>
      </c>
      <c r="AU221" s="34">
        <f>$B$7</f>
        <v/>
      </c>
      <c r="AV221" s="34">
        <f>$B$7</f>
        <v/>
      </c>
      <c r="AW221" s="34">
        <f>$B$7</f>
        <v/>
      </c>
      <c r="AX221" s="34">
        <f>$B$7</f>
        <v/>
      </c>
      <c r="AY221" s="34">
        <f>$B$7</f>
        <v/>
      </c>
      <c r="AZ221" s="34">
        <f>$B$7</f>
        <v/>
      </c>
      <c r="BA221" s="34">
        <f>$B$7</f>
        <v/>
      </c>
      <c r="BB221" s="34">
        <f>$B$7</f>
        <v/>
      </c>
      <c r="BC221" s="34">
        <f>$B$7</f>
        <v/>
      </c>
      <c r="BD221" s="34">
        <f>$B$7</f>
        <v/>
      </c>
    </row>
    <row r="222">
      <c r="A222" s="27" t="inlineStr">
        <is>
          <t xml:space="preserve">  room left</t>
        </is>
      </c>
      <c r="E222" s="34">
        <f>$B$7-E219</f>
        <v/>
      </c>
      <c r="F222" s="34">
        <f>$B$7-F219</f>
        <v/>
      </c>
      <c r="G222" s="34">
        <f>$B$7-G219</f>
        <v/>
      </c>
      <c r="H222" s="34">
        <f>$B$7-H219</f>
        <v/>
      </c>
      <c r="I222" s="34">
        <f>$B$7-I219</f>
        <v/>
      </c>
      <c r="J222" s="34">
        <f>$B$7-J219</f>
        <v/>
      </c>
      <c r="K222" s="34">
        <f>$B$7-K219</f>
        <v/>
      </c>
      <c r="L222" s="34">
        <f>$B$7-L219</f>
        <v/>
      </c>
      <c r="M222" s="34">
        <f>$B$7-M219</f>
        <v/>
      </c>
      <c r="N222" s="34">
        <f>$B$7-N219</f>
        <v/>
      </c>
      <c r="O222" s="34">
        <f>$B$7-O219</f>
        <v/>
      </c>
      <c r="P222" s="34">
        <f>$B$7-P219</f>
        <v/>
      </c>
      <c r="Q222" s="34">
        <f>$B$7-Q219</f>
        <v/>
      </c>
      <c r="R222" s="34">
        <f>$B$7-R219</f>
        <v/>
      </c>
      <c r="S222" s="34">
        <f>$B$7-S219</f>
        <v/>
      </c>
      <c r="T222" s="34">
        <f>$B$7-T219</f>
        <v/>
      </c>
      <c r="U222" s="34">
        <f>$B$7-U219</f>
        <v/>
      </c>
      <c r="V222" s="34">
        <f>$B$7-V219</f>
        <v/>
      </c>
      <c r="W222" s="34">
        <f>$B$7-W219</f>
        <v/>
      </c>
      <c r="X222" s="34">
        <f>$B$7-X219</f>
        <v/>
      </c>
      <c r="Y222" s="34">
        <f>$B$7-Y219</f>
        <v/>
      </c>
      <c r="Z222" s="34">
        <f>$B$7-Z219</f>
        <v/>
      </c>
      <c r="AA222" s="34">
        <f>$B$7-AA219</f>
        <v/>
      </c>
      <c r="AB222" s="34">
        <f>$B$7-AB219</f>
        <v/>
      </c>
      <c r="AC222" s="34">
        <f>$B$7-AC219</f>
        <v/>
      </c>
      <c r="AD222" s="34">
        <f>$B$7-AD219</f>
        <v/>
      </c>
      <c r="AE222" s="34">
        <f>$B$7-AE219</f>
        <v/>
      </c>
      <c r="AF222" s="34">
        <f>$B$7-AF219</f>
        <v/>
      </c>
      <c r="AG222" s="34">
        <f>$B$7-AG219</f>
        <v/>
      </c>
      <c r="AH222" s="34">
        <f>$B$7-AH219</f>
        <v/>
      </c>
      <c r="AI222" s="34">
        <f>$B$7-AI219</f>
        <v/>
      </c>
      <c r="AJ222" s="34">
        <f>$B$7-AJ219</f>
        <v/>
      </c>
      <c r="AK222" s="34">
        <f>$B$7-AK219</f>
        <v/>
      </c>
      <c r="AL222" s="34">
        <f>$B$7-AL219</f>
        <v/>
      </c>
      <c r="AM222" s="34">
        <f>$B$7-AM219</f>
        <v/>
      </c>
      <c r="AN222" s="34">
        <f>$B$7-AN219</f>
        <v/>
      </c>
      <c r="AO222" s="34">
        <f>$B$7-AO219</f>
        <v/>
      </c>
      <c r="AP222" s="34">
        <f>$B$7-AP219</f>
        <v/>
      </c>
      <c r="AQ222" s="34">
        <f>$B$7-AQ219</f>
        <v/>
      </c>
      <c r="AR222" s="34">
        <f>$B$7-AR219</f>
        <v/>
      </c>
      <c r="AS222" s="34">
        <f>$B$7-AS219</f>
        <v/>
      </c>
      <c r="AT222" s="34">
        <f>$B$7-AT219</f>
        <v/>
      </c>
      <c r="AU222" s="34">
        <f>$B$7-AU219</f>
        <v/>
      </c>
      <c r="AV222" s="34">
        <f>$B$7-AV219</f>
        <v/>
      </c>
      <c r="AW222" s="34">
        <f>$B$7-AW219</f>
        <v/>
      </c>
      <c r="AX222" s="34">
        <f>$B$7-AX219</f>
        <v/>
      </c>
      <c r="AY222" s="34">
        <f>$B$7-AY219</f>
        <v/>
      </c>
      <c r="AZ222" s="34">
        <f>$B$7-AZ219</f>
        <v/>
      </c>
      <c r="BA222" s="34">
        <f>$B$7-BA219</f>
        <v/>
      </c>
      <c r="BB222" s="34">
        <f>$B$7-BB219</f>
        <v/>
      </c>
      <c r="BC222" s="34">
        <f>$B$7-BC219</f>
        <v/>
      </c>
      <c r="BD222" s="34">
        <f>$B$7-BD219</f>
        <v/>
      </c>
    </row>
    <row r="223">
      <c r="A223" s="2" t="inlineStr">
        <is>
          <t xml:space="preserve">   Holds Garlic.</t>
        </is>
      </c>
    </row>
    <row r="225">
      <c r="A225" s="3" t="inlineStr">
        <is>
          <t>7 — CASH, WEEK BY WEEK</t>
        </is>
      </c>
    </row>
    <row r="226">
      <c r="A226" s="4" t="inlineStr">
        <is>
          <t>Opening cash</t>
        </is>
      </c>
      <c r="B226" s="14" t="n">
        <v>50000</v>
      </c>
      <c r="C226" s="2" t="inlineStr">
        <is>
          <t>what is in the bank on 1 January</t>
        </is>
      </c>
    </row>
    <row r="227">
      <c r="A227" s="4" t="inlineStr">
        <is>
          <t>Credit line</t>
        </is>
      </c>
      <c r="B227" s="14" t="n">
        <v>250000</v>
      </c>
      <c r="C227" s="2" t="inlineStr">
        <is>
          <t>how far below zero you may go</t>
        </is>
      </c>
    </row>
    <row r="228">
      <c r="A228" s="4" t="inlineStr">
        <is>
          <t>Fixed cost per week</t>
        </is>
      </c>
      <c r="B228" s="52">
        <f>$B$6*0.4807692307692308+$B$7*0.09615384615384616+$B$5*2.1367521367521367+1000+300*0.32051282051282054</f>
        <v/>
      </c>
      <c r="C228" s="2" t="inlineStr">
        <is>
          <t>cooler + barn depreciation, irrigation, machinery, equipment store — owed every week whether or not you plant</t>
        </is>
      </c>
    </row>
    <row r="229">
      <c r="A229" s="4" t="inlineStr">
        <is>
          <t>Overhead, % of revenue</t>
        </is>
      </c>
      <c r="B229" s="21" t="n">
        <v>0.16</v>
      </c>
      <c r="C229" s="2" t="inlineStr">
        <is>
          <t>insurance, admin, utilities — a share of what you sell</t>
        </is>
      </c>
    </row>
    <row r="230">
      <c r="A230" s="4" t="inlineStr">
        <is>
          <t>Interest APR on borrowing</t>
        </is>
      </c>
      <c r="B230" s="13" t="n">
        <v>0.07000000000000001</v>
      </c>
      <c r="C230" s="2" t="inlineStr">
        <is>
          <t>charged on what the credit line actually carries — reported below, not optimised over</t>
        </is>
      </c>
    </row>
    <row r="232">
      <c r="A232" s="22" t="inlineStr">
        <is>
          <t>Week</t>
        </is>
      </c>
      <c r="B232" s="33" t="inlineStr">
        <is>
          <t>$</t>
        </is>
      </c>
      <c r="E232" s="25" t="n">
        <v>1</v>
      </c>
      <c r="F232" s="25" t="n">
        <v>2</v>
      </c>
      <c r="G232" s="25" t="n">
        <v>3</v>
      </c>
      <c r="H232" s="25" t="n">
        <v>4</v>
      </c>
      <c r="I232" s="25" t="n">
        <v>5</v>
      </c>
      <c r="J232" s="25" t="n">
        <v>6</v>
      </c>
      <c r="K232" s="25" t="n">
        <v>7</v>
      </c>
      <c r="L232" s="25" t="n">
        <v>8</v>
      </c>
      <c r="M232" s="25" t="n">
        <v>9</v>
      </c>
      <c r="N232" s="25" t="n">
        <v>10</v>
      </c>
      <c r="O232" s="25" t="n">
        <v>11</v>
      </c>
      <c r="P232" s="25" t="n">
        <v>12</v>
      </c>
      <c r="Q232" s="25" t="n">
        <v>13</v>
      </c>
      <c r="R232" s="25" t="n">
        <v>14</v>
      </c>
      <c r="S232" s="25" t="n">
        <v>15</v>
      </c>
      <c r="T232" s="25" t="n">
        <v>16</v>
      </c>
      <c r="U232" s="25" t="n">
        <v>17</v>
      </c>
      <c r="V232" s="25" t="n">
        <v>18</v>
      </c>
      <c r="W232" s="25" t="n">
        <v>19</v>
      </c>
      <c r="X232" s="25" t="n">
        <v>20</v>
      </c>
      <c r="Y232" s="25" t="n">
        <v>21</v>
      </c>
      <c r="Z232" s="25" t="n">
        <v>22</v>
      </c>
      <c r="AA232" s="25" t="n">
        <v>23</v>
      </c>
      <c r="AB232" s="25" t="n">
        <v>24</v>
      </c>
      <c r="AC232" s="25" t="n">
        <v>25</v>
      </c>
      <c r="AD232" s="25" t="n">
        <v>26</v>
      </c>
      <c r="AE232" s="25" t="n">
        <v>27</v>
      </c>
      <c r="AF232" s="25" t="n">
        <v>28</v>
      </c>
      <c r="AG232" s="25" t="n">
        <v>29</v>
      </c>
      <c r="AH232" s="25" t="n">
        <v>30</v>
      </c>
      <c r="AI232" s="25" t="n">
        <v>31</v>
      </c>
      <c r="AJ232" s="25" t="n">
        <v>32</v>
      </c>
      <c r="AK232" s="25" t="n">
        <v>33</v>
      </c>
      <c r="AL232" s="25" t="n">
        <v>34</v>
      </c>
      <c r="AM232" s="25" t="n">
        <v>35</v>
      </c>
      <c r="AN232" s="25" t="n">
        <v>36</v>
      </c>
      <c r="AO232" s="25" t="n">
        <v>37</v>
      </c>
      <c r="AP232" s="25" t="n">
        <v>38</v>
      </c>
      <c r="AQ232" s="25" t="n">
        <v>39</v>
      </c>
      <c r="AR232" s="25" t="n">
        <v>40</v>
      </c>
      <c r="AS232" s="25" t="n">
        <v>41</v>
      </c>
      <c r="AT232" s="25" t="n">
        <v>42</v>
      </c>
      <c r="AU232" s="25" t="n">
        <v>43</v>
      </c>
      <c r="AV232" s="25" t="n">
        <v>44</v>
      </c>
      <c r="AW232" s="25" t="n">
        <v>45</v>
      </c>
      <c r="AX232" s="25" t="n">
        <v>46</v>
      </c>
      <c r="AY232" s="25" t="n">
        <v>47</v>
      </c>
      <c r="AZ232" s="25" t="n">
        <v>48</v>
      </c>
      <c r="BA232" s="25" t="n">
        <v>49</v>
      </c>
      <c r="BB232" s="25" t="n">
        <v>50</v>
      </c>
      <c r="BC232" s="25" t="n">
        <v>51</v>
      </c>
      <c r="BD232" s="25" t="n">
        <v>52</v>
      </c>
    </row>
    <row r="233">
      <c r="A233" s="4" t="inlineStr">
        <is>
          <t>Revenue</t>
        </is>
      </c>
      <c r="B233" s="2" t="inlineStr">
        <is>
          <t>$</t>
        </is>
      </c>
      <c r="E233" s="36">
        <f>E135*$I$18+E141*$I$19+E162*$I$20+E170*$I$21+E191*$I$22+E197*$I$23</f>
        <v/>
      </c>
      <c r="F233" s="36">
        <f>F135*$I$18+F141*$I$19+F162*$I$20+F170*$I$21+F191*$I$22+F197*$I$23</f>
        <v/>
      </c>
      <c r="G233" s="36">
        <f>G135*$I$18+G141*$I$19+G162*$I$20+G170*$I$21+G191*$I$22+G197*$I$23</f>
        <v/>
      </c>
      <c r="H233" s="36">
        <f>H135*$I$18+H141*$I$19+H162*$I$20+H170*$I$21+H191*$I$22+H197*$I$23</f>
        <v/>
      </c>
      <c r="I233" s="36">
        <f>I135*$I$18+I141*$I$19+I162*$I$20+I170*$I$21+I191*$I$22+I197*$I$23</f>
        <v/>
      </c>
      <c r="J233" s="36">
        <f>J135*$I$18+J141*$I$19+J162*$I$20+J170*$I$21+J191*$I$22+J197*$I$23</f>
        <v/>
      </c>
      <c r="K233" s="36">
        <f>K135*$I$18+K141*$I$19+K162*$I$20+K170*$I$21+K191*$I$22+K197*$I$23</f>
        <v/>
      </c>
      <c r="L233" s="36">
        <f>L135*$I$18+L141*$I$19+L162*$I$20+L170*$I$21+L191*$I$22+L197*$I$23</f>
        <v/>
      </c>
      <c r="M233" s="36">
        <f>M135*$I$18+M141*$I$19+M162*$I$20+M170*$I$21+M191*$I$22+M197*$I$23</f>
        <v/>
      </c>
      <c r="N233" s="36">
        <f>N135*$I$18+N141*$I$19+N162*$I$20+N170*$I$21+N191*$I$22+N197*$I$23</f>
        <v/>
      </c>
      <c r="O233" s="36">
        <f>O135*$I$18+O141*$I$19+O162*$I$20+O170*$I$21+O191*$I$22+O197*$I$23</f>
        <v/>
      </c>
      <c r="P233" s="36">
        <f>P135*$I$18+P141*$I$19+P162*$I$20+P170*$I$21+P191*$I$22+P197*$I$23</f>
        <v/>
      </c>
      <c r="Q233" s="36">
        <f>Q135*$I$18+Q141*$I$19+Q162*$I$20+Q170*$I$21+Q191*$I$22+Q197*$I$23</f>
        <v/>
      </c>
      <c r="R233" s="36">
        <f>R135*$I$18+R141*$I$19+R162*$I$20+R170*$I$21+R191*$I$22+R197*$I$23</f>
        <v/>
      </c>
      <c r="S233" s="36">
        <f>S135*$I$18+S141*$I$19+S162*$I$20+S170*$I$21+S191*$I$22+S197*$I$23</f>
        <v/>
      </c>
      <c r="T233" s="36">
        <f>T135*$I$18+T141*$I$19+T162*$I$20+T170*$I$21+T191*$I$22+T197*$I$23</f>
        <v/>
      </c>
      <c r="U233" s="36">
        <f>U135*$I$18+U141*$I$19+U162*$I$20+U170*$I$21+U191*$I$22+U197*$I$23</f>
        <v/>
      </c>
      <c r="V233" s="36">
        <f>V135*$I$18+V141*$I$19+V162*$I$20+V170*$I$21+V191*$I$22+V197*$I$23</f>
        <v/>
      </c>
      <c r="W233" s="36">
        <f>W135*$I$18+W141*$I$19+W162*$I$20+W170*$I$21+W191*$I$22+W197*$I$23</f>
        <v/>
      </c>
      <c r="X233" s="36">
        <f>X135*$I$18+X141*$I$19+X162*$I$20+X170*$I$21+X191*$I$22+X197*$I$23</f>
        <v/>
      </c>
      <c r="Y233" s="36">
        <f>Y135*$I$18+Y141*$I$19+Y162*$I$20+Y170*$I$21+Y191*$I$22+Y197*$I$23</f>
        <v/>
      </c>
      <c r="Z233" s="36">
        <f>Z135*$I$18+Z141*$I$19+Z162*$I$20+Z170*$I$21+Z191*$I$22+Z197*$I$23</f>
        <v/>
      </c>
      <c r="AA233" s="36">
        <f>AA135*$I$18+AA141*$I$19+AA162*$I$20+AA170*$I$21+AA191*$I$22+AA197*$I$23</f>
        <v/>
      </c>
      <c r="AB233" s="36">
        <f>AB135*$I$18+AB141*$I$19+AB162*$I$20+AB170*$I$21+AB191*$I$22+AB197*$I$23</f>
        <v/>
      </c>
      <c r="AC233" s="36">
        <f>AC135*$I$18+AC141*$I$19+AC162*$I$20+AC170*$I$21+AC191*$I$22+AC197*$I$23</f>
        <v/>
      </c>
      <c r="AD233" s="36">
        <f>AD135*$I$18+AD141*$I$19+AD162*$I$20+AD170*$I$21+AD191*$I$22+AD197*$I$23</f>
        <v/>
      </c>
      <c r="AE233" s="36">
        <f>AE135*$I$18+AE141*$I$19+AE162*$I$20+AE170*$I$21+AE191*$I$22+AE197*$I$23</f>
        <v/>
      </c>
      <c r="AF233" s="36">
        <f>AF135*$I$18+AF141*$I$19+AF162*$I$20+AF170*$I$21+AF191*$I$22+AF197*$I$23</f>
        <v/>
      </c>
      <c r="AG233" s="36">
        <f>AG135*$I$18+AG141*$I$19+AG162*$I$20+AG170*$I$21+AG191*$I$22+AG197*$I$23</f>
        <v/>
      </c>
      <c r="AH233" s="36">
        <f>AH135*$I$18+AH141*$I$19+AH162*$I$20+AH170*$I$21+AH191*$I$22+AH197*$I$23</f>
        <v/>
      </c>
      <c r="AI233" s="36">
        <f>AI135*$I$18+AI141*$I$19+AI162*$I$20+AI170*$I$21+AI191*$I$22+AI197*$I$23</f>
        <v/>
      </c>
      <c r="AJ233" s="36">
        <f>AJ135*$I$18+AJ141*$I$19+AJ162*$I$20+AJ170*$I$21+AJ191*$I$22+AJ197*$I$23</f>
        <v/>
      </c>
      <c r="AK233" s="36">
        <f>AK135*$I$18+AK141*$I$19+AK162*$I$20+AK170*$I$21+AK191*$I$22+AK197*$I$23</f>
        <v/>
      </c>
      <c r="AL233" s="36">
        <f>AL135*$I$18+AL141*$I$19+AL162*$I$20+AL170*$I$21+AL191*$I$22+AL197*$I$23</f>
        <v/>
      </c>
      <c r="AM233" s="36">
        <f>AM135*$I$18+AM141*$I$19+AM162*$I$20+AM170*$I$21+AM191*$I$22+AM197*$I$23</f>
        <v/>
      </c>
      <c r="AN233" s="36">
        <f>AN135*$I$18+AN141*$I$19+AN162*$I$20+AN170*$I$21+AN191*$I$22+AN197*$I$23</f>
        <v/>
      </c>
      <c r="AO233" s="36">
        <f>AO135*$I$18+AO141*$I$19+AO162*$I$20+AO170*$I$21+AO191*$I$22+AO197*$I$23</f>
        <v/>
      </c>
      <c r="AP233" s="36">
        <f>AP135*$I$18+AP141*$I$19+AP162*$I$20+AP170*$I$21+AP191*$I$22+AP197*$I$23</f>
        <v/>
      </c>
      <c r="AQ233" s="36">
        <f>AQ135*$I$18+AQ141*$I$19+AQ162*$I$20+AQ170*$I$21+AQ191*$I$22+AQ197*$I$23</f>
        <v/>
      </c>
      <c r="AR233" s="36">
        <f>AR135*$I$18+AR141*$I$19+AR162*$I$20+AR170*$I$21+AR191*$I$22+AR197*$I$23</f>
        <v/>
      </c>
      <c r="AS233" s="36">
        <f>AS135*$I$18+AS141*$I$19+AS162*$I$20+AS170*$I$21+AS191*$I$22+AS197*$I$23</f>
        <v/>
      </c>
      <c r="AT233" s="36">
        <f>AT135*$I$18+AT141*$I$19+AT162*$I$20+AT170*$I$21+AT191*$I$22+AT197*$I$23</f>
        <v/>
      </c>
      <c r="AU233" s="36">
        <f>AU135*$I$18+AU141*$I$19+AU162*$I$20+AU170*$I$21+AU191*$I$22+AU197*$I$23</f>
        <v/>
      </c>
      <c r="AV233" s="36">
        <f>AV135*$I$18+AV141*$I$19+AV162*$I$20+AV170*$I$21+AV191*$I$22+AV197*$I$23</f>
        <v/>
      </c>
      <c r="AW233" s="36">
        <f>AW135*$I$18+AW141*$I$19+AW162*$I$20+AW170*$I$21+AW191*$I$22+AW197*$I$23</f>
        <v/>
      </c>
      <c r="AX233" s="36">
        <f>AX135*$I$18+AX141*$I$19+AX162*$I$20+AX170*$I$21+AX191*$I$22+AX197*$I$23</f>
        <v/>
      </c>
      <c r="AY233" s="36">
        <f>AY135*$I$18+AY141*$I$19+AY162*$I$20+AY170*$I$21+AY191*$I$22+AY197*$I$23</f>
        <v/>
      </c>
      <c r="AZ233" s="36">
        <f>AZ135*$I$18+AZ141*$I$19+AZ162*$I$20+AZ170*$I$21+AZ191*$I$22+AZ197*$I$23</f>
        <v/>
      </c>
      <c r="BA233" s="36">
        <f>BA135*$I$18+BA141*$I$19+BA162*$I$20+BA170*$I$21+BA191*$I$22+BA197*$I$23</f>
        <v/>
      </c>
      <c r="BB233" s="36">
        <f>BB135*$I$18+BB141*$I$19+BB162*$I$20+BB170*$I$21+BB191*$I$22+BB197*$I$23</f>
        <v/>
      </c>
      <c r="BC233" s="36">
        <f>BC135*$I$18+BC141*$I$19+BC162*$I$20+BC170*$I$21+BC191*$I$22+BC197*$I$23</f>
        <v/>
      </c>
      <c r="BD233" s="36">
        <f>BD135*$I$18+BD141*$I$19+BD162*$I$20+BD170*$I$21+BD191*$I$22+BD197*$I$23</f>
        <v/>
      </c>
    </row>
    <row r="234">
      <c r="A234" s="27" t="inlineStr">
        <is>
          <t xml:space="preserve">  packaging</t>
        </is>
      </c>
      <c r="B234" s="2" t="inlineStr">
        <is>
          <t>$</t>
        </is>
      </c>
      <c r="E234" s="36">
        <f>E151+E180+E207</f>
        <v/>
      </c>
      <c r="F234" s="36">
        <f>F151+F180+F207</f>
        <v/>
      </c>
      <c r="G234" s="36">
        <f>G151+G180+G207</f>
        <v/>
      </c>
      <c r="H234" s="36">
        <f>H151+H180+H207</f>
        <v/>
      </c>
      <c r="I234" s="36">
        <f>I151+I180+I207</f>
        <v/>
      </c>
      <c r="J234" s="36">
        <f>J151+J180+J207</f>
        <v/>
      </c>
      <c r="K234" s="36">
        <f>K151+K180+K207</f>
        <v/>
      </c>
      <c r="L234" s="36">
        <f>L151+L180+L207</f>
        <v/>
      </c>
      <c r="M234" s="36">
        <f>M151+M180+M207</f>
        <v/>
      </c>
      <c r="N234" s="36">
        <f>N151+N180+N207</f>
        <v/>
      </c>
      <c r="O234" s="36">
        <f>O151+O180+O207</f>
        <v/>
      </c>
      <c r="P234" s="36">
        <f>P151+P180+P207</f>
        <v/>
      </c>
      <c r="Q234" s="36">
        <f>Q151+Q180+Q207</f>
        <v/>
      </c>
      <c r="R234" s="36">
        <f>R151+R180+R207</f>
        <v/>
      </c>
      <c r="S234" s="36">
        <f>S151+S180+S207</f>
        <v/>
      </c>
      <c r="T234" s="36">
        <f>T151+T180+T207</f>
        <v/>
      </c>
      <c r="U234" s="36">
        <f>U151+U180+U207</f>
        <v/>
      </c>
      <c r="V234" s="36">
        <f>V151+V180+V207</f>
        <v/>
      </c>
      <c r="W234" s="36">
        <f>W151+W180+W207</f>
        <v/>
      </c>
      <c r="X234" s="36">
        <f>X151+X180+X207</f>
        <v/>
      </c>
      <c r="Y234" s="36">
        <f>Y151+Y180+Y207</f>
        <v/>
      </c>
      <c r="Z234" s="36">
        <f>Z151+Z180+Z207</f>
        <v/>
      </c>
      <c r="AA234" s="36">
        <f>AA151+AA180+AA207</f>
        <v/>
      </c>
      <c r="AB234" s="36">
        <f>AB151+AB180+AB207</f>
        <v/>
      </c>
      <c r="AC234" s="36">
        <f>AC151+AC180+AC207</f>
        <v/>
      </c>
      <c r="AD234" s="36">
        <f>AD151+AD180+AD207</f>
        <v/>
      </c>
      <c r="AE234" s="36">
        <f>AE151+AE180+AE207</f>
        <v/>
      </c>
      <c r="AF234" s="36">
        <f>AF151+AF180+AF207</f>
        <v/>
      </c>
      <c r="AG234" s="36">
        <f>AG151+AG180+AG207</f>
        <v/>
      </c>
      <c r="AH234" s="36">
        <f>AH151+AH180+AH207</f>
        <v/>
      </c>
      <c r="AI234" s="36">
        <f>AI151+AI180+AI207</f>
        <v/>
      </c>
      <c r="AJ234" s="36">
        <f>AJ151+AJ180+AJ207</f>
        <v/>
      </c>
      <c r="AK234" s="36">
        <f>AK151+AK180+AK207</f>
        <v/>
      </c>
      <c r="AL234" s="36">
        <f>AL151+AL180+AL207</f>
        <v/>
      </c>
      <c r="AM234" s="36">
        <f>AM151+AM180+AM207</f>
        <v/>
      </c>
      <c r="AN234" s="36">
        <f>AN151+AN180+AN207</f>
        <v/>
      </c>
      <c r="AO234" s="36">
        <f>AO151+AO180+AO207</f>
        <v/>
      </c>
      <c r="AP234" s="36">
        <f>AP151+AP180+AP207</f>
        <v/>
      </c>
      <c r="AQ234" s="36">
        <f>AQ151+AQ180+AQ207</f>
        <v/>
      </c>
      <c r="AR234" s="36">
        <f>AR151+AR180+AR207</f>
        <v/>
      </c>
      <c r="AS234" s="36">
        <f>AS151+AS180+AS207</f>
        <v/>
      </c>
      <c r="AT234" s="36">
        <f>AT151+AT180+AT207</f>
        <v/>
      </c>
      <c r="AU234" s="36">
        <f>AU151+AU180+AU207</f>
        <v/>
      </c>
      <c r="AV234" s="36">
        <f>AV151+AV180+AV207</f>
        <v/>
      </c>
      <c r="AW234" s="36">
        <f>AW151+AW180+AW207</f>
        <v/>
      </c>
      <c r="AX234" s="36">
        <f>AX151+AX180+AX207</f>
        <v/>
      </c>
      <c r="AY234" s="36">
        <f>AY151+AY180+AY207</f>
        <v/>
      </c>
      <c r="AZ234" s="36">
        <f>AZ151+AZ180+AZ207</f>
        <v/>
      </c>
      <c r="BA234" s="36">
        <f>BA151+BA180+BA207</f>
        <v/>
      </c>
      <c r="BB234" s="36">
        <f>BB151+BB180+BB207</f>
        <v/>
      </c>
      <c r="BC234" s="36">
        <f>BC151+BC180+BC207</f>
        <v/>
      </c>
      <c r="BD234" s="36">
        <f>BD151+BD180+BD207</f>
        <v/>
      </c>
    </row>
    <row r="235">
      <c r="A235" s="27" t="inlineStr">
        <is>
          <t xml:space="preserve">  growing cost</t>
        </is>
      </c>
      <c r="B235" s="2" t="inlineStr">
        <is>
          <t>$</t>
        </is>
      </c>
      <c r="E235" s="36">
        <f>E150+E179+E206</f>
        <v/>
      </c>
      <c r="F235" s="36">
        <f>F150+F179+F206</f>
        <v/>
      </c>
      <c r="G235" s="36">
        <f>G150+G179+G206</f>
        <v/>
      </c>
      <c r="H235" s="36">
        <f>H150+H179+H206</f>
        <v/>
      </c>
      <c r="I235" s="36">
        <f>I150+I179+I206</f>
        <v/>
      </c>
      <c r="J235" s="36">
        <f>J150+J179+J206</f>
        <v/>
      </c>
      <c r="K235" s="36">
        <f>K150+K179+K206</f>
        <v/>
      </c>
      <c r="L235" s="36">
        <f>L150+L179+L206</f>
        <v/>
      </c>
      <c r="M235" s="36">
        <f>M150+M179+M206</f>
        <v/>
      </c>
      <c r="N235" s="36">
        <f>N150+N179+N206</f>
        <v/>
      </c>
      <c r="O235" s="36">
        <f>O150+O179+O206</f>
        <v/>
      </c>
      <c r="P235" s="36">
        <f>P150+P179+P206</f>
        <v/>
      </c>
      <c r="Q235" s="36">
        <f>Q150+Q179+Q206</f>
        <v/>
      </c>
      <c r="R235" s="36">
        <f>R150+R179+R206</f>
        <v/>
      </c>
      <c r="S235" s="36">
        <f>S150+S179+S206</f>
        <v/>
      </c>
      <c r="T235" s="36">
        <f>T150+T179+T206</f>
        <v/>
      </c>
      <c r="U235" s="36">
        <f>U150+U179+U206</f>
        <v/>
      </c>
      <c r="V235" s="36">
        <f>V150+V179+V206</f>
        <v/>
      </c>
      <c r="W235" s="36">
        <f>W150+W179+W206</f>
        <v/>
      </c>
      <c r="X235" s="36">
        <f>X150+X179+X206</f>
        <v/>
      </c>
      <c r="Y235" s="36">
        <f>Y150+Y179+Y206</f>
        <v/>
      </c>
      <c r="Z235" s="36">
        <f>Z150+Z179+Z206</f>
        <v/>
      </c>
      <c r="AA235" s="36">
        <f>AA150+AA179+AA206</f>
        <v/>
      </c>
      <c r="AB235" s="36">
        <f>AB150+AB179+AB206</f>
        <v/>
      </c>
      <c r="AC235" s="36">
        <f>AC150+AC179+AC206</f>
        <v/>
      </c>
      <c r="AD235" s="36">
        <f>AD150+AD179+AD206</f>
        <v/>
      </c>
      <c r="AE235" s="36">
        <f>AE150+AE179+AE206</f>
        <v/>
      </c>
      <c r="AF235" s="36">
        <f>AF150+AF179+AF206</f>
        <v/>
      </c>
      <c r="AG235" s="36">
        <f>AG150+AG179+AG206</f>
        <v/>
      </c>
      <c r="AH235" s="36">
        <f>AH150+AH179+AH206</f>
        <v/>
      </c>
      <c r="AI235" s="36">
        <f>AI150+AI179+AI206</f>
        <v/>
      </c>
      <c r="AJ235" s="36">
        <f>AJ150+AJ179+AJ206</f>
        <v/>
      </c>
      <c r="AK235" s="36">
        <f>AK150+AK179+AK206</f>
        <v/>
      </c>
      <c r="AL235" s="36">
        <f>AL150+AL179+AL206</f>
        <v/>
      </c>
      <c r="AM235" s="36">
        <f>AM150+AM179+AM206</f>
        <v/>
      </c>
      <c r="AN235" s="36">
        <f>AN150+AN179+AN206</f>
        <v/>
      </c>
      <c r="AO235" s="36">
        <f>AO150+AO179+AO206</f>
        <v/>
      </c>
      <c r="AP235" s="36">
        <f>AP150+AP179+AP206</f>
        <v/>
      </c>
      <c r="AQ235" s="36">
        <f>AQ150+AQ179+AQ206</f>
        <v/>
      </c>
      <c r="AR235" s="36">
        <f>AR150+AR179+AR206</f>
        <v/>
      </c>
      <c r="AS235" s="36">
        <f>AS150+AS179+AS206</f>
        <v/>
      </c>
      <c r="AT235" s="36">
        <f>AT150+AT179+AT206</f>
        <v/>
      </c>
      <c r="AU235" s="36">
        <f>AU150+AU179+AU206</f>
        <v/>
      </c>
      <c r="AV235" s="36">
        <f>AV150+AV179+AV206</f>
        <v/>
      </c>
      <c r="AW235" s="36">
        <f>AW150+AW179+AW206</f>
        <v/>
      </c>
      <c r="AX235" s="36">
        <f>AX150+AX179+AX206</f>
        <v/>
      </c>
      <c r="AY235" s="36">
        <f>AY150+AY179+AY206</f>
        <v/>
      </c>
      <c r="AZ235" s="36">
        <f>AZ150+AZ179+AZ206</f>
        <v/>
      </c>
      <c r="BA235" s="36">
        <f>BA150+BA179+BA206</f>
        <v/>
      </c>
      <c r="BB235" s="36">
        <f>BB150+BB179+BB206</f>
        <v/>
      </c>
      <c r="BC235" s="36">
        <f>BC150+BC179+BC206</f>
        <v/>
      </c>
      <c r="BD235" s="36">
        <f>BD150+BD179+BD206</f>
        <v/>
      </c>
    </row>
    <row r="236">
      <c r="A236" s="27" t="inlineStr">
        <is>
          <t xml:space="preserve">  fixed cost</t>
        </is>
      </c>
      <c r="B236" s="2" t="inlineStr">
        <is>
          <t>$</t>
        </is>
      </c>
      <c r="E236" s="36">
        <f>$B$228</f>
        <v/>
      </c>
      <c r="F236" s="36">
        <f>$B$228</f>
        <v/>
      </c>
      <c r="G236" s="36">
        <f>$B$228</f>
        <v/>
      </c>
      <c r="H236" s="36">
        <f>$B$228</f>
        <v/>
      </c>
      <c r="I236" s="36">
        <f>$B$228</f>
        <v/>
      </c>
      <c r="J236" s="36">
        <f>$B$228</f>
        <v/>
      </c>
      <c r="K236" s="36">
        <f>$B$228</f>
        <v/>
      </c>
      <c r="L236" s="36">
        <f>$B$228</f>
        <v/>
      </c>
      <c r="M236" s="36">
        <f>$B$228</f>
        <v/>
      </c>
      <c r="N236" s="36">
        <f>$B$228</f>
        <v/>
      </c>
      <c r="O236" s="36">
        <f>$B$228</f>
        <v/>
      </c>
      <c r="P236" s="36">
        <f>$B$228</f>
        <v/>
      </c>
      <c r="Q236" s="36">
        <f>$B$228</f>
        <v/>
      </c>
      <c r="R236" s="36">
        <f>$B$228</f>
        <v/>
      </c>
      <c r="S236" s="36">
        <f>$B$228</f>
        <v/>
      </c>
      <c r="T236" s="36">
        <f>$B$228</f>
        <v/>
      </c>
      <c r="U236" s="36">
        <f>$B$228</f>
        <v/>
      </c>
      <c r="V236" s="36">
        <f>$B$228</f>
        <v/>
      </c>
      <c r="W236" s="36">
        <f>$B$228</f>
        <v/>
      </c>
      <c r="X236" s="36">
        <f>$B$228</f>
        <v/>
      </c>
      <c r="Y236" s="36">
        <f>$B$228</f>
        <v/>
      </c>
      <c r="Z236" s="36">
        <f>$B$228</f>
        <v/>
      </c>
      <c r="AA236" s="36">
        <f>$B$228</f>
        <v/>
      </c>
      <c r="AB236" s="36">
        <f>$B$228</f>
        <v/>
      </c>
      <c r="AC236" s="36">
        <f>$B$228</f>
        <v/>
      </c>
      <c r="AD236" s="36">
        <f>$B$228</f>
        <v/>
      </c>
      <c r="AE236" s="36">
        <f>$B$228</f>
        <v/>
      </c>
      <c r="AF236" s="36">
        <f>$B$228</f>
        <v/>
      </c>
      <c r="AG236" s="36">
        <f>$B$228</f>
        <v/>
      </c>
      <c r="AH236" s="36">
        <f>$B$228</f>
        <v/>
      </c>
      <c r="AI236" s="36">
        <f>$B$228</f>
        <v/>
      </c>
      <c r="AJ236" s="36">
        <f>$B$228</f>
        <v/>
      </c>
      <c r="AK236" s="36">
        <f>$B$228</f>
        <v/>
      </c>
      <c r="AL236" s="36">
        <f>$B$228</f>
        <v/>
      </c>
      <c r="AM236" s="36">
        <f>$B$228</f>
        <v/>
      </c>
      <c r="AN236" s="36">
        <f>$B$228</f>
        <v/>
      </c>
      <c r="AO236" s="36">
        <f>$B$228</f>
        <v/>
      </c>
      <c r="AP236" s="36">
        <f>$B$228</f>
        <v/>
      </c>
      <c r="AQ236" s="36">
        <f>$B$228</f>
        <v/>
      </c>
      <c r="AR236" s="36">
        <f>$B$228</f>
        <v/>
      </c>
      <c r="AS236" s="36">
        <f>$B$228</f>
        <v/>
      </c>
      <c r="AT236" s="36">
        <f>$B$228</f>
        <v/>
      </c>
      <c r="AU236" s="36">
        <f>$B$228</f>
        <v/>
      </c>
      <c r="AV236" s="36">
        <f>$B$228</f>
        <v/>
      </c>
      <c r="AW236" s="36">
        <f>$B$228</f>
        <v/>
      </c>
      <c r="AX236" s="36">
        <f>$B$228</f>
        <v/>
      </c>
      <c r="AY236" s="36">
        <f>$B$228</f>
        <v/>
      </c>
      <c r="AZ236" s="36">
        <f>$B$228</f>
        <v/>
      </c>
      <c r="BA236" s="36">
        <f>$B$228</f>
        <v/>
      </c>
      <c r="BB236" s="36">
        <f>$B$228</f>
        <v/>
      </c>
      <c r="BC236" s="36">
        <f>$B$228</f>
        <v/>
      </c>
      <c r="BD236" s="36">
        <f>$B$228</f>
        <v/>
      </c>
    </row>
    <row r="237">
      <c r="A237" s="27" t="inlineStr">
        <is>
          <t xml:space="preserve">  overhead</t>
        </is>
      </c>
      <c r="B237" s="2" t="inlineStr">
        <is>
          <t>$</t>
        </is>
      </c>
      <c r="E237" s="36">
        <f>E233*$B$229</f>
        <v/>
      </c>
      <c r="F237" s="36">
        <f>F233*$B$229</f>
        <v/>
      </c>
      <c r="G237" s="36">
        <f>G233*$B$229</f>
        <v/>
      </c>
      <c r="H237" s="36">
        <f>H233*$B$229</f>
        <v/>
      </c>
      <c r="I237" s="36">
        <f>I233*$B$229</f>
        <v/>
      </c>
      <c r="J237" s="36">
        <f>J233*$B$229</f>
        <v/>
      </c>
      <c r="K237" s="36">
        <f>K233*$B$229</f>
        <v/>
      </c>
      <c r="L237" s="36">
        <f>L233*$B$229</f>
        <v/>
      </c>
      <c r="M237" s="36">
        <f>M233*$B$229</f>
        <v/>
      </c>
      <c r="N237" s="36">
        <f>N233*$B$229</f>
        <v/>
      </c>
      <c r="O237" s="36">
        <f>O233*$B$229</f>
        <v/>
      </c>
      <c r="P237" s="36">
        <f>P233*$B$229</f>
        <v/>
      </c>
      <c r="Q237" s="36">
        <f>Q233*$B$229</f>
        <v/>
      </c>
      <c r="R237" s="36">
        <f>R233*$B$229</f>
        <v/>
      </c>
      <c r="S237" s="36">
        <f>S233*$B$229</f>
        <v/>
      </c>
      <c r="T237" s="36">
        <f>T233*$B$229</f>
        <v/>
      </c>
      <c r="U237" s="36">
        <f>U233*$B$229</f>
        <v/>
      </c>
      <c r="V237" s="36">
        <f>V233*$B$229</f>
        <v/>
      </c>
      <c r="W237" s="36">
        <f>W233*$B$229</f>
        <v/>
      </c>
      <c r="X237" s="36">
        <f>X233*$B$229</f>
        <v/>
      </c>
      <c r="Y237" s="36">
        <f>Y233*$B$229</f>
        <v/>
      </c>
      <c r="Z237" s="36">
        <f>Z233*$B$229</f>
        <v/>
      </c>
      <c r="AA237" s="36">
        <f>AA233*$B$229</f>
        <v/>
      </c>
      <c r="AB237" s="36">
        <f>AB233*$B$229</f>
        <v/>
      </c>
      <c r="AC237" s="36">
        <f>AC233*$B$229</f>
        <v/>
      </c>
      <c r="AD237" s="36">
        <f>AD233*$B$229</f>
        <v/>
      </c>
      <c r="AE237" s="36">
        <f>AE233*$B$229</f>
        <v/>
      </c>
      <c r="AF237" s="36">
        <f>AF233*$B$229</f>
        <v/>
      </c>
      <c r="AG237" s="36">
        <f>AG233*$B$229</f>
        <v/>
      </c>
      <c r="AH237" s="36">
        <f>AH233*$B$229</f>
        <v/>
      </c>
      <c r="AI237" s="36">
        <f>AI233*$B$229</f>
        <v/>
      </c>
      <c r="AJ237" s="36">
        <f>AJ233*$B$229</f>
        <v/>
      </c>
      <c r="AK237" s="36">
        <f>AK233*$B$229</f>
        <v/>
      </c>
      <c r="AL237" s="36">
        <f>AL233*$B$229</f>
        <v/>
      </c>
      <c r="AM237" s="36">
        <f>AM233*$B$229</f>
        <v/>
      </c>
      <c r="AN237" s="36">
        <f>AN233*$B$229</f>
        <v/>
      </c>
      <c r="AO237" s="36">
        <f>AO233*$B$229</f>
        <v/>
      </c>
      <c r="AP237" s="36">
        <f>AP233*$B$229</f>
        <v/>
      </c>
      <c r="AQ237" s="36">
        <f>AQ233*$B$229</f>
        <v/>
      </c>
      <c r="AR237" s="36">
        <f>AR233*$B$229</f>
        <v/>
      </c>
      <c r="AS237" s="36">
        <f>AS233*$B$229</f>
        <v/>
      </c>
      <c r="AT237" s="36">
        <f>AT233*$B$229</f>
        <v/>
      </c>
      <c r="AU237" s="36">
        <f>AU233*$B$229</f>
        <v/>
      </c>
      <c r="AV237" s="36">
        <f>AV233*$B$229</f>
        <v/>
      </c>
      <c r="AW237" s="36">
        <f>AW233*$B$229</f>
        <v/>
      </c>
      <c r="AX237" s="36">
        <f>AX233*$B$229</f>
        <v/>
      </c>
      <c r="AY237" s="36">
        <f>AY233*$B$229</f>
        <v/>
      </c>
      <c r="AZ237" s="36">
        <f>AZ233*$B$229</f>
        <v/>
      </c>
      <c r="BA237" s="36">
        <f>BA233*$B$229</f>
        <v/>
      </c>
      <c r="BB237" s="36">
        <f>BB233*$B$229</f>
        <v/>
      </c>
      <c r="BC237" s="36">
        <f>BC233*$B$229</f>
        <v/>
      </c>
      <c r="BD237" s="36">
        <f>BD233*$B$229</f>
        <v/>
      </c>
    </row>
    <row r="238">
      <c r="A238" s="27" t="inlineStr">
        <is>
          <t xml:space="preserve">  wages</t>
        </is>
      </c>
      <c r="B238" s="2" t="inlineStr">
        <is>
          <t>$</t>
        </is>
      </c>
      <c r="E238" s="36">
        <f>E117</f>
        <v/>
      </c>
      <c r="F238" s="36">
        <f>F117</f>
        <v/>
      </c>
      <c r="G238" s="36">
        <f>G117</f>
        <v/>
      </c>
      <c r="H238" s="36">
        <f>H117</f>
        <v/>
      </c>
      <c r="I238" s="36">
        <f>I117</f>
        <v/>
      </c>
      <c r="J238" s="36">
        <f>J117</f>
        <v/>
      </c>
      <c r="K238" s="36">
        <f>K117</f>
        <v/>
      </c>
      <c r="L238" s="36">
        <f>L117</f>
        <v/>
      </c>
      <c r="M238" s="36">
        <f>M117</f>
        <v/>
      </c>
      <c r="N238" s="36">
        <f>N117</f>
        <v/>
      </c>
      <c r="O238" s="36">
        <f>O117</f>
        <v/>
      </c>
      <c r="P238" s="36">
        <f>P117</f>
        <v/>
      </c>
      <c r="Q238" s="36">
        <f>Q117</f>
        <v/>
      </c>
      <c r="R238" s="36">
        <f>R117</f>
        <v/>
      </c>
      <c r="S238" s="36">
        <f>S117</f>
        <v/>
      </c>
      <c r="T238" s="36">
        <f>T117</f>
        <v/>
      </c>
      <c r="U238" s="36">
        <f>U117</f>
        <v/>
      </c>
      <c r="V238" s="36">
        <f>V117</f>
        <v/>
      </c>
      <c r="W238" s="36">
        <f>W117</f>
        <v/>
      </c>
      <c r="X238" s="36">
        <f>X117</f>
        <v/>
      </c>
      <c r="Y238" s="36">
        <f>Y117</f>
        <v/>
      </c>
      <c r="Z238" s="36">
        <f>Z117</f>
        <v/>
      </c>
      <c r="AA238" s="36">
        <f>AA117</f>
        <v/>
      </c>
      <c r="AB238" s="36">
        <f>AB117</f>
        <v/>
      </c>
      <c r="AC238" s="36">
        <f>AC117</f>
        <v/>
      </c>
      <c r="AD238" s="36">
        <f>AD117</f>
        <v/>
      </c>
      <c r="AE238" s="36">
        <f>AE117</f>
        <v/>
      </c>
      <c r="AF238" s="36">
        <f>AF117</f>
        <v/>
      </c>
      <c r="AG238" s="36">
        <f>AG117</f>
        <v/>
      </c>
      <c r="AH238" s="36">
        <f>AH117</f>
        <v/>
      </c>
      <c r="AI238" s="36">
        <f>AI117</f>
        <v/>
      </c>
      <c r="AJ238" s="36">
        <f>AJ117</f>
        <v/>
      </c>
      <c r="AK238" s="36">
        <f>AK117</f>
        <v/>
      </c>
      <c r="AL238" s="36">
        <f>AL117</f>
        <v/>
      </c>
      <c r="AM238" s="36">
        <f>AM117</f>
        <v/>
      </c>
      <c r="AN238" s="36">
        <f>AN117</f>
        <v/>
      </c>
      <c r="AO238" s="36">
        <f>AO117</f>
        <v/>
      </c>
      <c r="AP238" s="36">
        <f>AP117</f>
        <v/>
      </c>
      <c r="AQ238" s="36">
        <f>AQ117</f>
        <v/>
      </c>
      <c r="AR238" s="36">
        <f>AR117</f>
        <v/>
      </c>
      <c r="AS238" s="36">
        <f>AS117</f>
        <v/>
      </c>
      <c r="AT238" s="36">
        <f>AT117</f>
        <v/>
      </c>
      <c r="AU238" s="36">
        <f>AU117</f>
        <v/>
      </c>
      <c r="AV238" s="36">
        <f>AV117</f>
        <v/>
      </c>
      <c r="AW238" s="36">
        <f>AW117</f>
        <v/>
      </c>
      <c r="AX238" s="36">
        <f>AX117</f>
        <v/>
      </c>
      <c r="AY238" s="36">
        <f>AY117</f>
        <v/>
      </c>
      <c r="AZ238" s="36">
        <f>AZ117</f>
        <v/>
      </c>
      <c r="BA238" s="36">
        <f>BA117</f>
        <v/>
      </c>
      <c r="BB238" s="36">
        <f>BB117</f>
        <v/>
      </c>
      <c r="BC238" s="36">
        <f>BC117</f>
        <v/>
      </c>
      <c r="BD238" s="36">
        <f>BD117</f>
        <v/>
      </c>
    </row>
    <row r="239">
      <c r="A239" s="4" t="inlineStr">
        <is>
          <t>NET CASH this week</t>
        </is>
      </c>
      <c r="B239" s="2" t="inlineStr">
        <is>
          <t>$</t>
        </is>
      </c>
      <c r="E239" s="36">
        <f>E233-E234-E235-E236-E237-E238</f>
        <v/>
      </c>
      <c r="F239" s="36">
        <f>F233-F234-F235-F236-F237-F238</f>
        <v/>
      </c>
      <c r="G239" s="36">
        <f>G233-G234-G235-G236-G237-G238</f>
        <v/>
      </c>
      <c r="H239" s="36">
        <f>H233-H234-H235-H236-H237-H238</f>
        <v/>
      </c>
      <c r="I239" s="36">
        <f>I233-I234-I235-I236-I237-I238</f>
        <v/>
      </c>
      <c r="J239" s="36">
        <f>J233-J234-J235-J236-J237-J238</f>
        <v/>
      </c>
      <c r="K239" s="36">
        <f>K233-K234-K235-K236-K237-K238</f>
        <v/>
      </c>
      <c r="L239" s="36">
        <f>L233-L234-L235-L236-L237-L238</f>
        <v/>
      </c>
      <c r="M239" s="36">
        <f>M233-M234-M235-M236-M237-M238</f>
        <v/>
      </c>
      <c r="N239" s="36">
        <f>N233-N234-N235-N236-N237-N238</f>
        <v/>
      </c>
      <c r="O239" s="36">
        <f>O233-O234-O235-O236-O237-O238</f>
        <v/>
      </c>
      <c r="P239" s="36">
        <f>P233-P234-P235-P236-P237-P238</f>
        <v/>
      </c>
      <c r="Q239" s="36">
        <f>Q233-Q234-Q235-Q236-Q237-Q238</f>
        <v/>
      </c>
      <c r="R239" s="36">
        <f>R233-R234-R235-R236-R237-R238</f>
        <v/>
      </c>
      <c r="S239" s="36">
        <f>S233-S234-S235-S236-S237-S238</f>
        <v/>
      </c>
      <c r="T239" s="36">
        <f>T233-T234-T235-T236-T237-T238</f>
        <v/>
      </c>
      <c r="U239" s="36">
        <f>U233-U234-U235-U236-U237-U238</f>
        <v/>
      </c>
      <c r="V239" s="36">
        <f>V233-V234-V235-V236-V237-V238</f>
        <v/>
      </c>
      <c r="W239" s="36">
        <f>W233-W234-W235-W236-W237-W238</f>
        <v/>
      </c>
      <c r="X239" s="36">
        <f>X233-X234-X235-X236-X237-X238</f>
        <v/>
      </c>
      <c r="Y239" s="36">
        <f>Y233-Y234-Y235-Y236-Y237-Y238</f>
        <v/>
      </c>
      <c r="Z239" s="36">
        <f>Z233-Z234-Z235-Z236-Z237-Z238</f>
        <v/>
      </c>
      <c r="AA239" s="36">
        <f>AA233-AA234-AA235-AA236-AA237-AA238</f>
        <v/>
      </c>
      <c r="AB239" s="36">
        <f>AB233-AB234-AB235-AB236-AB237-AB238</f>
        <v/>
      </c>
      <c r="AC239" s="36">
        <f>AC233-AC234-AC235-AC236-AC237-AC238</f>
        <v/>
      </c>
      <c r="AD239" s="36">
        <f>AD233-AD234-AD235-AD236-AD237-AD238</f>
        <v/>
      </c>
      <c r="AE239" s="36">
        <f>AE233-AE234-AE235-AE236-AE237-AE238</f>
        <v/>
      </c>
      <c r="AF239" s="36">
        <f>AF233-AF234-AF235-AF236-AF237-AF238</f>
        <v/>
      </c>
      <c r="AG239" s="36">
        <f>AG233-AG234-AG235-AG236-AG237-AG238</f>
        <v/>
      </c>
      <c r="AH239" s="36">
        <f>AH233-AH234-AH235-AH236-AH237-AH238</f>
        <v/>
      </c>
      <c r="AI239" s="36">
        <f>AI233-AI234-AI235-AI236-AI237-AI238</f>
        <v/>
      </c>
      <c r="AJ239" s="36">
        <f>AJ233-AJ234-AJ235-AJ236-AJ237-AJ238</f>
        <v/>
      </c>
      <c r="AK239" s="36">
        <f>AK233-AK234-AK235-AK236-AK237-AK238</f>
        <v/>
      </c>
      <c r="AL239" s="36">
        <f>AL233-AL234-AL235-AL236-AL237-AL238</f>
        <v/>
      </c>
      <c r="AM239" s="36">
        <f>AM233-AM234-AM235-AM236-AM237-AM238</f>
        <v/>
      </c>
      <c r="AN239" s="36">
        <f>AN233-AN234-AN235-AN236-AN237-AN238</f>
        <v/>
      </c>
      <c r="AO239" s="36">
        <f>AO233-AO234-AO235-AO236-AO237-AO238</f>
        <v/>
      </c>
      <c r="AP239" s="36">
        <f>AP233-AP234-AP235-AP236-AP237-AP238</f>
        <v/>
      </c>
      <c r="AQ239" s="36">
        <f>AQ233-AQ234-AQ235-AQ236-AQ237-AQ238</f>
        <v/>
      </c>
      <c r="AR239" s="36">
        <f>AR233-AR234-AR235-AR236-AR237-AR238</f>
        <v/>
      </c>
      <c r="AS239" s="36">
        <f>AS233-AS234-AS235-AS236-AS237-AS238</f>
        <v/>
      </c>
      <c r="AT239" s="36">
        <f>AT233-AT234-AT235-AT236-AT237-AT238</f>
        <v/>
      </c>
      <c r="AU239" s="36">
        <f>AU233-AU234-AU235-AU236-AU237-AU238</f>
        <v/>
      </c>
      <c r="AV239" s="36">
        <f>AV233-AV234-AV235-AV236-AV237-AV238</f>
        <v/>
      </c>
      <c r="AW239" s="36">
        <f>AW233-AW234-AW235-AW236-AW237-AW238</f>
        <v/>
      </c>
      <c r="AX239" s="36">
        <f>AX233-AX234-AX235-AX236-AX237-AX238</f>
        <v/>
      </c>
      <c r="AY239" s="36">
        <f>AY233-AY234-AY235-AY236-AY237-AY238</f>
        <v/>
      </c>
      <c r="AZ239" s="36">
        <f>AZ233-AZ234-AZ235-AZ236-AZ237-AZ238</f>
        <v/>
      </c>
      <c r="BA239" s="36">
        <f>BA233-BA234-BA235-BA236-BA237-BA238</f>
        <v/>
      </c>
      <c r="BB239" s="36">
        <f>BB233-BB234-BB235-BB236-BB237-BB238</f>
        <v/>
      </c>
      <c r="BC239" s="36">
        <f>BC233-BC234-BC235-BC236-BC237-BC238</f>
        <v/>
      </c>
      <c r="BD239" s="36">
        <f>BD233-BD234-BD235-BD236-BD237-BD238</f>
        <v/>
      </c>
    </row>
    <row r="241">
      <c r="A241" s="22" t="inlineStr">
        <is>
          <t>Week</t>
        </is>
      </c>
      <c r="B241" s="33" t="inlineStr">
        <is>
          <t>$</t>
        </is>
      </c>
      <c r="E241" s="25" t="n">
        <v>1</v>
      </c>
      <c r="F241" s="25" t="n">
        <v>2</v>
      </c>
      <c r="G241" s="25" t="n">
        <v>3</v>
      </c>
      <c r="H241" s="25" t="n">
        <v>4</v>
      </c>
      <c r="I241" s="25" t="n">
        <v>5</v>
      </c>
      <c r="J241" s="25" t="n">
        <v>6</v>
      </c>
      <c r="K241" s="25" t="n">
        <v>7</v>
      </c>
      <c r="L241" s="25" t="n">
        <v>8</v>
      </c>
      <c r="M241" s="25" t="n">
        <v>9</v>
      </c>
      <c r="N241" s="25" t="n">
        <v>10</v>
      </c>
      <c r="O241" s="25" t="n">
        <v>11</v>
      </c>
      <c r="P241" s="25" t="n">
        <v>12</v>
      </c>
      <c r="Q241" s="25" t="n">
        <v>13</v>
      </c>
      <c r="R241" s="25" t="n">
        <v>14</v>
      </c>
      <c r="S241" s="25" t="n">
        <v>15</v>
      </c>
      <c r="T241" s="25" t="n">
        <v>16</v>
      </c>
      <c r="U241" s="25" t="n">
        <v>17</v>
      </c>
      <c r="V241" s="25" t="n">
        <v>18</v>
      </c>
      <c r="W241" s="25" t="n">
        <v>19</v>
      </c>
      <c r="X241" s="25" t="n">
        <v>20</v>
      </c>
      <c r="Y241" s="25" t="n">
        <v>21</v>
      </c>
      <c r="Z241" s="25" t="n">
        <v>22</v>
      </c>
      <c r="AA241" s="25" t="n">
        <v>23</v>
      </c>
      <c r="AB241" s="25" t="n">
        <v>24</v>
      </c>
      <c r="AC241" s="25" t="n">
        <v>25</v>
      </c>
      <c r="AD241" s="25" t="n">
        <v>26</v>
      </c>
      <c r="AE241" s="25" t="n">
        <v>27</v>
      </c>
      <c r="AF241" s="25" t="n">
        <v>28</v>
      </c>
      <c r="AG241" s="25" t="n">
        <v>29</v>
      </c>
      <c r="AH241" s="25" t="n">
        <v>30</v>
      </c>
      <c r="AI241" s="25" t="n">
        <v>31</v>
      </c>
      <c r="AJ241" s="25" t="n">
        <v>32</v>
      </c>
      <c r="AK241" s="25" t="n">
        <v>33</v>
      </c>
      <c r="AL241" s="25" t="n">
        <v>34</v>
      </c>
      <c r="AM241" s="25" t="n">
        <v>35</v>
      </c>
      <c r="AN241" s="25" t="n">
        <v>36</v>
      </c>
      <c r="AO241" s="25" t="n">
        <v>37</v>
      </c>
      <c r="AP241" s="25" t="n">
        <v>38</v>
      </c>
      <c r="AQ241" s="25" t="n">
        <v>39</v>
      </c>
      <c r="AR241" s="25" t="n">
        <v>40</v>
      </c>
      <c r="AS241" s="25" t="n">
        <v>41</v>
      </c>
      <c r="AT241" s="25" t="n">
        <v>42</v>
      </c>
      <c r="AU241" s="25" t="n">
        <v>43</v>
      </c>
      <c r="AV241" s="25" t="n">
        <v>44</v>
      </c>
      <c r="AW241" s="25" t="n">
        <v>45</v>
      </c>
      <c r="AX241" s="25" t="n">
        <v>46</v>
      </c>
      <c r="AY241" s="25" t="n">
        <v>47</v>
      </c>
      <c r="AZ241" s="25" t="n">
        <v>48</v>
      </c>
      <c r="BA241" s="25" t="n">
        <v>49</v>
      </c>
      <c r="BB241" s="25" t="n">
        <v>50</v>
      </c>
      <c r="BC241" s="25" t="n">
        <v>51</v>
      </c>
      <c r="BD241" s="25" t="n">
        <v>52</v>
      </c>
    </row>
    <row r="242">
      <c r="A242" s="23" t="inlineStr">
        <is>
          <t>CASH IN THE BANK</t>
        </is>
      </c>
      <c r="B242" s="2" t="inlineStr">
        <is>
          <t>$</t>
        </is>
      </c>
      <c r="E242" s="40">
        <f>$B$226+E239</f>
        <v/>
      </c>
      <c r="F242" s="40">
        <f>E242+F239</f>
        <v/>
      </c>
      <c r="G242" s="40">
        <f>F242+G239</f>
        <v/>
      </c>
      <c r="H242" s="40">
        <f>G242+H239</f>
        <v/>
      </c>
      <c r="I242" s="40">
        <f>H242+I239</f>
        <v/>
      </c>
      <c r="J242" s="40">
        <f>I242+J239</f>
        <v/>
      </c>
      <c r="K242" s="40">
        <f>J242+K239</f>
        <v/>
      </c>
      <c r="L242" s="40">
        <f>K242+L239</f>
        <v/>
      </c>
      <c r="M242" s="40">
        <f>L242+M239</f>
        <v/>
      </c>
      <c r="N242" s="40">
        <f>M242+N239</f>
        <v/>
      </c>
      <c r="O242" s="40">
        <f>N242+O239</f>
        <v/>
      </c>
      <c r="P242" s="40">
        <f>O242+P239</f>
        <v/>
      </c>
      <c r="Q242" s="40">
        <f>P242+Q239</f>
        <v/>
      </c>
      <c r="R242" s="40">
        <f>Q242+R239</f>
        <v/>
      </c>
      <c r="S242" s="40">
        <f>R242+S239</f>
        <v/>
      </c>
      <c r="T242" s="40">
        <f>S242+T239</f>
        <v/>
      </c>
      <c r="U242" s="40">
        <f>T242+U239</f>
        <v/>
      </c>
      <c r="V242" s="40">
        <f>U242+V239</f>
        <v/>
      </c>
      <c r="W242" s="40">
        <f>V242+W239</f>
        <v/>
      </c>
      <c r="X242" s="40">
        <f>W242+X239</f>
        <v/>
      </c>
      <c r="Y242" s="40">
        <f>X242+Y239</f>
        <v/>
      </c>
      <c r="Z242" s="40">
        <f>Y242+Z239</f>
        <v/>
      </c>
      <c r="AA242" s="40">
        <f>Z242+AA239</f>
        <v/>
      </c>
      <c r="AB242" s="40">
        <f>AA242+AB239</f>
        <v/>
      </c>
      <c r="AC242" s="40">
        <f>AB242+AC239</f>
        <v/>
      </c>
      <c r="AD242" s="40">
        <f>AC242+AD239</f>
        <v/>
      </c>
      <c r="AE242" s="40">
        <f>AD242+AE239</f>
        <v/>
      </c>
      <c r="AF242" s="40">
        <f>AE242+AF239</f>
        <v/>
      </c>
      <c r="AG242" s="40">
        <f>AF242+AG239</f>
        <v/>
      </c>
      <c r="AH242" s="40">
        <f>AG242+AH239</f>
        <v/>
      </c>
      <c r="AI242" s="40">
        <f>AH242+AI239</f>
        <v/>
      </c>
      <c r="AJ242" s="40">
        <f>AI242+AJ239</f>
        <v/>
      </c>
      <c r="AK242" s="40">
        <f>AJ242+AK239</f>
        <v/>
      </c>
      <c r="AL242" s="40">
        <f>AK242+AL239</f>
        <v/>
      </c>
      <c r="AM242" s="40">
        <f>AL242+AM239</f>
        <v/>
      </c>
      <c r="AN242" s="40">
        <f>AM242+AN239</f>
        <v/>
      </c>
      <c r="AO242" s="40">
        <f>AN242+AO239</f>
        <v/>
      </c>
      <c r="AP242" s="40">
        <f>AO242+AP239</f>
        <v/>
      </c>
      <c r="AQ242" s="40">
        <f>AP242+AQ239</f>
        <v/>
      </c>
      <c r="AR242" s="40">
        <f>AQ242+AR239</f>
        <v/>
      </c>
      <c r="AS242" s="40">
        <f>AR242+AS239</f>
        <v/>
      </c>
      <c r="AT242" s="40">
        <f>AS242+AT239</f>
        <v/>
      </c>
      <c r="AU242" s="40">
        <f>AT242+AU239</f>
        <v/>
      </c>
      <c r="AV242" s="40">
        <f>AU242+AV239</f>
        <v/>
      </c>
      <c r="AW242" s="40">
        <f>AV242+AW239</f>
        <v/>
      </c>
      <c r="AX242" s="40">
        <f>AW242+AX239</f>
        <v/>
      </c>
      <c r="AY242" s="40">
        <f>AX242+AY239</f>
        <v/>
      </c>
      <c r="AZ242" s="40">
        <f>AY242+AZ239</f>
        <v/>
      </c>
      <c r="BA242" s="40">
        <f>AZ242+BA239</f>
        <v/>
      </c>
      <c r="BB242" s="40">
        <f>BA242+BB239</f>
        <v/>
      </c>
      <c r="BC242" s="40">
        <f>BB242+BC239</f>
        <v/>
      </c>
      <c r="BD242" s="40">
        <f>BC242+BD239</f>
        <v/>
      </c>
    </row>
    <row r="243">
      <c r="E243" s="35" t="inlineStr">
        <is>
          <t>&gt;=</t>
        </is>
      </c>
      <c r="F243" s="35" t="inlineStr">
        <is>
          <t>&gt;=</t>
        </is>
      </c>
      <c r="G243" s="35" t="inlineStr">
        <is>
          <t>&gt;=</t>
        </is>
      </c>
      <c r="H243" s="35" t="inlineStr">
        <is>
          <t>&gt;=</t>
        </is>
      </c>
      <c r="I243" s="35" t="inlineStr">
        <is>
          <t>&gt;=</t>
        </is>
      </c>
      <c r="J243" s="35" t="inlineStr">
        <is>
          <t>&gt;=</t>
        </is>
      </c>
      <c r="K243" s="35" t="inlineStr">
        <is>
          <t>&gt;=</t>
        </is>
      </c>
      <c r="L243" s="35" t="inlineStr">
        <is>
          <t>&gt;=</t>
        </is>
      </c>
      <c r="M243" s="35" t="inlineStr">
        <is>
          <t>&gt;=</t>
        </is>
      </c>
      <c r="N243" s="35" t="inlineStr">
        <is>
          <t>&gt;=</t>
        </is>
      </c>
      <c r="O243" s="35" t="inlineStr">
        <is>
          <t>&gt;=</t>
        </is>
      </c>
      <c r="P243" s="35" t="inlineStr">
        <is>
          <t>&gt;=</t>
        </is>
      </c>
      <c r="Q243" s="35" t="inlineStr">
        <is>
          <t>&gt;=</t>
        </is>
      </c>
      <c r="R243" s="35" t="inlineStr">
        <is>
          <t>&gt;=</t>
        </is>
      </c>
      <c r="S243" s="35" t="inlineStr">
        <is>
          <t>&gt;=</t>
        </is>
      </c>
      <c r="T243" s="35" t="inlineStr">
        <is>
          <t>&gt;=</t>
        </is>
      </c>
      <c r="U243" s="35" t="inlineStr">
        <is>
          <t>&gt;=</t>
        </is>
      </c>
      <c r="V243" s="35" t="inlineStr">
        <is>
          <t>&gt;=</t>
        </is>
      </c>
      <c r="W243" s="35" t="inlineStr">
        <is>
          <t>&gt;=</t>
        </is>
      </c>
      <c r="X243" s="35" t="inlineStr">
        <is>
          <t>&gt;=</t>
        </is>
      </c>
      <c r="Y243" s="35" t="inlineStr">
        <is>
          <t>&gt;=</t>
        </is>
      </c>
      <c r="Z243" s="35" t="inlineStr">
        <is>
          <t>&gt;=</t>
        </is>
      </c>
      <c r="AA243" s="35" t="inlineStr">
        <is>
          <t>&gt;=</t>
        </is>
      </c>
      <c r="AB243" s="35" t="inlineStr">
        <is>
          <t>&gt;=</t>
        </is>
      </c>
      <c r="AC243" s="35" t="inlineStr">
        <is>
          <t>&gt;=</t>
        </is>
      </c>
      <c r="AD243" s="35" t="inlineStr">
        <is>
          <t>&gt;=</t>
        </is>
      </c>
      <c r="AE243" s="35" t="inlineStr">
        <is>
          <t>&gt;=</t>
        </is>
      </c>
      <c r="AF243" s="35" t="inlineStr">
        <is>
          <t>&gt;=</t>
        </is>
      </c>
      <c r="AG243" s="35" t="inlineStr">
        <is>
          <t>&gt;=</t>
        </is>
      </c>
      <c r="AH243" s="35" t="inlineStr">
        <is>
          <t>&gt;=</t>
        </is>
      </c>
      <c r="AI243" s="35" t="inlineStr">
        <is>
          <t>&gt;=</t>
        </is>
      </c>
      <c r="AJ243" s="35" t="inlineStr">
        <is>
          <t>&gt;=</t>
        </is>
      </c>
      <c r="AK243" s="35" t="inlineStr">
        <is>
          <t>&gt;=</t>
        </is>
      </c>
      <c r="AL243" s="35" t="inlineStr">
        <is>
          <t>&gt;=</t>
        </is>
      </c>
      <c r="AM243" s="35" t="inlineStr">
        <is>
          <t>&gt;=</t>
        </is>
      </c>
      <c r="AN243" s="35" t="inlineStr">
        <is>
          <t>&gt;=</t>
        </is>
      </c>
      <c r="AO243" s="35" t="inlineStr">
        <is>
          <t>&gt;=</t>
        </is>
      </c>
      <c r="AP243" s="35" t="inlineStr">
        <is>
          <t>&gt;=</t>
        </is>
      </c>
      <c r="AQ243" s="35" t="inlineStr">
        <is>
          <t>&gt;=</t>
        </is>
      </c>
      <c r="AR243" s="35" t="inlineStr">
        <is>
          <t>&gt;=</t>
        </is>
      </c>
      <c r="AS243" s="35" t="inlineStr">
        <is>
          <t>&gt;=</t>
        </is>
      </c>
      <c r="AT243" s="35" t="inlineStr">
        <is>
          <t>&gt;=</t>
        </is>
      </c>
      <c r="AU243" s="35" t="inlineStr">
        <is>
          <t>&gt;=</t>
        </is>
      </c>
      <c r="AV243" s="35" t="inlineStr">
        <is>
          <t>&gt;=</t>
        </is>
      </c>
      <c r="AW243" s="35" t="inlineStr">
        <is>
          <t>&gt;=</t>
        </is>
      </c>
      <c r="AX243" s="35" t="inlineStr">
        <is>
          <t>&gt;=</t>
        </is>
      </c>
      <c r="AY243" s="35" t="inlineStr">
        <is>
          <t>&gt;=</t>
        </is>
      </c>
      <c r="AZ243" s="35" t="inlineStr">
        <is>
          <t>&gt;=</t>
        </is>
      </c>
      <c r="BA243" s="35" t="inlineStr">
        <is>
          <t>&gt;=</t>
        </is>
      </c>
      <c r="BB243" s="35" t="inlineStr">
        <is>
          <t>&gt;=</t>
        </is>
      </c>
      <c r="BC243" s="35" t="inlineStr">
        <is>
          <t>&gt;=</t>
        </is>
      </c>
      <c r="BD243" s="35" t="inlineStr">
        <is>
          <t>&gt;=</t>
        </is>
      </c>
    </row>
    <row r="244">
      <c r="A244" s="4" t="inlineStr">
        <is>
          <t xml:space="preserve">  floor</t>
        </is>
      </c>
      <c r="B244" s="2" t="inlineStr">
        <is>
          <t>$</t>
        </is>
      </c>
      <c r="E244" s="36">
        <f>-$B$227</f>
        <v/>
      </c>
      <c r="F244" s="36">
        <f>-$B$227</f>
        <v/>
      </c>
      <c r="G244" s="36">
        <f>-$B$227</f>
        <v/>
      </c>
      <c r="H244" s="36">
        <f>-$B$227</f>
        <v/>
      </c>
      <c r="I244" s="36">
        <f>-$B$227</f>
        <v/>
      </c>
      <c r="J244" s="36">
        <f>-$B$227</f>
        <v/>
      </c>
      <c r="K244" s="36">
        <f>-$B$227</f>
        <v/>
      </c>
      <c r="L244" s="36">
        <f>-$B$227</f>
        <v/>
      </c>
      <c r="M244" s="36">
        <f>-$B$227</f>
        <v/>
      </c>
      <c r="N244" s="36">
        <f>-$B$227</f>
        <v/>
      </c>
      <c r="O244" s="36">
        <f>-$B$227</f>
        <v/>
      </c>
      <c r="P244" s="36">
        <f>-$B$227</f>
        <v/>
      </c>
      <c r="Q244" s="36">
        <f>-$B$227</f>
        <v/>
      </c>
      <c r="R244" s="36">
        <f>-$B$227</f>
        <v/>
      </c>
      <c r="S244" s="36">
        <f>-$B$227</f>
        <v/>
      </c>
      <c r="T244" s="36">
        <f>-$B$227</f>
        <v/>
      </c>
      <c r="U244" s="36">
        <f>-$B$227</f>
        <v/>
      </c>
      <c r="V244" s="36">
        <f>-$B$227</f>
        <v/>
      </c>
      <c r="W244" s="36">
        <f>-$B$227</f>
        <v/>
      </c>
      <c r="X244" s="36">
        <f>-$B$227</f>
        <v/>
      </c>
      <c r="Y244" s="36">
        <f>-$B$227</f>
        <v/>
      </c>
      <c r="Z244" s="36">
        <f>-$B$227</f>
        <v/>
      </c>
      <c r="AA244" s="36">
        <f>-$B$227</f>
        <v/>
      </c>
      <c r="AB244" s="36">
        <f>-$B$227</f>
        <v/>
      </c>
      <c r="AC244" s="36">
        <f>-$B$227</f>
        <v/>
      </c>
      <c r="AD244" s="36">
        <f>-$B$227</f>
        <v/>
      </c>
      <c r="AE244" s="36">
        <f>-$B$227</f>
        <v/>
      </c>
      <c r="AF244" s="36">
        <f>-$B$227</f>
        <v/>
      </c>
      <c r="AG244" s="36">
        <f>-$B$227</f>
        <v/>
      </c>
      <c r="AH244" s="36">
        <f>-$B$227</f>
        <v/>
      </c>
      <c r="AI244" s="36">
        <f>-$B$227</f>
        <v/>
      </c>
      <c r="AJ244" s="36">
        <f>-$B$227</f>
        <v/>
      </c>
      <c r="AK244" s="36">
        <f>-$B$227</f>
        <v/>
      </c>
      <c r="AL244" s="36">
        <f>-$B$227</f>
        <v/>
      </c>
      <c r="AM244" s="36">
        <f>-$B$227</f>
        <v/>
      </c>
      <c r="AN244" s="36">
        <f>-$B$227</f>
        <v/>
      </c>
      <c r="AO244" s="36">
        <f>-$B$227</f>
        <v/>
      </c>
      <c r="AP244" s="36">
        <f>-$B$227</f>
        <v/>
      </c>
      <c r="AQ244" s="36">
        <f>-$B$227</f>
        <v/>
      </c>
      <c r="AR244" s="36">
        <f>-$B$227</f>
        <v/>
      </c>
      <c r="AS244" s="36">
        <f>-$B$227</f>
        <v/>
      </c>
      <c r="AT244" s="36">
        <f>-$B$227</f>
        <v/>
      </c>
      <c r="AU244" s="36">
        <f>-$B$227</f>
        <v/>
      </c>
      <c r="AV244" s="36">
        <f>-$B$227</f>
        <v/>
      </c>
      <c r="AW244" s="36">
        <f>-$B$227</f>
        <v/>
      </c>
      <c r="AX244" s="36">
        <f>-$B$227</f>
        <v/>
      </c>
      <c r="AY244" s="36">
        <f>-$B$227</f>
        <v/>
      </c>
      <c r="AZ244" s="36">
        <f>-$B$227</f>
        <v/>
      </c>
      <c r="BA244" s="36">
        <f>-$B$227</f>
        <v/>
      </c>
      <c r="BB244" s="36">
        <f>-$B$227</f>
        <v/>
      </c>
      <c r="BC244" s="36">
        <f>-$B$227</f>
        <v/>
      </c>
      <c r="BD244" s="36">
        <f>-$B$227</f>
        <v/>
      </c>
    </row>
    <row r="245">
      <c r="A245" s="27" t="inlineStr">
        <is>
          <t xml:space="preserve">  headroom</t>
        </is>
      </c>
      <c r="E245" s="36">
        <f>E242-E244</f>
        <v/>
      </c>
      <c r="F245" s="36">
        <f>F242-F244</f>
        <v/>
      </c>
      <c r="G245" s="36">
        <f>G242-G244</f>
        <v/>
      </c>
      <c r="H245" s="36">
        <f>H242-H244</f>
        <v/>
      </c>
      <c r="I245" s="36">
        <f>I242-I244</f>
        <v/>
      </c>
      <c r="J245" s="36">
        <f>J242-J244</f>
        <v/>
      </c>
      <c r="K245" s="36">
        <f>K242-K244</f>
        <v/>
      </c>
      <c r="L245" s="36">
        <f>L242-L244</f>
        <v/>
      </c>
      <c r="M245" s="36">
        <f>M242-M244</f>
        <v/>
      </c>
      <c r="N245" s="36">
        <f>N242-N244</f>
        <v/>
      </c>
      <c r="O245" s="36">
        <f>O242-O244</f>
        <v/>
      </c>
      <c r="P245" s="36">
        <f>P242-P244</f>
        <v/>
      </c>
      <c r="Q245" s="36">
        <f>Q242-Q244</f>
        <v/>
      </c>
      <c r="R245" s="36">
        <f>R242-R244</f>
        <v/>
      </c>
      <c r="S245" s="36">
        <f>S242-S244</f>
        <v/>
      </c>
      <c r="T245" s="36">
        <f>T242-T244</f>
        <v/>
      </c>
      <c r="U245" s="36">
        <f>U242-U244</f>
        <v/>
      </c>
      <c r="V245" s="36">
        <f>V242-V244</f>
        <v/>
      </c>
      <c r="W245" s="36">
        <f>W242-W244</f>
        <v/>
      </c>
      <c r="X245" s="36">
        <f>X242-X244</f>
        <v/>
      </c>
      <c r="Y245" s="36">
        <f>Y242-Y244</f>
        <v/>
      </c>
      <c r="Z245" s="36">
        <f>Z242-Z244</f>
        <v/>
      </c>
      <c r="AA245" s="36">
        <f>AA242-AA244</f>
        <v/>
      </c>
      <c r="AB245" s="36">
        <f>AB242-AB244</f>
        <v/>
      </c>
      <c r="AC245" s="36">
        <f>AC242-AC244</f>
        <v/>
      </c>
      <c r="AD245" s="36">
        <f>AD242-AD244</f>
        <v/>
      </c>
      <c r="AE245" s="36">
        <f>AE242-AE244</f>
        <v/>
      </c>
      <c r="AF245" s="36">
        <f>AF242-AF244</f>
        <v/>
      </c>
      <c r="AG245" s="36">
        <f>AG242-AG244</f>
        <v/>
      </c>
      <c r="AH245" s="36">
        <f>AH242-AH244</f>
        <v/>
      </c>
      <c r="AI245" s="36">
        <f>AI242-AI244</f>
        <v/>
      </c>
      <c r="AJ245" s="36">
        <f>AJ242-AJ244</f>
        <v/>
      </c>
      <c r="AK245" s="36">
        <f>AK242-AK244</f>
        <v/>
      </c>
      <c r="AL245" s="36">
        <f>AL242-AL244</f>
        <v/>
      </c>
      <c r="AM245" s="36">
        <f>AM242-AM244</f>
        <v/>
      </c>
      <c r="AN245" s="36">
        <f>AN242-AN244</f>
        <v/>
      </c>
      <c r="AO245" s="36">
        <f>AO242-AO244</f>
        <v/>
      </c>
      <c r="AP245" s="36">
        <f>AP242-AP244</f>
        <v/>
      </c>
      <c r="AQ245" s="36">
        <f>AQ242-AQ244</f>
        <v/>
      </c>
      <c r="AR245" s="36">
        <f>AR242-AR244</f>
        <v/>
      </c>
      <c r="AS245" s="36">
        <f>AS242-AS244</f>
        <v/>
      </c>
      <c r="AT245" s="36">
        <f>AT242-AT244</f>
        <v/>
      </c>
      <c r="AU245" s="36">
        <f>AU242-AU244</f>
        <v/>
      </c>
      <c r="AV245" s="36">
        <f>AV242-AV244</f>
        <v/>
      </c>
      <c r="AW245" s="36">
        <f>AW242-AW244</f>
        <v/>
      </c>
      <c r="AX245" s="36">
        <f>AX242-AX244</f>
        <v/>
      </c>
      <c r="AY245" s="36">
        <f>AY242-AY244</f>
        <v/>
      </c>
      <c r="AZ245" s="36">
        <f>AZ242-AZ244</f>
        <v/>
      </c>
      <c r="BA245" s="36">
        <f>BA242-BA244</f>
        <v/>
      </c>
      <c r="BB245" s="36">
        <f>BB242-BB244</f>
        <v/>
      </c>
      <c r="BC245" s="36">
        <f>BC242-BC244</f>
        <v/>
      </c>
      <c r="BD245" s="36">
        <f>BD242-BD244</f>
        <v/>
      </c>
    </row>
    <row r="246">
      <c r="A246" s="2" t="inlineStr">
        <is>
          <t xml:space="preserve">   This is the app's C13. Cash may go NEGATIVE — that is the credit line being drawn — but never below the floor, which is the line fully drawn.</t>
        </is>
      </c>
    </row>
    <row r="247">
      <c r="A247" s="2" t="inlineStr">
        <is>
          <t xml:space="preserve">   The app states the same rule the other way round: it constrains cumulative NET FLOW (which excludes</t>
        </is>
      </c>
    </row>
    <row r="248">
      <c r="A248" s="2" t="inlineStr">
        <is>
          <t xml:space="preserve">   opening cash) against -(opening + credit). Both are the same constraint; mixing them double-counts the opening balance.</t>
        </is>
      </c>
    </row>
    <row r="249">
      <c r="A249" s="2" t="inlineStr">
        <is>
          <t xml:space="preserve">   ⚠️ It barely binds here, because the biggest weekly outgoing a real farm has is PAYROLL, and labour is v7. Do not read this curve as realistic yet.</t>
        </is>
      </c>
    </row>
    <row r="251">
      <c r="A251" s="3" t="inlineStr">
        <is>
          <t>8 — THE OPTIMIZER</t>
        </is>
      </c>
    </row>
    <row r="252">
      <c r="A252" s="4" t="inlineStr">
        <is>
          <t>Revenue</t>
        </is>
      </c>
      <c r="B252" s="52">
        <f>SUM(E135:BD135)*$I$18+SUM(E141:BD141)*$I$19+SUM(E162:BD162)*$I$20+SUM(E170:BD170)*$I$21+SUM(E191:BD191)*$I$22+SUM(E197:BD197)*$I$23</f>
        <v/>
      </c>
    </row>
    <row r="253">
      <c r="A253" s="4" t="inlineStr">
        <is>
          <t>Growing cost</t>
        </is>
      </c>
      <c r="B253" s="52">
        <f>SUM(E235:BD235)</f>
        <v/>
      </c>
      <c r="C253" s="2" t="inlineStr">
        <is>
          <t>seed at planting + fertiliser and fuel every week in the ground</t>
        </is>
      </c>
    </row>
    <row r="254">
      <c r="A254" s="4" t="inlineStr">
        <is>
          <t>Packaging</t>
        </is>
      </c>
      <c r="B254" s="52">
        <f>SUM(E234:BD234)</f>
        <v/>
      </c>
    </row>
    <row r="255">
      <c r="A255" s="4" t="inlineStr">
        <is>
          <t>Fixed cost</t>
        </is>
      </c>
      <c r="B255" s="52">
        <f>SUM(E236:BD236)</f>
        <v/>
      </c>
      <c r="C255" s="2" t="inlineStr">
        <is>
          <t>owed all 52 weeks whatever you plant</t>
        </is>
      </c>
    </row>
    <row r="256">
      <c r="A256" s="4" t="inlineStr">
        <is>
          <t>Overhead</t>
        </is>
      </c>
      <c r="B256" s="52">
        <f>SUM(E237:BD237)</f>
        <v/>
      </c>
    </row>
    <row r="257">
      <c r="A257" s="4" t="inlineStr">
        <is>
          <t>Wages</t>
        </is>
      </c>
      <c r="B257" s="52">
        <f>SUM(E238:BD238)</f>
        <v/>
      </c>
      <c r="C257" s="2" t="inlineStr">
        <is>
          <t>committed — owed whether or not the crops need the hours</t>
        </is>
      </c>
    </row>
    <row r="258">
      <c r="A258" s="4" t="inlineStr">
        <is>
          <t>Peak borrowing</t>
        </is>
      </c>
      <c r="B258" s="52">
        <f>MAX(0,-MIN(E242:BD242))</f>
        <v/>
      </c>
      <c r="C258" s="2" t="inlineStr">
        <is>
          <t>the deepest the credit line is ever drawn</t>
        </is>
      </c>
    </row>
    <row r="259">
      <c r="A259" s="4" t="inlineStr">
        <is>
          <t>Interest</t>
        </is>
      </c>
      <c r="B259" s="52">
        <f>$B$230*SUMPRODUCT((E242:BD242&lt;0)*-E242:BD242)/52</f>
        <v/>
      </c>
      <c r="C259" s="2" t="inlineStr">
        <is>
          <t>APR x the AVERAGE amount borrowed — the app's own post-solve formula</t>
        </is>
      </c>
    </row>
    <row r="260">
      <c r="A260" s="2" t="inlineStr">
        <is>
          <t xml:space="preserve">   ⚠️ Reported, NOT optimised over. The plan is chosen first and the borrowing it implies is priced afterwards,</t>
        </is>
      </c>
    </row>
    <row r="261">
      <c r="A261" s="2" t="inlineStr">
        <is>
          <t xml:space="preserve">     so the solver has no reason to shift sales earlier to borrow less. That is the app's simplification, inherited on purpose.</t>
        </is>
      </c>
    </row>
    <row r="262">
      <c r="A262" s="23" t="inlineStr">
        <is>
          <t>PROFIT  (the objective)</t>
        </is>
      </c>
      <c r="B262" s="53">
        <f>B252-SUM(B253:B257)-B259</f>
        <v/>
      </c>
      <c r="C262" s="4" t="inlineStr">
        <is>
          <t>&lt;-- MAXIMISE THIS CELL</t>
        </is>
      </c>
    </row>
    <row r="263">
      <c r="A263" s="4" t="inlineStr">
        <is>
          <t>Plantings chosen</t>
        </is>
      </c>
      <c r="B263" s="54">
        <f>SUM($D$38:$D$105)</f>
        <v/>
      </c>
      <c r="C263" s="2" t="inlineStr">
        <is>
          <t>of 68 offered</t>
        </is>
      </c>
    </row>
    <row r="265">
      <c r="A265" s="4" t="inlineStr">
        <is>
          <t>Annual caps</t>
        </is>
      </c>
    </row>
    <row r="266">
      <c r="A266" s="27" t="inlineStr">
        <is>
          <t xml:space="preserve">   Kale / Wholesale — sold all year</t>
        </is>
      </c>
      <c r="B266" s="36">
        <f>SUM(E170:BD170)</f>
        <v/>
      </c>
      <c r="C266" s="35" t="inlineStr">
        <is>
          <t>&lt;=</t>
        </is>
      </c>
      <c r="D266" s="36">
        <f>$D$21</f>
        <v/>
      </c>
    </row>
    <row r="268">
      <c r="A268" s="3" t="inlineStr">
        <is>
          <t>SOLVER SETUP — Tools &gt; Solver</t>
        </is>
      </c>
    </row>
    <row r="269">
      <c r="A269" s="4" t="inlineStr">
        <is>
          <t>Target cell</t>
        </is>
      </c>
      <c r="B269" s="27" t="inlineStr">
        <is>
          <t>$B$262</t>
        </is>
      </c>
      <c r="G269" s="2" t="inlineStr">
        <is>
          <t>set to MAXIMUM</t>
        </is>
      </c>
    </row>
    <row r="270">
      <c r="A270" s="4" t="inlineStr">
        <is>
          <t>By changing cells</t>
        </is>
      </c>
      <c r="B270" s="27" t="inlineStr">
        <is>
          <t>$C$38:$D$105</t>
        </is>
      </c>
      <c r="G270" s="2" t="inlineStr">
        <is>
          <t>acres AND plant? together</t>
        </is>
      </c>
    </row>
    <row r="271">
      <c r="A271" s="27" t="inlineStr">
        <is>
          <t xml:space="preserve">  ...and</t>
        </is>
      </c>
      <c r="B271" s="27" t="inlineStr">
        <is>
          <t>$E$134:$BD$134;$E$140:$BD$140;$E$161:$BD$161;$E$169:$BD$169;$E$190:$BD$190;$E$196:$BD$196</t>
        </is>
      </c>
      <c r="G271" s="2" t="inlineStr">
        <is>
          <t>the OFFERED rows</t>
        </is>
      </c>
    </row>
    <row r="272">
      <c r="A272" s="27" t="inlineStr">
        <is>
          <t>Constraint — PLANT? is binary</t>
        </is>
      </c>
      <c r="B272" s="27" t="inlineStr">
        <is>
          <t>$D$38:$D$105  =  Binary</t>
        </is>
      </c>
    </row>
    <row r="273">
      <c r="A273" s="27" t="inlineStr">
        <is>
          <t>Constraint — C9 acres &lt;= max</t>
        </is>
      </c>
      <c r="B273" s="27" t="inlineStr">
        <is>
          <t>$C$38:$C$105  &lt;=  $BE$38:$BE$105</t>
        </is>
      </c>
      <c r="G273" s="2" t="inlineStr">
        <is>
          <t>no acres without deciding to plant</t>
        </is>
      </c>
    </row>
    <row r="274">
      <c r="A274" s="27" t="inlineStr">
        <is>
          <t>Constraint — C10 acres &gt;= min</t>
        </is>
      </c>
      <c r="B274" s="27" t="inlineStr">
        <is>
          <t>$C$38:$C$105  &gt;=  $BF$38:$BF$105</t>
        </is>
      </c>
      <c r="G274" s="2" t="inlineStr">
        <is>
          <t>planted means a real block</t>
        </is>
      </c>
    </row>
    <row r="275">
      <c r="A275" s="27" t="inlineStr">
        <is>
          <t>Constraint — Spinach/Farmers Market sold &lt;= ceiling</t>
        </is>
      </c>
      <c r="B275" s="27" t="inlineStr">
        <is>
          <t>$E$135:$BD$135  &lt;=  $E$133:$BD$133</t>
        </is>
      </c>
    </row>
    <row r="276">
      <c r="A276" s="27" t="inlineStr">
        <is>
          <t>Constraint — Spinach/Wholesale sold &lt;= ceiling</t>
        </is>
      </c>
      <c r="B276" s="27" t="inlineStr">
        <is>
          <t>$E$141:$BD$141  &lt;=  $E$139:$BD$139</t>
        </is>
      </c>
    </row>
    <row r="277">
      <c r="A277" s="27" t="inlineStr">
        <is>
          <t>Constraint — Kale/Farmers Market sold &lt;= ceiling</t>
        </is>
      </c>
      <c r="B277" s="27" t="inlineStr">
        <is>
          <t>$E$162:$BD$162  &lt;=  $E$160:$BD$160</t>
        </is>
      </c>
    </row>
    <row r="278">
      <c r="A278" s="27" t="inlineStr">
        <is>
          <t>Constraint — Kale/Wholesale sold &lt;= ceiling</t>
        </is>
      </c>
      <c r="B278" s="27" t="inlineStr">
        <is>
          <t>$E$170:$BD$170  &lt;=  $E$166:$BD$166</t>
        </is>
      </c>
    </row>
    <row r="279">
      <c r="A279" s="27" t="inlineStr">
        <is>
          <t>Constraint — Garlic/Farmers Market sold &lt;= ceiling</t>
        </is>
      </c>
      <c r="B279" s="27" t="inlineStr">
        <is>
          <t>$E$191:$BD$191  &lt;=  $E$189:$BD$189</t>
        </is>
      </c>
    </row>
    <row r="280">
      <c r="A280" s="27" t="inlineStr">
        <is>
          <t>Constraint — Garlic/Wholesale sold &lt;= ceiling</t>
        </is>
      </c>
      <c r="B280" s="27" t="inlineStr">
        <is>
          <t>$E$197:$BD$197  &lt;=  $E$195:$BD$195</t>
        </is>
      </c>
    </row>
    <row r="281">
      <c r="A281" s="27" t="inlineStr">
        <is>
          <t>Constraint — Spinach stock never negative</t>
        </is>
      </c>
      <c r="B281" s="27" t="inlineStr">
        <is>
          <t>$E$145:$BD$145  &gt;=  0</t>
        </is>
      </c>
    </row>
    <row r="282">
      <c r="A282" s="27" t="inlineStr">
        <is>
          <t>Constraint — Kale stock never negative</t>
        </is>
      </c>
      <c r="B282" s="27" t="inlineStr">
        <is>
          <t>$E$174:$BD$174  &gt;=  0</t>
        </is>
      </c>
    </row>
    <row r="283">
      <c r="A283" s="27" t="inlineStr">
        <is>
          <t>Constraint — Garlic stock never negative</t>
        </is>
      </c>
      <c r="B283" s="27" t="inlineStr">
        <is>
          <t>$E$201:$BD$201  &gt;=  0</t>
        </is>
      </c>
    </row>
    <row r="284">
      <c r="A284" s="27" t="inlineStr">
        <is>
          <t>Constraint — Spinach shelf life</t>
        </is>
      </c>
      <c r="B284" s="27" t="inlineStr">
        <is>
          <t>$E$145:$BD$145  &lt;=  $E$148:$BD$148</t>
        </is>
      </c>
      <c r="G284" s="2" t="inlineStr">
        <is>
          <t>nothing held longer than it keeps</t>
        </is>
      </c>
    </row>
    <row r="285">
      <c r="A285" s="27" t="inlineStr">
        <is>
          <t>Constraint — Kale shelf life</t>
        </is>
      </c>
      <c r="B285" s="27" t="inlineStr">
        <is>
          <t>$E$174:$BD$174  &lt;=  $E$177:$BD$177</t>
        </is>
      </c>
      <c r="G285" s="2" t="inlineStr">
        <is>
          <t>nothing held longer than it keeps</t>
        </is>
      </c>
    </row>
    <row r="286">
      <c r="A286" s="27" t="inlineStr">
        <is>
          <t>Constraint — Garlic shelf life</t>
        </is>
      </c>
      <c r="B286" s="27" t="inlineStr">
        <is>
          <t>$E$201:$BD$201  &lt;=  $E$204:$BD$204</t>
        </is>
      </c>
      <c r="G286" s="2" t="inlineStr">
        <is>
          <t>nothing held longer than it keeps</t>
        </is>
      </c>
    </row>
    <row r="287">
      <c r="A287" s="27" t="inlineStr">
        <is>
          <t>Constraint — cold store</t>
        </is>
      </c>
      <c r="B287" s="27" t="inlineStr">
        <is>
          <t>$E$212:$BD$212  &lt;=  $B$6</t>
        </is>
      </c>
    </row>
    <row r="288">
      <c r="A288" s="27" t="inlineStr">
        <is>
          <t>Constraint — ambient store</t>
        </is>
      </c>
      <c r="B288" s="27" t="inlineStr">
        <is>
          <t>$E$219:$BD$219  &lt;=  $B$7</t>
        </is>
      </c>
    </row>
    <row r="289">
      <c r="A289" s="27" t="inlineStr">
        <is>
          <t>Constraint — land</t>
        </is>
      </c>
      <c r="B289" s="27" t="inlineStr">
        <is>
          <t>$E$109:$BD$109  &lt;=  $B$5</t>
        </is>
      </c>
    </row>
    <row r="290">
      <c r="A290" s="27" t="inlineStr">
        <is>
          <t>Constraint — CROP HOURS &lt;= crew</t>
        </is>
      </c>
      <c r="B290" s="27" t="inlineStr">
        <is>
          <t>$E$121:$BD$121  &lt;=  $E$116:$BD$116</t>
        </is>
      </c>
      <c r="G290" s="2" t="inlineStr">
        <is>
          <t>the app's C2</t>
        </is>
      </c>
    </row>
    <row r="291">
      <c r="A291" s="27" t="inlineStr">
        <is>
          <t>Constraint — CASH FLOOR</t>
        </is>
      </c>
      <c r="B291" s="27" t="inlineStr">
        <is>
          <t>$E$242:$BD$242  &gt;=  $E$244:$BD$244</t>
        </is>
      </c>
      <c r="G291" s="2" t="inlineStr">
        <is>
          <t>the app's C13</t>
        </is>
      </c>
    </row>
    <row r="292">
      <c r="A292" s="4" t="inlineStr">
        <is>
          <t>Options</t>
        </is>
      </c>
      <c r="B292" s="27" t="inlineStr">
        <is>
          <t>engine = LibreOffice CoinMP Linear Solver</t>
        </is>
      </c>
      <c r="G292" s="2" t="inlineStr">
        <is>
          <t>tick 'Assume variables as non-negative'</t>
        </is>
      </c>
    </row>
  </sheetData>
  <conditionalFormatting sqref="E112:BD112">
    <cfRule type="cellIs" priority="1" operator="lessThan" dxfId="0">
      <formula>0</formula>
    </cfRule>
  </conditionalFormatting>
  <conditionalFormatting sqref="E109:BD109">
    <cfRule type="cellIs" priority="2" operator="greaterThan" dxfId="0">
      <formula>$B$5</formula>
    </cfRule>
  </conditionalFormatting>
  <conditionalFormatting sqref="E124:BD124">
    <cfRule type="cellIs" priority="3" operator="lessThan" dxfId="0">
      <formula>0</formula>
    </cfRule>
  </conditionalFormatting>
  <conditionalFormatting sqref="E121:BD121">
    <cfRule type="cellIs" priority="4" operator="greaterThan" dxfId="0">
      <formula>E$116</formula>
    </cfRule>
  </conditionalFormatting>
  <conditionalFormatting sqref="E215:BD215">
    <cfRule type="cellIs" priority="5" operator="lessThan" dxfId="0">
      <formula>0</formula>
    </cfRule>
  </conditionalFormatting>
  <conditionalFormatting sqref="E212:BD212">
    <cfRule type="cellIs" priority="6" operator="greaterThan" dxfId="0">
      <formula>$B$6</formula>
    </cfRule>
  </conditionalFormatting>
  <conditionalFormatting sqref="E222:BD222">
    <cfRule type="cellIs" priority="7" operator="lessThan" dxfId="0">
      <formula>0</formula>
    </cfRule>
  </conditionalFormatting>
  <conditionalFormatting sqref="E219:BD219">
    <cfRule type="cellIs" priority="8" operator="greaterThan" dxfId="0">
      <formula>$B$7</formula>
    </cfRule>
  </conditionalFormatting>
  <conditionalFormatting sqref="E245:BD245">
    <cfRule type="cellIs" priority="9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2026-08-30T11:30:36Z</dcterms:created>
  <dcterms:modified xsi:type="dcterms:W3CDTF">2026-08-30T11:30:39Z</dcterms:modified>
</cp:coreProperties>
</file>