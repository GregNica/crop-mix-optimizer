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0000"/>
    <numFmt numFmtId="166" formatCode="0.0%"/>
    <numFmt numFmtId="167" formatCode="$#,##0"/>
    <numFmt numFmtId="168" formatCode="$0.00"/>
  </numFmts>
  <fonts count="7">
    <font>
      <name val="Calibri"/>
      <family val="2"/>
      <color theme="1"/>
      <sz val="11"/>
      <scheme val="minor"/>
    </font>
    <font>
      <b val="1"/>
      <sz val="15"/>
    </font>
    <font>
      <i val="1"/>
      <color rgb="00666666"/>
      <sz val="9"/>
    </font>
    <font>
      <b val="1"/>
    </font>
    <font>
      <b val="1"/>
      <color rgb="00404040"/>
      <sz val="9"/>
    </font>
    <font>
      <b val="1"/>
      <color rgb="00404040"/>
      <sz val="12"/>
    </font>
    <font>
      <sz val="9"/>
    </font>
  </fonts>
  <fills count="10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D9D2E9"/>
      </patternFill>
    </fill>
    <fill>
      <patternFill patternType="solid">
        <fgColor rgb="00D9D9D9"/>
      </patternFill>
    </fill>
    <fill>
      <patternFill patternType="solid">
        <fgColor rgb="00F7F7F7"/>
      </patternFill>
    </fill>
    <fill>
      <patternFill patternType="solid">
        <fgColor rgb="00EFEFE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164" fontId="0" fillId="2" borderId="1" pivotButton="0" quotePrefix="0" xfId="0"/>
    <xf numFmtId="3" fontId="0" fillId="2" borderId="1" pivotButton="0" quotePrefix="0" xfId="0"/>
    <xf numFmtId="0" fontId="3" fillId="6" borderId="1" pivotButton="0" quotePrefix="0" xfId="0"/>
    <xf numFmtId="0" fontId="0" fillId="0" borderId="1" pivotButton="0" quotePrefix="0" xfId="0"/>
    <xf numFmtId="2" fontId="0" fillId="2" borderId="1" pivotButton="0" quotePrefix="0" xfId="0"/>
    <xf numFmtId="165" fontId="0" fillId="2" borderId="1" pivotButton="0" quotePrefix="0" xfId="0"/>
    <xf numFmtId="0" fontId="0" fillId="7" borderId="1" pivotButton="0" quotePrefix="0" xfId="0"/>
    <xf numFmtId="0" fontId="0" fillId="2" borderId="1" pivotButton="0" quotePrefix="0" xfId="0"/>
    <xf numFmtId="166" fontId="0" fillId="2" borderId="1" pivotButton="0" quotePrefix="0" xfId="0"/>
    <xf numFmtId="167" fontId="0" fillId="2" borderId="1" pivotButton="0" quotePrefix="0" xfId="0"/>
    <xf numFmtId="1" fontId="0" fillId="0" borderId="1" pivotButton="0" quotePrefix="0" xfId="0"/>
    <xf numFmtId="168" fontId="0" fillId="2" borderId="1" pivotButton="0" quotePrefix="0" xfId="0"/>
    <xf numFmtId="0" fontId="0" fillId="8" borderId="1" pivotButton="0" quotePrefix="0" xfId="0"/>
    <xf numFmtId="1" fontId="0" fillId="2" borderId="1" pivotButton="0" quotePrefix="0" xfId="0"/>
    <xf numFmtId="9" fontId="0" fillId="2" borderId="1" pivotButton="0" quotePrefix="0" xfId="0"/>
    <xf numFmtId="0" fontId="3" fillId="3" borderId="0" pivotButton="0" quotePrefix="0" xfId="0"/>
    <xf numFmtId="1" fontId="0" fillId="3" borderId="1" pivotButton="0" quotePrefix="0" xfId="0"/>
    <xf numFmtId="0" fontId="6" fillId="0" borderId="0" pivotButton="0" quotePrefix="0" xfId="0"/>
    <xf numFmtId="167" fontId="0" fillId="0" borderId="1" pivotButton="0" quotePrefix="0" xfId="0"/>
    <xf numFmtId="0" fontId="6" fillId="4" borderId="0" pivotButton="0" quotePrefix="0" xfId="0"/>
    <xf numFmtId="1" fontId="0" fillId="4" borderId="1" pivotButton="0" quotePrefix="0" xfId="0"/>
    <xf numFmtId="0" fontId="3" fillId="6" borderId="0" pivotButton="0" quotePrefix="0" xfId="0"/>
    <xf numFmtId="0" fontId="3" fillId="6" borderId="0" applyAlignment="1" pivotButton="0" quotePrefix="0" xfId="0">
      <alignment horizontal="center"/>
    </xf>
    <xf numFmtId="0" fontId="6" fillId="6" borderId="0" pivotButton="0" quotePrefix="0" xfId="0"/>
    <xf numFmtId="2" fontId="0" fillId="3" borderId="0" pivotButton="0" quotePrefix="0" xfId="0"/>
    <xf numFmtId="1" fontId="0" fillId="3" borderId="0" pivotButton="0" quotePrefix="0" xfId="0"/>
    <xf numFmtId="0" fontId="6" fillId="9" borderId="0" applyAlignment="1" pivotButton="0" quotePrefix="0" xfId="0">
      <alignment horizontal="center"/>
    </xf>
    <xf numFmtId="164" fontId="6" fillId="0" borderId="0" pivotButton="0" quotePrefix="0" xfId="0"/>
    <xf numFmtId="1" fontId="6" fillId="0" borderId="0" pivotButton="0" quotePrefix="0" xfId="0"/>
    <xf numFmtId="0" fontId="2" fillId="6" borderId="0" pivotButton="0" quotePrefix="0" xfId="0"/>
    <xf numFmtId="0" fontId="3" fillId="4" borderId="0" pivotButton="0" quotePrefix="0" xfId="0"/>
    <xf numFmtId="164" fontId="0" fillId="4" borderId="0" pivotButton="0" quotePrefix="0" xfId="0"/>
    <xf numFmtId="0" fontId="3" fillId="0" borderId="0" applyAlignment="1" pivotButton="0" quotePrefix="0" xfId="0">
      <alignment horizontal="center"/>
    </xf>
    <xf numFmtId="3" fontId="0" fillId="0" borderId="0" pivotButton="0" quotePrefix="0" xfId="0"/>
    <xf numFmtId="168" fontId="0" fillId="0" borderId="0" pivotButton="0" quotePrefix="0" xfId="0"/>
    <xf numFmtId="3" fontId="0" fillId="3" borderId="0" pivotButton="0" quotePrefix="0" xfId="0"/>
    <xf numFmtId="3" fontId="0" fillId="4" borderId="0" pivotButton="0" quotePrefix="0" xfId="0"/>
    <xf numFmtId="0" fontId="0" fillId="7" borderId="0" pivotButton="0" quotePrefix="0" xfId="0"/>
    <xf numFmtId="0" fontId="6" fillId="7" borderId="0" pivotButton="0" quotePrefix="0" xfId="0"/>
    <xf numFmtId="3" fontId="0" fillId="7" borderId="0" pivotButton="0" quotePrefix="0" xfId="0"/>
    <xf numFmtId="0" fontId="3" fillId="7" borderId="0" pivotButton="0" quotePrefix="0" xfId="0"/>
    <xf numFmtId="0" fontId="6" fillId="8" borderId="0" pivotButton="0" quotePrefix="0" xfId="0"/>
    <xf numFmtId="3" fontId="0" fillId="8" borderId="0" pivotButton="0" quotePrefix="0" xfId="0"/>
    <xf numFmtId="0" fontId="3" fillId="8" borderId="0" pivotButton="0" quotePrefix="0" xfId="0"/>
    <xf numFmtId="164" fontId="0" fillId="7" borderId="0" pivotButton="0" quotePrefix="0" xfId="0"/>
    <xf numFmtId="0" fontId="0" fillId="8" borderId="0" pivotButton="0" quotePrefix="0" xfId="0"/>
    <xf numFmtId="164" fontId="0" fillId="8" borderId="0" pivotButton="0" quotePrefix="0" xfId="0"/>
    <xf numFmtId="167" fontId="3" fillId="0" borderId="0" pivotButton="0" quotePrefix="0" xfId="0"/>
    <xf numFmtId="0" fontId="3" fillId="5" borderId="0" pivotButton="0" quotePrefix="0" xfId="0"/>
    <xf numFmtId="167" fontId="3" fillId="5" borderId="0" pivotButton="0" quotePrefix="0" xfId="0"/>
    <xf numFmtId="1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7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Farm toy model — v9: THE LABOUR LAYER, REBUILT</t>
        </is>
      </c>
    </row>
    <row r="2">
      <c r="A2" s="2" t="inlineStr">
        <is>
          <t>BUILT 2026-08-31 22:47   (from source at commit b20e718)</t>
        </is>
      </c>
    </row>
    <row r="3">
      <c r="A3" s="2" t="inlineStr">
        <is>
          <t>If that timestamp is older than the change you are looking for, you have a stale copy —</t>
        </is>
      </c>
    </row>
    <row r="4">
      <c r="A4" s="2" t="inlineStr">
        <is>
          <t>close the file and re-open it from WSL rather than from a recent-files list.</t>
        </is>
      </c>
    </row>
    <row r="5">
      <c r="A5" t="inlineStr"/>
    </row>
    <row r="6">
      <c r="A6" s="3" t="inlineStr">
        <is>
          <t>WHAT v9 CHANGES — the labour layer, rebuilt on three notes from the grower</t>
        </is>
      </c>
    </row>
    <row r="7">
      <c r="A7" t="inlineStr">
        <is>
          <t>This is the first version where a labour change makes the model SMALLER. 52 spot-hire</t>
        </is>
      </c>
    </row>
    <row r="8">
      <c r="A8" t="inlineStr">
        <is>
          <t>variables became ONE headcount, and a typed cap became a derived row.</t>
        </is>
      </c>
    </row>
    <row r="9">
      <c r="A9" t="inlineStr"/>
    </row>
    <row r="10">
      <c r="A10" s="4" t="inlineStr">
        <is>
          <t xml:space="preserve">     profit $514,774 (v8) -&gt; $493,794        revenue $2,328,371        margin 21.2%</t>
        </is>
      </c>
    </row>
    <row r="11">
      <c r="A11" s="4" t="inlineStr">
        <is>
          <t xml:space="preserve">     it hires 18 people for weeks 43-49 ($126,000) and works 735 overtime hours ($28,649)</t>
        </is>
      </c>
    </row>
    <row r="12">
      <c r="A12" t="inlineStr"/>
    </row>
    <row r="13">
      <c r="A13" t="inlineStr">
        <is>
          <t>Profit FALLS against v8 and that is the honest direction: v8 could buy an hour in any week</t>
        </is>
      </c>
    </row>
    <row r="14">
      <c r="A14" t="inlineStr">
        <is>
          <t>at a spot price and never pay for an hour it did not use.</t>
        </is>
      </c>
    </row>
    <row r="15">
      <c r="A15" t="inlineStr"/>
    </row>
    <row r="16">
      <c r="A16" s="4" t="inlineStr">
        <is>
          <t>1. THERE IS NO SPOT HIRE ANY MORE. You nominate a WINDOW; the solver picks the HEADCOUNT.</t>
        </is>
      </c>
    </row>
    <row r="17">
      <c r="A17" t="inlineStr">
        <is>
          <t xml:space="preserve">   v8's plan was unexecutable: 21 separate weeks of hiring in blocks of 2, 2, 2, 3 and 12</t>
        </is>
      </c>
    </row>
    <row r="18">
      <c r="A18" t="inlineStr">
        <is>
          <t xml:space="preserve">   weeks, and one week that bought TWO HOURS. No real hiring path works that way. H-2A wants</t>
        </is>
      </c>
    </row>
    <row r="19">
      <c r="A19" t="inlineStr">
        <is>
          <t xml:space="preserve">   60-75 days of lead and GUARANTEES the worker three-quarters of the contract's hours;</t>
        </is>
      </c>
    </row>
    <row r="20">
      <c r="A20" t="inlineStr">
        <is>
          <t xml:space="preserve">   domestic seasonal hiring wants 8-10 weeks and the good crews book out months ahead.</t>
        </is>
      </c>
    </row>
    <row r="21">
      <c r="A21" t="inlineStr">
        <is>
          <t xml:space="preserve">   Every path is a committed block decided before the season.</t>
        </is>
      </c>
    </row>
    <row r="22">
      <c r="A22" t="inlineStr"/>
    </row>
    <row r="23">
      <c r="A23" t="inlineStr">
        <is>
          <t xml:space="preserve">   So the advisory crew is CHARGED FOR ITS WHOLE WINDOW, used or not — the same treatment</t>
        </is>
      </c>
    </row>
    <row r="24">
      <c r="A24" t="inlineStr">
        <is>
          <t xml:space="preserve">   the standing crew already gets. Compare row 13 against row 10 in a week the plan does not</t>
        </is>
      </c>
    </row>
    <row r="25">
      <c r="A25" t="inlineStr">
        <is>
          <t xml:space="preserve">   need the hours: that gap is what committing to people actually costs, and v8 could not</t>
        </is>
      </c>
    </row>
    <row r="26">
      <c r="A26" t="inlineStr">
        <is>
          <t xml:space="preserve">   show it, because an hour it did not want was simply never bought.</t>
        </is>
      </c>
    </row>
    <row r="27">
      <c r="A27" t="inlineStr"/>
    </row>
    <row r="28">
      <c r="A28" t="inlineStr">
        <is>
          <t xml:space="preserve">   The answer is a ROSTER ROW: 'hire 18 people, weeks 43 to 49'. Type it into</t>
        </is>
      </c>
    </row>
    <row r="29">
      <c r="A29" t="inlineStr">
        <is>
          <t xml:space="preserve">   section 3b, set the advisory headcount back to 0, and re-solve. That round trip is the</t>
        </is>
      </c>
    </row>
    <row r="30">
      <c r="A30" t="inlineStr">
        <is>
          <t xml:space="preserve">   point — the recommendation is written in the same units as the input.</t>
        </is>
      </c>
    </row>
    <row r="31">
      <c r="A31" t="inlineStr"/>
    </row>
    <row r="32">
      <c r="A32" s="4" t="inlineStr">
        <is>
          <t>2. THE OVERTIME CAP IS DERIVED, NOT TYPED.</t>
        </is>
      </c>
    </row>
    <row r="33">
      <c r="A33" t="inlineStr">
        <is>
          <t xml:space="preserve">   v8 typed a flat 200 hrs/week. The crew on this farm swings from 0 to 872 hourly field</t>
        </is>
      </c>
    </row>
    <row r="34">
      <c r="A34" t="inlineStr">
        <is>
          <t xml:space="preserve">   hours across the year, so one number cannot express 'how much overtime will you allow'.</t>
        </is>
      </c>
    </row>
    <row r="35">
      <c r="A35" t="inlineStr">
        <is>
          <t xml:space="preserve">   On the app's own farm that flat cap let 15 of 52 weeks buy MORE overtime than the whole</t>
        </is>
      </c>
    </row>
    <row r="36">
      <c r="A36" t="inlineStr">
        <is>
          <t xml:space="preserve">   crew's regular hours — 185% in winter — and the app's solver took it, buying 191 overtime</t>
        </is>
      </c>
    </row>
    <row r="37">
      <c r="A37" t="inlineStr">
        <is>
          <t xml:space="preserve">   hours against 299 crew hours in one week. A 64% overtime rate is a 66-hour week for</t>
        </is>
      </c>
    </row>
    <row r="38">
      <c r="A38" t="inlineStr">
        <is>
          <t xml:space="preserve">   everybody on the crew.</t>
        </is>
      </c>
    </row>
    <row r="39">
      <c r="A39" t="inlineStr"/>
    </row>
    <row r="40">
      <c r="A40" t="inlineStr">
        <is>
          <t xml:space="preserve">   Now you type an ALLOWANCE (1.25 = 'up to 125% of normal hours') and row 8 computes</t>
        </is>
      </c>
    </row>
    <row r="41">
      <c r="A41" t="inlineStr">
        <is>
          <t xml:space="preserve">   (allowance - 1) x row 3, week by week. It peaks at 218 hrs and it is ZERO in a week</t>
        </is>
      </c>
    </row>
    <row r="42">
      <c r="A42" t="inlineStr">
        <is>
          <t xml:space="preserve">   with no hourly crew, which is the whole point: you cannot work overtime on people who are</t>
        </is>
      </c>
    </row>
    <row r="43">
      <c r="A43" t="inlineStr">
        <is>
          <t xml:space="preserve">   not there.</t>
        </is>
      </c>
    </row>
    <row r="44">
      <c r="A44" t="inlineStr"/>
    </row>
    <row r="45">
      <c r="A45" s="4" t="inlineStr">
        <is>
          <t>3. THE SECTION BUILDS UP IN NAMED ROWS.</t>
        </is>
      </c>
    </row>
    <row r="46">
      <c r="A46" t="inlineStr">
        <is>
          <t xml:space="preserve">   v8 computed the payroll mask — who is on this week, hourly, and paid — INSIDE the overtime</t>
        </is>
      </c>
    </row>
    <row r="47">
      <c r="A47" t="inlineStr">
        <is>
          <t xml:space="preserve">   rate formula, to answer a question the capacity row above had already answered. It was</t>
        </is>
      </c>
    </row>
    <row r="48">
      <c r="A48" t="inlineStr">
        <is>
          <t xml:space="preserve">   dense because an intermediate quantity had no row of its own.</t>
        </is>
      </c>
    </row>
    <row r="49">
      <c r="A49" t="inlineStr">
        <is>
          <t xml:space="preserve">   Rows 1-14 now each read only the rows above them. Row 3 (hourly FIELD hours) is the one</t>
        </is>
      </c>
    </row>
    <row r="50">
      <c r="A50" t="inlineStr">
        <is>
          <t xml:space="preserve">   v8 never wrote down — and it is exactly what the overtime cap needed, which is why the cap</t>
        </is>
      </c>
    </row>
    <row r="51">
      <c r="A51" t="inlineStr">
        <is>
          <t xml:space="preserve">   had to be a typed constant. Give the quantity a name and the defect has nowhere to live.</t>
        </is>
      </c>
    </row>
    <row r="52">
      <c r="A52" t="inlineStr"/>
    </row>
    <row r="53">
      <c r="A53" s="3" t="inlineStr">
        <is>
          <t>⚠️ THE WINDOW IS YOUR CALL, AND IT MATTERS MORE THAN THE HEADCOUNT</t>
        </is>
      </c>
    </row>
    <row r="54">
      <c r="A54" t="inlineStr">
        <is>
          <t>Labour binds in EIGHT separate blocks of weeks on this farm. Only one of them is worth</t>
        </is>
      </c>
    </row>
    <row r="55">
      <c r="A55" t="inlineStr">
        <is>
          <t>hiring into. Measured, same farm, same solver, only the window changes:</t>
        </is>
      </c>
    </row>
    <row r="56">
      <c r="A56" t="inlineStr"/>
    </row>
    <row r="57">
      <c r="A57" s="4" t="inlineStr">
        <is>
          <t xml:space="preserve">     weeks 16-21  (C2 binds all six weeks)      worth $5</t>
        </is>
      </c>
    </row>
    <row r="58">
      <c r="A58" s="4" t="inlineStr">
        <is>
          <t xml:space="preserve">     weeks 27-31  (C2 binds all five weeks)     worth $21</t>
        </is>
      </c>
    </row>
    <row r="59">
      <c r="A59" s="4" t="inlineStr">
        <is>
          <t xml:space="preserve">     weeks 43-49                                worth $58,253</t>
        </is>
      </c>
    </row>
    <row r="60">
      <c r="A60" t="inlineStr"/>
    </row>
    <row r="61">
      <c r="A61" t="inlineStr">
        <is>
          <t>A week where labour BINDS is not a week where more labour PAYS. In weeks 16-31 the crew is</t>
        </is>
      </c>
    </row>
    <row r="62">
      <c r="A62" t="inlineStr">
        <is>
          <t>already 908 hrs/wk and something else is holding the plan back; in weeks 43-49 the seasonal</t>
        </is>
      </c>
    </row>
    <row r="63">
      <c r="A63" t="inlineStr">
        <is>
          <t>crews have gone home to 108 hrs/wk and there is garlic in the ground.</t>
        </is>
      </c>
    </row>
    <row r="64">
      <c r="A64" t="inlineStr"/>
    </row>
    <row r="65">
      <c r="A65" t="inlineStr">
        <is>
          <t>That is worth stating plainly because the obvious report — 'here are your binding weeks' —</t>
        </is>
      </c>
    </row>
    <row r="66">
      <c r="A66" t="inlineStr">
        <is>
          <t>would send you to the wrong one. Try it: put 16 and 21 in the window and re-solve.</t>
        </is>
      </c>
    </row>
    <row r="67">
      <c r="A67" t="inlineStr"/>
    </row>
    <row r="68">
      <c r="A68" s="3" t="inlineStr">
        <is>
          <t>WHAT v7 ADDED — labour, which is TWO things at once</t>
        </is>
      </c>
    </row>
    <row r="69">
      <c r="A69" t="inlineStr"/>
    </row>
    <row r="70">
      <c r="A70" s="4" t="inlineStr">
        <is>
          <t>1. A COMMITTED COST. Every listed worker is paid for their stated hours whether or not the</t>
        </is>
      </c>
    </row>
    <row r="71">
      <c r="A71" t="inlineStr">
        <is>
          <t xml:space="preserve">   crops need them. So there is NO per-acre labour charge anywhere on this sheet — the</t>
        </is>
      </c>
    </row>
    <row r="72">
      <c r="A72" t="inlineStr">
        <is>
          <t xml:space="preserve">   marginal crop hour is FREE, and it is rationed by capacity instead of priced. That is the</t>
        </is>
      </c>
    </row>
    <row r="73">
      <c r="A73" t="inlineStr">
        <is>
          <t xml:space="preserve">   app's W12, and it is the single largest correction the real model has ever made.</t>
        </is>
      </c>
    </row>
    <row r="74">
      <c r="A74" t="inlineStr"/>
    </row>
    <row r="75">
      <c r="A75" s="4" t="inlineStr">
        <is>
          <t>2. A CAPACITY LIMIT. Crop hours in a week cannot exceed what the crew can give. The app's</t>
        </is>
      </c>
    </row>
    <row r="76">
      <c r="A76" t="inlineStr">
        <is>
          <t xml:space="preserve">   C2 — and on this farm it is the constraint that binds hardest, in 22 of 52 weeks.</t>
        </is>
      </c>
    </row>
    <row r="77">
      <c r="A77" t="inlineStr"/>
    </row>
    <row r="78">
      <c r="A78" s="3" t="inlineStr">
        <is>
          <t>AND THE WAGE BILL HAS A SHAPE</t>
        </is>
      </c>
    </row>
    <row r="79">
      <c r="A79" s="4" t="inlineStr">
        <is>
          <t xml:space="preserve">     winter $4,884/wk        peak $24,484/wk        $855,150 for the year</t>
        </is>
      </c>
    </row>
    <row r="80">
      <c r="A80" s="4" t="inlineStr">
        <is>
          <t xml:space="preserve">     crew capacity 108 hrs/wk in winter, 908 at peak</t>
        </is>
      </c>
    </row>
    <row r="81">
      <c r="A81" t="inlineStr">
        <is>
          <t>Flattening that to an annual average understated the app's own cash floor by $115,615, which</t>
        </is>
      </c>
    </row>
    <row r="82">
      <c r="A82" t="inlineStr">
        <is>
          <t>is why it is modelled week by week here rather than as one number.</t>
        </is>
      </c>
    </row>
    <row r="83">
      <c r="A83" t="inlineStr"/>
    </row>
    <row r="84">
      <c r="A84" s="3" t="inlineStr">
        <is>
          <t>WHAT IT DOES TO THE ANSWER</t>
        </is>
      </c>
    </row>
    <row r="85">
      <c r="A85" s="4" t="inlineStr">
        <is>
          <t xml:space="preserve">     profit $1,654,922 -&gt; $493,794        net margin 21.2%</t>
        </is>
      </c>
    </row>
    <row r="86">
      <c r="A86" t="inlineStr">
        <is>
          <t>Revenue falls too — $2,328,371 against v6's $2,558,846 — and that is the important half. Labour</t>
        </is>
      </c>
    </row>
    <row r="87">
      <c r="A87" t="inlineStr">
        <is>
          <t>does not merely TAX the plan, it RESHAPES it: the crew cannot pick everything the ground</t>
        </is>
      </c>
    </row>
    <row r="88">
      <c r="A88" t="inlineStr">
        <is>
          <t>could grow, so acres the land would happily carry are simply not worth planting.</t>
        </is>
      </c>
    </row>
    <row r="89">
      <c r="A89" t="inlineStr"/>
    </row>
    <row r="90">
      <c r="A90" t="inlineStr">
        <is>
          <t>Net margin 21.2% is finally in the same postcode as a real diversified-veg farm (5-15%),</t>
        </is>
      </c>
    </row>
    <row r="91">
      <c r="A91" t="inlineStr">
        <is>
          <t>having read 64.7% in v6. Labour was most of the gap.</t>
        </is>
      </c>
    </row>
    <row r="92">
      <c r="A92" t="inlineStr"/>
    </row>
    <row r="93">
      <c r="A93" s="3" t="inlineStr">
        <is>
          <t>!! THE FINDING WORTH TAKING AWAY</t>
        </is>
      </c>
    </row>
    <row r="94">
      <c r="A94" t="inlineStr">
        <is>
          <t>Committed wages create a MINIMUM CASH REQUIREMENT that no plan can avoid. This farm owes</t>
        </is>
      </c>
    </row>
    <row r="95">
      <c r="A95" t="inlineStr">
        <is>
          <t>$4,884 a week from January with nothing to sell until spring — $56,676 goes out before a</t>
        </is>
      </c>
    </row>
    <row r="96">
      <c r="A96" t="inlineStr">
        <is>
          <t>dollar comes in. Measured: below roughly $80,000-$100,000 of opening cash plus credit, there</t>
        </is>
      </c>
    </row>
    <row r="97">
      <c r="A97" t="inlineStr">
        <is>
          <t>is NO feasible plan at all. Not a worse plan — none.</t>
        </is>
      </c>
    </row>
    <row r="98">
      <c r="A98" t="inlineStr"/>
    </row>
    <row r="99">
      <c r="A99" t="inlineStr">
        <is>
          <t>And above that threshold profit is IDENTICAL at every cash level. So cash does not shape the</t>
        </is>
      </c>
    </row>
    <row r="100">
      <c r="A100" t="inlineStr">
        <is>
          <t>plan here; it decides whether you may have one. Those are different questions and a single</t>
        </is>
      </c>
    </row>
    <row r="101">
      <c r="A101" t="inlineStr">
        <is>
          <t>profit figure hides which one you are asking.</t>
        </is>
      </c>
    </row>
    <row r="102">
      <c r="A102" t="inlineStr"/>
    </row>
    <row r="103">
      <c r="A103" s="3" t="inlineStr">
        <is>
          <t>INTEREST IS REPORTED, NOT OPTIMISED OVER</t>
        </is>
      </c>
    </row>
    <row r="104">
      <c r="A104" t="inlineStr">
        <is>
          <t>Peak borrowing $45,744, interest $367 — APR on the AVERAGE amount the credit line</t>
        </is>
      </c>
    </row>
    <row r="105">
      <c r="A105" t="inlineStr">
        <is>
          <t>carries, which is the app's own post-solve formula.</t>
        </is>
      </c>
    </row>
    <row r="106">
      <c r="A106" t="inlineStr"/>
    </row>
    <row r="107">
      <c r="A107" t="inlineStr">
        <is>
          <t>It sits OUTSIDE the objective deliberately, because that is what the app does: the plan is</t>
        </is>
      </c>
    </row>
    <row r="108">
      <c r="A108" t="inlineStr">
        <is>
          <t>chosen first and the borrowing it implies is priced afterwards. The consequence is worth</t>
        </is>
      </c>
    </row>
    <row r="109">
      <c r="A109" t="inlineStr">
        <is>
          <t>knowing — the solver has no reason to shift sales earlier to borrow less, so interest is a</t>
        </is>
      </c>
    </row>
    <row r="110">
      <c r="A110" t="inlineStr">
        <is>
          <t>REPORT here rather than a lever. On this farm it is trivial ($367); on a farm that</t>
        </is>
      </c>
    </row>
    <row r="111">
      <c r="A111" t="inlineStr">
        <is>
          <t>borrows through a long winter it would not be.</t>
        </is>
      </c>
    </row>
    <row r="112">
      <c r="A112" t="inlineStr"/>
    </row>
    <row r="113">
      <c r="A113" s="3" t="inlineStr">
        <is>
          <t>INTEREST IS REPORTED, NOT OPTIMISED OVER</t>
        </is>
      </c>
    </row>
    <row r="114">
      <c r="A114" t="inlineStr">
        <is>
          <t>Peak borrowing $45,744, interest $367 — small here, and the reason is worth knowing.</t>
        </is>
      </c>
    </row>
    <row r="115">
      <c r="A115" t="inlineStr">
        <is>
          <t>The plan is chosen FIRST and the borrowing it implies is priced afterwards, so the solver has</t>
        </is>
      </c>
    </row>
    <row r="116">
      <c r="A116" t="inlineStr">
        <is>
          <t>no reason to shift sales earlier to borrow less. That is the app's own simplification and the</t>
        </is>
      </c>
    </row>
    <row r="117">
      <c r="A117" t="inlineStr">
        <is>
          <t>toy inherits it deliberately rather than diverging: a toy that models cash better than the</t>
        </is>
      </c>
    </row>
    <row r="118">
      <c r="A118" t="inlineStr">
        <is>
          <t>thing it is checking cannot check it.</t>
        </is>
      </c>
    </row>
    <row r="119">
      <c r="A119" t="inlineStr"/>
    </row>
    <row r="120">
      <c r="A120" s="3" t="inlineStr">
        <is>
          <t>WHAT v6 ADDED — real costs, and the cash floor</t>
        </is>
      </c>
    </row>
    <row r="121">
      <c r="A121" t="inlineStr">
        <is>
          <t>These are one job, not two. A cash curve is meaningless without costs to spend, and v5's</t>
        </is>
      </c>
    </row>
    <row r="122">
      <c r="A122" t="inlineStr">
        <is>
          <t>profit was absurd precisely because seed was the only cost it charged.</t>
        </is>
      </c>
    </row>
    <row r="123">
      <c r="A123" t="inlineStr"/>
    </row>
    <row r="124">
      <c r="A124" t="inlineStr">
        <is>
          <t xml:space="preserve">  TIMED variable costs   seed in the PLANTING week; fertiliser and fuel every week in the</t>
        </is>
      </c>
    </row>
    <row r="125">
      <c r="A125" t="inlineStr">
        <is>
          <t xml:space="preserve">                         ground at that phase's rate; packaging per lb in the week of SALE.</t>
        </is>
      </c>
    </row>
    <row r="126">
      <c r="A126" t="inlineStr">
        <is>
          <t xml:space="preserve">                         Timing is the whole point — a cash floor cannot be honest if the</t>
        </is>
      </c>
    </row>
    <row r="127">
      <c r="A127" t="inlineStr">
        <is>
          <t xml:space="preserve">                         costs land in the wrong week.</t>
        </is>
      </c>
    </row>
    <row r="128">
      <c r="A128" t="inlineStr">
        <is>
          <t xml:space="preserve">  FIXED costs            cooler and barn depreciation, irrigation, machinery, equipment</t>
        </is>
      </c>
    </row>
    <row r="129">
      <c r="A129" t="inlineStr">
        <is>
          <t xml:space="preserve">                         store: $1,414 a week, owed whether or not you plant anything.</t>
        </is>
      </c>
    </row>
    <row r="130">
      <c r="A130" t="inlineStr">
        <is>
          <t xml:space="preserve">  OVERHEAD               a share of revenue, exactly as the app internalises it.</t>
        </is>
      </c>
    </row>
    <row r="131">
      <c r="A131" t="inlineStr">
        <is>
          <t xml:space="preserve">  CASH FLOOR             cumulative cash may go negative — that is the credit line being</t>
        </is>
      </c>
    </row>
    <row r="132">
      <c r="A132" t="inlineStr">
        <is>
          <t xml:space="preserve">                         drawn — but never below -(opening cash + credit line). The app's C13.</t>
        </is>
      </c>
    </row>
    <row r="133">
      <c r="A133" t="inlineStr"/>
    </row>
    <row r="134">
      <c r="A134" s="4" t="inlineStr">
        <is>
          <t>Profit falls $2,384,231 -&gt; $493,794 once those are charged.</t>
        </is>
      </c>
    </row>
    <row r="135">
      <c r="A135" t="inlineStr"/>
    </row>
    <row r="136">
      <c r="A136" s="3" t="inlineStr">
        <is>
          <t>!! AND IT IS STILL ABSURD: net margin 21.2%, against 5-15% for real diversified veg.</t>
        </is>
      </c>
    </row>
    <row r="137">
      <c r="A137" t="inlineStr">
        <is>
          <t>Because LABOUR IS NOT HERE. On the real farm wages are about 90% of fixed cost — the app's</t>
        </is>
      </c>
    </row>
    <row r="138">
      <c r="A138" t="inlineStr">
        <is>
          <t>own demo pays $855,150 a year against the $73,514 of fixed cost this sheet charges. So:</t>
        </is>
      </c>
    </row>
    <row r="139">
      <c r="A139" t="inlineStr"/>
    </row>
    <row r="140">
      <c r="A140" s="4" t="inlineStr">
        <is>
          <t xml:space="preserve">     THE CASH FLOOR BARELY BINDS, AND YOU SHOULD NOT TRUST THIS CURVE YET.</t>
        </is>
      </c>
    </row>
    <row r="141">
      <c r="A141" t="inlineStr"/>
    </row>
    <row r="142">
      <c r="A142" t="inlineStr">
        <is>
          <t>Measured: at 50,000 opening and a 250,000 credit line the floor never touches. It only bites</t>
        </is>
      </c>
    </row>
    <row r="143">
      <c r="A143" t="inlineStr">
        <is>
          <t>at about 10,000 + 10,000. The mechanism is real and checked; the farm it is checking is not</t>
        </is>
      </c>
    </row>
    <row r="144">
      <c r="A144" t="inlineStr">
        <is>
          <t>yet paying anybody. Labour is v7, and it is what makes cash mean something.</t>
        </is>
      </c>
    </row>
    <row r="145">
      <c r="A145" t="inlineStr"/>
    </row>
    <row r="146">
      <c r="A146" s="3" t="inlineStr">
        <is>
          <t>WHAT v5 ADDED — both of these you spotted missing from v4</t>
        </is>
      </c>
    </row>
    <row r="147">
      <c r="A147" t="inlineStr"/>
    </row>
    <row r="148">
      <c r="A148" s="4" t="inlineStr">
        <is>
          <t>1. IT CHOOSES WHEN TO PLANT.</t>
        </is>
      </c>
    </row>
    <row r="149">
      <c r="A149" t="inlineStr">
        <is>
          <t xml:space="preserve">   All 68 plantings the app's calendar generator offers are on the sheet, one row per legal</t>
        </is>
      </c>
    </row>
    <row r="150">
      <c r="A150" t="inlineStr">
        <is>
          <t xml:space="preserve">   start week. The solver puts acres on some and zero on others — and zero acres IS the</t>
        </is>
      </c>
    </row>
    <row r="151">
      <c r="A151" t="inlineStr">
        <is>
          <t xml:space="preserve">   decision not to plant that week. v4 offered five that I picked by hand.</t>
        </is>
      </c>
    </row>
    <row r="152">
      <c r="A152" t="inlineStr"/>
    </row>
    <row r="153">
      <c r="A153" s="4" t="inlineStr">
        <is>
          <t>2. IT CHOOSES WHETHER TO PLANT AT ALL.</t>
        </is>
      </c>
    </row>
    <row r="154">
      <c r="A154" t="inlineStr">
        <is>
          <t xml:space="preserve">   The BLUE column is a binary per planting, tied to the acres by two constraints that are</t>
        </is>
      </c>
    </row>
    <row r="155">
      <c r="A155" t="inlineStr">
        <is>
          <t xml:space="preserve">   the app's own C9 and C10:</t>
        </is>
      </c>
    </row>
    <row r="156">
      <c r="A156" t="inlineStr">
        <is>
          <t xml:space="preserve">        acres &lt;= 'max if planted'   you cannot plant acres without deciding to plant</t>
        </is>
      </c>
    </row>
    <row r="157">
      <c r="A157" t="inlineStr">
        <is>
          <t xml:space="preserve">        acres &gt;= 'min if planted'   if you plant at all, you plant a real block</t>
        </is>
      </c>
    </row>
    <row r="158">
      <c r="A158" t="inlineStr">
        <is>
          <t xml:space="preserve">   That is what stops it planting a third of an acre, and it makes this a MILP — which is</t>
        </is>
      </c>
    </row>
    <row r="159">
      <c r="A159" t="inlineStr">
        <is>
          <t xml:space="preserve">   what farm_v2/solver.py is. Its `integrality` array marks the very same y block.</t>
        </is>
      </c>
    </row>
    <row r="160">
      <c r="A160" t="inlineStr"/>
    </row>
    <row r="161">
      <c r="A161" s="3" t="inlineStr">
        <is>
          <t>WHAT THE TWO CHANGES ARE WORTH — measured, and they pull OPPOSITE ways</t>
        </is>
      </c>
    </row>
    <row r="162">
      <c r="A162" t="inlineStr">
        <is>
          <t xml:space="preserve">     v4, five hand-picked plantings          $1,094,831</t>
        </is>
      </c>
    </row>
    <row r="163">
      <c r="A163" t="inlineStr">
        <is>
          <t xml:space="preserve">     v5 without the minimum-acreage rule     $496,747   (47 plantings)</t>
        </is>
      </c>
    </row>
    <row r="164">
      <c r="A164" s="4" t="inlineStr">
        <is>
          <t xml:space="preserve">     v5 as it ships                          $493,794   (38 plantings)</t>
        </is>
      </c>
    </row>
    <row r="165">
      <c r="A165" t="inlineStr"/>
    </row>
    <row r="166">
      <c r="A166" t="inlineStr">
        <is>
          <t>Letting it choose the weeks more than doubles profit. Then the minimum-acreage rule takes</t>
        </is>
      </c>
    </row>
    <row r="167">
      <c r="A167" t="inlineStr">
        <is>
          <t>$2,952 back and drops the plan from 47 plantings to 38, because the</t>
        </is>
      </c>
    </row>
    <row r="168">
      <c r="A168" t="inlineStr">
        <is>
          <t>slivers are gone.</t>
        </is>
      </c>
    </row>
    <row r="169">
      <c r="A169" t="inlineStr"/>
    </row>
    <row r="170">
      <c r="A170" t="inlineStr">
        <is>
          <t>Neither number means anything alone. A fixed calendar UNDERSTATES; a missing minimum</t>
        </is>
      </c>
    </row>
    <row r="171">
      <c r="A171" t="inlineStr">
        <is>
          <t>acreage OVERSTATES. That is why the real model has both, and it is the reason it is a MILP</t>
        </is>
      </c>
    </row>
    <row r="172">
      <c r="A172" t="inlineStr">
        <is>
          <t>rather than a plain LP.</t>
        </is>
      </c>
    </row>
    <row r="173">
      <c r="A173" t="inlineStr"/>
    </row>
    <row r="174">
      <c r="A174" s="3" t="inlineStr">
        <is>
          <t>WHY IT PLANTS SO MANY — this is the finding worth keeping</t>
        </is>
      </c>
    </row>
    <row r="175">
      <c r="A175" t="inlineStr">
        <is>
          <t>38 plantings out of 68, staggered across the season rather than a few big</t>
        </is>
      </c>
    </row>
    <row r="176">
      <c r="A176" t="inlineStr">
        <is>
          <t>blocks. That is SUCCESSION PLANTING, and now you can see why it pays: spreading the harvest</t>
        </is>
      </c>
    </row>
    <row r="177">
      <c r="A177" t="inlineStr">
        <is>
          <t>is what lets you serve a WEEKLY demand cap continuously. Plant it all at once and one huge</t>
        </is>
      </c>
    </row>
    <row r="178">
      <c r="A178" t="inlineStr">
        <is>
          <t>harvest slams into the ceiling, the cooler fills, and the surplus is wasted or dumped cheap.</t>
        </is>
      </c>
    </row>
    <row r="179">
      <c r="A179" t="inlineStr"/>
    </row>
    <row r="180">
      <c r="A180" t="inlineStr">
        <is>
          <t>A model with a fixed planting calendar cannot express the thing the practice exists for.</t>
        </is>
      </c>
    </row>
    <row r="181">
      <c r="A181" t="inlineStr"/>
    </row>
    <row r="182">
      <c r="A182" s="3" t="inlineStr">
        <is>
          <t>!! IT NEEDS LIBREOFFICE, AND THIS ONE IS A REAL MILP</t>
        </is>
      </c>
    </row>
    <row r="183">
      <c r="A183" t="inlineStr">
        <is>
          <t>501 decision cells: 68 acres + 68 binaries + 312 offered + 52 overtime + 1 advisory headcount. The engine MUST be</t>
        </is>
      </c>
    </row>
    <row r="184">
      <c r="A184" t="inlineStr">
        <is>
          <t>CoinMP — it does branch and bound over the integers. Expect it to take appreciably longer</t>
        </is>
      </c>
    </row>
    <row r="185">
      <c r="A185" t="inlineStr">
        <is>
          <t>than v4; integers are what make an optimizer work for its living.</t>
        </is>
      </c>
    </row>
    <row r="186">
      <c r="A186" t="inlineStr"/>
    </row>
    <row r="187">
      <c r="A187" s="3" t="inlineStr">
        <is>
          <t>WHERE THINGS ARE</t>
        </is>
      </c>
    </row>
    <row r="188">
      <c r="A188" t="inlineStr">
        <is>
          <t xml:space="preserve">  YELLOW   you type: the farm, the crop table, the crop x channel table.</t>
        </is>
      </c>
    </row>
    <row r="189">
      <c r="A189" t="inlineStr">
        <is>
          <t xml:space="preserve">  GREEN    the solver writes: the ACRES column (C58:C125), the six OFFERED rows, and</t>
        </is>
      </c>
    </row>
    <row r="190">
      <c r="A190" t="inlineStr">
        <is>
          <t xml:space="preserve">           the PROFIT cell (B322).</t>
        </is>
      </c>
    </row>
    <row r="191">
      <c r="A191" t="inlineStr">
        <is>
          <t xml:space="preserve">  BLUE     the solver writes: the PLANT? binaries (D58:D125).</t>
        </is>
      </c>
    </row>
    <row r="192">
      <c r="A192" t="inlineStr">
        <is>
          <t xml:space="preserve">  Everything else is a formula. Columns A-D stay put when you scroll right.</t>
        </is>
      </c>
    </row>
    <row r="193">
      <c r="A193" t="inlineStr"/>
    </row>
    <row r="194">
      <c r="A194" s="3" t="inlineStr">
        <is>
          <t>HOW TO RUN IT</t>
        </is>
      </c>
    </row>
    <row r="195">
      <c r="A195" t="inlineStr">
        <is>
          <t>Section 7 lists every entry with exact ranges. In short:</t>
        </is>
      </c>
    </row>
    <row r="196">
      <c r="A196" t="inlineStr">
        <is>
          <t xml:space="preserve">   Tools &gt; Solver, target the PROFIT cell, set to MAXIMUM</t>
        </is>
      </c>
    </row>
    <row r="197">
      <c r="A197" t="inlineStr">
        <is>
          <t xml:space="preserve">   Changing cells: C58:C125 and D58:D125 together, plus the six OFFERED rows</t>
        </is>
      </c>
    </row>
    <row r="198">
      <c r="A198" t="inlineStr">
        <is>
          <t xml:space="preserve">   Add the constraint  D58:D125 = Binary   — without it the binaries are just numbers</t>
        </is>
      </c>
    </row>
    <row r="199">
      <c r="A199" t="inlineStr">
        <is>
          <t xml:space="preserve">   and the minimum-acreage rule silently stops working</t>
        </is>
      </c>
    </row>
    <row r="200">
      <c r="A200" t="inlineStr">
        <is>
          <t xml:space="preserve">   Options: engine = LibreOffice CoinMP Linear Solver; tick non-negative</t>
        </is>
      </c>
    </row>
    <row r="201">
      <c r="A201" t="inlineStr"/>
    </row>
    <row r="202">
      <c r="A202" s="3" t="inlineStr">
        <is>
          <t>WHAT IT SHOULD FIND</t>
        </is>
      </c>
    </row>
    <row r="203">
      <c r="A203" s="4" t="inlineStr">
        <is>
          <t xml:space="preserve">     PROFIT   $493,794       net margin 21.2%</t>
        </is>
      </c>
    </row>
    <row r="204">
      <c r="A204" t="inlineStr">
        <is>
          <t xml:space="preserve">       revenue      $2,328,371</t>
        </is>
      </c>
    </row>
    <row r="205">
      <c r="A205" t="inlineStr">
        <is>
          <t xml:space="preserve">       growing      $195,620      seed at planting + fertiliser and fuel in the ground</t>
        </is>
      </c>
    </row>
    <row r="206">
      <c r="A206" t="inlineStr">
        <is>
          <t xml:space="preserve">       packaging    $182,738      per lb sold, in the week of sale</t>
        </is>
      </c>
    </row>
    <row r="207">
      <c r="A207" t="inlineStr">
        <is>
          <t xml:space="preserve">       fixed        $73,514      $1,414 a week, owed whether or not you plant</t>
        </is>
      </c>
    </row>
    <row r="208">
      <c r="A208" t="inlineStr">
        <is>
          <t xml:space="preserve">       overhead     $372,539      a share of revenue</t>
        </is>
      </c>
    </row>
    <row r="209">
      <c r="A209" t="inlineStr">
        <is>
          <t xml:space="preserve">       wages        $855,150      committed — owed whether the crops need the hours or not</t>
        </is>
      </c>
    </row>
    <row r="210">
      <c r="A210" t="inlineStr">
        <is>
          <t xml:space="preserve">       interest     $367          APR on what the credit line actually carries</t>
        </is>
      </c>
    </row>
    <row r="211">
      <c r="A211" t="inlineStr">
        <is>
          <t xml:space="preserve">       overtime     $28,649       735 hours, capped by row 8 week by week</t>
        </is>
      </c>
    </row>
    <row r="212">
      <c r="A212" t="inlineStr">
        <is>
          <t xml:space="preserve">       advisory     $126,000      18 people, weeks 43-49 — 5,040 hrs committed</t>
        </is>
      </c>
    </row>
    <row r="213">
      <c r="A213" t="inlineStr">
        <is>
          <t xml:space="preserve">     peak borrowing $45,744 — the deepest the line is ever drawn</t>
        </is>
      </c>
    </row>
    <row r="214">
      <c r="A214" t="inlineStr">
        <is>
          <t xml:space="preserve">       interest     $367          on $45,744 of peak borrowing — reported, not optimised over</t>
        </is>
      </c>
    </row>
    <row r="215">
      <c r="A215" s="4" t="inlineStr">
        <is>
          <t xml:space="preserve">     38 of 68 plantings used</t>
        </is>
      </c>
    </row>
    <row r="216">
      <c r="A216" t="inlineStr"/>
    </row>
    <row r="217">
      <c r="A217" t="inlineStr">
        <is>
          <t>Computed by solving the same MILP with scipy.milp — the same HiGHS solver your app runs. A</t>
        </is>
      </c>
    </row>
    <row r="218">
      <c r="A218" t="inlineStr">
        <is>
          <t>few dollars apart is tolerances. Materially different means one of the two models is not the</t>
        </is>
      </c>
    </row>
    <row r="219">
      <c r="A219" t="inlineStr">
        <is>
          <t>model we think it is.</t>
        </is>
      </c>
    </row>
    <row r="220">
      <c r="A220" t="inlineStr"/>
    </row>
    <row r="221">
      <c r="A221" s="3" t="inlineStr">
        <is>
          <t>WHAT SELL-THROUGH IS, AND WHY IT SHIPS AT 1.00</t>
        </is>
      </c>
    </row>
    <row r="222">
      <c r="A222" t="inlineStr">
        <is>
          <t>Every 'Sell-through' in section 3 is 1.00, matching the app since 30 Aug. The 85% it used to</t>
        </is>
      </c>
    </row>
    <row r="223">
      <c r="A223" t="inlineStr">
        <is>
          <t>carry had no source, and it was being charged on channels where a purchase order exists and</t>
        </is>
      </c>
    </row>
    <row r="224">
      <c r="A224" t="inlineStr">
        <is>
          <t>nothing goes unsold. So the market-loss and returned-to-store rows all read ZERO right now.</t>
        </is>
      </c>
    </row>
    <row r="225">
      <c r="A225" t="inlineStr">
        <is>
          <t>That is correct, not broken.</t>
        </is>
      </c>
    </row>
    <row r="226">
      <c r="A226" t="inlineStr"/>
    </row>
    <row r="227">
      <c r="A227" t="inlineStr">
        <is>
          <t>The narrow definition it now carries:</t>
        </is>
      </c>
    </row>
    <row r="228">
      <c r="A228" t="inlineStr"/>
    </row>
    <row r="229">
      <c r="A229" s="4" t="inlineStr">
        <is>
          <t xml:space="preserve">     Of what you TAKE TO MARKET, the share that converts to cash — display attrition at a</t>
        </is>
      </c>
    </row>
    <row r="230">
      <c r="A230" s="4" t="inlineStr">
        <is>
          <t xml:space="preserve">     stall, samples, transit damage, a rejected load.</t>
        </is>
      </c>
    </row>
    <row r="231">
      <c r="A231" t="inlineStr"/>
    </row>
    <row r="232">
      <c r="A232" t="inlineStr">
        <is>
          <t>NOT grade-out at harvest (that is pack-out, above the store). NOT spoilage in the store (that</t>
        </is>
      </c>
    </row>
    <row r="233">
      <c r="A233" t="inlineStr">
        <is>
          <t>is shrink). And NOT demand uncertainty — which is the one worth understanding, because it is</t>
        </is>
      </c>
    </row>
    <row r="234">
      <c r="A234" t="inlineStr">
        <is>
          <t>why the old wording could not be right:</t>
        </is>
      </c>
    </row>
    <row r="235">
      <c r="A235" t="inlineStr"/>
    </row>
    <row r="236">
      <c r="A236" t="inlineStr">
        <is>
          <t xml:space="preserve">     The demand ceiling is HARD. At a 6,000 lb cap and 0.85, selling 6,000 means bringing</t>
        </is>
      </c>
    </row>
    <row r="237">
      <c r="A237" t="inlineStr">
        <is>
          <t xml:space="preserve">     7,059 and losing 1,059 — every week, including the best Saturday of the year, because</t>
        </is>
      </c>
    </row>
    <row r="238">
      <c r="A238" t="inlineStr">
        <is>
          <t xml:space="preserve">     the model will never let you sell 6,001. That is the whole downside of bringing extra</t>
        </is>
      </c>
    </row>
    <row r="239">
      <c r="A239" t="inlineStr">
        <is>
          <t xml:space="preserve">     with none of the upside. It is not a model of uncertainty; it is a one-sided penalty.</t>
        </is>
      </c>
    </row>
    <row r="240">
      <c r="A240" t="inlineStr"/>
    </row>
    <row r="241">
      <c r="A241" t="inlineStr">
        <is>
          <t>So what it CAN mean is a display requirement: a picked-over stall sells less than a full one,</t>
        </is>
      </c>
    </row>
    <row r="242">
      <c r="A242" t="inlineStr">
        <is>
          <t>so moving 6,000 lb needs more than 6,000 lb on the table. Deterministic, and an input</t>
        </is>
      </c>
    </row>
    <row r="243">
      <c r="A243" t="inlineStr">
        <is>
          <t>requirement like seed. Real demand variance is a different problem (newsvendor) needing</t>
        </is>
      </c>
    </row>
    <row r="244">
      <c r="A244" t="inlineStr">
        <is>
          <t>machinery neither this sheet nor the app has yet.</t>
        </is>
      </c>
    </row>
    <row r="245">
      <c r="A245" t="inlineStr"/>
    </row>
    <row r="246">
      <c r="A246" s="3" t="inlineStr">
        <is>
          <t>THREE THINGS TO TRY</t>
        </is>
      </c>
    </row>
    <row r="247">
      <c r="A247" t="inlineStr"/>
    </row>
    <row r="248">
      <c r="A248" s="4" t="inlineStr">
        <is>
          <t>EXPERIMENT 1 — switch sell-through on, and watch the crop decide what happens.</t>
        </is>
      </c>
    </row>
    <row r="249">
      <c r="A249" s="4" t="inlineStr">
        <is>
          <t xml:space="preserve">   In section 3 set Spinach / {CH1} sell-through to 0.85, and Garlic / {CH1} to 0.85 too.</t>
        </is>
      </c>
    </row>
    <row r="250">
      <c r="A250" s="4" t="inlineStr">
        <is>
          <t xml:space="preserve">   Re-solve.</t>
        </is>
      </c>
    </row>
    <row r="251">
      <c r="A251" t="inlineStr">
        <is>
          <t xml:space="preserve">   Both now offer more than they sell. But look at the two 'market loss' rows: Spinach's is</t>
        </is>
      </c>
    </row>
    <row r="252">
      <c r="A252" t="inlineStr">
        <is>
          <t xml:space="preserve">   positive and Garlic's is ZERO, because garlic's 'Returns to store' is 1.00 — unsold garlic</t>
        </is>
      </c>
    </row>
    <row r="253">
      <c r="A253" t="inlineStr">
        <is>
          <t xml:space="preserve">   comes home and sells later, so the loss is a DELAY, not a loss.</t>
        </is>
      </c>
    </row>
    <row r="254">
      <c r="A254" t="inlineStr">
        <is>
          <t xml:space="preserve">   That is the grower's ruling in two cells: the same sell-through means different things on</t>
        </is>
      </c>
    </row>
    <row r="255">
      <c r="A255" t="inlineStr">
        <is>
          <t xml:space="preserve">   different crops, which is why it belongs on the crop x channel row and not on either one</t>
        </is>
      </c>
    </row>
    <row r="256">
      <c r="A256" t="inlineStr">
        <is>
          <t xml:space="preserve">   alone. Now set Garlic's 'Returns to store' to 0.00 and re-solve: the delay becomes a loss</t>
        </is>
      </c>
    </row>
    <row r="257">
      <c r="A257" t="inlineStr">
        <is>
          <t xml:space="preserve">   and the plan changes.</t>
        </is>
      </c>
    </row>
    <row r="258">
      <c r="A258" t="inlineStr"/>
    </row>
    <row r="259">
      <c r="A259" s="4" t="inlineStr">
        <is>
          <t>EXPERIMENT 2 — move the hiring window.  Set the advisory window to 16 and 21, re-solve.</t>
        </is>
      </c>
    </row>
    <row r="260">
      <c r="A260" t="inlineStr">
        <is>
          <t xml:space="preserve">   C2 binds in all six of those weeks, so they LOOK like the place to add people. The solver</t>
        </is>
      </c>
    </row>
    <row r="261">
      <c r="A261" t="inlineStr">
        <is>
          <t xml:space="preserve">   hires nobody, and profit moves by about five dollars. Put it back to 43-49 and it hires</t>
        </is>
      </c>
    </row>
    <row r="262">
      <c r="A262" t="inlineStr">
        <is>
          <t xml:space="preserve">   18 for $126,000. Utilisation tells you where a constraint is tight; it does not tell</t>
        </is>
      </c>
    </row>
    <row r="263">
      <c r="A263" t="inlineStr">
        <is>
          <t xml:space="preserve">   you what relieving it is worth, and only one of those is a hiring decision.</t>
        </is>
      </c>
    </row>
    <row r="264">
      <c r="A264" t="inlineStr"/>
    </row>
    <row r="265">
      <c r="A265" s="4" t="inlineStr">
        <is>
          <t>EXPERIMENT 2b — tighten the overtime allowance.  Set it to 1.00 and re-solve.</t>
        </is>
      </c>
    </row>
    <row r="266">
      <c r="A266" t="inlineStr">
        <is>
          <t xml:space="preserve">   Row 8 goes to zero everywhere and overtime disappears — 1.00 means 'no hours beyond</t>
        </is>
      </c>
    </row>
    <row r="267">
      <c r="A267" t="inlineStr">
        <is>
          <t xml:space="preserve">   normal'. Then try 2.00: the cap doubles in every week, but it doubles PROPORTIONALLY, so</t>
        </is>
      </c>
    </row>
    <row r="268">
      <c r="A268" t="inlineStr">
        <is>
          <t xml:space="preserve">   winter still gets almost none. That is what a typed hours cap could never do.</t>
        </is>
      </c>
    </row>
    <row r="269">
      <c r="A269" t="inlineStr"/>
    </row>
    <row r="270">
      <c r="A270" s="4" t="inlineStr">
        <is>
          <t>EXPERIMENT 3 — sack the harvest crew.  Set the Harvest Crew count to 0 and re-solve.</t>
        </is>
      </c>
    </row>
    <row r="271">
      <c r="A271" t="inlineStr">
        <is>
          <t xml:space="preserve">   You save their whole wage bill. Watch what happens to profit anyway: with fewer hours in</t>
        </is>
      </c>
    </row>
    <row r="272">
      <c r="A272" t="inlineStr">
        <is>
          <t xml:space="preserve">   weeks 14-40 the crops that need picking most cannot be picked, and revenue falls further</t>
        </is>
      </c>
    </row>
    <row r="273">
      <c r="A273" t="inlineStr">
        <is>
          <t xml:space="preserve">   than the wages saved. Then try the opposite — double their count — and watch profit rise</t>
        </is>
      </c>
    </row>
    <row r="274">
      <c r="A274" t="inlineStr">
        <is>
          <t xml:space="preserve">   even though payroll rose too. That is the trade a per-acre labour charge cannot express,</t>
        </is>
      </c>
    </row>
    <row r="275">
      <c r="A275" t="inlineStr">
        <is>
          <t xml:space="preserve">   and it is why the app rations hours with a constraint rather than pricing them.</t>
        </is>
      </c>
    </row>
    <row r="276">
      <c r="A276" t="inlineStr"/>
    </row>
    <row r="277">
      <c r="A277" s="4" t="inlineStr">
        <is>
          <t>EXPERIMENT 4 — squeeze the cash.  Set the credit line to 10,000 and opening cash to 10,000,</t>
        </is>
      </c>
    </row>
    <row r="278">
      <c r="A278" s="4" t="inlineStr">
        <is>
          <t xml:space="preserve">   then re-solve.</t>
        </is>
      </c>
    </row>
    <row r="279">
      <c r="A279" t="inlineStr">
        <is>
          <t xml:space="preserve">   Below about $100,000 combined there is no feasible plan at all — see above. Just above</t>
        </is>
      </c>
    </row>
    <row r="280">
      <c r="A280" t="inlineStr">
        <is>
          <t xml:space="preserve">   it, watch WHICH plantings the floor drops: not the least profitable ones, but</t>
        </is>
      </c>
    </row>
    <row r="281">
      <c r="A281" t="inlineStr">
        <is>
          <t xml:space="preserve">   the ones whose costs land earliest relative to their revenue. Garlic goes in around week</t>
        </is>
      </c>
    </row>
    <row r="282">
      <c r="A282" t="inlineStr">
        <is>
          <t xml:space="preserve">   47 and is not sold until week 30 of the following year — nine months of money out before</t>
        </is>
      </c>
    </row>
    <row r="283">
      <c r="A283" t="inlineStr">
        <is>
          <t xml:space="preserve">   a dollar comes back. Cash does not rank crops by margin; it ranks them by TIMING, which no</t>
        </is>
      </c>
    </row>
    <row r="284">
      <c r="A284" t="inlineStr">
        <is>
          <t xml:space="preserve">   column on this sheet shows you.</t>
        </is>
      </c>
    </row>
    <row r="285">
      <c r="A285" t="inlineStr"/>
    </row>
    <row r="286">
      <c r="A286" s="4" t="inlineStr">
        <is>
          <t>EXPERIMENT 5 — drop the minimum acreage.  Set every 'Min acres if planted' in the crop</t>
        </is>
      </c>
    </row>
    <row r="287">
      <c r="A287" s="4" t="inlineStr">
        <is>
          <t xml:space="preserve">   table to 0 and re-solve.</t>
        </is>
      </c>
    </row>
    <row r="288">
      <c r="A288" t="inlineStr">
        <is>
          <t xml:space="preserve">   Expect $496,747 and 47 plantings. The extra profit is real but the plan is</t>
        </is>
      </c>
    </row>
    <row r="289">
      <c r="A289" t="inlineStr">
        <is>
          <t xml:space="preserve">   not: it plants fractions of an acre no one would drive a tractor out for. This is what</t>
        </is>
      </c>
    </row>
    <row r="290">
      <c r="A290" t="inlineStr">
        <is>
          <t xml:space="preserve">   the binaries are FOR, and it is why the app carries them.</t>
        </is>
      </c>
    </row>
    <row r="291">
      <c r="A291" t="inlineStr"/>
    </row>
    <row r="292">
      <c r="A292" s="4" t="inlineStr">
        <is>
          <t>EXPERIMENT 6 — take away the cooler.  Set the cold store to 40 m3 and re-solve.</t>
        </is>
      </c>
    </row>
    <row r="293">
      <c r="A293" t="inlineStr">
        <is>
          <t xml:space="preserve">   Watch WHICH WEEKS it abandons, not just which crop. With a full calendar it can retreat</t>
        </is>
      </c>
    </row>
    <row r="294">
      <c r="A294" t="inlineStr">
        <is>
          <t xml:space="preserve">   to a planting pattern that keeps the cooler under its ceiling — an answer v4 could not</t>
        </is>
      </c>
    </row>
    <row r="295">
      <c r="A295" t="inlineStr">
        <is>
          <t xml:space="preserve">   even represent.</t>
        </is>
      </c>
    </row>
    <row r="296">
      <c r="A296" t="inlineStr"/>
    </row>
    <row r="297">
      <c r="A297" s="3" t="inlineStr">
        <is>
          <t>WHAT v5 STILL DOES NOT CARRY</t>
        </is>
      </c>
    </row>
    <row r="298">
      <c r="A298" t="inlineStr">
        <is>
          <t xml:space="preserve">  - Costs are seed/transplant per acre ONLY: no labour, water, packaging, storage, overhead.</t>
        </is>
      </c>
    </row>
    <row r="299">
      <c r="A299" t="inlineStr">
        <is>
          <t xml:space="preserve">    Profit is therefore far too high. The cash layer is next.</t>
        </is>
      </c>
    </row>
    <row r="300">
      <c r="A300" t="inlineStr">
        <is>
          <t xml:space="preserve">  - No cash-flow constraint, so it can spend money it does not have.</t>
        </is>
      </c>
    </row>
    <row r="301">
      <c r="A301" t="inlineStr">
        <is>
          <t xml:space="preserve">  - Shelf life IS enforced now (a real constraint since you found it dead). Shrink is wired</t>
        </is>
      </c>
    </row>
    <row r="302">
      <c r="A302" t="inlineStr">
        <is>
          <t xml:space="preserve">    too, but defaults to 0%, so it stays invisible until you set it.</t>
        </is>
      </c>
    </row>
    <row r="303">
      <c r="A303" t="inlineStr">
        <is>
          <t xml:space="preserve">  - No water, labour, diversity or throughput limits.</t>
        </is>
      </c>
    </row>
    <row r="304">
      <c r="A304" t="inlineStr">
        <is>
          <t xml:space="preserve">  - Three crops, not seven.</t>
        </is>
      </c>
    </row>
    <row r="305">
      <c r="A305" t="inlineStr"/>
    </row>
    <row r="306">
      <c r="A306" s="3" t="inlineStr">
        <is>
          <t>!! THE SCALE WARNING</t>
        </is>
      </c>
    </row>
    <row r="307">
      <c r="A307" t="inlineStr">
        <is>
          <t>An optimizer's answer is far more scale-sensitive than a calculator's: which constraint binds,</t>
        </is>
      </c>
    </row>
    <row r="308">
      <c r="A308" t="inlineStr">
        <is>
          <t>and therefore which crop and which WEEK wins, can invert between 3 crops and 7. This teaches</t>
        </is>
      </c>
    </row>
    <row r="309">
      <c r="A309" t="inlineStr">
        <is>
          <t>the machinery. It is not advice about your farm.</t>
        </is>
      </c>
    </row>
    <row r="310">
      <c r="A310" t="inlineStr"/>
    </row>
    <row r="311">
      <c r="A311" s="3" t="inlineStr">
        <is>
          <t>HAS THIS SHEET BEEN CHECKED?</t>
        </is>
      </c>
    </row>
    <row r="312">
      <c r="A312" t="inlineStr">
        <is>
          <t>Yes. Crop data, the calendar and the demand caps are read from the app. The formulas are</t>
        </is>
      </c>
    </row>
    <row r="313">
      <c r="A313" t="inlineStr">
        <is>
          <t>calculated by an engine and compared cell by cell against an independent model under three</t>
        </is>
      </c>
    </row>
    <row r="314">
      <c r="A314" t="inlineStr">
        <is>
          <t>configurations. Every input is perturbed to prove it propagates. No number is frozen. And the</t>
        </is>
      </c>
    </row>
    <row r="315">
      <c r="A315" t="inlineStr">
        <is>
          <t>same MILP is solved with scipy.milp, its answer written into the decision cells, and the</t>
        </is>
      </c>
    </row>
    <row r="316">
      <c r="A316" t="inlineStr">
        <is>
          <t>sheet's own PROFIT cell must reproduce the optimum exactly.</t>
        </is>
      </c>
    </row>
    <row r="317">
      <c r="A317" t="inlineStr">
        <is>
          <t xml:space="preserve">     Run it yourself:   .venv/bin/python toy_models/verify_toy_v8.py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56"/>
  <sheetViews>
    <sheetView workbookViewId="0">
      <pane xSplit="4" topLeftCell="E1" activePane="topRight" state="frozen"/>
      <selection pane="topRight" activeCell="A1" sqref="A1"/>
    </sheetView>
  </sheetViews>
  <sheetFormatPr baseColWidth="8" defaultRowHeight="15"/>
  <cols>
    <col width="30" customWidth="1" min="1" max="1"/>
    <col width="14" customWidth="1" min="2" max="2"/>
    <col width="8" customWidth="1" min="3" max="3"/>
    <col width="6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11" customWidth="1" min="57" max="57"/>
    <col width="11" customWidth="1" min="58" max="58"/>
    <col width="11" customWidth="1" min="59" max="59"/>
  </cols>
  <sheetData>
    <row r="1">
      <c r="A1" s="1" t="inlineStr">
        <is>
          <t>FARM TOY MODEL — v9: the labour layer, rebuilt</t>
        </is>
      </c>
      <c r="D1" s="2" t="inlineStr">
        <is>
          <t>BUILT 2026-08-31 22:47   (from source at b20e718)</t>
        </is>
      </c>
    </row>
    <row r="2">
      <c r="A2" s="4" t="inlineStr">
        <is>
          <t>KEY:</t>
        </is>
      </c>
      <c r="B2" s="5" t="inlineStr">
        <is>
          <t>INPUT — you type here</t>
        </is>
      </c>
      <c r="F2" s="6" t="inlineStr">
        <is>
          <t>DECISION — the solver writes here</t>
        </is>
      </c>
      <c r="J2" s="7" t="inlineStr">
        <is>
          <t>CONSTRAINT — a limit and its room left</t>
        </is>
      </c>
      <c r="N2" s="8" t="inlineStr">
        <is>
          <t>OBJECTIVE — the cell being maximised</t>
        </is>
      </c>
    </row>
    <row r="3">
      <c r="A3" s="2" t="inlineStr">
        <is>
          <t>Everything else is grey. Read the 'READ ME' sheet first.</t>
        </is>
      </c>
    </row>
    <row r="5">
      <c r="A5" s="3" t="inlineStr">
        <is>
          <t>1 — THE FARM</t>
        </is>
      </c>
    </row>
    <row r="6">
      <c r="A6" s="4" t="inlineStr">
        <is>
          <t>Land you have</t>
        </is>
      </c>
      <c r="B6" s="9" t="n">
        <v>80</v>
      </c>
      <c r="C6" s="2" t="inlineStr">
        <is>
          <t>acres</t>
        </is>
      </c>
    </row>
    <row r="7">
      <c r="A7" s="4" t="inlineStr">
        <is>
          <t>Cold store (cooler)</t>
        </is>
      </c>
      <c r="B7" s="10" t="n">
        <v>275</v>
      </c>
      <c r="C7" s="2" t="inlineStr">
        <is>
          <t>m3 — Spinach, Kale</t>
        </is>
      </c>
    </row>
    <row r="8">
      <c r="A8" s="4" t="inlineStr">
        <is>
          <t>Ambient store (barn)</t>
        </is>
      </c>
      <c r="B8" s="10" t="n">
        <v>150</v>
      </c>
      <c r="C8" s="2" t="inlineStr">
        <is>
          <t>m3 — Garlic</t>
        </is>
      </c>
    </row>
    <row r="10">
      <c r="A10" s="3" t="inlineStr">
        <is>
          <t>2 — HOW EACH CROP BEHAVES</t>
        </is>
      </c>
    </row>
    <row r="11">
      <c r="A11" s="11" t="inlineStr">
        <is>
          <t>Crop</t>
        </is>
      </c>
      <c r="B11" s="11" t="inlineStr">
        <is>
          <t>Yield lb/acre</t>
        </is>
      </c>
      <c r="C11" s="11" t="inlineStr">
        <is>
          <t>Pack-out</t>
        </is>
      </c>
      <c r="D11" s="11" t="inlineStr">
        <is>
          <t>m3 per lb</t>
        </is>
      </c>
      <c r="E11" s="11" t="inlineStr">
        <is>
          <t>Store</t>
        </is>
      </c>
      <c r="F11" s="11" t="inlineStr">
        <is>
          <t>Shelf life wk</t>
        </is>
      </c>
      <c r="G11" s="11" t="inlineStr">
        <is>
          <t>Shrink %/wk</t>
        </is>
      </c>
      <c r="H11" s="11" t="inlineStr">
        <is>
          <t>Seed $/acre</t>
        </is>
      </c>
      <c r="I11" s="11" t="inlineStr">
        <is>
          <t>Min acres if planted</t>
        </is>
      </c>
      <c r="J11" s="11" t="inlineStr">
        <is>
          <t>Harvest weeks</t>
        </is>
      </c>
      <c r="K11" s="11" t="inlineStr">
        <is>
          <t>$/ac plant wk</t>
        </is>
      </c>
      <c r="L11" s="11" t="inlineStr">
        <is>
          <t>$/ac grow wk</t>
        </is>
      </c>
      <c r="M11" s="11" t="inlineStr">
        <is>
          <t>$/ac harvest wk</t>
        </is>
      </c>
      <c r="N11" s="11" t="inlineStr">
        <is>
          <t>hrs/ac plant</t>
        </is>
      </c>
      <c r="O11" s="11" t="inlineStr">
        <is>
          <t>hrs/ac grow</t>
        </is>
      </c>
      <c r="P11" s="11" t="inlineStr">
        <is>
          <t>hrs/ac harvest</t>
        </is>
      </c>
    </row>
    <row r="12">
      <c r="A12" s="12" t="inlineStr">
        <is>
          <t>Spinach</t>
        </is>
      </c>
      <c r="B12" s="10" t="n">
        <v>5000</v>
      </c>
      <c r="C12" s="13" t="n">
        <v>1</v>
      </c>
      <c r="D12" s="14" t="n">
        <v>0.002197967741935484</v>
      </c>
      <c r="E12" s="15" t="inlineStr">
        <is>
          <t>Cold</t>
        </is>
      </c>
      <c r="F12" s="16" t="n">
        <v>2</v>
      </c>
      <c r="G12" s="17" t="n">
        <v>0</v>
      </c>
      <c r="H12" s="18" t="n">
        <v>280</v>
      </c>
      <c r="I12" s="9" t="n">
        <v>2</v>
      </c>
      <c r="J12" s="19">
        <f>COUNTIF($E$58:$BD$58,"H")</f>
        <v/>
      </c>
      <c r="K12" s="20" t="n">
        <v>33.895</v>
      </c>
      <c r="L12" s="20" t="n">
        <v>13.32</v>
      </c>
      <c r="M12" s="20" t="n">
        <v>11.285</v>
      </c>
      <c r="N12" s="9" t="n">
        <v>2</v>
      </c>
      <c r="O12" s="9" t="n">
        <v>4</v>
      </c>
      <c r="P12" s="9" t="n">
        <v>50</v>
      </c>
    </row>
    <row r="13">
      <c r="A13" s="12" t="inlineStr">
        <is>
          <t>Kale</t>
        </is>
      </c>
      <c r="B13" s="10" t="n">
        <v>8000</v>
      </c>
      <c r="C13" s="13" t="n">
        <v>1</v>
      </c>
      <c r="D13" s="14" t="n">
        <v>0.003785388888888889</v>
      </c>
      <c r="E13" s="15" t="inlineStr">
        <is>
          <t>Cold</t>
        </is>
      </c>
      <c r="F13" s="16" t="n">
        <v>2</v>
      </c>
      <c r="G13" s="17" t="n">
        <v>0</v>
      </c>
      <c r="H13" s="18" t="n">
        <v>1089</v>
      </c>
      <c r="I13" s="9" t="n">
        <v>2</v>
      </c>
      <c r="J13" s="19">
        <f>COUNTIF($E$93:$BD$93,"H")</f>
        <v/>
      </c>
      <c r="K13" s="20" t="n">
        <v>46.64</v>
      </c>
      <c r="L13" s="20" t="n">
        <v>11.469</v>
      </c>
      <c r="M13" s="20" t="n">
        <v>10.08</v>
      </c>
      <c r="N13" s="9" t="n">
        <v>3</v>
      </c>
      <c r="O13" s="9" t="n">
        <v>2.5</v>
      </c>
      <c r="P13" s="9" t="n">
        <v>22</v>
      </c>
    </row>
    <row r="14">
      <c r="A14" s="12" t="inlineStr">
        <is>
          <t>Garlic</t>
        </is>
      </c>
      <c r="B14" s="10" t="n">
        <v>10000</v>
      </c>
      <c r="C14" s="13" t="n">
        <v>1</v>
      </c>
      <c r="D14" s="14" t="n">
        <v>0.001195385964912281</v>
      </c>
      <c r="E14" s="21" t="inlineStr">
        <is>
          <t>Ambient</t>
        </is>
      </c>
      <c r="F14" s="16" t="n">
        <v>16</v>
      </c>
      <c r="G14" s="17" t="n">
        <v>0</v>
      </c>
      <c r="H14" s="18" t="n">
        <v>2500</v>
      </c>
      <c r="I14" s="9" t="n">
        <v>2</v>
      </c>
      <c r="J14" s="19">
        <f>COUNTIF($E$123:$BD$123,"H")</f>
        <v/>
      </c>
      <c r="K14" s="20" t="n">
        <v>19.4194</v>
      </c>
      <c r="L14" s="20" t="n">
        <v>4.1688</v>
      </c>
      <c r="M14" s="20" t="n">
        <v>19.75</v>
      </c>
      <c r="N14" s="9" t="n">
        <v>6.7</v>
      </c>
      <c r="O14" s="9" t="n">
        <v>0.3</v>
      </c>
      <c r="P14" s="9" t="n">
        <v>75</v>
      </c>
    </row>
    <row r="15">
      <c r="A15" s="2" t="inlineStr">
        <is>
          <t>'Min acres if planted' is what the plant/don't-plant switch enforces — see section 4.</t>
        </is>
      </c>
    </row>
    <row r="17">
      <c r="A17" s="3" t="inlineStr">
        <is>
          <t>3 — WHO BUYS IT   (one row per crop x channel — the grower's ruling)</t>
        </is>
      </c>
    </row>
    <row r="18">
      <c r="A18" s="11" t="inlineStr">
        <is>
          <t>Crop</t>
        </is>
      </c>
      <c r="B18" s="11" t="inlineStr">
        <is>
          <t>Channel</t>
        </is>
      </c>
      <c r="C18" s="11" t="inlineStr">
        <is>
          <t>Cap type</t>
        </is>
      </c>
      <c r="D18" s="11" t="inlineStr">
        <is>
          <t>Cap lb</t>
        </is>
      </c>
      <c r="E18" s="11" t="inlineStr">
        <is>
          <t>From wk</t>
        </is>
      </c>
      <c r="F18" s="11" t="inlineStr">
        <is>
          <t>To wk</t>
        </is>
      </c>
      <c r="G18" s="11" t="inlineStr">
        <is>
          <t>Sell-through</t>
        </is>
      </c>
      <c r="H18" s="11" t="inlineStr">
        <is>
          <t>Returns to store</t>
        </is>
      </c>
      <c r="I18" s="11" t="inlineStr">
        <is>
          <t>Price $/lb</t>
        </is>
      </c>
      <c r="J18" s="11" t="inlineStr">
        <is>
          <t>Packaging $/lb</t>
        </is>
      </c>
    </row>
    <row r="19">
      <c r="A19" s="12" t="inlineStr">
        <is>
          <t>Spinach</t>
        </is>
      </c>
      <c r="B19" s="15" t="inlineStr">
        <is>
          <t>Farmers Market</t>
        </is>
      </c>
      <c r="C19" s="16" t="inlineStr">
        <is>
          <t>Weekly</t>
        </is>
      </c>
      <c r="D19" s="10" t="n">
        <v>6000</v>
      </c>
      <c r="E19" s="16" t="n">
        <v>10</v>
      </c>
      <c r="F19" s="16" t="n">
        <v>48</v>
      </c>
      <c r="G19" s="13" t="n">
        <v>1</v>
      </c>
      <c r="H19" s="13" t="n">
        <v>0</v>
      </c>
      <c r="I19" s="20" t="n">
        <v>2.75</v>
      </c>
      <c r="J19" s="20" t="n">
        <v>0.18</v>
      </c>
    </row>
    <row r="20">
      <c r="A20" s="12" t="inlineStr">
        <is>
          <t>Spinach</t>
        </is>
      </c>
      <c r="B20" s="21" t="inlineStr">
        <is>
          <t>Wholesale</t>
        </is>
      </c>
      <c r="C20" s="16" t="inlineStr">
        <is>
          <t>Weekly</t>
        </is>
      </c>
      <c r="D20" s="10" t="n">
        <v>25000</v>
      </c>
      <c r="E20" s="16" t="n">
        <v>1</v>
      </c>
      <c r="F20" s="16" t="n">
        <v>52</v>
      </c>
      <c r="G20" s="13" t="n">
        <v>1</v>
      </c>
      <c r="H20" s="13" t="n">
        <v>0</v>
      </c>
      <c r="I20" s="20" t="n">
        <v>1</v>
      </c>
      <c r="J20" s="20" t="n">
        <v>0.09</v>
      </c>
    </row>
    <row r="21">
      <c r="A21" s="12" t="inlineStr">
        <is>
          <t>Kale</t>
        </is>
      </c>
      <c r="B21" s="15" t="inlineStr">
        <is>
          <t>Farmers Market</t>
        </is>
      </c>
      <c r="C21" s="16" t="inlineStr">
        <is>
          <t>Weekly</t>
        </is>
      </c>
      <c r="D21" s="10" t="n">
        <v>3500</v>
      </c>
      <c r="E21" s="16" t="n">
        <v>10</v>
      </c>
      <c r="F21" s="16" t="n">
        <v>50</v>
      </c>
      <c r="G21" s="13" t="n">
        <v>1</v>
      </c>
      <c r="H21" s="13" t="n">
        <v>0</v>
      </c>
      <c r="I21" s="20" t="n">
        <v>2</v>
      </c>
      <c r="J21" s="20" t="n">
        <v>0.14</v>
      </c>
    </row>
    <row r="22">
      <c r="A22" s="12" t="inlineStr">
        <is>
          <t>Kale</t>
        </is>
      </c>
      <c r="B22" s="21" t="inlineStr">
        <is>
          <t>Wholesale</t>
        </is>
      </c>
      <c r="C22" s="16" t="inlineStr">
        <is>
          <t>Annual</t>
        </is>
      </c>
      <c r="D22" s="10" t="n">
        <v>500000</v>
      </c>
      <c r="E22" s="16" t="n">
        <v>1</v>
      </c>
      <c r="F22" s="16" t="n">
        <v>52</v>
      </c>
      <c r="G22" s="13" t="n">
        <v>1</v>
      </c>
      <c r="H22" s="13" t="n">
        <v>0</v>
      </c>
      <c r="I22" s="20" t="n">
        <v>0.7</v>
      </c>
      <c r="J22" s="20" t="n">
        <v>0.07000000000000001</v>
      </c>
    </row>
    <row r="23">
      <c r="A23" s="12" t="inlineStr">
        <is>
          <t>Garlic</t>
        </is>
      </c>
      <c r="B23" s="15" t="inlineStr">
        <is>
          <t>Farmers Market</t>
        </is>
      </c>
      <c r="C23" s="16" t="inlineStr">
        <is>
          <t>Weekly</t>
        </is>
      </c>
      <c r="D23" s="10" t="n">
        <v>2000</v>
      </c>
      <c r="E23" s="16" t="n">
        <v>22</v>
      </c>
      <c r="F23" s="16" t="n">
        <v>35</v>
      </c>
      <c r="G23" s="13" t="n">
        <v>1</v>
      </c>
      <c r="H23" s="13" t="n">
        <v>1</v>
      </c>
      <c r="I23" s="20" t="n">
        <v>6</v>
      </c>
      <c r="J23" s="20" t="n">
        <v>0.4</v>
      </c>
    </row>
    <row r="24">
      <c r="A24" s="12" t="inlineStr">
        <is>
          <t>Garlic</t>
        </is>
      </c>
      <c r="B24" s="21" t="inlineStr">
        <is>
          <t>Wholesale</t>
        </is>
      </c>
      <c r="C24" s="16" t="inlineStr">
        <is>
          <t>Weekly</t>
        </is>
      </c>
      <c r="D24" s="10" t="n">
        <v>30000</v>
      </c>
      <c r="E24" s="16" t="n">
        <v>1</v>
      </c>
      <c r="F24" s="16" t="n">
        <v>52</v>
      </c>
      <c r="G24" s="13" t="n">
        <v>1</v>
      </c>
      <c r="H24" s="13" t="n">
        <v>0</v>
      </c>
      <c r="I24" s="20" t="n">
        <v>2.75</v>
      </c>
      <c r="J24" s="20" t="n">
        <v>0.2</v>
      </c>
    </row>
    <row r="26">
      <c r="A26" s="3" t="inlineStr">
        <is>
          <t>3b — THE CREW</t>
        </is>
      </c>
    </row>
    <row r="27">
      <c r="A27" s="11" t="inlineStr">
        <is>
          <t>Position</t>
        </is>
      </c>
      <c r="B27" s="11" t="inlineStr">
        <is>
          <t>Count</t>
        </is>
      </c>
      <c r="C27" s="11" t="inlineStr">
        <is>
          <t>Type</t>
        </is>
      </c>
      <c r="D27" s="11" t="inlineStr">
        <is>
          <t>Wage</t>
        </is>
      </c>
      <c r="E27" s="11" t="inlineStr">
        <is>
          <t>Hours/wk</t>
        </is>
      </c>
      <c r="F27" s="11" t="inlineStr">
        <is>
          <t>Field time %</t>
        </is>
      </c>
      <c r="G27" s="11" t="inlineStr">
        <is>
          <t>From wk</t>
        </is>
      </c>
      <c r="H27" s="11" t="inlineStr">
        <is>
          <t>To wk</t>
        </is>
      </c>
    </row>
    <row r="28">
      <c r="A28" s="12" t="inlineStr">
        <is>
          <t>Farm Manager</t>
        </is>
      </c>
      <c r="B28" s="22" t="n">
        <v>1</v>
      </c>
      <c r="C28" s="12" t="inlineStr">
        <is>
          <t>salary</t>
        </is>
      </c>
      <c r="D28" s="18" t="n">
        <v>95000</v>
      </c>
      <c r="E28" s="22" t="n">
        <v>45</v>
      </c>
      <c r="F28" s="22" t="n">
        <v>80</v>
      </c>
      <c r="G28" s="22" t="n">
        <v>1</v>
      </c>
      <c r="H28" s="22" t="n">
        <v>52</v>
      </c>
    </row>
    <row r="29">
      <c r="A29" s="12" t="inlineStr">
        <is>
          <t>Equipment Operator</t>
        </is>
      </c>
      <c r="B29" s="22" t="n">
        <v>2</v>
      </c>
      <c r="C29" s="12" t="inlineStr">
        <is>
          <t>hourly</t>
        </is>
      </c>
      <c r="D29" s="18" t="n">
        <v>26</v>
      </c>
      <c r="E29" s="22" t="n">
        <v>40</v>
      </c>
      <c r="F29" s="22" t="n">
        <v>90</v>
      </c>
      <c r="G29" s="22" t="n">
        <v>1</v>
      </c>
      <c r="H29" s="22" t="n">
        <v>52</v>
      </c>
    </row>
    <row r="30">
      <c r="A30" s="12" t="inlineStr">
        <is>
          <t>Seasonal Field Crew</t>
        </is>
      </c>
      <c r="B30" s="22" t="n">
        <v>12</v>
      </c>
      <c r="C30" s="12" t="inlineStr">
        <is>
          <t>seasonal</t>
        </is>
      </c>
      <c r="D30" s="18" t="n">
        <v>20</v>
      </c>
      <c r="E30" s="22" t="n">
        <v>40</v>
      </c>
      <c r="F30" s="22" t="n">
        <v>100</v>
      </c>
      <c r="G30" s="22" t="n">
        <v>10</v>
      </c>
      <c r="H30" s="22" t="n">
        <v>42</v>
      </c>
    </row>
    <row r="31">
      <c r="A31" s="12" t="inlineStr">
        <is>
          <t>Harvest Crew</t>
        </is>
      </c>
      <c r="B31" s="22" t="n">
        <v>8</v>
      </c>
      <c r="C31" s="12" t="inlineStr">
        <is>
          <t>seasonal</t>
        </is>
      </c>
      <c r="D31" s="18" t="n">
        <v>19</v>
      </c>
      <c r="E31" s="22" t="n">
        <v>40</v>
      </c>
      <c r="F31" s="22" t="n">
        <v>100</v>
      </c>
      <c r="G31" s="22" t="n">
        <v>14</v>
      </c>
      <c r="H31" s="22" t="n">
        <v>40</v>
      </c>
    </row>
    <row r="32">
      <c r="A32" s="4" t="inlineStr">
        <is>
          <t>Payroll load %</t>
        </is>
      </c>
      <c r="B32" s="23" t="n">
        <v>0.25</v>
      </c>
      <c r="C32" s="2" t="inlineStr">
        <is>
          <t>employer taxes, workers' comp, benefits — applied to EVERY wage, salaried included</t>
        </is>
      </c>
    </row>
    <row r="33">
      <c r="A33" s="4" t="inlineStr">
        <is>
          <t>Overtime multiplier</t>
        </is>
      </c>
      <c r="B33" s="13" t="n">
        <v>1.5</v>
      </c>
      <c r="C33" s="2" t="inlineStr">
        <is>
          <t>your own crew staying late, on top of their blended hourly rate</t>
        </is>
      </c>
    </row>
    <row r="34">
      <c r="A34" s="4" t="inlineStr">
        <is>
          <t>Overtime ALLOWANCE</t>
        </is>
      </c>
      <c r="B34" s="13" t="n">
        <v>1.25</v>
      </c>
      <c r="C34" s="2" t="inlineStr">
        <is>
          <t>1.25 = 'I will let people work 125% of normal hours'. ⚠️ v9 REPLACED a typed hours cap with this. The cap is now DERIVED per week — see the Overtime cap row.</t>
        </is>
      </c>
    </row>
    <row r="35">
      <c r="A35" s="2" t="inlineStr">
        <is>
          <t xml:space="preserve">   v8 typed a flat 200 hrs/week here. On the app's own farm that let 15 of 52 weeks buy MORE overtime than the whole crew's regular hours (185% in winter), and the app's solver took it: 191 overtime hours against 299 crew hours in one week.</t>
        </is>
      </c>
    </row>
    <row r="36">
      <c r="A36" s="2" t="inlineStr">
        <is>
          <t xml:space="preserve">   No flat number can express the rule, because the crew swings 108 to 908 hrs/wk across the year. That is why it is an allowance and not an amount.</t>
        </is>
      </c>
    </row>
    <row r="38">
      <c r="A38" s="3" t="inlineStr">
        <is>
          <t>3c — THE ADVISORY CREW  ("what should I hire, and when?")</t>
        </is>
      </c>
    </row>
    <row r="39">
      <c r="A39" s="2" t="inlineStr">
        <is>
          <t xml:space="preserve">   You nominate the WINDOW; the solver picks the HEADCOUNT. The answer is a roster row you can type into 3b above and re-solve.</t>
        </is>
      </c>
    </row>
    <row r="40">
      <c r="A40" s="2" t="inlineStr">
        <is>
          <t xml:space="preserve">   ⚠️ CHARGED FOR THE WHOLE WINDOW, used or not. That is what makes it a hire and not a spot purchase, and it is the same treatment the standing crew gets (W12).</t>
        </is>
      </c>
    </row>
    <row r="41">
      <c r="A41" s="2" t="inlineStr">
        <is>
          <t xml:space="preserve">   Real hiring is a committed block: H-2A wants 60-75 days of lead and guarantees the worker 3/4 of the contract's hours; domestic seasonal wants 8-10 weeks.</t>
        </is>
      </c>
    </row>
    <row r="42">
      <c r="B42" s="11" t="inlineStr">
        <is>
          <t>From wk</t>
        </is>
      </c>
      <c r="C42" s="11" t="inlineStr">
        <is>
          <t>To wk</t>
        </is>
      </c>
      <c r="D42" s="11" t="inlineStr">
        <is>
          <t>Hours/wk each</t>
        </is>
      </c>
      <c r="E42" s="11" t="inlineStr">
        <is>
          <t>Field time %</t>
        </is>
      </c>
      <c r="F42" s="11" t="inlineStr">
        <is>
          <t>Wage $/hr</t>
        </is>
      </c>
      <c r="G42" s="11" t="inlineStr">
        <is>
          <t>Max people available</t>
        </is>
      </c>
    </row>
    <row r="43">
      <c r="A43" s="4" t="inlineStr">
        <is>
          <t>Advisory crew</t>
        </is>
      </c>
      <c r="B43" s="22" t="n">
        <v>43</v>
      </c>
      <c r="C43" s="22" t="n">
        <v>49</v>
      </c>
      <c r="D43" s="22" t="n">
        <v>40</v>
      </c>
      <c r="E43" s="22" t="n">
        <v>100</v>
      </c>
      <c r="F43" s="20" t="n">
        <v>20</v>
      </c>
      <c r="G43" s="22" t="n">
        <v>20</v>
      </c>
    </row>
    <row r="44">
      <c r="A44" s="24" t="inlineStr">
        <is>
          <t>PEOPLE TO HIRE</t>
        </is>
      </c>
      <c r="B44" s="25" t="n">
        <v>0</v>
      </c>
      <c r="C44" s="2" t="inlineStr">
        <is>
          <t>&lt;-- SOLVER (whole people, an INTEGER — 'hire 7.3 people' is not an instruction)</t>
        </is>
      </c>
    </row>
    <row r="45">
      <c r="A45" s="26" t="inlineStr">
        <is>
          <t>Cost per person per week</t>
        </is>
      </c>
      <c r="B45" s="27">
        <f>$D$43*$F$43*(1+$B$32)</f>
        <v/>
      </c>
    </row>
    <row r="46">
      <c r="A46" s="26" t="inlineStr">
        <is>
          <t>Weeks in the window</t>
        </is>
      </c>
      <c r="B46" s="19">
        <f>$C$43-$B$43+1</f>
        <v/>
      </c>
    </row>
    <row r="47">
      <c r="A47" s="4" t="inlineStr">
        <is>
          <t>TOTAL committed cost</t>
        </is>
      </c>
      <c r="B47" s="27">
        <f>$B$44*$B$45*$B$46</f>
        <v/>
      </c>
    </row>
    <row r="48">
      <c r="A48" s="28" t="inlineStr">
        <is>
          <t>Room left to hire</t>
        </is>
      </c>
      <c r="B48" s="29">
        <f>$G$43-$B$44</f>
        <v/>
      </c>
      <c r="C48" s="2" t="inlineStr">
        <is>
          <t>how many more hands you said you could find — the availability question the research says is the real uncertainty</t>
        </is>
      </c>
    </row>
    <row r="49">
      <c r="A49" s="2" t="inlineStr">
        <is>
          <t xml:space="preserve">   ⚠️ The window is YOUR call and it matters more than the headcount. Measured on this farm: hiring into weeks 16-21, where C2 binds for six weeks straight, is worth $5. Weeks 43-49 are worth $58,253.</t>
        </is>
      </c>
    </row>
    <row r="50">
      <c r="A50" s="2" t="inlineStr">
        <is>
          <t xml:space="preserve">   A week where labour BINDS is not the same as a week where more labour PAYS, and reading the binding weeks off the sheet would send you to the wrong one.</t>
        </is>
      </c>
    </row>
    <row r="52">
      <c r="A52" s="2" t="inlineStr">
        <is>
          <t>A salary wage is $/YEAR; hourly and seasonal are $/HOUR. 'Field time %' is the share of paid hours available to the crops —</t>
        </is>
      </c>
    </row>
    <row r="53">
      <c r="A53" s="2" t="inlineStr">
        <is>
          <t>the rest is admin and maintenance. It reduces CAPACITY without reducing the WAGE.</t>
        </is>
      </c>
    </row>
    <row r="55">
      <c r="A55" s="3" t="inlineStr">
        <is>
          <t>4 — THE PLANTING CALENDAR   (68 possible plantings — the solver picks)</t>
        </is>
      </c>
    </row>
    <row r="56">
      <c r="A56" s="2" t="inlineStr">
        <is>
          <t>One row per legal start week, exactly what the app's generator offers. ACRES and PLANT? are both decisions.</t>
        </is>
      </c>
    </row>
    <row r="57">
      <c r="A57" s="30" t="inlineStr">
        <is>
          <t>Succession</t>
        </is>
      </c>
      <c r="B57" s="30" t="inlineStr">
        <is>
          <t>Crop</t>
        </is>
      </c>
      <c r="C57" s="24" t="inlineStr">
        <is>
          <t>ACRES</t>
        </is>
      </c>
      <c r="D57" s="24" t="inlineStr">
        <is>
          <t>PLANT?</t>
        </is>
      </c>
      <c r="E57" s="31" t="n">
        <v>1</v>
      </c>
      <c r="F57" s="31" t="n">
        <v>2</v>
      </c>
      <c r="G57" s="31" t="n">
        <v>3</v>
      </c>
      <c r="H57" s="31" t="n">
        <v>4</v>
      </c>
      <c r="I57" s="31" t="n">
        <v>5</v>
      </c>
      <c r="J57" s="31" t="n">
        <v>6</v>
      </c>
      <c r="K57" s="31" t="n">
        <v>7</v>
      </c>
      <c r="L57" s="31" t="n">
        <v>8</v>
      </c>
      <c r="M57" s="31" t="n">
        <v>9</v>
      </c>
      <c r="N57" s="31" t="n">
        <v>10</v>
      </c>
      <c r="O57" s="31" t="n">
        <v>11</v>
      </c>
      <c r="P57" s="31" t="n">
        <v>12</v>
      </c>
      <c r="Q57" s="31" t="n">
        <v>13</v>
      </c>
      <c r="R57" s="31" t="n">
        <v>14</v>
      </c>
      <c r="S57" s="31" t="n">
        <v>15</v>
      </c>
      <c r="T57" s="31" t="n">
        <v>16</v>
      </c>
      <c r="U57" s="31" t="n">
        <v>17</v>
      </c>
      <c r="V57" s="31" t="n">
        <v>18</v>
      </c>
      <c r="W57" s="31" t="n">
        <v>19</v>
      </c>
      <c r="X57" s="31" t="n">
        <v>20</v>
      </c>
      <c r="Y57" s="31" t="n">
        <v>21</v>
      </c>
      <c r="Z57" s="31" t="n">
        <v>22</v>
      </c>
      <c r="AA57" s="31" t="n">
        <v>23</v>
      </c>
      <c r="AB57" s="31" t="n">
        <v>24</v>
      </c>
      <c r="AC57" s="31" t="n">
        <v>25</v>
      </c>
      <c r="AD57" s="31" t="n">
        <v>26</v>
      </c>
      <c r="AE57" s="31" t="n">
        <v>27</v>
      </c>
      <c r="AF57" s="31" t="n">
        <v>28</v>
      </c>
      <c r="AG57" s="31" t="n">
        <v>29</v>
      </c>
      <c r="AH57" s="31" t="n">
        <v>30</v>
      </c>
      <c r="AI57" s="31" t="n">
        <v>31</v>
      </c>
      <c r="AJ57" s="31" t="n">
        <v>32</v>
      </c>
      <c r="AK57" s="31" t="n">
        <v>33</v>
      </c>
      <c r="AL57" s="31" t="n">
        <v>34</v>
      </c>
      <c r="AM57" s="31" t="n">
        <v>35</v>
      </c>
      <c r="AN57" s="31" t="n">
        <v>36</v>
      </c>
      <c r="AO57" s="31" t="n">
        <v>37</v>
      </c>
      <c r="AP57" s="31" t="n">
        <v>38</v>
      </c>
      <c r="AQ57" s="31" t="n">
        <v>39</v>
      </c>
      <c r="AR57" s="31" t="n">
        <v>40</v>
      </c>
      <c r="AS57" s="31" t="n">
        <v>41</v>
      </c>
      <c r="AT57" s="31" t="n">
        <v>42</v>
      </c>
      <c r="AU57" s="31" t="n">
        <v>43</v>
      </c>
      <c r="AV57" s="31" t="n">
        <v>44</v>
      </c>
      <c r="AW57" s="31" t="n">
        <v>45</v>
      </c>
      <c r="AX57" s="31" t="n">
        <v>46</v>
      </c>
      <c r="AY57" s="31" t="n">
        <v>47</v>
      </c>
      <c r="AZ57" s="31" t="n">
        <v>48</v>
      </c>
      <c r="BA57" s="31" t="n">
        <v>49</v>
      </c>
      <c r="BB57" s="31" t="n">
        <v>50</v>
      </c>
      <c r="BC57" s="31" t="n">
        <v>51</v>
      </c>
      <c r="BD57" s="31" t="n">
        <v>52</v>
      </c>
      <c r="BE57" s="32" t="inlineStr">
        <is>
          <t>max if planted</t>
        </is>
      </c>
      <c r="BF57" s="32" t="inlineStr">
        <is>
          <t>min if planted</t>
        </is>
      </c>
      <c r="BG57" s="32" t="inlineStr">
        <is>
          <t>starts wk</t>
        </is>
      </c>
    </row>
    <row r="58">
      <c r="A58" s="26" t="inlineStr">
        <is>
          <t>Spinach W05</t>
        </is>
      </c>
      <c r="B58" s="26" t="inlineStr">
        <is>
          <t>Spinach</t>
        </is>
      </c>
      <c r="C58" s="33" t="n">
        <v>0</v>
      </c>
      <c r="D58" s="34" t="n">
        <v>0</v>
      </c>
      <c r="I58" s="35" t="inlineStr">
        <is>
          <t>P</t>
        </is>
      </c>
      <c r="J58" s="35" t="inlineStr">
        <is>
          <t>G</t>
        </is>
      </c>
      <c r="K58" s="35" t="inlineStr">
        <is>
          <t>G</t>
        </is>
      </c>
      <c r="L58" s="35" t="inlineStr">
        <is>
          <t>G</t>
        </is>
      </c>
      <c r="M58" s="35" t="inlineStr">
        <is>
          <t>G</t>
        </is>
      </c>
      <c r="N58" s="35" t="inlineStr">
        <is>
          <t>G</t>
        </is>
      </c>
      <c r="O58" s="35" t="inlineStr">
        <is>
          <t>H</t>
        </is>
      </c>
      <c r="P58" s="35" t="inlineStr">
        <is>
          <t>H</t>
        </is>
      </c>
      <c r="BE58" s="36">
        <f>D58*$B$6</f>
        <v/>
      </c>
      <c r="BF58" s="36">
        <f>D58*$I$12</f>
        <v/>
      </c>
      <c r="BG58" s="37">
        <f>MATCH("P",$E58:$BD58,0)</f>
        <v/>
      </c>
    </row>
    <row r="59">
      <c r="A59" s="26" t="inlineStr">
        <is>
          <t>Spinach W06</t>
        </is>
      </c>
      <c r="B59" s="26" t="inlineStr">
        <is>
          <t>Spinach</t>
        </is>
      </c>
      <c r="C59" s="33" t="n">
        <v>0</v>
      </c>
      <c r="D59" s="34" t="n">
        <v>0</v>
      </c>
      <c r="J59" s="35" t="inlineStr">
        <is>
          <t>P</t>
        </is>
      </c>
      <c r="K59" s="35" t="inlineStr">
        <is>
          <t>G</t>
        </is>
      </c>
      <c r="L59" s="35" t="inlineStr">
        <is>
          <t>G</t>
        </is>
      </c>
      <c r="M59" s="35" t="inlineStr">
        <is>
          <t>G</t>
        </is>
      </c>
      <c r="N59" s="35" t="inlineStr">
        <is>
          <t>G</t>
        </is>
      </c>
      <c r="O59" s="35" t="inlineStr">
        <is>
          <t>G</t>
        </is>
      </c>
      <c r="P59" s="35" t="inlineStr">
        <is>
          <t>H</t>
        </is>
      </c>
      <c r="Q59" s="35" t="inlineStr">
        <is>
          <t>H</t>
        </is>
      </c>
      <c r="BE59" s="36">
        <f>D59*$B$6</f>
        <v/>
      </c>
      <c r="BF59" s="36">
        <f>D59*$I$12</f>
        <v/>
      </c>
      <c r="BG59" s="37">
        <f>MATCH("P",$E59:$BD59,0)</f>
        <v/>
      </c>
    </row>
    <row r="60">
      <c r="A60" s="26" t="inlineStr">
        <is>
          <t>Spinach W07</t>
        </is>
      </c>
      <c r="B60" s="26" t="inlineStr">
        <is>
          <t>Spinach</t>
        </is>
      </c>
      <c r="C60" s="33" t="n">
        <v>0</v>
      </c>
      <c r="D60" s="34" t="n">
        <v>0</v>
      </c>
      <c r="K60" s="35" t="inlineStr">
        <is>
          <t>P</t>
        </is>
      </c>
      <c r="L60" s="35" t="inlineStr">
        <is>
          <t>G</t>
        </is>
      </c>
      <c r="M60" s="35" t="inlineStr">
        <is>
          <t>G</t>
        </is>
      </c>
      <c r="N60" s="35" t="inlineStr">
        <is>
          <t>G</t>
        </is>
      </c>
      <c r="O60" s="35" t="inlineStr">
        <is>
          <t>G</t>
        </is>
      </c>
      <c r="P60" s="35" t="inlineStr">
        <is>
          <t>G</t>
        </is>
      </c>
      <c r="Q60" s="35" t="inlineStr">
        <is>
          <t>H</t>
        </is>
      </c>
      <c r="R60" s="35" t="inlineStr">
        <is>
          <t>H</t>
        </is>
      </c>
      <c r="BE60" s="36">
        <f>D60*$B$6</f>
        <v/>
      </c>
      <c r="BF60" s="36">
        <f>D60*$I$12</f>
        <v/>
      </c>
      <c r="BG60" s="37">
        <f>MATCH("P",$E60:$BD60,0)</f>
        <v/>
      </c>
    </row>
    <row r="61">
      <c r="A61" s="26" t="inlineStr">
        <is>
          <t>Spinach W08</t>
        </is>
      </c>
      <c r="B61" s="26" t="inlineStr">
        <is>
          <t>Spinach</t>
        </is>
      </c>
      <c r="C61" s="33" t="n">
        <v>0</v>
      </c>
      <c r="D61" s="34" t="n">
        <v>0</v>
      </c>
      <c r="L61" s="35" t="inlineStr">
        <is>
          <t>P</t>
        </is>
      </c>
      <c r="M61" s="35" t="inlineStr">
        <is>
          <t>G</t>
        </is>
      </c>
      <c r="N61" s="35" t="inlineStr">
        <is>
          <t>G</t>
        </is>
      </c>
      <c r="O61" s="35" t="inlineStr">
        <is>
          <t>G</t>
        </is>
      </c>
      <c r="P61" s="35" t="inlineStr">
        <is>
          <t>G</t>
        </is>
      </c>
      <c r="Q61" s="35" t="inlineStr">
        <is>
          <t>G</t>
        </is>
      </c>
      <c r="R61" s="35" t="inlineStr">
        <is>
          <t>H</t>
        </is>
      </c>
      <c r="S61" s="35" t="inlineStr">
        <is>
          <t>H</t>
        </is>
      </c>
      <c r="BE61" s="36">
        <f>D61*$B$6</f>
        <v/>
      </c>
      <c r="BF61" s="36">
        <f>D61*$I$12</f>
        <v/>
      </c>
      <c r="BG61" s="37">
        <f>MATCH("P",$E61:$BD61,0)</f>
        <v/>
      </c>
    </row>
    <row r="62">
      <c r="A62" s="26" t="inlineStr">
        <is>
          <t>Spinach W09</t>
        </is>
      </c>
      <c r="B62" s="26" t="inlineStr">
        <is>
          <t>Spinach</t>
        </is>
      </c>
      <c r="C62" s="33" t="n">
        <v>0</v>
      </c>
      <c r="D62" s="34" t="n">
        <v>0</v>
      </c>
      <c r="M62" s="35" t="inlineStr">
        <is>
          <t>P</t>
        </is>
      </c>
      <c r="N62" s="35" t="inlineStr">
        <is>
          <t>G</t>
        </is>
      </c>
      <c r="O62" s="35" t="inlineStr">
        <is>
          <t>G</t>
        </is>
      </c>
      <c r="P62" s="35" t="inlineStr">
        <is>
          <t>G</t>
        </is>
      </c>
      <c r="Q62" s="35" t="inlineStr">
        <is>
          <t>G</t>
        </is>
      </c>
      <c r="R62" s="35" t="inlineStr">
        <is>
          <t>G</t>
        </is>
      </c>
      <c r="S62" s="35" t="inlineStr">
        <is>
          <t>H</t>
        </is>
      </c>
      <c r="T62" s="35" t="inlineStr">
        <is>
          <t>H</t>
        </is>
      </c>
      <c r="BE62" s="36">
        <f>D62*$B$6</f>
        <v/>
      </c>
      <c r="BF62" s="36">
        <f>D62*$I$12</f>
        <v/>
      </c>
      <c r="BG62" s="37">
        <f>MATCH("P",$E62:$BD62,0)</f>
        <v/>
      </c>
    </row>
    <row r="63">
      <c r="A63" s="26" t="inlineStr">
        <is>
          <t>Spinach W10</t>
        </is>
      </c>
      <c r="B63" s="26" t="inlineStr">
        <is>
          <t>Spinach</t>
        </is>
      </c>
      <c r="C63" s="33" t="n">
        <v>0</v>
      </c>
      <c r="D63" s="34" t="n">
        <v>0</v>
      </c>
      <c r="N63" s="35" t="inlineStr">
        <is>
          <t>P</t>
        </is>
      </c>
      <c r="O63" s="35" t="inlineStr">
        <is>
          <t>G</t>
        </is>
      </c>
      <c r="P63" s="35" t="inlineStr">
        <is>
          <t>G</t>
        </is>
      </c>
      <c r="Q63" s="35" t="inlineStr">
        <is>
          <t>G</t>
        </is>
      </c>
      <c r="R63" s="35" t="inlineStr">
        <is>
          <t>G</t>
        </is>
      </c>
      <c r="S63" s="35" t="inlineStr">
        <is>
          <t>G</t>
        </is>
      </c>
      <c r="T63" s="35" t="inlineStr">
        <is>
          <t>H</t>
        </is>
      </c>
      <c r="U63" s="35" t="inlineStr">
        <is>
          <t>H</t>
        </is>
      </c>
      <c r="BE63" s="36">
        <f>D63*$B$6</f>
        <v/>
      </c>
      <c r="BF63" s="36">
        <f>D63*$I$12</f>
        <v/>
      </c>
      <c r="BG63" s="37">
        <f>MATCH("P",$E63:$BD63,0)</f>
        <v/>
      </c>
    </row>
    <row r="64">
      <c r="A64" s="26" t="inlineStr">
        <is>
          <t>Spinach W11</t>
        </is>
      </c>
      <c r="B64" s="26" t="inlineStr">
        <is>
          <t>Spinach</t>
        </is>
      </c>
      <c r="C64" s="33" t="n">
        <v>0</v>
      </c>
      <c r="D64" s="34" t="n">
        <v>0</v>
      </c>
      <c r="O64" s="35" t="inlineStr">
        <is>
          <t>P</t>
        </is>
      </c>
      <c r="P64" s="35" t="inlineStr">
        <is>
          <t>G</t>
        </is>
      </c>
      <c r="Q64" s="35" t="inlineStr">
        <is>
          <t>G</t>
        </is>
      </c>
      <c r="R64" s="35" t="inlineStr">
        <is>
          <t>G</t>
        </is>
      </c>
      <c r="S64" s="35" t="inlineStr">
        <is>
          <t>G</t>
        </is>
      </c>
      <c r="T64" s="35" t="inlineStr">
        <is>
          <t>G</t>
        </is>
      </c>
      <c r="U64" s="35" t="inlineStr">
        <is>
          <t>H</t>
        </is>
      </c>
      <c r="V64" s="35" t="inlineStr">
        <is>
          <t>H</t>
        </is>
      </c>
      <c r="BE64" s="36">
        <f>D64*$B$6</f>
        <v/>
      </c>
      <c r="BF64" s="36">
        <f>D64*$I$12</f>
        <v/>
      </c>
      <c r="BG64" s="37">
        <f>MATCH("P",$E64:$BD64,0)</f>
        <v/>
      </c>
    </row>
    <row r="65">
      <c r="A65" s="26" t="inlineStr">
        <is>
          <t>Spinach W12</t>
        </is>
      </c>
      <c r="B65" s="26" t="inlineStr">
        <is>
          <t>Spinach</t>
        </is>
      </c>
      <c r="C65" s="33" t="n">
        <v>0</v>
      </c>
      <c r="D65" s="34" t="n">
        <v>0</v>
      </c>
      <c r="P65" s="35" t="inlineStr">
        <is>
          <t>P</t>
        </is>
      </c>
      <c r="Q65" s="35" t="inlineStr">
        <is>
          <t>G</t>
        </is>
      </c>
      <c r="R65" s="35" t="inlineStr">
        <is>
          <t>G</t>
        </is>
      </c>
      <c r="S65" s="35" t="inlineStr">
        <is>
          <t>G</t>
        </is>
      </c>
      <c r="T65" s="35" t="inlineStr">
        <is>
          <t>G</t>
        </is>
      </c>
      <c r="U65" s="35" t="inlineStr">
        <is>
          <t>G</t>
        </is>
      </c>
      <c r="V65" s="35" t="inlineStr">
        <is>
          <t>H</t>
        </is>
      </c>
      <c r="W65" s="35" t="inlineStr">
        <is>
          <t>H</t>
        </is>
      </c>
      <c r="BE65" s="36">
        <f>D65*$B$6</f>
        <v/>
      </c>
      <c r="BF65" s="36">
        <f>D65*$I$12</f>
        <v/>
      </c>
      <c r="BG65" s="37">
        <f>MATCH("P",$E65:$BD65,0)</f>
        <v/>
      </c>
    </row>
    <row r="66">
      <c r="A66" s="26" t="inlineStr">
        <is>
          <t>Spinach W13</t>
        </is>
      </c>
      <c r="B66" s="26" t="inlineStr">
        <is>
          <t>Spinach</t>
        </is>
      </c>
      <c r="C66" s="33" t="n">
        <v>0</v>
      </c>
      <c r="D66" s="34" t="n">
        <v>0</v>
      </c>
      <c r="Q66" s="35" t="inlineStr">
        <is>
          <t>P</t>
        </is>
      </c>
      <c r="R66" s="35" t="inlineStr">
        <is>
          <t>G</t>
        </is>
      </c>
      <c r="S66" s="35" t="inlineStr">
        <is>
          <t>G</t>
        </is>
      </c>
      <c r="T66" s="35" t="inlineStr">
        <is>
          <t>G</t>
        </is>
      </c>
      <c r="U66" s="35" t="inlineStr">
        <is>
          <t>G</t>
        </is>
      </c>
      <c r="V66" s="35" t="inlineStr">
        <is>
          <t>G</t>
        </is>
      </c>
      <c r="W66" s="35" t="inlineStr">
        <is>
          <t>H</t>
        </is>
      </c>
      <c r="X66" s="35" t="inlineStr">
        <is>
          <t>H</t>
        </is>
      </c>
      <c r="BE66" s="36">
        <f>D66*$B$6</f>
        <v/>
      </c>
      <c r="BF66" s="36">
        <f>D66*$I$12</f>
        <v/>
      </c>
      <c r="BG66" s="37">
        <f>MATCH("P",$E66:$BD66,0)</f>
        <v/>
      </c>
    </row>
    <row r="67">
      <c r="A67" s="26" t="inlineStr">
        <is>
          <t>Spinach W14</t>
        </is>
      </c>
      <c r="B67" s="26" t="inlineStr">
        <is>
          <t>Spinach</t>
        </is>
      </c>
      <c r="C67" s="33" t="n">
        <v>0</v>
      </c>
      <c r="D67" s="34" t="n">
        <v>0</v>
      </c>
      <c r="R67" s="35" t="inlineStr">
        <is>
          <t>P</t>
        </is>
      </c>
      <c r="S67" s="35" t="inlineStr">
        <is>
          <t>G</t>
        </is>
      </c>
      <c r="T67" s="35" t="inlineStr">
        <is>
          <t>G</t>
        </is>
      </c>
      <c r="U67" s="35" t="inlineStr">
        <is>
          <t>G</t>
        </is>
      </c>
      <c r="V67" s="35" t="inlineStr">
        <is>
          <t>G</t>
        </is>
      </c>
      <c r="W67" s="35" t="inlineStr">
        <is>
          <t>G</t>
        </is>
      </c>
      <c r="X67" s="35" t="inlineStr">
        <is>
          <t>H</t>
        </is>
      </c>
      <c r="Y67" s="35" t="inlineStr">
        <is>
          <t>H</t>
        </is>
      </c>
      <c r="BE67" s="36">
        <f>D67*$B$6</f>
        <v/>
      </c>
      <c r="BF67" s="36">
        <f>D67*$I$12</f>
        <v/>
      </c>
      <c r="BG67" s="37">
        <f>MATCH("P",$E67:$BD67,0)</f>
        <v/>
      </c>
    </row>
    <row r="68">
      <c r="A68" s="26" t="inlineStr">
        <is>
          <t>Spinach W15</t>
        </is>
      </c>
      <c r="B68" s="26" t="inlineStr">
        <is>
          <t>Spinach</t>
        </is>
      </c>
      <c r="C68" s="33" t="n">
        <v>0</v>
      </c>
      <c r="D68" s="34" t="n">
        <v>0</v>
      </c>
      <c r="S68" s="35" t="inlineStr">
        <is>
          <t>P</t>
        </is>
      </c>
      <c r="T68" s="35" t="inlineStr">
        <is>
          <t>G</t>
        </is>
      </c>
      <c r="U68" s="35" t="inlineStr">
        <is>
          <t>G</t>
        </is>
      </c>
      <c r="V68" s="35" t="inlineStr">
        <is>
          <t>G</t>
        </is>
      </c>
      <c r="W68" s="35" t="inlineStr">
        <is>
          <t>G</t>
        </is>
      </c>
      <c r="X68" s="35" t="inlineStr">
        <is>
          <t>G</t>
        </is>
      </c>
      <c r="Y68" s="35" t="inlineStr">
        <is>
          <t>H</t>
        </is>
      </c>
      <c r="Z68" s="35" t="inlineStr">
        <is>
          <t>H</t>
        </is>
      </c>
      <c r="BE68" s="36">
        <f>D68*$B$6</f>
        <v/>
      </c>
      <c r="BF68" s="36">
        <f>D68*$I$12</f>
        <v/>
      </c>
      <c r="BG68" s="37">
        <f>MATCH("P",$E68:$BD68,0)</f>
        <v/>
      </c>
    </row>
    <row r="69">
      <c r="A69" s="26" t="inlineStr">
        <is>
          <t>Spinach W16</t>
        </is>
      </c>
      <c r="B69" s="26" t="inlineStr">
        <is>
          <t>Spinach</t>
        </is>
      </c>
      <c r="C69" s="33" t="n">
        <v>0</v>
      </c>
      <c r="D69" s="34" t="n">
        <v>0</v>
      </c>
      <c r="T69" s="35" t="inlineStr">
        <is>
          <t>P</t>
        </is>
      </c>
      <c r="U69" s="35" t="inlineStr">
        <is>
          <t>G</t>
        </is>
      </c>
      <c r="V69" s="35" t="inlineStr">
        <is>
          <t>G</t>
        </is>
      </c>
      <c r="W69" s="35" t="inlineStr">
        <is>
          <t>G</t>
        </is>
      </c>
      <c r="X69" s="35" t="inlineStr">
        <is>
          <t>G</t>
        </is>
      </c>
      <c r="Y69" s="35" t="inlineStr">
        <is>
          <t>G</t>
        </is>
      </c>
      <c r="Z69" s="35" t="inlineStr">
        <is>
          <t>H</t>
        </is>
      </c>
      <c r="AA69" s="35" t="inlineStr">
        <is>
          <t>H</t>
        </is>
      </c>
      <c r="BE69" s="36">
        <f>D69*$B$6</f>
        <v/>
      </c>
      <c r="BF69" s="36">
        <f>D69*$I$12</f>
        <v/>
      </c>
      <c r="BG69" s="37">
        <f>MATCH("P",$E69:$BD69,0)</f>
        <v/>
      </c>
    </row>
    <row r="70">
      <c r="A70" s="26" t="inlineStr">
        <is>
          <t>Spinach W17</t>
        </is>
      </c>
      <c r="B70" s="26" t="inlineStr">
        <is>
          <t>Spinach</t>
        </is>
      </c>
      <c r="C70" s="33" t="n">
        <v>0</v>
      </c>
      <c r="D70" s="34" t="n">
        <v>0</v>
      </c>
      <c r="U70" s="35" t="inlineStr">
        <is>
          <t>P</t>
        </is>
      </c>
      <c r="V70" s="35" t="inlineStr">
        <is>
          <t>G</t>
        </is>
      </c>
      <c r="W70" s="35" t="inlineStr">
        <is>
          <t>G</t>
        </is>
      </c>
      <c r="X70" s="35" t="inlineStr">
        <is>
          <t>G</t>
        </is>
      </c>
      <c r="Y70" s="35" t="inlineStr">
        <is>
          <t>G</t>
        </is>
      </c>
      <c r="Z70" s="35" t="inlineStr">
        <is>
          <t>G</t>
        </is>
      </c>
      <c r="AA70" s="35" t="inlineStr">
        <is>
          <t>H</t>
        </is>
      </c>
      <c r="AB70" s="35" t="inlineStr">
        <is>
          <t>H</t>
        </is>
      </c>
      <c r="BE70" s="36">
        <f>D70*$B$6</f>
        <v/>
      </c>
      <c r="BF70" s="36">
        <f>D70*$I$12</f>
        <v/>
      </c>
      <c r="BG70" s="37">
        <f>MATCH("P",$E70:$BD70,0)</f>
        <v/>
      </c>
    </row>
    <row r="71">
      <c r="A71" s="26" t="inlineStr">
        <is>
          <t>Spinach W18</t>
        </is>
      </c>
      <c r="B71" s="26" t="inlineStr">
        <is>
          <t>Spinach</t>
        </is>
      </c>
      <c r="C71" s="33" t="n">
        <v>0</v>
      </c>
      <c r="D71" s="34" t="n">
        <v>0</v>
      </c>
      <c r="V71" s="35" t="inlineStr">
        <is>
          <t>P</t>
        </is>
      </c>
      <c r="W71" s="35" t="inlineStr">
        <is>
          <t>G</t>
        </is>
      </c>
      <c r="X71" s="35" t="inlineStr">
        <is>
          <t>G</t>
        </is>
      </c>
      <c r="Y71" s="35" t="inlineStr">
        <is>
          <t>G</t>
        </is>
      </c>
      <c r="Z71" s="35" t="inlineStr">
        <is>
          <t>G</t>
        </is>
      </c>
      <c r="AA71" s="35" t="inlineStr">
        <is>
          <t>G</t>
        </is>
      </c>
      <c r="AB71" s="35" t="inlineStr">
        <is>
          <t>H</t>
        </is>
      </c>
      <c r="AC71" s="35" t="inlineStr">
        <is>
          <t>H</t>
        </is>
      </c>
      <c r="BE71" s="36">
        <f>D71*$B$6</f>
        <v/>
      </c>
      <c r="BF71" s="36">
        <f>D71*$I$12</f>
        <v/>
      </c>
      <c r="BG71" s="37">
        <f>MATCH("P",$E71:$BD71,0)</f>
        <v/>
      </c>
    </row>
    <row r="72">
      <c r="A72" s="26" t="inlineStr">
        <is>
          <t>Spinach W19</t>
        </is>
      </c>
      <c r="B72" s="26" t="inlineStr">
        <is>
          <t>Spinach</t>
        </is>
      </c>
      <c r="C72" s="33" t="n">
        <v>0</v>
      </c>
      <c r="D72" s="34" t="n">
        <v>0</v>
      </c>
      <c r="W72" s="35" t="inlineStr">
        <is>
          <t>P</t>
        </is>
      </c>
      <c r="X72" s="35" t="inlineStr">
        <is>
          <t>G</t>
        </is>
      </c>
      <c r="Y72" s="35" t="inlineStr">
        <is>
          <t>G</t>
        </is>
      </c>
      <c r="Z72" s="35" t="inlineStr">
        <is>
          <t>G</t>
        </is>
      </c>
      <c r="AA72" s="35" t="inlineStr">
        <is>
          <t>G</t>
        </is>
      </c>
      <c r="AB72" s="35" t="inlineStr">
        <is>
          <t>G</t>
        </is>
      </c>
      <c r="AC72" s="35" t="inlineStr">
        <is>
          <t>H</t>
        </is>
      </c>
      <c r="AD72" s="35" t="inlineStr">
        <is>
          <t>H</t>
        </is>
      </c>
      <c r="BE72" s="36">
        <f>D72*$B$6</f>
        <v/>
      </c>
      <c r="BF72" s="36">
        <f>D72*$I$12</f>
        <v/>
      </c>
      <c r="BG72" s="37">
        <f>MATCH("P",$E72:$BD72,0)</f>
        <v/>
      </c>
    </row>
    <row r="73">
      <c r="A73" s="26" t="inlineStr">
        <is>
          <t>Spinach W20</t>
        </is>
      </c>
      <c r="B73" s="26" t="inlineStr">
        <is>
          <t>Spinach</t>
        </is>
      </c>
      <c r="C73" s="33" t="n">
        <v>0</v>
      </c>
      <c r="D73" s="34" t="n">
        <v>0</v>
      </c>
      <c r="X73" s="35" t="inlineStr">
        <is>
          <t>P</t>
        </is>
      </c>
      <c r="Y73" s="35" t="inlineStr">
        <is>
          <t>G</t>
        </is>
      </c>
      <c r="Z73" s="35" t="inlineStr">
        <is>
          <t>G</t>
        </is>
      </c>
      <c r="AA73" s="35" t="inlineStr">
        <is>
          <t>G</t>
        </is>
      </c>
      <c r="AB73" s="35" t="inlineStr">
        <is>
          <t>G</t>
        </is>
      </c>
      <c r="AC73" s="35" t="inlineStr">
        <is>
          <t>G</t>
        </is>
      </c>
      <c r="AD73" s="35" t="inlineStr">
        <is>
          <t>H</t>
        </is>
      </c>
      <c r="AE73" s="35" t="inlineStr">
        <is>
          <t>H</t>
        </is>
      </c>
      <c r="BE73" s="36">
        <f>D73*$B$6</f>
        <v/>
      </c>
      <c r="BF73" s="36">
        <f>D73*$I$12</f>
        <v/>
      </c>
      <c r="BG73" s="37">
        <f>MATCH("P",$E73:$BD73,0)</f>
        <v/>
      </c>
    </row>
    <row r="74">
      <c r="A74" s="26" t="inlineStr">
        <is>
          <t>Spinach W21</t>
        </is>
      </c>
      <c r="B74" s="26" t="inlineStr">
        <is>
          <t>Spinach</t>
        </is>
      </c>
      <c r="C74" s="33" t="n">
        <v>0</v>
      </c>
      <c r="D74" s="34" t="n">
        <v>0</v>
      </c>
      <c r="Y74" s="35" t="inlineStr">
        <is>
          <t>P</t>
        </is>
      </c>
      <c r="Z74" s="35" t="inlineStr">
        <is>
          <t>G</t>
        </is>
      </c>
      <c r="AA74" s="35" t="inlineStr">
        <is>
          <t>G</t>
        </is>
      </c>
      <c r="AB74" s="35" t="inlineStr">
        <is>
          <t>G</t>
        </is>
      </c>
      <c r="AC74" s="35" t="inlineStr">
        <is>
          <t>G</t>
        </is>
      </c>
      <c r="AD74" s="35" t="inlineStr">
        <is>
          <t>G</t>
        </is>
      </c>
      <c r="AE74" s="35" t="inlineStr">
        <is>
          <t>H</t>
        </is>
      </c>
      <c r="AF74" s="35" t="inlineStr">
        <is>
          <t>H</t>
        </is>
      </c>
      <c r="BE74" s="36">
        <f>D74*$B$6</f>
        <v/>
      </c>
      <c r="BF74" s="36">
        <f>D74*$I$12</f>
        <v/>
      </c>
      <c r="BG74" s="37">
        <f>MATCH("P",$E74:$BD74,0)</f>
        <v/>
      </c>
    </row>
    <row r="75">
      <c r="A75" s="26" t="inlineStr">
        <is>
          <t>Spinach W22</t>
        </is>
      </c>
      <c r="B75" s="26" t="inlineStr">
        <is>
          <t>Spinach</t>
        </is>
      </c>
      <c r="C75" s="33" t="n">
        <v>0</v>
      </c>
      <c r="D75" s="34" t="n">
        <v>0</v>
      </c>
      <c r="Z75" s="35" t="inlineStr">
        <is>
          <t>P</t>
        </is>
      </c>
      <c r="AA75" s="35" t="inlineStr">
        <is>
          <t>G</t>
        </is>
      </c>
      <c r="AB75" s="35" t="inlineStr">
        <is>
          <t>G</t>
        </is>
      </c>
      <c r="AC75" s="35" t="inlineStr">
        <is>
          <t>G</t>
        </is>
      </c>
      <c r="AD75" s="35" t="inlineStr">
        <is>
          <t>G</t>
        </is>
      </c>
      <c r="AE75" s="35" t="inlineStr">
        <is>
          <t>G</t>
        </is>
      </c>
      <c r="AF75" s="35" t="inlineStr">
        <is>
          <t>H</t>
        </is>
      </c>
      <c r="AG75" s="35" t="inlineStr">
        <is>
          <t>H</t>
        </is>
      </c>
      <c r="BE75" s="36">
        <f>D75*$B$6</f>
        <v/>
      </c>
      <c r="BF75" s="36">
        <f>D75*$I$12</f>
        <v/>
      </c>
      <c r="BG75" s="37">
        <f>MATCH("P",$E75:$BD75,0)</f>
        <v/>
      </c>
    </row>
    <row r="76">
      <c r="A76" s="26" t="inlineStr">
        <is>
          <t>Spinach W23</t>
        </is>
      </c>
      <c r="B76" s="26" t="inlineStr">
        <is>
          <t>Spinach</t>
        </is>
      </c>
      <c r="C76" s="33" t="n">
        <v>0</v>
      </c>
      <c r="D76" s="34" t="n">
        <v>0</v>
      </c>
      <c r="AA76" s="35" t="inlineStr">
        <is>
          <t>P</t>
        </is>
      </c>
      <c r="AB76" s="35" t="inlineStr">
        <is>
          <t>G</t>
        </is>
      </c>
      <c r="AC76" s="35" t="inlineStr">
        <is>
          <t>G</t>
        </is>
      </c>
      <c r="AD76" s="35" t="inlineStr">
        <is>
          <t>G</t>
        </is>
      </c>
      <c r="AE76" s="35" t="inlineStr">
        <is>
          <t>G</t>
        </is>
      </c>
      <c r="AF76" s="35" t="inlineStr">
        <is>
          <t>G</t>
        </is>
      </c>
      <c r="AG76" s="35" t="inlineStr">
        <is>
          <t>H</t>
        </is>
      </c>
      <c r="AH76" s="35" t="inlineStr">
        <is>
          <t>H</t>
        </is>
      </c>
      <c r="BE76" s="36">
        <f>D76*$B$6</f>
        <v/>
      </c>
      <c r="BF76" s="36">
        <f>D76*$I$12</f>
        <v/>
      </c>
      <c r="BG76" s="37">
        <f>MATCH("P",$E76:$BD76,0)</f>
        <v/>
      </c>
    </row>
    <row r="77">
      <c r="A77" s="26" t="inlineStr">
        <is>
          <t>Spinach W24</t>
        </is>
      </c>
      <c r="B77" s="26" t="inlineStr">
        <is>
          <t>Spinach</t>
        </is>
      </c>
      <c r="C77" s="33" t="n">
        <v>0</v>
      </c>
      <c r="D77" s="34" t="n">
        <v>0</v>
      </c>
      <c r="AB77" s="35" t="inlineStr">
        <is>
          <t>P</t>
        </is>
      </c>
      <c r="AC77" s="35" t="inlineStr">
        <is>
          <t>G</t>
        </is>
      </c>
      <c r="AD77" s="35" t="inlineStr">
        <is>
          <t>G</t>
        </is>
      </c>
      <c r="AE77" s="35" t="inlineStr">
        <is>
          <t>G</t>
        </is>
      </c>
      <c r="AF77" s="35" t="inlineStr">
        <is>
          <t>G</t>
        </is>
      </c>
      <c r="AG77" s="35" t="inlineStr">
        <is>
          <t>G</t>
        </is>
      </c>
      <c r="AH77" s="35" t="inlineStr">
        <is>
          <t>H</t>
        </is>
      </c>
      <c r="AI77" s="35" t="inlineStr">
        <is>
          <t>H</t>
        </is>
      </c>
      <c r="BE77" s="36">
        <f>D77*$B$6</f>
        <v/>
      </c>
      <c r="BF77" s="36">
        <f>D77*$I$12</f>
        <v/>
      </c>
      <c r="BG77" s="37">
        <f>MATCH("P",$E77:$BD77,0)</f>
        <v/>
      </c>
    </row>
    <row r="78">
      <c r="A78" s="26" t="inlineStr">
        <is>
          <t>Spinach W31</t>
        </is>
      </c>
      <c r="B78" s="26" t="inlineStr">
        <is>
          <t>Spinach</t>
        </is>
      </c>
      <c r="C78" s="33" t="n">
        <v>0</v>
      </c>
      <c r="D78" s="34" t="n">
        <v>0</v>
      </c>
      <c r="AI78" s="35" t="inlineStr">
        <is>
          <t>P</t>
        </is>
      </c>
      <c r="AJ78" s="35" t="inlineStr">
        <is>
          <t>G</t>
        </is>
      </c>
      <c r="AK78" s="35" t="inlineStr">
        <is>
          <t>G</t>
        </is>
      </c>
      <c r="AL78" s="35" t="inlineStr">
        <is>
          <t>G</t>
        </is>
      </c>
      <c r="AM78" s="35" t="inlineStr">
        <is>
          <t>G</t>
        </is>
      </c>
      <c r="AN78" s="35" t="inlineStr">
        <is>
          <t>G</t>
        </is>
      </c>
      <c r="AO78" s="35" t="inlineStr">
        <is>
          <t>H</t>
        </is>
      </c>
      <c r="AP78" s="35" t="inlineStr">
        <is>
          <t>H</t>
        </is>
      </c>
      <c r="BE78" s="36">
        <f>D78*$B$6</f>
        <v/>
      </c>
      <c r="BF78" s="36">
        <f>D78*$I$12</f>
        <v/>
      </c>
      <c r="BG78" s="37">
        <f>MATCH("P",$E78:$BD78,0)</f>
        <v/>
      </c>
    </row>
    <row r="79">
      <c r="A79" s="26" t="inlineStr">
        <is>
          <t>Spinach W32</t>
        </is>
      </c>
      <c r="B79" s="26" t="inlineStr">
        <is>
          <t>Spinach</t>
        </is>
      </c>
      <c r="C79" s="33" t="n">
        <v>0</v>
      </c>
      <c r="D79" s="34" t="n">
        <v>0</v>
      </c>
      <c r="AJ79" s="35" t="inlineStr">
        <is>
          <t>P</t>
        </is>
      </c>
      <c r="AK79" s="35" t="inlineStr">
        <is>
          <t>G</t>
        </is>
      </c>
      <c r="AL79" s="35" t="inlineStr">
        <is>
          <t>G</t>
        </is>
      </c>
      <c r="AM79" s="35" t="inlineStr">
        <is>
          <t>G</t>
        </is>
      </c>
      <c r="AN79" s="35" t="inlineStr">
        <is>
          <t>G</t>
        </is>
      </c>
      <c r="AO79" s="35" t="inlineStr">
        <is>
          <t>G</t>
        </is>
      </c>
      <c r="AP79" s="35" t="inlineStr">
        <is>
          <t>H</t>
        </is>
      </c>
      <c r="AQ79" s="35" t="inlineStr">
        <is>
          <t>H</t>
        </is>
      </c>
      <c r="BE79" s="36">
        <f>D79*$B$6</f>
        <v/>
      </c>
      <c r="BF79" s="36">
        <f>D79*$I$12</f>
        <v/>
      </c>
      <c r="BG79" s="37">
        <f>MATCH("P",$E79:$BD79,0)</f>
        <v/>
      </c>
    </row>
    <row r="80">
      <c r="A80" s="26" t="inlineStr">
        <is>
          <t>Spinach W33</t>
        </is>
      </c>
      <c r="B80" s="26" t="inlineStr">
        <is>
          <t>Spinach</t>
        </is>
      </c>
      <c r="C80" s="33" t="n">
        <v>0</v>
      </c>
      <c r="D80" s="34" t="n">
        <v>0</v>
      </c>
      <c r="AK80" s="35" t="inlineStr">
        <is>
          <t>P</t>
        </is>
      </c>
      <c r="AL80" s="35" t="inlineStr">
        <is>
          <t>G</t>
        </is>
      </c>
      <c r="AM80" s="35" t="inlineStr">
        <is>
          <t>G</t>
        </is>
      </c>
      <c r="AN80" s="35" t="inlineStr">
        <is>
          <t>G</t>
        </is>
      </c>
      <c r="AO80" s="35" t="inlineStr">
        <is>
          <t>G</t>
        </is>
      </c>
      <c r="AP80" s="35" t="inlineStr">
        <is>
          <t>G</t>
        </is>
      </c>
      <c r="AQ80" s="35" t="inlineStr">
        <is>
          <t>H</t>
        </is>
      </c>
      <c r="AR80" s="35" t="inlineStr">
        <is>
          <t>H</t>
        </is>
      </c>
      <c r="BE80" s="36">
        <f>D80*$B$6</f>
        <v/>
      </c>
      <c r="BF80" s="36">
        <f>D80*$I$12</f>
        <v/>
      </c>
      <c r="BG80" s="37">
        <f>MATCH("P",$E80:$BD80,0)</f>
        <v/>
      </c>
    </row>
    <row r="81">
      <c r="A81" s="26" t="inlineStr">
        <is>
          <t>Spinach W34</t>
        </is>
      </c>
      <c r="B81" s="26" t="inlineStr">
        <is>
          <t>Spinach</t>
        </is>
      </c>
      <c r="C81" s="33" t="n">
        <v>0</v>
      </c>
      <c r="D81" s="34" t="n">
        <v>0</v>
      </c>
      <c r="AL81" s="35" t="inlineStr">
        <is>
          <t>P</t>
        </is>
      </c>
      <c r="AM81" s="35" t="inlineStr">
        <is>
          <t>G</t>
        </is>
      </c>
      <c r="AN81" s="35" t="inlineStr">
        <is>
          <t>G</t>
        </is>
      </c>
      <c r="AO81" s="35" t="inlineStr">
        <is>
          <t>G</t>
        </is>
      </c>
      <c r="AP81" s="35" t="inlineStr">
        <is>
          <t>G</t>
        </is>
      </c>
      <c r="AQ81" s="35" t="inlineStr">
        <is>
          <t>G</t>
        </is>
      </c>
      <c r="AR81" s="35" t="inlineStr">
        <is>
          <t>H</t>
        </is>
      </c>
      <c r="AS81" s="35" t="inlineStr">
        <is>
          <t>H</t>
        </is>
      </c>
      <c r="BE81" s="36">
        <f>D81*$B$6</f>
        <v/>
      </c>
      <c r="BF81" s="36">
        <f>D81*$I$12</f>
        <v/>
      </c>
      <c r="BG81" s="37">
        <f>MATCH("P",$E81:$BD81,0)</f>
        <v/>
      </c>
    </row>
    <row r="82">
      <c r="A82" s="26" t="inlineStr">
        <is>
          <t>Spinach W35</t>
        </is>
      </c>
      <c r="B82" s="26" t="inlineStr">
        <is>
          <t>Spinach</t>
        </is>
      </c>
      <c r="C82" s="33" t="n">
        <v>0</v>
      </c>
      <c r="D82" s="34" t="n">
        <v>0</v>
      </c>
      <c r="AM82" s="35" t="inlineStr">
        <is>
          <t>P</t>
        </is>
      </c>
      <c r="AN82" s="35" t="inlineStr">
        <is>
          <t>G</t>
        </is>
      </c>
      <c r="AO82" s="35" t="inlineStr">
        <is>
          <t>G</t>
        </is>
      </c>
      <c r="AP82" s="35" t="inlineStr">
        <is>
          <t>G</t>
        </is>
      </c>
      <c r="AQ82" s="35" t="inlineStr">
        <is>
          <t>G</t>
        </is>
      </c>
      <c r="AR82" s="35" t="inlineStr">
        <is>
          <t>G</t>
        </is>
      </c>
      <c r="AS82" s="35" t="inlineStr">
        <is>
          <t>H</t>
        </is>
      </c>
      <c r="AT82" s="35" t="inlineStr">
        <is>
          <t>H</t>
        </is>
      </c>
      <c r="BE82" s="36">
        <f>D82*$B$6</f>
        <v/>
      </c>
      <c r="BF82" s="36">
        <f>D82*$I$12</f>
        <v/>
      </c>
      <c r="BG82" s="37">
        <f>MATCH("P",$E82:$BD82,0)</f>
        <v/>
      </c>
    </row>
    <row r="83">
      <c r="A83" s="26" t="inlineStr">
        <is>
          <t>Spinach W36</t>
        </is>
      </c>
      <c r="B83" s="26" t="inlineStr">
        <is>
          <t>Spinach</t>
        </is>
      </c>
      <c r="C83" s="33" t="n">
        <v>0</v>
      </c>
      <c r="D83" s="34" t="n">
        <v>0</v>
      </c>
      <c r="AN83" s="35" t="inlineStr">
        <is>
          <t>P</t>
        </is>
      </c>
      <c r="AO83" s="35" t="inlineStr">
        <is>
          <t>G</t>
        </is>
      </c>
      <c r="AP83" s="35" t="inlineStr">
        <is>
          <t>G</t>
        </is>
      </c>
      <c r="AQ83" s="35" t="inlineStr">
        <is>
          <t>G</t>
        </is>
      </c>
      <c r="AR83" s="35" t="inlineStr">
        <is>
          <t>G</t>
        </is>
      </c>
      <c r="AS83" s="35" t="inlineStr">
        <is>
          <t>G</t>
        </is>
      </c>
      <c r="AT83" s="35" t="inlineStr">
        <is>
          <t>H</t>
        </is>
      </c>
      <c r="AU83" s="35" t="inlineStr">
        <is>
          <t>H</t>
        </is>
      </c>
      <c r="BE83" s="36">
        <f>D83*$B$6</f>
        <v/>
      </c>
      <c r="BF83" s="36">
        <f>D83*$I$12</f>
        <v/>
      </c>
      <c r="BG83" s="37">
        <f>MATCH("P",$E83:$BD83,0)</f>
        <v/>
      </c>
    </row>
    <row r="84">
      <c r="A84" s="26" t="inlineStr">
        <is>
          <t>Spinach W37</t>
        </is>
      </c>
      <c r="B84" s="26" t="inlineStr">
        <is>
          <t>Spinach</t>
        </is>
      </c>
      <c r="C84" s="33" t="n">
        <v>0</v>
      </c>
      <c r="D84" s="34" t="n">
        <v>0</v>
      </c>
      <c r="AO84" s="35" t="inlineStr">
        <is>
          <t>P</t>
        </is>
      </c>
      <c r="AP84" s="35" t="inlineStr">
        <is>
          <t>G</t>
        </is>
      </c>
      <c r="AQ84" s="35" t="inlineStr">
        <is>
          <t>G</t>
        </is>
      </c>
      <c r="AR84" s="35" t="inlineStr">
        <is>
          <t>G</t>
        </is>
      </c>
      <c r="AS84" s="35" t="inlineStr">
        <is>
          <t>G</t>
        </is>
      </c>
      <c r="AT84" s="35" t="inlineStr">
        <is>
          <t>G</t>
        </is>
      </c>
      <c r="AU84" s="35" t="inlineStr">
        <is>
          <t>H</t>
        </is>
      </c>
      <c r="AV84" s="35" t="inlineStr">
        <is>
          <t>H</t>
        </is>
      </c>
      <c r="BE84" s="36">
        <f>D84*$B$6</f>
        <v/>
      </c>
      <c r="BF84" s="36">
        <f>D84*$I$12</f>
        <v/>
      </c>
      <c r="BG84" s="37">
        <f>MATCH("P",$E84:$BD84,0)</f>
        <v/>
      </c>
    </row>
    <row r="85">
      <c r="A85" s="26" t="inlineStr">
        <is>
          <t>Spinach W38</t>
        </is>
      </c>
      <c r="B85" s="26" t="inlineStr">
        <is>
          <t>Spinach</t>
        </is>
      </c>
      <c r="C85" s="33" t="n">
        <v>0</v>
      </c>
      <c r="D85" s="34" t="n">
        <v>0</v>
      </c>
      <c r="AP85" s="35" t="inlineStr">
        <is>
          <t>P</t>
        </is>
      </c>
      <c r="AQ85" s="35" t="inlineStr">
        <is>
          <t>G</t>
        </is>
      </c>
      <c r="AR85" s="35" t="inlineStr">
        <is>
          <t>G</t>
        </is>
      </c>
      <c r="AS85" s="35" t="inlineStr">
        <is>
          <t>G</t>
        </is>
      </c>
      <c r="AT85" s="35" t="inlineStr">
        <is>
          <t>G</t>
        </is>
      </c>
      <c r="AU85" s="35" t="inlineStr">
        <is>
          <t>G</t>
        </is>
      </c>
      <c r="AV85" s="35" t="inlineStr">
        <is>
          <t>H</t>
        </is>
      </c>
      <c r="AW85" s="35" t="inlineStr">
        <is>
          <t>H</t>
        </is>
      </c>
      <c r="BE85" s="36">
        <f>D85*$B$6</f>
        <v/>
      </c>
      <c r="BF85" s="36">
        <f>D85*$I$12</f>
        <v/>
      </c>
      <c r="BG85" s="37">
        <f>MATCH("P",$E85:$BD85,0)</f>
        <v/>
      </c>
    </row>
    <row r="86">
      <c r="A86" s="26" t="inlineStr">
        <is>
          <t>Spinach W39</t>
        </is>
      </c>
      <c r="B86" s="26" t="inlineStr">
        <is>
          <t>Spinach</t>
        </is>
      </c>
      <c r="C86" s="33" t="n">
        <v>0</v>
      </c>
      <c r="D86" s="34" t="n">
        <v>0</v>
      </c>
      <c r="AQ86" s="35" t="inlineStr">
        <is>
          <t>P</t>
        </is>
      </c>
      <c r="AR86" s="35" t="inlineStr">
        <is>
          <t>G</t>
        </is>
      </c>
      <c r="AS86" s="35" t="inlineStr">
        <is>
          <t>G</t>
        </is>
      </c>
      <c r="AT86" s="35" t="inlineStr">
        <is>
          <t>G</t>
        </is>
      </c>
      <c r="AU86" s="35" t="inlineStr">
        <is>
          <t>G</t>
        </is>
      </c>
      <c r="AV86" s="35" t="inlineStr">
        <is>
          <t>G</t>
        </is>
      </c>
      <c r="AW86" s="35" t="inlineStr">
        <is>
          <t>H</t>
        </is>
      </c>
      <c r="AX86" s="35" t="inlineStr">
        <is>
          <t>H</t>
        </is>
      </c>
      <c r="BE86" s="36">
        <f>D86*$B$6</f>
        <v/>
      </c>
      <c r="BF86" s="36">
        <f>D86*$I$12</f>
        <v/>
      </c>
      <c r="BG86" s="37">
        <f>MATCH("P",$E86:$BD86,0)</f>
        <v/>
      </c>
    </row>
    <row r="87">
      <c r="A87" s="26" t="inlineStr">
        <is>
          <t>Spinach W40</t>
        </is>
      </c>
      <c r="B87" s="26" t="inlineStr">
        <is>
          <t>Spinach</t>
        </is>
      </c>
      <c r="C87" s="33" t="n">
        <v>0</v>
      </c>
      <c r="D87" s="34" t="n">
        <v>0</v>
      </c>
      <c r="AR87" s="35" t="inlineStr">
        <is>
          <t>P</t>
        </is>
      </c>
      <c r="AS87" s="35" t="inlineStr">
        <is>
          <t>G</t>
        </is>
      </c>
      <c r="AT87" s="35" t="inlineStr">
        <is>
          <t>G</t>
        </is>
      </c>
      <c r="AU87" s="35" t="inlineStr">
        <is>
          <t>G</t>
        </is>
      </c>
      <c r="AV87" s="35" t="inlineStr">
        <is>
          <t>G</t>
        </is>
      </c>
      <c r="AW87" s="35" t="inlineStr">
        <is>
          <t>G</t>
        </is>
      </c>
      <c r="AX87" s="35" t="inlineStr">
        <is>
          <t>H</t>
        </is>
      </c>
      <c r="AY87" s="35" t="inlineStr">
        <is>
          <t>H</t>
        </is>
      </c>
      <c r="BE87" s="36">
        <f>D87*$B$6</f>
        <v/>
      </c>
      <c r="BF87" s="36">
        <f>D87*$I$12</f>
        <v/>
      </c>
      <c r="BG87" s="37">
        <f>MATCH("P",$E87:$BD87,0)</f>
        <v/>
      </c>
    </row>
    <row r="88">
      <c r="A88" s="26" t="inlineStr">
        <is>
          <t>Spinach W41</t>
        </is>
      </c>
      <c r="B88" s="26" t="inlineStr">
        <is>
          <t>Spinach</t>
        </is>
      </c>
      <c r="C88" s="33" t="n">
        <v>0</v>
      </c>
      <c r="D88" s="34" t="n">
        <v>0</v>
      </c>
      <c r="AS88" s="35" t="inlineStr">
        <is>
          <t>P</t>
        </is>
      </c>
      <c r="AT88" s="35" t="inlineStr">
        <is>
          <t>G</t>
        </is>
      </c>
      <c r="AU88" s="35" t="inlineStr">
        <is>
          <t>G</t>
        </is>
      </c>
      <c r="AV88" s="35" t="inlineStr">
        <is>
          <t>G</t>
        </is>
      </c>
      <c r="AW88" s="35" t="inlineStr">
        <is>
          <t>G</t>
        </is>
      </c>
      <c r="AX88" s="35" t="inlineStr">
        <is>
          <t>G</t>
        </is>
      </c>
      <c r="AY88" s="35" t="inlineStr">
        <is>
          <t>H</t>
        </is>
      </c>
      <c r="AZ88" s="35" t="inlineStr">
        <is>
          <t>H</t>
        </is>
      </c>
      <c r="BE88" s="36">
        <f>D88*$B$6</f>
        <v/>
      </c>
      <c r="BF88" s="36">
        <f>D88*$I$12</f>
        <v/>
      </c>
      <c r="BG88" s="37">
        <f>MATCH("P",$E88:$BD88,0)</f>
        <v/>
      </c>
    </row>
    <row r="89">
      <c r="A89" s="26" t="inlineStr">
        <is>
          <t>Spinach W42</t>
        </is>
      </c>
      <c r="B89" s="26" t="inlineStr">
        <is>
          <t>Spinach</t>
        </is>
      </c>
      <c r="C89" s="33" t="n">
        <v>0</v>
      </c>
      <c r="D89" s="34" t="n">
        <v>0</v>
      </c>
      <c r="AT89" s="35" t="inlineStr">
        <is>
          <t>P</t>
        </is>
      </c>
      <c r="AU89" s="35" t="inlineStr">
        <is>
          <t>G</t>
        </is>
      </c>
      <c r="AV89" s="35" t="inlineStr">
        <is>
          <t>G</t>
        </is>
      </c>
      <c r="AW89" s="35" t="inlineStr">
        <is>
          <t>G</t>
        </is>
      </c>
      <c r="AX89" s="35" t="inlineStr">
        <is>
          <t>G</t>
        </is>
      </c>
      <c r="AY89" s="35" t="inlineStr">
        <is>
          <t>G</t>
        </is>
      </c>
      <c r="AZ89" s="35" t="inlineStr">
        <is>
          <t>H</t>
        </is>
      </c>
      <c r="BA89" s="35" t="inlineStr">
        <is>
          <t>H</t>
        </is>
      </c>
      <c r="BE89" s="36">
        <f>D89*$B$6</f>
        <v/>
      </c>
      <c r="BF89" s="36">
        <f>D89*$I$12</f>
        <v/>
      </c>
      <c r="BG89" s="37">
        <f>MATCH("P",$E89:$BD89,0)</f>
        <v/>
      </c>
    </row>
    <row r="90">
      <c r="A90" s="26" t="inlineStr">
        <is>
          <t>Spinach W43</t>
        </is>
      </c>
      <c r="B90" s="26" t="inlineStr">
        <is>
          <t>Spinach</t>
        </is>
      </c>
      <c r="C90" s="33" t="n">
        <v>0</v>
      </c>
      <c r="D90" s="34" t="n">
        <v>0</v>
      </c>
      <c r="AU90" s="35" t="inlineStr">
        <is>
          <t>P</t>
        </is>
      </c>
      <c r="AV90" s="35" t="inlineStr">
        <is>
          <t>G</t>
        </is>
      </c>
      <c r="AW90" s="35" t="inlineStr">
        <is>
          <t>G</t>
        </is>
      </c>
      <c r="AX90" s="35" t="inlineStr">
        <is>
          <t>G</t>
        </is>
      </c>
      <c r="AY90" s="35" t="inlineStr">
        <is>
          <t>G</t>
        </is>
      </c>
      <c r="AZ90" s="35" t="inlineStr">
        <is>
          <t>G</t>
        </is>
      </c>
      <c r="BA90" s="35" t="inlineStr">
        <is>
          <t>H</t>
        </is>
      </c>
      <c r="BB90" s="35" t="inlineStr">
        <is>
          <t>H</t>
        </is>
      </c>
      <c r="BE90" s="36">
        <f>D90*$B$6</f>
        <v/>
      </c>
      <c r="BF90" s="36">
        <f>D90*$I$12</f>
        <v/>
      </c>
      <c r="BG90" s="37">
        <f>MATCH("P",$E90:$BD90,0)</f>
        <v/>
      </c>
    </row>
    <row r="91">
      <c r="A91" s="26" t="inlineStr">
        <is>
          <t>Spinach W44</t>
        </is>
      </c>
      <c r="B91" s="26" t="inlineStr">
        <is>
          <t>Spinach</t>
        </is>
      </c>
      <c r="C91" s="33" t="n">
        <v>0</v>
      </c>
      <c r="D91" s="34" t="n">
        <v>0</v>
      </c>
      <c r="AV91" s="35" t="inlineStr">
        <is>
          <t>P</t>
        </is>
      </c>
      <c r="AW91" s="35" t="inlineStr">
        <is>
          <t>G</t>
        </is>
      </c>
      <c r="AX91" s="35" t="inlineStr">
        <is>
          <t>G</t>
        </is>
      </c>
      <c r="AY91" s="35" t="inlineStr">
        <is>
          <t>G</t>
        </is>
      </c>
      <c r="AZ91" s="35" t="inlineStr">
        <is>
          <t>G</t>
        </is>
      </c>
      <c r="BA91" s="35" t="inlineStr">
        <is>
          <t>G</t>
        </is>
      </c>
      <c r="BB91" s="35" t="inlineStr">
        <is>
          <t>H</t>
        </is>
      </c>
      <c r="BC91" s="35" t="inlineStr">
        <is>
          <t>H</t>
        </is>
      </c>
      <c r="BE91" s="36">
        <f>D91*$B$6</f>
        <v/>
      </c>
      <c r="BF91" s="36">
        <f>D91*$I$12</f>
        <v/>
      </c>
      <c r="BG91" s="37">
        <f>MATCH("P",$E91:$BD91,0)</f>
        <v/>
      </c>
    </row>
    <row r="92">
      <c r="A92" s="26" t="inlineStr">
        <is>
          <t>Spinach W45</t>
        </is>
      </c>
      <c r="B92" s="26" t="inlineStr">
        <is>
          <t>Spinach</t>
        </is>
      </c>
      <c r="C92" s="33" t="n">
        <v>0</v>
      </c>
      <c r="D92" s="34" t="n">
        <v>0</v>
      </c>
      <c r="AW92" s="35" t="inlineStr">
        <is>
          <t>P</t>
        </is>
      </c>
      <c r="AX92" s="35" t="inlineStr">
        <is>
          <t>G</t>
        </is>
      </c>
      <c r="AY92" s="35" t="inlineStr">
        <is>
          <t>G</t>
        </is>
      </c>
      <c r="AZ92" s="35" t="inlineStr">
        <is>
          <t>G</t>
        </is>
      </c>
      <c r="BA92" s="35" t="inlineStr">
        <is>
          <t>G</t>
        </is>
      </c>
      <c r="BB92" s="35" t="inlineStr">
        <is>
          <t>G</t>
        </is>
      </c>
      <c r="BC92" s="35" t="inlineStr">
        <is>
          <t>H</t>
        </is>
      </c>
      <c r="BD92" s="35" t="inlineStr">
        <is>
          <t>H</t>
        </is>
      </c>
      <c r="BE92" s="36">
        <f>D92*$B$6</f>
        <v/>
      </c>
      <c r="BF92" s="36">
        <f>D92*$I$12</f>
        <v/>
      </c>
      <c r="BG92" s="37">
        <f>MATCH("P",$E92:$BD92,0)</f>
        <v/>
      </c>
    </row>
    <row r="93">
      <c r="A93" s="26" t="inlineStr">
        <is>
          <t>Kale W05</t>
        </is>
      </c>
      <c r="B93" s="26" t="inlineStr">
        <is>
          <t>Kale</t>
        </is>
      </c>
      <c r="C93" s="33" t="n">
        <v>0</v>
      </c>
      <c r="D93" s="34" t="n">
        <v>0</v>
      </c>
      <c r="I93" s="35" t="inlineStr">
        <is>
          <t>P</t>
        </is>
      </c>
      <c r="J93" s="35" t="inlineStr">
        <is>
          <t>G</t>
        </is>
      </c>
      <c r="K93" s="35" t="inlineStr">
        <is>
          <t>G</t>
        </is>
      </c>
      <c r="L93" s="35" t="inlineStr">
        <is>
          <t>G</t>
        </is>
      </c>
      <c r="M93" s="35" t="inlineStr">
        <is>
          <t>G</t>
        </is>
      </c>
      <c r="N93" s="35" t="inlineStr">
        <is>
          <t>G</t>
        </is>
      </c>
      <c r="O93" s="35" t="inlineStr">
        <is>
          <t>G</t>
        </is>
      </c>
      <c r="P93" s="35" t="inlineStr">
        <is>
          <t>G</t>
        </is>
      </c>
      <c r="Q93" s="35" t="inlineStr">
        <is>
          <t>G</t>
        </is>
      </c>
      <c r="R93" s="35" t="inlineStr">
        <is>
          <t>H</t>
        </is>
      </c>
      <c r="S93" s="35" t="inlineStr">
        <is>
          <t>H</t>
        </is>
      </c>
      <c r="T93" s="35" t="inlineStr">
        <is>
          <t>H</t>
        </is>
      </c>
      <c r="U93" s="35" t="inlineStr">
        <is>
          <t>H</t>
        </is>
      </c>
      <c r="BE93" s="36">
        <f>D93*$B$6</f>
        <v/>
      </c>
      <c r="BF93" s="36">
        <f>D93*$I$13</f>
        <v/>
      </c>
      <c r="BG93" s="37">
        <f>MATCH("P",$E93:$BD93,0)</f>
        <v/>
      </c>
    </row>
    <row r="94">
      <c r="A94" s="26" t="inlineStr">
        <is>
          <t>Kale W06</t>
        </is>
      </c>
      <c r="B94" s="26" t="inlineStr">
        <is>
          <t>Kale</t>
        </is>
      </c>
      <c r="C94" s="33" t="n">
        <v>0</v>
      </c>
      <c r="D94" s="34" t="n">
        <v>0</v>
      </c>
      <c r="J94" s="35" t="inlineStr">
        <is>
          <t>P</t>
        </is>
      </c>
      <c r="K94" s="35" t="inlineStr">
        <is>
          <t>G</t>
        </is>
      </c>
      <c r="L94" s="35" t="inlineStr">
        <is>
          <t>G</t>
        </is>
      </c>
      <c r="M94" s="35" t="inlineStr">
        <is>
          <t>G</t>
        </is>
      </c>
      <c r="N94" s="35" t="inlineStr">
        <is>
          <t>G</t>
        </is>
      </c>
      <c r="O94" s="35" t="inlineStr">
        <is>
          <t>G</t>
        </is>
      </c>
      <c r="P94" s="35" t="inlineStr">
        <is>
          <t>G</t>
        </is>
      </c>
      <c r="Q94" s="35" t="inlineStr">
        <is>
          <t>G</t>
        </is>
      </c>
      <c r="R94" s="35" t="inlineStr">
        <is>
          <t>G</t>
        </is>
      </c>
      <c r="S94" s="35" t="inlineStr">
        <is>
          <t>H</t>
        </is>
      </c>
      <c r="T94" s="35" t="inlineStr">
        <is>
          <t>H</t>
        </is>
      </c>
      <c r="U94" s="35" t="inlineStr">
        <is>
          <t>H</t>
        </is>
      </c>
      <c r="V94" s="35" t="inlineStr">
        <is>
          <t>H</t>
        </is>
      </c>
      <c r="BE94" s="36">
        <f>D94*$B$6</f>
        <v/>
      </c>
      <c r="BF94" s="36">
        <f>D94*$I$13</f>
        <v/>
      </c>
      <c r="BG94" s="37">
        <f>MATCH("P",$E94:$BD94,0)</f>
        <v/>
      </c>
    </row>
    <row r="95">
      <c r="A95" s="26" t="inlineStr">
        <is>
          <t>Kale W07</t>
        </is>
      </c>
      <c r="B95" s="26" t="inlineStr">
        <is>
          <t>Kale</t>
        </is>
      </c>
      <c r="C95" s="33" t="n">
        <v>0</v>
      </c>
      <c r="D95" s="34" t="n">
        <v>0</v>
      </c>
      <c r="K95" s="35" t="inlineStr">
        <is>
          <t>P</t>
        </is>
      </c>
      <c r="L95" s="35" t="inlineStr">
        <is>
          <t>G</t>
        </is>
      </c>
      <c r="M95" s="35" t="inlineStr">
        <is>
          <t>G</t>
        </is>
      </c>
      <c r="N95" s="35" t="inlineStr">
        <is>
          <t>G</t>
        </is>
      </c>
      <c r="O95" s="35" t="inlineStr">
        <is>
          <t>G</t>
        </is>
      </c>
      <c r="P95" s="35" t="inlineStr">
        <is>
          <t>G</t>
        </is>
      </c>
      <c r="Q95" s="35" t="inlineStr">
        <is>
          <t>G</t>
        </is>
      </c>
      <c r="R95" s="35" t="inlineStr">
        <is>
          <t>G</t>
        </is>
      </c>
      <c r="S95" s="35" t="inlineStr">
        <is>
          <t>G</t>
        </is>
      </c>
      <c r="T95" s="35" t="inlineStr">
        <is>
          <t>H</t>
        </is>
      </c>
      <c r="U95" s="35" t="inlineStr">
        <is>
          <t>H</t>
        </is>
      </c>
      <c r="V95" s="35" t="inlineStr">
        <is>
          <t>H</t>
        </is>
      </c>
      <c r="W95" s="35" t="inlineStr">
        <is>
          <t>H</t>
        </is>
      </c>
      <c r="BE95" s="36">
        <f>D95*$B$6</f>
        <v/>
      </c>
      <c r="BF95" s="36">
        <f>D95*$I$13</f>
        <v/>
      </c>
      <c r="BG95" s="37">
        <f>MATCH("P",$E95:$BD95,0)</f>
        <v/>
      </c>
    </row>
    <row r="96">
      <c r="A96" s="26" t="inlineStr">
        <is>
          <t>Kale W08</t>
        </is>
      </c>
      <c r="B96" s="26" t="inlineStr">
        <is>
          <t>Kale</t>
        </is>
      </c>
      <c r="C96" s="33" t="n">
        <v>0</v>
      </c>
      <c r="D96" s="34" t="n">
        <v>0</v>
      </c>
      <c r="L96" s="35" t="inlineStr">
        <is>
          <t>P</t>
        </is>
      </c>
      <c r="M96" s="35" t="inlineStr">
        <is>
          <t>G</t>
        </is>
      </c>
      <c r="N96" s="35" t="inlineStr">
        <is>
          <t>G</t>
        </is>
      </c>
      <c r="O96" s="35" t="inlineStr">
        <is>
          <t>G</t>
        </is>
      </c>
      <c r="P96" s="35" t="inlineStr">
        <is>
          <t>G</t>
        </is>
      </c>
      <c r="Q96" s="35" t="inlineStr">
        <is>
          <t>G</t>
        </is>
      </c>
      <c r="R96" s="35" t="inlineStr">
        <is>
          <t>G</t>
        </is>
      </c>
      <c r="S96" s="35" t="inlineStr">
        <is>
          <t>G</t>
        </is>
      </c>
      <c r="T96" s="35" t="inlineStr">
        <is>
          <t>G</t>
        </is>
      </c>
      <c r="U96" s="35" t="inlineStr">
        <is>
          <t>H</t>
        </is>
      </c>
      <c r="V96" s="35" t="inlineStr">
        <is>
          <t>H</t>
        </is>
      </c>
      <c r="W96" s="35" t="inlineStr">
        <is>
          <t>H</t>
        </is>
      </c>
      <c r="X96" s="35" t="inlineStr">
        <is>
          <t>H</t>
        </is>
      </c>
      <c r="BE96" s="36">
        <f>D96*$B$6</f>
        <v/>
      </c>
      <c r="BF96" s="36">
        <f>D96*$I$13</f>
        <v/>
      </c>
      <c r="BG96" s="37">
        <f>MATCH("P",$E96:$BD96,0)</f>
        <v/>
      </c>
    </row>
    <row r="97">
      <c r="A97" s="26" t="inlineStr">
        <is>
          <t>Kale W09</t>
        </is>
      </c>
      <c r="B97" s="26" t="inlineStr">
        <is>
          <t>Kale</t>
        </is>
      </c>
      <c r="C97" s="33" t="n">
        <v>0</v>
      </c>
      <c r="D97" s="34" t="n">
        <v>0</v>
      </c>
      <c r="M97" s="35" t="inlineStr">
        <is>
          <t>P</t>
        </is>
      </c>
      <c r="N97" s="35" t="inlineStr">
        <is>
          <t>G</t>
        </is>
      </c>
      <c r="O97" s="35" t="inlineStr">
        <is>
          <t>G</t>
        </is>
      </c>
      <c r="P97" s="35" t="inlineStr">
        <is>
          <t>G</t>
        </is>
      </c>
      <c r="Q97" s="35" t="inlineStr">
        <is>
          <t>G</t>
        </is>
      </c>
      <c r="R97" s="35" t="inlineStr">
        <is>
          <t>G</t>
        </is>
      </c>
      <c r="S97" s="35" t="inlineStr">
        <is>
          <t>G</t>
        </is>
      </c>
      <c r="T97" s="35" t="inlineStr">
        <is>
          <t>G</t>
        </is>
      </c>
      <c r="U97" s="35" t="inlineStr">
        <is>
          <t>G</t>
        </is>
      </c>
      <c r="V97" s="35" t="inlineStr">
        <is>
          <t>H</t>
        </is>
      </c>
      <c r="W97" s="35" t="inlineStr">
        <is>
          <t>H</t>
        </is>
      </c>
      <c r="X97" s="35" t="inlineStr">
        <is>
          <t>H</t>
        </is>
      </c>
      <c r="Y97" s="35" t="inlineStr">
        <is>
          <t>H</t>
        </is>
      </c>
      <c r="BE97" s="36">
        <f>D97*$B$6</f>
        <v/>
      </c>
      <c r="BF97" s="36">
        <f>D97*$I$13</f>
        <v/>
      </c>
      <c r="BG97" s="37">
        <f>MATCH("P",$E97:$BD97,0)</f>
        <v/>
      </c>
    </row>
    <row r="98">
      <c r="A98" s="26" t="inlineStr">
        <is>
          <t>Kale W10</t>
        </is>
      </c>
      <c r="B98" s="26" t="inlineStr">
        <is>
          <t>Kale</t>
        </is>
      </c>
      <c r="C98" s="33" t="n">
        <v>0</v>
      </c>
      <c r="D98" s="34" t="n">
        <v>0</v>
      </c>
      <c r="N98" s="35" t="inlineStr">
        <is>
          <t>P</t>
        </is>
      </c>
      <c r="O98" s="35" t="inlineStr">
        <is>
          <t>G</t>
        </is>
      </c>
      <c r="P98" s="35" t="inlineStr">
        <is>
          <t>G</t>
        </is>
      </c>
      <c r="Q98" s="35" t="inlineStr">
        <is>
          <t>G</t>
        </is>
      </c>
      <c r="R98" s="35" t="inlineStr">
        <is>
          <t>G</t>
        </is>
      </c>
      <c r="S98" s="35" t="inlineStr">
        <is>
          <t>G</t>
        </is>
      </c>
      <c r="T98" s="35" t="inlineStr">
        <is>
          <t>G</t>
        </is>
      </c>
      <c r="U98" s="35" t="inlineStr">
        <is>
          <t>G</t>
        </is>
      </c>
      <c r="V98" s="35" t="inlineStr">
        <is>
          <t>G</t>
        </is>
      </c>
      <c r="W98" s="35" t="inlineStr">
        <is>
          <t>H</t>
        </is>
      </c>
      <c r="X98" s="35" t="inlineStr">
        <is>
          <t>H</t>
        </is>
      </c>
      <c r="Y98" s="35" t="inlineStr">
        <is>
          <t>H</t>
        </is>
      </c>
      <c r="Z98" s="35" t="inlineStr">
        <is>
          <t>H</t>
        </is>
      </c>
      <c r="BE98" s="36">
        <f>D98*$B$6</f>
        <v/>
      </c>
      <c r="BF98" s="36">
        <f>D98*$I$13</f>
        <v/>
      </c>
      <c r="BG98" s="37">
        <f>MATCH("P",$E98:$BD98,0)</f>
        <v/>
      </c>
    </row>
    <row r="99">
      <c r="A99" s="26" t="inlineStr">
        <is>
          <t>Kale W11</t>
        </is>
      </c>
      <c r="B99" s="26" t="inlineStr">
        <is>
          <t>Kale</t>
        </is>
      </c>
      <c r="C99" s="33" t="n">
        <v>0</v>
      </c>
      <c r="D99" s="34" t="n">
        <v>0</v>
      </c>
      <c r="O99" s="35" t="inlineStr">
        <is>
          <t>P</t>
        </is>
      </c>
      <c r="P99" s="35" t="inlineStr">
        <is>
          <t>G</t>
        </is>
      </c>
      <c r="Q99" s="35" t="inlineStr">
        <is>
          <t>G</t>
        </is>
      </c>
      <c r="R99" s="35" t="inlineStr">
        <is>
          <t>G</t>
        </is>
      </c>
      <c r="S99" s="35" t="inlineStr">
        <is>
          <t>G</t>
        </is>
      </c>
      <c r="T99" s="35" t="inlineStr">
        <is>
          <t>G</t>
        </is>
      </c>
      <c r="U99" s="35" t="inlineStr">
        <is>
          <t>G</t>
        </is>
      </c>
      <c r="V99" s="35" t="inlineStr">
        <is>
          <t>G</t>
        </is>
      </c>
      <c r="W99" s="35" t="inlineStr">
        <is>
          <t>G</t>
        </is>
      </c>
      <c r="X99" s="35" t="inlineStr">
        <is>
          <t>H</t>
        </is>
      </c>
      <c r="Y99" s="35" t="inlineStr">
        <is>
          <t>H</t>
        </is>
      </c>
      <c r="Z99" s="35" t="inlineStr">
        <is>
          <t>H</t>
        </is>
      </c>
      <c r="AA99" s="35" t="inlineStr">
        <is>
          <t>H</t>
        </is>
      </c>
      <c r="BE99" s="36">
        <f>D99*$B$6</f>
        <v/>
      </c>
      <c r="BF99" s="36">
        <f>D99*$I$13</f>
        <v/>
      </c>
      <c r="BG99" s="37">
        <f>MATCH("P",$E99:$BD99,0)</f>
        <v/>
      </c>
    </row>
    <row r="100">
      <c r="A100" s="26" t="inlineStr">
        <is>
          <t>Kale W12</t>
        </is>
      </c>
      <c r="B100" s="26" t="inlineStr">
        <is>
          <t>Kale</t>
        </is>
      </c>
      <c r="C100" s="33" t="n">
        <v>0</v>
      </c>
      <c r="D100" s="34" t="n">
        <v>0</v>
      </c>
      <c r="P100" s="35" t="inlineStr">
        <is>
          <t>P</t>
        </is>
      </c>
      <c r="Q100" s="35" t="inlineStr">
        <is>
          <t>G</t>
        </is>
      </c>
      <c r="R100" s="35" t="inlineStr">
        <is>
          <t>G</t>
        </is>
      </c>
      <c r="S100" s="35" t="inlineStr">
        <is>
          <t>G</t>
        </is>
      </c>
      <c r="T100" s="35" t="inlineStr">
        <is>
          <t>G</t>
        </is>
      </c>
      <c r="U100" s="35" t="inlineStr">
        <is>
          <t>G</t>
        </is>
      </c>
      <c r="V100" s="35" t="inlineStr">
        <is>
          <t>G</t>
        </is>
      </c>
      <c r="W100" s="35" t="inlineStr">
        <is>
          <t>G</t>
        </is>
      </c>
      <c r="X100" s="35" t="inlineStr">
        <is>
          <t>G</t>
        </is>
      </c>
      <c r="Y100" s="35" t="inlineStr">
        <is>
          <t>H</t>
        </is>
      </c>
      <c r="Z100" s="35" t="inlineStr">
        <is>
          <t>H</t>
        </is>
      </c>
      <c r="AA100" s="35" t="inlineStr">
        <is>
          <t>H</t>
        </is>
      </c>
      <c r="AB100" s="35" t="inlineStr">
        <is>
          <t>H</t>
        </is>
      </c>
      <c r="BE100" s="36">
        <f>D100*$B$6</f>
        <v/>
      </c>
      <c r="BF100" s="36">
        <f>D100*$I$13</f>
        <v/>
      </c>
      <c r="BG100" s="37">
        <f>MATCH("P",$E100:$BD100,0)</f>
        <v/>
      </c>
    </row>
    <row r="101">
      <c r="A101" s="26" t="inlineStr">
        <is>
          <t>Kale W13</t>
        </is>
      </c>
      <c r="B101" s="26" t="inlineStr">
        <is>
          <t>Kale</t>
        </is>
      </c>
      <c r="C101" s="33" t="n">
        <v>0</v>
      </c>
      <c r="D101" s="34" t="n">
        <v>0</v>
      </c>
      <c r="Q101" s="35" t="inlineStr">
        <is>
          <t>P</t>
        </is>
      </c>
      <c r="R101" s="35" t="inlineStr">
        <is>
          <t>G</t>
        </is>
      </c>
      <c r="S101" s="35" t="inlineStr">
        <is>
          <t>G</t>
        </is>
      </c>
      <c r="T101" s="35" t="inlineStr">
        <is>
          <t>G</t>
        </is>
      </c>
      <c r="U101" s="35" t="inlineStr">
        <is>
          <t>G</t>
        </is>
      </c>
      <c r="V101" s="35" t="inlineStr">
        <is>
          <t>G</t>
        </is>
      </c>
      <c r="W101" s="35" t="inlineStr">
        <is>
          <t>G</t>
        </is>
      </c>
      <c r="X101" s="35" t="inlineStr">
        <is>
          <t>G</t>
        </is>
      </c>
      <c r="Y101" s="35" t="inlineStr">
        <is>
          <t>G</t>
        </is>
      </c>
      <c r="Z101" s="35" t="inlineStr">
        <is>
          <t>H</t>
        </is>
      </c>
      <c r="AA101" s="35" t="inlineStr">
        <is>
          <t>H</t>
        </is>
      </c>
      <c r="AB101" s="35" t="inlineStr">
        <is>
          <t>H</t>
        </is>
      </c>
      <c r="AC101" s="35" t="inlineStr">
        <is>
          <t>H</t>
        </is>
      </c>
      <c r="BE101" s="36">
        <f>D101*$B$6</f>
        <v/>
      </c>
      <c r="BF101" s="36">
        <f>D101*$I$13</f>
        <v/>
      </c>
      <c r="BG101" s="37">
        <f>MATCH("P",$E101:$BD101,0)</f>
        <v/>
      </c>
    </row>
    <row r="102">
      <c r="A102" s="26" t="inlineStr">
        <is>
          <t>Kale W14</t>
        </is>
      </c>
      <c r="B102" s="26" t="inlineStr">
        <is>
          <t>Kale</t>
        </is>
      </c>
      <c r="C102" s="33" t="n">
        <v>0</v>
      </c>
      <c r="D102" s="34" t="n">
        <v>0</v>
      </c>
      <c r="R102" s="35" t="inlineStr">
        <is>
          <t>P</t>
        </is>
      </c>
      <c r="S102" s="35" t="inlineStr">
        <is>
          <t>G</t>
        </is>
      </c>
      <c r="T102" s="35" t="inlineStr">
        <is>
          <t>G</t>
        </is>
      </c>
      <c r="U102" s="35" t="inlineStr">
        <is>
          <t>G</t>
        </is>
      </c>
      <c r="V102" s="35" t="inlineStr">
        <is>
          <t>G</t>
        </is>
      </c>
      <c r="W102" s="35" t="inlineStr">
        <is>
          <t>G</t>
        </is>
      </c>
      <c r="X102" s="35" t="inlineStr">
        <is>
          <t>G</t>
        </is>
      </c>
      <c r="Y102" s="35" t="inlineStr">
        <is>
          <t>G</t>
        </is>
      </c>
      <c r="Z102" s="35" t="inlineStr">
        <is>
          <t>G</t>
        </is>
      </c>
      <c r="AA102" s="35" t="inlineStr">
        <is>
          <t>H</t>
        </is>
      </c>
      <c r="AB102" s="35" t="inlineStr">
        <is>
          <t>H</t>
        </is>
      </c>
      <c r="AC102" s="35" t="inlineStr">
        <is>
          <t>H</t>
        </is>
      </c>
      <c r="AD102" s="35" t="inlineStr">
        <is>
          <t>H</t>
        </is>
      </c>
      <c r="BE102" s="36">
        <f>D102*$B$6</f>
        <v/>
      </c>
      <c r="BF102" s="36">
        <f>D102*$I$13</f>
        <v/>
      </c>
      <c r="BG102" s="37">
        <f>MATCH("P",$E102:$BD102,0)</f>
        <v/>
      </c>
    </row>
    <row r="103">
      <c r="A103" s="26" t="inlineStr">
        <is>
          <t>Kale W15</t>
        </is>
      </c>
      <c r="B103" s="26" t="inlineStr">
        <is>
          <t>Kale</t>
        </is>
      </c>
      <c r="C103" s="33" t="n">
        <v>0</v>
      </c>
      <c r="D103" s="34" t="n">
        <v>0</v>
      </c>
      <c r="S103" s="35" t="inlineStr">
        <is>
          <t>P</t>
        </is>
      </c>
      <c r="T103" s="35" t="inlineStr">
        <is>
          <t>G</t>
        </is>
      </c>
      <c r="U103" s="35" t="inlineStr">
        <is>
          <t>G</t>
        </is>
      </c>
      <c r="V103" s="35" t="inlineStr">
        <is>
          <t>G</t>
        </is>
      </c>
      <c r="W103" s="35" t="inlineStr">
        <is>
          <t>G</t>
        </is>
      </c>
      <c r="X103" s="35" t="inlineStr">
        <is>
          <t>G</t>
        </is>
      </c>
      <c r="Y103" s="35" t="inlineStr">
        <is>
          <t>G</t>
        </is>
      </c>
      <c r="Z103" s="35" t="inlineStr">
        <is>
          <t>G</t>
        </is>
      </c>
      <c r="AA103" s="35" t="inlineStr">
        <is>
          <t>G</t>
        </is>
      </c>
      <c r="AB103" s="35" t="inlineStr">
        <is>
          <t>H</t>
        </is>
      </c>
      <c r="AC103" s="35" t="inlineStr">
        <is>
          <t>H</t>
        </is>
      </c>
      <c r="AD103" s="35" t="inlineStr">
        <is>
          <t>H</t>
        </is>
      </c>
      <c r="AE103" s="35" t="inlineStr">
        <is>
          <t>H</t>
        </is>
      </c>
      <c r="BE103" s="36">
        <f>D103*$B$6</f>
        <v/>
      </c>
      <c r="BF103" s="36">
        <f>D103*$I$13</f>
        <v/>
      </c>
      <c r="BG103" s="37">
        <f>MATCH("P",$E103:$BD103,0)</f>
        <v/>
      </c>
    </row>
    <row r="104">
      <c r="A104" s="26" t="inlineStr">
        <is>
          <t>Kale W16</t>
        </is>
      </c>
      <c r="B104" s="26" t="inlineStr">
        <is>
          <t>Kale</t>
        </is>
      </c>
      <c r="C104" s="33" t="n">
        <v>0</v>
      </c>
      <c r="D104" s="34" t="n">
        <v>0</v>
      </c>
      <c r="T104" s="35" t="inlineStr">
        <is>
          <t>P</t>
        </is>
      </c>
      <c r="U104" s="35" t="inlineStr">
        <is>
          <t>G</t>
        </is>
      </c>
      <c r="V104" s="35" t="inlineStr">
        <is>
          <t>G</t>
        </is>
      </c>
      <c r="W104" s="35" t="inlineStr">
        <is>
          <t>G</t>
        </is>
      </c>
      <c r="X104" s="35" t="inlineStr">
        <is>
          <t>G</t>
        </is>
      </c>
      <c r="Y104" s="35" t="inlineStr">
        <is>
          <t>G</t>
        </is>
      </c>
      <c r="Z104" s="35" t="inlineStr">
        <is>
          <t>G</t>
        </is>
      </c>
      <c r="AA104" s="35" t="inlineStr">
        <is>
          <t>G</t>
        </is>
      </c>
      <c r="AB104" s="35" t="inlineStr">
        <is>
          <t>G</t>
        </is>
      </c>
      <c r="AC104" s="35" t="inlineStr">
        <is>
          <t>H</t>
        </is>
      </c>
      <c r="AD104" s="35" t="inlineStr">
        <is>
          <t>H</t>
        </is>
      </c>
      <c r="AE104" s="35" t="inlineStr">
        <is>
          <t>H</t>
        </is>
      </c>
      <c r="AF104" s="35" t="inlineStr">
        <is>
          <t>H</t>
        </is>
      </c>
      <c r="BE104" s="36">
        <f>D104*$B$6</f>
        <v/>
      </c>
      <c r="BF104" s="36">
        <f>D104*$I$13</f>
        <v/>
      </c>
      <c r="BG104" s="37">
        <f>MATCH("P",$E104:$BD104,0)</f>
        <v/>
      </c>
    </row>
    <row r="105">
      <c r="A105" s="26" t="inlineStr">
        <is>
          <t>Kale W17</t>
        </is>
      </c>
      <c r="B105" s="26" t="inlineStr">
        <is>
          <t>Kale</t>
        </is>
      </c>
      <c r="C105" s="33" t="n">
        <v>0</v>
      </c>
      <c r="D105" s="34" t="n">
        <v>0</v>
      </c>
      <c r="U105" s="35" t="inlineStr">
        <is>
          <t>P</t>
        </is>
      </c>
      <c r="V105" s="35" t="inlineStr">
        <is>
          <t>G</t>
        </is>
      </c>
      <c r="W105" s="35" t="inlineStr">
        <is>
          <t>G</t>
        </is>
      </c>
      <c r="X105" s="35" t="inlineStr">
        <is>
          <t>G</t>
        </is>
      </c>
      <c r="Y105" s="35" t="inlineStr">
        <is>
          <t>G</t>
        </is>
      </c>
      <c r="Z105" s="35" t="inlineStr">
        <is>
          <t>G</t>
        </is>
      </c>
      <c r="AA105" s="35" t="inlineStr">
        <is>
          <t>G</t>
        </is>
      </c>
      <c r="AB105" s="35" t="inlineStr">
        <is>
          <t>G</t>
        </is>
      </c>
      <c r="AC105" s="35" t="inlineStr">
        <is>
          <t>G</t>
        </is>
      </c>
      <c r="AD105" s="35" t="inlineStr">
        <is>
          <t>H</t>
        </is>
      </c>
      <c r="AE105" s="35" t="inlineStr">
        <is>
          <t>H</t>
        </is>
      </c>
      <c r="AF105" s="35" t="inlineStr">
        <is>
          <t>H</t>
        </is>
      </c>
      <c r="AG105" s="35" t="inlineStr">
        <is>
          <t>H</t>
        </is>
      </c>
      <c r="BE105" s="36">
        <f>D105*$B$6</f>
        <v/>
      </c>
      <c r="BF105" s="36">
        <f>D105*$I$13</f>
        <v/>
      </c>
      <c r="BG105" s="37">
        <f>MATCH("P",$E105:$BD105,0)</f>
        <v/>
      </c>
    </row>
    <row r="106">
      <c r="A106" s="26" t="inlineStr">
        <is>
          <t>Kale W18</t>
        </is>
      </c>
      <c r="B106" s="26" t="inlineStr">
        <is>
          <t>Kale</t>
        </is>
      </c>
      <c r="C106" s="33" t="n">
        <v>0</v>
      </c>
      <c r="D106" s="34" t="n">
        <v>0</v>
      </c>
      <c r="V106" s="35" t="inlineStr">
        <is>
          <t>P</t>
        </is>
      </c>
      <c r="W106" s="35" t="inlineStr">
        <is>
          <t>G</t>
        </is>
      </c>
      <c r="X106" s="35" t="inlineStr">
        <is>
          <t>G</t>
        </is>
      </c>
      <c r="Y106" s="35" t="inlineStr">
        <is>
          <t>G</t>
        </is>
      </c>
      <c r="Z106" s="35" t="inlineStr">
        <is>
          <t>G</t>
        </is>
      </c>
      <c r="AA106" s="35" t="inlineStr">
        <is>
          <t>G</t>
        </is>
      </c>
      <c r="AB106" s="35" t="inlineStr">
        <is>
          <t>G</t>
        </is>
      </c>
      <c r="AC106" s="35" t="inlineStr">
        <is>
          <t>G</t>
        </is>
      </c>
      <c r="AD106" s="35" t="inlineStr">
        <is>
          <t>G</t>
        </is>
      </c>
      <c r="AE106" s="35" t="inlineStr">
        <is>
          <t>H</t>
        </is>
      </c>
      <c r="AF106" s="35" t="inlineStr">
        <is>
          <t>H</t>
        </is>
      </c>
      <c r="AG106" s="35" t="inlineStr">
        <is>
          <t>H</t>
        </is>
      </c>
      <c r="AH106" s="35" t="inlineStr">
        <is>
          <t>H</t>
        </is>
      </c>
      <c r="BE106" s="36">
        <f>D106*$B$6</f>
        <v/>
      </c>
      <c r="BF106" s="36">
        <f>D106*$I$13</f>
        <v/>
      </c>
      <c r="BG106" s="37">
        <f>MATCH("P",$E106:$BD106,0)</f>
        <v/>
      </c>
    </row>
    <row r="107">
      <c r="A107" s="26" t="inlineStr">
        <is>
          <t>Kale W19</t>
        </is>
      </c>
      <c r="B107" s="26" t="inlineStr">
        <is>
          <t>Kale</t>
        </is>
      </c>
      <c r="C107" s="33" t="n">
        <v>0</v>
      </c>
      <c r="D107" s="34" t="n">
        <v>0</v>
      </c>
      <c r="W107" s="35" t="inlineStr">
        <is>
          <t>P</t>
        </is>
      </c>
      <c r="X107" s="35" t="inlineStr">
        <is>
          <t>G</t>
        </is>
      </c>
      <c r="Y107" s="35" t="inlineStr">
        <is>
          <t>G</t>
        </is>
      </c>
      <c r="Z107" s="35" t="inlineStr">
        <is>
          <t>G</t>
        </is>
      </c>
      <c r="AA107" s="35" t="inlineStr">
        <is>
          <t>G</t>
        </is>
      </c>
      <c r="AB107" s="35" t="inlineStr">
        <is>
          <t>G</t>
        </is>
      </c>
      <c r="AC107" s="35" t="inlineStr">
        <is>
          <t>G</t>
        </is>
      </c>
      <c r="AD107" s="35" t="inlineStr">
        <is>
          <t>G</t>
        </is>
      </c>
      <c r="AE107" s="35" t="inlineStr">
        <is>
          <t>G</t>
        </is>
      </c>
      <c r="AF107" s="35" t="inlineStr">
        <is>
          <t>H</t>
        </is>
      </c>
      <c r="AG107" s="35" t="inlineStr">
        <is>
          <t>H</t>
        </is>
      </c>
      <c r="AH107" s="35" t="inlineStr">
        <is>
          <t>H</t>
        </is>
      </c>
      <c r="AI107" s="35" t="inlineStr">
        <is>
          <t>H</t>
        </is>
      </c>
      <c r="BE107" s="36">
        <f>D107*$B$6</f>
        <v/>
      </c>
      <c r="BF107" s="36">
        <f>D107*$I$13</f>
        <v/>
      </c>
      <c r="BG107" s="37">
        <f>MATCH("P",$E107:$BD107,0)</f>
        <v/>
      </c>
    </row>
    <row r="108">
      <c r="A108" s="26" t="inlineStr">
        <is>
          <t>Kale W20</t>
        </is>
      </c>
      <c r="B108" s="26" t="inlineStr">
        <is>
          <t>Kale</t>
        </is>
      </c>
      <c r="C108" s="33" t="n">
        <v>0</v>
      </c>
      <c r="D108" s="34" t="n">
        <v>0</v>
      </c>
      <c r="X108" s="35" t="inlineStr">
        <is>
          <t>P</t>
        </is>
      </c>
      <c r="Y108" s="35" t="inlineStr">
        <is>
          <t>G</t>
        </is>
      </c>
      <c r="Z108" s="35" t="inlineStr">
        <is>
          <t>G</t>
        </is>
      </c>
      <c r="AA108" s="35" t="inlineStr">
        <is>
          <t>G</t>
        </is>
      </c>
      <c r="AB108" s="35" t="inlineStr">
        <is>
          <t>G</t>
        </is>
      </c>
      <c r="AC108" s="35" t="inlineStr">
        <is>
          <t>G</t>
        </is>
      </c>
      <c r="AD108" s="35" t="inlineStr">
        <is>
          <t>G</t>
        </is>
      </c>
      <c r="AE108" s="35" t="inlineStr">
        <is>
          <t>G</t>
        </is>
      </c>
      <c r="AF108" s="35" t="inlineStr">
        <is>
          <t>G</t>
        </is>
      </c>
      <c r="AG108" s="35" t="inlineStr">
        <is>
          <t>H</t>
        </is>
      </c>
      <c r="AH108" s="35" t="inlineStr">
        <is>
          <t>H</t>
        </is>
      </c>
      <c r="AI108" s="35" t="inlineStr">
        <is>
          <t>H</t>
        </is>
      </c>
      <c r="AJ108" s="35" t="inlineStr">
        <is>
          <t>H</t>
        </is>
      </c>
      <c r="BE108" s="36">
        <f>D108*$B$6</f>
        <v/>
      </c>
      <c r="BF108" s="36">
        <f>D108*$I$13</f>
        <v/>
      </c>
      <c r="BG108" s="37">
        <f>MATCH("P",$E108:$BD108,0)</f>
        <v/>
      </c>
    </row>
    <row r="109">
      <c r="A109" s="26" t="inlineStr">
        <is>
          <t>Kale W21</t>
        </is>
      </c>
      <c r="B109" s="26" t="inlineStr">
        <is>
          <t>Kale</t>
        </is>
      </c>
      <c r="C109" s="33" t="n">
        <v>0</v>
      </c>
      <c r="D109" s="34" t="n">
        <v>0</v>
      </c>
      <c r="Y109" s="35" t="inlineStr">
        <is>
          <t>P</t>
        </is>
      </c>
      <c r="Z109" s="35" t="inlineStr">
        <is>
          <t>G</t>
        </is>
      </c>
      <c r="AA109" s="35" t="inlineStr">
        <is>
          <t>G</t>
        </is>
      </c>
      <c r="AB109" s="35" t="inlineStr">
        <is>
          <t>G</t>
        </is>
      </c>
      <c r="AC109" s="35" t="inlineStr">
        <is>
          <t>G</t>
        </is>
      </c>
      <c r="AD109" s="35" t="inlineStr">
        <is>
          <t>G</t>
        </is>
      </c>
      <c r="AE109" s="35" t="inlineStr">
        <is>
          <t>G</t>
        </is>
      </c>
      <c r="AF109" s="35" t="inlineStr">
        <is>
          <t>G</t>
        </is>
      </c>
      <c r="AG109" s="35" t="inlineStr">
        <is>
          <t>G</t>
        </is>
      </c>
      <c r="AH109" s="35" t="inlineStr">
        <is>
          <t>H</t>
        </is>
      </c>
      <c r="AI109" s="35" t="inlineStr">
        <is>
          <t>H</t>
        </is>
      </c>
      <c r="AJ109" s="35" t="inlineStr">
        <is>
          <t>H</t>
        </is>
      </c>
      <c r="AK109" s="35" t="inlineStr">
        <is>
          <t>H</t>
        </is>
      </c>
      <c r="BE109" s="36">
        <f>D109*$B$6</f>
        <v/>
      </c>
      <c r="BF109" s="36">
        <f>D109*$I$13</f>
        <v/>
      </c>
      <c r="BG109" s="37">
        <f>MATCH("P",$E109:$BD109,0)</f>
        <v/>
      </c>
    </row>
    <row r="110">
      <c r="A110" s="26" t="inlineStr">
        <is>
          <t>Kale W22</t>
        </is>
      </c>
      <c r="B110" s="26" t="inlineStr">
        <is>
          <t>Kale</t>
        </is>
      </c>
      <c r="C110" s="33" t="n">
        <v>0</v>
      </c>
      <c r="D110" s="34" t="n">
        <v>0</v>
      </c>
      <c r="Z110" s="35" t="inlineStr">
        <is>
          <t>P</t>
        </is>
      </c>
      <c r="AA110" s="35" t="inlineStr">
        <is>
          <t>G</t>
        </is>
      </c>
      <c r="AB110" s="35" t="inlineStr">
        <is>
          <t>G</t>
        </is>
      </c>
      <c r="AC110" s="35" t="inlineStr">
        <is>
          <t>G</t>
        </is>
      </c>
      <c r="AD110" s="35" t="inlineStr">
        <is>
          <t>G</t>
        </is>
      </c>
      <c r="AE110" s="35" t="inlineStr">
        <is>
          <t>G</t>
        </is>
      </c>
      <c r="AF110" s="35" t="inlineStr">
        <is>
          <t>G</t>
        </is>
      </c>
      <c r="AG110" s="35" t="inlineStr">
        <is>
          <t>G</t>
        </is>
      </c>
      <c r="AH110" s="35" t="inlineStr">
        <is>
          <t>G</t>
        </is>
      </c>
      <c r="AI110" s="35" t="inlineStr">
        <is>
          <t>H</t>
        </is>
      </c>
      <c r="AJ110" s="35" t="inlineStr">
        <is>
          <t>H</t>
        </is>
      </c>
      <c r="AK110" s="35" t="inlineStr">
        <is>
          <t>H</t>
        </is>
      </c>
      <c r="AL110" s="35" t="inlineStr">
        <is>
          <t>H</t>
        </is>
      </c>
      <c r="BE110" s="36">
        <f>D110*$B$6</f>
        <v/>
      </c>
      <c r="BF110" s="36">
        <f>D110*$I$13</f>
        <v/>
      </c>
      <c r="BG110" s="37">
        <f>MATCH("P",$E110:$BD110,0)</f>
        <v/>
      </c>
    </row>
    <row r="111">
      <c r="A111" s="26" t="inlineStr">
        <is>
          <t>Kale W29</t>
        </is>
      </c>
      <c r="B111" s="26" t="inlineStr">
        <is>
          <t>Kale</t>
        </is>
      </c>
      <c r="C111" s="33" t="n">
        <v>0</v>
      </c>
      <c r="D111" s="34" t="n">
        <v>0</v>
      </c>
      <c r="AG111" s="35" t="inlineStr">
        <is>
          <t>P</t>
        </is>
      </c>
      <c r="AH111" s="35" t="inlineStr">
        <is>
          <t>G</t>
        </is>
      </c>
      <c r="AI111" s="35" t="inlineStr">
        <is>
          <t>G</t>
        </is>
      </c>
      <c r="AJ111" s="35" t="inlineStr">
        <is>
          <t>G</t>
        </is>
      </c>
      <c r="AK111" s="35" t="inlineStr">
        <is>
          <t>G</t>
        </is>
      </c>
      <c r="AL111" s="35" t="inlineStr">
        <is>
          <t>G</t>
        </is>
      </c>
      <c r="AM111" s="35" t="inlineStr">
        <is>
          <t>G</t>
        </is>
      </c>
      <c r="AN111" s="35" t="inlineStr">
        <is>
          <t>G</t>
        </is>
      </c>
      <c r="AO111" s="35" t="inlineStr">
        <is>
          <t>G</t>
        </is>
      </c>
      <c r="AP111" s="35" t="inlineStr">
        <is>
          <t>H</t>
        </is>
      </c>
      <c r="AQ111" s="35" t="inlineStr">
        <is>
          <t>H</t>
        </is>
      </c>
      <c r="AR111" s="35" t="inlineStr">
        <is>
          <t>H</t>
        </is>
      </c>
      <c r="AS111" s="35" t="inlineStr">
        <is>
          <t>H</t>
        </is>
      </c>
      <c r="BE111" s="36">
        <f>D111*$B$6</f>
        <v/>
      </c>
      <c r="BF111" s="36">
        <f>D111*$I$13</f>
        <v/>
      </c>
      <c r="BG111" s="37">
        <f>MATCH("P",$E111:$BD111,0)</f>
        <v/>
      </c>
    </row>
    <row r="112">
      <c r="A112" s="26" t="inlineStr">
        <is>
          <t>Kale W30</t>
        </is>
      </c>
      <c r="B112" s="26" t="inlineStr">
        <is>
          <t>Kale</t>
        </is>
      </c>
      <c r="C112" s="33" t="n">
        <v>0</v>
      </c>
      <c r="D112" s="34" t="n">
        <v>0</v>
      </c>
      <c r="AH112" s="35" t="inlineStr">
        <is>
          <t>P</t>
        </is>
      </c>
      <c r="AI112" s="35" t="inlineStr">
        <is>
          <t>G</t>
        </is>
      </c>
      <c r="AJ112" s="35" t="inlineStr">
        <is>
          <t>G</t>
        </is>
      </c>
      <c r="AK112" s="35" t="inlineStr">
        <is>
          <t>G</t>
        </is>
      </c>
      <c r="AL112" s="35" t="inlineStr">
        <is>
          <t>G</t>
        </is>
      </c>
      <c r="AM112" s="35" t="inlineStr">
        <is>
          <t>G</t>
        </is>
      </c>
      <c r="AN112" s="35" t="inlineStr">
        <is>
          <t>G</t>
        </is>
      </c>
      <c r="AO112" s="35" t="inlineStr">
        <is>
          <t>G</t>
        </is>
      </c>
      <c r="AP112" s="35" t="inlineStr">
        <is>
          <t>G</t>
        </is>
      </c>
      <c r="AQ112" s="35" t="inlineStr">
        <is>
          <t>H</t>
        </is>
      </c>
      <c r="AR112" s="35" t="inlineStr">
        <is>
          <t>H</t>
        </is>
      </c>
      <c r="AS112" s="35" t="inlineStr">
        <is>
          <t>H</t>
        </is>
      </c>
      <c r="AT112" s="35" t="inlineStr">
        <is>
          <t>H</t>
        </is>
      </c>
      <c r="BE112" s="36">
        <f>D112*$B$6</f>
        <v/>
      </c>
      <c r="BF112" s="36">
        <f>D112*$I$13</f>
        <v/>
      </c>
      <c r="BG112" s="37">
        <f>MATCH("P",$E112:$BD112,0)</f>
        <v/>
      </c>
    </row>
    <row r="113">
      <c r="A113" s="26" t="inlineStr">
        <is>
          <t>Kale W31</t>
        </is>
      </c>
      <c r="B113" s="26" t="inlineStr">
        <is>
          <t>Kale</t>
        </is>
      </c>
      <c r="C113" s="33" t="n">
        <v>0</v>
      </c>
      <c r="D113" s="34" t="n">
        <v>0</v>
      </c>
      <c r="AI113" s="35" t="inlineStr">
        <is>
          <t>P</t>
        </is>
      </c>
      <c r="AJ113" s="35" t="inlineStr">
        <is>
          <t>G</t>
        </is>
      </c>
      <c r="AK113" s="35" t="inlineStr">
        <is>
          <t>G</t>
        </is>
      </c>
      <c r="AL113" s="35" t="inlineStr">
        <is>
          <t>G</t>
        </is>
      </c>
      <c r="AM113" s="35" t="inlineStr">
        <is>
          <t>G</t>
        </is>
      </c>
      <c r="AN113" s="35" t="inlineStr">
        <is>
          <t>G</t>
        </is>
      </c>
      <c r="AO113" s="35" t="inlineStr">
        <is>
          <t>G</t>
        </is>
      </c>
      <c r="AP113" s="35" t="inlineStr">
        <is>
          <t>G</t>
        </is>
      </c>
      <c r="AQ113" s="35" t="inlineStr">
        <is>
          <t>G</t>
        </is>
      </c>
      <c r="AR113" s="35" t="inlineStr">
        <is>
          <t>H</t>
        </is>
      </c>
      <c r="AS113" s="35" t="inlineStr">
        <is>
          <t>H</t>
        </is>
      </c>
      <c r="AT113" s="35" t="inlineStr">
        <is>
          <t>H</t>
        </is>
      </c>
      <c r="AU113" s="35" t="inlineStr">
        <is>
          <t>H</t>
        </is>
      </c>
      <c r="BE113" s="36">
        <f>D113*$B$6</f>
        <v/>
      </c>
      <c r="BF113" s="36">
        <f>D113*$I$13</f>
        <v/>
      </c>
      <c r="BG113" s="37">
        <f>MATCH("P",$E113:$BD113,0)</f>
        <v/>
      </c>
    </row>
    <row r="114">
      <c r="A114" s="26" t="inlineStr">
        <is>
          <t>Kale W32</t>
        </is>
      </c>
      <c r="B114" s="26" t="inlineStr">
        <is>
          <t>Kale</t>
        </is>
      </c>
      <c r="C114" s="33" t="n">
        <v>0</v>
      </c>
      <c r="D114" s="34" t="n">
        <v>0</v>
      </c>
      <c r="AJ114" s="35" t="inlineStr">
        <is>
          <t>P</t>
        </is>
      </c>
      <c r="AK114" s="35" t="inlineStr">
        <is>
          <t>G</t>
        </is>
      </c>
      <c r="AL114" s="35" t="inlineStr">
        <is>
          <t>G</t>
        </is>
      </c>
      <c r="AM114" s="35" t="inlineStr">
        <is>
          <t>G</t>
        </is>
      </c>
      <c r="AN114" s="35" t="inlineStr">
        <is>
          <t>G</t>
        </is>
      </c>
      <c r="AO114" s="35" t="inlineStr">
        <is>
          <t>G</t>
        </is>
      </c>
      <c r="AP114" s="35" t="inlineStr">
        <is>
          <t>G</t>
        </is>
      </c>
      <c r="AQ114" s="35" t="inlineStr">
        <is>
          <t>G</t>
        </is>
      </c>
      <c r="AR114" s="35" t="inlineStr">
        <is>
          <t>G</t>
        </is>
      </c>
      <c r="AS114" s="35" t="inlineStr">
        <is>
          <t>H</t>
        </is>
      </c>
      <c r="AT114" s="35" t="inlineStr">
        <is>
          <t>H</t>
        </is>
      </c>
      <c r="AU114" s="35" t="inlineStr">
        <is>
          <t>H</t>
        </is>
      </c>
      <c r="AV114" s="35" t="inlineStr">
        <is>
          <t>H</t>
        </is>
      </c>
      <c r="BE114" s="36">
        <f>D114*$B$6</f>
        <v/>
      </c>
      <c r="BF114" s="36">
        <f>D114*$I$13</f>
        <v/>
      </c>
      <c r="BG114" s="37">
        <f>MATCH("P",$E114:$BD114,0)</f>
        <v/>
      </c>
    </row>
    <row r="115">
      <c r="A115" s="26" t="inlineStr">
        <is>
          <t>Kale W33</t>
        </is>
      </c>
      <c r="B115" s="26" t="inlineStr">
        <is>
          <t>Kale</t>
        </is>
      </c>
      <c r="C115" s="33" t="n">
        <v>0</v>
      </c>
      <c r="D115" s="34" t="n">
        <v>0</v>
      </c>
      <c r="AK115" s="35" t="inlineStr">
        <is>
          <t>P</t>
        </is>
      </c>
      <c r="AL115" s="35" t="inlineStr">
        <is>
          <t>G</t>
        </is>
      </c>
      <c r="AM115" s="35" t="inlineStr">
        <is>
          <t>G</t>
        </is>
      </c>
      <c r="AN115" s="35" t="inlineStr">
        <is>
          <t>G</t>
        </is>
      </c>
      <c r="AO115" s="35" t="inlineStr">
        <is>
          <t>G</t>
        </is>
      </c>
      <c r="AP115" s="35" t="inlineStr">
        <is>
          <t>G</t>
        </is>
      </c>
      <c r="AQ115" s="35" t="inlineStr">
        <is>
          <t>G</t>
        </is>
      </c>
      <c r="AR115" s="35" t="inlineStr">
        <is>
          <t>G</t>
        </is>
      </c>
      <c r="AS115" s="35" t="inlineStr">
        <is>
          <t>G</t>
        </is>
      </c>
      <c r="AT115" s="35" t="inlineStr">
        <is>
          <t>H</t>
        </is>
      </c>
      <c r="AU115" s="35" t="inlineStr">
        <is>
          <t>H</t>
        </is>
      </c>
      <c r="AV115" s="35" t="inlineStr">
        <is>
          <t>H</t>
        </is>
      </c>
      <c r="AW115" s="35" t="inlineStr">
        <is>
          <t>H</t>
        </is>
      </c>
      <c r="BE115" s="36">
        <f>D115*$B$6</f>
        <v/>
      </c>
      <c r="BF115" s="36">
        <f>D115*$I$13</f>
        <v/>
      </c>
      <c r="BG115" s="37">
        <f>MATCH("P",$E115:$BD115,0)</f>
        <v/>
      </c>
    </row>
    <row r="116">
      <c r="A116" s="26" t="inlineStr">
        <is>
          <t>Kale W34</t>
        </is>
      </c>
      <c r="B116" s="26" t="inlineStr">
        <is>
          <t>Kale</t>
        </is>
      </c>
      <c r="C116" s="33" t="n">
        <v>0</v>
      </c>
      <c r="D116" s="34" t="n">
        <v>0</v>
      </c>
      <c r="AL116" s="35" t="inlineStr">
        <is>
          <t>P</t>
        </is>
      </c>
      <c r="AM116" s="35" t="inlineStr">
        <is>
          <t>G</t>
        </is>
      </c>
      <c r="AN116" s="35" t="inlineStr">
        <is>
          <t>G</t>
        </is>
      </c>
      <c r="AO116" s="35" t="inlineStr">
        <is>
          <t>G</t>
        </is>
      </c>
      <c r="AP116" s="35" t="inlineStr">
        <is>
          <t>G</t>
        </is>
      </c>
      <c r="AQ116" s="35" t="inlineStr">
        <is>
          <t>G</t>
        </is>
      </c>
      <c r="AR116" s="35" t="inlineStr">
        <is>
          <t>G</t>
        </is>
      </c>
      <c r="AS116" s="35" t="inlineStr">
        <is>
          <t>G</t>
        </is>
      </c>
      <c r="AT116" s="35" t="inlineStr">
        <is>
          <t>G</t>
        </is>
      </c>
      <c r="AU116" s="35" t="inlineStr">
        <is>
          <t>H</t>
        </is>
      </c>
      <c r="AV116" s="35" t="inlineStr">
        <is>
          <t>H</t>
        </is>
      </c>
      <c r="AW116" s="35" t="inlineStr">
        <is>
          <t>H</t>
        </is>
      </c>
      <c r="AX116" s="35" t="inlineStr">
        <is>
          <t>H</t>
        </is>
      </c>
      <c r="BE116" s="36">
        <f>D116*$B$6</f>
        <v/>
      </c>
      <c r="BF116" s="36">
        <f>D116*$I$13</f>
        <v/>
      </c>
      <c r="BG116" s="37">
        <f>MATCH("P",$E116:$BD116,0)</f>
        <v/>
      </c>
    </row>
    <row r="117">
      <c r="A117" s="26" t="inlineStr">
        <is>
          <t>Kale W35</t>
        </is>
      </c>
      <c r="B117" s="26" t="inlineStr">
        <is>
          <t>Kale</t>
        </is>
      </c>
      <c r="C117" s="33" t="n">
        <v>0</v>
      </c>
      <c r="D117" s="34" t="n">
        <v>0</v>
      </c>
      <c r="AM117" s="35" t="inlineStr">
        <is>
          <t>P</t>
        </is>
      </c>
      <c r="AN117" s="35" t="inlineStr">
        <is>
          <t>G</t>
        </is>
      </c>
      <c r="AO117" s="35" t="inlineStr">
        <is>
          <t>G</t>
        </is>
      </c>
      <c r="AP117" s="35" t="inlineStr">
        <is>
          <t>G</t>
        </is>
      </c>
      <c r="AQ117" s="35" t="inlineStr">
        <is>
          <t>G</t>
        </is>
      </c>
      <c r="AR117" s="35" t="inlineStr">
        <is>
          <t>G</t>
        </is>
      </c>
      <c r="AS117" s="35" t="inlineStr">
        <is>
          <t>G</t>
        </is>
      </c>
      <c r="AT117" s="35" t="inlineStr">
        <is>
          <t>G</t>
        </is>
      </c>
      <c r="AU117" s="35" t="inlineStr">
        <is>
          <t>G</t>
        </is>
      </c>
      <c r="AV117" s="35" t="inlineStr">
        <is>
          <t>H</t>
        </is>
      </c>
      <c r="AW117" s="35" t="inlineStr">
        <is>
          <t>H</t>
        </is>
      </c>
      <c r="AX117" s="35" t="inlineStr">
        <is>
          <t>H</t>
        </is>
      </c>
      <c r="AY117" s="35" t="inlineStr">
        <is>
          <t>H</t>
        </is>
      </c>
      <c r="BE117" s="36">
        <f>D117*$B$6</f>
        <v/>
      </c>
      <c r="BF117" s="36">
        <f>D117*$I$13</f>
        <v/>
      </c>
      <c r="BG117" s="37">
        <f>MATCH("P",$E117:$BD117,0)</f>
        <v/>
      </c>
    </row>
    <row r="118">
      <c r="A118" s="26" t="inlineStr">
        <is>
          <t>Kale W36</t>
        </is>
      </c>
      <c r="B118" s="26" t="inlineStr">
        <is>
          <t>Kale</t>
        </is>
      </c>
      <c r="C118" s="33" t="n">
        <v>0</v>
      </c>
      <c r="D118" s="34" t="n">
        <v>0</v>
      </c>
      <c r="AN118" s="35" t="inlineStr">
        <is>
          <t>P</t>
        </is>
      </c>
      <c r="AO118" s="35" t="inlineStr">
        <is>
          <t>G</t>
        </is>
      </c>
      <c r="AP118" s="35" t="inlineStr">
        <is>
          <t>G</t>
        </is>
      </c>
      <c r="AQ118" s="35" t="inlineStr">
        <is>
          <t>G</t>
        </is>
      </c>
      <c r="AR118" s="35" t="inlineStr">
        <is>
          <t>G</t>
        </is>
      </c>
      <c r="AS118" s="35" t="inlineStr">
        <is>
          <t>G</t>
        </is>
      </c>
      <c r="AT118" s="35" t="inlineStr">
        <is>
          <t>G</t>
        </is>
      </c>
      <c r="AU118" s="35" t="inlineStr">
        <is>
          <t>G</t>
        </is>
      </c>
      <c r="AV118" s="35" t="inlineStr">
        <is>
          <t>G</t>
        </is>
      </c>
      <c r="AW118" s="35" t="inlineStr">
        <is>
          <t>H</t>
        </is>
      </c>
      <c r="AX118" s="35" t="inlineStr">
        <is>
          <t>H</t>
        </is>
      </c>
      <c r="AY118" s="35" t="inlineStr">
        <is>
          <t>H</t>
        </is>
      </c>
      <c r="AZ118" s="35" t="inlineStr">
        <is>
          <t>H</t>
        </is>
      </c>
      <c r="BE118" s="36">
        <f>D118*$B$6</f>
        <v/>
      </c>
      <c r="BF118" s="36">
        <f>D118*$I$13</f>
        <v/>
      </c>
      <c r="BG118" s="37">
        <f>MATCH("P",$E118:$BD118,0)</f>
        <v/>
      </c>
    </row>
    <row r="119">
      <c r="A119" s="26" t="inlineStr">
        <is>
          <t>Kale W37</t>
        </is>
      </c>
      <c r="B119" s="26" t="inlineStr">
        <is>
          <t>Kale</t>
        </is>
      </c>
      <c r="C119" s="33" t="n">
        <v>0</v>
      </c>
      <c r="D119" s="34" t="n">
        <v>0</v>
      </c>
      <c r="AO119" s="35" t="inlineStr">
        <is>
          <t>P</t>
        </is>
      </c>
      <c r="AP119" s="35" t="inlineStr">
        <is>
          <t>G</t>
        </is>
      </c>
      <c r="AQ119" s="35" t="inlineStr">
        <is>
          <t>G</t>
        </is>
      </c>
      <c r="AR119" s="35" t="inlineStr">
        <is>
          <t>G</t>
        </is>
      </c>
      <c r="AS119" s="35" t="inlineStr">
        <is>
          <t>G</t>
        </is>
      </c>
      <c r="AT119" s="35" t="inlineStr">
        <is>
          <t>G</t>
        </is>
      </c>
      <c r="AU119" s="35" t="inlineStr">
        <is>
          <t>G</t>
        </is>
      </c>
      <c r="AV119" s="35" t="inlineStr">
        <is>
          <t>G</t>
        </is>
      </c>
      <c r="AW119" s="35" t="inlineStr">
        <is>
          <t>G</t>
        </is>
      </c>
      <c r="AX119" s="35" t="inlineStr">
        <is>
          <t>H</t>
        </is>
      </c>
      <c r="AY119" s="35" t="inlineStr">
        <is>
          <t>H</t>
        </is>
      </c>
      <c r="AZ119" s="35" t="inlineStr">
        <is>
          <t>H</t>
        </is>
      </c>
      <c r="BA119" s="35" t="inlineStr">
        <is>
          <t>H</t>
        </is>
      </c>
      <c r="BE119" s="36">
        <f>D119*$B$6</f>
        <v/>
      </c>
      <c r="BF119" s="36">
        <f>D119*$I$13</f>
        <v/>
      </c>
      <c r="BG119" s="37">
        <f>MATCH("P",$E119:$BD119,0)</f>
        <v/>
      </c>
    </row>
    <row r="120">
      <c r="A120" s="26" t="inlineStr">
        <is>
          <t>Kale W38</t>
        </is>
      </c>
      <c r="B120" s="26" t="inlineStr">
        <is>
          <t>Kale</t>
        </is>
      </c>
      <c r="C120" s="33" t="n">
        <v>0</v>
      </c>
      <c r="D120" s="34" t="n">
        <v>0</v>
      </c>
      <c r="AP120" s="35" t="inlineStr">
        <is>
          <t>P</t>
        </is>
      </c>
      <c r="AQ120" s="35" t="inlineStr">
        <is>
          <t>G</t>
        </is>
      </c>
      <c r="AR120" s="35" t="inlineStr">
        <is>
          <t>G</t>
        </is>
      </c>
      <c r="AS120" s="35" t="inlineStr">
        <is>
          <t>G</t>
        </is>
      </c>
      <c r="AT120" s="35" t="inlineStr">
        <is>
          <t>G</t>
        </is>
      </c>
      <c r="AU120" s="35" t="inlineStr">
        <is>
          <t>G</t>
        </is>
      </c>
      <c r="AV120" s="35" t="inlineStr">
        <is>
          <t>G</t>
        </is>
      </c>
      <c r="AW120" s="35" t="inlineStr">
        <is>
          <t>G</t>
        </is>
      </c>
      <c r="AX120" s="35" t="inlineStr">
        <is>
          <t>G</t>
        </is>
      </c>
      <c r="AY120" s="35" t="inlineStr">
        <is>
          <t>H</t>
        </is>
      </c>
      <c r="AZ120" s="35" t="inlineStr">
        <is>
          <t>H</t>
        </is>
      </c>
      <c r="BA120" s="35" t="inlineStr">
        <is>
          <t>H</t>
        </is>
      </c>
      <c r="BB120" s="35" t="inlineStr">
        <is>
          <t>H</t>
        </is>
      </c>
      <c r="BE120" s="36">
        <f>D120*$B$6</f>
        <v/>
      </c>
      <c r="BF120" s="36">
        <f>D120*$I$13</f>
        <v/>
      </c>
      <c r="BG120" s="37">
        <f>MATCH("P",$E120:$BD120,0)</f>
        <v/>
      </c>
    </row>
    <row r="121">
      <c r="A121" s="26" t="inlineStr">
        <is>
          <t>Kale W39</t>
        </is>
      </c>
      <c r="B121" s="26" t="inlineStr">
        <is>
          <t>Kale</t>
        </is>
      </c>
      <c r="C121" s="33" t="n">
        <v>0</v>
      </c>
      <c r="D121" s="34" t="n">
        <v>0</v>
      </c>
      <c r="AQ121" s="35" t="inlineStr">
        <is>
          <t>P</t>
        </is>
      </c>
      <c r="AR121" s="35" t="inlineStr">
        <is>
          <t>G</t>
        </is>
      </c>
      <c r="AS121" s="35" t="inlineStr">
        <is>
          <t>G</t>
        </is>
      </c>
      <c r="AT121" s="35" t="inlineStr">
        <is>
          <t>G</t>
        </is>
      </c>
      <c r="AU121" s="35" t="inlineStr">
        <is>
          <t>G</t>
        </is>
      </c>
      <c r="AV121" s="35" t="inlineStr">
        <is>
          <t>G</t>
        </is>
      </c>
      <c r="AW121" s="35" t="inlineStr">
        <is>
          <t>G</t>
        </is>
      </c>
      <c r="AX121" s="35" t="inlineStr">
        <is>
          <t>G</t>
        </is>
      </c>
      <c r="AY121" s="35" t="inlineStr">
        <is>
          <t>G</t>
        </is>
      </c>
      <c r="AZ121" s="35" t="inlineStr">
        <is>
          <t>H</t>
        </is>
      </c>
      <c r="BA121" s="35" t="inlineStr">
        <is>
          <t>H</t>
        </is>
      </c>
      <c r="BB121" s="35" t="inlineStr">
        <is>
          <t>H</t>
        </is>
      </c>
      <c r="BC121" s="35" t="inlineStr">
        <is>
          <t>H</t>
        </is>
      </c>
      <c r="BE121" s="36">
        <f>D121*$B$6</f>
        <v/>
      </c>
      <c r="BF121" s="36">
        <f>D121*$I$13</f>
        <v/>
      </c>
      <c r="BG121" s="37">
        <f>MATCH("P",$E121:$BD121,0)</f>
        <v/>
      </c>
    </row>
    <row r="122">
      <c r="A122" s="26" t="inlineStr">
        <is>
          <t>Kale W40</t>
        </is>
      </c>
      <c r="B122" s="26" t="inlineStr">
        <is>
          <t>Kale</t>
        </is>
      </c>
      <c r="C122" s="33" t="n">
        <v>0</v>
      </c>
      <c r="D122" s="34" t="n">
        <v>0</v>
      </c>
      <c r="AR122" s="35" t="inlineStr">
        <is>
          <t>P</t>
        </is>
      </c>
      <c r="AS122" s="35" t="inlineStr">
        <is>
          <t>G</t>
        </is>
      </c>
      <c r="AT122" s="35" t="inlineStr">
        <is>
          <t>G</t>
        </is>
      </c>
      <c r="AU122" s="35" t="inlineStr">
        <is>
          <t>G</t>
        </is>
      </c>
      <c r="AV122" s="35" t="inlineStr">
        <is>
          <t>G</t>
        </is>
      </c>
      <c r="AW122" s="35" t="inlineStr">
        <is>
          <t>G</t>
        </is>
      </c>
      <c r="AX122" s="35" t="inlineStr">
        <is>
          <t>G</t>
        </is>
      </c>
      <c r="AY122" s="35" t="inlineStr">
        <is>
          <t>G</t>
        </is>
      </c>
      <c r="AZ122" s="35" t="inlineStr">
        <is>
          <t>G</t>
        </is>
      </c>
      <c r="BA122" s="35" t="inlineStr">
        <is>
          <t>H</t>
        </is>
      </c>
      <c r="BB122" s="35" t="inlineStr">
        <is>
          <t>H</t>
        </is>
      </c>
      <c r="BC122" s="35" t="inlineStr">
        <is>
          <t>H</t>
        </is>
      </c>
      <c r="BD122" s="35" t="inlineStr">
        <is>
          <t>H</t>
        </is>
      </c>
      <c r="BE122" s="36">
        <f>D122*$B$6</f>
        <v/>
      </c>
      <c r="BF122" s="36">
        <f>D122*$I$13</f>
        <v/>
      </c>
      <c r="BG122" s="37">
        <f>MATCH("P",$E122:$BD122,0)</f>
        <v/>
      </c>
    </row>
    <row r="123">
      <c r="A123" s="26" t="inlineStr">
        <is>
          <t>Garlic W46</t>
        </is>
      </c>
      <c r="B123" s="26" t="inlineStr">
        <is>
          <t>Garlic</t>
        </is>
      </c>
      <c r="C123" s="33" t="n">
        <v>0</v>
      </c>
      <c r="D123" s="34" t="n">
        <v>0</v>
      </c>
      <c r="E123" s="35" t="inlineStr">
        <is>
          <t>G</t>
        </is>
      </c>
      <c r="F123" s="35" t="inlineStr">
        <is>
          <t>G</t>
        </is>
      </c>
      <c r="G123" s="35" t="inlineStr">
        <is>
          <t>G</t>
        </is>
      </c>
      <c r="H123" s="35" t="inlineStr">
        <is>
          <t>G</t>
        </is>
      </c>
      <c r="I123" s="35" t="inlineStr">
        <is>
          <t>G</t>
        </is>
      </c>
      <c r="J123" s="35" t="inlineStr">
        <is>
          <t>G</t>
        </is>
      </c>
      <c r="K123" s="35" t="inlineStr">
        <is>
          <t>G</t>
        </is>
      </c>
      <c r="L123" s="35" t="inlineStr">
        <is>
          <t>G</t>
        </is>
      </c>
      <c r="M123" s="35" t="inlineStr">
        <is>
          <t>G</t>
        </is>
      </c>
      <c r="N123" s="35" t="inlineStr">
        <is>
          <t>G</t>
        </is>
      </c>
      <c r="O123" s="35" t="inlineStr">
        <is>
          <t>G</t>
        </is>
      </c>
      <c r="P123" s="35" t="inlineStr">
        <is>
          <t>G</t>
        </is>
      </c>
      <c r="Q123" s="35" t="inlineStr">
        <is>
          <t>G</t>
        </is>
      </c>
      <c r="R123" s="35" t="inlineStr">
        <is>
          <t>G</t>
        </is>
      </c>
      <c r="S123" s="35" t="inlineStr">
        <is>
          <t>G</t>
        </is>
      </c>
      <c r="T123" s="35" t="inlineStr">
        <is>
          <t>G</t>
        </is>
      </c>
      <c r="U123" s="35" t="inlineStr">
        <is>
          <t>G</t>
        </is>
      </c>
      <c r="V123" s="35" t="inlineStr">
        <is>
          <t>G</t>
        </is>
      </c>
      <c r="W123" s="35" t="inlineStr">
        <is>
          <t>G</t>
        </is>
      </c>
      <c r="X123" s="35" t="inlineStr">
        <is>
          <t>G</t>
        </is>
      </c>
      <c r="Y123" s="35" t="inlineStr">
        <is>
          <t>G</t>
        </is>
      </c>
      <c r="Z123" s="35" t="inlineStr">
        <is>
          <t>G</t>
        </is>
      </c>
      <c r="AA123" s="35" t="inlineStr">
        <is>
          <t>G</t>
        </is>
      </c>
      <c r="AB123" s="35" t="inlineStr">
        <is>
          <t>G</t>
        </is>
      </c>
      <c r="AC123" s="35" t="inlineStr">
        <is>
          <t>G</t>
        </is>
      </c>
      <c r="AD123" s="35" t="inlineStr">
        <is>
          <t>G</t>
        </is>
      </c>
      <c r="AE123" s="35" t="inlineStr">
        <is>
          <t>G</t>
        </is>
      </c>
      <c r="AF123" s="35" t="inlineStr">
        <is>
          <t>G</t>
        </is>
      </c>
      <c r="AG123" s="35" t="inlineStr">
        <is>
          <t>H</t>
        </is>
      </c>
      <c r="AX123" s="35" t="inlineStr">
        <is>
          <t>P</t>
        </is>
      </c>
      <c r="AY123" s="35" t="inlineStr">
        <is>
          <t>P</t>
        </is>
      </c>
      <c r="AZ123" s="35" t="inlineStr">
        <is>
          <t>P</t>
        </is>
      </c>
      <c r="BA123" s="35" t="inlineStr">
        <is>
          <t>G</t>
        </is>
      </c>
      <c r="BB123" s="35" t="inlineStr">
        <is>
          <t>G</t>
        </is>
      </c>
      <c r="BC123" s="35" t="inlineStr">
        <is>
          <t>G</t>
        </is>
      </c>
      <c r="BD123" s="35" t="inlineStr">
        <is>
          <t>G</t>
        </is>
      </c>
      <c r="BE123" s="36">
        <f>D123*$B$6</f>
        <v/>
      </c>
      <c r="BF123" s="36">
        <f>D123*$I$14</f>
        <v/>
      </c>
      <c r="BG123" s="37">
        <f>MATCH("P",$E123:$BD123,0)</f>
        <v/>
      </c>
    </row>
    <row r="124">
      <c r="A124" s="26" t="inlineStr">
        <is>
          <t>Garlic W47</t>
        </is>
      </c>
      <c r="B124" s="26" t="inlineStr">
        <is>
          <t>Garlic</t>
        </is>
      </c>
      <c r="C124" s="33" t="n">
        <v>0</v>
      </c>
      <c r="D124" s="34" t="n">
        <v>0</v>
      </c>
      <c r="E124" s="35" t="inlineStr">
        <is>
          <t>G</t>
        </is>
      </c>
      <c r="F124" s="35" t="inlineStr">
        <is>
          <t>G</t>
        </is>
      </c>
      <c r="G124" s="35" t="inlineStr">
        <is>
          <t>G</t>
        </is>
      </c>
      <c r="H124" s="35" t="inlineStr">
        <is>
          <t>G</t>
        </is>
      </c>
      <c r="I124" s="35" t="inlineStr">
        <is>
          <t>G</t>
        </is>
      </c>
      <c r="J124" s="35" t="inlineStr">
        <is>
          <t>G</t>
        </is>
      </c>
      <c r="K124" s="35" t="inlineStr">
        <is>
          <t>G</t>
        </is>
      </c>
      <c r="L124" s="35" t="inlineStr">
        <is>
          <t>G</t>
        </is>
      </c>
      <c r="M124" s="35" t="inlineStr">
        <is>
          <t>G</t>
        </is>
      </c>
      <c r="N124" s="35" t="inlineStr">
        <is>
          <t>G</t>
        </is>
      </c>
      <c r="O124" s="35" t="inlineStr">
        <is>
          <t>G</t>
        </is>
      </c>
      <c r="P124" s="35" t="inlineStr">
        <is>
          <t>G</t>
        </is>
      </c>
      <c r="Q124" s="35" t="inlineStr">
        <is>
          <t>G</t>
        </is>
      </c>
      <c r="R124" s="35" t="inlineStr">
        <is>
          <t>G</t>
        </is>
      </c>
      <c r="S124" s="35" t="inlineStr">
        <is>
          <t>G</t>
        </is>
      </c>
      <c r="T124" s="35" t="inlineStr">
        <is>
          <t>G</t>
        </is>
      </c>
      <c r="U124" s="35" t="inlineStr">
        <is>
          <t>G</t>
        </is>
      </c>
      <c r="V124" s="35" t="inlineStr">
        <is>
          <t>G</t>
        </is>
      </c>
      <c r="W124" s="35" t="inlineStr">
        <is>
          <t>G</t>
        </is>
      </c>
      <c r="X124" s="35" t="inlineStr">
        <is>
          <t>G</t>
        </is>
      </c>
      <c r="Y124" s="35" t="inlineStr">
        <is>
          <t>G</t>
        </is>
      </c>
      <c r="Z124" s="35" t="inlineStr">
        <is>
          <t>G</t>
        </is>
      </c>
      <c r="AA124" s="35" t="inlineStr">
        <is>
          <t>G</t>
        </is>
      </c>
      <c r="AB124" s="35" t="inlineStr">
        <is>
          <t>G</t>
        </is>
      </c>
      <c r="AC124" s="35" t="inlineStr">
        <is>
          <t>G</t>
        </is>
      </c>
      <c r="AD124" s="35" t="inlineStr">
        <is>
          <t>G</t>
        </is>
      </c>
      <c r="AE124" s="35" t="inlineStr">
        <is>
          <t>G</t>
        </is>
      </c>
      <c r="AF124" s="35" t="inlineStr">
        <is>
          <t>G</t>
        </is>
      </c>
      <c r="AG124" s="35" t="inlineStr">
        <is>
          <t>G</t>
        </is>
      </c>
      <c r="AH124" s="35" t="inlineStr">
        <is>
          <t>H</t>
        </is>
      </c>
      <c r="AY124" s="35" t="inlineStr">
        <is>
          <t>P</t>
        </is>
      </c>
      <c r="AZ124" s="35" t="inlineStr">
        <is>
          <t>P</t>
        </is>
      </c>
      <c r="BA124" s="35" t="inlineStr">
        <is>
          <t>P</t>
        </is>
      </c>
      <c r="BB124" s="35" t="inlineStr">
        <is>
          <t>G</t>
        </is>
      </c>
      <c r="BC124" s="35" t="inlineStr">
        <is>
          <t>G</t>
        </is>
      </c>
      <c r="BD124" s="35" t="inlineStr">
        <is>
          <t>G</t>
        </is>
      </c>
      <c r="BE124" s="36">
        <f>D124*$B$6</f>
        <v/>
      </c>
      <c r="BF124" s="36">
        <f>D124*$I$14</f>
        <v/>
      </c>
      <c r="BG124" s="37">
        <f>MATCH("P",$E124:$BD124,0)</f>
        <v/>
      </c>
    </row>
    <row r="125">
      <c r="A125" s="26" t="inlineStr">
        <is>
          <t>Garlic W48</t>
        </is>
      </c>
      <c r="B125" s="26" t="inlineStr">
        <is>
          <t>Garlic</t>
        </is>
      </c>
      <c r="C125" s="33" t="n">
        <v>0</v>
      </c>
      <c r="D125" s="34" t="n">
        <v>0</v>
      </c>
      <c r="E125" s="35" t="inlineStr">
        <is>
          <t>G</t>
        </is>
      </c>
      <c r="F125" s="35" t="inlineStr">
        <is>
          <t>G</t>
        </is>
      </c>
      <c r="G125" s="35" t="inlineStr">
        <is>
          <t>G</t>
        </is>
      </c>
      <c r="H125" s="35" t="inlineStr">
        <is>
          <t>G</t>
        </is>
      </c>
      <c r="I125" s="35" t="inlineStr">
        <is>
          <t>G</t>
        </is>
      </c>
      <c r="J125" s="35" t="inlineStr">
        <is>
          <t>G</t>
        </is>
      </c>
      <c r="K125" s="35" t="inlineStr">
        <is>
          <t>G</t>
        </is>
      </c>
      <c r="L125" s="35" t="inlineStr">
        <is>
          <t>G</t>
        </is>
      </c>
      <c r="M125" s="35" t="inlineStr">
        <is>
          <t>G</t>
        </is>
      </c>
      <c r="N125" s="35" t="inlineStr">
        <is>
          <t>G</t>
        </is>
      </c>
      <c r="O125" s="35" t="inlineStr">
        <is>
          <t>G</t>
        </is>
      </c>
      <c r="P125" s="35" t="inlineStr">
        <is>
          <t>G</t>
        </is>
      </c>
      <c r="Q125" s="35" t="inlineStr">
        <is>
          <t>G</t>
        </is>
      </c>
      <c r="R125" s="35" t="inlineStr">
        <is>
          <t>G</t>
        </is>
      </c>
      <c r="S125" s="35" t="inlineStr">
        <is>
          <t>G</t>
        </is>
      </c>
      <c r="T125" s="35" t="inlineStr">
        <is>
          <t>G</t>
        </is>
      </c>
      <c r="U125" s="35" t="inlineStr">
        <is>
          <t>G</t>
        </is>
      </c>
      <c r="V125" s="35" t="inlineStr">
        <is>
          <t>G</t>
        </is>
      </c>
      <c r="W125" s="35" t="inlineStr">
        <is>
          <t>G</t>
        </is>
      </c>
      <c r="X125" s="35" t="inlineStr">
        <is>
          <t>G</t>
        </is>
      </c>
      <c r="Y125" s="35" t="inlineStr">
        <is>
          <t>G</t>
        </is>
      </c>
      <c r="Z125" s="35" t="inlineStr">
        <is>
          <t>G</t>
        </is>
      </c>
      <c r="AA125" s="35" t="inlineStr">
        <is>
          <t>G</t>
        </is>
      </c>
      <c r="AB125" s="35" t="inlineStr">
        <is>
          <t>G</t>
        </is>
      </c>
      <c r="AC125" s="35" t="inlineStr">
        <is>
          <t>G</t>
        </is>
      </c>
      <c r="AD125" s="35" t="inlineStr">
        <is>
          <t>G</t>
        </is>
      </c>
      <c r="AE125" s="35" t="inlineStr">
        <is>
          <t>G</t>
        </is>
      </c>
      <c r="AF125" s="35" t="inlineStr">
        <is>
          <t>G</t>
        </is>
      </c>
      <c r="AG125" s="35" t="inlineStr">
        <is>
          <t>G</t>
        </is>
      </c>
      <c r="AH125" s="35" t="inlineStr">
        <is>
          <t>G</t>
        </is>
      </c>
      <c r="AI125" s="35" t="inlineStr">
        <is>
          <t>H</t>
        </is>
      </c>
      <c r="AZ125" s="35" t="inlineStr">
        <is>
          <t>P</t>
        </is>
      </c>
      <c r="BA125" s="35" t="inlineStr">
        <is>
          <t>P</t>
        </is>
      </c>
      <c r="BB125" s="35" t="inlineStr">
        <is>
          <t>P</t>
        </is>
      </c>
      <c r="BC125" s="35" t="inlineStr">
        <is>
          <t>G</t>
        </is>
      </c>
      <c r="BD125" s="35" t="inlineStr">
        <is>
          <t>G</t>
        </is>
      </c>
      <c r="BE125" s="36">
        <f>D125*$B$6</f>
        <v/>
      </c>
      <c r="BF125" s="36">
        <f>D125*$I$14</f>
        <v/>
      </c>
      <c r="BG125" s="37">
        <f>MATCH("P",$E125:$BD125,0)</f>
        <v/>
      </c>
    </row>
    <row r="126">
      <c r="A126" s="2" t="inlineStr">
        <is>
          <t>ACRES &lt;= 'max if planted' and ACRES &gt;= 'min if planted' are the app's C9 and C10: you cannot plant acres without deciding to plant, and if you plant at all you plant a real block.</t>
        </is>
      </c>
    </row>
    <row r="128">
      <c r="A128" s="30" t="inlineStr">
        <is>
          <t>Week</t>
        </is>
      </c>
      <c r="B128" s="38" t="inlineStr">
        <is>
          <t>acres</t>
        </is>
      </c>
      <c r="E128" s="31" t="n">
        <v>1</v>
      </c>
      <c r="F128" s="31" t="n">
        <v>2</v>
      </c>
      <c r="G128" s="31" t="n">
        <v>3</v>
      </c>
      <c r="H128" s="31" t="n">
        <v>4</v>
      </c>
      <c r="I128" s="31" t="n">
        <v>5</v>
      </c>
      <c r="J128" s="31" t="n">
        <v>6</v>
      </c>
      <c r="K128" s="31" t="n">
        <v>7</v>
      </c>
      <c r="L128" s="31" t="n">
        <v>8</v>
      </c>
      <c r="M128" s="31" t="n">
        <v>9</v>
      </c>
      <c r="N128" s="31" t="n">
        <v>10</v>
      </c>
      <c r="O128" s="31" t="n">
        <v>11</v>
      </c>
      <c r="P128" s="31" t="n">
        <v>12</v>
      </c>
      <c r="Q128" s="31" t="n">
        <v>13</v>
      </c>
      <c r="R128" s="31" t="n">
        <v>14</v>
      </c>
      <c r="S128" s="31" t="n">
        <v>15</v>
      </c>
      <c r="T128" s="31" t="n">
        <v>16</v>
      </c>
      <c r="U128" s="31" t="n">
        <v>17</v>
      </c>
      <c r="V128" s="31" t="n">
        <v>18</v>
      </c>
      <c r="W128" s="31" t="n">
        <v>19</v>
      </c>
      <c r="X128" s="31" t="n">
        <v>20</v>
      </c>
      <c r="Y128" s="31" t="n">
        <v>21</v>
      </c>
      <c r="Z128" s="31" t="n">
        <v>22</v>
      </c>
      <c r="AA128" s="31" t="n">
        <v>23</v>
      </c>
      <c r="AB128" s="31" t="n">
        <v>24</v>
      </c>
      <c r="AC128" s="31" t="n">
        <v>25</v>
      </c>
      <c r="AD128" s="31" t="n">
        <v>26</v>
      </c>
      <c r="AE128" s="31" t="n">
        <v>27</v>
      </c>
      <c r="AF128" s="31" t="n">
        <v>28</v>
      </c>
      <c r="AG128" s="31" t="n">
        <v>29</v>
      </c>
      <c r="AH128" s="31" t="n">
        <v>30</v>
      </c>
      <c r="AI128" s="31" t="n">
        <v>31</v>
      </c>
      <c r="AJ128" s="31" t="n">
        <v>32</v>
      </c>
      <c r="AK128" s="31" t="n">
        <v>33</v>
      </c>
      <c r="AL128" s="31" t="n">
        <v>34</v>
      </c>
      <c r="AM128" s="31" t="n">
        <v>35</v>
      </c>
      <c r="AN128" s="31" t="n">
        <v>36</v>
      </c>
      <c r="AO128" s="31" t="n">
        <v>37</v>
      </c>
      <c r="AP128" s="31" t="n">
        <v>38</v>
      </c>
      <c r="AQ128" s="31" t="n">
        <v>39</v>
      </c>
      <c r="AR128" s="31" t="n">
        <v>40</v>
      </c>
      <c r="AS128" s="31" t="n">
        <v>41</v>
      </c>
      <c r="AT128" s="31" t="n">
        <v>42</v>
      </c>
      <c r="AU128" s="31" t="n">
        <v>43</v>
      </c>
      <c r="AV128" s="31" t="n">
        <v>44</v>
      </c>
      <c r="AW128" s="31" t="n">
        <v>45</v>
      </c>
      <c r="AX128" s="31" t="n">
        <v>46</v>
      </c>
      <c r="AY128" s="31" t="n">
        <v>47</v>
      </c>
      <c r="AZ128" s="31" t="n">
        <v>48</v>
      </c>
      <c r="BA128" s="31" t="n">
        <v>49</v>
      </c>
      <c r="BB128" s="31" t="n">
        <v>50</v>
      </c>
      <c r="BC128" s="31" t="n">
        <v>51</v>
      </c>
      <c r="BD128" s="31" t="n">
        <v>52</v>
      </c>
    </row>
    <row r="129">
      <c r="A129" s="39" t="inlineStr">
        <is>
          <t>LAND in the ground</t>
        </is>
      </c>
      <c r="B129" s="2" t="inlineStr">
        <is>
          <t>used</t>
        </is>
      </c>
      <c r="E129" s="40">
        <f>SUMPRODUCT((E$58:E$125&lt;&gt;"")*$C$58:$C$125)</f>
        <v/>
      </c>
      <c r="F129" s="40">
        <f>SUMPRODUCT((F$58:F$125&lt;&gt;"")*$C$58:$C$125)</f>
        <v/>
      </c>
      <c r="G129" s="40">
        <f>SUMPRODUCT((G$58:G$125&lt;&gt;"")*$C$58:$C$125)</f>
        <v/>
      </c>
      <c r="H129" s="40">
        <f>SUMPRODUCT((H$58:H$125&lt;&gt;"")*$C$58:$C$125)</f>
        <v/>
      </c>
      <c r="I129" s="40">
        <f>SUMPRODUCT((I$58:I$125&lt;&gt;"")*$C$58:$C$125)</f>
        <v/>
      </c>
      <c r="J129" s="40">
        <f>SUMPRODUCT((J$58:J$125&lt;&gt;"")*$C$58:$C$125)</f>
        <v/>
      </c>
      <c r="K129" s="40">
        <f>SUMPRODUCT((K$58:K$125&lt;&gt;"")*$C$58:$C$125)</f>
        <v/>
      </c>
      <c r="L129" s="40">
        <f>SUMPRODUCT((L$58:L$125&lt;&gt;"")*$C$58:$C$125)</f>
        <v/>
      </c>
      <c r="M129" s="40">
        <f>SUMPRODUCT((M$58:M$125&lt;&gt;"")*$C$58:$C$125)</f>
        <v/>
      </c>
      <c r="N129" s="40">
        <f>SUMPRODUCT((N$58:N$125&lt;&gt;"")*$C$58:$C$125)</f>
        <v/>
      </c>
      <c r="O129" s="40">
        <f>SUMPRODUCT((O$58:O$125&lt;&gt;"")*$C$58:$C$125)</f>
        <v/>
      </c>
      <c r="P129" s="40">
        <f>SUMPRODUCT((P$58:P$125&lt;&gt;"")*$C$58:$C$125)</f>
        <v/>
      </c>
      <c r="Q129" s="40">
        <f>SUMPRODUCT((Q$58:Q$125&lt;&gt;"")*$C$58:$C$125)</f>
        <v/>
      </c>
      <c r="R129" s="40">
        <f>SUMPRODUCT((R$58:R$125&lt;&gt;"")*$C$58:$C$125)</f>
        <v/>
      </c>
      <c r="S129" s="40">
        <f>SUMPRODUCT((S$58:S$125&lt;&gt;"")*$C$58:$C$125)</f>
        <v/>
      </c>
      <c r="T129" s="40">
        <f>SUMPRODUCT((T$58:T$125&lt;&gt;"")*$C$58:$C$125)</f>
        <v/>
      </c>
      <c r="U129" s="40">
        <f>SUMPRODUCT((U$58:U$125&lt;&gt;"")*$C$58:$C$125)</f>
        <v/>
      </c>
      <c r="V129" s="40">
        <f>SUMPRODUCT((V$58:V$125&lt;&gt;"")*$C$58:$C$125)</f>
        <v/>
      </c>
      <c r="W129" s="40">
        <f>SUMPRODUCT((W$58:W$125&lt;&gt;"")*$C$58:$C$125)</f>
        <v/>
      </c>
      <c r="X129" s="40">
        <f>SUMPRODUCT((X$58:X$125&lt;&gt;"")*$C$58:$C$125)</f>
        <v/>
      </c>
      <c r="Y129" s="40">
        <f>SUMPRODUCT((Y$58:Y$125&lt;&gt;"")*$C$58:$C$125)</f>
        <v/>
      </c>
      <c r="Z129" s="40">
        <f>SUMPRODUCT((Z$58:Z$125&lt;&gt;"")*$C$58:$C$125)</f>
        <v/>
      </c>
      <c r="AA129" s="40">
        <f>SUMPRODUCT((AA$58:AA$125&lt;&gt;"")*$C$58:$C$125)</f>
        <v/>
      </c>
      <c r="AB129" s="40">
        <f>SUMPRODUCT((AB$58:AB$125&lt;&gt;"")*$C$58:$C$125)</f>
        <v/>
      </c>
      <c r="AC129" s="40">
        <f>SUMPRODUCT((AC$58:AC$125&lt;&gt;"")*$C$58:$C$125)</f>
        <v/>
      </c>
      <c r="AD129" s="40">
        <f>SUMPRODUCT((AD$58:AD$125&lt;&gt;"")*$C$58:$C$125)</f>
        <v/>
      </c>
      <c r="AE129" s="40">
        <f>SUMPRODUCT((AE$58:AE$125&lt;&gt;"")*$C$58:$C$125)</f>
        <v/>
      </c>
      <c r="AF129" s="40">
        <f>SUMPRODUCT((AF$58:AF$125&lt;&gt;"")*$C$58:$C$125)</f>
        <v/>
      </c>
      <c r="AG129" s="40">
        <f>SUMPRODUCT((AG$58:AG$125&lt;&gt;"")*$C$58:$C$125)</f>
        <v/>
      </c>
      <c r="AH129" s="40">
        <f>SUMPRODUCT((AH$58:AH$125&lt;&gt;"")*$C$58:$C$125)</f>
        <v/>
      </c>
      <c r="AI129" s="40">
        <f>SUMPRODUCT((AI$58:AI$125&lt;&gt;"")*$C$58:$C$125)</f>
        <v/>
      </c>
      <c r="AJ129" s="40">
        <f>SUMPRODUCT((AJ$58:AJ$125&lt;&gt;"")*$C$58:$C$125)</f>
        <v/>
      </c>
      <c r="AK129" s="40">
        <f>SUMPRODUCT((AK$58:AK$125&lt;&gt;"")*$C$58:$C$125)</f>
        <v/>
      </c>
      <c r="AL129" s="40">
        <f>SUMPRODUCT((AL$58:AL$125&lt;&gt;"")*$C$58:$C$125)</f>
        <v/>
      </c>
      <c r="AM129" s="40">
        <f>SUMPRODUCT((AM$58:AM$125&lt;&gt;"")*$C$58:$C$125)</f>
        <v/>
      </c>
      <c r="AN129" s="40">
        <f>SUMPRODUCT((AN$58:AN$125&lt;&gt;"")*$C$58:$C$125)</f>
        <v/>
      </c>
      <c r="AO129" s="40">
        <f>SUMPRODUCT((AO$58:AO$125&lt;&gt;"")*$C$58:$C$125)</f>
        <v/>
      </c>
      <c r="AP129" s="40">
        <f>SUMPRODUCT((AP$58:AP$125&lt;&gt;"")*$C$58:$C$125)</f>
        <v/>
      </c>
      <c r="AQ129" s="40">
        <f>SUMPRODUCT((AQ$58:AQ$125&lt;&gt;"")*$C$58:$C$125)</f>
        <v/>
      </c>
      <c r="AR129" s="40">
        <f>SUMPRODUCT((AR$58:AR$125&lt;&gt;"")*$C$58:$C$125)</f>
        <v/>
      </c>
      <c r="AS129" s="40">
        <f>SUMPRODUCT((AS$58:AS$125&lt;&gt;"")*$C$58:$C$125)</f>
        <v/>
      </c>
      <c r="AT129" s="40">
        <f>SUMPRODUCT((AT$58:AT$125&lt;&gt;"")*$C$58:$C$125)</f>
        <v/>
      </c>
      <c r="AU129" s="40">
        <f>SUMPRODUCT((AU$58:AU$125&lt;&gt;"")*$C$58:$C$125)</f>
        <v/>
      </c>
      <c r="AV129" s="40">
        <f>SUMPRODUCT((AV$58:AV$125&lt;&gt;"")*$C$58:$C$125)</f>
        <v/>
      </c>
      <c r="AW129" s="40">
        <f>SUMPRODUCT((AW$58:AW$125&lt;&gt;"")*$C$58:$C$125)</f>
        <v/>
      </c>
      <c r="AX129" s="40">
        <f>SUMPRODUCT((AX$58:AX$125&lt;&gt;"")*$C$58:$C$125)</f>
        <v/>
      </c>
      <c r="AY129" s="40">
        <f>SUMPRODUCT((AY$58:AY$125&lt;&gt;"")*$C$58:$C$125)</f>
        <v/>
      </c>
      <c r="AZ129" s="40">
        <f>SUMPRODUCT((AZ$58:AZ$125&lt;&gt;"")*$C$58:$C$125)</f>
        <v/>
      </c>
      <c r="BA129" s="40">
        <f>SUMPRODUCT((BA$58:BA$125&lt;&gt;"")*$C$58:$C$125)</f>
        <v/>
      </c>
      <c r="BB129" s="40">
        <f>SUMPRODUCT((BB$58:BB$125&lt;&gt;"")*$C$58:$C$125)</f>
        <v/>
      </c>
      <c r="BC129" s="40">
        <f>SUMPRODUCT((BC$58:BC$125&lt;&gt;"")*$C$58:$C$125)</f>
        <v/>
      </c>
      <c r="BD129" s="40">
        <f>SUMPRODUCT((BD$58:BD$125&lt;&gt;"")*$C$58:$C$125)</f>
        <v/>
      </c>
    </row>
    <row r="130">
      <c r="A130" s="4" t="inlineStr"/>
      <c r="E130" s="41" t="inlineStr">
        <is>
          <t>&lt;=</t>
        </is>
      </c>
      <c r="F130" s="41" t="inlineStr">
        <is>
          <t>&lt;=</t>
        </is>
      </c>
      <c r="G130" s="41" t="inlineStr">
        <is>
          <t>&lt;=</t>
        </is>
      </c>
      <c r="H130" s="41" t="inlineStr">
        <is>
          <t>&lt;=</t>
        </is>
      </c>
      <c r="I130" s="41" t="inlineStr">
        <is>
          <t>&lt;=</t>
        </is>
      </c>
      <c r="J130" s="41" t="inlineStr">
        <is>
          <t>&lt;=</t>
        </is>
      </c>
      <c r="K130" s="41" t="inlineStr">
        <is>
          <t>&lt;=</t>
        </is>
      </c>
      <c r="L130" s="41" t="inlineStr">
        <is>
          <t>&lt;=</t>
        </is>
      </c>
      <c r="M130" s="41" t="inlineStr">
        <is>
          <t>&lt;=</t>
        </is>
      </c>
      <c r="N130" s="41" t="inlineStr">
        <is>
          <t>&lt;=</t>
        </is>
      </c>
      <c r="O130" s="41" t="inlineStr">
        <is>
          <t>&lt;=</t>
        </is>
      </c>
      <c r="P130" s="41" t="inlineStr">
        <is>
          <t>&lt;=</t>
        </is>
      </c>
      <c r="Q130" s="41" t="inlineStr">
        <is>
          <t>&lt;=</t>
        </is>
      </c>
      <c r="R130" s="41" t="inlineStr">
        <is>
          <t>&lt;=</t>
        </is>
      </c>
      <c r="S130" s="41" t="inlineStr">
        <is>
          <t>&lt;=</t>
        </is>
      </c>
      <c r="T130" s="41" t="inlineStr">
        <is>
          <t>&lt;=</t>
        </is>
      </c>
      <c r="U130" s="41" t="inlineStr">
        <is>
          <t>&lt;=</t>
        </is>
      </c>
      <c r="V130" s="41" t="inlineStr">
        <is>
          <t>&lt;=</t>
        </is>
      </c>
      <c r="W130" s="41" t="inlineStr">
        <is>
          <t>&lt;=</t>
        </is>
      </c>
      <c r="X130" s="41" t="inlineStr">
        <is>
          <t>&lt;=</t>
        </is>
      </c>
      <c r="Y130" s="41" t="inlineStr">
        <is>
          <t>&lt;=</t>
        </is>
      </c>
      <c r="Z130" s="41" t="inlineStr">
        <is>
          <t>&lt;=</t>
        </is>
      </c>
      <c r="AA130" s="41" t="inlineStr">
        <is>
          <t>&lt;=</t>
        </is>
      </c>
      <c r="AB130" s="41" t="inlineStr">
        <is>
          <t>&lt;=</t>
        </is>
      </c>
      <c r="AC130" s="41" t="inlineStr">
        <is>
          <t>&lt;=</t>
        </is>
      </c>
      <c r="AD130" s="41" t="inlineStr">
        <is>
          <t>&lt;=</t>
        </is>
      </c>
      <c r="AE130" s="41" t="inlineStr">
        <is>
          <t>&lt;=</t>
        </is>
      </c>
      <c r="AF130" s="41" t="inlineStr">
        <is>
          <t>&lt;=</t>
        </is>
      </c>
      <c r="AG130" s="41" t="inlineStr">
        <is>
          <t>&lt;=</t>
        </is>
      </c>
      <c r="AH130" s="41" t="inlineStr">
        <is>
          <t>&lt;=</t>
        </is>
      </c>
      <c r="AI130" s="41" t="inlineStr">
        <is>
          <t>&lt;=</t>
        </is>
      </c>
      <c r="AJ130" s="41" t="inlineStr">
        <is>
          <t>&lt;=</t>
        </is>
      </c>
      <c r="AK130" s="41" t="inlineStr">
        <is>
          <t>&lt;=</t>
        </is>
      </c>
      <c r="AL130" s="41" t="inlineStr">
        <is>
          <t>&lt;=</t>
        </is>
      </c>
      <c r="AM130" s="41" t="inlineStr">
        <is>
          <t>&lt;=</t>
        </is>
      </c>
      <c r="AN130" s="41" t="inlineStr">
        <is>
          <t>&lt;=</t>
        </is>
      </c>
      <c r="AO130" s="41" t="inlineStr">
        <is>
          <t>&lt;=</t>
        </is>
      </c>
      <c r="AP130" s="41" t="inlineStr">
        <is>
          <t>&lt;=</t>
        </is>
      </c>
      <c r="AQ130" s="41" t="inlineStr">
        <is>
          <t>&lt;=</t>
        </is>
      </c>
      <c r="AR130" s="41" t="inlineStr">
        <is>
          <t>&lt;=</t>
        </is>
      </c>
      <c r="AS130" s="41" t="inlineStr">
        <is>
          <t>&lt;=</t>
        </is>
      </c>
      <c r="AT130" s="41" t="inlineStr">
        <is>
          <t>&lt;=</t>
        </is>
      </c>
      <c r="AU130" s="41" t="inlineStr">
        <is>
          <t>&lt;=</t>
        </is>
      </c>
      <c r="AV130" s="41" t="inlineStr">
        <is>
          <t>&lt;=</t>
        </is>
      </c>
      <c r="AW130" s="41" t="inlineStr">
        <is>
          <t>&lt;=</t>
        </is>
      </c>
      <c r="AX130" s="41" t="inlineStr">
        <is>
          <t>&lt;=</t>
        </is>
      </c>
      <c r="AY130" s="41" t="inlineStr">
        <is>
          <t>&lt;=</t>
        </is>
      </c>
      <c r="AZ130" s="41" t="inlineStr">
        <is>
          <t>&lt;=</t>
        </is>
      </c>
      <c r="BA130" s="41" t="inlineStr">
        <is>
          <t>&lt;=</t>
        </is>
      </c>
      <c r="BB130" s="41" t="inlineStr">
        <is>
          <t>&lt;=</t>
        </is>
      </c>
      <c r="BC130" s="41" t="inlineStr">
        <is>
          <t>&lt;=</t>
        </is>
      </c>
      <c r="BD130" s="41" t="inlineStr">
        <is>
          <t>&lt;=</t>
        </is>
      </c>
    </row>
    <row r="131">
      <c r="A131" s="39" t="inlineStr">
        <is>
          <t xml:space="preserve">  limit</t>
        </is>
      </c>
      <c r="B131" s="2" t="inlineStr">
        <is>
          <t>cap</t>
        </is>
      </c>
      <c r="E131" s="40">
        <f>$B$6</f>
        <v/>
      </c>
      <c r="F131" s="40">
        <f>$B$6</f>
        <v/>
      </c>
      <c r="G131" s="40">
        <f>$B$6</f>
        <v/>
      </c>
      <c r="H131" s="40">
        <f>$B$6</f>
        <v/>
      </c>
      <c r="I131" s="40">
        <f>$B$6</f>
        <v/>
      </c>
      <c r="J131" s="40">
        <f>$B$6</f>
        <v/>
      </c>
      <c r="K131" s="40">
        <f>$B$6</f>
        <v/>
      </c>
      <c r="L131" s="40">
        <f>$B$6</f>
        <v/>
      </c>
      <c r="M131" s="40">
        <f>$B$6</f>
        <v/>
      </c>
      <c r="N131" s="40">
        <f>$B$6</f>
        <v/>
      </c>
      <c r="O131" s="40">
        <f>$B$6</f>
        <v/>
      </c>
      <c r="P131" s="40">
        <f>$B$6</f>
        <v/>
      </c>
      <c r="Q131" s="40">
        <f>$B$6</f>
        <v/>
      </c>
      <c r="R131" s="40">
        <f>$B$6</f>
        <v/>
      </c>
      <c r="S131" s="40">
        <f>$B$6</f>
        <v/>
      </c>
      <c r="T131" s="40">
        <f>$B$6</f>
        <v/>
      </c>
      <c r="U131" s="40">
        <f>$B$6</f>
        <v/>
      </c>
      <c r="V131" s="40">
        <f>$B$6</f>
        <v/>
      </c>
      <c r="W131" s="40">
        <f>$B$6</f>
        <v/>
      </c>
      <c r="X131" s="40">
        <f>$B$6</f>
        <v/>
      </c>
      <c r="Y131" s="40">
        <f>$B$6</f>
        <v/>
      </c>
      <c r="Z131" s="40">
        <f>$B$6</f>
        <v/>
      </c>
      <c r="AA131" s="40">
        <f>$B$6</f>
        <v/>
      </c>
      <c r="AB131" s="40">
        <f>$B$6</f>
        <v/>
      </c>
      <c r="AC131" s="40">
        <f>$B$6</f>
        <v/>
      </c>
      <c r="AD131" s="40">
        <f>$B$6</f>
        <v/>
      </c>
      <c r="AE131" s="40">
        <f>$B$6</f>
        <v/>
      </c>
      <c r="AF131" s="40">
        <f>$B$6</f>
        <v/>
      </c>
      <c r="AG131" s="40">
        <f>$B$6</f>
        <v/>
      </c>
      <c r="AH131" s="40">
        <f>$B$6</f>
        <v/>
      </c>
      <c r="AI131" s="40">
        <f>$B$6</f>
        <v/>
      </c>
      <c r="AJ131" s="40">
        <f>$B$6</f>
        <v/>
      </c>
      <c r="AK131" s="40">
        <f>$B$6</f>
        <v/>
      </c>
      <c r="AL131" s="40">
        <f>$B$6</f>
        <v/>
      </c>
      <c r="AM131" s="40">
        <f>$B$6</f>
        <v/>
      </c>
      <c r="AN131" s="40">
        <f>$B$6</f>
        <v/>
      </c>
      <c r="AO131" s="40">
        <f>$B$6</f>
        <v/>
      </c>
      <c r="AP131" s="40">
        <f>$B$6</f>
        <v/>
      </c>
      <c r="AQ131" s="40">
        <f>$B$6</f>
        <v/>
      </c>
      <c r="AR131" s="40">
        <f>$B$6</f>
        <v/>
      </c>
      <c r="AS131" s="40">
        <f>$B$6</f>
        <v/>
      </c>
      <c r="AT131" s="40">
        <f>$B$6</f>
        <v/>
      </c>
      <c r="AU131" s="40">
        <f>$B$6</f>
        <v/>
      </c>
      <c r="AV131" s="40">
        <f>$B$6</f>
        <v/>
      </c>
      <c r="AW131" s="40">
        <f>$B$6</f>
        <v/>
      </c>
      <c r="AX131" s="40">
        <f>$B$6</f>
        <v/>
      </c>
      <c r="AY131" s="40">
        <f>$B$6</f>
        <v/>
      </c>
      <c r="AZ131" s="40">
        <f>$B$6</f>
        <v/>
      </c>
      <c r="BA131" s="40">
        <f>$B$6</f>
        <v/>
      </c>
      <c r="BB131" s="40">
        <f>$B$6</f>
        <v/>
      </c>
      <c r="BC131" s="40">
        <f>$B$6</f>
        <v/>
      </c>
      <c r="BD131" s="40">
        <f>$B$6</f>
        <v/>
      </c>
    </row>
    <row r="132">
      <c r="A132" s="28" t="inlineStr">
        <is>
          <t xml:space="preserve">  room left</t>
        </is>
      </c>
      <c r="E132" s="40">
        <f>$B$6-E129</f>
        <v/>
      </c>
      <c r="F132" s="40">
        <f>$B$6-F129</f>
        <v/>
      </c>
      <c r="G132" s="40">
        <f>$B$6-G129</f>
        <v/>
      </c>
      <c r="H132" s="40">
        <f>$B$6-H129</f>
        <v/>
      </c>
      <c r="I132" s="40">
        <f>$B$6-I129</f>
        <v/>
      </c>
      <c r="J132" s="40">
        <f>$B$6-J129</f>
        <v/>
      </c>
      <c r="K132" s="40">
        <f>$B$6-K129</f>
        <v/>
      </c>
      <c r="L132" s="40">
        <f>$B$6-L129</f>
        <v/>
      </c>
      <c r="M132" s="40">
        <f>$B$6-M129</f>
        <v/>
      </c>
      <c r="N132" s="40">
        <f>$B$6-N129</f>
        <v/>
      </c>
      <c r="O132" s="40">
        <f>$B$6-O129</f>
        <v/>
      </c>
      <c r="P132" s="40">
        <f>$B$6-P129</f>
        <v/>
      </c>
      <c r="Q132" s="40">
        <f>$B$6-Q129</f>
        <v/>
      </c>
      <c r="R132" s="40">
        <f>$B$6-R129</f>
        <v/>
      </c>
      <c r="S132" s="40">
        <f>$B$6-S129</f>
        <v/>
      </c>
      <c r="T132" s="40">
        <f>$B$6-T129</f>
        <v/>
      </c>
      <c r="U132" s="40">
        <f>$B$6-U129</f>
        <v/>
      </c>
      <c r="V132" s="40">
        <f>$B$6-V129</f>
        <v/>
      </c>
      <c r="W132" s="40">
        <f>$B$6-W129</f>
        <v/>
      </c>
      <c r="X132" s="40">
        <f>$B$6-X129</f>
        <v/>
      </c>
      <c r="Y132" s="40">
        <f>$B$6-Y129</f>
        <v/>
      </c>
      <c r="Z132" s="40">
        <f>$B$6-Z129</f>
        <v/>
      </c>
      <c r="AA132" s="40">
        <f>$B$6-AA129</f>
        <v/>
      </c>
      <c r="AB132" s="40">
        <f>$B$6-AB129</f>
        <v/>
      </c>
      <c r="AC132" s="40">
        <f>$B$6-AC129</f>
        <v/>
      </c>
      <c r="AD132" s="40">
        <f>$B$6-AD129</f>
        <v/>
      </c>
      <c r="AE132" s="40">
        <f>$B$6-AE129</f>
        <v/>
      </c>
      <c r="AF132" s="40">
        <f>$B$6-AF129</f>
        <v/>
      </c>
      <c r="AG132" s="40">
        <f>$B$6-AG129</f>
        <v/>
      </c>
      <c r="AH132" s="40">
        <f>$B$6-AH129</f>
        <v/>
      </c>
      <c r="AI132" s="40">
        <f>$B$6-AI129</f>
        <v/>
      </c>
      <c r="AJ132" s="40">
        <f>$B$6-AJ129</f>
        <v/>
      </c>
      <c r="AK132" s="40">
        <f>$B$6-AK129</f>
        <v/>
      </c>
      <c r="AL132" s="40">
        <f>$B$6-AL129</f>
        <v/>
      </c>
      <c r="AM132" s="40">
        <f>$B$6-AM129</f>
        <v/>
      </c>
      <c r="AN132" s="40">
        <f>$B$6-AN129</f>
        <v/>
      </c>
      <c r="AO132" s="40">
        <f>$B$6-AO129</f>
        <v/>
      </c>
      <c r="AP132" s="40">
        <f>$B$6-AP129</f>
        <v/>
      </c>
      <c r="AQ132" s="40">
        <f>$B$6-AQ129</f>
        <v/>
      </c>
      <c r="AR132" s="40">
        <f>$B$6-AR129</f>
        <v/>
      </c>
      <c r="AS132" s="40">
        <f>$B$6-AS129</f>
        <v/>
      </c>
      <c r="AT132" s="40">
        <f>$B$6-AT129</f>
        <v/>
      </c>
      <c r="AU132" s="40">
        <f>$B$6-AU129</f>
        <v/>
      </c>
      <c r="AV132" s="40">
        <f>$B$6-AV129</f>
        <v/>
      </c>
      <c r="AW132" s="40">
        <f>$B$6-AW129</f>
        <v/>
      </c>
      <c r="AX132" s="40">
        <f>$B$6-AX129</f>
        <v/>
      </c>
      <c r="AY132" s="40">
        <f>$B$6-AY129</f>
        <v/>
      </c>
      <c r="AZ132" s="40">
        <f>$B$6-AZ129</f>
        <v/>
      </c>
      <c r="BA132" s="40">
        <f>$B$6-BA129</f>
        <v/>
      </c>
      <c r="BB132" s="40">
        <f>$B$6-BB129</f>
        <v/>
      </c>
      <c r="BC132" s="40">
        <f>$B$6-BC129</f>
        <v/>
      </c>
      <c r="BD132" s="40">
        <f>$B$6-BD129</f>
        <v/>
      </c>
    </row>
    <row r="133">
      <c r="A133" s="2" t="inlineStr">
        <is>
          <t xml:space="preserve">   Acres standing that week, summed across every planting the solver chose.</t>
        </is>
      </c>
    </row>
    <row r="135">
      <c r="A135" s="30" t="inlineStr">
        <is>
          <t>Week</t>
        </is>
      </c>
      <c r="B135" s="38" t="inlineStr">
        <is>
          <t>hours</t>
        </is>
      </c>
      <c r="E135" s="31" t="n">
        <v>1</v>
      </c>
      <c r="F135" s="31" t="n">
        <v>2</v>
      </c>
      <c r="G135" s="31" t="n">
        <v>3</v>
      </c>
      <c r="H135" s="31" t="n">
        <v>4</v>
      </c>
      <c r="I135" s="31" t="n">
        <v>5</v>
      </c>
      <c r="J135" s="31" t="n">
        <v>6</v>
      </c>
      <c r="K135" s="31" t="n">
        <v>7</v>
      </c>
      <c r="L135" s="31" t="n">
        <v>8</v>
      </c>
      <c r="M135" s="31" t="n">
        <v>9</v>
      </c>
      <c r="N135" s="31" t="n">
        <v>10</v>
      </c>
      <c r="O135" s="31" t="n">
        <v>11</v>
      </c>
      <c r="P135" s="31" t="n">
        <v>12</v>
      </c>
      <c r="Q135" s="31" t="n">
        <v>13</v>
      </c>
      <c r="R135" s="31" t="n">
        <v>14</v>
      </c>
      <c r="S135" s="31" t="n">
        <v>15</v>
      </c>
      <c r="T135" s="31" t="n">
        <v>16</v>
      </c>
      <c r="U135" s="31" t="n">
        <v>17</v>
      </c>
      <c r="V135" s="31" t="n">
        <v>18</v>
      </c>
      <c r="W135" s="31" t="n">
        <v>19</v>
      </c>
      <c r="X135" s="31" t="n">
        <v>20</v>
      </c>
      <c r="Y135" s="31" t="n">
        <v>21</v>
      </c>
      <c r="Z135" s="31" t="n">
        <v>22</v>
      </c>
      <c r="AA135" s="31" t="n">
        <v>23</v>
      </c>
      <c r="AB135" s="31" t="n">
        <v>24</v>
      </c>
      <c r="AC135" s="31" t="n">
        <v>25</v>
      </c>
      <c r="AD135" s="31" t="n">
        <v>26</v>
      </c>
      <c r="AE135" s="31" t="n">
        <v>27</v>
      </c>
      <c r="AF135" s="31" t="n">
        <v>28</v>
      </c>
      <c r="AG135" s="31" t="n">
        <v>29</v>
      </c>
      <c r="AH135" s="31" t="n">
        <v>30</v>
      </c>
      <c r="AI135" s="31" t="n">
        <v>31</v>
      </c>
      <c r="AJ135" s="31" t="n">
        <v>32</v>
      </c>
      <c r="AK135" s="31" t="n">
        <v>33</v>
      </c>
      <c r="AL135" s="31" t="n">
        <v>34</v>
      </c>
      <c r="AM135" s="31" t="n">
        <v>35</v>
      </c>
      <c r="AN135" s="31" t="n">
        <v>36</v>
      </c>
      <c r="AO135" s="31" t="n">
        <v>37</v>
      </c>
      <c r="AP135" s="31" t="n">
        <v>38</v>
      </c>
      <c r="AQ135" s="31" t="n">
        <v>39</v>
      </c>
      <c r="AR135" s="31" t="n">
        <v>40</v>
      </c>
      <c r="AS135" s="31" t="n">
        <v>41</v>
      </c>
      <c r="AT135" s="31" t="n">
        <v>42</v>
      </c>
      <c r="AU135" s="31" t="n">
        <v>43</v>
      </c>
      <c r="AV135" s="31" t="n">
        <v>44</v>
      </c>
      <c r="AW135" s="31" t="n">
        <v>45</v>
      </c>
      <c r="AX135" s="31" t="n">
        <v>46</v>
      </c>
      <c r="AY135" s="31" t="n">
        <v>47</v>
      </c>
      <c r="AZ135" s="31" t="n">
        <v>48</v>
      </c>
      <c r="BA135" s="31" t="n">
        <v>49</v>
      </c>
      <c r="BB135" s="31" t="n">
        <v>50</v>
      </c>
      <c r="BC135" s="31" t="n">
        <v>51</v>
      </c>
      <c r="BD135" s="31" t="n">
        <v>52</v>
      </c>
    </row>
    <row r="136">
      <c r="A136" s="26" t="inlineStr">
        <is>
          <t>1  Hourly headcount</t>
        </is>
      </c>
      <c r="B136" s="2" t="inlineStr">
        <is>
          <t>people</t>
        </is>
      </c>
      <c r="E136" s="42">
        <f>SUMPRODUCT(($G$28:$G$31&lt;=1)*($H$28:$H$31&gt;=1)*($C$28:$C$31&lt;&gt;"salary")*($D$28:$D$31&gt;0)*$B$28:$B$31)</f>
        <v/>
      </c>
      <c r="F136" s="42">
        <f>SUMPRODUCT(($G$28:$G$31&lt;=2)*($H$28:$H$31&gt;=2)*($C$28:$C$31&lt;&gt;"salary")*($D$28:$D$31&gt;0)*$B$28:$B$31)</f>
        <v/>
      </c>
      <c r="G136" s="42">
        <f>SUMPRODUCT(($G$28:$G$31&lt;=3)*($H$28:$H$31&gt;=3)*($C$28:$C$31&lt;&gt;"salary")*($D$28:$D$31&gt;0)*$B$28:$B$31)</f>
        <v/>
      </c>
      <c r="H136" s="42">
        <f>SUMPRODUCT(($G$28:$G$31&lt;=4)*($H$28:$H$31&gt;=4)*($C$28:$C$31&lt;&gt;"salary")*($D$28:$D$31&gt;0)*$B$28:$B$31)</f>
        <v/>
      </c>
      <c r="I136" s="42">
        <f>SUMPRODUCT(($G$28:$G$31&lt;=5)*($H$28:$H$31&gt;=5)*($C$28:$C$31&lt;&gt;"salary")*($D$28:$D$31&gt;0)*$B$28:$B$31)</f>
        <v/>
      </c>
      <c r="J136" s="42">
        <f>SUMPRODUCT(($G$28:$G$31&lt;=6)*($H$28:$H$31&gt;=6)*($C$28:$C$31&lt;&gt;"salary")*($D$28:$D$31&gt;0)*$B$28:$B$31)</f>
        <v/>
      </c>
      <c r="K136" s="42">
        <f>SUMPRODUCT(($G$28:$G$31&lt;=7)*($H$28:$H$31&gt;=7)*($C$28:$C$31&lt;&gt;"salary")*($D$28:$D$31&gt;0)*$B$28:$B$31)</f>
        <v/>
      </c>
      <c r="L136" s="42">
        <f>SUMPRODUCT(($G$28:$G$31&lt;=8)*($H$28:$H$31&gt;=8)*($C$28:$C$31&lt;&gt;"salary")*($D$28:$D$31&gt;0)*$B$28:$B$31)</f>
        <v/>
      </c>
      <c r="M136" s="42">
        <f>SUMPRODUCT(($G$28:$G$31&lt;=9)*($H$28:$H$31&gt;=9)*($C$28:$C$31&lt;&gt;"salary")*($D$28:$D$31&gt;0)*$B$28:$B$31)</f>
        <v/>
      </c>
      <c r="N136" s="42">
        <f>SUMPRODUCT(($G$28:$G$31&lt;=10)*($H$28:$H$31&gt;=10)*($C$28:$C$31&lt;&gt;"salary")*($D$28:$D$31&gt;0)*$B$28:$B$31)</f>
        <v/>
      </c>
      <c r="O136" s="42">
        <f>SUMPRODUCT(($G$28:$G$31&lt;=11)*($H$28:$H$31&gt;=11)*($C$28:$C$31&lt;&gt;"salary")*($D$28:$D$31&gt;0)*$B$28:$B$31)</f>
        <v/>
      </c>
      <c r="P136" s="42">
        <f>SUMPRODUCT(($G$28:$G$31&lt;=12)*($H$28:$H$31&gt;=12)*($C$28:$C$31&lt;&gt;"salary")*($D$28:$D$31&gt;0)*$B$28:$B$31)</f>
        <v/>
      </c>
      <c r="Q136" s="42">
        <f>SUMPRODUCT(($G$28:$G$31&lt;=13)*($H$28:$H$31&gt;=13)*($C$28:$C$31&lt;&gt;"salary")*($D$28:$D$31&gt;0)*$B$28:$B$31)</f>
        <v/>
      </c>
      <c r="R136" s="42">
        <f>SUMPRODUCT(($G$28:$G$31&lt;=14)*($H$28:$H$31&gt;=14)*($C$28:$C$31&lt;&gt;"salary")*($D$28:$D$31&gt;0)*$B$28:$B$31)</f>
        <v/>
      </c>
      <c r="S136" s="42">
        <f>SUMPRODUCT(($G$28:$G$31&lt;=15)*($H$28:$H$31&gt;=15)*($C$28:$C$31&lt;&gt;"salary")*($D$28:$D$31&gt;0)*$B$28:$B$31)</f>
        <v/>
      </c>
      <c r="T136" s="42">
        <f>SUMPRODUCT(($G$28:$G$31&lt;=16)*($H$28:$H$31&gt;=16)*($C$28:$C$31&lt;&gt;"salary")*($D$28:$D$31&gt;0)*$B$28:$B$31)</f>
        <v/>
      </c>
      <c r="U136" s="42">
        <f>SUMPRODUCT(($G$28:$G$31&lt;=17)*($H$28:$H$31&gt;=17)*($C$28:$C$31&lt;&gt;"salary")*($D$28:$D$31&gt;0)*$B$28:$B$31)</f>
        <v/>
      </c>
      <c r="V136" s="42">
        <f>SUMPRODUCT(($G$28:$G$31&lt;=18)*($H$28:$H$31&gt;=18)*($C$28:$C$31&lt;&gt;"salary")*($D$28:$D$31&gt;0)*$B$28:$B$31)</f>
        <v/>
      </c>
      <c r="W136" s="42">
        <f>SUMPRODUCT(($G$28:$G$31&lt;=19)*($H$28:$H$31&gt;=19)*($C$28:$C$31&lt;&gt;"salary")*($D$28:$D$31&gt;0)*$B$28:$B$31)</f>
        <v/>
      </c>
      <c r="X136" s="42">
        <f>SUMPRODUCT(($G$28:$G$31&lt;=20)*($H$28:$H$31&gt;=20)*($C$28:$C$31&lt;&gt;"salary")*($D$28:$D$31&gt;0)*$B$28:$B$31)</f>
        <v/>
      </c>
      <c r="Y136" s="42">
        <f>SUMPRODUCT(($G$28:$G$31&lt;=21)*($H$28:$H$31&gt;=21)*($C$28:$C$31&lt;&gt;"salary")*($D$28:$D$31&gt;0)*$B$28:$B$31)</f>
        <v/>
      </c>
      <c r="Z136" s="42">
        <f>SUMPRODUCT(($G$28:$G$31&lt;=22)*($H$28:$H$31&gt;=22)*($C$28:$C$31&lt;&gt;"salary")*($D$28:$D$31&gt;0)*$B$28:$B$31)</f>
        <v/>
      </c>
      <c r="AA136" s="42">
        <f>SUMPRODUCT(($G$28:$G$31&lt;=23)*($H$28:$H$31&gt;=23)*($C$28:$C$31&lt;&gt;"salary")*($D$28:$D$31&gt;0)*$B$28:$B$31)</f>
        <v/>
      </c>
      <c r="AB136" s="42">
        <f>SUMPRODUCT(($G$28:$G$31&lt;=24)*($H$28:$H$31&gt;=24)*($C$28:$C$31&lt;&gt;"salary")*($D$28:$D$31&gt;0)*$B$28:$B$31)</f>
        <v/>
      </c>
      <c r="AC136" s="42">
        <f>SUMPRODUCT(($G$28:$G$31&lt;=25)*($H$28:$H$31&gt;=25)*($C$28:$C$31&lt;&gt;"salary")*($D$28:$D$31&gt;0)*$B$28:$B$31)</f>
        <v/>
      </c>
      <c r="AD136" s="42">
        <f>SUMPRODUCT(($G$28:$G$31&lt;=26)*($H$28:$H$31&gt;=26)*($C$28:$C$31&lt;&gt;"salary")*($D$28:$D$31&gt;0)*$B$28:$B$31)</f>
        <v/>
      </c>
      <c r="AE136" s="42">
        <f>SUMPRODUCT(($G$28:$G$31&lt;=27)*($H$28:$H$31&gt;=27)*($C$28:$C$31&lt;&gt;"salary")*($D$28:$D$31&gt;0)*$B$28:$B$31)</f>
        <v/>
      </c>
      <c r="AF136" s="42">
        <f>SUMPRODUCT(($G$28:$G$31&lt;=28)*($H$28:$H$31&gt;=28)*($C$28:$C$31&lt;&gt;"salary")*($D$28:$D$31&gt;0)*$B$28:$B$31)</f>
        <v/>
      </c>
      <c r="AG136" s="42">
        <f>SUMPRODUCT(($G$28:$G$31&lt;=29)*($H$28:$H$31&gt;=29)*($C$28:$C$31&lt;&gt;"salary")*($D$28:$D$31&gt;0)*$B$28:$B$31)</f>
        <v/>
      </c>
      <c r="AH136" s="42">
        <f>SUMPRODUCT(($G$28:$G$31&lt;=30)*($H$28:$H$31&gt;=30)*($C$28:$C$31&lt;&gt;"salary")*($D$28:$D$31&gt;0)*$B$28:$B$31)</f>
        <v/>
      </c>
      <c r="AI136" s="42">
        <f>SUMPRODUCT(($G$28:$G$31&lt;=31)*($H$28:$H$31&gt;=31)*($C$28:$C$31&lt;&gt;"salary")*($D$28:$D$31&gt;0)*$B$28:$B$31)</f>
        <v/>
      </c>
      <c r="AJ136" s="42">
        <f>SUMPRODUCT(($G$28:$G$31&lt;=32)*($H$28:$H$31&gt;=32)*($C$28:$C$31&lt;&gt;"salary")*($D$28:$D$31&gt;0)*$B$28:$B$31)</f>
        <v/>
      </c>
      <c r="AK136" s="42">
        <f>SUMPRODUCT(($G$28:$G$31&lt;=33)*($H$28:$H$31&gt;=33)*($C$28:$C$31&lt;&gt;"salary")*($D$28:$D$31&gt;0)*$B$28:$B$31)</f>
        <v/>
      </c>
      <c r="AL136" s="42">
        <f>SUMPRODUCT(($G$28:$G$31&lt;=34)*($H$28:$H$31&gt;=34)*($C$28:$C$31&lt;&gt;"salary")*($D$28:$D$31&gt;0)*$B$28:$B$31)</f>
        <v/>
      </c>
      <c r="AM136" s="42">
        <f>SUMPRODUCT(($G$28:$G$31&lt;=35)*($H$28:$H$31&gt;=35)*($C$28:$C$31&lt;&gt;"salary")*($D$28:$D$31&gt;0)*$B$28:$B$31)</f>
        <v/>
      </c>
      <c r="AN136" s="42">
        <f>SUMPRODUCT(($G$28:$G$31&lt;=36)*($H$28:$H$31&gt;=36)*($C$28:$C$31&lt;&gt;"salary")*($D$28:$D$31&gt;0)*$B$28:$B$31)</f>
        <v/>
      </c>
      <c r="AO136" s="42">
        <f>SUMPRODUCT(($G$28:$G$31&lt;=37)*($H$28:$H$31&gt;=37)*($C$28:$C$31&lt;&gt;"salary")*($D$28:$D$31&gt;0)*$B$28:$B$31)</f>
        <v/>
      </c>
      <c r="AP136" s="42">
        <f>SUMPRODUCT(($G$28:$G$31&lt;=38)*($H$28:$H$31&gt;=38)*($C$28:$C$31&lt;&gt;"salary")*($D$28:$D$31&gt;0)*$B$28:$B$31)</f>
        <v/>
      </c>
      <c r="AQ136" s="42">
        <f>SUMPRODUCT(($G$28:$G$31&lt;=39)*($H$28:$H$31&gt;=39)*($C$28:$C$31&lt;&gt;"salary")*($D$28:$D$31&gt;0)*$B$28:$B$31)</f>
        <v/>
      </c>
      <c r="AR136" s="42">
        <f>SUMPRODUCT(($G$28:$G$31&lt;=40)*($H$28:$H$31&gt;=40)*($C$28:$C$31&lt;&gt;"salary")*($D$28:$D$31&gt;0)*$B$28:$B$31)</f>
        <v/>
      </c>
      <c r="AS136" s="42">
        <f>SUMPRODUCT(($G$28:$G$31&lt;=41)*($H$28:$H$31&gt;=41)*($C$28:$C$31&lt;&gt;"salary")*($D$28:$D$31&gt;0)*$B$28:$B$31)</f>
        <v/>
      </c>
      <c r="AT136" s="42">
        <f>SUMPRODUCT(($G$28:$G$31&lt;=42)*($H$28:$H$31&gt;=42)*($C$28:$C$31&lt;&gt;"salary")*($D$28:$D$31&gt;0)*$B$28:$B$31)</f>
        <v/>
      </c>
      <c r="AU136" s="42">
        <f>SUMPRODUCT(($G$28:$G$31&lt;=43)*($H$28:$H$31&gt;=43)*($C$28:$C$31&lt;&gt;"salary")*($D$28:$D$31&gt;0)*$B$28:$B$31)</f>
        <v/>
      </c>
      <c r="AV136" s="42">
        <f>SUMPRODUCT(($G$28:$G$31&lt;=44)*($H$28:$H$31&gt;=44)*($C$28:$C$31&lt;&gt;"salary")*($D$28:$D$31&gt;0)*$B$28:$B$31)</f>
        <v/>
      </c>
      <c r="AW136" s="42">
        <f>SUMPRODUCT(($G$28:$G$31&lt;=45)*($H$28:$H$31&gt;=45)*($C$28:$C$31&lt;&gt;"salary")*($D$28:$D$31&gt;0)*$B$28:$B$31)</f>
        <v/>
      </c>
      <c r="AX136" s="42">
        <f>SUMPRODUCT(($G$28:$G$31&lt;=46)*($H$28:$H$31&gt;=46)*($C$28:$C$31&lt;&gt;"salary")*($D$28:$D$31&gt;0)*$B$28:$B$31)</f>
        <v/>
      </c>
      <c r="AY136" s="42">
        <f>SUMPRODUCT(($G$28:$G$31&lt;=47)*($H$28:$H$31&gt;=47)*($C$28:$C$31&lt;&gt;"salary")*($D$28:$D$31&gt;0)*$B$28:$B$31)</f>
        <v/>
      </c>
      <c r="AZ136" s="42">
        <f>SUMPRODUCT(($G$28:$G$31&lt;=48)*($H$28:$H$31&gt;=48)*($C$28:$C$31&lt;&gt;"salary")*($D$28:$D$31&gt;0)*$B$28:$B$31)</f>
        <v/>
      </c>
      <c r="BA136" s="42">
        <f>SUMPRODUCT(($G$28:$G$31&lt;=49)*($H$28:$H$31&gt;=49)*($C$28:$C$31&lt;&gt;"salary")*($D$28:$D$31&gt;0)*$B$28:$B$31)</f>
        <v/>
      </c>
      <c r="BB136" s="42">
        <f>SUMPRODUCT(($G$28:$G$31&lt;=50)*($H$28:$H$31&gt;=50)*($C$28:$C$31&lt;&gt;"salary")*($D$28:$D$31&gt;0)*$B$28:$B$31)</f>
        <v/>
      </c>
      <c r="BC136" s="42">
        <f>SUMPRODUCT(($G$28:$G$31&lt;=51)*($H$28:$H$31&gt;=51)*($C$28:$C$31&lt;&gt;"salary")*($D$28:$D$31&gt;0)*$B$28:$B$31)</f>
        <v/>
      </c>
      <c r="BD136" s="42">
        <f>SUMPRODUCT(($G$28:$G$31&lt;=52)*($H$28:$H$31&gt;=52)*($C$28:$C$31&lt;&gt;"salary")*($D$28:$D$31&gt;0)*$B$28:$B$31)</f>
        <v/>
      </c>
    </row>
    <row r="137">
      <c r="A137" s="26" t="inlineStr">
        <is>
          <t>2  Hourly contracted hours</t>
        </is>
      </c>
      <c r="B137" s="2" t="inlineStr">
        <is>
          <t>hrs</t>
        </is>
      </c>
      <c r="E137" s="42">
        <f>SUMPRODUCT(($G$28:$G$31&lt;=1)*($H$28:$H$31&gt;=1)*($C$28:$C$31&lt;&gt;"salary")*($D$28:$D$31&gt;0)*$B$28:$B$31*$E$28:$E$31)</f>
        <v/>
      </c>
      <c r="F137" s="42">
        <f>SUMPRODUCT(($G$28:$G$31&lt;=2)*($H$28:$H$31&gt;=2)*($C$28:$C$31&lt;&gt;"salary")*($D$28:$D$31&gt;0)*$B$28:$B$31*$E$28:$E$31)</f>
        <v/>
      </c>
      <c r="G137" s="42">
        <f>SUMPRODUCT(($G$28:$G$31&lt;=3)*($H$28:$H$31&gt;=3)*($C$28:$C$31&lt;&gt;"salary")*($D$28:$D$31&gt;0)*$B$28:$B$31*$E$28:$E$31)</f>
        <v/>
      </c>
      <c r="H137" s="42">
        <f>SUMPRODUCT(($G$28:$G$31&lt;=4)*($H$28:$H$31&gt;=4)*($C$28:$C$31&lt;&gt;"salary")*($D$28:$D$31&gt;0)*$B$28:$B$31*$E$28:$E$31)</f>
        <v/>
      </c>
      <c r="I137" s="42">
        <f>SUMPRODUCT(($G$28:$G$31&lt;=5)*($H$28:$H$31&gt;=5)*($C$28:$C$31&lt;&gt;"salary")*($D$28:$D$31&gt;0)*$B$28:$B$31*$E$28:$E$31)</f>
        <v/>
      </c>
      <c r="J137" s="42">
        <f>SUMPRODUCT(($G$28:$G$31&lt;=6)*($H$28:$H$31&gt;=6)*($C$28:$C$31&lt;&gt;"salary")*($D$28:$D$31&gt;0)*$B$28:$B$31*$E$28:$E$31)</f>
        <v/>
      </c>
      <c r="K137" s="42">
        <f>SUMPRODUCT(($G$28:$G$31&lt;=7)*($H$28:$H$31&gt;=7)*($C$28:$C$31&lt;&gt;"salary")*($D$28:$D$31&gt;0)*$B$28:$B$31*$E$28:$E$31)</f>
        <v/>
      </c>
      <c r="L137" s="42">
        <f>SUMPRODUCT(($G$28:$G$31&lt;=8)*($H$28:$H$31&gt;=8)*($C$28:$C$31&lt;&gt;"salary")*($D$28:$D$31&gt;0)*$B$28:$B$31*$E$28:$E$31)</f>
        <v/>
      </c>
      <c r="M137" s="42">
        <f>SUMPRODUCT(($G$28:$G$31&lt;=9)*($H$28:$H$31&gt;=9)*($C$28:$C$31&lt;&gt;"salary")*($D$28:$D$31&gt;0)*$B$28:$B$31*$E$28:$E$31)</f>
        <v/>
      </c>
      <c r="N137" s="42">
        <f>SUMPRODUCT(($G$28:$G$31&lt;=10)*($H$28:$H$31&gt;=10)*($C$28:$C$31&lt;&gt;"salary")*($D$28:$D$31&gt;0)*$B$28:$B$31*$E$28:$E$31)</f>
        <v/>
      </c>
      <c r="O137" s="42">
        <f>SUMPRODUCT(($G$28:$G$31&lt;=11)*($H$28:$H$31&gt;=11)*($C$28:$C$31&lt;&gt;"salary")*($D$28:$D$31&gt;0)*$B$28:$B$31*$E$28:$E$31)</f>
        <v/>
      </c>
      <c r="P137" s="42">
        <f>SUMPRODUCT(($G$28:$G$31&lt;=12)*($H$28:$H$31&gt;=12)*($C$28:$C$31&lt;&gt;"salary")*($D$28:$D$31&gt;0)*$B$28:$B$31*$E$28:$E$31)</f>
        <v/>
      </c>
      <c r="Q137" s="42">
        <f>SUMPRODUCT(($G$28:$G$31&lt;=13)*($H$28:$H$31&gt;=13)*($C$28:$C$31&lt;&gt;"salary")*($D$28:$D$31&gt;0)*$B$28:$B$31*$E$28:$E$31)</f>
        <v/>
      </c>
      <c r="R137" s="42">
        <f>SUMPRODUCT(($G$28:$G$31&lt;=14)*($H$28:$H$31&gt;=14)*($C$28:$C$31&lt;&gt;"salary")*($D$28:$D$31&gt;0)*$B$28:$B$31*$E$28:$E$31)</f>
        <v/>
      </c>
      <c r="S137" s="42">
        <f>SUMPRODUCT(($G$28:$G$31&lt;=15)*($H$28:$H$31&gt;=15)*($C$28:$C$31&lt;&gt;"salary")*($D$28:$D$31&gt;0)*$B$28:$B$31*$E$28:$E$31)</f>
        <v/>
      </c>
      <c r="T137" s="42">
        <f>SUMPRODUCT(($G$28:$G$31&lt;=16)*($H$28:$H$31&gt;=16)*($C$28:$C$31&lt;&gt;"salary")*($D$28:$D$31&gt;0)*$B$28:$B$31*$E$28:$E$31)</f>
        <v/>
      </c>
      <c r="U137" s="42">
        <f>SUMPRODUCT(($G$28:$G$31&lt;=17)*($H$28:$H$31&gt;=17)*($C$28:$C$31&lt;&gt;"salary")*($D$28:$D$31&gt;0)*$B$28:$B$31*$E$28:$E$31)</f>
        <v/>
      </c>
      <c r="V137" s="42">
        <f>SUMPRODUCT(($G$28:$G$31&lt;=18)*($H$28:$H$31&gt;=18)*($C$28:$C$31&lt;&gt;"salary")*($D$28:$D$31&gt;0)*$B$28:$B$31*$E$28:$E$31)</f>
        <v/>
      </c>
      <c r="W137" s="42">
        <f>SUMPRODUCT(($G$28:$G$31&lt;=19)*($H$28:$H$31&gt;=19)*($C$28:$C$31&lt;&gt;"salary")*($D$28:$D$31&gt;0)*$B$28:$B$31*$E$28:$E$31)</f>
        <v/>
      </c>
      <c r="X137" s="42">
        <f>SUMPRODUCT(($G$28:$G$31&lt;=20)*($H$28:$H$31&gt;=20)*($C$28:$C$31&lt;&gt;"salary")*($D$28:$D$31&gt;0)*$B$28:$B$31*$E$28:$E$31)</f>
        <v/>
      </c>
      <c r="Y137" s="42">
        <f>SUMPRODUCT(($G$28:$G$31&lt;=21)*($H$28:$H$31&gt;=21)*($C$28:$C$31&lt;&gt;"salary")*($D$28:$D$31&gt;0)*$B$28:$B$31*$E$28:$E$31)</f>
        <v/>
      </c>
      <c r="Z137" s="42">
        <f>SUMPRODUCT(($G$28:$G$31&lt;=22)*($H$28:$H$31&gt;=22)*($C$28:$C$31&lt;&gt;"salary")*($D$28:$D$31&gt;0)*$B$28:$B$31*$E$28:$E$31)</f>
        <v/>
      </c>
      <c r="AA137" s="42">
        <f>SUMPRODUCT(($G$28:$G$31&lt;=23)*($H$28:$H$31&gt;=23)*($C$28:$C$31&lt;&gt;"salary")*($D$28:$D$31&gt;0)*$B$28:$B$31*$E$28:$E$31)</f>
        <v/>
      </c>
      <c r="AB137" s="42">
        <f>SUMPRODUCT(($G$28:$G$31&lt;=24)*($H$28:$H$31&gt;=24)*($C$28:$C$31&lt;&gt;"salary")*($D$28:$D$31&gt;0)*$B$28:$B$31*$E$28:$E$31)</f>
        <v/>
      </c>
      <c r="AC137" s="42">
        <f>SUMPRODUCT(($G$28:$G$31&lt;=25)*($H$28:$H$31&gt;=25)*($C$28:$C$31&lt;&gt;"salary")*($D$28:$D$31&gt;0)*$B$28:$B$31*$E$28:$E$31)</f>
        <v/>
      </c>
      <c r="AD137" s="42">
        <f>SUMPRODUCT(($G$28:$G$31&lt;=26)*($H$28:$H$31&gt;=26)*($C$28:$C$31&lt;&gt;"salary")*($D$28:$D$31&gt;0)*$B$28:$B$31*$E$28:$E$31)</f>
        <v/>
      </c>
      <c r="AE137" s="42">
        <f>SUMPRODUCT(($G$28:$G$31&lt;=27)*($H$28:$H$31&gt;=27)*($C$28:$C$31&lt;&gt;"salary")*($D$28:$D$31&gt;0)*$B$28:$B$31*$E$28:$E$31)</f>
        <v/>
      </c>
      <c r="AF137" s="42">
        <f>SUMPRODUCT(($G$28:$G$31&lt;=28)*($H$28:$H$31&gt;=28)*($C$28:$C$31&lt;&gt;"salary")*($D$28:$D$31&gt;0)*$B$28:$B$31*$E$28:$E$31)</f>
        <v/>
      </c>
      <c r="AG137" s="42">
        <f>SUMPRODUCT(($G$28:$G$31&lt;=29)*($H$28:$H$31&gt;=29)*($C$28:$C$31&lt;&gt;"salary")*($D$28:$D$31&gt;0)*$B$28:$B$31*$E$28:$E$31)</f>
        <v/>
      </c>
      <c r="AH137" s="42">
        <f>SUMPRODUCT(($G$28:$G$31&lt;=30)*($H$28:$H$31&gt;=30)*($C$28:$C$31&lt;&gt;"salary")*($D$28:$D$31&gt;0)*$B$28:$B$31*$E$28:$E$31)</f>
        <v/>
      </c>
      <c r="AI137" s="42">
        <f>SUMPRODUCT(($G$28:$G$31&lt;=31)*($H$28:$H$31&gt;=31)*($C$28:$C$31&lt;&gt;"salary")*($D$28:$D$31&gt;0)*$B$28:$B$31*$E$28:$E$31)</f>
        <v/>
      </c>
      <c r="AJ137" s="42">
        <f>SUMPRODUCT(($G$28:$G$31&lt;=32)*($H$28:$H$31&gt;=32)*($C$28:$C$31&lt;&gt;"salary")*($D$28:$D$31&gt;0)*$B$28:$B$31*$E$28:$E$31)</f>
        <v/>
      </c>
      <c r="AK137" s="42">
        <f>SUMPRODUCT(($G$28:$G$31&lt;=33)*($H$28:$H$31&gt;=33)*($C$28:$C$31&lt;&gt;"salary")*($D$28:$D$31&gt;0)*$B$28:$B$31*$E$28:$E$31)</f>
        <v/>
      </c>
      <c r="AL137" s="42">
        <f>SUMPRODUCT(($G$28:$G$31&lt;=34)*($H$28:$H$31&gt;=34)*($C$28:$C$31&lt;&gt;"salary")*($D$28:$D$31&gt;0)*$B$28:$B$31*$E$28:$E$31)</f>
        <v/>
      </c>
      <c r="AM137" s="42">
        <f>SUMPRODUCT(($G$28:$G$31&lt;=35)*($H$28:$H$31&gt;=35)*($C$28:$C$31&lt;&gt;"salary")*($D$28:$D$31&gt;0)*$B$28:$B$31*$E$28:$E$31)</f>
        <v/>
      </c>
      <c r="AN137" s="42">
        <f>SUMPRODUCT(($G$28:$G$31&lt;=36)*($H$28:$H$31&gt;=36)*($C$28:$C$31&lt;&gt;"salary")*($D$28:$D$31&gt;0)*$B$28:$B$31*$E$28:$E$31)</f>
        <v/>
      </c>
      <c r="AO137" s="42">
        <f>SUMPRODUCT(($G$28:$G$31&lt;=37)*($H$28:$H$31&gt;=37)*($C$28:$C$31&lt;&gt;"salary")*($D$28:$D$31&gt;0)*$B$28:$B$31*$E$28:$E$31)</f>
        <v/>
      </c>
      <c r="AP137" s="42">
        <f>SUMPRODUCT(($G$28:$G$31&lt;=38)*($H$28:$H$31&gt;=38)*($C$28:$C$31&lt;&gt;"salary")*($D$28:$D$31&gt;0)*$B$28:$B$31*$E$28:$E$31)</f>
        <v/>
      </c>
      <c r="AQ137" s="42">
        <f>SUMPRODUCT(($G$28:$G$31&lt;=39)*($H$28:$H$31&gt;=39)*($C$28:$C$31&lt;&gt;"salary")*($D$28:$D$31&gt;0)*$B$28:$B$31*$E$28:$E$31)</f>
        <v/>
      </c>
      <c r="AR137" s="42">
        <f>SUMPRODUCT(($G$28:$G$31&lt;=40)*($H$28:$H$31&gt;=40)*($C$28:$C$31&lt;&gt;"salary")*($D$28:$D$31&gt;0)*$B$28:$B$31*$E$28:$E$31)</f>
        <v/>
      </c>
      <c r="AS137" s="42">
        <f>SUMPRODUCT(($G$28:$G$31&lt;=41)*($H$28:$H$31&gt;=41)*($C$28:$C$31&lt;&gt;"salary")*($D$28:$D$31&gt;0)*$B$28:$B$31*$E$28:$E$31)</f>
        <v/>
      </c>
      <c r="AT137" s="42">
        <f>SUMPRODUCT(($G$28:$G$31&lt;=42)*($H$28:$H$31&gt;=42)*($C$28:$C$31&lt;&gt;"salary")*($D$28:$D$31&gt;0)*$B$28:$B$31*$E$28:$E$31)</f>
        <v/>
      </c>
      <c r="AU137" s="42">
        <f>SUMPRODUCT(($G$28:$G$31&lt;=43)*($H$28:$H$31&gt;=43)*($C$28:$C$31&lt;&gt;"salary")*($D$28:$D$31&gt;0)*$B$28:$B$31*$E$28:$E$31)</f>
        <v/>
      </c>
      <c r="AV137" s="42">
        <f>SUMPRODUCT(($G$28:$G$31&lt;=44)*($H$28:$H$31&gt;=44)*($C$28:$C$31&lt;&gt;"salary")*($D$28:$D$31&gt;0)*$B$28:$B$31*$E$28:$E$31)</f>
        <v/>
      </c>
      <c r="AW137" s="42">
        <f>SUMPRODUCT(($G$28:$G$31&lt;=45)*($H$28:$H$31&gt;=45)*($C$28:$C$31&lt;&gt;"salary")*($D$28:$D$31&gt;0)*$B$28:$B$31*$E$28:$E$31)</f>
        <v/>
      </c>
      <c r="AX137" s="42">
        <f>SUMPRODUCT(($G$28:$G$31&lt;=46)*($H$28:$H$31&gt;=46)*($C$28:$C$31&lt;&gt;"salary")*($D$28:$D$31&gt;0)*$B$28:$B$31*$E$28:$E$31)</f>
        <v/>
      </c>
      <c r="AY137" s="42">
        <f>SUMPRODUCT(($G$28:$G$31&lt;=47)*($H$28:$H$31&gt;=47)*($C$28:$C$31&lt;&gt;"salary")*($D$28:$D$31&gt;0)*$B$28:$B$31*$E$28:$E$31)</f>
        <v/>
      </c>
      <c r="AZ137" s="42">
        <f>SUMPRODUCT(($G$28:$G$31&lt;=48)*($H$28:$H$31&gt;=48)*($C$28:$C$31&lt;&gt;"salary")*($D$28:$D$31&gt;0)*$B$28:$B$31*$E$28:$E$31)</f>
        <v/>
      </c>
      <c r="BA137" s="42">
        <f>SUMPRODUCT(($G$28:$G$31&lt;=49)*($H$28:$H$31&gt;=49)*($C$28:$C$31&lt;&gt;"salary")*($D$28:$D$31&gt;0)*$B$28:$B$31*$E$28:$E$31)</f>
        <v/>
      </c>
      <c r="BB137" s="42">
        <f>SUMPRODUCT(($G$28:$G$31&lt;=50)*($H$28:$H$31&gt;=50)*($C$28:$C$31&lt;&gt;"salary")*($D$28:$D$31&gt;0)*$B$28:$B$31*$E$28:$E$31)</f>
        <v/>
      </c>
      <c r="BC137" s="42">
        <f>SUMPRODUCT(($G$28:$G$31&lt;=51)*($H$28:$H$31&gt;=51)*($C$28:$C$31&lt;&gt;"salary")*($D$28:$D$31&gt;0)*$B$28:$B$31*$E$28:$E$31)</f>
        <v/>
      </c>
      <c r="BD137" s="42">
        <f>SUMPRODUCT(($G$28:$G$31&lt;=52)*($H$28:$H$31&gt;=52)*($C$28:$C$31&lt;&gt;"salary")*($D$28:$D$31&gt;0)*$B$28:$B$31*$E$28:$E$31)</f>
        <v/>
      </c>
    </row>
    <row r="138">
      <c r="A138" s="26" t="inlineStr">
        <is>
          <t>3  Hourly FIELD hours</t>
        </is>
      </c>
      <c r="B138" s="2" t="inlineStr">
        <is>
          <t>hrs</t>
        </is>
      </c>
      <c r="E138" s="42">
        <f>SUMPRODUCT(($G$28:$G$31&lt;=1)*($H$28:$H$31&gt;=1)*($C$28:$C$31&lt;&gt;"salary")*($D$28:$D$31&gt;0)*$B$28:$B$31*$E$28:$E$31*$F$28:$F$31/100)</f>
        <v/>
      </c>
      <c r="F138" s="42">
        <f>SUMPRODUCT(($G$28:$G$31&lt;=2)*($H$28:$H$31&gt;=2)*($C$28:$C$31&lt;&gt;"salary")*($D$28:$D$31&gt;0)*$B$28:$B$31*$E$28:$E$31*$F$28:$F$31/100)</f>
        <v/>
      </c>
      <c r="G138" s="42">
        <f>SUMPRODUCT(($G$28:$G$31&lt;=3)*($H$28:$H$31&gt;=3)*($C$28:$C$31&lt;&gt;"salary")*($D$28:$D$31&gt;0)*$B$28:$B$31*$E$28:$E$31*$F$28:$F$31/100)</f>
        <v/>
      </c>
      <c r="H138" s="42">
        <f>SUMPRODUCT(($G$28:$G$31&lt;=4)*($H$28:$H$31&gt;=4)*($C$28:$C$31&lt;&gt;"salary")*($D$28:$D$31&gt;0)*$B$28:$B$31*$E$28:$E$31*$F$28:$F$31/100)</f>
        <v/>
      </c>
      <c r="I138" s="42">
        <f>SUMPRODUCT(($G$28:$G$31&lt;=5)*($H$28:$H$31&gt;=5)*($C$28:$C$31&lt;&gt;"salary")*($D$28:$D$31&gt;0)*$B$28:$B$31*$E$28:$E$31*$F$28:$F$31/100)</f>
        <v/>
      </c>
      <c r="J138" s="42">
        <f>SUMPRODUCT(($G$28:$G$31&lt;=6)*($H$28:$H$31&gt;=6)*($C$28:$C$31&lt;&gt;"salary")*($D$28:$D$31&gt;0)*$B$28:$B$31*$E$28:$E$31*$F$28:$F$31/100)</f>
        <v/>
      </c>
      <c r="K138" s="42">
        <f>SUMPRODUCT(($G$28:$G$31&lt;=7)*($H$28:$H$31&gt;=7)*($C$28:$C$31&lt;&gt;"salary")*($D$28:$D$31&gt;0)*$B$28:$B$31*$E$28:$E$31*$F$28:$F$31/100)</f>
        <v/>
      </c>
      <c r="L138" s="42">
        <f>SUMPRODUCT(($G$28:$G$31&lt;=8)*($H$28:$H$31&gt;=8)*($C$28:$C$31&lt;&gt;"salary")*($D$28:$D$31&gt;0)*$B$28:$B$31*$E$28:$E$31*$F$28:$F$31/100)</f>
        <v/>
      </c>
      <c r="M138" s="42">
        <f>SUMPRODUCT(($G$28:$G$31&lt;=9)*($H$28:$H$31&gt;=9)*($C$28:$C$31&lt;&gt;"salary")*($D$28:$D$31&gt;0)*$B$28:$B$31*$E$28:$E$31*$F$28:$F$31/100)</f>
        <v/>
      </c>
      <c r="N138" s="42">
        <f>SUMPRODUCT(($G$28:$G$31&lt;=10)*($H$28:$H$31&gt;=10)*($C$28:$C$31&lt;&gt;"salary")*($D$28:$D$31&gt;0)*$B$28:$B$31*$E$28:$E$31*$F$28:$F$31/100)</f>
        <v/>
      </c>
      <c r="O138" s="42">
        <f>SUMPRODUCT(($G$28:$G$31&lt;=11)*($H$28:$H$31&gt;=11)*($C$28:$C$31&lt;&gt;"salary")*($D$28:$D$31&gt;0)*$B$28:$B$31*$E$28:$E$31*$F$28:$F$31/100)</f>
        <v/>
      </c>
      <c r="P138" s="42">
        <f>SUMPRODUCT(($G$28:$G$31&lt;=12)*($H$28:$H$31&gt;=12)*($C$28:$C$31&lt;&gt;"salary")*($D$28:$D$31&gt;0)*$B$28:$B$31*$E$28:$E$31*$F$28:$F$31/100)</f>
        <v/>
      </c>
      <c r="Q138" s="42">
        <f>SUMPRODUCT(($G$28:$G$31&lt;=13)*($H$28:$H$31&gt;=13)*($C$28:$C$31&lt;&gt;"salary")*($D$28:$D$31&gt;0)*$B$28:$B$31*$E$28:$E$31*$F$28:$F$31/100)</f>
        <v/>
      </c>
      <c r="R138" s="42">
        <f>SUMPRODUCT(($G$28:$G$31&lt;=14)*($H$28:$H$31&gt;=14)*($C$28:$C$31&lt;&gt;"salary")*($D$28:$D$31&gt;0)*$B$28:$B$31*$E$28:$E$31*$F$28:$F$31/100)</f>
        <v/>
      </c>
      <c r="S138" s="42">
        <f>SUMPRODUCT(($G$28:$G$31&lt;=15)*($H$28:$H$31&gt;=15)*($C$28:$C$31&lt;&gt;"salary")*($D$28:$D$31&gt;0)*$B$28:$B$31*$E$28:$E$31*$F$28:$F$31/100)</f>
        <v/>
      </c>
      <c r="T138" s="42">
        <f>SUMPRODUCT(($G$28:$G$31&lt;=16)*($H$28:$H$31&gt;=16)*($C$28:$C$31&lt;&gt;"salary")*($D$28:$D$31&gt;0)*$B$28:$B$31*$E$28:$E$31*$F$28:$F$31/100)</f>
        <v/>
      </c>
      <c r="U138" s="42">
        <f>SUMPRODUCT(($G$28:$G$31&lt;=17)*($H$28:$H$31&gt;=17)*($C$28:$C$31&lt;&gt;"salary")*($D$28:$D$31&gt;0)*$B$28:$B$31*$E$28:$E$31*$F$28:$F$31/100)</f>
        <v/>
      </c>
      <c r="V138" s="42">
        <f>SUMPRODUCT(($G$28:$G$31&lt;=18)*($H$28:$H$31&gt;=18)*($C$28:$C$31&lt;&gt;"salary")*($D$28:$D$31&gt;0)*$B$28:$B$31*$E$28:$E$31*$F$28:$F$31/100)</f>
        <v/>
      </c>
      <c r="W138" s="42">
        <f>SUMPRODUCT(($G$28:$G$31&lt;=19)*($H$28:$H$31&gt;=19)*($C$28:$C$31&lt;&gt;"salary")*($D$28:$D$31&gt;0)*$B$28:$B$31*$E$28:$E$31*$F$28:$F$31/100)</f>
        <v/>
      </c>
      <c r="X138" s="42">
        <f>SUMPRODUCT(($G$28:$G$31&lt;=20)*($H$28:$H$31&gt;=20)*($C$28:$C$31&lt;&gt;"salary")*($D$28:$D$31&gt;0)*$B$28:$B$31*$E$28:$E$31*$F$28:$F$31/100)</f>
        <v/>
      </c>
      <c r="Y138" s="42">
        <f>SUMPRODUCT(($G$28:$G$31&lt;=21)*($H$28:$H$31&gt;=21)*($C$28:$C$31&lt;&gt;"salary")*($D$28:$D$31&gt;0)*$B$28:$B$31*$E$28:$E$31*$F$28:$F$31/100)</f>
        <v/>
      </c>
      <c r="Z138" s="42">
        <f>SUMPRODUCT(($G$28:$G$31&lt;=22)*($H$28:$H$31&gt;=22)*($C$28:$C$31&lt;&gt;"salary")*($D$28:$D$31&gt;0)*$B$28:$B$31*$E$28:$E$31*$F$28:$F$31/100)</f>
        <v/>
      </c>
      <c r="AA138" s="42">
        <f>SUMPRODUCT(($G$28:$G$31&lt;=23)*($H$28:$H$31&gt;=23)*($C$28:$C$31&lt;&gt;"salary")*($D$28:$D$31&gt;0)*$B$28:$B$31*$E$28:$E$31*$F$28:$F$31/100)</f>
        <v/>
      </c>
      <c r="AB138" s="42">
        <f>SUMPRODUCT(($G$28:$G$31&lt;=24)*($H$28:$H$31&gt;=24)*($C$28:$C$31&lt;&gt;"salary")*($D$28:$D$31&gt;0)*$B$28:$B$31*$E$28:$E$31*$F$28:$F$31/100)</f>
        <v/>
      </c>
      <c r="AC138" s="42">
        <f>SUMPRODUCT(($G$28:$G$31&lt;=25)*($H$28:$H$31&gt;=25)*($C$28:$C$31&lt;&gt;"salary")*($D$28:$D$31&gt;0)*$B$28:$B$31*$E$28:$E$31*$F$28:$F$31/100)</f>
        <v/>
      </c>
      <c r="AD138" s="42">
        <f>SUMPRODUCT(($G$28:$G$31&lt;=26)*($H$28:$H$31&gt;=26)*($C$28:$C$31&lt;&gt;"salary")*($D$28:$D$31&gt;0)*$B$28:$B$31*$E$28:$E$31*$F$28:$F$31/100)</f>
        <v/>
      </c>
      <c r="AE138" s="42">
        <f>SUMPRODUCT(($G$28:$G$31&lt;=27)*($H$28:$H$31&gt;=27)*($C$28:$C$31&lt;&gt;"salary")*($D$28:$D$31&gt;0)*$B$28:$B$31*$E$28:$E$31*$F$28:$F$31/100)</f>
        <v/>
      </c>
      <c r="AF138" s="42">
        <f>SUMPRODUCT(($G$28:$G$31&lt;=28)*($H$28:$H$31&gt;=28)*($C$28:$C$31&lt;&gt;"salary")*($D$28:$D$31&gt;0)*$B$28:$B$31*$E$28:$E$31*$F$28:$F$31/100)</f>
        <v/>
      </c>
      <c r="AG138" s="42">
        <f>SUMPRODUCT(($G$28:$G$31&lt;=29)*($H$28:$H$31&gt;=29)*($C$28:$C$31&lt;&gt;"salary")*($D$28:$D$31&gt;0)*$B$28:$B$31*$E$28:$E$31*$F$28:$F$31/100)</f>
        <v/>
      </c>
      <c r="AH138" s="42">
        <f>SUMPRODUCT(($G$28:$G$31&lt;=30)*($H$28:$H$31&gt;=30)*($C$28:$C$31&lt;&gt;"salary")*($D$28:$D$31&gt;0)*$B$28:$B$31*$E$28:$E$31*$F$28:$F$31/100)</f>
        <v/>
      </c>
      <c r="AI138" s="42">
        <f>SUMPRODUCT(($G$28:$G$31&lt;=31)*($H$28:$H$31&gt;=31)*($C$28:$C$31&lt;&gt;"salary")*($D$28:$D$31&gt;0)*$B$28:$B$31*$E$28:$E$31*$F$28:$F$31/100)</f>
        <v/>
      </c>
      <c r="AJ138" s="42">
        <f>SUMPRODUCT(($G$28:$G$31&lt;=32)*($H$28:$H$31&gt;=32)*($C$28:$C$31&lt;&gt;"salary")*($D$28:$D$31&gt;0)*$B$28:$B$31*$E$28:$E$31*$F$28:$F$31/100)</f>
        <v/>
      </c>
      <c r="AK138" s="42">
        <f>SUMPRODUCT(($G$28:$G$31&lt;=33)*($H$28:$H$31&gt;=33)*($C$28:$C$31&lt;&gt;"salary")*($D$28:$D$31&gt;0)*$B$28:$B$31*$E$28:$E$31*$F$28:$F$31/100)</f>
        <v/>
      </c>
      <c r="AL138" s="42">
        <f>SUMPRODUCT(($G$28:$G$31&lt;=34)*($H$28:$H$31&gt;=34)*($C$28:$C$31&lt;&gt;"salary")*($D$28:$D$31&gt;0)*$B$28:$B$31*$E$28:$E$31*$F$28:$F$31/100)</f>
        <v/>
      </c>
      <c r="AM138" s="42">
        <f>SUMPRODUCT(($G$28:$G$31&lt;=35)*($H$28:$H$31&gt;=35)*($C$28:$C$31&lt;&gt;"salary")*($D$28:$D$31&gt;0)*$B$28:$B$31*$E$28:$E$31*$F$28:$F$31/100)</f>
        <v/>
      </c>
      <c r="AN138" s="42">
        <f>SUMPRODUCT(($G$28:$G$31&lt;=36)*($H$28:$H$31&gt;=36)*($C$28:$C$31&lt;&gt;"salary")*($D$28:$D$31&gt;0)*$B$28:$B$31*$E$28:$E$31*$F$28:$F$31/100)</f>
        <v/>
      </c>
      <c r="AO138" s="42">
        <f>SUMPRODUCT(($G$28:$G$31&lt;=37)*($H$28:$H$31&gt;=37)*($C$28:$C$31&lt;&gt;"salary")*($D$28:$D$31&gt;0)*$B$28:$B$31*$E$28:$E$31*$F$28:$F$31/100)</f>
        <v/>
      </c>
      <c r="AP138" s="42">
        <f>SUMPRODUCT(($G$28:$G$31&lt;=38)*($H$28:$H$31&gt;=38)*($C$28:$C$31&lt;&gt;"salary")*($D$28:$D$31&gt;0)*$B$28:$B$31*$E$28:$E$31*$F$28:$F$31/100)</f>
        <v/>
      </c>
      <c r="AQ138" s="42">
        <f>SUMPRODUCT(($G$28:$G$31&lt;=39)*($H$28:$H$31&gt;=39)*($C$28:$C$31&lt;&gt;"salary")*($D$28:$D$31&gt;0)*$B$28:$B$31*$E$28:$E$31*$F$28:$F$31/100)</f>
        <v/>
      </c>
      <c r="AR138" s="42">
        <f>SUMPRODUCT(($G$28:$G$31&lt;=40)*($H$28:$H$31&gt;=40)*($C$28:$C$31&lt;&gt;"salary")*($D$28:$D$31&gt;0)*$B$28:$B$31*$E$28:$E$31*$F$28:$F$31/100)</f>
        <v/>
      </c>
      <c r="AS138" s="42">
        <f>SUMPRODUCT(($G$28:$G$31&lt;=41)*($H$28:$H$31&gt;=41)*($C$28:$C$31&lt;&gt;"salary")*($D$28:$D$31&gt;0)*$B$28:$B$31*$E$28:$E$31*$F$28:$F$31/100)</f>
        <v/>
      </c>
      <c r="AT138" s="42">
        <f>SUMPRODUCT(($G$28:$G$31&lt;=42)*($H$28:$H$31&gt;=42)*($C$28:$C$31&lt;&gt;"salary")*($D$28:$D$31&gt;0)*$B$28:$B$31*$E$28:$E$31*$F$28:$F$31/100)</f>
        <v/>
      </c>
      <c r="AU138" s="42">
        <f>SUMPRODUCT(($G$28:$G$31&lt;=43)*($H$28:$H$31&gt;=43)*($C$28:$C$31&lt;&gt;"salary")*($D$28:$D$31&gt;0)*$B$28:$B$31*$E$28:$E$31*$F$28:$F$31/100)</f>
        <v/>
      </c>
      <c r="AV138" s="42">
        <f>SUMPRODUCT(($G$28:$G$31&lt;=44)*($H$28:$H$31&gt;=44)*($C$28:$C$31&lt;&gt;"salary")*($D$28:$D$31&gt;0)*$B$28:$B$31*$E$28:$E$31*$F$28:$F$31/100)</f>
        <v/>
      </c>
      <c r="AW138" s="42">
        <f>SUMPRODUCT(($G$28:$G$31&lt;=45)*($H$28:$H$31&gt;=45)*($C$28:$C$31&lt;&gt;"salary")*($D$28:$D$31&gt;0)*$B$28:$B$31*$E$28:$E$31*$F$28:$F$31/100)</f>
        <v/>
      </c>
      <c r="AX138" s="42">
        <f>SUMPRODUCT(($G$28:$G$31&lt;=46)*($H$28:$H$31&gt;=46)*($C$28:$C$31&lt;&gt;"salary")*($D$28:$D$31&gt;0)*$B$28:$B$31*$E$28:$E$31*$F$28:$F$31/100)</f>
        <v/>
      </c>
      <c r="AY138" s="42">
        <f>SUMPRODUCT(($G$28:$G$31&lt;=47)*($H$28:$H$31&gt;=47)*($C$28:$C$31&lt;&gt;"salary")*($D$28:$D$31&gt;0)*$B$28:$B$31*$E$28:$E$31*$F$28:$F$31/100)</f>
        <v/>
      </c>
      <c r="AZ138" s="42">
        <f>SUMPRODUCT(($G$28:$G$31&lt;=48)*($H$28:$H$31&gt;=48)*($C$28:$C$31&lt;&gt;"salary")*($D$28:$D$31&gt;0)*$B$28:$B$31*$E$28:$E$31*$F$28:$F$31/100)</f>
        <v/>
      </c>
      <c r="BA138" s="42">
        <f>SUMPRODUCT(($G$28:$G$31&lt;=49)*($H$28:$H$31&gt;=49)*($C$28:$C$31&lt;&gt;"salary")*($D$28:$D$31&gt;0)*$B$28:$B$31*$E$28:$E$31*$F$28:$F$31/100)</f>
        <v/>
      </c>
      <c r="BB138" s="42">
        <f>SUMPRODUCT(($G$28:$G$31&lt;=50)*($H$28:$H$31&gt;=50)*($C$28:$C$31&lt;&gt;"salary")*($D$28:$D$31&gt;0)*$B$28:$B$31*$E$28:$E$31*$F$28:$F$31/100)</f>
        <v/>
      </c>
      <c r="BC138" s="42">
        <f>SUMPRODUCT(($G$28:$G$31&lt;=51)*($H$28:$H$31&gt;=51)*($C$28:$C$31&lt;&gt;"salary")*($D$28:$D$31&gt;0)*$B$28:$B$31*$E$28:$E$31*$F$28:$F$31/100)</f>
        <v/>
      </c>
      <c r="BD138" s="42">
        <f>SUMPRODUCT(($G$28:$G$31&lt;=52)*($H$28:$H$31&gt;=52)*($C$28:$C$31&lt;&gt;"salary")*($D$28:$D$31&gt;0)*$B$28:$B$31*$E$28:$E$31*$F$28:$F$31/100)</f>
        <v/>
      </c>
    </row>
    <row r="139">
      <c r="A139" s="2" t="inlineStr">
        <is>
          <t xml:space="preserve">   Row 3 is the one v8 never wrote down. It computed exactly this inside the rate formula, used it once as a divisor, and threw it away — so the overtime cap had nothing to derive itself from and became a typed constant.</t>
        </is>
      </c>
    </row>
    <row r="140">
      <c r="A140" s="26" t="inlineStr">
        <is>
          <t>4  Salaried field hours</t>
        </is>
      </c>
      <c r="B140" s="2" t="inlineStr">
        <is>
          <t>hrs</t>
        </is>
      </c>
      <c r="E140" s="42">
        <f>SUMPRODUCT(($G$28:$G$31&lt;=1)*($H$28:$H$31&gt;=1)*($C$28:$C$31="salary")*$B$28:$B$31*$E$28:$E$31*$F$28:$F$31/100)</f>
        <v/>
      </c>
      <c r="F140" s="42">
        <f>SUMPRODUCT(($G$28:$G$31&lt;=2)*($H$28:$H$31&gt;=2)*($C$28:$C$31="salary")*$B$28:$B$31*$E$28:$E$31*$F$28:$F$31/100)</f>
        <v/>
      </c>
      <c r="G140" s="42">
        <f>SUMPRODUCT(($G$28:$G$31&lt;=3)*($H$28:$H$31&gt;=3)*($C$28:$C$31="salary")*$B$28:$B$31*$E$28:$E$31*$F$28:$F$31/100)</f>
        <v/>
      </c>
      <c r="H140" s="42">
        <f>SUMPRODUCT(($G$28:$G$31&lt;=4)*($H$28:$H$31&gt;=4)*($C$28:$C$31="salary")*$B$28:$B$31*$E$28:$E$31*$F$28:$F$31/100)</f>
        <v/>
      </c>
      <c r="I140" s="42">
        <f>SUMPRODUCT(($G$28:$G$31&lt;=5)*($H$28:$H$31&gt;=5)*($C$28:$C$31="salary")*$B$28:$B$31*$E$28:$E$31*$F$28:$F$31/100)</f>
        <v/>
      </c>
      <c r="J140" s="42">
        <f>SUMPRODUCT(($G$28:$G$31&lt;=6)*($H$28:$H$31&gt;=6)*($C$28:$C$31="salary")*$B$28:$B$31*$E$28:$E$31*$F$28:$F$31/100)</f>
        <v/>
      </c>
      <c r="K140" s="42">
        <f>SUMPRODUCT(($G$28:$G$31&lt;=7)*($H$28:$H$31&gt;=7)*($C$28:$C$31="salary")*$B$28:$B$31*$E$28:$E$31*$F$28:$F$31/100)</f>
        <v/>
      </c>
      <c r="L140" s="42">
        <f>SUMPRODUCT(($G$28:$G$31&lt;=8)*($H$28:$H$31&gt;=8)*($C$28:$C$31="salary")*$B$28:$B$31*$E$28:$E$31*$F$28:$F$31/100)</f>
        <v/>
      </c>
      <c r="M140" s="42">
        <f>SUMPRODUCT(($G$28:$G$31&lt;=9)*($H$28:$H$31&gt;=9)*($C$28:$C$31="salary")*$B$28:$B$31*$E$28:$E$31*$F$28:$F$31/100)</f>
        <v/>
      </c>
      <c r="N140" s="42">
        <f>SUMPRODUCT(($G$28:$G$31&lt;=10)*($H$28:$H$31&gt;=10)*($C$28:$C$31="salary")*$B$28:$B$31*$E$28:$E$31*$F$28:$F$31/100)</f>
        <v/>
      </c>
      <c r="O140" s="42">
        <f>SUMPRODUCT(($G$28:$G$31&lt;=11)*($H$28:$H$31&gt;=11)*($C$28:$C$31="salary")*$B$28:$B$31*$E$28:$E$31*$F$28:$F$31/100)</f>
        <v/>
      </c>
      <c r="P140" s="42">
        <f>SUMPRODUCT(($G$28:$G$31&lt;=12)*($H$28:$H$31&gt;=12)*($C$28:$C$31="salary")*$B$28:$B$31*$E$28:$E$31*$F$28:$F$31/100)</f>
        <v/>
      </c>
      <c r="Q140" s="42">
        <f>SUMPRODUCT(($G$28:$G$31&lt;=13)*($H$28:$H$31&gt;=13)*($C$28:$C$31="salary")*$B$28:$B$31*$E$28:$E$31*$F$28:$F$31/100)</f>
        <v/>
      </c>
      <c r="R140" s="42">
        <f>SUMPRODUCT(($G$28:$G$31&lt;=14)*($H$28:$H$31&gt;=14)*($C$28:$C$31="salary")*$B$28:$B$31*$E$28:$E$31*$F$28:$F$31/100)</f>
        <v/>
      </c>
      <c r="S140" s="42">
        <f>SUMPRODUCT(($G$28:$G$31&lt;=15)*($H$28:$H$31&gt;=15)*($C$28:$C$31="salary")*$B$28:$B$31*$E$28:$E$31*$F$28:$F$31/100)</f>
        <v/>
      </c>
      <c r="T140" s="42">
        <f>SUMPRODUCT(($G$28:$G$31&lt;=16)*($H$28:$H$31&gt;=16)*($C$28:$C$31="salary")*$B$28:$B$31*$E$28:$E$31*$F$28:$F$31/100)</f>
        <v/>
      </c>
      <c r="U140" s="42">
        <f>SUMPRODUCT(($G$28:$G$31&lt;=17)*($H$28:$H$31&gt;=17)*($C$28:$C$31="salary")*$B$28:$B$31*$E$28:$E$31*$F$28:$F$31/100)</f>
        <v/>
      </c>
      <c r="V140" s="42">
        <f>SUMPRODUCT(($G$28:$G$31&lt;=18)*($H$28:$H$31&gt;=18)*($C$28:$C$31="salary")*$B$28:$B$31*$E$28:$E$31*$F$28:$F$31/100)</f>
        <v/>
      </c>
      <c r="W140" s="42">
        <f>SUMPRODUCT(($G$28:$G$31&lt;=19)*($H$28:$H$31&gt;=19)*($C$28:$C$31="salary")*$B$28:$B$31*$E$28:$E$31*$F$28:$F$31/100)</f>
        <v/>
      </c>
      <c r="X140" s="42">
        <f>SUMPRODUCT(($G$28:$G$31&lt;=20)*($H$28:$H$31&gt;=20)*($C$28:$C$31="salary")*$B$28:$B$31*$E$28:$E$31*$F$28:$F$31/100)</f>
        <v/>
      </c>
      <c r="Y140" s="42">
        <f>SUMPRODUCT(($G$28:$G$31&lt;=21)*($H$28:$H$31&gt;=21)*($C$28:$C$31="salary")*$B$28:$B$31*$E$28:$E$31*$F$28:$F$31/100)</f>
        <v/>
      </c>
      <c r="Z140" s="42">
        <f>SUMPRODUCT(($G$28:$G$31&lt;=22)*($H$28:$H$31&gt;=22)*($C$28:$C$31="salary")*$B$28:$B$31*$E$28:$E$31*$F$28:$F$31/100)</f>
        <v/>
      </c>
      <c r="AA140" s="42">
        <f>SUMPRODUCT(($G$28:$G$31&lt;=23)*($H$28:$H$31&gt;=23)*($C$28:$C$31="salary")*$B$28:$B$31*$E$28:$E$31*$F$28:$F$31/100)</f>
        <v/>
      </c>
      <c r="AB140" s="42">
        <f>SUMPRODUCT(($G$28:$G$31&lt;=24)*($H$28:$H$31&gt;=24)*($C$28:$C$31="salary")*$B$28:$B$31*$E$28:$E$31*$F$28:$F$31/100)</f>
        <v/>
      </c>
      <c r="AC140" s="42">
        <f>SUMPRODUCT(($G$28:$G$31&lt;=25)*($H$28:$H$31&gt;=25)*($C$28:$C$31="salary")*$B$28:$B$31*$E$28:$E$31*$F$28:$F$31/100)</f>
        <v/>
      </c>
      <c r="AD140" s="42">
        <f>SUMPRODUCT(($G$28:$G$31&lt;=26)*($H$28:$H$31&gt;=26)*($C$28:$C$31="salary")*$B$28:$B$31*$E$28:$E$31*$F$28:$F$31/100)</f>
        <v/>
      </c>
      <c r="AE140" s="42">
        <f>SUMPRODUCT(($G$28:$G$31&lt;=27)*($H$28:$H$31&gt;=27)*($C$28:$C$31="salary")*$B$28:$B$31*$E$28:$E$31*$F$28:$F$31/100)</f>
        <v/>
      </c>
      <c r="AF140" s="42">
        <f>SUMPRODUCT(($G$28:$G$31&lt;=28)*($H$28:$H$31&gt;=28)*($C$28:$C$31="salary")*$B$28:$B$31*$E$28:$E$31*$F$28:$F$31/100)</f>
        <v/>
      </c>
      <c r="AG140" s="42">
        <f>SUMPRODUCT(($G$28:$G$31&lt;=29)*($H$28:$H$31&gt;=29)*($C$28:$C$31="salary")*$B$28:$B$31*$E$28:$E$31*$F$28:$F$31/100)</f>
        <v/>
      </c>
      <c r="AH140" s="42">
        <f>SUMPRODUCT(($G$28:$G$31&lt;=30)*($H$28:$H$31&gt;=30)*($C$28:$C$31="salary")*$B$28:$B$31*$E$28:$E$31*$F$28:$F$31/100)</f>
        <v/>
      </c>
      <c r="AI140" s="42">
        <f>SUMPRODUCT(($G$28:$G$31&lt;=31)*($H$28:$H$31&gt;=31)*($C$28:$C$31="salary")*$B$28:$B$31*$E$28:$E$31*$F$28:$F$31/100)</f>
        <v/>
      </c>
      <c r="AJ140" s="42">
        <f>SUMPRODUCT(($G$28:$G$31&lt;=32)*($H$28:$H$31&gt;=32)*($C$28:$C$31="salary")*$B$28:$B$31*$E$28:$E$31*$F$28:$F$31/100)</f>
        <v/>
      </c>
      <c r="AK140" s="42">
        <f>SUMPRODUCT(($G$28:$G$31&lt;=33)*($H$28:$H$31&gt;=33)*($C$28:$C$31="salary")*$B$28:$B$31*$E$28:$E$31*$F$28:$F$31/100)</f>
        <v/>
      </c>
      <c r="AL140" s="42">
        <f>SUMPRODUCT(($G$28:$G$31&lt;=34)*($H$28:$H$31&gt;=34)*($C$28:$C$31="salary")*$B$28:$B$31*$E$28:$E$31*$F$28:$F$31/100)</f>
        <v/>
      </c>
      <c r="AM140" s="42">
        <f>SUMPRODUCT(($G$28:$G$31&lt;=35)*($H$28:$H$31&gt;=35)*($C$28:$C$31="salary")*$B$28:$B$31*$E$28:$E$31*$F$28:$F$31/100)</f>
        <v/>
      </c>
      <c r="AN140" s="42">
        <f>SUMPRODUCT(($G$28:$G$31&lt;=36)*($H$28:$H$31&gt;=36)*($C$28:$C$31="salary")*$B$28:$B$31*$E$28:$E$31*$F$28:$F$31/100)</f>
        <v/>
      </c>
      <c r="AO140" s="42">
        <f>SUMPRODUCT(($G$28:$G$31&lt;=37)*($H$28:$H$31&gt;=37)*($C$28:$C$31="salary")*$B$28:$B$31*$E$28:$E$31*$F$28:$F$31/100)</f>
        <v/>
      </c>
      <c r="AP140" s="42">
        <f>SUMPRODUCT(($G$28:$G$31&lt;=38)*($H$28:$H$31&gt;=38)*($C$28:$C$31="salary")*$B$28:$B$31*$E$28:$E$31*$F$28:$F$31/100)</f>
        <v/>
      </c>
      <c r="AQ140" s="42">
        <f>SUMPRODUCT(($G$28:$G$31&lt;=39)*($H$28:$H$31&gt;=39)*($C$28:$C$31="salary")*$B$28:$B$31*$E$28:$E$31*$F$28:$F$31/100)</f>
        <v/>
      </c>
      <c r="AR140" s="42">
        <f>SUMPRODUCT(($G$28:$G$31&lt;=40)*($H$28:$H$31&gt;=40)*($C$28:$C$31="salary")*$B$28:$B$31*$E$28:$E$31*$F$28:$F$31/100)</f>
        <v/>
      </c>
      <c r="AS140" s="42">
        <f>SUMPRODUCT(($G$28:$G$31&lt;=41)*($H$28:$H$31&gt;=41)*($C$28:$C$31="salary")*$B$28:$B$31*$E$28:$E$31*$F$28:$F$31/100)</f>
        <v/>
      </c>
      <c r="AT140" s="42">
        <f>SUMPRODUCT(($G$28:$G$31&lt;=42)*($H$28:$H$31&gt;=42)*($C$28:$C$31="salary")*$B$28:$B$31*$E$28:$E$31*$F$28:$F$31/100)</f>
        <v/>
      </c>
      <c r="AU140" s="42">
        <f>SUMPRODUCT(($G$28:$G$31&lt;=43)*($H$28:$H$31&gt;=43)*($C$28:$C$31="salary")*$B$28:$B$31*$E$28:$E$31*$F$28:$F$31/100)</f>
        <v/>
      </c>
      <c r="AV140" s="42">
        <f>SUMPRODUCT(($G$28:$G$31&lt;=44)*($H$28:$H$31&gt;=44)*($C$28:$C$31="salary")*$B$28:$B$31*$E$28:$E$31*$F$28:$F$31/100)</f>
        <v/>
      </c>
      <c r="AW140" s="42">
        <f>SUMPRODUCT(($G$28:$G$31&lt;=45)*($H$28:$H$31&gt;=45)*($C$28:$C$31="salary")*$B$28:$B$31*$E$28:$E$31*$F$28:$F$31/100)</f>
        <v/>
      </c>
      <c r="AX140" s="42">
        <f>SUMPRODUCT(($G$28:$G$31&lt;=46)*($H$28:$H$31&gt;=46)*($C$28:$C$31="salary")*$B$28:$B$31*$E$28:$E$31*$F$28:$F$31/100)</f>
        <v/>
      </c>
      <c r="AY140" s="42">
        <f>SUMPRODUCT(($G$28:$G$31&lt;=47)*($H$28:$H$31&gt;=47)*($C$28:$C$31="salary")*$B$28:$B$31*$E$28:$E$31*$F$28:$F$31/100)</f>
        <v/>
      </c>
      <c r="AZ140" s="42">
        <f>SUMPRODUCT(($G$28:$G$31&lt;=48)*($H$28:$H$31&gt;=48)*($C$28:$C$31="salary")*$B$28:$B$31*$E$28:$E$31*$F$28:$F$31/100)</f>
        <v/>
      </c>
      <c r="BA140" s="42">
        <f>SUMPRODUCT(($G$28:$G$31&lt;=49)*($H$28:$H$31&gt;=49)*($C$28:$C$31="salary")*$B$28:$B$31*$E$28:$E$31*$F$28:$F$31/100)</f>
        <v/>
      </c>
      <c r="BB140" s="42">
        <f>SUMPRODUCT(($G$28:$G$31&lt;=50)*($H$28:$H$31&gt;=50)*($C$28:$C$31="salary")*$B$28:$B$31*$E$28:$E$31*$F$28:$F$31/100)</f>
        <v/>
      </c>
      <c r="BC140" s="42">
        <f>SUMPRODUCT(($G$28:$G$31&lt;=51)*($H$28:$H$31&gt;=51)*($C$28:$C$31="salary")*$B$28:$B$31*$E$28:$E$31*$F$28:$F$31/100)</f>
        <v/>
      </c>
      <c r="BD140" s="42">
        <f>SUMPRODUCT(($G$28:$G$31&lt;=52)*($H$28:$H$31&gt;=52)*($C$28:$C$31="salary")*$B$28:$B$31*$E$28:$E$31*$F$28:$F$31/100)</f>
        <v/>
      </c>
    </row>
    <row r="141">
      <c r="A141" s="4" t="inlineStr">
        <is>
          <t>5  CREW CAPACITY</t>
        </is>
      </c>
      <c r="B141" s="2" t="inlineStr">
        <is>
          <t>hrs</t>
        </is>
      </c>
      <c r="E141" s="42">
        <f>E138+E140</f>
        <v/>
      </c>
      <c r="F141" s="42">
        <f>F138+F140</f>
        <v/>
      </c>
      <c r="G141" s="42">
        <f>G138+G140</f>
        <v/>
      </c>
      <c r="H141" s="42">
        <f>H138+H140</f>
        <v/>
      </c>
      <c r="I141" s="42">
        <f>I138+I140</f>
        <v/>
      </c>
      <c r="J141" s="42">
        <f>J138+J140</f>
        <v/>
      </c>
      <c r="K141" s="42">
        <f>K138+K140</f>
        <v/>
      </c>
      <c r="L141" s="42">
        <f>L138+L140</f>
        <v/>
      </c>
      <c r="M141" s="42">
        <f>M138+M140</f>
        <v/>
      </c>
      <c r="N141" s="42">
        <f>N138+N140</f>
        <v/>
      </c>
      <c r="O141" s="42">
        <f>O138+O140</f>
        <v/>
      </c>
      <c r="P141" s="42">
        <f>P138+P140</f>
        <v/>
      </c>
      <c r="Q141" s="42">
        <f>Q138+Q140</f>
        <v/>
      </c>
      <c r="R141" s="42">
        <f>R138+R140</f>
        <v/>
      </c>
      <c r="S141" s="42">
        <f>S138+S140</f>
        <v/>
      </c>
      <c r="T141" s="42">
        <f>T138+T140</f>
        <v/>
      </c>
      <c r="U141" s="42">
        <f>U138+U140</f>
        <v/>
      </c>
      <c r="V141" s="42">
        <f>V138+V140</f>
        <v/>
      </c>
      <c r="W141" s="42">
        <f>W138+W140</f>
        <v/>
      </c>
      <c r="X141" s="42">
        <f>X138+X140</f>
        <v/>
      </c>
      <c r="Y141" s="42">
        <f>Y138+Y140</f>
        <v/>
      </c>
      <c r="Z141" s="42">
        <f>Z138+Z140</f>
        <v/>
      </c>
      <c r="AA141" s="42">
        <f>AA138+AA140</f>
        <v/>
      </c>
      <c r="AB141" s="42">
        <f>AB138+AB140</f>
        <v/>
      </c>
      <c r="AC141" s="42">
        <f>AC138+AC140</f>
        <v/>
      </c>
      <c r="AD141" s="42">
        <f>AD138+AD140</f>
        <v/>
      </c>
      <c r="AE141" s="42">
        <f>AE138+AE140</f>
        <v/>
      </c>
      <c r="AF141" s="42">
        <f>AF138+AF140</f>
        <v/>
      </c>
      <c r="AG141" s="42">
        <f>AG138+AG140</f>
        <v/>
      </c>
      <c r="AH141" s="42">
        <f>AH138+AH140</f>
        <v/>
      </c>
      <c r="AI141" s="42">
        <f>AI138+AI140</f>
        <v/>
      </c>
      <c r="AJ141" s="42">
        <f>AJ138+AJ140</f>
        <v/>
      </c>
      <c r="AK141" s="42">
        <f>AK138+AK140</f>
        <v/>
      </c>
      <c r="AL141" s="42">
        <f>AL138+AL140</f>
        <v/>
      </c>
      <c r="AM141" s="42">
        <f>AM138+AM140</f>
        <v/>
      </c>
      <c r="AN141" s="42">
        <f>AN138+AN140</f>
        <v/>
      </c>
      <c r="AO141" s="42">
        <f>AO138+AO140</f>
        <v/>
      </c>
      <c r="AP141" s="42">
        <f>AP138+AP140</f>
        <v/>
      </c>
      <c r="AQ141" s="42">
        <f>AQ138+AQ140</f>
        <v/>
      </c>
      <c r="AR141" s="42">
        <f>AR138+AR140</f>
        <v/>
      </c>
      <c r="AS141" s="42">
        <f>AS138+AS140</f>
        <v/>
      </c>
      <c r="AT141" s="42">
        <f>AT138+AT140</f>
        <v/>
      </c>
      <c r="AU141" s="42">
        <f>AU138+AU140</f>
        <v/>
      </c>
      <c r="AV141" s="42">
        <f>AV138+AV140</f>
        <v/>
      </c>
      <c r="AW141" s="42">
        <f>AW138+AW140</f>
        <v/>
      </c>
      <c r="AX141" s="42">
        <f>AX138+AX140</f>
        <v/>
      </c>
      <c r="AY141" s="42">
        <f>AY138+AY140</f>
        <v/>
      </c>
      <c r="AZ141" s="42">
        <f>AZ138+AZ140</f>
        <v/>
      </c>
      <c r="BA141" s="42">
        <f>BA138+BA140</f>
        <v/>
      </c>
      <c r="BB141" s="42">
        <f>BB138+BB140</f>
        <v/>
      </c>
      <c r="BC141" s="42">
        <f>BC138+BC140</f>
        <v/>
      </c>
      <c r="BD141" s="42">
        <f>BD138+BD140</f>
        <v/>
      </c>
    </row>
    <row r="142">
      <c r="A142" s="2" t="inlineStr">
        <is>
          <t xml:space="preserve">   Rows 3 + 4. Salaried staff give capacity but cannot be paid overtime, so they are in row 5 and out of rows 3, 6 and 8 — the app's deliberate rate/quantity asymmetry, now visible instead of buried.</t>
        </is>
      </c>
    </row>
    <row r="144">
      <c r="A144" s="30" t="inlineStr">
        <is>
          <t>Week</t>
        </is>
      </c>
      <c r="B144" s="38" t="inlineStr">
        <is>
          <t>$/hr</t>
        </is>
      </c>
      <c r="E144" s="31" t="n">
        <v>1</v>
      </c>
      <c r="F144" s="31" t="n">
        <v>2</v>
      </c>
      <c r="G144" s="31" t="n">
        <v>3</v>
      </c>
      <c r="H144" s="31" t="n">
        <v>4</v>
      </c>
      <c r="I144" s="31" t="n">
        <v>5</v>
      </c>
      <c r="J144" s="31" t="n">
        <v>6</v>
      </c>
      <c r="K144" s="31" t="n">
        <v>7</v>
      </c>
      <c r="L144" s="31" t="n">
        <v>8</v>
      </c>
      <c r="M144" s="31" t="n">
        <v>9</v>
      </c>
      <c r="N144" s="31" t="n">
        <v>10</v>
      </c>
      <c r="O144" s="31" t="n">
        <v>11</v>
      </c>
      <c r="P144" s="31" t="n">
        <v>12</v>
      </c>
      <c r="Q144" s="31" t="n">
        <v>13</v>
      </c>
      <c r="R144" s="31" t="n">
        <v>14</v>
      </c>
      <c r="S144" s="31" t="n">
        <v>15</v>
      </c>
      <c r="T144" s="31" t="n">
        <v>16</v>
      </c>
      <c r="U144" s="31" t="n">
        <v>17</v>
      </c>
      <c r="V144" s="31" t="n">
        <v>18</v>
      </c>
      <c r="W144" s="31" t="n">
        <v>19</v>
      </c>
      <c r="X144" s="31" t="n">
        <v>20</v>
      </c>
      <c r="Y144" s="31" t="n">
        <v>21</v>
      </c>
      <c r="Z144" s="31" t="n">
        <v>22</v>
      </c>
      <c r="AA144" s="31" t="n">
        <v>23</v>
      </c>
      <c r="AB144" s="31" t="n">
        <v>24</v>
      </c>
      <c r="AC144" s="31" t="n">
        <v>25</v>
      </c>
      <c r="AD144" s="31" t="n">
        <v>26</v>
      </c>
      <c r="AE144" s="31" t="n">
        <v>27</v>
      </c>
      <c r="AF144" s="31" t="n">
        <v>28</v>
      </c>
      <c r="AG144" s="31" t="n">
        <v>29</v>
      </c>
      <c r="AH144" s="31" t="n">
        <v>30</v>
      </c>
      <c r="AI144" s="31" t="n">
        <v>31</v>
      </c>
      <c r="AJ144" s="31" t="n">
        <v>32</v>
      </c>
      <c r="AK144" s="31" t="n">
        <v>33</v>
      </c>
      <c r="AL144" s="31" t="n">
        <v>34</v>
      </c>
      <c r="AM144" s="31" t="n">
        <v>35</v>
      </c>
      <c r="AN144" s="31" t="n">
        <v>36</v>
      </c>
      <c r="AO144" s="31" t="n">
        <v>37</v>
      </c>
      <c r="AP144" s="31" t="n">
        <v>38</v>
      </c>
      <c r="AQ144" s="31" t="n">
        <v>39</v>
      </c>
      <c r="AR144" s="31" t="n">
        <v>40</v>
      </c>
      <c r="AS144" s="31" t="n">
        <v>41</v>
      </c>
      <c r="AT144" s="31" t="n">
        <v>42</v>
      </c>
      <c r="AU144" s="31" t="n">
        <v>43</v>
      </c>
      <c r="AV144" s="31" t="n">
        <v>44</v>
      </c>
      <c r="AW144" s="31" t="n">
        <v>45</v>
      </c>
      <c r="AX144" s="31" t="n">
        <v>46</v>
      </c>
      <c r="AY144" s="31" t="n">
        <v>47</v>
      </c>
      <c r="AZ144" s="31" t="n">
        <v>48</v>
      </c>
      <c r="BA144" s="31" t="n">
        <v>49</v>
      </c>
      <c r="BB144" s="31" t="n">
        <v>50</v>
      </c>
      <c r="BC144" s="31" t="n">
        <v>51</v>
      </c>
      <c r="BD144" s="31" t="n">
        <v>52</v>
      </c>
    </row>
    <row r="145">
      <c r="A145" s="26" t="inlineStr">
        <is>
          <t>6  Blended hourly wage</t>
        </is>
      </c>
      <c r="B145" s="2" t="inlineStr">
        <is>
          <t>$/hr</t>
        </is>
      </c>
      <c r="E145" s="43">
        <f>IFERROR(SUMPRODUCT(($G$28:$G$31&lt;=1)*($H$28:$H$31&gt;=1)*($C$28:$C$31&lt;&gt;"salary")*($D$28:$D$31&gt;0)*$B$28:$B$31*$E$28:$E$31*$D$28:$D$31)/E137,0)</f>
        <v/>
      </c>
      <c r="F145" s="43">
        <f>IFERROR(SUMPRODUCT(($G$28:$G$31&lt;=2)*($H$28:$H$31&gt;=2)*($C$28:$C$31&lt;&gt;"salary")*($D$28:$D$31&gt;0)*$B$28:$B$31*$E$28:$E$31*$D$28:$D$31)/F137,0)</f>
        <v/>
      </c>
      <c r="G145" s="43">
        <f>IFERROR(SUMPRODUCT(($G$28:$G$31&lt;=3)*($H$28:$H$31&gt;=3)*($C$28:$C$31&lt;&gt;"salary")*($D$28:$D$31&gt;0)*$B$28:$B$31*$E$28:$E$31*$D$28:$D$31)/G137,0)</f>
        <v/>
      </c>
      <c r="H145" s="43">
        <f>IFERROR(SUMPRODUCT(($G$28:$G$31&lt;=4)*($H$28:$H$31&gt;=4)*($C$28:$C$31&lt;&gt;"salary")*($D$28:$D$31&gt;0)*$B$28:$B$31*$E$28:$E$31*$D$28:$D$31)/H137,0)</f>
        <v/>
      </c>
      <c r="I145" s="43">
        <f>IFERROR(SUMPRODUCT(($G$28:$G$31&lt;=5)*($H$28:$H$31&gt;=5)*($C$28:$C$31&lt;&gt;"salary")*($D$28:$D$31&gt;0)*$B$28:$B$31*$E$28:$E$31*$D$28:$D$31)/I137,0)</f>
        <v/>
      </c>
      <c r="J145" s="43">
        <f>IFERROR(SUMPRODUCT(($G$28:$G$31&lt;=6)*($H$28:$H$31&gt;=6)*($C$28:$C$31&lt;&gt;"salary")*($D$28:$D$31&gt;0)*$B$28:$B$31*$E$28:$E$31*$D$28:$D$31)/J137,0)</f>
        <v/>
      </c>
      <c r="K145" s="43">
        <f>IFERROR(SUMPRODUCT(($G$28:$G$31&lt;=7)*($H$28:$H$31&gt;=7)*($C$28:$C$31&lt;&gt;"salary")*($D$28:$D$31&gt;0)*$B$28:$B$31*$E$28:$E$31*$D$28:$D$31)/K137,0)</f>
        <v/>
      </c>
      <c r="L145" s="43">
        <f>IFERROR(SUMPRODUCT(($G$28:$G$31&lt;=8)*($H$28:$H$31&gt;=8)*($C$28:$C$31&lt;&gt;"salary")*($D$28:$D$31&gt;0)*$B$28:$B$31*$E$28:$E$31*$D$28:$D$31)/L137,0)</f>
        <v/>
      </c>
      <c r="M145" s="43">
        <f>IFERROR(SUMPRODUCT(($G$28:$G$31&lt;=9)*($H$28:$H$31&gt;=9)*($C$28:$C$31&lt;&gt;"salary")*($D$28:$D$31&gt;0)*$B$28:$B$31*$E$28:$E$31*$D$28:$D$31)/M137,0)</f>
        <v/>
      </c>
      <c r="N145" s="43">
        <f>IFERROR(SUMPRODUCT(($G$28:$G$31&lt;=10)*($H$28:$H$31&gt;=10)*($C$28:$C$31&lt;&gt;"salary")*($D$28:$D$31&gt;0)*$B$28:$B$31*$E$28:$E$31*$D$28:$D$31)/N137,0)</f>
        <v/>
      </c>
      <c r="O145" s="43">
        <f>IFERROR(SUMPRODUCT(($G$28:$G$31&lt;=11)*($H$28:$H$31&gt;=11)*($C$28:$C$31&lt;&gt;"salary")*($D$28:$D$31&gt;0)*$B$28:$B$31*$E$28:$E$31*$D$28:$D$31)/O137,0)</f>
        <v/>
      </c>
      <c r="P145" s="43">
        <f>IFERROR(SUMPRODUCT(($G$28:$G$31&lt;=12)*($H$28:$H$31&gt;=12)*($C$28:$C$31&lt;&gt;"salary")*($D$28:$D$31&gt;0)*$B$28:$B$31*$E$28:$E$31*$D$28:$D$31)/P137,0)</f>
        <v/>
      </c>
      <c r="Q145" s="43">
        <f>IFERROR(SUMPRODUCT(($G$28:$G$31&lt;=13)*($H$28:$H$31&gt;=13)*($C$28:$C$31&lt;&gt;"salary")*($D$28:$D$31&gt;0)*$B$28:$B$31*$E$28:$E$31*$D$28:$D$31)/Q137,0)</f>
        <v/>
      </c>
      <c r="R145" s="43">
        <f>IFERROR(SUMPRODUCT(($G$28:$G$31&lt;=14)*($H$28:$H$31&gt;=14)*($C$28:$C$31&lt;&gt;"salary")*($D$28:$D$31&gt;0)*$B$28:$B$31*$E$28:$E$31*$D$28:$D$31)/R137,0)</f>
        <v/>
      </c>
      <c r="S145" s="43">
        <f>IFERROR(SUMPRODUCT(($G$28:$G$31&lt;=15)*($H$28:$H$31&gt;=15)*($C$28:$C$31&lt;&gt;"salary")*($D$28:$D$31&gt;0)*$B$28:$B$31*$E$28:$E$31*$D$28:$D$31)/S137,0)</f>
        <v/>
      </c>
      <c r="T145" s="43">
        <f>IFERROR(SUMPRODUCT(($G$28:$G$31&lt;=16)*($H$28:$H$31&gt;=16)*($C$28:$C$31&lt;&gt;"salary")*($D$28:$D$31&gt;0)*$B$28:$B$31*$E$28:$E$31*$D$28:$D$31)/T137,0)</f>
        <v/>
      </c>
      <c r="U145" s="43">
        <f>IFERROR(SUMPRODUCT(($G$28:$G$31&lt;=17)*($H$28:$H$31&gt;=17)*($C$28:$C$31&lt;&gt;"salary")*($D$28:$D$31&gt;0)*$B$28:$B$31*$E$28:$E$31*$D$28:$D$31)/U137,0)</f>
        <v/>
      </c>
      <c r="V145" s="43">
        <f>IFERROR(SUMPRODUCT(($G$28:$G$31&lt;=18)*($H$28:$H$31&gt;=18)*($C$28:$C$31&lt;&gt;"salary")*($D$28:$D$31&gt;0)*$B$28:$B$31*$E$28:$E$31*$D$28:$D$31)/V137,0)</f>
        <v/>
      </c>
      <c r="W145" s="43">
        <f>IFERROR(SUMPRODUCT(($G$28:$G$31&lt;=19)*($H$28:$H$31&gt;=19)*($C$28:$C$31&lt;&gt;"salary")*($D$28:$D$31&gt;0)*$B$28:$B$31*$E$28:$E$31*$D$28:$D$31)/W137,0)</f>
        <v/>
      </c>
      <c r="X145" s="43">
        <f>IFERROR(SUMPRODUCT(($G$28:$G$31&lt;=20)*($H$28:$H$31&gt;=20)*($C$28:$C$31&lt;&gt;"salary")*($D$28:$D$31&gt;0)*$B$28:$B$31*$E$28:$E$31*$D$28:$D$31)/X137,0)</f>
        <v/>
      </c>
      <c r="Y145" s="43">
        <f>IFERROR(SUMPRODUCT(($G$28:$G$31&lt;=21)*($H$28:$H$31&gt;=21)*($C$28:$C$31&lt;&gt;"salary")*($D$28:$D$31&gt;0)*$B$28:$B$31*$E$28:$E$31*$D$28:$D$31)/Y137,0)</f>
        <v/>
      </c>
      <c r="Z145" s="43">
        <f>IFERROR(SUMPRODUCT(($G$28:$G$31&lt;=22)*($H$28:$H$31&gt;=22)*($C$28:$C$31&lt;&gt;"salary")*($D$28:$D$31&gt;0)*$B$28:$B$31*$E$28:$E$31*$D$28:$D$31)/Z137,0)</f>
        <v/>
      </c>
      <c r="AA145" s="43">
        <f>IFERROR(SUMPRODUCT(($G$28:$G$31&lt;=23)*($H$28:$H$31&gt;=23)*($C$28:$C$31&lt;&gt;"salary")*($D$28:$D$31&gt;0)*$B$28:$B$31*$E$28:$E$31*$D$28:$D$31)/AA137,0)</f>
        <v/>
      </c>
      <c r="AB145" s="43">
        <f>IFERROR(SUMPRODUCT(($G$28:$G$31&lt;=24)*($H$28:$H$31&gt;=24)*($C$28:$C$31&lt;&gt;"salary")*($D$28:$D$31&gt;0)*$B$28:$B$31*$E$28:$E$31*$D$28:$D$31)/AB137,0)</f>
        <v/>
      </c>
      <c r="AC145" s="43">
        <f>IFERROR(SUMPRODUCT(($G$28:$G$31&lt;=25)*($H$28:$H$31&gt;=25)*($C$28:$C$31&lt;&gt;"salary")*($D$28:$D$31&gt;0)*$B$28:$B$31*$E$28:$E$31*$D$28:$D$31)/AC137,0)</f>
        <v/>
      </c>
      <c r="AD145" s="43">
        <f>IFERROR(SUMPRODUCT(($G$28:$G$31&lt;=26)*($H$28:$H$31&gt;=26)*($C$28:$C$31&lt;&gt;"salary")*($D$28:$D$31&gt;0)*$B$28:$B$31*$E$28:$E$31*$D$28:$D$31)/AD137,0)</f>
        <v/>
      </c>
      <c r="AE145" s="43">
        <f>IFERROR(SUMPRODUCT(($G$28:$G$31&lt;=27)*($H$28:$H$31&gt;=27)*($C$28:$C$31&lt;&gt;"salary")*($D$28:$D$31&gt;0)*$B$28:$B$31*$E$28:$E$31*$D$28:$D$31)/AE137,0)</f>
        <v/>
      </c>
      <c r="AF145" s="43">
        <f>IFERROR(SUMPRODUCT(($G$28:$G$31&lt;=28)*($H$28:$H$31&gt;=28)*($C$28:$C$31&lt;&gt;"salary")*($D$28:$D$31&gt;0)*$B$28:$B$31*$E$28:$E$31*$D$28:$D$31)/AF137,0)</f>
        <v/>
      </c>
      <c r="AG145" s="43">
        <f>IFERROR(SUMPRODUCT(($G$28:$G$31&lt;=29)*($H$28:$H$31&gt;=29)*($C$28:$C$31&lt;&gt;"salary")*($D$28:$D$31&gt;0)*$B$28:$B$31*$E$28:$E$31*$D$28:$D$31)/AG137,0)</f>
        <v/>
      </c>
      <c r="AH145" s="43">
        <f>IFERROR(SUMPRODUCT(($G$28:$G$31&lt;=30)*($H$28:$H$31&gt;=30)*($C$28:$C$31&lt;&gt;"salary")*($D$28:$D$31&gt;0)*$B$28:$B$31*$E$28:$E$31*$D$28:$D$31)/AH137,0)</f>
        <v/>
      </c>
      <c r="AI145" s="43">
        <f>IFERROR(SUMPRODUCT(($G$28:$G$31&lt;=31)*($H$28:$H$31&gt;=31)*($C$28:$C$31&lt;&gt;"salary")*($D$28:$D$31&gt;0)*$B$28:$B$31*$E$28:$E$31*$D$28:$D$31)/AI137,0)</f>
        <v/>
      </c>
      <c r="AJ145" s="43">
        <f>IFERROR(SUMPRODUCT(($G$28:$G$31&lt;=32)*($H$28:$H$31&gt;=32)*($C$28:$C$31&lt;&gt;"salary")*($D$28:$D$31&gt;0)*$B$28:$B$31*$E$28:$E$31*$D$28:$D$31)/AJ137,0)</f>
        <v/>
      </c>
      <c r="AK145" s="43">
        <f>IFERROR(SUMPRODUCT(($G$28:$G$31&lt;=33)*($H$28:$H$31&gt;=33)*($C$28:$C$31&lt;&gt;"salary")*($D$28:$D$31&gt;0)*$B$28:$B$31*$E$28:$E$31*$D$28:$D$31)/AK137,0)</f>
        <v/>
      </c>
      <c r="AL145" s="43">
        <f>IFERROR(SUMPRODUCT(($G$28:$G$31&lt;=34)*($H$28:$H$31&gt;=34)*($C$28:$C$31&lt;&gt;"salary")*($D$28:$D$31&gt;0)*$B$28:$B$31*$E$28:$E$31*$D$28:$D$31)/AL137,0)</f>
        <v/>
      </c>
      <c r="AM145" s="43">
        <f>IFERROR(SUMPRODUCT(($G$28:$G$31&lt;=35)*($H$28:$H$31&gt;=35)*($C$28:$C$31&lt;&gt;"salary")*($D$28:$D$31&gt;0)*$B$28:$B$31*$E$28:$E$31*$D$28:$D$31)/AM137,0)</f>
        <v/>
      </c>
      <c r="AN145" s="43">
        <f>IFERROR(SUMPRODUCT(($G$28:$G$31&lt;=36)*($H$28:$H$31&gt;=36)*($C$28:$C$31&lt;&gt;"salary")*($D$28:$D$31&gt;0)*$B$28:$B$31*$E$28:$E$31*$D$28:$D$31)/AN137,0)</f>
        <v/>
      </c>
      <c r="AO145" s="43">
        <f>IFERROR(SUMPRODUCT(($G$28:$G$31&lt;=37)*($H$28:$H$31&gt;=37)*($C$28:$C$31&lt;&gt;"salary")*($D$28:$D$31&gt;0)*$B$28:$B$31*$E$28:$E$31*$D$28:$D$31)/AO137,0)</f>
        <v/>
      </c>
      <c r="AP145" s="43">
        <f>IFERROR(SUMPRODUCT(($G$28:$G$31&lt;=38)*($H$28:$H$31&gt;=38)*($C$28:$C$31&lt;&gt;"salary")*($D$28:$D$31&gt;0)*$B$28:$B$31*$E$28:$E$31*$D$28:$D$31)/AP137,0)</f>
        <v/>
      </c>
      <c r="AQ145" s="43">
        <f>IFERROR(SUMPRODUCT(($G$28:$G$31&lt;=39)*($H$28:$H$31&gt;=39)*($C$28:$C$31&lt;&gt;"salary")*($D$28:$D$31&gt;0)*$B$28:$B$31*$E$28:$E$31*$D$28:$D$31)/AQ137,0)</f>
        <v/>
      </c>
      <c r="AR145" s="43">
        <f>IFERROR(SUMPRODUCT(($G$28:$G$31&lt;=40)*($H$28:$H$31&gt;=40)*($C$28:$C$31&lt;&gt;"salary")*($D$28:$D$31&gt;0)*$B$28:$B$31*$E$28:$E$31*$D$28:$D$31)/AR137,0)</f>
        <v/>
      </c>
      <c r="AS145" s="43">
        <f>IFERROR(SUMPRODUCT(($G$28:$G$31&lt;=41)*($H$28:$H$31&gt;=41)*($C$28:$C$31&lt;&gt;"salary")*($D$28:$D$31&gt;0)*$B$28:$B$31*$E$28:$E$31*$D$28:$D$31)/AS137,0)</f>
        <v/>
      </c>
      <c r="AT145" s="43">
        <f>IFERROR(SUMPRODUCT(($G$28:$G$31&lt;=42)*($H$28:$H$31&gt;=42)*($C$28:$C$31&lt;&gt;"salary")*($D$28:$D$31&gt;0)*$B$28:$B$31*$E$28:$E$31*$D$28:$D$31)/AT137,0)</f>
        <v/>
      </c>
      <c r="AU145" s="43">
        <f>IFERROR(SUMPRODUCT(($G$28:$G$31&lt;=43)*($H$28:$H$31&gt;=43)*($C$28:$C$31&lt;&gt;"salary")*($D$28:$D$31&gt;0)*$B$28:$B$31*$E$28:$E$31*$D$28:$D$31)/AU137,0)</f>
        <v/>
      </c>
      <c r="AV145" s="43">
        <f>IFERROR(SUMPRODUCT(($G$28:$G$31&lt;=44)*($H$28:$H$31&gt;=44)*($C$28:$C$31&lt;&gt;"salary")*($D$28:$D$31&gt;0)*$B$28:$B$31*$E$28:$E$31*$D$28:$D$31)/AV137,0)</f>
        <v/>
      </c>
      <c r="AW145" s="43">
        <f>IFERROR(SUMPRODUCT(($G$28:$G$31&lt;=45)*($H$28:$H$31&gt;=45)*($C$28:$C$31&lt;&gt;"salary")*($D$28:$D$31&gt;0)*$B$28:$B$31*$E$28:$E$31*$D$28:$D$31)/AW137,0)</f>
        <v/>
      </c>
      <c r="AX145" s="43">
        <f>IFERROR(SUMPRODUCT(($G$28:$G$31&lt;=46)*($H$28:$H$31&gt;=46)*($C$28:$C$31&lt;&gt;"salary")*($D$28:$D$31&gt;0)*$B$28:$B$31*$E$28:$E$31*$D$28:$D$31)/AX137,0)</f>
        <v/>
      </c>
      <c r="AY145" s="43">
        <f>IFERROR(SUMPRODUCT(($G$28:$G$31&lt;=47)*($H$28:$H$31&gt;=47)*($C$28:$C$31&lt;&gt;"salary")*($D$28:$D$31&gt;0)*$B$28:$B$31*$E$28:$E$31*$D$28:$D$31)/AY137,0)</f>
        <v/>
      </c>
      <c r="AZ145" s="43">
        <f>IFERROR(SUMPRODUCT(($G$28:$G$31&lt;=48)*($H$28:$H$31&gt;=48)*($C$28:$C$31&lt;&gt;"salary")*($D$28:$D$31&gt;0)*$B$28:$B$31*$E$28:$E$31*$D$28:$D$31)/AZ137,0)</f>
        <v/>
      </c>
      <c r="BA145" s="43">
        <f>IFERROR(SUMPRODUCT(($G$28:$G$31&lt;=49)*($H$28:$H$31&gt;=49)*($C$28:$C$31&lt;&gt;"salary")*($D$28:$D$31&gt;0)*$B$28:$B$31*$E$28:$E$31*$D$28:$D$31)/BA137,0)</f>
        <v/>
      </c>
      <c r="BB145" s="43">
        <f>IFERROR(SUMPRODUCT(($G$28:$G$31&lt;=50)*($H$28:$H$31&gt;=50)*($C$28:$C$31&lt;&gt;"salary")*($D$28:$D$31&gt;0)*$B$28:$B$31*$E$28:$E$31*$D$28:$D$31)/BB137,0)</f>
        <v/>
      </c>
      <c r="BC145" s="43">
        <f>IFERROR(SUMPRODUCT(($G$28:$G$31&lt;=51)*($H$28:$H$31&gt;=51)*($C$28:$C$31&lt;&gt;"salary")*($D$28:$D$31&gt;0)*$B$28:$B$31*$E$28:$E$31*$D$28:$D$31)/BC137,0)</f>
        <v/>
      </c>
      <c r="BD145" s="43">
        <f>IFERROR(SUMPRODUCT(($G$28:$G$31&lt;=52)*($H$28:$H$31&gt;=52)*($C$28:$C$31&lt;&gt;"salary")*($D$28:$D$31&gt;0)*$B$28:$B$31*$E$28:$E$31*$D$28:$D$31)/BD137,0)</f>
        <v/>
      </c>
    </row>
    <row r="146">
      <c r="A146" s="2" t="inlineStr">
        <is>
          <t xml:space="preserve">   The divisor is row 2, by reference. v8 recomputed the whole mask a second time to build it.</t>
        </is>
      </c>
    </row>
    <row r="147">
      <c r="A147" s="26" t="inlineStr">
        <is>
          <t>7  Overtime rate</t>
        </is>
      </c>
      <c r="B147" s="2" t="inlineStr">
        <is>
          <t>$/hr</t>
        </is>
      </c>
      <c r="E147" s="43">
        <f>E145*(1+$B$32)*$B$33</f>
        <v/>
      </c>
      <c r="F147" s="43">
        <f>F145*(1+$B$32)*$B$33</f>
        <v/>
      </c>
      <c r="G147" s="43">
        <f>G145*(1+$B$32)*$B$33</f>
        <v/>
      </c>
      <c r="H147" s="43">
        <f>H145*(1+$B$32)*$B$33</f>
        <v/>
      </c>
      <c r="I147" s="43">
        <f>I145*(1+$B$32)*$B$33</f>
        <v/>
      </c>
      <c r="J147" s="43">
        <f>J145*(1+$B$32)*$B$33</f>
        <v/>
      </c>
      <c r="K147" s="43">
        <f>K145*(1+$B$32)*$B$33</f>
        <v/>
      </c>
      <c r="L147" s="43">
        <f>L145*(1+$B$32)*$B$33</f>
        <v/>
      </c>
      <c r="M147" s="43">
        <f>M145*(1+$B$32)*$B$33</f>
        <v/>
      </c>
      <c r="N147" s="43">
        <f>N145*(1+$B$32)*$B$33</f>
        <v/>
      </c>
      <c r="O147" s="43">
        <f>O145*(1+$B$32)*$B$33</f>
        <v/>
      </c>
      <c r="P147" s="43">
        <f>P145*(1+$B$32)*$B$33</f>
        <v/>
      </c>
      <c r="Q147" s="43">
        <f>Q145*(1+$B$32)*$B$33</f>
        <v/>
      </c>
      <c r="R147" s="43">
        <f>R145*(1+$B$32)*$B$33</f>
        <v/>
      </c>
      <c r="S147" s="43">
        <f>S145*(1+$B$32)*$B$33</f>
        <v/>
      </c>
      <c r="T147" s="43">
        <f>T145*(1+$B$32)*$B$33</f>
        <v/>
      </c>
      <c r="U147" s="43">
        <f>U145*(1+$B$32)*$B$33</f>
        <v/>
      </c>
      <c r="V147" s="43">
        <f>V145*(1+$B$32)*$B$33</f>
        <v/>
      </c>
      <c r="W147" s="43">
        <f>W145*(1+$B$32)*$B$33</f>
        <v/>
      </c>
      <c r="X147" s="43">
        <f>X145*(1+$B$32)*$B$33</f>
        <v/>
      </c>
      <c r="Y147" s="43">
        <f>Y145*(1+$B$32)*$B$33</f>
        <v/>
      </c>
      <c r="Z147" s="43">
        <f>Z145*(1+$B$32)*$B$33</f>
        <v/>
      </c>
      <c r="AA147" s="43">
        <f>AA145*(1+$B$32)*$B$33</f>
        <v/>
      </c>
      <c r="AB147" s="43">
        <f>AB145*(1+$B$32)*$B$33</f>
        <v/>
      </c>
      <c r="AC147" s="43">
        <f>AC145*(1+$B$32)*$B$33</f>
        <v/>
      </c>
      <c r="AD147" s="43">
        <f>AD145*(1+$B$32)*$B$33</f>
        <v/>
      </c>
      <c r="AE147" s="43">
        <f>AE145*(1+$B$32)*$B$33</f>
        <v/>
      </c>
      <c r="AF147" s="43">
        <f>AF145*(1+$B$32)*$B$33</f>
        <v/>
      </c>
      <c r="AG147" s="43">
        <f>AG145*(1+$B$32)*$B$33</f>
        <v/>
      </c>
      <c r="AH147" s="43">
        <f>AH145*(1+$B$32)*$B$33</f>
        <v/>
      </c>
      <c r="AI147" s="43">
        <f>AI145*(1+$B$32)*$B$33</f>
        <v/>
      </c>
      <c r="AJ147" s="43">
        <f>AJ145*(1+$B$32)*$B$33</f>
        <v/>
      </c>
      <c r="AK147" s="43">
        <f>AK145*(1+$B$32)*$B$33</f>
        <v/>
      </c>
      <c r="AL147" s="43">
        <f>AL145*(1+$B$32)*$B$33</f>
        <v/>
      </c>
      <c r="AM147" s="43">
        <f>AM145*(1+$B$32)*$B$33</f>
        <v/>
      </c>
      <c r="AN147" s="43">
        <f>AN145*(1+$B$32)*$B$33</f>
        <v/>
      </c>
      <c r="AO147" s="43">
        <f>AO145*(1+$B$32)*$B$33</f>
        <v/>
      </c>
      <c r="AP147" s="43">
        <f>AP145*(1+$B$32)*$B$33</f>
        <v/>
      </c>
      <c r="AQ147" s="43">
        <f>AQ145*(1+$B$32)*$B$33</f>
        <v/>
      </c>
      <c r="AR147" s="43">
        <f>AR145*(1+$B$32)*$B$33</f>
        <v/>
      </c>
      <c r="AS147" s="43">
        <f>AS145*(1+$B$32)*$B$33</f>
        <v/>
      </c>
      <c r="AT147" s="43">
        <f>AT145*(1+$B$32)*$B$33</f>
        <v/>
      </c>
      <c r="AU147" s="43">
        <f>AU145*(1+$B$32)*$B$33</f>
        <v/>
      </c>
      <c r="AV147" s="43">
        <f>AV145*(1+$B$32)*$B$33</f>
        <v/>
      </c>
      <c r="AW147" s="43">
        <f>AW145*(1+$B$32)*$B$33</f>
        <v/>
      </c>
      <c r="AX147" s="43">
        <f>AX145*(1+$B$32)*$B$33</f>
        <v/>
      </c>
      <c r="AY147" s="43">
        <f>AY145*(1+$B$32)*$B$33</f>
        <v/>
      </c>
      <c r="AZ147" s="43">
        <f>AZ145*(1+$B$32)*$B$33</f>
        <v/>
      </c>
      <c r="BA147" s="43">
        <f>BA145*(1+$B$32)*$B$33</f>
        <v/>
      </c>
      <c r="BB147" s="43">
        <f>BB145*(1+$B$32)*$B$33</f>
        <v/>
      </c>
      <c r="BC147" s="43">
        <f>BC145*(1+$B$32)*$B$33</f>
        <v/>
      </c>
      <c r="BD147" s="43">
        <f>BD145*(1+$B$32)*$B$33</f>
        <v/>
      </c>
    </row>
    <row r="148">
      <c r="A148" s="2" t="inlineStr">
        <is>
          <t xml:space="preserve">   Row 6 x payroll load x multiplier. Three named things, in the order you would say them.</t>
        </is>
      </c>
    </row>
    <row r="150">
      <c r="A150" s="30" t="inlineStr">
        <is>
          <t>Week</t>
        </is>
      </c>
      <c r="B150" s="38" t="inlineStr">
        <is>
          <t>hours</t>
        </is>
      </c>
      <c r="E150" s="31" t="n">
        <v>1</v>
      </c>
      <c r="F150" s="31" t="n">
        <v>2</v>
      </c>
      <c r="G150" s="31" t="n">
        <v>3</v>
      </c>
      <c r="H150" s="31" t="n">
        <v>4</v>
      </c>
      <c r="I150" s="31" t="n">
        <v>5</v>
      </c>
      <c r="J150" s="31" t="n">
        <v>6</v>
      </c>
      <c r="K150" s="31" t="n">
        <v>7</v>
      </c>
      <c r="L150" s="31" t="n">
        <v>8</v>
      </c>
      <c r="M150" s="31" t="n">
        <v>9</v>
      </c>
      <c r="N150" s="31" t="n">
        <v>10</v>
      </c>
      <c r="O150" s="31" t="n">
        <v>11</v>
      </c>
      <c r="P150" s="31" t="n">
        <v>12</v>
      </c>
      <c r="Q150" s="31" t="n">
        <v>13</v>
      </c>
      <c r="R150" s="31" t="n">
        <v>14</v>
      </c>
      <c r="S150" s="31" t="n">
        <v>15</v>
      </c>
      <c r="T150" s="31" t="n">
        <v>16</v>
      </c>
      <c r="U150" s="31" t="n">
        <v>17</v>
      </c>
      <c r="V150" s="31" t="n">
        <v>18</v>
      </c>
      <c r="W150" s="31" t="n">
        <v>19</v>
      </c>
      <c r="X150" s="31" t="n">
        <v>20</v>
      </c>
      <c r="Y150" s="31" t="n">
        <v>21</v>
      </c>
      <c r="Z150" s="31" t="n">
        <v>22</v>
      </c>
      <c r="AA150" s="31" t="n">
        <v>23</v>
      </c>
      <c r="AB150" s="31" t="n">
        <v>24</v>
      </c>
      <c r="AC150" s="31" t="n">
        <v>25</v>
      </c>
      <c r="AD150" s="31" t="n">
        <v>26</v>
      </c>
      <c r="AE150" s="31" t="n">
        <v>27</v>
      </c>
      <c r="AF150" s="31" t="n">
        <v>28</v>
      </c>
      <c r="AG150" s="31" t="n">
        <v>29</v>
      </c>
      <c r="AH150" s="31" t="n">
        <v>30</v>
      </c>
      <c r="AI150" s="31" t="n">
        <v>31</v>
      </c>
      <c r="AJ150" s="31" t="n">
        <v>32</v>
      </c>
      <c r="AK150" s="31" t="n">
        <v>33</v>
      </c>
      <c r="AL150" s="31" t="n">
        <v>34</v>
      </c>
      <c r="AM150" s="31" t="n">
        <v>35</v>
      </c>
      <c r="AN150" s="31" t="n">
        <v>36</v>
      </c>
      <c r="AO150" s="31" t="n">
        <v>37</v>
      </c>
      <c r="AP150" s="31" t="n">
        <v>38</v>
      </c>
      <c r="AQ150" s="31" t="n">
        <v>39</v>
      </c>
      <c r="AR150" s="31" t="n">
        <v>40</v>
      </c>
      <c r="AS150" s="31" t="n">
        <v>41</v>
      </c>
      <c r="AT150" s="31" t="n">
        <v>42</v>
      </c>
      <c r="AU150" s="31" t="n">
        <v>43</v>
      </c>
      <c r="AV150" s="31" t="n">
        <v>44</v>
      </c>
      <c r="AW150" s="31" t="n">
        <v>45</v>
      </c>
      <c r="AX150" s="31" t="n">
        <v>46</v>
      </c>
      <c r="AY150" s="31" t="n">
        <v>47</v>
      </c>
      <c r="AZ150" s="31" t="n">
        <v>48</v>
      </c>
      <c r="BA150" s="31" t="n">
        <v>49</v>
      </c>
      <c r="BB150" s="31" t="n">
        <v>50</v>
      </c>
      <c r="BC150" s="31" t="n">
        <v>51</v>
      </c>
      <c r="BD150" s="31" t="n">
        <v>52</v>
      </c>
    </row>
    <row r="151">
      <c r="A151" s="26" t="inlineStr">
        <is>
          <t>8  Overtime CAP</t>
        </is>
      </c>
      <c r="B151" s="2" t="inlineStr">
        <is>
          <t>hrs</t>
        </is>
      </c>
      <c r="E151" s="42">
        <f>MAX(0,$B$34-1)*E138</f>
        <v/>
      </c>
      <c r="F151" s="42">
        <f>MAX(0,$B$34-1)*F138</f>
        <v/>
      </c>
      <c r="G151" s="42">
        <f>MAX(0,$B$34-1)*G138</f>
        <v/>
      </c>
      <c r="H151" s="42">
        <f>MAX(0,$B$34-1)*H138</f>
        <v/>
      </c>
      <c r="I151" s="42">
        <f>MAX(0,$B$34-1)*I138</f>
        <v/>
      </c>
      <c r="J151" s="42">
        <f>MAX(0,$B$34-1)*J138</f>
        <v/>
      </c>
      <c r="K151" s="42">
        <f>MAX(0,$B$34-1)*K138</f>
        <v/>
      </c>
      <c r="L151" s="42">
        <f>MAX(0,$B$34-1)*L138</f>
        <v/>
      </c>
      <c r="M151" s="42">
        <f>MAX(0,$B$34-1)*M138</f>
        <v/>
      </c>
      <c r="N151" s="42">
        <f>MAX(0,$B$34-1)*N138</f>
        <v/>
      </c>
      <c r="O151" s="42">
        <f>MAX(0,$B$34-1)*O138</f>
        <v/>
      </c>
      <c r="P151" s="42">
        <f>MAX(0,$B$34-1)*P138</f>
        <v/>
      </c>
      <c r="Q151" s="42">
        <f>MAX(0,$B$34-1)*Q138</f>
        <v/>
      </c>
      <c r="R151" s="42">
        <f>MAX(0,$B$34-1)*R138</f>
        <v/>
      </c>
      <c r="S151" s="42">
        <f>MAX(0,$B$34-1)*S138</f>
        <v/>
      </c>
      <c r="T151" s="42">
        <f>MAX(0,$B$34-1)*T138</f>
        <v/>
      </c>
      <c r="U151" s="42">
        <f>MAX(0,$B$34-1)*U138</f>
        <v/>
      </c>
      <c r="V151" s="42">
        <f>MAX(0,$B$34-1)*V138</f>
        <v/>
      </c>
      <c r="W151" s="42">
        <f>MAX(0,$B$34-1)*W138</f>
        <v/>
      </c>
      <c r="X151" s="42">
        <f>MAX(0,$B$34-1)*X138</f>
        <v/>
      </c>
      <c r="Y151" s="42">
        <f>MAX(0,$B$34-1)*Y138</f>
        <v/>
      </c>
      <c r="Z151" s="42">
        <f>MAX(0,$B$34-1)*Z138</f>
        <v/>
      </c>
      <c r="AA151" s="42">
        <f>MAX(0,$B$34-1)*AA138</f>
        <v/>
      </c>
      <c r="AB151" s="42">
        <f>MAX(0,$B$34-1)*AB138</f>
        <v/>
      </c>
      <c r="AC151" s="42">
        <f>MAX(0,$B$34-1)*AC138</f>
        <v/>
      </c>
      <c r="AD151" s="42">
        <f>MAX(0,$B$34-1)*AD138</f>
        <v/>
      </c>
      <c r="AE151" s="42">
        <f>MAX(0,$B$34-1)*AE138</f>
        <v/>
      </c>
      <c r="AF151" s="42">
        <f>MAX(0,$B$34-1)*AF138</f>
        <v/>
      </c>
      <c r="AG151" s="42">
        <f>MAX(0,$B$34-1)*AG138</f>
        <v/>
      </c>
      <c r="AH151" s="42">
        <f>MAX(0,$B$34-1)*AH138</f>
        <v/>
      </c>
      <c r="AI151" s="42">
        <f>MAX(0,$B$34-1)*AI138</f>
        <v/>
      </c>
      <c r="AJ151" s="42">
        <f>MAX(0,$B$34-1)*AJ138</f>
        <v/>
      </c>
      <c r="AK151" s="42">
        <f>MAX(0,$B$34-1)*AK138</f>
        <v/>
      </c>
      <c r="AL151" s="42">
        <f>MAX(0,$B$34-1)*AL138</f>
        <v/>
      </c>
      <c r="AM151" s="42">
        <f>MAX(0,$B$34-1)*AM138</f>
        <v/>
      </c>
      <c r="AN151" s="42">
        <f>MAX(0,$B$34-1)*AN138</f>
        <v/>
      </c>
      <c r="AO151" s="42">
        <f>MAX(0,$B$34-1)*AO138</f>
        <v/>
      </c>
      <c r="AP151" s="42">
        <f>MAX(0,$B$34-1)*AP138</f>
        <v/>
      </c>
      <c r="AQ151" s="42">
        <f>MAX(0,$B$34-1)*AQ138</f>
        <v/>
      </c>
      <c r="AR151" s="42">
        <f>MAX(0,$B$34-1)*AR138</f>
        <v/>
      </c>
      <c r="AS151" s="42">
        <f>MAX(0,$B$34-1)*AS138</f>
        <v/>
      </c>
      <c r="AT151" s="42">
        <f>MAX(0,$B$34-1)*AT138</f>
        <v/>
      </c>
      <c r="AU151" s="42">
        <f>MAX(0,$B$34-1)*AU138</f>
        <v/>
      </c>
      <c r="AV151" s="42">
        <f>MAX(0,$B$34-1)*AV138</f>
        <v/>
      </c>
      <c r="AW151" s="42">
        <f>MAX(0,$B$34-1)*AW138</f>
        <v/>
      </c>
      <c r="AX151" s="42">
        <f>MAX(0,$B$34-1)*AX138</f>
        <v/>
      </c>
      <c r="AY151" s="42">
        <f>MAX(0,$B$34-1)*AY138</f>
        <v/>
      </c>
      <c r="AZ151" s="42">
        <f>MAX(0,$B$34-1)*AZ138</f>
        <v/>
      </c>
      <c r="BA151" s="42">
        <f>MAX(0,$B$34-1)*BA138</f>
        <v/>
      </c>
      <c r="BB151" s="42">
        <f>MAX(0,$B$34-1)*BB138</f>
        <v/>
      </c>
      <c r="BC151" s="42">
        <f>MAX(0,$B$34-1)*BC138</f>
        <v/>
      </c>
      <c r="BD151" s="42">
        <f>MAX(0,$B$34-1)*BD138</f>
        <v/>
      </c>
    </row>
    <row r="152">
      <c r="A152" s="2" t="inlineStr">
        <is>
          <t xml:space="preserve">   At the shipped 1.25 this is a quarter of row 3, week by week. In a week with no hourly crew it is ZERO — which is the point: you cannot work overtime on a crew that is not there, and v8's flat 200 said you could.</t>
        </is>
      </c>
    </row>
    <row r="154">
      <c r="A154" s="30" t="inlineStr">
        <is>
          <t>Week</t>
        </is>
      </c>
      <c r="B154" s="38" t="inlineStr">
        <is>
          <t>hours</t>
        </is>
      </c>
      <c r="E154" s="31" t="n">
        <v>1</v>
      </c>
      <c r="F154" s="31" t="n">
        <v>2</v>
      </c>
      <c r="G154" s="31" t="n">
        <v>3</v>
      </c>
      <c r="H154" s="31" t="n">
        <v>4</v>
      </c>
      <c r="I154" s="31" t="n">
        <v>5</v>
      </c>
      <c r="J154" s="31" t="n">
        <v>6</v>
      </c>
      <c r="K154" s="31" t="n">
        <v>7</v>
      </c>
      <c r="L154" s="31" t="n">
        <v>8</v>
      </c>
      <c r="M154" s="31" t="n">
        <v>9</v>
      </c>
      <c r="N154" s="31" t="n">
        <v>10</v>
      </c>
      <c r="O154" s="31" t="n">
        <v>11</v>
      </c>
      <c r="P154" s="31" t="n">
        <v>12</v>
      </c>
      <c r="Q154" s="31" t="n">
        <v>13</v>
      </c>
      <c r="R154" s="31" t="n">
        <v>14</v>
      </c>
      <c r="S154" s="31" t="n">
        <v>15</v>
      </c>
      <c r="T154" s="31" t="n">
        <v>16</v>
      </c>
      <c r="U154" s="31" t="n">
        <v>17</v>
      </c>
      <c r="V154" s="31" t="n">
        <v>18</v>
      </c>
      <c r="W154" s="31" t="n">
        <v>19</v>
      </c>
      <c r="X154" s="31" t="n">
        <v>20</v>
      </c>
      <c r="Y154" s="31" t="n">
        <v>21</v>
      </c>
      <c r="Z154" s="31" t="n">
        <v>22</v>
      </c>
      <c r="AA154" s="31" t="n">
        <v>23</v>
      </c>
      <c r="AB154" s="31" t="n">
        <v>24</v>
      </c>
      <c r="AC154" s="31" t="n">
        <v>25</v>
      </c>
      <c r="AD154" s="31" t="n">
        <v>26</v>
      </c>
      <c r="AE154" s="31" t="n">
        <v>27</v>
      </c>
      <c r="AF154" s="31" t="n">
        <v>28</v>
      </c>
      <c r="AG154" s="31" t="n">
        <v>29</v>
      </c>
      <c r="AH154" s="31" t="n">
        <v>30</v>
      </c>
      <c r="AI154" s="31" t="n">
        <v>31</v>
      </c>
      <c r="AJ154" s="31" t="n">
        <v>32</v>
      </c>
      <c r="AK154" s="31" t="n">
        <v>33</v>
      </c>
      <c r="AL154" s="31" t="n">
        <v>34</v>
      </c>
      <c r="AM154" s="31" t="n">
        <v>35</v>
      </c>
      <c r="AN154" s="31" t="n">
        <v>36</v>
      </c>
      <c r="AO154" s="31" t="n">
        <v>37</v>
      </c>
      <c r="AP154" s="31" t="n">
        <v>38</v>
      </c>
      <c r="AQ154" s="31" t="n">
        <v>39</v>
      </c>
      <c r="AR154" s="31" t="n">
        <v>40</v>
      </c>
      <c r="AS154" s="31" t="n">
        <v>41</v>
      </c>
      <c r="AT154" s="31" t="n">
        <v>42</v>
      </c>
      <c r="AU154" s="31" t="n">
        <v>43</v>
      </c>
      <c r="AV154" s="31" t="n">
        <v>44</v>
      </c>
      <c r="AW154" s="31" t="n">
        <v>45</v>
      </c>
      <c r="AX154" s="31" t="n">
        <v>46</v>
      </c>
      <c r="AY154" s="31" t="n">
        <v>47</v>
      </c>
      <c r="AZ154" s="31" t="n">
        <v>48</v>
      </c>
      <c r="BA154" s="31" t="n">
        <v>49</v>
      </c>
      <c r="BB154" s="31" t="n">
        <v>50</v>
      </c>
      <c r="BC154" s="31" t="n">
        <v>51</v>
      </c>
      <c r="BD154" s="31" t="n">
        <v>52</v>
      </c>
    </row>
    <row r="155">
      <c r="A155" s="24" t="inlineStr">
        <is>
          <t>9  OVERTIME hours</t>
        </is>
      </c>
      <c r="B155" s="2" t="inlineStr">
        <is>
          <t>hrs &lt;-- SOLVER</t>
        </is>
      </c>
      <c r="E155" s="44" t="n">
        <v>0</v>
      </c>
      <c r="F155" s="44" t="n">
        <v>0</v>
      </c>
      <c r="G155" s="44" t="n">
        <v>0</v>
      </c>
      <c r="H155" s="44" t="n">
        <v>0</v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  <c r="AL155" s="44" t="n">
        <v>0</v>
      </c>
      <c r="AM155" s="44" t="n">
        <v>0</v>
      </c>
      <c r="AN155" s="44" t="n">
        <v>0</v>
      </c>
      <c r="AO155" s="44" t="n">
        <v>0</v>
      </c>
      <c r="AP155" s="44" t="n">
        <v>0</v>
      </c>
      <c r="AQ155" s="44" t="n">
        <v>0</v>
      </c>
      <c r="AR155" s="44" t="n">
        <v>0</v>
      </c>
      <c r="AS155" s="44" t="n">
        <v>0</v>
      </c>
      <c r="AT155" s="44" t="n">
        <v>0</v>
      </c>
      <c r="AU155" s="44" t="n">
        <v>0</v>
      </c>
      <c r="AV155" s="44" t="n">
        <v>0</v>
      </c>
      <c r="AW155" s="44" t="n">
        <v>0</v>
      </c>
      <c r="AX155" s="44" t="n">
        <v>0</v>
      </c>
      <c r="AY155" s="44" t="n">
        <v>0</v>
      </c>
      <c r="AZ155" s="44" t="n">
        <v>0</v>
      </c>
      <c r="BA155" s="44" t="n">
        <v>0</v>
      </c>
      <c r="BB155" s="44" t="n">
        <v>0</v>
      </c>
      <c r="BC155" s="44" t="n">
        <v>0</v>
      </c>
      <c r="BD155" s="44" t="n">
        <v>0</v>
      </c>
    </row>
    <row r="156">
      <c r="A156" s="26" t="inlineStr">
        <is>
          <t>10 Advisory crew hours</t>
        </is>
      </c>
      <c r="B156" s="2" t="inlineStr">
        <is>
          <t>hrs</t>
        </is>
      </c>
      <c r="E156" s="42">
        <f>IF(AND(1&gt;=$B$43,1&lt;=$C$43),$B$44*$D$43*$E$43/100,0)</f>
        <v/>
      </c>
      <c r="F156" s="42">
        <f>IF(AND(2&gt;=$B$43,2&lt;=$C$43),$B$44*$D$43*$E$43/100,0)</f>
        <v/>
      </c>
      <c r="G156" s="42">
        <f>IF(AND(3&gt;=$B$43,3&lt;=$C$43),$B$44*$D$43*$E$43/100,0)</f>
        <v/>
      </c>
      <c r="H156" s="42">
        <f>IF(AND(4&gt;=$B$43,4&lt;=$C$43),$B$44*$D$43*$E$43/100,0)</f>
        <v/>
      </c>
      <c r="I156" s="42">
        <f>IF(AND(5&gt;=$B$43,5&lt;=$C$43),$B$44*$D$43*$E$43/100,0)</f>
        <v/>
      </c>
      <c r="J156" s="42">
        <f>IF(AND(6&gt;=$B$43,6&lt;=$C$43),$B$44*$D$43*$E$43/100,0)</f>
        <v/>
      </c>
      <c r="K156" s="42">
        <f>IF(AND(7&gt;=$B$43,7&lt;=$C$43),$B$44*$D$43*$E$43/100,0)</f>
        <v/>
      </c>
      <c r="L156" s="42">
        <f>IF(AND(8&gt;=$B$43,8&lt;=$C$43),$B$44*$D$43*$E$43/100,0)</f>
        <v/>
      </c>
      <c r="M156" s="42">
        <f>IF(AND(9&gt;=$B$43,9&lt;=$C$43),$B$44*$D$43*$E$43/100,0)</f>
        <v/>
      </c>
      <c r="N156" s="42">
        <f>IF(AND(10&gt;=$B$43,10&lt;=$C$43),$B$44*$D$43*$E$43/100,0)</f>
        <v/>
      </c>
      <c r="O156" s="42">
        <f>IF(AND(11&gt;=$B$43,11&lt;=$C$43),$B$44*$D$43*$E$43/100,0)</f>
        <v/>
      </c>
      <c r="P156" s="42">
        <f>IF(AND(12&gt;=$B$43,12&lt;=$C$43),$B$44*$D$43*$E$43/100,0)</f>
        <v/>
      </c>
      <c r="Q156" s="42">
        <f>IF(AND(13&gt;=$B$43,13&lt;=$C$43),$B$44*$D$43*$E$43/100,0)</f>
        <v/>
      </c>
      <c r="R156" s="42">
        <f>IF(AND(14&gt;=$B$43,14&lt;=$C$43),$B$44*$D$43*$E$43/100,0)</f>
        <v/>
      </c>
      <c r="S156" s="42">
        <f>IF(AND(15&gt;=$B$43,15&lt;=$C$43),$B$44*$D$43*$E$43/100,0)</f>
        <v/>
      </c>
      <c r="T156" s="42">
        <f>IF(AND(16&gt;=$B$43,16&lt;=$C$43),$B$44*$D$43*$E$43/100,0)</f>
        <v/>
      </c>
      <c r="U156" s="42">
        <f>IF(AND(17&gt;=$B$43,17&lt;=$C$43),$B$44*$D$43*$E$43/100,0)</f>
        <v/>
      </c>
      <c r="V156" s="42">
        <f>IF(AND(18&gt;=$B$43,18&lt;=$C$43),$B$44*$D$43*$E$43/100,0)</f>
        <v/>
      </c>
      <c r="W156" s="42">
        <f>IF(AND(19&gt;=$B$43,19&lt;=$C$43),$B$44*$D$43*$E$43/100,0)</f>
        <v/>
      </c>
      <c r="X156" s="42">
        <f>IF(AND(20&gt;=$B$43,20&lt;=$C$43),$B$44*$D$43*$E$43/100,0)</f>
        <v/>
      </c>
      <c r="Y156" s="42">
        <f>IF(AND(21&gt;=$B$43,21&lt;=$C$43),$B$44*$D$43*$E$43/100,0)</f>
        <v/>
      </c>
      <c r="Z156" s="42">
        <f>IF(AND(22&gt;=$B$43,22&lt;=$C$43),$B$44*$D$43*$E$43/100,0)</f>
        <v/>
      </c>
      <c r="AA156" s="42">
        <f>IF(AND(23&gt;=$B$43,23&lt;=$C$43),$B$44*$D$43*$E$43/100,0)</f>
        <v/>
      </c>
      <c r="AB156" s="42">
        <f>IF(AND(24&gt;=$B$43,24&lt;=$C$43),$B$44*$D$43*$E$43/100,0)</f>
        <v/>
      </c>
      <c r="AC156" s="42">
        <f>IF(AND(25&gt;=$B$43,25&lt;=$C$43),$B$44*$D$43*$E$43/100,0)</f>
        <v/>
      </c>
      <c r="AD156" s="42">
        <f>IF(AND(26&gt;=$B$43,26&lt;=$C$43),$B$44*$D$43*$E$43/100,0)</f>
        <v/>
      </c>
      <c r="AE156" s="42">
        <f>IF(AND(27&gt;=$B$43,27&lt;=$C$43),$B$44*$D$43*$E$43/100,0)</f>
        <v/>
      </c>
      <c r="AF156" s="42">
        <f>IF(AND(28&gt;=$B$43,28&lt;=$C$43),$B$44*$D$43*$E$43/100,0)</f>
        <v/>
      </c>
      <c r="AG156" s="42">
        <f>IF(AND(29&gt;=$B$43,29&lt;=$C$43),$B$44*$D$43*$E$43/100,0)</f>
        <v/>
      </c>
      <c r="AH156" s="42">
        <f>IF(AND(30&gt;=$B$43,30&lt;=$C$43),$B$44*$D$43*$E$43/100,0)</f>
        <v/>
      </c>
      <c r="AI156" s="42">
        <f>IF(AND(31&gt;=$B$43,31&lt;=$C$43),$B$44*$D$43*$E$43/100,0)</f>
        <v/>
      </c>
      <c r="AJ156" s="42">
        <f>IF(AND(32&gt;=$B$43,32&lt;=$C$43),$B$44*$D$43*$E$43/100,0)</f>
        <v/>
      </c>
      <c r="AK156" s="42">
        <f>IF(AND(33&gt;=$B$43,33&lt;=$C$43),$B$44*$D$43*$E$43/100,0)</f>
        <v/>
      </c>
      <c r="AL156" s="42">
        <f>IF(AND(34&gt;=$B$43,34&lt;=$C$43),$B$44*$D$43*$E$43/100,0)</f>
        <v/>
      </c>
      <c r="AM156" s="42">
        <f>IF(AND(35&gt;=$B$43,35&lt;=$C$43),$B$44*$D$43*$E$43/100,0)</f>
        <v/>
      </c>
      <c r="AN156" s="42">
        <f>IF(AND(36&gt;=$B$43,36&lt;=$C$43),$B$44*$D$43*$E$43/100,0)</f>
        <v/>
      </c>
      <c r="AO156" s="42">
        <f>IF(AND(37&gt;=$B$43,37&lt;=$C$43),$B$44*$D$43*$E$43/100,0)</f>
        <v/>
      </c>
      <c r="AP156" s="42">
        <f>IF(AND(38&gt;=$B$43,38&lt;=$C$43),$B$44*$D$43*$E$43/100,0)</f>
        <v/>
      </c>
      <c r="AQ156" s="42">
        <f>IF(AND(39&gt;=$B$43,39&lt;=$C$43),$B$44*$D$43*$E$43/100,0)</f>
        <v/>
      </c>
      <c r="AR156" s="42">
        <f>IF(AND(40&gt;=$B$43,40&lt;=$C$43),$B$44*$D$43*$E$43/100,0)</f>
        <v/>
      </c>
      <c r="AS156" s="42">
        <f>IF(AND(41&gt;=$B$43,41&lt;=$C$43),$B$44*$D$43*$E$43/100,0)</f>
        <v/>
      </c>
      <c r="AT156" s="42">
        <f>IF(AND(42&gt;=$B$43,42&lt;=$C$43),$B$44*$D$43*$E$43/100,0)</f>
        <v/>
      </c>
      <c r="AU156" s="42">
        <f>IF(AND(43&gt;=$B$43,43&lt;=$C$43),$B$44*$D$43*$E$43/100,0)</f>
        <v/>
      </c>
      <c r="AV156" s="42">
        <f>IF(AND(44&gt;=$B$43,44&lt;=$C$43),$B$44*$D$43*$E$43/100,0)</f>
        <v/>
      </c>
      <c r="AW156" s="42">
        <f>IF(AND(45&gt;=$B$43,45&lt;=$C$43),$B$44*$D$43*$E$43/100,0)</f>
        <v/>
      </c>
      <c r="AX156" s="42">
        <f>IF(AND(46&gt;=$B$43,46&lt;=$C$43),$B$44*$D$43*$E$43/100,0)</f>
        <v/>
      </c>
      <c r="AY156" s="42">
        <f>IF(AND(47&gt;=$B$43,47&lt;=$C$43),$B$44*$D$43*$E$43/100,0)</f>
        <v/>
      </c>
      <c r="AZ156" s="42">
        <f>IF(AND(48&gt;=$B$43,48&lt;=$C$43),$B$44*$D$43*$E$43/100,0)</f>
        <v/>
      </c>
      <c r="BA156" s="42">
        <f>IF(AND(49&gt;=$B$43,49&lt;=$C$43),$B$44*$D$43*$E$43/100,0)</f>
        <v/>
      </c>
      <c r="BB156" s="42">
        <f>IF(AND(50&gt;=$B$43,50&lt;=$C$43),$B$44*$D$43*$E$43/100,0)</f>
        <v/>
      </c>
      <c r="BC156" s="42">
        <f>IF(AND(51&gt;=$B$43,51&lt;=$C$43),$B$44*$D$43*$E$43/100,0)</f>
        <v/>
      </c>
      <c r="BD156" s="42">
        <f>IF(AND(52&gt;=$B$43,52&lt;=$C$43),$B$44*$D$43*$E$43/100,0)</f>
        <v/>
      </c>
    </row>
    <row r="157">
      <c r="A157" s="4" t="inlineStr">
        <is>
          <t>11 HOURS AVAILABLE</t>
        </is>
      </c>
      <c r="B157" s="2" t="inlineStr">
        <is>
          <t>hrs</t>
        </is>
      </c>
      <c r="E157" s="42">
        <f>E141+E155+E156</f>
        <v/>
      </c>
      <c r="F157" s="42">
        <f>F141+F155+F156</f>
        <v/>
      </c>
      <c r="G157" s="42">
        <f>G141+G155+G156</f>
        <v/>
      </c>
      <c r="H157" s="42">
        <f>H141+H155+H156</f>
        <v/>
      </c>
      <c r="I157" s="42">
        <f>I141+I155+I156</f>
        <v/>
      </c>
      <c r="J157" s="42">
        <f>J141+J155+J156</f>
        <v/>
      </c>
      <c r="K157" s="42">
        <f>K141+K155+K156</f>
        <v/>
      </c>
      <c r="L157" s="42">
        <f>L141+L155+L156</f>
        <v/>
      </c>
      <c r="M157" s="42">
        <f>M141+M155+M156</f>
        <v/>
      </c>
      <c r="N157" s="42">
        <f>N141+N155+N156</f>
        <v/>
      </c>
      <c r="O157" s="42">
        <f>O141+O155+O156</f>
        <v/>
      </c>
      <c r="P157" s="42">
        <f>P141+P155+P156</f>
        <v/>
      </c>
      <c r="Q157" s="42">
        <f>Q141+Q155+Q156</f>
        <v/>
      </c>
      <c r="R157" s="42">
        <f>R141+R155+R156</f>
        <v/>
      </c>
      <c r="S157" s="42">
        <f>S141+S155+S156</f>
        <v/>
      </c>
      <c r="T157" s="42">
        <f>T141+T155+T156</f>
        <v/>
      </c>
      <c r="U157" s="42">
        <f>U141+U155+U156</f>
        <v/>
      </c>
      <c r="V157" s="42">
        <f>V141+V155+V156</f>
        <v/>
      </c>
      <c r="W157" s="42">
        <f>W141+W155+W156</f>
        <v/>
      </c>
      <c r="X157" s="42">
        <f>X141+X155+X156</f>
        <v/>
      </c>
      <c r="Y157" s="42">
        <f>Y141+Y155+Y156</f>
        <v/>
      </c>
      <c r="Z157" s="42">
        <f>Z141+Z155+Z156</f>
        <v/>
      </c>
      <c r="AA157" s="42">
        <f>AA141+AA155+AA156</f>
        <v/>
      </c>
      <c r="AB157" s="42">
        <f>AB141+AB155+AB156</f>
        <v/>
      </c>
      <c r="AC157" s="42">
        <f>AC141+AC155+AC156</f>
        <v/>
      </c>
      <c r="AD157" s="42">
        <f>AD141+AD155+AD156</f>
        <v/>
      </c>
      <c r="AE157" s="42">
        <f>AE141+AE155+AE156</f>
        <v/>
      </c>
      <c r="AF157" s="42">
        <f>AF141+AF155+AF156</f>
        <v/>
      </c>
      <c r="AG157" s="42">
        <f>AG141+AG155+AG156</f>
        <v/>
      </c>
      <c r="AH157" s="42">
        <f>AH141+AH155+AH156</f>
        <v/>
      </c>
      <c r="AI157" s="42">
        <f>AI141+AI155+AI156</f>
        <v/>
      </c>
      <c r="AJ157" s="42">
        <f>AJ141+AJ155+AJ156</f>
        <v/>
      </c>
      <c r="AK157" s="42">
        <f>AK141+AK155+AK156</f>
        <v/>
      </c>
      <c r="AL157" s="42">
        <f>AL141+AL155+AL156</f>
        <v/>
      </c>
      <c r="AM157" s="42">
        <f>AM141+AM155+AM156</f>
        <v/>
      </c>
      <c r="AN157" s="42">
        <f>AN141+AN155+AN156</f>
        <v/>
      </c>
      <c r="AO157" s="42">
        <f>AO141+AO155+AO156</f>
        <v/>
      </c>
      <c r="AP157" s="42">
        <f>AP141+AP155+AP156</f>
        <v/>
      </c>
      <c r="AQ157" s="42">
        <f>AQ141+AQ155+AQ156</f>
        <v/>
      </c>
      <c r="AR157" s="42">
        <f>AR141+AR155+AR156</f>
        <v/>
      </c>
      <c r="AS157" s="42">
        <f>AS141+AS155+AS156</f>
        <v/>
      </c>
      <c r="AT157" s="42">
        <f>AT141+AT155+AT156</f>
        <v/>
      </c>
      <c r="AU157" s="42">
        <f>AU141+AU155+AU156</f>
        <v/>
      </c>
      <c r="AV157" s="42">
        <f>AV141+AV155+AV156</f>
        <v/>
      </c>
      <c r="AW157" s="42">
        <f>AW141+AW155+AW156</f>
        <v/>
      </c>
      <c r="AX157" s="42">
        <f>AX141+AX155+AX156</f>
        <v/>
      </c>
      <c r="AY157" s="42">
        <f>AY141+AY155+AY156</f>
        <v/>
      </c>
      <c r="AZ157" s="42">
        <f>AZ141+AZ155+AZ156</f>
        <v/>
      </c>
      <c r="BA157" s="42">
        <f>BA141+BA155+BA156</f>
        <v/>
      </c>
      <c r="BB157" s="42">
        <f>BB141+BB155+BB156</f>
        <v/>
      </c>
      <c r="BC157" s="42">
        <f>BC141+BC155+BC156</f>
        <v/>
      </c>
      <c r="BD157" s="42">
        <f>BD141+BD155+BD156</f>
        <v/>
      </c>
    </row>
    <row r="158">
      <c r="A158" s="2" t="inlineStr">
        <is>
          <t xml:space="preserve">   Rows 5 + 9 + 10. This is what C2 measures against.</t>
        </is>
      </c>
    </row>
    <row r="160">
      <c r="A160" s="30" t="inlineStr">
        <is>
          <t>Week</t>
        </is>
      </c>
      <c r="B160" s="38" t="inlineStr">
        <is>
          <t>$</t>
        </is>
      </c>
      <c r="E160" s="31" t="n">
        <v>1</v>
      </c>
      <c r="F160" s="31" t="n">
        <v>2</v>
      </c>
      <c r="G160" s="31" t="n">
        <v>3</v>
      </c>
      <c r="H160" s="31" t="n">
        <v>4</v>
      </c>
      <c r="I160" s="31" t="n">
        <v>5</v>
      </c>
      <c r="J160" s="31" t="n">
        <v>6</v>
      </c>
      <c r="K160" s="31" t="n">
        <v>7</v>
      </c>
      <c r="L160" s="31" t="n">
        <v>8</v>
      </c>
      <c r="M160" s="31" t="n">
        <v>9</v>
      </c>
      <c r="N160" s="31" t="n">
        <v>10</v>
      </c>
      <c r="O160" s="31" t="n">
        <v>11</v>
      </c>
      <c r="P160" s="31" t="n">
        <v>12</v>
      </c>
      <c r="Q160" s="31" t="n">
        <v>13</v>
      </c>
      <c r="R160" s="31" t="n">
        <v>14</v>
      </c>
      <c r="S160" s="31" t="n">
        <v>15</v>
      </c>
      <c r="T160" s="31" t="n">
        <v>16</v>
      </c>
      <c r="U160" s="31" t="n">
        <v>17</v>
      </c>
      <c r="V160" s="31" t="n">
        <v>18</v>
      </c>
      <c r="W160" s="31" t="n">
        <v>19</v>
      </c>
      <c r="X160" s="31" t="n">
        <v>20</v>
      </c>
      <c r="Y160" s="31" t="n">
        <v>21</v>
      </c>
      <c r="Z160" s="31" t="n">
        <v>22</v>
      </c>
      <c r="AA160" s="31" t="n">
        <v>23</v>
      </c>
      <c r="AB160" s="31" t="n">
        <v>24</v>
      </c>
      <c r="AC160" s="31" t="n">
        <v>25</v>
      </c>
      <c r="AD160" s="31" t="n">
        <v>26</v>
      </c>
      <c r="AE160" s="31" t="n">
        <v>27</v>
      </c>
      <c r="AF160" s="31" t="n">
        <v>28</v>
      </c>
      <c r="AG160" s="31" t="n">
        <v>29</v>
      </c>
      <c r="AH160" s="31" t="n">
        <v>30</v>
      </c>
      <c r="AI160" s="31" t="n">
        <v>31</v>
      </c>
      <c r="AJ160" s="31" t="n">
        <v>32</v>
      </c>
      <c r="AK160" s="31" t="n">
        <v>33</v>
      </c>
      <c r="AL160" s="31" t="n">
        <v>34</v>
      </c>
      <c r="AM160" s="31" t="n">
        <v>35</v>
      </c>
      <c r="AN160" s="31" t="n">
        <v>36</v>
      </c>
      <c r="AO160" s="31" t="n">
        <v>37</v>
      </c>
      <c r="AP160" s="31" t="n">
        <v>38</v>
      </c>
      <c r="AQ160" s="31" t="n">
        <v>39</v>
      </c>
      <c r="AR160" s="31" t="n">
        <v>40</v>
      </c>
      <c r="AS160" s="31" t="n">
        <v>41</v>
      </c>
      <c r="AT160" s="31" t="n">
        <v>42</v>
      </c>
      <c r="AU160" s="31" t="n">
        <v>43</v>
      </c>
      <c r="AV160" s="31" t="n">
        <v>44</v>
      </c>
      <c r="AW160" s="31" t="n">
        <v>45</v>
      </c>
      <c r="AX160" s="31" t="n">
        <v>46</v>
      </c>
      <c r="AY160" s="31" t="n">
        <v>47</v>
      </c>
      <c r="AZ160" s="31" t="n">
        <v>48</v>
      </c>
      <c r="BA160" s="31" t="n">
        <v>49</v>
      </c>
      <c r="BB160" s="31" t="n">
        <v>50</v>
      </c>
      <c r="BC160" s="31" t="n">
        <v>51</v>
      </c>
      <c r="BD160" s="31" t="n">
        <v>52</v>
      </c>
    </row>
    <row r="161">
      <c r="A161" s="4" t="inlineStr">
        <is>
          <t>12 Wage bill this week</t>
        </is>
      </c>
      <c r="B161" s="2" t="inlineStr">
        <is>
          <t>$</t>
        </is>
      </c>
      <c r="E161" s="42">
        <f>SUMPRODUCT(($G$28:$G$31&lt;=1)*($H$28:$H$31&gt;=1)*$B$28:$B$31*IF($C$28:$C$31="salary",$D$28:$D$31/52*(1+$B$32),$D$28:$D$31*$E$28:$E$31*(1+$B$32)))</f>
        <v/>
      </c>
      <c r="F161" s="42">
        <f>SUMPRODUCT(($G$28:$G$31&lt;=2)*($H$28:$H$31&gt;=2)*$B$28:$B$31*IF($C$28:$C$31="salary",$D$28:$D$31/52*(1+$B$32),$D$28:$D$31*$E$28:$E$31*(1+$B$32)))</f>
        <v/>
      </c>
      <c r="G161" s="42">
        <f>SUMPRODUCT(($G$28:$G$31&lt;=3)*($H$28:$H$31&gt;=3)*$B$28:$B$31*IF($C$28:$C$31="salary",$D$28:$D$31/52*(1+$B$32),$D$28:$D$31*$E$28:$E$31*(1+$B$32)))</f>
        <v/>
      </c>
      <c r="H161" s="42">
        <f>SUMPRODUCT(($G$28:$G$31&lt;=4)*($H$28:$H$31&gt;=4)*$B$28:$B$31*IF($C$28:$C$31="salary",$D$28:$D$31/52*(1+$B$32),$D$28:$D$31*$E$28:$E$31*(1+$B$32)))</f>
        <v/>
      </c>
      <c r="I161" s="42">
        <f>SUMPRODUCT(($G$28:$G$31&lt;=5)*($H$28:$H$31&gt;=5)*$B$28:$B$31*IF($C$28:$C$31="salary",$D$28:$D$31/52*(1+$B$32),$D$28:$D$31*$E$28:$E$31*(1+$B$32)))</f>
        <v/>
      </c>
      <c r="J161" s="42">
        <f>SUMPRODUCT(($G$28:$G$31&lt;=6)*($H$28:$H$31&gt;=6)*$B$28:$B$31*IF($C$28:$C$31="salary",$D$28:$D$31/52*(1+$B$32),$D$28:$D$31*$E$28:$E$31*(1+$B$32)))</f>
        <v/>
      </c>
      <c r="K161" s="42">
        <f>SUMPRODUCT(($G$28:$G$31&lt;=7)*($H$28:$H$31&gt;=7)*$B$28:$B$31*IF($C$28:$C$31="salary",$D$28:$D$31/52*(1+$B$32),$D$28:$D$31*$E$28:$E$31*(1+$B$32)))</f>
        <v/>
      </c>
      <c r="L161" s="42">
        <f>SUMPRODUCT(($G$28:$G$31&lt;=8)*($H$28:$H$31&gt;=8)*$B$28:$B$31*IF($C$28:$C$31="salary",$D$28:$D$31/52*(1+$B$32),$D$28:$D$31*$E$28:$E$31*(1+$B$32)))</f>
        <v/>
      </c>
      <c r="M161" s="42">
        <f>SUMPRODUCT(($G$28:$G$31&lt;=9)*($H$28:$H$31&gt;=9)*$B$28:$B$31*IF($C$28:$C$31="salary",$D$28:$D$31/52*(1+$B$32),$D$28:$D$31*$E$28:$E$31*(1+$B$32)))</f>
        <v/>
      </c>
      <c r="N161" s="42">
        <f>SUMPRODUCT(($G$28:$G$31&lt;=10)*($H$28:$H$31&gt;=10)*$B$28:$B$31*IF($C$28:$C$31="salary",$D$28:$D$31/52*(1+$B$32),$D$28:$D$31*$E$28:$E$31*(1+$B$32)))</f>
        <v/>
      </c>
      <c r="O161" s="42">
        <f>SUMPRODUCT(($G$28:$G$31&lt;=11)*($H$28:$H$31&gt;=11)*$B$28:$B$31*IF($C$28:$C$31="salary",$D$28:$D$31/52*(1+$B$32),$D$28:$D$31*$E$28:$E$31*(1+$B$32)))</f>
        <v/>
      </c>
      <c r="P161" s="42">
        <f>SUMPRODUCT(($G$28:$G$31&lt;=12)*($H$28:$H$31&gt;=12)*$B$28:$B$31*IF($C$28:$C$31="salary",$D$28:$D$31/52*(1+$B$32),$D$28:$D$31*$E$28:$E$31*(1+$B$32)))</f>
        <v/>
      </c>
      <c r="Q161" s="42">
        <f>SUMPRODUCT(($G$28:$G$31&lt;=13)*($H$28:$H$31&gt;=13)*$B$28:$B$31*IF($C$28:$C$31="salary",$D$28:$D$31/52*(1+$B$32),$D$28:$D$31*$E$28:$E$31*(1+$B$32)))</f>
        <v/>
      </c>
      <c r="R161" s="42">
        <f>SUMPRODUCT(($G$28:$G$31&lt;=14)*($H$28:$H$31&gt;=14)*$B$28:$B$31*IF($C$28:$C$31="salary",$D$28:$D$31/52*(1+$B$32),$D$28:$D$31*$E$28:$E$31*(1+$B$32)))</f>
        <v/>
      </c>
      <c r="S161" s="42">
        <f>SUMPRODUCT(($G$28:$G$31&lt;=15)*($H$28:$H$31&gt;=15)*$B$28:$B$31*IF($C$28:$C$31="salary",$D$28:$D$31/52*(1+$B$32),$D$28:$D$31*$E$28:$E$31*(1+$B$32)))</f>
        <v/>
      </c>
      <c r="T161" s="42">
        <f>SUMPRODUCT(($G$28:$G$31&lt;=16)*($H$28:$H$31&gt;=16)*$B$28:$B$31*IF($C$28:$C$31="salary",$D$28:$D$31/52*(1+$B$32),$D$28:$D$31*$E$28:$E$31*(1+$B$32)))</f>
        <v/>
      </c>
      <c r="U161" s="42">
        <f>SUMPRODUCT(($G$28:$G$31&lt;=17)*($H$28:$H$31&gt;=17)*$B$28:$B$31*IF($C$28:$C$31="salary",$D$28:$D$31/52*(1+$B$32),$D$28:$D$31*$E$28:$E$31*(1+$B$32)))</f>
        <v/>
      </c>
      <c r="V161" s="42">
        <f>SUMPRODUCT(($G$28:$G$31&lt;=18)*($H$28:$H$31&gt;=18)*$B$28:$B$31*IF($C$28:$C$31="salary",$D$28:$D$31/52*(1+$B$32),$D$28:$D$31*$E$28:$E$31*(1+$B$32)))</f>
        <v/>
      </c>
      <c r="W161" s="42">
        <f>SUMPRODUCT(($G$28:$G$31&lt;=19)*($H$28:$H$31&gt;=19)*$B$28:$B$31*IF($C$28:$C$31="salary",$D$28:$D$31/52*(1+$B$32),$D$28:$D$31*$E$28:$E$31*(1+$B$32)))</f>
        <v/>
      </c>
      <c r="X161" s="42">
        <f>SUMPRODUCT(($G$28:$G$31&lt;=20)*($H$28:$H$31&gt;=20)*$B$28:$B$31*IF($C$28:$C$31="salary",$D$28:$D$31/52*(1+$B$32),$D$28:$D$31*$E$28:$E$31*(1+$B$32)))</f>
        <v/>
      </c>
      <c r="Y161" s="42">
        <f>SUMPRODUCT(($G$28:$G$31&lt;=21)*($H$28:$H$31&gt;=21)*$B$28:$B$31*IF($C$28:$C$31="salary",$D$28:$D$31/52*(1+$B$32),$D$28:$D$31*$E$28:$E$31*(1+$B$32)))</f>
        <v/>
      </c>
      <c r="Z161" s="42">
        <f>SUMPRODUCT(($G$28:$G$31&lt;=22)*($H$28:$H$31&gt;=22)*$B$28:$B$31*IF($C$28:$C$31="salary",$D$28:$D$31/52*(1+$B$32),$D$28:$D$31*$E$28:$E$31*(1+$B$32)))</f>
        <v/>
      </c>
      <c r="AA161" s="42">
        <f>SUMPRODUCT(($G$28:$G$31&lt;=23)*($H$28:$H$31&gt;=23)*$B$28:$B$31*IF($C$28:$C$31="salary",$D$28:$D$31/52*(1+$B$32),$D$28:$D$31*$E$28:$E$31*(1+$B$32)))</f>
        <v/>
      </c>
      <c r="AB161" s="42">
        <f>SUMPRODUCT(($G$28:$G$31&lt;=24)*($H$28:$H$31&gt;=24)*$B$28:$B$31*IF($C$28:$C$31="salary",$D$28:$D$31/52*(1+$B$32),$D$28:$D$31*$E$28:$E$31*(1+$B$32)))</f>
        <v/>
      </c>
      <c r="AC161" s="42">
        <f>SUMPRODUCT(($G$28:$G$31&lt;=25)*($H$28:$H$31&gt;=25)*$B$28:$B$31*IF($C$28:$C$31="salary",$D$28:$D$31/52*(1+$B$32),$D$28:$D$31*$E$28:$E$31*(1+$B$32)))</f>
        <v/>
      </c>
      <c r="AD161" s="42">
        <f>SUMPRODUCT(($G$28:$G$31&lt;=26)*($H$28:$H$31&gt;=26)*$B$28:$B$31*IF($C$28:$C$31="salary",$D$28:$D$31/52*(1+$B$32),$D$28:$D$31*$E$28:$E$31*(1+$B$32)))</f>
        <v/>
      </c>
      <c r="AE161" s="42">
        <f>SUMPRODUCT(($G$28:$G$31&lt;=27)*($H$28:$H$31&gt;=27)*$B$28:$B$31*IF($C$28:$C$31="salary",$D$28:$D$31/52*(1+$B$32),$D$28:$D$31*$E$28:$E$31*(1+$B$32)))</f>
        <v/>
      </c>
      <c r="AF161" s="42">
        <f>SUMPRODUCT(($G$28:$G$31&lt;=28)*($H$28:$H$31&gt;=28)*$B$28:$B$31*IF($C$28:$C$31="salary",$D$28:$D$31/52*(1+$B$32),$D$28:$D$31*$E$28:$E$31*(1+$B$32)))</f>
        <v/>
      </c>
      <c r="AG161" s="42">
        <f>SUMPRODUCT(($G$28:$G$31&lt;=29)*($H$28:$H$31&gt;=29)*$B$28:$B$31*IF($C$28:$C$31="salary",$D$28:$D$31/52*(1+$B$32),$D$28:$D$31*$E$28:$E$31*(1+$B$32)))</f>
        <v/>
      </c>
      <c r="AH161" s="42">
        <f>SUMPRODUCT(($G$28:$G$31&lt;=30)*($H$28:$H$31&gt;=30)*$B$28:$B$31*IF($C$28:$C$31="salary",$D$28:$D$31/52*(1+$B$32),$D$28:$D$31*$E$28:$E$31*(1+$B$32)))</f>
        <v/>
      </c>
      <c r="AI161" s="42">
        <f>SUMPRODUCT(($G$28:$G$31&lt;=31)*($H$28:$H$31&gt;=31)*$B$28:$B$31*IF($C$28:$C$31="salary",$D$28:$D$31/52*(1+$B$32),$D$28:$D$31*$E$28:$E$31*(1+$B$32)))</f>
        <v/>
      </c>
      <c r="AJ161" s="42">
        <f>SUMPRODUCT(($G$28:$G$31&lt;=32)*($H$28:$H$31&gt;=32)*$B$28:$B$31*IF($C$28:$C$31="salary",$D$28:$D$31/52*(1+$B$32),$D$28:$D$31*$E$28:$E$31*(1+$B$32)))</f>
        <v/>
      </c>
      <c r="AK161" s="42">
        <f>SUMPRODUCT(($G$28:$G$31&lt;=33)*($H$28:$H$31&gt;=33)*$B$28:$B$31*IF($C$28:$C$31="salary",$D$28:$D$31/52*(1+$B$32),$D$28:$D$31*$E$28:$E$31*(1+$B$32)))</f>
        <v/>
      </c>
      <c r="AL161" s="42">
        <f>SUMPRODUCT(($G$28:$G$31&lt;=34)*($H$28:$H$31&gt;=34)*$B$28:$B$31*IF($C$28:$C$31="salary",$D$28:$D$31/52*(1+$B$32),$D$28:$D$31*$E$28:$E$31*(1+$B$32)))</f>
        <v/>
      </c>
      <c r="AM161" s="42">
        <f>SUMPRODUCT(($G$28:$G$31&lt;=35)*($H$28:$H$31&gt;=35)*$B$28:$B$31*IF($C$28:$C$31="salary",$D$28:$D$31/52*(1+$B$32),$D$28:$D$31*$E$28:$E$31*(1+$B$32)))</f>
        <v/>
      </c>
      <c r="AN161" s="42">
        <f>SUMPRODUCT(($G$28:$G$31&lt;=36)*($H$28:$H$31&gt;=36)*$B$28:$B$31*IF($C$28:$C$31="salary",$D$28:$D$31/52*(1+$B$32),$D$28:$D$31*$E$28:$E$31*(1+$B$32)))</f>
        <v/>
      </c>
      <c r="AO161" s="42">
        <f>SUMPRODUCT(($G$28:$G$31&lt;=37)*($H$28:$H$31&gt;=37)*$B$28:$B$31*IF($C$28:$C$31="salary",$D$28:$D$31/52*(1+$B$32),$D$28:$D$31*$E$28:$E$31*(1+$B$32)))</f>
        <v/>
      </c>
      <c r="AP161" s="42">
        <f>SUMPRODUCT(($G$28:$G$31&lt;=38)*($H$28:$H$31&gt;=38)*$B$28:$B$31*IF($C$28:$C$31="salary",$D$28:$D$31/52*(1+$B$32),$D$28:$D$31*$E$28:$E$31*(1+$B$32)))</f>
        <v/>
      </c>
      <c r="AQ161" s="42">
        <f>SUMPRODUCT(($G$28:$G$31&lt;=39)*($H$28:$H$31&gt;=39)*$B$28:$B$31*IF($C$28:$C$31="salary",$D$28:$D$31/52*(1+$B$32),$D$28:$D$31*$E$28:$E$31*(1+$B$32)))</f>
        <v/>
      </c>
      <c r="AR161" s="42">
        <f>SUMPRODUCT(($G$28:$G$31&lt;=40)*($H$28:$H$31&gt;=40)*$B$28:$B$31*IF($C$28:$C$31="salary",$D$28:$D$31/52*(1+$B$32),$D$28:$D$31*$E$28:$E$31*(1+$B$32)))</f>
        <v/>
      </c>
      <c r="AS161" s="42">
        <f>SUMPRODUCT(($G$28:$G$31&lt;=41)*($H$28:$H$31&gt;=41)*$B$28:$B$31*IF($C$28:$C$31="salary",$D$28:$D$31/52*(1+$B$32),$D$28:$D$31*$E$28:$E$31*(1+$B$32)))</f>
        <v/>
      </c>
      <c r="AT161" s="42">
        <f>SUMPRODUCT(($G$28:$G$31&lt;=42)*($H$28:$H$31&gt;=42)*$B$28:$B$31*IF($C$28:$C$31="salary",$D$28:$D$31/52*(1+$B$32),$D$28:$D$31*$E$28:$E$31*(1+$B$32)))</f>
        <v/>
      </c>
      <c r="AU161" s="42">
        <f>SUMPRODUCT(($G$28:$G$31&lt;=43)*($H$28:$H$31&gt;=43)*$B$28:$B$31*IF($C$28:$C$31="salary",$D$28:$D$31/52*(1+$B$32),$D$28:$D$31*$E$28:$E$31*(1+$B$32)))</f>
        <v/>
      </c>
      <c r="AV161" s="42">
        <f>SUMPRODUCT(($G$28:$G$31&lt;=44)*($H$28:$H$31&gt;=44)*$B$28:$B$31*IF($C$28:$C$31="salary",$D$28:$D$31/52*(1+$B$32),$D$28:$D$31*$E$28:$E$31*(1+$B$32)))</f>
        <v/>
      </c>
      <c r="AW161" s="42">
        <f>SUMPRODUCT(($G$28:$G$31&lt;=45)*($H$28:$H$31&gt;=45)*$B$28:$B$31*IF($C$28:$C$31="salary",$D$28:$D$31/52*(1+$B$32),$D$28:$D$31*$E$28:$E$31*(1+$B$32)))</f>
        <v/>
      </c>
      <c r="AX161" s="42">
        <f>SUMPRODUCT(($G$28:$G$31&lt;=46)*($H$28:$H$31&gt;=46)*$B$28:$B$31*IF($C$28:$C$31="salary",$D$28:$D$31/52*(1+$B$32),$D$28:$D$31*$E$28:$E$31*(1+$B$32)))</f>
        <v/>
      </c>
      <c r="AY161" s="42">
        <f>SUMPRODUCT(($G$28:$G$31&lt;=47)*($H$28:$H$31&gt;=47)*$B$28:$B$31*IF($C$28:$C$31="salary",$D$28:$D$31/52*(1+$B$32),$D$28:$D$31*$E$28:$E$31*(1+$B$32)))</f>
        <v/>
      </c>
      <c r="AZ161" s="42">
        <f>SUMPRODUCT(($G$28:$G$31&lt;=48)*($H$28:$H$31&gt;=48)*$B$28:$B$31*IF($C$28:$C$31="salary",$D$28:$D$31/52*(1+$B$32),$D$28:$D$31*$E$28:$E$31*(1+$B$32)))</f>
        <v/>
      </c>
      <c r="BA161" s="42">
        <f>SUMPRODUCT(($G$28:$G$31&lt;=49)*($H$28:$H$31&gt;=49)*$B$28:$B$31*IF($C$28:$C$31="salary",$D$28:$D$31/52*(1+$B$32),$D$28:$D$31*$E$28:$E$31*(1+$B$32)))</f>
        <v/>
      </c>
      <c r="BB161" s="42">
        <f>SUMPRODUCT(($G$28:$G$31&lt;=50)*($H$28:$H$31&gt;=50)*$B$28:$B$31*IF($C$28:$C$31="salary",$D$28:$D$31/52*(1+$B$32),$D$28:$D$31*$E$28:$E$31*(1+$B$32)))</f>
        <v/>
      </c>
      <c r="BC161" s="42">
        <f>SUMPRODUCT(($G$28:$G$31&lt;=51)*($H$28:$H$31&gt;=51)*$B$28:$B$31*IF($C$28:$C$31="salary",$D$28:$D$31/52*(1+$B$32),$D$28:$D$31*$E$28:$E$31*(1+$B$32)))</f>
        <v/>
      </c>
      <c r="BD161" s="42">
        <f>SUMPRODUCT(($G$28:$G$31&lt;=52)*($H$28:$H$31&gt;=52)*$B$28:$B$31*IF($C$28:$C$31="salary",$D$28:$D$31/52*(1+$B$32),$D$28:$D$31*$E$28:$E$31*(1+$B$32)))</f>
        <v/>
      </c>
    </row>
    <row r="162">
      <c r="A162" s="2" t="inlineStr">
        <is>
          <t xml:space="preserve">   The wage bill has a SHAPE. Flattening it to an annual average understated the app's own cash floor by $115,615.</t>
        </is>
      </c>
    </row>
    <row r="163">
      <c r="A163" s="26" t="inlineStr">
        <is>
          <t>13 Advisory wage this week</t>
        </is>
      </c>
      <c r="B163" s="2" t="inlineStr">
        <is>
          <t>$</t>
        </is>
      </c>
      <c r="E163" s="42">
        <f>IF(AND(1&gt;=$B$43,1&lt;=$C$43),$B$44*$B$45,0)</f>
        <v/>
      </c>
      <c r="F163" s="42">
        <f>IF(AND(2&gt;=$B$43,2&lt;=$C$43),$B$44*$B$45,0)</f>
        <v/>
      </c>
      <c r="G163" s="42">
        <f>IF(AND(3&gt;=$B$43,3&lt;=$C$43),$B$44*$B$45,0)</f>
        <v/>
      </c>
      <c r="H163" s="42">
        <f>IF(AND(4&gt;=$B$43,4&lt;=$C$43),$B$44*$B$45,0)</f>
        <v/>
      </c>
      <c r="I163" s="42">
        <f>IF(AND(5&gt;=$B$43,5&lt;=$C$43),$B$44*$B$45,0)</f>
        <v/>
      </c>
      <c r="J163" s="42">
        <f>IF(AND(6&gt;=$B$43,6&lt;=$C$43),$B$44*$B$45,0)</f>
        <v/>
      </c>
      <c r="K163" s="42">
        <f>IF(AND(7&gt;=$B$43,7&lt;=$C$43),$B$44*$B$45,0)</f>
        <v/>
      </c>
      <c r="L163" s="42">
        <f>IF(AND(8&gt;=$B$43,8&lt;=$C$43),$B$44*$B$45,0)</f>
        <v/>
      </c>
      <c r="M163" s="42">
        <f>IF(AND(9&gt;=$B$43,9&lt;=$C$43),$B$44*$B$45,0)</f>
        <v/>
      </c>
      <c r="N163" s="42">
        <f>IF(AND(10&gt;=$B$43,10&lt;=$C$43),$B$44*$B$45,0)</f>
        <v/>
      </c>
      <c r="O163" s="42">
        <f>IF(AND(11&gt;=$B$43,11&lt;=$C$43),$B$44*$B$45,0)</f>
        <v/>
      </c>
      <c r="P163" s="42">
        <f>IF(AND(12&gt;=$B$43,12&lt;=$C$43),$B$44*$B$45,0)</f>
        <v/>
      </c>
      <c r="Q163" s="42">
        <f>IF(AND(13&gt;=$B$43,13&lt;=$C$43),$B$44*$B$45,0)</f>
        <v/>
      </c>
      <c r="R163" s="42">
        <f>IF(AND(14&gt;=$B$43,14&lt;=$C$43),$B$44*$B$45,0)</f>
        <v/>
      </c>
      <c r="S163" s="42">
        <f>IF(AND(15&gt;=$B$43,15&lt;=$C$43),$B$44*$B$45,0)</f>
        <v/>
      </c>
      <c r="T163" s="42">
        <f>IF(AND(16&gt;=$B$43,16&lt;=$C$43),$B$44*$B$45,0)</f>
        <v/>
      </c>
      <c r="U163" s="42">
        <f>IF(AND(17&gt;=$B$43,17&lt;=$C$43),$B$44*$B$45,0)</f>
        <v/>
      </c>
      <c r="V163" s="42">
        <f>IF(AND(18&gt;=$B$43,18&lt;=$C$43),$B$44*$B$45,0)</f>
        <v/>
      </c>
      <c r="W163" s="42">
        <f>IF(AND(19&gt;=$B$43,19&lt;=$C$43),$B$44*$B$45,0)</f>
        <v/>
      </c>
      <c r="X163" s="42">
        <f>IF(AND(20&gt;=$B$43,20&lt;=$C$43),$B$44*$B$45,0)</f>
        <v/>
      </c>
      <c r="Y163" s="42">
        <f>IF(AND(21&gt;=$B$43,21&lt;=$C$43),$B$44*$B$45,0)</f>
        <v/>
      </c>
      <c r="Z163" s="42">
        <f>IF(AND(22&gt;=$B$43,22&lt;=$C$43),$B$44*$B$45,0)</f>
        <v/>
      </c>
      <c r="AA163" s="42">
        <f>IF(AND(23&gt;=$B$43,23&lt;=$C$43),$B$44*$B$45,0)</f>
        <v/>
      </c>
      <c r="AB163" s="42">
        <f>IF(AND(24&gt;=$B$43,24&lt;=$C$43),$B$44*$B$45,0)</f>
        <v/>
      </c>
      <c r="AC163" s="42">
        <f>IF(AND(25&gt;=$B$43,25&lt;=$C$43),$B$44*$B$45,0)</f>
        <v/>
      </c>
      <c r="AD163" s="42">
        <f>IF(AND(26&gt;=$B$43,26&lt;=$C$43),$B$44*$B$45,0)</f>
        <v/>
      </c>
      <c r="AE163" s="42">
        <f>IF(AND(27&gt;=$B$43,27&lt;=$C$43),$B$44*$B$45,0)</f>
        <v/>
      </c>
      <c r="AF163" s="42">
        <f>IF(AND(28&gt;=$B$43,28&lt;=$C$43),$B$44*$B$45,0)</f>
        <v/>
      </c>
      <c r="AG163" s="42">
        <f>IF(AND(29&gt;=$B$43,29&lt;=$C$43),$B$44*$B$45,0)</f>
        <v/>
      </c>
      <c r="AH163" s="42">
        <f>IF(AND(30&gt;=$B$43,30&lt;=$C$43),$B$44*$B$45,0)</f>
        <v/>
      </c>
      <c r="AI163" s="42">
        <f>IF(AND(31&gt;=$B$43,31&lt;=$C$43),$B$44*$B$45,0)</f>
        <v/>
      </c>
      <c r="AJ163" s="42">
        <f>IF(AND(32&gt;=$B$43,32&lt;=$C$43),$B$44*$B$45,0)</f>
        <v/>
      </c>
      <c r="AK163" s="42">
        <f>IF(AND(33&gt;=$B$43,33&lt;=$C$43),$B$44*$B$45,0)</f>
        <v/>
      </c>
      <c r="AL163" s="42">
        <f>IF(AND(34&gt;=$B$43,34&lt;=$C$43),$B$44*$B$45,0)</f>
        <v/>
      </c>
      <c r="AM163" s="42">
        <f>IF(AND(35&gt;=$B$43,35&lt;=$C$43),$B$44*$B$45,0)</f>
        <v/>
      </c>
      <c r="AN163" s="42">
        <f>IF(AND(36&gt;=$B$43,36&lt;=$C$43),$B$44*$B$45,0)</f>
        <v/>
      </c>
      <c r="AO163" s="42">
        <f>IF(AND(37&gt;=$B$43,37&lt;=$C$43),$B$44*$B$45,0)</f>
        <v/>
      </c>
      <c r="AP163" s="42">
        <f>IF(AND(38&gt;=$B$43,38&lt;=$C$43),$B$44*$B$45,0)</f>
        <v/>
      </c>
      <c r="AQ163" s="42">
        <f>IF(AND(39&gt;=$B$43,39&lt;=$C$43),$B$44*$B$45,0)</f>
        <v/>
      </c>
      <c r="AR163" s="42">
        <f>IF(AND(40&gt;=$B$43,40&lt;=$C$43),$B$44*$B$45,0)</f>
        <v/>
      </c>
      <c r="AS163" s="42">
        <f>IF(AND(41&gt;=$B$43,41&lt;=$C$43),$B$44*$B$45,0)</f>
        <v/>
      </c>
      <c r="AT163" s="42">
        <f>IF(AND(42&gt;=$B$43,42&lt;=$C$43),$B$44*$B$45,0)</f>
        <v/>
      </c>
      <c r="AU163" s="42">
        <f>IF(AND(43&gt;=$B$43,43&lt;=$C$43),$B$44*$B$45,0)</f>
        <v/>
      </c>
      <c r="AV163" s="42">
        <f>IF(AND(44&gt;=$B$43,44&lt;=$C$43),$B$44*$B$45,0)</f>
        <v/>
      </c>
      <c r="AW163" s="42">
        <f>IF(AND(45&gt;=$B$43,45&lt;=$C$43),$B$44*$B$45,0)</f>
        <v/>
      </c>
      <c r="AX163" s="42">
        <f>IF(AND(46&gt;=$B$43,46&lt;=$C$43),$B$44*$B$45,0)</f>
        <v/>
      </c>
      <c r="AY163" s="42">
        <f>IF(AND(47&gt;=$B$43,47&lt;=$C$43),$B$44*$B$45,0)</f>
        <v/>
      </c>
      <c r="AZ163" s="42">
        <f>IF(AND(48&gt;=$B$43,48&lt;=$C$43),$B$44*$B$45,0)</f>
        <v/>
      </c>
      <c r="BA163" s="42">
        <f>IF(AND(49&gt;=$B$43,49&lt;=$C$43),$B$44*$B$45,0)</f>
        <v/>
      </c>
      <c r="BB163" s="42">
        <f>IF(AND(50&gt;=$B$43,50&lt;=$C$43),$B$44*$B$45,0)</f>
        <v/>
      </c>
      <c r="BC163" s="42">
        <f>IF(AND(51&gt;=$B$43,51&lt;=$C$43),$B$44*$B$45,0)</f>
        <v/>
      </c>
      <c r="BD163" s="42">
        <f>IF(AND(52&gt;=$B$43,52&lt;=$C$43),$B$44*$B$45,0)</f>
        <v/>
      </c>
    </row>
    <row r="164">
      <c r="A164" s="2" t="inlineStr">
        <is>
          <t xml:space="preserve">   Every week of the window, at full cost. Compare row 13 against row 10 in a week the plan does not need the hours: you are paying for capacity you chose to commit to. v8 could not show this at all, because an unwanted spot hour was simply never bought.</t>
        </is>
      </c>
    </row>
    <row r="165">
      <c r="A165" s="26" t="inlineStr">
        <is>
          <t>14 Overtime cost this week</t>
        </is>
      </c>
      <c r="B165" s="2" t="inlineStr">
        <is>
          <t>$</t>
        </is>
      </c>
      <c r="E165" s="42">
        <f>E155*E147</f>
        <v/>
      </c>
      <c r="F165" s="42">
        <f>F155*F147</f>
        <v/>
      </c>
      <c r="G165" s="42">
        <f>G155*G147</f>
        <v/>
      </c>
      <c r="H165" s="42">
        <f>H155*H147</f>
        <v/>
      </c>
      <c r="I165" s="42">
        <f>I155*I147</f>
        <v/>
      </c>
      <c r="J165" s="42">
        <f>J155*J147</f>
        <v/>
      </c>
      <c r="K165" s="42">
        <f>K155*K147</f>
        <v/>
      </c>
      <c r="L165" s="42">
        <f>L155*L147</f>
        <v/>
      </c>
      <c r="M165" s="42">
        <f>M155*M147</f>
        <v/>
      </c>
      <c r="N165" s="42">
        <f>N155*N147</f>
        <v/>
      </c>
      <c r="O165" s="42">
        <f>O155*O147</f>
        <v/>
      </c>
      <c r="P165" s="42">
        <f>P155*P147</f>
        <v/>
      </c>
      <c r="Q165" s="42">
        <f>Q155*Q147</f>
        <v/>
      </c>
      <c r="R165" s="42">
        <f>R155*R147</f>
        <v/>
      </c>
      <c r="S165" s="42">
        <f>S155*S147</f>
        <v/>
      </c>
      <c r="T165" s="42">
        <f>T155*T147</f>
        <v/>
      </c>
      <c r="U165" s="42">
        <f>U155*U147</f>
        <v/>
      </c>
      <c r="V165" s="42">
        <f>V155*V147</f>
        <v/>
      </c>
      <c r="W165" s="42">
        <f>W155*W147</f>
        <v/>
      </c>
      <c r="X165" s="42">
        <f>X155*X147</f>
        <v/>
      </c>
      <c r="Y165" s="42">
        <f>Y155*Y147</f>
        <v/>
      </c>
      <c r="Z165" s="42">
        <f>Z155*Z147</f>
        <v/>
      </c>
      <c r="AA165" s="42">
        <f>AA155*AA147</f>
        <v/>
      </c>
      <c r="AB165" s="42">
        <f>AB155*AB147</f>
        <v/>
      </c>
      <c r="AC165" s="42">
        <f>AC155*AC147</f>
        <v/>
      </c>
      <c r="AD165" s="42">
        <f>AD155*AD147</f>
        <v/>
      </c>
      <c r="AE165" s="42">
        <f>AE155*AE147</f>
        <v/>
      </c>
      <c r="AF165" s="42">
        <f>AF155*AF147</f>
        <v/>
      </c>
      <c r="AG165" s="42">
        <f>AG155*AG147</f>
        <v/>
      </c>
      <c r="AH165" s="42">
        <f>AH155*AH147</f>
        <v/>
      </c>
      <c r="AI165" s="42">
        <f>AI155*AI147</f>
        <v/>
      </c>
      <c r="AJ165" s="42">
        <f>AJ155*AJ147</f>
        <v/>
      </c>
      <c r="AK165" s="42">
        <f>AK155*AK147</f>
        <v/>
      </c>
      <c r="AL165" s="42">
        <f>AL155*AL147</f>
        <v/>
      </c>
      <c r="AM165" s="42">
        <f>AM155*AM147</f>
        <v/>
      </c>
      <c r="AN165" s="42">
        <f>AN155*AN147</f>
        <v/>
      </c>
      <c r="AO165" s="42">
        <f>AO155*AO147</f>
        <v/>
      </c>
      <c r="AP165" s="42">
        <f>AP155*AP147</f>
        <v/>
      </c>
      <c r="AQ165" s="42">
        <f>AQ155*AQ147</f>
        <v/>
      </c>
      <c r="AR165" s="42">
        <f>AR155*AR147</f>
        <v/>
      </c>
      <c r="AS165" s="42">
        <f>AS155*AS147</f>
        <v/>
      </c>
      <c r="AT165" s="42">
        <f>AT155*AT147</f>
        <v/>
      </c>
      <c r="AU165" s="42">
        <f>AU155*AU147</f>
        <v/>
      </c>
      <c r="AV165" s="42">
        <f>AV155*AV147</f>
        <v/>
      </c>
      <c r="AW165" s="42">
        <f>AW155*AW147</f>
        <v/>
      </c>
      <c r="AX165" s="42">
        <f>AX155*AX147</f>
        <v/>
      </c>
      <c r="AY165" s="42">
        <f>AY155*AY147</f>
        <v/>
      </c>
      <c r="AZ165" s="42">
        <f>AZ155*AZ147</f>
        <v/>
      </c>
      <c r="BA165" s="42">
        <f>BA155*BA147</f>
        <v/>
      </c>
      <c r="BB165" s="42">
        <f>BB155*BB147</f>
        <v/>
      </c>
      <c r="BC165" s="42">
        <f>BC155*BC147</f>
        <v/>
      </c>
      <c r="BD165" s="42">
        <f>BD155*BD147</f>
        <v/>
      </c>
    </row>
    <row r="166">
      <c r="A166" s="2" t="inlineStr">
        <is>
          <t xml:space="preserve">   ⚠️ Overtime hours cost their FULL rate, not the premium above base pay. The committed wage bill (row 12) pays the crew's STATED hours; these are hours beyond it, so charging only the increment would leave the base wage charged nowhere. The app measured that defect at 2,080 hours costing $0.00.</t>
        </is>
      </c>
    </row>
    <row r="168">
      <c r="A168" s="30" t="inlineStr">
        <is>
          <t>Week</t>
        </is>
      </c>
      <c r="B168" s="38" t="inlineStr">
        <is>
          <t>hours</t>
        </is>
      </c>
      <c r="E168" s="31" t="n">
        <v>1</v>
      </c>
      <c r="F168" s="31" t="n">
        <v>2</v>
      </c>
      <c r="G168" s="31" t="n">
        <v>3</v>
      </c>
      <c r="H168" s="31" t="n">
        <v>4</v>
      </c>
      <c r="I168" s="31" t="n">
        <v>5</v>
      </c>
      <c r="J168" s="31" t="n">
        <v>6</v>
      </c>
      <c r="K168" s="31" t="n">
        <v>7</v>
      </c>
      <c r="L168" s="31" t="n">
        <v>8</v>
      </c>
      <c r="M168" s="31" t="n">
        <v>9</v>
      </c>
      <c r="N168" s="31" t="n">
        <v>10</v>
      </c>
      <c r="O168" s="31" t="n">
        <v>11</v>
      </c>
      <c r="P168" s="31" t="n">
        <v>12</v>
      </c>
      <c r="Q168" s="31" t="n">
        <v>13</v>
      </c>
      <c r="R168" s="31" t="n">
        <v>14</v>
      </c>
      <c r="S168" s="31" t="n">
        <v>15</v>
      </c>
      <c r="T168" s="31" t="n">
        <v>16</v>
      </c>
      <c r="U168" s="31" t="n">
        <v>17</v>
      </c>
      <c r="V168" s="31" t="n">
        <v>18</v>
      </c>
      <c r="W168" s="31" t="n">
        <v>19</v>
      </c>
      <c r="X168" s="31" t="n">
        <v>20</v>
      </c>
      <c r="Y168" s="31" t="n">
        <v>21</v>
      </c>
      <c r="Z168" s="31" t="n">
        <v>22</v>
      </c>
      <c r="AA168" s="31" t="n">
        <v>23</v>
      </c>
      <c r="AB168" s="31" t="n">
        <v>24</v>
      </c>
      <c r="AC168" s="31" t="n">
        <v>25</v>
      </c>
      <c r="AD168" s="31" t="n">
        <v>26</v>
      </c>
      <c r="AE168" s="31" t="n">
        <v>27</v>
      </c>
      <c r="AF168" s="31" t="n">
        <v>28</v>
      </c>
      <c r="AG168" s="31" t="n">
        <v>29</v>
      </c>
      <c r="AH168" s="31" t="n">
        <v>30</v>
      </c>
      <c r="AI168" s="31" t="n">
        <v>31</v>
      </c>
      <c r="AJ168" s="31" t="n">
        <v>32</v>
      </c>
      <c r="AK168" s="31" t="n">
        <v>33</v>
      </c>
      <c r="AL168" s="31" t="n">
        <v>34</v>
      </c>
      <c r="AM168" s="31" t="n">
        <v>35</v>
      </c>
      <c r="AN168" s="31" t="n">
        <v>36</v>
      </c>
      <c r="AO168" s="31" t="n">
        <v>37</v>
      </c>
      <c r="AP168" s="31" t="n">
        <v>38</v>
      </c>
      <c r="AQ168" s="31" t="n">
        <v>39</v>
      </c>
      <c r="AR168" s="31" t="n">
        <v>40</v>
      </c>
      <c r="AS168" s="31" t="n">
        <v>41</v>
      </c>
      <c r="AT168" s="31" t="n">
        <v>42</v>
      </c>
      <c r="AU168" s="31" t="n">
        <v>43</v>
      </c>
      <c r="AV168" s="31" t="n">
        <v>44</v>
      </c>
      <c r="AW168" s="31" t="n">
        <v>45</v>
      </c>
      <c r="AX168" s="31" t="n">
        <v>46</v>
      </c>
      <c r="AY168" s="31" t="n">
        <v>47</v>
      </c>
      <c r="AZ168" s="31" t="n">
        <v>48</v>
      </c>
      <c r="BA168" s="31" t="n">
        <v>49</v>
      </c>
      <c r="BB168" s="31" t="n">
        <v>50</v>
      </c>
      <c r="BC168" s="31" t="n">
        <v>51</v>
      </c>
      <c r="BD168" s="31" t="n">
        <v>52</v>
      </c>
    </row>
    <row r="169">
      <c r="A169" s="39" t="inlineStr">
        <is>
          <t>CROP HOURS needed</t>
        </is>
      </c>
      <c r="B169" s="2" t="inlineStr">
        <is>
          <t>used</t>
        </is>
      </c>
      <c r="E169" s="45">
        <f>SUMPRODUCT(($B$58:$B$125="Spinach")*(E$58:E$125="P")*$C$58:$C$125)*$N$12+SUMPRODUCT(($B$58:$B$125="Spinach")*(E$58:E$125="G")*$C$58:$C$125)*$O$12+SUMPRODUCT(($B$58:$B$125="Spinach")*(E$58:E$125="H")*$C$58:$C$125)*$P$12+SUMPRODUCT(($B$58:$B$125="Kale")*(E$58:E$125="P")*$C$58:$C$125)*$N$13+SUMPRODUCT(($B$58:$B$125="Kale")*(E$58:E$125="G")*$C$58:$C$125)*$O$13+SUMPRODUCT(($B$58:$B$125="Kale")*(E$58:E$125="H")*$C$58:$C$125)*$P$13+SUMPRODUCT(($B$58:$B$125="Garlic")*(E$58:E$125="P")*$C$58:$C$125)*$N$14+SUMPRODUCT(($B$58:$B$125="Garlic")*(E$58:E$125="G")*$C$58:$C$125)*$O$14+SUMPRODUCT(($B$58:$B$125="Garlic")*(E$58:E$125="H")*$C$58:$C$125)*$P$14</f>
        <v/>
      </c>
      <c r="F169" s="45">
        <f>SUMPRODUCT(($B$58:$B$125="Spinach")*(F$58:F$125="P")*$C$58:$C$125)*$N$12+SUMPRODUCT(($B$58:$B$125="Spinach")*(F$58:F$125="G")*$C$58:$C$125)*$O$12+SUMPRODUCT(($B$58:$B$125="Spinach")*(F$58:F$125="H")*$C$58:$C$125)*$P$12+SUMPRODUCT(($B$58:$B$125="Kale")*(F$58:F$125="P")*$C$58:$C$125)*$N$13+SUMPRODUCT(($B$58:$B$125="Kale")*(F$58:F$125="G")*$C$58:$C$125)*$O$13+SUMPRODUCT(($B$58:$B$125="Kale")*(F$58:F$125="H")*$C$58:$C$125)*$P$13+SUMPRODUCT(($B$58:$B$125="Garlic")*(F$58:F$125="P")*$C$58:$C$125)*$N$14+SUMPRODUCT(($B$58:$B$125="Garlic")*(F$58:F$125="G")*$C$58:$C$125)*$O$14+SUMPRODUCT(($B$58:$B$125="Garlic")*(F$58:F$125="H")*$C$58:$C$125)*$P$14</f>
        <v/>
      </c>
      <c r="G169" s="45">
        <f>SUMPRODUCT(($B$58:$B$125="Spinach")*(G$58:G$125="P")*$C$58:$C$125)*$N$12+SUMPRODUCT(($B$58:$B$125="Spinach")*(G$58:G$125="G")*$C$58:$C$125)*$O$12+SUMPRODUCT(($B$58:$B$125="Spinach")*(G$58:G$125="H")*$C$58:$C$125)*$P$12+SUMPRODUCT(($B$58:$B$125="Kale")*(G$58:G$125="P")*$C$58:$C$125)*$N$13+SUMPRODUCT(($B$58:$B$125="Kale")*(G$58:G$125="G")*$C$58:$C$125)*$O$13+SUMPRODUCT(($B$58:$B$125="Kale")*(G$58:G$125="H")*$C$58:$C$125)*$P$13+SUMPRODUCT(($B$58:$B$125="Garlic")*(G$58:G$125="P")*$C$58:$C$125)*$N$14+SUMPRODUCT(($B$58:$B$125="Garlic")*(G$58:G$125="G")*$C$58:$C$125)*$O$14+SUMPRODUCT(($B$58:$B$125="Garlic")*(G$58:G$125="H")*$C$58:$C$125)*$P$14</f>
        <v/>
      </c>
      <c r="H169" s="45">
        <f>SUMPRODUCT(($B$58:$B$125="Spinach")*(H$58:H$125="P")*$C$58:$C$125)*$N$12+SUMPRODUCT(($B$58:$B$125="Spinach")*(H$58:H$125="G")*$C$58:$C$125)*$O$12+SUMPRODUCT(($B$58:$B$125="Spinach")*(H$58:H$125="H")*$C$58:$C$125)*$P$12+SUMPRODUCT(($B$58:$B$125="Kale")*(H$58:H$125="P")*$C$58:$C$125)*$N$13+SUMPRODUCT(($B$58:$B$125="Kale")*(H$58:H$125="G")*$C$58:$C$125)*$O$13+SUMPRODUCT(($B$58:$B$125="Kale")*(H$58:H$125="H")*$C$58:$C$125)*$P$13+SUMPRODUCT(($B$58:$B$125="Garlic")*(H$58:H$125="P")*$C$58:$C$125)*$N$14+SUMPRODUCT(($B$58:$B$125="Garlic")*(H$58:H$125="G")*$C$58:$C$125)*$O$14+SUMPRODUCT(($B$58:$B$125="Garlic")*(H$58:H$125="H")*$C$58:$C$125)*$P$14</f>
        <v/>
      </c>
      <c r="I169" s="45">
        <f>SUMPRODUCT(($B$58:$B$125="Spinach")*(I$58:I$125="P")*$C$58:$C$125)*$N$12+SUMPRODUCT(($B$58:$B$125="Spinach")*(I$58:I$125="G")*$C$58:$C$125)*$O$12+SUMPRODUCT(($B$58:$B$125="Spinach")*(I$58:I$125="H")*$C$58:$C$125)*$P$12+SUMPRODUCT(($B$58:$B$125="Kale")*(I$58:I$125="P")*$C$58:$C$125)*$N$13+SUMPRODUCT(($B$58:$B$125="Kale")*(I$58:I$125="G")*$C$58:$C$125)*$O$13+SUMPRODUCT(($B$58:$B$125="Kale")*(I$58:I$125="H")*$C$58:$C$125)*$P$13+SUMPRODUCT(($B$58:$B$125="Garlic")*(I$58:I$125="P")*$C$58:$C$125)*$N$14+SUMPRODUCT(($B$58:$B$125="Garlic")*(I$58:I$125="G")*$C$58:$C$125)*$O$14+SUMPRODUCT(($B$58:$B$125="Garlic")*(I$58:I$125="H")*$C$58:$C$125)*$P$14</f>
        <v/>
      </c>
      <c r="J169" s="45">
        <f>SUMPRODUCT(($B$58:$B$125="Spinach")*(J$58:J$125="P")*$C$58:$C$125)*$N$12+SUMPRODUCT(($B$58:$B$125="Spinach")*(J$58:J$125="G")*$C$58:$C$125)*$O$12+SUMPRODUCT(($B$58:$B$125="Spinach")*(J$58:J$125="H")*$C$58:$C$125)*$P$12+SUMPRODUCT(($B$58:$B$125="Kale")*(J$58:J$125="P")*$C$58:$C$125)*$N$13+SUMPRODUCT(($B$58:$B$125="Kale")*(J$58:J$125="G")*$C$58:$C$125)*$O$13+SUMPRODUCT(($B$58:$B$125="Kale")*(J$58:J$125="H")*$C$58:$C$125)*$P$13+SUMPRODUCT(($B$58:$B$125="Garlic")*(J$58:J$125="P")*$C$58:$C$125)*$N$14+SUMPRODUCT(($B$58:$B$125="Garlic")*(J$58:J$125="G")*$C$58:$C$125)*$O$14+SUMPRODUCT(($B$58:$B$125="Garlic")*(J$58:J$125="H")*$C$58:$C$125)*$P$14</f>
        <v/>
      </c>
      <c r="K169" s="45">
        <f>SUMPRODUCT(($B$58:$B$125="Spinach")*(K$58:K$125="P")*$C$58:$C$125)*$N$12+SUMPRODUCT(($B$58:$B$125="Spinach")*(K$58:K$125="G")*$C$58:$C$125)*$O$12+SUMPRODUCT(($B$58:$B$125="Spinach")*(K$58:K$125="H")*$C$58:$C$125)*$P$12+SUMPRODUCT(($B$58:$B$125="Kale")*(K$58:K$125="P")*$C$58:$C$125)*$N$13+SUMPRODUCT(($B$58:$B$125="Kale")*(K$58:K$125="G")*$C$58:$C$125)*$O$13+SUMPRODUCT(($B$58:$B$125="Kale")*(K$58:K$125="H")*$C$58:$C$125)*$P$13+SUMPRODUCT(($B$58:$B$125="Garlic")*(K$58:K$125="P")*$C$58:$C$125)*$N$14+SUMPRODUCT(($B$58:$B$125="Garlic")*(K$58:K$125="G")*$C$58:$C$125)*$O$14+SUMPRODUCT(($B$58:$B$125="Garlic")*(K$58:K$125="H")*$C$58:$C$125)*$P$14</f>
        <v/>
      </c>
      <c r="L169" s="45">
        <f>SUMPRODUCT(($B$58:$B$125="Spinach")*(L$58:L$125="P")*$C$58:$C$125)*$N$12+SUMPRODUCT(($B$58:$B$125="Spinach")*(L$58:L$125="G")*$C$58:$C$125)*$O$12+SUMPRODUCT(($B$58:$B$125="Spinach")*(L$58:L$125="H")*$C$58:$C$125)*$P$12+SUMPRODUCT(($B$58:$B$125="Kale")*(L$58:L$125="P")*$C$58:$C$125)*$N$13+SUMPRODUCT(($B$58:$B$125="Kale")*(L$58:L$125="G")*$C$58:$C$125)*$O$13+SUMPRODUCT(($B$58:$B$125="Kale")*(L$58:L$125="H")*$C$58:$C$125)*$P$13+SUMPRODUCT(($B$58:$B$125="Garlic")*(L$58:L$125="P")*$C$58:$C$125)*$N$14+SUMPRODUCT(($B$58:$B$125="Garlic")*(L$58:L$125="G")*$C$58:$C$125)*$O$14+SUMPRODUCT(($B$58:$B$125="Garlic")*(L$58:L$125="H")*$C$58:$C$125)*$P$14</f>
        <v/>
      </c>
      <c r="M169" s="45">
        <f>SUMPRODUCT(($B$58:$B$125="Spinach")*(M$58:M$125="P")*$C$58:$C$125)*$N$12+SUMPRODUCT(($B$58:$B$125="Spinach")*(M$58:M$125="G")*$C$58:$C$125)*$O$12+SUMPRODUCT(($B$58:$B$125="Spinach")*(M$58:M$125="H")*$C$58:$C$125)*$P$12+SUMPRODUCT(($B$58:$B$125="Kale")*(M$58:M$125="P")*$C$58:$C$125)*$N$13+SUMPRODUCT(($B$58:$B$125="Kale")*(M$58:M$125="G")*$C$58:$C$125)*$O$13+SUMPRODUCT(($B$58:$B$125="Kale")*(M$58:M$125="H")*$C$58:$C$125)*$P$13+SUMPRODUCT(($B$58:$B$125="Garlic")*(M$58:M$125="P")*$C$58:$C$125)*$N$14+SUMPRODUCT(($B$58:$B$125="Garlic")*(M$58:M$125="G")*$C$58:$C$125)*$O$14+SUMPRODUCT(($B$58:$B$125="Garlic")*(M$58:M$125="H")*$C$58:$C$125)*$P$14</f>
        <v/>
      </c>
      <c r="N169" s="45">
        <f>SUMPRODUCT(($B$58:$B$125="Spinach")*(N$58:N$125="P")*$C$58:$C$125)*$N$12+SUMPRODUCT(($B$58:$B$125="Spinach")*(N$58:N$125="G")*$C$58:$C$125)*$O$12+SUMPRODUCT(($B$58:$B$125="Spinach")*(N$58:N$125="H")*$C$58:$C$125)*$P$12+SUMPRODUCT(($B$58:$B$125="Kale")*(N$58:N$125="P")*$C$58:$C$125)*$N$13+SUMPRODUCT(($B$58:$B$125="Kale")*(N$58:N$125="G")*$C$58:$C$125)*$O$13+SUMPRODUCT(($B$58:$B$125="Kale")*(N$58:N$125="H")*$C$58:$C$125)*$P$13+SUMPRODUCT(($B$58:$B$125="Garlic")*(N$58:N$125="P")*$C$58:$C$125)*$N$14+SUMPRODUCT(($B$58:$B$125="Garlic")*(N$58:N$125="G")*$C$58:$C$125)*$O$14+SUMPRODUCT(($B$58:$B$125="Garlic")*(N$58:N$125="H")*$C$58:$C$125)*$P$14</f>
        <v/>
      </c>
      <c r="O169" s="45">
        <f>SUMPRODUCT(($B$58:$B$125="Spinach")*(O$58:O$125="P")*$C$58:$C$125)*$N$12+SUMPRODUCT(($B$58:$B$125="Spinach")*(O$58:O$125="G")*$C$58:$C$125)*$O$12+SUMPRODUCT(($B$58:$B$125="Spinach")*(O$58:O$125="H")*$C$58:$C$125)*$P$12+SUMPRODUCT(($B$58:$B$125="Kale")*(O$58:O$125="P")*$C$58:$C$125)*$N$13+SUMPRODUCT(($B$58:$B$125="Kale")*(O$58:O$125="G")*$C$58:$C$125)*$O$13+SUMPRODUCT(($B$58:$B$125="Kale")*(O$58:O$125="H")*$C$58:$C$125)*$P$13+SUMPRODUCT(($B$58:$B$125="Garlic")*(O$58:O$125="P")*$C$58:$C$125)*$N$14+SUMPRODUCT(($B$58:$B$125="Garlic")*(O$58:O$125="G")*$C$58:$C$125)*$O$14+SUMPRODUCT(($B$58:$B$125="Garlic")*(O$58:O$125="H")*$C$58:$C$125)*$P$14</f>
        <v/>
      </c>
      <c r="P169" s="45">
        <f>SUMPRODUCT(($B$58:$B$125="Spinach")*(P$58:P$125="P")*$C$58:$C$125)*$N$12+SUMPRODUCT(($B$58:$B$125="Spinach")*(P$58:P$125="G")*$C$58:$C$125)*$O$12+SUMPRODUCT(($B$58:$B$125="Spinach")*(P$58:P$125="H")*$C$58:$C$125)*$P$12+SUMPRODUCT(($B$58:$B$125="Kale")*(P$58:P$125="P")*$C$58:$C$125)*$N$13+SUMPRODUCT(($B$58:$B$125="Kale")*(P$58:P$125="G")*$C$58:$C$125)*$O$13+SUMPRODUCT(($B$58:$B$125="Kale")*(P$58:P$125="H")*$C$58:$C$125)*$P$13+SUMPRODUCT(($B$58:$B$125="Garlic")*(P$58:P$125="P")*$C$58:$C$125)*$N$14+SUMPRODUCT(($B$58:$B$125="Garlic")*(P$58:P$125="G")*$C$58:$C$125)*$O$14+SUMPRODUCT(($B$58:$B$125="Garlic")*(P$58:P$125="H")*$C$58:$C$125)*$P$14</f>
        <v/>
      </c>
      <c r="Q169" s="45">
        <f>SUMPRODUCT(($B$58:$B$125="Spinach")*(Q$58:Q$125="P")*$C$58:$C$125)*$N$12+SUMPRODUCT(($B$58:$B$125="Spinach")*(Q$58:Q$125="G")*$C$58:$C$125)*$O$12+SUMPRODUCT(($B$58:$B$125="Spinach")*(Q$58:Q$125="H")*$C$58:$C$125)*$P$12+SUMPRODUCT(($B$58:$B$125="Kale")*(Q$58:Q$125="P")*$C$58:$C$125)*$N$13+SUMPRODUCT(($B$58:$B$125="Kale")*(Q$58:Q$125="G")*$C$58:$C$125)*$O$13+SUMPRODUCT(($B$58:$B$125="Kale")*(Q$58:Q$125="H")*$C$58:$C$125)*$P$13+SUMPRODUCT(($B$58:$B$125="Garlic")*(Q$58:Q$125="P")*$C$58:$C$125)*$N$14+SUMPRODUCT(($B$58:$B$125="Garlic")*(Q$58:Q$125="G")*$C$58:$C$125)*$O$14+SUMPRODUCT(($B$58:$B$125="Garlic")*(Q$58:Q$125="H")*$C$58:$C$125)*$P$14</f>
        <v/>
      </c>
      <c r="R169" s="45">
        <f>SUMPRODUCT(($B$58:$B$125="Spinach")*(R$58:R$125="P")*$C$58:$C$125)*$N$12+SUMPRODUCT(($B$58:$B$125="Spinach")*(R$58:R$125="G")*$C$58:$C$125)*$O$12+SUMPRODUCT(($B$58:$B$125="Spinach")*(R$58:R$125="H")*$C$58:$C$125)*$P$12+SUMPRODUCT(($B$58:$B$125="Kale")*(R$58:R$125="P")*$C$58:$C$125)*$N$13+SUMPRODUCT(($B$58:$B$125="Kale")*(R$58:R$125="G")*$C$58:$C$125)*$O$13+SUMPRODUCT(($B$58:$B$125="Kale")*(R$58:R$125="H")*$C$58:$C$125)*$P$13+SUMPRODUCT(($B$58:$B$125="Garlic")*(R$58:R$125="P")*$C$58:$C$125)*$N$14+SUMPRODUCT(($B$58:$B$125="Garlic")*(R$58:R$125="G")*$C$58:$C$125)*$O$14+SUMPRODUCT(($B$58:$B$125="Garlic")*(R$58:R$125="H")*$C$58:$C$125)*$P$14</f>
        <v/>
      </c>
      <c r="S169" s="45">
        <f>SUMPRODUCT(($B$58:$B$125="Spinach")*(S$58:S$125="P")*$C$58:$C$125)*$N$12+SUMPRODUCT(($B$58:$B$125="Spinach")*(S$58:S$125="G")*$C$58:$C$125)*$O$12+SUMPRODUCT(($B$58:$B$125="Spinach")*(S$58:S$125="H")*$C$58:$C$125)*$P$12+SUMPRODUCT(($B$58:$B$125="Kale")*(S$58:S$125="P")*$C$58:$C$125)*$N$13+SUMPRODUCT(($B$58:$B$125="Kale")*(S$58:S$125="G")*$C$58:$C$125)*$O$13+SUMPRODUCT(($B$58:$B$125="Kale")*(S$58:S$125="H")*$C$58:$C$125)*$P$13+SUMPRODUCT(($B$58:$B$125="Garlic")*(S$58:S$125="P")*$C$58:$C$125)*$N$14+SUMPRODUCT(($B$58:$B$125="Garlic")*(S$58:S$125="G")*$C$58:$C$125)*$O$14+SUMPRODUCT(($B$58:$B$125="Garlic")*(S$58:S$125="H")*$C$58:$C$125)*$P$14</f>
        <v/>
      </c>
      <c r="T169" s="45">
        <f>SUMPRODUCT(($B$58:$B$125="Spinach")*(T$58:T$125="P")*$C$58:$C$125)*$N$12+SUMPRODUCT(($B$58:$B$125="Spinach")*(T$58:T$125="G")*$C$58:$C$125)*$O$12+SUMPRODUCT(($B$58:$B$125="Spinach")*(T$58:T$125="H")*$C$58:$C$125)*$P$12+SUMPRODUCT(($B$58:$B$125="Kale")*(T$58:T$125="P")*$C$58:$C$125)*$N$13+SUMPRODUCT(($B$58:$B$125="Kale")*(T$58:T$125="G")*$C$58:$C$125)*$O$13+SUMPRODUCT(($B$58:$B$125="Kale")*(T$58:T$125="H")*$C$58:$C$125)*$P$13+SUMPRODUCT(($B$58:$B$125="Garlic")*(T$58:T$125="P")*$C$58:$C$125)*$N$14+SUMPRODUCT(($B$58:$B$125="Garlic")*(T$58:T$125="G")*$C$58:$C$125)*$O$14+SUMPRODUCT(($B$58:$B$125="Garlic")*(T$58:T$125="H")*$C$58:$C$125)*$P$14</f>
        <v/>
      </c>
      <c r="U169" s="45">
        <f>SUMPRODUCT(($B$58:$B$125="Spinach")*(U$58:U$125="P")*$C$58:$C$125)*$N$12+SUMPRODUCT(($B$58:$B$125="Spinach")*(U$58:U$125="G")*$C$58:$C$125)*$O$12+SUMPRODUCT(($B$58:$B$125="Spinach")*(U$58:U$125="H")*$C$58:$C$125)*$P$12+SUMPRODUCT(($B$58:$B$125="Kale")*(U$58:U$125="P")*$C$58:$C$125)*$N$13+SUMPRODUCT(($B$58:$B$125="Kale")*(U$58:U$125="G")*$C$58:$C$125)*$O$13+SUMPRODUCT(($B$58:$B$125="Kale")*(U$58:U$125="H")*$C$58:$C$125)*$P$13+SUMPRODUCT(($B$58:$B$125="Garlic")*(U$58:U$125="P")*$C$58:$C$125)*$N$14+SUMPRODUCT(($B$58:$B$125="Garlic")*(U$58:U$125="G")*$C$58:$C$125)*$O$14+SUMPRODUCT(($B$58:$B$125="Garlic")*(U$58:U$125="H")*$C$58:$C$125)*$P$14</f>
        <v/>
      </c>
      <c r="V169" s="45">
        <f>SUMPRODUCT(($B$58:$B$125="Spinach")*(V$58:V$125="P")*$C$58:$C$125)*$N$12+SUMPRODUCT(($B$58:$B$125="Spinach")*(V$58:V$125="G")*$C$58:$C$125)*$O$12+SUMPRODUCT(($B$58:$B$125="Spinach")*(V$58:V$125="H")*$C$58:$C$125)*$P$12+SUMPRODUCT(($B$58:$B$125="Kale")*(V$58:V$125="P")*$C$58:$C$125)*$N$13+SUMPRODUCT(($B$58:$B$125="Kale")*(V$58:V$125="G")*$C$58:$C$125)*$O$13+SUMPRODUCT(($B$58:$B$125="Kale")*(V$58:V$125="H")*$C$58:$C$125)*$P$13+SUMPRODUCT(($B$58:$B$125="Garlic")*(V$58:V$125="P")*$C$58:$C$125)*$N$14+SUMPRODUCT(($B$58:$B$125="Garlic")*(V$58:V$125="G")*$C$58:$C$125)*$O$14+SUMPRODUCT(($B$58:$B$125="Garlic")*(V$58:V$125="H")*$C$58:$C$125)*$P$14</f>
        <v/>
      </c>
      <c r="W169" s="45">
        <f>SUMPRODUCT(($B$58:$B$125="Spinach")*(W$58:W$125="P")*$C$58:$C$125)*$N$12+SUMPRODUCT(($B$58:$B$125="Spinach")*(W$58:W$125="G")*$C$58:$C$125)*$O$12+SUMPRODUCT(($B$58:$B$125="Spinach")*(W$58:W$125="H")*$C$58:$C$125)*$P$12+SUMPRODUCT(($B$58:$B$125="Kale")*(W$58:W$125="P")*$C$58:$C$125)*$N$13+SUMPRODUCT(($B$58:$B$125="Kale")*(W$58:W$125="G")*$C$58:$C$125)*$O$13+SUMPRODUCT(($B$58:$B$125="Kale")*(W$58:W$125="H")*$C$58:$C$125)*$P$13+SUMPRODUCT(($B$58:$B$125="Garlic")*(W$58:W$125="P")*$C$58:$C$125)*$N$14+SUMPRODUCT(($B$58:$B$125="Garlic")*(W$58:W$125="G")*$C$58:$C$125)*$O$14+SUMPRODUCT(($B$58:$B$125="Garlic")*(W$58:W$125="H")*$C$58:$C$125)*$P$14</f>
        <v/>
      </c>
      <c r="X169" s="45">
        <f>SUMPRODUCT(($B$58:$B$125="Spinach")*(X$58:X$125="P")*$C$58:$C$125)*$N$12+SUMPRODUCT(($B$58:$B$125="Spinach")*(X$58:X$125="G")*$C$58:$C$125)*$O$12+SUMPRODUCT(($B$58:$B$125="Spinach")*(X$58:X$125="H")*$C$58:$C$125)*$P$12+SUMPRODUCT(($B$58:$B$125="Kale")*(X$58:X$125="P")*$C$58:$C$125)*$N$13+SUMPRODUCT(($B$58:$B$125="Kale")*(X$58:X$125="G")*$C$58:$C$125)*$O$13+SUMPRODUCT(($B$58:$B$125="Kale")*(X$58:X$125="H")*$C$58:$C$125)*$P$13+SUMPRODUCT(($B$58:$B$125="Garlic")*(X$58:X$125="P")*$C$58:$C$125)*$N$14+SUMPRODUCT(($B$58:$B$125="Garlic")*(X$58:X$125="G")*$C$58:$C$125)*$O$14+SUMPRODUCT(($B$58:$B$125="Garlic")*(X$58:X$125="H")*$C$58:$C$125)*$P$14</f>
        <v/>
      </c>
      <c r="Y169" s="45">
        <f>SUMPRODUCT(($B$58:$B$125="Spinach")*(Y$58:Y$125="P")*$C$58:$C$125)*$N$12+SUMPRODUCT(($B$58:$B$125="Spinach")*(Y$58:Y$125="G")*$C$58:$C$125)*$O$12+SUMPRODUCT(($B$58:$B$125="Spinach")*(Y$58:Y$125="H")*$C$58:$C$125)*$P$12+SUMPRODUCT(($B$58:$B$125="Kale")*(Y$58:Y$125="P")*$C$58:$C$125)*$N$13+SUMPRODUCT(($B$58:$B$125="Kale")*(Y$58:Y$125="G")*$C$58:$C$125)*$O$13+SUMPRODUCT(($B$58:$B$125="Kale")*(Y$58:Y$125="H")*$C$58:$C$125)*$P$13+SUMPRODUCT(($B$58:$B$125="Garlic")*(Y$58:Y$125="P")*$C$58:$C$125)*$N$14+SUMPRODUCT(($B$58:$B$125="Garlic")*(Y$58:Y$125="G")*$C$58:$C$125)*$O$14+SUMPRODUCT(($B$58:$B$125="Garlic")*(Y$58:Y$125="H")*$C$58:$C$125)*$P$14</f>
        <v/>
      </c>
      <c r="Z169" s="45">
        <f>SUMPRODUCT(($B$58:$B$125="Spinach")*(Z$58:Z$125="P")*$C$58:$C$125)*$N$12+SUMPRODUCT(($B$58:$B$125="Spinach")*(Z$58:Z$125="G")*$C$58:$C$125)*$O$12+SUMPRODUCT(($B$58:$B$125="Spinach")*(Z$58:Z$125="H")*$C$58:$C$125)*$P$12+SUMPRODUCT(($B$58:$B$125="Kale")*(Z$58:Z$125="P")*$C$58:$C$125)*$N$13+SUMPRODUCT(($B$58:$B$125="Kale")*(Z$58:Z$125="G")*$C$58:$C$125)*$O$13+SUMPRODUCT(($B$58:$B$125="Kale")*(Z$58:Z$125="H")*$C$58:$C$125)*$P$13+SUMPRODUCT(($B$58:$B$125="Garlic")*(Z$58:Z$125="P")*$C$58:$C$125)*$N$14+SUMPRODUCT(($B$58:$B$125="Garlic")*(Z$58:Z$125="G")*$C$58:$C$125)*$O$14+SUMPRODUCT(($B$58:$B$125="Garlic")*(Z$58:Z$125="H")*$C$58:$C$125)*$P$14</f>
        <v/>
      </c>
      <c r="AA169" s="45">
        <f>SUMPRODUCT(($B$58:$B$125="Spinach")*(AA$58:AA$125="P")*$C$58:$C$125)*$N$12+SUMPRODUCT(($B$58:$B$125="Spinach")*(AA$58:AA$125="G")*$C$58:$C$125)*$O$12+SUMPRODUCT(($B$58:$B$125="Spinach")*(AA$58:AA$125="H")*$C$58:$C$125)*$P$12+SUMPRODUCT(($B$58:$B$125="Kale")*(AA$58:AA$125="P")*$C$58:$C$125)*$N$13+SUMPRODUCT(($B$58:$B$125="Kale")*(AA$58:AA$125="G")*$C$58:$C$125)*$O$13+SUMPRODUCT(($B$58:$B$125="Kale")*(AA$58:AA$125="H")*$C$58:$C$125)*$P$13+SUMPRODUCT(($B$58:$B$125="Garlic")*(AA$58:AA$125="P")*$C$58:$C$125)*$N$14+SUMPRODUCT(($B$58:$B$125="Garlic")*(AA$58:AA$125="G")*$C$58:$C$125)*$O$14+SUMPRODUCT(($B$58:$B$125="Garlic")*(AA$58:AA$125="H")*$C$58:$C$125)*$P$14</f>
        <v/>
      </c>
      <c r="AB169" s="45">
        <f>SUMPRODUCT(($B$58:$B$125="Spinach")*(AB$58:AB$125="P")*$C$58:$C$125)*$N$12+SUMPRODUCT(($B$58:$B$125="Spinach")*(AB$58:AB$125="G")*$C$58:$C$125)*$O$12+SUMPRODUCT(($B$58:$B$125="Spinach")*(AB$58:AB$125="H")*$C$58:$C$125)*$P$12+SUMPRODUCT(($B$58:$B$125="Kale")*(AB$58:AB$125="P")*$C$58:$C$125)*$N$13+SUMPRODUCT(($B$58:$B$125="Kale")*(AB$58:AB$125="G")*$C$58:$C$125)*$O$13+SUMPRODUCT(($B$58:$B$125="Kale")*(AB$58:AB$125="H")*$C$58:$C$125)*$P$13+SUMPRODUCT(($B$58:$B$125="Garlic")*(AB$58:AB$125="P")*$C$58:$C$125)*$N$14+SUMPRODUCT(($B$58:$B$125="Garlic")*(AB$58:AB$125="G")*$C$58:$C$125)*$O$14+SUMPRODUCT(($B$58:$B$125="Garlic")*(AB$58:AB$125="H")*$C$58:$C$125)*$P$14</f>
        <v/>
      </c>
      <c r="AC169" s="45">
        <f>SUMPRODUCT(($B$58:$B$125="Spinach")*(AC$58:AC$125="P")*$C$58:$C$125)*$N$12+SUMPRODUCT(($B$58:$B$125="Spinach")*(AC$58:AC$125="G")*$C$58:$C$125)*$O$12+SUMPRODUCT(($B$58:$B$125="Spinach")*(AC$58:AC$125="H")*$C$58:$C$125)*$P$12+SUMPRODUCT(($B$58:$B$125="Kale")*(AC$58:AC$125="P")*$C$58:$C$125)*$N$13+SUMPRODUCT(($B$58:$B$125="Kale")*(AC$58:AC$125="G")*$C$58:$C$125)*$O$13+SUMPRODUCT(($B$58:$B$125="Kale")*(AC$58:AC$125="H")*$C$58:$C$125)*$P$13+SUMPRODUCT(($B$58:$B$125="Garlic")*(AC$58:AC$125="P")*$C$58:$C$125)*$N$14+SUMPRODUCT(($B$58:$B$125="Garlic")*(AC$58:AC$125="G")*$C$58:$C$125)*$O$14+SUMPRODUCT(($B$58:$B$125="Garlic")*(AC$58:AC$125="H")*$C$58:$C$125)*$P$14</f>
        <v/>
      </c>
      <c r="AD169" s="45">
        <f>SUMPRODUCT(($B$58:$B$125="Spinach")*(AD$58:AD$125="P")*$C$58:$C$125)*$N$12+SUMPRODUCT(($B$58:$B$125="Spinach")*(AD$58:AD$125="G")*$C$58:$C$125)*$O$12+SUMPRODUCT(($B$58:$B$125="Spinach")*(AD$58:AD$125="H")*$C$58:$C$125)*$P$12+SUMPRODUCT(($B$58:$B$125="Kale")*(AD$58:AD$125="P")*$C$58:$C$125)*$N$13+SUMPRODUCT(($B$58:$B$125="Kale")*(AD$58:AD$125="G")*$C$58:$C$125)*$O$13+SUMPRODUCT(($B$58:$B$125="Kale")*(AD$58:AD$125="H")*$C$58:$C$125)*$P$13+SUMPRODUCT(($B$58:$B$125="Garlic")*(AD$58:AD$125="P")*$C$58:$C$125)*$N$14+SUMPRODUCT(($B$58:$B$125="Garlic")*(AD$58:AD$125="G")*$C$58:$C$125)*$O$14+SUMPRODUCT(($B$58:$B$125="Garlic")*(AD$58:AD$125="H")*$C$58:$C$125)*$P$14</f>
        <v/>
      </c>
      <c r="AE169" s="45">
        <f>SUMPRODUCT(($B$58:$B$125="Spinach")*(AE$58:AE$125="P")*$C$58:$C$125)*$N$12+SUMPRODUCT(($B$58:$B$125="Spinach")*(AE$58:AE$125="G")*$C$58:$C$125)*$O$12+SUMPRODUCT(($B$58:$B$125="Spinach")*(AE$58:AE$125="H")*$C$58:$C$125)*$P$12+SUMPRODUCT(($B$58:$B$125="Kale")*(AE$58:AE$125="P")*$C$58:$C$125)*$N$13+SUMPRODUCT(($B$58:$B$125="Kale")*(AE$58:AE$125="G")*$C$58:$C$125)*$O$13+SUMPRODUCT(($B$58:$B$125="Kale")*(AE$58:AE$125="H")*$C$58:$C$125)*$P$13+SUMPRODUCT(($B$58:$B$125="Garlic")*(AE$58:AE$125="P")*$C$58:$C$125)*$N$14+SUMPRODUCT(($B$58:$B$125="Garlic")*(AE$58:AE$125="G")*$C$58:$C$125)*$O$14+SUMPRODUCT(($B$58:$B$125="Garlic")*(AE$58:AE$125="H")*$C$58:$C$125)*$P$14</f>
        <v/>
      </c>
      <c r="AF169" s="45">
        <f>SUMPRODUCT(($B$58:$B$125="Spinach")*(AF$58:AF$125="P")*$C$58:$C$125)*$N$12+SUMPRODUCT(($B$58:$B$125="Spinach")*(AF$58:AF$125="G")*$C$58:$C$125)*$O$12+SUMPRODUCT(($B$58:$B$125="Spinach")*(AF$58:AF$125="H")*$C$58:$C$125)*$P$12+SUMPRODUCT(($B$58:$B$125="Kale")*(AF$58:AF$125="P")*$C$58:$C$125)*$N$13+SUMPRODUCT(($B$58:$B$125="Kale")*(AF$58:AF$125="G")*$C$58:$C$125)*$O$13+SUMPRODUCT(($B$58:$B$125="Kale")*(AF$58:AF$125="H")*$C$58:$C$125)*$P$13+SUMPRODUCT(($B$58:$B$125="Garlic")*(AF$58:AF$125="P")*$C$58:$C$125)*$N$14+SUMPRODUCT(($B$58:$B$125="Garlic")*(AF$58:AF$125="G")*$C$58:$C$125)*$O$14+SUMPRODUCT(($B$58:$B$125="Garlic")*(AF$58:AF$125="H")*$C$58:$C$125)*$P$14</f>
        <v/>
      </c>
      <c r="AG169" s="45">
        <f>SUMPRODUCT(($B$58:$B$125="Spinach")*(AG$58:AG$125="P")*$C$58:$C$125)*$N$12+SUMPRODUCT(($B$58:$B$125="Spinach")*(AG$58:AG$125="G")*$C$58:$C$125)*$O$12+SUMPRODUCT(($B$58:$B$125="Spinach")*(AG$58:AG$125="H")*$C$58:$C$125)*$P$12+SUMPRODUCT(($B$58:$B$125="Kale")*(AG$58:AG$125="P")*$C$58:$C$125)*$N$13+SUMPRODUCT(($B$58:$B$125="Kale")*(AG$58:AG$125="G")*$C$58:$C$125)*$O$13+SUMPRODUCT(($B$58:$B$125="Kale")*(AG$58:AG$125="H")*$C$58:$C$125)*$P$13+SUMPRODUCT(($B$58:$B$125="Garlic")*(AG$58:AG$125="P")*$C$58:$C$125)*$N$14+SUMPRODUCT(($B$58:$B$125="Garlic")*(AG$58:AG$125="G")*$C$58:$C$125)*$O$14+SUMPRODUCT(($B$58:$B$125="Garlic")*(AG$58:AG$125="H")*$C$58:$C$125)*$P$14</f>
        <v/>
      </c>
      <c r="AH169" s="45">
        <f>SUMPRODUCT(($B$58:$B$125="Spinach")*(AH$58:AH$125="P")*$C$58:$C$125)*$N$12+SUMPRODUCT(($B$58:$B$125="Spinach")*(AH$58:AH$125="G")*$C$58:$C$125)*$O$12+SUMPRODUCT(($B$58:$B$125="Spinach")*(AH$58:AH$125="H")*$C$58:$C$125)*$P$12+SUMPRODUCT(($B$58:$B$125="Kale")*(AH$58:AH$125="P")*$C$58:$C$125)*$N$13+SUMPRODUCT(($B$58:$B$125="Kale")*(AH$58:AH$125="G")*$C$58:$C$125)*$O$13+SUMPRODUCT(($B$58:$B$125="Kale")*(AH$58:AH$125="H")*$C$58:$C$125)*$P$13+SUMPRODUCT(($B$58:$B$125="Garlic")*(AH$58:AH$125="P")*$C$58:$C$125)*$N$14+SUMPRODUCT(($B$58:$B$125="Garlic")*(AH$58:AH$125="G")*$C$58:$C$125)*$O$14+SUMPRODUCT(($B$58:$B$125="Garlic")*(AH$58:AH$125="H")*$C$58:$C$125)*$P$14</f>
        <v/>
      </c>
      <c r="AI169" s="45">
        <f>SUMPRODUCT(($B$58:$B$125="Spinach")*(AI$58:AI$125="P")*$C$58:$C$125)*$N$12+SUMPRODUCT(($B$58:$B$125="Spinach")*(AI$58:AI$125="G")*$C$58:$C$125)*$O$12+SUMPRODUCT(($B$58:$B$125="Spinach")*(AI$58:AI$125="H")*$C$58:$C$125)*$P$12+SUMPRODUCT(($B$58:$B$125="Kale")*(AI$58:AI$125="P")*$C$58:$C$125)*$N$13+SUMPRODUCT(($B$58:$B$125="Kale")*(AI$58:AI$125="G")*$C$58:$C$125)*$O$13+SUMPRODUCT(($B$58:$B$125="Kale")*(AI$58:AI$125="H")*$C$58:$C$125)*$P$13+SUMPRODUCT(($B$58:$B$125="Garlic")*(AI$58:AI$125="P")*$C$58:$C$125)*$N$14+SUMPRODUCT(($B$58:$B$125="Garlic")*(AI$58:AI$125="G")*$C$58:$C$125)*$O$14+SUMPRODUCT(($B$58:$B$125="Garlic")*(AI$58:AI$125="H")*$C$58:$C$125)*$P$14</f>
        <v/>
      </c>
      <c r="AJ169" s="45">
        <f>SUMPRODUCT(($B$58:$B$125="Spinach")*(AJ$58:AJ$125="P")*$C$58:$C$125)*$N$12+SUMPRODUCT(($B$58:$B$125="Spinach")*(AJ$58:AJ$125="G")*$C$58:$C$125)*$O$12+SUMPRODUCT(($B$58:$B$125="Spinach")*(AJ$58:AJ$125="H")*$C$58:$C$125)*$P$12+SUMPRODUCT(($B$58:$B$125="Kale")*(AJ$58:AJ$125="P")*$C$58:$C$125)*$N$13+SUMPRODUCT(($B$58:$B$125="Kale")*(AJ$58:AJ$125="G")*$C$58:$C$125)*$O$13+SUMPRODUCT(($B$58:$B$125="Kale")*(AJ$58:AJ$125="H")*$C$58:$C$125)*$P$13+SUMPRODUCT(($B$58:$B$125="Garlic")*(AJ$58:AJ$125="P")*$C$58:$C$125)*$N$14+SUMPRODUCT(($B$58:$B$125="Garlic")*(AJ$58:AJ$125="G")*$C$58:$C$125)*$O$14+SUMPRODUCT(($B$58:$B$125="Garlic")*(AJ$58:AJ$125="H")*$C$58:$C$125)*$P$14</f>
        <v/>
      </c>
      <c r="AK169" s="45">
        <f>SUMPRODUCT(($B$58:$B$125="Spinach")*(AK$58:AK$125="P")*$C$58:$C$125)*$N$12+SUMPRODUCT(($B$58:$B$125="Spinach")*(AK$58:AK$125="G")*$C$58:$C$125)*$O$12+SUMPRODUCT(($B$58:$B$125="Spinach")*(AK$58:AK$125="H")*$C$58:$C$125)*$P$12+SUMPRODUCT(($B$58:$B$125="Kale")*(AK$58:AK$125="P")*$C$58:$C$125)*$N$13+SUMPRODUCT(($B$58:$B$125="Kale")*(AK$58:AK$125="G")*$C$58:$C$125)*$O$13+SUMPRODUCT(($B$58:$B$125="Kale")*(AK$58:AK$125="H")*$C$58:$C$125)*$P$13+SUMPRODUCT(($B$58:$B$125="Garlic")*(AK$58:AK$125="P")*$C$58:$C$125)*$N$14+SUMPRODUCT(($B$58:$B$125="Garlic")*(AK$58:AK$125="G")*$C$58:$C$125)*$O$14+SUMPRODUCT(($B$58:$B$125="Garlic")*(AK$58:AK$125="H")*$C$58:$C$125)*$P$14</f>
        <v/>
      </c>
      <c r="AL169" s="45">
        <f>SUMPRODUCT(($B$58:$B$125="Spinach")*(AL$58:AL$125="P")*$C$58:$C$125)*$N$12+SUMPRODUCT(($B$58:$B$125="Spinach")*(AL$58:AL$125="G")*$C$58:$C$125)*$O$12+SUMPRODUCT(($B$58:$B$125="Spinach")*(AL$58:AL$125="H")*$C$58:$C$125)*$P$12+SUMPRODUCT(($B$58:$B$125="Kale")*(AL$58:AL$125="P")*$C$58:$C$125)*$N$13+SUMPRODUCT(($B$58:$B$125="Kale")*(AL$58:AL$125="G")*$C$58:$C$125)*$O$13+SUMPRODUCT(($B$58:$B$125="Kale")*(AL$58:AL$125="H")*$C$58:$C$125)*$P$13+SUMPRODUCT(($B$58:$B$125="Garlic")*(AL$58:AL$125="P")*$C$58:$C$125)*$N$14+SUMPRODUCT(($B$58:$B$125="Garlic")*(AL$58:AL$125="G")*$C$58:$C$125)*$O$14+SUMPRODUCT(($B$58:$B$125="Garlic")*(AL$58:AL$125="H")*$C$58:$C$125)*$P$14</f>
        <v/>
      </c>
      <c r="AM169" s="45">
        <f>SUMPRODUCT(($B$58:$B$125="Spinach")*(AM$58:AM$125="P")*$C$58:$C$125)*$N$12+SUMPRODUCT(($B$58:$B$125="Spinach")*(AM$58:AM$125="G")*$C$58:$C$125)*$O$12+SUMPRODUCT(($B$58:$B$125="Spinach")*(AM$58:AM$125="H")*$C$58:$C$125)*$P$12+SUMPRODUCT(($B$58:$B$125="Kale")*(AM$58:AM$125="P")*$C$58:$C$125)*$N$13+SUMPRODUCT(($B$58:$B$125="Kale")*(AM$58:AM$125="G")*$C$58:$C$125)*$O$13+SUMPRODUCT(($B$58:$B$125="Kale")*(AM$58:AM$125="H")*$C$58:$C$125)*$P$13+SUMPRODUCT(($B$58:$B$125="Garlic")*(AM$58:AM$125="P")*$C$58:$C$125)*$N$14+SUMPRODUCT(($B$58:$B$125="Garlic")*(AM$58:AM$125="G")*$C$58:$C$125)*$O$14+SUMPRODUCT(($B$58:$B$125="Garlic")*(AM$58:AM$125="H")*$C$58:$C$125)*$P$14</f>
        <v/>
      </c>
      <c r="AN169" s="45">
        <f>SUMPRODUCT(($B$58:$B$125="Spinach")*(AN$58:AN$125="P")*$C$58:$C$125)*$N$12+SUMPRODUCT(($B$58:$B$125="Spinach")*(AN$58:AN$125="G")*$C$58:$C$125)*$O$12+SUMPRODUCT(($B$58:$B$125="Spinach")*(AN$58:AN$125="H")*$C$58:$C$125)*$P$12+SUMPRODUCT(($B$58:$B$125="Kale")*(AN$58:AN$125="P")*$C$58:$C$125)*$N$13+SUMPRODUCT(($B$58:$B$125="Kale")*(AN$58:AN$125="G")*$C$58:$C$125)*$O$13+SUMPRODUCT(($B$58:$B$125="Kale")*(AN$58:AN$125="H")*$C$58:$C$125)*$P$13+SUMPRODUCT(($B$58:$B$125="Garlic")*(AN$58:AN$125="P")*$C$58:$C$125)*$N$14+SUMPRODUCT(($B$58:$B$125="Garlic")*(AN$58:AN$125="G")*$C$58:$C$125)*$O$14+SUMPRODUCT(($B$58:$B$125="Garlic")*(AN$58:AN$125="H")*$C$58:$C$125)*$P$14</f>
        <v/>
      </c>
      <c r="AO169" s="45">
        <f>SUMPRODUCT(($B$58:$B$125="Spinach")*(AO$58:AO$125="P")*$C$58:$C$125)*$N$12+SUMPRODUCT(($B$58:$B$125="Spinach")*(AO$58:AO$125="G")*$C$58:$C$125)*$O$12+SUMPRODUCT(($B$58:$B$125="Spinach")*(AO$58:AO$125="H")*$C$58:$C$125)*$P$12+SUMPRODUCT(($B$58:$B$125="Kale")*(AO$58:AO$125="P")*$C$58:$C$125)*$N$13+SUMPRODUCT(($B$58:$B$125="Kale")*(AO$58:AO$125="G")*$C$58:$C$125)*$O$13+SUMPRODUCT(($B$58:$B$125="Kale")*(AO$58:AO$125="H")*$C$58:$C$125)*$P$13+SUMPRODUCT(($B$58:$B$125="Garlic")*(AO$58:AO$125="P")*$C$58:$C$125)*$N$14+SUMPRODUCT(($B$58:$B$125="Garlic")*(AO$58:AO$125="G")*$C$58:$C$125)*$O$14+SUMPRODUCT(($B$58:$B$125="Garlic")*(AO$58:AO$125="H")*$C$58:$C$125)*$P$14</f>
        <v/>
      </c>
      <c r="AP169" s="45">
        <f>SUMPRODUCT(($B$58:$B$125="Spinach")*(AP$58:AP$125="P")*$C$58:$C$125)*$N$12+SUMPRODUCT(($B$58:$B$125="Spinach")*(AP$58:AP$125="G")*$C$58:$C$125)*$O$12+SUMPRODUCT(($B$58:$B$125="Spinach")*(AP$58:AP$125="H")*$C$58:$C$125)*$P$12+SUMPRODUCT(($B$58:$B$125="Kale")*(AP$58:AP$125="P")*$C$58:$C$125)*$N$13+SUMPRODUCT(($B$58:$B$125="Kale")*(AP$58:AP$125="G")*$C$58:$C$125)*$O$13+SUMPRODUCT(($B$58:$B$125="Kale")*(AP$58:AP$125="H")*$C$58:$C$125)*$P$13+SUMPRODUCT(($B$58:$B$125="Garlic")*(AP$58:AP$125="P")*$C$58:$C$125)*$N$14+SUMPRODUCT(($B$58:$B$125="Garlic")*(AP$58:AP$125="G")*$C$58:$C$125)*$O$14+SUMPRODUCT(($B$58:$B$125="Garlic")*(AP$58:AP$125="H")*$C$58:$C$125)*$P$14</f>
        <v/>
      </c>
      <c r="AQ169" s="45">
        <f>SUMPRODUCT(($B$58:$B$125="Spinach")*(AQ$58:AQ$125="P")*$C$58:$C$125)*$N$12+SUMPRODUCT(($B$58:$B$125="Spinach")*(AQ$58:AQ$125="G")*$C$58:$C$125)*$O$12+SUMPRODUCT(($B$58:$B$125="Spinach")*(AQ$58:AQ$125="H")*$C$58:$C$125)*$P$12+SUMPRODUCT(($B$58:$B$125="Kale")*(AQ$58:AQ$125="P")*$C$58:$C$125)*$N$13+SUMPRODUCT(($B$58:$B$125="Kale")*(AQ$58:AQ$125="G")*$C$58:$C$125)*$O$13+SUMPRODUCT(($B$58:$B$125="Kale")*(AQ$58:AQ$125="H")*$C$58:$C$125)*$P$13+SUMPRODUCT(($B$58:$B$125="Garlic")*(AQ$58:AQ$125="P")*$C$58:$C$125)*$N$14+SUMPRODUCT(($B$58:$B$125="Garlic")*(AQ$58:AQ$125="G")*$C$58:$C$125)*$O$14+SUMPRODUCT(($B$58:$B$125="Garlic")*(AQ$58:AQ$125="H")*$C$58:$C$125)*$P$14</f>
        <v/>
      </c>
      <c r="AR169" s="45">
        <f>SUMPRODUCT(($B$58:$B$125="Spinach")*(AR$58:AR$125="P")*$C$58:$C$125)*$N$12+SUMPRODUCT(($B$58:$B$125="Spinach")*(AR$58:AR$125="G")*$C$58:$C$125)*$O$12+SUMPRODUCT(($B$58:$B$125="Spinach")*(AR$58:AR$125="H")*$C$58:$C$125)*$P$12+SUMPRODUCT(($B$58:$B$125="Kale")*(AR$58:AR$125="P")*$C$58:$C$125)*$N$13+SUMPRODUCT(($B$58:$B$125="Kale")*(AR$58:AR$125="G")*$C$58:$C$125)*$O$13+SUMPRODUCT(($B$58:$B$125="Kale")*(AR$58:AR$125="H")*$C$58:$C$125)*$P$13+SUMPRODUCT(($B$58:$B$125="Garlic")*(AR$58:AR$125="P")*$C$58:$C$125)*$N$14+SUMPRODUCT(($B$58:$B$125="Garlic")*(AR$58:AR$125="G")*$C$58:$C$125)*$O$14+SUMPRODUCT(($B$58:$B$125="Garlic")*(AR$58:AR$125="H")*$C$58:$C$125)*$P$14</f>
        <v/>
      </c>
      <c r="AS169" s="45">
        <f>SUMPRODUCT(($B$58:$B$125="Spinach")*(AS$58:AS$125="P")*$C$58:$C$125)*$N$12+SUMPRODUCT(($B$58:$B$125="Spinach")*(AS$58:AS$125="G")*$C$58:$C$125)*$O$12+SUMPRODUCT(($B$58:$B$125="Spinach")*(AS$58:AS$125="H")*$C$58:$C$125)*$P$12+SUMPRODUCT(($B$58:$B$125="Kale")*(AS$58:AS$125="P")*$C$58:$C$125)*$N$13+SUMPRODUCT(($B$58:$B$125="Kale")*(AS$58:AS$125="G")*$C$58:$C$125)*$O$13+SUMPRODUCT(($B$58:$B$125="Kale")*(AS$58:AS$125="H")*$C$58:$C$125)*$P$13+SUMPRODUCT(($B$58:$B$125="Garlic")*(AS$58:AS$125="P")*$C$58:$C$125)*$N$14+SUMPRODUCT(($B$58:$B$125="Garlic")*(AS$58:AS$125="G")*$C$58:$C$125)*$O$14+SUMPRODUCT(($B$58:$B$125="Garlic")*(AS$58:AS$125="H")*$C$58:$C$125)*$P$14</f>
        <v/>
      </c>
      <c r="AT169" s="45">
        <f>SUMPRODUCT(($B$58:$B$125="Spinach")*(AT$58:AT$125="P")*$C$58:$C$125)*$N$12+SUMPRODUCT(($B$58:$B$125="Spinach")*(AT$58:AT$125="G")*$C$58:$C$125)*$O$12+SUMPRODUCT(($B$58:$B$125="Spinach")*(AT$58:AT$125="H")*$C$58:$C$125)*$P$12+SUMPRODUCT(($B$58:$B$125="Kale")*(AT$58:AT$125="P")*$C$58:$C$125)*$N$13+SUMPRODUCT(($B$58:$B$125="Kale")*(AT$58:AT$125="G")*$C$58:$C$125)*$O$13+SUMPRODUCT(($B$58:$B$125="Kale")*(AT$58:AT$125="H")*$C$58:$C$125)*$P$13+SUMPRODUCT(($B$58:$B$125="Garlic")*(AT$58:AT$125="P")*$C$58:$C$125)*$N$14+SUMPRODUCT(($B$58:$B$125="Garlic")*(AT$58:AT$125="G")*$C$58:$C$125)*$O$14+SUMPRODUCT(($B$58:$B$125="Garlic")*(AT$58:AT$125="H")*$C$58:$C$125)*$P$14</f>
        <v/>
      </c>
      <c r="AU169" s="45">
        <f>SUMPRODUCT(($B$58:$B$125="Spinach")*(AU$58:AU$125="P")*$C$58:$C$125)*$N$12+SUMPRODUCT(($B$58:$B$125="Spinach")*(AU$58:AU$125="G")*$C$58:$C$125)*$O$12+SUMPRODUCT(($B$58:$B$125="Spinach")*(AU$58:AU$125="H")*$C$58:$C$125)*$P$12+SUMPRODUCT(($B$58:$B$125="Kale")*(AU$58:AU$125="P")*$C$58:$C$125)*$N$13+SUMPRODUCT(($B$58:$B$125="Kale")*(AU$58:AU$125="G")*$C$58:$C$125)*$O$13+SUMPRODUCT(($B$58:$B$125="Kale")*(AU$58:AU$125="H")*$C$58:$C$125)*$P$13+SUMPRODUCT(($B$58:$B$125="Garlic")*(AU$58:AU$125="P")*$C$58:$C$125)*$N$14+SUMPRODUCT(($B$58:$B$125="Garlic")*(AU$58:AU$125="G")*$C$58:$C$125)*$O$14+SUMPRODUCT(($B$58:$B$125="Garlic")*(AU$58:AU$125="H")*$C$58:$C$125)*$P$14</f>
        <v/>
      </c>
      <c r="AV169" s="45">
        <f>SUMPRODUCT(($B$58:$B$125="Spinach")*(AV$58:AV$125="P")*$C$58:$C$125)*$N$12+SUMPRODUCT(($B$58:$B$125="Spinach")*(AV$58:AV$125="G")*$C$58:$C$125)*$O$12+SUMPRODUCT(($B$58:$B$125="Spinach")*(AV$58:AV$125="H")*$C$58:$C$125)*$P$12+SUMPRODUCT(($B$58:$B$125="Kale")*(AV$58:AV$125="P")*$C$58:$C$125)*$N$13+SUMPRODUCT(($B$58:$B$125="Kale")*(AV$58:AV$125="G")*$C$58:$C$125)*$O$13+SUMPRODUCT(($B$58:$B$125="Kale")*(AV$58:AV$125="H")*$C$58:$C$125)*$P$13+SUMPRODUCT(($B$58:$B$125="Garlic")*(AV$58:AV$125="P")*$C$58:$C$125)*$N$14+SUMPRODUCT(($B$58:$B$125="Garlic")*(AV$58:AV$125="G")*$C$58:$C$125)*$O$14+SUMPRODUCT(($B$58:$B$125="Garlic")*(AV$58:AV$125="H")*$C$58:$C$125)*$P$14</f>
        <v/>
      </c>
      <c r="AW169" s="45">
        <f>SUMPRODUCT(($B$58:$B$125="Spinach")*(AW$58:AW$125="P")*$C$58:$C$125)*$N$12+SUMPRODUCT(($B$58:$B$125="Spinach")*(AW$58:AW$125="G")*$C$58:$C$125)*$O$12+SUMPRODUCT(($B$58:$B$125="Spinach")*(AW$58:AW$125="H")*$C$58:$C$125)*$P$12+SUMPRODUCT(($B$58:$B$125="Kale")*(AW$58:AW$125="P")*$C$58:$C$125)*$N$13+SUMPRODUCT(($B$58:$B$125="Kale")*(AW$58:AW$125="G")*$C$58:$C$125)*$O$13+SUMPRODUCT(($B$58:$B$125="Kale")*(AW$58:AW$125="H")*$C$58:$C$125)*$P$13+SUMPRODUCT(($B$58:$B$125="Garlic")*(AW$58:AW$125="P")*$C$58:$C$125)*$N$14+SUMPRODUCT(($B$58:$B$125="Garlic")*(AW$58:AW$125="G")*$C$58:$C$125)*$O$14+SUMPRODUCT(($B$58:$B$125="Garlic")*(AW$58:AW$125="H")*$C$58:$C$125)*$P$14</f>
        <v/>
      </c>
      <c r="AX169" s="45">
        <f>SUMPRODUCT(($B$58:$B$125="Spinach")*(AX$58:AX$125="P")*$C$58:$C$125)*$N$12+SUMPRODUCT(($B$58:$B$125="Spinach")*(AX$58:AX$125="G")*$C$58:$C$125)*$O$12+SUMPRODUCT(($B$58:$B$125="Spinach")*(AX$58:AX$125="H")*$C$58:$C$125)*$P$12+SUMPRODUCT(($B$58:$B$125="Kale")*(AX$58:AX$125="P")*$C$58:$C$125)*$N$13+SUMPRODUCT(($B$58:$B$125="Kale")*(AX$58:AX$125="G")*$C$58:$C$125)*$O$13+SUMPRODUCT(($B$58:$B$125="Kale")*(AX$58:AX$125="H")*$C$58:$C$125)*$P$13+SUMPRODUCT(($B$58:$B$125="Garlic")*(AX$58:AX$125="P")*$C$58:$C$125)*$N$14+SUMPRODUCT(($B$58:$B$125="Garlic")*(AX$58:AX$125="G")*$C$58:$C$125)*$O$14+SUMPRODUCT(($B$58:$B$125="Garlic")*(AX$58:AX$125="H")*$C$58:$C$125)*$P$14</f>
        <v/>
      </c>
      <c r="AY169" s="45">
        <f>SUMPRODUCT(($B$58:$B$125="Spinach")*(AY$58:AY$125="P")*$C$58:$C$125)*$N$12+SUMPRODUCT(($B$58:$B$125="Spinach")*(AY$58:AY$125="G")*$C$58:$C$125)*$O$12+SUMPRODUCT(($B$58:$B$125="Spinach")*(AY$58:AY$125="H")*$C$58:$C$125)*$P$12+SUMPRODUCT(($B$58:$B$125="Kale")*(AY$58:AY$125="P")*$C$58:$C$125)*$N$13+SUMPRODUCT(($B$58:$B$125="Kale")*(AY$58:AY$125="G")*$C$58:$C$125)*$O$13+SUMPRODUCT(($B$58:$B$125="Kale")*(AY$58:AY$125="H")*$C$58:$C$125)*$P$13+SUMPRODUCT(($B$58:$B$125="Garlic")*(AY$58:AY$125="P")*$C$58:$C$125)*$N$14+SUMPRODUCT(($B$58:$B$125="Garlic")*(AY$58:AY$125="G")*$C$58:$C$125)*$O$14+SUMPRODUCT(($B$58:$B$125="Garlic")*(AY$58:AY$125="H")*$C$58:$C$125)*$P$14</f>
        <v/>
      </c>
      <c r="AZ169" s="45">
        <f>SUMPRODUCT(($B$58:$B$125="Spinach")*(AZ$58:AZ$125="P")*$C$58:$C$125)*$N$12+SUMPRODUCT(($B$58:$B$125="Spinach")*(AZ$58:AZ$125="G")*$C$58:$C$125)*$O$12+SUMPRODUCT(($B$58:$B$125="Spinach")*(AZ$58:AZ$125="H")*$C$58:$C$125)*$P$12+SUMPRODUCT(($B$58:$B$125="Kale")*(AZ$58:AZ$125="P")*$C$58:$C$125)*$N$13+SUMPRODUCT(($B$58:$B$125="Kale")*(AZ$58:AZ$125="G")*$C$58:$C$125)*$O$13+SUMPRODUCT(($B$58:$B$125="Kale")*(AZ$58:AZ$125="H")*$C$58:$C$125)*$P$13+SUMPRODUCT(($B$58:$B$125="Garlic")*(AZ$58:AZ$125="P")*$C$58:$C$125)*$N$14+SUMPRODUCT(($B$58:$B$125="Garlic")*(AZ$58:AZ$125="G")*$C$58:$C$125)*$O$14+SUMPRODUCT(($B$58:$B$125="Garlic")*(AZ$58:AZ$125="H")*$C$58:$C$125)*$P$14</f>
        <v/>
      </c>
      <c r="BA169" s="45">
        <f>SUMPRODUCT(($B$58:$B$125="Spinach")*(BA$58:BA$125="P")*$C$58:$C$125)*$N$12+SUMPRODUCT(($B$58:$B$125="Spinach")*(BA$58:BA$125="G")*$C$58:$C$125)*$O$12+SUMPRODUCT(($B$58:$B$125="Spinach")*(BA$58:BA$125="H")*$C$58:$C$125)*$P$12+SUMPRODUCT(($B$58:$B$125="Kale")*(BA$58:BA$125="P")*$C$58:$C$125)*$N$13+SUMPRODUCT(($B$58:$B$125="Kale")*(BA$58:BA$125="G")*$C$58:$C$125)*$O$13+SUMPRODUCT(($B$58:$B$125="Kale")*(BA$58:BA$125="H")*$C$58:$C$125)*$P$13+SUMPRODUCT(($B$58:$B$125="Garlic")*(BA$58:BA$125="P")*$C$58:$C$125)*$N$14+SUMPRODUCT(($B$58:$B$125="Garlic")*(BA$58:BA$125="G")*$C$58:$C$125)*$O$14+SUMPRODUCT(($B$58:$B$125="Garlic")*(BA$58:BA$125="H")*$C$58:$C$125)*$P$14</f>
        <v/>
      </c>
      <c r="BB169" s="45">
        <f>SUMPRODUCT(($B$58:$B$125="Spinach")*(BB$58:BB$125="P")*$C$58:$C$125)*$N$12+SUMPRODUCT(($B$58:$B$125="Spinach")*(BB$58:BB$125="G")*$C$58:$C$125)*$O$12+SUMPRODUCT(($B$58:$B$125="Spinach")*(BB$58:BB$125="H")*$C$58:$C$125)*$P$12+SUMPRODUCT(($B$58:$B$125="Kale")*(BB$58:BB$125="P")*$C$58:$C$125)*$N$13+SUMPRODUCT(($B$58:$B$125="Kale")*(BB$58:BB$125="G")*$C$58:$C$125)*$O$13+SUMPRODUCT(($B$58:$B$125="Kale")*(BB$58:BB$125="H")*$C$58:$C$125)*$P$13+SUMPRODUCT(($B$58:$B$125="Garlic")*(BB$58:BB$125="P")*$C$58:$C$125)*$N$14+SUMPRODUCT(($B$58:$B$125="Garlic")*(BB$58:BB$125="G")*$C$58:$C$125)*$O$14+SUMPRODUCT(($B$58:$B$125="Garlic")*(BB$58:BB$125="H")*$C$58:$C$125)*$P$14</f>
        <v/>
      </c>
      <c r="BC169" s="45">
        <f>SUMPRODUCT(($B$58:$B$125="Spinach")*(BC$58:BC$125="P")*$C$58:$C$125)*$N$12+SUMPRODUCT(($B$58:$B$125="Spinach")*(BC$58:BC$125="G")*$C$58:$C$125)*$O$12+SUMPRODUCT(($B$58:$B$125="Spinach")*(BC$58:BC$125="H")*$C$58:$C$125)*$P$12+SUMPRODUCT(($B$58:$B$125="Kale")*(BC$58:BC$125="P")*$C$58:$C$125)*$N$13+SUMPRODUCT(($B$58:$B$125="Kale")*(BC$58:BC$125="G")*$C$58:$C$125)*$O$13+SUMPRODUCT(($B$58:$B$125="Kale")*(BC$58:BC$125="H")*$C$58:$C$125)*$P$13+SUMPRODUCT(($B$58:$B$125="Garlic")*(BC$58:BC$125="P")*$C$58:$C$125)*$N$14+SUMPRODUCT(($B$58:$B$125="Garlic")*(BC$58:BC$125="G")*$C$58:$C$125)*$O$14+SUMPRODUCT(($B$58:$B$125="Garlic")*(BC$58:BC$125="H")*$C$58:$C$125)*$P$14</f>
        <v/>
      </c>
      <c r="BD169" s="45">
        <f>SUMPRODUCT(($B$58:$B$125="Spinach")*(BD$58:BD$125="P")*$C$58:$C$125)*$N$12+SUMPRODUCT(($B$58:$B$125="Spinach")*(BD$58:BD$125="G")*$C$58:$C$125)*$O$12+SUMPRODUCT(($B$58:$B$125="Spinach")*(BD$58:BD$125="H")*$C$58:$C$125)*$P$12+SUMPRODUCT(($B$58:$B$125="Kale")*(BD$58:BD$125="P")*$C$58:$C$125)*$N$13+SUMPRODUCT(($B$58:$B$125="Kale")*(BD$58:BD$125="G")*$C$58:$C$125)*$O$13+SUMPRODUCT(($B$58:$B$125="Kale")*(BD$58:BD$125="H")*$C$58:$C$125)*$P$13+SUMPRODUCT(($B$58:$B$125="Garlic")*(BD$58:BD$125="P")*$C$58:$C$125)*$N$14+SUMPRODUCT(($B$58:$B$125="Garlic")*(BD$58:BD$125="G")*$C$58:$C$125)*$O$14+SUMPRODUCT(($B$58:$B$125="Garlic")*(BD$58:BD$125="H")*$C$58:$C$125)*$P$14</f>
        <v/>
      </c>
    </row>
    <row r="170">
      <c r="A170" s="4" t="inlineStr"/>
      <c r="E170" s="41" t="inlineStr">
        <is>
          <t>&lt;=</t>
        </is>
      </c>
      <c r="F170" s="41" t="inlineStr">
        <is>
          <t>&lt;=</t>
        </is>
      </c>
      <c r="G170" s="41" t="inlineStr">
        <is>
          <t>&lt;=</t>
        </is>
      </c>
      <c r="H170" s="41" t="inlineStr">
        <is>
          <t>&lt;=</t>
        </is>
      </c>
      <c r="I170" s="41" t="inlineStr">
        <is>
          <t>&lt;=</t>
        </is>
      </c>
      <c r="J170" s="41" t="inlineStr">
        <is>
          <t>&lt;=</t>
        </is>
      </c>
      <c r="K170" s="41" t="inlineStr">
        <is>
          <t>&lt;=</t>
        </is>
      </c>
      <c r="L170" s="41" t="inlineStr">
        <is>
          <t>&lt;=</t>
        </is>
      </c>
      <c r="M170" s="41" t="inlineStr">
        <is>
          <t>&lt;=</t>
        </is>
      </c>
      <c r="N170" s="41" t="inlineStr">
        <is>
          <t>&lt;=</t>
        </is>
      </c>
      <c r="O170" s="41" t="inlineStr">
        <is>
          <t>&lt;=</t>
        </is>
      </c>
      <c r="P170" s="41" t="inlineStr">
        <is>
          <t>&lt;=</t>
        </is>
      </c>
      <c r="Q170" s="41" t="inlineStr">
        <is>
          <t>&lt;=</t>
        </is>
      </c>
      <c r="R170" s="41" t="inlineStr">
        <is>
          <t>&lt;=</t>
        </is>
      </c>
      <c r="S170" s="41" t="inlineStr">
        <is>
          <t>&lt;=</t>
        </is>
      </c>
      <c r="T170" s="41" t="inlineStr">
        <is>
          <t>&lt;=</t>
        </is>
      </c>
      <c r="U170" s="41" t="inlineStr">
        <is>
          <t>&lt;=</t>
        </is>
      </c>
      <c r="V170" s="41" t="inlineStr">
        <is>
          <t>&lt;=</t>
        </is>
      </c>
      <c r="W170" s="41" t="inlineStr">
        <is>
          <t>&lt;=</t>
        </is>
      </c>
      <c r="X170" s="41" t="inlineStr">
        <is>
          <t>&lt;=</t>
        </is>
      </c>
      <c r="Y170" s="41" t="inlineStr">
        <is>
          <t>&lt;=</t>
        </is>
      </c>
      <c r="Z170" s="41" t="inlineStr">
        <is>
          <t>&lt;=</t>
        </is>
      </c>
      <c r="AA170" s="41" t="inlineStr">
        <is>
          <t>&lt;=</t>
        </is>
      </c>
      <c r="AB170" s="41" t="inlineStr">
        <is>
          <t>&lt;=</t>
        </is>
      </c>
      <c r="AC170" s="41" t="inlineStr">
        <is>
          <t>&lt;=</t>
        </is>
      </c>
      <c r="AD170" s="41" t="inlineStr">
        <is>
          <t>&lt;=</t>
        </is>
      </c>
      <c r="AE170" s="41" t="inlineStr">
        <is>
          <t>&lt;=</t>
        </is>
      </c>
      <c r="AF170" s="41" t="inlineStr">
        <is>
          <t>&lt;=</t>
        </is>
      </c>
      <c r="AG170" s="41" t="inlineStr">
        <is>
          <t>&lt;=</t>
        </is>
      </c>
      <c r="AH170" s="41" t="inlineStr">
        <is>
          <t>&lt;=</t>
        </is>
      </c>
      <c r="AI170" s="41" t="inlineStr">
        <is>
          <t>&lt;=</t>
        </is>
      </c>
      <c r="AJ170" s="41" t="inlineStr">
        <is>
          <t>&lt;=</t>
        </is>
      </c>
      <c r="AK170" s="41" t="inlineStr">
        <is>
          <t>&lt;=</t>
        </is>
      </c>
      <c r="AL170" s="41" t="inlineStr">
        <is>
          <t>&lt;=</t>
        </is>
      </c>
      <c r="AM170" s="41" t="inlineStr">
        <is>
          <t>&lt;=</t>
        </is>
      </c>
      <c r="AN170" s="41" t="inlineStr">
        <is>
          <t>&lt;=</t>
        </is>
      </c>
      <c r="AO170" s="41" t="inlineStr">
        <is>
          <t>&lt;=</t>
        </is>
      </c>
      <c r="AP170" s="41" t="inlineStr">
        <is>
          <t>&lt;=</t>
        </is>
      </c>
      <c r="AQ170" s="41" t="inlineStr">
        <is>
          <t>&lt;=</t>
        </is>
      </c>
      <c r="AR170" s="41" t="inlineStr">
        <is>
          <t>&lt;=</t>
        </is>
      </c>
      <c r="AS170" s="41" t="inlineStr">
        <is>
          <t>&lt;=</t>
        </is>
      </c>
      <c r="AT170" s="41" t="inlineStr">
        <is>
          <t>&lt;=</t>
        </is>
      </c>
      <c r="AU170" s="41" t="inlineStr">
        <is>
          <t>&lt;=</t>
        </is>
      </c>
      <c r="AV170" s="41" t="inlineStr">
        <is>
          <t>&lt;=</t>
        </is>
      </c>
      <c r="AW170" s="41" t="inlineStr">
        <is>
          <t>&lt;=</t>
        </is>
      </c>
      <c r="AX170" s="41" t="inlineStr">
        <is>
          <t>&lt;=</t>
        </is>
      </c>
      <c r="AY170" s="41" t="inlineStr">
        <is>
          <t>&lt;=</t>
        </is>
      </c>
      <c r="AZ170" s="41" t="inlineStr">
        <is>
          <t>&lt;=</t>
        </is>
      </c>
      <c r="BA170" s="41" t="inlineStr">
        <is>
          <t>&lt;=</t>
        </is>
      </c>
      <c r="BB170" s="41" t="inlineStr">
        <is>
          <t>&lt;=</t>
        </is>
      </c>
      <c r="BC170" s="41" t="inlineStr">
        <is>
          <t>&lt;=</t>
        </is>
      </c>
      <c r="BD170" s="41" t="inlineStr">
        <is>
          <t>&lt;=</t>
        </is>
      </c>
    </row>
    <row r="171">
      <c r="A171" s="39" t="inlineStr">
        <is>
          <t xml:space="preserve">  limit</t>
        </is>
      </c>
      <c r="B171" s="2" t="inlineStr">
        <is>
          <t>cap</t>
        </is>
      </c>
      <c r="E171" s="45">
        <f>E$157</f>
        <v/>
      </c>
      <c r="F171" s="45">
        <f>F$157</f>
        <v/>
      </c>
      <c r="G171" s="45">
        <f>G$157</f>
        <v/>
      </c>
      <c r="H171" s="45">
        <f>H$157</f>
        <v/>
      </c>
      <c r="I171" s="45">
        <f>I$157</f>
        <v/>
      </c>
      <c r="J171" s="45">
        <f>J$157</f>
        <v/>
      </c>
      <c r="K171" s="45">
        <f>K$157</f>
        <v/>
      </c>
      <c r="L171" s="45">
        <f>L$157</f>
        <v/>
      </c>
      <c r="M171" s="45">
        <f>M$157</f>
        <v/>
      </c>
      <c r="N171" s="45">
        <f>N$157</f>
        <v/>
      </c>
      <c r="O171" s="45">
        <f>O$157</f>
        <v/>
      </c>
      <c r="P171" s="45">
        <f>P$157</f>
        <v/>
      </c>
      <c r="Q171" s="45">
        <f>Q$157</f>
        <v/>
      </c>
      <c r="R171" s="45">
        <f>R$157</f>
        <v/>
      </c>
      <c r="S171" s="45">
        <f>S$157</f>
        <v/>
      </c>
      <c r="T171" s="45">
        <f>T$157</f>
        <v/>
      </c>
      <c r="U171" s="45">
        <f>U$157</f>
        <v/>
      </c>
      <c r="V171" s="45">
        <f>V$157</f>
        <v/>
      </c>
      <c r="W171" s="45">
        <f>W$157</f>
        <v/>
      </c>
      <c r="X171" s="45">
        <f>X$157</f>
        <v/>
      </c>
      <c r="Y171" s="45">
        <f>Y$157</f>
        <v/>
      </c>
      <c r="Z171" s="45">
        <f>Z$157</f>
        <v/>
      </c>
      <c r="AA171" s="45">
        <f>AA$157</f>
        <v/>
      </c>
      <c r="AB171" s="45">
        <f>AB$157</f>
        <v/>
      </c>
      <c r="AC171" s="45">
        <f>AC$157</f>
        <v/>
      </c>
      <c r="AD171" s="45">
        <f>AD$157</f>
        <v/>
      </c>
      <c r="AE171" s="45">
        <f>AE$157</f>
        <v/>
      </c>
      <c r="AF171" s="45">
        <f>AF$157</f>
        <v/>
      </c>
      <c r="AG171" s="45">
        <f>AG$157</f>
        <v/>
      </c>
      <c r="AH171" s="45">
        <f>AH$157</f>
        <v/>
      </c>
      <c r="AI171" s="45">
        <f>AI$157</f>
        <v/>
      </c>
      <c r="AJ171" s="45">
        <f>AJ$157</f>
        <v/>
      </c>
      <c r="AK171" s="45">
        <f>AK$157</f>
        <v/>
      </c>
      <c r="AL171" s="45">
        <f>AL$157</f>
        <v/>
      </c>
      <c r="AM171" s="45">
        <f>AM$157</f>
        <v/>
      </c>
      <c r="AN171" s="45">
        <f>AN$157</f>
        <v/>
      </c>
      <c r="AO171" s="45">
        <f>AO$157</f>
        <v/>
      </c>
      <c r="AP171" s="45">
        <f>AP$157</f>
        <v/>
      </c>
      <c r="AQ171" s="45">
        <f>AQ$157</f>
        <v/>
      </c>
      <c r="AR171" s="45">
        <f>AR$157</f>
        <v/>
      </c>
      <c r="AS171" s="45">
        <f>AS$157</f>
        <v/>
      </c>
      <c r="AT171" s="45">
        <f>AT$157</f>
        <v/>
      </c>
      <c r="AU171" s="45">
        <f>AU$157</f>
        <v/>
      </c>
      <c r="AV171" s="45">
        <f>AV$157</f>
        <v/>
      </c>
      <c r="AW171" s="45">
        <f>AW$157</f>
        <v/>
      </c>
      <c r="AX171" s="45">
        <f>AX$157</f>
        <v/>
      </c>
      <c r="AY171" s="45">
        <f>AY$157</f>
        <v/>
      </c>
      <c r="AZ171" s="45">
        <f>AZ$157</f>
        <v/>
      </c>
      <c r="BA171" s="45">
        <f>BA$157</f>
        <v/>
      </c>
      <c r="BB171" s="45">
        <f>BB$157</f>
        <v/>
      </c>
      <c r="BC171" s="45">
        <f>BC$157</f>
        <v/>
      </c>
      <c r="BD171" s="45">
        <f>BD$157</f>
        <v/>
      </c>
    </row>
    <row r="172">
      <c r="A172" s="28" t="inlineStr">
        <is>
          <t xml:space="preserve">  room left</t>
        </is>
      </c>
      <c r="E172" s="45">
        <f>E$157-E169</f>
        <v/>
      </c>
      <c r="F172" s="45">
        <f>F$157-F169</f>
        <v/>
      </c>
      <c r="G172" s="45">
        <f>G$157-G169</f>
        <v/>
      </c>
      <c r="H172" s="45">
        <f>H$157-H169</f>
        <v/>
      </c>
      <c r="I172" s="45">
        <f>I$157-I169</f>
        <v/>
      </c>
      <c r="J172" s="45">
        <f>J$157-J169</f>
        <v/>
      </c>
      <c r="K172" s="45">
        <f>K$157-K169</f>
        <v/>
      </c>
      <c r="L172" s="45">
        <f>L$157-L169</f>
        <v/>
      </c>
      <c r="M172" s="45">
        <f>M$157-M169</f>
        <v/>
      </c>
      <c r="N172" s="45">
        <f>N$157-N169</f>
        <v/>
      </c>
      <c r="O172" s="45">
        <f>O$157-O169</f>
        <v/>
      </c>
      <c r="P172" s="45">
        <f>P$157-P169</f>
        <v/>
      </c>
      <c r="Q172" s="45">
        <f>Q$157-Q169</f>
        <v/>
      </c>
      <c r="R172" s="45">
        <f>R$157-R169</f>
        <v/>
      </c>
      <c r="S172" s="45">
        <f>S$157-S169</f>
        <v/>
      </c>
      <c r="T172" s="45">
        <f>T$157-T169</f>
        <v/>
      </c>
      <c r="U172" s="45">
        <f>U$157-U169</f>
        <v/>
      </c>
      <c r="V172" s="45">
        <f>V$157-V169</f>
        <v/>
      </c>
      <c r="W172" s="45">
        <f>W$157-W169</f>
        <v/>
      </c>
      <c r="X172" s="45">
        <f>X$157-X169</f>
        <v/>
      </c>
      <c r="Y172" s="45">
        <f>Y$157-Y169</f>
        <v/>
      </c>
      <c r="Z172" s="45">
        <f>Z$157-Z169</f>
        <v/>
      </c>
      <c r="AA172" s="45">
        <f>AA$157-AA169</f>
        <v/>
      </c>
      <c r="AB172" s="45">
        <f>AB$157-AB169</f>
        <v/>
      </c>
      <c r="AC172" s="45">
        <f>AC$157-AC169</f>
        <v/>
      </c>
      <c r="AD172" s="45">
        <f>AD$157-AD169</f>
        <v/>
      </c>
      <c r="AE172" s="45">
        <f>AE$157-AE169</f>
        <v/>
      </c>
      <c r="AF172" s="45">
        <f>AF$157-AF169</f>
        <v/>
      </c>
      <c r="AG172" s="45">
        <f>AG$157-AG169</f>
        <v/>
      </c>
      <c r="AH172" s="45">
        <f>AH$157-AH169</f>
        <v/>
      </c>
      <c r="AI172" s="45">
        <f>AI$157-AI169</f>
        <v/>
      </c>
      <c r="AJ172" s="45">
        <f>AJ$157-AJ169</f>
        <v/>
      </c>
      <c r="AK172" s="45">
        <f>AK$157-AK169</f>
        <v/>
      </c>
      <c r="AL172" s="45">
        <f>AL$157-AL169</f>
        <v/>
      </c>
      <c r="AM172" s="45">
        <f>AM$157-AM169</f>
        <v/>
      </c>
      <c r="AN172" s="45">
        <f>AN$157-AN169</f>
        <v/>
      </c>
      <c r="AO172" s="45">
        <f>AO$157-AO169</f>
        <v/>
      </c>
      <c r="AP172" s="45">
        <f>AP$157-AP169</f>
        <v/>
      </c>
      <c r="AQ172" s="45">
        <f>AQ$157-AQ169</f>
        <v/>
      </c>
      <c r="AR172" s="45">
        <f>AR$157-AR169</f>
        <v/>
      </c>
      <c r="AS172" s="45">
        <f>AS$157-AS169</f>
        <v/>
      </c>
      <c r="AT172" s="45">
        <f>AT$157-AT169</f>
        <v/>
      </c>
      <c r="AU172" s="45">
        <f>AU$157-AU169</f>
        <v/>
      </c>
      <c r="AV172" s="45">
        <f>AV$157-AV169</f>
        <v/>
      </c>
      <c r="AW172" s="45">
        <f>AW$157-AW169</f>
        <v/>
      </c>
      <c r="AX172" s="45">
        <f>AX$157-AX169</f>
        <v/>
      </c>
      <c r="AY172" s="45">
        <f>AY$157-AY169</f>
        <v/>
      </c>
      <c r="AZ172" s="45">
        <f>AZ$157-AZ169</f>
        <v/>
      </c>
      <c r="BA172" s="45">
        <f>BA$157-BA169</f>
        <v/>
      </c>
      <c r="BB172" s="45">
        <f>BB$157-BB169</f>
        <v/>
      </c>
      <c r="BC172" s="45">
        <f>BC$157-BC169</f>
        <v/>
      </c>
      <c r="BD172" s="45">
        <f>BD$157-BD169</f>
        <v/>
      </c>
    </row>
    <row r="173">
      <c r="A173" s="2" t="inlineStr">
        <is>
          <t xml:space="preserve">   Hours the crops need that week, against row 11. The app's C2 — and on this farm it is the constraint that binds hardest, in 8 separate blocks of weeks.</t>
        </is>
      </c>
    </row>
    <row r="176">
      <c r="A176" s="30" t="inlineStr">
        <is>
          <t>Week</t>
        </is>
      </c>
      <c r="B176" s="38" t="inlineStr">
        <is>
          <t>hours</t>
        </is>
      </c>
      <c r="E176" s="31" t="n">
        <v>1</v>
      </c>
      <c r="F176" s="31" t="n">
        <v>2</v>
      </c>
      <c r="G176" s="31" t="n">
        <v>3</v>
      </c>
      <c r="H176" s="31" t="n">
        <v>4</v>
      </c>
      <c r="I176" s="31" t="n">
        <v>5</v>
      </c>
      <c r="J176" s="31" t="n">
        <v>6</v>
      </c>
      <c r="K176" s="31" t="n">
        <v>7</v>
      </c>
      <c r="L176" s="31" t="n">
        <v>8</v>
      </c>
      <c r="M176" s="31" t="n">
        <v>9</v>
      </c>
      <c r="N176" s="31" t="n">
        <v>10</v>
      </c>
      <c r="O176" s="31" t="n">
        <v>11</v>
      </c>
      <c r="P176" s="31" t="n">
        <v>12</v>
      </c>
      <c r="Q176" s="31" t="n">
        <v>13</v>
      </c>
      <c r="R176" s="31" t="n">
        <v>14</v>
      </c>
      <c r="S176" s="31" t="n">
        <v>15</v>
      </c>
      <c r="T176" s="31" t="n">
        <v>16</v>
      </c>
      <c r="U176" s="31" t="n">
        <v>17</v>
      </c>
      <c r="V176" s="31" t="n">
        <v>18</v>
      </c>
      <c r="W176" s="31" t="n">
        <v>19</v>
      </c>
      <c r="X176" s="31" t="n">
        <v>20</v>
      </c>
      <c r="Y176" s="31" t="n">
        <v>21</v>
      </c>
      <c r="Z176" s="31" t="n">
        <v>22</v>
      </c>
      <c r="AA176" s="31" t="n">
        <v>23</v>
      </c>
      <c r="AB176" s="31" t="n">
        <v>24</v>
      </c>
      <c r="AC176" s="31" t="n">
        <v>25</v>
      </c>
      <c r="AD176" s="31" t="n">
        <v>26</v>
      </c>
      <c r="AE176" s="31" t="n">
        <v>27</v>
      </c>
      <c r="AF176" s="31" t="n">
        <v>28</v>
      </c>
      <c r="AG176" s="31" t="n">
        <v>29</v>
      </c>
      <c r="AH176" s="31" t="n">
        <v>30</v>
      </c>
      <c r="AI176" s="31" t="n">
        <v>31</v>
      </c>
      <c r="AJ176" s="31" t="n">
        <v>32</v>
      </c>
      <c r="AK176" s="31" t="n">
        <v>33</v>
      </c>
      <c r="AL176" s="31" t="n">
        <v>34</v>
      </c>
      <c r="AM176" s="31" t="n">
        <v>35</v>
      </c>
      <c r="AN176" s="31" t="n">
        <v>36</v>
      </c>
      <c r="AO176" s="31" t="n">
        <v>37</v>
      </c>
      <c r="AP176" s="31" t="n">
        <v>38</v>
      </c>
      <c r="AQ176" s="31" t="n">
        <v>39</v>
      </c>
      <c r="AR176" s="31" t="n">
        <v>40</v>
      </c>
      <c r="AS176" s="31" t="n">
        <v>41</v>
      </c>
      <c r="AT176" s="31" t="n">
        <v>42</v>
      </c>
      <c r="AU176" s="31" t="n">
        <v>43</v>
      </c>
      <c r="AV176" s="31" t="n">
        <v>44</v>
      </c>
      <c r="AW176" s="31" t="n">
        <v>45</v>
      </c>
      <c r="AX176" s="31" t="n">
        <v>46</v>
      </c>
      <c r="AY176" s="31" t="n">
        <v>47</v>
      </c>
      <c r="AZ176" s="31" t="n">
        <v>48</v>
      </c>
      <c r="BA176" s="31" t="n">
        <v>49</v>
      </c>
      <c r="BB176" s="31" t="n">
        <v>50</v>
      </c>
      <c r="BC176" s="31" t="n">
        <v>51</v>
      </c>
      <c r="BD176" s="31" t="n">
        <v>52</v>
      </c>
    </row>
    <row r="177">
      <c r="A177" s="39" t="inlineStr">
        <is>
          <t>OVERTIME bought</t>
        </is>
      </c>
      <c r="B177" s="2" t="inlineStr">
        <is>
          <t>used</t>
        </is>
      </c>
      <c r="E177" s="45">
        <f>E155</f>
        <v/>
      </c>
      <c r="F177" s="45">
        <f>F155</f>
        <v/>
      </c>
      <c r="G177" s="45">
        <f>G155</f>
        <v/>
      </c>
      <c r="H177" s="45">
        <f>H155</f>
        <v/>
      </c>
      <c r="I177" s="45">
        <f>I155</f>
        <v/>
      </c>
      <c r="J177" s="45">
        <f>J155</f>
        <v/>
      </c>
      <c r="K177" s="45">
        <f>K155</f>
        <v/>
      </c>
      <c r="L177" s="45">
        <f>L155</f>
        <v/>
      </c>
      <c r="M177" s="45">
        <f>M155</f>
        <v/>
      </c>
      <c r="N177" s="45">
        <f>N155</f>
        <v/>
      </c>
      <c r="O177" s="45">
        <f>O155</f>
        <v/>
      </c>
      <c r="P177" s="45">
        <f>P155</f>
        <v/>
      </c>
      <c r="Q177" s="45">
        <f>Q155</f>
        <v/>
      </c>
      <c r="R177" s="45">
        <f>R155</f>
        <v/>
      </c>
      <c r="S177" s="45">
        <f>S155</f>
        <v/>
      </c>
      <c r="T177" s="45">
        <f>T155</f>
        <v/>
      </c>
      <c r="U177" s="45">
        <f>U155</f>
        <v/>
      </c>
      <c r="V177" s="45">
        <f>V155</f>
        <v/>
      </c>
      <c r="W177" s="45">
        <f>W155</f>
        <v/>
      </c>
      <c r="X177" s="45">
        <f>X155</f>
        <v/>
      </c>
      <c r="Y177" s="45">
        <f>Y155</f>
        <v/>
      </c>
      <c r="Z177" s="45">
        <f>Z155</f>
        <v/>
      </c>
      <c r="AA177" s="45">
        <f>AA155</f>
        <v/>
      </c>
      <c r="AB177" s="45">
        <f>AB155</f>
        <v/>
      </c>
      <c r="AC177" s="45">
        <f>AC155</f>
        <v/>
      </c>
      <c r="AD177" s="45">
        <f>AD155</f>
        <v/>
      </c>
      <c r="AE177" s="45">
        <f>AE155</f>
        <v/>
      </c>
      <c r="AF177" s="45">
        <f>AF155</f>
        <v/>
      </c>
      <c r="AG177" s="45">
        <f>AG155</f>
        <v/>
      </c>
      <c r="AH177" s="45">
        <f>AH155</f>
        <v/>
      </c>
      <c r="AI177" s="45">
        <f>AI155</f>
        <v/>
      </c>
      <c r="AJ177" s="45">
        <f>AJ155</f>
        <v/>
      </c>
      <c r="AK177" s="45">
        <f>AK155</f>
        <v/>
      </c>
      <c r="AL177" s="45">
        <f>AL155</f>
        <v/>
      </c>
      <c r="AM177" s="45">
        <f>AM155</f>
        <v/>
      </c>
      <c r="AN177" s="45">
        <f>AN155</f>
        <v/>
      </c>
      <c r="AO177" s="45">
        <f>AO155</f>
        <v/>
      </c>
      <c r="AP177" s="45">
        <f>AP155</f>
        <v/>
      </c>
      <c r="AQ177" s="45">
        <f>AQ155</f>
        <v/>
      </c>
      <c r="AR177" s="45">
        <f>AR155</f>
        <v/>
      </c>
      <c r="AS177" s="45">
        <f>AS155</f>
        <v/>
      </c>
      <c r="AT177" s="45">
        <f>AT155</f>
        <v/>
      </c>
      <c r="AU177" s="45">
        <f>AU155</f>
        <v/>
      </c>
      <c r="AV177" s="45">
        <f>AV155</f>
        <v/>
      </c>
      <c r="AW177" s="45">
        <f>AW155</f>
        <v/>
      </c>
      <c r="AX177" s="45">
        <f>AX155</f>
        <v/>
      </c>
      <c r="AY177" s="45">
        <f>AY155</f>
        <v/>
      </c>
      <c r="AZ177" s="45">
        <f>AZ155</f>
        <v/>
      </c>
      <c r="BA177" s="45">
        <f>BA155</f>
        <v/>
      </c>
      <c r="BB177" s="45">
        <f>BB155</f>
        <v/>
      </c>
      <c r="BC177" s="45">
        <f>BC155</f>
        <v/>
      </c>
      <c r="BD177" s="45">
        <f>BD155</f>
        <v/>
      </c>
    </row>
    <row r="178">
      <c r="A178" s="4" t="inlineStr"/>
      <c r="E178" s="41" t="inlineStr">
        <is>
          <t>&lt;=</t>
        </is>
      </c>
      <c r="F178" s="41" t="inlineStr">
        <is>
          <t>&lt;=</t>
        </is>
      </c>
      <c r="G178" s="41" t="inlineStr">
        <is>
          <t>&lt;=</t>
        </is>
      </c>
      <c r="H178" s="41" t="inlineStr">
        <is>
          <t>&lt;=</t>
        </is>
      </c>
      <c r="I178" s="41" t="inlineStr">
        <is>
          <t>&lt;=</t>
        </is>
      </c>
      <c r="J178" s="41" t="inlineStr">
        <is>
          <t>&lt;=</t>
        </is>
      </c>
      <c r="K178" s="41" t="inlineStr">
        <is>
          <t>&lt;=</t>
        </is>
      </c>
      <c r="L178" s="41" t="inlineStr">
        <is>
          <t>&lt;=</t>
        </is>
      </c>
      <c r="M178" s="41" t="inlineStr">
        <is>
          <t>&lt;=</t>
        </is>
      </c>
      <c r="N178" s="41" t="inlineStr">
        <is>
          <t>&lt;=</t>
        </is>
      </c>
      <c r="O178" s="41" t="inlineStr">
        <is>
          <t>&lt;=</t>
        </is>
      </c>
      <c r="P178" s="41" t="inlineStr">
        <is>
          <t>&lt;=</t>
        </is>
      </c>
      <c r="Q178" s="41" t="inlineStr">
        <is>
          <t>&lt;=</t>
        </is>
      </c>
      <c r="R178" s="41" t="inlineStr">
        <is>
          <t>&lt;=</t>
        </is>
      </c>
      <c r="S178" s="41" t="inlineStr">
        <is>
          <t>&lt;=</t>
        </is>
      </c>
      <c r="T178" s="41" t="inlineStr">
        <is>
          <t>&lt;=</t>
        </is>
      </c>
      <c r="U178" s="41" t="inlineStr">
        <is>
          <t>&lt;=</t>
        </is>
      </c>
      <c r="V178" s="41" t="inlineStr">
        <is>
          <t>&lt;=</t>
        </is>
      </c>
      <c r="W178" s="41" t="inlineStr">
        <is>
          <t>&lt;=</t>
        </is>
      </c>
      <c r="X178" s="41" t="inlineStr">
        <is>
          <t>&lt;=</t>
        </is>
      </c>
      <c r="Y178" s="41" t="inlineStr">
        <is>
          <t>&lt;=</t>
        </is>
      </c>
      <c r="Z178" s="41" t="inlineStr">
        <is>
          <t>&lt;=</t>
        </is>
      </c>
      <c r="AA178" s="41" t="inlineStr">
        <is>
          <t>&lt;=</t>
        </is>
      </c>
      <c r="AB178" s="41" t="inlineStr">
        <is>
          <t>&lt;=</t>
        </is>
      </c>
      <c r="AC178" s="41" t="inlineStr">
        <is>
          <t>&lt;=</t>
        </is>
      </c>
      <c r="AD178" s="41" t="inlineStr">
        <is>
          <t>&lt;=</t>
        </is>
      </c>
      <c r="AE178" s="41" t="inlineStr">
        <is>
          <t>&lt;=</t>
        </is>
      </c>
      <c r="AF178" s="41" t="inlineStr">
        <is>
          <t>&lt;=</t>
        </is>
      </c>
      <c r="AG178" s="41" t="inlineStr">
        <is>
          <t>&lt;=</t>
        </is>
      </c>
      <c r="AH178" s="41" t="inlineStr">
        <is>
          <t>&lt;=</t>
        </is>
      </c>
      <c r="AI178" s="41" t="inlineStr">
        <is>
          <t>&lt;=</t>
        </is>
      </c>
      <c r="AJ178" s="41" t="inlineStr">
        <is>
          <t>&lt;=</t>
        </is>
      </c>
      <c r="AK178" s="41" t="inlineStr">
        <is>
          <t>&lt;=</t>
        </is>
      </c>
      <c r="AL178" s="41" t="inlineStr">
        <is>
          <t>&lt;=</t>
        </is>
      </c>
      <c r="AM178" s="41" t="inlineStr">
        <is>
          <t>&lt;=</t>
        </is>
      </c>
      <c r="AN178" s="41" t="inlineStr">
        <is>
          <t>&lt;=</t>
        </is>
      </c>
      <c r="AO178" s="41" t="inlineStr">
        <is>
          <t>&lt;=</t>
        </is>
      </c>
      <c r="AP178" s="41" t="inlineStr">
        <is>
          <t>&lt;=</t>
        </is>
      </c>
      <c r="AQ178" s="41" t="inlineStr">
        <is>
          <t>&lt;=</t>
        </is>
      </c>
      <c r="AR178" s="41" t="inlineStr">
        <is>
          <t>&lt;=</t>
        </is>
      </c>
      <c r="AS178" s="41" t="inlineStr">
        <is>
          <t>&lt;=</t>
        </is>
      </c>
      <c r="AT178" s="41" t="inlineStr">
        <is>
          <t>&lt;=</t>
        </is>
      </c>
      <c r="AU178" s="41" t="inlineStr">
        <is>
          <t>&lt;=</t>
        </is>
      </c>
      <c r="AV178" s="41" t="inlineStr">
        <is>
          <t>&lt;=</t>
        </is>
      </c>
      <c r="AW178" s="41" t="inlineStr">
        <is>
          <t>&lt;=</t>
        </is>
      </c>
      <c r="AX178" s="41" t="inlineStr">
        <is>
          <t>&lt;=</t>
        </is>
      </c>
      <c r="AY178" s="41" t="inlineStr">
        <is>
          <t>&lt;=</t>
        </is>
      </c>
      <c r="AZ178" s="41" t="inlineStr">
        <is>
          <t>&lt;=</t>
        </is>
      </c>
      <c r="BA178" s="41" t="inlineStr">
        <is>
          <t>&lt;=</t>
        </is>
      </c>
      <c r="BB178" s="41" t="inlineStr">
        <is>
          <t>&lt;=</t>
        </is>
      </c>
      <c r="BC178" s="41" t="inlineStr">
        <is>
          <t>&lt;=</t>
        </is>
      </c>
      <c r="BD178" s="41" t="inlineStr">
        <is>
          <t>&lt;=</t>
        </is>
      </c>
    </row>
    <row r="179">
      <c r="A179" s="39" t="inlineStr">
        <is>
          <t xml:space="preserve">  limit</t>
        </is>
      </c>
      <c r="B179" s="2" t="inlineStr">
        <is>
          <t>cap</t>
        </is>
      </c>
      <c r="E179" s="45">
        <f>E$151</f>
        <v/>
      </c>
      <c r="F179" s="45">
        <f>F$151</f>
        <v/>
      </c>
      <c r="G179" s="45">
        <f>G$151</f>
        <v/>
      </c>
      <c r="H179" s="45">
        <f>H$151</f>
        <v/>
      </c>
      <c r="I179" s="45">
        <f>I$151</f>
        <v/>
      </c>
      <c r="J179" s="45">
        <f>J$151</f>
        <v/>
      </c>
      <c r="K179" s="45">
        <f>K$151</f>
        <v/>
      </c>
      <c r="L179" s="45">
        <f>L$151</f>
        <v/>
      </c>
      <c r="M179" s="45">
        <f>M$151</f>
        <v/>
      </c>
      <c r="N179" s="45">
        <f>N$151</f>
        <v/>
      </c>
      <c r="O179" s="45">
        <f>O$151</f>
        <v/>
      </c>
      <c r="P179" s="45">
        <f>P$151</f>
        <v/>
      </c>
      <c r="Q179" s="45">
        <f>Q$151</f>
        <v/>
      </c>
      <c r="R179" s="45">
        <f>R$151</f>
        <v/>
      </c>
      <c r="S179" s="45">
        <f>S$151</f>
        <v/>
      </c>
      <c r="T179" s="45">
        <f>T$151</f>
        <v/>
      </c>
      <c r="U179" s="45">
        <f>U$151</f>
        <v/>
      </c>
      <c r="V179" s="45">
        <f>V$151</f>
        <v/>
      </c>
      <c r="W179" s="45">
        <f>W$151</f>
        <v/>
      </c>
      <c r="X179" s="45">
        <f>X$151</f>
        <v/>
      </c>
      <c r="Y179" s="45">
        <f>Y$151</f>
        <v/>
      </c>
      <c r="Z179" s="45">
        <f>Z$151</f>
        <v/>
      </c>
      <c r="AA179" s="45">
        <f>AA$151</f>
        <v/>
      </c>
      <c r="AB179" s="45">
        <f>AB$151</f>
        <v/>
      </c>
      <c r="AC179" s="45">
        <f>AC$151</f>
        <v/>
      </c>
      <c r="AD179" s="45">
        <f>AD$151</f>
        <v/>
      </c>
      <c r="AE179" s="45">
        <f>AE$151</f>
        <v/>
      </c>
      <c r="AF179" s="45">
        <f>AF$151</f>
        <v/>
      </c>
      <c r="AG179" s="45">
        <f>AG$151</f>
        <v/>
      </c>
      <c r="AH179" s="45">
        <f>AH$151</f>
        <v/>
      </c>
      <c r="AI179" s="45">
        <f>AI$151</f>
        <v/>
      </c>
      <c r="AJ179" s="45">
        <f>AJ$151</f>
        <v/>
      </c>
      <c r="AK179" s="45">
        <f>AK$151</f>
        <v/>
      </c>
      <c r="AL179" s="45">
        <f>AL$151</f>
        <v/>
      </c>
      <c r="AM179" s="45">
        <f>AM$151</f>
        <v/>
      </c>
      <c r="AN179" s="45">
        <f>AN$151</f>
        <v/>
      </c>
      <c r="AO179" s="45">
        <f>AO$151</f>
        <v/>
      </c>
      <c r="AP179" s="45">
        <f>AP$151</f>
        <v/>
      </c>
      <c r="AQ179" s="45">
        <f>AQ$151</f>
        <v/>
      </c>
      <c r="AR179" s="45">
        <f>AR$151</f>
        <v/>
      </c>
      <c r="AS179" s="45">
        <f>AS$151</f>
        <v/>
      </c>
      <c r="AT179" s="45">
        <f>AT$151</f>
        <v/>
      </c>
      <c r="AU179" s="45">
        <f>AU$151</f>
        <v/>
      </c>
      <c r="AV179" s="45">
        <f>AV$151</f>
        <v/>
      </c>
      <c r="AW179" s="45">
        <f>AW$151</f>
        <v/>
      </c>
      <c r="AX179" s="45">
        <f>AX$151</f>
        <v/>
      </c>
      <c r="AY179" s="45">
        <f>AY$151</f>
        <v/>
      </c>
      <c r="AZ179" s="45">
        <f>AZ$151</f>
        <v/>
      </c>
      <c r="BA179" s="45">
        <f>BA$151</f>
        <v/>
      </c>
      <c r="BB179" s="45">
        <f>BB$151</f>
        <v/>
      </c>
      <c r="BC179" s="45">
        <f>BC$151</f>
        <v/>
      </c>
      <c r="BD179" s="45">
        <f>BD$151</f>
        <v/>
      </c>
    </row>
    <row r="180">
      <c r="A180" s="28" t="inlineStr">
        <is>
          <t xml:space="preserve">  room left</t>
        </is>
      </c>
      <c r="E180" s="45">
        <f>E$151-E177</f>
        <v/>
      </c>
      <c r="F180" s="45">
        <f>F$151-F177</f>
        <v/>
      </c>
      <c r="G180" s="45">
        <f>G$151-G177</f>
        <v/>
      </c>
      <c r="H180" s="45">
        <f>H$151-H177</f>
        <v/>
      </c>
      <c r="I180" s="45">
        <f>I$151-I177</f>
        <v/>
      </c>
      <c r="J180" s="45">
        <f>J$151-J177</f>
        <v/>
      </c>
      <c r="K180" s="45">
        <f>K$151-K177</f>
        <v/>
      </c>
      <c r="L180" s="45">
        <f>L$151-L177</f>
        <v/>
      </c>
      <c r="M180" s="45">
        <f>M$151-M177</f>
        <v/>
      </c>
      <c r="N180" s="45">
        <f>N$151-N177</f>
        <v/>
      </c>
      <c r="O180" s="45">
        <f>O$151-O177</f>
        <v/>
      </c>
      <c r="P180" s="45">
        <f>P$151-P177</f>
        <v/>
      </c>
      <c r="Q180" s="45">
        <f>Q$151-Q177</f>
        <v/>
      </c>
      <c r="R180" s="45">
        <f>R$151-R177</f>
        <v/>
      </c>
      <c r="S180" s="45">
        <f>S$151-S177</f>
        <v/>
      </c>
      <c r="T180" s="45">
        <f>T$151-T177</f>
        <v/>
      </c>
      <c r="U180" s="45">
        <f>U$151-U177</f>
        <v/>
      </c>
      <c r="V180" s="45">
        <f>V$151-V177</f>
        <v/>
      </c>
      <c r="W180" s="45">
        <f>W$151-W177</f>
        <v/>
      </c>
      <c r="X180" s="45">
        <f>X$151-X177</f>
        <v/>
      </c>
      <c r="Y180" s="45">
        <f>Y$151-Y177</f>
        <v/>
      </c>
      <c r="Z180" s="45">
        <f>Z$151-Z177</f>
        <v/>
      </c>
      <c r="AA180" s="45">
        <f>AA$151-AA177</f>
        <v/>
      </c>
      <c r="AB180" s="45">
        <f>AB$151-AB177</f>
        <v/>
      </c>
      <c r="AC180" s="45">
        <f>AC$151-AC177</f>
        <v/>
      </c>
      <c r="AD180" s="45">
        <f>AD$151-AD177</f>
        <v/>
      </c>
      <c r="AE180" s="45">
        <f>AE$151-AE177</f>
        <v/>
      </c>
      <c r="AF180" s="45">
        <f>AF$151-AF177</f>
        <v/>
      </c>
      <c r="AG180" s="45">
        <f>AG$151-AG177</f>
        <v/>
      </c>
      <c r="AH180" s="45">
        <f>AH$151-AH177</f>
        <v/>
      </c>
      <c r="AI180" s="45">
        <f>AI$151-AI177</f>
        <v/>
      </c>
      <c r="AJ180" s="45">
        <f>AJ$151-AJ177</f>
        <v/>
      </c>
      <c r="AK180" s="45">
        <f>AK$151-AK177</f>
        <v/>
      </c>
      <c r="AL180" s="45">
        <f>AL$151-AL177</f>
        <v/>
      </c>
      <c r="AM180" s="45">
        <f>AM$151-AM177</f>
        <v/>
      </c>
      <c r="AN180" s="45">
        <f>AN$151-AN177</f>
        <v/>
      </c>
      <c r="AO180" s="45">
        <f>AO$151-AO177</f>
        <v/>
      </c>
      <c r="AP180" s="45">
        <f>AP$151-AP177</f>
        <v/>
      </c>
      <c r="AQ180" s="45">
        <f>AQ$151-AQ177</f>
        <v/>
      </c>
      <c r="AR180" s="45">
        <f>AR$151-AR177</f>
        <v/>
      </c>
      <c r="AS180" s="45">
        <f>AS$151-AS177</f>
        <v/>
      </c>
      <c r="AT180" s="45">
        <f>AT$151-AT177</f>
        <v/>
      </c>
      <c r="AU180" s="45">
        <f>AU$151-AU177</f>
        <v/>
      </c>
      <c r="AV180" s="45">
        <f>AV$151-AV177</f>
        <v/>
      </c>
      <c r="AW180" s="45">
        <f>AW$151-AW177</f>
        <v/>
      </c>
      <c r="AX180" s="45">
        <f>AX$151-AX177</f>
        <v/>
      </c>
      <c r="AY180" s="45">
        <f>AY$151-AY177</f>
        <v/>
      </c>
      <c r="AZ180" s="45">
        <f>AZ$151-AZ177</f>
        <v/>
      </c>
      <c r="BA180" s="45">
        <f>BA$151-BA177</f>
        <v/>
      </c>
      <c r="BB180" s="45">
        <f>BB$151-BB177</f>
        <v/>
      </c>
      <c r="BC180" s="45">
        <f>BC$151-BC177</f>
        <v/>
      </c>
      <c r="BD180" s="45">
        <f>BD$151-BD177</f>
        <v/>
      </c>
    </row>
    <row r="181">
      <c r="A181" s="2" t="inlineStr">
        <is>
          <t xml:space="preserve">   Row 9 against row 8. The limit MOVES WITH THE CREW — that is the whole of L2.</t>
        </is>
      </c>
    </row>
    <row r="183">
      <c r="A183" s="3" t="inlineStr">
        <is>
          <t>SPINACH  —  cold store</t>
        </is>
      </c>
      <c r="B183" s="46" t="inlineStr"/>
    </row>
    <row r="184">
      <c r="A184" s="30" t="inlineStr">
        <is>
          <t>Week</t>
        </is>
      </c>
      <c r="B184" s="38" t="inlineStr"/>
      <c r="E184" s="31" t="n">
        <v>1</v>
      </c>
      <c r="F184" s="31" t="n">
        <v>2</v>
      </c>
      <c r="G184" s="31" t="n">
        <v>3</v>
      </c>
      <c r="H184" s="31" t="n">
        <v>4</v>
      </c>
      <c r="I184" s="31" t="n">
        <v>5</v>
      </c>
      <c r="J184" s="31" t="n">
        <v>6</v>
      </c>
      <c r="K184" s="31" t="n">
        <v>7</v>
      </c>
      <c r="L184" s="31" t="n">
        <v>8</v>
      </c>
      <c r="M184" s="31" t="n">
        <v>9</v>
      </c>
      <c r="N184" s="31" t="n">
        <v>10</v>
      </c>
      <c r="O184" s="31" t="n">
        <v>11</v>
      </c>
      <c r="P184" s="31" t="n">
        <v>12</v>
      </c>
      <c r="Q184" s="31" t="n">
        <v>13</v>
      </c>
      <c r="R184" s="31" t="n">
        <v>14</v>
      </c>
      <c r="S184" s="31" t="n">
        <v>15</v>
      </c>
      <c r="T184" s="31" t="n">
        <v>16</v>
      </c>
      <c r="U184" s="31" t="n">
        <v>17</v>
      </c>
      <c r="V184" s="31" t="n">
        <v>18</v>
      </c>
      <c r="W184" s="31" t="n">
        <v>19</v>
      </c>
      <c r="X184" s="31" t="n">
        <v>20</v>
      </c>
      <c r="Y184" s="31" t="n">
        <v>21</v>
      </c>
      <c r="Z184" s="31" t="n">
        <v>22</v>
      </c>
      <c r="AA184" s="31" t="n">
        <v>23</v>
      </c>
      <c r="AB184" s="31" t="n">
        <v>24</v>
      </c>
      <c r="AC184" s="31" t="n">
        <v>25</v>
      </c>
      <c r="AD184" s="31" t="n">
        <v>26</v>
      </c>
      <c r="AE184" s="31" t="n">
        <v>27</v>
      </c>
      <c r="AF184" s="31" t="n">
        <v>28</v>
      </c>
      <c r="AG184" s="31" t="n">
        <v>29</v>
      </c>
      <c r="AH184" s="31" t="n">
        <v>30</v>
      </c>
      <c r="AI184" s="31" t="n">
        <v>31</v>
      </c>
      <c r="AJ184" s="31" t="n">
        <v>32</v>
      </c>
      <c r="AK184" s="31" t="n">
        <v>33</v>
      </c>
      <c r="AL184" s="31" t="n">
        <v>34</v>
      </c>
      <c r="AM184" s="31" t="n">
        <v>35</v>
      </c>
      <c r="AN184" s="31" t="n">
        <v>36</v>
      </c>
      <c r="AO184" s="31" t="n">
        <v>37</v>
      </c>
      <c r="AP184" s="31" t="n">
        <v>38</v>
      </c>
      <c r="AQ184" s="31" t="n">
        <v>39</v>
      </c>
      <c r="AR184" s="31" t="n">
        <v>40</v>
      </c>
      <c r="AS184" s="31" t="n">
        <v>41</v>
      </c>
      <c r="AT184" s="31" t="n">
        <v>42</v>
      </c>
      <c r="AU184" s="31" t="n">
        <v>43</v>
      </c>
      <c r="AV184" s="31" t="n">
        <v>44</v>
      </c>
      <c r="AW184" s="31" t="n">
        <v>45</v>
      </c>
      <c r="AX184" s="31" t="n">
        <v>46</v>
      </c>
      <c r="AY184" s="31" t="n">
        <v>47</v>
      </c>
      <c r="AZ184" s="31" t="n">
        <v>48</v>
      </c>
      <c r="BA184" s="31" t="n">
        <v>49</v>
      </c>
      <c r="BB184" s="31" t="n">
        <v>50</v>
      </c>
      <c r="BC184" s="31" t="n">
        <v>51</v>
      </c>
      <c r="BD184" s="31" t="n">
        <v>52</v>
      </c>
    </row>
    <row r="185">
      <c r="A185" s="4" t="inlineStr">
        <is>
          <t>Packed out -&gt; INTO the store</t>
        </is>
      </c>
      <c r="B185" s="2" t="inlineStr">
        <is>
          <t>lb</t>
        </is>
      </c>
      <c r="E185" s="42">
        <f>SUMPRODUCT(($B$58:$B$125="Spinach")*(E$58:E$125="H")*$C$58:$C$125)*$B$12/$J$12*$C$12</f>
        <v/>
      </c>
      <c r="F185" s="42">
        <f>SUMPRODUCT(($B$58:$B$125="Spinach")*(F$58:F$125="H")*$C$58:$C$125)*$B$12/$J$12*$C$12</f>
        <v/>
      </c>
      <c r="G185" s="42">
        <f>SUMPRODUCT(($B$58:$B$125="Spinach")*(G$58:G$125="H")*$C$58:$C$125)*$B$12/$J$12*$C$12</f>
        <v/>
      </c>
      <c r="H185" s="42">
        <f>SUMPRODUCT(($B$58:$B$125="Spinach")*(H$58:H$125="H")*$C$58:$C$125)*$B$12/$J$12*$C$12</f>
        <v/>
      </c>
      <c r="I185" s="42">
        <f>SUMPRODUCT(($B$58:$B$125="Spinach")*(I$58:I$125="H")*$C$58:$C$125)*$B$12/$J$12*$C$12</f>
        <v/>
      </c>
      <c r="J185" s="42">
        <f>SUMPRODUCT(($B$58:$B$125="Spinach")*(J$58:J$125="H")*$C$58:$C$125)*$B$12/$J$12*$C$12</f>
        <v/>
      </c>
      <c r="K185" s="42">
        <f>SUMPRODUCT(($B$58:$B$125="Spinach")*(K$58:K$125="H")*$C$58:$C$125)*$B$12/$J$12*$C$12</f>
        <v/>
      </c>
      <c r="L185" s="42">
        <f>SUMPRODUCT(($B$58:$B$125="Spinach")*(L$58:L$125="H")*$C$58:$C$125)*$B$12/$J$12*$C$12</f>
        <v/>
      </c>
      <c r="M185" s="42">
        <f>SUMPRODUCT(($B$58:$B$125="Spinach")*(M$58:M$125="H")*$C$58:$C$125)*$B$12/$J$12*$C$12</f>
        <v/>
      </c>
      <c r="N185" s="42">
        <f>SUMPRODUCT(($B$58:$B$125="Spinach")*(N$58:N$125="H")*$C$58:$C$125)*$B$12/$J$12*$C$12</f>
        <v/>
      </c>
      <c r="O185" s="42">
        <f>SUMPRODUCT(($B$58:$B$125="Spinach")*(O$58:O$125="H")*$C$58:$C$125)*$B$12/$J$12*$C$12</f>
        <v/>
      </c>
      <c r="P185" s="42">
        <f>SUMPRODUCT(($B$58:$B$125="Spinach")*(P$58:P$125="H")*$C$58:$C$125)*$B$12/$J$12*$C$12</f>
        <v/>
      </c>
      <c r="Q185" s="42">
        <f>SUMPRODUCT(($B$58:$B$125="Spinach")*(Q$58:Q$125="H")*$C$58:$C$125)*$B$12/$J$12*$C$12</f>
        <v/>
      </c>
      <c r="R185" s="42">
        <f>SUMPRODUCT(($B$58:$B$125="Spinach")*(R$58:R$125="H")*$C$58:$C$125)*$B$12/$J$12*$C$12</f>
        <v/>
      </c>
      <c r="S185" s="42">
        <f>SUMPRODUCT(($B$58:$B$125="Spinach")*(S$58:S$125="H")*$C$58:$C$125)*$B$12/$J$12*$C$12</f>
        <v/>
      </c>
      <c r="T185" s="42">
        <f>SUMPRODUCT(($B$58:$B$125="Spinach")*(T$58:T$125="H")*$C$58:$C$125)*$B$12/$J$12*$C$12</f>
        <v/>
      </c>
      <c r="U185" s="42">
        <f>SUMPRODUCT(($B$58:$B$125="Spinach")*(U$58:U$125="H")*$C$58:$C$125)*$B$12/$J$12*$C$12</f>
        <v/>
      </c>
      <c r="V185" s="42">
        <f>SUMPRODUCT(($B$58:$B$125="Spinach")*(V$58:V$125="H")*$C$58:$C$125)*$B$12/$J$12*$C$12</f>
        <v/>
      </c>
      <c r="W185" s="42">
        <f>SUMPRODUCT(($B$58:$B$125="Spinach")*(W$58:W$125="H")*$C$58:$C$125)*$B$12/$J$12*$C$12</f>
        <v/>
      </c>
      <c r="X185" s="42">
        <f>SUMPRODUCT(($B$58:$B$125="Spinach")*(X$58:X$125="H")*$C$58:$C$125)*$B$12/$J$12*$C$12</f>
        <v/>
      </c>
      <c r="Y185" s="42">
        <f>SUMPRODUCT(($B$58:$B$125="Spinach")*(Y$58:Y$125="H")*$C$58:$C$125)*$B$12/$J$12*$C$12</f>
        <v/>
      </c>
      <c r="Z185" s="42">
        <f>SUMPRODUCT(($B$58:$B$125="Spinach")*(Z$58:Z$125="H")*$C$58:$C$125)*$B$12/$J$12*$C$12</f>
        <v/>
      </c>
      <c r="AA185" s="42">
        <f>SUMPRODUCT(($B$58:$B$125="Spinach")*(AA$58:AA$125="H")*$C$58:$C$125)*$B$12/$J$12*$C$12</f>
        <v/>
      </c>
      <c r="AB185" s="42">
        <f>SUMPRODUCT(($B$58:$B$125="Spinach")*(AB$58:AB$125="H")*$C$58:$C$125)*$B$12/$J$12*$C$12</f>
        <v/>
      </c>
      <c r="AC185" s="42">
        <f>SUMPRODUCT(($B$58:$B$125="Spinach")*(AC$58:AC$125="H")*$C$58:$C$125)*$B$12/$J$12*$C$12</f>
        <v/>
      </c>
      <c r="AD185" s="42">
        <f>SUMPRODUCT(($B$58:$B$125="Spinach")*(AD$58:AD$125="H")*$C$58:$C$125)*$B$12/$J$12*$C$12</f>
        <v/>
      </c>
      <c r="AE185" s="42">
        <f>SUMPRODUCT(($B$58:$B$125="Spinach")*(AE$58:AE$125="H")*$C$58:$C$125)*$B$12/$J$12*$C$12</f>
        <v/>
      </c>
      <c r="AF185" s="42">
        <f>SUMPRODUCT(($B$58:$B$125="Spinach")*(AF$58:AF$125="H")*$C$58:$C$125)*$B$12/$J$12*$C$12</f>
        <v/>
      </c>
      <c r="AG185" s="42">
        <f>SUMPRODUCT(($B$58:$B$125="Spinach")*(AG$58:AG$125="H")*$C$58:$C$125)*$B$12/$J$12*$C$12</f>
        <v/>
      </c>
      <c r="AH185" s="42">
        <f>SUMPRODUCT(($B$58:$B$125="Spinach")*(AH$58:AH$125="H")*$C$58:$C$125)*$B$12/$J$12*$C$12</f>
        <v/>
      </c>
      <c r="AI185" s="42">
        <f>SUMPRODUCT(($B$58:$B$125="Spinach")*(AI$58:AI$125="H")*$C$58:$C$125)*$B$12/$J$12*$C$12</f>
        <v/>
      </c>
      <c r="AJ185" s="42">
        <f>SUMPRODUCT(($B$58:$B$125="Spinach")*(AJ$58:AJ$125="H")*$C$58:$C$125)*$B$12/$J$12*$C$12</f>
        <v/>
      </c>
      <c r="AK185" s="42">
        <f>SUMPRODUCT(($B$58:$B$125="Spinach")*(AK$58:AK$125="H")*$C$58:$C$125)*$B$12/$J$12*$C$12</f>
        <v/>
      </c>
      <c r="AL185" s="42">
        <f>SUMPRODUCT(($B$58:$B$125="Spinach")*(AL$58:AL$125="H")*$C$58:$C$125)*$B$12/$J$12*$C$12</f>
        <v/>
      </c>
      <c r="AM185" s="42">
        <f>SUMPRODUCT(($B$58:$B$125="Spinach")*(AM$58:AM$125="H")*$C$58:$C$125)*$B$12/$J$12*$C$12</f>
        <v/>
      </c>
      <c r="AN185" s="42">
        <f>SUMPRODUCT(($B$58:$B$125="Spinach")*(AN$58:AN$125="H")*$C$58:$C$125)*$B$12/$J$12*$C$12</f>
        <v/>
      </c>
      <c r="AO185" s="42">
        <f>SUMPRODUCT(($B$58:$B$125="Spinach")*(AO$58:AO$125="H")*$C$58:$C$125)*$B$12/$J$12*$C$12</f>
        <v/>
      </c>
      <c r="AP185" s="42">
        <f>SUMPRODUCT(($B$58:$B$125="Spinach")*(AP$58:AP$125="H")*$C$58:$C$125)*$B$12/$J$12*$C$12</f>
        <v/>
      </c>
      <c r="AQ185" s="42">
        <f>SUMPRODUCT(($B$58:$B$125="Spinach")*(AQ$58:AQ$125="H")*$C$58:$C$125)*$B$12/$J$12*$C$12</f>
        <v/>
      </c>
      <c r="AR185" s="42">
        <f>SUMPRODUCT(($B$58:$B$125="Spinach")*(AR$58:AR$125="H")*$C$58:$C$125)*$B$12/$J$12*$C$12</f>
        <v/>
      </c>
      <c r="AS185" s="42">
        <f>SUMPRODUCT(($B$58:$B$125="Spinach")*(AS$58:AS$125="H")*$C$58:$C$125)*$B$12/$J$12*$C$12</f>
        <v/>
      </c>
      <c r="AT185" s="42">
        <f>SUMPRODUCT(($B$58:$B$125="Spinach")*(AT$58:AT$125="H")*$C$58:$C$125)*$B$12/$J$12*$C$12</f>
        <v/>
      </c>
      <c r="AU185" s="42">
        <f>SUMPRODUCT(($B$58:$B$125="Spinach")*(AU$58:AU$125="H")*$C$58:$C$125)*$B$12/$J$12*$C$12</f>
        <v/>
      </c>
      <c r="AV185" s="42">
        <f>SUMPRODUCT(($B$58:$B$125="Spinach")*(AV$58:AV$125="H")*$C$58:$C$125)*$B$12/$J$12*$C$12</f>
        <v/>
      </c>
      <c r="AW185" s="42">
        <f>SUMPRODUCT(($B$58:$B$125="Spinach")*(AW$58:AW$125="H")*$C$58:$C$125)*$B$12/$J$12*$C$12</f>
        <v/>
      </c>
      <c r="AX185" s="42">
        <f>SUMPRODUCT(($B$58:$B$125="Spinach")*(AX$58:AX$125="H")*$C$58:$C$125)*$B$12/$J$12*$C$12</f>
        <v/>
      </c>
      <c r="AY185" s="42">
        <f>SUMPRODUCT(($B$58:$B$125="Spinach")*(AY$58:AY$125="H")*$C$58:$C$125)*$B$12/$J$12*$C$12</f>
        <v/>
      </c>
      <c r="AZ185" s="42">
        <f>SUMPRODUCT(($B$58:$B$125="Spinach")*(AZ$58:AZ$125="H")*$C$58:$C$125)*$B$12/$J$12*$C$12</f>
        <v/>
      </c>
      <c r="BA185" s="42">
        <f>SUMPRODUCT(($B$58:$B$125="Spinach")*(BA$58:BA$125="H")*$C$58:$C$125)*$B$12/$J$12*$C$12</f>
        <v/>
      </c>
      <c r="BB185" s="42">
        <f>SUMPRODUCT(($B$58:$B$125="Spinach")*(BB$58:BB$125="H")*$C$58:$C$125)*$B$12/$J$12*$C$12</f>
        <v/>
      </c>
      <c r="BC185" s="42">
        <f>SUMPRODUCT(($B$58:$B$125="Spinach")*(BC$58:BC$125="H")*$C$58:$C$125)*$B$12/$J$12*$C$12</f>
        <v/>
      </c>
      <c r="BD185" s="42">
        <f>SUMPRODUCT(($B$58:$B$125="Spinach")*(BD$58:BD$125="H")*$C$58:$C$125)*$B$12/$J$12*$C$12</f>
        <v/>
      </c>
    </row>
    <row r="186">
      <c r="A186" s="26" t="inlineStr">
        <is>
          <t>Stock carried in</t>
        </is>
      </c>
      <c r="B186" s="2" t="inlineStr">
        <is>
          <t>lb</t>
        </is>
      </c>
      <c r="E186" s="42" t="n">
        <v>0</v>
      </c>
      <c r="F186" s="42">
        <f>E201</f>
        <v/>
      </c>
      <c r="G186" s="42">
        <f>F201</f>
        <v/>
      </c>
      <c r="H186" s="42">
        <f>G201</f>
        <v/>
      </c>
      <c r="I186" s="42">
        <f>H201</f>
        <v/>
      </c>
      <c r="J186" s="42">
        <f>I201</f>
        <v/>
      </c>
      <c r="K186" s="42">
        <f>J201</f>
        <v/>
      </c>
      <c r="L186" s="42">
        <f>K201</f>
        <v/>
      </c>
      <c r="M186" s="42">
        <f>L201</f>
        <v/>
      </c>
      <c r="N186" s="42">
        <f>M201</f>
        <v/>
      </c>
      <c r="O186" s="42">
        <f>N201</f>
        <v/>
      </c>
      <c r="P186" s="42">
        <f>O201</f>
        <v/>
      </c>
      <c r="Q186" s="42">
        <f>P201</f>
        <v/>
      </c>
      <c r="R186" s="42">
        <f>Q201</f>
        <v/>
      </c>
      <c r="S186" s="42">
        <f>R201</f>
        <v/>
      </c>
      <c r="T186" s="42">
        <f>S201</f>
        <v/>
      </c>
      <c r="U186" s="42">
        <f>T201</f>
        <v/>
      </c>
      <c r="V186" s="42">
        <f>U201</f>
        <v/>
      </c>
      <c r="W186" s="42">
        <f>V201</f>
        <v/>
      </c>
      <c r="X186" s="42">
        <f>W201</f>
        <v/>
      </c>
      <c r="Y186" s="42">
        <f>X201</f>
        <v/>
      </c>
      <c r="Z186" s="42">
        <f>Y201</f>
        <v/>
      </c>
      <c r="AA186" s="42">
        <f>Z201</f>
        <v/>
      </c>
      <c r="AB186" s="42">
        <f>AA201</f>
        <v/>
      </c>
      <c r="AC186" s="42">
        <f>AB201</f>
        <v/>
      </c>
      <c r="AD186" s="42">
        <f>AC201</f>
        <v/>
      </c>
      <c r="AE186" s="42">
        <f>AD201</f>
        <v/>
      </c>
      <c r="AF186" s="42">
        <f>AE201</f>
        <v/>
      </c>
      <c r="AG186" s="42">
        <f>AF201</f>
        <v/>
      </c>
      <c r="AH186" s="42">
        <f>AG201</f>
        <v/>
      </c>
      <c r="AI186" s="42">
        <f>AH201</f>
        <v/>
      </c>
      <c r="AJ186" s="42">
        <f>AI201</f>
        <v/>
      </c>
      <c r="AK186" s="42">
        <f>AJ201</f>
        <v/>
      </c>
      <c r="AL186" s="42">
        <f>AK201</f>
        <v/>
      </c>
      <c r="AM186" s="42">
        <f>AL201</f>
        <v/>
      </c>
      <c r="AN186" s="42">
        <f>AM201</f>
        <v/>
      </c>
      <c r="AO186" s="42">
        <f>AN201</f>
        <v/>
      </c>
      <c r="AP186" s="42">
        <f>AO201</f>
        <v/>
      </c>
      <c r="AQ186" s="42">
        <f>AP201</f>
        <v/>
      </c>
      <c r="AR186" s="42">
        <f>AQ201</f>
        <v/>
      </c>
      <c r="AS186" s="42">
        <f>AR201</f>
        <v/>
      </c>
      <c r="AT186" s="42">
        <f>AS201</f>
        <v/>
      </c>
      <c r="AU186" s="42">
        <f>AT201</f>
        <v/>
      </c>
      <c r="AV186" s="42">
        <f>AU201</f>
        <v/>
      </c>
      <c r="AW186" s="42">
        <f>AV201</f>
        <v/>
      </c>
      <c r="AX186" s="42">
        <f>AW201</f>
        <v/>
      </c>
      <c r="AY186" s="42">
        <f>AX201</f>
        <v/>
      </c>
      <c r="AZ186" s="42">
        <f>AY201</f>
        <v/>
      </c>
      <c r="BA186" s="42">
        <f>AZ201</f>
        <v/>
      </c>
      <c r="BB186" s="42">
        <f>BA201</f>
        <v/>
      </c>
      <c r="BC186" s="42">
        <f>BB201</f>
        <v/>
      </c>
      <c r="BD186" s="42">
        <f>BC201</f>
        <v/>
      </c>
    </row>
    <row r="187">
      <c r="A187" s="26" t="inlineStr">
        <is>
          <t xml:space="preserve">   lost to shrink</t>
        </is>
      </c>
      <c r="B187" s="2" t="inlineStr">
        <is>
          <t>lb</t>
        </is>
      </c>
      <c r="E187" s="42">
        <f>E186*$G$12</f>
        <v/>
      </c>
      <c r="F187" s="42">
        <f>F186*$G$12</f>
        <v/>
      </c>
      <c r="G187" s="42">
        <f>G186*$G$12</f>
        <v/>
      </c>
      <c r="H187" s="42">
        <f>H186*$G$12</f>
        <v/>
      </c>
      <c r="I187" s="42">
        <f>I186*$G$12</f>
        <v/>
      </c>
      <c r="J187" s="42">
        <f>J186*$G$12</f>
        <v/>
      </c>
      <c r="K187" s="42">
        <f>K186*$G$12</f>
        <v/>
      </c>
      <c r="L187" s="42">
        <f>L186*$G$12</f>
        <v/>
      </c>
      <c r="M187" s="42">
        <f>M186*$G$12</f>
        <v/>
      </c>
      <c r="N187" s="42">
        <f>N186*$G$12</f>
        <v/>
      </c>
      <c r="O187" s="42">
        <f>O186*$G$12</f>
        <v/>
      </c>
      <c r="P187" s="42">
        <f>P186*$G$12</f>
        <v/>
      </c>
      <c r="Q187" s="42">
        <f>Q186*$G$12</f>
        <v/>
      </c>
      <c r="R187" s="42">
        <f>R186*$G$12</f>
        <v/>
      </c>
      <c r="S187" s="42">
        <f>S186*$G$12</f>
        <v/>
      </c>
      <c r="T187" s="42">
        <f>T186*$G$12</f>
        <v/>
      </c>
      <c r="U187" s="42">
        <f>U186*$G$12</f>
        <v/>
      </c>
      <c r="V187" s="42">
        <f>V186*$G$12</f>
        <v/>
      </c>
      <c r="W187" s="42">
        <f>W186*$G$12</f>
        <v/>
      </c>
      <c r="X187" s="42">
        <f>X186*$G$12</f>
        <v/>
      </c>
      <c r="Y187" s="42">
        <f>Y186*$G$12</f>
        <v/>
      </c>
      <c r="Z187" s="42">
        <f>Z186*$G$12</f>
        <v/>
      </c>
      <c r="AA187" s="42">
        <f>AA186*$G$12</f>
        <v/>
      </c>
      <c r="AB187" s="42">
        <f>AB186*$G$12</f>
        <v/>
      </c>
      <c r="AC187" s="42">
        <f>AC186*$G$12</f>
        <v/>
      </c>
      <c r="AD187" s="42">
        <f>AD186*$G$12</f>
        <v/>
      </c>
      <c r="AE187" s="42">
        <f>AE186*$G$12</f>
        <v/>
      </c>
      <c r="AF187" s="42">
        <f>AF186*$G$12</f>
        <v/>
      </c>
      <c r="AG187" s="42">
        <f>AG186*$G$12</f>
        <v/>
      </c>
      <c r="AH187" s="42">
        <f>AH186*$G$12</f>
        <v/>
      </c>
      <c r="AI187" s="42">
        <f>AI186*$G$12</f>
        <v/>
      </c>
      <c r="AJ187" s="42">
        <f>AJ186*$G$12</f>
        <v/>
      </c>
      <c r="AK187" s="42">
        <f>AK186*$G$12</f>
        <v/>
      </c>
      <c r="AL187" s="42">
        <f>AL186*$G$12</f>
        <v/>
      </c>
      <c r="AM187" s="42">
        <f>AM186*$G$12</f>
        <v/>
      </c>
      <c r="AN187" s="42">
        <f>AN186*$G$12</f>
        <v/>
      </c>
      <c r="AO187" s="42">
        <f>AO186*$G$12</f>
        <v/>
      </c>
      <c r="AP187" s="42">
        <f>AP186*$G$12</f>
        <v/>
      </c>
      <c r="AQ187" s="42">
        <f>AQ186*$G$12</f>
        <v/>
      </c>
      <c r="AR187" s="42">
        <f>AR186*$G$12</f>
        <v/>
      </c>
      <c r="AS187" s="42">
        <f>AS186*$G$12</f>
        <v/>
      </c>
      <c r="AT187" s="42">
        <f>AT186*$G$12</f>
        <v/>
      </c>
      <c r="AU187" s="42">
        <f>AU186*$G$12</f>
        <v/>
      </c>
      <c r="AV187" s="42">
        <f>AV186*$G$12</f>
        <v/>
      </c>
      <c r="AW187" s="42">
        <f>AW186*$G$12</f>
        <v/>
      </c>
      <c r="AX187" s="42">
        <f>AX186*$G$12</f>
        <v/>
      </c>
      <c r="AY187" s="42">
        <f>AY186*$G$12</f>
        <v/>
      </c>
      <c r="AZ187" s="42">
        <f>AZ186*$G$12</f>
        <v/>
      </c>
      <c r="BA187" s="42">
        <f>BA186*$G$12</f>
        <v/>
      </c>
      <c r="BB187" s="42">
        <f>BB186*$G$12</f>
        <v/>
      </c>
      <c r="BC187" s="42">
        <f>BC186*$G$12</f>
        <v/>
      </c>
      <c r="BD187" s="42">
        <f>BD186*$G$12</f>
        <v/>
      </c>
    </row>
    <row r="188">
      <c r="A188" s="4" t="inlineStr">
        <is>
          <t>In store this week</t>
        </is>
      </c>
      <c r="B188" s="2" t="inlineStr">
        <is>
          <t>lb</t>
        </is>
      </c>
      <c r="E188" s="42">
        <f>E186-E187+E185</f>
        <v/>
      </c>
      <c r="F188" s="42">
        <f>F186-F187+F185</f>
        <v/>
      </c>
      <c r="G188" s="42">
        <f>G186-G187+G185</f>
        <v/>
      </c>
      <c r="H188" s="42">
        <f>H186-H187+H185</f>
        <v/>
      </c>
      <c r="I188" s="42">
        <f>I186-I187+I185</f>
        <v/>
      </c>
      <c r="J188" s="42">
        <f>J186-J187+J185</f>
        <v/>
      </c>
      <c r="K188" s="42">
        <f>K186-K187+K185</f>
        <v/>
      </c>
      <c r="L188" s="42">
        <f>L186-L187+L185</f>
        <v/>
      </c>
      <c r="M188" s="42">
        <f>M186-M187+M185</f>
        <v/>
      </c>
      <c r="N188" s="42">
        <f>N186-N187+N185</f>
        <v/>
      </c>
      <c r="O188" s="42">
        <f>O186-O187+O185</f>
        <v/>
      </c>
      <c r="P188" s="42">
        <f>P186-P187+P185</f>
        <v/>
      </c>
      <c r="Q188" s="42">
        <f>Q186-Q187+Q185</f>
        <v/>
      </c>
      <c r="R188" s="42">
        <f>R186-R187+R185</f>
        <v/>
      </c>
      <c r="S188" s="42">
        <f>S186-S187+S185</f>
        <v/>
      </c>
      <c r="T188" s="42">
        <f>T186-T187+T185</f>
        <v/>
      </c>
      <c r="U188" s="42">
        <f>U186-U187+U185</f>
        <v/>
      </c>
      <c r="V188" s="42">
        <f>V186-V187+V185</f>
        <v/>
      </c>
      <c r="W188" s="42">
        <f>W186-W187+W185</f>
        <v/>
      </c>
      <c r="X188" s="42">
        <f>X186-X187+X185</f>
        <v/>
      </c>
      <c r="Y188" s="42">
        <f>Y186-Y187+Y185</f>
        <v/>
      </c>
      <c r="Z188" s="42">
        <f>Z186-Z187+Z185</f>
        <v/>
      </c>
      <c r="AA188" s="42">
        <f>AA186-AA187+AA185</f>
        <v/>
      </c>
      <c r="AB188" s="42">
        <f>AB186-AB187+AB185</f>
        <v/>
      </c>
      <c r="AC188" s="42">
        <f>AC186-AC187+AC185</f>
        <v/>
      </c>
      <c r="AD188" s="42">
        <f>AD186-AD187+AD185</f>
        <v/>
      </c>
      <c r="AE188" s="42">
        <f>AE186-AE187+AE185</f>
        <v/>
      </c>
      <c r="AF188" s="42">
        <f>AF186-AF187+AF185</f>
        <v/>
      </c>
      <c r="AG188" s="42">
        <f>AG186-AG187+AG185</f>
        <v/>
      </c>
      <c r="AH188" s="42">
        <f>AH186-AH187+AH185</f>
        <v/>
      </c>
      <c r="AI188" s="42">
        <f>AI186-AI187+AI185</f>
        <v/>
      </c>
      <c r="AJ188" s="42">
        <f>AJ186-AJ187+AJ185</f>
        <v/>
      </c>
      <c r="AK188" s="42">
        <f>AK186-AK187+AK185</f>
        <v/>
      </c>
      <c r="AL188" s="42">
        <f>AL186-AL187+AL185</f>
        <v/>
      </c>
      <c r="AM188" s="42">
        <f>AM186-AM187+AM185</f>
        <v/>
      </c>
      <c r="AN188" s="42">
        <f>AN186-AN187+AN185</f>
        <v/>
      </c>
      <c r="AO188" s="42">
        <f>AO186-AO187+AO185</f>
        <v/>
      </c>
      <c r="AP188" s="42">
        <f>AP186-AP187+AP185</f>
        <v/>
      </c>
      <c r="AQ188" s="42">
        <f>AQ186-AQ187+AQ185</f>
        <v/>
      </c>
      <c r="AR188" s="42">
        <f>AR186-AR187+AR185</f>
        <v/>
      </c>
      <c r="AS188" s="42">
        <f>AS186-AS187+AS185</f>
        <v/>
      </c>
      <c r="AT188" s="42">
        <f>AT186-AT187+AT185</f>
        <v/>
      </c>
      <c r="AU188" s="42">
        <f>AU186-AU187+AU185</f>
        <v/>
      </c>
      <c r="AV188" s="42">
        <f>AV186-AV187+AV185</f>
        <v/>
      </c>
      <c r="AW188" s="42">
        <f>AW186-AW187+AW185</f>
        <v/>
      </c>
      <c r="AX188" s="42">
        <f>AX186-AX187+AX185</f>
        <v/>
      </c>
      <c r="AY188" s="42">
        <f>AY186-AY187+AY185</f>
        <v/>
      </c>
      <c r="AZ188" s="42">
        <f>AZ186-AZ187+AZ185</f>
        <v/>
      </c>
      <c r="BA188" s="42">
        <f>BA186-BA187+BA185</f>
        <v/>
      </c>
      <c r="BB188" s="42">
        <f>BB186-BB187+BB185</f>
        <v/>
      </c>
      <c r="BC188" s="42">
        <f>BC186-BC187+BC185</f>
        <v/>
      </c>
      <c r="BD188" s="42">
        <f>BD186-BD187+BD185</f>
        <v/>
      </c>
    </row>
    <row r="189">
      <c r="A189" s="47" t="inlineStr">
        <is>
          <t>Farmers Market — most you may sell this week</t>
        </is>
      </c>
      <c r="B189" s="2" t="inlineStr">
        <is>
          <t>lb</t>
        </is>
      </c>
      <c r="E189" s="48">
        <f>IF($C$19="Annual",$D$19-0,IF(AND(1&gt;=$E$19,1&lt;=$F$19),$D$19,0))</f>
        <v/>
      </c>
      <c r="F189" s="48">
        <f>IF($C$19="Annual",$D$19-SUM(E191:E191),IF(AND(2&gt;=$E$19,2&lt;=$F$19),$D$19,0))</f>
        <v/>
      </c>
      <c r="G189" s="48">
        <f>IF($C$19="Annual",$D$19-SUM(E191:F191),IF(AND(3&gt;=$E$19,3&lt;=$F$19),$D$19,0))</f>
        <v/>
      </c>
      <c r="H189" s="48">
        <f>IF($C$19="Annual",$D$19-SUM(E191:G191),IF(AND(4&gt;=$E$19,4&lt;=$F$19),$D$19,0))</f>
        <v/>
      </c>
      <c r="I189" s="48">
        <f>IF($C$19="Annual",$D$19-SUM(E191:H191),IF(AND(5&gt;=$E$19,5&lt;=$F$19),$D$19,0))</f>
        <v/>
      </c>
      <c r="J189" s="48">
        <f>IF($C$19="Annual",$D$19-SUM(E191:I191),IF(AND(6&gt;=$E$19,6&lt;=$F$19),$D$19,0))</f>
        <v/>
      </c>
      <c r="K189" s="48">
        <f>IF($C$19="Annual",$D$19-SUM(E191:J191),IF(AND(7&gt;=$E$19,7&lt;=$F$19),$D$19,0))</f>
        <v/>
      </c>
      <c r="L189" s="48">
        <f>IF($C$19="Annual",$D$19-SUM(E191:K191),IF(AND(8&gt;=$E$19,8&lt;=$F$19),$D$19,0))</f>
        <v/>
      </c>
      <c r="M189" s="48">
        <f>IF($C$19="Annual",$D$19-SUM(E191:L191),IF(AND(9&gt;=$E$19,9&lt;=$F$19),$D$19,0))</f>
        <v/>
      </c>
      <c r="N189" s="48">
        <f>IF($C$19="Annual",$D$19-SUM(E191:M191),IF(AND(10&gt;=$E$19,10&lt;=$F$19),$D$19,0))</f>
        <v/>
      </c>
      <c r="O189" s="48">
        <f>IF($C$19="Annual",$D$19-SUM(E191:N191),IF(AND(11&gt;=$E$19,11&lt;=$F$19),$D$19,0))</f>
        <v/>
      </c>
      <c r="P189" s="48">
        <f>IF($C$19="Annual",$D$19-SUM(E191:O191),IF(AND(12&gt;=$E$19,12&lt;=$F$19),$D$19,0))</f>
        <v/>
      </c>
      <c r="Q189" s="48">
        <f>IF($C$19="Annual",$D$19-SUM(E191:P191),IF(AND(13&gt;=$E$19,13&lt;=$F$19),$D$19,0))</f>
        <v/>
      </c>
      <c r="R189" s="48">
        <f>IF($C$19="Annual",$D$19-SUM(E191:Q191),IF(AND(14&gt;=$E$19,14&lt;=$F$19),$D$19,0))</f>
        <v/>
      </c>
      <c r="S189" s="48">
        <f>IF($C$19="Annual",$D$19-SUM(E191:R191),IF(AND(15&gt;=$E$19,15&lt;=$F$19),$D$19,0))</f>
        <v/>
      </c>
      <c r="T189" s="48">
        <f>IF($C$19="Annual",$D$19-SUM(E191:S191),IF(AND(16&gt;=$E$19,16&lt;=$F$19),$D$19,0))</f>
        <v/>
      </c>
      <c r="U189" s="48">
        <f>IF($C$19="Annual",$D$19-SUM(E191:T191),IF(AND(17&gt;=$E$19,17&lt;=$F$19),$D$19,0))</f>
        <v/>
      </c>
      <c r="V189" s="48">
        <f>IF($C$19="Annual",$D$19-SUM(E191:U191),IF(AND(18&gt;=$E$19,18&lt;=$F$19),$D$19,0))</f>
        <v/>
      </c>
      <c r="W189" s="48">
        <f>IF($C$19="Annual",$D$19-SUM(E191:V191),IF(AND(19&gt;=$E$19,19&lt;=$F$19),$D$19,0))</f>
        <v/>
      </c>
      <c r="X189" s="48">
        <f>IF($C$19="Annual",$D$19-SUM(E191:W191),IF(AND(20&gt;=$E$19,20&lt;=$F$19),$D$19,0))</f>
        <v/>
      </c>
      <c r="Y189" s="48">
        <f>IF($C$19="Annual",$D$19-SUM(E191:X191),IF(AND(21&gt;=$E$19,21&lt;=$F$19),$D$19,0))</f>
        <v/>
      </c>
      <c r="Z189" s="48">
        <f>IF($C$19="Annual",$D$19-SUM(E191:Y191),IF(AND(22&gt;=$E$19,22&lt;=$F$19),$D$19,0))</f>
        <v/>
      </c>
      <c r="AA189" s="48">
        <f>IF($C$19="Annual",$D$19-SUM(E191:Z191),IF(AND(23&gt;=$E$19,23&lt;=$F$19),$D$19,0))</f>
        <v/>
      </c>
      <c r="AB189" s="48">
        <f>IF($C$19="Annual",$D$19-SUM(E191:AA191),IF(AND(24&gt;=$E$19,24&lt;=$F$19),$D$19,0))</f>
        <v/>
      </c>
      <c r="AC189" s="48">
        <f>IF($C$19="Annual",$D$19-SUM(E191:AB191),IF(AND(25&gt;=$E$19,25&lt;=$F$19),$D$19,0))</f>
        <v/>
      </c>
      <c r="AD189" s="48">
        <f>IF($C$19="Annual",$D$19-SUM(E191:AC191),IF(AND(26&gt;=$E$19,26&lt;=$F$19),$D$19,0))</f>
        <v/>
      </c>
      <c r="AE189" s="48">
        <f>IF($C$19="Annual",$D$19-SUM(E191:AD191),IF(AND(27&gt;=$E$19,27&lt;=$F$19),$D$19,0))</f>
        <v/>
      </c>
      <c r="AF189" s="48">
        <f>IF($C$19="Annual",$D$19-SUM(E191:AE191),IF(AND(28&gt;=$E$19,28&lt;=$F$19),$D$19,0))</f>
        <v/>
      </c>
      <c r="AG189" s="48">
        <f>IF($C$19="Annual",$D$19-SUM(E191:AF191),IF(AND(29&gt;=$E$19,29&lt;=$F$19),$D$19,0))</f>
        <v/>
      </c>
      <c r="AH189" s="48">
        <f>IF($C$19="Annual",$D$19-SUM(E191:AG191),IF(AND(30&gt;=$E$19,30&lt;=$F$19),$D$19,0))</f>
        <v/>
      </c>
      <c r="AI189" s="48">
        <f>IF($C$19="Annual",$D$19-SUM(E191:AH191),IF(AND(31&gt;=$E$19,31&lt;=$F$19),$D$19,0))</f>
        <v/>
      </c>
      <c r="AJ189" s="48">
        <f>IF($C$19="Annual",$D$19-SUM(E191:AI191),IF(AND(32&gt;=$E$19,32&lt;=$F$19),$D$19,0))</f>
        <v/>
      </c>
      <c r="AK189" s="48">
        <f>IF($C$19="Annual",$D$19-SUM(E191:AJ191),IF(AND(33&gt;=$E$19,33&lt;=$F$19),$D$19,0))</f>
        <v/>
      </c>
      <c r="AL189" s="48">
        <f>IF($C$19="Annual",$D$19-SUM(E191:AK191),IF(AND(34&gt;=$E$19,34&lt;=$F$19),$D$19,0))</f>
        <v/>
      </c>
      <c r="AM189" s="48">
        <f>IF($C$19="Annual",$D$19-SUM(E191:AL191),IF(AND(35&gt;=$E$19,35&lt;=$F$19),$D$19,0))</f>
        <v/>
      </c>
      <c r="AN189" s="48">
        <f>IF($C$19="Annual",$D$19-SUM(E191:AM191),IF(AND(36&gt;=$E$19,36&lt;=$F$19),$D$19,0))</f>
        <v/>
      </c>
      <c r="AO189" s="48">
        <f>IF($C$19="Annual",$D$19-SUM(E191:AN191),IF(AND(37&gt;=$E$19,37&lt;=$F$19),$D$19,0))</f>
        <v/>
      </c>
      <c r="AP189" s="48">
        <f>IF($C$19="Annual",$D$19-SUM(E191:AO191),IF(AND(38&gt;=$E$19,38&lt;=$F$19),$D$19,0))</f>
        <v/>
      </c>
      <c r="AQ189" s="48">
        <f>IF($C$19="Annual",$D$19-SUM(E191:AP191),IF(AND(39&gt;=$E$19,39&lt;=$F$19),$D$19,0))</f>
        <v/>
      </c>
      <c r="AR189" s="48">
        <f>IF($C$19="Annual",$D$19-SUM(E191:AQ191),IF(AND(40&gt;=$E$19,40&lt;=$F$19),$D$19,0))</f>
        <v/>
      </c>
      <c r="AS189" s="48">
        <f>IF($C$19="Annual",$D$19-SUM(E191:AR191),IF(AND(41&gt;=$E$19,41&lt;=$F$19),$D$19,0))</f>
        <v/>
      </c>
      <c r="AT189" s="48">
        <f>IF($C$19="Annual",$D$19-SUM(E191:AS191),IF(AND(42&gt;=$E$19,42&lt;=$F$19),$D$19,0))</f>
        <v/>
      </c>
      <c r="AU189" s="48">
        <f>IF($C$19="Annual",$D$19-SUM(E191:AT191),IF(AND(43&gt;=$E$19,43&lt;=$F$19),$D$19,0))</f>
        <v/>
      </c>
      <c r="AV189" s="48">
        <f>IF($C$19="Annual",$D$19-SUM(E191:AU191),IF(AND(44&gt;=$E$19,44&lt;=$F$19),$D$19,0))</f>
        <v/>
      </c>
      <c r="AW189" s="48">
        <f>IF($C$19="Annual",$D$19-SUM(E191:AV191),IF(AND(45&gt;=$E$19,45&lt;=$F$19),$D$19,0))</f>
        <v/>
      </c>
      <c r="AX189" s="48">
        <f>IF($C$19="Annual",$D$19-SUM(E191:AW191),IF(AND(46&gt;=$E$19,46&lt;=$F$19),$D$19,0))</f>
        <v/>
      </c>
      <c r="AY189" s="48">
        <f>IF($C$19="Annual",$D$19-SUM(E191:AX191),IF(AND(47&gt;=$E$19,47&lt;=$F$19),$D$19,0))</f>
        <v/>
      </c>
      <c r="AZ189" s="48">
        <f>IF($C$19="Annual",$D$19-SUM(E191:AY191),IF(AND(48&gt;=$E$19,48&lt;=$F$19),$D$19,0))</f>
        <v/>
      </c>
      <c r="BA189" s="48">
        <f>IF($C$19="Annual",$D$19-SUM(E191:AZ191),IF(AND(49&gt;=$E$19,49&lt;=$F$19),$D$19,0))</f>
        <v/>
      </c>
      <c r="BB189" s="48">
        <f>IF($C$19="Annual",$D$19-SUM(E191:BA191),IF(AND(50&gt;=$E$19,50&lt;=$F$19),$D$19,0))</f>
        <v/>
      </c>
      <c r="BC189" s="48">
        <f>IF($C$19="Annual",$D$19-SUM(E191:BB191),IF(AND(51&gt;=$E$19,51&lt;=$F$19),$D$19,0))</f>
        <v/>
      </c>
      <c r="BD189" s="48">
        <f>IF($C$19="Annual",$D$19-SUM(E191:BC191),IF(AND(52&gt;=$E$19,52&lt;=$F$19),$D$19,0))</f>
        <v/>
      </c>
    </row>
    <row r="190">
      <c r="A190" s="24" t="inlineStr">
        <is>
          <t>Farmers Market — OFFERED</t>
        </is>
      </c>
      <c r="B190" s="2" t="inlineStr">
        <is>
          <t>lb  &lt;-- SOLVER</t>
        </is>
      </c>
      <c r="E190" s="44" t="n">
        <v>0</v>
      </c>
      <c r="F190" s="44" t="n">
        <v>0</v>
      </c>
      <c r="G190" s="44" t="n">
        <v>0</v>
      </c>
      <c r="H190" s="44" t="n">
        <v>0</v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  <c r="AL190" s="44" t="n">
        <v>0</v>
      </c>
      <c r="AM190" s="44" t="n">
        <v>0</v>
      </c>
      <c r="AN190" s="44" t="n">
        <v>0</v>
      </c>
      <c r="AO190" s="44" t="n">
        <v>0</v>
      </c>
      <c r="AP190" s="44" t="n">
        <v>0</v>
      </c>
      <c r="AQ190" s="44" t="n">
        <v>0</v>
      </c>
      <c r="AR190" s="44" t="n">
        <v>0</v>
      </c>
      <c r="AS190" s="44" t="n">
        <v>0</v>
      </c>
      <c r="AT190" s="44" t="n">
        <v>0</v>
      </c>
      <c r="AU190" s="44" t="n">
        <v>0</v>
      </c>
      <c r="AV190" s="44" t="n">
        <v>0</v>
      </c>
      <c r="AW190" s="44" t="n">
        <v>0</v>
      </c>
      <c r="AX190" s="44" t="n">
        <v>0</v>
      </c>
      <c r="AY190" s="44" t="n">
        <v>0</v>
      </c>
      <c r="AZ190" s="44" t="n">
        <v>0</v>
      </c>
      <c r="BA190" s="44" t="n">
        <v>0</v>
      </c>
      <c r="BB190" s="44" t="n">
        <v>0</v>
      </c>
      <c r="BC190" s="44" t="n">
        <v>0</v>
      </c>
      <c r="BD190" s="44" t="n">
        <v>0</v>
      </c>
    </row>
    <row r="191">
      <c r="A191" s="49" t="inlineStr">
        <is>
          <t>Farmers Market — SOLD</t>
        </is>
      </c>
      <c r="B191" s="2" t="inlineStr">
        <is>
          <t>lb</t>
        </is>
      </c>
      <c r="E191" s="48">
        <f>E190*$G$19</f>
        <v/>
      </c>
      <c r="F191" s="48">
        <f>F190*$G$19</f>
        <v/>
      </c>
      <c r="G191" s="48">
        <f>G190*$G$19</f>
        <v/>
      </c>
      <c r="H191" s="48">
        <f>H190*$G$19</f>
        <v/>
      </c>
      <c r="I191" s="48">
        <f>I190*$G$19</f>
        <v/>
      </c>
      <c r="J191" s="48">
        <f>J190*$G$19</f>
        <v/>
      </c>
      <c r="K191" s="48">
        <f>K190*$G$19</f>
        <v/>
      </c>
      <c r="L191" s="48">
        <f>L190*$G$19</f>
        <v/>
      </c>
      <c r="M191" s="48">
        <f>M190*$G$19</f>
        <v/>
      </c>
      <c r="N191" s="48">
        <f>N190*$G$19</f>
        <v/>
      </c>
      <c r="O191" s="48">
        <f>O190*$G$19</f>
        <v/>
      </c>
      <c r="P191" s="48">
        <f>P190*$G$19</f>
        <v/>
      </c>
      <c r="Q191" s="48">
        <f>Q190*$G$19</f>
        <v/>
      </c>
      <c r="R191" s="48">
        <f>R190*$G$19</f>
        <v/>
      </c>
      <c r="S191" s="48">
        <f>S190*$G$19</f>
        <v/>
      </c>
      <c r="T191" s="48">
        <f>T190*$G$19</f>
        <v/>
      </c>
      <c r="U191" s="48">
        <f>U190*$G$19</f>
        <v/>
      </c>
      <c r="V191" s="48">
        <f>V190*$G$19</f>
        <v/>
      </c>
      <c r="W191" s="48">
        <f>W190*$G$19</f>
        <v/>
      </c>
      <c r="X191" s="48">
        <f>X190*$G$19</f>
        <v/>
      </c>
      <c r="Y191" s="48">
        <f>Y190*$G$19</f>
        <v/>
      </c>
      <c r="Z191" s="48">
        <f>Z190*$G$19</f>
        <v/>
      </c>
      <c r="AA191" s="48">
        <f>AA190*$G$19</f>
        <v/>
      </c>
      <c r="AB191" s="48">
        <f>AB190*$G$19</f>
        <v/>
      </c>
      <c r="AC191" s="48">
        <f>AC190*$G$19</f>
        <v/>
      </c>
      <c r="AD191" s="48">
        <f>AD190*$G$19</f>
        <v/>
      </c>
      <c r="AE191" s="48">
        <f>AE190*$G$19</f>
        <v/>
      </c>
      <c r="AF191" s="48">
        <f>AF190*$G$19</f>
        <v/>
      </c>
      <c r="AG191" s="48">
        <f>AG190*$G$19</f>
        <v/>
      </c>
      <c r="AH191" s="48">
        <f>AH190*$G$19</f>
        <v/>
      </c>
      <c r="AI191" s="48">
        <f>AI190*$G$19</f>
        <v/>
      </c>
      <c r="AJ191" s="48">
        <f>AJ190*$G$19</f>
        <v/>
      </c>
      <c r="AK191" s="48">
        <f>AK190*$G$19</f>
        <v/>
      </c>
      <c r="AL191" s="48">
        <f>AL190*$G$19</f>
        <v/>
      </c>
      <c r="AM191" s="48">
        <f>AM190*$G$19</f>
        <v/>
      </c>
      <c r="AN191" s="48">
        <f>AN190*$G$19</f>
        <v/>
      </c>
      <c r="AO191" s="48">
        <f>AO190*$G$19</f>
        <v/>
      </c>
      <c r="AP191" s="48">
        <f>AP190*$G$19</f>
        <v/>
      </c>
      <c r="AQ191" s="48">
        <f>AQ190*$G$19</f>
        <v/>
      </c>
      <c r="AR191" s="48">
        <f>AR190*$G$19</f>
        <v/>
      </c>
      <c r="AS191" s="48">
        <f>AS190*$G$19</f>
        <v/>
      </c>
      <c r="AT191" s="48">
        <f>AT190*$G$19</f>
        <v/>
      </c>
      <c r="AU191" s="48">
        <f>AU190*$G$19</f>
        <v/>
      </c>
      <c r="AV191" s="48">
        <f>AV190*$G$19</f>
        <v/>
      </c>
      <c r="AW191" s="48">
        <f>AW190*$G$19</f>
        <v/>
      </c>
      <c r="AX191" s="48">
        <f>AX190*$G$19</f>
        <v/>
      </c>
      <c r="AY191" s="48">
        <f>AY190*$G$19</f>
        <v/>
      </c>
      <c r="AZ191" s="48">
        <f>AZ190*$G$19</f>
        <v/>
      </c>
      <c r="BA191" s="48">
        <f>BA190*$G$19</f>
        <v/>
      </c>
      <c r="BB191" s="48">
        <f>BB190*$G$19</f>
        <v/>
      </c>
      <c r="BC191" s="48">
        <f>BC190*$G$19</f>
        <v/>
      </c>
      <c r="BD191" s="48">
        <f>BD190*$G$19</f>
        <v/>
      </c>
    </row>
    <row r="192">
      <c r="A192" s="26" t="inlineStr">
        <is>
          <t xml:space="preserve">   market loss (gone)</t>
        </is>
      </c>
      <c r="B192" s="2" t="inlineStr">
        <is>
          <t>lb</t>
        </is>
      </c>
      <c r="E192" s="42">
        <f>(E190-E191)*(1-$H$19)</f>
        <v/>
      </c>
      <c r="F192" s="42">
        <f>(F190-F191)*(1-$H$19)</f>
        <v/>
      </c>
      <c r="G192" s="42">
        <f>(G190-G191)*(1-$H$19)</f>
        <v/>
      </c>
      <c r="H192" s="42">
        <f>(H190-H191)*(1-$H$19)</f>
        <v/>
      </c>
      <c r="I192" s="42">
        <f>(I190-I191)*(1-$H$19)</f>
        <v/>
      </c>
      <c r="J192" s="42">
        <f>(J190-J191)*(1-$H$19)</f>
        <v/>
      </c>
      <c r="K192" s="42">
        <f>(K190-K191)*(1-$H$19)</f>
        <v/>
      </c>
      <c r="L192" s="42">
        <f>(L190-L191)*(1-$H$19)</f>
        <v/>
      </c>
      <c r="M192" s="42">
        <f>(M190-M191)*(1-$H$19)</f>
        <v/>
      </c>
      <c r="N192" s="42">
        <f>(N190-N191)*(1-$H$19)</f>
        <v/>
      </c>
      <c r="O192" s="42">
        <f>(O190-O191)*(1-$H$19)</f>
        <v/>
      </c>
      <c r="P192" s="42">
        <f>(P190-P191)*(1-$H$19)</f>
        <v/>
      </c>
      <c r="Q192" s="42">
        <f>(Q190-Q191)*(1-$H$19)</f>
        <v/>
      </c>
      <c r="R192" s="42">
        <f>(R190-R191)*(1-$H$19)</f>
        <v/>
      </c>
      <c r="S192" s="42">
        <f>(S190-S191)*(1-$H$19)</f>
        <v/>
      </c>
      <c r="T192" s="42">
        <f>(T190-T191)*(1-$H$19)</f>
        <v/>
      </c>
      <c r="U192" s="42">
        <f>(U190-U191)*(1-$H$19)</f>
        <v/>
      </c>
      <c r="V192" s="42">
        <f>(V190-V191)*(1-$H$19)</f>
        <v/>
      </c>
      <c r="W192" s="42">
        <f>(W190-W191)*(1-$H$19)</f>
        <v/>
      </c>
      <c r="X192" s="42">
        <f>(X190-X191)*(1-$H$19)</f>
        <v/>
      </c>
      <c r="Y192" s="42">
        <f>(Y190-Y191)*(1-$H$19)</f>
        <v/>
      </c>
      <c r="Z192" s="42">
        <f>(Z190-Z191)*(1-$H$19)</f>
        <v/>
      </c>
      <c r="AA192" s="42">
        <f>(AA190-AA191)*(1-$H$19)</f>
        <v/>
      </c>
      <c r="AB192" s="42">
        <f>(AB190-AB191)*(1-$H$19)</f>
        <v/>
      </c>
      <c r="AC192" s="42">
        <f>(AC190-AC191)*(1-$H$19)</f>
        <v/>
      </c>
      <c r="AD192" s="42">
        <f>(AD190-AD191)*(1-$H$19)</f>
        <v/>
      </c>
      <c r="AE192" s="42">
        <f>(AE190-AE191)*(1-$H$19)</f>
        <v/>
      </c>
      <c r="AF192" s="42">
        <f>(AF190-AF191)*(1-$H$19)</f>
        <v/>
      </c>
      <c r="AG192" s="42">
        <f>(AG190-AG191)*(1-$H$19)</f>
        <v/>
      </c>
      <c r="AH192" s="42">
        <f>(AH190-AH191)*(1-$H$19)</f>
        <v/>
      </c>
      <c r="AI192" s="42">
        <f>(AI190-AI191)*(1-$H$19)</f>
        <v/>
      </c>
      <c r="AJ192" s="42">
        <f>(AJ190-AJ191)*(1-$H$19)</f>
        <v/>
      </c>
      <c r="AK192" s="42">
        <f>(AK190-AK191)*(1-$H$19)</f>
        <v/>
      </c>
      <c r="AL192" s="42">
        <f>(AL190-AL191)*(1-$H$19)</f>
        <v/>
      </c>
      <c r="AM192" s="42">
        <f>(AM190-AM191)*(1-$H$19)</f>
        <v/>
      </c>
      <c r="AN192" s="42">
        <f>(AN190-AN191)*(1-$H$19)</f>
        <v/>
      </c>
      <c r="AO192" s="42">
        <f>(AO190-AO191)*(1-$H$19)</f>
        <v/>
      </c>
      <c r="AP192" s="42">
        <f>(AP190-AP191)*(1-$H$19)</f>
        <v/>
      </c>
      <c r="AQ192" s="42">
        <f>(AQ190-AQ191)*(1-$H$19)</f>
        <v/>
      </c>
      <c r="AR192" s="42">
        <f>(AR190-AR191)*(1-$H$19)</f>
        <v/>
      </c>
      <c r="AS192" s="42">
        <f>(AS190-AS191)*(1-$H$19)</f>
        <v/>
      </c>
      <c r="AT192" s="42">
        <f>(AT190-AT191)*(1-$H$19)</f>
        <v/>
      </c>
      <c r="AU192" s="42">
        <f>(AU190-AU191)*(1-$H$19)</f>
        <v/>
      </c>
      <c r="AV192" s="42">
        <f>(AV190-AV191)*(1-$H$19)</f>
        <v/>
      </c>
      <c r="AW192" s="42">
        <f>(AW190-AW191)*(1-$H$19)</f>
        <v/>
      </c>
      <c r="AX192" s="42">
        <f>(AX190-AX191)*(1-$H$19)</f>
        <v/>
      </c>
      <c r="AY192" s="42">
        <f>(AY190-AY191)*(1-$H$19)</f>
        <v/>
      </c>
      <c r="AZ192" s="42">
        <f>(AZ190-AZ191)*(1-$H$19)</f>
        <v/>
      </c>
      <c r="BA192" s="42">
        <f>(BA190-BA191)*(1-$H$19)</f>
        <v/>
      </c>
      <c r="BB192" s="42">
        <f>(BB190-BB191)*(1-$H$19)</f>
        <v/>
      </c>
      <c r="BC192" s="42">
        <f>(BC190-BC191)*(1-$H$19)</f>
        <v/>
      </c>
      <c r="BD192" s="42">
        <f>(BD190-BD191)*(1-$H$19)</f>
        <v/>
      </c>
    </row>
    <row r="193">
      <c r="A193" s="26" t="inlineStr">
        <is>
          <t xml:space="preserve">   returned to store</t>
        </is>
      </c>
      <c r="B193" s="2" t="inlineStr">
        <is>
          <t>lb</t>
        </is>
      </c>
      <c r="E193" s="42">
        <f>(E190-E191)*$H$19</f>
        <v/>
      </c>
      <c r="F193" s="42">
        <f>(F190-F191)*$H$19</f>
        <v/>
      </c>
      <c r="G193" s="42">
        <f>(G190-G191)*$H$19</f>
        <v/>
      </c>
      <c r="H193" s="42">
        <f>(H190-H191)*$H$19</f>
        <v/>
      </c>
      <c r="I193" s="42">
        <f>(I190-I191)*$H$19</f>
        <v/>
      </c>
      <c r="J193" s="42">
        <f>(J190-J191)*$H$19</f>
        <v/>
      </c>
      <c r="K193" s="42">
        <f>(K190-K191)*$H$19</f>
        <v/>
      </c>
      <c r="L193" s="42">
        <f>(L190-L191)*$H$19</f>
        <v/>
      </c>
      <c r="M193" s="42">
        <f>(M190-M191)*$H$19</f>
        <v/>
      </c>
      <c r="N193" s="42">
        <f>(N190-N191)*$H$19</f>
        <v/>
      </c>
      <c r="O193" s="42">
        <f>(O190-O191)*$H$19</f>
        <v/>
      </c>
      <c r="P193" s="42">
        <f>(P190-P191)*$H$19</f>
        <v/>
      </c>
      <c r="Q193" s="42">
        <f>(Q190-Q191)*$H$19</f>
        <v/>
      </c>
      <c r="R193" s="42">
        <f>(R190-R191)*$H$19</f>
        <v/>
      </c>
      <c r="S193" s="42">
        <f>(S190-S191)*$H$19</f>
        <v/>
      </c>
      <c r="T193" s="42">
        <f>(T190-T191)*$H$19</f>
        <v/>
      </c>
      <c r="U193" s="42">
        <f>(U190-U191)*$H$19</f>
        <v/>
      </c>
      <c r="V193" s="42">
        <f>(V190-V191)*$H$19</f>
        <v/>
      </c>
      <c r="W193" s="42">
        <f>(W190-W191)*$H$19</f>
        <v/>
      </c>
      <c r="X193" s="42">
        <f>(X190-X191)*$H$19</f>
        <v/>
      </c>
      <c r="Y193" s="42">
        <f>(Y190-Y191)*$H$19</f>
        <v/>
      </c>
      <c r="Z193" s="42">
        <f>(Z190-Z191)*$H$19</f>
        <v/>
      </c>
      <c r="AA193" s="42">
        <f>(AA190-AA191)*$H$19</f>
        <v/>
      </c>
      <c r="AB193" s="42">
        <f>(AB190-AB191)*$H$19</f>
        <v/>
      </c>
      <c r="AC193" s="42">
        <f>(AC190-AC191)*$H$19</f>
        <v/>
      </c>
      <c r="AD193" s="42">
        <f>(AD190-AD191)*$H$19</f>
        <v/>
      </c>
      <c r="AE193" s="42">
        <f>(AE190-AE191)*$H$19</f>
        <v/>
      </c>
      <c r="AF193" s="42">
        <f>(AF190-AF191)*$H$19</f>
        <v/>
      </c>
      <c r="AG193" s="42">
        <f>(AG190-AG191)*$H$19</f>
        <v/>
      </c>
      <c r="AH193" s="42">
        <f>(AH190-AH191)*$H$19</f>
        <v/>
      </c>
      <c r="AI193" s="42">
        <f>(AI190-AI191)*$H$19</f>
        <v/>
      </c>
      <c r="AJ193" s="42">
        <f>(AJ190-AJ191)*$H$19</f>
        <v/>
      </c>
      <c r="AK193" s="42">
        <f>(AK190-AK191)*$H$19</f>
        <v/>
      </c>
      <c r="AL193" s="42">
        <f>(AL190-AL191)*$H$19</f>
        <v/>
      </c>
      <c r="AM193" s="42">
        <f>(AM190-AM191)*$H$19</f>
        <v/>
      </c>
      <c r="AN193" s="42">
        <f>(AN190-AN191)*$H$19</f>
        <v/>
      </c>
      <c r="AO193" s="42">
        <f>(AO190-AO191)*$H$19</f>
        <v/>
      </c>
      <c r="AP193" s="42">
        <f>(AP190-AP191)*$H$19</f>
        <v/>
      </c>
      <c r="AQ193" s="42">
        <f>(AQ190-AQ191)*$H$19</f>
        <v/>
      </c>
      <c r="AR193" s="42">
        <f>(AR190-AR191)*$H$19</f>
        <v/>
      </c>
      <c r="AS193" s="42">
        <f>(AS190-AS191)*$H$19</f>
        <v/>
      </c>
      <c r="AT193" s="42">
        <f>(AT190-AT191)*$H$19</f>
        <v/>
      </c>
      <c r="AU193" s="42">
        <f>(AU190-AU191)*$H$19</f>
        <v/>
      </c>
      <c r="AV193" s="42">
        <f>(AV190-AV191)*$H$19</f>
        <v/>
      </c>
      <c r="AW193" s="42">
        <f>(AW190-AW191)*$H$19</f>
        <v/>
      </c>
      <c r="AX193" s="42">
        <f>(AX190-AX191)*$H$19</f>
        <v/>
      </c>
      <c r="AY193" s="42">
        <f>(AY190-AY191)*$H$19</f>
        <v/>
      </c>
      <c r="AZ193" s="42">
        <f>(AZ190-AZ191)*$H$19</f>
        <v/>
      </c>
      <c r="BA193" s="42">
        <f>(BA190-BA191)*$H$19</f>
        <v/>
      </c>
      <c r="BB193" s="42">
        <f>(BB190-BB191)*$H$19</f>
        <v/>
      </c>
      <c r="BC193" s="42">
        <f>(BC190-BC191)*$H$19</f>
        <v/>
      </c>
      <c r="BD193" s="42">
        <f>(BD190-BD191)*$H$19</f>
        <v/>
      </c>
    </row>
    <row r="194">
      <c r="A194" s="26" t="inlineStr">
        <is>
          <t xml:space="preserve">   leaves the store (offered - returned)</t>
        </is>
      </c>
      <c r="B194" s="2" t="inlineStr">
        <is>
          <t>lb</t>
        </is>
      </c>
      <c r="E194" s="42">
        <f>E190-E193</f>
        <v/>
      </c>
      <c r="F194" s="42">
        <f>F190-F193</f>
        <v/>
      </c>
      <c r="G194" s="42">
        <f>G190-G193</f>
        <v/>
      </c>
      <c r="H194" s="42">
        <f>H190-H193</f>
        <v/>
      </c>
      <c r="I194" s="42">
        <f>I190-I193</f>
        <v/>
      </c>
      <c r="J194" s="42">
        <f>J190-J193</f>
        <v/>
      </c>
      <c r="K194" s="42">
        <f>K190-K193</f>
        <v/>
      </c>
      <c r="L194" s="42">
        <f>L190-L193</f>
        <v/>
      </c>
      <c r="M194" s="42">
        <f>M190-M193</f>
        <v/>
      </c>
      <c r="N194" s="42">
        <f>N190-N193</f>
        <v/>
      </c>
      <c r="O194" s="42">
        <f>O190-O193</f>
        <v/>
      </c>
      <c r="P194" s="42">
        <f>P190-P193</f>
        <v/>
      </c>
      <c r="Q194" s="42">
        <f>Q190-Q193</f>
        <v/>
      </c>
      <c r="R194" s="42">
        <f>R190-R193</f>
        <v/>
      </c>
      <c r="S194" s="42">
        <f>S190-S193</f>
        <v/>
      </c>
      <c r="T194" s="42">
        <f>T190-T193</f>
        <v/>
      </c>
      <c r="U194" s="42">
        <f>U190-U193</f>
        <v/>
      </c>
      <c r="V194" s="42">
        <f>V190-V193</f>
        <v/>
      </c>
      <c r="W194" s="42">
        <f>W190-W193</f>
        <v/>
      </c>
      <c r="X194" s="42">
        <f>X190-X193</f>
        <v/>
      </c>
      <c r="Y194" s="42">
        <f>Y190-Y193</f>
        <v/>
      </c>
      <c r="Z194" s="42">
        <f>Z190-Z193</f>
        <v/>
      </c>
      <c r="AA194" s="42">
        <f>AA190-AA193</f>
        <v/>
      </c>
      <c r="AB194" s="42">
        <f>AB190-AB193</f>
        <v/>
      </c>
      <c r="AC194" s="42">
        <f>AC190-AC193</f>
        <v/>
      </c>
      <c r="AD194" s="42">
        <f>AD190-AD193</f>
        <v/>
      </c>
      <c r="AE194" s="42">
        <f>AE190-AE193</f>
        <v/>
      </c>
      <c r="AF194" s="42">
        <f>AF190-AF193</f>
        <v/>
      </c>
      <c r="AG194" s="42">
        <f>AG190-AG193</f>
        <v/>
      </c>
      <c r="AH194" s="42">
        <f>AH190-AH193</f>
        <v/>
      </c>
      <c r="AI194" s="42">
        <f>AI190-AI193</f>
        <v/>
      </c>
      <c r="AJ194" s="42">
        <f>AJ190-AJ193</f>
        <v/>
      </c>
      <c r="AK194" s="42">
        <f>AK190-AK193</f>
        <v/>
      </c>
      <c r="AL194" s="42">
        <f>AL190-AL193</f>
        <v/>
      </c>
      <c r="AM194" s="42">
        <f>AM190-AM193</f>
        <v/>
      </c>
      <c r="AN194" s="42">
        <f>AN190-AN193</f>
        <v/>
      </c>
      <c r="AO194" s="42">
        <f>AO190-AO193</f>
        <v/>
      </c>
      <c r="AP194" s="42">
        <f>AP190-AP193</f>
        <v/>
      </c>
      <c r="AQ194" s="42">
        <f>AQ190-AQ193</f>
        <v/>
      </c>
      <c r="AR194" s="42">
        <f>AR190-AR193</f>
        <v/>
      </c>
      <c r="AS194" s="42">
        <f>AS190-AS193</f>
        <v/>
      </c>
      <c r="AT194" s="42">
        <f>AT190-AT193</f>
        <v/>
      </c>
      <c r="AU194" s="42">
        <f>AU190-AU193</f>
        <v/>
      </c>
      <c r="AV194" s="42">
        <f>AV190-AV193</f>
        <v/>
      </c>
      <c r="AW194" s="42">
        <f>AW190-AW193</f>
        <v/>
      </c>
      <c r="AX194" s="42">
        <f>AX190-AX193</f>
        <v/>
      </c>
      <c r="AY194" s="42">
        <f>AY190-AY193</f>
        <v/>
      </c>
      <c r="AZ194" s="42">
        <f>AZ190-AZ193</f>
        <v/>
      </c>
      <c r="BA194" s="42">
        <f>BA190-BA193</f>
        <v/>
      </c>
      <c r="BB194" s="42">
        <f>BB190-BB193</f>
        <v/>
      </c>
      <c r="BC194" s="42">
        <f>BC190-BC193</f>
        <v/>
      </c>
      <c r="BD194" s="42">
        <f>BD190-BD193</f>
        <v/>
      </c>
    </row>
    <row r="195">
      <c r="A195" s="50" t="inlineStr">
        <is>
          <t>Wholesale — most you may sell this week</t>
        </is>
      </c>
      <c r="B195" s="2" t="inlineStr">
        <is>
          <t>lb</t>
        </is>
      </c>
      <c r="E195" s="51">
        <f>IF($C$20="Annual",$D$20-0,IF(AND(1&gt;=$E$20,1&lt;=$F$20),$D$20,0))</f>
        <v/>
      </c>
      <c r="F195" s="51">
        <f>IF($C$20="Annual",$D$20-SUM(E197:E197),IF(AND(2&gt;=$E$20,2&lt;=$F$20),$D$20,0))</f>
        <v/>
      </c>
      <c r="G195" s="51">
        <f>IF($C$20="Annual",$D$20-SUM(E197:F197),IF(AND(3&gt;=$E$20,3&lt;=$F$20),$D$20,0))</f>
        <v/>
      </c>
      <c r="H195" s="51">
        <f>IF($C$20="Annual",$D$20-SUM(E197:G197),IF(AND(4&gt;=$E$20,4&lt;=$F$20),$D$20,0))</f>
        <v/>
      </c>
      <c r="I195" s="51">
        <f>IF($C$20="Annual",$D$20-SUM(E197:H197),IF(AND(5&gt;=$E$20,5&lt;=$F$20),$D$20,0))</f>
        <v/>
      </c>
      <c r="J195" s="51">
        <f>IF($C$20="Annual",$D$20-SUM(E197:I197),IF(AND(6&gt;=$E$20,6&lt;=$F$20),$D$20,0))</f>
        <v/>
      </c>
      <c r="K195" s="51">
        <f>IF($C$20="Annual",$D$20-SUM(E197:J197),IF(AND(7&gt;=$E$20,7&lt;=$F$20),$D$20,0))</f>
        <v/>
      </c>
      <c r="L195" s="51">
        <f>IF($C$20="Annual",$D$20-SUM(E197:K197),IF(AND(8&gt;=$E$20,8&lt;=$F$20),$D$20,0))</f>
        <v/>
      </c>
      <c r="M195" s="51">
        <f>IF($C$20="Annual",$D$20-SUM(E197:L197),IF(AND(9&gt;=$E$20,9&lt;=$F$20),$D$20,0))</f>
        <v/>
      </c>
      <c r="N195" s="51">
        <f>IF($C$20="Annual",$D$20-SUM(E197:M197),IF(AND(10&gt;=$E$20,10&lt;=$F$20),$D$20,0))</f>
        <v/>
      </c>
      <c r="O195" s="51">
        <f>IF($C$20="Annual",$D$20-SUM(E197:N197),IF(AND(11&gt;=$E$20,11&lt;=$F$20),$D$20,0))</f>
        <v/>
      </c>
      <c r="P195" s="51">
        <f>IF($C$20="Annual",$D$20-SUM(E197:O197),IF(AND(12&gt;=$E$20,12&lt;=$F$20),$D$20,0))</f>
        <v/>
      </c>
      <c r="Q195" s="51">
        <f>IF($C$20="Annual",$D$20-SUM(E197:P197),IF(AND(13&gt;=$E$20,13&lt;=$F$20),$D$20,0))</f>
        <v/>
      </c>
      <c r="R195" s="51">
        <f>IF($C$20="Annual",$D$20-SUM(E197:Q197),IF(AND(14&gt;=$E$20,14&lt;=$F$20),$D$20,0))</f>
        <v/>
      </c>
      <c r="S195" s="51">
        <f>IF($C$20="Annual",$D$20-SUM(E197:R197),IF(AND(15&gt;=$E$20,15&lt;=$F$20),$D$20,0))</f>
        <v/>
      </c>
      <c r="T195" s="51">
        <f>IF($C$20="Annual",$D$20-SUM(E197:S197),IF(AND(16&gt;=$E$20,16&lt;=$F$20),$D$20,0))</f>
        <v/>
      </c>
      <c r="U195" s="51">
        <f>IF($C$20="Annual",$D$20-SUM(E197:T197),IF(AND(17&gt;=$E$20,17&lt;=$F$20),$D$20,0))</f>
        <v/>
      </c>
      <c r="V195" s="51">
        <f>IF($C$20="Annual",$D$20-SUM(E197:U197),IF(AND(18&gt;=$E$20,18&lt;=$F$20),$D$20,0))</f>
        <v/>
      </c>
      <c r="W195" s="51">
        <f>IF($C$20="Annual",$D$20-SUM(E197:V197),IF(AND(19&gt;=$E$20,19&lt;=$F$20),$D$20,0))</f>
        <v/>
      </c>
      <c r="X195" s="51">
        <f>IF($C$20="Annual",$D$20-SUM(E197:W197),IF(AND(20&gt;=$E$20,20&lt;=$F$20),$D$20,0))</f>
        <v/>
      </c>
      <c r="Y195" s="51">
        <f>IF($C$20="Annual",$D$20-SUM(E197:X197),IF(AND(21&gt;=$E$20,21&lt;=$F$20),$D$20,0))</f>
        <v/>
      </c>
      <c r="Z195" s="51">
        <f>IF($C$20="Annual",$D$20-SUM(E197:Y197),IF(AND(22&gt;=$E$20,22&lt;=$F$20),$D$20,0))</f>
        <v/>
      </c>
      <c r="AA195" s="51">
        <f>IF($C$20="Annual",$D$20-SUM(E197:Z197),IF(AND(23&gt;=$E$20,23&lt;=$F$20),$D$20,0))</f>
        <v/>
      </c>
      <c r="AB195" s="51">
        <f>IF($C$20="Annual",$D$20-SUM(E197:AA197),IF(AND(24&gt;=$E$20,24&lt;=$F$20),$D$20,0))</f>
        <v/>
      </c>
      <c r="AC195" s="51">
        <f>IF($C$20="Annual",$D$20-SUM(E197:AB197),IF(AND(25&gt;=$E$20,25&lt;=$F$20),$D$20,0))</f>
        <v/>
      </c>
      <c r="AD195" s="51">
        <f>IF($C$20="Annual",$D$20-SUM(E197:AC197),IF(AND(26&gt;=$E$20,26&lt;=$F$20),$D$20,0))</f>
        <v/>
      </c>
      <c r="AE195" s="51">
        <f>IF($C$20="Annual",$D$20-SUM(E197:AD197),IF(AND(27&gt;=$E$20,27&lt;=$F$20),$D$20,0))</f>
        <v/>
      </c>
      <c r="AF195" s="51">
        <f>IF($C$20="Annual",$D$20-SUM(E197:AE197),IF(AND(28&gt;=$E$20,28&lt;=$F$20),$D$20,0))</f>
        <v/>
      </c>
      <c r="AG195" s="51">
        <f>IF($C$20="Annual",$D$20-SUM(E197:AF197),IF(AND(29&gt;=$E$20,29&lt;=$F$20),$D$20,0))</f>
        <v/>
      </c>
      <c r="AH195" s="51">
        <f>IF($C$20="Annual",$D$20-SUM(E197:AG197),IF(AND(30&gt;=$E$20,30&lt;=$F$20),$D$20,0))</f>
        <v/>
      </c>
      <c r="AI195" s="51">
        <f>IF($C$20="Annual",$D$20-SUM(E197:AH197),IF(AND(31&gt;=$E$20,31&lt;=$F$20),$D$20,0))</f>
        <v/>
      </c>
      <c r="AJ195" s="51">
        <f>IF($C$20="Annual",$D$20-SUM(E197:AI197),IF(AND(32&gt;=$E$20,32&lt;=$F$20),$D$20,0))</f>
        <v/>
      </c>
      <c r="AK195" s="51">
        <f>IF($C$20="Annual",$D$20-SUM(E197:AJ197),IF(AND(33&gt;=$E$20,33&lt;=$F$20),$D$20,0))</f>
        <v/>
      </c>
      <c r="AL195" s="51">
        <f>IF($C$20="Annual",$D$20-SUM(E197:AK197),IF(AND(34&gt;=$E$20,34&lt;=$F$20),$D$20,0))</f>
        <v/>
      </c>
      <c r="AM195" s="51">
        <f>IF($C$20="Annual",$D$20-SUM(E197:AL197),IF(AND(35&gt;=$E$20,35&lt;=$F$20),$D$20,0))</f>
        <v/>
      </c>
      <c r="AN195" s="51">
        <f>IF($C$20="Annual",$D$20-SUM(E197:AM197),IF(AND(36&gt;=$E$20,36&lt;=$F$20),$D$20,0))</f>
        <v/>
      </c>
      <c r="AO195" s="51">
        <f>IF($C$20="Annual",$D$20-SUM(E197:AN197),IF(AND(37&gt;=$E$20,37&lt;=$F$20),$D$20,0))</f>
        <v/>
      </c>
      <c r="AP195" s="51">
        <f>IF($C$20="Annual",$D$20-SUM(E197:AO197),IF(AND(38&gt;=$E$20,38&lt;=$F$20),$D$20,0))</f>
        <v/>
      </c>
      <c r="AQ195" s="51">
        <f>IF($C$20="Annual",$D$20-SUM(E197:AP197),IF(AND(39&gt;=$E$20,39&lt;=$F$20),$D$20,0))</f>
        <v/>
      </c>
      <c r="AR195" s="51">
        <f>IF($C$20="Annual",$D$20-SUM(E197:AQ197),IF(AND(40&gt;=$E$20,40&lt;=$F$20),$D$20,0))</f>
        <v/>
      </c>
      <c r="AS195" s="51">
        <f>IF($C$20="Annual",$D$20-SUM(E197:AR197),IF(AND(41&gt;=$E$20,41&lt;=$F$20),$D$20,0))</f>
        <v/>
      </c>
      <c r="AT195" s="51">
        <f>IF($C$20="Annual",$D$20-SUM(E197:AS197),IF(AND(42&gt;=$E$20,42&lt;=$F$20),$D$20,0))</f>
        <v/>
      </c>
      <c r="AU195" s="51">
        <f>IF($C$20="Annual",$D$20-SUM(E197:AT197),IF(AND(43&gt;=$E$20,43&lt;=$F$20),$D$20,0))</f>
        <v/>
      </c>
      <c r="AV195" s="51">
        <f>IF($C$20="Annual",$D$20-SUM(E197:AU197),IF(AND(44&gt;=$E$20,44&lt;=$F$20),$D$20,0))</f>
        <v/>
      </c>
      <c r="AW195" s="51">
        <f>IF($C$20="Annual",$D$20-SUM(E197:AV197),IF(AND(45&gt;=$E$20,45&lt;=$F$20),$D$20,0))</f>
        <v/>
      </c>
      <c r="AX195" s="51">
        <f>IF($C$20="Annual",$D$20-SUM(E197:AW197),IF(AND(46&gt;=$E$20,46&lt;=$F$20),$D$20,0))</f>
        <v/>
      </c>
      <c r="AY195" s="51">
        <f>IF($C$20="Annual",$D$20-SUM(E197:AX197),IF(AND(47&gt;=$E$20,47&lt;=$F$20),$D$20,0))</f>
        <v/>
      </c>
      <c r="AZ195" s="51">
        <f>IF($C$20="Annual",$D$20-SUM(E197:AY197),IF(AND(48&gt;=$E$20,48&lt;=$F$20),$D$20,0))</f>
        <v/>
      </c>
      <c r="BA195" s="51">
        <f>IF($C$20="Annual",$D$20-SUM(E197:AZ197),IF(AND(49&gt;=$E$20,49&lt;=$F$20),$D$20,0))</f>
        <v/>
      </c>
      <c r="BB195" s="51">
        <f>IF($C$20="Annual",$D$20-SUM(E197:BA197),IF(AND(50&gt;=$E$20,50&lt;=$F$20),$D$20,0))</f>
        <v/>
      </c>
      <c r="BC195" s="51">
        <f>IF($C$20="Annual",$D$20-SUM(E197:BB197),IF(AND(51&gt;=$E$20,51&lt;=$F$20),$D$20,0))</f>
        <v/>
      </c>
      <c r="BD195" s="51">
        <f>IF($C$20="Annual",$D$20-SUM(E197:BC197),IF(AND(52&gt;=$E$20,52&lt;=$F$20),$D$20,0))</f>
        <v/>
      </c>
    </row>
    <row r="196">
      <c r="A196" s="24" t="inlineStr">
        <is>
          <t>Wholesale — OFFERED</t>
        </is>
      </c>
      <c r="B196" s="2" t="inlineStr">
        <is>
          <t>lb  &lt;-- SOLVER</t>
        </is>
      </c>
      <c r="E196" s="44" t="n">
        <v>0</v>
      </c>
      <c r="F196" s="44" t="n">
        <v>0</v>
      </c>
      <c r="G196" s="44" t="n">
        <v>0</v>
      </c>
      <c r="H196" s="44" t="n">
        <v>0</v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  <c r="AL196" s="44" t="n">
        <v>0</v>
      </c>
      <c r="AM196" s="44" t="n">
        <v>0</v>
      </c>
      <c r="AN196" s="44" t="n">
        <v>0</v>
      </c>
      <c r="AO196" s="44" t="n">
        <v>0</v>
      </c>
      <c r="AP196" s="44" t="n">
        <v>0</v>
      </c>
      <c r="AQ196" s="44" t="n">
        <v>0</v>
      </c>
      <c r="AR196" s="44" t="n">
        <v>0</v>
      </c>
      <c r="AS196" s="44" t="n">
        <v>0</v>
      </c>
      <c r="AT196" s="44" t="n">
        <v>0</v>
      </c>
      <c r="AU196" s="44" t="n">
        <v>0</v>
      </c>
      <c r="AV196" s="44" t="n">
        <v>0</v>
      </c>
      <c r="AW196" s="44" t="n">
        <v>0</v>
      </c>
      <c r="AX196" s="44" t="n">
        <v>0</v>
      </c>
      <c r="AY196" s="44" t="n">
        <v>0</v>
      </c>
      <c r="AZ196" s="44" t="n">
        <v>0</v>
      </c>
      <c r="BA196" s="44" t="n">
        <v>0</v>
      </c>
      <c r="BB196" s="44" t="n">
        <v>0</v>
      </c>
      <c r="BC196" s="44" t="n">
        <v>0</v>
      </c>
      <c r="BD196" s="44" t="n">
        <v>0</v>
      </c>
    </row>
    <row r="197">
      <c r="A197" s="52" t="inlineStr">
        <is>
          <t>Wholesale — SOLD</t>
        </is>
      </c>
      <c r="B197" s="2" t="inlineStr">
        <is>
          <t>lb</t>
        </is>
      </c>
      <c r="E197" s="51">
        <f>E196*$G$20</f>
        <v/>
      </c>
      <c r="F197" s="51">
        <f>F196*$G$20</f>
        <v/>
      </c>
      <c r="G197" s="51">
        <f>G196*$G$20</f>
        <v/>
      </c>
      <c r="H197" s="51">
        <f>H196*$G$20</f>
        <v/>
      </c>
      <c r="I197" s="51">
        <f>I196*$G$20</f>
        <v/>
      </c>
      <c r="J197" s="51">
        <f>J196*$G$20</f>
        <v/>
      </c>
      <c r="K197" s="51">
        <f>K196*$G$20</f>
        <v/>
      </c>
      <c r="L197" s="51">
        <f>L196*$G$20</f>
        <v/>
      </c>
      <c r="M197" s="51">
        <f>M196*$G$20</f>
        <v/>
      </c>
      <c r="N197" s="51">
        <f>N196*$G$20</f>
        <v/>
      </c>
      <c r="O197" s="51">
        <f>O196*$G$20</f>
        <v/>
      </c>
      <c r="P197" s="51">
        <f>P196*$G$20</f>
        <v/>
      </c>
      <c r="Q197" s="51">
        <f>Q196*$G$20</f>
        <v/>
      </c>
      <c r="R197" s="51">
        <f>R196*$G$20</f>
        <v/>
      </c>
      <c r="S197" s="51">
        <f>S196*$G$20</f>
        <v/>
      </c>
      <c r="T197" s="51">
        <f>T196*$G$20</f>
        <v/>
      </c>
      <c r="U197" s="51">
        <f>U196*$G$20</f>
        <v/>
      </c>
      <c r="V197" s="51">
        <f>V196*$G$20</f>
        <v/>
      </c>
      <c r="W197" s="51">
        <f>W196*$G$20</f>
        <v/>
      </c>
      <c r="X197" s="51">
        <f>X196*$G$20</f>
        <v/>
      </c>
      <c r="Y197" s="51">
        <f>Y196*$G$20</f>
        <v/>
      </c>
      <c r="Z197" s="51">
        <f>Z196*$G$20</f>
        <v/>
      </c>
      <c r="AA197" s="51">
        <f>AA196*$G$20</f>
        <v/>
      </c>
      <c r="AB197" s="51">
        <f>AB196*$G$20</f>
        <v/>
      </c>
      <c r="AC197" s="51">
        <f>AC196*$G$20</f>
        <v/>
      </c>
      <c r="AD197" s="51">
        <f>AD196*$G$20</f>
        <v/>
      </c>
      <c r="AE197" s="51">
        <f>AE196*$G$20</f>
        <v/>
      </c>
      <c r="AF197" s="51">
        <f>AF196*$G$20</f>
        <v/>
      </c>
      <c r="AG197" s="51">
        <f>AG196*$G$20</f>
        <v/>
      </c>
      <c r="AH197" s="51">
        <f>AH196*$G$20</f>
        <v/>
      </c>
      <c r="AI197" s="51">
        <f>AI196*$G$20</f>
        <v/>
      </c>
      <c r="AJ197" s="51">
        <f>AJ196*$G$20</f>
        <v/>
      </c>
      <c r="AK197" s="51">
        <f>AK196*$G$20</f>
        <v/>
      </c>
      <c r="AL197" s="51">
        <f>AL196*$G$20</f>
        <v/>
      </c>
      <c r="AM197" s="51">
        <f>AM196*$G$20</f>
        <v/>
      </c>
      <c r="AN197" s="51">
        <f>AN196*$G$20</f>
        <v/>
      </c>
      <c r="AO197" s="51">
        <f>AO196*$G$20</f>
        <v/>
      </c>
      <c r="AP197" s="51">
        <f>AP196*$G$20</f>
        <v/>
      </c>
      <c r="AQ197" s="51">
        <f>AQ196*$G$20</f>
        <v/>
      </c>
      <c r="AR197" s="51">
        <f>AR196*$G$20</f>
        <v/>
      </c>
      <c r="AS197" s="51">
        <f>AS196*$G$20</f>
        <v/>
      </c>
      <c r="AT197" s="51">
        <f>AT196*$G$20</f>
        <v/>
      </c>
      <c r="AU197" s="51">
        <f>AU196*$G$20</f>
        <v/>
      </c>
      <c r="AV197" s="51">
        <f>AV196*$G$20</f>
        <v/>
      </c>
      <c r="AW197" s="51">
        <f>AW196*$G$20</f>
        <v/>
      </c>
      <c r="AX197" s="51">
        <f>AX196*$G$20</f>
        <v/>
      </c>
      <c r="AY197" s="51">
        <f>AY196*$G$20</f>
        <v/>
      </c>
      <c r="AZ197" s="51">
        <f>AZ196*$G$20</f>
        <v/>
      </c>
      <c r="BA197" s="51">
        <f>BA196*$G$20</f>
        <v/>
      </c>
      <c r="BB197" s="51">
        <f>BB196*$G$20</f>
        <v/>
      </c>
      <c r="BC197" s="51">
        <f>BC196*$G$20</f>
        <v/>
      </c>
      <c r="BD197" s="51">
        <f>BD196*$G$20</f>
        <v/>
      </c>
    </row>
    <row r="198">
      <c r="A198" s="26" t="inlineStr">
        <is>
          <t xml:space="preserve">   market loss (gone)</t>
        </is>
      </c>
      <c r="B198" s="2" t="inlineStr">
        <is>
          <t>lb</t>
        </is>
      </c>
      <c r="E198" s="42">
        <f>(E196-E197)*(1-$H$20)</f>
        <v/>
      </c>
      <c r="F198" s="42">
        <f>(F196-F197)*(1-$H$20)</f>
        <v/>
      </c>
      <c r="G198" s="42">
        <f>(G196-G197)*(1-$H$20)</f>
        <v/>
      </c>
      <c r="H198" s="42">
        <f>(H196-H197)*(1-$H$20)</f>
        <v/>
      </c>
      <c r="I198" s="42">
        <f>(I196-I197)*(1-$H$20)</f>
        <v/>
      </c>
      <c r="J198" s="42">
        <f>(J196-J197)*(1-$H$20)</f>
        <v/>
      </c>
      <c r="K198" s="42">
        <f>(K196-K197)*(1-$H$20)</f>
        <v/>
      </c>
      <c r="L198" s="42">
        <f>(L196-L197)*(1-$H$20)</f>
        <v/>
      </c>
      <c r="M198" s="42">
        <f>(M196-M197)*(1-$H$20)</f>
        <v/>
      </c>
      <c r="N198" s="42">
        <f>(N196-N197)*(1-$H$20)</f>
        <v/>
      </c>
      <c r="O198" s="42">
        <f>(O196-O197)*(1-$H$20)</f>
        <v/>
      </c>
      <c r="P198" s="42">
        <f>(P196-P197)*(1-$H$20)</f>
        <v/>
      </c>
      <c r="Q198" s="42">
        <f>(Q196-Q197)*(1-$H$20)</f>
        <v/>
      </c>
      <c r="R198" s="42">
        <f>(R196-R197)*(1-$H$20)</f>
        <v/>
      </c>
      <c r="S198" s="42">
        <f>(S196-S197)*(1-$H$20)</f>
        <v/>
      </c>
      <c r="T198" s="42">
        <f>(T196-T197)*(1-$H$20)</f>
        <v/>
      </c>
      <c r="U198" s="42">
        <f>(U196-U197)*(1-$H$20)</f>
        <v/>
      </c>
      <c r="V198" s="42">
        <f>(V196-V197)*(1-$H$20)</f>
        <v/>
      </c>
      <c r="W198" s="42">
        <f>(W196-W197)*(1-$H$20)</f>
        <v/>
      </c>
      <c r="X198" s="42">
        <f>(X196-X197)*(1-$H$20)</f>
        <v/>
      </c>
      <c r="Y198" s="42">
        <f>(Y196-Y197)*(1-$H$20)</f>
        <v/>
      </c>
      <c r="Z198" s="42">
        <f>(Z196-Z197)*(1-$H$20)</f>
        <v/>
      </c>
      <c r="AA198" s="42">
        <f>(AA196-AA197)*(1-$H$20)</f>
        <v/>
      </c>
      <c r="AB198" s="42">
        <f>(AB196-AB197)*(1-$H$20)</f>
        <v/>
      </c>
      <c r="AC198" s="42">
        <f>(AC196-AC197)*(1-$H$20)</f>
        <v/>
      </c>
      <c r="AD198" s="42">
        <f>(AD196-AD197)*(1-$H$20)</f>
        <v/>
      </c>
      <c r="AE198" s="42">
        <f>(AE196-AE197)*(1-$H$20)</f>
        <v/>
      </c>
      <c r="AF198" s="42">
        <f>(AF196-AF197)*(1-$H$20)</f>
        <v/>
      </c>
      <c r="AG198" s="42">
        <f>(AG196-AG197)*(1-$H$20)</f>
        <v/>
      </c>
      <c r="AH198" s="42">
        <f>(AH196-AH197)*(1-$H$20)</f>
        <v/>
      </c>
      <c r="AI198" s="42">
        <f>(AI196-AI197)*(1-$H$20)</f>
        <v/>
      </c>
      <c r="AJ198" s="42">
        <f>(AJ196-AJ197)*(1-$H$20)</f>
        <v/>
      </c>
      <c r="AK198" s="42">
        <f>(AK196-AK197)*(1-$H$20)</f>
        <v/>
      </c>
      <c r="AL198" s="42">
        <f>(AL196-AL197)*(1-$H$20)</f>
        <v/>
      </c>
      <c r="AM198" s="42">
        <f>(AM196-AM197)*(1-$H$20)</f>
        <v/>
      </c>
      <c r="AN198" s="42">
        <f>(AN196-AN197)*(1-$H$20)</f>
        <v/>
      </c>
      <c r="AO198" s="42">
        <f>(AO196-AO197)*(1-$H$20)</f>
        <v/>
      </c>
      <c r="AP198" s="42">
        <f>(AP196-AP197)*(1-$H$20)</f>
        <v/>
      </c>
      <c r="AQ198" s="42">
        <f>(AQ196-AQ197)*(1-$H$20)</f>
        <v/>
      </c>
      <c r="AR198" s="42">
        <f>(AR196-AR197)*(1-$H$20)</f>
        <v/>
      </c>
      <c r="AS198" s="42">
        <f>(AS196-AS197)*(1-$H$20)</f>
        <v/>
      </c>
      <c r="AT198" s="42">
        <f>(AT196-AT197)*(1-$H$20)</f>
        <v/>
      </c>
      <c r="AU198" s="42">
        <f>(AU196-AU197)*(1-$H$20)</f>
        <v/>
      </c>
      <c r="AV198" s="42">
        <f>(AV196-AV197)*(1-$H$20)</f>
        <v/>
      </c>
      <c r="AW198" s="42">
        <f>(AW196-AW197)*(1-$H$20)</f>
        <v/>
      </c>
      <c r="AX198" s="42">
        <f>(AX196-AX197)*(1-$H$20)</f>
        <v/>
      </c>
      <c r="AY198" s="42">
        <f>(AY196-AY197)*(1-$H$20)</f>
        <v/>
      </c>
      <c r="AZ198" s="42">
        <f>(AZ196-AZ197)*(1-$H$20)</f>
        <v/>
      </c>
      <c r="BA198" s="42">
        <f>(BA196-BA197)*(1-$H$20)</f>
        <v/>
      </c>
      <c r="BB198" s="42">
        <f>(BB196-BB197)*(1-$H$20)</f>
        <v/>
      </c>
      <c r="BC198" s="42">
        <f>(BC196-BC197)*(1-$H$20)</f>
        <v/>
      </c>
      <c r="BD198" s="42">
        <f>(BD196-BD197)*(1-$H$20)</f>
        <v/>
      </c>
    </row>
    <row r="199">
      <c r="A199" s="26" t="inlineStr">
        <is>
          <t xml:space="preserve">   returned to store</t>
        </is>
      </c>
      <c r="B199" s="2" t="inlineStr">
        <is>
          <t>lb</t>
        </is>
      </c>
      <c r="E199" s="42">
        <f>(E196-E197)*$H$20</f>
        <v/>
      </c>
      <c r="F199" s="42">
        <f>(F196-F197)*$H$20</f>
        <v/>
      </c>
      <c r="G199" s="42">
        <f>(G196-G197)*$H$20</f>
        <v/>
      </c>
      <c r="H199" s="42">
        <f>(H196-H197)*$H$20</f>
        <v/>
      </c>
      <c r="I199" s="42">
        <f>(I196-I197)*$H$20</f>
        <v/>
      </c>
      <c r="J199" s="42">
        <f>(J196-J197)*$H$20</f>
        <v/>
      </c>
      <c r="K199" s="42">
        <f>(K196-K197)*$H$20</f>
        <v/>
      </c>
      <c r="L199" s="42">
        <f>(L196-L197)*$H$20</f>
        <v/>
      </c>
      <c r="M199" s="42">
        <f>(M196-M197)*$H$20</f>
        <v/>
      </c>
      <c r="N199" s="42">
        <f>(N196-N197)*$H$20</f>
        <v/>
      </c>
      <c r="O199" s="42">
        <f>(O196-O197)*$H$20</f>
        <v/>
      </c>
      <c r="P199" s="42">
        <f>(P196-P197)*$H$20</f>
        <v/>
      </c>
      <c r="Q199" s="42">
        <f>(Q196-Q197)*$H$20</f>
        <v/>
      </c>
      <c r="R199" s="42">
        <f>(R196-R197)*$H$20</f>
        <v/>
      </c>
      <c r="S199" s="42">
        <f>(S196-S197)*$H$20</f>
        <v/>
      </c>
      <c r="T199" s="42">
        <f>(T196-T197)*$H$20</f>
        <v/>
      </c>
      <c r="U199" s="42">
        <f>(U196-U197)*$H$20</f>
        <v/>
      </c>
      <c r="V199" s="42">
        <f>(V196-V197)*$H$20</f>
        <v/>
      </c>
      <c r="W199" s="42">
        <f>(W196-W197)*$H$20</f>
        <v/>
      </c>
      <c r="X199" s="42">
        <f>(X196-X197)*$H$20</f>
        <v/>
      </c>
      <c r="Y199" s="42">
        <f>(Y196-Y197)*$H$20</f>
        <v/>
      </c>
      <c r="Z199" s="42">
        <f>(Z196-Z197)*$H$20</f>
        <v/>
      </c>
      <c r="AA199" s="42">
        <f>(AA196-AA197)*$H$20</f>
        <v/>
      </c>
      <c r="AB199" s="42">
        <f>(AB196-AB197)*$H$20</f>
        <v/>
      </c>
      <c r="AC199" s="42">
        <f>(AC196-AC197)*$H$20</f>
        <v/>
      </c>
      <c r="AD199" s="42">
        <f>(AD196-AD197)*$H$20</f>
        <v/>
      </c>
      <c r="AE199" s="42">
        <f>(AE196-AE197)*$H$20</f>
        <v/>
      </c>
      <c r="AF199" s="42">
        <f>(AF196-AF197)*$H$20</f>
        <v/>
      </c>
      <c r="AG199" s="42">
        <f>(AG196-AG197)*$H$20</f>
        <v/>
      </c>
      <c r="AH199" s="42">
        <f>(AH196-AH197)*$H$20</f>
        <v/>
      </c>
      <c r="AI199" s="42">
        <f>(AI196-AI197)*$H$20</f>
        <v/>
      </c>
      <c r="AJ199" s="42">
        <f>(AJ196-AJ197)*$H$20</f>
        <v/>
      </c>
      <c r="AK199" s="42">
        <f>(AK196-AK197)*$H$20</f>
        <v/>
      </c>
      <c r="AL199" s="42">
        <f>(AL196-AL197)*$H$20</f>
        <v/>
      </c>
      <c r="AM199" s="42">
        <f>(AM196-AM197)*$H$20</f>
        <v/>
      </c>
      <c r="AN199" s="42">
        <f>(AN196-AN197)*$H$20</f>
        <v/>
      </c>
      <c r="AO199" s="42">
        <f>(AO196-AO197)*$H$20</f>
        <v/>
      </c>
      <c r="AP199" s="42">
        <f>(AP196-AP197)*$H$20</f>
        <v/>
      </c>
      <c r="AQ199" s="42">
        <f>(AQ196-AQ197)*$H$20</f>
        <v/>
      </c>
      <c r="AR199" s="42">
        <f>(AR196-AR197)*$H$20</f>
        <v/>
      </c>
      <c r="AS199" s="42">
        <f>(AS196-AS197)*$H$20</f>
        <v/>
      </c>
      <c r="AT199" s="42">
        <f>(AT196-AT197)*$H$20</f>
        <v/>
      </c>
      <c r="AU199" s="42">
        <f>(AU196-AU197)*$H$20</f>
        <v/>
      </c>
      <c r="AV199" s="42">
        <f>(AV196-AV197)*$H$20</f>
        <v/>
      </c>
      <c r="AW199" s="42">
        <f>(AW196-AW197)*$H$20</f>
        <v/>
      </c>
      <c r="AX199" s="42">
        <f>(AX196-AX197)*$H$20</f>
        <v/>
      </c>
      <c r="AY199" s="42">
        <f>(AY196-AY197)*$H$20</f>
        <v/>
      </c>
      <c r="AZ199" s="42">
        <f>(AZ196-AZ197)*$H$20</f>
        <v/>
      </c>
      <c r="BA199" s="42">
        <f>(BA196-BA197)*$H$20</f>
        <v/>
      </c>
      <c r="BB199" s="42">
        <f>(BB196-BB197)*$H$20</f>
        <v/>
      </c>
      <c r="BC199" s="42">
        <f>(BC196-BC197)*$H$20</f>
        <v/>
      </c>
      <c r="BD199" s="42">
        <f>(BD196-BD197)*$H$20</f>
        <v/>
      </c>
    </row>
    <row r="200">
      <c r="A200" s="26" t="inlineStr">
        <is>
          <t xml:space="preserve">   leaves the store (offered - returned)</t>
        </is>
      </c>
      <c r="B200" s="2" t="inlineStr">
        <is>
          <t>lb</t>
        </is>
      </c>
      <c r="E200" s="42">
        <f>E196-E199</f>
        <v/>
      </c>
      <c r="F200" s="42">
        <f>F196-F199</f>
        <v/>
      </c>
      <c r="G200" s="42">
        <f>G196-G199</f>
        <v/>
      </c>
      <c r="H200" s="42">
        <f>H196-H199</f>
        <v/>
      </c>
      <c r="I200" s="42">
        <f>I196-I199</f>
        <v/>
      </c>
      <c r="J200" s="42">
        <f>J196-J199</f>
        <v/>
      </c>
      <c r="K200" s="42">
        <f>K196-K199</f>
        <v/>
      </c>
      <c r="L200" s="42">
        <f>L196-L199</f>
        <v/>
      </c>
      <c r="M200" s="42">
        <f>M196-M199</f>
        <v/>
      </c>
      <c r="N200" s="42">
        <f>N196-N199</f>
        <v/>
      </c>
      <c r="O200" s="42">
        <f>O196-O199</f>
        <v/>
      </c>
      <c r="P200" s="42">
        <f>P196-P199</f>
        <v/>
      </c>
      <c r="Q200" s="42">
        <f>Q196-Q199</f>
        <v/>
      </c>
      <c r="R200" s="42">
        <f>R196-R199</f>
        <v/>
      </c>
      <c r="S200" s="42">
        <f>S196-S199</f>
        <v/>
      </c>
      <c r="T200" s="42">
        <f>T196-T199</f>
        <v/>
      </c>
      <c r="U200" s="42">
        <f>U196-U199</f>
        <v/>
      </c>
      <c r="V200" s="42">
        <f>V196-V199</f>
        <v/>
      </c>
      <c r="W200" s="42">
        <f>W196-W199</f>
        <v/>
      </c>
      <c r="X200" s="42">
        <f>X196-X199</f>
        <v/>
      </c>
      <c r="Y200" s="42">
        <f>Y196-Y199</f>
        <v/>
      </c>
      <c r="Z200" s="42">
        <f>Z196-Z199</f>
        <v/>
      </c>
      <c r="AA200" s="42">
        <f>AA196-AA199</f>
        <v/>
      </c>
      <c r="AB200" s="42">
        <f>AB196-AB199</f>
        <v/>
      </c>
      <c r="AC200" s="42">
        <f>AC196-AC199</f>
        <v/>
      </c>
      <c r="AD200" s="42">
        <f>AD196-AD199</f>
        <v/>
      </c>
      <c r="AE200" s="42">
        <f>AE196-AE199</f>
        <v/>
      </c>
      <c r="AF200" s="42">
        <f>AF196-AF199</f>
        <v/>
      </c>
      <c r="AG200" s="42">
        <f>AG196-AG199</f>
        <v/>
      </c>
      <c r="AH200" s="42">
        <f>AH196-AH199</f>
        <v/>
      </c>
      <c r="AI200" s="42">
        <f>AI196-AI199</f>
        <v/>
      </c>
      <c r="AJ200" s="42">
        <f>AJ196-AJ199</f>
        <v/>
      </c>
      <c r="AK200" s="42">
        <f>AK196-AK199</f>
        <v/>
      </c>
      <c r="AL200" s="42">
        <f>AL196-AL199</f>
        <v/>
      </c>
      <c r="AM200" s="42">
        <f>AM196-AM199</f>
        <v/>
      </c>
      <c r="AN200" s="42">
        <f>AN196-AN199</f>
        <v/>
      </c>
      <c r="AO200" s="42">
        <f>AO196-AO199</f>
        <v/>
      </c>
      <c r="AP200" s="42">
        <f>AP196-AP199</f>
        <v/>
      </c>
      <c r="AQ200" s="42">
        <f>AQ196-AQ199</f>
        <v/>
      </c>
      <c r="AR200" s="42">
        <f>AR196-AR199</f>
        <v/>
      </c>
      <c r="AS200" s="42">
        <f>AS196-AS199</f>
        <v/>
      </c>
      <c r="AT200" s="42">
        <f>AT196-AT199</f>
        <v/>
      </c>
      <c r="AU200" s="42">
        <f>AU196-AU199</f>
        <v/>
      </c>
      <c r="AV200" s="42">
        <f>AV196-AV199</f>
        <v/>
      </c>
      <c r="AW200" s="42">
        <f>AW196-AW199</f>
        <v/>
      </c>
      <c r="AX200" s="42">
        <f>AX196-AX199</f>
        <v/>
      </c>
      <c r="AY200" s="42">
        <f>AY196-AY199</f>
        <v/>
      </c>
      <c r="AZ200" s="42">
        <f>AZ196-AZ199</f>
        <v/>
      </c>
      <c r="BA200" s="42">
        <f>BA196-BA199</f>
        <v/>
      </c>
      <c r="BB200" s="42">
        <f>BB196-BB199</f>
        <v/>
      </c>
      <c r="BC200" s="42">
        <f>BC196-BC199</f>
        <v/>
      </c>
      <c r="BD200" s="42">
        <f>BD196-BD199</f>
        <v/>
      </c>
    </row>
    <row r="201">
      <c r="A201" s="4" t="inlineStr">
        <is>
          <t>Stock carried out</t>
        </is>
      </c>
      <c r="B201" s="2" t="inlineStr">
        <is>
          <t>lb</t>
        </is>
      </c>
      <c r="E201" s="42">
        <f>E188-E194-E200</f>
        <v/>
      </c>
      <c r="F201" s="42">
        <f>F188-F194-F200</f>
        <v/>
      </c>
      <c r="G201" s="42">
        <f>G188-G194-G200</f>
        <v/>
      </c>
      <c r="H201" s="42">
        <f>H188-H194-H200</f>
        <v/>
      </c>
      <c r="I201" s="42">
        <f>I188-I194-I200</f>
        <v/>
      </c>
      <c r="J201" s="42">
        <f>J188-J194-J200</f>
        <v/>
      </c>
      <c r="K201" s="42">
        <f>K188-K194-K200</f>
        <v/>
      </c>
      <c r="L201" s="42">
        <f>L188-L194-L200</f>
        <v/>
      </c>
      <c r="M201" s="42">
        <f>M188-M194-M200</f>
        <v/>
      </c>
      <c r="N201" s="42">
        <f>N188-N194-N200</f>
        <v/>
      </c>
      <c r="O201" s="42">
        <f>O188-O194-O200</f>
        <v/>
      </c>
      <c r="P201" s="42">
        <f>P188-P194-P200</f>
        <v/>
      </c>
      <c r="Q201" s="42">
        <f>Q188-Q194-Q200</f>
        <v/>
      </c>
      <c r="R201" s="42">
        <f>R188-R194-R200</f>
        <v/>
      </c>
      <c r="S201" s="42">
        <f>S188-S194-S200</f>
        <v/>
      </c>
      <c r="T201" s="42">
        <f>T188-T194-T200</f>
        <v/>
      </c>
      <c r="U201" s="42">
        <f>U188-U194-U200</f>
        <v/>
      </c>
      <c r="V201" s="42">
        <f>V188-V194-V200</f>
        <v/>
      </c>
      <c r="W201" s="42">
        <f>W188-W194-W200</f>
        <v/>
      </c>
      <c r="X201" s="42">
        <f>X188-X194-X200</f>
        <v/>
      </c>
      <c r="Y201" s="42">
        <f>Y188-Y194-Y200</f>
        <v/>
      </c>
      <c r="Z201" s="42">
        <f>Z188-Z194-Z200</f>
        <v/>
      </c>
      <c r="AA201" s="42">
        <f>AA188-AA194-AA200</f>
        <v/>
      </c>
      <c r="AB201" s="42">
        <f>AB188-AB194-AB200</f>
        <v/>
      </c>
      <c r="AC201" s="42">
        <f>AC188-AC194-AC200</f>
        <v/>
      </c>
      <c r="AD201" s="42">
        <f>AD188-AD194-AD200</f>
        <v/>
      </c>
      <c r="AE201" s="42">
        <f>AE188-AE194-AE200</f>
        <v/>
      </c>
      <c r="AF201" s="42">
        <f>AF188-AF194-AF200</f>
        <v/>
      </c>
      <c r="AG201" s="42">
        <f>AG188-AG194-AG200</f>
        <v/>
      </c>
      <c r="AH201" s="42">
        <f>AH188-AH194-AH200</f>
        <v/>
      </c>
      <c r="AI201" s="42">
        <f>AI188-AI194-AI200</f>
        <v/>
      </c>
      <c r="AJ201" s="42">
        <f>AJ188-AJ194-AJ200</f>
        <v/>
      </c>
      <c r="AK201" s="42">
        <f>AK188-AK194-AK200</f>
        <v/>
      </c>
      <c r="AL201" s="42">
        <f>AL188-AL194-AL200</f>
        <v/>
      </c>
      <c r="AM201" s="42">
        <f>AM188-AM194-AM200</f>
        <v/>
      </c>
      <c r="AN201" s="42">
        <f>AN188-AN194-AN200</f>
        <v/>
      </c>
      <c r="AO201" s="42">
        <f>AO188-AO194-AO200</f>
        <v/>
      </c>
      <c r="AP201" s="42">
        <f>AP188-AP194-AP200</f>
        <v/>
      </c>
      <c r="AQ201" s="42">
        <f>AQ188-AQ194-AQ200</f>
        <v/>
      </c>
      <c r="AR201" s="42">
        <f>AR188-AR194-AR200</f>
        <v/>
      </c>
      <c r="AS201" s="42">
        <f>AS188-AS194-AS200</f>
        <v/>
      </c>
      <c r="AT201" s="42">
        <f>AT188-AT194-AT200</f>
        <v/>
      </c>
      <c r="AU201" s="42">
        <f>AU188-AU194-AU200</f>
        <v/>
      </c>
      <c r="AV201" s="42">
        <f>AV188-AV194-AV200</f>
        <v/>
      </c>
      <c r="AW201" s="42">
        <f>AW188-AW194-AW200</f>
        <v/>
      </c>
      <c r="AX201" s="42">
        <f>AX188-AX194-AX200</f>
        <v/>
      </c>
      <c r="AY201" s="42">
        <f>AY188-AY194-AY200</f>
        <v/>
      </c>
      <c r="AZ201" s="42">
        <f>AZ188-AZ194-AZ200</f>
        <v/>
      </c>
      <c r="BA201" s="42">
        <f>BA188-BA194-BA200</f>
        <v/>
      </c>
      <c r="BB201" s="42">
        <f>BB188-BB194-BB200</f>
        <v/>
      </c>
      <c r="BC201" s="42">
        <f>BC188-BC194-BC200</f>
        <v/>
      </c>
      <c r="BD201" s="42">
        <f>BD188-BD194-BD200</f>
        <v/>
      </c>
    </row>
    <row r="202">
      <c r="A202" s="2" t="inlineStr">
        <is>
          <t xml:space="preserve">   ^ subtracts what LEAVES, not what was offered — so 'returned to store' is</t>
        </is>
      </c>
    </row>
    <row r="203">
      <c r="A203" s="2" t="inlineStr">
        <is>
          <t xml:space="preserve">     never taken out at all, and shows up as next week's carried in.</t>
        </is>
      </c>
    </row>
    <row r="204">
      <c r="A204" s="26" t="inlineStr">
        <is>
          <t>Most stock its shelf life allows</t>
        </is>
      </c>
      <c r="B204" s="2" t="inlineStr">
        <is>
          <t>lb</t>
        </is>
      </c>
      <c r="E204" s="42">
        <f>SUMPRODUCT(($E$184:$BD$184&gt;=1-$F$12+2)*($E$184:$BD$184&lt;=1)*$E$185:$BD$185*POWER(1-$G$12,($E$184:$BD$184&lt;=1)*(1-$E$184:$BD$184)))</f>
        <v/>
      </c>
      <c r="F204" s="42">
        <f>SUMPRODUCT(($E$184:$BD$184&gt;=2-$F$12+2)*($E$184:$BD$184&lt;=2)*$E$185:$BD$185*POWER(1-$G$12,($E$184:$BD$184&lt;=2)*(2-$E$184:$BD$184)))</f>
        <v/>
      </c>
      <c r="G204" s="42">
        <f>SUMPRODUCT(($E$184:$BD$184&gt;=3-$F$12+2)*($E$184:$BD$184&lt;=3)*$E$185:$BD$185*POWER(1-$G$12,($E$184:$BD$184&lt;=3)*(3-$E$184:$BD$184)))</f>
        <v/>
      </c>
      <c r="H204" s="42">
        <f>SUMPRODUCT(($E$184:$BD$184&gt;=4-$F$12+2)*($E$184:$BD$184&lt;=4)*$E$185:$BD$185*POWER(1-$G$12,($E$184:$BD$184&lt;=4)*(4-$E$184:$BD$184)))</f>
        <v/>
      </c>
      <c r="I204" s="42">
        <f>SUMPRODUCT(($E$184:$BD$184&gt;=5-$F$12+2)*($E$184:$BD$184&lt;=5)*$E$185:$BD$185*POWER(1-$G$12,($E$184:$BD$184&lt;=5)*(5-$E$184:$BD$184)))</f>
        <v/>
      </c>
      <c r="J204" s="42">
        <f>SUMPRODUCT(($E$184:$BD$184&gt;=6-$F$12+2)*($E$184:$BD$184&lt;=6)*$E$185:$BD$185*POWER(1-$G$12,($E$184:$BD$184&lt;=6)*(6-$E$184:$BD$184)))</f>
        <v/>
      </c>
      <c r="K204" s="42">
        <f>SUMPRODUCT(($E$184:$BD$184&gt;=7-$F$12+2)*($E$184:$BD$184&lt;=7)*$E$185:$BD$185*POWER(1-$G$12,($E$184:$BD$184&lt;=7)*(7-$E$184:$BD$184)))</f>
        <v/>
      </c>
      <c r="L204" s="42">
        <f>SUMPRODUCT(($E$184:$BD$184&gt;=8-$F$12+2)*($E$184:$BD$184&lt;=8)*$E$185:$BD$185*POWER(1-$G$12,($E$184:$BD$184&lt;=8)*(8-$E$184:$BD$184)))</f>
        <v/>
      </c>
      <c r="M204" s="42">
        <f>SUMPRODUCT(($E$184:$BD$184&gt;=9-$F$12+2)*($E$184:$BD$184&lt;=9)*$E$185:$BD$185*POWER(1-$G$12,($E$184:$BD$184&lt;=9)*(9-$E$184:$BD$184)))</f>
        <v/>
      </c>
      <c r="N204" s="42">
        <f>SUMPRODUCT(($E$184:$BD$184&gt;=10-$F$12+2)*($E$184:$BD$184&lt;=10)*$E$185:$BD$185*POWER(1-$G$12,($E$184:$BD$184&lt;=10)*(10-$E$184:$BD$184)))</f>
        <v/>
      </c>
      <c r="O204" s="42">
        <f>SUMPRODUCT(($E$184:$BD$184&gt;=11-$F$12+2)*($E$184:$BD$184&lt;=11)*$E$185:$BD$185*POWER(1-$G$12,($E$184:$BD$184&lt;=11)*(11-$E$184:$BD$184)))</f>
        <v/>
      </c>
      <c r="P204" s="42">
        <f>SUMPRODUCT(($E$184:$BD$184&gt;=12-$F$12+2)*($E$184:$BD$184&lt;=12)*$E$185:$BD$185*POWER(1-$G$12,($E$184:$BD$184&lt;=12)*(12-$E$184:$BD$184)))</f>
        <v/>
      </c>
      <c r="Q204" s="42">
        <f>SUMPRODUCT(($E$184:$BD$184&gt;=13-$F$12+2)*($E$184:$BD$184&lt;=13)*$E$185:$BD$185*POWER(1-$G$12,($E$184:$BD$184&lt;=13)*(13-$E$184:$BD$184)))</f>
        <v/>
      </c>
      <c r="R204" s="42">
        <f>SUMPRODUCT(($E$184:$BD$184&gt;=14-$F$12+2)*($E$184:$BD$184&lt;=14)*$E$185:$BD$185*POWER(1-$G$12,($E$184:$BD$184&lt;=14)*(14-$E$184:$BD$184)))</f>
        <v/>
      </c>
      <c r="S204" s="42">
        <f>SUMPRODUCT(($E$184:$BD$184&gt;=15-$F$12+2)*($E$184:$BD$184&lt;=15)*$E$185:$BD$185*POWER(1-$G$12,($E$184:$BD$184&lt;=15)*(15-$E$184:$BD$184)))</f>
        <v/>
      </c>
      <c r="T204" s="42">
        <f>SUMPRODUCT(($E$184:$BD$184&gt;=16-$F$12+2)*($E$184:$BD$184&lt;=16)*$E$185:$BD$185*POWER(1-$G$12,($E$184:$BD$184&lt;=16)*(16-$E$184:$BD$184)))</f>
        <v/>
      </c>
      <c r="U204" s="42">
        <f>SUMPRODUCT(($E$184:$BD$184&gt;=17-$F$12+2)*($E$184:$BD$184&lt;=17)*$E$185:$BD$185*POWER(1-$G$12,($E$184:$BD$184&lt;=17)*(17-$E$184:$BD$184)))</f>
        <v/>
      </c>
      <c r="V204" s="42">
        <f>SUMPRODUCT(($E$184:$BD$184&gt;=18-$F$12+2)*($E$184:$BD$184&lt;=18)*$E$185:$BD$185*POWER(1-$G$12,($E$184:$BD$184&lt;=18)*(18-$E$184:$BD$184)))</f>
        <v/>
      </c>
      <c r="W204" s="42">
        <f>SUMPRODUCT(($E$184:$BD$184&gt;=19-$F$12+2)*($E$184:$BD$184&lt;=19)*$E$185:$BD$185*POWER(1-$G$12,($E$184:$BD$184&lt;=19)*(19-$E$184:$BD$184)))</f>
        <v/>
      </c>
      <c r="X204" s="42">
        <f>SUMPRODUCT(($E$184:$BD$184&gt;=20-$F$12+2)*($E$184:$BD$184&lt;=20)*$E$185:$BD$185*POWER(1-$G$12,($E$184:$BD$184&lt;=20)*(20-$E$184:$BD$184)))</f>
        <v/>
      </c>
      <c r="Y204" s="42">
        <f>SUMPRODUCT(($E$184:$BD$184&gt;=21-$F$12+2)*($E$184:$BD$184&lt;=21)*$E$185:$BD$185*POWER(1-$G$12,($E$184:$BD$184&lt;=21)*(21-$E$184:$BD$184)))</f>
        <v/>
      </c>
      <c r="Z204" s="42">
        <f>SUMPRODUCT(($E$184:$BD$184&gt;=22-$F$12+2)*($E$184:$BD$184&lt;=22)*$E$185:$BD$185*POWER(1-$G$12,($E$184:$BD$184&lt;=22)*(22-$E$184:$BD$184)))</f>
        <v/>
      </c>
      <c r="AA204" s="42">
        <f>SUMPRODUCT(($E$184:$BD$184&gt;=23-$F$12+2)*($E$184:$BD$184&lt;=23)*$E$185:$BD$185*POWER(1-$G$12,($E$184:$BD$184&lt;=23)*(23-$E$184:$BD$184)))</f>
        <v/>
      </c>
      <c r="AB204" s="42">
        <f>SUMPRODUCT(($E$184:$BD$184&gt;=24-$F$12+2)*($E$184:$BD$184&lt;=24)*$E$185:$BD$185*POWER(1-$G$12,($E$184:$BD$184&lt;=24)*(24-$E$184:$BD$184)))</f>
        <v/>
      </c>
      <c r="AC204" s="42">
        <f>SUMPRODUCT(($E$184:$BD$184&gt;=25-$F$12+2)*($E$184:$BD$184&lt;=25)*$E$185:$BD$185*POWER(1-$G$12,($E$184:$BD$184&lt;=25)*(25-$E$184:$BD$184)))</f>
        <v/>
      </c>
      <c r="AD204" s="42">
        <f>SUMPRODUCT(($E$184:$BD$184&gt;=26-$F$12+2)*($E$184:$BD$184&lt;=26)*$E$185:$BD$185*POWER(1-$G$12,($E$184:$BD$184&lt;=26)*(26-$E$184:$BD$184)))</f>
        <v/>
      </c>
      <c r="AE204" s="42">
        <f>SUMPRODUCT(($E$184:$BD$184&gt;=27-$F$12+2)*($E$184:$BD$184&lt;=27)*$E$185:$BD$185*POWER(1-$G$12,($E$184:$BD$184&lt;=27)*(27-$E$184:$BD$184)))</f>
        <v/>
      </c>
      <c r="AF204" s="42">
        <f>SUMPRODUCT(($E$184:$BD$184&gt;=28-$F$12+2)*($E$184:$BD$184&lt;=28)*$E$185:$BD$185*POWER(1-$G$12,($E$184:$BD$184&lt;=28)*(28-$E$184:$BD$184)))</f>
        <v/>
      </c>
      <c r="AG204" s="42">
        <f>SUMPRODUCT(($E$184:$BD$184&gt;=29-$F$12+2)*($E$184:$BD$184&lt;=29)*$E$185:$BD$185*POWER(1-$G$12,($E$184:$BD$184&lt;=29)*(29-$E$184:$BD$184)))</f>
        <v/>
      </c>
      <c r="AH204" s="42">
        <f>SUMPRODUCT(($E$184:$BD$184&gt;=30-$F$12+2)*($E$184:$BD$184&lt;=30)*$E$185:$BD$185*POWER(1-$G$12,($E$184:$BD$184&lt;=30)*(30-$E$184:$BD$184)))</f>
        <v/>
      </c>
      <c r="AI204" s="42">
        <f>SUMPRODUCT(($E$184:$BD$184&gt;=31-$F$12+2)*($E$184:$BD$184&lt;=31)*$E$185:$BD$185*POWER(1-$G$12,($E$184:$BD$184&lt;=31)*(31-$E$184:$BD$184)))</f>
        <v/>
      </c>
      <c r="AJ204" s="42">
        <f>SUMPRODUCT(($E$184:$BD$184&gt;=32-$F$12+2)*($E$184:$BD$184&lt;=32)*$E$185:$BD$185*POWER(1-$G$12,($E$184:$BD$184&lt;=32)*(32-$E$184:$BD$184)))</f>
        <v/>
      </c>
      <c r="AK204" s="42">
        <f>SUMPRODUCT(($E$184:$BD$184&gt;=33-$F$12+2)*($E$184:$BD$184&lt;=33)*$E$185:$BD$185*POWER(1-$G$12,($E$184:$BD$184&lt;=33)*(33-$E$184:$BD$184)))</f>
        <v/>
      </c>
      <c r="AL204" s="42">
        <f>SUMPRODUCT(($E$184:$BD$184&gt;=34-$F$12+2)*($E$184:$BD$184&lt;=34)*$E$185:$BD$185*POWER(1-$G$12,($E$184:$BD$184&lt;=34)*(34-$E$184:$BD$184)))</f>
        <v/>
      </c>
      <c r="AM204" s="42">
        <f>SUMPRODUCT(($E$184:$BD$184&gt;=35-$F$12+2)*($E$184:$BD$184&lt;=35)*$E$185:$BD$185*POWER(1-$G$12,($E$184:$BD$184&lt;=35)*(35-$E$184:$BD$184)))</f>
        <v/>
      </c>
      <c r="AN204" s="42">
        <f>SUMPRODUCT(($E$184:$BD$184&gt;=36-$F$12+2)*($E$184:$BD$184&lt;=36)*$E$185:$BD$185*POWER(1-$G$12,($E$184:$BD$184&lt;=36)*(36-$E$184:$BD$184)))</f>
        <v/>
      </c>
      <c r="AO204" s="42">
        <f>SUMPRODUCT(($E$184:$BD$184&gt;=37-$F$12+2)*($E$184:$BD$184&lt;=37)*$E$185:$BD$185*POWER(1-$G$12,($E$184:$BD$184&lt;=37)*(37-$E$184:$BD$184)))</f>
        <v/>
      </c>
      <c r="AP204" s="42">
        <f>SUMPRODUCT(($E$184:$BD$184&gt;=38-$F$12+2)*($E$184:$BD$184&lt;=38)*$E$185:$BD$185*POWER(1-$G$12,($E$184:$BD$184&lt;=38)*(38-$E$184:$BD$184)))</f>
        <v/>
      </c>
      <c r="AQ204" s="42">
        <f>SUMPRODUCT(($E$184:$BD$184&gt;=39-$F$12+2)*($E$184:$BD$184&lt;=39)*$E$185:$BD$185*POWER(1-$G$12,($E$184:$BD$184&lt;=39)*(39-$E$184:$BD$184)))</f>
        <v/>
      </c>
      <c r="AR204" s="42">
        <f>SUMPRODUCT(($E$184:$BD$184&gt;=40-$F$12+2)*($E$184:$BD$184&lt;=40)*$E$185:$BD$185*POWER(1-$G$12,($E$184:$BD$184&lt;=40)*(40-$E$184:$BD$184)))</f>
        <v/>
      </c>
      <c r="AS204" s="42">
        <f>SUMPRODUCT(($E$184:$BD$184&gt;=41-$F$12+2)*($E$184:$BD$184&lt;=41)*$E$185:$BD$185*POWER(1-$G$12,($E$184:$BD$184&lt;=41)*(41-$E$184:$BD$184)))</f>
        <v/>
      </c>
      <c r="AT204" s="42">
        <f>SUMPRODUCT(($E$184:$BD$184&gt;=42-$F$12+2)*($E$184:$BD$184&lt;=42)*$E$185:$BD$185*POWER(1-$G$12,($E$184:$BD$184&lt;=42)*(42-$E$184:$BD$184)))</f>
        <v/>
      </c>
      <c r="AU204" s="42">
        <f>SUMPRODUCT(($E$184:$BD$184&gt;=43-$F$12+2)*($E$184:$BD$184&lt;=43)*$E$185:$BD$185*POWER(1-$G$12,($E$184:$BD$184&lt;=43)*(43-$E$184:$BD$184)))</f>
        <v/>
      </c>
      <c r="AV204" s="42">
        <f>SUMPRODUCT(($E$184:$BD$184&gt;=44-$F$12+2)*($E$184:$BD$184&lt;=44)*$E$185:$BD$185*POWER(1-$G$12,($E$184:$BD$184&lt;=44)*(44-$E$184:$BD$184)))</f>
        <v/>
      </c>
      <c r="AW204" s="42">
        <f>SUMPRODUCT(($E$184:$BD$184&gt;=45-$F$12+2)*($E$184:$BD$184&lt;=45)*$E$185:$BD$185*POWER(1-$G$12,($E$184:$BD$184&lt;=45)*(45-$E$184:$BD$184)))</f>
        <v/>
      </c>
      <c r="AX204" s="42">
        <f>SUMPRODUCT(($E$184:$BD$184&gt;=46-$F$12+2)*($E$184:$BD$184&lt;=46)*$E$185:$BD$185*POWER(1-$G$12,($E$184:$BD$184&lt;=46)*(46-$E$184:$BD$184)))</f>
        <v/>
      </c>
      <c r="AY204" s="42">
        <f>SUMPRODUCT(($E$184:$BD$184&gt;=47-$F$12+2)*($E$184:$BD$184&lt;=47)*$E$185:$BD$185*POWER(1-$G$12,($E$184:$BD$184&lt;=47)*(47-$E$184:$BD$184)))</f>
        <v/>
      </c>
      <c r="AZ204" s="42">
        <f>SUMPRODUCT(($E$184:$BD$184&gt;=48-$F$12+2)*($E$184:$BD$184&lt;=48)*$E$185:$BD$185*POWER(1-$G$12,($E$184:$BD$184&lt;=48)*(48-$E$184:$BD$184)))</f>
        <v/>
      </c>
      <c r="BA204" s="42">
        <f>SUMPRODUCT(($E$184:$BD$184&gt;=49-$F$12+2)*($E$184:$BD$184&lt;=49)*$E$185:$BD$185*POWER(1-$G$12,($E$184:$BD$184&lt;=49)*(49-$E$184:$BD$184)))</f>
        <v/>
      </c>
      <c r="BB204" s="42">
        <f>SUMPRODUCT(($E$184:$BD$184&gt;=50-$F$12+2)*($E$184:$BD$184&lt;=50)*$E$185:$BD$185*POWER(1-$G$12,($E$184:$BD$184&lt;=50)*(50-$E$184:$BD$184)))</f>
        <v/>
      </c>
      <c r="BC204" s="42">
        <f>SUMPRODUCT(($E$184:$BD$184&gt;=51-$F$12+2)*($E$184:$BD$184&lt;=51)*$E$185:$BD$185*POWER(1-$G$12,($E$184:$BD$184&lt;=51)*(51-$E$184:$BD$184)))</f>
        <v/>
      </c>
      <c r="BD204" s="42">
        <f>SUMPRODUCT(($E$184:$BD$184&gt;=52-$F$12+2)*($E$184:$BD$184&lt;=52)*$E$185:$BD$185*POWER(1-$G$12,($E$184:$BD$184&lt;=52)*(52-$E$184:$BD$184)))</f>
        <v/>
      </c>
    </row>
    <row r="205">
      <c r="A205" s="2" t="inlineStr">
        <is>
          <t xml:space="preserve">   Stock carried out must stay at or below this row.</t>
        </is>
      </c>
    </row>
    <row r="206">
      <c r="A206" s="26" t="inlineStr">
        <is>
          <t>Growing cost this week</t>
        </is>
      </c>
      <c r="B206" s="2" t="inlineStr">
        <is>
          <t>$</t>
        </is>
      </c>
      <c r="E206" s="42">
        <f>SUMPRODUCT(($B$58:$B$125="Spinach")*(E$58:E$125="P")*$C$58:$C$125)*$K$12+SUMPRODUCT(($B$58:$B$125="Spinach")*(E$58:E$125="G")*$C$58:$C$125)*$L$12+SUMPRODUCT(($B$58:$B$125="Spinach")*(E$58:E$125="H")*$C$58:$C$125)*$M$12+SUMPRODUCT(($B$58:$B$125="Spinach")*($BG$58:$BG$125=1)*$C$58:$C$125)*$H$12</f>
        <v/>
      </c>
      <c r="F206" s="42">
        <f>SUMPRODUCT(($B$58:$B$125="Spinach")*(F$58:F$125="P")*$C$58:$C$125)*$K$12+SUMPRODUCT(($B$58:$B$125="Spinach")*(F$58:F$125="G")*$C$58:$C$125)*$L$12+SUMPRODUCT(($B$58:$B$125="Spinach")*(F$58:F$125="H")*$C$58:$C$125)*$M$12+SUMPRODUCT(($B$58:$B$125="Spinach")*($BG$58:$BG$125=2)*$C$58:$C$125)*$H$12</f>
        <v/>
      </c>
      <c r="G206" s="42">
        <f>SUMPRODUCT(($B$58:$B$125="Spinach")*(G$58:G$125="P")*$C$58:$C$125)*$K$12+SUMPRODUCT(($B$58:$B$125="Spinach")*(G$58:G$125="G")*$C$58:$C$125)*$L$12+SUMPRODUCT(($B$58:$B$125="Spinach")*(G$58:G$125="H")*$C$58:$C$125)*$M$12+SUMPRODUCT(($B$58:$B$125="Spinach")*($BG$58:$BG$125=3)*$C$58:$C$125)*$H$12</f>
        <v/>
      </c>
      <c r="H206" s="42">
        <f>SUMPRODUCT(($B$58:$B$125="Spinach")*(H$58:H$125="P")*$C$58:$C$125)*$K$12+SUMPRODUCT(($B$58:$B$125="Spinach")*(H$58:H$125="G")*$C$58:$C$125)*$L$12+SUMPRODUCT(($B$58:$B$125="Spinach")*(H$58:H$125="H")*$C$58:$C$125)*$M$12+SUMPRODUCT(($B$58:$B$125="Spinach")*($BG$58:$BG$125=4)*$C$58:$C$125)*$H$12</f>
        <v/>
      </c>
      <c r="I206" s="42">
        <f>SUMPRODUCT(($B$58:$B$125="Spinach")*(I$58:I$125="P")*$C$58:$C$125)*$K$12+SUMPRODUCT(($B$58:$B$125="Spinach")*(I$58:I$125="G")*$C$58:$C$125)*$L$12+SUMPRODUCT(($B$58:$B$125="Spinach")*(I$58:I$125="H")*$C$58:$C$125)*$M$12+SUMPRODUCT(($B$58:$B$125="Spinach")*($BG$58:$BG$125=5)*$C$58:$C$125)*$H$12</f>
        <v/>
      </c>
      <c r="J206" s="42">
        <f>SUMPRODUCT(($B$58:$B$125="Spinach")*(J$58:J$125="P")*$C$58:$C$125)*$K$12+SUMPRODUCT(($B$58:$B$125="Spinach")*(J$58:J$125="G")*$C$58:$C$125)*$L$12+SUMPRODUCT(($B$58:$B$125="Spinach")*(J$58:J$125="H")*$C$58:$C$125)*$M$12+SUMPRODUCT(($B$58:$B$125="Spinach")*($BG$58:$BG$125=6)*$C$58:$C$125)*$H$12</f>
        <v/>
      </c>
      <c r="K206" s="42">
        <f>SUMPRODUCT(($B$58:$B$125="Spinach")*(K$58:K$125="P")*$C$58:$C$125)*$K$12+SUMPRODUCT(($B$58:$B$125="Spinach")*(K$58:K$125="G")*$C$58:$C$125)*$L$12+SUMPRODUCT(($B$58:$B$125="Spinach")*(K$58:K$125="H")*$C$58:$C$125)*$M$12+SUMPRODUCT(($B$58:$B$125="Spinach")*($BG$58:$BG$125=7)*$C$58:$C$125)*$H$12</f>
        <v/>
      </c>
      <c r="L206" s="42">
        <f>SUMPRODUCT(($B$58:$B$125="Spinach")*(L$58:L$125="P")*$C$58:$C$125)*$K$12+SUMPRODUCT(($B$58:$B$125="Spinach")*(L$58:L$125="G")*$C$58:$C$125)*$L$12+SUMPRODUCT(($B$58:$B$125="Spinach")*(L$58:L$125="H")*$C$58:$C$125)*$M$12+SUMPRODUCT(($B$58:$B$125="Spinach")*($BG$58:$BG$125=8)*$C$58:$C$125)*$H$12</f>
        <v/>
      </c>
      <c r="M206" s="42">
        <f>SUMPRODUCT(($B$58:$B$125="Spinach")*(M$58:M$125="P")*$C$58:$C$125)*$K$12+SUMPRODUCT(($B$58:$B$125="Spinach")*(M$58:M$125="G")*$C$58:$C$125)*$L$12+SUMPRODUCT(($B$58:$B$125="Spinach")*(M$58:M$125="H")*$C$58:$C$125)*$M$12+SUMPRODUCT(($B$58:$B$125="Spinach")*($BG$58:$BG$125=9)*$C$58:$C$125)*$H$12</f>
        <v/>
      </c>
      <c r="N206" s="42">
        <f>SUMPRODUCT(($B$58:$B$125="Spinach")*(N$58:N$125="P")*$C$58:$C$125)*$K$12+SUMPRODUCT(($B$58:$B$125="Spinach")*(N$58:N$125="G")*$C$58:$C$125)*$L$12+SUMPRODUCT(($B$58:$B$125="Spinach")*(N$58:N$125="H")*$C$58:$C$125)*$M$12+SUMPRODUCT(($B$58:$B$125="Spinach")*($BG$58:$BG$125=10)*$C$58:$C$125)*$H$12</f>
        <v/>
      </c>
      <c r="O206" s="42">
        <f>SUMPRODUCT(($B$58:$B$125="Spinach")*(O$58:O$125="P")*$C$58:$C$125)*$K$12+SUMPRODUCT(($B$58:$B$125="Spinach")*(O$58:O$125="G")*$C$58:$C$125)*$L$12+SUMPRODUCT(($B$58:$B$125="Spinach")*(O$58:O$125="H")*$C$58:$C$125)*$M$12+SUMPRODUCT(($B$58:$B$125="Spinach")*($BG$58:$BG$125=11)*$C$58:$C$125)*$H$12</f>
        <v/>
      </c>
      <c r="P206" s="42">
        <f>SUMPRODUCT(($B$58:$B$125="Spinach")*(P$58:P$125="P")*$C$58:$C$125)*$K$12+SUMPRODUCT(($B$58:$B$125="Spinach")*(P$58:P$125="G")*$C$58:$C$125)*$L$12+SUMPRODUCT(($B$58:$B$125="Spinach")*(P$58:P$125="H")*$C$58:$C$125)*$M$12+SUMPRODUCT(($B$58:$B$125="Spinach")*($BG$58:$BG$125=12)*$C$58:$C$125)*$H$12</f>
        <v/>
      </c>
      <c r="Q206" s="42">
        <f>SUMPRODUCT(($B$58:$B$125="Spinach")*(Q$58:Q$125="P")*$C$58:$C$125)*$K$12+SUMPRODUCT(($B$58:$B$125="Spinach")*(Q$58:Q$125="G")*$C$58:$C$125)*$L$12+SUMPRODUCT(($B$58:$B$125="Spinach")*(Q$58:Q$125="H")*$C$58:$C$125)*$M$12+SUMPRODUCT(($B$58:$B$125="Spinach")*($BG$58:$BG$125=13)*$C$58:$C$125)*$H$12</f>
        <v/>
      </c>
      <c r="R206" s="42">
        <f>SUMPRODUCT(($B$58:$B$125="Spinach")*(R$58:R$125="P")*$C$58:$C$125)*$K$12+SUMPRODUCT(($B$58:$B$125="Spinach")*(R$58:R$125="G")*$C$58:$C$125)*$L$12+SUMPRODUCT(($B$58:$B$125="Spinach")*(R$58:R$125="H")*$C$58:$C$125)*$M$12+SUMPRODUCT(($B$58:$B$125="Spinach")*($BG$58:$BG$125=14)*$C$58:$C$125)*$H$12</f>
        <v/>
      </c>
      <c r="S206" s="42">
        <f>SUMPRODUCT(($B$58:$B$125="Spinach")*(S$58:S$125="P")*$C$58:$C$125)*$K$12+SUMPRODUCT(($B$58:$B$125="Spinach")*(S$58:S$125="G")*$C$58:$C$125)*$L$12+SUMPRODUCT(($B$58:$B$125="Spinach")*(S$58:S$125="H")*$C$58:$C$125)*$M$12+SUMPRODUCT(($B$58:$B$125="Spinach")*($BG$58:$BG$125=15)*$C$58:$C$125)*$H$12</f>
        <v/>
      </c>
      <c r="T206" s="42">
        <f>SUMPRODUCT(($B$58:$B$125="Spinach")*(T$58:T$125="P")*$C$58:$C$125)*$K$12+SUMPRODUCT(($B$58:$B$125="Spinach")*(T$58:T$125="G")*$C$58:$C$125)*$L$12+SUMPRODUCT(($B$58:$B$125="Spinach")*(T$58:T$125="H")*$C$58:$C$125)*$M$12+SUMPRODUCT(($B$58:$B$125="Spinach")*($BG$58:$BG$125=16)*$C$58:$C$125)*$H$12</f>
        <v/>
      </c>
      <c r="U206" s="42">
        <f>SUMPRODUCT(($B$58:$B$125="Spinach")*(U$58:U$125="P")*$C$58:$C$125)*$K$12+SUMPRODUCT(($B$58:$B$125="Spinach")*(U$58:U$125="G")*$C$58:$C$125)*$L$12+SUMPRODUCT(($B$58:$B$125="Spinach")*(U$58:U$125="H")*$C$58:$C$125)*$M$12+SUMPRODUCT(($B$58:$B$125="Spinach")*($BG$58:$BG$125=17)*$C$58:$C$125)*$H$12</f>
        <v/>
      </c>
      <c r="V206" s="42">
        <f>SUMPRODUCT(($B$58:$B$125="Spinach")*(V$58:V$125="P")*$C$58:$C$125)*$K$12+SUMPRODUCT(($B$58:$B$125="Spinach")*(V$58:V$125="G")*$C$58:$C$125)*$L$12+SUMPRODUCT(($B$58:$B$125="Spinach")*(V$58:V$125="H")*$C$58:$C$125)*$M$12+SUMPRODUCT(($B$58:$B$125="Spinach")*($BG$58:$BG$125=18)*$C$58:$C$125)*$H$12</f>
        <v/>
      </c>
      <c r="W206" s="42">
        <f>SUMPRODUCT(($B$58:$B$125="Spinach")*(W$58:W$125="P")*$C$58:$C$125)*$K$12+SUMPRODUCT(($B$58:$B$125="Spinach")*(W$58:W$125="G")*$C$58:$C$125)*$L$12+SUMPRODUCT(($B$58:$B$125="Spinach")*(W$58:W$125="H")*$C$58:$C$125)*$M$12+SUMPRODUCT(($B$58:$B$125="Spinach")*($BG$58:$BG$125=19)*$C$58:$C$125)*$H$12</f>
        <v/>
      </c>
      <c r="X206" s="42">
        <f>SUMPRODUCT(($B$58:$B$125="Spinach")*(X$58:X$125="P")*$C$58:$C$125)*$K$12+SUMPRODUCT(($B$58:$B$125="Spinach")*(X$58:X$125="G")*$C$58:$C$125)*$L$12+SUMPRODUCT(($B$58:$B$125="Spinach")*(X$58:X$125="H")*$C$58:$C$125)*$M$12+SUMPRODUCT(($B$58:$B$125="Spinach")*($BG$58:$BG$125=20)*$C$58:$C$125)*$H$12</f>
        <v/>
      </c>
      <c r="Y206" s="42">
        <f>SUMPRODUCT(($B$58:$B$125="Spinach")*(Y$58:Y$125="P")*$C$58:$C$125)*$K$12+SUMPRODUCT(($B$58:$B$125="Spinach")*(Y$58:Y$125="G")*$C$58:$C$125)*$L$12+SUMPRODUCT(($B$58:$B$125="Spinach")*(Y$58:Y$125="H")*$C$58:$C$125)*$M$12+SUMPRODUCT(($B$58:$B$125="Spinach")*($BG$58:$BG$125=21)*$C$58:$C$125)*$H$12</f>
        <v/>
      </c>
      <c r="Z206" s="42">
        <f>SUMPRODUCT(($B$58:$B$125="Spinach")*(Z$58:Z$125="P")*$C$58:$C$125)*$K$12+SUMPRODUCT(($B$58:$B$125="Spinach")*(Z$58:Z$125="G")*$C$58:$C$125)*$L$12+SUMPRODUCT(($B$58:$B$125="Spinach")*(Z$58:Z$125="H")*$C$58:$C$125)*$M$12+SUMPRODUCT(($B$58:$B$125="Spinach")*($BG$58:$BG$125=22)*$C$58:$C$125)*$H$12</f>
        <v/>
      </c>
      <c r="AA206" s="42">
        <f>SUMPRODUCT(($B$58:$B$125="Spinach")*(AA$58:AA$125="P")*$C$58:$C$125)*$K$12+SUMPRODUCT(($B$58:$B$125="Spinach")*(AA$58:AA$125="G")*$C$58:$C$125)*$L$12+SUMPRODUCT(($B$58:$B$125="Spinach")*(AA$58:AA$125="H")*$C$58:$C$125)*$M$12+SUMPRODUCT(($B$58:$B$125="Spinach")*($BG$58:$BG$125=23)*$C$58:$C$125)*$H$12</f>
        <v/>
      </c>
      <c r="AB206" s="42">
        <f>SUMPRODUCT(($B$58:$B$125="Spinach")*(AB$58:AB$125="P")*$C$58:$C$125)*$K$12+SUMPRODUCT(($B$58:$B$125="Spinach")*(AB$58:AB$125="G")*$C$58:$C$125)*$L$12+SUMPRODUCT(($B$58:$B$125="Spinach")*(AB$58:AB$125="H")*$C$58:$C$125)*$M$12+SUMPRODUCT(($B$58:$B$125="Spinach")*($BG$58:$BG$125=24)*$C$58:$C$125)*$H$12</f>
        <v/>
      </c>
      <c r="AC206" s="42">
        <f>SUMPRODUCT(($B$58:$B$125="Spinach")*(AC$58:AC$125="P")*$C$58:$C$125)*$K$12+SUMPRODUCT(($B$58:$B$125="Spinach")*(AC$58:AC$125="G")*$C$58:$C$125)*$L$12+SUMPRODUCT(($B$58:$B$125="Spinach")*(AC$58:AC$125="H")*$C$58:$C$125)*$M$12+SUMPRODUCT(($B$58:$B$125="Spinach")*($BG$58:$BG$125=25)*$C$58:$C$125)*$H$12</f>
        <v/>
      </c>
      <c r="AD206" s="42">
        <f>SUMPRODUCT(($B$58:$B$125="Spinach")*(AD$58:AD$125="P")*$C$58:$C$125)*$K$12+SUMPRODUCT(($B$58:$B$125="Spinach")*(AD$58:AD$125="G")*$C$58:$C$125)*$L$12+SUMPRODUCT(($B$58:$B$125="Spinach")*(AD$58:AD$125="H")*$C$58:$C$125)*$M$12+SUMPRODUCT(($B$58:$B$125="Spinach")*($BG$58:$BG$125=26)*$C$58:$C$125)*$H$12</f>
        <v/>
      </c>
      <c r="AE206" s="42">
        <f>SUMPRODUCT(($B$58:$B$125="Spinach")*(AE$58:AE$125="P")*$C$58:$C$125)*$K$12+SUMPRODUCT(($B$58:$B$125="Spinach")*(AE$58:AE$125="G")*$C$58:$C$125)*$L$12+SUMPRODUCT(($B$58:$B$125="Spinach")*(AE$58:AE$125="H")*$C$58:$C$125)*$M$12+SUMPRODUCT(($B$58:$B$125="Spinach")*($BG$58:$BG$125=27)*$C$58:$C$125)*$H$12</f>
        <v/>
      </c>
      <c r="AF206" s="42">
        <f>SUMPRODUCT(($B$58:$B$125="Spinach")*(AF$58:AF$125="P")*$C$58:$C$125)*$K$12+SUMPRODUCT(($B$58:$B$125="Spinach")*(AF$58:AF$125="G")*$C$58:$C$125)*$L$12+SUMPRODUCT(($B$58:$B$125="Spinach")*(AF$58:AF$125="H")*$C$58:$C$125)*$M$12+SUMPRODUCT(($B$58:$B$125="Spinach")*($BG$58:$BG$125=28)*$C$58:$C$125)*$H$12</f>
        <v/>
      </c>
      <c r="AG206" s="42">
        <f>SUMPRODUCT(($B$58:$B$125="Spinach")*(AG$58:AG$125="P")*$C$58:$C$125)*$K$12+SUMPRODUCT(($B$58:$B$125="Spinach")*(AG$58:AG$125="G")*$C$58:$C$125)*$L$12+SUMPRODUCT(($B$58:$B$125="Spinach")*(AG$58:AG$125="H")*$C$58:$C$125)*$M$12+SUMPRODUCT(($B$58:$B$125="Spinach")*($BG$58:$BG$125=29)*$C$58:$C$125)*$H$12</f>
        <v/>
      </c>
      <c r="AH206" s="42">
        <f>SUMPRODUCT(($B$58:$B$125="Spinach")*(AH$58:AH$125="P")*$C$58:$C$125)*$K$12+SUMPRODUCT(($B$58:$B$125="Spinach")*(AH$58:AH$125="G")*$C$58:$C$125)*$L$12+SUMPRODUCT(($B$58:$B$125="Spinach")*(AH$58:AH$125="H")*$C$58:$C$125)*$M$12+SUMPRODUCT(($B$58:$B$125="Spinach")*($BG$58:$BG$125=30)*$C$58:$C$125)*$H$12</f>
        <v/>
      </c>
      <c r="AI206" s="42">
        <f>SUMPRODUCT(($B$58:$B$125="Spinach")*(AI$58:AI$125="P")*$C$58:$C$125)*$K$12+SUMPRODUCT(($B$58:$B$125="Spinach")*(AI$58:AI$125="G")*$C$58:$C$125)*$L$12+SUMPRODUCT(($B$58:$B$125="Spinach")*(AI$58:AI$125="H")*$C$58:$C$125)*$M$12+SUMPRODUCT(($B$58:$B$125="Spinach")*($BG$58:$BG$125=31)*$C$58:$C$125)*$H$12</f>
        <v/>
      </c>
      <c r="AJ206" s="42">
        <f>SUMPRODUCT(($B$58:$B$125="Spinach")*(AJ$58:AJ$125="P")*$C$58:$C$125)*$K$12+SUMPRODUCT(($B$58:$B$125="Spinach")*(AJ$58:AJ$125="G")*$C$58:$C$125)*$L$12+SUMPRODUCT(($B$58:$B$125="Spinach")*(AJ$58:AJ$125="H")*$C$58:$C$125)*$M$12+SUMPRODUCT(($B$58:$B$125="Spinach")*($BG$58:$BG$125=32)*$C$58:$C$125)*$H$12</f>
        <v/>
      </c>
      <c r="AK206" s="42">
        <f>SUMPRODUCT(($B$58:$B$125="Spinach")*(AK$58:AK$125="P")*$C$58:$C$125)*$K$12+SUMPRODUCT(($B$58:$B$125="Spinach")*(AK$58:AK$125="G")*$C$58:$C$125)*$L$12+SUMPRODUCT(($B$58:$B$125="Spinach")*(AK$58:AK$125="H")*$C$58:$C$125)*$M$12+SUMPRODUCT(($B$58:$B$125="Spinach")*($BG$58:$BG$125=33)*$C$58:$C$125)*$H$12</f>
        <v/>
      </c>
      <c r="AL206" s="42">
        <f>SUMPRODUCT(($B$58:$B$125="Spinach")*(AL$58:AL$125="P")*$C$58:$C$125)*$K$12+SUMPRODUCT(($B$58:$B$125="Spinach")*(AL$58:AL$125="G")*$C$58:$C$125)*$L$12+SUMPRODUCT(($B$58:$B$125="Spinach")*(AL$58:AL$125="H")*$C$58:$C$125)*$M$12+SUMPRODUCT(($B$58:$B$125="Spinach")*($BG$58:$BG$125=34)*$C$58:$C$125)*$H$12</f>
        <v/>
      </c>
      <c r="AM206" s="42">
        <f>SUMPRODUCT(($B$58:$B$125="Spinach")*(AM$58:AM$125="P")*$C$58:$C$125)*$K$12+SUMPRODUCT(($B$58:$B$125="Spinach")*(AM$58:AM$125="G")*$C$58:$C$125)*$L$12+SUMPRODUCT(($B$58:$B$125="Spinach")*(AM$58:AM$125="H")*$C$58:$C$125)*$M$12+SUMPRODUCT(($B$58:$B$125="Spinach")*($BG$58:$BG$125=35)*$C$58:$C$125)*$H$12</f>
        <v/>
      </c>
      <c r="AN206" s="42">
        <f>SUMPRODUCT(($B$58:$B$125="Spinach")*(AN$58:AN$125="P")*$C$58:$C$125)*$K$12+SUMPRODUCT(($B$58:$B$125="Spinach")*(AN$58:AN$125="G")*$C$58:$C$125)*$L$12+SUMPRODUCT(($B$58:$B$125="Spinach")*(AN$58:AN$125="H")*$C$58:$C$125)*$M$12+SUMPRODUCT(($B$58:$B$125="Spinach")*($BG$58:$BG$125=36)*$C$58:$C$125)*$H$12</f>
        <v/>
      </c>
      <c r="AO206" s="42">
        <f>SUMPRODUCT(($B$58:$B$125="Spinach")*(AO$58:AO$125="P")*$C$58:$C$125)*$K$12+SUMPRODUCT(($B$58:$B$125="Spinach")*(AO$58:AO$125="G")*$C$58:$C$125)*$L$12+SUMPRODUCT(($B$58:$B$125="Spinach")*(AO$58:AO$125="H")*$C$58:$C$125)*$M$12+SUMPRODUCT(($B$58:$B$125="Spinach")*($BG$58:$BG$125=37)*$C$58:$C$125)*$H$12</f>
        <v/>
      </c>
      <c r="AP206" s="42">
        <f>SUMPRODUCT(($B$58:$B$125="Spinach")*(AP$58:AP$125="P")*$C$58:$C$125)*$K$12+SUMPRODUCT(($B$58:$B$125="Spinach")*(AP$58:AP$125="G")*$C$58:$C$125)*$L$12+SUMPRODUCT(($B$58:$B$125="Spinach")*(AP$58:AP$125="H")*$C$58:$C$125)*$M$12+SUMPRODUCT(($B$58:$B$125="Spinach")*($BG$58:$BG$125=38)*$C$58:$C$125)*$H$12</f>
        <v/>
      </c>
      <c r="AQ206" s="42">
        <f>SUMPRODUCT(($B$58:$B$125="Spinach")*(AQ$58:AQ$125="P")*$C$58:$C$125)*$K$12+SUMPRODUCT(($B$58:$B$125="Spinach")*(AQ$58:AQ$125="G")*$C$58:$C$125)*$L$12+SUMPRODUCT(($B$58:$B$125="Spinach")*(AQ$58:AQ$125="H")*$C$58:$C$125)*$M$12+SUMPRODUCT(($B$58:$B$125="Spinach")*($BG$58:$BG$125=39)*$C$58:$C$125)*$H$12</f>
        <v/>
      </c>
      <c r="AR206" s="42">
        <f>SUMPRODUCT(($B$58:$B$125="Spinach")*(AR$58:AR$125="P")*$C$58:$C$125)*$K$12+SUMPRODUCT(($B$58:$B$125="Spinach")*(AR$58:AR$125="G")*$C$58:$C$125)*$L$12+SUMPRODUCT(($B$58:$B$125="Spinach")*(AR$58:AR$125="H")*$C$58:$C$125)*$M$12+SUMPRODUCT(($B$58:$B$125="Spinach")*($BG$58:$BG$125=40)*$C$58:$C$125)*$H$12</f>
        <v/>
      </c>
      <c r="AS206" s="42">
        <f>SUMPRODUCT(($B$58:$B$125="Spinach")*(AS$58:AS$125="P")*$C$58:$C$125)*$K$12+SUMPRODUCT(($B$58:$B$125="Spinach")*(AS$58:AS$125="G")*$C$58:$C$125)*$L$12+SUMPRODUCT(($B$58:$B$125="Spinach")*(AS$58:AS$125="H")*$C$58:$C$125)*$M$12+SUMPRODUCT(($B$58:$B$125="Spinach")*($BG$58:$BG$125=41)*$C$58:$C$125)*$H$12</f>
        <v/>
      </c>
      <c r="AT206" s="42">
        <f>SUMPRODUCT(($B$58:$B$125="Spinach")*(AT$58:AT$125="P")*$C$58:$C$125)*$K$12+SUMPRODUCT(($B$58:$B$125="Spinach")*(AT$58:AT$125="G")*$C$58:$C$125)*$L$12+SUMPRODUCT(($B$58:$B$125="Spinach")*(AT$58:AT$125="H")*$C$58:$C$125)*$M$12+SUMPRODUCT(($B$58:$B$125="Spinach")*($BG$58:$BG$125=42)*$C$58:$C$125)*$H$12</f>
        <v/>
      </c>
      <c r="AU206" s="42">
        <f>SUMPRODUCT(($B$58:$B$125="Spinach")*(AU$58:AU$125="P")*$C$58:$C$125)*$K$12+SUMPRODUCT(($B$58:$B$125="Spinach")*(AU$58:AU$125="G")*$C$58:$C$125)*$L$12+SUMPRODUCT(($B$58:$B$125="Spinach")*(AU$58:AU$125="H")*$C$58:$C$125)*$M$12+SUMPRODUCT(($B$58:$B$125="Spinach")*($BG$58:$BG$125=43)*$C$58:$C$125)*$H$12</f>
        <v/>
      </c>
      <c r="AV206" s="42">
        <f>SUMPRODUCT(($B$58:$B$125="Spinach")*(AV$58:AV$125="P")*$C$58:$C$125)*$K$12+SUMPRODUCT(($B$58:$B$125="Spinach")*(AV$58:AV$125="G")*$C$58:$C$125)*$L$12+SUMPRODUCT(($B$58:$B$125="Spinach")*(AV$58:AV$125="H")*$C$58:$C$125)*$M$12+SUMPRODUCT(($B$58:$B$125="Spinach")*($BG$58:$BG$125=44)*$C$58:$C$125)*$H$12</f>
        <v/>
      </c>
      <c r="AW206" s="42">
        <f>SUMPRODUCT(($B$58:$B$125="Spinach")*(AW$58:AW$125="P")*$C$58:$C$125)*$K$12+SUMPRODUCT(($B$58:$B$125="Spinach")*(AW$58:AW$125="G")*$C$58:$C$125)*$L$12+SUMPRODUCT(($B$58:$B$125="Spinach")*(AW$58:AW$125="H")*$C$58:$C$125)*$M$12+SUMPRODUCT(($B$58:$B$125="Spinach")*($BG$58:$BG$125=45)*$C$58:$C$125)*$H$12</f>
        <v/>
      </c>
      <c r="AX206" s="42">
        <f>SUMPRODUCT(($B$58:$B$125="Spinach")*(AX$58:AX$125="P")*$C$58:$C$125)*$K$12+SUMPRODUCT(($B$58:$B$125="Spinach")*(AX$58:AX$125="G")*$C$58:$C$125)*$L$12+SUMPRODUCT(($B$58:$B$125="Spinach")*(AX$58:AX$125="H")*$C$58:$C$125)*$M$12+SUMPRODUCT(($B$58:$B$125="Spinach")*($BG$58:$BG$125=46)*$C$58:$C$125)*$H$12</f>
        <v/>
      </c>
      <c r="AY206" s="42">
        <f>SUMPRODUCT(($B$58:$B$125="Spinach")*(AY$58:AY$125="P")*$C$58:$C$125)*$K$12+SUMPRODUCT(($B$58:$B$125="Spinach")*(AY$58:AY$125="G")*$C$58:$C$125)*$L$12+SUMPRODUCT(($B$58:$B$125="Spinach")*(AY$58:AY$125="H")*$C$58:$C$125)*$M$12+SUMPRODUCT(($B$58:$B$125="Spinach")*($BG$58:$BG$125=47)*$C$58:$C$125)*$H$12</f>
        <v/>
      </c>
      <c r="AZ206" s="42">
        <f>SUMPRODUCT(($B$58:$B$125="Spinach")*(AZ$58:AZ$125="P")*$C$58:$C$125)*$K$12+SUMPRODUCT(($B$58:$B$125="Spinach")*(AZ$58:AZ$125="G")*$C$58:$C$125)*$L$12+SUMPRODUCT(($B$58:$B$125="Spinach")*(AZ$58:AZ$125="H")*$C$58:$C$125)*$M$12+SUMPRODUCT(($B$58:$B$125="Spinach")*($BG$58:$BG$125=48)*$C$58:$C$125)*$H$12</f>
        <v/>
      </c>
      <c r="BA206" s="42">
        <f>SUMPRODUCT(($B$58:$B$125="Spinach")*(BA$58:BA$125="P")*$C$58:$C$125)*$K$12+SUMPRODUCT(($B$58:$B$125="Spinach")*(BA$58:BA$125="G")*$C$58:$C$125)*$L$12+SUMPRODUCT(($B$58:$B$125="Spinach")*(BA$58:BA$125="H")*$C$58:$C$125)*$M$12+SUMPRODUCT(($B$58:$B$125="Spinach")*($BG$58:$BG$125=49)*$C$58:$C$125)*$H$12</f>
        <v/>
      </c>
      <c r="BB206" s="42">
        <f>SUMPRODUCT(($B$58:$B$125="Spinach")*(BB$58:BB$125="P")*$C$58:$C$125)*$K$12+SUMPRODUCT(($B$58:$B$125="Spinach")*(BB$58:BB$125="G")*$C$58:$C$125)*$L$12+SUMPRODUCT(($B$58:$B$125="Spinach")*(BB$58:BB$125="H")*$C$58:$C$125)*$M$12+SUMPRODUCT(($B$58:$B$125="Spinach")*($BG$58:$BG$125=50)*$C$58:$C$125)*$H$12</f>
        <v/>
      </c>
      <c r="BC206" s="42">
        <f>SUMPRODUCT(($B$58:$B$125="Spinach")*(BC$58:BC$125="P")*$C$58:$C$125)*$K$12+SUMPRODUCT(($B$58:$B$125="Spinach")*(BC$58:BC$125="G")*$C$58:$C$125)*$L$12+SUMPRODUCT(($B$58:$B$125="Spinach")*(BC$58:BC$125="H")*$C$58:$C$125)*$M$12+SUMPRODUCT(($B$58:$B$125="Spinach")*($BG$58:$BG$125=51)*$C$58:$C$125)*$H$12</f>
        <v/>
      </c>
      <c r="BD206" s="42">
        <f>SUMPRODUCT(($B$58:$B$125="Spinach")*(BD$58:BD$125="P")*$C$58:$C$125)*$K$12+SUMPRODUCT(($B$58:$B$125="Spinach")*(BD$58:BD$125="G")*$C$58:$C$125)*$L$12+SUMPRODUCT(($B$58:$B$125="Spinach")*(BD$58:BD$125="H")*$C$58:$C$125)*$M$12+SUMPRODUCT(($B$58:$B$125="Spinach")*($BG$58:$BG$125=52)*$C$58:$C$125)*$H$12</f>
        <v/>
      </c>
    </row>
    <row r="207">
      <c r="A207" s="26" t="inlineStr">
        <is>
          <t>Packaging this week</t>
        </is>
      </c>
      <c r="B207" s="2" t="inlineStr">
        <is>
          <t>$</t>
        </is>
      </c>
      <c r="E207" s="42">
        <f>E191*$J$19+E197*$J$20</f>
        <v/>
      </c>
      <c r="F207" s="42">
        <f>F191*$J$19+F197*$J$20</f>
        <v/>
      </c>
      <c r="G207" s="42">
        <f>G191*$J$19+G197*$J$20</f>
        <v/>
      </c>
      <c r="H207" s="42">
        <f>H191*$J$19+H197*$J$20</f>
        <v/>
      </c>
      <c r="I207" s="42">
        <f>I191*$J$19+I197*$J$20</f>
        <v/>
      </c>
      <c r="J207" s="42">
        <f>J191*$J$19+J197*$J$20</f>
        <v/>
      </c>
      <c r="K207" s="42">
        <f>K191*$J$19+K197*$J$20</f>
        <v/>
      </c>
      <c r="L207" s="42">
        <f>L191*$J$19+L197*$J$20</f>
        <v/>
      </c>
      <c r="M207" s="42">
        <f>M191*$J$19+M197*$J$20</f>
        <v/>
      </c>
      <c r="N207" s="42">
        <f>N191*$J$19+N197*$J$20</f>
        <v/>
      </c>
      <c r="O207" s="42">
        <f>O191*$J$19+O197*$J$20</f>
        <v/>
      </c>
      <c r="P207" s="42">
        <f>P191*$J$19+P197*$J$20</f>
        <v/>
      </c>
      <c r="Q207" s="42">
        <f>Q191*$J$19+Q197*$J$20</f>
        <v/>
      </c>
      <c r="R207" s="42">
        <f>R191*$J$19+R197*$J$20</f>
        <v/>
      </c>
      <c r="S207" s="42">
        <f>S191*$J$19+S197*$J$20</f>
        <v/>
      </c>
      <c r="T207" s="42">
        <f>T191*$J$19+T197*$J$20</f>
        <v/>
      </c>
      <c r="U207" s="42">
        <f>U191*$J$19+U197*$J$20</f>
        <v/>
      </c>
      <c r="V207" s="42">
        <f>V191*$J$19+V197*$J$20</f>
        <v/>
      </c>
      <c r="W207" s="42">
        <f>W191*$J$19+W197*$J$20</f>
        <v/>
      </c>
      <c r="X207" s="42">
        <f>X191*$J$19+X197*$J$20</f>
        <v/>
      </c>
      <c r="Y207" s="42">
        <f>Y191*$J$19+Y197*$J$20</f>
        <v/>
      </c>
      <c r="Z207" s="42">
        <f>Z191*$J$19+Z197*$J$20</f>
        <v/>
      </c>
      <c r="AA207" s="42">
        <f>AA191*$J$19+AA197*$J$20</f>
        <v/>
      </c>
      <c r="AB207" s="42">
        <f>AB191*$J$19+AB197*$J$20</f>
        <v/>
      </c>
      <c r="AC207" s="42">
        <f>AC191*$J$19+AC197*$J$20</f>
        <v/>
      </c>
      <c r="AD207" s="42">
        <f>AD191*$J$19+AD197*$J$20</f>
        <v/>
      </c>
      <c r="AE207" s="42">
        <f>AE191*$J$19+AE197*$J$20</f>
        <v/>
      </c>
      <c r="AF207" s="42">
        <f>AF191*$J$19+AF197*$J$20</f>
        <v/>
      </c>
      <c r="AG207" s="42">
        <f>AG191*$J$19+AG197*$J$20</f>
        <v/>
      </c>
      <c r="AH207" s="42">
        <f>AH191*$J$19+AH197*$J$20</f>
        <v/>
      </c>
      <c r="AI207" s="42">
        <f>AI191*$J$19+AI197*$J$20</f>
        <v/>
      </c>
      <c r="AJ207" s="42">
        <f>AJ191*$J$19+AJ197*$J$20</f>
        <v/>
      </c>
      <c r="AK207" s="42">
        <f>AK191*$J$19+AK197*$J$20</f>
        <v/>
      </c>
      <c r="AL207" s="42">
        <f>AL191*$J$19+AL197*$J$20</f>
        <v/>
      </c>
      <c r="AM207" s="42">
        <f>AM191*$J$19+AM197*$J$20</f>
        <v/>
      </c>
      <c r="AN207" s="42">
        <f>AN191*$J$19+AN197*$J$20</f>
        <v/>
      </c>
      <c r="AO207" s="42">
        <f>AO191*$J$19+AO197*$J$20</f>
        <v/>
      </c>
      <c r="AP207" s="42">
        <f>AP191*$J$19+AP197*$J$20</f>
        <v/>
      </c>
      <c r="AQ207" s="42">
        <f>AQ191*$J$19+AQ197*$J$20</f>
        <v/>
      </c>
      <c r="AR207" s="42">
        <f>AR191*$J$19+AR197*$J$20</f>
        <v/>
      </c>
      <c r="AS207" s="42">
        <f>AS191*$J$19+AS197*$J$20</f>
        <v/>
      </c>
      <c r="AT207" s="42">
        <f>AT191*$J$19+AT197*$J$20</f>
        <v/>
      </c>
      <c r="AU207" s="42">
        <f>AU191*$J$19+AU197*$J$20</f>
        <v/>
      </c>
      <c r="AV207" s="42">
        <f>AV191*$J$19+AV197*$J$20</f>
        <v/>
      </c>
      <c r="AW207" s="42">
        <f>AW191*$J$19+AW197*$J$20</f>
        <v/>
      </c>
      <c r="AX207" s="42">
        <f>AX191*$J$19+AX197*$J$20</f>
        <v/>
      </c>
      <c r="AY207" s="42">
        <f>AY191*$J$19+AY197*$J$20</f>
        <v/>
      </c>
      <c r="AZ207" s="42">
        <f>AZ191*$J$19+AZ197*$J$20</f>
        <v/>
      </c>
      <c r="BA207" s="42">
        <f>BA191*$J$19+BA197*$J$20</f>
        <v/>
      </c>
      <c r="BB207" s="42">
        <f>BB191*$J$19+BB197*$J$20</f>
        <v/>
      </c>
      <c r="BC207" s="42">
        <f>BC191*$J$19+BC197*$J$20</f>
        <v/>
      </c>
      <c r="BD207" s="42">
        <f>BD191*$J$19+BD197*$J$20</f>
        <v/>
      </c>
    </row>
    <row r="208">
      <c r="A208" s="4" t="inlineStr">
        <is>
          <t>ROOM OCCUPANCY</t>
        </is>
      </c>
      <c r="B208" s="2" t="inlineStr">
        <is>
          <t>m3</t>
        </is>
      </c>
      <c r="E208" s="53">
        <f>(E186+E185)*$D$12</f>
        <v/>
      </c>
      <c r="F208" s="53">
        <f>(F186+F185)*$D$12</f>
        <v/>
      </c>
      <c r="G208" s="53">
        <f>(G186+G185)*$D$12</f>
        <v/>
      </c>
      <c r="H208" s="53">
        <f>(H186+H185)*$D$12</f>
        <v/>
      </c>
      <c r="I208" s="53">
        <f>(I186+I185)*$D$12</f>
        <v/>
      </c>
      <c r="J208" s="53">
        <f>(J186+J185)*$D$12</f>
        <v/>
      </c>
      <c r="K208" s="53">
        <f>(K186+K185)*$D$12</f>
        <v/>
      </c>
      <c r="L208" s="53">
        <f>(L186+L185)*$D$12</f>
        <v/>
      </c>
      <c r="M208" s="53">
        <f>(M186+M185)*$D$12</f>
        <v/>
      </c>
      <c r="N208" s="53">
        <f>(N186+N185)*$D$12</f>
        <v/>
      </c>
      <c r="O208" s="53">
        <f>(O186+O185)*$D$12</f>
        <v/>
      </c>
      <c r="P208" s="53">
        <f>(P186+P185)*$D$12</f>
        <v/>
      </c>
      <c r="Q208" s="53">
        <f>(Q186+Q185)*$D$12</f>
        <v/>
      </c>
      <c r="R208" s="53">
        <f>(R186+R185)*$D$12</f>
        <v/>
      </c>
      <c r="S208" s="53">
        <f>(S186+S185)*$D$12</f>
        <v/>
      </c>
      <c r="T208" s="53">
        <f>(T186+T185)*$D$12</f>
        <v/>
      </c>
      <c r="U208" s="53">
        <f>(U186+U185)*$D$12</f>
        <v/>
      </c>
      <c r="V208" s="53">
        <f>(V186+V185)*$D$12</f>
        <v/>
      </c>
      <c r="W208" s="53">
        <f>(W186+W185)*$D$12</f>
        <v/>
      </c>
      <c r="X208" s="53">
        <f>(X186+X185)*$D$12</f>
        <v/>
      </c>
      <c r="Y208" s="53">
        <f>(Y186+Y185)*$D$12</f>
        <v/>
      </c>
      <c r="Z208" s="53">
        <f>(Z186+Z185)*$D$12</f>
        <v/>
      </c>
      <c r="AA208" s="53">
        <f>(AA186+AA185)*$D$12</f>
        <v/>
      </c>
      <c r="AB208" s="53">
        <f>(AB186+AB185)*$D$12</f>
        <v/>
      </c>
      <c r="AC208" s="53">
        <f>(AC186+AC185)*$D$12</f>
        <v/>
      </c>
      <c r="AD208" s="53">
        <f>(AD186+AD185)*$D$12</f>
        <v/>
      </c>
      <c r="AE208" s="53">
        <f>(AE186+AE185)*$D$12</f>
        <v/>
      </c>
      <c r="AF208" s="53">
        <f>(AF186+AF185)*$D$12</f>
        <v/>
      </c>
      <c r="AG208" s="53">
        <f>(AG186+AG185)*$D$12</f>
        <v/>
      </c>
      <c r="AH208" s="53">
        <f>(AH186+AH185)*$D$12</f>
        <v/>
      </c>
      <c r="AI208" s="53">
        <f>(AI186+AI185)*$D$12</f>
        <v/>
      </c>
      <c r="AJ208" s="53">
        <f>(AJ186+AJ185)*$D$12</f>
        <v/>
      </c>
      <c r="AK208" s="53">
        <f>(AK186+AK185)*$D$12</f>
        <v/>
      </c>
      <c r="AL208" s="53">
        <f>(AL186+AL185)*$D$12</f>
        <v/>
      </c>
      <c r="AM208" s="53">
        <f>(AM186+AM185)*$D$12</f>
        <v/>
      </c>
      <c r="AN208" s="53">
        <f>(AN186+AN185)*$D$12</f>
        <v/>
      </c>
      <c r="AO208" s="53">
        <f>(AO186+AO185)*$D$12</f>
        <v/>
      </c>
      <c r="AP208" s="53">
        <f>(AP186+AP185)*$D$12</f>
        <v/>
      </c>
      <c r="AQ208" s="53">
        <f>(AQ186+AQ185)*$D$12</f>
        <v/>
      </c>
      <c r="AR208" s="53">
        <f>(AR186+AR185)*$D$12</f>
        <v/>
      </c>
      <c r="AS208" s="53">
        <f>(AS186+AS185)*$D$12</f>
        <v/>
      </c>
      <c r="AT208" s="53">
        <f>(AT186+AT185)*$D$12</f>
        <v/>
      </c>
      <c r="AU208" s="53">
        <f>(AU186+AU185)*$D$12</f>
        <v/>
      </c>
      <c r="AV208" s="53">
        <f>(AV186+AV185)*$D$12</f>
        <v/>
      </c>
      <c r="AW208" s="53">
        <f>(AW186+AW185)*$D$12</f>
        <v/>
      </c>
      <c r="AX208" s="53">
        <f>(AX186+AX185)*$D$12</f>
        <v/>
      </c>
      <c r="AY208" s="53">
        <f>(AY186+AY185)*$D$12</f>
        <v/>
      </c>
      <c r="AZ208" s="53">
        <f>(AZ186+AZ185)*$D$12</f>
        <v/>
      </c>
      <c r="BA208" s="53">
        <f>(BA186+BA185)*$D$12</f>
        <v/>
      </c>
      <c r="BB208" s="53">
        <f>(BB186+BB185)*$D$12</f>
        <v/>
      </c>
      <c r="BC208" s="53">
        <f>(BC186+BC185)*$D$12</f>
        <v/>
      </c>
      <c r="BD208" s="53">
        <f>(BD186+BD185)*$D$12</f>
        <v/>
      </c>
    </row>
    <row r="210">
      <c r="A210" s="3" t="inlineStr">
        <is>
          <t>KALE  —  cold store</t>
        </is>
      </c>
      <c r="B210" s="46" t="inlineStr"/>
    </row>
    <row r="211">
      <c r="A211" s="30" t="inlineStr">
        <is>
          <t>Week</t>
        </is>
      </c>
      <c r="B211" s="38" t="inlineStr"/>
      <c r="E211" s="31" t="n">
        <v>1</v>
      </c>
      <c r="F211" s="31" t="n">
        <v>2</v>
      </c>
      <c r="G211" s="31" t="n">
        <v>3</v>
      </c>
      <c r="H211" s="31" t="n">
        <v>4</v>
      </c>
      <c r="I211" s="31" t="n">
        <v>5</v>
      </c>
      <c r="J211" s="31" t="n">
        <v>6</v>
      </c>
      <c r="K211" s="31" t="n">
        <v>7</v>
      </c>
      <c r="L211" s="31" t="n">
        <v>8</v>
      </c>
      <c r="M211" s="31" t="n">
        <v>9</v>
      </c>
      <c r="N211" s="31" t="n">
        <v>10</v>
      </c>
      <c r="O211" s="31" t="n">
        <v>11</v>
      </c>
      <c r="P211" s="31" t="n">
        <v>12</v>
      </c>
      <c r="Q211" s="31" t="n">
        <v>13</v>
      </c>
      <c r="R211" s="31" t="n">
        <v>14</v>
      </c>
      <c r="S211" s="31" t="n">
        <v>15</v>
      </c>
      <c r="T211" s="31" t="n">
        <v>16</v>
      </c>
      <c r="U211" s="31" t="n">
        <v>17</v>
      </c>
      <c r="V211" s="31" t="n">
        <v>18</v>
      </c>
      <c r="W211" s="31" t="n">
        <v>19</v>
      </c>
      <c r="X211" s="31" t="n">
        <v>20</v>
      </c>
      <c r="Y211" s="31" t="n">
        <v>21</v>
      </c>
      <c r="Z211" s="31" t="n">
        <v>22</v>
      </c>
      <c r="AA211" s="31" t="n">
        <v>23</v>
      </c>
      <c r="AB211" s="31" t="n">
        <v>24</v>
      </c>
      <c r="AC211" s="31" t="n">
        <v>25</v>
      </c>
      <c r="AD211" s="31" t="n">
        <v>26</v>
      </c>
      <c r="AE211" s="31" t="n">
        <v>27</v>
      </c>
      <c r="AF211" s="31" t="n">
        <v>28</v>
      </c>
      <c r="AG211" s="31" t="n">
        <v>29</v>
      </c>
      <c r="AH211" s="31" t="n">
        <v>30</v>
      </c>
      <c r="AI211" s="31" t="n">
        <v>31</v>
      </c>
      <c r="AJ211" s="31" t="n">
        <v>32</v>
      </c>
      <c r="AK211" s="31" t="n">
        <v>33</v>
      </c>
      <c r="AL211" s="31" t="n">
        <v>34</v>
      </c>
      <c r="AM211" s="31" t="n">
        <v>35</v>
      </c>
      <c r="AN211" s="31" t="n">
        <v>36</v>
      </c>
      <c r="AO211" s="31" t="n">
        <v>37</v>
      </c>
      <c r="AP211" s="31" t="n">
        <v>38</v>
      </c>
      <c r="AQ211" s="31" t="n">
        <v>39</v>
      </c>
      <c r="AR211" s="31" t="n">
        <v>40</v>
      </c>
      <c r="AS211" s="31" t="n">
        <v>41</v>
      </c>
      <c r="AT211" s="31" t="n">
        <v>42</v>
      </c>
      <c r="AU211" s="31" t="n">
        <v>43</v>
      </c>
      <c r="AV211" s="31" t="n">
        <v>44</v>
      </c>
      <c r="AW211" s="31" t="n">
        <v>45</v>
      </c>
      <c r="AX211" s="31" t="n">
        <v>46</v>
      </c>
      <c r="AY211" s="31" t="n">
        <v>47</v>
      </c>
      <c r="AZ211" s="31" t="n">
        <v>48</v>
      </c>
      <c r="BA211" s="31" t="n">
        <v>49</v>
      </c>
      <c r="BB211" s="31" t="n">
        <v>50</v>
      </c>
      <c r="BC211" s="31" t="n">
        <v>51</v>
      </c>
      <c r="BD211" s="31" t="n">
        <v>52</v>
      </c>
    </row>
    <row r="212">
      <c r="A212" s="4" t="inlineStr">
        <is>
          <t>Packed out -&gt; INTO the store</t>
        </is>
      </c>
      <c r="B212" s="2" t="inlineStr">
        <is>
          <t>lb</t>
        </is>
      </c>
      <c r="E212" s="42">
        <f>SUMPRODUCT(($B$58:$B$125="Kale")*(E$58:E$125="H")*$C$58:$C$125)*$B$13/$J$13*$C$13</f>
        <v/>
      </c>
      <c r="F212" s="42">
        <f>SUMPRODUCT(($B$58:$B$125="Kale")*(F$58:F$125="H")*$C$58:$C$125)*$B$13/$J$13*$C$13</f>
        <v/>
      </c>
      <c r="G212" s="42">
        <f>SUMPRODUCT(($B$58:$B$125="Kale")*(G$58:G$125="H")*$C$58:$C$125)*$B$13/$J$13*$C$13</f>
        <v/>
      </c>
      <c r="H212" s="42">
        <f>SUMPRODUCT(($B$58:$B$125="Kale")*(H$58:H$125="H")*$C$58:$C$125)*$B$13/$J$13*$C$13</f>
        <v/>
      </c>
      <c r="I212" s="42">
        <f>SUMPRODUCT(($B$58:$B$125="Kale")*(I$58:I$125="H")*$C$58:$C$125)*$B$13/$J$13*$C$13</f>
        <v/>
      </c>
      <c r="J212" s="42">
        <f>SUMPRODUCT(($B$58:$B$125="Kale")*(J$58:J$125="H")*$C$58:$C$125)*$B$13/$J$13*$C$13</f>
        <v/>
      </c>
      <c r="K212" s="42">
        <f>SUMPRODUCT(($B$58:$B$125="Kale")*(K$58:K$125="H")*$C$58:$C$125)*$B$13/$J$13*$C$13</f>
        <v/>
      </c>
      <c r="L212" s="42">
        <f>SUMPRODUCT(($B$58:$B$125="Kale")*(L$58:L$125="H")*$C$58:$C$125)*$B$13/$J$13*$C$13</f>
        <v/>
      </c>
      <c r="M212" s="42">
        <f>SUMPRODUCT(($B$58:$B$125="Kale")*(M$58:M$125="H")*$C$58:$C$125)*$B$13/$J$13*$C$13</f>
        <v/>
      </c>
      <c r="N212" s="42">
        <f>SUMPRODUCT(($B$58:$B$125="Kale")*(N$58:N$125="H")*$C$58:$C$125)*$B$13/$J$13*$C$13</f>
        <v/>
      </c>
      <c r="O212" s="42">
        <f>SUMPRODUCT(($B$58:$B$125="Kale")*(O$58:O$125="H")*$C$58:$C$125)*$B$13/$J$13*$C$13</f>
        <v/>
      </c>
      <c r="P212" s="42">
        <f>SUMPRODUCT(($B$58:$B$125="Kale")*(P$58:P$125="H")*$C$58:$C$125)*$B$13/$J$13*$C$13</f>
        <v/>
      </c>
      <c r="Q212" s="42">
        <f>SUMPRODUCT(($B$58:$B$125="Kale")*(Q$58:Q$125="H")*$C$58:$C$125)*$B$13/$J$13*$C$13</f>
        <v/>
      </c>
      <c r="R212" s="42">
        <f>SUMPRODUCT(($B$58:$B$125="Kale")*(R$58:R$125="H")*$C$58:$C$125)*$B$13/$J$13*$C$13</f>
        <v/>
      </c>
      <c r="S212" s="42">
        <f>SUMPRODUCT(($B$58:$B$125="Kale")*(S$58:S$125="H")*$C$58:$C$125)*$B$13/$J$13*$C$13</f>
        <v/>
      </c>
      <c r="T212" s="42">
        <f>SUMPRODUCT(($B$58:$B$125="Kale")*(T$58:T$125="H")*$C$58:$C$125)*$B$13/$J$13*$C$13</f>
        <v/>
      </c>
      <c r="U212" s="42">
        <f>SUMPRODUCT(($B$58:$B$125="Kale")*(U$58:U$125="H")*$C$58:$C$125)*$B$13/$J$13*$C$13</f>
        <v/>
      </c>
      <c r="V212" s="42">
        <f>SUMPRODUCT(($B$58:$B$125="Kale")*(V$58:V$125="H")*$C$58:$C$125)*$B$13/$J$13*$C$13</f>
        <v/>
      </c>
      <c r="W212" s="42">
        <f>SUMPRODUCT(($B$58:$B$125="Kale")*(W$58:W$125="H")*$C$58:$C$125)*$B$13/$J$13*$C$13</f>
        <v/>
      </c>
      <c r="X212" s="42">
        <f>SUMPRODUCT(($B$58:$B$125="Kale")*(X$58:X$125="H")*$C$58:$C$125)*$B$13/$J$13*$C$13</f>
        <v/>
      </c>
      <c r="Y212" s="42">
        <f>SUMPRODUCT(($B$58:$B$125="Kale")*(Y$58:Y$125="H")*$C$58:$C$125)*$B$13/$J$13*$C$13</f>
        <v/>
      </c>
      <c r="Z212" s="42">
        <f>SUMPRODUCT(($B$58:$B$125="Kale")*(Z$58:Z$125="H")*$C$58:$C$125)*$B$13/$J$13*$C$13</f>
        <v/>
      </c>
      <c r="AA212" s="42">
        <f>SUMPRODUCT(($B$58:$B$125="Kale")*(AA$58:AA$125="H")*$C$58:$C$125)*$B$13/$J$13*$C$13</f>
        <v/>
      </c>
      <c r="AB212" s="42">
        <f>SUMPRODUCT(($B$58:$B$125="Kale")*(AB$58:AB$125="H")*$C$58:$C$125)*$B$13/$J$13*$C$13</f>
        <v/>
      </c>
      <c r="AC212" s="42">
        <f>SUMPRODUCT(($B$58:$B$125="Kale")*(AC$58:AC$125="H")*$C$58:$C$125)*$B$13/$J$13*$C$13</f>
        <v/>
      </c>
      <c r="AD212" s="42">
        <f>SUMPRODUCT(($B$58:$B$125="Kale")*(AD$58:AD$125="H")*$C$58:$C$125)*$B$13/$J$13*$C$13</f>
        <v/>
      </c>
      <c r="AE212" s="42">
        <f>SUMPRODUCT(($B$58:$B$125="Kale")*(AE$58:AE$125="H")*$C$58:$C$125)*$B$13/$J$13*$C$13</f>
        <v/>
      </c>
      <c r="AF212" s="42">
        <f>SUMPRODUCT(($B$58:$B$125="Kale")*(AF$58:AF$125="H")*$C$58:$C$125)*$B$13/$J$13*$C$13</f>
        <v/>
      </c>
      <c r="AG212" s="42">
        <f>SUMPRODUCT(($B$58:$B$125="Kale")*(AG$58:AG$125="H")*$C$58:$C$125)*$B$13/$J$13*$C$13</f>
        <v/>
      </c>
      <c r="AH212" s="42">
        <f>SUMPRODUCT(($B$58:$B$125="Kale")*(AH$58:AH$125="H")*$C$58:$C$125)*$B$13/$J$13*$C$13</f>
        <v/>
      </c>
      <c r="AI212" s="42">
        <f>SUMPRODUCT(($B$58:$B$125="Kale")*(AI$58:AI$125="H")*$C$58:$C$125)*$B$13/$J$13*$C$13</f>
        <v/>
      </c>
      <c r="AJ212" s="42">
        <f>SUMPRODUCT(($B$58:$B$125="Kale")*(AJ$58:AJ$125="H")*$C$58:$C$125)*$B$13/$J$13*$C$13</f>
        <v/>
      </c>
      <c r="AK212" s="42">
        <f>SUMPRODUCT(($B$58:$B$125="Kale")*(AK$58:AK$125="H")*$C$58:$C$125)*$B$13/$J$13*$C$13</f>
        <v/>
      </c>
      <c r="AL212" s="42">
        <f>SUMPRODUCT(($B$58:$B$125="Kale")*(AL$58:AL$125="H")*$C$58:$C$125)*$B$13/$J$13*$C$13</f>
        <v/>
      </c>
      <c r="AM212" s="42">
        <f>SUMPRODUCT(($B$58:$B$125="Kale")*(AM$58:AM$125="H")*$C$58:$C$125)*$B$13/$J$13*$C$13</f>
        <v/>
      </c>
      <c r="AN212" s="42">
        <f>SUMPRODUCT(($B$58:$B$125="Kale")*(AN$58:AN$125="H")*$C$58:$C$125)*$B$13/$J$13*$C$13</f>
        <v/>
      </c>
      <c r="AO212" s="42">
        <f>SUMPRODUCT(($B$58:$B$125="Kale")*(AO$58:AO$125="H")*$C$58:$C$125)*$B$13/$J$13*$C$13</f>
        <v/>
      </c>
      <c r="AP212" s="42">
        <f>SUMPRODUCT(($B$58:$B$125="Kale")*(AP$58:AP$125="H")*$C$58:$C$125)*$B$13/$J$13*$C$13</f>
        <v/>
      </c>
      <c r="AQ212" s="42">
        <f>SUMPRODUCT(($B$58:$B$125="Kale")*(AQ$58:AQ$125="H")*$C$58:$C$125)*$B$13/$J$13*$C$13</f>
        <v/>
      </c>
      <c r="AR212" s="42">
        <f>SUMPRODUCT(($B$58:$B$125="Kale")*(AR$58:AR$125="H")*$C$58:$C$125)*$B$13/$J$13*$C$13</f>
        <v/>
      </c>
      <c r="AS212" s="42">
        <f>SUMPRODUCT(($B$58:$B$125="Kale")*(AS$58:AS$125="H")*$C$58:$C$125)*$B$13/$J$13*$C$13</f>
        <v/>
      </c>
      <c r="AT212" s="42">
        <f>SUMPRODUCT(($B$58:$B$125="Kale")*(AT$58:AT$125="H")*$C$58:$C$125)*$B$13/$J$13*$C$13</f>
        <v/>
      </c>
      <c r="AU212" s="42">
        <f>SUMPRODUCT(($B$58:$B$125="Kale")*(AU$58:AU$125="H")*$C$58:$C$125)*$B$13/$J$13*$C$13</f>
        <v/>
      </c>
      <c r="AV212" s="42">
        <f>SUMPRODUCT(($B$58:$B$125="Kale")*(AV$58:AV$125="H")*$C$58:$C$125)*$B$13/$J$13*$C$13</f>
        <v/>
      </c>
      <c r="AW212" s="42">
        <f>SUMPRODUCT(($B$58:$B$125="Kale")*(AW$58:AW$125="H")*$C$58:$C$125)*$B$13/$J$13*$C$13</f>
        <v/>
      </c>
      <c r="AX212" s="42">
        <f>SUMPRODUCT(($B$58:$B$125="Kale")*(AX$58:AX$125="H")*$C$58:$C$125)*$B$13/$J$13*$C$13</f>
        <v/>
      </c>
      <c r="AY212" s="42">
        <f>SUMPRODUCT(($B$58:$B$125="Kale")*(AY$58:AY$125="H")*$C$58:$C$125)*$B$13/$J$13*$C$13</f>
        <v/>
      </c>
      <c r="AZ212" s="42">
        <f>SUMPRODUCT(($B$58:$B$125="Kale")*(AZ$58:AZ$125="H")*$C$58:$C$125)*$B$13/$J$13*$C$13</f>
        <v/>
      </c>
      <c r="BA212" s="42">
        <f>SUMPRODUCT(($B$58:$B$125="Kale")*(BA$58:BA$125="H")*$C$58:$C$125)*$B$13/$J$13*$C$13</f>
        <v/>
      </c>
      <c r="BB212" s="42">
        <f>SUMPRODUCT(($B$58:$B$125="Kale")*(BB$58:BB$125="H")*$C$58:$C$125)*$B$13/$J$13*$C$13</f>
        <v/>
      </c>
      <c r="BC212" s="42">
        <f>SUMPRODUCT(($B$58:$B$125="Kale")*(BC$58:BC$125="H")*$C$58:$C$125)*$B$13/$J$13*$C$13</f>
        <v/>
      </c>
      <c r="BD212" s="42">
        <f>SUMPRODUCT(($B$58:$B$125="Kale")*(BD$58:BD$125="H")*$C$58:$C$125)*$B$13/$J$13*$C$13</f>
        <v/>
      </c>
    </row>
    <row r="213">
      <c r="A213" s="26" t="inlineStr">
        <is>
          <t>Stock carried in</t>
        </is>
      </c>
      <c r="B213" s="2" t="inlineStr">
        <is>
          <t>lb</t>
        </is>
      </c>
      <c r="E213" s="42" t="n">
        <v>0</v>
      </c>
      <c r="F213" s="42">
        <f>E230</f>
        <v/>
      </c>
      <c r="G213" s="42">
        <f>F230</f>
        <v/>
      </c>
      <c r="H213" s="42">
        <f>G230</f>
        <v/>
      </c>
      <c r="I213" s="42">
        <f>H230</f>
        <v/>
      </c>
      <c r="J213" s="42">
        <f>I230</f>
        <v/>
      </c>
      <c r="K213" s="42">
        <f>J230</f>
        <v/>
      </c>
      <c r="L213" s="42">
        <f>K230</f>
        <v/>
      </c>
      <c r="M213" s="42">
        <f>L230</f>
        <v/>
      </c>
      <c r="N213" s="42">
        <f>M230</f>
        <v/>
      </c>
      <c r="O213" s="42">
        <f>N230</f>
        <v/>
      </c>
      <c r="P213" s="42">
        <f>O230</f>
        <v/>
      </c>
      <c r="Q213" s="42">
        <f>P230</f>
        <v/>
      </c>
      <c r="R213" s="42">
        <f>Q230</f>
        <v/>
      </c>
      <c r="S213" s="42">
        <f>R230</f>
        <v/>
      </c>
      <c r="T213" s="42">
        <f>S230</f>
        <v/>
      </c>
      <c r="U213" s="42">
        <f>T230</f>
        <v/>
      </c>
      <c r="V213" s="42">
        <f>U230</f>
        <v/>
      </c>
      <c r="W213" s="42">
        <f>V230</f>
        <v/>
      </c>
      <c r="X213" s="42">
        <f>W230</f>
        <v/>
      </c>
      <c r="Y213" s="42">
        <f>X230</f>
        <v/>
      </c>
      <c r="Z213" s="42">
        <f>Y230</f>
        <v/>
      </c>
      <c r="AA213" s="42">
        <f>Z230</f>
        <v/>
      </c>
      <c r="AB213" s="42">
        <f>AA230</f>
        <v/>
      </c>
      <c r="AC213" s="42">
        <f>AB230</f>
        <v/>
      </c>
      <c r="AD213" s="42">
        <f>AC230</f>
        <v/>
      </c>
      <c r="AE213" s="42">
        <f>AD230</f>
        <v/>
      </c>
      <c r="AF213" s="42">
        <f>AE230</f>
        <v/>
      </c>
      <c r="AG213" s="42">
        <f>AF230</f>
        <v/>
      </c>
      <c r="AH213" s="42">
        <f>AG230</f>
        <v/>
      </c>
      <c r="AI213" s="42">
        <f>AH230</f>
        <v/>
      </c>
      <c r="AJ213" s="42">
        <f>AI230</f>
        <v/>
      </c>
      <c r="AK213" s="42">
        <f>AJ230</f>
        <v/>
      </c>
      <c r="AL213" s="42">
        <f>AK230</f>
        <v/>
      </c>
      <c r="AM213" s="42">
        <f>AL230</f>
        <v/>
      </c>
      <c r="AN213" s="42">
        <f>AM230</f>
        <v/>
      </c>
      <c r="AO213" s="42">
        <f>AN230</f>
        <v/>
      </c>
      <c r="AP213" s="42">
        <f>AO230</f>
        <v/>
      </c>
      <c r="AQ213" s="42">
        <f>AP230</f>
        <v/>
      </c>
      <c r="AR213" s="42">
        <f>AQ230</f>
        <v/>
      </c>
      <c r="AS213" s="42">
        <f>AR230</f>
        <v/>
      </c>
      <c r="AT213" s="42">
        <f>AS230</f>
        <v/>
      </c>
      <c r="AU213" s="42">
        <f>AT230</f>
        <v/>
      </c>
      <c r="AV213" s="42">
        <f>AU230</f>
        <v/>
      </c>
      <c r="AW213" s="42">
        <f>AV230</f>
        <v/>
      </c>
      <c r="AX213" s="42">
        <f>AW230</f>
        <v/>
      </c>
      <c r="AY213" s="42">
        <f>AX230</f>
        <v/>
      </c>
      <c r="AZ213" s="42">
        <f>AY230</f>
        <v/>
      </c>
      <c r="BA213" s="42">
        <f>AZ230</f>
        <v/>
      </c>
      <c r="BB213" s="42">
        <f>BA230</f>
        <v/>
      </c>
      <c r="BC213" s="42">
        <f>BB230</f>
        <v/>
      </c>
      <c r="BD213" s="42">
        <f>BC230</f>
        <v/>
      </c>
    </row>
    <row r="214">
      <c r="A214" s="26" t="inlineStr">
        <is>
          <t xml:space="preserve">   lost to shrink</t>
        </is>
      </c>
      <c r="B214" s="2" t="inlineStr">
        <is>
          <t>lb</t>
        </is>
      </c>
      <c r="E214" s="42">
        <f>E213*$G$13</f>
        <v/>
      </c>
      <c r="F214" s="42">
        <f>F213*$G$13</f>
        <v/>
      </c>
      <c r="G214" s="42">
        <f>G213*$G$13</f>
        <v/>
      </c>
      <c r="H214" s="42">
        <f>H213*$G$13</f>
        <v/>
      </c>
      <c r="I214" s="42">
        <f>I213*$G$13</f>
        <v/>
      </c>
      <c r="J214" s="42">
        <f>J213*$G$13</f>
        <v/>
      </c>
      <c r="K214" s="42">
        <f>K213*$G$13</f>
        <v/>
      </c>
      <c r="L214" s="42">
        <f>L213*$G$13</f>
        <v/>
      </c>
      <c r="M214" s="42">
        <f>M213*$G$13</f>
        <v/>
      </c>
      <c r="N214" s="42">
        <f>N213*$G$13</f>
        <v/>
      </c>
      <c r="O214" s="42">
        <f>O213*$G$13</f>
        <v/>
      </c>
      <c r="P214" s="42">
        <f>P213*$G$13</f>
        <v/>
      </c>
      <c r="Q214" s="42">
        <f>Q213*$G$13</f>
        <v/>
      </c>
      <c r="R214" s="42">
        <f>R213*$G$13</f>
        <v/>
      </c>
      <c r="S214" s="42">
        <f>S213*$G$13</f>
        <v/>
      </c>
      <c r="T214" s="42">
        <f>T213*$G$13</f>
        <v/>
      </c>
      <c r="U214" s="42">
        <f>U213*$G$13</f>
        <v/>
      </c>
      <c r="V214" s="42">
        <f>V213*$G$13</f>
        <v/>
      </c>
      <c r="W214" s="42">
        <f>W213*$G$13</f>
        <v/>
      </c>
      <c r="X214" s="42">
        <f>X213*$G$13</f>
        <v/>
      </c>
      <c r="Y214" s="42">
        <f>Y213*$G$13</f>
        <v/>
      </c>
      <c r="Z214" s="42">
        <f>Z213*$G$13</f>
        <v/>
      </c>
      <c r="AA214" s="42">
        <f>AA213*$G$13</f>
        <v/>
      </c>
      <c r="AB214" s="42">
        <f>AB213*$G$13</f>
        <v/>
      </c>
      <c r="AC214" s="42">
        <f>AC213*$G$13</f>
        <v/>
      </c>
      <c r="AD214" s="42">
        <f>AD213*$G$13</f>
        <v/>
      </c>
      <c r="AE214" s="42">
        <f>AE213*$G$13</f>
        <v/>
      </c>
      <c r="AF214" s="42">
        <f>AF213*$G$13</f>
        <v/>
      </c>
      <c r="AG214" s="42">
        <f>AG213*$G$13</f>
        <v/>
      </c>
      <c r="AH214" s="42">
        <f>AH213*$G$13</f>
        <v/>
      </c>
      <c r="AI214" s="42">
        <f>AI213*$G$13</f>
        <v/>
      </c>
      <c r="AJ214" s="42">
        <f>AJ213*$G$13</f>
        <v/>
      </c>
      <c r="AK214" s="42">
        <f>AK213*$G$13</f>
        <v/>
      </c>
      <c r="AL214" s="42">
        <f>AL213*$G$13</f>
        <v/>
      </c>
      <c r="AM214" s="42">
        <f>AM213*$G$13</f>
        <v/>
      </c>
      <c r="AN214" s="42">
        <f>AN213*$G$13</f>
        <v/>
      </c>
      <c r="AO214" s="42">
        <f>AO213*$G$13</f>
        <v/>
      </c>
      <c r="AP214" s="42">
        <f>AP213*$G$13</f>
        <v/>
      </c>
      <c r="AQ214" s="42">
        <f>AQ213*$G$13</f>
        <v/>
      </c>
      <c r="AR214" s="42">
        <f>AR213*$G$13</f>
        <v/>
      </c>
      <c r="AS214" s="42">
        <f>AS213*$G$13</f>
        <v/>
      </c>
      <c r="AT214" s="42">
        <f>AT213*$G$13</f>
        <v/>
      </c>
      <c r="AU214" s="42">
        <f>AU213*$G$13</f>
        <v/>
      </c>
      <c r="AV214" s="42">
        <f>AV213*$G$13</f>
        <v/>
      </c>
      <c r="AW214" s="42">
        <f>AW213*$G$13</f>
        <v/>
      </c>
      <c r="AX214" s="42">
        <f>AX213*$G$13</f>
        <v/>
      </c>
      <c r="AY214" s="42">
        <f>AY213*$G$13</f>
        <v/>
      </c>
      <c r="AZ214" s="42">
        <f>AZ213*$G$13</f>
        <v/>
      </c>
      <c r="BA214" s="42">
        <f>BA213*$G$13</f>
        <v/>
      </c>
      <c r="BB214" s="42">
        <f>BB213*$G$13</f>
        <v/>
      </c>
      <c r="BC214" s="42">
        <f>BC213*$G$13</f>
        <v/>
      </c>
      <c r="BD214" s="42">
        <f>BD213*$G$13</f>
        <v/>
      </c>
    </row>
    <row r="215">
      <c r="A215" s="4" t="inlineStr">
        <is>
          <t>In store this week</t>
        </is>
      </c>
      <c r="B215" s="2" t="inlineStr">
        <is>
          <t>lb</t>
        </is>
      </c>
      <c r="E215" s="42">
        <f>E213-E214+E212</f>
        <v/>
      </c>
      <c r="F215" s="42">
        <f>F213-F214+F212</f>
        <v/>
      </c>
      <c r="G215" s="42">
        <f>G213-G214+G212</f>
        <v/>
      </c>
      <c r="H215" s="42">
        <f>H213-H214+H212</f>
        <v/>
      </c>
      <c r="I215" s="42">
        <f>I213-I214+I212</f>
        <v/>
      </c>
      <c r="J215" s="42">
        <f>J213-J214+J212</f>
        <v/>
      </c>
      <c r="K215" s="42">
        <f>K213-K214+K212</f>
        <v/>
      </c>
      <c r="L215" s="42">
        <f>L213-L214+L212</f>
        <v/>
      </c>
      <c r="M215" s="42">
        <f>M213-M214+M212</f>
        <v/>
      </c>
      <c r="N215" s="42">
        <f>N213-N214+N212</f>
        <v/>
      </c>
      <c r="O215" s="42">
        <f>O213-O214+O212</f>
        <v/>
      </c>
      <c r="P215" s="42">
        <f>P213-P214+P212</f>
        <v/>
      </c>
      <c r="Q215" s="42">
        <f>Q213-Q214+Q212</f>
        <v/>
      </c>
      <c r="R215" s="42">
        <f>R213-R214+R212</f>
        <v/>
      </c>
      <c r="S215" s="42">
        <f>S213-S214+S212</f>
        <v/>
      </c>
      <c r="T215" s="42">
        <f>T213-T214+T212</f>
        <v/>
      </c>
      <c r="U215" s="42">
        <f>U213-U214+U212</f>
        <v/>
      </c>
      <c r="V215" s="42">
        <f>V213-V214+V212</f>
        <v/>
      </c>
      <c r="W215" s="42">
        <f>W213-W214+W212</f>
        <v/>
      </c>
      <c r="X215" s="42">
        <f>X213-X214+X212</f>
        <v/>
      </c>
      <c r="Y215" s="42">
        <f>Y213-Y214+Y212</f>
        <v/>
      </c>
      <c r="Z215" s="42">
        <f>Z213-Z214+Z212</f>
        <v/>
      </c>
      <c r="AA215" s="42">
        <f>AA213-AA214+AA212</f>
        <v/>
      </c>
      <c r="AB215" s="42">
        <f>AB213-AB214+AB212</f>
        <v/>
      </c>
      <c r="AC215" s="42">
        <f>AC213-AC214+AC212</f>
        <v/>
      </c>
      <c r="AD215" s="42">
        <f>AD213-AD214+AD212</f>
        <v/>
      </c>
      <c r="AE215" s="42">
        <f>AE213-AE214+AE212</f>
        <v/>
      </c>
      <c r="AF215" s="42">
        <f>AF213-AF214+AF212</f>
        <v/>
      </c>
      <c r="AG215" s="42">
        <f>AG213-AG214+AG212</f>
        <v/>
      </c>
      <c r="AH215" s="42">
        <f>AH213-AH214+AH212</f>
        <v/>
      </c>
      <c r="AI215" s="42">
        <f>AI213-AI214+AI212</f>
        <v/>
      </c>
      <c r="AJ215" s="42">
        <f>AJ213-AJ214+AJ212</f>
        <v/>
      </c>
      <c r="AK215" s="42">
        <f>AK213-AK214+AK212</f>
        <v/>
      </c>
      <c r="AL215" s="42">
        <f>AL213-AL214+AL212</f>
        <v/>
      </c>
      <c r="AM215" s="42">
        <f>AM213-AM214+AM212</f>
        <v/>
      </c>
      <c r="AN215" s="42">
        <f>AN213-AN214+AN212</f>
        <v/>
      </c>
      <c r="AO215" s="42">
        <f>AO213-AO214+AO212</f>
        <v/>
      </c>
      <c r="AP215" s="42">
        <f>AP213-AP214+AP212</f>
        <v/>
      </c>
      <c r="AQ215" s="42">
        <f>AQ213-AQ214+AQ212</f>
        <v/>
      </c>
      <c r="AR215" s="42">
        <f>AR213-AR214+AR212</f>
        <v/>
      </c>
      <c r="AS215" s="42">
        <f>AS213-AS214+AS212</f>
        <v/>
      </c>
      <c r="AT215" s="42">
        <f>AT213-AT214+AT212</f>
        <v/>
      </c>
      <c r="AU215" s="42">
        <f>AU213-AU214+AU212</f>
        <v/>
      </c>
      <c r="AV215" s="42">
        <f>AV213-AV214+AV212</f>
        <v/>
      </c>
      <c r="AW215" s="42">
        <f>AW213-AW214+AW212</f>
        <v/>
      </c>
      <c r="AX215" s="42">
        <f>AX213-AX214+AX212</f>
        <v/>
      </c>
      <c r="AY215" s="42">
        <f>AY213-AY214+AY212</f>
        <v/>
      </c>
      <c r="AZ215" s="42">
        <f>AZ213-AZ214+AZ212</f>
        <v/>
      </c>
      <c r="BA215" s="42">
        <f>BA213-BA214+BA212</f>
        <v/>
      </c>
      <c r="BB215" s="42">
        <f>BB213-BB214+BB212</f>
        <v/>
      </c>
      <c r="BC215" s="42">
        <f>BC213-BC214+BC212</f>
        <v/>
      </c>
      <c r="BD215" s="42">
        <f>BD213-BD214+BD212</f>
        <v/>
      </c>
    </row>
    <row r="216">
      <c r="A216" s="47" t="inlineStr">
        <is>
          <t>Farmers Market — most you may sell this week</t>
        </is>
      </c>
      <c r="B216" s="2" t="inlineStr">
        <is>
          <t>lb</t>
        </is>
      </c>
      <c r="E216" s="48">
        <f>IF($C$21="Annual",$D$21-0,IF(AND(1&gt;=$E$21,1&lt;=$F$21),$D$21,0))</f>
        <v/>
      </c>
      <c r="F216" s="48">
        <f>IF($C$21="Annual",$D$21-SUM(E218:E218),IF(AND(2&gt;=$E$21,2&lt;=$F$21),$D$21,0))</f>
        <v/>
      </c>
      <c r="G216" s="48">
        <f>IF($C$21="Annual",$D$21-SUM(E218:F218),IF(AND(3&gt;=$E$21,3&lt;=$F$21),$D$21,0))</f>
        <v/>
      </c>
      <c r="H216" s="48">
        <f>IF($C$21="Annual",$D$21-SUM(E218:G218),IF(AND(4&gt;=$E$21,4&lt;=$F$21),$D$21,0))</f>
        <v/>
      </c>
      <c r="I216" s="48">
        <f>IF($C$21="Annual",$D$21-SUM(E218:H218),IF(AND(5&gt;=$E$21,5&lt;=$F$21),$D$21,0))</f>
        <v/>
      </c>
      <c r="J216" s="48">
        <f>IF($C$21="Annual",$D$21-SUM(E218:I218),IF(AND(6&gt;=$E$21,6&lt;=$F$21),$D$21,0))</f>
        <v/>
      </c>
      <c r="K216" s="48">
        <f>IF($C$21="Annual",$D$21-SUM(E218:J218),IF(AND(7&gt;=$E$21,7&lt;=$F$21),$D$21,0))</f>
        <v/>
      </c>
      <c r="L216" s="48">
        <f>IF($C$21="Annual",$D$21-SUM(E218:K218),IF(AND(8&gt;=$E$21,8&lt;=$F$21),$D$21,0))</f>
        <v/>
      </c>
      <c r="M216" s="48">
        <f>IF($C$21="Annual",$D$21-SUM(E218:L218),IF(AND(9&gt;=$E$21,9&lt;=$F$21),$D$21,0))</f>
        <v/>
      </c>
      <c r="N216" s="48">
        <f>IF($C$21="Annual",$D$21-SUM(E218:M218),IF(AND(10&gt;=$E$21,10&lt;=$F$21),$D$21,0))</f>
        <v/>
      </c>
      <c r="O216" s="48">
        <f>IF($C$21="Annual",$D$21-SUM(E218:N218),IF(AND(11&gt;=$E$21,11&lt;=$F$21),$D$21,0))</f>
        <v/>
      </c>
      <c r="P216" s="48">
        <f>IF($C$21="Annual",$D$21-SUM(E218:O218),IF(AND(12&gt;=$E$21,12&lt;=$F$21),$D$21,0))</f>
        <v/>
      </c>
      <c r="Q216" s="48">
        <f>IF($C$21="Annual",$D$21-SUM(E218:P218),IF(AND(13&gt;=$E$21,13&lt;=$F$21),$D$21,0))</f>
        <v/>
      </c>
      <c r="R216" s="48">
        <f>IF($C$21="Annual",$D$21-SUM(E218:Q218),IF(AND(14&gt;=$E$21,14&lt;=$F$21),$D$21,0))</f>
        <v/>
      </c>
      <c r="S216" s="48">
        <f>IF($C$21="Annual",$D$21-SUM(E218:R218),IF(AND(15&gt;=$E$21,15&lt;=$F$21),$D$21,0))</f>
        <v/>
      </c>
      <c r="T216" s="48">
        <f>IF($C$21="Annual",$D$21-SUM(E218:S218),IF(AND(16&gt;=$E$21,16&lt;=$F$21),$D$21,0))</f>
        <v/>
      </c>
      <c r="U216" s="48">
        <f>IF($C$21="Annual",$D$21-SUM(E218:T218),IF(AND(17&gt;=$E$21,17&lt;=$F$21),$D$21,0))</f>
        <v/>
      </c>
      <c r="V216" s="48">
        <f>IF($C$21="Annual",$D$21-SUM(E218:U218),IF(AND(18&gt;=$E$21,18&lt;=$F$21),$D$21,0))</f>
        <v/>
      </c>
      <c r="W216" s="48">
        <f>IF($C$21="Annual",$D$21-SUM(E218:V218),IF(AND(19&gt;=$E$21,19&lt;=$F$21),$D$21,0))</f>
        <v/>
      </c>
      <c r="X216" s="48">
        <f>IF($C$21="Annual",$D$21-SUM(E218:W218),IF(AND(20&gt;=$E$21,20&lt;=$F$21),$D$21,0))</f>
        <v/>
      </c>
      <c r="Y216" s="48">
        <f>IF($C$21="Annual",$D$21-SUM(E218:X218),IF(AND(21&gt;=$E$21,21&lt;=$F$21),$D$21,0))</f>
        <v/>
      </c>
      <c r="Z216" s="48">
        <f>IF($C$21="Annual",$D$21-SUM(E218:Y218),IF(AND(22&gt;=$E$21,22&lt;=$F$21),$D$21,0))</f>
        <v/>
      </c>
      <c r="AA216" s="48">
        <f>IF($C$21="Annual",$D$21-SUM(E218:Z218),IF(AND(23&gt;=$E$21,23&lt;=$F$21),$D$21,0))</f>
        <v/>
      </c>
      <c r="AB216" s="48">
        <f>IF($C$21="Annual",$D$21-SUM(E218:AA218),IF(AND(24&gt;=$E$21,24&lt;=$F$21),$D$21,0))</f>
        <v/>
      </c>
      <c r="AC216" s="48">
        <f>IF($C$21="Annual",$D$21-SUM(E218:AB218),IF(AND(25&gt;=$E$21,25&lt;=$F$21),$D$21,0))</f>
        <v/>
      </c>
      <c r="AD216" s="48">
        <f>IF($C$21="Annual",$D$21-SUM(E218:AC218),IF(AND(26&gt;=$E$21,26&lt;=$F$21),$D$21,0))</f>
        <v/>
      </c>
      <c r="AE216" s="48">
        <f>IF($C$21="Annual",$D$21-SUM(E218:AD218),IF(AND(27&gt;=$E$21,27&lt;=$F$21),$D$21,0))</f>
        <v/>
      </c>
      <c r="AF216" s="48">
        <f>IF($C$21="Annual",$D$21-SUM(E218:AE218),IF(AND(28&gt;=$E$21,28&lt;=$F$21),$D$21,0))</f>
        <v/>
      </c>
      <c r="AG216" s="48">
        <f>IF($C$21="Annual",$D$21-SUM(E218:AF218),IF(AND(29&gt;=$E$21,29&lt;=$F$21),$D$21,0))</f>
        <v/>
      </c>
      <c r="AH216" s="48">
        <f>IF($C$21="Annual",$D$21-SUM(E218:AG218),IF(AND(30&gt;=$E$21,30&lt;=$F$21),$D$21,0))</f>
        <v/>
      </c>
      <c r="AI216" s="48">
        <f>IF($C$21="Annual",$D$21-SUM(E218:AH218),IF(AND(31&gt;=$E$21,31&lt;=$F$21),$D$21,0))</f>
        <v/>
      </c>
      <c r="AJ216" s="48">
        <f>IF($C$21="Annual",$D$21-SUM(E218:AI218),IF(AND(32&gt;=$E$21,32&lt;=$F$21),$D$21,0))</f>
        <v/>
      </c>
      <c r="AK216" s="48">
        <f>IF($C$21="Annual",$D$21-SUM(E218:AJ218),IF(AND(33&gt;=$E$21,33&lt;=$F$21),$D$21,0))</f>
        <v/>
      </c>
      <c r="AL216" s="48">
        <f>IF($C$21="Annual",$D$21-SUM(E218:AK218),IF(AND(34&gt;=$E$21,34&lt;=$F$21),$D$21,0))</f>
        <v/>
      </c>
      <c r="AM216" s="48">
        <f>IF($C$21="Annual",$D$21-SUM(E218:AL218),IF(AND(35&gt;=$E$21,35&lt;=$F$21),$D$21,0))</f>
        <v/>
      </c>
      <c r="AN216" s="48">
        <f>IF($C$21="Annual",$D$21-SUM(E218:AM218),IF(AND(36&gt;=$E$21,36&lt;=$F$21),$D$21,0))</f>
        <v/>
      </c>
      <c r="AO216" s="48">
        <f>IF($C$21="Annual",$D$21-SUM(E218:AN218),IF(AND(37&gt;=$E$21,37&lt;=$F$21),$D$21,0))</f>
        <v/>
      </c>
      <c r="AP216" s="48">
        <f>IF($C$21="Annual",$D$21-SUM(E218:AO218),IF(AND(38&gt;=$E$21,38&lt;=$F$21),$D$21,0))</f>
        <v/>
      </c>
      <c r="AQ216" s="48">
        <f>IF($C$21="Annual",$D$21-SUM(E218:AP218),IF(AND(39&gt;=$E$21,39&lt;=$F$21),$D$21,0))</f>
        <v/>
      </c>
      <c r="AR216" s="48">
        <f>IF($C$21="Annual",$D$21-SUM(E218:AQ218),IF(AND(40&gt;=$E$21,40&lt;=$F$21),$D$21,0))</f>
        <v/>
      </c>
      <c r="AS216" s="48">
        <f>IF($C$21="Annual",$D$21-SUM(E218:AR218),IF(AND(41&gt;=$E$21,41&lt;=$F$21),$D$21,0))</f>
        <v/>
      </c>
      <c r="AT216" s="48">
        <f>IF($C$21="Annual",$D$21-SUM(E218:AS218),IF(AND(42&gt;=$E$21,42&lt;=$F$21),$D$21,0))</f>
        <v/>
      </c>
      <c r="AU216" s="48">
        <f>IF($C$21="Annual",$D$21-SUM(E218:AT218),IF(AND(43&gt;=$E$21,43&lt;=$F$21),$D$21,0))</f>
        <v/>
      </c>
      <c r="AV216" s="48">
        <f>IF($C$21="Annual",$D$21-SUM(E218:AU218),IF(AND(44&gt;=$E$21,44&lt;=$F$21),$D$21,0))</f>
        <v/>
      </c>
      <c r="AW216" s="48">
        <f>IF($C$21="Annual",$D$21-SUM(E218:AV218),IF(AND(45&gt;=$E$21,45&lt;=$F$21),$D$21,0))</f>
        <v/>
      </c>
      <c r="AX216" s="48">
        <f>IF($C$21="Annual",$D$21-SUM(E218:AW218),IF(AND(46&gt;=$E$21,46&lt;=$F$21),$D$21,0))</f>
        <v/>
      </c>
      <c r="AY216" s="48">
        <f>IF($C$21="Annual",$D$21-SUM(E218:AX218),IF(AND(47&gt;=$E$21,47&lt;=$F$21),$D$21,0))</f>
        <v/>
      </c>
      <c r="AZ216" s="48">
        <f>IF($C$21="Annual",$D$21-SUM(E218:AY218),IF(AND(48&gt;=$E$21,48&lt;=$F$21),$D$21,0))</f>
        <v/>
      </c>
      <c r="BA216" s="48">
        <f>IF($C$21="Annual",$D$21-SUM(E218:AZ218),IF(AND(49&gt;=$E$21,49&lt;=$F$21),$D$21,0))</f>
        <v/>
      </c>
      <c r="BB216" s="48">
        <f>IF($C$21="Annual",$D$21-SUM(E218:BA218),IF(AND(50&gt;=$E$21,50&lt;=$F$21),$D$21,0))</f>
        <v/>
      </c>
      <c r="BC216" s="48">
        <f>IF($C$21="Annual",$D$21-SUM(E218:BB218),IF(AND(51&gt;=$E$21,51&lt;=$F$21),$D$21,0))</f>
        <v/>
      </c>
      <c r="BD216" s="48">
        <f>IF($C$21="Annual",$D$21-SUM(E218:BC218),IF(AND(52&gt;=$E$21,52&lt;=$F$21),$D$21,0))</f>
        <v/>
      </c>
    </row>
    <row r="217">
      <c r="A217" s="24" t="inlineStr">
        <is>
          <t>Farmers Market — OFFERED</t>
        </is>
      </c>
      <c r="B217" s="2" t="inlineStr">
        <is>
          <t>lb  &lt;-- SOLVER</t>
        </is>
      </c>
      <c r="E217" s="44" t="n">
        <v>0</v>
      </c>
      <c r="F217" s="44" t="n">
        <v>0</v>
      </c>
      <c r="G217" s="44" t="n">
        <v>0</v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  <c r="AK217" s="44" t="n">
        <v>0</v>
      </c>
      <c r="AL217" s="44" t="n">
        <v>0</v>
      </c>
      <c r="AM217" s="44" t="n">
        <v>0</v>
      </c>
      <c r="AN217" s="44" t="n">
        <v>0</v>
      </c>
      <c r="AO217" s="44" t="n">
        <v>0</v>
      </c>
      <c r="AP217" s="44" t="n">
        <v>0</v>
      </c>
      <c r="AQ217" s="44" t="n">
        <v>0</v>
      </c>
      <c r="AR217" s="44" t="n">
        <v>0</v>
      </c>
      <c r="AS217" s="44" t="n">
        <v>0</v>
      </c>
      <c r="AT217" s="44" t="n">
        <v>0</v>
      </c>
      <c r="AU217" s="44" t="n">
        <v>0</v>
      </c>
      <c r="AV217" s="44" t="n">
        <v>0</v>
      </c>
      <c r="AW217" s="44" t="n">
        <v>0</v>
      </c>
      <c r="AX217" s="44" t="n">
        <v>0</v>
      </c>
      <c r="AY217" s="44" t="n">
        <v>0</v>
      </c>
      <c r="AZ217" s="44" t="n">
        <v>0</v>
      </c>
      <c r="BA217" s="44" t="n">
        <v>0</v>
      </c>
      <c r="BB217" s="44" t="n">
        <v>0</v>
      </c>
      <c r="BC217" s="44" t="n">
        <v>0</v>
      </c>
      <c r="BD217" s="44" t="n">
        <v>0</v>
      </c>
    </row>
    <row r="218">
      <c r="A218" s="49" t="inlineStr">
        <is>
          <t>Farmers Market — SOLD</t>
        </is>
      </c>
      <c r="B218" s="2" t="inlineStr">
        <is>
          <t>lb</t>
        </is>
      </c>
      <c r="E218" s="48">
        <f>E217*$G$21</f>
        <v/>
      </c>
      <c r="F218" s="48">
        <f>F217*$G$21</f>
        <v/>
      </c>
      <c r="G218" s="48">
        <f>G217*$G$21</f>
        <v/>
      </c>
      <c r="H218" s="48">
        <f>H217*$G$21</f>
        <v/>
      </c>
      <c r="I218" s="48">
        <f>I217*$G$21</f>
        <v/>
      </c>
      <c r="J218" s="48">
        <f>J217*$G$21</f>
        <v/>
      </c>
      <c r="K218" s="48">
        <f>K217*$G$21</f>
        <v/>
      </c>
      <c r="L218" s="48">
        <f>L217*$G$21</f>
        <v/>
      </c>
      <c r="M218" s="48">
        <f>M217*$G$21</f>
        <v/>
      </c>
      <c r="N218" s="48">
        <f>N217*$G$21</f>
        <v/>
      </c>
      <c r="O218" s="48">
        <f>O217*$G$21</f>
        <v/>
      </c>
      <c r="P218" s="48">
        <f>P217*$G$21</f>
        <v/>
      </c>
      <c r="Q218" s="48">
        <f>Q217*$G$21</f>
        <v/>
      </c>
      <c r="R218" s="48">
        <f>R217*$G$21</f>
        <v/>
      </c>
      <c r="S218" s="48">
        <f>S217*$G$21</f>
        <v/>
      </c>
      <c r="T218" s="48">
        <f>T217*$G$21</f>
        <v/>
      </c>
      <c r="U218" s="48">
        <f>U217*$G$21</f>
        <v/>
      </c>
      <c r="V218" s="48">
        <f>V217*$G$21</f>
        <v/>
      </c>
      <c r="W218" s="48">
        <f>W217*$G$21</f>
        <v/>
      </c>
      <c r="X218" s="48">
        <f>X217*$G$21</f>
        <v/>
      </c>
      <c r="Y218" s="48">
        <f>Y217*$G$21</f>
        <v/>
      </c>
      <c r="Z218" s="48">
        <f>Z217*$G$21</f>
        <v/>
      </c>
      <c r="AA218" s="48">
        <f>AA217*$G$21</f>
        <v/>
      </c>
      <c r="AB218" s="48">
        <f>AB217*$G$21</f>
        <v/>
      </c>
      <c r="AC218" s="48">
        <f>AC217*$G$21</f>
        <v/>
      </c>
      <c r="AD218" s="48">
        <f>AD217*$G$21</f>
        <v/>
      </c>
      <c r="AE218" s="48">
        <f>AE217*$G$21</f>
        <v/>
      </c>
      <c r="AF218" s="48">
        <f>AF217*$G$21</f>
        <v/>
      </c>
      <c r="AG218" s="48">
        <f>AG217*$G$21</f>
        <v/>
      </c>
      <c r="AH218" s="48">
        <f>AH217*$G$21</f>
        <v/>
      </c>
      <c r="AI218" s="48">
        <f>AI217*$G$21</f>
        <v/>
      </c>
      <c r="AJ218" s="48">
        <f>AJ217*$G$21</f>
        <v/>
      </c>
      <c r="AK218" s="48">
        <f>AK217*$G$21</f>
        <v/>
      </c>
      <c r="AL218" s="48">
        <f>AL217*$G$21</f>
        <v/>
      </c>
      <c r="AM218" s="48">
        <f>AM217*$G$21</f>
        <v/>
      </c>
      <c r="AN218" s="48">
        <f>AN217*$G$21</f>
        <v/>
      </c>
      <c r="AO218" s="48">
        <f>AO217*$G$21</f>
        <v/>
      </c>
      <c r="AP218" s="48">
        <f>AP217*$G$21</f>
        <v/>
      </c>
      <c r="AQ218" s="48">
        <f>AQ217*$G$21</f>
        <v/>
      </c>
      <c r="AR218" s="48">
        <f>AR217*$G$21</f>
        <v/>
      </c>
      <c r="AS218" s="48">
        <f>AS217*$G$21</f>
        <v/>
      </c>
      <c r="AT218" s="48">
        <f>AT217*$G$21</f>
        <v/>
      </c>
      <c r="AU218" s="48">
        <f>AU217*$G$21</f>
        <v/>
      </c>
      <c r="AV218" s="48">
        <f>AV217*$G$21</f>
        <v/>
      </c>
      <c r="AW218" s="48">
        <f>AW217*$G$21</f>
        <v/>
      </c>
      <c r="AX218" s="48">
        <f>AX217*$G$21</f>
        <v/>
      </c>
      <c r="AY218" s="48">
        <f>AY217*$G$21</f>
        <v/>
      </c>
      <c r="AZ218" s="48">
        <f>AZ217*$G$21</f>
        <v/>
      </c>
      <c r="BA218" s="48">
        <f>BA217*$G$21</f>
        <v/>
      </c>
      <c r="BB218" s="48">
        <f>BB217*$G$21</f>
        <v/>
      </c>
      <c r="BC218" s="48">
        <f>BC217*$G$21</f>
        <v/>
      </c>
      <c r="BD218" s="48">
        <f>BD217*$G$21</f>
        <v/>
      </c>
    </row>
    <row r="219">
      <c r="A219" s="26" t="inlineStr">
        <is>
          <t xml:space="preserve">   market loss (gone)</t>
        </is>
      </c>
      <c r="B219" s="2" t="inlineStr">
        <is>
          <t>lb</t>
        </is>
      </c>
      <c r="E219" s="42">
        <f>(E217-E218)*(1-$H$21)</f>
        <v/>
      </c>
      <c r="F219" s="42">
        <f>(F217-F218)*(1-$H$21)</f>
        <v/>
      </c>
      <c r="G219" s="42">
        <f>(G217-G218)*(1-$H$21)</f>
        <v/>
      </c>
      <c r="H219" s="42">
        <f>(H217-H218)*(1-$H$21)</f>
        <v/>
      </c>
      <c r="I219" s="42">
        <f>(I217-I218)*(1-$H$21)</f>
        <v/>
      </c>
      <c r="J219" s="42">
        <f>(J217-J218)*(1-$H$21)</f>
        <v/>
      </c>
      <c r="K219" s="42">
        <f>(K217-K218)*(1-$H$21)</f>
        <v/>
      </c>
      <c r="L219" s="42">
        <f>(L217-L218)*(1-$H$21)</f>
        <v/>
      </c>
      <c r="M219" s="42">
        <f>(M217-M218)*(1-$H$21)</f>
        <v/>
      </c>
      <c r="N219" s="42">
        <f>(N217-N218)*(1-$H$21)</f>
        <v/>
      </c>
      <c r="O219" s="42">
        <f>(O217-O218)*(1-$H$21)</f>
        <v/>
      </c>
      <c r="P219" s="42">
        <f>(P217-P218)*(1-$H$21)</f>
        <v/>
      </c>
      <c r="Q219" s="42">
        <f>(Q217-Q218)*(1-$H$21)</f>
        <v/>
      </c>
      <c r="R219" s="42">
        <f>(R217-R218)*(1-$H$21)</f>
        <v/>
      </c>
      <c r="S219" s="42">
        <f>(S217-S218)*(1-$H$21)</f>
        <v/>
      </c>
      <c r="T219" s="42">
        <f>(T217-T218)*(1-$H$21)</f>
        <v/>
      </c>
      <c r="U219" s="42">
        <f>(U217-U218)*(1-$H$21)</f>
        <v/>
      </c>
      <c r="V219" s="42">
        <f>(V217-V218)*(1-$H$21)</f>
        <v/>
      </c>
      <c r="W219" s="42">
        <f>(W217-W218)*(1-$H$21)</f>
        <v/>
      </c>
      <c r="X219" s="42">
        <f>(X217-X218)*(1-$H$21)</f>
        <v/>
      </c>
      <c r="Y219" s="42">
        <f>(Y217-Y218)*(1-$H$21)</f>
        <v/>
      </c>
      <c r="Z219" s="42">
        <f>(Z217-Z218)*(1-$H$21)</f>
        <v/>
      </c>
      <c r="AA219" s="42">
        <f>(AA217-AA218)*(1-$H$21)</f>
        <v/>
      </c>
      <c r="AB219" s="42">
        <f>(AB217-AB218)*(1-$H$21)</f>
        <v/>
      </c>
      <c r="AC219" s="42">
        <f>(AC217-AC218)*(1-$H$21)</f>
        <v/>
      </c>
      <c r="AD219" s="42">
        <f>(AD217-AD218)*(1-$H$21)</f>
        <v/>
      </c>
      <c r="AE219" s="42">
        <f>(AE217-AE218)*(1-$H$21)</f>
        <v/>
      </c>
      <c r="AF219" s="42">
        <f>(AF217-AF218)*(1-$H$21)</f>
        <v/>
      </c>
      <c r="AG219" s="42">
        <f>(AG217-AG218)*(1-$H$21)</f>
        <v/>
      </c>
      <c r="AH219" s="42">
        <f>(AH217-AH218)*(1-$H$21)</f>
        <v/>
      </c>
      <c r="AI219" s="42">
        <f>(AI217-AI218)*(1-$H$21)</f>
        <v/>
      </c>
      <c r="AJ219" s="42">
        <f>(AJ217-AJ218)*(1-$H$21)</f>
        <v/>
      </c>
      <c r="AK219" s="42">
        <f>(AK217-AK218)*(1-$H$21)</f>
        <v/>
      </c>
      <c r="AL219" s="42">
        <f>(AL217-AL218)*(1-$H$21)</f>
        <v/>
      </c>
      <c r="AM219" s="42">
        <f>(AM217-AM218)*(1-$H$21)</f>
        <v/>
      </c>
      <c r="AN219" s="42">
        <f>(AN217-AN218)*(1-$H$21)</f>
        <v/>
      </c>
      <c r="AO219" s="42">
        <f>(AO217-AO218)*(1-$H$21)</f>
        <v/>
      </c>
      <c r="AP219" s="42">
        <f>(AP217-AP218)*(1-$H$21)</f>
        <v/>
      </c>
      <c r="AQ219" s="42">
        <f>(AQ217-AQ218)*(1-$H$21)</f>
        <v/>
      </c>
      <c r="AR219" s="42">
        <f>(AR217-AR218)*(1-$H$21)</f>
        <v/>
      </c>
      <c r="AS219" s="42">
        <f>(AS217-AS218)*(1-$H$21)</f>
        <v/>
      </c>
      <c r="AT219" s="42">
        <f>(AT217-AT218)*(1-$H$21)</f>
        <v/>
      </c>
      <c r="AU219" s="42">
        <f>(AU217-AU218)*(1-$H$21)</f>
        <v/>
      </c>
      <c r="AV219" s="42">
        <f>(AV217-AV218)*(1-$H$21)</f>
        <v/>
      </c>
      <c r="AW219" s="42">
        <f>(AW217-AW218)*(1-$H$21)</f>
        <v/>
      </c>
      <c r="AX219" s="42">
        <f>(AX217-AX218)*(1-$H$21)</f>
        <v/>
      </c>
      <c r="AY219" s="42">
        <f>(AY217-AY218)*(1-$H$21)</f>
        <v/>
      </c>
      <c r="AZ219" s="42">
        <f>(AZ217-AZ218)*(1-$H$21)</f>
        <v/>
      </c>
      <c r="BA219" s="42">
        <f>(BA217-BA218)*(1-$H$21)</f>
        <v/>
      </c>
      <c r="BB219" s="42">
        <f>(BB217-BB218)*(1-$H$21)</f>
        <v/>
      </c>
      <c r="BC219" s="42">
        <f>(BC217-BC218)*(1-$H$21)</f>
        <v/>
      </c>
      <c r="BD219" s="42">
        <f>(BD217-BD218)*(1-$H$21)</f>
        <v/>
      </c>
    </row>
    <row r="220">
      <c r="A220" s="26" t="inlineStr">
        <is>
          <t xml:space="preserve">   returned to store</t>
        </is>
      </c>
      <c r="B220" s="2" t="inlineStr">
        <is>
          <t>lb</t>
        </is>
      </c>
      <c r="E220" s="42">
        <f>(E217-E218)*$H$21</f>
        <v/>
      </c>
      <c r="F220" s="42">
        <f>(F217-F218)*$H$21</f>
        <v/>
      </c>
      <c r="G220" s="42">
        <f>(G217-G218)*$H$21</f>
        <v/>
      </c>
      <c r="H220" s="42">
        <f>(H217-H218)*$H$21</f>
        <v/>
      </c>
      <c r="I220" s="42">
        <f>(I217-I218)*$H$21</f>
        <v/>
      </c>
      <c r="J220" s="42">
        <f>(J217-J218)*$H$21</f>
        <v/>
      </c>
      <c r="K220" s="42">
        <f>(K217-K218)*$H$21</f>
        <v/>
      </c>
      <c r="L220" s="42">
        <f>(L217-L218)*$H$21</f>
        <v/>
      </c>
      <c r="M220" s="42">
        <f>(M217-M218)*$H$21</f>
        <v/>
      </c>
      <c r="N220" s="42">
        <f>(N217-N218)*$H$21</f>
        <v/>
      </c>
      <c r="O220" s="42">
        <f>(O217-O218)*$H$21</f>
        <v/>
      </c>
      <c r="P220" s="42">
        <f>(P217-P218)*$H$21</f>
        <v/>
      </c>
      <c r="Q220" s="42">
        <f>(Q217-Q218)*$H$21</f>
        <v/>
      </c>
      <c r="R220" s="42">
        <f>(R217-R218)*$H$21</f>
        <v/>
      </c>
      <c r="S220" s="42">
        <f>(S217-S218)*$H$21</f>
        <v/>
      </c>
      <c r="T220" s="42">
        <f>(T217-T218)*$H$21</f>
        <v/>
      </c>
      <c r="U220" s="42">
        <f>(U217-U218)*$H$21</f>
        <v/>
      </c>
      <c r="V220" s="42">
        <f>(V217-V218)*$H$21</f>
        <v/>
      </c>
      <c r="W220" s="42">
        <f>(W217-W218)*$H$21</f>
        <v/>
      </c>
      <c r="X220" s="42">
        <f>(X217-X218)*$H$21</f>
        <v/>
      </c>
      <c r="Y220" s="42">
        <f>(Y217-Y218)*$H$21</f>
        <v/>
      </c>
      <c r="Z220" s="42">
        <f>(Z217-Z218)*$H$21</f>
        <v/>
      </c>
      <c r="AA220" s="42">
        <f>(AA217-AA218)*$H$21</f>
        <v/>
      </c>
      <c r="AB220" s="42">
        <f>(AB217-AB218)*$H$21</f>
        <v/>
      </c>
      <c r="AC220" s="42">
        <f>(AC217-AC218)*$H$21</f>
        <v/>
      </c>
      <c r="AD220" s="42">
        <f>(AD217-AD218)*$H$21</f>
        <v/>
      </c>
      <c r="AE220" s="42">
        <f>(AE217-AE218)*$H$21</f>
        <v/>
      </c>
      <c r="AF220" s="42">
        <f>(AF217-AF218)*$H$21</f>
        <v/>
      </c>
      <c r="AG220" s="42">
        <f>(AG217-AG218)*$H$21</f>
        <v/>
      </c>
      <c r="AH220" s="42">
        <f>(AH217-AH218)*$H$21</f>
        <v/>
      </c>
      <c r="AI220" s="42">
        <f>(AI217-AI218)*$H$21</f>
        <v/>
      </c>
      <c r="AJ220" s="42">
        <f>(AJ217-AJ218)*$H$21</f>
        <v/>
      </c>
      <c r="AK220" s="42">
        <f>(AK217-AK218)*$H$21</f>
        <v/>
      </c>
      <c r="AL220" s="42">
        <f>(AL217-AL218)*$H$21</f>
        <v/>
      </c>
      <c r="AM220" s="42">
        <f>(AM217-AM218)*$H$21</f>
        <v/>
      </c>
      <c r="AN220" s="42">
        <f>(AN217-AN218)*$H$21</f>
        <v/>
      </c>
      <c r="AO220" s="42">
        <f>(AO217-AO218)*$H$21</f>
        <v/>
      </c>
      <c r="AP220" s="42">
        <f>(AP217-AP218)*$H$21</f>
        <v/>
      </c>
      <c r="AQ220" s="42">
        <f>(AQ217-AQ218)*$H$21</f>
        <v/>
      </c>
      <c r="AR220" s="42">
        <f>(AR217-AR218)*$H$21</f>
        <v/>
      </c>
      <c r="AS220" s="42">
        <f>(AS217-AS218)*$H$21</f>
        <v/>
      </c>
      <c r="AT220" s="42">
        <f>(AT217-AT218)*$H$21</f>
        <v/>
      </c>
      <c r="AU220" s="42">
        <f>(AU217-AU218)*$H$21</f>
        <v/>
      </c>
      <c r="AV220" s="42">
        <f>(AV217-AV218)*$H$21</f>
        <v/>
      </c>
      <c r="AW220" s="42">
        <f>(AW217-AW218)*$H$21</f>
        <v/>
      </c>
      <c r="AX220" s="42">
        <f>(AX217-AX218)*$H$21</f>
        <v/>
      </c>
      <c r="AY220" s="42">
        <f>(AY217-AY218)*$H$21</f>
        <v/>
      </c>
      <c r="AZ220" s="42">
        <f>(AZ217-AZ218)*$H$21</f>
        <v/>
      </c>
      <c r="BA220" s="42">
        <f>(BA217-BA218)*$H$21</f>
        <v/>
      </c>
      <c r="BB220" s="42">
        <f>(BB217-BB218)*$H$21</f>
        <v/>
      </c>
      <c r="BC220" s="42">
        <f>(BC217-BC218)*$H$21</f>
        <v/>
      </c>
      <c r="BD220" s="42">
        <f>(BD217-BD218)*$H$21</f>
        <v/>
      </c>
    </row>
    <row r="221">
      <c r="A221" s="26" t="inlineStr">
        <is>
          <t xml:space="preserve">   leaves the store (offered - returned)</t>
        </is>
      </c>
      <c r="B221" s="2" t="inlineStr">
        <is>
          <t>lb</t>
        </is>
      </c>
      <c r="E221" s="42">
        <f>E217-E220</f>
        <v/>
      </c>
      <c r="F221" s="42">
        <f>F217-F220</f>
        <v/>
      </c>
      <c r="G221" s="42">
        <f>G217-G220</f>
        <v/>
      </c>
      <c r="H221" s="42">
        <f>H217-H220</f>
        <v/>
      </c>
      <c r="I221" s="42">
        <f>I217-I220</f>
        <v/>
      </c>
      <c r="J221" s="42">
        <f>J217-J220</f>
        <v/>
      </c>
      <c r="K221" s="42">
        <f>K217-K220</f>
        <v/>
      </c>
      <c r="L221" s="42">
        <f>L217-L220</f>
        <v/>
      </c>
      <c r="M221" s="42">
        <f>M217-M220</f>
        <v/>
      </c>
      <c r="N221" s="42">
        <f>N217-N220</f>
        <v/>
      </c>
      <c r="O221" s="42">
        <f>O217-O220</f>
        <v/>
      </c>
      <c r="P221" s="42">
        <f>P217-P220</f>
        <v/>
      </c>
      <c r="Q221" s="42">
        <f>Q217-Q220</f>
        <v/>
      </c>
      <c r="R221" s="42">
        <f>R217-R220</f>
        <v/>
      </c>
      <c r="S221" s="42">
        <f>S217-S220</f>
        <v/>
      </c>
      <c r="T221" s="42">
        <f>T217-T220</f>
        <v/>
      </c>
      <c r="U221" s="42">
        <f>U217-U220</f>
        <v/>
      </c>
      <c r="V221" s="42">
        <f>V217-V220</f>
        <v/>
      </c>
      <c r="W221" s="42">
        <f>W217-W220</f>
        <v/>
      </c>
      <c r="X221" s="42">
        <f>X217-X220</f>
        <v/>
      </c>
      <c r="Y221" s="42">
        <f>Y217-Y220</f>
        <v/>
      </c>
      <c r="Z221" s="42">
        <f>Z217-Z220</f>
        <v/>
      </c>
      <c r="AA221" s="42">
        <f>AA217-AA220</f>
        <v/>
      </c>
      <c r="AB221" s="42">
        <f>AB217-AB220</f>
        <v/>
      </c>
      <c r="AC221" s="42">
        <f>AC217-AC220</f>
        <v/>
      </c>
      <c r="AD221" s="42">
        <f>AD217-AD220</f>
        <v/>
      </c>
      <c r="AE221" s="42">
        <f>AE217-AE220</f>
        <v/>
      </c>
      <c r="AF221" s="42">
        <f>AF217-AF220</f>
        <v/>
      </c>
      <c r="AG221" s="42">
        <f>AG217-AG220</f>
        <v/>
      </c>
      <c r="AH221" s="42">
        <f>AH217-AH220</f>
        <v/>
      </c>
      <c r="AI221" s="42">
        <f>AI217-AI220</f>
        <v/>
      </c>
      <c r="AJ221" s="42">
        <f>AJ217-AJ220</f>
        <v/>
      </c>
      <c r="AK221" s="42">
        <f>AK217-AK220</f>
        <v/>
      </c>
      <c r="AL221" s="42">
        <f>AL217-AL220</f>
        <v/>
      </c>
      <c r="AM221" s="42">
        <f>AM217-AM220</f>
        <v/>
      </c>
      <c r="AN221" s="42">
        <f>AN217-AN220</f>
        <v/>
      </c>
      <c r="AO221" s="42">
        <f>AO217-AO220</f>
        <v/>
      </c>
      <c r="AP221" s="42">
        <f>AP217-AP220</f>
        <v/>
      </c>
      <c r="AQ221" s="42">
        <f>AQ217-AQ220</f>
        <v/>
      </c>
      <c r="AR221" s="42">
        <f>AR217-AR220</f>
        <v/>
      </c>
      <c r="AS221" s="42">
        <f>AS217-AS220</f>
        <v/>
      </c>
      <c r="AT221" s="42">
        <f>AT217-AT220</f>
        <v/>
      </c>
      <c r="AU221" s="42">
        <f>AU217-AU220</f>
        <v/>
      </c>
      <c r="AV221" s="42">
        <f>AV217-AV220</f>
        <v/>
      </c>
      <c r="AW221" s="42">
        <f>AW217-AW220</f>
        <v/>
      </c>
      <c r="AX221" s="42">
        <f>AX217-AX220</f>
        <v/>
      </c>
      <c r="AY221" s="42">
        <f>AY217-AY220</f>
        <v/>
      </c>
      <c r="AZ221" s="42">
        <f>AZ217-AZ220</f>
        <v/>
      </c>
      <c r="BA221" s="42">
        <f>BA217-BA220</f>
        <v/>
      </c>
      <c r="BB221" s="42">
        <f>BB217-BB220</f>
        <v/>
      </c>
      <c r="BC221" s="42">
        <f>BC217-BC220</f>
        <v/>
      </c>
      <c r="BD221" s="42">
        <f>BD217-BD220</f>
        <v/>
      </c>
    </row>
    <row r="222">
      <c r="A222" s="50" t="inlineStr">
        <is>
          <t>Wholesale — most you may sell this week</t>
        </is>
      </c>
      <c r="B222" s="2" t="inlineStr">
        <is>
          <t>lb</t>
        </is>
      </c>
      <c r="E222" s="51">
        <f>IF($C$22="Annual",$D$22-0,IF(AND(1&gt;=$E$22,1&lt;=$F$22),$D$22,0))</f>
        <v/>
      </c>
      <c r="F222" s="51">
        <f>IF($C$22="Annual",$D$22-SUM(E226:E226),IF(AND(2&gt;=$E$22,2&lt;=$F$22),$D$22,0))</f>
        <v/>
      </c>
      <c r="G222" s="51">
        <f>IF($C$22="Annual",$D$22-SUM(E226:F226),IF(AND(3&gt;=$E$22,3&lt;=$F$22),$D$22,0))</f>
        <v/>
      </c>
      <c r="H222" s="51">
        <f>IF($C$22="Annual",$D$22-SUM(E226:G226),IF(AND(4&gt;=$E$22,4&lt;=$F$22),$D$22,0))</f>
        <v/>
      </c>
      <c r="I222" s="51">
        <f>IF($C$22="Annual",$D$22-SUM(E226:H226),IF(AND(5&gt;=$E$22,5&lt;=$F$22),$D$22,0))</f>
        <v/>
      </c>
      <c r="J222" s="51">
        <f>IF($C$22="Annual",$D$22-SUM(E226:I226),IF(AND(6&gt;=$E$22,6&lt;=$F$22),$D$22,0))</f>
        <v/>
      </c>
      <c r="K222" s="51">
        <f>IF($C$22="Annual",$D$22-SUM(E226:J226),IF(AND(7&gt;=$E$22,7&lt;=$F$22),$D$22,0))</f>
        <v/>
      </c>
      <c r="L222" s="51">
        <f>IF($C$22="Annual",$D$22-SUM(E226:K226),IF(AND(8&gt;=$E$22,8&lt;=$F$22),$D$22,0))</f>
        <v/>
      </c>
      <c r="M222" s="51">
        <f>IF($C$22="Annual",$D$22-SUM(E226:L226),IF(AND(9&gt;=$E$22,9&lt;=$F$22),$D$22,0))</f>
        <v/>
      </c>
      <c r="N222" s="51">
        <f>IF($C$22="Annual",$D$22-SUM(E226:M226),IF(AND(10&gt;=$E$22,10&lt;=$F$22),$D$22,0))</f>
        <v/>
      </c>
      <c r="O222" s="51">
        <f>IF($C$22="Annual",$D$22-SUM(E226:N226),IF(AND(11&gt;=$E$22,11&lt;=$F$22),$D$22,0))</f>
        <v/>
      </c>
      <c r="P222" s="51">
        <f>IF($C$22="Annual",$D$22-SUM(E226:O226),IF(AND(12&gt;=$E$22,12&lt;=$F$22),$D$22,0))</f>
        <v/>
      </c>
      <c r="Q222" s="51">
        <f>IF($C$22="Annual",$D$22-SUM(E226:P226),IF(AND(13&gt;=$E$22,13&lt;=$F$22),$D$22,0))</f>
        <v/>
      </c>
      <c r="R222" s="51">
        <f>IF($C$22="Annual",$D$22-SUM(E226:Q226),IF(AND(14&gt;=$E$22,14&lt;=$F$22),$D$22,0))</f>
        <v/>
      </c>
      <c r="S222" s="51">
        <f>IF($C$22="Annual",$D$22-SUM(E226:R226),IF(AND(15&gt;=$E$22,15&lt;=$F$22),$D$22,0))</f>
        <v/>
      </c>
      <c r="T222" s="51">
        <f>IF($C$22="Annual",$D$22-SUM(E226:S226),IF(AND(16&gt;=$E$22,16&lt;=$F$22),$D$22,0))</f>
        <v/>
      </c>
      <c r="U222" s="51">
        <f>IF($C$22="Annual",$D$22-SUM(E226:T226),IF(AND(17&gt;=$E$22,17&lt;=$F$22),$D$22,0))</f>
        <v/>
      </c>
      <c r="V222" s="51">
        <f>IF($C$22="Annual",$D$22-SUM(E226:U226),IF(AND(18&gt;=$E$22,18&lt;=$F$22),$D$22,0))</f>
        <v/>
      </c>
      <c r="W222" s="51">
        <f>IF($C$22="Annual",$D$22-SUM(E226:V226),IF(AND(19&gt;=$E$22,19&lt;=$F$22),$D$22,0))</f>
        <v/>
      </c>
      <c r="X222" s="51">
        <f>IF($C$22="Annual",$D$22-SUM(E226:W226),IF(AND(20&gt;=$E$22,20&lt;=$F$22),$D$22,0))</f>
        <v/>
      </c>
      <c r="Y222" s="51">
        <f>IF($C$22="Annual",$D$22-SUM(E226:X226),IF(AND(21&gt;=$E$22,21&lt;=$F$22),$D$22,0))</f>
        <v/>
      </c>
      <c r="Z222" s="51">
        <f>IF($C$22="Annual",$D$22-SUM(E226:Y226),IF(AND(22&gt;=$E$22,22&lt;=$F$22),$D$22,0))</f>
        <v/>
      </c>
      <c r="AA222" s="51">
        <f>IF($C$22="Annual",$D$22-SUM(E226:Z226),IF(AND(23&gt;=$E$22,23&lt;=$F$22),$D$22,0))</f>
        <v/>
      </c>
      <c r="AB222" s="51">
        <f>IF($C$22="Annual",$D$22-SUM(E226:AA226),IF(AND(24&gt;=$E$22,24&lt;=$F$22),$D$22,0))</f>
        <v/>
      </c>
      <c r="AC222" s="51">
        <f>IF($C$22="Annual",$D$22-SUM(E226:AB226),IF(AND(25&gt;=$E$22,25&lt;=$F$22),$D$22,0))</f>
        <v/>
      </c>
      <c r="AD222" s="51">
        <f>IF($C$22="Annual",$D$22-SUM(E226:AC226),IF(AND(26&gt;=$E$22,26&lt;=$F$22),$D$22,0))</f>
        <v/>
      </c>
      <c r="AE222" s="51">
        <f>IF($C$22="Annual",$D$22-SUM(E226:AD226),IF(AND(27&gt;=$E$22,27&lt;=$F$22),$D$22,0))</f>
        <v/>
      </c>
      <c r="AF222" s="51">
        <f>IF($C$22="Annual",$D$22-SUM(E226:AE226),IF(AND(28&gt;=$E$22,28&lt;=$F$22),$D$22,0))</f>
        <v/>
      </c>
      <c r="AG222" s="51">
        <f>IF($C$22="Annual",$D$22-SUM(E226:AF226),IF(AND(29&gt;=$E$22,29&lt;=$F$22),$D$22,0))</f>
        <v/>
      </c>
      <c r="AH222" s="51">
        <f>IF($C$22="Annual",$D$22-SUM(E226:AG226),IF(AND(30&gt;=$E$22,30&lt;=$F$22),$D$22,0))</f>
        <v/>
      </c>
      <c r="AI222" s="51">
        <f>IF($C$22="Annual",$D$22-SUM(E226:AH226),IF(AND(31&gt;=$E$22,31&lt;=$F$22),$D$22,0))</f>
        <v/>
      </c>
      <c r="AJ222" s="51">
        <f>IF($C$22="Annual",$D$22-SUM(E226:AI226),IF(AND(32&gt;=$E$22,32&lt;=$F$22),$D$22,0))</f>
        <v/>
      </c>
      <c r="AK222" s="51">
        <f>IF($C$22="Annual",$D$22-SUM(E226:AJ226),IF(AND(33&gt;=$E$22,33&lt;=$F$22),$D$22,0))</f>
        <v/>
      </c>
      <c r="AL222" s="51">
        <f>IF($C$22="Annual",$D$22-SUM(E226:AK226),IF(AND(34&gt;=$E$22,34&lt;=$F$22),$D$22,0))</f>
        <v/>
      </c>
      <c r="AM222" s="51">
        <f>IF($C$22="Annual",$D$22-SUM(E226:AL226),IF(AND(35&gt;=$E$22,35&lt;=$F$22),$D$22,0))</f>
        <v/>
      </c>
      <c r="AN222" s="51">
        <f>IF($C$22="Annual",$D$22-SUM(E226:AM226),IF(AND(36&gt;=$E$22,36&lt;=$F$22),$D$22,0))</f>
        <v/>
      </c>
      <c r="AO222" s="51">
        <f>IF($C$22="Annual",$D$22-SUM(E226:AN226),IF(AND(37&gt;=$E$22,37&lt;=$F$22),$D$22,0))</f>
        <v/>
      </c>
      <c r="AP222" s="51">
        <f>IF($C$22="Annual",$D$22-SUM(E226:AO226),IF(AND(38&gt;=$E$22,38&lt;=$F$22),$D$22,0))</f>
        <v/>
      </c>
      <c r="AQ222" s="51">
        <f>IF($C$22="Annual",$D$22-SUM(E226:AP226),IF(AND(39&gt;=$E$22,39&lt;=$F$22),$D$22,0))</f>
        <v/>
      </c>
      <c r="AR222" s="51">
        <f>IF($C$22="Annual",$D$22-SUM(E226:AQ226),IF(AND(40&gt;=$E$22,40&lt;=$F$22),$D$22,0))</f>
        <v/>
      </c>
      <c r="AS222" s="51">
        <f>IF($C$22="Annual",$D$22-SUM(E226:AR226),IF(AND(41&gt;=$E$22,41&lt;=$F$22),$D$22,0))</f>
        <v/>
      </c>
      <c r="AT222" s="51">
        <f>IF($C$22="Annual",$D$22-SUM(E226:AS226),IF(AND(42&gt;=$E$22,42&lt;=$F$22),$D$22,0))</f>
        <v/>
      </c>
      <c r="AU222" s="51">
        <f>IF($C$22="Annual",$D$22-SUM(E226:AT226),IF(AND(43&gt;=$E$22,43&lt;=$F$22),$D$22,0))</f>
        <v/>
      </c>
      <c r="AV222" s="51">
        <f>IF($C$22="Annual",$D$22-SUM(E226:AU226),IF(AND(44&gt;=$E$22,44&lt;=$F$22),$D$22,0))</f>
        <v/>
      </c>
      <c r="AW222" s="51">
        <f>IF($C$22="Annual",$D$22-SUM(E226:AV226),IF(AND(45&gt;=$E$22,45&lt;=$F$22),$D$22,0))</f>
        <v/>
      </c>
      <c r="AX222" s="51">
        <f>IF($C$22="Annual",$D$22-SUM(E226:AW226),IF(AND(46&gt;=$E$22,46&lt;=$F$22),$D$22,0))</f>
        <v/>
      </c>
      <c r="AY222" s="51">
        <f>IF($C$22="Annual",$D$22-SUM(E226:AX226),IF(AND(47&gt;=$E$22,47&lt;=$F$22),$D$22,0))</f>
        <v/>
      </c>
      <c r="AZ222" s="51">
        <f>IF($C$22="Annual",$D$22-SUM(E226:AY226),IF(AND(48&gt;=$E$22,48&lt;=$F$22),$D$22,0))</f>
        <v/>
      </c>
      <c r="BA222" s="51">
        <f>IF($C$22="Annual",$D$22-SUM(E226:AZ226),IF(AND(49&gt;=$E$22,49&lt;=$F$22),$D$22,0))</f>
        <v/>
      </c>
      <c r="BB222" s="51">
        <f>IF($C$22="Annual",$D$22-SUM(E226:BA226),IF(AND(50&gt;=$E$22,50&lt;=$F$22),$D$22,0))</f>
        <v/>
      </c>
      <c r="BC222" s="51">
        <f>IF($C$22="Annual",$D$22-SUM(E226:BB226),IF(AND(51&gt;=$E$22,51&lt;=$F$22),$D$22,0))</f>
        <v/>
      </c>
      <c r="BD222" s="51">
        <f>IF($C$22="Annual",$D$22-SUM(E226:BC226),IF(AND(52&gt;=$E$22,52&lt;=$F$22),$D$22,0))</f>
        <v/>
      </c>
    </row>
    <row r="223">
      <c r="A223" s="2" t="inlineStr">
        <is>
          <t xml:space="preserve">   ^ Wholesale is an ANNUAL cap (500,000 lb a year), so there is NO weekly limit —</t>
        </is>
      </c>
    </row>
    <row r="224">
      <c r="A224" s="2" t="inlineStr">
        <is>
          <t xml:space="preserve">     this row is what is LEFT of the year, and it falls as you sell.</t>
        </is>
      </c>
    </row>
    <row r="225">
      <c r="A225" s="24" t="inlineStr">
        <is>
          <t>Wholesale — OFFERED</t>
        </is>
      </c>
      <c r="B225" s="2" t="inlineStr">
        <is>
          <t>lb  &lt;-- SOLVER</t>
        </is>
      </c>
      <c r="E225" s="44" t="n">
        <v>0</v>
      </c>
      <c r="F225" s="44" t="n">
        <v>0</v>
      </c>
      <c r="G225" s="44" t="n">
        <v>0</v>
      </c>
      <c r="H225" s="44" t="n">
        <v>0</v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  <c r="AL225" s="44" t="n">
        <v>0</v>
      </c>
      <c r="AM225" s="44" t="n">
        <v>0</v>
      </c>
      <c r="AN225" s="44" t="n">
        <v>0</v>
      </c>
      <c r="AO225" s="44" t="n">
        <v>0</v>
      </c>
      <c r="AP225" s="44" t="n">
        <v>0</v>
      </c>
      <c r="AQ225" s="44" t="n">
        <v>0</v>
      </c>
      <c r="AR225" s="44" t="n">
        <v>0</v>
      </c>
      <c r="AS225" s="44" t="n">
        <v>0</v>
      </c>
      <c r="AT225" s="44" t="n">
        <v>0</v>
      </c>
      <c r="AU225" s="44" t="n">
        <v>0</v>
      </c>
      <c r="AV225" s="44" t="n">
        <v>0</v>
      </c>
      <c r="AW225" s="44" t="n">
        <v>0</v>
      </c>
      <c r="AX225" s="44" t="n">
        <v>0</v>
      </c>
      <c r="AY225" s="44" t="n">
        <v>0</v>
      </c>
      <c r="AZ225" s="44" t="n">
        <v>0</v>
      </c>
      <c r="BA225" s="44" t="n">
        <v>0</v>
      </c>
      <c r="BB225" s="44" t="n">
        <v>0</v>
      </c>
      <c r="BC225" s="44" t="n">
        <v>0</v>
      </c>
      <c r="BD225" s="44" t="n">
        <v>0</v>
      </c>
    </row>
    <row r="226">
      <c r="A226" s="52" t="inlineStr">
        <is>
          <t>Wholesale — SOLD</t>
        </is>
      </c>
      <c r="B226" s="2" t="inlineStr">
        <is>
          <t>lb</t>
        </is>
      </c>
      <c r="E226" s="51">
        <f>E225*$G$22</f>
        <v/>
      </c>
      <c r="F226" s="51">
        <f>F225*$G$22</f>
        <v/>
      </c>
      <c r="G226" s="51">
        <f>G225*$G$22</f>
        <v/>
      </c>
      <c r="H226" s="51">
        <f>H225*$G$22</f>
        <v/>
      </c>
      <c r="I226" s="51">
        <f>I225*$G$22</f>
        <v/>
      </c>
      <c r="J226" s="51">
        <f>J225*$G$22</f>
        <v/>
      </c>
      <c r="K226" s="51">
        <f>K225*$G$22</f>
        <v/>
      </c>
      <c r="L226" s="51">
        <f>L225*$G$22</f>
        <v/>
      </c>
      <c r="M226" s="51">
        <f>M225*$G$22</f>
        <v/>
      </c>
      <c r="N226" s="51">
        <f>N225*$G$22</f>
        <v/>
      </c>
      <c r="O226" s="51">
        <f>O225*$G$22</f>
        <v/>
      </c>
      <c r="P226" s="51">
        <f>P225*$G$22</f>
        <v/>
      </c>
      <c r="Q226" s="51">
        <f>Q225*$G$22</f>
        <v/>
      </c>
      <c r="R226" s="51">
        <f>R225*$G$22</f>
        <v/>
      </c>
      <c r="S226" s="51">
        <f>S225*$G$22</f>
        <v/>
      </c>
      <c r="T226" s="51">
        <f>T225*$G$22</f>
        <v/>
      </c>
      <c r="U226" s="51">
        <f>U225*$G$22</f>
        <v/>
      </c>
      <c r="V226" s="51">
        <f>V225*$G$22</f>
        <v/>
      </c>
      <c r="W226" s="51">
        <f>W225*$G$22</f>
        <v/>
      </c>
      <c r="X226" s="51">
        <f>X225*$G$22</f>
        <v/>
      </c>
      <c r="Y226" s="51">
        <f>Y225*$G$22</f>
        <v/>
      </c>
      <c r="Z226" s="51">
        <f>Z225*$G$22</f>
        <v/>
      </c>
      <c r="AA226" s="51">
        <f>AA225*$G$22</f>
        <v/>
      </c>
      <c r="AB226" s="51">
        <f>AB225*$G$22</f>
        <v/>
      </c>
      <c r="AC226" s="51">
        <f>AC225*$G$22</f>
        <v/>
      </c>
      <c r="AD226" s="51">
        <f>AD225*$G$22</f>
        <v/>
      </c>
      <c r="AE226" s="51">
        <f>AE225*$G$22</f>
        <v/>
      </c>
      <c r="AF226" s="51">
        <f>AF225*$G$22</f>
        <v/>
      </c>
      <c r="AG226" s="51">
        <f>AG225*$G$22</f>
        <v/>
      </c>
      <c r="AH226" s="51">
        <f>AH225*$G$22</f>
        <v/>
      </c>
      <c r="AI226" s="51">
        <f>AI225*$G$22</f>
        <v/>
      </c>
      <c r="AJ226" s="51">
        <f>AJ225*$G$22</f>
        <v/>
      </c>
      <c r="AK226" s="51">
        <f>AK225*$G$22</f>
        <v/>
      </c>
      <c r="AL226" s="51">
        <f>AL225*$G$22</f>
        <v/>
      </c>
      <c r="AM226" s="51">
        <f>AM225*$G$22</f>
        <v/>
      </c>
      <c r="AN226" s="51">
        <f>AN225*$G$22</f>
        <v/>
      </c>
      <c r="AO226" s="51">
        <f>AO225*$G$22</f>
        <v/>
      </c>
      <c r="AP226" s="51">
        <f>AP225*$G$22</f>
        <v/>
      </c>
      <c r="AQ226" s="51">
        <f>AQ225*$G$22</f>
        <v/>
      </c>
      <c r="AR226" s="51">
        <f>AR225*$G$22</f>
        <v/>
      </c>
      <c r="AS226" s="51">
        <f>AS225*$G$22</f>
        <v/>
      </c>
      <c r="AT226" s="51">
        <f>AT225*$G$22</f>
        <v/>
      </c>
      <c r="AU226" s="51">
        <f>AU225*$G$22</f>
        <v/>
      </c>
      <c r="AV226" s="51">
        <f>AV225*$G$22</f>
        <v/>
      </c>
      <c r="AW226" s="51">
        <f>AW225*$G$22</f>
        <v/>
      </c>
      <c r="AX226" s="51">
        <f>AX225*$G$22</f>
        <v/>
      </c>
      <c r="AY226" s="51">
        <f>AY225*$G$22</f>
        <v/>
      </c>
      <c r="AZ226" s="51">
        <f>AZ225*$G$22</f>
        <v/>
      </c>
      <c r="BA226" s="51">
        <f>BA225*$G$22</f>
        <v/>
      </c>
      <c r="BB226" s="51">
        <f>BB225*$G$22</f>
        <v/>
      </c>
      <c r="BC226" s="51">
        <f>BC225*$G$22</f>
        <v/>
      </c>
      <c r="BD226" s="51">
        <f>BD225*$G$22</f>
        <v/>
      </c>
    </row>
    <row r="227">
      <c r="A227" s="26" t="inlineStr">
        <is>
          <t xml:space="preserve">   market loss (gone)</t>
        </is>
      </c>
      <c r="B227" s="2" t="inlineStr">
        <is>
          <t>lb</t>
        </is>
      </c>
      <c r="E227" s="42">
        <f>(E225-E226)*(1-$H$22)</f>
        <v/>
      </c>
      <c r="F227" s="42">
        <f>(F225-F226)*(1-$H$22)</f>
        <v/>
      </c>
      <c r="G227" s="42">
        <f>(G225-G226)*(1-$H$22)</f>
        <v/>
      </c>
      <c r="H227" s="42">
        <f>(H225-H226)*(1-$H$22)</f>
        <v/>
      </c>
      <c r="I227" s="42">
        <f>(I225-I226)*(1-$H$22)</f>
        <v/>
      </c>
      <c r="J227" s="42">
        <f>(J225-J226)*(1-$H$22)</f>
        <v/>
      </c>
      <c r="K227" s="42">
        <f>(K225-K226)*(1-$H$22)</f>
        <v/>
      </c>
      <c r="L227" s="42">
        <f>(L225-L226)*(1-$H$22)</f>
        <v/>
      </c>
      <c r="M227" s="42">
        <f>(M225-M226)*(1-$H$22)</f>
        <v/>
      </c>
      <c r="N227" s="42">
        <f>(N225-N226)*(1-$H$22)</f>
        <v/>
      </c>
      <c r="O227" s="42">
        <f>(O225-O226)*(1-$H$22)</f>
        <v/>
      </c>
      <c r="P227" s="42">
        <f>(P225-P226)*(1-$H$22)</f>
        <v/>
      </c>
      <c r="Q227" s="42">
        <f>(Q225-Q226)*(1-$H$22)</f>
        <v/>
      </c>
      <c r="R227" s="42">
        <f>(R225-R226)*(1-$H$22)</f>
        <v/>
      </c>
      <c r="S227" s="42">
        <f>(S225-S226)*(1-$H$22)</f>
        <v/>
      </c>
      <c r="T227" s="42">
        <f>(T225-T226)*(1-$H$22)</f>
        <v/>
      </c>
      <c r="U227" s="42">
        <f>(U225-U226)*(1-$H$22)</f>
        <v/>
      </c>
      <c r="V227" s="42">
        <f>(V225-V226)*(1-$H$22)</f>
        <v/>
      </c>
      <c r="W227" s="42">
        <f>(W225-W226)*(1-$H$22)</f>
        <v/>
      </c>
      <c r="X227" s="42">
        <f>(X225-X226)*(1-$H$22)</f>
        <v/>
      </c>
      <c r="Y227" s="42">
        <f>(Y225-Y226)*(1-$H$22)</f>
        <v/>
      </c>
      <c r="Z227" s="42">
        <f>(Z225-Z226)*(1-$H$22)</f>
        <v/>
      </c>
      <c r="AA227" s="42">
        <f>(AA225-AA226)*(1-$H$22)</f>
        <v/>
      </c>
      <c r="AB227" s="42">
        <f>(AB225-AB226)*(1-$H$22)</f>
        <v/>
      </c>
      <c r="AC227" s="42">
        <f>(AC225-AC226)*(1-$H$22)</f>
        <v/>
      </c>
      <c r="AD227" s="42">
        <f>(AD225-AD226)*(1-$H$22)</f>
        <v/>
      </c>
      <c r="AE227" s="42">
        <f>(AE225-AE226)*(1-$H$22)</f>
        <v/>
      </c>
      <c r="AF227" s="42">
        <f>(AF225-AF226)*(1-$H$22)</f>
        <v/>
      </c>
      <c r="AG227" s="42">
        <f>(AG225-AG226)*(1-$H$22)</f>
        <v/>
      </c>
      <c r="AH227" s="42">
        <f>(AH225-AH226)*(1-$H$22)</f>
        <v/>
      </c>
      <c r="AI227" s="42">
        <f>(AI225-AI226)*(1-$H$22)</f>
        <v/>
      </c>
      <c r="AJ227" s="42">
        <f>(AJ225-AJ226)*(1-$H$22)</f>
        <v/>
      </c>
      <c r="AK227" s="42">
        <f>(AK225-AK226)*(1-$H$22)</f>
        <v/>
      </c>
      <c r="AL227" s="42">
        <f>(AL225-AL226)*(1-$H$22)</f>
        <v/>
      </c>
      <c r="AM227" s="42">
        <f>(AM225-AM226)*(1-$H$22)</f>
        <v/>
      </c>
      <c r="AN227" s="42">
        <f>(AN225-AN226)*(1-$H$22)</f>
        <v/>
      </c>
      <c r="AO227" s="42">
        <f>(AO225-AO226)*(1-$H$22)</f>
        <v/>
      </c>
      <c r="AP227" s="42">
        <f>(AP225-AP226)*(1-$H$22)</f>
        <v/>
      </c>
      <c r="AQ227" s="42">
        <f>(AQ225-AQ226)*(1-$H$22)</f>
        <v/>
      </c>
      <c r="AR227" s="42">
        <f>(AR225-AR226)*(1-$H$22)</f>
        <v/>
      </c>
      <c r="AS227" s="42">
        <f>(AS225-AS226)*(1-$H$22)</f>
        <v/>
      </c>
      <c r="AT227" s="42">
        <f>(AT225-AT226)*(1-$H$22)</f>
        <v/>
      </c>
      <c r="AU227" s="42">
        <f>(AU225-AU226)*(1-$H$22)</f>
        <v/>
      </c>
      <c r="AV227" s="42">
        <f>(AV225-AV226)*(1-$H$22)</f>
        <v/>
      </c>
      <c r="AW227" s="42">
        <f>(AW225-AW226)*(1-$H$22)</f>
        <v/>
      </c>
      <c r="AX227" s="42">
        <f>(AX225-AX226)*(1-$H$22)</f>
        <v/>
      </c>
      <c r="AY227" s="42">
        <f>(AY225-AY226)*(1-$H$22)</f>
        <v/>
      </c>
      <c r="AZ227" s="42">
        <f>(AZ225-AZ226)*(1-$H$22)</f>
        <v/>
      </c>
      <c r="BA227" s="42">
        <f>(BA225-BA226)*(1-$H$22)</f>
        <v/>
      </c>
      <c r="BB227" s="42">
        <f>(BB225-BB226)*(1-$H$22)</f>
        <v/>
      </c>
      <c r="BC227" s="42">
        <f>(BC225-BC226)*(1-$H$22)</f>
        <v/>
      </c>
      <c r="BD227" s="42">
        <f>(BD225-BD226)*(1-$H$22)</f>
        <v/>
      </c>
    </row>
    <row r="228">
      <c r="A228" s="26" t="inlineStr">
        <is>
          <t xml:space="preserve">   returned to store</t>
        </is>
      </c>
      <c r="B228" s="2" t="inlineStr">
        <is>
          <t>lb</t>
        </is>
      </c>
      <c r="E228" s="42">
        <f>(E225-E226)*$H$22</f>
        <v/>
      </c>
      <c r="F228" s="42">
        <f>(F225-F226)*$H$22</f>
        <v/>
      </c>
      <c r="G228" s="42">
        <f>(G225-G226)*$H$22</f>
        <v/>
      </c>
      <c r="H228" s="42">
        <f>(H225-H226)*$H$22</f>
        <v/>
      </c>
      <c r="I228" s="42">
        <f>(I225-I226)*$H$22</f>
        <v/>
      </c>
      <c r="J228" s="42">
        <f>(J225-J226)*$H$22</f>
        <v/>
      </c>
      <c r="K228" s="42">
        <f>(K225-K226)*$H$22</f>
        <v/>
      </c>
      <c r="L228" s="42">
        <f>(L225-L226)*$H$22</f>
        <v/>
      </c>
      <c r="M228" s="42">
        <f>(M225-M226)*$H$22</f>
        <v/>
      </c>
      <c r="N228" s="42">
        <f>(N225-N226)*$H$22</f>
        <v/>
      </c>
      <c r="O228" s="42">
        <f>(O225-O226)*$H$22</f>
        <v/>
      </c>
      <c r="P228" s="42">
        <f>(P225-P226)*$H$22</f>
        <v/>
      </c>
      <c r="Q228" s="42">
        <f>(Q225-Q226)*$H$22</f>
        <v/>
      </c>
      <c r="R228" s="42">
        <f>(R225-R226)*$H$22</f>
        <v/>
      </c>
      <c r="S228" s="42">
        <f>(S225-S226)*$H$22</f>
        <v/>
      </c>
      <c r="T228" s="42">
        <f>(T225-T226)*$H$22</f>
        <v/>
      </c>
      <c r="U228" s="42">
        <f>(U225-U226)*$H$22</f>
        <v/>
      </c>
      <c r="V228" s="42">
        <f>(V225-V226)*$H$22</f>
        <v/>
      </c>
      <c r="W228" s="42">
        <f>(W225-W226)*$H$22</f>
        <v/>
      </c>
      <c r="X228" s="42">
        <f>(X225-X226)*$H$22</f>
        <v/>
      </c>
      <c r="Y228" s="42">
        <f>(Y225-Y226)*$H$22</f>
        <v/>
      </c>
      <c r="Z228" s="42">
        <f>(Z225-Z226)*$H$22</f>
        <v/>
      </c>
      <c r="AA228" s="42">
        <f>(AA225-AA226)*$H$22</f>
        <v/>
      </c>
      <c r="AB228" s="42">
        <f>(AB225-AB226)*$H$22</f>
        <v/>
      </c>
      <c r="AC228" s="42">
        <f>(AC225-AC226)*$H$22</f>
        <v/>
      </c>
      <c r="AD228" s="42">
        <f>(AD225-AD226)*$H$22</f>
        <v/>
      </c>
      <c r="AE228" s="42">
        <f>(AE225-AE226)*$H$22</f>
        <v/>
      </c>
      <c r="AF228" s="42">
        <f>(AF225-AF226)*$H$22</f>
        <v/>
      </c>
      <c r="AG228" s="42">
        <f>(AG225-AG226)*$H$22</f>
        <v/>
      </c>
      <c r="AH228" s="42">
        <f>(AH225-AH226)*$H$22</f>
        <v/>
      </c>
      <c r="AI228" s="42">
        <f>(AI225-AI226)*$H$22</f>
        <v/>
      </c>
      <c r="AJ228" s="42">
        <f>(AJ225-AJ226)*$H$22</f>
        <v/>
      </c>
      <c r="AK228" s="42">
        <f>(AK225-AK226)*$H$22</f>
        <v/>
      </c>
      <c r="AL228" s="42">
        <f>(AL225-AL226)*$H$22</f>
        <v/>
      </c>
      <c r="AM228" s="42">
        <f>(AM225-AM226)*$H$22</f>
        <v/>
      </c>
      <c r="AN228" s="42">
        <f>(AN225-AN226)*$H$22</f>
        <v/>
      </c>
      <c r="AO228" s="42">
        <f>(AO225-AO226)*$H$22</f>
        <v/>
      </c>
      <c r="AP228" s="42">
        <f>(AP225-AP226)*$H$22</f>
        <v/>
      </c>
      <c r="AQ228" s="42">
        <f>(AQ225-AQ226)*$H$22</f>
        <v/>
      </c>
      <c r="AR228" s="42">
        <f>(AR225-AR226)*$H$22</f>
        <v/>
      </c>
      <c r="AS228" s="42">
        <f>(AS225-AS226)*$H$22</f>
        <v/>
      </c>
      <c r="AT228" s="42">
        <f>(AT225-AT226)*$H$22</f>
        <v/>
      </c>
      <c r="AU228" s="42">
        <f>(AU225-AU226)*$H$22</f>
        <v/>
      </c>
      <c r="AV228" s="42">
        <f>(AV225-AV226)*$H$22</f>
        <v/>
      </c>
      <c r="AW228" s="42">
        <f>(AW225-AW226)*$H$22</f>
        <v/>
      </c>
      <c r="AX228" s="42">
        <f>(AX225-AX226)*$H$22</f>
        <v/>
      </c>
      <c r="AY228" s="42">
        <f>(AY225-AY226)*$H$22</f>
        <v/>
      </c>
      <c r="AZ228" s="42">
        <f>(AZ225-AZ226)*$H$22</f>
        <v/>
      </c>
      <c r="BA228" s="42">
        <f>(BA225-BA226)*$H$22</f>
        <v/>
      </c>
      <c r="BB228" s="42">
        <f>(BB225-BB226)*$H$22</f>
        <v/>
      </c>
      <c r="BC228" s="42">
        <f>(BC225-BC226)*$H$22</f>
        <v/>
      </c>
      <c r="BD228" s="42">
        <f>(BD225-BD226)*$H$22</f>
        <v/>
      </c>
    </row>
    <row r="229">
      <c r="A229" s="26" t="inlineStr">
        <is>
          <t xml:space="preserve">   leaves the store (offered - returned)</t>
        </is>
      </c>
      <c r="B229" s="2" t="inlineStr">
        <is>
          <t>lb</t>
        </is>
      </c>
      <c r="E229" s="42">
        <f>E225-E228</f>
        <v/>
      </c>
      <c r="F229" s="42">
        <f>F225-F228</f>
        <v/>
      </c>
      <c r="G229" s="42">
        <f>G225-G228</f>
        <v/>
      </c>
      <c r="H229" s="42">
        <f>H225-H228</f>
        <v/>
      </c>
      <c r="I229" s="42">
        <f>I225-I228</f>
        <v/>
      </c>
      <c r="J229" s="42">
        <f>J225-J228</f>
        <v/>
      </c>
      <c r="K229" s="42">
        <f>K225-K228</f>
        <v/>
      </c>
      <c r="L229" s="42">
        <f>L225-L228</f>
        <v/>
      </c>
      <c r="M229" s="42">
        <f>M225-M228</f>
        <v/>
      </c>
      <c r="N229" s="42">
        <f>N225-N228</f>
        <v/>
      </c>
      <c r="O229" s="42">
        <f>O225-O228</f>
        <v/>
      </c>
      <c r="P229" s="42">
        <f>P225-P228</f>
        <v/>
      </c>
      <c r="Q229" s="42">
        <f>Q225-Q228</f>
        <v/>
      </c>
      <c r="R229" s="42">
        <f>R225-R228</f>
        <v/>
      </c>
      <c r="S229" s="42">
        <f>S225-S228</f>
        <v/>
      </c>
      <c r="T229" s="42">
        <f>T225-T228</f>
        <v/>
      </c>
      <c r="U229" s="42">
        <f>U225-U228</f>
        <v/>
      </c>
      <c r="V229" s="42">
        <f>V225-V228</f>
        <v/>
      </c>
      <c r="W229" s="42">
        <f>W225-W228</f>
        <v/>
      </c>
      <c r="X229" s="42">
        <f>X225-X228</f>
        <v/>
      </c>
      <c r="Y229" s="42">
        <f>Y225-Y228</f>
        <v/>
      </c>
      <c r="Z229" s="42">
        <f>Z225-Z228</f>
        <v/>
      </c>
      <c r="AA229" s="42">
        <f>AA225-AA228</f>
        <v/>
      </c>
      <c r="AB229" s="42">
        <f>AB225-AB228</f>
        <v/>
      </c>
      <c r="AC229" s="42">
        <f>AC225-AC228</f>
        <v/>
      </c>
      <c r="AD229" s="42">
        <f>AD225-AD228</f>
        <v/>
      </c>
      <c r="AE229" s="42">
        <f>AE225-AE228</f>
        <v/>
      </c>
      <c r="AF229" s="42">
        <f>AF225-AF228</f>
        <v/>
      </c>
      <c r="AG229" s="42">
        <f>AG225-AG228</f>
        <v/>
      </c>
      <c r="AH229" s="42">
        <f>AH225-AH228</f>
        <v/>
      </c>
      <c r="AI229" s="42">
        <f>AI225-AI228</f>
        <v/>
      </c>
      <c r="AJ229" s="42">
        <f>AJ225-AJ228</f>
        <v/>
      </c>
      <c r="AK229" s="42">
        <f>AK225-AK228</f>
        <v/>
      </c>
      <c r="AL229" s="42">
        <f>AL225-AL228</f>
        <v/>
      </c>
      <c r="AM229" s="42">
        <f>AM225-AM228</f>
        <v/>
      </c>
      <c r="AN229" s="42">
        <f>AN225-AN228</f>
        <v/>
      </c>
      <c r="AO229" s="42">
        <f>AO225-AO228</f>
        <v/>
      </c>
      <c r="AP229" s="42">
        <f>AP225-AP228</f>
        <v/>
      </c>
      <c r="AQ229" s="42">
        <f>AQ225-AQ228</f>
        <v/>
      </c>
      <c r="AR229" s="42">
        <f>AR225-AR228</f>
        <v/>
      </c>
      <c r="AS229" s="42">
        <f>AS225-AS228</f>
        <v/>
      </c>
      <c r="AT229" s="42">
        <f>AT225-AT228</f>
        <v/>
      </c>
      <c r="AU229" s="42">
        <f>AU225-AU228</f>
        <v/>
      </c>
      <c r="AV229" s="42">
        <f>AV225-AV228</f>
        <v/>
      </c>
      <c r="AW229" s="42">
        <f>AW225-AW228</f>
        <v/>
      </c>
      <c r="AX229" s="42">
        <f>AX225-AX228</f>
        <v/>
      </c>
      <c r="AY229" s="42">
        <f>AY225-AY228</f>
        <v/>
      </c>
      <c r="AZ229" s="42">
        <f>AZ225-AZ228</f>
        <v/>
      </c>
      <c r="BA229" s="42">
        <f>BA225-BA228</f>
        <v/>
      </c>
      <c r="BB229" s="42">
        <f>BB225-BB228</f>
        <v/>
      </c>
      <c r="BC229" s="42">
        <f>BC225-BC228</f>
        <v/>
      </c>
      <c r="BD229" s="42">
        <f>BD225-BD228</f>
        <v/>
      </c>
    </row>
    <row r="230">
      <c r="A230" s="4" t="inlineStr">
        <is>
          <t>Stock carried out</t>
        </is>
      </c>
      <c r="B230" s="2" t="inlineStr">
        <is>
          <t>lb</t>
        </is>
      </c>
      <c r="E230" s="42">
        <f>E215-E221-E229</f>
        <v/>
      </c>
      <c r="F230" s="42">
        <f>F215-F221-F229</f>
        <v/>
      </c>
      <c r="G230" s="42">
        <f>G215-G221-G229</f>
        <v/>
      </c>
      <c r="H230" s="42">
        <f>H215-H221-H229</f>
        <v/>
      </c>
      <c r="I230" s="42">
        <f>I215-I221-I229</f>
        <v/>
      </c>
      <c r="J230" s="42">
        <f>J215-J221-J229</f>
        <v/>
      </c>
      <c r="K230" s="42">
        <f>K215-K221-K229</f>
        <v/>
      </c>
      <c r="L230" s="42">
        <f>L215-L221-L229</f>
        <v/>
      </c>
      <c r="M230" s="42">
        <f>M215-M221-M229</f>
        <v/>
      </c>
      <c r="N230" s="42">
        <f>N215-N221-N229</f>
        <v/>
      </c>
      <c r="O230" s="42">
        <f>O215-O221-O229</f>
        <v/>
      </c>
      <c r="P230" s="42">
        <f>P215-P221-P229</f>
        <v/>
      </c>
      <c r="Q230" s="42">
        <f>Q215-Q221-Q229</f>
        <v/>
      </c>
      <c r="R230" s="42">
        <f>R215-R221-R229</f>
        <v/>
      </c>
      <c r="S230" s="42">
        <f>S215-S221-S229</f>
        <v/>
      </c>
      <c r="T230" s="42">
        <f>T215-T221-T229</f>
        <v/>
      </c>
      <c r="U230" s="42">
        <f>U215-U221-U229</f>
        <v/>
      </c>
      <c r="V230" s="42">
        <f>V215-V221-V229</f>
        <v/>
      </c>
      <c r="W230" s="42">
        <f>W215-W221-W229</f>
        <v/>
      </c>
      <c r="X230" s="42">
        <f>X215-X221-X229</f>
        <v/>
      </c>
      <c r="Y230" s="42">
        <f>Y215-Y221-Y229</f>
        <v/>
      </c>
      <c r="Z230" s="42">
        <f>Z215-Z221-Z229</f>
        <v/>
      </c>
      <c r="AA230" s="42">
        <f>AA215-AA221-AA229</f>
        <v/>
      </c>
      <c r="AB230" s="42">
        <f>AB215-AB221-AB229</f>
        <v/>
      </c>
      <c r="AC230" s="42">
        <f>AC215-AC221-AC229</f>
        <v/>
      </c>
      <c r="AD230" s="42">
        <f>AD215-AD221-AD229</f>
        <v/>
      </c>
      <c r="AE230" s="42">
        <f>AE215-AE221-AE229</f>
        <v/>
      </c>
      <c r="AF230" s="42">
        <f>AF215-AF221-AF229</f>
        <v/>
      </c>
      <c r="AG230" s="42">
        <f>AG215-AG221-AG229</f>
        <v/>
      </c>
      <c r="AH230" s="42">
        <f>AH215-AH221-AH229</f>
        <v/>
      </c>
      <c r="AI230" s="42">
        <f>AI215-AI221-AI229</f>
        <v/>
      </c>
      <c r="AJ230" s="42">
        <f>AJ215-AJ221-AJ229</f>
        <v/>
      </c>
      <c r="AK230" s="42">
        <f>AK215-AK221-AK229</f>
        <v/>
      </c>
      <c r="AL230" s="42">
        <f>AL215-AL221-AL229</f>
        <v/>
      </c>
      <c r="AM230" s="42">
        <f>AM215-AM221-AM229</f>
        <v/>
      </c>
      <c r="AN230" s="42">
        <f>AN215-AN221-AN229</f>
        <v/>
      </c>
      <c r="AO230" s="42">
        <f>AO215-AO221-AO229</f>
        <v/>
      </c>
      <c r="AP230" s="42">
        <f>AP215-AP221-AP229</f>
        <v/>
      </c>
      <c r="AQ230" s="42">
        <f>AQ215-AQ221-AQ229</f>
        <v/>
      </c>
      <c r="AR230" s="42">
        <f>AR215-AR221-AR229</f>
        <v/>
      </c>
      <c r="AS230" s="42">
        <f>AS215-AS221-AS229</f>
        <v/>
      </c>
      <c r="AT230" s="42">
        <f>AT215-AT221-AT229</f>
        <v/>
      </c>
      <c r="AU230" s="42">
        <f>AU215-AU221-AU229</f>
        <v/>
      </c>
      <c r="AV230" s="42">
        <f>AV215-AV221-AV229</f>
        <v/>
      </c>
      <c r="AW230" s="42">
        <f>AW215-AW221-AW229</f>
        <v/>
      </c>
      <c r="AX230" s="42">
        <f>AX215-AX221-AX229</f>
        <v/>
      </c>
      <c r="AY230" s="42">
        <f>AY215-AY221-AY229</f>
        <v/>
      </c>
      <c r="AZ230" s="42">
        <f>AZ215-AZ221-AZ229</f>
        <v/>
      </c>
      <c r="BA230" s="42">
        <f>BA215-BA221-BA229</f>
        <v/>
      </c>
      <c r="BB230" s="42">
        <f>BB215-BB221-BB229</f>
        <v/>
      </c>
      <c r="BC230" s="42">
        <f>BC215-BC221-BC229</f>
        <v/>
      </c>
      <c r="BD230" s="42">
        <f>BD215-BD221-BD229</f>
        <v/>
      </c>
    </row>
    <row r="231">
      <c r="A231" s="2" t="inlineStr">
        <is>
          <t xml:space="preserve">   ^ subtracts what LEAVES, not what was offered — so 'returned to store' is</t>
        </is>
      </c>
    </row>
    <row r="232">
      <c r="A232" s="2" t="inlineStr">
        <is>
          <t xml:space="preserve">     never taken out at all, and shows up as next week's carried in.</t>
        </is>
      </c>
    </row>
    <row r="233">
      <c r="A233" s="26" t="inlineStr">
        <is>
          <t>Most stock its shelf life allows</t>
        </is>
      </c>
      <c r="B233" s="2" t="inlineStr">
        <is>
          <t>lb</t>
        </is>
      </c>
      <c r="E233" s="42">
        <f>SUMPRODUCT(($E$211:$BD$211&gt;=1-$F$13+2)*($E$211:$BD$211&lt;=1)*$E$212:$BD$212*POWER(1-$G$13,($E$211:$BD$211&lt;=1)*(1-$E$211:$BD$211)))</f>
        <v/>
      </c>
      <c r="F233" s="42">
        <f>SUMPRODUCT(($E$211:$BD$211&gt;=2-$F$13+2)*($E$211:$BD$211&lt;=2)*$E$212:$BD$212*POWER(1-$G$13,($E$211:$BD$211&lt;=2)*(2-$E$211:$BD$211)))</f>
        <v/>
      </c>
      <c r="G233" s="42">
        <f>SUMPRODUCT(($E$211:$BD$211&gt;=3-$F$13+2)*($E$211:$BD$211&lt;=3)*$E$212:$BD$212*POWER(1-$G$13,($E$211:$BD$211&lt;=3)*(3-$E$211:$BD$211)))</f>
        <v/>
      </c>
      <c r="H233" s="42">
        <f>SUMPRODUCT(($E$211:$BD$211&gt;=4-$F$13+2)*($E$211:$BD$211&lt;=4)*$E$212:$BD$212*POWER(1-$G$13,($E$211:$BD$211&lt;=4)*(4-$E$211:$BD$211)))</f>
        <v/>
      </c>
      <c r="I233" s="42">
        <f>SUMPRODUCT(($E$211:$BD$211&gt;=5-$F$13+2)*($E$211:$BD$211&lt;=5)*$E$212:$BD$212*POWER(1-$G$13,($E$211:$BD$211&lt;=5)*(5-$E$211:$BD$211)))</f>
        <v/>
      </c>
      <c r="J233" s="42">
        <f>SUMPRODUCT(($E$211:$BD$211&gt;=6-$F$13+2)*($E$211:$BD$211&lt;=6)*$E$212:$BD$212*POWER(1-$G$13,($E$211:$BD$211&lt;=6)*(6-$E$211:$BD$211)))</f>
        <v/>
      </c>
      <c r="K233" s="42">
        <f>SUMPRODUCT(($E$211:$BD$211&gt;=7-$F$13+2)*($E$211:$BD$211&lt;=7)*$E$212:$BD$212*POWER(1-$G$13,($E$211:$BD$211&lt;=7)*(7-$E$211:$BD$211)))</f>
        <v/>
      </c>
      <c r="L233" s="42">
        <f>SUMPRODUCT(($E$211:$BD$211&gt;=8-$F$13+2)*($E$211:$BD$211&lt;=8)*$E$212:$BD$212*POWER(1-$G$13,($E$211:$BD$211&lt;=8)*(8-$E$211:$BD$211)))</f>
        <v/>
      </c>
      <c r="M233" s="42">
        <f>SUMPRODUCT(($E$211:$BD$211&gt;=9-$F$13+2)*($E$211:$BD$211&lt;=9)*$E$212:$BD$212*POWER(1-$G$13,($E$211:$BD$211&lt;=9)*(9-$E$211:$BD$211)))</f>
        <v/>
      </c>
      <c r="N233" s="42">
        <f>SUMPRODUCT(($E$211:$BD$211&gt;=10-$F$13+2)*($E$211:$BD$211&lt;=10)*$E$212:$BD$212*POWER(1-$G$13,($E$211:$BD$211&lt;=10)*(10-$E$211:$BD$211)))</f>
        <v/>
      </c>
      <c r="O233" s="42">
        <f>SUMPRODUCT(($E$211:$BD$211&gt;=11-$F$13+2)*($E$211:$BD$211&lt;=11)*$E$212:$BD$212*POWER(1-$G$13,($E$211:$BD$211&lt;=11)*(11-$E$211:$BD$211)))</f>
        <v/>
      </c>
      <c r="P233" s="42">
        <f>SUMPRODUCT(($E$211:$BD$211&gt;=12-$F$13+2)*($E$211:$BD$211&lt;=12)*$E$212:$BD$212*POWER(1-$G$13,($E$211:$BD$211&lt;=12)*(12-$E$211:$BD$211)))</f>
        <v/>
      </c>
      <c r="Q233" s="42">
        <f>SUMPRODUCT(($E$211:$BD$211&gt;=13-$F$13+2)*($E$211:$BD$211&lt;=13)*$E$212:$BD$212*POWER(1-$G$13,($E$211:$BD$211&lt;=13)*(13-$E$211:$BD$211)))</f>
        <v/>
      </c>
      <c r="R233" s="42">
        <f>SUMPRODUCT(($E$211:$BD$211&gt;=14-$F$13+2)*($E$211:$BD$211&lt;=14)*$E$212:$BD$212*POWER(1-$G$13,($E$211:$BD$211&lt;=14)*(14-$E$211:$BD$211)))</f>
        <v/>
      </c>
      <c r="S233" s="42">
        <f>SUMPRODUCT(($E$211:$BD$211&gt;=15-$F$13+2)*($E$211:$BD$211&lt;=15)*$E$212:$BD$212*POWER(1-$G$13,($E$211:$BD$211&lt;=15)*(15-$E$211:$BD$211)))</f>
        <v/>
      </c>
      <c r="T233" s="42">
        <f>SUMPRODUCT(($E$211:$BD$211&gt;=16-$F$13+2)*($E$211:$BD$211&lt;=16)*$E$212:$BD$212*POWER(1-$G$13,($E$211:$BD$211&lt;=16)*(16-$E$211:$BD$211)))</f>
        <v/>
      </c>
      <c r="U233" s="42">
        <f>SUMPRODUCT(($E$211:$BD$211&gt;=17-$F$13+2)*($E$211:$BD$211&lt;=17)*$E$212:$BD$212*POWER(1-$G$13,($E$211:$BD$211&lt;=17)*(17-$E$211:$BD$211)))</f>
        <v/>
      </c>
      <c r="V233" s="42">
        <f>SUMPRODUCT(($E$211:$BD$211&gt;=18-$F$13+2)*($E$211:$BD$211&lt;=18)*$E$212:$BD$212*POWER(1-$G$13,($E$211:$BD$211&lt;=18)*(18-$E$211:$BD$211)))</f>
        <v/>
      </c>
      <c r="W233" s="42">
        <f>SUMPRODUCT(($E$211:$BD$211&gt;=19-$F$13+2)*($E$211:$BD$211&lt;=19)*$E$212:$BD$212*POWER(1-$G$13,($E$211:$BD$211&lt;=19)*(19-$E$211:$BD$211)))</f>
        <v/>
      </c>
      <c r="X233" s="42">
        <f>SUMPRODUCT(($E$211:$BD$211&gt;=20-$F$13+2)*($E$211:$BD$211&lt;=20)*$E$212:$BD$212*POWER(1-$G$13,($E$211:$BD$211&lt;=20)*(20-$E$211:$BD$211)))</f>
        <v/>
      </c>
      <c r="Y233" s="42">
        <f>SUMPRODUCT(($E$211:$BD$211&gt;=21-$F$13+2)*($E$211:$BD$211&lt;=21)*$E$212:$BD$212*POWER(1-$G$13,($E$211:$BD$211&lt;=21)*(21-$E$211:$BD$211)))</f>
        <v/>
      </c>
      <c r="Z233" s="42">
        <f>SUMPRODUCT(($E$211:$BD$211&gt;=22-$F$13+2)*($E$211:$BD$211&lt;=22)*$E$212:$BD$212*POWER(1-$G$13,($E$211:$BD$211&lt;=22)*(22-$E$211:$BD$211)))</f>
        <v/>
      </c>
      <c r="AA233" s="42">
        <f>SUMPRODUCT(($E$211:$BD$211&gt;=23-$F$13+2)*($E$211:$BD$211&lt;=23)*$E$212:$BD$212*POWER(1-$G$13,($E$211:$BD$211&lt;=23)*(23-$E$211:$BD$211)))</f>
        <v/>
      </c>
      <c r="AB233" s="42">
        <f>SUMPRODUCT(($E$211:$BD$211&gt;=24-$F$13+2)*($E$211:$BD$211&lt;=24)*$E$212:$BD$212*POWER(1-$G$13,($E$211:$BD$211&lt;=24)*(24-$E$211:$BD$211)))</f>
        <v/>
      </c>
      <c r="AC233" s="42">
        <f>SUMPRODUCT(($E$211:$BD$211&gt;=25-$F$13+2)*($E$211:$BD$211&lt;=25)*$E$212:$BD$212*POWER(1-$G$13,($E$211:$BD$211&lt;=25)*(25-$E$211:$BD$211)))</f>
        <v/>
      </c>
      <c r="AD233" s="42">
        <f>SUMPRODUCT(($E$211:$BD$211&gt;=26-$F$13+2)*($E$211:$BD$211&lt;=26)*$E$212:$BD$212*POWER(1-$G$13,($E$211:$BD$211&lt;=26)*(26-$E$211:$BD$211)))</f>
        <v/>
      </c>
      <c r="AE233" s="42">
        <f>SUMPRODUCT(($E$211:$BD$211&gt;=27-$F$13+2)*($E$211:$BD$211&lt;=27)*$E$212:$BD$212*POWER(1-$G$13,($E$211:$BD$211&lt;=27)*(27-$E$211:$BD$211)))</f>
        <v/>
      </c>
      <c r="AF233" s="42">
        <f>SUMPRODUCT(($E$211:$BD$211&gt;=28-$F$13+2)*($E$211:$BD$211&lt;=28)*$E$212:$BD$212*POWER(1-$G$13,($E$211:$BD$211&lt;=28)*(28-$E$211:$BD$211)))</f>
        <v/>
      </c>
      <c r="AG233" s="42">
        <f>SUMPRODUCT(($E$211:$BD$211&gt;=29-$F$13+2)*($E$211:$BD$211&lt;=29)*$E$212:$BD$212*POWER(1-$G$13,($E$211:$BD$211&lt;=29)*(29-$E$211:$BD$211)))</f>
        <v/>
      </c>
      <c r="AH233" s="42">
        <f>SUMPRODUCT(($E$211:$BD$211&gt;=30-$F$13+2)*($E$211:$BD$211&lt;=30)*$E$212:$BD$212*POWER(1-$G$13,($E$211:$BD$211&lt;=30)*(30-$E$211:$BD$211)))</f>
        <v/>
      </c>
      <c r="AI233" s="42">
        <f>SUMPRODUCT(($E$211:$BD$211&gt;=31-$F$13+2)*($E$211:$BD$211&lt;=31)*$E$212:$BD$212*POWER(1-$G$13,($E$211:$BD$211&lt;=31)*(31-$E$211:$BD$211)))</f>
        <v/>
      </c>
      <c r="AJ233" s="42">
        <f>SUMPRODUCT(($E$211:$BD$211&gt;=32-$F$13+2)*($E$211:$BD$211&lt;=32)*$E$212:$BD$212*POWER(1-$G$13,($E$211:$BD$211&lt;=32)*(32-$E$211:$BD$211)))</f>
        <v/>
      </c>
      <c r="AK233" s="42">
        <f>SUMPRODUCT(($E$211:$BD$211&gt;=33-$F$13+2)*($E$211:$BD$211&lt;=33)*$E$212:$BD$212*POWER(1-$G$13,($E$211:$BD$211&lt;=33)*(33-$E$211:$BD$211)))</f>
        <v/>
      </c>
      <c r="AL233" s="42">
        <f>SUMPRODUCT(($E$211:$BD$211&gt;=34-$F$13+2)*($E$211:$BD$211&lt;=34)*$E$212:$BD$212*POWER(1-$G$13,($E$211:$BD$211&lt;=34)*(34-$E$211:$BD$211)))</f>
        <v/>
      </c>
      <c r="AM233" s="42">
        <f>SUMPRODUCT(($E$211:$BD$211&gt;=35-$F$13+2)*($E$211:$BD$211&lt;=35)*$E$212:$BD$212*POWER(1-$G$13,($E$211:$BD$211&lt;=35)*(35-$E$211:$BD$211)))</f>
        <v/>
      </c>
      <c r="AN233" s="42">
        <f>SUMPRODUCT(($E$211:$BD$211&gt;=36-$F$13+2)*($E$211:$BD$211&lt;=36)*$E$212:$BD$212*POWER(1-$G$13,($E$211:$BD$211&lt;=36)*(36-$E$211:$BD$211)))</f>
        <v/>
      </c>
      <c r="AO233" s="42">
        <f>SUMPRODUCT(($E$211:$BD$211&gt;=37-$F$13+2)*($E$211:$BD$211&lt;=37)*$E$212:$BD$212*POWER(1-$G$13,($E$211:$BD$211&lt;=37)*(37-$E$211:$BD$211)))</f>
        <v/>
      </c>
      <c r="AP233" s="42">
        <f>SUMPRODUCT(($E$211:$BD$211&gt;=38-$F$13+2)*($E$211:$BD$211&lt;=38)*$E$212:$BD$212*POWER(1-$G$13,($E$211:$BD$211&lt;=38)*(38-$E$211:$BD$211)))</f>
        <v/>
      </c>
      <c r="AQ233" s="42">
        <f>SUMPRODUCT(($E$211:$BD$211&gt;=39-$F$13+2)*($E$211:$BD$211&lt;=39)*$E$212:$BD$212*POWER(1-$G$13,($E$211:$BD$211&lt;=39)*(39-$E$211:$BD$211)))</f>
        <v/>
      </c>
      <c r="AR233" s="42">
        <f>SUMPRODUCT(($E$211:$BD$211&gt;=40-$F$13+2)*($E$211:$BD$211&lt;=40)*$E$212:$BD$212*POWER(1-$G$13,($E$211:$BD$211&lt;=40)*(40-$E$211:$BD$211)))</f>
        <v/>
      </c>
      <c r="AS233" s="42">
        <f>SUMPRODUCT(($E$211:$BD$211&gt;=41-$F$13+2)*($E$211:$BD$211&lt;=41)*$E$212:$BD$212*POWER(1-$G$13,($E$211:$BD$211&lt;=41)*(41-$E$211:$BD$211)))</f>
        <v/>
      </c>
      <c r="AT233" s="42">
        <f>SUMPRODUCT(($E$211:$BD$211&gt;=42-$F$13+2)*($E$211:$BD$211&lt;=42)*$E$212:$BD$212*POWER(1-$G$13,($E$211:$BD$211&lt;=42)*(42-$E$211:$BD$211)))</f>
        <v/>
      </c>
      <c r="AU233" s="42">
        <f>SUMPRODUCT(($E$211:$BD$211&gt;=43-$F$13+2)*($E$211:$BD$211&lt;=43)*$E$212:$BD$212*POWER(1-$G$13,($E$211:$BD$211&lt;=43)*(43-$E$211:$BD$211)))</f>
        <v/>
      </c>
      <c r="AV233" s="42">
        <f>SUMPRODUCT(($E$211:$BD$211&gt;=44-$F$13+2)*($E$211:$BD$211&lt;=44)*$E$212:$BD$212*POWER(1-$G$13,($E$211:$BD$211&lt;=44)*(44-$E$211:$BD$211)))</f>
        <v/>
      </c>
      <c r="AW233" s="42">
        <f>SUMPRODUCT(($E$211:$BD$211&gt;=45-$F$13+2)*($E$211:$BD$211&lt;=45)*$E$212:$BD$212*POWER(1-$G$13,($E$211:$BD$211&lt;=45)*(45-$E$211:$BD$211)))</f>
        <v/>
      </c>
      <c r="AX233" s="42">
        <f>SUMPRODUCT(($E$211:$BD$211&gt;=46-$F$13+2)*($E$211:$BD$211&lt;=46)*$E$212:$BD$212*POWER(1-$G$13,($E$211:$BD$211&lt;=46)*(46-$E$211:$BD$211)))</f>
        <v/>
      </c>
      <c r="AY233" s="42">
        <f>SUMPRODUCT(($E$211:$BD$211&gt;=47-$F$13+2)*($E$211:$BD$211&lt;=47)*$E$212:$BD$212*POWER(1-$G$13,($E$211:$BD$211&lt;=47)*(47-$E$211:$BD$211)))</f>
        <v/>
      </c>
      <c r="AZ233" s="42">
        <f>SUMPRODUCT(($E$211:$BD$211&gt;=48-$F$13+2)*($E$211:$BD$211&lt;=48)*$E$212:$BD$212*POWER(1-$G$13,($E$211:$BD$211&lt;=48)*(48-$E$211:$BD$211)))</f>
        <v/>
      </c>
      <c r="BA233" s="42">
        <f>SUMPRODUCT(($E$211:$BD$211&gt;=49-$F$13+2)*($E$211:$BD$211&lt;=49)*$E$212:$BD$212*POWER(1-$G$13,($E$211:$BD$211&lt;=49)*(49-$E$211:$BD$211)))</f>
        <v/>
      </c>
      <c r="BB233" s="42">
        <f>SUMPRODUCT(($E$211:$BD$211&gt;=50-$F$13+2)*($E$211:$BD$211&lt;=50)*$E$212:$BD$212*POWER(1-$G$13,($E$211:$BD$211&lt;=50)*(50-$E$211:$BD$211)))</f>
        <v/>
      </c>
      <c r="BC233" s="42">
        <f>SUMPRODUCT(($E$211:$BD$211&gt;=51-$F$13+2)*($E$211:$BD$211&lt;=51)*$E$212:$BD$212*POWER(1-$G$13,($E$211:$BD$211&lt;=51)*(51-$E$211:$BD$211)))</f>
        <v/>
      </c>
      <c r="BD233" s="42">
        <f>SUMPRODUCT(($E$211:$BD$211&gt;=52-$F$13+2)*($E$211:$BD$211&lt;=52)*$E$212:$BD$212*POWER(1-$G$13,($E$211:$BD$211&lt;=52)*(52-$E$211:$BD$211)))</f>
        <v/>
      </c>
    </row>
    <row r="234">
      <c r="A234" s="2" t="inlineStr">
        <is>
          <t xml:space="preserve">   Stock carried out must stay at or below this row.</t>
        </is>
      </c>
    </row>
    <row r="235">
      <c r="A235" s="26" t="inlineStr">
        <is>
          <t>Growing cost this week</t>
        </is>
      </c>
      <c r="B235" s="2" t="inlineStr">
        <is>
          <t>$</t>
        </is>
      </c>
      <c r="E235" s="42">
        <f>SUMPRODUCT(($B$58:$B$125="Kale")*(E$58:E$125="P")*$C$58:$C$125)*$K$13+SUMPRODUCT(($B$58:$B$125="Kale")*(E$58:E$125="G")*$C$58:$C$125)*$L$13+SUMPRODUCT(($B$58:$B$125="Kale")*(E$58:E$125="H")*$C$58:$C$125)*$M$13+SUMPRODUCT(($B$58:$B$125="Kale")*($BG$58:$BG$125=1)*$C$58:$C$125)*$H$13</f>
        <v/>
      </c>
      <c r="F235" s="42">
        <f>SUMPRODUCT(($B$58:$B$125="Kale")*(F$58:F$125="P")*$C$58:$C$125)*$K$13+SUMPRODUCT(($B$58:$B$125="Kale")*(F$58:F$125="G")*$C$58:$C$125)*$L$13+SUMPRODUCT(($B$58:$B$125="Kale")*(F$58:F$125="H")*$C$58:$C$125)*$M$13+SUMPRODUCT(($B$58:$B$125="Kale")*($BG$58:$BG$125=2)*$C$58:$C$125)*$H$13</f>
        <v/>
      </c>
      <c r="G235" s="42">
        <f>SUMPRODUCT(($B$58:$B$125="Kale")*(G$58:G$125="P")*$C$58:$C$125)*$K$13+SUMPRODUCT(($B$58:$B$125="Kale")*(G$58:G$125="G")*$C$58:$C$125)*$L$13+SUMPRODUCT(($B$58:$B$125="Kale")*(G$58:G$125="H")*$C$58:$C$125)*$M$13+SUMPRODUCT(($B$58:$B$125="Kale")*($BG$58:$BG$125=3)*$C$58:$C$125)*$H$13</f>
        <v/>
      </c>
      <c r="H235" s="42">
        <f>SUMPRODUCT(($B$58:$B$125="Kale")*(H$58:H$125="P")*$C$58:$C$125)*$K$13+SUMPRODUCT(($B$58:$B$125="Kale")*(H$58:H$125="G")*$C$58:$C$125)*$L$13+SUMPRODUCT(($B$58:$B$125="Kale")*(H$58:H$125="H")*$C$58:$C$125)*$M$13+SUMPRODUCT(($B$58:$B$125="Kale")*($BG$58:$BG$125=4)*$C$58:$C$125)*$H$13</f>
        <v/>
      </c>
      <c r="I235" s="42">
        <f>SUMPRODUCT(($B$58:$B$125="Kale")*(I$58:I$125="P")*$C$58:$C$125)*$K$13+SUMPRODUCT(($B$58:$B$125="Kale")*(I$58:I$125="G")*$C$58:$C$125)*$L$13+SUMPRODUCT(($B$58:$B$125="Kale")*(I$58:I$125="H")*$C$58:$C$125)*$M$13+SUMPRODUCT(($B$58:$B$125="Kale")*($BG$58:$BG$125=5)*$C$58:$C$125)*$H$13</f>
        <v/>
      </c>
      <c r="J235" s="42">
        <f>SUMPRODUCT(($B$58:$B$125="Kale")*(J$58:J$125="P")*$C$58:$C$125)*$K$13+SUMPRODUCT(($B$58:$B$125="Kale")*(J$58:J$125="G")*$C$58:$C$125)*$L$13+SUMPRODUCT(($B$58:$B$125="Kale")*(J$58:J$125="H")*$C$58:$C$125)*$M$13+SUMPRODUCT(($B$58:$B$125="Kale")*($BG$58:$BG$125=6)*$C$58:$C$125)*$H$13</f>
        <v/>
      </c>
      <c r="K235" s="42">
        <f>SUMPRODUCT(($B$58:$B$125="Kale")*(K$58:K$125="P")*$C$58:$C$125)*$K$13+SUMPRODUCT(($B$58:$B$125="Kale")*(K$58:K$125="G")*$C$58:$C$125)*$L$13+SUMPRODUCT(($B$58:$B$125="Kale")*(K$58:K$125="H")*$C$58:$C$125)*$M$13+SUMPRODUCT(($B$58:$B$125="Kale")*($BG$58:$BG$125=7)*$C$58:$C$125)*$H$13</f>
        <v/>
      </c>
      <c r="L235" s="42">
        <f>SUMPRODUCT(($B$58:$B$125="Kale")*(L$58:L$125="P")*$C$58:$C$125)*$K$13+SUMPRODUCT(($B$58:$B$125="Kale")*(L$58:L$125="G")*$C$58:$C$125)*$L$13+SUMPRODUCT(($B$58:$B$125="Kale")*(L$58:L$125="H")*$C$58:$C$125)*$M$13+SUMPRODUCT(($B$58:$B$125="Kale")*($BG$58:$BG$125=8)*$C$58:$C$125)*$H$13</f>
        <v/>
      </c>
      <c r="M235" s="42">
        <f>SUMPRODUCT(($B$58:$B$125="Kale")*(M$58:M$125="P")*$C$58:$C$125)*$K$13+SUMPRODUCT(($B$58:$B$125="Kale")*(M$58:M$125="G")*$C$58:$C$125)*$L$13+SUMPRODUCT(($B$58:$B$125="Kale")*(M$58:M$125="H")*$C$58:$C$125)*$M$13+SUMPRODUCT(($B$58:$B$125="Kale")*($BG$58:$BG$125=9)*$C$58:$C$125)*$H$13</f>
        <v/>
      </c>
      <c r="N235" s="42">
        <f>SUMPRODUCT(($B$58:$B$125="Kale")*(N$58:N$125="P")*$C$58:$C$125)*$K$13+SUMPRODUCT(($B$58:$B$125="Kale")*(N$58:N$125="G")*$C$58:$C$125)*$L$13+SUMPRODUCT(($B$58:$B$125="Kale")*(N$58:N$125="H")*$C$58:$C$125)*$M$13+SUMPRODUCT(($B$58:$B$125="Kale")*($BG$58:$BG$125=10)*$C$58:$C$125)*$H$13</f>
        <v/>
      </c>
      <c r="O235" s="42">
        <f>SUMPRODUCT(($B$58:$B$125="Kale")*(O$58:O$125="P")*$C$58:$C$125)*$K$13+SUMPRODUCT(($B$58:$B$125="Kale")*(O$58:O$125="G")*$C$58:$C$125)*$L$13+SUMPRODUCT(($B$58:$B$125="Kale")*(O$58:O$125="H")*$C$58:$C$125)*$M$13+SUMPRODUCT(($B$58:$B$125="Kale")*($BG$58:$BG$125=11)*$C$58:$C$125)*$H$13</f>
        <v/>
      </c>
      <c r="P235" s="42">
        <f>SUMPRODUCT(($B$58:$B$125="Kale")*(P$58:P$125="P")*$C$58:$C$125)*$K$13+SUMPRODUCT(($B$58:$B$125="Kale")*(P$58:P$125="G")*$C$58:$C$125)*$L$13+SUMPRODUCT(($B$58:$B$125="Kale")*(P$58:P$125="H")*$C$58:$C$125)*$M$13+SUMPRODUCT(($B$58:$B$125="Kale")*($BG$58:$BG$125=12)*$C$58:$C$125)*$H$13</f>
        <v/>
      </c>
      <c r="Q235" s="42">
        <f>SUMPRODUCT(($B$58:$B$125="Kale")*(Q$58:Q$125="P")*$C$58:$C$125)*$K$13+SUMPRODUCT(($B$58:$B$125="Kale")*(Q$58:Q$125="G")*$C$58:$C$125)*$L$13+SUMPRODUCT(($B$58:$B$125="Kale")*(Q$58:Q$125="H")*$C$58:$C$125)*$M$13+SUMPRODUCT(($B$58:$B$125="Kale")*($BG$58:$BG$125=13)*$C$58:$C$125)*$H$13</f>
        <v/>
      </c>
      <c r="R235" s="42">
        <f>SUMPRODUCT(($B$58:$B$125="Kale")*(R$58:R$125="P")*$C$58:$C$125)*$K$13+SUMPRODUCT(($B$58:$B$125="Kale")*(R$58:R$125="G")*$C$58:$C$125)*$L$13+SUMPRODUCT(($B$58:$B$125="Kale")*(R$58:R$125="H")*$C$58:$C$125)*$M$13+SUMPRODUCT(($B$58:$B$125="Kale")*($BG$58:$BG$125=14)*$C$58:$C$125)*$H$13</f>
        <v/>
      </c>
      <c r="S235" s="42">
        <f>SUMPRODUCT(($B$58:$B$125="Kale")*(S$58:S$125="P")*$C$58:$C$125)*$K$13+SUMPRODUCT(($B$58:$B$125="Kale")*(S$58:S$125="G")*$C$58:$C$125)*$L$13+SUMPRODUCT(($B$58:$B$125="Kale")*(S$58:S$125="H")*$C$58:$C$125)*$M$13+SUMPRODUCT(($B$58:$B$125="Kale")*($BG$58:$BG$125=15)*$C$58:$C$125)*$H$13</f>
        <v/>
      </c>
      <c r="T235" s="42">
        <f>SUMPRODUCT(($B$58:$B$125="Kale")*(T$58:T$125="P")*$C$58:$C$125)*$K$13+SUMPRODUCT(($B$58:$B$125="Kale")*(T$58:T$125="G")*$C$58:$C$125)*$L$13+SUMPRODUCT(($B$58:$B$125="Kale")*(T$58:T$125="H")*$C$58:$C$125)*$M$13+SUMPRODUCT(($B$58:$B$125="Kale")*($BG$58:$BG$125=16)*$C$58:$C$125)*$H$13</f>
        <v/>
      </c>
      <c r="U235" s="42">
        <f>SUMPRODUCT(($B$58:$B$125="Kale")*(U$58:U$125="P")*$C$58:$C$125)*$K$13+SUMPRODUCT(($B$58:$B$125="Kale")*(U$58:U$125="G")*$C$58:$C$125)*$L$13+SUMPRODUCT(($B$58:$B$125="Kale")*(U$58:U$125="H")*$C$58:$C$125)*$M$13+SUMPRODUCT(($B$58:$B$125="Kale")*($BG$58:$BG$125=17)*$C$58:$C$125)*$H$13</f>
        <v/>
      </c>
      <c r="V235" s="42">
        <f>SUMPRODUCT(($B$58:$B$125="Kale")*(V$58:V$125="P")*$C$58:$C$125)*$K$13+SUMPRODUCT(($B$58:$B$125="Kale")*(V$58:V$125="G")*$C$58:$C$125)*$L$13+SUMPRODUCT(($B$58:$B$125="Kale")*(V$58:V$125="H")*$C$58:$C$125)*$M$13+SUMPRODUCT(($B$58:$B$125="Kale")*($BG$58:$BG$125=18)*$C$58:$C$125)*$H$13</f>
        <v/>
      </c>
      <c r="W235" s="42">
        <f>SUMPRODUCT(($B$58:$B$125="Kale")*(W$58:W$125="P")*$C$58:$C$125)*$K$13+SUMPRODUCT(($B$58:$B$125="Kale")*(W$58:W$125="G")*$C$58:$C$125)*$L$13+SUMPRODUCT(($B$58:$B$125="Kale")*(W$58:W$125="H")*$C$58:$C$125)*$M$13+SUMPRODUCT(($B$58:$B$125="Kale")*($BG$58:$BG$125=19)*$C$58:$C$125)*$H$13</f>
        <v/>
      </c>
      <c r="X235" s="42">
        <f>SUMPRODUCT(($B$58:$B$125="Kale")*(X$58:X$125="P")*$C$58:$C$125)*$K$13+SUMPRODUCT(($B$58:$B$125="Kale")*(X$58:X$125="G")*$C$58:$C$125)*$L$13+SUMPRODUCT(($B$58:$B$125="Kale")*(X$58:X$125="H")*$C$58:$C$125)*$M$13+SUMPRODUCT(($B$58:$B$125="Kale")*($BG$58:$BG$125=20)*$C$58:$C$125)*$H$13</f>
        <v/>
      </c>
      <c r="Y235" s="42">
        <f>SUMPRODUCT(($B$58:$B$125="Kale")*(Y$58:Y$125="P")*$C$58:$C$125)*$K$13+SUMPRODUCT(($B$58:$B$125="Kale")*(Y$58:Y$125="G")*$C$58:$C$125)*$L$13+SUMPRODUCT(($B$58:$B$125="Kale")*(Y$58:Y$125="H")*$C$58:$C$125)*$M$13+SUMPRODUCT(($B$58:$B$125="Kale")*($BG$58:$BG$125=21)*$C$58:$C$125)*$H$13</f>
        <v/>
      </c>
      <c r="Z235" s="42">
        <f>SUMPRODUCT(($B$58:$B$125="Kale")*(Z$58:Z$125="P")*$C$58:$C$125)*$K$13+SUMPRODUCT(($B$58:$B$125="Kale")*(Z$58:Z$125="G")*$C$58:$C$125)*$L$13+SUMPRODUCT(($B$58:$B$125="Kale")*(Z$58:Z$125="H")*$C$58:$C$125)*$M$13+SUMPRODUCT(($B$58:$B$125="Kale")*($BG$58:$BG$125=22)*$C$58:$C$125)*$H$13</f>
        <v/>
      </c>
      <c r="AA235" s="42">
        <f>SUMPRODUCT(($B$58:$B$125="Kale")*(AA$58:AA$125="P")*$C$58:$C$125)*$K$13+SUMPRODUCT(($B$58:$B$125="Kale")*(AA$58:AA$125="G")*$C$58:$C$125)*$L$13+SUMPRODUCT(($B$58:$B$125="Kale")*(AA$58:AA$125="H")*$C$58:$C$125)*$M$13+SUMPRODUCT(($B$58:$B$125="Kale")*($BG$58:$BG$125=23)*$C$58:$C$125)*$H$13</f>
        <v/>
      </c>
      <c r="AB235" s="42">
        <f>SUMPRODUCT(($B$58:$B$125="Kale")*(AB$58:AB$125="P")*$C$58:$C$125)*$K$13+SUMPRODUCT(($B$58:$B$125="Kale")*(AB$58:AB$125="G")*$C$58:$C$125)*$L$13+SUMPRODUCT(($B$58:$B$125="Kale")*(AB$58:AB$125="H")*$C$58:$C$125)*$M$13+SUMPRODUCT(($B$58:$B$125="Kale")*($BG$58:$BG$125=24)*$C$58:$C$125)*$H$13</f>
        <v/>
      </c>
      <c r="AC235" s="42">
        <f>SUMPRODUCT(($B$58:$B$125="Kale")*(AC$58:AC$125="P")*$C$58:$C$125)*$K$13+SUMPRODUCT(($B$58:$B$125="Kale")*(AC$58:AC$125="G")*$C$58:$C$125)*$L$13+SUMPRODUCT(($B$58:$B$125="Kale")*(AC$58:AC$125="H")*$C$58:$C$125)*$M$13+SUMPRODUCT(($B$58:$B$125="Kale")*($BG$58:$BG$125=25)*$C$58:$C$125)*$H$13</f>
        <v/>
      </c>
      <c r="AD235" s="42">
        <f>SUMPRODUCT(($B$58:$B$125="Kale")*(AD$58:AD$125="P")*$C$58:$C$125)*$K$13+SUMPRODUCT(($B$58:$B$125="Kale")*(AD$58:AD$125="G")*$C$58:$C$125)*$L$13+SUMPRODUCT(($B$58:$B$125="Kale")*(AD$58:AD$125="H")*$C$58:$C$125)*$M$13+SUMPRODUCT(($B$58:$B$125="Kale")*($BG$58:$BG$125=26)*$C$58:$C$125)*$H$13</f>
        <v/>
      </c>
      <c r="AE235" s="42">
        <f>SUMPRODUCT(($B$58:$B$125="Kale")*(AE$58:AE$125="P")*$C$58:$C$125)*$K$13+SUMPRODUCT(($B$58:$B$125="Kale")*(AE$58:AE$125="G")*$C$58:$C$125)*$L$13+SUMPRODUCT(($B$58:$B$125="Kale")*(AE$58:AE$125="H")*$C$58:$C$125)*$M$13+SUMPRODUCT(($B$58:$B$125="Kale")*($BG$58:$BG$125=27)*$C$58:$C$125)*$H$13</f>
        <v/>
      </c>
      <c r="AF235" s="42">
        <f>SUMPRODUCT(($B$58:$B$125="Kale")*(AF$58:AF$125="P")*$C$58:$C$125)*$K$13+SUMPRODUCT(($B$58:$B$125="Kale")*(AF$58:AF$125="G")*$C$58:$C$125)*$L$13+SUMPRODUCT(($B$58:$B$125="Kale")*(AF$58:AF$125="H")*$C$58:$C$125)*$M$13+SUMPRODUCT(($B$58:$B$125="Kale")*($BG$58:$BG$125=28)*$C$58:$C$125)*$H$13</f>
        <v/>
      </c>
      <c r="AG235" s="42">
        <f>SUMPRODUCT(($B$58:$B$125="Kale")*(AG$58:AG$125="P")*$C$58:$C$125)*$K$13+SUMPRODUCT(($B$58:$B$125="Kale")*(AG$58:AG$125="G")*$C$58:$C$125)*$L$13+SUMPRODUCT(($B$58:$B$125="Kale")*(AG$58:AG$125="H")*$C$58:$C$125)*$M$13+SUMPRODUCT(($B$58:$B$125="Kale")*($BG$58:$BG$125=29)*$C$58:$C$125)*$H$13</f>
        <v/>
      </c>
      <c r="AH235" s="42">
        <f>SUMPRODUCT(($B$58:$B$125="Kale")*(AH$58:AH$125="P")*$C$58:$C$125)*$K$13+SUMPRODUCT(($B$58:$B$125="Kale")*(AH$58:AH$125="G")*$C$58:$C$125)*$L$13+SUMPRODUCT(($B$58:$B$125="Kale")*(AH$58:AH$125="H")*$C$58:$C$125)*$M$13+SUMPRODUCT(($B$58:$B$125="Kale")*($BG$58:$BG$125=30)*$C$58:$C$125)*$H$13</f>
        <v/>
      </c>
      <c r="AI235" s="42">
        <f>SUMPRODUCT(($B$58:$B$125="Kale")*(AI$58:AI$125="P")*$C$58:$C$125)*$K$13+SUMPRODUCT(($B$58:$B$125="Kale")*(AI$58:AI$125="G")*$C$58:$C$125)*$L$13+SUMPRODUCT(($B$58:$B$125="Kale")*(AI$58:AI$125="H")*$C$58:$C$125)*$M$13+SUMPRODUCT(($B$58:$B$125="Kale")*($BG$58:$BG$125=31)*$C$58:$C$125)*$H$13</f>
        <v/>
      </c>
      <c r="AJ235" s="42">
        <f>SUMPRODUCT(($B$58:$B$125="Kale")*(AJ$58:AJ$125="P")*$C$58:$C$125)*$K$13+SUMPRODUCT(($B$58:$B$125="Kale")*(AJ$58:AJ$125="G")*$C$58:$C$125)*$L$13+SUMPRODUCT(($B$58:$B$125="Kale")*(AJ$58:AJ$125="H")*$C$58:$C$125)*$M$13+SUMPRODUCT(($B$58:$B$125="Kale")*($BG$58:$BG$125=32)*$C$58:$C$125)*$H$13</f>
        <v/>
      </c>
      <c r="AK235" s="42">
        <f>SUMPRODUCT(($B$58:$B$125="Kale")*(AK$58:AK$125="P")*$C$58:$C$125)*$K$13+SUMPRODUCT(($B$58:$B$125="Kale")*(AK$58:AK$125="G")*$C$58:$C$125)*$L$13+SUMPRODUCT(($B$58:$B$125="Kale")*(AK$58:AK$125="H")*$C$58:$C$125)*$M$13+SUMPRODUCT(($B$58:$B$125="Kale")*($BG$58:$BG$125=33)*$C$58:$C$125)*$H$13</f>
        <v/>
      </c>
      <c r="AL235" s="42">
        <f>SUMPRODUCT(($B$58:$B$125="Kale")*(AL$58:AL$125="P")*$C$58:$C$125)*$K$13+SUMPRODUCT(($B$58:$B$125="Kale")*(AL$58:AL$125="G")*$C$58:$C$125)*$L$13+SUMPRODUCT(($B$58:$B$125="Kale")*(AL$58:AL$125="H")*$C$58:$C$125)*$M$13+SUMPRODUCT(($B$58:$B$125="Kale")*($BG$58:$BG$125=34)*$C$58:$C$125)*$H$13</f>
        <v/>
      </c>
      <c r="AM235" s="42">
        <f>SUMPRODUCT(($B$58:$B$125="Kale")*(AM$58:AM$125="P")*$C$58:$C$125)*$K$13+SUMPRODUCT(($B$58:$B$125="Kale")*(AM$58:AM$125="G")*$C$58:$C$125)*$L$13+SUMPRODUCT(($B$58:$B$125="Kale")*(AM$58:AM$125="H")*$C$58:$C$125)*$M$13+SUMPRODUCT(($B$58:$B$125="Kale")*($BG$58:$BG$125=35)*$C$58:$C$125)*$H$13</f>
        <v/>
      </c>
      <c r="AN235" s="42">
        <f>SUMPRODUCT(($B$58:$B$125="Kale")*(AN$58:AN$125="P")*$C$58:$C$125)*$K$13+SUMPRODUCT(($B$58:$B$125="Kale")*(AN$58:AN$125="G")*$C$58:$C$125)*$L$13+SUMPRODUCT(($B$58:$B$125="Kale")*(AN$58:AN$125="H")*$C$58:$C$125)*$M$13+SUMPRODUCT(($B$58:$B$125="Kale")*($BG$58:$BG$125=36)*$C$58:$C$125)*$H$13</f>
        <v/>
      </c>
      <c r="AO235" s="42">
        <f>SUMPRODUCT(($B$58:$B$125="Kale")*(AO$58:AO$125="P")*$C$58:$C$125)*$K$13+SUMPRODUCT(($B$58:$B$125="Kale")*(AO$58:AO$125="G")*$C$58:$C$125)*$L$13+SUMPRODUCT(($B$58:$B$125="Kale")*(AO$58:AO$125="H")*$C$58:$C$125)*$M$13+SUMPRODUCT(($B$58:$B$125="Kale")*($BG$58:$BG$125=37)*$C$58:$C$125)*$H$13</f>
        <v/>
      </c>
      <c r="AP235" s="42">
        <f>SUMPRODUCT(($B$58:$B$125="Kale")*(AP$58:AP$125="P")*$C$58:$C$125)*$K$13+SUMPRODUCT(($B$58:$B$125="Kale")*(AP$58:AP$125="G")*$C$58:$C$125)*$L$13+SUMPRODUCT(($B$58:$B$125="Kale")*(AP$58:AP$125="H")*$C$58:$C$125)*$M$13+SUMPRODUCT(($B$58:$B$125="Kale")*($BG$58:$BG$125=38)*$C$58:$C$125)*$H$13</f>
        <v/>
      </c>
      <c r="AQ235" s="42">
        <f>SUMPRODUCT(($B$58:$B$125="Kale")*(AQ$58:AQ$125="P")*$C$58:$C$125)*$K$13+SUMPRODUCT(($B$58:$B$125="Kale")*(AQ$58:AQ$125="G")*$C$58:$C$125)*$L$13+SUMPRODUCT(($B$58:$B$125="Kale")*(AQ$58:AQ$125="H")*$C$58:$C$125)*$M$13+SUMPRODUCT(($B$58:$B$125="Kale")*($BG$58:$BG$125=39)*$C$58:$C$125)*$H$13</f>
        <v/>
      </c>
      <c r="AR235" s="42">
        <f>SUMPRODUCT(($B$58:$B$125="Kale")*(AR$58:AR$125="P")*$C$58:$C$125)*$K$13+SUMPRODUCT(($B$58:$B$125="Kale")*(AR$58:AR$125="G")*$C$58:$C$125)*$L$13+SUMPRODUCT(($B$58:$B$125="Kale")*(AR$58:AR$125="H")*$C$58:$C$125)*$M$13+SUMPRODUCT(($B$58:$B$125="Kale")*($BG$58:$BG$125=40)*$C$58:$C$125)*$H$13</f>
        <v/>
      </c>
      <c r="AS235" s="42">
        <f>SUMPRODUCT(($B$58:$B$125="Kale")*(AS$58:AS$125="P")*$C$58:$C$125)*$K$13+SUMPRODUCT(($B$58:$B$125="Kale")*(AS$58:AS$125="G")*$C$58:$C$125)*$L$13+SUMPRODUCT(($B$58:$B$125="Kale")*(AS$58:AS$125="H")*$C$58:$C$125)*$M$13+SUMPRODUCT(($B$58:$B$125="Kale")*($BG$58:$BG$125=41)*$C$58:$C$125)*$H$13</f>
        <v/>
      </c>
      <c r="AT235" s="42">
        <f>SUMPRODUCT(($B$58:$B$125="Kale")*(AT$58:AT$125="P")*$C$58:$C$125)*$K$13+SUMPRODUCT(($B$58:$B$125="Kale")*(AT$58:AT$125="G")*$C$58:$C$125)*$L$13+SUMPRODUCT(($B$58:$B$125="Kale")*(AT$58:AT$125="H")*$C$58:$C$125)*$M$13+SUMPRODUCT(($B$58:$B$125="Kale")*($BG$58:$BG$125=42)*$C$58:$C$125)*$H$13</f>
        <v/>
      </c>
      <c r="AU235" s="42">
        <f>SUMPRODUCT(($B$58:$B$125="Kale")*(AU$58:AU$125="P")*$C$58:$C$125)*$K$13+SUMPRODUCT(($B$58:$B$125="Kale")*(AU$58:AU$125="G")*$C$58:$C$125)*$L$13+SUMPRODUCT(($B$58:$B$125="Kale")*(AU$58:AU$125="H")*$C$58:$C$125)*$M$13+SUMPRODUCT(($B$58:$B$125="Kale")*($BG$58:$BG$125=43)*$C$58:$C$125)*$H$13</f>
        <v/>
      </c>
      <c r="AV235" s="42">
        <f>SUMPRODUCT(($B$58:$B$125="Kale")*(AV$58:AV$125="P")*$C$58:$C$125)*$K$13+SUMPRODUCT(($B$58:$B$125="Kale")*(AV$58:AV$125="G")*$C$58:$C$125)*$L$13+SUMPRODUCT(($B$58:$B$125="Kale")*(AV$58:AV$125="H")*$C$58:$C$125)*$M$13+SUMPRODUCT(($B$58:$B$125="Kale")*($BG$58:$BG$125=44)*$C$58:$C$125)*$H$13</f>
        <v/>
      </c>
      <c r="AW235" s="42">
        <f>SUMPRODUCT(($B$58:$B$125="Kale")*(AW$58:AW$125="P")*$C$58:$C$125)*$K$13+SUMPRODUCT(($B$58:$B$125="Kale")*(AW$58:AW$125="G")*$C$58:$C$125)*$L$13+SUMPRODUCT(($B$58:$B$125="Kale")*(AW$58:AW$125="H")*$C$58:$C$125)*$M$13+SUMPRODUCT(($B$58:$B$125="Kale")*($BG$58:$BG$125=45)*$C$58:$C$125)*$H$13</f>
        <v/>
      </c>
      <c r="AX235" s="42">
        <f>SUMPRODUCT(($B$58:$B$125="Kale")*(AX$58:AX$125="P")*$C$58:$C$125)*$K$13+SUMPRODUCT(($B$58:$B$125="Kale")*(AX$58:AX$125="G")*$C$58:$C$125)*$L$13+SUMPRODUCT(($B$58:$B$125="Kale")*(AX$58:AX$125="H")*$C$58:$C$125)*$M$13+SUMPRODUCT(($B$58:$B$125="Kale")*($BG$58:$BG$125=46)*$C$58:$C$125)*$H$13</f>
        <v/>
      </c>
      <c r="AY235" s="42">
        <f>SUMPRODUCT(($B$58:$B$125="Kale")*(AY$58:AY$125="P")*$C$58:$C$125)*$K$13+SUMPRODUCT(($B$58:$B$125="Kale")*(AY$58:AY$125="G")*$C$58:$C$125)*$L$13+SUMPRODUCT(($B$58:$B$125="Kale")*(AY$58:AY$125="H")*$C$58:$C$125)*$M$13+SUMPRODUCT(($B$58:$B$125="Kale")*($BG$58:$BG$125=47)*$C$58:$C$125)*$H$13</f>
        <v/>
      </c>
      <c r="AZ235" s="42">
        <f>SUMPRODUCT(($B$58:$B$125="Kale")*(AZ$58:AZ$125="P")*$C$58:$C$125)*$K$13+SUMPRODUCT(($B$58:$B$125="Kale")*(AZ$58:AZ$125="G")*$C$58:$C$125)*$L$13+SUMPRODUCT(($B$58:$B$125="Kale")*(AZ$58:AZ$125="H")*$C$58:$C$125)*$M$13+SUMPRODUCT(($B$58:$B$125="Kale")*($BG$58:$BG$125=48)*$C$58:$C$125)*$H$13</f>
        <v/>
      </c>
      <c r="BA235" s="42">
        <f>SUMPRODUCT(($B$58:$B$125="Kale")*(BA$58:BA$125="P")*$C$58:$C$125)*$K$13+SUMPRODUCT(($B$58:$B$125="Kale")*(BA$58:BA$125="G")*$C$58:$C$125)*$L$13+SUMPRODUCT(($B$58:$B$125="Kale")*(BA$58:BA$125="H")*$C$58:$C$125)*$M$13+SUMPRODUCT(($B$58:$B$125="Kale")*($BG$58:$BG$125=49)*$C$58:$C$125)*$H$13</f>
        <v/>
      </c>
      <c r="BB235" s="42">
        <f>SUMPRODUCT(($B$58:$B$125="Kale")*(BB$58:BB$125="P")*$C$58:$C$125)*$K$13+SUMPRODUCT(($B$58:$B$125="Kale")*(BB$58:BB$125="G")*$C$58:$C$125)*$L$13+SUMPRODUCT(($B$58:$B$125="Kale")*(BB$58:BB$125="H")*$C$58:$C$125)*$M$13+SUMPRODUCT(($B$58:$B$125="Kale")*($BG$58:$BG$125=50)*$C$58:$C$125)*$H$13</f>
        <v/>
      </c>
      <c r="BC235" s="42">
        <f>SUMPRODUCT(($B$58:$B$125="Kale")*(BC$58:BC$125="P")*$C$58:$C$125)*$K$13+SUMPRODUCT(($B$58:$B$125="Kale")*(BC$58:BC$125="G")*$C$58:$C$125)*$L$13+SUMPRODUCT(($B$58:$B$125="Kale")*(BC$58:BC$125="H")*$C$58:$C$125)*$M$13+SUMPRODUCT(($B$58:$B$125="Kale")*($BG$58:$BG$125=51)*$C$58:$C$125)*$H$13</f>
        <v/>
      </c>
      <c r="BD235" s="42">
        <f>SUMPRODUCT(($B$58:$B$125="Kale")*(BD$58:BD$125="P")*$C$58:$C$125)*$K$13+SUMPRODUCT(($B$58:$B$125="Kale")*(BD$58:BD$125="G")*$C$58:$C$125)*$L$13+SUMPRODUCT(($B$58:$B$125="Kale")*(BD$58:BD$125="H")*$C$58:$C$125)*$M$13+SUMPRODUCT(($B$58:$B$125="Kale")*($BG$58:$BG$125=52)*$C$58:$C$125)*$H$13</f>
        <v/>
      </c>
    </row>
    <row r="236">
      <c r="A236" s="26" t="inlineStr">
        <is>
          <t>Packaging this week</t>
        </is>
      </c>
      <c r="B236" s="2" t="inlineStr">
        <is>
          <t>$</t>
        </is>
      </c>
      <c r="E236" s="42">
        <f>E218*$J$21+E226*$J$22</f>
        <v/>
      </c>
      <c r="F236" s="42">
        <f>F218*$J$21+F226*$J$22</f>
        <v/>
      </c>
      <c r="G236" s="42">
        <f>G218*$J$21+G226*$J$22</f>
        <v/>
      </c>
      <c r="H236" s="42">
        <f>H218*$J$21+H226*$J$22</f>
        <v/>
      </c>
      <c r="I236" s="42">
        <f>I218*$J$21+I226*$J$22</f>
        <v/>
      </c>
      <c r="J236" s="42">
        <f>J218*$J$21+J226*$J$22</f>
        <v/>
      </c>
      <c r="K236" s="42">
        <f>K218*$J$21+K226*$J$22</f>
        <v/>
      </c>
      <c r="L236" s="42">
        <f>L218*$J$21+L226*$J$22</f>
        <v/>
      </c>
      <c r="M236" s="42">
        <f>M218*$J$21+M226*$J$22</f>
        <v/>
      </c>
      <c r="N236" s="42">
        <f>N218*$J$21+N226*$J$22</f>
        <v/>
      </c>
      <c r="O236" s="42">
        <f>O218*$J$21+O226*$J$22</f>
        <v/>
      </c>
      <c r="P236" s="42">
        <f>P218*$J$21+P226*$J$22</f>
        <v/>
      </c>
      <c r="Q236" s="42">
        <f>Q218*$J$21+Q226*$J$22</f>
        <v/>
      </c>
      <c r="R236" s="42">
        <f>R218*$J$21+R226*$J$22</f>
        <v/>
      </c>
      <c r="S236" s="42">
        <f>S218*$J$21+S226*$J$22</f>
        <v/>
      </c>
      <c r="T236" s="42">
        <f>T218*$J$21+T226*$J$22</f>
        <v/>
      </c>
      <c r="U236" s="42">
        <f>U218*$J$21+U226*$J$22</f>
        <v/>
      </c>
      <c r="V236" s="42">
        <f>V218*$J$21+V226*$J$22</f>
        <v/>
      </c>
      <c r="W236" s="42">
        <f>W218*$J$21+W226*$J$22</f>
        <v/>
      </c>
      <c r="X236" s="42">
        <f>X218*$J$21+X226*$J$22</f>
        <v/>
      </c>
      <c r="Y236" s="42">
        <f>Y218*$J$21+Y226*$J$22</f>
        <v/>
      </c>
      <c r="Z236" s="42">
        <f>Z218*$J$21+Z226*$J$22</f>
        <v/>
      </c>
      <c r="AA236" s="42">
        <f>AA218*$J$21+AA226*$J$22</f>
        <v/>
      </c>
      <c r="AB236" s="42">
        <f>AB218*$J$21+AB226*$J$22</f>
        <v/>
      </c>
      <c r="AC236" s="42">
        <f>AC218*$J$21+AC226*$J$22</f>
        <v/>
      </c>
      <c r="AD236" s="42">
        <f>AD218*$J$21+AD226*$J$22</f>
        <v/>
      </c>
      <c r="AE236" s="42">
        <f>AE218*$J$21+AE226*$J$22</f>
        <v/>
      </c>
      <c r="AF236" s="42">
        <f>AF218*$J$21+AF226*$J$22</f>
        <v/>
      </c>
      <c r="AG236" s="42">
        <f>AG218*$J$21+AG226*$J$22</f>
        <v/>
      </c>
      <c r="AH236" s="42">
        <f>AH218*$J$21+AH226*$J$22</f>
        <v/>
      </c>
      <c r="AI236" s="42">
        <f>AI218*$J$21+AI226*$J$22</f>
        <v/>
      </c>
      <c r="AJ236" s="42">
        <f>AJ218*$J$21+AJ226*$J$22</f>
        <v/>
      </c>
      <c r="AK236" s="42">
        <f>AK218*$J$21+AK226*$J$22</f>
        <v/>
      </c>
      <c r="AL236" s="42">
        <f>AL218*$J$21+AL226*$J$22</f>
        <v/>
      </c>
      <c r="AM236" s="42">
        <f>AM218*$J$21+AM226*$J$22</f>
        <v/>
      </c>
      <c r="AN236" s="42">
        <f>AN218*$J$21+AN226*$J$22</f>
        <v/>
      </c>
      <c r="AO236" s="42">
        <f>AO218*$J$21+AO226*$J$22</f>
        <v/>
      </c>
      <c r="AP236" s="42">
        <f>AP218*$J$21+AP226*$J$22</f>
        <v/>
      </c>
      <c r="AQ236" s="42">
        <f>AQ218*$J$21+AQ226*$J$22</f>
        <v/>
      </c>
      <c r="AR236" s="42">
        <f>AR218*$J$21+AR226*$J$22</f>
        <v/>
      </c>
      <c r="AS236" s="42">
        <f>AS218*$J$21+AS226*$J$22</f>
        <v/>
      </c>
      <c r="AT236" s="42">
        <f>AT218*$J$21+AT226*$J$22</f>
        <v/>
      </c>
      <c r="AU236" s="42">
        <f>AU218*$J$21+AU226*$J$22</f>
        <v/>
      </c>
      <c r="AV236" s="42">
        <f>AV218*$J$21+AV226*$J$22</f>
        <v/>
      </c>
      <c r="AW236" s="42">
        <f>AW218*$J$21+AW226*$J$22</f>
        <v/>
      </c>
      <c r="AX236" s="42">
        <f>AX218*$J$21+AX226*$J$22</f>
        <v/>
      </c>
      <c r="AY236" s="42">
        <f>AY218*$J$21+AY226*$J$22</f>
        <v/>
      </c>
      <c r="AZ236" s="42">
        <f>AZ218*$J$21+AZ226*$J$22</f>
        <v/>
      </c>
      <c r="BA236" s="42">
        <f>BA218*$J$21+BA226*$J$22</f>
        <v/>
      </c>
      <c r="BB236" s="42">
        <f>BB218*$J$21+BB226*$J$22</f>
        <v/>
      </c>
      <c r="BC236" s="42">
        <f>BC218*$J$21+BC226*$J$22</f>
        <v/>
      </c>
      <c r="BD236" s="42">
        <f>BD218*$J$21+BD226*$J$22</f>
        <v/>
      </c>
    </row>
    <row r="237">
      <c r="A237" s="4" t="inlineStr">
        <is>
          <t>ROOM OCCUPANCY</t>
        </is>
      </c>
      <c r="B237" s="2" t="inlineStr">
        <is>
          <t>m3</t>
        </is>
      </c>
      <c r="E237" s="53">
        <f>(E213+E212)*$D$13</f>
        <v/>
      </c>
      <c r="F237" s="53">
        <f>(F213+F212)*$D$13</f>
        <v/>
      </c>
      <c r="G237" s="53">
        <f>(G213+G212)*$D$13</f>
        <v/>
      </c>
      <c r="H237" s="53">
        <f>(H213+H212)*$D$13</f>
        <v/>
      </c>
      <c r="I237" s="53">
        <f>(I213+I212)*$D$13</f>
        <v/>
      </c>
      <c r="J237" s="53">
        <f>(J213+J212)*$D$13</f>
        <v/>
      </c>
      <c r="K237" s="53">
        <f>(K213+K212)*$D$13</f>
        <v/>
      </c>
      <c r="L237" s="53">
        <f>(L213+L212)*$D$13</f>
        <v/>
      </c>
      <c r="M237" s="53">
        <f>(M213+M212)*$D$13</f>
        <v/>
      </c>
      <c r="N237" s="53">
        <f>(N213+N212)*$D$13</f>
        <v/>
      </c>
      <c r="O237" s="53">
        <f>(O213+O212)*$D$13</f>
        <v/>
      </c>
      <c r="P237" s="53">
        <f>(P213+P212)*$D$13</f>
        <v/>
      </c>
      <c r="Q237" s="53">
        <f>(Q213+Q212)*$D$13</f>
        <v/>
      </c>
      <c r="R237" s="53">
        <f>(R213+R212)*$D$13</f>
        <v/>
      </c>
      <c r="S237" s="53">
        <f>(S213+S212)*$D$13</f>
        <v/>
      </c>
      <c r="T237" s="53">
        <f>(T213+T212)*$D$13</f>
        <v/>
      </c>
      <c r="U237" s="53">
        <f>(U213+U212)*$D$13</f>
        <v/>
      </c>
      <c r="V237" s="53">
        <f>(V213+V212)*$D$13</f>
        <v/>
      </c>
      <c r="W237" s="53">
        <f>(W213+W212)*$D$13</f>
        <v/>
      </c>
      <c r="X237" s="53">
        <f>(X213+X212)*$D$13</f>
        <v/>
      </c>
      <c r="Y237" s="53">
        <f>(Y213+Y212)*$D$13</f>
        <v/>
      </c>
      <c r="Z237" s="53">
        <f>(Z213+Z212)*$D$13</f>
        <v/>
      </c>
      <c r="AA237" s="53">
        <f>(AA213+AA212)*$D$13</f>
        <v/>
      </c>
      <c r="AB237" s="53">
        <f>(AB213+AB212)*$D$13</f>
        <v/>
      </c>
      <c r="AC237" s="53">
        <f>(AC213+AC212)*$D$13</f>
        <v/>
      </c>
      <c r="AD237" s="53">
        <f>(AD213+AD212)*$D$13</f>
        <v/>
      </c>
      <c r="AE237" s="53">
        <f>(AE213+AE212)*$D$13</f>
        <v/>
      </c>
      <c r="AF237" s="53">
        <f>(AF213+AF212)*$D$13</f>
        <v/>
      </c>
      <c r="AG237" s="53">
        <f>(AG213+AG212)*$D$13</f>
        <v/>
      </c>
      <c r="AH237" s="53">
        <f>(AH213+AH212)*$D$13</f>
        <v/>
      </c>
      <c r="AI237" s="53">
        <f>(AI213+AI212)*$D$13</f>
        <v/>
      </c>
      <c r="AJ237" s="53">
        <f>(AJ213+AJ212)*$D$13</f>
        <v/>
      </c>
      <c r="AK237" s="53">
        <f>(AK213+AK212)*$D$13</f>
        <v/>
      </c>
      <c r="AL237" s="53">
        <f>(AL213+AL212)*$D$13</f>
        <v/>
      </c>
      <c r="AM237" s="53">
        <f>(AM213+AM212)*$D$13</f>
        <v/>
      </c>
      <c r="AN237" s="53">
        <f>(AN213+AN212)*$D$13</f>
        <v/>
      </c>
      <c r="AO237" s="53">
        <f>(AO213+AO212)*$D$13</f>
        <v/>
      </c>
      <c r="AP237" s="53">
        <f>(AP213+AP212)*$D$13</f>
        <v/>
      </c>
      <c r="AQ237" s="53">
        <f>(AQ213+AQ212)*$D$13</f>
        <v/>
      </c>
      <c r="AR237" s="53">
        <f>(AR213+AR212)*$D$13</f>
        <v/>
      </c>
      <c r="AS237" s="53">
        <f>(AS213+AS212)*$D$13</f>
        <v/>
      </c>
      <c r="AT237" s="53">
        <f>(AT213+AT212)*$D$13</f>
        <v/>
      </c>
      <c r="AU237" s="53">
        <f>(AU213+AU212)*$D$13</f>
        <v/>
      </c>
      <c r="AV237" s="53">
        <f>(AV213+AV212)*$D$13</f>
        <v/>
      </c>
      <c r="AW237" s="53">
        <f>(AW213+AW212)*$D$13</f>
        <v/>
      </c>
      <c r="AX237" s="53">
        <f>(AX213+AX212)*$D$13</f>
        <v/>
      </c>
      <c r="AY237" s="53">
        <f>(AY213+AY212)*$D$13</f>
        <v/>
      </c>
      <c r="AZ237" s="53">
        <f>(AZ213+AZ212)*$D$13</f>
        <v/>
      </c>
      <c r="BA237" s="53">
        <f>(BA213+BA212)*$D$13</f>
        <v/>
      </c>
      <c r="BB237" s="53">
        <f>(BB213+BB212)*$D$13</f>
        <v/>
      </c>
      <c r="BC237" s="53">
        <f>(BC213+BC212)*$D$13</f>
        <v/>
      </c>
      <c r="BD237" s="53">
        <f>(BD213+BD212)*$D$13</f>
        <v/>
      </c>
    </row>
    <row r="239">
      <c r="A239" s="3" t="inlineStr">
        <is>
          <t>GARLIC  —  ambient store</t>
        </is>
      </c>
      <c r="B239" s="54" t="inlineStr"/>
    </row>
    <row r="240">
      <c r="A240" s="30" t="inlineStr">
        <is>
          <t>Week</t>
        </is>
      </c>
      <c r="B240" s="38" t="inlineStr"/>
      <c r="E240" s="31" t="n">
        <v>1</v>
      </c>
      <c r="F240" s="31" t="n">
        <v>2</v>
      </c>
      <c r="G240" s="31" t="n">
        <v>3</v>
      </c>
      <c r="H240" s="31" t="n">
        <v>4</v>
      </c>
      <c r="I240" s="31" t="n">
        <v>5</v>
      </c>
      <c r="J240" s="31" t="n">
        <v>6</v>
      </c>
      <c r="K240" s="31" t="n">
        <v>7</v>
      </c>
      <c r="L240" s="31" t="n">
        <v>8</v>
      </c>
      <c r="M240" s="31" t="n">
        <v>9</v>
      </c>
      <c r="N240" s="31" t="n">
        <v>10</v>
      </c>
      <c r="O240" s="31" t="n">
        <v>11</v>
      </c>
      <c r="P240" s="31" t="n">
        <v>12</v>
      </c>
      <c r="Q240" s="31" t="n">
        <v>13</v>
      </c>
      <c r="R240" s="31" t="n">
        <v>14</v>
      </c>
      <c r="S240" s="31" t="n">
        <v>15</v>
      </c>
      <c r="T240" s="31" t="n">
        <v>16</v>
      </c>
      <c r="U240" s="31" t="n">
        <v>17</v>
      </c>
      <c r="V240" s="31" t="n">
        <v>18</v>
      </c>
      <c r="W240" s="31" t="n">
        <v>19</v>
      </c>
      <c r="X240" s="31" t="n">
        <v>20</v>
      </c>
      <c r="Y240" s="31" t="n">
        <v>21</v>
      </c>
      <c r="Z240" s="31" t="n">
        <v>22</v>
      </c>
      <c r="AA240" s="31" t="n">
        <v>23</v>
      </c>
      <c r="AB240" s="31" t="n">
        <v>24</v>
      </c>
      <c r="AC240" s="31" t="n">
        <v>25</v>
      </c>
      <c r="AD240" s="31" t="n">
        <v>26</v>
      </c>
      <c r="AE240" s="31" t="n">
        <v>27</v>
      </c>
      <c r="AF240" s="31" t="n">
        <v>28</v>
      </c>
      <c r="AG240" s="31" t="n">
        <v>29</v>
      </c>
      <c r="AH240" s="31" t="n">
        <v>30</v>
      </c>
      <c r="AI240" s="31" t="n">
        <v>31</v>
      </c>
      <c r="AJ240" s="31" t="n">
        <v>32</v>
      </c>
      <c r="AK240" s="31" t="n">
        <v>33</v>
      </c>
      <c r="AL240" s="31" t="n">
        <v>34</v>
      </c>
      <c r="AM240" s="31" t="n">
        <v>35</v>
      </c>
      <c r="AN240" s="31" t="n">
        <v>36</v>
      </c>
      <c r="AO240" s="31" t="n">
        <v>37</v>
      </c>
      <c r="AP240" s="31" t="n">
        <v>38</v>
      </c>
      <c r="AQ240" s="31" t="n">
        <v>39</v>
      </c>
      <c r="AR240" s="31" t="n">
        <v>40</v>
      </c>
      <c r="AS240" s="31" t="n">
        <v>41</v>
      </c>
      <c r="AT240" s="31" t="n">
        <v>42</v>
      </c>
      <c r="AU240" s="31" t="n">
        <v>43</v>
      </c>
      <c r="AV240" s="31" t="n">
        <v>44</v>
      </c>
      <c r="AW240" s="31" t="n">
        <v>45</v>
      </c>
      <c r="AX240" s="31" t="n">
        <v>46</v>
      </c>
      <c r="AY240" s="31" t="n">
        <v>47</v>
      </c>
      <c r="AZ240" s="31" t="n">
        <v>48</v>
      </c>
      <c r="BA240" s="31" t="n">
        <v>49</v>
      </c>
      <c r="BB240" s="31" t="n">
        <v>50</v>
      </c>
      <c r="BC240" s="31" t="n">
        <v>51</v>
      </c>
      <c r="BD240" s="31" t="n">
        <v>52</v>
      </c>
    </row>
    <row r="241">
      <c r="A241" s="4" t="inlineStr">
        <is>
          <t>Packed out -&gt; INTO the store</t>
        </is>
      </c>
      <c r="B241" s="2" t="inlineStr">
        <is>
          <t>lb</t>
        </is>
      </c>
      <c r="E241" s="42">
        <f>SUMPRODUCT(($B$58:$B$125="Garlic")*(E$58:E$125="H")*$C$58:$C$125)*$B$14/$J$14*$C$14</f>
        <v/>
      </c>
      <c r="F241" s="42">
        <f>SUMPRODUCT(($B$58:$B$125="Garlic")*(F$58:F$125="H")*$C$58:$C$125)*$B$14/$J$14*$C$14</f>
        <v/>
      </c>
      <c r="G241" s="42">
        <f>SUMPRODUCT(($B$58:$B$125="Garlic")*(G$58:G$125="H")*$C$58:$C$125)*$B$14/$J$14*$C$14</f>
        <v/>
      </c>
      <c r="H241" s="42">
        <f>SUMPRODUCT(($B$58:$B$125="Garlic")*(H$58:H$125="H")*$C$58:$C$125)*$B$14/$J$14*$C$14</f>
        <v/>
      </c>
      <c r="I241" s="42">
        <f>SUMPRODUCT(($B$58:$B$125="Garlic")*(I$58:I$125="H")*$C$58:$C$125)*$B$14/$J$14*$C$14</f>
        <v/>
      </c>
      <c r="J241" s="42">
        <f>SUMPRODUCT(($B$58:$B$125="Garlic")*(J$58:J$125="H")*$C$58:$C$125)*$B$14/$J$14*$C$14</f>
        <v/>
      </c>
      <c r="K241" s="42">
        <f>SUMPRODUCT(($B$58:$B$125="Garlic")*(K$58:K$125="H")*$C$58:$C$125)*$B$14/$J$14*$C$14</f>
        <v/>
      </c>
      <c r="L241" s="42">
        <f>SUMPRODUCT(($B$58:$B$125="Garlic")*(L$58:L$125="H")*$C$58:$C$125)*$B$14/$J$14*$C$14</f>
        <v/>
      </c>
      <c r="M241" s="42">
        <f>SUMPRODUCT(($B$58:$B$125="Garlic")*(M$58:M$125="H")*$C$58:$C$125)*$B$14/$J$14*$C$14</f>
        <v/>
      </c>
      <c r="N241" s="42">
        <f>SUMPRODUCT(($B$58:$B$125="Garlic")*(N$58:N$125="H")*$C$58:$C$125)*$B$14/$J$14*$C$14</f>
        <v/>
      </c>
      <c r="O241" s="42">
        <f>SUMPRODUCT(($B$58:$B$125="Garlic")*(O$58:O$125="H")*$C$58:$C$125)*$B$14/$J$14*$C$14</f>
        <v/>
      </c>
      <c r="P241" s="42">
        <f>SUMPRODUCT(($B$58:$B$125="Garlic")*(P$58:P$125="H")*$C$58:$C$125)*$B$14/$J$14*$C$14</f>
        <v/>
      </c>
      <c r="Q241" s="42">
        <f>SUMPRODUCT(($B$58:$B$125="Garlic")*(Q$58:Q$125="H")*$C$58:$C$125)*$B$14/$J$14*$C$14</f>
        <v/>
      </c>
      <c r="R241" s="42">
        <f>SUMPRODUCT(($B$58:$B$125="Garlic")*(R$58:R$125="H")*$C$58:$C$125)*$B$14/$J$14*$C$14</f>
        <v/>
      </c>
      <c r="S241" s="42">
        <f>SUMPRODUCT(($B$58:$B$125="Garlic")*(S$58:S$125="H")*$C$58:$C$125)*$B$14/$J$14*$C$14</f>
        <v/>
      </c>
      <c r="T241" s="42">
        <f>SUMPRODUCT(($B$58:$B$125="Garlic")*(T$58:T$125="H")*$C$58:$C$125)*$B$14/$J$14*$C$14</f>
        <v/>
      </c>
      <c r="U241" s="42">
        <f>SUMPRODUCT(($B$58:$B$125="Garlic")*(U$58:U$125="H")*$C$58:$C$125)*$B$14/$J$14*$C$14</f>
        <v/>
      </c>
      <c r="V241" s="42">
        <f>SUMPRODUCT(($B$58:$B$125="Garlic")*(V$58:V$125="H")*$C$58:$C$125)*$B$14/$J$14*$C$14</f>
        <v/>
      </c>
      <c r="W241" s="42">
        <f>SUMPRODUCT(($B$58:$B$125="Garlic")*(W$58:W$125="H")*$C$58:$C$125)*$B$14/$J$14*$C$14</f>
        <v/>
      </c>
      <c r="X241" s="42">
        <f>SUMPRODUCT(($B$58:$B$125="Garlic")*(X$58:X$125="H")*$C$58:$C$125)*$B$14/$J$14*$C$14</f>
        <v/>
      </c>
      <c r="Y241" s="42">
        <f>SUMPRODUCT(($B$58:$B$125="Garlic")*(Y$58:Y$125="H")*$C$58:$C$125)*$B$14/$J$14*$C$14</f>
        <v/>
      </c>
      <c r="Z241" s="42">
        <f>SUMPRODUCT(($B$58:$B$125="Garlic")*(Z$58:Z$125="H")*$C$58:$C$125)*$B$14/$J$14*$C$14</f>
        <v/>
      </c>
      <c r="AA241" s="42">
        <f>SUMPRODUCT(($B$58:$B$125="Garlic")*(AA$58:AA$125="H")*$C$58:$C$125)*$B$14/$J$14*$C$14</f>
        <v/>
      </c>
      <c r="AB241" s="42">
        <f>SUMPRODUCT(($B$58:$B$125="Garlic")*(AB$58:AB$125="H")*$C$58:$C$125)*$B$14/$J$14*$C$14</f>
        <v/>
      </c>
      <c r="AC241" s="42">
        <f>SUMPRODUCT(($B$58:$B$125="Garlic")*(AC$58:AC$125="H")*$C$58:$C$125)*$B$14/$J$14*$C$14</f>
        <v/>
      </c>
      <c r="AD241" s="42">
        <f>SUMPRODUCT(($B$58:$B$125="Garlic")*(AD$58:AD$125="H")*$C$58:$C$125)*$B$14/$J$14*$C$14</f>
        <v/>
      </c>
      <c r="AE241" s="42">
        <f>SUMPRODUCT(($B$58:$B$125="Garlic")*(AE$58:AE$125="H")*$C$58:$C$125)*$B$14/$J$14*$C$14</f>
        <v/>
      </c>
      <c r="AF241" s="42">
        <f>SUMPRODUCT(($B$58:$B$125="Garlic")*(AF$58:AF$125="H")*$C$58:$C$125)*$B$14/$J$14*$C$14</f>
        <v/>
      </c>
      <c r="AG241" s="42">
        <f>SUMPRODUCT(($B$58:$B$125="Garlic")*(AG$58:AG$125="H")*$C$58:$C$125)*$B$14/$J$14*$C$14</f>
        <v/>
      </c>
      <c r="AH241" s="42">
        <f>SUMPRODUCT(($B$58:$B$125="Garlic")*(AH$58:AH$125="H")*$C$58:$C$125)*$B$14/$J$14*$C$14</f>
        <v/>
      </c>
      <c r="AI241" s="42">
        <f>SUMPRODUCT(($B$58:$B$125="Garlic")*(AI$58:AI$125="H")*$C$58:$C$125)*$B$14/$J$14*$C$14</f>
        <v/>
      </c>
      <c r="AJ241" s="42">
        <f>SUMPRODUCT(($B$58:$B$125="Garlic")*(AJ$58:AJ$125="H")*$C$58:$C$125)*$B$14/$J$14*$C$14</f>
        <v/>
      </c>
      <c r="AK241" s="42">
        <f>SUMPRODUCT(($B$58:$B$125="Garlic")*(AK$58:AK$125="H")*$C$58:$C$125)*$B$14/$J$14*$C$14</f>
        <v/>
      </c>
      <c r="AL241" s="42">
        <f>SUMPRODUCT(($B$58:$B$125="Garlic")*(AL$58:AL$125="H")*$C$58:$C$125)*$B$14/$J$14*$C$14</f>
        <v/>
      </c>
      <c r="AM241" s="42">
        <f>SUMPRODUCT(($B$58:$B$125="Garlic")*(AM$58:AM$125="H")*$C$58:$C$125)*$B$14/$J$14*$C$14</f>
        <v/>
      </c>
      <c r="AN241" s="42">
        <f>SUMPRODUCT(($B$58:$B$125="Garlic")*(AN$58:AN$125="H")*$C$58:$C$125)*$B$14/$J$14*$C$14</f>
        <v/>
      </c>
      <c r="AO241" s="42">
        <f>SUMPRODUCT(($B$58:$B$125="Garlic")*(AO$58:AO$125="H")*$C$58:$C$125)*$B$14/$J$14*$C$14</f>
        <v/>
      </c>
      <c r="AP241" s="42">
        <f>SUMPRODUCT(($B$58:$B$125="Garlic")*(AP$58:AP$125="H")*$C$58:$C$125)*$B$14/$J$14*$C$14</f>
        <v/>
      </c>
      <c r="AQ241" s="42">
        <f>SUMPRODUCT(($B$58:$B$125="Garlic")*(AQ$58:AQ$125="H")*$C$58:$C$125)*$B$14/$J$14*$C$14</f>
        <v/>
      </c>
      <c r="AR241" s="42">
        <f>SUMPRODUCT(($B$58:$B$125="Garlic")*(AR$58:AR$125="H")*$C$58:$C$125)*$B$14/$J$14*$C$14</f>
        <v/>
      </c>
      <c r="AS241" s="42">
        <f>SUMPRODUCT(($B$58:$B$125="Garlic")*(AS$58:AS$125="H")*$C$58:$C$125)*$B$14/$J$14*$C$14</f>
        <v/>
      </c>
      <c r="AT241" s="42">
        <f>SUMPRODUCT(($B$58:$B$125="Garlic")*(AT$58:AT$125="H")*$C$58:$C$125)*$B$14/$J$14*$C$14</f>
        <v/>
      </c>
      <c r="AU241" s="42">
        <f>SUMPRODUCT(($B$58:$B$125="Garlic")*(AU$58:AU$125="H")*$C$58:$C$125)*$B$14/$J$14*$C$14</f>
        <v/>
      </c>
      <c r="AV241" s="42">
        <f>SUMPRODUCT(($B$58:$B$125="Garlic")*(AV$58:AV$125="H")*$C$58:$C$125)*$B$14/$J$14*$C$14</f>
        <v/>
      </c>
      <c r="AW241" s="42">
        <f>SUMPRODUCT(($B$58:$B$125="Garlic")*(AW$58:AW$125="H")*$C$58:$C$125)*$B$14/$J$14*$C$14</f>
        <v/>
      </c>
      <c r="AX241" s="42">
        <f>SUMPRODUCT(($B$58:$B$125="Garlic")*(AX$58:AX$125="H")*$C$58:$C$125)*$B$14/$J$14*$C$14</f>
        <v/>
      </c>
      <c r="AY241" s="42">
        <f>SUMPRODUCT(($B$58:$B$125="Garlic")*(AY$58:AY$125="H")*$C$58:$C$125)*$B$14/$J$14*$C$14</f>
        <v/>
      </c>
      <c r="AZ241" s="42">
        <f>SUMPRODUCT(($B$58:$B$125="Garlic")*(AZ$58:AZ$125="H")*$C$58:$C$125)*$B$14/$J$14*$C$14</f>
        <v/>
      </c>
      <c r="BA241" s="42">
        <f>SUMPRODUCT(($B$58:$B$125="Garlic")*(BA$58:BA$125="H")*$C$58:$C$125)*$B$14/$J$14*$C$14</f>
        <v/>
      </c>
      <c r="BB241" s="42">
        <f>SUMPRODUCT(($B$58:$B$125="Garlic")*(BB$58:BB$125="H")*$C$58:$C$125)*$B$14/$J$14*$C$14</f>
        <v/>
      </c>
      <c r="BC241" s="42">
        <f>SUMPRODUCT(($B$58:$B$125="Garlic")*(BC$58:BC$125="H")*$C$58:$C$125)*$B$14/$J$14*$C$14</f>
        <v/>
      </c>
      <c r="BD241" s="42">
        <f>SUMPRODUCT(($B$58:$B$125="Garlic")*(BD$58:BD$125="H")*$C$58:$C$125)*$B$14/$J$14*$C$14</f>
        <v/>
      </c>
    </row>
    <row r="242">
      <c r="A242" s="26" t="inlineStr">
        <is>
          <t>Stock carried in</t>
        </is>
      </c>
      <c r="B242" s="2" t="inlineStr">
        <is>
          <t>lb</t>
        </is>
      </c>
      <c r="E242" s="42" t="n">
        <v>0</v>
      </c>
      <c r="F242" s="42">
        <f>E257</f>
        <v/>
      </c>
      <c r="G242" s="42">
        <f>F257</f>
        <v/>
      </c>
      <c r="H242" s="42">
        <f>G257</f>
        <v/>
      </c>
      <c r="I242" s="42">
        <f>H257</f>
        <v/>
      </c>
      <c r="J242" s="42">
        <f>I257</f>
        <v/>
      </c>
      <c r="K242" s="42">
        <f>J257</f>
        <v/>
      </c>
      <c r="L242" s="42">
        <f>K257</f>
        <v/>
      </c>
      <c r="M242" s="42">
        <f>L257</f>
        <v/>
      </c>
      <c r="N242" s="42">
        <f>M257</f>
        <v/>
      </c>
      <c r="O242" s="42">
        <f>N257</f>
        <v/>
      </c>
      <c r="P242" s="42">
        <f>O257</f>
        <v/>
      </c>
      <c r="Q242" s="42">
        <f>P257</f>
        <v/>
      </c>
      <c r="R242" s="42">
        <f>Q257</f>
        <v/>
      </c>
      <c r="S242" s="42">
        <f>R257</f>
        <v/>
      </c>
      <c r="T242" s="42">
        <f>S257</f>
        <v/>
      </c>
      <c r="U242" s="42">
        <f>T257</f>
        <v/>
      </c>
      <c r="V242" s="42">
        <f>U257</f>
        <v/>
      </c>
      <c r="W242" s="42">
        <f>V257</f>
        <v/>
      </c>
      <c r="X242" s="42">
        <f>W257</f>
        <v/>
      </c>
      <c r="Y242" s="42">
        <f>X257</f>
        <v/>
      </c>
      <c r="Z242" s="42">
        <f>Y257</f>
        <v/>
      </c>
      <c r="AA242" s="42">
        <f>Z257</f>
        <v/>
      </c>
      <c r="AB242" s="42">
        <f>AA257</f>
        <v/>
      </c>
      <c r="AC242" s="42">
        <f>AB257</f>
        <v/>
      </c>
      <c r="AD242" s="42">
        <f>AC257</f>
        <v/>
      </c>
      <c r="AE242" s="42">
        <f>AD257</f>
        <v/>
      </c>
      <c r="AF242" s="42">
        <f>AE257</f>
        <v/>
      </c>
      <c r="AG242" s="42">
        <f>AF257</f>
        <v/>
      </c>
      <c r="AH242" s="42">
        <f>AG257</f>
        <v/>
      </c>
      <c r="AI242" s="42">
        <f>AH257</f>
        <v/>
      </c>
      <c r="AJ242" s="42">
        <f>AI257</f>
        <v/>
      </c>
      <c r="AK242" s="42">
        <f>AJ257</f>
        <v/>
      </c>
      <c r="AL242" s="42">
        <f>AK257</f>
        <v/>
      </c>
      <c r="AM242" s="42">
        <f>AL257</f>
        <v/>
      </c>
      <c r="AN242" s="42">
        <f>AM257</f>
        <v/>
      </c>
      <c r="AO242" s="42">
        <f>AN257</f>
        <v/>
      </c>
      <c r="AP242" s="42">
        <f>AO257</f>
        <v/>
      </c>
      <c r="AQ242" s="42">
        <f>AP257</f>
        <v/>
      </c>
      <c r="AR242" s="42">
        <f>AQ257</f>
        <v/>
      </c>
      <c r="AS242" s="42">
        <f>AR257</f>
        <v/>
      </c>
      <c r="AT242" s="42">
        <f>AS257</f>
        <v/>
      </c>
      <c r="AU242" s="42">
        <f>AT257</f>
        <v/>
      </c>
      <c r="AV242" s="42">
        <f>AU257</f>
        <v/>
      </c>
      <c r="AW242" s="42">
        <f>AV257</f>
        <v/>
      </c>
      <c r="AX242" s="42">
        <f>AW257</f>
        <v/>
      </c>
      <c r="AY242" s="42">
        <f>AX257</f>
        <v/>
      </c>
      <c r="AZ242" s="42">
        <f>AY257</f>
        <v/>
      </c>
      <c r="BA242" s="42">
        <f>AZ257</f>
        <v/>
      </c>
      <c r="BB242" s="42">
        <f>BA257</f>
        <v/>
      </c>
      <c r="BC242" s="42">
        <f>BB257</f>
        <v/>
      </c>
      <c r="BD242" s="42">
        <f>BC257</f>
        <v/>
      </c>
    </row>
    <row r="243">
      <c r="A243" s="26" t="inlineStr">
        <is>
          <t xml:space="preserve">   lost to shrink</t>
        </is>
      </c>
      <c r="B243" s="2" t="inlineStr">
        <is>
          <t>lb</t>
        </is>
      </c>
      <c r="E243" s="42">
        <f>E242*$G$14</f>
        <v/>
      </c>
      <c r="F243" s="42">
        <f>F242*$G$14</f>
        <v/>
      </c>
      <c r="G243" s="42">
        <f>G242*$G$14</f>
        <v/>
      </c>
      <c r="H243" s="42">
        <f>H242*$G$14</f>
        <v/>
      </c>
      <c r="I243" s="42">
        <f>I242*$G$14</f>
        <v/>
      </c>
      <c r="J243" s="42">
        <f>J242*$G$14</f>
        <v/>
      </c>
      <c r="K243" s="42">
        <f>K242*$G$14</f>
        <v/>
      </c>
      <c r="L243" s="42">
        <f>L242*$G$14</f>
        <v/>
      </c>
      <c r="M243" s="42">
        <f>M242*$G$14</f>
        <v/>
      </c>
      <c r="N243" s="42">
        <f>N242*$G$14</f>
        <v/>
      </c>
      <c r="O243" s="42">
        <f>O242*$G$14</f>
        <v/>
      </c>
      <c r="P243" s="42">
        <f>P242*$G$14</f>
        <v/>
      </c>
      <c r="Q243" s="42">
        <f>Q242*$G$14</f>
        <v/>
      </c>
      <c r="R243" s="42">
        <f>R242*$G$14</f>
        <v/>
      </c>
      <c r="S243" s="42">
        <f>S242*$G$14</f>
        <v/>
      </c>
      <c r="T243" s="42">
        <f>T242*$G$14</f>
        <v/>
      </c>
      <c r="U243" s="42">
        <f>U242*$G$14</f>
        <v/>
      </c>
      <c r="V243" s="42">
        <f>V242*$G$14</f>
        <v/>
      </c>
      <c r="W243" s="42">
        <f>W242*$G$14</f>
        <v/>
      </c>
      <c r="X243" s="42">
        <f>X242*$G$14</f>
        <v/>
      </c>
      <c r="Y243" s="42">
        <f>Y242*$G$14</f>
        <v/>
      </c>
      <c r="Z243" s="42">
        <f>Z242*$G$14</f>
        <v/>
      </c>
      <c r="AA243" s="42">
        <f>AA242*$G$14</f>
        <v/>
      </c>
      <c r="AB243" s="42">
        <f>AB242*$G$14</f>
        <v/>
      </c>
      <c r="AC243" s="42">
        <f>AC242*$G$14</f>
        <v/>
      </c>
      <c r="AD243" s="42">
        <f>AD242*$G$14</f>
        <v/>
      </c>
      <c r="AE243" s="42">
        <f>AE242*$G$14</f>
        <v/>
      </c>
      <c r="AF243" s="42">
        <f>AF242*$G$14</f>
        <v/>
      </c>
      <c r="AG243" s="42">
        <f>AG242*$G$14</f>
        <v/>
      </c>
      <c r="AH243" s="42">
        <f>AH242*$G$14</f>
        <v/>
      </c>
      <c r="AI243" s="42">
        <f>AI242*$G$14</f>
        <v/>
      </c>
      <c r="AJ243" s="42">
        <f>AJ242*$G$14</f>
        <v/>
      </c>
      <c r="AK243" s="42">
        <f>AK242*$G$14</f>
        <v/>
      </c>
      <c r="AL243" s="42">
        <f>AL242*$G$14</f>
        <v/>
      </c>
      <c r="AM243" s="42">
        <f>AM242*$G$14</f>
        <v/>
      </c>
      <c r="AN243" s="42">
        <f>AN242*$G$14</f>
        <v/>
      </c>
      <c r="AO243" s="42">
        <f>AO242*$G$14</f>
        <v/>
      </c>
      <c r="AP243" s="42">
        <f>AP242*$G$14</f>
        <v/>
      </c>
      <c r="AQ243" s="42">
        <f>AQ242*$G$14</f>
        <v/>
      </c>
      <c r="AR243" s="42">
        <f>AR242*$G$14</f>
        <v/>
      </c>
      <c r="AS243" s="42">
        <f>AS242*$G$14</f>
        <v/>
      </c>
      <c r="AT243" s="42">
        <f>AT242*$G$14</f>
        <v/>
      </c>
      <c r="AU243" s="42">
        <f>AU242*$G$14</f>
        <v/>
      </c>
      <c r="AV243" s="42">
        <f>AV242*$G$14</f>
        <v/>
      </c>
      <c r="AW243" s="42">
        <f>AW242*$G$14</f>
        <v/>
      </c>
      <c r="AX243" s="42">
        <f>AX242*$G$14</f>
        <v/>
      </c>
      <c r="AY243" s="42">
        <f>AY242*$G$14</f>
        <v/>
      </c>
      <c r="AZ243" s="42">
        <f>AZ242*$G$14</f>
        <v/>
      </c>
      <c r="BA243" s="42">
        <f>BA242*$G$14</f>
        <v/>
      </c>
      <c r="BB243" s="42">
        <f>BB242*$G$14</f>
        <v/>
      </c>
      <c r="BC243" s="42">
        <f>BC242*$G$14</f>
        <v/>
      </c>
      <c r="BD243" s="42">
        <f>BD242*$G$14</f>
        <v/>
      </c>
    </row>
    <row r="244">
      <c r="A244" s="4" t="inlineStr">
        <is>
          <t>In store this week</t>
        </is>
      </c>
      <c r="B244" s="2" t="inlineStr">
        <is>
          <t>lb</t>
        </is>
      </c>
      <c r="E244" s="42">
        <f>E242-E243+E241</f>
        <v/>
      </c>
      <c r="F244" s="42">
        <f>F242-F243+F241</f>
        <v/>
      </c>
      <c r="G244" s="42">
        <f>G242-G243+G241</f>
        <v/>
      </c>
      <c r="H244" s="42">
        <f>H242-H243+H241</f>
        <v/>
      </c>
      <c r="I244" s="42">
        <f>I242-I243+I241</f>
        <v/>
      </c>
      <c r="J244" s="42">
        <f>J242-J243+J241</f>
        <v/>
      </c>
      <c r="K244" s="42">
        <f>K242-K243+K241</f>
        <v/>
      </c>
      <c r="L244" s="42">
        <f>L242-L243+L241</f>
        <v/>
      </c>
      <c r="M244" s="42">
        <f>M242-M243+M241</f>
        <v/>
      </c>
      <c r="N244" s="42">
        <f>N242-N243+N241</f>
        <v/>
      </c>
      <c r="O244" s="42">
        <f>O242-O243+O241</f>
        <v/>
      </c>
      <c r="P244" s="42">
        <f>P242-P243+P241</f>
        <v/>
      </c>
      <c r="Q244" s="42">
        <f>Q242-Q243+Q241</f>
        <v/>
      </c>
      <c r="R244" s="42">
        <f>R242-R243+R241</f>
        <v/>
      </c>
      <c r="S244" s="42">
        <f>S242-S243+S241</f>
        <v/>
      </c>
      <c r="T244" s="42">
        <f>T242-T243+T241</f>
        <v/>
      </c>
      <c r="U244" s="42">
        <f>U242-U243+U241</f>
        <v/>
      </c>
      <c r="V244" s="42">
        <f>V242-V243+V241</f>
        <v/>
      </c>
      <c r="W244" s="42">
        <f>W242-W243+W241</f>
        <v/>
      </c>
      <c r="X244" s="42">
        <f>X242-X243+X241</f>
        <v/>
      </c>
      <c r="Y244" s="42">
        <f>Y242-Y243+Y241</f>
        <v/>
      </c>
      <c r="Z244" s="42">
        <f>Z242-Z243+Z241</f>
        <v/>
      </c>
      <c r="AA244" s="42">
        <f>AA242-AA243+AA241</f>
        <v/>
      </c>
      <c r="AB244" s="42">
        <f>AB242-AB243+AB241</f>
        <v/>
      </c>
      <c r="AC244" s="42">
        <f>AC242-AC243+AC241</f>
        <v/>
      </c>
      <c r="AD244" s="42">
        <f>AD242-AD243+AD241</f>
        <v/>
      </c>
      <c r="AE244" s="42">
        <f>AE242-AE243+AE241</f>
        <v/>
      </c>
      <c r="AF244" s="42">
        <f>AF242-AF243+AF241</f>
        <v/>
      </c>
      <c r="AG244" s="42">
        <f>AG242-AG243+AG241</f>
        <v/>
      </c>
      <c r="AH244" s="42">
        <f>AH242-AH243+AH241</f>
        <v/>
      </c>
      <c r="AI244" s="42">
        <f>AI242-AI243+AI241</f>
        <v/>
      </c>
      <c r="AJ244" s="42">
        <f>AJ242-AJ243+AJ241</f>
        <v/>
      </c>
      <c r="AK244" s="42">
        <f>AK242-AK243+AK241</f>
        <v/>
      </c>
      <c r="AL244" s="42">
        <f>AL242-AL243+AL241</f>
        <v/>
      </c>
      <c r="AM244" s="42">
        <f>AM242-AM243+AM241</f>
        <v/>
      </c>
      <c r="AN244" s="42">
        <f>AN242-AN243+AN241</f>
        <v/>
      </c>
      <c r="AO244" s="42">
        <f>AO242-AO243+AO241</f>
        <v/>
      </c>
      <c r="AP244" s="42">
        <f>AP242-AP243+AP241</f>
        <v/>
      </c>
      <c r="AQ244" s="42">
        <f>AQ242-AQ243+AQ241</f>
        <v/>
      </c>
      <c r="AR244" s="42">
        <f>AR242-AR243+AR241</f>
        <v/>
      </c>
      <c r="AS244" s="42">
        <f>AS242-AS243+AS241</f>
        <v/>
      </c>
      <c r="AT244" s="42">
        <f>AT242-AT243+AT241</f>
        <v/>
      </c>
      <c r="AU244" s="42">
        <f>AU242-AU243+AU241</f>
        <v/>
      </c>
      <c r="AV244" s="42">
        <f>AV242-AV243+AV241</f>
        <v/>
      </c>
      <c r="AW244" s="42">
        <f>AW242-AW243+AW241</f>
        <v/>
      </c>
      <c r="AX244" s="42">
        <f>AX242-AX243+AX241</f>
        <v/>
      </c>
      <c r="AY244" s="42">
        <f>AY242-AY243+AY241</f>
        <v/>
      </c>
      <c r="AZ244" s="42">
        <f>AZ242-AZ243+AZ241</f>
        <v/>
      </c>
      <c r="BA244" s="42">
        <f>BA242-BA243+BA241</f>
        <v/>
      </c>
      <c r="BB244" s="42">
        <f>BB242-BB243+BB241</f>
        <v/>
      </c>
      <c r="BC244" s="42">
        <f>BC242-BC243+BC241</f>
        <v/>
      </c>
      <c r="BD244" s="42">
        <f>BD242-BD243+BD241</f>
        <v/>
      </c>
    </row>
    <row r="245">
      <c r="A245" s="47" t="inlineStr">
        <is>
          <t>Farmers Market — most you may sell this week</t>
        </is>
      </c>
      <c r="B245" s="2" t="inlineStr">
        <is>
          <t>lb</t>
        </is>
      </c>
      <c r="E245" s="48">
        <f>IF($C$23="Annual",$D$23-0,IF(AND(1&gt;=$E$23,1&lt;=$F$23),$D$23,0))</f>
        <v/>
      </c>
      <c r="F245" s="48">
        <f>IF($C$23="Annual",$D$23-SUM(E247:E247),IF(AND(2&gt;=$E$23,2&lt;=$F$23),$D$23,0))</f>
        <v/>
      </c>
      <c r="G245" s="48">
        <f>IF($C$23="Annual",$D$23-SUM(E247:F247),IF(AND(3&gt;=$E$23,3&lt;=$F$23),$D$23,0))</f>
        <v/>
      </c>
      <c r="H245" s="48">
        <f>IF($C$23="Annual",$D$23-SUM(E247:G247),IF(AND(4&gt;=$E$23,4&lt;=$F$23),$D$23,0))</f>
        <v/>
      </c>
      <c r="I245" s="48">
        <f>IF($C$23="Annual",$D$23-SUM(E247:H247),IF(AND(5&gt;=$E$23,5&lt;=$F$23),$D$23,0))</f>
        <v/>
      </c>
      <c r="J245" s="48">
        <f>IF($C$23="Annual",$D$23-SUM(E247:I247),IF(AND(6&gt;=$E$23,6&lt;=$F$23),$D$23,0))</f>
        <v/>
      </c>
      <c r="K245" s="48">
        <f>IF($C$23="Annual",$D$23-SUM(E247:J247),IF(AND(7&gt;=$E$23,7&lt;=$F$23),$D$23,0))</f>
        <v/>
      </c>
      <c r="L245" s="48">
        <f>IF($C$23="Annual",$D$23-SUM(E247:K247),IF(AND(8&gt;=$E$23,8&lt;=$F$23),$D$23,0))</f>
        <v/>
      </c>
      <c r="M245" s="48">
        <f>IF($C$23="Annual",$D$23-SUM(E247:L247),IF(AND(9&gt;=$E$23,9&lt;=$F$23),$D$23,0))</f>
        <v/>
      </c>
      <c r="N245" s="48">
        <f>IF($C$23="Annual",$D$23-SUM(E247:M247),IF(AND(10&gt;=$E$23,10&lt;=$F$23),$D$23,0))</f>
        <v/>
      </c>
      <c r="O245" s="48">
        <f>IF($C$23="Annual",$D$23-SUM(E247:N247),IF(AND(11&gt;=$E$23,11&lt;=$F$23),$D$23,0))</f>
        <v/>
      </c>
      <c r="P245" s="48">
        <f>IF($C$23="Annual",$D$23-SUM(E247:O247),IF(AND(12&gt;=$E$23,12&lt;=$F$23),$D$23,0))</f>
        <v/>
      </c>
      <c r="Q245" s="48">
        <f>IF($C$23="Annual",$D$23-SUM(E247:P247),IF(AND(13&gt;=$E$23,13&lt;=$F$23),$D$23,0))</f>
        <v/>
      </c>
      <c r="R245" s="48">
        <f>IF($C$23="Annual",$D$23-SUM(E247:Q247),IF(AND(14&gt;=$E$23,14&lt;=$F$23),$D$23,0))</f>
        <v/>
      </c>
      <c r="S245" s="48">
        <f>IF($C$23="Annual",$D$23-SUM(E247:R247),IF(AND(15&gt;=$E$23,15&lt;=$F$23),$D$23,0))</f>
        <v/>
      </c>
      <c r="T245" s="48">
        <f>IF($C$23="Annual",$D$23-SUM(E247:S247),IF(AND(16&gt;=$E$23,16&lt;=$F$23),$D$23,0))</f>
        <v/>
      </c>
      <c r="U245" s="48">
        <f>IF($C$23="Annual",$D$23-SUM(E247:T247),IF(AND(17&gt;=$E$23,17&lt;=$F$23),$D$23,0))</f>
        <v/>
      </c>
      <c r="V245" s="48">
        <f>IF($C$23="Annual",$D$23-SUM(E247:U247),IF(AND(18&gt;=$E$23,18&lt;=$F$23),$D$23,0))</f>
        <v/>
      </c>
      <c r="W245" s="48">
        <f>IF($C$23="Annual",$D$23-SUM(E247:V247),IF(AND(19&gt;=$E$23,19&lt;=$F$23),$D$23,0))</f>
        <v/>
      </c>
      <c r="X245" s="48">
        <f>IF($C$23="Annual",$D$23-SUM(E247:W247),IF(AND(20&gt;=$E$23,20&lt;=$F$23),$D$23,0))</f>
        <v/>
      </c>
      <c r="Y245" s="48">
        <f>IF($C$23="Annual",$D$23-SUM(E247:X247),IF(AND(21&gt;=$E$23,21&lt;=$F$23),$D$23,0))</f>
        <v/>
      </c>
      <c r="Z245" s="48">
        <f>IF($C$23="Annual",$D$23-SUM(E247:Y247),IF(AND(22&gt;=$E$23,22&lt;=$F$23),$D$23,0))</f>
        <v/>
      </c>
      <c r="AA245" s="48">
        <f>IF($C$23="Annual",$D$23-SUM(E247:Z247),IF(AND(23&gt;=$E$23,23&lt;=$F$23),$D$23,0))</f>
        <v/>
      </c>
      <c r="AB245" s="48">
        <f>IF($C$23="Annual",$D$23-SUM(E247:AA247),IF(AND(24&gt;=$E$23,24&lt;=$F$23),$D$23,0))</f>
        <v/>
      </c>
      <c r="AC245" s="48">
        <f>IF($C$23="Annual",$D$23-SUM(E247:AB247),IF(AND(25&gt;=$E$23,25&lt;=$F$23),$D$23,0))</f>
        <v/>
      </c>
      <c r="AD245" s="48">
        <f>IF($C$23="Annual",$D$23-SUM(E247:AC247),IF(AND(26&gt;=$E$23,26&lt;=$F$23),$D$23,0))</f>
        <v/>
      </c>
      <c r="AE245" s="48">
        <f>IF($C$23="Annual",$D$23-SUM(E247:AD247),IF(AND(27&gt;=$E$23,27&lt;=$F$23),$D$23,0))</f>
        <v/>
      </c>
      <c r="AF245" s="48">
        <f>IF($C$23="Annual",$D$23-SUM(E247:AE247),IF(AND(28&gt;=$E$23,28&lt;=$F$23),$D$23,0))</f>
        <v/>
      </c>
      <c r="AG245" s="48">
        <f>IF($C$23="Annual",$D$23-SUM(E247:AF247),IF(AND(29&gt;=$E$23,29&lt;=$F$23),$D$23,0))</f>
        <v/>
      </c>
      <c r="AH245" s="48">
        <f>IF($C$23="Annual",$D$23-SUM(E247:AG247),IF(AND(30&gt;=$E$23,30&lt;=$F$23),$D$23,0))</f>
        <v/>
      </c>
      <c r="AI245" s="48">
        <f>IF($C$23="Annual",$D$23-SUM(E247:AH247),IF(AND(31&gt;=$E$23,31&lt;=$F$23),$D$23,0))</f>
        <v/>
      </c>
      <c r="AJ245" s="48">
        <f>IF($C$23="Annual",$D$23-SUM(E247:AI247),IF(AND(32&gt;=$E$23,32&lt;=$F$23),$D$23,0))</f>
        <v/>
      </c>
      <c r="AK245" s="48">
        <f>IF($C$23="Annual",$D$23-SUM(E247:AJ247),IF(AND(33&gt;=$E$23,33&lt;=$F$23),$D$23,0))</f>
        <v/>
      </c>
      <c r="AL245" s="48">
        <f>IF($C$23="Annual",$D$23-SUM(E247:AK247),IF(AND(34&gt;=$E$23,34&lt;=$F$23),$D$23,0))</f>
        <v/>
      </c>
      <c r="AM245" s="48">
        <f>IF($C$23="Annual",$D$23-SUM(E247:AL247),IF(AND(35&gt;=$E$23,35&lt;=$F$23),$D$23,0))</f>
        <v/>
      </c>
      <c r="AN245" s="48">
        <f>IF($C$23="Annual",$D$23-SUM(E247:AM247),IF(AND(36&gt;=$E$23,36&lt;=$F$23),$D$23,0))</f>
        <v/>
      </c>
      <c r="AO245" s="48">
        <f>IF($C$23="Annual",$D$23-SUM(E247:AN247),IF(AND(37&gt;=$E$23,37&lt;=$F$23),$D$23,0))</f>
        <v/>
      </c>
      <c r="AP245" s="48">
        <f>IF($C$23="Annual",$D$23-SUM(E247:AO247),IF(AND(38&gt;=$E$23,38&lt;=$F$23),$D$23,0))</f>
        <v/>
      </c>
      <c r="AQ245" s="48">
        <f>IF($C$23="Annual",$D$23-SUM(E247:AP247),IF(AND(39&gt;=$E$23,39&lt;=$F$23),$D$23,0))</f>
        <v/>
      </c>
      <c r="AR245" s="48">
        <f>IF($C$23="Annual",$D$23-SUM(E247:AQ247),IF(AND(40&gt;=$E$23,40&lt;=$F$23),$D$23,0))</f>
        <v/>
      </c>
      <c r="AS245" s="48">
        <f>IF($C$23="Annual",$D$23-SUM(E247:AR247),IF(AND(41&gt;=$E$23,41&lt;=$F$23),$D$23,0))</f>
        <v/>
      </c>
      <c r="AT245" s="48">
        <f>IF($C$23="Annual",$D$23-SUM(E247:AS247),IF(AND(42&gt;=$E$23,42&lt;=$F$23),$D$23,0))</f>
        <v/>
      </c>
      <c r="AU245" s="48">
        <f>IF($C$23="Annual",$D$23-SUM(E247:AT247),IF(AND(43&gt;=$E$23,43&lt;=$F$23),$D$23,0))</f>
        <v/>
      </c>
      <c r="AV245" s="48">
        <f>IF($C$23="Annual",$D$23-SUM(E247:AU247),IF(AND(44&gt;=$E$23,44&lt;=$F$23),$D$23,0))</f>
        <v/>
      </c>
      <c r="AW245" s="48">
        <f>IF($C$23="Annual",$D$23-SUM(E247:AV247),IF(AND(45&gt;=$E$23,45&lt;=$F$23),$D$23,0))</f>
        <v/>
      </c>
      <c r="AX245" s="48">
        <f>IF($C$23="Annual",$D$23-SUM(E247:AW247),IF(AND(46&gt;=$E$23,46&lt;=$F$23),$D$23,0))</f>
        <v/>
      </c>
      <c r="AY245" s="48">
        <f>IF($C$23="Annual",$D$23-SUM(E247:AX247),IF(AND(47&gt;=$E$23,47&lt;=$F$23),$D$23,0))</f>
        <v/>
      </c>
      <c r="AZ245" s="48">
        <f>IF($C$23="Annual",$D$23-SUM(E247:AY247),IF(AND(48&gt;=$E$23,48&lt;=$F$23),$D$23,0))</f>
        <v/>
      </c>
      <c r="BA245" s="48">
        <f>IF($C$23="Annual",$D$23-SUM(E247:AZ247),IF(AND(49&gt;=$E$23,49&lt;=$F$23),$D$23,0))</f>
        <v/>
      </c>
      <c r="BB245" s="48">
        <f>IF($C$23="Annual",$D$23-SUM(E247:BA247),IF(AND(50&gt;=$E$23,50&lt;=$F$23),$D$23,0))</f>
        <v/>
      </c>
      <c r="BC245" s="48">
        <f>IF($C$23="Annual",$D$23-SUM(E247:BB247),IF(AND(51&gt;=$E$23,51&lt;=$F$23),$D$23,0))</f>
        <v/>
      </c>
      <c r="BD245" s="48">
        <f>IF($C$23="Annual",$D$23-SUM(E247:BC247),IF(AND(52&gt;=$E$23,52&lt;=$F$23),$D$23,0))</f>
        <v/>
      </c>
    </row>
    <row r="246">
      <c r="A246" s="24" t="inlineStr">
        <is>
          <t>Farmers Market — OFFERED</t>
        </is>
      </c>
      <c r="B246" s="2" t="inlineStr">
        <is>
          <t>lb  &lt;-- SOLVER</t>
        </is>
      </c>
      <c r="E246" s="44" t="n">
        <v>0</v>
      </c>
      <c r="F246" s="44" t="n">
        <v>0</v>
      </c>
      <c r="G246" s="44" t="n">
        <v>0</v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  <c r="AL246" s="44" t="n">
        <v>0</v>
      </c>
      <c r="AM246" s="44" t="n">
        <v>0</v>
      </c>
      <c r="AN246" s="44" t="n">
        <v>0</v>
      </c>
      <c r="AO246" s="44" t="n">
        <v>0</v>
      </c>
      <c r="AP246" s="44" t="n">
        <v>0</v>
      </c>
      <c r="AQ246" s="44" t="n">
        <v>0</v>
      </c>
      <c r="AR246" s="44" t="n">
        <v>0</v>
      </c>
      <c r="AS246" s="44" t="n">
        <v>0</v>
      </c>
      <c r="AT246" s="44" t="n">
        <v>0</v>
      </c>
      <c r="AU246" s="44" t="n">
        <v>0</v>
      </c>
      <c r="AV246" s="44" t="n">
        <v>0</v>
      </c>
      <c r="AW246" s="44" t="n">
        <v>0</v>
      </c>
      <c r="AX246" s="44" t="n">
        <v>0</v>
      </c>
      <c r="AY246" s="44" t="n">
        <v>0</v>
      </c>
      <c r="AZ246" s="44" t="n">
        <v>0</v>
      </c>
      <c r="BA246" s="44" t="n">
        <v>0</v>
      </c>
      <c r="BB246" s="44" t="n">
        <v>0</v>
      </c>
      <c r="BC246" s="44" t="n">
        <v>0</v>
      </c>
      <c r="BD246" s="44" t="n">
        <v>0</v>
      </c>
    </row>
    <row r="247">
      <c r="A247" s="49" t="inlineStr">
        <is>
          <t>Farmers Market — SOLD</t>
        </is>
      </c>
      <c r="B247" s="2" t="inlineStr">
        <is>
          <t>lb</t>
        </is>
      </c>
      <c r="E247" s="48">
        <f>E246*$G$23</f>
        <v/>
      </c>
      <c r="F247" s="48">
        <f>F246*$G$23</f>
        <v/>
      </c>
      <c r="G247" s="48">
        <f>G246*$G$23</f>
        <v/>
      </c>
      <c r="H247" s="48">
        <f>H246*$G$23</f>
        <v/>
      </c>
      <c r="I247" s="48">
        <f>I246*$G$23</f>
        <v/>
      </c>
      <c r="J247" s="48">
        <f>J246*$G$23</f>
        <v/>
      </c>
      <c r="K247" s="48">
        <f>K246*$G$23</f>
        <v/>
      </c>
      <c r="L247" s="48">
        <f>L246*$G$23</f>
        <v/>
      </c>
      <c r="M247" s="48">
        <f>M246*$G$23</f>
        <v/>
      </c>
      <c r="N247" s="48">
        <f>N246*$G$23</f>
        <v/>
      </c>
      <c r="O247" s="48">
        <f>O246*$G$23</f>
        <v/>
      </c>
      <c r="P247" s="48">
        <f>P246*$G$23</f>
        <v/>
      </c>
      <c r="Q247" s="48">
        <f>Q246*$G$23</f>
        <v/>
      </c>
      <c r="R247" s="48">
        <f>R246*$G$23</f>
        <v/>
      </c>
      <c r="S247" s="48">
        <f>S246*$G$23</f>
        <v/>
      </c>
      <c r="T247" s="48">
        <f>T246*$G$23</f>
        <v/>
      </c>
      <c r="U247" s="48">
        <f>U246*$G$23</f>
        <v/>
      </c>
      <c r="V247" s="48">
        <f>V246*$G$23</f>
        <v/>
      </c>
      <c r="W247" s="48">
        <f>W246*$G$23</f>
        <v/>
      </c>
      <c r="X247" s="48">
        <f>X246*$G$23</f>
        <v/>
      </c>
      <c r="Y247" s="48">
        <f>Y246*$G$23</f>
        <v/>
      </c>
      <c r="Z247" s="48">
        <f>Z246*$G$23</f>
        <v/>
      </c>
      <c r="AA247" s="48">
        <f>AA246*$G$23</f>
        <v/>
      </c>
      <c r="AB247" s="48">
        <f>AB246*$G$23</f>
        <v/>
      </c>
      <c r="AC247" s="48">
        <f>AC246*$G$23</f>
        <v/>
      </c>
      <c r="AD247" s="48">
        <f>AD246*$G$23</f>
        <v/>
      </c>
      <c r="AE247" s="48">
        <f>AE246*$G$23</f>
        <v/>
      </c>
      <c r="AF247" s="48">
        <f>AF246*$G$23</f>
        <v/>
      </c>
      <c r="AG247" s="48">
        <f>AG246*$G$23</f>
        <v/>
      </c>
      <c r="AH247" s="48">
        <f>AH246*$G$23</f>
        <v/>
      </c>
      <c r="AI247" s="48">
        <f>AI246*$G$23</f>
        <v/>
      </c>
      <c r="AJ247" s="48">
        <f>AJ246*$G$23</f>
        <v/>
      </c>
      <c r="AK247" s="48">
        <f>AK246*$G$23</f>
        <v/>
      </c>
      <c r="AL247" s="48">
        <f>AL246*$G$23</f>
        <v/>
      </c>
      <c r="AM247" s="48">
        <f>AM246*$G$23</f>
        <v/>
      </c>
      <c r="AN247" s="48">
        <f>AN246*$G$23</f>
        <v/>
      </c>
      <c r="AO247" s="48">
        <f>AO246*$G$23</f>
        <v/>
      </c>
      <c r="AP247" s="48">
        <f>AP246*$G$23</f>
        <v/>
      </c>
      <c r="AQ247" s="48">
        <f>AQ246*$G$23</f>
        <v/>
      </c>
      <c r="AR247" s="48">
        <f>AR246*$G$23</f>
        <v/>
      </c>
      <c r="AS247" s="48">
        <f>AS246*$G$23</f>
        <v/>
      </c>
      <c r="AT247" s="48">
        <f>AT246*$G$23</f>
        <v/>
      </c>
      <c r="AU247" s="48">
        <f>AU246*$G$23</f>
        <v/>
      </c>
      <c r="AV247" s="48">
        <f>AV246*$G$23</f>
        <v/>
      </c>
      <c r="AW247" s="48">
        <f>AW246*$G$23</f>
        <v/>
      </c>
      <c r="AX247" s="48">
        <f>AX246*$G$23</f>
        <v/>
      </c>
      <c r="AY247" s="48">
        <f>AY246*$G$23</f>
        <v/>
      </c>
      <c r="AZ247" s="48">
        <f>AZ246*$G$23</f>
        <v/>
      </c>
      <c r="BA247" s="48">
        <f>BA246*$G$23</f>
        <v/>
      </c>
      <c r="BB247" s="48">
        <f>BB246*$G$23</f>
        <v/>
      </c>
      <c r="BC247" s="48">
        <f>BC246*$G$23</f>
        <v/>
      </c>
      <c r="BD247" s="48">
        <f>BD246*$G$23</f>
        <v/>
      </c>
    </row>
    <row r="248">
      <c r="A248" s="26" t="inlineStr">
        <is>
          <t xml:space="preserve">   market loss (gone)</t>
        </is>
      </c>
      <c r="B248" s="2" t="inlineStr">
        <is>
          <t>lb</t>
        </is>
      </c>
      <c r="E248" s="42">
        <f>(E246-E247)*(1-$H$23)</f>
        <v/>
      </c>
      <c r="F248" s="42">
        <f>(F246-F247)*(1-$H$23)</f>
        <v/>
      </c>
      <c r="G248" s="42">
        <f>(G246-G247)*(1-$H$23)</f>
        <v/>
      </c>
      <c r="H248" s="42">
        <f>(H246-H247)*(1-$H$23)</f>
        <v/>
      </c>
      <c r="I248" s="42">
        <f>(I246-I247)*(1-$H$23)</f>
        <v/>
      </c>
      <c r="J248" s="42">
        <f>(J246-J247)*(1-$H$23)</f>
        <v/>
      </c>
      <c r="K248" s="42">
        <f>(K246-K247)*(1-$H$23)</f>
        <v/>
      </c>
      <c r="L248" s="42">
        <f>(L246-L247)*(1-$H$23)</f>
        <v/>
      </c>
      <c r="M248" s="42">
        <f>(M246-M247)*(1-$H$23)</f>
        <v/>
      </c>
      <c r="N248" s="42">
        <f>(N246-N247)*(1-$H$23)</f>
        <v/>
      </c>
      <c r="O248" s="42">
        <f>(O246-O247)*(1-$H$23)</f>
        <v/>
      </c>
      <c r="P248" s="42">
        <f>(P246-P247)*(1-$H$23)</f>
        <v/>
      </c>
      <c r="Q248" s="42">
        <f>(Q246-Q247)*(1-$H$23)</f>
        <v/>
      </c>
      <c r="R248" s="42">
        <f>(R246-R247)*(1-$H$23)</f>
        <v/>
      </c>
      <c r="S248" s="42">
        <f>(S246-S247)*(1-$H$23)</f>
        <v/>
      </c>
      <c r="T248" s="42">
        <f>(T246-T247)*(1-$H$23)</f>
        <v/>
      </c>
      <c r="U248" s="42">
        <f>(U246-U247)*(1-$H$23)</f>
        <v/>
      </c>
      <c r="V248" s="42">
        <f>(V246-V247)*(1-$H$23)</f>
        <v/>
      </c>
      <c r="W248" s="42">
        <f>(W246-W247)*(1-$H$23)</f>
        <v/>
      </c>
      <c r="X248" s="42">
        <f>(X246-X247)*(1-$H$23)</f>
        <v/>
      </c>
      <c r="Y248" s="42">
        <f>(Y246-Y247)*(1-$H$23)</f>
        <v/>
      </c>
      <c r="Z248" s="42">
        <f>(Z246-Z247)*(1-$H$23)</f>
        <v/>
      </c>
      <c r="AA248" s="42">
        <f>(AA246-AA247)*(1-$H$23)</f>
        <v/>
      </c>
      <c r="AB248" s="42">
        <f>(AB246-AB247)*(1-$H$23)</f>
        <v/>
      </c>
      <c r="AC248" s="42">
        <f>(AC246-AC247)*(1-$H$23)</f>
        <v/>
      </c>
      <c r="AD248" s="42">
        <f>(AD246-AD247)*(1-$H$23)</f>
        <v/>
      </c>
      <c r="AE248" s="42">
        <f>(AE246-AE247)*(1-$H$23)</f>
        <v/>
      </c>
      <c r="AF248" s="42">
        <f>(AF246-AF247)*(1-$H$23)</f>
        <v/>
      </c>
      <c r="AG248" s="42">
        <f>(AG246-AG247)*(1-$H$23)</f>
        <v/>
      </c>
      <c r="AH248" s="42">
        <f>(AH246-AH247)*(1-$H$23)</f>
        <v/>
      </c>
      <c r="AI248" s="42">
        <f>(AI246-AI247)*(1-$H$23)</f>
        <v/>
      </c>
      <c r="AJ248" s="42">
        <f>(AJ246-AJ247)*(1-$H$23)</f>
        <v/>
      </c>
      <c r="AK248" s="42">
        <f>(AK246-AK247)*(1-$H$23)</f>
        <v/>
      </c>
      <c r="AL248" s="42">
        <f>(AL246-AL247)*(1-$H$23)</f>
        <v/>
      </c>
      <c r="AM248" s="42">
        <f>(AM246-AM247)*(1-$H$23)</f>
        <v/>
      </c>
      <c r="AN248" s="42">
        <f>(AN246-AN247)*(1-$H$23)</f>
        <v/>
      </c>
      <c r="AO248" s="42">
        <f>(AO246-AO247)*(1-$H$23)</f>
        <v/>
      </c>
      <c r="AP248" s="42">
        <f>(AP246-AP247)*(1-$H$23)</f>
        <v/>
      </c>
      <c r="AQ248" s="42">
        <f>(AQ246-AQ247)*(1-$H$23)</f>
        <v/>
      </c>
      <c r="AR248" s="42">
        <f>(AR246-AR247)*(1-$H$23)</f>
        <v/>
      </c>
      <c r="AS248" s="42">
        <f>(AS246-AS247)*(1-$H$23)</f>
        <v/>
      </c>
      <c r="AT248" s="42">
        <f>(AT246-AT247)*(1-$H$23)</f>
        <v/>
      </c>
      <c r="AU248" s="42">
        <f>(AU246-AU247)*(1-$H$23)</f>
        <v/>
      </c>
      <c r="AV248" s="42">
        <f>(AV246-AV247)*(1-$H$23)</f>
        <v/>
      </c>
      <c r="AW248" s="42">
        <f>(AW246-AW247)*(1-$H$23)</f>
        <v/>
      </c>
      <c r="AX248" s="42">
        <f>(AX246-AX247)*(1-$H$23)</f>
        <v/>
      </c>
      <c r="AY248" s="42">
        <f>(AY246-AY247)*(1-$H$23)</f>
        <v/>
      </c>
      <c r="AZ248" s="42">
        <f>(AZ246-AZ247)*(1-$H$23)</f>
        <v/>
      </c>
      <c r="BA248" s="42">
        <f>(BA246-BA247)*(1-$H$23)</f>
        <v/>
      </c>
      <c r="BB248" s="42">
        <f>(BB246-BB247)*(1-$H$23)</f>
        <v/>
      </c>
      <c r="BC248" s="42">
        <f>(BC246-BC247)*(1-$H$23)</f>
        <v/>
      </c>
      <c r="BD248" s="42">
        <f>(BD246-BD247)*(1-$H$23)</f>
        <v/>
      </c>
    </row>
    <row r="249">
      <c r="A249" s="26" t="inlineStr">
        <is>
          <t xml:space="preserve">   returned to store</t>
        </is>
      </c>
      <c r="B249" s="2" t="inlineStr">
        <is>
          <t>lb</t>
        </is>
      </c>
      <c r="E249" s="42">
        <f>(E246-E247)*$H$23</f>
        <v/>
      </c>
      <c r="F249" s="42">
        <f>(F246-F247)*$H$23</f>
        <v/>
      </c>
      <c r="G249" s="42">
        <f>(G246-G247)*$H$23</f>
        <v/>
      </c>
      <c r="H249" s="42">
        <f>(H246-H247)*$H$23</f>
        <v/>
      </c>
      <c r="I249" s="42">
        <f>(I246-I247)*$H$23</f>
        <v/>
      </c>
      <c r="J249" s="42">
        <f>(J246-J247)*$H$23</f>
        <v/>
      </c>
      <c r="K249" s="42">
        <f>(K246-K247)*$H$23</f>
        <v/>
      </c>
      <c r="L249" s="42">
        <f>(L246-L247)*$H$23</f>
        <v/>
      </c>
      <c r="M249" s="42">
        <f>(M246-M247)*$H$23</f>
        <v/>
      </c>
      <c r="N249" s="42">
        <f>(N246-N247)*$H$23</f>
        <v/>
      </c>
      <c r="O249" s="42">
        <f>(O246-O247)*$H$23</f>
        <v/>
      </c>
      <c r="P249" s="42">
        <f>(P246-P247)*$H$23</f>
        <v/>
      </c>
      <c r="Q249" s="42">
        <f>(Q246-Q247)*$H$23</f>
        <v/>
      </c>
      <c r="R249" s="42">
        <f>(R246-R247)*$H$23</f>
        <v/>
      </c>
      <c r="S249" s="42">
        <f>(S246-S247)*$H$23</f>
        <v/>
      </c>
      <c r="T249" s="42">
        <f>(T246-T247)*$H$23</f>
        <v/>
      </c>
      <c r="U249" s="42">
        <f>(U246-U247)*$H$23</f>
        <v/>
      </c>
      <c r="V249" s="42">
        <f>(V246-V247)*$H$23</f>
        <v/>
      </c>
      <c r="W249" s="42">
        <f>(W246-W247)*$H$23</f>
        <v/>
      </c>
      <c r="X249" s="42">
        <f>(X246-X247)*$H$23</f>
        <v/>
      </c>
      <c r="Y249" s="42">
        <f>(Y246-Y247)*$H$23</f>
        <v/>
      </c>
      <c r="Z249" s="42">
        <f>(Z246-Z247)*$H$23</f>
        <v/>
      </c>
      <c r="AA249" s="42">
        <f>(AA246-AA247)*$H$23</f>
        <v/>
      </c>
      <c r="AB249" s="42">
        <f>(AB246-AB247)*$H$23</f>
        <v/>
      </c>
      <c r="AC249" s="42">
        <f>(AC246-AC247)*$H$23</f>
        <v/>
      </c>
      <c r="AD249" s="42">
        <f>(AD246-AD247)*$H$23</f>
        <v/>
      </c>
      <c r="AE249" s="42">
        <f>(AE246-AE247)*$H$23</f>
        <v/>
      </c>
      <c r="AF249" s="42">
        <f>(AF246-AF247)*$H$23</f>
        <v/>
      </c>
      <c r="AG249" s="42">
        <f>(AG246-AG247)*$H$23</f>
        <v/>
      </c>
      <c r="AH249" s="42">
        <f>(AH246-AH247)*$H$23</f>
        <v/>
      </c>
      <c r="AI249" s="42">
        <f>(AI246-AI247)*$H$23</f>
        <v/>
      </c>
      <c r="AJ249" s="42">
        <f>(AJ246-AJ247)*$H$23</f>
        <v/>
      </c>
      <c r="AK249" s="42">
        <f>(AK246-AK247)*$H$23</f>
        <v/>
      </c>
      <c r="AL249" s="42">
        <f>(AL246-AL247)*$H$23</f>
        <v/>
      </c>
      <c r="AM249" s="42">
        <f>(AM246-AM247)*$H$23</f>
        <v/>
      </c>
      <c r="AN249" s="42">
        <f>(AN246-AN247)*$H$23</f>
        <v/>
      </c>
      <c r="AO249" s="42">
        <f>(AO246-AO247)*$H$23</f>
        <v/>
      </c>
      <c r="AP249" s="42">
        <f>(AP246-AP247)*$H$23</f>
        <v/>
      </c>
      <c r="AQ249" s="42">
        <f>(AQ246-AQ247)*$H$23</f>
        <v/>
      </c>
      <c r="AR249" s="42">
        <f>(AR246-AR247)*$H$23</f>
        <v/>
      </c>
      <c r="AS249" s="42">
        <f>(AS246-AS247)*$H$23</f>
        <v/>
      </c>
      <c r="AT249" s="42">
        <f>(AT246-AT247)*$H$23</f>
        <v/>
      </c>
      <c r="AU249" s="42">
        <f>(AU246-AU247)*$H$23</f>
        <v/>
      </c>
      <c r="AV249" s="42">
        <f>(AV246-AV247)*$H$23</f>
        <v/>
      </c>
      <c r="AW249" s="42">
        <f>(AW246-AW247)*$H$23</f>
        <v/>
      </c>
      <c r="AX249" s="42">
        <f>(AX246-AX247)*$H$23</f>
        <v/>
      </c>
      <c r="AY249" s="42">
        <f>(AY246-AY247)*$H$23</f>
        <v/>
      </c>
      <c r="AZ249" s="42">
        <f>(AZ246-AZ247)*$H$23</f>
        <v/>
      </c>
      <c r="BA249" s="42">
        <f>(BA246-BA247)*$H$23</f>
        <v/>
      </c>
      <c r="BB249" s="42">
        <f>(BB246-BB247)*$H$23</f>
        <v/>
      </c>
      <c r="BC249" s="42">
        <f>(BC246-BC247)*$H$23</f>
        <v/>
      </c>
      <c r="BD249" s="42">
        <f>(BD246-BD247)*$H$23</f>
        <v/>
      </c>
    </row>
    <row r="250">
      <c r="A250" s="26" t="inlineStr">
        <is>
          <t xml:space="preserve">   leaves the store (offered - returned)</t>
        </is>
      </c>
      <c r="B250" s="2" t="inlineStr">
        <is>
          <t>lb</t>
        </is>
      </c>
      <c r="E250" s="42">
        <f>E246-E249</f>
        <v/>
      </c>
      <c r="F250" s="42">
        <f>F246-F249</f>
        <v/>
      </c>
      <c r="G250" s="42">
        <f>G246-G249</f>
        <v/>
      </c>
      <c r="H250" s="42">
        <f>H246-H249</f>
        <v/>
      </c>
      <c r="I250" s="42">
        <f>I246-I249</f>
        <v/>
      </c>
      <c r="J250" s="42">
        <f>J246-J249</f>
        <v/>
      </c>
      <c r="K250" s="42">
        <f>K246-K249</f>
        <v/>
      </c>
      <c r="L250" s="42">
        <f>L246-L249</f>
        <v/>
      </c>
      <c r="M250" s="42">
        <f>M246-M249</f>
        <v/>
      </c>
      <c r="N250" s="42">
        <f>N246-N249</f>
        <v/>
      </c>
      <c r="O250" s="42">
        <f>O246-O249</f>
        <v/>
      </c>
      <c r="P250" s="42">
        <f>P246-P249</f>
        <v/>
      </c>
      <c r="Q250" s="42">
        <f>Q246-Q249</f>
        <v/>
      </c>
      <c r="R250" s="42">
        <f>R246-R249</f>
        <v/>
      </c>
      <c r="S250" s="42">
        <f>S246-S249</f>
        <v/>
      </c>
      <c r="T250" s="42">
        <f>T246-T249</f>
        <v/>
      </c>
      <c r="U250" s="42">
        <f>U246-U249</f>
        <v/>
      </c>
      <c r="V250" s="42">
        <f>V246-V249</f>
        <v/>
      </c>
      <c r="W250" s="42">
        <f>W246-W249</f>
        <v/>
      </c>
      <c r="X250" s="42">
        <f>X246-X249</f>
        <v/>
      </c>
      <c r="Y250" s="42">
        <f>Y246-Y249</f>
        <v/>
      </c>
      <c r="Z250" s="42">
        <f>Z246-Z249</f>
        <v/>
      </c>
      <c r="AA250" s="42">
        <f>AA246-AA249</f>
        <v/>
      </c>
      <c r="AB250" s="42">
        <f>AB246-AB249</f>
        <v/>
      </c>
      <c r="AC250" s="42">
        <f>AC246-AC249</f>
        <v/>
      </c>
      <c r="AD250" s="42">
        <f>AD246-AD249</f>
        <v/>
      </c>
      <c r="AE250" s="42">
        <f>AE246-AE249</f>
        <v/>
      </c>
      <c r="AF250" s="42">
        <f>AF246-AF249</f>
        <v/>
      </c>
      <c r="AG250" s="42">
        <f>AG246-AG249</f>
        <v/>
      </c>
      <c r="AH250" s="42">
        <f>AH246-AH249</f>
        <v/>
      </c>
      <c r="AI250" s="42">
        <f>AI246-AI249</f>
        <v/>
      </c>
      <c r="AJ250" s="42">
        <f>AJ246-AJ249</f>
        <v/>
      </c>
      <c r="AK250" s="42">
        <f>AK246-AK249</f>
        <v/>
      </c>
      <c r="AL250" s="42">
        <f>AL246-AL249</f>
        <v/>
      </c>
      <c r="AM250" s="42">
        <f>AM246-AM249</f>
        <v/>
      </c>
      <c r="AN250" s="42">
        <f>AN246-AN249</f>
        <v/>
      </c>
      <c r="AO250" s="42">
        <f>AO246-AO249</f>
        <v/>
      </c>
      <c r="AP250" s="42">
        <f>AP246-AP249</f>
        <v/>
      </c>
      <c r="AQ250" s="42">
        <f>AQ246-AQ249</f>
        <v/>
      </c>
      <c r="AR250" s="42">
        <f>AR246-AR249</f>
        <v/>
      </c>
      <c r="AS250" s="42">
        <f>AS246-AS249</f>
        <v/>
      </c>
      <c r="AT250" s="42">
        <f>AT246-AT249</f>
        <v/>
      </c>
      <c r="AU250" s="42">
        <f>AU246-AU249</f>
        <v/>
      </c>
      <c r="AV250" s="42">
        <f>AV246-AV249</f>
        <v/>
      </c>
      <c r="AW250" s="42">
        <f>AW246-AW249</f>
        <v/>
      </c>
      <c r="AX250" s="42">
        <f>AX246-AX249</f>
        <v/>
      </c>
      <c r="AY250" s="42">
        <f>AY246-AY249</f>
        <v/>
      </c>
      <c r="AZ250" s="42">
        <f>AZ246-AZ249</f>
        <v/>
      </c>
      <c r="BA250" s="42">
        <f>BA246-BA249</f>
        <v/>
      </c>
      <c r="BB250" s="42">
        <f>BB246-BB249</f>
        <v/>
      </c>
      <c r="BC250" s="42">
        <f>BC246-BC249</f>
        <v/>
      </c>
      <c r="BD250" s="42">
        <f>BD246-BD249</f>
        <v/>
      </c>
    </row>
    <row r="251">
      <c r="A251" s="50" t="inlineStr">
        <is>
          <t>Wholesale — most you may sell this week</t>
        </is>
      </c>
      <c r="B251" s="2" t="inlineStr">
        <is>
          <t>lb</t>
        </is>
      </c>
      <c r="E251" s="51">
        <f>IF($C$24="Annual",$D$24-0,IF(AND(1&gt;=$E$24,1&lt;=$F$24),$D$24,0))</f>
        <v/>
      </c>
      <c r="F251" s="51">
        <f>IF($C$24="Annual",$D$24-SUM(E253:E253),IF(AND(2&gt;=$E$24,2&lt;=$F$24),$D$24,0))</f>
        <v/>
      </c>
      <c r="G251" s="51">
        <f>IF($C$24="Annual",$D$24-SUM(E253:F253),IF(AND(3&gt;=$E$24,3&lt;=$F$24),$D$24,0))</f>
        <v/>
      </c>
      <c r="H251" s="51">
        <f>IF($C$24="Annual",$D$24-SUM(E253:G253),IF(AND(4&gt;=$E$24,4&lt;=$F$24),$D$24,0))</f>
        <v/>
      </c>
      <c r="I251" s="51">
        <f>IF($C$24="Annual",$D$24-SUM(E253:H253),IF(AND(5&gt;=$E$24,5&lt;=$F$24),$D$24,0))</f>
        <v/>
      </c>
      <c r="J251" s="51">
        <f>IF($C$24="Annual",$D$24-SUM(E253:I253),IF(AND(6&gt;=$E$24,6&lt;=$F$24),$D$24,0))</f>
        <v/>
      </c>
      <c r="K251" s="51">
        <f>IF($C$24="Annual",$D$24-SUM(E253:J253),IF(AND(7&gt;=$E$24,7&lt;=$F$24),$D$24,0))</f>
        <v/>
      </c>
      <c r="L251" s="51">
        <f>IF($C$24="Annual",$D$24-SUM(E253:K253),IF(AND(8&gt;=$E$24,8&lt;=$F$24),$D$24,0))</f>
        <v/>
      </c>
      <c r="M251" s="51">
        <f>IF($C$24="Annual",$D$24-SUM(E253:L253),IF(AND(9&gt;=$E$24,9&lt;=$F$24),$D$24,0))</f>
        <v/>
      </c>
      <c r="N251" s="51">
        <f>IF($C$24="Annual",$D$24-SUM(E253:M253),IF(AND(10&gt;=$E$24,10&lt;=$F$24),$D$24,0))</f>
        <v/>
      </c>
      <c r="O251" s="51">
        <f>IF($C$24="Annual",$D$24-SUM(E253:N253),IF(AND(11&gt;=$E$24,11&lt;=$F$24),$D$24,0))</f>
        <v/>
      </c>
      <c r="P251" s="51">
        <f>IF($C$24="Annual",$D$24-SUM(E253:O253),IF(AND(12&gt;=$E$24,12&lt;=$F$24),$D$24,0))</f>
        <v/>
      </c>
      <c r="Q251" s="51">
        <f>IF($C$24="Annual",$D$24-SUM(E253:P253),IF(AND(13&gt;=$E$24,13&lt;=$F$24),$D$24,0))</f>
        <v/>
      </c>
      <c r="R251" s="51">
        <f>IF($C$24="Annual",$D$24-SUM(E253:Q253),IF(AND(14&gt;=$E$24,14&lt;=$F$24),$D$24,0))</f>
        <v/>
      </c>
      <c r="S251" s="51">
        <f>IF($C$24="Annual",$D$24-SUM(E253:R253),IF(AND(15&gt;=$E$24,15&lt;=$F$24),$D$24,0))</f>
        <v/>
      </c>
      <c r="T251" s="51">
        <f>IF($C$24="Annual",$D$24-SUM(E253:S253),IF(AND(16&gt;=$E$24,16&lt;=$F$24),$D$24,0))</f>
        <v/>
      </c>
      <c r="U251" s="51">
        <f>IF($C$24="Annual",$D$24-SUM(E253:T253),IF(AND(17&gt;=$E$24,17&lt;=$F$24),$D$24,0))</f>
        <v/>
      </c>
      <c r="V251" s="51">
        <f>IF($C$24="Annual",$D$24-SUM(E253:U253),IF(AND(18&gt;=$E$24,18&lt;=$F$24),$D$24,0))</f>
        <v/>
      </c>
      <c r="W251" s="51">
        <f>IF($C$24="Annual",$D$24-SUM(E253:V253),IF(AND(19&gt;=$E$24,19&lt;=$F$24),$D$24,0))</f>
        <v/>
      </c>
      <c r="X251" s="51">
        <f>IF($C$24="Annual",$D$24-SUM(E253:W253),IF(AND(20&gt;=$E$24,20&lt;=$F$24),$D$24,0))</f>
        <v/>
      </c>
      <c r="Y251" s="51">
        <f>IF($C$24="Annual",$D$24-SUM(E253:X253),IF(AND(21&gt;=$E$24,21&lt;=$F$24),$D$24,0))</f>
        <v/>
      </c>
      <c r="Z251" s="51">
        <f>IF($C$24="Annual",$D$24-SUM(E253:Y253),IF(AND(22&gt;=$E$24,22&lt;=$F$24),$D$24,0))</f>
        <v/>
      </c>
      <c r="AA251" s="51">
        <f>IF($C$24="Annual",$D$24-SUM(E253:Z253),IF(AND(23&gt;=$E$24,23&lt;=$F$24),$D$24,0))</f>
        <v/>
      </c>
      <c r="AB251" s="51">
        <f>IF($C$24="Annual",$D$24-SUM(E253:AA253),IF(AND(24&gt;=$E$24,24&lt;=$F$24),$D$24,0))</f>
        <v/>
      </c>
      <c r="AC251" s="51">
        <f>IF($C$24="Annual",$D$24-SUM(E253:AB253),IF(AND(25&gt;=$E$24,25&lt;=$F$24),$D$24,0))</f>
        <v/>
      </c>
      <c r="AD251" s="51">
        <f>IF($C$24="Annual",$D$24-SUM(E253:AC253),IF(AND(26&gt;=$E$24,26&lt;=$F$24),$D$24,0))</f>
        <v/>
      </c>
      <c r="AE251" s="51">
        <f>IF($C$24="Annual",$D$24-SUM(E253:AD253),IF(AND(27&gt;=$E$24,27&lt;=$F$24),$D$24,0))</f>
        <v/>
      </c>
      <c r="AF251" s="51">
        <f>IF($C$24="Annual",$D$24-SUM(E253:AE253),IF(AND(28&gt;=$E$24,28&lt;=$F$24),$D$24,0))</f>
        <v/>
      </c>
      <c r="AG251" s="51">
        <f>IF($C$24="Annual",$D$24-SUM(E253:AF253),IF(AND(29&gt;=$E$24,29&lt;=$F$24),$D$24,0))</f>
        <v/>
      </c>
      <c r="AH251" s="51">
        <f>IF($C$24="Annual",$D$24-SUM(E253:AG253),IF(AND(30&gt;=$E$24,30&lt;=$F$24),$D$24,0))</f>
        <v/>
      </c>
      <c r="AI251" s="51">
        <f>IF($C$24="Annual",$D$24-SUM(E253:AH253),IF(AND(31&gt;=$E$24,31&lt;=$F$24),$D$24,0))</f>
        <v/>
      </c>
      <c r="AJ251" s="51">
        <f>IF($C$24="Annual",$D$24-SUM(E253:AI253),IF(AND(32&gt;=$E$24,32&lt;=$F$24),$D$24,0))</f>
        <v/>
      </c>
      <c r="AK251" s="51">
        <f>IF($C$24="Annual",$D$24-SUM(E253:AJ253),IF(AND(33&gt;=$E$24,33&lt;=$F$24),$D$24,0))</f>
        <v/>
      </c>
      <c r="AL251" s="51">
        <f>IF($C$24="Annual",$D$24-SUM(E253:AK253),IF(AND(34&gt;=$E$24,34&lt;=$F$24),$D$24,0))</f>
        <v/>
      </c>
      <c r="AM251" s="51">
        <f>IF($C$24="Annual",$D$24-SUM(E253:AL253),IF(AND(35&gt;=$E$24,35&lt;=$F$24),$D$24,0))</f>
        <v/>
      </c>
      <c r="AN251" s="51">
        <f>IF($C$24="Annual",$D$24-SUM(E253:AM253),IF(AND(36&gt;=$E$24,36&lt;=$F$24),$D$24,0))</f>
        <v/>
      </c>
      <c r="AO251" s="51">
        <f>IF($C$24="Annual",$D$24-SUM(E253:AN253),IF(AND(37&gt;=$E$24,37&lt;=$F$24),$D$24,0))</f>
        <v/>
      </c>
      <c r="AP251" s="51">
        <f>IF($C$24="Annual",$D$24-SUM(E253:AO253),IF(AND(38&gt;=$E$24,38&lt;=$F$24),$D$24,0))</f>
        <v/>
      </c>
      <c r="AQ251" s="51">
        <f>IF($C$24="Annual",$D$24-SUM(E253:AP253),IF(AND(39&gt;=$E$24,39&lt;=$F$24),$D$24,0))</f>
        <v/>
      </c>
      <c r="AR251" s="51">
        <f>IF($C$24="Annual",$D$24-SUM(E253:AQ253),IF(AND(40&gt;=$E$24,40&lt;=$F$24),$D$24,0))</f>
        <v/>
      </c>
      <c r="AS251" s="51">
        <f>IF($C$24="Annual",$D$24-SUM(E253:AR253),IF(AND(41&gt;=$E$24,41&lt;=$F$24),$D$24,0))</f>
        <v/>
      </c>
      <c r="AT251" s="51">
        <f>IF($C$24="Annual",$D$24-SUM(E253:AS253),IF(AND(42&gt;=$E$24,42&lt;=$F$24),$D$24,0))</f>
        <v/>
      </c>
      <c r="AU251" s="51">
        <f>IF($C$24="Annual",$D$24-SUM(E253:AT253),IF(AND(43&gt;=$E$24,43&lt;=$F$24),$D$24,0))</f>
        <v/>
      </c>
      <c r="AV251" s="51">
        <f>IF($C$24="Annual",$D$24-SUM(E253:AU253),IF(AND(44&gt;=$E$24,44&lt;=$F$24),$D$24,0))</f>
        <v/>
      </c>
      <c r="AW251" s="51">
        <f>IF($C$24="Annual",$D$24-SUM(E253:AV253),IF(AND(45&gt;=$E$24,45&lt;=$F$24),$D$24,0))</f>
        <v/>
      </c>
      <c r="AX251" s="51">
        <f>IF($C$24="Annual",$D$24-SUM(E253:AW253),IF(AND(46&gt;=$E$24,46&lt;=$F$24),$D$24,0))</f>
        <v/>
      </c>
      <c r="AY251" s="51">
        <f>IF($C$24="Annual",$D$24-SUM(E253:AX253),IF(AND(47&gt;=$E$24,47&lt;=$F$24),$D$24,0))</f>
        <v/>
      </c>
      <c r="AZ251" s="51">
        <f>IF($C$24="Annual",$D$24-SUM(E253:AY253),IF(AND(48&gt;=$E$24,48&lt;=$F$24),$D$24,0))</f>
        <v/>
      </c>
      <c r="BA251" s="51">
        <f>IF($C$24="Annual",$D$24-SUM(E253:AZ253),IF(AND(49&gt;=$E$24,49&lt;=$F$24),$D$24,0))</f>
        <v/>
      </c>
      <c r="BB251" s="51">
        <f>IF($C$24="Annual",$D$24-SUM(E253:BA253),IF(AND(50&gt;=$E$24,50&lt;=$F$24),$D$24,0))</f>
        <v/>
      </c>
      <c r="BC251" s="51">
        <f>IF($C$24="Annual",$D$24-SUM(E253:BB253),IF(AND(51&gt;=$E$24,51&lt;=$F$24),$D$24,0))</f>
        <v/>
      </c>
      <c r="BD251" s="51">
        <f>IF($C$24="Annual",$D$24-SUM(E253:BC253),IF(AND(52&gt;=$E$24,52&lt;=$F$24),$D$24,0))</f>
        <v/>
      </c>
    </row>
    <row r="252">
      <c r="A252" s="24" t="inlineStr">
        <is>
          <t>Wholesale — OFFERED</t>
        </is>
      </c>
      <c r="B252" s="2" t="inlineStr">
        <is>
          <t>lb  &lt;-- SOLVER</t>
        </is>
      </c>
      <c r="E252" s="44" t="n">
        <v>0</v>
      </c>
      <c r="F252" s="44" t="n">
        <v>0</v>
      </c>
      <c r="G252" s="44" t="n">
        <v>0</v>
      </c>
      <c r="H252" s="44" t="n">
        <v>0</v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  <c r="AL252" s="44" t="n">
        <v>0</v>
      </c>
      <c r="AM252" s="44" t="n">
        <v>0</v>
      </c>
      <c r="AN252" s="44" t="n">
        <v>0</v>
      </c>
      <c r="AO252" s="44" t="n">
        <v>0</v>
      </c>
      <c r="AP252" s="44" t="n">
        <v>0</v>
      </c>
      <c r="AQ252" s="44" t="n">
        <v>0</v>
      </c>
      <c r="AR252" s="44" t="n">
        <v>0</v>
      </c>
      <c r="AS252" s="44" t="n">
        <v>0</v>
      </c>
      <c r="AT252" s="44" t="n">
        <v>0</v>
      </c>
      <c r="AU252" s="44" t="n">
        <v>0</v>
      </c>
      <c r="AV252" s="44" t="n">
        <v>0</v>
      </c>
      <c r="AW252" s="44" t="n">
        <v>0</v>
      </c>
      <c r="AX252" s="44" t="n">
        <v>0</v>
      </c>
      <c r="AY252" s="44" t="n">
        <v>0</v>
      </c>
      <c r="AZ252" s="44" t="n">
        <v>0</v>
      </c>
      <c r="BA252" s="44" t="n">
        <v>0</v>
      </c>
      <c r="BB252" s="44" t="n">
        <v>0</v>
      </c>
      <c r="BC252" s="44" t="n">
        <v>0</v>
      </c>
      <c r="BD252" s="44" t="n">
        <v>0</v>
      </c>
    </row>
    <row r="253">
      <c r="A253" s="52" t="inlineStr">
        <is>
          <t>Wholesale — SOLD</t>
        </is>
      </c>
      <c r="B253" s="2" t="inlineStr">
        <is>
          <t>lb</t>
        </is>
      </c>
      <c r="E253" s="51">
        <f>E252*$G$24</f>
        <v/>
      </c>
      <c r="F253" s="51">
        <f>F252*$G$24</f>
        <v/>
      </c>
      <c r="G253" s="51">
        <f>G252*$G$24</f>
        <v/>
      </c>
      <c r="H253" s="51">
        <f>H252*$G$24</f>
        <v/>
      </c>
      <c r="I253" s="51">
        <f>I252*$G$24</f>
        <v/>
      </c>
      <c r="J253" s="51">
        <f>J252*$G$24</f>
        <v/>
      </c>
      <c r="K253" s="51">
        <f>K252*$G$24</f>
        <v/>
      </c>
      <c r="L253" s="51">
        <f>L252*$G$24</f>
        <v/>
      </c>
      <c r="M253" s="51">
        <f>M252*$G$24</f>
        <v/>
      </c>
      <c r="N253" s="51">
        <f>N252*$G$24</f>
        <v/>
      </c>
      <c r="O253" s="51">
        <f>O252*$G$24</f>
        <v/>
      </c>
      <c r="P253" s="51">
        <f>P252*$G$24</f>
        <v/>
      </c>
      <c r="Q253" s="51">
        <f>Q252*$G$24</f>
        <v/>
      </c>
      <c r="R253" s="51">
        <f>R252*$G$24</f>
        <v/>
      </c>
      <c r="S253" s="51">
        <f>S252*$G$24</f>
        <v/>
      </c>
      <c r="T253" s="51">
        <f>T252*$G$24</f>
        <v/>
      </c>
      <c r="U253" s="51">
        <f>U252*$G$24</f>
        <v/>
      </c>
      <c r="V253" s="51">
        <f>V252*$G$24</f>
        <v/>
      </c>
      <c r="W253" s="51">
        <f>W252*$G$24</f>
        <v/>
      </c>
      <c r="X253" s="51">
        <f>X252*$G$24</f>
        <v/>
      </c>
      <c r="Y253" s="51">
        <f>Y252*$G$24</f>
        <v/>
      </c>
      <c r="Z253" s="51">
        <f>Z252*$G$24</f>
        <v/>
      </c>
      <c r="AA253" s="51">
        <f>AA252*$G$24</f>
        <v/>
      </c>
      <c r="AB253" s="51">
        <f>AB252*$G$24</f>
        <v/>
      </c>
      <c r="AC253" s="51">
        <f>AC252*$G$24</f>
        <v/>
      </c>
      <c r="AD253" s="51">
        <f>AD252*$G$24</f>
        <v/>
      </c>
      <c r="AE253" s="51">
        <f>AE252*$G$24</f>
        <v/>
      </c>
      <c r="AF253" s="51">
        <f>AF252*$G$24</f>
        <v/>
      </c>
      <c r="AG253" s="51">
        <f>AG252*$G$24</f>
        <v/>
      </c>
      <c r="AH253" s="51">
        <f>AH252*$G$24</f>
        <v/>
      </c>
      <c r="AI253" s="51">
        <f>AI252*$G$24</f>
        <v/>
      </c>
      <c r="AJ253" s="51">
        <f>AJ252*$G$24</f>
        <v/>
      </c>
      <c r="AK253" s="51">
        <f>AK252*$G$24</f>
        <v/>
      </c>
      <c r="AL253" s="51">
        <f>AL252*$G$24</f>
        <v/>
      </c>
      <c r="AM253" s="51">
        <f>AM252*$G$24</f>
        <v/>
      </c>
      <c r="AN253" s="51">
        <f>AN252*$G$24</f>
        <v/>
      </c>
      <c r="AO253" s="51">
        <f>AO252*$G$24</f>
        <v/>
      </c>
      <c r="AP253" s="51">
        <f>AP252*$G$24</f>
        <v/>
      </c>
      <c r="AQ253" s="51">
        <f>AQ252*$G$24</f>
        <v/>
      </c>
      <c r="AR253" s="51">
        <f>AR252*$G$24</f>
        <v/>
      </c>
      <c r="AS253" s="51">
        <f>AS252*$G$24</f>
        <v/>
      </c>
      <c r="AT253" s="51">
        <f>AT252*$G$24</f>
        <v/>
      </c>
      <c r="AU253" s="51">
        <f>AU252*$G$24</f>
        <v/>
      </c>
      <c r="AV253" s="51">
        <f>AV252*$G$24</f>
        <v/>
      </c>
      <c r="AW253" s="51">
        <f>AW252*$G$24</f>
        <v/>
      </c>
      <c r="AX253" s="51">
        <f>AX252*$G$24</f>
        <v/>
      </c>
      <c r="AY253" s="51">
        <f>AY252*$G$24</f>
        <v/>
      </c>
      <c r="AZ253" s="51">
        <f>AZ252*$G$24</f>
        <v/>
      </c>
      <c r="BA253" s="51">
        <f>BA252*$G$24</f>
        <v/>
      </c>
      <c r="BB253" s="51">
        <f>BB252*$G$24</f>
        <v/>
      </c>
      <c r="BC253" s="51">
        <f>BC252*$G$24</f>
        <v/>
      </c>
      <c r="BD253" s="51">
        <f>BD252*$G$24</f>
        <v/>
      </c>
    </row>
    <row r="254">
      <c r="A254" s="26" t="inlineStr">
        <is>
          <t xml:space="preserve">   market loss (gone)</t>
        </is>
      </c>
      <c r="B254" s="2" t="inlineStr">
        <is>
          <t>lb</t>
        </is>
      </c>
      <c r="E254" s="42">
        <f>(E252-E253)*(1-$H$24)</f>
        <v/>
      </c>
      <c r="F254" s="42">
        <f>(F252-F253)*(1-$H$24)</f>
        <v/>
      </c>
      <c r="G254" s="42">
        <f>(G252-G253)*(1-$H$24)</f>
        <v/>
      </c>
      <c r="H254" s="42">
        <f>(H252-H253)*(1-$H$24)</f>
        <v/>
      </c>
      <c r="I254" s="42">
        <f>(I252-I253)*(1-$H$24)</f>
        <v/>
      </c>
      <c r="J254" s="42">
        <f>(J252-J253)*(1-$H$24)</f>
        <v/>
      </c>
      <c r="K254" s="42">
        <f>(K252-K253)*(1-$H$24)</f>
        <v/>
      </c>
      <c r="L254" s="42">
        <f>(L252-L253)*(1-$H$24)</f>
        <v/>
      </c>
      <c r="M254" s="42">
        <f>(M252-M253)*(1-$H$24)</f>
        <v/>
      </c>
      <c r="N254" s="42">
        <f>(N252-N253)*(1-$H$24)</f>
        <v/>
      </c>
      <c r="O254" s="42">
        <f>(O252-O253)*(1-$H$24)</f>
        <v/>
      </c>
      <c r="P254" s="42">
        <f>(P252-P253)*(1-$H$24)</f>
        <v/>
      </c>
      <c r="Q254" s="42">
        <f>(Q252-Q253)*(1-$H$24)</f>
        <v/>
      </c>
      <c r="R254" s="42">
        <f>(R252-R253)*(1-$H$24)</f>
        <v/>
      </c>
      <c r="S254" s="42">
        <f>(S252-S253)*(1-$H$24)</f>
        <v/>
      </c>
      <c r="T254" s="42">
        <f>(T252-T253)*(1-$H$24)</f>
        <v/>
      </c>
      <c r="U254" s="42">
        <f>(U252-U253)*(1-$H$24)</f>
        <v/>
      </c>
      <c r="V254" s="42">
        <f>(V252-V253)*(1-$H$24)</f>
        <v/>
      </c>
      <c r="W254" s="42">
        <f>(W252-W253)*(1-$H$24)</f>
        <v/>
      </c>
      <c r="X254" s="42">
        <f>(X252-X253)*(1-$H$24)</f>
        <v/>
      </c>
      <c r="Y254" s="42">
        <f>(Y252-Y253)*(1-$H$24)</f>
        <v/>
      </c>
      <c r="Z254" s="42">
        <f>(Z252-Z253)*(1-$H$24)</f>
        <v/>
      </c>
      <c r="AA254" s="42">
        <f>(AA252-AA253)*(1-$H$24)</f>
        <v/>
      </c>
      <c r="AB254" s="42">
        <f>(AB252-AB253)*(1-$H$24)</f>
        <v/>
      </c>
      <c r="AC254" s="42">
        <f>(AC252-AC253)*(1-$H$24)</f>
        <v/>
      </c>
      <c r="AD254" s="42">
        <f>(AD252-AD253)*(1-$H$24)</f>
        <v/>
      </c>
      <c r="AE254" s="42">
        <f>(AE252-AE253)*(1-$H$24)</f>
        <v/>
      </c>
      <c r="AF254" s="42">
        <f>(AF252-AF253)*(1-$H$24)</f>
        <v/>
      </c>
      <c r="AG254" s="42">
        <f>(AG252-AG253)*(1-$H$24)</f>
        <v/>
      </c>
      <c r="AH254" s="42">
        <f>(AH252-AH253)*(1-$H$24)</f>
        <v/>
      </c>
      <c r="AI254" s="42">
        <f>(AI252-AI253)*(1-$H$24)</f>
        <v/>
      </c>
      <c r="AJ254" s="42">
        <f>(AJ252-AJ253)*(1-$H$24)</f>
        <v/>
      </c>
      <c r="AK254" s="42">
        <f>(AK252-AK253)*(1-$H$24)</f>
        <v/>
      </c>
      <c r="AL254" s="42">
        <f>(AL252-AL253)*(1-$H$24)</f>
        <v/>
      </c>
      <c r="AM254" s="42">
        <f>(AM252-AM253)*(1-$H$24)</f>
        <v/>
      </c>
      <c r="AN254" s="42">
        <f>(AN252-AN253)*(1-$H$24)</f>
        <v/>
      </c>
      <c r="AO254" s="42">
        <f>(AO252-AO253)*(1-$H$24)</f>
        <v/>
      </c>
      <c r="AP254" s="42">
        <f>(AP252-AP253)*(1-$H$24)</f>
        <v/>
      </c>
      <c r="AQ254" s="42">
        <f>(AQ252-AQ253)*(1-$H$24)</f>
        <v/>
      </c>
      <c r="AR254" s="42">
        <f>(AR252-AR253)*(1-$H$24)</f>
        <v/>
      </c>
      <c r="AS254" s="42">
        <f>(AS252-AS253)*(1-$H$24)</f>
        <v/>
      </c>
      <c r="AT254" s="42">
        <f>(AT252-AT253)*(1-$H$24)</f>
        <v/>
      </c>
      <c r="AU254" s="42">
        <f>(AU252-AU253)*(1-$H$24)</f>
        <v/>
      </c>
      <c r="AV254" s="42">
        <f>(AV252-AV253)*(1-$H$24)</f>
        <v/>
      </c>
      <c r="AW254" s="42">
        <f>(AW252-AW253)*(1-$H$24)</f>
        <v/>
      </c>
      <c r="AX254" s="42">
        <f>(AX252-AX253)*(1-$H$24)</f>
        <v/>
      </c>
      <c r="AY254" s="42">
        <f>(AY252-AY253)*(1-$H$24)</f>
        <v/>
      </c>
      <c r="AZ254" s="42">
        <f>(AZ252-AZ253)*(1-$H$24)</f>
        <v/>
      </c>
      <c r="BA254" s="42">
        <f>(BA252-BA253)*(1-$H$24)</f>
        <v/>
      </c>
      <c r="BB254" s="42">
        <f>(BB252-BB253)*(1-$H$24)</f>
        <v/>
      </c>
      <c r="BC254" s="42">
        <f>(BC252-BC253)*(1-$H$24)</f>
        <v/>
      </c>
      <c r="BD254" s="42">
        <f>(BD252-BD253)*(1-$H$24)</f>
        <v/>
      </c>
    </row>
    <row r="255">
      <c r="A255" s="26" t="inlineStr">
        <is>
          <t xml:space="preserve">   returned to store</t>
        </is>
      </c>
      <c r="B255" s="2" t="inlineStr">
        <is>
          <t>lb</t>
        </is>
      </c>
      <c r="E255" s="42">
        <f>(E252-E253)*$H$24</f>
        <v/>
      </c>
      <c r="F255" s="42">
        <f>(F252-F253)*$H$24</f>
        <v/>
      </c>
      <c r="G255" s="42">
        <f>(G252-G253)*$H$24</f>
        <v/>
      </c>
      <c r="H255" s="42">
        <f>(H252-H253)*$H$24</f>
        <v/>
      </c>
      <c r="I255" s="42">
        <f>(I252-I253)*$H$24</f>
        <v/>
      </c>
      <c r="J255" s="42">
        <f>(J252-J253)*$H$24</f>
        <v/>
      </c>
      <c r="K255" s="42">
        <f>(K252-K253)*$H$24</f>
        <v/>
      </c>
      <c r="L255" s="42">
        <f>(L252-L253)*$H$24</f>
        <v/>
      </c>
      <c r="M255" s="42">
        <f>(M252-M253)*$H$24</f>
        <v/>
      </c>
      <c r="N255" s="42">
        <f>(N252-N253)*$H$24</f>
        <v/>
      </c>
      <c r="O255" s="42">
        <f>(O252-O253)*$H$24</f>
        <v/>
      </c>
      <c r="P255" s="42">
        <f>(P252-P253)*$H$24</f>
        <v/>
      </c>
      <c r="Q255" s="42">
        <f>(Q252-Q253)*$H$24</f>
        <v/>
      </c>
      <c r="R255" s="42">
        <f>(R252-R253)*$H$24</f>
        <v/>
      </c>
      <c r="S255" s="42">
        <f>(S252-S253)*$H$24</f>
        <v/>
      </c>
      <c r="T255" s="42">
        <f>(T252-T253)*$H$24</f>
        <v/>
      </c>
      <c r="U255" s="42">
        <f>(U252-U253)*$H$24</f>
        <v/>
      </c>
      <c r="V255" s="42">
        <f>(V252-V253)*$H$24</f>
        <v/>
      </c>
      <c r="W255" s="42">
        <f>(W252-W253)*$H$24</f>
        <v/>
      </c>
      <c r="X255" s="42">
        <f>(X252-X253)*$H$24</f>
        <v/>
      </c>
      <c r="Y255" s="42">
        <f>(Y252-Y253)*$H$24</f>
        <v/>
      </c>
      <c r="Z255" s="42">
        <f>(Z252-Z253)*$H$24</f>
        <v/>
      </c>
      <c r="AA255" s="42">
        <f>(AA252-AA253)*$H$24</f>
        <v/>
      </c>
      <c r="AB255" s="42">
        <f>(AB252-AB253)*$H$24</f>
        <v/>
      </c>
      <c r="AC255" s="42">
        <f>(AC252-AC253)*$H$24</f>
        <v/>
      </c>
      <c r="AD255" s="42">
        <f>(AD252-AD253)*$H$24</f>
        <v/>
      </c>
      <c r="AE255" s="42">
        <f>(AE252-AE253)*$H$24</f>
        <v/>
      </c>
      <c r="AF255" s="42">
        <f>(AF252-AF253)*$H$24</f>
        <v/>
      </c>
      <c r="AG255" s="42">
        <f>(AG252-AG253)*$H$24</f>
        <v/>
      </c>
      <c r="AH255" s="42">
        <f>(AH252-AH253)*$H$24</f>
        <v/>
      </c>
      <c r="AI255" s="42">
        <f>(AI252-AI253)*$H$24</f>
        <v/>
      </c>
      <c r="AJ255" s="42">
        <f>(AJ252-AJ253)*$H$24</f>
        <v/>
      </c>
      <c r="AK255" s="42">
        <f>(AK252-AK253)*$H$24</f>
        <v/>
      </c>
      <c r="AL255" s="42">
        <f>(AL252-AL253)*$H$24</f>
        <v/>
      </c>
      <c r="AM255" s="42">
        <f>(AM252-AM253)*$H$24</f>
        <v/>
      </c>
      <c r="AN255" s="42">
        <f>(AN252-AN253)*$H$24</f>
        <v/>
      </c>
      <c r="AO255" s="42">
        <f>(AO252-AO253)*$H$24</f>
        <v/>
      </c>
      <c r="AP255" s="42">
        <f>(AP252-AP253)*$H$24</f>
        <v/>
      </c>
      <c r="AQ255" s="42">
        <f>(AQ252-AQ253)*$H$24</f>
        <v/>
      </c>
      <c r="AR255" s="42">
        <f>(AR252-AR253)*$H$24</f>
        <v/>
      </c>
      <c r="AS255" s="42">
        <f>(AS252-AS253)*$H$24</f>
        <v/>
      </c>
      <c r="AT255" s="42">
        <f>(AT252-AT253)*$H$24</f>
        <v/>
      </c>
      <c r="AU255" s="42">
        <f>(AU252-AU253)*$H$24</f>
        <v/>
      </c>
      <c r="AV255" s="42">
        <f>(AV252-AV253)*$H$24</f>
        <v/>
      </c>
      <c r="AW255" s="42">
        <f>(AW252-AW253)*$H$24</f>
        <v/>
      </c>
      <c r="AX255" s="42">
        <f>(AX252-AX253)*$H$24</f>
        <v/>
      </c>
      <c r="AY255" s="42">
        <f>(AY252-AY253)*$H$24</f>
        <v/>
      </c>
      <c r="AZ255" s="42">
        <f>(AZ252-AZ253)*$H$24</f>
        <v/>
      </c>
      <c r="BA255" s="42">
        <f>(BA252-BA253)*$H$24</f>
        <v/>
      </c>
      <c r="BB255" s="42">
        <f>(BB252-BB253)*$H$24</f>
        <v/>
      </c>
      <c r="BC255" s="42">
        <f>(BC252-BC253)*$H$24</f>
        <v/>
      </c>
      <c r="BD255" s="42">
        <f>(BD252-BD253)*$H$24</f>
        <v/>
      </c>
    </row>
    <row r="256">
      <c r="A256" s="26" t="inlineStr">
        <is>
          <t xml:space="preserve">   leaves the store (offered - returned)</t>
        </is>
      </c>
      <c r="B256" s="2" t="inlineStr">
        <is>
          <t>lb</t>
        </is>
      </c>
      <c r="E256" s="42">
        <f>E252-E255</f>
        <v/>
      </c>
      <c r="F256" s="42">
        <f>F252-F255</f>
        <v/>
      </c>
      <c r="G256" s="42">
        <f>G252-G255</f>
        <v/>
      </c>
      <c r="H256" s="42">
        <f>H252-H255</f>
        <v/>
      </c>
      <c r="I256" s="42">
        <f>I252-I255</f>
        <v/>
      </c>
      <c r="J256" s="42">
        <f>J252-J255</f>
        <v/>
      </c>
      <c r="K256" s="42">
        <f>K252-K255</f>
        <v/>
      </c>
      <c r="L256" s="42">
        <f>L252-L255</f>
        <v/>
      </c>
      <c r="M256" s="42">
        <f>M252-M255</f>
        <v/>
      </c>
      <c r="N256" s="42">
        <f>N252-N255</f>
        <v/>
      </c>
      <c r="O256" s="42">
        <f>O252-O255</f>
        <v/>
      </c>
      <c r="P256" s="42">
        <f>P252-P255</f>
        <v/>
      </c>
      <c r="Q256" s="42">
        <f>Q252-Q255</f>
        <v/>
      </c>
      <c r="R256" s="42">
        <f>R252-R255</f>
        <v/>
      </c>
      <c r="S256" s="42">
        <f>S252-S255</f>
        <v/>
      </c>
      <c r="T256" s="42">
        <f>T252-T255</f>
        <v/>
      </c>
      <c r="U256" s="42">
        <f>U252-U255</f>
        <v/>
      </c>
      <c r="V256" s="42">
        <f>V252-V255</f>
        <v/>
      </c>
      <c r="W256" s="42">
        <f>W252-W255</f>
        <v/>
      </c>
      <c r="X256" s="42">
        <f>X252-X255</f>
        <v/>
      </c>
      <c r="Y256" s="42">
        <f>Y252-Y255</f>
        <v/>
      </c>
      <c r="Z256" s="42">
        <f>Z252-Z255</f>
        <v/>
      </c>
      <c r="AA256" s="42">
        <f>AA252-AA255</f>
        <v/>
      </c>
      <c r="AB256" s="42">
        <f>AB252-AB255</f>
        <v/>
      </c>
      <c r="AC256" s="42">
        <f>AC252-AC255</f>
        <v/>
      </c>
      <c r="AD256" s="42">
        <f>AD252-AD255</f>
        <v/>
      </c>
      <c r="AE256" s="42">
        <f>AE252-AE255</f>
        <v/>
      </c>
      <c r="AF256" s="42">
        <f>AF252-AF255</f>
        <v/>
      </c>
      <c r="AG256" s="42">
        <f>AG252-AG255</f>
        <v/>
      </c>
      <c r="AH256" s="42">
        <f>AH252-AH255</f>
        <v/>
      </c>
      <c r="AI256" s="42">
        <f>AI252-AI255</f>
        <v/>
      </c>
      <c r="AJ256" s="42">
        <f>AJ252-AJ255</f>
        <v/>
      </c>
      <c r="AK256" s="42">
        <f>AK252-AK255</f>
        <v/>
      </c>
      <c r="AL256" s="42">
        <f>AL252-AL255</f>
        <v/>
      </c>
      <c r="AM256" s="42">
        <f>AM252-AM255</f>
        <v/>
      </c>
      <c r="AN256" s="42">
        <f>AN252-AN255</f>
        <v/>
      </c>
      <c r="AO256" s="42">
        <f>AO252-AO255</f>
        <v/>
      </c>
      <c r="AP256" s="42">
        <f>AP252-AP255</f>
        <v/>
      </c>
      <c r="AQ256" s="42">
        <f>AQ252-AQ255</f>
        <v/>
      </c>
      <c r="AR256" s="42">
        <f>AR252-AR255</f>
        <v/>
      </c>
      <c r="AS256" s="42">
        <f>AS252-AS255</f>
        <v/>
      </c>
      <c r="AT256" s="42">
        <f>AT252-AT255</f>
        <v/>
      </c>
      <c r="AU256" s="42">
        <f>AU252-AU255</f>
        <v/>
      </c>
      <c r="AV256" s="42">
        <f>AV252-AV255</f>
        <v/>
      </c>
      <c r="AW256" s="42">
        <f>AW252-AW255</f>
        <v/>
      </c>
      <c r="AX256" s="42">
        <f>AX252-AX255</f>
        <v/>
      </c>
      <c r="AY256" s="42">
        <f>AY252-AY255</f>
        <v/>
      </c>
      <c r="AZ256" s="42">
        <f>AZ252-AZ255</f>
        <v/>
      </c>
      <c r="BA256" s="42">
        <f>BA252-BA255</f>
        <v/>
      </c>
      <c r="BB256" s="42">
        <f>BB252-BB255</f>
        <v/>
      </c>
      <c r="BC256" s="42">
        <f>BC252-BC255</f>
        <v/>
      </c>
      <c r="BD256" s="42">
        <f>BD252-BD255</f>
        <v/>
      </c>
    </row>
    <row r="257">
      <c r="A257" s="4" t="inlineStr">
        <is>
          <t>Stock carried out</t>
        </is>
      </c>
      <c r="B257" s="2" t="inlineStr">
        <is>
          <t>lb</t>
        </is>
      </c>
      <c r="E257" s="42">
        <f>E244-E250-E256</f>
        <v/>
      </c>
      <c r="F257" s="42">
        <f>F244-F250-F256</f>
        <v/>
      </c>
      <c r="G257" s="42">
        <f>G244-G250-G256</f>
        <v/>
      </c>
      <c r="H257" s="42">
        <f>H244-H250-H256</f>
        <v/>
      </c>
      <c r="I257" s="42">
        <f>I244-I250-I256</f>
        <v/>
      </c>
      <c r="J257" s="42">
        <f>J244-J250-J256</f>
        <v/>
      </c>
      <c r="K257" s="42">
        <f>K244-K250-K256</f>
        <v/>
      </c>
      <c r="L257" s="42">
        <f>L244-L250-L256</f>
        <v/>
      </c>
      <c r="M257" s="42">
        <f>M244-M250-M256</f>
        <v/>
      </c>
      <c r="N257" s="42">
        <f>N244-N250-N256</f>
        <v/>
      </c>
      <c r="O257" s="42">
        <f>O244-O250-O256</f>
        <v/>
      </c>
      <c r="P257" s="42">
        <f>P244-P250-P256</f>
        <v/>
      </c>
      <c r="Q257" s="42">
        <f>Q244-Q250-Q256</f>
        <v/>
      </c>
      <c r="R257" s="42">
        <f>R244-R250-R256</f>
        <v/>
      </c>
      <c r="S257" s="42">
        <f>S244-S250-S256</f>
        <v/>
      </c>
      <c r="T257" s="42">
        <f>T244-T250-T256</f>
        <v/>
      </c>
      <c r="U257" s="42">
        <f>U244-U250-U256</f>
        <v/>
      </c>
      <c r="V257" s="42">
        <f>V244-V250-V256</f>
        <v/>
      </c>
      <c r="W257" s="42">
        <f>W244-W250-W256</f>
        <v/>
      </c>
      <c r="X257" s="42">
        <f>X244-X250-X256</f>
        <v/>
      </c>
      <c r="Y257" s="42">
        <f>Y244-Y250-Y256</f>
        <v/>
      </c>
      <c r="Z257" s="42">
        <f>Z244-Z250-Z256</f>
        <v/>
      </c>
      <c r="AA257" s="42">
        <f>AA244-AA250-AA256</f>
        <v/>
      </c>
      <c r="AB257" s="42">
        <f>AB244-AB250-AB256</f>
        <v/>
      </c>
      <c r="AC257" s="42">
        <f>AC244-AC250-AC256</f>
        <v/>
      </c>
      <c r="AD257" s="42">
        <f>AD244-AD250-AD256</f>
        <v/>
      </c>
      <c r="AE257" s="42">
        <f>AE244-AE250-AE256</f>
        <v/>
      </c>
      <c r="AF257" s="42">
        <f>AF244-AF250-AF256</f>
        <v/>
      </c>
      <c r="AG257" s="42">
        <f>AG244-AG250-AG256</f>
        <v/>
      </c>
      <c r="AH257" s="42">
        <f>AH244-AH250-AH256</f>
        <v/>
      </c>
      <c r="AI257" s="42">
        <f>AI244-AI250-AI256</f>
        <v/>
      </c>
      <c r="AJ257" s="42">
        <f>AJ244-AJ250-AJ256</f>
        <v/>
      </c>
      <c r="AK257" s="42">
        <f>AK244-AK250-AK256</f>
        <v/>
      </c>
      <c r="AL257" s="42">
        <f>AL244-AL250-AL256</f>
        <v/>
      </c>
      <c r="AM257" s="42">
        <f>AM244-AM250-AM256</f>
        <v/>
      </c>
      <c r="AN257" s="42">
        <f>AN244-AN250-AN256</f>
        <v/>
      </c>
      <c r="AO257" s="42">
        <f>AO244-AO250-AO256</f>
        <v/>
      </c>
      <c r="AP257" s="42">
        <f>AP244-AP250-AP256</f>
        <v/>
      </c>
      <c r="AQ257" s="42">
        <f>AQ244-AQ250-AQ256</f>
        <v/>
      </c>
      <c r="AR257" s="42">
        <f>AR244-AR250-AR256</f>
        <v/>
      </c>
      <c r="AS257" s="42">
        <f>AS244-AS250-AS256</f>
        <v/>
      </c>
      <c r="AT257" s="42">
        <f>AT244-AT250-AT256</f>
        <v/>
      </c>
      <c r="AU257" s="42">
        <f>AU244-AU250-AU256</f>
        <v/>
      </c>
      <c r="AV257" s="42">
        <f>AV244-AV250-AV256</f>
        <v/>
      </c>
      <c r="AW257" s="42">
        <f>AW244-AW250-AW256</f>
        <v/>
      </c>
      <c r="AX257" s="42">
        <f>AX244-AX250-AX256</f>
        <v/>
      </c>
      <c r="AY257" s="42">
        <f>AY244-AY250-AY256</f>
        <v/>
      </c>
      <c r="AZ257" s="42">
        <f>AZ244-AZ250-AZ256</f>
        <v/>
      </c>
      <c r="BA257" s="42">
        <f>BA244-BA250-BA256</f>
        <v/>
      </c>
      <c r="BB257" s="42">
        <f>BB244-BB250-BB256</f>
        <v/>
      </c>
      <c r="BC257" s="42">
        <f>BC244-BC250-BC256</f>
        <v/>
      </c>
      <c r="BD257" s="42">
        <f>BD244-BD250-BD256</f>
        <v/>
      </c>
    </row>
    <row r="258">
      <c r="A258" s="2" t="inlineStr">
        <is>
          <t xml:space="preserve">   ^ subtracts what LEAVES, not what was offered — so 'returned to store' is</t>
        </is>
      </c>
    </row>
    <row r="259">
      <c r="A259" s="2" t="inlineStr">
        <is>
          <t xml:space="preserve">     never taken out at all, and shows up as next week's carried in.</t>
        </is>
      </c>
    </row>
    <row r="260">
      <c r="A260" s="26" t="inlineStr">
        <is>
          <t>Most stock its shelf life allows</t>
        </is>
      </c>
      <c r="B260" s="2" t="inlineStr">
        <is>
          <t>lb</t>
        </is>
      </c>
      <c r="E260" s="42">
        <f>SUMPRODUCT(($E$240:$BD$240&gt;=1-$F$14+2)*($E$240:$BD$240&lt;=1)*$E$241:$BD$241*POWER(1-$G$14,($E$240:$BD$240&lt;=1)*(1-$E$240:$BD$240)))</f>
        <v/>
      </c>
      <c r="F260" s="42">
        <f>SUMPRODUCT(($E$240:$BD$240&gt;=2-$F$14+2)*($E$240:$BD$240&lt;=2)*$E$241:$BD$241*POWER(1-$G$14,($E$240:$BD$240&lt;=2)*(2-$E$240:$BD$240)))</f>
        <v/>
      </c>
      <c r="G260" s="42">
        <f>SUMPRODUCT(($E$240:$BD$240&gt;=3-$F$14+2)*($E$240:$BD$240&lt;=3)*$E$241:$BD$241*POWER(1-$G$14,($E$240:$BD$240&lt;=3)*(3-$E$240:$BD$240)))</f>
        <v/>
      </c>
      <c r="H260" s="42">
        <f>SUMPRODUCT(($E$240:$BD$240&gt;=4-$F$14+2)*($E$240:$BD$240&lt;=4)*$E$241:$BD$241*POWER(1-$G$14,($E$240:$BD$240&lt;=4)*(4-$E$240:$BD$240)))</f>
        <v/>
      </c>
      <c r="I260" s="42">
        <f>SUMPRODUCT(($E$240:$BD$240&gt;=5-$F$14+2)*($E$240:$BD$240&lt;=5)*$E$241:$BD$241*POWER(1-$G$14,($E$240:$BD$240&lt;=5)*(5-$E$240:$BD$240)))</f>
        <v/>
      </c>
      <c r="J260" s="42">
        <f>SUMPRODUCT(($E$240:$BD$240&gt;=6-$F$14+2)*($E$240:$BD$240&lt;=6)*$E$241:$BD$241*POWER(1-$G$14,($E$240:$BD$240&lt;=6)*(6-$E$240:$BD$240)))</f>
        <v/>
      </c>
      <c r="K260" s="42">
        <f>SUMPRODUCT(($E$240:$BD$240&gt;=7-$F$14+2)*($E$240:$BD$240&lt;=7)*$E$241:$BD$241*POWER(1-$G$14,($E$240:$BD$240&lt;=7)*(7-$E$240:$BD$240)))</f>
        <v/>
      </c>
      <c r="L260" s="42">
        <f>SUMPRODUCT(($E$240:$BD$240&gt;=8-$F$14+2)*($E$240:$BD$240&lt;=8)*$E$241:$BD$241*POWER(1-$G$14,($E$240:$BD$240&lt;=8)*(8-$E$240:$BD$240)))</f>
        <v/>
      </c>
      <c r="M260" s="42">
        <f>SUMPRODUCT(($E$240:$BD$240&gt;=9-$F$14+2)*($E$240:$BD$240&lt;=9)*$E$241:$BD$241*POWER(1-$G$14,($E$240:$BD$240&lt;=9)*(9-$E$240:$BD$240)))</f>
        <v/>
      </c>
      <c r="N260" s="42">
        <f>SUMPRODUCT(($E$240:$BD$240&gt;=10-$F$14+2)*($E$240:$BD$240&lt;=10)*$E$241:$BD$241*POWER(1-$G$14,($E$240:$BD$240&lt;=10)*(10-$E$240:$BD$240)))</f>
        <v/>
      </c>
      <c r="O260" s="42">
        <f>SUMPRODUCT(($E$240:$BD$240&gt;=11-$F$14+2)*($E$240:$BD$240&lt;=11)*$E$241:$BD$241*POWER(1-$G$14,($E$240:$BD$240&lt;=11)*(11-$E$240:$BD$240)))</f>
        <v/>
      </c>
      <c r="P260" s="42">
        <f>SUMPRODUCT(($E$240:$BD$240&gt;=12-$F$14+2)*($E$240:$BD$240&lt;=12)*$E$241:$BD$241*POWER(1-$G$14,($E$240:$BD$240&lt;=12)*(12-$E$240:$BD$240)))</f>
        <v/>
      </c>
      <c r="Q260" s="42">
        <f>SUMPRODUCT(($E$240:$BD$240&gt;=13-$F$14+2)*($E$240:$BD$240&lt;=13)*$E$241:$BD$241*POWER(1-$G$14,($E$240:$BD$240&lt;=13)*(13-$E$240:$BD$240)))</f>
        <v/>
      </c>
      <c r="R260" s="42">
        <f>SUMPRODUCT(($E$240:$BD$240&gt;=14-$F$14+2)*($E$240:$BD$240&lt;=14)*$E$241:$BD$241*POWER(1-$G$14,($E$240:$BD$240&lt;=14)*(14-$E$240:$BD$240)))</f>
        <v/>
      </c>
      <c r="S260" s="42">
        <f>SUMPRODUCT(($E$240:$BD$240&gt;=15-$F$14+2)*($E$240:$BD$240&lt;=15)*$E$241:$BD$241*POWER(1-$G$14,($E$240:$BD$240&lt;=15)*(15-$E$240:$BD$240)))</f>
        <v/>
      </c>
      <c r="T260" s="42">
        <f>SUMPRODUCT(($E$240:$BD$240&gt;=16-$F$14+2)*($E$240:$BD$240&lt;=16)*$E$241:$BD$241*POWER(1-$G$14,($E$240:$BD$240&lt;=16)*(16-$E$240:$BD$240)))</f>
        <v/>
      </c>
      <c r="U260" s="42">
        <f>SUMPRODUCT(($E$240:$BD$240&gt;=17-$F$14+2)*($E$240:$BD$240&lt;=17)*$E$241:$BD$241*POWER(1-$G$14,($E$240:$BD$240&lt;=17)*(17-$E$240:$BD$240)))</f>
        <v/>
      </c>
      <c r="V260" s="42">
        <f>SUMPRODUCT(($E$240:$BD$240&gt;=18-$F$14+2)*($E$240:$BD$240&lt;=18)*$E$241:$BD$241*POWER(1-$G$14,($E$240:$BD$240&lt;=18)*(18-$E$240:$BD$240)))</f>
        <v/>
      </c>
      <c r="W260" s="42">
        <f>SUMPRODUCT(($E$240:$BD$240&gt;=19-$F$14+2)*($E$240:$BD$240&lt;=19)*$E$241:$BD$241*POWER(1-$G$14,($E$240:$BD$240&lt;=19)*(19-$E$240:$BD$240)))</f>
        <v/>
      </c>
      <c r="X260" s="42">
        <f>SUMPRODUCT(($E$240:$BD$240&gt;=20-$F$14+2)*($E$240:$BD$240&lt;=20)*$E$241:$BD$241*POWER(1-$G$14,($E$240:$BD$240&lt;=20)*(20-$E$240:$BD$240)))</f>
        <v/>
      </c>
      <c r="Y260" s="42">
        <f>SUMPRODUCT(($E$240:$BD$240&gt;=21-$F$14+2)*($E$240:$BD$240&lt;=21)*$E$241:$BD$241*POWER(1-$G$14,($E$240:$BD$240&lt;=21)*(21-$E$240:$BD$240)))</f>
        <v/>
      </c>
      <c r="Z260" s="42">
        <f>SUMPRODUCT(($E$240:$BD$240&gt;=22-$F$14+2)*($E$240:$BD$240&lt;=22)*$E$241:$BD$241*POWER(1-$G$14,($E$240:$BD$240&lt;=22)*(22-$E$240:$BD$240)))</f>
        <v/>
      </c>
      <c r="AA260" s="42">
        <f>SUMPRODUCT(($E$240:$BD$240&gt;=23-$F$14+2)*($E$240:$BD$240&lt;=23)*$E$241:$BD$241*POWER(1-$G$14,($E$240:$BD$240&lt;=23)*(23-$E$240:$BD$240)))</f>
        <v/>
      </c>
      <c r="AB260" s="42">
        <f>SUMPRODUCT(($E$240:$BD$240&gt;=24-$F$14+2)*($E$240:$BD$240&lt;=24)*$E$241:$BD$241*POWER(1-$G$14,($E$240:$BD$240&lt;=24)*(24-$E$240:$BD$240)))</f>
        <v/>
      </c>
      <c r="AC260" s="42">
        <f>SUMPRODUCT(($E$240:$BD$240&gt;=25-$F$14+2)*($E$240:$BD$240&lt;=25)*$E$241:$BD$241*POWER(1-$G$14,($E$240:$BD$240&lt;=25)*(25-$E$240:$BD$240)))</f>
        <v/>
      </c>
      <c r="AD260" s="42">
        <f>SUMPRODUCT(($E$240:$BD$240&gt;=26-$F$14+2)*($E$240:$BD$240&lt;=26)*$E$241:$BD$241*POWER(1-$G$14,($E$240:$BD$240&lt;=26)*(26-$E$240:$BD$240)))</f>
        <v/>
      </c>
      <c r="AE260" s="42">
        <f>SUMPRODUCT(($E$240:$BD$240&gt;=27-$F$14+2)*($E$240:$BD$240&lt;=27)*$E$241:$BD$241*POWER(1-$G$14,($E$240:$BD$240&lt;=27)*(27-$E$240:$BD$240)))</f>
        <v/>
      </c>
      <c r="AF260" s="42">
        <f>SUMPRODUCT(($E$240:$BD$240&gt;=28-$F$14+2)*($E$240:$BD$240&lt;=28)*$E$241:$BD$241*POWER(1-$G$14,($E$240:$BD$240&lt;=28)*(28-$E$240:$BD$240)))</f>
        <v/>
      </c>
      <c r="AG260" s="42">
        <f>SUMPRODUCT(($E$240:$BD$240&gt;=29-$F$14+2)*($E$240:$BD$240&lt;=29)*$E$241:$BD$241*POWER(1-$G$14,($E$240:$BD$240&lt;=29)*(29-$E$240:$BD$240)))</f>
        <v/>
      </c>
      <c r="AH260" s="42">
        <f>SUMPRODUCT(($E$240:$BD$240&gt;=30-$F$14+2)*($E$240:$BD$240&lt;=30)*$E$241:$BD$241*POWER(1-$G$14,($E$240:$BD$240&lt;=30)*(30-$E$240:$BD$240)))</f>
        <v/>
      </c>
      <c r="AI260" s="42">
        <f>SUMPRODUCT(($E$240:$BD$240&gt;=31-$F$14+2)*($E$240:$BD$240&lt;=31)*$E$241:$BD$241*POWER(1-$G$14,($E$240:$BD$240&lt;=31)*(31-$E$240:$BD$240)))</f>
        <v/>
      </c>
      <c r="AJ260" s="42">
        <f>SUMPRODUCT(($E$240:$BD$240&gt;=32-$F$14+2)*($E$240:$BD$240&lt;=32)*$E$241:$BD$241*POWER(1-$G$14,($E$240:$BD$240&lt;=32)*(32-$E$240:$BD$240)))</f>
        <v/>
      </c>
      <c r="AK260" s="42">
        <f>SUMPRODUCT(($E$240:$BD$240&gt;=33-$F$14+2)*($E$240:$BD$240&lt;=33)*$E$241:$BD$241*POWER(1-$G$14,($E$240:$BD$240&lt;=33)*(33-$E$240:$BD$240)))</f>
        <v/>
      </c>
      <c r="AL260" s="42">
        <f>SUMPRODUCT(($E$240:$BD$240&gt;=34-$F$14+2)*($E$240:$BD$240&lt;=34)*$E$241:$BD$241*POWER(1-$G$14,($E$240:$BD$240&lt;=34)*(34-$E$240:$BD$240)))</f>
        <v/>
      </c>
      <c r="AM260" s="42">
        <f>SUMPRODUCT(($E$240:$BD$240&gt;=35-$F$14+2)*($E$240:$BD$240&lt;=35)*$E$241:$BD$241*POWER(1-$G$14,($E$240:$BD$240&lt;=35)*(35-$E$240:$BD$240)))</f>
        <v/>
      </c>
      <c r="AN260" s="42">
        <f>SUMPRODUCT(($E$240:$BD$240&gt;=36-$F$14+2)*($E$240:$BD$240&lt;=36)*$E$241:$BD$241*POWER(1-$G$14,($E$240:$BD$240&lt;=36)*(36-$E$240:$BD$240)))</f>
        <v/>
      </c>
      <c r="AO260" s="42">
        <f>SUMPRODUCT(($E$240:$BD$240&gt;=37-$F$14+2)*($E$240:$BD$240&lt;=37)*$E$241:$BD$241*POWER(1-$G$14,($E$240:$BD$240&lt;=37)*(37-$E$240:$BD$240)))</f>
        <v/>
      </c>
      <c r="AP260" s="42">
        <f>SUMPRODUCT(($E$240:$BD$240&gt;=38-$F$14+2)*($E$240:$BD$240&lt;=38)*$E$241:$BD$241*POWER(1-$G$14,($E$240:$BD$240&lt;=38)*(38-$E$240:$BD$240)))</f>
        <v/>
      </c>
      <c r="AQ260" s="42">
        <f>SUMPRODUCT(($E$240:$BD$240&gt;=39-$F$14+2)*($E$240:$BD$240&lt;=39)*$E$241:$BD$241*POWER(1-$G$14,($E$240:$BD$240&lt;=39)*(39-$E$240:$BD$240)))</f>
        <v/>
      </c>
      <c r="AR260" s="42">
        <f>SUMPRODUCT(($E$240:$BD$240&gt;=40-$F$14+2)*($E$240:$BD$240&lt;=40)*$E$241:$BD$241*POWER(1-$G$14,($E$240:$BD$240&lt;=40)*(40-$E$240:$BD$240)))</f>
        <v/>
      </c>
      <c r="AS260" s="42">
        <f>SUMPRODUCT(($E$240:$BD$240&gt;=41-$F$14+2)*($E$240:$BD$240&lt;=41)*$E$241:$BD$241*POWER(1-$G$14,($E$240:$BD$240&lt;=41)*(41-$E$240:$BD$240)))</f>
        <v/>
      </c>
      <c r="AT260" s="42">
        <f>SUMPRODUCT(($E$240:$BD$240&gt;=42-$F$14+2)*($E$240:$BD$240&lt;=42)*$E$241:$BD$241*POWER(1-$G$14,($E$240:$BD$240&lt;=42)*(42-$E$240:$BD$240)))</f>
        <v/>
      </c>
      <c r="AU260" s="42">
        <f>SUMPRODUCT(($E$240:$BD$240&gt;=43-$F$14+2)*($E$240:$BD$240&lt;=43)*$E$241:$BD$241*POWER(1-$G$14,($E$240:$BD$240&lt;=43)*(43-$E$240:$BD$240)))</f>
        <v/>
      </c>
      <c r="AV260" s="42">
        <f>SUMPRODUCT(($E$240:$BD$240&gt;=44-$F$14+2)*($E$240:$BD$240&lt;=44)*$E$241:$BD$241*POWER(1-$G$14,($E$240:$BD$240&lt;=44)*(44-$E$240:$BD$240)))</f>
        <v/>
      </c>
      <c r="AW260" s="42">
        <f>SUMPRODUCT(($E$240:$BD$240&gt;=45-$F$14+2)*($E$240:$BD$240&lt;=45)*$E$241:$BD$241*POWER(1-$G$14,($E$240:$BD$240&lt;=45)*(45-$E$240:$BD$240)))</f>
        <v/>
      </c>
      <c r="AX260" s="42">
        <f>SUMPRODUCT(($E$240:$BD$240&gt;=46-$F$14+2)*($E$240:$BD$240&lt;=46)*$E$241:$BD$241*POWER(1-$G$14,($E$240:$BD$240&lt;=46)*(46-$E$240:$BD$240)))</f>
        <v/>
      </c>
      <c r="AY260" s="42">
        <f>SUMPRODUCT(($E$240:$BD$240&gt;=47-$F$14+2)*($E$240:$BD$240&lt;=47)*$E$241:$BD$241*POWER(1-$G$14,($E$240:$BD$240&lt;=47)*(47-$E$240:$BD$240)))</f>
        <v/>
      </c>
      <c r="AZ260" s="42">
        <f>SUMPRODUCT(($E$240:$BD$240&gt;=48-$F$14+2)*($E$240:$BD$240&lt;=48)*$E$241:$BD$241*POWER(1-$G$14,($E$240:$BD$240&lt;=48)*(48-$E$240:$BD$240)))</f>
        <v/>
      </c>
      <c r="BA260" s="42">
        <f>SUMPRODUCT(($E$240:$BD$240&gt;=49-$F$14+2)*($E$240:$BD$240&lt;=49)*$E$241:$BD$241*POWER(1-$G$14,($E$240:$BD$240&lt;=49)*(49-$E$240:$BD$240)))</f>
        <v/>
      </c>
      <c r="BB260" s="42">
        <f>SUMPRODUCT(($E$240:$BD$240&gt;=50-$F$14+2)*($E$240:$BD$240&lt;=50)*$E$241:$BD$241*POWER(1-$G$14,($E$240:$BD$240&lt;=50)*(50-$E$240:$BD$240)))</f>
        <v/>
      </c>
      <c r="BC260" s="42">
        <f>SUMPRODUCT(($E$240:$BD$240&gt;=51-$F$14+2)*($E$240:$BD$240&lt;=51)*$E$241:$BD$241*POWER(1-$G$14,($E$240:$BD$240&lt;=51)*(51-$E$240:$BD$240)))</f>
        <v/>
      </c>
      <c r="BD260" s="42">
        <f>SUMPRODUCT(($E$240:$BD$240&gt;=52-$F$14+2)*($E$240:$BD$240&lt;=52)*$E$241:$BD$241*POWER(1-$G$14,($E$240:$BD$240&lt;=52)*(52-$E$240:$BD$240)))</f>
        <v/>
      </c>
    </row>
    <row r="261">
      <c r="A261" s="2" t="inlineStr">
        <is>
          <t xml:space="preserve">   Stock carried out must stay at or below this row.</t>
        </is>
      </c>
    </row>
    <row r="262">
      <c r="A262" s="26" t="inlineStr">
        <is>
          <t>Growing cost this week</t>
        </is>
      </c>
      <c r="B262" s="2" t="inlineStr">
        <is>
          <t>$</t>
        </is>
      </c>
      <c r="E262" s="42">
        <f>SUMPRODUCT(($B$58:$B$125="Garlic")*(E$58:E$125="P")*$C$58:$C$125)*$K$14+SUMPRODUCT(($B$58:$B$125="Garlic")*(E$58:E$125="G")*$C$58:$C$125)*$L$14+SUMPRODUCT(($B$58:$B$125="Garlic")*(E$58:E$125="H")*$C$58:$C$125)*$M$14+SUMPRODUCT(($B$58:$B$125="Garlic")*($BG$58:$BG$125=1)*$C$58:$C$125)*$H$14</f>
        <v/>
      </c>
      <c r="F262" s="42">
        <f>SUMPRODUCT(($B$58:$B$125="Garlic")*(F$58:F$125="P")*$C$58:$C$125)*$K$14+SUMPRODUCT(($B$58:$B$125="Garlic")*(F$58:F$125="G")*$C$58:$C$125)*$L$14+SUMPRODUCT(($B$58:$B$125="Garlic")*(F$58:F$125="H")*$C$58:$C$125)*$M$14+SUMPRODUCT(($B$58:$B$125="Garlic")*($BG$58:$BG$125=2)*$C$58:$C$125)*$H$14</f>
        <v/>
      </c>
      <c r="G262" s="42">
        <f>SUMPRODUCT(($B$58:$B$125="Garlic")*(G$58:G$125="P")*$C$58:$C$125)*$K$14+SUMPRODUCT(($B$58:$B$125="Garlic")*(G$58:G$125="G")*$C$58:$C$125)*$L$14+SUMPRODUCT(($B$58:$B$125="Garlic")*(G$58:G$125="H")*$C$58:$C$125)*$M$14+SUMPRODUCT(($B$58:$B$125="Garlic")*($BG$58:$BG$125=3)*$C$58:$C$125)*$H$14</f>
        <v/>
      </c>
      <c r="H262" s="42">
        <f>SUMPRODUCT(($B$58:$B$125="Garlic")*(H$58:H$125="P")*$C$58:$C$125)*$K$14+SUMPRODUCT(($B$58:$B$125="Garlic")*(H$58:H$125="G")*$C$58:$C$125)*$L$14+SUMPRODUCT(($B$58:$B$125="Garlic")*(H$58:H$125="H")*$C$58:$C$125)*$M$14+SUMPRODUCT(($B$58:$B$125="Garlic")*($BG$58:$BG$125=4)*$C$58:$C$125)*$H$14</f>
        <v/>
      </c>
      <c r="I262" s="42">
        <f>SUMPRODUCT(($B$58:$B$125="Garlic")*(I$58:I$125="P")*$C$58:$C$125)*$K$14+SUMPRODUCT(($B$58:$B$125="Garlic")*(I$58:I$125="G")*$C$58:$C$125)*$L$14+SUMPRODUCT(($B$58:$B$125="Garlic")*(I$58:I$125="H")*$C$58:$C$125)*$M$14+SUMPRODUCT(($B$58:$B$125="Garlic")*($BG$58:$BG$125=5)*$C$58:$C$125)*$H$14</f>
        <v/>
      </c>
      <c r="J262" s="42">
        <f>SUMPRODUCT(($B$58:$B$125="Garlic")*(J$58:J$125="P")*$C$58:$C$125)*$K$14+SUMPRODUCT(($B$58:$B$125="Garlic")*(J$58:J$125="G")*$C$58:$C$125)*$L$14+SUMPRODUCT(($B$58:$B$125="Garlic")*(J$58:J$125="H")*$C$58:$C$125)*$M$14+SUMPRODUCT(($B$58:$B$125="Garlic")*($BG$58:$BG$125=6)*$C$58:$C$125)*$H$14</f>
        <v/>
      </c>
      <c r="K262" s="42">
        <f>SUMPRODUCT(($B$58:$B$125="Garlic")*(K$58:K$125="P")*$C$58:$C$125)*$K$14+SUMPRODUCT(($B$58:$B$125="Garlic")*(K$58:K$125="G")*$C$58:$C$125)*$L$14+SUMPRODUCT(($B$58:$B$125="Garlic")*(K$58:K$125="H")*$C$58:$C$125)*$M$14+SUMPRODUCT(($B$58:$B$125="Garlic")*($BG$58:$BG$125=7)*$C$58:$C$125)*$H$14</f>
        <v/>
      </c>
      <c r="L262" s="42">
        <f>SUMPRODUCT(($B$58:$B$125="Garlic")*(L$58:L$125="P")*$C$58:$C$125)*$K$14+SUMPRODUCT(($B$58:$B$125="Garlic")*(L$58:L$125="G")*$C$58:$C$125)*$L$14+SUMPRODUCT(($B$58:$B$125="Garlic")*(L$58:L$125="H")*$C$58:$C$125)*$M$14+SUMPRODUCT(($B$58:$B$125="Garlic")*($BG$58:$BG$125=8)*$C$58:$C$125)*$H$14</f>
        <v/>
      </c>
      <c r="M262" s="42">
        <f>SUMPRODUCT(($B$58:$B$125="Garlic")*(M$58:M$125="P")*$C$58:$C$125)*$K$14+SUMPRODUCT(($B$58:$B$125="Garlic")*(M$58:M$125="G")*$C$58:$C$125)*$L$14+SUMPRODUCT(($B$58:$B$125="Garlic")*(M$58:M$125="H")*$C$58:$C$125)*$M$14+SUMPRODUCT(($B$58:$B$125="Garlic")*($BG$58:$BG$125=9)*$C$58:$C$125)*$H$14</f>
        <v/>
      </c>
      <c r="N262" s="42">
        <f>SUMPRODUCT(($B$58:$B$125="Garlic")*(N$58:N$125="P")*$C$58:$C$125)*$K$14+SUMPRODUCT(($B$58:$B$125="Garlic")*(N$58:N$125="G")*$C$58:$C$125)*$L$14+SUMPRODUCT(($B$58:$B$125="Garlic")*(N$58:N$125="H")*$C$58:$C$125)*$M$14+SUMPRODUCT(($B$58:$B$125="Garlic")*($BG$58:$BG$125=10)*$C$58:$C$125)*$H$14</f>
        <v/>
      </c>
      <c r="O262" s="42">
        <f>SUMPRODUCT(($B$58:$B$125="Garlic")*(O$58:O$125="P")*$C$58:$C$125)*$K$14+SUMPRODUCT(($B$58:$B$125="Garlic")*(O$58:O$125="G")*$C$58:$C$125)*$L$14+SUMPRODUCT(($B$58:$B$125="Garlic")*(O$58:O$125="H")*$C$58:$C$125)*$M$14+SUMPRODUCT(($B$58:$B$125="Garlic")*($BG$58:$BG$125=11)*$C$58:$C$125)*$H$14</f>
        <v/>
      </c>
      <c r="P262" s="42">
        <f>SUMPRODUCT(($B$58:$B$125="Garlic")*(P$58:P$125="P")*$C$58:$C$125)*$K$14+SUMPRODUCT(($B$58:$B$125="Garlic")*(P$58:P$125="G")*$C$58:$C$125)*$L$14+SUMPRODUCT(($B$58:$B$125="Garlic")*(P$58:P$125="H")*$C$58:$C$125)*$M$14+SUMPRODUCT(($B$58:$B$125="Garlic")*($BG$58:$BG$125=12)*$C$58:$C$125)*$H$14</f>
        <v/>
      </c>
      <c r="Q262" s="42">
        <f>SUMPRODUCT(($B$58:$B$125="Garlic")*(Q$58:Q$125="P")*$C$58:$C$125)*$K$14+SUMPRODUCT(($B$58:$B$125="Garlic")*(Q$58:Q$125="G")*$C$58:$C$125)*$L$14+SUMPRODUCT(($B$58:$B$125="Garlic")*(Q$58:Q$125="H")*$C$58:$C$125)*$M$14+SUMPRODUCT(($B$58:$B$125="Garlic")*($BG$58:$BG$125=13)*$C$58:$C$125)*$H$14</f>
        <v/>
      </c>
      <c r="R262" s="42">
        <f>SUMPRODUCT(($B$58:$B$125="Garlic")*(R$58:R$125="P")*$C$58:$C$125)*$K$14+SUMPRODUCT(($B$58:$B$125="Garlic")*(R$58:R$125="G")*$C$58:$C$125)*$L$14+SUMPRODUCT(($B$58:$B$125="Garlic")*(R$58:R$125="H")*$C$58:$C$125)*$M$14+SUMPRODUCT(($B$58:$B$125="Garlic")*($BG$58:$BG$125=14)*$C$58:$C$125)*$H$14</f>
        <v/>
      </c>
      <c r="S262" s="42">
        <f>SUMPRODUCT(($B$58:$B$125="Garlic")*(S$58:S$125="P")*$C$58:$C$125)*$K$14+SUMPRODUCT(($B$58:$B$125="Garlic")*(S$58:S$125="G")*$C$58:$C$125)*$L$14+SUMPRODUCT(($B$58:$B$125="Garlic")*(S$58:S$125="H")*$C$58:$C$125)*$M$14+SUMPRODUCT(($B$58:$B$125="Garlic")*($BG$58:$BG$125=15)*$C$58:$C$125)*$H$14</f>
        <v/>
      </c>
      <c r="T262" s="42">
        <f>SUMPRODUCT(($B$58:$B$125="Garlic")*(T$58:T$125="P")*$C$58:$C$125)*$K$14+SUMPRODUCT(($B$58:$B$125="Garlic")*(T$58:T$125="G")*$C$58:$C$125)*$L$14+SUMPRODUCT(($B$58:$B$125="Garlic")*(T$58:T$125="H")*$C$58:$C$125)*$M$14+SUMPRODUCT(($B$58:$B$125="Garlic")*($BG$58:$BG$125=16)*$C$58:$C$125)*$H$14</f>
        <v/>
      </c>
      <c r="U262" s="42">
        <f>SUMPRODUCT(($B$58:$B$125="Garlic")*(U$58:U$125="P")*$C$58:$C$125)*$K$14+SUMPRODUCT(($B$58:$B$125="Garlic")*(U$58:U$125="G")*$C$58:$C$125)*$L$14+SUMPRODUCT(($B$58:$B$125="Garlic")*(U$58:U$125="H")*$C$58:$C$125)*$M$14+SUMPRODUCT(($B$58:$B$125="Garlic")*($BG$58:$BG$125=17)*$C$58:$C$125)*$H$14</f>
        <v/>
      </c>
      <c r="V262" s="42">
        <f>SUMPRODUCT(($B$58:$B$125="Garlic")*(V$58:V$125="P")*$C$58:$C$125)*$K$14+SUMPRODUCT(($B$58:$B$125="Garlic")*(V$58:V$125="G")*$C$58:$C$125)*$L$14+SUMPRODUCT(($B$58:$B$125="Garlic")*(V$58:V$125="H")*$C$58:$C$125)*$M$14+SUMPRODUCT(($B$58:$B$125="Garlic")*($BG$58:$BG$125=18)*$C$58:$C$125)*$H$14</f>
        <v/>
      </c>
      <c r="W262" s="42">
        <f>SUMPRODUCT(($B$58:$B$125="Garlic")*(W$58:W$125="P")*$C$58:$C$125)*$K$14+SUMPRODUCT(($B$58:$B$125="Garlic")*(W$58:W$125="G")*$C$58:$C$125)*$L$14+SUMPRODUCT(($B$58:$B$125="Garlic")*(W$58:W$125="H")*$C$58:$C$125)*$M$14+SUMPRODUCT(($B$58:$B$125="Garlic")*($BG$58:$BG$125=19)*$C$58:$C$125)*$H$14</f>
        <v/>
      </c>
      <c r="X262" s="42">
        <f>SUMPRODUCT(($B$58:$B$125="Garlic")*(X$58:X$125="P")*$C$58:$C$125)*$K$14+SUMPRODUCT(($B$58:$B$125="Garlic")*(X$58:X$125="G")*$C$58:$C$125)*$L$14+SUMPRODUCT(($B$58:$B$125="Garlic")*(X$58:X$125="H")*$C$58:$C$125)*$M$14+SUMPRODUCT(($B$58:$B$125="Garlic")*($BG$58:$BG$125=20)*$C$58:$C$125)*$H$14</f>
        <v/>
      </c>
      <c r="Y262" s="42">
        <f>SUMPRODUCT(($B$58:$B$125="Garlic")*(Y$58:Y$125="P")*$C$58:$C$125)*$K$14+SUMPRODUCT(($B$58:$B$125="Garlic")*(Y$58:Y$125="G")*$C$58:$C$125)*$L$14+SUMPRODUCT(($B$58:$B$125="Garlic")*(Y$58:Y$125="H")*$C$58:$C$125)*$M$14+SUMPRODUCT(($B$58:$B$125="Garlic")*($BG$58:$BG$125=21)*$C$58:$C$125)*$H$14</f>
        <v/>
      </c>
      <c r="Z262" s="42">
        <f>SUMPRODUCT(($B$58:$B$125="Garlic")*(Z$58:Z$125="P")*$C$58:$C$125)*$K$14+SUMPRODUCT(($B$58:$B$125="Garlic")*(Z$58:Z$125="G")*$C$58:$C$125)*$L$14+SUMPRODUCT(($B$58:$B$125="Garlic")*(Z$58:Z$125="H")*$C$58:$C$125)*$M$14+SUMPRODUCT(($B$58:$B$125="Garlic")*($BG$58:$BG$125=22)*$C$58:$C$125)*$H$14</f>
        <v/>
      </c>
      <c r="AA262" s="42">
        <f>SUMPRODUCT(($B$58:$B$125="Garlic")*(AA$58:AA$125="P")*$C$58:$C$125)*$K$14+SUMPRODUCT(($B$58:$B$125="Garlic")*(AA$58:AA$125="G")*$C$58:$C$125)*$L$14+SUMPRODUCT(($B$58:$B$125="Garlic")*(AA$58:AA$125="H")*$C$58:$C$125)*$M$14+SUMPRODUCT(($B$58:$B$125="Garlic")*($BG$58:$BG$125=23)*$C$58:$C$125)*$H$14</f>
        <v/>
      </c>
      <c r="AB262" s="42">
        <f>SUMPRODUCT(($B$58:$B$125="Garlic")*(AB$58:AB$125="P")*$C$58:$C$125)*$K$14+SUMPRODUCT(($B$58:$B$125="Garlic")*(AB$58:AB$125="G")*$C$58:$C$125)*$L$14+SUMPRODUCT(($B$58:$B$125="Garlic")*(AB$58:AB$125="H")*$C$58:$C$125)*$M$14+SUMPRODUCT(($B$58:$B$125="Garlic")*($BG$58:$BG$125=24)*$C$58:$C$125)*$H$14</f>
        <v/>
      </c>
      <c r="AC262" s="42">
        <f>SUMPRODUCT(($B$58:$B$125="Garlic")*(AC$58:AC$125="P")*$C$58:$C$125)*$K$14+SUMPRODUCT(($B$58:$B$125="Garlic")*(AC$58:AC$125="G")*$C$58:$C$125)*$L$14+SUMPRODUCT(($B$58:$B$125="Garlic")*(AC$58:AC$125="H")*$C$58:$C$125)*$M$14+SUMPRODUCT(($B$58:$B$125="Garlic")*($BG$58:$BG$125=25)*$C$58:$C$125)*$H$14</f>
        <v/>
      </c>
      <c r="AD262" s="42">
        <f>SUMPRODUCT(($B$58:$B$125="Garlic")*(AD$58:AD$125="P")*$C$58:$C$125)*$K$14+SUMPRODUCT(($B$58:$B$125="Garlic")*(AD$58:AD$125="G")*$C$58:$C$125)*$L$14+SUMPRODUCT(($B$58:$B$125="Garlic")*(AD$58:AD$125="H")*$C$58:$C$125)*$M$14+SUMPRODUCT(($B$58:$B$125="Garlic")*($BG$58:$BG$125=26)*$C$58:$C$125)*$H$14</f>
        <v/>
      </c>
      <c r="AE262" s="42">
        <f>SUMPRODUCT(($B$58:$B$125="Garlic")*(AE$58:AE$125="P")*$C$58:$C$125)*$K$14+SUMPRODUCT(($B$58:$B$125="Garlic")*(AE$58:AE$125="G")*$C$58:$C$125)*$L$14+SUMPRODUCT(($B$58:$B$125="Garlic")*(AE$58:AE$125="H")*$C$58:$C$125)*$M$14+SUMPRODUCT(($B$58:$B$125="Garlic")*($BG$58:$BG$125=27)*$C$58:$C$125)*$H$14</f>
        <v/>
      </c>
      <c r="AF262" s="42">
        <f>SUMPRODUCT(($B$58:$B$125="Garlic")*(AF$58:AF$125="P")*$C$58:$C$125)*$K$14+SUMPRODUCT(($B$58:$B$125="Garlic")*(AF$58:AF$125="G")*$C$58:$C$125)*$L$14+SUMPRODUCT(($B$58:$B$125="Garlic")*(AF$58:AF$125="H")*$C$58:$C$125)*$M$14+SUMPRODUCT(($B$58:$B$125="Garlic")*($BG$58:$BG$125=28)*$C$58:$C$125)*$H$14</f>
        <v/>
      </c>
      <c r="AG262" s="42">
        <f>SUMPRODUCT(($B$58:$B$125="Garlic")*(AG$58:AG$125="P")*$C$58:$C$125)*$K$14+SUMPRODUCT(($B$58:$B$125="Garlic")*(AG$58:AG$125="G")*$C$58:$C$125)*$L$14+SUMPRODUCT(($B$58:$B$125="Garlic")*(AG$58:AG$125="H")*$C$58:$C$125)*$M$14+SUMPRODUCT(($B$58:$B$125="Garlic")*($BG$58:$BG$125=29)*$C$58:$C$125)*$H$14</f>
        <v/>
      </c>
      <c r="AH262" s="42">
        <f>SUMPRODUCT(($B$58:$B$125="Garlic")*(AH$58:AH$125="P")*$C$58:$C$125)*$K$14+SUMPRODUCT(($B$58:$B$125="Garlic")*(AH$58:AH$125="G")*$C$58:$C$125)*$L$14+SUMPRODUCT(($B$58:$B$125="Garlic")*(AH$58:AH$125="H")*$C$58:$C$125)*$M$14+SUMPRODUCT(($B$58:$B$125="Garlic")*($BG$58:$BG$125=30)*$C$58:$C$125)*$H$14</f>
        <v/>
      </c>
      <c r="AI262" s="42">
        <f>SUMPRODUCT(($B$58:$B$125="Garlic")*(AI$58:AI$125="P")*$C$58:$C$125)*$K$14+SUMPRODUCT(($B$58:$B$125="Garlic")*(AI$58:AI$125="G")*$C$58:$C$125)*$L$14+SUMPRODUCT(($B$58:$B$125="Garlic")*(AI$58:AI$125="H")*$C$58:$C$125)*$M$14+SUMPRODUCT(($B$58:$B$125="Garlic")*($BG$58:$BG$125=31)*$C$58:$C$125)*$H$14</f>
        <v/>
      </c>
      <c r="AJ262" s="42">
        <f>SUMPRODUCT(($B$58:$B$125="Garlic")*(AJ$58:AJ$125="P")*$C$58:$C$125)*$K$14+SUMPRODUCT(($B$58:$B$125="Garlic")*(AJ$58:AJ$125="G")*$C$58:$C$125)*$L$14+SUMPRODUCT(($B$58:$B$125="Garlic")*(AJ$58:AJ$125="H")*$C$58:$C$125)*$M$14+SUMPRODUCT(($B$58:$B$125="Garlic")*($BG$58:$BG$125=32)*$C$58:$C$125)*$H$14</f>
        <v/>
      </c>
      <c r="AK262" s="42">
        <f>SUMPRODUCT(($B$58:$B$125="Garlic")*(AK$58:AK$125="P")*$C$58:$C$125)*$K$14+SUMPRODUCT(($B$58:$B$125="Garlic")*(AK$58:AK$125="G")*$C$58:$C$125)*$L$14+SUMPRODUCT(($B$58:$B$125="Garlic")*(AK$58:AK$125="H")*$C$58:$C$125)*$M$14+SUMPRODUCT(($B$58:$B$125="Garlic")*($BG$58:$BG$125=33)*$C$58:$C$125)*$H$14</f>
        <v/>
      </c>
      <c r="AL262" s="42">
        <f>SUMPRODUCT(($B$58:$B$125="Garlic")*(AL$58:AL$125="P")*$C$58:$C$125)*$K$14+SUMPRODUCT(($B$58:$B$125="Garlic")*(AL$58:AL$125="G")*$C$58:$C$125)*$L$14+SUMPRODUCT(($B$58:$B$125="Garlic")*(AL$58:AL$125="H")*$C$58:$C$125)*$M$14+SUMPRODUCT(($B$58:$B$125="Garlic")*($BG$58:$BG$125=34)*$C$58:$C$125)*$H$14</f>
        <v/>
      </c>
      <c r="AM262" s="42">
        <f>SUMPRODUCT(($B$58:$B$125="Garlic")*(AM$58:AM$125="P")*$C$58:$C$125)*$K$14+SUMPRODUCT(($B$58:$B$125="Garlic")*(AM$58:AM$125="G")*$C$58:$C$125)*$L$14+SUMPRODUCT(($B$58:$B$125="Garlic")*(AM$58:AM$125="H")*$C$58:$C$125)*$M$14+SUMPRODUCT(($B$58:$B$125="Garlic")*($BG$58:$BG$125=35)*$C$58:$C$125)*$H$14</f>
        <v/>
      </c>
      <c r="AN262" s="42">
        <f>SUMPRODUCT(($B$58:$B$125="Garlic")*(AN$58:AN$125="P")*$C$58:$C$125)*$K$14+SUMPRODUCT(($B$58:$B$125="Garlic")*(AN$58:AN$125="G")*$C$58:$C$125)*$L$14+SUMPRODUCT(($B$58:$B$125="Garlic")*(AN$58:AN$125="H")*$C$58:$C$125)*$M$14+SUMPRODUCT(($B$58:$B$125="Garlic")*($BG$58:$BG$125=36)*$C$58:$C$125)*$H$14</f>
        <v/>
      </c>
      <c r="AO262" s="42">
        <f>SUMPRODUCT(($B$58:$B$125="Garlic")*(AO$58:AO$125="P")*$C$58:$C$125)*$K$14+SUMPRODUCT(($B$58:$B$125="Garlic")*(AO$58:AO$125="G")*$C$58:$C$125)*$L$14+SUMPRODUCT(($B$58:$B$125="Garlic")*(AO$58:AO$125="H")*$C$58:$C$125)*$M$14+SUMPRODUCT(($B$58:$B$125="Garlic")*($BG$58:$BG$125=37)*$C$58:$C$125)*$H$14</f>
        <v/>
      </c>
      <c r="AP262" s="42">
        <f>SUMPRODUCT(($B$58:$B$125="Garlic")*(AP$58:AP$125="P")*$C$58:$C$125)*$K$14+SUMPRODUCT(($B$58:$B$125="Garlic")*(AP$58:AP$125="G")*$C$58:$C$125)*$L$14+SUMPRODUCT(($B$58:$B$125="Garlic")*(AP$58:AP$125="H")*$C$58:$C$125)*$M$14+SUMPRODUCT(($B$58:$B$125="Garlic")*($BG$58:$BG$125=38)*$C$58:$C$125)*$H$14</f>
        <v/>
      </c>
      <c r="AQ262" s="42">
        <f>SUMPRODUCT(($B$58:$B$125="Garlic")*(AQ$58:AQ$125="P")*$C$58:$C$125)*$K$14+SUMPRODUCT(($B$58:$B$125="Garlic")*(AQ$58:AQ$125="G")*$C$58:$C$125)*$L$14+SUMPRODUCT(($B$58:$B$125="Garlic")*(AQ$58:AQ$125="H")*$C$58:$C$125)*$M$14+SUMPRODUCT(($B$58:$B$125="Garlic")*($BG$58:$BG$125=39)*$C$58:$C$125)*$H$14</f>
        <v/>
      </c>
      <c r="AR262" s="42">
        <f>SUMPRODUCT(($B$58:$B$125="Garlic")*(AR$58:AR$125="P")*$C$58:$C$125)*$K$14+SUMPRODUCT(($B$58:$B$125="Garlic")*(AR$58:AR$125="G")*$C$58:$C$125)*$L$14+SUMPRODUCT(($B$58:$B$125="Garlic")*(AR$58:AR$125="H")*$C$58:$C$125)*$M$14+SUMPRODUCT(($B$58:$B$125="Garlic")*($BG$58:$BG$125=40)*$C$58:$C$125)*$H$14</f>
        <v/>
      </c>
      <c r="AS262" s="42">
        <f>SUMPRODUCT(($B$58:$B$125="Garlic")*(AS$58:AS$125="P")*$C$58:$C$125)*$K$14+SUMPRODUCT(($B$58:$B$125="Garlic")*(AS$58:AS$125="G")*$C$58:$C$125)*$L$14+SUMPRODUCT(($B$58:$B$125="Garlic")*(AS$58:AS$125="H")*$C$58:$C$125)*$M$14+SUMPRODUCT(($B$58:$B$125="Garlic")*($BG$58:$BG$125=41)*$C$58:$C$125)*$H$14</f>
        <v/>
      </c>
      <c r="AT262" s="42">
        <f>SUMPRODUCT(($B$58:$B$125="Garlic")*(AT$58:AT$125="P")*$C$58:$C$125)*$K$14+SUMPRODUCT(($B$58:$B$125="Garlic")*(AT$58:AT$125="G")*$C$58:$C$125)*$L$14+SUMPRODUCT(($B$58:$B$125="Garlic")*(AT$58:AT$125="H")*$C$58:$C$125)*$M$14+SUMPRODUCT(($B$58:$B$125="Garlic")*($BG$58:$BG$125=42)*$C$58:$C$125)*$H$14</f>
        <v/>
      </c>
      <c r="AU262" s="42">
        <f>SUMPRODUCT(($B$58:$B$125="Garlic")*(AU$58:AU$125="P")*$C$58:$C$125)*$K$14+SUMPRODUCT(($B$58:$B$125="Garlic")*(AU$58:AU$125="G")*$C$58:$C$125)*$L$14+SUMPRODUCT(($B$58:$B$125="Garlic")*(AU$58:AU$125="H")*$C$58:$C$125)*$M$14+SUMPRODUCT(($B$58:$B$125="Garlic")*($BG$58:$BG$125=43)*$C$58:$C$125)*$H$14</f>
        <v/>
      </c>
      <c r="AV262" s="42">
        <f>SUMPRODUCT(($B$58:$B$125="Garlic")*(AV$58:AV$125="P")*$C$58:$C$125)*$K$14+SUMPRODUCT(($B$58:$B$125="Garlic")*(AV$58:AV$125="G")*$C$58:$C$125)*$L$14+SUMPRODUCT(($B$58:$B$125="Garlic")*(AV$58:AV$125="H")*$C$58:$C$125)*$M$14+SUMPRODUCT(($B$58:$B$125="Garlic")*($BG$58:$BG$125=44)*$C$58:$C$125)*$H$14</f>
        <v/>
      </c>
      <c r="AW262" s="42">
        <f>SUMPRODUCT(($B$58:$B$125="Garlic")*(AW$58:AW$125="P")*$C$58:$C$125)*$K$14+SUMPRODUCT(($B$58:$B$125="Garlic")*(AW$58:AW$125="G")*$C$58:$C$125)*$L$14+SUMPRODUCT(($B$58:$B$125="Garlic")*(AW$58:AW$125="H")*$C$58:$C$125)*$M$14+SUMPRODUCT(($B$58:$B$125="Garlic")*($BG$58:$BG$125=45)*$C$58:$C$125)*$H$14</f>
        <v/>
      </c>
      <c r="AX262" s="42">
        <f>SUMPRODUCT(($B$58:$B$125="Garlic")*(AX$58:AX$125="P")*$C$58:$C$125)*$K$14+SUMPRODUCT(($B$58:$B$125="Garlic")*(AX$58:AX$125="G")*$C$58:$C$125)*$L$14+SUMPRODUCT(($B$58:$B$125="Garlic")*(AX$58:AX$125="H")*$C$58:$C$125)*$M$14+SUMPRODUCT(($B$58:$B$125="Garlic")*($BG$58:$BG$125=46)*$C$58:$C$125)*$H$14</f>
        <v/>
      </c>
      <c r="AY262" s="42">
        <f>SUMPRODUCT(($B$58:$B$125="Garlic")*(AY$58:AY$125="P")*$C$58:$C$125)*$K$14+SUMPRODUCT(($B$58:$B$125="Garlic")*(AY$58:AY$125="G")*$C$58:$C$125)*$L$14+SUMPRODUCT(($B$58:$B$125="Garlic")*(AY$58:AY$125="H")*$C$58:$C$125)*$M$14+SUMPRODUCT(($B$58:$B$125="Garlic")*($BG$58:$BG$125=47)*$C$58:$C$125)*$H$14</f>
        <v/>
      </c>
      <c r="AZ262" s="42">
        <f>SUMPRODUCT(($B$58:$B$125="Garlic")*(AZ$58:AZ$125="P")*$C$58:$C$125)*$K$14+SUMPRODUCT(($B$58:$B$125="Garlic")*(AZ$58:AZ$125="G")*$C$58:$C$125)*$L$14+SUMPRODUCT(($B$58:$B$125="Garlic")*(AZ$58:AZ$125="H")*$C$58:$C$125)*$M$14+SUMPRODUCT(($B$58:$B$125="Garlic")*($BG$58:$BG$125=48)*$C$58:$C$125)*$H$14</f>
        <v/>
      </c>
      <c r="BA262" s="42">
        <f>SUMPRODUCT(($B$58:$B$125="Garlic")*(BA$58:BA$125="P")*$C$58:$C$125)*$K$14+SUMPRODUCT(($B$58:$B$125="Garlic")*(BA$58:BA$125="G")*$C$58:$C$125)*$L$14+SUMPRODUCT(($B$58:$B$125="Garlic")*(BA$58:BA$125="H")*$C$58:$C$125)*$M$14+SUMPRODUCT(($B$58:$B$125="Garlic")*($BG$58:$BG$125=49)*$C$58:$C$125)*$H$14</f>
        <v/>
      </c>
      <c r="BB262" s="42">
        <f>SUMPRODUCT(($B$58:$B$125="Garlic")*(BB$58:BB$125="P")*$C$58:$C$125)*$K$14+SUMPRODUCT(($B$58:$B$125="Garlic")*(BB$58:BB$125="G")*$C$58:$C$125)*$L$14+SUMPRODUCT(($B$58:$B$125="Garlic")*(BB$58:BB$125="H")*$C$58:$C$125)*$M$14+SUMPRODUCT(($B$58:$B$125="Garlic")*($BG$58:$BG$125=50)*$C$58:$C$125)*$H$14</f>
        <v/>
      </c>
      <c r="BC262" s="42">
        <f>SUMPRODUCT(($B$58:$B$125="Garlic")*(BC$58:BC$125="P")*$C$58:$C$125)*$K$14+SUMPRODUCT(($B$58:$B$125="Garlic")*(BC$58:BC$125="G")*$C$58:$C$125)*$L$14+SUMPRODUCT(($B$58:$B$125="Garlic")*(BC$58:BC$125="H")*$C$58:$C$125)*$M$14+SUMPRODUCT(($B$58:$B$125="Garlic")*($BG$58:$BG$125=51)*$C$58:$C$125)*$H$14</f>
        <v/>
      </c>
      <c r="BD262" s="42">
        <f>SUMPRODUCT(($B$58:$B$125="Garlic")*(BD$58:BD$125="P")*$C$58:$C$125)*$K$14+SUMPRODUCT(($B$58:$B$125="Garlic")*(BD$58:BD$125="G")*$C$58:$C$125)*$L$14+SUMPRODUCT(($B$58:$B$125="Garlic")*(BD$58:BD$125="H")*$C$58:$C$125)*$M$14+SUMPRODUCT(($B$58:$B$125="Garlic")*($BG$58:$BG$125=52)*$C$58:$C$125)*$H$14</f>
        <v/>
      </c>
    </row>
    <row r="263">
      <c r="A263" s="26" t="inlineStr">
        <is>
          <t>Packaging this week</t>
        </is>
      </c>
      <c r="B263" s="2" t="inlineStr">
        <is>
          <t>$</t>
        </is>
      </c>
      <c r="E263" s="42">
        <f>E247*$J$23+E253*$J$24</f>
        <v/>
      </c>
      <c r="F263" s="42">
        <f>F247*$J$23+F253*$J$24</f>
        <v/>
      </c>
      <c r="G263" s="42">
        <f>G247*$J$23+G253*$J$24</f>
        <v/>
      </c>
      <c r="H263" s="42">
        <f>H247*$J$23+H253*$J$24</f>
        <v/>
      </c>
      <c r="I263" s="42">
        <f>I247*$J$23+I253*$J$24</f>
        <v/>
      </c>
      <c r="J263" s="42">
        <f>J247*$J$23+J253*$J$24</f>
        <v/>
      </c>
      <c r="K263" s="42">
        <f>K247*$J$23+K253*$J$24</f>
        <v/>
      </c>
      <c r="L263" s="42">
        <f>L247*$J$23+L253*$J$24</f>
        <v/>
      </c>
      <c r="M263" s="42">
        <f>M247*$J$23+M253*$J$24</f>
        <v/>
      </c>
      <c r="N263" s="42">
        <f>N247*$J$23+N253*$J$24</f>
        <v/>
      </c>
      <c r="O263" s="42">
        <f>O247*$J$23+O253*$J$24</f>
        <v/>
      </c>
      <c r="P263" s="42">
        <f>P247*$J$23+P253*$J$24</f>
        <v/>
      </c>
      <c r="Q263" s="42">
        <f>Q247*$J$23+Q253*$J$24</f>
        <v/>
      </c>
      <c r="R263" s="42">
        <f>R247*$J$23+R253*$J$24</f>
        <v/>
      </c>
      <c r="S263" s="42">
        <f>S247*$J$23+S253*$J$24</f>
        <v/>
      </c>
      <c r="T263" s="42">
        <f>T247*$J$23+T253*$J$24</f>
        <v/>
      </c>
      <c r="U263" s="42">
        <f>U247*$J$23+U253*$J$24</f>
        <v/>
      </c>
      <c r="V263" s="42">
        <f>V247*$J$23+V253*$J$24</f>
        <v/>
      </c>
      <c r="W263" s="42">
        <f>W247*$J$23+W253*$J$24</f>
        <v/>
      </c>
      <c r="X263" s="42">
        <f>X247*$J$23+X253*$J$24</f>
        <v/>
      </c>
      <c r="Y263" s="42">
        <f>Y247*$J$23+Y253*$J$24</f>
        <v/>
      </c>
      <c r="Z263" s="42">
        <f>Z247*$J$23+Z253*$J$24</f>
        <v/>
      </c>
      <c r="AA263" s="42">
        <f>AA247*$J$23+AA253*$J$24</f>
        <v/>
      </c>
      <c r="AB263" s="42">
        <f>AB247*$J$23+AB253*$J$24</f>
        <v/>
      </c>
      <c r="AC263" s="42">
        <f>AC247*$J$23+AC253*$J$24</f>
        <v/>
      </c>
      <c r="AD263" s="42">
        <f>AD247*$J$23+AD253*$J$24</f>
        <v/>
      </c>
      <c r="AE263" s="42">
        <f>AE247*$J$23+AE253*$J$24</f>
        <v/>
      </c>
      <c r="AF263" s="42">
        <f>AF247*$J$23+AF253*$J$24</f>
        <v/>
      </c>
      <c r="AG263" s="42">
        <f>AG247*$J$23+AG253*$J$24</f>
        <v/>
      </c>
      <c r="AH263" s="42">
        <f>AH247*$J$23+AH253*$J$24</f>
        <v/>
      </c>
      <c r="AI263" s="42">
        <f>AI247*$J$23+AI253*$J$24</f>
        <v/>
      </c>
      <c r="AJ263" s="42">
        <f>AJ247*$J$23+AJ253*$J$24</f>
        <v/>
      </c>
      <c r="AK263" s="42">
        <f>AK247*$J$23+AK253*$J$24</f>
        <v/>
      </c>
      <c r="AL263" s="42">
        <f>AL247*$J$23+AL253*$J$24</f>
        <v/>
      </c>
      <c r="AM263" s="42">
        <f>AM247*$J$23+AM253*$J$24</f>
        <v/>
      </c>
      <c r="AN263" s="42">
        <f>AN247*$J$23+AN253*$J$24</f>
        <v/>
      </c>
      <c r="AO263" s="42">
        <f>AO247*$J$23+AO253*$J$24</f>
        <v/>
      </c>
      <c r="AP263" s="42">
        <f>AP247*$J$23+AP253*$J$24</f>
        <v/>
      </c>
      <c r="AQ263" s="42">
        <f>AQ247*$J$23+AQ253*$J$24</f>
        <v/>
      </c>
      <c r="AR263" s="42">
        <f>AR247*$J$23+AR253*$J$24</f>
        <v/>
      </c>
      <c r="AS263" s="42">
        <f>AS247*$J$23+AS253*$J$24</f>
        <v/>
      </c>
      <c r="AT263" s="42">
        <f>AT247*$J$23+AT253*$J$24</f>
        <v/>
      </c>
      <c r="AU263" s="42">
        <f>AU247*$J$23+AU253*$J$24</f>
        <v/>
      </c>
      <c r="AV263" s="42">
        <f>AV247*$J$23+AV253*$J$24</f>
        <v/>
      </c>
      <c r="AW263" s="42">
        <f>AW247*$J$23+AW253*$J$24</f>
        <v/>
      </c>
      <c r="AX263" s="42">
        <f>AX247*$J$23+AX253*$J$24</f>
        <v/>
      </c>
      <c r="AY263" s="42">
        <f>AY247*$J$23+AY253*$J$24</f>
        <v/>
      </c>
      <c r="AZ263" s="42">
        <f>AZ247*$J$23+AZ253*$J$24</f>
        <v/>
      </c>
      <c r="BA263" s="42">
        <f>BA247*$J$23+BA253*$J$24</f>
        <v/>
      </c>
      <c r="BB263" s="42">
        <f>BB247*$J$23+BB253*$J$24</f>
        <v/>
      </c>
      <c r="BC263" s="42">
        <f>BC247*$J$23+BC253*$J$24</f>
        <v/>
      </c>
      <c r="BD263" s="42">
        <f>BD247*$J$23+BD253*$J$24</f>
        <v/>
      </c>
    </row>
    <row r="264">
      <c r="A264" s="4" t="inlineStr">
        <is>
          <t>ROOM OCCUPANCY</t>
        </is>
      </c>
      <c r="B264" s="2" t="inlineStr">
        <is>
          <t>m3</t>
        </is>
      </c>
      <c r="E264" s="55">
        <f>(E242+E241)*$D$14</f>
        <v/>
      </c>
      <c r="F264" s="55">
        <f>(F242+F241)*$D$14</f>
        <v/>
      </c>
      <c r="G264" s="55">
        <f>(G242+G241)*$D$14</f>
        <v/>
      </c>
      <c r="H264" s="55">
        <f>(H242+H241)*$D$14</f>
        <v/>
      </c>
      <c r="I264" s="55">
        <f>(I242+I241)*$D$14</f>
        <v/>
      </c>
      <c r="J264" s="55">
        <f>(J242+J241)*$D$14</f>
        <v/>
      </c>
      <c r="K264" s="55">
        <f>(K242+K241)*$D$14</f>
        <v/>
      </c>
      <c r="L264" s="55">
        <f>(L242+L241)*$D$14</f>
        <v/>
      </c>
      <c r="M264" s="55">
        <f>(M242+M241)*$D$14</f>
        <v/>
      </c>
      <c r="N264" s="55">
        <f>(N242+N241)*$D$14</f>
        <v/>
      </c>
      <c r="O264" s="55">
        <f>(O242+O241)*$D$14</f>
        <v/>
      </c>
      <c r="P264" s="55">
        <f>(P242+P241)*$D$14</f>
        <v/>
      </c>
      <c r="Q264" s="55">
        <f>(Q242+Q241)*$D$14</f>
        <v/>
      </c>
      <c r="R264" s="55">
        <f>(R242+R241)*$D$14</f>
        <v/>
      </c>
      <c r="S264" s="55">
        <f>(S242+S241)*$D$14</f>
        <v/>
      </c>
      <c r="T264" s="55">
        <f>(T242+T241)*$D$14</f>
        <v/>
      </c>
      <c r="U264" s="55">
        <f>(U242+U241)*$D$14</f>
        <v/>
      </c>
      <c r="V264" s="55">
        <f>(V242+V241)*$D$14</f>
        <v/>
      </c>
      <c r="W264" s="55">
        <f>(W242+W241)*$D$14</f>
        <v/>
      </c>
      <c r="X264" s="55">
        <f>(X242+X241)*$D$14</f>
        <v/>
      </c>
      <c r="Y264" s="55">
        <f>(Y242+Y241)*$D$14</f>
        <v/>
      </c>
      <c r="Z264" s="55">
        <f>(Z242+Z241)*$D$14</f>
        <v/>
      </c>
      <c r="AA264" s="55">
        <f>(AA242+AA241)*$D$14</f>
        <v/>
      </c>
      <c r="AB264" s="55">
        <f>(AB242+AB241)*$D$14</f>
        <v/>
      </c>
      <c r="AC264" s="55">
        <f>(AC242+AC241)*$D$14</f>
        <v/>
      </c>
      <c r="AD264" s="55">
        <f>(AD242+AD241)*$D$14</f>
        <v/>
      </c>
      <c r="AE264" s="55">
        <f>(AE242+AE241)*$D$14</f>
        <v/>
      </c>
      <c r="AF264" s="55">
        <f>(AF242+AF241)*$D$14</f>
        <v/>
      </c>
      <c r="AG264" s="55">
        <f>(AG242+AG241)*$D$14</f>
        <v/>
      </c>
      <c r="AH264" s="55">
        <f>(AH242+AH241)*$D$14</f>
        <v/>
      </c>
      <c r="AI264" s="55">
        <f>(AI242+AI241)*$D$14</f>
        <v/>
      </c>
      <c r="AJ264" s="55">
        <f>(AJ242+AJ241)*$D$14</f>
        <v/>
      </c>
      <c r="AK264" s="55">
        <f>(AK242+AK241)*$D$14</f>
        <v/>
      </c>
      <c r="AL264" s="55">
        <f>(AL242+AL241)*$D$14</f>
        <v/>
      </c>
      <c r="AM264" s="55">
        <f>(AM242+AM241)*$D$14</f>
        <v/>
      </c>
      <c r="AN264" s="55">
        <f>(AN242+AN241)*$D$14</f>
        <v/>
      </c>
      <c r="AO264" s="55">
        <f>(AO242+AO241)*$D$14</f>
        <v/>
      </c>
      <c r="AP264" s="55">
        <f>(AP242+AP241)*$D$14</f>
        <v/>
      </c>
      <c r="AQ264" s="55">
        <f>(AQ242+AQ241)*$D$14</f>
        <v/>
      </c>
      <c r="AR264" s="55">
        <f>(AR242+AR241)*$D$14</f>
        <v/>
      </c>
      <c r="AS264" s="55">
        <f>(AS242+AS241)*$D$14</f>
        <v/>
      </c>
      <c r="AT264" s="55">
        <f>(AT242+AT241)*$D$14</f>
        <v/>
      </c>
      <c r="AU264" s="55">
        <f>(AU242+AU241)*$D$14</f>
        <v/>
      </c>
      <c r="AV264" s="55">
        <f>(AV242+AV241)*$D$14</f>
        <v/>
      </c>
      <c r="AW264" s="55">
        <f>(AW242+AW241)*$D$14</f>
        <v/>
      </c>
      <c r="AX264" s="55">
        <f>(AX242+AX241)*$D$14</f>
        <v/>
      </c>
      <c r="AY264" s="55">
        <f>(AY242+AY241)*$D$14</f>
        <v/>
      </c>
      <c r="AZ264" s="55">
        <f>(AZ242+AZ241)*$D$14</f>
        <v/>
      </c>
      <c r="BA264" s="55">
        <f>(BA242+BA241)*$D$14</f>
        <v/>
      </c>
      <c r="BB264" s="55">
        <f>(BB242+BB241)*$D$14</f>
        <v/>
      </c>
      <c r="BC264" s="55">
        <f>(BC242+BC241)*$D$14</f>
        <v/>
      </c>
      <c r="BD264" s="55">
        <f>(BD242+BD241)*$D$14</f>
        <v/>
      </c>
    </row>
    <row r="266">
      <c r="A266" s="3" t="inlineStr">
        <is>
          <t>6 — THE TWO STORES</t>
        </is>
      </c>
    </row>
    <row r="267">
      <c r="A267" s="30" t="inlineStr">
        <is>
          <t>Week</t>
        </is>
      </c>
      <c r="B267" s="38" t="inlineStr">
        <is>
          <t>m3</t>
        </is>
      </c>
      <c r="E267" s="31" t="n">
        <v>1</v>
      </c>
      <c r="F267" s="31" t="n">
        <v>2</v>
      </c>
      <c r="G267" s="31" t="n">
        <v>3</v>
      </c>
      <c r="H267" s="31" t="n">
        <v>4</v>
      </c>
      <c r="I267" s="31" t="n">
        <v>5</v>
      </c>
      <c r="J267" s="31" t="n">
        <v>6</v>
      </c>
      <c r="K267" s="31" t="n">
        <v>7</v>
      </c>
      <c r="L267" s="31" t="n">
        <v>8</v>
      </c>
      <c r="M267" s="31" t="n">
        <v>9</v>
      </c>
      <c r="N267" s="31" t="n">
        <v>10</v>
      </c>
      <c r="O267" s="31" t="n">
        <v>11</v>
      </c>
      <c r="P267" s="31" t="n">
        <v>12</v>
      </c>
      <c r="Q267" s="31" t="n">
        <v>13</v>
      </c>
      <c r="R267" s="31" t="n">
        <v>14</v>
      </c>
      <c r="S267" s="31" t="n">
        <v>15</v>
      </c>
      <c r="T267" s="31" t="n">
        <v>16</v>
      </c>
      <c r="U267" s="31" t="n">
        <v>17</v>
      </c>
      <c r="V267" s="31" t="n">
        <v>18</v>
      </c>
      <c r="W267" s="31" t="n">
        <v>19</v>
      </c>
      <c r="X267" s="31" t="n">
        <v>20</v>
      </c>
      <c r="Y267" s="31" t="n">
        <v>21</v>
      </c>
      <c r="Z267" s="31" t="n">
        <v>22</v>
      </c>
      <c r="AA267" s="31" t="n">
        <v>23</v>
      </c>
      <c r="AB267" s="31" t="n">
        <v>24</v>
      </c>
      <c r="AC267" s="31" t="n">
        <v>25</v>
      </c>
      <c r="AD267" s="31" t="n">
        <v>26</v>
      </c>
      <c r="AE267" s="31" t="n">
        <v>27</v>
      </c>
      <c r="AF267" s="31" t="n">
        <v>28</v>
      </c>
      <c r="AG267" s="31" t="n">
        <v>29</v>
      </c>
      <c r="AH267" s="31" t="n">
        <v>30</v>
      </c>
      <c r="AI267" s="31" t="n">
        <v>31</v>
      </c>
      <c r="AJ267" s="31" t="n">
        <v>32</v>
      </c>
      <c r="AK267" s="31" t="n">
        <v>33</v>
      </c>
      <c r="AL267" s="31" t="n">
        <v>34</v>
      </c>
      <c r="AM267" s="31" t="n">
        <v>35</v>
      </c>
      <c r="AN267" s="31" t="n">
        <v>36</v>
      </c>
      <c r="AO267" s="31" t="n">
        <v>37</v>
      </c>
      <c r="AP267" s="31" t="n">
        <v>38</v>
      </c>
      <c r="AQ267" s="31" t="n">
        <v>39</v>
      </c>
      <c r="AR267" s="31" t="n">
        <v>40</v>
      </c>
      <c r="AS267" s="31" t="n">
        <v>41</v>
      </c>
      <c r="AT267" s="31" t="n">
        <v>42</v>
      </c>
      <c r="AU267" s="31" t="n">
        <v>43</v>
      </c>
      <c r="AV267" s="31" t="n">
        <v>44</v>
      </c>
      <c r="AW267" s="31" t="n">
        <v>45</v>
      </c>
      <c r="AX267" s="31" t="n">
        <v>46</v>
      </c>
      <c r="AY267" s="31" t="n">
        <v>47</v>
      </c>
      <c r="AZ267" s="31" t="n">
        <v>48</v>
      </c>
      <c r="BA267" s="31" t="n">
        <v>49</v>
      </c>
      <c r="BB267" s="31" t="n">
        <v>50</v>
      </c>
      <c r="BC267" s="31" t="n">
        <v>51</v>
      </c>
      <c r="BD267" s="31" t="n">
        <v>52</v>
      </c>
    </row>
    <row r="268">
      <c r="A268" s="39" t="inlineStr">
        <is>
          <t>COLD STORE</t>
        </is>
      </c>
      <c r="B268" s="2" t="inlineStr">
        <is>
          <t>used</t>
        </is>
      </c>
      <c r="E268" s="40">
        <f>E208+E237</f>
        <v/>
      </c>
      <c r="F268" s="40">
        <f>F208+F237</f>
        <v/>
      </c>
      <c r="G268" s="40">
        <f>G208+G237</f>
        <v/>
      </c>
      <c r="H268" s="40">
        <f>H208+H237</f>
        <v/>
      </c>
      <c r="I268" s="40">
        <f>I208+I237</f>
        <v/>
      </c>
      <c r="J268" s="40">
        <f>J208+J237</f>
        <v/>
      </c>
      <c r="K268" s="40">
        <f>K208+K237</f>
        <v/>
      </c>
      <c r="L268" s="40">
        <f>L208+L237</f>
        <v/>
      </c>
      <c r="M268" s="40">
        <f>M208+M237</f>
        <v/>
      </c>
      <c r="N268" s="40">
        <f>N208+N237</f>
        <v/>
      </c>
      <c r="O268" s="40">
        <f>O208+O237</f>
        <v/>
      </c>
      <c r="P268" s="40">
        <f>P208+P237</f>
        <v/>
      </c>
      <c r="Q268" s="40">
        <f>Q208+Q237</f>
        <v/>
      </c>
      <c r="R268" s="40">
        <f>R208+R237</f>
        <v/>
      </c>
      <c r="S268" s="40">
        <f>S208+S237</f>
        <v/>
      </c>
      <c r="T268" s="40">
        <f>T208+T237</f>
        <v/>
      </c>
      <c r="U268" s="40">
        <f>U208+U237</f>
        <v/>
      </c>
      <c r="V268" s="40">
        <f>V208+V237</f>
        <v/>
      </c>
      <c r="W268" s="40">
        <f>W208+W237</f>
        <v/>
      </c>
      <c r="X268" s="40">
        <f>X208+X237</f>
        <v/>
      </c>
      <c r="Y268" s="40">
        <f>Y208+Y237</f>
        <v/>
      </c>
      <c r="Z268" s="40">
        <f>Z208+Z237</f>
        <v/>
      </c>
      <c r="AA268" s="40">
        <f>AA208+AA237</f>
        <v/>
      </c>
      <c r="AB268" s="40">
        <f>AB208+AB237</f>
        <v/>
      </c>
      <c r="AC268" s="40">
        <f>AC208+AC237</f>
        <v/>
      </c>
      <c r="AD268" s="40">
        <f>AD208+AD237</f>
        <v/>
      </c>
      <c r="AE268" s="40">
        <f>AE208+AE237</f>
        <v/>
      </c>
      <c r="AF268" s="40">
        <f>AF208+AF237</f>
        <v/>
      </c>
      <c r="AG268" s="40">
        <f>AG208+AG237</f>
        <v/>
      </c>
      <c r="AH268" s="40">
        <f>AH208+AH237</f>
        <v/>
      </c>
      <c r="AI268" s="40">
        <f>AI208+AI237</f>
        <v/>
      </c>
      <c r="AJ268" s="40">
        <f>AJ208+AJ237</f>
        <v/>
      </c>
      <c r="AK268" s="40">
        <f>AK208+AK237</f>
        <v/>
      </c>
      <c r="AL268" s="40">
        <f>AL208+AL237</f>
        <v/>
      </c>
      <c r="AM268" s="40">
        <f>AM208+AM237</f>
        <v/>
      </c>
      <c r="AN268" s="40">
        <f>AN208+AN237</f>
        <v/>
      </c>
      <c r="AO268" s="40">
        <f>AO208+AO237</f>
        <v/>
      </c>
      <c r="AP268" s="40">
        <f>AP208+AP237</f>
        <v/>
      </c>
      <c r="AQ268" s="40">
        <f>AQ208+AQ237</f>
        <v/>
      </c>
      <c r="AR268" s="40">
        <f>AR208+AR237</f>
        <v/>
      </c>
      <c r="AS268" s="40">
        <f>AS208+AS237</f>
        <v/>
      </c>
      <c r="AT268" s="40">
        <f>AT208+AT237</f>
        <v/>
      </c>
      <c r="AU268" s="40">
        <f>AU208+AU237</f>
        <v/>
      </c>
      <c r="AV268" s="40">
        <f>AV208+AV237</f>
        <v/>
      </c>
      <c r="AW268" s="40">
        <f>AW208+AW237</f>
        <v/>
      </c>
      <c r="AX268" s="40">
        <f>AX208+AX237</f>
        <v/>
      </c>
      <c r="AY268" s="40">
        <f>AY208+AY237</f>
        <v/>
      </c>
      <c r="AZ268" s="40">
        <f>AZ208+AZ237</f>
        <v/>
      </c>
      <c r="BA268" s="40">
        <f>BA208+BA237</f>
        <v/>
      </c>
      <c r="BB268" s="40">
        <f>BB208+BB237</f>
        <v/>
      </c>
      <c r="BC268" s="40">
        <f>BC208+BC237</f>
        <v/>
      </c>
      <c r="BD268" s="40">
        <f>BD208+BD237</f>
        <v/>
      </c>
    </row>
    <row r="269">
      <c r="A269" s="4" t="inlineStr"/>
      <c r="E269" s="41" t="inlineStr">
        <is>
          <t>&lt;=</t>
        </is>
      </c>
      <c r="F269" s="41" t="inlineStr">
        <is>
          <t>&lt;=</t>
        </is>
      </c>
      <c r="G269" s="41" t="inlineStr">
        <is>
          <t>&lt;=</t>
        </is>
      </c>
      <c r="H269" s="41" t="inlineStr">
        <is>
          <t>&lt;=</t>
        </is>
      </c>
      <c r="I269" s="41" t="inlineStr">
        <is>
          <t>&lt;=</t>
        </is>
      </c>
      <c r="J269" s="41" t="inlineStr">
        <is>
          <t>&lt;=</t>
        </is>
      </c>
      <c r="K269" s="41" t="inlineStr">
        <is>
          <t>&lt;=</t>
        </is>
      </c>
      <c r="L269" s="41" t="inlineStr">
        <is>
          <t>&lt;=</t>
        </is>
      </c>
      <c r="M269" s="41" t="inlineStr">
        <is>
          <t>&lt;=</t>
        </is>
      </c>
      <c r="N269" s="41" t="inlineStr">
        <is>
          <t>&lt;=</t>
        </is>
      </c>
      <c r="O269" s="41" t="inlineStr">
        <is>
          <t>&lt;=</t>
        </is>
      </c>
      <c r="P269" s="41" t="inlineStr">
        <is>
          <t>&lt;=</t>
        </is>
      </c>
      <c r="Q269" s="41" t="inlineStr">
        <is>
          <t>&lt;=</t>
        </is>
      </c>
      <c r="R269" s="41" t="inlineStr">
        <is>
          <t>&lt;=</t>
        </is>
      </c>
      <c r="S269" s="41" t="inlineStr">
        <is>
          <t>&lt;=</t>
        </is>
      </c>
      <c r="T269" s="41" t="inlineStr">
        <is>
          <t>&lt;=</t>
        </is>
      </c>
      <c r="U269" s="41" t="inlineStr">
        <is>
          <t>&lt;=</t>
        </is>
      </c>
      <c r="V269" s="41" t="inlineStr">
        <is>
          <t>&lt;=</t>
        </is>
      </c>
      <c r="W269" s="41" t="inlineStr">
        <is>
          <t>&lt;=</t>
        </is>
      </c>
      <c r="X269" s="41" t="inlineStr">
        <is>
          <t>&lt;=</t>
        </is>
      </c>
      <c r="Y269" s="41" t="inlineStr">
        <is>
          <t>&lt;=</t>
        </is>
      </c>
      <c r="Z269" s="41" t="inlineStr">
        <is>
          <t>&lt;=</t>
        </is>
      </c>
      <c r="AA269" s="41" t="inlineStr">
        <is>
          <t>&lt;=</t>
        </is>
      </c>
      <c r="AB269" s="41" t="inlineStr">
        <is>
          <t>&lt;=</t>
        </is>
      </c>
      <c r="AC269" s="41" t="inlineStr">
        <is>
          <t>&lt;=</t>
        </is>
      </c>
      <c r="AD269" s="41" t="inlineStr">
        <is>
          <t>&lt;=</t>
        </is>
      </c>
      <c r="AE269" s="41" t="inlineStr">
        <is>
          <t>&lt;=</t>
        </is>
      </c>
      <c r="AF269" s="41" t="inlineStr">
        <is>
          <t>&lt;=</t>
        </is>
      </c>
      <c r="AG269" s="41" t="inlineStr">
        <is>
          <t>&lt;=</t>
        </is>
      </c>
      <c r="AH269" s="41" t="inlineStr">
        <is>
          <t>&lt;=</t>
        </is>
      </c>
      <c r="AI269" s="41" t="inlineStr">
        <is>
          <t>&lt;=</t>
        </is>
      </c>
      <c r="AJ269" s="41" t="inlineStr">
        <is>
          <t>&lt;=</t>
        </is>
      </c>
      <c r="AK269" s="41" t="inlineStr">
        <is>
          <t>&lt;=</t>
        </is>
      </c>
      <c r="AL269" s="41" t="inlineStr">
        <is>
          <t>&lt;=</t>
        </is>
      </c>
      <c r="AM269" s="41" t="inlineStr">
        <is>
          <t>&lt;=</t>
        </is>
      </c>
      <c r="AN269" s="41" t="inlineStr">
        <is>
          <t>&lt;=</t>
        </is>
      </c>
      <c r="AO269" s="41" t="inlineStr">
        <is>
          <t>&lt;=</t>
        </is>
      </c>
      <c r="AP269" s="41" t="inlineStr">
        <is>
          <t>&lt;=</t>
        </is>
      </c>
      <c r="AQ269" s="41" t="inlineStr">
        <is>
          <t>&lt;=</t>
        </is>
      </c>
      <c r="AR269" s="41" t="inlineStr">
        <is>
          <t>&lt;=</t>
        </is>
      </c>
      <c r="AS269" s="41" t="inlineStr">
        <is>
          <t>&lt;=</t>
        </is>
      </c>
      <c r="AT269" s="41" t="inlineStr">
        <is>
          <t>&lt;=</t>
        </is>
      </c>
      <c r="AU269" s="41" t="inlineStr">
        <is>
          <t>&lt;=</t>
        </is>
      </c>
      <c r="AV269" s="41" t="inlineStr">
        <is>
          <t>&lt;=</t>
        </is>
      </c>
      <c r="AW269" s="41" t="inlineStr">
        <is>
          <t>&lt;=</t>
        </is>
      </c>
      <c r="AX269" s="41" t="inlineStr">
        <is>
          <t>&lt;=</t>
        </is>
      </c>
      <c r="AY269" s="41" t="inlineStr">
        <is>
          <t>&lt;=</t>
        </is>
      </c>
      <c r="AZ269" s="41" t="inlineStr">
        <is>
          <t>&lt;=</t>
        </is>
      </c>
      <c r="BA269" s="41" t="inlineStr">
        <is>
          <t>&lt;=</t>
        </is>
      </c>
      <c r="BB269" s="41" t="inlineStr">
        <is>
          <t>&lt;=</t>
        </is>
      </c>
      <c r="BC269" s="41" t="inlineStr">
        <is>
          <t>&lt;=</t>
        </is>
      </c>
      <c r="BD269" s="41" t="inlineStr">
        <is>
          <t>&lt;=</t>
        </is>
      </c>
    </row>
    <row r="270">
      <c r="A270" s="39" t="inlineStr">
        <is>
          <t xml:space="preserve">  limit</t>
        </is>
      </c>
      <c r="B270" s="2" t="inlineStr">
        <is>
          <t>cap</t>
        </is>
      </c>
      <c r="E270" s="40">
        <f>$B$7</f>
        <v/>
      </c>
      <c r="F270" s="40">
        <f>$B$7</f>
        <v/>
      </c>
      <c r="G270" s="40">
        <f>$B$7</f>
        <v/>
      </c>
      <c r="H270" s="40">
        <f>$B$7</f>
        <v/>
      </c>
      <c r="I270" s="40">
        <f>$B$7</f>
        <v/>
      </c>
      <c r="J270" s="40">
        <f>$B$7</f>
        <v/>
      </c>
      <c r="K270" s="40">
        <f>$B$7</f>
        <v/>
      </c>
      <c r="L270" s="40">
        <f>$B$7</f>
        <v/>
      </c>
      <c r="M270" s="40">
        <f>$B$7</f>
        <v/>
      </c>
      <c r="N270" s="40">
        <f>$B$7</f>
        <v/>
      </c>
      <c r="O270" s="40">
        <f>$B$7</f>
        <v/>
      </c>
      <c r="P270" s="40">
        <f>$B$7</f>
        <v/>
      </c>
      <c r="Q270" s="40">
        <f>$B$7</f>
        <v/>
      </c>
      <c r="R270" s="40">
        <f>$B$7</f>
        <v/>
      </c>
      <c r="S270" s="40">
        <f>$B$7</f>
        <v/>
      </c>
      <c r="T270" s="40">
        <f>$B$7</f>
        <v/>
      </c>
      <c r="U270" s="40">
        <f>$B$7</f>
        <v/>
      </c>
      <c r="V270" s="40">
        <f>$B$7</f>
        <v/>
      </c>
      <c r="W270" s="40">
        <f>$B$7</f>
        <v/>
      </c>
      <c r="X270" s="40">
        <f>$B$7</f>
        <v/>
      </c>
      <c r="Y270" s="40">
        <f>$B$7</f>
        <v/>
      </c>
      <c r="Z270" s="40">
        <f>$B$7</f>
        <v/>
      </c>
      <c r="AA270" s="40">
        <f>$B$7</f>
        <v/>
      </c>
      <c r="AB270" s="40">
        <f>$B$7</f>
        <v/>
      </c>
      <c r="AC270" s="40">
        <f>$B$7</f>
        <v/>
      </c>
      <c r="AD270" s="40">
        <f>$B$7</f>
        <v/>
      </c>
      <c r="AE270" s="40">
        <f>$B$7</f>
        <v/>
      </c>
      <c r="AF270" s="40">
        <f>$B$7</f>
        <v/>
      </c>
      <c r="AG270" s="40">
        <f>$B$7</f>
        <v/>
      </c>
      <c r="AH270" s="40">
        <f>$B$7</f>
        <v/>
      </c>
      <c r="AI270" s="40">
        <f>$B$7</f>
        <v/>
      </c>
      <c r="AJ270" s="40">
        <f>$B$7</f>
        <v/>
      </c>
      <c r="AK270" s="40">
        <f>$B$7</f>
        <v/>
      </c>
      <c r="AL270" s="40">
        <f>$B$7</f>
        <v/>
      </c>
      <c r="AM270" s="40">
        <f>$B$7</f>
        <v/>
      </c>
      <c r="AN270" s="40">
        <f>$B$7</f>
        <v/>
      </c>
      <c r="AO270" s="40">
        <f>$B$7</f>
        <v/>
      </c>
      <c r="AP270" s="40">
        <f>$B$7</f>
        <v/>
      </c>
      <c r="AQ270" s="40">
        <f>$B$7</f>
        <v/>
      </c>
      <c r="AR270" s="40">
        <f>$B$7</f>
        <v/>
      </c>
      <c r="AS270" s="40">
        <f>$B$7</f>
        <v/>
      </c>
      <c r="AT270" s="40">
        <f>$B$7</f>
        <v/>
      </c>
      <c r="AU270" s="40">
        <f>$B$7</f>
        <v/>
      </c>
      <c r="AV270" s="40">
        <f>$B$7</f>
        <v/>
      </c>
      <c r="AW270" s="40">
        <f>$B$7</f>
        <v/>
      </c>
      <c r="AX270" s="40">
        <f>$B$7</f>
        <v/>
      </c>
      <c r="AY270" s="40">
        <f>$B$7</f>
        <v/>
      </c>
      <c r="AZ270" s="40">
        <f>$B$7</f>
        <v/>
      </c>
      <c r="BA270" s="40">
        <f>$B$7</f>
        <v/>
      </c>
      <c r="BB270" s="40">
        <f>$B$7</f>
        <v/>
      </c>
      <c r="BC270" s="40">
        <f>$B$7</f>
        <v/>
      </c>
      <c r="BD270" s="40">
        <f>$B$7</f>
        <v/>
      </c>
    </row>
    <row r="271">
      <c r="A271" s="28" t="inlineStr">
        <is>
          <t xml:space="preserve">  room left</t>
        </is>
      </c>
      <c r="E271" s="40">
        <f>$B$7-E268</f>
        <v/>
      </c>
      <c r="F271" s="40">
        <f>$B$7-F268</f>
        <v/>
      </c>
      <c r="G271" s="40">
        <f>$B$7-G268</f>
        <v/>
      </c>
      <c r="H271" s="40">
        <f>$B$7-H268</f>
        <v/>
      </c>
      <c r="I271" s="40">
        <f>$B$7-I268</f>
        <v/>
      </c>
      <c r="J271" s="40">
        <f>$B$7-J268</f>
        <v/>
      </c>
      <c r="K271" s="40">
        <f>$B$7-K268</f>
        <v/>
      </c>
      <c r="L271" s="40">
        <f>$B$7-L268</f>
        <v/>
      </c>
      <c r="M271" s="40">
        <f>$B$7-M268</f>
        <v/>
      </c>
      <c r="N271" s="40">
        <f>$B$7-N268</f>
        <v/>
      </c>
      <c r="O271" s="40">
        <f>$B$7-O268</f>
        <v/>
      </c>
      <c r="P271" s="40">
        <f>$B$7-P268</f>
        <v/>
      </c>
      <c r="Q271" s="40">
        <f>$B$7-Q268</f>
        <v/>
      </c>
      <c r="R271" s="40">
        <f>$B$7-R268</f>
        <v/>
      </c>
      <c r="S271" s="40">
        <f>$B$7-S268</f>
        <v/>
      </c>
      <c r="T271" s="40">
        <f>$B$7-T268</f>
        <v/>
      </c>
      <c r="U271" s="40">
        <f>$B$7-U268</f>
        <v/>
      </c>
      <c r="V271" s="40">
        <f>$B$7-V268</f>
        <v/>
      </c>
      <c r="W271" s="40">
        <f>$B$7-W268</f>
        <v/>
      </c>
      <c r="X271" s="40">
        <f>$B$7-X268</f>
        <v/>
      </c>
      <c r="Y271" s="40">
        <f>$B$7-Y268</f>
        <v/>
      </c>
      <c r="Z271" s="40">
        <f>$B$7-Z268</f>
        <v/>
      </c>
      <c r="AA271" s="40">
        <f>$B$7-AA268</f>
        <v/>
      </c>
      <c r="AB271" s="40">
        <f>$B$7-AB268</f>
        <v/>
      </c>
      <c r="AC271" s="40">
        <f>$B$7-AC268</f>
        <v/>
      </c>
      <c r="AD271" s="40">
        <f>$B$7-AD268</f>
        <v/>
      </c>
      <c r="AE271" s="40">
        <f>$B$7-AE268</f>
        <v/>
      </c>
      <c r="AF271" s="40">
        <f>$B$7-AF268</f>
        <v/>
      </c>
      <c r="AG271" s="40">
        <f>$B$7-AG268</f>
        <v/>
      </c>
      <c r="AH271" s="40">
        <f>$B$7-AH268</f>
        <v/>
      </c>
      <c r="AI271" s="40">
        <f>$B$7-AI268</f>
        <v/>
      </c>
      <c r="AJ271" s="40">
        <f>$B$7-AJ268</f>
        <v/>
      </c>
      <c r="AK271" s="40">
        <f>$B$7-AK268</f>
        <v/>
      </c>
      <c r="AL271" s="40">
        <f>$B$7-AL268</f>
        <v/>
      </c>
      <c r="AM271" s="40">
        <f>$B$7-AM268</f>
        <v/>
      </c>
      <c r="AN271" s="40">
        <f>$B$7-AN268</f>
        <v/>
      </c>
      <c r="AO271" s="40">
        <f>$B$7-AO268</f>
        <v/>
      </c>
      <c r="AP271" s="40">
        <f>$B$7-AP268</f>
        <v/>
      </c>
      <c r="AQ271" s="40">
        <f>$B$7-AQ268</f>
        <v/>
      </c>
      <c r="AR271" s="40">
        <f>$B$7-AR268</f>
        <v/>
      </c>
      <c r="AS271" s="40">
        <f>$B$7-AS268</f>
        <v/>
      </c>
      <c r="AT271" s="40">
        <f>$B$7-AT268</f>
        <v/>
      </c>
      <c r="AU271" s="40">
        <f>$B$7-AU268</f>
        <v/>
      </c>
      <c r="AV271" s="40">
        <f>$B$7-AV268</f>
        <v/>
      </c>
      <c r="AW271" s="40">
        <f>$B$7-AW268</f>
        <v/>
      </c>
      <c r="AX271" s="40">
        <f>$B$7-AX268</f>
        <v/>
      </c>
      <c r="AY271" s="40">
        <f>$B$7-AY268</f>
        <v/>
      </c>
      <c r="AZ271" s="40">
        <f>$B$7-AZ268</f>
        <v/>
      </c>
      <c r="BA271" s="40">
        <f>$B$7-BA268</f>
        <v/>
      </c>
      <c r="BB271" s="40">
        <f>$B$7-BB268</f>
        <v/>
      </c>
      <c r="BC271" s="40">
        <f>$B$7-BC268</f>
        <v/>
      </c>
      <c r="BD271" s="40">
        <f>$B$7-BD268</f>
        <v/>
      </c>
    </row>
    <row r="272">
      <c r="A272" s="2" t="inlineStr">
        <is>
          <t xml:space="preserve">   Holds Spinach, Kale.</t>
        </is>
      </c>
    </row>
    <row r="274">
      <c r="A274" s="30" t="inlineStr">
        <is>
          <t>Week</t>
        </is>
      </c>
      <c r="B274" s="38" t="inlineStr">
        <is>
          <t>m3</t>
        </is>
      </c>
      <c r="E274" s="31" t="n">
        <v>1</v>
      </c>
      <c r="F274" s="31" t="n">
        <v>2</v>
      </c>
      <c r="G274" s="31" t="n">
        <v>3</v>
      </c>
      <c r="H274" s="31" t="n">
        <v>4</v>
      </c>
      <c r="I274" s="31" t="n">
        <v>5</v>
      </c>
      <c r="J274" s="31" t="n">
        <v>6</v>
      </c>
      <c r="K274" s="31" t="n">
        <v>7</v>
      </c>
      <c r="L274" s="31" t="n">
        <v>8</v>
      </c>
      <c r="M274" s="31" t="n">
        <v>9</v>
      </c>
      <c r="N274" s="31" t="n">
        <v>10</v>
      </c>
      <c r="O274" s="31" t="n">
        <v>11</v>
      </c>
      <c r="P274" s="31" t="n">
        <v>12</v>
      </c>
      <c r="Q274" s="31" t="n">
        <v>13</v>
      </c>
      <c r="R274" s="31" t="n">
        <v>14</v>
      </c>
      <c r="S274" s="31" t="n">
        <v>15</v>
      </c>
      <c r="T274" s="31" t="n">
        <v>16</v>
      </c>
      <c r="U274" s="31" t="n">
        <v>17</v>
      </c>
      <c r="V274" s="31" t="n">
        <v>18</v>
      </c>
      <c r="W274" s="31" t="n">
        <v>19</v>
      </c>
      <c r="X274" s="31" t="n">
        <v>20</v>
      </c>
      <c r="Y274" s="31" t="n">
        <v>21</v>
      </c>
      <c r="Z274" s="31" t="n">
        <v>22</v>
      </c>
      <c r="AA274" s="31" t="n">
        <v>23</v>
      </c>
      <c r="AB274" s="31" t="n">
        <v>24</v>
      </c>
      <c r="AC274" s="31" t="n">
        <v>25</v>
      </c>
      <c r="AD274" s="31" t="n">
        <v>26</v>
      </c>
      <c r="AE274" s="31" t="n">
        <v>27</v>
      </c>
      <c r="AF274" s="31" t="n">
        <v>28</v>
      </c>
      <c r="AG274" s="31" t="n">
        <v>29</v>
      </c>
      <c r="AH274" s="31" t="n">
        <v>30</v>
      </c>
      <c r="AI274" s="31" t="n">
        <v>31</v>
      </c>
      <c r="AJ274" s="31" t="n">
        <v>32</v>
      </c>
      <c r="AK274" s="31" t="n">
        <v>33</v>
      </c>
      <c r="AL274" s="31" t="n">
        <v>34</v>
      </c>
      <c r="AM274" s="31" t="n">
        <v>35</v>
      </c>
      <c r="AN274" s="31" t="n">
        <v>36</v>
      </c>
      <c r="AO274" s="31" t="n">
        <v>37</v>
      </c>
      <c r="AP274" s="31" t="n">
        <v>38</v>
      </c>
      <c r="AQ274" s="31" t="n">
        <v>39</v>
      </c>
      <c r="AR274" s="31" t="n">
        <v>40</v>
      </c>
      <c r="AS274" s="31" t="n">
        <v>41</v>
      </c>
      <c r="AT274" s="31" t="n">
        <v>42</v>
      </c>
      <c r="AU274" s="31" t="n">
        <v>43</v>
      </c>
      <c r="AV274" s="31" t="n">
        <v>44</v>
      </c>
      <c r="AW274" s="31" t="n">
        <v>45</v>
      </c>
      <c r="AX274" s="31" t="n">
        <v>46</v>
      </c>
      <c r="AY274" s="31" t="n">
        <v>47</v>
      </c>
      <c r="AZ274" s="31" t="n">
        <v>48</v>
      </c>
      <c r="BA274" s="31" t="n">
        <v>49</v>
      </c>
      <c r="BB274" s="31" t="n">
        <v>50</v>
      </c>
      <c r="BC274" s="31" t="n">
        <v>51</v>
      </c>
      <c r="BD274" s="31" t="n">
        <v>52</v>
      </c>
    </row>
    <row r="275">
      <c r="A275" s="39" t="inlineStr">
        <is>
          <t>AMBIENT STORE</t>
        </is>
      </c>
      <c r="B275" s="2" t="inlineStr">
        <is>
          <t>used</t>
        </is>
      </c>
      <c r="E275" s="40">
        <f>E264</f>
        <v/>
      </c>
      <c r="F275" s="40">
        <f>F264</f>
        <v/>
      </c>
      <c r="G275" s="40">
        <f>G264</f>
        <v/>
      </c>
      <c r="H275" s="40">
        <f>H264</f>
        <v/>
      </c>
      <c r="I275" s="40">
        <f>I264</f>
        <v/>
      </c>
      <c r="J275" s="40">
        <f>J264</f>
        <v/>
      </c>
      <c r="K275" s="40">
        <f>K264</f>
        <v/>
      </c>
      <c r="L275" s="40">
        <f>L264</f>
        <v/>
      </c>
      <c r="M275" s="40">
        <f>M264</f>
        <v/>
      </c>
      <c r="N275" s="40">
        <f>N264</f>
        <v/>
      </c>
      <c r="O275" s="40">
        <f>O264</f>
        <v/>
      </c>
      <c r="P275" s="40">
        <f>P264</f>
        <v/>
      </c>
      <c r="Q275" s="40">
        <f>Q264</f>
        <v/>
      </c>
      <c r="R275" s="40">
        <f>R264</f>
        <v/>
      </c>
      <c r="S275" s="40">
        <f>S264</f>
        <v/>
      </c>
      <c r="T275" s="40">
        <f>T264</f>
        <v/>
      </c>
      <c r="U275" s="40">
        <f>U264</f>
        <v/>
      </c>
      <c r="V275" s="40">
        <f>V264</f>
        <v/>
      </c>
      <c r="W275" s="40">
        <f>W264</f>
        <v/>
      </c>
      <c r="X275" s="40">
        <f>X264</f>
        <v/>
      </c>
      <c r="Y275" s="40">
        <f>Y264</f>
        <v/>
      </c>
      <c r="Z275" s="40">
        <f>Z264</f>
        <v/>
      </c>
      <c r="AA275" s="40">
        <f>AA264</f>
        <v/>
      </c>
      <c r="AB275" s="40">
        <f>AB264</f>
        <v/>
      </c>
      <c r="AC275" s="40">
        <f>AC264</f>
        <v/>
      </c>
      <c r="AD275" s="40">
        <f>AD264</f>
        <v/>
      </c>
      <c r="AE275" s="40">
        <f>AE264</f>
        <v/>
      </c>
      <c r="AF275" s="40">
        <f>AF264</f>
        <v/>
      </c>
      <c r="AG275" s="40">
        <f>AG264</f>
        <v/>
      </c>
      <c r="AH275" s="40">
        <f>AH264</f>
        <v/>
      </c>
      <c r="AI275" s="40">
        <f>AI264</f>
        <v/>
      </c>
      <c r="AJ275" s="40">
        <f>AJ264</f>
        <v/>
      </c>
      <c r="AK275" s="40">
        <f>AK264</f>
        <v/>
      </c>
      <c r="AL275" s="40">
        <f>AL264</f>
        <v/>
      </c>
      <c r="AM275" s="40">
        <f>AM264</f>
        <v/>
      </c>
      <c r="AN275" s="40">
        <f>AN264</f>
        <v/>
      </c>
      <c r="AO275" s="40">
        <f>AO264</f>
        <v/>
      </c>
      <c r="AP275" s="40">
        <f>AP264</f>
        <v/>
      </c>
      <c r="AQ275" s="40">
        <f>AQ264</f>
        <v/>
      </c>
      <c r="AR275" s="40">
        <f>AR264</f>
        <v/>
      </c>
      <c r="AS275" s="40">
        <f>AS264</f>
        <v/>
      </c>
      <c r="AT275" s="40">
        <f>AT264</f>
        <v/>
      </c>
      <c r="AU275" s="40">
        <f>AU264</f>
        <v/>
      </c>
      <c r="AV275" s="40">
        <f>AV264</f>
        <v/>
      </c>
      <c r="AW275" s="40">
        <f>AW264</f>
        <v/>
      </c>
      <c r="AX275" s="40">
        <f>AX264</f>
        <v/>
      </c>
      <c r="AY275" s="40">
        <f>AY264</f>
        <v/>
      </c>
      <c r="AZ275" s="40">
        <f>AZ264</f>
        <v/>
      </c>
      <c r="BA275" s="40">
        <f>BA264</f>
        <v/>
      </c>
      <c r="BB275" s="40">
        <f>BB264</f>
        <v/>
      </c>
      <c r="BC275" s="40">
        <f>BC264</f>
        <v/>
      </c>
      <c r="BD275" s="40">
        <f>BD264</f>
        <v/>
      </c>
    </row>
    <row r="276">
      <c r="A276" s="4" t="inlineStr"/>
      <c r="E276" s="41" t="inlineStr">
        <is>
          <t>&lt;=</t>
        </is>
      </c>
      <c r="F276" s="41" t="inlineStr">
        <is>
          <t>&lt;=</t>
        </is>
      </c>
      <c r="G276" s="41" t="inlineStr">
        <is>
          <t>&lt;=</t>
        </is>
      </c>
      <c r="H276" s="41" t="inlineStr">
        <is>
          <t>&lt;=</t>
        </is>
      </c>
      <c r="I276" s="41" t="inlineStr">
        <is>
          <t>&lt;=</t>
        </is>
      </c>
      <c r="J276" s="41" t="inlineStr">
        <is>
          <t>&lt;=</t>
        </is>
      </c>
      <c r="K276" s="41" t="inlineStr">
        <is>
          <t>&lt;=</t>
        </is>
      </c>
      <c r="L276" s="41" t="inlineStr">
        <is>
          <t>&lt;=</t>
        </is>
      </c>
      <c r="M276" s="41" t="inlineStr">
        <is>
          <t>&lt;=</t>
        </is>
      </c>
      <c r="N276" s="41" t="inlineStr">
        <is>
          <t>&lt;=</t>
        </is>
      </c>
      <c r="O276" s="41" t="inlineStr">
        <is>
          <t>&lt;=</t>
        </is>
      </c>
      <c r="P276" s="41" t="inlineStr">
        <is>
          <t>&lt;=</t>
        </is>
      </c>
      <c r="Q276" s="41" t="inlineStr">
        <is>
          <t>&lt;=</t>
        </is>
      </c>
      <c r="R276" s="41" t="inlineStr">
        <is>
          <t>&lt;=</t>
        </is>
      </c>
      <c r="S276" s="41" t="inlineStr">
        <is>
          <t>&lt;=</t>
        </is>
      </c>
      <c r="T276" s="41" t="inlineStr">
        <is>
          <t>&lt;=</t>
        </is>
      </c>
      <c r="U276" s="41" t="inlineStr">
        <is>
          <t>&lt;=</t>
        </is>
      </c>
      <c r="V276" s="41" t="inlineStr">
        <is>
          <t>&lt;=</t>
        </is>
      </c>
      <c r="W276" s="41" t="inlineStr">
        <is>
          <t>&lt;=</t>
        </is>
      </c>
      <c r="X276" s="41" t="inlineStr">
        <is>
          <t>&lt;=</t>
        </is>
      </c>
      <c r="Y276" s="41" t="inlineStr">
        <is>
          <t>&lt;=</t>
        </is>
      </c>
      <c r="Z276" s="41" t="inlineStr">
        <is>
          <t>&lt;=</t>
        </is>
      </c>
      <c r="AA276" s="41" t="inlineStr">
        <is>
          <t>&lt;=</t>
        </is>
      </c>
      <c r="AB276" s="41" t="inlineStr">
        <is>
          <t>&lt;=</t>
        </is>
      </c>
      <c r="AC276" s="41" t="inlineStr">
        <is>
          <t>&lt;=</t>
        </is>
      </c>
      <c r="AD276" s="41" t="inlineStr">
        <is>
          <t>&lt;=</t>
        </is>
      </c>
      <c r="AE276" s="41" t="inlineStr">
        <is>
          <t>&lt;=</t>
        </is>
      </c>
      <c r="AF276" s="41" t="inlineStr">
        <is>
          <t>&lt;=</t>
        </is>
      </c>
      <c r="AG276" s="41" t="inlineStr">
        <is>
          <t>&lt;=</t>
        </is>
      </c>
      <c r="AH276" s="41" t="inlineStr">
        <is>
          <t>&lt;=</t>
        </is>
      </c>
      <c r="AI276" s="41" t="inlineStr">
        <is>
          <t>&lt;=</t>
        </is>
      </c>
      <c r="AJ276" s="41" t="inlineStr">
        <is>
          <t>&lt;=</t>
        </is>
      </c>
      <c r="AK276" s="41" t="inlineStr">
        <is>
          <t>&lt;=</t>
        </is>
      </c>
      <c r="AL276" s="41" t="inlineStr">
        <is>
          <t>&lt;=</t>
        </is>
      </c>
      <c r="AM276" s="41" t="inlineStr">
        <is>
          <t>&lt;=</t>
        </is>
      </c>
      <c r="AN276" s="41" t="inlineStr">
        <is>
          <t>&lt;=</t>
        </is>
      </c>
      <c r="AO276" s="41" t="inlineStr">
        <is>
          <t>&lt;=</t>
        </is>
      </c>
      <c r="AP276" s="41" t="inlineStr">
        <is>
          <t>&lt;=</t>
        </is>
      </c>
      <c r="AQ276" s="41" t="inlineStr">
        <is>
          <t>&lt;=</t>
        </is>
      </c>
      <c r="AR276" s="41" t="inlineStr">
        <is>
          <t>&lt;=</t>
        </is>
      </c>
      <c r="AS276" s="41" t="inlineStr">
        <is>
          <t>&lt;=</t>
        </is>
      </c>
      <c r="AT276" s="41" t="inlineStr">
        <is>
          <t>&lt;=</t>
        </is>
      </c>
      <c r="AU276" s="41" t="inlineStr">
        <is>
          <t>&lt;=</t>
        </is>
      </c>
      <c r="AV276" s="41" t="inlineStr">
        <is>
          <t>&lt;=</t>
        </is>
      </c>
      <c r="AW276" s="41" t="inlineStr">
        <is>
          <t>&lt;=</t>
        </is>
      </c>
      <c r="AX276" s="41" t="inlineStr">
        <is>
          <t>&lt;=</t>
        </is>
      </c>
      <c r="AY276" s="41" t="inlineStr">
        <is>
          <t>&lt;=</t>
        </is>
      </c>
      <c r="AZ276" s="41" t="inlineStr">
        <is>
          <t>&lt;=</t>
        </is>
      </c>
      <c r="BA276" s="41" t="inlineStr">
        <is>
          <t>&lt;=</t>
        </is>
      </c>
      <c r="BB276" s="41" t="inlineStr">
        <is>
          <t>&lt;=</t>
        </is>
      </c>
      <c r="BC276" s="41" t="inlineStr">
        <is>
          <t>&lt;=</t>
        </is>
      </c>
      <c r="BD276" s="41" t="inlineStr">
        <is>
          <t>&lt;=</t>
        </is>
      </c>
    </row>
    <row r="277">
      <c r="A277" s="39" t="inlineStr">
        <is>
          <t xml:space="preserve">  limit</t>
        </is>
      </c>
      <c r="B277" s="2" t="inlineStr">
        <is>
          <t>cap</t>
        </is>
      </c>
      <c r="E277" s="40">
        <f>$B$8</f>
        <v/>
      </c>
      <c r="F277" s="40">
        <f>$B$8</f>
        <v/>
      </c>
      <c r="G277" s="40">
        <f>$B$8</f>
        <v/>
      </c>
      <c r="H277" s="40">
        <f>$B$8</f>
        <v/>
      </c>
      <c r="I277" s="40">
        <f>$B$8</f>
        <v/>
      </c>
      <c r="J277" s="40">
        <f>$B$8</f>
        <v/>
      </c>
      <c r="K277" s="40">
        <f>$B$8</f>
        <v/>
      </c>
      <c r="L277" s="40">
        <f>$B$8</f>
        <v/>
      </c>
      <c r="M277" s="40">
        <f>$B$8</f>
        <v/>
      </c>
      <c r="N277" s="40">
        <f>$B$8</f>
        <v/>
      </c>
      <c r="O277" s="40">
        <f>$B$8</f>
        <v/>
      </c>
      <c r="P277" s="40">
        <f>$B$8</f>
        <v/>
      </c>
      <c r="Q277" s="40">
        <f>$B$8</f>
        <v/>
      </c>
      <c r="R277" s="40">
        <f>$B$8</f>
        <v/>
      </c>
      <c r="S277" s="40">
        <f>$B$8</f>
        <v/>
      </c>
      <c r="T277" s="40">
        <f>$B$8</f>
        <v/>
      </c>
      <c r="U277" s="40">
        <f>$B$8</f>
        <v/>
      </c>
      <c r="V277" s="40">
        <f>$B$8</f>
        <v/>
      </c>
      <c r="W277" s="40">
        <f>$B$8</f>
        <v/>
      </c>
      <c r="X277" s="40">
        <f>$B$8</f>
        <v/>
      </c>
      <c r="Y277" s="40">
        <f>$B$8</f>
        <v/>
      </c>
      <c r="Z277" s="40">
        <f>$B$8</f>
        <v/>
      </c>
      <c r="AA277" s="40">
        <f>$B$8</f>
        <v/>
      </c>
      <c r="AB277" s="40">
        <f>$B$8</f>
        <v/>
      </c>
      <c r="AC277" s="40">
        <f>$B$8</f>
        <v/>
      </c>
      <c r="AD277" s="40">
        <f>$B$8</f>
        <v/>
      </c>
      <c r="AE277" s="40">
        <f>$B$8</f>
        <v/>
      </c>
      <c r="AF277" s="40">
        <f>$B$8</f>
        <v/>
      </c>
      <c r="AG277" s="40">
        <f>$B$8</f>
        <v/>
      </c>
      <c r="AH277" s="40">
        <f>$B$8</f>
        <v/>
      </c>
      <c r="AI277" s="40">
        <f>$B$8</f>
        <v/>
      </c>
      <c r="AJ277" s="40">
        <f>$B$8</f>
        <v/>
      </c>
      <c r="AK277" s="40">
        <f>$B$8</f>
        <v/>
      </c>
      <c r="AL277" s="40">
        <f>$B$8</f>
        <v/>
      </c>
      <c r="AM277" s="40">
        <f>$B$8</f>
        <v/>
      </c>
      <c r="AN277" s="40">
        <f>$B$8</f>
        <v/>
      </c>
      <c r="AO277" s="40">
        <f>$B$8</f>
        <v/>
      </c>
      <c r="AP277" s="40">
        <f>$B$8</f>
        <v/>
      </c>
      <c r="AQ277" s="40">
        <f>$B$8</f>
        <v/>
      </c>
      <c r="AR277" s="40">
        <f>$B$8</f>
        <v/>
      </c>
      <c r="AS277" s="40">
        <f>$B$8</f>
        <v/>
      </c>
      <c r="AT277" s="40">
        <f>$B$8</f>
        <v/>
      </c>
      <c r="AU277" s="40">
        <f>$B$8</f>
        <v/>
      </c>
      <c r="AV277" s="40">
        <f>$B$8</f>
        <v/>
      </c>
      <c r="AW277" s="40">
        <f>$B$8</f>
        <v/>
      </c>
      <c r="AX277" s="40">
        <f>$B$8</f>
        <v/>
      </c>
      <c r="AY277" s="40">
        <f>$B$8</f>
        <v/>
      </c>
      <c r="AZ277" s="40">
        <f>$B$8</f>
        <v/>
      </c>
      <c r="BA277" s="40">
        <f>$B$8</f>
        <v/>
      </c>
      <c r="BB277" s="40">
        <f>$B$8</f>
        <v/>
      </c>
      <c r="BC277" s="40">
        <f>$B$8</f>
        <v/>
      </c>
      <c r="BD277" s="40">
        <f>$B$8</f>
        <v/>
      </c>
    </row>
    <row r="278">
      <c r="A278" s="28" t="inlineStr">
        <is>
          <t xml:space="preserve">  room left</t>
        </is>
      </c>
      <c r="E278" s="40">
        <f>$B$8-E275</f>
        <v/>
      </c>
      <c r="F278" s="40">
        <f>$B$8-F275</f>
        <v/>
      </c>
      <c r="G278" s="40">
        <f>$B$8-G275</f>
        <v/>
      </c>
      <c r="H278" s="40">
        <f>$B$8-H275</f>
        <v/>
      </c>
      <c r="I278" s="40">
        <f>$B$8-I275</f>
        <v/>
      </c>
      <c r="J278" s="40">
        <f>$B$8-J275</f>
        <v/>
      </c>
      <c r="K278" s="40">
        <f>$B$8-K275</f>
        <v/>
      </c>
      <c r="L278" s="40">
        <f>$B$8-L275</f>
        <v/>
      </c>
      <c r="M278" s="40">
        <f>$B$8-M275</f>
        <v/>
      </c>
      <c r="N278" s="40">
        <f>$B$8-N275</f>
        <v/>
      </c>
      <c r="O278" s="40">
        <f>$B$8-O275</f>
        <v/>
      </c>
      <c r="P278" s="40">
        <f>$B$8-P275</f>
        <v/>
      </c>
      <c r="Q278" s="40">
        <f>$B$8-Q275</f>
        <v/>
      </c>
      <c r="R278" s="40">
        <f>$B$8-R275</f>
        <v/>
      </c>
      <c r="S278" s="40">
        <f>$B$8-S275</f>
        <v/>
      </c>
      <c r="T278" s="40">
        <f>$B$8-T275</f>
        <v/>
      </c>
      <c r="U278" s="40">
        <f>$B$8-U275</f>
        <v/>
      </c>
      <c r="V278" s="40">
        <f>$B$8-V275</f>
        <v/>
      </c>
      <c r="W278" s="40">
        <f>$B$8-W275</f>
        <v/>
      </c>
      <c r="X278" s="40">
        <f>$B$8-X275</f>
        <v/>
      </c>
      <c r="Y278" s="40">
        <f>$B$8-Y275</f>
        <v/>
      </c>
      <c r="Z278" s="40">
        <f>$B$8-Z275</f>
        <v/>
      </c>
      <c r="AA278" s="40">
        <f>$B$8-AA275</f>
        <v/>
      </c>
      <c r="AB278" s="40">
        <f>$B$8-AB275</f>
        <v/>
      </c>
      <c r="AC278" s="40">
        <f>$B$8-AC275</f>
        <v/>
      </c>
      <c r="AD278" s="40">
        <f>$B$8-AD275</f>
        <v/>
      </c>
      <c r="AE278" s="40">
        <f>$B$8-AE275</f>
        <v/>
      </c>
      <c r="AF278" s="40">
        <f>$B$8-AF275</f>
        <v/>
      </c>
      <c r="AG278" s="40">
        <f>$B$8-AG275</f>
        <v/>
      </c>
      <c r="AH278" s="40">
        <f>$B$8-AH275</f>
        <v/>
      </c>
      <c r="AI278" s="40">
        <f>$B$8-AI275</f>
        <v/>
      </c>
      <c r="AJ278" s="40">
        <f>$B$8-AJ275</f>
        <v/>
      </c>
      <c r="AK278" s="40">
        <f>$B$8-AK275</f>
        <v/>
      </c>
      <c r="AL278" s="40">
        <f>$B$8-AL275</f>
        <v/>
      </c>
      <c r="AM278" s="40">
        <f>$B$8-AM275</f>
        <v/>
      </c>
      <c r="AN278" s="40">
        <f>$B$8-AN275</f>
        <v/>
      </c>
      <c r="AO278" s="40">
        <f>$B$8-AO275</f>
        <v/>
      </c>
      <c r="AP278" s="40">
        <f>$B$8-AP275</f>
        <v/>
      </c>
      <c r="AQ278" s="40">
        <f>$B$8-AQ275</f>
        <v/>
      </c>
      <c r="AR278" s="40">
        <f>$B$8-AR275</f>
        <v/>
      </c>
      <c r="AS278" s="40">
        <f>$B$8-AS275</f>
        <v/>
      </c>
      <c r="AT278" s="40">
        <f>$B$8-AT275</f>
        <v/>
      </c>
      <c r="AU278" s="40">
        <f>$B$8-AU275</f>
        <v/>
      </c>
      <c r="AV278" s="40">
        <f>$B$8-AV275</f>
        <v/>
      </c>
      <c r="AW278" s="40">
        <f>$B$8-AW275</f>
        <v/>
      </c>
      <c r="AX278" s="40">
        <f>$B$8-AX275</f>
        <v/>
      </c>
      <c r="AY278" s="40">
        <f>$B$8-AY275</f>
        <v/>
      </c>
      <c r="AZ278" s="40">
        <f>$B$8-AZ275</f>
        <v/>
      </c>
      <c r="BA278" s="40">
        <f>$B$8-BA275</f>
        <v/>
      </c>
      <c r="BB278" s="40">
        <f>$B$8-BB275</f>
        <v/>
      </c>
      <c r="BC278" s="40">
        <f>$B$8-BC275</f>
        <v/>
      </c>
      <c r="BD278" s="40">
        <f>$B$8-BD275</f>
        <v/>
      </c>
    </row>
    <row r="279">
      <c r="A279" s="2" t="inlineStr">
        <is>
          <t xml:space="preserve">   Holds Garlic.</t>
        </is>
      </c>
    </row>
    <row r="281">
      <c r="A281" s="3" t="inlineStr">
        <is>
          <t>7 — CASH, WEEK BY WEEK</t>
        </is>
      </c>
    </row>
    <row r="282">
      <c r="A282" s="4" t="inlineStr">
        <is>
          <t>Opening cash</t>
        </is>
      </c>
      <c r="B282" s="18" t="n">
        <v>50000</v>
      </c>
      <c r="C282" s="2" t="inlineStr">
        <is>
          <t>what is in the bank on 1 January</t>
        </is>
      </c>
    </row>
    <row r="283">
      <c r="A283" s="4" t="inlineStr">
        <is>
          <t>Credit line</t>
        </is>
      </c>
      <c r="B283" s="18" t="n">
        <v>250000</v>
      </c>
      <c r="C283" s="2" t="inlineStr">
        <is>
          <t>how far below zero you may go</t>
        </is>
      </c>
    </row>
    <row r="284">
      <c r="A284" s="4" t="inlineStr">
        <is>
          <t>Fixed cost per week</t>
        </is>
      </c>
      <c r="B284" s="56">
        <f>$B$7*0.4807692307692308+$B$8*0.09615384615384616+$B$6*2.1367521367521367+1000+300*0.32051282051282054</f>
        <v/>
      </c>
      <c r="C284" s="2" t="inlineStr">
        <is>
          <t>cooler + barn depreciation, irrigation, machinery, equipment store — owed every week whether or not you plant</t>
        </is>
      </c>
    </row>
    <row r="285">
      <c r="A285" s="4" t="inlineStr">
        <is>
          <t>Overhead, % of revenue</t>
        </is>
      </c>
      <c r="B285" s="23" t="n">
        <v>0.16</v>
      </c>
      <c r="C285" s="2" t="inlineStr">
        <is>
          <t>insurance, admin, utilities — a share of what you sell</t>
        </is>
      </c>
    </row>
    <row r="286">
      <c r="A286" s="4" t="inlineStr">
        <is>
          <t>Interest APR on borrowing</t>
        </is>
      </c>
      <c r="B286" s="17" t="n">
        <v>0.07000000000000001</v>
      </c>
      <c r="C286" s="2" t="inlineStr">
        <is>
          <t>charged on what the credit line actually carries — reported below, not optimised over</t>
        </is>
      </c>
    </row>
    <row r="288">
      <c r="A288" s="30" t="inlineStr">
        <is>
          <t>Week</t>
        </is>
      </c>
      <c r="B288" s="38" t="inlineStr">
        <is>
          <t>$</t>
        </is>
      </c>
      <c r="E288" s="31" t="n">
        <v>1</v>
      </c>
      <c r="F288" s="31" t="n">
        <v>2</v>
      </c>
      <c r="G288" s="31" t="n">
        <v>3</v>
      </c>
      <c r="H288" s="31" t="n">
        <v>4</v>
      </c>
      <c r="I288" s="31" t="n">
        <v>5</v>
      </c>
      <c r="J288" s="31" t="n">
        <v>6</v>
      </c>
      <c r="K288" s="31" t="n">
        <v>7</v>
      </c>
      <c r="L288" s="31" t="n">
        <v>8</v>
      </c>
      <c r="M288" s="31" t="n">
        <v>9</v>
      </c>
      <c r="N288" s="31" t="n">
        <v>10</v>
      </c>
      <c r="O288" s="31" t="n">
        <v>11</v>
      </c>
      <c r="P288" s="31" t="n">
        <v>12</v>
      </c>
      <c r="Q288" s="31" t="n">
        <v>13</v>
      </c>
      <c r="R288" s="31" t="n">
        <v>14</v>
      </c>
      <c r="S288" s="31" t="n">
        <v>15</v>
      </c>
      <c r="T288" s="31" t="n">
        <v>16</v>
      </c>
      <c r="U288" s="31" t="n">
        <v>17</v>
      </c>
      <c r="V288" s="31" t="n">
        <v>18</v>
      </c>
      <c r="W288" s="31" t="n">
        <v>19</v>
      </c>
      <c r="X288" s="31" t="n">
        <v>20</v>
      </c>
      <c r="Y288" s="31" t="n">
        <v>21</v>
      </c>
      <c r="Z288" s="31" t="n">
        <v>22</v>
      </c>
      <c r="AA288" s="31" t="n">
        <v>23</v>
      </c>
      <c r="AB288" s="31" t="n">
        <v>24</v>
      </c>
      <c r="AC288" s="31" t="n">
        <v>25</v>
      </c>
      <c r="AD288" s="31" t="n">
        <v>26</v>
      </c>
      <c r="AE288" s="31" t="n">
        <v>27</v>
      </c>
      <c r="AF288" s="31" t="n">
        <v>28</v>
      </c>
      <c r="AG288" s="31" t="n">
        <v>29</v>
      </c>
      <c r="AH288" s="31" t="n">
        <v>30</v>
      </c>
      <c r="AI288" s="31" t="n">
        <v>31</v>
      </c>
      <c r="AJ288" s="31" t="n">
        <v>32</v>
      </c>
      <c r="AK288" s="31" t="n">
        <v>33</v>
      </c>
      <c r="AL288" s="31" t="n">
        <v>34</v>
      </c>
      <c r="AM288" s="31" t="n">
        <v>35</v>
      </c>
      <c r="AN288" s="31" t="n">
        <v>36</v>
      </c>
      <c r="AO288" s="31" t="n">
        <v>37</v>
      </c>
      <c r="AP288" s="31" t="n">
        <v>38</v>
      </c>
      <c r="AQ288" s="31" t="n">
        <v>39</v>
      </c>
      <c r="AR288" s="31" t="n">
        <v>40</v>
      </c>
      <c r="AS288" s="31" t="n">
        <v>41</v>
      </c>
      <c r="AT288" s="31" t="n">
        <v>42</v>
      </c>
      <c r="AU288" s="31" t="n">
        <v>43</v>
      </c>
      <c r="AV288" s="31" t="n">
        <v>44</v>
      </c>
      <c r="AW288" s="31" t="n">
        <v>45</v>
      </c>
      <c r="AX288" s="31" t="n">
        <v>46</v>
      </c>
      <c r="AY288" s="31" t="n">
        <v>47</v>
      </c>
      <c r="AZ288" s="31" t="n">
        <v>48</v>
      </c>
      <c r="BA288" s="31" t="n">
        <v>49</v>
      </c>
      <c r="BB288" s="31" t="n">
        <v>50</v>
      </c>
      <c r="BC288" s="31" t="n">
        <v>51</v>
      </c>
      <c r="BD288" s="31" t="n">
        <v>52</v>
      </c>
    </row>
    <row r="289">
      <c r="A289" s="4" t="inlineStr">
        <is>
          <t>Revenue</t>
        </is>
      </c>
      <c r="B289" s="2" t="inlineStr">
        <is>
          <t>$</t>
        </is>
      </c>
      <c r="E289" s="42">
        <f>E191*$I$19+E197*$I$20+E218*$I$21+E226*$I$22+E247*$I$23+E253*$I$24</f>
        <v/>
      </c>
      <c r="F289" s="42">
        <f>F191*$I$19+F197*$I$20+F218*$I$21+F226*$I$22+F247*$I$23+F253*$I$24</f>
        <v/>
      </c>
      <c r="G289" s="42">
        <f>G191*$I$19+G197*$I$20+G218*$I$21+G226*$I$22+G247*$I$23+G253*$I$24</f>
        <v/>
      </c>
      <c r="H289" s="42">
        <f>H191*$I$19+H197*$I$20+H218*$I$21+H226*$I$22+H247*$I$23+H253*$I$24</f>
        <v/>
      </c>
      <c r="I289" s="42">
        <f>I191*$I$19+I197*$I$20+I218*$I$21+I226*$I$22+I247*$I$23+I253*$I$24</f>
        <v/>
      </c>
      <c r="J289" s="42">
        <f>J191*$I$19+J197*$I$20+J218*$I$21+J226*$I$22+J247*$I$23+J253*$I$24</f>
        <v/>
      </c>
      <c r="K289" s="42">
        <f>K191*$I$19+K197*$I$20+K218*$I$21+K226*$I$22+K247*$I$23+K253*$I$24</f>
        <v/>
      </c>
      <c r="L289" s="42">
        <f>L191*$I$19+L197*$I$20+L218*$I$21+L226*$I$22+L247*$I$23+L253*$I$24</f>
        <v/>
      </c>
      <c r="M289" s="42">
        <f>M191*$I$19+M197*$I$20+M218*$I$21+M226*$I$22+M247*$I$23+M253*$I$24</f>
        <v/>
      </c>
      <c r="N289" s="42">
        <f>N191*$I$19+N197*$I$20+N218*$I$21+N226*$I$22+N247*$I$23+N253*$I$24</f>
        <v/>
      </c>
      <c r="O289" s="42">
        <f>O191*$I$19+O197*$I$20+O218*$I$21+O226*$I$22+O247*$I$23+O253*$I$24</f>
        <v/>
      </c>
      <c r="P289" s="42">
        <f>P191*$I$19+P197*$I$20+P218*$I$21+P226*$I$22+P247*$I$23+P253*$I$24</f>
        <v/>
      </c>
      <c r="Q289" s="42">
        <f>Q191*$I$19+Q197*$I$20+Q218*$I$21+Q226*$I$22+Q247*$I$23+Q253*$I$24</f>
        <v/>
      </c>
      <c r="R289" s="42">
        <f>R191*$I$19+R197*$I$20+R218*$I$21+R226*$I$22+R247*$I$23+R253*$I$24</f>
        <v/>
      </c>
      <c r="S289" s="42">
        <f>S191*$I$19+S197*$I$20+S218*$I$21+S226*$I$22+S247*$I$23+S253*$I$24</f>
        <v/>
      </c>
      <c r="T289" s="42">
        <f>T191*$I$19+T197*$I$20+T218*$I$21+T226*$I$22+T247*$I$23+T253*$I$24</f>
        <v/>
      </c>
      <c r="U289" s="42">
        <f>U191*$I$19+U197*$I$20+U218*$I$21+U226*$I$22+U247*$I$23+U253*$I$24</f>
        <v/>
      </c>
      <c r="V289" s="42">
        <f>V191*$I$19+V197*$I$20+V218*$I$21+V226*$I$22+V247*$I$23+V253*$I$24</f>
        <v/>
      </c>
      <c r="W289" s="42">
        <f>W191*$I$19+W197*$I$20+W218*$I$21+W226*$I$22+W247*$I$23+W253*$I$24</f>
        <v/>
      </c>
      <c r="X289" s="42">
        <f>X191*$I$19+X197*$I$20+X218*$I$21+X226*$I$22+X247*$I$23+X253*$I$24</f>
        <v/>
      </c>
      <c r="Y289" s="42">
        <f>Y191*$I$19+Y197*$I$20+Y218*$I$21+Y226*$I$22+Y247*$I$23+Y253*$I$24</f>
        <v/>
      </c>
      <c r="Z289" s="42">
        <f>Z191*$I$19+Z197*$I$20+Z218*$I$21+Z226*$I$22+Z247*$I$23+Z253*$I$24</f>
        <v/>
      </c>
      <c r="AA289" s="42">
        <f>AA191*$I$19+AA197*$I$20+AA218*$I$21+AA226*$I$22+AA247*$I$23+AA253*$I$24</f>
        <v/>
      </c>
      <c r="AB289" s="42">
        <f>AB191*$I$19+AB197*$I$20+AB218*$I$21+AB226*$I$22+AB247*$I$23+AB253*$I$24</f>
        <v/>
      </c>
      <c r="AC289" s="42">
        <f>AC191*$I$19+AC197*$I$20+AC218*$I$21+AC226*$I$22+AC247*$I$23+AC253*$I$24</f>
        <v/>
      </c>
      <c r="AD289" s="42">
        <f>AD191*$I$19+AD197*$I$20+AD218*$I$21+AD226*$I$22+AD247*$I$23+AD253*$I$24</f>
        <v/>
      </c>
      <c r="AE289" s="42">
        <f>AE191*$I$19+AE197*$I$20+AE218*$I$21+AE226*$I$22+AE247*$I$23+AE253*$I$24</f>
        <v/>
      </c>
      <c r="AF289" s="42">
        <f>AF191*$I$19+AF197*$I$20+AF218*$I$21+AF226*$I$22+AF247*$I$23+AF253*$I$24</f>
        <v/>
      </c>
      <c r="AG289" s="42">
        <f>AG191*$I$19+AG197*$I$20+AG218*$I$21+AG226*$I$22+AG247*$I$23+AG253*$I$24</f>
        <v/>
      </c>
      <c r="AH289" s="42">
        <f>AH191*$I$19+AH197*$I$20+AH218*$I$21+AH226*$I$22+AH247*$I$23+AH253*$I$24</f>
        <v/>
      </c>
      <c r="AI289" s="42">
        <f>AI191*$I$19+AI197*$I$20+AI218*$I$21+AI226*$I$22+AI247*$I$23+AI253*$I$24</f>
        <v/>
      </c>
      <c r="AJ289" s="42">
        <f>AJ191*$I$19+AJ197*$I$20+AJ218*$I$21+AJ226*$I$22+AJ247*$I$23+AJ253*$I$24</f>
        <v/>
      </c>
      <c r="AK289" s="42">
        <f>AK191*$I$19+AK197*$I$20+AK218*$I$21+AK226*$I$22+AK247*$I$23+AK253*$I$24</f>
        <v/>
      </c>
      <c r="AL289" s="42">
        <f>AL191*$I$19+AL197*$I$20+AL218*$I$21+AL226*$I$22+AL247*$I$23+AL253*$I$24</f>
        <v/>
      </c>
      <c r="AM289" s="42">
        <f>AM191*$I$19+AM197*$I$20+AM218*$I$21+AM226*$I$22+AM247*$I$23+AM253*$I$24</f>
        <v/>
      </c>
      <c r="AN289" s="42">
        <f>AN191*$I$19+AN197*$I$20+AN218*$I$21+AN226*$I$22+AN247*$I$23+AN253*$I$24</f>
        <v/>
      </c>
      <c r="AO289" s="42">
        <f>AO191*$I$19+AO197*$I$20+AO218*$I$21+AO226*$I$22+AO247*$I$23+AO253*$I$24</f>
        <v/>
      </c>
      <c r="AP289" s="42">
        <f>AP191*$I$19+AP197*$I$20+AP218*$I$21+AP226*$I$22+AP247*$I$23+AP253*$I$24</f>
        <v/>
      </c>
      <c r="AQ289" s="42">
        <f>AQ191*$I$19+AQ197*$I$20+AQ218*$I$21+AQ226*$I$22+AQ247*$I$23+AQ253*$I$24</f>
        <v/>
      </c>
      <c r="AR289" s="42">
        <f>AR191*$I$19+AR197*$I$20+AR218*$I$21+AR226*$I$22+AR247*$I$23+AR253*$I$24</f>
        <v/>
      </c>
      <c r="AS289" s="42">
        <f>AS191*$I$19+AS197*$I$20+AS218*$I$21+AS226*$I$22+AS247*$I$23+AS253*$I$24</f>
        <v/>
      </c>
      <c r="AT289" s="42">
        <f>AT191*$I$19+AT197*$I$20+AT218*$I$21+AT226*$I$22+AT247*$I$23+AT253*$I$24</f>
        <v/>
      </c>
      <c r="AU289" s="42">
        <f>AU191*$I$19+AU197*$I$20+AU218*$I$21+AU226*$I$22+AU247*$I$23+AU253*$I$24</f>
        <v/>
      </c>
      <c r="AV289" s="42">
        <f>AV191*$I$19+AV197*$I$20+AV218*$I$21+AV226*$I$22+AV247*$I$23+AV253*$I$24</f>
        <v/>
      </c>
      <c r="AW289" s="42">
        <f>AW191*$I$19+AW197*$I$20+AW218*$I$21+AW226*$I$22+AW247*$I$23+AW253*$I$24</f>
        <v/>
      </c>
      <c r="AX289" s="42">
        <f>AX191*$I$19+AX197*$I$20+AX218*$I$21+AX226*$I$22+AX247*$I$23+AX253*$I$24</f>
        <v/>
      </c>
      <c r="AY289" s="42">
        <f>AY191*$I$19+AY197*$I$20+AY218*$I$21+AY226*$I$22+AY247*$I$23+AY253*$I$24</f>
        <v/>
      </c>
      <c r="AZ289" s="42">
        <f>AZ191*$I$19+AZ197*$I$20+AZ218*$I$21+AZ226*$I$22+AZ247*$I$23+AZ253*$I$24</f>
        <v/>
      </c>
      <c r="BA289" s="42">
        <f>BA191*$I$19+BA197*$I$20+BA218*$I$21+BA226*$I$22+BA247*$I$23+BA253*$I$24</f>
        <v/>
      </c>
      <c r="BB289" s="42">
        <f>BB191*$I$19+BB197*$I$20+BB218*$I$21+BB226*$I$22+BB247*$I$23+BB253*$I$24</f>
        <v/>
      </c>
      <c r="BC289" s="42">
        <f>BC191*$I$19+BC197*$I$20+BC218*$I$21+BC226*$I$22+BC247*$I$23+BC253*$I$24</f>
        <v/>
      </c>
      <c r="BD289" s="42">
        <f>BD191*$I$19+BD197*$I$20+BD218*$I$21+BD226*$I$22+BD247*$I$23+BD253*$I$24</f>
        <v/>
      </c>
    </row>
    <row r="290">
      <c r="A290" s="26" t="inlineStr">
        <is>
          <t xml:space="preserve">  packaging</t>
        </is>
      </c>
      <c r="B290" s="2" t="inlineStr">
        <is>
          <t>$</t>
        </is>
      </c>
      <c r="E290" s="42">
        <f>E207+E236+E263</f>
        <v/>
      </c>
      <c r="F290" s="42">
        <f>F207+F236+F263</f>
        <v/>
      </c>
      <c r="G290" s="42">
        <f>G207+G236+G263</f>
        <v/>
      </c>
      <c r="H290" s="42">
        <f>H207+H236+H263</f>
        <v/>
      </c>
      <c r="I290" s="42">
        <f>I207+I236+I263</f>
        <v/>
      </c>
      <c r="J290" s="42">
        <f>J207+J236+J263</f>
        <v/>
      </c>
      <c r="K290" s="42">
        <f>K207+K236+K263</f>
        <v/>
      </c>
      <c r="L290" s="42">
        <f>L207+L236+L263</f>
        <v/>
      </c>
      <c r="M290" s="42">
        <f>M207+M236+M263</f>
        <v/>
      </c>
      <c r="N290" s="42">
        <f>N207+N236+N263</f>
        <v/>
      </c>
      <c r="O290" s="42">
        <f>O207+O236+O263</f>
        <v/>
      </c>
      <c r="P290" s="42">
        <f>P207+P236+P263</f>
        <v/>
      </c>
      <c r="Q290" s="42">
        <f>Q207+Q236+Q263</f>
        <v/>
      </c>
      <c r="R290" s="42">
        <f>R207+R236+R263</f>
        <v/>
      </c>
      <c r="S290" s="42">
        <f>S207+S236+S263</f>
        <v/>
      </c>
      <c r="T290" s="42">
        <f>T207+T236+T263</f>
        <v/>
      </c>
      <c r="U290" s="42">
        <f>U207+U236+U263</f>
        <v/>
      </c>
      <c r="V290" s="42">
        <f>V207+V236+V263</f>
        <v/>
      </c>
      <c r="W290" s="42">
        <f>W207+W236+W263</f>
        <v/>
      </c>
      <c r="X290" s="42">
        <f>X207+X236+X263</f>
        <v/>
      </c>
      <c r="Y290" s="42">
        <f>Y207+Y236+Y263</f>
        <v/>
      </c>
      <c r="Z290" s="42">
        <f>Z207+Z236+Z263</f>
        <v/>
      </c>
      <c r="AA290" s="42">
        <f>AA207+AA236+AA263</f>
        <v/>
      </c>
      <c r="AB290" s="42">
        <f>AB207+AB236+AB263</f>
        <v/>
      </c>
      <c r="AC290" s="42">
        <f>AC207+AC236+AC263</f>
        <v/>
      </c>
      <c r="AD290" s="42">
        <f>AD207+AD236+AD263</f>
        <v/>
      </c>
      <c r="AE290" s="42">
        <f>AE207+AE236+AE263</f>
        <v/>
      </c>
      <c r="AF290" s="42">
        <f>AF207+AF236+AF263</f>
        <v/>
      </c>
      <c r="AG290" s="42">
        <f>AG207+AG236+AG263</f>
        <v/>
      </c>
      <c r="AH290" s="42">
        <f>AH207+AH236+AH263</f>
        <v/>
      </c>
      <c r="AI290" s="42">
        <f>AI207+AI236+AI263</f>
        <v/>
      </c>
      <c r="AJ290" s="42">
        <f>AJ207+AJ236+AJ263</f>
        <v/>
      </c>
      <c r="AK290" s="42">
        <f>AK207+AK236+AK263</f>
        <v/>
      </c>
      <c r="AL290" s="42">
        <f>AL207+AL236+AL263</f>
        <v/>
      </c>
      <c r="AM290" s="42">
        <f>AM207+AM236+AM263</f>
        <v/>
      </c>
      <c r="AN290" s="42">
        <f>AN207+AN236+AN263</f>
        <v/>
      </c>
      <c r="AO290" s="42">
        <f>AO207+AO236+AO263</f>
        <v/>
      </c>
      <c r="AP290" s="42">
        <f>AP207+AP236+AP263</f>
        <v/>
      </c>
      <c r="AQ290" s="42">
        <f>AQ207+AQ236+AQ263</f>
        <v/>
      </c>
      <c r="AR290" s="42">
        <f>AR207+AR236+AR263</f>
        <v/>
      </c>
      <c r="AS290" s="42">
        <f>AS207+AS236+AS263</f>
        <v/>
      </c>
      <c r="AT290" s="42">
        <f>AT207+AT236+AT263</f>
        <v/>
      </c>
      <c r="AU290" s="42">
        <f>AU207+AU236+AU263</f>
        <v/>
      </c>
      <c r="AV290" s="42">
        <f>AV207+AV236+AV263</f>
        <v/>
      </c>
      <c r="AW290" s="42">
        <f>AW207+AW236+AW263</f>
        <v/>
      </c>
      <c r="AX290" s="42">
        <f>AX207+AX236+AX263</f>
        <v/>
      </c>
      <c r="AY290" s="42">
        <f>AY207+AY236+AY263</f>
        <v/>
      </c>
      <c r="AZ290" s="42">
        <f>AZ207+AZ236+AZ263</f>
        <v/>
      </c>
      <c r="BA290" s="42">
        <f>BA207+BA236+BA263</f>
        <v/>
      </c>
      <c r="BB290" s="42">
        <f>BB207+BB236+BB263</f>
        <v/>
      </c>
      <c r="BC290" s="42">
        <f>BC207+BC236+BC263</f>
        <v/>
      </c>
      <c r="BD290" s="42">
        <f>BD207+BD236+BD263</f>
        <v/>
      </c>
    </row>
    <row r="291">
      <c r="A291" s="26" t="inlineStr">
        <is>
          <t xml:space="preserve">  growing cost</t>
        </is>
      </c>
      <c r="B291" s="2" t="inlineStr">
        <is>
          <t>$</t>
        </is>
      </c>
      <c r="E291" s="42">
        <f>E206+E235+E262</f>
        <v/>
      </c>
      <c r="F291" s="42">
        <f>F206+F235+F262</f>
        <v/>
      </c>
      <c r="G291" s="42">
        <f>G206+G235+G262</f>
        <v/>
      </c>
      <c r="H291" s="42">
        <f>H206+H235+H262</f>
        <v/>
      </c>
      <c r="I291" s="42">
        <f>I206+I235+I262</f>
        <v/>
      </c>
      <c r="J291" s="42">
        <f>J206+J235+J262</f>
        <v/>
      </c>
      <c r="K291" s="42">
        <f>K206+K235+K262</f>
        <v/>
      </c>
      <c r="L291" s="42">
        <f>L206+L235+L262</f>
        <v/>
      </c>
      <c r="M291" s="42">
        <f>M206+M235+M262</f>
        <v/>
      </c>
      <c r="N291" s="42">
        <f>N206+N235+N262</f>
        <v/>
      </c>
      <c r="O291" s="42">
        <f>O206+O235+O262</f>
        <v/>
      </c>
      <c r="P291" s="42">
        <f>P206+P235+P262</f>
        <v/>
      </c>
      <c r="Q291" s="42">
        <f>Q206+Q235+Q262</f>
        <v/>
      </c>
      <c r="R291" s="42">
        <f>R206+R235+R262</f>
        <v/>
      </c>
      <c r="S291" s="42">
        <f>S206+S235+S262</f>
        <v/>
      </c>
      <c r="T291" s="42">
        <f>T206+T235+T262</f>
        <v/>
      </c>
      <c r="U291" s="42">
        <f>U206+U235+U262</f>
        <v/>
      </c>
      <c r="V291" s="42">
        <f>V206+V235+V262</f>
        <v/>
      </c>
      <c r="W291" s="42">
        <f>W206+W235+W262</f>
        <v/>
      </c>
      <c r="X291" s="42">
        <f>X206+X235+X262</f>
        <v/>
      </c>
      <c r="Y291" s="42">
        <f>Y206+Y235+Y262</f>
        <v/>
      </c>
      <c r="Z291" s="42">
        <f>Z206+Z235+Z262</f>
        <v/>
      </c>
      <c r="AA291" s="42">
        <f>AA206+AA235+AA262</f>
        <v/>
      </c>
      <c r="AB291" s="42">
        <f>AB206+AB235+AB262</f>
        <v/>
      </c>
      <c r="AC291" s="42">
        <f>AC206+AC235+AC262</f>
        <v/>
      </c>
      <c r="AD291" s="42">
        <f>AD206+AD235+AD262</f>
        <v/>
      </c>
      <c r="AE291" s="42">
        <f>AE206+AE235+AE262</f>
        <v/>
      </c>
      <c r="AF291" s="42">
        <f>AF206+AF235+AF262</f>
        <v/>
      </c>
      <c r="AG291" s="42">
        <f>AG206+AG235+AG262</f>
        <v/>
      </c>
      <c r="AH291" s="42">
        <f>AH206+AH235+AH262</f>
        <v/>
      </c>
      <c r="AI291" s="42">
        <f>AI206+AI235+AI262</f>
        <v/>
      </c>
      <c r="AJ291" s="42">
        <f>AJ206+AJ235+AJ262</f>
        <v/>
      </c>
      <c r="AK291" s="42">
        <f>AK206+AK235+AK262</f>
        <v/>
      </c>
      <c r="AL291" s="42">
        <f>AL206+AL235+AL262</f>
        <v/>
      </c>
      <c r="AM291" s="42">
        <f>AM206+AM235+AM262</f>
        <v/>
      </c>
      <c r="AN291" s="42">
        <f>AN206+AN235+AN262</f>
        <v/>
      </c>
      <c r="AO291" s="42">
        <f>AO206+AO235+AO262</f>
        <v/>
      </c>
      <c r="AP291" s="42">
        <f>AP206+AP235+AP262</f>
        <v/>
      </c>
      <c r="AQ291" s="42">
        <f>AQ206+AQ235+AQ262</f>
        <v/>
      </c>
      <c r="AR291" s="42">
        <f>AR206+AR235+AR262</f>
        <v/>
      </c>
      <c r="AS291" s="42">
        <f>AS206+AS235+AS262</f>
        <v/>
      </c>
      <c r="AT291" s="42">
        <f>AT206+AT235+AT262</f>
        <v/>
      </c>
      <c r="AU291" s="42">
        <f>AU206+AU235+AU262</f>
        <v/>
      </c>
      <c r="AV291" s="42">
        <f>AV206+AV235+AV262</f>
        <v/>
      </c>
      <c r="AW291" s="42">
        <f>AW206+AW235+AW262</f>
        <v/>
      </c>
      <c r="AX291" s="42">
        <f>AX206+AX235+AX262</f>
        <v/>
      </c>
      <c r="AY291" s="42">
        <f>AY206+AY235+AY262</f>
        <v/>
      </c>
      <c r="AZ291" s="42">
        <f>AZ206+AZ235+AZ262</f>
        <v/>
      </c>
      <c r="BA291" s="42">
        <f>BA206+BA235+BA262</f>
        <v/>
      </c>
      <c r="BB291" s="42">
        <f>BB206+BB235+BB262</f>
        <v/>
      </c>
      <c r="BC291" s="42">
        <f>BC206+BC235+BC262</f>
        <v/>
      </c>
      <c r="BD291" s="42">
        <f>BD206+BD235+BD262</f>
        <v/>
      </c>
    </row>
    <row r="292">
      <c r="A292" s="26" t="inlineStr">
        <is>
          <t xml:space="preserve">  fixed cost</t>
        </is>
      </c>
      <c r="B292" s="2" t="inlineStr">
        <is>
          <t>$</t>
        </is>
      </c>
      <c r="E292" s="42">
        <f>$B$284</f>
        <v/>
      </c>
      <c r="F292" s="42">
        <f>$B$284</f>
        <v/>
      </c>
      <c r="G292" s="42">
        <f>$B$284</f>
        <v/>
      </c>
      <c r="H292" s="42">
        <f>$B$284</f>
        <v/>
      </c>
      <c r="I292" s="42">
        <f>$B$284</f>
        <v/>
      </c>
      <c r="J292" s="42">
        <f>$B$284</f>
        <v/>
      </c>
      <c r="K292" s="42">
        <f>$B$284</f>
        <v/>
      </c>
      <c r="L292" s="42">
        <f>$B$284</f>
        <v/>
      </c>
      <c r="M292" s="42">
        <f>$B$284</f>
        <v/>
      </c>
      <c r="N292" s="42">
        <f>$B$284</f>
        <v/>
      </c>
      <c r="O292" s="42">
        <f>$B$284</f>
        <v/>
      </c>
      <c r="P292" s="42">
        <f>$B$284</f>
        <v/>
      </c>
      <c r="Q292" s="42">
        <f>$B$284</f>
        <v/>
      </c>
      <c r="R292" s="42">
        <f>$B$284</f>
        <v/>
      </c>
      <c r="S292" s="42">
        <f>$B$284</f>
        <v/>
      </c>
      <c r="T292" s="42">
        <f>$B$284</f>
        <v/>
      </c>
      <c r="U292" s="42">
        <f>$B$284</f>
        <v/>
      </c>
      <c r="V292" s="42">
        <f>$B$284</f>
        <v/>
      </c>
      <c r="W292" s="42">
        <f>$B$284</f>
        <v/>
      </c>
      <c r="X292" s="42">
        <f>$B$284</f>
        <v/>
      </c>
      <c r="Y292" s="42">
        <f>$B$284</f>
        <v/>
      </c>
      <c r="Z292" s="42">
        <f>$B$284</f>
        <v/>
      </c>
      <c r="AA292" s="42">
        <f>$B$284</f>
        <v/>
      </c>
      <c r="AB292" s="42">
        <f>$B$284</f>
        <v/>
      </c>
      <c r="AC292" s="42">
        <f>$B$284</f>
        <v/>
      </c>
      <c r="AD292" s="42">
        <f>$B$284</f>
        <v/>
      </c>
      <c r="AE292" s="42">
        <f>$B$284</f>
        <v/>
      </c>
      <c r="AF292" s="42">
        <f>$B$284</f>
        <v/>
      </c>
      <c r="AG292" s="42">
        <f>$B$284</f>
        <v/>
      </c>
      <c r="AH292" s="42">
        <f>$B$284</f>
        <v/>
      </c>
      <c r="AI292" s="42">
        <f>$B$284</f>
        <v/>
      </c>
      <c r="AJ292" s="42">
        <f>$B$284</f>
        <v/>
      </c>
      <c r="AK292" s="42">
        <f>$B$284</f>
        <v/>
      </c>
      <c r="AL292" s="42">
        <f>$B$284</f>
        <v/>
      </c>
      <c r="AM292" s="42">
        <f>$B$284</f>
        <v/>
      </c>
      <c r="AN292" s="42">
        <f>$B$284</f>
        <v/>
      </c>
      <c r="AO292" s="42">
        <f>$B$284</f>
        <v/>
      </c>
      <c r="AP292" s="42">
        <f>$B$284</f>
        <v/>
      </c>
      <c r="AQ292" s="42">
        <f>$B$284</f>
        <v/>
      </c>
      <c r="AR292" s="42">
        <f>$B$284</f>
        <v/>
      </c>
      <c r="AS292" s="42">
        <f>$B$284</f>
        <v/>
      </c>
      <c r="AT292" s="42">
        <f>$B$284</f>
        <v/>
      </c>
      <c r="AU292" s="42">
        <f>$B$284</f>
        <v/>
      </c>
      <c r="AV292" s="42">
        <f>$B$284</f>
        <v/>
      </c>
      <c r="AW292" s="42">
        <f>$B$284</f>
        <v/>
      </c>
      <c r="AX292" s="42">
        <f>$B$284</f>
        <v/>
      </c>
      <c r="AY292" s="42">
        <f>$B$284</f>
        <v/>
      </c>
      <c r="AZ292" s="42">
        <f>$B$284</f>
        <v/>
      </c>
      <c r="BA292" s="42">
        <f>$B$284</f>
        <v/>
      </c>
      <c r="BB292" s="42">
        <f>$B$284</f>
        <v/>
      </c>
      <c r="BC292" s="42">
        <f>$B$284</f>
        <v/>
      </c>
      <c r="BD292" s="42">
        <f>$B$284</f>
        <v/>
      </c>
    </row>
    <row r="293">
      <c r="A293" s="26" t="inlineStr">
        <is>
          <t xml:space="preserve">  overhead</t>
        </is>
      </c>
      <c r="B293" s="2" t="inlineStr">
        <is>
          <t>$</t>
        </is>
      </c>
      <c r="E293" s="42">
        <f>E289*$B$285</f>
        <v/>
      </c>
      <c r="F293" s="42">
        <f>F289*$B$285</f>
        <v/>
      </c>
      <c r="G293" s="42">
        <f>G289*$B$285</f>
        <v/>
      </c>
      <c r="H293" s="42">
        <f>H289*$B$285</f>
        <v/>
      </c>
      <c r="I293" s="42">
        <f>I289*$B$285</f>
        <v/>
      </c>
      <c r="J293" s="42">
        <f>J289*$B$285</f>
        <v/>
      </c>
      <c r="K293" s="42">
        <f>K289*$B$285</f>
        <v/>
      </c>
      <c r="L293" s="42">
        <f>L289*$B$285</f>
        <v/>
      </c>
      <c r="M293" s="42">
        <f>M289*$B$285</f>
        <v/>
      </c>
      <c r="N293" s="42">
        <f>N289*$B$285</f>
        <v/>
      </c>
      <c r="O293" s="42">
        <f>O289*$B$285</f>
        <v/>
      </c>
      <c r="P293" s="42">
        <f>P289*$B$285</f>
        <v/>
      </c>
      <c r="Q293" s="42">
        <f>Q289*$B$285</f>
        <v/>
      </c>
      <c r="R293" s="42">
        <f>R289*$B$285</f>
        <v/>
      </c>
      <c r="S293" s="42">
        <f>S289*$B$285</f>
        <v/>
      </c>
      <c r="T293" s="42">
        <f>T289*$B$285</f>
        <v/>
      </c>
      <c r="U293" s="42">
        <f>U289*$B$285</f>
        <v/>
      </c>
      <c r="V293" s="42">
        <f>V289*$B$285</f>
        <v/>
      </c>
      <c r="W293" s="42">
        <f>W289*$B$285</f>
        <v/>
      </c>
      <c r="X293" s="42">
        <f>X289*$B$285</f>
        <v/>
      </c>
      <c r="Y293" s="42">
        <f>Y289*$B$285</f>
        <v/>
      </c>
      <c r="Z293" s="42">
        <f>Z289*$B$285</f>
        <v/>
      </c>
      <c r="AA293" s="42">
        <f>AA289*$B$285</f>
        <v/>
      </c>
      <c r="AB293" s="42">
        <f>AB289*$B$285</f>
        <v/>
      </c>
      <c r="AC293" s="42">
        <f>AC289*$B$285</f>
        <v/>
      </c>
      <c r="AD293" s="42">
        <f>AD289*$B$285</f>
        <v/>
      </c>
      <c r="AE293" s="42">
        <f>AE289*$B$285</f>
        <v/>
      </c>
      <c r="AF293" s="42">
        <f>AF289*$B$285</f>
        <v/>
      </c>
      <c r="AG293" s="42">
        <f>AG289*$B$285</f>
        <v/>
      </c>
      <c r="AH293" s="42">
        <f>AH289*$B$285</f>
        <v/>
      </c>
      <c r="AI293" s="42">
        <f>AI289*$B$285</f>
        <v/>
      </c>
      <c r="AJ293" s="42">
        <f>AJ289*$B$285</f>
        <v/>
      </c>
      <c r="AK293" s="42">
        <f>AK289*$B$285</f>
        <v/>
      </c>
      <c r="AL293" s="42">
        <f>AL289*$B$285</f>
        <v/>
      </c>
      <c r="AM293" s="42">
        <f>AM289*$B$285</f>
        <v/>
      </c>
      <c r="AN293" s="42">
        <f>AN289*$B$285</f>
        <v/>
      </c>
      <c r="AO293" s="42">
        <f>AO289*$B$285</f>
        <v/>
      </c>
      <c r="AP293" s="42">
        <f>AP289*$B$285</f>
        <v/>
      </c>
      <c r="AQ293" s="42">
        <f>AQ289*$B$285</f>
        <v/>
      </c>
      <c r="AR293" s="42">
        <f>AR289*$B$285</f>
        <v/>
      </c>
      <c r="AS293" s="42">
        <f>AS289*$B$285</f>
        <v/>
      </c>
      <c r="AT293" s="42">
        <f>AT289*$B$285</f>
        <v/>
      </c>
      <c r="AU293" s="42">
        <f>AU289*$B$285</f>
        <v/>
      </c>
      <c r="AV293" s="42">
        <f>AV289*$B$285</f>
        <v/>
      </c>
      <c r="AW293" s="42">
        <f>AW289*$B$285</f>
        <v/>
      </c>
      <c r="AX293" s="42">
        <f>AX289*$B$285</f>
        <v/>
      </c>
      <c r="AY293" s="42">
        <f>AY289*$B$285</f>
        <v/>
      </c>
      <c r="AZ293" s="42">
        <f>AZ289*$B$285</f>
        <v/>
      </c>
      <c r="BA293" s="42">
        <f>BA289*$B$285</f>
        <v/>
      </c>
      <c r="BB293" s="42">
        <f>BB289*$B$285</f>
        <v/>
      </c>
      <c r="BC293" s="42">
        <f>BC289*$B$285</f>
        <v/>
      </c>
      <c r="BD293" s="42">
        <f>BD289*$B$285</f>
        <v/>
      </c>
    </row>
    <row r="294">
      <c r="A294" s="26" t="inlineStr">
        <is>
          <t xml:space="preserve">  wages</t>
        </is>
      </c>
      <c r="B294" s="2" t="inlineStr">
        <is>
          <t>$</t>
        </is>
      </c>
      <c r="E294" s="42">
        <f>E161</f>
        <v/>
      </c>
      <c r="F294" s="42">
        <f>F161</f>
        <v/>
      </c>
      <c r="G294" s="42">
        <f>G161</f>
        <v/>
      </c>
      <c r="H294" s="42">
        <f>H161</f>
        <v/>
      </c>
      <c r="I294" s="42">
        <f>I161</f>
        <v/>
      </c>
      <c r="J294" s="42">
        <f>J161</f>
        <v/>
      </c>
      <c r="K294" s="42">
        <f>K161</f>
        <v/>
      </c>
      <c r="L294" s="42">
        <f>L161</f>
        <v/>
      </c>
      <c r="M294" s="42">
        <f>M161</f>
        <v/>
      </c>
      <c r="N294" s="42">
        <f>N161</f>
        <v/>
      </c>
      <c r="O294" s="42">
        <f>O161</f>
        <v/>
      </c>
      <c r="P294" s="42">
        <f>P161</f>
        <v/>
      </c>
      <c r="Q294" s="42">
        <f>Q161</f>
        <v/>
      </c>
      <c r="R294" s="42">
        <f>R161</f>
        <v/>
      </c>
      <c r="S294" s="42">
        <f>S161</f>
        <v/>
      </c>
      <c r="T294" s="42">
        <f>T161</f>
        <v/>
      </c>
      <c r="U294" s="42">
        <f>U161</f>
        <v/>
      </c>
      <c r="V294" s="42">
        <f>V161</f>
        <v/>
      </c>
      <c r="W294" s="42">
        <f>W161</f>
        <v/>
      </c>
      <c r="X294" s="42">
        <f>X161</f>
        <v/>
      </c>
      <c r="Y294" s="42">
        <f>Y161</f>
        <v/>
      </c>
      <c r="Z294" s="42">
        <f>Z161</f>
        <v/>
      </c>
      <c r="AA294" s="42">
        <f>AA161</f>
        <v/>
      </c>
      <c r="AB294" s="42">
        <f>AB161</f>
        <v/>
      </c>
      <c r="AC294" s="42">
        <f>AC161</f>
        <v/>
      </c>
      <c r="AD294" s="42">
        <f>AD161</f>
        <v/>
      </c>
      <c r="AE294" s="42">
        <f>AE161</f>
        <v/>
      </c>
      <c r="AF294" s="42">
        <f>AF161</f>
        <v/>
      </c>
      <c r="AG294" s="42">
        <f>AG161</f>
        <v/>
      </c>
      <c r="AH294" s="42">
        <f>AH161</f>
        <v/>
      </c>
      <c r="AI294" s="42">
        <f>AI161</f>
        <v/>
      </c>
      <c r="AJ294" s="42">
        <f>AJ161</f>
        <v/>
      </c>
      <c r="AK294" s="42">
        <f>AK161</f>
        <v/>
      </c>
      <c r="AL294" s="42">
        <f>AL161</f>
        <v/>
      </c>
      <c r="AM294" s="42">
        <f>AM161</f>
        <v/>
      </c>
      <c r="AN294" s="42">
        <f>AN161</f>
        <v/>
      </c>
      <c r="AO294" s="42">
        <f>AO161</f>
        <v/>
      </c>
      <c r="AP294" s="42">
        <f>AP161</f>
        <v/>
      </c>
      <c r="AQ294" s="42">
        <f>AQ161</f>
        <v/>
      </c>
      <c r="AR294" s="42">
        <f>AR161</f>
        <v/>
      </c>
      <c r="AS294" s="42">
        <f>AS161</f>
        <v/>
      </c>
      <c r="AT294" s="42">
        <f>AT161</f>
        <v/>
      </c>
      <c r="AU294" s="42">
        <f>AU161</f>
        <v/>
      </c>
      <c r="AV294" s="42">
        <f>AV161</f>
        <v/>
      </c>
      <c r="AW294" s="42">
        <f>AW161</f>
        <v/>
      </c>
      <c r="AX294" s="42">
        <f>AX161</f>
        <v/>
      </c>
      <c r="AY294" s="42">
        <f>AY161</f>
        <v/>
      </c>
      <c r="AZ294" s="42">
        <f>AZ161</f>
        <v/>
      </c>
      <c r="BA294" s="42">
        <f>BA161</f>
        <v/>
      </c>
      <c r="BB294" s="42">
        <f>BB161</f>
        <v/>
      </c>
      <c r="BC294" s="42">
        <f>BC161</f>
        <v/>
      </c>
      <c r="BD294" s="42">
        <f>BD161</f>
        <v/>
      </c>
    </row>
    <row r="295">
      <c r="A295" s="26" t="inlineStr">
        <is>
          <t xml:space="preserve">  overtime</t>
        </is>
      </c>
      <c r="B295" s="2" t="inlineStr">
        <is>
          <t>$</t>
        </is>
      </c>
      <c r="E295" s="42">
        <f>E165</f>
        <v/>
      </c>
      <c r="F295" s="42">
        <f>F165</f>
        <v/>
      </c>
      <c r="G295" s="42">
        <f>G165</f>
        <v/>
      </c>
      <c r="H295" s="42">
        <f>H165</f>
        <v/>
      </c>
      <c r="I295" s="42">
        <f>I165</f>
        <v/>
      </c>
      <c r="J295" s="42">
        <f>J165</f>
        <v/>
      </c>
      <c r="K295" s="42">
        <f>K165</f>
        <v/>
      </c>
      <c r="L295" s="42">
        <f>L165</f>
        <v/>
      </c>
      <c r="M295" s="42">
        <f>M165</f>
        <v/>
      </c>
      <c r="N295" s="42">
        <f>N165</f>
        <v/>
      </c>
      <c r="O295" s="42">
        <f>O165</f>
        <v/>
      </c>
      <c r="P295" s="42">
        <f>P165</f>
        <v/>
      </c>
      <c r="Q295" s="42">
        <f>Q165</f>
        <v/>
      </c>
      <c r="R295" s="42">
        <f>R165</f>
        <v/>
      </c>
      <c r="S295" s="42">
        <f>S165</f>
        <v/>
      </c>
      <c r="T295" s="42">
        <f>T165</f>
        <v/>
      </c>
      <c r="U295" s="42">
        <f>U165</f>
        <v/>
      </c>
      <c r="V295" s="42">
        <f>V165</f>
        <v/>
      </c>
      <c r="W295" s="42">
        <f>W165</f>
        <v/>
      </c>
      <c r="X295" s="42">
        <f>X165</f>
        <v/>
      </c>
      <c r="Y295" s="42">
        <f>Y165</f>
        <v/>
      </c>
      <c r="Z295" s="42">
        <f>Z165</f>
        <v/>
      </c>
      <c r="AA295" s="42">
        <f>AA165</f>
        <v/>
      </c>
      <c r="AB295" s="42">
        <f>AB165</f>
        <v/>
      </c>
      <c r="AC295" s="42">
        <f>AC165</f>
        <v/>
      </c>
      <c r="AD295" s="42">
        <f>AD165</f>
        <v/>
      </c>
      <c r="AE295" s="42">
        <f>AE165</f>
        <v/>
      </c>
      <c r="AF295" s="42">
        <f>AF165</f>
        <v/>
      </c>
      <c r="AG295" s="42">
        <f>AG165</f>
        <v/>
      </c>
      <c r="AH295" s="42">
        <f>AH165</f>
        <v/>
      </c>
      <c r="AI295" s="42">
        <f>AI165</f>
        <v/>
      </c>
      <c r="AJ295" s="42">
        <f>AJ165</f>
        <v/>
      </c>
      <c r="AK295" s="42">
        <f>AK165</f>
        <v/>
      </c>
      <c r="AL295" s="42">
        <f>AL165</f>
        <v/>
      </c>
      <c r="AM295" s="42">
        <f>AM165</f>
        <v/>
      </c>
      <c r="AN295" s="42">
        <f>AN165</f>
        <v/>
      </c>
      <c r="AO295" s="42">
        <f>AO165</f>
        <v/>
      </c>
      <c r="AP295" s="42">
        <f>AP165</f>
        <v/>
      </c>
      <c r="AQ295" s="42">
        <f>AQ165</f>
        <v/>
      </c>
      <c r="AR295" s="42">
        <f>AR165</f>
        <v/>
      </c>
      <c r="AS295" s="42">
        <f>AS165</f>
        <v/>
      </c>
      <c r="AT295" s="42">
        <f>AT165</f>
        <v/>
      </c>
      <c r="AU295" s="42">
        <f>AU165</f>
        <v/>
      </c>
      <c r="AV295" s="42">
        <f>AV165</f>
        <v/>
      </c>
      <c r="AW295" s="42">
        <f>AW165</f>
        <v/>
      </c>
      <c r="AX295" s="42">
        <f>AX165</f>
        <v/>
      </c>
      <c r="AY295" s="42">
        <f>AY165</f>
        <v/>
      </c>
      <c r="AZ295" s="42">
        <f>AZ165</f>
        <v/>
      </c>
      <c r="BA295" s="42">
        <f>BA165</f>
        <v/>
      </c>
      <c r="BB295" s="42">
        <f>BB165</f>
        <v/>
      </c>
      <c r="BC295" s="42">
        <f>BC165</f>
        <v/>
      </c>
      <c r="BD295" s="42">
        <f>BD165</f>
        <v/>
      </c>
    </row>
    <row r="296">
      <c r="A296" s="26" t="inlineStr">
        <is>
          <t xml:space="preserve">  advisory crew</t>
        </is>
      </c>
      <c r="B296" s="2" t="inlineStr">
        <is>
          <t>$</t>
        </is>
      </c>
      <c r="E296" s="42">
        <f>E163</f>
        <v/>
      </c>
      <c r="F296" s="42">
        <f>F163</f>
        <v/>
      </c>
      <c r="G296" s="42">
        <f>G163</f>
        <v/>
      </c>
      <c r="H296" s="42">
        <f>H163</f>
        <v/>
      </c>
      <c r="I296" s="42">
        <f>I163</f>
        <v/>
      </c>
      <c r="J296" s="42">
        <f>J163</f>
        <v/>
      </c>
      <c r="K296" s="42">
        <f>K163</f>
        <v/>
      </c>
      <c r="L296" s="42">
        <f>L163</f>
        <v/>
      </c>
      <c r="M296" s="42">
        <f>M163</f>
        <v/>
      </c>
      <c r="N296" s="42">
        <f>N163</f>
        <v/>
      </c>
      <c r="O296" s="42">
        <f>O163</f>
        <v/>
      </c>
      <c r="P296" s="42">
        <f>P163</f>
        <v/>
      </c>
      <c r="Q296" s="42">
        <f>Q163</f>
        <v/>
      </c>
      <c r="R296" s="42">
        <f>R163</f>
        <v/>
      </c>
      <c r="S296" s="42">
        <f>S163</f>
        <v/>
      </c>
      <c r="T296" s="42">
        <f>T163</f>
        <v/>
      </c>
      <c r="U296" s="42">
        <f>U163</f>
        <v/>
      </c>
      <c r="V296" s="42">
        <f>V163</f>
        <v/>
      </c>
      <c r="W296" s="42">
        <f>W163</f>
        <v/>
      </c>
      <c r="X296" s="42">
        <f>X163</f>
        <v/>
      </c>
      <c r="Y296" s="42">
        <f>Y163</f>
        <v/>
      </c>
      <c r="Z296" s="42">
        <f>Z163</f>
        <v/>
      </c>
      <c r="AA296" s="42">
        <f>AA163</f>
        <v/>
      </c>
      <c r="AB296" s="42">
        <f>AB163</f>
        <v/>
      </c>
      <c r="AC296" s="42">
        <f>AC163</f>
        <v/>
      </c>
      <c r="AD296" s="42">
        <f>AD163</f>
        <v/>
      </c>
      <c r="AE296" s="42">
        <f>AE163</f>
        <v/>
      </c>
      <c r="AF296" s="42">
        <f>AF163</f>
        <v/>
      </c>
      <c r="AG296" s="42">
        <f>AG163</f>
        <v/>
      </c>
      <c r="AH296" s="42">
        <f>AH163</f>
        <v/>
      </c>
      <c r="AI296" s="42">
        <f>AI163</f>
        <v/>
      </c>
      <c r="AJ296" s="42">
        <f>AJ163</f>
        <v/>
      </c>
      <c r="AK296" s="42">
        <f>AK163</f>
        <v/>
      </c>
      <c r="AL296" s="42">
        <f>AL163</f>
        <v/>
      </c>
      <c r="AM296" s="42">
        <f>AM163</f>
        <v/>
      </c>
      <c r="AN296" s="42">
        <f>AN163</f>
        <v/>
      </c>
      <c r="AO296" s="42">
        <f>AO163</f>
        <v/>
      </c>
      <c r="AP296" s="42">
        <f>AP163</f>
        <v/>
      </c>
      <c r="AQ296" s="42">
        <f>AQ163</f>
        <v/>
      </c>
      <c r="AR296" s="42">
        <f>AR163</f>
        <v/>
      </c>
      <c r="AS296" s="42">
        <f>AS163</f>
        <v/>
      </c>
      <c r="AT296" s="42">
        <f>AT163</f>
        <v/>
      </c>
      <c r="AU296" s="42">
        <f>AU163</f>
        <v/>
      </c>
      <c r="AV296" s="42">
        <f>AV163</f>
        <v/>
      </c>
      <c r="AW296" s="42">
        <f>AW163</f>
        <v/>
      </c>
      <c r="AX296" s="42">
        <f>AX163</f>
        <v/>
      </c>
      <c r="AY296" s="42">
        <f>AY163</f>
        <v/>
      </c>
      <c r="AZ296" s="42">
        <f>AZ163</f>
        <v/>
      </c>
      <c r="BA296" s="42">
        <f>BA163</f>
        <v/>
      </c>
      <c r="BB296" s="42">
        <f>BB163</f>
        <v/>
      </c>
      <c r="BC296" s="42">
        <f>BC163</f>
        <v/>
      </c>
      <c r="BD296" s="42">
        <f>BD163</f>
        <v/>
      </c>
    </row>
    <row r="297">
      <c r="A297" s="4" t="inlineStr">
        <is>
          <t>NET CASH this week</t>
        </is>
      </c>
      <c r="B297" s="2" t="inlineStr">
        <is>
          <t>$</t>
        </is>
      </c>
      <c r="E297" s="42">
        <f>E289-E290-E291-E292-E293-E294-E295-E296</f>
        <v/>
      </c>
      <c r="F297" s="42">
        <f>F289-F290-F291-F292-F293-F294-F295-F296</f>
        <v/>
      </c>
      <c r="G297" s="42">
        <f>G289-G290-G291-G292-G293-G294-G295-G296</f>
        <v/>
      </c>
      <c r="H297" s="42">
        <f>H289-H290-H291-H292-H293-H294-H295-H296</f>
        <v/>
      </c>
      <c r="I297" s="42">
        <f>I289-I290-I291-I292-I293-I294-I295-I296</f>
        <v/>
      </c>
      <c r="J297" s="42">
        <f>J289-J290-J291-J292-J293-J294-J295-J296</f>
        <v/>
      </c>
      <c r="K297" s="42">
        <f>K289-K290-K291-K292-K293-K294-K295-K296</f>
        <v/>
      </c>
      <c r="L297" s="42">
        <f>L289-L290-L291-L292-L293-L294-L295-L296</f>
        <v/>
      </c>
      <c r="M297" s="42">
        <f>M289-M290-M291-M292-M293-M294-M295-M296</f>
        <v/>
      </c>
      <c r="N297" s="42">
        <f>N289-N290-N291-N292-N293-N294-N295-N296</f>
        <v/>
      </c>
      <c r="O297" s="42">
        <f>O289-O290-O291-O292-O293-O294-O295-O296</f>
        <v/>
      </c>
      <c r="P297" s="42">
        <f>P289-P290-P291-P292-P293-P294-P295-P296</f>
        <v/>
      </c>
      <c r="Q297" s="42">
        <f>Q289-Q290-Q291-Q292-Q293-Q294-Q295-Q296</f>
        <v/>
      </c>
      <c r="R297" s="42">
        <f>R289-R290-R291-R292-R293-R294-R295-R296</f>
        <v/>
      </c>
      <c r="S297" s="42">
        <f>S289-S290-S291-S292-S293-S294-S295-S296</f>
        <v/>
      </c>
      <c r="T297" s="42">
        <f>T289-T290-T291-T292-T293-T294-T295-T296</f>
        <v/>
      </c>
      <c r="U297" s="42">
        <f>U289-U290-U291-U292-U293-U294-U295-U296</f>
        <v/>
      </c>
      <c r="V297" s="42">
        <f>V289-V290-V291-V292-V293-V294-V295-V296</f>
        <v/>
      </c>
      <c r="W297" s="42">
        <f>W289-W290-W291-W292-W293-W294-W295-W296</f>
        <v/>
      </c>
      <c r="X297" s="42">
        <f>X289-X290-X291-X292-X293-X294-X295-X296</f>
        <v/>
      </c>
      <c r="Y297" s="42">
        <f>Y289-Y290-Y291-Y292-Y293-Y294-Y295-Y296</f>
        <v/>
      </c>
      <c r="Z297" s="42">
        <f>Z289-Z290-Z291-Z292-Z293-Z294-Z295-Z296</f>
        <v/>
      </c>
      <c r="AA297" s="42">
        <f>AA289-AA290-AA291-AA292-AA293-AA294-AA295-AA296</f>
        <v/>
      </c>
      <c r="AB297" s="42">
        <f>AB289-AB290-AB291-AB292-AB293-AB294-AB295-AB296</f>
        <v/>
      </c>
      <c r="AC297" s="42">
        <f>AC289-AC290-AC291-AC292-AC293-AC294-AC295-AC296</f>
        <v/>
      </c>
      <c r="AD297" s="42">
        <f>AD289-AD290-AD291-AD292-AD293-AD294-AD295-AD296</f>
        <v/>
      </c>
      <c r="AE297" s="42">
        <f>AE289-AE290-AE291-AE292-AE293-AE294-AE295-AE296</f>
        <v/>
      </c>
      <c r="AF297" s="42">
        <f>AF289-AF290-AF291-AF292-AF293-AF294-AF295-AF296</f>
        <v/>
      </c>
      <c r="AG297" s="42">
        <f>AG289-AG290-AG291-AG292-AG293-AG294-AG295-AG296</f>
        <v/>
      </c>
      <c r="AH297" s="42">
        <f>AH289-AH290-AH291-AH292-AH293-AH294-AH295-AH296</f>
        <v/>
      </c>
      <c r="AI297" s="42">
        <f>AI289-AI290-AI291-AI292-AI293-AI294-AI295-AI296</f>
        <v/>
      </c>
      <c r="AJ297" s="42">
        <f>AJ289-AJ290-AJ291-AJ292-AJ293-AJ294-AJ295-AJ296</f>
        <v/>
      </c>
      <c r="AK297" s="42">
        <f>AK289-AK290-AK291-AK292-AK293-AK294-AK295-AK296</f>
        <v/>
      </c>
      <c r="AL297" s="42">
        <f>AL289-AL290-AL291-AL292-AL293-AL294-AL295-AL296</f>
        <v/>
      </c>
      <c r="AM297" s="42">
        <f>AM289-AM290-AM291-AM292-AM293-AM294-AM295-AM296</f>
        <v/>
      </c>
      <c r="AN297" s="42">
        <f>AN289-AN290-AN291-AN292-AN293-AN294-AN295-AN296</f>
        <v/>
      </c>
      <c r="AO297" s="42">
        <f>AO289-AO290-AO291-AO292-AO293-AO294-AO295-AO296</f>
        <v/>
      </c>
      <c r="AP297" s="42">
        <f>AP289-AP290-AP291-AP292-AP293-AP294-AP295-AP296</f>
        <v/>
      </c>
      <c r="AQ297" s="42">
        <f>AQ289-AQ290-AQ291-AQ292-AQ293-AQ294-AQ295-AQ296</f>
        <v/>
      </c>
      <c r="AR297" s="42">
        <f>AR289-AR290-AR291-AR292-AR293-AR294-AR295-AR296</f>
        <v/>
      </c>
      <c r="AS297" s="42">
        <f>AS289-AS290-AS291-AS292-AS293-AS294-AS295-AS296</f>
        <v/>
      </c>
      <c r="AT297" s="42">
        <f>AT289-AT290-AT291-AT292-AT293-AT294-AT295-AT296</f>
        <v/>
      </c>
      <c r="AU297" s="42">
        <f>AU289-AU290-AU291-AU292-AU293-AU294-AU295-AU296</f>
        <v/>
      </c>
      <c r="AV297" s="42">
        <f>AV289-AV290-AV291-AV292-AV293-AV294-AV295-AV296</f>
        <v/>
      </c>
      <c r="AW297" s="42">
        <f>AW289-AW290-AW291-AW292-AW293-AW294-AW295-AW296</f>
        <v/>
      </c>
      <c r="AX297" s="42">
        <f>AX289-AX290-AX291-AX292-AX293-AX294-AX295-AX296</f>
        <v/>
      </c>
      <c r="AY297" s="42">
        <f>AY289-AY290-AY291-AY292-AY293-AY294-AY295-AY296</f>
        <v/>
      </c>
      <c r="AZ297" s="42">
        <f>AZ289-AZ290-AZ291-AZ292-AZ293-AZ294-AZ295-AZ296</f>
        <v/>
      </c>
      <c r="BA297" s="42">
        <f>BA289-BA290-BA291-BA292-BA293-BA294-BA295-BA296</f>
        <v/>
      </c>
      <c r="BB297" s="42">
        <f>BB289-BB290-BB291-BB292-BB293-BB294-BB295-BB296</f>
        <v/>
      </c>
      <c r="BC297" s="42">
        <f>BC289-BC290-BC291-BC292-BC293-BC294-BC295-BC296</f>
        <v/>
      </c>
      <c r="BD297" s="42">
        <f>BD289-BD290-BD291-BD292-BD293-BD294-BD295-BD296</f>
        <v/>
      </c>
    </row>
    <row r="299">
      <c r="A299" s="30" t="inlineStr">
        <is>
          <t>Week</t>
        </is>
      </c>
      <c r="B299" s="38" t="inlineStr">
        <is>
          <t>$</t>
        </is>
      </c>
      <c r="E299" s="31" t="n">
        <v>1</v>
      </c>
      <c r="F299" s="31" t="n">
        <v>2</v>
      </c>
      <c r="G299" s="31" t="n">
        <v>3</v>
      </c>
      <c r="H299" s="31" t="n">
        <v>4</v>
      </c>
      <c r="I299" s="31" t="n">
        <v>5</v>
      </c>
      <c r="J299" s="31" t="n">
        <v>6</v>
      </c>
      <c r="K299" s="31" t="n">
        <v>7</v>
      </c>
      <c r="L299" s="31" t="n">
        <v>8</v>
      </c>
      <c r="M299" s="31" t="n">
        <v>9</v>
      </c>
      <c r="N299" s="31" t="n">
        <v>10</v>
      </c>
      <c r="O299" s="31" t="n">
        <v>11</v>
      </c>
      <c r="P299" s="31" t="n">
        <v>12</v>
      </c>
      <c r="Q299" s="31" t="n">
        <v>13</v>
      </c>
      <c r="R299" s="31" t="n">
        <v>14</v>
      </c>
      <c r="S299" s="31" t="n">
        <v>15</v>
      </c>
      <c r="T299" s="31" t="n">
        <v>16</v>
      </c>
      <c r="U299" s="31" t="n">
        <v>17</v>
      </c>
      <c r="V299" s="31" t="n">
        <v>18</v>
      </c>
      <c r="W299" s="31" t="n">
        <v>19</v>
      </c>
      <c r="X299" s="31" t="n">
        <v>20</v>
      </c>
      <c r="Y299" s="31" t="n">
        <v>21</v>
      </c>
      <c r="Z299" s="31" t="n">
        <v>22</v>
      </c>
      <c r="AA299" s="31" t="n">
        <v>23</v>
      </c>
      <c r="AB299" s="31" t="n">
        <v>24</v>
      </c>
      <c r="AC299" s="31" t="n">
        <v>25</v>
      </c>
      <c r="AD299" s="31" t="n">
        <v>26</v>
      </c>
      <c r="AE299" s="31" t="n">
        <v>27</v>
      </c>
      <c r="AF299" s="31" t="n">
        <v>28</v>
      </c>
      <c r="AG299" s="31" t="n">
        <v>29</v>
      </c>
      <c r="AH299" s="31" t="n">
        <v>30</v>
      </c>
      <c r="AI299" s="31" t="n">
        <v>31</v>
      </c>
      <c r="AJ299" s="31" t="n">
        <v>32</v>
      </c>
      <c r="AK299" s="31" t="n">
        <v>33</v>
      </c>
      <c r="AL299" s="31" t="n">
        <v>34</v>
      </c>
      <c r="AM299" s="31" t="n">
        <v>35</v>
      </c>
      <c r="AN299" s="31" t="n">
        <v>36</v>
      </c>
      <c r="AO299" s="31" t="n">
        <v>37</v>
      </c>
      <c r="AP299" s="31" t="n">
        <v>38</v>
      </c>
      <c r="AQ299" s="31" t="n">
        <v>39</v>
      </c>
      <c r="AR299" s="31" t="n">
        <v>40</v>
      </c>
      <c r="AS299" s="31" t="n">
        <v>41</v>
      </c>
      <c r="AT299" s="31" t="n">
        <v>42</v>
      </c>
      <c r="AU299" s="31" t="n">
        <v>43</v>
      </c>
      <c r="AV299" s="31" t="n">
        <v>44</v>
      </c>
      <c r="AW299" s="31" t="n">
        <v>45</v>
      </c>
      <c r="AX299" s="31" t="n">
        <v>46</v>
      </c>
      <c r="AY299" s="31" t="n">
        <v>47</v>
      </c>
      <c r="AZ299" s="31" t="n">
        <v>48</v>
      </c>
      <c r="BA299" s="31" t="n">
        <v>49</v>
      </c>
      <c r="BB299" s="31" t="n">
        <v>50</v>
      </c>
      <c r="BC299" s="31" t="n">
        <v>51</v>
      </c>
      <c r="BD299" s="31" t="n">
        <v>52</v>
      </c>
    </row>
    <row r="300">
      <c r="A300" s="24" t="inlineStr">
        <is>
          <t>CASH IN THE BANK</t>
        </is>
      </c>
      <c r="B300" s="2" t="inlineStr">
        <is>
          <t>$</t>
        </is>
      </c>
      <c r="E300" s="44">
        <f>$B$282+E297</f>
        <v/>
      </c>
      <c r="F300" s="44">
        <f>E300+F297</f>
        <v/>
      </c>
      <c r="G300" s="44">
        <f>F300+G297</f>
        <v/>
      </c>
      <c r="H300" s="44">
        <f>G300+H297</f>
        <v/>
      </c>
      <c r="I300" s="44">
        <f>H300+I297</f>
        <v/>
      </c>
      <c r="J300" s="44">
        <f>I300+J297</f>
        <v/>
      </c>
      <c r="K300" s="44">
        <f>J300+K297</f>
        <v/>
      </c>
      <c r="L300" s="44">
        <f>K300+L297</f>
        <v/>
      </c>
      <c r="M300" s="44">
        <f>L300+M297</f>
        <v/>
      </c>
      <c r="N300" s="44">
        <f>M300+N297</f>
        <v/>
      </c>
      <c r="O300" s="44">
        <f>N300+O297</f>
        <v/>
      </c>
      <c r="P300" s="44">
        <f>O300+P297</f>
        <v/>
      </c>
      <c r="Q300" s="44">
        <f>P300+Q297</f>
        <v/>
      </c>
      <c r="R300" s="44">
        <f>Q300+R297</f>
        <v/>
      </c>
      <c r="S300" s="44">
        <f>R300+S297</f>
        <v/>
      </c>
      <c r="T300" s="44">
        <f>S300+T297</f>
        <v/>
      </c>
      <c r="U300" s="44">
        <f>T300+U297</f>
        <v/>
      </c>
      <c r="V300" s="44">
        <f>U300+V297</f>
        <v/>
      </c>
      <c r="W300" s="44">
        <f>V300+W297</f>
        <v/>
      </c>
      <c r="X300" s="44">
        <f>W300+X297</f>
        <v/>
      </c>
      <c r="Y300" s="44">
        <f>X300+Y297</f>
        <v/>
      </c>
      <c r="Z300" s="44">
        <f>Y300+Z297</f>
        <v/>
      </c>
      <c r="AA300" s="44">
        <f>Z300+AA297</f>
        <v/>
      </c>
      <c r="AB300" s="44">
        <f>AA300+AB297</f>
        <v/>
      </c>
      <c r="AC300" s="44">
        <f>AB300+AC297</f>
        <v/>
      </c>
      <c r="AD300" s="44">
        <f>AC300+AD297</f>
        <v/>
      </c>
      <c r="AE300" s="44">
        <f>AD300+AE297</f>
        <v/>
      </c>
      <c r="AF300" s="44">
        <f>AE300+AF297</f>
        <v/>
      </c>
      <c r="AG300" s="44">
        <f>AF300+AG297</f>
        <v/>
      </c>
      <c r="AH300" s="44">
        <f>AG300+AH297</f>
        <v/>
      </c>
      <c r="AI300" s="44">
        <f>AH300+AI297</f>
        <v/>
      </c>
      <c r="AJ300" s="44">
        <f>AI300+AJ297</f>
        <v/>
      </c>
      <c r="AK300" s="44">
        <f>AJ300+AK297</f>
        <v/>
      </c>
      <c r="AL300" s="44">
        <f>AK300+AL297</f>
        <v/>
      </c>
      <c r="AM300" s="44">
        <f>AL300+AM297</f>
        <v/>
      </c>
      <c r="AN300" s="44">
        <f>AM300+AN297</f>
        <v/>
      </c>
      <c r="AO300" s="44">
        <f>AN300+AO297</f>
        <v/>
      </c>
      <c r="AP300" s="44">
        <f>AO300+AP297</f>
        <v/>
      </c>
      <c r="AQ300" s="44">
        <f>AP300+AQ297</f>
        <v/>
      </c>
      <c r="AR300" s="44">
        <f>AQ300+AR297</f>
        <v/>
      </c>
      <c r="AS300" s="44">
        <f>AR300+AS297</f>
        <v/>
      </c>
      <c r="AT300" s="44">
        <f>AS300+AT297</f>
        <v/>
      </c>
      <c r="AU300" s="44">
        <f>AT300+AU297</f>
        <v/>
      </c>
      <c r="AV300" s="44">
        <f>AU300+AV297</f>
        <v/>
      </c>
      <c r="AW300" s="44">
        <f>AV300+AW297</f>
        <v/>
      </c>
      <c r="AX300" s="44">
        <f>AW300+AX297</f>
        <v/>
      </c>
      <c r="AY300" s="44">
        <f>AX300+AY297</f>
        <v/>
      </c>
      <c r="AZ300" s="44">
        <f>AY300+AZ297</f>
        <v/>
      </c>
      <c r="BA300" s="44">
        <f>AZ300+BA297</f>
        <v/>
      </c>
      <c r="BB300" s="44">
        <f>BA300+BB297</f>
        <v/>
      </c>
      <c r="BC300" s="44">
        <f>BB300+BC297</f>
        <v/>
      </c>
      <c r="BD300" s="44">
        <f>BC300+BD297</f>
        <v/>
      </c>
    </row>
    <row r="301">
      <c r="E301" s="41" t="inlineStr">
        <is>
          <t>&gt;=</t>
        </is>
      </c>
      <c r="F301" s="41" t="inlineStr">
        <is>
          <t>&gt;=</t>
        </is>
      </c>
      <c r="G301" s="41" t="inlineStr">
        <is>
          <t>&gt;=</t>
        </is>
      </c>
      <c r="H301" s="41" t="inlineStr">
        <is>
          <t>&gt;=</t>
        </is>
      </c>
      <c r="I301" s="41" t="inlineStr">
        <is>
          <t>&gt;=</t>
        </is>
      </c>
      <c r="J301" s="41" t="inlineStr">
        <is>
          <t>&gt;=</t>
        </is>
      </c>
      <c r="K301" s="41" t="inlineStr">
        <is>
          <t>&gt;=</t>
        </is>
      </c>
      <c r="L301" s="41" t="inlineStr">
        <is>
          <t>&gt;=</t>
        </is>
      </c>
      <c r="M301" s="41" t="inlineStr">
        <is>
          <t>&gt;=</t>
        </is>
      </c>
      <c r="N301" s="41" t="inlineStr">
        <is>
          <t>&gt;=</t>
        </is>
      </c>
      <c r="O301" s="41" t="inlineStr">
        <is>
          <t>&gt;=</t>
        </is>
      </c>
      <c r="P301" s="41" t="inlineStr">
        <is>
          <t>&gt;=</t>
        </is>
      </c>
      <c r="Q301" s="41" t="inlineStr">
        <is>
          <t>&gt;=</t>
        </is>
      </c>
      <c r="R301" s="41" t="inlineStr">
        <is>
          <t>&gt;=</t>
        </is>
      </c>
      <c r="S301" s="41" t="inlineStr">
        <is>
          <t>&gt;=</t>
        </is>
      </c>
      <c r="T301" s="41" t="inlineStr">
        <is>
          <t>&gt;=</t>
        </is>
      </c>
      <c r="U301" s="41" t="inlineStr">
        <is>
          <t>&gt;=</t>
        </is>
      </c>
      <c r="V301" s="41" t="inlineStr">
        <is>
          <t>&gt;=</t>
        </is>
      </c>
      <c r="W301" s="41" t="inlineStr">
        <is>
          <t>&gt;=</t>
        </is>
      </c>
      <c r="X301" s="41" t="inlineStr">
        <is>
          <t>&gt;=</t>
        </is>
      </c>
      <c r="Y301" s="41" t="inlineStr">
        <is>
          <t>&gt;=</t>
        </is>
      </c>
      <c r="Z301" s="41" t="inlineStr">
        <is>
          <t>&gt;=</t>
        </is>
      </c>
      <c r="AA301" s="41" t="inlineStr">
        <is>
          <t>&gt;=</t>
        </is>
      </c>
      <c r="AB301" s="41" t="inlineStr">
        <is>
          <t>&gt;=</t>
        </is>
      </c>
      <c r="AC301" s="41" t="inlineStr">
        <is>
          <t>&gt;=</t>
        </is>
      </c>
      <c r="AD301" s="41" t="inlineStr">
        <is>
          <t>&gt;=</t>
        </is>
      </c>
      <c r="AE301" s="41" t="inlineStr">
        <is>
          <t>&gt;=</t>
        </is>
      </c>
      <c r="AF301" s="41" t="inlineStr">
        <is>
          <t>&gt;=</t>
        </is>
      </c>
      <c r="AG301" s="41" t="inlineStr">
        <is>
          <t>&gt;=</t>
        </is>
      </c>
      <c r="AH301" s="41" t="inlineStr">
        <is>
          <t>&gt;=</t>
        </is>
      </c>
      <c r="AI301" s="41" t="inlineStr">
        <is>
          <t>&gt;=</t>
        </is>
      </c>
      <c r="AJ301" s="41" t="inlineStr">
        <is>
          <t>&gt;=</t>
        </is>
      </c>
      <c r="AK301" s="41" t="inlineStr">
        <is>
          <t>&gt;=</t>
        </is>
      </c>
      <c r="AL301" s="41" t="inlineStr">
        <is>
          <t>&gt;=</t>
        </is>
      </c>
      <c r="AM301" s="41" t="inlineStr">
        <is>
          <t>&gt;=</t>
        </is>
      </c>
      <c r="AN301" s="41" t="inlineStr">
        <is>
          <t>&gt;=</t>
        </is>
      </c>
      <c r="AO301" s="41" t="inlineStr">
        <is>
          <t>&gt;=</t>
        </is>
      </c>
      <c r="AP301" s="41" t="inlineStr">
        <is>
          <t>&gt;=</t>
        </is>
      </c>
      <c r="AQ301" s="41" t="inlineStr">
        <is>
          <t>&gt;=</t>
        </is>
      </c>
      <c r="AR301" s="41" t="inlineStr">
        <is>
          <t>&gt;=</t>
        </is>
      </c>
      <c r="AS301" s="41" t="inlineStr">
        <is>
          <t>&gt;=</t>
        </is>
      </c>
      <c r="AT301" s="41" t="inlineStr">
        <is>
          <t>&gt;=</t>
        </is>
      </c>
      <c r="AU301" s="41" t="inlineStr">
        <is>
          <t>&gt;=</t>
        </is>
      </c>
      <c r="AV301" s="41" t="inlineStr">
        <is>
          <t>&gt;=</t>
        </is>
      </c>
      <c r="AW301" s="41" t="inlineStr">
        <is>
          <t>&gt;=</t>
        </is>
      </c>
      <c r="AX301" s="41" t="inlineStr">
        <is>
          <t>&gt;=</t>
        </is>
      </c>
      <c r="AY301" s="41" t="inlineStr">
        <is>
          <t>&gt;=</t>
        </is>
      </c>
      <c r="AZ301" s="41" t="inlineStr">
        <is>
          <t>&gt;=</t>
        </is>
      </c>
      <c r="BA301" s="41" t="inlineStr">
        <is>
          <t>&gt;=</t>
        </is>
      </c>
      <c r="BB301" s="41" t="inlineStr">
        <is>
          <t>&gt;=</t>
        </is>
      </c>
      <c r="BC301" s="41" t="inlineStr">
        <is>
          <t>&gt;=</t>
        </is>
      </c>
      <c r="BD301" s="41" t="inlineStr">
        <is>
          <t>&gt;=</t>
        </is>
      </c>
    </row>
    <row r="302">
      <c r="A302" s="4" t="inlineStr">
        <is>
          <t xml:space="preserve">  floor</t>
        </is>
      </c>
      <c r="B302" s="2" t="inlineStr">
        <is>
          <t>$</t>
        </is>
      </c>
      <c r="E302" s="42">
        <f>-$B$283</f>
        <v/>
      </c>
      <c r="F302" s="42">
        <f>-$B$283</f>
        <v/>
      </c>
      <c r="G302" s="42">
        <f>-$B$283</f>
        <v/>
      </c>
      <c r="H302" s="42">
        <f>-$B$283</f>
        <v/>
      </c>
      <c r="I302" s="42">
        <f>-$B$283</f>
        <v/>
      </c>
      <c r="J302" s="42">
        <f>-$B$283</f>
        <v/>
      </c>
      <c r="K302" s="42">
        <f>-$B$283</f>
        <v/>
      </c>
      <c r="L302" s="42">
        <f>-$B$283</f>
        <v/>
      </c>
      <c r="M302" s="42">
        <f>-$B$283</f>
        <v/>
      </c>
      <c r="N302" s="42">
        <f>-$B$283</f>
        <v/>
      </c>
      <c r="O302" s="42">
        <f>-$B$283</f>
        <v/>
      </c>
      <c r="P302" s="42">
        <f>-$B$283</f>
        <v/>
      </c>
      <c r="Q302" s="42">
        <f>-$B$283</f>
        <v/>
      </c>
      <c r="R302" s="42">
        <f>-$B$283</f>
        <v/>
      </c>
      <c r="S302" s="42">
        <f>-$B$283</f>
        <v/>
      </c>
      <c r="T302" s="42">
        <f>-$B$283</f>
        <v/>
      </c>
      <c r="U302" s="42">
        <f>-$B$283</f>
        <v/>
      </c>
      <c r="V302" s="42">
        <f>-$B$283</f>
        <v/>
      </c>
      <c r="W302" s="42">
        <f>-$B$283</f>
        <v/>
      </c>
      <c r="X302" s="42">
        <f>-$B$283</f>
        <v/>
      </c>
      <c r="Y302" s="42">
        <f>-$B$283</f>
        <v/>
      </c>
      <c r="Z302" s="42">
        <f>-$B$283</f>
        <v/>
      </c>
      <c r="AA302" s="42">
        <f>-$B$283</f>
        <v/>
      </c>
      <c r="AB302" s="42">
        <f>-$B$283</f>
        <v/>
      </c>
      <c r="AC302" s="42">
        <f>-$B$283</f>
        <v/>
      </c>
      <c r="AD302" s="42">
        <f>-$B$283</f>
        <v/>
      </c>
      <c r="AE302" s="42">
        <f>-$B$283</f>
        <v/>
      </c>
      <c r="AF302" s="42">
        <f>-$B$283</f>
        <v/>
      </c>
      <c r="AG302" s="42">
        <f>-$B$283</f>
        <v/>
      </c>
      <c r="AH302" s="42">
        <f>-$B$283</f>
        <v/>
      </c>
      <c r="AI302" s="42">
        <f>-$B$283</f>
        <v/>
      </c>
      <c r="AJ302" s="42">
        <f>-$B$283</f>
        <v/>
      </c>
      <c r="AK302" s="42">
        <f>-$B$283</f>
        <v/>
      </c>
      <c r="AL302" s="42">
        <f>-$B$283</f>
        <v/>
      </c>
      <c r="AM302" s="42">
        <f>-$B$283</f>
        <v/>
      </c>
      <c r="AN302" s="42">
        <f>-$B$283</f>
        <v/>
      </c>
      <c r="AO302" s="42">
        <f>-$B$283</f>
        <v/>
      </c>
      <c r="AP302" s="42">
        <f>-$B$283</f>
        <v/>
      </c>
      <c r="AQ302" s="42">
        <f>-$B$283</f>
        <v/>
      </c>
      <c r="AR302" s="42">
        <f>-$B$283</f>
        <v/>
      </c>
      <c r="AS302" s="42">
        <f>-$B$283</f>
        <v/>
      </c>
      <c r="AT302" s="42">
        <f>-$B$283</f>
        <v/>
      </c>
      <c r="AU302" s="42">
        <f>-$B$283</f>
        <v/>
      </c>
      <c r="AV302" s="42">
        <f>-$B$283</f>
        <v/>
      </c>
      <c r="AW302" s="42">
        <f>-$B$283</f>
        <v/>
      </c>
      <c r="AX302" s="42">
        <f>-$B$283</f>
        <v/>
      </c>
      <c r="AY302" s="42">
        <f>-$B$283</f>
        <v/>
      </c>
      <c r="AZ302" s="42">
        <f>-$B$283</f>
        <v/>
      </c>
      <c r="BA302" s="42">
        <f>-$B$283</f>
        <v/>
      </c>
      <c r="BB302" s="42">
        <f>-$B$283</f>
        <v/>
      </c>
      <c r="BC302" s="42">
        <f>-$B$283</f>
        <v/>
      </c>
      <c r="BD302" s="42">
        <f>-$B$283</f>
        <v/>
      </c>
    </row>
    <row r="303">
      <c r="A303" s="26" t="inlineStr">
        <is>
          <t xml:space="preserve">  headroom</t>
        </is>
      </c>
      <c r="E303" s="42">
        <f>E300-E302</f>
        <v/>
      </c>
      <c r="F303" s="42">
        <f>F300-F302</f>
        <v/>
      </c>
      <c r="G303" s="42">
        <f>G300-G302</f>
        <v/>
      </c>
      <c r="H303" s="42">
        <f>H300-H302</f>
        <v/>
      </c>
      <c r="I303" s="42">
        <f>I300-I302</f>
        <v/>
      </c>
      <c r="J303" s="42">
        <f>J300-J302</f>
        <v/>
      </c>
      <c r="K303" s="42">
        <f>K300-K302</f>
        <v/>
      </c>
      <c r="L303" s="42">
        <f>L300-L302</f>
        <v/>
      </c>
      <c r="M303" s="42">
        <f>M300-M302</f>
        <v/>
      </c>
      <c r="N303" s="42">
        <f>N300-N302</f>
        <v/>
      </c>
      <c r="O303" s="42">
        <f>O300-O302</f>
        <v/>
      </c>
      <c r="P303" s="42">
        <f>P300-P302</f>
        <v/>
      </c>
      <c r="Q303" s="42">
        <f>Q300-Q302</f>
        <v/>
      </c>
      <c r="R303" s="42">
        <f>R300-R302</f>
        <v/>
      </c>
      <c r="S303" s="42">
        <f>S300-S302</f>
        <v/>
      </c>
      <c r="T303" s="42">
        <f>T300-T302</f>
        <v/>
      </c>
      <c r="U303" s="42">
        <f>U300-U302</f>
        <v/>
      </c>
      <c r="V303" s="42">
        <f>V300-V302</f>
        <v/>
      </c>
      <c r="W303" s="42">
        <f>W300-W302</f>
        <v/>
      </c>
      <c r="X303" s="42">
        <f>X300-X302</f>
        <v/>
      </c>
      <c r="Y303" s="42">
        <f>Y300-Y302</f>
        <v/>
      </c>
      <c r="Z303" s="42">
        <f>Z300-Z302</f>
        <v/>
      </c>
      <c r="AA303" s="42">
        <f>AA300-AA302</f>
        <v/>
      </c>
      <c r="AB303" s="42">
        <f>AB300-AB302</f>
        <v/>
      </c>
      <c r="AC303" s="42">
        <f>AC300-AC302</f>
        <v/>
      </c>
      <c r="AD303" s="42">
        <f>AD300-AD302</f>
        <v/>
      </c>
      <c r="AE303" s="42">
        <f>AE300-AE302</f>
        <v/>
      </c>
      <c r="AF303" s="42">
        <f>AF300-AF302</f>
        <v/>
      </c>
      <c r="AG303" s="42">
        <f>AG300-AG302</f>
        <v/>
      </c>
      <c r="AH303" s="42">
        <f>AH300-AH302</f>
        <v/>
      </c>
      <c r="AI303" s="42">
        <f>AI300-AI302</f>
        <v/>
      </c>
      <c r="AJ303" s="42">
        <f>AJ300-AJ302</f>
        <v/>
      </c>
      <c r="AK303" s="42">
        <f>AK300-AK302</f>
        <v/>
      </c>
      <c r="AL303" s="42">
        <f>AL300-AL302</f>
        <v/>
      </c>
      <c r="AM303" s="42">
        <f>AM300-AM302</f>
        <v/>
      </c>
      <c r="AN303" s="42">
        <f>AN300-AN302</f>
        <v/>
      </c>
      <c r="AO303" s="42">
        <f>AO300-AO302</f>
        <v/>
      </c>
      <c r="AP303" s="42">
        <f>AP300-AP302</f>
        <v/>
      </c>
      <c r="AQ303" s="42">
        <f>AQ300-AQ302</f>
        <v/>
      </c>
      <c r="AR303" s="42">
        <f>AR300-AR302</f>
        <v/>
      </c>
      <c r="AS303" s="42">
        <f>AS300-AS302</f>
        <v/>
      </c>
      <c r="AT303" s="42">
        <f>AT300-AT302</f>
        <v/>
      </c>
      <c r="AU303" s="42">
        <f>AU300-AU302</f>
        <v/>
      </c>
      <c r="AV303" s="42">
        <f>AV300-AV302</f>
        <v/>
      </c>
      <c r="AW303" s="42">
        <f>AW300-AW302</f>
        <v/>
      </c>
      <c r="AX303" s="42">
        <f>AX300-AX302</f>
        <v/>
      </c>
      <c r="AY303" s="42">
        <f>AY300-AY302</f>
        <v/>
      </c>
      <c r="AZ303" s="42">
        <f>AZ300-AZ302</f>
        <v/>
      </c>
      <c r="BA303" s="42">
        <f>BA300-BA302</f>
        <v/>
      </c>
      <c r="BB303" s="42">
        <f>BB300-BB302</f>
        <v/>
      </c>
      <c r="BC303" s="42">
        <f>BC300-BC302</f>
        <v/>
      </c>
      <c r="BD303" s="42">
        <f>BD300-BD302</f>
        <v/>
      </c>
    </row>
    <row r="304">
      <c r="A304" s="2" t="inlineStr">
        <is>
          <t xml:space="preserve">   This is the app's C13. Cash may go NEGATIVE — that is the credit line being drawn — but never below the floor, which is the line fully drawn.</t>
        </is>
      </c>
    </row>
    <row r="305">
      <c r="A305" s="2" t="inlineStr">
        <is>
          <t xml:space="preserve">   The app states the same rule the other way round: it constrains cumulative NET FLOW (which excludes</t>
        </is>
      </c>
    </row>
    <row r="306">
      <c r="A306" s="2" t="inlineStr">
        <is>
          <t xml:space="preserve">   opening cash) against -(opening + credit). Both are the same constraint; mixing them double-counts the opening balance.</t>
        </is>
      </c>
    </row>
    <row r="307">
      <c r="A307" s="2" t="inlineStr">
        <is>
          <t xml:space="preserve">   ⚠️ It barely binds here, because the biggest weekly outgoing a real farm has is PAYROLL, and labour is v7. Do not read this curve as realistic yet.</t>
        </is>
      </c>
    </row>
    <row r="309">
      <c r="A309" s="3" t="inlineStr">
        <is>
          <t>8 — THE OPTIMIZER</t>
        </is>
      </c>
    </row>
    <row r="310">
      <c r="A310" s="4" t="inlineStr">
        <is>
          <t>Revenue</t>
        </is>
      </c>
      <c r="B310" s="56">
        <f>SUM(E191:BD191)*$I$19+SUM(E197:BD197)*$I$20+SUM(E218:BD218)*$I$21+SUM(E226:BD226)*$I$22+SUM(E247:BD247)*$I$23+SUM(E253:BD253)*$I$24</f>
        <v/>
      </c>
    </row>
    <row r="311">
      <c r="A311" s="4" t="inlineStr">
        <is>
          <t>Growing cost</t>
        </is>
      </c>
      <c r="B311" s="56">
        <f>SUM(E291:BD291)</f>
        <v/>
      </c>
      <c r="C311" s="2" t="inlineStr">
        <is>
          <t>seed at planting + fertiliser and fuel every week in the ground</t>
        </is>
      </c>
    </row>
    <row r="312">
      <c r="A312" s="4" t="inlineStr">
        <is>
          <t>Packaging</t>
        </is>
      </c>
      <c r="B312" s="56">
        <f>SUM(E290:BD290)</f>
        <v/>
      </c>
    </row>
    <row r="313">
      <c r="A313" s="4" t="inlineStr">
        <is>
          <t>Fixed cost</t>
        </is>
      </c>
      <c r="B313" s="56">
        <f>SUM(E292:BD292)</f>
        <v/>
      </c>
      <c r="C313" s="2" t="inlineStr">
        <is>
          <t>owed all 52 weeks whatever you plant</t>
        </is>
      </c>
    </row>
    <row r="314">
      <c r="A314" s="4" t="inlineStr">
        <is>
          <t>Overhead</t>
        </is>
      </c>
      <c r="B314" s="56">
        <f>SUM(E293:BD293)</f>
        <v/>
      </c>
    </row>
    <row r="315">
      <c r="A315" s="4" t="inlineStr">
        <is>
          <t>Wages</t>
        </is>
      </c>
      <c r="B315" s="56">
        <f>SUM(E294:BD294)</f>
        <v/>
      </c>
      <c r="C315" s="2" t="inlineStr">
        <is>
          <t>committed — owed whether or not the crops need the hours</t>
        </is>
      </c>
    </row>
    <row r="316">
      <c r="A316" s="4" t="inlineStr">
        <is>
          <t>Overtime</t>
        </is>
      </c>
      <c r="B316" s="56">
        <f>SUM(E295:BD295)</f>
        <v/>
      </c>
      <c r="C316" s="2" t="inlineStr">
        <is>
          <t>at the FULL rate — not the premium above base pay</t>
        </is>
      </c>
    </row>
    <row r="317">
      <c r="A317" s="4" t="inlineStr">
        <is>
          <t>Advisory crew</t>
        </is>
      </c>
      <c r="B317" s="56">
        <f>SUM(E296:BD296)</f>
        <v/>
      </c>
      <c r="C317" s="2" t="inlineStr">
        <is>
          <t>committed for the whole window, used or not — same basis as Wages above</t>
        </is>
      </c>
    </row>
    <row r="318">
      <c r="A318" s="4" t="inlineStr">
        <is>
          <t>Peak borrowing</t>
        </is>
      </c>
      <c r="B318" s="56">
        <f>MAX(0,-MIN(E300:BD300))</f>
        <v/>
      </c>
      <c r="C318" s="2" t="inlineStr">
        <is>
          <t>the deepest the credit line is ever drawn</t>
        </is>
      </c>
    </row>
    <row r="319">
      <c r="A319" s="4" t="inlineStr">
        <is>
          <t>Interest</t>
        </is>
      </c>
      <c r="B319" s="56">
        <f>$B$286*SUMPRODUCT((E300:BD300&lt;0)*-E300:BD300)/52</f>
        <v/>
      </c>
      <c r="C319" s="2" t="inlineStr">
        <is>
          <t>APR x the AVERAGE amount borrowed — the app's own post-solve formula</t>
        </is>
      </c>
    </row>
    <row r="320">
      <c r="A320" s="2" t="inlineStr">
        <is>
          <t xml:space="preserve">   ⚠️ Reported, NOT optimised over. The plan is chosen first and the borrowing it implies is priced afterwards,</t>
        </is>
      </c>
    </row>
    <row r="321">
      <c r="A321" s="2" t="inlineStr">
        <is>
          <t xml:space="preserve">     so the solver has no reason to shift sales earlier to borrow less. That is the app's simplification, inherited on purpose.</t>
        </is>
      </c>
    </row>
    <row r="322">
      <c r="A322" s="57" t="inlineStr">
        <is>
          <t>PROFIT  (the objective)</t>
        </is>
      </c>
      <c r="B322" s="58">
        <f>B310-SUM(B311:B317)-B319</f>
        <v/>
      </c>
      <c r="C322" s="4" t="inlineStr">
        <is>
          <t>&lt;-- MAXIMISE THIS CELL</t>
        </is>
      </c>
    </row>
    <row r="323">
      <c r="A323" s="4" t="inlineStr">
        <is>
          <t>Plantings chosen</t>
        </is>
      </c>
      <c r="B323" s="59">
        <f>SUM($D$58:$D$125)</f>
        <v/>
      </c>
      <c r="C323" s="2" t="inlineStr">
        <is>
          <t>of 68 offered</t>
        </is>
      </c>
    </row>
    <row r="325">
      <c r="A325" s="4" t="inlineStr">
        <is>
          <t>Annual caps</t>
        </is>
      </c>
    </row>
    <row r="326">
      <c r="A326" s="26" t="inlineStr">
        <is>
          <t xml:space="preserve">   Kale / Wholesale — sold all year</t>
        </is>
      </c>
      <c r="B326" s="42">
        <f>SUM(E226:BD226)</f>
        <v/>
      </c>
      <c r="C326" s="41" t="inlineStr">
        <is>
          <t>&lt;=</t>
        </is>
      </c>
      <c r="D326" s="42">
        <f>$D$22</f>
        <v/>
      </c>
    </row>
    <row r="328">
      <c r="A328" s="3" t="inlineStr">
        <is>
          <t>SOLVER SETUP — Tools &gt; Solver</t>
        </is>
      </c>
    </row>
    <row r="329">
      <c r="A329" s="4" t="inlineStr">
        <is>
          <t>Target cell</t>
        </is>
      </c>
      <c r="B329" s="26" t="inlineStr">
        <is>
          <t>$B$322</t>
        </is>
      </c>
      <c r="G329" s="2" t="inlineStr">
        <is>
          <t>set to MAXIMUM</t>
        </is>
      </c>
    </row>
    <row r="330">
      <c r="A330" s="4" t="inlineStr">
        <is>
          <t>By changing cells</t>
        </is>
      </c>
      <c r="B330" s="26" t="inlineStr">
        <is>
          <t>$C$58:$D$125</t>
        </is>
      </c>
      <c r="G330" s="2" t="inlineStr">
        <is>
          <t>acres AND plant? together</t>
        </is>
      </c>
    </row>
    <row r="331">
      <c r="A331" s="26" t="inlineStr">
        <is>
          <t xml:space="preserve">  ...and</t>
        </is>
      </c>
      <c r="B331" s="26" t="inlineStr">
        <is>
          <t>$E$190:$BD$190;$E$196:$BD$196;$E$217:$BD$217;$E$225:$BD$225;$E$246:$BD$246;$E$252:$BD$252</t>
        </is>
      </c>
      <c r="G331" s="2" t="inlineStr">
        <is>
          <t>the OFFERED rows</t>
        </is>
      </c>
    </row>
    <row r="332">
      <c r="A332" s="26" t="inlineStr">
        <is>
          <t>Constraint — PLANT? is binary</t>
        </is>
      </c>
      <c r="B332" s="26" t="inlineStr">
        <is>
          <t>$D$58:$D$125  =  Binary</t>
        </is>
      </c>
    </row>
    <row r="333">
      <c r="A333" s="26" t="inlineStr">
        <is>
          <t>Constraint — C9 acres &lt;= max</t>
        </is>
      </c>
      <c r="B333" s="26" t="inlineStr">
        <is>
          <t>$C$58:$C$125  &lt;=  $BE$58:$BE$125</t>
        </is>
      </c>
      <c r="G333" s="2" t="inlineStr">
        <is>
          <t>no acres without deciding to plant</t>
        </is>
      </c>
    </row>
    <row r="334">
      <c r="A334" s="26" t="inlineStr">
        <is>
          <t>Constraint — C10 acres &gt;= min</t>
        </is>
      </c>
      <c r="B334" s="26" t="inlineStr">
        <is>
          <t>$C$58:$C$125  &gt;=  $BF$58:$BF$125</t>
        </is>
      </c>
      <c r="G334" s="2" t="inlineStr">
        <is>
          <t>planted means a real block</t>
        </is>
      </c>
    </row>
    <row r="335">
      <c r="A335" s="26" t="inlineStr">
        <is>
          <t>Constraint — Spinach/Farmers Market sold &lt;= ceiling</t>
        </is>
      </c>
      <c r="B335" s="26" t="inlineStr">
        <is>
          <t>$E$191:$BD$191  &lt;=  $E$189:$BD$189</t>
        </is>
      </c>
    </row>
    <row r="336">
      <c r="A336" s="26" t="inlineStr">
        <is>
          <t>Constraint — Spinach/Wholesale sold &lt;= ceiling</t>
        </is>
      </c>
      <c r="B336" s="26" t="inlineStr">
        <is>
          <t>$E$197:$BD$197  &lt;=  $E$195:$BD$195</t>
        </is>
      </c>
    </row>
    <row r="337">
      <c r="A337" s="26" t="inlineStr">
        <is>
          <t>Constraint — Kale/Farmers Market sold &lt;= ceiling</t>
        </is>
      </c>
      <c r="B337" s="26" t="inlineStr">
        <is>
          <t>$E$218:$BD$218  &lt;=  $E$216:$BD$216</t>
        </is>
      </c>
    </row>
    <row r="338">
      <c r="A338" s="26" t="inlineStr">
        <is>
          <t>Constraint — Kale/Wholesale sold &lt;= ceiling</t>
        </is>
      </c>
      <c r="B338" s="26" t="inlineStr">
        <is>
          <t>$E$226:$BD$226  &lt;=  $E$222:$BD$222</t>
        </is>
      </c>
    </row>
    <row r="339">
      <c r="A339" s="26" t="inlineStr">
        <is>
          <t>Constraint — Garlic/Farmers Market sold &lt;= ceiling</t>
        </is>
      </c>
      <c r="B339" s="26" t="inlineStr">
        <is>
          <t>$E$247:$BD$247  &lt;=  $E$245:$BD$245</t>
        </is>
      </c>
    </row>
    <row r="340">
      <c r="A340" s="26" t="inlineStr">
        <is>
          <t>Constraint — Garlic/Wholesale sold &lt;= ceiling</t>
        </is>
      </c>
      <c r="B340" s="26" t="inlineStr">
        <is>
          <t>$E$253:$BD$253  &lt;=  $E$251:$BD$251</t>
        </is>
      </c>
    </row>
    <row r="341">
      <c r="A341" s="26" t="inlineStr">
        <is>
          <t>Constraint — Spinach stock never negative</t>
        </is>
      </c>
      <c r="B341" s="26" t="inlineStr">
        <is>
          <t>$E$201:$BD$201  &gt;=  0</t>
        </is>
      </c>
    </row>
    <row r="342">
      <c r="A342" s="26" t="inlineStr">
        <is>
          <t>Constraint — Kale stock never negative</t>
        </is>
      </c>
      <c r="B342" s="26" t="inlineStr">
        <is>
          <t>$E$230:$BD$230  &gt;=  0</t>
        </is>
      </c>
    </row>
    <row r="343">
      <c r="A343" s="26" t="inlineStr">
        <is>
          <t>Constraint — Garlic stock never negative</t>
        </is>
      </c>
      <c r="B343" s="26" t="inlineStr">
        <is>
          <t>$E$257:$BD$257  &gt;=  0</t>
        </is>
      </c>
    </row>
    <row r="344">
      <c r="A344" s="26" t="inlineStr">
        <is>
          <t>Constraint — Spinach shelf life</t>
        </is>
      </c>
      <c r="B344" s="26" t="inlineStr">
        <is>
          <t>$E$201:$BD$201  &lt;=  $E$204:$BD$204</t>
        </is>
      </c>
      <c r="G344" s="2" t="inlineStr">
        <is>
          <t>nothing held longer than it keeps</t>
        </is>
      </c>
    </row>
    <row r="345">
      <c r="A345" s="26" t="inlineStr">
        <is>
          <t>Constraint — Kale shelf life</t>
        </is>
      </c>
      <c r="B345" s="26" t="inlineStr">
        <is>
          <t>$E$230:$BD$230  &lt;=  $E$233:$BD$233</t>
        </is>
      </c>
      <c r="G345" s="2" t="inlineStr">
        <is>
          <t>nothing held longer than it keeps</t>
        </is>
      </c>
    </row>
    <row r="346">
      <c r="A346" s="26" t="inlineStr">
        <is>
          <t>Constraint — Garlic shelf life</t>
        </is>
      </c>
      <c r="B346" s="26" t="inlineStr">
        <is>
          <t>$E$257:$BD$257  &lt;=  $E$260:$BD$260</t>
        </is>
      </c>
      <c r="G346" s="2" t="inlineStr">
        <is>
          <t>nothing held longer than it keeps</t>
        </is>
      </c>
    </row>
    <row r="347">
      <c r="A347" s="26" t="inlineStr">
        <is>
          <t>Constraint — cold store</t>
        </is>
      </c>
      <c r="B347" s="26" t="inlineStr">
        <is>
          <t>$E$268:$BD$268  &lt;=  $B$7</t>
        </is>
      </c>
    </row>
    <row r="348">
      <c r="A348" s="26" t="inlineStr">
        <is>
          <t>Constraint — ambient store</t>
        </is>
      </c>
      <c r="B348" s="26" t="inlineStr">
        <is>
          <t>$E$275:$BD$275  &lt;=  $B$8</t>
        </is>
      </c>
    </row>
    <row r="349">
      <c r="A349" s="26" t="inlineStr">
        <is>
          <t>Constraint — land</t>
        </is>
      </c>
      <c r="B349" s="26" t="inlineStr">
        <is>
          <t>$E$129:$BD$129  &lt;=  $B$6</t>
        </is>
      </c>
    </row>
    <row r="350">
      <c r="A350" s="26" t="inlineStr">
        <is>
          <t xml:space="preserve">  ...and</t>
        </is>
      </c>
      <c r="B350" s="26" t="inlineStr">
        <is>
          <t>$E$155:$BD$155;$B$44</t>
        </is>
      </c>
      <c r="G350" s="2" t="inlineStr">
        <is>
          <t>the overtime row and the advisory headcount</t>
        </is>
      </c>
    </row>
    <row r="351">
      <c r="A351" s="26" t="inlineStr">
        <is>
          <t>Constraint — CROP HOURS &lt;= available</t>
        </is>
      </c>
      <c r="B351" s="26" t="inlineStr">
        <is>
          <t>$E$169:$BD$169  &lt;=  $E$157:$BD$157</t>
        </is>
      </c>
      <c r="G351" s="2" t="inlineStr">
        <is>
          <t>the app's C2, with bought hours</t>
        </is>
      </c>
    </row>
    <row r="352">
      <c r="A352" s="26" t="inlineStr">
        <is>
          <t>Constraint — overtime cap</t>
        </is>
      </c>
      <c r="B352" s="26" t="inlineStr">
        <is>
          <t>$E$177:$BD$177;&lt;=;$E$179:$BD$179</t>
        </is>
      </c>
      <c r="G352" s="2" t="inlineStr">
        <is>
          <t>DERIVED per week from the hourly crew — not a typed number (L2)</t>
        </is>
      </c>
    </row>
    <row r="353">
      <c r="A353" s="26" t="inlineStr">
        <is>
          <t>Constraint — advisory crew is a whole number</t>
        </is>
      </c>
      <c r="B353" s="26" t="inlineStr">
        <is>
          <t>$B$44 = integer</t>
        </is>
      </c>
      <c r="G353" s="2" t="inlineStr">
        <is>
          <t>you hire people, not fractions of people</t>
        </is>
      </c>
    </row>
    <row r="354">
      <c r="A354" s="26" t="inlineStr">
        <is>
          <t>Constraint — advisory crew available</t>
        </is>
      </c>
      <c r="B354" s="26" t="inlineStr">
        <is>
          <t>$B$44  &lt;=  $G$43</t>
        </is>
      </c>
      <c r="G354" s="2" t="inlineStr">
        <is>
          <t>how many hands you could actually find</t>
        </is>
      </c>
    </row>
    <row r="355">
      <c r="A355" s="26" t="inlineStr">
        <is>
          <t>Constraint — CASH FLOOR</t>
        </is>
      </c>
      <c r="B355" s="26" t="inlineStr">
        <is>
          <t>$E$300:$BD$300  &gt;=  $E$302:$BD$302</t>
        </is>
      </c>
      <c r="G355" s="2" t="inlineStr">
        <is>
          <t>the app's C13</t>
        </is>
      </c>
    </row>
    <row r="356">
      <c r="A356" s="4" t="inlineStr">
        <is>
          <t>Options</t>
        </is>
      </c>
      <c r="B356" s="26" t="inlineStr">
        <is>
          <t>engine = LibreOffice CoinMP Linear Solver</t>
        </is>
      </c>
      <c r="G356" s="2" t="inlineStr">
        <is>
          <t>tick 'Assume variables as non-negative'</t>
        </is>
      </c>
    </row>
  </sheetData>
  <conditionalFormatting sqref="E132:BD132">
    <cfRule type="cellIs" priority="1" operator="lessThan" dxfId="0">
      <formula>0</formula>
    </cfRule>
  </conditionalFormatting>
  <conditionalFormatting sqref="E129:BD129">
    <cfRule type="cellIs" priority="2" operator="greaterThan" dxfId="0">
      <formula>$B$6</formula>
    </cfRule>
  </conditionalFormatting>
  <conditionalFormatting sqref="E172:BD172">
    <cfRule type="cellIs" priority="3" operator="lessThan" dxfId="0">
      <formula>0</formula>
    </cfRule>
  </conditionalFormatting>
  <conditionalFormatting sqref="E169:BD169">
    <cfRule type="cellIs" priority="4" operator="greaterThan" dxfId="0">
      <formula>E$157</formula>
    </cfRule>
  </conditionalFormatting>
  <conditionalFormatting sqref="E180:BD180">
    <cfRule type="cellIs" priority="5" operator="lessThan" dxfId="0">
      <formula>0</formula>
    </cfRule>
  </conditionalFormatting>
  <conditionalFormatting sqref="E177:BD177">
    <cfRule type="cellIs" priority="6" operator="greaterThan" dxfId="0">
      <formula>E$151</formula>
    </cfRule>
  </conditionalFormatting>
  <conditionalFormatting sqref="E271:BD271">
    <cfRule type="cellIs" priority="7" operator="lessThan" dxfId="0">
      <formula>0</formula>
    </cfRule>
  </conditionalFormatting>
  <conditionalFormatting sqref="E268:BD268">
    <cfRule type="cellIs" priority="8" operator="greaterThan" dxfId="0">
      <formula>$B$7</formula>
    </cfRule>
  </conditionalFormatting>
  <conditionalFormatting sqref="E278:BD278">
    <cfRule type="cellIs" priority="9" operator="lessThan" dxfId="0">
      <formula>0</formula>
    </cfRule>
  </conditionalFormatting>
  <conditionalFormatting sqref="E275:BD275">
    <cfRule type="cellIs" priority="10" operator="greaterThan" dxfId="0">
      <formula>$B$8</formula>
    </cfRule>
  </conditionalFormatting>
  <conditionalFormatting sqref="E303:BD303">
    <cfRule type="cellIs" priority="1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2026-08-31T13:47:58Z</dcterms:created>
  <dcterms:modified xsi:type="dcterms:W3CDTF">2026-08-31T13:48:01Z</dcterms:modified>
</cp:coreProperties>
</file>